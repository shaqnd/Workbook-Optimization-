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comments6.xml" ContentType="application/vnd.openxmlformats-officedocument.spreadsheetml.comments+xml"/>
  <Override PartName="/xl/styles.xml" ContentType="application/vnd.openxmlformats-officedocument.spreadsheetml.styles+xml"/>
  <Override PartName="/xl/sharedStrings.xml" ContentType="application/vnd.openxmlformats-officedocument.spreadsheetml.sharedStrings+xml"/>
  <Override PartName="/xl/ctrlProps/ctrlProps34.xml" ContentType="application/vnd.ms-excel.controlproperties+xml"/>
  <Override PartName="/xl/ctrlProps/ctrlProps33.xml" ContentType="application/vnd.ms-excel.controlproperties+xml"/>
  <Override PartName="/xl/ctrlProps/ctrlProps32.xml" ContentType="application/vnd.ms-excel.controlproperties+xml"/>
  <Override PartName="/xl/ctrlProps/ctrlProps30.xml" ContentType="application/vnd.ms-excel.controlproperties+xml"/>
  <Override PartName="/xl/ctrlProps/ctrlProps31.xml" ContentType="application/vnd.ms-excel.controlproperties+xml"/>
  <Override PartName="/xl/ctrlProps/ctrlProps29.xml" ContentType="application/vnd.ms-excel.controlproperties+xml"/>
  <Override PartName="/xl/ctrlProps/ctrlProps27.xml" ContentType="application/vnd.ms-excel.controlproperties+xml"/>
  <Override PartName="/xl/ctrlProps/ctrlProps26.xml" ContentType="application/vnd.ms-excel.controlproperties+xml"/>
  <Override PartName="/xl/ctrlProps/ctrlProps25.xml" ContentType="application/vnd.ms-excel.controlproperties+xml"/>
  <Override PartName="/xl/ctrlProps/ctrlProps24.xml" ContentType="application/vnd.ms-excel.controlproperties+xml"/>
  <Override PartName="/xl/ctrlProps/ctrlProps22.xml" ContentType="application/vnd.ms-excel.controlproperties+xml"/>
  <Override PartName="/xl/ctrlProps/ctrlProps9.xml" ContentType="application/vnd.ms-excel.controlproperties+xml"/>
  <Override PartName="/xl/ctrlProps/ctrlProps21.xml" ContentType="application/vnd.ms-excel.controlproperties+xml"/>
  <Override PartName="/xl/ctrlProps/ctrlProps8.xml" ContentType="application/vnd.ms-excel.controlproperties+xml"/>
  <Override PartName="/xl/ctrlProps/ctrlProps19.xml" ContentType="application/vnd.ms-excel.controlproperties+xml"/>
  <Override PartName="/xl/ctrlProps/ctrlProps35.xml" ContentType="application/vnd.ms-excel.controlproperties+xml"/>
  <Override PartName="/xl/ctrlProps/ctrlProps36.xml" ContentType="application/vnd.ms-excel.controlproperties+xml"/>
  <Override PartName="/xl/ctrlProps/ctrlProps37.xml" ContentType="application/vnd.ms-excel.controlproperties+xml"/>
  <Override PartName="/xl/ctrlProps/ctrlProps38.xml" ContentType="application/vnd.ms-excel.controlproperties+xml"/>
  <Override PartName="/xl/ctrlProps/ctrlProps40.xml" ContentType="application/vnd.ms-excel.controlproperties+xml"/>
  <Override PartName="/xl/ctrlProps/ctrlProps41.xml" ContentType="application/vnd.ms-excel.controlproperties+xml"/>
  <Override PartName="/xl/ctrlProps/ctrlProps42.xml" ContentType="application/vnd.ms-excel.controlproperties+xml"/>
  <Override PartName="/xl/ctrlProps/ctrlProps43.xml" ContentType="application/vnd.ms-excel.controlproperties+xml"/>
  <Override PartName="/xl/ctrlProps/ctrlProps44.xml" ContentType="application/vnd.ms-excel.controlproperties+xml"/>
  <Override PartName="/xl/ctrlProps/ctrlProps45.xml" ContentType="application/vnd.ms-excel.controlproperties+xml"/>
  <Override PartName="/xl/ctrlProps/ctrlProps46.xml" ContentType="application/vnd.ms-excel.controlproperties+xml"/>
  <Override PartName="/xl/ctrlProps/ctrlProps11.xml" ContentType="application/vnd.ms-excel.controlproperties+xml"/>
  <Override PartName="/xl/ctrlProps/ctrlProps50.xml" ContentType="application/vnd.ms-excel.controlproperties+xml"/>
  <Override PartName="/xl/ctrlProps/ctrlProps13.xml" ContentType="application/vnd.ms-excel.controlproperties+xml"/>
  <Override PartName="/xl/ctrlProps/ctrlProps4.xml" ContentType="application/vnd.ms-excel.controlproperties+xml"/>
  <Override PartName="/xl/ctrlProps/ctrlProps51.xml" ContentType="application/vnd.ms-excel.controlproperties+xml"/>
  <Override PartName="/xl/ctrlProps/ctrlProps5.xml" ContentType="application/vnd.ms-excel.controlproperties+xml"/>
  <Override PartName="/xl/ctrlProps/ctrlProps16.xml" ContentType="application/vnd.ms-excel.controlproperties+xml"/>
  <Override PartName="/xl/ctrlProps/ctrlProps10.xml" ContentType="application/vnd.ms-excel.controlproperties+xml"/>
  <Override PartName="/xl/ctrlProps/ctrlProps47.xml" ContentType="application/vnd.ms-excel.controlproperties+xml"/>
  <Override PartName="/xl/ctrlProps/ctrlProps49.xml" ContentType="application/vnd.ms-excel.controlproperties+xml"/>
  <Override PartName="/xl/ctrlProps/ctrlProps12.xml" ContentType="application/vnd.ms-excel.controlproperties+xml"/>
  <Override PartName="/xl/ctrlProps/ctrlProps3.xml" ContentType="application/vnd.ms-excel.controlproperties+xml"/>
  <Override PartName="/xl/ctrlProps/ctrlProps18.xml" ContentType="application/vnd.ms-excel.controlproperties+xml"/>
  <Override PartName="/xl/ctrlProps/ctrlProps20.xml" ContentType="application/vnd.ms-excel.controlproperties+xml"/>
  <Override PartName="/xl/ctrlProps/ctrlProps17.xml" ContentType="application/vnd.ms-excel.controlproperties+xml"/>
  <Override PartName="/xl/ctrlProps/ctrlProps15.xml" ContentType="application/vnd.ms-excel.controlproperties+xml"/>
  <Override PartName="/xl/ctrlProps/ctrlProps6.xml" ContentType="application/vnd.ms-excel.controlproperties+xml"/>
  <Override PartName="/xl/ctrlProps/ctrlProps2.xml" ContentType="application/vnd.ms-excel.controlproperties+xml"/>
  <Override PartName="/xl/ctrlProps/ctrlProps52.xml" ContentType="application/vnd.ms-excel.controlproperties+xml"/>
  <Override PartName="/xl/comments10.xml" ContentType="application/vnd.openxmlformats-officedocument.spreadsheetml.comments+xml"/>
  <Override PartName="/xl/workbook.xml" ContentType="application/vnd.ms-excel.sheet.macroEnabled.main+xml"/>
  <Override PartName="/xl/comments7.xml" ContentType="application/vnd.openxmlformats-officedocument.spreadsheetml.comments+xml"/>
  <Override PartName="/xl/vbaProject.bin" ContentType="application/vnd.ms-office.vbaProject"/>
  <Override PartName="/xl/comments8.xml" ContentType="application/vnd.openxmlformats-officedocument.spreadsheetml.comments+xml"/>
  <Override PartName="/xl/theme/theme1.xml" ContentType="application/vnd.openxmlformats-officedocument.theme+xml"/>
  <Override PartName="/xl/comments3.xml" ContentType="application/vnd.openxmlformats-officedocument.spreadsheetml.comments+xml"/>
  <Override PartName="/xl/comments13.xml" ContentType="application/vnd.openxmlformats-officedocument.spreadsheetml.comments+xml"/>
  <Override PartName="/xl/drawings/vmlDrawing7.vml" ContentType="application/vnd.openxmlformats-officedocument.vmlDrawing"/>
  <Override PartName="/xl/drawings/drawing54.xml" ContentType="application/vnd.openxmlformats-officedocument.drawing+xml"/>
  <Override PartName="/xl/drawings/drawing39.xml" ContentType="application/vnd.openxmlformats-officedocument.drawing+xml"/>
  <Override PartName="/xl/drawings/vmlDrawing9.vml" ContentType="application/vnd.openxmlformats-officedocument.vmlDrawing"/>
  <Override PartName="/xl/drawings/drawing23.xml" ContentType="application/vnd.openxmlformats-officedocument.drawing+xml"/>
  <Override PartName="/xl/drawings/vmlDrawing8.vml" ContentType="application/vnd.openxmlformats-officedocument.vmlDrawing"/>
  <Override PartName="/xl/drawings/vmlDrawing1.vml" ContentType="application/vnd.openxmlformats-officedocument.vmlDrawing"/>
  <Override PartName="/xl/drawings/drawing28.xml" ContentType="application/vnd.openxmlformats-officedocument.drawing+xml"/>
  <Override PartName="/xl/drawings/drawing1.xml" ContentType="application/vnd.openxmlformats-officedocument.drawing+xml"/>
  <Override PartName="/xl/drawings/vmlDrawing6.vml" ContentType="application/vnd.openxmlformats-officedocument.vmlDrawing"/>
  <Override PartName="/xl/drawings/drawing7.xml" ContentType="application/vnd.openxmlformats-officedocument.drawing+xml"/>
  <Override PartName="/xl/drawings/drawing53.xml" ContentType="application/vnd.openxmlformats-officedocument.drawing+xml"/>
  <Override PartName="/xl/drawings/vmlDrawing3.vml" ContentType="application/vnd.openxmlformats-officedocument.vmlDrawing"/>
  <Override PartName="/xl/drawings/drawing48.xml" ContentType="application/vnd.openxmlformats-officedocument.drawing+xml"/>
  <Override PartName="/xl/drawings/vmlDrawing2.vml" ContentType="application/vnd.openxmlformats-officedocument.vmlDrawing"/>
  <Override PartName="/xl/drawings/drawing14.xml" ContentType="application/vnd.openxmlformats-officedocument.drawing+xml"/>
  <Override PartName="/xl/drawings/vmlDrawing4.vml" ContentType="application/vnd.openxmlformats-officedocument.vmlDrawing"/>
  <Override PartName="/xl/drawings/vmlDrawing5.vml" ContentType="application/vnd.openxmlformats-officedocument.vmlDrawing"/>
  <Override PartName="/xl/worksheets/_rels/sheet26.xml.rels" ContentType="application/vnd.openxmlformats-package.relationships+xml"/>
  <Override PartName="/xl/worksheets/_rels/sheet8.xml.rels" ContentType="application/vnd.openxmlformats-package.relationships+xml"/>
  <Override PartName="/xl/worksheets/_rels/sheet25.xml.rels" ContentType="application/vnd.openxmlformats-package.relationships+xml"/>
  <Override PartName="/xl/worksheets/_rels/sheet7.xml.rels" ContentType="application/vnd.openxmlformats-package.relationships+xml"/>
  <Override PartName="/xl/worksheets/_rels/sheet13.xml.rels" ContentType="application/vnd.openxmlformats-package.relationships+xml"/>
  <Override PartName="/xl/worksheets/_rels/sheet21.xml.rels" ContentType="application/vnd.openxmlformats-package.relationships+xml"/>
  <Override PartName="/xl/worksheets/_rels/sheet3.xml.rels" ContentType="application/vnd.openxmlformats-package.relationships+xml"/>
  <Override PartName="/xl/worksheets/_rels/sheet20.xml.rels" ContentType="application/vnd.openxmlformats-package.relationships+xml"/>
  <Override PartName="/xl/worksheets/_rels/sheet9.xml.rels" ContentType="application/vnd.openxmlformats-package.relationships+xml"/>
  <Override PartName="/xl/worksheets/_rels/sheet5.xml.rels" ContentType="application/vnd.openxmlformats-package.relationships+xml"/>
  <Override PartName="/xl/worksheets/_rels/sheet10.xml.rels" ContentType="application/vnd.openxmlformats-package.relationships+xml"/>
  <Override PartName="/xl/worksheets/_rels/sheet6.xml.rels" ContentType="application/vnd.openxmlformats-package.relationships+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17.xml" ContentType="application/vnd.openxmlformats-officedocument.spreadsheetml.worksheet+xml"/>
  <Override PartName="/xl/worksheets/sheet29.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8.xml" ContentType="application/vnd.openxmlformats-officedocument.spreadsheetml.worksheet+xml"/>
  <Override PartName="/xl/worksheets/sheet1.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12.xml" ContentType="application/vnd.openxmlformats-officedocument.spreadsheetml.worksheet+xml"/>
  <Override PartName="/xl/worksheets/sheet7.xml" ContentType="application/vnd.openxmlformats-officedocument.spreadsheetml.worksheet+xml"/>
  <Override PartName="/xl/worksheets/sheet13.xml" ContentType="application/vnd.openxmlformats-officedocument.spreadsheetml.worksheet+xml"/>
  <Override PartName="/xl/worksheets/sheet8.xml" ContentType="application/vnd.openxmlformats-officedocument.spreadsheetml.worksheet+xml"/>
  <Override PartName="/xl/worksheets/sheet14.xml" ContentType="application/vnd.openxmlformats-officedocument.spreadsheetml.worksheet+xml"/>
  <Override PartName="/xl/worksheets/sheet9.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worksheets/sheet6.xml" ContentType="application/vnd.openxmlformats-officedocument.spreadsheetml.worksheet+xml"/>
  <Override PartName="/xl/worksheets/sheet11.xml" ContentType="application/vnd.openxmlformats-officedocument.spreadsheetml.worksheet+xml"/>
  <Override PartName="/xl/comments9.xml" ContentType="application/vnd.openxmlformats-officedocument.spreadsheetml.comment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4"/>
  </bookViews>
  <sheets>
    <sheet name="Property Info" sheetId="1" state="visible" r:id="rId4"/>
    <sheet name="Property Tables" sheetId="2" state="visible" r:id="rId5"/>
    <sheet name="Subject Property" sheetId="3" state="visible" r:id="rId6"/>
    <sheet name="Comp Picker" sheetId="4" state="visible" r:id="rId7"/>
    <sheet name="S" sheetId="5" state="visible" r:id="rId8"/>
    <sheet name="WO" sheetId="6" state="visible" r:id="rId9"/>
    <sheet name="BAA Market" sheetId="7" state="visible" r:id="rId10"/>
    <sheet name="BAA Rent" sheetId="8" state="visible" r:id="rId11"/>
    <sheet name="Appeal" sheetId="9" state="visible" r:id="rId12"/>
    <sheet name="BOCC" sheetId="10" state="visible" r:id="rId13"/>
    <sheet name="M&amp;S Inputs" sheetId="11" state="visible" r:id="rId14"/>
    <sheet name="Land Sales Grid" sheetId="12" state="visible" r:id="rId15"/>
    <sheet name="Cost Approach" sheetId="13" state="visible" r:id="rId16"/>
    <sheet name="Cost Approach MB" sheetId="14" state="visible" r:id="rId17"/>
    <sheet name="Basic Sales Comparison" sheetId="15" state="visible" r:id="rId18"/>
    <sheet name="Detailed Sales Comparison" sheetId="16" state="visible" r:id="rId19"/>
    <sheet name="Leases" sheetId="17" state="visible" r:id="rId20"/>
    <sheet name="Income Approach" sheetId="18" state="visible" r:id="rId21"/>
    <sheet name="Reconciliation" sheetId="19" state="visible" r:id="rId22"/>
    <sheet name="Sales" sheetId="20" state="visible" r:id="rId23"/>
    <sheet name="Income" sheetId="21" state="visible" r:id="rId24"/>
    <sheet name="Codes" sheetId="22" state="visible" r:id="rId25"/>
    <sheet name="Occ Codes" sheetId="23" state="visible" r:id="rId26"/>
    <sheet name="Zoning Codes" sheetId="24" state="visible" r:id="rId27"/>
    <sheet name="Resources" sheetId="25" state="visible" r:id="rId28"/>
    <sheet name="Resource Directory" sheetId="26" state="visible" r:id="rId29"/>
    <sheet name="Property Registry" sheetId="27" state="visible" r:id="rId30"/>
    <sheet name="Expense Database" sheetId="28" state="visible" r:id="rId31"/>
    <sheet name="PSF Summary" sheetId="29" state="visible" r:id="rId32"/>
  </sheets>
  <definedNames>
    <definedName function="false" hidden="false" localSheetId="8" name="_xlnm.Print_Area" vbProcedure="false">Appeal!$A$1:$K$48</definedName>
    <definedName function="false" hidden="false" localSheetId="6" name="_xlnm.Print_Area" vbProcedure="false">'BAA Market'!$A$1:$H$41</definedName>
    <definedName function="false" hidden="false" localSheetId="7" name="_xlnm.Print_Area" vbProcedure="false">'BAA Rent'!$A$1:$M$74</definedName>
    <definedName function="false" hidden="false" localSheetId="14" name="_xlnm.Print_Area" vbProcedure="false">'Basic Sales Comparison'!$A$1:$H$53</definedName>
    <definedName function="false" hidden="false" localSheetId="12" name="_xlnm.Print_Area" vbProcedure="false">'Cost Approach'!$A$1:$AC$5</definedName>
    <definedName function="false" hidden="false" localSheetId="13" name="_xlnm.Print_Area" vbProcedure="false">'Cost Approach MB'!$A$1:$AK$285</definedName>
    <definedName function="false" hidden="false" localSheetId="15" name="_xlnm.Print_Area" vbProcedure="false">'Detailed Sales Comparison'!$A$1:$P$64</definedName>
    <definedName function="false" hidden="true" localSheetId="20" name="_xlnm._FilterDatabase" vbProcedure="false">Income!$A$1:$AK$1019</definedName>
    <definedName function="false" hidden="false" localSheetId="17" name="_xlnm.Print_Area" vbProcedure="false">'Income Approach'!$B$2:$F$66</definedName>
    <definedName function="false" hidden="false" localSheetId="11" name="_xlnm.Print_Area" vbProcedure="false">'Land Sales Grid'!$A$1:$N$67</definedName>
    <definedName function="false" hidden="false" localSheetId="16" name="_xlnm.Print_Area" vbProcedure="false">Leases!$B$2:$Q$52</definedName>
    <definedName function="false" hidden="false" localSheetId="0" name="_xlnm.Print_Area" vbProcedure="false">'Property Info'!$A$1:$D$66</definedName>
    <definedName function="false" hidden="false" localSheetId="1" name="_xlnm.Print_Area" vbProcedure="false">'Property Tables'!$B$4:$AN$160</definedName>
    <definedName function="false" hidden="false" localSheetId="18" name="_xlnm.Print_Area" vbProcedure="false">Reconciliation!$A$1:$G$20</definedName>
    <definedName function="false" hidden="true" localSheetId="25" name="_xlnm._FilterDatabase" vbProcedure="false">'Resource Directory'!$B$4:$H$296</definedName>
    <definedName function="false" hidden="false" localSheetId="4" name="_xlnm.Print_Area" vbProcedure="false">S!$A$1:$H$55</definedName>
    <definedName function="false" hidden="true" localSheetId="19" name="_xlnm._FilterDatabase" vbProcedure="false">Sales!$A$1:$AH$941</definedName>
    <definedName function="false" hidden="false" localSheetId="5" name="_xlnm.Print_Area" vbProcedure="false">WO!$A$1:$I$39</definedName>
    <definedName function="false" hidden="false" name="Appeal_Save" vbProcedure="false">Appeal!$B$64:$L$74</definedName>
    <definedName function="false" hidden="false" name="BC_CITE" vbProcedure="false">'M&amp;S Inputs'!$J$30:$J$3123</definedName>
    <definedName function="false" hidden="false" name="BC_KEY" vbProcedure="false">'M&amp;S Inputs'!$I$30:$I$3123</definedName>
    <definedName function="false" hidden="false" name="BC_OCC" vbProcedure="false">'M&amp;S Inputs'!$B$30:$B$3123</definedName>
    <definedName function="false" hidden="false" name="BC_VALUE" vbProcedure="false">'M&amp;S Inputs'!$H$30:$H$3123</definedName>
    <definedName function="false" hidden="false" name="BOCC_Save" vbProcedure="false">BOCC!$B$22:$K$32</definedName>
    <definedName function="false" hidden="false" name="BSquare" vbProcedure="false">"Rectangle 2"</definedName>
    <definedName function="false" hidden="false" name="caRCN" vbProcedure="false">'Cost Approach'!$G$51</definedName>
    <definedName function="false" hidden="false" name="caRCNDeprec" vbProcedure="false">'Cost Approach'!$G$64</definedName>
    <definedName function="false" hidden="false" name="caValue" vbProcedure="false">'Cost Approach'!$G$69</definedName>
    <definedName function="false" hidden="false" name="CCM_CLASS" vbProcedure="false">'M&amp;S Inputs'!$C$3910:$C$3914</definedName>
    <definedName function="false" hidden="false" name="CCM_SECTIONHDR" vbProcedure="false">'M&amp;S Inputs'!$D$3899:$K$3899</definedName>
    <definedName function="false" hidden="false" name="CCM_VALUES" vbProcedure="false">'M&amp;S Inputs'!$D$3910:$K$3914</definedName>
    <definedName function="false" hidden="false" name="Class" vbProcedure="false">Codes!$A$19:$B$76</definedName>
    <definedName function="false" hidden="false" name="DEN_CLASSHDR" vbProcedure="false">'M&amp;S Inputs'!$C$3943:$G$3943</definedName>
    <definedName function="false" hidden="false" name="DEN_LABEL" vbProcedure="false">'M&amp;S Inputs'!$B$3944:$B$3956</definedName>
    <definedName function="false" hidden="false" name="DEN_VALUES" vbProcedure="false">'M&amp;S Inputs'!$C$3944:$G$3956</definedName>
    <definedName function="false" hidden="false" name="DEPRR_AGE" vbProcedure="false">'M&amp;S Inputs'!$B$5016:$B$5057</definedName>
    <definedName function="false" hidden="false" name="DEPRR_LIFEHDR" vbProcedure="false">'M&amp;S Inputs'!$C$5015:$M$5015</definedName>
    <definedName function="false" hidden="false" name="DEPRR_VALUES" vbProcedure="false">'M&amp;S Inputs'!$C$5016:$M$5057</definedName>
    <definedName function="false" hidden="false" name="DEPR_AGE" vbProcedure="false">'M&amp;S Inputs'!$B$4966:$B$5011</definedName>
    <definedName function="false" hidden="false" name="DEPR_LIFEHDR" vbProcedure="false">'M&amp;S Inputs'!$C$4965:$L$4965</definedName>
    <definedName function="false" hidden="false" name="DEPR_VALUES" vbProcedure="false">'M&amp;S Inputs'!$C$4966:$L$5011</definedName>
    <definedName function="false" hidden="false" name="Filter_Choices" vbProcedure="false">Codes!$A$68:$A$76</definedName>
    <definedName function="false" hidden="false" name="FUNCT" vbProcedure="false">Codes!$A$1:$B$5</definedName>
    <definedName function="false" hidden="false" name="GRADE" vbProcedure="false">Codes!$A$93:$B$104</definedName>
    <definedName function="false" hidden="false" name="Home" vbProcedure="false">Appeal!$A$1</definedName>
    <definedName function="false" hidden="false" name="LAM_CITY" vbProcedure="false">'M&amp;S Inputs'!$B$3918:$B$3939</definedName>
    <definedName function="false" hidden="false" name="LAM_CLASSHDR" vbProcedure="false">'M&amp;S Inputs'!$C$3917:$G$3917</definedName>
    <definedName function="false" hidden="false" name="LAM_VALUES" vbProcedure="false">'M&amp;S Inputs'!$C$3918:$G$3939</definedName>
    <definedName function="false" hidden="false" name="LIFE_CLASSHDR" vbProcedure="false">'M&amp;S Inputs'!$D$3959:$H$3959</definedName>
    <definedName function="false" hidden="false" name="LIFE_KEY" vbProcedure="false">'M&amp;S Inputs'!$I$3960:$I$4960</definedName>
    <definedName function="false" hidden="false" name="LIFE_VALUES" vbProcedure="false">'M&amp;S Inputs'!$D$3960:$H$4960</definedName>
    <definedName function="false" hidden="false" name="Location" vbProcedure="false">Codes!$G$1:$H$68</definedName>
    <definedName function="false" hidden="false" name="MKT" vbProcedure="false">WO!$A$16</definedName>
    <definedName function="false" hidden="false" name="Mkt_Save" vbProcedure="false">'BAA Market'!$B$21:$F$39</definedName>
    <definedName function="false" hidden="false" name="model" vbProcedure="false">Codes!$G$1:$H$65</definedName>
    <definedName function="false" hidden="false" name="OCCMAP_CODE" vbProcedure="false">'M&amp;S Inputs'!$B$3415:$B$3545</definedName>
    <definedName function="false" hidden="false" name="OCCMAP_DESC" vbProcedure="false">'M&amp;S Inputs'!$C$3415:$C$3545</definedName>
    <definedName function="false" hidden="false" name="OCCMAP_NAME" vbProcedure="false">'M&amp;S Inputs'!$D$3415:$D$3545</definedName>
    <definedName function="false" hidden="false" name="OCC_CODE" vbProcedure="false">'M&amp;S Inputs'!$C$3128:$C$3410</definedName>
    <definedName function="false" hidden="false" name="OCC_DEPR" vbProcedure="false">'M&amp;S Inputs'!$H$3128:$H$3410</definedName>
    <definedName function="false" hidden="false" name="OCC_NAME" vbProcedure="false">'M&amp;S Inputs'!$B$3128:$B$3410</definedName>
    <definedName function="false" hidden="false" name="OCC_PAGE" vbProcedure="false">'M&amp;S Inputs'!$E$3128:$E$3410</definedName>
    <definedName function="false" hidden="false" name="OCC_SECTION" vbProcedure="false">'M&amp;S Inputs'!$D$3128:$D$3410</definedName>
    <definedName function="false" hidden="false" name="OCC_SPR" vbProcedure="false">'M&amp;S Inputs'!$G$3128:$G$3410</definedName>
    <definedName function="false" hidden="false" name="OCC_STORY" vbProcedure="false">'M&amp;S Inputs'!$F$3128:$F$3410</definedName>
    <definedName function="false" hidden="false" name="OCC_TABLE_CODE" vbProcedure="false">'Occ Codes'!$B$6:$B$199</definedName>
    <definedName function="false" hidden="false" name="OCC_TABLE_DESC" vbProcedure="false">'Occ Codes'!$E$6:$E$199</definedName>
    <definedName function="false" hidden="false" name="OCC_TABLE_LABEL" vbProcedure="false">'Occ Codes'!$F$6:$F$199</definedName>
    <definedName function="false" hidden="false" name="PHY" vbProcedure="false">Codes!$A$12:$B$16</definedName>
    <definedName function="false" hidden="false" name="Phy_Funct" vbProcedure="false">Codes!$A$23:$B$77</definedName>
    <definedName function="false" hidden="false" name="PI_Account" vbProcedure="false">'Property Info'!$C$8</definedName>
    <definedName function="false" hidden="false" name="PI_Agent" vbProcedure="false">'Property Info'!$C$12</definedName>
    <definedName function="false" hidden="false" name="PI_AppealLevel" vbProcedure="false">'Property Info'!$C$13</definedName>
    <definedName function="false" hidden="false" name="PI_AsrImp" vbProcedure="false">'Property Info'!$C$40</definedName>
    <definedName function="false" hidden="false" name="PI_AsrLand" vbProcedure="false">'Property Info'!$C$39</definedName>
    <definedName function="false" hidden="false" name="PI_AsrPSF" vbProcedure="false">'Property Info'!$C$42</definedName>
    <definedName function="false" hidden="false" name="PI_AsrTotal" vbProcedure="false">'Property Info'!$C$41</definedName>
    <definedName function="false" hidden="false" name="PI_AssessmentRate" vbProcedure="false">'Property Info'!$C$45</definedName>
    <definedName function="false" hidden="false" name="PI_ConcludedValue" vbProcedure="false">'Property Info'!$C$60</definedName>
    <definedName function="false" hidden="false" name="PI_County" vbProcedure="false">'Property Info'!$C$7</definedName>
    <definedName function="false" hidden="false" name="PI_DatePrepared" vbProcedure="false">'Property Info'!$C$17</definedName>
    <definedName function="false" hidden="false" name="PI_ExpenseRatio" vbProcedure="false">'Property Info'!$C$52</definedName>
    <definedName function="false" hidden="false" name="PI_FunctionalUtility" vbProcedure="false">'Property Info'!$C$36</definedName>
    <definedName function="false" hidden="false" name="PI_Grantee" vbProcedure="false">'Property Info'!$C$58</definedName>
    <definedName function="false" hidden="false" name="PI_Grantor" vbProcedure="false">'Property Info'!$C$57</definedName>
    <definedName function="false" hidden="false" name="PI_HearingDate" vbProcedure="false">'Property Info'!$C$14</definedName>
    <definedName function="false" hidden="false" name="PI_IncomeValue" vbProcedure="false">'Income Approach'!$D$64</definedName>
    <definedName function="false" hidden="false" name="PI_LandValue" vbProcedure="false">'Land Sales Grid'!$C$64</definedName>
    <definedName function="false" hidden="false" name="PI_LastSaleDate" vbProcedure="false">'Property Info'!$C$53</definedName>
    <definedName function="false" hidden="false" name="PI_LastSalePrice" vbProcedure="false">'Property Info'!$C$54</definedName>
    <definedName function="false" hidden="false" name="PI_MillLevy" vbProcedure="false">'Property Info'!$C$47</definedName>
    <definedName function="false" hidden="false" name="PI_Neighborhood" vbProcedure="false">'Property Info'!$C$22</definedName>
    <definedName function="false" hidden="false" name="PI_OccCode" vbProcedure="false">'Property Info'!$C$24</definedName>
    <definedName function="false" hidden="false" name="PI_Parcel" vbProcedure="false">'Property Info'!$C$9</definedName>
    <definedName function="false" hidden="false" name="PI_Petitioner" vbProcedure="false">'Property Info'!$C$11</definedName>
    <definedName function="false" hidden="false" name="PI_PreparedBy" vbProcedure="false">'Property Info'!$C$16</definedName>
    <definedName function="false" hidden="false" name="PI_PriorValue" vbProcedure="false">'Property Info'!$C$43</definedName>
    <definedName function="false" hidden="false" name="PI_PropertyType" vbProcedure="false">'Property Info'!$C$23</definedName>
    <definedName function="false" hidden="false" name="PI_Protest" vbProcedure="false">'Property Info'!$C$10</definedName>
    <definedName function="false" hidden="false" name="PI_ReceptionNo" vbProcedure="false">'Property Info'!$C$56</definedName>
    <definedName function="false" hidden="false" name="PI_RentPSF" vbProcedure="false">'Property Info'!$C$50</definedName>
    <definedName function="false" hidden="false" name="PI_SalesValue" vbProcedure="false">'Basic Sales Comparison'!$C$52</definedName>
    <definedName function="false" hidden="false" name="PI_Vacancy" vbProcedure="false">'Property Info'!$C$51</definedName>
    <definedName function="false" hidden="false" name="PI_ValuationDate" vbProcedure="false">'Property Info'!$C$15</definedName>
    <definedName function="false" hidden="false" name="PI_Zip" vbProcedure="false">'Property Info'!$C$21</definedName>
    <definedName function="false" hidden="false" name="print_1" vbProcedure="false">WO!$B$20:$H$28</definedName>
    <definedName function="false" hidden="false" name="Print_2" vbProcedure="false">WO!$B$40:$G$48</definedName>
    <definedName function="false" hidden="false" name="Print_3" vbProcedure="false">WO!$A$3</definedName>
    <definedName function="false" hidden="false" name="P_f" vbProcedure="false">Codes!$D$9:$E$33</definedName>
    <definedName function="false" hidden="false" name="RENT" vbProcedure="false">Income!$A$1:$AK$1019</definedName>
    <definedName function="false" hidden="false" name="RentComps" vbProcedure="false">'BAA Rent'!$B$23:$F$41</definedName>
    <definedName function="false" hidden="false" name="rent_line" vbProcedure="false">Income!$A$5:$AK$1019</definedName>
    <definedName function="false" hidden="false" name="Rent_Save" vbProcedure="false">'BAA Rent'!$B$23:$F$41</definedName>
    <definedName function="false" hidden="false" name="Rent_Title" vbProcedure="false">Income!$A$2</definedName>
    <definedName function="false" hidden="false" name="RES_MATRIX_C" vbProcedure="false">Resources!$P$46:$P$56</definedName>
    <definedName function="false" hidden="false" name="RES_MATRIX_D" vbProcedure="false">Resources!$Q$46:$Q$56</definedName>
    <definedName function="false" hidden="false" name="RES_MATRIX_E" vbProcedure="false">Resources!$R$46:$R$56</definedName>
    <definedName function="false" hidden="false" name="RES_MATRIX_F" vbProcedure="false">Resources!$S$46:$S$56</definedName>
    <definedName function="false" hidden="false" name="RES_MATRIX_G" vbProcedure="false">Resources!$T$46:$T$56</definedName>
    <definedName function="false" hidden="false" name="RES_MATRIX_H" vbProcedure="false">Resources!$U$46:$U$56</definedName>
    <definedName function="false" hidden="false" name="RES_MATRIX_I" vbProcedure="false">Resources!$V$46:$V$56</definedName>
    <definedName function="false" hidden="false" name="RES_MATRIX_J" vbProcedure="false">Resources!$W$46:$W$56</definedName>
    <definedName function="false" hidden="false" name="RES_MATRIX_JUR" vbProcedure="false">Resources!$B$46:$B$56</definedName>
    <definedName function="false" hidden="false" name="RES_MATRIX_K" vbProcedure="false">Resources!$X$46:$X$56</definedName>
    <definedName function="false" hidden="false" name="RES_MATRIX_L" vbProcedure="false">Resources!$Y$46:$Y$56</definedName>
    <definedName function="false" hidden="false" name="RES_MATRIX_NOTE" vbProcedure="false">Resources!$N$46:$N$56</definedName>
    <definedName function="false" hidden="false" name="RNT" vbProcedure="false">WO!$A$36</definedName>
    <definedName function="false" hidden="false" name="Sale4" vbProcedure="false">'BAA Rent'!$A$38</definedName>
    <definedName function="false" hidden="false" name="SaleComps" vbProcedure="false">'BAA Market'!$B$21:$H$39</definedName>
    <definedName function="false" hidden="false" name="SALES" vbProcedure="false">Sales!$A$1:$AH$861</definedName>
    <definedName function="false" hidden="false" name="Sale_Num" vbProcedure="false">Sales!$B$1</definedName>
    <definedName function="false" hidden="false" name="sale_title" vbProcedure="false">Sales!$A$1</definedName>
    <definedName function="false" hidden="false" name="SCR" vbProcedure="false">Income!$E$4</definedName>
    <definedName function="false" hidden="false" name="SH11_H" vbProcedure="false">'M&amp;S Inputs'!$C$3574:$C$3589</definedName>
    <definedName function="false" hidden="false" name="SH11_M" vbProcedure="false">'M&amp;S Inputs'!$D$3574:$D$3589</definedName>
    <definedName function="false" hidden="false" name="SH13_H" vbProcedure="false">'M&amp;S Inputs'!$C$3592:$C$3609</definedName>
    <definedName function="false" hidden="false" name="SH13_M" vbProcedure="false">'M&amp;S Inputs'!$D$3592:$D$3609</definedName>
    <definedName function="false" hidden="false" name="SH14_H" vbProcedure="false">'M&amp;S Inputs'!$C$3612:$C$3635</definedName>
    <definedName function="false" hidden="false" name="SH14_M" vbProcedure="false">'M&amp;S Inputs'!$D$3612:$D$3635</definedName>
    <definedName function="false" hidden="false" name="SH15_H" vbProcedure="false">'M&amp;S Inputs'!$C$3638:$C$3652</definedName>
    <definedName function="false" hidden="false" name="SH15_M" vbProcedure="false">'M&amp;S Inputs'!$D$3638:$D$3652</definedName>
    <definedName function="false" hidden="false" name="SH16_H" vbProcedure="false">'M&amp;S Inputs'!$C$3655:$C$3684</definedName>
    <definedName function="false" hidden="false" name="SH16_M" vbProcedure="false">'M&amp;S Inputs'!$D$3655:$D$3684</definedName>
    <definedName function="false" hidden="false" name="SH18_H" vbProcedure="false">'M&amp;S Inputs'!$C$3687:$C$3701</definedName>
    <definedName function="false" hidden="false" name="SH18_M" vbProcedure="false">'M&amp;S Inputs'!$D$3687:$D$3701</definedName>
    <definedName function="false" hidden="false" name="SPR11_SF" vbProcedure="false">'M&amp;S Inputs'!$C$3707:$C$3723</definedName>
    <definedName function="false" hidden="false" name="SPR11_VALS" vbProcedure="false">'M&amp;S Inputs'!$D$3707:$K$3723</definedName>
    <definedName function="false" hidden="false" name="SPR12_SF" vbProcedure="false">'M&amp;S Inputs'!$C$3726:$C$3736</definedName>
    <definedName function="false" hidden="false" name="SPR12_VALS" vbProcedure="false">'M&amp;S Inputs'!$D$3726:$K$3736</definedName>
    <definedName function="false" hidden="false" name="SPR13_SF" vbProcedure="false">'M&amp;S Inputs'!$C$3739:$C$3756</definedName>
    <definedName function="false" hidden="false" name="SPR13_VALS" vbProcedure="false">'M&amp;S Inputs'!$D$3739:$K$3756</definedName>
    <definedName function="false" hidden="false" name="SPR14_SF" vbProcedure="false">'M&amp;S Inputs'!$C$3759:$C$3778</definedName>
    <definedName function="false" hidden="false" name="SPR14_VALS" vbProcedure="false">'M&amp;S Inputs'!$D$3759:$K$3778</definedName>
    <definedName function="false" hidden="false" name="SPR15_SF" vbProcedure="false">'M&amp;S Inputs'!$C$3781:$C$3788</definedName>
    <definedName function="false" hidden="false" name="SPR15_VALS" vbProcedure="false">'M&amp;S Inputs'!$D$3781:$K$3788</definedName>
    <definedName function="false" hidden="false" name="SPR16_SF" vbProcedure="false">'M&amp;S Inputs'!$C$3791:$C$3807</definedName>
    <definedName function="false" hidden="false" name="SPR16_VALS" vbProcedure="false">'M&amp;S Inputs'!$D$3791:$K$3807</definedName>
    <definedName function="false" hidden="false" name="SPR18_SF" vbProcedure="false">'M&amp;S Inputs'!$C$3810:$C$3825</definedName>
    <definedName function="false" hidden="false" name="SPR18_VALS" vbProcedure="false">'M&amp;S Inputs'!$D$3810:$K$3825</definedName>
    <definedName function="false" hidden="false" name="SPR_HDR" vbProcedure="false">'M&amp;S Inputs'!$C$3705:$F$3705</definedName>
    <definedName function="false" hidden="false" name="Start_Input" vbProcedure="false">Appeal!$A$48:$L$74</definedName>
    <definedName function="false" hidden="false" name="Subj" vbProcedure="false">'BAA Market'!$B$9:$I$12</definedName>
    <definedName function="false" hidden="false" name="Subj1" vbProcedure="false">'BAA Rent'!$A$22</definedName>
    <definedName function="false" hidden="false" name="Subj2" vbProcedure="false">'BAA Rent'!$A$18</definedName>
    <definedName function="false" hidden="false" name="SUBJECT" vbProcedure="false">WO!$A$7:$H$13</definedName>
    <definedName function="false" hidden="false" name="SubjRent" vbProcedure="false">'BAA Rent'!$B$10:$H$13</definedName>
    <definedName function="false" hidden="false" name="Subj_Address" vbProcedure="false">'Subject Property'!$C$4</definedName>
    <definedName function="false" hidden="false" name="Subj_Age" vbProcedure="false">'Subject Property'!$C$19</definedName>
    <definedName function="false" hidden="false" name="Subj_Basis" vbProcedure="false">IF(OR(ISNUMBER(SEARCH("Apart",Subj_OccName)),ISNUMBER(SEARCH("Multiple Residence",Subj_OccName))),"Per Unit",IF(OR(ISNUMBER(SEARCH("Hotel",Subj_OccName)),ISNUMBER(SEARCH("Motel",Subj_OccName))),"Per Key","Per SF"))</definedName>
    <definedName function="false" hidden="false" name="Subj_OccName" vbProcedure="false">IFERROR(INDEX(OCCMAP_NAME,MATCH(Subj_OccCode,OCCMAP_CODE,0)),"")</definedName>
    <definedName function="false" hidden="false" name="Subj_OccCode" vbProcedure="false">'Subject Property'!$C$14</definedName>
    <definedName function="false" hidden="false" name="Subj_BldgSF" vbProcedure="false">'Subject Property'!$C$15</definedName>
    <definedName function="false" hidden="false" name="Subj_Condition" vbProcedure="false">'Subject Property'!$C$16</definedName>
    <definedName function="false" hidden="false" name="Subj_NumBldgs" vbProcedure="false">'Subject Property'!$C$8</definedName>
    <definedName function="false" hidden="false" name="Subj_Quality" vbProcedure="false">'Subject Property'!$C$17</definedName>
    <definedName function="false" hidden="false" name="Subj_SiteSF" vbProcedure="false">'Subject Property'!$C$6</definedName>
    <definedName function="false" hidden="false" name="Subj_SizeTol" vbProcedure="false">'Subject Property'!$C$9</definedName>
    <definedName function="false" hidden="false" name="Subj_TotalBldgSF" vbProcedure="false">'Subject Property'!$C$10</definedName>
    <definedName function="false" hidden="false" name="Subj_TotalUnits" vbProcedure="false">SUM('Subject Property'!$C$20:$L$20)</definedName>
    <definedName function="false" hidden="false" name="Subj_Units1" vbProcedure="false">'Subject Property'!$C$20</definedName>
    <definedName function="false" hidden="false" name="Subj_YOC" vbProcedure="false">'Subject Property'!$C$18</definedName>
    <definedName function="false" hidden="false" name="Subj_Zoning" vbProcedure="false">'Subject Property'!$C$7</definedName>
    <definedName function="false" hidden="false" name="WO" vbProcedure="false">WO!$A$4</definedName>
    <definedName function="false" hidden="false" name="WO_BOE" vbProcedure="false">WO!$A$4:$C$5</definedName>
    <definedName function="false" hidden="false" name="WO_Data" vbProcedure="false">WO!$A$3:$H$13</definedName>
    <definedName function="false" hidden="false" name="WO_Number" vbProcedure="false">WO!$C$4</definedName>
    <definedName function="false" hidden="false" name="XSquare" vbProcedure="false">"Rectangle 1"</definedName>
    <definedName function="false" hidden="false" name="Year" vbProcedure="false">S!$B$8</definedName>
    <definedName function="false" hidden="false" name="YR" vbProcedure="false">Income!$B$5</definedName>
    <definedName function="false" hidden="false" name="ZONES_ARVADA" vbProcedure="false">'Zoning Codes'!$D$6:$D$8</definedName>
    <definedName function="false" hidden="false" name="ZONES_AURORA" vbProcedure="false">'Zoning Codes'!$E$6:$E$16</definedName>
    <definedName function="false" hidden="false" name="ZONES_BENNETT" vbProcedure="false">'Zoning Codes'!$F$6:$F$7</definedName>
    <definedName function="false" hidden="false" name="ZONES_BRIGHTON" vbProcedure="false">'Zoning Codes'!$G$6:$G$14</definedName>
    <definedName function="false" hidden="false" name="ZONES_COMMERCE_CITY" vbProcedure="false">'Zoning Codes'!$H$6:$H$16</definedName>
    <definedName function="false" hidden="false" name="ZONES_FEDERAL_HEIGHTS" vbProcedure="false">'Zoning Codes'!$I$6:$I$7</definedName>
    <definedName function="false" hidden="false" name="ZONES_NORTHGLENN" vbProcedure="false">'Zoning Codes'!$J$6:$J$15</definedName>
    <definedName function="false" hidden="false" name="ZONES_OTHER" vbProcedure="false">'Zoning Codes'!$B$5:$B$108</definedName>
    <definedName function="false" hidden="false" name="ZONES_STRASBURG" vbProcedure="false">'Zoning Codes'!$K$6:$K$7</definedName>
    <definedName function="false" hidden="false" name="ZONES_THORNTON" vbProcedure="false">'Zoning Codes'!$L$6:$L$13</definedName>
    <definedName function="false" hidden="false" name="ZONES_WESTMINSTER" vbProcedure="false">'Zoning Codes'!$M$6:$M$11</definedName>
    <definedName function="false" hidden="false" name="ZONING_TABLE" vbProcedure="false">'Zoning Codes'!$B$5:$B$108</definedName>
    <definedName function="false" hidden="false" name="_MKT1" vbProcedure="false">WO!$A$20:$H$34</definedName>
    <definedName function="false" hidden="true" name="_Order1" vbProcedure="false">255</definedName>
    <definedName function="false" hidden="true" name="_Order2" vbProcedure="false">255</definedName>
    <definedName function="false" hidden="false" name="_RNT1" vbProcedure="false">WO!$A$40:$G$55</definedName>
    <definedName function="false" hidden="false" localSheetId="6" name="AdjRent1" vbProcedure="false">'BAA Rent'!$G$23:$G$41</definedName>
    <definedName function="false" hidden="false" localSheetId="6" name="rent1" vbProcedure="false">'BAA Rent'!$A$18</definedName>
    <definedName function="false" hidden="false" localSheetId="6" name="rent2" vbProcedure="false">'BAA Rent'!$A$22</definedName>
    <definedName function="false" hidden="false" localSheetId="6" name="Subj" vbProcedure="false">'BAA Rent'!$A$9</definedName>
  </definedNames>
  <calcPr iterateCount="100" refMode="A1" iterate="false" iterateDelta="0.0001" fullCalcOnLoad="true"/>
  <extLst>
    <ext xmlns:loext="http://schemas.libreoffice.org/" uri="{7626C862-2A13-11E5-B345-FEFF819CDC9F}">
      <loext:extCalcPr stringRefSyntax="ExcelA1"/>
    </ext>
  </extLst>
</workbook>
</file>

<file path=xl/comments3.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Interim list pulled from existing Sales/Income records -- not the real county zoning table yet. See the Zoning Codes tab.</t>
        </r>
      </text>
    </comment>
    <comment ref="B13" authorId="0">
      <text>
        <r>
          <rPr>
            <sz val="10"/>
            <rFont val="Arial"/>
            <family val="2"/>
          </rPr>
          <t xml:space="preserve">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r>
      </text>
    </comment>
    <comment ref="D4" authorId="0">
      <text>
        <r>
          <rPr>
            <sz val="10"/>
            <rFont val="Arial"/>
            <family val="2"/>
          </rPr>
          <t xml:space="preserve">Pick the city so the Zoning dropdown below only shows that city's real zones instead of all 104 values across every city. Leave blank (or "Other / Not Listed") to see the full list.</t>
        </r>
      </text>
    </comment>
  </commentList>
</comments>
</file>

<file path=xl/comments6.xml><?xml version="1.0" encoding="utf-8"?>
<comments xmlns="http://schemas.openxmlformats.org/spreadsheetml/2006/main" xmlns:xdr="http://schemas.openxmlformats.org/drawingml/2006/spreadsheetDrawing">
  <authors>
    <author>Unknown Author</author>
  </authors>
  <commentList>
    <comment ref="B1" authorId="0">
      <text>
        <r>
          <rPr>
            <sz val="10"/>
            <rFont val="Arial"/>
            <family val="2"/>
          </rPr>
          <t xml:space="preserve">To Save Grid
1)Click Save button
2)Click File SaveAs
    new filename
   </t>
        </r>
      </text>
    </comment>
    <comment ref="Y20" authorId="0">
      <text>
        <r>
          <rPr>
            <sz val="10"/>
            <rFont val="Arial"/>
            <family val="2"/>
          </rPr>
          <t xml:space="preserve">Which ranked match to show here? 1 = closest match by size, 2 = 2nd closest, etc. Defaults to 1 (top matches in order) -- change it to swap in a different comp. See the Comp Picker tab for the full ranked list before picking.</t>
        </r>
      </text>
    </comment>
    <comment ref="Y23" authorId="0">
      <text>
        <r>
          <rPr>
            <sz val="10"/>
            <rFont val="Arial"/>
            <family val="2"/>
          </rPr>
          <t xml:space="preserve">Which ranked match to show here? 1 = closest match by size, 2 = 2nd closest, etc. Defaults to 2 (top matches in order) -- change it to swap in a different comp. See the Comp Picker tab for the full ranked list before picking.</t>
        </r>
      </text>
    </comment>
    <comment ref="Y26" authorId="0">
      <text>
        <r>
          <rPr>
            <sz val="10"/>
            <rFont val="Arial"/>
            <family val="2"/>
          </rPr>
          <t xml:space="preserve">Which ranked match to show here? 1 = closest match by size, 2 = 2nd closest, etc. Defaults to 3 (top matches in order) -- change it to swap in a different comp. See the Comp Picker tab for the full ranked list before picking.</t>
        </r>
      </text>
    </comment>
  </commentList>
</comments>
</file>

<file path=xl/comments7.xml><?xml version="1.0" encoding="utf-8"?>
<comments xmlns="http://schemas.openxmlformats.org/spreadsheetml/2006/main" xmlns:xdr="http://schemas.openxmlformats.org/drawingml/2006/spreadsheetDrawing">
  <authors>
    <author>Unknown Author</author>
  </authors>
  <commentList>
    <comment ref="D23" authorId="0">
      <text>
        <r>
          <rPr>
            <sz val="10"/>
            <rFont val="Arial"/>
            <family val="2"/>
          </rPr>
          <t xml:space="preserve"> Type adjustment here, use minus sign for deduction
</t>
        </r>
      </text>
    </comment>
    <comment ref="D28" authorId="0">
      <text>
        <r>
          <rPr>
            <sz val="10"/>
            <rFont val="Arial"/>
            <family val="2"/>
          </rPr>
          <t xml:space="preserve"> Type adjustment here, use minus sign for deduction
</t>
        </r>
      </text>
    </comment>
    <comment ref="D33" authorId="0">
      <text>
        <r>
          <rPr>
            <sz val="10"/>
            <rFont val="Arial"/>
            <family val="2"/>
          </rPr>
          <t xml:space="preserve"> Type adjustment here, use minus sign for deduction
</t>
        </r>
      </text>
    </comment>
    <comment ref="D38" authorId="0">
      <text>
        <r>
          <rPr>
            <sz val="10"/>
            <rFont val="Arial"/>
            <family val="2"/>
          </rPr>
          <t xml:space="preserve"> Type adjustment here, use minus sign for deduction
</t>
        </r>
      </text>
    </comment>
    <comment ref="G24" authorId="0">
      <text>
        <r>
          <rPr>
            <sz val="10"/>
            <rFont val="Arial"/>
            <family val="2"/>
          </rPr>
          <t xml:space="preserve"> Type adjustment here, use minus sign for deduction
</t>
        </r>
      </text>
    </comment>
    <comment ref="G29" authorId="0">
      <text>
        <r>
          <rPr>
            <sz val="10"/>
            <rFont val="Arial"/>
            <family val="2"/>
          </rPr>
          <t xml:space="preserve"> Type adjustment here, use minus sign for deduction
</t>
        </r>
      </text>
    </comment>
    <comment ref="G34" authorId="0">
      <text>
        <r>
          <rPr>
            <sz val="10"/>
            <rFont val="Arial"/>
            <family val="2"/>
          </rPr>
          <t xml:space="preserve"> Type adjustment here, use minus sign for deduction
</t>
        </r>
      </text>
    </comment>
    <comment ref="G39" authorId="0">
      <text>
        <r>
          <rPr>
            <sz val="10"/>
            <rFont val="Arial"/>
            <family val="2"/>
          </rPr>
          <t xml:space="preserve"> Type adjustment here, use minus sign for deduction
</t>
        </r>
      </text>
    </comment>
    <comment ref="Y21" authorId="0">
      <text>
        <r>
          <rPr>
            <sz val="10"/>
            <rFont val="Arial"/>
            <family val="2"/>
          </rPr>
          <t xml:space="preserve">Which ranked match to show here? 1 = closest match by size, 2 = 2nd closest, etc. Defaults to 1 (top matches in order) -- change it to swap in a different comp. See the Comp Picker tab for the full ranked list before picking.</t>
        </r>
      </text>
    </comment>
    <comment ref="Y26" authorId="0">
      <text>
        <r>
          <rPr>
            <sz val="10"/>
            <rFont val="Arial"/>
            <family val="2"/>
          </rPr>
          <t xml:space="preserve">Which ranked match to show here? 1 = closest match by size, 2 = 2nd closest, etc. Defaults to 2 (top matches in order) -- change it to swap in a different comp. See the Comp Picker tab for the full ranked list before picking.</t>
        </r>
      </text>
    </comment>
    <comment ref="Y31" authorId="0">
      <text>
        <r>
          <rPr>
            <sz val="10"/>
            <rFont val="Arial"/>
            <family val="2"/>
          </rPr>
          <t xml:space="preserve">Which ranked match to show here? 1 = closest match by size, 2 = 2nd closest, etc. Defaults to 3 (top matches in order) -- change it to swap in a different comp. See the Comp Picker tab for the full ranked list before picking.</t>
        </r>
      </text>
    </comment>
    <comment ref="Y36" authorId="0">
      <text>
        <r>
          <rPr>
            <sz val="10"/>
            <rFont val="Arial"/>
            <family val="2"/>
          </rPr>
          <t xml:space="preserve">Which ranked match to show here? 1 = closest match by size, 2 = 2nd closest, etc. Defaults to 4 (top matches in order) -- change it to swap in a different comp. See the Comp Picker tab for the full ranked list before picking.</t>
        </r>
      </text>
    </comment>
  </commentList>
</comments>
</file>

<file path=xl/comments8.xml><?xml version="1.0" encoding="utf-8"?>
<comments xmlns="http://schemas.openxmlformats.org/spreadsheetml/2006/main" xmlns:xdr="http://schemas.openxmlformats.org/drawingml/2006/spreadsheetDrawing">
  <authors>
    <author>Unknown Author</author>
  </authors>
  <commentList>
    <comment ref="B1" authorId="0">
      <text>
        <r>
          <rPr>
            <sz val="10"/>
            <rFont val="Arial"/>
            <family val="2"/>
          </rPr>
          <t xml:space="preserve">Click printer icon to print
</t>
        </r>
      </text>
    </comment>
  </commentList>
</comments>
</file>

<file path=xl/comments9.xml><?xml version="1.0" encoding="utf-8"?>
<comments xmlns="http://schemas.openxmlformats.org/spreadsheetml/2006/main" xmlns:xdr="http://schemas.openxmlformats.org/drawingml/2006/spreadsheetDrawing">
  <authors>
    <author>Unknown Author</author>
  </authors>
  <commentList>
    <comment ref="D1" authorId="0">
      <text>
        <r>
          <rPr>
            <sz val="10"/>
            <rFont val="Arial"/>
            <family val="2"/>
          </rPr>
          <t xml:space="preserve">Double Sided Printing.
1) Page Setup in File Menu.
2) Click Options on right side.
3) Click Long Side
4) Clcik OK Twice
5) Click Print Icon on Toolbar
Change back to none when finished. 
</t>
        </r>
      </text>
    </comment>
    <comment ref="Y72" authorId="0">
      <text>
        <r>
          <rPr>
            <sz val="10"/>
            <rFont val="Arial"/>
            <family val="2"/>
          </rPr>
          <t xml:space="preserve">Which ranked match to show here? 1 = closest match by size, 2 = 2nd closest, etc. Defaults to 1 (top matches in order) -- change it to swap in a different comp. See the Comp Picker tab for the full ranked list before picking.</t>
        </r>
      </text>
    </comment>
    <comment ref="Y73" authorId="0">
      <text>
        <r>
          <rPr>
            <sz val="10"/>
            <rFont val="Arial"/>
            <family val="2"/>
          </rPr>
          <t xml:space="preserve">Which ranked match to show here? 1 = closest match by size, 2 = 2nd closest, etc. Defaults to 2 (top matches in order) -- change it to swap in a different comp. See the Comp Picker tab for the full ranked list before picking.</t>
        </r>
      </text>
    </comment>
    <comment ref="Y74" authorId="0">
      <text>
        <r>
          <rPr>
            <sz val="10"/>
            <rFont val="Arial"/>
            <family val="2"/>
          </rPr>
          <t xml:space="preserve">Which ranked match to show here? 1 = closest match by size, 2 = 2nd closest, etc. Defaults to 3 (top matches in order) -- change it to swap in a different comp. See the Comp Picker tab for the full ranked list before picking.</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H46" authorId="0">
      <text>
        <r>
          <rPr>
            <sz val="10"/>
            <rFont val="Arial"/>
            <family val="2"/>
          </rPr>
          <t xml:space="preserve"> Check desired box
</t>
        </r>
      </text>
    </comment>
    <comment ref="Y30" authorId="0">
      <text>
        <r>
          <rPr>
            <sz val="10"/>
            <rFont val="Arial"/>
            <family val="2"/>
          </rPr>
          <t xml:space="preserve">Which ranked match to show here? 1 = closest match by size, 2 = 2nd closest, etc. Defaults to 1 (top matches in order) -- change it to swap in a different comp. See the Comp Picker tab for the full ranked list before picking.</t>
        </r>
      </text>
    </comment>
    <comment ref="Y31" authorId="0">
      <text>
        <r>
          <rPr>
            <sz val="10"/>
            <rFont val="Arial"/>
            <family val="2"/>
          </rPr>
          <t xml:space="preserve">Which ranked match to show here? 1 = closest match by size, 2 = 2nd closest, etc. Defaults to 2 (top matches in order) -- change it to swap in a different comp. See the Comp Picker tab for the full ranked list before picking.</t>
        </r>
      </text>
    </comment>
    <comment ref="Y32" authorId="0">
      <text>
        <r>
          <rPr>
            <sz val="10"/>
            <rFont val="Arial"/>
            <family val="2"/>
          </rPr>
          <t xml:space="preserve">Which ranked match to show here? 1 = closest match by size, 2 = 2nd closest, etc. Defaults to 3 (top matches in order) -- change it to swap in a different comp. See the Comp Picker tab for the full ranked list before picking.</t>
        </r>
      </text>
    </comment>
  </commentList>
</comments>
</file>

<file path=xl/comments13.xml><?xml version="1.0" encoding="utf-8"?>
<comments xmlns="http://schemas.openxmlformats.org/spreadsheetml/2006/main" xmlns:xdr="http://schemas.openxmlformats.org/drawingml/2006/spreadsheetDrawing">
  <authors>
    <author>Unknown Author</author>
  </authors>
  <commentList>
    <comment ref="B81" authorId="0">
      <text>
        <r>
          <rPr>
            <sz val="10"/>
            <rFont val="Arial"/>
            <family val="2"/>
          </rPr>
          <t xml:space="preserve">Look this up in your MVS manual for the actual occupancy/class/quality. Leave at 0 to use the built-in lookup for the 18 verified occupancy types.</t>
        </r>
      </text>
    </comment>
    <comment ref="B82" authorId="0">
      <text>
        <r>
          <rPr>
            <sz val="10"/>
            <rFont val="Arial"/>
            <family val="2"/>
          </rPr>
          <t xml:space="preserve">Per MVS Sec.97, by occupancy/quality/class. Must be one of the tabulated values (70,60,55,50,45,40,35,30,25,20 years) -- the depreciation percent-good table is only charted at those points. Leave at 0 to use the built-in lookup.</t>
        </r>
      </text>
    </comment>
    <comment ref="B83" authorId="0">
      <text>
        <r>
          <rPr>
            <sz val="10"/>
            <rFont val="Arial"/>
            <family val="2"/>
          </rPr>
          <t xml:space="preserve">Pick whichever of these 4 general MVS sections your property most resembles: 11=Hotels/Motels, 13=Retail/Stores/Shopping Centers, 14=Industrial/Warehouse, 15=Office. Leave blank to use the section implied by the Occupancy Type dropdown above (only works for the 18 verified occupancies).</t>
        </r>
      </text>
    </comment>
  </commentList>
</comments>
</file>

<file path=xl/sharedStrings.xml><?xml version="1.0" encoding="utf-8"?>
<sst xmlns="http://schemas.openxmlformats.org/spreadsheetml/2006/main" count="53590" uniqueCount="11468">
  <si>
    <t xml:space="preserve">PROPERTY INFO — MASTER SOURCE</t>
  </si>
  <si>
    <t xml:space="preserve">Enter the assignment and appeal facts once here. Physical characteristics stay on the Subject Property tab and are mirrored below in gray. Cream cells are yours to type in; gray cells calculate themselves.</t>
  </si>
  <si>
    <t xml:space="preserve">Field</t>
  </si>
  <si>
    <t xml:space="preserve">Value</t>
  </si>
  <si>
    <t xml:space="preserve">Where it is used</t>
  </si>
  <si>
    <t xml:space="preserve">1.  APPEAL &amp; ASSIGNMENT IDENTIFICATION</t>
  </si>
  <si>
    <t xml:space="preserve">Appeal Year</t>
  </si>
  <si>
    <t xml:space="preserve">Set on the S tab, cell B8</t>
  </si>
  <si>
    <t xml:space="preserve">County</t>
  </si>
  <si>
    <t xml:space="preserve">ADAMS</t>
  </si>
  <si>
    <t xml:space="preserve">BAA / BOCC filings</t>
  </si>
  <si>
    <t xml:space="preserve">Account / Schedule Number</t>
  </si>
  <si>
    <t xml:space="preserve">R0195554</t>
  </si>
  <si>
    <t xml:space="preserve">Appeal!A2 · BOCC!D2 · WO!B8 · 'BAA Market'!B4</t>
  </si>
  <si>
    <t xml:space="preserve">Parcel Number</t>
  </si>
  <si>
    <t xml:space="preserve">'BAA Market'!B6 · WO!H8</t>
  </si>
  <si>
    <t xml:space="preserve">Protest Number</t>
  </si>
  <si>
    <t xml:space="preserve">Appeal!A4 · BOCC!D4 · WO!B4</t>
  </si>
  <si>
    <t xml:space="preserve">Petitioner's Name</t>
  </si>
  <si>
    <t xml:space="preserve">Hyde Development (I-76 CC Building Four LLC)</t>
  </si>
  <si>
    <t xml:space="preserve">Appeal!A5 · BOCC!D5</t>
  </si>
  <si>
    <t xml:space="preserve">Petitioner's Agent / Representative</t>
  </si>
  <si>
    <t xml:space="preserve">Ryan, LLC - Beth Diehl,</t>
  </si>
  <si>
    <t xml:space="preserve">Appeal form</t>
  </si>
  <si>
    <t xml:space="preserve">Appeal Level</t>
  </si>
  <si>
    <t xml:space="preserve">Abatement / Refund Petition</t>
  </si>
  <si>
    <t xml:space="preserve">Which form you file</t>
  </si>
  <si>
    <t xml:space="preserve">Hearing Date</t>
  </si>
  <si>
    <t xml:space="preserve">Scheduling</t>
  </si>
  <si>
    <t xml:space="preserve">Statutory Valuation Date</t>
  </si>
  <si>
    <t xml:space="preserve">Colorado: June 30 of the year before the reassessment cycle</t>
  </si>
  <si>
    <t xml:space="preserve">Prepared By</t>
  </si>
  <si>
    <t xml:space="preserve">Shaquille Carter</t>
  </si>
  <si>
    <t xml:space="preserve">Report signature block</t>
  </si>
  <si>
    <t xml:space="preserve">Date Prepared</t>
  </si>
  <si>
    <t xml:space="preserve">2.  PROPERTY IDENTIFICATION</t>
  </si>
  <si>
    <t xml:space="preserve">Property Address</t>
  </si>
  <si>
    <t xml:space="preserve">Subject Property!C4</t>
  </si>
  <si>
    <t xml:space="preserve">City</t>
  </si>
  <si>
    <t xml:space="preserve">Subject Property!C5</t>
  </si>
  <si>
    <t xml:space="preserve">ZIP Code</t>
  </si>
  <si>
    <t xml:space="preserve">80603</t>
  </si>
  <si>
    <t xml:space="preserve">Reports and filings</t>
  </si>
  <si>
    <t xml:space="preserve">Neighborhood (Ngbh)</t>
  </si>
  <si>
    <t xml:space="preserve">WO!C8</t>
  </si>
  <si>
    <t xml:space="preserve">Property Type / Occupancy (auto from OCC code)</t>
  </si>
  <si>
    <t xml:space="preserve">Auto - published to Subject Property, Cost Approach, Property Tables</t>
  </si>
  <si>
    <t xml:space="preserve">OCC Code  [enter first]</t>
  </si>
  <si>
    <t xml:space="preserve">Master input - drives Property Type, Cost Approach and the MVS lookups</t>
  </si>
  <si>
    <t xml:space="preserve">Zoning</t>
  </si>
  <si>
    <t xml:space="preserve">PUD</t>
  </si>
  <si>
    <t xml:space="preserve">Subject Property!C7</t>
  </si>
  <si>
    <t xml:space="preserve">Site / Land Size (SF)</t>
  </si>
  <si>
    <t xml:space="preserve">Subject Property!C6</t>
  </si>
  <si>
    <t xml:space="preserve">Site / Land Size (Acres)</t>
  </si>
  <si>
    <t xml:space="preserve">Subject Property!C6 / 43,560</t>
  </si>
  <si>
    <t xml:space="preserve">Number of Buildings</t>
  </si>
  <si>
    <t xml:space="preserve">Subject Property!C8</t>
  </si>
  <si>
    <t xml:space="preserve">Total Building SF</t>
  </si>
  <si>
    <t xml:space="preserve">Subject Property!C10 -- drives every $/SF on the report tables</t>
  </si>
  <si>
    <t xml:space="preserve">Total Units / Keys</t>
  </si>
  <si>
    <t xml:space="preserve">Subject Property row 20</t>
  </si>
  <si>
    <t xml:space="preserve">Land : Building Ratio</t>
  </si>
  <si>
    <t xml:space="preserve">WO!D12</t>
  </si>
  <si>
    <t xml:space="preserve">Year Built (YOC)</t>
  </si>
  <si>
    <t xml:space="preserve">Subject Property!C18</t>
  </si>
  <si>
    <t xml:space="preserve">Actual Age (years)</t>
  </si>
  <si>
    <t xml:space="preserve">Calculated from appeal year</t>
  </si>
  <si>
    <t xml:space="preserve">Quality</t>
  </si>
  <si>
    <t xml:space="preserve">Subject Property!C17</t>
  </si>
  <si>
    <t xml:space="preserve">Condition</t>
  </si>
  <si>
    <t xml:space="preserve">Subject Property!C16</t>
  </si>
  <si>
    <t xml:space="preserve">Functional Utility</t>
  </si>
  <si>
    <t xml:space="preserve">Typical</t>
  </si>
  <si>
    <t xml:space="preserve">WO!E10 · 'BAA Market'!F6</t>
  </si>
  <si>
    <t xml:space="preserve">Valuation Basis</t>
  </si>
  <si>
    <t xml:space="preserve">Per SF / Per Unit / Per Key</t>
  </si>
  <si>
    <t xml:space="preserve">3.  ASSESSOR'S VALUE UNDER APPEAL</t>
  </si>
  <si>
    <t xml:space="preserve">Assessor's Actual Value — Land</t>
  </si>
  <si>
    <t xml:space="preserve">From the NOV</t>
  </si>
  <si>
    <t xml:space="preserve">Assessor's Actual Value — Improvements</t>
  </si>
  <si>
    <t xml:space="preserve">Assessor's Total Actual Value</t>
  </si>
  <si>
    <t xml:space="preserve">WO!H10 — the value being appealed</t>
  </si>
  <si>
    <t xml:space="preserve">Assessor's Value per SF</t>
  </si>
  <si>
    <t xml:space="preserve">WO!H9</t>
  </si>
  <si>
    <t xml:space="preserve">Prior Year Actual Value</t>
  </si>
  <si>
    <t xml:space="preserve">Trend context</t>
  </si>
  <si>
    <t xml:space="preserve">Change from Prior Year</t>
  </si>
  <si>
    <t xml:space="preserve">Calculated</t>
  </si>
  <si>
    <t xml:space="preserve">Assessment Rate</t>
  </si>
  <si>
    <t xml:space="preserve">Colorado commercial rate for the cycle</t>
  </si>
  <si>
    <t xml:space="preserve">Assessed Value</t>
  </si>
  <si>
    <t xml:space="preserve">Mill Levy</t>
  </si>
  <si>
    <t xml:space="preserve">Tax district levy</t>
  </si>
  <si>
    <t xml:space="preserve">Estimated Annual Taxes</t>
  </si>
  <si>
    <t xml:space="preserve">4.  MARKET INDICATORS</t>
  </si>
  <si>
    <t xml:space="preserve">Market Rent ($/SF/year)</t>
  </si>
  <si>
    <t xml:space="preserve">WO!F8 · BOCC!I21</t>
  </si>
  <si>
    <t xml:space="preserve">Vacancy Rate</t>
  </si>
  <si>
    <t xml:space="preserve">WO!F9 · BOCC!J21</t>
  </si>
  <si>
    <t xml:space="preserve">Expense Ratio</t>
  </si>
  <si>
    <t xml:space="preserve">WO!F10 · BOCC!K21</t>
  </si>
  <si>
    <t xml:space="preserve">Last Sale Date</t>
  </si>
  <si>
    <t xml:space="preserve">WO!G9 · 'BAA Market'!C7</t>
  </si>
  <si>
    <t xml:space="preserve">Last Sale Price</t>
  </si>
  <si>
    <t xml:space="preserve">WO!G10 · 'BAA Market'!D4</t>
  </si>
  <si>
    <t xml:space="preserve">Last Sale Price per SF</t>
  </si>
  <si>
    <t xml:space="preserve">'BAA Market'!D5</t>
  </si>
  <si>
    <t xml:space="preserve">Reception Number</t>
  </si>
  <si>
    <t xml:space="preserve">'BAA Market'!C6</t>
  </si>
  <si>
    <t xml:space="preserve">Grantor</t>
  </si>
  <si>
    <t xml:space="preserve">76 Commerce Center 4 LLC</t>
  </si>
  <si>
    <t xml:space="preserve">'BAA Market'!C4</t>
  </si>
  <si>
    <t xml:space="preserve">Grantee</t>
  </si>
  <si>
    <t xml:space="preserve">I-76 CC Building Four LLC</t>
  </si>
  <si>
    <t xml:space="preserve">'BAA Market'!C5</t>
  </si>
  <si>
    <t xml:space="preserve">5.  VALUE CONCLUSION</t>
  </si>
  <si>
    <t xml:space="preserve">Concluded Value (rounded)</t>
  </si>
  <si>
    <t xml:space="preserve">Reconciliation!C17</t>
  </si>
  <si>
    <t xml:space="preserve">Concluded Value per SF</t>
  </si>
  <si>
    <t xml:space="preserve">Reconciliation!C18</t>
  </si>
  <si>
    <t xml:space="preserve">Requested Reduction</t>
  </si>
  <si>
    <t xml:space="preserve">Assessor's value less the concluded value</t>
  </si>
  <si>
    <t xml:space="preserve">Reduction %</t>
  </si>
  <si>
    <t xml:space="preserve">6.  HOW THIS TAB IS USED</t>
  </si>
  <si>
    <t xml:space="preserve">Every cream cell above publishes a workbook name (shown as PI_ plus the field). To point a form at one, put a formula such as  =PI_Account  in that cell - the value then follows this tab. The 'Where it is used' column lists the cells each field belongs in. OCC Code (row 24) is the master entry: Property Type, the Subject Property tab, the Cost Approach and the Property Tables tab all read from it.</t>
  </si>
  <si>
    <t xml:space="preserve">Physical characteristics - address, size, number of buildings, year built, quality and condition - are still entered on the Subject Property tab and appear above in gray so this page reads as a complete summary. Do not retype them here.</t>
  </si>
  <si>
    <t xml:space="preserve">EXECUTIVE SUMMARY</t>
  </si>
  <si>
    <t xml:space="preserve">Account Number</t>
  </si>
  <si>
    <t xml:space="preserve">Address</t>
  </si>
  <si>
    <t xml:space="preserve">City, State</t>
  </si>
  <si>
    <t xml:space="preserve">Effective Date</t>
  </si>
  <si>
    <t xml:space="preserve">Report Date</t>
  </si>
  <si>
    <t xml:space="preserve">Property Type</t>
  </si>
  <si>
    <t xml:space="preserve">Property Size</t>
  </si>
  <si>
    <t xml:space="preserve">GBA</t>
  </si>
  <si>
    <t xml:space="preserve">Year Built/Condition</t>
  </si>
  <si>
    <t xml:space="preserve">Site Size (SF)</t>
  </si>
  <si>
    <t xml:space="preserve">Property Rights Appraised</t>
  </si>
  <si>
    <t xml:space="preserve">Fee Simple</t>
  </si>
  <si>
    <t xml:space="preserve">Assumed Occupancy</t>
  </si>
  <si>
    <t xml:space="preserve">PETITION SCENARIO</t>
  </si>
  <si>
    <t xml:space="preserve">$</t>
  </si>
  <si>
    <t xml:space="preserve">$/SF</t>
  </si>
  <si>
    <t xml:space="preserve">Assessor's Assigned Value</t>
  </si>
  <si>
    <t xml:space="preserve">Petitioner's Requested Value</t>
  </si>
  <si>
    <t xml:space="preserve">APPRAISAL INFORMATION</t>
  </si>
  <si>
    <t xml:space="preserve">Intended User</t>
  </si>
  <si>
    <t xml:space="preserve">Adams County Board of Equalization, Adams County Attorney, Colorado Board of Assessment Appeals</t>
  </si>
  <si>
    <t xml:space="preserve">4430 South Adams County Parkway, Suite C5000B</t>
  </si>
  <si>
    <t xml:space="preserve">Brighton, CO  80601</t>
  </si>
  <si>
    <t xml:space="preserve">Intended User(s)</t>
  </si>
  <si>
    <t xml:space="preserve">Intended Use</t>
  </si>
  <si>
    <t xml:space="preserve">Aid in tax appeal decision</t>
  </si>
  <si>
    <t xml:space="preserve">Values Concluded</t>
  </si>
  <si>
    <t xml:space="preserve">Retrospective Market Value</t>
  </si>
  <si>
    <t xml:space="preserve">Property Rights Appraised / Premise</t>
  </si>
  <si>
    <t xml:space="preserve">Premise Summary</t>
  </si>
  <si>
    <t xml:space="preserve">Date of Inspection</t>
  </si>
  <si>
    <t xml:space="preserve">Marketing Time</t>
  </si>
  <si>
    <t xml:space="preserve">12 months</t>
  </si>
  <si>
    <t xml:space="preserve">Exposure Time</t>
  </si>
  <si>
    <t xml:space="preserve">Owner of Record</t>
  </si>
  <si>
    <t xml:space="preserve">Property Contact(s)</t>
  </si>
  <si>
    <t xml:space="preserve">Most Probable Purchaser</t>
  </si>
  <si>
    <t xml:space="preserve">Investor</t>
  </si>
  <si>
    <t xml:space="preserve">Highest and Best Use</t>
  </si>
  <si>
    <t xml:space="preserve">If Vacant</t>
  </si>
  <si>
    <t xml:space="preserve">Industrial Development</t>
  </si>
  <si>
    <t xml:space="preserve">As Improved</t>
  </si>
  <si>
    <t xml:space="preserve">As currently developed</t>
  </si>
  <si>
    <t xml:space="preserve">SCOPE OF THE INVESTIGATION</t>
  </si>
  <si>
    <t xml:space="preserve">General and Market Data Analyzed</t>
  </si>
  <si>
    <t xml:space="preserve">§  Regional economic data and trends</t>
  </si>
  <si>
    <t xml:space="preserve">§  Market analysis data specific to the subject property type</t>
  </si>
  <si>
    <t xml:space="preserve">§  Published survey data</t>
  </si>
  <si>
    <t xml:space="preserve">§  Neighborhood demographic data</t>
  </si>
  <si>
    <t xml:space="preserve">§  Comparable cost, sale, rental, expense, and capitalization rate data</t>
  </si>
  <si>
    <t xml:space="preserve">§  Floodplain status</t>
  </si>
  <si>
    <t xml:space="preserve">§  Zoning information</t>
  </si>
  <si>
    <t xml:space="preserve">§  Assessor's information</t>
  </si>
  <si>
    <t xml:space="preserve">§  Interviewed professionals knowledgeable about the subject's property type and market</t>
  </si>
  <si>
    <t xml:space="preserve">Inspection Details</t>
  </si>
  <si>
    <t xml:space="preserve">The interior and exterior of the subject was inspected.</t>
  </si>
  <si>
    <t xml:space="preserve">Data Sources</t>
  </si>
  <si>
    <t xml:space="preserve">Site Size</t>
  </si>
  <si>
    <t xml:space="preserve">Adams County Assessor Records, Appraiser Measurement</t>
  </si>
  <si>
    <t xml:space="preserve">Building Size</t>
  </si>
  <si>
    <t xml:space="preserve">Zoning information</t>
  </si>
  <si>
    <t xml:space="preserve">Adams County Planning Department</t>
  </si>
  <si>
    <t xml:space="preserve">Flood Status</t>
  </si>
  <si>
    <t xml:space="preserve">FEMA Flood Map Service Center</t>
  </si>
  <si>
    <t xml:space="preserve">Demographics</t>
  </si>
  <si>
    <t xml:space="preserve">CoStar Market Reports</t>
  </si>
  <si>
    <t xml:space="preserve">Land Sales</t>
  </si>
  <si>
    <t xml:space="preserve">CoStar, MLS, Adams County Sales Data, Local Brokers</t>
  </si>
  <si>
    <t xml:space="preserve">Cost Estimate Data</t>
  </si>
  <si>
    <t xml:space="preserve">Marshall &amp; Swift Cost Estimator</t>
  </si>
  <si>
    <t xml:space="preserve">Comparable Improved Sales</t>
  </si>
  <si>
    <t xml:space="preserve">Comparable Improved Rents</t>
  </si>
  <si>
    <t xml:space="preserve">CoStar, MLS, Adams County Lease Data, Local Brokers</t>
  </si>
  <si>
    <t xml:space="preserve">Property Specific Data Requested and Received</t>
  </si>
  <si>
    <t xml:space="preserve">Lease, Lease Addendum</t>
  </si>
  <si>
    <t xml:space="preserve">Estimated financial analysis</t>
  </si>
  <si>
    <t xml:space="preserve">Property Expenses (2019, 2020)</t>
  </si>
  <si>
    <t xml:space="preserve">Data Requested, but not Provided</t>
  </si>
  <si>
    <t xml:space="preserve">Rent Roll</t>
  </si>
  <si>
    <t xml:space="preserve">Building Plans</t>
  </si>
  <si>
    <t xml:space="preserve">Environmental survey</t>
  </si>
  <si>
    <t xml:space="preserve">ALTA Survey</t>
  </si>
  <si>
    <t xml:space="preserve">EXTRAORDINARY ASSUMPTION(S) AND HYPOTHETICAL CONDITION(S)</t>
  </si>
  <si>
    <t xml:space="preserve">The values presented within this appraisal report are subject to the extraordinary assumptions and hypothetical conditions listed below. Pursuant to the requirement within Uniform Standards of Professional Appraisal Practice Standards, it is stated here that the use of any extraordinary assumptions might have affected the assignment results.</t>
  </si>
  <si>
    <t xml:space="preserve">Extraordinary Assumption(s)</t>
  </si>
  <si>
    <t xml:space="preserve">This appraisal employs no extraordinary assumptions.</t>
  </si>
  <si>
    <t xml:space="preserve">Hypothetical Condition(s)</t>
  </si>
  <si>
    <t xml:space="preserve">This appraisal employs no hypothetical conditions.</t>
  </si>
  <si>
    <t xml:space="preserve">PROPERTY OVERVIEW</t>
  </si>
  <si>
    <t xml:space="preserve">Property Name</t>
  </si>
  <si>
    <t xml:space="preserve">Location</t>
  </si>
  <si>
    <t xml:space="preserve">Property Description</t>
  </si>
  <si>
    <t xml:space="preserve">and</t>
  </si>
  <si>
    <t xml:space="preserve">Account Number(s)</t>
  </si>
  <si>
    <t xml:space="preserve">Note:</t>
  </si>
  <si>
    <t xml:space="preserve">Census Tract No.</t>
  </si>
  <si>
    <t xml:space="preserve">Legal Description</t>
  </si>
  <si>
    <t xml:space="preserve">Site Area</t>
  </si>
  <si>
    <t xml:space="preserve">Primary Site</t>
  </si>
  <si>
    <t xml:space="preserve">Excess Land</t>
  </si>
  <si>
    <t xml:space="preserve">Surplus Land</t>
  </si>
  <si>
    <t xml:space="preserve">Total</t>
  </si>
  <si>
    <t xml:space="preserve">Year Built</t>
  </si>
  <si>
    <t xml:space="preserve">Year Renovated</t>
  </si>
  <si>
    <t xml:space="preserve">Type of Construction</t>
  </si>
  <si>
    <t xml:space="preserve">Gross Leasable Area (SF)</t>
  </si>
  <si>
    <t xml:space="preserve">Net Rentable Area (SF)</t>
  </si>
  <si>
    <t xml:space="preserve">Total Number of Units</t>
  </si>
  <si>
    <t xml:space="preserve">Total Number of Tenants</t>
  </si>
  <si>
    <t xml:space="preserve">Overall Condition</t>
  </si>
  <si>
    <t xml:space="preserve">Overall Quality</t>
  </si>
  <si>
    <t xml:space="preserve">Overall Design/Functionality</t>
  </si>
  <si>
    <t xml:space="preserve">APPEAL HISTORY</t>
  </si>
  <si>
    <t xml:space="preserve">Docket #:</t>
  </si>
  <si>
    <t xml:space="preserve">Land</t>
  </si>
  <si>
    <t xml:space="preserve">Improvements</t>
  </si>
  <si>
    <t xml:space="preserve">Petitioners Estimated Value</t>
  </si>
  <si>
    <t xml:space="preserve">Adjustment by Assessor</t>
  </si>
  <si>
    <t xml:space="preserve">BOE Assigned Value</t>
  </si>
  <si>
    <t xml:space="preserve">BOE #</t>
  </si>
  <si>
    <t xml:space="preserve">Adjustment by BOE</t>
  </si>
  <si>
    <t xml:space="preserve">Current Actual Value</t>
  </si>
  <si>
    <t xml:space="preserve">SUBJECT SALE HISTORY</t>
  </si>
  <si>
    <t xml:space="preserve">Status</t>
  </si>
  <si>
    <t xml:space="preserve">Price</t>
  </si>
  <si>
    <t xml:space="preserve">Price PSF</t>
  </si>
  <si>
    <t xml:space="preserve">Subject Listed for Sale/Price</t>
  </si>
  <si>
    <t xml:space="preserve">Subject Under Contract/Price</t>
  </si>
  <si>
    <t xml:space="preserve">Recent Sale</t>
  </si>
  <si>
    <t xml:space="preserve">SUBJECT PROPERTY — MASTER INPUT</t>
  </si>
  <si>
    <t xml:space="preserve">Enter property-level fields once (rows 4-9). Then set Number of Buildings and fill one column per building in the matrix below (Building 1 = column C). Building 1 is the PRIMARY building and drives the WO comp-matching and appeal tabs. All building sizes roll up into Total Building SF, which feeds the land-to-building ratio and Cost Approach.</t>
  </si>
  <si>
    <t xml:space="preserve">22600 Interstate 76</t>
  </si>
  <si>
    <t xml:space="preserve">BRIGHTON</t>
  </si>
  <si>
    <t xml:space="preserve">PUD-Bri</t>
  </si>
  <si>
    <t xml:space="preserve">Number of Buildings (1-10)</t>
  </si>
  <si>
    <t xml:space="preserve">Size Match Tolerance (+/-)</t>
  </si>
  <si>
    <t xml:space="preserve">Total Building SF (all buildings)</t>
  </si>
  <si>
    <t xml:space="preserve">BUILDING CHARACTERISTICS  (one column per building; fill only as many as Number of Buildings)</t>
  </si>
  <si>
    <t xml:space="preserve">Building 1</t>
  </si>
  <si>
    <t xml:space="preserve">Building 2</t>
  </si>
  <si>
    <t xml:space="preserve">Building 3</t>
  </si>
  <si>
    <t xml:space="preserve">Building 4</t>
  </si>
  <si>
    <t xml:space="preserve">Building 5</t>
  </si>
  <si>
    <t xml:space="preserve">Building 6</t>
  </si>
  <si>
    <t xml:space="preserve">Building 7</t>
  </si>
  <si>
    <t xml:space="preserve">Building 8</t>
  </si>
  <si>
    <t xml:space="preserve">Building 9</t>
  </si>
  <si>
    <t xml:space="preserve">Building 10</t>
  </si>
  <si>
    <t xml:space="preserve">OCC Code (from Property Info)</t>
  </si>
  <si>
    <t xml:space="preserve">Code (parsed, auto)</t>
  </si>
  <si>
    <t xml:space="preserve">Building Size (SF)</t>
  </si>
  <si>
    <t xml:space="preserve">Average</t>
  </si>
  <si>
    <t xml:space="preserve">Actual Age (yrs, auto)</t>
  </si>
  <si>
    <t xml:space="preserve">Units / Keys (# - for MF / hotel)</t>
  </si>
  <si>
    <t xml:space="preserve">AUTOMATED COMP MATCHING</t>
  </si>
  <si>
    <t xml:space="preserve">Matching Sales Comps found:</t>
  </si>
  <si>
    <t xml:space="preserve">-&gt; The closest matches auto-populate WO, BAA Market, BOCC, and Appeal (Best Match #1 = closest by size to Building 1). This count is for reference.</t>
  </si>
  <si>
    <t xml:space="preserve">Matching Expense Comps found:</t>
  </si>
  <si>
    <t xml:space="preserve">-&gt; The 5 closest matches auto-populate the Top Expense Comps table below.</t>
  </si>
  <si>
    <t xml:space="preserve">Matching Rent Comps (Income tab):</t>
  </si>
  <si>
    <t xml:space="preserve">Not yet automated</t>
  </si>
  <si>
    <t xml:space="preserve">Land Comps:</t>
  </si>
  <si>
    <t xml:space="preserve">Pending</t>
  </si>
  <si>
    <t xml:space="preserve">Top Expense Comps (auto, best match first)</t>
  </si>
  <si>
    <t xml:space="preserve">Bldg SF</t>
  </si>
  <si>
    <t xml:space="preserve">Year</t>
  </si>
  <si>
    <t xml:space="preserve">NOI ($/SF)</t>
  </si>
  <si>
    <t xml:space="preserve">COMP PICKER -- browse all ranked matches, then type the rank # into WO / BAA Market / BOCC / Appeal</t>
  </si>
  <si>
    <t xml:space="preserve">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</si>
  <si>
    <t xml:space="preserve">Top Sales Comps (auto-ranked by size closeness)</t>
  </si>
  <si>
    <t xml:space="preserve">Rank</t>
  </si>
  <si>
    <t xml:space="preserve">Sale Price</t>
  </si>
  <si>
    <t xml:space="preserve">$ / SF</t>
  </si>
  <si>
    <t xml:space="preserve">NRA (SF)</t>
  </si>
  <si>
    <t xml:space="preserve">YOC</t>
  </si>
  <si>
    <t xml:space="preserve">Sale Date</t>
  </si>
  <si>
    <t xml:space="preserve">Parcel #</t>
  </si>
  <si>
    <t xml:space="preserve">Stats (of the matches actually found above)</t>
  </si>
  <si>
    <t xml:space="preserve">Count</t>
  </si>
  <si>
    <t xml:space="preserve">Min</t>
  </si>
  <si>
    <t xml:space="preserve">Max</t>
  </si>
  <si>
    <t xml:space="preserve">Range (Max-Min)</t>
  </si>
  <si>
    <t xml:space="preserve">Median</t>
  </si>
  <si>
    <t xml:space="preserve">Std Dev</t>
  </si>
  <si>
    <t xml:space="preserve">Top Expense Comps (auto-ranked by size closeness)</t>
  </si>
  <si>
    <t xml:space="preserve">Click on the tab at the bottom to switch between worksheets</t>
  </si>
  <si>
    <t xml:space="preserve">To print all sheets, click printer icon on toolbar.</t>
  </si>
  <si>
    <t xml:space="preserve">The Appeal worksheet is now a native Excel form: type directly into the yellow fields (account, protest number, petitioner, remarks, conclusions). The property address and comparable grids fill automatically from the Subject Property tab. The old Word-form buttons have been removed.</t>
  </si>
  <si>
    <t xml:space="preserve">Click desired sheet to work.</t>
  </si>
  <si>
    <t xml:space="preserve">y</t>
  </si>
  <si>
    <t xml:space="preserve">MARKET SALES &amp; RENT COMPARABLES</t>
  </si>
  <si>
    <t xml:space="preserve">PROTEST #</t>
  </si>
  <si>
    <t xml:space="preserve">R0186704</t>
  </si>
  <si>
    <t xml:space="preserve">SUBJECT  PROPERTY  INFORMATION</t>
  </si>
  <si>
    <t xml:space="preserve">Ngbh</t>
  </si>
  <si>
    <t xml:space="preserve">Land Area </t>
  </si>
  <si>
    <t xml:space="preserve">Rent / Sq Ft</t>
  </si>
  <si>
    <t xml:space="preserve">Subject Sale Information</t>
  </si>
  <si>
    <t xml:space="preserve">Zone</t>
  </si>
  <si>
    <t xml:space="preserve">L : B  Ratio </t>
  </si>
  <si>
    <t xml:space="preserve">Physical Condition</t>
  </si>
  <si>
    <t xml:space="preserve">Vacancy</t>
  </si>
  <si>
    <t xml:space="preserve">Assigned Value / Sq Ft</t>
  </si>
  <si>
    <t xml:space="preserve">Building Area </t>
  </si>
  <si>
    <t xml:space="preserve">Assigned Value</t>
  </si>
  <si>
    <t xml:space="preserve">MARKET  SALE  COMPARABLES</t>
  </si>
  <si>
    <t xml:space="preserve">Sale Date </t>
  </si>
  <si>
    <t xml:space="preserve">Adj Sale Price / Sq Ft</t>
  </si>
  <si>
    <t xml:space="preserve">Sale Price </t>
  </si>
  <si>
    <t xml:space="preserve">Net Adjustments</t>
  </si>
  <si>
    <t xml:space="preserve">Sale Remarks</t>
  </si>
  <si>
    <t xml:space="preserve">#</t>
  </si>
  <si>
    <t xml:space="preserve">Adjusted Sale Price </t>
  </si>
  <si>
    <t xml:space="preserve">Adj Value of Comp / Sq Ft</t>
  </si>
  <si>
    <t xml:space="preserve">Best Match #1</t>
  </si>
  <si>
    <t xml:space="preserve">Best Match #2</t>
  </si>
  <si>
    <t xml:space="preserve">Best Match #3</t>
  </si>
  <si>
    <t xml:space="preserve">MARKET SALE REMARKS</t>
  </si>
  <si>
    <t xml:space="preserve">RENT  COMPARABLE  INFORMATION</t>
  </si>
  <si>
    <t xml:space="preserve"> Source of Information</t>
  </si>
  <si>
    <t xml:space="preserve">  Location</t>
  </si>
  <si>
    <t xml:space="preserve">Net Adjustments </t>
  </si>
  <si>
    <t xml:space="preserve"> Property Type</t>
  </si>
  <si>
    <t xml:space="preserve">Adjusted Rent </t>
  </si>
  <si>
    <t xml:space="preserve">1</t>
  </si>
  <si>
    <t xml:space="preserve">2</t>
  </si>
  <si>
    <t xml:space="preserve">3</t>
  </si>
  <si>
    <t xml:space="preserve">RENT COMPARABLE REMARKS</t>
  </si>
  <si>
    <t xml:space="preserve">IMPROVED MARKET APPROACH</t>
  </si>
  <si>
    <t xml:space="preserve">SUBJECT</t>
  </si>
  <si>
    <t xml:space="preserve">Age</t>
  </si>
  <si>
    <t xml:space="preserve">Value of the</t>
  </si>
  <si>
    <t xml:space="preserve">Sale Price  / SF</t>
  </si>
  <si>
    <t xml:space="preserve">Land Size</t>
  </si>
  <si>
    <t xml:space="preserve"> Subject/SF</t>
  </si>
  <si>
    <t xml:space="preserve">PP/Time/Mkt Cond</t>
  </si>
  <si>
    <t xml:space="preserve">L : B  Ratio</t>
  </si>
  <si>
    <t xml:space="preserve">Phy./Funct Rating</t>
  </si>
  <si>
    <t xml:space="preserve">Adj S P  / SF</t>
  </si>
  <si>
    <t xml:space="preserve">Comments</t>
  </si>
  <si>
    <t xml:space="preserve">of the Subject</t>
  </si>
  <si>
    <t xml:space="preserve">COMPARABLE SALE PROPERTIES</t>
  </si>
  <si>
    <t xml:space="preserve">Indicated Value</t>
  </si>
  <si>
    <t xml:space="preserve">Adjusted</t>
  </si>
  <si>
    <t xml:space="preserve">of the Subject/SF</t>
  </si>
  <si>
    <t xml:space="preserve">PP/Time/Mkt Cond Adj</t>
  </si>
  <si>
    <t xml:space="preserve">Phy/Funct Rating</t>
  </si>
  <si>
    <t xml:space="preserve">Net</t>
  </si>
  <si>
    <t xml:space="preserve">Sale</t>
  </si>
  <si>
    <t xml:space="preserve">Building Size/Keys</t>
  </si>
  <si>
    <t xml:space="preserve">Adj.</t>
  </si>
  <si>
    <t xml:space="preserve">Price/SF</t>
  </si>
  <si>
    <t xml:space="preserve">Best Match #4</t>
  </si>
  <si>
    <t xml:space="preserve">RENT COMPARABLES</t>
  </si>
  <si>
    <t xml:space="preserve">Schedule Number</t>
  </si>
  <si>
    <t xml:space="preserve">Rent/Sq.Ft.</t>
  </si>
  <si>
    <t xml:space="preserve">Expense / Sq. Ft.</t>
  </si>
  <si>
    <t xml:space="preserve">L:B Ratio</t>
  </si>
  <si>
    <t xml:space="preserve">Other</t>
  </si>
  <si>
    <t xml:space="preserve">COMPARABLE RENTAL PROPERTIES</t>
  </si>
  <si>
    <t xml:space="preserve">OFFICE</t>
  </si>
  <si>
    <t xml:space="preserve">Source</t>
  </si>
  <si>
    <t xml:space="preserve">Adjustments</t>
  </si>
  <si>
    <t xml:space="preserve">#1</t>
  </si>
  <si>
    <t xml:space="preserve">#2</t>
  </si>
  <si>
    <t xml:space="preserve">#3</t>
  </si>
  <si>
    <t xml:space="preserve">#4</t>
  </si>
  <si>
    <t xml:space="preserve">APPEAL WORKSHEET</t>
  </si>
  <si>
    <t xml:space="preserve">ACCOUNT / SCHEDULE NUMBER</t>
  </si>
  <si>
    <t xml:space="preserve">PROPERTY ADDRESS</t>
  </si>
  <si>
    <t xml:space="preserve">PROTEST NUMBER</t>
  </si>
  <si>
    <t xml:space="preserve">PETITIONER'S NAME</t>
  </si>
  <si>
    <t xml:space="preserve">ASSESSOR'S REMARKS:</t>
  </si>
  <si>
    <t xml:space="preserve">VALUE CONCLUSIONS:</t>
  </si>
  <si>
    <t xml:space="preserve">BASIS OF RECOMMENDATION / HEARING NOTES:</t>
  </si>
  <si>
    <t xml:space="preserve">VALUE REVIEW</t>
  </si>
  <si>
    <t xml:space="preserve">Value Prior To Review</t>
  </si>
  <si>
    <t xml:space="preserve">Recommended Value</t>
  </si>
  <si>
    <t xml:space="preserve">Value Reduction</t>
  </si>
  <si>
    <t xml:space="preserve">Imp(s)</t>
  </si>
  <si>
    <t xml:space="preserve">Appraiser</t>
  </si>
  <si>
    <t xml:space="preserve">Supervisor</t>
  </si>
  <si>
    <t xml:space="preserve">Deputy Assessor</t>
  </si>
  <si>
    <t xml:space="preserve">MARKET RENT COMPARABLES</t>
  </si>
  <si>
    <t xml:space="preserve">BUILDING</t>
  </si>
  <si>
    <t xml:space="preserve">EXP</t>
  </si>
  <si>
    <t xml:space="preserve">MAP</t>
  </si>
  <si>
    <t xml:space="preserve">USE TYPE</t>
  </si>
  <si>
    <t xml:space="preserve">ZONE</t>
  </si>
  <si>
    <t xml:space="preserve">SQ FT</t>
  </si>
  <si>
    <t xml:space="preserve">RENT</t>
  </si>
  <si>
    <t xml:space="preserve">VACANCY</t>
  </si>
  <si>
    <t xml:space="preserve">RATIO</t>
  </si>
  <si>
    <t xml:space="preserve">SUBJECT PROPERTY</t>
  </si>
  <si>
    <t xml:space="preserve">1)</t>
  </si>
  <si>
    <t xml:space="preserve">2)</t>
  </si>
  <si>
    <t xml:space="preserve">3)</t>
  </si>
  <si>
    <t xml:space="preserve">MARKET SALE COMPARABLES</t>
  </si>
  <si>
    <t xml:space="preserve">SALE</t>
  </si>
  <si>
    <t xml:space="preserve">S.P./</t>
  </si>
  <si>
    <t xml:space="preserve">SCHEDULE NUMBER</t>
  </si>
  <si>
    <t xml:space="preserve">DATE</t>
  </si>
  <si>
    <t xml:space="preserve">PRICE</t>
  </si>
  <si>
    <t xml:space="preserve">Best Match 1)</t>
  </si>
  <si>
    <t xml:space="preserve">Best Match 2)</t>
  </si>
  <si>
    <t xml:space="preserve">Best Match 3)</t>
  </si>
  <si>
    <t xml:space="preserve">2025 APPEAL WORKSHEET</t>
  </si>
  <si>
    <t xml:space="preserve">ACCOUNT NUMBER</t>
  </si>
  <si>
    <t xml:space="preserve">VALUE ALLOCATION OF SUBJECT PROPERTY:</t>
  </si>
  <si>
    <t xml:space="preserve">LAND VALUE:</t>
  </si>
  <si>
    <t xml:space="preserve">NO CHANGE</t>
  </si>
  <si>
    <t xml:space="preserve">REDUCTION</t>
  </si>
  <si>
    <t xml:space="preserve">IMPROVEMENT VALUE:</t>
  </si>
  <si>
    <t xml:space="preserve">TOTAL VALUE:</t>
  </si>
  <si>
    <t xml:space="preserve">MARSHALL AND SWIFT (MVS) REFERENCE ENGINE -- June 2024 Ed. (Sec.99/98 multiplier inserts dated Jan 2025). COMPLETE occupancy coverage: every Class/Quality cost table in calculator Sections 11-18.</t>
  </si>
  <si>
    <t xml:space="preserve">ALL WORKING INPUTS LIVE ON THE 'COST APPROACH' TAB -- this sheet is locked MVS reference/lookup data only. Go to Cost Approach to value a property.</t>
  </si>
  <si>
    <t xml:space="preserve">CURRENT RESULT  (mirrors the 'Cost Approach' tab)</t>
  </si>
  <si>
    <t xml:space="preserve">Total Replacement Cost New (RCN)</t>
  </si>
  <si>
    <t xml:space="preserve">Depreciated Value of Improvements</t>
  </si>
  <si>
    <t xml:space="preserve">Plus: Land Value</t>
  </si>
  <si>
    <t xml:space="preserve">INDICATED VALUE BY COST APPROACH</t>
  </si>
  <si>
    <t xml:space="preserve">MVS QUICK-REFERENCE TABLES -- DO NOT EDIT  (sourced &amp;amp; verified from the licensed MVS June 2024 edition; Sec.99/98 multiplier inserts dated Jan 2025)</t>
  </si>
  <si>
    <t xml:space="preserve">REFERENCE 1 -- Class of Construction Indicators (MVS Section 1, pp.4-9)</t>
  </si>
  <si>
    <t xml:space="preserve">Class</t>
  </si>
  <si>
    <t xml:space="preserve">Frame</t>
  </si>
  <si>
    <t xml:space="preserve">Floor</t>
  </si>
  <si>
    <t xml:space="preserve">Roof</t>
  </si>
  <si>
    <t xml:space="preserve">Walls</t>
  </si>
  <si>
    <t xml:space="preserve">A</t>
  </si>
  <si>
    <t xml:space="preserve">Structural steel columns and beams, fireproofed with masonry, concrete, plaster, or other noncombustible material.</t>
  </si>
  <si>
    <t xml:space="preserve">Concrete or concrete on steel deck, fireproofed.</t>
  </si>
  <si>
    <t xml:space="preserve">Formed concrete, precast slabs, concrete or gypsum on steel deck, fireproofed.</t>
  </si>
  <si>
    <t xml:space="preserve">Nonbearing curtain walls, masonry, concrete, metal and glass panels, stone, steel studs and masonry, tile or stucco, etc.</t>
  </si>
  <si>
    <t xml:space="preserve">B</t>
  </si>
  <si>
    <t xml:space="preserve">Reinforced concrete columns and beams.</t>
  </si>
  <si>
    <t xml:space="preserve">C</t>
  </si>
  <si>
    <t xml:space="preserve">Masonry or concrete load-bearing walls with or without pilasters. Masonry, concrete or curtain walls with full or partial open steel, wood, or concrete frame.</t>
  </si>
  <si>
    <t xml:space="preserve">Wood or concrete plank on wood or steel floor joists, or concrete slab on grade.</t>
  </si>
  <si>
    <t xml:space="preserve">Wood or steel joists with wood or steel deck. Concrete plank.</t>
  </si>
  <si>
    <t xml:space="preserve">Brick, concrete block, or tile masonry, tilt-up, formed concrete, nonbearing curtain walls.</t>
  </si>
  <si>
    <t xml:space="preserve">D</t>
  </si>
  <si>
    <t xml:space="preserve">Wood or steel studs in bearing wall, full or partial open wood or steel frame, primarily combustible construction.</t>
  </si>
  <si>
    <t xml:space="preserve">Wood or steel floor joists or concrete slab on grade.</t>
  </si>
  <si>
    <t xml:space="preserve">Wood or steel joists with wood or steel deck.</t>
  </si>
  <si>
    <t xml:space="preserve">Almost any material except bearing or curtain walls of solid masonry or concrete. Generally combustible construction.</t>
  </si>
  <si>
    <t xml:space="preserve">S</t>
  </si>
  <si>
    <t xml:space="preserve">Metal bents, columns, girders, purlins and girts without fireproofing, incombustible construction.</t>
  </si>
  <si>
    <t xml:space="preserve">Wood or steel deck on steel floor joists, or concrete slab on grade.</t>
  </si>
  <si>
    <t xml:space="preserve">Steel or wood deck on steel joists.</t>
  </si>
  <si>
    <t xml:space="preserve">Metal skin or sandwich panels. Generally incombustible.</t>
  </si>
  <si>
    <t xml:space="preserve">REFERENCE 2 -- Quality Tier Definitions (MVS Section 1, pp.10-12)</t>
  </si>
  <si>
    <t xml:space="preserve">Description</t>
  </si>
  <si>
    <t xml:space="preserve">Low Cost</t>
  </si>
  <si>
    <t xml:space="preserve">Constructed to minimum code requirements, little regard for architectural appearance, minimum investment, little ornamentation, minimal/low-quality interior finish.</t>
  </si>
  <si>
    <t xml:space="preserve">Largest group of buildings constructed (~50% of all buildings). Designed for maximum economic potential without pride-of-ownership amenities. Good standard code construction, simple ornamentation and finishes.</t>
  </si>
  <si>
    <t xml:space="preserve">Good</t>
  </si>
  <si>
    <t xml:space="preserve">Designed for good appearance, comfort and convenience with an element of prestige. Higher-quality ornamental treatment, interiors designed for upper-class rentals, better lighting and mechanical work.</t>
  </si>
  <si>
    <t xml:space="preserve">Excellent</t>
  </si>
  <si>
    <t xml:space="preserve">Prestige buildings. Part of cost is attributable to pride of ownership. Expensive finishes and fixtures; built for established professionals/institutions or high-profile tenants.</t>
  </si>
  <si>
    <t xml:space="preserve">REFERENCE 3 -- Occupancy Base Cost Tables (Calculator Method, $/SF) -- every Class/Quality occupancy cost table in MVS calculator Sections 11-18</t>
  </si>
  <si>
    <t xml:space="preserve">Occupancy Name</t>
  </si>
  <si>
    <t xml:space="preserve">MVS Code</t>
  </si>
  <si>
    <t xml:space="preserve">Section</t>
  </si>
  <si>
    <t xml:space="preserve">Page</t>
  </si>
  <si>
    <t xml:space="preserve">Lookup Key</t>
  </si>
  <si>
    <t xml:space="preserve">Citation</t>
  </si>
  <si>
    <t xml:space="preserve">Homes For the Elderly</t>
  </si>
  <si>
    <t xml:space="preserve">330</t>
  </si>
  <si>
    <t xml:space="preserve">11</t>
  </si>
  <si>
    <t xml:space="preserve">13</t>
  </si>
  <si>
    <t xml:space="preserve">MVS Sec.11 p.13</t>
  </si>
  <si>
    <t xml:space="preserve">Dormitories</t>
  </si>
  <si>
    <t xml:space="preserve">321</t>
  </si>
  <si>
    <t xml:space="preserve">14</t>
  </si>
  <si>
    <t xml:space="preserve">MVS Sec.11 p.14</t>
  </si>
  <si>
    <t xml:space="preserve">Very Good</t>
  </si>
  <si>
    <t xml:space="preserve">Luxury Apartments (High-Rise)</t>
  </si>
  <si>
    <t xml:space="preserve">984</t>
  </si>
  <si>
    <t xml:space="preserve">15</t>
  </si>
  <si>
    <t xml:space="preserve">MVS Sec.11 p.15</t>
  </si>
  <si>
    <t xml:space="preserve">DMASVEN</t>
  </si>
  <si>
    <t xml:space="preserve">Shell Luxury Apartment Buildings</t>
  </si>
  <si>
    <t xml:space="preserve">777</t>
  </si>
  <si>
    <t xml:space="preserve">16</t>
  </si>
  <si>
    <t xml:space="preserve">MVS Sec.11 p.16</t>
  </si>
  <si>
    <t xml:space="preserve">17</t>
  </si>
  <si>
    <t xml:space="preserve">MVS Sec.11 p.17</t>
  </si>
  <si>
    <t xml:space="preserve">Apartments (High-Rise)</t>
  </si>
  <si>
    <t xml:space="preserve">300</t>
  </si>
  <si>
    <t xml:space="preserve">18</t>
  </si>
  <si>
    <t xml:space="preserve">MVS Sec.11 p.18</t>
  </si>
  <si>
    <t xml:space="preserve">CMILL</t>
  </si>
  <si>
    <t xml:space="preserve">City Clubs</t>
  </si>
  <si>
    <t xml:space="preserve">310</t>
  </si>
  <si>
    <t xml:space="preserve">19</t>
  </si>
  <si>
    <t xml:space="preserve">A-B</t>
  </si>
  <si>
    <t xml:space="preserve">MVS Sec.11 p.19</t>
  </si>
  <si>
    <t xml:space="preserve">Shell Apartment Buildings</t>
  </si>
  <si>
    <t xml:space="preserve">596</t>
  </si>
  <si>
    <t xml:space="preserve">20</t>
  </si>
  <si>
    <t xml:space="preserve">MVS Sec.11 p.20</t>
  </si>
  <si>
    <t xml:space="preserve">21</t>
  </si>
  <si>
    <t xml:space="preserve">MVS Sec.11 p.21</t>
  </si>
  <si>
    <t xml:space="preserve">Hotels, Limited Service</t>
  </si>
  <si>
    <t xml:space="preserve">595</t>
  </si>
  <si>
    <t xml:space="preserve">22</t>
  </si>
  <si>
    <t xml:space="preserve">MVS Sec.11 p.22</t>
  </si>
  <si>
    <t xml:space="preserve">Shell Hotels: Limited Service Buildings</t>
  </si>
  <si>
    <t xml:space="preserve">779</t>
  </si>
  <si>
    <t xml:space="preserve">23</t>
  </si>
  <si>
    <t xml:space="preserve">MVS Sec.11 p.23</t>
  </si>
  <si>
    <t xml:space="preserve">24</t>
  </si>
  <si>
    <t xml:space="preserve">MVS Sec.11 p.24</t>
  </si>
  <si>
    <t xml:space="preserve">Hotels, Full Service</t>
  </si>
  <si>
    <t xml:space="preserve">594</t>
  </si>
  <si>
    <t xml:space="preserve">25</t>
  </si>
  <si>
    <t xml:space="preserve">MVS Sec.11 p.25</t>
  </si>
  <si>
    <t xml:space="preserve">Shell Hotels: Full Service Buildings</t>
  </si>
  <si>
    <t xml:space="preserve">778</t>
  </si>
  <si>
    <t xml:space="preserve">26</t>
  </si>
  <si>
    <t xml:space="preserve">MVS Sec.11 p.26</t>
  </si>
  <si>
    <t xml:space="preserve">27</t>
  </si>
  <si>
    <t xml:space="preserve">MVS Sec.11 p.27</t>
  </si>
  <si>
    <t xml:space="preserve">Rooming Houses</t>
  </si>
  <si>
    <t xml:space="preserve">551</t>
  </si>
  <si>
    <t xml:space="preserve">28</t>
  </si>
  <si>
    <t xml:space="preserve">MVS Sec.11 p.28</t>
  </si>
  <si>
    <t xml:space="preserve">Fair</t>
  </si>
  <si>
    <t xml:space="preserve">Rectories</t>
  </si>
  <si>
    <t xml:space="preserve">348</t>
  </si>
  <si>
    <t xml:space="preserve">Fraternity Housing</t>
  </si>
  <si>
    <t xml:space="preserve">324</t>
  </si>
  <si>
    <t xml:space="preserve">Group Care Homes</t>
  </si>
  <si>
    <t xml:space="preserve">424</t>
  </si>
  <si>
    <t xml:space="preserve">29</t>
  </si>
  <si>
    <t xml:space="preserve">MVS Sec.11 p.29</t>
  </si>
  <si>
    <t xml:space="preserve">Recreational (Pool) Enclosures</t>
  </si>
  <si>
    <t xml:space="preserve">552</t>
  </si>
  <si>
    <t xml:space="preserve">DPOLE</t>
  </si>
  <si>
    <t xml:space="preserve">Cheap</t>
  </si>
  <si>
    <t xml:space="preserve">Clubhouses</t>
  </si>
  <si>
    <t xml:space="preserve">311</t>
  </si>
  <si>
    <t xml:space="preserve">30</t>
  </si>
  <si>
    <t xml:space="preserve">MVS Sec.11 p.30</t>
  </si>
  <si>
    <t xml:space="preserve">Senior (Clubhouse) Centers</t>
  </si>
  <si>
    <t xml:space="preserve">985</t>
  </si>
  <si>
    <t xml:space="preserve">Country Clubs</t>
  </si>
  <si>
    <t xml:space="preserve">314</t>
  </si>
  <si>
    <t xml:space="preserve">31</t>
  </si>
  <si>
    <t xml:space="preserve">MVS Sec.11 p.31</t>
  </si>
  <si>
    <t xml:space="preserve">Health Clubs (Spas)</t>
  </si>
  <si>
    <t xml:space="preserve">418</t>
  </si>
  <si>
    <t xml:space="preserve">Mortuaries / Funeral Homes</t>
  </si>
  <si>
    <t xml:space="preserve">342</t>
  </si>
  <si>
    <t xml:space="preserve">32</t>
  </si>
  <si>
    <t xml:space="preserve">MVS Sec.11 p.32</t>
  </si>
  <si>
    <t xml:space="preserve">High-Rise Row (Town) Houses</t>
  </si>
  <si>
    <t xml:space="preserve">177</t>
  </si>
  <si>
    <t xml:space="preserve">33</t>
  </si>
  <si>
    <t xml:space="preserve">MVS Sec.11 p.33</t>
  </si>
  <si>
    <t xml:space="preserve">Motels</t>
  </si>
  <si>
    <t xml:space="preserve">343</t>
  </si>
  <si>
    <t xml:space="preserve">12</t>
  </si>
  <si>
    <t xml:space="preserve">9</t>
  </si>
  <si>
    <t xml:space="preserve">MVS Sec.12 p.9</t>
  </si>
  <si>
    <t xml:space="preserve">Shell Motels</t>
  </si>
  <si>
    <t xml:space="preserve">780</t>
  </si>
  <si>
    <t xml:space="preserve">10</t>
  </si>
  <si>
    <t xml:space="preserve">MVS Sec.12 p.10</t>
  </si>
  <si>
    <t xml:space="preserve">Extended-Stay Motels</t>
  </si>
  <si>
    <t xml:space="preserve">588</t>
  </si>
  <si>
    <t xml:space="preserve">MVS Sec.12 p.11</t>
  </si>
  <si>
    <t xml:space="preserve">Shell Extended Stay - Motels</t>
  </si>
  <si>
    <t xml:space="preserve">781</t>
  </si>
  <si>
    <t xml:space="preserve">MVS Sec.12 p.12</t>
  </si>
  <si>
    <t xml:space="preserve">Office-Apartments</t>
  </si>
  <si>
    <t xml:space="preserve">544</t>
  </si>
  <si>
    <t xml:space="preserve">MVS Sec.12 p.13</t>
  </si>
  <si>
    <t xml:space="preserve">Motel Guest Rooms</t>
  </si>
  <si>
    <t xml:space="preserve">540</t>
  </si>
  <si>
    <t xml:space="preserve">Lodges</t>
  </si>
  <si>
    <t xml:space="preserve">537</t>
  </si>
  <si>
    <t xml:space="preserve">MVS Sec.12 p.14</t>
  </si>
  <si>
    <t xml:space="preserve">Guest Cottages</t>
  </si>
  <si>
    <t xml:space="preserve">538</t>
  </si>
  <si>
    <t xml:space="preserve">MVS Sec.12 p.15</t>
  </si>
  <si>
    <t xml:space="preserve">WALL</t>
  </si>
  <si>
    <t xml:space="preserve">Bed and Breakfast Inns</t>
  </si>
  <si>
    <t xml:space="preserve">539</t>
  </si>
  <si>
    <t xml:space="preserve">Multiple Residences</t>
  </si>
  <si>
    <t xml:space="preserve">352</t>
  </si>
  <si>
    <t xml:space="preserve">MVS Sec.12 p.16</t>
  </si>
  <si>
    <t xml:space="preserve">Shell Multiple Residence Buildings</t>
  </si>
  <si>
    <t xml:space="preserve">587</t>
  </si>
  <si>
    <t xml:space="preserve">MVS Sec.12 p.17</t>
  </si>
  <si>
    <t xml:space="preserve">Multiple Residences – Senior Citizen</t>
  </si>
  <si>
    <t xml:space="preserve">451</t>
  </si>
  <si>
    <t xml:space="preserve">MVS Sec.12 p.18</t>
  </si>
  <si>
    <t xml:space="preserve">Shell Multiple Residences - Senior Citizen</t>
  </si>
  <si>
    <t xml:space="preserve">784</t>
  </si>
  <si>
    <t xml:space="preserve">MVS Sec.12 p.19</t>
  </si>
  <si>
    <t xml:space="preserve">Multiple Residences – Elderly Assisted Living</t>
  </si>
  <si>
    <t xml:space="preserve">589</t>
  </si>
  <si>
    <t xml:space="preserve">MVS Sec.12 p.20</t>
  </si>
  <si>
    <t xml:space="preserve">Shell Multiple Residences - Elderly Assisted Living</t>
  </si>
  <si>
    <t xml:space="preserve">782</t>
  </si>
  <si>
    <t xml:space="preserve">MVS Sec.12 p.21</t>
  </si>
  <si>
    <t xml:space="preserve">Multiple Residences – Retirement Community Complex</t>
  </si>
  <si>
    <t xml:space="preserve">710</t>
  </si>
  <si>
    <t xml:space="preserve">MVS Sec.12 p.22</t>
  </si>
  <si>
    <t xml:space="preserve">Shell Multiple Residences - Retirement Community Complex</t>
  </si>
  <si>
    <t xml:space="preserve">783</t>
  </si>
  <si>
    <t xml:space="preserve">MVS Sec.12 p.23</t>
  </si>
  <si>
    <t xml:space="preserve">Single-Family Residences</t>
  </si>
  <si>
    <t xml:space="preserve">351</t>
  </si>
  <si>
    <t xml:space="preserve">MVS Sec.12 p.25</t>
  </si>
  <si>
    <t xml:space="preserve">Guest Houses</t>
  </si>
  <si>
    <t xml:space="preserve">MVS Sec.12 p.29</t>
  </si>
  <si>
    <t xml:space="preserve">Log Homes</t>
  </si>
  <si>
    <t xml:space="preserve">445</t>
  </si>
  <si>
    <t xml:space="preserve">MVS Sec.12 p.30</t>
  </si>
  <si>
    <t xml:space="preserve">Town Houses</t>
  </si>
  <si>
    <t xml:space="preserve">401</t>
  </si>
  <si>
    <t xml:space="preserve">MVS Sec.12 p.31</t>
  </si>
  <si>
    <t xml:space="preserve">Senior Citizen Town Houses</t>
  </si>
  <si>
    <t xml:space="preserve">546</t>
  </si>
  <si>
    <t xml:space="preserve">MVS Sec.12 p.32</t>
  </si>
  <si>
    <t xml:space="preserve">Urban Row (Town) Houses</t>
  </si>
  <si>
    <t xml:space="preserve">549</t>
  </si>
  <si>
    <t xml:space="preserve">MVS Sec.12 p.33</t>
  </si>
  <si>
    <t xml:space="preserve">Shell Town House Buildings</t>
  </si>
  <si>
    <t xml:space="preserve">774</t>
  </si>
  <si>
    <t xml:space="preserve">34</t>
  </si>
  <si>
    <t xml:space="preserve">MVS Sec.12 p.34</t>
  </si>
  <si>
    <t xml:space="preserve">Bars/Taverns</t>
  </si>
  <si>
    <t xml:space="preserve">442</t>
  </si>
  <si>
    <t xml:space="preserve">MVS Sec.13 p.13</t>
  </si>
  <si>
    <t xml:space="preserve">Cocktail Lounges</t>
  </si>
  <si>
    <t xml:space="preserve">441</t>
  </si>
  <si>
    <t xml:space="preserve">Restaurants</t>
  </si>
  <si>
    <t xml:space="preserve">350</t>
  </si>
  <si>
    <t xml:space="preserve">MVS Sec.13 p.14</t>
  </si>
  <si>
    <t xml:space="preserve">Restaurants – Cafeterias</t>
  </si>
  <si>
    <t xml:space="preserve">530</t>
  </si>
  <si>
    <t xml:space="preserve">MVS Sec.13 p.15</t>
  </si>
  <si>
    <t xml:space="preserve">Truck Stop Restaurants</t>
  </si>
  <si>
    <t xml:space="preserve">580</t>
  </si>
  <si>
    <t xml:space="preserve">MVS Sec.13 p.16</t>
  </si>
  <si>
    <t xml:space="preserve">Dining Atriums/Play Rooms</t>
  </si>
  <si>
    <t xml:space="preserve">575</t>
  </si>
  <si>
    <t xml:space="preserve">Restaurants – Fast Food</t>
  </si>
  <si>
    <t xml:space="preserve">349</t>
  </si>
  <si>
    <t xml:space="preserve">MVS Sec.13 p.17</t>
  </si>
  <si>
    <t xml:space="preserve">Snack Bars</t>
  </si>
  <si>
    <t xml:space="preserve">529</t>
  </si>
  <si>
    <t xml:space="preserve">MVS Sec.13 p.18</t>
  </si>
  <si>
    <t xml:space="preserve">Banquet Halls</t>
  </si>
  <si>
    <t xml:space="preserve">718</t>
  </si>
  <si>
    <t xml:space="preserve">MVS Sec.13 p.19</t>
  </si>
  <si>
    <t xml:space="preserve">Modular Restaurants – Diners</t>
  </si>
  <si>
    <t xml:space="preserve">719</t>
  </si>
  <si>
    <t xml:space="preserve">Supermarkets</t>
  </si>
  <si>
    <t xml:space="preserve">446</t>
  </si>
  <si>
    <t xml:space="preserve">MVS Sec.13 p.20</t>
  </si>
  <si>
    <t xml:space="preserve">Drug Stores</t>
  </si>
  <si>
    <t xml:space="preserve">511</t>
  </si>
  <si>
    <t xml:space="preserve">Markets</t>
  </si>
  <si>
    <t xml:space="preserve">340</t>
  </si>
  <si>
    <t xml:space="preserve">MVS Sec.13 p.21</t>
  </si>
  <si>
    <t xml:space="preserve">Florist Shops</t>
  </si>
  <si>
    <t xml:space="preserve">532</t>
  </si>
  <si>
    <t xml:space="preserve">Convenience Stores</t>
  </si>
  <si>
    <t xml:space="preserve">419</t>
  </si>
  <si>
    <t xml:space="preserve">MVS Sec.13 p.22</t>
  </si>
  <si>
    <t xml:space="preserve">Mini-Mart Convenience Stores</t>
  </si>
  <si>
    <t xml:space="preserve">531</t>
  </si>
  <si>
    <t xml:space="preserve">Roadside Markets</t>
  </si>
  <si>
    <t xml:space="preserve">586</t>
  </si>
  <si>
    <t xml:space="preserve">MVS Sec.13 p.23</t>
  </si>
  <si>
    <t xml:space="preserve">Luxury Boutiques</t>
  </si>
  <si>
    <t xml:space="preserve">512</t>
  </si>
  <si>
    <t xml:space="preserve">MVS Sec.13 p.24</t>
  </si>
  <si>
    <t xml:space="preserve">Winery (Tasting – Display) Shops</t>
  </si>
  <si>
    <t xml:space="preserve">127</t>
  </si>
  <si>
    <t xml:space="preserve">Barber Shops/Beauty Salons</t>
  </si>
  <si>
    <t xml:space="preserve">384</t>
  </si>
  <si>
    <t xml:space="preserve">MVS Sec.13 p.25</t>
  </si>
  <si>
    <t xml:space="preserve">Laundromats</t>
  </si>
  <si>
    <t xml:space="preserve">336</t>
  </si>
  <si>
    <t xml:space="preserve">Laundry/Dry Cleaning</t>
  </si>
  <si>
    <t xml:space="preserve">499</t>
  </si>
  <si>
    <t xml:space="preserve">Dairy Sales</t>
  </si>
  <si>
    <t xml:space="preserve">317</t>
  </si>
  <si>
    <t xml:space="preserve">Retail Stores</t>
  </si>
  <si>
    <t xml:space="preserve">353</t>
  </si>
  <si>
    <t xml:space="preserve">MVS Sec.13 p.26</t>
  </si>
  <si>
    <t xml:space="preserve">Department Stores</t>
  </si>
  <si>
    <t xml:space="preserve">318</t>
  </si>
  <si>
    <t xml:space="preserve">MVS Sec.13 p.27</t>
  </si>
  <si>
    <t xml:space="preserve">Mall Anchor (Department/Big Box) Stores</t>
  </si>
  <si>
    <t xml:space="preserve">700</t>
  </si>
  <si>
    <t xml:space="preserve">Discount Stores</t>
  </si>
  <si>
    <t xml:space="preserve">319</t>
  </si>
  <si>
    <t xml:space="preserve">MVS Sec.13 p.28</t>
  </si>
  <si>
    <t xml:space="preserve">Warehouse Discount Stores</t>
  </si>
  <si>
    <t xml:space="preserve">458</t>
  </si>
  <si>
    <t xml:space="preserve">Warehouse Showroom Stores</t>
  </si>
  <si>
    <t xml:space="preserve">534</t>
  </si>
  <si>
    <t xml:space="preserve">MVS Sec.13 p.29</t>
  </si>
  <si>
    <t xml:space="preserve">Warehouse Food Stores</t>
  </si>
  <si>
    <t xml:space="preserve">533</t>
  </si>
  <si>
    <t xml:space="preserve">Mega Warehouse Stores</t>
  </si>
  <si>
    <t xml:space="preserve">720</t>
  </si>
  <si>
    <t xml:space="preserve">MVS Sec.13 p.30</t>
  </si>
  <si>
    <t xml:space="preserve">Neighborhood Shopping Centers</t>
  </si>
  <si>
    <t xml:space="preserve">412</t>
  </si>
  <si>
    <t xml:space="preserve">MVS Sec.13 p.33</t>
  </si>
  <si>
    <t xml:space="preserve">Mixed Retail Centers with Residential Units</t>
  </si>
  <si>
    <t xml:space="preserve">459</t>
  </si>
  <si>
    <t xml:space="preserve">Mixed Retail Centers with Office Units</t>
  </si>
  <si>
    <t xml:space="preserve">597</t>
  </si>
  <si>
    <t xml:space="preserve">MVS Sec.13 p.34</t>
  </si>
  <si>
    <t xml:space="preserve">Community Shopping Centers</t>
  </si>
  <si>
    <t xml:space="preserve">413</t>
  </si>
  <si>
    <t xml:space="preserve">Regional Discount Shopping Centers</t>
  </si>
  <si>
    <t xml:space="preserve">513</t>
  </si>
  <si>
    <t xml:space="preserve">35</t>
  </si>
  <si>
    <t xml:space="preserve">MVS Sec.13 p.35</t>
  </si>
  <si>
    <t xml:space="preserve">Regional Shopping Centers</t>
  </si>
  <si>
    <t xml:space="preserve">414</t>
  </si>
  <si>
    <t xml:space="preserve">Regional Shopping Center Shell Buildings</t>
  </si>
  <si>
    <t xml:space="preserve">462</t>
  </si>
  <si>
    <t xml:space="preserve">37</t>
  </si>
  <si>
    <t xml:space="preserve">MVS Sec.13 p.37</t>
  </si>
  <si>
    <t xml:space="preserve">Community Shopping Center Shell Buildings</t>
  </si>
  <si>
    <t xml:space="preserve">461</t>
  </si>
  <si>
    <t xml:space="preserve">Neighborhood Shopping Center Shell Buildings</t>
  </si>
  <si>
    <t xml:space="preserve">460</t>
  </si>
  <si>
    <t xml:space="preserve">38</t>
  </si>
  <si>
    <t xml:space="preserve">MVS Sec.13 p.38</t>
  </si>
  <si>
    <t xml:space="preserve">Lofts</t>
  </si>
  <si>
    <t xml:space="preserve">338</t>
  </si>
  <si>
    <t xml:space="preserve">MVS Sec.14 p.13</t>
  </si>
  <si>
    <t xml:space="preserve">Industrial Flex (Mall) Buildings</t>
  </si>
  <si>
    <t xml:space="preserve">453</t>
  </si>
  <si>
    <t xml:space="preserve">Industrials, Light Manufacturing</t>
  </si>
  <si>
    <t xml:space="preserve">494</t>
  </si>
  <si>
    <t xml:space="preserve">MVS Sec.14 p.14</t>
  </si>
  <si>
    <t xml:space="preserve">Industrials, Heavy (Process) Manufacturing</t>
  </si>
  <si>
    <t xml:space="preserve">495</t>
  </si>
  <si>
    <t xml:space="preserve">MVS Sec.14 p.15</t>
  </si>
  <si>
    <t xml:space="preserve">Industrial, Engineering (R&amp;D) Buildings</t>
  </si>
  <si>
    <t xml:space="preserve">392</t>
  </si>
  <si>
    <t xml:space="preserve">MVS Sec.14 p.16</t>
  </si>
  <si>
    <t xml:space="preserve">Laboratory Buildings</t>
  </si>
  <si>
    <t xml:space="preserve">496</t>
  </si>
  <si>
    <t xml:space="preserve">MVS Sec.14 p.17</t>
  </si>
  <si>
    <t xml:space="preserve">Computer (Data) Centers</t>
  </si>
  <si>
    <t xml:space="preserve">497</t>
  </si>
  <si>
    <t xml:space="preserve">MVS Sec.14 p.18</t>
  </si>
  <si>
    <t xml:space="preserve">Broadcasting Facilities</t>
  </si>
  <si>
    <t xml:space="preserve">498</t>
  </si>
  <si>
    <t xml:space="preserve">MVS Sec.14 p.19</t>
  </si>
  <si>
    <t xml:space="preserve">Passenger Terminals</t>
  </si>
  <si>
    <t xml:space="preserve">571</t>
  </si>
  <si>
    <t xml:space="preserve">MVS Sec.14 p.20</t>
  </si>
  <si>
    <t xml:space="preserve">Main Post Offices</t>
  </si>
  <si>
    <t xml:space="preserve">581</t>
  </si>
  <si>
    <t xml:space="preserve">MVS Sec.14 p.21</t>
  </si>
  <si>
    <t xml:space="preserve">Mail - Processing Facilities</t>
  </si>
  <si>
    <t xml:space="preserve">583</t>
  </si>
  <si>
    <t xml:space="preserve">Branch Post Offices</t>
  </si>
  <si>
    <t xml:space="preserve">582</t>
  </si>
  <si>
    <t xml:space="preserve">MVS Sec.14 p.22</t>
  </si>
  <si>
    <t xml:space="preserve">Armories</t>
  </si>
  <si>
    <t xml:space="preserve">301</t>
  </si>
  <si>
    <t xml:space="preserve">CDS</t>
  </si>
  <si>
    <t xml:space="preserve">Distribution Warehouses</t>
  </si>
  <si>
    <t xml:space="preserve">407</t>
  </si>
  <si>
    <t xml:space="preserve">MVS Sec.14 p.23</t>
  </si>
  <si>
    <t xml:space="preserve">Transit Warehouses</t>
  </si>
  <si>
    <t xml:space="preserve">387</t>
  </si>
  <si>
    <t xml:space="preserve">Cold Storage Facilities</t>
  </si>
  <si>
    <t xml:space="preserve">447</t>
  </si>
  <si>
    <t xml:space="preserve">MVS Sec.14 p.24</t>
  </si>
  <si>
    <t xml:space="preserve">Creameries</t>
  </si>
  <si>
    <t xml:space="preserve">315</t>
  </si>
  <si>
    <t xml:space="preserve">MVS Sec.14 p.25</t>
  </si>
  <si>
    <t xml:space="preserve">Mega (Storage/Distribution) Warehouses</t>
  </si>
  <si>
    <t xml:space="preserve">584</t>
  </si>
  <si>
    <t xml:space="preserve">Storage Warehouses</t>
  </si>
  <si>
    <t xml:space="preserve">406</t>
  </si>
  <si>
    <t xml:space="preserve">MVS Sec.14 p.26</t>
  </si>
  <si>
    <t xml:space="preserve">Mini-Warehouses / Self-Storage</t>
  </si>
  <si>
    <t xml:space="preserve">386</t>
  </si>
  <si>
    <t xml:space="preserve">MVS Sec.14 p.28</t>
  </si>
  <si>
    <t xml:space="preserve">Mini-Warehouses, High-Rise</t>
  </si>
  <si>
    <t xml:space="preserve">525</t>
  </si>
  <si>
    <t xml:space="preserve">Maintenance Hangars</t>
  </si>
  <si>
    <t xml:space="preserve">329</t>
  </si>
  <si>
    <t xml:space="preserve">MVS Sec.14 p.29</t>
  </si>
  <si>
    <t xml:space="preserve">Storage Hangars</t>
  </si>
  <si>
    <t xml:space="preserve">328</t>
  </si>
  <si>
    <t xml:space="preserve">T-Hangars</t>
  </si>
  <si>
    <t xml:space="preserve">409</t>
  </si>
  <si>
    <t xml:space="preserve">MVS Sec.14 p.30</t>
  </si>
  <si>
    <t xml:space="preserve">Complete Auto Dealerships</t>
  </si>
  <si>
    <t xml:space="preserve">455</t>
  </si>
  <si>
    <t xml:space="preserve">Automotive Service Centers</t>
  </si>
  <si>
    <t xml:space="preserve">410</t>
  </si>
  <si>
    <t xml:space="preserve">MVS Sec.14 p.31</t>
  </si>
  <si>
    <t xml:space="preserve">Showrooms</t>
  </si>
  <si>
    <t xml:space="preserve">303</t>
  </si>
  <si>
    <t xml:space="preserve">Service Garages (Commercial/Repair)</t>
  </si>
  <si>
    <t xml:space="preserve">528</t>
  </si>
  <si>
    <t xml:space="preserve">MVS Sec.14 p.32</t>
  </si>
  <si>
    <t xml:space="preserve">Service Garage Sheds</t>
  </si>
  <si>
    <t xml:space="preserve">526</t>
  </si>
  <si>
    <t xml:space="preserve">Municipal Service Garages</t>
  </si>
  <si>
    <t xml:space="preserve">527</t>
  </si>
  <si>
    <t xml:space="preserve">MVS Sec.14 p.33</t>
  </si>
  <si>
    <t xml:space="preserve">Mini-Lube Garages</t>
  </si>
  <si>
    <t xml:space="preserve">423</t>
  </si>
  <si>
    <t xml:space="preserve">Parking (Parkade) Structures</t>
  </si>
  <si>
    <t xml:space="preserve">345</t>
  </si>
  <si>
    <t xml:space="preserve">MVS Sec.14 p.34</t>
  </si>
  <si>
    <t xml:space="preserve">Storage Garages</t>
  </si>
  <si>
    <t xml:space="preserve">326</t>
  </si>
  <si>
    <t xml:space="preserve">Light Industrial/Warehouse Shell Buildings</t>
  </si>
  <si>
    <t xml:space="preserve">454</t>
  </si>
  <si>
    <t xml:space="preserve">MVS Sec.14 p.35</t>
  </si>
  <si>
    <t xml:space="preserve">Office Buildings</t>
  </si>
  <si>
    <t xml:space="preserve">344</t>
  </si>
  <si>
    <t xml:space="preserve">MVS Sec.15 p.17</t>
  </si>
  <si>
    <t xml:space="preserve">Atriums/Vestibules</t>
  </si>
  <si>
    <t xml:space="preserve">576</t>
  </si>
  <si>
    <t xml:space="preserve">MVS Sec.15 p.18</t>
  </si>
  <si>
    <t xml:space="preserve">Parking Levels (Intermediate/Under Building)</t>
  </si>
  <si>
    <t xml:space="preserve">577</t>
  </si>
  <si>
    <t xml:space="preserve">Mechanical Penthouses</t>
  </si>
  <si>
    <t xml:space="preserve">585</t>
  </si>
  <si>
    <t xml:space="preserve">MVS Sec.15 p.19</t>
  </si>
  <si>
    <t xml:space="preserve">Banks – Central Offices</t>
  </si>
  <si>
    <t xml:space="preserve">443</t>
  </si>
  <si>
    <t xml:space="preserve">MVS Sec.15 p.20</t>
  </si>
  <si>
    <t xml:space="preserve">Mini-Banks (Walk-Up and Drive-Through)</t>
  </si>
  <si>
    <t xml:space="preserve">578</t>
  </si>
  <si>
    <t xml:space="preserve">Banks, Branch</t>
  </si>
  <si>
    <t xml:space="preserve">304</t>
  </si>
  <si>
    <t xml:space="preserve">MVS Sec.15 p.21</t>
  </si>
  <si>
    <t xml:space="preserve">Medical Office Buildings</t>
  </si>
  <si>
    <t xml:space="preserve">341</t>
  </si>
  <si>
    <t xml:space="preserve">MVS Sec.15 p.22</t>
  </si>
  <si>
    <t xml:space="preserve">Dental Clinics</t>
  </si>
  <si>
    <t xml:space="preserve">444</t>
  </si>
  <si>
    <t xml:space="preserve">MVS Sec.15 p.23</t>
  </si>
  <si>
    <t xml:space="preserve">Urgent Care Clinics</t>
  </si>
  <si>
    <t xml:space="preserve">320</t>
  </si>
  <si>
    <t xml:space="preserve">General Hospitals</t>
  </si>
  <si>
    <t xml:space="preserve">331</t>
  </si>
  <si>
    <t xml:space="preserve">MVS Sec.15 p.24</t>
  </si>
  <si>
    <t xml:space="preserve">Outpatient (Surgical) Centers</t>
  </si>
  <si>
    <t xml:space="preserve">431</t>
  </si>
  <si>
    <t xml:space="preserve">MVS Sec.15 p.25</t>
  </si>
  <si>
    <t xml:space="preserve">Nursing Homes (Convalescent Hospitals)</t>
  </si>
  <si>
    <t xml:space="preserve">313</t>
  </si>
  <si>
    <t xml:space="preserve">MVS Sec.15 p.26</t>
  </si>
  <si>
    <t xml:space="preserve">Kennels</t>
  </si>
  <si>
    <t xml:space="preserve">490</t>
  </si>
  <si>
    <t xml:space="preserve">MVS Sec.15 p.27</t>
  </si>
  <si>
    <t xml:space="preserve">Veterinary Hospitals</t>
  </si>
  <si>
    <t xml:space="preserve">381</t>
  </si>
  <si>
    <t xml:space="preserve">MVS Sec.15 p.28</t>
  </si>
  <si>
    <t xml:space="preserve">Fire Stations – Volunteer</t>
  </si>
  <si>
    <t xml:space="preserve">427</t>
  </si>
  <si>
    <t xml:space="preserve">Fire Stations – Staffed</t>
  </si>
  <si>
    <t xml:space="preserve">322</t>
  </si>
  <si>
    <t xml:space="preserve">MVS Sec.15 p.29</t>
  </si>
  <si>
    <t xml:space="preserve">Governmental Buildings</t>
  </si>
  <si>
    <t xml:space="preserve">327</t>
  </si>
  <si>
    <t xml:space="preserve">MVS Sec.15 p.30</t>
  </si>
  <si>
    <t xml:space="preserve">Governmental – Community Service Buildings</t>
  </si>
  <si>
    <t xml:space="preserve">491</t>
  </si>
  <si>
    <t xml:space="preserve">MVS Sec.15 p.31</t>
  </si>
  <si>
    <t xml:space="preserve">Public Libraries</t>
  </si>
  <si>
    <t xml:space="preserve">337</t>
  </si>
  <si>
    <t xml:space="preserve">MVS Sec.15 p.32</t>
  </si>
  <si>
    <t xml:space="preserve">Jails – Correctional Facilities</t>
  </si>
  <si>
    <t xml:space="preserve">335</t>
  </si>
  <si>
    <t xml:space="preserve">MVS Sec.15 p.33</t>
  </si>
  <si>
    <t xml:space="preserve">Jails – Police Stations</t>
  </si>
  <si>
    <t xml:space="preserve">489</t>
  </si>
  <si>
    <t xml:space="preserve">Shell Office Buildings</t>
  </si>
  <si>
    <t xml:space="preserve">492</t>
  </si>
  <si>
    <t xml:space="preserve">MVS Sec.15 p.34</t>
  </si>
  <si>
    <t xml:space="preserve">MVS Sec.15 p.35</t>
  </si>
  <si>
    <t xml:space="preserve">Churches with Sunday Schools</t>
  </si>
  <si>
    <t xml:space="preserve">308</t>
  </si>
  <si>
    <t xml:space="preserve">8</t>
  </si>
  <si>
    <t xml:space="preserve">MVS Sec.16 p.8</t>
  </si>
  <si>
    <t xml:space="preserve">Churches – Sanctuaries (Chapels)</t>
  </si>
  <si>
    <t xml:space="preserve">309</t>
  </si>
  <si>
    <t xml:space="preserve">MVS Sec.16 p.9</t>
  </si>
  <si>
    <t xml:space="preserve">Fellowship Halls</t>
  </si>
  <si>
    <t xml:space="preserve">516</t>
  </si>
  <si>
    <t xml:space="preserve">MVS Sec.16 p.10</t>
  </si>
  <si>
    <t xml:space="preserve">Foyers / Narthexes</t>
  </si>
  <si>
    <t xml:space="preserve">517</t>
  </si>
  <si>
    <t xml:space="preserve">Church Educational Wings</t>
  </si>
  <si>
    <t xml:space="preserve">173</t>
  </si>
  <si>
    <t xml:space="preserve">MVS Sec.16 p.11</t>
  </si>
  <si>
    <t xml:space="preserve">Theaters: Live-Stage</t>
  </si>
  <si>
    <t xml:space="preserve">379</t>
  </si>
  <si>
    <t xml:space="preserve">MVS Sec.16 p.12</t>
  </si>
  <si>
    <t xml:space="preserve">Theaters: Cinema</t>
  </si>
  <si>
    <t xml:space="preserve">380</t>
  </si>
  <si>
    <t xml:space="preserve">MVS Sec.16 p.13</t>
  </si>
  <si>
    <t xml:space="preserve">Auditoriums</t>
  </si>
  <si>
    <t xml:space="preserve">302</t>
  </si>
  <si>
    <t xml:space="preserve">MVS Sec.16 p.14</t>
  </si>
  <si>
    <t xml:space="preserve">Fraternal Buildings</t>
  </si>
  <si>
    <t xml:space="preserve">323</t>
  </si>
  <si>
    <t xml:space="preserve">MVS Sec.16 p.15</t>
  </si>
  <si>
    <t xml:space="preserve">Visitor Centers</t>
  </si>
  <si>
    <t xml:space="preserve">574</t>
  </si>
  <si>
    <t xml:space="preserve">Convention Centers</t>
  </si>
  <si>
    <t xml:space="preserve">482</t>
  </si>
  <si>
    <t xml:space="preserve">MVS Sec.16 p.16</t>
  </si>
  <si>
    <t xml:space="preserve">Casinos</t>
  </si>
  <si>
    <t xml:space="preserve">515</t>
  </si>
  <si>
    <t xml:space="preserve">MVS Sec.16 p.17</t>
  </si>
  <si>
    <t xml:space="preserve">Community Recreation Centers</t>
  </si>
  <si>
    <t xml:space="preserve">514</t>
  </si>
  <si>
    <t xml:space="preserve">MVS Sec.16 p.18</t>
  </si>
  <si>
    <t xml:space="preserve">Arcade Buildings</t>
  </si>
  <si>
    <t xml:space="preserve">573</t>
  </si>
  <si>
    <t xml:space="preserve">Museums</t>
  </si>
  <si>
    <t xml:space="preserve">481</t>
  </si>
  <si>
    <t xml:space="preserve">MVS Sec.16 p.19</t>
  </si>
  <si>
    <t xml:space="preserve">Ice Skating Rinks</t>
  </si>
  <si>
    <t xml:space="preserve">175</t>
  </si>
  <si>
    <t xml:space="preserve">MVS Sec.16 p.20</t>
  </si>
  <si>
    <t xml:space="preserve">Roller Skating Rinks</t>
  </si>
  <si>
    <t xml:space="preserve">176</t>
  </si>
  <si>
    <t xml:space="preserve">MVS Sec.16 p.21</t>
  </si>
  <si>
    <t xml:space="preserve">Handball/Racquetball Clubs</t>
  </si>
  <si>
    <t xml:space="preserve">417</t>
  </si>
  <si>
    <t xml:space="preserve">Fitness Centers</t>
  </si>
  <si>
    <t xml:space="preserve">483</t>
  </si>
  <si>
    <t xml:space="preserve">Bowling Centers</t>
  </si>
  <si>
    <t xml:space="preserve">306</t>
  </si>
  <si>
    <t xml:space="preserve">MVS Sec.16 p.22</t>
  </si>
  <si>
    <t xml:space="preserve">Indoor Tennis Clubs</t>
  </si>
  <si>
    <t xml:space="preserve">416</t>
  </si>
  <si>
    <t xml:space="preserve">Pavilions</t>
  </si>
  <si>
    <t xml:space="preserve">174</t>
  </si>
  <si>
    <t xml:space="preserve">MVS Sec.16 p.23</t>
  </si>
  <si>
    <t xml:space="preserve">Light Commercial – Commodity Warehouse</t>
  </si>
  <si>
    <t xml:space="preserve">104</t>
  </si>
  <si>
    <t xml:space="preserve">MVS Sec.17 p.11</t>
  </si>
  <si>
    <t xml:space="preserve">SSLANT</t>
  </si>
  <si>
    <t xml:space="preserve">Light Commercial – Manufacturing Utility Buildings</t>
  </si>
  <si>
    <t xml:space="preserve">186</t>
  </si>
  <si>
    <t xml:space="preserve">Material – Commodity Shelters</t>
  </si>
  <si>
    <t xml:space="preserve">473</t>
  </si>
  <si>
    <t xml:space="preserve">MVS Sec.17 p.11 (midpoint of 15.45-21.6 range)</t>
  </si>
  <si>
    <t xml:space="preserve">MVS Sec.17 p.11 (midpoint of 7.77-10.85 range)</t>
  </si>
  <si>
    <t xml:space="preserve">MVS Sec.17 p.11 (midpoint of 19.55-27.25 range)</t>
  </si>
  <si>
    <t xml:space="preserve">MVS Sec.17 p.11 (midpoint of 16.45-23.0 range)</t>
  </si>
  <si>
    <t xml:space="preserve">MVS Sec.17 p.11 (midpoint of 11.65-16.3 range)</t>
  </si>
  <si>
    <t xml:space="preserve">MVS Sec.17 p.11 (midpoint of 8.27-11.55 range)</t>
  </si>
  <si>
    <t xml:space="preserve">Light Commercial Utility Buildings</t>
  </si>
  <si>
    <t xml:space="preserve">471</t>
  </si>
  <si>
    <t xml:space="preserve">MVS Sec.17 p.12</t>
  </si>
  <si>
    <t xml:space="preserve">Toolshed Buildings</t>
  </si>
  <si>
    <t xml:space="preserve">456</t>
  </si>
  <si>
    <t xml:space="preserve">Light Commercial Arch-Rib (Quonset) Buildings</t>
  </si>
  <si>
    <t xml:space="preserve">555</t>
  </si>
  <si>
    <t xml:space="preserve">MVS Sec.17 p.13</t>
  </si>
  <si>
    <t xml:space="preserve">Light Commercial Equipment (Shop) Buildings</t>
  </si>
  <si>
    <t xml:space="preserve">470</t>
  </si>
  <si>
    <t xml:space="preserve">Light Commercial Equipment Sheds</t>
  </si>
  <si>
    <t xml:space="preserve">472</t>
  </si>
  <si>
    <t xml:space="preserve">MVS Sec.17 p.14</t>
  </si>
  <si>
    <t xml:space="preserve">Shed Office Structures</t>
  </si>
  <si>
    <t xml:space="preserve">554</t>
  </si>
  <si>
    <t xml:space="preserve">Golf Cart Storage Buildings</t>
  </si>
  <si>
    <t xml:space="preserve">523</t>
  </si>
  <si>
    <t xml:space="preserve">MVS Sec.17 p.15</t>
  </si>
  <si>
    <t xml:space="preserve">Golf Starter (Guard House) Booths</t>
  </si>
  <si>
    <t xml:space="preserve">183</t>
  </si>
  <si>
    <t xml:space="preserve">Material Storage Buildings</t>
  </si>
  <si>
    <t xml:space="preserve">391</t>
  </si>
  <si>
    <t xml:space="preserve">MVS Sec.17 p.16</t>
  </si>
  <si>
    <t xml:space="preserve">Material Storage Sheds</t>
  </si>
  <si>
    <t xml:space="preserve">468</t>
  </si>
  <si>
    <t xml:space="preserve">Bulk Oil Storage</t>
  </si>
  <si>
    <t xml:space="preserve">556</t>
  </si>
  <si>
    <t xml:space="preserve">Lumber Storage Buildings</t>
  </si>
  <si>
    <t xml:space="preserve">390</t>
  </si>
  <si>
    <t xml:space="preserve">MVS Sec.17 p.17</t>
  </si>
  <si>
    <t xml:space="preserve">Lumber Storage Sheds</t>
  </si>
  <si>
    <t xml:space="preserve">339</t>
  </si>
  <si>
    <t xml:space="preserve">Boat Storage Buildings</t>
  </si>
  <si>
    <t xml:space="preserve">467</t>
  </si>
  <si>
    <t xml:space="preserve">MVS Sec.17 p.18</t>
  </si>
  <si>
    <t xml:space="preserve">Boat Storage Sheds</t>
  </si>
  <si>
    <t xml:space="preserve">466</t>
  </si>
  <si>
    <t xml:space="preserve">Bag Fertilizer Storage</t>
  </si>
  <si>
    <t xml:space="preserve">563</t>
  </si>
  <si>
    <t xml:space="preserve">MVS Sec.17 p.19</t>
  </si>
  <si>
    <t xml:space="preserve">Bulk Fertilizer Storage</t>
  </si>
  <si>
    <t xml:space="preserve">420</t>
  </si>
  <si>
    <t xml:space="preserve">Tobacco Barns – Flue Curing</t>
  </si>
  <si>
    <t xml:space="preserve">122</t>
  </si>
  <si>
    <t xml:space="preserve">Tobacco Barns – Air Curing</t>
  </si>
  <si>
    <t xml:space="preserve">121</t>
  </si>
  <si>
    <t xml:space="preserve">Dehydrator Shed Buildings</t>
  </si>
  <si>
    <t xml:space="preserve">564</t>
  </si>
  <si>
    <t xml:space="preserve">Farm Cold Storage Buildings</t>
  </si>
  <si>
    <t xml:space="preserve">448</t>
  </si>
  <si>
    <t xml:space="preserve">MVS Sec.17 p.20</t>
  </si>
  <si>
    <t xml:space="preserve">Fruit Packing Barns</t>
  </si>
  <si>
    <t xml:space="preserve">398</t>
  </si>
  <si>
    <t xml:space="preserve">Potato Storage Buildings</t>
  </si>
  <si>
    <t xml:space="preserve">395</t>
  </si>
  <si>
    <t xml:space="preserve">MVS Sec.17 p.21</t>
  </si>
  <si>
    <t xml:space="preserve">Vegetable Buildings – Environmental</t>
  </si>
  <si>
    <t xml:space="preserve">480</t>
  </si>
  <si>
    <t xml:space="preserve">Controlled Atmosphere Buildings</t>
  </si>
  <si>
    <t xml:space="preserve">106</t>
  </si>
  <si>
    <t xml:space="preserve">Greenhouse – Straight-Wall Structures</t>
  </si>
  <si>
    <t xml:space="preserve">136</t>
  </si>
  <si>
    <t xml:space="preserve">MVS Sec.17 p.22</t>
  </si>
  <si>
    <t xml:space="preserve">Greenhouse – Hoop (Arch-Rib/Quonset) Structures</t>
  </si>
  <si>
    <t xml:space="preserve">135</t>
  </si>
  <si>
    <t xml:space="preserve">Greenhouse Shade Shelters</t>
  </si>
  <si>
    <t xml:space="preserve">519</t>
  </si>
  <si>
    <t xml:space="preserve">MVS Sec.17 p.23</t>
  </si>
  <si>
    <t xml:space="preserve">Lath Shade Houses</t>
  </si>
  <si>
    <t xml:space="preserve">518</t>
  </si>
  <si>
    <t xml:space="preserve">Flathouse Storage Buildings</t>
  </si>
  <si>
    <t xml:space="preserve">493</t>
  </si>
  <si>
    <t xml:space="preserve">MVS Sec.17 p.24</t>
  </si>
  <si>
    <t xml:space="preserve">Feed Handling and Mixing Shed Building</t>
  </si>
  <si>
    <t xml:space="preserve">180</t>
  </si>
  <si>
    <t xml:space="preserve">Cotton Gins</t>
  </si>
  <si>
    <t xml:space="preserve">450</t>
  </si>
  <si>
    <t xml:space="preserve">Seed Processing Storage</t>
  </si>
  <si>
    <t xml:space="preserve">123</t>
  </si>
  <si>
    <t xml:space="preserve">Secure Storage Modular Shed Buildings</t>
  </si>
  <si>
    <t xml:space="preserve">181</t>
  </si>
  <si>
    <t xml:space="preserve">MVS Sec.17 p.25</t>
  </si>
  <si>
    <t xml:space="preserve">Prefabricated Storage Shed Buildings</t>
  </si>
  <si>
    <t xml:space="preserve">133</t>
  </si>
  <si>
    <t xml:space="preserve">Corn Crib Bins</t>
  </si>
  <si>
    <t xml:space="preserve">131</t>
  </si>
  <si>
    <t xml:space="preserve">Farm Utility Buildings</t>
  </si>
  <si>
    <t xml:space="preserve">477</t>
  </si>
  <si>
    <t xml:space="preserve">MVS Sec.17 p.26</t>
  </si>
  <si>
    <t xml:space="preserve">Arch-Rib (Quonset) Farm Utility Buildings</t>
  </si>
  <si>
    <t xml:space="preserve">557</t>
  </si>
  <si>
    <t xml:space="preserve">DHOOP</t>
  </si>
  <si>
    <t xml:space="preserve">Farm Utility/Grain Storage (Granary) Buildings</t>
  </si>
  <si>
    <t xml:space="preserve">421</t>
  </si>
  <si>
    <t xml:space="preserve">MVS Sec.17 p.27</t>
  </si>
  <si>
    <t xml:space="preserve">Farm Utility Storage Sheds</t>
  </si>
  <si>
    <t xml:space="preserve">479</t>
  </si>
  <si>
    <t xml:space="preserve">Farm Utility Lean-Tos</t>
  </si>
  <si>
    <t xml:space="preserve">124</t>
  </si>
  <si>
    <t xml:space="preserve">Farm Commodity Storage Sheds</t>
  </si>
  <si>
    <t xml:space="preserve">562</t>
  </si>
  <si>
    <t xml:space="preserve">MVS Sec.17 p.28</t>
  </si>
  <si>
    <t xml:space="preserve">Corn Crib Buildings – Spaced Boards</t>
  </si>
  <si>
    <t xml:space="preserve">107</t>
  </si>
  <si>
    <t xml:space="preserve">Corn Crib Buildings – Wire Mesh</t>
  </si>
  <si>
    <t xml:space="preserve">108</t>
  </si>
  <si>
    <t xml:space="preserve">Farm Implement (Equipment Shop) Buildings</t>
  </si>
  <si>
    <t xml:space="preserve">476</t>
  </si>
  <si>
    <t xml:space="preserve">Arch-Rib (Quonset) Farm Implement Buildings</t>
  </si>
  <si>
    <t xml:space="preserve">558</t>
  </si>
  <si>
    <t xml:space="preserve">MVS Sec.17 p.29</t>
  </si>
  <si>
    <t xml:space="preserve">Farm Implement – Equipment Sheds</t>
  </si>
  <si>
    <t xml:space="preserve">478</t>
  </si>
  <si>
    <t xml:space="preserve">Barns – General Purpose</t>
  </si>
  <si>
    <t xml:space="preserve">102</t>
  </si>
  <si>
    <t xml:space="preserve">MVS Sec.17 p.30</t>
  </si>
  <si>
    <t xml:space="preserve">Bank Barns (Two-Story) – General Purpose</t>
  </si>
  <si>
    <t xml:space="preserve">100</t>
  </si>
  <si>
    <t xml:space="preserve">Barns – Special Purpose</t>
  </si>
  <si>
    <t xml:space="preserve">103</t>
  </si>
  <si>
    <t xml:space="preserve">MVS Sec.17 p.31</t>
  </si>
  <si>
    <t xml:space="preserve">Bank Barns (Two-Story) – Special Purpose</t>
  </si>
  <si>
    <t xml:space="preserve">101</t>
  </si>
  <si>
    <t xml:space="preserve">Free-Stall Barns</t>
  </si>
  <si>
    <t xml:space="preserve">469</t>
  </si>
  <si>
    <t xml:space="preserve">MVS Sec.17 p.32</t>
  </si>
  <si>
    <t xml:space="preserve">Confinement Barns</t>
  </si>
  <si>
    <t xml:space="preserve">105</t>
  </si>
  <si>
    <t xml:space="preserve">Feeder Barns – Sheds</t>
  </si>
  <si>
    <t xml:space="preserve">561</t>
  </si>
  <si>
    <t xml:space="preserve">MVS Sec.17 p.33</t>
  </si>
  <si>
    <t xml:space="preserve">Loafing Sheds</t>
  </si>
  <si>
    <t xml:space="preserve">113</t>
  </si>
  <si>
    <t xml:space="preserve">Farm Utility Shelters (Open Hay Sheds)</t>
  </si>
  <si>
    <t xml:space="preserve">565</t>
  </si>
  <si>
    <t xml:space="preserve">MVS Sec.17 p.33 (midpoint of 6.62-9.25 range)</t>
  </si>
  <si>
    <t xml:space="preserve">MVS Sec.17 p.33 (midpoint of 5.16-7.21 range)</t>
  </si>
  <si>
    <t xml:space="preserve">MVS Sec.17 p.33 (midpoint of 8.86-12.35 range)</t>
  </si>
  <si>
    <t xml:space="preserve">MVS Sec.17 p.33 (midpoint of 6.3-8.79 range)</t>
  </si>
  <si>
    <t xml:space="preserve">Calving Barns – Sheds</t>
  </si>
  <si>
    <t xml:space="preserve">182</t>
  </si>
  <si>
    <t xml:space="preserve">MVS Sec.17 p.34</t>
  </si>
  <si>
    <t xml:space="preserve">Arena Shelters</t>
  </si>
  <si>
    <t xml:space="preserve">184</t>
  </si>
  <si>
    <t xml:space="preserve">Farm Sun Shelters</t>
  </si>
  <si>
    <t xml:space="preserve">566</t>
  </si>
  <si>
    <t xml:space="preserve">MVS Sec.17 p.34 (midpoint of 4.03-5.63 range)</t>
  </si>
  <si>
    <t xml:space="preserve">MVS Sec.17 p.34 (midpoint of 3.51-4.9 range)</t>
  </si>
  <si>
    <t xml:space="preserve">MVS Sec.17 p.34 (midpoint of 4.49-6.27 range)</t>
  </si>
  <si>
    <t xml:space="preserve">MVS Sec.17 p.34 (midpoint of 3.83-5.35 range)</t>
  </si>
  <si>
    <t xml:space="preserve">Arenas</t>
  </si>
  <si>
    <t xml:space="preserve">428</t>
  </si>
  <si>
    <t xml:space="preserve">MVS Sec.17 p.35</t>
  </si>
  <si>
    <t xml:space="preserve">Equestrian Lean-Tos</t>
  </si>
  <si>
    <t xml:space="preserve">560</t>
  </si>
  <si>
    <t xml:space="preserve">Stables</t>
  </si>
  <si>
    <t xml:space="preserve">378</t>
  </si>
  <si>
    <t xml:space="preserve">36</t>
  </si>
  <si>
    <t xml:space="preserve">MVS Sec.17 p.36</t>
  </si>
  <si>
    <t xml:space="preserve">High-Value (Estate) Stables – Horse Barns</t>
  </si>
  <si>
    <t xml:space="preserve">559</t>
  </si>
  <si>
    <t xml:space="preserve">Dairies (Milking Parlors)</t>
  </si>
  <si>
    <t xml:space="preserve">316</t>
  </si>
  <si>
    <t xml:space="preserve">MVS Sec.17 p.38</t>
  </si>
  <si>
    <t xml:space="preserve">Milkhouses</t>
  </si>
  <si>
    <t xml:space="preserve">440</t>
  </si>
  <si>
    <t xml:space="preserve">Milkhouse Sheds</t>
  </si>
  <si>
    <t xml:space="preserve">114</t>
  </si>
  <si>
    <t xml:space="preserve">Hog Barns – Nursery</t>
  </si>
  <si>
    <t xml:space="preserve">112</t>
  </si>
  <si>
    <t xml:space="preserve">40</t>
  </si>
  <si>
    <t xml:space="preserve">MVS Sec.17 p.40</t>
  </si>
  <si>
    <t xml:space="preserve">Hog Barns – Breeding/Gestation</t>
  </si>
  <si>
    <t xml:space="preserve">109</t>
  </si>
  <si>
    <t xml:space="preserve">Hog Barns – Farrowing</t>
  </si>
  <si>
    <t xml:space="preserve">110</t>
  </si>
  <si>
    <t xml:space="preserve">41</t>
  </si>
  <si>
    <t xml:space="preserve">MVS Sec.17 p.41</t>
  </si>
  <si>
    <t xml:space="preserve">Hog Barns – Finishing</t>
  </si>
  <si>
    <t xml:space="preserve">111</t>
  </si>
  <si>
    <t xml:space="preserve">Modified Hog Sheds</t>
  </si>
  <si>
    <t xml:space="preserve">429</t>
  </si>
  <si>
    <t xml:space="preserve">42</t>
  </si>
  <si>
    <t xml:space="preserve">MVS Sec.17 p.42</t>
  </si>
  <si>
    <t xml:space="preserve">Hog Sheds</t>
  </si>
  <si>
    <t xml:space="preserve">430</t>
  </si>
  <si>
    <t xml:space="preserve">Sheep Barns</t>
  </si>
  <si>
    <t xml:space="preserve">397</t>
  </si>
  <si>
    <t xml:space="preserve">44</t>
  </si>
  <si>
    <t xml:space="preserve">MVS Sec.17 p.44</t>
  </si>
  <si>
    <t xml:space="preserve">Sheep Sheds</t>
  </si>
  <si>
    <t xml:space="preserve">120</t>
  </si>
  <si>
    <t xml:space="preserve">Poultry Floor Operation – Breeder Houses</t>
  </si>
  <si>
    <t xml:space="preserve">117</t>
  </si>
  <si>
    <t xml:space="preserve">46</t>
  </si>
  <si>
    <t xml:space="preserve">MVS Sec.17 p.46</t>
  </si>
  <si>
    <t xml:space="preserve">Poultry Floor Operation – Broiler Houses</t>
  </si>
  <si>
    <t xml:space="preserve">118</t>
  </si>
  <si>
    <t xml:space="preserve">Poultry Cage Operation – Enclosed Houses</t>
  </si>
  <si>
    <t xml:space="preserve">474</t>
  </si>
  <si>
    <t xml:space="preserve">47</t>
  </si>
  <si>
    <t xml:space="preserve">MVS Sec.17 p.47</t>
  </si>
  <si>
    <t xml:space="preserve">Poultry Cage Operation – Screened Houses</t>
  </si>
  <si>
    <t xml:space="preserve">115</t>
  </si>
  <si>
    <t xml:space="preserve">Farm Labor Housing – Dormitories</t>
  </si>
  <si>
    <t xml:space="preserve">393</t>
  </si>
  <si>
    <t xml:space="preserve">49</t>
  </si>
  <si>
    <t xml:space="preserve">MVS Sec.17 p.49</t>
  </si>
  <si>
    <t xml:space="preserve">Transient Labor Cabins</t>
  </si>
  <si>
    <t xml:space="preserve">394</t>
  </si>
  <si>
    <t xml:space="preserve">Hunting Shelters</t>
  </si>
  <si>
    <t xml:space="preserve">155</t>
  </si>
  <si>
    <t xml:space="preserve">High Schools</t>
  </si>
  <si>
    <t xml:space="preserve">484</t>
  </si>
  <si>
    <t xml:space="preserve">MVS Sec.18 p.9</t>
  </si>
  <si>
    <t xml:space="preserve">Middle (Junior High) Schools</t>
  </si>
  <si>
    <t xml:space="preserve">366</t>
  </si>
  <si>
    <t xml:space="preserve">MVS Sec.18 p.10</t>
  </si>
  <si>
    <t xml:space="preserve">Elementary Schools</t>
  </si>
  <si>
    <t xml:space="preserve">365</t>
  </si>
  <si>
    <t xml:space="preserve">MVS Sec.18 p.11</t>
  </si>
  <si>
    <t xml:space="preserve">Vocational Schools</t>
  </si>
  <si>
    <t xml:space="preserve">487</t>
  </si>
  <si>
    <t xml:space="preserve">MVS Sec.18 p.12</t>
  </si>
  <si>
    <t xml:space="preserve">Alternative (High) Schools</t>
  </si>
  <si>
    <t xml:space="preserve">156</t>
  </si>
  <si>
    <t xml:space="preserve">MVS Sec.18 p.13</t>
  </si>
  <si>
    <t xml:space="preserve">Day Care Centers</t>
  </si>
  <si>
    <t xml:space="preserve">426</t>
  </si>
  <si>
    <t xml:space="preserve">Classrooms</t>
  </si>
  <si>
    <t xml:space="preserve">356</t>
  </si>
  <si>
    <t xml:space="preserve">MVS Sec.18 p.14</t>
  </si>
  <si>
    <t xml:space="preserve">Special Education Classrooms</t>
  </si>
  <si>
    <t xml:space="preserve">158</t>
  </si>
  <si>
    <t xml:space="preserve">MVS Sec.18 p.15</t>
  </si>
  <si>
    <t xml:space="preserve">Relocatable Classrooms</t>
  </si>
  <si>
    <t xml:space="preserve">598</t>
  </si>
  <si>
    <t xml:space="preserve">Manual Arts (Shop) Buildings</t>
  </si>
  <si>
    <t xml:space="preserve">361</t>
  </si>
  <si>
    <t xml:space="preserve">MVS Sec.18 p.16</t>
  </si>
  <si>
    <t xml:space="preserve">Lecture Classrooms</t>
  </si>
  <si>
    <t xml:space="preserve">359</t>
  </si>
  <si>
    <t xml:space="preserve">Multipurpose Buildings</t>
  </si>
  <si>
    <t xml:space="preserve">362</t>
  </si>
  <si>
    <t xml:space="preserve">MVS Sec.18 p.17</t>
  </si>
  <si>
    <t xml:space="preserve">Laboratory Classrooms</t>
  </si>
  <si>
    <t xml:space="preserve">364</t>
  </si>
  <si>
    <t xml:space="preserve">Elementary and Secondary Media Centers (Libraries)</t>
  </si>
  <si>
    <t xml:space="preserve">360</t>
  </si>
  <si>
    <t xml:space="preserve">MVS Sec.18 p.18</t>
  </si>
  <si>
    <t xml:space="preserve">Academic (College) Libraries</t>
  </si>
  <si>
    <t xml:space="preserve">372</t>
  </si>
  <si>
    <t xml:space="preserve">MVS Sec.18 p.19</t>
  </si>
  <si>
    <t xml:space="preserve">Fine Arts Buildings</t>
  </si>
  <si>
    <t xml:space="preserve">355</t>
  </si>
  <si>
    <t xml:space="preserve">MVS Sec.18 p.20</t>
  </si>
  <si>
    <t xml:space="preserve">Book Stores</t>
  </si>
  <si>
    <t xml:space="preserve">488</t>
  </si>
  <si>
    <t xml:space="preserve">Restroom Buildings</t>
  </si>
  <si>
    <t xml:space="preserve">432</t>
  </si>
  <si>
    <t xml:space="preserve">MVS Sec.18 p.21</t>
  </si>
  <si>
    <t xml:space="preserve">Maintenance (Storage) Buildings</t>
  </si>
  <si>
    <t xml:space="preserve">157</t>
  </si>
  <si>
    <t xml:space="preserve">Natatoriums</t>
  </si>
  <si>
    <t xml:space="preserve">485</t>
  </si>
  <si>
    <t xml:space="preserve">MVS Sec.18 p.22</t>
  </si>
  <si>
    <t xml:space="preserve">Shower Room Buildings</t>
  </si>
  <si>
    <t xml:space="preserve">403</t>
  </si>
  <si>
    <t xml:space="preserve">Fieldhouses</t>
  </si>
  <si>
    <t xml:space="preserve">486</t>
  </si>
  <si>
    <t xml:space="preserve">MVS Sec.18 p.23</t>
  </si>
  <si>
    <t xml:space="preserve">Physical Education Buildings</t>
  </si>
  <si>
    <t xml:space="preserve">375</t>
  </si>
  <si>
    <t xml:space="preserve">MVS Sec.18 p.24</t>
  </si>
  <si>
    <t xml:space="preserve">Gymnasiums</t>
  </si>
  <si>
    <t xml:space="preserve">358</t>
  </si>
  <si>
    <t xml:space="preserve">MVS Sec.18 p.25</t>
  </si>
  <si>
    <t xml:space="preserve">Colleges</t>
  </si>
  <si>
    <t xml:space="preserve">377</t>
  </si>
  <si>
    <t xml:space="preserve">MVS Sec.18 p.26</t>
  </si>
  <si>
    <t xml:space="preserve">College Classrooms</t>
  </si>
  <si>
    <t xml:space="preserve">368</t>
  </si>
  <si>
    <t xml:space="preserve">MVS Sec.18 p.27</t>
  </si>
  <si>
    <t xml:space="preserve">Technical Trades Buildings</t>
  </si>
  <si>
    <t xml:space="preserve">373</t>
  </si>
  <si>
    <t xml:space="preserve">MVS Sec.18 p.28</t>
  </si>
  <si>
    <t xml:space="preserve">Lecture Hall Buildings</t>
  </si>
  <si>
    <t xml:space="preserve">371</t>
  </si>
  <si>
    <t xml:space="preserve">Arts &amp; Crafts Buildings</t>
  </si>
  <si>
    <t xml:space="preserve">367</t>
  </si>
  <si>
    <t xml:space="preserve">MVS Sec.18 p.29</t>
  </si>
  <si>
    <t xml:space="preserve">Science Buildings</t>
  </si>
  <si>
    <t xml:space="preserve">376</t>
  </si>
  <si>
    <t xml:space="preserve">MVS Sec.18 p.30</t>
  </si>
  <si>
    <t xml:space="preserve">Commons</t>
  </si>
  <si>
    <t xml:space="preserve">369</t>
  </si>
  <si>
    <t xml:space="preserve">MVS Sec.18 p.31</t>
  </si>
  <si>
    <t xml:space="preserve">Administration (Office) Buildings</t>
  </si>
  <si>
    <t xml:space="preserve">600</t>
  </si>
  <si>
    <t xml:space="preserve">MVS Sec.18 p.32</t>
  </si>
  <si>
    <t xml:space="preserve">Relocatable Offices</t>
  </si>
  <si>
    <t xml:space="preserve">599</t>
  </si>
  <si>
    <t xml:space="preserve">MVS Sec.18 p.33</t>
  </si>
  <si>
    <t xml:space="preserve">Commercial (Institutional) Greenhouses</t>
  </si>
  <si>
    <t xml:space="preserve">171</t>
  </si>
  <si>
    <t xml:space="preserve">MVS Sec.18 p.34</t>
  </si>
  <si>
    <t xml:space="preserve">REFERENCE 4 -- Occupancy Master List (dropdown source / lookup attributes)</t>
  </si>
  <si>
    <t xml:space="preserve">Story-Height Tbl (Sec.)</t>
  </si>
  <si>
    <t xml:space="preserve">Sprinkler Tbl (Sec.)</t>
  </si>
  <si>
    <t xml:space="preserve">Depr Table (C=Commercial Sec.97 p.24 / R=Residential p.25)</t>
  </si>
  <si>
    <t xml:space="preserve">R</t>
  </si>
  <si>
    <t xml:space="preserve">-</t>
  </si>
  <si>
    <t xml:space="preserve">REFERENCE 4b -- County OCC Code -&gt; MVS Occupancy map (drives the Cost Approach auto-selection from the Subject Property's OCC code). Codes are numeric to match Subj_OccCode. Codes with no calculator table are listed below the named range with the reason.</t>
  </si>
  <si>
    <t xml:space="preserve">County OCC Code</t>
  </si>
  <si>
    <t xml:space="preserve">County Description</t>
  </si>
  <si>
    <t xml:space="preserve">MVS Occupancy (Reference 4)</t>
  </si>
  <si>
    <t xml:space="preserve">Studio Loft</t>
  </si>
  <si>
    <t xml:space="preserve">Single Family Residential</t>
  </si>
  <si>
    <t xml:space="preserve">Ag Single Family Residential-not integral</t>
  </si>
  <si>
    <t xml:space="preserve">Duplex</t>
  </si>
  <si>
    <t xml:space="preserve">Attached Single Family Residential</t>
  </si>
  <si>
    <t xml:space="preserve">Apartment w/4-8 Units</t>
  </si>
  <si>
    <t xml:space="preserve">Apartment w/9 + Units</t>
  </si>
  <si>
    <t xml:space="preserve">Light Commercial - Manufacturing Utility Bldg</t>
  </si>
  <si>
    <t xml:space="preserve">Computer Centers</t>
  </si>
  <si>
    <t xml:space="preserve">Nursery/Greenhouse</t>
  </si>
  <si>
    <t xml:space="preserve">Industrial Flex Mall Building</t>
  </si>
  <si>
    <t xml:space="preserve">Laboratories</t>
  </si>
  <si>
    <t xml:space="preserve">Light Industrial Shell Buildings</t>
  </si>
  <si>
    <t xml:space="preserve">Recreational Pool Enclosure</t>
  </si>
  <si>
    <t xml:space="preserve">Complete Auto Dealership</t>
  </si>
  <si>
    <t xml:space="preserve">Kennel</t>
  </si>
  <si>
    <t xml:space="preserve">Apartments (Hi-Rise)</t>
  </si>
  <si>
    <t xml:space="preserve">Auditorium</t>
  </si>
  <si>
    <t xml:space="preserve">Showroom</t>
  </si>
  <si>
    <t xml:space="preserve">Bank</t>
  </si>
  <si>
    <t xml:space="preserve">Drive-up Mini Banks</t>
  </si>
  <si>
    <t xml:space="preserve">Bowling Alley</t>
  </si>
  <si>
    <t xml:space="preserve">Church</t>
  </si>
  <si>
    <t xml:space="preserve">City Club</t>
  </si>
  <si>
    <t xml:space="preserve">Clubhouse</t>
  </si>
  <si>
    <t xml:space="preserve">Convlsnt Hosp Nursing Home</t>
  </si>
  <si>
    <t xml:space="preserve">Country Club</t>
  </si>
  <si>
    <t xml:space="preserve">Department Store</t>
  </si>
  <si>
    <t xml:space="preserve">Discount Store</t>
  </si>
  <si>
    <t xml:space="preserve">Dispensary</t>
  </si>
  <si>
    <t xml:space="preserve">Dormitory Residence Halls</t>
  </si>
  <si>
    <t xml:space="preserve">Fraternal Building</t>
  </si>
  <si>
    <t xml:space="preserve">Service Garage</t>
  </si>
  <si>
    <t xml:space="preserve">Storage Garage</t>
  </si>
  <si>
    <t xml:space="preserve">Storage Hanger</t>
  </si>
  <si>
    <t xml:space="preserve">Hospital</t>
  </si>
  <si>
    <t xml:space="preserve">Hotel - Full Service</t>
  </si>
  <si>
    <t xml:space="preserve">Indust Heavy Manufacturing</t>
  </si>
  <si>
    <t xml:space="preserve">Indust Lght Manufacturing</t>
  </si>
  <si>
    <t xml:space="preserve">Jail - Correctional Facility</t>
  </si>
  <si>
    <t xml:space="preserve">Laundromat</t>
  </si>
  <si>
    <t xml:space="preserve">Lumber Storage - Horizontal</t>
  </si>
  <si>
    <t xml:space="preserve">Market</t>
  </si>
  <si>
    <t xml:space="preserve">Medical Offices</t>
  </si>
  <si>
    <t xml:space="preserve">Mortuary</t>
  </si>
  <si>
    <t xml:space="preserve">Motel</t>
  </si>
  <si>
    <t xml:space="preserve">Office Building</t>
  </si>
  <si>
    <t xml:space="preserve">Parking Structure</t>
  </si>
  <si>
    <t xml:space="preserve">Post Office</t>
  </si>
  <si>
    <t xml:space="preserve">Fast Food Restaurant</t>
  </si>
  <si>
    <t xml:space="preserve">Restaurant</t>
  </si>
  <si>
    <t xml:space="preserve">Multiple - Residential</t>
  </si>
  <si>
    <t xml:space="preserve">Retail Store</t>
  </si>
  <si>
    <t xml:space="preserve">School - Classroom</t>
  </si>
  <si>
    <t xml:space="preserve">School - Gymnasium</t>
  </si>
  <si>
    <t xml:space="preserve">School - Lecture Hall</t>
  </si>
  <si>
    <t xml:space="preserve">School - Manual Arts</t>
  </si>
  <si>
    <t xml:space="preserve">College - Classrooms</t>
  </si>
  <si>
    <t xml:space="preserve">Stable</t>
  </si>
  <si>
    <t xml:space="preserve">Theatre - Motion</t>
  </si>
  <si>
    <t xml:space="preserve">Veterinary Hospital</t>
  </si>
  <si>
    <t xml:space="preserve">Barber/Beauty Shop</t>
  </si>
  <si>
    <t xml:space="preserve">Mini Warehouse</t>
  </si>
  <si>
    <t xml:space="preserve">Transit Warehouse</t>
  </si>
  <si>
    <t xml:space="preserve">Equipment Implement</t>
  </si>
  <si>
    <t xml:space="preserve">Lumber Storage - Vertical</t>
  </si>
  <si>
    <t xml:space="preserve">Storage - Material</t>
  </si>
  <si>
    <t xml:space="preserve">Industrial Engineering &amp; Research</t>
  </si>
  <si>
    <t xml:space="preserve">Barn</t>
  </si>
  <si>
    <t xml:space="preserve">Shed - Equipment</t>
  </si>
  <si>
    <t xml:space="preserve">Shower Building</t>
  </si>
  <si>
    <t xml:space="preserve">Farm Utility Building</t>
  </si>
  <si>
    <t xml:space="preserve">Skating Rink</t>
  </si>
  <si>
    <t xml:space="preserve">Storage Warehouse</t>
  </si>
  <si>
    <t xml:space="preserve">Distribution Warehouse</t>
  </si>
  <si>
    <t xml:space="preserve">T-Hanger</t>
  </si>
  <si>
    <t xml:space="preserve">Automotive Center</t>
  </si>
  <si>
    <t xml:space="preserve">Neighborhood Shopping Center</t>
  </si>
  <si>
    <t xml:space="preserve">Community Shopping Center</t>
  </si>
  <si>
    <t xml:space="preserve">Regional Shopping Center</t>
  </si>
  <si>
    <t xml:space="preserve">Health Club</t>
  </si>
  <si>
    <t xml:space="preserve">Convenience Store</t>
  </si>
  <si>
    <t xml:space="preserve">Shed - Tool</t>
  </si>
  <si>
    <t xml:space="preserve">Mini Lube Garage</t>
  </si>
  <si>
    <t xml:space="preserve">Industrial WH Condo</t>
  </si>
  <si>
    <t xml:space="preserve">Day Care Center</t>
  </si>
  <si>
    <t xml:space="preserve">Storage - Utility Grain</t>
  </si>
  <si>
    <t xml:space="preserve">Surgical Center - Out patient</t>
  </si>
  <si>
    <t xml:space="preserve">Restroom Building/Concessions</t>
  </si>
  <si>
    <t xml:space="preserve">Cocktail Lounge</t>
  </si>
  <si>
    <t xml:space="preserve">Bar/Tavern</t>
  </si>
  <si>
    <t xml:space="preserve">Dental Office/ Clinic</t>
  </si>
  <si>
    <t xml:space="preserve">SuperMarket</t>
  </si>
  <si>
    <t xml:space="preserve">Cold Storage Warehouse</t>
  </si>
  <si>
    <t xml:space="preserve">Farm Office</t>
  </si>
  <si>
    <t xml:space="preserve">Equipment Building</t>
  </si>
  <si>
    <t xml:space="preserve">Modular Office</t>
  </si>
  <si>
    <t xml:space="preserve">Vegetable Building</t>
  </si>
  <si>
    <t xml:space="preserve">Convention Center</t>
  </si>
  <si>
    <t xml:space="preserve">Fitness Center</t>
  </si>
  <si>
    <t xml:space="preserve">Golf Cart Storage Bldgs</t>
  </si>
  <si>
    <t xml:space="preserve">Mini Warehouse Hi-rise</t>
  </si>
  <si>
    <t xml:space="preserve">Snack Bar</t>
  </si>
  <si>
    <t xml:space="preserve">Warehouse Food Store</t>
  </si>
  <si>
    <t xml:space="preserve">Warehouse Showroom Store</t>
  </si>
  <si>
    <t xml:space="preserve">Office-Apartment</t>
  </si>
  <si>
    <t xml:space="preserve">Arch-Rib Quonset Utility</t>
  </si>
  <si>
    <t xml:space="preserve">Arch-Rib Quonset Farm Implement</t>
  </si>
  <si>
    <t xml:space="preserve">Arcade</t>
  </si>
  <si>
    <t xml:space="preserve">Truck Stop Restaurant</t>
  </si>
  <si>
    <t xml:space="preserve">Branch Post Office</t>
  </si>
  <si>
    <t xml:space="preserve">Mega Warehouse</t>
  </si>
  <si>
    <t xml:space="preserve">Light Commercial-Commodity Warehouse</t>
  </si>
  <si>
    <t xml:space="preserve">Hotels - Limited Service</t>
  </si>
  <si>
    <t xml:space="preserve">Extended Stay Motels</t>
  </si>
  <si>
    <t xml:space="preserve">Office Building - Condo</t>
  </si>
  <si>
    <t xml:space="preserve">Retail Store - Condo</t>
  </si>
  <si>
    <t xml:space="preserve">Warehouse Discount Store</t>
  </si>
  <si>
    <t xml:space="preserve">Light Commercial Utility</t>
  </si>
  <si>
    <t xml:space="preserve">Material Shelters</t>
  </si>
  <si>
    <t xml:space="preserve">Office Conversion</t>
  </si>
  <si>
    <t xml:space="preserve">County codes with NO calculator-method table (Cost Approach will ask for manual selection/override):</t>
  </si>
  <si>
    <t xml:space="preserve">Residential Out Structure</t>
  </si>
  <si>
    <t xml:space="preserve">Residential out structure -- no commercial MVS table; price from MVS Sec.12/64 directly</t>
  </si>
  <si>
    <t xml:space="preserve">Detached Garage</t>
  </si>
  <si>
    <t xml:space="preserve">Detached garage -- MVS 12-35 residential garages are size-priced; see Reference 14</t>
  </si>
  <si>
    <t xml:space="preserve">Parking Lot</t>
  </si>
  <si>
    <t xml:space="preserve">Parking lot -- land/yard improvement (MVS Sec.66), no building cost table</t>
  </si>
  <si>
    <t xml:space="preserve">Firing Range Buildings</t>
  </si>
  <si>
    <t xml:space="preserve">Firing range -- MVS 15-31 Miscellaneous Structures; price manually</t>
  </si>
  <si>
    <t xml:space="preserve">Golf Course *CODE</t>
  </si>
  <si>
    <t xml:space="preserve">Golf course -- MVS Sec.67 recreation; land improvement</t>
  </si>
  <si>
    <t xml:space="preserve">Industiral Interior Office Space</t>
  </si>
  <si>
    <t xml:space="preserve">Industrial interior office space -- component add-on (MVS 14-35); see Reference 14</t>
  </si>
  <si>
    <t xml:space="preserve">Miscellaneous OB</t>
  </si>
  <si>
    <t xml:space="preserve">Miscellaneous OB -- no matching MVS occupancy; select manually</t>
  </si>
  <si>
    <t xml:space="preserve">Service Station</t>
  </si>
  <si>
    <t xml:space="preserve">Service station -- MVS Sec.64 prefabricated buildings; price manually</t>
  </si>
  <si>
    <t xml:space="preserve">Utility Bldg Res</t>
  </si>
  <si>
    <t xml:space="preserve">Residential utility building -- price from MVS Sec.12/17 directly</t>
  </si>
  <si>
    <t xml:space="preserve">Car Wash - Self Service</t>
  </si>
  <si>
    <t xml:space="preserve">Car wash (self service) -- MVS Sec.64 p.4; price manually</t>
  </si>
  <si>
    <t xml:space="preserve">Car Wash - Drive thru</t>
  </si>
  <si>
    <t xml:space="preserve">Car wash (drive-thru) -- MVS Sec.64 p.4; price manually</t>
  </si>
  <si>
    <t xml:space="preserve">Car Wash - Automatic</t>
  </si>
  <si>
    <t xml:space="preserve">Car wash (automatic) -- MVS Sec.64 p.4; price manually</t>
  </si>
  <si>
    <t xml:space="preserve">Prefab Metal Building *CODE</t>
  </si>
  <si>
    <t xml:space="preserve">Prefab metal building (*CODE flagged) -- pick the matching occupancy manually</t>
  </si>
  <si>
    <t xml:space="preserve">Self Service Booth</t>
  </si>
  <si>
    <t xml:space="preserve">Self service booth -- MVS Sec.64 food booths; price manually</t>
  </si>
  <si>
    <t xml:space="preserve">Grain Elevator Concrete</t>
  </si>
  <si>
    <t xml:space="preserve">Grain elevator (concrete) -- MVS 17-51 per-bushel schedule; see Reference 14</t>
  </si>
  <si>
    <t xml:space="preserve">Grain Elevator Conc Annex</t>
  </si>
  <si>
    <t xml:space="preserve">Grain elevator annex -- MVS 17-51; see Reference 14</t>
  </si>
  <si>
    <t xml:space="preserve">Grain Elevator Low</t>
  </si>
  <si>
    <t xml:space="preserve">Grain elevator (low) -- MVS 17-51; see Reference 14</t>
  </si>
  <si>
    <t xml:space="preserve">Grain Elevator Average</t>
  </si>
  <si>
    <t xml:space="preserve">Grain elevator (average) -- MVS 17-51; see Reference 14</t>
  </si>
  <si>
    <t xml:space="preserve">Salvage</t>
  </si>
  <si>
    <t xml:space="preserve">Salvage -- condition category, not an occupancy</t>
  </si>
  <si>
    <t xml:space="preserve">R V Parks *CODE</t>
  </si>
  <si>
    <t xml:space="preserve">RV park (*CODE flagged) -- MVS Sec.63; land improvement schedule</t>
  </si>
  <si>
    <t xml:space="preserve">Mobile Home Parks *CODE</t>
  </si>
  <si>
    <t xml:space="preserve">Mobile home park (*CODE flagged) -- MVS Sec.63; land improvement schedule</t>
  </si>
  <si>
    <t xml:space="preserve">Parking lot -- land/yard improvement (MVS Sec.66)</t>
  </si>
  <si>
    <t xml:space="preserve">Parking Lot Income Producing</t>
  </si>
  <si>
    <t xml:space="preserve">Parking lot (income producing) -- land/yard improvement (MVS Sec.66)</t>
  </si>
  <si>
    <t xml:space="preserve">REFERENCE 5 -- Story Height Multiplier Tables (per MVS section). Sections 12 and 17 publish no story-height multiplier table -- multiplier 1.000 is used automatically.</t>
  </si>
  <si>
    <t xml:space="preserve">Section 11 (base = 10 ft) -- MVS 11-36</t>
  </si>
  <si>
    <t xml:space="preserve">Height (ft)</t>
  </si>
  <si>
    <t xml:space="preserve">Multiplier</t>
  </si>
  <si>
    <t xml:space="preserve">Section 13 (base = 12 ft) -- MVS 13-41</t>
  </si>
  <si>
    <t xml:space="preserve">Section 14 (base = 14 ft) -- MVS 14-38</t>
  </si>
  <si>
    <t xml:space="preserve">Section 15 (base = 12 ft) -- MVS 15-38</t>
  </si>
  <si>
    <t xml:space="preserve">Section 16 (base = 16 ft) -- MVS 16-26</t>
  </si>
  <si>
    <t xml:space="preserve">Section 18 (base = 10 ft) -- MVS 18-37</t>
  </si>
  <si>
    <t xml:space="preserve">REFERENCE 6 -- Sprinkler Add-On Cost Tables ($/SF, wet systems by coverage; dry columns for reference). Section 17 publishes no sprinkler table -- 0 is used; price manually from MVS Sec.53 if sprinklered.</t>
  </si>
  <si>
    <t xml:space="preserve">(quality header row, used by lookup formulas)</t>
  </si>
  <si>
    <t xml:space="preserve">Section 11 -- MVS 11-35</t>
  </si>
  <si>
    <t xml:space="preserve">Coverage (SF)</t>
  </si>
  <si>
    <t xml:space="preserve">Wet-Low</t>
  </si>
  <si>
    <t xml:space="preserve">Wet-Avg</t>
  </si>
  <si>
    <t xml:space="preserve">Wet-Good</t>
  </si>
  <si>
    <t xml:space="preserve">Wet-Excl</t>
  </si>
  <si>
    <t xml:space="preserve">Dry-Low</t>
  </si>
  <si>
    <t xml:space="preserve">Dry-Avg</t>
  </si>
  <si>
    <t xml:space="preserve">Dry-Good</t>
  </si>
  <si>
    <t xml:space="preserve">Dry-Excl</t>
  </si>
  <si>
    <t xml:space="preserve">Section 12 -- MVS 12-39 (simple residential installs run 4.04-6.22/SF flat)</t>
  </si>
  <si>
    <t xml:space="preserve">Section 13 -- MVS 13-40</t>
  </si>
  <si>
    <t xml:space="preserve">Section 14 -- MVS 14-37</t>
  </si>
  <si>
    <t xml:space="preserve">Section 15 -- MVS 15-37</t>
  </si>
  <si>
    <t xml:space="preserve">Section 16 -- MVS 16-25</t>
  </si>
  <si>
    <t xml:space="preserve">Section 18 -- MVS 18-36</t>
  </si>
  <si>
    <t xml:space="preserve">REFERENCE 7 -- Elevator Lump-Sum + Per-Stop Cost Tables (per MVS section) -- for manual add/deduct</t>
  </si>
  <si>
    <t xml:space="preserve">Type</t>
  </si>
  <si>
    <t xml:space="preserve">Low</t>
  </si>
  <si>
    <t xml:space="preserve">Passenger, 2-3 story (base)</t>
  </si>
  <si>
    <t xml:space="preserve">Passenger, 4-7 story (base)</t>
  </si>
  <si>
    <t xml:space="preserve">Passenger, 8-story+ (base)</t>
  </si>
  <si>
    <t xml:space="preserve">Passenger, per stop</t>
  </si>
  <si>
    <t xml:space="preserve">Freight, 2-3 story (base)</t>
  </si>
  <si>
    <t xml:space="preserve">Freight, 4-story+ (base)</t>
  </si>
  <si>
    <t xml:space="preserve">Freight, per stop (manual doors)</t>
  </si>
  <si>
    <t xml:space="preserve">Freight, per stop (power doors)</t>
  </si>
  <si>
    <t xml:space="preserve">Escalator, per stairway</t>
  </si>
  <si>
    <t xml:space="preserve">Vertical wheelchair lift, each</t>
  </si>
  <si>
    <t xml:space="preserve">Section 12 -- MVS 12-38</t>
  </si>
  <si>
    <t xml:space="preserve">Section 13 [Sec.14 schedule applies] -- MVS 13-39</t>
  </si>
  <si>
    <t xml:space="preserve">Passenger, 2-3 story (base) [see Sec.14 sched.]</t>
  </si>
  <si>
    <t xml:space="preserve">Passenger, per stop [see Sec.14 sched.]</t>
  </si>
  <si>
    <t xml:space="preserve">Section 14 -- MVS 14-36</t>
  </si>
  <si>
    <t xml:space="preserve">Passenger, 4-story+ (base)</t>
  </si>
  <si>
    <t xml:space="preserve">Section 15 -- MVS 15-36</t>
  </si>
  <si>
    <t xml:space="preserve">Section 16 -- MVS 16-24</t>
  </si>
  <si>
    <t xml:space="preserve">Orchestra lifts</t>
  </si>
  <si>
    <t xml:space="preserve">Section 18 -- MVS 18-35</t>
  </si>
  <si>
    <t xml:space="preserve">REFERENCE 8 -- Current Cost Multipliers, by Region x Class x Calculator Section (MVS Sec.99 p.3, Jan 2025 insert). Colorado assumed WESTERN region.</t>
  </si>
  <si>
    <t xml:space="preserve">Region</t>
  </si>
  <si>
    <t xml:space="preserve">Sec.11</t>
  </si>
  <si>
    <t xml:space="preserve">Sec.12</t>
  </si>
  <si>
    <t xml:space="preserve">Sec.13</t>
  </si>
  <si>
    <t xml:space="preserve">Sec.14</t>
  </si>
  <si>
    <t xml:space="preserve">Sec.15</t>
  </si>
  <si>
    <t xml:space="preserve">Sec.16</t>
  </si>
  <si>
    <t xml:space="preserve">Sec.17</t>
  </si>
  <si>
    <t xml:space="preserve">Sec.18</t>
  </si>
  <si>
    <t xml:space="preserve">EASTERN</t>
  </si>
  <si>
    <t xml:space="preserve">CENTRAL</t>
  </si>
  <si>
    <t xml:space="preserve">WESTERN</t>
  </si>
  <si>
    <t xml:space="preserve">REFERENCE 9 -- Local Area Multipliers, Colorado (MVS Sec.99 p.7, Jan 2025 insert)</t>
  </si>
  <si>
    <t xml:space="preserve">City / Area</t>
  </si>
  <si>
    <t xml:space="preserve">Class A</t>
  </si>
  <si>
    <t xml:space="preserve">Class B</t>
  </si>
  <si>
    <t xml:space="preserve">Class C</t>
  </si>
  <si>
    <t xml:space="preserve">Class D</t>
  </si>
  <si>
    <t xml:space="preserve">Class S</t>
  </si>
  <si>
    <t xml:space="preserve">Colorado (statewide average)</t>
  </si>
  <si>
    <t xml:space="preserve">Aspen</t>
  </si>
  <si>
    <t xml:space="preserve">Boulder</t>
  </si>
  <si>
    <t xml:space="preserve">Colorado Springs</t>
  </si>
  <si>
    <t xml:space="preserve">Costilla County</t>
  </si>
  <si>
    <t xml:space="preserve">Denver</t>
  </si>
  <si>
    <t xml:space="preserve">Durango</t>
  </si>
  <si>
    <t xml:space="preserve">Eagle County (excl. resort areas)</t>
  </si>
  <si>
    <t xml:space="preserve">Fort Collins</t>
  </si>
  <si>
    <t xml:space="preserve">Grand Junction</t>
  </si>
  <si>
    <t xml:space="preserve">Greeley</t>
  </si>
  <si>
    <t xml:space="preserve">Gunnison County</t>
  </si>
  <si>
    <t xml:space="preserve">Kit Carson County</t>
  </si>
  <si>
    <t xml:space="preserve">Logan County</t>
  </si>
  <si>
    <t xml:space="preserve">Longmont</t>
  </si>
  <si>
    <t xml:space="preserve">Loveland</t>
  </si>
  <si>
    <t xml:space="preserve">Moffat County</t>
  </si>
  <si>
    <t xml:space="preserve">Montrose County</t>
  </si>
  <si>
    <t xml:space="preserve">Prowers County</t>
  </si>
  <si>
    <t xml:space="preserve">Pueblo</t>
  </si>
  <si>
    <t xml:space="preserve">Steamboat Springs</t>
  </si>
  <si>
    <t xml:space="preserve">Vail</t>
  </si>
  <si>
    <t xml:space="preserve">REFERENCE 10 -- Section 98 Denver-Specific Quarterly Cost Index (for De-Trend to Appraisal Date; Jan 2025 = 1.000)</t>
  </si>
  <si>
    <t xml:space="preserve">Do NOT combine with the Local Area Multiplier above -- Sec.98's district/city index is already geographically resolved to Denver (MVS explicit warning, Sec.98 p.1/p.5).</t>
  </si>
  <si>
    <t xml:space="preserve">Quarter</t>
  </si>
  <si>
    <t xml:space="preserve">Jan 2025</t>
  </si>
  <si>
    <t xml:space="preserve">Oct 2024</t>
  </si>
  <si>
    <t xml:space="preserve">Jul 2024</t>
  </si>
  <si>
    <t xml:space="preserve">Apr 2024</t>
  </si>
  <si>
    <t xml:space="preserve">Jan 2024</t>
  </si>
  <si>
    <t xml:space="preserve">Oct 2023</t>
  </si>
  <si>
    <t xml:space="preserve">Jul 2023</t>
  </si>
  <si>
    <t xml:space="preserve">Apr 2023</t>
  </si>
  <si>
    <t xml:space="preserve">Jan 2023</t>
  </si>
  <si>
    <t xml:space="preserve">Oct 2022</t>
  </si>
  <si>
    <t xml:space="preserve">Jul 2022</t>
  </si>
  <si>
    <t xml:space="preserve">Apr 2022</t>
  </si>
  <si>
    <t xml:space="preserve">Jan 2022</t>
  </si>
  <si>
    <t xml:space="preserve">REFERENCE 11 -- Typical Building Life Expectancy, Years (MVS Sec.97 pp.10-16, full transcription mapped to every occupancy above). Where the manual prints joint tiers (e.g. "good and excellent"), each selectable Quality gets its bucket's values. Blank = not tabulated for that class.</t>
  </si>
  <si>
    <t xml:space="preserve">Key</t>
  </si>
  <si>
    <t xml:space="preserve">MVS bucket used</t>
  </si>
  <si>
    <t xml:space="preserve">Homes for the elderly, good</t>
  </si>
  <si>
    <t xml:space="preserve">low cost and average</t>
  </si>
  <si>
    <t xml:space="preserve">Dormitories, good and excellent</t>
  </si>
  <si>
    <t xml:space="preserve">Apartments, mid-, high-rise, good, excellent and luxury</t>
  </si>
  <si>
    <t xml:space="preserve">City clubs, good</t>
  </si>
  <si>
    <t xml:space="preserve">average</t>
  </si>
  <si>
    <t xml:space="preserve">limited service, excellent</t>
  </si>
  <si>
    <t xml:space="preserve">good</t>
  </si>
  <si>
    <t xml:space="preserve">Hotels, full service, good and excellent</t>
  </si>
  <si>
    <t xml:space="preserve">low cost</t>
  </si>
  <si>
    <t xml:space="preserve">Rooming houses, good</t>
  </si>
  <si>
    <t xml:space="preserve">low cost and fair</t>
  </si>
  <si>
    <t xml:space="preserve">Rectories, good and excellent</t>
  </si>
  <si>
    <t xml:space="preserve">Fraternity houses, good and excellent</t>
  </si>
  <si>
    <t xml:space="preserve">Group care homes, good, very good and excellent</t>
  </si>
  <si>
    <t xml:space="preserve">Recreational (pool) enclosures, good</t>
  </si>
  <si>
    <t xml:space="preserve">cheap</t>
  </si>
  <si>
    <t xml:space="preserve">Clubhouses and senior centers, good and excellent</t>
  </si>
  <si>
    <t xml:space="preserve">Country clubs, good and excellent</t>
  </si>
  <si>
    <t xml:space="preserve">Health clubs and spas, good and excellent</t>
  </si>
  <si>
    <t xml:space="preserve">average and good</t>
  </si>
  <si>
    <t xml:space="preserve">Mortuaries, excellent</t>
  </si>
  <si>
    <t xml:space="preserve">Row houses, high-rise, good and excellent</t>
  </si>
  <si>
    <t xml:space="preserve">Motels and extended-stay motels, good and excellent</t>
  </si>
  <si>
    <t xml:space="preserve">fair, low cost and cheap</t>
  </si>
  <si>
    <t xml:space="preserve">Office apartments, good and excellent</t>
  </si>
  <si>
    <t xml:space="preserve">Lodges, very good and excellent</t>
  </si>
  <si>
    <t xml:space="preserve">Guest cottages, excellent</t>
  </si>
  <si>
    <t xml:space="preserve">Bed and breakfast inns, excellent</t>
  </si>
  <si>
    <t xml:space="preserve">Multiple residences, excellent</t>
  </si>
  <si>
    <t xml:space="preserve">Assisted living/retirement complexes, excellent</t>
  </si>
  <si>
    <t xml:space="preserve">Single-family and guest houses, excellent and high value</t>
  </si>
  <si>
    <t xml:space="preserve">average, good and very good</t>
  </si>
  <si>
    <t xml:space="preserve">fair quality</t>
  </si>
  <si>
    <t xml:space="preserve">substandard</t>
  </si>
  <si>
    <t xml:space="preserve">Log homes, excellent</t>
  </si>
  <si>
    <t xml:space="preserve">Town and row houses, excellent</t>
  </si>
  <si>
    <t xml:space="preserve">Bars and taverns, good</t>
  </si>
  <si>
    <t xml:space="preserve">Cocktail lounges, good and excellent</t>
  </si>
  <si>
    <t xml:space="preserve">Restaurants, very good and excellent</t>
  </si>
  <si>
    <t xml:space="preserve">Cafeterias, excellent</t>
  </si>
  <si>
    <t xml:space="preserve">Truck stop restaurants, good</t>
  </si>
  <si>
    <t xml:space="preserve">Dining atriums and playrooms, good to excellent</t>
  </si>
  <si>
    <t xml:space="preserve">low cost, average and good</t>
  </si>
  <si>
    <t xml:space="preserve">Fast-food restaurants, very good and excellent</t>
  </si>
  <si>
    <t xml:space="preserve">Snack bars, excellent</t>
  </si>
  <si>
    <t xml:space="preserve">Banquet halls, excellent</t>
  </si>
  <si>
    <t xml:space="preserve">Modular, resturants excellent</t>
  </si>
  <si>
    <t xml:space="preserve">Markets and supermarkets, excellent</t>
  </si>
  <si>
    <t xml:space="preserve">Drug stores, excellent</t>
  </si>
  <si>
    <t xml:space="preserve">Florist shops, excellent</t>
  </si>
  <si>
    <t xml:space="preserve">Convenience stores, excellent</t>
  </si>
  <si>
    <t xml:space="preserve">Mini-marts, good and excellent</t>
  </si>
  <si>
    <t xml:space="preserve">Roadside markets, excellent</t>
  </si>
  <si>
    <t xml:space="preserve">Luxury boutiques, good</t>
  </si>
  <si>
    <t xml:space="preserve">Winery shops, excellent</t>
  </si>
  <si>
    <t xml:space="preserve">Barber and beauty shops, good</t>
  </si>
  <si>
    <t xml:space="preserve">Laundromats, average</t>
  </si>
  <si>
    <t xml:space="preserve">Laundry/dry cleaning, good</t>
  </si>
  <si>
    <t xml:space="preserve">Dairy sales buildings, average</t>
  </si>
  <si>
    <t xml:space="preserve">Retail stores, good and excellent</t>
  </si>
  <si>
    <t xml:space="preserve">Department stores, good and excellent</t>
  </si>
  <si>
    <t xml:space="preserve">mall anchor stores, average and good</t>
  </si>
  <si>
    <t xml:space="preserve">Discount stores, good</t>
  </si>
  <si>
    <t xml:space="preserve">Warehouse discount stores, good</t>
  </si>
  <si>
    <t xml:space="preserve">showroom, good</t>
  </si>
  <si>
    <t xml:space="preserve">food, good</t>
  </si>
  <si>
    <t xml:space="preserve">mega discount, average and good</t>
  </si>
  <si>
    <t xml:space="preserve">Shopping centers, neighborhood, good</t>
  </si>
  <si>
    <t xml:space="preserve">mixed retail centers with office/residential units, good</t>
  </si>
  <si>
    <t xml:space="preserve">community, good and excellent</t>
  </si>
  <si>
    <t xml:space="preserve">regional discount, good</t>
  </si>
  <si>
    <t xml:space="preserve">regional, good and excellent</t>
  </si>
  <si>
    <t xml:space="preserve">Lofts, excellent</t>
  </si>
  <si>
    <t xml:space="preserve">Industrial flex-mall buildings, average and good</t>
  </si>
  <si>
    <t xml:space="preserve">light, good</t>
  </si>
  <si>
    <t xml:space="preserve">Industrials, manufacturing, heavy, good and excellent</t>
  </si>
  <si>
    <t xml:space="preserve">Industrials, engineering, good and excellent</t>
  </si>
  <si>
    <t xml:space="preserve">Laboratory buildings, good and excellent</t>
  </si>
  <si>
    <t xml:space="preserve">Computer centers, good and excellent</t>
  </si>
  <si>
    <t xml:space="preserve">Broadcasting facilities, good and excellent</t>
  </si>
  <si>
    <t xml:space="preserve">Passenger terminals, very good and excellent</t>
  </si>
  <si>
    <t xml:space="preserve">Post offices, main and branch, good and excellent</t>
  </si>
  <si>
    <t xml:space="preserve">mail processing facilities, good</t>
  </si>
  <si>
    <t xml:space="preserve">Armories, good and excellent</t>
  </si>
  <si>
    <t xml:space="preserve">Warehouses, distribution, good and excellent</t>
  </si>
  <si>
    <t xml:space="preserve">Transit warehouses, average and good</t>
  </si>
  <si>
    <t xml:space="preserve">Cold storage facilities, excellent</t>
  </si>
  <si>
    <t xml:space="preserve">Creameries, good</t>
  </si>
  <si>
    <t xml:space="preserve">cheap and low cost</t>
  </si>
  <si>
    <t xml:space="preserve">Storage and mega storage, excellent</t>
  </si>
  <si>
    <t xml:space="preserve">Mini-warehouses, low and high rise, good</t>
  </si>
  <si>
    <t xml:space="preserve">Hangars, maintenance, excellent</t>
  </si>
  <si>
    <t xml:space="preserve">Storage, excellent</t>
  </si>
  <si>
    <t xml:space="preserve">T-hangars, average</t>
  </si>
  <si>
    <t xml:space="preserve">Complete auto dealerships, good and excellent</t>
  </si>
  <si>
    <t xml:space="preserve">Automotive service centers, good</t>
  </si>
  <si>
    <t xml:space="preserve">Showrooms, good and excellent</t>
  </si>
  <si>
    <t xml:space="preserve">Service and repair garages, good and excellent</t>
  </si>
  <si>
    <t xml:space="preserve">Service garage sheds, good</t>
  </si>
  <si>
    <t xml:space="preserve">Garages, municipal service, excellent</t>
  </si>
  <si>
    <t xml:space="preserve">Mini-lube garages, good and excellent</t>
  </si>
  <si>
    <t xml:space="preserve">Parking structures/parkades, good</t>
  </si>
  <si>
    <t xml:space="preserve">Storage, average</t>
  </si>
  <si>
    <t xml:space="preserve">Offices, good and excellent</t>
  </si>
  <si>
    <t xml:space="preserve">Atriums, good and excellent</t>
  </si>
  <si>
    <t xml:space="preserve">Parking levels, excellent</t>
  </si>
  <si>
    <t xml:space="preserve">Banks, branch and central, good and excellent</t>
  </si>
  <si>
    <t xml:space="preserve">mini, drive-up, good and excellent</t>
  </si>
  <si>
    <t xml:space="preserve">Medical offices, good and excellent</t>
  </si>
  <si>
    <t xml:space="preserve">Dental clinics, good and excellent</t>
  </si>
  <si>
    <t xml:space="preserve">Dispensaries and urgent care, good</t>
  </si>
  <si>
    <t xml:space="preserve">General hospitals, good and excellent</t>
  </si>
  <si>
    <t xml:space="preserve">Outpatient (surgical) centers, good and excellent</t>
  </si>
  <si>
    <t xml:space="preserve">Convalescent hospitals, good and excellent</t>
  </si>
  <si>
    <t xml:space="preserve">Kennels, very good and excellent</t>
  </si>
  <si>
    <t xml:space="preserve">Veterinary hospitals, excellent</t>
  </si>
  <si>
    <t xml:space="preserve">volunteer, good</t>
  </si>
  <si>
    <t xml:space="preserve">Fire stations, staffed, good, very good and excellent</t>
  </si>
  <si>
    <t xml:space="preserve">Governmental buildings, good and excellent</t>
  </si>
  <si>
    <t xml:space="preserve">Community service buildings, excellent</t>
  </si>
  <si>
    <t xml:space="preserve">Public libraries, good, very good and excellent</t>
  </si>
  <si>
    <t xml:space="preserve">Jails, correctional facilities, good and excellent</t>
  </si>
  <si>
    <t xml:space="preserve">Police stations, good and excellent</t>
  </si>
  <si>
    <t xml:space="preserve">Churches, sanctuaries, narthexes, classrooms, excellent</t>
  </si>
  <si>
    <t xml:space="preserve">Fellowship halls, good and excellent</t>
  </si>
  <si>
    <t xml:space="preserve">Theaters, live-stage presentation, good and excellent</t>
  </si>
  <si>
    <t xml:space="preserve">fair and average</t>
  </si>
  <si>
    <t xml:space="preserve">Motion picture/cinema, very good and excellent</t>
  </si>
  <si>
    <t xml:space="preserve">Auditoriums, excellent</t>
  </si>
  <si>
    <t xml:space="preserve">Fraternal buildings, excellent</t>
  </si>
  <si>
    <t xml:space="preserve">Visitor centers, good and excellent</t>
  </si>
  <si>
    <t xml:space="preserve">Convention centers, good and excellent</t>
  </si>
  <si>
    <t xml:space="preserve">Casinos, very good</t>
  </si>
  <si>
    <t xml:space="preserve">Community recreation centers, good and excellent</t>
  </si>
  <si>
    <t xml:space="preserve">Arcade buildings, good and excellent</t>
  </si>
  <si>
    <t xml:space="preserve">Museums, good and excellent</t>
  </si>
  <si>
    <t xml:space="preserve">Skating rinks, good and excellent</t>
  </si>
  <si>
    <t xml:space="preserve">Handball/racquetball clubs, good</t>
  </si>
  <si>
    <t xml:space="preserve">Fitness centers, good and excellent</t>
  </si>
  <si>
    <t xml:space="preserve">Bowling centers, good and excellent</t>
  </si>
  <si>
    <t xml:space="preserve">Indoor tennis clubs, good</t>
  </si>
  <si>
    <t xml:space="preserve">Pavillions, excellent</t>
  </si>
  <si>
    <t xml:space="preserve">very good</t>
  </si>
  <si>
    <t xml:space="preserve">fair and averge</t>
  </si>
  <si>
    <t xml:space="preserve">Commodity warehouse, light commercial, good</t>
  </si>
  <si>
    <t xml:space="preserve">Manufacturing, light commerical utility, good</t>
  </si>
  <si>
    <t xml:space="preserve">Material shelters, good</t>
  </si>
  <si>
    <t xml:space="preserve">Utility buildings and arch-rib, light commercial, good</t>
  </si>
  <si>
    <t xml:space="preserve">Toolshed buildings, good</t>
  </si>
  <si>
    <t xml:space="preserve">Equipment shop buildings, good</t>
  </si>
  <si>
    <t xml:space="preserve">Equipment sheds, good</t>
  </si>
  <si>
    <t xml:space="preserve">Shed office structures, good</t>
  </si>
  <si>
    <t xml:space="preserve">Golf cart storage buildings, good</t>
  </si>
  <si>
    <t xml:space="preserve">Golf starter booths, excellent</t>
  </si>
  <si>
    <t xml:space="preserve">Material storage buildings, good</t>
  </si>
  <si>
    <t xml:space="preserve">Material storage sheds, average</t>
  </si>
  <si>
    <t xml:space="preserve">Bulk oil storage, average</t>
  </si>
  <si>
    <t xml:space="preserve">Lumber storage buildings, good</t>
  </si>
  <si>
    <t xml:space="preserve">Lumber storage sheds, good</t>
  </si>
  <si>
    <t xml:space="preserve">Boat storage buildings, good</t>
  </si>
  <si>
    <t xml:space="preserve">Boat storage sheds, good</t>
  </si>
  <si>
    <t xml:space="preserve">Bag fertilizer storage, average</t>
  </si>
  <si>
    <t xml:space="preserve">Bulk fertilizer storage, average</t>
  </si>
  <si>
    <t xml:space="preserve">Tobacco barns, flue curing, average</t>
  </si>
  <si>
    <t xml:space="preserve">air curing, average</t>
  </si>
  <si>
    <t xml:space="preserve">Dehydrator buildings, average</t>
  </si>
  <si>
    <t xml:space="preserve">Cold storage buildings, good</t>
  </si>
  <si>
    <t xml:space="preserve">Fruit-packing barns, average</t>
  </si>
  <si>
    <t xml:space="preserve">Potato storage buildings, good</t>
  </si>
  <si>
    <t xml:space="preserve">Vegetable storage buildings, good</t>
  </si>
  <si>
    <t xml:space="preserve">Controlled atmosphere storage, average</t>
  </si>
  <si>
    <t xml:space="preserve">fair</t>
  </si>
  <si>
    <t xml:space="preserve">Greenhouses, straight wall, very good and excellent</t>
  </si>
  <si>
    <t xml:space="preserve">hoop structures, very good</t>
  </si>
  <si>
    <t xml:space="preserve">shade shelters, low cost and average</t>
  </si>
  <si>
    <t xml:space="preserve">Lath shade houses, average</t>
  </si>
  <si>
    <t xml:space="preserve">Flathouse storage buildings, good</t>
  </si>
  <si>
    <t xml:space="preserve">Feed handling and mixing, average</t>
  </si>
  <si>
    <t xml:space="preserve">Cotton gin buildings, average</t>
  </si>
  <si>
    <t xml:space="preserve">Seed processing storage, average</t>
  </si>
  <si>
    <t xml:space="preserve">secure storage, average and good</t>
  </si>
  <si>
    <t xml:space="preserve">Prefabricated storage sheds, good and excellent</t>
  </si>
  <si>
    <t xml:space="preserve">Corncrib bins, good and excellent</t>
  </si>
  <si>
    <t xml:space="preserve">Utility/arch-rib buildings, good</t>
  </si>
  <si>
    <t xml:space="preserve">Utility buildings, farm/grain storage, very good</t>
  </si>
  <si>
    <t xml:space="preserve">Utility storage/loafing sheds, good</t>
  </si>
  <si>
    <t xml:space="preserve">farm utility, good</t>
  </si>
  <si>
    <t xml:space="preserve">Commodity storage sheds, average</t>
  </si>
  <si>
    <t xml:space="preserve">Corncrib buildings, spaced board, average and good</t>
  </si>
  <si>
    <t xml:space="preserve">wire mesh, good</t>
  </si>
  <si>
    <t xml:space="preserve">implement/equipment buildings, good</t>
  </si>
  <si>
    <t xml:space="preserve">Implement, arch-rib buildings, good</t>
  </si>
  <si>
    <t xml:space="preserve">implement/equipment sheds, average</t>
  </si>
  <si>
    <t xml:space="preserve">general purpose, good</t>
  </si>
  <si>
    <t xml:space="preserve">special purpose, excellent</t>
  </si>
  <si>
    <t xml:space="preserve">Barns, freestall and confinement, good and excellent</t>
  </si>
  <si>
    <t xml:space="preserve">Feeder barns/loafing sheds, good</t>
  </si>
  <si>
    <t xml:space="preserve">Hay sheds/shelters, good</t>
  </si>
  <si>
    <t xml:space="preserve">Calving barn shed, good</t>
  </si>
  <si>
    <t xml:space="preserve">Arena shelters, good</t>
  </si>
  <si>
    <t xml:space="preserve">Arenas, excellent</t>
  </si>
  <si>
    <t xml:space="preserve">Lean-tos, equestrian, average</t>
  </si>
  <si>
    <t xml:space="preserve">Stables, good</t>
  </si>
  <si>
    <t xml:space="preserve">high-value estate stables, excellent</t>
  </si>
  <si>
    <t xml:space="preserve">low-cost and average</t>
  </si>
  <si>
    <t xml:space="preserve">Dairies/milking parlors, good and excellent</t>
  </si>
  <si>
    <t xml:space="preserve">Milkhouses and sheds, good</t>
  </si>
  <si>
    <t xml:space="preserve">nursery, good</t>
  </si>
  <si>
    <t xml:space="preserve">Hog barns, breeding, farrowing, good and excellent</t>
  </si>
  <si>
    <t xml:space="preserve">finishing, average</t>
  </si>
  <si>
    <t xml:space="preserve">Hog sheds and modified sheds, average</t>
  </si>
  <si>
    <t xml:space="preserve">Sheep barns, average and good</t>
  </si>
  <si>
    <t xml:space="preserve">sheds, good</t>
  </si>
  <si>
    <t xml:space="preserve">floor operation, breeder/broiler, turkey, good</t>
  </si>
  <si>
    <t xml:space="preserve">cheap, low cost and fair</t>
  </si>
  <si>
    <t xml:space="preserve">Poultry, cage operation, enclosed/screened, good</t>
  </si>
  <si>
    <t xml:space="preserve">Labor dormitories, good</t>
  </si>
  <si>
    <t xml:space="preserve">Transient labor cabins, average</t>
  </si>
  <si>
    <t xml:space="preserve">Hunting shelters, good</t>
  </si>
  <si>
    <t xml:space="preserve">cheap, low cost and average</t>
  </si>
  <si>
    <t xml:space="preserve">High and alternative schools, good and excellent</t>
  </si>
  <si>
    <t xml:space="preserve">Intermediate (junior high), good and excellent</t>
  </si>
  <si>
    <t xml:space="preserve">Elementary, good and excellent</t>
  </si>
  <si>
    <t xml:space="preserve">Vocational schools, good and excellent</t>
  </si>
  <si>
    <t xml:space="preserve">Daycare centers, good and excellent</t>
  </si>
  <si>
    <t xml:space="preserve">Classrooms and special learning, good and excellent</t>
  </si>
  <si>
    <t xml:space="preserve">Relocatable classrooms and offices, excellent</t>
  </si>
  <si>
    <t xml:space="preserve">Manual arts buildings, average and good</t>
  </si>
  <si>
    <t xml:space="preserve">Lecture, good and excellent</t>
  </si>
  <si>
    <t xml:space="preserve">Multipurpose buildings, excellent</t>
  </si>
  <si>
    <t xml:space="preserve">Laboratories, good and excellent</t>
  </si>
  <si>
    <t xml:space="preserve">Media centers, libraries, good and excellent</t>
  </si>
  <si>
    <t xml:space="preserve">College library, good and excellent</t>
  </si>
  <si>
    <t xml:space="preserve">Fine arts buildings, excellent</t>
  </si>
  <si>
    <t xml:space="preserve">Bookstores, good</t>
  </si>
  <si>
    <t xml:space="preserve">Restroom buildings, good and excellent</t>
  </si>
  <si>
    <t xml:space="preserve">Maintenance buildings, good</t>
  </si>
  <si>
    <t xml:space="preserve">Natatoriums, average and good</t>
  </si>
  <si>
    <t xml:space="preserve">Shower buildings, good and excellent</t>
  </si>
  <si>
    <t xml:space="preserve">Field houses, excellent</t>
  </si>
  <si>
    <t xml:space="preserve">College physical education, excellent</t>
  </si>
  <si>
    <t xml:space="preserve">Gymnasiums, excellent</t>
  </si>
  <si>
    <t xml:space="preserve">College level: entire school plant, excellent</t>
  </si>
  <si>
    <t xml:space="preserve">Classrooms, excellent</t>
  </si>
  <si>
    <t xml:space="preserve">Technical trades buildings, good</t>
  </si>
  <si>
    <t xml:space="preserve">Lecture halls, excellent</t>
  </si>
  <si>
    <t xml:space="preserve">Arts and crafts buildings, excellent</t>
  </si>
  <si>
    <t xml:space="preserve">Science buildings, excellent</t>
  </si>
  <si>
    <t xml:space="preserve">Commons, excellent</t>
  </si>
  <si>
    <t xml:space="preserve">Administration buildings, excellent</t>
  </si>
  <si>
    <t xml:space="preserve">Institutional greenhouses, very good and excellent</t>
  </si>
  <si>
    <t xml:space="preserve">REFERENCE 12 -- Depreciation Percent-Good Table, Commercial Properties (MVS Sec.97 p.24). Applies to Sections 11/13/14/15 per MVS's own 'Properties Included' key.</t>
  </si>
  <si>
    <t xml:space="preserve">Blank cells = combination not tabulated in the manual (effective age exceeds what's charted for that life expectancy) -- treat as fully/near-fully depreciated; see Sec.97 salvage-value guidance.</t>
  </si>
  <si>
    <t xml:space="preserve">Effective Age (yrs) \ Typical Life (yrs) -&gt;</t>
  </si>
  <si>
    <t xml:space="preserve">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</si>
  <si>
    <t xml:space="preserve">Blank cells = combination not tabulated (age exceeds chart for that life); treat as fully/near-fully depreciated per Sec.97 salvage guidance. For lives under 20 years see Sec.97 p.26.</t>
  </si>
  <si>
    <t xml:space="preserve">REFERENCE 14 -- MVS tables NOT in the lookup engine (nonstandard format or building components priced separately). Value these directly from the manual page cited.</t>
  </si>
  <si>
    <t xml:space="preserve">Item</t>
  </si>
  <si>
    <t xml:space="preserve">Why not in lookup</t>
  </si>
  <si>
    <t xml:space="preserve">Classes A And B: Interior Build-Out</t>
  </si>
  <si>
    <t xml:space="preserve">Per-SF interior build-out/finish adder; use the manual page directly</t>
  </si>
  <si>
    <t xml:space="preserve">Classes C And D: Interior Build-Out</t>
  </si>
  <si>
    <t xml:space="preserve">Classes C, D And S: Interior Build-Out</t>
  </si>
  <si>
    <t xml:space="preserve">Interior Build-Out</t>
  </si>
  <si>
    <t xml:space="preserve">High-Value Residences</t>
  </si>
  <si>
    <t xml:space="preserve">High-Value Residences use tier ratings I-VI, not Class/Quality; use MVS 12-27 directly</t>
  </si>
  <si>
    <t xml:space="preserve">Detached End Unit Inside Unit</t>
  </si>
  <si>
    <t xml:space="preserve">Urban-row detached/end/inside-unit cost adjustments; use MVS 12-33 directly</t>
  </si>
  <si>
    <t xml:space="preserve">Residential Garages – Detached</t>
  </si>
  <si>
    <t xml:space="preserve">Residential Garages – priced per garage-size bracket; use MVS 12-35 directly</t>
  </si>
  <si>
    <t xml:space="preserve">Shopping Center Mall Concourses And Basements</t>
  </si>
  <si>
    <t xml:space="preserve">Mall concourse/basement sub-blocks (enclosed/open/basement); use MVS 13-36 directly</t>
  </si>
  <si>
    <t xml:space="preserve">Regional Shopping Center Interior Retail Space</t>
  </si>
  <si>
    <t xml:space="preserve">Industrial, Interior Office Space</t>
  </si>
  <si>
    <t xml:space="preserve">Classes A And B: Interior Office Finish</t>
  </si>
  <si>
    <t xml:space="preserve">Classes C, D And S: Interior Office</t>
  </si>
  <si>
    <t xml:space="preserve">Basements / Mezzanines (hotel, apartment, retail, industrial, SFR, nursing home, governmental)</t>
  </si>
  <si>
    <t xml:space="preserve">11/12/13/14/15</t>
  </si>
  <si>
    <t xml:space="preserve">e.g. 11-18/25, 12-26, 13-30, 14-18/27, 15-26/30</t>
  </si>
  <si>
    <t xml:space="preserve">Building-component add-ons keyed to the host building</t>
  </si>
  <si>
    <t xml:space="preserve">Miscellaneous Dock Structures</t>
  </si>
  <si>
    <t xml:space="preserve">Per-SF/per-unit dock components</t>
  </si>
  <si>
    <t xml:space="preserve">Firing Range Buildings / Miscellaneous Structures</t>
  </si>
  <si>
    <t xml:space="preserve">Small sub-schedules; price manually</t>
  </si>
  <si>
    <t xml:space="preserve">Mausoleums (per-crypt) / Rule-of-Thumb cost pages</t>
  </si>
  <si>
    <t xml:space="preserve">32/37</t>
  </si>
  <si>
    <t xml:space="preserve">Per-crypt / per-room unit costs, not $/SF Class-Quality tables</t>
  </si>
  <si>
    <t xml:space="preserve">Historical Residences</t>
  </si>
  <si>
    <t xml:space="preserve">Adjustment guidance to standard SFR costs, no cost table</t>
  </si>
  <si>
    <t xml:space="preserve">Mountain &amp; Resort Cottages, A-Frame Cabins, Storm Shelters</t>
  </si>
  <si>
    <t xml:space="preserve">Narrative/per-unit costs</t>
  </si>
  <si>
    <t xml:space="preserve">Manufactured Single-Family Housing</t>
  </si>
  <si>
    <t xml:space="preserve">Separate manufactured-housing cost schedule</t>
  </si>
  <si>
    <t xml:space="preserve">Baled Straw / Earth-Sheltered / Rammed Earth / Tropical / Log-home notes</t>
  </si>
  <si>
    <t xml:space="preserve">29-30</t>
  </si>
  <si>
    <t xml:space="preserve">Adjustment notes to standard residence tables (Log Homes cost table IS in the lookup)</t>
  </si>
  <si>
    <t xml:space="preserve">Single-Family Floor Area/Shape multipliers</t>
  </si>
  <si>
    <t xml:space="preserve">Residential size/shape refinement grid</t>
  </si>
  <si>
    <t xml:space="preserve">Grain elevators, silos, steel bins/tanks, bucket elevators, dryers, watering systems</t>
  </si>
  <si>
    <t xml:space="preserve">51-58</t>
  </si>
  <si>
    <t xml:space="preserve">Per-bushel/per-unit equipment schedules</t>
  </si>
  <si>
    <t xml:space="preserve">Service stations, car washes, canopies, prefab metal buildings</t>
  </si>
  <si>
    <t xml:space="preserve">64</t>
  </si>
  <si>
    <t xml:space="preserve">1-9</t>
  </si>
  <si>
    <t xml:space="preserve">Sec.64 prefabricated-building schedules (county codes 408/434/435/436/448)</t>
  </si>
  <si>
    <t xml:space="preserve">Trailer/manufactured-housing &amp; RV parks</t>
  </si>
  <si>
    <t xml:space="preserve">63</t>
  </si>
  <si>
    <t xml:space="preserve">1-10</t>
  </si>
  <si>
    <t xml:space="preserve">Per-space park schedules (county codes 500/531)</t>
  </si>
  <si>
    <t xml:space="preserve">Segregated-cost &amp; unit-in-place sections (40-67), yard improvements (Sec.66), equipment (Sec.65)</t>
  </si>
  <si>
    <t xml:space="preserve">various</t>
  </si>
  <si>
    <t xml:space="preserve">--</t>
  </si>
  <si>
    <t xml:space="preserve">Component pricing systems outside the calculator method</t>
  </si>
  <si>
    <t xml:space="preserve">Notes</t>
  </si>
  <si>
    <t xml:space="preserve">- Current Cost Multiplier / Local Area Multiplier / Sec.98 Denver Index are from inserts dated January 2025 bound into this MVS June 2024 edition.</t>
  </si>
  <si>
    <t xml:space="preserve">- Colorado's biennial reassessment fixes the appraisal/level-of-value date; the De-Trend block rolls the Jan-2025-vintage cost level back to that date via MVS Sec.98.</t>
  </si>
  <si>
    <t xml:space="preserve">- No Adams County line exists in MVS -- 'Denver' is the county's proxy per MVS suburb-uses-nearest-larger-city guidance (Sec.99 p.1).</t>
  </si>
  <si>
    <t xml:space="preserve">- Region for the Current Cost Multiplier is presumed WESTERN for Colorado.</t>
  </si>
  <si>
    <t xml:space="preserve">- Base $/SF values cross-checked against the Sq.M. column of every table (must agree within 2% at 10.764 SF/SqM); range-priced tables (some Sec.17 sheds) store the midpoint and cite the range.</t>
  </si>
  <si>
    <t xml:space="preserve">- Life Expectancy (Reference 11) is the full Sec.97 pp.10-16 transcription; each occupancy/quality is mapped to its printed bucket (bucket text shown in the last column).</t>
  </si>
  <si>
    <t xml:space="preserve">- Depreciation: Reference 4 column H selects Commercial (Sec.97 p.24) or Residential (p.25) percent-good per MVS's own Properties Included key. Lives under 20 years are not tabulated -- see Sec.97 p.26.</t>
  </si>
  <si>
    <t xml:space="preserve">- Sections 12/17 have no story-height table (multiplier 1.000 used); Section 17 has no sprinkler table (0 used -- price manually if sprinklered).</t>
  </si>
  <si>
    <t xml:space="preserve">- The Subject Property OCC code auto-selects the occupancy via Reference 4b; codes without a calculator table fall back to the Manual MVS Override block on the Cost Approach tab.</t>
  </si>
  <si>
    <t xml:space="preserve">- Next reassessment cycle: update the Appraisal Date and refresh the Sec.98/99 quarterly inserts.</t>
  </si>
  <si>
    <t xml:space="preserve">COMPARABLE LAND SALE ADJUSTMENT GRID</t>
  </si>
  <si>
    <t xml:space="preserve">Subject</t>
  </si>
  <si>
    <t xml:space="preserve">Sale 1</t>
  </si>
  <si>
    <t xml:space="preserve">Sale 2</t>
  </si>
  <si>
    <t xml:space="preserve">Sale 3</t>
  </si>
  <si>
    <t xml:space="preserve">Sale 4</t>
  </si>
  <si>
    <t xml:space="preserve">Sale 5</t>
  </si>
  <si>
    <t xml:space="preserve">SW Grant St</t>
  </si>
  <si>
    <t xml:space="preserve">16080 Huron Street</t>
  </si>
  <si>
    <t xml:space="preserve">12982 County Road 6</t>
  </si>
  <si>
    <t xml:space="preserve">10480-10555 West 63rd Place</t>
  </si>
  <si>
    <t xml:space="preserve">Brighton</t>
  </si>
  <si>
    <t xml:space="preserve">Thornton, CO</t>
  </si>
  <si>
    <t xml:space="preserve">Broomfield</t>
  </si>
  <si>
    <t xml:space="preserve">Brighton, CO</t>
  </si>
  <si>
    <t xml:space="preserve">Arvada, CO</t>
  </si>
  <si>
    <t xml:space="preserve">Account / Parcel Number</t>
  </si>
  <si>
    <t xml:space="preserve">39-091-07-003</t>
  </si>
  <si>
    <t xml:space="preserve">Industrial Land</t>
  </si>
  <si>
    <t xml:space="preserve">Unimproved Land</t>
  </si>
  <si>
    <t xml:space="preserve">Commercial Land</t>
  </si>
  <si>
    <t xml:space="preserve">N/A</t>
  </si>
  <si>
    <t xml:space="preserve">Under Contract</t>
  </si>
  <si>
    <t xml:space="preserve">TBD</t>
  </si>
  <si>
    <t xml:space="preserve">Listing Price</t>
  </si>
  <si>
    <t xml:space="preserve">Not Reported</t>
  </si>
  <si>
    <t xml:space="preserve">Days on Market</t>
  </si>
  <si>
    <t xml:space="preserve">Data Source</t>
  </si>
  <si>
    <t xml:space="preserve">Assessor, appraiser measurements</t>
  </si>
  <si>
    <t xml:space="preserve">Costar, Assessor Data, Deed, Troy DeVos (Buyer Representative)</t>
  </si>
  <si>
    <t xml:space="preserve">CoStar, Denver Assessor, Deed, Loan</t>
  </si>
  <si>
    <t xml:space="preserve">CoStar, Assessor Data, Listing Broker (Phil Foster &amp; Co.)</t>
  </si>
  <si>
    <t xml:space="preserve">CoStar, Assessor, Listing</t>
  </si>
  <si>
    <t xml:space="preserve">Site Size (AC)</t>
  </si>
  <si>
    <t xml:space="preserve">Business Park</t>
  </si>
  <si>
    <t xml:space="preserve">A-3</t>
  </si>
  <si>
    <t xml:space="preserve">I-3</t>
  </si>
  <si>
    <t xml:space="preserve">B-2</t>
  </si>
  <si>
    <t xml:space="preserve">Industrial land</t>
  </si>
  <si>
    <t xml:space="preserve">Commercial/industrial land, purchased for development. </t>
  </si>
  <si>
    <t xml:space="preserve">Purchased for Industrial Development</t>
  </si>
  <si>
    <t xml:space="preserve">Commercial lot purchased for re-development. Formerly a mini-golf center.</t>
  </si>
  <si>
    <t xml:space="preserve">Unadjusted Price per AC</t>
  </si>
  <si>
    <t xml:space="preserve">QUANTIFIED ADJUSTMENTS</t>
  </si>
  <si>
    <t xml:space="preserve">Property Rights Conveyed</t>
  </si>
  <si>
    <t xml:space="preserve">Financing</t>
  </si>
  <si>
    <t xml:space="preserve">Market-Based</t>
  </si>
  <si>
    <t xml:space="preserve">Terms / Conditions of Sale</t>
  </si>
  <si>
    <t xml:space="preserve">None</t>
  </si>
  <si>
    <t xml:space="preserve">Expenditures After Sale</t>
  </si>
  <si>
    <t xml:space="preserve">Market Conditions</t>
  </si>
  <si>
    <t xml:space="preserve">Total Quantified Adjustment</t>
  </si>
  <si>
    <t xml:space="preserve">Quantitatively Adjusted Price ($/SF)</t>
  </si>
  <si>
    <t xml:space="preserve">QUALITATIVE ADJUSTMENTS</t>
  </si>
  <si>
    <t xml:space="preserve">Below-Average</t>
  </si>
  <si>
    <t xml:space="preserve">Distance from Subject</t>
  </si>
  <si>
    <t xml:space="preserve">3 miles</t>
  </si>
  <si>
    <t xml:space="preserve">1/4 mile</t>
  </si>
  <si>
    <t xml:space="preserve">Adjacent</t>
  </si>
  <si>
    <t xml:space="preserve">Surrounding Land Uses</t>
  </si>
  <si>
    <t xml:space="preserve">Retail, residential, developable land</t>
  </si>
  <si>
    <t xml:space="preserve">Retail, residential</t>
  </si>
  <si>
    <t xml:space="preserve">Retail, office, residential</t>
  </si>
  <si>
    <t xml:space="preserve">Quality / Condition of Surrounding Area</t>
  </si>
  <si>
    <t xml:space="preserve">Average to New</t>
  </si>
  <si>
    <t xml:space="preserve">Average to Very Good</t>
  </si>
  <si>
    <t xml:space="preserve">Access to Commercial Services / Amenities</t>
  </si>
  <si>
    <t xml:space="preserve">Visibility / Access</t>
  </si>
  <si>
    <t xml:space="preserve">Average- access and visibility from two secondary thoroughfares.</t>
  </si>
  <si>
    <t xml:space="preserve">Above-Average: Primary thoroughfare exposure and access. Adjacent to 7-Eleven, Starbucks developments.</t>
  </si>
  <si>
    <t xml:space="preserve">Good - located along a primary thoroughfare</t>
  </si>
  <si>
    <t xml:space="preserve">Good - primary thoroughfare access/exposure</t>
  </si>
  <si>
    <t xml:space="preserve">Developing residential/retail area. Commercial thoroughfare exposure. Adjacent to anchored retail center. </t>
  </si>
  <si>
    <t xml:space="preserve">Primary thoroughfare exposure. Located in an area of developing retail/residential. Good commercial traffic. </t>
  </si>
  <si>
    <t xml:space="preserve">Visibility and access from W 120th Ave. (regional arterial) near anchored retail center and dene residential development. </t>
  </si>
  <si>
    <t xml:space="preserve">Located in an established residential/retail area of Arvada. Lower med. household incomes.</t>
  </si>
  <si>
    <t xml:space="preserve">Utilities / Infrastructure</t>
  </si>
  <si>
    <t xml:space="preserve">Water / Sewer</t>
  </si>
  <si>
    <t xml:space="preserve">Available - Municipal Services</t>
  </si>
  <si>
    <t xml:space="preserve">Electricity / Gas</t>
  </si>
  <si>
    <t xml:space="preserve">Available - Xcel Energy</t>
  </si>
  <si>
    <t xml:space="preserve">Other Utilities</t>
  </si>
  <si>
    <t xml:space="preserve">All available</t>
  </si>
  <si>
    <t xml:space="preserve">Historical Design</t>
  </si>
  <si>
    <t xml:space="preserve">Site Utility</t>
  </si>
  <si>
    <t xml:space="preserve">Site Shape</t>
  </si>
  <si>
    <t xml:space="preserve">Rectangular</t>
  </si>
  <si>
    <t xml:space="preserve">Generally rectangular</t>
  </si>
  <si>
    <t xml:space="preserve">Topography</t>
  </si>
  <si>
    <t xml:space="preserve">Generally Level</t>
  </si>
  <si>
    <t xml:space="preserve">Generally level</t>
  </si>
  <si>
    <t xml:space="preserve">Easements / Encroachments / Obstructions</t>
  </si>
  <si>
    <t xml:space="preserve">None known</t>
  </si>
  <si>
    <t xml:space="preserve">Total Non-Quantified Adjustment</t>
  </si>
  <si>
    <t xml:space="preserve">Indication for Subject ($/SF)</t>
  </si>
  <si>
    <t xml:space="preserve">ADJUSTED RANGE - INDICATED $/SF</t>
  </si>
  <si>
    <t xml:space="preserve">High</t>
  </si>
  <si>
    <t xml:space="preserve">VALUE CONCLUSION - UNDERLYING LAND AREA</t>
  </si>
  <si>
    <t xml:space="preserve">Indicated Value per SF</t>
  </si>
  <si>
    <t xml:space="preserve">Land Area (SF)</t>
  </si>
  <si>
    <t xml:space="preserve">Indicated Land Value</t>
  </si>
  <si>
    <t xml:space="preserve">Rounding Increment</t>
  </si>
  <si>
    <t xml:space="preserve">CONCLUDED LAND VALUE (rounded)</t>
  </si>
  <si>
    <t xml:space="preserve">   per SF of land area</t>
  </si>
  <si>
    <t xml:space="preserve">Cream cells are entries; gray cells calculate. Subject column mirrors the Property Info tab. The CONCLUDED LAND VALUE above feeds Cost Approach!G67. Comparable data was carried over from the previous version of this tab and should be re-confirmed against the subject before the grid is relied on.</t>
  </si>
  <si>
    <t xml:space="preserve">COST APPROACH -- MVS Calculator</t>
  </si>
  <si>
    <t xml:space="preserve">Fill in the yellow cells only (Steps 1-3 below, plus the site-improvement/depreciation line items further down). Everything else calculates automatically from the MVS reference tables on the 'M&amp;S Inputs' tab. Your final indicated value appears at the bottom of this sheet.</t>
  </si>
  <si>
    <t xml:space="preserve">STEP 1 -- BUILDING IDENTIFICATION</t>
  </si>
  <si>
    <t xml:space="preserve">Occupancy Type</t>
  </si>
  <si>
    <t xml:space="preserve">Choose the occupancy that best matches the subject improvement.</t>
  </si>
  <si>
    <t xml:space="preserve">Occupancy Code / Section / Page (auto)</t>
  </si>
  <si>
    <t xml:space="preserve">Building Class</t>
  </si>
  <si>
    <t xml:space="preserve">A=Fireproofed steel. B=Reinf. concrete. C=Masonry/steel-or-wood frame. CMILL=mill-type masonry. D=Wood/combustible (DPOLE=pole-frame, DMASVEN=masonry veneer on wood frame). S=Pre-engineered metal (SSLANT=slant-wall). A-B / CDS = classes printed jointly by MVS. See Class Reference on M&amp;S Inputs.</t>
  </si>
  <si>
    <t xml:space="preserve">Low Cost | Fair | Average | Good | Very Good | Excellent (some occupancies also use Cheap). Auto-fed from Subject Property Quality; pick a tier that exists for the chosen occupancy/class.</t>
  </si>
  <si>
    <t xml:space="preserve">City / Local Area (for Local Multiplier)</t>
  </si>
  <si>
    <t xml:space="preserve">Adams County has no dedicated MVS line -- 'Denver' is the recommended proxy (nearest larger city, per MVS's own guidance); 'Colorado (statewide average)' is the fallback.</t>
  </si>
  <si>
    <t xml:space="preserve">Resolved MVS Section (auto or manual override)</t>
  </si>
  <si>
    <t xml:space="preserve">STEP 2 -- SIZE, SHAPE &amp; SPRINKLER</t>
  </si>
  <si>
    <t xml:space="preserve">Avg Eave / Wall Height (ft)</t>
  </si>
  <si>
    <t xml:space="preserve">Area/Perimeter Multiplier Factor 1</t>
  </si>
  <si>
    <t xml:space="preserve">Look up your building's SF vs. average perimeter in the MVS Floor Area-Perimeter grid for this occupancy's section; enter the two bracketing values here to average.</t>
  </si>
  <si>
    <t xml:space="preserve">Area/Perimeter Multiplier Factor 2</t>
  </si>
  <si>
    <t xml:space="preserve">Sprinkler Quality Tier</t>
  </si>
  <si>
    <t xml:space="preserve">Independent of building quality -- set to match the actual sprinkler system grade. Wet-system cost auto-looked-up for Sections 11-16 &amp; 18; Section 17 (sheds/farm) has no MVS sprinkler table -- 0 is used.</t>
  </si>
  <si>
    <t xml:space="preserve">STEP 3 -- APPRAISAL DATE &amp; DE-TREND</t>
  </si>
  <si>
    <t xml:space="preserve">Appraisal / Level-of-Value Date</t>
  </si>
  <si>
    <t xml:space="preserve">Colorado's biennial reassessment fixes this at the end of the statutory base period. Current cycle: 7/1/2022-6/30/2024, level of value = 6/30/2024. Update to 6/30/2025 next cycle.</t>
  </si>
  <si>
    <t xml:space="preserve">Bracket Quarter - Earlier</t>
  </si>
  <si>
    <t xml:space="preserve">Pick the two MVS Sec.98 Denver index quarters that straddle the Appraisal Date above (see Denver Index table on M&amp;S Inputs). Rolls the Jan-2025-vintage multipliers below back to your actual valuation date.</t>
  </si>
  <si>
    <t xml:space="preserve">Bracket Quarter - Later</t>
  </si>
  <si>
    <t xml:space="preserve">COST APPROACH SUMMARY</t>
  </si>
  <si>
    <t xml:space="preserve">Replacement Cost New (RCN)</t>
  </si>
  <si>
    <t xml:space="preserve">Area (SF)</t>
  </si>
  <si>
    <t xml:space="preserve">Subtotal</t>
  </si>
  <si>
    <t xml:space="preserve">Total Cost</t>
  </si>
  <si>
    <t xml:space="preserve">Building Improvements</t>
  </si>
  <si>
    <t xml:space="preserve">Base Cost</t>
  </si>
  <si>
    <t xml:space="preserve">Sprinklers</t>
  </si>
  <si>
    <t xml:space="preserve">Wet-system cost, by building SF (nearest coverage bracket &lt;= actual SF). Enter 0 manually below if unsprinklered.</t>
  </si>
  <si>
    <t xml:space="preserve">Multipliers</t>
  </si>
  <si>
    <t xml:space="preserve">Current Cost (de-trended to Appraisal Date)</t>
  </si>
  <si>
    <t xml:space="preserve">MVS Sec.99 p.3 Current Cost Multiplier (WESTERN region assumed for Colorado) divided by the Sec.98 Denver de-trend factor for the Appraisal Date -- see Step 3.</t>
  </si>
  <si>
    <t xml:space="preserve">Local Area</t>
  </si>
  <si>
    <t xml:space="preserve">MVS Sec.99 p.7 Local Area Multiplier.</t>
  </si>
  <si>
    <t xml:space="preserve">Area/Perimeter Multiplier</t>
  </si>
  <si>
    <t xml:space="preserve">Story Height (Height entered in Step 2)</t>
  </si>
  <si>
    <t xml:space="preserve">Story-height multiplier auto-selected from the resolved MVS section (C9). Sections 12 &amp; 17 publish no table -- 1.000 used.</t>
  </si>
  <si>
    <t xml:space="preserve">Product of Multipliers</t>
  </si>
  <si>
    <t xml:space="preserve">Adjusted Base Building Cost</t>
  </si>
  <si>
    <t xml:space="preserve">Site Improvements (enter your own measured quantities in the Area column)</t>
  </si>
  <si>
    <t xml:space="preserve">Parking/Loading Areas (asphalt)</t>
  </si>
  <si>
    <t xml:space="preserve">MVS Sec.66 p.1, 4-inch asphalt (large areas &gt;3,000 SF), average of low-high range. Enter your own measured SF in the Area column.</t>
  </si>
  <si>
    <t xml:space="preserve">Striping (Per Space)</t>
  </si>
  <si>
    <t xml:space="preserve">Market-derived; no dedicated MVS table. Enter number of striped spaces in the Area column.</t>
  </si>
  <si>
    <t xml:space="preserve">Paving (concrete)</t>
  </si>
  <si>
    <t xml:space="preserve">MVS Sec.66 p.1, 6-inch concrete (large areas &gt;3,000 SF), average of low-high range.</t>
  </si>
  <si>
    <t xml:space="preserve">Other1</t>
  </si>
  <si>
    <t xml:space="preserve">Other2</t>
  </si>
  <si>
    <t xml:space="preserve">Landscaping, Lighting, Other Site Improvements</t>
  </si>
  <si>
    <t xml:space="preserve">MVS Sec.66 landscaping / market estimate. Enter your own measured lot SF in the Area column.</t>
  </si>
  <si>
    <t xml:space="preserve">Total Site Improvements</t>
  </si>
  <si>
    <t xml:space="preserve">Total Construction Costs</t>
  </si>
  <si>
    <t xml:space="preserve">Plus Other Indirect Costs (% of Direct Costs)</t>
  </si>
  <si>
    <t xml:space="preserve">Financing, permits, professional fees, insurance during construction. Typical 8-15%.</t>
  </si>
  <si>
    <t xml:space="preserve">Subtotal Replacement Cost New (RCN)</t>
  </si>
  <si>
    <t xml:space="preserve">Plus Entrepreneurial Profit (% of RCN)</t>
  </si>
  <si>
    <t xml:space="preserve">Developer expected return above cost. Typical 10-20%.</t>
  </si>
  <si>
    <t xml:space="preserve">per square foot of gross building area</t>
  </si>
  <si>
    <t xml:space="preserve">Less Accrued Depreciation</t>
  </si>
  <si>
    <t xml:space="preserve">Physical</t>
  </si>
  <si>
    <t xml:space="preserve">Curable (Deferred Maintenance)</t>
  </si>
  <si>
    <t xml:space="preserve">Dollar cost to cure deferred items (roof, HVAC, etc). 0 = none.</t>
  </si>
  <si>
    <t xml:space="preserve">Incurable</t>
  </si>
  <si>
    <t xml:space="preserve">Effective Age (Years)</t>
  </si>
  <si>
    <t xml:space="preserve">Per MVS Sec.97: true age adjusted for modernization/condition, not necessarily chronological age. Judgment call from inspection.</t>
  </si>
  <si>
    <t xml:space="preserve">Typical Life Expectancy (MVS Sec.97, auto)</t>
  </si>
  <si>
    <t xml:space="preserve">MVS Sec.97 pp.10-16, by occupancy/quality/class (full table on M&amp;S Inputs). Override in C82 if needed.</t>
  </si>
  <si>
    <t xml:space="preserve">Total Incurable Physical Depreciation (MVS Sec.97 percent-good curve)</t>
  </si>
  <si>
    <t xml:space="preserve">MVS Sec.97 percent-good: Commercial (p.24) or Residential (p.25) table auto-selected per MVS's Properties Included key (Reference 4 on M&amp;S Inputs).</t>
  </si>
  <si>
    <t xml:space="preserve">Functional Obsolescence</t>
  </si>
  <si>
    <t xml:space="preserve">Loss from design deficiencies (excess bays, substandard ceiling height, etc). 0 = none.</t>
  </si>
  <si>
    <t xml:space="preserve">External Obsolescence</t>
  </si>
  <si>
    <t xml:space="preserve">Loss from external/locational/market factors. 0 = none.</t>
  </si>
  <si>
    <t xml:space="preserve">Depreciated Value of the Improvements</t>
  </si>
  <si>
    <t xml:space="preserve">Plus Land Value</t>
  </si>
  <si>
    <t xml:space="preserve">Concluded land value from the Land Sales Grid tab (cell C63). Enter comps and the indicated $/SF there.</t>
  </si>
  <si>
    <t xml:space="preserve">Indicated Value by Cost Approach</t>
  </si>
  <si>
    <t xml:space="preserve">Rounded to the nearest $5,000 (change the value in column B to round to a different increment).</t>
  </si>
  <si>
    <t xml:space="preserve">MVS June 2024 Ed.</t>
  </si>
  <si>
    <t xml:space="preserve">Colorado -- WESTERN region (assumed)</t>
  </si>
  <si>
    <t xml:space="preserve">MANUAL MVS OVERRIDE -- only needed if your Occupancy Type isn't in the dropdown above</t>
  </si>
  <si>
    <t xml:space="preserve">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</si>
  <si>
    <t xml:space="preserve">Manual Base Cost ($/SF)</t>
  </si>
  <si>
    <t xml:space="preserve">Manual Life Expectancy (Years)</t>
  </si>
  <si>
    <t xml:space="preserve">Manual MVS Section (drives cost multiplier / story-height / sprinkler tables)</t>
  </si>
  <si>
    <t xml:space="preserve">COST APPROACH — MULTI-BUILDING SUMMARY</t>
  </si>
  <si>
    <t xml:space="preserve">Values each building with the same MVS engine as the Cost Approach tab, then sums. OCC code, size, and effective age pull from Subject Property (one column per building, matching that tab). Enter each building's Class, MVS Quality, Height, Sprinkler tier, and any obsolescence. Date/city multipliers (CCM, LAM, area/perimeter, indirect %, entrepreneurial profit) are shared from the Cost Approach tab. Only the first N buildings (Number of Buildings on Subject Property) are included in the total.</t>
  </si>
  <si>
    <t xml:space="preserve">Line item \ Building</t>
  </si>
  <si>
    <t xml:space="preserve">OCC Code (from Subject Property)</t>
  </si>
  <si>
    <t xml:space="preserve">Occupancy (MVS, auto)</t>
  </si>
  <si>
    <t xml:space="preserve">Building Class  [enter]</t>
  </si>
  <si>
    <t xml:space="preserve">Quality (MVS)  [enter]</t>
  </si>
  <si>
    <t xml:space="preserve">Building Size SF (from Subject)</t>
  </si>
  <si>
    <t xml:space="preserve">Avg Eave/Wall Height ft  [enter]</t>
  </si>
  <si>
    <t xml:space="preserve">Sprinkler Tier  [enter]</t>
  </si>
  <si>
    <t xml:space="preserve">Effective Age yrs (from Subject)</t>
  </si>
  <si>
    <t xml:space="preserve">MVS Section (auto)</t>
  </si>
  <si>
    <t xml:space="preserve">Base Cost $/SF (auto)</t>
  </si>
  <si>
    <t xml:space="preserve">Sprinkler $/SF (auto)</t>
  </si>
  <si>
    <t xml:space="preserve">Story-Height Mult (auto)</t>
  </si>
  <si>
    <t xml:space="preserve">Adjusted Building Cost</t>
  </si>
  <si>
    <t xml:space="preserve">RCN (+ indirect + EP)</t>
  </si>
  <si>
    <t xml:space="preserve">Life Expectancy yrs (auto)</t>
  </si>
  <si>
    <t xml:space="preserve">Physical Depr % (auto)</t>
  </si>
  <si>
    <t xml:space="preserve">Functional Obs %  [enter]</t>
  </si>
  <si>
    <t xml:space="preserve">External Obs %  [enter]</t>
  </si>
  <si>
    <t xml:space="preserve">Depreciated Improvement Value</t>
  </si>
  <si>
    <t xml:space="preserve">TOTAL DEPRECIATED IMPROVEMENTS (all buildings)</t>
  </si>
  <si>
    <t xml:space="preserve">Less Curable / Deferred Maintenance (Cost Approach)</t>
  </si>
  <si>
    <t xml:space="preserve">Plus Site Improvements (Cost Approach)</t>
  </si>
  <si>
    <t xml:space="preserve">Plus Land Value (Cost Approach)</t>
  </si>
  <si>
    <t xml:space="preserve">INDICATED VALUE BY COST APPROACH (multi-building)</t>
  </si>
  <si>
    <t xml:space="preserve">Rounded (nearest $5,000)</t>
  </si>
  <si>
    <t xml:space="preserve">per SF of total building area</t>
  </si>
  <si>
    <t xml:space="preserve">PROPERTY-TYPE VALUATION METRIC</t>
  </si>
  <si>
    <t xml:space="preserve">Valuation Basis (auto from occupancy)</t>
  </si>
  <si>
    <t xml:space="preserve">Override Basis (optional)</t>
  </si>
  <si>
    <t xml:space="preserve">Effective Basis</t>
  </si>
  <si>
    <t xml:space="preserve">Units / Keys (from Subject)</t>
  </si>
  <si>
    <t xml:space="preserve">Indicated Value / SF</t>
  </si>
  <si>
    <t xml:space="preserve">Indicated Value / Unit or Key</t>
  </si>
  <si>
    <t xml:space="preserve">Headline Metric (auto by basis)</t>
  </si>
  <si>
    <t xml:space="preserve">PER-BUILDING MVS MULTIPLIERS (independent per building)</t>
  </si>
  <si>
    <t xml:space="preserve">Area/Perimeter Multiplier [enter]</t>
  </si>
  <si>
    <t xml:space="preserve">Current Cost Mult / de-trend (auto)</t>
  </si>
  <si>
    <t xml:space="preserve">Local Area Multiplier (auto)</t>
  </si>
  <si>
    <t xml:space="preserve">COMPARABLE SALE ADJUSTMENT GRID</t>
  </si>
  <si>
    <t xml:space="preserve">R0180551</t>
  </si>
  <si>
    <t xml:space="preserve">R0201311</t>
  </si>
  <si>
    <t xml:space="preserve">R0209679</t>
  </si>
  <si>
    <t xml:space="preserve">R0180894</t>
  </si>
  <si>
    <t xml:space="preserve">1953 Gunclub Road</t>
  </si>
  <si>
    <t xml:space="preserve">17776-18146 E 84th Avenue</t>
  </si>
  <si>
    <t xml:space="preserve">17501 E 84th Avenue</t>
  </si>
  <si>
    <t xml:space="preserve">1910 n Gun Club Road</t>
  </si>
  <si>
    <t xml:space="preserve">Aurora, CO</t>
  </si>
  <si>
    <t xml:space="preserve">Commerce City, CO</t>
  </si>
  <si>
    <t xml:space="preserve">Property Size (SF)</t>
  </si>
  <si>
    <t xml:space="preserve">YOC / Condition</t>
  </si>
  <si>
    <t xml:space="preserve">2020/ Average</t>
  </si>
  <si>
    <t xml:space="preserve">2012/Average</t>
  </si>
  <si>
    <t xml:space="preserve">2020/Average</t>
  </si>
  <si>
    <t xml:space="preserve">2021/Average</t>
  </si>
  <si>
    <t xml:space="preserve">2019/Average</t>
  </si>
  <si>
    <t xml:space="preserve">Unadjusted Price Per SF</t>
  </si>
  <si>
    <t xml:space="preserve">Quantified Adjustments</t>
  </si>
  <si>
    <t xml:space="preserve">Market Based</t>
  </si>
  <si>
    <t xml:space="preserve">Terms/Conditions of Sale</t>
  </si>
  <si>
    <t xml:space="preserve">Quantitatively Adjusted Price</t>
  </si>
  <si>
    <t xml:space="preserve">Qualitative Adjustments</t>
  </si>
  <si>
    <t xml:space="preserve">Land-To-Building Ratio</t>
  </si>
  <si>
    <t xml:space="preserve">Tenancy / Occupancy</t>
  </si>
  <si>
    <t xml:space="preserve">Total Non Quantified Adj.</t>
  </si>
  <si>
    <t xml:space="preserve">Indication for Subject:</t>
  </si>
  <si>
    <t xml:space="preserve">COMPARABLE REFERENCE DETAIL</t>
  </si>
  <si>
    <t xml:space="preserve">2222-07-003</t>
  </si>
  <si>
    <t xml:space="preserve">1214-00-084</t>
  </si>
  <si>
    <t xml:space="preserve">1473-10-157002</t>
  </si>
  <si>
    <t xml:space="preserve">1471-31-006008</t>
  </si>
  <si>
    <t xml:space="preserve">0182-30-6114013</t>
  </si>
  <si>
    <t xml:space="preserve">Assessor records, appraiser inspection</t>
  </si>
  <si>
    <t xml:space="preserve">CoStar, Assessor, Deed</t>
  </si>
  <si>
    <t xml:space="preserve">CoStar, Assessor, Offering Memorandum</t>
  </si>
  <si>
    <t xml:space="preserve">Comparable data on this grid was recovered from links to a workbook that is no longer attached; the source formulas were one column out of register. Re-confirm each sale against the subject before relying on the conclusion below. Cream cells are entries, gray cells link to the Property Info tab.</t>
  </si>
  <si>
    <t xml:space="preserve">SALES COMPARISON APPROACH VALUE CONCLUSION</t>
  </si>
  <si>
    <t xml:space="preserve">Building Area (SF)</t>
  </si>
  <si>
    <t xml:space="preserve">Per SF</t>
  </si>
  <si>
    <t xml:space="preserve">DETAILED COMPARABLE SALE ADJUSTMENT GRID</t>
  </si>
  <si>
    <t xml:space="preserve">Listing 1</t>
  </si>
  <si>
    <t xml:space="preserve">14659 West 86th Parkway</t>
  </si>
  <si>
    <t xml:space="preserve">6477 South Lima Street</t>
  </si>
  <si>
    <t xml:space="preserve">4703 Mcmurry Avenue</t>
  </si>
  <si>
    <t xml:space="preserve">14815 W 64th Avenue</t>
  </si>
  <si>
    <t xml:space="preserve">6500 South Peoria Street</t>
  </si>
  <si>
    <t xml:space="preserve">5668 North Beeler Street</t>
  </si>
  <si>
    <t xml:space="preserve">Arvada</t>
  </si>
  <si>
    <t xml:space="preserve">Centennial, CO</t>
  </si>
  <si>
    <t xml:space="preserve">Fort Collins, CO</t>
  </si>
  <si>
    <t xml:space="preserve">29-302-02-040</t>
  </si>
  <si>
    <t xml:space="preserve">2075-23-4-32-001</t>
  </si>
  <si>
    <t xml:space="preserve">86062-41-001</t>
  </si>
  <si>
    <t xml:space="preserve">30-014-01-014</t>
  </si>
  <si>
    <t xml:space="preserve">2075-24-3-31-001</t>
  </si>
  <si>
    <t xml:space="preserve">1103-40-003-000</t>
  </si>
  <si>
    <t xml:space="preserve">ST Daycare Building</t>
  </si>
  <si>
    <t xml:space="preserve">Daycare Building</t>
  </si>
  <si>
    <t xml:space="preserve">TBD - Active Listing</t>
  </si>
  <si>
    <t xml:space="preserve">Days On Market</t>
  </si>
  <si>
    <t xml:space="preserve">Assessor, Inspection, Buyer, Lease</t>
  </si>
  <si>
    <t xml:space="preserve">CoStar, Assessor, Broker</t>
  </si>
  <si>
    <t xml:space="preserve">CoStar, Assessor, Listing, Broker</t>
  </si>
  <si>
    <t xml:space="preserve">Parking Spaces</t>
  </si>
  <si>
    <t xml:space="preserve">Owner-user daycare facility</t>
  </si>
  <si>
    <t xml:space="preserve">Single-tenant daycare facility 100% leased long-term to Prestige Preschool Academy, a national tenant.</t>
  </si>
  <si>
    <t xml:space="preserve">Daycare Facility, leased to a franchise tenant at TOS.</t>
  </si>
  <si>
    <t xml:space="preserve">Daycare facility, leased to a local tenant at TOS. </t>
  </si>
  <si>
    <t xml:space="preserve">Daycare building, local franchise lease at TOS. </t>
  </si>
  <si>
    <t xml:space="preserve">Daycare facility, leased to a franchise daycare service on a 15 year agreement. Two 5-year renewal options available.</t>
  </si>
  <si>
    <t xml:space="preserve">Leased Fee</t>
  </si>
  <si>
    <t xml:space="preserve">Above-Average</t>
  </si>
  <si>
    <t xml:space="preserve">32 miles</t>
  </si>
  <si>
    <t xml:space="preserve">16 miles</t>
  </si>
  <si>
    <t xml:space="preserve">24 miles</t>
  </si>
  <si>
    <t xml:space="preserve">Retail, residential, office</t>
  </si>
  <si>
    <t xml:space="preserve">Residential, retail</t>
  </si>
  <si>
    <t xml:space="preserve">Retail, office residential</t>
  </si>
  <si>
    <t xml:space="preserve">Retail, Office</t>
  </si>
  <si>
    <t xml:space="preserve">Office, flex, residential</t>
  </si>
  <si>
    <t xml:space="preserve">Average to Good</t>
  </si>
  <si>
    <t xml:space="preserve">Good to New</t>
  </si>
  <si>
    <t xml:space="preserve">Good: Primary thoroughfare</t>
  </si>
  <si>
    <t xml:space="preserve">Average: S. Lima St. </t>
  </si>
  <si>
    <t xml:space="preserve">Average: Oakridge Dr. &amp; Mcmurry Ave. </t>
  </si>
  <si>
    <t xml:space="preserve">Good: Indiana St. &amp; W 64th Ave. </t>
  </si>
  <si>
    <t xml:space="preserve">Average: Compark Blvd. </t>
  </si>
  <si>
    <t xml:space="preserve">Good - Access &amp; Visibility from E 56th Ave. </t>
  </si>
  <si>
    <t xml:space="preserve">Population 3-Mile Radius: 60,202
MHHI 3-Mile Radius: $69,785
Pop. Growth (5-Yrs.): 9.65%</t>
  </si>
  <si>
    <t xml:space="preserve">Population 3-Miles: 45,519
MHHI 3-Mile Radius: $115,596
Pop. Growth (5-Yrs.): 9.59%</t>
  </si>
  <si>
    <t xml:space="preserve">Population 3-Miles: 60,848
MHHI 5-Mile Radius: $94,646
Pop. Growth (5-Yrs.): 6.84%</t>
  </si>
  <si>
    <t xml:space="preserve">Population 3-Miles: 83,390
MHHI 3-Mile Radius: $73,915
Pop. Growth (5-Yrs.): 8.97%</t>
  </si>
  <si>
    <t xml:space="preserve">Population 3-Miles: 57,214
MHHI 3-Mile Radius: $107,760
Pop. Growth (5-Yrs.): 4.49%</t>
  </si>
  <si>
    <t xml:space="preserve">Population 3-Miles: 55,098
MHHI 3-Mile Radius: $99,667
Pop. Growth (5-Yrs.): 9.59%</t>
  </si>
  <si>
    <t xml:space="preserve">Population 5-Mile Radius: 219,743
MHHI 3-Mile Radius: $58,707
Population Growth (5 Yrs.):
8.19%</t>
  </si>
  <si>
    <t xml:space="preserve">Footprint</t>
  </si>
  <si>
    <t xml:space="preserve">2019/Good</t>
  </si>
  <si>
    <t xml:space="preserve">2018/Good</t>
  </si>
  <si>
    <t xml:space="preserve">2008/Above-Average</t>
  </si>
  <si>
    <t xml:space="preserve">2000 (Ren. 2019)/Good</t>
  </si>
  <si>
    <t xml:space="preserve">2019/New</t>
  </si>
  <si>
    <t xml:space="preserve">2015/Good</t>
  </si>
  <si>
    <t xml:space="preserve">Woodf-frame</t>
  </si>
  <si>
    <t xml:space="preserve">Concrete, Masonry</t>
  </si>
  <si>
    <t xml:space="preserve">Wood</t>
  </si>
  <si>
    <t xml:space="preserve">Wood-frame, masonry</t>
  </si>
  <si>
    <t xml:space="preserve">Wood-frame</t>
  </si>
  <si>
    <t xml:space="preserve">Exterior</t>
  </si>
  <si>
    <t xml:space="preserve">Stucco, brick</t>
  </si>
  <si>
    <t xml:space="preserve">Metal, painted concrete</t>
  </si>
  <si>
    <t xml:space="preserve">Brick, wood siding</t>
  </si>
  <si>
    <t xml:space="preserve">Wood, brick</t>
  </si>
  <si>
    <t xml:space="preserve">Wood, stucco</t>
  </si>
  <si>
    <t xml:space="preserve">Architectural Styling</t>
  </si>
  <si>
    <t xml:space="preserve">Daycare building</t>
  </si>
  <si>
    <t xml:space="preserve">Store Building</t>
  </si>
  <si>
    <t xml:space="preserve">Daycare/School Building</t>
  </si>
  <si>
    <t xml:space="preserve">Franchise daycare</t>
  </si>
  <si>
    <t xml:space="preserve">Typical Interior Finishes</t>
  </si>
  <si>
    <t xml:space="preserve">Good-quality daycare</t>
  </si>
  <si>
    <t xml:space="preserve">Average-quality school</t>
  </si>
  <si>
    <t xml:space="preserve">Average-quality daycare</t>
  </si>
  <si>
    <t xml:space="preserve">Average quality daycare/school finishes</t>
  </si>
  <si>
    <t xml:space="preserve">Parking Ratio (Per 1,000 SF)</t>
  </si>
  <si>
    <t xml:space="preserve">Occupancy</t>
  </si>
  <si>
    <t xml:space="preserve">Tenant Risk</t>
  </si>
  <si>
    <t xml:space="preserve">National Daycare Franchise</t>
  </si>
  <si>
    <t xml:space="preserve">Parker Performaing Arts</t>
  </si>
  <si>
    <t xml:space="preserve">Goddard School</t>
  </si>
  <si>
    <t xml:space="preserve">Local daycare tenant</t>
  </si>
  <si>
    <t xml:space="preserve">Learning Experence 
(Local Franchise)</t>
  </si>
  <si>
    <t xml:space="preserve">Low - Franchise Daycare</t>
  </si>
  <si>
    <t xml:space="preserve">Overall Cap Rate</t>
  </si>
  <si>
    <t xml:space="preserve">Years Remaining</t>
  </si>
  <si>
    <t xml:space="preserve">Renewal Options</t>
  </si>
  <si>
    <t xml:space="preserve">Building Layout</t>
  </si>
  <si>
    <t xml:space="preserve">Single-level, good</t>
  </si>
  <si>
    <t xml:space="preserve">Two-stories, good</t>
  </si>
  <si>
    <t xml:space="preserve">Single-story
Residential Conversion</t>
  </si>
  <si>
    <t xml:space="preserve">Building Amenities</t>
  </si>
  <si>
    <t xml:space="preserve">Perimiter classrooms, office, laundry, kitchen</t>
  </si>
  <si>
    <t xml:space="preserve">Calssrooms, gym, offices, cafateria, auditorium.</t>
  </si>
  <si>
    <t xml:space="preserve">Perimiter classrooms, office, laundry</t>
  </si>
  <si>
    <t xml:space="preserve">Classrooms, office, kitchen</t>
  </si>
  <si>
    <t xml:space="preserve">Commercial kitchen, office, meeting room, teacher's lounge.</t>
  </si>
  <si>
    <t xml:space="preserve">Above / Below Grade Space</t>
  </si>
  <si>
    <t xml:space="preserve">All above</t>
  </si>
  <si>
    <t xml:space="preserve">Site Improvements, Other</t>
  </si>
  <si>
    <t xml:space="preserve">Multiple playgrounds</t>
  </si>
  <si>
    <t xml:space="preserve">Multiple playgrounds, large outdoor activity areas. </t>
  </si>
  <si>
    <t xml:space="preserve">This grid carries the detailed comparable set entered on the previous version of this tab. It is a working grid - the Basic Sales Comparison tab is the one that feeds the Reconciliation and the report tables.</t>
  </si>
  <si>
    <t xml:space="preserve">LEASE &amp; RENT COMPARABLES - MASTER PROPERTY DATABASE</t>
  </si>
  <si>
    <t xml:space="preserve">Every lease below is transcribed from the Master Property Database (Tenants &amp; Leases). Set the In Set? flag to Y for the leases that belong in the market rent conclusion; the statistics and the concluded rate at the bottom read only the flagged rows, and the concluded rate feeds Income Approach!D8.</t>
  </si>
  <si>
    <t xml:space="preserve">Property</t>
  </si>
  <si>
    <t xml:space="preserve">Account #</t>
  </si>
  <si>
    <t xml:space="preserve">In Set?</t>
  </si>
  <si>
    <t xml:space="preserve">Unit / Suite</t>
  </si>
  <si>
    <t xml:space="preserve">Tenant</t>
  </si>
  <si>
    <t xml:space="preserve">Lease Type</t>
  </si>
  <si>
    <t xml:space="preserve">Leased SF</t>
  </si>
  <si>
    <t xml:space="preserve">Monthly Rent</t>
  </si>
  <si>
    <t xml:space="preserve">Annual Rent</t>
  </si>
  <si>
    <t xml:space="preserve">Rent $/SF</t>
  </si>
  <si>
    <t xml:space="preserve">Lease Start</t>
  </si>
  <si>
    <t xml:space="preserve">Lease End</t>
  </si>
  <si>
    <t xml:space="preserve">Term / Option</t>
  </si>
  <si>
    <t xml:space="preserve">Monthly CAM</t>
  </si>
  <si>
    <t xml:space="preserve">stat</t>
  </si>
  <si>
    <t xml:space="preserve">Denver Distribution Center</t>
  </si>
  <si>
    <t xml:space="preserve">R0180834</t>
  </si>
  <si>
    <t xml:space="preserve">Y</t>
  </si>
  <si>
    <t xml:space="preserve">United Natural Foods Inc (t0201668)</t>
  </si>
  <si>
    <t xml:space="preserve">Actual NNN</t>
  </si>
  <si>
    <t xml:space="preserve">1st renewal 10/31/2027; 2nd renewal</t>
  </si>
  <si>
    <t xml:space="preserve">Charge code cabrnind @ $0.54/SF/mo. Rent roll as of 01/01/2025.</t>
  </si>
  <si>
    <t xml:space="preserve">N</t>
  </si>
  <si>
    <t xml:space="preserve">United Natural Foods Inc - scheduled step</t>
  </si>
  <si>
    <t xml:space="preserve">Scheduled step</t>
  </si>
  <si>
    <t xml:space="preserve">Future rent $0.56/SF/mo effective 11/01/2025. Excluded from the set - same tenant as the row above.</t>
  </si>
  <si>
    <t xml:space="preserve">2780 N Tower Road</t>
  </si>
  <si>
    <t xml:space="preserve">R0212546</t>
  </si>
  <si>
    <t xml:space="preserve">Whole</t>
  </si>
  <si>
    <t xml:space="preserve">Single tenant (not named in the P&amp;L)</t>
  </si>
  <si>
    <t xml:space="preserve">Absolute net</t>
  </si>
  <si>
    <t xml:space="preserve">FY2024 rent income (acct 42327). Closest comp to the subject by size.</t>
  </si>
  <si>
    <t xml:space="preserve">FY2023 rent income. Excluded from the set - prior year of the row above.</t>
  </si>
  <si>
    <t xml:space="preserve">Commercenter #22</t>
  </si>
  <si>
    <t xml:space="preserve">R0132030</t>
  </si>
  <si>
    <t xml:space="preserve">Bldg 22 / 206422</t>
  </si>
  <si>
    <t xml:space="preserve">Expeditors International of Washington</t>
  </si>
  <si>
    <t xml:space="preserve">Multi-tenant net</t>
  </si>
  <si>
    <t xml:space="preserve">As of 06/01/24</t>
  </si>
  <si>
    <t xml:space="preserve">32.40% of building. Rent roll 06/01/2024.</t>
  </si>
  <si>
    <t xml:space="preserve">Steelcase, Inc.</t>
  </si>
  <si>
    <t xml:space="preserve">42.61% of building. Rent roll 06/01/2024.</t>
  </si>
  <si>
    <t xml:space="preserve">VACANT</t>
  </si>
  <si>
    <t xml:space="preserve">Vacant suite</t>
  </si>
  <si>
    <t xml:space="preserve">24.99% of building vacant. No rent - excluded from the set.</t>
  </si>
  <si>
    <t xml:space="preserve">Majestic Commercenter - WPC ABC</t>
  </si>
  <si>
    <t xml:space="preserve">R0083953</t>
  </si>
  <si>
    <t xml:space="preserve">455-A-CU</t>
  </si>
  <si>
    <t xml:space="preserve">Zayo Group</t>
  </si>
  <si>
    <t xml:space="preserve">90 mo</t>
  </si>
  <si>
    <t xml:space="preserve">1985 YOC, 50,000 SF bays. Steps to $16,875 (11/2024), $17,375. Smaller bay and much older than the subject - excluded from the set by default.</t>
  </si>
  <si>
    <t xml:space="preserve">455-B-CU</t>
  </si>
  <si>
    <t xml:space="preserve">Tritz Pallet</t>
  </si>
  <si>
    <t xml:space="preserve">47 mo</t>
  </si>
  <si>
    <t xml:space="preserve">Last step $10,000 eff. 03/01/2024.</t>
  </si>
  <si>
    <t xml:space="preserve">455-C-CU</t>
  </si>
  <si>
    <t xml:space="preserve">Peco Pallet</t>
  </si>
  <si>
    <t xml:space="preserve">120 mo</t>
  </si>
  <si>
    <t xml:space="preserve">Last step $16,250 eff. 04/01/2024.</t>
  </si>
  <si>
    <t xml:space="preserve">455-D-CU</t>
  </si>
  <si>
    <t xml:space="preserve">64 mo</t>
  </si>
  <si>
    <t xml:space="preserve">Last step $15,833 eff. 03/01/2024.</t>
  </si>
  <si>
    <t xml:space="preserve">7205 Gilpin Way</t>
  </si>
  <si>
    <t xml:space="preserve">R0178308</t>
  </si>
  <si>
    <t xml:space="preserve">Proforma single tenant</t>
  </si>
  <si>
    <t xml:space="preserve">Proforma NNN</t>
  </si>
  <si>
    <t xml:space="preserve">Ryan LLC tax-appeal proforma: $10.50/SF, OpEx 8% of EGI, 5% vacancy. Not an actual lease.</t>
  </si>
  <si>
    <t xml:space="preserve">17608 E. 24th Drive</t>
  </si>
  <si>
    <t xml:space="preserve">R0169133</t>
  </si>
  <si>
    <t xml:space="preserve">Ryan LLC proforma: $10.00/SF, OpEx 8% of EGI.</t>
  </si>
  <si>
    <t xml:space="preserve">12260 Pennsylvania St</t>
  </si>
  <si>
    <t xml:space="preserve">R0024442</t>
  </si>
  <si>
    <t xml:space="preserve">Face rent $10.00/SF; actual in-place tenant $9.50/SF NNN from 01/01/2024.</t>
  </si>
  <si>
    <t xml:space="preserve">6770 E. 56th Ave</t>
  </si>
  <si>
    <t xml:space="preserve">R0092302</t>
  </si>
  <si>
    <t xml:space="preserve">Proforma</t>
  </si>
  <si>
    <t xml:space="preserve">Property Tax Advisors proforma: $12.00/SF, 95% occupancy.</t>
  </si>
  <si>
    <t xml:space="preserve">5650 Washington St</t>
  </si>
  <si>
    <t xml:space="preserve">R0103767</t>
  </si>
  <si>
    <t xml:space="preserve">Multiple</t>
  </si>
  <si>
    <t xml:space="preserve">Actual multi-tenant</t>
  </si>
  <si>
    <t xml:space="preserve">Modified gross</t>
  </si>
  <si>
    <t xml:space="preserve">Actual rents $10.28-$31.48/SF modified gross; flex/office finish, not comparable to bulk warehouse.</t>
  </si>
  <si>
    <t xml:space="preserve">125 BRIDGE ST, BRIGHTON (R0002819) - ACTUAL RENT ROLL</t>
  </si>
  <si>
    <t xml:space="preserve">125 Bridge St</t>
  </si>
  <si>
    <t xml:space="preserve">R0002819</t>
  </si>
  <si>
    <t xml:space="preserve">A (Indoor)</t>
  </si>
  <si>
    <t xml:space="preserve">Bulldog Tires</t>
  </si>
  <si>
    <t xml:space="preserve">Lease</t>
  </si>
  <si>
    <t xml:space="preserve">3-yr option</t>
  </si>
  <si>
    <t xml:space="preserve">B (Indoor)</t>
  </si>
  <si>
    <t xml:space="preserve">Manny Mercado</t>
  </si>
  <si>
    <t xml:space="preserve">2-yr option</t>
  </si>
  <si>
    <t xml:space="preserve">C (Indoor)</t>
  </si>
  <si>
    <t xml:space="preserve">Drip and Stitch</t>
  </si>
  <si>
    <t xml:space="preserve">1-yr option</t>
  </si>
  <si>
    <t xml:space="preserve">CAM unit 'Cabinet Connections' vacated</t>
  </si>
  <si>
    <t xml:space="preserve">D (Indoor)</t>
  </si>
  <si>
    <t xml:space="preserve">Galaxy Greens</t>
  </si>
  <si>
    <t xml:space="preserve">5-yr option</t>
  </si>
  <si>
    <t xml:space="preserve">E (Indoor)</t>
  </si>
  <si>
    <t xml:space="preserve">Intensive Drilling</t>
  </si>
  <si>
    <t xml:space="preserve">F (Indoor)</t>
  </si>
  <si>
    <t xml:space="preserve">Listed; no rent shown (vacant/expansion)</t>
  </si>
  <si>
    <t xml:space="preserve">Outdoor</t>
  </si>
  <si>
    <t xml:space="preserve">ABC</t>
  </si>
  <si>
    <t xml:space="preserve">Term as above</t>
  </si>
  <si>
    <t xml:space="preserve">El Tacos</t>
  </si>
  <si>
    <t xml:space="preserve">Cabinet</t>
  </si>
  <si>
    <t xml:space="preserve">MTM</t>
  </si>
  <si>
    <t xml:space="preserve">Month-to-month</t>
  </si>
  <si>
    <t xml:space="preserve">RV Parking</t>
  </si>
  <si>
    <t xml:space="preserve">Total monthly rental income</t>
  </si>
  <si>
    <t xml:space="preserve">Unit areas are not stated in the source rent roll, so no $/SF can be derived for this property.</t>
  </si>
  <si>
    <t xml:space="preserve">5970 MARION DRIVE (0182511303018) - ACTUAL TENANTS</t>
  </si>
  <si>
    <t xml:space="preserve">5970 Marion Drive</t>
  </si>
  <si>
    <t xml:space="preserve">(none)</t>
  </si>
  <si>
    <t xml:space="preserve">Unit 1</t>
  </si>
  <si>
    <t xml:space="preserve">Whatever It Takes Transmissions &amp; Parts</t>
  </si>
  <si>
    <t xml:space="preserve">Actual NNN w/ CAM</t>
  </si>
  <si>
    <t xml:space="preserve">Actual NNN with CAM. 2024 monthly rent about $9,136; CAM billed separately. Unit area not stated in the source.</t>
  </si>
  <si>
    <t xml:space="preserve">Unit 2</t>
  </si>
  <si>
    <t xml:space="preserve">Integrated Turf Solutions LLC</t>
  </si>
  <si>
    <t xml:space="preserve">Actual NNN with CAM. 2024 monthly rent ranged $3,120-$6,860. Unit area not stated in the source.</t>
  </si>
  <si>
    <t xml:space="preserve">MARKET RENT CONCLUSION</t>
  </si>
  <si>
    <t xml:space="preserve">Leases in set</t>
  </si>
  <si>
    <t xml:space="preserve">Low  $/SF</t>
  </si>
  <si>
    <t xml:space="preserve">High  $/SF</t>
  </si>
  <si>
    <t xml:space="preserve">Average  $/SF</t>
  </si>
  <si>
    <t xml:space="preserve">Median  $/SF</t>
  </si>
  <si>
    <t xml:space="preserve">Subject Building Area (SF)</t>
  </si>
  <si>
    <t xml:space="preserve">CONCLUDED MARKET RENT ($/SF/yr)</t>
  </si>
  <si>
    <t xml:space="preserve">Potential Gross Rental Income</t>
  </si>
  <si>
    <t xml:space="preserve">The concluded rate is carried at the rate already used in the Income Approach so this tab does not move the value on its own - change C49 to re-peg it. Default flags include the two single-tenant mega-warehouse leases (553,757 SF at $6.52 and 377,729 SF at $8.07) and the two large-bay leases at Commercenter #22. The 1985-vintage 50,000 SF bays at Majestic Commercenter and all proforma rents are left out of the set; flag them Y if you want them counted.</t>
  </si>
  <si>
    <t xml:space="preserve">INCOME CAPITALIZATION APPROACH</t>
  </si>
  <si>
    <t xml:space="preserve">PGRI - MARKET RENTS</t>
  </si>
  <si>
    <t xml:space="preserve">Space Type</t>
  </si>
  <si>
    <t xml:space="preserve">SF</t>
  </si>
  <si>
    <t xml:space="preserve">Rent PSF</t>
  </si>
  <si>
    <t xml:space="preserve">PGRI</t>
  </si>
  <si>
    <t xml:space="preserve">Total Potential Gross Rental Income</t>
  </si>
  <si>
    <t xml:space="preserve">VACANCY AND COLLECTION LOSS</t>
  </si>
  <si>
    <t xml:space="preserve">Rate</t>
  </si>
  <si>
    <t xml:space="preserve">CoStar - Denver CBSA - Industrial 20,000 SF - 50,000 SF</t>
  </si>
  <si>
    <t xml:space="preserve">CoStar - Adams County - Industrial</t>
  </si>
  <si>
    <t xml:space="preserve">Range</t>
  </si>
  <si>
    <t xml:space="preserve">Concluded Overall Vacancy Rate</t>
  </si>
  <si>
    <t xml:space="preserve">EXPENSES IN TIME OF VACANCY</t>
  </si>
  <si>
    <t xml:space="preserve">Expense</t>
  </si>
  <si>
    <t xml:space="preserve">PSF</t>
  </si>
  <si>
    <t xml:space="preserve">Basis</t>
  </si>
  <si>
    <t xml:space="preserve">Real Estate Taxes</t>
  </si>
  <si>
    <t xml:space="preserve">Actual</t>
  </si>
  <si>
    <t xml:space="preserve">Insurance</t>
  </si>
  <si>
    <t xml:space="preserve">Estimated</t>
  </si>
  <si>
    <t xml:space="preserve">Utilities</t>
  </si>
  <si>
    <t xml:space="preserve">CAM Repairs and Maintenance</t>
  </si>
  <si>
    <t xml:space="preserve">Management</t>
  </si>
  <si>
    <t xml:space="preserve">% of EGI</t>
  </si>
  <si>
    <t xml:space="preserve">Multiplied by Vacancy Factor of</t>
  </si>
  <si>
    <t xml:space="preserve">Divided by EGI</t>
  </si>
  <si>
    <t xml:space="preserve">PRO FORMA OPERATING STATEMENT</t>
  </si>
  <si>
    <t xml:space="preserve">Category</t>
  </si>
  <si>
    <t xml:space="preserve">Projected Expenses</t>
  </si>
  <si>
    <t xml:space="preserve">Projected Income</t>
  </si>
  <si>
    <t xml:space="preserve">Potential Gross Rental Income (PGRI)</t>
  </si>
  <si>
    <t xml:space="preserve">Plus:  Other Income</t>
  </si>
  <si>
    <t xml:space="preserve">Plus:  Pass-Through Income</t>
  </si>
  <si>
    <t xml:space="preserve">Less: Market Vacancy</t>
  </si>
  <si>
    <t xml:space="preserve">Effective Gross Income (EGI)</t>
  </si>
  <si>
    <t xml:space="preserve">Fixed Expenses</t>
  </si>
  <si>
    <t xml:space="preserve">Owner's Expenses</t>
  </si>
  <si>
    <t xml:space="preserve">Operating Expense Recovery Loss During Vacancy</t>
  </si>
  <si>
    <t xml:space="preserve">Total Expenses</t>
  </si>
  <si>
    <t xml:space="preserve">Net Operating Income</t>
  </si>
  <si>
    <t xml:space="preserve">THIRD PARTY SURVEYS - CAPITALIZATION RATES</t>
  </si>
  <si>
    <t xml:space="preserve">Survey 1</t>
  </si>
  <si>
    <t xml:space="preserve">Survey 2</t>
  </si>
  <si>
    <t xml:space="preserve">CoStar</t>
  </si>
  <si>
    <t xml:space="preserve">Date of Survey</t>
  </si>
  <si>
    <t xml:space="preserve">Range Average</t>
  </si>
  <si>
    <t xml:space="preserve">4.0% - 12.0%</t>
  </si>
  <si>
    <t xml:space="preserve">4.0% - 11.0%</t>
  </si>
  <si>
    <t xml:space="preserve">Capitalization Rate Conclusion</t>
  </si>
  <si>
    <t xml:space="preserve">DIRECT CAPITALIZATION METHOD VALUE CONCLUSION</t>
  </si>
  <si>
    <t xml:space="preserve">Net Operating Income (NOI)</t>
  </si>
  <si>
    <t xml:space="preserve">Reconciled Value</t>
  </si>
  <si>
    <t xml:space="preserve">Cream cells are entries; gray cells calculate or link to the Property Info tab. Building area, occupancy name and the concluded vacancy rate all read from Property Info. The rounded value in D64 is the Income Approach conclusion that carries into the Reconciliation tab.</t>
  </si>
  <si>
    <t xml:space="preserve">MARKET EXPENSE BENCHMARKS - MASTER PROPERTY DATABASE ($/SF)</t>
  </si>
  <si>
    <t xml:space="preserve">Operating expenses per square foot for the size-relevant industrial comparables, read live from the Expense Database tab. Absolute-net comparables show only what the landlord retains, so they understate the cost a landlord would carry on vacant space; the multi-tenant NNN figures are the better guide for the vacancy block above.</t>
  </si>
  <si>
    <t xml:space="preserve">Comparable</t>
  </si>
  <si>
    <t xml:space="preserve">R&amp;M + Contract</t>
  </si>
  <si>
    <t xml:space="preserve">Mgmt / Admin</t>
  </si>
  <si>
    <t xml:space="preserve">Total excl RE Tax</t>
  </si>
  <si>
    <t xml:space="preserve">Denver Distribution Center (R0180834)</t>
  </si>
  <si>
    <t xml:space="preserve">2780 N Tower Road (R0212546)</t>
  </si>
  <si>
    <t xml:space="preserve">Commercenter #22 (R0132030)</t>
  </si>
  <si>
    <t xml:space="preserve">Majestic Commercenter (R0083953)</t>
  </si>
  <si>
    <t xml:space="preserve">CONCLUDED EXPENSE RATES USED IN THE VACANCY BLOCK ABOVE</t>
  </si>
  <si>
    <t xml:space="preserve">Insurance  ($/SF)</t>
  </si>
  <si>
    <t xml:space="preserve">-&gt; feeds D25 (median of the set above)</t>
  </si>
  <si>
    <t xml:space="preserve">Utilities  ($/SF)</t>
  </si>
  <si>
    <t xml:space="preserve">-&gt; feeds D26 (median of the set above)</t>
  </si>
  <si>
    <t xml:space="preserve">CAM Repairs and Maintenance  ($/SF)</t>
  </si>
  <si>
    <t xml:space="preserve">-&gt; feeds D27 (median of the set above)</t>
  </si>
  <si>
    <t xml:space="preserve">VALUE RECONCILIATION &amp; FINAL VALUE</t>
  </si>
  <si>
    <t xml:space="preserve">Each approach conclusion links straight from its own tab - Cost Approach!G70, Basic Sales Comparison!C50 and Income Approach!D64. Enter a weight for each approach in column D (weights need not sum to 100%). Column F is an optional manual override that replaces the linked value when it is filled in.</t>
  </si>
  <si>
    <t xml:space="preserve">Subject Address</t>
  </si>
  <si>
    <t xml:space="preserve">Valuation Basis (auto)</t>
  </si>
  <si>
    <t xml:space="preserve">Approach</t>
  </si>
  <si>
    <t xml:space="preserve">Weight</t>
  </si>
  <si>
    <t xml:space="preserve">Weighted Value</t>
  </si>
  <si>
    <t xml:space="preserve">Override</t>
  </si>
  <si>
    <t xml:space="preserve">Links to</t>
  </si>
  <si>
    <t xml:space="preserve">Cost Approach</t>
  </si>
  <si>
    <t xml:space="preserve">Cost Approach!G70</t>
  </si>
  <si>
    <t xml:space="preserve">Sales Comparison Approach</t>
  </si>
  <si>
    <t xml:space="preserve">Basic Sales Comparison!C50</t>
  </si>
  <si>
    <t xml:space="preserve">Income Capitalization Approach</t>
  </si>
  <si>
    <t xml:space="preserve">Income Approach!D64</t>
  </si>
  <si>
    <t xml:space="preserve">Weighted Indicated Value</t>
  </si>
  <si>
    <t xml:space="preserve">CONCLUDED VALUE (rounded)</t>
  </si>
  <si>
    <t xml:space="preserve">   per SF</t>
  </si>
  <si>
    <t xml:space="preserve">   per Unit / Key</t>
  </si>
  <si>
    <t xml:space="preserve">Approach Reliance</t>
  </si>
  <si>
    <t xml:space="preserve">Text used on the Value Indications table</t>
  </si>
  <si>
    <t xml:space="preserve">Pos</t>
  </si>
  <si>
    <t xml:space="preserve">Num</t>
  </si>
  <si>
    <t xml:space="preserve">Parcel</t>
  </si>
  <si>
    <t xml:space="preserve">Filtered
Address</t>
  </si>
  <si>
    <t xml:space="preserve">OCC</t>
  </si>
  <si>
    <t xml:space="preserve">CITY</t>
  </si>
  <si>
    <t xml:space="preserve">Loc</t>
  </si>
  <si>
    <t xml:space="preserve">FTS</t>
  </si>
  <si>
    <t xml:space="preserve">Date</t>
  </si>
  <si>
    <t xml:space="preserve">Above
Grade NRA</t>
  </si>
  <si>
    <t xml:space="preserve">Bsmt
NRA</t>
  </si>
  <si>
    <t xml:space="preserve">NRA</t>
  </si>
  <si>
    <t xml:space="preserve"># Units</t>
  </si>
  <si>
    <t xml:space="preserve"># Bldgs</t>
  </si>
  <si>
    <t xml:space="preserve">Str</t>
  </si>
  <si>
    <t xml:space="preserve">Grd</t>
  </si>
  <si>
    <t xml:space="preserve">L:B RATIO</t>
  </si>
  <si>
    <t xml:space="preserve">PHY</t>
  </si>
  <si>
    <t xml:space="preserve">FUN</t>
  </si>
  <si>
    <t xml:space="preserve">PF</t>
  </si>
  <si>
    <t xml:space="preserve">Tie-Back</t>
  </si>
  <si>
    <t xml:space="preserve">Amount</t>
  </si>
  <si>
    <t xml:space="preserve">Deduct.</t>
  </si>
  <si>
    <t xml:space="preserve">Remarks</t>
  </si>
  <si>
    <t xml:space="preserve">Reception #</t>
  </si>
  <si>
    <t xml:space="preserve">Street</t>
  </si>
  <si>
    <t xml:space="preserve">Score (internal)</t>
  </si>
  <si>
    <t xml:space="preserve">TieBreak (internal)</t>
  </si>
  <si>
    <t xml:space="preserve">Price / Unit-Key</t>
  </si>
  <si>
    <t xml:space="preserve">R0042518</t>
  </si>
  <si>
    <t xml:space="preserve">1412 W 104TH AVE</t>
  </si>
  <si>
    <t xml:space="preserve">NORTHGLENN</t>
  </si>
  <si>
    <t xml:space="preserve">4</t>
  </si>
  <si>
    <t xml:space="preserve">R-1-B-Nor</t>
  </si>
  <si>
    <t xml:space="preserve">0171916102001</t>
  </si>
  <si>
    <t xml:space="preserve">2019000080555</t>
  </si>
  <si>
    <t xml:space="preserve">MCCAIN PROPERTIES II LLC, C/O WHEELHOUSE COMMERCIAL MGMT </t>
  </si>
  <si>
    <t xml:space="preserve">TRIUMPH HILLCREST PLAZA ACQUISTION LP</t>
  </si>
  <si>
    <t xml:space="preserve">R0168917</t>
  </si>
  <si>
    <t xml:space="preserve">462 MALLEY DR</t>
  </si>
  <si>
    <t xml:space="preserve">0171903409022</t>
  </si>
  <si>
    <t xml:space="preserve">2018000079617</t>
  </si>
  <si>
    <t xml:space="preserve">NORTH GATE SHOPPING CENTER LL</t>
  </si>
  <si>
    <t xml:space="preserve">TRECO NORTHGLENN INVESTMENT LLC</t>
  </si>
  <si>
    <t xml:space="preserve">R0164562</t>
  </si>
  <si>
    <t xml:space="preserve">7310  FEDERAL BLVD</t>
  </si>
  <si>
    <t xml:space="preserve">WESTMINSTER</t>
  </si>
  <si>
    <t xml:space="preserve">0171932421001</t>
  </si>
  <si>
    <t xml:space="preserve">2018000074031</t>
  </si>
  <si>
    <t xml:space="preserve">LA CONTE J AND R REAL ESTATE, ADMINISTRATIVE TRUST</t>
  </si>
  <si>
    <t xml:space="preserve">72ND AND FEDERAL LLC</t>
  </si>
  <si>
    <t xml:space="preserve">R0025081</t>
  </si>
  <si>
    <t xml:space="preserve">395 W 120TH AVE</t>
  </si>
  <si>
    <t xml:space="preserve">PUD-Wes</t>
  </si>
  <si>
    <t xml:space="preserve">0157334310007</t>
  </si>
  <si>
    <t xml:space="preserve">2023000059964</t>
  </si>
  <si>
    <t xml:space="preserve">DENVER NORTHGLENN HOTELS LLC</t>
  </si>
  <si>
    <t xml:space="preserve">ASHOORIGROUP PROPERTIES LLC</t>
  </si>
  <si>
    <t xml:space="preserve">R0093007</t>
  </si>
  <si>
    <t xml:space="preserve">3788 WHEELING ST</t>
  </si>
  <si>
    <t xml:space="preserve">AURORA</t>
  </si>
  <si>
    <t xml:space="preserve">6</t>
  </si>
  <si>
    <t xml:space="preserve">M-3</t>
  </si>
  <si>
    <t xml:space="preserve">0182325114006</t>
  </si>
  <si>
    <t xml:space="preserve">2022000090697</t>
  </si>
  <si>
    <t xml:space="preserve">JACOBSON RICHARD LESLIE</t>
  </si>
  <si>
    <t xml:space="preserve">WHEELING HOLDINGS LLC</t>
  </si>
  <si>
    <t xml:space="preserve">R0093893</t>
  </si>
  <si>
    <t xml:space="preserve">3202 NOME ST</t>
  </si>
  <si>
    <t xml:space="preserve">0182326102004</t>
  </si>
  <si>
    <t xml:space="preserve">2023000069965</t>
  </si>
  <si>
    <t xml:space="preserve">MEEKS GARY I AND , MEEKS PAULA K </t>
  </si>
  <si>
    <t xml:space="preserve">REP HOLDINGS LLC</t>
  </si>
  <si>
    <t xml:space="preserve">R0113646</t>
  </si>
  <si>
    <t xml:space="preserve">8971 YATES ST</t>
  </si>
  <si>
    <t xml:space="preserve">0171919324002</t>
  </si>
  <si>
    <t xml:space="preserve">2024000007838</t>
  </si>
  <si>
    <t xml:space="preserve">SHIH PROPERTIES INCORPORATED</t>
  </si>
  <si>
    <t xml:space="preserve">BHATTARAI DOL PRASAD</t>
  </si>
  <si>
    <t xml:space="preserve">R0169173</t>
  </si>
  <si>
    <t xml:space="preserve">2751 W 120TH AVE</t>
  </si>
  <si>
    <t xml:space="preserve">0157332401012</t>
  </si>
  <si>
    <t xml:space="preserve">2023000065924</t>
  </si>
  <si>
    <t xml:space="preserve">R &amp; R PROPERTIES LLC</t>
  </si>
  <si>
    <t xml:space="preserve">WELBY CENTER LLC</t>
  </si>
  <si>
    <t xml:space="preserve">R0176529</t>
  </si>
  <si>
    <t xml:space="preserve">2761 W 120TH AVE</t>
  </si>
  <si>
    <t xml:space="preserve">0157332401021</t>
  </si>
  <si>
    <t xml:space="preserve">2023000008038</t>
  </si>
  <si>
    <t xml:space="preserve">CHIROPRACTIC OF NORTH DENVER PC</t>
  </si>
  <si>
    <t xml:space="preserve">HARTIGAN PROPERTIES LLC</t>
  </si>
  <si>
    <t xml:space="preserve">R0188147</t>
  </si>
  <si>
    <t xml:space="preserve">2741 W 120TH AVE</t>
  </si>
  <si>
    <t xml:space="preserve">0157332401027</t>
  </si>
  <si>
    <t xml:space="preserve">2022000058894</t>
  </si>
  <si>
    <t xml:space="preserve">COUNTRY CLUB VILLAGE TWO LLC</t>
  </si>
  <si>
    <t xml:space="preserve">CTJ LEASING LLC</t>
  </si>
  <si>
    <t xml:space="preserve">R0025151</t>
  </si>
  <si>
    <t xml:space="preserve">12055 MELODY DR</t>
  </si>
  <si>
    <t xml:space="preserve">0157334313002</t>
  </si>
  <si>
    <t xml:space="preserve">2024000020298</t>
  </si>
  <si>
    <t xml:space="preserve">CHANG AND IM INCORPORATED</t>
  </si>
  <si>
    <t xml:space="preserve">MELODY DRIVE INVESTMENT LLC</t>
  </si>
  <si>
    <t xml:space="preserve">R0061279</t>
  </si>
  <si>
    <t xml:space="preserve">3030 W 81ST AVE</t>
  </si>
  <si>
    <t xml:space="preserve">0171929322001</t>
  </si>
  <si>
    <t xml:space="preserve">2024000012610</t>
  </si>
  <si>
    <t xml:space="preserve">3030 81ST LLC</t>
  </si>
  <si>
    <t xml:space="preserve">BAB REALTY LLC</t>
  </si>
  <si>
    <t xml:space="preserve">R0064517</t>
  </si>
  <si>
    <t xml:space="preserve">5141 W 78TH AVE</t>
  </si>
  <si>
    <t xml:space="preserve">0171931217002</t>
  </si>
  <si>
    <t xml:space="preserve">2023000049988</t>
  </si>
  <si>
    <t xml:space="preserve">W S A FRATERNAL LIFE</t>
  </si>
  <si>
    <t xml:space="preserve">FARMHOUSE CENTER LLC</t>
  </si>
  <si>
    <t xml:space="preserve">R0093873</t>
  </si>
  <si>
    <t xml:space="preserve">3323 MOLINE ST</t>
  </si>
  <si>
    <t xml:space="preserve">0182326101023</t>
  </si>
  <si>
    <t xml:space="preserve">2023000030494</t>
  </si>
  <si>
    <t xml:space="preserve">VANDER HORST FAMILY TRUST THE</t>
  </si>
  <si>
    <t xml:space="preserve">BARR AVENUE PARTNERSHIP LLC</t>
  </si>
  <si>
    <t xml:space="preserve">R0124578</t>
  </si>
  <si>
    <t xml:space="preserve">11152 HURON ST</t>
  </si>
  <si>
    <t xml:space="preserve">C-0-Nor</t>
  </si>
  <si>
    <t xml:space="preserve">0171910205038</t>
  </si>
  <si>
    <t xml:space="preserve">2023000057923</t>
  </si>
  <si>
    <t xml:space="preserve">CJ AND K PARTNERS LLC</t>
  </si>
  <si>
    <t xml:space="preserve">PREMIER HOME HEALTH CARE INC</t>
  </si>
  <si>
    <t xml:space="preserve">R0179233</t>
  </si>
  <si>
    <t xml:space="preserve">4257 MAIN ST</t>
  </si>
  <si>
    <t xml:space="preserve">0171906101012</t>
  </si>
  <si>
    <t xml:space="preserve">2022000091184</t>
  </si>
  <si>
    <t xml:space="preserve">121ST PROPERTY PARTNERS LLC</t>
  </si>
  <si>
    <t xml:space="preserve">HSP PROPERTIES INC</t>
  </si>
  <si>
    <t xml:space="preserve">R0183438</t>
  </si>
  <si>
    <t xml:space="preserve">2861 W 120TH AVE</t>
  </si>
  <si>
    <t xml:space="preserve">0157332401024</t>
  </si>
  <si>
    <t xml:space="preserve">2024000001871</t>
  </si>
  <si>
    <t xml:space="preserve">GOLD CROWN LLC</t>
  </si>
  <si>
    <t xml:space="preserve">ENE MANAGEMENT LLC</t>
  </si>
  <si>
    <t xml:space="preserve">R0024493</t>
  </si>
  <si>
    <t xml:space="preserve">497 E 120TH AVE</t>
  </si>
  <si>
    <t xml:space="preserve">THORNTON</t>
  </si>
  <si>
    <t xml:space="preserve">Regional Commercial</t>
  </si>
  <si>
    <t xml:space="preserve">0157334010018</t>
  </si>
  <si>
    <t xml:space="preserve">2023000061238</t>
  </si>
  <si>
    <t xml:space="preserve">LCN BLM CHANDLER LLC , ATTN BLOOMIN BRANDS INC</t>
  </si>
  <si>
    <t xml:space="preserve">CANNISTRA REALTY LLC</t>
  </si>
  <si>
    <t xml:space="preserve">R0114862</t>
  </si>
  <si>
    <t xml:space="preserve">8778 WOLFF CT</t>
  </si>
  <si>
    <t xml:space="preserve">0171930219021</t>
  </si>
  <si>
    <t xml:space="preserve">2023000044191</t>
  </si>
  <si>
    <t xml:space="preserve">8778 WOLFF LLC, C/O HOLDER R BRUCE/R WAYNE</t>
  </si>
  <si>
    <t xml:space="preserve">DIVINE HOMES DENVER LLC</t>
  </si>
  <si>
    <t xml:space="preserve">R0077378</t>
  </si>
  <si>
    <t xml:space="preserve">8777 BRIGHTON RD</t>
  </si>
  <si>
    <t xml:space="preserve">5</t>
  </si>
  <si>
    <t xml:space="preserve">Industrial</t>
  </si>
  <si>
    <t xml:space="preserve">0172129200004</t>
  </si>
  <si>
    <t xml:space="preserve">2023000049971</t>
  </si>
  <si>
    <t xml:space="preserve">SAHLI-SUNDBY ANN C</t>
  </si>
  <si>
    <t xml:space="preserve">BRIGHTON RD LLC</t>
  </si>
  <si>
    <t xml:space="preserve">R0077738</t>
  </si>
  <si>
    <t xml:space="preserve">7787 BRIGHTON BLVD</t>
  </si>
  <si>
    <t xml:space="preserve">0172131103002</t>
  </si>
  <si>
    <t xml:space="preserve">2022000063980</t>
  </si>
  <si>
    <t xml:space="preserve">MARTINEZ ORLANDO</t>
  </si>
  <si>
    <t xml:space="preserve">JOE SINGH INC</t>
  </si>
  <si>
    <t xml:space="preserve">R0082000</t>
  </si>
  <si>
    <t xml:space="preserve">1506 MAIN ST</t>
  </si>
  <si>
    <t xml:space="preserve">STRASBURG</t>
  </si>
  <si>
    <t xml:space="preserve">Commercial</t>
  </si>
  <si>
    <t xml:space="preserve">0181333422015</t>
  </si>
  <si>
    <t xml:space="preserve">2024000000995</t>
  </si>
  <si>
    <t xml:space="preserve">L S STRASBURG LLC</t>
  </si>
  <si>
    <t xml:space="preserve">SODDIK INVESTMENTS LLC</t>
  </si>
  <si>
    <t xml:space="preserve">R0084263</t>
  </si>
  <si>
    <t xml:space="preserve">15200 E 33RD PL</t>
  </si>
  <si>
    <t xml:space="preserve">M-1-Aur</t>
  </si>
  <si>
    <t xml:space="preserve">0182130007002</t>
  </si>
  <si>
    <t xml:space="preserve">2023000062952</t>
  </si>
  <si>
    <t xml:space="preserve">PIII CHAMBERS ROAD LLC</t>
  </si>
  <si>
    <t xml:space="preserve">MCA IGF COMMERCE CENTER LLC</t>
  </si>
  <si>
    <t xml:space="preserve">R0085792</t>
  </si>
  <si>
    <t xml:space="preserve">2200 N CHAMBERS RD</t>
  </si>
  <si>
    <t xml:space="preserve">0182132008008</t>
  </si>
  <si>
    <t xml:space="preserve">2023000053910</t>
  </si>
  <si>
    <t xml:space="preserve">SCHWARTZ JOSH JON</t>
  </si>
  <si>
    <t xml:space="preserve">CHOCOLATE WORKS LLC</t>
  </si>
  <si>
    <t xml:space="preserve">R0093109</t>
  </si>
  <si>
    <t xml:space="preserve">3250 QUENTIN ST</t>
  </si>
  <si>
    <t xml:space="preserve">0182325212001</t>
  </si>
  <si>
    <t xml:space="preserve">2023000071663</t>
  </si>
  <si>
    <t xml:space="preserve">HZ SORRENTO HIGHPOINTE SQUARE LLC ET AL, C/O PARAMOUNT PROPERTY COMPANY, LTD</t>
  </si>
  <si>
    <t xml:space="preserve">MNG COMMERCE MIDTOWN LLC UND 42% INT AND, MNG COMMERCE OLIVEHAIN LLC UND  et al.</t>
  </si>
  <si>
    <t xml:space="preserve">R0098103</t>
  </si>
  <si>
    <t xml:space="preserve">1247 E 68TH AVE</t>
  </si>
  <si>
    <t xml:space="preserve">0182502205015</t>
  </si>
  <si>
    <t xml:space="preserve">2023000035170</t>
  </si>
  <si>
    <t xml:space="preserve">JECO HOLDINGS INC</t>
  </si>
  <si>
    <t xml:space="preserve">1247 DENVER PARTNERS LLC, C/O ALTERRA PROPERTY GROUP</t>
  </si>
  <si>
    <t xml:space="preserve">R0108009</t>
  </si>
  <si>
    <t xml:space="preserve">6940 PECOS ST</t>
  </si>
  <si>
    <t xml:space="preserve">0182504113010</t>
  </si>
  <si>
    <t xml:space="preserve">2023000039259</t>
  </si>
  <si>
    <t xml:space="preserve">VITELAS LLC</t>
  </si>
  <si>
    <t xml:space="preserve">ALVAREZ DANIEL CASTRO</t>
  </si>
  <si>
    <t xml:space="preserve">R0130283</t>
  </si>
  <si>
    <t xml:space="preserve">5635 FRANKLIN ST</t>
  </si>
  <si>
    <t xml:space="preserve">0182511314008</t>
  </si>
  <si>
    <t xml:space="preserve">2023000069014</t>
  </si>
  <si>
    <t xml:space="preserve">J STREET I LLC</t>
  </si>
  <si>
    <t xml:space="preserve">FRANKLIN INDUSTRIAL LLC</t>
  </si>
  <si>
    <t xml:space="preserve">R0158487</t>
  </si>
  <si>
    <t xml:space="preserve">1750 W 64TH LN</t>
  </si>
  <si>
    <t xml:space="preserve">Planned Unit Development</t>
  </si>
  <si>
    <t xml:space="preserve">0182504302017</t>
  </si>
  <si>
    <t xml:space="preserve">2023000067126</t>
  </si>
  <si>
    <t xml:space="preserve">QUALLS JOSEPH M AND, QUALLS CYNTHIA A</t>
  </si>
  <si>
    <t xml:space="preserve">KOEGEL REAL ESTATE LLC</t>
  </si>
  <si>
    <t xml:space="preserve">R0177294</t>
  </si>
  <si>
    <t xml:space="preserve">5156 W 58TH AVE</t>
  </si>
  <si>
    <t xml:space="preserve">ARVADA</t>
  </si>
  <si>
    <t xml:space="preserve">I-1-Arv</t>
  </si>
  <si>
    <t xml:space="preserve">0182507309001</t>
  </si>
  <si>
    <t xml:space="preserve">2024000014950</t>
  </si>
  <si>
    <t xml:space="preserve">DUCTS HOLDINGS LLC</t>
  </si>
  <si>
    <t xml:space="preserve">DU REAL ESTATE HOLDINGS LLC</t>
  </si>
  <si>
    <t xml:space="preserve">R0004560</t>
  </si>
  <si>
    <t xml:space="preserve">501 S MAIN ST</t>
  </si>
  <si>
    <t xml:space="preserve">I-1-Bri</t>
  </si>
  <si>
    <t xml:space="preserve">0156907323002</t>
  </si>
  <si>
    <t xml:space="preserve">2022000089640</t>
  </si>
  <si>
    <t xml:space="preserve">PACHECO JESUS L</t>
  </si>
  <si>
    <t xml:space="preserve">RELIANCE POWER COMPANY LLC AND, 4 SEASONS TRANSPORT LLC</t>
  </si>
  <si>
    <t xml:space="preserve">R0081995</t>
  </si>
  <si>
    <t xml:space="preserve">56761 E COLFAX AVE</t>
  </si>
  <si>
    <t xml:space="preserve">0181333422008</t>
  </si>
  <si>
    <t xml:space="preserve">2023000054363</t>
  </si>
  <si>
    <t xml:space="preserve">K &amp; S FAMILY INDUSTRIES LLC</t>
  </si>
  <si>
    <t xml:space="preserve">THE STRASBURG YARD LLC</t>
  </si>
  <si>
    <t xml:space="preserve">R0084235</t>
  </si>
  <si>
    <t xml:space="preserve">3751 FRASER ST</t>
  </si>
  <si>
    <t xml:space="preserve">0182130002003</t>
  </si>
  <si>
    <t xml:space="preserve">2022000070197</t>
  </si>
  <si>
    <t xml:space="preserve">FRASER SERVICE CENTER LLC</t>
  </si>
  <si>
    <t xml:space="preserve">NICOLA 3751 FRASER LP</t>
  </si>
  <si>
    <t xml:space="preserve">R0124575</t>
  </si>
  <si>
    <t xml:space="preserve">11152 HURON ST #105</t>
  </si>
  <si>
    <t xml:space="preserve">0171910205035</t>
  </si>
  <si>
    <t xml:space="preserve">2023000022836</t>
  </si>
  <si>
    <t xml:space="preserve">PACER HOLDINGS LLC</t>
  </si>
  <si>
    <t xml:space="preserve">HELIE CHIROPRACTIC CLINIC LLC</t>
  </si>
  <si>
    <t xml:space="preserve">R0124576</t>
  </si>
  <si>
    <t xml:space="preserve">11152 HURON ST #106</t>
  </si>
  <si>
    <t xml:space="preserve">0171910205036</t>
  </si>
  <si>
    <t xml:space="preserve">2023000026486</t>
  </si>
  <si>
    <t xml:space="preserve">CCIRE I LLC</t>
  </si>
  <si>
    <t xml:space="preserve">R0124580</t>
  </si>
  <si>
    <t xml:space="preserve">11152 HURON ST #204</t>
  </si>
  <si>
    <t xml:space="preserve">0171910205040</t>
  </si>
  <si>
    <t xml:space="preserve">2023000046995</t>
  </si>
  <si>
    <t xml:space="preserve">HURON 210 LLC</t>
  </si>
  <si>
    <t xml:space="preserve">A C HOLDINGS LLC</t>
  </si>
  <si>
    <t xml:space="preserve">R0132006</t>
  </si>
  <si>
    <t xml:space="preserve">12021 PENNSYLVANIA ST #206</t>
  </si>
  <si>
    <t xml:space="preserve">0157334401018</t>
  </si>
  <si>
    <t xml:space="preserve">2023000057840</t>
  </si>
  <si>
    <t xml:space="preserve">GRAND PROPERTIES CO LLC</t>
  </si>
  <si>
    <t xml:space="preserve">VARGUEZ VERONIC</t>
  </si>
  <si>
    <t xml:space="preserve">R0159467</t>
  </si>
  <si>
    <t xml:space="preserve">12001 E 33RD AVE</t>
  </si>
  <si>
    <t xml:space="preserve">M-2</t>
  </si>
  <si>
    <t xml:space="preserve">0182326103031</t>
  </si>
  <si>
    <t xml:space="preserve">2023000005839</t>
  </si>
  <si>
    <t xml:space="preserve">SOUTH STREET CAPITAL PARTNERS LLC</t>
  </si>
  <si>
    <t xml:space="preserve">DIASPORA DANCE COMPANY LLC</t>
  </si>
  <si>
    <t xml:space="preserve">R0170482</t>
  </si>
  <si>
    <t xml:space="preserve">5030 W 88TH PL</t>
  </si>
  <si>
    <t xml:space="preserve">0171919324006</t>
  </si>
  <si>
    <t xml:space="preserve">2023000038091</t>
  </si>
  <si>
    <t xml:space="preserve">SUPREME BRIGHT COLORADO IX LLC</t>
  </si>
  <si>
    <t xml:space="preserve">D 5030 WESTMINSTER LLC</t>
  </si>
  <si>
    <t xml:space="preserve">R0173167</t>
  </si>
  <si>
    <t xml:space="preserve">11154 HURON ST #104</t>
  </si>
  <si>
    <t xml:space="preserve">0171910205046</t>
  </si>
  <si>
    <t xml:space="preserve">2023000058615</t>
  </si>
  <si>
    <t xml:space="preserve">LAMM DEVELOPMENTS LTD</t>
  </si>
  <si>
    <t xml:space="preserve">WANDERSPRING LLC</t>
  </si>
  <si>
    <t xml:space="preserve">R0194196</t>
  </si>
  <si>
    <t xml:space="preserve">1800 W 104TH AVE</t>
  </si>
  <si>
    <t xml:space="preserve">0171916202056</t>
  </si>
  <si>
    <t xml:space="preserve">2024000016866</t>
  </si>
  <si>
    <t xml:space="preserve">FCA REALTY LLC, TAX AFFAIRS 485-12-30</t>
  </si>
  <si>
    <t xml:space="preserve">LHM TCD LLC, C/O ASBURY AUTOMOTIVE GROUP INC</t>
  </si>
  <si>
    <t xml:space="preserve">R0058121</t>
  </si>
  <si>
    <t xml:space="preserve">8630 PEARL ST</t>
  </si>
  <si>
    <t xml:space="preserve">0171927100050</t>
  </si>
  <si>
    <t xml:space="preserve">2024000000938</t>
  </si>
  <si>
    <t xml:space="preserve">FIOCCA THOMAS ROBERT AND , FIOCCA ERIN LOIS</t>
  </si>
  <si>
    <t xml:space="preserve">8630 PEARL LLC</t>
  </si>
  <si>
    <t xml:space="preserve">R0062940</t>
  </si>
  <si>
    <t xml:space="preserve">8362 SHERIDAN BLVD</t>
  </si>
  <si>
    <t xml:space="preserve">0171930221002</t>
  </si>
  <si>
    <t xml:space="preserve">2022000063191</t>
  </si>
  <si>
    <t xml:space="preserve">84TH SHERIDAN LLC</t>
  </si>
  <si>
    <t xml:space="preserve">DELSOUZ &amp; LALEH LLC</t>
  </si>
  <si>
    <t xml:space="preserve">R0064212</t>
  </si>
  <si>
    <t xml:space="preserve">4800 W 80TH AVE</t>
  </si>
  <si>
    <t xml:space="preserve">0171931205030</t>
  </si>
  <si>
    <t xml:space="preserve">2022000082406</t>
  </si>
  <si>
    <t xml:space="preserve">DEEM RICHARD O</t>
  </si>
  <si>
    <t xml:space="preserve">4800 W 80TH LLC</t>
  </si>
  <si>
    <t xml:space="preserve">R0164301</t>
  </si>
  <si>
    <t xml:space="preserve">16711 WASHINGTON ST</t>
  </si>
  <si>
    <t xml:space="preserve">0157302208001</t>
  </si>
  <si>
    <t xml:space="preserve">2022000083624</t>
  </si>
  <si>
    <t xml:space="preserve">US BANK NATIONAL ASSOCIATION, C/O RYAN PTS DEPT.908</t>
  </si>
  <si>
    <t xml:space="preserve">EAT-2202 LLC</t>
  </si>
  <si>
    <t xml:space="preserve">R0188148</t>
  </si>
  <si>
    <t xml:space="preserve">2731 W 120TH AVE</t>
  </si>
  <si>
    <t xml:space="preserve">0157332401028</t>
  </si>
  <si>
    <t xml:space="preserve">2022000065685</t>
  </si>
  <si>
    <t xml:space="preserve">OAKVIEW SHOPS LLC</t>
  </si>
  <si>
    <t xml:space="preserve">R0190178</t>
  </si>
  <si>
    <t xml:space="preserve">1501 W 124TH AVE</t>
  </si>
  <si>
    <t xml:space="preserve">0157333101008</t>
  </si>
  <si>
    <t xml:space="preserve">2023000015116</t>
  </si>
  <si>
    <t xml:space="preserve">SOCIAL INDUSTRIES 3 LLC</t>
  </si>
  <si>
    <t xml:space="preserve">LITEBOX LLC</t>
  </si>
  <si>
    <t xml:space="preserve">R0190179</t>
  </si>
  <si>
    <t xml:space="preserve">0157333101009</t>
  </si>
  <si>
    <t xml:space="preserve">2023000000689</t>
  </si>
  <si>
    <t xml:space="preserve">SOCIAL INDUSTRIES 2 LLC</t>
  </si>
  <si>
    <t xml:space="preserve">CLUELESS COUPLE LLC</t>
  </si>
  <si>
    <t xml:space="preserve">R0084269</t>
  </si>
  <si>
    <t xml:space="preserve">14603 E MONCRIEFF PL</t>
  </si>
  <si>
    <t xml:space="preserve">0182130008017</t>
  </si>
  <si>
    <t xml:space="preserve">2023000059517</t>
  </si>
  <si>
    <t xml:space="preserve">DEN INDUSTRIAL 1 LLC, C/O ALTERNATIVE ASSET MANAGEMENT LLC</t>
  </si>
  <si>
    <t xml:space="preserve">CROSSE-MONCRIEFF LLC</t>
  </si>
  <si>
    <t xml:space="preserve">R0103426</t>
  </si>
  <si>
    <t xml:space="preserve">5650 PECOS ST</t>
  </si>
  <si>
    <t xml:space="preserve">0182509400033</t>
  </si>
  <si>
    <t xml:space="preserve">2024000004873</t>
  </si>
  <si>
    <t xml:space="preserve">WHITE DIANE E</t>
  </si>
  <si>
    <t xml:space="preserve">PECOS REAL ESTATE LLC, C/O AUTO CHLOR SYSTEM</t>
  </si>
  <si>
    <t xml:space="preserve">R0125400</t>
  </si>
  <si>
    <t xml:space="preserve">1630 E 66TH AVE</t>
  </si>
  <si>
    <t xml:space="preserve">0182502403041</t>
  </si>
  <si>
    <t xml:space="preserve">2023000031003</t>
  </si>
  <si>
    <t xml:space="preserve">1630 ENTERPRISES LLC</t>
  </si>
  <si>
    <t xml:space="preserve">TRIPLE L 66 AVENUE LLC</t>
  </si>
  <si>
    <t xml:space="preserve">R0179053</t>
  </si>
  <si>
    <t xml:space="preserve">3280 CHAMBERS RD</t>
  </si>
  <si>
    <t xml:space="preserve">0182129213007</t>
  </si>
  <si>
    <t xml:space="preserve">2023000050142</t>
  </si>
  <si>
    <t xml:space="preserve">MAZZO ENTERPRISES LLLP</t>
  </si>
  <si>
    <t xml:space="preserve">PACIFICO REAL ESTATE HOLDINDS II</t>
  </si>
  <si>
    <t xml:space="preserve">R0002301</t>
  </si>
  <si>
    <t xml:space="preserve">1401 BRIDGE ST</t>
  </si>
  <si>
    <t xml:space="preserve">C-3-Bri</t>
  </si>
  <si>
    <t xml:space="preserve">0156905330003</t>
  </si>
  <si>
    <t xml:space="preserve">2023000035157</t>
  </si>
  <si>
    <t xml:space="preserve">1401 BRIGHTON LLC</t>
  </si>
  <si>
    <t xml:space="preserve">VIGIL JENIFER D</t>
  </si>
  <si>
    <t xml:space="preserve">R0055143</t>
  </si>
  <si>
    <t xml:space="preserve">8700 DEVONSHIRE BLVD</t>
  </si>
  <si>
    <t xml:space="preserve">0171925204016</t>
  </si>
  <si>
    <t xml:space="preserve">2023000043871</t>
  </si>
  <si>
    <t xml:space="preserve">FRONT RANGE PORTFOLIO LLC</t>
  </si>
  <si>
    <t xml:space="preserve">8700 DEVONSHIRE STORAGE LLC</t>
  </si>
  <si>
    <t xml:space="preserve">R0084051</t>
  </si>
  <si>
    <t xml:space="preserve">2801 TOWER RD</t>
  </si>
  <si>
    <t xml:space="preserve">0182128001001</t>
  </si>
  <si>
    <t xml:space="preserve">2024000019081</t>
  </si>
  <si>
    <t xml:space="preserve">SEVEN SEAS HOLDING COMPANY LLC</t>
  </si>
  <si>
    <t xml:space="preserve">AMERICAN BUILDERS &amp; CONTRACTORS SUPPLY CO INC</t>
  </si>
  <si>
    <t xml:space="preserve">R0085907</t>
  </si>
  <si>
    <t xml:space="preserve">1790 JASPER ST</t>
  </si>
  <si>
    <t xml:space="preserve">0182132308004</t>
  </si>
  <si>
    <t xml:space="preserve">2022000098412</t>
  </si>
  <si>
    <t xml:space="preserve">1790 JASPER STREET LLC</t>
  </si>
  <si>
    <t xml:space="preserve">COREDO LLC</t>
  </si>
  <si>
    <t xml:space="preserve">R0092704</t>
  </si>
  <si>
    <t xml:space="preserve">6270 E 50TH AVE</t>
  </si>
  <si>
    <t xml:space="preserve">COMMERCE CITY</t>
  </si>
  <si>
    <t xml:space="preserve">I-1S</t>
  </si>
  <si>
    <t xml:space="preserve">0182317307008</t>
  </si>
  <si>
    <t xml:space="preserve">2023000062389</t>
  </si>
  <si>
    <t xml:space="preserve">C C E REAL ESTATE LLC, C/O FLYNN SOUTHWEST LP</t>
  </si>
  <si>
    <t xml:space="preserve">ALBROOK PARTNERS LLC</t>
  </si>
  <si>
    <t xml:space="preserve">R0092730</t>
  </si>
  <si>
    <t xml:space="preserve">4980 NIAGARA ST</t>
  </si>
  <si>
    <t xml:space="preserve">0182317405002</t>
  </si>
  <si>
    <t xml:space="preserve">2024000021545</t>
  </si>
  <si>
    <t xml:space="preserve">DENNIS M MITCHELL REVOCABLE TRUST</t>
  </si>
  <si>
    <t xml:space="preserve">4980 NIAGARA ST LLC</t>
  </si>
  <si>
    <t xml:space="preserve">R0092758</t>
  </si>
  <si>
    <t xml:space="preserve">6590 E 49TH AVE</t>
  </si>
  <si>
    <t xml:space="preserve">0182317407021</t>
  </si>
  <si>
    <t xml:space="preserve">2022000098304</t>
  </si>
  <si>
    <t xml:space="preserve">END-IRA INC ET AL</t>
  </si>
  <si>
    <t xml:space="preserve">MASTER TECH RV AND APPLIANCE REPAIR LLC</t>
  </si>
  <si>
    <t xml:space="preserve">R0098017</t>
  </si>
  <si>
    <t xml:space="preserve">1680 E 69TH AVE</t>
  </si>
  <si>
    <t xml:space="preserve">0182502105007</t>
  </si>
  <si>
    <t xml:space="preserve">2022000088043</t>
  </si>
  <si>
    <t xml:space="preserve">YTTC LLC</t>
  </si>
  <si>
    <t xml:space="preserve">ARCANE INDUSTRIES LLC</t>
  </si>
  <si>
    <t xml:space="preserve">R0100666</t>
  </si>
  <si>
    <t xml:space="preserve">6600 FEDERAL BLVD</t>
  </si>
  <si>
    <t xml:space="preserve">0182505404003</t>
  </si>
  <si>
    <t xml:space="preserve">2022000087952</t>
  </si>
  <si>
    <t xml:space="preserve">SHERWOOD FAMILY LIMITED PARTNERSHIP</t>
  </si>
  <si>
    <t xml:space="preserve">VILLALOBOS ROSALIO</t>
  </si>
  <si>
    <t xml:space="preserve">R0129033</t>
  </si>
  <si>
    <t xml:space="preserve">983 E 73RD AVE</t>
  </si>
  <si>
    <t xml:space="preserve">0171935302057</t>
  </si>
  <si>
    <t xml:space="preserve">2024000035899</t>
  </si>
  <si>
    <t xml:space="preserve">AEGIS COLORADO LLC</t>
  </si>
  <si>
    <t xml:space="preserve">ASPEN LLC</t>
  </si>
  <si>
    <t xml:space="preserve">R0173187</t>
  </si>
  <si>
    <t xml:space="preserve">5454 WASHINGTON ST #8</t>
  </si>
  <si>
    <t xml:space="preserve">0182514210019</t>
  </si>
  <si>
    <t xml:space="preserve">2023000046862</t>
  </si>
  <si>
    <t xml:space="preserve">VXSN LLC</t>
  </si>
  <si>
    <t xml:space="preserve">BEE LINE LLC</t>
  </si>
  <si>
    <t xml:space="preserve">R0173190</t>
  </si>
  <si>
    <t xml:space="preserve">5454 WASHINGTON ST #11</t>
  </si>
  <si>
    <t xml:space="preserve">0182514210022</t>
  </si>
  <si>
    <t xml:space="preserve">2022000062166</t>
  </si>
  <si>
    <t xml:space="preserve">MYKLEBUST HOLDINGS LLC</t>
  </si>
  <si>
    <t xml:space="preserve">HAYCAT HOLDINGS LLC</t>
  </si>
  <si>
    <t xml:space="preserve">R0178847</t>
  </si>
  <si>
    <t xml:space="preserve">2091 CORONADO PKWY N</t>
  </si>
  <si>
    <t xml:space="preserve">0171926416150</t>
  </si>
  <si>
    <t xml:space="preserve">2023000055973</t>
  </si>
  <si>
    <t xml:space="preserve">GG PROPERTY LLC</t>
  </si>
  <si>
    <t xml:space="preserve">GMOTORS LLC</t>
  </si>
  <si>
    <t xml:space="preserve">R0024473</t>
  </si>
  <si>
    <t xml:space="preserve">12421 WASHINGTON</t>
  </si>
  <si>
    <t xml:space="preserve">0157334009022</t>
  </si>
  <si>
    <t xml:space="preserve">2024000015296</t>
  </si>
  <si>
    <t xml:space="preserve">BPAZ HOLDINGS 13 LLC</t>
  </si>
  <si>
    <t xml:space="preserve">12421 WASH EAT LLC</t>
  </si>
  <si>
    <t xml:space="preserve">R0039073</t>
  </si>
  <si>
    <t xml:space="preserve">10475 IRMA DR #15</t>
  </si>
  <si>
    <t xml:space="preserve">I-2-Nor</t>
  </si>
  <si>
    <t xml:space="preserve">0171911411034</t>
  </si>
  <si>
    <t xml:space="preserve">2023000023737</t>
  </si>
  <si>
    <t xml:space="preserve">MACK VENTURES LLC</t>
  </si>
  <si>
    <t xml:space="preserve">BROOKCON INVESTMENTS LLC</t>
  </si>
  <si>
    <t xml:space="preserve">R0061307</t>
  </si>
  <si>
    <t xml:space="preserve">8040 FEDERAL BLVD</t>
  </si>
  <si>
    <t xml:space="preserve">B-1-Wes</t>
  </si>
  <si>
    <t xml:space="preserve">0171929404011</t>
  </si>
  <si>
    <t xml:space="preserve">2023000043895</t>
  </si>
  <si>
    <t xml:space="preserve">RESEIGH KAREN L</t>
  </si>
  <si>
    <t xml:space="preserve">YAABTAL INVESTMENTS CO LLC</t>
  </si>
  <si>
    <t xml:space="preserve">R0065302</t>
  </si>
  <si>
    <t xml:space="preserve">3705 W 73RD AVE</t>
  </si>
  <si>
    <t xml:space="preserve">0171931414022</t>
  </si>
  <si>
    <t xml:space="preserve">2024000026482</t>
  </si>
  <si>
    <t xml:space="preserve">AAE LLC</t>
  </si>
  <si>
    <t xml:space="preserve">GTZ LLC</t>
  </si>
  <si>
    <t xml:space="preserve">R0065303</t>
  </si>
  <si>
    <t xml:space="preserve">3699 W 73RD AVE</t>
  </si>
  <si>
    <t xml:space="preserve">0171931414023</t>
  </si>
  <si>
    <t xml:space="preserve">2022000067684</t>
  </si>
  <si>
    <t xml:space="preserve">SEEP INVESTMENTS LLC</t>
  </si>
  <si>
    <t xml:space="preserve">3699 W 73RD AVE LLC</t>
  </si>
  <si>
    <t xml:space="preserve">R0077172</t>
  </si>
  <si>
    <t xml:space="preserve">8495 ROSLYN ST</t>
  </si>
  <si>
    <t xml:space="preserve">I-2-Com</t>
  </si>
  <si>
    <t xml:space="preserve">0172128200023</t>
  </si>
  <si>
    <t xml:space="preserve">2024000015116</t>
  </si>
  <si>
    <t xml:space="preserve">ROSLYN STREET PROPERTIES LLC</t>
  </si>
  <si>
    <t xml:space="preserve">CHARLES BREWER LLC</t>
  </si>
  <si>
    <t xml:space="preserve">R0077751</t>
  </si>
  <si>
    <t xml:space="preserve">5195 E 77TH AVE</t>
  </si>
  <si>
    <t xml:space="preserve">0172131104017</t>
  </si>
  <si>
    <t xml:space="preserve">2023000059281</t>
  </si>
  <si>
    <t xml:space="preserve">REID ROBERT F SR AKA ROBERT, AKA ROBERT FREDERICK SR</t>
  </si>
  <si>
    <t xml:space="preserve">OFFEN 5195 LLC</t>
  </si>
  <si>
    <t xml:space="preserve">R0089691</t>
  </si>
  <si>
    <t xml:space="preserve">7040 FAIRFAX DRIVE </t>
  </si>
  <si>
    <t xml:space="preserve">C-3-Com</t>
  </si>
  <si>
    <t xml:space="preserve">0182306108001</t>
  </si>
  <si>
    <t xml:space="preserve">2023000042403</t>
  </si>
  <si>
    <t xml:space="preserve">7040 FAIRFAX DRIVE LLC</t>
  </si>
  <si>
    <t xml:space="preserve">THE 7040 FAIRFAX DRIVE LLC</t>
  </si>
  <si>
    <t xml:space="preserve">R0092265</t>
  </si>
  <si>
    <t xml:space="preserve">5470 NEWPORT ST</t>
  </si>
  <si>
    <t xml:space="preserve">0182317101007</t>
  </si>
  <si>
    <t xml:space="preserve">2024000021973</t>
  </si>
  <si>
    <t xml:space="preserve">PROJECT53 LLC</t>
  </si>
  <si>
    <t xml:space="preserve">FALCARRAGH INVESTMENTS LLC</t>
  </si>
  <si>
    <t xml:space="preserve">R0092383</t>
  </si>
  <si>
    <t xml:space="preserve">7011 E 53RD PL</t>
  </si>
  <si>
    <t xml:space="preserve">0182317106008</t>
  </si>
  <si>
    <t xml:space="preserve">2022000076319</t>
  </si>
  <si>
    <t xml:space="preserve">CBA GIAMBROCCO LLLP</t>
  </si>
  <si>
    <t xml:space="preserve">DUO INDUSTRIAL LLC</t>
  </si>
  <si>
    <t xml:space="preserve">R0098071</t>
  </si>
  <si>
    <t xml:space="preserve">851 HWY 225 # B-5</t>
  </si>
  <si>
    <t xml:space="preserve">0182502203035</t>
  </si>
  <si>
    <t xml:space="preserve">2023000071498</t>
  </si>
  <si>
    <t xml:space="preserve">MAURER SCOTT AND, MAURER KIMBERLEY W</t>
  </si>
  <si>
    <t xml:space="preserve">COLORADO CHILLER SERVICES LLC</t>
  </si>
  <si>
    <t xml:space="preserve">R0100113</t>
  </si>
  <si>
    <t xml:space="preserve">7095 FEDERAL BLVD</t>
  </si>
  <si>
    <t xml:space="preserve">SPD</t>
  </si>
  <si>
    <t xml:space="preserve">0182505221007</t>
  </si>
  <si>
    <t xml:space="preserve">2023000069400</t>
  </si>
  <si>
    <t xml:space="preserve">KRUPP GLASSMAN &amp; GLASSMAN LLC</t>
  </si>
  <si>
    <t xml:space="preserve">7095FEDERAL LLC</t>
  </si>
  <si>
    <t xml:space="preserve">R0103555</t>
  </si>
  <si>
    <t xml:space="preserve">5801 LOGAN ST</t>
  </si>
  <si>
    <t xml:space="preserve">0182510402006</t>
  </si>
  <si>
    <t xml:space="preserve">2024000004228</t>
  </si>
  <si>
    <t xml:space="preserve">5801 LOGAN STREET LLC</t>
  </si>
  <si>
    <t xml:space="preserve">DENVER SURFACES LLC</t>
  </si>
  <si>
    <t xml:space="preserve">R0117238</t>
  </si>
  <si>
    <t xml:space="preserve">1870 W 64TH LN</t>
  </si>
  <si>
    <t xml:space="preserve">0182504302011</t>
  </si>
  <si>
    <t xml:space="preserve">2023000052276</t>
  </si>
  <si>
    <t xml:space="preserve">MANHATTAN FUND XXI LLC</t>
  </si>
  <si>
    <t xml:space="preserve">RED 64TH LLC</t>
  </si>
  <si>
    <t xml:space="preserve">R0004257</t>
  </si>
  <si>
    <t xml:space="preserve">509 S 4TH AVE</t>
  </si>
  <si>
    <t xml:space="preserve">C-1-Bri</t>
  </si>
  <si>
    <t xml:space="preserve">0156907303017</t>
  </si>
  <si>
    <t xml:space="preserve">2023000065859</t>
  </si>
  <si>
    <t xml:space="preserve">BROCAT LLC</t>
  </si>
  <si>
    <t xml:space="preserve">TAMARIZ HOLDINGS LTD</t>
  </si>
  <si>
    <t xml:space="preserve">R0038934</t>
  </si>
  <si>
    <t xml:space="preserve">10789 IRMA DR</t>
  </si>
  <si>
    <t xml:space="preserve">0171911403018</t>
  </si>
  <si>
    <t xml:space="preserve">2023000032069</t>
  </si>
  <si>
    <t xml:space="preserve">NEUMANN DEBORAH J TRUST THE</t>
  </si>
  <si>
    <t xml:space="preserve">PAUL TANNER HOLDINGS LLC</t>
  </si>
  <si>
    <t xml:space="preserve">R0071002</t>
  </si>
  <si>
    <t xml:space="preserve">913 E 75TH AVE</t>
  </si>
  <si>
    <t xml:space="preserve">0171935301030</t>
  </si>
  <si>
    <t xml:space="preserve">2023000048787</t>
  </si>
  <si>
    <t xml:space="preserve">INVESTORS PENCHANT ONE LLC</t>
  </si>
  <si>
    <t xml:space="preserve">ES HOLDCO - 1100 WEST MISSISSIPPI AVENUE LLC 36.20% INT AND, ES HOLDCO -  et al.</t>
  </si>
  <si>
    <t xml:space="preserve">R0002828</t>
  </si>
  <si>
    <t xml:space="preserve">108 WALNUT ST</t>
  </si>
  <si>
    <t xml:space="preserve">0156906313013</t>
  </si>
  <si>
    <t xml:space="preserve">2022000092995</t>
  </si>
  <si>
    <t xml:space="preserve">40 NORTH LLC</t>
  </si>
  <si>
    <t xml:space="preserve">R0048498</t>
  </si>
  <si>
    <t xml:space="preserve">3821 W 88TH AVE</t>
  </si>
  <si>
    <t xml:space="preserve">0171919413057</t>
  </si>
  <si>
    <t xml:space="preserve">2024000019155</t>
  </si>
  <si>
    <t xml:space="preserve">JRM ESTATES LLC</t>
  </si>
  <si>
    <t xml:space="preserve">LFE STATION LLC</t>
  </si>
  <si>
    <t xml:space="preserve">R0084314</t>
  </si>
  <si>
    <t xml:space="preserve">13801 E SMITH DR</t>
  </si>
  <si>
    <t xml:space="preserve">0182130013014</t>
  </si>
  <si>
    <t xml:space="preserve">2023000004917</t>
  </si>
  <si>
    <t xml:space="preserve">FAGGETT ROBERT L</t>
  </si>
  <si>
    <t xml:space="preserve">A-PLUS TARGET LLC</t>
  </si>
  <si>
    <t xml:space="preserve">R0092785</t>
  </si>
  <si>
    <t xml:space="preserve">4810 OLIVE ST</t>
  </si>
  <si>
    <t xml:space="preserve">0182317409015</t>
  </si>
  <si>
    <t xml:space="preserve">2022000080335</t>
  </si>
  <si>
    <t xml:space="preserve">HAFER DONALD J, BROWN PATRICIA A, </t>
  </si>
  <si>
    <t xml:space="preserve">COLORADO BUS PROPERTIES LLC</t>
  </si>
  <si>
    <t xml:space="preserve">R0095688</t>
  </si>
  <si>
    <t xml:space="preserve">10455 E COLFAX AVE</t>
  </si>
  <si>
    <t xml:space="preserve">OA-G</t>
  </si>
  <si>
    <t xml:space="preserve">0182334430010</t>
  </si>
  <si>
    <t xml:space="preserve">2024000025960</t>
  </si>
  <si>
    <t xml:space="preserve">PARK WEST INVESTMENTS LLC</t>
  </si>
  <si>
    <t xml:space="preserve">CO BEST PROP 1 LLC</t>
  </si>
  <si>
    <t xml:space="preserve">R0098189</t>
  </si>
  <si>
    <t xml:space="preserve">6500 FRANKLIN ST</t>
  </si>
  <si>
    <t xml:space="preserve">0182502403002</t>
  </si>
  <si>
    <t xml:space="preserve">2023000044907</t>
  </si>
  <si>
    <t xml:space="preserve">RAYFIELD PROPERTIES LLC</t>
  </si>
  <si>
    <t xml:space="preserve">FRANKLIN FLEX LLC</t>
  </si>
  <si>
    <t xml:space="preserve">R0099614</t>
  </si>
  <si>
    <t xml:space="preserve">6899 PECOS ST</t>
  </si>
  <si>
    <t xml:space="preserve">0182504223003</t>
  </si>
  <si>
    <t xml:space="preserve">2022000070784</t>
  </si>
  <si>
    <t xml:space="preserve">L AND H LLC</t>
  </si>
  <si>
    <t xml:space="preserve">PROMEETHEA LLC</t>
  </si>
  <si>
    <t xml:space="preserve">R0103659</t>
  </si>
  <si>
    <t xml:space="preserve">6335 DOWNING ST</t>
  </si>
  <si>
    <t xml:space="preserve">0182511202020</t>
  </si>
  <si>
    <t xml:space="preserve">2024000034448</t>
  </si>
  <si>
    <t xml:space="preserve">MURPHY WILLIAM R JR</t>
  </si>
  <si>
    <t xml:space="preserve">SCOTT ACKERMAN FAMILY LLC</t>
  </si>
  <si>
    <t xml:space="preserve">R0103801</t>
  </si>
  <si>
    <t xml:space="preserve">5670 FRANKLIN ST</t>
  </si>
  <si>
    <t xml:space="preserve">0182511411007</t>
  </si>
  <si>
    <t xml:space="preserve">2022000098088</t>
  </si>
  <si>
    <t xml:space="preserve">HAMON LLC</t>
  </si>
  <si>
    <t xml:space="preserve">VIA MOBILITY SERVICES</t>
  </si>
  <si>
    <t xml:space="preserve">R0141272</t>
  </si>
  <si>
    <t xml:space="preserve">7880 WASHINGTON ST </t>
  </si>
  <si>
    <t xml:space="preserve">0171935225028</t>
  </si>
  <si>
    <t xml:space="preserve">2023000057902</t>
  </si>
  <si>
    <t xml:space="preserve">CHAI INVESTMENTS LLC</t>
  </si>
  <si>
    <t xml:space="preserve">DENVER WASHINGTON ST LLC</t>
  </si>
  <si>
    <t xml:space="preserve">R0147285</t>
  </si>
  <si>
    <t xml:space="preserve">6351 BEACH ST</t>
  </si>
  <si>
    <t xml:space="preserve">0182508105003</t>
  </si>
  <si>
    <t xml:space="preserve">2022000097630</t>
  </si>
  <si>
    <t xml:space="preserve">67TH STREET ACQUISITIONS LLC</t>
  </si>
  <si>
    <t xml:space="preserve">J AND R SERVICES LLC</t>
  </si>
  <si>
    <t xml:space="preserve">R0167019</t>
  </si>
  <si>
    <t xml:space="preserve">6271 BEACH ST #E</t>
  </si>
  <si>
    <t xml:space="preserve">0182508105015</t>
  </si>
  <si>
    <t xml:space="preserve">2023000053031</t>
  </si>
  <si>
    <t xml:space="preserve">GRAEME JOHNSTON LLC</t>
  </si>
  <si>
    <t xml:space="preserve">DMG MARBLE &amp; GRANITE DESIGNER INC</t>
  </si>
  <si>
    <t xml:space="preserve">R0168920</t>
  </si>
  <si>
    <t xml:space="preserve">12045 MOLINE ST</t>
  </si>
  <si>
    <t xml:space="preserve">0157135401006</t>
  </si>
  <si>
    <t xml:space="preserve">2024000020443</t>
  </si>
  <si>
    <t xml:space="preserve">ALL SECURE SELF STORAGE LLC</t>
  </si>
  <si>
    <t xml:space="preserve">MHC 282 (HENDERSON CO) LLC</t>
  </si>
  <si>
    <t xml:space="preserve">R0173183</t>
  </si>
  <si>
    <t xml:space="preserve">5454 WASHINGTON ST #4</t>
  </si>
  <si>
    <t xml:space="preserve">0182514210015</t>
  </si>
  <si>
    <t xml:space="preserve">2022000058427</t>
  </si>
  <si>
    <t xml:space="preserve">PRIMA CARE CARE LLC</t>
  </si>
  <si>
    <t xml:space="preserve">TIMA TX LLC</t>
  </si>
  <si>
    <t xml:space="preserve">R0223486</t>
  </si>
  <si>
    <t xml:space="preserve">9658 HAVAN ST #B07</t>
  </si>
  <si>
    <t xml:space="preserve">0172115405047</t>
  </si>
  <si>
    <t xml:space="preserve">2024000020484</t>
  </si>
  <si>
    <t xml:space="preserve">THE GARAGE SOCIETY HOLDINGS LLC</t>
  </si>
  <si>
    <t xml:space="preserve">RASHER JEFFRY W AND, RASHER SUZI L</t>
  </si>
  <si>
    <t xml:space="preserve">R0077966</t>
  </si>
  <si>
    <t xml:space="preserve">7270 DAHLI ST</t>
  </si>
  <si>
    <t xml:space="preserve">0172131402024</t>
  </si>
  <si>
    <t xml:space="preserve">2024000008761</t>
  </si>
  <si>
    <t xml:space="preserve">HONNEN PARTNERS L L C</t>
  </si>
  <si>
    <t xml:space="preserve">4 RIVERS PROPERTIES COMMERCE CITY II LLC</t>
  </si>
  <si>
    <t xml:space="preserve">R0090940</t>
  </si>
  <si>
    <t xml:space="preserve">4701 E 60TH AVE</t>
  </si>
  <si>
    <t xml:space="preserve">I-3-Com</t>
  </si>
  <si>
    <t xml:space="preserve">0182307200041</t>
  </si>
  <si>
    <t xml:space="preserve">2022000065667</t>
  </si>
  <si>
    <t xml:space="preserve">BUBB LLC</t>
  </si>
  <si>
    <t xml:space="preserve">SDF3 4701 E 60TH AVE LLC</t>
  </si>
  <si>
    <t xml:space="preserve">R0098080</t>
  </si>
  <si>
    <t xml:space="preserve">851 HWY 224 #A4</t>
  </si>
  <si>
    <t xml:space="preserve">0182502203044</t>
  </si>
  <si>
    <t xml:space="preserve">2023000055425</t>
  </si>
  <si>
    <t xml:space="preserve">PRIMA CAR CARE LLC</t>
  </si>
  <si>
    <t xml:space="preserve">SEARLES INVESTMENTS LLC</t>
  </si>
  <si>
    <t xml:space="preserve">R0100089</t>
  </si>
  <si>
    <t xml:space="preserve">3250 W 72ND AVE</t>
  </si>
  <si>
    <t xml:space="preserve">0182505216015</t>
  </si>
  <si>
    <t xml:space="preserve">2023000029584</t>
  </si>
  <si>
    <t xml:space="preserve">7160 IRVING STREET LLC</t>
  </si>
  <si>
    <t xml:space="preserve">BLUELINE 3250 W 72ND AVE LLC</t>
  </si>
  <si>
    <t xml:space="preserve">R0110916</t>
  </si>
  <si>
    <t xml:space="preserve">8999 E 96TH AVE</t>
  </si>
  <si>
    <t xml:space="preserve">0172115006006</t>
  </si>
  <si>
    <t xml:space="preserve">2023000061419</t>
  </si>
  <si>
    <t xml:space="preserve">H.N.K. INVESTMENT LLC</t>
  </si>
  <si>
    <t xml:space="preserve">BOSSELMAN TANK &amp; TRAILER INC</t>
  </si>
  <si>
    <t xml:space="preserve">R0150417</t>
  </si>
  <si>
    <t xml:space="preserve">4114 E BROMLEY LN</t>
  </si>
  <si>
    <t xml:space="preserve">0156915201003</t>
  </si>
  <si>
    <t xml:space="preserve">2023000056494</t>
  </si>
  <si>
    <t xml:space="preserve">OGDEN MCHENRY FAMILY TRUST</t>
  </si>
  <si>
    <t xml:space="preserve">DWV PROPERTIES LLC</t>
  </si>
  <si>
    <t xml:space="preserve">R0164391</t>
  </si>
  <si>
    <t xml:space="preserve">2611 W 64TH AVE #B</t>
  </si>
  <si>
    <t xml:space="preserve">0182505407029</t>
  </si>
  <si>
    <t xml:space="preserve">2023000023115</t>
  </si>
  <si>
    <t xml:space="preserve">FREEDMAN ROBERT ANDREW AND , FREEDMAN LORI ELAINE</t>
  </si>
  <si>
    <t xml:space="preserve">NOVE COMMERCIAL LLC</t>
  </si>
  <si>
    <t xml:space="preserve">R0164395</t>
  </si>
  <si>
    <t xml:space="preserve">2611 W 64TH AVE #F</t>
  </si>
  <si>
    <t xml:space="preserve">0182505407033</t>
  </si>
  <si>
    <t xml:space="preserve">2023000046606</t>
  </si>
  <si>
    <t xml:space="preserve">2611 WEST 64TH AVENUE UNIT F LLC</t>
  </si>
  <si>
    <t xml:space="preserve">DE LA CRUZ PROPERTY LLC</t>
  </si>
  <si>
    <t xml:space="preserve">R0185575</t>
  </si>
  <si>
    <t xml:space="preserve">2149 BRIDGE ST</t>
  </si>
  <si>
    <t xml:space="preserve">0156905402099</t>
  </si>
  <si>
    <t xml:space="preserve">2023000010526</t>
  </si>
  <si>
    <t xml:space="preserve">POOR BOY PROPERTIES LLC</t>
  </si>
  <si>
    <t xml:space="preserve">JAIMBE LLC</t>
  </si>
  <si>
    <t xml:space="preserve">R0003324</t>
  </si>
  <si>
    <t xml:space="preserve">429 BRIDGE ST</t>
  </si>
  <si>
    <t xml:space="preserve">0156906423006</t>
  </si>
  <si>
    <t xml:space="preserve">2022000084809</t>
  </si>
  <si>
    <t xml:space="preserve">429 BRIDGE STREET LLC</t>
  </si>
  <si>
    <t xml:space="preserve">VIGIL JENIFER D.</t>
  </si>
  <si>
    <t xml:space="preserve">R0003859</t>
  </si>
  <si>
    <t xml:space="preserve">75 S 3RD AVE</t>
  </si>
  <si>
    <t xml:space="preserve">0156907202009</t>
  </si>
  <si>
    <t xml:space="preserve">2023000006812</t>
  </si>
  <si>
    <t xml:space="preserve">75 PARTNERSHIP LLC</t>
  </si>
  <si>
    <t xml:space="preserve">R0037731</t>
  </si>
  <si>
    <t xml:space="preserve">1907 LEROY DR</t>
  </si>
  <si>
    <t xml:space="preserve">0171911102048</t>
  </si>
  <si>
    <t xml:space="preserve">2022000061150</t>
  </si>
  <si>
    <t xml:space="preserve">133# RAIL LLC 90% INT AND, E AND K INVESTING LLC 10% INT</t>
  </si>
  <si>
    <t xml:space="preserve">CALHOUN STREET INDUSTRIAL LLC</t>
  </si>
  <si>
    <t xml:space="preserve">R0037823</t>
  </si>
  <si>
    <t xml:space="preserve">10795 IRMA DR</t>
  </si>
  <si>
    <t xml:space="preserve">0171911110002</t>
  </si>
  <si>
    <t xml:space="preserve">2022000062987</t>
  </si>
  <si>
    <t xml:space="preserve">JAMES RUSSELL PROPERTIES LLC</t>
  </si>
  <si>
    <t xml:space="preserve">VITAL RE LLC</t>
  </si>
  <si>
    <t xml:space="preserve">R0038935</t>
  </si>
  <si>
    <t xml:space="preserve">10783 IRMA DR</t>
  </si>
  <si>
    <t xml:space="preserve">0171911403019</t>
  </si>
  <si>
    <t xml:space="preserve">2023000061132</t>
  </si>
  <si>
    <t xml:space="preserve">10783 IRMA DRIVE LLC</t>
  </si>
  <si>
    <t xml:space="preserve">UNIQUE PROPERTY LLC</t>
  </si>
  <si>
    <t xml:space="preserve">R0048461</t>
  </si>
  <si>
    <t xml:space="preserve">8801 LOWELL BLVD</t>
  </si>
  <si>
    <t xml:space="preserve">0171919413006</t>
  </si>
  <si>
    <t xml:space="preserve">2024000029553</t>
  </si>
  <si>
    <t xml:space="preserve">THE HILLS STORE INC</t>
  </si>
  <si>
    <t xml:space="preserve">8801 LOWELL BLVD LLC</t>
  </si>
  <si>
    <t xml:space="preserve">R0004004</t>
  </si>
  <si>
    <t xml:space="preserve">281 S MAIN ST</t>
  </si>
  <si>
    <t xml:space="preserve">DT</t>
  </si>
  <si>
    <t xml:space="preserve">0156907215009</t>
  </si>
  <si>
    <t xml:space="preserve">2023000025001</t>
  </si>
  <si>
    <t xml:space="preserve">PAVILIONS PL LLC</t>
  </si>
  <si>
    <t xml:space="preserve">ORNELAS MANUEL AND, ORNELAS DEBORAH A</t>
  </si>
  <si>
    <t xml:space="preserve">R0050046</t>
  </si>
  <si>
    <t xml:space="preserve">2890 W 92ND PL</t>
  </si>
  <si>
    <t xml:space="preserve">FEDERAL HEIGHTS</t>
  </si>
  <si>
    <t xml:space="preserve">C-1-Fed</t>
  </si>
  <si>
    <t xml:space="preserve">0171920401007</t>
  </si>
  <si>
    <t xml:space="preserve">2023000031803</t>
  </si>
  <si>
    <t xml:space="preserve">VILLANUEVA-MACIAS IGNACIO</t>
  </si>
  <si>
    <t xml:space="preserve">2890 W 92ND AVENUE LLC</t>
  </si>
  <si>
    <t xml:space="preserve">R0079916</t>
  </si>
  <si>
    <t xml:space="preserve">6755 E 72ND AVE</t>
  </si>
  <si>
    <t xml:space="preserve">C-1-Com</t>
  </si>
  <si>
    <t xml:space="preserve">0172132426006</t>
  </si>
  <si>
    <t xml:space="preserve">2023000007360</t>
  </si>
  <si>
    <t xml:space="preserve">MEDINA ART L AND, MEDINA URSULA</t>
  </si>
  <si>
    <t xml:space="preserve">LUEVANO INVESTMENTS LLC</t>
  </si>
  <si>
    <t xml:space="preserve">R0091804</t>
  </si>
  <si>
    <t xml:space="preserve">6075 E 60TH AVE</t>
  </si>
  <si>
    <t xml:space="preserve">0182308217013</t>
  </si>
  <si>
    <t xml:space="preserve">2023000061807</t>
  </si>
  <si>
    <t xml:space="preserve">ANYHOME INVESTMENT GROUP LLC</t>
  </si>
  <si>
    <t xml:space="preserve">PROFESSIONAL FINANCIAL SERVICES CORP</t>
  </si>
  <si>
    <t xml:space="preserve">R0092166</t>
  </si>
  <si>
    <t xml:space="preserve">7001 E 57TH PL</t>
  </si>
  <si>
    <t xml:space="preserve">I-1-Com</t>
  </si>
  <si>
    <t xml:space="preserve">0182308413013</t>
  </si>
  <si>
    <t xml:space="preserve">2022000078168</t>
  </si>
  <si>
    <t xml:space="preserve">SPEC WHEELS OF AMERICA INC</t>
  </si>
  <si>
    <t xml:space="preserve">4990 PARIS STREET LLC</t>
  </si>
  <si>
    <t xml:space="preserve">R0139037</t>
  </si>
  <si>
    <t xml:space="preserve">920 E 120TH AVE</t>
  </si>
  <si>
    <t xml:space="preserve">C-4-Nor</t>
  </si>
  <si>
    <t xml:space="preserve">0171902209034</t>
  </si>
  <si>
    <t xml:space="preserve">2024000022603</t>
  </si>
  <si>
    <t xml:space="preserve">STOPA LEOPOLD ADAM FAMILY TRUST 48/68%, STOPA LEOPOLD ADAM MARITAN TRUST  et al.</t>
  </si>
  <si>
    <t xml:space="preserve">MHC 920 LLC</t>
  </si>
  <si>
    <t xml:space="preserve">R0141069</t>
  </si>
  <si>
    <t xml:space="preserve">8400 PEARL ST</t>
  </si>
  <si>
    <t xml:space="preserve">Community Retail</t>
  </si>
  <si>
    <t xml:space="preserve">0171927119003</t>
  </si>
  <si>
    <t xml:space="preserve">2023000071728</t>
  </si>
  <si>
    <t xml:space="preserve">ROZA KAYKOVA LLC</t>
  </si>
  <si>
    <t xml:space="preserve">TAPIA INC</t>
  </si>
  <si>
    <t xml:space="preserve">R0178831</t>
  </si>
  <si>
    <t xml:space="preserve">5190 VIOLET HILL ST #D</t>
  </si>
  <si>
    <t xml:space="preserve">0181716411002</t>
  </si>
  <si>
    <t xml:space="preserve">2023000069330</t>
  </si>
  <si>
    <t xml:space="preserve">KLV INVESTMENTS LLC</t>
  </si>
  <si>
    <t xml:space="preserve">ENZO FLYING MACHINE LLC</t>
  </si>
  <si>
    <t xml:space="preserve">R0200738</t>
  </si>
  <si>
    <t xml:space="preserve">1036 S 1ST ST</t>
  </si>
  <si>
    <t xml:space="preserve">BENNETT</t>
  </si>
  <si>
    <t xml:space="preserve">0181534303001</t>
  </si>
  <si>
    <t xml:space="preserve">2023000061744</t>
  </si>
  <si>
    <t xml:space="preserve">MMCG TNET COLORADO LLC</t>
  </si>
  <si>
    <t xml:space="preserve">THE CRONIN FAMILY TRUST</t>
  </si>
  <si>
    <t xml:space="preserve">R0202864</t>
  </si>
  <si>
    <t xml:space="preserve">8531 ROSEMARY ST</t>
  </si>
  <si>
    <t xml:space="preserve">0172128209007</t>
  </si>
  <si>
    <t xml:space="preserve">2023000034883</t>
  </si>
  <si>
    <t xml:space="preserve">XM HOLDINGS LLC AND, K&amp;V HOLDINGS LLC</t>
  </si>
  <si>
    <t xml:space="preserve">II LAWS REAL ESTATE LLC</t>
  </si>
  <si>
    <t xml:space="preserve">R0202865</t>
  </si>
  <si>
    <t xml:space="preserve">8511 ROSEMARY ST</t>
  </si>
  <si>
    <t xml:space="preserve">0172128209008</t>
  </si>
  <si>
    <t xml:space="preserve">2022000098390</t>
  </si>
  <si>
    <t xml:space="preserve">LONE STAR HOLDINGS LLC</t>
  </si>
  <si>
    <t xml:space="preserve">STEEL CITY HOLDINGS LLC</t>
  </si>
  <si>
    <t xml:space="preserve">R0213027</t>
  </si>
  <si>
    <t xml:space="preserve">12975 QUEBEC ST</t>
  </si>
  <si>
    <t xml:space="preserve">0157129417014</t>
  </si>
  <si>
    <t xml:space="preserve">2023000037049</t>
  </si>
  <si>
    <t xml:space="preserve">NNN 128 QUEBEC LLC</t>
  </si>
  <si>
    <t xml:space="preserve">KMR REAL ESTATE LLC</t>
  </si>
  <si>
    <t xml:space="preserve">R0215747</t>
  </si>
  <si>
    <t xml:space="preserve">10550 CHAMBERS RD</t>
  </si>
  <si>
    <t xml:space="preserve">0172308306086</t>
  </si>
  <si>
    <t xml:space="preserve">2023000068152</t>
  </si>
  <si>
    <t xml:space="preserve">RK EVBK COMMERCE CITY LLC, C/O READ KING, INC</t>
  </si>
  <si>
    <t xml:space="preserve">REALTY INCOME PROPERTIES 26 LLC</t>
  </si>
  <si>
    <t xml:space="preserve">R0222676</t>
  </si>
  <si>
    <t xml:space="preserve">37851 E 51ST AVE #E10</t>
  </si>
  <si>
    <t xml:space="preserve">0181715300034</t>
  </si>
  <si>
    <t xml:space="preserve">2024000024059</t>
  </si>
  <si>
    <t xml:space="preserve">37851 51ST AVE HANGAR OWNERS ASSOCIATION INC</t>
  </si>
  <si>
    <t xml:space="preserve">CD SYDNEY AVIATION LLC</t>
  </si>
  <si>
    <t xml:space="preserve">R0003875</t>
  </si>
  <si>
    <t xml:space="preserve">66 S MAIN ST</t>
  </si>
  <si>
    <t xml:space="preserve">0156907203013</t>
  </si>
  <si>
    <t xml:space="preserve">2024000024483</t>
  </si>
  <si>
    <t xml:space="preserve">66 S MAIN LLC</t>
  </si>
  <si>
    <t xml:space="preserve">BRENNER ERIC</t>
  </si>
  <si>
    <t xml:space="preserve">R0040581</t>
  </si>
  <si>
    <t xml:space="preserve">2090 E 104TH AVE</t>
  </si>
  <si>
    <t xml:space="preserve">0171914100005</t>
  </si>
  <si>
    <t xml:space="preserve">2022000063474</t>
  </si>
  <si>
    <t xml:space="preserve">2090 E 104TH LLC</t>
  </si>
  <si>
    <t xml:space="preserve">PAUL M COHEN AND JANET A COHEN 1993 TRUST AND, WAALE LLC</t>
  </si>
  <si>
    <t xml:space="preserve">R0040815</t>
  </si>
  <si>
    <t xml:space="preserve">2100 E 104TH AVE</t>
  </si>
  <si>
    <t xml:space="preserve">0171914119001</t>
  </si>
  <si>
    <t xml:space="preserve">2023000030020</t>
  </si>
  <si>
    <t xml:space="preserve">HOLTS LLC</t>
  </si>
  <si>
    <t xml:space="preserve">S&amp;P CORP</t>
  </si>
  <si>
    <t xml:space="preserve">R0077173</t>
  </si>
  <si>
    <t xml:space="preserve">8485 ROSLYN ST</t>
  </si>
  <si>
    <t xml:space="preserve">0172128200024</t>
  </si>
  <si>
    <t xml:space="preserve">2023000032617</t>
  </si>
  <si>
    <t xml:space="preserve">BRAZZELL DAVID R AND, BRAZZELL BRIAN J</t>
  </si>
  <si>
    <t xml:space="preserve">IMPRESSION CARPET CLEANING LLC</t>
  </si>
  <si>
    <t xml:space="preserve">R0085963</t>
  </si>
  <si>
    <t xml:space="preserve">1563 JASPER ST</t>
  </si>
  <si>
    <t xml:space="preserve">B-4-Aur</t>
  </si>
  <si>
    <t xml:space="preserve">0182132315052</t>
  </si>
  <si>
    <t xml:space="preserve">2023000027674</t>
  </si>
  <si>
    <t xml:space="preserve">CTTW HOLDINGS LLC AND MARSCH NICHOLAS AND, MARSCH &amp; BAKOUCHE RENTALS LLC ET AL</t>
  </si>
  <si>
    <t xml:space="preserve">LOCK AWAY COLORADO LLC</t>
  </si>
  <si>
    <t xml:space="preserve">R0090660</t>
  </si>
  <si>
    <t xml:space="preserve">4981 E 64TH AVE</t>
  </si>
  <si>
    <t xml:space="preserve">C-2-Com</t>
  </si>
  <si>
    <t xml:space="preserve">0182306407031</t>
  </si>
  <si>
    <t xml:space="preserve">2022000086638</t>
  </si>
  <si>
    <t xml:space="preserve">DCW FAMILY HOLDINGS LLC</t>
  </si>
  <si>
    <t xml:space="preserve">SKYLINE PRINCIPAL INVESTORS II LLC</t>
  </si>
  <si>
    <t xml:space="preserve">R0092838</t>
  </si>
  <si>
    <t xml:space="preserve">5565 E 52ND AVE</t>
  </si>
  <si>
    <t xml:space="preserve">0182318107003</t>
  </si>
  <si>
    <t xml:space="preserve">2023000069418</t>
  </si>
  <si>
    <t xml:space="preserve">FIVEKC LLC</t>
  </si>
  <si>
    <t xml:space="preserve">CAH CO COMMERCE CITY LLC</t>
  </si>
  <si>
    <t xml:space="preserve">R0099963</t>
  </si>
  <si>
    <t xml:space="preserve">3190 W 72ND AVE</t>
  </si>
  <si>
    <t xml:space="preserve">0182505201001</t>
  </si>
  <si>
    <t xml:space="preserve">2023000051057</t>
  </si>
  <si>
    <t xml:space="preserve">NORMAN GAUGER INC</t>
  </si>
  <si>
    <t xml:space="preserve">72 AVE LLC, C/O SHI BING KE</t>
  </si>
  <si>
    <t xml:space="preserve">R0103017</t>
  </si>
  <si>
    <t xml:space="preserve">2896 W 64TH AVE</t>
  </si>
  <si>
    <t xml:space="preserve">0182508100004</t>
  </si>
  <si>
    <t xml:space="preserve">2023000038899</t>
  </si>
  <si>
    <t xml:space="preserve">2896 W 64TH AVE LLC</t>
  </si>
  <si>
    <t xml:space="preserve">THE MCC AMIGOS LLC</t>
  </si>
  <si>
    <t xml:space="preserve">R0142646</t>
  </si>
  <si>
    <t xml:space="preserve">10160 GRANT ST</t>
  </si>
  <si>
    <t xml:space="preserve">Planned Development</t>
  </si>
  <si>
    <t xml:space="preserve">0171915102026</t>
  </si>
  <si>
    <t xml:space="preserve">2024000031475</t>
  </si>
  <si>
    <t xml:space="preserve">NG21 LP</t>
  </si>
  <si>
    <t xml:space="preserve">BRAKES PLUS LLC</t>
  </si>
  <si>
    <t xml:space="preserve">R0037692</t>
  </si>
  <si>
    <t xml:space="preserve">10880 LEROY DR</t>
  </si>
  <si>
    <t xml:space="preserve">0171911101018</t>
  </si>
  <si>
    <t xml:space="preserve">2024000012846</t>
  </si>
  <si>
    <t xml:space="preserve">KICKBUSH DOM AND, KICKBUSH ANA</t>
  </si>
  <si>
    <t xml:space="preserve">SLLI PROPERTIES LLC</t>
  </si>
  <si>
    <t xml:space="preserve">R0037816</t>
  </si>
  <si>
    <t xml:space="preserve">10911 IRMA DR</t>
  </si>
  <si>
    <t xml:space="preserve">0171911109017</t>
  </si>
  <si>
    <t xml:space="preserve">2023000031537</t>
  </si>
  <si>
    <t xml:space="preserve">JACKSON LARRY DEAN</t>
  </si>
  <si>
    <t xml:space="preserve">RBF ENTERPRISES LLC</t>
  </si>
  <si>
    <t xml:space="preserve">R0064415</t>
  </si>
  <si>
    <t xml:space="preserve">7901 ZENOBIA ST</t>
  </si>
  <si>
    <t xml:space="preserve">0171931213021</t>
  </si>
  <si>
    <t xml:space="preserve">2024000029819</t>
  </si>
  <si>
    <t xml:space="preserve">CMS HOLDINGS LLC</t>
  </si>
  <si>
    <t xml:space="preserve">REINVENTION J HOLDINGS LLC</t>
  </si>
  <si>
    <t xml:space="preserve">R0065356</t>
  </si>
  <si>
    <t xml:space="preserve">7205 MEADE ST</t>
  </si>
  <si>
    <t xml:space="preserve">0171931417024</t>
  </si>
  <si>
    <t xml:space="preserve">2024000032236</t>
  </si>
  <si>
    <t xml:space="preserve">7205 MEADE LLC</t>
  </si>
  <si>
    <t xml:space="preserve">COLLECTIVE CULTURE LLC</t>
  </si>
  <si>
    <t xml:space="preserve">R0077024</t>
  </si>
  <si>
    <t xml:space="preserve">9152 YOSEMITE ST</t>
  </si>
  <si>
    <t xml:space="preserve">0172122006007</t>
  </si>
  <si>
    <t xml:space="preserve">2023000061749</t>
  </si>
  <si>
    <t xml:space="preserve">WARD REALTY CORPORATION</t>
  </si>
  <si>
    <t xml:space="preserve">GVII-ZS YOSEMITE OWNER LLC</t>
  </si>
  <si>
    <t xml:space="preserve">R0077223</t>
  </si>
  <si>
    <t xml:space="preserve">7920 E 88TH AVE</t>
  </si>
  <si>
    <t xml:space="preserve">0172128213001</t>
  </si>
  <si>
    <t xml:space="preserve">2022000065029</t>
  </si>
  <si>
    <t xml:space="preserve">BEGLEY OTHEL BAXTER AND , KOZA JEFFREY P </t>
  </si>
  <si>
    <t xml:space="preserve">NCW GROUP LLC</t>
  </si>
  <si>
    <t xml:space="preserve">R0077393</t>
  </si>
  <si>
    <t xml:space="preserve">8451 BRIGHTON DR</t>
  </si>
  <si>
    <t xml:space="preserve">0172129200027</t>
  </si>
  <si>
    <t xml:space="preserve">2023000046196</t>
  </si>
  <si>
    <t xml:space="preserve">BDM HOLDINGS LLC</t>
  </si>
  <si>
    <t xml:space="preserve">8451 BRIGHTON ROAD INC</t>
  </si>
  <si>
    <t xml:space="preserve">R0098079</t>
  </si>
  <si>
    <t xml:space="preserve">851 HWY 224 #A3</t>
  </si>
  <si>
    <t xml:space="preserve">0182502203043</t>
  </si>
  <si>
    <t xml:space="preserve">2022000076798</t>
  </si>
  <si>
    <t xml:space="preserve">BLUE ROOF RENTALS LLC</t>
  </si>
  <si>
    <t xml:space="preserve">RALEIGH LUCAS</t>
  </si>
  <si>
    <t xml:space="preserve">R0114828</t>
  </si>
  <si>
    <t xml:space="preserve">8700 GRANT ST</t>
  </si>
  <si>
    <t xml:space="preserve">0171927114006</t>
  </si>
  <si>
    <t xml:space="preserve">2022000082393</t>
  </si>
  <si>
    <t xml:space="preserve">MLS PROPERTIES LLC</t>
  </si>
  <si>
    <t xml:space="preserve">GRANT PROPERTY LLC</t>
  </si>
  <si>
    <t xml:space="preserve">R0133774</t>
  </si>
  <si>
    <t xml:space="preserve">6301 BROADWAY ST</t>
  </si>
  <si>
    <t xml:space="preserve">0182510204003</t>
  </si>
  <si>
    <t xml:space="preserve">2022000097182</t>
  </si>
  <si>
    <t xml:space="preserve">DIESEL FORWARD INC</t>
  </si>
  <si>
    <t xml:space="preserve">6301 BROADWAY INVESTMENT LLC</t>
  </si>
  <si>
    <t xml:space="preserve">R0051129</t>
  </si>
  <si>
    <t xml:space="preserve">9150 HURON ST</t>
  </si>
  <si>
    <t xml:space="preserve">0171922302004</t>
  </si>
  <si>
    <t xml:space="preserve">2023000009052</t>
  </si>
  <si>
    <t xml:space="preserve">RUBY AMOR INVESTMENTS LLC</t>
  </si>
  <si>
    <t xml:space="preserve">GOMEZ PRICSILIANO</t>
  </si>
  <si>
    <t xml:space="preserve">R0063286</t>
  </si>
  <si>
    <t xml:space="preserve">8020 SHERIDAN BLVD</t>
  </si>
  <si>
    <t xml:space="preserve">C-1-Wes</t>
  </si>
  <si>
    <t xml:space="preserve">0171930320007</t>
  </si>
  <si>
    <t xml:space="preserve">2023000021042</t>
  </si>
  <si>
    <t xml:space="preserve">BERMAN ANDREW P</t>
  </si>
  <si>
    <t xml:space="preserve">WF-CA SHERIDAN &amp; 80TH LLC</t>
  </si>
  <si>
    <t xml:space="preserve">R0095571</t>
  </si>
  <si>
    <t xml:space="preserve">9848 E 17TH AVE</t>
  </si>
  <si>
    <t xml:space="preserve">OA-MS</t>
  </si>
  <si>
    <t xml:space="preserve">0182334422006</t>
  </si>
  <si>
    <t xml:space="preserve">2023000053044</t>
  </si>
  <si>
    <t xml:space="preserve">IGLESIA DE DIOS PENTECOSTAL M. I.</t>
  </si>
  <si>
    <t xml:space="preserve">ELLA AURORA LLC</t>
  </si>
  <si>
    <t xml:space="preserve">R0113805</t>
  </si>
  <si>
    <t xml:space="preserve">17 N 12TH AVE</t>
  </si>
  <si>
    <t xml:space="preserve">C-2-Bri</t>
  </si>
  <si>
    <t xml:space="preserve">0156905300036</t>
  </si>
  <si>
    <t xml:space="preserve">2023000050942</t>
  </si>
  <si>
    <t xml:space="preserve">17 N 12 LLC</t>
  </si>
  <si>
    <t xml:space="preserve">CBCB HOLDINDS LLC</t>
  </si>
  <si>
    <t xml:space="preserve">R0147985</t>
  </si>
  <si>
    <t xml:space="preserve">15800 E 40TH AVE</t>
  </si>
  <si>
    <t xml:space="preserve">PD</t>
  </si>
  <si>
    <t xml:space="preserve">0182120301001</t>
  </si>
  <si>
    <t xml:space="preserve">2024000022608</t>
  </si>
  <si>
    <t xml:space="preserve">SHALOM REALTY  (AURORA CENTER I AT GATEWAY COLORADO), C/O DALFEN INDUSTRIAL LLC</t>
  </si>
  <si>
    <t xml:space="preserve">JAMM PROPERTIES LIMITED LLC</t>
  </si>
  <si>
    <t xml:space="preserve">R0191667</t>
  </si>
  <si>
    <t xml:space="preserve">8799 BRIGHTON BLVD</t>
  </si>
  <si>
    <t xml:space="preserve">0172120403001</t>
  </si>
  <si>
    <t xml:space="preserve">2022000059892</t>
  </si>
  <si>
    <t xml:space="preserve">ACA 88 LLC</t>
  </si>
  <si>
    <t xml:space="preserve">JEREMY FEIN INC</t>
  </si>
  <si>
    <t xml:space="preserve">R0208790</t>
  </si>
  <si>
    <t xml:space="preserve">5120 VIOLET HILL #N1-3</t>
  </si>
  <si>
    <t xml:space="preserve">0181716411020</t>
  </si>
  <si>
    <t xml:space="preserve">2023000036702</t>
  </si>
  <si>
    <t xml:space="preserve">GEE KYLE</t>
  </si>
  <si>
    <t xml:space="preserve">AMUNDSON JEFFREY AND, AMUNDSON RICHELLE</t>
  </si>
  <si>
    <t xml:space="preserve">R0213028</t>
  </si>
  <si>
    <t xml:space="preserve">903 S 8TH AVE</t>
  </si>
  <si>
    <t xml:space="preserve">0156918102011</t>
  </si>
  <si>
    <t xml:space="preserve">2022000086189</t>
  </si>
  <si>
    <t xml:space="preserve">EVC BRIGHTON LLC</t>
  </si>
  <si>
    <t xml:space="preserve">NG BRIGHTON HOLDINGS LLC</t>
  </si>
  <si>
    <t xml:space="preserve">R0217175</t>
  </si>
  <si>
    <t xml:space="preserve">13551 QUEBEC ST</t>
  </si>
  <si>
    <t xml:space="preserve">0157129113126</t>
  </si>
  <si>
    <t xml:space="preserve">2024000035541</t>
  </si>
  <si>
    <t xml:space="preserve">WDG AMBER CREEK LLC</t>
  </si>
  <si>
    <t xml:space="preserve">BOERE JOHN AND, BOERE DENISE</t>
  </si>
  <si>
    <t xml:space="preserve">R0222670</t>
  </si>
  <si>
    <t xml:space="preserve">37851 E 51ST AVE #W3</t>
  </si>
  <si>
    <t xml:space="preserve">0181715300028</t>
  </si>
  <si>
    <t xml:space="preserve">2024000024056</t>
  </si>
  <si>
    <t xml:space="preserve">ROMEO HANGAR ASSOCIATION LLC</t>
  </si>
  <si>
    <t xml:space="preserve">R0222677</t>
  </si>
  <si>
    <t xml:space="preserve">37851 E 51ST AVE #E8</t>
  </si>
  <si>
    <t xml:space="preserve">0181715300035</t>
  </si>
  <si>
    <t xml:space="preserve">2024000022635</t>
  </si>
  <si>
    <t xml:space="preserve">HASH WILLARD G</t>
  </si>
  <si>
    <t xml:space="preserve">R0222679</t>
  </si>
  <si>
    <t xml:space="preserve">37851 E 51ST AVE #E4</t>
  </si>
  <si>
    <t xml:space="preserve">0181715300037</t>
  </si>
  <si>
    <t xml:space="preserve">2024000024080</t>
  </si>
  <si>
    <t xml:space="preserve">THE FISH AND MARYC LIVING TRUST</t>
  </si>
  <si>
    <t xml:space="preserve">R0222680</t>
  </si>
  <si>
    <t xml:space="preserve">37851 E 51ST AVE #E2</t>
  </si>
  <si>
    <t xml:space="preserve">0181715300038</t>
  </si>
  <si>
    <t xml:space="preserve">2024000022536</t>
  </si>
  <si>
    <t xml:space="preserve">HORIZON AVIATION LLC</t>
  </si>
  <si>
    <t xml:space="preserve">R0223485</t>
  </si>
  <si>
    <t xml:space="preserve">9658 HAVANA ST #B06</t>
  </si>
  <si>
    <t xml:space="preserve">0172115405046</t>
  </si>
  <si>
    <t xml:space="preserve">2024000015534</t>
  </si>
  <si>
    <t xml:space="preserve">ZHANG ZI SHAO AND, CHEUNG JENNY WEI </t>
  </si>
  <si>
    <t xml:space="preserve">R0001910</t>
  </si>
  <si>
    <t xml:space="preserve">1181 BRIDGE ST</t>
  </si>
  <si>
    <t xml:space="preserve">0156905300011</t>
  </si>
  <si>
    <t xml:space="preserve">2023000031295</t>
  </si>
  <si>
    <t xml:space="preserve">GREYSON HOLDINGS LLC</t>
  </si>
  <si>
    <t xml:space="preserve">PEAK RE HOLDINGS LLC</t>
  </si>
  <si>
    <t xml:space="preserve">R0037116</t>
  </si>
  <si>
    <t xml:space="preserve">11184 HURON ST #16</t>
  </si>
  <si>
    <t xml:space="preserve">C-3-Nor</t>
  </si>
  <si>
    <t xml:space="preserve">0171910217016</t>
  </si>
  <si>
    <t xml:space="preserve">2022000076569</t>
  </si>
  <si>
    <t xml:space="preserve">CONNER PAUL S</t>
  </si>
  <si>
    <t xml:space="preserve">BELK DENISE L</t>
  </si>
  <si>
    <t xml:space="preserve">R0058375</t>
  </si>
  <si>
    <t xml:space="preserve">8451 DELAWARE ST</t>
  </si>
  <si>
    <t xml:space="preserve">0171927211001</t>
  </si>
  <si>
    <t xml:space="preserve">2024000024013</t>
  </si>
  <si>
    <t xml:space="preserve">8451 DELAWARE STREET LLC</t>
  </si>
  <si>
    <t xml:space="preserve">SAELEE THORNTON LLC</t>
  </si>
  <si>
    <t xml:space="preserve">R0141094</t>
  </si>
  <si>
    <t xml:space="preserve">37700 CESNA WAY #6W</t>
  </si>
  <si>
    <t xml:space="preserve">0181715201010</t>
  </si>
  <si>
    <t xml:space="preserve">2023000030516</t>
  </si>
  <si>
    <t xml:space="preserve">MUTZIG STEVEN M</t>
  </si>
  <si>
    <t xml:space="preserve">KODIAK BRANDS INC</t>
  </si>
  <si>
    <t xml:space="preserve">R0161867</t>
  </si>
  <si>
    <t xml:space="preserve">37701 E 51ST AVE #3E</t>
  </si>
  <si>
    <t xml:space="preserve">0181715307006</t>
  </si>
  <si>
    <t xml:space="preserve">2023000051510</t>
  </si>
  <si>
    <t xml:space="preserve">E AND E INVESTMENTS INC, C/O DAVID ENGBRECHT</t>
  </si>
  <si>
    <t xml:space="preserve">SPACEPORT 3 EAST LLC</t>
  </si>
  <si>
    <t xml:space="preserve">R0178320</t>
  </si>
  <si>
    <t xml:space="preserve">2551 E 120TH AVE</t>
  </si>
  <si>
    <t xml:space="preserve">0157336309073</t>
  </si>
  <si>
    <t xml:space="preserve">2023000022215</t>
  </si>
  <si>
    <t xml:space="preserve">PAC PROPERTIES LLC</t>
  </si>
  <si>
    <t xml:space="preserve">DADDY DANKZ INC</t>
  </si>
  <si>
    <t xml:space="preserve">R0181762</t>
  </si>
  <si>
    <t xml:space="preserve">100 E 120TH AVE</t>
  </si>
  <si>
    <t xml:space="preserve">PUD-Nor</t>
  </si>
  <si>
    <t xml:space="preserve">0171903109009</t>
  </si>
  <si>
    <t xml:space="preserve">2022000071951</t>
  </si>
  <si>
    <t xml:space="preserve">J AND N DENVER IV LLC</t>
  </si>
  <si>
    <t xml:space="preserve">LOS DOS POTRILLOS COCINA Y CANTINA-NORTHGLENN LLC</t>
  </si>
  <si>
    <t xml:space="preserve">R0207368</t>
  </si>
  <si>
    <t xml:space="preserve">9551 WILLOW ST</t>
  </si>
  <si>
    <t xml:space="preserve">0172121102015</t>
  </si>
  <si>
    <t xml:space="preserve">2023000037358</t>
  </si>
  <si>
    <t xml:space="preserve">SDW FAMILY PROEPRTIES LLC</t>
  </si>
  <si>
    <t xml:space="preserve">DIVERSIFIED RE HOLDINGS LLC</t>
  </si>
  <si>
    <t xml:space="preserve">R0213043</t>
  </si>
  <si>
    <t xml:space="preserve">9658 HAVANA ST #1B</t>
  </si>
  <si>
    <t xml:space="preserve">0172115405001</t>
  </si>
  <si>
    <t xml:space="preserve">2023000020171</t>
  </si>
  <si>
    <t xml:space="preserve">MCAVIN ENTERPRISES LLC</t>
  </si>
  <si>
    <t xml:space="preserve">FISHER DESIGNWORKS LLC DBA, SAWHORSE DEVELOPMENT LLC</t>
  </si>
  <si>
    <t xml:space="preserve">R0213044</t>
  </si>
  <si>
    <t xml:space="preserve">9658 HAVAN ST #1C</t>
  </si>
  <si>
    <t xml:space="preserve">0172115405002</t>
  </si>
  <si>
    <t xml:space="preserve">2022000062002</t>
  </si>
  <si>
    <t xml:space="preserve">SLAVIC CHRISTIAN CHURCH</t>
  </si>
  <si>
    <t xml:space="preserve">R0213046</t>
  </si>
  <si>
    <t xml:space="preserve">9658 HAVANA ST #1E</t>
  </si>
  <si>
    <t xml:space="preserve">0172115405004</t>
  </si>
  <si>
    <t xml:space="preserve">2022000061238</t>
  </si>
  <si>
    <t xml:space="preserve">E&amp;P QUALITY PLUMBING INC AND , E&amp;P QUALITY PLUMBING </t>
  </si>
  <si>
    <t xml:space="preserve">R0222669</t>
  </si>
  <si>
    <t xml:space="preserve">37851 E 51ST AVE #W1</t>
  </si>
  <si>
    <t xml:space="preserve">0181715300027</t>
  </si>
  <si>
    <t xml:space="preserve">2024000024075</t>
  </si>
  <si>
    <t xml:space="preserve">ACCRETION MANAGEMENT LLC</t>
  </si>
  <si>
    <t xml:space="preserve">R0222673</t>
  </si>
  <si>
    <t xml:space="preserve">37851 E 51ST AVE #W9</t>
  </si>
  <si>
    <t xml:space="preserve">0181715300031</t>
  </si>
  <si>
    <t xml:space="preserve">2024000024085</t>
  </si>
  <si>
    <t xml:space="preserve">COLBYCO JET MANAGEMENT LLC</t>
  </si>
  <si>
    <t xml:space="preserve">R0222674</t>
  </si>
  <si>
    <t xml:space="preserve">37851 E 51ST AVE #W11</t>
  </si>
  <si>
    <t xml:space="preserve">0181715300032</t>
  </si>
  <si>
    <t xml:space="preserve">2024000024068</t>
  </si>
  <si>
    <t xml:space="preserve">MUELLER HANGARS LLC</t>
  </si>
  <si>
    <t xml:space="preserve">R0222675</t>
  </si>
  <si>
    <t xml:space="preserve">37851 E 51ST AVE #E12</t>
  </si>
  <si>
    <t xml:space="preserve">0181715300033</t>
  </si>
  <si>
    <t xml:space="preserve">2024000024063</t>
  </si>
  <si>
    <t xml:space="preserve">R0223501</t>
  </si>
  <si>
    <t xml:space="preserve">9658 HAVAN ST #C03</t>
  </si>
  <si>
    <t xml:space="preserve">0172115405062</t>
  </si>
  <si>
    <t xml:space="preserve">2024000015431</t>
  </si>
  <si>
    <t xml:space="preserve">MAVES AEDRENA</t>
  </si>
  <si>
    <t xml:space="preserve">R0224264</t>
  </si>
  <si>
    <t xml:space="preserve">0157332401029</t>
  </si>
  <si>
    <t xml:space="preserve">2024000021262</t>
  </si>
  <si>
    <t xml:space="preserve">2861 FINANCIAL LLC</t>
  </si>
  <si>
    <t xml:space="preserve">FINAN PROPERTIES LLC</t>
  </si>
  <si>
    <t xml:space="preserve">R0002840</t>
  </si>
  <si>
    <t xml:space="preserve">5 N MAIN ST</t>
  </si>
  <si>
    <t xml:space="preserve">0156906314014</t>
  </si>
  <si>
    <t xml:space="preserve">2023000013109</t>
  </si>
  <si>
    <t xml:space="preserve">1382 BOSTON LLC</t>
  </si>
  <si>
    <t xml:space="preserve">ROTH ERIC</t>
  </si>
  <si>
    <t xml:space="preserve">R0037106</t>
  </si>
  <si>
    <t xml:space="preserve">11178 HURON ST #6</t>
  </si>
  <si>
    <t xml:space="preserve">0171910217006</t>
  </si>
  <si>
    <t xml:space="preserve">2023000036437</t>
  </si>
  <si>
    <t xml:space="preserve">BRUNSON REAL ESTATE HOLDINGS LLC</t>
  </si>
  <si>
    <t xml:space="preserve">REAL ESTATE MATTERS CORP</t>
  </si>
  <si>
    <t xml:space="preserve">R0037108</t>
  </si>
  <si>
    <t xml:space="preserve">11184 HURON ST #8</t>
  </si>
  <si>
    <t xml:space="preserve">0171910217008</t>
  </si>
  <si>
    <t xml:space="preserve">2023000024002</t>
  </si>
  <si>
    <t xml:space="preserve">BTC VISIONS LLC</t>
  </si>
  <si>
    <t xml:space="preserve">GLOBAL PROPERTIES AND MANAGEMENT LLC</t>
  </si>
  <si>
    <t xml:space="preserve">R0176439</t>
  </si>
  <si>
    <t xml:space="preserve">804 E 78TH AVE</t>
  </si>
  <si>
    <t xml:space="preserve">0171935233022</t>
  </si>
  <si>
    <t xml:space="preserve">2023000047316</t>
  </si>
  <si>
    <t xml:space="preserve">BOOMHAUSER EDDIE LLC</t>
  </si>
  <si>
    <t xml:space="preserve">BAHRAINI MOHAMMAD YOUSOF</t>
  </si>
  <si>
    <t xml:space="preserve">R0184690</t>
  </si>
  <si>
    <t xml:space="preserve">4155 E 128TH AVE</t>
  </si>
  <si>
    <t xml:space="preserve">0157130321022</t>
  </si>
  <si>
    <t xml:space="preserve">2023000060719</t>
  </si>
  <si>
    <t xml:space="preserve">ECE I LLC, ATTN ASSET MANAGER</t>
  </si>
  <si>
    <t xml:space="preserve">KARTER REALTY THORNTON LLC</t>
  </si>
  <si>
    <t xml:space="preserve">R0103418</t>
  </si>
  <si>
    <t xml:space="preserve">5678 PECOS ST</t>
  </si>
  <si>
    <t xml:space="preserve">0182509400017</t>
  </si>
  <si>
    <t xml:space="preserve">2024000004872</t>
  </si>
  <si>
    <t xml:space="preserve">BANG ENTERPRIZE INC</t>
  </si>
  <si>
    <t xml:space="preserve">R0118777</t>
  </si>
  <si>
    <t xml:space="preserve">6091 E 72ND AVE</t>
  </si>
  <si>
    <t xml:space="preserve">0172132309022</t>
  </si>
  <si>
    <t xml:space="preserve">2023000006247</t>
  </si>
  <si>
    <t xml:space="preserve">THEODORA CHECKERS LLC</t>
  </si>
  <si>
    <t xml:space="preserve">MTK MANAGEMENT LLC, LMK MANAGEMENT LLC</t>
  </si>
  <si>
    <t xml:space="preserve">R0125137</t>
  </si>
  <si>
    <t xml:space="preserve">9670 DALLAS ST #7</t>
  </si>
  <si>
    <t xml:space="preserve">0172115303007</t>
  </si>
  <si>
    <t xml:space="preserve">2023000050900</t>
  </si>
  <si>
    <t xml:space="preserve">TRIPLE L PROPERTIES LLC</t>
  </si>
  <si>
    <t xml:space="preserve">THE HOLDING COMPANY LTD</t>
  </si>
  <si>
    <t xml:space="preserve">R0168582</t>
  </si>
  <si>
    <t xml:space="preserve">6195 CLERMONT ST</t>
  </si>
  <si>
    <t xml:space="preserve">0182307204001</t>
  </si>
  <si>
    <t xml:space="preserve">2024000001735</t>
  </si>
  <si>
    <t xml:space="preserve">6195 CLERMONT LLC</t>
  </si>
  <si>
    <t xml:space="preserve">INTERMOUNTAIN ELECTRONICS INC OF PRICE UTAH</t>
  </si>
  <si>
    <t xml:space="preserve">R0174676</t>
  </si>
  <si>
    <t xml:space="preserve">13701 COLORADO BLVD</t>
  </si>
  <si>
    <t xml:space="preserve">0157324418010</t>
  </si>
  <si>
    <t xml:space="preserve">2023000070206</t>
  </si>
  <si>
    <t xml:space="preserve">THE 2023 COUSSAN CRUT 6</t>
  </si>
  <si>
    <t xml:space="preserve">ELZE LLC</t>
  </si>
  <si>
    <t xml:space="preserve">R0175483</t>
  </si>
  <si>
    <t xml:space="preserve">5590 E 55TH AVE</t>
  </si>
  <si>
    <t xml:space="preserve">0182318101003</t>
  </si>
  <si>
    <t xml:space="preserve">2022000092835</t>
  </si>
  <si>
    <t xml:space="preserve">KONN RICHARD AND , ADINOLFE MICHAEL</t>
  </si>
  <si>
    <t xml:space="preserve">5590 EAST PARTNERS LLC</t>
  </si>
  <si>
    <t xml:space="preserve">R0180899</t>
  </si>
  <si>
    <t xml:space="preserve">2360 BRIDGE ST</t>
  </si>
  <si>
    <t xml:space="preserve">0156908105121</t>
  </si>
  <si>
    <t xml:space="preserve">2023000014041</t>
  </si>
  <si>
    <t xml:space="preserve">VILLAGE CENTER PARTNERS LLC</t>
  </si>
  <si>
    <t xml:space="preserve">JYS VILLAGE INC</t>
  </si>
  <si>
    <t xml:space="preserve">R0050171</t>
  </si>
  <si>
    <t xml:space="preserve">8950 FEDERAL BLVD</t>
  </si>
  <si>
    <t xml:space="preserve">0171920415003</t>
  </si>
  <si>
    <t xml:space="preserve">2024000001132</t>
  </si>
  <si>
    <t xml:space="preserve">AMERICAN LAND CRUISERS INC</t>
  </si>
  <si>
    <t xml:space="preserve">WIDHALM PROPERTIES LLC</t>
  </si>
  <si>
    <t xml:space="preserve">R0095050</t>
  </si>
  <si>
    <t xml:space="preserve">1535 CHESTER ST</t>
  </si>
  <si>
    <t xml:space="preserve">0182334328012</t>
  </si>
  <si>
    <t xml:space="preserve">2023000027439</t>
  </si>
  <si>
    <t xml:space="preserve">MARTINEZ ORLANDO UND 80% INT AND, MUNOZ LUIS UND 20% INT</t>
  </si>
  <si>
    <t xml:space="preserve">DURAN GUILLEN FABIOLA</t>
  </si>
  <si>
    <t xml:space="preserve">R0095648</t>
  </si>
  <si>
    <t xml:space="preserve">1540 GALENA ST</t>
  </si>
  <si>
    <t xml:space="preserve">0182334428006</t>
  </si>
  <si>
    <t xml:space="preserve">2022000068436</t>
  </si>
  <si>
    <t xml:space="preserve">BEFORT PLUMBING AND HEATING COMPANY INC</t>
  </si>
  <si>
    <t xml:space="preserve">DE HARO MARIA M.</t>
  </si>
  <si>
    <t xml:space="preserve">R0109567</t>
  </si>
  <si>
    <t xml:space="preserve">8879 FOX DR</t>
  </si>
  <si>
    <t xml:space="preserve">0171922304015</t>
  </si>
  <si>
    <t xml:space="preserve">2023000010580</t>
  </si>
  <si>
    <t xml:space="preserve">WEPRIN PROPERTIES LLC</t>
  </si>
  <si>
    <t xml:space="preserve">8879 FOX DRIVE LLC</t>
  </si>
  <si>
    <t xml:space="preserve">R0129930</t>
  </si>
  <si>
    <t xml:space="preserve">37550 ASTRA WAY #3E</t>
  </si>
  <si>
    <t xml:space="preserve">0181716405008</t>
  </si>
  <si>
    <t xml:space="preserve">2023000056284</t>
  </si>
  <si>
    <t xml:space="preserve">GUSTTE PHILIP O AND, GUSTTE TIFFANY A</t>
  </si>
  <si>
    <t xml:space="preserve">BECK KEN AND, BECK ADRIENNE</t>
  </si>
  <si>
    <t xml:space="preserve">R0178958</t>
  </si>
  <si>
    <t xml:space="preserve">37650 ASTRA WAY</t>
  </si>
  <si>
    <t xml:space="preserve">0181716400040</t>
  </si>
  <si>
    <t xml:space="preserve">2022000087700</t>
  </si>
  <si>
    <t xml:space="preserve">END-IRA INC FBO RODNEY W LUECK IRA</t>
  </si>
  <si>
    <t xml:space="preserve">RANDEL VERNON E AND, RANDEL CHERYL V</t>
  </si>
  <si>
    <t xml:space="preserve">R0180591</t>
  </si>
  <si>
    <t xml:space="preserve">780 W 84TH AVE</t>
  </si>
  <si>
    <t xml:space="preserve">0171927306015</t>
  </si>
  <si>
    <t xml:space="preserve">2023000060514</t>
  </si>
  <si>
    <t xml:space="preserve">RRS HOLDINGS LLC</t>
  </si>
  <si>
    <t xml:space="preserve">FOXFIELD GEARS HOLDINGS LLC</t>
  </si>
  <si>
    <t xml:space="preserve">R0204250</t>
  </si>
  <si>
    <t xml:space="preserve">2205 E 104TH AVE</t>
  </si>
  <si>
    <t xml:space="preserve">0171911405022</t>
  </si>
  <si>
    <t xml:space="preserve">2022000100096</t>
  </si>
  <si>
    <t xml:space="preserve">41581 NORTHGLENN CO LLC</t>
  </si>
  <si>
    <t xml:space="preserve">WPMO INVESTMENTS LLC</t>
  </si>
  <si>
    <t xml:space="preserve">R0208122</t>
  </si>
  <si>
    <t xml:space="preserve">14190 ORCHARD PKWY</t>
  </si>
  <si>
    <t xml:space="preserve">0157322201010</t>
  </si>
  <si>
    <t xml:space="preserve">2024000023645</t>
  </si>
  <si>
    <t xml:space="preserve">NORTH DENVER MOB LLC</t>
  </si>
  <si>
    <t xml:space="preserve">WESTMINSTER 14190 MP RK6 LLC, C/O REMEDY MEDICAL PROPERTIES</t>
  </si>
  <si>
    <t xml:space="preserve">R0208788</t>
  </si>
  <si>
    <t xml:space="preserve">5140 VIOLET HILL ST #S2</t>
  </si>
  <si>
    <t xml:space="preserve">0181716411018</t>
  </si>
  <si>
    <t xml:space="preserve">2023000038486</t>
  </si>
  <si>
    <t xml:space="preserve">TBM 03X LLC</t>
  </si>
  <si>
    <t xml:space="preserve">WINDERMERE PROPERTIES LLC</t>
  </si>
  <si>
    <t xml:space="preserve">R0213047</t>
  </si>
  <si>
    <t xml:space="preserve">9658 HAVANA ST #1F</t>
  </si>
  <si>
    <t xml:space="preserve">0172115405005</t>
  </si>
  <si>
    <t xml:space="preserve">2022000063858</t>
  </si>
  <si>
    <t xml:space="preserve">O'HARA SEAN M AND, O'HARA STEPHANIE H</t>
  </si>
  <si>
    <t xml:space="preserve">R0222671</t>
  </si>
  <si>
    <t xml:space="preserve">37851 E 51ST AVE #W5</t>
  </si>
  <si>
    <t xml:space="preserve">0181715300029</t>
  </si>
  <si>
    <t xml:space="preserve">2024000024071</t>
  </si>
  <si>
    <t xml:space="preserve">SPIRIT LIFE INC</t>
  </si>
  <si>
    <t xml:space="preserve">R0222672</t>
  </si>
  <si>
    <t xml:space="preserve">37851 E 51ST AVE #W7</t>
  </si>
  <si>
    <t xml:space="preserve">0181715300030</t>
  </si>
  <si>
    <t xml:space="preserve">2024000022564</t>
  </si>
  <si>
    <t xml:space="preserve">R0101615</t>
  </si>
  <si>
    <t xml:space="preserve">5190 W 65TH AVE</t>
  </si>
  <si>
    <t xml:space="preserve">B-2-Arv</t>
  </si>
  <si>
    <t xml:space="preserve">0182506316001</t>
  </si>
  <si>
    <t xml:space="preserve">2022000062407</t>
  </si>
  <si>
    <t xml:space="preserve">JOSHNIK CO LLLP</t>
  </si>
  <si>
    <t xml:space="preserve">OCHOA RUBIO LUIS AND, OCHOA JOSE LUIS AND RUBIO MARIO D</t>
  </si>
  <si>
    <t xml:space="preserve">1036 S 1ST ST </t>
  </si>
  <si>
    <t xml:space="preserve">2022000064811</t>
  </si>
  <si>
    <t xml:space="preserve">GAYESKI CAPITAL EQUITIES LLC</t>
  </si>
  <si>
    <t xml:space="preserve">6195  CLERMONT ST</t>
  </si>
  <si>
    <t xml:space="preserve">2022000066244</t>
  </si>
  <si>
    <t xml:space="preserve">MCCALLIN REAL ESTATE LLC</t>
  </si>
  <si>
    <t xml:space="preserve">R0003857</t>
  </si>
  <si>
    <t xml:space="preserve">49 S 3RD AVE </t>
  </si>
  <si>
    <t xml:space="preserve">0156907202007</t>
  </si>
  <si>
    <t xml:space="preserve">2022000074132</t>
  </si>
  <si>
    <t xml:space="preserve">GORDON GROUP INVESTMENTS LLC</t>
  </si>
  <si>
    <t xml:space="preserve">49 SOUTH THIRD AVE LLC</t>
  </si>
  <si>
    <t xml:space="preserve">R0131360</t>
  </si>
  <si>
    <t xml:space="preserve">1821  BRIDGE ST </t>
  </si>
  <si>
    <t xml:space="preserve">0156905335003</t>
  </si>
  <si>
    <t xml:space="preserve">2022000075125</t>
  </si>
  <si>
    <t xml:space="preserve">WALGREEN CO</t>
  </si>
  <si>
    <t xml:space="preserve">CP THUNDER FS LLC</t>
  </si>
  <si>
    <t xml:space="preserve">10160  GRANT ST </t>
  </si>
  <si>
    <t xml:space="preserve">2022000081534</t>
  </si>
  <si>
    <t xml:space="preserve">RC COLORADO ENTERPRISES LLC</t>
  </si>
  <si>
    <t xml:space="preserve">R0109570</t>
  </si>
  <si>
    <t xml:space="preserve">1257 W 120TH AVE </t>
  </si>
  <si>
    <t xml:space="preserve">0157333005008</t>
  </si>
  <si>
    <t xml:space="preserve">2022000082331</t>
  </si>
  <si>
    <t xml:space="preserve">HD ALAMEDA LLC</t>
  </si>
  <si>
    <t xml:space="preserve">1257 120TH RE LLC</t>
  </si>
  <si>
    <t xml:space="preserve">R0114709</t>
  </si>
  <si>
    <t xml:space="preserve">120TH AVE  WESTMINSTER</t>
  </si>
  <si>
    <t xml:space="preserve">0157333005014</t>
  </si>
  <si>
    <t xml:space="preserve">R0150304</t>
  </si>
  <si>
    <t xml:space="preserve">7140  IVY ST B </t>
  </si>
  <si>
    <t xml:space="preserve">0182305221045</t>
  </si>
  <si>
    <t xml:space="preserve">2022000086743</t>
  </si>
  <si>
    <t xml:space="preserve">GROWEST PROPERTIES LLC</t>
  </si>
  <si>
    <t xml:space="preserve">DHK ENTERPRISES LLC</t>
  </si>
  <si>
    <t xml:space="preserve">R0004233</t>
  </si>
  <si>
    <t xml:space="preserve">479 S 4TH AVE</t>
  </si>
  <si>
    <t xml:space="preserve">0156907301004</t>
  </si>
  <si>
    <t xml:space="preserve">2022000088389</t>
  </si>
  <si>
    <t xml:space="preserve">NAN ZHI ZHONG</t>
  </si>
  <si>
    <t xml:space="preserve">NANS RESTAURANT LLC</t>
  </si>
  <si>
    <t xml:space="preserve">R0160167</t>
  </si>
  <si>
    <t xml:space="preserve">14651 E COLFAX AVE </t>
  </si>
  <si>
    <t xml:space="preserve">0182131413004</t>
  </si>
  <si>
    <t xml:space="preserve">2022000089834</t>
  </si>
  <si>
    <t xml:space="preserve">ASTRO REALTY LLC</t>
  </si>
  <si>
    <t xml:space="preserve">DEEMS LEGACY LLC</t>
  </si>
  <si>
    <t xml:space="preserve">R0129253</t>
  </si>
  <si>
    <t xml:space="preserve">12900  ZUNI ST  </t>
  </si>
  <si>
    <t xml:space="preserve">0157328301001</t>
  </si>
  <si>
    <t xml:space="preserve">2022000089861</t>
  </si>
  <si>
    <t xml:space="preserve">WILLOW RUN INVESTORS LLC</t>
  </si>
  <si>
    <t xml:space="preserve">PNW INVESTMENTS LLC, CPP 12FIVE INVESTMENTS LLC, </t>
  </si>
  <si>
    <t xml:space="preserve">R0092667</t>
  </si>
  <si>
    <t xml:space="preserve">4901  LOCUST ST </t>
  </si>
  <si>
    <t xml:space="preserve">0182317302009</t>
  </si>
  <si>
    <t xml:space="preserve">2022000090754</t>
  </si>
  <si>
    <t xml:space="preserve">HIGHLAND PROPERTIES 1222 LLC</t>
  </si>
  <si>
    <t xml:space="preserve">PAVCO GROUP LLC</t>
  </si>
  <si>
    <t xml:space="preserve">R0024453</t>
  </si>
  <si>
    <t xml:space="preserve">650 E 124TH AVE  </t>
  </si>
  <si>
    <t xml:space="preserve">0157334003016</t>
  </si>
  <si>
    <t xml:space="preserve">2022000095330</t>
  </si>
  <si>
    <t xml:space="preserve">MIDWEST BUILDING PROFESSIONALS LLC</t>
  </si>
  <si>
    <t xml:space="preserve">WORD ALIVE CHURCH</t>
  </si>
  <si>
    <t xml:space="preserve">R0121751</t>
  </si>
  <si>
    <t xml:space="preserve">605 W 62ND AVE</t>
  </si>
  <si>
    <t xml:space="preserve">0182510201006</t>
  </si>
  <si>
    <t xml:space="preserve">2022000096205</t>
  </si>
  <si>
    <t xml:space="preserve">WEST 62ND AVE LLC, GRAND JUNCTION VENTURE LLC</t>
  </si>
  <si>
    <t xml:space="preserve">IOS-PVB-605 WEST 62ND AVENUE LLC</t>
  </si>
  <si>
    <t xml:space="preserve">R0216734</t>
  </si>
  <si>
    <t xml:space="preserve">7100 E 136TH AVE</t>
  </si>
  <si>
    <t xml:space="preserve">0157129113122</t>
  </si>
  <si>
    <t xml:space="preserve">2022000096279</t>
  </si>
  <si>
    <t xml:space="preserve">STRATUS AMBER CREEK LLC</t>
  </si>
  <si>
    <t xml:space="preserve">BANK OF AMERICA NATIONAL ASSOCIATION</t>
  </si>
  <si>
    <t xml:space="preserve">R0217166</t>
  </si>
  <si>
    <t xml:space="preserve">16521 E 16TH PL</t>
  </si>
  <si>
    <t xml:space="preserve">0182132414001</t>
  </si>
  <si>
    <t xml:space="preserve">2022000097611</t>
  </si>
  <si>
    <t xml:space="preserve">QUIKTRIP CORPORATION</t>
  </si>
  <si>
    <t xml:space="preserve">ROERS AURORA APARTMENTS OWNER LLC</t>
  </si>
  <si>
    <t xml:space="preserve">R0077138</t>
  </si>
  <si>
    <t xml:space="preserve">8488  UINTA ST</t>
  </si>
  <si>
    <t xml:space="preserve">0172128109002</t>
  </si>
  <si>
    <t xml:space="preserve">2023000000846</t>
  </si>
  <si>
    <t xml:space="preserve">GOLDEN HILLS LLC AND , REAL PROPERTY ACQUISITIONS INITIATIVES LLC </t>
  </si>
  <si>
    <t xml:space="preserve">HUMPTY DUMP ROLL OFF SERVICES LLC</t>
  </si>
  <si>
    <t xml:space="preserve">R0039059</t>
  </si>
  <si>
    <t xml:space="preserve">10475  IRMA DR 1 </t>
  </si>
  <si>
    <t xml:space="preserve">0171911411020</t>
  </si>
  <si>
    <t xml:space="preserve">2023000000922</t>
  </si>
  <si>
    <t xml:space="preserve">STEWART DON W LIVING TRUST 1/2 INT, STEWART DON W MARITAL TRUST 1/2 INT</t>
  </si>
  <si>
    <t xml:space="preserve">JOHNS ERIC</t>
  </si>
  <si>
    <t xml:space="preserve">R0039060</t>
  </si>
  <si>
    <t xml:space="preserve">10475  IRMA DR 2 </t>
  </si>
  <si>
    <t xml:space="preserve">0171911411021</t>
  </si>
  <si>
    <t xml:space="preserve">R0124487</t>
  </si>
  <si>
    <t xml:space="preserve">4750 W 60TH AVE  </t>
  </si>
  <si>
    <t xml:space="preserve">0182507306013</t>
  </si>
  <si>
    <t xml:space="preserve">2023000001455</t>
  </si>
  <si>
    <t xml:space="preserve">MATHEWS FAMILY LLC</t>
  </si>
  <si>
    <t xml:space="preserve">MARK VII EQUIPMENT INC</t>
  </si>
  <si>
    <t xml:space="preserve">R0102984</t>
  </si>
  <si>
    <t xml:space="preserve">5981  TENNYSON ST</t>
  </si>
  <si>
    <t xml:space="preserve">0182507304002</t>
  </si>
  <si>
    <t xml:space="preserve">R0037747</t>
  </si>
  <si>
    <t xml:space="preserve">1680 E 112TH AVE  </t>
  </si>
  <si>
    <t xml:space="preserve">0171911103017</t>
  </si>
  <si>
    <t xml:space="preserve">2023000003311</t>
  </si>
  <si>
    <t xml:space="preserve">COOK LISA AND DANSKY VICKI AND , PERLMUTTER JAY AND PERLMUTTER JONATHAN ET AL</t>
  </si>
  <si>
    <t xml:space="preserve">NORTHGLENN URBAN RENEWAL AUTHORITY</t>
  </si>
  <si>
    <t xml:space="preserve">R0037748</t>
  </si>
  <si>
    <t xml:space="preserve">1660 E 112TH AVE </t>
  </si>
  <si>
    <t xml:space="preserve">R-1-C-Nor</t>
  </si>
  <si>
    <t xml:space="preserve">0171911103018</t>
  </si>
  <si>
    <t xml:space="preserve">R0092693</t>
  </si>
  <si>
    <t xml:space="preserve">6405 E 48TH AVE  </t>
  </si>
  <si>
    <t xml:space="preserve">0182317304046</t>
  </si>
  <si>
    <t xml:space="preserve">2023000003819</t>
  </si>
  <si>
    <t xml:space="preserve">UTAH WOOD PRESERVING CO</t>
  </si>
  <si>
    <t xml:space="preserve">WOOD CROSS LLC</t>
  </si>
  <si>
    <t xml:space="preserve">R0212551</t>
  </si>
  <si>
    <t xml:space="preserve">5805 N JACKSON GAP ST </t>
  </si>
  <si>
    <t xml:space="preserve">0181908301001</t>
  </si>
  <si>
    <t xml:space="preserve">2023000003867</t>
  </si>
  <si>
    <t xml:space="preserve">SCANNELL PROPERTIES #505 LLC</t>
  </si>
  <si>
    <t xml:space="preserve">SFG AURORA CO LLC</t>
  </si>
  <si>
    <t xml:space="preserve">R0212536</t>
  </si>
  <si>
    <t xml:space="preserve">8780 E 93RD PL  </t>
  </si>
  <si>
    <t xml:space="preserve">0172121102016</t>
  </si>
  <si>
    <t xml:space="preserve">2023000008265</t>
  </si>
  <si>
    <t xml:space="preserve">IOV 8780 93RD PLACE LLC</t>
  </si>
  <si>
    <t xml:space="preserve">UMDASCH REAL ESTATE USA LTD</t>
  </si>
  <si>
    <t xml:space="preserve">13551  QUEBEC ST  </t>
  </si>
  <si>
    <t xml:space="preserve">2023000010732</t>
  </si>
  <si>
    <t xml:space="preserve">R0131307</t>
  </si>
  <si>
    <t xml:space="preserve">180  BROMLEY BUSINESS PKWY </t>
  </si>
  <si>
    <t xml:space="preserve">0156911106009</t>
  </si>
  <si>
    <t xml:space="preserve">2023000011280</t>
  </si>
  <si>
    <t xml:space="preserve">PONY EXPRESS MINI STORAGE II LLC</t>
  </si>
  <si>
    <t xml:space="preserve">GC MP BRIGHTON LLC</t>
  </si>
  <si>
    <t xml:space="preserve">R0002838</t>
  </si>
  <si>
    <t xml:space="preserve">15 N MAIN ST </t>
  </si>
  <si>
    <t xml:space="preserve">0156906314010</t>
  </si>
  <si>
    <t xml:space="preserve">2023000015687</t>
  </si>
  <si>
    <t xml:space="preserve">SHELL LLC</t>
  </si>
  <si>
    <t xml:space="preserve">R0024505</t>
  </si>
  <si>
    <t xml:space="preserve">12040  MELODY DR  </t>
  </si>
  <si>
    <t xml:space="preserve">0157334301003</t>
  </si>
  <si>
    <t xml:space="preserve">2023000017021</t>
  </si>
  <si>
    <t xml:space="preserve">ARCP WY WESTMINSTER CO LLC, C/O RYAN LLC-PTS</t>
  </si>
  <si>
    <t xml:space="preserve">MDC COAST 29 LLC</t>
  </si>
  <si>
    <t xml:space="preserve">R0008943</t>
  </si>
  <si>
    <t xml:space="preserve">15040  BRIGHTON RD</t>
  </si>
  <si>
    <t xml:space="preserve">0157113006005</t>
  </si>
  <si>
    <t xml:space="preserve">2023000018941</t>
  </si>
  <si>
    <t xml:space="preserve">HAN CHUN INC</t>
  </si>
  <si>
    <t xml:space="preserve">BRIGHTON ROAD HOTEL LLC</t>
  </si>
  <si>
    <t xml:space="preserve">R0211021</t>
  </si>
  <si>
    <t xml:space="preserve">100  CENTENNIAL DR</t>
  </si>
  <si>
    <t xml:space="preserve">0181528401016</t>
  </si>
  <si>
    <t xml:space="preserve">2023000018989</t>
  </si>
  <si>
    <t xml:space="preserve">BENNETT CO DG LLC</t>
  </si>
  <si>
    <t xml:space="preserve">58TH LANE LLC AND, LOMA ALTA COMMONS LLC</t>
  </si>
  <si>
    <t xml:space="preserve">R0091298</t>
  </si>
  <si>
    <t xml:space="preserve">6171  OLIVE ST</t>
  </si>
  <si>
    <t xml:space="preserve">R-2-Com</t>
  </si>
  <si>
    <t xml:space="preserve">0182308114018</t>
  </si>
  <si>
    <t xml:space="preserve">2023000025227</t>
  </si>
  <si>
    <t xml:space="preserve">DANKO-HOLLOWAY LLC</t>
  </si>
  <si>
    <t xml:space="preserve">SALGADO RETANA MOISES AND, SALGADO RETANA MIRIAM</t>
  </si>
  <si>
    <t xml:space="preserve">R0165147</t>
  </si>
  <si>
    <t xml:space="preserve">4455 W 58TH AVE B </t>
  </si>
  <si>
    <t xml:space="preserve">0182507305007</t>
  </si>
  <si>
    <t xml:space="preserve">2023000025629</t>
  </si>
  <si>
    <t xml:space="preserve">WA WOOD SHOP LLC</t>
  </si>
  <si>
    <t xml:space="preserve">MDSK HOLDINGS LLC</t>
  </si>
  <si>
    <t xml:space="preserve">R0165148</t>
  </si>
  <si>
    <t xml:space="preserve">4455 W 58TH AVE C</t>
  </si>
  <si>
    <t xml:space="preserve">0182507305008</t>
  </si>
  <si>
    <t xml:space="preserve">R0202445</t>
  </si>
  <si>
    <t xml:space="preserve">1210 E 73RD AVE</t>
  </si>
  <si>
    <t xml:space="preserve">0171935303028</t>
  </si>
  <si>
    <t xml:space="preserve">2023000026193</t>
  </si>
  <si>
    <t xml:space="preserve">CENTRAL CONNECTION LLC</t>
  </si>
  <si>
    <t xml:space="preserve">GFP CL DENVER 1210 + 1550 LLC AND, C/O EVERWEST ADVISORS LLC</t>
  </si>
  <si>
    <t xml:space="preserve">R0201981</t>
  </si>
  <si>
    <t xml:space="preserve">1550 E 73RD AVE</t>
  </si>
  <si>
    <t xml:space="preserve">0171935304011</t>
  </si>
  <si>
    <t xml:space="preserve">R0099664</t>
  </si>
  <si>
    <t xml:space="preserve">6990  FEDERAL BLVD</t>
  </si>
  <si>
    <t xml:space="preserve">0182505100021</t>
  </si>
  <si>
    <t xml:space="preserve">2023000027381</t>
  </si>
  <si>
    <t xml:space="preserve">6990 FEDERAL BLVD LLC</t>
  </si>
  <si>
    <t xml:space="preserve">DENVER FOOD &amp; GAS LLC</t>
  </si>
  <si>
    <t xml:space="preserve">R0037745</t>
  </si>
  <si>
    <t xml:space="preserve">11155  IRMA DR  </t>
  </si>
  <si>
    <t xml:space="preserve">0171911103015</t>
  </si>
  <si>
    <t xml:space="preserve">2023000035174</t>
  </si>
  <si>
    <t xml:space="preserve">BLANCO PROPERTIES IRMA LLC</t>
  </si>
  <si>
    <t xml:space="preserve">METROPOLITAN DENVER NORTH ISLAMIC CENTER</t>
  </si>
  <si>
    <t xml:space="preserve">R0040835</t>
  </si>
  <si>
    <t xml:space="preserve">1400 E 104TH AVE </t>
  </si>
  <si>
    <t xml:space="preserve">0171914203002</t>
  </si>
  <si>
    <t xml:space="preserve">2023000037173</t>
  </si>
  <si>
    <t xml:space="preserve">SERITAGE KMT FINANCE LLC</t>
  </si>
  <si>
    <t xml:space="preserve">COLORADO RETAIL STORES LLC</t>
  </si>
  <si>
    <t xml:space="preserve">R0217191</t>
  </si>
  <si>
    <t xml:space="preserve">9201  FEDERAL BLVD </t>
  </si>
  <si>
    <t xml:space="preserve">0171920218050</t>
  </si>
  <si>
    <t xml:space="preserve">2023000037451</t>
  </si>
  <si>
    <t xml:space="preserve">QCSIF SIX LLC, C/O IEQ MANAGEMENT INC</t>
  </si>
  <si>
    <t xml:space="preserve">9201 FEDERAL LLC</t>
  </si>
  <si>
    <t xml:space="preserve">R0110788</t>
  </si>
  <si>
    <t xml:space="preserve">5333 E 58TH AVE  </t>
  </si>
  <si>
    <t xml:space="preserve">0182307404007</t>
  </si>
  <si>
    <t xml:space="preserve">2023000038155</t>
  </si>
  <si>
    <t xml:space="preserve">OVERLAND LEASING LLC</t>
  </si>
  <si>
    <t xml:space="preserve">OLD DOMINION FREIGHT LINE INC</t>
  </si>
  <si>
    <t xml:space="preserve">R0094487</t>
  </si>
  <si>
    <t xml:space="preserve">9655 E 25TH AVE 108 </t>
  </si>
  <si>
    <t xml:space="preserve">0182334201031</t>
  </si>
  <si>
    <t xml:space="preserve">2023000043597</t>
  </si>
  <si>
    <t xml:space="preserve">JOYCE JOHN</t>
  </si>
  <si>
    <t xml:space="preserve">KURTEX INC</t>
  </si>
  <si>
    <t xml:space="preserve">R0094488</t>
  </si>
  <si>
    <t xml:space="preserve">9655 E 25TH AVE 109</t>
  </si>
  <si>
    <t xml:space="preserve">0182334201032</t>
  </si>
  <si>
    <t xml:space="preserve">R0221601</t>
  </si>
  <si>
    <t xml:space="preserve">11455  HURON ST </t>
  </si>
  <si>
    <t xml:space="preserve">0171904408004</t>
  </si>
  <si>
    <t xml:space="preserve">2023000047095</t>
  </si>
  <si>
    <t xml:space="preserve">TRI-STATE GENERATION AND, TRANSMISSION ASSOCIATION INC</t>
  </si>
  <si>
    <t xml:space="preserve">ACADIA - SCL HEALTH JV LLC, C/O ACADIA HEALTHCARAE COMPANY INC</t>
  </si>
  <si>
    <t xml:space="preserve">R0079773</t>
  </si>
  <si>
    <t xml:space="preserve">7390  HIGHWAY 2 </t>
  </si>
  <si>
    <t xml:space="preserve">PUD-Com</t>
  </si>
  <si>
    <t xml:space="preserve">0172132415006</t>
  </si>
  <si>
    <t xml:space="preserve">2023000047762</t>
  </si>
  <si>
    <t xml:space="preserve">VANDEWEGHE BEVERLY LIVING TRUST THE</t>
  </si>
  <si>
    <t xml:space="preserve">MUNOZ ROGELIO AND, MUNOZ ALICIA</t>
  </si>
  <si>
    <t xml:space="preserve">R0179853</t>
  </si>
  <si>
    <t xml:space="preserve">11885  BRADBURN BLVD</t>
  </si>
  <si>
    <t xml:space="preserve">0171906107040</t>
  </si>
  <si>
    <t xml:space="preserve">2023000052717</t>
  </si>
  <si>
    <t xml:space="preserve">EXPLORER BRADBURN PROPERTY LLC</t>
  </si>
  <si>
    <t xml:space="preserve">MANIHANI MOHINDER AND, SINGH RAVINDER</t>
  </si>
  <si>
    <t xml:space="preserve">R0003476</t>
  </si>
  <si>
    <t xml:space="preserve">716  BRIDGE ST </t>
  </si>
  <si>
    <t xml:space="preserve">0156907104020</t>
  </si>
  <si>
    <t xml:space="preserve">2023000052960</t>
  </si>
  <si>
    <t xml:space="preserve">GDG LLC</t>
  </si>
  <si>
    <t xml:space="preserve">ATA BRIDGE HOLDINGS LLC</t>
  </si>
  <si>
    <t xml:space="preserve">R0097753</t>
  </si>
  <si>
    <t xml:space="preserve">1597  PEORIA ST</t>
  </si>
  <si>
    <t xml:space="preserve">FBA</t>
  </si>
  <si>
    <t xml:space="preserve">0182335429007</t>
  </si>
  <si>
    <t xml:space="preserve">2023000052985</t>
  </si>
  <si>
    <t xml:space="preserve">KH CARWASH LLC</t>
  </si>
  <si>
    <t xml:space="preserve">YATES ENTERPRISES LLC</t>
  </si>
  <si>
    <t xml:space="preserve">R0165226</t>
  </si>
  <si>
    <t xml:space="preserve">10319  TOWER RD </t>
  </si>
  <si>
    <t xml:space="preserve">0172316121009</t>
  </si>
  <si>
    <t xml:space="preserve">2023000053054</t>
  </si>
  <si>
    <t xml:space="preserve">HG FIRST VENTURE LLC</t>
  </si>
  <si>
    <t xml:space="preserve">HANLON BUSH INVESTMENTS LLC, C/O TONY HANLON</t>
  </si>
  <si>
    <t xml:space="preserve">R0092272</t>
  </si>
  <si>
    <t xml:space="preserve">7101 E 54TH PL  </t>
  </si>
  <si>
    <t xml:space="preserve">0182317101017</t>
  </si>
  <si>
    <t xml:space="preserve">2023000058214</t>
  </si>
  <si>
    <t xml:space="preserve">DETRO NADINE L</t>
  </si>
  <si>
    <t xml:space="preserve">MHA INVESTMENTS LLC</t>
  </si>
  <si>
    <t xml:space="preserve">R0092271</t>
  </si>
  <si>
    <t xml:space="preserve">7101 E 54TH PL </t>
  </si>
  <si>
    <t xml:space="preserve">0182317101016</t>
  </si>
  <si>
    <t xml:space="preserve">R0152780</t>
  </si>
  <si>
    <t xml:space="preserve">3640 W 112TH AVE  </t>
  </si>
  <si>
    <t xml:space="preserve">0171907129018</t>
  </si>
  <si>
    <t xml:space="preserve">2023000061784</t>
  </si>
  <si>
    <t xml:space="preserve">ETS FAMILY HOLDINGS LLC</t>
  </si>
  <si>
    <t xml:space="preserve">3640 LLC</t>
  </si>
  <si>
    <t xml:space="preserve">R0090205</t>
  </si>
  <si>
    <t xml:space="preserve">6655  BRIGHTON RD  </t>
  </si>
  <si>
    <t xml:space="preserve">0182306301037</t>
  </si>
  <si>
    <t xml:space="preserve">2023000062260</t>
  </si>
  <si>
    <t xml:space="preserve">2 US 4VR LLC</t>
  </si>
  <si>
    <t xml:space="preserve">AAA PROPERTY</t>
  </si>
  <si>
    <t xml:space="preserve">R0090207</t>
  </si>
  <si>
    <t xml:space="preserve">6671  BRIGHTON BLVD  </t>
  </si>
  <si>
    <t xml:space="preserve">0182306301042</t>
  </si>
  <si>
    <t xml:space="preserve">R0103294</t>
  </si>
  <si>
    <t xml:space="preserve">911 W 62ND AVE</t>
  </si>
  <si>
    <t xml:space="preserve">0182509100034</t>
  </si>
  <si>
    <t xml:space="preserve">2023000065221</t>
  </si>
  <si>
    <t xml:space="preserve">909W62AVE LLC</t>
  </si>
  <si>
    <t xml:space="preserve">REGON2 LLC</t>
  </si>
  <si>
    <t xml:space="preserve">R0077757</t>
  </si>
  <si>
    <t xml:space="preserve">7630  DAHLIA ST  </t>
  </si>
  <si>
    <t xml:space="preserve">0172131106001</t>
  </si>
  <si>
    <t xml:space="preserve">2023000066282</t>
  </si>
  <si>
    <t xml:space="preserve">FORTENBERRY INVESTMENT CO LLP</t>
  </si>
  <si>
    <t xml:space="preserve">HILLEN HOLDINGS LLC</t>
  </si>
  <si>
    <t xml:space="preserve">R0187315</t>
  </si>
  <si>
    <t xml:space="preserve">868 E 78TH AVE</t>
  </si>
  <si>
    <t xml:space="preserve">0171935233026</t>
  </si>
  <si>
    <t xml:space="preserve">2023000071142</t>
  </si>
  <si>
    <t xml:space="preserve">TRANSIT MANAGEMENT LLC</t>
  </si>
  <si>
    <t xml:space="preserve">BRODIGAN PROPERTIES LLC</t>
  </si>
  <si>
    <t xml:space="preserve">R0187314</t>
  </si>
  <si>
    <t xml:space="preserve">866 E 78TH AVE</t>
  </si>
  <si>
    <t xml:space="preserve">0171935233025</t>
  </si>
  <si>
    <t xml:space="preserve">R0187316</t>
  </si>
  <si>
    <t xml:space="preserve">882 E 78TH AVE</t>
  </si>
  <si>
    <t xml:space="preserve">0171935233027</t>
  </si>
  <si>
    <t xml:space="preserve">R0167015</t>
  </si>
  <si>
    <t xml:space="preserve">6271  BEACH ST A</t>
  </si>
  <si>
    <t xml:space="preserve">0182508105019</t>
  </si>
  <si>
    <t xml:space="preserve">2024000002493</t>
  </si>
  <si>
    <t xml:space="preserve">SDM REALTY GROUP LLC</t>
  </si>
  <si>
    <t xml:space="preserve">A&amp;G HOLDINGS LTD</t>
  </si>
  <si>
    <t xml:space="preserve">R0167016</t>
  </si>
  <si>
    <t xml:space="preserve">6271  BEACH ST B</t>
  </si>
  <si>
    <t xml:space="preserve">0182508105018</t>
  </si>
  <si>
    <t xml:space="preserve">R0084307</t>
  </si>
  <si>
    <t xml:space="preserve">13903  SMITH DR </t>
  </si>
  <si>
    <t xml:space="preserve">0182130013006</t>
  </si>
  <si>
    <t xml:space="preserve">2024000003121</t>
  </si>
  <si>
    <t xml:space="preserve">CROCKET RICHARD E</t>
  </si>
  <si>
    <t xml:space="preserve">PATRIOT HOLDINGS SMITH DRIVE LLC</t>
  </si>
  <si>
    <t xml:space="preserve">R0103521</t>
  </si>
  <si>
    <t xml:space="preserve">5925  BROADWAY ST</t>
  </si>
  <si>
    <t xml:space="preserve">0182510301032</t>
  </si>
  <si>
    <t xml:space="preserve">2024000005550</t>
  </si>
  <si>
    <t xml:space="preserve">WSM INDUSTRIES INC</t>
  </si>
  <si>
    <t xml:space="preserve">WSM REAL ESTATE INVESTMENTS LLC</t>
  </si>
  <si>
    <t xml:space="preserve">R0159463</t>
  </si>
  <si>
    <t xml:space="preserve">12001 E 33RD AVE E</t>
  </si>
  <si>
    <t xml:space="preserve">0182326103027</t>
  </si>
  <si>
    <t xml:space="preserve">2024000005872</t>
  </si>
  <si>
    <t xml:space="preserve">33RD AVENUE LLC</t>
  </si>
  <si>
    <t xml:space="preserve">R0159464</t>
  </si>
  <si>
    <t xml:space="preserve">12001 E 33RD AVE F </t>
  </si>
  <si>
    <t xml:space="preserve">0182326103028</t>
  </si>
  <si>
    <t xml:space="preserve">R0001913</t>
  </si>
  <si>
    <t xml:space="preserve">1205 E BRIDGE ST </t>
  </si>
  <si>
    <t xml:space="preserve">0156905300016</t>
  </si>
  <si>
    <t xml:space="preserve">2024000006251</t>
  </si>
  <si>
    <t xml:space="preserve">M-J PERRI CO</t>
  </si>
  <si>
    <t xml:space="preserve">1201 E BRIDGE STREET LLC</t>
  </si>
  <si>
    <t xml:space="preserve">R0077960</t>
  </si>
  <si>
    <t xml:space="preserve">5055 E 72ND AVE  </t>
  </si>
  <si>
    <t xml:space="preserve">0172131402004</t>
  </si>
  <si>
    <t xml:space="preserve">2024000008744</t>
  </si>
  <si>
    <t xml:space="preserve">4 RIVERS PROPERTIES COMMERCE CITY I LLC</t>
  </si>
  <si>
    <t xml:space="preserve">R0151801</t>
  </si>
  <si>
    <t xml:space="preserve">6811  BROADWAY ST</t>
  </si>
  <si>
    <t xml:space="preserve">0182503218032</t>
  </si>
  <si>
    <t xml:space="preserve">2024000009756</t>
  </si>
  <si>
    <t xml:space="preserve">BROADWAYS LLC</t>
  </si>
  <si>
    <t xml:space="preserve">DENVER FIRE PROTECTION LLC</t>
  </si>
  <si>
    <t xml:space="preserve">R0151802</t>
  </si>
  <si>
    <t xml:space="preserve">6815  BROADWAY ST</t>
  </si>
  <si>
    <t xml:space="preserve">0182503218031</t>
  </si>
  <si>
    <t xml:space="preserve">R0037115</t>
  </si>
  <si>
    <t xml:space="preserve">11184  HURON ST 15 </t>
  </si>
  <si>
    <t xml:space="preserve">0171910217015</t>
  </si>
  <si>
    <t xml:space="preserve">2024000019860</t>
  </si>
  <si>
    <t xml:space="preserve">MBD ENTERPRISES LLC</t>
  </si>
  <si>
    <t xml:space="preserve">R0037114</t>
  </si>
  <si>
    <t xml:space="preserve">11184  HURON ST 14 </t>
  </si>
  <si>
    <t xml:space="preserve">0171910217014</t>
  </si>
  <si>
    <t xml:space="preserve">R0058384</t>
  </si>
  <si>
    <t xml:space="preserve">461 W 84TH AVE</t>
  </si>
  <si>
    <t xml:space="preserve">0171927214005</t>
  </si>
  <si>
    <t xml:space="preserve">2024000022581</t>
  </si>
  <si>
    <t xml:space="preserve">DSE LLC</t>
  </si>
  <si>
    <t xml:space="preserve">431 LLC</t>
  </si>
  <si>
    <t xml:space="preserve">R0134436</t>
  </si>
  <si>
    <t xml:space="preserve">5901  YORK ST</t>
  </si>
  <si>
    <t xml:space="preserve">0182511403004</t>
  </si>
  <si>
    <t xml:space="preserve">2024000023443</t>
  </si>
  <si>
    <t xml:space="preserve">BURNCO COLORADO LLC, C/O PROPERTY TAX DEPT</t>
  </si>
  <si>
    <t xml:space="preserve">TRICYCLE LANE TEXAS LLC</t>
  </si>
  <si>
    <t xml:space="preserve">R0079701</t>
  </si>
  <si>
    <t xml:space="preserve">7576  HIGHWAY 2   </t>
  </si>
  <si>
    <t xml:space="preserve">0172132410002</t>
  </si>
  <si>
    <t xml:space="preserve">2024000024474</t>
  </si>
  <si>
    <t xml:space="preserve">BONNIE K LISLE ROTH IRA</t>
  </si>
  <si>
    <t xml:space="preserve">VJRE HOLDINGS LLC</t>
  </si>
  <si>
    <t xml:space="preserve">R0161514</t>
  </si>
  <si>
    <t xml:space="preserve">18245 E 40TH AVE  </t>
  </si>
  <si>
    <t xml:space="preserve">0182121402001</t>
  </si>
  <si>
    <t xml:space="preserve">2024000026538</t>
  </si>
  <si>
    <t xml:space="preserve">40TH STREET PARTNERS LLC FKA MUHLENBERG INVESTMENT LLC</t>
  </si>
  <si>
    <t xml:space="preserve">18245 40TH OWNER LLC</t>
  </si>
  <si>
    <t xml:space="preserve">R0169033</t>
  </si>
  <si>
    <t xml:space="preserve">9790  WASHINGTON ST  </t>
  </si>
  <si>
    <t xml:space="preserve">0171914318070</t>
  </si>
  <si>
    <t xml:space="preserve">2024000027827</t>
  </si>
  <si>
    <t xml:space="preserve">PHANTOM IV PARTNERS LLC</t>
  </si>
  <si>
    <t xml:space="preserve">CRESTLINE INVESTMENT GROUP LLC</t>
  </si>
  <si>
    <t xml:space="preserve">R0213618</t>
  </si>
  <si>
    <t xml:space="preserve">9940  HAVANA ST  </t>
  </si>
  <si>
    <t xml:space="preserve">0172114309001</t>
  </si>
  <si>
    <t xml:space="preserve">2024000027885</t>
  </si>
  <si>
    <t xml:space="preserve">SCANNELL PROPERTIES #534 LLC</t>
  </si>
  <si>
    <t xml:space="preserve">BEL COMMERCE LLC, C/O MORGAN STANLEY</t>
  </si>
  <si>
    <t xml:space="preserve">R0219436</t>
  </si>
  <si>
    <t xml:space="preserve">2323 W 72ND AVE</t>
  </si>
  <si>
    <t xml:space="preserve">0171933323001</t>
  </si>
  <si>
    <t xml:space="preserve">2024000031010</t>
  </si>
  <si>
    <t xml:space="preserve">METRO DENVER RENTAL MANAGEMENT LLC</t>
  </si>
  <si>
    <t xml:space="preserve">JM COLORADO PROPERTIES LLC</t>
  </si>
  <si>
    <t xml:space="preserve">R0178251</t>
  </si>
  <si>
    <t xml:space="preserve">2400 W 104TH AVE  </t>
  </si>
  <si>
    <t xml:space="preserve">0171917100040</t>
  </si>
  <si>
    <t xml:space="preserve">2024000031386</t>
  </si>
  <si>
    <t xml:space="preserve">LHM DNI LLC</t>
  </si>
  <si>
    <t xml:space="preserve">DRAWE HOLDINGS LLC</t>
  </si>
  <si>
    <t xml:space="preserve">R0108277</t>
  </si>
  <si>
    <t xml:space="preserve">9051  I-76</t>
  </si>
  <si>
    <t xml:space="preserve">0172120011003</t>
  </si>
  <si>
    <t xml:space="preserve">2024000031967</t>
  </si>
  <si>
    <t xml:space="preserve">KONG &amp; QUY PROPERTY LLC</t>
  </si>
  <si>
    <t xml:space="preserve">SUNMAN TWO LLC</t>
  </si>
  <si>
    <t xml:space="preserve">R0160828</t>
  </si>
  <si>
    <t xml:space="preserve">4711 W 58TH AVE  </t>
  </si>
  <si>
    <t xml:space="preserve">I-2-Arv</t>
  </si>
  <si>
    <t xml:space="preserve">0182507302004</t>
  </si>
  <si>
    <t xml:space="preserve">2024000035779</t>
  </si>
  <si>
    <t xml:space="preserve">INDUSTRIAL CHEMICALS, CORPORATION</t>
  </si>
  <si>
    <t xml:space="preserve">BRENNTAG PACIFIC INC, C/O BRENNTAG NORTH AMERICA INC</t>
  </si>
  <si>
    <t xml:space="preserve">R0160827</t>
  </si>
  <si>
    <t xml:space="preserve">4631 W 58TH AVE </t>
  </si>
  <si>
    <t xml:space="preserve">0182507302003</t>
  </si>
  <si>
    <t xml:space="preserve">2024000035787</t>
  </si>
  <si>
    <t xml:space="preserve">BIESEMEIER INDUSTRIAL PARK, INC</t>
  </si>
  <si>
    <t xml:space="preserve">R0222678</t>
  </si>
  <si>
    <t xml:space="preserve">37851 E 51ST AVE #E6</t>
  </si>
  <si>
    <t xml:space="preserve">0181715300036</t>
  </si>
  <si>
    <t xml:space="preserve">2024000022645</t>
  </si>
  <si>
    <t xml:space="preserve">CRAIG RD LLC</t>
  </si>
  <si>
    <t xml:space="preserve">R0079887</t>
  </si>
  <si>
    <t xml:space="preserve">7250  MONACO ST</t>
  </si>
  <si>
    <t xml:space="preserve">0172132421013</t>
  </si>
  <si>
    <t xml:space="preserve">2018000089106</t>
  </si>
  <si>
    <t xml:space="preserve">HOME ADDENDA LLC</t>
  </si>
  <si>
    <t xml:space="preserve">ML-2 LLC</t>
  </si>
  <si>
    <t xml:space="preserve">R0092849</t>
  </si>
  <si>
    <t xml:space="preserve">5200  COLORADO BLVD</t>
  </si>
  <si>
    <t xml:space="preserve">0182318200023</t>
  </si>
  <si>
    <t xml:space="preserve">2018000071026</t>
  </si>
  <si>
    <t xml:space="preserve">MC CREA CORA BELLE TRUST</t>
  </si>
  <si>
    <t xml:space="preserve">SEG LLC</t>
  </si>
  <si>
    <t xml:space="preserve">R0097858</t>
  </si>
  <si>
    <t xml:space="preserve">3700 E 68TH AVE</t>
  </si>
  <si>
    <t xml:space="preserve">0182501103001</t>
  </si>
  <si>
    <t xml:space="preserve">2019000064393</t>
  </si>
  <si>
    <t xml:space="preserve">SPRING CREEK PARTNERSHIP LTD UND 85%  , AND SMITH GARY D/LINDA B UND 15% INT </t>
  </si>
  <si>
    <t xml:space="preserve">INDUSTRIAL CONSTRUCTORS PROPERRTIES LLC</t>
  </si>
  <si>
    <t xml:space="preserve">R0099989</t>
  </si>
  <si>
    <t xml:space="preserve">7140  HOOKER ST</t>
  </si>
  <si>
    <t xml:space="preserve">0182505201035</t>
  </si>
  <si>
    <t xml:space="preserve">2021000102768</t>
  </si>
  <si>
    <t xml:space="preserve">TRAUPE RUTH</t>
  </si>
  <si>
    <t xml:space="preserve">EISENSTEIN MICHAEL</t>
  </si>
  <si>
    <t xml:space="preserve">R0003782</t>
  </si>
  <si>
    <t xml:space="preserve">481 S 8TH AVE</t>
  </si>
  <si>
    <t xml:space="preserve">0156907127006</t>
  </si>
  <si>
    <t xml:space="preserve">2022000034761</t>
  </si>
  <si>
    <t xml:space="preserve">MARTIN PHYLLIS M</t>
  </si>
  <si>
    <t xml:space="preserve">481 S 8TH AVE BRIGHTON LLC</t>
  </si>
  <si>
    <t xml:space="preserve">R0069032</t>
  </si>
  <si>
    <t xml:space="preserve">7535  HILLTOP CIR</t>
  </si>
  <si>
    <t xml:space="preserve">0171933413012</t>
  </si>
  <si>
    <t xml:space="preserve">2020000045368</t>
  </si>
  <si>
    <t xml:space="preserve">CHANNEN COMPANIES LLC</t>
  </si>
  <si>
    <t xml:space="preserve">WASH SQUARE 121 LLC</t>
  </si>
  <si>
    <t xml:space="preserve">7205  MEADE ST</t>
  </si>
  <si>
    <t xml:space="preserve">2019000087174</t>
  </si>
  <si>
    <t xml:space="preserve">WANG TONGCHEN</t>
  </si>
  <si>
    <t xml:space="preserve">R0077392</t>
  </si>
  <si>
    <t xml:space="preserve">8461  BRIGHTON RD</t>
  </si>
  <si>
    <t xml:space="preserve">0172129200026</t>
  </si>
  <si>
    <t xml:space="preserve">2018000006104</t>
  </si>
  <si>
    <t xml:space="preserve">LUNNON STEPHEN</t>
  </si>
  <si>
    <t xml:space="preserve">BRIGHTON INVESTMENTS LLC</t>
  </si>
  <si>
    <t xml:space="preserve">7576  HIGHWAY 2 </t>
  </si>
  <si>
    <t xml:space="preserve">2022000017336</t>
  </si>
  <si>
    <t xml:space="preserve">MAGNOLIA ENTERPRISES LLC</t>
  </si>
  <si>
    <t xml:space="preserve">R0079858</t>
  </si>
  <si>
    <t xml:space="preserve">7290  MAGNOLIA ST</t>
  </si>
  <si>
    <t xml:space="preserve">0172132420002</t>
  </si>
  <si>
    <t xml:space="preserve">2022000011068</t>
  </si>
  <si>
    <t xml:space="preserve">SOTO IRENE PANDO AND , ISAIS SALVADOR</t>
  </si>
  <si>
    <t xml:space="preserve">R0059360</t>
  </si>
  <si>
    <t xml:space="preserve">1551  MILKY WAY</t>
  </si>
  <si>
    <t xml:space="preserve">0171928106002</t>
  </si>
  <si>
    <t xml:space="preserve">2020000087823</t>
  </si>
  <si>
    <t xml:space="preserve">WRIGHT FAMILY 2009 IRREVOCABLE TRUST THE</t>
  </si>
  <si>
    <t xml:space="preserve">1551 MILKY WAY LLC</t>
  </si>
  <si>
    <t xml:space="preserve">R0070997</t>
  </si>
  <si>
    <t xml:space="preserve">909 E 75TH AVE</t>
  </si>
  <si>
    <t xml:space="preserve">0171935301023</t>
  </si>
  <si>
    <t xml:space="preserve">2019000020504</t>
  </si>
  <si>
    <t xml:space="preserve">909 E 75TH LLC</t>
  </si>
  <si>
    <t xml:space="preserve">LEE DONALD C AND, LONG STEPHANIE M</t>
  </si>
  <si>
    <t xml:space="preserve">R0103701</t>
  </si>
  <si>
    <t xml:space="preserve">5700  WASHINGTON ST</t>
  </si>
  <si>
    <t xml:space="preserve">0182511300064</t>
  </si>
  <si>
    <t xml:space="preserve">2021000111243</t>
  </si>
  <si>
    <t xml:space="preserve">BATS INVESTMENTS LLC</t>
  </si>
  <si>
    <t xml:space="preserve">W &amp; J INVESTMENTS LLC</t>
  </si>
  <si>
    <t xml:space="preserve">11155  IRMA DR</t>
  </si>
  <si>
    <t xml:space="preserve">Northglenn</t>
  </si>
  <si>
    <t xml:space="preserve">2018000026473</t>
  </si>
  <si>
    <t xml:space="preserve">ZAYAC PROPERTIES IRMA LLLP, C/O PROCLEAN AUTO WASH</t>
  </si>
  <si>
    <t xml:space="preserve">R0110352</t>
  </si>
  <si>
    <t xml:space="preserve">12141 PENNSYLVANIA ST</t>
  </si>
  <si>
    <t xml:space="preserve">0157334010019</t>
  </si>
  <si>
    <t xml:space="preserve">2022000046653</t>
  </si>
  <si>
    <t xml:space="preserve">12141 PENNSYLVANIA LLC</t>
  </si>
  <si>
    <t xml:space="preserve">SDNS INC</t>
  </si>
  <si>
    <t xml:space="preserve">851 E 71ST AVE #A3</t>
  </si>
  <si>
    <t xml:space="preserve">2018000012737</t>
  </si>
  <si>
    <t xml:space="preserve">BALES BOHR 851 A4 LLC</t>
  </si>
  <si>
    <t xml:space="preserve">851 E HWY 224 LLC</t>
  </si>
  <si>
    <t xml:space="preserve">852 E 71ST AVE #A3</t>
  </si>
  <si>
    <t xml:space="preserve">2021000032505</t>
  </si>
  <si>
    <t xml:space="preserve">KIM DANIEL</t>
  </si>
  <si>
    <t xml:space="preserve">R0003907</t>
  </si>
  <si>
    <t xml:space="preserve">175 S MAIN ST</t>
  </si>
  <si>
    <t xml:space="preserve">0156907207010</t>
  </si>
  <si>
    <t xml:space="preserve">2022000033064</t>
  </si>
  <si>
    <t xml:space="preserve">PNJ INVESTMENTS LLC</t>
  </si>
  <si>
    <t xml:space="preserve">CHAVEZ DAVID AND , CHAVEZ PAMELA</t>
  </si>
  <si>
    <t xml:space="preserve">R0059555</t>
  </si>
  <si>
    <t xml:space="preserve">2235 W 84TH AVE</t>
  </si>
  <si>
    <t xml:space="preserve">Residential</t>
  </si>
  <si>
    <t xml:space="preserve">0171928201008</t>
  </si>
  <si>
    <t xml:space="preserve">2019000071392</t>
  </si>
  <si>
    <t xml:space="preserve">WAFCO LTD</t>
  </si>
  <si>
    <t xml:space="preserve">KUKU LLC</t>
  </si>
  <si>
    <t xml:space="preserve">R0075329</t>
  </si>
  <si>
    <t xml:space="preserve">9685  BRIGHTON RD</t>
  </si>
  <si>
    <t xml:space="preserve">0172116000022</t>
  </si>
  <si>
    <t xml:space="preserve">2019000032873</t>
  </si>
  <si>
    <t xml:space="preserve">BURR JOANN L AND, GULLION CAROLYN KAY LIVING TRUST</t>
  </si>
  <si>
    <t xml:space="preserve">9685 BRIGHTON LLC</t>
  </si>
  <si>
    <t xml:space="preserve">R0002808</t>
  </si>
  <si>
    <t xml:space="preserve">123 N MAIN ST</t>
  </si>
  <si>
    <t xml:space="preserve">0156906311007</t>
  </si>
  <si>
    <t xml:space="preserve">2021000002489</t>
  </si>
  <si>
    <t xml:space="preserve">HERR FAMILY LLC</t>
  </si>
  <si>
    <t xml:space="preserve">123 N MAIN LLC</t>
  </si>
  <si>
    <t xml:space="preserve">R0050977</t>
  </si>
  <si>
    <t xml:space="preserve">9351  GRANT ST</t>
  </si>
  <si>
    <t xml:space="preserve">Thornton</t>
  </si>
  <si>
    <t xml:space="preserve">0171922102003</t>
  </si>
  <si>
    <t xml:space="preserve">2018000028658</t>
  </si>
  <si>
    <t xml:space="preserve">HORIZON TERRACE PACIFIC LTD</t>
  </si>
  <si>
    <t xml:space="preserve">1641 CALIFORNIA LLC</t>
  </si>
  <si>
    <t xml:space="preserve">R0002810</t>
  </si>
  <si>
    <t xml:space="preserve">119 N MAIN ST</t>
  </si>
  <si>
    <t xml:space="preserve">0156906311009</t>
  </si>
  <si>
    <t xml:space="preserve">2020000020537</t>
  </si>
  <si>
    <t xml:space="preserve">DYCO HOLDINGS LLC</t>
  </si>
  <si>
    <t xml:space="preserve">JOINT VENTURES LLC</t>
  </si>
  <si>
    <t xml:space="preserve">1181  BRIDGE ST</t>
  </si>
  <si>
    <t xml:space="preserve">2019000049917</t>
  </si>
  <si>
    <t xml:space="preserve">RAICHLE INTERESTS LLC</t>
  </si>
  <si>
    <t xml:space="preserve">R0037128</t>
  </si>
  <si>
    <t xml:space="preserve">11166 HURON ST #28</t>
  </si>
  <si>
    <t xml:space="preserve">0171910217028</t>
  </si>
  <si>
    <t xml:space="preserve">2019000067076</t>
  </si>
  <si>
    <t xml:space="preserve">MARTIN MICHAEL T AND, MARTIN BETH E</t>
  </si>
  <si>
    <t xml:space="preserve">CHUONG KELLY</t>
  </si>
  <si>
    <t xml:space="preserve">R0037129</t>
  </si>
  <si>
    <t xml:space="preserve">11166 HURON ST #29</t>
  </si>
  <si>
    <t xml:space="preserve">0171910217029</t>
  </si>
  <si>
    <t xml:space="preserve">2021000144383</t>
  </si>
  <si>
    <t xml:space="preserve">BELLA IN YOU DAY SPA</t>
  </si>
  <si>
    <t xml:space="preserve">R0095208</t>
  </si>
  <si>
    <t xml:space="preserve">10190  MONTVIEW BLVD</t>
  </si>
  <si>
    <t xml:space="preserve">0182334404020</t>
  </si>
  <si>
    <t xml:space="preserve">2022000057389</t>
  </si>
  <si>
    <t xml:space="preserve">ONUOHA FRANCISCA I</t>
  </si>
  <si>
    <t xml:space="preserve">MILE HIGH COUNCIL ON ALCOHOLISM AND DRUG ABUSE</t>
  </si>
  <si>
    <t xml:space="preserve">R0100831</t>
  </si>
  <si>
    <t xml:space="preserve">3698 W 72ND AVE</t>
  </si>
  <si>
    <t xml:space="preserve">0182506100012</t>
  </si>
  <si>
    <t xml:space="preserve">2021000069334</t>
  </si>
  <si>
    <t xml:space="preserve">ANDERSON SHYRLEE F</t>
  </si>
  <si>
    <t xml:space="preserve">RELAY HILL C LLC</t>
  </si>
  <si>
    <t xml:space="preserve">R0100901</t>
  </si>
  <si>
    <t xml:space="preserve">7155  NEWTON ST</t>
  </si>
  <si>
    <t xml:space="preserve">Westminster</t>
  </si>
  <si>
    <t xml:space="preserve">0182506108003</t>
  </si>
  <si>
    <t xml:space="preserve">2018000040742</t>
  </si>
  <si>
    <t xml:space="preserve">MEYER ROBERT CARL JR LIVING TRUST 50% , MEYER ROBIN LEE LIVING TRUST 50% INT</t>
  </si>
  <si>
    <t xml:space="preserve">RMER PROPERTIES LLC</t>
  </si>
  <si>
    <t xml:space="preserve">R0113852</t>
  </si>
  <si>
    <t xml:space="preserve">70 S 20TH AVE</t>
  </si>
  <si>
    <t xml:space="preserve">0156908120007</t>
  </si>
  <si>
    <t xml:space="preserve">2022000013254</t>
  </si>
  <si>
    <t xml:space="preserve">JOHNSON WARREN T.</t>
  </si>
  <si>
    <t xml:space="preserve">BUNGALOW VENTURES LLC</t>
  </si>
  <si>
    <t xml:space="preserve">R0119529</t>
  </si>
  <si>
    <t xml:space="preserve">4950 E 56TH AVE</t>
  </si>
  <si>
    <t xml:space="preserve">Commerce City</t>
  </si>
  <si>
    <t xml:space="preserve">0182318100096</t>
  </si>
  <si>
    <t xml:space="preserve">2019000053682</t>
  </si>
  <si>
    <t xml:space="preserve">TITCO LLC</t>
  </si>
  <si>
    <t xml:space="preserve">4950 E 56TH AVE LLC</t>
  </si>
  <si>
    <t xml:space="preserve">R0025233</t>
  </si>
  <si>
    <t xml:space="preserve">12590 N 1ST ST</t>
  </si>
  <si>
    <t xml:space="preserve">Eastlake Services</t>
  </si>
  <si>
    <t xml:space="preserve">0157335103020</t>
  </si>
  <si>
    <t xml:space="preserve">2022000058314</t>
  </si>
  <si>
    <t xml:space="preserve">CHAMBERLAIN MARK A AND TAMMY D</t>
  </si>
  <si>
    <t xml:space="preserve">A&amp;C AUTOWORKS INC</t>
  </si>
  <si>
    <t xml:space="preserve">R0059106</t>
  </si>
  <si>
    <t xml:space="preserve">680 E 84TH AVE</t>
  </si>
  <si>
    <t xml:space="preserve">0171927418001</t>
  </si>
  <si>
    <t xml:space="preserve">2022000008336</t>
  </si>
  <si>
    <t xml:space="preserve">TEKLEZGHI MEHARENA AND, ATSEBAHA SABA YEMESGEN</t>
  </si>
  <si>
    <t xml:space="preserve">Z &amp; T LLC</t>
  </si>
  <si>
    <t xml:space="preserve">R0050044</t>
  </si>
  <si>
    <t xml:space="preserve">9170  FEDERAL BLVD</t>
  </si>
  <si>
    <t xml:space="preserve">Federal Heights</t>
  </si>
  <si>
    <t xml:space="preserve">0171920401004</t>
  </si>
  <si>
    <t xml:space="preserve">2019000024357</t>
  </si>
  <si>
    <t xml:space="preserve">COLOROSO FAMILY PARTNERSHIP I LTD</t>
  </si>
  <si>
    <t xml:space="preserve">ZHENG BIAO AND, YUAN JIN RONG</t>
  </si>
  <si>
    <t xml:space="preserve">R0005773</t>
  </si>
  <si>
    <t xml:space="preserve">1300  BRIDGE ST</t>
  </si>
  <si>
    <t xml:space="preserve">C-O</t>
  </si>
  <si>
    <t xml:space="preserve">0156908203001</t>
  </si>
  <si>
    <t xml:space="preserve">2021000103730</t>
  </si>
  <si>
    <t xml:space="preserve">ZIMIK KHACHUNGLA</t>
  </si>
  <si>
    <t xml:space="preserve">ONE FACIAL AESTHETICS &amp; SPA LLC</t>
  </si>
  <si>
    <t xml:space="preserve">R0035891</t>
  </si>
  <si>
    <t xml:space="preserve">1470  ROSEANNA DR</t>
  </si>
  <si>
    <t xml:space="preserve">0171909407004</t>
  </si>
  <si>
    <t xml:space="preserve">2021000122847</t>
  </si>
  <si>
    <t xml:space="preserve">GROTHENDICK DANIEL M</t>
  </si>
  <si>
    <t xml:space="preserve">LOPEZ RODNEY KENT</t>
  </si>
  <si>
    <t xml:space="preserve">R0008948</t>
  </si>
  <si>
    <t xml:space="preserve">404  BROMLEY LN</t>
  </si>
  <si>
    <t xml:space="preserve">0157113008006</t>
  </si>
  <si>
    <t xml:space="preserve">2019000002027</t>
  </si>
  <si>
    <t xml:space="preserve">RPM PROPERTIES RLLLP</t>
  </si>
  <si>
    <t xml:space="preserve">SCF RC FUNDING IV LLC</t>
  </si>
  <si>
    <t xml:space="preserve">R0100554</t>
  </si>
  <si>
    <t xml:space="preserve">6455  FEDERAL BLVD</t>
  </si>
  <si>
    <t xml:space="preserve">0182505321021</t>
  </si>
  <si>
    <t xml:space="preserve">2021000125202</t>
  </si>
  <si>
    <t xml:space="preserve">SUNRISE COTTAGES LLC</t>
  </si>
  <si>
    <t xml:space="preserve">DENVER CASITAS LLC</t>
  </si>
  <si>
    <t xml:space="preserve">R0100713</t>
  </si>
  <si>
    <t xml:space="preserve">6530  FEDERAL BLVD</t>
  </si>
  <si>
    <t xml:space="preserve">0182505405003</t>
  </si>
  <si>
    <t xml:space="preserve">2018000073695</t>
  </si>
  <si>
    <t xml:space="preserve">ONEMANIVONG LINTHONG AND, PHOMMACHAN TINGKHAM</t>
  </si>
  <si>
    <t xml:space="preserve">APEX AUTOS</t>
  </si>
  <si>
    <t xml:space="preserve">R0075378</t>
  </si>
  <si>
    <t xml:space="preserve">9695  BRIGHTON RD</t>
  </si>
  <si>
    <t xml:space="preserve">0172116009005</t>
  </si>
  <si>
    <t xml:space="preserve">2018000061479</t>
  </si>
  <si>
    <t xml:space="preserve">KOSMISKI FAMILY PARTNERSHIP LLLP</t>
  </si>
  <si>
    <t xml:space="preserve">JT EMERY HOLDINGS LLC</t>
  </si>
  <si>
    <t xml:space="preserve">R0070677</t>
  </si>
  <si>
    <t xml:space="preserve">7855  YORK ST</t>
  </si>
  <si>
    <t xml:space="preserve">0171935103004</t>
  </si>
  <si>
    <t xml:space="preserve">2021000053173</t>
  </si>
  <si>
    <t xml:space="preserve">SANG SOO ENTERPRISES LLC</t>
  </si>
  <si>
    <t xml:space="preserve">CHANG EUN JA</t>
  </si>
  <si>
    <t xml:space="preserve">R0097742</t>
  </si>
  <si>
    <t xml:space="preserve">11703 E COLFAX AVE</t>
  </si>
  <si>
    <t xml:space="preserve">0182335428005</t>
  </si>
  <si>
    <t xml:space="preserve">2022000009896</t>
  </si>
  <si>
    <t xml:space="preserve">TSAO RICK</t>
  </si>
  <si>
    <t xml:space="preserve">WETTSTEIN HENRY</t>
  </si>
  <si>
    <t xml:space="preserve">R0092773</t>
  </si>
  <si>
    <t xml:space="preserve">4810  NEWPORT ST</t>
  </si>
  <si>
    <t xml:space="preserve">0182317408037</t>
  </si>
  <si>
    <t xml:space="preserve">2020000112839</t>
  </si>
  <si>
    <t xml:space="preserve">ROCKING K PROPERTIES LLC</t>
  </si>
  <si>
    <t xml:space="preserve">REDDY MALIREDDY S AND, REDDY SYAMA M</t>
  </si>
  <si>
    <t xml:space="preserve">2018000028585</t>
  </si>
  <si>
    <t xml:space="preserve">FERGUSON LANCE A/VINCENT DEBRA A, FERGUSON JENNIFER L/VINCENT JAMES W</t>
  </si>
  <si>
    <t xml:space="preserve">R0002784</t>
  </si>
  <si>
    <t xml:space="preserve">323  WALNUT ST</t>
  </si>
  <si>
    <t xml:space="preserve">0156906308014</t>
  </si>
  <si>
    <t xml:space="preserve">2019000022090</t>
  </si>
  <si>
    <t xml:space="preserve">D AND R EZZELL INC</t>
  </si>
  <si>
    <t xml:space="preserve">323 WALNUT ST LLC</t>
  </si>
  <si>
    <t xml:space="preserve">R0002727</t>
  </si>
  <si>
    <t xml:space="preserve">361 N MAIN ST</t>
  </si>
  <si>
    <t xml:space="preserve">0156906302004</t>
  </si>
  <si>
    <t xml:space="preserve">2020000084065</t>
  </si>
  <si>
    <t xml:space="preserve">HERNANDEZ GUADALUPE MERAZ AND, MERAZ HEIDY L</t>
  </si>
  <si>
    <t xml:space="preserve">ROJO ORDONES ERICK MANUEL AND, ROJO ISABEL</t>
  </si>
  <si>
    <t xml:space="preserve">R0082776</t>
  </si>
  <si>
    <t xml:space="preserve">675  PALMER AVE</t>
  </si>
  <si>
    <t xml:space="preserve">Bennett</t>
  </si>
  <si>
    <t xml:space="preserve">0181527316010</t>
  </si>
  <si>
    <t xml:space="preserve">2022000031446</t>
  </si>
  <si>
    <t xml:space="preserve">TAM REALTY LLC</t>
  </si>
  <si>
    <t xml:space="preserve">NASA BURROUGHS LLC</t>
  </si>
  <si>
    <t xml:space="preserve">R0081717</t>
  </si>
  <si>
    <t xml:space="preserve">3803 HEADLIGHT RD</t>
  </si>
  <si>
    <t xml:space="preserve">Agricultural</t>
  </si>
  <si>
    <t xml:space="preserve">0181300008008</t>
  </si>
  <si>
    <t xml:space="preserve">2018000001180</t>
  </si>
  <si>
    <t xml:space="preserve">HUTTON CONTRACTING COMPANY, INC</t>
  </si>
  <si>
    <t xml:space="preserve">JONES JEFFREY A</t>
  </si>
  <si>
    <t xml:space="preserve">2019000071126</t>
  </si>
  <si>
    <t xml:space="preserve">JHDS LLC</t>
  </si>
  <si>
    <t xml:space="preserve">3250  QUENTIN ST</t>
  </si>
  <si>
    <t xml:space="preserve">2020000126568</t>
  </si>
  <si>
    <t xml:space="preserve">FIRST INDUSTRIAL LP</t>
  </si>
  <si>
    <t xml:space="preserve">HZ SORRENTO HIGHPOINTE SQUARE LLC ET AL</t>
  </si>
  <si>
    <t xml:space="preserve">R0092662</t>
  </si>
  <si>
    <t xml:space="preserve">6440 E 50TH AVE</t>
  </si>
  <si>
    <t xml:space="preserve">0182317301021</t>
  </si>
  <si>
    <t xml:space="preserve">2021000050390</t>
  </si>
  <si>
    <t xml:space="preserve">NORTH SHORE PROPERTIES LLC</t>
  </si>
  <si>
    <t xml:space="preserve">MPI LAND BROKERS LLC</t>
  </si>
  <si>
    <t xml:space="preserve">R0103633</t>
  </si>
  <si>
    <t xml:space="preserve">6348  DOWNING ST</t>
  </si>
  <si>
    <t xml:space="preserve">0182511201005</t>
  </si>
  <si>
    <t xml:space="preserve">2018000075103</t>
  </si>
  <si>
    <t xml:space="preserve">C B QUICK AND CO</t>
  </si>
  <si>
    <t xml:space="preserve">SPEEDWAY GARAGES LLC</t>
  </si>
  <si>
    <t xml:space="preserve">R0103645</t>
  </si>
  <si>
    <t xml:space="preserve">6260  DOWNING ST</t>
  </si>
  <si>
    <t xml:space="preserve">0182511201024</t>
  </si>
  <si>
    <t xml:space="preserve">2021000037593</t>
  </si>
  <si>
    <t xml:space="preserve">H &amp; S PROPERTIES LLC</t>
  </si>
  <si>
    <t xml:space="preserve">BWR HOLDINGS LLLP</t>
  </si>
  <si>
    <t xml:space="preserve">R0112007</t>
  </si>
  <si>
    <t xml:space="preserve">6510  FRANKLIN ST</t>
  </si>
  <si>
    <t xml:space="preserve">0182502403035</t>
  </si>
  <si>
    <t xml:space="preserve">2018000044587</t>
  </si>
  <si>
    <t xml:space="preserve">FPT PROPERTIES LLC</t>
  </si>
  <si>
    <t xml:space="preserve">6510 PROPERTIES LLC</t>
  </si>
  <si>
    <t xml:space="preserve">R0112005</t>
  </si>
  <si>
    <t xml:space="preserve">1780 E 66TH AVE</t>
  </si>
  <si>
    <t xml:space="preserve">0182502403033</t>
  </si>
  <si>
    <t xml:space="preserve">2021000090265</t>
  </si>
  <si>
    <t xml:space="preserve">TRUSTILE DOORS LLC</t>
  </si>
  <si>
    <t xml:space="preserve">GWP LLC</t>
  </si>
  <si>
    <t xml:space="preserve">R0104136</t>
  </si>
  <si>
    <t xml:space="preserve">5270  FOX ST</t>
  </si>
  <si>
    <t xml:space="preserve">0182515206003</t>
  </si>
  <si>
    <t xml:space="preserve">2021000071484</t>
  </si>
  <si>
    <t xml:space="preserve">5180-5270 FOX PROPERTY OWNER LLC</t>
  </si>
  <si>
    <t xml:space="preserve">ABARCA TEN LLC</t>
  </si>
  <si>
    <t xml:space="preserve">2020000073933</t>
  </si>
  <si>
    <t xml:space="preserve">JPJ ENTERPRISES LLC</t>
  </si>
  <si>
    <t xml:space="preserve">R0094484</t>
  </si>
  <si>
    <t xml:space="preserve">9655 E 25TH AVE #105</t>
  </si>
  <si>
    <t xml:space="preserve">0182334201028</t>
  </si>
  <si>
    <t xml:space="preserve">2022000048122</t>
  </si>
  <si>
    <t xml:space="preserve">9655 E 25TH LLC</t>
  </si>
  <si>
    <t xml:space="preserve">14195 MOUNTVIEW BLVD PARTNERS LLC</t>
  </si>
  <si>
    <t xml:space="preserve">R0068500</t>
  </si>
  <si>
    <t xml:space="preserve">7305  PECOS ST</t>
  </si>
  <si>
    <t xml:space="preserve">0171933307024</t>
  </si>
  <si>
    <t xml:space="preserve">2018000078584</t>
  </si>
  <si>
    <t xml:space="preserve">WEJ LLC</t>
  </si>
  <si>
    <t xml:space="preserve">WAGERS PROPERTIES LLC</t>
  </si>
  <si>
    <t xml:space="preserve">R0100904</t>
  </si>
  <si>
    <t xml:space="preserve">7125  NEWTON ST</t>
  </si>
  <si>
    <t xml:space="preserve">M-1-Wes</t>
  </si>
  <si>
    <t xml:space="preserve">0182506108006</t>
  </si>
  <si>
    <t xml:space="preserve">2020000024276</t>
  </si>
  <si>
    <t xml:space="preserve">STOWERS GEORGETTE I</t>
  </si>
  <si>
    <t xml:space="preserve">7125 NEWTON ST LLC</t>
  </si>
  <si>
    <t xml:space="preserve">12021  PENNSYLVANIA ST #206</t>
  </si>
  <si>
    <t xml:space="preserve">2021000150792</t>
  </si>
  <si>
    <t xml:space="preserve">COLORADO DISTRICT OF THE, CHURCH OF THE NAZARENE</t>
  </si>
  <si>
    <t xml:space="preserve">R0124482</t>
  </si>
  <si>
    <t xml:space="preserve">631 E 120TH AVE</t>
  </si>
  <si>
    <t xml:space="preserve">0157334402001</t>
  </si>
  <si>
    <t xml:space="preserve">2019000068346</t>
  </si>
  <si>
    <t xml:space="preserve">STERLING-THORNTON CO LLC,  </t>
  </si>
  <si>
    <t xml:space="preserve">SHIN YONG SIN TRUSTEE OF , THE YONG S SHIN LIVING TRUST</t>
  </si>
  <si>
    <t xml:space="preserve">R0008999</t>
  </si>
  <si>
    <t xml:space="preserve">14465 DAHLIA ST</t>
  </si>
  <si>
    <t xml:space="preserve">0157118000005</t>
  </si>
  <si>
    <t xml:space="preserve">2019000047926</t>
  </si>
  <si>
    <t xml:space="preserve">MC CLANE MELVIN G AND, MC CLANE DOROTHY N</t>
  </si>
  <si>
    <t xml:space="preserve">SEIBERT SCOTT A</t>
  </si>
  <si>
    <t xml:space="preserve">R0090931</t>
  </si>
  <si>
    <t xml:space="preserve">6255  DEXTER ST</t>
  </si>
  <si>
    <t xml:space="preserve">0182307200018</t>
  </si>
  <si>
    <t xml:space="preserve">2021000016133</t>
  </si>
  <si>
    <t xml:space="preserve">RICHARDS AND DEXTER LLC</t>
  </si>
  <si>
    <t xml:space="preserve">R0089808</t>
  </si>
  <si>
    <t xml:space="preserve">6872  HIGHWAY 2 </t>
  </si>
  <si>
    <t xml:space="preserve">0182306118001</t>
  </si>
  <si>
    <t xml:space="preserve">2021000079462</t>
  </si>
  <si>
    <t xml:space="preserve">FEHR MATTHEW W</t>
  </si>
  <si>
    <t xml:space="preserve">6872 HWY 2 LLC</t>
  </si>
  <si>
    <t xml:space="preserve">R0090948</t>
  </si>
  <si>
    <t xml:space="preserve">4407 E 60TH AVE</t>
  </si>
  <si>
    <t xml:space="preserve">0182307200048</t>
  </si>
  <si>
    <t xml:space="preserve">2021000038243</t>
  </si>
  <si>
    <t xml:space="preserve">MC CALLIN REAL ESTATE LLC</t>
  </si>
  <si>
    <t xml:space="preserve">DCPS REAL ESTATE CLERMONT LLC</t>
  </si>
  <si>
    <t xml:space="preserve">R0112112</t>
  </si>
  <si>
    <t xml:space="preserve">7500  WASHINTON ST</t>
  </si>
  <si>
    <t xml:space="preserve">0171935301037</t>
  </si>
  <si>
    <t xml:space="preserve">2020000109210</t>
  </si>
  <si>
    <t xml:space="preserve">FRANKLIN L SACCOMANNO FAMILY TRUST ET AL 1/2 INT AND, VENEY CYNTHIA 1/4 I et al.</t>
  </si>
  <si>
    <t xml:space="preserve">IN SELF STORAGE 24 LLC</t>
  </si>
  <si>
    <t xml:space="preserve">R0150320</t>
  </si>
  <si>
    <t xml:space="preserve">9690  DALLAS ST #L</t>
  </si>
  <si>
    <t xml:space="preserve">0172115303024</t>
  </si>
  <si>
    <t xml:space="preserve">2022000022642</t>
  </si>
  <si>
    <t xml:space="preserve">DEL MAR ACCENTS LLC</t>
  </si>
  <si>
    <t xml:space="preserve">DOMENICO REAL ESTATE PARTNERSHIP II LLLP</t>
  </si>
  <si>
    <t xml:space="preserve">R0178224</t>
  </si>
  <si>
    <t xml:space="preserve">9156  BRIGHTON RD</t>
  </si>
  <si>
    <t xml:space="preserve">0172120401004</t>
  </si>
  <si>
    <t xml:space="preserve">2020000019366</t>
  </si>
  <si>
    <t xml:space="preserve">9156 BRIGHTON ROAD LLC</t>
  </si>
  <si>
    <t xml:space="preserve">BRINELL PROPERTIES LLC</t>
  </si>
  <si>
    <t xml:space="preserve">R0117231</t>
  </si>
  <si>
    <t xml:space="preserve">1861 W 64TH LN</t>
  </si>
  <si>
    <t xml:space="preserve">0182504302004</t>
  </si>
  <si>
    <t xml:space="preserve">2021000073205</t>
  </si>
  <si>
    <t xml:space="preserve">AIR PURIFICATION COMPANY</t>
  </si>
  <si>
    <t xml:space="preserve">ACME CRE LLC</t>
  </si>
  <si>
    <t xml:space="preserve">R0100737</t>
  </si>
  <si>
    <t xml:space="preserve">6500  FEDERAL BLVD</t>
  </si>
  <si>
    <t xml:space="preserve">0182505405029</t>
  </si>
  <si>
    <t xml:space="preserve">2019000059642</t>
  </si>
  <si>
    <t xml:space="preserve">NORTHLAWN PROPERTY LLC, C/O SPERRY PROPERTIES</t>
  </si>
  <si>
    <t xml:space="preserve">LOCOFORTIS LLC</t>
  </si>
  <si>
    <t xml:space="preserve">2022000031284</t>
  </si>
  <si>
    <t xml:space="preserve">2626 SARIKOV LLC</t>
  </si>
  <si>
    <t xml:space="preserve">R0098588</t>
  </si>
  <si>
    <t xml:space="preserve">6591  WASHINGTON ST</t>
  </si>
  <si>
    <t xml:space="preserve">0182503402009</t>
  </si>
  <si>
    <t xml:space="preserve">2018000040473</t>
  </si>
  <si>
    <t xml:space="preserve">JWBSK INVESTMENT GROUP LLC</t>
  </si>
  <si>
    <t xml:space="preserve">SUBLETTE JACOBS PROPERTIES LLC</t>
  </si>
  <si>
    <t xml:space="preserve">R0077599</t>
  </si>
  <si>
    <t xml:space="preserve">8245  QUEBEC ST</t>
  </si>
  <si>
    <t xml:space="preserve">0172129403028</t>
  </si>
  <si>
    <t xml:space="preserve">2022000013715</t>
  </si>
  <si>
    <t xml:space="preserve">ELWESS DAVID L</t>
  </si>
  <si>
    <t xml:space="preserve">JANUARY22 PONTIAC LLC</t>
  </si>
  <si>
    <t xml:space="preserve">R0071220</t>
  </si>
  <si>
    <t xml:space="preserve">11200  HIWAY 2 </t>
  </si>
  <si>
    <t xml:space="preserve">0172101000016</t>
  </si>
  <si>
    <t xml:space="preserve">2018000040304</t>
  </si>
  <si>
    <t xml:space="preserve">111489 CORPORATION INC</t>
  </si>
  <si>
    <t xml:space="preserve">BK ENTERPRISES LLC</t>
  </si>
  <si>
    <t xml:space="preserve">2022000035759</t>
  </si>
  <si>
    <t xml:space="preserve">13505 E 112TH V1 LLC, C/O CZD ZENITH</t>
  </si>
  <si>
    <t xml:space="preserve">R0100631</t>
  </si>
  <si>
    <t xml:space="preserve">6780  FEDERAL BLVD</t>
  </si>
  <si>
    <t xml:space="preserve">0182505402001</t>
  </si>
  <si>
    <t xml:space="preserve">2020000109934</t>
  </si>
  <si>
    <t xml:space="preserve">ROBINSON JAMES E AND, ROBINSON SHARON A</t>
  </si>
  <si>
    <t xml:space="preserve">SAYKALLY INVESTMENT GROUP LLC</t>
  </si>
  <si>
    <t xml:space="preserve">R0062954</t>
  </si>
  <si>
    <t xml:space="preserve">5051 W 80TH AVE</t>
  </si>
  <si>
    <t xml:space="preserve">0171930300008</t>
  </si>
  <si>
    <t xml:space="preserve">2019000091630</t>
  </si>
  <si>
    <t xml:space="preserve">WASH ME III LLC</t>
  </si>
  <si>
    <t xml:space="preserve">NGUYEN TAI AND, NGUYEN LOI</t>
  </si>
  <si>
    <t xml:space="preserve">R0059105</t>
  </si>
  <si>
    <t xml:space="preserve">6 W 83RD PL</t>
  </si>
  <si>
    <t xml:space="preserve">0171927417005</t>
  </si>
  <si>
    <t xml:space="preserve">2020000113615</t>
  </si>
  <si>
    <t xml:space="preserve">G6 HOSPITALITY PROPERTY LLC</t>
  </si>
  <si>
    <t xml:space="preserve">D THOR HOTEL LLC</t>
  </si>
  <si>
    <t xml:space="preserve">R0030049</t>
  </si>
  <si>
    <t xml:space="preserve">11428  CHEROKEE ST</t>
  </si>
  <si>
    <t xml:space="preserve">0171903004007</t>
  </si>
  <si>
    <t xml:space="preserve">2021000111448</t>
  </si>
  <si>
    <t xml:space="preserve">CUBE SMART LP #229</t>
  </si>
  <si>
    <t xml:space="preserve">SELF-STORAGE PORTFOLIO  XIV DST</t>
  </si>
  <si>
    <t xml:space="preserve">R0037120</t>
  </si>
  <si>
    <t xml:space="preserve">11172 HURON ST #20 #20</t>
  </si>
  <si>
    <t xml:space="preserve">0171910217020</t>
  </si>
  <si>
    <t xml:space="preserve">2019000006568</t>
  </si>
  <si>
    <t xml:space="preserve">BERGH CALE AND, BERGH KAREN</t>
  </si>
  <si>
    <t xml:space="preserve">CLANDERSON LLC ET AL</t>
  </si>
  <si>
    <t xml:space="preserve">R0013647</t>
  </si>
  <si>
    <t xml:space="preserve">12251  BRIGHTON RD</t>
  </si>
  <si>
    <t xml:space="preserve">0157134000022</t>
  </si>
  <si>
    <t xml:space="preserve">2018000011344</t>
  </si>
  <si>
    <t xml:space="preserve">PAPOI HAROLD M</t>
  </si>
  <si>
    <t xml:space="preserve">SHURTLEFF JOSEPH AND, SHURTLEFF MINDY</t>
  </si>
  <si>
    <t xml:space="preserve">R0013688</t>
  </si>
  <si>
    <t xml:space="preserve">12345  BRIGHTON RD</t>
  </si>
  <si>
    <t xml:space="preserve">0157134001006</t>
  </si>
  <si>
    <t xml:space="preserve">2020000138992</t>
  </si>
  <si>
    <t xml:space="preserve">KIM SO YEON</t>
  </si>
  <si>
    <t xml:space="preserve">YI YOUNG JIN AND, HARN GWI SUK</t>
  </si>
  <si>
    <t xml:space="preserve">R0058010</t>
  </si>
  <si>
    <t xml:space="preserve">2025  NUEVA VISTA DR</t>
  </si>
  <si>
    <t xml:space="preserve">0171926416143</t>
  </si>
  <si>
    <t xml:space="preserve">2018000048092</t>
  </si>
  <si>
    <t xml:space="preserve">GENS ROBERT M</t>
  </si>
  <si>
    <t xml:space="preserve">SPLASH CAR WASH LLC</t>
  </si>
  <si>
    <t xml:space="preserve">R0092769</t>
  </si>
  <si>
    <t xml:space="preserve">6845 E 48TH AVE</t>
  </si>
  <si>
    <t xml:space="preserve">0182317408031</t>
  </si>
  <si>
    <t xml:space="preserve">2020000003548</t>
  </si>
  <si>
    <t xml:space="preserve">MITECH LLC</t>
  </si>
  <si>
    <t xml:space="preserve">FRC HOLDINGS LLC</t>
  </si>
  <si>
    <t xml:space="preserve">R0069190</t>
  </si>
  <si>
    <t xml:space="preserve">7667  WASHINGTON ST</t>
  </si>
  <si>
    <t xml:space="preserve">0171934100009</t>
  </si>
  <si>
    <t xml:space="preserve">2020000096995</t>
  </si>
  <si>
    <t xml:space="preserve">ADDUCCI LISA M ET AL</t>
  </si>
  <si>
    <t xml:space="preserve">7667 WASHINGTON ST LLC</t>
  </si>
  <si>
    <t xml:space="preserve">R0068515</t>
  </si>
  <si>
    <t xml:space="preserve">7333  PECOS ST</t>
  </si>
  <si>
    <t xml:space="preserve">0171933307043</t>
  </si>
  <si>
    <t xml:space="preserve">2021000142090</t>
  </si>
  <si>
    <t xml:space="preserve">VENTURE HOSPITALITY INC</t>
  </si>
  <si>
    <t xml:space="preserve">CO VENTURE LLC</t>
  </si>
  <si>
    <t xml:space="preserve">R0084319</t>
  </si>
  <si>
    <t xml:space="preserve">13858 E SMITH DR #E</t>
  </si>
  <si>
    <t xml:space="preserve">Aurora</t>
  </si>
  <si>
    <t xml:space="preserve">0182130013019</t>
  </si>
  <si>
    <t xml:space="preserve">2019000033209</t>
  </si>
  <si>
    <t xml:space="preserve">SONNENFELD QUENTON D AND, SONNENFELD SHARON A</t>
  </si>
  <si>
    <t xml:space="preserve">ASR LLC</t>
  </si>
  <si>
    <t xml:space="preserve">R0081885</t>
  </si>
  <si>
    <t xml:space="preserve">56481 E COLFAX AVE</t>
  </si>
  <si>
    <t xml:space="preserve">0181333411010</t>
  </si>
  <si>
    <t xml:space="preserve">2018000032427</t>
  </si>
  <si>
    <t xml:space="preserve">BATES FAMILY  TRUST</t>
  </si>
  <si>
    <t xml:space="preserve">AMERICAN ENTERPRISES  LTD</t>
  </si>
  <si>
    <t xml:space="preserve">R0067174</t>
  </si>
  <si>
    <t xml:space="preserve">2735 W 72ND AVE</t>
  </si>
  <si>
    <t xml:space="preserve">0171932417050</t>
  </si>
  <si>
    <t xml:space="preserve">2019000038513</t>
  </si>
  <si>
    <t xml:space="preserve">REGASSA TEFERA AND, HAILE ABAYNESH</t>
  </si>
  <si>
    <t xml:space="preserve">HAGOS BARAKI G AND, GAZE RAHWA MEHRETEAB</t>
  </si>
  <si>
    <t xml:space="preserve">R0129953</t>
  </si>
  <si>
    <t xml:space="preserve">1865 W 121ST AVE</t>
  </si>
  <si>
    <t xml:space="preserve">0157333302003</t>
  </si>
  <si>
    <t xml:space="preserve">2018000044310</t>
  </si>
  <si>
    <t xml:space="preserve">NORTHRIDGE EQUITIES LLC</t>
  </si>
  <si>
    <t xml:space="preserve">NORTHRIDGE PROPERTY OWNER LLC UND 64.29% INT AND , WESTMINSTER 121 LLC UN et al.</t>
  </si>
  <si>
    <t xml:space="preserve">R0037103</t>
  </si>
  <si>
    <t xml:space="preserve">11178  HURON ST</t>
  </si>
  <si>
    <t xml:space="preserve">0171910217003</t>
  </si>
  <si>
    <t xml:space="preserve">2022000016996</t>
  </si>
  <si>
    <t xml:space="preserve">HIGHVIEW REALESTATE HOLDINGS LLC</t>
  </si>
  <si>
    <t xml:space="preserve">11178 HURON ST LLC</t>
  </si>
  <si>
    <t xml:space="preserve">8700  GRANT ST</t>
  </si>
  <si>
    <t xml:space="preserve">2018000080040</t>
  </si>
  <si>
    <t xml:space="preserve">120 HOLMAN LLC, C/O TRUSTED ACCOUNTING </t>
  </si>
  <si>
    <t xml:space="preserve">R0150307</t>
  </si>
  <si>
    <t xml:space="preserve">7140  IVY ST</t>
  </si>
  <si>
    <t xml:space="preserve">0182305221048</t>
  </si>
  <si>
    <t xml:space="preserve">2018000085734</t>
  </si>
  <si>
    <t xml:space="preserve">GLOBAL IMAGES ENTERPRISES LLC, C/O ERIC SURRATT</t>
  </si>
  <si>
    <t xml:space="preserve">MCE PROPERTY I GROUP LLC</t>
  </si>
  <si>
    <t xml:space="preserve">R0077400</t>
  </si>
  <si>
    <t xml:space="preserve">8401 BRIGHTON RD</t>
  </si>
  <si>
    <t xml:space="preserve">0172129200034</t>
  </si>
  <si>
    <t xml:space="preserve">2021000082867</t>
  </si>
  <si>
    <t xml:space="preserve">DELUXE CUSTOM WOOD FINISH CORP</t>
  </si>
  <si>
    <t xml:space="preserve">EUCLID ELEMENTS LLC</t>
  </si>
  <si>
    <t xml:space="preserve">R0112038</t>
  </si>
  <si>
    <t xml:space="preserve">5790  DAHLIA ST</t>
  </si>
  <si>
    <t xml:space="preserve">0182307406001</t>
  </si>
  <si>
    <t xml:space="preserve">2022000051703</t>
  </si>
  <si>
    <t xml:space="preserve">5790 DAHLIA INVESTMENT LLC</t>
  </si>
  <si>
    <t xml:space="preserve">DISCO CAPITAL LLC</t>
  </si>
  <si>
    <t xml:space="preserve">R0061304</t>
  </si>
  <si>
    <t xml:space="preserve">2955 W 80TH AVE</t>
  </si>
  <si>
    <t xml:space="preserve">0171929404007</t>
  </si>
  <si>
    <t xml:space="preserve">2020000107033</t>
  </si>
  <si>
    <t xml:space="preserve">SPEEDMAN PROPERTIES LLC</t>
  </si>
  <si>
    <t xml:space="preserve">COLORADO KARETE CLUB</t>
  </si>
  <si>
    <t xml:space="preserve">R0103576</t>
  </si>
  <si>
    <t xml:space="preserve">5641  WASHINGTON ST</t>
  </si>
  <si>
    <t xml:space="preserve">0182510407021</t>
  </si>
  <si>
    <t xml:space="preserve">2021000090746</t>
  </si>
  <si>
    <t xml:space="preserve">BNC SERVICES LLC</t>
  </si>
  <si>
    <t xml:space="preserve">5641 N WASHINGTON LLC</t>
  </si>
  <si>
    <t xml:space="preserve">R0091001</t>
  </si>
  <si>
    <t xml:space="preserve">5750  FAIRFAX ST</t>
  </si>
  <si>
    <t xml:space="preserve">0182307400028</t>
  </si>
  <si>
    <t xml:space="preserve">2020000046324</t>
  </si>
  <si>
    <t xml:space="preserve">J L FAIRFAX LLC</t>
  </si>
  <si>
    <t xml:space="preserve">GTCLS 5701 COLFAX RD LLC</t>
  </si>
  <si>
    <t xml:space="preserve">R0185551</t>
  </si>
  <si>
    <t xml:space="preserve">18351 E COLFAX AVE</t>
  </si>
  <si>
    <t xml:space="preserve">B-3-Aur</t>
  </si>
  <si>
    <t xml:space="preserve">0182133401001</t>
  </si>
  <si>
    <t xml:space="preserve">2021000116162</t>
  </si>
  <si>
    <t xml:space="preserve">SEMANTIC REALTY LLC, C/O 7 ELEVEN INC ATTN TAX DEPT 37033</t>
  </si>
  <si>
    <t xml:space="preserve">US-STABLE-P1 18351 EAST , COLFAX AVENUE AURORA LLC</t>
  </si>
  <si>
    <t xml:space="preserve">R0117237</t>
  </si>
  <si>
    <t xml:space="preserve">1830 W 64TH LN</t>
  </si>
  <si>
    <t xml:space="preserve">0182504302010</t>
  </si>
  <si>
    <t xml:space="preserve">2021000076597</t>
  </si>
  <si>
    <t xml:space="preserve">MARK ALLEN BUTMAN LIVING TRUST</t>
  </si>
  <si>
    <t xml:space="preserve">L &amp; M UNDERGROUND INC</t>
  </si>
  <si>
    <t xml:space="preserve">2019000100114</t>
  </si>
  <si>
    <t xml:space="preserve">BPAZ HOLDINGS 12 LLC</t>
  </si>
  <si>
    <t xml:space="preserve">DEN INDUSTRIAL 1 LLC</t>
  </si>
  <si>
    <t xml:space="preserve">R0002801</t>
  </si>
  <si>
    <t xml:space="preserve">112 N MAIN ST</t>
  </si>
  <si>
    <t xml:space="preserve">0156906310007</t>
  </si>
  <si>
    <t xml:space="preserve">2018000078539</t>
  </si>
  <si>
    <t xml:space="preserve">A AND A LLC</t>
  </si>
  <si>
    <t xml:space="preserve">HIGHLAND PROPERTIES 4018 LLC</t>
  </si>
  <si>
    <t xml:space="preserve">R0094562</t>
  </si>
  <si>
    <t xml:space="preserve">9598  MONTVIEW BLVD</t>
  </si>
  <si>
    <t xml:space="preserve">0182334302018</t>
  </si>
  <si>
    <t xml:space="preserve">2018000019551</t>
  </si>
  <si>
    <t xml:space="preserve">GARCIA LUIS AND, GARCIA MARIBEL</t>
  </si>
  <si>
    <t xml:space="preserve">MARIMBAL LLC</t>
  </si>
  <si>
    <t xml:space="preserve">R0103674</t>
  </si>
  <si>
    <t xml:space="preserve">1480 E 61ST AVE</t>
  </si>
  <si>
    <t xml:space="preserve">0182511205009</t>
  </si>
  <si>
    <t xml:space="preserve">2019000067784</t>
  </si>
  <si>
    <t xml:space="preserve">FAULTLESS LAUNDRY COMPANY</t>
  </si>
  <si>
    <t xml:space="preserve">NM FHL LLC, C/O NEW MOUNTAIN NET LEASE ACQUISITION CORP</t>
  </si>
  <si>
    <t xml:space="preserve">R0103723</t>
  </si>
  <si>
    <t xml:space="preserve">5970  MARION DR</t>
  </si>
  <si>
    <t xml:space="preserve">0182511303018</t>
  </si>
  <si>
    <t xml:space="preserve">2019000110369</t>
  </si>
  <si>
    <t xml:space="preserve">WERNSTEIN PROPERTIES INC</t>
  </si>
  <si>
    <t xml:space="preserve">5970 MARION DRIVE LLC</t>
  </si>
  <si>
    <t xml:space="preserve">R0064417</t>
  </si>
  <si>
    <t xml:space="preserve">7905  ZENOBIA ST</t>
  </si>
  <si>
    <t xml:space="preserve">0171931213023</t>
  </si>
  <si>
    <t xml:space="preserve">2021000126150</t>
  </si>
  <si>
    <t xml:space="preserve">SWEET ABUNDANCE LLC</t>
  </si>
  <si>
    <t xml:space="preserve">R0110659</t>
  </si>
  <si>
    <t xml:space="preserve">1291 E 54TH AVE</t>
  </si>
  <si>
    <t xml:space="preserve">0182514208030</t>
  </si>
  <si>
    <t xml:space="preserve">2019000029418</t>
  </si>
  <si>
    <t xml:space="preserve">DENVER ELECTRICAL JOINT APPRENTICESHIP, AND TRAINING TRUST FUND A TRUST</t>
  </si>
  <si>
    <t xml:space="preserve">PROSOSKI INVESTMENTS LLC</t>
  </si>
  <si>
    <t xml:space="preserve">R0103765</t>
  </si>
  <si>
    <t xml:space="preserve">1200 E 58TH AVE</t>
  </si>
  <si>
    <t xml:space="preserve">0182511312008</t>
  </si>
  <si>
    <t xml:space="preserve">2020000092287</t>
  </si>
  <si>
    <t xml:space="preserve">WELBY ASSOCIATES LLC, C/O TIMOTHY J MCMANUS</t>
  </si>
  <si>
    <t xml:space="preserve">ZARA ES LLC</t>
  </si>
  <si>
    <t xml:space="preserve">R0068508</t>
  </si>
  <si>
    <t xml:space="preserve">7290  SAMUEL DR</t>
  </si>
  <si>
    <t xml:space="preserve">0171933307035</t>
  </si>
  <si>
    <t xml:space="preserve">2020000048564</t>
  </si>
  <si>
    <t xml:space="preserve">WALBLAKE LLC</t>
  </si>
  <si>
    <t xml:space="preserve">1616 CHAMPA LLC</t>
  </si>
  <si>
    <t xml:space="preserve">R0084316</t>
  </si>
  <si>
    <t xml:space="preserve">13891 E SMITH DR #B</t>
  </si>
  <si>
    <t xml:space="preserve">0182130013016</t>
  </si>
  <si>
    <t xml:space="preserve">2022000050499</t>
  </si>
  <si>
    <t xml:space="preserve">PROVASI KENNETH D TRUST THE</t>
  </si>
  <si>
    <t xml:space="preserve">CRM REAL ESTATE HOLDINGS LLC</t>
  </si>
  <si>
    <t xml:space="preserve">R0103416</t>
  </si>
  <si>
    <t xml:space="preserve">5686  PECOS ST</t>
  </si>
  <si>
    <t xml:space="preserve">0182509400013</t>
  </si>
  <si>
    <t xml:space="preserve">2021000144720</t>
  </si>
  <si>
    <t xml:space="preserve">CASTILLO THEODORE G</t>
  </si>
  <si>
    <t xml:space="preserve">BOOM BOX RE LLC</t>
  </si>
  <si>
    <t xml:space="preserve">R0005825</t>
  </si>
  <si>
    <t xml:space="preserve">1790  BRIDGE ST</t>
  </si>
  <si>
    <t xml:space="preserve">0156908204058</t>
  </si>
  <si>
    <t xml:space="preserve">2020000121828</t>
  </si>
  <si>
    <t xml:space="preserve">HERDING BUTTERFLIES</t>
  </si>
  <si>
    <t xml:space="preserve">BAB 1790 E BRIDGE STREET LLC</t>
  </si>
  <si>
    <t xml:space="preserve">R0098081</t>
  </si>
  <si>
    <t xml:space="preserve">851  HIGHWAY 224 #A5</t>
  </si>
  <si>
    <t xml:space="preserve">0182502203045</t>
  </si>
  <si>
    <t xml:space="preserve">2018000029104</t>
  </si>
  <si>
    <t xml:space="preserve">SCG ONE LIMITED PARTNERSHIP</t>
  </si>
  <si>
    <t xml:space="preserve">LI YUE</t>
  </si>
  <si>
    <t xml:space="preserve">R0031078</t>
  </si>
  <si>
    <t xml:space="preserve">11416  PEARL ST</t>
  </si>
  <si>
    <t xml:space="preserve">0171903412012</t>
  </si>
  <si>
    <t xml:space="preserve">2018000026442</t>
  </si>
  <si>
    <t xml:space="preserve">ZAYAC PROPERTIES PEARL LLLP, C/O PROCLEAN AUTO WASH</t>
  </si>
  <si>
    <t xml:space="preserve">BLANCO PROPERTIES PEARL LLC</t>
  </si>
  <si>
    <t xml:space="preserve">6671  BRIGHTON BLVD</t>
  </si>
  <si>
    <t xml:space="preserve">2020000046848</t>
  </si>
  <si>
    <t xml:space="preserve">WISE HIROMI T</t>
  </si>
  <si>
    <t xml:space="preserve">R0104023</t>
  </si>
  <si>
    <t xml:space="preserve">520 E 56TH AVE</t>
  </si>
  <si>
    <t xml:space="preserve">0182515102001</t>
  </si>
  <si>
    <t xml:space="preserve">2022000053147</t>
  </si>
  <si>
    <t xml:space="preserve">520 E 56TH LLC</t>
  </si>
  <si>
    <t xml:space="preserve">GZSC HOLDING LLC</t>
  </si>
  <si>
    <t xml:space="preserve">2018000087585</t>
  </si>
  <si>
    <t xml:space="preserve">520 EAST 56TH LLC</t>
  </si>
  <si>
    <t xml:space="preserve">R0104041</t>
  </si>
  <si>
    <t xml:space="preserve">387 E 55TH AVE</t>
  </si>
  <si>
    <t xml:space="preserve">0182515104004</t>
  </si>
  <si>
    <t xml:space="preserve">2019000005629</t>
  </si>
  <si>
    <t xml:space="preserve">WATER WOLF LLC</t>
  </si>
  <si>
    <t xml:space="preserve">TOM COOK &amp; ASSOCIATES LLC</t>
  </si>
  <si>
    <t xml:space="preserve">R0104094</t>
  </si>
  <si>
    <t xml:space="preserve">5203  LINCOLN ST</t>
  </si>
  <si>
    <t xml:space="preserve">0182515110003</t>
  </si>
  <si>
    <t xml:space="preserve">2021000073620</t>
  </si>
  <si>
    <t xml:space="preserve">CORLESS-KENNEDY LORI K</t>
  </si>
  <si>
    <t xml:space="preserve">5203 LLC</t>
  </si>
  <si>
    <t xml:space="preserve">R0038936</t>
  </si>
  <si>
    <t xml:space="preserve">10775  IRMA DR</t>
  </si>
  <si>
    <t xml:space="preserve">0171911403020</t>
  </si>
  <si>
    <t xml:space="preserve">2018000075962</t>
  </si>
  <si>
    <t xml:space="preserve">C AND N REAL ESTATE LLC</t>
  </si>
  <si>
    <t xml:space="preserve">REVIVAL REAL ESTATE</t>
  </si>
  <si>
    <t xml:space="preserve">R0084313</t>
  </si>
  <si>
    <t xml:space="preserve">13801 E SMITH DR #B</t>
  </si>
  <si>
    <t xml:space="preserve">0182130013013</t>
  </si>
  <si>
    <t xml:space="preserve">2018000047556</t>
  </si>
  <si>
    <t xml:space="preserve">BROWN TERRY L</t>
  </si>
  <si>
    <t xml:space="preserve">JAB HOLDINGS LLC</t>
  </si>
  <si>
    <t xml:space="preserve">R0084315</t>
  </si>
  <si>
    <t xml:space="preserve">13891 E SMITH DR #A</t>
  </si>
  <si>
    <t xml:space="preserve">0182130013015</t>
  </si>
  <si>
    <t xml:space="preserve">2020000085310</t>
  </si>
  <si>
    <t xml:space="preserve">FAMILY BUSINESS INC</t>
  </si>
  <si>
    <t xml:space="preserve">AURORA INVESTMENT GROUP LLC</t>
  </si>
  <si>
    <t xml:space="preserve">R0097919</t>
  </si>
  <si>
    <t xml:space="preserve">2350 E 70TH AVE</t>
  </si>
  <si>
    <t xml:space="preserve">0182501203002</t>
  </si>
  <si>
    <t xml:space="preserve">2018000025867</t>
  </si>
  <si>
    <t xml:space="preserve">HILLTOP SUBDIVISION, PARTNERSHIP</t>
  </si>
  <si>
    <t xml:space="preserve">MITO REALTY LLC</t>
  </si>
  <si>
    <t xml:space="preserve">R0070638</t>
  </si>
  <si>
    <t xml:space="preserve">7570  BROADWAY ST</t>
  </si>
  <si>
    <t xml:space="preserve">0171934405026</t>
  </si>
  <si>
    <t xml:space="preserve">2018000083713</t>
  </si>
  <si>
    <t xml:space="preserve">ALPHA AND GREEN ENTERPRISES LLC</t>
  </si>
  <si>
    <t xml:space="preserve">ASK LLC</t>
  </si>
  <si>
    <t xml:space="preserve">R0103454</t>
  </si>
  <si>
    <t xml:space="preserve">6331  WASHINGTON ST</t>
  </si>
  <si>
    <t xml:space="preserve">0182510101018</t>
  </si>
  <si>
    <t xml:space="preserve">2021000029962</t>
  </si>
  <si>
    <t xml:space="preserve">VAHN LIVING TRUST THE , C/O MATRIX GROUP INC</t>
  </si>
  <si>
    <t xml:space="preserve">BV 64 WA LLC</t>
  </si>
  <si>
    <t xml:space="preserve">R0103524</t>
  </si>
  <si>
    <t xml:space="preserve">5919  BROADWAY ST</t>
  </si>
  <si>
    <t xml:space="preserve">0182510301035</t>
  </si>
  <si>
    <t xml:space="preserve">2021000085131</t>
  </si>
  <si>
    <t xml:space="preserve">5919 N BROADWAY LLC</t>
  </si>
  <si>
    <t xml:space="preserve">KUNZMAN MICHAEL AND, CORBITO CARINA</t>
  </si>
  <si>
    <t xml:space="preserve">1401  BRIDGE ST</t>
  </si>
  <si>
    <t xml:space="preserve">2020000062454</t>
  </si>
  <si>
    <t xml:space="preserve">MORGAN BRIAN M, MORGAN LINDA LIVING TRUST</t>
  </si>
  <si>
    <t xml:space="preserve">SHOCKLEY MICHELLE</t>
  </si>
  <si>
    <t xml:space="preserve">R0085935</t>
  </si>
  <si>
    <t xml:space="preserve">15586 E 17TH AVE</t>
  </si>
  <si>
    <t xml:space="preserve">0182132315017</t>
  </si>
  <si>
    <t xml:space="preserve">2021000032615</t>
  </si>
  <si>
    <t xml:space="preserve">STORAGE ONE ELIZABETH LLC</t>
  </si>
  <si>
    <t xml:space="preserve">CASABLANCA LLC</t>
  </si>
  <si>
    <t xml:space="preserve">R0004089</t>
  </si>
  <si>
    <t xml:space="preserve">301 S MAIN ST #100/#120/#220</t>
  </si>
  <si>
    <t xml:space="preserve">0156907220001</t>
  </si>
  <si>
    <t xml:space="preserve">2018000019867</t>
  </si>
  <si>
    <t xml:space="preserve">ROBB INC</t>
  </si>
  <si>
    <t xml:space="preserve">301 SOUTH MAIN LLC</t>
  </si>
  <si>
    <t xml:space="preserve">R0070612</t>
  </si>
  <si>
    <t xml:space="preserve">7261  WASHINGTON ST</t>
  </si>
  <si>
    <t xml:space="preserve">0171934400017</t>
  </si>
  <si>
    <t xml:space="preserve">2018000067503</t>
  </si>
  <si>
    <t xml:space="preserve">J D STEEL COMPANY INC</t>
  </si>
  <si>
    <t xml:space="preserve">ABP INVESTMENTS LLC</t>
  </si>
  <si>
    <t xml:space="preserve">R0079895</t>
  </si>
  <si>
    <t xml:space="preserve">7255  MONACO ST</t>
  </si>
  <si>
    <t xml:space="preserve">0172132423004</t>
  </si>
  <si>
    <t xml:space="preserve">2019000054378</t>
  </si>
  <si>
    <t xml:space="preserve">BEHESHTI ABBAS S</t>
  </si>
  <si>
    <t xml:space="preserve">R0110650</t>
  </si>
  <si>
    <t xml:space="preserve">12485  GRANT ST</t>
  </si>
  <si>
    <t xml:space="preserve">0157334009029</t>
  </si>
  <si>
    <t xml:space="preserve">2021000105569</t>
  </si>
  <si>
    <t xml:space="preserve">WASHINGTON SQUARE PARTNERS LLC</t>
  </si>
  <si>
    <t xml:space="preserve">SCROLL PROPERTIES LLC</t>
  </si>
  <si>
    <t xml:space="preserve">R0092347</t>
  </si>
  <si>
    <t xml:space="preserve">5311  NIAGARA ST</t>
  </si>
  <si>
    <t xml:space="preserve">0182317103057</t>
  </si>
  <si>
    <t xml:space="preserve">2021000079773</t>
  </si>
  <si>
    <t xml:space="preserve">JACOBS BRENDA SUE</t>
  </si>
  <si>
    <t xml:space="preserve">BRE INVESTMENTS LTD AND, BAMA LLC</t>
  </si>
  <si>
    <t xml:space="preserve">R0083500</t>
  </si>
  <si>
    <t xml:space="preserve">37400 ASTRA WY</t>
  </si>
  <si>
    <t xml:space="preserve">0181716403003</t>
  </si>
  <si>
    <t xml:space="preserve">2018000054935</t>
  </si>
  <si>
    <t xml:space="preserve">GOWAN SUSAN</t>
  </si>
  <si>
    <t xml:space="preserve">SENN DAVID M, SENN DONNA M</t>
  </si>
  <si>
    <t xml:space="preserve">R0077930</t>
  </si>
  <si>
    <t xml:space="preserve">4365 E 74TH AVE</t>
  </si>
  <si>
    <t xml:space="preserve">0172131312001</t>
  </si>
  <si>
    <t xml:space="preserve">2022000054867</t>
  </si>
  <si>
    <t xml:space="preserve">CCS LAND ACQUISITION LLC</t>
  </si>
  <si>
    <t xml:space="preserve">R0091005</t>
  </si>
  <si>
    <t xml:space="preserve">5678  EUDORA ST</t>
  </si>
  <si>
    <t xml:space="preserve">0182307400035</t>
  </si>
  <si>
    <t xml:space="preserve">2020000073591</t>
  </si>
  <si>
    <t xml:space="preserve">BOWLING ROY E</t>
  </si>
  <si>
    <t xml:space="preserve">DEF 5678 LLC</t>
  </si>
  <si>
    <t xml:space="preserve">R0098068</t>
  </si>
  <si>
    <t xml:space="preserve">851 E 71ST AVE #B2</t>
  </si>
  <si>
    <t xml:space="preserve">0182502203032</t>
  </si>
  <si>
    <t xml:space="preserve">2019000033494</t>
  </si>
  <si>
    <t xml:space="preserve">CARJO LLC</t>
  </si>
  <si>
    <t xml:space="preserve">A &amp; B PROPERTY LLC</t>
  </si>
  <si>
    <t xml:space="preserve">R0093920</t>
  </si>
  <si>
    <t xml:space="preserve">11799 E 30TH AVE</t>
  </si>
  <si>
    <t xml:space="preserve">0182326402005</t>
  </si>
  <si>
    <t xml:space="preserve">2021000051705</t>
  </si>
  <si>
    <t xml:space="preserve">COLORADO MUSTANG, SPECIALISTS INC</t>
  </si>
  <si>
    <t xml:space="preserve">BIGFOOT PARADISE LLC</t>
  </si>
  <si>
    <t xml:space="preserve">R0004286</t>
  </si>
  <si>
    <t xml:space="preserve">101  JESSUP ST</t>
  </si>
  <si>
    <t xml:space="preserve">R-2-Bri</t>
  </si>
  <si>
    <t xml:space="preserve">0156907305013</t>
  </si>
  <si>
    <t xml:space="preserve">2020000072830</t>
  </si>
  <si>
    <t xml:space="preserve">MILLER STEVEN D</t>
  </si>
  <si>
    <t xml:space="preserve">101 JESSUP ST HOLDINGS LLC</t>
  </si>
  <si>
    <t xml:space="preserve">R0082499</t>
  </si>
  <si>
    <t xml:space="preserve">48000 E 38TH AVE</t>
  </si>
  <si>
    <t xml:space="preserve">0181527200039</t>
  </si>
  <si>
    <t xml:space="preserve">2019000099747</t>
  </si>
  <si>
    <t xml:space="preserve">48000 EAST 38TH AVENUE LLC</t>
  </si>
  <si>
    <t xml:space="preserve">RD MORRIS LLC</t>
  </si>
  <si>
    <t xml:space="preserve">R0098140</t>
  </si>
  <si>
    <t xml:space="preserve">6443  DOWNING ST</t>
  </si>
  <si>
    <t xml:space="preserve">0182502306013</t>
  </si>
  <si>
    <t xml:space="preserve">2019000051492</t>
  </si>
  <si>
    <t xml:space="preserve">COSGROVE PROPERTIES LLC</t>
  </si>
  <si>
    <t xml:space="preserve">BRAP AND BEANS LLC</t>
  </si>
  <si>
    <t xml:space="preserve">R0103758</t>
  </si>
  <si>
    <t xml:space="preserve">5951  MARION DR</t>
  </si>
  <si>
    <t xml:space="preserve">0182511308016</t>
  </si>
  <si>
    <t xml:space="preserve">2019000077671</t>
  </si>
  <si>
    <t xml:space="preserve">ROCKINH INVESTMENTS LLC</t>
  </si>
  <si>
    <t xml:space="preserve">JW HOLDINGS LLC</t>
  </si>
  <si>
    <t xml:space="preserve">R0114338</t>
  </si>
  <si>
    <t xml:space="preserve">18875  BROMLEY ST</t>
  </si>
  <si>
    <t xml:space="preserve">0156900022003</t>
  </si>
  <si>
    <t xml:space="preserve">2018000080179</t>
  </si>
  <si>
    <t xml:space="preserve">BRIGHTON LEASE MANAGEMENT LLC, PROPERTY TAX COMPLIANCE</t>
  </si>
  <si>
    <t xml:space="preserve">STARBOARD PLATFORM BRIGHTON JV LLC, C/O STARBOARD REALTY PARTNERS</t>
  </si>
  <si>
    <t xml:space="preserve">R0086219</t>
  </si>
  <si>
    <t xml:space="preserve">17800 E 22ND AVE</t>
  </si>
  <si>
    <t xml:space="preserve">0182133012002</t>
  </si>
  <si>
    <t xml:space="preserve">2018000031201</t>
  </si>
  <si>
    <t xml:space="preserve">LAYNE CHRISTENSEN COMPANY</t>
  </si>
  <si>
    <t xml:space="preserve">WAGNER EQUIPMENT CO</t>
  </si>
  <si>
    <t xml:space="preserve">R0124581</t>
  </si>
  <si>
    <t xml:space="preserve">11152  HURON ST #205</t>
  </si>
  <si>
    <t xml:space="preserve">0171910205041</t>
  </si>
  <si>
    <t xml:space="preserve">2020000122738</t>
  </si>
  <si>
    <t xml:space="preserve">TRUMBLE THOM</t>
  </si>
  <si>
    <t xml:space="preserve">R0024110</t>
  </si>
  <si>
    <t xml:space="preserve">12195  MARIPOSA ST</t>
  </si>
  <si>
    <t xml:space="preserve">0157333008008</t>
  </si>
  <si>
    <t xml:space="preserve">2022000073668</t>
  </si>
  <si>
    <t xml:space="preserve">JOHNSTOWN FEED &amp; SEED INC.</t>
  </si>
  <si>
    <t xml:space="preserve">J&amp;E ENTERPRISE LLC</t>
  </si>
  <si>
    <t xml:space="preserve">R0100833</t>
  </si>
  <si>
    <t xml:space="preserve">3750 W 72ND AVE</t>
  </si>
  <si>
    <t xml:space="preserve">0182506100016</t>
  </si>
  <si>
    <t xml:space="preserve">2018000038196</t>
  </si>
  <si>
    <t xml:space="preserve">RONALD HAGERDON LLC</t>
  </si>
  <si>
    <t xml:space="preserve">M &amp; R BUILDING MANAGEMENT LLC</t>
  </si>
  <si>
    <t xml:space="preserve">R0024109</t>
  </si>
  <si>
    <t xml:space="preserve">1400 W 122ND AVE</t>
  </si>
  <si>
    <t xml:space="preserve">0157333008007</t>
  </si>
  <si>
    <t xml:space="preserve">2020000072205</t>
  </si>
  <si>
    <t xml:space="preserve">PAVILION COURT LLC</t>
  </si>
  <si>
    <t xml:space="preserve">ARTEMIS HOLDINGS LIMITED</t>
  </si>
  <si>
    <t xml:space="preserve">R0093874</t>
  </si>
  <si>
    <t xml:space="preserve">3313  MOLINE ST</t>
  </si>
  <si>
    <t xml:space="preserve">0182326101024</t>
  </si>
  <si>
    <t xml:space="preserve">2021000008532</t>
  </si>
  <si>
    <t xml:space="preserve">3313 MOLINE STREET LLC</t>
  </si>
  <si>
    <t xml:space="preserve">3313 MOLINE LLC, C/O GCRE MANAGMENT LLC</t>
  </si>
  <si>
    <t xml:space="preserve">R0082086</t>
  </si>
  <si>
    <t xml:space="preserve">56951 E COLFAX AVE</t>
  </si>
  <si>
    <t xml:space="preserve">0181334300009</t>
  </si>
  <si>
    <t xml:space="preserve">2019000003891</t>
  </si>
  <si>
    <t xml:space="preserve">VAQUERO STRASBURG PARTNERS LP</t>
  </si>
  <si>
    <t xml:space="preserve">JH DG 1 LLC</t>
  </si>
  <si>
    <t xml:space="preserve">R0161448</t>
  </si>
  <si>
    <t xml:space="preserve">16395  WASHINGTON ST</t>
  </si>
  <si>
    <t xml:space="preserve">0157303101002</t>
  </si>
  <si>
    <t xml:space="preserve">2022000010328</t>
  </si>
  <si>
    <t xml:space="preserve">TF THORNTON CO LLC</t>
  </si>
  <si>
    <t xml:space="preserve">16395 WASHINGTON ST LLC</t>
  </si>
  <si>
    <t xml:space="preserve">R0048726</t>
  </si>
  <si>
    <t xml:space="preserve">2901 W 92ND AVE</t>
  </si>
  <si>
    <t xml:space="preserve">0171920102030</t>
  </si>
  <si>
    <t xml:space="preserve">2018000022792</t>
  </si>
  <si>
    <t xml:space="preserve">WENZEL DANIEL D AND, WENZEL JUDITH G</t>
  </si>
  <si>
    <t xml:space="preserve">COLORADO BD AUTO CARE LLC</t>
  </si>
  <si>
    <t xml:space="preserve">R0062925</t>
  </si>
  <si>
    <t xml:space="preserve">8791  WOLFF CT</t>
  </si>
  <si>
    <t xml:space="preserve">0171930218020</t>
  </si>
  <si>
    <t xml:space="preserve">2020000091290</t>
  </si>
  <si>
    <t xml:space="preserve">GREEN ELEPHANT LLC THE</t>
  </si>
  <si>
    <t xml:space="preserve">AVERY INVESTMENTS LLC</t>
  </si>
  <si>
    <t xml:space="preserve">R0142135</t>
  </si>
  <si>
    <t xml:space="preserve">21250 E 36TH DR</t>
  </si>
  <si>
    <t xml:space="preserve">0182126101001</t>
  </si>
  <si>
    <t xml:space="preserve">2018000034023</t>
  </si>
  <si>
    <t xml:space="preserve">EXETER 21250 EAST 36TH LLC</t>
  </si>
  <si>
    <t xml:space="preserve">THOMSON LOGISTICS ASSETS LLC, C/O CORPORATION SERVICE</t>
  </si>
  <si>
    <t xml:space="preserve">R0081742</t>
  </si>
  <si>
    <t xml:space="preserve">1853  MONROE ST</t>
  </si>
  <si>
    <t xml:space="preserve">0181333400011</t>
  </si>
  <si>
    <t xml:space="preserve">2018000011536</t>
  </si>
  <si>
    <t xml:space="preserve">BEAN BEVERLY A</t>
  </si>
  <si>
    <t xml:space="preserve">JOSEPH SUMIT</t>
  </si>
  <si>
    <t xml:space="preserve">R0152796</t>
  </si>
  <si>
    <t xml:space="preserve">2525 W 92ND AVE</t>
  </si>
  <si>
    <t xml:space="preserve">0171920104013</t>
  </si>
  <si>
    <t xml:space="preserve">2021000136577</t>
  </si>
  <si>
    <t xml:space="preserve">BONE WILLIAM J JR/WENONA C TRUSTEES, BONE FAMILY TRUST U D T THE</t>
  </si>
  <si>
    <t xml:space="preserve">120 HOLDINGS LLC UND INT 5.367%  ET AL</t>
  </si>
  <si>
    <t xml:space="preserve">R0154528</t>
  </si>
  <si>
    <t xml:space="preserve">37600 E 50TH AVE</t>
  </si>
  <si>
    <t xml:space="preserve">0181716410001</t>
  </si>
  <si>
    <t xml:space="preserve">2019000106716</t>
  </si>
  <si>
    <t xml:space="preserve">DELCAMP RONALD</t>
  </si>
  <si>
    <t xml:space="preserve">HOFER GALEN AND, PHIBBS STEPHANIE</t>
  </si>
  <si>
    <t xml:space="preserve">R0133759</t>
  </si>
  <si>
    <t xml:space="preserve">2450 W 63RD CT</t>
  </si>
  <si>
    <t xml:space="preserve">0182508103025</t>
  </si>
  <si>
    <t xml:space="preserve">2019000007808</t>
  </si>
  <si>
    <t xml:space="preserve">TRIPLE L LLC</t>
  </si>
  <si>
    <t xml:space="preserve">CROWLEY DAVID P AND , CROWLEY LORRAINE K</t>
  </si>
  <si>
    <t xml:space="preserve">2019000000008</t>
  </si>
  <si>
    <t xml:space="preserve">2551 PROPERTY PARTNERS LLC</t>
  </si>
  <si>
    <t xml:space="preserve">COMPTON POINT LLC</t>
  </si>
  <si>
    <t xml:space="preserve">R0079896</t>
  </si>
  <si>
    <t xml:space="preserve">6454 E 72ND PL</t>
  </si>
  <si>
    <t xml:space="preserve">0172132424001</t>
  </si>
  <si>
    <t xml:space="preserve">2019000104458</t>
  </si>
  <si>
    <t xml:space="preserve">E J CORP</t>
  </si>
  <si>
    <t xml:space="preserve">TORRES INVESTMENTS LLC</t>
  </si>
  <si>
    <t xml:space="preserve">R0107746</t>
  </si>
  <si>
    <t xml:space="preserve">8075  PONTIAC ST</t>
  </si>
  <si>
    <t xml:space="preserve">0172129404012</t>
  </si>
  <si>
    <t xml:space="preserve">2021000103692</t>
  </si>
  <si>
    <t xml:space="preserve">H AND B INDUSTRY LLC</t>
  </si>
  <si>
    <t xml:space="preserve">HIGH TO LOW PROPERTIES LLC</t>
  </si>
  <si>
    <t xml:space="preserve">5801  LOGAN ST</t>
  </si>
  <si>
    <t xml:space="preserve">2021000150840</t>
  </si>
  <si>
    <t xml:space="preserve">KLO PROPERTIES LLC</t>
  </si>
  <si>
    <t xml:space="preserve">R0103568</t>
  </si>
  <si>
    <t xml:space="preserve">301 E 57TH AVE</t>
  </si>
  <si>
    <t xml:space="preserve">0182510406002</t>
  </si>
  <si>
    <t xml:space="preserve">2021000132344</t>
  </si>
  <si>
    <t xml:space="preserve">BOSCOE CHILDREN LLLP, C/O MICHAEL BLOOM REALTY COMPANY</t>
  </si>
  <si>
    <t xml:space="preserve">WFS LLC UND 0.857% INT ET AL</t>
  </si>
  <si>
    <t xml:space="preserve">R0090141</t>
  </si>
  <si>
    <t xml:space="preserve">6955  DAHLIA ST</t>
  </si>
  <si>
    <t xml:space="preserve">0182306213018</t>
  </si>
  <si>
    <t xml:space="preserve">2019000072342</t>
  </si>
  <si>
    <t xml:space="preserve">JAMES DONALD A</t>
  </si>
  <si>
    <t xml:space="preserve">FEDERAL REAL ESTATE HOLDINGS LLC</t>
  </si>
  <si>
    <t xml:space="preserve">R0077169</t>
  </si>
  <si>
    <t xml:space="preserve">8420  QUEBEC ST</t>
  </si>
  <si>
    <t xml:space="preserve">0172128200020</t>
  </si>
  <si>
    <t xml:space="preserve">2021000091570</t>
  </si>
  <si>
    <t xml:space="preserve">FOUR LEGACY INVESTMENTS LLC</t>
  </si>
  <si>
    <t xml:space="preserve">FLEETPARK QUEBEC CO LLC</t>
  </si>
  <si>
    <t xml:space="preserve">R0075207</t>
  </si>
  <si>
    <t xml:space="preserve">10290 E 106TH AVE</t>
  </si>
  <si>
    <t xml:space="preserve">0172110006004</t>
  </si>
  <si>
    <t xml:space="preserve">2020000021758</t>
  </si>
  <si>
    <t xml:space="preserve">R AND R JOE ENTERPRISES LLC</t>
  </si>
  <si>
    <t xml:space="preserve">ROCKY WELDING SERVICES LLC</t>
  </si>
  <si>
    <t xml:space="preserve">10475  IRMA DR #15</t>
  </si>
  <si>
    <t xml:space="preserve">2020000131356</t>
  </si>
  <si>
    <t xml:space="preserve">AFS RESIDENTIAL LLC</t>
  </si>
  <si>
    <t xml:space="preserve">R0066239</t>
  </si>
  <si>
    <t xml:space="preserve">7961  FEDERAL BLVD</t>
  </si>
  <si>
    <t xml:space="preserve">0171932210053</t>
  </si>
  <si>
    <t xml:space="preserve">2020000036513</t>
  </si>
  <si>
    <t xml:space="preserve">DYLEE LLC</t>
  </si>
  <si>
    <t xml:space="preserve">GOVEA LLC</t>
  </si>
  <si>
    <t xml:space="preserve">R0159799</t>
  </si>
  <si>
    <t xml:space="preserve">6345 IVANHOE ST</t>
  </si>
  <si>
    <t xml:space="preserve">0182308207010</t>
  </si>
  <si>
    <t xml:space="preserve">2020000030948</t>
  </si>
  <si>
    <t xml:space="preserve">IVANHOE PROPERTY GROUP LLC</t>
  </si>
  <si>
    <t xml:space="preserve">GRISWOLD MICHAEL M AND, GRISWOLD ANNETTE M</t>
  </si>
  <si>
    <t xml:space="preserve">R0164243</t>
  </si>
  <si>
    <t xml:space="preserve">9801  HAVANA ST</t>
  </si>
  <si>
    <t xml:space="preserve">0172115401009</t>
  </si>
  <si>
    <t xml:space="preserve">2021000056808</t>
  </si>
  <si>
    <t xml:space="preserve">CAMIKA HOLDINGS LLC</t>
  </si>
  <si>
    <t xml:space="preserve">HANLEY HOLDINGS LLC</t>
  </si>
  <si>
    <t xml:space="preserve">R0066455</t>
  </si>
  <si>
    <t xml:space="preserve">3031 W 74TH AVE</t>
  </si>
  <si>
    <t xml:space="preserve">0171932300078</t>
  </si>
  <si>
    <t xml:space="preserve">2021000115751</t>
  </si>
  <si>
    <t xml:space="preserve">DYNAMIS LLC</t>
  </si>
  <si>
    <t xml:space="preserve">BROADWAY SQUARE RLLP UND 85.773% INT AND, WESTMINSTER SQUARE LLC UND 14.227%INT</t>
  </si>
  <si>
    <t xml:space="preserve">R0131994</t>
  </si>
  <si>
    <t xml:space="preserve">12021  PENNSYLVANIA ST #109</t>
  </si>
  <si>
    <t xml:space="preserve">0157334401011</t>
  </si>
  <si>
    <t xml:space="preserve">2019000081953</t>
  </si>
  <si>
    <t xml:space="preserve">KOSOROK JOINT FAMILY TRUST THE AND, ELLISS JOINT FAMILY TRUST THE</t>
  </si>
  <si>
    <t xml:space="preserve">PENN REAL ESTATE 109 LLC</t>
  </si>
  <si>
    <t xml:space="preserve">R0093922</t>
  </si>
  <si>
    <t xml:space="preserve">3151  OAKLAND ST</t>
  </si>
  <si>
    <t xml:space="preserve">0182326402007</t>
  </si>
  <si>
    <t xml:space="preserve">2019000079764</t>
  </si>
  <si>
    <t xml:space="preserve">KORMISHKIN EUGENE</t>
  </si>
  <si>
    <t xml:space="preserve">HTV COLORADO PROPERTIES LLC</t>
  </si>
  <si>
    <t xml:space="preserve">R0093880</t>
  </si>
  <si>
    <t xml:space="preserve">11951 E 33RD AVE</t>
  </si>
  <si>
    <t xml:space="preserve">0182326101037</t>
  </si>
  <si>
    <t xml:space="preserve">2021000085996</t>
  </si>
  <si>
    <t xml:space="preserve">11951 E 33RD AVE LLC</t>
  </si>
  <si>
    <t xml:space="preserve">NLA GCH AURORA LLC</t>
  </si>
  <si>
    <t xml:space="preserve">R0093894</t>
  </si>
  <si>
    <t xml:space="preserve">3223  OAKLAND ST</t>
  </si>
  <si>
    <t xml:space="preserve">0182326102005</t>
  </si>
  <si>
    <t xml:space="preserve">2019000080241</t>
  </si>
  <si>
    <t xml:space="preserve">NORTH JAMES R AND, NORTH JOAN F</t>
  </si>
  <si>
    <t xml:space="preserve">TRACKING INVESTMENTS LLC</t>
  </si>
  <si>
    <t xml:space="preserve">R0058427</t>
  </si>
  <si>
    <t xml:space="preserve">500 W 84TH AVE</t>
  </si>
  <si>
    <t xml:space="preserve">0171927305001</t>
  </si>
  <si>
    <t xml:space="preserve">2021000112745</t>
  </si>
  <si>
    <t xml:space="preserve">500 W 84 LLC</t>
  </si>
  <si>
    <t xml:space="preserve">HERMOZ LLC</t>
  </si>
  <si>
    <t xml:space="preserve">2019000090076</t>
  </si>
  <si>
    <t xml:space="preserve">TIS LEASING LLC</t>
  </si>
  <si>
    <t xml:space="preserve">R0095615</t>
  </si>
  <si>
    <t xml:space="preserve">1550  ELMIRA ST</t>
  </si>
  <si>
    <t xml:space="preserve">0182334425019</t>
  </si>
  <si>
    <t xml:space="preserve">2021000067125</t>
  </si>
  <si>
    <t xml:space="preserve">ROSS JENNIFER C LIVING TRUST</t>
  </si>
  <si>
    <t xml:space="preserve">SCI-1550 ELMIRA LLC</t>
  </si>
  <si>
    <t xml:space="preserve">2018000050337</t>
  </si>
  <si>
    <t xml:space="preserve">TAR HILL INVESTMENTS LLC</t>
  </si>
  <si>
    <t xml:space="preserve">R0002834</t>
  </si>
  <si>
    <t xml:space="preserve">43 N MAIN ST</t>
  </si>
  <si>
    <t xml:space="preserve">0156906314002</t>
  </si>
  <si>
    <t xml:space="preserve">2021000121938</t>
  </si>
  <si>
    <t xml:space="preserve">PLOCK GARY A AND, PLOCK PAMELA L</t>
  </si>
  <si>
    <t xml:space="preserve">DOHERTY DANIEL R</t>
  </si>
  <si>
    <t xml:space="preserve">R0002835</t>
  </si>
  <si>
    <t xml:space="preserve">39 N MAIN ST</t>
  </si>
  <si>
    <t xml:space="preserve">0156906314003</t>
  </si>
  <si>
    <t xml:space="preserve">2021000121932</t>
  </si>
  <si>
    <t xml:space="preserve">R0054373</t>
  </si>
  <si>
    <t xml:space="preserve">2301 E 88TH AVE</t>
  </si>
  <si>
    <t xml:space="preserve">0171924319001</t>
  </si>
  <si>
    <t xml:space="preserve">2022000028346</t>
  </si>
  <si>
    <t xml:space="preserve">CF ALTITUDE PROPCO II LLC</t>
  </si>
  <si>
    <t xml:space="preserve">HAZARD LAKE LLC</t>
  </si>
  <si>
    <t xml:space="preserve">2018000006835</t>
  </si>
  <si>
    <t xml:space="preserve">H.D.T. TEN LIMITED LIABILITY, COMPANY</t>
  </si>
  <si>
    <t xml:space="preserve">CH REALTY VIII/CT CO WESTERN LLC</t>
  </si>
  <si>
    <t xml:space="preserve">R0048713</t>
  </si>
  <si>
    <t xml:space="preserve">9462  FEDERAL BLVD</t>
  </si>
  <si>
    <t xml:space="preserve">0171920101010</t>
  </si>
  <si>
    <t xml:space="preserve">2022000000831</t>
  </si>
  <si>
    <t xml:space="preserve">TJ INVESTMENTS LLC</t>
  </si>
  <si>
    <t xml:space="preserve">FG LAND INVESTMENTS LLC</t>
  </si>
  <si>
    <t xml:space="preserve">R0051481</t>
  </si>
  <si>
    <t xml:space="preserve">401 E 88TH AVE</t>
  </si>
  <si>
    <t xml:space="preserve">0171922408004</t>
  </si>
  <si>
    <t xml:space="preserve">2019000041060</t>
  </si>
  <si>
    <t xml:space="preserve">AMF BOWLING CENTERS INC</t>
  </si>
  <si>
    <t xml:space="preserve">ISTAR BOWLING CENTER I LP</t>
  </si>
  <si>
    <t xml:space="preserve">R0050051</t>
  </si>
  <si>
    <t xml:space="preserve">2951 W 91ST PL</t>
  </si>
  <si>
    <t xml:space="preserve">0171920401019</t>
  </si>
  <si>
    <t xml:space="preserve">2020000089757</t>
  </si>
  <si>
    <t xml:space="preserve">BLUEPRINT INVESTMENT FUND LLC</t>
  </si>
  <si>
    <t xml:space="preserve">KD INVESTMENTS LTD</t>
  </si>
  <si>
    <t xml:space="preserve">R0042962</t>
  </si>
  <si>
    <t xml:space="preserve">10250  URA LN</t>
  </si>
  <si>
    <t xml:space="preserve">0171916202018</t>
  </si>
  <si>
    <t xml:space="preserve">2021000020257</t>
  </si>
  <si>
    <t xml:space="preserve">URA SINGH LLC</t>
  </si>
  <si>
    <t xml:space="preserve">LUNA MANUEL</t>
  </si>
  <si>
    <t xml:space="preserve">R0109963</t>
  </si>
  <si>
    <t xml:space="preserve">16475 E 40TH CIR</t>
  </si>
  <si>
    <t xml:space="preserve">0182100011005</t>
  </si>
  <si>
    <t xml:space="preserve">2022000014451</t>
  </si>
  <si>
    <t xml:space="preserve">GATEWAY HOTEL LLC, C/O STANLEY A GALLERY</t>
  </si>
  <si>
    <t xml:space="preserve">D CASA INVESTMENT LLC</t>
  </si>
  <si>
    <t xml:space="preserve">R0063285</t>
  </si>
  <si>
    <t xml:space="preserve">8060  SHERIDAN BLVD</t>
  </si>
  <si>
    <t xml:space="preserve">0171930320006</t>
  </si>
  <si>
    <t xml:space="preserve">2019000103805</t>
  </si>
  <si>
    <t xml:space="preserve">LEIGH MICHAEL R</t>
  </si>
  <si>
    <t xml:space="preserve">RJC HOLDINGS LLC</t>
  </si>
  <si>
    <t xml:space="preserve">R0003498</t>
  </si>
  <si>
    <t xml:space="preserve">20 S 5TH AVE</t>
  </si>
  <si>
    <t xml:space="preserve">0156907106003</t>
  </si>
  <si>
    <t xml:space="preserve">2021000037982</t>
  </si>
  <si>
    <t xml:space="preserve">BRIGHTON PROFESSIONAL GROUP LLC</t>
  </si>
  <si>
    <t xml:space="preserve">MARQUEZ PROFESSIONAL COMPANY LLC</t>
  </si>
  <si>
    <t xml:space="preserve">R0092656</t>
  </si>
  <si>
    <t xml:space="preserve">6430 E 50TH AVE</t>
  </si>
  <si>
    <t xml:space="preserve">0182317301001</t>
  </si>
  <si>
    <t xml:space="preserve">2018000093283</t>
  </si>
  <si>
    <t xml:space="preserve">JS BUILDERS LLC</t>
  </si>
  <si>
    <t xml:space="preserve">BLACKWATER LLC</t>
  </si>
  <si>
    <t xml:space="preserve">R0054110</t>
  </si>
  <si>
    <t xml:space="preserve">2401 E 88TH AVE</t>
  </si>
  <si>
    <t xml:space="preserve">0171924300024</t>
  </si>
  <si>
    <t xml:space="preserve">2019000103191</t>
  </si>
  <si>
    <t xml:space="preserve">R IREY YORK PLAZA LLC UND 50% INT AND, D IREY YORK PLAZA LLC UND 50% INT</t>
  </si>
  <si>
    <t xml:space="preserve">WEBER INCORPORATED</t>
  </si>
  <si>
    <t xml:space="preserve">R0031068</t>
  </si>
  <si>
    <t xml:space="preserve">11455  PEARL ST</t>
  </si>
  <si>
    <t xml:space="preserve">R-4-Nor</t>
  </si>
  <si>
    <t xml:space="preserve">0171903410021</t>
  </si>
  <si>
    <t xml:space="preserve">2020000097451</t>
  </si>
  <si>
    <t xml:space="preserve">SCHOOL DISTRICT 12 FEDERAL, CREDIT UNION</t>
  </si>
  <si>
    <t xml:space="preserve">11455 PEARL STREET LLC</t>
  </si>
  <si>
    <t xml:space="preserve">2021000139875</t>
  </si>
  <si>
    <t xml:space="preserve">BRIGHTON MAIN STREET PRINTING LLC</t>
  </si>
  <si>
    <t xml:space="preserve">R0168581</t>
  </si>
  <si>
    <t xml:space="preserve">6121 CLERMONT ST</t>
  </si>
  <si>
    <t xml:space="preserve">0182307204002</t>
  </si>
  <si>
    <t xml:space="preserve">2018000013811</t>
  </si>
  <si>
    <t xml:space="preserve">KUMMER INVESTMENTS LLC</t>
  </si>
  <si>
    <t xml:space="preserve">R0037112</t>
  </si>
  <si>
    <t xml:space="preserve">11184 HURON ST #12</t>
  </si>
  <si>
    <t xml:space="preserve">0171910217012</t>
  </si>
  <si>
    <t xml:space="preserve">2021000120946</t>
  </si>
  <si>
    <t xml:space="preserve">BINGEL NATHANIEL</t>
  </si>
  <si>
    <t xml:space="preserve">SEAMLESS COLORADO INSURANCE</t>
  </si>
  <si>
    <t xml:space="preserve">R0051128</t>
  </si>
  <si>
    <t xml:space="preserve">9162  HURON ST</t>
  </si>
  <si>
    <t xml:space="preserve">0171922302003</t>
  </si>
  <si>
    <t xml:space="preserve">2022000014772</t>
  </si>
  <si>
    <t xml:space="preserve">NGUYEN DUNG ANH AND , TRAN LOAN </t>
  </si>
  <si>
    <t xml:space="preserve">BIG HW LLC</t>
  </si>
  <si>
    <t xml:space="preserve">R0059576</t>
  </si>
  <si>
    <t xml:space="preserve">8410  UMATILLA ST</t>
  </si>
  <si>
    <t xml:space="preserve">0171928206005</t>
  </si>
  <si>
    <t xml:space="preserve">2021000050541</t>
  </si>
  <si>
    <t xml:space="preserve">QUALITY CONTROL INT'L LIMITED PARTNERSHIP</t>
  </si>
  <si>
    <t xml:space="preserve">LEVEL 7 PROPERTY GROUP LLC</t>
  </si>
  <si>
    <t xml:space="preserve">R0100007</t>
  </si>
  <si>
    <t xml:space="preserve">3440 W 71ST PL</t>
  </si>
  <si>
    <t xml:space="preserve">0182505207006</t>
  </si>
  <si>
    <t xml:space="preserve">2019000059161</t>
  </si>
  <si>
    <t xml:space="preserve">BROWN JUNCTION HOLDINGS LLC</t>
  </si>
  <si>
    <t xml:space="preserve">WESTMINSTER STATION TOD LLC</t>
  </si>
  <si>
    <t xml:space="preserve">R0002795</t>
  </si>
  <si>
    <t xml:space="preserve">390  WALNUT ST</t>
  </si>
  <si>
    <t xml:space="preserve">0156906309011</t>
  </si>
  <si>
    <t xml:space="preserve">2022000049243</t>
  </si>
  <si>
    <t xml:space="preserve">S AND K KIM INC</t>
  </si>
  <si>
    <t xml:space="preserve">HOPE FIRST FAMILY RESOURCE CENTER</t>
  </si>
  <si>
    <t xml:space="preserve">8791  WOLFF CT #230</t>
  </si>
  <si>
    <t xml:space="preserve">2018000005929</t>
  </si>
  <si>
    <t xml:space="preserve">PETERSON STEVEN W</t>
  </si>
  <si>
    <t xml:space="preserve">R0091506</t>
  </si>
  <si>
    <t xml:space="preserve">6200 E 64TH AVE</t>
  </si>
  <si>
    <t xml:space="preserve">0182308201003</t>
  </si>
  <si>
    <t xml:space="preserve">2020000109419</t>
  </si>
  <si>
    <t xml:space="preserve">PIERCE NOLA N</t>
  </si>
  <si>
    <t xml:space="preserve">NIKKO CUCINA LLC</t>
  </si>
  <si>
    <t xml:space="preserve">R0112049</t>
  </si>
  <si>
    <t xml:space="preserve">320 E 128TH AVE</t>
  </si>
  <si>
    <t xml:space="preserve">0157334011002</t>
  </si>
  <si>
    <t xml:space="preserve">2018000099707</t>
  </si>
  <si>
    <t xml:space="preserve">JK PROPERTIES LLC</t>
  </si>
  <si>
    <t xml:space="preserve">A POD OF PEAS REAL ESTATE LLC</t>
  </si>
  <si>
    <t xml:space="preserve">R0050497</t>
  </si>
  <si>
    <t xml:space="preserve">1600 W 92ND AVE</t>
  </si>
  <si>
    <t xml:space="preserve">0171921300010</t>
  </si>
  <si>
    <t xml:space="preserve">2022000036852</t>
  </si>
  <si>
    <t xml:space="preserve">CAP INVESTMENT PROPERTIES III LLC</t>
  </si>
  <si>
    <t xml:space="preserve">DON EDWARDS WALTER AND JANET STEWART WALTER FAMILY TRUST</t>
  </si>
  <si>
    <t xml:space="preserve">R0056567</t>
  </si>
  <si>
    <t xml:space="preserve">8600  WASHINGTON ST</t>
  </si>
  <si>
    <t xml:space="preserve">0171926218030</t>
  </si>
  <si>
    <t xml:space="preserve">2019000047704</t>
  </si>
  <si>
    <t xml:space="preserve">THORNTON PROPERTY 1 LLC</t>
  </si>
  <si>
    <t xml:space="preserve">SIMON &amp; MOSES REAL ESTATE LLC</t>
  </si>
  <si>
    <t xml:space="preserve">R0153545</t>
  </si>
  <si>
    <t xml:space="preserve">50 E 70TH AVE</t>
  </si>
  <si>
    <t xml:space="preserve">0182503103029</t>
  </si>
  <si>
    <t xml:space="preserve">2018000046530</t>
  </si>
  <si>
    <t xml:space="preserve">BRONCUCIA JOSEPH ANTHONY AND, BRONCUCIA PATRICIA ANN</t>
  </si>
  <si>
    <t xml:space="preserve">GUSMAN-CISNEROS GEORGE A</t>
  </si>
  <si>
    <t xml:space="preserve">R0093973</t>
  </si>
  <si>
    <t xml:space="preserve">2332  DAYTON ST</t>
  </si>
  <si>
    <t xml:space="preserve">0182334109027</t>
  </si>
  <si>
    <t xml:space="preserve">2021000067865</t>
  </si>
  <si>
    <t xml:space="preserve">BOMGARDNER DAVID</t>
  </si>
  <si>
    <t xml:space="preserve">FOREST COFFEE PROPERTIES LLC</t>
  </si>
  <si>
    <t xml:space="preserve">R0003904</t>
  </si>
  <si>
    <t xml:space="preserve">151 S 1ST AVE</t>
  </si>
  <si>
    <t xml:space="preserve">0156907207007</t>
  </si>
  <si>
    <t xml:space="preserve">2021000141769</t>
  </si>
  <si>
    <t xml:space="preserve">BELIVEAU HOLDINGS LLC</t>
  </si>
  <si>
    <t xml:space="preserve">GUZMAN GUADALUPE</t>
  </si>
  <si>
    <t xml:space="preserve">R0059114</t>
  </si>
  <si>
    <t xml:space="preserve">1407 W 84TH AVE</t>
  </si>
  <si>
    <t xml:space="preserve">0171928100014</t>
  </si>
  <si>
    <t xml:space="preserve">2019000083335</t>
  </si>
  <si>
    <t xml:space="preserve">ADLP - 84TH LLC</t>
  </si>
  <si>
    <t xml:space="preserve">GKT MARKET SQUARE LLC</t>
  </si>
  <si>
    <t xml:space="preserve">R0114329</t>
  </si>
  <si>
    <t xml:space="preserve">1611 W 84TH AVE</t>
  </si>
  <si>
    <t xml:space="preserve">0171928205020</t>
  </si>
  <si>
    <t xml:space="preserve">2021000020317</t>
  </si>
  <si>
    <t xml:space="preserve">HSK INVESTMENTS LLC</t>
  </si>
  <si>
    <t xml:space="preserve">RINKU INC</t>
  </si>
  <si>
    <t xml:space="preserve">R0003870</t>
  </si>
  <si>
    <t xml:space="preserve">59  CABBAGE ST</t>
  </si>
  <si>
    <t xml:space="preserve">0156907203008</t>
  </si>
  <si>
    <t xml:space="preserve">2020000130091</t>
  </si>
  <si>
    <t xml:space="preserve">LOREDO JOSEPH GUALADUPE AND, LOREDO PATRICIA ANN</t>
  </si>
  <si>
    <t xml:space="preserve">RODRIGUEZ RUIZ GLIBERTO AND, RODRIGUEZ GILBERTO</t>
  </si>
  <si>
    <t xml:space="preserve">12421  WASHINGTON ST</t>
  </si>
  <si>
    <t xml:space="preserve">2019000006636</t>
  </si>
  <si>
    <t xml:space="preserve">CIP OWNER LLC</t>
  </si>
  <si>
    <t xml:space="preserve">851  HIGHWAY 224  #4A</t>
  </si>
  <si>
    <t xml:space="preserve">2018000019820</t>
  </si>
  <si>
    <t xml:space="preserve">BALES SPORT LLC</t>
  </si>
  <si>
    <t xml:space="preserve">R0103509</t>
  </si>
  <si>
    <t xml:space="preserve">6185  BROADWAY </t>
  </si>
  <si>
    <t xml:space="preserve">0182510203002</t>
  </si>
  <si>
    <t xml:space="preserve">2022000043033</t>
  </si>
  <si>
    <t xml:space="preserve">TRIPLE B VENTURES LLC</t>
  </si>
  <si>
    <t xml:space="preserve">HARTS GAS AND FOOD LLC, C/O PARKLAND CORP </t>
  </si>
  <si>
    <t xml:space="preserve">R0104080</t>
  </si>
  <si>
    <t xml:space="preserve">5347  SHERMAN ST</t>
  </si>
  <si>
    <t xml:space="preserve">0182515108023</t>
  </si>
  <si>
    <t xml:space="preserve">2021000033195</t>
  </si>
  <si>
    <t xml:space="preserve">SHERMAN STREET WEST, INVESTMENT COMPANY</t>
  </si>
  <si>
    <t xml:space="preserve">UHRIG HOLDINGS LLC ET AL</t>
  </si>
  <si>
    <t xml:space="preserve">R0092264</t>
  </si>
  <si>
    <t xml:space="preserve">5490  NEWPORT ST</t>
  </si>
  <si>
    <t xml:space="preserve">0182317101006</t>
  </si>
  <si>
    <t xml:space="preserve">2022000049643</t>
  </si>
  <si>
    <t xml:space="preserve">STUBBS-SON LLC</t>
  </si>
  <si>
    <t xml:space="preserve">R0037193</t>
  </si>
  <si>
    <t xml:space="preserve">650 W 106TH AVE</t>
  </si>
  <si>
    <t xml:space="preserve">0171910307020</t>
  </si>
  <si>
    <t xml:space="preserve">2018000098661</t>
  </si>
  <si>
    <t xml:space="preserve">WEST COAST HIGHWAY LLC</t>
  </si>
  <si>
    <t xml:space="preserve">BAIZER JOANNE M SUCCESSOR TRUSTEE, OF THE MILDRED G SEGAL TRUST</t>
  </si>
  <si>
    <t xml:space="preserve">R0114277</t>
  </si>
  <si>
    <t xml:space="preserve">4915 E 52ND AVE</t>
  </si>
  <si>
    <t xml:space="preserve">0182318100095</t>
  </si>
  <si>
    <t xml:space="preserve">2020000137498</t>
  </si>
  <si>
    <t xml:space="preserve">HERSKOVITS INVESTMENTS LLC</t>
  </si>
  <si>
    <t xml:space="preserve">4915 E 52ND LLC</t>
  </si>
  <si>
    <t xml:space="preserve">R0092867</t>
  </si>
  <si>
    <t xml:space="preserve">5505 E 48TH AVE</t>
  </si>
  <si>
    <t xml:space="preserve">0182318400007</t>
  </si>
  <si>
    <t xml:space="preserve">2020000002464</t>
  </si>
  <si>
    <t xml:space="preserve">BRIDGESTONE FIRESTONE NORTH AMERICAN, TIRE LLC  ATTN TAX DEPT</t>
  </si>
  <si>
    <t xml:space="preserve">MC GREGOR HOLDINGS LLC</t>
  </si>
  <si>
    <t xml:space="preserve">R0145674</t>
  </si>
  <si>
    <t xml:space="preserve">6079  QUEBEC ST</t>
  </si>
  <si>
    <t xml:space="preserve">0182308116044</t>
  </si>
  <si>
    <t xml:space="preserve">2021000059069</t>
  </si>
  <si>
    <t xml:space="preserve">HENSEL DELBERT E AKA DELBERT</t>
  </si>
  <si>
    <t xml:space="preserve">JASHMAN INC</t>
  </si>
  <si>
    <t xml:space="preserve">R0103648</t>
  </si>
  <si>
    <t xml:space="preserve">1390 E 64TH AVE</t>
  </si>
  <si>
    <t xml:space="preserve">0182511201027</t>
  </si>
  <si>
    <t xml:space="preserve">2020000130265</t>
  </si>
  <si>
    <t xml:space="preserve">JONEAL LLC</t>
  </si>
  <si>
    <t xml:space="preserve">TSS INVESTMENTS LLC</t>
  </si>
  <si>
    <t xml:space="preserve">R0086237</t>
  </si>
  <si>
    <t xml:space="preserve">2200  TOWER RD</t>
  </si>
  <si>
    <t xml:space="preserve">620</t>
  </si>
  <si>
    <t xml:space="preserve">0182134200008</t>
  </si>
  <si>
    <t xml:space="preserve">2021000129671</t>
  </si>
  <si>
    <t xml:space="preserve">NARTEY DANIEL T AND, NARTEY ELLA L</t>
  </si>
  <si>
    <t xml:space="preserve">2200 TOWER LLC</t>
  </si>
  <si>
    <t xml:space="preserve">R0059553</t>
  </si>
  <si>
    <t xml:space="preserve">2385 W 84TH AVE</t>
  </si>
  <si>
    <t xml:space="preserve">0171928201006</t>
  </si>
  <si>
    <t xml:space="preserve">2018000072861</t>
  </si>
  <si>
    <t xml:space="preserve">GAS AND FOOD MART LLC</t>
  </si>
  <si>
    <t xml:space="preserve">SINGH PRADHAN PRABHAT MAN AND , PRADHAN CHANDANI JOSHI </t>
  </si>
  <si>
    <t xml:space="preserve">R0002429</t>
  </si>
  <si>
    <t xml:space="preserve">695 N 7TH AVE</t>
  </si>
  <si>
    <t xml:space="preserve">0156906101015</t>
  </si>
  <si>
    <t xml:space="preserve">2021000090938</t>
  </si>
  <si>
    <t xml:space="preserve">ATI DEVELOPMENT LLC</t>
  </si>
  <si>
    <t xml:space="preserve">WEALTH BUILDING PROPERTIES LLC</t>
  </si>
  <si>
    <t xml:space="preserve">R0125399</t>
  </si>
  <si>
    <t xml:space="preserve">6550  FRANKLIN ST</t>
  </si>
  <si>
    <t xml:space="preserve">0182502403042</t>
  </si>
  <si>
    <t xml:space="preserve">2019000093364</t>
  </si>
  <si>
    <t xml:space="preserve">URSUS HORRIBILIS LLC</t>
  </si>
  <si>
    <t xml:space="preserve">6550 FRANKLIN LLC</t>
  </si>
  <si>
    <t xml:space="preserve">R0002759</t>
  </si>
  <si>
    <t xml:space="preserve">257 N MAIN ST</t>
  </si>
  <si>
    <t xml:space="preserve">0156906306004</t>
  </si>
  <si>
    <t xml:space="preserve">2018000034670</t>
  </si>
  <si>
    <t xml:space="preserve">ALVAREZ JOSE LUIS</t>
  </si>
  <si>
    <t xml:space="preserve">R0129932</t>
  </si>
  <si>
    <t xml:space="preserve">37550  ASTRA WAY #5E</t>
  </si>
  <si>
    <t xml:space="preserve">0181716405006</t>
  </si>
  <si>
    <t xml:space="preserve">2018000040787</t>
  </si>
  <si>
    <t xml:space="preserve">HANGAR SPACE LLC, C/O PEGGY LONG</t>
  </si>
  <si>
    <t xml:space="preserve">WIEBOLD ROBERT T</t>
  </si>
  <si>
    <t xml:space="preserve">R0092695</t>
  </si>
  <si>
    <t xml:space="preserve">6390 E 49TH DR</t>
  </si>
  <si>
    <t xml:space="preserve">0182317304049</t>
  </si>
  <si>
    <t xml:space="preserve">2019000012690</t>
  </si>
  <si>
    <t xml:space="preserve">NOVA WAY INVESTMENTS INC</t>
  </si>
  <si>
    <t xml:space="preserve">R0141093</t>
  </si>
  <si>
    <t xml:space="preserve">37700  CESSNA WAY</t>
  </si>
  <si>
    <t xml:space="preserve">0181715201009</t>
  </si>
  <si>
    <t xml:space="preserve">2020000123653</t>
  </si>
  <si>
    <t xml:space="preserve">O MALLEY SUZANNE LOUISE</t>
  </si>
  <si>
    <t xml:space="preserve">FASTGLAS HOLDINGS LLC</t>
  </si>
  <si>
    <t xml:space="preserve">R0129305</t>
  </si>
  <si>
    <t xml:space="preserve">7175 IVY ST</t>
  </si>
  <si>
    <t xml:space="preserve">0182305221034</t>
  </si>
  <si>
    <t xml:space="preserve">2018000005251</t>
  </si>
  <si>
    <t xml:space="preserve">BAIRD INDUSTRIAL ASSETS LLC</t>
  </si>
  <si>
    <t xml:space="preserve">PPTS PROPERTIES LLC</t>
  </si>
  <si>
    <t xml:space="preserve">R0037110</t>
  </si>
  <si>
    <t xml:space="preserve">11184  HURON ST #10</t>
  </si>
  <si>
    <t xml:space="preserve">0171910217010</t>
  </si>
  <si>
    <t xml:space="preserve">2022000002957</t>
  </si>
  <si>
    <t xml:space="preserve">LASZLO ENTERPRISES LLC</t>
  </si>
  <si>
    <t xml:space="preserve">WYGONSKI ENTERPRISES LLC</t>
  </si>
  <si>
    <t xml:space="preserve">R0138742</t>
  </si>
  <si>
    <t xml:space="preserve">10420  MELODY DR</t>
  </si>
  <si>
    <t xml:space="preserve">C-5-Nor</t>
  </si>
  <si>
    <t xml:space="preserve">0171910302011</t>
  </si>
  <si>
    <t xml:space="preserve">2020000137538</t>
  </si>
  <si>
    <t xml:space="preserve">MP NORTHGLENN LLC, C/O THE HUTENSKY GROUP LLC</t>
  </si>
  <si>
    <t xml:space="preserve">PISCIOTTA LARRY F 28% UND INT AND ET AL, C/O RED ARROW CAPITAL</t>
  </si>
  <si>
    <t xml:space="preserve">R0119551</t>
  </si>
  <si>
    <t xml:space="preserve">9101  PEARL ST</t>
  </si>
  <si>
    <t xml:space="preserve">City Center</t>
  </si>
  <si>
    <t xml:space="preserve">0171922403010</t>
  </si>
  <si>
    <t xml:space="preserve">2020000016308</t>
  </si>
  <si>
    <t xml:space="preserve">PEARL91 LLC</t>
  </si>
  <si>
    <t xml:space="preserve">495 W CEDAR AVE LLC</t>
  </si>
  <si>
    <t xml:space="preserve">R0062919</t>
  </si>
  <si>
    <t xml:space="preserve">8791  WOLFF CT #120</t>
  </si>
  <si>
    <t xml:space="preserve">0171930218014</t>
  </si>
  <si>
    <t xml:space="preserve">2019000018480</t>
  </si>
  <si>
    <t xml:space="preserve">PATRICK LYNCH INVESTMENTS LLC</t>
  </si>
  <si>
    <t xml:space="preserve">J&amp;M ESTATES LLC</t>
  </si>
  <si>
    <t xml:space="preserve">R0085941</t>
  </si>
  <si>
    <t xml:space="preserve">1660  CHAMBERS RD</t>
  </si>
  <si>
    <t xml:space="preserve">0182132315028</t>
  </si>
  <si>
    <t xml:space="preserve">2018000094513</t>
  </si>
  <si>
    <t xml:space="preserve">CARDINAL ENTERPRISES LLC</t>
  </si>
  <si>
    <t xml:space="preserve">HIGHLINE ROOFING &amp; GUTTERS INC</t>
  </si>
  <si>
    <t xml:space="preserve">R0091927</t>
  </si>
  <si>
    <t xml:space="preserve">6333 E 56TH AVE</t>
  </si>
  <si>
    <t xml:space="preserve">0182308302045</t>
  </si>
  <si>
    <t xml:space="preserve">2019000082653</t>
  </si>
  <si>
    <t xml:space="preserve">PICCONE INVESTMENT, CORPORATION</t>
  </si>
  <si>
    <t xml:space="preserve">ROCKYSTAR PROPERTIES LLC</t>
  </si>
  <si>
    <t xml:space="preserve">R0003372</t>
  </si>
  <si>
    <t xml:space="preserve">715  BRIDGE ST</t>
  </si>
  <si>
    <t xml:space="preserve">0156906427019</t>
  </si>
  <si>
    <t xml:space="preserve">2021000069979</t>
  </si>
  <si>
    <t xml:space="preserve">DELAY LINDA M</t>
  </si>
  <si>
    <t xml:space="preserve">TORRES GUADALUPE D AND, TORRES LATOYA A</t>
  </si>
  <si>
    <t xml:space="preserve">R0062927</t>
  </si>
  <si>
    <t xml:space="preserve">8771  WOLFF CT</t>
  </si>
  <si>
    <t xml:space="preserve">0171930218022</t>
  </si>
  <si>
    <t xml:space="preserve">2018000088227</t>
  </si>
  <si>
    <t xml:space="preserve">LONG RALPH AND LONG KAY</t>
  </si>
  <si>
    <t xml:space="preserve">MILE HI PROPERTY PARTNERS LLC</t>
  </si>
  <si>
    <t xml:space="preserve">R0002853</t>
  </si>
  <si>
    <t xml:space="preserve">12 N MAIN ST</t>
  </si>
  <si>
    <t xml:space="preserve">0156906315011</t>
  </si>
  <si>
    <t xml:space="preserve">2018000019989</t>
  </si>
  <si>
    <t xml:space="preserve">CLARK HOLLY AND, CLARK NANCY</t>
  </si>
  <si>
    <t xml:space="preserve">BLS INVESTMENTS LLC</t>
  </si>
  <si>
    <t xml:space="preserve">2019000017150</t>
  </si>
  <si>
    <t xml:space="preserve">TSW CORPORATION</t>
  </si>
  <si>
    <t xml:space="preserve">R0077333</t>
  </si>
  <si>
    <t xml:space="preserve">8150  ROSEMARY ST</t>
  </si>
  <si>
    <t xml:space="preserve">0172128302002</t>
  </si>
  <si>
    <t xml:space="preserve">2022000013846</t>
  </si>
  <si>
    <t xml:space="preserve">GRAYSON MICHAEL</t>
  </si>
  <si>
    <t xml:space="preserve">LANDEROS ROBERTO</t>
  </si>
  <si>
    <t xml:space="preserve">R0112069</t>
  </si>
  <si>
    <t xml:space="preserve">10310  GRANT ST</t>
  </si>
  <si>
    <t xml:space="preserve">0171915108003</t>
  </si>
  <si>
    <t xml:space="preserve">2019000087084</t>
  </si>
  <si>
    <t xml:space="preserve">CAPTEC NET LEASE REALTY INC, COMMERCIAL NET LEASE REALTY INC</t>
  </si>
  <si>
    <t xml:space="preserve">TTRE CO I LLC</t>
  </si>
  <si>
    <t xml:space="preserve">R0150922</t>
  </si>
  <si>
    <t xml:space="preserve">3520 W 92ND AVE #100</t>
  </si>
  <si>
    <t xml:space="preserve">0171920325016</t>
  </si>
  <si>
    <t xml:space="preserve">2021000020792</t>
  </si>
  <si>
    <t xml:space="preserve">DR D E SANDUSKY D C LLC</t>
  </si>
  <si>
    <t xml:space="preserve">JASPER ENTERPRISES LLC</t>
  </si>
  <si>
    <t xml:space="preserve">R0090965</t>
  </si>
  <si>
    <t xml:space="preserve">4100 E 60TH AVE</t>
  </si>
  <si>
    <t xml:space="preserve">0182307300010</t>
  </si>
  <si>
    <t xml:space="preserve">2019000000064</t>
  </si>
  <si>
    <t xml:space="preserve">WOLF GREGORY S</t>
  </si>
  <si>
    <t xml:space="preserve">DENVER OIL LLC</t>
  </si>
  <si>
    <t xml:space="preserve">R0124579</t>
  </si>
  <si>
    <t xml:space="preserve">11152  HURON ST #209</t>
  </si>
  <si>
    <t xml:space="preserve">0171910205039</t>
  </si>
  <si>
    <t xml:space="preserve">2018000053240</t>
  </si>
  <si>
    <t xml:space="preserve">THB HOLDINGS LLC</t>
  </si>
  <si>
    <t xml:space="preserve">GREWE INVESTMENTS LLC</t>
  </si>
  <si>
    <t xml:space="preserve">R0155098</t>
  </si>
  <si>
    <t xml:space="preserve">6941  BROADWAY ST</t>
  </si>
  <si>
    <t xml:space="preserve">0182503218043</t>
  </si>
  <si>
    <t xml:space="preserve">2021000128943</t>
  </si>
  <si>
    <t xml:space="preserve">NB VENTURE LLC</t>
  </si>
  <si>
    <t xml:space="preserve">COLORADO RED ROCKS PROPERTIES LLC</t>
  </si>
  <si>
    <t xml:space="preserve">R0089683</t>
  </si>
  <si>
    <t xml:space="preserve">6970  EUDORA DR</t>
  </si>
  <si>
    <t xml:space="preserve">0182306106013</t>
  </si>
  <si>
    <t xml:space="preserve">2021000070195</t>
  </si>
  <si>
    <t xml:space="preserve">COMMERCE 6970 EUDORA LLC</t>
  </si>
  <si>
    <t xml:space="preserve">AMERICAN TRUCK CENTERS INC</t>
  </si>
  <si>
    <t xml:space="preserve">1563  JASPER ST</t>
  </si>
  <si>
    <t xml:space="preserve">2021000146014</t>
  </si>
  <si>
    <t xml:space="preserve">ELK RIDGE SELF STORAGE LLC</t>
  </si>
  <si>
    <t xml:space="preserve">CTTW HOLDINGS LLC AND, MARSCH NICHOLAS AND MARSCH &amp; BAKOUCHE RENTALS LLC ET AL</t>
  </si>
  <si>
    <t xml:space="preserve">R0024086</t>
  </si>
  <si>
    <t xml:space="preserve">1401 W 122ND AVE</t>
  </si>
  <si>
    <t xml:space="preserve">0157333006021</t>
  </si>
  <si>
    <t xml:space="preserve">2020000103992</t>
  </si>
  <si>
    <t xml:space="preserve">WFI PROPERTIES III LLC</t>
  </si>
  <si>
    <t xml:space="preserve">ICP-FLYWHEEL PARK CENTRE LLC</t>
  </si>
  <si>
    <t xml:space="preserve">R0132004</t>
  </si>
  <si>
    <t xml:space="preserve">12021  PENNSYLVANIA AVE #205</t>
  </si>
  <si>
    <t xml:space="preserve">0157334401017</t>
  </si>
  <si>
    <t xml:space="preserve">2021000024315</t>
  </si>
  <si>
    <t xml:space="preserve">PENN PLAZA 205 LLC</t>
  </si>
  <si>
    <t xml:space="preserve">ORCHID HOLDINGS LLC</t>
  </si>
  <si>
    <t xml:space="preserve">R0159472</t>
  </si>
  <si>
    <t xml:space="preserve">12001 E 33RD AVE #N</t>
  </si>
  <si>
    <t xml:space="preserve">0182326103036</t>
  </si>
  <si>
    <t xml:space="preserve">2022000053071</t>
  </si>
  <si>
    <t xml:space="preserve">KEIL WILLIAM D</t>
  </si>
  <si>
    <t xml:space="preserve">R/E LLC</t>
  </si>
  <si>
    <t xml:space="preserve">R0173173</t>
  </si>
  <si>
    <t xml:space="preserve">11154 HURON ST #210</t>
  </si>
  <si>
    <t xml:space="preserve">0171910205052</t>
  </si>
  <si>
    <t xml:space="preserve">2020000087985</t>
  </si>
  <si>
    <t xml:space="preserve">AKERS ASSET MANAGEMENT</t>
  </si>
  <si>
    <t xml:space="preserve">R0177682</t>
  </si>
  <si>
    <t xml:space="preserve">535 W 115TH AVE</t>
  </si>
  <si>
    <t xml:space="preserve">0171903305004</t>
  </si>
  <si>
    <t xml:space="preserve">2022000013420</t>
  </si>
  <si>
    <t xml:space="preserve">TILZER HOLDING LLC</t>
  </si>
  <si>
    <t xml:space="preserve">SCF RC FUNDING III LLC</t>
  </si>
  <si>
    <t xml:space="preserve">R0113336</t>
  </si>
  <si>
    <t xml:space="preserve">1750 E 112TH AVE</t>
  </si>
  <si>
    <t xml:space="preserve">0171911101043</t>
  </si>
  <si>
    <t xml:space="preserve">2022000007970</t>
  </si>
  <si>
    <t xml:space="preserve">EXCELL IRMA II LLC</t>
  </si>
  <si>
    <t xml:space="preserve">K AND K BHATTI LLC</t>
  </si>
  <si>
    <t xml:space="preserve">2020000039644</t>
  </si>
  <si>
    <t xml:space="preserve">NATIONAL BEDDING COMPANY LLC</t>
  </si>
  <si>
    <t xml:space="preserve">R0179935</t>
  </si>
  <si>
    <t xml:space="preserve">9410 FEDERAL BLVD</t>
  </si>
  <si>
    <t xml:space="preserve">0171920101021</t>
  </si>
  <si>
    <t xml:space="preserve">2021000062577</t>
  </si>
  <si>
    <t xml:space="preserve">HOANG KING FAMILY TRUST THE</t>
  </si>
  <si>
    <t xml:space="preserve">A&amp;A HOLDING LIMITED COMPANY OF UTAH</t>
  </si>
  <si>
    <t xml:space="preserve">R0110689</t>
  </si>
  <si>
    <t xml:space="preserve">9141 GRANT ST #206</t>
  </si>
  <si>
    <t xml:space="preserve">0171922404221</t>
  </si>
  <si>
    <t xml:space="preserve">2018000050696</t>
  </si>
  <si>
    <t xml:space="preserve">COLUMBIA-HEALTHONE LLC, C/O JOHN A LAMPE MD</t>
  </si>
  <si>
    <t xml:space="preserve">COLUMBIA-HEALTHONE LLC, C/O JAMES C GARLITZ </t>
  </si>
  <si>
    <t xml:space="preserve">R0168907</t>
  </si>
  <si>
    <t xml:space="preserve">14777 E 35TH PL</t>
  </si>
  <si>
    <t xml:space="preserve">0182130105001</t>
  </si>
  <si>
    <t xml:space="preserve">2018000103583</t>
  </si>
  <si>
    <t xml:space="preserve">MERRITT 777 LLC</t>
  </si>
  <si>
    <t xml:space="preserve">AMG INVESTMENTS LLC</t>
  </si>
  <si>
    <t xml:space="preserve">R0169154</t>
  </si>
  <si>
    <t xml:space="preserve">1137  BRIDGE ST</t>
  </si>
  <si>
    <t xml:space="preserve">0156905321008</t>
  </si>
  <si>
    <t xml:space="preserve">2018000033834</t>
  </si>
  <si>
    <t xml:space="preserve">5 G LLC</t>
  </si>
  <si>
    <t xml:space="preserve">LANZER RACHEL L</t>
  </si>
  <si>
    <t xml:space="preserve">R0173180</t>
  </si>
  <si>
    <t xml:space="preserve">5454  WASHINGTON ST#1</t>
  </si>
  <si>
    <t xml:space="preserve">0182514210012</t>
  </si>
  <si>
    <t xml:space="preserve">2020000003847</t>
  </si>
  <si>
    <t xml:space="preserve">5454 WASHINGTON ST NO 1 LLC</t>
  </si>
  <si>
    <t xml:space="preserve">2020 VISION LLC</t>
  </si>
  <si>
    <t xml:space="preserve">5454  WASHINGTON ST #8</t>
  </si>
  <si>
    <t xml:space="preserve">2021000081652</t>
  </si>
  <si>
    <t xml:space="preserve">REIL ENTERPRISES LLC</t>
  </si>
  <si>
    <t xml:space="preserve">R0098573</t>
  </si>
  <si>
    <t xml:space="preserve">75 W 64TH AVE</t>
  </si>
  <si>
    <t xml:space="preserve">0182503306002</t>
  </si>
  <si>
    <t xml:space="preserve">2018000005787</t>
  </si>
  <si>
    <t xml:space="preserve">BOULDER CAMPGROUNDS INC</t>
  </si>
  <si>
    <t xml:space="preserve">BPOS LLC</t>
  </si>
  <si>
    <t xml:space="preserve">R0002837</t>
  </si>
  <si>
    <t xml:space="preserve">29 N MAIN ST</t>
  </si>
  <si>
    <t xml:space="preserve">0156906314005</t>
  </si>
  <si>
    <t xml:space="preserve">2018000049723</t>
  </si>
  <si>
    <t xml:space="preserve">LAZY V SLASH LAND AND CATTLE COMPANY</t>
  </si>
  <si>
    <t xml:space="preserve">3885 FOREST LLC</t>
  </si>
  <si>
    <t xml:space="preserve">R0004562</t>
  </si>
  <si>
    <t xml:space="preserve">599 S MAIN ST</t>
  </si>
  <si>
    <t xml:space="preserve">0156907323005</t>
  </si>
  <si>
    <t xml:space="preserve">2018000029142</t>
  </si>
  <si>
    <t xml:space="preserve">599 SO MAIN STREET LLC</t>
  </si>
  <si>
    <t xml:space="preserve">WATER DROP TRUST</t>
  </si>
  <si>
    <t xml:space="preserve">2020000134040</t>
  </si>
  <si>
    <t xml:space="preserve">MAINLINE CONSTRUCTION LLC</t>
  </si>
  <si>
    <t xml:space="preserve">R0075346</t>
  </si>
  <si>
    <t xml:space="preserve">10001  BRIGHTON RD</t>
  </si>
  <si>
    <t xml:space="preserve">0172116002001</t>
  </si>
  <si>
    <t xml:space="preserve">2020000015791</t>
  </si>
  <si>
    <t xml:space="preserve">NOREGS LLC</t>
  </si>
  <si>
    <t xml:space="preserve">10001 BRIGHTON LLC</t>
  </si>
  <si>
    <t xml:space="preserve">R0098211</t>
  </si>
  <si>
    <t xml:space="preserve">6580  VINE CT</t>
  </si>
  <si>
    <t xml:space="preserve">0182502404010</t>
  </si>
  <si>
    <t xml:space="preserve">2018000029188</t>
  </si>
  <si>
    <t xml:space="preserve">ARMSTRONG DARRYL AND, ARMSTRONG MARY E</t>
  </si>
  <si>
    <t xml:space="preserve">PVGG PROPERTIES LLC</t>
  </si>
  <si>
    <t xml:space="preserve">R0103717</t>
  </si>
  <si>
    <t xml:space="preserve">5960  MARION DR</t>
  </si>
  <si>
    <t xml:space="preserve">0182511303006</t>
  </si>
  <si>
    <t xml:space="preserve">2018000046553</t>
  </si>
  <si>
    <t xml:space="preserve">VEGHTE RICHARD</t>
  </si>
  <si>
    <t xml:space="preserve">REGION LTD</t>
  </si>
  <si>
    <t xml:space="preserve">R0071224</t>
  </si>
  <si>
    <t xml:space="preserve">12555 E 112TH AVE</t>
  </si>
  <si>
    <t xml:space="preserve">0172101000025</t>
  </si>
  <si>
    <t xml:space="preserve">2018000002368</t>
  </si>
  <si>
    <t xml:space="preserve">ERGER PATRICIA L</t>
  </si>
  <si>
    <t xml:space="preserve">MYR REAL ESTATE HOLDINGS LLC</t>
  </si>
  <si>
    <t xml:space="preserve">R0068361</t>
  </si>
  <si>
    <t xml:space="preserve">2387 W 72ND AVE</t>
  </si>
  <si>
    <t xml:space="preserve">0171933300007</t>
  </si>
  <si>
    <t xml:space="preserve">2022000002206</t>
  </si>
  <si>
    <t xml:space="preserve">COLAFLO LLC</t>
  </si>
  <si>
    <t xml:space="preserve">R0174705</t>
  </si>
  <si>
    <t xml:space="preserve">15550 E 103RD PL</t>
  </si>
  <si>
    <t xml:space="preserve">0172317214001</t>
  </si>
  <si>
    <t xml:space="preserve">2018000077482</t>
  </si>
  <si>
    <t xml:space="preserve">NORTH RANGE TC LLC</t>
  </si>
  <si>
    <t xml:space="preserve">NORTH RANGE HOLDINGS LLC</t>
  </si>
  <si>
    <t xml:space="preserve">R0178833</t>
  </si>
  <si>
    <t xml:space="preserve">5190  VIOLET HILL ST #F</t>
  </si>
  <si>
    <t xml:space="preserve">0181716411004</t>
  </si>
  <si>
    <t xml:space="preserve">2021000145381</t>
  </si>
  <si>
    <t xml:space="preserve">CONSALVI JAMES V</t>
  </si>
  <si>
    <t xml:space="preserve">R0178835</t>
  </si>
  <si>
    <t xml:space="preserve">5190  VIOLET HILL ST #B</t>
  </si>
  <si>
    <t xml:space="preserve">0181716411006</t>
  </si>
  <si>
    <t xml:space="preserve">2020000101848</t>
  </si>
  <si>
    <t xml:space="preserve">NORLOFF RICHARD W</t>
  </si>
  <si>
    <t xml:space="preserve">R0178830</t>
  </si>
  <si>
    <t xml:space="preserve">5190  VIOLET HILL ST #A</t>
  </si>
  <si>
    <t xml:space="preserve">0181716411001</t>
  </si>
  <si>
    <t xml:space="preserve">2021000042447</t>
  </si>
  <si>
    <t xml:space="preserve">AEROJET SERVICES INC</t>
  </si>
  <si>
    <t xml:space="preserve">5635  FRANKLIN ST</t>
  </si>
  <si>
    <t xml:space="preserve">2022000034170</t>
  </si>
  <si>
    <t xml:space="preserve">HARBERT ENTERPRISES LLC</t>
  </si>
  <si>
    <t xml:space="preserve">P STREET II LLC</t>
  </si>
  <si>
    <t xml:space="preserve">2091  CORONADO PKYN</t>
  </si>
  <si>
    <t xml:space="preserve">2021000129215</t>
  </si>
  <si>
    <t xml:space="preserve">CORONADO PROPERTIES LLC</t>
  </si>
  <si>
    <t xml:space="preserve">R0164255</t>
  </si>
  <si>
    <t xml:space="preserve">19401 E 23RD AVE</t>
  </si>
  <si>
    <t xml:space="preserve">0182134101008</t>
  </si>
  <si>
    <t xml:space="preserve">2020000045310</t>
  </si>
  <si>
    <t xml:space="preserve">GUTH HOLDINGS LLC</t>
  </si>
  <si>
    <t xml:space="preserve">BUEHLER GROUP LLC</t>
  </si>
  <si>
    <t xml:space="preserve">R0165727</t>
  </si>
  <si>
    <t xml:space="preserve">997  PLATTE RIVER BLVD</t>
  </si>
  <si>
    <t xml:space="preserve">0157113101029</t>
  </si>
  <si>
    <t xml:space="preserve">2018000032847</t>
  </si>
  <si>
    <t xml:space="preserve">SWEDE HOLDINGS LLC</t>
  </si>
  <si>
    <t xml:space="preserve">NORAA INVESTMENTS LLC</t>
  </si>
  <si>
    <t xml:space="preserve">R0082795</t>
  </si>
  <si>
    <t xml:space="preserve">475  PALMER AVE</t>
  </si>
  <si>
    <t xml:space="preserve">0181527318005</t>
  </si>
  <si>
    <t xml:space="preserve">2018000067420</t>
  </si>
  <si>
    <t xml:space="preserve">PALMER HOUSE OF BENNETT INC THE</t>
  </si>
  <si>
    <t xml:space="preserve">BENNETT PROPERTIES UNLIMITED LLC</t>
  </si>
  <si>
    <t xml:space="preserve">R0003845</t>
  </si>
  <si>
    <t xml:space="preserve">55 S 4TH AVE</t>
  </si>
  <si>
    <t xml:space="preserve">0156907201015</t>
  </si>
  <si>
    <t xml:space="preserve">2019000044695</t>
  </si>
  <si>
    <t xml:space="preserve">NELSON GEOFFREY A</t>
  </si>
  <si>
    <t xml:space="preserve">COLORADO PRESTIGE INSURANCE INC</t>
  </si>
  <si>
    <t xml:space="preserve">R0024059</t>
  </si>
  <si>
    <t xml:space="preserve">12095 MARIPOSA ST</t>
  </si>
  <si>
    <t xml:space="preserve">0157333004005</t>
  </si>
  <si>
    <t xml:space="preserve">2022000042686</t>
  </si>
  <si>
    <t xml:space="preserve">PURE STRIKE WESTMINSTER LLC, C/O PETER KRAMER</t>
  </si>
  <si>
    <t xml:space="preserve">CWP WESTMINSTER I LLC</t>
  </si>
  <si>
    <t xml:space="preserve">R0125142</t>
  </si>
  <si>
    <t xml:space="preserve">9670  DALLAS ST UNIT 11</t>
  </si>
  <si>
    <t xml:space="preserve">0172115303011</t>
  </si>
  <si>
    <t xml:space="preserve">2021000061946</t>
  </si>
  <si>
    <t xml:space="preserve">THOMAS RUBY A TRUST</t>
  </si>
  <si>
    <t xml:space="preserve">SCOTT EZRA THOMAS</t>
  </si>
  <si>
    <t xml:space="preserve">R0125131</t>
  </si>
  <si>
    <t xml:space="preserve">9670  DALLAS ST UNIT 1</t>
  </si>
  <si>
    <t xml:space="preserve">0172115303001</t>
  </si>
  <si>
    <t xml:space="preserve">2022000057529</t>
  </si>
  <si>
    <t xml:space="preserve">EHW LLC</t>
  </si>
  <si>
    <t xml:space="preserve">9670 COMMERCE LLC</t>
  </si>
  <si>
    <t xml:space="preserve">R0075193</t>
  </si>
  <si>
    <t xml:space="preserve">10301 E 107TH PL</t>
  </si>
  <si>
    <t xml:space="preserve">0172110004006</t>
  </si>
  <si>
    <t xml:space="preserve">2019000078801</t>
  </si>
  <si>
    <t xml:space="preserve">RAM LEASING LLC</t>
  </si>
  <si>
    <t xml:space="preserve">L AND A HOLDINGS LLC, C/O ORION </t>
  </si>
  <si>
    <t xml:space="preserve">R0003510</t>
  </si>
  <si>
    <t xml:space="preserve">420  COURT PL</t>
  </si>
  <si>
    <t xml:space="preserve">0156907107001</t>
  </si>
  <si>
    <t xml:space="preserve">2020000084242</t>
  </si>
  <si>
    <t xml:space="preserve">DAVIDS COURT LL</t>
  </si>
  <si>
    <t xml:space="preserve">G&amp;T GROUP 120 LLC</t>
  </si>
  <si>
    <t xml:space="preserve">R0031065</t>
  </si>
  <si>
    <t xml:space="preserve">11411  PEARL ST</t>
  </si>
  <si>
    <t xml:space="preserve">0171903410015</t>
  </si>
  <si>
    <t xml:space="preserve">2022000056456</t>
  </si>
  <si>
    <t xml:space="preserve">ARMS LLC</t>
  </si>
  <si>
    <t xml:space="preserve">R0152700</t>
  </si>
  <si>
    <t xml:space="preserve">2600 W 62ND AVE</t>
  </si>
  <si>
    <t xml:space="preserve">0182508103047</t>
  </si>
  <si>
    <t xml:space="preserve">2019000102164</t>
  </si>
  <si>
    <t xml:space="preserve">STEP 13 INC</t>
  </si>
  <si>
    <t xml:space="preserve">ATR HOLDINGS LLC</t>
  </si>
  <si>
    <t xml:space="preserve">R0085791</t>
  </si>
  <si>
    <t xml:space="preserve">2200  CHAMBERS RD #F</t>
  </si>
  <si>
    <t xml:space="preserve">0182132008007</t>
  </si>
  <si>
    <t xml:space="preserve">2020000114296</t>
  </si>
  <si>
    <t xml:space="preserve">MYERS CHARLES R</t>
  </si>
  <si>
    <t xml:space="preserve">2200 CHAMBERS UNIT F LLC</t>
  </si>
  <si>
    <t xml:space="preserve">R0129049</t>
  </si>
  <si>
    <t xml:space="preserve">2530 W 63RD CT</t>
  </si>
  <si>
    <t xml:space="preserve">0182508103016</t>
  </si>
  <si>
    <t xml:space="preserve">2021000135624</t>
  </si>
  <si>
    <t xml:space="preserve">GWE L P</t>
  </si>
  <si>
    <t xml:space="preserve">ABSOLUTE DIPLOMACY LLC</t>
  </si>
  <si>
    <t xml:space="preserve">R0084104</t>
  </si>
  <si>
    <t xml:space="preserve">15370  SMITH RD</t>
  </si>
  <si>
    <t xml:space="preserve">0182129003001</t>
  </si>
  <si>
    <t xml:space="preserve">2022000029850</t>
  </si>
  <si>
    <t xml:space="preserve">MARQUIS JOHN C</t>
  </si>
  <si>
    <t xml:space="preserve">SMITH ROAD PARTNERS LLC</t>
  </si>
  <si>
    <t xml:space="preserve">R0117232</t>
  </si>
  <si>
    <t xml:space="preserve">1801 W 64TH LN</t>
  </si>
  <si>
    <t xml:space="preserve">0182504302005</t>
  </si>
  <si>
    <t xml:space="preserve">2021000143584</t>
  </si>
  <si>
    <t xml:space="preserve">SAME PAGE LLC</t>
  </si>
  <si>
    <t xml:space="preserve">J3 HOLDINGS LLC</t>
  </si>
  <si>
    <t xml:space="preserve">R0077603</t>
  </si>
  <si>
    <t xml:space="preserve">8021  PONTIAC ST</t>
  </si>
  <si>
    <t xml:space="preserve">0172129404005</t>
  </si>
  <si>
    <t xml:space="preserve">2019000007753</t>
  </si>
  <si>
    <t xml:space="preserve">NGUYEN THANH AND, NGUYEN NGAT</t>
  </si>
  <si>
    <t xml:space="preserve">TIU JOSEPH T AND, TIU CHRISTINA G</t>
  </si>
  <si>
    <t xml:space="preserve">R0173191</t>
  </si>
  <si>
    <t xml:space="preserve">1511 W 70TH AVE</t>
  </si>
  <si>
    <t xml:space="preserve">0182504123002</t>
  </si>
  <si>
    <t xml:space="preserve">2019000090438</t>
  </si>
  <si>
    <t xml:space="preserve">BRICKOP COLORADO I LLC</t>
  </si>
  <si>
    <t xml:space="preserve">NBC COMMERCIAL LLC</t>
  </si>
  <si>
    <t xml:space="preserve">R0079075</t>
  </si>
  <si>
    <t xml:space="preserve">5640 E 77TH AVE</t>
  </si>
  <si>
    <t xml:space="preserve">0172132225004</t>
  </si>
  <si>
    <t xml:space="preserve">2018000010550</t>
  </si>
  <si>
    <t xml:space="preserve">WALTERS GARY AND CAROL FAMILY TRUST, 2014</t>
  </si>
  <si>
    <t xml:space="preserve">PENNWAY ASSOCIATES IV LLC</t>
  </si>
  <si>
    <t xml:space="preserve">R0100916</t>
  </si>
  <si>
    <t xml:space="preserve">3720 W 72ND AVE</t>
  </si>
  <si>
    <t xml:space="preserve">0182506114001</t>
  </si>
  <si>
    <t xml:space="preserve">2020000029593</t>
  </si>
  <si>
    <t xml:space="preserve">LUKE ERIC T AND, LUKE KATHY H</t>
  </si>
  <si>
    <t xml:space="preserve">SPH LLC</t>
  </si>
  <si>
    <t xml:space="preserve">R0187068</t>
  </si>
  <si>
    <t xml:space="preserve">12774 S COLORADO BLVD #B-1</t>
  </si>
  <si>
    <t xml:space="preserve">0157131209026</t>
  </si>
  <si>
    <t xml:space="preserve">2018000103186</t>
  </si>
  <si>
    <t xml:space="preserve">JIMMY2 LLC</t>
  </si>
  <si>
    <t xml:space="preserve">PERFORMANCE RENTALS LLC</t>
  </si>
  <si>
    <t xml:space="preserve">R0125143</t>
  </si>
  <si>
    <t xml:space="preserve">9670  DALLAS ST #12</t>
  </si>
  <si>
    <t xml:space="preserve">0172115303012</t>
  </si>
  <si>
    <t xml:space="preserve">2018000086276</t>
  </si>
  <si>
    <t xml:space="preserve">GA RENTAL LLC</t>
  </si>
  <si>
    <t xml:space="preserve">FROEMKE LINDA AND, DELVALLE JAMES</t>
  </si>
  <si>
    <t xml:space="preserve">9670  DALLAS ST #1</t>
  </si>
  <si>
    <t xml:space="preserve">2018000095674</t>
  </si>
  <si>
    <t xml:space="preserve">PUNJI PROPERTIES LLC</t>
  </si>
  <si>
    <t xml:space="preserve">9670 DALLAS ST UNIT 1 LLC</t>
  </si>
  <si>
    <t xml:space="preserve">R0153403</t>
  </si>
  <si>
    <t xml:space="preserve">2150  BRIDGE ST</t>
  </si>
  <si>
    <t xml:space="preserve">0156908101064</t>
  </si>
  <si>
    <t xml:space="preserve">2021000075481</t>
  </si>
  <si>
    <t xml:space="preserve">GRD BURLESON LLC</t>
  </si>
  <si>
    <t xml:space="preserve">HURD WAUKEE LLC, C/O HURD REAL ESTATE</t>
  </si>
  <si>
    <t xml:space="preserve">R0095069</t>
  </si>
  <si>
    <t xml:space="preserve">1520  CHESTER ST</t>
  </si>
  <si>
    <t xml:space="preserve">0182334329010</t>
  </si>
  <si>
    <t xml:space="preserve">2020000011930</t>
  </si>
  <si>
    <t xml:space="preserve">HAT TRICK LLC</t>
  </si>
  <si>
    <t xml:space="preserve">R0176451</t>
  </si>
  <si>
    <t xml:space="preserve">848 E 78TH AVE  3 UNITS</t>
  </si>
  <si>
    <t xml:space="preserve">0171935233010</t>
  </si>
  <si>
    <t xml:space="preserve">2020000073688</t>
  </si>
  <si>
    <t xml:space="preserve">K &amp; L LLC</t>
  </si>
  <si>
    <t xml:space="preserve">RAMES INVESTMENTS LLC</t>
  </si>
  <si>
    <t xml:space="preserve">R0187234</t>
  </si>
  <si>
    <t xml:space="preserve">70  BRIDGE ST</t>
  </si>
  <si>
    <t xml:space="preserve">0156907206023</t>
  </si>
  <si>
    <t xml:space="preserve">2022000000192</t>
  </si>
  <si>
    <t xml:space="preserve">CAPO HOLDINGS LLC</t>
  </si>
  <si>
    <t xml:space="preserve">R0091505</t>
  </si>
  <si>
    <t xml:space="preserve">6100 E 64TH AVE</t>
  </si>
  <si>
    <t xml:space="preserve">0182308201001</t>
  </si>
  <si>
    <t xml:space="preserve">2018000057313</t>
  </si>
  <si>
    <t xml:space="preserve">6100 E 64TH LLC</t>
  </si>
  <si>
    <t xml:space="preserve">HOTAKI ALI K</t>
  </si>
  <si>
    <t xml:space="preserve">R0037125</t>
  </si>
  <si>
    <t xml:space="preserve">11172  HURON ST #25</t>
  </si>
  <si>
    <t xml:space="preserve">0171910217025</t>
  </si>
  <si>
    <t xml:space="preserve">2021000044765</t>
  </si>
  <si>
    <t xml:space="preserve">COCCIMIGLIO DAVID CAHOON</t>
  </si>
  <si>
    <t xml:space="preserve">DALE STACEY</t>
  </si>
  <si>
    <t xml:space="preserve">R0145696</t>
  </si>
  <si>
    <t xml:space="preserve">5418  FEDERAL BLVD</t>
  </si>
  <si>
    <t xml:space="preserve">0182517104050</t>
  </si>
  <si>
    <t xml:space="preserve">2018000019896</t>
  </si>
  <si>
    <t xml:space="preserve">PASSTIME COLORADO PROPERTIES LLC</t>
  </si>
  <si>
    <t xml:space="preserve">LEGER PROPERTY GROUP LLC</t>
  </si>
  <si>
    <t xml:space="preserve">10795  IRMA DR</t>
  </si>
  <si>
    <t xml:space="preserve">2018000100590</t>
  </si>
  <si>
    <t xml:space="preserve">MITCHELL ANTHONY C</t>
  </si>
  <si>
    <t xml:space="preserve">R0118776</t>
  </si>
  <si>
    <t xml:space="preserve">6071 E 72ND AVE</t>
  </si>
  <si>
    <t xml:space="preserve">0172132309021</t>
  </si>
  <si>
    <t xml:space="preserve">2019000054501</t>
  </si>
  <si>
    <t xml:space="preserve">PETERMAN INVESTMENTS LLC</t>
  </si>
  <si>
    <t xml:space="preserve">R0137582</t>
  </si>
  <si>
    <t xml:space="preserve">5610  PECOS ST</t>
  </si>
  <si>
    <t xml:space="preserve">0182516102004</t>
  </si>
  <si>
    <t xml:space="preserve">2018000049454</t>
  </si>
  <si>
    <t xml:space="preserve">MERCHANTS METALS LLC</t>
  </si>
  <si>
    <t xml:space="preserve">RINGSBY TERMINALS INC</t>
  </si>
  <si>
    <t xml:space="preserve">R0051858</t>
  </si>
  <si>
    <t xml:space="preserve">1540  EPPINGER BLVD</t>
  </si>
  <si>
    <t xml:space="preserve">Single Family Detached</t>
  </si>
  <si>
    <t xml:space="preserve">0171923116018</t>
  </si>
  <si>
    <t xml:space="preserve">2019000072976</t>
  </si>
  <si>
    <t xml:space="preserve">ACCION NEW MEXICO INC , DBA ACCION NEW MEXICO-ARIZONA-COLORADO</t>
  </si>
  <si>
    <t xml:space="preserve">1540 EPPINGER BLVD LLC</t>
  </si>
  <si>
    <t xml:space="preserve">R0141086</t>
  </si>
  <si>
    <t xml:space="preserve">37700  CESSNA WAY #1E</t>
  </si>
  <si>
    <t xml:space="preserve">0181715201002</t>
  </si>
  <si>
    <t xml:space="preserve">2022000049868</t>
  </si>
  <si>
    <t xml:space="preserve">KOONTZ DENNIS E AND, KOONTZ CELESTE N</t>
  </si>
  <si>
    <t xml:space="preserve">CFO HANGAR LLC</t>
  </si>
  <si>
    <t xml:space="preserve">R0138741</t>
  </si>
  <si>
    <t xml:space="preserve">10410  MELODY DR</t>
  </si>
  <si>
    <t xml:space="preserve">0171910302012</t>
  </si>
  <si>
    <t xml:space="preserve">2020000137537</t>
  </si>
  <si>
    <t xml:space="preserve">R0178850</t>
  </si>
  <si>
    <t xml:space="preserve">10337  WASHINGTON ST</t>
  </si>
  <si>
    <t xml:space="preserve">0171915109002</t>
  </si>
  <si>
    <t xml:space="preserve">2022000012148</t>
  </si>
  <si>
    <t xml:space="preserve">US-STABLE-P1 10337 WASHINGTON STREET THORNTON LLC</t>
  </si>
  <si>
    <t xml:space="preserve">KEYSTONE 1031 NET LEASED PORTFOLIO II DST</t>
  </si>
  <si>
    <t xml:space="preserve">R0173800</t>
  </si>
  <si>
    <t xml:space="preserve">12302 E 104TH PL</t>
  </si>
  <si>
    <t xml:space="preserve">0172112303067</t>
  </si>
  <si>
    <t xml:space="preserve">2021000011477</t>
  </si>
  <si>
    <t xml:space="preserve">PIERCE STREET PROPERTIES LLC</t>
  </si>
  <si>
    <t xml:space="preserve">2401 RR LLC</t>
  </si>
  <si>
    <t xml:space="preserve">R0155372</t>
  </si>
  <si>
    <t xml:space="preserve">1101 W 62ND AVE</t>
  </si>
  <si>
    <t xml:space="preserve">0182509100052</t>
  </si>
  <si>
    <t xml:space="preserve">2018000043358</t>
  </si>
  <si>
    <t xml:space="preserve">TEJEDA COSME S</t>
  </si>
  <si>
    <t xml:space="preserve">R0178237</t>
  </si>
  <si>
    <t xml:space="preserve">12295  PENNSYLVANIA ST</t>
  </si>
  <si>
    <t xml:space="preserve">0157334405010</t>
  </si>
  <si>
    <t xml:space="preserve">2021000008722</t>
  </si>
  <si>
    <t xml:space="preserve">PENN INVESTMENT LLC</t>
  </si>
  <si>
    <t xml:space="preserve">RIVERDANCE LAND COMPANY LLC</t>
  </si>
  <si>
    <t xml:space="preserve">2020000076366</t>
  </si>
  <si>
    <t xml:space="preserve">FIG JOINT VENTURE LLC</t>
  </si>
  <si>
    <t xml:space="preserve">R0165671</t>
  </si>
  <si>
    <t xml:space="preserve">37800  ASTRA WAY #5E</t>
  </si>
  <si>
    <t xml:space="preserve">0181715309011</t>
  </si>
  <si>
    <t xml:space="preserve">2021000019693</t>
  </si>
  <si>
    <t xml:space="preserve">COLORADO HANGARS LLC</t>
  </si>
  <si>
    <t xml:space="preserve">SPACEPORT HANGARS LLC</t>
  </si>
  <si>
    <t xml:space="preserve">R0051118</t>
  </si>
  <si>
    <t xml:space="preserve">9190  HURON ST</t>
  </si>
  <si>
    <t xml:space="preserve">0171922300005</t>
  </si>
  <si>
    <t xml:space="preserve">2018000006854</t>
  </si>
  <si>
    <t xml:space="preserve">H D T FIFTEEN LIMITED, LIABILITY COMPANY</t>
  </si>
  <si>
    <t xml:space="preserve">CH REALTY VIII/CG CO WESTERN LLC</t>
  </si>
  <si>
    <t xml:space="preserve">2022000012044</t>
  </si>
  <si>
    <t xml:space="preserve">DYCHES FAMILY LLC</t>
  </si>
  <si>
    <t xml:space="preserve">R0174043</t>
  </si>
  <si>
    <t xml:space="preserve">2761 W 120TH AVE #220</t>
  </si>
  <si>
    <t xml:space="preserve">0157332401020</t>
  </si>
  <si>
    <t xml:space="preserve">2022000032186</t>
  </si>
  <si>
    <t xml:space="preserve">RML REAL ESTATE LLC</t>
  </si>
  <si>
    <t xml:space="preserve">NYGAARD SPELLMAN REAL ESTATE LLC</t>
  </si>
  <si>
    <t xml:space="preserve">R0173177</t>
  </si>
  <si>
    <t xml:space="preserve">2761 W 120TH AVE #110</t>
  </si>
  <si>
    <t xml:space="preserve">0157332401016</t>
  </si>
  <si>
    <t xml:space="preserve">2021000148340</t>
  </si>
  <si>
    <t xml:space="preserve">S &amp; E PROPERTIES LLC</t>
  </si>
  <si>
    <t xml:space="preserve">R0003495</t>
  </si>
  <si>
    <t xml:space="preserve">618  BRIDGE ST</t>
  </si>
  <si>
    <t xml:space="preserve">0156907105019</t>
  </si>
  <si>
    <t xml:space="preserve">2018000013213</t>
  </si>
  <si>
    <t xml:space="preserve">SER ENTERPRISES LLC</t>
  </si>
  <si>
    <t xml:space="preserve">MOLINARO SAMUEL AND , MOLINARO PAMELA</t>
  </si>
  <si>
    <t xml:space="preserve">R0082008</t>
  </si>
  <si>
    <t xml:space="preserve">56841 E COLFAX AVE</t>
  </si>
  <si>
    <t xml:space="preserve">0181333423006</t>
  </si>
  <si>
    <t xml:space="preserve">2020000060499</t>
  </si>
  <si>
    <t xml:space="preserve">COYOTE CREEK PROPERTY LLC</t>
  </si>
  <si>
    <t xml:space="preserve">VARGAS MANUEL AND, VARGAS DEBBIE</t>
  </si>
  <si>
    <t xml:space="preserve">R0102985</t>
  </si>
  <si>
    <t xml:space="preserve">5861  TENNYSON ST</t>
  </si>
  <si>
    <t xml:space="preserve">0182507305001</t>
  </si>
  <si>
    <t xml:space="preserve">2022000054931</t>
  </si>
  <si>
    <t xml:space="preserve">PKS ARVADA LLC, C/O PRIORITY PLASTICS INC</t>
  </si>
  <si>
    <t xml:space="preserve">L&amp;L DRY CREEK LLC</t>
  </si>
  <si>
    <t xml:space="preserve">R0058113</t>
  </si>
  <si>
    <t xml:space="preserve">8490  PEARL ST</t>
  </si>
  <si>
    <t xml:space="preserve">0171927100024</t>
  </si>
  <si>
    <t xml:space="preserve">2021000134845</t>
  </si>
  <si>
    <t xml:space="preserve">DRAWE JUSTIN L</t>
  </si>
  <si>
    <t xml:space="preserve">8490 PEARL LLC</t>
  </si>
  <si>
    <t xml:space="preserve">R0173166</t>
  </si>
  <si>
    <t xml:space="preserve">11154  HURON ST #103</t>
  </si>
  <si>
    <t xml:space="preserve">0171910205045</t>
  </si>
  <si>
    <t xml:space="preserve">2021000136965</t>
  </si>
  <si>
    <t xml:space="preserve">LUCERO LAND TRUST</t>
  </si>
  <si>
    <t xml:space="preserve">CHANCE LAND TRUST L L C</t>
  </si>
  <si>
    <t xml:space="preserve">R0173170</t>
  </si>
  <si>
    <t xml:space="preserve">11154  HURON ST #207</t>
  </si>
  <si>
    <t xml:space="preserve">0171910205049</t>
  </si>
  <si>
    <t xml:space="preserve">2021000116826</t>
  </si>
  <si>
    <t xml:space="preserve">CYNOSURA LLC</t>
  </si>
  <si>
    <t xml:space="preserve">2021000053410</t>
  </si>
  <si>
    <t xml:space="preserve">RAB77 LLC</t>
  </si>
  <si>
    <t xml:space="preserve">R0150308</t>
  </si>
  <si>
    <t xml:space="preserve">7140  IVY ST #F</t>
  </si>
  <si>
    <t xml:space="preserve">0182305221049</t>
  </si>
  <si>
    <t xml:space="preserve">2018000067294</t>
  </si>
  <si>
    <t xml:space="preserve">IVY IVY LLC</t>
  </si>
  <si>
    <t xml:space="preserve">ALPHAENDEAVOR INC</t>
  </si>
  <si>
    <t xml:space="preserve">R0155093</t>
  </si>
  <si>
    <t xml:space="preserve">6915  BROADWAY ST</t>
  </si>
  <si>
    <t xml:space="preserve">0182503218038</t>
  </si>
  <si>
    <t xml:space="preserve">2019000024190</t>
  </si>
  <si>
    <t xml:space="preserve">WHAT REAL ESTATE LLC</t>
  </si>
  <si>
    <t xml:space="preserve">MITCHELL BROTHERS HOLDINGS LLC</t>
  </si>
  <si>
    <t xml:space="preserve">R0175491</t>
  </si>
  <si>
    <t xml:space="preserve">9461 HURON ST</t>
  </si>
  <si>
    <t xml:space="preserve">0171921103054</t>
  </si>
  <si>
    <t xml:space="preserve">2019000080708</t>
  </si>
  <si>
    <t xml:space="preserve">NREF THORNTON COLORADO LLC UND 92.60, MARTIN THORNTON COLORADO LLC UND 7.40</t>
  </si>
  <si>
    <t xml:space="preserve">PARAMOUNT COMMERCIAL REALTY LLC</t>
  </si>
  <si>
    <t xml:space="preserve">R0168918</t>
  </si>
  <si>
    <t xml:space="preserve">640  MALLEY DR</t>
  </si>
  <si>
    <t xml:space="preserve">0171903409021</t>
  </si>
  <si>
    <t xml:space="preserve">2021000067049</t>
  </si>
  <si>
    <t xml:space="preserve">QUAN LAWRENCE AND, WU HAN WEN</t>
  </si>
  <si>
    <t xml:space="preserve">XING LONG HOUSE LLC</t>
  </si>
  <si>
    <t xml:space="preserve">R0178560</t>
  </si>
  <si>
    <t xml:space="preserve">8450 ROSEMARY ST</t>
  </si>
  <si>
    <t xml:space="preserve">0172128212013</t>
  </si>
  <si>
    <t xml:space="preserve">2022000042382</t>
  </si>
  <si>
    <t xml:space="preserve">GLTS HOLDINGS LLC</t>
  </si>
  <si>
    <t xml:space="preserve">ROSEMARY INDUSTRIAL GROUP LLC ET AL</t>
  </si>
  <si>
    <t xml:space="preserve">R0132254</t>
  </si>
  <si>
    <t xml:space="preserve">9752  HANOVER CT</t>
  </si>
  <si>
    <t xml:space="preserve">0172115401007</t>
  </si>
  <si>
    <t xml:space="preserve">2020000049018</t>
  </si>
  <si>
    <t xml:space="preserve">HANOVER COURT LLC</t>
  </si>
  <si>
    <t xml:space="preserve">LMS REAL ESTATE LLC</t>
  </si>
  <si>
    <t xml:space="preserve">R0179639</t>
  </si>
  <si>
    <t xml:space="preserve">18335 E 103RD AVE #203</t>
  </si>
  <si>
    <t xml:space="preserve">0172316121024</t>
  </si>
  <si>
    <t xml:space="preserve">2020000023177</t>
  </si>
  <si>
    <t xml:space="preserve">ITSB LLC</t>
  </si>
  <si>
    <t xml:space="preserve">BEALL ROBERT L</t>
  </si>
  <si>
    <t xml:space="preserve">R0162825</t>
  </si>
  <si>
    <t xml:space="preserve">11495  WASHINGTON ST</t>
  </si>
  <si>
    <t xml:space="preserve">0171903413005</t>
  </si>
  <si>
    <t xml:space="preserve">2018000014328</t>
  </si>
  <si>
    <t xml:space="preserve">BRIGHT LIGHT LLC</t>
  </si>
  <si>
    <t xml:space="preserve">TL &amp; DT LLC</t>
  </si>
  <si>
    <t xml:space="preserve">R0155092</t>
  </si>
  <si>
    <t xml:space="preserve">6911  BROADWAY ST</t>
  </si>
  <si>
    <t xml:space="preserve">0182503218037</t>
  </si>
  <si>
    <t xml:space="preserve">2020000120628</t>
  </si>
  <si>
    <t xml:space="preserve">BARRIE RANDY L</t>
  </si>
  <si>
    <t xml:space="preserve">GABRIEL RICHARD B</t>
  </si>
  <si>
    <t xml:space="preserve">R0165222</t>
  </si>
  <si>
    <t xml:space="preserve">18364 E 104TH AVE</t>
  </si>
  <si>
    <t xml:space="preserve">0172316121005</t>
  </si>
  <si>
    <t xml:space="preserve">2018000098261</t>
  </si>
  <si>
    <t xml:space="preserve">BURKE FAMILY INVESTMENT CLUB LLC, FKA BURKE FAMILY INVESTMENT CLUB LLC</t>
  </si>
  <si>
    <t xml:space="preserve">104TH &amp; TOWER LLC</t>
  </si>
  <si>
    <t xml:space="preserve">R0174706</t>
  </si>
  <si>
    <t xml:space="preserve">21 N 42ND AVE</t>
  </si>
  <si>
    <t xml:space="preserve">0156903322019</t>
  </si>
  <si>
    <t xml:space="preserve">2018000000861</t>
  </si>
  <si>
    <t xml:space="preserve">BUFFS LANDING WEST LLC</t>
  </si>
  <si>
    <t xml:space="preserve">BACKFLIP LLC</t>
  </si>
  <si>
    <t xml:space="preserve">R0178209</t>
  </si>
  <si>
    <t xml:space="preserve">8940 COLORADO BLVD</t>
  </si>
  <si>
    <t xml:space="preserve">0172119308004</t>
  </si>
  <si>
    <t xml:space="preserve">2019000093682</t>
  </si>
  <si>
    <t xml:space="preserve">NORTH METRO CAR WASH LLC</t>
  </si>
  <si>
    <t xml:space="preserve">RIVERDALE CARWASH LLC</t>
  </si>
  <si>
    <t xml:space="preserve">R0179953</t>
  </si>
  <si>
    <t xml:space="preserve">7770  HIGHWAY 2 </t>
  </si>
  <si>
    <t xml:space="preserve">0172132124017</t>
  </si>
  <si>
    <t xml:space="preserve">2019000106999</t>
  </si>
  <si>
    <t xml:space="preserve">ATENCIO NANCY A AND, ATENCIO ERNEST F</t>
  </si>
  <si>
    <t xml:space="preserve">WELCH 3 INVESTMENTS II LLC</t>
  </si>
  <si>
    <t xml:space="preserve">R0088294</t>
  </si>
  <si>
    <t xml:space="preserve">6301 E 71ST AVE</t>
  </si>
  <si>
    <t xml:space="preserve">0182305203021</t>
  </si>
  <si>
    <t xml:space="preserve">2021000033351</t>
  </si>
  <si>
    <t xml:space="preserve">PARAMOUNT ENTERPRISES LLC</t>
  </si>
  <si>
    <t xml:space="preserve">71ST AVE LLC</t>
  </si>
  <si>
    <t xml:space="preserve">R0067136</t>
  </si>
  <si>
    <t xml:space="preserve">2957 W 72ND AVE</t>
  </si>
  <si>
    <t xml:space="preserve">0171932417005</t>
  </si>
  <si>
    <t xml:space="preserve">2018000005633</t>
  </si>
  <si>
    <t xml:space="preserve">WEST CO LLC</t>
  </si>
  <si>
    <t xml:space="preserve">KIM YUNG IK AND , KIM SONG JA</t>
  </si>
  <si>
    <t xml:space="preserve">R0059548</t>
  </si>
  <si>
    <t xml:space="preserve">2185 W 84TH AVE</t>
  </si>
  <si>
    <t xml:space="preserve">0171928200035</t>
  </si>
  <si>
    <t xml:space="preserve">2022000041112</t>
  </si>
  <si>
    <t xml:space="preserve">HALL MATTHEW AND, VALENTINE MICHAEL DAVID</t>
  </si>
  <si>
    <t xml:space="preserve">CROSSCHECK LLC</t>
  </si>
  <si>
    <t xml:space="preserve">R0133766</t>
  </si>
  <si>
    <t xml:space="preserve">8080  PONTIAC ST</t>
  </si>
  <si>
    <t xml:space="preserve">0172129403030</t>
  </si>
  <si>
    <t xml:space="preserve">2021000100233</t>
  </si>
  <si>
    <t xml:space="preserve">BURGET REAL ESTATE LLC</t>
  </si>
  <si>
    <t xml:space="preserve">KPTPO9 LLC</t>
  </si>
  <si>
    <t xml:space="preserve">R0085794</t>
  </si>
  <si>
    <t xml:space="preserve">2200 N CHAMBERS RD #I</t>
  </si>
  <si>
    <t xml:space="preserve">0182132008010</t>
  </si>
  <si>
    <t xml:space="preserve">2021000113873</t>
  </si>
  <si>
    <t xml:space="preserve">SIMPKINSON TODD</t>
  </si>
  <si>
    <t xml:space="preserve">R0147573</t>
  </si>
  <si>
    <t xml:space="preserve">9751 E 102ND AVE</t>
  </si>
  <si>
    <t xml:space="preserve">0172115101008</t>
  </si>
  <si>
    <t xml:space="preserve">2021000009784</t>
  </si>
  <si>
    <t xml:space="preserve">GEP INVESTMENTS INC</t>
  </si>
  <si>
    <t xml:space="preserve">CFC INVESTMENTS LLC</t>
  </si>
  <si>
    <t xml:space="preserve">R0030406</t>
  </si>
  <si>
    <t xml:space="preserve">400 E 120TH AVE</t>
  </si>
  <si>
    <t xml:space="preserve">0171903111019</t>
  </si>
  <si>
    <t xml:space="preserve">2022000028863</t>
  </si>
  <si>
    <t xml:space="preserve">STONG FAMILY TRUST UND 1/2 INT ET AL, C/O OREILLY AUTO PARTS STORE #2816</t>
  </si>
  <si>
    <t xml:space="preserve">400 E 120TH LLC</t>
  </si>
  <si>
    <t xml:space="preserve">R0164254</t>
  </si>
  <si>
    <t xml:space="preserve">19301 E 23RD AVE</t>
  </si>
  <si>
    <t xml:space="preserve">0182134101009</t>
  </si>
  <si>
    <t xml:space="preserve">2019000015321</t>
  </si>
  <si>
    <t xml:space="preserve">19301 E 23RD AVE LLC</t>
  </si>
  <si>
    <t xml:space="preserve">TENBAR INC</t>
  </si>
  <si>
    <t xml:space="preserve">R0178832</t>
  </si>
  <si>
    <t xml:space="preserve">5190  VIOLET HILL ST #E</t>
  </si>
  <si>
    <t xml:space="preserve">0181716411003</t>
  </si>
  <si>
    <t xml:space="preserve">2022000034836</t>
  </si>
  <si>
    <t xml:space="preserve">PLC LEASING COMPANY II LLC</t>
  </si>
  <si>
    <t xml:space="preserve">1990  GUN CLUB RD</t>
  </si>
  <si>
    <t xml:space="preserve">E-470</t>
  </si>
  <si>
    <t xml:space="preserve">0181931401003</t>
  </si>
  <si>
    <t xml:space="preserve">2021000072509</t>
  </si>
  <si>
    <t xml:space="preserve">PS D-C INDUSTRIAL PARK 70 LLC, C/O STREECH PROPERTIES INC</t>
  </si>
  <si>
    <t xml:space="preserve">CHERRY OWNER II LLC</t>
  </si>
  <si>
    <t xml:space="preserve">R0185623</t>
  </si>
  <si>
    <t xml:space="preserve">7919  ZENOBIA ST</t>
  </si>
  <si>
    <t xml:space="preserve">0171931213036</t>
  </si>
  <si>
    <t xml:space="preserve">2021000116481</t>
  </si>
  <si>
    <t xml:space="preserve">HEIL INVESTMENTS LLC</t>
  </si>
  <si>
    <t xml:space="preserve">JC DENT LLC</t>
  </si>
  <si>
    <t xml:space="preserve">R0115424</t>
  </si>
  <si>
    <t xml:space="preserve">9652 N HANOVER CTW</t>
  </si>
  <si>
    <t xml:space="preserve">0172115011005</t>
  </si>
  <si>
    <t xml:space="preserve">2022000024984</t>
  </si>
  <si>
    <t xml:space="preserve">FAH DENVER LLC</t>
  </si>
  <si>
    <t xml:space="preserve">GNT PROPERTIES COLORADO LLC</t>
  </si>
  <si>
    <t xml:space="preserve">R0177702</t>
  </si>
  <si>
    <t xml:space="preserve">525  RUSSELL BLVD</t>
  </si>
  <si>
    <t xml:space="preserve">0171922403012</t>
  </si>
  <si>
    <t xml:space="preserve">2020000028576</t>
  </si>
  <si>
    <t xml:space="preserve">VOJTISEK RENATA</t>
  </si>
  <si>
    <t xml:space="preserve">A NEW GENERATION III LLC</t>
  </si>
  <si>
    <t xml:space="preserve">R0179724</t>
  </si>
  <si>
    <t xml:space="preserve">3055  CRAFT WAY</t>
  </si>
  <si>
    <t xml:space="preserve">0182505201042</t>
  </si>
  <si>
    <t xml:space="preserve">2022000053807</t>
  </si>
  <si>
    <t xml:space="preserve">MARO CORP</t>
  </si>
  <si>
    <t xml:space="preserve">G &amp; A GROUP LLC</t>
  </si>
  <si>
    <t xml:space="preserve">R0179014</t>
  </si>
  <si>
    <t xml:space="preserve">7010  LOWELL BLVD</t>
  </si>
  <si>
    <t xml:space="preserve">0182505219005</t>
  </si>
  <si>
    <t xml:space="preserve">2020000059175</t>
  </si>
  <si>
    <t xml:space="preserve">LOWELL GROUP LLC</t>
  </si>
  <si>
    <t xml:space="preserve">LOW DOWN LLC UND 78.81% INT AND, LXXTWO LLC UND 21.19% INT</t>
  </si>
  <si>
    <t xml:space="preserve">1953 GUNCLUB RD</t>
  </si>
  <si>
    <t xml:space="preserve">0181931301010</t>
  </si>
  <si>
    <t xml:space="preserve">2021000111716</t>
  </si>
  <si>
    <t xml:space="preserve">1953 GCR ASSOCIATES LLC 24% INT ET AL</t>
  </si>
  <si>
    <t xml:space="preserve">CHERRY OWNER III LLC</t>
  </si>
  <si>
    <t xml:space="preserve">R0082497</t>
  </si>
  <si>
    <t xml:space="preserve">47500 E 38TH AVE</t>
  </si>
  <si>
    <t xml:space="preserve">0181527200036</t>
  </si>
  <si>
    <t xml:space="preserve">2020000034035</t>
  </si>
  <si>
    <t xml:space="preserve">SCOUT VENTURES LLC</t>
  </si>
  <si>
    <t xml:space="preserve">LFE HOLDINGS LLC</t>
  </si>
  <si>
    <t xml:space="preserve">R0190173</t>
  </si>
  <si>
    <t xml:space="preserve">1501 W 124TH AVE #800</t>
  </si>
  <si>
    <t xml:space="preserve">0157333101003</t>
  </si>
  <si>
    <t xml:space="preserve">2020000017258</t>
  </si>
  <si>
    <t xml:space="preserve">URBAN BOX 800 LLC</t>
  </si>
  <si>
    <t xml:space="preserve">1501 W 124TH AVE UNIT 800 WESTMINSTER CO 80234 LLC</t>
  </si>
  <si>
    <t xml:space="preserve">R0190174</t>
  </si>
  <si>
    <t xml:space="preserve">1501 W 124TH AVE #700</t>
  </si>
  <si>
    <t xml:space="preserve">0157333101004</t>
  </si>
  <si>
    <t xml:space="preserve">2022000017149</t>
  </si>
  <si>
    <t xml:space="preserve">RECOB SAMIRA J</t>
  </si>
  <si>
    <t xml:space="preserve">1501 W 124TH AVE 700 LLC</t>
  </si>
  <si>
    <t xml:space="preserve">R0181733</t>
  </si>
  <si>
    <t xml:space="preserve">10401  BELLE CREEK BLVD</t>
  </si>
  <si>
    <t xml:space="preserve">0172110317032</t>
  </si>
  <si>
    <t xml:space="preserve">2018000022255</t>
  </si>
  <si>
    <t xml:space="preserve">BELLE CREEK CORNER SHOPS LLC</t>
  </si>
  <si>
    <t xml:space="preserve">BELLE CREEK PLAZA LLC</t>
  </si>
  <si>
    <t xml:space="preserve">R0175860</t>
  </si>
  <si>
    <t xml:space="preserve">5781 E 128TH AVE</t>
  </si>
  <si>
    <t xml:space="preserve">0157129310044</t>
  </si>
  <si>
    <t xml:space="preserve">2018000082919</t>
  </si>
  <si>
    <t xml:space="preserve">MK 22 INVESTMENTS LLC</t>
  </si>
  <si>
    <t xml:space="preserve">BEST 101 LLC</t>
  </si>
  <si>
    <t xml:space="preserve">R0188699</t>
  </si>
  <si>
    <t xml:space="preserve">15100 E 40TH AVE</t>
  </si>
  <si>
    <t xml:space="preserve">0182119401004</t>
  </si>
  <si>
    <t xml:space="preserve">2018000044527</t>
  </si>
  <si>
    <t xml:space="preserve">CONFLUENT CENTER 70 LLC, ATTN GENERAL COUNSEL</t>
  </si>
  <si>
    <t xml:space="preserve">LBA NCC2-COMPANY II LLC</t>
  </si>
  <si>
    <t xml:space="preserve">R0175821</t>
  </si>
  <si>
    <t xml:space="preserve">13591  HURON ST</t>
  </si>
  <si>
    <t xml:space="preserve">0157328125006</t>
  </si>
  <si>
    <t xml:space="preserve">2018000054647</t>
  </si>
  <si>
    <t xml:space="preserve">WESTMINSTER HURON RETAIL GROUP, LLC</t>
  </si>
  <si>
    <t xml:space="preserve">13591 HURON STREET LLC</t>
  </si>
  <si>
    <t xml:space="preserve">R0182980</t>
  </si>
  <si>
    <t xml:space="preserve">210  GREAT WESTERN RD</t>
  </si>
  <si>
    <t xml:space="preserve">0156906306021</t>
  </si>
  <si>
    <t xml:space="preserve">2022000019376</t>
  </si>
  <si>
    <t xml:space="preserve">RAM AUTO REPAIR INC</t>
  </si>
  <si>
    <t xml:space="preserve">RENEW ROOFING AND PAVING LLC</t>
  </si>
  <si>
    <t xml:space="preserve">R0190879</t>
  </si>
  <si>
    <t xml:space="preserve">1321 S 4TH AVE</t>
  </si>
  <si>
    <t xml:space="preserve">0156918203008</t>
  </si>
  <si>
    <t xml:space="preserve">2021000094535</t>
  </si>
  <si>
    <t xml:space="preserve">148TH AND SABLE BOULEVARD BUILDING, LOT 3 LLC</t>
  </si>
  <si>
    <t xml:space="preserve">DP BRIGHTON LLC</t>
  </si>
  <si>
    <t xml:space="preserve">R0181286</t>
  </si>
  <si>
    <t xml:space="preserve">10555 IRMA DR</t>
  </si>
  <si>
    <t xml:space="preserve">0171911406031</t>
  </si>
  <si>
    <t xml:space="preserve">2022000013419</t>
  </si>
  <si>
    <t xml:space="preserve">TILZER HOLDINGS LLC</t>
  </si>
  <si>
    <t xml:space="preserve">R0190170</t>
  </si>
  <si>
    <t xml:space="preserve">601 E 64TH AVE</t>
  </si>
  <si>
    <t xml:space="preserve">0182503402011</t>
  </si>
  <si>
    <t xml:space="preserve">2018000037912</t>
  </si>
  <si>
    <t xml:space="preserve">MAPLETON INDUSTRIAL INVESTORS LLLP, C/O WESTFIELD COMPANY INC </t>
  </si>
  <si>
    <t xml:space="preserve">HUB ACQUISITION LLC, C/O WESTFIELD PROPERTY SERVICES</t>
  </si>
  <si>
    <t xml:space="preserve">R0188149</t>
  </si>
  <si>
    <t xml:space="preserve">7580  SHERIDAN BLVD</t>
  </si>
  <si>
    <t xml:space="preserve">0171931301022</t>
  </si>
  <si>
    <t xml:space="preserve">2020000131129</t>
  </si>
  <si>
    <t xml:space="preserve">TRAN TU Q AND NGUYEN XUAN T</t>
  </si>
  <si>
    <t xml:space="preserve">7580 SHERIDAN BLVD LLC</t>
  </si>
  <si>
    <t xml:space="preserve">R0180952</t>
  </si>
  <si>
    <t xml:space="preserve">3350 ODESSA WY</t>
  </si>
  <si>
    <t xml:space="preserve">0182126101005</t>
  </si>
  <si>
    <t xml:space="preserve">2021000069300</t>
  </si>
  <si>
    <t xml:space="preserve">PROPERTY LEASING DENVER LLC</t>
  </si>
  <si>
    <t xml:space="preserve">FIRST INDUSTRIAL L P</t>
  </si>
  <si>
    <t xml:space="preserve">R0192486</t>
  </si>
  <si>
    <t xml:space="preserve">7398  FEDERAL BLVD</t>
  </si>
  <si>
    <t xml:space="preserve">0171932421006</t>
  </si>
  <si>
    <t xml:space="preserve">2020000093213</t>
  </si>
  <si>
    <t xml:space="preserve">MTD 74FED LLC, C/O CADENCE DEVELOPMENT LLC</t>
  </si>
  <si>
    <t xml:space="preserve">SEUNG H LEE LLC</t>
  </si>
  <si>
    <t xml:space="preserve">R0195676</t>
  </si>
  <si>
    <t xml:space="preserve">8411 N STACY DR</t>
  </si>
  <si>
    <t xml:space="preserve">0171928206013</t>
  </si>
  <si>
    <t xml:space="preserve">2021000137591</t>
  </si>
  <si>
    <t xml:space="preserve">WONG ALAN DDS PC</t>
  </si>
  <si>
    <t xml:space="preserve">FRANK AND LOU ENTERPRISES LLC</t>
  </si>
  <si>
    <t xml:space="preserve">R0194307</t>
  </si>
  <si>
    <t xml:space="preserve">6496  HWY 2 </t>
  </si>
  <si>
    <t xml:space="preserve">0182306406020</t>
  </si>
  <si>
    <t xml:space="preserve">2018000017154</t>
  </si>
  <si>
    <t xml:space="preserve">SHARPLESS CLAUDE J JR</t>
  </si>
  <si>
    <t xml:space="preserve">FERRER LORENZO</t>
  </si>
  <si>
    <t xml:space="preserve">R0176600</t>
  </si>
  <si>
    <t xml:space="preserve">521 W 115TH AVE</t>
  </si>
  <si>
    <t xml:space="preserve">0171903305001</t>
  </si>
  <si>
    <t xml:space="preserve">2021000145894</t>
  </si>
  <si>
    <t xml:space="preserve">BRANDON SCOTT AND, BRANDON MARLENE</t>
  </si>
  <si>
    <t xml:space="preserve">PINEAPPLE PROPERTIES LTD</t>
  </si>
  <si>
    <t xml:space="preserve">R0190171</t>
  </si>
  <si>
    <t xml:space="preserve">1511 W 124TH AVE</t>
  </si>
  <si>
    <t xml:space="preserve">0157333101001</t>
  </si>
  <si>
    <t xml:space="preserve">2020000031849</t>
  </si>
  <si>
    <t xml:space="preserve">1511 WEST 124TH AVE LLC</t>
  </si>
  <si>
    <t xml:space="preserve">ABA REAL ESTATE LLC</t>
  </si>
  <si>
    <t xml:space="preserve">R0190176</t>
  </si>
  <si>
    <t xml:space="preserve">0157333101006</t>
  </si>
  <si>
    <t xml:space="preserve">2021000053506</t>
  </si>
  <si>
    <t xml:space="preserve">URBAN BOX 500 LLC</t>
  </si>
  <si>
    <t xml:space="preserve">MADJOSH ENTERPRISES LLC</t>
  </si>
  <si>
    <t xml:space="preserve">R0103510</t>
  </si>
  <si>
    <t xml:space="preserve">6145 BROADWAY ST</t>
  </si>
  <si>
    <t xml:space="preserve">0182510203003</t>
  </si>
  <si>
    <t xml:space="preserve">2022000038923</t>
  </si>
  <si>
    <t xml:space="preserve">6145 BROADWAY LLC</t>
  </si>
  <si>
    <t xml:space="preserve">GWK LLC</t>
  </si>
  <si>
    <t xml:space="preserve">R0188697</t>
  </si>
  <si>
    <t xml:space="preserve">10195 E MONTVIEW BLVD</t>
  </si>
  <si>
    <t xml:space="preserve">0182334129029</t>
  </si>
  <si>
    <t xml:space="preserve">2018000017241</t>
  </si>
  <si>
    <t xml:space="preserve">10195 E MONTVIEW LLC</t>
  </si>
  <si>
    <t xml:space="preserve">TRECO HOLDINGS LLC</t>
  </si>
  <si>
    <t xml:space="preserve">R0188347</t>
  </si>
  <si>
    <t xml:space="preserve">17901 E 81ST AVE</t>
  </si>
  <si>
    <t xml:space="preserve">0172328301001</t>
  </si>
  <si>
    <t xml:space="preserve">2022000006303</t>
  </si>
  <si>
    <t xml:space="preserve">AVR DENVER LLC</t>
  </si>
  <si>
    <t xml:space="preserve">DUKE LLC</t>
  </si>
  <si>
    <t xml:space="preserve">R0184702</t>
  </si>
  <si>
    <t xml:space="preserve">15150 E 104TH AVE</t>
  </si>
  <si>
    <t xml:space="preserve">0172318102015</t>
  </si>
  <si>
    <t xml:space="preserve">2022000006706</t>
  </si>
  <si>
    <t xml:space="preserve">MEGA PIE LLC</t>
  </si>
  <si>
    <t xml:space="preserve">FIP MASTER FUNDING I LLC</t>
  </si>
  <si>
    <t xml:space="preserve">R0191873</t>
  </si>
  <si>
    <t xml:space="preserve">5725 E 56TH AVE</t>
  </si>
  <si>
    <t xml:space="preserve">0182308302078</t>
  </si>
  <si>
    <t xml:space="preserve">2021000151224</t>
  </si>
  <si>
    <t xml:space="preserve">MERMIS LLC</t>
  </si>
  <si>
    <t xml:space="preserve">JSM 5725 LLC</t>
  </si>
  <si>
    <t xml:space="preserve">R0194299</t>
  </si>
  <si>
    <t xml:space="preserve">11821 HURON ST</t>
  </si>
  <si>
    <t xml:space="preserve">0171904101015</t>
  </si>
  <si>
    <t xml:space="preserve">2018000092766</t>
  </si>
  <si>
    <t xml:space="preserve">WL PARK 12 HUNDRED OWNER LLC</t>
  </si>
  <si>
    <t xml:space="preserve">PARK 12 HUNDRED LLC</t>
  </si>
  <si>
    <t xml:space="preserve">R0190581</t>
  </si>
  <si>
    <t xml:space="preserve">9760  GRANT ST</t>
  </si>
  <si>
    <t xml:space="preserve">0171915413010</t>
  </si>
  <si>
    <t xml:space="preserve">2022000000789</t>
  </si>
  <si>
    <t xml:space="preserve">ARMSTRONG HIGHPOINTE LLC</t>
  </si>
  <si>
    <t xml:space="preserve">9760 GRANT ST LLC</t>
  </si>
  <si>
    <t xml:space="preserve">R0201361</t>
  </si>
  <si>
    <t xml:space="preserve">4820 FOREST ST</t>
  </si>
  <si>
    <t xml:space="preserve">0182318401008</t>
  </si>
  <si>
    <t xml:space="preserve">2019000098339</t>
  </si>
  <si>
    <t xml:space="preserve">MAALCORT LLC</t>
  </si>
  <si>
    <t xml:space="preserve">CK FOREST LLC</t>
  </si>
  <si>
    <t xml:space="preserve">R0194699</t>
  </si>
  <si>
    <t xml:space="preserve">12170  TEJON ST</t>
  </si>
  <si>
    <t xml:space="preserve">0157333302019</t>
  </si>
  <si>
    <t xml:space="preserve">2018000099123</t>
  </si>
  <si>
    <t xml:space="preserve">FLUID LLLP THE</t>
  </si>
  <si>
    <t xml:space="preserve">JRC COLORADO PROPERTIES LLC</t>
  </si>
  <si>
    <t xml:space="preserve">R0190763</t>
  </si>
  <si>
    <t xml:space="preserve">11901 HOLLY ST</t>
  </si>
  <si>
    <t xml:space="preserve">0172106117007</t>
  </si>
  <si>
    <t xml:space="preserve">2022000048784</t>
  </si>
  <si>
    <t xml:space="preserve">PRENTICE AVE APARTMENTS LLC</t>
  </si>
  <si>
    <t xml:space="preserve">SALUS PETER &amp; KORAH LLC</t>
  </si>
  <si>
    <t xml:space="preserve">2018000058580</t>
  </si>
  <si>
    <t xml:space="preserve">DND PROPERTIES LLC</t>
  </si>
  <si>
    <t xml:space="preserve">R0198007</t>
  </si>
  <si>
    <t xml:space="preserve">15521 E 104TH AVE</t>
  </si>
  <si>
    <t xml:space="preserve">0172308306075</t>
  </si>
  <si>
    <t xml:space="preserve">2021000096914</t>
  </si>
  <si>
    <t xml:space="preserve">BPCO PROPERTIES LLC</t>
  </si>
  <si>
    <t xml:space="preserve">RUSTIC PARTNERS LLC</t>
  </si>
  <si>
    <t xml:space="preserve">R0204670</t>
  </si>
  <si>
    <t xml:space="preserve">12235 N PECOS ST</t>
  </si>
  <si>
    <t xml:space="preserve">0157333301013</t>
  </si>
  <si>
    <t xml:space="preserve">2020000066953</t>
  </si>
  <si>
    <t xml:space="preserve">TAIVA 2-3 LLLP</t>
  </si>
  <si>
    <t xml:space="preserve">12235 PECOS LLC</t>
  </si>
  <si>
    <t xml:space="preserve">R0193009</t>
  </si>
  <si>
    <t xml:space="preserve">134 S 50TH AVE</t>
  </si>
  <si>
    <t xml:space="preserve">0156911213026</t>
  </si>
  <si>
    <t xml:space="preserve">2022000051534</t>
  </si>
  <si>
    <t xml:space="preserve">BRIGHTON SELF STORAGE LLC</t>
  </si>
  <si>
    <t xml:space="preserve">PS MOUNTAIN WEST LLC</t>
  </si>
  <si>
    <t xml:space="preserve">R0190582</t>
  </si>
  <si>
    <t xml:space="preserve">9740  GRANT ST</t>
  </si>
  <si>
    <t xml:space="preserve">0171915413011</t>
  </si>
  <si>
    <t xml:space="preserve">2022000000788</t>
  </si>
  <si>
    <t xml:space="preserve">9740 GRANT STREET LLC</t>
  </si>
  <si>
    <t xml:space="preserve">R0204669</t>
  </si>
  <si>
    <t xml:space="preserve">0157333301012</t>
  </si>
  <si>
    <t xml:space="preserve">2020000124877</t>
  </si>
  <si>
    <t xml:space="preserve">MOUNTAIN CAPITAL PARTNERS TAIVA LLC</t>
  </si>
  <si>
    <t xml:space="preserve">R0194701</t>
  </si>
  <si>
    <t xml:space="preserve">0157333302021</t>
  </si>
  <si>
    <t xml:space="preserve">2019000020439</t>
  </si>
  <si>
    <t xml:space="preserve">SIERRA MADRE INVESTMENTS LLC</t>
  </si>
  <si>
    <t xml:space="preserve">R0198832</t>
  </si>
  <si>
    <t xml:space="preserve">11150  HURON ST #2</t>
  </si>
  <si>
    <t xml:space="preserve">0171910205055</t>
  </si>
  <si>
    <t xml:space="preserve">2019000022345</t>
  </si>
  <si>
    <t xml:space="preserve">HURON PARK LLC</t>
  </si>
  <si>
    <t xml:space="preserve">JACOBS HOLDINGS LLC</t>
  </si>
  <si>
    <t xml:space="preserve">R0208784</t>
  </si>
  <si>
    <t xml:space="preserve">5160  VIOLET HILL ST #S7</t>
  </si>
  <si>
    <t xml:space="preserve">0181716411014</t>
  </si>
  <si>
    <t xml:space="preserve">2022000081304</t>
  </si>
  <si>
    <t xml:space="preserve">HG HANAGR ONE LLC</t>
  </si>
  <si>
    <t xml:space="preserve">GEISERT CARL</t>
  </si>
  <si>
    <t xml:space="preserve">R0208781</t>
  </si>
  <si>
    <t xml:space="preserve">5160  VIOLET HILL ST #S1</t>
  </si>
  <si>
    <t xml:space="preserve">0181716411011</t>
  </si>
  <si>
    <t xml:space="preserve">2022000081297</t>
  </si>
  <si>
    <t xml:space="preserve">AV CONSULTING SERVICES LLC</t>
  </si>
  <si>
    <t xml:space="preserve">2022000081298</t>
  </si>
  <si>
    <t xml:space="preserve">BURNEY DEREK</t>
  </si>
  <si>
    <t xml:space="preserve">R0205074</t>
  </si>
  <si>
    <t xml:space="preserve">189  BROMLEY BUSINESS PKWY</t>
  </si>
  <si>
    <t xml:space="preserve">0156911106020</t>
  </si>
  <si>
    <t xml:space="preserve">2021000133557</t>
  </si>
  <si>
    <t xml:space="preserve">DRE KCS BRIGHTON LLC</t>
  </si>
  <si>
    <t xml:space="preserve">AMERICOLD REAL ESTATE LP</t>
  </si>
  <si>
    <t xml:space="preserve">R0213045</t>
  </si>
  <si>
    <t xml:space="preserve">9658  HAVANA ST</t>
  </si>
  <si>
    <t xml:space="preserve">0172115405003</t>
  </si>
  <si>
    <t xml:space="preserve">2022000060304</t>
  </si>
  <si>
    <t xml:space="preserve">MITCHELL MAURICE D AND , MITCHELL CALLIE-BEN S </t>
  </si>
  <si>
    <t xml:space="preserve">17776-18146 E 84TH AVE</t>
  </si>
  <si>
    <t xml:space="preserve">0172328402005</t>
  </si>
  <si>
    <t xml:space="preserve">2021000046919</t>
  </si>
  <si>
    <t xml:space="preserve">CH REALTY VIII-LPC I DENVER 84TH TELLURIDE LLC</t>
  </si>
  <si>
    <t xml:space="preserve">PR ASCENT COMMERCE CENTER LLC, C/O PGIM REAL ESTATE</t>
  </si>
  <si>
    <t xml:space="preserve">2205  104TH AVE</t>
  </si>
  <si>
    <t xml:space="preserve">2020000093880</t>
  </si>
  <si>
    <t xml:space="preserve">EHMKA CHARLIE DBA, CHARLIES AUTO AND TRUCK SALES</t>
  </si>
  <si>
    <t xml:space="preserve">R0199655</t>
  </si>
  <si>
    <t xml:space="preserve">  LIBSON ST</t>
  </si>
  <si>
    <t xml:space="preserve">0182126302003</t>
  </si>
  <si>
    <t xml:space="preserve">2020000009566</t>
  </si>
  <si>
    <t xml:space="preserve">MAJESTIC LISBON BUILDING LLC</t>
  </si>
  <si>
    <t xml:space="preserve">REFRIGERATION SUPPLIES DISTRIBUTOR</t>
  </si>
  <si>
    <t xml:space="preserve">R0194697</t>
  </si>
  <si>
    <t xml:space="preserve">0157333302017</t>
  </si>
  <si>
    <t xml:space="preserve">2021000000719</t>
  </si>
  <si>
    <t xml:space="preserve">12170 TEJON STREET UNIT 500, LLC</t>
  </si>
  <si>
    <t xml:space="preserve">BUTLER PROPERTIES LLC</t>
  </si>
  <si>
    <t xml:space="preserve">R0194698</t>
  </si>
  <si>
    <t xml:space="preserve">0157333302018</t>
  </si>
  <si>
    <t xml:space="preserve">2021000126028</t>
  </si>
  <si>
    <t xml:space="preserve">FLUID 4 LLC</t>
  </si>
  <si>
    <t xml:space="preserve">SPHARK PROPERTIES LLC</t>
  </si>
  <si>
    <t xml:space="preserve">R0201166</t>
  </si>
  <si>
    <t xml:space="preserve">6130  JACKSON GAP WAY</t>
  </si>
  <si>
    <t xml:space="preserve">0181908201001</t>
  </si>
  <si>
    <t xml:space="preserve">2021000132689</t>
  </si>
  <si>
    <t xml:space="preserve">DGH JACKSON GAP LLC</t>
  </si>
  <si>
    <t xml:space="preserve">PACIFIC ENT LLC</t>
  </si>
  <si>
    <t xml:space="preserve">R0194696</t>
  </si>
  <si>
    <t xml:space="preserve">0157333302016</t>
  </si>
  <si>
    <t xml:space="preserve">2020000025600</t>
  </si>
  <si>
    <t xml:space="preserve">12170 TEJON STREET UNIT 600, LLC</t>
  </si>
  <si>
    <t xml:space="preserve">BROTHERS HOLDINGS LLC</t>
  </si>
  <si>
    <t xml:space="preserve">R0201382</t>
  </si>
  <si>
    <t xml:space="preserve">13575 E 37TH AVE</t>
  </si>
  <si>
    <t xml:space="preserve">0182325114010</t>
  </si>
  <si>
    <t xml:space="preserve">2021000149371</t>
  </si>
  <si>
    <t xml:space="preserve">P8 D-C INDUSTRIAL SITE 225 LLC</t>
  </si>
  <si>
    <t xml:space="preserve">WESTCORE CG II PARK 225 LLC</t>
  </si>
  <si>
    <t xml:space="preserve">17501 E 84TH AVE</t>
  </si>
  <si>
    <t xml:space="preserve">0172328201001</t>
  </si>
  <si>
    <t xml:space="preserve">2021000148257</t>
  </si>
  <si>
    <t xml:space="preserve">NEXUS NORTH OWNER LLC</t>
  </si>
  <si>
    <t xml:space="preserve">QUINTERO OWNER LLC, C/O KHLBERG KRAVIS ROBERTS</t>
  </si>
  <si>
    <t xml:space="preserve">R0210404</t>
  </si>
  <si>
    <t xml:space="preserve">2000 W 104TH AVE</t>
  </si>
  <si>
    <t xml:space="preserve">0171916215007</t>
  </si>
  <si>
    <t xml:space="preserve">2021000149152</t>
  </si>
  <si>
    <t xml:space="preserve">MORELAND COLORADO PROPERTIES LLC</t>
  </si>
  <si>
    <t xml:space="preserve">ROCKS OF ROCK CITY LLC</t>
  </si>
  <si>
    <t xml:space="preserve">R0208787</t>
  </si>
  <si>
    <t xml:space="preserve">5140  VIOLET HILL ST #S3</t>
  </si>
  <si>
    <t xml:space="preserve">0181716411017</t>
  </si>
  <si>
    <t xml:space="preserve">2022000021178</t>
  </si>
  <si>
    <t xml:space="preserve">HUGHBANKS MATTHEW</t>
  </si>
  <si>
    <t xml:space="preserve">CARVERCO LLLP</t>
  </si>
  <si>
    <t xml:space="preserve">R0208785</t>
  </si>
  <si>
    <t xml:space="preserve">5160  VIOLET HILL ST #S9</t>
  </si>
  <si>
    <t xml:space="preserve">0181716411015</t>
  </si>
  <si>
    <t xml:space="preserve">2022000083055</t>
  </si>
  <si>
    <t xml:space="preserve">DILLON DOUG</t>
  </si>
  <si>
    <t xml:space="preserve">MARTENS LIVING TRUST</t>
  </si>
  <si>
    <t xml:space="preserve">R0208777</t>
  </si>
  <si>
    <t xml:space="preserve">5160  VIOLET HILL ST #N8</t>
  </si>
  <si>
    <t xml:space="preserve">0181716411007</t>
  </si>
  <si>
    <t xml:space="preserve">2022000042693</t>
  </si>
  <si>
    <t xml:space="preserve">HG HANAGR ONE LLC, C/O HUGH COOK</t>
  </si>
  <si>
    <t xml:space="preserve">COOK HUGH</t>
  </si>
  <si>
    <t xml:space="preserve">R0208780</t>
  </si>
  <si>
    <t xml:space="preserve">5160  VIOLET HILL ST #N2</t>
  </si>
  <si>
    <t xml:space="preserve">0181716411010</t>
  </si>
  <si>
    <t xml:space="preserve">2022000081299</t>
  </si>
  <si>
    <t xml:space="preserve">VOLIN DAN</t>
  </si>
  <si>
    <t xml:space="preserve">R0211079</t>
  </si>
  <si>
    <t xml:space="preserve">12245 N PECOS ST</t>
  </si>
  <si>
    <t xml:space="preserve">0157333301017</t>
  </si>
  <si>
    <t xml:space="preserve">2021000099394</t>
  </si>
  <si>
    <t xml:space="preserve">12245 N PECOS STREET LLC</t>
  </si>
  <si>
    <t xml:space="preserve">R0204668</t>
  </si>
  <si>
    <t xml:space="preserve">0157333301011</t>
  </si>
  <si>
    <t xml:space="preserve">2020000111811</t>
  </si>
  <si>
    <t xml:space="preserve">ADDNAS LLC</t>
  </si>
  <si>
    <t xml:space="preserve">R0208786</t>
  </si>
  <si>
    <t xml:space="preserve">5140  VIOLET HILL ST #S4</t>
  </si>
  <si>
    <t xml:space="preserve">0181716411016</t>
  </si>
  <si>
    <t xml:space="preserve">2020000046689</t>
  </si>
  <si>
    <t xml:space="preserve">HG HANGAR ONE LLC</t>
  </si>
  <si>
    <t xml:space="preserve">BIELANSKI ROBERT ALLAN</t>
  </si>
  <si>
    <t xml:space="preserve">R0208782</t>
  </si>
  <si>
    <t xml:space="preserve">5160  VIOLET HILL ST #S3</t>
  </si>
  <si>
    <t xml:space="preserve">0181716411012</t>
  </si>
  <si>
    <t xml:space="preserve">2020000013096</t>
  </si>
  <si>
    <t xml:space="preserve">SUNBURST AVIATION LLC</t>
  </si>
  <si>
    <t xml:space="preserve">2022000081300</t>
  </si>
  <si>
    <t xml:space="preserve">SANDERS JEFF</t>
  </si>
  <si>
    <t xml:space="preserve">R0198519</t>
  </si>
  <si>
    <t xml:space="preserve">2160  PRAIRIE CENTER PKWY</t>
  </si>
  <si>
    <t xml:space="preserve">0156921103003</t>
  </si>
  <si>
    <t xml:space="preserve">2019000015302</t>
  </si>
  <si>
    <t xml:space="preserve">THF PRARIE CENTER RETAIL THREE LLC</t>
  </si>
  <si>
    <t xml:space="preserve">IMO US WEST LLC</t>
  </si>
  <si>
    <t xml:space="preserve">R0115415</t>
  </si>
  <si>
    <t xml:space="preserve">9640  HAVANA ST</t>
  </si>
  <si>
    <t xml:space="preserve">0172115012001</t>
  </si>
  <si>
    <t xml:space="preserve">2021000058561</t>
  </si>
  <si>
    <t xml:space="preserve">WHITING BRIAN AND , WHITING FRAN</t>
  </si>
  <si>
    <t xml:space="preserve">HAVANA CREST LLC</t>
  </si>
  <si>
    <t xml:space="preserve">R0208789</t>
  </si>
  <si>
    <t xml:space="preserve">5140  VIOLET HILL ST</t>
  </si>
  <si>
    <t xml:space="preserve">0181716411019</t>
  </si>
  <si>
    <t xml:space="preserve">2022000083056</t>
  </si>
  <si>
    <t xml:space="preserve">BEIM GLORIA</t>
  </si>
  <si>
    <t xml:space="preserve">Schedule</t>
  </si>
  <si>
    <t xml:space="preserve">Cls</t>
  </si>
  <si>
    <t xml:space="preserve">Model</t>
  </si>
  <si>
    <t xml:space="preserve">Rent</t>
  </si>
  <si>
    <t xml:space="preserve">Vac</t>
  </si>
  <si>
    <t xml:space="preserve">Exp</t>
  </si>
  <si>
    <t xml:space="preserve">Office
Enclos.</t>
  </si>
  <si>
    <t xml:space="preserve">Extend.
Office</t>
  </si>
  <si>
    <t xml:space="preserve">Wall
Height</t>
  </si>
  <si>
    <t xml:space="preserve">Wall
Type</t>
  </si>
  <si>
    <t xml:space="preserve">L Area</t>
  </si>
  <si>
    <t xml:space="preserve">Land R</t>
  </si>
  <si>
    <t xml:space="preserve">Imp R</t>
  </si>
  <si>
    <t xml:space="preserve">Phy</t>
  </si>
  <si>
    <t xml:space="preserve">Fun</t>
  </si>
  <si>
    <t xml:space="preserve">P_F</t>
  </si>
  <si>
    <t xml:space="preserve">PGI</t>
  </si>
  <si>
    <t xml:space="preserve">EGI</t>
  </si>
  <si>
    <t xml:space="preserve">NOI</t>
  </si>
  <si>
    <t xml:space="preserve">$ EXP</t>
  </si>
  <si>
    <t xml:space="preserve">Oth Inc/SF</t>
  </si>
  <si>
    <t xml:space="preserve">Pkg Inc/SP</t>
  </si>
  <si>
    <t xml:space="preserve">Rent / Unit-Key</t>
  </si>
  <si>
    <t xml:space="preserve">2013Q</t>
  </si>
  <si>
    <t xml:space="preserve">01141-04-058-058 </t>
  </si>
  <si>
    <t xml:space="preserve">5475   PEORIA               ST</t>
  </si>
  <si>
    <t xml:space="preserve">I-MX-3      </t>
  </si>
  <si>
    <t xml:space="preserve">3.9:1</t>
  </si>
  <si>
    <t xml:space="preserve">C </t>
  </si>
  <si>
    <t xml:space="preserve">PEORIA PLAZA #4-112 </t>
  </si>
  <si>
    <t xml:space="preserve">01142-03-007-000 </t>
  </si>
  <si>
    <t xml:space="preserve">5500   JOLIET               ST</t>
  </si>
  <si>
    <t xml:space="preserve">I-B         </t>
  </si>
  <si>
    <t xml:space="preserve">3.3:1</t>
  </si>
  <si>
    <t xml:space="preserve">01142-03-011-000 </t>
  </si>
  <si>
    <t xml:space="preserve">5550   JOLIET               ST</t>
  </si>
  <si>
    <t xml:space="preserve">2.3:1</t>
  </si>
  <si>
    <t xml:space="preserve">MONTHLY LEASE - DATE OF COMMENCEMENT UNKNOWN.                     </t>
  </si>
  <si>
    <t xml:space="preserve">01142-03-014-000 </t>
  </si>
  <si>
    <t xml:space="preserve">10975 E 55TH                 AV</t>
  </si>
  <si>
    <t xml:space="preserve">2.4:1</t>
  </si>
  <si>
    <t xml:space="preserve">M-W                 </t>
  </si>
  <si>
    <t xml:space="preserve">01142-04-012-000 </t>
  </si>
  <si>
    <t xml:space="preserve">5400   JOLIET               ST</t>
  </si>
  <si>
    <t xml:space="preserve">5.3:1</t>
  </si>
  <si>
    <t xml:space="preserve">BURLINGTON AIR FRGHT</t>
  </si>
  <si>
    <t xml:space="preserve">MAY BE OWNER-OCCUPIED.                                            </t>
  </si>
  <si>
    <t xml:space="preserve">01142-05-006-000 </t>
  </si>
  <si>
    <t xml:space="preserve">11000 E 53RD                 AV</t>
  </si>
  <si>
    <t xml:space="preserve">4.1:1</t>
  </si>
  <si>
    <t xml:space="preserve">KEY PRODUCTS        </t>
  </si>
  <si>
    <t xml:space="preserve">2010 LEASE.                                                       </t>
  </si>
  <si>
    <t xml:space="preserve">01143-04-009-000 </t>
  </si>
  <si>
    <t xml:space="preserve">4949   IRONTON              ST</t>
  </si>
  <si>
    <t xml:space="preserve">2.8:1</t>
  </si>
  <si>
    <t xml:space="preserve">2009 LEASE.                                                       </t>
  </si>
  <si>
    <t xml:space="preserve">01143-04-012-000 </t>
  </si>
  <si>
    <t xml:space="preserve">5005   IRONTON              ST</t>
  </si>
  <si>
    <t xml:space="preserve">1.6:1</t>
  </si>
  <si>
    <t xml:space="preserve">01144-01-017-000 </t>
  </si>
  <si>
    <t xml:space="preserve">11185 E 51ST                 AV</t>
  </si>
  <si>
    <t xml:space="preserve">5.4:1</t>
  </si>
  <si>
    <t xml:space="preserve">S-D-CONSOL ENGINEERG</t>
  </si>
  <si>
    <t xml:space="preserve">01144-02-008-000 </t>
  </si>
  <si>
    <t xml:space="preserve">5055   LIMA                 ST</t>
  </si>
  <si>
    <t xml:space="preserve">1.9:1</t>
  </si>
  <si>
    <t xml:space="preserve">S-W                 </t>
  </si>
  <si>
    <t xml:space="preserve">2009 LEASE - SINGLE-TENANT.                                       </t>
  </si>
  <si>
    <t xml:space="preserve">01144-04-004-000 </t>
  </si>
  <si>
    <t xml:space="preserve">5098   PARIS                ST</t>
  </si>
  <si>
    <t xml:space="preserve">I-A         </t>
  </si>
  <si>
    <t xml:space="preserve">6.1:1</t>
  </si>
  <si>
    <t xml:space="preserve">01144-04-008-000 </t>
  </si>
  <si>
    <t xml:space="preserve">4990   PARIS                ST</t>
  </si>
  <si>
    <t xml:space="preserve">01144-05-011-000 </t>
  </si>
  <si>
    <t xml:space="preserve">5045   OAKLAND              ST</t>
  </si>
  <si>
    <t xml:space="preserve">S-W ERICKSON METALS </t>
  </si>
  <si>
    <t xml:space="preserve">01144-06-010-000 </t>
  </si>
  <si>
    <t xml:space="preserve">4990   OAKLAND              ST</t>
  </si>
  <si>
    <t xml:space="preserve">ETD DIST            </t>
  </si>
  <si>
    <t xml:space="preserve">01144-06-016-000 </t>
  </si>
  <si>
    <t xml:space="preserve">5015   PARIS                ST</t>
  </si>
  <si>
    <t xml:space="preserve">2.5:1</t>
  </si>
  <si>
    <t xml:space="preserve">01144-07-014-000 </t>
  </si>
  <si>
    <t xml:space="preserve">4895   OAKLAND              ST</t>
  </si>
  <si>
    <t xml:space="preserve">3.2:1</t>
  </si>
  <si>
    <t xml:space="preserve">B </t>
  </si>
  <si>
    <t xml:space="preserve">LEASE COMMENCEMENT UNKNOWN.                                       </t>
  </si>
  <si>
    <t xml:space="preserve">01144-11-006-000 </t>
  </si>
  <si>
    <t xml:space="preserve">4950   LIMA                 ST</t>
  </si>
  <si>
    <t xml:space="preserve">2.2:1</t>
  </si>
  <si>
    <t xml:space="preserve">INDUSTRIAL VALCO    </t>
  </si>
  <si>
    <t xml:space="preserve">01153-03-006-000 </t>
  </si>
  <si>
    <t xml:space="preserve">9305 E 49TH                 AV</t>
  </si>
  <si>
    <t xml:space="preserve">C-MU-30     </t>
  </si>
  <si>
    <t xml:space="preserve">4.3:1</t>
  </si>
  <si>
    <t xml:space="preserve">SINGLE TENANT WHSE  </t>
  </si>
  <si>
    <t xml:space="preserve">COMMENCEMENT DATE OF LEASE UNKNOWN.                               </t>
  </si>
  <si>
    <t xml:space="preserve">01153-03-010-000 </t>
  </si>
  <si>
    <t xml:space="preserve">9501 E 49TH                 AV</t>
  </si>
  <si>
    <t xml:space="preserve">1.4:1</t>
  </si>
  <si>
    <t xml:space="preserve">S-T WHSE.           </t>
  </si>
  <si>
    <t xml:space="preserve">01154-00-031-000 </t>
  </si>
  <si>
    <t xml:space="preserve">10450 E 51ST                 AV</t>
  </si>
  <si>
    <t xml:space="preserve">CERTIFIT AUTO PARTS </t>
  </si>
  <si>
    <t xml:space="preserve">01154-04-005-000 </t>
  </si>
  <si>
    <t xml:space="preserve">4890   GENEVA               ST</t>
  </si>
  <si>
    <t xml:space="preserve">3.7:1</t>
  </si>
  <si>
    <t xml:space="preserve">STRYKER             </t>
  </si>
  <si>
    <t xml:space="preserve">01183-00-019-000 </t>
  </si>
  <si>
    <t xml:space="preserve">4200 E 52ND                 AV</t>
  </si>
  <si>
    <t xml:space="preserve">S-W-AMERICAN WHSE   </t>
  </si>
  <si>
    <t xml:space="preserve">01183-01-024-000 </t>
  </si>
  <si>
    <t xml:space="preserve">4545 E 51ST                 AV</t>
  </si>
  <si>
    <t xml:space="preserve">2.6:1</t>
  </si>
  <si>
    <t xml:space="preserve">S-W-MILLER BRANDS   </t>
  </si>
  <si>
    <t xml:space="preserve">2010 LEASE                                                        </t>
  </si>
  <si>
    <t xml:space="preserve">01183-02-011-000 </t>
  </si>
  <si>
    <t xml:space="preserve">4770 E 51ST                 AV</t>
  </si>
  <si>
    <t xml:space="preserve">MILE-HI FROZEN FOODS</t>
  </si>
  <si>
    <t xml:space="preserve">01183-02-012-000 </t>
  </si>
  <si>
    <t xml:space="preserve">4501 E 50TH                 AV</t>
  </si>
  <si>
    <t xml:space="preserve">MILE HIGH FROZEN FOO</t>
  </si>
  <si>
    <t xml:space="preserve">01183-02-016-000 </t>
  </si>
  <si>
    <t xml:space="preserve">5075   DAHLIA               ST</t>
  </si>
  <si>
    <t xml:space="preserve">C+</t>
  </si>
  <si>
    <t xml:space="preserve">01183-02-017-000 </t>
  </si>
  <si>
    <t xml:space="preserve">5025   DAHLIA               ST</t>
  </si>
  <si>
    <t xml:space="preserve">01184-00-016-000 </t>
  </si>
  <si>
    <t xml:space="preserve">4900   DAHLIA               ST</t>
  </si>
  <si>
    <t xml:space="preserve">AMERICAN WHSE       </t>
  </si>
  <si>
    <t xml:space="preserve">01184-00-019-000 </t>
  </si>
  <si>
    <t xml:space="preserve">5055 E 48TH                 AV</t>
  </si>
  <si>
    <t xml:space="preserve">3:1</t>
  </si>
  <si>
    <t xml:space="preserve">S-W GLENCO DIST     </t>
  </si>
  <si>
    <t xml:space="preserve">01184-01-006-000 </t>
  </si>
  <si>
    <t xml:space="preserve">4851   FOREST               ST</t>
  </si>
  <si>
    <t xml:space="preserve">7:1</t>
  </si>
  <si>
    <t xml:space="preserve">SEAL MASTER/DENVER  </t>
  </si>
  <si>
    <t xml:space="preserve">01191-00-059-000 </t>
  </si>
  <si>
    <t xml:space="preserve">4747   HOLLY                ST</t>
  </si>
  <si>
    <t xml:space="preserve">3.1:1</t>
  </si>
  <si>
    <t xml:space="preserve">01191-00-078-000 </t>
  </si>
  <si>
    <t xml:space="preserve">5155 E 46TH                 AV</t>
  </si>
  <si>
    <t xml:space="preserve">2.1:1</t>
  </si>
  <si>
    <t xml:space="preserve">01192-00-064-000 </t>
  </si>
  <si>
    <t xml:space="preserve">4330 E 48TH                 AV</t>
  </si>
  <si>
    <t xml:space="preserve">2.7:1</t>
  </si>
  <si>
    <t xml:space="preserve">DIST WHSE           </t>
  </si>
  <si>
    <t xml:space="preserve">2009/2010 LEASES.                                                 </t>
  </si>
  <si>
    <t xml:space="preserve">01194-00-046-000 </t>
  </si>
  <si>
    <t xml:space="preserve">5105 E 39TH                 AV</t>
  </si>
  <si>
    <t xml:space="preserve">01194-00-071-000 </t>
  </si>
  <si>
    <t xml:space="preserve">3870   ELM                  ST</t>
  </si>
  <si>
    <t xml:space="preserve">LEASE DATE UNKNOWN; CAN'T DIVIDE EXPENSE BETWEEN OWNER AND TENANT.</t>
  </si>
  <si>
    <t xml:space="preserve">01194-00-076-000 </t>
  </si>
  <si>
    <t xml:space="preserve">3855   ELM                  ST</t>
  </si>
  <si>
    <t xml:space="preserve">2:1</t>
  </si>
  <si>
    <t xml:space="preserve">CANNACOPIA          </t>
  </si>
  <si>
    <t xml:space="preserve">CAN'T ALLOCATE EXPENSE BETWEEN OWNER &amp; TENANT                     </t>
  </si>
  <si>
    <t xml:space="preserve">01194-00-136-000 </t>
  </si>
  <si>
    <t xml:space="preserve">3931   HOLLY                ST</t>
  </si>
  <si>
    <t xml:space="preserve">OWNER PAYS TOO MUCH OF EXPENSES HERE = NOT LISTED.                </t>
  </si>
  <si>
    <t xml:space="preserve">01194-00-181-000 </t>
  </si>
  <si>
    <t xml:space="preserve">4855 E 41ST                 AV</t>
  </si>
  <si>
    <t xml:space="preserve">BELLAIR EXPRESS     </t>
  </si>
  <si>
    <t xml:space="preserve">01194-00-229-000 </t>
  </si>
  <si>
    <t xml:space="preserve">3812   DAHLIA               ST</t>
  </si>
  <si>
    <t xml:space="preserve">14.1:1</t>
  </si>
  <si>
    <t xml:space="preserve">01194-00-230-000 </t>
  </si>
  <si>
    <t xml:space="preserve">3820   FOREST               ST</t>
  </si>
  <si>
    <t xml:space="preserve">S-D-LANDEROF PLUMBNG</t>
  </si>
  <si>
    <t xml:space="preserve">01194-00-239-000 </t>
  </si>
  <si>
    <t xml:space="preserve">5255 E 38TH                 AV</t>
  </si>
  <si>
    <t xml:space="preserve">LAWNTECH ENT'PRS    </t>
  </si>
  <si>
    <t xml:space="preserve">CAN'T SEPARATE EXPENSES ATTRIBUTABLE TO OWNER &amp; TENANT.           </t>
  </si>
  <si>
    <t xml:space="preserve">01194-00-262-000 </t>
  </si>
  <si>
    <t xml:space="preserve">5105 E 41ST                 AV</t>
  </si>
  <si>
    <t xml:space="preserve">DIST.               </t>
  </si>
  <si>
    <t xml:space="preserve">LEASE DATES FROM 2000 - ONLY HERE TO MAKE A RECORD FOR STEVENS W.O</t>
  </si>
  <si>
    <t xml:space="preserve">01194-00-264-000 </t>
  </si>
  <si>
    <t xml:space="preserve">5180   SMITH                RD</t>
  </si>
  <si>
    <t xml:space="preserve">DIST/OFC            </t>
  </si>
  <si>
    <t xml:space="preserve">LEASES DATE FROM 2006 -2010;OWNER PAYS TOO MUCH OF EXPENSES.      </t>
  </si>
  <si>
    <t xml:space="preserve">01194-01-003-000 </t>
  </si>
  <si>
    <t xml:space="preserve">4801 E 39TH                 AV</t>
  </si>
  <si>
    <t xml:space="preserve">DIST WAREHOUSE      </t>
  </si>
  <si>
    <t xml:space="preserve">01194-03-002-000 </t>
  </si>
  <si>
    <t xml:space="preserve">3875   ELM                  ST</t>
  </si>
  <si>
    <t xml:space="preserve">DIST    AIRPRO      </t>
  </si>
  <si>
    <t xml:space="preserve">01194-03-006-000 </t>
  </si>
  <si>
    <t xml:space="preserve">4940 E 39TH                 AV</t>
  </si>
  <si>
    <t xml:space="preserve">S-M BC PRINTING INC.</t>
  </si>
  <si>
    <t xml:space="preserve">01194-04-001-000 </t>
  </si>
  <si>
    <t xml:space="preserve">3835   ELM                  ST</t>
  </si>
  <si>
    <t xml:space="preserve">DIST/MULTI TENANT   </t>
  </si>
  <si>
    <t xml:space="preserve">EXP LEFT OUT BECAUSE OWNER PAYS WAY TOO MUCH.                     </t>
  </si>
  <si>
    <t xml:space="preserve">01201-00-042-000 </t>
  </si>
  <si>
    <t xml:space="preserve">4300   MONACO               PY</t>
  </si>
  <si>
    <t xml:space="preserve">NNN LEASE SIGNED 10/2011 -- SOURCE: COSTAR                        </t>
  </si>
  <si>
    <t xml:space="preserve">01201-19-020-000 </t>
  </si>
  <si>
    <t xml:space="preserve">6804 E 48TH                 AV</t>
  </si>
  <si>
    <t xml:space="preserve">01201-21-030-030 </t>
  </si>
  <si>
    <t xml:space="preserve">7030 E 46TH AVENUE          DR</t>
  </si>
  <si>
    <t xml:space="preserve">UNIT #D             </t>
  </si>
  <si>
    <t xml:space="preserve">01201-21-045-045 </t>
  </si>
  <si>
    <t xml:space="preserve">4601   QUEBEC               ST</t>
  </si>
  <si>
    <t xml:space="preserve">C-10 (J) STPL BUS   </t>
  </si>
  <si>
    <t xml:space="preserve">LEASE COMMENCEMENT DATE UNKNOWN.                                  </t>
  </si>
  <si>
    <t xml:space="preserve">01201-21-055-055 </t>
  </si>
  <si>
    <t xml:space="preserve">4605   QUEBEC               ST</t>
  </si>
  <si>
    <t xml:space="preserve">UNIT J-4605 QUEBEC  </t>
  </si>
  <si>
    <t xml:space="preserve">01201-21-056-056 </t>
  </si>
  <si>
    <t xml:space="preserve">UNIT K-4605 QUEBEC  </t>
  </si>
  <si>
    <t xml:space="preserve">01201-21-057-057 </t>
  </si>
  <si>
    <t xml:space="preserve">UNIT BLDG 3         </t>
  </si>
  <si>
    <t xml:space="preserve">01202-00-064-000 </t>
  </si>
  <si>
    <t xml:space="preserve">4686   IVY                  ST</t>
  </si>
  <si>
    <t xml:space="preserve">2010 LEASE; NEED BREAKDOWN FOR EXPENSES.                          </t>
  </si>
  <si>
    <t xml:space="preserve">01202-00-071-000 </t>
  </si>
  <si>
    <t xml:space="preserve">4571   IVY                  ST</t>
  </si>
  <si>
    <t xml:space="preserve">AMERICAN IND G/D    </t>
  </si>
  <si>
    <t xml:space="preserve">01203-00-073-000 </t>
  </si>
  <si>
    <t xml:space="preserve">3880   HOLLY                ST</t>
  </si>
  <si>
    <t xml:space="preserve">MILE HIGH GROWS     </t>
  </si>
  <si>
    <t xml:space="preserve">01203-00-100-000 </t>
  </si>
  <si>
    <t xml:space="preserve">5775 E 39TH                 AV</t>
  </si>
  <si>
    <t xml:space="preserve">1.5:1</t>
  </si>
  <si>
    <t xml:space="preserve">01203-00-134-000 </t>
  </si>
  <si>
    <t xml:space="preserve">6300 E 39TH                 AV</t>
  </si>
  <si>
    <t xml:space="preserve">01203-00-160-000 </t>
  </si>
  <si>
    <t xml:space="preserve">6211 E 42ND                 AV</t>
  </si>
  <si>
    <t xml:space="preserve">DIST SNGL TENANT    </t>
  </si>
  <si>
    <t xml:space="preserve">01203-00-185-000 </t>
  </si>
  <si>
    <t xml:space="preserve">3950   HOLLY                ST</t>
  </si>
  <si>
    <t xml:space="preserve">01213-00-038-000 </t>
  </si>
  <si>
    <t xml:space="preserve">7777 E 40TH                 AV</t>
  </si>
  <si>
    <t xml:space="preserve">I-MX-5      </t>
  </si>
  <si>
    <t xml:space="preserve">C-</t>
  </si>
  <si>
    <t xml:space="preserve">01231-05-002-000 </t>
  </si>
  <si>
    <t xml:space="preserve">4701   MOLINE               ST</t>
  </si>
  <si>
    <t xml:space="preserve">M-W DIST WAREHOUSE  </t>
  </si>
  <si>
    <t xml:space="preserve">LEASES 2008-2012; OWNER PAYS TOO BIG SHARE OF EXPENSE.            </t>
  </si>
  <si>
    <t xml:space="preserve">01232-00-040-000 </t>
  </si>
  <si>
    <t xml:space="preserve">4620   IRONTON              ST</t>
  </si>
  <si>
    <t xml:space="preserve">PLASTIC CREATIONS   </t>
  </si>
  <si>
    <t xml:space="preserve">01232-00-051-000 </t>
  </si>
  <si>
    <t xml:space="preserve">4690   IRONTON              ST</t>
  </si>
  <si>
    <t xml:space="preserve">OWNER PAYING TOO MUCH OF EXPENSES HERE.                           </t>
  </si>
  <si>
    <t xml:space="preserve">01232-03-004-000 </t>
  </si>
  <si>
    <t xml:space="preserve">4695   KINGSTON             ST</t>
  </si>
  <si>
    <t xml:space="preserve">01232-03-006-000 </t>
  </si>
  <si>
    <t xml:space="preserve">4675   KINGSTON             ST</t>
  </si>
  <si>
    <t xml:space="preserve">1.8:1</t>
  </si>
  <si>
    <t xml:space="preserve">CANDY AND PECKS     </t>
  </si>
  <si>
    <t xml:space="preserve">01232-07-007-000 </t>
  </si>
  <si>
    <t xml:space="preserve">4675   JOLIET               ST</t>
  </si>
  <si>
    <t xml:space="preserve">RED-D-ARC (AIRGAS)  </t>
  </si>
  <si>
    <t xml:space="preserve">01232-10-002-000 </t>
  </si>
  <si>
    <t xml:space="preserve">10645 E 47TH                 AV</t>
  </si>
  <si>
    <t xml:space="preserve">INETDEALS           </t>
  </si>
  <si>
    <t xml:space="preserve">01234-01-014-000 </t>
  </si>
  <si>
    <t xml:space="preserve">3841   PARIS                ST</t>
  </si>
  <si>
    <t xml:space="preserve">TOO HIGH A PROPORTION OF EXPENSES PICKED UP BY OWNER.             </t>
  </si>
  <si>
    <t xml:space="preserve">01246-00-039-000 </t>
  </si>
  <si>
    <t xml:space="preserve">14155 E 42ND                 AV</t>
  </si>
  <si>
    <t xml:space="preserve">I-0         </t>
  </si>
  <si>
    <t xml:space="preserve">ACCENT WINDOWS      </t>
  </si>
  <si>
    <t xml:space="preserve">NNN LEASE SIGNED 2/2012 -- SOURCE: COSTAR                         </t>
  </si>
  <si>
    <t xml:space="preserve">01252-00-034-000 </t>
  </si>
  <si>
    <t xml:space="preserve">12770 E 39TH                 AV</t>
  </si>
  <si>
    <t xml:space="preserve">M-W UNISOURCE       </t>
  </si>
  <si>
    <t xml:space="preserve">01252-00-056-000 </t>
  </si>
  <si>
    <t xml:space="preserve">3800   QUENTIN              ST</t>
  </si>
  <si>
    <t xml:space="preserve">PRINTING PLANT      </t>
  </si>
  <si>
    <t xml:space="preserve">01252-00-088-000 </t>
  </si>
  <si>
    <t xml:space="preserve">3777   QUENTIN              ST</t>
  </si>
  <si>
    <t xml:space="preserve">01252-00-093-000 </t>
  </si>
  <si>
    <t xml:space="preserve">3899   QUENTIN              ST</t>
  </si>
  <si>
    <t xml:space="preserve">01252-00-095-000 </t>
  </si>
  <si>
    <t xml:space="preserve">3751   REVERE               ST</t>
  </si>
  <si>
    <t xml:space="preserve">CONLEY              </t>
  </si>
  <si>
    <t xml:space="preserve">OWNER PAY TOO LARGE A SHARE OF EXPENSES.                          </t>
  </si>
  <si>
    <t xml:space="preserve">01252-04-001-000 </t>
  </si>
  <si>
    <t xml:space="preserve">12585 E 39TH                 AV</t>
  </si>
  <si>
    <t xml:space="preserve">4.4:1</t>
  </si>
  <si>
    <t xml:space="preserve">CAN'T ALLOCATE EXPENSES.                                          </t>
  </si>
  <si>
    <t xml:space="preserve">01314-32-011-000 </t>
  </si>
  <si>
    <t xml:space="preserve">1520   FILBERT              CT</t>
  </si>
  <si>
    <t xml:space="preserve">U-MS-3      </t>
  </si>
  <si>
    <t xml:space="preserve">1.2:1</t>
  </si>
  <si>
    <t xml:space="preserve">MO-TO-MO LEASE.                                                   </t>
  </si>
  <si>
    <t xml:space="preserve">02131-02-012-000 </t>
  </si>
  <si>
    <t xml:space="preserve">5300   JACKSON              ST</t>
  </si>
  <si>
    <t xml:space="preserve">02131-02-014-000 </t>
  </si>
  <si>
    <t xml:space="preserve">5335   HARRISON             ST</t>
  </si>
  <si>
    <t xml:space="preserve">7.3:1</t>
  </si>
  <si>
    <t xml:space="preserve">DIST/SINGLE TENANT  </t>
  </si>
  <si>
    <t xml:space="preserve">MO-TO-MO LEASE; CAN'T ALLOCATE EXPENSES BETWEEN O &amp; T.            </t>
  </si>
  <si>
    <t xml:space="preserve">02131-04-003-000 </t>
  </si>
  <si>
    <t xml:space="preserve">5300   MONROE               ST</t>
  </si>
  <si>
    <t xml:space="preserve">02131-08-020-000 </t>
  </si>
  <si>
    <t xml:space="preserve">3333 E 52ND                 AV</t>
  </si>
  <si>
    <t xml:space="preserve">COLORADO DOORWAYS   </t>
  </si>
  <si>
    <t xml:space="preserve">2009 LEASE; PARCEL 02131-08-021 INCLUDED IN LEASE.                </t>
  </si>
  <si>
    <t xml:space="preserve">02132-00-039-000 </t>
  </si>
  <si>
    <t xml:space="preserve">3055 E 52ND                 AV</t>
  </si>
  <si>
    <t xml:space="preserve">DIST/STRGE WHSE     </t>
  </si>
  <si>
    <t xml:space="preserve">EXP NOT ENTERED - OWNER BEAR WAY TOO MUCH OF EXPENSES.            </t>
  </si>
  <si>
    <t xml:space="preserve">02134-00-158-000 </t>
  </si>
  <si>
    <t xml:space="preserve">5105   COOK                 ST</t>
  </si>
  <si>
    <t xml:space="preserve">SAMS PRODUCE        </t>
  </si>
  <si>
    <t xml:space="preserve">02134-01-021-000 </t>
  </si>
  <si>
    <t xml:space="preserve">4985   COLORADO             BV</t>
  </si>
  <si>
    <t xml:space="preserve">FOREE TIRE          </t>
  </si>
  <si>
    <t xml:space="preserve">02134-01-044-000 </t>
  </si>
  <si>
    <t xml:space="preserve">4975   COLORADO             BV</t>
  </si>
  <si>
    <t xml:space="preserve">4:1</t>
  </si>
  <si>
    <t xml:space="preserve">VACANT              </t>
  </si>
  <si>
    <t xml:space="preserve">DATE OF LEASE COMMENCEMENT UNKNOWN.                               </t>
  </si>
  <si>
    <t xml:space="preserve">02143-00-032-000 </t>
  </si>
  <si>
    <t xml:space="preserve">707 E 50TH                 AV</t>
  </si>
  <si>
    <t xml:space="preserve">CASTLE ROCK MEATS   </t>
  </si>
  <si>
    <t xml:space="preserve">PER COSTAR, THIS MAY BE OWNER-OCCUPIED PROPERTY.                  </t>
  </si>
  <si>
    <t xml:space="preserve">02143-00-093-000 </t>
  </si>
  <si>
    <t xml:space="preserve">770 E 51ST                 AV</t>
  </si>
  <si>
    <t xml:space="preserve">02143-00-148-000 </t>
  </si>
  <si>
    <t xml:space="preserve">5151   FRANKLIN             ST</t>
  </si>
  <si>
    <t xml:space="preserve">MW PLATTE R DISTRIB.</t>
  </si>
  <si>
    <t xml:space="preserve">2010-2011 LEASES.                                                 </t>
  </si>
  <si>
    <t xml:space="preserve">02143-05-039-000 </t>
  </si>
  <si>
    <t xml:space="preserve">5113   CLARKSON             ST</t>
  </si>
  <si>
    <t xml:space="preserve">6.5:1</t>
  </si>
  <si>
    <t xml:space="preserve">02144-00-098-000 </t>
  </si>
  <si>
    <t xml:space="preserve">5150   RACE                 CT</t>
  </si>
  <si>
    <t xml:space="preserve">5.2:1</t>
  </si>
  <si>
    <t xml:space="preserve">02153-00-014-000 </t>
  </si>
  <si>
    <t xml:space="preserve">555 W 48TH                 AV</t>
  </si>
  <si>
    <t xml:space="preserve">M-W-LINCOLN BUS PARK</t>
  </si>
  <si>
    <t xml:space="preserve">02153-00-047-000 </t>
  </si>
  <si>
    <t xml:space="preserve">601 W 50TH                 AV</t>
  </si>
  <si>
    <t xml:space="preserve">NNN -- LEASE SIGNED 4/2012 -- SOURCE: COSTAR                      </t>
  </si>
  <si>
    <t xml:space="preserve">02153-09-014-000 </t>
  </si>
  <si>
    <t xml:space="preserve">4855   BROADWAY             ST</t>
  </si>
  <si>
    <t xml:space="preserve">1.7:1</t>
  </si>
  <si>
    <t xml:space="preserve">OWNER PAYS TOO LARGE A PROPORTION OF EXP = NOT ENTERED.           </t>
  </si>
  <si>
    <t xml:space="preserve">02154-00-045-000 </t>
  </si>
  <si>
    <t xml:space="preserve">5055   WASHINGTON           ST</t>
  </si>
  <si>
    <t xml:space="preserve">WESTERN WATERPROOFIN</t>
  </si>
  <si>
    <t xml:space="preserve">02154-17-014-000 </t>
  </si>
  <si>
    <t xml:space="preserve">4850   BROADWAY             ST</t>
  </si>
  <si>
    <t xml:space="preserve">OWNER FOOTS TOO HIGH A PROPORTION OF THE EXPENSES.                </t>
  </si>
  <si>
    <t xml:space="preserve">7.42 PSF NNN LEASE SIGNED 10/2011 PER COSTAR CONFIRMED            </t>
  </si>
  <si>
    <t xml:space="preserve">02154-18-021-000 </t>
  </si>
  <si>
    <t xml:space="preserve">4836   LEAF                 CT</t>
  </si>
  <si>
    <t xml:space="preserve">WAREHOUSE DIST.     </t>
  </si>
  <si>
    <t xml:space="preserve">2010-11 LEASES.  OWNER FOOTS TOO MANY OF THE EXPENSES.            </t>
  </si>
  <si>
    <t xml:space="preserve">02164-09-028-000 </t>
  </si>
  <si>
    <t xml:space="preserve">4800   OSAGE                ST</t>
  </si>
  <si>
    <t xml:space="preserve">CENTERPARK M-T WHSE.</t>
  </si>
  <si>
    <t xml:space="preserve">02194-28-018-000 </t>
  </si>
  <si>
    <t xml:space="preserve">3868   TENNYSON             ST</t>
  </si>
  <si>
    <t xml:space="preserve">U-MS-5      </t>
  </si>
  <si>
    <t xml:space="preserve">S-W TULLAR ELECTRIC </t>
  </si>
  <si>
    <t xml:space="preserve">PER COSTAR, LEASE ORIGINATED IN 1998.                             </t>
  </si>
  <si>
    <t xml:space="preserve">02211-08-007-000 </t>
  </si>
  <si>
    <t xml:space="preserve">1111 W 47TH                 AV</t>
  </si>
  <si>
    <t xml:space="preserve">3.8:1</t>
  </si>
  <si>
    <t xml:space="preserve">MW BOTH OWNERS      </t>
  </si>
  <si>
    <t xml:space="preserve">02211-13-022-000 </t>
  </si>
  <si>
    <t xml:space="preserve">1051 W 46TH                 AV</t>
  </si>
  <si>
    <t xml:space="preserve">MILE HIGH DOOR SEAL </t>
  </si>
  <si>
    <t xml:space="preserve">02214-19-007-000 </t>
  </si>
  <si>
    <t xml:space="preserve">4105   JASON                ST</t>
  </si>
  <si>
    <t xml:space="preserve">DATE OF LEASE ORIGINATION UNKNOWN.                                </t>
  </si>
  <si>
    <t xml:space="preserve">02214-31-003-000 </t>
  </si>
  <si>
    <t xml:space="preserve">4024   JASON                ST</t>
  </si>
  <si>
    <t xml:space="preserve">02214-31-007-000 </t>
  </si>
  <si>
    <t xml:space="preserve">4090   JASON                ST</t>
  </si>
  <si>
    <t xml:space="preserve">S-W CONCRETE CORING </t>
  </si>
  <si>
    <t xml:space="preserve">2010 LEASE PER COSTAR.                                            </t>
  </si>
  <si>
    <t xml:space="preserve">02214-41-006-000 </t>
  </si>
  <si>
    <t xml:space="preserve">1627 W 38TH                 AV</t>
  </si>
  <si>
    <t xml:space="preserve">U-MX-3      </t>
  </si>
  <si>
    <t xml:space="preserve">COMMENCEMENT DATE OF LEASES UNKNOWN.                              </t>
  </si>
  <si>
    <t xml:space="preserve">02214-43-017-000 </t>
  </si>
  <si>
    <t xml:space="preserve">3855   MARIPOSA             ST</t>
  </si>
  <si>
    <t xml:space="preserve">M-W URBAN FABRICAT'N</t>
  </si>
  <si>
    <t xml:space="preserve">LEASES 2010-2012.                                                 </t>
  </si>
  <si>
    <t xml:space="preserve">02223-00-078-000 </t>
  </si>
  <si>
    <t xml:space="preserve">2570   31ST                 ST</t>
  </si>
  <si>
    <t xml:space="preserve">INSUFF. INFO TO ALLOCATE EXP. BETWEEN BUSINESS &amp; R.E.             </t>
  </si>
  <si>
    <t xml:space="preserve">02223-11-011-000 </t>
  </si>
  <si>
    <t xml:space="preserve">642 W 43RD                 AV</t>
  </si>
  <si>
    <t xml:space="preserve">02223-12-017-000 </t>
  </si>
  <si>
    <t xml:space="preserve">4225   ELATI                ST</t>
  </si>
  <si>
    <t xml:space="preserve">18.9:1</t>
  </si>
  <si>
    <t xml:space="preserve">S-W DENVER BRICK    </t>
  </si>
  <si>
    <t xml:space="preserve">LEASE ORIGINATION UNKNOWN; HIGH LAND-TO-BLDG RATIO/EXCESS LAND.   </t>
  </si>
  <si>
    <t xml:space="preserve">02223-13-024-000 </t>
  </si>
  <si>
    <t xml:space="preserve">4256   ELATI                ST</t>
  </si>
  <si>
    <t xml:space="preserve">44.M</t>
  </si>
  <si>
    <t xml:space="preserve">3.6:1</t>
  </si>
  <si>
    <t xml:space="preserve">S-W ALEX MANUFACTURG</t>
  </si>
  <si>
    <t xml:space="preserve">C&amp;R - CAN'T ALLOCATE EXPENSES BETWEEN THE USES.                   </t>
  </si>
  <si>
    <t xml:space="preserve">02223-19-009-000 </t>
  </si>
  <si>
    <t xml:space="preserve">450 W 42ND                 AV</t>
  </si>
  <si>
    <t xml:space="preserve">5:1</t>
  </si>
  <si>
    <t xml:space="preserve">SHERMAN WILLIAMS    </t>
  </si>
  <si>
    <t xml:space="preserve">02231-30-009-000 </t>
  </si>
  <si>
    <t xml:space="preserve">4301   CLAUDE               CT</t>
  </si>
  <si>
    <t xml:space="preserve">1:1</t>
  </si>
  <si>
    <t xml:space="preserve">2010 COMMENCEMENT; CAN'T SEPARATE OWNER &amp; TENANT EXPENSES.        </t>
  </si>
  <si>
    <t xml:space="preserve">02232-00-194-000 </t>
  </si>
  <si>
    <t xml:space="preserve">4701   PACKING HOUSE        RD</t>
  </si>
  <si>
    <t xml:space="preserve">ARTIST STUDIOS      </t>
  </si>
  <si>
    <t xml:space="preserve">EXPENSES STABILIZED - OWNER'S SHARE TOO HIGH.                     </t>
  </si>
  <si>
    <t xml:space="preserve">02232-00-221-000 </t>
  </si>
  <si>
    <t xml:space="preserve">4800   WASHINGTON           ST</t>
  </si>
  <si>
    <t xml:space="preserve">M-2 MULTI DISTWHSE  </t>
  </si>
  <si>
    <t xml:space="preserve">SOME LEASES GO BACK AS FAR AS 1998.                               </t>
  </si>
  <si>
    <t xml:space="preserve">02234-00-055-000 </t>
  </si>
  <si>
    <t xml:space="preserve">3975   YORK                 ST</t>
  </si>
  <si>
    <t xml:space="preserve">8.4:1</t>
  </si>
  <si>
    <t xml:space="preserve">FELIX'S TOWING      </t>
  </si>
  <si>
    <t xml:space="preserve">02241-00-013-000 </t>
  </si>
  <si>
    <t xml:space="preserve">4701   JACKSON              ST</t>
  </si>
  <si>
    <t xml:space="preserve">02241-02-009-000 </t>
  </si>
  <si>
    <t xml:space="preserve">4550   JACKSON              ST</t>
  </si>
  <si>
    <t xml:space="preserve">02241-25-014-000 </t>
  </si>
  <si>
    <t xml:space="preserve">4715   COLORADO             BV</t>
  </si>
  <si>
    <t xml:space="preserve">02243-01-012-000 </t>
  </si>
  <si>
    <t xml:space="preserve">3100 E 43RD                 AV</t>
  </si>
  <si>
    <t xml:space="preserve">1.1:1</t>
  </si>
  <si>
    <t xml:space="preserve">DENVER METAL FINSHNG</t>
  </si>
  <si>
    <t xml:space="preserve">02243-02-020-000 </t>
  </si>
  <si>
    <t xml:space="preserve">3020 E 43RD                 AV</t>
  </si>
  <si>
    <t xml:space="preserve">MW-GOSPEL CHURCH    </t>
  </si>
  <si>
    <t xml:space="preserve">2010/2011 LEASES.                                                 </t>
  </si>
  <si>
    <t xml:space="preserve">02243-07-007-000 </t>
  </si>
  <si>
    <t xml:space="preserve">4242   COLUMBINE            ST</t>
  </si>
  <si>
    <t xml:space="preserve">SW-T&amp;G CATERING, INC</t>
  </si>
  <si>
    <t xml:space="preserve">INADEQUATE BREAKDOWN OF EXPENSES = NOT ENTERED.                   </t>
  </si>
  <si>
    <t xml:space="preserve">02243-08-007-000 </t>
  </si>
  <si>
    <t xml:space="preserve">4215   COLUMBINE            ST</t>
  </si>
  <si>
    <t xml:space="preserve">B &amp; D AUTO  RECYCLNG</t>
  </si>
  <si>
    <t xml:space="preserve">2009-2010 LEASES.                                                 </t>
  </si>
  <si>
    <t xml:space="preserve">02243-09-019-019 </t>
  </si>
  <si>
    <t xml:space="preserve">4228   YORK                 ST</t>
  </si>
  <si>
    <t xml:space="preserve">YORK ST IND COND#101</t>
  </si>
  <si>
    <t xml:space="preserve">02243-09-022-022 </t>
  </si>
  <si>
    <t xml:space="preserve">YORK ST IND COND#104</t>
  </si>
  <si>
    <t xml:space="preserve">OTHER IS P.O.A. DUES.                                             </t>
  </si>
  <si>
    <t xml:space="preserve">02244-00-053-000 </t>
  </si>
  <si>
    <t xml:space="preserve">3660 E 40TH                 AV</t>
  </si>
  <si>
    <t xml:space="preserve">3.4:1</t>
  </si>
  <si>
    <t xml:space="preserve">S-W CLASSIC SPORT   </t>
  </si>
  <si>
    <t xml:space="preserve">02244-08-016-000 </t>
  </si>
  <si>
    <t xml:space="preserve">3215 E 42ND                 AV</t>
  </si>
  <si>
    <t xml:space="preserve">SAFEWAY ICE CREAM   </t>
  </si>
  <si>
    <t xml:space="preserve">2010/2011 LEASES; VAST MAJORITY OWNER-OCC=EXP NOT USEFUL.         </t>
  </si>
  <si>
    <t xml:space="preserve">02244-12-014-000 </t>
  </si>
  <si>
    <t xml:space="preserve">4190   MADISON              ST</t>
  </si>
  <si>
    <t xml:space="preserve">SW-WODEN WOODS      </t>
  </si>
  <si>
    <t xml:space="preserve">ORIGINATION OF MO-TO-MO ARRANGMENT UNKNOWN.                       </t>
  </si>
  <si>
    <t xml:space="preserve">02244-20-015-000 </t>
  </si>
  <si>
    <t xml:space="preserve">3649 E 40TH                 AV</t>
  </si>
  <si>
    <t xml:space="preserve">SPECTRUM GEN CONTCTR</t>
  </si>
  <si>
    <t xml:space="preserve">02244-28-013-000 </t>
  </si>
  <si>
    <t xml:space="preserve">3601 E 39TH                 AV</t>
  </si>
  <si>
    <t xml:space="preserve">4.5:1</t>
  </si>
  <si>
    <t xml:space="preserve">EXPERT PIPING SUPPLY</t>
  </si>
  <si>
    <t xml:space="preserve">ORIGINATION OF MO-TO-MO ARRANGEMENT UNKNOWN.                      </t>
  </si>
  <si>
    <t xml:space="preserve">02263-04-016-000 </t>
  </si>
  <si>
    <t xml:space="preserve">3518   LARIMER              ST</t>
  </si>
  <si>
    <t xml:space="preserve">SCHERER METALS, INC </t>
  </si>
  <si>
    <t xml:space="preserve">02271-00-019-000 </t>
  </si>
  <si>
    <t xml:space="preserve">3325   BRIGHTON             BV</t>
  </si>
  <si>
    <t xml:space="preserve">C-MX-8      </t>
  </si>
  <si>
    <t xml:space="preserve">PYRAMID PRINT&amp;GRPHCS</t>
  </si>
  <si>
    <t xml:space="preserve">02271-08-038-000 </t>
  </si>
  <si>
    <t xml:space="preserve">3615   DELGANY              ST</t>
  </si>
  <si>
    <t xml:space="preserve">S-W LIGHT BLUB SERVC</t>
  </si>
  <si>
    <t xml:space="preserve">02271-12-020-000 </t>
  </si>
  <si>
    <t xml:space="preserve">3551   BRIGHTON             BV</t>
  </si>
  <si>
    <t xml:space="preserve">2009-10 LEASES; EXPENSES UNREALISTIC = NOT POSTED.                </t>
  </si>
  <si>
    <t xml:space="preserve">02271-12-021-000 </t>
  </si>
  <si>
    <t xml:space="preserve">3559   BRIGHTON             BV</t>
  </si>
  <si>
    <t xml:space="preserve">5280 DESIGNS        </t>
  </si>
  <si>
    <t xml:space="preserve">2009 LEASE; EXPENSES UNREALISTIC = NOT POSTED.                    </t>
  </si>
  <si>
    <t xml:space="preserve">02271-12-031-000 </t>
  </si>
  <si>
    <t xml:space="preserve">3535   BRIGHTON             BL</t>
  </si>
  <si>
    <t xml:space="preserve">C-MX-12     </t>
  </si>
  <si>
    <t xml:space="preserve">1.3:1</t>
  </si>
  <si>
    <t xml:space="preserve">EXPENSES UNREALISTIC = NOT POSTED.                                </t>
  </si>
  <si>
    <t xml:space="preserve">02271-18-022-000 </t>
  </si>
  <si>
    <t xml:space="preserve">3400   WALNUT               ST</t>
  </si>
  <si>
    <t xml:space="preserve">DOWNTOWN SELF STRG  </t>
  </si>
  <si>
    <t xml:space="preserve">SELF-STORAGE FACILITY,TENANTS ARE TEMPORARY                       </t>
  </si>
  <si>
    <t xml:space="preserve">02271-20-005-000 </t>
  </si>
  <si>
    <t xml:space="preserve">3433   BLAKE                ST</t>
  </si>
  <si>
    <t xml:space="preserve">C-MX-5      </t>
  </si>
  <si>
    <t xml:space="preserve">S-W BLAKE ST GLASS  </t>
  </si>
  <si>
    <t xml:space="preserve">02271-22-005-000 </t>
  </si>
  <si>
    <t xml:space="preserve">3430   BRIGHTON             BV</t>
  </si>
  <si>
    <t xml:space="preserve">I-MX-8      </t>
  </si>
  <si>
    <t xml:space="preserve">SANTA FE HTG &amp; AC   </t>
  </si>
  <si>
    <t xml:space="preserve">2010 LEASE; EXPENSES UNREALISTIC = NOT POSTED.                    </t>
  </si>
  <si>
    <t xml:space="preserve">02271-22-014-000 </t>
  </si>
  <si>
    <t xml:space="preserve">3400   BRIGHTON             BV</t>
  </si>
  <si>
    <t xml:space="preserve">QUINN PROCESS EQPMNT</t>
  </si>
  <si>
    <t xml:space="preserve">02275-06-027-000 </t>
  </si>
  <si>
    <t xml:space="preserve">3150   WALNUT               ST</t>
  </si>
  <si>
    <t xml:space="preserve">R-MU-30     </t>
  </si>
  <si>
    <t xml:space="preserve">NNN -- SIGNED 9.11 SOURCE: COSTAR                                 </t>
  </si>
  <si>
    <t xml:space="preserve">02275-12-015-000 </t>
  </si>
  <si>
    <t xml:space="preserve">2975   WALNUT               ST</t>
  </si>
  <si>
    <t xml:space="preserve">02275-13-030-000 </t>
  </si>
  <si>
    <t xml:space="preserve">2964   WALNUT               ST</t>
  </si>
  <si>
    <t xml:space="preserve">02275-15-025-000 </t>
  </si>
  <si>
    <t xml:space="preserve">2801   WALNUT               ST</t>
  </si>
  <si>
    <t xml:space="preserve">NNN LEASE SIGNED 7/2012 -- SOURCE: COSTAR                         </t>
  </si>
  <si>
    <t xml:space="preserve">02276-21-002-000 </t>
  </si>
  <si>
    <t xml:space="preserve">2854   LARIMER              ST</t>
  </si>
  <si>
    <t xml:space="preserve">02277-07-017-000 </t>
  </si>
  <si>
    <t xml:space="preserve">2590   WALNUT               ST</t>
  </si>
  <si>
    <t xml:space="preserve">M-WHS/OFC/SHOWROOM  </t>
  </si>
  <si>
    <t xml:space="preserve">02281-03-008-000 </t>
  </si>
  <si>
    <t xml:space="preserve">3725   JASON                ST</t>
  </si>
  <si>
    <t xml:space="preserve">SILVER STATE FOODS  </t>
  </si>
  <si>
    <t xml:space="preserve">02281-31-020-000 </t>
  </si>
  <si>
    <t xml:space="preserve">1415 W 33RD                 AV</t>
  </si>
  <si>
    <t xml:space="preserve">DENVER DISTRIBUTORS </t>
  </si>
  <si>
    <t xml:space="preserve">02281-31-034-000 </t>
  </si>
  <si>
    <t xml:space="preserve">3323   MARIPOSA             ST</t>
  </si>
  <si>
    <t xml:space="preserve">02282-33-019-000 </t>
  </si>
  <si>
    <t xml:space="preserve">2020 W 33RD                 AV</t>
  </si>
  <si>
    <t xml:space="preserve">M-T WAREHOUSE       </t>
  </si>
  <si>
    <t xml:space="preserve">02294-16-008-000 </t>
  </si>
  <si>
    <t xml:space="preserve">2520 W 29TH                 AV</t>
  </si>
  <si>
    <t xml:space="preserve">CATERING            </t>
  </si>
  <si>
    <t xml:space="preserve">02323-01-021-000 </t>
  </si>
  <si>
    <t xml:space="preserve">1919   FEDERAL              BV</t>
  </si>
  <si>
    <t xml:space="preserve">PERMAGRAPHICS       </t>
  </si>
  <si>
    <t xml:space="preserve">02323-13-015-000 </t>
  </si>
  <si>
    <t xml:space="preserve">1729   FEDERAL              BV</t>
  </si>
  <si>
    <t xml:space="preserve">FLOYD'Z             </t>
  </si>
  <si>
    <t xml:space="preserve">PROBABLE 2009 LEASE PER COSTAR.                                   </t>
  </si>
  <si>
    <t xml:space="preserve">02342-23-012-000 </t>
  </si>
  <si>
    <t xml:space="preserve">2201   ARAPAHOE             ST</t>
  </si>
  <si>
    <t xml:space="preserve">PUD         </t>
  </si>
  <si>
    <t xml:space="preserve">GREAT DIVIDE BREWERY</t>
  </si>
  <si>
    <t xml:space="preserve">NON-BASE LEASE BUT NEED DATA FOR THIS NBHD.                       </t>
  </si>
  <si>
    <t xml:space="preserve">02342-33-021-000 </t>
  </si>
  <si>
    <t xml:space="preserve">2109   CURTIS               ST</t>
  </si>
  <si>
    <t xml:space="preserve">D-AS        </t>
  </si>
  <si>
    <t xml:space="preserve">MILE HIGH FRAMING   </t>
  </si>
  <si>
    <t xml:space="preserve">MO-TO-MO LEASES; CAN'T SEPARATE OWNER/TEN EXP = NOT POSTED.       </t>
  </si>
  <si>
    <t xml:space="preserve">02342-36-015-000 </t>
  </si>
  <si>
    <t xml:space="preserve">2033   LAWRENCE             ST</t>
  </si>
  <si>
    <t xml:space="preserve">0.5:1</t>
  </si>
  <si>
    <t xml:space="preserve">S-F-LA POPULAR TORTI</t>
  </si>
  <si>
    <t xml:space="preserve">02342-37-010-000 </t>
  </si>
  <si>
    <t xml:space="preserve">2006   LAWRENCE             ST</t>
  </si>
  <si>
    <t xml:space="preserve">05035-04-035-000 </t>
  </si>
  <si>
    <t xml:space="preserve">1240   SANTA FE             DR</t>
  </si>
  <si>
    <t xml:space="preserve">C-MS-8      </t>
  </si>
  <si>
    <t xml:space="preserve">S-W TATTERDEMALION  </t>
  </si>
  <si>
    <t xml:space="preserve">05041-07-020-000 </t>
  </si>
  <si>
    <t xml:space="preserve">1305   OSAGE                ST</t>
  </si>
  <si>
    <t xml:space="preserve">G-MX-3      </t>
  </si>
  <si>
    <t xml:space="preserve">DIST-J-8 EQUIPMENT  </t>
  </si>
  <si>
    <t xml:space="preserve">05042-01-047-000 </t>
  </si>
  <si>
    <t xml:space="preserve">1801 W COLFAX               AV</t>
  </si>
  <si>
    <t xml:space="preserve">5.1:1</t>
  </si>
  <si>
    <t xml:space="preserve">05042-01-049-000 </t>
  </si>
  <si>
    <t xml:space="preserve">1835 W COLFAX               AV</t>
  </si>
  <si>
    <t xml:space="preserve">05042-14-011-000 </t>
  </si>
  <si>
    <t xml:space="preserve">1945 W 13TH                 AV</t>
  </si>
  <si>
    <t xml:space="preserve">05042-15-002-000 </t>
  </si>
  <si>
    <t xml:space="preserve">1881 W 13TH                 AV</t>
  </si>
  <si>
    <t xml:space="preserve">5.9:1</t>
  </si>
  <si>
    <t xml:space="preserve">CFI WEST            </t>
  </si>
  <si>
    <t xml:space="preserve">05042-18-014-000 </t>
  </si>
  <si>
    <t xml:space="preserve">1201   PECOS                ST</t>
  </si>
  <si>
    <t xml:space="preserve">05042-22-025-000 </t>
  </si>
  <si>
    <t xml:space="preserve">1965 W 12TH                 PL</t>
  </si>
  <si>
    <t xml:space="preserve">05043-28-044-000 </t>
  </si>
  <si>
    <t xml:space="preserve">900   WYANDOT              ST</t>
  </si>
  <si>
    <t xml:space="preserve">M-WHSE              </t>
  </si>
  <si>
    <t xml:space="preserve">05043-38-001-000 </t>
  </si>
  <si>
    <t xml:space="preserve">951   VALLEJO              ST</t>
  </si>
  <si>
    <t xml:space="preserve">05044-17-007-000 </t>
  </si>
  <si>
    <t xml:space="preserve">845   NAVAJO               ST</t>
  </si>
  <si>
    <t xml:space="preserve">05044-23-035-000</t>
  </si>
  <si>
    <t xml:space="preserve">680 Lipan St</t>
  </si>
  <si>
    <t xml:space="preserve">05052-19-002-000 </t>
  </si>
  <si>
    <t xml:space="preserve">3101 W 14TH                 AV</t>
  </si>
  <si>
    <t xml:space="preserve">3.5:1</t>
  </si>
  <si>
    <t xml:space="preserve">MENTAL HEALTH SERV  </t>
  </si>
  <si>
    <t xml:space="preserve">05054-25-003-000 </t>
  </si>
  <si>
    <t xml:space="preserve">2506 W BARBERRY             PL</t>
  </si>
  <si>
    <t xml:space="preserve">AGE OF LEASES UNKNOWN.                                            </t>
  </si>
  <si>
    <t xml:space="preserve">05062-04-018-000 </t>
  </si>
  <si>
    <t xml:space="preserve">4700 W COLFAX               AV</t>
  </si>
  <si>
    <t xml:space="preserve">FRANK'S BBQ CATERING</t>
  </si>
  <si>
    <t xml:space="preserve">05081-04-016-000 </t>
  </si>
  <si>
    <t xml:space="preserve">695   CANOSA               CT</t>
  </si>
  <si>
    <t xml:space="preserve">M-W GREAT INDOORS   </t>
  </si>
  <si>
    <t xml:space="preserve">05081-06-019-000 </t>
  </si>
  <si>
    <t xml:space="preserve">670   BRYANT               ST</t>
  </si>
  <si>
    <t xml:space="preserve">S-W LIQUID COFFEE   </t>
  </si>
  <si>
    <t xml:space="preserve">05081-13-009-000 </t>
  </si>
  <si>
    <t xml:space="preserve">2700 W 6TH                  AV</t>
  </si>
  <si>
    <t xml:space="preserve">S-W SID HARVEY'S    </t>
  </si>
  <si>
    <t xml:space="preserve">COMMENCEMENT OF MO-TO-MO LEASE UNKNOWN.                           </t>
  </si>
  <si>
    <t xml:space="preserve">05081-18-011-000 </t>
  </si>
  <si>
    <t xml:space="preserve">2750 W 5TH                  AV</t>
  </si>
  <si>
    <t xml:space="preserve">PEAK RESOURCES      </t>
  </si>
  <si>
    <t xml:space="preserve">05081-25-023-000 </t>
  </si>
  <si>
    <t xml:space="preserve">2727 W 4TH                  AV</t>
  </si>
  <si>
    <t xml:space="preserve">05084-01-008-000 </t>
  </si>
  <si>
    <t xml:space="preserve">2744 W 4TH                  AV</t>
  </si>
  <si>
    <t xml:space="preserve">2010 LEASES.                                                      </t>
  </si>
  <si>
    <t xml:space="preserve">05084-09-040-040 </t>
  </si>
  <si>
    <t xml:space="preserve">2550 W 2ND                  AV</t>
  </si>
  <si>
    <t xml:space="preserve">2009 LEASE; INCLUDES PARCEL -036-036.                             </t>
  </si>
  <si>
    <t xml:space="preserve">05091-00-029-000 </t>
  </si>
  <si>
    <t xml:space="preserve">1400 W 3RD                  AV</t>
  </si>
  <si>
    <t xml:space="preserve">S-W KIMBALL ELECT.  </t>
  </si>
  <si>
    <t xml:space="preserve">UNABLE TO ALLOCATE EXPENSES BETWEEN OWNER&amp;TENANT OCCUPANCIES.     </t>
  </si>
  <si>
    <t xml:space="preserve">05091-00-049-000 </t>
  </si>
  <si>
    <t xml:space="preserve">123   RIO GRANDE           BV</t>
  </si>
  <si>
    <t xml:space="preserve">DIST                </t>
  </si>
  <si>
    <t xml:space="preserve">2009 LEASE; EXP RATIO TOO HIGH = NOT POSTED.                      </t>
  </si>
  <si>
    <t xml:space="preserve">05091-00-050-000 </t>
  </si>
  <si>
    <t xml:space="preserve">1490 W 3RD                  AV</t>
  </si>
  <si>
    <t xml:space="preserve">05091-02-008-000 </t>
  </si>
  <si>
    <t xml:space="preserve">530   SANTA FE             DR</t>
  </si>
  <si>
    <t xml:space="preserve">S-F TOM MEYER SHEETM</t>
  </si>
  <si>
    <t xml:space="preserve">05091-04-018-000 </t>
  </si>
  <si>
    <t xml:space="preserve">527   KALAMATH             ST</t>
  </si>
  <si>
    <t xml:space="preserve">S-W COLO MOLD SUPPLY</t>
  </si>
  <si>
    <t xml:space="preserve">05091-20-016-000 </t>
  </si>
  <si>
    <t xml:space="preserve">275   KALAMATH             ST</t>
  </si>
  <si>
    <t xml:space="preserve">WHSE DIST.          </t>
  </si>
  <si>
    <t xml:space="preserve">05091-26-009-000 </t>
  </si>
  <si>
    <t xml:space="preserve">100   LIPAN                ST</t>
  </si>
  <si>
    <t xml:space="preserve">TURBO PRESS         </t>
  </si>
  <si>
    <t xml:space="preserve">ORIGINATION OF MO-TO-MO LEASE UNKNOWN.                            </t>
  </si>
  <si>
    <t xml:space="preserve">05092-00-076-000 </t>
  </si>
  <si>
    <t xml:space="preserve">657   OSAGE                ST</t>
  </si>
  <si>
    <t xml:space="preserve">05092-00-078-000 </t>
  </si>
  <si>
    <t xml:space="preserve">501   RARITAN              WY</t>
  </si>
  <si>
    <t xml:space="preserve">S-W PROCTOR PROD.   </t>
  </si>
  <si>
    <t xml:space="preserve">LEASES RANGE FROM 2010 TO 2012; NO OP. EXPENSES GIVEN.            </t>
  </si>
  <si>
    <t xml:space="preserve">05092-07-013-000 </t>
  </si>
  <si>
    <t xml:space="preserve">745   VALLEJO              ST</t>
  </si>
  <si>
    <t xml:space="preserve">S-W DENVER WIRE WORK</t>
  </si>
  <si>
    <t xml:space="preserve">05092-07-016-000 </t>
  </si>
  <si>
    <t xml:space="preserve">781   VALLEJO              ST</t>
  </si>
  <si>
    <t xml:space="preserve">05092-07-032-000 </t>
  </si>
  <si>
    <t xml:space="preserve">755   VALLEJO              ST</t>
  </si>
  <si>
    <t xml:space="preserve">05093-00-052-000 </t>
  </si>
  <si>
    <t xml:space="preserve">163   VALLEJO              ST</t>
  </si>
  <si>
    <t xml:space="preserve">IAI CONSTRUCTION CO.</t>
  </si>
  <si>
    <t xml:space="preserve">UNABLE TO ALLOCATE EXPENSES BETWEEN OWNER &amp; TENANT.               </t>
  </si>
  <si>
    <t xml:space="preserve">05093-11-008-000 </t>
  </si>
  <si>
    <t xml:space="preserve">145   YUMA                 ST</t>
  </si>
  <si>
    <t xml:space="preserve">05094-04-024-000 </t>
  </si>
  <si>
    <t xml:space="preserve">175 S PECOS                ST</t>
  </si>
  <si>
    <t xml:space="preserve">DATE OF LEASE COMMENCEMENT UNKNOWN                                </t>
  </si>
  <si>
    <t xml:space="preserve">05094-05-033-000 </t>
  </si>
  <si>
    <t xml:space="preserve">200 S RARITAN              ST</t>
  </si>
  <si>
    <t xml:space="preserve">4.8:1</t>
  </si>
  <si>
    <t xml:space="preserve">LITTLE JOHN'S EQUIPT</t>
  </si>
  <si>
    <t xml:space="preserve">05094-05-034-000 </t>
  </si>
  <si>
    <t xml:space="preserve">215 S PECOS                ST</t>
  </si>
  <si>
    <t xml:space="preserve">2.9:1</t>
  </si>
  <si>
    <t xml:space="preserve">S-W NEW MEXICO DISTR</t>
  </si>
  <si>
    <t xml:space="preserve">05094-08-034-000 </t>
  </si>
  <si>
    <t xml:space="preserve">260 S RARITAN              ST</t>
  </si>
  <si>
    <t xml:space="preserve">S-W MCBRIDE LIGHTING</t>
  </si>
  <si>
    <t xml:space="preserve">05095-07-029-000 </t>
  </si>
  <si>
    <t xml:space="preserve">1531 W BAYAUD               AV</t>
  </si>
  <si>
    <t xml:space="preserve">WAREHOUSE           </t>
  </si>
  <si>
    <t xml:space="preserve">CAN'T SEPARATE OWNER &amp; TENANT EXPENSES.                           </t>
  </si>
  <si>
    <t xml:space="preserve">05095-12-028-000 </t>
  </si>
  <si>
    <t xml:space="preserve">1369 W BYERS                PL</t>
  </si>
  <si>
    <t xml:space="preserve">WESCO LASER MACHINRY</t>
  </si>
  <si>
    <t xml:space="preserve">05095-13-008-000 </t>
  </si>
  <si>
    <t xml:space="preserve">1254 W CEDAR                AV</t>
  </si>
  <si>
    <t xml:space="preserve">PREMIER  PRINTING   </t>
  </si>
  <si>
    <t xml:space="preserve">CAN'T SEPARATE OWNER VS. TENANT EXPENSES.                         </t>
  </si>
  <si>
    <t xml:space="preserve">05095-13-032-000 </t>
  </si>
  <si>
    <t xml:space="preserve">1270 W CEDAR                AV</t>
  </si>
  <si>
    <t xml:space="preserve">PARTIALLY OWNER-OCCUPIED.                                         </t>
  </si>
  <si>
    <t xml:space="preserve">05095-15-045-000 </t>
  </si>
  <si>
    <t xml:space="preserve">1340 W BYERS                PL</t>
  </si>
  <si>
    <t xml:space="preserve">2010 LEASE; PARTIALLY OWNER-OCC = NO ALLOCATION OF EXPENSES.      </t>
  </si>
  <si>
    <t xml:space="preserve">05096-04-057-000 </t>
  </si>
  <si>
    <t xml:space="preserve">22   LIPAN                ST</t>
  </si>
  <si>
    <t xml:space="preserve">05096-18-016-000 </t>
  </si>
  <si>
    <t xml:space="preserve">285 S SANTA FE             DR</t>
  </si>
  <si>
    <t xml:space="preserve">WHSE/DIST PLUMBING  </t>
  </si>
  <si>
    <t xml:space="preserve">05103-23-018-000 </t>
  </si>
  <si>
    <t xml:space="preserve">495 W CEDAR                AV</t>
  </si>
  <si>
    <t xml:space="preserve">WALMAN OPTICAL      </t>
  </si>
  <si>
    <t xml:space="preserve">05113-05-001-000 </t>
  </si>
  <si>
    <t xml:space="preserve">560   PEARL                ST</t>
  </si>
  <si>
    <t xml:space="preserve">U-MS-2      </t>
  </si>
  <si>
    <t xml:space="preserve">HANNECK DRY CLEANERS</t>
  </si>
  <si>
    <t xml:space="preserve">2009 LEASES.                                                      </t>
  </si>
  <si>
    <t xml:space="preserve">05154-02-018-000 </t>
  </si>
  <si>
    <t xml:space="preserve">515 W MISSISSIPPI          AV</t>
  </si>
  <si>
    <t xml:space="preserve">05154-02-019-000 </t>
  </si>
  <si>
    <t xml:space="preserve">1050 S FOX                  ST</t>
  </si>
  <si>
    <t xml:space="preserve">XCEL ENERGY         </t>
  </si>
  <si>
    <t xml:space="preserve">05156-22-037-000 </t>
  </si>
  <si>
    <t xml:space="preserve">525 E MISSISSIPPI          AV</t>
  </si>
  <si>
    <t xml:space="preserve">NO BASIS TO ALLOCATE EXP BETWEEN OWNER AND TENANT OCCUPANCIES.    </t>
  </si>
  <si>
    <t xml:space="preserve">05161-01-028-000 </t>
  </si>
  <si>
    <t xml:space="preserve">1298 W ALAMEDA              AV</t>
  </si>
  <si>
    <t xml:space="preserve">NNN--SIGNED 7.12--SOURCE:COSTAR                                   </t>
  </si>
  <si>
    <t xml:space="preserve">05161-10-002-000 </t>
  </si>
  <si>
    <t xml:space="preserve">1216 W VIRGINIA             AV</t>
  </si>
  <si>
    <t xml:space="preserve">MINI STORAGE        </t>
  </si>
  <si>
    <t xml:space="preserve">05161-13-026-000 </t>
  </si>
  <si>
    <t xml:space="preserve">1210 W CUSTER               PL</t>
  </si>
  <si>
    <t xml:space="preserve">05161-15-016-000 </t>
  </si>
  <si>
    <t xml:space="preserve">630 S LIPAN                ST</t>
  </si>
  <si>
    <t xml:space="preserve">5.6:1</t>
  </si>
  <si>
    <t xml:space="preserve">KUBAT EQUIP. CO.    </t>
  </si>
  <si>
    <t xml:space="preserve">05161-20-022-000 </t>
  </si>
  <si>
    <t xml:space="preserve">687 S JASON                ST</t>
  </si>
  <si>
    <t xml:space="preserve">MOTHER TRUCKERS     </t>
  </si>
  <si>
    <t xml:space="preserve">NO BASIS TO ALLOCATE EXP BETWEEN OWNER &amp; TENANT OCCUPIED SPACE.   </t>
  </si>
  <si>
    <t xml:space="preserve">05164-00-329-329 </t>
  </si>
  <si>
    <t xml:space="preserve">765 S JASON                ST</t>
  </si>
  <si>
    <t xml:space="preserve">JJ&amp;S LIGHTIING #765 </t>
  </si>
  <si>
    <t xml:space="preserve">05164-00-330-330 </t>
  </si>
  <si>
    <t xml:space="preserve">775 S JASON                ST</t>
  </si>
  <si>
    <t xml:space="preserve">JASON ST CONDOS #775</t>
  </si>
  <si>
    <t xml:space="preserve">05164-00-331-331 </t>
  </si>
  <si>
    <t xml:space="preserve">785 S JASON                ST</t>
  </si>
  <si>
    <t xml:space="preserve">JASON ST CONDOS #765</t>
  </si>
  <si>
    <t xml:space="preserve">05164-00-332-332 </t>
  </si>
  <si>
    <t xml:space="preserve">795 S JASON                ST</t>
  </si>
  <si>
    <t xml:space="preserve">JASON ST CONDOS #795</t>
  </si>
  <si>
    <t xml:space="preserve">05184-29-007-000 </t>
  </si>
  <si>
    <t xml:space="preserve">1050 S QUITMAN              ST</t>
  </si>
  <si>
    <t xml:space="preserve">E-SU-D1X    </t>
  </si>
  <si>
    <t xml:space="preserve">S-WNEW ERA CONSTRUCT</t>
  </si>
  <si>
    <t xml:space="preserve">05211-02-015-000 </t>
  </si>
  <si>
    <t xml:space="preserve">1125 S INCA                 ST</t>
  </si>
  <si>
    <t xml:space="preserve">AMGS-AUTO PRODUCTS  </t>
  </si>
  <si>
    <t xml:space="preserve">05211-03-004-000 </t>
  </si>
  <si>
    <t xml:space="preserve">1165 S JASON                ST</t>
  </si>
  <si>
    <t xml:space="preserve">LEHRER'S PRNTNG SUPL</t>
  </si>
  <si>
    <t xml:space="preserve">05211-03-005-000 </t>
  </si>
  <si>
    <t xml:space="preserve">1001 W ARIZONA              AV</t>
  </si>
  <si>
    <t xml:space="preserve">TODAYS FITNESS      </t>
  </si>
  <si>
    <t xml:space="preserve">EXPENSES INDETERMINATE FOR 11/11 LEASE DATE.                      </t>
  </si>
  <si>
    <t xml:space="preserve">05211-03-033-000 </t>
  </si>
  <si>
    <t xml:space="preserve">1178 S KALAMATH             ST</t>
  </si>
  <si>
    <t xml:space="preserve">0.8:1</t>
  </si>
  <si>
    <t xml:space="preserve">05211-13-025-000 </t>
  </si>
  <si>
    <t xml:space="preserve">1190 S LIPAN                ST</t>
  </si>
  <si>
    <t xml:space="preserve">MANU/SINGLE-TENANT  </t>
  </si>
  <si>
    <t xml:space="preserve">05211-14-002-000 </t>
  </si>
  <si>
    <t xml:space="preserve">1225 S JASON                ST</t>
  </si>
  <si>
    <t xml:space="preserve">9.4:1</t>
  </si>
  <si>
    <t xml:space="preserve">S-W BOUNDARY FENCE  </t>
  </si>
  <si>
    <t xml:space="preserve">05211-15-012-000 </t>
  </si>
  <si>
    <t xml:space="preserve">1220 S JASON                ST</t>
  </si>
  <si>
    <t xml:space="preserve">THOMAS-STUART INC.  </t>
  </si>
  <si>
    <t xml:space="preserve">05211-16-022-000 </t>
  </si>
  <si>
    <t xml:space="preserve">1220 S INCA                 ST</t>
  </si>
  <si>
    <t xml:space="preserve">7.6:1</t>
  </si>
  <si>
    <t xml:space="preserve">S-W MTN STATE FIRE  </t>
  </si>
  <si>
    <t xml:space="preserve">05211-30-014-000 </t>
  </si>
  <si>
    <t xml:space="preserve">1495 S PLATTE RIVER         DR</t>
  </si>
  <si>
    <t xml:space="preserve">05221-14-033-000 </t>
  </si>
  <si>
    <t xml:space="preserve">1215 S PEARL                ST</t>
  </si>
  <si>
    <t xml:space="preserve">SYNERGY COMMUNICATIN</t>
  </si>
  <si>
    <t xml:space="preserve">05221-15-013-000 </t>
  </si>
  <si>
    <t xml:space="preserve">666   BUCHTEL              BV</t>
  </si>
  <si>
    <t xml:space="preserve">ARTISANS STAIN GLASS</t>
  </si>
  <si>
    <t xml:space="preserve">05222-05-001-000 </t>
  </si>
  <si>
    <t xml:space="preserve">1395 S ACOMA                ST</t>
  </si>
  <si>
    <t xml:space="preserve">DRS. ORDERS MEDMARIJ</t>
  </si>
  <si>
    <t xml:space="preserve">05222-07-005-000 </t>
  </si>
  <si>
    <t xml:space="preserve">1432 S ACOMA                ST</t>
  </si>
  <si>
    <t xml:space="preserve">TRUE PUMP &amp; EQUPMNT </t>
  </si>
  <si>
    <t xml:space="preserve">05222-07-018-000 </t>
  </si>
  <si>
    <t xml:space="preserve">1429 S BROADWAY             ST</t>
  </si>
  <si>
    <t xml:space="preserve">TRUE PUMP EQUIPT    </t>
  </si>
  <si>
    <t xml:space="preserve">05222-07-049-000 </t>
  </si>
  <si>
    <t xml:space="preserve">1440 S ACOMA                ST</t>
  </si>
  <si>
    <t xml:space="preserve">05223-00-022-000 </t>
  </si>
  <si>
    <t xml:space="preserve">1385 S CHEROKEE             ST</t>
  </si>
  <si>
    <t xml:space="preserve">05223-03-016-000 </t>
  </si>
  <si>
    <t xml:space="preserve">1175 S CHEROKEE             ST</t>
  </si>
  <si>
    <t xml:space="preserve">NO BASIS TO ALLOC. EXP. BETWEEN OWNER &amp; TENANT OCCUPIED SPACES.   </t>
  </si>
  <si>
    <t xml:space="preserve">05223-05-013-000 </t>
  </si>
  <si>
    <t xml:space="preserve">1253 S CHEROKEE             ST</t>
  </si>
  <si>
    <t xml:space="preserve">NO BASIS TO ALLOC. EXP. BETWEEN TENANT &amp; OWNER OCCUPIED SPACE.    </t>
  </si>
  <si>
    <t xml:space="preserve">05223-05-022-000 </t>
  </si>
  <si>
    <t xml:space="preserve">1221 S CHEROKEE             ST</t>
  </si>
  <si>
    <t xml:space="preserve">05223-06-007-000 </t>
  </si>
  <si>
    <t xml:space="preserve">1257 S BANNOCK              ST</t>
  </si>
  <si>
    <t xml:space="preserve">05223-07-013-000 </t>
  </si>
  <si>
    <t xml:space="preserve">1290 S BANNOCK              ST</t>
  </si>
  <si>
    <t xml:space="preserve">M-DISTRIBUITION     </t>
  </si>
  <si>
    <t xml:space="preserve">05223-09-001-000 </t>
  </si>
  <si>
    <t xml:space="preserve">1410 S SANTA FE             DR</t>
  </si>
  <si>
    <t xml:space="preserve">E-CC-3      </t>
  </si>
  <si>
    <t xml:space="preserve">MONARCH SHOWER DOOR </t>
  </si>
  <si>
    <t xml:space="preserve">05223-10-015-000 </t>
  </si>
  <si>
    <t xml:space="preserve">1439 S BANNOCK              ST</t>
  </si>
  <si>
    <t xml:space="preserve">DATE OF COMMENCEMENT UNKNOWN.                                     </t>
  </si>
  <si>
    <t xml:space="preserve">05223-10-022-000 </t>
  </si>
  <si>
    <t xml:space="preserve">1332 S CHEROKEE             ST</t>
  </si>
  <si>
    <t xml:space="preserve">SIGNAL GRAPHICS     </t>
  </si>
  <si>
    <t xml:space="preserve">05223-10-033-000 </t>
  </si>
  <si>
    <t xml:space="preserve">1468 S CHEROKEE             ST</t>
  </si>
  <si>
    <t xml:space="preserve">05226-01-028-000 </t>
  </si>
  <si>
    <t xml:space="preserve">1586 S ACOMA                ST</t>
  </si>
  <si>
    <t xml:space="preserve">05226-10-028-000 </t>
  </si>
  <si>
    <t xml:space="preserve">1701 S BROADWAY             ST</t>
  </si>
  <si>
    <t xml:space="preserve">05226-16-031-000 </t>
  </si>
  <si>
    <t xml:space="preserve">1865 S ACOMA                ST</t>
  </si>
  <si>
    <t xml:space="preserve">05226-17-018-000 </t>
  </si>
  <si>
    <t xml:space="preserve">1870 S ACOMA                ST</t>
  </si>
  <si>
    <t xml:space="preserve">S-W ELECTRIC SUPPLY </t>
  </si>
  <si>
    <t xml:space="preserve">05227-36-027-000 </t>
  </si>
  <si>
    <t xml:space="preserve">1859 S PEARL                ST</t>
  </si>
  <si>
    <t xml:space="preserve">S-W R K LEONARD SPEC</t>
  </si>
  <si>
    <t xml:space="preserve">05272-03-013-000 </t>
  </si>
  <si>
    <t xml:space="preserve">1955 S BANNOCK              ST</t>
  </si>
  <si>
    <t xml:space="preserve">05272-19-005-000 </t>
  </si>
  <si>
    <t xml:space="preserve">2256 S DELAWARE             ST</t>
  </si>
  <si>
    <t xml:space="preserve">S-W RAY J O'DONNELL </t>
  </si>
  <si>
    <t xml:space="preserve">05274-03-008-000 </t>
  </si>
  <si>
    <t xml:space="preserve">2385 S DELAWARE             ST</t>
  </si>
  <si>
    <t xml:space="preserve">05274-03-009-000 </t>
  </si>
  <si>
    <t xml:space="preserve">2345 S DELAWARE             ST</t>
  </si>
  <si>
    <t xml:space="preserve">S-F GOLESH INC.     </t>
  </si>
  <si>
    <t xml:space="preserve">05274-12-029-000 </t>
  </si>
  <si>
    <t xml:space="preserve">2464 S DELAWARE             ST</t>
  </si>
  <si>
    <t xml:space="preserve">S-W R.E. THARP      </t>
  </si>
  <si>
    <t xml:space="preserve">05274-15-029-000 </t>
  </si>
  <si>
    <t xml:space="preserve">2536 S DELAWARE             ST</t>
  </si>
  <si>
    <t xml:space="preserve">S-W CS GROUP        </t>
  </si>
  <si>
    <t xml:space="preserve">05274-15-034-000 </t>
  </si>
  <si>
    <t xml:space="preserve">2510 S DELAWARE             ST</t>
  </si>
  <si>
    <t xml:space="preserve">05275-02-011-000 </t>
  </si>
  <si>
    <t xml:space="preserve">2376 S BROADWAY             ST</t>
  </si>
  <si>
    <t xml:space="preserve">#1 AUTO SALES       </t>
  </si>
  <si>
    <t xml:space="preserve">AGE OF RENTAL RELATIONSHIP UNKNOWN.                               </t>
  </si>
  <si>
    <t xml:space="preserve">05281-05-033-000 </t>
  </si>
  <si>
    <t xml:space="preserve">2001 S NAVAJO               ST</t>
  </si>
  <si>
    <t xml:space="preserve">05281-14-016-000 </t>
  </si>
  <si>
    <t xml:space="preserve">2126 S KALAMATH             ST</t>
  </si>
  <si>
    <t xml:space="preserve">M-W NEW HERITAGE CRT</t>
  </si>
  <si>
    <t xml:space="preserve">05281-14-017-000 </t>
  </si>
  <si>
    <t xml:space="preserve">2140 S KALAMATH             ST</t>
  </si>
  <si>
    <t xml:space="preserve">M-W GUS SHEKER STUDI</t>
  </si>
  <si>
    <t xml:space="preserve">05281-14-018-000 </t>
  </si>
  <si>
    <t xml:space="preserve">2150 S KALAMATH             ST</t>
  </si>
  <si>
    <t xml:space="preserve">S-W ABLE SIGN       </t>
  </si>
  <si>
    <t xml:space="preserve">05281-14-019-000 </t>
  </si>
  <si>
    <t xml:space="preserve">2168 S KALAMATH             ST</t>
  </si>
  <si>
    <t xml:space="preserve">S-F ELEMER'S MANUF. </t>
  </si>
  <si>
    <t xml:space="preserve">05281-15-013-000 </t>
  </si>
  <si>
    <t xml:space="preserve">1130 W EVANS                AV</t>
  </si>
  <si>
    <t xml:space="preserve">05281-17-024-000 </t>
  </si>
  <si>
    <t xml:space="preserve">2240 S KALAMATH             ST</t>
  </si>
  <si>
    <t xml:space="preserve">6.3:1</t>
  </si>
  <si>
    <t xml:space="preserve">S-W JT'S UPHOLSTERY </t>
  </si>
  <si>
    <t xml:space="preserve">05281-18-042-000 </t>
  </si>
  <si>
    <t xml:space="preserve">2231 S PLATTE RIVER         DR</t>
  </si>
  <si>
    <t xml:space="preserve">LIVING ARTS CENTER  </t>
  </si>
  <si>
    <t xml:space="preserve">05284-02-010-000 </t>
  </si>
  <si>
    <t xml:space="preserve">2301 S INCA                 ST</t>
  </si>
  <si>
    <t xml:space="preserve">S-D STRUBLE         </t>
  </si>
  <si>
    <t xml:space="preserve">05284-02-022-000 </t>
  </si>
  <si>
    <t xml:space="preserve">2395 S PLATTE RIVER         DR</t>
  </si>
  <si>
    <t xml:space="preserve">S-W ESSCO CARPET    </t>
  </si>
  <si>
    <t xml:space="preserve">05284-02-031-000 </t>
  </si>
  <si>
    <t xml:space="preserve">2335 S INCA                 ST</t>
  </si>
  <si>
    <t xml:space="preserve">LAUNDRY/DRY CLEANERS</t>
  </si>
  <si>
    <t xml:space="preserve">COMMENCEMENT DATE OF MO-TO-MO UNKNOWN.                            </t>
  </si>
  <si>
    <t xml:space="preserve">05284-03-018-000 </t>
  </si>
  <si>
    <t xml:space="preserve">2390 S KALAMATH             ST</t>
  </si>
  <si>
    <t xml:space="preserve">06282-02-031-000 </t>
  </si>
  <si>
    <t xml:space="preserve">1955 S QUINCE               ST</t>
  </si>
  <si>
    <t xml:space="preserve">MANUFACTURING BLDG  </t>
  </si>
  <si>
    <t xml:space="preserve">06292-10-001-000 </t>
  </si>
  <si>
    <t xml:space="preserve">5995 E EVANS                AV</t>
  </si>
  <si>
    <t xml:space="preserve">FACTORY OUTLET      </t>
  </si>
  <si>
    <t xml:space="preserve">06292-10-004-000 </t>
  </si>
  <si>
    <t xml:space="preserve">5885 E EVANS                AV</t>
  </si>
  <si>
    <t xml:space="preserve">PRINTSHOP PLUS      </t>
  </si>
  <si>
    <t xml:space="preserve">06301-12-009-000 </t>
  </si>
  <si>
    <t xml:space="preserve">4990 E ASBURY               AV</t>
  </si>
  <si>
    <t xml:space="preserve">USED FOR DEAD STGE  </t>
  </si>
  <si>
    <t xml:space="preserve">06301-13-015-000 </t>
  </si>
  <si>
    <t xml:space="preserve">2000 S DAHLIA               ST</t>
  </si>
  <si>
    <t xml:space="preserve">PASTORE'S ITALIAN   </t>
  </si>
  <si>
    <t xml:space="preserve">NO BASIS TO ALLOC. EXPENSES BETWEEN OWNER AND TENANT.             </t>
  </si>
  <si>
    <t xml:space="preserve">06301-21-006-000 </t>
  </si>
  <si>
    <t xml:space="preserve">2150 S GRAPE                ST</t>
  </si>
  <si>
    <t xml:space="preserve">2011Q</t>
  </si>
  <si>
    <t xml:space="preserve">01203-00-043-000 </t>
  </si>
  <si>
    <t xml:space="preserve">3939   KEARNEY             ST</t>
  </si>
  <si>
    <t xml:space="preserve">I1   </t>
  </si>
  <si>
    <t xml:space="preserve">2008 LEASE.                                                       </t>
  </si>
  <si>
    <t xml:space="preserve">6300 E 39TH                AV</t>
  </si>
  <si>
    <t xml:space="preserve">I0   </t>
  </si>
  <si>
    <t xml:space="preserve">6211 E 42ND                AV</t>
  </si>
  <si>
    <t xml:space="preserve">I2   </t>
  </si>
  <si>
    <t xml:space="preserve">27000 SF OF 63,000 SF BLDG LEASED.                                </t>
  </si>
  <si>
    <t xml:space="preserve">00184-01-019-000 </t>
  </si>
  <si>
    <t xml:space="preserve">15200 E 53RD                PL</t>
  </si>
  <si>
    <t xml:space="preserve">PUD  </t>
  </si>
  <si>
    <t xml:space="preserve">KANGAROO SELF STRGE </t>
  </si>
  <si>
    <t xml:space="preserve">SALARIES FOR MGR INCLUDED UNDER "OTHER"                           </t>
  </si>
  <si>
    <t xml:space="preserve">2011W</t>
  </si>
  <si>
    <t xml:space="preserve">01141-01-015-000</t>
  </si>
  <si>
    <t xml:space="preserve">11777 E 55th Ave</t>
  </si>
  <si>
    <t xml:space="preserve">44.3</t>
  </si>
  <si>
    <t xml:space="preserve">I2</t>
  </si>
  <si>
    <t xml:space="preserve">S-W G.E. Dist Warehouse</t>
  </si>
  <si>
    <t xml:space="preserve">01141-02-010-000 </t>
  </si>
  <si>
    <t xml:space="preserve">11475 E 53RD                AV</t>
  </si>
  <si>
    <t xml:space="preserve">2.0:1</t>
  </si>
  <si>
    <t xml:space="preserve">M-W MIDWAY DIST CTR </t>
  </si>
  <si>
    <t xml:space="preserve">RECONSTRUCTED R.R. &amp; OP. STMTS.; BASE LEASES 2.82/SF;OWNER NET EXP</t>
  </si>
  <si>
    <t xml:space="preserve">01142-03-009-000 </t>
  </si>
  <si>
    <t xml:space="preserve">5590   JOLIET              ST</t>
  </si>
  <si>
    <t xml:space="preserve">S-W   SCS SFTY &amp; CON</t>
  </si>
  <si>
    <t xml:space="preserve">10975 E 55TH                AV</t>
  </si>
  <si>
    <t xml:space="preserve">01143-01-010-000 </t>
  </si>
  <si>
    <t xml:space="preserve">10705 E 51ST                AV</t>
  </si>
  <si>
    <t xml:space="preserve">M-W DIST &amp; WHOLESALE</t>
  </si>
  <si>
    <t xml:space="preserve">ONLY DATA FOR 2009 LEASE OF 50% OF BLDG.ENTERED; EXPENSES PRORATED</t>
  </si>
  <si>
    <t xml:space="preserve">01143-03-023-000 </t>
  </si>
  <si>
    <t xml:space="preserve">4860   IRONTON             ST</t>
  </si>
  <si>
    <t xml:space="preserve">OFFICE / WAREHOUSE  </t>
  </si>
  <si>
    <t xml:space="preserve">3 BASE PERIOD LEASES MEDIAN $4.13/SF; OWNER BEARS TOO MUCH EXP.   </t>
  </si>
  <si>
    <t xml:space="preserve">01143-03-024-000 </t>
  </si>
  <si>
    <t xml:space="preserve">4890   IRONTON             ST</t>
  </si>
  <si>
    <t xml:space="preserve">3.0:1</t>
  </si>
  <si>
    <t xml:space="preserve">OFC/WHSE MULIT-TEN  </t>
  </si>
  <si>
    <t xml:space="preserve">4 BASE PERIOD LEASES MEDIAN $4.66/SF; NOT ENOUGH EXP RECOVERY.    </t>
  </si>
  <si>
    <t xml:space="preserve">4949   IRONTON             ST</t>
  </si>
  <si>
    <t xml:space="preserve">01143-05-018-000 </t>
  </si>
  <si>
    <t xml:space="preserve">11055 E 51ST                AV</t>
  </si>
  <si>
    <t xml:space="preserve">DISTRIBUTION WHSE   </t>
  </si>
  <si>
    <t xml:space="preserve">11185 E 51ST                AV</t>
  </si>
  <si>
    <t xml:space="preserve">5055   LIMA                ST</t>
  </si>
  <si>
    <t xml:space="preserve">EXPENSES HIGH FOR SINGLE-TEN WHSE.; S/B MORE PAID BY TENANT.      </t>
  </si>
  <si>
    <t xml:space="preserve">01144-05-007-000 </t>
  </si>
  <si>
    <t xml:space="preserve">5001   OAKLAND             ST</t>
  </si>
  <si>
    <t xml:space="preserve">BAKER AUCTION &amp; ESTA</t>
  </si>
  <si>
    <t xml:space="preserve">4990   OAKLAND             ST</t>
  </si>
  <si>
    <t xml:space="preserve">01144-06-013-000 </t>
  </si>
  <si>
    <t xml:space="preserve">4995   PARIS               ST</t>
  </si>
  <si>
    <t xml:space="preserve">5015   PARIS               ST</t>
  </si>
  <si>
    <t xml:space="preserve">01144-07-012-000</t>
  </si>
  <si>
    <t xml:space="preserve">4800 Nome Street</t>
  </si>
  <si>
    <t xml:space="preserve">44.2</t>
  </si>
  <si>
    <t xml:space="preserve">01153-03-007-000 </t>
  </si>
  <si>
    <t xml:space="preserve">9355   NORTHFIELD          BV</t>
  </si>
  <si>
    <t xml:space="preserve">CMU30</t>
  </si>
  <si>
    <t xml:space="preserve">01154-03-004-000 </t>
  </si>
  <si>
    <t xml:space="preserve">10275 E 47TH                AV</t>
  </si>
  <si>
    <t xml:space="preserve">4.0:1</t>
  </si>
  <si>
    <t xml:space="preserve">GUY'S FLOOR SERVICE </t>
  </si>
  <si>
    <t xml:space="preserve">01154-04-002-000 </t>
  </si>
  <si>
    <t xml:space="preserve">4800   GENEVA              ST</t>
  </si>
  <si>
    <t xml:space="preserve">4200 E 52ND                AV</t>
  </si>
  <si>
    <t xml:space="preserve">RELATED ENTITIES BUT APPEARS TO BE MARKET NONETHELESS.            </t>
  </si>
  <si>
    <t xml:space="preserve">01183-00-058-000 </t>
  </si>
  <si>
    <t xml:space="preserve">4201 E 48TH                AV</t>
  </si>
  <si>
    <t xml:space="preserve">4545 E 51ST                AV</t>
  </si>
  <si>
    <t xml:space="preserve">LEASED TO QWEST THRU 12-31-2010                                   </t>
  </si>
  <si>
    <t xml:space="preserve">5025   DAHLIA              ST</t>
  </si>
  <si>
    <t xml:space="preserve">4900   DAHLIA              ST</t>
  </si>
  <si>
    <t xml:space="preserve">01184-01-004-000 </t>
  </si>
  <si>
    <t xml:space="preserve">5199 E 48TH                AV</t>
  </si>
  <si>
    <t xml:space="preserve">7.0:1</t>
  </si>
  <si>
    <t xml:space="preserve">CENTRAL STATES HOSE </t>
  </si>
  <si>
    <t xml:space="preserve">01191-00-028-000 </t>
  </si>
  <si>
    <t xml:space="preserve">4310   GRAPE               ST</t>
  </si>
  <si>
    <t xml:space="preserve">GROWING SPROUTS     </t>
  </si>
  <si>
    <t xml:space="preserve">4747   HOLLY               ST</t>
  </si>
  <si>
    <t xml:space="preserve">01192-00-065-000 </t>
  </si>
  <si>
    <t xml:space="preserve">4351 E 46TH                AV</t>
  </si>
  <si>
    <t xml:space="preserve">SPEEDWORLD GO-CARTS </t>
  </si>
  <si>
    <t xml:space="preserve">01192-03-006-000 </t>
  </si>
  <si>
    <t xml:space="preserve">4555   STAPLETON N         DR</t>
  </si>
  <si>
    <t xml:space="preserve">3855   ELM                 ST</t>
  </si>
  <si>
    <t xml:space="preserve">ONLY DATA ALLOCABLE TO 2009 LEASE HAS BEEN ENTERED.               </t>
  </si>
  <si>
    <t xml:space="preserve">01194-00-110-000 </t>
  </si>
  <si>
    <t xml:space="preserve">5195 E 39TH                AV</t>
  </si>
  <si>
    <t xml:space="preserve">S-W GRANDMA'S FROZEN</t>
  </si>
  <si>
    <t xml:space="preserve">REFLECTS 2010 LEASE &amp; 2009 VACANCY.                               </t>
  </si>
  <si>
    <t xml:space="preserve">3931   HOLLY               ST</t>
  </si>
  <si>
    <t xml:space="preserve">ATYPICAL FOR OWNER TO PAY THIS LEVEL OF EXPENSE.                  </t>
  </si>
  <si>
    <t xml:space="preserve">01194-00-182-000 </t>
  </si>
  <si>
    <t xml:space="preserve">5150 E 39TH                AV</t>
  </si>
  <si>
    <t xml:space="preserve">01194-00-211-000 </t>
  </si>
  <si>
    <t xml:space="preserve">4880 E 41ST                AV</t>
  </si>
  <si>
    <t xml:space="preserve">01194-00-215-000 </t>
  </si>
  <si>
    <t xml:space="preserve">4000   DAHLIA              ST</t>
  </si>
  <si>
    <t xml:space="preserve">READY FOODS         </t>
  </si>
  <si>
    <t xml:space="preserve">3812   DAHLIA              ST</t>
  </si>
  <si>
    <t xml:space="preserve">2008 LEASES; HUGE L-TO-B RATIO; INCLUDES 2 LARGE LAND LEASES.     </t>
  </si>
  <si>
    <t xml:space="preserve">01194-00-240-000 </t>
  </si>
  <si>
    <t xml:space="preserve">5055 E 41ST                AV</t>
  </si>
  <si>
    <t xml:space="preserve">VANASK II           </t>
  </si>
  <si>
    <t xml:space="preserve">01194-01-002-000 </t>
  </si>
  <si>
    <t xml:space="preserve">4981 E 39TH                AV</t>
  </si>
  <si>
    <t xml:space="preserve">MO-TO-MO.                                                         </t>
  </si>
  <si>
    <t xml:space="preserve">3875   ELM                 ST</t>
  </si>
  <si>
    <t xml:space="preserve">4940 E 39TH                AV</t>
  </si>
  <si>
    <t xml:space="preserve">3835   ELM                 ST</t>
  </si>
  <si>
    <t xml:space="preserve">2008-2010 LEASES;  GROSS LEASING BASIS IS ATYPICAL.               </t>
  </si>
  <si>
    <t xml:space="preserve">6804 E 48TH                AV</t>
  </si>
  <si>
    <t xml:space="preserve">MOSTLY BASE PERIOD LEASES BUT NOT ALL.                            </t>
  </si>
  <si>
    <t xml:space="preserve">01202-00-081-000 </t>
  </si>
  <si>
    <t xml:space="preserve">4780   HOLLY               ST</t>
  </si>
  <si>
    <t xml:space="preserve">DIST/ MULTI TENANT  </t>
  </si>
  <si>
    <t xml:space="preserve">2008/2009 LEASES.                                                 </t>
  </si>
  <si>
    <t xml:space="preserve">01202-00-094-000</t>
  </si>
  <si>
    <t xml:space="preserve">  Actual</t>
  </si>
  <si>
    <t xml:space="preserve">4570 Ivy St.</t>
  </si>
  <si>
    <t xml:space="preserve"> ^    0</t>
  </si>
  <si>
    <t xml:space="preserve">      I2</t>
  </si>
  <si>
    <t xml:space="preserve">           2.1:1</t>
  </si>
  <si>
    <t xml:space="preserve">01202-00-126-000 </t>
  </si>
  <si>
    <t xml:space="preserve">4760   HOLLY               ST</t>
  </si>
  <si>
    <t xml:space="preserve">4.2:1</t>
  </si>
  <si>
    <t xml:space="preserve">COLO DRYWALL SUPPLY </t>
  </si>
  <si>
    <t xml:space="preserve">3880   HOLLY               ST</t>
  </si>
  <si>
    <t xml:space="preserve">DIST/BRASS SMITH    </t>
  </si>
  <si>
    <t xml:space="preserve">01204-00-019-000 </t>
  </si>
  <si>
    <t xml:space="preserve">4200   MONACO              ST</t>
  </si>
  <si>
    <t xml:space="preserve">ANKMAR DOORS        </t>
  </si>
  <si>
    <t xml:space="preserve">01204-18-024-000 </t>
  </si>
  <si>
    <t xml:space="preserve">3900   MAGNOLIA            ST</t>
  </si>
  <si>
    <t xml:space="preserve">0.9:1</t>
  </si>
  <si>
    <t xml:space="preserve">8 UNITS, ALL LEASES MO-TO-MO. MOVED FROM 18-023 DKC. INCLUDES -025</t>
  </si>
  <si>
    <t xml:space="preserve">01204-22-001-000</t>
  </si>
  <si>
    <t xml:space="preserve">3880-3886 Niagara St.</t>
  </si>
  <si>
    <t xml:space="preserve">I0</t>
  </si>
  <si>
    <t xml:space="preserve">01204-22-013-000 </t>
  </si>
  <si>
    <t xml:space="preserve">6711 E 38TH                AV</t>
  </si>
  <si>
    <t xml:space="preserve">5.7:1</t>
  </si>
  <si>
    <t xml:space="preserve">8-2009 LEASE/FIVE YEAR TERM                                       </t>
  </si>
  <si>
    <t xml:space="preserve">01213-00-075-000 </t>
  </si>
  <si>
    <t xml:space="preserve">7825 E 40TH                AV</t>
  </si>
  <si>
    <t xml:space="preserve">5.5:1</t>
  </si>
  <si>
    <t xml:space="preserve">S-D OILIND SUPPLY CO</t>
  </si>
  <si>
    <t xml:space="preserve">01213-00-077-000 </t>
  </si>
  <si>
    <t xml:space="preserve">8025 E 40TH                AV</t>
  </si>
  <si>
    <t xml:space="preserve">M-W ASPEN BAKERY    </t>
  </si>
  <si>
    <t xml:space="preserve">44,596 SQ BLDG - ONLY 3,400 SF RENTAL UNIT ENTERED.               </t>
  </si>
  <si>
    <t xml:space="preserve">4701   MOLINE              ST</t>
  </si>
  <si>
    <t xml:space="preserve">LEASES 2007-2009; GROSS BASIS IS HIGHLY ATYPICAL FOR WHSES.       </t>
  </si>
  <si>
    <t xml:space="preserve">2012W</t>
  </si>
  <si>
    <t xml:space="preserve">01231-06-002-000</t>
  </si>
  <si>
    <t xml:space="preserve">11775 E 45th Ave</t>
  </si>
  <si>
    <t xml:space="preserve">44.1</t>
  </si>
  <si>
    <t xml:space="preserve">Summers Corp</t>
  </si>
  <si>
    <t xml:space="preserve">4-2008 lease date, 8 yr term. Expenses are estimated-no expense data in lease memo</t>
  </si>
  <si>
    <t xml:space="preserve">4690   IRONTON             ST</t>
  </si>
  <si>
    <t xml:space="preserve">OWNER'S LEVEL OF EXPENSE IS EXCESSIVE - NOT ENTERED.              </t>
  </si>
  <si>
    <t xml:space="preserve">01232-08-004-000 </t>
  </si>
  <si>
    <t xml:space="preserve">4690   JOLIET              ST</t>
  </si>
  <si>
    <t xml:space="preserve">BELFOR              </t>
  </si>
  <si>
    <t xml:space="preserve">01232-08-006-000 </t>
  </si>
  <si>
    <t xml:space="preserve">4600   JOLIET              ST</t>
  </si>
  <si>
    <t xml:space="preserve">M-W BREMNER BISCUIT </t>
  </si>
  <si>
    <t xml:space="preserve">EXPENSES ARE EXCESSIVE - MAY BE FOR BUSINESS,TOO, NOT ENTERED.    </t>
  </si>
  <si>
    <t xml:space="preserve">10645 E 47TH                AV</t>
  </si>
  <si>
    <t xml:space="preserve">01233-00-026-000 </t>
  </si>
  <si>
    <t xml:space="preserve">11200 E 40TH                AV</t>
  </si>
  <si>
    <t xml:space="preserve">CENTER RENTAL/SALES </t>
  </si>
  <si>
    <t xml:space="preserve">01234-01-009-000 </t>
  </si>
  <si>
    <t xml:space="preserve">3891   PARIS               ST</t>
  </si>
  <si>
    <t xml:space="preserve">EXCESSIVE EXPENSES TO OWNER.                                      </t>
  </si>
  <si>
    <t xml:space="preserve">3841   PARIS               ST</t>
  </si>
  <si>
    <t xml:space="preserve">2008 LEASES; GROSS BASIS ATYPICAL FOR WAREHOUSES.                 </t>
  </si>
  <si>
    <t xml:space="preserve">01246-00-038-000 </t>
  </si>
  <si>
    <t xml:space="preserve">14135 E 42ND                AV</t>
  </si>
  <si>
    <t xml:space="preserve">M-W DIST WHSE       </t>
  </si>
  <si>
    <t xml:space="preserve">LEASES 2006-2009.                                                 </t>
  </si>
  <si>
    <t xml:space="preserve">12770 E 39TH                AV</t>
  </si>
  <si>
    <t xml:space="preserve">2010 LEASE USED FOR RENTAL RATES.                                 </t>
  </si>
  <si>
    <t xml:space="preserve">3899   QUENTIN             ST</t>
  </si>
  <si>
    <t xml:space="preserve">3751   REVERE              ST</t>
  </si>
  <si>
    <t xml:space="preserve">GROSS LEASE BASIS IS ATYPICAL FOR WAREHOUSES.                     </t>
  </si>
  <si>
    <t xml:space="preserve">01252-00-096-000</t>
  </si>
  <si>
    <t xml:space="preserve">3851-71 Revere St.</t>
  </si>
  <si>
    <t xml:space="preserve">01261-00-013-000 </t>
  </si>
  <si>
    <t xml:space="preserve">3737   PEORIA              ST</t>
  </si>
  <si>
    <t xml:space="preserve">GOODYEAR            </t>
  </si>
  <si>
    <t xml:space="preserve">ONLY DATA FOR 2010 LEASE ENTERED.                                 </t>
  </si>
  <si>
    <t xml:space="preserve">01261-02-001-000 </t>
  </si>
  <si>
    <t xml:space="preserve">3701   PARIS               ST</t>
  </si>
  <si>
    <t xml:space="preserve">01283-26-005-000 </t>
  </si>
  <si>
    <t xml:space="preserve">2997   ULSTER              ST</t>
  </si>
  <si>
    <t xml:space="preserve">R30MU</t>
  </si>
  <si>
    <t xml:space="preserve">MINI STORAGE/RETAIL </t>
  </si>
  <si>
    <t xml:space="preserve">WTR/SWER &amp; GAS/ELEC UNDER "GAS/ELEC", SNO REMVL&amp;LNDSCP IN PRKNG   </t>
  </si>
  <si>
    <t xml:space="preserve">02131-07-019-000 </t>
  </si>
  <si>
    <t xml:space="preserve">5270   STEELE              ST</t>
  </si>
  <si>
    <t xml:space="preserve">3055 E 52ND                AV</t>
  </si>
  <si>
    <t xml:space="preserve">GROSS LEASES &amp; FULL SERVICE EXPENSES ATYPICAL FOR WAREHOUSES.     </t>
  </si>
  <si>
    <t xml:space="preserve">02132-00-048-000 </t>
  </si>
  <si>
    <t xml:space="preserve">5285   STEELE              ST</t>
  </si>
  <si>
    <t xml:space="preserve">RCKY MTN PRC'SN FRMG</t>
  </si>
  <si>
    <t xml:space="preserve">02133-00-045-000 </t>
  </si>
  <si>
    <t xml:space="preserve">5101   COLUMBINE           ST</t>
  </si>
  <si>
    <t xml:space="preserve">10.5:1</t>
  </si>
  <si>
    <t xml:space="preserve">VACANCY IS 2009; LEASE BEGAN 02/10.                               </t>
  </si>
  <si>
    <t xml:space="preserve">5105   COOK                ST</t>
  </si>
  <si>
    <t xml:space="preserve">4985   COLORADO            BV</t>
  </si>
  <si>
    <t xml:space="preserve">02134-01-045-000 </t>
  </si>
  <si>
    <t xml:space="preserve">4916   JACKSON             ST</t>
  </si>
  <si>
    <t xml:space="preserve">SW ROCKMOUNT        </t>
  </si>
  <si>
    <t xml:space="preserve">02141-00-010-000 </t>
  </si>
  <si>
    <t xml:space="preserve">5300   FRANKLIN            ST</t>
  </si>
  <si>
    <t xml:space="preserve">02143-00-030-000 </t>
  </si>
  <si>
    <t xml:space="preserve">5040   WASHINGTON          ST</t>
  </si>
  <si>
    <t xml:space="preserve">770 E 51ST                AV</t>
  </si>
  <si>
    <t xml:space="preserve">5151   FRANKLIN            ST</t>
  </si>
  <si>
    <t xml:space="preserve">MW                  </t>
  </si>
  <si>
    <t xml:space="preserve">02143-00-149-000 </t>
  </si>
  <si>
    <t xml:space="preserve">4950   WASHINGTON          ST</t>
  </si>
  <si>
    <t xml:space="preserve">2008 LEASE; EXPENSES NOT ALLOCABLE BETWEEN OWNER AND TENANT.      </t>
  </si>
  <si>
    <t xml:space="preserve">02143-04-026-000 </t>
  </si>
  <si>
    <t xml:space="preserve">5171   EMERSON             ST</t>
  </si>
  <si>
    <t xml:space="preserve">MO-TO-MO                                                          </t>
  </si>
  <si>
    <t xml:space="preserve">02144-00-111-000 </t>
  </si>
  <si>
    <t xml:space="preserve">5125   RACE                CT</t>
  </si>
  <si>
    <t xml:space="preserve">DIST/MANU           </t>
  </si>
  <si>
    <t xml:space="preserve">INFO PERTAINS THE UNIT LEASED DURING THE BASE PERIOD ONLY.        </t>
  </si>
  <si>
    <t xml:space="preserve">555 W 48TH                AV</t>
  </si>
  <si>
    <t xml:space="preserve">FULL EXPENSE RECOVERY MAKES THESE EFFECTIVELY NET LEASES.         </t>
  </si>
  <si>
    <t xml:space="preserve">4855   BROADWAY            ST</t>
  </si>
  <si>
    <t xml:space="preserve">GROSS LEASE BASIS IS ATYPICAL FOR WAREHOUSES - OWNER EXP TOO HIGH.</t>
  </si>
  <si>
    <t xml:space="preserve">02154-00-046-000 </t>
  </si>
  <si>
    <t xml:space="preserve">5005   WASHINGTON          ST</t>
  </si>
  <si>
    <t xml:space="preserve">S-W REST SOURCE     </t>
  </si>
  <si>
    <t xml:space="preserve">4850   BROADWAY            ST</t>
  </si>
  <si>
    <t xml:space="preserve">GROSS LEASE BASIS IS ATYPICAL FOR WHSES - OWNER EXP TOO HIGH.     </t>
  </si>
  <si>
    <t xml:space="preserve">02154-23-037-000 </t>
  </si>
  <si>
    <t xml:space="preserve">4895   WASHINGTON          ST</t>
  </si>
  <si>
    <t xml:space="preserve">MILE HI AUTO ELECTRI</t>
  </si>
  <si>
    <t xml:space="preserve">2010 LEASE; WHO PAYS WHAT ARE GUESSES BASED ON MKT &amp; LOCATION.    </t>
  </si>
  <si>
    <t xml:space="preserve">02154-23-038-000 </t>
  </si>
  <si>
    <t xml:space="preserve">650 E 49TH                AV</t>
  </si>
  <si>
    <t xml:space="preserve">02164-09-030-000 </t>
  </si>
  <si>
    <t xml:space="preserve">4900   OSAGE               ST</t>
  </si>
  <si>
    <t xml:space="preserve">3% exp ratio represents the owner's non-reimbursable expenses - CAM = $2.16 PSF Exp = $2.34 PSF</t>
  </si>
  <si>
    <t xml:space="preserve">02164-09-031-000</t>
  </si>
  <si>
    <t xml:space="preserve">5000 Osage St</t>
  </si>
  <si>
    <t xml:space="preserve">44.4</t>
  </si>
  <si>
    <t xml:space="preserve">Centerpark Warehouse</t>
  </si>
  <si>
    <t xml:space="preserve">6% exp ratio represents the owner's non-reimbursable expenses - CAM = $2.19 PSF Exp = $2.50 PSF</t>
  </si>
  <si>
    <t xml:space="preserve">02164-09-032-000 </t>
  </si>
  <si>
    <t xml:space="preserve">5050   OSAGE               ST</t>
  </si>
  <si>
    <t xml:space="preserve">CENTERPARK M-T WHSE </t>
  </si>
  <si>
    <t xml:space="preserve">6% exp ratio represents the owner's non-reimbursable expenses - CAM = $2.58 PSF Exp = $2.95 PSF</t>
  </si>
  <si>
    <t xml:space="preserve">3868   TENNYSON            ST</t>
  </si>
  <si>
    <t xml:space="preserve">B4   </t>
  </si>
  <si>
    <t xml:space="preserve">2006 LEASE.                                                       </t>
  </si>
  <si>
    <t xml:space="preserve">02211-12-011-000 </t>
  </si>
  <si>
    <t xml:space="preserve">1100 W 47TH                AV</t>
  </si>
  <si>
    <t xml:space="preserve">2010 DATA ENTERED.                                                </t>
  </si>
  <si>
    <t xml:space="preserve">1051 W 46TH                AV</t>
  </si>
  <si>
    <t xml:space="preserve">02211-22-014-000 </t>
  </si>
  <si>
    <t xml:space="preserve">4414   JASON               ST</t>
  </si>
  <si>
    <t xml:space="preserve">02212-36-006-000 </t>
  </si>
  <si>
    <t xml:space="preserve">2139 W 44TH                AV</t>
  </si>
  <si>
    <t xml:space="preserve">R2   </t>
  </si>
  <si>
    <t xml:space="preserve">02214-18-011-000 </t>
  </si>
  <si>
    <t xml:space="preserve">4101   INCA                ST</t>
  </si>
  <si>
    <t xml:space="preserve">S-W COM CITY ELECTRC</t>
  </si>
  <si>
    <t xml:space="preserve">02214-44-001-000 </t>
  </si>
  <si>
    <t xml:space="preserve">3850   MARIPOSA            ST</t>
  </si>
  <si>
    <t xml:space="preserve">02222-07-003-000 </t>
  </si>
  <si>
    <t xml:space="preserve">4771   FOX                 ST</t>
  </si>
  <si>
    <t xml:space="preserve">4.6:1</t>
  </si>
  <si>
    <t xml:space="preserve">YEAR-TO-YEAR LEASE ASSUMED TO BE UPDATED YEAR-BY-YEAR             </t>
  </si>
  <si>
    <t xml:space="preserve">02223-12-011-000 </t>
  </si>
  <si>
    <t xml:space="preserve">4242   FOX                 ST</t>
  </si>
  <si>
    <t xml:space="preserve">ONLY DATA FOR 2009 LEASE HAS BEEN ENTERED.                        </t>
  </si>
  <si>
    <t xml:space="preserve">450 W 42ND                AV</t>
  </si>
  <si>
    <t xml:space="preserve">5.0:1</t>
  </si>
  <si>
    <t xml:space="preserve">02223-24-018-000 </t>
  </si>
  <si>
    <t xml:space="preserve">4001   FOX                 ST</t>
  </si>
  <si>
    <t xml:space="preserve">BUDGET COFFEE       </t>
  </si>
  <si>
    <t xml:space="preserve">02231-29-003-000 </t>
  </si>
  <si>
    <t xml:space="preserve">4391   YORK                ST</t>
  </si>
  <si>
    <t xml:space="preserve">ALUMINUM SUPPLY CO  </t>
  </si>
  <si>
    <t xml:space="preserve">02232-00-128-000 </t>
  </si>
  <si>
    <t xml:space="preserve">4699   MARION              ST</t>
  </si>
  <si>
    <t xml:space="preserve">WHSE/KM CONSESSIONS </t>
  </si>
  <si>
    <t xml:space="preserve">02233-15-033-000 </t>
  </si>
  <si>
    <t xml:space="preserve">3963   WALNUT              ST</t>
  </si>
  <si>
    <t xml:space="preserve">02234-00-013-000 </t>
  </si>
  <si>
    <t xml:space="preserve">3975   YORK                ST</t>
  </si>
  <si>
    <t xml:space="preserve">9.2:1</t>
  </si>
  <si>
    <t xml:space="preserve">LAND LEASE CHECKED BUT OBVIOUSLY HAS TO INCLUDE THE BLDG.         </t>
  </si>
  <si>
    <t xml:space="preserve">02242-25-009-000 </t>
  </si>
  <si>
    <t xml:space="preserve">4570   COLUMBINE           ST</t>
  </si>
  <si>
    <t xml:space="preserve">S-W CONLEY EQUIP CO.</t>
  </si>
  <si>
    <t xml:space="preserve">3100 E 43RD                AV</t>
  </si>
  <si>
    <t xml:space="preserve">02243-06-001-000 </t>
  </si>
  <si>
    <t xml:space="preserve">4242   ELIZABETH           ST</t>
  </si>
  <si>
    <t xml:space="preserve">2008 LEASE; I/E DATA IS FROM 2009; VACANCY IS 2010.               </t>
  </si>
  <si>
    <t xml:space="preserve">4215   COLUMBINE           ST</t>
  </si>
  <si>
    <t xml:space="preserve">USED ONLY LEASED AREA OF BLDG; CAN'T BREAKOUT EXP BETWEEN OWN/TENS</t>
  </si>
  <si>
    <t xml:space="preserve">02243-15-009-000 </t>
  </si>
  <si>
    <t xml:space="preserve">3115 E 40TH                AV</t>
  </si>
  <si>
    <t xml:space="preserve">3325   BRIGHTON            BV</t>
  </si>
  <si>
    <t xml:space="preserve">2008 LEASE; EXPENSES ALLOCATED TO THE 3000 SF LEASED.             </t>
  </si>
  <si>
    <t xml:space="preserve">02271-03-032-000 </t>
  </si>
  <si>
    <t xml:space="preserve">3765   BLAKE               ST</t>
  </si>
  <si>
    <t xml:space="preserve">MONTH-TO-MONTH LEASE.                                             </t>
  </si>
  <si>
    <t xml:space="preserve">3551   BRIGHTON            BV</t>
  </si>
  <si>
    <t xml:space="preserve">3559   BRIGHTON            BV</t>
  </si>
  <si>
    <t xml:space="preserve">EXPENSES UNABLE TO PRORATE OR DEFINE = NOT ENTERED.               </t>
  </si>
  <si>
    <t xml:space="preserve">02271-13-026-000 </t>
  </si>
  <si>
    <t xml:space="preserve">3595   WYNKOOP             ST</t>
  </si>
  <si>
    <t xml:space="preserve">3400   WALNUT              ST</t>
  </si>
  <si>
    <t xml:space="preserve">INT MTC WAS AMTZED FOR 10YRS                                      </t>
  </si>
  <si>
    <t xml:space="preserve">3430   BRIGHTON            BV</t>
  </si>
  <si>
    <t xml:space="preserve">OWNER EXPENSES WAY TOO HIGH = NOT ENTERED.                        </t>
  </si>
  <si>
    <t xml:space="preserve">02275-00-023-000 </t>
  </si>
  <si>
    <t xml:space="preserve">3150   BRIGHTON            BV</t>
  </si>
  <si>
    <t xml:space="preserve">DOGGIE DAY CARE     </t>
  </si>
  <si>
    <t xml:space="preserve">2008 LEASE; OWNER EXPENSES EXCESSIVE = NOT ENTERED.               </t>
  </si>
  <si>
    <t xml:space="preserve">02275-01-020-000 </t>
  </si>
  <si>
    <t xml:space="preserve">3244   WALNUT              ST</t>
  </si>
  <si>
    <t xml:space="preserve">I2 I1</t>
  </si>
  <si>
    <t xml:space="preserve">DENVER HARDWARE     </t>
  </si>
  <si>
    <t xml:space="preserve">MO-TO-MO LEASES; INCLUDES PARCEL -018; YOC'S AS OLD AS 1885.      </t>
  </si>
  <si>
    <t xml:space="preserve">2975   WALNUT              ST</t>
  </si>
  <si>
    <t xml:space="preserve">2964   WALNUT              ST</t>
  </si>
  <si>
    <t xml:space="preserve">02275-14-021-000 </t>
  </si>
  <si>
    <t xml:space="preserve">2860   WALNUT              ST</t>
  </si>
  <si>
    <t xml:space="preserve">02276-22-020-000</t>
  </si>
  <si>
    <t xml:space="preserve">2728 Larimer</t>
  </si>
  <si>
    <t xml:space="preserve">42.1/44.1</t>
  </si>
  <si>
    <t xml:space="preserve">I1</t>
  </si>
  <si>
    <t xml:space="preserve">1.49:1</t>
  </si>
  <si>
    <t xml:space="preserve">02277-00-010-000 </t>
  </si>
  <si>
    <t xml:space="preserve">2501   BLAKE               ST</t>
  </si>
  <si>
    <t xml:space="preserve">SPACES THAT WORK    </t>
  </si>
  <si>
    <t xml:space="preserve">3725   JASON               ST</t>
  </si>
  <si>
    <t xml:space="preserve">02281-04-010-000 </t>
  </si>
  <si>
    <t xml:space="preserve">3737   KALAMATH            ST</t>
  </si>
  <si>
    <t xml:space="preserve">LEASE COMMENCEMENT DATA UNKNOWN.                                  </t>
  </si>
  <si>
    <t xml:space="preserve">02281-07-005-000 </t>
  </si>
  <si>
    <t xml:space="preserve">3700   OSAGE               ST</t>
  </si>
  <si>
    <t xml:space="preserve">B2   </t>
  </si>
  <si>
    <t xml:space="preserve">02281-27-013-000 </t>
  </si>
  <si>
    <t xml:space="preserve">4400   MARIPOSA            ST</t>
  </si>
  <si>
    <t xml:space="preserve">PRV  </t>
  </si>
  <si>
    <t xml:space="preserve">02283-23-024-000 </t>
  </si>
  <si>
    <t xml:space="preserve">2226 W 29TH                AV</t>
  </si>
  <si>
    <t xml:space="preserve">1800 SF LEASED OUT OF A 10,408 SF BLDG.                           </t>
  </si>
  <si>
    <t xml:space="preserve">02342-28-021-000 </t>
  </si>
  <si>
    <t xml:space="preserve">2258   CALIFORNIA          ST</t>
  </si>
  <si>
    <t xml:space="preserve">B8   </t>
  </si>
  <si>
    <t xml:space="preserve">S-W IDEAL RADIATOR  </t>
  </si>
  <si>
    <t xml:space="preserve">AGE OF LEASE UNKNOWN.                                             </t>
  </si>
  <si>
    <t xml:space="preserve">02342-37-017-000 </t>
  </si>
  <si>
    <t xml:space="preserve">2040   LAWRENCE            ST</t>
  </si>
  <si>
    <t xml:space="preserve">B8A  </t>
  </si>
  <si>
    <t xml:space="preserve">BUDGET BLUEPRINTS   </t>
  </si>
  <si>
    <t xml:space="preserve">02342-38-014-000 </t>
  </si>
  <si>
    <t xml:space="preserve">2063   CURTIS              ST</t>
  </si>
  <si>
    <t xml:space="preserve">05034-15-029-000 </t>
  </si>
  <si>
    <t xml:space="preserve">1136 N SPEER               BV</t>
  </si>
  <si>
    <t xml:space="preserve">B8G  </t>
  </si>
  <si>
    <t xml:space="preserve">1500 SF LEASED IN 8000 SF BLDG; LEASE COMMENCEMENT UNKNOWN        </t>
  </si>
  <si>
    <t xml:space="preserve">05036-13-027-000 </t>
  </si>
  <si>
    <t xml:space="preserve">855   INCA                ST</t>
  </si>
  <si>
    <t xml:space="preserve">GUARDIAN ANGELS     </t>
  </si>
  <si>
    <t xml:space="preserve">05039-09-024-000 </t>
  </si>
  <si>
    <t xml:space="preserve">390 E 7TH                 AV</t>
  </si>
  <si>
    <t xml:space="preserve">1305   OSAGE               ST</t>
  </si>
  <si>
    <t xml:space="preserve">05041-13-038-000 </t>
  </si>
  <si>
    <t xml:space="preserve">1247   SANTA FE            DR</t>
  </si>
  <si>
    <t xml:space="preserve">CIES SEXTON PHOTO   </t>
  </si>
  <si>
    <t xml:space="preserve">1801 W COLFAX              AV</t>
  </si>
  <si>
    <t xml:space="preserve">05042-10-047-000 </t>
  </si>
  <si>
    <t xml:space="preserve">1950 W 14TH                AV</t>
  </si>
  <si>
    <t xml:space="preserve">SIEGEL OIL          </t>
  </si>
  <si>
    <t xml:space="preserve">2008 &amp; 2010 LEASES - MAJOR PORTION IN 2008.                       </t>
  </si>
  <si>
    <t xml:space="preserve">1945 W 13TH                AV</t>
  </si>
  <si>
    <t xml:space="preserve">1201   PECOS               ST</t>
  </si>
  <si>
    <t xml:space="preserve">MO-TO-MO, COMMENCEMENT DATE UNKNOWN.                              </t>
  </si>
  <si>
    <t xml:space="preserve">05043-31-018-000 </t>
  </si>
  <si>
    <t xml:space="preserve">2050 W BARBERRY            PL</t>
  </si>
  <si>
    <t xml:space="preserve">951   VALLEJO             ST</t>
  </si>
  <si>
    <t xml:space="preserve">05043-38-006-000 </t>
  </si>
  <si>
    <t xml:space="preserve">2191 W 10TH                AV</t>
  </si>
  <si>
    <t xml:space="preserve">ELECTRI-SERVE       </t>
  </si>
  <si>
    <t xml:space="preserve">845   NAVAJO              ST</t>
  </si>
  <si>
    <t xml:space="preserve">3101 W 14TH                AV</t>
  </si>
  <si>
    <t xml:space="preserve">05053-17-030-000 </t>
  </si>
  <si>
    <t xml:space="preserve">947   FEDERAL             BV</t>
  </si>
  <si>
    <t xml:space="preserve">S-O TELEVUE TV/VCR  </t>
  </si>
  <si>
    <t xml:space="preserve">MO-TO-MO LEASE; COMMENCEMENT DATA UNKNOWN.                        </t>
  </si>
  <si>
    <t xml:space="preserve">05054-21-033-000 </t>
  </si>
  <si>
    <t xml:space="preserve">2727 W BARBERRY            PL</t>
  </si>
  <si>
    <t xml:space="preserve">GRANDMA'S PASTA     </t>
  </si>
  <si>
    <t xml:space="preserve">05054-24-003-000 </t>
  </si>
  <si>
    <t xml:space="preserve">2720 W BARBERRY            PL</t>
  </si>
  <si>
    <t xml:space="preserve">05054-24-012-000 </t>
  </si>
  <si>
    <t xml:space="preserve">2701 W 8TH                 AV</t>
  </si>
  <si>
    <t xml:space="preserve">05054-24-023-000 </t>
  </si>
  <si>
    <t xml:space="preserve">2730 W BARBERRY            PL</t>
  </si>
  <si>
    <t xml:space="preserve">05054-24-025-000 </t>
  </si>
  <si>
    <t xml:space="preserve">2700 W BARBERRY            PL</t>
  </si>
  <si>
    <t xml:space="preserve">05054-24-026-000 </t>
  </si>
  <si>
    <t xml:space="preserve">2605 W 8TH                 AV</t>
  </si>
  <si>
    <t xml:space="preserve">COMCABLE            </t>
  </si>
  <si>
    <t xml:space="preserve">LEASE DATE UNKNOWN; INCLUDES PARCEL -24-030.                      </t>
  </si>
  <si>
    <t xml:space="preserve">05081-00-134-000 </t>
  </si>
  <si>
    <t xml:space="preserve">2645 W 7TH                 AV</t>
  </si>
  <si>
    <t xml:space="preserve">695   CANOSA              CT</t>
  </si>
  <si>
    <t xml:space="preserve">670   BRYANT              ST</t>
  </si>
  <si>
    <t xml:space="preserve">2010 LEASE; 2009 EXPENSES.                                        </t>
  </si>
  <si>
    <t xml:space="preserve">2750 W 5TH                 AV</t>
  </si>
  <si>
    <t xml:space="preserve">05081-23-004-000</t>
  </si>
  <si>
    <t xml:space="preserve">2400 W 5th Ave</t>
  </si>
  <si>
    <t xml:space="preserve">WW Grainger</t>
  </si>
  <si>
    <t xml:space="preserve">05084-00-046-000 </t>
  </si>
  <si>
    <t xml:space="preserve">2650 W 3RD                 AV</t>
  </si>
  <si>
    <t xml:space="preserve">HEALTH CENTER       </t>
  </si>
  <si>
    <t xml:space="preserve">05084-08-022-000 </t>
  </si>
  <si>
    <t xml:space="preserve">2600 W 2ND                 AV</t>
  </si>
  <si>
    <t xml:space="preserve">ONE BASE PERIOD LEASE IN 21263 SF BLDG REPRESENTED HERE.          </t>
  </si>
  <si>
    <t xml:space="preserve">123   RIO GRANDE          BV</t>
  </si>
  <si>
    <t xml:space="preserve">1490 W 3RD                 AV</t>
  </si>
  <si>
    <t xml:space="preserve">05091-00-067-000 </t>
  </si>
  <si>
    <t xml:space="preserve">1480 W 3RD                 AV</t>
  </si>
  <si>
    <t xml:space="preserve">05091-03-046-000 </t>
  </si>
  <si>
    <t xml:space="preserve">525   SANTA FE            DR</t>
  </si>
  <si>
    <t xml:space="preserve">MULTI/DISTRIB/OFFICE</t>
  </si>
  <si>
    <t xml:space="preserve">INPUT BASED ON RENT RATE FROM 11/08 LEASE.                        </t>
  </si>
  <si>
    <t xml:space="preserve">05091-03-047-000</t>
  </si>
  <si>
    <t xml:space="preserve">525  SANTA FE            DR</t>
  </si>
  <si>
    <t xml:space="preserve">8.9:1</t>
  </si>
  <si>
    <t xml:space="preserve">MONTH TO MONTH ON LAPSED 2000 LEASE</t>
  </si>
  <si>
    <t xml:space="preserve">05091-03-048-000 </t>
  </si>
  <si>
    <t xml:space="preserve">525  SANTA FE            Dr</t>
  </si>
  <si>
    <t xml:space="preserve">RECORD LEASE FOR 7,060 SF; GBA = 7555. USE GBA -CORRECTED PARCEL# ON RETURN</t>
  </si>
  <si>
    <t xml:space="preserve">05091-08-001-000 </t>
  </si>
  <si>
    <t xml:space="preserve">490   SANTA FE            DR</t>
  </si>
  <si>
    <t xml:space="preserve">275   KALAMATH            ST</t>
  </si>
  <si>
    <t xml:space="preserve">05091-21-002-000 </t>
  </si>
  <si>
    <t xml:space="preserve">200   KALAMATH            ST</t>
  </si>
  <si>
    <t xml:space="preserve">657   OSAGE               ST</t>
  </si>
  <si>
    <t xml:space="preserve">DATA FOR 2010 LEASE ENTERED.                                      </t>
  </si>
  <si>
    <t xml:space="preserve">05092-06-015-000 </t>
  </si>
  <si>
    <t xml:space="preserve">707   UMATILLA            ST</t>
  </si>
  <si>
    <t xml:space="preserve">05092-06-023-000 </t>
  </si>
  <si>
    <t xml:space="preserve">777   UMATILLA            ST</t>
  </si>
  <si>
    <t xml:space="preserve">745   VALLEJO             ST</t>
  </si>
  <si>
    <t xml:space="preserve">755   VALLEJO             ST</t>
  </si>
  <si>
    <t xml:space="preserve">APPLY DATA FOR 4928 SF LEASED IN 2009; TOTAL 11867 SF BUILDING.   </t>
  </si>
  <si>
    <t xml:space="preserve">05092-13-013-000 </t>
  </si>
  <si>
    <t xml:space="preserve">2038 W 7TH                 AV</t>
  </si>
  <si>
    <t xml:space="preserve">163   VALLEJO             ST</t>
  </si>
  <si>
    <t xml:space="preserve">145   YUMA                ST</t>
  </si>
  <si>
    <t xml:space="preserve">OWNER PAYING TOO MUCH OF THE EXPENSE HERE.                        </t>
  </si>
  <si>
    <t xml:space="preserve">05094-05-032-000 </t>
  </si>
  <si>
    <t xml:space="preserve">1448 W CEDAR               AV</t>
  </si>
  <si>
    <t xml:space="preserve">05095-05-005-000 </t>
  </si>
  <si>
    <t xml:space="preserve">1345 W BAYAUD              AV</t>
  </si>
  <si>
    <t xml:space="preserve">6.2:1</t>
  </si>
  <si>
    <t xml:space="preserve">S-W LINCOLN LANDSCPE</t>
  </si>
  <si>
    <t xml:space="preserve">05095-08-006-000 </t>
  </si>
  <si>
    <t xml:space="preserve">1340 W BAYAUD              AV</t>
  </si>
  <si>
    <t xml:space="preserve">5350 SF 2010 LEASE USED FOR ENTRY; TOTAL BLDG AREA 21450 SF.      </t>
  </si>
  <si>
    <t xml:space="preserve">05095-11-008-000 </t>
  </si>
  <si>
    <t xml:space="preserve">1339 W CEDAR               AV</t>
  </si>
  <si>
    <t xml:space="preserve">2008 LEASES.                                                      </t>
  </si>
  <si>
    <t xml:space="preserve">05095-12-015-000 </t>
  </si>
  <si>
    <t xml:space="preserve">240 S PECOS               ST</t>
  </si>
  <si>
    <t xml:space="preserve">S-W UNTD MECH SYSTEM</t>
  </si>
  <si>
    <t xml:space="preserve">1254 W CEDAR               AV</t>
  </si>
  <si>
    <t xml:space="preserve">05095-13-033-000 </t>
  </si>
  <si>
    <t xml:space="preserve">1234 W CEDAR               AV</t>
  </si>
  <si>
    <t xml:space="preserve">MO-TO-MO.  NO LEASE AGREEMENT.                                    </t>
  </si>
  <si>
    <t xml:space="preserve">1340 W BYERS               PL</t>
  </si>
  <si>
    <t xml:space="preserve">2000 SQ OF8142 SF BLDG IS LEASED.                                 </t>
  </si>
  <si>
    <t xml:space="preserve">05096-04-038-000 </t>
  </si>
  <si>
    <t xml:space="preserve">60   LIPAN               ST</t>
  </si>
  <si>
    <t xml:space="preserve">S-W AAA METRIC SUPPL</t>
  </si>
  <si>
    <t xml:space="preserve">22   LIPAN               ST</t>
  </si>
  <si>
    <t xml:space="preserve">05096-04-065-000 </t>
  </si>
  <si>
    <t xml:space="preserve">5   KALAMATH            ST</t>
  </si>
  <si>
    <t xml:space="preserve">DIST/S/T CO HOT TUB </t>
  </si>
  <si>
    <t xml:space="preserve">285 S SANTA FE            DR</t>
  </si>
  <si>
    <t xml:space="preserve">05103-19-037-000 </t>
  </si>
  <si>
    <t xml:space="preserve">185 W BAYAUD              AV</t>
  </si>
  <si>
    <t xml:space="preserve">TRIPLE NET LEASE, ONE TENANT (18-013 76%, 19-037 24%)             </t>
  </si>
  <si>
    <t xml:space="preserve">560   PEARL               ST</t>
  </si>
  <si>
    <t xml:space="preserve">05154-03-017-000 </t>
  </si>
  <si>
    <t xml:space="preserve">1070 S GALAPAGO            ST</t>
  </si>
  <si>
    <t xml:space="preserve">05161-04-012-000 </t>
  </si>
  <si>
    <t xml:space="preserve">360 S NAVAJO              ST</t>
  </si>
  <si>
    <t xml:space="preserve">BLG GLASS COMPANY   </t>
  </si>
  <si>
    <t xml:space="preserve">ONLY RENTAL PORTION ENTERED; OWNER-OCC PORTION NOT ENTERED.       </t>
  </si>
  <si>
    <t xml:space="preserve">1216 W VIRGINIA            AV</t>
  </si>
  <si>
    <t xml:space="preserve">1210 W CUSTER              PL</t>
  </si>
  <si>
    <t xml:space="preserve">05161-15-011-000 </t>
  </si>
  <si>
    <t xml:space="preserve">621 S JASON               ST</t>
  </si>
  <si>
    <t xml:space="preserve">05161-16-027-000 </t>
  </si>
  <si>
    <t xml:space="preserve">1212 W CENTER              AV</t>
  </si>
  <si>
    <t xml:space="preserve">15.4:1</t>
  </si>
  <si>
    <t xml:space="preserve">S-W INTRMTN ELECTRIC</t>
  </si>
  <si>
    <t xml:space="preserve">687 S JASON               ST</t>
  </si>
  <si>
    <t xml:space="preserve">DATA FOR 2100 SF BASE PERIOD LEASE ENTERED; BLDG 6585 SF          </t>
  </si>
  <si>
    <t xml:space="preserve">05164-00-029-000 </t>
  </si>
  <si>
    <t xml:space="preserve">1055 S JASON               ST</t>
  </si>
  <si>
    <t xml:space="preserve">SPRING AIR MATTRESS </t>
  </si>
  <si>
    <t xml:space="preserve">05164-00-030-000 </t>
  </si>
  <si>
    <t xml:space="preserve">1002 S JASON               ST</t>
  </si>
  <si>
    <t xml:space="preserve">DENVER STONE &amp; TILE </t>
  </si>
  <si>
    <t xml:space="preserve">DATA FOR 3000 SF UNIT WITH 2009 LEASE; FULL BLDG =26251 SF.       </t>
  </si>
  <si>
    <t xml:space="preserve">05164-00-044-000 </t>
  </si>
  <si>
    <t xml:space="preserve">991 S JASON               ST</t>
  </si>
  <si>
    <t xml:space="preserve">DIRECT MAIL SERVICES</t>
  </si>
  <si>
    <t xml:space="preserve">05164-00-082-000 </t>
  </si>
  <si>
    <t xml:space="preserve">820 S LIPAN               ST</t>
  </si>
  <si>
    <t xml:space="preserve">S-W RAINS FLO       </t>
  </si>
  <si>
    <t xml:space="preserve">05164-00-084-000 </t>
  </si>
  <si>
    <t xml:space="preserve">1141 W MISSISSIPPI         AV</t>
  </si>
  <si>
    <t xml:space="preserve">ARAPAHOE SIGN ARTS  </t>
  </si>
  <si>
    <t xml:space="preserve">05181-17-024-000 </t>
  </si>
  <si>
    <t xml:space="preserve">3615   MORRISON            RD</t>
  </si>
  <si>
    <t xml:space="preserve">05181-20-014-000 </t>
  </si>
  <si>
    <t xml:space="preserve">3715   MORRISON            RD</t>
  </si>
  <si>
    <t xml:space="preserve">1050 S QUITMAN             ST</t>
  </si>
  <si>
    <t xml:space="preserve">1001 W ARIZONA             AV</t>
  </si>
  <si>
    <t xml:space="preserve">1178 S KALAMATH            ST</t>
  </si>
  <si>
    <t xml:space="preserve">1220 S JASON               ST</t>
  </si>
  <si>
    <t xml:space="preserve">05211-16-028-000 </t>
  </si>
  <si>
    <t xml:space="preserve">1257 S HURON               ST</t>
  </si>
  <si>
    <t xml:space="preserve">M-W EAST/WEST DESIGN</t>
  </si>
  <si>
    <t xml:space="preserve">600 SF BASE PERIOD LEASE IN 2049 SF BUILDING.                     </t>
  </si>
  <si>
    <t xml:space="preserve">05211-17-021-000 </t>
  </si>
  <si>
    <t xml:space="preserve">1300 S INCA                ST</t>
  </si>
  <si>
    <t xml:space="preserve">S-W GEI ELECTRIC    </t>
  </si>
  <si>
    <t xml:space="preserve">2008 LEASE ON 2400 SF OF 4867 SF BUILDING.                        </t>
  </si>
  <si>
    <t xml:space="preserve">05211-18-004-000 </t>
  </si>
  <si>
    <t xml:space="preserve">1371 S INCA                ST</t>
  </si>
  <si>
    <t xml:space="preserve">KM GRAPHICS         </t>
  </si>
  <si>
    <t xml:space="preserve">FULL SERVICE LEASE HIGHLY ATYPICAL FOR WAREHOUSE USE.             </t>
  </si>
  <si>
    <t xml:space="preserve">05211-18-028-000 </t>
  </si>
  <si>
    <t xml:space="preserve">1385 S INCA                ST</t>
  </si>
  <si>
    <t xml:space="preserve">ONLY USED RENTAL PORTION FOR ENTRY; OWNER-OCC NOT INCLUDED.       </t>
  </si>
  <si>
    <t xml:space="preserve">05211-18-029-000 </t>
  </si>
  <si>
    <t xml:space="preserve">1328 S JASON               ST</t>
  </si>
  <si>
    <t xml:space="preserve">AMERICAN TARGET     </t>
  </si>
  <si>
    <t xml:space="preserve">05211-18-030-000 </t>
  </si>
  <si>
    <t xml:space="preserve">1308 S JASON               ST</t>
  </si>
  <si>
    <t xml:space="preserve">05211-19-011-000 </t>
  </si>
  <si>
    <t xml:space="preserve">1301 S JASON               ST</t>
  </si>
  <si>
    <t xml:space="preserve">M-W DISTRIBUTION    </t>
  </si>
  <si>
    <t xml:space="preserve">DATA ENTERED FOR ONE BASE PERIOD LEASE IN 49886 SQ.FT. BLDG.      </t>
  </si>
  <si>
    <t xml:space="preserve">05211-20-020-000 </t>
  </si>
  <si>
    <t xml:space="preserve">1360 S LIPAN               ST</t>
  </si>
  <si>
    <t xml:space="preserve">S-W LANGE GRAPHICS  </t>
  </si>
  <si>
    <t xml:space="preserve">1495 S PLATTE RIVER        DR</t>
  </si>
  <si>
    <t xml:space="preserve">1215 S PEARL               ST</t>
  </si>
  <si>
    <t xml:space="preserve">666   BUCHTEL             BV</t>
  </si>
  <si>
    <t xml:space="preserve">05222-03-012-000 </t>
  </si>
  <si>
    <t xml:space="preserve">1220 S ACOMA               ST</t>
  </si>
  <si>
    <t xml:space="preserve">DATA FOR 3000 SF UNIT WITH 2009 LEASE IN 12,038 SF BUILDING.      </t>
  </si>
  <si>
    <t xml:space="preserve">1432 S ACOMA               ST</t>
  </si>
  <si>
    <t xml:space="preserve">1429 S BROADWAY            ST</t>
  </si>
  <si>
    <t xml:space="preserve">05223-01-008-000 </t>
  </si>
  <si>
    <t xml:space="preserve">1132 S BANNOCK             ST</t>
  </si>
  <si>
    <t xml:space="preserve">M-F DIAMOND IRON WRK</t>
  </si>
  <si>
    <t xml:space="preserve">MO-TO-MO LEASES                                                   </t>
  </si>
  <si>
    <t xml:space="preserve">1253 S CHEROKEE            ST</t>
  </si>
  <si>
    <t xml:space="preserve">12860 SF LEASED IN AN 18642 SF BLDG.                              </t>
  </si>
  <si>
    <t xml:space="preserve">1221 S CHEROKEE            ST</t>
  </si>
  <si>
    <t xml:space="preserve">3600 SF OF BLDG LEASED - BALANCE OCCUPIED BY OWNER.               </t>
  </si>
  <si>
    <t xml:space="preserve">1257 S BANNOCK             ST</t>
  </si>
  <si>
    <t xml:space="preserve">05223-07-017-000 </t>
  </si>
  <si>
    <t xml:space="preserve">1220 S BANNOCK             ST</t>
  </si>
  <si>
    <t xml:space="preserve">05223-07-018-000 </t>
  </si>
  <si>
    <t xml:space="preserve">1240 S BANNOCK             ST</t>
  </si>
  <si>
    <t xml:space="preserve">05223-10-021-000 </t>
  </si>
  <si>
    <t xml:space="preserve">1330 S CHEROKEE            ST</t>
  </si>
  <si>
    <t xml:space="preserve">1468 S CHEROKEE            ST</t>
  </si>
  <si>
    <t xml:space="preserve">05224-00-061-000</t>
  </si>
  <si>
    <t xml:space="preserve">700 W. Mississippi Ave  B</t>
  </si>
  <si>
    <t xml:space="preserve">^     0</t>
  </si>
  <si>
    <t xml:space="preserve">     I2</t>
  </si>
  <si>
    <t xml:space="preserve">           1.5:1</t>
  </si>
  <si>
    <t xml:space="preserve">Valley Business Center</t>
  </si>
  <si>
    <t xml:space="preserve">Expenses are an estimate.  Could be as low as 5%</t>
  </si>
  <si>
    <t xml:space="preserve">05224-00-063-000 </t>
  </si>
  <si>
    <t xml:space="preserve">1155 S PLATTE RIVER        DR</t>
  </si>
  <si>
    <t xml:space="preserve">DNVR AWNING/IRONWORK</t>
  </si>
  <si>
    <t xml:space="preserve">1586 S ACOMA               ST</t>
  </si>
  <si>
    <t xml:space="preserve">LEASES RANGE FROM 2006 TO 2009 ALL AT SAME RATE.                  </t>
  </si>
  <si>
    <t xml:space="preserve">05226-16-040-000 </t>
  </si>
  <si>
    <t xml:space="preserve">1853 S ACOMA               ST</t>
  </si>
  <si>
    <t xml:space="preserve">S-W HAMMILL WEST    </t>
  </si>
  <si>
    <t xml:space="preserve">05226-17-006-000 </t>
  </si>
  <si>
    <t xml:space="preserve">1869 S BROADWAY            ST</t>
  </si>
  <si>
    <t xml:space="preserve">05226-17-017-000 </t>
  </si>
  <si>
    <t xml:space="preserve">1860 S ACOMA               ST</t>
  </si>
  <si>
    <t xml:space="preserve">1859 S PEARL               ST</t>
  </si>
  <si>
    <t xml:space="preserve">05271-23-002-000 </t>
  </si>
  <si>
    <t xml:space="preserve">2112 S WASHINGTON          ST</t>
  </si>
  <si>
    <t xml:space="preserve">S-W D.C. PLUMBING   </t>
  </si>
  <si>
    <t xml:space="preserve">05272-01-009-000 </t>
  </si>
  <si>
    <t xml:space="preserve">1978 S ACOMA               ST</t>
  </si>
  <si>
    <t xml:space="preserve">1.0:1</t>
  </si>
  <si>
    <t xml:space="preserve">M-O AMERICAN APPLNCE</t>
  </si>
  <si>
    <t xml:space="preserve">05272-02-011-000 </t>
  </si>
  <si>
    <t xml:space="preserve">165 W ASBURY              AV</t>
  </si>
  <si>
    <t xml:space="preserve">05272-03-007-000 </t>
  </si>
  <si>
    <t xml:space="preserve">1950 S CHEROKEE            ST</t>
  </si>
  <si>
    <t xml:space="preserve">S-W PASTERKAMPS HEAT</t>
  </si>
  <si>
    <t xml:space="preserve">05272-03-029-000 </t>
  </si>
  <si>
    <t xml:space="preserve">1930 S CHEROKEE            ST</t>
  </si>
  <si>
    <t xml:space="preserve">S-W PASTERKAMP PLUMB</t>
  </si>
  <si>
    <t xml:space="preserve">05274-03-004-000 </t>
  </si>
  <si>
    <t xml:space="preserve">2301 S DELAWARE            ST</t>
  </si>
  <si>
    <t xml:space="preserve">WOODCRAFT UNLIMITED </t>
  </si>
  <si>
    <t xml:space="preserve">2385 S DELAWARE            ST</t>
  </si>
  <si>
    <t xml:space="preserve">2345 S DELAWARE            ST</t>
  </si>
  <si>
    <t xml:space="preserve">2536 S DELAWARE            ST</t>
  </si>
  <si>
    <t xml:space="preserve">05281-01-018-000 </t>
  </si>
  <si>
    <t xml:space="preserve">1970 S NAVAJO              ST</t>
  </si>
  <si>
    <t xml:space="preserve">M-W;TAD FISER RACING</t>
  </si>
  <si>
    <t xml:space="preserve">MO-TO-MO; 4500 SF LEASED IN 10120 SF BLDG.                        </t>
  </si>
  <si>
    <t xml:space="preserve">2001 S NAVAJO              ST</t>
  </si>
  <si>
    <t xml:space="preserve">MO-TO-MO. LEASE.                                                  </t>
  </si>
  <si>
    <t xml:space="preserve">05281-05-036-000 </t>
  </si>
  <si>
    <t xml:space="preserve">2059 S NAVAJO              ST</t>
  </si>
  <si>
    <t xml:space="preserve">ACCSS ANYTME SLFSTGE</t>
  </si>
  <si>
    <t xml:space="preserve">ADVERTIZING AT $12,653 MAY BE OVERSTATED                          </t>
  </si>
  <si>
    <t xml:space="preserve">05281-06-007-000 </t>
  </si>
  <si>
    <t xml:space="preserve">1305 W EVANS               AV</t>
  </si>
  <si>
    <t xml:space="preserve">6 MO. LEASE ANNUALIZED.                                           </t>
  </si>
  <si>
    <t xml:space="preserve">05281-06-012-000 </t>
  </si>
  <si>
    <t xml:space="preserve">1331 W EVANS               AV</t>
  </si>
  <si>
    <t xml:space="preserve">BLUE FLAME POWER CTG</t>
  </si>
  <si>
    <t xml:space="preserve">7040 SF OF 16551 SF BLDG. AVAILABLE FOR LEASE.                    </t>
  </si>
  <si>
    <t xml:space="preserve">05281-12-026-026 </t>
  </si>
  <si>
    <t xml:space="preserve">1015 W EVANS               AV</t>
  </si>
  <si>
    <t xml:space="preserve">CONDO UNIT #A       </t>
  </si>
  <si>
    <t xml:space="preserve">05281-12-027-027 </t>
  </si>
  <si>
    <t xml:space="preserve">CONDO UNIT #B       </t>
  </si>
  <si>
    <t xml:space="preserve">2140 S KALAMATH            ST</t>
  </si>
  <si>
    <t xml:space="preserve">ENTER ONLY DATA FOR THE 2009 LEASE.                               </t>
  </si>
  <si>
    <t xml:space="preserve">2150 S KALAMATH            ST</t>
  </si>
  <si>
    <t xml:space="preserve">2168 S KALAMATH            ST</t>
  </si>
  <si>
    <t xml:space="preserve">05281-14-029-000 </t>
  </si>
  <si>
    <t xml:space="preserve">2121 S JASON               ST</t>
  </si>
  <si>
    <t xml:space="preserve">1130 W EVANS               AV</t>
  </si>
  <si>
    <t xml:space="preserve">05281-16-001-000 </t>
  </si>
  <si>
    <t xml:space="preserve">2201 S KALAMATH            ST</t>
  </si>
  <si>
    <t xml:space="preserve">S-W EUROPEAN MARBLE </t>
  </si>
  <si>
    <t xml:space="preserve">05281-16-004-000 </t>
  </si>
  <si>
    <t xml:space="preserve">2235 S KALAMATH            ST</t>
  </si>
  <si>
    <t xml:space="preserve">SEAL MAXX           </t>
  </si>
  <si>
    <t xml:space="preserve">2240 S KALAMATH            ST</t>
  </si>
  <si>
    <t xml:space="preserve">05281-18-015-000 </t>
  </si>
  <si>
    <t xml:space="preserve">2201 S PLATTE RIVER        DR</t>
  </si>
  <si>
    <t xml:space="preserve">11.9:1</t>
  </si>
  <si>
    <t xml:space="preserve">05281-18-022-000 </t>
  </si>
  <si>
    <t xml:space="preserve">2240 S JASON               ST</t>
  </si>
  <si>
    <t xml:space="preserve">AA HIGH TECH AUTO   </t>
  </si>
  <si>
    <t xml:space="preserve">MONTH-TO-MONTH LEASE - COMMENCEMENT DATE UNKNOWN.                 </t>
  </si>
  <si>
    <t xml:space="preserve">05281-18-036-000 </t>
  </si>
  <si>
    <t xml:space="preserve">905 W ILIFF               AV</t>
  </si>
  <si>
    <t xml:space="preserve">05282-11-010-000 </t>
  </si>
  <si>
    <t xml:space="preserve">1801 W EVANS               AV</t>
  </si>
  <si>
    <t xml:space="preserve">VOLVO PARTS &amp; SERVCE</t>
  </si>
  <si>
    <t xml:space="preserve">MO-TO-MO LEASE FOR 1,784 SQ FT OUT OF 7,094 SQ FT BLDG.           </t>
  </si>
  <si>
    <t xml:space="preserve">2301 S INCA                ST</t>
  </si>
  <si>
    <t xml:space="preserve">2335 S INCA                ST</t>
  </si>
  <si>
    <t xml:space="preserve">2390 S KALAMATH            ST</t>
  </si>
  <si>
    <t xml:space="preserve">6000 SF OF 12000 SF BLDG. LEASED.                                 </t>
  </si>
  <si>
    <t xml:space="preserve">05284-03-019-000 </t>
  </si>
  <si>
    <t xml:space="preserve">2340 S KALAMATH            ST</t>
  </si>
  <si>
    <t xml:space="preserve">05294-00-003-000 </t>
  </si>
  <si>
    <t xml:space="preserve">2920 W ILIFF               AV</t>
  </si>
  <si>
    <t xml:space="preserve">MB MARBLE &amp; TILE    </t>
  </si>
  <si>
    <t xml:space="preserve">06041-08-020-000 </t>
  </si>
  <si>
    <t xml:space="preserve">1420   ULSTER              ST</t>
  </si>
  <si>
    <t xml:space="preserve">MS1  </t>
  </si>
  <si>
    <t xml:space="preserve">1426 ULSTER ST      </t>
  </si>
  <si>
    <t xml:space="preserve">LEASE COVERS 1500 SF OF 4377 SF BLDG.                             </t>
  </si>
  <si>
    <t xml:space="preserve">06041-08-021-000 </t>
  </si>
  <si>
    <t xml:space="preserve">1414   ULSTER              ST</t>
  </si>
  <si>
    <t xml:space="preserve">LEASE COMMENCEMENT UNKNOWN - MAY BE 2008 OR 2009.LOT OF ASSUMPT'NS</t>
  </si>
  <si>
    <t xml:space="preserve">06172-00-031-000 </t>
  </si>
  <si>
    <t xml:space="preserve">6150   LEETSDALE           DR</t>
  </si>
  <si>
    <t xml:space="preserve">UN'TED STGE LTSDALE </t>
  </si>
  <si>
    <t xml:space="preserve">06282-01-003-000 </t>
  </si>
  <si>
    <t xml:space="preserve">7450 E JEWELL              AV</t>
  </si>
  <si>
    <t xml:space="preserve">BASE PEROD LEASE = 3400 SF OF 17,092 SF BLDG.                     </t>
  </si>
  <si>
    <t xml:space="preserve">5885 E EVANS               AV</t>
  </si>
  <si>
    <t xml:space="preserve">06292-12-017-000 </t>
  </si>
  <si>
    <t xml:space="preserve">2160 S IVANHOE             ST</t>
  </si>
  <si>
    <t xml:space="preserve">EVANS/HOLLY SELF STG</t>
  </si>
  <si>
    <t xml:space="preserve">06292-14-004-000 </t>
  </si>
  <si>
    <t xml:space="preserve">6300 E EVANS               AV</t>
  </si>
  <si>
    <t xml:space="preserve">S-W LEWAN SALES     </t>
  </si>
  <si>
    <t xml:space="preserve">06301-13-010-000 </t>
  </si>
  <si>
    <t xml:space="preserve">4925 E PACIFIC             PL</t>
  </si>
  <si>
    <t xml:space="preserve">S-W CREATIVE DRYWALL</t>
  </si>
  <si>
    <t xml:space="preserve">06302-20-007-000 </t>
  </si>
  <si>
    <t xml:space="preserve">4875 E EVANS               AV</t>
  </si>
  <si>
    <t xml:space="preserve">08/08 LEASE.                                                      </t>
  </si>
  <si>
    <t xml:space="preserve">2009Q</t>
  </si>
  <si>
    <t xml:space="preserve">15200 E 53RD                 AV</t>
  </si>
  <si>
    <t xml:space="preserve">KANGAROO SELF-STORAGE                                             </t>
  </si>
  <si>
    <t xml:space="preserve">01141-01-015-000 </t>
  </si>
  <si>
    <t xml:space="preserve">11777 E 55TH                 AV</t>
  </si>
  <si>
    <t xml:space="preserve">S-W G.E. DIST WHSE  </t>
  </si>
  <si>
    <t xml:space="preserve">S-T WHSE - G.E.; 25 YR. LEASE DATES FROM 1986.                    </t>
  </si>
  <si>
    <t xml:space="preserve">11475 E 53RD                 AV</t>
  </si>
  <si>
    <t xml:space="preserve">M-T WHSE; 6 TENANTS; LEASES 2002 - 2005.                          </t>
  </si>
  <si>
    <t xml:space="preserve">01141-04-043-043 </t>
  </si>
  <si>
    <t xml:space="preserve">PEORIA PLAZA #3-107 </t>
  </si>
  <si>
    <t xml:space="preserve">S-T WHSE.                                                         </t>
  </si>
  <si>
    <t xml:space="preserve">01142-00-014-000 </t>
  </si>
  <si>
    <t xml:space="preserve">5150   HAVANA               ST</t>
  </si>
  <si>
    <t xml:space="preserve">MTN VIEW BUS. CENTER</t>
  </si>
  <si>
    <t xml:space="preserve">01142-01-027-000 </t>
  </si>
  <si>
    <t xml:space="preserve">5555   JOLIET               ST</t>
  </si>
  <si>
    <t xml:space="preserve">ADAM WHOLESALERS    </t>
  </si>
  <si>
    <t xml:space="preserve">01142-02-007-000 </t>
  </si>
  <si>
    <t xml:space="preserve">5353   JOLIET               ST</t>
  </si>
  <si>
    <t xml:space="preserve">2009W</t>
  </si>
  <si>
    <t xml:space="preserve">01142-03-002-000</t>
  </si>
  <si>
    <t xml:space="preserve">11175 E 55th Ave</t>
  </si>
  <si>
    <t xml:space="preserve">Denver Buss Ctr #5</t>
  </si>
  <si>
    <t xml:space="preserve">ProLogis multi-tenant excess vacancy </t>
  </si>
  <si>
    <t xml:space="preserve">M-T WHSE.                                                         </t>
  </si>
  <si>
    <t xml:space="preserve">01142-05-004-000 </t>
  </si>
  <si>
    <t xml:space="preserve">5280   JOLIET               ST</t>
  </si>
  <si>
    <t xml:space="preserve">DIST/WHSE OFC DEPOT </t>
  </si>
  <si>
    <t xml:space="preserve">S-T WHS; OFFICE DEPOT; 2003 LEASE.                                </t>
  </si>
  <si>
    <t xml:space="preserve">10705 E 51ST                 AV</t>
  </si>
  <si>
    <t xml:space="preserve">4890   IRONTON              ST</t>
  </si>
  <si>
    <t xml:space="preserve">M-T WHSE; 17 TENANTS; LEASES 1995-2008.                           </t>
  </si>
  <si>
    <t xml:space="preserve">01143-04-005-000 </t>
  </si>
  <si>
    <t xml:space="preserve">4901   IRONTON              ST</t>
  </si>
  <si>
    <t xml:space="preserve">MAN T-SHIRTS        </t>
  </si>
  <si>
    <t xml:space="preserve">M-T WHSE; 3 TENANTS                                               </t>
  </si>
  <si>
    <t xml:space="preserve">01143-04-033-000 </t>
  </si>
  <si>
    <t xml:space="preserve">5040   HAVANA               ST</t>
  </si>
  <si>
    <t xml:space="preserve">01143-05-010-000 </t>
  </si>
  <si>
    <t xml:space="preserve">11001 E 51ST                 AV</t>
  </si>
  <si>
    <t xml:space="preserve">CMI MECHANCIAL      </t>
  </si>
  <si>
    <t xml:space="preserve">S-T WHSE; 2005 LEASE.                                             </t>
  </si>
  <si>
    <t xml:space="preserve">11055 E 51ST                 AV</t>
  </si>
  <si>
    <t xml:space="preserve">S-T WHSE.; 2003 LEASE.                                            </t>
  </si>
  <si>
    <t xml:space="preserve">01143-06-008-000 </t>
  </si>
  <si>
    <t xml:space="preserve">4999   KINGSTON             ST</t>
  </si>
  <si>
    <t xml:space="preserve">PRINTINGPLANT/SPRINT</t>
  </si>
  <si>
    <t xml:space="preserve">S-T WHSE; MAY BE OWNER-OCCUPIED.                                  </t>
  </si>
  <si>
    <t xml:space="preserve">S-T WHSE                                                          </t>
  </si>
  <si>
    <t xml:space="preserve">01144-04-011-000 </t>
  </si>
  <si>
    <t xml:space="preserve">5010   PARIS                ST</t>
  </si>
  <si>
    <t xml:space="preserve">A T SYSTEMS         </t>
  </si>
  <si>
    <t xml:space="preserve">S-T WHSE; 2002 LEASE.                                             </t>
  </si>
  <si>
    <t xml:space="preserve">01144-04-020-000 </t>
  </si>
  <si>
    <t xml:space="preserve">5090   PARIS                ST</t>
  </si>
  <si>
    <t xml:space="preserve">5001   OAKLAND              ST</t>
  </si>
  <si>
    <t xml:space="preserve">S-T WHSE.; 2004 LEASE.                                            </t>
  </si>
  <si>
    <t xml:space="preserve">4995   PARIS                ST</t>
  </si>
  <si>
    <t xml:space="preserve">01144-06-014-000 </t>
  </si>
  <si>
    <t xml:space="preserve">4975   PARIS                ST</t>
  </si>
  <si>
    <t xml:space="preserve">RMCAT               </t>
  </si>
  <si>
    <t xml:space="preserve">S-T WHSE.; 2006 LEASE.                                            </t>
  </si>
  <si>
    <t xml:space="preserve">01144-10-011-000 </t>
  </si>
  <si>
    <t xml:space="preserve">4850   MOLINE               ST</t>
  </si>
  <si>
    <t xml:space="preserve">S-W WEATHER GUARD   </t>
  </si>
  <si>
    <t xml:space="preserve">S-T WHSE; 1999 LEASE.                                             </t>
  </si>
  <si>
    <t xml:space="preserve">S-T WHSE; AGE OF LEASE UNKNOWN.                                   </t>
  </si>
  <si>
    <t xml:space="preserve">01154-01-002-000</t>
  </si>
  <si>
    <t xml:space="preserve">5025 FLORENCE ST. </t>
  </si>
  <si>
    <t xml:space="preserve">Stapleton Bus. Ctr. #2</t>
  </si>
  <si>
    <t xml:space="preserve">01154-02-003-000 </t>
  </si>
  <si>
    <t xml:space="preserve">5050   FLORENCE             ST</t>
  </si>
  <si>
    <t xml:space="preserve">6.0:1</t>
  </si>
  <si>
    <t xml:space="preserve">S-M DOMINO'S DOUGH  </t>
  </si>
  <si>
    <t xml:space="preserve">S-T INDUSTRIAL BLDG; LEASE DATES FROM 1999.                       </t>
  </si>
  <si>
    <t xml:space="preserve">10275 E 47TH                 AV</t>
  </si>
  <si>
    <t xml:space="preserve">4800   GENEVA               ST</t>
  </si>
  <si>
    <t xml:space="preserve">S-T WHSE.; 2005 LEASE.                                            </t>
  </si>
  <si>
    <t xml:space="preserve">01183-00-012-000 </t>
  </si>
  <si>
    <t xml:space="preserve">5050   COLORADO             BV</t>
  </si>
  <si>
    <t xml:space="preserve">01183-00-013-000 </t>
  </si>
  <si>
    <t xml:space="preserve">5000   COLORADO             BV</t>
  </si>
  <si>
    <t xml:space="preserve">DIST J W BREWER TIRE</t>
  </si>
  <si>
    <t xml:space="preserve">01183-00-036-000 </t>
  </si>
  <si>
    <t xml:space="preserve">4950   COLORADO             BV</t>
  </si>
  <si>
    <t xml:space="preserve">S-T WHSE; 2003 LEASE.                                             </t>
  </si>
  <si>
    <t xml:space="preserve">01183-00-057-000 </t>
  </si>
  <si>
    <t xml:space="preserve">4101 E 48TH                 AV</t>
  </si>
  <si>
    <t xml:space="preserve">S-T WHSE. MO-TO-MO.                                               </t>
  </si>
  <si>
    <t xml:space="preserve">4201 E 48TH                 AV</t>
  </si>
  <si>
    <t xml:space="preserve">S-T WHSE; MO-TO-MO.                                               </t>
  </si>
  <si>
    <t xml:space="preserve">01183-01-015-000 </t>
  </si>
  <si>
    <t xml:space="preserve">4550 E 52ND                 AV</t>
  </si>
  <si>
    <t xml:space="preserve">S-W AMERICAN ROOFING</t>
  </si>
  <si>
    <t xml:space="preserve">S-T WHSES.; LEASE ORIGINATED IN 1989.                             </t>
  </si>
  <si>
    <t xml:space="preserve">S-T WHSE.; DATE OF LEASE UNKNOWN.                                 </t>
  </si>
  <si>
    <t xml:space="preserve">S-T WHSE.; YR. TO YR. LEASE.                                      </t>
  </si>
  <si>
    <t xml:space="preserve">S-T WHSE; YR. TO YR.                                              </t>
  </si>
  <si>
    <t xml:space="preserve">01184-00-015-000 </t>
  </si>
  <si>
    <t xml:space="preserve">4990   DAHLIA               ST</t>
  </si>
  <si>
    <t xml:space="preserve">S-W AMICK MOVING&amp;STR</t>
  </si>
  <si>
    <t xml:space="preserve">S-T WHSE; GPMS                                                    </t>
  </si>
  <si>
    <t xml:space="preserve">01184-00-020-000 </t>
  </si>
  <si>
    <t xml:space="preserve">4800   DAHLIA               ST</t>
  </si>
  <si>
    <t xml:space="preserve">S-F-WHOLESALE FLORST</t>
  </si>
  <si>
    <t xml:space="preserve">5199 E 48TH                 AV</t>
  </si>
  <si>
    <t xml:space="preserve">S-T WHSE; SEALMASTER                                              </t>
  </si>
  <si>
    <t xml:space="preserve">01191-00-014-000 </t>
  </si>
  <si>
    <t xml:space="preserve">4343   HOLLY                ST</t>
  </si>
  <si>
    <t xml:space="preserve">PROCOAT SYSTEMS     </t>
  </si>
  <si>
    <t xml:space="preserve">01191-00-022-000 </t>
  </si>
  <si>
    <t xml:space="preserve">4700   DAHLIA               ST</t>
  </si>
  <si>
    <t xml:space="preserve">S-W KEENAN SUPPLY   </t>
  </si>
  <si>
    <t xml:space="preserve">01191-00-052-000 </t>
  </si>
  <si>
    <t xml:space="preserve">5555   STAPLETON N          DR</t>
  </si>
  <si>
    <t xml:space="preserve">01192-00-042-000 </t>
  </si>
  <si>
    <t xml:space="preserve">4600 E 48TH                 AV</t>
  </si>
  <si>
    <t xml:space="preserve">01192-00-062-000 </t>
  </si>
  <si>
    <t xml:space="preserve">4401 E 46TH                 AV</t>
  </si>
  <si>
    <t xml:space="preserve">M-W UNI-WEST        </t>
  </si>
  <si>
    <t xml:space="preserve">M-T WHSE; 4 TENANTS;LEASES 1994,1996,2000.                        </t>
  </si>
  <si>
    <t xml:space="preserve">M-T WHSE; 2 TENANTS; ONE 2007 LEASE, ONE 2005 LEASE.              </t>
  </si>
  <si>
    <t xml:space="preserve">4555   STAPLETON N          DR</t>
  </si>
  <si>
    <t xml:space="preserve">01192-03-007-000 </t>
  </si>
  <si>
    <t xml:space="preserve">4595   STAPLETON N          DR</t>
  </si>
  <si>
    <t xml:space="preserve">KAMAN TECH          </t>
  </si>
  <si>
    <t xml:space="preserve">01194-00-044-000 </t>
  </si>
  <si>
    <t xml:space="preserve">5145 E 38TH                 AV</t>
  </si>
  <si>
    <t xml:space="preserve">S-W SPECTRUM        </t>
  </si>
  <si>
    <t xml:space="preserve">01194-00-051-000 </t>
  </si>
  <si>
    <t xml:space="preserve">5135 E 38TH                 AV</t>
  </si>
  <si>
    <t xml:space="preserve">S-D-SPECTRUM GEN CON</t>
  </si>
  <si>
    <t xml:space="preserve">M-T RETAIL; 2 UNITS; 1 OWNER-OCCUPIED.                            </t>
  </si>
  <si>
    <t xml:space="preserve">5195 E 39TH                 AV</t>
  </si>
  <si>
    <t xml:space="preserve">M-T INDUSTRIAL; 2 TENANTS                                         </t>
  </si>
  <si>
    <t xml:space="preserve">01194-00-111-000 </t>
  </si>
  <si>
    <t xml:space="preserve">M-T WHSE.; 4 TENANTS                                              </t>
  </si>
  <si>
    <t xml:space="preserve">M-T RETAIL; 2 TENANTS; 2006 LEASES.                               </t>
  </si>
  <si>
    <t xml:space="preserve">5150 E 39TH                 AV</t>
  </si>
  <si>
    <t xml:space="preserve">S-T RETAIL; AGE OF LEASE UNKNOWN.                                 </t>
  </si>
  <si>
    <t xml:space="preserve">01194-00-210-000 </t>
  </si>
  <si>
    <t xml:space="preserve">5225 E 38TH                 AV</t>
  </si>
  <si>
    <t xml:space="preserve">SW MC2 ENTERPRISES  </t>
  </si>
  <si>
    <t xml:space="preserve">4880 E 41ST                 AV</t>
  </si>
  <si>
    <t xml:space="preserve">M-T WHSE; 4 UNITS.                                                </t>
  </si>
  <si>
    <t xml:space="preserve">01194-00-243-243 </t>
  </si>
  <si>
    <t xml:space="preserve">5138 E 39TH                 AV</t>
  </si>
  <si>
    <t xml:space="preserve">UNIT 1;39TH IND COND</t>
  </si>
  <si>
    <t xml:space="preserve">01194-00-246-000 </t>
  </si>
  <si>
    <t xml:space="preserve">4902   SMITH                RD</t>
  </si>
  <si>
    <t xml:space="preserve">M-W 2 TENANTS       </t>
  </si>
  <si>
    <t xml:space="preserve">M-T WHSE.; 2 TENANTS; DATE OF LEASE UNKNOWN.                      </t>
  </si>
  <si>
    <t xml:space="preserve">S-T WHSE.;LEASE DATES FROM 2001.                                  </t>
  </si>
  <si>
    <t xml:space="preserve">01194-03-007-000 </t>
  </si>
  <si>
    <t xml:space="preserve">4900 E 39TH                 AV</t>
  </si>
  <si>
    <t xml:space="preserve">M-T WHSE.; 4 TENANTS; LEASES 2005 - 2007.                         </t>
  </si>
  <si>
    <t xml:space="preserve">01194-04-002-000 </t>
  </si>
  <si>
    <t xml:space="preserve">3831   EUDORA               WY</t>
  </si>
  <si>
    <t xml:space="preserve">PETRIDGE FARMS      </t>
  </si>
  <si>
    <t xml:space="preserve">M-T WHSE.; 2 TENANTS; LEASES 2005 &amp; 2007.                         </t>
  </si>
  <si>
    <t xml:space="preserve">01201-00-044-000 </t>
  </si>
  <si>
    <t xml:space="preserve">4600   MONACO               PY</t>
  </si>
  <si>
    <t xml:space="preserve">01201-00-060-000 </t>
  </si>
  <si>
    <t xml:space="preserve">6666   STAPLETON S          DR</t>
  </si>
  <si>
    <t xml:space="preserve">LIGHT MANUFACTURING </t>
  </si>
  <si>
    <t xml:space="preserve">S-T INDUSTRIAL BLDG.                                              </t>
  </si>
  <si>
    <t xml:space="preserve">M-T WHSE.; 8 TENANTS; LEASES 1995 - 2007.                         </t>
  </si>
  <si>
    <t xml:space="preserve">01201-21-037-037 </t>
  </si>
  <si>
    <t xml:space="preserve">C-2 (B) SOLSTICE    </t>
  </si>
  <si>
    <t xml:space="preserve">S-T WHSE. CONDO UNIT; AGE OF LEASE UNKNOWN.                       </t>
  </si>
  <si>
    <t xml:space="preserve">01202-00-129-000 </t>
  </si>
  <si>
    <t xml:space="preserve">5601   STAPLETON N          DR</t>
  </si>
  <si>
    <t xml:space="preserve">S-T WHSE.; AGE OF LEASE UNKNOWN.                                  </t>
  </si>
  <si>
    <t xml:space="preserve">01202-00-131-000 </t>
  </si>
  <si>
    <t xml:space="preserve">4621   MONACO               PK</t>
  </si>
  <si>
    <t xml:space="preserve">S-W ACME MANUF.     </t>
  </si>
  <si>
    <t xml:space="preserve">01203-00-048-000 </t>
  </si>
  <si>
    <t xml:space="preserve">5700 E 39TH                 AV</t>
  </si>
  <si>
    <t xml:space="preserve">S-T WHSE.; MAY BE OWNER-OCCUPIED BUT HAS LEASE DATA STATED.       </t>
  </si>
  <si>
    <t xml:space="preserve">01203-00-081-000 </t>
  </si>
  <si>
    <t xml:space="preserve">3930   HOLLY                ST</t>
  </si>
  <si>
    <t xml:space="preserve">M-T WHSE; 2 TENANTS.                                              </t>
  </si>
  <si>
    <t xml:space="preserve">01203-00-126-000 </t>
  </si>
  <si>
    <t xml:space="preserve">3837   MONACO               PY</t>
  </si>
  <si>
    <t xml:space="preserve">01203-00-127-000 </t>
  </si>
  <si>
    <t xml:space="preserve">6363 E 38TH                 AV</t>
  </si>
  <si>
    <t xml:space="preserve">S-W ABC DIE COMPANY </t>
  </si>
  <si>
    <t xml:space="preserve">S-T WHSE,; 2006 LEASE.                                            </t>
  </si>
  <si>
    <t xml:space="preserve">01203-00-174-000 </t>
  </si>
  <si>
    <t xml:space="preserve">6490   SMITH                RD</t>
  </si>
  <si>
    <t xml:space="preserve">S-T WHSE.; 2004 LEASE; SOME EXPENSES EXCLUDED - EXCESSIVE.        </t>
  </si>
  <si>
    <t xml:space="preserve">01203-00-175-000 </t>
  </si>
  <si>
    <t xml:space="preserve">6489   39TH                 AV</t>
  </si>
  <si>
    <t xml:space="preserve">DENVER TENT COMPANY </t>
  </si>
  <si>
    <t xml:space="preserve">S-T WHSE.; 2005 LEASE; SOME EXPENSES EXCLUDED DUE TO EXCESSIVE AMT</t>
  </si>
  <si>
    <t xml:space="preserve">01203-00-176-000 </t>
  </si>
  <si>
    <t xml:space="preserve">3925   MONACO               ST</t>
  </si>
  <si>
    <t xml:space="preserve">M-W ATLANTIC WEST FL</t>
  </si>
  <si>
    <t xml:space="preserve">M-T WHSE.; 2 TENANTS; SOME EXPENSES EXCLUDED DUE TO EXCESSIVE.    </t>
  </si>
  <si>
    <t xml:space="preserve">01204-15-005-000 </t>
  </si>
  <si>
    <t xml:space="preserve">6880   SMITH                RD</t>
  </si>
  <si>
    <t xml:space="preserve">SHOWCASE LANDSCAPE  </t>
  </si>
  <si>
    <t xml:space="preserve">8025 E 40TH                 AV</t>
  </si>
  <si>
    <t xml:space="preserve">M-T WHSE; 3 UNITS; LEASES 1997 &amp; 2008.                            </t>
  </si>
  <si>
    <t xml:space="preserve">01231-00-056-000 </t>
  </si>
  <si>
    <t xml:space="preserve">4665   PARIS                ST</t>
  </si>
  <si>
    <t xml:space="preserve">CT&amp;E MAJOR TENANT   </t>
  </si>
  <si>
    <t xml:space="preserve">M-T WHSE.; 8 TENANTS; LEASES 1998 - 2007.                         </t>
  </si>
  <si>
    <t xml:space="preserve">M-T WHSE.; 4 TENANTS; LEASES 2006 - 2008.                         </t>
  </si>
  <si>
    <t xml:space="preserve">01232-00-054-000</t>
  </si>
  <si>
    <t xml:space="preserve">4600 HAVANA               ST</t>
  </si>
  <si>
    <t xml:space="preserve">Office Depot Whse.</t>
  </si>
  <si>
    <t xml:space="preserve">01232-02-007-000 </t>
  </si>
  <si>
    <t xml:space="preserve">11075 E 47TH                 AV</t>
  </si>
  <si>
    <t xml:space="preserve">DAFFY APPLES        </t>
  </si>
  <si>
    <t xml:space="preserve">S-T WHSE; LEASE DATES FROM 2004.                                  </t>
  </si>
  <si>
    <t xml:space="preserve">01232-03-003-000 </t>
  </si>
  <si>
    <t xml:space="preserve">11095 E 45TH                 AV</t>
  </si>
  <si>
    <t xml:space="preserve">01232-04-007-000 </t>
  </si>
  <si>
    <t xml:space="preserve">4690   KINGSTON             ST</t>
  </si>
  <si>
    <t xml:space="preserve">S-T WHSE.; REFERENCE TO HOA FEES BUT NOT SHOWN AS CONDO.          </t>
  </si>
  <si>
    <t xml:space="preserve">01232-07-018-000 </t>
  </si>
  <si>
    <t xml:space="preserve">10777 E 45TH                 AV</t>
  </si>
  <si>
    <t xml:space="preserve">SCOTT SYSTEMS       </t>
  </si>
  <si>
    <t xml:space="preserve">M-T INDUSTRIAL BLDG.; LEASES 2004-2007; 3 TENANTS.                </t>
  </si>
  <si>
    <t xml:space="preserve">01233-00-016-000 </t>
  </si>
  <si>
    <t xml:space="preserve">10700 E 40TH                 AV</t>
  </si>
  <si>
    <t xml:space="preserve">DENVER INTERMODAL EX</t>
  </si>
  <si>
    <t xml:space="preserve">S-T WHSE; 2006 LEASE.                                             </t>
  </si>
  <si>
    <t xml:space="preserve">11200 E 40TH                 AV</t>
  </si>
  <si>
    <t xml:space="preserve">01233-00-046-000 </t>
  </si>
  <si>
    <t xml:space="preserve">3990   HAVANA               ST</t>
  </si>
  <si>
    <t xml:space="preserve">RIO GRANDE BLDG MAT </t>
  </si>
  <si>
    <t xml:space="preserve">S-T INDUSTRIAL BLDG.; LEASE DATES FROM 2003.                      </t>
  </si>
  <si>
    <t xml:space="preserve">3891   PARIS                ST</t>
  </si>
  <si>
    <t xml:space="preserve">S-T WHSE.; LEASE DATES FROM 2004                                  </t>
  </si>
  <si>
    <t xml:space="preserve">M-T WHSE.; 3 TENANTS; LEASES 2005 - 2007.                         </t>
  </si>
  <si>
    <t xml:space="preserve">01234-01-015-000 </t>
  </si>
  <si>
    <t xml:space="preserve">3835   PARIS                ST</t>
  </si>
  <si>
    <t xml:space="preserve">M-T WHSE; 2 TENANTS; AGE OF LEASE UNKNOWN.                        </t>
  </si>
  <si>
    <t xml:space="preserve">01242-02-001-000</t>
  </si>
  <si>
    <t xml:space="preserve">12330-360 E 46TH AV</t>
  </si>
  <si>
    <t xml:space="preserve">B4</t>
  </si>
  <si>
    <t xml:space="preserve">Peoria Business Park</t>
  </si>
  <si>
    <t xml:space="preserve">Includes parcels -002,003</t>
  </si>
  <si>
    <t xml:space="preserve">01242-02-011-000 </t>
  </si>
  <si>
    <t xml:space="preserve">12275 E 45TH                 AV</t>
  </si>
  <si>
    <t xml:space="preserve">01243-00-021-000</t>
  </si>
  <si>
    <t xml:space="preserve">12435-875 E. 42ND AV</t>
  </si>
  <si>
    <t xml:space="preserve">M-T WHSE; 3 TENANTS; LEASES 2005 - 2008.                          </t>
  </si>
  <si>
    <t xml:space="preserve">M-T WHSE.; 2 TENANTS; LEASES 2006 &amp; 2007.                         </t>
  </si>
  <si>
    <t xml:space="preserve">01252-00-089-000 </t>
  </si>
  <si>
    <t xml:space="preserve">12295 E 37TH                 AV</t>
  </si>
  <si>
    <t xml:space="preserve">7.5:1</t>
  </si>
  <si>
    <t xml:space="preserve">ARROW STAGE LINES   </t>
  </si>
  <si>
    <t xml:space="preserve">S-T WHSE.; YR-TO-YR LEASE.                                        </t>
  </si>
  <si>
    <t xml:space="preserve">M-T WHSE.; 2 TENANTS; LEASES 2006-2007.                           </t>
  </si>
  <si>
    <t xml:space="preserve">01252-03-008-000</t>
  </si>
  <si>
    <t xml:space="preserve">12695 E 39th Ave</t>
  </si>
  <si>
    <t xml:space="preserve">i2</t>
  </si>
  <si>
    <t xml:space="preserve">CERTAIN TEED</t>
  </si>
  <si>
    <t xml:space="preserve">BASE LEASE ON 54K SQFT AT $3.25</t>
  </si>
  <si>
    <t xml:space="preserve">01252-03-009-000</t>
  </si>
  <si>
    <t xml:space="preserve">12850 E. 40th Ave</t>
  </si>
  <si>
    <t xml:space="preserve">Intertech</t>
  </si>
  <si>
    <t xml:space="preserve">10 to 15 year old long term leases</t>
  </si>
  <si>
    <t xml:space="preserve">3737   PEORIA               ST</t>
  </si>
  <si>
    <t xml:space="preserve">01261-00-023-000 </t>
  </si>
  <si>
    <t xml:space="preserve">3700   LIMA                 ST</t>
  </si>
  <si>
    <t xml:space="preserve">S-W DELINE BOX      </t>
  </si>
  <si>
    <t xml:space="preserve">01333-27-011-000 </t>
  </si>
  <si>
    <t xml:space="preserve">1521   SYRACUSE             ST</t>
  </si>
  <si>
    <t xml:space="preserve">R1   </t>
  </si>
  <si>
    <t xml:space="preserve">S-D AUTO STORAGE    </t>
  </si>
  <si>
    <t xml:space="preserve">02131-06-008-000 </t>
  </si>
  <si>
    <t xml:space="preserve">5305   ADAMS                ST</t>
  </si>
  <si>
    <t xml:space="preserve">31.7:1</t>
  </si>
  <si>
    <t xml:space="preserve">DIST/CONVERSION     </t>
  </si>
  <si>
    <t xml:space="preserve">5270   STEELE               ST</t>
  </si>
  <si>
    <t xml:space="preserve">S-T WHSE.; MO-TO-MO LEASE                                         </t>
  </si>
  <si>
    <t xml:space="preserve">M-T WHSE; 3 TENANTS; LEASES 2006 &amp; 2007.                          </t>
  </si>
  <si>
    <t xml:space="preserve">02134-00-023-000 </t>
  </si>
  <si>
    <t xml:space="preserve">5000   VASQUEZ              BV</t>
  </si>
  <si>
    <t xml:space="preserve">POWER MOTIVE        </t>
  </si>
  <si>
    <t xml:space="preserve">S-T WHSE.; 2005 LEASE                                             </t>
  </si>
  <si>
    <t xml:space="preserve">02134-00-090-000 </t>
  </si>
  <si>
    <t xml:space="preserve">4901   VASQUEZ              BV</t>
  </si>
  <si>
    <t xml:space="preserve">GOODYEAR TRK ALNMT  </t>
  </si>
  <si>
    <t xml:space="preserve">02134-02-035-000 </t>
  </si>
  <si>
    <t xml:space="preserve">3650 E 50TH                 AV</t>
  </si>
  <si>
    <t xml:space="preserve">S-T WHSE; CHECKED OWNER-OCC BUT HAS 2008 LEASE DATA.              </t>
  </si>
  <si>
    <t xml:space="preserve">02134-02-036-000 </t>
  </si>
  <si>
    <t xml:space="preserve">3625 E 48TH                 AV</t>
  </si>
  <si>
    <t xml:space="preserve">S-T INDUSTRIAL BLDG; LEASE DATES FROM 2002.                       </t>
  </si>
  <si>
    <t xml:space="preserve">4950   WASHINGTON           ST</t>
  </si>
  <si>
    <t xml:space="preserve">PORTION OF OWNER-OCC WHSE; ASSUMED TO BE NET                      </t>
  </si>
  <si>
    <t xml:space="preserve">02143-05-061-000 </t>
  </si>
  <si>
    <t xml:space="preserve">5169   CLARKSON             ST</t>
  </si>
  <si>
    <t xml:space="preserve">MEZA CONSTRUCTION   </t>
  </si>
  <si>
    <t xml:space="preserve">02144-00-110-000 </t>
  </si>
  <si>
    <t xml:space="preserve">5130   FRANKLIN             ST</t>
  </si>
  <si>
    <t xml:space="preserve">02144-04-005-T/B</t>
  </si>
  <si>
    <t xml:space="preserve">4800 RACE ST</t>
  </si>
  <si>
    <t xml:space="preserve">    NNN</t>
  </si>
  <si>
    <t xml:space="preserve">S-T WHSE.; 2005 LEASE; WESTERN WATERPROOFING CO.                  </t>
  </si>
  <si>
    <t xml:space="preserve">M-T WHSE.; 2 TENANTS; LEASES 2005 &amp; 2008.                         </t>
  </si>
  <si>
    <t xml:space="preserve">02154-23-035-000 </t>
  </si>
  <si>
    <t xml:space="preserve">4881   WASHINGTON           ST</t>
  </si>
  <si>
    <t xml:space="preserve">S-T INDUSTRIAL; MO-TO-MO LEASE.                                   </t>
  </si>
  <si>
    <t xml:space="preserve">650 E 49TH                 AV</t>
  </si>
  <si>
    <t xml:space="preserve">02164-09-026-000 </t>
  </si>
  <si>
    <t xml:space="preserve">1440 W 52ND                 AV</t>
  </si>
  <si>
    <t xml:space="preserve">M-T WHSE.; 2 TENANTS.                                             </t>
  </si>
  <si>
    <t xml:space="preserve">02164-09-027-000 </t>
  </si>
  <si>
    <t xml:space="preserve">5120   OSAGE                ST</t>
  </si>
  <si>
    <t xml:space="preserve">4-UNIT WAREHOUSE    </t>
  </si>
  <si>
    <t xml:space="preserve">M-T WHSE; 2 TENANTS; 2005 LEASES.                                 </t>
  </si>
  <si>
    <t xml:space="preserve">02184-17-033-000 </t>
  </si>
  <si>
    <t xml:space="preserve">4955   LOWELL               BV</t>
  </si>
  <si>
    <t xml:space="preserve">S-W SHAWN'S SQUEEGEE</t>
  </si>
  <si>
    <t xml:space="preserve">M-T WHSE.; 3 TENANTS; AGE OF LEASES UNKNOWN.                      </t>
  </si>
  <si>
    <t xml:space="preserve">02211-00-059-059 </t>
  </si>
  <si>
    <t xml:space="preserve">4640   PECOS                ST</t>
  </si>
  <si>
    <t xml:space="preserve">PECOS BUSINESS PLAZA</t>
  </si>
  <si>
    <t xml:space="preserve">WHS CONDO UNIT - S.T.; LEASE 2005?                                </t>
  </si>
  <si>
    <t xml:space="preserve">02211-13-016-000 </t>
  </si>
  <si>
    <t xml:space="preserve">4640   LIPAN                ST</t>
  </si>
  <si>
    <t xml:space="preserve">S-T WHSE.; MO-TO-MO LEASE.                                        </t>
  </si>
  <si>
    <t xml:space="preserve">02211-16-021-000 </t>
  </si>
  <si>
    <t xml:space="preserve">4535   JASON                ST</t>
  </si>
  <si>
    <t xml:space="preserve">FRONTRANGE REST.SUPP</t>
  </si>
  <si>
    <t xml:space="preserve">02211-21-014-000 </t>
  </si>
  <si>
    <t xml:space="preserve">4455   JASON                ST</t>
  </si>
  <si>
    <t xml:space="preserve">IMAGO GLOBAL COMM   </t>
  </si>
  <si>
    <t xml:space="preserve">M-T RETAIL; 2 TENANTS; YR-TO-YR LEASE.                            </t>
  </si>
  <si>
    <t xml:space="preserve">4414   JASON                ST</t>
  </si>
  <si>
    <t xml:space="preserve">4101   INCA                 ST</t>
  </si>
  <si>
    <t xml:space="preserve">M-T WHSE; 3 TENANTS; YR-TO-YR LEASES.                             </t>
  </si>
  <si>
    <t xml:space="preserve">3850   MARIPOSA             ST</t>
  </si>
  <si>
    <t xml:space="preserve">M-T WHSE. 3 TENANTS; LEASES 2004 - 2008.                          </t>
  </si>
  <si>
    <t xml:space="preserve">02214-47-016-000 </t>
  </si>
  <si>
    <t xml:space="preserve">3819   INCA                 ST</t>
  </si>
  <si>
    <t xml:space="preserve">M-T WHSE; 2 TENANTS; LEASES 2000,2004.                            </t>
  </si>
  <si>
    <t xml:space="preserve">02221-01-012-000 </t>
  </si>
  <si>
    <t xml:space="preserve">4801   WASHINGTON           ST</t>
  </si>
  <si>
    <t xml:space="preserve">S-W POOR BOY AUTO   </t>
  </si>
  <si>
    <t xml:space="preserve">02222-00-048-000 </t>
  </si>
  <si>
    <t xml:space="preserve">301 W 45TH                 AV</t>
  </si>
  <si>
    <t xml:space="preserve">ENV'RNMNTAL DEMO'LTN</t>
  </si>
  <si>
    <t xml:space="preserve">02222-00-063-000 </t>
  </si>
  <si>
    <t xml:space="preserve">750 W 48TH                 AV</t>
  </si>
  <si>
    <t xml:space="preserve">S-D AAA WATERPROOFNG</t>
  </si>
  <si>
    <t xml:space="preserve">02223-12-018-000 </t>
  </si>
  <si>
    <t xml:space="preserve">4200   FOX                  ST</t>
  </si>
  <si>
    <t xml:space="preserve">M-T WHSE.; 2 TENANTS; 2006 LEASE.                                 </t>
  </si>
  <si>
    <t xml:space="preserve">02223-25-012-012 </t>
  </si>
  <si>
    <t xml:space="preserve">4001   ELATI                ST</t>
  </si>
  <si>
    <t xml:space="preserve">CLINICA TEPEYAC     </t>
  </si>
  <si>
    <t xml:space="preserve">S-T WHSE CONDO UNIT.                                              </t>
  </si>
  <si>
    <t xml:space="preserve">02223-26-019-000 </t>
  </si>
  <si>
    <t xml:space="preserve">3990   FOX                  ST</t>
  </si>
  <si>
    <t xml:space="preserve">S-W HUWA SALES &amp; SER</t>
  </si>
  <si>
    <t xml:space="preserve">S-T WHSE; ONE YEAR LEASE FOR 2007, APPARENTLY OWNER-OCC 2008.     </t>
  </si>
  <si>
    <t xml:space="preserve">02224-03-017-000 </t>
  </si>
  <si>
    <t xml:space="preserve">4398   BROADWAY             ST</t>
  </si>
  <si>
    <t xml:space="preserve">DAN'S W'LDNG &amp;REPAIR</t>
  </si>
  <si>
    <t xml:space="preserve">02224-03-026-000 </t>
  </si>
  <si>
    <t xml:space="preserve">4330   BROADWAY             ST</t>
  </si>
  <si>
    <t xml:space="preserve">ROCKY MTN. BATTERY  </t>
  </si>
  <si>
    <t xml:space="preserve">S.T.WHSE; AGE OF LEASE UNKNOWN                                    </t>
  </si>
  <si>
    <t xml:space="preserve">02231-07-011-000 </t>
  </si>
  <si>
    <t xml:space="preserve">1717 E 47TH                 AV</t>
  </si>
  <si>
    <t xml:space="preserve">PEAK COACH WORKS    </t>
  </si>
  <si>
    <t xml:space="preserve">S.T WHSE                                                          </t>
  </si>
  <si>
    <t xml:space="preserve">02232-00-219-000 </t>
  </si>
  <si>
    <t xml:space="preserve">4303   BRIGHTON             BV</t>
  </si>
  <si>
    <t xml:space="preserve">FORNEY MUSEUM       </t>
  </si>
  <si>
    <t xml:space="preserve">M-T WHSE; 3 TENANTS; AGE OF LEASES UNKNOWN.                       </t>
  </si>
  <si>
    <t xml:space="preserve">02234-00-047-000 </t>
  </si>
  <si>
    <t xml:space="preserve">3801   RACE                 ST</t>
  </si>
  <si>
    <t xml:space="preserve">ST WHSE; 2003 LEASE                                               </t>
  </si>
  <si>
    <t xml:space="preserve">02234-03-001-000 </t>
  </si>
  <si>
    <t xml:space="preserve">1806 E 40TH                 AV</t>
  </si>
  <si>
    <t xml:space="preserve">ST INDUSTRIAL BLDG; DATE OF LEASE UNKNOWN.                        </t>
  </si>
  <si>
    <t xml:space="preserve">02234-05-003-000 </t>
  </si>
  <si>
    <t xml:space="preserve">3939   WILLIAMS             ST</t>
  </si>
  <si>
    <t xml:space="preserve">02241-05-014-000 </t>
  </si>
  <si>
    <t xml:space="preserve">3538 E 46TH                 AV</t>
  </si>
  <si>
    <t xml:space="preserve">11.2:1</t>
  </si>
  <si>
    <t xml:space="preserve">02241-25-018-000 </t>
  </si>
  <si>
    <t xml:space="preserve">4625   COLORADO             BL</t>
  </si>
  <si>
    <t xml:space="preserve">M-T WHSE; 2 TENANTS; LEASES 2005 &amp; 2007.                          </t>
  </si>
  <si>
    <t xml:space="preserve">02243-02-014-000 </t>
  </si>
  <si>
    <t xml:space="preserve">3029 E 42ND                 AV</t>
  </si>
  <si>
    <t xml:space="preserve">WESTERN BELTING CO  </t>
  </si>
  <si>
    <t xml:space="preserve">S-T WHSE; CHECK OWNER-OCC BUT STATES 3 YR LEASE BEGINNING IN 2007 </t>
  </si>
  <si>
    <t xml:space="preserve">M-T WHSE; 3 TENANTS; ONLY 2008 LEASE ENCODED.                     </t>
  </si>
  <si>
    <t xml:space="preserve">4242   ELIZABETH            ST</t>
  </si>
  <si>
    <t xml:space="preserve">S-T INDUSTRIAL BLDG; AGE OF LEASE UNKNOWN.                        </t>
  </si>
  <si>
    <t xml:space="preserve">02243-06-012-000 </t>
  </si>
  <si>
    <t xml:space="preserve">2640 E 43RD                 AV</t>
  </si>
  <si>
    <t xml:space="preserve">S-D COLO REFACING &amp; </t>
  </si>
  <si>
    <t xml:space="preserve">02244-16-019-000 </t>
  </si>
  <si>
    <t xml:space="preserve">4100   JACKSON              ST</t>
  </si>
  <si>
    <t xml:space="preserve">UNITED PRINTING EQUI</t>
  </si>
  <si>
    <t xml:space="preserve">02244-16-021-000 </t>
  </si>
  <si>
    <t xml:space="preserve">4140   JACKSON              ST</t>
  </si>
  <si>
    <t xml:space="preserve">CAP AIRFREIGHT      </t>
  </si>
  <si>
    <t xml:space="preserve">S-T WHSE; 2006 LEASE                                              </t>
  </si>
  <si>
    <t xml:space="preserve">02244-16-024-000 </t>
  </si>
  <si>
    <t xml:space="preserve">4120   JACKSON              ST</t>
  </si>
  <si>
    <t xml:space="preserve">M-T WHSE.; 2 TENANTS; 2005 LEASES.                                </t>
  </si>
  <si>
    <t xml:space="preserve">02271-06-006-000 </t>
  </si>
  <si>
    <t xml:space="preserve">3726   BRIGHTON             BV</t>
  </si>
  <si>
    <t xml:space="preserve">BIG DOG/IRON HORSE  </t>
  </si>
  <si>
    <t xml:space="preserve">02271-06-039-000 </t>
  </si>
  <si>
    <t xml:space="preserve">3610   BRIGHTON             BV</t>
  </si>
  <si>
    <t xml:space="preserve">A </t>
  </si>
  <si>
    <t xml:space="preserve">S-T INDUSTRIAL; -017,021 INCLUDED=+15625SF LAND;AGE OF LEASE UNK. </t>
  </si>
  <si>
    <t xml:space="preserve">02271-07-021-000 </t>
  </si>
  <si>
    <t xml:space="preserve">3606   DELGANY              ST</t>
  </si>
  <si>
    <t xml:space="preserve">S-W AMERICAN BARRICA</t>
  </si>
  <si>
    <t xml:space="preserve">S-T WHSE; DATE OF LEASE UNKNOWN.                                  </t>
  </si>
  <si>
    <t xml:space="preserve">02271-11-021-000 </t>
  </si>
  <si>
    <t xml:space="preserve">3537   DELGANY              ST</t>
  </si>
  <si>
    <t xml:space="preserve">WHSE STORAGE        </t>
  </si>
  <si>
    <t xml:space="preserve">02271-12-028-000 </t>
  </si>
  <si>
    <t xml:space="preserve">3515   BRIGHTON             BV</t>
  </si>
  <si>
    <t xml:space="preserve">S-T INDUSTRIAL BLDG.; 2004 LEASE.                                 </t>
  </si>
  <si>
    <t xml:space="preserve">M-T WHSE.; EST. 7 TENANTS; MAY INCLUDE PCL -030.                  </t>
  </si>
  <si>
    <t xml:space="preserve">02271-13-027-000 </t>
  </si>
  <si>
    <t xml:space="preserve">3554   BRIGHTON             BV</t>
  </si>
  <si>
    <t xml:space="preserve">4.7:1</t>
  </si>
  <si>
    <t xml:space="preserve">S-W  DLM STG YARD   </t>
  </si>
  <si>
    <t xml:space="preserve">SELF-STORAGE FACILITY.                                            </t>
  </si>
  <si>
    <t xml:space="preserve">02271-20-021-000 </t>
  </si>
  <si>
    <t xml:space="preserve">3401   BLAKE                ST</t>
  </si>
  <si>
    <t xml:space="preserve">NEOSOURCE           </t>
  </si>
  <si>
    <t xml:space="preserve">S-T INDUSTRIAL BLDG.; LEASE DATES FROM 2004.                      </t>
  </si>
  <si>
    <t xml:space="preserve">02271-22-011-000 </t>
  </si>
  <si>
    <t xml:space="preserve">3435   WYNKOOP              ST</t>
  </si>
  <si>
    <t xml:space="preserve">M-T WHSE; 2 TENANTS INCLUDING OWNER.                              </t>
  </si>
  <si>
    <t xml:space="preserve">S-T INDUSTRIAL BLDG.; 2005 LEASE.                                 </t>
  </si>
  <si>
    <t xml:space="preserve">02271-23-013-000 </t>
  </si>
  <si>
    <t xml:space="preserve">3403   BRIGHTON             BV</t>
  </si>
  <si>
    <t xml:space="preserve">20.0:1</t>
  </si>
  <si>
    <t xml:space="preserve">CENTRAL FOREIGN AUTO</t>
  </si>
  <si>
    <t xml:space="preserve">S-T WHSE.; CENTRAL FOREIGN AUTO PARTS; AGE OF LEASE UNKNOWN.      </t>
  </si>
  <si>
    <t xml:space="preserve">02271-28-008-000 </t>
  </si>
  <si>
    <t xml:space="preserve">3305   LARIMER              ST</t>
  </si>
  <si>
    <t xml:space="preserve">02273-00-088-000 </t>
  </si>
  <si>
    <t xml:space="preserve">2100   31ST                 ST</t>
  </si>
  <si>
    <t xml:space="preserve">DIST. FED EX BLDG   </t>
  </si>
  <si>
    <t xml:space="preserve">S-T WHSE.; FEDERAL EXPRESS; LEASES DATES FROM 2004.               </t>
  </si>
  <si>
    <t xml:space="preserve">3150   BRIGHTON             BV</t>
  </si>
  <si>
    <t xml:space="preserve">S-T WHSE.; LEASE DATES FROM 2004.                                 </t>
  </si>
  <si>
    <t xml:space="preserve">02275-00-032-000 </t>
  </si>
  <si>
    <t xml:space="preserve">2950   ARKINS               CT</t>
  </si>
  <si>
    <t xml:space="preserve">S-M MANUFACTURING   </t>
  </si>
  <si>
    <t xml:space="preserve">S-T INDUSTRIAL BLDG.; AGE OF LEASE UNKNOWN.                       </t>
  </si>
  <si>
    <t xml:space="preserve">02275-00-053-000 </t>
  </si>
  <si>
    <t xml:space="preserve">1855   29TH                 ST</t>
  </si>
  <si>
    <t xml:space="preserve">02275-07-026-000 </t>
  </si>
  <si>
    <t xml:space="preserve">3060   WALNUT               ST</t>
  </si>
  <si>
    <t xml:space="preserve">M-T WHSE.; 2 TENANTS                                              </t>
  </si>
  <si>
    <t xml:space="preserve">02275-07-027-000 </t>
  </si>
  <si>
    <t xml:space="preserve">3033   LARIMER              ST</t>
  </si>
  <si>
    <t xml:space="preserve">EXPENSES DERIVED FROM THE COMBINED EXPENSE W/ADJ OFFICE AND ARE HI</t>
  </si>
  <si>
    <t xml:space="preserve">02275-15-017-000 </t>
  </si>
  <si>
    <t xml:space="preserve">2851   WALNUT               ST</t>
  </si>
  <si>
    <t xml:space="preserve">MANUF-ALLYN-HOWARD  </t>
  </si>
  <si>
    <t xml:space="preserve">02275-15-018-000 </t>
  </si>
  <si>
    <t xml:space="preserve">2861   WALNUT               ST</t>
  </si>
  <si>
    <t xml:space="preserve">S-T WHSE.; LEASE DATES FROM 2003.                                 </t>
  </si>
  <si>
    <t xml:space="preserve">2501   BLAKE                ST</t>
  </si>
  <si>
    <t xml:space="preserve">02277-03-008-000 </t>
  </si>
  <si>
    <t xml:space="preserve">2763   BLAKE                ST</t>
  </si>
  <si>
    <t xml:space="preserve">WILFLEY &amp; SONS, INC </t>
  </si>
  <si>
    <t xml:space="preserve">02277-06-008-000 </t>
  </si>
  <si>
    <t xml:space="preserve">2600   WALNUT               ST</t>
  </si>
  <si>
    <t xml:space="preserve">CUSTOM CORNED BEEF  </t>
  </si>
  <si>
    <t xml:space="preserve">02277-07-020-000 </t>
  </si>
  <si>
    <t xml:space="preserve">2536   WALNUT               ST</t>
  </si>
  <si>
    <t xml:space="preserve">MANN ORIENTAL RUGS  </t>
  </si>
  <si>
    <t xml:space="preserve">02278-17-022-000 </t>
  </si>
  <si>
    <t xml:space="preserve">2010   DELGANY              ST</t>
  </si>
  <si>
    <t xml:space="preserve">LIGHT BULB SUPPLY CO</t>
  </si>
  <si>
    <t xml:space="preserve">02281-00-057-000 </t>
  </si>
  <si>
    <t xml:space="preserve">3500   ROCKMONT             DR</t>
  </si>
  <si>
    <t xml:space="preserve">S-W MAIL-WELL ENVPLE</t>
  </si>
  <si>
    <t xml:space="preserve">02281-04-011-000 </t>
  </si>
  <si>
    <t xml:space="preserve">1200 W 38TH                 AV</t>
  </si>
  <si>
    <t xml:space="preserve">S-F FANTASY IN IRON </t>
  </si>
  <si>
    <t xml:space="preserve">S-T WHSE.; RENTED MO-TO-MO.                                       </t>
  </si>
  <si>
    <t xml:space="preserve">02281-14-029-000 </t>
  </si>
  <si>
    <t xml:space="preserve">1101 W 36TH                 AV</t>
  </si>
  <si>
    <t xml:space="preserve">GROUNDS SERVICE CO  </t>
  </si>
  <si>
    <t xml:space="preserve">02281-27-022-000 </t>
  </si>
  <si>
    <t xml:space="preserve">3445   LIPAN                ST</t>
  </si>
  <si>
    <t xml:space="preserve">RKY MTN BLUEPRINT   </t>
  </si>
  <si>
    <t xml:space="preserve">02281-31-031-000 </t>
  </si>
  <si>
    <t xml:space="preserve">3333   MARIPOSA             ST</t>
  </si>
  <si>
    <t xml:space="preserve">02294-23-026-000 </t>
  </si>
  <si>
    <t xml:space="preserve">2727 W 27TH                 AV</t>
  </si>
  <si>
    <t xml:space="preserve">M-T WHSE; 2-TENANTS; LEASES 2005 &amp; 2008.                          </t>
  </si>
  <si>
    <t xml:space="preserve">02294-25-002-000 </t>
  </si>
  <si>
    <t xml:space="preserve">2536 W 28TH                 AV</t>
  </si>
  <si>
    <t xml:space="preserve">S-W DVH COMPANY     </t>
  </si>
  <si>
    <t xml:space="preserve">02313-11-037-000 </t>
  </si>
  <si>
    <t xml:space="preserve">1517   TENNYSON             ST</t>
  </si>
  <si>
    <t xml:space="preserve">S-T WHSE.; LEASE DETAILS UNKNOWN.                                 </t>
  </si>
  <si>
    <t xml:space="preserve">02321-33-022-000 </t>
  </si>
  <si>
    <t xml:space="preserve">2021   BRYANT               ST</t>
  </si>
  <si>
    <t xml:space="preserve">02321-33-039-000 </t>
  </si>
  <si>
    <t xml:space="preserve">2030   CLAY                 ST</t>
  </si>
  <si>
    <t xml:space="preserve">02322-13-012-000 </t>
  </si>
  <si>
    <t xml:space="preserve">3021 W 23RD                 AV</t>
  </si>
  <si>
    <t xml:space="preserve">M-T WHSE; 2 UNITS; APPARENTLY NO LEASE, JUST RENT PAYMENTS.       </t>
  </si>
  <si>
    <t xml:space="preserve">S-T WHSE.; NO DETAIL KNOWN ABOUT LEASE.                           </t>
  </si>
  <si>
    <t xml:space="preserve">02342-22-019-000 </t>
  </si>
  <si>
    <t xml:space="preserve">2265   LAWRENCE             ST</t>
  </si>
  <si>
    <t xml:space="preserve">IRELAND'S FINEST, IN</t>
  </si>
  <si>
    <t xml:space="preserve">S-T WHSE; LEASE DETAILS UNKNOWN.                                  </t>
  </si>
  <si>
    <t xml:space="preserve">02342-32-037-037 </t>
  </si>
  <si>
    <t xml:space="preserve">2134   CURTIS               ST</t>
  </si>
  <si>
    <t xml:space="preserve">DWNTWN DNVR STORAGE </t>
  </si>
  <si>
    <t xml:space="preserve">M-T WHSE; 2 TENANTS; LEASES 2003 &amp; 2006.                          </t>
  </si>
  <si>
    <t xml:space="preserve">02342-36-013-000 </t>
  </si>
  <si>
    <t xml:space="preserve">2017   LAWRENCE             ST</t>
  </si>
  <si>
    <t xml:space="preserve">S-T WHSE.; LEASE BEGAN IN 2001.                                   </t>
  </si>
  <si>
    <t xml:space="preserve">02342-38-003-000 </t>
  </si>
  <si>
    <t xml:space="preserve">2042   ARAPAHOE             ST</t>
  </si>
  <si>
    <t xml:space="preserve">05022-02-023-000 </t>
  </si>
  <si>
    <t xml:space="preserve">1415   HUMBOLDT             ST</t>
  </si>
  <si>
    <t xml:space="preserve">R3   </t>
  </si>
  <si>
    <t xml:space="preserve">M-T WHSE.; EST. 8 163 SF UNITS; YR-TO-YR RENTS;MAKESHIFT MINI-STG.</t>
  </si>
  <si>
    <t xml:space="preserve">05035-14-025-000 </t>
  </si>
  <si>
    <t xml:space="preserve">1039   INCA                 ST</t>
  </si>
  <si>
    <t xml:space="preserve">S-F TEAM A.T.E.     </t>
  </si>
  <si>
    <t xml:space="preserve">S-T WHSE; INTRA-CORPORATE LEASE BUT APPEARS TO BE MARKET LEVEL.   </t>
  </si>
  <si>
    <t xml:space="preserve">05036-30-007-000 </t>
  </si>
  <si>
    <t xml:space="preserve">652   SANTA FE             DR</t>
  </si>
  <si>
    <t xml:space="preserve">S-M                 </t>
  </si>
  <si>
    <t xml:space="preserve">05039-08-002-000 </t>
  </si>
  <si>
    <t xml:space="preserve">200 E 7TH                  AV</t>
  </si>
  <si>
    <t xml:space="preserve">S-T INDUSTRIAL BLDG.; INTRA-CORP LEASE BUT APPEARS TO BE MARKET.  </t>
  </si>
  <si>
    <t xml:space="preserve">05042-00-040-000 </t>
  </si>
  <si>
    <t xml:space="preserve">1600 W COLFAX               AV</t>
  </si>
  <si>
    <t xml:space="preserve">S-T WHSE; 2004 LEASE.                                             </t>
  </si>
  <si>
    <t xml:space="preserve">05042-03-004-000 </t>
  </si>
  <si>
    <t xml:space="preserve">2000 W COLFAX               AV</t>
  </si>
  <si>
    <t xml:space="preserve">UHAUL               </t>
  </si>
  <si>
    <t xml:space="preserve">05042-04-063-000 </t>
  </si>
  <si>
    <t xml:space="preserve">1957 W 14TH                 AV</t>
  </si>
  <si>
    <t xml:space="preserve">S-T WHSE.; YR-TO-YR LEASE BEGUN IN 1997.                          </t>
  </si>
  <si>
    <t xml:space="preserve">05042-09-008-000 </t>
  </si>
  <si>
    <t xml:space="preserve">1340   UMATILLA             ST</t>
  </si>
  <si>
    <t xml:space="preserve">CEI ROOFING(STG)    </t>
  </si>
  <si>
    <t xml:space="preserve">1950 W 14TH                 AV</t>
  </si>
  <si>
    <t xml:space="preserve">05042-10-051-000 </t>
  </si>
  <si>
    <t xml:space="preserve">1380   ZUNI                 ST</t>
  </si>
  <si>
    <t xml:space="preserve">05042-18-015-000 </t>
  </si>
  <si>
    <t xml:space="preserve">1221   PECOS                ST</t>
  </si>
  <si>
    <t xml:space="preserve">05042-19-007-000 </t>
  </si>
  <si>
    <t xml:space="preserve">1245   QUIVAS               ST</t>
  </si>
  <si>
    <t xml:space="preserve">7.2:1</t>
  </si>
  <si>
    <t xml:space="preserve">S-F ERICKSON MONUMEN</t>
  </si>
  <si>
    <t xml:space="preserve">S-T INDUSTRIAL BLDG.; 2006 LEASE.                                 </t>
  </si>
  <si>
    <t xml:space="preserve">05042-23-008-000 </t>
  </si>
  <si>
    <t xml:space="preserve">1250   ZUNI                 ST</t>
  </si>
  <si>
    <t xml:space="preserve">CENTER RENTAL &amp;SALES</t>
  </si>
  <si>
    <t xml:space="preserve">05043-22-044-000 </t>
  </si>
  <si>
    <t xml:space="preserve">955   ZUNI                 ST</t>
  </si>
  <si>
    <t xml:space="preserve">S-T WHSE; MO-TO-MO LEASE.                                         </t>
  </si>
  <si>
    <t xml:space="preserve">05044-12-026-000 </t>
  </si>
  <si>
    <t xml:space="preserve">937   SANTA FE             DR</t>
  </si>
  <si>
    <t xml:space="preserve">WHSE FURNITURE SHOP </t>
  </si>
  <si>
    <t xml:space="preserve">05044-18-043-000 </t>
  </si>
  <si>
    <t xml:space="preserve">719   MARIPOSA             ST</t>
  </si>
  <si>
    <t xml:space="preserve">DENVER DOJO SELF DEF</t>
  </si>
  <si>
    <t xml:space="preserve">M-T WHSE.; 2 TENANTS; LEASES 2005 &amp; 2006.                         </t>
  </si>
  <si>
    <t xml:space="preserve">05044-18-044-000 </t>
  </si>
  <si>
    <t xml:space="preserve">717   MARIPOSA             ST</t>
  </si>
  <si>
    <t xml:space="preserve">S-W COLO INTERIORS  </t>
  </si>
  <si>
    <t xml:space="preserve">M-T WHSE; 2 TENANTS; LEASE DATES UNKNOWN.                         </t>
  </si>
  <si>
    <t xml:space="preserve">05044-19-040-000 </t>
  </si>
  <si>
    <t xml:space="preserve">717   LIPAN                ST</t>
  </si>
  <si>
    <t xml:space="preserve">M-T WHSE; 2 TENANTS; 2006 LEASE.                                  </t>
  </si>
  <si>
    <t xml:space="preserve">05044-23-035-000 </t>
  </si>
  <si>
    <t xml:space="preserve">680   LIPAN                ST</t>
  </si>
  <si>
    <t xml:space="preserve">JEBCO HTG &amp; AC      </t>
  </si>
  <si>
    <t xml:space="preserve">05053-17-023-000 </t>
  </si>
  <si>
    <t xml:space="preserve">969   FEDERAL              BV</t>
  </si>
  <si>
    <t xml:space="preserve">M-T WHSE; 2 TENANTS; 2005 &amp; 2006 LEASES.                          </t>
  </si>
  <si>
    <t xml:space="preserve">05054-01-032-000 </t>
  </si>
  <si>
    <t xml:space="preserve">2715 W HOLDEN               PL</t>
  </si>
  <si>
    <t xml:space="preserve">05054-20-019-000 </t>
  </si>
  <si>
    <t xml:space="preserve">860   BRYANT               ST</t>
  </si>
  <si>
    <t xml:space="preserve">M-T WHSE.; 3 TENANTS; LEASES 2006 - 2008.                         </t>
  </si>
  <si>
    <t xml:space="preserve">05054-21-031-000 </t>
  </si>
  <si>
    <t xml:space="preserve">2740 W 9TH                  AV</t>
  </si>
  <si>
    <t xml:space="preserve">TENANCY &amp; LEASE DATES UNKNOWN; OP STATEMENT ONLY.                 </t>
  </si>
  <si>
    <t xml:space="preserve">05054-24-008-000 </t>
  </si>
  <si>
    <t xml:space="preserve">2600 W BARBERRY             PL</t>
  </si>
  <si>
    <t xml:space="preserve">S-W MILE HIGH SUPPLY</t>
  </si>
  <si>
    <t xml:space="preserve">2605 W 8TH                  AV</t>
  </si>
  <si>
    <t xml:space="preserve">S-T WHSE.; 2005 LEASE - 20 YR LEASE; VACATED BY 2008.             </t>
  </si>
  <si>
    <t xml:space="preserve">05054-24-030-000 </t>
  </si>
  <si>
    <t xml:space="preserve">2625 W 8TH                  AV</t>
  </si>
  <si>
    <t xml:space="preserve">FASTER MOTORCYCLE   </t>
  </si>
  <si>
    <t xml:space="preserve">S-T WHSE.; 01/08 LEASE; VACATED BY 06/08.                         </t>
  </si>
  <si>
    <t xml:space="preserve">05066-00-128-000</t>
  </si>
  <si>
    <t xml:space="preserve">680 Sheridan Blvd.</t>
  </si>
  <si>
    <t xml:space="preserve">Public Storage</t>
  </si>
  <si>
    <t xml:space="preserve">05081-03-017-000 </t>
  </si>
  <si>
    <t xml:space="preserve">2943 W 7TH                  AV</t>
  </si>
  <si>
    <t xml:space="preserve">S-W SHELLS PRINTING </t>
  </si>
  <si>
    <t xml:space="preserve">05081-13-002-000 </t>
  </si>
  <si>
    <t xml:space="preserve">2650 W 6TH                  AV</t>
  </si>
  <si>
    <t xml:space="preserve">GAME EXCHNGE OF COLO</t>
  </si>
  <si>
    <t xml:space="preserve">M-T WHSE.; 4 TENANTS INCL OWNER; AGE OF LEASES UNKNOWN.           </t>
  </si>
  <si>
    <t xml:space="preserve">05083-33-010-000 </t>
  </si>
  <si>
    <t xml:space="preserve">105   FEDERAL              BV</t>
  </si>
  <si>
    <t xml:space="preserve">S-W VACANT          </t>
  </si>
  <si>
    <t xml:space="preserve">05084-00-025-000 </t>
  </si>
  <si>
    <t xml:space="preserve">2395 W 2ND                  AV</t>
  </si>
  <si>
    <t xml:space="preserve">BARNONESS WINES     </t>
  </si>
  <si>
    <t xml:space="preserve">05084-00-044-000 </t>
  </si>
  <si>
    <t xml:space="preserve">2505 W 2ND                  AV</t>
  </si>
  <si>
    <t xml:space="preserve">MW 16 UNITS         </t>
  </si>
  <si>
    <t xml:space="preserve">DATE OF LEASE &amp; # OF TENANTS UNKNOWN.                             </t>
  </si>
  <si>
    <t xml:space="preserve">05084-00-052-000 </t>
  </si>
  <si>
    <t xml:space="preserve">210   BRYANT               ST</t>
  </si>
  <si>
    <t xml:space="preserve">05084-00-053-000 </t>
  </si>
  <si>
    <t xml:space="preserve">2695 W 3RD                  AV</t>
  </si>
  <si>
    <t xml:space="preserve">05084-04-017-000 </t>
  </si>
  <si>
    <t xml:space="preserve">2737 W 2ND                  AV</t>
  </si>
  <si>
    <t xml:space="preserve">05084-09-037-037 </t>
  </si>
  <si>
    <t xml:space="preserve">BRYANT ST CONDO #102</t>
  </si>
  <si>
    <t xml:space="preserve">S-T WHSE. CONDO.                                                  </t>
  </si>
  <si>
    <t xml:space="preserve">05091-00-003-000 </t>
  </si>
  <si>
    <t xml:space="preserve">577   OSAGE                ST</t>
  </si>
  <si>
    <t xml:space="preserve">1480 W 3RD                  AV</t>
  </si>
  <si>
    <t xml:space="preserve">05091-00-082-000 </t>
  </si>
  <si>
    <t xml:space="preserve">485   OSAGE                ST</t>
  </si>
  <si>
    <t xml:space="preserve">COLO WIRE &amp; CABLE   </t>
  </si>
  <si>
    <t xml:space="preserve">05091-00-133-000 </t>
  </si>
  <si>
    <t xml:space="preserve">275   RIO GRANDE           BV</t>
  </si>
  <si>
    <t xml:space="preserve">DIST/WATER SYSTEMS  </t>
  </si>
  <si>
    <t xml:space="preserve">05091-00-147-000 </t>
  </si>
  <si>
    <t xml:space="preserve">480   OSAGE                ST</t>
  </si>
  <si>
    <t xml:space="preserve">CAL EXPNDED METAL   </t>
  </si>
  <si>
    <t xml:space="preserve">05091-00-150-000 </t>
  </si>
  <si>
    <t xml:space="preserve">1440 W 3RD                  AV</t>
  </si>
  <si>
    <t xml:space="preserve">S-W WATER SYSTEMS   </t>
  </si>
  <si>
    <t xml:space="preserve">525   SANTA FE             DR</t>
  </si>
  <si>
    <t xml:space="preserve">TRIPLE NET-2 STORY 8,100 SF OF OFFICE ON 2ND-TWO TENANTS          </t>
  </si>
  <si>
    <t xml:space="preserve">05091-03-047-000 </t>
  </si>
  <si>
    <t xml:space="preserve">925 W 5TH                  AV</t>
  </si>
  <si>
    <t xml:space="preserve">05091-04-037-000 </t>
  </si>
  <si>
    <t xml:space="preserve">550   LIPAN                ST</t>
  </si>
  <si>
    <t xml:space="preserve">HOWELL CONSTRUCTION </t>
  </si>
  <si>
    <t xml:space="preserve">05091-07-022-000 </t>
  </si>
  <si>
    <t xml:space="preserve">425   SANTA FE             DR</t>
  </si>
  <si>
    <t xml:space="preserve">490   SANTA FE             DR</t>
  </si>
  <si>
    <t xml:space="preserve">05091-11-011-000 </t>
  </si>
  <si>
    <t xml:space="preserve">320   SANTA FE             DR</t>
  </si>
  <si>
    <t xml:space="preserve">S-W MNT PRKING EQUIP</t>
  </si>
  <si>
    <t xml:space="preserve">05091-12-026-000 </t>
  </si>
  <si>
    <t xml:space="preserve">357   SANTA FE             DR</t>
  </si>
  <si>
    <t xml:space="preserve">OWNER PAYS TAXES                                                  </t>
  </si>
  <si>
    <t xml:space="preserve">05091-20-029-000 </t>
  </si>
  <si>
    <t xml:space="preserve">200   LIPAN                ST</t>
  </si>
  <si>
    <t xml:space="preserve">S-W J.K. CONCEPTS   </t>
  </si>
  <si>
    <t xml:space="preserve">RELATED LEASE                                                     </t>
  </si>
  <si>
    <t xml:space="preserve">OWNER PAYS PROPERTY TAXES                                         </t>
  </si>
  <si>
    <t xml:space="preserve">05092-00-035-000 </t>
  </si>
  <si>
    <t xml:space="preserve">555   QUIVAS               ST</t>
  </si>
  <si>
    <t xml:space="preserve">05092-05-017-000 </t>
  </si>
  <si>
    <t xml:space="preserve">2000 W 8TH                  AV</t>
  </si>
  <si>
    <t xml:space="preserve">CITY BARK DOGDAYCARE</t>
  </si>
  <si>
    <t xml:space="preserve">PROPERTY RENOVATED-OWNER PAID MORE EXPENSES                       </t>
  </si>
  <si>
    <t xml:space="preserve">05092-05-021-000 </t>
  </si>
  <si>
    <t xml:space="preserve">730   UMATILLA             ST</t>
  </si>
  <si>
    <t xml:space="preserve">OWNER PAID TAXES IN 2007-LEASE 1/01/08 AT $139,596                </t>
  </si>
  <si>
    <t xml:space="preserve">707   UMATILLA             ST</t>
  </si>
  <si>
    <t xml:space="preserve">05092-06-019-000 </t>
  </si>
  <si>
    <t xml:space="preserve">2177 W 7TH                  AV</t>
  </si>
  <si>
    <t xml:space="preserve">ACTUAL INCOME FOR 1 UNIT 6,050 SF-$4.12/SF                        </t>
  </si>
  <si>
    <t xml:space="preserve">VACANT FOR 2007-LEASED ON 03/2008-ASSUME NNN                      </t>
  </si>
  <si>
    <t xml:space="preserve">TWO TENANTS                                                       </t>
  </si>
  <si>
    <t xml:space="preserve">05093-00-054-000 </t>
  </si>
  <si>
    <t xml:space="preserve">148   VALLEJO              ST</t>
  </si>
  <si>
    <t xml:space="preserve">OWNER PAY PROPERTY TAXES                                          </t>
  </si>
  <si>
    <t xml:space="preserve">05093-04-023-000 </t>
  </si>
  <si>
    <t xml:space="preserve">415   YUMA                 ST</t>
  </si>
  <si>
    <t xml:space="preserve">53</t>
  </si>
  <si>
    <t xml:space="preserve">S-W CONAGRA BEEF CO </t>
  </si>
  <si>
    <t xml:space="preserve">05093-05-008-000 </t>
  </si>
  <si>
    <t xml:space="preserve">355   YUMA                 ST</t>
  </si>
  <si>
    <t xml:space="preserve">PARASOL             </t>
  </si>
  <si>
    <t xml:space="preserve">100% VACANT AS OF 6/30/2008                                       </t>
  </si>
  <si>
    <t xml:space="preserve">05094-04-016-000 </t>
  </si>
  <si>
    <t xml:space="preserve">1455 W CEDAR                AV</t>
  </si>
  <si>
    <t xml:space="preserve">S-W COMM COMMUNCATNS</t>
  </si>
  <si>
    <t xml:space="preserve">05094-04-021-000 </t>
  </si>
  <si>
    <t xml:space="preserve">1415 W CEDAR                AV</t>
  </si>
  <si>
    <t xml:space="preserve">S-W SASCO           </t>
  </si>
  <si>
    <t xml:space="preserve">1/2008 LEASE                                                      </t>
  </si>
  <si>
    <t xml:space="preserve">05094-04-028-000 </t>
  </si>
  <si>
    <t xml:space="preserve">1441 W CEDAR                AV</t>
  </si>
  <si>
    <t xml:space="preserve">LEASES IN 2007-$7.60 TO $8.20 PER SF-FOUR UNITS                   </t>
  </si>
  <si>
    <t xml:space="preserve">05094-04-029-000 </t>
  </si>
  <si>
    <t xml:space="preserve">1472 W MAPLE                AV</t>
  </si>
  <si>
    <t xml:space="preserve">M-D DIST WHSE       </t>
  </si>
  <si>
    <t xml:space="preserve">TWO UNITS                                                         </t>
  </si>
  <si>
    <t xml:space="preserve">05094-06-001-000 </t>
  </si>
  <si>
    <t xml:space="preserve">1500 W CEDAR                AV</t>
  </si>
  <si>
    <t xml:space="preserve">S-W CHATCO          </t>
  </si>
  <si>
    <t xml:space="preserve">1345 W BAYAUD               AV</t>
  </si>
  <si>
    <t xml:space="preserve">THREE UNITS-OWNER OCCUPIES 6,450 SF                               </t>
  </si>
  <si>
    <t xml:space="preserve">1340 W BAYAUD               AV</t>
  </si>
  <si>
    <t xml:space="preserve">4 UNITS-TWO BASE YEAR LEASES                                      </t>
  </si>
  <si>
    <t xml:space="preserve">05095-08-009-000 </t>
  </si>
  <si>
    <t xml:space="preserve">140 S PECOS                ST</t>
  </si>
  <si>
    <t xml:space="preserve">240 S PECOS                ST</t>
  </si>
  <si>
    <t xml:space="preserve">4 UNIT-3 OCCUPIED BY ONE TENANT                                   </t>
  </si>
  <si>
    <t xml:space="preserve">1234 W CEDAR                AV</t>
  </si>
  <si>
    <t xml:space="preserve">05095-14-038-000 </t>
  </si>
  <si>
    <t xml:space="preserve">1258 W BYERS                PL</t>
  </si>
  <si>
    <t xml:space="preserve">S-W(NO NAME ON BLDG)</t>
  </si>
  <si>
    <t xml:space="preserve">05096-00-009-000 </t>
  </si>
  <si>
    <t xml:space="preserve">100 S SANTA FE             DR</t>
  </si>
  <si>
    <t xml:space="preserve">05096-01-018-000 </t>
  </si>
  <si>
    <t xml:space="preserve">875 W ELLSWORTH            AV</t>
  </si>
  <si>
    <t xml:space="preserve">BRON TAPE           </t>
  </si>
  <si>
    <t xml:space="preserve">05096-02-019-000 </t>
  </si>
  <si>
    <t xml:space="preserve">70   SANTA FE             DR</t>
  </si>
  <si>
    <t xml:space="preserve">05096-03-029-000 </t>
  </si>
  <si>
    <t xml:space="preserve">924 W 1ST                  AV</t>
  </si>
  <si>
    <t xml:space="preserve">STARK LUMBER        </t>
  </si>
  <si>
    <t xml:space="preserve">STARK LUMBER-AREA FROM OWNER                                      </t>
  </si>
  <si>
    <t xml:space="preserve">05096-04-001-000 </t>
  </si>
  <si>
    <t xml:space="preserve">88   LIPAN                ST</t>
  </si>
  <si>
    <t xml:space="preserve">S-W IND. WESTERN INC</t>
  </si>
  <si>
    <t xml:space="preserve">60   LIPAN                ST</t>
  </si>
  <si>
    <t xml:space="preserve">05096-15-056-000 </t>
  </si>
  <si>
    <t xml:space="preserve">172 S KALAMATH             ST</t>
  </si>
  <si>
    <t xml:space="preserve">DIST / PRINT SHOP   </t>
  </si>
  <si>
    <t xml:space="preserve">05102-01-002-000 </t>
  </si>
  <si>
    <t xml:space="preserve">550   ACOMA                ST</t>
  </si>
  <si>
    <t xml:space="preserve">LAND TITLE          </t>
  </si>
  <si>
    <t xml:space="preserve">05102-01-013-000 </t>
  </si>
  <si>
    <t xml:space="preserve">526   ACOMA                ST</t>
  </si>
  <si>
    <t xml:space="preserve">RICE PAPER BOX      </t>
  </si>
  <si>
    <t xml:space="preserve">4 UNITS ON MONTH TO MONTH LEASES                                  </t>
  </si>
  <si>
    <t xml:space="preserve">05103-00-027-000 </t>
  </si>
  <si>
    <t xml:space="preserve">106 S SANTA FE             DR</t>
  </si>
  <si>
    <t xml:space="preserve">XPEDX               </t>
  </si>
  <si>
    <t xml:space="preserve">LEASE IS FOR ONLY BUILDING 1                                      </t>
  </si>
  <si>
    <t xml:space="preserve">05103-23-001-000 </t>
  </si>
  <si>
    <t xml:space="preserve">112 S ELATI                ST</t>
  </si>
  <si>
    <t xml:space="preserve">S-W NIELSEN PLASTRNG</t>
  </si>
  <si>
    <t xml:space="preserve">05103-23-002-000 </t>
  </si>
  <si>
    <t xml:space="preserve">140 S ELATI                ST</t>
  </si>
  <si>
    <t xml:space="preserve">6.7:1</t>
  </si>
  <si>
    <t xml:space="preserve">S-W NIELSON PLASTRNG</t>
  </si>
  <si>
    <t xml:space="preserve">05112-16-003-000 </t>
  </si>
  <si>
    <t xml:space="preserve">383   CORONA               ST</t>
  </si>
  <si>
    <t xml:space="preserve">05154-02-016-000 </t>
  </si>
  <si>
    <t xml:space="preserve">500 W TENNESSEE            AV</t>
  </si>
  <si>
    <t xml:space="preserve">05154-03-016-000 </t>
  </si>
  <si>
    <t xml:space="preserve">640 W TENNESSEE            AV</t>
  </si>
  <si>
    <t xml:space="preserve">MULTI-TENANT 5 UNITS                                              </t>
  </si>
  <si>
    <t xml:space="preserve">1070 S GALAPAGO             ST</t>
  </si>
  <si>
    <t xml:space="preserve">1997 LEASE                                                        </t>
  </si>
  <si>
    <t xml:space="preserve">05161-00-034-000 </t>
  </si>
  <si>
    <t xml:space="preserve">320 S LIPAN                ST</t>
  </si>
  <si>
    <t xml:space="preserve">05161-08-001-000 </t>
  </si>
  <si>
    <t xml:space="preserve">451 S LIPAN                ST</t>
  </si>
  <si>
    <t xml:space="preserve">OMNI-PRO CLEAN'NG CO</t>
  </si>
  <si>
    <t xml:space="preserve">NNN LEASE SIGNED IN 09/2007-VACANT 8 MOS IN 2007                  </t>
  </si>
  <si>
    <t xml:space="preserve">05161-08-010-000 </t>
  </si>
  <si>
    <t xml:space="preserve">460 S NAVAJO               ST</t>
  </si>
  <si>
    <t xml:space="preserve">S-F CHILD'S PASTRY  </t>
  </si>
  <si>
    <t xml:space="preserve">05161-09-025-000 </t>
  </si>
  <si>
    <t xml:space="preserve">1128 W VIRGINIA             AV</t>
  </si>
  <si>
    <t xml:space="preserve">4 UNIT LEASED MONTH TO MONTH                                      </t>
  </si>
  <si>
    <t xml:space="preserve">MULTI TENANT 3 UNITS                                              </t>
  </si>
  <si>
    <t xml:space="preserve">05161-13-027-000 </t>
  </si>
  <si>
    <t xml:space="preserve">1205 W CENTER               AV</t>
  </si>
  <si>
    <t xml:space="preserve">3 UNITS-TOTAL EXPENSES ARE CAM RECOVERY                           </t>
  </si>
  <si>
    <t xml:space="preserve">05161-15-015-000 </t>
  </si>
  <si>
    <t xml:space="preserve">610 S LIPAN                ST</t>
  </si>
  <si>
    <t xml:space="preserve">LANGE GRAPHICS/PRINT</t>
  </si>
  <si>
    <t xml:space="preserve">05161-16-024-000 </t>
  </si>
  <si>
    <t xml:space="preserve">1204 W CENTER               AV</t>
  </si>
  <si>
    <t xml:space="preserve">WAREHOUSE / STORAGE </t>
  </si>
  <si>
    <t xml:space="preserve">PURCHASED IN 2007-LEASE STARTED 01/2008                           </t>
  </si>
  <si>
    <t xml:space="preserve">3 UNITS-1 BASE YEAR LEASE                                         </t>
  </si>
  <si>
    <t xml:space="preserve">1055 S JASON                ST</t>
  </si>
  <si>
    <t xml:space="preserve">1002 S JASON                ST</t>
  </si>
  <si>
    <t xml:space="preserve">INCOME INCLUDES RECOVERY-MULTI TENANT-7 UNITS                     </t>
  </si>
  <si>
    <t xml:space="preserve">05164-00-030-000</t>
  </si>
  <si>
    <t xml:space="preserve">1002 S Jason St.</t>
  </si>
  <si>
    <t xml:space="preserve">DENVER TILE &amp; STONE</t>
  </si>
  <si>
    <t xml:space="preserve">Only rent roll, presume NNN. No operating statement supplied</t>
  </si>
  <si>
    <t xml:space="preserve">05164-00-129-000 </t>
  </si>
  <si>
    <t xml:space="preserve">1050 S JASON                ST</t>
  </si>
  <si>
    <t xml:space="preserve">DRY STORAGE ONLY    </t>
  </si>
  <si>
    <t xml:space="preserve">PROPERTY TAXES PAID BY OWNER                                      </t>
  </si>
  <si>
    <t xml:space="preserve">05164-00-134-000 </t>
  </si>
  <si>
    <t xml:space="preserve">1030 S LIPAN                ST</t>
  </si>
  <si>
    <t xml:space="preserve">05164-00-141-000</t>
  </si>
  <si>
    <t xml:space="preserve">755 S. Jason St.</t>
  </si>
  <si>
    <t xml:space="preserve">05164-03-006-000 </t>
  </si>
  <si>
    <t xml:space="preserve">975 W MISSISSIPPI          AV</t>
  </si>
  <si>
    <t xml:space="preserve">AUSTIN HARDWOOD     </t>
  </si>
  <si>
    <t xml:space="preserve">3715   MORRISON             RD</t>
  </si>
  <si>
    <t xml:space="preserve">05211-01-003-000 </t>
  </si>
  <si>
    <t xml:space="preserve">1155 S HURON                ST</t>
  </si>
  <si>
    <t xml:space="preserve">U STOR ALL          </t>
  </si>
  <si>
    <t xml:space="preserve">05211-02-001-000 </t>
  </si>
  <si>
    <t xml:space="preserve">900 W MISSISSIPPI          AV</t>
  </si>
  <si>
    <t xml:space="preserve">05211-02-009-000 </t>
  </si>
  <si>
    <t xml:space="preserve">1155 S INCA                 ST</t>
  </si>
  <si>
    <t xml:space="preserve">S-W S.DENVER WINDUST</t>
  </si>
  <si>
    <t xml:space="preserve">05211-03-005-000</t>
  </si>
  <si>
    <t xml:space="preserve">1001 W. Arizona Ave.</t>
  </si>
  <si>
    <t xml:space="preserve">05211-03-020-000 </t>
  </si>
  <si>
    <t xml:space="preserve">1124 S KALAMATH             ST</t>
  </si>
  <si>
    <t xml:space="preserve">S-W DILLEY GRAPHICS </t>
  </si>
  <si>
    <t xml:space="preserve">05211-03-033-000</t>
  </si>
  <si>
    <t xml:space="preserve">1178-80 S. Kalamath St.</t>
  </si>
  <si>
    <t xml:space="preserve">05211-12-031-000 </t>
  </si>
  <si>
    <t xml:space="preserve">1219 S LIPAN                ST</t>
  </si>
  <si>
    <t xml:space="preserve">M-T WHSE.; AT LEAST 4 TENANTS; MO-TO-MO LEASES.                   </t>
  </si>
  <si>
    <t xml:space="preserve">05211-14-018-000 </t>
  </si>
  <si>
    <t xml:space="preserve">1201 S JASON                ST</t>
  </si>
  <si>
    <t xml:space="preserve">05211-14-025-000 </t>
  </si>
  <si>
    <t xml:space="preserve">1265 S JASON                ST</t>
  </si>
  <si>
    <t xml:space="preserve">S-F COLO. MARBLE    </t>
  </si>
  <si>
    <t xml:space="preserve">05211-15-031-000 </t>
  </si>
  <si>
    <t xml:space="preserve">1236 S JASON                ST</t>
  </si>
  <si>
    <t xml:space="preserve">05211-16-017-000 </t>
  </si>
  <si>
    <t xml:space="preserve">1230 S INCA                 ST</t>
  </si>
  <si>
    <t xml:space="preserve">S-W HYDRO PHYSICS   </t>
  </si>
  <si>
    <t xml:space="preserve">1300 S INCA                 ST</t>
  </si>
  <si>
    <t xml:space="preserve">05211-17-023-000 </t>
  </si>
  <si>
    <t xml:space="preserve">1355 S HURON                ST</t>
  </si>
  <si>
    <t xml:space="preserve">WAREHOUSE/OFFICE    </t>
  </si>
  <si>
    <t xml:space="preserve">05211-18-003-000 </t>
  </si>
  <si>
    <t xml:space="preserve">1351 S INCA                 ST</t>
  </si>
  <si>
    <t xml:space="preserve">M-W SEAT CO         </t>
  </si>
  <si>
    <t xml:space="preserve">M-T WHSE; AT LEAST 2 UNITS; DATE OF LEASE UNKNOWN.                </t>
  </si>
  <si>
    <t xml:space="preserve">05211-18-020-000 </t>
  </si>
  <si>
    <t xml:space="preserve">1346 S JASON                ST</t>
  </si>
  <si>
    <t xml:space="preserve">1328 S JASON                ST</t>
  </si>
  <si>
    <t xml:space="preserve">S-T WHSE; DATE OF LEASE COMMENCEMENT UNKNOWN.                     </t>
  </si>
  <si>
    <t xml:space="preserve">1308 S JASON                ST</t>
  </si>
  <si>
    <t xml:space="preserve">1301 S JASON                ST</t>
  </si>
  <si>
    <t xml:space="preserve">M-T WHSE; 5 TENANTS; ONLY 2007 LEASE INFO. ENCODED.               </t>
  </si>
  <si>
    <t xml:space="preserve">05211-30-013-000 </t>
  </si>
  <si>
    <t xml:space="preserve">1455 S PLATTE RIVER         DR</t>
  </si>
  <si>
    <t xml:space="preserve">POWERS BLG SOLUT'NS </t>
  </si>
  <si>
    <t xml:space="preserve">M-T WHSE; 4 TENANTS; LEASES 2005 &amp; 2006.                          </t>
  </si>
  <si>
    <t xml:space="preserve">05222-03-006-000 </t>
  </si>
  <si>
    <t xml:space="preserve">1265 S BROADWAY             ST</t>
  </si>
  <si>
    <t xml:space="preserve">05223-02-039-000</t>
  </si>
  <si>
    <t xml:space="preserve">1191-97 S. Bannock St.</t>
  </si>
  <si>
    <t xml:space="preserve">$                 -</t>
  </si>
  <si>
    <t xml:space="preserve">4 Tenant Warehouse.</t>
  </si>
  <si>
    <t xml:space="preserve">05223-02-040-000 </t>
  </si>
  <si>
    <t xml:space="preserve">1157 S BANNOCK              ST</t>
  </si>
  <si>
    <t xml:space="preserve">DIAMOND DRILLING    </t>
  </si>
  <si>
    <t xml:space="preserve">05223-03-004-000 </t>
  </si>
  <si>
    <t xml:space="preserve">1185 S CHEROKEE             ST</t>
  </si>
  <si>
    <t xml:space="preserve">TENANT PAYS $9,300 IN TOTAL EXPENSES                              </t>
  </si>
  <si>
    <t xml:space="preserve">1220 S BANNOCK              ST</t>
  </si>
  <si>
    <t xml:space="preserve">1240 S BANNOCK              ST</t>
  </si>
  <si>
    <t xml:space="preserve">S-T WHSE.; MO-TO-MO LEASES                                        </t>
  </si>
  <si>
    <t xml:space="preserve">05223-10-030-000 </t>
  </si>
  <si>
    <t xml:space="preserve">200 W LOUISIANA            AV</t>
  </si>
  <si>
    <t xml:space="preserve">05223-10-032-000 </t>
  </si>
  <si>
    <t xml:space="preserve">1438 S CHEROKEE             ST</t>
  </si>
  <si>
    <t xml:space="preserve">CYCLO               </t>
  </si>
  <si>
    <t xml:space="preserve">S-T WHSE.; 2006 LEASE?;MUST BE 2ND BLDG INVOLVED TO TOTAL 12230SF </t>
  </si>
  <si>
    <t xml:space="preserve">M-T WHSE; 2 TENANTS; ONLY FIGURES FOR RENTED AREA SHOWN           </t>
  </si>
  <si>
    <t xml:space="preserve">05226-01-002-000 </t>
  </si>
  <si>
    <t xml:space="preserve">1510 S ACOMA                ST</t>
  </si>
  <si>
    <t xml:space="preserve">S-W AQUA CORP. /TERR</t>
  </si>
  <si>
    <t xml:space="preserve">M-T WHSE.; 2 TENANTS; YR-TO-YR LEASE.                             </t>
  </si>
  <si>
    <t xml:space="preserve">M-T WHSE.; 4 TENANTS; YR-TO-YR LEASES.                            </t>
  </si>
  <si>
    <t xml:space="preserve">S-T WHSE; 07/08 LEASE CONSIDERED NEGOTIATED IN BASE PERIOD.       </t>
  </si>
  <si>
    <t xml:space="preserve">05226-16-033-000 </t>
  </si>
  <si>
    <t xml:space="preserve">1879 S ACOMA                ST</t>
  </si>
  <si>
    <t xml:space="preserve">S-W THE PRESSROOM   </t>
  </si>
  <si>
    <t xml:space="preserve">1853 S ACOMA                ST</t>
  </si>
  <si>
    <t xml:space="preserve">1860 S ACOMA                ST</t>
  </si>
  <si>
    <t xml:space="preserve">2112 S WASHINGTON           ST</t>
  </si>
  <si>
    <t xml:space="preserve">S-T WHSE.; NO LEASE.                                              </t>
  </si>
  <si>
    <t xml:space="preserve">1950 S CHEROKEE             ST</t>
  </si>
  <si>
    <t xml:space="preserve">1930 S CHEROKEE             ST</t>
  </si>
  <si>
    <t xml:space="preserve">05272-06-018-000 </t>
  </si>
  <si>
    <t xml:space="preserve">2000 S CHEROKEE             ST</t>
  </si>
  <si>
    <t xml:space="preserve">MULTILIFT           </t>
  </si>
  <si>
    <t xml:space="preserve">S-T WHSE.; 2008 LEASE USED.                                       </t>
  </si>
  <si>
    <t xml:space="preserve">05272-06-022-000 </t>
  </si>
  <si>
    <t xml:space="preserve">2018 S CHEROKEE             ST</t>
  </si>
  <si>
    <t xml:space="preserve">T &amp; D'S AUTO        </t>
  </si>
  <si>
    <t xml:space="preserve">05272-07-037-000 </t>
  </si>
  <si>
    <t xml:space="preserve">2026 S BANNOCK              ST</t>
  </si>
  <si>
    <t xml:space="preserve">S-T BARN - MORE OF A SHED THAN TRUE WHSE.; LEASE DETAIL UNKNOWN.  </t>
  </si>
  <si>
    <t xml:space="preserve">05272-18-001-000 </t>
  </si>
  <si>
    <t xml:space="preserve">2201 S DELAWARE             ST</t>
  </si>
  <si>
    <t xml:space="preserve">05272-23-030-000</t>
  </si>
  <si>
    <t xml:space="preserve">2240 S. Broadway</t>
  </si>
  <si>
    <t xml:space="preserve">05273-12-011-000 </t>
  </si>
  <si>
    <t xml:space="preserve">2120 S PLATTE RIVER         DR</t>
  </si>
  <si>
    <t xml:space="preserve">S-W CENTENNIAL MACH.</t>
  </si>
  <si>
    <t xml:space="preserve">05273-15-021-000 </t>
  </si>
  <si>
    <t xml:space="preserve">2200 S FOX                  ST</t>
  </si>
  <si>
    <t xml:space="preserve">S-W WALTERS AUTO    </t>
  </si>
  <si>
    <t xml:space="preserve">05274-11-008-000 </t>
  </si>
  <si>
    <t xml:space="preserve">2525 S DELAWARE             ST</t>
  </si>
  <si>
    <t xml:space="preserve">05274-12-031-000 </t>
  </si>
  <si>
    <t xml:space="preserve">2484 S DELAWARE             ST</t>
  </si>
  <si>
    <t xml:space="preserve">05281-01-014-000 </t>
  </si>
  <si>
    <t xml:space="preserve">1310 W JEWELL               AV</t>
  </si>
  <si>
    <t xml:space="preserve">COLO STATE PAINTING </t>
  </si>
  <si>
    <t xml:space="preserve">S-T WHSE.; SITE CONTAINS EXCESS LAND.                             </t>
  </si>
  <si>
    <t xml:space="preserve">05281-05-022-000 </t>
  </si>
  <si>
    <t xml:space="preserve">2059 S NAVAJO               ST</t>
  </si>
  <si>
    <t xml:space="preserve">05281-06-010-000 </t>
  </si>
  <si>
    <t xml:space="preserve">2068 S NAVAJO               ST</t>
  </si>
  <si>
    <t xml:space="preserve">05281-13-019-000 </t>
  </si>
  <si>
    <t xml:space="preserve">950 W EVANS                AV</t>
  </si>
  <si>
    <t xml:space="preserve">DIST/SHWRM/SINGLE TE</t>
  </si>
  <si>
    <t xml:space="preserve">M-T RETAIL; LEASES 2006 &amp; 2007.; 2 TENANTS.                       </t>
  </si>
  <si>
    <t xml:space="preserve">M-T WHSE.; 2 TENANTS; 2006 LEASES.                                </t>
  </si>
  <si>
    <t xml:space="preserve">S-T WHSE.; 2 TENANTS; 2006 &amp; 2007 LEASES.                         </t>
  </si>
  <si>
    <t xml:space="preserve">05281-15-007-000 </t>
  </si>
  <si>
    <t xml:space="preserve">2130 S LIPAN                ST</t>
  </si>
  <si>
    <t xml:space="preserve">CHIPS WHSLS &amp; PYMSTR</t>
  </si>
  <si>
    <t xml:space="preserve">TENANCY &amp; LEASE TERMS UNKNOWN.                                    </t>
  </si>
  <si>
    <t xml:space="preserve">S-T WHSE.; OLDER LEASE - 2007 RENEWAL.                            </t>
  </si>
  <si>
    <t xml:space="preserve">05281-15-014-000 </t>
  </si>
  <si>
    <t xml:space="preserve">2170 S LIPAN                ST</t>
  </si>
  <si>
    <t xml:space="preserve">P'NTRS&amp;DRYWLL UN'N79</t>
  </si>
  <si>
    <t xml:space="preserve">05281-15-020-000 </t>
  </si>
  <si>
    <t xml:space="preserve">2160 S LIPAN                ST</t>
  </si>
  <si>
    <t xml:space="preserve">2201 S KALAMATH             ST</t>
  </si>
  <si>
    <t xml:space="preserve">2235 S KALAMATH             ST</t>
  </si>
  <si>
    <t xml:space="preserve">05281-16-008-000 </t>
  </si>
  <si>
    <t xml:space="preserve">2250 S LIPAN                ST</t>
  </si>
  <si>
    <t xml:space="preserve">WHSE / LIGHT MANUF  </t>
  </si>
  <si>
    <t xml:space="preserve">TENANCY AND LEASE TERMS UNKNOWN.                                  </t>
  </si>
  <si>
    <t xml:space="preserve">05281-16-012-000 </t>
  </si>
  <si>
    <t xml:space="preserve">2280 S LIPAN                ST</t>
  </si>
  <si>
    <t xml:space="preserve">WHSE / OFFICE       </t>
  </si>
  <si>
    <t xml:space="preserve">M-T WHSE.; 2 TENANTS; YR-TO-YR LEASES.                            </t>
  </si>
  <si>
    <t xml:space="preserve">05281-17-020-000 </t>
  </si>
  <si>
    <t xml:space="preserve">2218 S KALAMATH             ST</t>
  </si>
  <si>
    <t xml:space="preserve">S-F UNITED RENTAL   </t>
  </si>
  <si>
    <t xml:space="preserve">05281-17-034-000 </t>
  </si>
  <si>
    <t xml:space="preserve">2278 S KALAMATH             ST</t>
  </si>
  <si>
    <t xml:space="preserve">HORST DYNAMICS      </t>
  </si>
  <si>
    <t xml:space="preserve">05282-00-004-000 </t>
  </si>
  <si>
    <t xml:space="preserve">2190 S RARITAN              ST</t>
  </si>
  <si>
    <t xml:space="preserve">10.8:1</t>
  </si>
  <si>
    <t xml:space="preserve">CENTENNIAL AUTO 4X4 </t>
  </si>
  <si>
    <t xml:space="preserve">BLG RENTED PARTIALLY IN 2007.                                     </t>
  </si>
  <si>
    <t xml:space="preserve">05282-00-006-000 </t>
  </si>
  <si>
    <t xml:space="preserve">1696 W EVANS                AV</t>
  </si>
  <si>
    <t xml:space="preserve">WHSE/OFC FURN  SALES</t>
  </si>
  <si>
    <t xml:space="preserve">1801 W EVANS                AV</t>
  </si>
  <si>
    <t xml:space="preserve">M-T WHSE.; 2 TENANTS - ONE IS OWNER.                              </t>
  </si>
  <si>
    <t xml:space="preserve">M-T WHSE.; 3 TENANTS; MO-TO-MO LEASES.                            </t>
  </si>
  <si>
    <t xml:space="preserve">05284-04-005-000 </t>
  </si>
  <si>
    <t xml:space="preserve">2390 S LIPAN                ST</t>
  </si>
  <si>
    <t xml:space="preserve">DIST/LAB/SINGLE TN  </t>
  </si>
  <si>
    <t xml:space="preserve">S-T WHSE.; LEASE TERMS UNKNOWN.                                   </t>
  </si>
  <si>
    <t xml:space="preserve">05284-05-005-000 </t>
  </si>
  <si>
    <t xml:space="preserve">2323 S LIPAN                ST</t>
  </si>
  <si>
    <t xml:space="preserve">06282-02-007-000 </t>
  </si>
  <si>
    <t xml:space="preserve">1980 S QUEBEC               ST</t>
  </si>
  <si>
    <t xml:space="preserve">M-T OFC/WHS; 21 TENANTS; AGE OF LEASES UNKNOWN.                   </t>
  </si>
  <si>
    <t xml:space="preserve">06282-02-013-000 </t>
  </si>
  <si>
    <t xml:space="preserve">1910 S QUEBEC               ST</t>
  </si>
  <si>
    <t xml:space="preserve">GEORGE SANDERS WHSE </t>
  </si>
  <si>
    <t xml:space="preserve">06292-00-009-000 </t>
  </si>
  <si>
    <t xml:space="preserve">6359 E EVANS                AV</t>
  </si>
  <si>
    <t xml:space="preserve">M-T WHSE; AT LEAST 2 UNITS; 2006 LEASE.                           </t>
  </si>
  <si>
    <t xml:space="preserve">06292-00-082-000 </t>
  </si>
  <si>
    <t xml:space="preserve">2117 S JASMINE              ST</t>
  </si>
  <si>
    <t xml:space="preserve">CAMP BOW WOW        </t>
  </si>
  <si>
    <t xml:space="preserve">06292-05-006-000 </t>
  </si>
  <si>
    <t xml:space="preserve">2211 S LEYDEN               ST</t>
  </si>
  <si>
    <t xml:space="preserve">S-T WHSE; AGE ON LEASE UNKNOWN; TENANT = MONARCH POOLS            </t>
  </si>
  <si>
    <t xml:space="preserve">06292-12-013-000 </t>
  </si>
  <si>
    <t xml:space="preserve">2180 S IVANHOE              ST</t>
  </si>
  <si>
    <t xml:space="preserve">A.G. WASSENAAR INC. </t>
  </si>
  <si>
    <t xml:space="preserve">6300 E EVANS                AV</t>
  </si>
  <si>
    <t xml:space="preserve">M-T WHSE.; 2 TENANTS; 2005 LEASE.                                 </t>
  </si>
  <si>
    <t xml:space="preserve">06301-21-007-000 </t>
  </si>
  <si>
    <t xml:space="preserve">2170 S GRAPE                ST</t>
  </si>
  <si>
    <t xml:space="preserve">S-W VISUAL ELECTRON </t>
  </si>
  <si>
    <t xml:space="preserve">Poor</t>
  </si>
  <si>
    <t xml:space="preserve">Highlands Ranch</t>
  </si>
  <si>
    <t xml:space="preserve">Northwest</t>
  </si>
  <si>
    <t xml:space="preserve">Very Poor</t>
  </si>
  <si>
    <t xml:space="preserve">Unincorporated</t>
  </si>
  <si>
    <t xml:space="preserve">Southwest</t>
  </si>
  <si>
    <t xml:space="preserve">West</t>
  </si>
  <si>
    <t xml:space="preserve">Rehabilitated</t>
  </si>
  <si>
    <t xml:space="preserve">Fair/Average</t>
  </si>
  <si>
    <t xml:space="preserve">Conversion</t>
  </si>
  <si>
    <t xml:space="preserve">Average/Fair</t>
  </si>
  <si>
    <t xml:space="preserve">Manufacturing</t>
  </si>
  <si>
    <t xml:space="preserve">Ind. Flex Mall</t>
  </si>
  <si>
    <t xml:space="preserve">Light Industrial</t>
  </si>
  <si>
    <t xml:space="preserve">Rehab/Poor</t>
  </si>
  <si>
    <t xml:space="preserve">Rehab/Fair</t>
  </si>
  <si>
    <t xml:space="preserve">Rehab/Average</t>
  </si>
  <si>
    <t xml:space="preserve">Fire Station</t>
  </si>
  <si>
    <t xml:space="preserve">Rehab/Good</t>
  </si>
  <si>
    <t xml:space="preserve">Indust Light Manufacturing</t>
  </si>
  <si>
    <t xml:space="preserve">Lumber Storage</t>
  </si>
  <si>
    <t xml:space="preserve">Medical Office</t>
  </si>
  <si>
    <t xml:space="preserve">School</t>
  </si>
  <si>
    <t xml:space="preserve">Vet Hospital</t>
  </si>
  <si>
    <t xml:space="preserve">NBHD Shopping Center</t>
  </si>
  <si>
    <t xml:space="preserve">Community Shoping Center</t>
  </si>
  <si>
    <t xml:space="preserve">Mini Lube</t>
  </si>
  <si>
    <t xml:space="preserve">Condo Warehouse</t>
  </si>
  <si>
    <t xml:space="preserve">Car Wash</t>
  </si>
  <si>
    <t xml:space="preserve">Warehouse Showroom</t>
  </si>
  <si>
    <t xml:space="preserve">A-</t>
  </si>
  <si>
    <t xml:space="preserve">A+</t>
  </si>
  <si>
    <t xml:space="preserve">Above Average</t>
  </si>
  <si>
    <t xml:space="preserve">B-</t>
  </si>
  <si>
    <t xml:space="preserve">B+</t>
  </si>
  <si>
    <t xml:space="preserve">X</t>
  </si>
  <si>
    <t xml:space="preserve">X-</t>
  </si>
  <si>
    <t xml:space="preserve">X+</t>
  </si>
  <si>
    <t xml:space="preserve">COUNTY OCCUPANCY CODE (OCC) REFERENCE TABLE</t>
  </si>
  <si>
    <t xml:space="preserve">Transcribed from the county assessor's Occupancy Code report. Cross-checked against Sales!OCC (60 distinct codes, all matched) and Expense_Comps.xlsx "Occ Code" (12 distinct codes, all matched). This is the key to match Sales/Income comps to expense data by property type.</t>
  </si>
  <si>
    <t xml:space="preserve">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</si>
  <si>
    <t xml:space="preserve">OCC Code</t>
  </si>
  <si>
    <t xml:space="preserve">Acct Type</t>
  </si>
  <si>
    <t xml:space="preserve">Account Total (source report)</t>
  </si>
  <si>
    <t xml:space="preserve">Occupancy Description</t>
  </si>
  <si>
    <t xml:space="preserve">Code + Description (dropdown source)</t>
  </si>
  <si>
    <t xml:space="preserve">ZONING -- INTERIM LIST</t>
  </si>
  <si>
    <t xml:space="preserve">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</si>
  <si>
    <t xml:space="preserve">Zone Value</t>
  </si>
  <si>
    <t xml:space="preserve">City-Filtered Zone Lists (for the Subject Property dropdown)</t>
  </si>
  <si>
    <t xml:space="preserve">B2</t>
  </si>
  <si>
    <t xml:space="preserve">B8</t>
  </si>
  <si>
    <t xml:space="preserve">B8A</t>
  </si>
  <si>
    <t xml:space="preserve">B8G</t>
  </si>
  <si>
    <t xml:space="preserve">C-MS-8</t>
  </si>
  <si>
    <t xml:space="preserve">C-MU-30</t>
  </si>
  <si>
    <t xml:space="preserve">C-MX-12</t>
  </si>
  <si>
    <t xml:space="preserve">C-MX-5</t>
  </si>
  <si>
    <t xml:space="preserve">C-MX-8</t>
  </si>
  <si>
    <t xml:space="preserve">D-AS</t>
  </si>
  <si>
    <t xml:space="preserve">E-CC-3</t>
  </si>
  <si>
    <t xml:space="preserve">E-SU-D1X</t>
  </si>
  <si>
    <t xml:space="preserve">G-MX-3</t>
  </si>
  <si>
    <t xml:space="preserve">I-0</t>
  </si>
  <si>
    <t xml:space="preserve">I-A</t>
  </si>
  <si>
    <t xml:space="preserve">I-B</t>
  </si>
  <si>
    <t xml:space="preserve">I-MX-3</t>
  </si>
  <si>
    <t xml:space="preserve">I-MX-5</t>
  </si>
  <si>
    <t xml:space="preserve">I-MX-8</t>
  </si>
  <si>
    <t xml:space="preserve">MS1</t>
  </si>
  <si>
    <t xml:space="preserve">PRV</t>
  </si>
  <si>
    <t xml:space="preserve">R-MU-30</t>
  </si>
  <si>
    <t xml:space="preserve">R1</t>
  </si>
  <si>
    <t xml:space="preserve">R2</t>
  </si>
  <si>
    <t xml:space="preserve">R3</t>
  </si>
  <si>
    <t xml:space="preserve">U-MS-2</t>
  </si>
  <si>
    <t xml:space="preserve">U-MS-3</t>
  </si>
  <si>
    <t xml:space="preserve">U-MS-5</t>
  </si>
  <si>
    <t xml:space="preserve">U-MX-3</t>
  </si>
  <si>
    <t xml:space="preserve">PROPERTY RESOURCES — Adams County, Colorado</t>
  </si>
  <si>
    <t xml:space="preserve">Pick the jurisdiction the property sits in (step 1 below) and every link you need appears. A mailing city is NOT always the land-use jurisdiction — when unsure, check the parcel on the county GIS map first.</t>
  </si>
  <si>
    <t xml:space="preserve">STEP 1 — Where is the property?</t>
  </si>
  <si>
    <t xml:space="preserve">Jurisdiction (pick from list):</t>
  </si>
  <si>
    <t xml:space="preserve">Unincorporated Adams County</t>
  </si>
  <si>
    <t xml:space="preserve">STEP 2 — Jurisdiction links (zoning, planning, permits, hearings for the pick above)</t>
  </si>
  <si>
    <t xml:space="preserve">Official website</t>
  </si>
  <si>
    <t xml:space="preserve">Property / GIS maps</t>
  </si>
  <si>
    <t xml:space="preserve">Zoning / land-use code</t>
  </si>
  <si>
    <t xml:space="preserve">Planning department</t>
  </si>
  <si>
    <t xml:space="preserve">Active development / projects</t>
  </si>
  <si>
    <t xml:space="preserve">Permits</t>
  </si>
  <si>
    <t xml:space="preserve">Long-range / comprehensive plan</t>
  </si>
  <si>
    <t xml:space="preserve">Agendas &amp; meetings</t>
  </si>
  <si>
    <t xml:space="preserve">Public / legal notices</t>
  </si>
  <si>
    <t xml:space="preserve">News</t>
  </si>
  <si>
    <t xml:space="preserve">STEP 3 — County records (work for ANY Adams County property, regardless of city)</t>
  </si>
  <si>
    <t xml:space="preserve">Parcel / owner / value search</t>
  </si>
  <si>
    <t xml:space="preserve">https://adamscountyco.gov/service/search-real-property/</t>
  </si>
  <si>
    <t xml:space="preserve">Fast parcel lookup (GIS)</t>
  </si>
  <si>
    <t xml:space="preserve">https://gisapp.adcogov.org/quicksearch/</t>
  </si>
  <si>
    <t xml:space="preserve">Interactive county maps</t>
  </si>
  <si>
    <t xml:space="preserve">https://adamscountyco.gov/service/gis-interactive-maps/</t>
  </si>
  <si>
    <t xml:space="preserve">Recorded deeds &amp; documents</t>
  </si>
  <si>
    <t xml:space="preserve">https://recording.adamscountyco.gov/landmarkweb/</t>
  </si>
  <si>
    <t xml:space="preserve">Survey plats</t>
  </si>
  <si>
    <t xml:space="preserve">https://adamscountyco.gov/our-county/elected-officials/clerk-recorder/recording/land-survey-plats/</t>
  </si>
  <si>
    <t xml:space="preserve">Property taxes / balances</t>
  </si>
  <si>
    <t xml:space="preserve">https://adcotax.com/</t>
  </si>
  <si>
    <t xml:space="preserve">Foreclosure records</t>
  </si>
  <si>
    <t xml:space="preserve">https://apps.adcogov.org/PTForeclosureSearch/?ds=1</t>
  </si>
  <si>
    <t xml:space="preserve">Unincorporated planning &amp; zoning</t>
  </si>
  <si>
    <t xml:space="preserve">https://adamscountyco.gov/our-county/community-economic-development/planning-development/</t>
  </si>
  <si>
    <t xml:space="preserve">Pending land-use cases &amp; hearings</t>
  </si>
  <si>
    <t xml:space="preserve">https://adamscountyco.gov/our-county/community-economic-development/planning-development/current-land-use-cases/</t>
  </si>
  <si>
    <t xml:space="preserve">Unincorporated building permits</t>
  </si>
  <si>
    <t xml:space="preserve">https://adamscountyco.gov/our-county/community-economic-development/building-safety/building-permit/</t>
  </si>
  <si>
    <t xml:space="preserve">STEP 4 — State &amp; federal checks (apply everywhere)</t>
  </si>
  <si>
    <t xml:space="preserve">Who owns the LLC? (Secretary of State)</t>
  </si>
  <si>
    <t xml:space="preserve">https://co.colorado.gov/search-business-records</t>
  </si>
  <si>
    <t xml:space="preserve">Municipal boundary map (DOLA)</t>
  </si>
  <si>
    <t xml:space="preserve">https://gis.dola.colorado.gov/CO_SpecialDistrict/</t>
  </si>
  <si>
    <t xml:space="preserve">Special / metro districts (DOLA)</t>
  </si>
  <si>
    <t xml:space="preserve">Water rights, wells &amp; structures (DWR)</t>
  </si>
  <si>
    <t xml:space="preserve">Oil &amp; gas wells (ECMC)</t>
  </si>
  <si>
    <t xml:space="preserve">https://ecmc.state.co.us/maps.html</t>
  </si>
  <si>
    <t xml:space="preserve">FEMA flood map</t>
  </si>
  <si>
    <t xml:space="preserve">https://www.fema.gov/flood-maps</t>
  </si>
  <si>
    <t xml:space="preserve">Environmental records (CDPHE)</t>
  </si>
  <si>
    <t xml:space="preserve">https://cdphe.colorado.gov/maps-and-gis-for-health-and-environment</t>
  </si>
  <si>
    <t xml:space="preserve">Soils survey (USDA NRCS)</t>
  </si>
  <si>
    <t xml:space="preserve">https://websoilsurvey.nrcs.usda.gov/</t>
  </si>
  <si>
    <t xml:space="preserve">State highway access (CDOT)</t>
  </si>
  <si>
    <t xml:space="preserve">https://dtdapps.codot.gov/otis</t>
  </si>
  <si>
    <t xml:space="preserve">Full list of every curated source (300+) and the step-by-step due-diligence checklist: see the Resource Directory tab.</t>
  </si>
  <si>
    <t xml:space="preserve">ALL JURISDICTIONS AT A GLANCE (the picker above reads from this table)</t>
  </si>
  <si>
    <t xml:space="preserve">Jurisdiction</t>
  </si>
  <si>
    <t xml:space="preserve">Official Home</t>
  </si>
  <si>
    <t xml:space="preserve">Property / GIS</t>
  </si>
  <si>
    <t xml:space="preserve">Zoning / Code</t>
  </si>
  <si>
    <t xml:space="preserve">Planning</t>
  </si>
  <si>
    <t xml:space="preserve">Development / Projects</t>
  </si>
  <si>
    <t xml:space="preserve">Long-Range Plan</t>
  </si>
  <si>
    <t xml:space="preserve">Agendas / Meetings</t>
  </si>
  <si>
    <t xml:space="preserve">Public Notices</t>
  </si>
  <si>
    <t xml:space="preserve">Boundary / Use Note</t>
  </si>
  <si>
    <t xml:space="preserve">(raw URLs feeding the Step-2 links — do not delete)</t>
  </si>
  <si>
    <t xml:space="preserve">County jurisdiction</t>
  </si>
  <si>
    <t xml:space="preserve">Use county land-use and permit resources only when the parcel is outside an incorporated city or town.</t>
  </si>
  <si>
    <t xml:space="preserve">https://adamscountyco.gov/</t>
  </si>
  <si>
    <t xml:space="preserve">https://adamscountyco.gov/our-county/community-economic-development/planning-development/development-standards-regulations/</t>
  </si>
  <si>
    <t xml:space="preserve">https://adamscountyco.gov/our-county/community-economic-development/advancing-adams/comprehensive-plan/</t>
  </si>
  <si>
    <t xml:space="preserve">https://adamscountyco.gov/about-adams-county/public-meetings/</t>
  </si>
  <si>
    <t xml:space="preserve">https://adamscountyco.gov/about-adams-county/news/</t>
  </si>
  <si>
    <t xml:space="preserve">Use city land-use resources for the Arvada parcel; use the recorder/assessor for the parcel's actual county.</t>
  </si>
  <si>
    <t xml:space="preserve">https://www.arvadaco.gov/</t>
  </si>
  <si>
    <t xml:space="preserve">https://www.arvadaco.gov/702/Maps-and-Property-Search</t>
  </si>
  <si>
    <t xml:space="preserve">https://www.arvadaco.gov/168/Zoning</t>
  </si>
  <si>
    <t xml:space="preserve">https://www.arvadaco.gov/1369/Planning-and-Development</t>
  </si>
  <si>
    <t xml:space="preserve">https://www.arvadaco.gov/1394/Active-Development-Projects</t>
  </si>
  <si>
    <t xml:space="preserve">https://www.arvadaco.gov/330/Permits</t>
  </si>
  <si>
    <t xml:space="preserve">https://www.arvadaco.gov/1374/2026-27-Comprehensive-Plan</t>
  </si>
  <si>
    <t xml:space="preserve">https://www.arvadaco.gov/AgendaCenter</t>
  </si>
  <si>
    <t xml:space="preserve">https://www.arvadaco.gov/245/Meetings-and-Other-Legal-Notices</t>
  </si>
  <si>
    <t xml:space="preserve">https://www.arvadaco.gov/908/News-Releases</t>
  </si>
  <si>
    <t xml:space="preserve">Use these links for Aurora parcels in Adams County; verify county before deed, tax or assessor research.</t>
  </si>
  <si>
    <t xml:space="preserve">https://www.auroragov.org/</t>
  </si>
  <si>
    <t xml:space="preserve">https://www.auroragov.org/city_hall/maps/planning_and_zoning_maps</t>
  </si>
  <si>
    <t xml:space="preserve">https://zoning.auroragov.org/</t>
  </si>
  <si>
    <t xml:space="preserve">https://www.auroragov.org/business_services/planning</t>
  </si>
  <si>
    <t xml:space="preserve">https://coaapps.auroragov.org/ProjectStatus/search.aspx</t>
  </si>
  <si>
    <t xml:space="preserve">https://www.auroragov.org/business_services/building_division/permits</t>
  </si>
  <si>
    <t xml:space="preserve">https://www.auroragov.org/business_services/planning/projects__plans___studies/comprehensive_plan</t>
  </si>
  <si>
    <t xml:space="preserve">https://www.auroragov.org/city_hall/mayor___city_council/council_meetings</t>
  </si>
  <si>
    <t xml:space="preserve">https://www.auroragov.org/city_hall/public_records/legal_notices/public_hearings</t>
  </si>
  <si>
    <t xml:space="preserve">https://www.auroragov.org/news/whats_new</t>
  </si>
  <si>
    <t xml:space="preserve">Town</t>
  </si>
  <si>
    <t xml:space="preserve">Use town land-use resources; confirm parcel county for assessor, deed and tax records.</t>
  </si>
  <si>
    <t xml:space="preserve">https://www.bennettco.gov/</t>
  </si>
  <si>
    <t xml:space="preserve">https://www.bennettco.gov/business/page/bennett-zoning-map</t>
  </si>
  <si>
    <t xml:space="preserve">https://www.bennettco.gov/planning-economic-development/page/zoning-and-subdivision-regulations</t>
  </si>
  <si>
    <t xml:space="preserve">https://www.bennettco.gov/planning-economic-development/page/planning-and-zoning</t>
  </si>
  <si>
    <t xml:space="preserve">https://www.bennettco.gov/projects</t>
  </si>
  <si>
    <t xml:space="preserve">https://www.bennettco.gov/community-development/page/building-department</t>
  </si>
  <si>
    <t xml:space="preserve">https://www.bennettco.gov/planning-economic-development/page/master-plans-and-guiding-documents</t>
  </si>
  <si>
    <t xml:space="preserve">https://www.bennettco.gov/meetings/recent</t>
  </si>
  <si>
    <t xml:space="preserve">https://www.bennettco.gov/town-clerk/page/public-records</t>
  </si>
  <si>
    <t xml:space="preserve">https://www.bennettco.gov/news</t>
  </si>
  <si>
    <t xml:space="preserve">Use city land-use resources; confirm parcel county before county-record research.</t>
  </si>
  <si>
    <t xml:space="preserve">https://www.brightonco.gov/</t>
  </si>
  <si>
    <t xml:space="preserve">https://www.brightonco.gov/248/Geographic-Information-Systems</t>
  </si>
  <si>
    <t xml:space="preserve">https://www.brightonco.gov/363/Land-Use-Development-Code</t>
  </si>
  <si>
    <t xml:space="preserve">https://www.brightonco.gov/224/Planning-Zoning</t>
  </si>
  <si>
    <t xml:space="preserve">https://www.brightonco.gov/1596/Interactive-Development-Map</t>
  </si>
  <si>
    <t xml:space="preserve">https://www.brightonco.gov/222/Permitting</t>
  </si>
  <si>
    <t xml:space="preserve">https://www.brightonco.gov/553/Long-Range-Planning</t>
  </si>
  <si>
    <t xml:space="preserve">https://www.brightonco.gov/agendacenter</t>
  </si>
  <si>
    <t xml:space="preserve">https://www.brightonco.gov/453/Legal-Notices</t>
  </si>
  <si>
    <t xml:space="preserve">https://www.brightonco.gov/175/News</t>
  </si>
  <si>
    <t xml:space="preserve">Use city land-use resources and Adams County property/recording/tax sources for Adams County parcels.</t>
  </si>
  <si>
    <t xml:space="preserve">https://www.c3gov.com/Home</t>
  </si>
  <si>
    <t xml:space="preserve">https://www.c3gov.com/Residents/Maps-Data-GIS</t>
  </si>
  <si>
    <t xml:space="preserve">https://www.c3gov.com/Government/City-Codes/Land-Development-Code</t>
  </si>
  <si>
    <t xml:space="preserve">https://www.c3gov.com/Government/Departments-Divisions/Community-Development</t>
  </si>
  <si>
    <t xml:space="preserve">https://www.c3gov.com/Business-Development/Development-Projects-Map</t>
  </si>
  <si>
    <t xml:space="preserve">https://www.c3gov.com/Business-Development/Building-Permits-Inspections</t>
  </si>
  <si>
    <t xml:space="preserve">https://www.c3gov.com/Government/City-Charter-Master-Plans/Comprehensive-Plan</t>
  </si>
  <si>
    <t xml:space="preserve">https://www.c3gov.com/Site-Footer/Footer-Widgets/Quick-Links/Meeting-Agendas-and-Schedules</t>
  </si>
  <si>
    <t xml:space="preserve">https://www.c3gov.com/Government/Departments-Divisions/City-Clerks-Office/Legal-Notices-Ordinances</t>
  </si>
  <si>
    <t xml:space="preserve">https://www.c3gov.com/Government/Media-News/News-Announcements</t>
  </si>
  <si>
    <t xml:space="preserve">Use city land-use resources and Adams County property/recording/tax sources.</t>
  </si>
  <si>
    <t xml:space="preserve">https://www.fedheights.org/</t>
  </si>
  <si>
    <t xml:space="preserve">https://www.fedheights.org/index.asp?SEC=D1A883BE-0C29-4602-8CC9-5D6A08DA5503</t>
  </si>
  <si>
    <t xml:space="preserve">https://www.fedheights.org/index.asp?SEC=D7AA9940-8607-468A-8215-7308DD3BF799</t>
  </si>
  <si>
    <t xml:space="preserve">https://www.fedheights.org/planning</t>
  </si>
  <si>
    <t xml:space="preserve">https://www.fedheights.org/index.asp?SEC=%7B76F23E1D-0819-4BAB-BD73-23D6092E8A3B%7D&amp;persistdesign=none</t>
  </si>
  <si>
    <t xml:space="preserve">https://www.fedheights.org/index.asp?SEC=D1CB6EB6-9C4B-4FA8-B119-EF1785E54CB6</t>
  </si>
  <si>
    <t xml:space="preserve">https://www.fedheights.org/index.asp?SEC=%7B5CF1D2C4-3E29-4A1A-BBFA-2BE19B3ABFD0%7D</t>
  </si>
  <si>
    <t xml:space="preserve">https://www.fedheights.org/index.asp?SEC=%7BE66D34DF-8290-4807-83DA-3AF56D110C00%7D</t>
  </si>
  <si>
    <t xml:space="preserve">https://www.fedheights.org/index.asp?SEC=%7B13723B89-BA4A-47C1-9634-50363F8CD1D2%7D&amp;persistdesign=none</t>
  </si>
  <si>
    <t xml:space="preserve">https://www.fedheights.org/index.asp?SEC=407F7286-34E9-495F-B5F7-88E905D7C9A5</t>
  </si>
  <si>
    <t xml:space="preserve">Lochbuie</t>
  </si>
  <si>
    <t xml:space="preserve">Use town land-use resources; confirm the parcel's county before deed, tax and assessor research.</t>
  </si>
  <si>
    <t xml:space="preserve">https://www.lochbuie.org/</t>
  </si>
  <si>
    <t xml:space="preserve">https://www.lochbuie.org/community-dev/page/interactive-land-use-map</t>
  </si>
  <si>
    <t xml:space="preserve">https://www.lochbuie.org/administration/page/zoning-map</t>
  </si>
  <si>
    <t xml:space="preserve">https://www.lochbuie.org/community-dev/page/current-planning</t>
  </si>
  <si>
    <t xml:space="preserve">https://www.lochbuie.org/projects</t>
  </si>
  <si>
    <t xml:space="preserve">https://www.lochbuie.org/community-dev/page/building-permits-and-inspections</t>
  </si>
  <si>
    <t xml:space="preserve">https://www.lochbuie.org/community-dev/page/documents</t>
  </si>
  <si>
    <t xml:space="preserve">https://www.lochbuie.org/meetings</t>
  </si>
  <si>
    <t xml:space="preserve">https://www.lochbuie.org/publicnotice</t>
  </si>
  <si>
    <t xml:space="preserve">https://www.lochbuie.org/news</t>
  </si>
  <si>
    <t xml:space="preserve">Use city land-use resources; confirm the parcel's county before recorder, assessor and tax research.</t>
  </si>
  <si>
    <t xml:space="preserve">https://www.northglenn.org/</t>
  </si>
  <si>
    <t xml:space="preserve">https://biz.northglenn.org/quickzone</t>
  </si>
  <si>
    <t xml:space="preserve">https://www.northglenn.org/government/land_use_zoning/new_code_northglenn.php</t>
  </si>
  <si>
    <t xml:space="preserve">https://www.northglenn.org/government/departments/planning_development/index.php</t>
  </si>
  <si>
    <t xml:space="preserve">https://www.northglenn.org/government/project_updates/</t>
  </si>
  <si>
    <t xml:space="preserve">https://www.northglenn.org/government/departments/building/pull_a_permit.php</t>
  </si>
  <si>
    <t xml:space="preserve">https://www.northglenn.org/government/land_use_zoning/comprehensive_plan.php</t>
  </si>
  <si>
    <t xml:space="preserve">https://webdocs.northglenn.org/</t>
  </si>
  <si>
    <t xml:space="preserve">https://www.northglenn.org/newslist.php</t>
  </si>
  <si>
    <t xml:space="preserve">Use city land-use resources; confirm the parcel's county before county-record research.</t>
  </si>
  <si>
    <t xml:space="preserve">https://www.thorntonco.gov/</t>
  </si>
  <si>
    <t xml:space="preserve">https://cityofthornton.maps.arcgis.com/apps/webappviewer/index.html?id=643abe02e8b8446586b6eb6d8ed43f84</t>
  </si>
  <si>
    <t xml:space="preserve">https://www.thorntonco.gov/business-development/city-development/current-planning-zoning/zoning-districts-uses-and-regulations</t>
  </si>
  <si>
    <t xml:space="preserve">https://www.thorntonco.gov/business-development/city-development</t>
  </si>
  <si>
    <t xml:space="preserve">https://www.thorntonco.gov/business-development/active-development</t>
  </si>
  <si>
    <t xml:space="preserve">https://www.thorntonco.gov/business-development/city-development/building-permits-inspections</t>
  </si>
  <si>
    <t xml:space="preserve">https://www.thorntonco.gov/business-development/city-development/long-range-planning/plans/thornton-comprehensive-plan</t>
  </si>
  <si>
    <t xml:space="preserve">https://www.thorntonco.gov/government/mayor-council/upcoming-meetings</t>
  </si>
  <si>
    <t xml:space="preserve">https://www.thorntonco.gov/government/public-notices</t>
  </si>
  <si>
    <t xml:space="preserve">https://www.thorntonco.gov/news</t>
  </si>
  <si>
    <t xml:space="preserve">https://www.westminsterco.gov/</t>
  </si>
  <si>
    <t xml:space="preserve">https://www.westminsterco.gov/471/Maps</t>
  </si>
  <si>
    <t xml:space="preserve">https://www.westminsterco.gov/727/Zoning</t>
  </si>
  <si>
    <t xml:space="preserve">https://www.westminsterco.gov/707/Planning</t>
  </si>
  <si>
    <t xml:space="preserve">https://www.westminsterco.gov/855/Current-Development-Project-Map</t>
  </si>
  <si>
    <t xml:space="preserve">https://www.westminsterco.gov/617/Apply-for-a-Permit-Project</t>
  </si>
  <si>
    <t xml:space="preserve">https://www.westminsterco.gov/DocumentCenter/View/5605/Comprehensive-Plan_November2025-LR</t>
  </si>
  <si>
    <t xml:space="preserve">https://www.westminsterco.gov/AgendaCenter</t>
  </si>
  <si>
    <t xml:space="preserve">https://www.westminsterco.gov/1098/Public-Notices</t>
  </si>
  <si>
    <t xml:space="preserve">https://www.westminsterco.gov/m/NewsFlash</t>
  </si>
  <si>
    <t xml:space="preserve">RESOURCE DIRECTORY — every curated source in one filterable table</t>
  </si>
  <si>
    <t xml:space="preserve">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</si>
  <si>
    <t xml:space="preserve">Jurisdiction / Agency</t>
  </si>
  <si>
    <t xml:space="preserve">Resource</t>
  </si>
  <si>
    <t xml:space="preserve">What It Provides</t>
  </si>
  <si>
    <t xml:space="preserve">Best Use / Why It Matters</t>
  </si>
  <si>
    <t xml:space="preserve">Link</t>
  </si>
  <si>
    <t xml:space="preserve">Priority</t>
  </si>
  <si>
    <t xml:space="preserve">Adams County</t>
  </si>
  <si>
    <t xml:space="preserve">Jurisdictions</t>
  </si>
  <si>
    <t xml:space="preserve">Cities &amp; Towns in Adams County</t>
  </si>
  <si>
    <t xml:space="preserve">Official county list of municipalities with territory in Adams County and named unincorporated communities.</t>
  </si>
  <si>
    <t xml:space="preserve">Confirm which municipal websites belong in the search set.</t>
  </si>
  <si>
    <t xml:space="preserve">https://adamscountyco.gov/about-adams-county/cities-towns/</t>
  </si>
  <si>
    <t xml:space="preserve">Critical</t>
  </si>
  <si>
    <t xml:space="preserve">Property Search</t>
  </si>
  <si>
    <t xml:space="preserve">Search Real Property</t>
  </si>
  <si>
    <t xml:space="preserve">County assessor entry page for parcel, owner, address, account and assessment research.</t>
  </si>
  <si>
    <t xml:space="preserve">Start every Adams County property investigation and obtain the parcel/account number.</t>
  </si>
  <si>
    <t xml:space="preserve">Assessor Quick Search</t>
  </si>
  <si>
    <t xml:space="preserve">Direct assessor/GIS parcel lookup.</t>
  </si>
  <si>
    <t xml:space="preserve">Search by owner, address, parcel or account number and view assessment attributes.</t>
  </si>
  <si>
    <t xml:space="preserve">Assessor</t>
  </si>
  <si>
    <t xml:space="preserve">Assessor Office</t>
  </si>
  <si>
    <t xml:space="preserve">Assessment, valuation, exemptions, appeals and ownership record guidance.</t>
  </si>
  <si>
    <t xml:space="preserve">Resolve valuation or ownership questions and locate appeal information.</t>
  </si>
  <si>
    <t xml:space="preserve">https://adamscountyco.gov/our-county/elected-officials/assessor/</t>
  </si>
  <si>
    <t xml:space="preserve">GIS / Data</t>
  </si>
  <si>
    <t xml:space="preserve">Assessor Maps &amp; Data</t>
  </si>
  <si>
    <t xml:space="preserve">Assessor mapping and downloadable property-related data resources.</t>
  </si>
  <si>
    <t xml:space="preserve">Cross-check parcel geometry, neighborhood and assessment map data.</t>
  </si>
  <si>
    <t xml:space="preserve">https://adamscountyco.gov/our-county/elected-officials/assessor/maps-data/</t>
  </si>
  <si>
    <t xml:space="preserve">GIS Interactive Maps</t>
  </si>
  <si>
    <t xml:space="preserve">County interactive mapping applications.</t>
  </si>
  <si>
    <t xml:space="preserve">Screen parcels, boundaries, services, hazards and other mapped county data.</t>
  </si>
  <si>
    <t xml:space="preserve">Geographic Information Systems</t>
  </si>
  <si>
    <t xml:space="preserve">County GIS program overview and limitations.</t>
  </si>
  <si>
    <t xml:space="preserve">Understand map sources and remember that GIS parcel lines are not a legal survey.</t>
  </si>
  <si>
    <t xml:space="preserve">https://adamscountyco.gov/our-county/information-technology-innovation/geographic-information-systems/</t>
  </si>
  <si>
    <t xml:space="preserve">Recorded Documents</t>
  </si>
  <si>
    <t xml:space="preserve">Find Public Records / Recorded Documents</t>
  </si>
  <si>
    <t xml:space="preserve">Guide to recorded real estate documents, search methods and copies.</t>
  </si>
  <si>
    <t xml:space="preserve">Learn how to search deeds, deeds of trust, releases, easements, liens, plats and related filings.</t>
  </si>
  <si>
    <t xml:space="preserve">https://adamscountyco.gov/service/find-public-records-recorded-documents/</t>
  </si>
  <si>
    <t xml:space="preserve">Landmark Web Recording Search</t>
  </si>
  <si>
    <t xml:space="preserve">Direct public index for recorded documents.</t>
  </si>
  <si>
    <t xml:space="preserve">Search the grantor/grantee index, legal description references and document numbers.</t>
  </si>
  <si>
    <t xml:space="preserve">Recording Division</t>
  </si>
  <si>
    <t xml:space="preserve">Recorder services, fees, document standards and contact information.</t>
  </si>
  <si>
    <t xml:space="preserve">Order copies or resolve questions about recorded instruments.</t>
  </si>
  <si>
    <t xml:space="preserve">https://adamscountyco.gov/our-county/elected-officials/clerk-recorder/recording/</t>
  </si>
  <si>
    <t xml:space="preserve">Survey / Plat</t>
  </si>
  <si>
    <t xml:space="preserve">Land Survey Plats</t>
  </si>
  <si>
    <t xml:space="preserve">Recorded survey plat resources and filing information.</t>
  </si>
  <si>
    <t xml:space="preserve">Research recorded surveys and surveyor filings; still obtain a current survey when required.</t>
  </si>
  <si>
    <t xml:space="preserve">Public Postings</t>
  </si>
  <si>
    <t xml:space="preserve">Public Document Postings</t>
  </si>
  <si>
    <t xml:space="preserve">Publicly posted documents maintained through the recording division.</t>
  </si>
  <si>
    <t xml:space="preserve">Check statutory postings and other public documents relevant to a parcel or entity.</t>
  </si>
  <si>
    <t xml:space="preserve">https://adamscountyco.gov/our-county/elected-officials/clerk-recorder/recording/public-document-postings/</t>
  </si>
  <si>
    <t xml:space="preserve">Useful</t>
  </si>
  <si>
    <t xml:space="preserve">Property Tax</t>
  </si>
  <si>
    <t xml:space="preserve">Adams County Tax Portal</t>
  </si>
  <si>
    <t xml:space="preserve">Direct tax account search and payment portal.</t>
  </si>
  <si>
    <t xml:space="preserve">Verify current taxes, balances, tax history and payment status.</t>
  </si>
  <si>
    <t xml:space="preserve">Treasurer Division</t>
  </si>
  <si>
    <t xml:space="preserve">Treasurer services and property-tax administration information.</t>
  </si>
  <si>
    <t xml:space="preserve">Resolve tax bills, payment questions and certificates.</t>
  </si>
  <si>
    <t xml:space="preserve">https://adamscountyco.gov/our-county/elected-officials/treasurer-public-trustee/treasurer-division/</t>
  </si>
  <si>
    <t xml:space="preserve">Property Tax Information</t>
  </si>
  <si>
    <t xml:space="preserve">Property tax timelines, payment methods and frequently used tax information.</t>
  </si>
  <si>
    <t xml:space="preserve">Understand due dates, delinquency and tax account procedures.</t>
  </si>
  <si>
    <t xml:space="preserve">https://adamscountyco.gov/our-county/elected-officials/treasurer-public-trustee/treasurer-division/property-tax-information/</t>
  </si>
  <si>
    <t xml:space="preserve">Tax Lien</t>
  </si>
  <si>
    <t xml:space="preserve">Tax Lien Sale</t>
  </si>
  <si>
    <t xml:space="preserve">County tax lien sale process and related information.</t>
  </si>
  <si>
    <t xml:space="preserve">Research delinquent tax liens and sale procedures.</t>
  </si>
  <si>
    <t xml:space="preserve">https://adamscountyco.gov/our-county/elected-officials/treasurer-public-trustee/treasurer-division/tax-lien-sale/</t>
  </si>
  <si>
    <t xml:space="preserve">Treasurer's Deed</t>
  </si>
  <si>
    <t xml:space="preserve">Information on the treasurer's deed process after a tax lien.</t>
  </si>
  <si>
    <t xml:space="preserve">Investigate tax-deed procedures and required notices.</t>
  </si>
  <si>
    <t xml:space="preserve">https://adamscountyco.gov/our-county/elected-officials/treasurer-public-trustee/treasurer-division/tax-lien-sale/treasurers-deed/</t>
  </si>
  <si>
    <t xml:space="preserve">Foreclosure</t>
  </si>
  <si>
    <t xml:space="preserve">Public Trustee Division</t>
  </si>
  <si>
    <t xml:space="preserve">County public trustee functions for deeds of trust and foreclosure administration.</t>
  </si>
  <si>
    <t xml:space="preserve">Understand foreclosure, releases and public trustee procedures.</t>
  </si>
  <si>
    <t xml:space="preserve">https://adamscountyco.gov/our-county/elected-officials/treasurer-public-trustee/public-trustee-division/</t>
  </si>
  <si>
    <t xml:space="preserve">Foreclosure Search</t>
  </si>
  <si>
    <t xml:space="preserve">Direct search of Adams County public trustee foreclosure records.</t>
  </si>
  <si>
    <t xml:space="preserve">Check pending and historical foreclosure activity associated with a borrower or property.</t>
  </si>
  <si>
    <t xml:space="preserve">Foreclosure Reports</t>
  </si>
  <si>
    <t xml:space="preserve">Public trustee foreclosure reports.</t>
  </si>
  <si>
    <t xml:space="preserve">Monitor foreclosure filings and sale-related reports.</t>
  </si>
  <si>
    <t xml:space="preserve">https://apps.adcogov.org/PTForeclosureSearch/reports</t>
  </si>
  <si>
    <t xml:space="preserve">Planning / Zoning</t>
  </si>
  <si>
    <t xml:space="preserve">Planning &amp; Development</t>
  </si>
  <si>
    <t xml:space="preserve">County planning, zoning and development review for unincorporated Adams County.</t>
  </si>
  <si>
    <t xml:space="preserve">Use only for unincorporated parcels; incorporated parcels are governed by their city or town.</t>
  </si>
  <si>
    <t xml:space="preserve">Development Standards &amp; Regulations</t>
  </si>
  <si>
    <t xml:space="preserve">Current county land-use and development regulations.</t>
  </si>
  <si>
    <t xml:space="preserve">Research zone districts, allowed uses, overlays, subdivisions and application standards in unincorporated areas.</t>
  </si>
  <si>
    <t xml:space="preserve">Current Land Use Cases</t>
  </si>
  <si>
    <t xml:space="preserve">Scheduled land-use cases, public hearings and recent decisions.</t>
  </si>
  <si>
    <t xml:space="preserve">Identify rezonings, conditional uses, plats, variances and nearby proposals before final approval.</t>
  </si>
  <si>
    <t xml:space="preserve">Long-Range Planning</t>
  </si>
  <si>
    <t xml:space="preserve">Advancing Adams Comprehensive Plan</t>
  </si>
  <si>
    <t xml:space="preserve">Countywide policy plan and future land-use maps for unincorporated Adams County.</t>
  </si>
  <si>
    <t xml:space="preserve">Evaluate future land-use direction, policy context and long-range growth patterns.</t>
  </si>
  <si>
    <t xml:space="preserve">Long Range Planning</t>
  </si>
  <si>
    <t xml:space="preserve">Adopted plans and ongoing long-range planning work.</t>
  </si>
  <si>
    <t xml:space="preserve">Find subarea, transportation and other adopted planning documents.</t>
  </si>
  <si>
    <t xml:space="preserve">https://adamscountyco.gov/our-county/community-economic-development/planning-development/long-range-planning/</t>
  </si>
  <si>
    <t xml:space="preserve">Permits &amp; Licensing</t>
  </si>
  <si>
    <t xml:space="preserve">County permit, license and Eye on Adams resources for unincorporated property.</t>
  </si>
  <si>
    <t xml:space="preserve">Find permit tools, licensing information and code-related records.</t>
  </si>
  <si>
    <t xml:space="preserve">https://adamscountyco.gov/our-county/community-economic-development/permits-licensing/</t>
  </si>
  <si>
    <t xml:space="preserve">Building Permit</t>
  </si>
  <si>
    <t xml:space="preserve">Building-permit application, review, payment and permit-tracking guidance.</t>
  </si>
  <si>
    <t xml:space="preserve">Research or apply for building permits in unincorporated Adams County.</t>
  </si>
  <si>
    <t xml:space="preserve">Apply for a Building Permit</t>
  </si>
  <si>
    <t xml:space="preserve">Service guide to the building-permit process and required resources.</t>
  </si>
  <si>
    <t xml:space="preserve">Use as a concise application starting point.</t>
  </si>
  <si>
    <t xml:space="preserve">https://adamscountyco.gov/service/apply-for-a-building-permit/</t>
  </si>
  <si>
    <t xml:space="preserve">Permit Fees &amp; Contractor Registration</t>
  </si>
  <si>
    <t xml:space="preserve">Permit fee and contractor licensing information.</t>
  </si>
  <si>
    <t xml:space="preserve">Estimate administrative requirements and verify contractor registration procedures.</t>
  </si>
  <si>
    <t xml:space="preserve">https://adamscountyco.gov/our-county/community-economic-development/building-safety/permit-fees-contractor-registration/</t>
  </si>
  <si>
    <t xml:space="preserve">Submittal Checklists</t>
  </si>
  <si>
    <t xml:space="preserve">Checklists for development and building submittals.</t>
  </si>
  <si>
    <t xml:space="preserve">Confirm required documents before filing an application.</t>
  </si>
  <si>
    <t xml:space="preserve">https://adamscountyco.gov/our-county/community-economic-development/submittal-checklists/</t>
  </si>
  <si>
    <t xml:space="preserve">Codes</t>
  </si>
  <si>
    <t xml:space="preserve">Codes &amp; Information</t>
  </si>
  <si>
    <t xml:space="preserve">Building codes, development regulations and related compliance resources.</t>
  </si>
  <si>
    <t xml:space="preserve">Verify current construction and land-use standards before design or acquisition.</t>
  </si>
  <si>
    <t xml:space="preserve">https://adamscountyco.gov/our-county/community-economic-development/permits-licensing/codes-information/</t>
  </si>
  <si>
    <t xml:space="preserve">Online Tools</t>
  </si>
  <si>
    <t xml:space="preserve">Community &amp; Economic Development Online Resources</t>
  </si>
  <si>
    <t xml:space="preserve">Online research and application resources for planning, building and permits.</t>
  </si>
  <si>
    <t xml:space="preserve">Use as a consolidated starting point for development services.</t>
  </si>
  <si>
    <t xml:space="preserve">https://adamscountyco.gov/our-county/community-economic-development/online-resources/</t>
  </si>
  <si>
    <t xml:space="preserve">Road / Access</t>
  </si>
  <si>
    <t xml:space="preserve">Public Works</t>
  </si>
  <si>
    <t xml:space="preserve">County roads, right-of-way, access, stormwater and infrastructure permit information.</t>
  </si>
  <si>
    <t xml:space="preserve">Check county road jurisdiction, access permits and public works projects.</t>
  </si>
  <si>
    <t xml:space="preserve">https://adamscountyco.gov/our-county/public-works/</t>
  </si>
  <si>
    <t xml:space="preserve">Meetings</t>
  </si>
  <si>
    <t xml:space="preserve">Public Meetings</t>
  </si>
  <si>
    <t xml:space="preserve">County boards, commissions, hearings and public participation links.</t>
  </si>
  <si>
    <t xml:space="preserve">Monitor decisions and public-comment opportunities.</t>
  </si>
  <si>
    <t xml:space="preserve">Current Meeting Agendas &amp; Archives</t>
  </si>
  <si>
    <t xml:space="preserve">Board of County Commissioners agendas, minutes, audio and public hearing information.</t>
  </si>
  <si>
    <t xml:space="preserve">Track pending and completed county actions.</t>
  </si>
  <si>
    <t xml:space="preserve">https://adamscountyco.gov/our-county/elected-officials/board-of-county-commissioners/current-meeting-agendas-archives/</t>
  </si>
  <si>
    <t xml:space="preserve">Adams County News</t>
  </si>
  <si>
    <t xml:space="preserve">Official county news and announcements.</t>
  </si>
  <si>
    <t xml:space="preserve">Monitor code updates, projects, hearings, public programs and policy changes.</t>
  </si>
  <si>
    <t xml:space="preserve">Planning &amp; Development News &amp; Updates</t>
  </si>
  <si>
    <t xml:space="preserve">Updates from the county planning and development division.</t>
  </si>
  <si>
    <t xml:space="preserve">Watch for development-regulation changes and planning initiatives.</t>
  </si>
  <si>
    <t xml:space="preserve">https://adamscountyco.gov/our-county/community-economic-development/planning-development/news-updates/</t>
  </si>
  <si>
    <t xml:space="preserve">Official Website</t>
  </si>
  <si>
    <t xml:space="preserve">City of Arvada</t>
  </si>
  <si>
    <t xml:space="preserve">Main city website and departmental navigation.</t>
  </si>
  <si>
    <t xml:space="preserve">Verify current city contacts and services.</t>
  </si>
  <si>
    <t xml:space="preserve">Reference</t>
  </si>
  <si>
    <t xml:space="preserve">GIS / Property</t>
  </si>
  <si>
    <t xml:space="preserve">Maps and Property Search</t>
  </si>
  <si>
    <t xml:space="preserve">City maps and parcel/property research links.</t>
  </si>
  <si>
    <t xml:space="preserve">Locate parcels, zoning and mapped city information.</t>
  </si>
  <si>
    <t xml:space="preserve">Zoning districts, regulations and zoning information.</t>
  </si>
  <si>
    <t xml:space="preserve">Confirm district and permitted-use rules.</t>
  </si>
  <si>
    <t xml:space="preserve">Planning and Development</t>
  </si>
  <si>
    <t xml:space="preserve">Planning, land use, development review and long-range resources.</t>
  </si>
  <si>
    <t xml:space="preserve">Start development or entitlement research.</t>
  </si>
  <si>
    <t xml:space="preserve">Code</t>
  </si>
  <si>
    <t xml:space="preserve">Land Development Code</t>
  </si>
  <si>
    <t xml:space="preserve">Current land-development regulations.</t>
  </si>
  <si>
    <t xml:space="preserve">Review use, dimensional, design and review standards.</t>
  </si>
  <si>
    <t xml:space="preserve">https://www.arvadaco.gov/1397/Land-Development-Code</t>
  </si>
  <si>
    <t xml:space="preserve">Development</t>
  </si>
  <si>
    <t xml:space="preserve">Active Development Projects</t>
  </si>
  <si>
    <t xml:space="preserve">Map/list of current development projects.</t>
  </si>
  <si>
    <t xml:space="preserve">Identify pending or active projects near a target property.</t>
  </si>
  <si>
    <t xml:space="preserve">Development Review Process</t>
  </si>
  <si>
    <t xml:space="preserve">Explanation of land-use and development review steps.</t>
  </si>
  <si>
    <t xml:space="preserve">Estimate entitlement path and required approvals.</t>
  </si>
  <si>
    <t xml:space="preserve">https://www.arvadaco.gov/1393/Development-Review-Process</t>
  </si>
  <si>
    <t xml:space="preserve">Planning Documents</t>
  </si>
  <si>
    <t xml:space="preserve">Documents and Downloads</t>
  </si>
  <si>
    <t xml:space="preserve">Applications, checklists, plans and planning documents.</t>
  </si>
  <si>
    <t xml:space="preserve">Collect forms and supporting standards.</t>
  </si>
  <si>
    <t xml:space="preserve">https://www.arvadaco.gov/363/Documents-and-Downloads</t>
  </si>
  <si>
    <t xml:space="preserve">City permit portal and permit categories.</t>
  </si>
  <si>
    <t xml:space="preserve">Find applicable city permits.</t>
  </si>
  <si>
    <t xml:space="preserve">Building Permits</t>
  </si>
  <si>
    <t xml:space="preserve">Building-permit requirements and guidance.</t>
  </si>
  <si>
    <t xml:space="preserve">Research construction permit needs.</t>
  </si>
  <si>
    <t xml:space="preserve">https://www.arvadaco.gov/332/Building-Permits</t>
  </si>
  <si>
    <t xml:space="preserve">eTRAKiT Help</t>
  </si>
  <si>
    <t xml:space="preserve">Online permit and project portal help.</t>
  </si>
  <si>
    <t xml:space="preserve">Search or manage permits and development cases.</t>
  </si>
  <si>
    <t xml:space="preserve">https://www.arvadaco.gov/593/eTRAKiT-Help/permithelp</t>
  </si>
  <si>
    <t xml:space="preserve">Permit History</t>
  </si>
  <si>
    <t xml:space="preserve">Researching Permits</t>
  </si>
  <si>
    <t xml:space="preserve">Instructions for researching historical permits.</t>
  </si>
  <si>
    <t xml:space="preserve">Check prior construction and permit records.</t>
  </si>
  <si>
    <t xml:space="preserve">https://www.arvadaco.gov/627/Researching-Permits</t>
  </si>
  <si>
    <t xml:space="preserve">2026-27 Comprehensive Plan</t>
  </si>
  <si>
    <t xml:space="preserve">Current comprehensive-plan update information.</t>
  </si>
  <si>
    <t xml:space="preserve">Track future land-use policy and plan changes.</t>
  </si>
  <si>
    <t xml:space="preserve">Plans</t>
  </si>
  <si>
    <t xml:space="preserve">City Plans</t>
  </si>
  <si>
    <t xml:space="preserve">Adopted and ongoing city plans.</t>
  </si>
  <si>
    <t xml:space="preserve">Review subarea and long-range policy documents.</t>
  </si>
  <si>
    <t xml:space="preserve">https://www.arvadaco.gov/304/City-Plans</t>
  </si>
  <si>
    <t xml:space="preserve">Planning Commission</t>
  </si>
  <si>
    <t xml:space="preserve">Planning Commission information and meeting resources.</t>
  </si>
  <si>
    <t xml:space="preserve">Monitor land-use recommendations and hearings.</t>
  </si>
  <si>
    <t xml:space="preserve">https://www.arvadaco.gov/276/Planning-Commission</t>
  </si>
  <si>
    <t xml:space="preserve">Agenda Center</t>
  </si>
  <si>
    <t xml:space="preserve">Agendas and minutes for city boards and council.</t>
  </si>
  <si>
    <t xml:space="preserve">Track official actions and hearing dates.</t>
  </si>
  <si>
    <t xml:space="preserve">Meetings and Other Legal Notices</t>
  </si>
  <si>
    <t xml:space="preserve">Official notices and public-hearing information.</t>
  </si>
  <si>
    <t xml:space="preserve">Confirm formal notice and comment deadlines.</t>
  </si>
  <si>
    <t xml:space="preserve">News Releases</t>
  </si>
  <si>
    <t xml:space="preserve">Official city news releases.</t>
  </si>
  <si>
    <t xml:space="preserve">Monitor city projects, policy and development announcements.</t>
  </si>
  <si>
    <t xml:space="preserve">Public Records</t>
  </si>
  <si>
    <t xml:space="preserve">Records and Requests</t>
  </si>
  <si>
    <t xml:space="preserve">Public records request information.</t>
  </si>
  <si>
    <t xml:space="preserve">Request records not available in online systems.</t>
  </si>
  <si>
    <t xml:space="preserve">https://www.arvadaco.gov/247/Records-and-Requests</t>
  </si>
  <si>
    <t xml:space="preserve">City of Aurora</t>
  </si>
  <si>
    <t xml:space="preserve">Main city website.</t>
  </si>
  <si>
    <t xml:space="preserve">Navigate city departments and services.</t>
  </si>
  <si>
    <t xml:space="preserve">Planning and Zoning Maps</t>
  </si>
  <si>
    <t xml:space="preserve">Planning, zoning and related interactive maps.</t>
  </si>
  <si>
    <t xml:space="preserve">Locate zoning, plan areas and mapped land-use information.</t>
  </si>
  <si>
    <t xml:space="preserve">GIS / Open Data</t>
  </si>
  <si>
    <t xml:space="preserve">Aurora Open Data Map Services</t>
  </si>
  <si>
    <t xml:space="preserve">City GIS open-data map services.</t>
  </si>
  <si>
    <t xml:space="preserve">Use detailed GIS layers or connect mapping software.</t>
  </si>
  <si>
    <t xml:space="preserve">https://ags.auroragov.org/aurora/rest/services/OpenData/MapServer</t>
  </si>
  <si>
    <t xml:space="preserve">Zoning Navigator</t>
  </si>
  <si>
    <t xml:space="preserve">Interactive zoning and development-code navigation.</t>
  </si>
  <si>
    <t xml:space="preserve">Research district standards and applicable regulations.</t>
  </si>
  <si>
    <t xml:space="preserve">Planning division resources, plans and land-use services.</t>
  </si>
  <si>
    <t xml:space="preserve">Start zoning or planning research.</t>
  </si>
  <si>
    <t xml:space="preserve">Planning &amp; Development Services</t>
  </si>
  <si>
    <t xml:space="preserve">Department-level planning, building and development services.</t>
  </si>
  <si>
    <t xml:space="preserve">Navigate project review and development departments.</t>
  </si>
  <si>
    <t xml:space="preserve">https://www.auroragov.org/city_hall/departments/planning___development_services</t>
  </si>
  <si>
    <t xml:space="preserve">Unified Development Ordinance</t>
  </si>
  <si>
    <t xml:space="preserve">Aurora's land-use and zoning ordinance.</t>
  </si>
  <si>
    <t xml:space="preserve">Review permitted uses, districts and development standards.</t>
  </si>
  <si>
    <t xml:space="preserve">https://www.auroragov.org/business_services/development_center/codes_rules/building___zoning_code/unified_development_ordinance</t>
  </si>
  <si>
    <t xml:space="preserve">Building &amp; Zoning Code</t>
  </si>
  <si>
    <t xml:space="preserve">Building and zoning code resources.</t>
  </si>
  <si>
    <t xml:space="preserve">Verify construction and zoning requirements.</t>
  </si>
  <si>
    <t xml:space="preserve">https://www.auroragov.org/business_services/development_center/codes_rules/building___zoning_code</t>
  </si>
  <si>
    <t xml:space="preserve">Project Status Search</t>
  </si>
  <si>
    <t xml:space="preserve">Online search for development project status.</t>
  </si>
  <si>
    <t xml:space="preserve">Check active or historical development review cases.</t>
  </si>
  <si>
    <t xml:space="preserve">Forms and Applications</t>
  </si>
  <si>
    <t xml:space="preserve">Development-center forms and applications.</t>
  </si>
  <si>
    <t xml:space="preserve">Identify required land-use and development submittals.</t>
  </si>
  <si>
    <t xml:space="preserve">https://www.auroragov.org/business_services/development_center/development_process/forms_and_applications</t>
  </si>
  <si>
    <t xml:space="preserve">Projects, Plans &amp; Studies</t>
  </si>
  <si>
    <t xml:space="preserve">Current and adopted planning projects and studies.</t>
  </si>
  <si>
    <t xml:space="preserve">Track area plans, corridor studies and policy changes.</t>
  </si>
  <si>
    <t xml:space="preserve">https://www.auroragov.org/business_services/planning/projects__plans___studies</t>
  </si>
  <si>
    <t xml:space="preserve">Comprehensive Plan</t>
  </si>
  <si>
    <t xml:space="preserve">Aurora comprehensive-plan resources.</t>
  </si>
  <si>
    <t xml:space="preserve">Evaluate future land-use and policy direction.</t>
  </si>
  <si>
    <t xml:space="preserve">Neighborhood Planning</t>
  </si>
  <si>
    <t xml:space="preserve">Area and neighborhood plan information.</t>
  </si>
  <si>
    <t xml:space="preserve">Research smaller-area plans affecting a parcel.</t>
  </si>
  <si>
    <t xml:space="preserve">https://www.auroragov.org/residents/neighborhood_planning</t>
  </si>
  <si>
    <t xml:space="preserve">Building permit information and application guidance.</t>
  </si>
  <si>
    <t xml:space="preserve">Check permit requirements and application paths.</t>
  </si>
  <si>
    <t xml:space="preserve">Development Center Permitting</t>
  </si>
  <si>
    <t xml:space="preserve">Development permitting and online processes.</t>
  </si>
  <si>
    <t xml:space="preserve">Manage or research development-related permits.</t>
  </si>
  <si>
    <t xml:space="preserve">https://www.auroragov.org/business_services/development_center/permitting</t>
  </si>
  <si>
    <t xml:space="preserve">Online Portal</t>
  </si>
  <si>
    <t xml:space="preserve">Aurora4Biz</t>
  </si>
  <si>
    <t xml:space="preserve">Online business, permit and licensing services.</t>
  </si>
  <si>
    <t xml:space="preserve">Access city permitting and business services.</t>
  </si>
  <si>
    <t xml:space="preserve">https://www.auroragov.org/business_services/aurora4biz</t>
  </si>
  <si>
    <t xml:space="preserve">Planning &amp; Zoning Commission</t>
  </si>
  <si>
    <t xml:space="preserve">Commission schedules, records and participation information.</t>
  </si>
  <si>
    <t xml:space="preserve">Monitor land-use hearings and recommendations.</t>
  </si>
  <si>
    <t xml:space="preserve">https://www.auroragov.org/city_hall/boards___commissions/planning___zoning_commission</t>
  </si>
  <si>
    <t xml:space="preserve">City Council Meetings</t>
  </si>
  <si>
    <t xml:space="preserve">Council meeting agendas and records.</t>
  </si>
  <si>
    <t xml:space="preserve">Track final legislative and land-use actions.</t>
  </si>
  <si>
    <t xml:space="preserve">Public Hearings</t>
  </si>
  <si>
    <t xml:space="preserve">Official public-hearing notices.</t>
  </si>
  <si>
    <t xml:space="preserve">Confirm hearing dates, applications and public-comment opportunities.</t>
  </si>
  <si>
    <t xml:space="preserve">Codes, ordinances, records and legal-notice navigation.</t>
  </si>
  <si>
    <t xml:space="preserve">Request or retrieve official city records.</t>
  </si>
  <si>
    <t xml:space="preserve">https://www.auroragov.org/city_hall/public_records</t>
  </si>
  <si>
    <t xml:space="preserve">What's New</t>
  </si>
  <si>
    <t xml:space="preserve">Official city news and announcements.</t>
  </si>
  <si>
    <t xml:space="preserve">Monitor city changes, projects and public initiatives.</t>
  </si>
  <si>
    <t xml:space="preserve">Town of Bennett</t>
  </si>
  <si>
    <t xml:space="preserve">Main town website.</t>
  </si>
  <si>
    <t xml:space="preserve">Navigate municipal services and updates.</t>
  </si>
  <si>
    <t xml:space="preserve">Bennett Zoning Map</t>
  </si>
  <si>
    <t xml:space="preserve">Official town zoning map.</t>
  </si>
  <si>
    <t xml:space="preserve">Identify the zoning district for a property.</t>
  </si>
  <si>
    <t xml:space="preserve">Planning and Zoning</t>
  </si>
  <si>
    <t xml:space="preserve">Planning and zoning services, forms and guidance.</t>
  </si>
  <si>
    <t xml:space="preserve">Start land-use and entitlement research.</t>
  </si>
  <si>
    <t xml:space="preserve">Planning &amp; Economic Development</t>
  </si>
  <si>
    <t xml:space="preserve">Department-level planning and economic-development resources.</t>
  </si>
  <si>
    <t xml:space="preserve">Find staff, plans and development assistance.</t>
  </si>
  <si>
    <t xml:space="preserve">https://www.bennettco.gov/planning-economic-development</t>
  </si>
  <si>
    <t xml:space="preserve">Zoning and Subdivision Regulations</t>
  </si>
  <si>
    <t xml:space="preserve">Town zoning and subdivision regulations.</t>
  </si>
  <si>
    <t xml:space="preserve">Review allowed uses, lot standards and subdivision rules.</t>
  </si>
  <si>
    <t xml:space="preserve">Development Portal</t>
  </si>
  <si>
    <t xml:space="preserve">Development applications, projects and related tools.</t>
  </si>
  <si>
    <t xml:space="preserve">Begin project and entitlement research.</t>
  </si>
  <si>
    <t xml:space="preserve">https://www.bennettco.gov/development</t>
  </si>
  <si>
    <t xml:space="preserve">Active Projects</t>
  </si>
  <si>
    <t xml:space="preserve">Current town projects and development information.</t>
  </si>
  <si>
    <t xml:space="preserve">Monitor infrastructure and development activity.</t>
  </si>
  <si>
    <t xml:space="preserve">Applicant Guides</t>
  </si>
  <si>
    <t xml:space="preserve">Guides for planning and development applications.</t>
  </si>
  <si>
    <t xml:space="preserve">Understand application standards and submittals.</t>
  </si>
  <si>
    <t xml:space="preserve">https://www.bennettco.gov/planning-economic-development/page/applicant-guides</t>
  </si>
  <si>
    <t xml:space="preserve">Self-Service Guide: Permits and Zoning</t>
  </si>
  <si>
    <t xml:space="preserve">Online guidance for permits and zoning services.</t>
  </si>
  <si>
    <t xml:space="preserve">Navigate permit and zoning requests.</t>
  </si>
  <si>
    <t xml:space="preserve">https://www.bennettco.gov/community-development/page/self-service-guide-permits-and-zoning</t>
  </si>
  <si>
    <t xml:space="preserve">Building Department</t>
  </si>
  <si>
    <t xml:space="preserve">Building permits, inspections and code information.</t>
  </si>
  <si>
    <t xml:space="preserve">Research construction permitting.</t>
  </si>
  <si>
    <t xml:space="preserve">How to Obtain a Permit</t>
  </si>
  <si>
    <t xml:space="preserve">Step-by-step permit guidance.</t>
  </si>
  <si>
    <t xml:space="preserve">Prepare a building permit application.</t>
  </si>
  <si>
    <t xml:space="preserve">https://www.bennettco.gov/community-development/page/how-obtain-permit</t>
  </si>
  <si>
    <t xml:space="preserve">Master Plans and Guiding Documents</t>
  </si>
  <si>
    <t xml:space="preserve">Town master plans and policy documents.</t>
  </si>
  <si>
    <t xml:space="preserve">Evaluate future land-use and infrastructure direction.</t>
  </si>
  <si>
    <t xml:space="preserve">Commission information and meeting resources.</t>
  </si>
  <si>
    <t xml:space="preserve">Monitor planning hearings and recommendations.</t>
  </si>
  <si>
    <t xml:space="preserve">https://www.bennettco.gov/planning-and-zoning-commission</t>
  </si>
  <si>
    <t xml:space="preserve">Recent Meetings</t>
  </si>
  <si>
    <t xml:space="preserve">Agendas and meeting records.</t>
  </si>
  <si>
    <t xml:space="preserve">Track board and commission actions.</t>
  </si>
  <si>
    <t xml:space="preserve">Town public-records request information.</t>
  </si>
  <si>
    <t xml:space="preserve">Obtain records not posted online.</t>
  </si>
  <si>
    <t xml:space="preserve">Town News</t>
  </si>
  <si>
    <t xml:space="preserve">Official Bennett news and notices.</t>
  </si>
  <si>
    <t xml:space="preserve">Monitor code, permit, project and public-service updates.</t>
  </si>
  <si>
    <t xml:space="preserve">City of Brighton</t>
  </si>
  <si>
    <t xml:space="preserve">Navigate city services and departments.</t>
  </si>
  <si>
    <t xml:space="preserve">City GIS maps and data.</t>
  </si>
  <si>
    <t xml:space="preserve">Research parcels, infrastructure and municipal mapping.</t>
  </si>
  <si>
    <t xml:space="preserve">Zoning / Planning</t>
  </si>
  <si>
    <t xml:space="preserve">Planning &amp; Zoning</t>
  </si>
  <si>
    <t xml:space="preserve">Planning, zoning, applications and staff resources.</t>
  </si>
  <si>
    <t xml:space="preserve">Start zoning and entitlement research.</t>
  </si>
  <si>
    <t xml:space="preserve">Land Use &amp; Development Code</t>
  </si>
  <si>
    <t xml:space="preserve">Current city land-use and development code.</t>
  </si>
  <si>
    <t xml:space="preserve">Review zoning districts, uses and development standards.</t>
  </si>
  <si>
    <t xml:space="preserve">Land Use &amp; Development Applications</t>
  </si>
  <si>
    <t xml:space="preserve">Applications and procedural information.</t>
  </si>
  <si>
    <t xml:space="preserve">Identify entitlement types and application requirements.</t>
  </si>
  <si>
    <t xml:space="preserve">https://www.brightonco.gov/1142/Land-Use-Development-Applications</t>
  </si>
  <si>
    <t xml:space="preserve">Interactive Development Map</t>
  </si>
  <si>
    <t xml:space="preserve">Interactive map of development activity.</t>
  </si>
  <si>
    <t xml:space="preserve">Find active projects near a target property.</t>
  </si>
  <si>
    <t xml:space="preserve">Development Resources</t>
  </si>
  <si>
    <t xml:space="preserve">Development standards, guides and applicant resources.</t>
  </si>
  <si>
    <t xml:space="preserve">Plan a development submittal or feasibility review.</t>
  </si>
  <si>
    <t xml:space="preserve">https://www.brightonco.gov/1146/Development-Resources</t>
  </si>
  <si>
    <t xml:space="preserve">Permitting</t>
  </si>
  <si>
    <t xml:space="preserve">City permitting resources and online services.</t>
  </si>
  <si>
    <t xml:space="preserve">Research permit requirements and status.</t>
  </si>
  <si>
    <t xml:space="preserve">Building and municipal code resources.</t>
  </si>
  <si>
    <t xml:space="preserve">Confirm adopted construction and municipal standards.</t>
  </si>
  <si>
    <t xml:space="preserve">https://www.brightonco.gov/1194/Codes</t>
  </si>
  <si>
    <t xml:space="preserve">Comprehensive and area planning resources.</t>
  </si>
  <si>
    <t xml:space="preserve">Research future land use and long-range initiatives.</t>
  </si>
  <si>
    <t xml:space="preserve">Planning Commission information.</t>
  </si>
  <si>
    <t xml:space="preserve">https://www.brightonco.gov/197/Planning-Commission</t>
  </si>
  <si>
    <t xml:space="preserve">Agendas, minutes and meeting records.</t>
  </si>
  <si>
    <t xml:space="preserve">Track official city decisions.</t>
  </si>
  <si>
    <t xml:space="preserve">Legal Notices</t>
  </si>
  <si>
    <t xml:space="preserve">Official legal notices and hearing postings.</t>
  </si>
  <si>
    <t xml:space="preserve">Confirm formal notices and deadlines.</t>
  </si>
  <si>
    <t xml:space="preserve">City News</t>
  </si>
  <si>
    <t xml:space="preserve">Monitor projects, policy and community changes.</t>
  </si>
  <si>
    <t xml:space="preserve">Alerts</t>
  </si>
  <si>
    <t xml:space="preserve">Notify Me</t>
  </si>
  <si>
    <t xml:space="preserve">Email subscription categories and alerts.</t>
  </si>
  <si>
    <t xml:space="preserve">Subscribe to meeting, project and news updates.</t>
  </si>
  <si>
    <t xml:space="preserve">https://www.brightonco.gov/notifyme</t>
  </si>
  <si>
    <t xml:space="preserve">Maps, Data &amp; GIS</t>
  </si>
  <si>
    <t xml:space="preserve">City maps, data and GIS resources.</t>
  </si>
  <si>
    <t xml:space="preserve">Research zoning, parcels, boundaries and infrastructure.</t>
  </si>
  <si>
    <t xml:space="preserve">City land-development regulations.</t>
  </si>
  <si>
    <t xml:space="preserve">Review zoning, use, subdivision and development standards.</t>
  </si>
  <si>
    <t xml:space="preserve">Land Development Code Transition</t>
  </si>
  <si>
    <t xml:space="preserve">Information on current code changes and transition rules.</t>
  </si>
  <si>
    <t xml:space="preserve">Check which code version applies to a project.</t>
  </si>
  <si>
    <t xml:space="preserve">https://www.c3gov.com/Government/City-Codes/Land-Development-Code/Land-Development-Code-Transition</t>
  </si>
  <si>
    <t xml:space="preserve">Zoning / Standards</t>
  </si>
  <si>
    <t xml:space="preserve">Land Use Standards</t>
  </si>
  <si>
    <t xml:space="preserve">Land-use and development standards.</t>
  </si>
  <si>
    <t xml:space="preserve">Confirm site and use requirements.</t>
  </si>
  <si>
    <t xml:space="preserve">https://www.c3gov.com/Business-Development/Developing-in-Commerce-City/Land-Use-Standards</t>
  </si>
  <si>
    <t xml:space="preserve">Community Development</t>
  </si>
  <si>
    <t xml:space="preserve">Planning, building and development department resources.</t>
  </si>
  <si>
    <t xml:space="preserve">Start land-use and development research.</t>
  </si>
  <si>
    <t xml:space="preserve">Developing in Commerce City</t>
  </si>
  <si>
    <t xml:space="preserve">Development-process overview and resources.</t>
  </si>
  <si>
    <t xml:space="preserve">Understand approvals, standards and contacts.</t>
  </si>
  <si>
    <t xml:space="preserve">https://www.c3gov.com/Business-Development/Developing-in-Commerce-City</t>
  </si>
  <si>
    <t xml:space="preserve">Land Use Approvals</t>
  </si>
  <si>
    <t xml:space="preserve">Land-use approval types and application guidance.</t>
  </si>
  <si>
    <t xml:space="preserve">Determine the entitlement process for a proposal.</t>
  </si>
  <si>
    <t xml:space="preserve">https://www.c3gov.com/Business-Development/Developing-in-Commerce-City/Land-Use-Approvals</t>
  </si>
  <si>
    <t xml:space="preserve">Development Projects Map</t>
  </si>
  <si>
    <t xml:space="preserve">Map of active development projects.</t>
  </si>
  <si>
    <t xml:space="preserve">Identify projects near a property and monitor status.</t>
  </si>
  <si>
    <t xml:space="preserve">Building Permits &amp; Inspections</t>
  </si>
  <si>
    <t xml:space="preserve">Building-permit and inspection information.</t>
  </si>
  <si>
    <t xml:space="preserve">Research construction permits and inspections.</t>
  </si>
  <si>
    <t xml:space="preserve">eTRAKiT Portal</t>
  </si>
  <si>
    <t xml:space="preserve">Online permitting and project portal.</t>
  </si>
  <si>
    <t xml:space="preserve">https://www.c3gov.com/Business-Development/eTRAKiT-Portal</t>
  </si>
  <si>
    <t xml:space="preserve">City comprehensive plan and related documents.</t>
  </si>
  <si>
    <t xml:space="preserve">Evaluate future land use and city policy.</t>
  </si>
  <si>
    <t xml:space="preserve">Planning Commission information and meetings.</t>
  </si>
  <si>
    <t xml:space="preserve">https://www.c3gov.com/Government/Boards-Commissions/Planning-Commission</t>
  </si>
  <si>
    <t xml:space="preserve">Meeting Agendas and Schedules</t>
  </si>
  <si>
    <t xml:space="preserve">Agendas, schedules and public meeting records.</t>
  </si>
  <si>
    <t xml:space="preserve">Track city council and board action.</t>
  </si>
  <si>
    <t xml:space="preserve">Legal Notices &amp; Ordinances</t>
  </si>
  <si>
    <t xml:space="preserve">Official legal notices and ordinances.</t>
  </si>
  <si>
    <t xml:space="preserve">Confirm hearings, ordinances and public-notice deadlines.</t>
  </si>
  <si>
    <t xml:space="preserve">News &amp; Announcements</t>
  </si>
  <si>
    <t xml:space="preserve">Monitor projects, policies and public updates.</t>
  </si>
  <si>
    <t xml:space="preserve">City of Federal Heights</t>
  </si>
  <si>
    <t xml:space="preserve">City Maps and GIS Data</t>
  </si>
  <si>
    <t xml:space="preserve">City maps, zoning map and GIS resources.</t>
  </si>
  <si>
    <t xml:space="preserve">Identify municipal boundaries and mapped information.</t>
  </si>
  <si>
    <t xml:space="preserve">Zoning Information</t>
  </si>
  <si>
    <t xml:space="preserve">Zoning district and zoning process information.</t>
  </si>
  <si>
    <t xml:space="preserve">Confirm zoning rules and contacts.</t>
  </si>
  <si>
    <t xml:space="preserve">Planning services and land-use information.</t>
  </si>
  <si>
    <t xml:space="preserve">Start zoning or development research.</t>
  </si>
  <si>
    <t xml:space="preserve">Municipal Code and Charter</t>
  </si>
  <si>
    <t xml:space="preserve">Municipal code and charter resources.</t>
  </si>
  <si>
    <t xml:space="preserve">Review official local regulations.</t>
  </si>
  <si>
    <t xml:space="preserve">https://www.fedheights.org/index.asp?SEC=E0D5E6BC-02A8-4AEF-88A1-9093297C3662</t>
  </si>
  <si>
    <t xml:space="preserve">Building permits, inspections and adopted codes.</t>
  </si>
  <si>
    <t xml:space="preserve">Research building-permit requirements.</t>
  </si>
  <si>
    <t xml:space="preserve">Building Guides</t>
  </si>
  <si>
    <t xml:space="preserve">Building and permit guidance documents.</t>
  </si>
  <si>
    <t xml:space="preserve">Prepare a permit submittal.</t>
  </si>
  <si>
    <t xml:space="preserve">https://www.fedheights.org/index.asp?SEC=%7BCB7135BC-846F-468B-B85D-0ECE8B03FFCD%7D&amp;persistdesign=none</t>
  </si>
  <si>
    <t xml:space="preserve">Monthly Permit Reports</t>
  </si>
  <si>
    <t xml:space="preserve">Monthly building-permit reports.</t>
  </si>
  <si>
    <t xml:space="preserve">Review recent permit activity and construction trends.</t>
  </si>
  <si>
    <t xml:space="preserve">Comprehensive-plan information.</t>
  </si>
  <si>
    <t xml:space="preserve">Evaluate future land use and policy direction.</t>
  </si>
  <si>
    <t xml:space="preserve">Meetings and Study Sessions</t>
  </si>
  <si>
    <t xml:space="preserve">Council minutes and audio recordings.</t>
  </si>
  <si>
    <t xml:space="preserve">Track council decisions and discussions.</t>
  </si>
  <si>
    <t xml:space="preserve">Public records request process.</t>
  </si>
  <si>
    <t xml:space="preserve">Request planning, permit or city records not posted online.</t>
  </si>
  <si>
    <t xml:space="preserve">News and Events</t>
  </si>
  <si>
    <t xml:space="preserve">Official news and city calendar.</t>
  </si>
  <si>
    <t xml:space="preserve">Monitor meetings, announcements and city activity.</t>
  </si>
  <si>
    <t xml:space="preserve">Newsletter</t>
  </si>
  <si>
    <t xml:space="preserve">The Federal Heights Focus</t>
  </si>
  <si>
    <t xml:space="preserve">Quarterly official city newsletter.</t>
  </si>
  <si>
    <t xml:space="preserve">Monitor policy, infrastructure and community updates.</t>
  </si>
  <si>
    <t xml:space="preserve">https://www.fedheights.org/index.asp?SEC=%7B2E7DCCA1-1FEF-4EA7-8AE7-6C3F92D19EF3%7D&amp;persistdesign=none</t>
  </si>
  <si>
    <t xml:space="preserve">Town of Lochbuie</t>
  </si>
  <si>
    <t xml:space="preserve">Interactive Land Use Map</t>
  </si>
  <si>
    <t xml:space="preserve">Interactive land-use and planning map.</t>
  </si>
  <si>
    <t xml:space="preserve">Research zoning and land-use information.</t>
  </si>
  <si>
    <t xml:space="preserve">GIS / Maps</t>
  </si>
  <si>
    <t xml:space="preserve">Maps</t>
  </si>
  <si>
    <t xml:space="preserve">Town mapping resources.</t>
  </si>
  <si>
    <t xml:space="preserve">Confirm planning areas and municipal map information.</t>
  </si>
  <si>
    <t xml:space="preserve">https://www.lochbuie.org/community-dev/page/maps</t>
  </si>
  <si>
    <t xml:space="preserve">Zoning Map</t>
  </si>
  <si>
    <t xml:space="preserve">Identify a property's zoning district.</t>
  </si>
  <si>
    <t xml:space="preserve">Current Planning</t>
  </si>
  <si>
    <t xml:space="preserve">Current planning applications and services.</t>
  </si>
  <si>
    <t xml:space="preserve">Research ongoing land-use review.</t>
  </si>
  <si>
    <t xml:space="preserve">Planning, building and development resources.</t>
  </si>
  <si>
    <t xml:space="preserve">Start project feasibility and entitlement research.</t>
  </si>
  <si>
    <t xml:space="preserve">https://www.lochbuie.org/community-dev</t>
  </si>
  <si>
    <t xml:space="preserve">Land Use Applications</t>
  </si>
  <si>
    <t xml:space="preserve">Land-use applications and procedural resources.</t>
  </si>
  <si>
    <t xml:space="preserve">Determine application types and requirements.</t>
  </si>
  <si>
    <t xml:space="preserve">https://www.lochbuie.org/community-dev/page/land-use-applications</t>
  </si>
  <si>
    <t xml:space="preserve">Development forms, standards and guidance.</t>
  </si>
  <si>
    <t xml:space="preserve">Prepare a development submittal.</t>
  </si>
  <si>
    <t xml:space="preserve">https://www.lochbuie.org/community-dev/page/development-resources</t>
  </si>
  <si>
    <t xml:space="preserve">Current town projects.</t>
  </si>
  <si>
    <t xml:space="preserve">Monitor development and infrastructure activity.</t>
  </si>
  <si>
    <t xml:space="preserve">Building Permits and Inspections</t>
  </si>
  <si>
    <t xml:space="preserve">Building permit and inspection guidance.</t>
  </si>
  <si>
    <t xml:space="preserve">Documents / Comprehensive Plan</t>
  </si>
  <si>
    <t xml:space="preserve">Adopted planning documents, including the current comprehensive plan.</t>
  </si>
  <si>
    <t xml:space="preserve">Long-range planning initiatives and plans.</t>
  </si>
  <si>
    <t xml:space="preserve">Track policy and growth planning.</t>
  </si>
  <si>
    <t xml:space="preserve">https://www.lochbuie.org/community-dev/page/long-range-planning</t>
  </si>
  <si>
    <t xml:space="preserve">Ordinances</t>
  </si>
  <si>
    <t xml:space="preserve">Town ordinances and adopted regulations.</t>
  </si>
  <si>
    <t xml:space="preserve">Review recent legal changes and local rules.</t>
  </si>
  <si>
    <t xml:space="preserve">https://www.lochbuie.org/publicnotice/page/ordinances</t>
  </si>
  <si>
    <t xml:space="preserve">Upcoming Meetings</t>
  </si>
  <si>
    <t xml:space="preserve">Upcoming board and commission meetings.</t>
  </si>
  <si>
    <t xml:space="preserve">Monitor hearing dates and agendas.</t>
  </si>
  <si>
    <t xml:space="preserve">Official public notices.</t>
  </si>
  <si>
    <t xml:space="preserve">Confirm hearings, ordinances and deadlines.</t>
  </si>
  <si>
    <t xml:space="preserve">Official town news.</t>
  </si>
  <si>
    <t xml:space="preserve">Monitor development and municipal announcements.</t>
  </si>
  <si>
    <t xml:space="preserve">Resident Portal / Alerts</t>
  </si>
  <si>
    <t xml:space="preserve">Town alert and portal resources.</t>
  </si>
  <si>
    <t xml:space="preserve">Subscribe to current notices and updates.</t>
  </si>
  <si>
    <t xml:space="preserve">https://www.lochbuie.org/portal</t>
  </si>
  <si>
    <t xml:space="preserve">City of Northglenn</t>
  </si>
  <si>
    <t xml:space="preserve">Planning, development review and economic-development resources.</t>
  </si>
  <si>
    <t xml:space="preserve">Land Use &amp; Zoning</t>
  </si>
  <si>
    <t xml:space="preserve">Zoning, land-use code and applications.</t>
  </si>
  <si>
    <t xml:space="preserve">Confirm district rules and application options.</t>
  </si>
  <si>
    <t xml:space="preserve">https://www.northglenn.org/government/land_use_zoning/index.php</t>
  </si>
  <si>
    <t xml:space="preserve">GIS / Zoning</t>
  </si>
  <si>
    <t xml:space="preserve">Official zoning map.</t>
  </si>
  <si>
    <t xml:space="preserve">Identify parcel zoning.</t>
  </si>
  <si>
    <t xml:space="preserve">https://www.northglenn.org/government/land_use_zoning/zoning_map.php</t>
  </si>
  <si>
    <t xml:space="preserve">QuickZone</t>
  </si>
  <si>
    <t xml:space="preserve">Interactive zoning/property lookup.</t>
  </si>
  <si>
    <t xml:space="preserve">Search an address and retrieve zoning information.</t>
  </si>
  <si>
    <t xml:space="preserve">Northglenn land-use and development code.</t>
  </si>
  <si>
    <t xml:space="preserve">Review permitted uses, design and development standards.</t>
  </si>
  <si>
    <t xml:space="preserve">Land-use application types and materials.</t>
  </si>
  <si>
    <t xml:space="preserve">Determine entitlement requirements.</t>
  </si>
  <si>
    <t xml:space="preserve">https://www.northglenn.org/government/land_use_zoning/land_use_applications.php</t>
  </si>
  <si>
    <t xml:space="preserve">Development review process and steps.</t>
  </si>
  <si>
    <t xml:space="preserve">Estimate project path and review timing.</t>
  </si>
  <si>
    <t xml:space="preserve">https://www.northglenn.org/government/departments/planning_development/development_review_process.php</t>
  </si>
  <si>
    <t xml:space="preserve">Project Updates</t>
  </si>
  <si>
    <t xml:space="preserve">City project and construction updates.</t>
  </si>
  <si>
    <t xml:space="preserve">Monitor development and public infrastructure projects.</t>
  </si>
  <si>
    <t xml:space="preserve">Licenses and Permits</t>
  </si>
  <si>
    <t xml:space="preserve">City licensing and permit resources.</t>
  </si>
  <si>
    <t xml:space="preserve">Locate applicable permits and application links.</t>
  </si>
  <si>
    <t xml:space="preserve">https://www.northglenn.org/services/licenses_and_permits/index.php</t>
  </si>
  <si>
    <t xml:space="preserve">Pull a Permit</t>
  </si>
  <si>
    <t xml:space="preserve">Building-permit application guidance.</t>
  </si>
  <si>
    <t xml:space="preserve">Apply for or research building permits.</t>
  </si>
  <si>
    <t xml:space="preserve">Comprehensive-plan resources.</t>
  </si>
  <si>
    <t xml:space="preserve">Area Plans</t>
  </si>
  <si>
    <t xml:space="preserve">Adopted small-area and corridor plans.</t>
  </si>
  <si>
    <t xml:space="preserve">Research area-specific policies affecting a property.</t>
  </si>
  <si>
    <t xml:space="preserve">https://www.northglenn.org/government/land_use_zoning/area_plans/index.php</t>
  </si>
  <si>
    <t xml:space="preserve">https://www.northglenn.org/government/boards_commissions/planning_commission.php</t>
  </si>
  <si>
    <t xml:space="preserve">Meetings / Records</t>
  </si>
  <si>
    <t xml:space="preserve">Public Meeting Records</t>
  </si>
  <si>
    <t xml:space="preserve">Searchable agendas, minutes and public meeting documents.</t>
  </si>
  <si>
    <t xml:space="preserve">Track city council and board actions.</t>
  </si>
  <si>
    <t xml:space="preserve">City News Listings</t>
  </si>
  <si>
    <t xml:space="preserve">Monitor projects, hearings and municipal changes.</t>
  </si>
  <si>
    <t xml:space="preserve">TextMyGov Notifications</t>
  </si>
  <si>
    <t xml:space="preserve">Text alerts for council, utilities and city updates.</t>
  </si>
  <si>
    <t xml:space="preserve">Subscribe to hearings, road closures and government notices.</t>
  </si>
  <si>
    <t xml:space="preserve">https://www.northglenn.org/community/communications/textmygov.php</t>
  </si>
  <si>
    <t xml:space="preserve">City of Thornton</t>
  </si>
  <si>
    <t xml:space="preserve">City Development</t>
  </si>
  <si>
    <t xml:space="preserve">Planning, building, development engineering and long-range resources.</t>
  </si>
  <si>
    <t xml:space="preserve">Start land-use, permitting and development research.</t>
  </si>
  <si>
    <t xml:space="preserve">Current Planning &amp; Zoning</t>
  </si>
  <si>
    <t xml:space="preserve">Zoning, development applications and current planning.</t>
  </si>
  <si>
    <t xml:space="preserve">Confirm zoning and active entitlement processes.</t>
  </si>
  <si>
    <t xml:space="preserve">https://www.thorntonco.gov/business-development/city-development/current-planning-zoning</t>
  </si>
  <si>
    <t xml:space="preserve">Zoning Districts, Uses and Regulations</t>
  </si>
  <si>
    <t xml:space="preserve">District standards and use regulations.</t>
  </si>
  <si>
    <t xml:space="preserve">Evaluate allowed uses and dimensional standards.</t>
  </si>
  <si>
    <t xml:space="preserve">Interactive Zoning / Property Map</t>
  </si>
  <si>
    <t xml:space="preserve">Interactive city zoning and parcel map.</t>
  </si>
  <si>
    <t xml:space="preserve">Locate a parcel and screen zoning and mapped attributes.</t>
  </si>
  <si>
    <t xml:space="preserve">Thornton GIS Open Data</t>
  </si>
  <si>
    <t xml:space="preserve">Downloadable city GIS layers and maps.</t>
  </si>
  <si>
    <t xml:space="preserve">Perform advanced mapping and spatial analysis.</t>
  </si>
  <si>
    <t xml:space="preserve">https://data-cityofthornton.opendata.arcgis.com/</t>
  </si>
  <si>
    <t xml:space="preserve">Planning Application Search</t>
  </si>
  <si>
    <t xml:space="preserve">CityView search for planning applications.</t>
  </si>
  <si>
    <t xml:space="preserve">Check planning cases and application records.</t>
  </si>
  <si>
    <t xml:space="preserve">https://cityviewportal.thorntonco.gov/Planning/Locator</t>
  </si>
  <si>
    <t xml:space="preserve">Active Development</t>
  </si>
  <si>
    <t xml:space="preserve">Current development projects and related information.</t>
  </si>
  <si>
    <t xml:space="preserve">Identify nearby development and status.</t>
  </si>
  <si>
    <t xml:space="preserve">Development Applications</t>
  </si>
  <si>
    <t xml:space="preserve">Application types and development review resources.</t>
  </si>
  <si>
    <t xml:space="preserve">Determine entitlement and submittal requirements.</t>
  </si>
  <si>
    <t xml:space="preserve">https://www.thorntonco.gov/business-development/city-development/current-planning-zoning/development-applications</t>
  </si>
  <si>
    <t xml:space="preserve">Development Engineering &amp; Construction</t>
  </si>
  <si>
    <t xml:space="preserve">Engineering, construction and infrastructure review.</t>
  </si>
  <si>
    <t xml:space="preserve">Research civil plans, access and construction requirements.</t>
  </si>
  <si>
    <t xml:space="preserve">https://www.thorntonco.gov/business-development/city-development/development-engineering-construction</t>
  </si>
  <si>
    <t xml:space="preserve">Building permits, inspections and contractor information.</t>
  </si>
  <si>
    <t xml:space="preserve">Research construction permits.</t>
  </si>
  <si>
    <t xml:space="preserve">Permit Search</t>
  </si>
  <si>
    <t xml:space="preserve">CityView permit and submittal search.</t>
  </si>
  <si>
    <t xml:space="preserve">Check permit records and status.</t>
  </si>
  <si>
    <t xml:space="preserve">https://cityviewportal.thorntonco.gov/Permit/LocatorSubmittals</t>
  </si>
  <si>
    <t xml:space="preserve">Thornton Permit Portal</t>
  </si>
  <si>
    <t xml:space="preserve">Online permit application portal.</t>
  </si>
  <si>
    <t xml:space="preserve">Submit or manage permits.</t>
  </si>
  <si>
    <t xml:space="preserve">https://permits.thorntonco.gov/</t>
  </si>
  <si>
    <t xml:space="preserve">Long-range planning programs and resources.</t>
  </si>
  <si>
    <t xml:space="preserve">Evaluate future growth and policy context.</t>
  </si>
  <si>
    <t xml:space="preserve">https://www.thorntonco.gov/business-development/city-development/long-range-planning</t>
  </si>
  <si>
    <t xml:space="preserve">Thornton Comprehensive Plan</t>
  </si>
  <si>
    <t xml:space="preserve">Current comprehensive-plan resources.</t>
  </si>
  <si>
    <t xml:space="preserve">Review future land use and citywide policy.</t>
  </si>
  <si>
    <t xml:space="preserve">Current Long-Range Projects</t>
  </si>
  <si>
    <t xml:space="preserve">Current planning initiatives and plan updates.</t>
  </si>
  <si>
    <t xml:space="preserve">Track future policy changes affecting property.</t>
  </si>
  <si>
    <t xml:space="preserve">https://www.thorntonco.gov/business-development/city-development/long-range-planning/current-projects</t>
  </si>
  <si>
    <t xml:space="preserve">Planning Commission / Board of Adjustment</t>
  </si>
  <si>
    <t xml:space="preserve">Board and commission information.</t>
  </si>
  <si>
    <t xml:space="preserve">Monitor land-use hearings, variances and appeals.</t>
  </si>
  <si>
    <t xml:space="preserve">https://www.thorntonco.gov/government/boards-commissions/planning-commission-board-adjustment</t>
  </si>
  <si>
    <t xml:space="preserve">City council and public meeting calendar.</t>
  </si>
  <si>
    <t xml:space="preserve">Track meeting dates and agenda publication.</t>
  </si>
  <si>
    <t xml:space="preserve">Approved ordinances, hearing notices and other public notices.</t>
  </si>
  <si>
    <t xml:space="preserve">Confirm formal hearings and legal actions.</t>
  </si>
  <si>
    <t xml:space="preserve">Thornton News</t>
  </si>
  <si>
    <t xml:space="preserve">Official city news and City Voice items.</t>
  </si>
  <si>
    <t xml:space="preserve">Monitor projects, council actions and city updates.</t>
  </si>
  <si>
    <t xml:space="preserve">T-Alerts</t>
  </si>
  <si>
    <t xml:space="preserve">Email subscriptions for meetings, development and city topics.</t>
  </si>
  <si>
    <t xml:space="preserve">Subscribe to current updates and meeting documents.</t>
  </si>
  <si>
    <t xml:space="preserve">https://talerts.thorntonco.gov/</t>
  </si>
  <si>
    <t xml:space="preserve">City of Westminster</t>
  </si>
  <si>
    <t xml:space="preserve">City maps and GIS resources.</t>
  </si>
  <si>
    <t xml:space="preserve">Research zoning, parcels, utilities and city boundaries.</t>
  </si>
  <si>
    <t xml:space="preserve">Zoning map, districts and zoning resources.</t>
  </si>
  <si>
    <t xml:space="preserve">Confirm zoning and use standards.</t>
  </si>
  <si>
    <t xml:space="preserve">Planning services, plans and development review.</t>
  </si>
  <si>
    <t xml:space="preserve">Develop in Westminster</t>
  </si>
  <si>
    <t xml:space="preserve">Development process, applications and standards.</t>
  </si>
  <si>
    <t xml:space="preserve">Understand approvals and development requirements.</t>
  </si>
  <si>
    <t xml:space="preserve">https://www.westminsterco.gov/703/Develop-in-Westminster</t>
  </si>
  <si>
    <t xml:space="preserve">Current Development Project Map</t>
  </si>
  <si>
    <t xml:space="preserve">Interactive map of current development projects.</t>
  </si>
  <si>
    <t xml:space="preserve">Identify active projects near a property.</t>
  </si>
  <si>
    <t xml:space="preserve">Redevelopment</t>
  </si>
  <si>
    <t xml:space="preserve">Redevelopment plans and initiatives.</t>
  </si>
  <si>
    <t xml:space="preserve">Research targeted redevelopment areas and programs.</t>
  </si>
  <si>
    <t xml:space="preserve">https://www.westminsterco.gov/1060/Redevelopment</t>
  </si>
  <si>
    <t xml:space="preserve">Permits &amp; Licenses</t>
  </si>
  <si>
    <t xml:space="preserve">Permit and licensing resources.</t>
  </si>
  <si>
    <t xml:space="preserve">Find applicable city permits and licenses.</t>
  </si>
  <si>
    <t xml:space="preserve">https://www.westminsterco.gov/833/Permits-Licenses</t>
  </si>
  <si>
    <t xml:space="preserve">Apply for a Permit / Project</t>
  </si>
  <si>
    <t xml:space="preserve">Online permit and project application guidance.</t>
  </si>
  <si>
    <t xml:space="preserve">Apply for or research permits and projects.</t>
  </si>
  <si>
    <t xml:space="preserve">Comprehensive Plan (November 2025)</t>
  </si>
  <si>
    <t xml:space="preserve">Current city comprehensive plan PDF.</t>
  </si>
  <si>
    <t xml:space="preserve">Evaluate future land use, policy and growth direction.</t>
  </si>
  <si>
    <t xml:space="preserve">Standards</t>
  </si>
  <si>
    <t xml:space="preserve">City Standards &amp; Specifications</t>
  </si>
  <si>
    <t xml:space="preserve">Engineering and development standards.</t>
  </si>
  <si>
    <t xml:space="preserve">Review technical requirements for construction and infrastructure.</t>
  </si>
  <si>
    <t xml:space="preserve">https://www.westminsterco.gov/747/City-Standards-Specifications</t>
  </si>
  <si>
    <t xml:space="preserve">Code Enforcement</t>
  </si>
  <si>
    <t xml:space="preserve">Property and municipal code compliance information.</t>
  </si>
  <si>
    <t xml:space="preserve">Research complaint and compliance processes.</t>
  </si>
  <si>
    <t xml:space="preserve">https://www.westminsterco.gov/639/Code-Enforcement</t>
  </si>
  <si>
    <t xml:space="preserve">https://www.westminsterco.gov/614/Planning-Commission</t>
  </si>
  <si>
    <t xml:space="preserve">Agendas and minutes for boards and council.</t>
  </si>
  <si>
    <t xml:space="preserve">Track official decisions and meeting records.</t>
  </si>
  <si>
    <t xml:space="preserve">Official public and legal notices.</t>
  </si>
  <si>
    <t xml:space="preserve">Confirm hearings, ordinances and notice deadlines.</t>
  </si>
  <si>
    <t xml:space="preserve">Official city news releases and updates.</t>
  </si>
  <si>
    <t xml:space="preserve">Monitor development, policy and public projects.</t>
  </si>
  <si>
    <t xml:space="preserve">Public Records Request</t>
  </si>
  <si>
    <t xml:space="preserve">City public-records request information.</t>
  </si>
  <si>
    <t xml:space="preserve">Request planning, permit and other official records.</t>
  </si>
  <si>
    <t xml:space="preserve">https://www.westminsterco.gov/565/Public-Records-Request</t>
  </si>
  <si>
    <t xml:space="preserve">Meetings/News – Public meetings</t>
  </si>
  <si>
    <t xml:space="preserve">County Public Meetings</t>
  </si>
  <si>
    <t xml:space="preserve">Central page for county boards, commissions and hearings.</t>
  </si>
  <si>
    <t xml:space="preserve">Review weekly and before any due-diligence deadline.</t>
  </si>
  <si>
    <t xml:space="preserve">Meetings/News – Land-use cases</t>
  </si>
  <si>
    <t xml:space="preserve">Shows scheduled land-use cases requiring hearings and recent decisions.</t>
  </si>
  <si>
    <t xml:space="preserve">Check by location, case number and hearing body.</t>
  </si>
  <si>
    <t xml:space="preserve">Meetings/News – Agendas</t>
  </si>
  <si>
    <t xml:space="preserve">BOCC agendas, minutes, audio and public comments.</t>
  </si>
  <si>
    <t xml:space="preserve">Search agendas for address, applicant or project name.</t>
  </si>
  <si>
    <t xml:space="preserve">Meetings/News – Archives</t>
  </si>
  <si>
    <t xml:space="preserve">Archived Hearing Agendas &amp; Audio</t>
  </si>
  <si>
    <t xml:space="preserve">Archived BOCC, Board of Adjustment and Planning Commission records.</t>
  </si>
  <si>
    <t xml:space="preserve">Use for entitlement history and past decisions.</t>
  </si>
  <si>
    <t xml:space="preserve">https://adamscountyco.gov/about-adams-county/public-meetings/archived-hearing-agendas-audio/</t>
  </si>
  <si>
    <t xml:space="preserve">Meetings/News – Official news</t>
  </si>
  <si>
    <t xml:space="preserve">County announcements, policy changes and project updates.</t>
  </si>
  <si>
    <t xml:space="preserve">Subscribe or review regularly.</t>
  </si>
  <si>
    <t xml:space="preserve">Meetings/News – Planning updates</t>
  </si>
  <si>
    <t xml:space="preserve">Planning &amp; Development News</t>
  </si>
  <si>
    <t xml:space="preserve">Planning initiatives, code amendments and development updates.</t>
  </si>
  <si>
    <t xml:space="preserve">Review for code-update and plan-update notices.</t>
  </si>
  <si>
    <t xml:space="preserve">Meetings/News – Public documents</t>
  </si>
  <si>
    <t xml:space="preserve">Recorded/public postings and notices.</t>
  </si>
  <si>
    <t xml:space="preserve">Search relevant names and legal descriptions.</t>
  </si>
  <si>
    <t xml:space="preserve">City council, boards and commission agendas and minutes.</t>
  </si>
  <si>
    <t xml:space="preserve">Search project name, address and case number.</t>
  </si>
  <si>
    <t xml:space="preserve">Meetings/News – Legal notices</t>
  </si>
  <si>
    <t xml:space="preserve">Formal meeting and legal notices.</t>
  </si>
  <si>
    <t xml:space="preserve">Review before relying on an application status.</t>
  </si>
  <si>
    <t xml:space="preserve">Official city announcements.</t>
  </si>
  <si>
    <t xml:space="preserve">Monitor weekly for project and policy changes.</t>
  </si>
  <si>
    <t xml:space="preserve">Meetings/News – Planning meetings</t>
  </si>
  <si>
    <t xml:space="preserve">Commission records and public participation information.</t>
  </si>
  <si>
    <t xml:space="preserve">Check agendas for land-use cases.</t>
  </si>
  <si>
    <t xml:space="preserve">Meetings/News – Council meetings</t>
  </si>
  <si>
    <t xml:space="preserve">Council agendas and records.</t>
  </si>
  <si>
    <t xml:space="preserve">Track final approvals and ordinances.</t>
  </si>
  <si>
    <t xml:space="preserve">Meetings/News – Public hearings</t>
  </si>
  <si>
    <t xml:space="preserve">Official notices of public hearings.</t>
  </si>
  <si>
    <t xml:space="preserve">Check frequently during an active application.</t>
  </si>
  <si>
    <t xml:space="preserve">Official city news feed.</t>
  </si>
  <si>
    <t xml:space="preserve">Monitor citywide projects and policy changes.</t>
  </si>
  <si>
    <t xml:space="preserve">Meetings/News – Meetings</t>
  </si>
  <si>
    <t xml:space="preserve">Board and commission agendas and minutes.</t>
  </si>
  <si>
    <t xml:space="preserve">Search planning and board records.</t>
  </si>
  <si>
    <t xml:space="preserve">Planning commission information and records.</t>
  </si>
  <si>
    <t xml:space="preserve">Review upcoming land-use hearings.</t>
  </si>
  <si>
    <t xml:space="preserve">Town announcements and current notices.</t>
  </si>
  <si>
    <t xml:space="preserve">Review regularly for code and permit changes.</t>
  </si>
  <si>
    <t xml:space="preserve">Council and board agendas and minutes.</t>
  </si>
  <si>
    <t xml:space="preserve">Search address, project or applicant.</t>
  </si>
  <si>
    <t xml:space="preserve">Official legal and hearing notices.</t>
  </si>
  <si>
    <t xml:space="preserve">Confirm hearing dates and comment periods.</t>
  </si>
  <si>
    <t xml:space="preserve">Monitor development and infrastructure updates.</t>
  </si>
  <si>
    <t xml:space="preserve">Meetings/News – Subscriptions</t>
  </si>
  <si>
    <t xml:space="preserve">Email subscriptions for agendas, notices and news.</t>
  </si>
  <si>
    <t xml:space="preserve">Subscribe to planning and city council categories.</t>
  </si>
  <si>
    <t xml:space="preserve">Council and board agendas, meetings and schedules.</t>
  </si>
  <si>
    <t xml:space="preserve">Search all meeting records for project terms.</t>
  </si>
  <si>
    <t xml:space="preserve">Formal notices and ordinance postings.</t>
  </si>
  <si>
    <t xml:space="preserve">Confirm legal notice and adoption status.</t>
  </si>
  <si>
    <t xml:space="preserve">Monitor projects, code changes and public programs.</t>
  </si>
  <si>
    <t xml:space="preserve">Minutes and audio recordings.</t>
  </si>
  <si>
    <t xml:space="preserve">Review council records for property-related actions.</t>
  </si>
  <si>
    <t xml:space="preserve">Official calendar and announcements.</t>
  </si>
  <si>
    <t xml:space="preserve">Review current calendar and notices.</t>
  </si>
  <si>
    <t xml:space="preserve">Meetings/News – Newsletter</t>
  </si>
  <si>
    <t xml:space="preserve">Federal Heights Focus</t>
  </si>
  <si>
    <t xml:space="preserve">Quarterly city newsletter.</t>
  </si>
  <si>
    <t xml:space="preserve">Use for longer-term city project updates.</t>
  </si>
  <si>
    <t xml:space="preserve">Upcoming town meetings.</t>
  </si>
  <si>
    <t xml:space="preserve">Review agendas before board action.</t>
  </si>
  <si>
    <t xml:space="preserve">Meetings/News – Public notices</t>
  </si>
  <si>
    <t xml:space="preserve">Formal town notices.</t>
  </si>
  <si>
    <t xml:space="preserve">Confirm hearings and ordinance notices.</t>
  </si>
  <si>
    <t xml:space="preserve">Official town news feed.</t>
  </si>
  <si>
    <t xml:space="preserve">Monitor development and infrastructure changes.</t>
  </si>
  <si>
    <t xml:space="preserve">Meetings/News – Meeting records</t>
  </si>
  <si>
    <t xml:space="preserve">Searchable agendas, minutes and hearing documents.</t>
  </si>
  <si>
    <t xml:space="preserve">Search address, case number, ordinance and applicant.</t>
  </si>
  <si>
    <t xml:space="preserve">Monitor citywide projects and policy updates.</t>
  </si>
  <si>
    <t xml:space="preserve">Meetings/News – Alerts</t>
  </si>
  <si>
    <t xml:space="preserve">TextMyGov</t>
  </si>
  <si>
    <t xml:space="preserve">Text notifications for council, utilities and city topics.</t>
  </si>
  <si>
    <t xml:space="preserve">Subscribe to City Council and Utilities alerts.</t>
  </si>
  <si>
    <t xml:space="preserve">Council and public meeting calendar.</t>
  </si>
  <si>
    <t xml:space="preserve">Open meeting details and linked documents.</t>
  </si>
  <si>
    <t xml:space="preserve">Hearing notices, approved ordinances and other notices.</t>
  </si>
  <si>
    <t xml:space="preserve">Confirm current hearing and ordinance status.</t>
  </si>
  <si>
    <t xml:space="preserve">Official news and City Voice feed.</t>
  </si>
  <si>
    <t xml:space="preserve">Monitor council, development and infrastructure updates.</t>
  </si>
  <si>
    <t xml:space="preserve">Email subscriptions including city council documents and business topics.</t>
  </si>
  <si>
    <t xml:space="preserve">Subscribe to City Council Meeting Documents and Thornton News.</t>
  </si>
  <si>
    <t xml:space="preserve">Search project names and land-use cases.</t>
  </si>
  <si>
    <t xml:space="preserve">Formal notices and public-hearing information.</t>
  </si>
  <si>
    <t xml:space="preserve">Review during any active entitlement or code amendment.</t>
  </si>
  <si>
    <t xml:space="preserve">Monitor development, policy and infrastructure announcements.</t>
  </si>
  <si>
    <t xml:space="preserve">Aurora / Adams County</t>
  </si>
  <si>
    <t xml:space="preserve">Meetings/News – Independent local news</t>
  </si>
  <si>
    <t xml:space="preserve">Sentinel Colorado</t>
  </si>
  <si>
    <t xml:space="preserve">Independent reporting on Aurora and the surrounding region.</t>
  </si>
  <si>
    <t xml:space="preserve">Use for context; verify hearings and legal status on official city/county pages.</t>
  </si>
  <si>
    <t xml:space="preserve">https://sentinelcolorado.com/</t>
  </si>
  <si>
    <t xml:space="preserve">Bennett / Strasburg / Watkins</t>
  </si>
  <si>
    <t xml:space="preserve">I-70 Scout &amp; Eastern Colorado News</t>
  </si>
  <si>
    <t xml:space="preserve">Local reporting along the eastern I-70 corridor.</t>
  </si>
  <si>
    <t xml:space="preserve">Use for local context and project reporting; verify with official notices.</t>
  </si>
  <si>
    <t xml:space="preserve">https://i-70scout.com/blog/</t>
  </si>
  <si>
    <t xml:space="preserve">Arvada Press</t>
  </si>
  <si>
    <t xml:space="preserve">Community news focused on Arvada.</t>
  </si>
  <si>
    <t xml:space="preserve">Use for context; verify land-use decisions in city records.</t>
  </si>
  <si>
    <t xml:space="preserve">https://arvadapress.presspatron.com/</t>
  </si>
  <si>
    <t xml:space="preserve">Brighton / Commerce City / Northglenn / Thornton / Westminster</t>
  </si>
  <si>
    <t xml:space="preserve">Colorado Community Media Local Guide</t>
  </si>
  <si>
    <t xml:space="preserve">Gateway to local community-news outlets and editions.</t>
  </si>
  <si>
    <t xml:space="preserve">Use for context and reporting; verify legal notices and approvals officially.</t>
  </si>
  <si>
    <t xml:space="preserve">https://local.coloradocommunitymedia.com/</t>
  </si>
  <si>
    <t xml:space="preserve">Westminster Window Colorado Trust</t>
  </si>
  <si>
    <t xml:space="preserve">Community and government-news newsletter focused on Westminster.</t>
  </si>
  <si>
    <t xml:space="preserve">Use as a secondary monitoring source.</t>
  </si>
  <si>
    <t xml:space="preserve">https://westminster-window-colorado-trust.beehiiv.com/</t>
  </si>
  <si>
    <t xml:space="preserve">Colorado Secretary of State</t>
  </si>
  <si>
    <t xml:space="preserve">Business Entities</t>
  </si>
  <si>
    <t xml:space="preserve">Search Business Records</t>
  </si>
  <si>
    <t xml:space="preserve">Search corporations, LLCs, trade names and filing documents.</t>
  </si>
  <si>
    <t xml:space="preserve">Identify owners, applicants, developers, lenders and registered agents.</t>
  </si>
  <si>
    <t xml:space="preserve">UCC / Liens</t>
  </si>
  <si>
    <t xml:space="preserve">UCC Records Search</t>
  </si>
  <si>
    <t xml:space="preserve">Search UCC financing statements and related secured-transaction records.</t>
  </si>
  <si>
    <t xml:space="preserve">Screen for UCC filings and certain statutory liens associated with a debtor.</t>
  </si>
  <si>
    <t xml:space="preserve">https://www.sos.state.co.us/ucc/pages/home.xhtml</t>
  </si>
  <si>
    <t xml:space="preserve">Colorado DOLA</t>
  </si>
  <si>
    <t xml:space="preserve">Special Districts</t>
  </si>
  <si>
    <t xml:space="preserve">Colorado Special Districts Map</t>
  </si>
  <si>
    <t xml:space="preserve">Map and information for special-district boundaries.</t>
  </si>
  <si>
    <t xml:space="preserve">Identify water, sanitation, fire, metro and other districts that may tax or serve a property.</t>
  </si>
  <si>
    <t xml:space="preserve">Local Governments</t>
  </si>
  <si>
    <t xml:space="preserve">Local Government Information System</t>
  </si>
  <si>
    <t xml:space="preserve">Local-government contacts, budgets and election filings.</t>
  </si>
  <si>
    <t xml:space="preserve">Research special districts and other local-government entities.</t>
  </si>
  <si>
    <t xml:space="preserve">https://dola.colorado.gov/dlg_lgis_ui_pu/</t>
  </si>
  <si>
    <t xml:space="preserve">Taxing Entities</t>
  </si>
  <si>
    <t xml:space="preserve">Search Colorado Property Tax Entities</t>
  </si>
  <si>
    <t xml:space="preserve">Search entities associated with property taxation.</t>
  </si>
  <si>
    <t xml:space="preserve">Understand tax districts and locate entity information; verify mill levies with county offices.</t>
  </si>
  <si>
    <t xml:space="preserve">https://dola.colorado.gov/dlg_lgis_ui_pu/publicLGTaxEntities.jsf</t>
  </si>
  <si>
    <t xml:space="preserve">Municipal Boundaries</t>
  </si>
  <si>
    <t xml:space="preserve">Colorado Municipal Boundaries</t>
  </si>
  <si>
    <t xml:space="preserve">State municipal boundary map.</t>
  </si>
  <si>
    <t xml:space="preserve">Confirm whether a parcel is incorporated and identify the municipality.</t>
  </si>
  <si>
    <t xml:space="preserve">https://gis.dola.colorado.gov/CO_Muni/</t>
  </si>
  <si>
    <t xml:space="preserve">GIS Downloads</t>
  </si>
  <si>
    <t xml:space="preserve">GIS Data Sources</t>
  </si>
  <si>
    <t xml:space="preserve">State-maintained boundary and demographic GIS datasets.</t>
  </si>
  <si>
    <t xml:space="preserve">Download municipal, annexation and special-district data.</t>
  </si>
  <si>
    <t xml:space="preserve">https://demography.dola.colorado.gov/assets/html/gis_data.html</t>
  </si>
  <si>
    <t xml:space="preserve">Colorado State Demography Office</t>
  </si>
  <si>
    <t xml:space="preserve">Data Bundle Lookup</t>
  </si>
  <si>
    <t xml:space="preserve">Population, housing and demographic data bundles.</t>
  </si>
  <si>
    <t xml:space="preserve">Support market, planning and growth analysis.</t>
  </si>
  <si>
    <t xml:space="preserve">https://demography.dola.colorado.gov/assets/lookups/dashboard_lookup.html</t>
  </si>
  <si>
    <t xml:space="preserve">Colorado Geospatial Portal</t>
  </si>
  <si>
    <t xml:space="preserve">Statewide open GIS datasets and maps.</t>
  </si>
  <si>
    <t xml:space="preserve">Find state layers for environment, transportation, boundaries and natural resources.</t>
  </si>
  <si>
    <t xml:space="preserve">https://geodata.colorado.gov/</t>
  </si>
  <si>
    <t xml:space="preserve">Colorado OIT</t>
  </si>
  <si>
    <t xml:space="preserve">GIS Viewer</t>
  </si>
  <si>
    <t xml:space="preserve">Colorado State Map Viewer</t>
  </si>
  <si>
    <t xml:space="preserve">Statewide interactive map viewer.</t>
  </si>
  <si>
    <t xml:space="preserve">Screen state datasets without desktop GIS.</t>
  </si>
  <si>
    <t xml:space="preserve">https://gis.colorado.gov/viewer/?page=Home</t>
  </si>
  <si>
    <t xml:space="preserve">DRCOG</t>
  </si>
  <si>
    <t xml:space="preserve">Regional GIS / Planning</t>
  </si>
  <si>
    <t xml:space="preserve">Data, Maps &amp; Modeling</t>
  </si>
  <si>
    <t xml:space="preserve">Denver-region data, maps, forecasts and modeling resources.</t>
  </si>
  <si>
    <t xml:space="preserve">Research regional growth, transportation, parcels and planning context.</t>
  </si>
  <si>
    <t xml:space="preserve">https://drcog.org/data-maps-modeling</t>
  </si>
  <si>
    <t xml:space="preserve">Colorado Division of Water Resources</t>
  </si>
  <si>
    <t xml:space="preserve">Water</t>
  </si>
  <si>
    <t xml:space="preserve">CDSS / DWR Tools</t>
  </si>
  <si>
    <t xml:space="preserve">Water-rights, structures, hydrography and decision-support tools.</t>
  </si>
  <si>
    <t xml:space="preserve">Research water rights, ditches, structures and hydrologic data.</t>
  </si>
  <si>
    <t xml:space="preserve">https://dwr.state.co.us/Tools</t>
  </si>
  <si>
    <t xml:space="preserve">Wells</t>
  </si>
  <si>
    <t xml:space="preserve">Well Permits</t>
  </si>
  <si>
    <t xml:space="preserve">Well permit search and information.</t>
  </si>
  <si>
    <t xml:space="preserve">Check permitted wells and well records near a parcel.</t>
  </si>
  <si>
    <t xml:space="preserve">https://dwr.state.co.us/Tools/WellPermits</t>
  </si>
  <si>
    <t xml:space="preserve">Colorado Energy &amp; Carbon Management Commission</t>
  </si>
  <si>
    <t xml:space="preserve">Oil &amp; Gas</t>
  </si>
  <si>
    <t xml:space="preserve">ECMC Maps</t>
  </si>
  <si>
    <t xml:space="preserve">Oil and gas wells, facilities and regulatory map tools.</t>
  </si>
  <si>
    <t xml:space="preserve">Screen nearby oil/gas infrastructure, setbacks and regulatory records.</t>
  </si>
  <si>
    <t xml:space="preserve">Oil &amp; Gas Data</t>
  </si>
  <si>
    <t xml:space="preserve">ECMC Data</t>
  </si>
  <si>
    <t xml:space="preserve">Downloadable oil and gas data and records.</t>
  </si>
  <si>
    <t xml:space="preserve">Perform detailed facility and well research.</t>
  </si>
  <si>
    <t xml:space="preserve">https://ecmc.state.co.us/data.html</t>
  </si>
  <si>
    <t xml:space="preserve">CDPHE</t>
  </si>
  <si>
    <t xml:space="preserve">Environmental</t>
  </si>
  <si>
    <t xml:space="preserve">Maps and GIS for Health and Environment</t>
  </si>
  <si>
    <t xml:space="preserve">Environmental, health, cleanup and facility mapping resources.</t>
  </si>
  <si>
    <t xml:space="preserve">Screen environmental and public-health conditions.</t>
  </si>
  <si>
    <t xml:space="preserve">Contamination</t>
  </si>
  <si>
    <t xml:space="preserve">Environmental Maps and GIS Data</t>
  </si>
  <si>
    <t xml:space="preserve">Hazardous Materials and Waste Management map portal and records search.</t>
  </si>
  <si>
    <t xml:space="preserve">Locate regulated facilities, waste sites and associated records.</t>
  </si>
  <si>
    <t xml:space="preserve">https://cdphe.colorado.gov/hm/gis-data</t>
  </si>
  <si>
    <t xml:space="preserve">How to Find Out if a Site Is Contaminated</t>
  </si>
  <si>
    <t xml:space="preserve">Guide to cleanup, covenant, tank and federal environmental databases.</t>
  </si>
  <si>
    <t xml:space="preserve">Build an environmental-screening search plan.</t>
  </si>
  <si>
    <t xml:space="preserve">https://cdphe.colorado.gov/hm/if-site-contaminated</t>
  </si>
  <si>
    <t xml:space="preserve">Water Quality</t>
  </si>
  <si>
    <t xml:space="preserve">Clean Water GIS Maps</t>
  </si>
  <si>
    <t xml:space="preserve">Impaired waters, stream segments, TMDLs and watershed-plan maps.</t>
  </si>
  <si>
    <t xml:space="preserve">Screen nearby surface-water quality and regulatory context.</t>
  </si>
  <si>
    <t xml:space="preserve">https://cdphe.colorado.gov/clean-water-gis-maps</t>
  </si>
  <si>
    <t xml:space="preserve">PFAS</t>
  </si>
  <si>
    <t xml:space="preserve">PFAS Mapping</t>
  </si>
  <si>
    <t xml:space="preserve">PFAS sampling and vulnerability mapping resources.</t>
  </si>
  <si>
    <t xml:space="preserve">Screen known sampling and modeled PFAS concerns.</t>
  </si>
  <si>
    <t xml:space="preserve">https://cdphe.colorado.gov/pfas/mapping</t>
  </si>
  <si>
    <t xml:space="preserve">FEMA</t>
  </si>
  <si>
    <t xml:space="preserve">Flood</t>
  </si>
  <si>
    <t xml:space="preserve">Flood Maps</t>
  </si>
  <si>
    <t xml:space="preserve">FEMA flood-hazard mapping overview and resources.</t>
  </si>
  <si>
    <t xml:space="preserve">Understand official flood-map products and updates.</t>
  </si>
  <si>
    <t xml:space="preserve">Flood Map Service Center</t>
  </si>
  <si>
    <t xml:space="preserve">Official address and map search for effective flood maps.</t>
  </si>
  <si>
    <t xml:space="preserve">Search flood zones, panels and Letters of Map Change.</t>
  </si>
  <si>
    <t xml:space="preserve">https://msc.fema.gov/portal/search</t>
  </si>
  <si>
    <t xml:space="preserve">Flood / GIS</t>
  </si>
  <si>
    <t xml:space="preserve">National Flood Hazard Layer</t>
  </si>
  <si>
    <t xml:space="preserve">GIS representation of current flood-hazard information.</t>
  </si>
  <si>
    <t xml:space="preserve">Overlay flood data in mapping workflows.</t>
  </si>
  <si>
    <t xml:space="preserve">https://www.fema.gov/flood-maps/national-flood-hazard-layer</t>
  </si>
  <si>
    <t xml:space="preserve">U.S. EPA</t>
  </si>
  <si>
    <t xml:space="preserve">Cleanups in My Community</t>
  </si>
  <si>
    <t xml:space="preserve">Map of federal and state cleanup sites and programs.</t>
  </si>
  <si>
    <t xml:space="preserve">Screen nearby cleanup and regulated sites.</t>
  </si>
  <si>
    <t xml:space="preserve">https://www.epa.gov/cleanups/cleanups-my-community</t>
  </si>
  <si>
    <t xml:space="preserve">Direct Cleanup Map</t>
  </si>
  <si>
    <t xml:space="preserve">Interactive cleanup-site map.</t>
  </si>
  <si>
    <t xml:space="preserve">Search a specific address or area for cleanup records.</t>
  </si>
  <si>
    <t xml:space="preserve">https://map22.epa.gov/cimc/</t>
  </si>
  <si>
    <t xml:space="preserve">Superfund</t>
  </si>
  <si>
    <t xml:space="preserve">Search Superfund Sites</t>
  </si>
  <si>
    <t xml:space="preserve">Superfund and National Priorities List search resources.</t>
  </si>
  <si>
    <t xml:space="preserve">Check nearby federal Superfund sites and site documents.</t>
  </si>
  <si>
    <t xml:space="preserve">https://www.epa.gov/superfund/search-superfund-sites-where-you-live</t>
  </si>
  <si>
    <t xml:space="preserve">USDA NRCS</t>
  </si>
  <si>
    <t xml:space="preserve">Soils</t>
  </si>
  <si>
    <t xml:space="preserve">Web Soil Survey</t>
  </si>
  <si>
    <t xml:space="preserve">Authoritative soil maps and interpretations.</t>
  </si>
  <si>
    <t xml:space="preserve">Evaluate soil type, drainage, engineering and agricultural characteristics.</t>
  </si>
  <si>
    <t xml:space="preserve">U.S. Fish &amp; Wildlife Service</t>
  </si>
  <si>
    <t xml:space="preserve">Wetlands</t>
  </si>
  <si>
    <t xml:space="preserve">National Wetlands Inventory Mapper</t>
  </si>
  <si>
    <t xml:space="preserve">Mapped wetland and aquatic-resource information.</t>
  </si>
  <si>
    <t xml:space="preserve">Screen for potential wetlands; field verification may still be required.</t>
  </si>
  <si>
    <t xml:space="preserve">https://www.fws.gov/program/national-wetlands-inventory/wetlands-mapper</t>
  </si>
  <si>
    <t xml:space="preserve">CDOT</t>
  </si>
  <si>
    <t xml:space="preserve">Transportation</t>
  </si>
  <si>
    <t xml:space="preserve">Online Transportation Information System</t>
  </si>
  <si>
    <t xml:space="preserve">Traffic, highway attributes, planning and geographic data.</t>
  </si>
  <si>
    <t xml:space="preserve">Research state-highway context and transportation planning.</t>
  </si>
  <si>
    <t xml:space="preserve">Highway Data Explorer</t>
  </si>
  <si>
    <t xml:space="preserve">Map-based state highway data and attributes.</t>
  </si>
  <si>
    <t xml:space="preserve">Review highway classification, geometry and related data.</t>
  </si>
  <si>
    <t xml:space="preserve">https://dtdapps.codot.gov/otis/HighwayData</t>
  </si>
  <si>
    <t xml:space="preserve">Traffic</t>
  </si>
  <si>
    <t xml:space="preserve">Traffic Data Explorer</t>
  </si>
  <si>
    <t xml:space="preserve">Traffic stations, AADT and projected traffic data.</t>
  </si>
  <si>
    <t xml:space="preserve">Support access, development and market analysis.</t>
  </si>
  <si>
    <t xml:space="preserve">https://dtdapps.codot.gov/otis/TrafficData</t>
  </si>
  <si>
    <t xml:space="preserve">History Colorado</t>
  </si>
  <si>
    <t xml:space="preserve">Historic Properties</t>
  </si>
  <si>
    <t xml:space="preserve">Compass Information</t>
  </si>
  <si>
    <t xml:space="preserve">State cultural-resource inventory and research guidance.</t>
  </si>
  <si>
    <t xml:space="preserve">Screen historic resources and understand access to cultural-resource data.</t>
  </si>
  <si>
    <t xml:space="preserve">https://www.historycolorado.org/compass-information</t>
  </si>
  <si>
    <t xml:space="preserve">National &amp; State Register Listed Properties</t>
  </si>
  <si>
    <t xml:space="preserve">Lists and records of registered historic properties.</t>
  </si>
  <si>
    <t xml:space="preserve">Check whether a property or nearby resource is listed.</t>
  </si>
  <si>
    <t xml:space="preserve">https://www.historycolorado.org/national-state-register-listed-properties</t>
  </si>
  <si>
    <t xml:space="preserve">Colorado Division of Real Estate</t>
  </si>
  <si>
    <t xml:space="preserve">HOA</t>
  </si>
  <si>
    <t xml:space="preserve">HOA Center</t>
  </si>
  <si>
    <t xml:space="preserve">Information about common-interest communities, CCIOA and HOA resources.</t>
  </si>
  <si>
    <t xml:space="preserve">Understand HOA registration and common-interest community issues.</t>
  </si>
  <si>
    <t xml:space="preserve">https://dre.colorado.gov/hoa-center</t>
  </si>
  <si>
    <t xml:space="preserve">HOA Registration Services</t>
  </si>
  <si>
    <t xml:space="preserve">HOA registration lookup guidance and registration resources.</t>
  </si>
  <si>
    <t xml:space="preserve">Check an association's registration status and identify contacts.</t>
  </si>
  <si>
    <t xml:space="preserve">https://dre.colorado.gov/hoa-registration-services</t>
  </si>
  <si>
    <t xml:space="preserve">Colorado DORA</t>
  </si>
  <si>
    <t xml:space="preserve">Professional Licenses</t>
  </si>
  <si>
    <t xml:space="preserve">Verify a Professional or Business License</t>
  </si>
  <si>
    <t xml:space="preserve">Search licenses for brokers, engineers, architects and other regulated professionals.</t>
  </si>
  <si>
    <t xml:space="preserve">Verify people and firms involved in a transaction or project.</t>
  </si>
  <si>
    <t xml:space="preserve">https://co.colorado.gov/verify-status-professionals-license</t>
  </si>
  <si>
    <t xml:space="preserve">Colorado State Land Board</t>
  </si>
  <si>
    <t xml:space="preserve">State Trust Land</t>
  </si>
  <si>
    <t xml:space="preserve">State Land Board Online Services</t>
  </si>
  <si>
    <t xml:space="preserve">State trust land and lease-related online services.</t>
  </si>
  <si>
    <t xml:space="preserve">Screen potential state trust land interests and obtain state land information.</t>
  </si>
  <si>
    <t xml:space="preserve">https://secure.slb.colorado.gov/</t>
  </si>
  <si>
    <t xml:space="preserve">BLM</t>
  </si>
  <si>
    <t xml:space="preserve">Federal Land / GIS</t>
  </si>
  <si>
    <t xml:space="preserve">Colorado GIS Datasets</t>
  </si>
  <si>
    <t xml:space="preserve">Federal land and resource GIS datasets.</t>
  </si>
  <si>
    <t xml:space="preserve">Screen federal land status and download BLM layers.</t>
  </si>
  <si>
    <t xml:space="preserve">https://www.blm.gov/maps/frequently-requested/colorado/gis-datasets</t>
  </si>
  <si>
    <t xml:space="preserve">PROPERTY DUE-DILIGENCE CHECKLIST — one copy per property; set Status as you go</t>
  </si>
  <si>
    <t xml:space="preserve">Step</t>
  </si>
  <si>
    <t xml:space="preserve">Topic</t>
  </si>
  <si>
    <t xml:space="preserve">Question / Action</t>
  </si>
  <si>
    <t xml:space="preserve">Primary Resource</t>
  </si>
  <si>
    <t xml:space="preserve">Evidence to Save</t>
  </si>
  <si>
    <t xml:space="preserve">Red Flags / Follow-up</t>
  </si>
  <si>
    <t xml:space="preserve">Parcel identity</t>
  </si>
  <si>
    <t xml:space="preserve">Normalize the street address and obtain the Adams County parcel/account number.</t>
  </si>
  <si>
    <t xml:space="preserve">Adams County Search Real Property</t>
  </si>
  <si>
    <t xml:space="preserve">Open</t>
  </si>
  <si>
    <t xml:space="preserve">Property summary, APN/account number and screenshot/PDF</t>
  </si>
  <si>
    <t xml:space="preserve">Address mismatch, multiple parcels, condominium unit confusion</t>
  </si>
  <si>
    <t xml:space="preserve">Not Started</t>
  </si>
  <si>
    <t xml:space="preserve">Confirm the parcel's county, municipal boundary and whether it is unincorporated.</t>
  </si>
  <si>
    <t xml:space="preserve">County Cities &amp; Towns + Colorado Municipal Boundaries</t>
  </si>
  <si>
    <t xml:space="preserve">Boundary map and jurisdiction note</t>
  </si>
  <si>
    <t xml:space="preserve">Mailing city differs from legal jurisdiction; recent annexation</t>
  </si>
  <si>
    <t xml:space="preserve">Ownership</t>
  </si>
  <si>
    <t xml:space="preserve">Verify current owner name, mailing address, legal description and assessment record.</t>
  </si>
  <si>
    <t xml:space="preserve">Adams County Assessor Quick Search</t>
  </si>
  <si>
    <t xml:space="preserve">Assessor property detail</t>
  </si>
  <si>
    <t xml:space="preserve">Owner entity name differs from contract; stale mailing address</t>
  </si>
  <si>
    <t xml:space="preserve">Legal description</t>
  </si>
  <si>
    <t xml:space="preserve">Compare the assessor legal description with the deed and survey/plat.</t>
  </si>
  <si>
    <t xml:space="preserve">Adams County Landmark Web</t>
  </si>
  <si>
    <t xml:space="preserve">Latest vesting deed and legal description</t>
  </si>
  <si>
    <t xml:space="preserve">Abbreviated assessor description, omitted tract, exception or easement</t>
  </si>
  <si>
    <t xml:space="preserve">Deed chain</t>
  </si>
  <si>
    <t xml:space="preserve">Pull the current vesting deed and prior deeds needed to understand title history.</t>
  </si>
  <si>
    <t xml:space="preserve">Recorded deed images and document numbers</t>
  </si>
  <si>
    <t xml:space="preserve">Quitclaim transfers, estate/probate issues, entity changes, recording gaps</t>
  </si>
  <si>
    <t xml:space="preserve">Recorded encumbrances</t>
  </si>
  <si>
    <t xml:space="preserve">Search for deeds of trust, releases, easements, covenants, liens, notices and agreements.</t>
  </si>
  <si>
    <t xml:space="preserve">Adams County Recorded Documents</t>
  </si>
  <si>
    <t xml:space="preserve">Index results and relevant document images</t>
  </si>
  <si>
    <t xml:space="preserve">Unreleased liens, access easements, restrictive covenants, notices of default</t>
  </si>
  <si>
    <t xml:space="preserve">Title</t>
  </si>
  <si>
    <t xml:space="preserve">Order a title commitment and compare exceptions with independently found records.</t>
  </si>
  <si>
    <t xml:space="preserve">Licensed title company / attorney</t>
  </si>
  <si>
    <t xml:space="preserve">Current title commitment and exception documents</t>
  </si>
  <si>
    <t xml:space="preserve">Unresolved requirements, gap risk, standard exceptions that need survey evidence</t>
  </si>
  <si>
    <t xml:space="preserve">Taxes</t>
  </si>
  <si>
    <t xml:space="preserve">Verify current and prior property-tax status, delinquency and payment history.</t>
  </si>
  <si>
    <t xml:space="preserve">Tax statement and payment history</t>
  </si>
  <si>
    <t xml:space="preserve">Delinquent taxes, omitted taxes, special assessments</t>
  </si>
  <si>
    <t xml:space="preserve">Tax liens / deed</t>
  </si>
  <si>
    <t xml:space="preserve">Check tax-lien sale and treasurer's deed information when delinquency appears.</t>
  </si>
  <si>
    <t xml:space="preserve">Adams County Tax Lien Sale</t>
  </si>
  <si>
    <t xml:space="preserve">Tax-lien research notes</t>
  </si>
  <si>
    <t xml:space="preserve">Outstanding certificates, redemption deadlines, treasurer's deed process</t>
  </si>
  <si>
    <t xml:space="preserve">Search public trustee foreclosure records and reports.</t>
  </si>
  <si>
    <t xml:space="preserve">Adams County Foreclosure Search</t>
  </si>
  <si>
    <t xml:space="preserve">Foreclosure search results</t>
  </si>
  <si>
    <t xml:space="preserve">Active case, sale date, withdrawn/restarted case, borrower-name variants</t>
  </si>
  <si>
    <t xml:space="preserve">Survey / plat</t>
  </si>
  <si>
    <t xml:space="preserve">Locate recorded plats and surveys; obtain a current survey if boundaries or improvements matter.</t>
  </si>
  <si>
    <t xml:space="preserve">Adams County Land Survey Plats</t>
  </si>
  <si>
    <t xml:space="preserve">Recorded plat/survey and current field survey when appropriate</t>
  </si>
  <si>
    <t xml:space="preserve">Encroachments, gaps/overlaps, fence conflicts, unrecorded access</t>
  </si>
  <si>
    <t xml:space="preserve">Zoning district</t>
  </si>
  <si>
    <t xml:space="preserve">Confirm zoning with the correct city/town or Adams County for an unincorporated parcel.</t>
  </si>
  <si>
    <t xml:space="preserve">Quick Matrix / local zoning page</t>
  </si>
  <si>
    <t xml:space="preserve">Zoning map screenshot and written zoning confirmation when material</t>
  </si>
  <si>
    <t xml:space="preserve">Split zoning, overlay district, pending rezoning, map/code conflict</t>
  </si>
  <si>
    <t xml:space="preserve">Allowed use</t>
  </si>
  <si>
    <t xml:space="preserve">Read the current code for permitted, conditional, accessory and prohibited uses.</t>
  </si>
  <si>
    <t xml:space="preserve">Local land-use code</t>
  </si>
  <si>
    <t xml:space="preserve">Code sections and planner confirmation</t>
  </si>
  <si>
    <t xml:space="preserve">Use requires hearing, spacing/separation rule, nonconforming status</t>
  </si>
  <si>
    <t xml:space="preserve">Dimensional / design standards</t>
  </si>
  <si>
    <t xml:space="preserve">Check setbacks, height, lot coverage, parking, landscaping, design and sign rules.</t>
  </si>
  <si>
    <t xml:space="preserve">Local zoning/development code</t>
  </si>
  <si>
    <t xml:space="preserve">Applicable standard excerpts</t>
  </si>
  <si>
    <t xml:space="preserve">Existing or proposed improvements do not comply</t>
  </si>
  <si>
    <t xml:space="preserve">Overlays / constraints</t>
  </si>
  <si>
    <t xml:space="preserve">Check airport, flood, historic, oil/gas, design, corridor and other overlay districts.</t>
  </si>
  <si>
    <t xml:space="preserve">Local GIS + county/state tools</t>
  </si>
  <si>
    <t xml:space="preserve">Overlay maps and applicable standards</t>
  </si>
  <si>
    <t xml:space="preserve">Overlay adds approval, disclosure or construction limits</t>
  </si>
  <si>
    <t xml:space="preserve">Future land use</t>
  </si>
  <si>
    <t xml:space="preserve">Review the comprehensive plan, future land-use map and adopted area/corridor plans.</t>
  </si>
  <si>
    <t xml:space="preserve">Local comprehensive/long-range plan</t>
  </si>
  <si>
    <t xml:space="preserve">Future land-use designation and policy notes</t>
  </si>
  <si>
    <t xml:space="preserve">Future designation conflicts with intended use; planned roadway or redevelopment area</t>
  </si>
  <si>
    <t xml:space="preserve">Active development</t>
  </si>
  <si>
    <t xml:space="preserve">Search active development maps and project-status portals near the parcel.</t>
  </si>
  <si>
    <t xml:space="preserve">Local development projects page</t>
  </si>
  <si>
    <t xml:space="preserve">Nearby project list/map</t>
  </si>
  <si>
    <t xml:space="preserve">Large pending project changes traffic, drainage, views, demand or compatibility</t>
  </si>
  <si>
    <t xml:space="preserve">Hearings / cases</t>
  </si>
  <si>
    <t xml:space="preserve">Search current land-use cases, agendas and public notices by address, owner and project name.</t>
  </si>
  <si>
    <t xml:space="preserve">Meetings &amp; News sheet</t>
  </si>
  <si>
    <t xml:space="preserve">Agendas, staff reports and hearing notices</t>
  </si>
  <si>
    <t xml:space="preserve">Pending rezoning, variance, annexation, subdivision or code amendment</t>
  </si>
  <si>
    <t xml:space="preserve">Permit history</t>
  </si>
  <si>
    <t xml:space="preserve">Search building and development permits; request older records when online data is incomplete.</t>
  </si>
  <si>
    <t xml:space="preserve">Local permit portal / public records</t>
  </si>
  <si>
    <t xml:space="preserve">Permit list, plans, certificates and inspection history</t>
  </si>
  <si>
    <t xml:space="preserve">Unpermitted work, open permit, failed inspection, missing certificate of occupancy</t>
  </si>
  <si>
    <t xml:space="preserve">Code compliance</t>
  </si>
  <si>
    <t xml:space="preserve">Check for open code cases, violations and nuisance/unsafe-building records.</t>
  </si>
  <si>
    <t xml:space="preserve">Local code enforcement / records request</t>
  </si>
  <si>
    <t xml:space="preserve">Code case history and clearance confirmation</t>
  </si>
  <si>
    <t xml:space="preserve">Open violation, repeat complaint, abatement lien or unsafe condition</t>
  </si>
  <si>
    <t xml:space="preserve">Utilities / districts</t>
  </si>
  <si>
    <t xml:space="preserve">Identify water, sewer, fire, metro and other special districts; verify service and fees.</t>
  </si>
  <si>
    <t xml:space="preserve">District list, service letters, fee schedules</t>
  </si>
  <si>
    <t xml:space="preserve">No committed service, high tap fees, multiple mill levies, private system</t>
  </si>
  <si>
    <t xml:space="preserve">Water rights / wells</t>
  </si>
  <si>
    <t xml:space="preserve">Search wells, water rights, ditches and structures that may affect or serve the property.</t>
  </si>
  <si>
    <t xml:space="preserve">Colorado DWR Tools</t>
  </si>
  <si>
    <t xml:space="preserve">Well permit and water-right/structure records</t>
  </si>
  <si>
    <t xml:space="preserve">Unpermitted well, limited use, ditch easement, no transferable water</t>
  </si>
  <si>
    <t xml:space="preserve">Flood / drainage</t>
  </si>
  <si>
    <t xml:space="preserve">Check FEMA maps, local floodplain layers, drainage studies and Letters of Map Change.</t>
  </si>
  <si>
    <t xml:space="preserve">FIRM panel, flood zone, LOMC and local drainage information</t>
  </si>
  <si>
    <t xml:space="preserve">Special Flood Hazard Area, floodway, shallow flooding, required elevation/floodproofing</t>
  </si>
  <si>
    <t xml:space="preserve">Soils / geotechnical</t>
  </si>
  <si>
    <t xml:space="preserve">Review Web Soil Survey and obtain geotechnical information appropriate to the project.</t>
  </si>
  <si>
    <t xml:space="preserve">USDA Web Soil Survey</t>
  </si>
  <si>
    <t xml:space="preserve">Soil report and geotechnical report when needed</t>
  </si>
  <si>
    <t xml:space="preserve">Expansive/collapsible soils, high water table, poor bearing or drainage</t>
  </si>
  <si>
    <t xml:space="preserve">Wetlands / waters</t>
  </si>
  <si>
    <t xml:space="preserve">Screen wetlands and surface waters; determine whether delineation or permits are needed.</t>
  </si>
  <si>
    <t xml:space="preserve">National Wetlands Inventory</t>
  </si>
  <si>
    <t xml:space="preserve">Wetland map and consultant/agency determination if needed</t>
  </si>
  <si>
    <t xml:space="preserve">Mapped or field-indicated wetlands, jurisdictional waters, buffers</t>
  </si>
  <si>
    <t xml:space="preserve">Search state and federal cleanup, waste, tank, covenant and Superfund databases.</t>
  </si>
  <si>
    <t xml:space="preserve">CDPHE Environmental Maps</t>
  </si>
  <si>
    <t xml:space="preserve">Database results and environmental reports</t>
  </si>
  <si>
    <t xml:space="preserve">Cleanup site, environmental covenant, leaking tank, landfill or hazardous facility</t>
  </si>
  <si>
    <t xml:space="preserve">Oil and gas</t>
  </si>
  <si>
    <t xml:space="preserve">Check ECMC maps for wells, facilities, pipelines and regulatory records.</t>
  </si>
  <si>
    <t xml:space="preserve">Facility map and relevant records</t>
  </si>
  <si>
    <t xml:space="preserve">Active/abandoned well, flowline, setback issue, remediation or access obligations</t>
  </si>
  <si>
    <t xml:space="preserve">Access / roads / traffic</t>
  </si>
  <si>
    <t xml:space="preserve">Confirm legal and physical access, road jurisdiction, access permits and traffic conditions.</t>
  </si>
  <si>
    <t xml:space="preserve">Local public works + CDOT OTIS</t>
  </si>
  <si>
    <t xml:space="preserve">Access documents, road data and agency correspondence</t>
  </si>
  <si>
    <t xml:space="preserve">No legal access, private-road maintenance, access-control restriction, future widening</t>
  </si>
  <si>
    <t xml:space="preserve">Historic / cultural</t>
  </si>
  <si>
    <t xml:space="preserve">Check local historic overlays and state listed-property/cultural-resource tools.</t>
  </si>
  <si>
    <t xml:space="preserve">History Colorado Listed Properties</t>
  </si>
  <si>
    <t xml:space="preserve">Historic-status records and review requirements</t>
  </si>
  <si>
    <t xml:space="preserve">Designation or eligible resource limits demolition/alteration</t>
  </si>
  <si>
    <t xml:space="preserve">HOA / covenants</t>
  </si>
  <si>
    <t xml:space="preserve">Search recorded declarations and confirm HOA registration, governing documents, dues and violations.</t>
  </si>
  <si>
    <t xml:space="preserve">Colorado HOA Center + county recorder</t>
  </si>
  <si>
    <t xml:space="preserve">Declarations, bylaws, budgets, status letter and registration</t>
  </si>
  <si>
    <t xml:space="preserve">Unregistered association, litigation, special assessment, rental/use restrictions</t>
  </si>
  <si>
    <t xml:space="preserve">Entities / UCC</t>
  </si>
  <si>
    <t xml:space="preserve">Research seller/owner/applicant entities and UCC records where relevant.</t>
  </si>
  <si>
    <t xml:space="preserve">Colorado business and UCC searches</t>
  </si>
  <si>
    <t xml:space="preserve">Entity filings, good-standing information and UCC results</t>
  </si>
  <si>
    <t xml:space="preserve">Dissolved entity, authority problem, secured filing, name mismatch</t>
  </si>
  <si>
    <t xml:space="preserve">Final verification</t>
  </si>
  <si>
    <t xml:space="preserve">Confirm material conclusions with the responsible agency, title company, surveyor, engineer, planner and legal counsel.</t>
  </si>
  <si>
    <t xml:space="preserve">Responsible professionals and agencies</t>
  </si>
  <si>
    <t xml:space="preserve">Written confirmations and final diligence memo</t>
  </si>
  <si>
    <t xml:space="preserve">Reliance only on GIS or informal web information; unresolved conflicts</t>
  </si>
  <si>
    <t xml:space="preserve">COMMERCIAL PROPERTY EXPENSE DATABASE ? PROPERTY REGISTRY</t>
  </si>
  <si>
    <t xml:space="preserve">Adams County Assessor | Add one row per property | Used to track all expense comp submissions</t>
  </si>
  <si>
    <t xml:space="preserve">Prop ID</t>
  </si>
  <si>
    <t xml:space="preserve">Occ Code</t>
  </si>
  <si>
    <t xml:space="preserve">State</t>
  </si>
  <si>
    <t xml:space="preserve">Subtype</t>
  </si>
  <si>
    <t xml:space="preserve">Land SF</t>
  </si>
  <si>
    <t xml:space="preserve">Parcel / Schedule #</t>
  </si>
  <si>
    <t xml:space="preserve">Owner</t>
  </si>
  <si>
    <t xml:space="preserve">Date Added</t>
  </si>
  <si>
    <t xml:space="preserve">Occ Description (auto)</t>
  </si>
  <si>
    <t xml:space="preserve">P001</t>
  </si>
  <si>
    <t xml:space="preserve">R0157664</t>
  </si>
  <si>
    <t xml:space="preserve">6045 E. 76th Avenue</t>
  </si>
  <si>
    <t xml:space="preserve">CO</t>
  </si>
  <si>
    <t xml:space="preserve">R0157664 / 0172132216014</t>
  </si>
  <si>
    <t xml:space="preserve">4711 West Tennessee Avenue LLC</t>
  </si>
  <si>
    <t xml:space="preserve">Owner P&amp;L + RH Jacobson Analysis</t>
  </si>
  <si>
    <t xml:space="preserve">2026-06-01</t>
  </si>
  <si>
    <t xml:space="preserve">28.5% vacancy; inferior access through 2 adjoining parcels; appeal tax year 2025-26</t>
  </si>
  <si>
    <t xml:space="preserve">P002</t>
  </si>
  <si>
    <t xml:space="preserve">Unknown</t>
  </si>
  <si>
    <t xml:space="preserve">13659 E. 104th Ave</t>
  </si>
  <si>
    <t xml:space="preserve">Office/Commercial</t>
  </si>
  <si>
    <t xml:space="preserve">Multi-tenant</t>
  </si>
  <si>
    <t xml:space="preserve">PMC-managed HOA structure</t>
  </si>
  <si>
    <t xml:space="preserve">Owner Operating Statements (BAA CASES root)</t>
  </si>
  <si>
    <t xml:space="preserve">SF unknown; 2023-2024 actuals from operating statement submitted in BAA appeal</t>
  </si>
  <si>
    <t xml:space="preserve">P003</t>
  </si>
  <si>
    <t xml:space="preserve">R0024063</t>
  </si>
  <si>
    <t xml:space="preserve">Park Centre - Wells Fargo Bldg (12000 N Pecos area)</t>
  </si>
  <si>
    <t xml:space="preserve">Office</t>
  </si>
  <si>
    <t xml:space="preserve">Class B Multi-tenant</t>
  </si>
  <si>
    <t xml:space="preserve">Westfield Managed</t>
  </si>
  <si>
    <t xml:space="preserve">FINANCIALS.pdf + PROFORMA REVISED.xlsx</t>
  </si>
  <si>
    <t xml:space="preserve">49,479 SF leasable; complex multi-tenant office; Westfield managed; BAA appeal case</t>
  </si>
  <si>
    <t xml:space="preserve">P004</t>
  </si>
  <si>
    <t xml:space="preserve">R0050221</t>
  </si>
  <si>
    <t xml:space="preserve">8860 Federal Blvd</t>
  </si>
  <si>
    <t xml:space="preserve">Retail</t>
  </si>
  <si>
    <t xml:space="preserve">Strip/Multi-tenant</t>
  </si>
  <si>
    <t xml:space="preserve">Enger Family Partnership LLLP</t>
  </si>
  <si>
    <t xml:space="preserve">ACTUALS.pdf (BAA CASES)</t>
  </si>
  <si>
    <t xml:space="preserve">65,850 SF retail strip; triple-net structure with CAM recoveries; 2023-2024 actuals</t>
  </si>
  <si>
    <t xml:space="preserve">P005</t>
  </si>
  <si>
    <t xml:space="preserve">9351 Grant St (Horizon Terrace)</t>
  </si>
  <si>
    <t xml:space="preserve">Class B Multi-story Multi-tenant</t>
  </si>
  <si>
    <t xml:space="preserve">Horizon Terrace</t>
  </si>
  <si>
    <t xml:space="preserve">Income Statements 2023 &amp; 2024 PDFs</t>
  </si>
  <si>
    <t xml:space="preserve">91,646 SF; full-service multi-tenant office with janitorial, security, elevator; Westfield managed</t>
  </si>
  <si>
    <t xml:space="preserve">P006</t>
  </si>
  <si>
    <t xml:space="preserve">R0062937</t>
  </si>
  <si>
    <t xml:space="preserve">8670 Wolff Ct (Sheridan Park 8)</t>
  </si>
  <si>
    <t xml:space="preserve">Office/Flex</t>
  </si>
  <si>
    <t xml:space="preserve">Operating Expense History DYCO.pdf</t>
  </si>
  <si>
    <t xml:space="preserve">~37,078 SF (derived from PSF); CAM reimbursable expense structure; 2020-2024 expense history</t>
  </si>
  <si>
    <t xml:space="preserve">P007</t>
  </si>
  <si>
    <t xml:space="preserve">R0062944</t>
  </si>
  <si>
    <t xml:space="preserve">8787 (medical office complex)</t>
  </si>
  <si>
    <t xml:space="preserve">MENDI-CO II LLC</t>
  </si>
  <si>
    <t xml:space="preserve">2023 OPS.xlsx + 2024 OPS.xlsx</t>
  </si>
  <si>
    <t xml:space="preserve">~19,430 SF (derived); tenants: Denver Springs, Access VP, Colorado Net, Westminster Eye; 2023-2024 actuals</t>
  </si>
  <si>
    <t xml:space="preserve">P008</t>
  </si>
  <si>
    <t xml:space="preserve">R0070622</t>
  </si>
  <si>
    <t xml:space="preserve">460-550 E. 76th Ave (WPC Corporate)</t>
  </si>
  <si>
    <t xml:space="preserve">Distribution/Flex Multi-tenant</t>
  </si>
  <si>
    <t xml:space="preserve">WPC Corporate LLC</t>
  </si>
  <si>
    <t xml:space="preserve">330,935 SF industrial; 2024 actuals only; large multi-tenant distribution complex</t>
  </si>
  <si>
    <t xml:space="preserve">P009</t>
  </si>
  <si>
    <t xml:space="preserve">R0075212</t>
  </si>
  <si>
    <t xml:space="preserve">10500 Havana Court</t>
  </si>
  <si>
    <t xml:space="preserve">NNN Single-tenant</t>
  </si>
  <si>
    <t xml:space="preserve">Jellison Street LLP</t>
  </si>
  <si>
    <t xml:space="preserve">PLEA USING ACTUALS AND TAX LOAD.pdf</t>
  </si>
  <si>
    <t xml:space="preserve">SF unknown; NNN lease structure; P&amp;L includes depreciation/mortgage (excluded from NOI calc); 2023-2024</t>
  </si>
  <si>
    <t xml:space="preserve">P010</t>
  </si>
  <si>
    <t xml:space="preserve">R0098225</t>
  </si>
  <si>
    <t xml:space="preserve">Broadway Business Center (7040B Broadway)</t>
  </si>
  <si>
    <t xml:space="preserve">Flex/Industrial</t>
  </si>
  <si>
    <t xml:space="preserve">Multi-tenant CAM</t>
  </si>
  <si>
    <t xml:space="preserve">Broadway Business Center</t>
  </si>
  <si>
    <t xml:space="preserve">~105,000 SF estimated; CAM-recoverable structure; 2024 RE Tax inflated by $111,314 prior-yr catchup; 2023-2024 actuals</t>
  </si>
  <si>
    <t xml:space="preserve">P011</t>
  </si>
  <si>
    <t xml:space="preserve">5650 Washington St (Washington Business Park)</t>
  </si>
  <si>
    <t xml:space="preserve">Industrial/Flex</t>
  </si>
  <si>
    <t xml:space="preserve">Operating Statement (sans rent roll).pdf</t>
  </si>
  <si>
    <t xml:space="preserve">SF unknown; 2022-2024 actuals; management fee $54,025 in 2022 not shown in later years</t>
  </si>
  <si>
    <t xml:space="preserve">P012</t>
  </si>
  <si>
    <t xml:space="preserve">R0124385</t>
  </si>
  <si>
    <t xml:space="preserve">Unknown (Tax District 555)</t>
  </si>
  <si>
    <t xml:space="preserve">PROFORMA BASIS FOR OFFER.xlsx (actuals section)</t>
  </si>
  <si>
    <t xml:space="preserve">20,170 SF; 2023-2024 actuals extracted from proforma submission; limited line-item detail</t>
  </si>
  <si>
    <t xml:space="preserve">P013</t>
  </si>
  <si>
    <t xml:space="preserve">R0169176</t>
  </si>
  <si>
    <t xml:space="preserve">Unknown (new construction, opened Oct 2023)</t>
  </si>
  <si>
    <t xml:space="preserve">Retail/Office</t>
  </si>
  <si>
    <t xml:space="preserve">Income Statement 2023.xlsx + 2024.xlsx</t>
  </si>
  <si>
    <t xml:space="preserve">SF unknown; 2023 partial year (opened Oct 2023); 2024 full year; large RE tax load typical of new construction</t>
  </si>
  <si>
    <t xml:space="preserve">P014</t>
  </si>
  <si>
    <t xml:space="preserve">R0198530</t>
  </si>
  <si>
    <t xml:space="preserve">Amazon DEN7 Distribution Center</t>
  </si>
  <si>
    <t xml:space="preserve">Industrial/Distribution</t>
  </si>
  <si>
    <t xml:space="preserve">Single-tenant NNN</t>
  </si>
  <si>
    <t xml:space="preserve">Amazon (tenant)</t>
  </si>
  <si>
    <t xml:space="preserve">CAM Reconciliation 2023 &amp; 2024 OPS.pdf</t>
  </si>
  <si>
    <t xml:space="preserve">555,840 SF Amazon fulfillment center; NNN ? expenses = LL CAM billed to tenant; RE Tax dominant expense; 2023-2024</t>
  </si>
  <si>
    <t xml:space="preserve">P015</t>
  </si>
  <si>
    <t xml:space="preserve">1910 N Gun Club Rd</t>
  </si>
  <si>
    <t xml:space="preserve">Distribution Warehouse Multi-Tenant NNN</t>
  </si>
  <si>
    <t xml:space="preserve">MHE 2025 BAA – Owner submitted P&amp;L</t>
  </si>
  <si>
    <t xml:space="preserve">Actual accrual income; 2023–2024</t>
  </si>
  <si>
    <t xml:space="preserve">P016</t>
  </si>
  <si>
    <t xml:space="preserve">R0212546/R0212547</t>
  </si>
  <si>
    <t xml:space="preserve">2780 N Tower Rd</t>
  </si>
  <si>
    <t xml:space="preserve">Mega Warehouse NNN</t>
  </si>
  <si>
    <t xml:space="preserve">MHE 2025 BAA – County proforma</t>
  </si>
  <si>
    <t xml:space="preserve">County proforma; 2024 only</t>
  </si>
  <si>
    <t xml:space="preserve">P017</t>
  </si>
  <si>
    <t xml:space="preserve">R0098098</t>
  </si>
  <si>
    <t xml:space="preserve">1445 E 68th Ave</t>
  </si>
  <si>
    <t xml:space="preserve">Industrial Office Mix</t>
  </si>
  <si>
    <t xml:space="preserve">YOC 1972/2006/2023; county proforma 2024</t>
  </si>
  <si>
    <t xml:space="preserve">P018</t>
  </si>
  <si>
    <t xml:space="preserve">R0103783</t>
  </si>
  <si>
    <t xml:space="preserve">2031 E 58th Ave</t>
  </si>
  <si>
    <t xml:space="preserve">Storage Warehouse / Mod Office NNN</t>
  </si>
  <si>
    <t xml:space="preserve">MHE 2025 BAA – NNN billed charges</t>
  </si>
  <si>
    <t xml:space="preserve">NNN actual billed charges 2019–2024</t>
  </si>
  <si>
    <t xml:space="preserve">P019</t>
  </si>
  <si>
    <t xml:space="preserve">R0210402/R0210403</t>
  </si>
  <si>
    <t xml:space="preserve">17190 E 85th Ave</t>
  </si>
  <si>
    <t xml:space="preserve">Industrial Warehouse NNN</t>
  </si>
  <si>
    <t xml:space="preserve">MHE 2025 BAA – Petitioner proforma</t>
  </si>
  <si>
    <t xml:space="preserve">Petitioner proforma 2024/25</t>
  </si>
  <si>
    <t xml:space="preserve">P020</t>
  </si>
  <si>
    <t xml:space="preserve">17501 E 84th Ave</t>
  </si>
  <si>
    <t xml:space="preserve">Mega Warehouse / Distribution Center NNN (Lowe's)</t>
  </si>
  <si>
    <t xml:space="preserve">Actual accrual; 2023 NOI inflated by ~$2.8M prior-yr tax adj</t>
  </si>
  <si>
    <t xml:space="preserve">P021</t>
  </si>
  <si>
    <t xml:space="preserve">R0091931</t>
  </si>
  <si>
    <t xml:space="preserve">6300 E. 58th Ave</t>
  </si>
  <si>
    <t xml:space="preserve">Multi-Tenant Industrial/Flex</t>
  </si>
  <si>
    <t xml:space="preserve">MHE 2025 BOE – Owner actual P&amp;L</t>
  </si>
  <si>
    <t xml:space="preserve">2026-06-02</t>
  </si>
  <si>
    <t xml:space="preserve">Actual accrual 2023+2024; YOC 1999–2001</t>
  </si>
  <si>
    <t xml:space="preserve">P022</t>
  </si>
  <si>
    <t xml:space="preserve">R0111559</t>
  </si>
  <si>
    <t xml:space="preserve">3590 N. Himalaya Rd (Bldg 6)</t>
  </si>
  <si>
    <t xml:space="preserve">Multi-Tenant Industrial/Flex NNN</t>
  </si>
  <si>
    <t xml:space="preserve">MHE 2025 BOE – Sterling actual P&amp;L</t>
  </si>
  <si>
    <t xml:space="preserve">2023 transitional (vacancy); 2024 new tenant in place; SF not confirmed</t>
  </si>
  <si>
    <t xml:space="preserve">P023</t>
  </si>
  <si>
    <t xml:space="preserve">R0191098</t>
  </si>
  <si>
    <t xml:space="preserve">19754 E. 35th Dr (Bldg 4)</t>
  </si>
  <si>
    <t xml:space="preserve">Single-Tenant Industrial NNN</t>
  </si>
  <si>
    <t xml:space="preserve">Single-tenant NNN (Quality Custom Distribution); lease thru 12/31/2029</t>
  </si>
  <si>
    <t xml:space="preserve">P024</t>
  </si>
  <si>
    <t xml:space="preserve">R0111560</t>
  </si>
  <si>
    <t xml:space="preserve">20320 E. 36th Dr (Bldg 7)</t>
  </si>
  <si>
    <t xml:space="preserve">FedEx NNN; lease expired 4/30/2024 – 2023 only usable</t>
  </si>
  <si>
    <t xml:space="preserve">P025</t>
  </si>
  <si>
    <t xml:space="preserve">R0191099</t>
  </si>
  <si>
    <t xml:space="preserve">3559 N. Himalaya Rd (Bldg 5)</t>
  </si>
  <si>
    <t xml:space="preserve">Multi-Tenant Industrial NNN</t>
  </si>
  <si>
    <t xml:space="preserve">Multi-tenant NNN; 3 tenants; 2023+2024</t>
  </si>
  <si>
    <t xml:space="preserve">P026</t>
  </si>
  <si>
    <t xml:space="preserve">4901 Locust St</t>
  </si>
  <si>
    <t xml:space="preserve">Industrial Warehouse</t>
  </si>
  <si>
    <t xml:space="preserve">MHE 2025 BOE – Newmark appraisal proforma</t>
  </si>
  <si>
    <t xml:space="preserve">Stabilized proforma; Newmark V&amp;A appraisal 6/30/2024</t>
  </si>
  <si>
    <t xml:space="preserve">P027</t>
  </si>
  <si>
    <t xml:space="preserve">Majestic Commercenter (R0132030)</t>
  </si>
  <si>
    <t xml:space="preserve">Warehouse NNN</t>
  </si>
  <si>
    <t xml:space="preserve">AXG – Whse Expenses PSF.xlsx</t>
  </si>
  <si>
    <t xml:space="preserve">NNN landlord expenses only; 2021–2022</t>
  </si>
  <si>
    <t xml:space="preserve">P028</t>
  </si>
  <si>
    <t xml:space="preserve">R0084040</t>
  </si>
  <si>
    <t xml:space="preserve">Majestic Commercenter (R0084040)</t>
  </si>
  <si>
    <t xml:space="preserve">P029</t>
  </si>
  <si>
    <t xml:space="preserve">R0084041</t>
  </si>
  <si>
    <t xml:space="preserve">Majestic Commercenter (R0084041)</t>
  </si>
  <si>
    <t xml:space="preserve">P030</t>
  </si>
  <si>
    <t xml:space="preserve">R0217015</t>
  </si>
  <si>
    <t xml:space="preserve">Majestic Commercenter (R0217015)</t>
  </si>
  <si>
    <t xml:space="preserve">NNN landlord expenses only; 2022 only</t>
  </si>
  <si>
    <t xml:space="preserve">P031</t>
  </si>
  <si>
    <t xml:space="preserve">R0111562</t>
  </si>
  <si>
    <t xml:space="preserve">Majestic Commercenter (R0111562)</t>
  </si>
  <si>
    <t xml:space="preserve">NNN landlord expenses only; 2019–2020</t>
  </si>
  <si>
    <t xml:space="preserve">P032</t>
  </si>
  <si>
    <t xml:space="preserve">R0118875</t>
  </si>
  <si>
    <t xml:space="preserve">Majestic Commercenter (R0118875)</t>
  </si>
  <si>
    <t xml:space="preserve">P033</t>
  </si>
  <si>
    <t xml:space="preserve">R0132031</t>
  </si>
  <si>
    <t xml:space="preserve">Majestic Commercenter (R0132031)</t>
  </si>
  <si>
    <t xml:space="preserve">P034</t>
  </si>
  <si>
    <t xml:space="preserve">R0172865</t>
  </si>
  <si>
    <t xml:space="preserve">Majestic Commercenter (R0172865)</t>
  </si>
  <si>
    <t xml:space="preserve">P035</t>
  </si>
  <si>
    <t xml:space="preserve">R0172867</t>
  </si>
  <si>
    <t xml:space="preserve">Majestic Commercenter (R0172867)</t>
  </si>
  <si>
    <t xml:space="preserve">P036</t>
  </si>
  <si>
    <t xml:space="preserve">R0172868</t>
  </si>
  <si>
    <t xml:space="preserve">Majestic Commercenter (R0172868)</t>
  </si>
  <si>
    <t xml:space="preserve">P037</t>
  </si>
  <si>
    <t xml:space="preserve">R0145680</t>
  </si>
  <si>
    <t xml:space="preserve">Majestic Commercenter (R0145680)</t>
  </si>
  <si>
    <t xml:space="preserve">P038</t>
  </si>
  <si>
    <t xml:space="preserve">R0181787</t>
  </si>
  <si>
    <t xml:space="preserve">Majestic Commercenter (R0181787)</t>
  </si>
  <si>
    <t xml:space="preserve">P039</t>
  </si>
  <si>
    <t xml:space="preserve">R0191101</t>
  </si>
  <si>
    <t xml:space="preserve">Majestic Commercenter (R0191101)</t>
  </si>
  <si>
    <t xml:space="preserve">P040</t>
  </si>
  <si>
    <t xml:space="preserve">R0202874</t>
  </si>
  <si>
    <t xml:space="preserve">900 E 128th Ave</t>
  </si>
  <si>
    <t xml:space="preserve">Henderson</t>
  </si>
  <si>
    <t xml:space="preserve">Last-Mile Distribution NNN</t>
  </si>
  <si>
    <t xml:space="preserve">Amazon</t>
  </si>
  <si>
    <t xml:space="preserve">AXG – Owner Income Statement 2021–2022</t>
  </si>
  <si>
    <t xml:space="preserve">Amazon AMZL Last Mile Site 51812; SF not extracted</t>
  </si>
  <si>
    <t xml:space="preserve">P041</t>
  </si>
  <si>
    <t xml:space="preserve">R0189384</t>
  </si>
  <si>
    <t xml:space="preserve">1101 Colorado Blvd</t>
  </si>
  <si>
    <t xml:space="preserve">Self-Storage</t>
  </si>
  <si>
    <t xml:space="preserve">Climate-Controlled</t>
  </si>
  <si>
    <t xml:space="preserve">AXG – Carlson SS Portfolio P&amp;L</t>
  </si>
  <si>
    <t xml:space="preserve">Actual FY2021–2023; 101.5% occ Q4 2023</t>
  </si>
  <si>
    <t xml:space="preserve">P042</t>
  </si>
  <si>
    <t xml:space="preserve">R0126235</t>
  </si>
  <si>
    <t xml:space="preserve">15024 Laroy Drive</t>
  </si>
  <si>
    <t xml:space="preserve">Actual FY2021–2023; 91.4% occ Dec 2023</t>
  </si>
  <si>
    <t xml:space="preserve">P043</t>
  </si>
  <si>
    <t xml:space="preserve">R0126234</t>
  </si>
  <si>
    <t xml:space="preserve">715 W 112th Ave</t>
  </si>
  <si>
    <t xml:space="preserve">Drive-Up/Drop-Off</t>
  </si>
  <si>
    <t xml:space="preserve">Actual FY2021–2023</t>
  </si>
  <si>
    <t xml:space="preserve">P044</t>
  </si>
  <si>
    <t xml:space="preserve">R0027089/R0178319</t>
  </si>
  <si>
    <t xml:space="preserve">2290 E 120th Ave</t>
  </si>
  <si>
    <t xml:space="preserve">Combined parcel FY2021–2023; 88.2% occ Dec 2023</t>
  </si>
  <si>
    <t xml:space="preserve">P045</t>
  </si>
  <si>
    <t xml:space="preserve">R0043569</t>
  </si>
  <si>
    <t xml:space="preserve">40131 Quivas St (104th &amp; Quivas)</t>
  </si>
  <si>
    <t xml:space="preserve">AXG – SS Expense Matrix + FY2024 P&amp;L</t>
  </si>
  <si>
    <t xml:space="preserve">Actual FY2024 monthly P&amp;L + expense matrix</t>
  </si>
  <si>
    <t xml:space="preserve">P046</t>
  </si>
  <si>
    <t xml:space="preserve">Address unknown – see R0193009</t>
  </si>
  <si>
    <t xml:space="preserve">AXG – SS Expense Matrix</t>
  </si>
  <si>
    <t xml:space="preserve">Expense matrix data; EGI $1,582,087</t>
  </si>
  <si>
    <t xml:space="preserve">P047</t>
  </si>
  <si>
    <t xml:space="preserve">R0099616</t>
  </si>
  <si>
    <t xml:space="preserve">Address unknown – see R0099616</t>
  </si>
  <si>
    <t xml:space="preserve">Expense matrix data; EGI $834,358</t>
  </si>
  <si>
    <t xml:space="preserve">P048</t>
  </si>
  <si>
    <t xml:space="preserve">R0098019</t>
  </si>
  <si>
    <t xml:space="preserve">Address unknown – see R0098019</t>
  </si>
  <si>
    <t xml:space="preserve">Expense matrix data; EGI $588,827</t>
  </si>
  <si>
    <t xml:space="preserve">P049</t>
  </si>
  <si>
    <t xml:space="preserve">R0102989</t>
  </si>
  <si>
    <t xml:space="preserve">Fitzsimons area – see R0102989</t>
  </si>
  <si>
    <t xml:space="preserve">Expense matrix data; EGI $1,184,503</t>
  </si>
  <si>
    <t xml:space="preserve">P050</t>
  </si>
  <si>
    <t xml:space="preserve">R0085523</t>
  </si>
  <si>
    <t xml:space="preserve">Address unknown – see R0085523</t>
  </si>
  <si>
    <t xml:space="preserve">Expense matrix data; EGI $541,974</t>
  </si>
  <si>
    <t xml:space="preserve">P051</t>
  </si>
  <si>
    <t xml:space="preserve">R0174860</t>
  </si>
  <si>
    <t xml:space="preserve">Address unknown – see R0174860</t>
  </si>
  <si>
    <t xml:space="preserve">Drive-Up/Drop-Off (containers)</t>
  </si>
  <si>
    <t xml:space="preserve">Expense matrix data; EGI $646,496</t>
  </si>
  <si>
    <t xml:space="preserve">P052</t>
  </si>
  <si>
    <t xml:space="preserve">R0161412</t>
  </si>
  <si>
    <t xml:space="preserve">Address unknown – see R0161412</t>
  </si>
  <si>
    <t xml:space="preserve">Expense matrix data; EGI $1,206,603</t>
  </si>
  <si>
    <t xml:space="preserve">P053</t>
  </si>
  <si>
    <t xml:space="preserve">R0169115</t>
  </si>
  <si>
    <t xml:space="preserve">Address unknown – see R0169115</t>
  </si>
  <si>
    <t xml:space="preserve">Expense matrix data; EGI $787,364</t>
  </si>
  <si>
    <t xml:space="preserve">P054</t>
  </si>
  <si>
    <t xml:space="preserve">1953 N Gun Club Rd</t>
  </si>
  <si>
    <t xml:space="preserve">Multi-Tenant Industrial/Office NNN</t>
  </si>
  <si>
    <t xml:space="preserve">Cherry Owner III LLC / AIP KKR</t>
  </si>
  <si>
    <t xml:space="preserve">08_2025 Review – owner actual P&amp;L</t>
  </si>
  <si>
    <t xml:space="preserve">Actual 2023+2024; base rent + full recovery; adj for prior-yr tax</t>
  </si>
  <si>
    <t xml:space="preserve">P055</t>
  </si>
  <si>
    <t xml:space="preserve">R0211072/R0211073/R0211074</t>
  </si>
  <si>
    <t xml:space="preserve">Park 76 Distribution Center</t>
  </si>
  <si>
    <t xml:space="preserve">Industrial Warehouse (3-bldg campus) NNN</t>
  </si>
  <si>
    <t xml:space="preserve">Park 76 Owner LLC / Alpha Industrial</t>
  </si>
  <si>
    <t xml:space="preserve">3-building campus; actual 2023+2024; lease-up completed ~2023</t>
  </si>
  <si>
    <t xml:space="preserve">P056</t>
  </si>
  <si>
    <t xml:space="preserve">R0210485</t>
  </si>
  <si>
    <t xml:space="preserve">1101 E 126th Ave (Bldg A)</t>
  </si>
  <si>
    <t xml:space="preserve">Thornton Owner LLC / Alpha Industrial</t>
  </si>
  <si>
    <t xml:space="preserve">New (YOC ~2022); 2023 lease-up; 2024 near-stabilized; 2024 only added</t>
  </si>
  <si>
    <t xml:space="preserve">P057</t>
  </si>
  <si>
    <t xml:space="preserve">R0210486</t>
  </si>
  <si>
    <t xml:space="preserve">12625 Lafayette St (Bldg B)</t>
  </si>
  <si>
    <t xml:space="preserve">P058</t>
  </si>
  <si>
    <t xml:space="preserve">R0091934</t>
  </si>
  <si>
    <t xml:space="preserve">350 Park Industrial (5759)</t>
  </si>
  <si>
    <t xml:space="preserve">Multi-Tenant Industrial 407</t>
  </si>
  <si>
    <t xml:space="preserve">Actual accrual 2023+2024; multi-tenant; 3 tenants</t>
  </si>
  <si>
    <t xml:space="preserve">P059</t>
  </si>
  <si>
    <t xml:space="preserve">R0093111</t>
  </si>
  <si>
    <t xml:space="preserve">Industrial Property (yden0702)</t>
  </si>
  <si>
    <t xml:space="preserve">Actual 2023+2024; SF not confirmed; multi-tenant 3 tenants</t>
  </si>
  <si>
    <t xml:space="preserve">P060</t>
  </si>
  <si>
    <t xml:space="preserve">R0100104</t>
  </si>
  <si>
    <t xml:space="preserve">312 Kew West</t>
  </si>
  <si>
    <t xml:space="preserve">Actual 2023+2024; SF not confirmed</t>
  </si>
  <si>
    <t xml:space="preserve">P061</t>
  </si>
  <si>
    <t xml:space="preserve">R0083935</t>
  </si>
  <si>
    <t xml:space="preserve">20101 E 36th Ave (RK Industries)</t>
  </si>
  <si>
    <t xml:space="preserve">RK Industries</t>
  </si>
  <si>
    <t xml:space="preserve">08_2025 Review – CBRE income statement</t>
  </si>
  <si>
    <t xml:space="preserve">Single-tenant NNN; 2024 partial data; rent $4.47/SF NNN</t>
  </si>
  <si>
    <t xml:space="preserve">P062</t>
  </si>
  <si>
    <t xml:space="preserve">R0200721</t>
  </si>
  <si>
    <t xml:space="preserve">3420 N Lisbon St</t>
  </si>
  <si>
    <t xml:space="preserve">Cameron Ashley Bldg Products</t>
  </si>
  <si>
    <t xml:space="preserve">08_2025 Review – rent roll</t>
  </si>
  <si>
    <t xml:space="preserve">NNN lease thru 12/31/2028; rent only; tenant pays all opex</t>
  </si>
  <si>
    <t xml:space="preserve">P063</t>
  </si>
  <si>
    <t xml:space="preserve">2090 E 104th Ave</t>
  </si>
  <si>
    <t xml:space="preserve">Multi-Tenant Office</t>
  </si>
  <si>
    <t xml:space="preserve">08_2025 Review – owner P&amp;L</t>
  </si>
  <si>
    <t xml:space="preserve">Actual 2023+2024; 11 suites</t>
  </si>
  <si>
    <t xml:space="preserve">P064</t>
  </si>
  <si>
    <t xml:space="preserve">9351 Grant St</t>
  </si>
  <si>
    <t xml:space="preserve">Crown Real Estate Group</t>
  </si>
  <si>
    <t xml:space="preserve">Actual 2023; SF not stated; large property</t>
  </si>
  <si>
    <t xml:space="preserve">P065</t>
  </si>
  <si>
    <t xml:space="preserve">R0069041</t>
  </si>
  <si>
    <t xml:space="preserve">7475 Dakin St (Turnpike Tower)</t>
  </si>
  <si>
    <t xml:space="preserve">Actual 2023+2024; 87.7% occ; NNN/Modified leases</t>
  </si>
  <si>
    <t xml:space="preserve">P066</t>
  </si>
  <si>
    <t xml:space="preserve">R0079409</t>
  </si>
  <si>
    <t xml:space="preserve">6401 E 72nd Ave</t>
  </si>
  <si>
    <t xml:space="preserve">Actual 2023; 9 tenants; small multi-tenant office</t>
  </si>
  <si>
    <t xml:space="preserve">P067</t>
  </si>
  <si>
    <t xml:space="preserve">R0189338</t>
  </si>
  <si>
    <t xml:space="preserve">203 Telluride St</t>
  </si>
  <si>
    <t xml:space="preserve">Actual 2023+2024; SF not stated</t>
  </si>
  <si>
    <t xml:space="preserve">P068</t>
  </si>
  <si>
    <t xml:space="preserve">R0193830</t>
  </si>
  <si>
    <t xml:space="preserve">Justice Center Office Plaza</t>
  </si>
  <si>
    <t xml:space="preserve">Multi-Tenant Office NNN</t>
  </si>
  <si>
    <t xml:space="preserve">Actual 2023+2024; govt tenants; 100% occ; NNN leases</t>
  </si>
  <si>
    <t xml:space="preserve">P069</t>
  </si>
  <si>
    <t xml:space="preserve">R0098223</t>
  </si>
  <si>
    <t xml:space="preserve">Washington Commerce Center</t>
  </si>
  <si>
    <t xml:space="preserve">Office/Industrial</t>
  </si>
  <si>
    <t xml:space="preserve">Multi-Tenant Office/Industrial</t>
  </si>
  <si>
    <t xml:space="preserve">Actual 2023+2024; SF est; opex very low – likely tenant-pay NNN</t>
  </si>
  <si>
    <t xml:space="preserve">P070</t>
  </si>
  <si>
    <t xml:space="preserve">R0084242</t>
  </si>
  <si>
    <t xml:space="preserve">Upland Dist Ctr I (Bldg 1 bt46274)</t>
  </si>
  <si>
    <t xml:space="preserve">Link Logistics</t>
  </si>
  <si>
    <t xml:space="preserve">08_2025 Review – Link Logistics actual P&amp;L</t>
  </si>
  <si>
    <t xml:space="preserve">Actual accrual 2023+2024; NNN reimbursable structure</t>
  </si>
  <si>
    <t xml:space="preserve">P071</t>
  </si>
  <si>
    <t xml:space="preserve">R0084243</t>
  </si>
  <si>
    <t xml:space="preserve">Upland Dist Ctr I (Bldg 2 bt46275)</t>
  </si>
  <si>
    <t xml:space="preserve">Actual accrual 2023+2024</t>
  </si>
  <si>
    <t xml:space="preserve">P072</t>
  </si>
  <si>
    <t xml:space="preserve">R0084244</t>
  </si>
  <si>
    <t xml:space="preserve">Upland Dist Ctr I (Bldg 3 bt46276)</t>
  </si>
  <si>
    <t xml:space="preserve">2023 only; large warehouse; notable vacancy/free rent period</t>
  </si>
  <si>
    <t xml:space="preserve">P073</t>
  </si>
  <si>
    <t xml:space="preserve">R0084247</t>
  </si>
  <si>
    <t xml:space="preserve">13802 E 33rd Place</t>
  </si>
  <si>
    <t xml:space="preserve">P074</t>
  </si>
  <si>
    <t xml:space="preserve">R0084248</t>
  </si>
  <si>
    <t xml:space="preserve">14002 E 33rd Place</t>
  </si>
  <si>
    <t xml:space="preserve">Actual accrual 2023+2024; 2023 RE tax net of $53k refund</t>
  </si>
  <si>
    <t xml:space="preserve">P075</t>
  </si>
  <si>
    <t xml:space="preserve">R0084250</t>
  </si>
  <si>
    <t xml:space="preserve">3250 Abilene Street</t>
  </si>
  <si>
    <t xml:space="preserve">2024 tenant turnover; base rent dropped $787k→$407k; 2023 more stable</t>
  </si>
  <si>
    <t xml:space="preserve">P076</t>
  </si>
  <si>
    <t xml:space="preserve">R0084253</t>
  </si>
  <si>
    <t xml:space="preserve">14509 E 33rd Place (bt46265)</t>
  </si>
  <si>
    <t xml:space="preserve">Actual 2023+2024; 3-bldg campus R0084253</t>
  </si>
  <si>
    <t xml:space="preserve">P077</t>
  </si>
  <si>
    <t xml:space="preserve">14704 E 33rd Place (bt46266)</t>
  </si>
  <si>
    <t xml:space="preserve">Actual 2024; partial vacancy (electric/gas vacancy costs); same parcel R0084253</t>
  </si>
  <si>
    <t xml:space="preserve">P078</t>
  </si>
  <si>
    <t xml:space="preserve">14705 E 33rd Place (bt46267)</t>
  </si>
  <si>
    <t xml:space="preserve">Actual 2024; partial lease-up/free rent; same parcel R0084253</t>
  </si>
  <si>
    <t xml:space="preserve">P079</t>
  </si>
  <si>
    <t xml:space="preserve">R0086214</t>
  </si>
  <si>
    <t xml:space="preserve">Aurora Warehouse (Polar br40666)</t>
  </si>
  <si>
    <t xml:space="preserve">Actual 2023+2024; very large — RE tax $2.2-2.4M; revenue $6.5-7M</t>
  </si>
  <si>
    <t xml:space="preserve">P080</t>
  </si>
  <si>
    <t xml:space="preserve">R0194277</t>
  </si>
  <si>
    <t xml:space="preserve">8251 Quintero St</t>
  </si>
  <si>
    <t xml:space="preserve">Becknell Industrial</t>
  </si>
  <si>
    <t xml:space="preserve">08_2025 Review – Becknell Industrial actual P&amp;L</t>
  </si>
  <si>
    <t xml:space="preserve">Actual accrual 2023+2024; large RE taxes ~$2M; snow $151-188k</t>
  </si>
  <si>
    <t xml:space="preserve">P081</t>
  </si>
  <si>
    <t xml:space="preserve">R0198176</t>
  </si>
  <si>
    <t xml:space="preserve">21800 E 19th Ave</t>
  </si>
  <si>
    <t xml:space="preserve">Actual accrual 2023+2024; absolute NNN – tenant pays RE taxes directly</t>
  </si>
  <si>
    <t xml:space="preserve">P082</t>
  </si>
  <si>
    <t xml:space="preserve">Ascent Commerce Center Bldg I</t>
  </si>
  <si>
    <t xml:space="preserve">Ambrose Property Group</t>
  </si>
  <si>
    <t xml:space="preserve">08_2025 Review – Ambrose Property Group actual P&amp;L</t>
  </si>
  <si>
    <t xml:space="preserve">Q4 2024 only (Oct–Dec); partial-year/lease-up; 3-bldg campus</t>
  </si>
  <si>
    <t xml:space="preserve">P083</t>
  </si>
  <si>
    <t xml:space="preserve">Ascent Commerce Center Bldg II</t>
  </si>
  <si>
    <t xml:space="preserve">Q4 2024 only (Oct–Dec); partial-year/lease-up; same campus R0201311</t>
  </si>
  <si>
    <t xml:space="preserve">P084</t>
  </si>
  <si>
    <t xml:space="preserve">Ascent Commerce Center Bldg III</t>
  </si>
  <si>
    <t xml:space="preserve">Q4 2024 only (Oct–Dec); lease-up/negative NOI; same campus R0201311</t>
  </si>
  <si>
    <t xml:space="preserve">P085</t>
  </si>
  <si>
    <t xml:space="preserve">R0093018</t>
  </si>
  <si>
    <t xml:space="preserve">3350 Peoria St</t>
  </si>
  <si>
    <t xml:space="preserve">Office/Industrial Flex</t>
  </si>
  <si>
    <t xml:space="preserve">Lease, Rent or Op Income info – owner P&amp;L 2024</t>
  </si>
  <si>
    <t xml:space="preserve">2026-06-03</t>
  </si>
  <si>
    <t xml:space="preserve">Office/Industrial flex; owner-submitted 2024 P&amp;L</t>
  </si>
  <si>
    <t xml:space="preserve">P086</t>
  </si>
  <si>
    <t xml:space="preserve">R0210684</t>
  </si>
  <si>
    <t xml:space="preserve">14200 E Moncrieff Place</t>
  </si>
  <si>
    <t xml:space="preserve">Lease, Rent or Op Income info – owner P&amp;L 2023+2024</t>
  </si>
  <si>
    <t xml:space="preserve">Large industrial; 1980 YOC; 233,808 SF</t>
  </si>
  <si>
    <t xml:space="preserve">P087</t>
  </si>
  <si>
    <t xml:space="preserve">5861 Tennyson St</t>
  </si>
  <si>
    <t xml:space="preserve">Industrial NNN</t>
  </si>
  <si>
    <t xml:space="preserve">NNN; landlord expenses only (tenant pays RE tax); 2000 YOC</t>
  </si>
  <si>
    <t xml:space="preserve">P088</t>
  </si>
  <si>
    <t xml:space="preserve">R0090973</t>
  </si>
  <si>
    <t xml:space="preserve">3975 E 56th Ave</t>
  </si>
  <si>
    <t xml:space="preserve">Multi-Tenant Industrial</t>
  </si>
  <si>
    <t xml:space="preserve">Sand Creek Business Park; 2024 only</t>
  </si>
  <si>
    <t xml:space="preserve">P089</t>
  </si>
  <si>
    <t xml:space="preserve">R0180951</t>
  </si>
  <si>
    <t xml:space="preserve">(Address TBD – R0180951)</t>
  </si>
  <si>
    <t xml:space="preserve">WH Expenses 2026-Working File – NNN landlord expenses 2023+2024</t>
  </si>
  <si>
    <t xml:space="preserve">NNN; landlord RE Tax, Ins, Utils, CAM only; 2023+2024</t>
  </si>
  <si>
    <t xml:space="preserve">P090</t>
  </si>
  <si>
    <t xml:space="preserve">R0110351</t>
  </si>
  <si>
    <t xml:space="preserve">(Address TBD – R0110351)</t>
  </si>
  <si>
    <t xml:space="preserve">NNN; landlord RE Tax, Ins, CAM only; 2023+2024</t>
  </si>
  <si>
    <t xml:space="preserve">P091</t>
  </si>
  <si>
    <t xml:space="preserve">(Address TBD – R0198530)</t>
  </si>
  <si>
    <t xml:space="preserve">Industrial Mega-Warehouse NNN</t>
  </si>
  <si>
    <t xml:space="preserve">WH Expenses 2026-Working File – NNN landlord expenses 2024</t>
  </si>
  <si>
    <t xml:space="preserve">Mega-warehouse; NNN; landlord RE Tax, Ins, Mgmt only; 2024</t>
  </si>
  <si>
    <t xml:space="preserve">P092</t>
  </si>
  <si>
    <t xml:space="preserve">(Address TBD – R0180834)</t>
  </si>
  <si>
    <t xml:space="preserve">Cold Storage/Mega-Warehouse NNN</t>
  </si>
  <si>
    <t xml:space="preserve">Cold storage/mega-WH; NNN; 2012 YOC; landlord RE Tax, Ins, Mgmt only</t>
  </si>
  <si>
    <t xml:space="preserve">P093</t>
  </si>
  <si>
    <t xml:space="preserve">R0114792</t>
  </si>
  <si>
    <t xml:space="preserve">(Address TBD – R0114792)</t>
  </si>
  <si>
    <t xml:space="preserve">NNN; landlord RE Tax, Ins, Mgmt only; 1998 YOC</t>
  </si>
  <si>
    <t xml:space="preserve">P094</t>
  </si>
  <si>
    <t xml:space="preserve">R0104122</t>
  </si>
  <si>
    <t xml:space="preserve">550 W 53rd Pl</t>
  </si>
  <si>
    <t xml:space="preserve">Brad-CBOE 2024 – appraiser income approach pro forma</t>
  </si>
  <si>
    <t xml:space="preserve">YOC 1971 (remod 1999/eff 1985); 127,900 SF; 2024 CBOE abatement income approach</t>
  </si>
  <si>
    <t xml:space="preserve">P095</t>
  </si>
  <si>
    <t xml:space="preserve">R0086010</t>
  </si>
  <si>
    <t xml:space="preserve">15413 E 18th Ave</t>
  </si>
  <si>
    <t xml:space="preserve">AXG CBOE 2024 – appraiser income approach pro forma</t>
  </si>
  <si>
    <t xml:space="preserve">8 buildings; NRA 57,754 SF; GBA 63,989 SF; 1984 YOC</t>
  </si>
  <si>
    <t xml:space="preserve">P096</t>
  </si>
  <si>
    <t xml:space="preserve">R0083917</t>
  </si>
  <si>
    <t xml:space="preserve">14701 E 38th Ave</t>
  </si>
  <si>
    <t xml:space="preserve">Industrial Owner-User</t>
  </si>
  <si>
    <t xml:space="preserve">MT.xlsx I&amp;E Survey 2024</t>
  </si>
  <si>
    <t xml:space="preserve">Owner-user; expenses may include non-RE items (flag); 117,280 SF</t>
  </si>
  <si>
    <t xml:space="preserve">P097</t>
  </si>
  <si>
    <t xml:space="preserve">R0137586</t>
  </si>
  <si>
    <t xml:space="preserve">7273-7285 E 96th Ave</t>
  </si>
  <si>
    <t xml:space="preserve">MT.xlsx I&amp;E Survey 2023</t>
  </si>
  <si>
    <t xml:space="preserve">Modified lease; 57,200 SF; 2023 survey data</t>
  </si>
  <si>
    <t xml:space="preserve">P098</t>
  </si>
  <si>
    <t xml:space="preserve">R0187010</t>
  </si>
  <si>
    <t xml:space="preserve">8020 Steele St</t>
  </si>
  <si>
    <t xml:space="preserve">Industrial Modified Gross</t>
  </si>
  <si>
    <t xml:space="preserve">Modified gross; owner pays ins/R&amp;M/mgmt; tenant pays utils/trash; 70,000 SF</t>
  </si>
  <si>
    <t xml:space="preserve">P099</t>
  </si>
  <si>
    <t xml:space="preserve">R0111914</t>
  </si>
  <si>
    <t xml:space="preserve">1963 Jasper St</t>
  </si>
  <si>
    <t xml:space="preserve">Multi-Tenant Industrial Gross</t>
  </si>
  <si>
    <t xml:space="preserve">Gross lease; owner pays all expenses except gas/elec; 33,574 SF</t>
  </si>
  <si>
    <t xml:space="preserve">P100</t>
  </si>
  <si>
    <t xml:space="preserve">R0111965</t>
  </si>
  <si>
    <t xml:space="preserve">12101 Grant St</t>
  </si>
  <si>
    <t xml:space="preserve">Hospitality</t>
  </si>
  <si>
    <t xml:space="preserve">Hotel Limited Service</t>
  </si>
  <si>
    <t xml:space="preserve">AXG CBOE 2024 – appraiser Rushmore income approach</t>
  </si>
  <si>
    <t xml:space="preserve">100 rooms; 1998 YOC; 2024 CBOE; ADR $115/occ 70%</t>
  </si>
  <si>
    <t xml:space="preserve">P101</t>
  </si>
  <si>
    <t xml:space="preserve">R0202410</t>
  </si>
  <si>
    <t xml:space="preserve">2556 Oswego St</t>
  </si>
  <si>
    <t xml:space="preserve">Hotel Full Service</t>
  </si>
  <si>
    <t xml:space="preserve">227 rooms; built 2023; 2024 CBOE; ADR $140/occ 70%</t>
  </si>
  <si>
    <t xml:space="preserve">P102</t>
  </si>
  <si>
    <t xml:space="preserve">R0024498</t>
  </si>
  <si>
    <t xml:space="preserve">83 E 120th Ave</t>
  </si>
  <si>
    <t xml:space="preserve">137 rooms; 114,796 SF GBA; 2 bldgs; 1984 YOC; ADR $142/occ 70%</t>
  </si>
  <si>
    <t xml:space="preserve">P103</t>
  </si>
  <si>
    <t xml:space="preserve">10500 Havana Ct</t>
  </si>
  <si>
    <t xml:space="preserve">NNN; full expense survey; 30,000 SF</t>
  </si>
  <si>
    <t xml:space="preserve">P104</t>
  </si>
  <si>
    <t xml:space="preserve">R0226379</t>
  </si>
  <si>
    <t xml:space="preserve">26100 E 68th Ave</t>
  </si>
  <si>
    <t xml:space="preserve">Industrial Multi-Tenant</t>
  </si>
  <si>
    <t xml:space="preserve">Green Industrial Development Group (.ptg)</t>
  </si>
  <si>
    <t xml:space="preserve">Owner Income Statement 2023 &amp; 2024</t>
  </si>
  <si>
    <t xml:space="preserve">Building 1; Filing 3 Block 1 Lot 1; CAM reimb + TBB structure; SF unknown; 2023-2024 actuals</t>
  </si>
  <si>
    <t xml:space="preserve">COMMERCIAL PROPERTY EXPENSE DATABASE ? ANNUAL DETAIL</t>
  </si>
  <si>
    <t xml:space="preserve">One row per property per year | All dollar figures from owner P&amp;L unless noted | $/SF = $ / Building SF</t>
  </si>
  <si>
    <t xml:space="preserve">Prop Type</t>
  </si>
  <si>
    <t xml:space="preserve">Gross Rental Income</t>
  </si>
  <si>
    <t xml:space="preserve">Other Income</t>
  </si>
  <si>
    <t xml:space="preserve">Mgmt/Admin</t>
  </si>
  <si>
    <t xml:space="preserve">Plumbing R&amp;M</t>
  </si>
  <si>
    <t xml:space="preserve">Electrical R&amp;M</t>
  </si>
  <si>
    <t xml:space="preserve">Exterior R&amp;M</t>
  </si>
  <si>
    <t xml:space="preserve">Fire/Life Safety R&amp;M</t>
  </si>
  <si>
    <t xml:space="preserve">HVAC R&amp;M</t>
  </si>
  <si>
    <t xml:space="preserve">Interior Unit R&amp;M</t>
  </si>
  <si>
    <t xml:space="preserve">Interior Common R&amp;M</t>
  </si>
  <si>
    <t xml:space="preserve">General Maint &amp; Repairs</t>
  </si>
  <si>
    <t xml:space="preserve">Total R&amp;M</t>
  </si>
  <si>
    <t xml:space="preserve">Trash</t>
  </si>
  <si>
    <t xml:space="preserve">Landscape</t>
  </si>
  <si>
    <t xml:space="preserve">Snow Removal</t>
  </si>
  <si>
    <t xml:space="preserve">Total Contract Svcs</t>
  </si>
  <si>
    <t xml:space="preserve">Water &amp; Sewer</t>
  </si>
  <si>
    <t xml:space="preserve">Electric</t>
  </si>
  <si>
    <t xml:space="preserve">Total Utilities</t>
  </si>
  <si>
    <t xml:space="preserve">Other/Admin (Misc)</t>
  </si>
  <si>
    <t xml:space="preserve">Total OPX excl RE Taxes</t>
  </si>
  <si>
    <t xml:space="preserve">Total OPX incl RE Taxes</t>
  </si>
  <si>
    <t xml:space="preserve">CapEx (non-op)</t>
  </si>
  <si>
    <t xml:space="preserve">2021: other income = damages $2,392 + misc $3,863 + interest $117</t>
  </si>
  <si>
    <t xml:space="preserve">2022: other income = damages $500 + misc $2,500; CapEx unit interior</t>
  </si>
  <si>
    <t xml:space="preserve">Insurance: $3,292; Mgmt fee $13,242 + asset mgmt $5,297; Professional svcs $11,264; actuals from BAA operating statement</t>
  </si>
  <si>
    <t xml:space="preserve">Insurance $7,442; Mgmt fee $13,020 + asset mgmt $5,208; Prof svcs $13,341; Utilities: gas/elec $1,091 + water/sewer $4,199</t>
  </si>
  <si>
    <t xml:space="preserve">Park Centre - Wells Fargo Bldg</t>
  </si>
  <si>
    <t xml:space="preserve">Westfield managed; recoveries $49,658 + other $43,917 = $93,575; OpEx BT per PROFORMA REVISED.xlsx</t>
  </si>
  <si>
    <t xml:space="preserve">Recoveries $21,696 + other $56,266; OpEx BT per PROFORMA REVISED.xlsx; NOI decline reflects higher vacancy</t>
  </si>
  <si>
    <t xml:space="preserve">RE Tax estimated ~$74k (2023 not detailed); Total OpEx per actuals submission; NOI confirmed</t>
  </si>
  <si>
    <t xml:space="preserve">Detailed 2024 actuals; R&amp;M includes CAM component $261; insurance unusually high at $51,223; drainage/lighting included in Other</t>
  </si>
  <si>
    <t xml:space="preserve">Class B Multi-story</t>
  </si>
  <si>
    <t xml:space="preserve">Full-service office: janitorial $164,559 in contract total; security/life safety $29,726 in Other; landscape incl snow $65,183; 2023 actuals confirmed</t>
  </si>
  <si>
    <t xml:space="preserve">2024 actuals; janitorial $153,462 in contract total; security $32,603 in Other; sales/use tax $4,813 in Other</t>
  </si>
  <si>
    <t xml:space="preserve">Income not available; expense-only from DYCO CAM history; CAM in contract total</t>
  </si>
  <si>
    <t xml:space="preserve">Income not available; expense-only from DYCO CAM history</t>
  </si>
  <si>
    <t xml:space="preserve">Income not available; expense-only from DYCO CAM history; RE Tax jumped from $84k to $137k (reval year)</t>
  </si>
  <si>
    <t xml:space="preserve">Income not available; 2023 YTD annualized per DYCO</t>
  </si>
  <si>
    <t xml:space="preserve">Income not available; 2024 actuals per DYCO CAM history</t>
  </si>
  <si>
    <t xml:space="preserve">HVAC maint $21,615 included in R&amp;M; janitorial $16,418 in Other; professional svcs $1,726 in Other; 2023 actuals</t>
  </si>
  <si>
    <t xml:space="preserve">Mgmt = CAM portion $10,600 + non-CAM $28,022; janitorial $16,022 in Other; HVAC $13,067 in R&amp;M; 2024 actuals</t>
  </si>
  <si>
    <t xml:space="preserve">2024 only; total OPX derived (EGI - NOI); limited line-item detail from scanned actuals; large multi-tenant industrial complex</t>
  </si>
  <si>
    <t xml:space="preserve">NNN; P&amp;L excludes depreciation ($68,209) and mortgage interest ($60,714) from NOI calc; acctg/legal/bank/dues in Other; 2023 actuals</t>
  </si>
  <si>
    <t xml:space="preserve">NNN; depreciation ($52,109) and mortgage interest ($58,574) excluded from NOI; Other includes acctg, dues, inspections; 2024 actuals</t>
  </si>
  <si>
    <t xml:space="preserve">CAM recovery structure; mgmt = prop mgmt fee $50,590 + recoverable mgmt $53,721; snow in contract; 2023 actuals; NOI estimated</t>
  </si>
  <si>
    <t xml:space="preserve">2024 RE Tax inflated by $111,314 prior-yr catchup; normalized tax ~$425k; parking lot $52,328 in snow/contract; NOI estimated</t>
  </si>
  <si>
    <t xml:space="preserve">Mgmt fee $54,025 (2022 only ? not in later years); R&amp;M = bldg maint + repairs + HVAC + plumbing; water/gas from operating stmt</t>
  </si>
  <si>
    <t xml:space="preserve">No mgmt fee in 2023; R&amp;M higher due to building repairs; gas negligible per statement; 2023 actuals</t>
  </si>
  <si>
    <t xml:space="preserve">RE Tax not separately identified in 2024 column of operating stmt; total OPX from actuals; NOI confirmed</t>
  </si>
  <si>
    <t xml:space="preserve">Limited line-item detail; totals from PROFORMA BASIS FOR OFFER.xlsx actuals section</t>
  </si>
  <si>
    <t xml:space="preserve">CapEx $14,000 non-recurring excluded from OPX; limited line-item detail</t>
  </si>
  <si>
    <t xml:space="preserve">Unknown (new const., opened Oct 2023)</t>
  </si>
  <si>
    <t xml:space="preserve">2023 partial year (opened Oct 2023); RE Tax high for new construction; gas $3,877 + elec $47,590 in utilities</t>
  </si>
  <si>
    <t xml:space="preserve">Tax consultant $11,515 added to RE Tax line; HOA/exterior maint $27,159 in landscape; recoveries $336,319 + other $696</t>
  </si>
  <si>
    <t xml:space="preserve">NNN ? expenses = LL CAM billed to Amazon tenant; RE Tax $1.617M dominates; base rent $3.12M; 2023 CAM reconciliation</t>
  </si>
  <si>
    <t xml:space="preserve">NNN; RE Tax $2.162M = $3.89/SF reflecting Adams County assessment increase (+34% YOY); 2024 CAM reconciliation</t>
  </si>
  <si>
    <t xml:space="preserve">Actual accrual; security $159,500 in Other</t>
  </si>
  <si>
    <t xml:space="preserve">Actual accrual; security $132,552 in Other</t>
  </si>
  <si>
    <t xml:space="preserve">County proforma only; limited line-item detail available</t>
  </si>
  <si>
    <t xml:space="preserve">County proforma 2024; YOC 1972/2006/2023 additions</t>
  </si>
  <si>
    <t xml:space="preserve">NNN billed charges; EGI = base rent + NNN pass-throughs</t>
  </si>
  <si>
    <t xml:space="preserve">Petitioner proforma 2024/25; limited line-item detail</t>
  </si>
  <si>
    <t xml:space="preserve">Actual accrual; 2023 NOI inflated ~$2.8M by prior-yr RE tax adj; security in Other</t>
  </si>
  <si>
    <t xml:space="preserve">Actual accrual; security $30,799 in Other</t>
  </si>
  <si>
    <t xml:space="preserve">Actual accrual; parking sweep in Trash; admin fees in Mgmt</t>
  </si>
  <si>
    <t xml:space="preserve">Actual accrual; snow $14,953 also listed under ext R&amp;M; security/admin in ext maint</t>
  </si>
  <si>
    <t xml:space="preserve">2024 only – 2023 was transitional vacancy year; SF not confirmed; approx figures</t>
  </si>
  <si>
    <t xml:space="preserve">NNN; tenant pays most R&amp;M directly; Quality Custom Distribution lease thru 12/31/2029</t>
  </si>
  <si>
    <t xml:space="preserve">NNN; tenant pays most R&amp;M directly</t>
  </si>
  <si>
    <t xml:space="preserve">FedEx NNN thru 4/30/2024; tenant pays nearly all expenses; 2024 excluded (lease expiry vacancy)</t>
  </si>
  <si>
    <t xml:space="preserve">Multi-tenant NNN; limited expense detail available; approx figures</t>
  </si>
  <si>
    <t xml:space="preserve">Newmark stabilized proforma 6/30/2024; cap rate 7.00%; not actual historical</t>
  </si>
  <si>
    <t xml:space="preserve">NNN landlord expenses only; from AXG Whse Expenses PSF.xlsx</t>
  </si>
  <si>
    <t xml:space="preserve">NNN landlord expenses only; from AXG Whse Expenses PSF.xlsx (R0132030)</t>
  </si>
  <si>
    <t xml:space="preserve">NNN landlord expenses only; from AXG Whse Expenses PSF.xlsx (R0084040)</t>
  </si>
  <si>
    <t xml:space="preserve">NNN landlord expenses only; from AXG Whse Expenses PSF.xlsx (R0084041)</t>
  </si>
  <si>
    <t xml:space="preserve">NNN landlord expenses only; from AXG Whse Expenses PSF.xlsx (R0217015)</t>
  </si>
  <si>
    <t xml:space="preserve">NNN landlord expenses only; from AXG Whse Expenses PSF.xlsx (R0111562)</t>
  </si>
  <si>
    <t xml:space="preserve">NNN landlord expenses only; from AXG Whse Expenses PSF.xlsx (R0118875)</t>
  </si>
  <si>
    <t xml:space="preserve">NNN landlord expenses only; from AXG Whse Expenses PSF.xlsx (R0132031)</t>
  </si>
  <si>
    <t xml:space="preserve">NNN landlord expenses only; from AXG Whse Expenses PSF.xlsx (R0172865)</t>
  </si>
  <si>
    <t xml:space="preserve">NNN landlord expenses only; from AXG Whse Expenses PSF.xlsx (R0172867)</t>
  </si>
  <si>
    <t xml:space="preserve">NNN landlord expenses only; from AXG Whse Expenses PSF.xlsx (R0172868)</t>
  </si>
  <si>
    <t xml:space="preserve">NNN landlord expenses only; from AXG Whse Expenses PSF.xlsx (R0145680)</t>
  </si>
  <si>
    <t xml:space="preserve">NNN landlord expenses only; from AXG Whse Expenses PSF.xlsx (R0181787)</t>
  </si>
  <si>
    <t xml:space="preserve">NNN landlord expenses only; from AXG Whse Expenses PSF.xlsx (R0191101)</t>
  </si>
  <si>
    <t xml:space="preserve">Amazon AMZL Site 51812; SF not extracted; RE Tax not broken out in 2021</t>
  </si>
  <si>
    <t xml:space="preserve">Amazon AMZL Site 51812; 2022 dominated by RE Tax $1.08M; asset mgmt fee $70k</t>
  </si>
  <si>
    <t xml:space="preserve">Actual SS P&amp;L; mgmt=off-site+on-site combined; admin+adv in Other</t>
  </si>
  <si>
    <t xml:space="preserve">Actual SS P&amp;L; mgmt=off-site+on-site combined</t>
  </si>
  <si>
    <t xml:space="preserve">Actual SS P&amp;L; combined parcels R0027089+R0178319; mgmt=off-site+on-site</t>
  </si>
  <si>
    <t xml:space="preserve">40131 Quivas St</t>
  </si>
  <si>
    <t xml:space="preserve">Actual FY2024 P&amp;L; mgmt=off-site $42,964+on-site $51,011; RE Tax est from matrix</t>
  </si>
  <si>
    <t xml:space="preserve">AXG SS Expense Matrix; year not specified (~2022/23); R0193009</t>
  </si>
  <si>
    <t xml:space="preserve">AXG SS Expense Matrix; year not specified (~2022/23); R0099616</t>
  </si>
  <si>
    <t xml:space="preserve">AXG SS Expense Matrix; year not specified (~2022/23); R0098019</t>
  </si>
  <si>
    <t xml:space="preserve">Address unknown – see R0102989</t>
  </si>
  <si>
    <t xml:space="preserve">AXG SS Expense Matrix; year not specified (~2022/23); R0102989</t>
  </si>
  <si>
    <t xml:space="preserve">AXG SS Expense Matrix; year not specified (~2022/23); R0085523</t>
  </si>
  <si>
    <t xml:space="preserve">AXG SS Expense Matrix; year not specified (~2022/23); R0174860</t>
  </si>
  <si>
    <t xml:space="preserve">AXG SS Expense Matrix; year not specified (~2022/23); R0161412</t>
  </si>
  <si>
    <t xml:space="preserve">AXG SS Expense Matrix; year not specified (~2022/23); R0169115</t>
  </si>
  <si>
    <t xml:space="preserve">Source: Master Property Database (Income-Expense Detail). Absolute-net single tenant; tenant pays RE tax, insurance, utilities and R&amp;M direct. Owner opex = admin only. Excludes depreciation $456,096, amortisation $12,124 and interest $641,014.</t>
  </si>
  <si>
    <t xml:space="preserve">Source: Master Property Database (Income-Expense Detail). Absolute-net single tenant; rent $8.07/SF. Owner opex = admin only. Excludes depreciation $456,096, amortisation $12,124 and interest $613,282.</t>
  </si>
  <si>
    <t xml:space="preserve">2024 actual 12-month P&amp;L; NOI est. per expense ratio; from 08_2025 Review</t>
  </si>
  <si>
    <t xml:space="preserve">2024 actual 12-month P&amp;L; from 08_2025 Review</t>
  </si>
  <si>
    <t xml:space="preserve">Actual accrual; base rent $880k; recovery $1.59M; prior-yr adj included</t>
  </si>
  <si>
    <t xml:space="preserve">Actual accrual; base rent $1.09M stepped; recovery $1.62M</t>
  </si>
  <si>
    <t xml:space="preserve">3-bldg campus; actual accrual; base rent $1.87M; recovery $992k; prior-yr tax credit ($186k) netted</t>
  </si>
  <si>
    <t xml:space="preserve">3-bldg campus; actual accrual; near-stabilized; base rent $2.08M; recovery $1.23M</t>
  </si>
  <si>
    <t xml:space="preserve">New (YOC ~2022); 2024 near-stabilized; 2023 excluded (lease-up, negative NOI)</t>
  </si>
  <si>
    <t xml:space="preserve">Actual accrual; 3 tenants; multi-tenant industrial</t>
  </si>
  <si>
    <t xml:space="preserve">Actual accrual; 3 tenants</t>
  </si>
  <si>
    <t xml:space="preserve">Industrial Property (R0093111)</t>
  </si>
  <si>
    <t xml:space="preserve">Actual; RE tax heavy due to NNN recovery; SF not confirmed</t>
  </si>
  <si>
    <t xml:space="preserve">2024 summary data; limited line-item detail; SF not confirmed</t>
  </si>
  <si>
    <t xml:space="preserve">Actual accrual; SF not confirmed</t>
  </si>
  <si>
    <t xml:space="preserve">20101 E 36th Ave</t>
  </si>
  <si>
    <t xml:space="preserve">NNN; partial data; CBRE income statement; tenant RK Industries; rent $4.47/SF NNN; RE tax recovery ~$860k</t>
  </si>
  <si>
    <t xml:space="preserve">NNN absolute; tenant pays all opex; owner income = rent only; $7.52/SF</t>
  </si>
  <si>
    <t xml:space="preserve">NNN absolute; tenant pays all opex; owner income = rent only; $7.75/SF</t>
  </si>
  <si>
    <t xml:space="preserve">Office; expenses only; GRI est. ~$228k at $11.56/SF 100% occ</t>
  </si>
  <si>
    <t xml:space="preserve">Office; expenses only; GRI est. ~$228k</t>
  </si>
  <si>
    <t xml:space="preserve">Actual P&amp;L; Crown RE Group; RE Tax + Ins combined in $497,852 line; large office property</t>
  </si>
  <si>
    <t xml:space="preserve">Actual; 87.7% occ; NNN/Modified leases; RE Tax heavy; approx figures</t>
  </si>
  <si>
    <t xml:space="preserve">Actual 2024; approx figures; RE Tax est. ~$262k</t>
  </si>
  <si>
    <t xml:space="preserve">Actual 2023; 9 tenants small multi-tenant office; approx total OPX/NOI</t>
  </si>
  <si>
    <t xml:space="preserve">Actual 2023; SF not stated; approx total OPX</t>
  </si>
  <si>
    <t xml:space="preserve">Actual 2024; SF not stated</t>
  </si>
  <si>
    <t xml:space="preserve">Actual accrual; govt tenants; 100% occ NNN; special assessments in Other</t>
  </si>
  <si>
    <t xml:space="preserve">Actual; tenants pay RE tax; high R&amp;M 2023 ($127k major maint); SF est.</t>
  </si>
  <si>
    <t xml:space="preserve">Actual; tenants pay RE tax; lower R&amp;M 2024; SF est.</t>
  </si>
  <si>
    <t xml:space="preserve">Upland Dist Ctr I (Bldg 1)</t>
  </si>
  <si>
    <t xml:space="preserve">Link Logistics actual accrual; security $3,096 in contract; mgmt non-billable</t>
  </si>
  <si>
    <t xml:space="preserve">Link Logistics actual accrual; security $3,871 in contract; mgmt non-billable</t>
  </si>
  <si>
    <t xml:space="preserve">Upland Dist Ctr I (Bldg 2)</t>
  </si>
  <si>
    <t xml:space="preserve">Link Logistics actual accrual</t>
  </si>
  <si>
    <t xml:space="preserve">Upland Dist Ctr I (Bldg 3)</t>
  </si>
  <si>
    <t xml:space="preserve">Link Logistics 2023 only; large warehouse; notable free rent ($111k) and lease-up period</t>
  </si>
  <si>
    <t xml:space="preserve">Link Logistics actual; 2023 RE tax net $53k refund; 2024 normal rate</t>
  </si>
  <si>
    <t xml:space="preserve">Link Logistics actual; 2024 tenant turnover – NOI depressed; base rent $787k→$407k; 2024 ins inflated by $25k deductible</t>
  </si>
  <si>
    <t xml:space="preserve">Link Logistics actual; 2023 stable; 2024 ins inflated by $25k deductible</t>
  </si>
  <si>
    <t xml:space="preserve">14509 E 33rd Place</t>
  </si>
  <si>
    <t xml:space="preserve">Link Logistics actual; 2023 security includes one-time $54k</t>
  </si>
  <si>
    <t xml:space="preserve">14704 E 33rd Place</t>
  </si>
  <si>
    <t xml:space="preserve">Link Logistics 2024; partial vacancy (elec/gas $124k); NOI understated excl vacancy costs</t>
  </si>
  <si>
    <t xml:space="preserve">14705 E 33rd Place</t>
  </si>
  <si>
    <t xml:space="preserve">Link Logistics 2024; partial free rent ($38k); lease-up period</t>
  </si>
  <si>
    <t xml:space="preserve">Aurora Warehouse (Polar)</t>
  </si>
  <si>
    <t xml:space="preserve">Link Logistics; very large – RE tax $2.2-2.4M; minimal CAM (near-absolute NNN); SF not confirmed</t>
  </si>
  <si>
    <t xml:space="preserve">Becknell Industrial; 2024 EGI/OPX inflated by $967k PY RE tax true-up; normalized NOI ~$2.86M</t>
  </si>
  <si>
    <t xml:space="preserve">Becknell Industrial; actual accrual</t>
  </si>
  <si>
    <t xml:space="preserve">Becknell; absolute NNN – tenant pays RE taxes directly; opex = CAM only</t>
  </si>
  <si>
    <t xml:space="preserve">Ambrose; Q4 2024 ONLY (Oct–Dec, 3 months); lease-up/stabilizing; DO NOT use for annual PSF</t>
  </si>
  <si>
    <t xml:space="preserve">Owner P&amp;L 2024; RE taxes not broken out separately; contracts incl HVAC $8,229/alarm $9,124/landscape $4,573/snow $2,505</t>
  </si>
  <si>
    <t xml:space="preserve">Owner P&amp;L 2023; large industrial 233,808 SF; 1980 YOC; landscape $12,324/snow $32,256 in CAM</t>
  </si>
  <si>
    <t xml:space="preserve">Owner P&amp;L 2024; total OPX only – line items not fully detailed for 2024</t>
  </si>
  <si>
    <t xml:space="preserve">NNN; landlord expenses only; tenant pays RE taxes; 2023</t>
  </si>
  <si>
    <t xml:space="preserve">NNN; landlord expenses only; tenant pays RE taxes; 2024</t>
  </si>
  <si>
    <t xml:space="preserve">Sand Creek Business Park; owner P&amp;L 2024; limited line-item detail</t>
  </si>
  <si>
    <t xml:space="preserve">NNN; landlord expenses only from WH Expenses 2026; 2016 YOC; 2023: RE Tax $394,774/Ins $7,435/Utils $58,541/CAM $50,680</t>
  </si>
  <si>
    <t xml:space="preserve">NNN; landlord expenses only from WH Expenses 2026; 2024: RE Tax $532,140/Ins $7,635/Utils $58,541/CAM $64,465</t>
  </si>
  <si>
    <t xml:space="preserve">NNN; landlord expenses only from WH Expenses 2026; 2000 YOC; 2023: RE Tax $305,241/Ins $20,559/CAM $18,539</t>
  </si>
  <si>
    <t xml:space="preserve">NNN; landlord expenses only from WH Expenses 2026; 2024: RE Tax $331,811/Ins $25,578/CAM $21,372</t>
  </si>
  <si>
    <t xml:space="preserve">Mega-warehouse 555,867 SF; NNN; landlord only: RE Tax $2,160,792/Ins $86,084/Mgmt $64,029; 2019 YOC</t>
  </si>
  <si>
    <t xml:space="preserve">Source: Master Property Database (Income-Expense Detail). Accrual Dec-2024 YTD, 553,757 SF single-tenant NNN. Mgmt/Admin = management $138,053 + accounting $69,027. Other/Admin = other taxes, bank fees, licences, sustainability, tenant retention, professional fees. Excludes non-operating interest $868,995 and deferred-financing amortisation $33,891.</t>
  </si>
  <si>
    <t xml:space="preserve">NNN; landlord only: RE Tax $201,248/Ins $9,589/Mgmt $23,542; 1998 YOC</t>
  </si>
  <si>
    <t xml:space="preserve">NNN; landlord only: RE Tax $244,551/Ins $7,536/Mgmt $23,889</t>
  </si>
  <si>
    <t xml:space="preserve">Warehouse NNN (multi-tenant)</t>
  </si>
  <si>
    <t xml:space="preserve">Source: Master Property Database (Income-Expense Detail). Accrual 12-month detail. 75.01% occupied (50,002 SF vacant). RE taxes = $440,287 recoverable + $120,240 non-recoverable. Total utilities include fire service, gas/heat and other. Excludes mortgage interest $457,398 and all depreciation/amortisation.</t>
  </si>
  <si>
    <t xml:space="preserve">(R0084040)</t>
  </si>
  <si>
    <t xml:space="preserve">NNN; WH Expenses 2026 landlord data: RE Tax $598,274/Ins $24,025/Utils $69,481/Mgmt $65,817/CAM $128,840</t>
  </si>
  <si>
    <t xml:space="preserve">(R0172865)</t>
  </si>
  <si>
    <t xml:space="preserve">NNN; WH Expenses 2026 landlord data: RE Tax $564,450/Ins $30,832/Utils $101,924/Mgmt $71,321/CAM $127,177</t>
  </si>
  <si>
    <t xml:space="preserve">(R0172868)</t>
  </si>
  <si>
    <t xml:space="preserve">NNN; WH Expenses 2026 landlord data: RE Tax $608,209/Ins $30,594/Mgmt $36,085/CAM $95,792</t>
  </si>
  <si>
    <t xml:space="preserve">(R0083935)</t>
  </si>
  <si>
    <t xml:space="preserve">NNN; WH Expenses 2026 landlord data 2024; ranges used (midpoints): RE Tax ~$788k/Ins ~$81k/Utils $195,945/Mgmt $172,937/CAM ~$283k</t>
  </si>
  <si>
    <t xml:space="preserve">(R0098223)</t>
  </si>
  <si>
    <t xml:space="preserve">CORRECTED: previous entry had wrong NOI ($76,629). Correct 2023 NOI = $951,113 per WH Expenses 2026</t>
  </si>
  <si>
    <t xml:space="preserve">New 2024 row from WH Expenses 2026; NOI $1,005,999</t>
  </si>
  <si>
    <t xml:space="preserve">Appraiser income approach (CBOE 2024 abatement); market rent $6.50/SF; vac 6%; OPX 5% + reserves 3%; 6.00% OAR; value $11,985,000</t>
  </si>
  <si>
    <t xml:space="preserve">Appraiser pro forma (AXG CBOE 2024); NRA 57,754 SF; market rent $1.39/mo/SF NRA; vac 15%; OPX 20% EGI; reserves 4%; 7.90% loaded cap; value $8,000,000</t>
  </si>
  <si>
    <t xml:space="preserve">I&amp;E Survey 2024; owner-user; CAUTION: expenses likely include non-RE business costs (mgmt $452k + utils $372k very high); 117,280 SF</t>
  </si>
  <si>
    <t xml:space="preserve">I&amp;E Survey 2023; modified lease; 57,200 SF; total expenses approx (excludes RE taxes not reported)</t>
  </si>
  <si>
    <t xml:space="preserve">I&amp;E Survey 2024; modified gross; owner pays ins/R&amp;M/mgmt only; tenant pays utils/trash; 70,000 SF; partial expense data</t>
  </si>
  <si>
    <t xml:space="preserve">I&amp;E Survey 2024; gross lease (tenant pays gas/elec); approx NOI = GRI minus owner expenses; 33,574 SF</t>
  </si>
  <si>
    <t xml:space="preserve">Appraiser Rushmore income approach (AXG CBOE 2024); 100 rooms; ADR $115; occ 70%; RevPAR $80.50; loaded cap 11.30%; RE prop value ~$7.49M. Total Revenue breakout: Rooms+F&amp;B+Other</t>
  </si>
  <si>
    <t xml:space="preserve">Appraiser Rushmore income approach (AXG CBOE 2024); 227 rooms; built 2023; ADR $140; occ 70%; RevPAR $98; loaded cap 12.45%; RE value ~$23.47M (less FF&amp;E)</t>
  </si>
  <si>
    <t xml:space="preserve">Appraiser Rushmore income approach (AXG CBOE 2024); 137 rooms; 114,796 SF; 2 bldgs; 1984 YOC; ADR $142; occ 70%; loaded cap 10.56%; RE value $15.78M (less FF&amp;E); STR data: occ ~73%, ADR ~$147-161</t>
  </si>
  <si>
    <t xml:space="preserve">I&amp;E Survey 2024; NNN lease; owner-reported; 30,000 SF; no NOI computed (no EGI reported)</t>
  </si>
  <si>
    <t xml:space="preserve">21200 E 36th Dr</t>
  </si>
  <si>
    <t xml:space="preserve">MT.xlsx 2024 survey — DETAIL UPDATE for R0180951; R&amp;M $38,871/Grd Maint $11,809/Snow-Trash $13,785 additional breakdown (matches WH Expenses totals)</t>
  </si>
  <si>
    <t xml:space="preserve">2024 actuals; CAM reimb + TBB structure; TBBs (178,730.57) included in Total OPX; RE Taxes include Metro District (179,316.74); Mgmt = CAM Mgmt + non-recov mgmt; Landscape+Snow+Security+Sweeping in Contract Svcs; SF unknown</t>
  </si>
  <si>
    <t xml:space="preserve">2023 actuals; CAM reimb + TBB structure; TBBs (171,359.08) included in Total OPX; RE Taxes include Metro District (172,730.34); Int Unit R&amp;M includes R&amp;M-Other (23,055.03); Other/Admin includes Personal Prop Tax (1,206.89); SF unknown</t>
  </si>
  <si>
    <t xml:space="preserve">P105</t>
  </si>
  <si>
    <t xml:space="preserve">Majestic Commercenter - WPC ABC (20901 E 32nd Pkwy)</t>
  </si>
  <si>
    <t xml:space="preserve">Warehouse NNN (4 x 50,000 SF units)</t>
  </si>
  <si>
    <t xml:space="preserve">Source: Master Property Database (Income-Expense Detail). Colliers operating statement FY2024; 200,000 SF, 0 vacant. Exterior R&amp;M = parking lot $14,957 + sweeping $75. Other/Admin = extermination.</t>
  </si>
  <si>
    <t xml:space="preserve">Source: Master Property Database (Income-Expense Detail). Colliers operating statement FY2023. Exterior R&amp;M = parking lot $44,093 + roof $2,668. General R&amp;M = general building $1,317 recoverable + $825 non-recoverable + grounds $1,295.</t>
  </si>
  <si>
    <t xml:space="preserve">Source: Master Property Database (Income-Expense Detail). Colliers operating statement FY2022. Exterior R&amp;M = parking lot $19,891 + roof $862. Other/Admin = extermination $2,240 + other $182.</t>
  </si>
  <si>
    <t xml:space="preserve">P106</t>
  </si>
  <si>
    <t xml:space="preserve">(none) 0182511303018</t>
  </si>
  <si>
    <t xml:space="preserve">Industrial Flex - 2 unit</t>
  </si>
  <si>
    <t xml:space="preserve">Source: Master Property Database (Income-Expense Detail). Deerwoods Management FY2024 P&amp;L (cash basis). Operating items only - excludes mortgage principal $27,586 and interest $50,738, so the total here does not tie to the printed $162,774. Other/Admin = inspection, other taxes, legal, misc.</t>
  </si>
  <si>
    <t xml:space="preserve">Source: Master Property Database (Income-Expense Detail). Deerwoods 2023 cash flow statement. Exterior R&amp;M is a $47,000 roof replacement - a one-off item, not a stabilised expense. Excludes mortgage principal $26,700 and interest $51,625.</t>
  </si>
  <si>
    <t xml:space="preserve">P107</t>
  </si>
  <si>
    <t xml:space="preserve">R0103792</t>
  </si>
  <si>
    <t xml:space="preserve">2011 E 58th Ave (TempTee Brand Steaks)</t>
  </si>
  <si>
    <t xml:space="preserve">Manufacturing / Food Processing</t>
  </si>
  <si>
    <t xml:space="preserve">Source: Master Property Database (Income-Expense Detail). Adams County Commercial-Industrial Income &amp; Expense survey, owner-completed. Owner-occupied - no rental income and no RE tax reported. Ground maintenance, janitorial and management done in house at no stated cost. Snow/trash reported combined; utilities reported in total only (food processing load). Ties to the printed $138,050 total.</t>
  </si>
  <si>
    <t xml:space="preserve">P108</t>
  </si>
  <si>
    <t xml:space="preserve">125 Bridge St (Broadview)</t>
  </si>
  <si>
    <t xml:space="preserve">Multi-tenant industrial</t>
  </si>
  <si>
    <t xml:space="preserve">Source: Master Property Database (Income-Expense Detail). IRS Form 8825, Property A, tax basis. Building area not stated in the source, so no $/SF is shown. Operating items only - excludes interest $98,058, depreciation $47,109, amortisation $2,166 and meals $1,080. Other/Admin = advertising $776 + legal &amp; professional $10,211 + other (Stmt 8A) $39,767. No RE tax line reported separately.</t>
  </si>
  <si>
    <t xml:space="preserve">COMMERCIAL PROPERTY EXPENSE DATABASE - PSF SUMMARY  ($/SF)</t>
  </si>
  <si>
    <t xml:space="preserve">Figures in $/SF of building area  |  Rows with no BldgSF show raw dollar amounts flagged [NO SF]  |  Text/ID fields copied from Expense Database</t>
  </si>
  <si>
    <t xml:space="preserve">[NO SF] Insurance: $3,292; Mgmt fee $13,242 + asset mgmt $5,297; Professional svcs $11,264; actuals from BAA operating statement</t>
  </si>
  <si>
    <t xml:space="preserve">[NO SF] Insurance $7,442; Mgmt fee $13,020 + asset mgmt $5,208; Prof svcs $13,341; Utilities: gas/elec $1,091 + water/sewer $4,199</t>
  </si>
  <si>
    <t xml:space="preserve">[NO SF] NNN; P&amp;L excludes depreciation ($68,209) and mortgage interest ($60,714) from NOI calc; acctg/legal/bank/dues in Other; 2023 actuals</t>
  </si>
  <si>
    <t xml:space="preserve">[NO SF] NNN; depreciation ($52,109) and mortgage interest ($58,574) excluded from NOI; Other includes acctg, dues, inspections; 2024 actuals</t>
  </si>
  <si>
    <t xml:space="preserve">[NO SF] Mgmt fee $54,025 (2022 only ? not in later years); R&amp;M = bldg maint + repairs + HVAC + plumbing; water/gas from operating stmt</t>
  </si>
  <si>
    <t xml:space="preserve">[NO SF] No mgmt fee in 2023; R&amp;M higher due to building repairs; gas negligible per statement; 2023 actuals</t>
  </si>
  <si>
    <t xml:space="preserve">[NO SF] RE Tax not separately identified in 2024 column of operating stmt; total OPX from actuals; NOI confirmed</t>
  </si>
  <si>
    <t xml:space="preserve">[NO SF] 2023 partial year (opened Oct 2023); RE Tax high for new construction; gas $3,877 + elec $47,590 in utilities</t>
  </si>
  <si>
    <t xml:space="preserve">[NO SF] Tax consultant $11,515 added to RE Tax line; HOA/exterior maint $27,159 in landscape; recoveries $336,319 + other $696</t>
  </si>
  <si>
    <t xml:space="preserve">[NO SF] 2024 only – 2023 was transitional vacancy year; SF not confirmed; approx figures</t>
  </si>
  <si>
    <t xml:space="preserve">[NO SF] Amazon AMZL Site 51812; SF not extracted; RE Tax not broken out in 2021</t>
  </si>
  <si>
    <t xml:space="preserve">[NO SF] Amazon AMZL Site 51812; 2022 dominated by RE Tax $1.08M; asset mgmt fee $70k</t>
  </si>
  <si>
    <t xml:space="preserve">[NO SF] Actual accrual; base rent $880k; recovery $1.59M; prior-yr adj included</t>
  </si>
  <si>
    <t xml:space="preserve">[NO SF] Actual accrual; base rent $1.09M stepped; recovery $1.62M</t>
  </si>
  <si>
    <t xml:space="preserve">[NO SF] 3-bldg campus; actual accrual; base rent $1.87M; recovery $992k; prior-yr tax credit ($186k) netted</t>
  </si>
  <si>
    <t xml:space="preserve">[NO SF] 3-bldg campus; actual accrual; near-stabilized; base rent $2.08M; recovery $1.23M</t>
  </si>
  <si>
    <t xml:space="preserve">[NO SF] New (YOC ~2022); 2024 near-stabilized; 2023 excluded (lease-up, negative NOI)</t>
  </si>
  <si>
    <t xml:space="preserve">[NO SF] Actual; RE tax heavy due to NNN recovery; SF not confirmed</t>
  </si>
  <si>
    <t xml:space="preserve">[NO SF] 2024 summary data; limited line-item detail; SF not confirmed</t>
  </si>
  <si>
    <t xml:space="preserve">[NO SF] Actual accrual; SF not confirmed</t>
  </si>
  <si>
    <t xml:space="preserve">[NO SF] Actual P&amp;L; Crown RE Group; RE Tax + Ins combined in $497,852 line; large office property</t>
  </si>
  <si>
    <t xml:space="preserve">[NO SF] Actual 2023; SF not stated; approx total OPX</t>
  </si>
  <si>
    <t xml:space="preserve">[NO SF] Actual 2024; SF not stated</t>
  </si>
  <si>
    <t xml:space="preserve">[NO SF] Link Logistics actual accrual; security $3,096 in contract; mgmt non-billable</t>
  </si>
  <si>
    <t xml:space="preserve">[NO SF] Link Logistics actual accrual; security $3,871 in contract; mgmt non-billable</t>
  </si>
  <si>
    <t xml:space="preserve">[NO SF] Link Logistics actual accrual</t>
  </si>
  <si>
    <t xml:space="preserve">[NO SF] Link Logistics 2023 only; large warehouse; notable free rent ($111k) and lease-up period</t>
  </si>
  <si>
    <t xml:space="preserve">[NO SF] Link Logistics actual; 2023 RE tax net $53k refund; 2024 normal rate</t>
  </si>
  <si>
    <t xml:space="preserve">[NO SF] Link Logistics actual; 2024 tenant turnover – NOI depressed; base rent $787k→$407k; 2024 ins inflated by $25k deductible</t>
  </si>
  <si>
    <t xml:space="preserve">[NO SF] Link Logistics actual; 2023 stable; 2024 ins inflated by $25k deductible</t>
  </si>
  <si>
    <t xml:space="preserve">[NO SF] Link Logistics actual; 2023 security includes one-time $54k</t>
  </si>
  <si>
    <t xml:space="preserve">[NO SF] Link Logistics 2024; partial vacancy (elec/gas $124k); NOI understated excl vacancy costs</t>
  </si>
  <si>
    <t xml:space="preserve">[NO SF] Link Logistics 2024; partial free rent ($38k); lease-up period</t>
  </si>
  <si>
    <t xml:space="preserve">[NO SF] Link Logistics; very large – RE tax $2.2-2.4M; minimal CAM (near-absolute NNN); SF not confirmed</t>
  </si>
  <si>
    <t xml:space="preserve">[NO SF] Becknell Industrial; 2024 EGI/OPX inflated by $967k PY RE tax true-up; normalized NOI ~$2.86M</t>
  </si>
  <si>
    <t xml:space="preserve">[NO SF] Becknell Industrial; actual accrual</t>
  </si>
  <si>
    <t xml:space="preserve">[NO SF] Becknell; absolute NNN – tenant pays RE taxes directly; opex = CAM only</t>
  </si>
  <si>
    <t xml:space="preserve">[NO SF] Ambrose; Q4 2024 ONLY (Oct–Dec, 3 months); lease-up/stabilizing; DO NOT use for annual PSF</t>
  </si>
  <si>
    <t xml:space="preserve">[NO SF] NNN; WH Expenses 2026 landlord data: RE Tax $598,274/Ins $24,025/Utils $69,481/Mgmt $65,817/CAM $128,840</t>
  </si>
  <si>
    <t xml:space="preserve">[NO SF] CORRECTED: previous entry had wrong NOI ($76,629). Correct 2023 NOI = $951,113 per WH Expenses 2026</t>
  </si>
  <si>
    <t xml:space="preserve">[NO SF] New 2024 row from WH Expenses 2026; NOI $1,005,999</t>
  </si>
  <si>
    <t xml:space="preserve">[NO SF] Appraiser Rushmore income approach (AXG CBOE 2024); 100 rooms; ADR $115; occ 70%; RevPAR $80.50; loaded cap 11.30%; RE prop value ~$7.49M. Total Revenue breakout: Rooms+F&amp;B+Other</t>
  </si>
  <si>
    <t xml:space="preserve">[NO SF] Appraiser Rushmore income approach (AXG CBOE 2024); 227 rooms; built 2023; ADR $140; occ 70%; RevPAR $98; loaded cap 12.45%; RE value ~$23.47M (less FF&amp;E)</t>
  </si>
</sst>
</file>

<file path=xl/styles.xml><?xml version="1.0" encoding="utf-8"?>
<styleSheet xmlns="http://schemas.openxmlformats.org/spreadsheetml/2006/main">
  <numFmts count="47">
    <numFmt numFmtId="164" formatCode="General"/>
    <numFmt numFmtId="165" formatCode="_(* #,##0.00_);_(* \(#,##0.00\);_(* \-??_);_(@_)"/>
    <numFmt numFmtId="166" formatCode="0"/>
    <numFmt numFmtId="167" formatCode="@"/>
    <numFmt numFmtId="168" formatCode="mmmm\ d&quot;, &quot;yyyy"/>
    <numFmt numFmtId="169" formatCode="#,##0;\(#,##0\);\-"/>
    <numFmt numFmtId="170" formatCode="#,##0.0000"/>
    <numFmt numFmtId="171" formatCode="0.00"/>
    <numFmt numFmtId="172" formatCode="\$#,##0;&quot;($&quot;#,##0\);\-"/>
    <numFmt numFmtId="173" formatCode="\$#,##0.00;&quot;($&quot;#,##0.00\);\-"/>
    <numFmt numFmtId="174" formatCode="0.00%;\-0.00%;0.00%"/>
    <numFmt numFmtId="175" formatCode="0.000%"/>
    <numFmt numFmtId="176" formatCode="0.000"/>
    <numFmt numFmtId="177" formatCode="0.0%;\-0.0%;0.0%"/>
    <numFmt numFmtId="178" formatCode="#,##0"/>
    <numFmt numFmtId="179" formatCode="0%"/>
    <numFmt numFmtId="180" formatCode="\$#,##0.00"/>
    <numFmt numFmtId="181" formatCode="\$#,##0"/>
    <numFmt numFmtId="182" formatCode="mm/dd/yyyy"/>
    <numFmt numFmtId="183" formatCode=";;;"/>
    <numFmt numFmtId="184" formatCode="#,##0_);\(#,##0\)"/>
    <numFmt numFmtId="185" formatCode="\$#,##0.00_);&quot;($&quot;#,##0.00\)"/>
    <numFmt numFmtId="186" formatCode="\$#,##0_);&quot;($&quot;#,##0\)"/>
    <numFmt numFmtId="187" formatCode="mm/yy"/>
    <numFmt numFmtId="188" formatCode="0.0%"/>
    <numFmt numFmtId="189" formatCode="#,##0.00_);\(#,##0.00\)"/>
    <numFmt numFmtId="190" formatCode="mmm\-yy"/>
    <numFmt numFmtId="191" formatCode="0.00%"/>
    <numFmt numFmtId="192" formatCode="General"/>
    <numFmt numFmtId="193" formatCode="#,##0.00;\(#,##0.00\);\-"/>
    <numFmt numFmtId="194" formatCode="h:mm:ss"/>
    <numFmt numFmtId="195" formatCode="\$#,##0.00_);[RED]&quot;($&quot;#,##0.00\)"/>
    <numFmt numFmtId="196" formatCode="&quot;Page: &quot;0"/>
    <numFmt numFmtId="197" formatCode="yyyy\-mm\-dd\ h:mm:ss"/>
    <numFmt numFmtId="198" formatCode="#,##0;\(#,##0\);\-"/>
    <numFmt numFmtId="199" formatCode="\$#,##0.00;&quot;($&quot;#,##0.00\);\-"/>
    <numFmt numFmtId="200" formatCode="\$#,##0;&quot;($&quot;#,##0\);\-"/>
    <numFmt numFmtId="201" formatCode="_(\$* #,##0.00_);_(\$* \(#,##0.00\);_(\$* \-??_);_(@_)"/>
    <numFmt numFmtId="202" formatCode="m/d/yyyy;@"/>
    <numFmt numFmtId="203" formatCode="#,##0.00"/>
    <numFmt numFmtId="204" formatCode="m/d/yyyy"/>
    <numFmt numFmtId="205" formatCode="0.0"/>
    <numFmt numFmtId="206" formatCode="_(* #,##0_);_(* \(#,##0\);_(* \-??_);_(@_)"/>
    <numFmt numFmtId="207" formatCode="0.0_)"/>
    <numFmt numFmtId="208" formatCode="0.00_)"/>
    <numFmt numFmtId="209" formatCode="#,##0_);[RED]\(#,##0\)"/>
    <numFmt numFmtId="210" formatCode="0.0000"/>
  </numFmts>
  <fonts count="77">
    <font>
      <sz val="9"/>
      <name val="Arial"/>
      <family val="0"/>
      <charset val="1"/>
    </font>
    <font>
      <sz val="10"/>
      <name val="Arial"/>
      <family val="0"/>
    </font>
    <font>
      <sz val="10"/>
      <name val="Arial"/>
      <family val="0"/>
    </font>
    <font>
      <sz val="10"/>
      <name val="Arial"/>
      <family val="0"/>
    </font>
    <font>
      <sz val="11"/>
      <name val="Century Schoolbook"/>
      <family val="1"/>
      <charset val="1"/>
    </font>
    <font>
      <sz val="11"/>
      <color theme="1"/>
      <name val="Calibri"/>
      <family val="2"/>
      <charset val="1"/>
    </font>
    <font>
      <sz val="12"/>
      <name val="DUTCH"/>
      <family val="0"/>
      <charset val="1"/>
    </font>
    <font>
      <sz val="13"/>
      <name val="Times New Roman"/>
      <family val="1"/>
      <charset val="1"/>
    </font>
    <font>
      <sz val="12"/>
      <name val="SWISS"/>
      <family val="0"/>
      <charset val="1"/>
    </font>
    <font>
      <sz val="10"/>
      <name val="Arial"/>
      <family val="2"/>
      <charset val="1"/>
    </font>
    <font>
      <sz val="9"/>
      <name val="Arial"/>
      <family val="2"/>
      <charset val="1"/>
    </font>
    <font>
      <b val="true"/>
      <sz val="10"/>
      <color theme="0"/>
      <name val="Calibri"/>
      <family val="2"/>
      <charset val="1"/>
    </font>
    <font>
      <sz val="9"/>
      <name val="Calibri"/>
      <family val="2"/>
      <charset val="1"/>
    </font>
    <font>
      <b val="true"/>
      <sz val="11"/>
      <color rgb="FFFFFFFF"/>
      <name val="Arial"/>
      <family val="2"/>
      <charset val="1"/>
    </font>
    <font>
      <i val="true"/>
      <sz val="8"/>
      <color rgb="FF7F7F7F"/>
      <name val="Arial"/>
      <family val="2"/>
      <charset val="1"/>
    </font>
    <font>
      <b val="true"/>
      <sz val="9"/>
      <color rgb="FF000000"/>
      <name val="Arial"/>
      <family val="2"/>
      <charset val="1"/>
    </font>
    <font>
      <sz val="9"/>
      <color rgb="FF000000"/>
      <name val="Arial"/>
      <family val="2"/>
      <charset val="1"/>
    </font>
    <font>
      <b val="true"/>
      <sz val="10"/>
      <color rgb="FFFFFFFF"/>
      <name val="Arial"/>
      <family val="0"/>
      <charset val="1"/>
    </font>
    <font>
      <b val="true"/>
      <sz val="9"/>
      <color rgb="FF000000"/>
      <name val="Arial"/>
      <family val="0"/>
      <charset val="1"/>
    </font>
    <font>
      <sz val="9"/>
      <color rgb="FF000000"/>
      <name val="Arial"/>
      <family val="0"/>
      <charset val="1"/>
    </font>
    <font>
      <b val="true"/>
      <sz val="9"/>
      <color rgb="FFFFFFFF"/>
      <name val="Arial"/>
      <family val="0"/>
      <charset val="1"/>
    </font>
    <font>
      <b val="true"/>
      <sz val="12"/>
      <color rgb="FFFFFFFF"/>
      <name val="Arial"/>
      <family val="2"/>
      <charset val="1"/>
    </font>
    <font>
      <i val="true"/>
      <sz val="9"/>
      <color rgb="FF7F7F7F"/>
      <name val="Arial"/>
      <family val="2"/>
      <charset val="1"/>
    </font>
    <font>
      <b val="true"/>
      <sz val="10"/>
      <name val="Arial"/>
      <family val="2"/>
      <charset val="1"/>
    </font>
    <font>
      <i val="true"/>
      <sz val="9"/>
      <name val="Arial"/>
      <family val="2"/>
      <charset val="1"/>
    </font>
    <font>
      <b val="true"/>
      <sz val="9"/>
      <color rgb="FFFFFFFF"/>
      <name val="Arial"/>
      <family val="2"/>
      <charset val="1"/>
    </font>
    <font>
      <b val="true"/>
      <sz val="9"/>
      <name val="Arial"/>
      <family val="2"/>
      <charset val="1"/>
    </font>
    <font>
      <sz val="10"/>
      <name val="Arial"/>
      <family val="2"/>
    </font>
    <font>
      <b val="true"/>
      <i val="true"/>
      <sz val="9"/>
      <name val="Arial"/>
      <family val="2"/>
      <charset val="1"/>
    </font>
    <font>
      <sz val="11"/>
      <name val="Arial"/>
      <family val="2"/>
      <charset val="1"/>
    </font>
    <font>
      <b val="true"/>
      <sz val="15"/>
      <color rgb="FFFFFFFF"/>
      <name val="Calibri"/>
      <family val="2"/>
      <charset val="1"/>
    </font>
    <font>
      <sz val="11"/>
      <color rgb="FF333F50"/>
      <name val="Calibri"/>
      <family val="2"/>
      <charset val="1"/>
    </font>
    <font>
      <b val="true"/>
      <sz val="10"/>
      <color rgb="FF1F4E78"/>
      <name val="Calibri"/>
      <family val="2"/>
      <charset val="1"/>
    </font>
    <font>
      <b val="true"/>
      <sz val="12"/>
      <name val="Calibri"/>
      <family val="2"/>
      <charset val="1"/>
    </font>
    <font>
      <sz val="14"/>
      <name val="Arial"/>
      <family val="2"/>
      <charset val="1"/>
    </font>
    <font>
      <b val="true"/>
      <sz val="11"/>
      <color rgb="FFFFFFFF"/>
      <name val="Calibri"/>
      <family val="2"/>
      <charset val="1"/>
    </font>
    <font>
      <sz val="10"/>
      <name val="Calibri"/>
      <family val="2"/>
      <charset val="1"/>
    </font>
    <font>
      <b val="true"/>
      <sz val="14"/>
      <name val="Arial"/>
      <family val="2"/>
      <charset val="1"/>
    </font>
    <font>
      <b val="true"/>
      <sz val="9"/>
      <color rgb="FF1F4E78"/>
      <name val="Calibri"/>
      <family val="2"/>
      <charset val="1"/>
    </font>
    <font>
      <b val="true"/>
      <sz val="10"/>
      <color rgb="FF375623"/>
      <name val="Calibri"/>
      <family val="2"/>
      <charset val="1"/>
    </font>
    <font>
      <sz val="10"/>
      <color rgb="FF000000"/>
      <name val="Arial"/>
      <family val="2"/>
      <charset val="1"/>
    </font>
    <font>
      <sz val="13"/>
      <color rgb="FF0000FF"/>
      <name val="Times New Roman"/>
      <family val="1"/>
      <charset val="1"/>
    </font>
    <font>
      <b val="true"/>
      <sz val="13"/>
      <name val="Times New Roman"/>
      <family val="1"/>
      <charset val="1"/>
    </font>
    <font>
      <b val="true"/>
      <sz val="9"/>
      <color rgb="FF833C00"/>
      <name val="Calibri"/>
      <family val="2"/>
      <charset val="1"/>
    </font>
    <font>
      <b val="true"/>
      <sz val="10"/>
      <color rgb="FFFFFFFF"/>
      <name val="Arial"/>
      <family val="2"/>
      <charset val="1"/>
    </font>
    <font>
      <b val="true"/>
      <sz val="8"/>
      <color rgb="FFFFFFFF"/>
      <name val="Arial"/>
      <family val="2"/>
      <charset val="1"/>
    </font>
    <font>
      <b val="true"/>
      <sz val="13"/>
      <name val="Arial"/>
      <family val="2"/>
      <charset val="1"/>
    </font>
    <font>
      <i val="true"/>
      <sz val="8"/>
      <color rgb="FF666666"/>
      <name val="Arial"/>
      <family val="2"/>
      <charset val="1"/>
    </font>
    <font>
      <b val="true"/>
      <sz val="12"/>
      <name val="Arial"/>
      <family val="2"/>
      <charset val="1"/>
    </font>
    <font>
      <b val="true"/>
      <sz val="14"/>
      <color rgb="FF203864"/>
      <name val="Arial"/>
      <family val="2"/>
      <charset val="1"/>
    </font>
    <font>
      <b val="true"/>
      <i val="true"/>
      <sz val="9"/>
      <color rgb="FFD97706"/>
      <name val="Arial"/>
      <family val="2"/>
      <charset val="1"/>
    </font>
    <font>
      <sz val="9"/>
      <color rgb="FF0000FF"/>
      <name val="Calibri"/>
      <family val="2"/>
      <charset val="1"/>
    </font>
    <font>
      <sz val="11"/>
      <name val="Calibri"/>
      <family val="2"/>
      <charset val="1"/>
    </font>
    <font>
      <b val="true"/>
      <i val="true"/>
      <sz val="11"/>
      <name val="Calibri"/>
      <family val="2"/>
      <charset val="1"/>
    </font>
    <font>
      <b val="true"/>
      <sz val="11"/>
      <color rgb="FFFFFFFF"/>
      <name val="Arial"/>
      <family val="0"/>
      <charset val="1"/>
    </font>
    <font>
      <i val="true"/>
      <sz val="8"/>
      <color rgb="FF7F7F7F"/>
      <name val="Arial"/>
      <family val="0"/>
      <charset val="1"/>
    </font>
    <font>
      <b val="true"/>
      <sz val="8"/>
      <color rgb="FFFFFFFF"/>
      <name val="Arial"/>
      <family val="0"/>
      <charset val="1"/>
    </font>
    <font>
      <i val="true"/>
      <sz val="8"/>
      <color rgb="FF595959"/>
      <name val="Arial"/>
      <family val="0"/>
      <charset val="1"/>
    </font>
    <font>
      <sz val="8"/>
      <color rgb="FF000000"/>
      <name val="Arial"/>
      <family val="0"/>
      <charset val="1"/>
    </font>
    <font>
      <sz val="10"/>
      <color theme="1"/>
      <name val="Arial"/>
      <family val="2"/>
      <charset val="1"/>
    </font>
    <font>
      <sz val="10"/>
      <color rgb="FFFF0000"/>
      <name val="Arial"/>
      <family val="2"/>
      <charset val="1"/>
    </font>
    <font>
      <sz val="10"/>
      <color rgb="FF333333"/>
      <name val="Arial"/>
      <family val="2"/>
      <charset val="1"/>
    </font>
    <font>
      <sz val="7"/>
      <name val="Arial"/>
      <family val="2"/>
      <charset val="1"/>
    </font>
    <font>
      <sz val="9"/>
      <name val="SWISS"/>
      <family val="0"/>
      <charset val="1"/>
    </font>
    <font>
      <sz val="8"/>
      <name val="Arial"/>
      <family val="2"/>
      <charset val="1"/>
    </font>
    <font>
      <sz val="9"/>
      <color rgb="FFFF0000"/>
      <name val="Arial"/>
      <family val="2"/>
      <charset val="1"/>
    </font>
    <font>
      <u val="single"/>
      <sz val="9"/>
      <color rgb="FF0563C1"/>
      <name val="Arial"/>
      <family val="2"/>
      <charset val="1"/>
    </font>
    <font>
      <i val="true"/>
      <sz val="8"/>
      <name val="Arial"/>
      <family val="2"/>
      <charset val="1"/>
    </font>
    <font>
      <b val="true"/>
      <sz val="13"/>
      <color rgb="FFFFFFFF"/>
      <name val="Aptos Narrow"/>
      <family val="2"/>
      <charset val="1"/>
    </font>
    <font>
      <i val="true"/>
      <sz val="10"/>
      <color rgb="FFFFFFFF"/>
      <name val="Aptos Narrow"/>
      <family val="2"/>
      <charset val="1"/>
    </font>
    <font>
      <b val="true"/>
      <sz val="10"/>
      <color rgb="FFFFFFFF"/>
      <name val="Aptos Narrow"/>
      <family val="2"/>
      <charset val="1"/>
    </font>
    <font>
      <b val="true"/>
      <sz val="10"/>
      <name val="Calibri"/>
      <family val="2"/>
      <charset val="1"/>
    </font>
    <font>
      <sz val="10"/>
      <name val="Aptos Narrow"/>
      <family val="2"/>
      <charset val="1"/>
    </font>
    <font>
      <b val="true"/>
      <sz val="13"/>
      <color rgb="FFFFFFFF"/>
      <name val="Calibri"/>
      <family val="2"/>
      <charset val="1"/>
    </font>
    <font>
      <b val="true"/>
      <sz val="10"/>
      <name val="Aptos Narrow"/>
      <family val="2"/>
      <charset val="1"/>
    </font>
    <font>
      <i val="true"/>
      <sz val="9"/>
      <name val="Calibri"/>
      <family val="2"/>
      <charset val="1"/>
    </font>
    <font>
      <b val="true"/>
      <sz val="9"/>
      <name val="Calibri"/>
      <family val="2"/>
      <charset val="1"/>
    </font>
  </fonts>
  <fills count="24">
    <fill>
      <patternFill patternType="none"/>
    </fill>
    <fill>
      <patternFill patternType="gray125"/>
    </fill>
    <fill>
      <patternFill patternType="solid">
        <fgColor rgb="FF125370"/>
        <bgColor rgb="FF1F4E78"/>
      </patternFill>
    </fill>
    <fill>
      <patternFill patternType="solid">
        <fgColor rgb="FF17324D"/>
        <bgColor rgb="FF203864"/>
      </patternFill>
    </fill>
    <fill>
      <patternFill patternType="solid">
        <fgColor rgb="FFE8F3F7"/>
        <bgColor rgb="FFF1F5F9"/>
      </patternFill>
    </fill>
    <fill>
      <patternFill patternType="solid">
        <fgColor rgb="FFF1F5F9"/>
        <bgColor rgb="FFF3F6F8"/>
      </patternFill>
    </fill>
    <fill>
      <patternFill patternType="solid">
        <fgColor rgb="FFFDEBD3"/>
        <bgColor rgb="FFFDF0DA"/>
      </patternFill>
    </fill>
    <fill>
      <patternFill patternType="solid">
        <fgColor rgb="FF1E5631"/>
        <bgColor rgb="FF375623"/>
      </patternFill>
    </fill>
    <fill>
      <patternFill patternType="solid">
        <fgColor rgb="FFBFBFBF"/>
        <bgColor rgb="FFB7C9DB"/>
      </patternFill>
    </fill>
    <fill>
      <patternFill patternType="solid">
        <fgColor rgb="FF808080"/>
        <bgColor rgb="FF7F7F7F"/>
      </patternFill>
    </fill>
    <fill>
      <patternFill patternType="solid">
        <fgColor rgb="FFD9D9D9"/>
        <bgColor rgb="FFD0D0D0"/>
      </patternFill>
    </fill>
    <fill>
      <patternFill patternType="solid">
        <fgColor rgb="FFF3F6F8"/>
        <bgColor rgb="FFF2F7FB"/>
      </patternFill>
    </fill>
    <fill>
      <patternFill patternType="solid">
        <fgColor rgb="FF1F4E78"/>
        <bgColor rgb="FF125370"/>
      </patternFill>
    </fill>
    <fill>
      <patternFill patternType="solid">
        <fgColor rgb="FFFFF2CC"/>
        <bgColor rgb="FFFDF0DA"/>
      </patternFill>
    </fill>
    <fill>
      <patternFill patternType="solid">
        <fgColor rgb="FF2E74B5"/>
        <bgColor rgb="FF0E7490"/>
      </patternFill>
    </fill>
    <fill>
      <patternFill patternType="solid">
        <fgColor rgb="FFDCE9F5"/>
        <bgColor rgb="FFDDEBF7"/>
      </patternFill>
    </fill>
    <fill>
      <patternFill patternType="solid">
        <fgColor rgb="FFE2EFDA"/>
        <bgColor rgb="FFDDEBF7"/>
      </patternFill>
    </fill>
    <fill>
      <patternFill patternType="solid">
        <fgColor rgb="FFF2F7FB"/>
        <bgColor rgb="FFF3F6F8"/>
      </patternFill>
    </fill>
    <fill>
      <patternFill patternType="solid">
        <fgColor rgb="FFFFFFFF"/>
        <bgColor rgb="FFF2F7FB"/>
      </patternFill>
    </fill>
    <fill>
      <patternFill patternType="solid">
        <fgColor rgb="FFDDEBF7"/>
        <bgColor rgb="FFDCE9F5"/>
      </patternFill>
    </fill>
    <fill>
      <patternFill patternType="solid">
        <fgColor rgb="FFD97706"/>
        <bgColor rgb="FFC55A11"/>
      </patternFill>
    </fill>
    <fill>
      <patternFill patternType="solid">
        <fgColor rgb="FF0E7490"/>
        <bgColor rgb="FF0563C1"/>
      </patternFill>
    </fill>
    <fill>
      <patternFill patternType="solid">
        <fgColor rgb="FF92D050"/>
        <bgColor rgb="FFBFBFBF"/>
      </patternFill>
    </fill>
    <fill>
      <patternFill patternType="solid">
        <fgColor rgb="FFFDF0DA"/>
        <bgColor rgb="FFFDEBD3"/>
      </patternFill>
    </fill>
  </fills>
  <borders count="25">
    <border diagonalUp="false" diagonalDown="false">
      <left/>
      <right/>
      <top/>
      <bottom/>
      <diagonal/>
    </border>
    <border diagonalUp="false" diagonalDown="false">
      <left/>
      <right/>
      <top/>
      <bottom style="thin">
        <color rgb="FFD0D0D0"/>
      </bottom>
      <diagonal/>
    </border>
    <border diagonalUp="false" diagonalDown="false">
      <left/>
      <right/>
      <top style="thin">
        <color rgb="FF595959"/>
      </top>
      <bottom style="thin">
        <color rgb="FF595959"/>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style="thin">
        <color rgb="FFB7C9DB"/>
      </left>
      <right style="thin">
        <color rgb="FFB7C9DB"/>
      </right>
      <top style="thin">
        <color rgb="FFB7C9DB"/>
      </top>
      <bottom style="thin">
        <color rgb="FFB7C9DB"/>
      </bottom>
      <diagonal/>
    </border>
    <border diagonalUp="false" diagonalDown="false">
      <left style="double"/>
      <right/>
      <top style="double"/>
      <bottom style="thin"/>
      <diagonal/>
    </border>
    <border diagonalUp="false" diagonalDown="false">
      <left/>
      <right/>
      <top style="double"/>
      <bottom style="thin"/>
      <diagonal/>
    </border>
    <border diagonalUp="false" diagonalDown="false">
      <left/>
      <right style="double"/>
      <top style="double"/>
      <bottom style="thin"/>
      <diagonal/>
    </border>
    <border diagonalUp="false" diagonalDown="false">
      <left style="double"/>
      <right/>
      <top/>
      <bottom/>
      <diagonal/>
    </border>
    <border diagonalUp="false" diagonalDown="false">
      <left style="double"/>
      <right/>
      <top/>
      <bottom style="thin"/>
      <diagonal/>
    </border>
    <border diagonalUp="false" diagonalDown="false">
      <left style="double"/>
      <right/>
      <top/>
      <bottom style="double"/>
      <diagonal/>
    </border>
    <border diagonalUp="false" diagonalDown="false">
      <left style="double"/>
      <right/>
      <top style="double"/>
      <bottom/>
      <diagonal/>
    </border>
    <border diagonalUp="false" diagonalDown="false">
      <left/>
      <right/>
      <top style="double"/>
      <bottom/>
      <diagonal/>
    </border>
    <border diagonalUp="false" diagonalDown="false">
      <left/>
      <right style="double"/>
      <top style="double"/>
      <bottom/>
      <diagonal/>
    </border>
    <border diagonalUp="false" diagonalDown="false">
      <left style="medium">
        <color rgb="FF1F4E78"/>
      </left>
      <right style="thin">
        <color rgb="FFB7C9DB"/>
      </right>
      <top style="medium">
        <color rgb="FF1F4E78"/>
      </top>
      <bottom style="thin">
        <color rgb="FFB7C9DB"/>
      </bottom>
      <diagonal/>
    </border>
    <border diagonalUp="false" diagonalDown="false">
      <left/>
      <right/>
      <top/>
      <bottom style="thin">
        <color rgb="FF404040"/>
      </bottom>
      <diagonal/>
    </border>
    <border diagonalUp="false" diagonalDown="false">
      <left/>
      <right/>
      <top/>
      <bottom style="thin"/>
      <diagonal/>
    </border>
    <border diagonalUp="false" diagonalDown="false">
      <left/>
      <right/>
      <top style="thin"/>
      <bottom style="thin"/>
      <diagonal/>
    </border>
    <border diagonalUp="false" diagonalDown="false">
      <left style="thin"/>
      <right/>
      <top style="thin"/>
      <bottom/>
      <diagonal/>
    </border>
    <border diagonalUp="false" diagonalDown="false">
      <left/>
      <right/>
      <top style="thin"/>
      <bottom/>
      <diagonal/>
    </border>
    <border diagonalUp="false" diagonalDown="false">
      <left/>
      <right style="thin"/>
      <top style="thin"/>
      <bottom/>
      <diagonal/>
    </border>
    <border diagonalUp="false" diagonalDown="false">
      <left style="thin"/>
      <right/>
      <top/>
      <bottom/>
      <diagonal/>
    </border>
    <border diagonalUp="false" diagonalDown="false">
      <left/>
      <right/>
      <top/>
      <bottom style="thick"/>
      <diagonal/>
    </border>
    <border diagonalUp="false" diagonalDown="false">
      <left/>
      <right/>
      <top/>
      <bottom style="thin">
        <color rgb="FFD9D9D9"/>
      </bottom>
      <diagonal/>
    </border>
    <border diagonalUp="false" diagonalDown="false">
      <left style="thin"/>
      <right style="thin"/>
      <top style="thin"/>
      <bottom style="thin"/>
      <diagonal/>
    </border>
  </borders>
  <cellStyleXfs count="3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5"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general" vertical="bottom" textRotation="0" wrapText="false" indent="0" shrinkToFit="false"/>
      <protection locked="true" hidden="false"/>
    </xf>
    <xf numFmtId="164" fontId="10" fillId="0" borderId="0" applyFont="true" applyBorder="true" applyAlignment="true" applyProtection="true">
      <alignment horizontal="general" vertical="bottom" textRotation="0" wrapText="false" indent="0" shrinkToFit="false"/>
      <protection locked="true" hidden="false"/>
    </xf>
    <xf numFmtId="164" fontId="10" fillId="0" borderId="0" applyFont="true" applyBorder="true" applyAlignment="true" applyProtection="true">
      <alignment horizontal="general" vertical="bottom" textRotation="0" wrapText="false" indent="0" shrinkToFit="false"/>
      <protection locked="true" hidden="false"/>
    </xf>
    <xf numFmtId="164" fontId="11" fillId="2" borderId="0" applyFont="true" applyBorder="true" applyAlignment="true" applyProtection="true">
      <alignment horizontal="center" vertical="center" textRotation="0" wrapText="false" indent="0" shrinkToFit="false"/>
      <protection locked="true" hidden="false"/>
    </xf>
    <xf numFmtId="164" fontId="12" fillId="0" borderId="0" applyFont="true" applyBorder="true" applyAlignment="true" applyProtection="true">
      <alignment horizontal="left" vertical="top" textRotation="0" wrapText="true" indent="0" shrinkToFit="false"/>
      <protection locked="true" hidden="false"/>
    </xf>
  </cellStyleXfs>
  <cellXfs count="569">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false" indent="0" shrinkToFit="false"/>
      <protection locked="true" hidden="false"/>
    </xf>
    <xf numFmtId="164" fontId="13" fillId="3" borderId="0" xfId="0" applyFont="true" applyBorder="false" applyAlignment="true" applyProtection="false">
      <alignment horizontal="left" vertical="center" textRotation="0" wrapText="false" indent="0" shrinkToFit="false"/>
      <protection locked="true" hidden="false"/>
    </xf>
    <xf numFmtId="164" fontId="14" fillId="0" borderId="0" xfId="0" applyFont="true" applyBorder="true" applyAlignment="true" applyProtection="false">
      <alignment horizontal="left" vertical="top" textRotation="0" wrapText="true" indent="0" shrinkToFit="false"/>
      <protection locked="true" hidden="false"/>
    </xf>
    <xf numFmtId="164" fontId="15" fillId="4" borderId="1" xfId="0" applyFont="true" applyBorder="true" applyAlignment="true" applyProtection="false">
      <alignment horizontal="left" vertical="center" textRotation="0" wrapText="false" indent="0" shrinkToFit="false"/>
      <protection locked="true" hidden="false"/>
    </xf>
    <xf numFmtId="164" fontId="15" fillId="0" borderId="1" xfId="0" applyFont="true" applyBorder="true" applyAlignment="true" applyProtection="false">
      <alignment horizontal="left" vertical="center" textRotation="0" wrapText="false" indent="0" shrinkToFit="false"/>
      <protection locked="true" hidden="false"/>
    </xf>
    <xf numFmtId="166" fontId="16" fillId="5" borderId="1" xfId="0" applyFont="true" applyBorder="true" applyAlignment="true" applyProtection="false">
      <alignment horizontal="left" vertical="center" textRotation="0" wrapText="false" indent="0" shrinkToFit="false"/>
      <protection locked="true" hidden="false"/>
    </xf>
    <xf numFmtId="164" fontId="14" fillId="0" borderId="1" xfId="0" applyFont="true" applyBorder="true" applyAlignment="true" applyProtection="false">
      <alignment horizontal="left" vertical="center" textRotation="0" wrapText="false" indent="0" shrinkToFit="false"/>
      <protection locked="true" hidden="false"/>
    </xf>
    <xf numFmtId="164" fontId="16" fillId="6" borderId="1" xfId="0" applyFont="true" applyBorder="true" applyAlignment="true" applyProtection="false">
      <alignment horizontal="left" vertical="center" textRotation="0" wrapText="false" indent="0" shrinkToFit="false"/>
      <protection locked="true" hidden="false"/>
    </xf>
    <xf numFmtId="167" fontId="16" fillId="6" borderId="1" xfId="0" applyFont="true" applyBorder="true" applyAlignment="true" applyProtection="false">
      <alignment horizontal="left" vertical="center" textRotation="0" wrapText="false" indent="0" shrinkToFit="false"/>
      <protection locked="true" hidden="false"/>
    </xf>
    <xf numFmtId="166" fontId="16" fillId="6" borderId="1" xfId="0" applyFont="true" applyBorder="true" applyAlignment="true" applyProtection="false">
      <alignment horizontal="left" vertical="center" textRotation="0" wrapText="false" indent="0" shrinkToFit="false"/>
      <protection locked="true" hidden="false"/>
    </xf>
    <xf numFmtId="168" fontId="16" fillId="6" borderId="1" xfId="0" applyFont="true" applyBorder="true" applyAlignment="true" applyProtection="false">
      <alignment horizontal="left" vertical="center" textRotation="0" wrapText="false" indent="0" shrinkToFit="false"/>
      <protection locked="true" hidden="false"/>
    </xf>
    <xf numFmtId="164" fontId="16" fillId="5" borderId="1" xfId="0" applyFont="true" applyBorder="true" applyAlignment="true" applyProtection="false">
      <alignment horizontal="left" vertical="center" textRotation="0" wrapText="false" indent="0" shrinkToFit="false"/>
      <protection locked="true" hidden="false"/>
    </xf>
    <xf numFmtId="169" fontId="16" fillId="5" borderId="1" xfId="0" applyFont="true" applyBorder="true" applyAlignment="true" applyProtection="false">
      <alignment horizontal="left" vertical="center" textRotation="0" wrapText="false" indent="0" shrinkToFit="false"/>
      <protection locked="true" hidden="false"/>
    </xf>
    <xf numFmtId="170" fontId="16" fillId="5" borderId="1" xfId="0" applyFont="true" applyBorder="true" applyAlignment="true" applyProtection="false">
      <alignment horizontal="left" vertical="center" textRotation="0" wrapText="false" indent="0" shrinkToFit="false"/>
      <protection locked="true" hidden="false"/>
    </xf>
    <xf numFmtId="171" fontId="16" fillId="5" borderId="1" xfId="0" applyFont="true" applyBorder="true" applyAlignment="true" applyProtection="false">
      <alignment horizontal="left" vertical="center" textRotation="0" wrapText="false" indent="0" shrinkToFit="false"/>
      <protection locked="true" hidden="false"/>
    </xf>
    <xf numFmtId="172" fontId="16" fillId="6" borderId="1" xfId="0" applyFont="true" applyBorder="true" applyAlignment="true" applyProtection="false">
      <alignment horizontal="left" vertical="center" textRotation="0" wrapText="false" indent="0" shrinkToFit="false"/>
      <protection locked="true" hidden="false"/>
    </xf>
    <xf numFmtId="172" fontId="16" fillId="5" borderId="1" xfId="0" applyFont="true" applyBorder="true" applyAlignment="true" applyProtection="false">
      <alignment horizontal="left" vertical="center" textRotation="0" wrapText="false" indent="0" shrinkToFit="false"/>
      <protection locked="true" hidden="false"/>
    </xf>
    <xf numFmtId="173" fontId="16" fillId="5" borderId="1" xfId="0" applyFont="true" applyBorder="true" applyAlignment="true" applyProtection="false">
      <alignment horizontal="left" vertical="center" textRotation="0" wrapText="false" indent="0" shrinkToFit="false"/>
      <protection locked="true" hidden="false"/>
    </xf>
    <xf numFmtId="174" fontId="16" fillId="5" borderId="1" xfId="0" applyFont="true" applyBorder="true" applyAlignment="true" applyProtection="false">
      <alignment horizontal="left" vertical="center" textRotation="0" wrapText="false" indent="0" shrinkToFit="false"/>
      <protection locked="true" hidden="false"/>
    </xf>
    <xf numFmtId="175" fontId="16" fillId="6" borderId="1" xfId="0" applyFont="true" applyBorder="true" applyAlignment="true" applyProtection="false">
      <alignment horizontal="left" vertical="center" textRotation="0" wrapText="false" indent="0" shrinkToFit="false"/>
      <protection locked="true" hidden="false"/>
    </xf>
    <xf numFmtId="176" fontId="16" fillId="6" borderId="1" xfId="0" applyFont="true" applyBorder="true" applyAlignment="true" applyProtection="false">
      <alignment horizontal="left" vertical="center" textRotation="0" wrapText="false" indent="0" shrinkToFit="false"/>
      <protection locked="true" hidden="false"/>
    </xf>
    <xf numFmtId="173" fontId="16" fillId="6" borderId="1" xfId="0" applyFont="true" applyBorder="true" applyAlignment="true" applyProtection="false">
      <alignment horizontal="left" vertical="center" textRotation="0" wrapText="false" indent="0" shrinkToFit="false"/>
      <protection locked="true" hidden="false"/>
    </xf>
    <xf numFmtId="174" fontId="16" fillId="6" borderId="1" xfId="0" applyFont="true" applyBorder="true" applyAlignment="true" applyProtection="false">
      <alignment horizontal="left" vertical="center" textRotation="0" wrapText="false" indent="0" shrinkToFit="false"/>
      <protection locked="true" hidden="false"/>
    </xf>
    <xf numFmtId="164" fontId="17" fillId="7" borderId="0" xfId="0" applyFont="true" applyBorder="true" applyAlignment="true" applyProtection="false">
      <alignment horizontal="center" vertical="center" textRotation="0" wrapText="false" indent="0" shrinkToFit="false"/>
      <protection locked="true" hidden="false"/>
    </xf>
    <xf numFmtId="164" fontId="18" fillId="0" borderId="1" xfId="0" applyFont="true" applyBorder="true" applyAlignment="true" applyProtection="false">
      <alignment horizontal="left" vertical="center" textRotation="0" wrapText="true" indent="0" shrinkToFit="false"/>
      <protection locked="true" hidden="false"/>
    </xf>
    <xf numFmtId="167" fontId="19" fillId="5" borderId="1" xfId="0" applyFont="true" applyBorder="true" applyAlignment="true" applyProtection="false">
      <alignment horizontal="left" vertical="center" textRotation="0" wrapText="false" indent="0" shrinkToFit="false"/>
      <protection locked="true" hidden="false"/>
    </xf>
    <xf numFmtId="164" fontId="19" fillId="5" borderId="1" xfId="0" applyFont="true" applyBorder="true" applyAlignment="true" applyProtection="false">
      <alignment horizontal="left" vertical="center" textRotation="0" wrapText="false" indent="0" shrinkToFit="false"/>
      <protection locked="true" hidden="false"/>
    </xf>
    <xf numFmtId="168" fontId="19" fillId="5" borderId="1" xfId="0" applyFont="true" applyBorder="true" applyAlignment="true" applyProtection="false">
      <alignment horizontal="left" vertical="center" textRotation="0" wrapText="false" indent="0" shrinkToFit="false"/>
      <protection locked="true" hidden="false"/>
    </xf>
    <xf numFmtId="164" fontId="18" fillId="8" borderId="0" xfId="0" applyFont="true" applyBorder="false" applyAlignment="true" applyProtection="false">
      <alignment horizontal="left" vertical="center" textRotation="0" wrapText="true" indent="0" shrinkToFit="false"/>
      <protection locked="true" hidden="false"/>
    </xf>
    <xf numFmtId="164" fontId="18" fillId="8" borderId="0" xfId="0" applyFont="true" applyBorder="false" applyAlignment="true" applyProtection="false">
      <alignment horizontal="left" vertical="center" textRotation="0" wrapText="false" indent="0" shrinkToFit="false"/>
      <protection locked="true" hidden="false"/>
    </xf>
    <xf numFmtId="169" fontId="19" fillId="5" borderId="1" xfId="0" applyFont="true" applyBorder="true" applyAlignment="true" applyProtection="false">
      <alignment horizontal="right" vertical="center" textRotation="0" wrapText="false" indent="0" shrinkToFit="false"/>
      <protection locked="true" hidden="false"/>
    </xf>
    <xf numFmtId="166" fontId="19" fillId="5" borderId="1" xfId="0" applyFont="true" applyBorder="true" applyAlignment="true" applyProtection="false">
      <alignment horizontal="right" vertical="center" textRotation="0" wrapText="false" indent="0" shrinkToFit="false"/>
      <protection locked="true" hidden="false"/>
    </xf>
    <xf numFmtId="164" fontId="19" fillId="6" borderId="1" xfId="0" applyFont="true" applyBorder="true" applyAlignment="true" applyProtection="false">
      <alignment horizontal="left" vertical="center" textRotation="0" wrapText="false" indent="0" shrinkToFit="false"/>
      <protection locked="true" hidden="false"/>
    </xf>
    <xf numFmtId="177" fontId="19" fillId="5" borderId="1" xfId="0" applyFont="true" applyBorder="true" applyAlignment="true" applyProtection="false">
      <alignment horizontal="right" vertical="center" textRotation="0" wrapText="false" indent="0" shrinkToFit="false"/>
      <protection locked="true" hidden="false"/>
    </xf>
    <xf numFmtId="164" fontId="20" fillId="9" borderId="0" xfId="0" applyFont="true" applyBorder="false" applyAlignment="true" applyProtection="false">
      <alignment horizontal="center" vertical="center" textRotation="0" wrapText="false" indent="0" shrinkToFit="false"/>
      <protection locked="true" hidden="false"/>
    </xf>
    <xf numFmtId="164" fontId="18" fillId="0" borderId="2" xfId="0" applyFont="true" applyBorder="true" applyAlignment="true" applyProtection="false">
      <alignment horizontal="left" vertical="center" textRotation="0" wrapText="false" indent="0" shrinkToFit="false"/>
      <protection locked="true" hidden="false"/>
    </xf>
    <xf numFmtId="172" fontId="18" fillId="10" borderId="2" xfId="0" applyFont="true" applyBorder="true" applyAlignment="true" applyProtection="false">
      <alignment horizontal="right" vertical="center" textRotation="0" wrapText="false" indent="0" shrinkToFit="false"/>
      <protection locked="true" hidden="false"/>
    </xf>
    <xf numFmtId="173" fontId="18" fillId="10" borderId="2" xfId="0" applyFont="true" applyBorder="true" applyAlignment="true" applyProtection="false">
      <alignment horizontal="right" vertical="center" textRotation="0" wrapText="false" indent="0" shrinkToFit="false"/>
      <protection locked="true" hidden="false"/>
    </xf>
    <xf numFmtId="164" fontId="19" fillId="6" borderId="1" xfId="0" applyFont="true" applyBorder="true" applyAlignment="true" applyProtection="false">
      <alignment horizontal="left" vertical="center" textRotation="0" wrapText="true" indent="0" shrinkToFit="false"/>
      <protection locked="true" hidden="false"/>
    </xf>
    <xf numFmtId="164" fontId="19" fillId="5" borderId="1" xfId="0" applyFont="true" applyBorder="true" applyAlignment="true" applyProtection="false">
      <alignment horizontal="left" vertical="center" textRotation="0" wrapText="true" indent="0" shrinkToFit="false"/>
      <protection locked="true" hidden="false"/>
    </xf>
    <xf numFmtId="168" fontId="19" fillId="6" borderId="1" xfId="0" applyFont="true" applyBorder="true" applyAlignment="true" applyProtection="false">
      <alignment horizontal="left" vertical="center" textRotation="0" wrapText="false" indent="0" shrinkToFit="false"/>
      <protection locked="true" hidden="false"/>
    </xf>
    <xf numFmtId="164" fontId="18" fillId="8" borderId="0" xfId="0" applyFont="true" applyBorder="true" applyAlignment="true" applyProtection="false">
      <alignment horizontal="left" vertical="top" textRotation="0" wrapText="true" indent="0" shrinkToFit="false"/>
      <protection locked="true" hidden="false"/>
    </xf>
    <xf numFmtId="164" fontId="18" fillId="8" borderId="0" xfId="0" applyFont="true" applyBorder="true" applyAlignment="true" applyProtection="false">
      <alignment horizontal="left" vertical="center" textRotation="0" wrapText="false" indent="0" shrinkToFit="false"/>
      <protection locked="true" hidden="false"/>
    </xf>
    <xf numFmtId="164" fontId="0" fillId="0" borderId="0" xfId="0" applyFont="false" applyBorder="true" applyAlignment="true" applyProtection="false">
      <alignment horizontal="general" vertical="bottom" textRotation="0" wrapText="false" indent="0" shrinkToFit="false"/>
      <protection locked="true" hidden="false"/>
    </xf>
    <xf numFmtId="167" fontId="19" fillId="6" borderId="1" xfId="0" applyFont="true" applyBorder="true" applyAlignment="true" applyProtection="false">
      <alignment horizontal="left" vertical="center" textRotation="0" wrapText="false" indent="0" shrinkToFit="false"/>
      <protection locked="true" hidden="false"/>
    </xf>
    <xf numFmtId="169" fontId="19" fillId="5" borderId="1" xfId="0" applyFont="true" applyBorder="true" applyAlignment="true" applyProtection="false">
      <alignment horizontal="left" vertical="center" textRotation="0" wrapText="false" indent="0" shrinkToFit="false"/>
      <protection locked="true" hidden="false"/>
    </xf>
    <xf numFmtId="170" fontId="19" fillId="5" borderId="1" xfId="0" applyFont="true" applyBorder="true" applyAlignment="true" applyProtection="false">
      <alignment horizontal="right" vertical="center" textRotation="0" wrapText="false" indent="0" shrinkToFit="false"/>
      <protection locked="true" hidden="false"/>
    </xf>
    <xf numFmtId="169" fontId="19" fillId="6" borderId="1" xfId="0" applyFont="true" applyBorder="true" applyAlignment="true" applyProtection="false">
      <alignment horizontal="left" vertical="center" textRotation="0" wrapText="false" indent="0" shrinkToFit="false"/>
      <protection locked="true" hidden="false"/>
    </xf>
    <xf numFmtId="169" fontId="18" fillId="10" borderId="2" xfId="0" applyFont="true" applyBorder="true" applyAlignment="true" applyProtection="false">
      <alignment horizontal="right" vertical="center" textRotation="0" wrapText="false" indent="0" shrinkToFit="false"/>
      <protection locked="true" hidden="false"/>
    </xf>
    <xf numFmtId="170" fontId="18" fillId="10" borderId="2" xfId="0" applyFont="true" applyBorder="true" applyAlignment="true" applyProtection="false">
      <alignment horizontal="right" vertical="center" textRotation="0" wrapText="false" indent="0" shrinkToFit="false"/>
      <protection locked="true" hidden="false"/>
    </xf>
    <xf numFmtId="166" fontId="19" fillId="5" borderId="1" xfId="0" applyFont="true" applyBorder="true" applyAlignment="true" applyProtection="false">
      <alignment horizontal="left" vertical="center" textRotation="0" wrapText="false" indent="0" shrinkToFit="false"/>
      <protection locked="true" hidden="false"/>
    </xf>
    <xf numFmtId="166" fontId="19" fillId="6" borderId="1" xfId="0" applyFont="true" applyBorder="true" applyAlignment="true" applyProtection="false">
      <alignment horizontal="left" vertical="center" textRotation="0" wrapText="false" indent="0" shrinkToFit="false"/>
      <protection locked="true" hidden="false"/>
    </xf>
    <xf numFmtId="177" fontId="19" fillId="5" borderId="1" xfId="0" applyFont="true" applyBorder="true" applyAlignment="true" applyProtection="false">
      <alignment horizontal="left" vertical="center" textRotation="0" wrapText="false" indent="0" shrinkToFit="false"/>
      <protection locked="true" hidden="false"/>
    </xf>
    <xf numFmtId="172" fontId="19" fillId="5" borderId="1" xfId="0" applyFont="true" applyBorder="true" applyAlignment="true" applyProtection="false">
      <alignment horizontal="right" vertical="center" textRotation="0" wrapText="false" indent="0" shrinkToFit="false"/>
      <protection locked="true" hidden="false"/>
    </xf>
    <xf numFmtId="172" fontId="19" fillId="6" borderId="1" xfId="0" applyFont="true" applyBorder="true" applyAlignment="true" applyProtection="false">
      <alignment horizontal="right" vertical="center" textRotation="0" wrapText="false" indent="0" shrinkToFit="false"/>
      <protection locked="true" hidden="false"/>
    </xf>
    <xf numFmtId="173" fontId="19" fillId="5" borderId="1" xfId="0" applyFont="true" applyBorder="true" applyAlignment="true" applyProtection="false">
      <alignment horizontal="right" vertical="center" textRotation="0" wrapText="false" indent="0" shrinkToFit="false"/>
      <protection locked="true" hidden="false"/>
    </xf>
    <xf numFmtId="164" fontId="21" fillId="3" borderId="0" xfId="0" applyFont="true" applyBorder="false" applyAlignment="true" applyProtection="false">
      <alignment horizontal="general" vertical="bottom" textRotation="0" wrapText="false" indent="0" shrinkToFit="false"/>
      <protection locked="true" hidden="false"/>
    </xf>
    <xf numFmtId="164" fontId="22" fillId="0" borderId="0" xfId="0" applyFont="true" applyBorder="true" applyAlignment="true" applyProtection="false">
      <alignment horizontal="general" vertical="top" textRotation="0" wrapText="true" indent="0" shrinkToFit="false"/>
      <protection locked="true" hidden="false"/>
    </xf>
    <xf numFmtId="164" fontId="23" fillId="0" borderId="0" xfId="0" applyFont="true" applyBorder="false" applyAlignment="true" applyProtection="false">
      <alignment horizontal="general" vertical="bottom" textRotation="0" wrapText="false" indent="0" shrinkToFit="false"/>
      <protection locked="true" hidden="false"/>
    </xf>
    <xf numFmtId="164" fontId="0" fillId="6" borderId="3" xfId="0" applyFont="true" applyBorder="true" applyAlignment="true" applyProtection="false">
      <alignment horizontal="left" vertical="bottom" textRotation="0" wrapText="false" indent="0" shrinkToFit="false"/>
      <protection locked="true" hidden="false"/>
    </xf>
    <xf numFmtId="164" fontId="0" fillId="6" borderId="0" xfId="0" applyFont="true" applyBorder="false" applyAlignment="true" applyProtection="false">
      <alignment horizontal="left" vertical="bottom" textRotation="0" wrapText="false" indent="0" shrinkToFit="false"/>
      <protection locked="true" hidden="false"/>
    </xf>
    <xf numFmtId="178" fontId="0" fillId="6" borderId="3" xfId="0" applyFont="false" applyBorder="true" applyAlignment="true" applyProtection="false">
      <alignment horizontal="left" vertical="bottom" textRotation="0" wrapText="false" indent="0" shrinkToFit="false"/>
      <protection locked="true" hidden="false"/>
    </xf>
    <xf numFmtId="179" fontId="0" fillId="6" borderId="3" xfId="0" applyFont="false" applyBorder="true" applyAlignment="true" applyProtection="false">
      <alignment horizontal="left" vertical="bottom" textRotation="0" wrapText="false" indent="0" shrinkToFit="false"/>
      <protection locked="true" hidden="false"/>
    </xf>
    <xf numFmtId="164" fontId="21" fillId="3" borderId="0" xfId="0" applyFont="true" applyBorder="true" applyAlignment="true" applyProtection="false">
      <alignment horizontal="general" vertical="bottom" textRotation="0" wrapText="false" indent="0" shrinkToFit="false"/>
      <protection locked="true" hidden="false"/>
    </xf>
    <xf numFmtId="164" fontId="16" fillId="5" borderId="3" xfId="0" applyFont="true" applyBorder="true" applyAlignment="true" applyProtection="false">
      <alignment horizontal="left" vertical="center" textRotation="0" wrapText="false" indent="0" shrinkToFit="false"/>
      <protection locked="true" hidden="false"/>
    </xf>
    <xf numFmtId="164" fontId="0" fillId="6" borderId="3" xfId="0" applyFont="false" applyBorder="true" applyAlignment="true" applyProtection="false">
      <alignment horizontal="general" vertical="bottom" textRotation="0" wrapText="false" indent="0" shrinkToFit="false"/>
      <protection locked="true" hidden="false"/>
    </xf>
    <xf numFmtId="166" fontId="16" fillId="5" borderId="3" xfId="0" applyFont="true" applyBorder="true" applyAlignment="true" applyProtection="false">
      <alignment horizontal="left" vertical="center" textRotation="0" wrapText="false" indent="0" shrinkToFit="false"/>
      <protection locked="true" hidden="false"/>
    </xf>
    <xf numFmtId="166" fontId="24" fillId="5" borderId="3" xfId="0" applyFont="true" applyBorder="true" applyAlignment="true" applyProtection="false">
      <alignment horizontal="general" vertical="bottom" textRotation="0" wrapText="false" indent="0" shrinkToFit="false"/>
      <protection locked="true" hidden="false"/>
    </xf>
    <xf numFmtId="178" fontId="0" fillId="6" borderId="3" xfId="0" applyFont="false" applyBorder="true" applyAlignment="true" applyProtection="false">
      <alignment horizontal="general" vertical="bottom" textRotation="0" wrapText="false" indent="0" shrinkToFit="false"/>
      <protection locked="true" hidden="false"/>
    </xf>
    <xf numFmtId="166" fontId="24" fillId="5" borderId="3" xfId="0" applyFont="true" applyBorder="true" applyAlignment="true" applyProtection="false">
      <alignment horizontal="left" vertical="bottom" textRotation="0" wrapText="false" indent="0" shrinkToFit="false"/>
      <protection locked="true" hidden="false"/>
    </xf>
    <xf numFmtId="164" fontId="24" fillId="0" borderId="0" xfId="0" applyFont="true" applyBorder="true" applyAlignment="true" applyProtection="false">
      <alignment horizontal="general" vertical="bottom" textRotation="0" wrapText="true" indent="0" shrinkToFit="false"/>
      <protection locked="true" hidden="false"/>
    </xf>
    <xf numFmtId="164" fontId="0" fillId="6" borderId="3" xfId="0" applyFont="true" applyBorder="true" applyAlignment="true" applyProtection="false">
      <alignment horizontal="general" vertical="bottom" textRotation="0" wrapText="false" indent="0" shrinkToFit="false"/>
      <protection locked="true" hidden="false"/>
    </xf>
    <xf numFmtId="164" fontId="25" fillId="3" borderId="0" xfId="0" applyFont="true" applyBorder="false" applyAlignment="true" applyProtection="false">
      <alignment horizontal="general" vertical="bottom" textRotation="0" wrapText="false" indent="0" shrinkToFit="false"/>
      <protection locked="true" hidden="false"/>
    </xf>
    <xf numFmtId="164" fontId="0" fillId="3" borderId="0" xfId="0" applyFont="false" applyBorder="false" applyAlignment="true" applyProtection="false">
      <alignment horizontal="general" vertical="bottom" textRotation="0" wrapText="false" indent="0" shrinkToFit="false"/>
      <protection locked="true" hidden="false"/>
    </xf>
    <xf numFmtId="164" fontId="26" fillId="4" borderId="0" xfId="0" applyFont="true" applyBorder="false" applyAlignment="true" applyProtection="false">
      <alignment horizontal="general" vertical="bottom" textRotation="0" wrapText="false" indent="0" shrinkToFit="false"/>
      <protection locked="true" hidden="false"/>
    </xf>
    <xf numFmtId="178" fontId="0" fillId="0" borderId="0" xfId="0" applyFont="false" applyBorder="false" applyAlignment="true" applyProtection="false">
      <alignment horizontal="general" vertical="bottom" textRotation="0" wrapText="false" indent="0" shrinkToFit="false"/>
      <protection locked="true" hidden="false"/>
    </xf>
    <xf numFmtId="166" fontId="0" fillId="0" borderId="0" xfId="0" applyFont="false" applyBorder="false" applyAlignment="true" applyProtection="false">
      <alignment horizontal="general" vertical="bottom" textRotation="0" wrapText="false" indent="0" shrinkToFit="false"/>
      <protection locked="true" hidden="false"/>
    </xf>
    <xf numFmtId="180" fontId="0" fillId="0" borderId="0" xfId="0" applyFont="false" applyBorder="false" applyAlignment="true" applyProtection="false">
      <alignment horizontal="general" vertical="bottom" textRotation="0" wrapText="false" indent="0" shrinkToFit="false"/>
      <protection locked="true" hidden="false"/>
    </xf>
    <xf numFmtId="164" fontId="22" fillId="0" borderId="0" xfId="0" applyFont="true" applyBorder="true" applyAlignment="true" applyProtection="false">
      <alignment horizontal="general" vertical="bottom" textRotation="0" wrapText="true" indent="0" shrinkToFit="false"/>
      <protection locked="true" hidden="false"/>
    </xf>
    <xf numFmtId="181" fontId="0" fillId="0" borderId="0" xfId="0" applyFont="false" applyBorder="false" applyAlignment="true" applyProtection="false">
      <alignment horizontal="general" vertical="bottom" textRotation="0" wrapText="false" indent="0" shrinkToFit="false"/>
      <protection locked="true" hidden="false"/>
    </xf>
    <xf numFmtId="182" fontId="0" fillId="0" borderId="0" xfId="0" applyFont="false" applyBorder="false" applyAlignment="true" applyProtection="false">
      <alignment horizontal="general" vertical="bottom" textRotation="0" wrapText="false" indent="0" shrinkToFit="false"/>
      <protection locked="true" hidden="false"/>
    </xf>
    <xf numFmtId="164" fontId="28" fillId="0" borderId="0" xfId="0" applyFont="true" applyBorder="false" applyAlignment="true" applyProtection="false">
      <alignment horizontal="general" vertical="bottom" textRotation="0" wrapText="false" indent="0" shrinkToFit="false"/>
      <protection locked="true" hidden="false"/>
    </xf>
    <xf numFmtId="164" fontId="26" fillId="0" borderId="0" xfId="0" applyFont="true" applyBorder="false" applyAlignment="true" applyProtection="false">
      <alignment horizontal="general" vertical="bottom" textRotation="0" wrapText="false" indent="0" shrinkToFit="false"/>
      <protection locked="true" hidden="false"/>
    </xf>
    <xf numFmtId="181" fontId="0" fillId="11" borderId="0" xfId="0" applyFont="false" applyBorder="false" applyAlignment="true" applyProtection="false">
      <alignment horizontal="general" vertical="bottom" textRotation="0" wrapText="false" indent="0" shrinkToFit="false"/>
      <protection locked="true" hidden="false"/>
    </xf>
    <xf numFmtId="180" fontId="0" fillId="11" borderId="0" xfId="0" applyFont="false" applyBorder="false" applyAlignment="true" applyProtection="false">
      <alignment horizontal="general" vertical="bottom" textRotation="0" wrapText="false" indent="0" shrinkToFit="false"/>
      <protection locked="true" hidden="false"/>
    </xf>
    <xf numFmtId="164" fontId="13" fillId="3" borderId="0" xfId="0" applyFont="true" applyBorder="false" applyAlignment="true" applyProtection="false">
      <alignment horizontal="general" vertical="bottom" textRotation="0" wrapText="false" indent="0" shrinkToFit="false"/>
      <protection locked="true" hidden="false"/>
    </xf>
    <xf numFmtId="164" fontId="29" fillId="0" borderId="0" xfId="0" applyFont="true" applyBorder="false" applyAlignment="true" applyProtection="false">
      <alignment horizontal="general" vertical="bottom" textRotation="0" wrapText="false" indent="0" shrinkToFit="false"/>
      <protection locked="true" hidden="false"/>
    </xf>
    <xf numFmtId="164" fontId="30" fillId="12" borderId="0" xfId="0" applyFont="true" applyBorder="false" applyAlignment="true" applyProtection="false">
      <alignment horizontal="left" vertical="center" textRotation="0" wrapText="false" indent="0" shrinkToFit="false"/>
      <protection locked="true" hidden="false"/>
    </xf>
    <xf numFmtId="164" fontId="31" fillId="0" borderId="0" xfId="0" applyFont="true" applyBorder="false" applyAlignment="true" applyProtection="false">
      <alignment horizontal="left" vertical="top" textRotation="0" wrapText="true" indent="0" shrinkToFit="false"/>
      <protection locked="true" hidden="false"/>
    </xf>
    <xf numFmtId="164" fontId="31" fillId="0" borderId="0" xfId="0" applyFont="true" applyBorder="false" applyAlignment="true" applyProtection="false">
      <alignment horizontal="general" vertical="bottom" textRotation="0" wrapText="false" indent="0" shrinkToFit="false"/>
      <protection locked="true" hidden="false"/>
    </xf>
    <xf numFmtId="164" fontId="31" fillId="0" borderId="0" xfId="0" applyFont="true" applyBorder="true" applyAlignment="true" applyProtection="false">
      <alignment horizontal="left" vertical="top" textRotation="0" wrapText="true" indent="0" shrinkToFit="false"/>
      <protection locked="true" hidden="false"/>
    </xf>
    <xf numFmtId="164" fontId="31" fillId="0" borderId="0" xfId="0" applyFont="true" applyBorder="false" applyAlignment="true" applyProtection="false">
      <alignment horizontal="left" vertical="bottom" textRotation="0" wrapText="false" indent="0" shrinkToFit="false"/>
      <protection locked="true" hidden="false"/>
    </xf>
    <xf numFmtId="164" fontId="29" fillId="0" borderId="0" xfId="0" applyFont="true" applyBorder="false" applyAlignment="true" applyProtection="false">
      <alignment horizontal="center" vertical="bottom" textRotation="0" wrapText="true" indent="0" shrinkToFit="false"/>
      <protection locked="true" hidden="false"/>
    </xf>
    <xf numFmtId="164" fontId="31" fillId="0" borderId="0" xfId="0" applyFont="true" applyBorder="false" applyAlignment="true" applyProtection="false">
      <alignment horizontal="left" vertical="bottom" textRotation="0" wrapText="false" indent="1" shrinkToFit="false"/>
      <protection locked="true" hidden="false"/>
    </xf>
    <xf numFmtId="164" fontId="32" fillId="0" borderId="3" xfId="0" applyFont="true" applyBorder="true" applyAlignment="true" applyProtection="false">
      <alignment horizontal="general" vertical="top" textRotation="0" wrapText="true" indent="0" shrinkToFit="false"/>
      <protection locked="true" hidden="false"/>
    </xf>
    <xf numFmtId="164" fontId="33" fillId="13" borderId="4" xfId="0" applyFont="true" applyBorder="true" applyAlignment="true" applyProtection="false">
      <alignment horizontal="general" vertical="bottom" textRotation="0" wrapText="false" indent="0" shrinkToFit="false"/>
      <protection locked="true" hidden="false"/>
    </xf>
    <xf numFmtId="164" fontId="34" fillId="0" borderId="0" xfId="0" applyFont="true" applyBorder="false" applyAlignment="true" applyProtection="false">
      <alignment horizontal="general" vertical="bottom" textRotation="0" wrapText="false" indent="0" shrinkToFit="false"/>
      <protection locked="true" hidden="false"/>
    </xf>
    <xf numFmtId="183" fontId="0" fillId="0" borderId="0" xfId="0" applyFont="true" applyBorder="false" applyAlignment="true" applyProtection="false">
      <alignment horizontal="general" vertical="bottom" textRotation="0" wrapText="false" indent="0" shrinkToFit="false"/>
      <protection locked="true" hidden="false"/>
    </xf>
    <xf numFmtId="164" fontId="35" fillId="12" borderId="0" xfId="0" applyFont="true" applyBorder="false" applyAlignment="true" applyProtection="false">
      <alignment horizontal="left" vertical="center" textRotation="0" wrapText="false" indent="0" shrinkToFit="false"/>
      <protection locked="true" hidden="false"/>
    </xf>
    <xf numFmtId="164" fontId="36" fillId="13" borderId="4" xfId="0" applyFont="true" applyBorder="true" applyAlignment="true" applyProtection="false">
      <alignment horizontal="left" vertical="center" textRotation="0" wrapText="false" indent="0" shrinkToFit="false"/>
      <protection locked="true" hidden="false"/>
    </xf>
    <xf numFmtId="164" fontId="35" fillId="12" borderId="0" xfId="0" applyFont="true" applyBorder="false" applyAlignment="true" applyProtection="true">
      <alignment horizontal="left" vertical="center" textRotation="0" wrapText="false" indent="0" shrinkToFit="false"/>
      <protection locked="false" hidden="false"/>
    </xf>
    <xf numFmtId="164" fontId="37" fillId="0" borderId="0" xfId="0" applyFont="true" applyBorder="false" applyAlignment="true" applyProtection="false">
      <alignment horizontal="general" vertical="bottom" textRotation="0" wrapText="false" indent="0" shrinkToFit="false"/>
      <protection locked="true" hidden="false"/>
    </xf>
    <xf numFmtId="164" fontId="37" fillId="0" borderId="0" xfId="0" applyFont="true" applyBorder="false" applyAlignment="true" applyProtection="true">
      <alignment horizontal="general" vertical="bottom" textRotation="0" wrapText="false" indent="0" shrinkToFit="false"/>
      <protection locked="false" hidden="false"/>
    </xf>
    <xf numFmtId="164" fontId="35" fillId="14" borderId="5" xfId="0" applyFont="true" applyBorder="true" applyAlignment="true" applyProtection="false">
      <alignment horizontal="left" vertical="center" textRotation="0" wrapText="false" indent="0" shrinkToFit="false"/>
      <protection locked="true" hidden="false"/>
    </xf>
    <xf numFmtId="164" fontId="35" fillId="14" borderId="6" xfId="0" applyFont="true" applyBorder="true" applyAlignment="true" applyProtection="false">
      <alignment horizontal="left" vertical="center" textRotation="0" wrapText="false" indent="0" shrinkToFit="false"/>
      <protection locked="true" hidden="false"/>
    </xf>
    <xf numFmtId="164" fontId="35" fillId="14" borderId="7" xfId="0" applyFont="true" applyBorder="true" applyAlignment="true" applyProtection="false">
      <alignment horizontal="left" vertical="center" textRotation="0" wrapText="false" indent="0" shrinkToFit="false"/>
      <protection locked="true" hidden="false"/>
    </xf>
    <xf numFmtId="164" fontId="0" fillId="4" borderId="8" xfId="0" applyFont="false" applyBorder="true" applyAlignment="true" applyProtection="false">
      <alignment horizontal="general" vertical="bottom" textRotation="0" wrapText="false" indent="0" shrinkToFit="false"/>
      <protection locked="true" hidden="false"/>
    </xf>
    <xf numFmtId="164" fontId="38" fillId="15" borderId="4" xfId="0" applyFont="true" applyBorder="true" applyAlignment="true" applyProtection="false">
      <alignment horizontal="center" vertical="center" textRotation="0" wrapText="true" indent="0" shrinkToFit="false"/>
      <protection locked="true" hidden="false"/>
    </xf>
    <xf numFmtId="164" fontId="0" fillId="0" borderId="8" xfId="0" applyFont="false" applyBorder="true" applyAlignment="true" applyProtection="false">
      <alignment horizontal="general" vertical="bottom" textRotation="0" wrapText="false" indent="0" shrinkToFit="false"/>
      <protection locked="true" hidden="false"/>
    </xf>
    <xf numFmtId="164" fontId="0" fillId="0" borderId="9" xfId="0" applyFont="false" applyBorder="true" applyAlignment="true" applyProtection="false">
      <alignment horizontal="general" vertical="bottom" textRotation="0" wrapText="false" indent="0" shrinkToFit="false"/>
      <protection locked="true" hidden="false"/>
    </xf>
    <xf numFmtId="167" fontId="36" fillId="13" borderId="4" xfId="0" applyFont="true" applyBorder="true" applyAlignment="true" applyProtection="true">
      <alignment horizontal="left" vertical="center" textRotation="0" wrapText="false" indent="0" shrinkToFit="false"/>
      <protection locked="false" hidden="false"/>
    </xf>
    <xf numFmtId="164" fontId="36" fillId="13" borderId="4" xfId="0" applyFont="true" applyBorder="true" applyAlignment="true" applyProtection="true">
      <alignment horizontal="right" vertical="center" textRotation="0" wrapText="false" indent="0" shrinkToFit="false"/>
      <protection locked="false" hidden="false"/>
    </xf>
    <xf numFmtId="184" fontId="36" fillId="5" borderId="4" xfId="0" applyFont="true" applyBorder="true" applyAlignment="true" applyProtection="true">
      <alignment horizontal="right" vertical="center" textRotation="0" wrapText="false" indent="0" shrinkToFit="false"/>
      <protection locked="false" hidden="false"/>
    </xf>
    <xf numFmtId="164" fontId="36" fillId="5" borderId="4" xfId="0" applyFont="true" applyBorder="true" applyAlignment="true" applyProtection="true">
      <alignment horizontal="center" vertical="center" textRotation="0" wrapText="false" indent="0" shrinkToFit="false"/>
      <protection locked="false" hidden="false"/>
    </xf>
    <xf numFmtId="185" fontId="36" fillId="13" borderId="4" xfId="0" applyFont="true" applyBorder="true" applyAlignment="true" applyProtection="true">
      <alignment horizontal="right" vertical="center" textRotation="0" wrapText="false" indent="0" shrinkToFit="false"/>
      <protection locked="false" hidden="false"/>
    </xf>
    <xf numFmtId="164" fontId="36" fillId="13" borderId="4" xfId="0" applyFont="true" applyBorder="true" applyAlignment="true" applyProtection="false">
      <alignment horizontal="right" vertical="center" textRotation="0" wrapText="false" indent="0" shrinkToFit="false"/>
      <protection locked="true" hidden="false"/>
    </xf>
    <xf numFmtId="167" fontId="36" fillId="5" borderId="4" xfId="0" applyFont="true" applyBorder="true" applyAlignment="true" applyProtection="true">
      <alignment horizontal="left" vertical="center" textRotation="0" wrapText="false" indent="0" shrinkToFit="false"/>
      <protection locked="false" hidden="false"/>
    </xf>
    <xf numFmtId="164" fontId="36" fillId="5" borderId="4" xfId="0" applyFont="true" applyBorder="true" applyAlignment="true" applyProtection="true">
      <alignment horizontal="right" vertical="center" textRotation="0" wrapText="false" indent="0" shrinkToFit="false"/>
      <protection locked="false" hidden="false"/>
    </xf>
    <xf numFmtId="184" fontId="36" fillId="5" borderId="4" xfId="0" applyFont="true" applyBorder="true" applyAlignment="true" applyProtection="false">
      <alignment horizontal="right" vertical="center" textRotation="0" wrapText="false" indent="0" shrinkToFit="false"/>
      <protection locked="true" hidden="false"/>
    </xf>
    <xf numFmtId="179" fontId="36" fillId="13" borderId="4" xfId="0" applyFont="true" applyBorder="true" applyAlignment="true" applyProtection="true">
      <alignment horizontal="right" vertical="center" textRotation="0" wrapText="false" indent="0" shrinkToFit="false"/>
      <protection locked="false" hidden="false"/>
    </xf>
    <xf numFmtId="167" fontId="36" fillId="13" borderId="4" xfId="0" applyFont="true" applyBorder="true" applyAlignment="true" applyProtection="true">
      <alignment horizontal="right" vertical="center" textRotation="0" wrapText="false" indent="0" shrinkToFit="false"/>
      <protection locked="false" hidden="false"/>
    </xf>
    <xf numFmtId="185" fontId="36" fillId="0" borderId="4" xfId="0" applyFont="true" applyBorder="true" applyAlignment="true" applyProtection="false">
      <alignment horizontal="right" vertical="center" textRotation="0" wrapText="false" indent="0" shrinkToFit="false"/>
      <protection locked="true" hidden="false"/>
    </xf>
    <xf numFmtId="164" fontId="0" fillId="0" borderId="10" xfId="0" applyFont="false" applyBorder="true" applyAlignment="true" applyProtection="false">
      <alignment horizontal="general" vertical="bottom" textRotation="0" wrapText="false" indent="0" shrinkToFit="false"/>
      <protection locked="true" hidden="false"/>
    </xf>
    <xf numFmtId="164" fontId="36" fillId="5" borderId="4" xfId="0" applyFont="true" applyBorder="true" applyAlignment="true" applyProtection="true">
      <alignment horizontal="left" vertical="center" textRotation="0" wrapText="false" indent="0" shrinkToFit="false"/>
      <protection locked="false" hidden="false"/>
    </xf>
    <xf numFmtId="178" fontId="36" fillId="5" borderId="4" xfId="0" applyFont="true" applyBorder="true" applyAlignment="true" applyProtection="true">
      <alignment horizontal="right" vertical="center" textRotation="0" wrapText="false" indent="0" shrinkToFit="false"/>
      <protection locked="false" hidden="false"/>
    </xf>
    <xf numFmtId="164" fontId="36" fillId="13" borderId="4" xfId="0" applyFont="true" applyBorder="true" applyAlignment="true" applyProtection="true">
      <alignment horizontal="center" vertical="center" textRotation="0" wrapText="false" indent="0" shrinkToFit="false"/>
      <protection locked="false" hidden="false"/>
    </xf>
    <xf numFmtId="186" fontId="36" fillId="13" borderId="4" xfId="0" applyFont="true" applyBorder="true" applyAlignment="true" applyProtection="true">
      <alignment horizontal="right" vertical="center" textRotation="0" wrapText="false" indent="0" shrinkToFit="false"/>
      <protection locked="false" hidden="false"/>
    </xf>
    <xf numFmtId="164" fontId="0" fillId="0" borderId="0" xfId="0" applyFont="false" applyBorder="false" applyAlignment="true" applyProtection="false">
      <alignment horizontal="right" vertical="bottom" textRotation="0" wrapText="false" indent="0" shrinkToFit="false"/>
      <protection locked="true" hidden="false"/>
    </xf>
    <xf numFmtId="164" fontId="36" fillId="0" borderId="4" xfId="0" applyFont="true" applyBorder="true" applyAlignment="true" applyProtection="false">
      <alignment horizontal="left" vertical="center" textRotation="0" wrapText="false" indent="0" shrinkToFit="false"/>
      <protection locked="true" hidden="false"/>
    </xf>
    <xf numFmtId="164" fontId="36" fillId="0" borderId="4" xfId="0" applyFont="true" applyBorder="true" applyAlignment="true" applyProtection="false">
      <alignment horizontal="right" vertical="center" textRotation="0" wrapText="false" indent="0" shrinkToFit="false"/>
      <protection locked="true" hidden="false"/>
    </xf>
    <xf numFmtId="184" fontId="36" fillId="0" borderId="4" xfId="0" applyFont="true" applyBorder="true" applyAlignment="true" applyProtection="false">
      <alignment horizontal="right" vertical="center" textRotation="0" wrapText="false" indent="0" shrinkToFit="false"/>
      <protection locked="true" hidden="false"/>
    </xf>
    <xf numFmtId="164" fontId="36" fillId="0" borderId="4" xfId="0" applyFont="true" applyBorder="true" applyAlignment="true" applyProtection="false">
      <alignment horizontal="center" vertical="center" textRotation="0" wrapText="false" indent="0" shrinkToFit="false"/>
      <protection locked="true" hidden="false"/>
    </xf>
    <xf numFmtId="187" fontId="36" fillId="0" borderId="4" xfId="0" applyFont="true" applyBorder="true" applyAlignment="true" applyProtection="false">
      <alignment horizontal="right" vertical="center" textRotation="0" wrapText="false" indent="0" shrinkToFit="false"/>
      <protection locked="true" hidden="false"/>
    </xf>
    <xf numFmtId="164" fontId="26" fillId="6" borderId="0" xfId="0" applyFont="true" applyBorder="false" applyAlignment="true" applyProtection="false">
      <alignment horizontal="center" vertical="bottom" textRotation="0" wrapText="false" indent="0" shrinkToFit="false"/>
      <protection locked="true" hidden="false"/>
    </xf>
    <xf numFmtId="164" fontId="32" fillId="13" borderId="4" xfId="0" applyFont="true" applyBorder="true" applyAlignment="true" applyProtection="false">
      <alignment horizontal="left" vertical="center" textRotation="0" wrapText="false" indent="0" shrinkToFit="false"/>
      <protection locked="true" hidden="false"/>
    </xf>
    <xf numFmtId="186" fontId="36" fillId="0" borderId="4" xfId="0" applyFont="true" applyBorder="true" applyAlignment="true" applyProtection="false">
      <alignment horizontal="right" vertical="center" textRotation="0" wrapText="false" indent="0" shrinkToFit="false"/>
      <protection locked="true" hidden="false"/>
    </xf>
    <xf numFmtId="188" fontId="36" fillId="13" borderId="4" xfId="0" applyFont="true" applyBorder="true" applyAlignment="true" applyProtection="true">
      <alignment horizontal="right" vertical="center" textRotation="0" wrapText="false" indent="0" shrinkToFit="false"/>
      <protection locked="false" hidden="false"/>
    </xf>
    <xf numFmtId="185" fontId="39" fillId="16" borderId="4" xfId="0" applyFont="true" applyBorder="true" applyAlignment="true" applyProtection="false">
      <alignment horizontal="right" vertical="center" textRotation="0" wrapText="false" indent="0" shrinkToFit="false"/>
      <protection locked="true" hidden="false"/>
    </xf>
    <xf numFmtId="186" fontId="39" fillId="16" borderId="4" xfId="0" applyFont="true" applyBorder="true" applyAlignment="true" applyProtection="false">
      <alignment horizontal="right" vertical="center" textRotation="0" wrapText="false" indent="0" shrinkToFit="false"/>
      <protection locked="true" hidden="false"/>
    </xf>
    <xf numFmtId="164" fontId="36" fillId="17" borderId="4" xfId="0" applyFont="true" applyBorder="true" applyAlignment="true" applyProtection="false">
      <alignment horizontal="left" vertical="center" textRotation="0" wrapText="false" indent="0" shrinkToFit="false"/>
      <protection locked="true" hidden="false"/>
    </xf>
    <xf numFmtId="164" fontId="36" fillId="17" borderId="4" xfId="0" applyFont="true" applyBorder="true" applyAlignment="true" applyProtection="false">
      <alignment horizontal="right" vertical="center" textRotation="0" wrapText="false" indent="0" shrinkToFit="false"/>
      <protection locked="true" hidden="false"/>
    </xf>
    <xf numFmtId="184" fontId="36" fillId="17" borderId="4" xfId="0" applyFont="true" applyBorder="true" applyAlignment="true" applyProtection="false">
      <alignment horizontal="right" vertical="center" textRotation="0" wrapText="false" indent="0" shrinkToFit="false"/>
      <protection locked="true" hidden="false"/>
    </xf>
    <xf numFmtId="164" fontId="36" fillId="17" borderId="4" xfId="0" applyFont="true" applyBorder="true" applyAlignment="true" applyProtection="false">
      <alignment horizontal="center" vertical="center" textRotation="0" wrapText="false" indent="0" shrinkToFit="false"/>
      <protection locked="true" hidden="false"/>
    </xf>
    <xf numFmtId="187" fontId="36" fillId="17" borderId="4" xfId="0" applyFont="true" applyBorder="true" applyAlignment="true" applyProtection="false">
      <alignment horizontal="right" vertical="center" textRotation="0" wrapText="false" indent="0" shrinkToFit="false"/>
      <protection locked="true" hidden="false"/>
    </xf>
    <xf numFmtId="185" fontId="36" fillId="17" borderId="4" xfId="0" applyFont="true" applyBorder="true" applyAlignment="true" applyProtection="false">
      <alignment horizontal="right" vertical="center" textRotation="0" wrapText="false" indent="0" shrinkToFit="false"/>
      <protection locked="true" hidden="false"/>
    </xf>
    <xf numFmtId="186" fontId="36" fillId="17" borderId="4" xfId="0" applyFont="true" applyBorder="true" applyAlignment="true" applyProtection="false">
      <alignment horizontal="right" vertical="center" textRotation="0" wrapText="false" indent="0" shrinkToFit="false"/>
      <protection locked="true" hidden="false"/>
    </xf>
    <xf numFmtId="164" fontId="35" fillId="14" borderId="11" xfId="0" applyFont="true" applyBorder="true" applyAlignment="true" applyProtection="false">
      <alignment horizontal="left" vertical="center" textRotation="0" wrapText="false" indent="0" shrinkToFit="false"/>
      <protection locked="true" hidden="false"/>
    </xf>
    <xf numFmtId="164" fontId="35" fillId="14" borderId="12" xfId="0" applyFont="true" applyBorder="true" applyAlignment="true" applyProtection="false">
      <alignment horizontal="left" vertical="center" textRotation="0" wrapText="false" indent="0" shrinkToFit="false"/>
      <protection locked="true" hidden="false"/>
    </xf>
    <xf numFmtId="164" fontId="35" fillId="14" borderId="13" xfId="0" applyFont="true" applyBorder="true" applyAlignment="true" applyProtection="false">
      <alignment horizontal="left" vertical="center" textRotation="0" wrapText="false" indent="0" shrinkToFit="false"/>
      <protection locked="true" hidden="false"/>
    </xf>
    <xf numFmtId="164" fontId="36" fillId="13" borderId="14" xfId="0" applyFont="true" applyBorder="true" applyAlignment="true" applyProtection="true">
      <alignment horizontal="left" vertical="top" textRotation="0" wrapText="true" indent="0" shrinkToFit="false"/>
      <protection locked="false" hidden="false"/>
    </xf>
    <xf numFmtId="164" fontId="35" fillId="14" borderId="0" xfId="0" applyFont="true" applyBorder="false" applyAlignment="true" applyProtection="false">
      <alignment horizontal="left" vertical="center" textRotation="0" wrapText="false" indent="0" shrinkToFit="false"/>
      <protection locked="true" hidden="false"/>
    </xf>
    <xf numFmtId="189" fontId="36" fillId="0" borderId="4" xfId="0" applyFont="true" applyBorder="true" applyAlignment="true" applyProtection="false">
      <alignment horizontal="right" vertical="center" textRotation="0" wrapText="false" indent="0" shrinkToFit="false"/>
      <protection locked="true" hidden="false"/>
    </xf>
    <xf numFmtId="164" fontId="36" fillId="13" borderId="4" xfId="0" applyFont="true" applyBorder="true" applyAlignment="true" applyProtection="false">
      <alignment horizontal="center" vertical="center" textRotation="0" wrapText="false" indent="0" shrinkToFit="false"/>
      <protection locked="true" hidden="false"/>
    </xf>
    <xf numFmtId="179" fontId="36" fillId="0" borderId="4" xfId="0" applyFont="true" applyBorder="true" applyAlignment="true" applyProtection="false">
      <alignment horizontal="right" vertical="center" textRotation="0" wrapText="false" indent="0" shrinkToFit="false"/>
      <protection locked="true" hidden="false"/>
    </xf>
    <xf numFmtId="189" fontId="36" fillId="17" borderId="4" xfId="0" applyFont="true" applyBorder="true" applyAlignment="true" applyProtection="false">
      <alignment horizontal="right" vertical="center" textRotation="0" wrapText="false" indent="0" shrinkToFit="false"/>
      <protection locked="true" hidden="false"/>
    </xf>
    <xf numFmtId="179" fontId="36" fillId="17" borderId="4" xfId="0" applyFont="true" applyBorder="true" applyAlignment="true" applyProtection="false">
      <alignment horizontal="right" vertical="center" textRotation="0" wrapText="false" indent="0" shrinkToFit="false"/>
      <protection locked="true" hidden="false"/>
    </xf>
    <xf numFmtId="164" fontId="9" fillId="0" borderId="0" xfId="0" applyFont="true" applyBorder="false" applyAlignment="true" applyProtection="false">
      <alignment horizontal="general" vertical="bottom" textRotation="0" wrapText="false" indent="0" shrinkToFit="false"/>
      <protection locked="true" hidden="false"/>
    </xf>
    <xf numFmtId="164" fontId="36" fillId="13" borderId="4" xfId="0" applyFont="true" applyBorder="true" applyAlignment="true" applyProtection="true">
      <alignment horizontal="left" vertical="center" textRotation="0" wrapText="false" indent="0" shrinkToFit="false"/>
      <protection locked="false" hidden="false"/>
    </xf>
    <xf numFmtId="185" fontId="36" fillId="0" borderId="4" xfId="0" applyFont="true" applyBorder="true" applyAlignment="true" applyProtection="true">
      <alignment horizontal="right" vertical="center" textRotation="0" wrapText="false" indent="0" shrinkToFit="false"/>
      <protection locked="false" hidden="false"/>
    </xf>
    <xf numFmtId="184" fontId="36" fillId="13" borderId="4" xfId="0" applyFont="true" applyBorder="true" applyAlignment="true" applyProtection="true">
      <alignment horizontal="right" vertical="center" textRotation="0" wrapText="false" indent="0" shrinkToFit="false"/>
      <protection locked="false" hidden="false"/>
    </xf>
    <xf numFmtId="180" fontId="39" fillId="16" borderId="4" xfId="0" applyFont="true" applyBorder="true" applyAlignment="true" applyProtection="true">
      <alignment horizontal="right" vertical="center" textRotation="0" wrapText="false" indent="0" shrinkToFit="false"/>
      <protection locked="false" hidden="false"/>
    </xf>
    <xf numFmtId="166" fontId="36" fillId="13" borderId="4" xfId="0" applyFont="true" applyBorder="true" applyAlignment="true" applyProtection="true">
      <alignment horizontal="left" vertical="center" textRotation="0" wrapText="false" indent="0" shrinkToFit="false"/>
      <protection locked="false" hidden="false"/>
    </xf>
    <xf numFmtId="171" fontId="36" fillId="13" borderId="4" xfId="0" applyFont="true" applyBorder="true" applyAlignment="true" applyProtection="true">
      <alignment horizontal="right" vertical="center" textRotation="0" wrapText="false" indent="0" shrinkToFit="false"/>
      <protection locked="false" hidden="false"/>
    </xf>
    <xf numFmtId="190" fontId="36" fillId="13" borderId="4" xfId="0" applyFont="true" applyBorder="true" applyAlignment="true" applyProtection="true">
      <alignment horizontal="left" vertical="center" textRotation="0" wrapText="false" indent="0" shrinkToFit="false"/>
      <protection locked="false" hidden="false"/>
    </xf>
    <xf numFmtId="181" fontId="39" fillId="16" borderId="4" xfId="0" applyFont="true" applyBorder="true" applyAlignment="true" applyProtection="true">
      <alignment horizontal="right" vertical="center" textRotation="0" wrapText="false" indent="0" shrinkToFit="false"/>
      <protection locked="false" hidden="false"/>
    </xf>
    <xf numFmtId="180" fontId="36" fillId="13" borderId="4" xfId="0" applyFont="true" applyBorder="true" applyAlignment="true" applyProtection="false">
      <alignment horizontal="left" vertical="center" textRotation="0" wrapText="false" indent="0" shrinkToFit="false"/>
      <protection locked="true" hidden="false"/>
    </xf>
    <xf numFmtId="180" fontId="9" fillId="0" borderId="0" xfId="0" applyFont="true" applyBorder="false" applyAlignment="true" applyProtection="false">
      <alignment horizontal="general" vertical="bottom" textRotation="0" wrapText="false" indent="0" shrinkToFit="false"/>
      <protection locked="true" hidden="false"/>
    </xf>
    <xf numFmtId="179" fontId="36" fillId="13" borderId="4" xfId="0" applyFont="true" applyBorder="true" applyAlignment="true" applyProtection="false">
      <alignment horizontal="right" vertical="center" textRotation="0" wrapText="false" indent="0" shrinkToFit="false"/>
      <protection locked="true" hidden="false"/>
    </xf>
    <xf numFmtId="180" fontId="39" fillId="16" borderId="4" xfId="0" applyFont="true" applyBorder="true" applyAlignment="true" applyProtection="false">
      <alignment horizontal="right" vertical="center" textRotation="0" wrapText="false" indent="0" shrinkToFit="false"/>
      <protection locked="true" hidden="false"/>
    </xf>
    <xf numFmtId="186" fontId="36" fillId="13" borderId="4" xfId="0" applyFont="true" applyBorder="true" applyAlignment="true" applyProtection="false">
      <alignment horizontal="right" vertical="center" textRotation="0" wrapText="false" indent="0" shrinkToFit="false"/>
      <protection locked="true" hidden="false"/>
    </xf>
    <xf numFmtId="187" fontId="36" fillId="0" borderId="4" xfId="0" applyFont="true" applyBorder="true" applyAlignment="true" applyProtection="false">
      <alignment horizontal="left" vertical="center" textRotation="0" wrapText="false" indent="0" shrinkToFit="false"/>
      <protection locked="true" hidden="false"/>
    </xf>
    <xf numFmtId="188" fontId="36" fillId="13" borderId="4" xfId="0" applyFont="true" applyBorder="true" applyAlignment="true" applyProtection="false">
      <alignment horizontal="right" vertical="center" textRotation="0" wrapText="false" indent="0" shrinkToFit="false"/>
      <protection locked="true" hidden="false"/>
    </xf>
    <xf numFmtId="181" fontId="39" fillId="16" borderId="4" xfId="0" applyFont="true" applyBorder="true" applyAlignment="true" applyProtection="false">
      <alignment horizontal="right" vertical="center" textRotation="0" wrapText="false" indent="0" shrinkToFit="false"/>
      <protection locked="true" hidden="false"/>
    </xf>
    <xf numFmtId="164" fontId="9" fillId="0" borderId="0" xfId="0" applyFont="true" applyBorder="false" applyAlignment="true" applyProtection="false">
      <alignment horizontal="general" vertical="center" textRotation="0" wrapText="false" indent="0" shrinkToFit="false"/>
      <protection locked="true" hidden="false"/>
    </xf>
    <xf numFmtId="179" fontId="9" fillId="0" borderId="0" xfId="0" applyFont="true" applyBorder="false" applyAlignment="true" applyProtection="false">
      <alignment horizontal="general" vertical="bottom" textRotation="0" wrapText="false" indent="0" shrinkToFit="false"/>
      <protection locked="true" hidden="false"/>
    </xf>
    <xf numFmtId="185" fontId="9" fillId="0" borderId="0" xfId="0" applyFont="true" applyBorder="false" applyAlignment="true" applyProtection="false">
      <alignment horizontal="general" vertical="bottom" textRotation="0" wrapText="false" indent="0" shrinkToFit="false"/>
      <protection locked="true" hidden="false"/>
    </xf>
    <xf numFmtId="191" fontId="36" fillId="13" borderId="4" xfId="0" applyFont="true" applyBorder="true" applyAlignment="true" applyProtection="false">
      <alignment horizontal="right" vertical="center" textRotation="0" wrapText="false" indent="0" shrinkToFit="false"/>
      <protection locked="true" hidden="false"/>
    </xf>
    <xf numFmtId="187" fontId="36" fillId="17" borderId="4" xfId="0" applyFont="true" applyBorder="true" applyAlignment="true" applyProtection="false">
      <alignment horizontal="left" vertical="center" textRotation="0" wrapText="false" indent="0" shrinkToFit="false"/>
      <protection locked="true" hidden="false"/>
    </xf>
    <xf numFmtId="164" fontId="40" fillId="0" borderId="0" xfId="0" applyFont="true" applyBorder="false" applyAlignment="true" applyProtection="false">
      <alignment horizontal="general" vertical="bottom" textRotation="0" wrapText="false" indent="0" shrinkToFit="false"/>
      <protection locked="true" hidden="false"/>
    </xf>
    <xf numFmtId="164" fontId="40" fillId="0" borderId="0" xfId="0" applyFont="true" applyBorder="false" applyAlignment="true" applyProtection="false">
      <alignment horizontal="right" vertical="bottom" textRotation="0" wrapText="false" indent="0" shrinkToFit="false"/>
      <protection locked="true" hidden="false"/>
    </xf>
    <xf numFmtId="164" fontId="36" fillId="0" borderId="4" xfId="0" applyFont="true" applyBorder="true" applyAlignment="true" applyProtection="true">
      <alignment horizontal="left" vertical="center" textRotation="0" wrapText="false" indent="0" shrinkToFit="false"/>
      <protection locked="false" hidden="false"/>
    </xf>
    <xf numFmtId="180" fontId="36" fillId="13" borderId="4" xfId="0" applyFont="true" applyBorder="true" applyAlignment="true" applyProtection="false">
      <alignment horizontal="right" vertical="center" textRotation="0" wrapText="false" indent="0" shrinkToFit="false"/>
      <protection locked="true" hidden="false"/>
    </xf>
    <xf numFmtId="164" fontId="36" fillId="0" borderId="4" xfId="0" applyFont="true" applyBorder="true" applyAlignment="true" applyProtection="true">
      <alignment horizontal="right" vertical="center" textRotation="0" wrapText="false" indent="0" shrinkToFit="false"/>
      <protection locked="false" hidden="false"/>
    </xf>
    <xf numFmtId="167" fontId="36" fillId="0" borderId="4" xfId="0" applyFont="true" applyBorder="true" applyAlignment="true" applyProtection="true">
      <alignment horizontal="left" vertical="center" textRotation="0" wrapText="false" indent="0" shrinkToFit="false"/>
      <protection locked="false" hidden="false"/>
    </xf>
    <xf numFmtId="178" fontId="36" fillId="0" borderId="4" xfId="0" applyFont="true" applyBorder="true" applyAlignment="true" applyProtection="true">
      <alignment horizontal="right" vertical="center" textRotation="0" wrapText="false" indent="0" shrinkToFit="false"/>
      <protection locked="false" hidden="false"/>
    </xf>
    <xf numFmtId="180" fontId="36" fillId="0" borderId="4" xfId="0" applyFont="true" applyBorder="true" applyAlignment="true" applyProtection="false">
      <alignment horizontal="right" vertical="center" textRotation="0" wrapText="false" indent="0" shrinkToFit="false"/>
      <protection locked="true" hidden="false"/>
    </xf>
    <xf numFmtId="180" fontId="39" fillId="16" borderId="4" xfId="0" applyFont="true" applyBorder="true" applyAlignment="true" applyProtection="false">
      <alignment horizontal="left" vertical="center" textRotation="0" wrapText="false" indent="0" shrinkToFit="false"/>
      <protection locked="true" hidden="false"/>
    </xf>
    <xf numFmtId="188" fontId="40" fillId="0" borderId="0" xfId="0" applyFont="true" applyBorder="false" applyAlignment="true" applyProtection="false">
      <alignment horizontal="right" vertical="bottom" textRotation="0" wrapText="false" indent="0" shrinkToFit="false"/>
      <protection locked="true" hidden="false"/>
    </xf>
    <xf numFmtId="180" fontId="36" fillId="17" borderId="4" xfId="0" applyFont="true" applyBorder="true" applyAlignment="true" applyProtection="false">
      <alignment horizontal="right" vertical="center" textRotation="0" wrapText="false" indent="0" shrinkToFit="false"/>
      <protection locked="true" hidden="false"/>
    </xf>
    <xf numFmtId="164" fontId="7" fillId="0" borderId="0" xfId="0" applyFont="true" applyBorder="false" applyAlignment="true" applyProtection="false">
      <alignment horizontal="general" vertical="bottom" textRotation="0" wrapText="false" indent="0" shrinkToFit="false"/>
      <protection locked="true" hidden="false"/>
    </xf>
    <xf numFmtId="164" fontId="30" fillId="12" borderId="0" xfId="0" applyFont="true" applyBorder="false" applyAlignment="true" applyProtection="false">
      <alignment horizontal="general" vertical="bottom" textRotation="0" wrapText="false" indent="0" shrinkToFit="false"/>
      <protection locked="true" hidden="false"/>
    </xf>
    <xf numFmtId="164" fontId="32" fillId="0" borderId="0" xfId="0" applyFont="true" applyBorder="false" applyAlignment="true" applyProtection="false">
      <alignment horizontal="general" vertical="bottom" textRotation="0" wrapText="false" indent="0" shrinkToFit="false"/>
      <protection locked="true" hidden="false"/>
    </xf>
    <xf numFmtId="164" fontId="36" fillId="13" borderId="4" xfId="0" applyFont="true" applyBorder="true" applyAlignment="true" applyProtection="false">
      <alignment horizontal="general" vertical="bottom" textRotation="0" wrapText="false" indent="0" shrinkToFit="false"/>
      <protection locked="true" hidden="false"/>
    </xf>
    <xf numFmtId="164" fontId="36" fillId="0" borderId="4" xfId="0" applyFont="true" applyBorder="true" applyAlignment="true" applyProtection="false">
      <alignment horizontal="general" vertical="bottom" textRotation="0" wrapText="false" indent="0" shrinkToFit="false"/>
      <protection locked="true" hidden="false"/>
    </xf>
    <xf numFmtId="164" fontId="36" fillId="13" borderId="14" xfId="0" applyFont="true" applyBorder="true" applyAlignment="true" applyProtection="false">
      <alignment horizontal="left" vertical="top" textRotation="0" wrapText="true" indent="0" shrinkToFit="false"/>
      <protection locked="true" hidden="false"/>
    </xf>
    <xf numFmtId="164" fontId="35" fillId="14" borderId="0" xfId="0" applyFont="true" applyBorder="false" applyAlignment="true" applyProtection="false">
      <alignment horizontal="general" vertical="bottom" textRotation="0" wrapText="false" indent="0" shrinkToFit="false"/>
      <protection locked="true" hidden="false"/>
    </xf>
    <xf numFmtId="181" fontId="36" fillId="13" borderId="4" xfId="0" applyFont="true" applyBorder="true" applyAlignment="true" applyProtection="true">
      <alignment horizontal="right" vertical="center" textRotation="0" wrapText="false" indent="0" shrinkToFit="false"/>
      <protection locked="false" hidden="false"/>
    </xf>
    <xf numFmtId="186" fontId="36" fillId="13" borderId="4" xfId="0" applyFont="true" applyBorder="true" applyAlignment="true" applyProtection="false">
      <alignment horizontal="left" vertical="center" textRotation="0" wrapText="false" indent="0" shrinkToFit="false"/>
      <protection locked="true" hidden="false"/>
    </xf>
    <xf numFmtId="186" fontId="39" fillId="16" borderId="4" xfId="0" applyFont="true" applyBorder="true" applyAlignment="true" applyProtection="false">
      <alignment horizontal="left" vertical="center" textRotation="0" wrapText="false" indent="0" shrinkToFit="false"/>
      <protection locked="true" hidden="false"/>
    </xf>
    <xf numFmtId="164" fontId="32" fillId="0" borderId="0" xfId="0" applyFont="true" applyBorder="false" applyAlignment="true" applyProtection="false">
      <alignment horizontal="left" vertical="bottom" textRotation="0" wrapText="false" indent="0" shrinkToFit="false"/>
      <protection locked="true" hidden="false"/>
    </xf>
    <xf numFmtId="181" fontId="36" fillId="0" borderId="4" xfId="0" applyFont="true" applyBorder="true" applyAlignment="true" applyProtection="false">
      <alignment horizontal="right" vertical="center" textRotation="0" wrapText="false" indent="0" shrinkToFit="false"/>
      <protection locked="true" hidden="false"/>
    </xf>
    <xf numFmtId="164" fontId="7" fillId="0" borderId="15" xfId="0" applyFont="true" applyBorder="true" applyAlignment="true" applyProtection="false">
      <alignment horizontal="general" vertical="bottom" textRotation="0" wrapText="false" indent="0" shrinkToFit="false"/>
      <protection locked="true" hidden="false"/>
    </xf>
    <xf numFmtId="164" fontId="41" fillId="0" borderId="15" xfId="0" applyFont="true" applyBorder="true" applyAlignment="true" applyProtection="false">
      <alignment horizontal="general" vertical="bottom" textRotation="0" wrapText="false" indent="0" shrinkToFit="false"/>
      <protection locked="true" hidden="false"/>
    </xf>
    <xf numFmtId="164" fontId="0" fillId="0" borderId="15" xfId="0" applyFont="false" applyBorder="true" applyAlignment="true" applyProtection="false">
      <alignment horizontal="general" vertical="bottom" textRotation="0" wrapText="false" indent="0" shrinkToFit="false"/>
      <protection locked="true" hidden="false"/>
    </xf>
    <xf numFmtId="164" fontId="7" fillId="0" borderId="16" xfId="0" applyFont="true" applyBorder="true" applyAlignment="true" applyProtection="false">
      <alignment horizontal="general" vertical="bottom" textRotation="0" wrapText="false" indent="0" shrinkToFit="false"/>
      <protection locked="true" hidden="false"/>
    </xf>
    <xf numFmtId="164" fontId="32" fillId="0" borderId="17" xfId="0" applyFont="true" applyBorder="true" applyAlignment="true" applyProtection="false">
      <alignment horizontal="general" vertical="bottom" textRotation="0" wrapText="false" indent="0" shrinkToFit="false"/>
      <protection locked="true" hidden="false"/>
    </xf>
    <xf numFmtId="164" fontId="7" fillId="0" borderId="17" xfId="0" applyFont="true" applyBorder="true" applyAlignment="true" applyProtection="false">
      <alignment horizontal="general" vertical="bottom" textRotation="0" wrapText="false" indent="0" shrinkToFit="false"/>
      <protection locked="true" hidden="false"/>
    </xf>
    <xf numFmtId="164" fontId="32" fillId="0" borderId="16" xfId="0" applyFont="true" applyBorder="true" applyAlignment="true" applyProtection="false">
      <alignment horizontal="general" vertical="bottom" textRotation="0" wrapText="false" indent="0" shrinkToFit="false"/>
      <protection locked="true" hidden="false"/>
    </xf>
    <xf numFmtId="164" fontId="35" fillId="14" borderId="18" xfId="0" applyFont="true" applyBorder="true" applyAlignment="true" applyProtection="false">
      <alignment horizontal="left" vertical="center" textRotation="0" wrapText="false" indent="0" shrinkToFit="false"/>
      <protection locked="true" hidden="false"/>
    </xf>
    <xf numFmtId="164" fontId="35" fillId="14" borderId="19" xfId="0" applyFont="true" applyBorder="true" applyAlignment="true" applyProtection="false">
      <alignment horizontal="left" vertical="center" textRotation="0" wrapText="false" indent="0" shrinkToFit="false"/>
      <protection locked="true" hidden="false"/>
    </xf>
    <xf numFmtId="164" fontId="35" fillId="14" borderId="20" xfId="0" applyFont="true" applyBorder="true" applyAlignment="true" applyProtection="false">
      <alignment horizontal="left" vertical="center" textRotation="0" wrapText="false" indent="0" shrinkToFit="false"/>
      <protection locked="true" hidden="false"/>
    </xf>
    <xf numFmtId="164" fontId="7" fillId="18" borderId="21" xfId="0" applyFont="true" applyBorder="true" applyAlignment="true" applyProtection="false">
      <alignment horizontal="general" vertical="bottom" textRotation="0" wrapText="false" indent="0" shrinkToFit="false"/>
      <protection locked="true" hidden="false"/>
    </xf>
    <xf numFmtId="164" fontId="7" fillId="0" borderId="21" xfId="0" applyFont="true" applyBorder="true" applyAlignment="true" applyProtection="false">
      <alignment horizontal="general" vertical="bottom" textRotation="0" wrapText="false" indent="0" shrinkToFit="false"/>
      <protection locked="true" hidden="false"/>
    </xf>
    <xf numFmtId="178" fontId="36" fillId="13" borderId="4" xfId="0" applyFont="true" applyBorder="true" applyAlignment="true" applyProtection="true">
      <alignment horizontal="center" vertical="center" textRotation="0" wrapText="false" indent="0" shrinkToFit="false"/>
      <protection locked="false" hidden="false"/>
    </xf>
    <xf numFmtId="178" fontId="36" fillId="13" borderId="4" xfId="0" applyFont="true" applyBorder="true" applyAlignment="true" applyProtection="true">
      <alignment horizontal="left" vertical="center" textRotation="0" wrapText="false" indent="0" shrinkToFit="false"/>
      <protection locked="false" hidden="false"/>
    </xf>
    <xf numFmtId="179" fontId="36" fillId="13" borderId="4" xfId="0" applyFont="true" applyBorder="true" applyAlignment="true" applyProtection="true">
      <alignment horizontal="left" vertical="center" textRotation="0" wrapText="false" indent="0" shrinkToFit="false"/>
      <protection locked="false" hidden="false"/>
    </xf>
    <xf numFmtId="184" fontId="36" fillId="0" borderId="4" xfId="0" applyFont="true" applyBorder="true" applyAlignment="true" applyProtection="false">
      <alignment horizontal="left" vertical="center" textRotation="0" wrapText="false" indent="0" shrinkToFit="false"/>
      <protection locked="true" hidden="false"/>
    </xf>
    <xf numFmtId="184" fontId="36" fillId="13" borderId="4" xfId="0" applyFont="true" applyBorder="true" applyAlignment="true" applyProtection="false">
      <alignment horizontal="left" vertical="center" textRotation="0" wrapText="false" indent="0" shrinkToFit="false"/>
      <protection locked="true" hidden="false"/>
    </xf>
    <xf numFmtId="185" fontId="36" fillId="0" borderId="4" xfId="0" applyFont="true" applyBorder="true" applyAlignment="true" applyProtection="false">
      <alignment horizontal="left" vertical="center" textRotation="0" wrapText="false" indent="0" shrinkToFit="false"/>
      <protection locked="true" hidden="false"/>
    </xf>
    <xf numFmtId="179" fontId="36" fillId="0" borderId="4" xfId="0" applyFont="true" applyBorder="true" applyAlignment="true" applyProtection="false">
      <alignment horizontal="left" vertical="center" textRotation="0" wrapText="false" indent="0" shrinkToFit="false"/>
      <protection locked="true" hidden="false"/>
    </xf>
    <xf numFmtId="184" fontId="36" fillId="17" borderId="4" xfId="0" applyFont="true" applyBorder="true" applyAlignment="true" applyProtection="false">
      <alignment horizontal="left" vertical="center" textRotation="0" wrapText="false" indent="0" shrinkToFit="false"/>
      <protection locked="true" hidden="false"/>
    </xf>
    <xf numFmtId="185" fontId="36" fillId="17" borderId="4" xfId="0" applyFont="true" applyBorder="true" applyAlignment="true" applyProtection="false">
      <alignment horizontal="left" vertical="center" textRotation="0" wrapText="false" indent="0" shrinkToFit="false"/>
      <protection locked="true" hidden="false"/>
    </xf>
    <xf numFmtId="179" fontId="36" fillId="17" borderId="4" xfId="0" applyFont="true" applyBorder="true" applyAlignment="true" applyProtection="false">
      <alignment horizontal="left" vertical="center" textRotation="0" wrapText="false" indent="0" shrinkToFit="false"/>
      <protection locked="true" hidden="false"/>
    </xf>
    <xf numFmtId="164" fontId="42" fillId="0" borderId="0" xfId="0" applyFont="true" applyBorder="false" applyAlignment="true" applyProtection="false">
      <alignment horizontal="general" vertical="bottom" textRotation="0" wrapText="false" indent="0" shrinkToFit="false"/>
      <protection locked="true" hidden="false"/>
    </xf>
    <xf numFmtId="178" fontId="36" fillId="0" borderId="4" xfId="0" applyFont="true" applyBorder="true" applyAlignment="true" applyProtection="false">
      <alignment horizontal="center" vertical="center" textRotation="0" wrapText="false" indent="0" shrinkToFit="false"/>
      <protection locked="true" hidden="false"/>
    </xf>
    <xf numFmtId="185" fontId="36" fillId="13" borderId="4" xfId="0" applyFont="true" applyBorder="true" applyAlignment="true" applyProtection="false">
      <alignment horizontal="left" vertical="center" textRotation="0" wrapText="false" indent="0" shrinkToFit="false"/>
      <protection locked="true" hidden="false"/>
    </xf>
    <xf numFmtId="180" fontId="36" fillId="0" borderId="4" xfId="0" applyFont="true" applyBorder="true" applyAlignment="true" applyProtection="false">
      <alignment horizontal="left" vertical="center" textRotation="0" wrapText="false" indent="0" shrinkToFit="false"/>
      <protection locked="true" hidden="false"/>
    </xf>
    <xf numFmtId="186" fontId="36" fillId="0" borderId="4" xfId="0" applyFont="true" applyBorder="true" applyAlignment="true" applyProtection="false">
      <alignment horizontal="left" vertical="center" textRotation="0" wrapText="false" indent="0" shrinkToFit="false"/>
      <protection locked="true" hidden="false"/>
    </xf>
    <xf numFmtId="186" fontId="36" fillId="17" borderId="4" xfId="0" applyFont="true" applyBorder="true" applyAlignment="true" applyProtection="false">
      <alignment horizontal="left" vertical="center" textRotation="0" wrapText="false" indent="0" shrinkToFit="false"/>
      <protection locked="true" hidden="false"/>
    </xf>
    <xf numFmtId="164" fontId="36" fillId="13" borderId="4" xfId="0" applyFont="true" applyBorder="true" applyAlignment="true" applyProtection="false">
      <alignment horizontal="left" vertical="bottom" textRotation="0" wrapText="false" indent="0" shrinkToFit="false"/>
      <protection locked="true" hidden="false"/>
    </xf>
    <xf numFmtId="164" fontId="9" fillId="0" borderId="16" xfId="0" applyFont="true" applyBorder="true" applyAlignment="true" applyProtection="false">
      <alignment horizontal="general" vertical="bottom" textRotation="0" wrapText="false" indent="0" shrinkToFit="false"/>
      <protection locked="true" hidden="false"/>
    </xf>
    <xf numFmtId="164" fontId="9" fillId="0" borderId="17" xfId="0" applyFont="true" applyBorder="true" applyAlignment="true" applyProtection="false">
      <alignment horizontal="general" vertical="bottom" textRotation="0" wrapText="false" indent="0" shrinkToFit="false"/>
      <protection locked="true" hidden="false"/>
    </xf>
    <xf numFmtId="164" fontId="9" fillId="18" borderId="21" xfId="0" applyFont="true" applyBorder="true" applyAlignment="true" applyProtection="false">
      <alignment horizontal="general" vertical="bottom" textRotation="0" wrapText="false" indent="0" shrinkToFit="false"/>
      <protection locked="true" hidden="false"/>
    </xf>
    <xf numFmtId="164" fontId="9" fillId="0" borderId="21" xfId="0" applyFont="true" applyBorder="true" applyAlignment="true" applyProtection="false">
      <alignment horizontal="general" vertical="bottom" textRotation="0" wrapText="false" indent="0" shrinkToFit="false"/>
      <protection locked="true" hidden="false"/>
    </xf>
    <xf numFmtId="164" fontId="36" fillId="0" borderId="4" xfId="0" applyFont="true" applyBorder="true" applyAlignment="true" applyProtection="true">
      <alignment horizontal="center" vertical="center" textRotation="0" wrapText="false" indent="0" shrinkToFit="false"/>
      <protection locked="false" hidden="false"/>
    </xf>
    <xf numFmtId="184" fontId="36" fillId="13" borderId="4" xfId="0" applyFont="true" applyBorder="true" applyAlignment="true" applyProtection="true">
      <alignment horizontal="left" vertical="center" textRotation="0" wrapText="false" indent="0" shrinkToFit="false"/>
      <protection locked="false" hidden="false"/>
    </xf>
    <xf numFmtId="192" fontId="36" fillId="0" borderId="4" xfId="0" applyFont="true" applyBorder="true" applyAlignment="true" applyProtection="true">
      <alignment horizontal="left" vertical="center" textRotation="0" wrapText="false" indent="0" shrinkToFit="false"/>
      <protection locked="false" hidden="false"/>
    </xf>
    <xf numFmtId="192" fontId="36" fillId="0" borderId="4" xfId="0" applyFont="true" applyBorder="true" applyAlignment="true" applyProtection="false">
      <alignment horizontal="left" vertical="center" textRotation="0" wrapText="false" indent="0" shrinkToFit="false"/>
      <protection locked="true" hidden="false"/>
    </xf>
    <xf numFmtId="181" fontId="36" fillId="13" borderId="4" xfId="0" applyFont="true" applyBorder="true" applyAlignment="true" applyProtection="false">
      <alignment horizontal="right" vertical="bottom" textRotation="0" wrapText="false" indent="0" shrinkToFit="false"/>
      <protection locked="true" hidden="false"/>
    </xf>
    <xf numFmtId="164" fontId="43" fillId="0" borderId="0" xfId="0" applyFont="true" applyBorder="false" applyAlignment="true" applyProtection="false">
      <alignment horizontal="general" vertical="bottom" textRotation="0" wrapText="false" indent="0" shrinkToFit="false"/>
      <protection locked="true" hidden="false"/>
    </xf>
    <xf numFmtId="164" fontId="25" fillId="12" borderId="0" xfId="0" applyFont="true" applyBorder="false" applyAlignment="true" applyProtection="false">
      <alignment horizontal="general" vertical="bottom" textRotation="0" wrapText="false" indent="0" shrinkToFit="false"/>
      <protection locked="true" hidden="false"/>
    </xf>
    <xf numFmtId="164" fontId="26" fillId="19" borderId="0" xfId="0" applyFont="true" applyBorder="false" applyAlignment="true" applyProtection="false">
      <alignment horizontal="general" vertical="bottom" textRotation="0" wrapText="false" indent="0" shrinkToFit="false"/>
      <protection locked="true" hidden="false"/>
    </xf>
    <xf numFmtId="164" fontId="44" fillId="7" borderId="0" xfId="0" applyFont="true" applyBorder="true" applyAlignment="true" applyProtection="false">
      <alignment horizontal="center" vertical="center" textRotation="0" wrapText="false" indent="0" shrinkToFit="false"/>
      <protection locked="true" hidden="false"/>
    </xf>
    <xf numFmtId="164" fontId="16" fillId="9" borderId="0" xfId="0" applyFont="true" applyBorder="false" applyAlignment="true" applyProtection="false">
      <alignment horizontal="general" vertical="center" textRotation="0" wrapText="false" indent="0" shrinkToFit="false"/>
      <protection locked="true" hidden="false"/>
    </xf>
    <xf numFmtId="164" fontId="44" fillId="9" borderId="0" xfId="0" applyFont="true" applyBorder="true" applyAlignment="true" applyProtection="false">
      <alignment horizontal="center" vertical="center" textRotation="0" wrapText="false" indent="0" shrinkToFit="false"/>
      <protection locked="true" hidden="false"/>
    </xf>
    <xf numFmtId="164" fontId="25" fillId="9" borderId="0" xfId="0" applyFont="true" applyBorder="false" applyAlignment="true" applyProtection="false">
      <alignment horizontal="left" vertical="center" textRotation="0" wrapText="false" indent="0" shrinkToFit="false"/>
      <protection locked="true" hidden="false"/>
    </xf>
    <xf numFmtId="164" fontId="45" fillId="9" borderId="0" xfId="0" applyFont="true" applyBorder="false" applyAlignment="true" applyProtection="false">
      <alignment horizontal="center" vertical="center" textRotation="0" wrapText="false" indent="0" shrinkToFit="false"/>
      <protection locked="true" hidden="false"/>
    </xf>
    <xf numFmtId="164" fontId="16" fillId="0" borderId="1" xfId="0" applyFont="true" applyBorder="true" applyAlignment="true" applyProtection="false">
      <alignment horizontal="left" vertical="center" textRotation="0" wrapText="true" indent="0" shrinkToFit="false"/>
      <protection locked="true" hidden="false"/>
    </xf>
    <xf numFmtId="164" fontId="16" fillId="6" borderId="1" xfId="0" applyFont="true" applyBorder="true" applyAlignment="true" applyProtection="false">
      <alignment horizontal="center" vertical="center" textRotation="0" wrapText="false" indent="0" shrinkToFit="false"/>
      <protection locked="true" hidden="false"/>
    </xf>
    <xf numFmtId="190" fontId="16" fillId="6" borderId="1" xfId="0" applyFont="true" applyBorder="true" applyAlignment="true" applyProtection="false">
      <alignment horizontal="left" vertical="center" textRotation="0" wrapText="false" indent="0" shrinkToFit="false"/>
      <protection locked="true" hidden="false"/>
    </xf>
    <xf numFmtId="172" fontId="16" fillId="6" borderId="1" xfId="0" applyFont="true" applyBorder="true" applyAlignment="true" applyProtection="false">
      <alignment horizontal="right" vertical="center" textRotation="0" wrapText="false" indent="0" shrinkToFit="false"/>
      <protection locked="true" hidden="false"/>
    </xf>
    <xf numFmtId="169" fontId="16" fillId="6" borderId="1" xfId="0" applyFont="true" applyBorder="true" applyAlignment="true" applyProtection="false">
      <alignment horizontal="left" vertical="center" textRotation="0" wrapText="false" indent="0" shrinkToFit="false"/>
      <protection locked="true" hidden="false"/>
    </xf>
    <xf numFmtId="169" fontId="16" fillId="6" borderId="1" xfId="0" applyFont="true" applyBorder="true" applyAlignment="true" applyProtection="false">
      <alignment horizontal="right" vertical="center" textRotation="0" wrapText="false" indent="0" shrinkToFit="false"/>
      <protection locked="true" hidden="false"/>
    </xf>
    <xf numFmtId="164" fontId="16" fillId="5" borderId="1" xfId="0" applyFont="true" applyBorder="true" applyAlignment="true" applyProtection="false">
      <alignment horizontal="left" vertical="center" textRotation="0" wrapText="true" indent="0" shrinkToFit="false"/>
      <protection locked="true" hidden="false"/>
    </xf>
    <xf numFmtId="164" fontId="16" fillId="6" borderId="1" xfId="0" applyFont="true" applyBorder="true" applyAlignment="true" applyProtection="false">
      <alignment horizontal="left" vertical="center" textRotation="0" wrapText="true" indent="0" shrinkToFit="false"/>
      <protection locked="true" hidden="false"/>
    </xf>
    <xf numFmtId="164" fontId="16" fillId="6" borderId="1" xfId="0" applyFont="true" applyBorder="true" applyAlignment="true" applyProtection="false">
      <alignment horizontal="right" vertical="center" textRotation="0" wrapText="false" indent="0" shrinkToFit="false"/>
      <protection locked="true" hidden="false"/>
    </xf>
    <xf numFmtId="193" fontId="16" fillId="5" borderId="1" xfId="0" applyFont="true" applyBorder="true" applyAlignment="true" applyProtection="false">
      <alignment horizontal="left" vertical="center" textRotation="0" wrapText="false" indent="0" shrinkToFit="false"/>
      <protection locked="true" hidden="false"/>
    </xf>
    <xf numFmtId="164" fontId="15" fillId="10" borderId="2" xfId="0" applyFont="true" applyBorder="true" applyAlignment="true" applyProtection="false">
      <alignment horizontal="left" vertical="center" textRotation="0" wrapText="false" indent="0" shrinkToFit="false"/>
      <protection locked="true" hidden="false"/>
    </xf>
    <xf numFmtId="164" fontId="15" fillId="10" borderId="2" xfId="0" applyFont="true" applyBorder="true" applyAlignment="true" applyProtection="false">
      <alignment horizontal="right" vertical="center" textRotation="0" wrapText="false" indent="0" shrinkToFit="false"/>
      <protection locked="true" hidden="false"/>
    </xf>
    <xf numFmtId="173" fontId="15" fillId="10" borderId="2" xfId="0" applyFont="true" applyBorder="true" applyAlignment="true" applyProtection="false">
      <alignment horizontal="right" vertical="center" textRotation="0" wrapText="false" indent="0" shrinkToFit="false"/>
      <protection locked="true" hidden="false"/>
    </xf>
    <xf numFmtId="164" fontId="15" fillId="8" borderId="0" xfId="0" applyFont="true" applyBorder="true" applyAlignment="true" applyProtection="false">
      <alignment horizontal="general" vertical="center" textRotation="0" wrapText="false" indent="0" shrinkToFit="false"/>
      <protection locked="true" hidden="false"/>
    </xf>
    <xf numFmtId="164" fontId="15" fillId="0" borderId="1" xfId="0" applyFont="true" applyBorder="true" applyAlignment="true" applyProtection="false">
      <alignment horizontal="left" vertical="center" textRotation="0" wrapText="true" indent="0" shrinkToFit="false"/>
      <protection locked="true" hidden="false"/>
    </xf>
    <xf numFmtId="174" fontId="16" fillId="6" borderId="1" xfId="0" applyFont="true" applyBorder="true" applyAlignment="true" applyProtection="false">
      <alignment horizontal="center" vertical="center" textRotation="0" wrapText="false" indent="0" shrinkToFit="false"/>
      <protection locked="true" hidden="false"/>
    </xf>
    <xf numFmtId="194" fontId="16" fillId="6" borderId="1" xfId="0" applyFont="true" applyBorder="true" applyAlignment="true" applyProtection="false">
      <alignment horizontal="right" vertical="center" textRotation="0" wrapText="false" indent="0" shrinkToFit="false"/>
      <protection locked="true" hidden="false"/>
    </xf>
    <xf numFmtId="174" fontId="15" fillId="10" borderId="2" xfId="0" applyFont="true" applyBorder="true" applyAlignment="true" applyProtection="false">
      <alignment horizontal="right" vertical="center" textRotation="0" wrapText="false" indent="0" shrinkToFit="false"/>
      <protection locked="true" hidden="false"/>
    </xf>
    <xf numFmtId="169" fontId="16" fillId="5" borderId="1" xfId="0" applyFont="true" applyBorder="true" applyAlignment="true" applyProtection="false">
      <alignment horizontal="right" vertical="center" textRotation="0" wrapText="false" indent="0" shrinkToFit="false"/>
      <protection locked="true" hidden="false"/>
    </xf>
    <xf numFmtId="164" fontId="16" fillId="5" borderId="1" xfId="0" applyFont="true" applyBorder="true" applyAlignment="true" applyProtection="false">
      <alignment horizontal="right" vertical="center" textRotation="0" wrapText="false" indent="0" shrinkToFit="false"/>
      <protection locked="true" hidden="false"/>
    </xf>
    <xf numFmtId="173" fontId="15" fillId="5" borderId="1" xfId="0" applyFont="true" applyBorder="true" applyAlignment="true" applyProtection="false">
      <alignment horizontal="right" vertical="center" textRotation="0" wrapText="false" indent="0" shrinkToFit="false"/>
      <protection locked="true" hidden="false"/>
    </xf>
    <xf numFmtId="164" fontId="16" fillId="0" borderId="1" xfId="0" applyFont="true" applyBorder="true" applyAlignment="true" applyProtection="false">
      <alignment horizontal="left" vertical="center" textRotation="0" wrapText="false" indent="0" shrinkToFit="false"/>
      <protection locked="true" hidden="false"/>
    </xf>
    <xf numFmtId="173" fontId="16" fillId="6" borderId="1" xfId="0" applyFont="true" applyBorder="true" applyAlignment="true" applyProtection="false">
      <alignment horizontal="right" vertical="center" textRotation="0" wrapText="false" indent="0" shrinkToFit="false"/>
      <protection locked="true" hidden="false"/>
    </xf>
    <xf numFmtId="172" fontId="16" fillId="5" borderId="1" xfId="0" applyFont="true" applyBorder="true" applyAlignment="true" applyProtection="false">
      <alignment horizontal="right" vertical="center" textRotation="0" wrapText="false" indent="0" shrinkToFit="false"/>
      <protection locked="true" hidden="false"/>
    </xf>
    <xf numFmtId="164" fontId="15" fillId="0" borderId="2" xfId="0" applyFont="true" applyBorder="true" applyAlignment="true" applyProtection="false">
      <alignment horizontal="left" vertical="center" textRotation="0" wrapText="false" indent="0" shrinkToFit="false"/>
      <protection locked="true" hidden="false"/>
    </xf>
    <xf numFmtId="172" fontId="15" fillId="10" borderId="2" xfId="0" applyFont="true" applyBorder="true" applyAlignment="true" applyProtection="false">
      <alignment horizontal="right" vertical="center" textRotation="0" wrapText="false" indent="0" shrinkToFit="false"/>
      <protection locked="true" hidden="false"/>
    </xf>
    <xf numFmtId="164" fontId="0" fillId="0" borderId="0" xfId="0" applyFont="false" applyBorder="false" applyAlignment="true" applyProtection="false">
      <alignment horizontal="general" vertical="top" textRotation="0" wrapText="false" indent="0" shrinkToFit="false"/>
      <protection locked="true" hidden="false"/>
    </xf>
    <xf numFmtId="164" fontId="46" fillId="0" borderId="0" xfId="0" applyFont="true" applyBorder="false" applyAlignment="true" applyProtection="false">
      <alignment horizontal="general" vertical="top" textRotation="0" wrapText="true" indent="0" shrinkToFit="false"/>
      <protection locked="true" hidden="false"/>
    </xf>
    <xf numFmtId="164" fontId="0" fillId="0" borderId="0" xfId="0" applyFont="false" applyBorder="false" applyAlignment="true" applyProtection="false">
      <alignment horizontal="left" vertical="center" textRotation="0" wrapText="false" indent="0" shrinkToFit="false"/>
      <protection locked="true" hidden="false"/>
    </xf>
    <xf numFmtId="164" fontId="13" fillId="20" borderId="0" xfId="0" applyFont="true" applyBorder="true" applyAlignment="true" applyProtection="false">
      <alignment horizontal="general" vertical="top" textRotation="0" wrapText="tru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13" fillId="21" borderId="0" xfId="0" applyFont="true" applyBorder="false" applyAlignment="true" applyProtection="false">
      <alignment horizontal="center" vertical="top" textRotation="0" wrapText="true" indent="0" shrinkToFit="false"/>
      <protection locked="true" hidden="false"/>
    </xf>
    <xf numFmtId="164" fontId="13" fillId="21" borderId="0" xfId="0" applyFont="true" applyBorder="false" applyAlignment="tru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top" textRotation="0" wrapText="true" indent="0" shrinkToFit="false"/>
      <protection locked="true" hidden="false"/>
    </xf>
    <xf numFmtId="164" fontId="0" fillId="6" borderId="3" xfId="0" applyFont="false" applyBorder="true" applyAlignment="true" applyProtection="false">
      <alignment horizontal="center"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47" fillId="0" borderId="0" xfId="0" applyFont="true" applyBorder="false" applyAlignment="true" applyProtection="false">
      <alignment horizontal="general" vertical="top" textRotation="0" wrapText="true" indent="0" shrinkToFit="false"/>
      <protection locked="true" hidden="false"/>
    </xf>
    <xf numFmtId="164" fontId="0" fillId="0" borderId="0" xfId="0" applyFont="true" applyBorder="false" applyAlignment="true" applyProtection="false">
      <alignment horizontal="left" vertical="top" textRotation="0" wrapText="true" indent="1" shrinkToFit="false"/>
      <protection locked="true" hidden="false"/>
    </xf>
    <xf numFmtId="164" fontId="0" fillId="5" borderId="0" xfId="0" applyFont="false" applyBorder="fals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false">
      <alignment horizontal="left" vertical="top" textRotation="0" wrapText="true" indent="2" shrinkToFit="false"/>
      <protection locked="true" hidden="false"/>
    </xf>
    <xf numFmtId="164" fontId="0" fillId="6" borderId="3" xfId="0" applyFont="true" applyBorder="true" applyAlignment="true" applyProtection="false">
      <alignment horizontal="right" vertical="bottom" textRotation="0" wrapText="false" indent="0" shrinkToFit="false"/>
      <protection locked="true" hidden="false"/>
    </xf>
    <xf numFmtId="164" fontId="24" fillId="0" borderId="0" xfId="0" applyFont="true" applyBorder="false" applyAlignment="true" applyProtection="false">
      <alignment horizontal="left" vertical="center" textRotation="0" wrapText="false" indent="2" shrinkToFit="false"/>
      <protection locked="true" hidden="false"/>
    </xf>
    <xf numFmtId="164" fontId="24" fillId="5" borderId="0" xfId="0" applyFont="true" applyBorder="false" applyAlignment="true" applyProtection="false">
      <alignment horizontal="general" vertical="bottom" textRotation="0" wrapText="false" indent="0" shrinkToFit="false"/>
      <protection locked="true" hidden="false"/>
    </xf>
    <xf numFmtId="164" fontId="13" fillId="21" borderId="0" xfId="0" applyFont="true" applyBorder="false" applyAlignment="true" applyProtection="false">
      <alignment horizontal="left" vertical="top" textRotation="0" wrapText="true" indent="2" shrinkToFit="false"/>
      <protection locked="true" hidden="false"/>
    </xf>
    <xf numFmtId="164" fontId="13" fillId="21" borderId="0" xfId="0" applyFont="true" applyBorder="false" applyAlignment="true" applyProtection="false">
      <alignment horizontal="general" vertical="center" textRotation="0" wrapText="false" indent="0" shrinkToFit="false"/>
      <protection locked="true" hidden="false"/>
    </xf>
    <xf numFmtId="171" fontId="0" fillId="6" borderId="3" xfId="0" applyFont="false" applyBorder="true" applyAlignment="true" applyProtection="false">
      <alignment horizontal="general" vertical="bottom" textRotation="0" wrapText="false" indent="0" shrinkToFit="false"/>
      <protection locked="true" hidden="false"/>
    </xf>
    <xf numFmtId="171" fontId="0" fillId="6" borderId="3" xfId="0" applyFont="false" applyBorder="true" applyAlignment="true" applyProtection="false">
      <alignment horizontal="center" vertical="center" textRotation="0" wrapText="false" indent="0" shrinkToFit="false"/>
      <protection locked="true" hidden="false"/>
    </xf>
    <xf numFmtId="164" fontId="0" fillId="6" borderId="3" xfId="0" applyFont="true" applyBorder="tru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2" shrinkToFit="false"/>
      <protection locked="true" hidden="false"/>
    </xf>
    <xf numFmtId="182" fontId="0" fillId="6" borderId="3" xfId="0" applyFont="false" applyBorder="tru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1" shrinkToFit="false"/>
      <protection locked="true" hidden="false"/>
    </xf>
    <xf numFmtId="164" fontId="21" fillId="3" borderId="0" xfId="0" applyFont="true" applyBorder="false" applyAlignment="true" applyProtection="false">
      <alignment horizontal="left" vertical="top" textRotation="0" wrapText="true" indent="1" shrinkToFit="false"/>
      <protection locked="true" hidden="false"/>
    </xf>
    <xf numFmtId="164" fontId="21" fillId="3" borderId="0" xfId="0" applyFont="true" applyBorder="false" applyAlignment="true" applyProtection="false">
      <alignment horizontal="general" vertical="center" textRotation="0" wrapText="false" indent="0" shrinkToFit="false"/>
      <protection locked="true" hidden="false"/>
    </xf>
    <xf numFmtId="164" fontId="26" fillId="4" borderId="0" xfId="0" applyFont="true" applyBorder="false" applyAlignment="true" applyProtection="false">
      <alignment horizontal="left" vertical="top" textRotation="0" wrapText="true" indent="2" shrinkToFit="false"/>
      <protection locked="true" hidden="false"/>
    </xf>
    <xf numFmtId="164" fontId="26" fillId="4" borderId="0" xfId="0" applyFont="true" applyBorder="false" applyAlignment="true" applyProtection="false">
      <alignment horizontal="general" vertical="center" textRotation="0" wrapText="false" indent="0" shrinkToFit="false"/>
      <protection locked="true" hidden="false"/>
    </xf>
    <xf numFmtId="164" fontId="26" fillId="0" borderId="0" xfId="0" applyFont="true" applyBorder="false" applyAlignment="true" applyProtection="false">
      <alignment horizontal="left" vertical="top" textRotation="0" wrapText="true" indent="2" shrinkToFit="false"/>
      <protection locked="true" hidden="false"/>
    </xf>
    <xf numFmtId="178" fontId="0" fillId="5" borderId="0" xfId="0" applyFont="false" applyBorder="false" applyAlignment="true" applyProtection="false">
      <alignment horizontal="general" vertical="bottom" textRotation="0" wrapText="false" indent="0" shrinkToFit="false"/>
      <protection locked="true" hidden="false"/>
    </xf>
    <xf numFmtId="180" fontId="0" fillId="0" borderId="0" xfId="0" applyFont="false" applyBorder="false" applyAlignment="true" applyProtection="false">
      <alignment horizontal="general" vertical="center" textRotation="0" wrapText="false" indent="0" shrinkToFit="false"/>
      <protection locked="true" hidden="false"/>
    </xf>
    <xf numFmtId="181" fontId="0" fillId="0" borderId="0" xfId="0" applyFont="false" applyBorder="false" applyAlignment="true" applyProtection="false">
      <alignment horizontal="general" vertical="center" textRotation="0" wrapText="false" indent="0" shrinkToFit="false"/>
      <protection locked="true" hidden="false"/>
    </xf>
    <xf numFmtId="195" fontId="0" fillId="0" borderId="0" xfId="0" applyFont="false" applyBorder="fals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26" fillId="0" borderId="0" xfId="0" applyFont="true" applyBorder="false" applyAlignment="true" applyProtection="false">
      <alignment horizontal="left" vertical="top" textRotation="0" wrapText="true" indent="1" shrinkToFit="false"/>
      <protection locked="true" hidden="false"/>
    </xf>
    <xf numFmtId="181" fontId="26" fillId="0" borderId="0" xfId="0" applyFont="true" applyBorder="false" applyAlignment="true" applyProtection="false">
      <alignment horizontal="general" vertical="center" textRotation="0" wrapText="false" indent="0" shrinkToFit="false"/>
      <protection locked="true" hidden="false"/>
    </xf>
    <xf numFmtId="164" fontId="21" fillId="21" borderId="0" xfId="0" applyFont="true" applyBorder="false" applyAlignment="true" applyProtection="false">
      <alignment horizontal="left" vertical="top" textRotation="0" wrapText="true" indent="2" shrinkToFit="false"/>
      <protection locked="true" hidden="false"/>
    </xf>
    <xf numFmtId="164" fontId="21" fillId="21" borderId="0" xfId="0" applyFont="true" applyBorder="false" applyAlignment="true" applyProtection="false">
      <alignment horizontal="general" vertical="center" textRotation="0" wrapText="false" indent="0" shrinkToFit="false"/>
      <protection locked="true" hidden="false"/>
    </xf>
    <xf numFmtId="164" fontId="21" fillId="21" borderId="0" xfId="0" applyFont="true" applyBorder="false" applyAlignment="true" applyProtection="false">
      <alignment horizontal="center" vertical="center" textRotation="0" wrapText="false" indent="0" shrinkToFit="false"/>
      <protection locked="true" hidden="false"/>
    </xf>
    <xf numFmtId="164" fontId="21" fillId="21" borderId="0" xfId="0" applyFont="true" applyBorder="false" applyAlignment="true" applyProtection="false">
      <alignment horizontal="general" vertical="bottom" textRotation="0" wrapText="false" indent="0" shrinkToFit="false"/>
      <protection locked="true" hidden="false"/>
    </xf>
    <xf numFmtId="176" fontId="0" fillId="0" borderId="0" xfId="0" applyFont="false" applyBorder="false" applyAlignment="true" applyProtection="false">
      <alignment horizontal="general" vertical="center" textRotation="0" wrapText="false" indent="0" shrinkToFit="false"/>
      <protection locked="true" hidden="false"/>
    </xf>
    <xf numFmtId="176" fontId="26" fillId="0" borderId="0" xfId="0" applyFont="true" applyBorder="fals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false">
      <alignment horizontal="left" vertical="top" textRotation="0" wrapText="true" indent="3" shrinkToFit="false"/>
      <protection locked="true" hidden="false"/>
    </xf>
    <xf numFmtId="178" fontId="0" fillId="6" borderId="3" xfId="0" applyFont="false" applyBorder="true" applyAlignment="true" applyProtection="false">
      <alignment horizontal="general" vertical="center" textRotation="0" wrapText="false" indent="0" shrinkToFit="false"/>
      <protection locked="true" hidden="false"/>
    </xf>
    <xf numFmtId="180" fontId="0" fillId="6" borderId="3" xfId="0" applyFont="false" applyBorder="true" applyAlignment="true" applyProtection="false">
      <alignment horizontal="general" vertical="center" textRotation="0" wrapText="false" indent="0" shrinkToFit="false"/>
      <protection locked="true" hidden="false"/>
    </xf>
    <xf numFmtId="164" fontId="26" fillId="0" borderId="0" xfId="0" applyFont="true" applyBorder="false" applyAlignment="true" applyProtection="false">
      <alignment horizontal="general" vertical="top" textRotation="0" wrapText="true" indent="0" shrinkToFit="false"/>
      <protection locked="true" hidden="false"/>
    </xf>
    <xf numFmtId="188" fontId="0" fillId="6" borderId="3" xfId="0" applyFont="false" applyBorder="true" applyAlignment="true" applyProtection="false">
      <alignment horizontal="general" vertical="center" textRotation="0" wrapText="false" indent="0" shrinkToFit="false"/>
      <protection locked="true" hidden="false"/>
    </xf>
    <xf numFmtId="164" fontId="48" fillId="0" borderId="0" xfId="0" applyFont="true" applyBorder="false" applyAlignment="true" applyProtection="false">
      <alignment horizontal="general" vertical="top" textRotation="0" wrapText="true" indent="0" shrinkToFit="false"/>
      <protection locked="true" hidden="false"/>
    </xf>
    <xf numFmtId="181" fontId="48" fillId="0" borderId="0" xfId="0" applyFont="true" applyBorder="fals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true">
      <alignment horizontal="left" vertical="top" textRotation="0" wrapText="true" indent="0" shrinkToFit="false"/>
      <protection locked="false" hidden="false"/>
    </xf>
    <xf numFmtId="164" fontId="0" fillId="0" borderId="0" xfId="0" applyFont="false" applyBorder="false" applyAlignment="true" applyProtection="true">
      <alignment horizontal="center" vertical="bottom" textRotation="0" wrapText="false" indent="0" shrinkToFit="false"/>
      <protection locked="false" hidden="false"/>
    </xf>
    <xf numFmtId="164" fontId="21" fillId="21" borderId="0" xfId="0" applyFont="true" applyBorder="false" applyAlignment="true" applyProtection="false">
      <alignment horizontal="left" vertical="top" textRotation="0" wrapText="true" indent="1" shrinkToFit="false"/>
      <protection locked="true" hidden="false"/>
    </xf>
    <xf numFmtId="164" fontId="0" fillId="0" borderId="0" xfId="0" applyFont="false" applyBorder="false" applyAlignment="true" applyProtection="false">
      <alignment horizontal="left" vertical="bottom" textRotation="0" wrapText="false" indent="0" shrinkToFit="false"/>
      <protection locked="true" hidden="false"/>
    </xf>
    <xf numFmtId="181" fontId="0" fillId="6" borderId="3" xfId="0" applyFont="false" applyBorder="true" applyAlignment="true" applyProtection="false">
      <alignment horizontal="center" vertical="bottom" textRotation="0" wrapText="false" indent="0" shrinkToFit="false"/>
      <protection locked="true" hidden="false"/>
    </xf>
    <xf numFmtId="188" fontId="0" fillId="5" borderId="0" xfId="0" applyFont="false" applyBorder="false" applyAlignment="true" applyProtection="false">
      <alignment horizontal="general" vertical="center" textRotation="0" wrapText="false" indent="0" shrinkToFit="false"/>
      <protection locked="true" hidden="false"/>
    </xf>
    <xf numFmtId="188" fontId="0" fillId="6" borderId="3" xfId="0" applyFont="false" applyBorder="true" applyAlignment="true" applyProtection="false">
      <alignment horizontal="general" vertical="bottom" textRotation="0" wrapText="false" indent="0" shrinkToFit="false"/>
      <protection locked="true" hidden="false"/>
    </xf>
    <xf numFmtId="188" fontId="0" fillId="0" borderId="0" xfId="0" applyFont="false" applyBorder="false" applyAlignment="true" applyProtection="false">
      <alignment horizontal="general" vertical="bottom" textRotation="0" wrapText="false" indent="0" shrinkToFit="false"/>
      <protection locked="true" hidden="false"/>
    </xf>
    <xf numFmtId="181" fontId="26" fillId="0" borderId="0" xfId="0" applyFont="true" applyBorder="false" applyAlignment="true" applyProtection="false">
      <alignment horizontal="general" vertical="bottom" textRotation="0" wrapText="false" indent="0" shrinkToFit="false"/>
      <protection locked="true" hidden="false"/>
    </xf>
    <xf numFmtId="164" fontId="49" fillId="0" borderId="0" xfId="0" applyFont="true" applyBorder="false" applyAlignment="true" applyProtection="false">
      <alignment horizontal="general" vertical="top" textRotation="0" wrapText="true" indent="0" shrinkToFit="false"/>
      <protection locked="true" hidden="false"/>
    </xf>
    <xf numFmtId="181" fontId="49" fillId="0" borderId="0" xfId="0" applyFont="true" applyBorder="false" applyAlignment="true" applyProtection="false">
      <alignment horizontal="general" vertical="bottom" textRotation="0" wrapText="false" indent="0" shrinkToFit="false"/>
      <protection locked="true" hidden="false"/>
    </xf>
    <xf numFmtId="181" fontId="0" fillId="6" borderId="0" xfId="0" applyFont="false" applyBorder="false" applyAlignment="true" applyProtection="false">
      <alignment horizontal="center" vertical="bottom" textRotation="0" wrapText="false" indent="0" shrinkToFit="false"/>
      <protection locked="true" hidden="false"/>
    </xf>
    <xf numFmtId="164" fontId="49" fillId="0" borderId="0" xfId="0" applyFont="true" applyBorder="false" applyAlignment="true" applyProtection="false">
      <alignment horizontal="left" vertical="top" textRotation="0" wrapText="true" indent="2" shrinkToFit="false"/>
      <protection locked="true" hidden="false"/>
    </xf>
    <xf numFmtId="181" fontId="49" fillId="0" borderId="0" xfId="0" applyFont="true" applyBorder="false" applyAlignment="true" applyProtection="false">
      <alignment horizontal="general" vertical="center" textRotation="0" wrapText="false" indent="0" shrinkToFit="false"/>
      <protection locked="true" hidden="false"/>
    </xf>
    <xf numFmtId="178" fontId="0" fillId="0" borderId="0" xfId="0" applyFont="false" applyBorder="false" applyAlignment="true" applyProtection="false">
      <alignment horizontal="left" vertical="top" textRotation="0" wrapText="true" indent="2" shrinkToFit="false"/>
      <protection locked="true" hidden="false"/>
    </xf>
    <xf numFmtId="164" fontId="50" fillId="0" borderId="0" xfId="0" applyFont="true" applyBorder="true" applyAlignment="true" applyProtection="false">
      <alignment horizontal="left" vertical="center" textRotation="0" wrapText="false" indent="1" shrinkToFit="false"/>
      <protection locked="true" hidden="false"/>
    </xf>
    <xf numFmtId="164" fontId="21" fillId="3" borderId="0" xfId="0" applyFont="true" applyBorder="false" applyAlignment="true" applyProtection="false">
      <alignment horizontal="left" vertical="center" textRotation="0" wrapText="false" indent="2" shrinkToFit="false"/>
      <protection locked="true" hidden="false"/>
    </xf>
    <xf numFmtId="164" fontId="0" fillId="3" borderId="0" xfId="0" applyFont="false" applyBorder="false" applyAlignment="true" applyProtection="false">
      <alignment horizontal="general" vertical="center" textRotation="0" wrapText="false" indent="0" shrinkToFit="false"/>
      <protection locked="true" hidden="false"/>
    </xf>
    <xf numFmtId="180" fontId="0" fillId="6" borderId="0" xfId="0" applyFont="false" applyBorder="false" applyAlignment="true" applyProtection="false">
      <alignment horizontal="general" vertical="center" textRotation="0" wrapText="false" indent="0" shrinkToFit="false"/>
      <protection locked="true" hidden="false"/>
    </xf>
    <xf numFmtId="166" fontId="0" fillId="6" borderId="0" xfId="0" applyFont="false" applyBorder="false" applyAlignment="true" applyProtection="false">
      <alignment horizontal="general" vertical="center" textRotation="0" wrapText="false" indent="0" shrinkToFit="false"/>
      <protection locked="true" hidden="false"/>
    </xf>
    <xf numFmtId="164" fontId="0" fillId="6" borderId="0" xfId="0" applyFont="false" applyBorder="false" applyAlignment="true" applyProtection="false">
      <alignment horizontal="general" vertical="center" textRotation="0" wrapText="false" indent="0" shrinkToFit="false"/>
      <protection locked="true" hidden="false"/>
    </xf>
    <xf numFmtId="164" fontId="22" fillId="0" borderId="0" xfId="0" applyFont="true" applyBorder="fals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3" shrinkToFit="false"/>
      <protection locked="true" hidden="false"/>
    </xf>
    <xf numFmtId="164" fontId="0" fillId="0" borderId="0" xfId="0" applyFont="false" applyBorder="false" applyAlignment="true" applyProtection="true">
      <alignment horizontal="left" vertical="bottom" textRotation="0" wrapText="false" indent="0" shrinkToFit="false"/>
      <protection locked="false" hidden="false"/>
    </xf>
    <xf numFmtId="164" fontId="0" fillId="0" borderId="0" xfId="0" applyFont="false" applyBorder="false" applyAlignment="true" applyProtection="false">
      <alignment horizontal="right"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true" indent="0" shrinkToFit="false"/>
      <protection locked="true" hidden="false"/>
    </xf>
    <xf numFmtId="164" fontId="51" fillId="18" borderId="16" xfId="0" applyFont="true" applyBorder="true" applyAlignment="true" applyProtection="false">
      <alignment horizontal="left" vertical="bottom" textRotation="0" wrapText="false" indent="1" shrinkToFit="false"/>
      <protection locked="true" hidden="false"/>
    </xf>
    <xf numFmtId="196" fontId="51" fillId="18" borderId="16" xfId="0" applyFont="true" applyBorder="true" applyAlignment="true" applyProtection="false">
      <alignment horizontal="left" vertical="bottom" textRotation="0" wrapText="false" indent="0" shrinkToFit="false"/>
      <protection locked="true" hidden="false"/>
    </xf>
    <xf numFmtId="178" fontId="51" fillId="18" borderId="16" xfId="0" applyFont="true" applyBorder="true" applyAlignment="true" applyProtection="false">
      <alignment horizontal="left" vertical="bottom" textRotation="0" wrapText="false" indent="1" shrinkToFit="false"/>
      <protection locked="true" hidden="false"/>
    </xf>
    <xf numFmtId="178" fontId="52" fillId="18" borderId="0" xfId="0" applyFont="true" applyBorder="false" applyAlignment="true" applyProtection="false">
      <alignment horizontal="general" vertical="bottom" textRotation="0" wrapText="false" indent="0" shrinkToFit="false"/>
      <protection locked="true" hidden="false"/>
    </xf>
    <xf numFmtId="186" fontId="52" fillId="18" borderId="0" xfId="0" applyFont="true" applyBorder="false" applyAlignment="true" applyProtection="false">
      <alignment horizontal="general" vertical="bottom" textRotation="0" wrapText="false" indent="0" shrinkToFit="false"/>
      <protection locked="true" hidden="false"/>
    </xf>
    <xf numFmtId="164" fontId="52" fillId="18" borderId="0" xfId="0" applyFont="true" applyBorder="false" applyAlignment="true" applyProtection="false">
      <alignment horizontal="general" vertical="bottom" textRotation="0" wrapText="false" indent="0" shrinkToFit="false"/>
      <protection locked="true" hidden="false"/>
    </xf>
    <xf numFmtId="164" fontId="53" fillId="18" borderId="0" xfId="0" applyFont="true" applyBorder="false" applyAlignment="true" applyProtection="false">
      <alignment horizontal="general" vertical="bottom" textRotation="0" wrapText="false" indent="0" shrinkToFit="false"/>
      <protection locked="true" hidden="false"/>
    </xf>
    <xf numFmtId="164" fontId="36" fillId="0" borderId="0" xfId="0" applyFont="true" applyBorder="false" applyAlignment="true" applyProtection="false">
      <alignment horizontal="general" vertical="center" textRotation="0" wrapText="false" indent="0" shrinkToFit="false"/>
      <protection locked="true" hidden="false"/>
    </xf>
    <xf numFmtId="164" fontId="0" fillId="22" borderId="0" xfId="0" applyFont="false" applyBorder="false" applyAlignment="true" applyProtection="false">
      <alignment horizontal="general" vertical="bottom" textRotation="0" wrapText="false" indent="0" shrinkToFit="false"/>
      <protection locked="true" hidden="false"/>
    </xf>
    <xf numFmtId="164" fontId="44" fillId="9" borderId="0" xfId="0" applyFont="true" applyBorder="false" applyAlignment="true" applyProtection="false">
      <alignment horizontal="center" vertical="center" textRotation="0" wrapText="false" indent="0" shrinkToFit="false"/>
      <protection locked="true" hidden="false"/>
    </xf>
    <xf numFmtId="164" fontId="16" fillId="6" borderId="1" xfId="0" applyFont="true" applyBorder="true" applyAlignment="true" applyProtection="false">
      <alignment horizontal="right" vertical="center" textRotation="0" wrapText="true" indent="0" shrinkToFit="false"/>
      <protection locked="true" hidden="false"/>
    </xf>
    <xf numFmtId="190" fontId="16" fillId="6" borderId="1" xfId="0" applyFont="true" applyBorder="true" applyAlignment="true" applyProtection="false">
      <alignment horizontal="right" vertical="center" textRotation="0" wrapText="false" indent="0" shrinkToFit="false"/>
      <protection locked="true" hidden="false"/>
    </xf>
    <xf numFmtId="169" fontId="16" fillId="5" borderId="0" xfId="0" applyFont="true" applyBorder="false" applyAlignment="true" applyProtection="false">
      <alignment horizontal="right" vertical="center" textRotation="0" wrapText="false" indent="0" shrinkToFit="false"/>
      <protection locked="true" hidden="false"/>
    </xf>
    <xf numFmtId="169" fontId="16" fillId="6" borderId="0" xfId="0" applyFont="true" applyBorder="false" applyAlignment="true" applyProtection="false">
      <alignment horizontal="right" vertical="center" textRotation="0" wrapText="false" indent="0" shrinkToFit="false"/>
      <protection locked="true" hidden="false"/>
    </xf>
    <xf numFmtId="164" fontId="16" fillId="10" borderId="2" xfId="0" applyFont="true" applyBorder="true" applyAlignment="true" applyProtection="false">
      <alignment horizontal="general" vertical="center" textRotation="0" wrapText="false" indent="0" shrinkToFit="false"/>
      <protection locked="true" hidden="false"/>
    </xf>
    <xf numFmtId="164" fontId="25" fillId="9" borderId="0" xfId="0" applyFont="true" applyBorder="true" applyAlignment="true" applyProtection="false">
      <alignment horizontal="general" vertical="center" textRotation="0" wrapText="false" indent="0" shrinkToFit="false"/>
      <protection locked="true" hidden="false"/>
    </xf>
    <xf numFmtId="174" fontId="16" fillId="6" borderId="1" xfId="0" applyFont="true" applyBorder="true" applyAlignment="true" applyProtection="false">
      <alignment horizontal="right" vertical="center" textRotation="0" wrapText="false" indent="0" shrinkToFit="false"/>
      <protection locked="true" hidden="false"/>
    </xf>
    <xf numFmtId="171" fontId="16" fillId="5" borderId="1" xfId="0" applyFont="true" applyBorder="true" applyAlignment="true" applyProtection="false">
      <alignment horizontal="right" vertical="center" textRotation="0" wrapText="false" indent="0" shrinkToFit="false"/>
      <protection locked="true" hidden="false"/>
    </xf>
    <xf numFmtId="166" fontId="16" fillId="5" borderId="1" xfId="0" applyFont="true" applyBorder="true" applyAlignment="true" applyProtection="false">
      <alignment horizontal="left" vertical="center" textRotation="0" wrapText="true" indent="0" shrinkToFit="false"/>
      <protection locked="true" hidden="false"/>
    </xf>
    <xf numFmtId="190" fontId="16" fillId="5" borderId="1" xfId="0" applyFont="true" applyBorder="true" applyAlignment="true" applyProtection="false">
      <alignment horizontal="right" vertical="center" textRotation="0" wrapText="false" indent="0" shrinkToFit="false"/>
      <protection locked="true" hidden="false"/>
    </xf>
    <xf numFmtId="197" fontId="16" fillId="6" borderId="1" xfId="0" applyFont="true" applyBorder="true" applyAlignment="true" applyProtection="false">
      <alignment horizontal="left" vertical="center" textRotation="0" wrapText="false" indent="0" shrinkToFit="false"/>
      <protection locked="true" hidden="false"/>
    </xf>
    <xf numFmtId="171" fontId="16" fillId="6" borderId="1" xfId="0" applyFont="true" applyBorder="true" applyAlignment="true" applyProtection="false">
      <alignment horizontal="right" vertical="center" textRotation="0" wrapText="false" indent="0" shrinkToFit="false"/>
      <protection locked="true" hidden="false"/>
    </xf>
    <xf numFmtId="179" fontId="16" fillId="5" borderId="1" xfId="0" applyFont="true" applyBorder="true" applyAlignment="true" applyProtection="false">
      <alignment horizontal="right" vertical="center" textRotation="0" wrapText="false" indent="0" shrinkToFit="false"/>
      <protection locked="true" hidden="false"/>
    </xf>
    <xf numFmtId="179" fontId="16" fillId="6" borderId="1" xfId="0" applyFont="true" applyBorder="true" applyAlignment="true" applyProtection="false">
      <alignment horizontal="right" vertical="center" textRotation="0" wrapText="false" indent="0" shrinkToFit="false"/>
      <protection locked="true" hidden="false"/>
    </xf>
    <xf numFmtId="174" fontId="16" fillId="5" borderId="1" xfId="0" applyFont="true" applyBorder="true" applyAlignment="true" applyProtection="false">
      <alignment horizontal="right" vertical="center" textRotation="0" wrapText="false" indent="0" shrinkToFit="false"/>
      <protection locked="true" hidden="false"/>
    </xf>
    <xf numFmtId="164" fontId="54" fillId="7" borderId="0" xfId="0" applyFont="true" applyBorder="true" applyAlignment="true" applyProtection="false">
      <alignment horizontal="center" vertical="center" textRotation="0" wrapText="false" indent="0" shrinkToFit="false"/>
      <protection locked="true" hidden="false"/>
    </xf>
    <xf numFmtId="164" fontId="55" fillId="0" borderId="0" xfId="0" applyFont="true" applyBorder="true" applyAlignment="true" applyProtection="false">
      <alignment horizontal="left" vertical="top" textRotation="0" wrapText="true" indent="0" shrinkToFit="false"/>
      <protection locked="true" hidden="false"/>
    </xf>
    <xf numFmtId="164" fontId="20" fillId="9" borderId="0" xfId="0" applyFont="true" applyBorder="false" applyAlignment="true" applyProtection="false">
      <alignment horizontal="left" vertical="center" textRotation="0" wrapText="true" indent="0" shrinkToFit="false"/>
      <protection locked="true" hidden="false"/>
    </xf>
    <xf numFmtId="164" fontId="20" fillId="9" borderId="0" xfId="0" applyFont="true" applyBorder="false" applyAlignment="true" applyProtection="false">
      <alignment horizontal="center" vertical="center" textRotation="0" wrapText="true" indent="0" shrinkToFit="false"/>
      <protection locked="true" hidden="false"/>
    </xf>
    <xf numFmtId="164" fontId="20" fillId="9" borderId="0" xfId="0" applyFont="true" applyBorder="false" applyAlignment="true" applyProtection="false">
      <alignment horizontal="right" vertical="center" textRotation="0" wrapText="true" indent="0" shrinkToFit="false"/>
      <protection locked="true" hidden="false"/>
    </xf>
    <xf numFmtId="164" fontId="56" fillId="9" borderId="0" xfId="0" applyFont="true" applyBorder="false" applyAlignment="true" applyProtection="false">
      <alignment horizontal="center" vertical="center" textRotation="0" wrapText="false" indent="0" shrinkToFit="false"/>
      <protection locked="true" hidden="false"/>
    </xf>
    <xf numFmtId="164" fontId="19" fillId="0" borderId="1" xfId="0" applyFont="true" applyBorder="true" applyAlignment="true" applyProtection="false">
      <alignment horizontal="left" vertical="center" textRotation="0" wrapText="true" indent="0" shrinkToFit="false"/>
      <protection locked="true" hidden="false"/>
    </xf>
    <xf numFmtId="164" fontId="19" fillId="0" borderId="1" xfId="0" applyFont="true" applyBorder="true" applyAlignment="true" applyProtection="false">
      <alignment horizontal="left" vertical="center" textRotation="0" wrapText="false" indent="0" shrinkToFit="false"/>
      <protection locked="true" hidden="false"/>
    </xf>
    <xf numFmtId="164" fontId="18" fillId="6" borderId="1" xfId="0" applyFont="true" applyBorder="true" applyAlignment="true" applyProtection="false">
      <alignment horizontal="center" vertical="center" textRotation="0" wrapText="false" indent="0" shrinkToFit="false"/>
      <protection locked="true" hidden="false"/>
    </xf>
    <xf numFmtId="198" fontId="19" fillId="0" borderId="1" xfId="0" applyFont="true" applyBorder="true" applyAlignment="true" applyProtection="false">
      <alignment horizontal="right" vertical="center" textRotation="0" wrapText="false" indent="0" shrinkToFit="false"/>
      <protection locked="true" hidden="false"/>
    </xf>
    <xf numFmtId="199" fontId="19" fillId="0" borderId="1" xfId="0" applyFont="true" applyBorder="true" applyAlignment="true" applyProtection="false">
      <alignment horizontal="right" vertical="center" textRotation="0" wrapText="false" indent="0" shrinkToFit="false"/>
      <protection locked="true" hidden="false"/>
    </xf>
    <xf numFmtId="200" fontId="19" fillId="0" borderId="1" xfId="0" applyFont="true" applyBorder="true" applyAlignment="true" applyProtection="false">
      <alignment horizontal="right" vertical="center" textRotation="0" wrapText="false" indent="0" shrinkToFit="false"/>
      <protection locked="true" hidden="false"/>
    </xf>
    <xf numFmtId="199" fontId="18" fillId="5" borderId="1" xfId="0" applyFont="true" applyBorder="true" applyAlignment="true" applyProtection="false">
      <alignment horizontal="right" vertical="center" textRotation="0" wrapText="false" indent="0" shrinkToFit="false"/>
      <protection locked="true" hidden="false"/>
    </xf>
    <xf numFmtId="190" fontId="19" fillId="0" borderId="1" xfId="0" applyFont="true" applyBorder="true" applyAlignment="true" applyProtection="false">
      <alignment horizontal="center" vertical="center" textRotation="0" wrapText="false" indent="0" shrinkToFit="false"/>
      <protection locked="true" hidden="false"/>
    </xf>
    <xf numFmtId="164" fontId="57" fillId="0" borderId="1" xfId="0" applyFont="true" applyBorder="true" applyAlignment="true" applyProtection="false">
      <alignment horizontal="left" vertical="center" textRotation="0" wrapText="true" indent="0" shrinkToFit="false"/>
      <protection locked="true" hidden="false"/>
    </xf>
    <xf numFmtId="199" fontId="58" fillId="0" borderId="1" xfId="0" applyFont="true" applyBorder="true" applyAlignment="true" applyProtection="false">
      <alignment horizontal="right" vertical="center" textRotation="0" wrapText="false" indent="0" shrinkToFit="false"/>
      <protection locked="true" hidden="false"/>
    </xf>
    <xf numFmtId="164" fontId="20" fillId="9" borderId="0" xfId="0" applyFont="true" applyBorder="false" applyAlignment="true" applyProtection="false">
      <alignment horizontal="left" vertical="center" textRotation="0" wrapText="false" indent="0" shrinkToFit="false"/>
      <protection locked="true" hidden="false"/>
    </xf>
    <xf numFmtId="164" fontId="20" fillId="9" borderId="0" xfId="0" applyFont="true" applyBorder="false" applyAlignment="true" applyProtection="false">
      <alignment horizontal="right" vertical="center" textRotation="0" wrapText="false" indent="0" shrinkToFit="false"/>
      <protection locked="true" hidden="false"/>
    </xf>
    <xf numFmtId="164" fontId="19" fillId="0" borderId="1" xfId="0" applyFont="true" applyBorder="true" applyAlignment="true" applyProtection="false">
      <alignment horizontal="general" vertical="center" textRotation="0" wrapText="false" indent="0" shrinkToFit="false"/>
      <protection locked="true" hidden="false"/>
    </xf>
    <xf numFmtId="200" fontId="19" fillId="5" borderId="1" xfId="0" applyFont="true" applyBorder="true" applyAlignment="true" applyProtection="false">
      <alignment horizontal="right" vertical="center" textRotation="0" wrapText="false" indent="0" shrinkToFit="false"/>
      <protection locked="true" hidden="false"/>
    </xf>
    <xf numFmtId="164" fontId="18" fillId="10" borderId="2" xfId="0" applyFont="true" applyBorder="true" applyAlignment="true" applyProtection="false">
      <alignment horizontal="left" vertical="center" textRotation="0" wrapText="false" indent="0" shrinkToFit="false"/>
      <protection locked="true" hidden="false"/>
    </xf>
    <xf numFmtId="164" fontId="19" fillId="10" borderId="2" xfId="0" applyFont="true" applyBorder="true" applyAlignment="true" applyProtection="false">
      <alignment horizontal="general" vertical="center" textRotation="0" wrapText="false" indent="0" shrinkToFit="false"/>
      <protection locked="true" hidden="false"/>
    </xf>
    <xf numFmtId="199" fontId="18" fillId="10" borderId="2" xfId="0" applyFont="true" applyBorder="true" applyAlignment="true" applyProtection="false">
      <alignment horizontal="right" vertical="center" textRotation="0" wrapText="false" indent="0" shrinkToFit="false"/>
      <protection locked="true" hidden="false"/>
    </xf>
    <xf numFmtId="200" fontId="18" fillId="10" borderId="2" xfId="0" applyFont="true" applyBorder="true" applyAlignment="true" applyProtection="false">
      <alignment horizontal="right" vertical="center" textRotation="0" wrapText="false" indent="0" shrinkToFit="false"/>
      <protection locked="true" hidden="false"/>
    </xf>
    <xf numFmtId="164" fontId="57" fillId="10" borderId="2" xfId="0" applyFont="true" applyBorder="true" applyAlignment="true" applyProtection="false">
      <alignment horizontal="left" vertical="center" textRotation="0" wrapText="true" indent="0" shrinkToFit="false"/>
      <protection locked="true" hidden="false"/>
    </xf>
    <xf numFmtId="164" fontId="18" fillId="0" borderId="1" xfId="0" applyFont="true" applyBorder="true" applyAlignment="true" applyProtection="false">
      <alignment horizontal="left" vertical="center" textRotation="0" wrapText="false" indent="0" shrinkToFit="false"/>
      <protection locked="true" hidden="false"/>
    </xf>
    <xf numFmtId="166" fontId="18" fillId="5" borderId="1" xfId="0" applyFont="true" applyBorder="true" applyAlignment="true" applyProtection="false">
      <alignment horizontal="right" vertical="center" textRotation="0" wrapText="false" indent="0" shrinkToFit="false"/>
      <protection locked="true" hidden="false"/>
    </xf>
    <xf numFmtId="198" fontId="19" fillId="5" borderId="1" xfId="0" applyFont="true" applyBorder="true" applyAlignment="true" applyProtection="false">
      <alignment horizontal="right" vertical="center" textRotation="0" wrapText="false" indent="0" shrinkToFit="false"/>
      <protection locked="true" hidden="false"/>
    </xf>
    <xf numFmtId="199" fontId="18" fillId="6" borderId="1" xfId="0" applyFont="true" applyBorder="true" applyAlignment="true" applyProtection="false">
      <alignment horizontal="right" vertical="center" textRotation="0" wrapText="false" indent="0" shrinkToFit="false"/>
      <protection locked="true" hidden="false"/>
    </xf>
    <xf numFmtId="164" fontId="13" fillId="7" borderId="0" xfId="0" applyFont="true" applyBorder="true" applyAlignment="true" applyProtection="false">
      <alignment horizontal="center" vertical="center" textRotation="0" wrapText="false" indent="0" shrinkToFit="false"/>
      <protection locked="true" hidden="false"/>
    </xf>
    <xf numFmtId="169" fontId="15" fillId="5" borderId="2" xfId="0" applyFont="true" applyBorder="true" applyAlignment="true" applyProtection="false">
      <alignment horizontal="right" vertical="center" textRotation="0" wrapText="false" indent="0" shrinkToFit="false"/>
      <protection locked="true" hidden="false"/>
    </xf>
    <xf numFmtId="164" fontId="16" fillId="0" borderId="2" xfId="0" applyFont="true" applyBorder="true" applyAlignment="true" applyProtection="false">
      <alignment horizontal="general" vertical="center" textRotation="0" wrapText="false" indent="0" shrinkToFit="false"/>
      <protection locked="true" hidden="false"/>
    </xf>
    <xf numFmtId="164" fontId="25" fillId="9" borderId="0" xfId="0" applyFont="true" applyBorder="false" applyAlignment="true" applyProtection="false">
      <alignment horizontal="right" vertical="center" textRotation="0" wrapText="false" indent="0" shrinkToFit="false"/>
      <protection locked="true" hidden="false"/>
    </xf>
    <xf numFmtId="164" fontId="25" fillId="9" borderId="0" xfId="0" applyFont="true" applyBorder="true" applyAlignment="true" applyProtection="false">
      <alignment horizontal="right" vertical="center" textRotation="0" wrapText="false" indent="0" shrinkToFit="false"/>
      <protection locked="true" hidden="false"/>
    </xf>
    <xf numFmtId="199" fontId="19" fillId="5" borderId="1" xfId="0" applyFont="true" applyBorder="true" applyAlignment="true" applyProtection="false">
      <alignment horizontal="right" vertical="center" textRotation="0" wrapText="false" indent="0" shrinkToFit="false"/>
      <protection locked="true" hidden="false"/>
    </xf>
    <xf numFmtId="169" fontId="15" fillId="10" borderId="2" xfId="0" applyFont="true" applyBorder="true" applyAlignment="true" applyProtection="false">
      <alignment horizontal="right" vertical="center" textRotation="0" wrapText="false" indent="0" shrinkToFit="false"/>
      <protection locked="true" hidden="false"/>
    </xf>
    <xf numFmtId="164" fontId="25" fillId="9" borderId="0" xfId="0" applyFont="true" applyBorder="true" applyAlignment="true" applyProtection="false">
      <alignment horizontal="left" vertical="center" textRotation="0" wrapText="false" indent="0" shrinkToFit="false"/>
      <protection locked="true" hidden="false"/>
    </xf>
    <xf numFmtId="164" fontId="25" fillId="9" borderId="0" xfId="0" applyFont="true" applyBorder="false" applyAlignment="true" applyProtection="false">
      <alignment horizontal="center" vertical="center" textRotation="0" wrapText="false" indent="0" shrinkToFit="false"/>
      <protection locked="true" hidden="false"/>
    </xf>
    <xf numFmtId="164" fontId="16" fillId="0" borderId="1" xfId="0" applyFont="true" applyBorder="true" applyAlignment="true" applyProtection="false">
      <alignment horizontal="general" vertical="center" textRotation="0" wrapText="false" indent="0" shrinkToFit="false"/>
      <protection locked="true" hidden="false"/>
    </xf>
    <xf numFmtId="173" fontId="16" fillId="5" borderId="1" xfId="0" applyFont="true" applyBorder="true" applyAlignment="true" applyProtection="false">
      <alignment horizontal="right" vertical="center" textRotation="0" wrapText="false" indent="0" shrinkToFit="false"/>
      <protection locked="true" hidden="false"/>
    </xf>
    <xf numFmtId="164" fontId="14" fillId="0" borderId="1" xfId="0" applyFont="true" applyBorder="true" applyAlignment="true" applyProtection="false">
      <alignment horizontal="center" vertical="center" textRotation="0" wrapText="false" indent="0" shrinkToFit="false"/>
      <protection locked="true" hidden="false"/>
    </xf>
    <xf numFmtId="164" fontId="25" fillId="9" borderId="0" xfId="0" applyFont="true" applyBorder="false" applyAlignment="true" applyProtection="false">
      <alignment horizontal="right" vertical="center" textRotation="0" wrapText="true" indent="0" shrinkToFit="false"/>
      <protection locked="true" hidden="false"/>
    </xf>
    <xf numFmtId="174" fontId="15" fillId="6" borderId="2" xfId="0" applyFont="true" applyBorder="true" applyAlignment="true" applyProtection="false">
      <alignment horizontal="right" vertical="center" textRotation="0" wrapText="false" indent="0" shrinkToFit="false"/>
      <protection locked="true" hidden="false"/>
    </xf>
    <xf numFmtId="164" fontId="15" fillId="8" borderId="2" xfId="0" applyFont="true" applyBorder="true" applyAlignment="true" applyProtection="false">
      <alignment horizontal="center" vertical="center" textRotation="0" wrapText="false" indent="0" shrinkToFit="false"/>
      <protection locked="true" hidden="false"/>
    </xf>
    <xf numFmtId="172" fontId="15" fillId="6" borderId="2" xfId="0" applyFont="true" applyBorder="true" applyAlignment="true" applyProtection="false">
      <alignment horizontal="right" vertical="center" textRotation="0" wrapText="false" indent="0" shrinkToFit="false"/>
      <protection locked="true" hidden="false"/>
    </xf>
    <xf numFmtId="166" fontId="19" fillId="0" borderId="1" xfId="0" applyFont="true" applyBorder="true" applyAlignment="true" applyProtection="false">
      <alignment horizontal="center" vertical="center" textRotation="0" wrapText="false" indent="0" shrinkToFit="false"/>
      <protection locked="true" hidden="false"/>
    </xf>
    <xf numFmtId="164" fontId="18" fillId="10" borderId="1" xfId="0" applyFont="true" applyBorder="true" applyAlignment="true" applyProtection="false">
      <alignment horizontal="left" vertical="center" textRotation="0" wrapText="false" indent="0" shrinkToFit="false"/>
      <protection locked="true" hidden="false"/>
    </xf>
    <xf numFmtId="164" fontId="19" fillId="10" borderId="1" xfId="0" applyFont="true" applyBorder="true" applyAlignment="true" applyProtection="false">
      <alignment horizontal="general" vertical="center" textRotation="0" wrapText="false" indent="0" shrinkToFit="false"/>
      <protection locked="true" hidden="false"/>
    </xf>
    <xf numFmtId="199" fontId="18" fillId="10" borderId="1" xfId="0" applyFont="true" applyBorder="true" applyAlignment="true" applyProtection="false">
      <alignment horizontal="right" vertical="center" textRotation="0" wrapText="false" indent="0" shrinkToFit="false"/>
      <protection locked="true" hidden="false"/>
    </xf>
    <xf numFmtId="164" fontId="55" fillId="0" borderId="1" xfId="0" applyFont="true" applyBorder="true" applyAlignment="true" applyProtection="false">
      <alignment horizontal="left" vertical="center" textRotation="0" wrapText="false" indent="0" shrinkToFit="false"/>
      <protection locked="true" hidden="false"/>
    </xf>
    <xf numFmtId="164" fontId="13" fillId="3" borderId="0" xfId="0" applyFont="true" applyBorder="true" applyAlignment="true" applyProtection="false">
      <alignment horizontal="center" vertical="center" textRotation="0" wrapText="false" indent="0" shrinkToFit="false"/>
      <protection locked="true" hidden="false"/>
    </xf>
    <xf numFmtId="174" fontId="15" fillId="10" borderId="2" xfId="0" applyFont="true" applyBorder="true" applyAlignment="true" applyProtection="false">
      <alignment horizontal="center" vertical="center" textRotation="0" wrapText="false" indent="0" shrinkToFit="false"/>
      <protection locked="true" hidden="false"/>
    </xf>
    <xf numFmtId="164" fontId="16" fillId="5" borderId="1" xfId="0" applyFont="true" applyBorder="true" applyAlignment="true" applyProtection="false">
      <alignment horizontal="general" vertical="center" textRotation="0" wrapText="false" indent="0" shrinkToFit="false"/>
      <protection locked="true" hidden="false"/>
    </xf>
    <xf numFmtId="164" fontId="16" fillId="6" borderId="1" xfId="0" applyFont="true" applyBorder="true" applyAlignment="true" applyProtection="false">
      <alignment horizontal="general" vertical="center" textRotation="0" wrapText="false" indent="0" shrinkToFit="false"/>
      <protection locked="true" hidden="false"/>
    </xf>
    <xf numFmtId="164" fontId="14" fillId="6" borderId="1" xfId="0" applyFont="true" applyBorder="true" applyAlignment="true" applyProtection="false">
      <alignment horizontal="left" vertical="center" textRotation="0" wrapText="false" indent="0" shrinkToFit="false"/>
      <protection locked="true" hidden="false"/>
    </xf>
    <xf numFmtId="201" fontId="9" fillId="0" borderId="0" xfId="0" applyFont="true" applyBorder="false" applyAlignment="tru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right" vertical="bottom" textRotation="0" wrapText="false" indent="0" shrinkToFit="false"/>
      <protection locked="true" hidden="false"/>
    </xf>
    <xf numFmtId="164" fontId="44" fillId="3" borderId="0" xfId="0" applyFont="true" applyBorder="false" applyAlignment="true" applyProtection="false">
      <alignment horizontal="center" vertical="center" textRotation="0" wrapText="true" indent="0" shrinkToFit="false"/>
      <protection locked="true" hidden="false"/>
    </xf>
    <xf numFmtId="201" fontId="44" fillId="3" borderId="0" xfId="0" applyFont="true" applyBorder="false" applyAlignment="true" applyProtection="false">
      <alignment horizontal="center" vertical="center" textRotation="0" wrapText="true" indent="0" shrinkToFit="false"/>
      <protection locked="true" hidden="false"/>
    </xf>
    <xf numFmtId="164" fontId="44" fillId="3" borderId="0" xfId="0" applyFont="true" applyBorder="false" applyAlignment="true" applyProtection="false">
      <alignment horizontal="center" vertical="top" textRotation="0" wrapText="true" indent="0" shrinkToFit="false"/>
      <protection locked="true" hidden="false"/>
    </xf>
    <xf numFmtId="164" fontId="25" fillId="3" borderId="0" xfId="0" applyFont="true" applyBorder="false" applyAlignment="true" applyProtection="false">
      <alignment horizontal="center" vertical="bottom" textRotation="0" wrapText="true" indent="0" shrinkToFit="false"/>
      <protection locked="true" hidden="false"/>
    </xf>
    <xf numFmtId="183" fontId="9" fillId="0" borderId="0" xfId="0" applyFont="true" applyBorder="false" applyAlignment="tru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left" vertical="bottom" textRotation="0" wrapText="false" indent="0" shrinkToFit="false"/>
      <protection locked="true" hidden="false"/>
    </xf>
    <xf numFmtId="164" fontId="59" fillId="0" borderId="0" xfId="0" applyFont="true" applyBorder="false" applyAlignment="true" applyProtection="true">
      <alignment horizontal="general" vertical="bottom" textRotation="0" wrapText="false" indent="0" shrinkToFit="false"/>
      <protection locked="false" hidden="false"/>
    </xf>
    <xf numFmtId="202" fontId="0" fillId="0" borderId="0" xfId="0" applyFont="false" applyBorder="false" applyAlignment="true" applyProtection="false">
      <alignment horizontal="general" vertical="bottom" textRotation="0" wrapText="false" indent="0" shrinkToFit="false"/>
      <protection locked="true" hidden="false"/>
    </xf>
    <xf numFmtId="203" fontId="0" fillId="0" borderId="0" xfId="0" applyFont="false" applyBorder="false" applyAlignment="true" applyProtection="false">
      <alignment horizontal="general" vertical="bottom" textRotation="0" wrapText="false" indent="0" shrinkToFit="false"/>
      <protection locked="true" hidden="false"/>
    </xf>
    <xf numFmtId="164" fontId="60" fillId="0" borderId="0" xfId="0" applyFont="true" applyBorder="false" applyAlignment="true" applyProtection="true">
      <alignment horizontal="general" vertical="bottom" textRotation="0" wrapText="false" indent="0" shrinkToFit="false"/>
      <protection locked="false" hidden="false"/>
    </xf>
    <xf numFmtId="204" fontId="0" fillId="0" borderId="0" xfId="0" applyFont="false" applyBorder="false" applyAlignment="true" applyProtection="false">
      <alignment horizontal="general" vertical="bottom" textRotation="0" wrapText="false" indent="0" shrinkToFit="false"/>
      <protection locked="true" hidden="false"/>
    </xf>
    <xf numFmtId="171" fontId="0" fillId="0" borderId="0" xfId="0" applyFont="false" applyBorder="false" applyAlignment="true" applyProtection="false">
      <alignment horizontal="general" vertical="bottom" textRotation="0" wrapText="false" indent="0" shrinkToFit="false"/>
      <protection locked="true" hidden="false"/>
    </xf>
    <xf numFmtId="166" fontId="9" fillId="0" borderId="0" xfId="0" applyFont="true" applyBorder="false" applyAlignment="true" applyProtection="false">
      <alignment horizontal="general" vertical="bottom" textRotation="0" wrapText="false" indent="0" shrinkToFit="false"/>
      <protection locked="true" hidden="false"/>
    </xf>
    <xf numFmtId="205" fontId="9" fillId="0" borderId="0" xfId="0" applyFont="true" applyBorder="false" applyAlignment="true" applyProtection="false">
      <alignment horizontal="right" vertical="bottom" textRotation="0" wrapText="false" indent="0" shrinkToFit="false"/>
      <protection locked="true" hidden="false"/>
    </xf>
    <xf numFmtId="178" fontId="9" fillId="0" borderId="0" xfId="0" applyFont="true" applyBorder="false" applyAlignment="true" applyProtection="false">
      <alignment horizontal="general" vertical="bottom" textRotation="0" wrapText="false" indent="0" shrinkToFit="false"/>
      <protection locked="true" hidden="false"/>
    </xf>
    <xf numFmtId="164" fontId="44" fillId="3" borderId="22" xfId="0" applyFont="true" applyBorder="true" applyAlignment="true" applyProtection="false">
      <alignment horizontal="center" vertical="center" textRotation="0" wrapText="true" indent="0" shrinkToFit="false"/>
      <protection locked="true" hidden="false"/>
    </xf>
    <xf numFmtId="166" fontId="44" fillId="3" borderId="22" xfId="0" applyFont="true" applyBorder="true" applyAlignment="true" applyProtection="false">
      <alignment horizontal="center" vertical="center" textRotation="0" wrapText="true" indent="0" shrinkToFit="false"/>
      <protection locked="true" hidden="false"/>
    </xf>
    <xf numFmtId="205" fontId="44" fillId="3" borderId="22" xfId="0" applyFont="true" applyBorder="true" applyAlignment="true" applyProtection="false">
      <alignment horizontal="center" vertical="center" textRotation="0" wrapText="true" indent="0" shrinkToFit="false"/>
      <protection locked="true" hidden="false"/>
    </xf>
    <xf numFmtId="178" fontId="44" fillId="3" borderId="22" xfId="0" applyFont="true" applyBorder="true" applyAlignment="true" applyProtection="false">
      <alignment horizontal="center" vertical="center" textRotation="0" wrapText="true" indent="0" shrinkToFit="false"/>
      <protection locked="true" hidden="false"/>
    </xf>
    <xf numFmtId="164" fontId="44" fillId="3" borderId="22" xfId="0" applyFont="true" applyBorder="true" applyAlignment="true" applyProtection="false">
      <alignment horizontal="center" vertical="top" textRotation="0" wrapText="true" indent="0" shrinkToFit="false"/>
      <protection locked="true" hidden="false"/>
    </xf>
    <xf numFmtId="178" fontId="10" fillId="0" borderId="0" xfId="0" applyFont="true" applyBorder="false" applyAlignment="true" applyProtection="false">
      <alignment horizontal="center" vertical="bottom" textRotation="0" wrapText="false" indent="0" shrinkToFit="false"/>
      <protection locked="true" hidden="false"/>
    </xf>
    <xf numFmtId="164" fontId="10" fillId="0" borderId="0" xfId="0" applyFont="true" applyBorder="false" applyAlignment="true" applyProtection="false">
      <alignment horizontal="center" vertical="bottom" textRotation="0" wrapText="false" indent="0" shrinkToFit="false"/>
      <protection locked="true" hidden="false"/>
    </xf>
    <xf numFmtId="184" fontId="9" fillId="0" borderId="0" xfId="0" applyFont="true" applyBorder="false" applyAlignment="true" applyProtection="false">
      <alignment horizontal="general" vertical="bottom" textRotation="0" wrapText="false" indent="0" shrinkToFit="false"/>
      <protection locked="true" hidden="false"/>
    </xf>
    <xf numFmtId="178" fontId="9" fillId="0" borderId="0" xfId="29" applyFont="true" applyBorder="false" applyAlignment="true" applyProtection="false">
      <alignment horizontal="general" vertical="bottom" textRotation="0" wrapText="false" indent="0" shrinkToFit="false"/>
      <protection locked="true" hidden="false"/>
    </xf>
    <xf numFmtId="164" fontId="60" fillId="0" borderId="0" xfId="0" applyFont="true" applyBorder="false" applyAlignment="tru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center" vertical="bottom" textRotation="0" wrapText="false" indent="0" shrinkToFit="false"/>
      <protection locked="true" hidden="false"/>
    </xf>
    <xf numFmtId="206" fontId="9" fillId="0" borderId="0" xfId="29" applyFont="true" applyBorder="false" applyAlignment="tru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general" vertical="top" textRotation="0" wrapText="true" indent="0" shrinkToFit="false"/>
      <protection locked="true" hidden="false"/>
    </xf>
    <xf numFmtId="205" fontId="9" fillId="0" borderId="0" xfId="0" applyFont="true" applyBorder="false" applyAlignment="true" applyProtection="false">
      <alignment horizontal="general" vertical="bottom" textRotation="0" wrapText="false" indent="0" shrinkToFit="false"/>
      <protection locked="true" hidden="false"/>
    </xf>
    <xf numFmtId="167" fontId="9" fillId="0" borderId="0" xfId="0" applyFont="true" applyBorder="false" applyAlignment="true" applyProtection="false">
      <alignment horizontal="center" vertical="bottom" textRotation="0" wrapText="false" indent="0" shrinkToFit="false"/>
      <protection locked="true" hidden="false"/>
    </xf>
    <xf numFmtId="180" fontId="9" fillId="0" borderId="0" xfId="0" applyFont="true" applyBorder="false" applyAlignment="true" applyProtection="false">
      <alignment horizontal="right" vertical="bottom" textRotation="0" wrapText="false" indent="0" shrinkToFit="false"/>
      <protection locked="true" hidden="false"/>
    </xf>
    <xf numFmtId="179" fontId="9" fillId="0" borderId="0" xfId="0" applyFont="true" applyBorder="false" applyAlignment="true" applyProtection="false">
      <alignment horizontal="right" vertical="bottom" textRotation="0" wrapText="false" indent="0" shrinkToFit="false"/>
      <protection locked="true" hidden="false"/>
    </xf>
    <xf numFmtId="164" fontId="61" fillId="0" borderId="0" xfId="0" applyFont="true" applyBorder="false" applyAlignment="true" applyProtection="false">
      <alignment horizontal="right" vertical="bottom" textRotation="0" wrapText="false" indent="0" shrinkToFit="false"/>
      <protection locked="true" hidden="false"/>
    </xf>
    <xf numFmtId="180" fontId="9" fillId="0" borderId="0" xfId="0" applyFont="true" applyBorder="false" applyAlignment="true" applyProtection="false">
      <alignment horizontal="general" vertical="top" textRotation="0" wrapText="true" indent="0" shrinkToFit="false"/>
      <protection locked="true" hidden="false"/>
    </xf>
    <xf numFmtId="167" fontId="9" fillId="0" borderId="0" xfId="0" applyFont="true" applyBorder="false" applyAlignment="true" applyProtection="false">
      <alignment horizontal="right" vertical="bottom" textRotation="0" wrapText="false" indent="0" shrinkToFit="false"/>
      <protection locked="true" hidden="false"/>
    </xf>
    <xf numFmtId="201" fontId="9" fillId="0" borderId="0" xfId="0" applyFont="true" applyBorder="false" applyAlignment="true" applyProtection="false">
      <alignment horizontal="center" vertical="bottom" textRotation="0" wrapText="false" indent="0" shrinkToFit="false"/>
      <protection locked="true" hidden="false"/>
    </xf>
    <xf numFmtId="195" fontId="9" fillId="0" borderId="0" xfId="0" applyFont="true" applyBorder="false" applyAlignment="true" applyProtection="false">
      <alignment horizontal="general" vertical="bottom" textRotation="0" wrapText="false" indent="0" shrinkToFit="false"/>
      <protection locked="true" hidden="false"/>
    </xf>
    <xf numFmtId="164" fontId="62" fillId="0" borderId="0" xfId="0" applyFont="true" applyBorder="false" applyAlignment="true" applyProtection="false">
      <alignment horizontal="general" vertical="bottom" textRotation="0" wrapText="false" indent="0" shrinkToFit="false"/>
      <protection locked="true" hidden="false"/>
    </xf>
    <xf numFmtId="164" fontId="63" fillId="0" borderId="0" xfId="0" applyFont="true" applyBorder="false" applyAlignment="true" applyProtection="false">
      <alignment horizontal="left" vertical="bottom" textRotation="0" wrapText="false" indent="0" shrinkToFit="false"/>
      <protection locked="true" hidden="false"/>
    </xf>
    <xf numFmtId="192" fontId="0" fillId="0" borderId="0" xfId="0" applyFont="false" applyBorder="false" applyAlignment="true" applyProtection="false">
      <alignment horizontal="general" vertical="bottom" textRotation="0" wrapText="false" indent="0" shrinkToFit="false"/>
      <protection locked="true" hidden="false"/>
    </xf>
    <xf numFmtId="164" fontId="63" fillId="0" borderId="0" xfId="0" applyFont="true" applyBorder="false" applyAlignment="true" applyProtection="false">
      <alignment horizontal="center" vertical="bottom" textRotation="0" wrapText="false" indent="0" shrinkToFit="false"/>
      <protection locked="true" hidden="false"/>
    </xf>
    <xf numFmtId="207" fontId="0" fillId="0" borderId="0" xfId="0" applyFont="false" applyBorder="false" applyAlignment="true" applyProtection="false">
      <alignment horizontal="general" vertical="bottom" textRotation="0" wrapText="false" indent="0" shrinkToFit="false"/>
      <protection locked="true" hidden="false"/>
    </xf>
    <xf numFmtId="164" fontId="10" fillId="0" borderId="0" xfId="0" applyFont="true" applyBorder="false" applyAlignment="true" applyProtection="false">
      <alignment horizontal="left" vertical="bottom" textRotation="0" wrapText="false" indent="0" shrinkToFit="false"/>
      <protection locked="true" hidden="false"/>
    </xf>
    <xf numFmtId="164" fontId="10" fillId="0" borderId="0" xfId="0" applyFont="true" applyBorder="false" applyAlignment="true" applyProtection="false">
      <alignment horizontal="general" vertical="bottom" textRotation="0" wrapText="false" indent="0" shrinkToFit="false"/>
      <protection locked="true" hidden="false"/>
    </xf>
    <xf numFmtId="164" fontId="63" fillId="0" borderId="0" xfId="0" applyFont="true" applyBorder="false" applyAlignment="true" applyProtection="false">
      <alignment horizontal="right" vertical="bottom" textRotation="0" wrapText="false" indent="0" shrinkToFit="false"/>
      <protection locked="true" hidden="false"/>
    </xf>
    <xf numFmtId="208" fontId="0" fillId="0" borderId="0" xfId="0" applyFont="false" applyBorder="false" applyAlignment="true" applyProtection="false">
      <alignment horizontal="general" vertical="bottom" textRotation="0" wrapText="false" indent="0" shrinkToFit="false"/>
      <protection locked="true" hidden="false"/>
    </xf>
    <xf numFmtId="184" fontId="0" fillId="0" borderId="0" xfId="0" applyFont="false" applyBorder="false" applyAlignment="true" applyProtection="false">
      <alignment horizontal="general" vertical="bottom" textRotation="0" wrapText="false" indent="0" shrinkToFit="false"/>
      <protection locked="true" hidden="false"/>
    </xf>
    <xf numFmtId="164" fontId="64" fillId="0" borderId="0" xfId="0" applyFont="true" applyBorder="false" applyAlignment="true" applyProtection="false">
      <alignment horizontal="right" vertical="bottom" textRotation="0" wrapText="false" indent="0" shrinkToFit="false"/>
      <protection locked="true" hidden="false"/>
    </xf>
    <xf numFmtId="164" fontId="64" fillId="0" borderId="0" xfId="0" applyFont="true" applyBorder="false" applyAlignment="true" applyProtection="false">
      <alignment horizontal="general" vertical="bottom" textRotation="0" wrapText="false" indent="0" shrinkToFit="false"/>
      <protection locked="true" hidden="false"/>
    </xf>
    <xf numFmtId="164" fontId="65" fillId="0" borderId="0" xfId="0" applyFont="true" applyBorder="false" applyAlignment="true" applyProtection="false">
      <alignment horizontal="general" vertical="bottom" textRotation="0" wrapText="false" indent="0" shrinkToFit="false"/>
      <protection locked="true" hidden="false"/>
    </xf>
    <xf numFmtId="164" fontId="62" fillId="0" borderId="0" xfId="0" applyFont="true" applyBorder="false" applyAlignment="true" applyProtection="false">
      <alignment horizontal="left" vertical="bottom" textRotation="0" wrapText="false" indent="0" shrinkToFit="false"/>
      <protection locked="true" hidden="false"/>
    </xf>
    <xf numFmtId="164" fontId="64" fillId="0" borderId="0" xfId="0" applyFont="true" applyBorder="false" applyAlignment="true" applyProtection="false">
      <alignment horizontal="left" vertical="bottom" textRotation="0" wrapText="false" indent="0" shrinkToFit="false"/>
      <protection locked="true" hidden="false"/>
    </xf>
    <xf numFmtId="164" fontId="0" fillId="0" borderId="21" xfId="0" applyFont="false" applyBorder="true" applyAlignment="true" applyProtection="false">
      <alignment horizontal="right" vertical="bottom" textRotation="0" wrapText="false" indent="0" shrinkToFit="false"/>
      <protection locked="true" hidden="false"/>
    </xf>
    <xf numFmtId="164" fontId="63" fillId="0" borderId="0" xfId="0" applyFont="true" applyBorder="false" applyAlignment="true" applyProtection="false">
      <alignment horizontal="general" vertical="bottom" textRotation="0" wrapText="false" indent="0" shrinkToFit="false"/>
      <protection locked="true" hidden="false"/>
    </xf>
    <xf numFmtId="208" fontId="29" fillId="0" borderId="0" xfId="0" applyFont="true" applyBorder="false" applyAlignment="true" applyProtection="false">
      <alignment horizontal="general" vertical="bottom" textRotation="0" wrapText="false" indent="0" shrinkToFit="false"/>
      <protection locked="true" hidden="false"/>
    </xf>
    <xf numFmtId="167" fontId="10" fillId="0" borderId="0" xfId="0" applyFont="true" applyBorder="false" applyAlignment="true" applyProtection="false">
      <alignment horizontal="left" vertical="bottom" textRotation="0" wrapText="false" indent="0" shrinkToFit="false"/>
      <protection locked="true" hidden="false"/>
    </xf>
    <xf numFmtId="184" fontId="29" fillId="0" borderId="0" xfId="0" applyFont="true" applyBorder="false" applyAlignment="true" applyProtection="false">
      <alignment horizontal="right" vertical="bottom" textRotation="0" wrapText="false" indent="0" shrinkToFit="false"/>
      <protection locked="true" hidden="false"/>
    </xf>
    <xf numFmtId="164" fontId="22" fillId="0" borderId="0" xfId="0" applyFont="true" applyBorder="false" applyAlignment="true" applyProtection="false">
      <alignment horizontal="general" vertical="top" textRotation="0" wrapText="true" indent="0" shrinkToFit="false"/>
      <protection locked="true" hidden="false"/>
    </xf>
    <xf numFmtId="164" fontId="25" fillId="3" borderId="0" xfId="0" applyFont="true" applyBorder="false" applyAlignment="true" applyProtection="false">
      <alignment horizontal="center" vertical="top" textRotation="0" wrapText="true" indent="0" shrinkToFit="false"/>
      <protection locked="true" hidden="false"/>
    </xf>
    <xf numFmtId="164" fontId="25" fillId="3" borderId="0" xfId="0" applyFont="true" applyBorder="false" applyAlignment="true" applyProtection="false">
      <alignment horizontal="center" vertical="bottom" textRotation="0" wrapText="false" indent="0" shrinkToFit="false"/>
      <protection locked="true" hidden="false"/>
    </xf>
    <xf numFmtId="164" fontId="46" fillId="0" borderId="0" xfId="0" applyFont="true" applyBorder="false" applyAlignment="true" applyProtection="false">
      <alignment horizontal="general" vertical="bottom" textRotation="0" wrapText="false" indent="0" shrinkToFit="false"/>
      <protection locked="true" hidden="false"/>
    </xf>
    <xf numFmtId="164" fontId="0" fillId="12" borderId="0" xfId="0" applyFont="false" applyBorder="false" applyAlignment="true" applyProtection="false">
      <alignment horizontal="general" vertical="bottom" textRotation="0" wrapText="false" indent="0" shrinkToFit="false"/>
      <protection locked="true" hidden="false"/>
    </xf>
    <xf numFmtId="164" fontId="48" fillId="13" borderId="0" xfId="0" applyFont="true" applyBorder="false" applyAlignment="true" applyProtection="false">
      <alignment horizontal="general" vertical="bottom" textRotation="0" wrapText="false" indent="0" shrinkToFit="false"/>
      <protection locked="true" hidden="false"/>
    </xf>
    <xf numFmtId="164" fontId="0" fillId="0" borderId="0" xfId="0" applyFont="false" applyBorder="true" applyAlignment="true" applyProtection="false">
      <alignment horizontal="general" vertical="top" textRotation="0" wrapText="true" indent="0" shrinkToFit="false"/>
      <protection locked="true" hidden="false"/>
    </xf>
    <xf numFmtId="164" fontId="26" fillId="0" borderId="23" xfId="0" applyFont="true" applyBorder="true" applyAlignment="true" applyProtection="false">
      <alignment horizontal="general" vertical="bottom" textRotation="0" wrapText="false" indent="0" shrinkToFit="false"/>
      <protection locked="true" hidden="false"/>
    </xf>
    <xf numFmtId="164" fontId="66" fillId="0" borderId="23" xfId="0" applyFont="true" applyBorder="true" applyAlignment="true" applyProtection="false">
      <alignment horizontal="general" vertical="bottom" textRotation="0" wrapText="false" indent="0" shrinkToFit="false"/>
      <protection locked="true" hidden="false"/>
    </xf>
    <xf numFmtId="164" fontId="24" fillId="0" borderId="0" xfId="0" applyFont="true" applyBorder="false" applyAlignment="true" applyProtection="false">
      <alignment horizontal="general" vertical="bottom" textRotation="0" wrapText="false" indent="0" shrinkToFit="false"/>
      <protection locked="true" hidden="false"/>
    </xf>
    <xf numFmtId="164" fontId="67" fillId="0" borderId="0" xfId="0" applyFont="true" applyBorder="false" applyAlignment="true" applyProtection="false">
      <alignment horizontal="general" vertical="bottom" textRotation="0" wrapText="false" indent="0" shrinkToFit="false"/>
      <protection locked="true" hidden="false"/>
    </xf>
    <xf numFmtId="164" fontId="0" fillId="0" borderId="23" xfId="0" applyFont="true" applyBorder="true" applyAlignment="true" applyProtection="false">
      <alignment horizontal="general" vertical="bottom" textRotation="0" wrapText="false" indent="0" shrinkToFit="false"/>
      <protection locked="true" hidden="false"/>
    </xf>
    <xf numFmtId="164" fontId="0" fillId="0" borderId="23" xfId="0" applyFont="true" applyBorder="true" applyAlignment="true" applyProtection="false">
      <alignment horizontal="general" vertical="top" textRotation="0" wrapText="true" indent="0" shrinkToFit="false"/>
      <protection locked="true" hidden="false"/>
    </xf>
    <xf numFmtId="164" fontId="68" fillId="3" borderId="0" xfId="0" applyFont="true" applyBorder="true" applyAlignment="true" applyProtection="false">
      <alignment horizontal="center" vertical="center" textRotation="0" wrapText="false" indent="0" shrinkToFit="false"/>
      <protection locked="true" hidden="false"/>
    </xf>
    <xf numFmtId="164" fontId="69" fillId="21" borderId="0" xfId="0" applyFont="true" applyBorder="true" applyAlignment="true" applyProtection="false">
      <alignment horizontal="center" vertical="center" textRotation="0" wrapText="false" indent="0" shrinkToFit="false"/>
      <protection locked="true" hidden="false"/>
    </xf>
    <xf numFmtId="164" fontId="70" fillId="21" borderId="24" xfId="0" applyFont="true" applyBorder="true" applyAlignment="true" applyProtection="false">
      <alignment horizontal="center" vertical="center" textRotation="0" wrapText="true" indent="0" shrinkToFit="false"/>
      <protection locked="true" hidden="false"/>
    </xf>
    <xf numFmtId="164" fontId="71" fillId="4" borderId="24" xfId="0" applyFont="true" applyBorder="true" applyAlignment="true" applyProtection="false">
      <alignment horizontal="center" vertical="center" textRotation="0" wrapText="false" indent="0" shrinkToFit="false"/>
      <protection locked="true" hidden="false"/>
    </xf>
    <xf numFmtId="164" fontId="70" fillId="21" borderId="24" xfId="0" applyFont="true" applyBorder="true" applyAlignment="true" applyProtection="false">
      <alignment horizontal="center" vertical="top" textRotation="0" wrapText="true" indent="0" shrinkToFit="false"/>
      <protection locked="true" hidden="false"/>
    </xf>
    <xf numFmtId="164" fontId="72" fillId="0" borderId="24" xfId="0" applyFont="true" applyBorder="true" applyAlignment="true" applyProtection="false">
      <alignment horizontal="general" vertical="top" textRotation="0" wrapText="true" indent="0" shrinkToFit="false"/>
      <protection locked="true" hidden="false"/>
    </xf>
    <xf numFmtId="164" fontId="36" fillId="0" borderId="24" xfId="0" applyFont="true" applyBorder="true" applyAlignment="true" applyProtection="false">
      <alignment horizontal="center" vertical="center" textRotation="0" wrapText="false" indent="0" shrinkToFit="false"/>
      <protection locked="true" hidden="false"/>
    </xf>
    <xf numFmtId="164" fontId="36" fillId="0" borderId="24" xfId="0" applyFont="true" applyBorder="true" applyAlignment="true" applyProtection="false">
      <alignment horizontal="left" vertical="center" textRotation="0" wrapText="false" indent="0" shrinkToFit="false"/>
      <protection locked="true" hidden="false"/>
    </xf>
    <xf numFmtId="178" fontId="72" fillId="0" borderId="24" xfId="0" applyFont="true" applyBorder="true" applyAlignment="true" applyProtection="false">
      <alignment horizontal="general" vertical="top" textRotation="0" wrapText="true" indent="0" shrinkToFit="false"/>
      <protection locked="true" hidden="false"/>
    </xf>
    <xf numFmtId="164" fontId="36" fillId="11" borderId="24" xfId="0" applyFont="true" applyBorder="true" applyAlignment="true" applyProtection="false">
      <alignment horizontal="general" vertical="bottom" textRotation="0" wrapText="false" indent="0" shrinkToFit="false"/>
      <protection locked="true" hidden="false"/>
    </xf>
    <xf numFmtId="164" fontId="36" fillId="11" borderId="24" xfId="0" applyFont="true" applyBorder="true" applyAlignment="true" applyProtection="false">
      <alignment horizontal="general" vertical="top" textRotation="0" wrapText="true" indent="0" shrinkToFit="false"/>
      <protection locked="true" hidden="false"/>
    </xf>
    <xf numFmtId="164" fontId="36" fillId="0" borderId="24" xfId="0" applyFont="true" applyBorder="true" applyAlignment="true" applyProtection="false">
      <alignment horizontal="general" vertical="bottom" textRotation="0" wrapText="false" indent="0" shrinkToFit="false"/>
      <protection locked="true" hidden="false"/>
    </xf>
    <xf numFmtId="164" fontId="36" fillId="0" borderId="24" xfId="0" applyFont="true" applyBorder="true" applyAlignment="true" applyProtection="false">
      <alignment horizontal="general" vertical="top" textRotation="0" wrapText="true" indent="0" shrinkToFit="false"/>
      <protection locked="true" hidden="false"/>
    </xf>
    <xf numFmtId="164" fontId="0" fillId="0" borderId="0" xfId="0" applyFont="true" applyBorder="false" applyAlignment="true" applyProtection="false">
      <alignment horizontal="general" vertical="bottom" textRotation="0" wrapText="false" indent="0" shrinkToFit="false"/>
      <protection locked="true" hidden="false"/>
    </xf>
    <xf numFmtId="164" fontId="73" fillId="3" borderId="0" xfId="0" applyFont="true" applyBorder="true" applyAlignment="true" applyProtection="false">
      <alignment horizontal="center" vertical="center" textRotation="0" wrapText="false" indent="0" shrinkToFit="false"/>
      <protection locked="true" hidden="false"/>
    </xf>
    <xf numFmtId="164" fontId="71" fillId="4" borderId="24" xfId="0" applyFont="true" applyBorder="true" applyAlignment="true" applyProtection="false">
      <alignment horizontal="center" vertical="bottom" textRotation="0" wrapText="false" indent="0" shrinkToFit="false"/>
      <protection locked="true" hidden="false"/>
    </xf>
    <xf numFmtId="164" fontId="72" fillId="0" borderId="24" xfId="0" applyFont="true" applyBorder="true" applyAlignment="true" applyProtection="false">
      <alignment horizontal="general" vertical="center" textRotation="0" wrapText="false" indent="0" shrinkToFit="false"/>
      <protection locked="true" hidden="false"/>
    </xf>
    <xf numFmtId="164" fontId="36" fillId="0" borderId="24" xfId="0" applyFont="true" applyBorder="true" applyAlignment="true" applyProtection="false">
      <alignment horizontal="left" vertical="bottom" textRotation="0" wrapText="false" indent="0" shrinkToFit="false"/>
      <protection locked="true" hidden="false"/>
    </xf>
    <xf numFmtId="178" fontId="72" fillId="0" borderId="24" xfId="0" applyFont="true" applyBorder="true" applyAlignment="true" applyProtection="false">
      <alignment horizontal="general" vertical="center" textRotation="0" wrapText="false" indent="0" shrinkToFit="false"/>
      <protection locked="true" hidden="false"/>
    </xf>
    <xf numFmtId="203" fontId="72" fillId="0" borderId="24" xfId="0" applyFont="true" applyBorder="true" applyAlignment="true" applyProtection="false">
      <alignment horizontal="general" vertical="center" textRotation="0" wrapText="false" indent="0" shrinkToFit="false"/>
      <protection locked="true" hidden="false"/>
    </xf>
    <xf numFmtId="203" fontId="74" fillId="5" borderId="24" xfId="0" applyFont="true" applyBorder="true" applyAlignment="true" applyProtection="false">
      <alignment horizontal="general" vertical="center" textRotation="0" wrapText="false" indent="0" shrinkToFit="false"/>
      <protection locked="true" hidden="false"/>
    </xf>
    <xf numFmtId="203" fontId="74" fillId="6" borderId="24" xfId="0" applyFont="true" applyBorder="true" applyAlignment="true" applyProtection="false">
      <alignment horizontal="general" vertical="center" textRotation="0" wrapText="false" indent="0" shrinkToFit="false"/>
      <protection locked="true" hidden="false"/>
    </xf>
    <xf numFmtId="203" fontId="74" fillId="6" borderId="24" xfId="0" applyFont="true" applyBorder="true" applyAlignment="true" applyProtection="false">
      <alignment horizontal="general" vertical="center" textRotation="0" wrapText="true" indent="0" shrinkToFit="false"/>
      <protection locked="true" hidden="false"/>
    </xf>
    <xf numFmtId="203" fontId="74" fillId="0" borderId="24" xfId="0" applyFont="true" applyBorder="true" applyAlignment="true" applyProtection="false">
      <alignment horizontal="general" vertical="center" textRotation="0" wrapText="false" indent="0" shrinkToFit="false"/>
      <protection locked="true" hidden="false"/>
    </xf>
    <xf numFmtId="164" fontId="74" fillId="5" borderId="24" xfId="0" applyFont="true" applyBorder="true" applyAlignment="true" applyProtection="false">
      <alignment horizontal="general" vertical="center" textRotation="0" wrapText="false" indent="0" shrinkToFit="false"/>
      <protection locked="true" hidden="false"/>
    </xf>
    <xf numFmtId="164" fontId="74" fillId="6" borderId="24" xfId="0" applyFont="true" applyBorder="true" applyAlignment="true" applyProtection="false">
      <alignment horizontal="general" vertical="center" textRotation="0" wrapText="false" indent="0" shrinkToFit="false"/>
      <protection locked="true" hidden="false"/>
    </xf>
    <xf numFmtId="164" fontId="74" fillId="0" borderId="24" xfId="0" applyFont="true" applyBorder="true" applyAlignment="true" applyProtection="false">
      <alignment horizontal="general" vertical="center" textRotation="0" wrapText="false" indent="0" shrinkToFit="false"/>
      <protection locked="true" hidden="false"/>
    </xf>
    <xf numFmtId="164" fontId="36" fillId="0" borderId="24" xfId="0" applyFont="true" applyBorder="true" applyAlignment="true" applyProtection="false">
      <alignment horizontal="left" vertical="top" textRotation="0" wrapText="true" indent="0" shrinkToFit="false"/>
      <protection locked="true" hidden="false"/>
    </xf>
    <xf numFmtId="178" fontId="36" fillId="0" borderId="24" xfId="0" applyFont="true" applyBorder="true" applyAlignment="true" applyProtection="false">
      <alignment horizontal="right" vertical="bottom" textRotation="0" wrapText="false" indent="0" shrinkToFit="false"/>
      <protection locked="true" hidden="false"/>
    </xf>
    <xf numFmtId="166" fontId="36" fillId="0" borderId="24" xfId="0" applyFont="true" applyBorder="true" applyAlignment="true" applyProtection="false">
      <alignment horizontal="left" vertical="bottom" textRotation="0" wrapText="false" indent="0" shrinkToFit="false"/>
      <protection locked="true" hidden="false"/>
    </xf>
    <xf numFmtId="178" fontId="36" fillId="0" borderId="24" xfId="0" applyFont="true" applyBorder="true" applyAlignment="true" applyProtection="false">
      <alignment horizontal="left" vertical="bottom" textRotation="0" wrapText="false" indent="0" shrinkToFit="false"/>
      <protection locked="true" hidden="false"/>
    </xf>
    <xf numFmtId="203" fontId="36" fillId="0" borderId="24" xfId="0" applyFont="true" applyBorder="true" applyAlignment="true" applyProtection="false">
      <alignment horizontal="right" vertical="bottom" textRotation="0" wrapText="false" indent="0" shrinkToFit="false"/>
      <protection locked="true" hidden="false"/>
    </xf>
    <xf numFmtId="203" fontId="36" fillId="0" borderId="24" xfId="0" applyFont="true" applyBorder="true" applyAlignment="true" applyProtection="false">
      <alignment horizontal="left"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78" fontId="0" fillId="0" borderId="0" xfId="0" applyFont="false" applyBorder="false" applyAlignment="false" applyProtection="false">
      <alignment horizontal="general" vertical="bottom" textRotation="0" wrapText="false" indent="0" shrinkToFit="false"/>
      <protection locked="true" hidden="false"/>
    </xf>
    <xf numFmtId="203" fontId="0" fillId="0" borderId="0" xfId="0" applyFont="false" applyBorder="false" applyAlignment="false" applyProtection="false">
      <alignment horizontal="general" vertical="bottom" textRotation="0" wrapText="false" indent="0" shrinkToFit="false"/>
      <protection locked="true" hidden="false"/>
    </xf>
    <xf numFmtId="164" fontId="73" fillId="3" borderId="0" xfId="0" applyFont="true" applyBorder="true" applyAlignment="true" applyProtection="false">
      <alignment horizontal="left" vertical="center" textRotation="0" wrapText="false" indent="0" shrinkToFit="false"/>
      <protection locked="true" hidden="false"/>
    </xf>
    <xf numFmtId="164" fontId="75" fillId="11" borderId="0" xfId="0" applyFont="true" applyBorder="true" applyAlignment="true" applyProtection="false">
      <alignment horizontal="left" vertical="center" textRotation="0" wrapText="false" indent="0" shrinkToFit="false"/>
      <protection locked="true" hidden="false"/>
    </xf>
    <xf numFmtId="164" fontId="76" fillId="4" borderId="24" xfId="0" applyFont="true" applyBorder="true" applyAlignment="true" applyProtection="false">
      <alignment horizontal="center" vertical="center" textRotation="0" wrapText="true" indent="0" shrinkToFit="false"/>
      <protection locked="true" hidden="false"/>
    </xf>
    <xf numFmtId="164" fontId="76" fillId="4" borderId="24" xfId="0" applyFont="true" applyBorder="true" applyAlignment="true" applyProtection="false">
      <alignment horizontal="center" vertical="top" textRotation="0" wrapText="true" indent="0" shrinkToFit="false"/>
      <protection locked="true" hidden="false"/>
    </xf>
    <xf numFmtId="164" fontId="36" fillId="11" borderId="24" xfId="0" applyFont="true" applyBorder="true" applyAlignment="true" applyProtection="false">
      <alignment horizontal="left" vertical="center" textRotation="0" wrapText="false" indent="0" shrinkToFit="false"/>
      <protection locked="true" hidden="false"/>
    </xf>
    <xf numFmtId="164" fontId="36" fillId="11" borderId="24" xfId="0" applyFont="true" applyBorder="true" applyAlignment="true" applyProtection="false">
      <alignment horizontal="left" vertical="top" textRotation="0" wrapText="true" indent="0" shrinkToFit="false"/>
      <protection locked="true" hidden="false"/>
    </xf>
    <xf numFmtId="178" fontId="36" fillId="11" borderId="24" xfId="0" applyFont="true" applyBorder="true" applyAlignment="true" applyProtection="false">
      <alignment horizontal="right" vertical="center" textRotation="0" wrapText="false" indent="0" shrinkToFit="false"/>
      <protection locked="true" hidden="false"/>
    </xf>
    <xf numFmtId="180" fontId="36" fillId="11" borderId="24" xfId="0" applyFont="true" applyBorder="true" applyAlignment="true" applyProtection="false">
      <alignment horizontal="right" vertical="center" textRotation="0" wrapText="false" indent="0" shrinkToFit="false"/>
      <protection locked="true" hidden="false"/>
    </xf>
    <xf numFmtId="178" fontId="36" fillId="0" borderId="24" xfId="0" applyFont="true" applyBorder="true" applyAlignment="true" applyProtection="false">
      <alignment horizontal="right" vertical="center" textRotation="0" wrapText="false" indent="0" shrinkToFit="false"/>
      <protection locked="true" hidden="false"/>
    </xf>
    <xf numFmtId="180" fontId="36" fillId="0" borderId="24" xfId="0" applyFont="true" applyBorder="true" applyAlignment="true" applyProtection="false">
      <alignment horizontal="right" vertical="center" textRotation="0" wrapText="false" indent="0" shrinkToFit="false"/>
      <protection locked="true" hidden="false"/>
    </xf>
    <xf numFmtId="164" fontId="36" fillId="11" borderId="24" xfId="0" applyFont="true" applyBorder="true" applyAlignment="true" applyProtection="false">
      <alignment horizontal="left" vertical="center" textRotation="0" wrapText="true" indent="0" shrinkToFit="false"/>
      <protection locked="true" hidden="false"/>
    </xf>
    <xf numFmtId="164" fontId="36" fillId="0" borderId="24" xfId="0" applyFont="true" applyBorder="true" applyAlignment="true" applyProtection="false">
      <alignment horizontal="left" vertical="center" textRotation="0" wrapText="true" indent="0" shrinkToFit="false"/>
      <protection locked="true" hidden="false"/>
    </xf>
    <xf numFmtId="164" fontId="36" fillId="6" borderId="24" xfId="0" applyFont="true" applyBorder="true" applyAlignment="true" applyProtection="false">
      <alignment horizontal="left" vertical="center" textRotation="0" wrapText="false" indent="0" shrinkToFit="false"/>
      <protection locked="true" hidden="false"/>
    </xf>
    <xf numFmtId="164" fontId="36" fillId="6" borderId="24" xfId="0" applyFont="true" applyBorder="true" applyAlignment="true" applyProtection="false">
      <alignment horizontal="left" vertical="top" textRotation="0" wrapText="true" indent="0" shrinkToFit="false"/>
      <protection locked="true" hidden="false"/>
    </xf>
    <xf numFmtId="178" fontId="36" fillId="6" borderId="24" xfId="0" applyFont="true" applyBorder="true" applyAlignment="true" applyProtection="false">
      <alignment horizontal="right" vertical="center" textRotation="0" wrapText="false" indent="0" shrinkToFit="false"/>
      <protection locked="true" hidden="false"/>
    </xf>
    <xf numFmtId="209" fontId="36" fillId="6" borderId="24" xfId="0" applyFont="true" applyBorder="true" applyAlignment="true" applyProtection="false">
      <alignment horizontal="right" vertical="center" textRotation="0" wrapText="false" indent="0" shrinkToFit="false"/>
      <protection locked="true" hidden="false"/>
    </xf>
    <xf numFmtId="180" fontId="36" fillId="6" borderId="24" xfId="0" applyFont="true" applyBorder="true" applyAlignment="true" applyProtection="false">
      <alignment horizontal="right" vertical="center" textRotation="0" wrapText="false" indent="0" shrinkToFit="false"/>
      <protection locked="true" hidden="false"/>
    </xf>
    <xf numFmtId="209" fontId="36" fillId="11" borderId="24" xfId="0" applyFont="true" applyBorder="true" applyAlignment="true" applyProtection="false">
      <alignment horizontal="right" vertical="center" textRotation="0" wrapText="false" indent="0" shrinkToFit="false"/>
      <protection locked="true" hidden="false"/>
    </xf>
    <xf numFmtId="209" fontId="36" fillId="0" borderId="24" xfId="0" applyFont="true" applyBorder="true" applyAlignment="true" applyProtection="false">
      <alignment horizontal="right" vertical="center" textRotation="0" wrapText="false" indent="0" shrinkToFit="false"/>
      <protection locked="true" hidden="false"/>
    </xf>
    <xf numFmtId="166" fontId="36" fillId="0" borderId="24" xfId="0" applyFont="true" applyBorder="true" applyAlignment="true" applyProtection="false">
      <alignment horizontal="right" vertical="center" textRotation="0" wrapText="false" indent="0" shrinkToFit="false"/>
      <protection locked="true" hidden="false"/>
    </xf>
    <xf numFmtId="210" fontId="36" fillId="0" borderId="24" xfId="0" applyFont="true" applyBorder="true" applyAlignment="true" applyProtection="false">
      <alignment horizontal="right" vertical="center" textRotation="0" wrapText="false" indent="0" shrinkToFit="false"/>
      <protection locked="true" hidden="false"/>
    </xf>
    <xf numFmtId="210" fontId="36" fillId="0" borderId="24" xfId="0" applyFont="true" applyBorder="true" applyAlignment="true" applyProtection="false">
      <alignment horizontal="left" vertical="center" textRotation="0" wrapText="false" indent="0" shrinkToFit="false"/>
      <protection locked="true" hidden="false"/>
    </xf>
    <xf numFmtId="166" fontId="36" fillId="11" borderId="24" xfId="0" applyFont="true" applyBorder="true" applyAlignment="true" applyProtection="false">
      <alignment horizontal="right" vertical="center" textRotation="0" wrapText="false" indent="0" shrinkToFit="false"/>
      <protection locked="true" hidden="false"/>
    </xf>
    <xf numFmtId="210" fontId="36" fillId="11" borderId="24" xfId="0" applyFont="true" applyBorder="true" applyAlignment="true" applyProtection="false">
      <alignment horizontal="right" vertical="center" textRotation="0" wrapText="false" indent="0" shrinkToFit="false"/>
      <protection locked="true" hidden="false"/>
    </xf>
    <xf numFmtId="210" fontId="36" fillId="11" borderId="24" xfId="0" applyFont="true" applyBorder="true" applyAlignment="true" applyProtection="false">
      <alignment horizontal="left" vertical="center" textRotation="0" wrapText="false" indent="0" shrinkToFit="false"/>
      <protection locked="true" hidden="false"/>
    </xf>
    <xf numFmtId="164" fontId="36" fillId="23" borderId="24" xfId="0" applyFont="true" applyBorder="true" applyAlignment="true" applyProtection="false">
      <alignment horizontal="left" vertical="center" textRotation="0" wrapText="false" indent="0" shrinkToFit="false"/>
      <protection locked="true" hidden="false"/>
    </xf>
    <xf numFmtId="164" fontId="36" fillId="23" borderId="24" xfId="0" applyFont="true" applyBorder="true" applyAlignment="true" applyProtection="false">
      <alignment horizontal="left" vertical="top" textRotation="0" wrapText="true" indent="0" shrinkToFit="false"/>
      <protection locked="true" hidden="false"/>
    </xf>
    <xf numFmtId="178" fontId="36" fillId="23" borderId="24" xfId="0" applyFont="true" applyBorder="true" applyAlignment="true" applyProtection="false">
      <alignment horizontal="right" vertical="center" textRotation="0" wrapText="false" indent="0" shrinkToFit="false"/>
      <protection locked="true" hidden="false"/>
    </xf>
    <xf numFmtId="209" fontId="36" fillId="23" borderId="24" xfId="0" applyFont="true" applyBorder="true" applyAlignment="true" applyProtection="false">
      <alignment horizontal="right" vertical="center" textRotation="0" wrapText="false" indent="0" shrinkToFit="false"/>
      <protection locked="true" hidden="false"/>
    </xf>
    <xf numFmtId="180" fontId="36" fillId="23" borderId="24" xfId="0" applyFont="true" applyBorder="true" applyAlignment="true" applyProtection="false">
      <alignment horizontal="right" vertical="center" textRotation="0" wrapText="false" indent="0" shrinkToFit="false"/>
      <protection locked="true" hidden="false"/>
    </xf>
    <xf numFmtId="210" fontId="0" fillId="0" borderId="0" xfId="0" applyFont="false" applyBorder="false" applyAlignment="false" applyProtection="false">
      <alignment horizontal="general" vertical="bottom" textRotation="0" wrapText="false" indent="0" shrinkToFit="false"/>
      <protection locked="true" hidden="false"/>
    </xf>
  </cellXfs>
  <cellStyles count="17">
    <cellStyle name="Normal" xfId="0" builtinId="0"/>
    <cellStyle name="Comma" xfId="15" builtinId="3"/>
    <cellStyle name="Comma [0]" xfId="16" builtinId="6"/>
    <cellStyle name="Currency" xfId="17" builtinId="4"/>
    <cellStyle name="Currency [0]" xfId="18" builtinId="7"/>
    <cellStyle name="Percent" xfId="19" builtinId="5"/>
    <cellStyle name="Comma 3" xfId="20"/>
    <cellStyle name="Normal 2" xfId="21"/>
    <cellStyle name="Normal 3" xfId="22"/>
    <cellStyle name="Normal_99 Appeal Restaurant" xfId="23"/>
    <cellStyle name="Normal_99 Grids Restaurant" xfId="24"/>
    <cellStyle name="Normal_Blank" xfId="25"/>
    <cellStyle name="Normal_BOCC Worksheet" xfId="26"/>
    <cellStyle name="Normal_Inc Grid" xfId="27"/>
    <cellStyle name="Normal_Restaurant" xfId="28"/>
    <cellStyle name="tblHeader" xfId="29"/>
    <cellStyle name="tblText" xfId="30"/>
  </cellStyles>
  <dxfs count="13">
    <dxf>
      <fill>
        <patternFill patternType="solid">
          <fgColor rgb="FF17324D"/>
          <bgColor rgb="FF000000"/>
        </patternFill>
      </fill>
    </dxf>
    <dxf>
      <fill>
        <patternFill patternType="solid">
          <fgColor rgb="FFF3F6F8"/>
          <bgColor rgb="FF000000"/>
        </patternFill>
      </fill>
    </dxf>
    <dxf>
      <fill>
        <patternFill patternType="solid">
          <bgColor rgb="FF000000"/>
        </patternFill>
      </fill>
    </dxf>
    <dxf>
      <fill>
        <patternFill patternType="solid">
          <fgColor rgb="FF000000"/>
          <bgColor rgb="FF000000"/>
        </patternFill>
      </fill>
    </dxf>
    <dxf>
      <fill>
        <patternFill patternType="solid">
          <fgColor rgb="FFFF0000"/>
          <bgColor rgb="FF000000"/>
        </patternFill>
      </fill>
    </dxf>
    <dxf>
      <fill>
        <patternFill patternType="solid">
          <fgColor rgb="FFFFFFFF"/>
          <bgColor rgb="FF000000"/>
        </patternFill>
      </fill>
    </dxf>
    <dxf>
      <fill>
        <patternFill patternType="solid">
          <fgColor rgb="FFFFC7CE"/>
          <bgColor rgb="FF000000"/>
        </patternFill>
      </fill>
    </dxf>
    <dxf>
      <fill>
        <patternFill patternType="solid">
          <fgColor rgb="FF9C0006"/>
          <bgColor rgb="FF000000"/>
        </patternFill>
      </fill>
    </dxf>
    <dxf>
      <font>
        <color rgb="FF9C0006"/>
      </font>
      <fill>
        <patternFill>
          <bgColor rgb="FFFFC7CE"/>
        </patternFill>
      </fill>
    </dxf>
    <dxf>
      <fill>
        <patternFill>
          <bgColor rgb="FFF3F6F8"/>
        </patternFill>
      </fill>
    </dxf>
    <dxf>
      <fill>
        <patternFill patternType="solid">
          <fgColor rgb="FF333333"/>
          <bgColor rgb="FF000000"/>
        </patternFill>
      </fill>
    </dxf>
    <dxf>
      <fill>
        <patternFill patternType="solid">
          <fgColor rgb="FFDDEBF7"/>
          <bgColor rgb="FF000000"/>
        </patternFill>
      </fill>
    </dxf>
    <dxf>
      <fill>
        <patternFill patternType="solid">
          <fgColor rgb="FF0563C1"/>
          <bgColor rgb="FF000000"/>
        </patternFill>
      </fill>
    </dxf>
  </dxfs>
  <colors>
    <indexedColors>
      <rgbColor rgb="FF000000"/>
      <rgbColor rgb="FFFFFFFF"/>
      <rgbColor rgb="FFFF0000"/>
      <rgbColor rgb="FF00FF00"/>
      <rgbColor rgb="FF0000FF"/>
      <rgbColor rgb="FFF3F6F8"/>
      <rgbColor rgb="FFFF00FF"/>
      <rgbColor rgb="FF00FFFF"/>
      <rgbColor rgb="FF9C0006"/>
      <rgbColor rgb="FF375623"/>
      <rgbColor rgb="FF000080"/>
      <rgbColor rgb="FF808000"/>
      <rgbColor rgb="FF800080"/>
      <rgbColor rgb="FF0E7490"/>
      <rgbColor rgb="FFBFBFBF"/>
      <rgbColor rgb="FF808080"/>
      <rgbColor rgb="FFDCE9F5"/>
      <rgbColor rgb="FF595959"/>
      <rgbColor rgb="FFFFF2CC"/>
      <rgbColor rgb="FFE8F3F7"/>
      <rgbColor rgb="FF333F50"/>
      <rgbColor rgb="FFFF8080"/>
      <rgbColor rgb="FF0563C1"/>
      <rgbColor rgb="FFD0D0D0"/>
      <rgbColor rgb="FF000080"/>
      <rgbColor rgb="FFFF00FF"/>
      <rgbColor rgb="FFF1F5F9"/>
      <rgbColor rgb="FF00FFFF"/>
      <rgbColor rgb="FF800080"/>
      <rgbColor rgb="FF800000"/>
      <rgbColor rgb="FF125370"/>
      <rgbColor rgb="FF0000FF"/>
      <rgbColor rgb="FF00CCFF"/>
      <rgbColor rgb="FFDDEBF7"/>
      <rgbColor rgb="FFE2EFDA"/>
      <rgbColor rgb="FFFDF0DA"/>
      <rgbColor rgb="FFB7C9DB"/>
      <rgbColor rgb="FFFDEBD3"/>
      <rgbColor rgb="FFD9D9D9"/>
      <rgbColor rgb="FFFFC7CE"/>
      <rgbColor rgb="FF2E74B5"/>
      <rgbColor rgb="FF33CCCC"/>
      <rgbColor rgb="FF92D050"/>
      <rgbColor rgb="FFF2F7FB"/>
      <rgbColor rgb="FFFF9900"/>
      <rgbColor rgb="FFD97706"/>
      <rgbColor rgb="FF666666"/>
      <rgbColor rgb="FF7F7F7F"/>
      <rgbColor rgb="FF17324D"/>
      <rgbColor rgb="FF1F4E78"/>
      <rgbColor rgb="FF1E5631"/>
      <rgbColor rgb="FF404040"/>
      <rgbColor rgb="FF833C00"/>
      <rgbColor rgb="FFC55A11"/>
      <rgbColor rgb="FF203864"/>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worksheet" Target="worksheets/sheet16.xml"/><Relationship Id="rId20" Type="http://schemas.openxmlformats.org/officeDocument/2006/relationships/worksheet" Target="worksheets/sheet17.xml"/><Relationship Id="rId21" Type="http://schemas.openxmlformats.org/officeDocument/2006/relationships/worksheet" Target="worksheets/sheet18.xml"/><Relationship Id="rId22" Type="http://schemas.openxmlformats.org/officeDocument/2006/relationships/worksheet" Target="worksheets/sheet19.xml"/><Relationship Id="rId23" Type="http://schemas.openxmlformats.org/officeDocument/2006/relationships/worksheet" Target="worksheets/sheet20.xml"/><Relationship Id="rId24" Type="http://schemas.openxmlformats.org/officeDocument/2006/relationships/worksheet" Target="worksheets/sheet21.xml"/><Relationship Id="rId25" Type="http://schemas.openxmlformats.org/officeDocument/2006/relationships/worksheet" Target="worksheets/sheet22.xml"/><Relationship Id="rId26" Type="http://schemas.openxmlformats.org/officeDocument/2006/relationships/worksheet" Target="worksheets/sheet23.xml"/><Relationship Id="rId27" Type="http://schemas.openxmlformats.org/officeDocument/2006/relationships/worksheet" Target="worksheets/sheet24.xml"/><Relationship Id="rId28" Type="http://schemas.openxmlformats.org/officeDocument/2006/relationships/worksheet" Target="worksheets/sheet25.xml"/><Relationship Id="rId29" Type="http://schemas.openxmlformats.org/officeDocument/2006/relationships/worksheet" Target="worksheets/sheet26.xml"/><Relationship Id="rId30" Type="http://schemas.openxmlformats.org/officeDocument/2006/relationships/worksheet" Target="worksheets/sheet27.xml"/><Relationship Id="rId31" Type="http://schemas.openxmlformats.org/officeDocument/2006/relationships/worksheet" Target="worksheets/sheet28.xml"/><Relationship Id="rId32" Type="http://schemas.openxmlformats.org/officeDocument/2006/relationships/worksheet" Target="worksheets/sheet29.xml"/><Relationship Id="rId33"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5.xml><?xml version="1.0" encoding="utf-8"?>
<formControlPr xmlns="http://schemas.microsoft.com/office/spreadsheetml/2009/9/main" objectType="Button" lockText="1"/>
</file>

<file path=xl/ctrlProps/ctrlProps6.xml><?xml version="1.0" encoding="utf-8"?>
<formControlPr xmlns="http://schemas.microsoft.com/office/spreadsheetml/2009/9/main" objectType="Button" lockText="1"/>
</file>

<file path=xl/ctrlProps/ctrlProps8.xml><?xml version="1.0" encoding="utf-8"?>
<formControlPr xmlns="http://schemas.microsoft.com/office/spreadsheetml/2009/9/main" objectType="Button" lockText="1"/>
</file>

<file path=xl/ctrlProps/ctrlProps9.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1.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ctrlProps/ctrlProps13.xml><?xml version="1.0" encoding="utf-8"?>
<formControlPr xmlns="http://schemas.microsoft.com/office/spreadsheetml/2009/9/main" objectType="Button" lockText="1"/>
</file>

<file path=xl/ctrlProps/ctrlProps15.xml><?xml version="1.0" encoding="utf-8"?>
<formControlPr xmlns="http://schemas.microsoft.com/office/spreadsheetml/2009/9/main" objectType="Button" lockText="1"/>
</file>

<file path=xl/ctrlProps/ctrlProps16.xml><?xml version="1.0" encoding="utf-8"?>
<formControlPr xmlns="http://schemas.microsoft.com/office/spreadsheetml/2009/9/main" objectType="Button" lockText="1"/>
</file>

<file path=xl/ctrlProps/ctrlProps17.xml><?xml version="1.0" encoding="utf-8"?>
<formControlPr xmlns="http://schemas.microsoft.com/office/spreadsheetml/2009/9/main" objectType="Button" lockText="1"/>
</file>

<file path=xl/ctrlProps/ctrlProps18.xml><?xml version="1.0" encoding="utf-8"?>
<formControlPr xmlns="http://schemas.microsoft.com/office/spreadsheetml/2009/9/main" objectType="Button" lockText="1"/>
</file>

<file path=xl/ctrlProps/ctrlProps19.xml><?xml version="1.0" encoding="utf-8"?>
<formControlPr xmlns="http://schemas.microsoft.com/office/spreadsheetml/2009/9/main" objectType="Button" lockText="1"/>
</file>

<file path=xl/ctrlProps/ctrlProps20.xml><?xml version="1.0" encoding="utf-8"?>
<formControlPr xmlns="http://schemas.microsoft.com/office/spreadsheetml/2009/9/main" objectType="Button" lockText="1"/>
</file>

<file path=xl/ctrlProps/ctrlProps21.xml><?xml version="1.0" encoding="utf-8"?>
<formControlPr xmlns="http://schemas.microsoft.com/office/spreadsheetml/2009/9/main" objectType="Button" lockText="1"/>
</file>

<file path=xl/ctrlProps/ctrlProps22.xml><?xml version="1.0" encoding="utf-8"?>
<formControlPr xmlns="http://schemas.microsoft.com/office/spreadsheetml/2009/9/main" objectType="Button" lockText="1"/>
</file>

<file path=xl/ctrlProps/ctrlProps24.xml><?xml version="1.0" encoding="utf-8"?>
<formControlPr xmlns="http://schemas.microsoft.com/office/spreadsheetml/2009/9/main" objectType="Button" lockText="1"/>
</file>

<file path=xl/ctrlProps/ctrlProps25.xml><?xml version="1.0" encoding="utf-8"?>
<formControlPr xmlns="http://schemas.microsoft.com/office/spreadsheetml/2009/9/main" objectType="Button" lockText="1"/>
</file>

<file path=xl/ctrlProps/ctrlProps26.xml><?xml version="1.0" encoding="utf-8"?>
<formControlPr xmlns="http://schemas.microsoft.com/office/spreadsheetml/2009/9/main" objectType="Button" lockText="1"/>
</file>

<file path=xl/ctrlProps/ctrlProps27.xml><?xml version="1.0" encoding="utf-8"?>
<formControlPr xmlns="http://schemas.microsoft.com/office/spreadsheetml/2009/9/main" objectType="Button" lockText="1"/>
</file>

<file path=xl/ctrlProps/ctrlProps29.xml><?xml version="1.0" encoding="utf-8"?>
<formControlPr xmlns="http://schemas.microsoft.com/office/spreadsheetml/2009/9/main" objectType="Button" lockText="1"/>
</file>

<file path=xl/ctrlProps/ctrlProps30.xml><?xml version="1.0" encoding="utf-8"?>
<formControlPr xmlns="http://schemas.microsoft.com/office/spreadsheetml/2009/9/main" objectType="Button" lockText="1"/>
</file>

<file path=xl/ctrlProps/ctrlProps31.xml><?xml version="1.0" encoding="utf-8"?>
<formControlPr xmlns="http://schemas.microsoft.com/office/spreadsheetml/2009/9/main" objectType="Button" lockText="1"/>
</file>

<file path=xl/ctrlProps/ctrlProps32.xml><?xml version="1.0" encoding="utf-8"?>
<formControlPr xmlns="http://schemas.microsoft.com/office/spreadsheetml/2009/9/main" objectType="Button" lockText="1"/>
</file>

<file path=xl/ctrlProps/ctrlProps33.xml><?xml version="1.0" encoding="utf-8"?>
<formControlPr xmlns="http://schemas.microsoft.com/office/spreadsheetml/2009/9/main" objectType="Button" lockText="1"/>
</file>

<file path=xl/ctrlProps/ctrlProps34.xml><?xml version="1.0" encoding="utf-8"?>
<formControlPr xmlns="http://schemas.microsoft.com/office/spreadsheetml/2009/9/main" objectType="Button" lockText="1"/>
</file>

<file path=xl/ctrlProps/ctrlProps35.xml><?xml version="1.0" encoding="utf-8"?>
<formControlPr xmlns="http://schemas.microsoft.com/office/spreadsheetml/2009/9/main" objectType="Button" lockText="1"/>
</file>

<file path=xl/ctrlProps/ctrlProps36.xml><?xml version="1.0" encoding="utf-8"?>
<formControlPr xmlns="http://schemas.microsoft.com/office/spreadsheetml/2009/9/main" objectType="Button" lockText="1"/>
</file>

<file path=xl/ctrlProps/ctrlProps37.xml><?xml version="1.0" encoding="utf-8"?>
<formControlPr xmlns="http://schemas.microsoft.com/office/spreadsheetml/2009/9/main" objectType="Button" lockText="1"/>
</file>

<file path=xl/ctrlProps/ctrlProps38.xml><?xml version="1.0" encoding="utf-8"?>
<formControlPr xmlns="http://schemas.microsoft.com/office/spreadsheetml/2009/9/main" objectType="Button" lockText="1"/>
</file>

<file path=xl/ctrlProps/ctrlProps40.xml><?xml version="1.0" encoding="utf-8"?>
<formControlPr xmlns="http://schemas.microsoft.com/office/spreadsheetml/2009/9/main" objectType="CheckBox" autoLine="false" print="true" lockText="1" noThreeD="1"/>
</file>

<file path=xl/ctrlProps/ctrlProps41.xml><?xml version="1.0" encoding="utf-8"?>
<formControlPr xmlns="http://schemas.microsoft.com/office/spreadsheetml/2009/9/main" objectType="CheckBox" autoLine="false" print="true" lockText="1" noThreeD="1"/>
</file>

<file path=xl/ctrlProps/ctrlProps42.xml><?xml version="1.0" encoding="utf-8"?>
<formControlPr xmlns="http://schemas.microsoft.com/office/spreadsheetml/2009/9/main" objectType="CheckBox" autoLine="false" print="true" lockText="1" noThreeD="1"/>
</file>

<file path=xl/ctrlProps/ctrlProps43.xml><?xml version="1.0" encoding="utf-8"?>
<formControlPr xmlns="http://schemas.microsoft.com/office/spreadsheetml/2009/9/main" objectType="CheckBox" autoLine="false" print="true" lockText="1" noThreeD="1"/>
</file>

<file path=xl/ctrlProps/ctrlProps44.xml><?xml version="1.0" encoding="utf-8"?>
<formControlPr xmlns="http://schemas.microsoft.com/office/spreadsheetml/2009/9/main" objectType="Button" lockText="1"/>
</file>

<file path=xl/ctrlProps/ctrlProps45.xml><?xml version="1.0" encoding="utf-8"?>
<formControlPr xmlns="http://schemas.microsoft.com/office/spreadsheetml/2009/9/main" objectType="Button" lockText="1"/>
</file>

<file path=xl/ctrlProps/ctrlProps46.xml><?xml version="1.0" encoding="utf-8"?>
<formControlPr xmlns="http://schemas.microsoft.com/office/spreadsheetml/2009/9/main" objectType="Button" lockText="1"/>
</file>

<file path=xl/ctrlProps/ctrlProps47.xml><?xml version="1.0" encoding="utf-8"?>
<formControlPr xmlns="http://schemas.microsoft.com/office/spreadsheetml/2009/9/main" objectType="Button" lockText="1"/>
</file>

<file path=xl/ctrlProps/ctrlProps49.xml><?xml version="1.0" encoding="utf-8"?>
<formControlPr xmlns="http://schemas.microsoft.com/office/spreadsheetml/2009/9/main" objectType="Button" lockText="1"/>
</file>

<file path=xl/ctrlProps/ctrlProps50.xml><?xml version="1.0" encoding="utf-8"?>
<formControlPr xmlns="http://schemas.microsoft.com/office/spreadsheetml/2009/9/main" objectType="Button" lockText="1"/>
</file>

<file path=xl/ctrlProps/ctrlProps51.xml><?xml version="1.0" encoding="utf-8"?>
<formControlPr xmlns="http://schemas.microsoft.com/office/spreadsheetml/2009/9/main" objectType="Button" lockText="1"/>
</file>

<file path=xl/ctrlProps/ctrlProps5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3" descr="PROTEST" hidden="0"/>
            <xdr:cNvSpPr/>
          </xdr:nvSpPr>
          <xdr:spPr>
            <a:xfrm>
              <a:off x="0" y="0"/>
              <a:ext cx="0" cy="0"/>
            </a:xfrm>
            <a:prstGeom prst="rect">
              <a:avLst/>
            </a:prstGeom>
          </xdr:spPr>
          <xdr:txBody>
            <a:bodyPr anchor="ctr">
              <a:noAutofit/>
            </a:bodyPr>
            <a:p>
              <a:r>
                <a:t>PROTEST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4" descr="B.A.A. Rent Comps" hidden="0"/>
            <xdr:cNvSpPr/>
          </xdr:nvSpPr>
          <xdr:spPr>
            <a:xfrm>
              <a:off x="0" y="0"/>
              <a:ext cx="0" cy="0"/>
            </a:xfrm>
            <a:prstGeom prst="rect">
              <a:avLst/>
            </a:prstGeom>
          </xdr:spPr>
          <xdr:txBody>
            <a:bodyPr anchor="ctr">
              <a:noAutofit/>
            </a:bodyPr>
            <a:p>
              <a:r>
                <a:t>B.A.A.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5" descr="B.A.A. Worksheet" hidden="0"/>
            <xdr:cNvSpPr/>
          </xdr:nvSpPr>
          <xdr:spPr>
            <a:xfrm>
              <a:off x="0" y="0"/>
              <a:ext cx="0" cy="0"/>
            </a:xfrm>
            <a:prstGeom prst="rect">
              <a:avLst/>
            </a:prstGeom>
          </xdr:spPr>
          <xdr:txBody>
            <a:bodyPr anchor="ctr">
              <a:noAutofit/>
            </a:bodyPr>
            <a:p>
              <a:r>
                <a:t>B.A.A. Worksheet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6" descr="B.O.C.C. Worksheet" hidden="0"/>
            <xdr:cNvSpPr/>
          </xdr:nvSpPr>
          <xdr:spPr>
            <a:xfrm>
              <a:off x="0" y="0"/>
              <a:ext cx="0" cy="0"/>
            </a:xfrm>
            <a:prstGeom prst="rect">
              <a:avLst/>
            </a:prstGeom>
          </xdr:spPr>
          <xdr:txBody>
            <a:bodyPr anchor="ctr">
              <a:noAutofit/>
            </a:bodyPr>
            <a:p>
              <a:r>
                <a:t>B.O.C.C. Worksheet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7" descr="B.A.A. Market Approach" hidden="0"/>
            <xdr:cNvSpPr/>
          </xdr:nvSpPr>
          <xdr:spPr>
            <a:xfrm>
              <a:off x="0" y="0"/>
              <a:ext cx="0" cy="0"/>
            </a:xfrm>
            <a:prstGeom prst="rect">
              <a:avLst/>
            </a:prstGeom>
          </xdr:spPr>
          <xdr:txBody>
            <a:bodyPr anchor="ctr">
              <a:noAutofit/>
            </a:bodyPr>
            <a:p>
              <a:r>
                <a:t>B.A.A. Market Approach</a:t>
              </a:r>
            </a:p>
          </xdr:txBody>
        </xdr:sp>
        <xdr:clientData/>
      </xdr:twoCellAnchor>
    </mc:Choice>
  </mc:AlternateContent>
</xdr:wsDr>
</file>

<file path=xl/drawings/drawing7.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7" descr="Start " hidden="0"/>
            <xdr:cNvSpPr/>
          </xdr:nvSpPr>
          <xdr:spPr>
            <a:xfrm>
              <a:off x="0" y="0"/>
              <a:ext cx="0" cy="0"/>
            </a:xfrm>
            <a:prstGeom prst="rect">
              <a:avLst/>
            </a:prstGeom>
          </xdr:spPr>
          <xdr:txBody>
            <a:bodyPr anchor="ctr">
              <a:noAutofit/>
            </a:bodyPr>
            <a:p>
              <a:r>
                <a:t>Start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6"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5" descr="Get Rent" hidden="0"/>
            <xdr:cNvSpPr/>
          </xdr:nvSpPr>
          <xdr:spPr>
            <a:xfrm>
              <a:off x="0" y="0"/>
              <a:ext cx="0" cy="0"/>
            </a:xfrm>
            <a:prstGeom prst="rect">
              <a:avLst/>
            </a:prstGeom>
          </xdr:spPr>
          <xdr:txBody>
            <a:bodyPr anchor="ctr">
              <a:noAutofit/>
            </a:bodyPr>
            <a:p>
              <a:r>
                <a:t>Get Rent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8" descr="Start " hidden="0"/>
            <xdr:cNvSpPr/>
          </xdr:nvSpPr>
          <xdr:spPr>
            <a:xfrm>
              <a:off x="0" y="0"/>
              <a:ext cx="0" cy="0"/>
            </a:xfrm>
            <a:prstGeom prst="rect">
              <a:avLst/>
            </a:prstGeom>
          </xdr:spPr>
          <xdr:txBody>
            <a:bodyPr anchor="ctr">
              <a:noAutofit/>
            </a:bodyPr>
            <a:p>
              <a:r>
                <a:t>Start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9"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10" descr="Get Rent" hidden="0"/>
            <xdr:cNvSpPr/>
          </xdr:nvSpPr>
          <xdr:spPr>
            <a:xfrm>
              <a:off x="0" y="0"/>
              <a:ext cx="0" cy="0"/>
            </a:xfrm>
            <a:prstGeom prst="rect">
              <a:avLst/>
            </a:prstGeom>
          </xdr:spPr>
          <xdr:txBody>
            <a:bodyPr anchor="ctr">
              <a:noAutofit/>
            </a:bodyPr>
            <a:p>
              <a:r>
                <a:t>Get Rent</a:t>
              </a:r>
            </a:p>
          </xdr:txBody>
        </xdr:sp>
        <xdr:clientData/>
      </xdr:twoCellAnchor>
    </mc:Choice>
  </mc:AlternateContent>
</xdr:wsDr>
</file>

<file path=xl/drawings/drawing14.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3"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6"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26"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28"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17"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18"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7" name="Button 19"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8" name="Button 20"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xdr:wsDr>
</file>

<file path=xl/drawings/drawing23.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1"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16" descr="Get Rent" hidden="0"/>
            <xdr:cNvSpPr/>
          </xdr:nvSpPr>
          <xdr:spPr>
            <a:xfrm>
              <a:off x="0" y="0"/>
              <a:ext cx="0" cy="0"/>
            </a:xfrm>
            <a:prstGeom prst="rect">
              <a:avLst/>
            </a:prstGeom>
          </xdr:spPr>
          <xdr:txBody>
            <a:bodyPr anchor="ctr">
              <a:noAutofit/>
            </a:bodyPr>
            <a:p>
              <a:r>
                <a:t>Get Rent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4"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5" descr="Get Rent" hidden="0"/>
            <xdr:cNvSpPr/>
          </xdr:nvSpPr>
          <xdr:spPr>
            <a:xfrm>
              <a:off x="0" y="0"/>
              <a:ext cx="0" cy="0"/>
            </a:xfrm>
            <a:prstGeom prst="rect">
              <a:avLst/>
            </a:prstGeom>
          </xdr:spPr>
          <xdr:txBody>
            <a:bodyPr anchor="ctr">
              <a:noAutofit/>
            </a:bodyPr>
            <a:p>
              <a:r>
                <a:t>Get Rent</a:t>
              </a:r>
            </a:p>
          </xdr:txBody>
        </xdr:sp>
        <xdr:clientData/>
      </xdr:twoCellAnchor>
    </mc:Choice>
  </mc:AlternateContent>
</xdr:wsDr>
</file>

<file path=xl/drawings/drawing28.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6" descr="Select Sales" hidden="0"/>
            <xdr:cNvSpPr/>
          </xdr:nvSpPr>
          <xdr:spPr>
            <a:xfrm>
              <a:off x="0" y="0"/>
              <a:ext cx="0" cy="0"/>
            </a:xfrm>
            <a:prstGeom prst="rect">
              <a:avLst/>
            </a:prstGeom>
          </xdr:spPr>
          <xdr:txBody>
            <a:bodyPr anchor="ctr">
              <a:noAutofit/>
            </a:bodyPr>
            <a:p>
              <a:r>
                <a:t>Select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7" descr="Select Rent Comps" hidden="0"/>
            <xdr:cNvSpPr/>
          </xdr:nvSpPr>
          <xdr:spPr>
            <a:xfrm>
              <a:off x="0" y="0"/>
              <a:ext cx="0" cy="0"/>
            </a:xfrm>
            <a:prstGeom prst="rect">
              <a:avLst/>
            </a:prstGeom>
          </xdr:spPr>
          <xdr:txBody>
            <a:bodyPr anchor="ctr">
              <a:noAutofit/>
            </a:bodyPr>
            <a:p>
              <a:r>
                <a:t>Select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8" descr="Select Sales" hidden="0"/>
            <xdr:cNvSpPr/>
          </xdr:nvSpPr>
          <xdr:spPr>
            <a:xfrm>
              <a:off x="0" y="0"/>
              <a:ext cx="0" cy="0"/>
            </a:xfrm>
            <a:prstGeom prst="rect">
              <a:avLst/>
            </a:prstGeom>
          </xdr:spPr>
          <xdr:txBody>
            <a:bodyPr anchor="ctr">
              <a:noAutofit/>
            </a:bodyPr>
            <a:p>
              <a:r>
                <a:t>Select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9" descr="Select Rent Comps" hidden="0"/>
            <xdr:cNvSpPr/>
          </xdr:nvSpPr>
          <xdr:spPr>
            <a:xfrm>
              <a:off x="0" y="0"/>
              <a:ext cx="0" cy="0"/>
            </a:xfrm>
            <a:prstGeom prst="rect">
              <a:avLst/>
            </a:prstGeom>
          </xdr:spPr>
          <xdr:txBody>
            <a:bodyPr anchor="ctr">
              <a:noAutofit/>
            </a:bodyPr>
            <a:p>
              <a:r>
                <a:t>Select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10" descr="Save" hidden="0"/>
            <xdr:cNvSpPr/>
          </xdr:nvSpPr>
          <xdr:spPr>
            <a:xfrm>
              <a:off x="0" y="0"/>
              <a:ext cx="0" cy="0"/>
            </a:xfrm>
            <a:prstGeom prst="rect">
              <a:avLst/>
            </a:prstGeom>
          </xdr:spPr>
          <xdr:txBody>
            <a:bodyPr anchor="ctr">
              <a:noAutofit/>
            </a:bodyPr>
            <a:p>
              <a:r>
                <a:t>Save</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10" descr="Select Sales" hidden="0"/>
            <xdr:cNvSpPr/>
          </xdr:nvSpPr>
          <xdr:spPr>
            <a:xfrm>
              <a:off x="0" y="0"/>
              <a:ext cx="0" cy="0"/>
            </a:xfrm>
            <a:prstGeom prst="rect">
              <a:avLst/>
            </a:prstGeom>
          </xdr:spPr>
          <xdr:txBody>
            <a:bodyPr anchor="ctr">
              <a:noAutofit/>
            </a:bodyPr>
            <a:p>
              <a:r>
                <a:t>Select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7" name="Button 11" descr="Select Rent Comps" hidden="0"/>
            <xdr:cNvSpPr/>
          </xdr:nvSpPr>
          <xdr:spPr>
            <a:xfrm>
              <a:off x="0" y="0"/>
              <a:ext cx="0" cy="0"/>
            </a:xfrm>
            <a:prstGeom prst="rect">
              <a:avLst/>
            </a:prstGeom>
          </xdr:spPr>
          <xdr:txBody>
            <a:bodyPr anchor="ctr">
              <a:noAutofit/>
            </a:bodyPr>
            <a:p>
              <a:r>
                <a:t>Select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8" name="Button 12" descr="Select Sales" hidden="0"/>
            <xdr:cNvSpPr/>
          </xdr:nvSpPr>
          <xdr:spPr>
            <a:xfrm>
              <a:off x="0" y="0"/>
              <a:ext cx="0" cy="0"/>
            </a:xfrm>
            <a:prstGeom prst="rect">
              <a:avLst/>
            </a:prstGeom>
          </xdr:spPr>
          <xdr:txBody>
            <a:bodyPr anchor="ctr">
              <a:noAutofit/>
            </a:bodyPr>
            <a:p>
              <a:r>
                <a:t>Select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9" name="Button 13" descr="Select Rent Comps" hidden="0"/>
            <xdr:cNvSpPr/>
          </xdr:nvSpPr>
          <xdr:spPr>
            <a:xfrm>
              <a:off x="0" y="0"/>
              <a:ext cx="0" cy="0"/>
            </a:xfrm>
            <a:prstGeom prst="rect">
              <a:avLst/>
            </a:prstGeom>
          </xdr:spPr>
          <xdr:txBody>
            <a:bodyPr anchor="ctr">
              <a:noAutofit/>
            </a:bodyPr>
            <a:p>
              <a:r>
                <a:t>Select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10" name="Button 14" descr="Save" hidden="0"/>
            <xdr:cNvSpPr/>
          </xdr:nvSpPr>
          <xdr:spPr>
            <a:xfrm>
              <a:off x="0" y="0"/>
              <a:ext cx="0" cy="0"/>
            </a:xfrm>
            <a:prstGeom prst="rect">
              <a:avLst/>
            </a:prstGeom>
          </xdr:spPr>
          <xdr:txBody>
            <a:bodyPr anchor="ctr">
              <a:noAutofit/>
            </a:bodyPr>
            <a:p>
              <a:r>
                <a:t>Save</a:t>
              </a:r>
            </a:p>
          </xdr:txBody>
        </xdr:sp>
        <xdr:clientData/>
      </xdr:twoCellAnchor>
    </mc:Choice>
  </mc:AlternateContent>
</xdr:wsDr>
</file>

<file path=xl/drawings/drawing39.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Check Box 1" descr=" " hidden="0"/>
            <xdr:cNvSpPr/>
          </xdr:nvSpPr>
          <xdr:spPr>
            <a:xfrm>
              <a:off x="0" y="0"/>
              <a:ext cx="0" cy="0"/>
            </a:xfrm>
            <a:prstGeom prst="rect">
              <a:avLst/>
            </a:prstGeom>
          </xdr:spPr>
          <xdr:txBody>
            <a:bodyPr anchor="ctr">
              <a:noAutofit/>
            </a:bodyPr>
            <a:p>
              <a:r>
                <a:t>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Check Box 2" descr=" " hidden="0"/>
            <xdr:cNvSpPr/>
          </xdr:nvSpPr>
          <xdr:spPr>
            <a:xfrm>
              <a:off x="0" y="0"/>
              <a:ext cx="0" cy="0"/>
            </a:xfrm>
            <a:prstGeom prst="rect">
              <a:avLst/>
            </a:prstGeom>
          </xdr:spPr>
          <xdr:txBody>
            <a:bodyPr anchor="ctr">
              <a:noAutofit/>
            </a:bodyPr>
            <a:p>
              <a:r>
                <a:t>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Check Box 3" descr=" " hidden="0"/>
            <xdr:cNvSpPr/>
          </xdr:nvSpPr>
          <xdr:spPr>
            <a:xfrm>
              <a:off x="0" y="0"/>
              <a:ext cx="0" cy="0"/>
            </a:xfrm>
            <a:prstGeom prst="rect">
              <a:avLst/>
            </a:prstGeom>
          </xdr:spPr>
          <xdr:txBody>
            <a:bodyPr anchor="ctr">
              <a:noAutofit/>
            </a:bodyPr>
            <a:p>
              <a:r>
                <a:t>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Check Box 4" descr=" " hidden="0"/>
            <xdr:cNvSpPr/>
          </xdr:nvSpPr>
          <xdr:spPr>
            <a:xfrm>
              <a:off x="0" y="0"/>
              <a:ext cx="0" cy="0"/>
            </a:xfrm>
            <a:prstGeom prst="rect">
              <a:avLst/>
            </a:prstGeom>
          </xdr:spPr>
          <xdr:txBody>
            <a:bodyPr anchor="ctr">
              <a:noAutofit/>
            </a:bodyPr>
            <a:p>
              <a:r>
                <a:t>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7" descr="Get Rent Comps" hidden="0"/>
            <xdr:cNvSpPr/>
          </xdr:nvSpPr>
          <xdr:spPr>
            <a:xfrm>
              <a:off x="0" y="0"/>
              <a:ext cx="0" cy="0"/>
            </a:xfrm>
            <a:prstGeom prst="rect">
              <a:avLst/>
            </a:prstGeom>
          </xdr:spPr>
          <xdr:txBody>
            <a:bodyPr anchor="ctr">
              <a:noAutofit/>
            </a:bodyPr>
            <a:p>
              <a:r>
                <a:t>Get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8" descr="Get Sale Comps" hidden="0"/>
            <xdr:cNvSpPr/>
          </xdr:nvSpPr>
          <xdr:spPr>
            <a:xfrm>
              <a:off x="0" y="0"/>
              <a:ext cx="0" cy="0"/>
            </a:xfrm>
            <a:prstGeom prst="rect">
              <a:avLst/>
            </a:prstGeom>
          </xdr:spPr>
          <xdr:txBody>
            <a:bodyPr anchor="ctr">
              <a:noAutofit/>
            </a:bodyPr>
            <a:p>
              <a:r>
                <a:t>Get Sale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7" name="Button 15" descr="Get Rent Comps" hidden="0"/>
            <xdr:cNvSpPr/>
          </xdr:nvSpPr>
          <xdr:spPr>
            <a:xfrm>
              <a:off x="0" y="0"/>
              <a:ext cx="0" cy="0"/>
            </a:xfrm>
            <a:prstGeom prst="rect">
              <a:avLst/>
            </a:prstGeom>
          </xdr:spPr>
          <xdr:txBody>
            <a:bodyPr anchor="ctr">
              <a:noAutofit/>
            </a:bodyPr>
            <a:p>
              <a:r>
                <a:t>Get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8" name="Button 16" descr="Get Sale Comps" hidden="0"/>
            <xdr:cNvSpPr/>
          </xdr:nvSpPr>
          <xdr:spPr>
            <a:xfrm>
              <a:off x="0" y="0"/>
              <a:ext cx="0" cy="0"/>
            </a:xfrm>
            <a:prstGeom prst="rect">
              <a:avLst/>
            </a:prstGeom>
          </xdr:spPr>
          <xdr:txBody>
            <a:bodyPr anchor="ctr">
              <a:noAutofit/>
            </a:bodyPr>
            <a:p>
              <a:r>
                <a:t>Get Sale Comps</a:t>
              </a:r>
            </a:p>
          </xdr:txBody>
        </xdr:sp>
        <xdr:clientData/>
      </xdr:twoCellAnchor>
    </mc:Choice>
  </mc:AlternateContent>
</xdr:wsDr>
</file>

<file path=xl/drawings/drawing48.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49" descr="Sort Without Filter" hidden="0"/>
            <xdr:cNvSpPr/>
          </xdr:nvSpPr>
          <xdr:spPr>
            <a:xfrm>
              <a:off x="0" y="0"/>
              <a:ext cx="0" cy="0"/>
            </a:xfrm>
            <a:prstGeom prst="rect">
              <a:avLst/>
            </a:prstGeom>
          </xdr:spPr>
          <xdr:txBody>
            <a:bodyPr anchor="ctr">
              <a:noAutofit/>
            </a:bodyPr>
            <a:p>
              <a:r>
                <a:t>Sort Without Filter</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236" descr="Sort With Filter" hidden="0"/>
            <xdr:cNvSpPr/>
          </xdr:nvSpPr>
          <xdr:spPr>
            <a:xfrm>
              <a:off x="0" y="0"/>
              <a:ext cx="0" cy="0"/>
            </a:xfrm>
            <a:prstGeom prst="rect">
              <a:avLst/>
            </a:prstGeom>
          </xdr:spPr>
          <xdr:txBody>
            <a:bodyPr anchor="ctr">
              <a:noAutofit/>
            </a:bodyPr>
            <a:p>
              <a:r>
                <a:t>Sort With Filter</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3" descr="Sort Without Filter" hidden="0"/>
            <xdr:cNvSpPr/>
          </xdr:nvSpPr>
          <xdr:spPr>
            <a:xfrm>
              <a:off x="0" y="0"/>
              <a:ext cx="0" cy="0"/>
            </a:xfrm>
            <a:prstGeom prst="rect">
              <a:avLst/>
            </a:prstGeom>
          </xdr:spPr>
          <xdr:txBody>
            <a:bodyPr anchor="ctr">
              <a:noAutofit/>
            </a:bodyPr>
            <a:p>
              <a:r>
                <a:t>Sort Without Filter</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4" descr="Sort With Filter" hidden="0"/>
            <xdr:cNvSpPr/>
          </xdr:nvSpPr>
          <xdr:spPr>
            <a:xfrm>
              <a:off x="0" y="0"/>
              <a:ext cx="0" cy="0"/>
            </a:xfrm>
            <a:prstGeom prst="rect">
              <a:avLst/>
            </a:prstGeom>
          </xdr:spPr>
          <xdr:txBody>
            <a:bodyPr anchor="ctr">
              <a:noAutofit/>
            </a:bodyPr>
            <a:p>
              <a:r>
                <a:t>Sort With Filter</a:t>
              </a:r>
            </a:p>
          </xdr:txBody>
        </xdr:sp>
        <xdr:clientData/>
      </xdr:twoCellAnchor>
    </mc:Choice>
  </mc:AlternateContent>
</xdr:wsDr>
</file>

<file path=xl/drawings/drawing53.xml><?xml version="1.0" encoding="utf-8"?>
<xdr:wsDr xmlns:xdr="http://schemas.openxmlformats.org/drawingml/2006/spreadsheetDrawing" xmlns:a="http://schemas.openxmlformats.org/drawingml/2006/main" xmlns:r="http://schemas.openxmlformats.org/officeDocument/2006/relationships"/>
</file>

<file path=xl/drawings/drawing54.xml><?xml version="1.0" encoding="utf-8"?>
<xdr:wsDr xmlns:xdr="http://schemas.openxmlformats.org/drawingml/2006/spreadsheetDrawing" xmlns:a="http://schemas.openxmlformats.org/drawingml/2006/main" xmlns:r="http://schemas.openxmlformats.org/officeDocument/2006/relationships"/>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1.vml"/>
</Relationships>
</file>

<file path=xl/worksheets/_rels/sheet5.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2.vml"/><Relationship Id="rId3" Type="http://schemas.openxmlformats.org/officeDocument/2006/relationships/ctrlProp" Target="../ctrlProps/ctrlProps2.xml"/><Relationship Id="rId4" Type="http://schemas.openxmlformats.org/officeDocument/2006/relationships/ctrlProp" Target="../ctrlProps/ctrlProps3.xml"/><Relationship Id="rId5" Type="http://schemas.openxmlformats.org/officeDocument/2006/relationships/ctrlProp" Target="../ctrlProps/ctrlProps4.xml"/><Relationship Id="rId6" Type="http://schemas.openxmlformats.org/officeDocument/2006/relationships/ctrlProp" Target="../ctrlProps/ctrlProps5.xml"/><Relationship Id="rId7" Type="http://schemas.openxmlformats.org/officeDocument/2006/relationships/ctrlProp" Target="../ctrlProps/ctrlProps6.x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drawing" Target="../drawings/drawing7.xml"/><Relationship Id="rId3" Type="http://schemas.openxmlformats.org/officeDocument/2006/relationships/vmlDrawing" Target="../drawings/vmlDrawing3.vml"/><Relationship Id="rId4" Type="http://schemas.openxmlformats.org/officeDocument/2006/relationships/ctrlProp" Target="../ctrlProps/ctrlProps8.xml"/><Relationship Id="rId5" Type="http://schemas.openxmlformats.org/officeDocument/2006/relationships/ctrlProp" Target="../ctrlProps/ctrlProps9.xml"/><Relationship Id="rId6" Type="http://schemas.openxmlformats.org/officeDocument/2006/relationships/ctrlProp" Target="../ctrlProps/ctrlProps10.xml"/><Relationship Id="rId7" Type="http://schemas.openxmlformats.org/officeDocument/2006/relationships/ctrlProp" Target="../ctrlProps/ctrlProps11.xml"/><Relationship Id="rId8" Type="http://schemas.openxmlformats.org/officeDocument/2006/relationships/ctrlProp" Target="../ctrlProps/ctrlProps12.xml"/><Relationship Id="rId9" Type="http://schemas.openxmlformats.org/officeDocument/2006/relationships/ctrlProp" Target="../ctrlProps/ctrlProps13.xml"/>
</Relationships>
</file>

<file path=xl/worksheets/_rels/sheet7.xml.rels><?xml version="1.0" encoding="UTF-8"?>
<Relationships xmlns="http://schemas.openxmlformats.org/package/2006/relationships"><Relationship Id="rId1" Type="http://schemas.openxmlformats.org/officeDocument/2006/relationships/comments" Target="../comments7.xml"/><Relationship Id="rId2" Type="http://schemas.openxmlformats.org/officeDocument/2006/relationships/drawing" Target="../drawings/drawing14.xml"/><Relationship Id="rId3" Type="http://schemas.openxmlformats.org/officeDocument/2006/relationships/vmlDrawing" Target="../drawings/vmlDrawing4.vml"/><Relationship Id="rId4" Type="http://schemas.openxmlformats.org/officeDocument/2006/relationships/ctrlProp" Target="../ctrlProps/ctrlProps15.xml"/><Relationship Id="rId5" Type="http://schemas.openxmlformats.org/officeDocument/2006/relationships/ctrlProp" Target="../ctrlProps/ctrlProps16.xml"/><Relationship Id="rId6" Type="http://schemas.openxmlformats.org/officeDocument/2006/relationships/ctrlProp" Target="../ctrlProps/ctrlProps17.xml"/><Relationship Id="rId7" Type="http://schemas.openxmlformats.org/officeDocument/2006/relationships/ctrlProp" Target="../ctrlProps/ctrlProps18.xml"/><Relationship Id="rId8" Type="http://schemas.openxmlformats.org/officeDocument/2006/relationships/ctrlProp" Target="../ctrlProps/ctrlProps19.xml"/><Relationship Id="rId9" Type="http://schemas.openxmlformats.org/officeDocument/2006/relationships/ctrlProp" Target="../ctrlProps/ctrlProps20.xml"/><Relationship Id="rId10" Type="http://schemas.openxmlformats.org/officeDocument/2006/relationships/ctrlProp" Target="../ctrlProps/ctrlProps21.xml"/><Relationship Id="rId11" Type="http://schemas.openxmlformats.org/officeDocument/2006/relationships/ctrlProp" Target="../ctrlProps/ctrlProps22.x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drawing" Target="../drawings/drawing23.xml"/><Relationship Id="rId3" Type="http://schemas.openxmlformats.org/officeDocument/2006/relationships/vmlDrawing" Target="../drawings/vmlDrawing5.vml"/><Relationship Id="rId4" Type="http://schemas.openxmlformats.org/officeDocument/2006/relationships/ctrlProp" Target="../ctrlProps/ctrlProps24.xml"/><Relationship Id="rId5" Type="http://schemas.openxmlformats.org/officeDocument/2006/relationships/ctrlProp" Target="../ctrlProps/ctrlProps25.xml"/><Relationship Id="rId6" Type="http://schemas.openxmlformats.org/officeDocument/2006/relationships/ctrlProp" Target="../ctrlProps/ctrlProps26.xml"/><Relationship Id="rId7" Type="http://schemas.openxmlformats.org/officeDocument/2006/relationships/ctrlProp" Target="../ctrlProps/ctrlProps27.xml"/>
</Relationships>
</file>

<file path=xl/worksheets/_rels/sheet9.xml.rels><?xml version="1.0" encoding="UTF-8"?>
<Relationships xmlns="http://schemas.openxmlformats.org/package/2006/relationships"><Relationship Id="rId1" Type="http://schemas.openxmlformats.org/officeDocument/2006/relationships/comments" Target="../comments9.xml"/><Relationship Id="rId2" Type="http://schemas.openxmlformats.org/officeDocument/2006/relationships/drawing" Target="../drawings/drawing28.xml"/><Relationship Id="rId3" Type="http://schemas.openxmlformats.org/officeDocument/2006/relationships/vmlDrawing" Target="../drawings/vmlDrawing6.vml"/><Relationship Id="rId4" Type="http://schemas.openxmlformats.org/officeDocument/2006/relationships/ctrlProp" Target="../ctrlProps/ctrlProps29.xml"/><Relationship Id="rId5" Type="http://schemas.openxmlformats.org/officeDocument/2006/relationships/ctrlProp" Target="../ctrlProps/ctrlProps30.xml"/><Relationship Id="rId6" Type="http://schemas.openxmlformats.org/officeDocument/2006/relationships/ctrlProp" Target="../ctrlProps/ctrlProps31.xml"/><Relationship Id="rId7" Type="http://schemas.openxmlformats.org/officeDocument/2006/relationships/ctrlProp" Target="../ctrlProps/ctrlProps32.xml"/><Relationship Id="rId8" Type="http://schemas.openxmlformats.org/officeDocument/2006/relationships/ctrlProp" Target="../ctrlProps/ctrlProps33.xml"/><Relationship Id="rId9" Type="http://schemas.openxmlformats.org/officeDocument/2006/relationships/ctrlProp" Target="../ctrlProps/ctrlProps34.xml"/><Relationship Id="rId10" Type="http://schemas.openxmlformats.org/officeDocument/2006/relationships/ctrlProp" Target="../ctrlProps/ctrlProps35.xml"/><Relationship Id="rId11" Type="http://schemas.openxmlformats.org/officeDocument/2006/relationships/ctrlProp" Target="../ctrlProps/ctrlProps36.xml"/><Relationship Id="rId12" Type="http://schemas.openxmlformats.org/officeDocument/2006/relationships/ctrlProp" Target="../ctrlProps/ctrlProps37.xml"/><Relationship Id="rId13" Type="http://schemas.openxmlformats.org/officeDocument/2006/relationships/ctrlProp" Target="../ctrlProps/ctrlProps38.x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drawing" Target="../drawings/drawing39.xml"/><Relationship Id="rId3" Type="http://schemas.openxmlformats.org/officeDocument/2006/relationships/vmlDrawing" Target="../drawings/vmlDrawing7.vml"/><Relationship Id="rId4" Type="http://schemas.openxmlformats.org/officeDocument/2006/relationships/ctrlProp" Target="../ctrlProps/ctrlProps40.xml"/><Relationship Id="rId5" Type="http://schemas.openxmlformats.org/officeDocument/2006/relationships/ctrlProp" Target="../ctrlProps/ctrlProps41.xml"/><Relationship Id="rId6" Type="http://schemas.openxmlformats.org/officeDocument/2006/relationships/ctrlProp" Target="../ctrlProps/ctrlProps42.xml"/><Relationship Id="rId7" Type="http://schemas.openxmlformats.org/officeDocument/2006/relationships/ctrlProp" Target="../ctrlProps/ctrlProps43.xml"/><Relationship Id="rId8" Type="http://schemas.openxmlformats.org/officeDocument/2006/relationships/ctrlProp" Target="../ctrlProps/ctrlProps44.xml"/><Relationship Id="rId9" Type="http://schemas.openxmlformats.org/officeDocument/2006/relationships/ctrlProp" Target="../ctrlProps/ctrlProps45.xml"/><Relationship Id="rId10" Type="http://schemas.openxmlformats.org/officeDocument/2006/relationships/ctrlProp" Target="../ctrlProps/ctrlProps46.xml"/><Relationship Id="rId11" Type="http://schemas.openxmlformats.org/officeDocument/2006/relationships/ctrlProp" Target="../ctrlProps/ctrlProps47.xml"/>
</Relationships>
</file>

<file path=xl/worksheets/_rels/sheet13.xml.rels><?xml version="1.0" encoding="UTF-8"?>
<Relationships xmlns="http://schemas.openxmlformats.org/package/2006/relationships"><Relationship Id="rId1" Type="http://schemas.openxmlformats.org/officeDocument/2006/relationships/comments" Target="../comments13.xml"/><Relationship Id="rId2" Type="http://schemas.openxmlformats.org/officeDocument/2006/relationships/vmlDrawing" Target="../drawings/vmlDrawing8.vml"/>
</Relationships>
</file>

<file path=xl/worksheets/_rels/sheet20.xml.rels><?xml version="1.0" encoding="UTF-8"?>
<Relationships xmlns="http://schemas.openxmlformats.org/package/2006/relationships"><Relationship Id="rId1" Type="http://schemas.openxmlformats.org/officeDocument/2006/relationships/drawing" Target="../drawings/drawing48.xml"/><Relationship Id="rId2" Type="http://schemas.openxmlformats.org/officeDocument/2006/relationships/vmlDrawing" Target="../drawings/vmlDrawing9.vml"/><Relationship Id="rId3" Type="http://schemas.openxmlformats.org/officeDocument/2006/relationships/ctrlProp" Target="../ctrlProps/ctrlProps49.xml"/><Relationship Id="rId4" Type="http://schemas.openxmlformats.org/officeDocument/2006/relationships/ctrlProp" Target="../ctrlProps/ctrlProps50.xml"/><Relationship Id="rId5" Type="http://schemas.openxmlformats.org/officeDocument/2006/relationships/ctrlProp" Target="../ctrlProps/ctrlProps51.xml"/><Relationship Id="rId6" Type="http://schemas.openxmlformats.org/officeDocument/2006/relationships/ctrlProp" Target="../ctrlProps/ctrlProps52.xml"/>
</Relationships>
</file>

<file path=xl/worksheets/_rels/sheet21.xml.rels><?xml version="1.0" encoding="UTF-8"?>
<Relationships xmlns="http://schemas.openxmlformats.org/package/2006/relationships"><Relationship Id="rId1" Type="http://schemas.openxmlformats.org/officeDocument/2006/relationships/drawing" Target="../drawings/drawing53.xml"/>
</Relationships>
</file>

<file path=xl/worksheets/_rels/sheet25.xml.rels><?xml version="1.0" encoding="UTF-8"?>
<Relationships xmlns="http://schemas.openxmlformats.org/package/2006/relationships"><Relationship Id="rId1" Type="http://schemas.openxmlformats.org/officeDocument/2006/relationships/hyperlink" Target="https://adamscountyco.gov/service/search-real-property/" TargetMode="External"/><Relationship Id="rId2" Type="http://schemas.openxmlformats.org/officeDocument/2006/relationships/hyperlink" Target="https://gisapp.adcogov.org/quicksearch/" TargetMode="External"/><Relationship Id="rId3" Type="http://schemas.openxmlformats.org/officeDocument/2006/relationships/hyperlink" Target="https://adamscountyco.gov/service/gis-interactive-maps/" TargetMode="External"/><Relationship Id="rId4" Type="http://schemas.openxmlformats.org/officeDocument/2006/relationships/hyperlink" Target="https://recording.adamscountyco.gov/landmarkweb/" TargetMode="External"/><Relationship Id="rId5" Type="http://schemas.openxmlformats.org/officeDocument/2006/relationships/hyperlink" Target="https://adamscountyco.gov/our-county/elected-officials/clerk-recorder/recording/land-survey-plats/" TargetMode="External"/><Relationship Id="rId6" Type="http://schemas.openxmlformats.org/officeDocument/2006/relationships/hyperlink" Target="https://adcotax.com/" TargetMode="External"/><Relationship Id="rId7" Type="http://schemas.openxmlformats.org/officeDocument/2006/relationships/hyperlink" Target="https://apps.adcogov.org/PTForeclosureSearch/?ds=1" TargetMode="External"/><Relationship Id="rId8" Type="http://schemas.openxmlformats.org/officeDocument/2006/relationships/hyperlink" Target="https://adamscountyco.gov/our-county/community-economic-development/planning-development/" TargetMode="External"/><Relationship Id="rId9" Type="http://schemas.openxmlformats.org/officeDocument/2006/relationships/hyperlink" Target="https://adamscountyco.gov/our-county/community-economic-development/planning-development/current-land-use-cases/" TargetMode="External"/><Relationship Id="rId10" Type="http://schemas.openxmlformats.org/officeDocument/2006/relationships/hyperlink" Target="https://adamscountyco.gov/our-county/community-economic-development/building-safety/building-permit/" TargetMode="External"/><Relationship Id="rId11" Type="http://schemas.openxmlformats.org/officeDocument/2006/relationships/hyperlink" Target="https://co.colorado.gov/search-business-records" TargetMode="External"/><Relationship Id="rId12" Type="http://schemas.openxmlformats.org/officeDocument/2006/relationships/hyperlink" Target="https://gis.dola.colorado.gov/CO_SpecialDistrict/" TargetMode="External"/><Relationship Id="rId13" Type="http://schemas.openxmlformats.org/officeDocument/2006/relationships/hyperlink" Target="https://gis.dola.colorado.gov/CO_SpecialDistrict/" TargetMode="External"/><Relationship Id="rId14" Type="http://schemas.openxmlformats.org/officeDocument/2006/relationships/hyperlink" Target="https://gis.dola.colorado.gov/CO_SpecialDistrict/" TargetMode="External"/><Relationship Id="rId15" Type="http://schemas.openxmlformats.org/officeDocument/2006/relationships/hyperlink" Target="https://ecmc.state.co.us/maps.html" TargetMode="External"/><Relationship Id="rId16" Type="http://schemas.openxmlformats.org/officeDocument/2006/relationships/hyperlink" Target="https://www.fema.gov/flood-maps" TargetMode="External"/><Relationship Id="rId17" Type="http://schemas.openxmlformats.org/officeDocument/2006/relationships/hyperlink" Target="https://cdphe.colorado.gov/maps-and-gis-for-health-and-environment" TargetMode="External"/><Relationship Id="rId18" Type="http://schemas.openxmlformats.org/officeDocument/2006/relationships/hyperlink" Target="https://websoilsurvey.nrcs.usda.gov/" TargetMode="External"/><Relationship Id="rId19" Type="http://schemas.openxmlformats.org/officeDocument/2006/relationships/hyperlink" Target="https://dtdapps.codot.gov/otis" TargetMode="External"/><Relationship Id="rId20" Type="http://schemas.openxmlformats.org/officeDocument/2006/relationships/hyperlink" Target="https://adamscountyco.gov/" TargetMode="External"/><Relationship Id="rId21" Type="http://schemas.openxmlformats.org/officeDocument/2006/relationships/hyperlink" Target="https://adamscountyco.gov/service/gis-interactive-maps/" TargetMode="External"/><Relationship Id="rId22" Type="http://schemas.openxmlformats.org/officeDocument/2006/relationships/hyperlink" Target="https://adamscountyco.gov/our-county/community-economic-development/planning-development/development-standards-regulations/" TargetMode="External"/><Relationship Id="rId23" Type="http://schemas.openxmlformats.org/officeDocument/2006/relationships/hyperlink" Target="https://adamscountyco.gov/our-county/community-economic-development/planning-development/" TargetMode="External"/><Relationship Id="rId24" Type="http://schemas.openxmlformats.org/officeDocument/2006/relationships/hyperlink" Target="https://adamscountyco.gov/our-county/community-economic-development/planning-development/current-land-use-cases/" TargetMode="External"/><Relationship Id="rId25" Type="http://schemas.openxmlformats.org/officeDocument/2006/relationships/hyperlink" Target="https://adamscountyco.gov/our-county/community-economic-development/building-safety/building-permit/" TargetMode="External"/><Relationship Id="rId26" Type="http://schemas.openxmlformats.org/officeDocument/2006/relationships/hyperlink" Target="https://adamscountyco.gov/our-county/community-economic-development/advancing-adams/comprehensive-plan/" TargetMode="External"/><Relationship Id="rId27" Type="http://schemas.openxmlformats.org/officeDocument/2006/relationships/hyperlink" Target="https://adamscountyco.gov/about-adams-county/public-meetings/" TargetMode="External"/><Relationship Id="rId28" Type="http://schemas.openxmlformats.org/officeDocument/2006/relationships/hyperlink" Target="https://adamscountyco.gov/our-county/community-economic-development/planning-development/current-land-use-cases/" TargetMode="External"/><Relationship Id="rId29" Type="http://schemas.openxmlformats.org/officeDocument/2006/relationships/hyperlink" Target="https://adamscountyco.gov/about-adams-county/news/" TargetMode="External"/><Relationship Id="rId30" Type="http://schemas.openxmlformats.org/officeDocument/2006/relationships/hyperlink" Target="https://www.arvadaco.gov/" TargetMode="External"/><Relationship Id="rId31" Type="http://schemas.openxmlformats.org/officeDocument/2006/relationships/hyperlink" Target="https://www.arvadaco.gov/702/Maps-and-Property-Search" TargetMode="External"/><Relationship Id="rId32" Type="http://schemas.openxmlformats.org/officeDocument/2006/relationships/hyperlink" Target="https://www.arvadaco.gov/168/Zoning" TargetMode="External"/><Relationship Id="rId33" Type="http://schemas.openxmlformats.org/officeDocument/2006/relationships/hyperlink" Target="https://www.arvadaco.gov/1369/Planning-and-Development" TargetMode="External"/><Relationship Id="rId34" Type="http://schemas.openxmlformats.org/officeDocument/2006/relationships/hyperlink" Target="https://www.arvadaco.gov/1394/Active-Development-Projects" TargetMode="External"/><Relationship Id="rId35" Type="http://schemas.openxmlformats.org/officeDocument/2006/relationships/hyperlink" Target="https://www.arvadaco.gov/330/Permits" TargetMode="External"/><Relationship Id="rId36" Type="http://schemas.openxmlformats.org/officeDocument/2006/relationships/hyperlink" Target="https://www.arvadaco.gov/1374/2026-27-Comprehensive-Plan" TargetMode="External"/><Relationship Id="rId37" Type="http://schemas.openxmlformats.org/officeDocument/2006/relationships/hyperlink" Target="https://www.arvadaco.gov/AgendaCenter" TargetMode="External"/><Relationship Id="rId38" Type="http://schemas.openxmlformats.org/officeDocument/2006/relationships/hyperlink" Target="https://www.arvadaco.gov/245/Meetings-and-Other-Legal-Notices" TargetMode="External"/><Relationship Id="rId39" Type="http://schemas.openxmlformats.org/officeDocument/2006/relationships/hyperlink" Target="https://www.arvadaco.gov/908/News-Releases" TargetMode="External"/><Relationship Id="rId40" Type="http://schemas.openxmlformats.org/officeDocument/2006/relationships/hyperlink" Target="https://www.auroragov.org/" TargetMode="External"/><Relationship Id="rId41" Type="http://schemas.openxmlformats.org/officeDocument/2006/relationships/hyperlink" Target="https://www.auroragov.org/city_hall/maps/planning_and_zoning_maps" TargetMode="External"/><Relationship Id="rId42" Type="http://schemas.openxmlformats.org/officeDocument/2006/relationships/hyperlink" Target="https://zoning.auroragov.org/" TargetMode="External"/><Relationship Id="rId43" Type="http://schemas.openxmlformats.org/officeDocument/2006/relationships/hyperlink" Target="https://www.auroragov.org/business_services/planning" TargetMode="External"/><Relationship Id="rId44" Type="http://schemas.openxmlformats.org/officeDocument/2006/relationships/hyperlink" Target="https://coaapps.auroragov.org/ProjectStatus/search.aspx" TargetMode="External"/><Relationship Id="rId45" Type="http://schemas.openxmlformats.org/officeDocument/2006/relationships/hyperlink" Target="https://www.auroragov.org/business_services/building_division/permits" TargetMode="External"/><Relationship Id="rId46" Type="http://schemas.openxmlformats.org/officeDocument/2006/relationships/hyperlink" Target="https://www.auroragov.org/business_services/planning/projects__plans___studies/comprehensive_plan" TargetMode="External"/><Relationship Id="rId47" Type="http://schemas.openxmlformats.org/officeDocument/2006/relationships/hyperlink" Target="https://www.auroragov.org/city_hall/mayor___city_council/council_meetings" TargetMode="External"/><Relationship Id="rId48" Type="http://schemas.openxmlformats.org/officeDocument/2006/relationships/hyperlink" Target="https://www.auroragov.org/city_hall/public_records/legal_notices/public_hearings" TargetMode="External"/><Relationship Id="rId49" Type="http://schemas.openxmlformats.org/officeDocument/2006/relationships/hyperlink" Target="https://www.auroragov.org/news/whats_new" TargetMode="External"/><Relationship Id="rId50" Type="http://schemas.openxmlformats.org/officeDocument/2006/relationships/hyperlink" Target="https://www.bennettco.gov/" TargetMode="External"/><Relationship Id="rId51" Type="http://schemas.openxmlformats.org/officeDocument/2006/relationships/hyperlink" Target="https://www.bennettco.gov/business/page/bennett-zoning-map" TargetMode="External"/><Relationship Id="rId52" Type="http://schemas.openxmlformats.org/officeDocument/2006/relationships/hyperlink" Target="https://www.bennettco.gov/planning-economic-development/page/zoning-and-subdivision-regulations" TargetMode="External"/><Relationship Id="rId53" Type="http://schemas.openxmlformats.org/officeDocument/2006/relationships/hyperlink" Target="https://www.bennettco.gov/planning-economic-development/page/planning-and-zoning" TargetMode="External"/><Relationship Id="rId54" Type="http://schemas.openxmlformats.org/officeDocument/2006/relationships/hyperlink" Target="https://www.bennettco.gov/projects" TargetMode="External"/><Relationship Id="rId55" Type="http://schemas.openxmlformats.org/officeDocument/2006/relationships/hyperlink" Target="https://www.bennettco.gov/community-development/page/building-department" TargetMode="External"/><Relationship Id="rId56" Type="http://schemas.openxmlformats.org/officeDocument/2006/relationships/hyperlink" Target="https://www.bennettco.gov/planning-economic-development/page/master-plans-and-guiding-documents" TargetMode="External"/><Relationship Id="rId57" Type="http://schemas.openxmlformats.org/officeDocument/2006/relationships/hyperlink" Target="https://www.bennettco.gov/meetings/recent" TargetMode="External"/><Relationship Id="rId58" Type="http://schemas.openxmlformats.org/officeDocument/2006/relationships/hyperlink" Target="https://www.bennettco.gov/town-clerk/page/public-records" TargetMode="External"/><Relationship Id="rId59" Type="http://schemas.openxmlformats.org/officeDocument/2006/relationships/hyperlink" Target="https://www.bennettco.gov/news" TargetMode="External"/><Relationship Id="rId60" Type="http://schemas.openxmlformats.org/officeDocument/2006/relationships/hyperlink" Target="https://www.brightonco.gov/" TargetMode="External"/><Relationship Id="rId61" Type="http://schemas.openxmlformats.org/officeDocument/2006/relationships/hyperlink" Target="https://www.brightonco.gov/248/Geographic-Information-Systems" TargetMode="External"/><Relationship Id="rId62" Type="http://schemas.openxmlformats.org/officeDocument/2006/relationships/hyperlink" Target="https://www.brightonco.gov/363/Land-Use-Development-Code" TargetMode="External"/><Relationship Id="rId63" Type="http://schemas.openxmlformats.org/officeDocument/2006/relationships/hyperlink" Target="https://www.brightonco.gov/224/Planning-Zoning" TargetMode="External"/><Relationship Id="rId64" Type="http://schemas.openxmlformats.org/officeDocument/2006/relationships/hyperlink" Target="https://www.brightonco.gov/1596/Interactive-Development-Map" TargetMode="External"/><Relationship Id="rId65" Type="http://schemas.openxmlformats.org/officeDocument/2006/relationships/hyperlink" Target="https://www.brightonco.gov/222/Permitting" TargetMode="External"/><Relationship Id="rId66" Type="http://schemas.openxmlformats.org/officeDocument/2006/relationships/hyperlink" Target="https://www.brightonco.gov/553/Long-Range-Planning" TargetMode="External"/><Relationship Id="rId67" Type="http://schemas.openxmlformats.org/officeDocument/2006/relationships/hyperlink" Target="https://www.brightonco.gov/agendacenter" TargetMode="External"/><Relationship Id="rId68" Type="http://schemas.openxmlformats.org/officeDocument/2006/relationships/hyperlink" Target="https://www.brightonco.gov/453/Legal-Notices" TargetMode="External"/><Relationship Id="rId69" Type="http://schemas.openxmlformats.org/officeDocument/2006/relationships/hyperlink" Target="https://www.brightonco.gov/175/News" TargetMode="External"/><Relationship Id="rId70" Type="http://schemas.openxmlformats.org/officeDocument/2006/relationships/hyperlink" Target="https://www.c3gov.com/Home" TargetMode="External"/><Relationship Id="rId71" Type="http://schemas.openxmlformats.org/officeDocument/2006/relationships/hyperlink" Target="https://www.c3gov.com/Residents/Maps-Data-GIS" TargetMode="External"/><Relationship Id="rId72" Type="http://schemas.openxmlformats.org/officeDocument/2006/relationships/hyperlink" Target="https://www.c3gov.com/Government/City-Codes/Land-Development-Code" TargetMode="External"/><Relationship Id="rId73" Type="http://schemas.openxmlformats.org/officeDocument/2006/relationships/hyperlink" Target="https://www.c3gov.com/Government/Departments-Divisions/Community-Development" TargetMode="External"/><Relationship Id="rId74" Type="http://schemas.openxmlformats.org/officeDocument/2006/relationships/hyperlink" Target="https://www.c3gov.com/Business-Development/Development-Projects-Map" TargetMode="External"/><Relationship Id="rId75" Type="http://schemas.openxmlformats.org/officeDocument/2006/relationships/hyperlink" Target="https://www.c3gov.com/Business-Development/Building-Permits-Inspections" TargetMode="External"/><Relationship Id="rId76" Type="http://schemas.openxmlformats.org/officeDocument/2006/relationships/hyperlink" Target="https://www.c3gov.com/Government/City-Charter-Master-Plans/Comprehensive-Plan" TargetMode="External"/><Relationship Id="rId77" Type="http://schemas.openxmlformats.org/officeDocument/2006/relationships/hyperlink" Target="https://www.c3gov.com/Site-Footer/Footer-Widgets/Quick-Links/Meeting-Agendas-and-Schedules" TargetMode="External"/><Relationship Id="rId78" Type="http://schemas.openxmlformats.org/officeDocument/2006/relationships/hyperlink" Target="https://www.c3gov.com/Government/Departments-Divisions/City-Clerks-Office/Legal-Notices-Ordinances" TargetMode="External"/><Relationship Id="rId79" Type="http://schemas.openxmlformats.org/officeDocument/2006/relationships/hyperlink" Target="https://www.c3gov.com/Government/Media-News/News-Announcements" TargetMode="External"/><Relationship Id="rId80" Type="http://schemas.openxmlformats.org/officeDocument/2006/relationships/hyperlink" Target="https://www.fedheights.org/" TargetMode="External"/><Relationship Id="rId81" Type="http://schemas.openxmlformats.org/officeDocument/2006/relationships/hyperlink" Target="https://www.fedheights.org/index.asp?SEC=D1A883BE-0C29-4602-8CC9-5D6A08DA5503" TargetMode="External"/><Relationship Id="rId82" Type="http://schemas.openxmlformats.org/officeDocument/2006/relationships/hyperlink" Target="https://www.fedheights.org/index.asp?SEC=D7AA9940-8607-468A-8215-7308DD3BF799" TargetMode="External"/><Relationship Id="rId83" Type="http://schemas.openxmlformats.org/officeDocument/2006/relationships/hyperlink" Target="https://www.fedheights.org/planning" TargetMode="External"/><Relationship Id="rId84" Type="http://schemas.openxmlformats.org/officeDocument/2006/relationships/hyperlink" Target="https://www.fedheights.org/index.asp?SEC=%7B76F23E1D-0819-4BAB-BD73-23D6092E8A3B%7D&amp;persistdesign=none" TargetMode="External"/><Relationship Id="rId85" Type="http://schemas.openxmlformats.org/officeDocument/2006/relationships/hyperlink" Target="https://www.fedheights.org/index.asp?SEC=D1CB6EB6-9C4B-4FA8-B119-EF1785E54CB6" TargetMode="External"/><Relationship Id="rId86" Type="http://schemas.openxmlformats.org/officeDocument/2006/relationships/hyperlink" Target="https://www.fedheights.org/index.asp?SEC=%7B5CF1D2C4-3E29-4A1A-BBFA-2BE19B3ABFD0%7D" TargetMode="External"/><Relationship Id="rId87" Type="http://schemas.openxmlformats.org/officeDocument/2006/relationships/hyperlink" Target="https://www.fedheights.org/index.asp?SEC=%7BE66D34DF-8290-4807-83DA-3AF56D110C00%7D" TargetMode="External"/><Relationship Id="rId88" Type="http://schemas.openxmlformats.org/officeDocument/2006/relationships/hyperlink" Target="https://www.fedheights.org/index.asp?SEC=%7B13723B89-BA4A-47C1-9634-50363F8CD1D2%7D&amp;persistdesign=none" TargetMode="External"/><Relationship Id="rId89" Type="http://schemas.openxmlformats.org/officeDocument/2006/relationships/hyperlink" Target="https://www.fedheights.org/index.asp?SEC=407F7286-34E9-495F-B5F7-88E905D7C9A5" TargetMode="External"/><Relationship Id="rId90" Type="http://schemas.openxmlformats.org/officeDocument/2006/relationships/hyperlink" Target="https://www.lochbuie.org/" TargetMode="External"/><Relationship Id="rId91" Type="http://schemas.openxmlformats.org/officeDocument/2006/relationships/hyperlink" Target="https://www.lochbuie.org/community-dev/page/interactive-land-use-map" TargetMode="External"/><Relationship Id="rId92" Type="http://schemas.openxmlformats.org/officeDocument/2006/relationships/hyperlink" Target="https://www.lochbuie.org/administration/page/zoning-map" TargetMode="External"/><Relationship Id="rId93" Type="http://schemas.openxmlformats.org/officeDocument/2006/relationships/hyperlink" Target="https://www.lochbuie.org/community-dev/page/current-planning" TargetMode="External"/><Relationship Id="rId94" Type="http://schemas.openxmlformats.org/officeDocument/2006/relationships/hyperlink" Target="https://www.lochbuie.org/projects" TargetMode="External"/><Relationship Id="rId95" Type="http://schemas.openxmlformats.org/officeDocument/2006/relationships/hyperlink" Target="https://www.lochbuie.org/community-dev/page/building-permits-and-inspections" TargetMode="External"/><Relationship Id="rId96" Type="http://schemas.openxmlformats.org/officeDocument/2006/relationships/hyperlink" Target="https://www.lochbuie.org/community-dev/page/documents" TargetMode="External"/><Relationship Id="rId97" Type="http://schemas.openxmlformats.org/officeDocument/2006/relationships/hyperlink" Target="https://www.lochbuie.org/meetings" TargetMode="External"/><Relationship Id="rId98" Type="http://schemas.openxmlformats.org/officeDocument/2006/relationships/hyperlink" Target="https://www.lochbuie.org/publicnotice" TargetMode="External"/><Relationship Id="rId99" Type="http://schemas.openxmlformats.org/officeDocument/2006/relationships/hyperlink" Target="https://www.lochbuie.org/news" TargetMode="External"/><Relationship Id="rId100" Type="http://schemas.openxmlformats.org/officeDocument/2006/relationships/hyperlink" Target="https://www.northglenn.org/" TargetMode="External"/><Relationship Id="rId101" Type="http://schemas.openxmlformats.org/officeDocument/2006/relationships/hyperlink" Target="https://biz.northglenn.org/quickzone" TargetMode="External"/><Relationship Id="rId102" Type="http://schemas.openxmlformats.org/officeDocument/2006/relationships/hyperlink" Target="https://www.northglenn.org/government/land_use_zoning/new_code_northglenn.php" TargetMode="External"/><Relationship Id="rId103" Type="http://schemas.openxmlformats.org/officeDocument/2006/relationships/hyperlink" Target="https://www.northglenn.org/government/departments/planning_development/index.php" TargetMode="External"/><Relationship Id="rId104" Type="http://schemas.openxmlformats.org/officeDocument/2006/relationships/hyperlink" Target="https://www.northglenn.org/government/project_updates/" TargetMode="External"/><Relationship Id="rId105" Type="http://schemas.openxmlformats.org/officeDocument/2006/relationships/hyperlink" Target="https://www.northglenn.org/government/departments/building/pull_a_permit.php" TargetMode="External"/><Relationship Id="rId106" Type="http://schemas.openxmlformats.org/officeDocument/2006/relationships/hyperlink" Target="https://www.northglenn.org/government/land_use_zoning/comprehensive_plan.php" TargetMode="External"/><Relationship Id="rId107" Type="http://schemas.openxmlformats.org/officeDocument/2006/relationships/hyperlink" Target="https://webdocs.northglenn.org/" TargetMode="External"/><Relationship Id="rId108" Type="http://schemas.openxmlformats.org/officeDocument/2006/relationships/hyperlink" Target="https://webdocs.northglenn.org/" TargetMode="External"/><Relationship Id="rId109" Type="http://schemas.openxmlformats.org/officeDocument/2006/relationships/hyperlink" Target="https://www.northglenn.org/newslist.php" TargetMode="External"/><Relationship Id="rId110" Type="http://schemas.openxmlformats.org/officeDocument/2006/relationships/hyperlink" Target="https://www.thorntonco.gov/" TargetMode="External"/><Relationship Id="rId111" Type="http://schemas.openxmlformats.org/officeDocument/2006/relationships/hyperlink" Target="https://cityofthornton.maps.arcgis.com/apps/webappviewer/index.html?id=643abe02e8b8446586b6eb6d8ed43f84" TargetMode="External"/><Relationship Id="rId112" Type="http://schemas.openxmlformats.org/officeDocument/2006/relationships/hyperlink" Target="https://www.thorntonco.gov/business-development/city-development/current-planning-zoning/zoning-districts-uses-and-regulations" TargetMode="External"/><Relationship Id="rId113" Type="http://schemas.openxmlformats.org/officeDocument/2006/relationships/hyperlink" Target="https://www.thorntonco.gov/business-development/city-development" TargetMode="External"/><Relationship Id="rId114" Type="http://schemas.openxmlformats.org/officeDocument/2006/relationships/hyperlink" Target="https://www.thorntonco.gov/business-development/active-development" TargetMode="External"/><Relationship Id="rId115" Type="http://schemas.openxmlformats.org/officeDocument/2006/relationships/hyperlink" Target="https://www.thorntonco.gov/business-development/city-development/building-permits-inspections" TargetMode="External"/><Relationship Id="rId116" Type="http://schemas.openxmlformats.org/officeDocument/2006/relationships/hyperlink" Target="https://www.thorntonco.gov/business-development/city-development/long-range-planning/plans/thornton-comprehensive-plan" TargetMode="External"/><Relationship Id="rId117" Type="http://schemas.openxmlformats.org/officeDocument/2006/relationships/hyperlink" Target="https://www.thorntonco.gov/government/mayor-council/upcoming-meetings" TargetMode="External"/><Relationship Id="rId118" Type="http://schemas.openxmlformats.org/officeDocument/2006/relationships/hyperlink" Target="https://www.thorntonco.gov/government/public-notices" TargetMode="External"/><Relationship Id="rId119" Type="http://schemas.openxmlformats.org/officeDocument/2006/relationships/hyperlink" Target="https://www.thorntonco.gov/news" TargetMode="External"/><Relationship Id="rId120" Type="http://schemas.openxmlformats.org/officeDocument/2006/relationships/hyperlink" Target="https://www.westminsterco.gov/" TargetMode="External"/><Relationship Id="rId121" Type="http://schemas.openxmlformats.org/officeDocument/2006/relationships/hyperlink" Target="https://www.westminsterco.gov/471/Maps" TargetMode="External"/><Relationship Id="rId122" Type="http://schemas.openxmlformats.org/officeDocument/2006/relationships/hyperlink" Target="https://www.westminsterco.gov/727/Zoning" TargetMode="External"/><Relationship Id="rId123" Type="http://schemas.openxmlformats.org/officeDocument/2006/relationships/hyperlink" Target="https://www.westminsterco.gov/707/Planning" TargetMode="External"/><Relationship Id="rId124" Type="http://schemas.openxmlformats.org/officeDocument/2006/relationships/hyperlink" Target="https://www.westminsterco.gov/855/Current-Development-Project-Map" TargetMode="External"/><Relationship Id="rId125" Type="http://schemas.openxmlformats.org/officeDocument/2006/relationships/hyperlink" Target="https://www.westminsterco.gov/617/Apply-for-a-Permit-Project" TargetMode="External"/><Relationship Id="rId126" Type="http://schemas.openxmlformats.org/officeDocument/2006/relationships/hyperlink" Target="https://www.westminsterco.gov/DocumentCenter/View/5605/Comprehensive-Plan_November2025-LR" TargetMode="External"/><Relationship Id="rId127" Type="http://schemas.openxmlformats.org/officeDocument/2006/relationships/hyperlink" Target="https://www.westminsterco.gov/AgendaCenter" TargetMode="External"/><Relationship Id="rId128" Type="http://schemas.openxmlformats.org/officeDocument/2006/relationships/hyperlink" Target="https://www.westminsterco.gov/1098/Public-Notices" TargetMode="External"/><Relationship Id="rId129" Type="http://schemas.openxmlformats.org/officeDocument/2006/relationships/hyperlink" Target="https://www.westminsterco.gov/m/NewsFlash" TargetMode="External"/>
</Relationships>
</file>

<file path=xl/worksheets/_rels/sheet26.xml.rels><?xml version="1.0" encoding="UTF-8"?>
<Relationships xmlns="http://schemas.openxmlformats.org/package/2006/relationships"><Relationship Id="rId1" Type="http://schemas.openxmlformats.org/officeDocument/2006/relationships/hyperlink" Target="https://adamscountyco.gov/about-adams-county/cities-towns/" TargetMode="External"/><Relationship Id="rId2" Type="http://schemas.openxmlformats.org/officeDocument/2006/relationships/hyperlink" Target="https://adamscountyco.gov/service/search-real-property/" TargetMode="External"/><Relationship Id="rId3" Type="http://schemas.openxmlformats.org/officeDocument/2006/relationships/hyperlink" Target="https://gisapp.adcogov.org/quicksearch/" TargetMode="External"/><Relationship Id="rId4" Type="http://schemas.openxmlformats.org/officeDocument/2006/relationships/hyperlink" Target="https://adamscountyco.gov/our-county/elected-officials/assessor/" TargetMode="External"/><Relationship Id="rId5" Type="http://schemas.openxmlformats.org/officeDocument/2006/relationships/hyperlink" Target="https://adamscountyco.gov/our-county/elected-officials/assessor/maps-data/" TargetMode="External"/><Relationship Id="rId6" Type="http://schemas.openxmlformats.org/officeDocument/2006/relationships/hyperlink" Target="https://adamscountyco.gov/service/gis-interactive-maps/" TargetMode="External"/><Relationship Id="rId7" Type="http://schemas.openxmlformats.org/officeDocument/2006/relationships/hyperlink" Target="https://adamscountyco.gov/our-county/information-technology-innovation/geographic-information-systems/" TargetMode="External"/><Relationship Id="rId8" Type="http://schemas.openxmlformats.org/officeDocument/2006/relationships/hyperlink" Target="https://adamscountyco.gov/service/find-public-records-recorded-documents/" TargetMode="External"/><Relationship Id="rId9" Type="http://schemas.openxmlformats.org/officeDocument/2006/relationships/hyperlink" Target="https://recording.adamscountyco.gov/landmarkweb/" TargetMode="External"/><Relationship Id="rId10" Type="http://schemas.openxmlformats.org/officeDocument/2006/relationships/hyperlink" Target="https://adamscountyco.gov/our-county/elected-officials/clerk-recorder/recording/" TargetMode="External"/><Relationship Id="rId11" Type="http://schemas.openxmlformats.org/officeDocument/2006/relationships/hyperlink" Target="https://adamscountyco.gov/our-county/elected-officials/clerk-recorder/recording/land-survey-plats/" TargetMode="External"/><Relationship Id="rId12" Type="http://schemas.openxmlformats.org/officeDocument/2006/relationships/hyperlink" Target="https://adamscountyco.gov/our-county/elected-officials/clerk-recorder/recording/public-document-postings/" TargetMode="External"/><Relationship Id="rId13" Type="http://schemas.openxmlformats.org/officeDocument/2006/relationships/hyperlink" Target="https://adcotax.com/" TargetMode="External"/><Relationship Id="rId14" Type="http://schemas.openxmlformats.org/officeDocument/2006/relationships/hyperlink" Target="https://adamscountyco.gov/our-county/elected-officials/treasurer-public-trustee/treasurer-division/" TargetMode="External"/><Relationship Id="rId15" Type="http://schemas.openxmlformats.org/officeDocument/2006/relationships/hyperlink" Target="https://adamscountyco.gov/our-county/elected-officials/treasurer-public-trustee/treasurer-division/property-tax-information/" TargetMode="External"/><Relationship Id="rId16" Type="http://schemas.openxmlformats.org/officeDocument/2006/relationships/hyperlink" Target="https://adamscountyco.gov/our-county/elected-officials/treasurer-public-trustee/treasurer-division/tax-lien-sale/" TargetMode="External"/><Relationship Id="rId17" Type="http://schemas.openxmlformats.org/officeDocument/2006/relationships/hyperlink" Target="https://adamscountyco.gov/our-county/elected-officials/treasurer-public-trustee/treasurer-division/tax-lien-sale/treasurers-deed/" TargetMode="External"/><Relationship Id="rId18" Type="http://schemas.openxmlformats.org/officeDocument/2006/relationships/hyperlink" Target="https://adamscountyco.gov/our-county/elected-officials/treasurer-public-trustee/public-trustee-division/" TargetMode="External"/><Relationship Id="rId19" Type="http://schemas.openxmlformats.org/officeDocument/2006/relationships/hyperlink" Target="https://apps.adcogov.org/PTForeclosureSearch/?ds=1" TargetMode="External"/><Relationship Id="rId20" Type="http://schemas.openxmlformats.org/officeDocument/2006/relationships/hyperlink" Target="https://apps.adcogov.org/PTForeclosureSearch/reports" TargetMode="External"/><Relationship Id="rId21" Type="http://schemas.openxmlformats.org/officeDocument/2006/relationships/hyperlink" Target="https://adamscountyco.gov/our-county/community-economic-development/planning-development/" TargetMode="External"/><Relationship Id="rId22" Type="http://schemas.openxmlformats.org/officeDocument/2006/relationships/hyperlink" Target="https://adamscountyco.gov/our-county/community-economic-development/planning-development/development-standards-regulations/" TargetMode="External"/><Relationship Id="rId23" Type="http://schemas.openxmlformats.org/officeDocument/2006/relationships/hyperlink" Target="https://adamscountyco.gov/our-county/community-economic-development/planning-development/current-land-use-cases/" TargetMode="External"/><Relationship Id="rId24" Type="http://schemas.openxmlformats.org/officeDocument/2006/relationships/hyperlink" Target="https://adamscountyco.gov/our-county/community-economic-development/advancing-adams/comprehensive-plan/" TargetMode="External"/><Relationship Id="rId25" Type="http://schemas.openxmlformats.org/officeDocument/2006/relationships/hyperlink" Target="https://adamscountyco.gov/our-county/community-economic-development/planning-development/long-range-planning/" TargetMode="External"/><Relationship Id="rId26" Type="http://schemas.openxmlformats.org/officeDocument/2006/relationships/hyperlink" Target="https://adamscountyco.gov/our-county/community-economic-development/permits-licensing/" TargetMode="External"/><Relationship Id="rId27" Type="http://schemas.openxmlformats.org/officeDocument/2006/relationships/hyperlink" Target="https://adamscountyco.gov/our-county/community-economic-development/building-safety/building-permit/" TargetMode="External"/><Relationship Id="rId28" Type="http://schemas.openxmlformats.org/officeDocument/2006/relationships/hyperlink" Target="https://adamscountyco.gov/service/apply-for-a-building-permit/" TargetMode="External"/><Relationship Id="rId29" Type="http://schemas.openxmlformats.org/officeDocument/2006/relationships/hyperlink" Target="https://adamscountyco.gov/our-county/community-economic-development/building-safety/permit-fees-contractor-registration/" TargetMode="External"/><Relationship Id="rId30" Type="http://schemas.openxmlformats.org/officeDocument/2006/relationships/hyperlink" Target="https://adamscountyco.gov/our-county/community-economic-development/submittal-checklists/" TargetMode="External"/><Relationship Id="rId31" Type="http://schemas.openxmlformats.org/officeDocument/2006/relationships/hyperlink" Target="https://adamscountyco.gov/our-county/community-economic-development/permits-licensing/codes-information/" TargetMode="External"/><Relationship Id="rId32" Type="http://schemas.openxmlformats.org/officeDocument/2006/relationships/hyperlink" Target="https://adamscountyco.gov/our-county/community-economic-development/online-resources/" TargetMode="External"/><Relationship Id="rId33" Type="http://schemas.openxmlformats.org/officeDocument/2006/relationships/hyperlink" Target="https://adamscountyco.gov/our-county/public-works/" TargetMode="External"/><Relationship Id="rId34" Type="http://schemas.openxmlformats.org/officeDocument/2006/relationships/hyperlink" Target="https://adamscountyco.gov/about-adams-county/public-meetings/" TargetMode="External"/><Relationship Id="rId35" Type="http://schemas.openxmlformats.org/officeDocument/2006/relationships/hyperlink" Target="https://adamscountyco.gov/our-county/elected-officials/board-of-county-commissioners/current-meeting-agendas-archives/" TargetMode="External"/><Relationship Id="rId36" Type="http://schemas.openxmlformats.org/officeDocument/2006/relationships/hyperlink" Target="https://adamscountyco.gov/about-adams-county/news/" TargetMode="External"/><Relationship Id="rId37" Type="http://schemas.openxmlformats.org/officeDocument/2006/relationships/hyperlink" Target="https://adamscountyco.gov/our-county/community-economic-development/planning-development/news-updates/" TargetMode="External"/><Relationship Id="rId38" Type="http://schemas.openxmlformats.org/officeDocument/2006/relationships/hyperlink" Target="https://www.arvadaco.gov/" TargetMode="External"/><Relationship Id="rId39" Type="http://schemas.openxmlformats.org/officeDocument/2006/relationships/hyperlink" Target="https://www.arvadaco.gov/702/Maps-and-Property-Search" TargetMode="External"/><Relationship Id="rId40" Type="http://schemas.openxmlformats.org/officeDocument/2006/relationships/hyperlink" Target="https://www.arvadaco.gov/168/Zoning" TargetMode="External"/><Relationship Id="rId41" Type="http://schemas.openxmlformats.org/officeDocument/2006/relationships/hyperlink" Target="https://www.arvadaco.gov/1369/Planning-and-Development" TargetMode="External"/><Relationship Id="rId42" Type="http://schemas.openxmlformats.org/officeDocument/2006/relationships/hyperlink" Target="https://www.arvadaco.gov/1397/Land-Development-Code" TargetMode="External"/><Relationship Id="rId43" Type="http://schemas.openxmlformats.org/officeDocument/2006/relationships/hyperlink" Target="https://www.arvadaco.gov/1394/Active-Development-Projects" TargetMode="External"/><Relationship Id="rId44" Type="http://schemas.openxmlformats.org/officeDocument/2006/relationships/hyperlink" Target="https://www.arvadaco.gov/1393/Development-Review-Process" TargetMode="External"/><Relationship Id="rId45" Type="http://schemas.openxmlformats.org/officeDocument/2006/relationships/hyperlink" Target="https://www.arvadaco.gov/363/Documents-and-Downloads" TargetMode="External"/><Relationship Id="rId46" Type="http://schemas.openxmlformats.org/officeDocument/2006/relationships/hyperlink" Target="https://www.arvadaco.gov/330/Permits" TargetMode="External"/><Relationship Id="rId47" Type="http://schemas.openxmlformats.org/officeDocument/2006/relationships/hyperlink" Target="https://www.arvadaco.gov/332/Building-Permits" TargetMode="External"/><Relationship Id="rId48" Type="http://schemas.openxmlformats.org/officeDocument/2006/relationships/hyperlink" Target="https://www.arvadaco.gov/593/eTRAKiT-Help/permithelp" TargetMode="External"/><Relationship Id="rId49" Type="http://schemas.openxmlformats.org/officeDocument/2006/relationships/hyperlink" Target="https://www.arvadaco.gov/627/Researching-Permits" TargetMode="External"/><Relationship Id="rId50" Type="http://schemas.openxmlformats.org/officeDocument/2006/relationships/hyperlink" Target="https://www.arvadaco.gov/1374/2026-27-Comprehensive-Plan" TargetMode="External"/><Relationship Id="rId51" Type="http://schemas.openxmlformats.org/officeDocument/2006/relationships/hyperlink" Target="https://www.arvadaco.gov/304/City-Plans" TargetMode="External"/><Relationship Id="rId52" Type="http://schemas.openxmlformats.org/officeDocument/2006/relationships/hyperlink" Target="https://www.arvadaco.gov/276/Planning-Commission" TargetMode="External"/><Relationship Id="rId53" Type="http://schemas.openxmlformats.org/officeDocument/2006/relationships/hyperlink" Target="https://www.arvadaco.gov/AgendaCenter" TargetMode="External"/><Relationship Id="rId54" Type="http://schemas.openxmlformats.org/officeDocument/2006/relationships/hyperlink" Target="https://www.arvadaco.gov/245/Meetings-and-Other-Legal-Notices" TargetMode="External"/><Relationship Id="rId55" Type="http://schemas.openxmlformats.org/officeDocument/2006/relationships/hyperlink" Target="https://www.arvadaco.gov/908/News-Releases" TargetMode="External"/><Relationship Id="rId56" Type="http://schemas.openxmlformats.org/officeDocument/2006/relationships/hyperlink" Target="https://www.arvadaco.gov/247/Records-and-Requests" TargetMode="External"/><Relationship Id="rId57" Type="http://schemas.openxmlformats.org/officeDocument/2006/relationships/hyperlink" Target="https://www.auroragov.org/" TargetMode="External"/><Relationship Id="rId58" Type="http://schemas.openxmlformats.org/officeDocument/2006/relationships/hyperlink" Target="https://www.auroragov.org/city_hall/maps/planning_and_zoning_maps" TargetMode="External"/><Relationship Id="rId59" Type="http://schemas.openxmlformats.org/officeDocument/2006/relationships/hyperlink" Target="https://ags.auroragov.org/aurora/rest/services/OpenData/MapServer" TargetMode="External"/><Relationship Id="rId60" Type="http://schemas.openxmlformats.org/officeDocument/2006/relationships/hyperlink" Target="https://zoning.auroragov.org/" TargetMode="External"/><Relationship Id="rId61" Type="http://schemas.openxmlformats.org/officeDocument/2006/relationships/hyperlink" Target="https://www.auroragov.org/business_services/planning" TargetMode="External"/><Relationship Id="rId62" Type="http://schemas.openxmlformats.org/officeDocument/2006/relationships/hyperlink" Target="https://www.auroragov.org/city_hall/departments/planning___development_services" TargetMode="External"/><Relationship Id="rId63" Type="http://schemas.openxmlformats.org/officeDocument/2006/relationships/hyperlink" Target="https://www.auroragov.org/business_services/development_center/codes_rules/building___zoning_code/unified_development_ordinance" TargetMode="External"/><Relationship Id="rId64" Type="http://schemas.openxmlformats.org/officeDocument/2006/relationships/hyperlink" Target="https://www.auroragov.org/business_services/development_center/codes_rules/building___zoning_code" TargetMode="External"/><Relationship Id="rId65" Type="http://schemas.openxmlformats.org/officeDocument/2006/relationships/hyperlink" Target="https://coaapps.auroragov.org/ProjectStatus/search.aspx" TargetMode="External"/><Relationship Id="rId66" Type="http://schemas.openxmlformats.org/officeDocument/2006/relationships/hyperlink" Target="https://www.auroragov.org/business_services/development_center/development_process/forms_and_applications" TargetMode="External"/><Relationship Id="rId67" Type="http://schemas.openxmlformats.org/officeDocument/2006/relationships/hyperlink" Target="https://www.auroragov.org/business_services/planning/projects__plans___studies" TargetMode="External"/><Relationship Id="rId68" Type="http://schemas.openxmlformats.org/officeDocument/2006/relationships/hyperlink" Target="https://www.auroragov.org/business_services/planning/projects__plans___studies/comprehensive_plan" TargetMode="External"/><Relationship Id="rId69" Type="http://schemas.openxmlformats.org/officeDocument/2006/relationships/hyperlink" Target="https://www.auroragov.org/residents/neighborhood_planning" TargetMode="External"/><Relationship Id="rId70" Type="http://schemas.openxmlformats.org/officeDocument/2006/relationships/hyperlink" Target="https://www.auroragov.org/business_services/building_division/permits" TargetMode="External"/><Relationship Id="rId71" Type="http://schemas.openxmlformats.org/officeDocument/2006/relationships/hyperlink" Target="https://www.auroragov.org/business_services/development_center/permitting" TargetMode="External"/><Relationship Id="rId72" Type="http://schemas.openxmlformats.org/officeDocument/2006/relationships/hyperlink" Target="https://www.auroragov.org/business_services/aurora4biz" TargetMode="External"/><Relationship Id="rId73" Type="http://schemas.openxmlformats.org/officeDocument/2006/relationships/hyperlink" Target="https://www.auroragov.org/city_hall/boards___commissions/planning___zoning_commission" TargetMode="External"/><Relationship Id="rId74" Type="http://schemas.openxmlformats.org/officeDocument/2006/relationships/hyperlink" Target="https://www.auroragov.org/city_hall/mayor___city_council/council_meetings" TargetMode="External"/><Relationship Id="rId75" Type="http://schemas.openxmlformats.org/officeDocument/2006/relationships/hyperlink" Target="https://www.auroragov.org/city_hall/public_records/legal_notices/public_hearings" TargetMode="External"/><Relationship Id="rId76" Type="http://schemas.openxmlformats.org/officeDocument/2006/relationships/hyperlink" Target="https://www.auroragov.org/city_hall/public_records" TargetMode="External"/><Relationship Id="rId77" Type="http://schemas.openxmlformats.org/officeDocument/2006/relationships/hyperlink" Target="https://www.auroragov.org/news/whats_new" TargetMode="External"/><Relationship Id="rId78" Type="http://schemas.openxmlformats.org/officeDocument/2006/relationships/hyperlink" Target="https://www.bennettco.gov/" TargetMode="External"/><Relationship Id="rId79" Type="http://schemas.openxmlformats.org/officeDocument/2006/relationships/hyperlink" Target="https://www.bennettco.gov/business/page/bennett-zoning-map" TargetMode="External"/><Relationship Id="rId80" Type="http://schemas.openxmlformats.org/officeDocument/2006/relationships/hyperlink" Target="https://www.bennettco.gov/planning-economic-development/page/planning-and-zoning" TargetMode="External"/><Relationship Id="rId81" Type="http://schemas.openxmlformats.org/officeDocument/2006/relationships/hyperlink" Target="https://www.bennettco.gov/planning-economic-development" TargetMode="External"/><Relationship Id="rId82" Type="http://schemas.openxmlformats.org/officeDocument/2006/relationships/hyperlink" Target="https://www.bennettco.gov/planning-economic-development/page/zoning-and-subdivision-regulations" TargetMode="External"/><Relationship Id="rId83" Type="http://schemas.openxmlformats.org/officeDocument/2006/relationships/hyperlink" Target="https://www.bennettco.gov/development" TargetMode="External"/><Relationship Id="rId84" Type="http://schemas.openxmlformats.org/officeDocument/2006/relationships/hyperlink" Target="https://www.bennettco.gov/projects" TargetMode="External"/><Relationship Id="rId85" Type="http://schemas.openxmlformats.org/officeDocument/2006/relationships/hyperlink" Target="https://www.bennettco.gov/planning-economic-development/page/applicant-guides" TargetMode="External"/><Relationship Id="rId86" Type="http://schemas.openxmlformats.org/officeDocument/2006/relationships/hyperlink" Target="https://www.bennettco.gov/community-development/page/self-service-guide-permits-and-zoning" TargetMode="External"/><Relationship Id="rId87" Type="http://schemas.openxmlformats.org/officeDocument/2006/relationships/hyperlink" Target="https://www.bennettco.gov/community-development/page/building-department" TargetMode="External"/><Relationship Id="rId88" Type="http://schemas.openxmlformats.org/officeDocument/2006/relationships/hyperlink" Target="https://www.bennettco.gov/community-development/page/how-obtain-permit" TargetMode="External"/><Relationship Id="rId89" Type="http://schemas.openxmlformats.org/officeDocument/2006/relationships/hyperlink" Target="https://www.bennettco.gov/planning-economic-development/page/master-plans-and-guiding-documents" TargetMode="External"/><Relationship Id="rId90" Type="http://schemas.openxmlformats.org/officeDocument/2006/relationships/hyperlink" Target="https://www.bennettco.gov/planning-and-zoning-commission" TargetMode="External"/><Relationship Id="rId91" Type="http://schemas.openxmlformats.org/officeDocument/2006/relationships/hyperlink" Target="https://www.bennettco.gov/meetings/recent" TargetMode="External"/><Relationship Id="rId92" Type="http://schemas.openxmlformats.org/officeDocument/2006/relationships/hyperlink" Target="https://www.bennettco.gov/town-clerk/page/public-records" TargetMode="External"/><Relationship Id="rId93" Type="http://schemas.openxmlformats.org/officeDocument/2006/relationships/hyperlink" Target="https://www.bennettco.gov/news" TargetMode="External"/><Relationship Id="rId94" Type="http://schemas.openxmlformats.org/officeDocument/2006/relationships/hyperlink" Target="https://www.brightonco.gov/" TargetMode="External"/><Relationship Id="rId95" Type="http://schemas.openxmlformats.org/officeDocument/2006/relationships/hyperlink" Target="https://www.brightonco.gov/248/Geographic-Information-Systems" TargetMode="External"/><Relationship Id="rId96" Type="http://schemas.openxmlformats.org/officeDocument/2006/relationships/hyperlink" Target="https://www.brightonco.gov/224/Planning-Zoning" TargetMode="External"/><Relationship Id="rId97" Type="http://schemas.openxmlformats.org/officeDocument/2006/relationships/hyperlink" Target="https://www.brightonco.gov/363/Land-Use-Development-Code" TargetMode="External"/><Relationship Id="rId98" Type="http://schemas.openxmlformats.org/officeDocument/2006/relationships/hyperlink" Target="https://www.brightonco.gov/1142/Land-Use-Development-Applications" TargetMode="External"/><Relationship Id="rId99" Type="http://schemas.openxmlformats.org/officeDocument/2006/relationships/hyperlink" Target="https://www.brightonco.gov/1596/Interactive-Development-Map" TargetMode="External"/><Relationship Id="rId100" Type="http://schemas.openxmlformats.org/officeDocument/2006/relationships/hyperlink" Target="https://www.brightonco.gov/1146/Development-Resources" TargetMode="External"/><Relationship Id="rId101" Type="http://schemas.openxmlformats.org/officeDocument/2006/relationships/hyperlink" Target="https://www.brightonco.gov/222/Permitting" TargetMode="External"/><Relationship Id="rId102" Type="http://schemas.openxmlformats.org/officeDocument/2006/relationships/hyperlink" Target="https://www.brightonco.gov/1194/Codes" TargetMode="External"/><Relationship Id="rId103" Type="http://schemas.openxmlformats.org/officeDocument/2006/relationships/hyperlink" Target="https://www.brightonco.gov/553/Long-Range-Planning" TargetMode="External"/><Relationship Id="rId104" Type="http://schemas.openxmlformats.org/officeDocument/2006/relationships/hyperlink" Target="https://www.brightonco.gov/197/Planning-Commission" TargetMode="External"/><Relationship Id="rId105" Type="http://schemas.openxmlformats.org/officeDocument/2006/relationships/hyperlink" Target="https://www.brightonco.gov/agendacenter" TargetMode="External"/><Relationship Id="rId106" Type="http://schemas.openxmlformats.org/officeDocument/2006/relationships/hyperlink" Target="https://www.brightonco.gov/453/Legal-Notices" TargetMode="External"/><Relationship Id="rId107" Type="http://schemas.openxmlformats.org/officeDocument/2006/relationships/hyperlink" Target="https://www.brightonco.gov/175/News" TargetMode="External"/><Relationship Id="rId108" Type="http://schemas.openxmlformats.org/officeDocument/2006/relationships/hyperlink" Target="https://www.brightonco.gov/notifyme" TargetMode="External"/><Relationship Id="rId109" Type="http://schemas.openxmlformats.org/officeDocument/2006/relationships/hyperlink" Target="https://www.c3gov.com/Home" TargetMode="External"/><Relationship Id="rId110" Type="http://schemas.openxmlformats.org/officeDocument/2006/relationships/hyperlink" Target="https://www.c3gov.com/Residents/Maps-Data-GIS" TargetMode="External"/><Relationship Id="rId111" Type="http://schemas.openxmlformats.org/officeDocument/2006/relationships/hyperlink" Target="https://www.c3gov.com/Government/City-Codes/Land-Development-Code" TargetMode="External"/><Relationship Id="rId112" Type="http://schemas.openxmlformats.org/officeDocument/2006/relationships/hyperlink" Target="https://www.c3gov.com/Government/City-Codes/Land-Development-Code/Land-Development-Code-Transition" TargetMode="External"/><Relationship Id="rId113" Type="http://schemas.openxmlformats.org/officeDocument/2006/relationships/hyperlink" Target="https://www.c3gov.com/Business-Development/Developing-in-Commerce-City/Land-Use-Standards" TargetMode="External"/><Relationship Id="rId114" Type="http://schemas.openxmlformats.org/officeDocument/2006/relationships/hyperlink" Target="https://www.c3gov.com/Government/Departments-Divisions/Community-Development" TargetMode="External"/><Relationship Id="rId115" Type="http://schemas.openxmlformats.org/officeDocument/2006/relationships/hyperlink" Target="https://www.c3gov.com/Business-Development/Developing-in-Commerce-City" TargetMode="External"/><Relationship Id="rId116" Type="http://schemas.openxmlformats.org/officeDocument/2006/relationships/hyperlink" Target="https://www.c3gov.com/Business-Development/Developing-in-Commerce-City/Land-Use-Approvals" TargetMode="External"/><Relationship Id="rId117" Type="http://schemas.openxmlformats.org/officeDocument/2006/relationships/hyperlink" Target="https://www.c3gov.com/Business-Development/Development-Projects-Map" TargetMode="External"/><Relationship Id="rId118" Type="http://schemas.openxmlformats.org/officeDocument/2006/relationships/hyperlink" Target="https://www.c3gov.com/Business-Development/Building-Permits-Inspections" TargetMode="External"/><Relationship Id="rId119" Type="http://schemas.openxmlformats.org/officeDocument/2006/relationships/hyperlink" Target="https://www.c3gov.com/Business-Development/eTRAKiT-Portal" TargetMode="External"/><Relationship Id="rId120" Type="http://schemas.openxmlformats.org/officeDocument/2006/relationships/hyperlink" Target="https://www.c3gov.com/Government/City-Charter-Master-Plans/Comprehensive-Plan" TargetMode="External"/><Relationship Id="rId121" Type="http://schemas.openxmlformats.org/officeDocument/2006/relationships/hyperlink" Target="https://www.c3gov.com/Government/Boards-Commissions/Planning-Commission" TargetMode="External"/><Relationship Id="rId122" Type="http://schemas.openxmlformats.org/officeDocument/2006/relationships/hyperlink" Target="https://www.c3gov.com/Site-Footer/Footer-Widgets/Quick-Links/Meeting-Agendas-and-Schedules" TargetMode="External"/><Relationship Id="rId123" Type="http://schemas.openxmlformats.org/officeDocument/2006/relationships/hyperlink" Target="https://www.c3gov.com/Government/Departments-Divisions/City-Clerks-Office/Legal-Notices-Ordinances" TargetMode="External"/><Relationship Id="rId124" Type="http://schemas.openxmlformats.org/officeDocument/2006/relationships/hyperlink" Target="https://www.c3gov.com/Government/Media-News/News-Announcements" TargetMode="External"/><Relationship Id="rId125" Type="http://schemas.openxmlformats.org/officeDocument/2006/relationships/hyperlink" Target="https://www.fedheights.org/" TargetMode="External"/><Relationship Id="rId126" Type="http://schemas.openxmlformats.org/officeDocument/2006/relationships/hyperlink" Target="https://www.fedheights.org/index.asp?SEC=D1A883BE-0C29-4602-8CC9-5D6A08DA5503" TargetMode="External"/><Relationship Id="rId127" Type="http://schemas.openxmlformats.org/officeDocument/2006/relationships/hyperlink" Target="https://www.fedheights.org/index.asp?SEC=D7AA9940-8607-468A-8215-7308DD3BF799" TargetMode="External"/><Relationship Id="rId128" Type="http://schemas.openxmlformats.org/officeDocument/2006/relationships/hyperlink" Target="https://www.fedheights.org/planning" TargetMode="External"/><Relationship Id="rId129" Type="http://schemas.openxmlformats.org/officeDocument/2006/relationships/hyperlink" Target="https://www.fedheights.org/index.asp?SEC=E0D5E6BC-02A8-4AEF-88A1-9093297C3662" TargetMode="External"/><Relationship Id="rId130" Type="http://schemas.openxmlformats.org/officeDocument/2006/relationships/hyperlink" Target="https://www.fedheights.org/index.asp?SEC=D1CB6EB6-9C4B-4FA8-B119-EF1785E54CB6" TargetMode="External"/><Relationship Id="rId131" Type="http://schemas.openxmlformats.org/officeDocument/2006/relationships/hyperlink" Target="https://www.fedheights.org/index.asp?SEC=%7BCB7135BC-846F-468B-B85D-0ECE8B03FFCD%7D&amp;persistdesign=none" TargetMode="External"/><Relationship Id="rId132" Type="http://schemas.openxmlformats.org/officeDocument/2006/relationships/hyperlink" Target="https://www.fedheights.org/index.asp?SEC=%7B76F23E1D-0819-4BAB-BD73-23D6092E8A3B%7D&amp;persistdesign=none" TargetMode="External"/><Relationship Id="rId133" Type="http://schemas.openxmlformats.org/officeDocument/2006/relationships/hyperlink" Target="https://www.fedheights.org/index.asp?SEC=%7B5CF1D2C4-3E29-4A1A-BBFA-2BE19B3ABFD0%7D" TargetMode="External"/><Relationship Id="rId134" Type="http://schemas.openxmlformats.org/officeDocument/2006/relationships/hyperlink" Target="https://www.fedheights.org/index.asp?SEC=%7BE66D34DF-8290-4807-83DA-3AF56D110C00%7D" TargetMode="External"/><Relationship Id="rId135" Type="http://schemas.openxmlformats.org/officeDocument/2006/relationships/hyperlink" Target="https://www.fedheights.org/index.asp?SEC=%7B13723B89-BA4A-47C1-9634-50363F8CD1D2%7D&amp;persistdesign=none" TargetMode="External"/><Relationship Id="rId136" Type="http://schemas.openxmlformats.org/officeDocument/2006/relationships/hyperlink" Target="https://www.fedheights.org/index.asp?SEC=407F7286-34E9-495F-B5F7-88E905D7C9A5" TargetMode="External"/><Relationship Id="rId137" Type="http://schemas.openxmlformats.org/officeDocument/2006/relationships/hyperlink" Target="https://www.fedheights.org/index.asp?SEC=%7B2E7DCCA1-1FEF-4EA7-8AE7-6C3F92D19EF3%7D&amp;persistdesign=none" TargetMode="External"/><Relationship Id="rId138" Type="http://schemas.openxmlformats.org/officeDocument/2006/relationships/hyperlink" Target="https://www.lochbuie.org/" TargetMode="External"/><Relationship Id="rId139" Type="http://schemas.openxmlformats.org/officeDocument/2006/relationships/hyperlink" Target="https://www.lochbuie.org/community-dev/page/interactive-land-use-map" TargetMode="External"/><Relationship Id="rId140" Type="http://schemas.openxmlformats.org/officeDocument/2006/relationships/hyperlink" Target="https://www.lochbuie.org/community-dev/page/maps" TargetMode="External"/><Relationship Id="rId141" Type="http://schemas.openxmlformats.org/officeDocument/2006/relationships/hyperlink" Target="https://www.lochbuie.org/administration/page/zoning-map" TargetMode="External"/><Relationship Id="rId142" Type="http://schemas.openxmlformats.org/officeDocument/2006/relationships/hyperlink" Target="https://www.lochbuie.org/community-dev/page/current-planning" TargetMode="External"/><Relationship Id="rId143" Type="http://schemas.openxmlformats.org/officeDocument/2006/relationships/hyperlink" Target="https://www.lochbuie.org/community-dev" TargetMode="External"/><Relationship Id="rId144" Type="http://schemas.openxmlformats.org/officeDocument/2006/relationships/hyperlink" Target="https://www.lochbuie.org/community-dev/page/land-use-applications" TargetMode="External"/><Relationship Id="rId145" Type="http://schemas.openxmlformats.org/officeDocument/2006/relationships/hyperlink" Target="https://www.lochbuie.org/community-dev/page/development-resources" TargetMode="External"/><Relationship Id="rId146" Type="http://schemas.openxmlformats.org/officeDocument/2006/relationships/hyperlink" Target="https://www.lochbuie.org/projects" TargetMode="External"/><Relationship Id="rId147" Type="http://schemas.openxmlformats.org/officeDocument/2006/relationships/hyperlink" Target="https://www.lochbuie.org/community-dev/page/building-permits-and-inspections" TargetMode="External"/><Relationship Id="rId148" Type="http://schemas.openxmlformats.org/officeDocument/2006/relationships/hyperlink" Target="https://www.lochbuie.org/community-dev/page/documents" TargetMode="External"/><Relationship Id="rId149" Type="http://schemas.openxmlformats.org/officeDocument/2006/relationships/hyperlink" Target="https://www.lochbuie.org/community-dev/page/long-range-planning" TargetMode="External"/><Relationship Id="rId150" Type="http://schemas.openxmlformats.org/officeDocument/2006/relationships/hyperlink" Target="https://www.lochbuie.org/publicnotice/page/ordinances" TargetMode="External"/><Relationship Id="rId151" Type="http://schemas.openxmlformats.org/officeDocument/2006/relationships/hyperlink" Target="https://www.lochbuie.org/meetings" TargetMode="External"/><Relationship Id="rId152" Type="http://schemas.openxmlformats.org/officeDocument/2006/relationships/hyperlink" Target="https://www.lochbuie.org/publicnotice" TargetMode="External"/><Relationship Id="rId153" Type="http://schemas.openxmlformats.org/officeDocument/2006/relationships/hyperlink" Target="https://www.lochbuie.org/news" TargetMode="External"/><Relationship Id="rId154" Type="http://schemas.openxmlformats.org/officeDocument/2006/relationships/hyperlink" Target="https://www.lochbuie.org/portal" TargetMode="External"/><Relationship Id="rId155" Type="http://schemas.openxmlformats.org/officeDocument/2006/relationships/hyperlink" Target="https://www.northglenn.org/" TargetMode="External"/><Relationship Id="rId156" Type="http://schemas.openxmlformats.org/officeDocument/2006/relationships/hyperlink" Target="https://www.northglenn.org/government/departments/planning_development/index.php" TargetMode="External"/><Relationship Id="rId157" Type="http://schemas.openxmlformats.org/officeDocument/2006/relationships/hyperlink" Target="https://www.northglenn.org/government/land_use_zoning/index.php" TargetMode="External"/><Relationship Id="rId158" Type="http://schemas.openxmlformats.org/officeDocument/2006/relationships/hyperlink" Target="https://www.northglenn.org/government/land_use_zoning/zoning_map.php" TargetMode="External"/><Relationship Id="rId159" Type="http://schemas.openxmlformats.org/officeDocument/2006/relationships/hyperlink" Target="https://biz.northglenn.org/quickzone" TargetMode="External"/><Relationship Id="rId160" Type="http://schemas.openxmlformats.org/officeDocument/2006/relationships/hyperlink" Target="https://www.northglenn.org/government/land_use_zoning/new_code_northglenn.php" TargetMode="External"/><Relationship Id="rId161" Type="http://schemas.openxmlformats.org/officeDocument/2006/relationships/hyperlink" Target="https://www.northglenn.org/government/land_use_zoning/land_use_applications.php" TargetMode="External"/><Relationship Id="rId162" Type="http://schemas.openxmlformats.org/officeDocument/2006/relationships/hyperlink" Target="https://www.northglenn.org/government/departments/planning_development/development_review_process.php" TargetMode="External"/><Relationship Id="rId163" Type="http://schemas.openxmlformats.org/officeDocument/2006/relationships/hyperlink" Target="https://www.northglenn.org/government/project_updates/" TargetMode="External"/><Relationship Id="rId164" Type="http://schemas.openxmlformats.org/officeDocument/2006/relationships/hyperlink" Target="https://www.northglenn.org/services/licenses_and_permits/index.php" TargetMode="External"/><Relationship Id="rId165" Type="http://schemas.openxmlformats.org/officeDocument/2006/relationships/hyperlink" Target="https://www.northglenn.org/government/departments/building/pull_a_permit.php" TargetMode="External"/><Relationship Id="rId166" Type="http://schemas.openxmlformats.org/officeDocument/2006/relationships/hyperlink" Target="https://www.northglenn.org/government/land_use_zoning/comprehensive_plan.php" TargetMode="External"/><Relationship Id="rId167" Type="http://schemas.openxmlformats.org/officeDocument/2006/relationships/hyperlink" Target="https://www.northglenn.org/government/land_use_zoning/area_plans/index.php" TargetMode="External"/><Relationship Id="rId168" Type="http://schemas.openxmlformats.org/officeDocument/2006/relationships/hyperlink" Target="https://www.northglenn.org/government/boards_commissions/planning_commission.php" TargetMode="External"/><Relationship Id="rId169" Type="http://schemas.openxmlformats.org/officeDocument/2006/relationships/hyperlink" Target="https://webdocs.northglenn.org/" TargetMode="External"/><Relationship Id="rId170" Type="http://schemas.openxmlformats.org/officeDocument/2006/relationships/hyperlink" Target="https://www.northglenn.org/newslist.php" TargetMode="External"/><Relationship Id="rId171" Type="http://schemas.openxmlformats.org/officeDocument/2006/relationships/hyperlink" Target="https://www.northglenn.org/community/communications/textmygov.php" TargetMode="External"/><Relationship Id="rId172" Type="http://schemas.openxmlformats.org/officeDocument/2006/relationships/hyperlink" Target="https://www.thorntonco.gov/" TargetMode="External"/><Relationship Id="rId173" Type="http://schemas.openxmlformats.org/officeDocument/2006/relationships/hyperlink" Target="https://www.thorntonco.gov/business-development/city-development" TargetMode="External"/><Relationship Id="rId174" Type="http://schemas.openxmlformats.org/officeDocument/2006/relationships/hyperlink" Target="https://www.thorntonco.gov/business-development/city-development/current-planning-zoning" TargetMode="External"/><Relationship Id="rId175" Type="http://schemas.openxmlformats.org/officeDocument/2006/relationships/hyperlink" Target="https://www.thorntonco.gov/business-development/city-development/current-planning-zoning/zoning-districts-uses-and-regulations" TargetMode="External"/><Relationship Id="rId176" Type="http://schemas.openxmlformats.org/officeDocument/2006/relationships/hyperlink" Target="https://cityofthornton.maps.arcgis.com/apps/webappviewer/index.html?id=643abe02e8b8446586b6eb6d8ed43f84" TargetMode="External"/><Relationship Id="rId177" Type="http://schemas.openxmlformats.org/officeDocument/2006/relationships/hyperlink" Target="https://data-cityofthornton.opendata.arcgis.com/" TargetMode="External"/><Relationship Id="rId178" Type="http://schemas.openxmlformats.org/officeDocument/2006/relationships/hyperlink" Target="https://cityviewportal.thorntonco.gov/Planning/Locator" TargetMode="External"/><Relationship Id="rId179" Type="http://schemas.openxmlformats.org/officeDocument/2006/relationships/hyperlink" Target="https://www.thorntonco.gov/business-development/active-development" TargetMode="External"/><Relationship Id="rId180" Type="http://schemas.openxmlformats.org/officeDocument/2006/relationships/hyperlink" Target="https://www.thorntonco.gov/business-development/city-development/current-planning-zoning/development-applications" TargetMode="External"/><Relationship Id="rId181" Type="http://schemas.openxmlformats.org/officeDocument/2006/relationships/hyperlink" Target="https://www.thorntonco.gov/business-development/city-development/development-engineering-construction" TargetMode="External"/><Relationship Id="rId182" Type="http://schemas.openxmlformats.org/officeDocument/2006/relationships/hyperlink" Target="https://www.thorntonco.gov/business-development/city-development/building-permits-inspections" TargetMode="External"/><Relationship Id="rId183" Type="http://schemas.openxmlformats.org/officeDocument/2006/relationships/hyperlink" Target="https://cityviewportal.thorntonco.gov/Permit/LocatorSubmittals" TargetMode="External"/><Relationship Id="rId184" Type="http://schemas.openxmlformats.org/officeDocument/2006/relationships/hyperlink" Target="https://permits.thorntonco.gov/" TargetMode="External"/><Relationship Id="rId185" Type="http://schemas.openxmlformats.org/officeDocument/2006/relationships/hyperlink" Target="https://www.thorntonco.gov/business-development/city-development/long-range-planning" TargetMode="External"/><Relationship Id="rId186" Type="http://schemas.openxmlformats.org/officeDocument/2006/relationships/hyperlink" Target="https://www.thorntonco.gov/business-development/city-development/long-range-planning/plans/thornton-comprehensive-plan" TargetMode="External"/><Relationship Id="rId187" Type="http://schemas.openxmlformats.org/officeDocument/2006/relationships/hyperlink" Target="https://www.thorntonco.gov/business-development/city-development/long-range-planning/current-projects" TargetMode="External"/><Relationship Id="rId188" Type="http://schemas.openxmlformats.org/officeDocument/2006/relationships/hyperlink" Target="https://www.thorntonco.gov/government/boards-commissions/planning-commission-board-adjustment" TargetMode="External"/><Relationship Id="rId189" Type="http://schemas.openxmlformats.org/officeDocument/2006/relationships/hyperlink" Target="https://www.thorntonco.gov/government/mayor-council/upcoming-meetings" TargetMode="External"/><Relationship Id="rId190" Type="http://schemas.openxmlformats.org/officeDocument/2006/relationships/hyperlink" Target="https://www.thorntonco.gov/government/public-notices" TargetMode="External"/><Relationship Id="rId191" Type="http://schemas.openxmlformats.org/officeDocument/2006/relationships/hyperlink" Target="https://www.thorntonco.gov/news" TargetMode="External"/><Relationship Id="rId192" Type="http://schemas.openxmlformats.org/officeDocument/2006/relationships/hyperlink" Target="https://talerts.thorntonco.gov/" TargetMode="External"/><Relationship Id="rId193" Type="http://schemas.openxmlformats.org/officeDocument/2006/relationships/hyperlink" Target="https://www.westminsterco.gov/" TargetMode="External"/><Relationship Id="rId194" Type="http://schemas.openxmlformats.org/officeDocument/2006/relationships/hyperlink" Target="https://www.westminsterco.gov/471/Maps" TargetMode="External"/><Relationship Id="rId195" Type="http://schemas.openxmlformats.org/officeDocument/2006/relationships/hyperlink" Target="https://www.westminsterco.gov/727/Zoning" TargetMode="External"/><Relationship Id="rId196" Type="http://schemas.openxmlformats.org/officeDocument/2006/relationships/hyperlink" Target="https://www.westminsterco.gov/707/Planning" TargetMode="External"/><Relationship Id="rId197" Type="http://schemas.openxmlformats.org/officeDocument/2006/relationships/hyperlink" Target="https://www.westminsterco.gov/703/Develop-in-Westminster" TargetMode="External"/><Relationship Id="rId198" Type="http://schemas.openxmlformats.org/officeDocument/2006/relationships/hyperlink" Target="https://www.westminsterco.gov/855/Current-Development-Project-Map" TargetMode="External"/><Relationship Id="rId199" Type="http://schemas.openxmlformats.org/officeDocument/2006/relationships/hyperlink" Target="https://www.westminsterco.gov/1060/Redevelopment" TargetMode="External"/><Relationship Id="rId200" Type="http://schemas.openxmlformats.org/officeDocument/2006/relationships/hyperlink" Target="https://www.westminsterco.gov/833/Permits-Licenses" TargetMode="External"/><Relationship Id="rId201" Type="http://schemas.openxmlformats.org/officeDocument/2006/relationships/hyperlink" Target="https://www.westminsterco.gov/617/Apply-for-a-Permit-Project" TargetMode="External"/><Relationship Id="rId202" Type="http://schemas.openxmlformats.org/officeDocument/2006/relationships/hyperlink" Target="https://www.westminsterco.gov/DocumentCenter/View/5605/Comprehensive-Plan_November2025-LR" TargetMode="External"/><Relationship Id="rId203" Type="http://schemas.openxmlformats.org/officeDocument/2006/relationships/hyperlink" Target="https://www.westminsterco.gov/747/City-Standards-Specifications" TargetMode="External"/><Relationship Id="rId204" Type="http://schemas.openxmlformats.org/officeDocument/2006/relationships/hyperlink" Target="https://www.westminsterco.gov/639/Code-Enforcement" TargetMode="External"/><Relationship Id="rId205" Type="http://schemas.openxmlformats.org/officeDocument/2006/relationships/hyperlink" Target="https://www.westminsterco.gov/614/Planning-Commission" TargetMode="External"/><Relationship Id="rId206" Type="http://schemas.openxmlformats.org/officeDocument/2006/relationships/hyperlink" Target="https://www.westminsterco.gov/AgendaCenter" TargetMode="External"/><Relationship Id="rId207" Type="http://schemas.openxmlformats.org/officeDocument/2006/relationships/hyperlink" Target="https://www.westminsterco.gov/1098/Public-Notices" TargetMode="External"/><Relationship Id="rId208" Type="http://schemas.openxmlformats.org/officeDocument/2006/relationships/hyperlink" Target="https://www.westminsterco.gov/m/NewsFlash" TargetMode="External"/><Relationship Id="rId209" Type="http://schemas.openxmlformats.org/officeDocument/2006/relationships/hyperlink" Target="https://www.westminsterco.gov/565/Public-Records-Request" TargetMode="External"/><Relationship Id="rId210" Type="http://schemas.openxmlformats.org/officeDocument/2006/relationships/hyperlink" Target="https://adamscountyco.gov/about-adams-county/public-meetings/" TargetMode="External"/><Relationship Id="rId211" Type="http://schemas.openxmlformats.org/officeDocument/2006/relationships/hyperlink" Target="https://adamscountyco.gov/our-county/community-economic-development/planning-development/current-land-use-cases/" TargetMode="External"/><Relationship Id="rId212" Type="http://schemas.openxmlformats.org/officeDocument/2006/relationships/hyperlink" Target="https://adamscountyco.gov/our-county/elected-officials/board-of-county-commissioners/current-meeting-agendas-archives/" TargetMode="External"/><Relationship Id="rId213" Type="http://schemas.openxmlformats.org/officeDocument/2006/relationships/hyperlink" Target="https://adamscountyco.gov/about-adams-county/public-meetings/archived-hearing-agendas-audio/" TargetMode="External"/><Relationship Id="rId214" Type="http://schemas.openxmlformats.org/officeDocument/2006/relationships/hyperlink" Target="https://adamscountyco.gov/about-adams-county/news/" TargetMode="External"/><Relationship Id="rId215" Type="http://schemas.openxmlformats.org/officeDocument/2006/relationships/hyperlink" Target="https://adamscountyco.gov/our-county/community-economic-development/planning-development/news-updates/" TargetMode="External"/><Relationship Id="rId216" Type="http://schemas.openxmlformats.org/officeDocument/2006/relationships/hyperlink" Target="https://adamscountyco.gov/our-county/elected-officials/clerk-recorder/recording/public-document-postings/" TargetMode="External"/><Relationship Id="rId217" Type="http://schemas.openxmlformats.org/officeDocument/2006/relationships/hyperlink" Target="https://www.arvadaco.gov/AgendaCenter" TargetMode="External"/><Relationship Id="rId218" Type="http://schemas.openxmlformats.org/officeDocument/2006/relationships/hyperlink" Target="https://www.arvadaco.gov/245/Meetings-and-Other-Legal-Notices" TargetMode="External"/><Relationship Id="rId219" Type="http://schemas.openxmlformats.org/officeDocument/2006/relationships/hyperlink" Target="https://www.arvadaco.gov/908/News-Releases" TargetMode="External"/><Relationship Id="rId220" Type="http://schemas.openxmlformats.org/officeDocument/2006/relationships/hyperlink" Target="https://www.auroragov.org/city_hall/boards___commissions/planning___zoning_commission" TargetMode="External"/><Relationship Id="rId221" Type="http://schemas.openxmlformats.org/officeDocument/2006/relationships/hyperlink" Target="https://www.auroragov.org/city_hall/mayor___city_council/council_meetings" TargetMode="External"/><Relationship Id="rId222" Type="http://schemas.openxmlformats.org/officeDocument/2006/relationships/hyperlink" Target="https://www.auroragov.org/city_hall/public_records/legal_notices/public_hearings" TargetMode="External"/><Relationship Id="rId223" Type="http://schemas.openxmlformats.org/officeDocument/2006/relationships/hyperlink" Target="https://www.auroragov.org/news/whats_new" TargetMode="External"/><Relationship Id="rId224" Type="http://schemas.openxmlformats.org/officeDocument/2006/relationships/hyperlink" Target="https://www.bennettco.gov/meetings/recent" TargetMode="External"/><Relationship Id="rId225" Type="http://schemas.openxmlformats.org/officeDocument/2006/relationships/hyperlink" Target="https://www.bennettco.gov/planning-and-zoning-commission" TargetMode="External"/><Relationship Id="rId226" Type="http://schemas.openxmlformats.org/officeDocument/2006/relationships/hyperlink" Target="https://www.bennettco.gov/news" TargetMode="External"/><Relationship Id="rId227" Type="http://schemas.openxmlformats.org/officeDocument/2006/relationships/hyperlink" Target="https://www.brightonco.gov/agendacenter" TargetMode="External"/><Relationship Id="rId228" Type="http://schemas.openxmlformats.org/officeDocument/2006/relationships/hyperlink" Target="https://www.brightonco.gov/453/Legal-Notices" TargetMode="External"/><Relationship Id="rId229" Type="http://schemas.openxmlformats.org/officeDocument/2006/relationships/hyperlink" Target="https://www.brightonco.gov/175/News" TargetMode="External"/><Relationship Id="rId230" Type="http://schemas.openxmlformats.org/officeDocument/2006/relationships/hyperlink" Target="https://www.brightonco.gov/notifyme" TargetMode="External"/><Relationship Id="rId231" Type="http://schemas.openxmlformats.org/officeDocument/2006/relationships/hyperlink" Target="https://www.c3gov.com/Site-Footer/Footer-Widgets/Quick-Links/Meeting-Agendas-and-Schedules" TargetMode="External"/><Relationship Id="rId232" Type="http://schemas.openxmlformats.org/officeDocument/2006/relationships/hyperlink" Target="https://www.c3gov.com/Government/Departments-Divisions/City-Clerks-Office/Legal-Notices-Ordinances" TargetMode="External"/><Relationship Id="rId233" Type="http://schemas.openxmlformats.org/officeDocument/2006/relationships/hyperlink" Target="https://www.c3gov.com/Government/Media-News/News-Announcements" TargetMode="External"/><Relationship Id="rId234" Type="http://schemas.openxmlformats.org/officeDocument/2006/relationships/hyperlink" Target="https://www.fedheights.org/index.asp?SEC=%7BE66D34DF-8290-4807-83DA-3AF56D110C00%7D" TargetMode="External"/><Relationship Id="rId235" Type="http://schemas.openxmlformats.org/officeDocument/2006/relationships/hyperlink" Target="https://www.fedheights.org/index.asp?SEC=407F7286-34E9-495F-B5F7-88E905D7C9A5" TargetMode="External"/><Relationship Id="rId236" Type="http://schemas.openxmlformats.org/officeDocument/2006/relationships/hyperlink" Target="https://www.fedheights.org/index.asp?SEC=%7B2E7DCCA1-1FEF-4EA7-8AE7-6C3F92D19EF3%7D&amp;persistdesign=none" TargetMode="External"/><Relationship Id="rId237" Type="http://schemas.openxmlformats.org/officeDocument/2006/relationships/hyperlink" Target="https://www.lochbuie.org/meetings" TargetMode="External"/><Relationship Id="rId238" Type="http://schemas.openxmlformats.org/officeDocument/2006/relationships/hyperlink" Target="https://www.lochbuie.org/publicnotice" TargetMode="External"/><Relationship Id="rId239" Type="http://schemas.openxmlformats.org/officeDocument/2006/relationships/hyperlink" Target="https://www.lochbuie.org/news" TargetMode="External"/><Relationship Id="rId240" Type="http://schemas.openxmlformats.org/officeDocument/2006/relationships/hyperlink" Target="https://webdocs.northglenn.org/" TargetMode="External"/><Relationship Id="rId241" Type="http://schemas.openxmlformats.org/officeDocument/2006/relationships/hyperlink" Target="https://www.northglenn.org/newslist.php" TargetMode="External"/><Relationship Id="rId242" Type="http://schemas.openxmlformats.org/officeDocument/2006/relationships/hyperlink" Target="https://www.northglenn.org/community/communications/textmygov.php" TargetMode="External"/><Relationship Id="rId243" Type="http://schemas.openxmlformats.org/officeDocument/2006/relationships/hyperlink" Target="https://www.thorntonco.gov/government/mayor-council/upcoming-meetings" TargetMode="External"/><Relationship Id="rId244" Type="http://schemas.openxmlformats.org/officeDocument/2006/relationships/hyperlink" Target="https://www.thorntonco.gov/government/public-notices" TargetMode="External"/><Relationship Id="rId245" Type="http://schemas.openxmlformats.org/officeDocument/2006/relationships/hyperlink" Target="https://www.thorntonco.gov/news" TargetMode="External"/><Relationship Id="rId246" Type="http://schemas.openxmlformats.org/officeDocument/2006/relationships/hyperlink" Target="https://talerts.thorntonco.gov/" TargetMode="External"/><Relationship Id="rId247" Type="http://schemas.openxmlformats.org/officeDocument/2006/relationships/hyperlink" Target="https://www.westminsterco.gov/AgendaCenter" TargetMode="External"/><Relationship Id="rId248" Type="http://schemas.openxmlformats.org/officeDocument/2006/relationships/hyperlink" Target="https://www.westminsterco.gov/1098/Public-Notices" TargetMode="External"/><Relationship Id="rId249" Type="http://schemas.openxmlformats.org/officeDocument/2006/relationships/hyperlink" Target="https://www.westminsterco.gov/m/NewsFlash" TargetMode="External"/><Relationship Id="rId250" Type="http://schemas.openxmlformats.org/officeDocument/2006/relationships/hyperlink" Target="https://sentinelcolorado.com/" TargetMode="External"/><Relationship Id="rId251" Type="http://schemas.openxmlformats.org/officeDocument/2006/relationships/hyperlink" Target="https://i-70scout.com/blog/" TargetMode="External"/><Relationship Id="rId252" Type="http://schemas.openxmlformats.org/officeDocument/2006/relationships/hyperlink" Target="https://arvadapress.presspatron.com/" TargetMode="External"/><Relationship Id="rId253" Type="http://schemas.openxmlformats.org/officeDocument/2006/relationships/hyperlink" Target="https://local.coloradocommunitymedia.com/" TargetMode="External"/><Relationship Id="rId254" Type="http://schemas.openxmlformats.org/officeDocument/2006/relationships/hyperlink" Target="https://westminster-window-colorado-trust.beehiiv.com/" TargetMode="External"/><Relationship Id="rId255" Type="http://schemas.openxmlformats.org/officeDocument/2006/relationships/hyperlink" Target="https://co.colorado.gov/search-business-records" TargetMode="External"/><Relationship Id="rId256" Type="http://schemas.openxmlformats.org/officeDocument/2006/relationships/hyperlink" Target="https://www.sos.state.co.us/ucc/pages/home.xhtml" TargetMode="External"/><Relationship Id="rId257" Type="http://schemas.openxmlformats.org/officeDocument/2006/relationships/hyperlink" Target="https://gis.dola.colorado.gov/CO_SpecialDistrict/" TargetMode="External"/><Relationship Id="rId258" Type="http://schemas.openxmlformats.org/officeDocument/2006/relationships/hyperlink" Target="https://dola.colorado.gov/dlg_lgis_ui_pu/" TargetMode="External"/><Relationship Id="rId259" Type="http://schemas.openxmlformats.org/officeDocument/2006/relationships/hyperlink" Target="https://dola.colorado.gov/dlg_lgis_ui_pu/publicLGTaxEntities.jsf" TargetMode="External"/><Relationship Id="rId260" Type="http://schemas.openxmlformats.org/officeDocument/2006/relationships/hyperlink" Target="https://gis.dola.colorado.gov/CO_Muni/" TargetMode="External"/><Relationship Id="rId261" Type="http://schemas.openxmlformats.org/officeDocument/2006/relationships/hyperlink" Target="https://demography.dola.colorado.gov/assets/html/gis_data.html" TargetMode="External"/><Relationship Id="rId262" Type="http://schemas.openxmlformats.org/officeDocument/2006/relationships/hyperlink" Target="https://demography.dola.colorado.gov/assets/lookups/dashboard_lookup.html" TargetMode="External"/><Relationship Id="rId263" Type="http://schemas.openxmlformats.org/officeDocument/2006/relationships/hyperlink" Target="https://geodata.colorado.gov/" TargetMode="External"/><Relationship Id="rId264" Type="http://schemas.openxmlformats.org/officeDocument/2006/relationships/hyperlink" Target="https://gis.colorado.gov/viewer/?page=Home" TargetMode="External"/><Relationship Id="rId265" Type="http://schemas.openxmlformats.org/officeDocument/2006/relationships/hyperlink" Target="https://drcog.org/data-maps-modeling" TargetMode="External"/><Relationship Id="rId266" Type="http://schemas.openxmlformats.org/officeDocument/2006/relationships/hyperlink" Target="https://dwr.state.co.us/Tools" TargetMode="External"/><Relationship Id="rId267" Type="http://schemas.openxmlformats.org/officeDocument/2006/relationships/hyperlink" Target="https://dwr.state.co.us/Tools/WellPermits" TargetMode="External"/><Relationship Id="rId268" Type="http://schemas.openxmlformats.org/officeDocument/2006/relationships/hyperlink" Target="https://ecmc.state.co.us/maps.html" TargetMode="External"/><Relationship Id="rId269" Type="http://schemas.openxmlformats.org/officeDocument/2006/relationships/hyperlink" Target="https://ecmc.state.co.us/data.html" TargetMode="External"/><Relationship Id="rId270" Type="http://schemas.openxmlformats.org/officeDocument/2006/relationships/hyperlink" Target="https://cdphe.colorado.gov/maps-and-gis-for-health-and-environment" TargetMode="External"/><Relationship Id="rId271" Type="http://schemas.openxmlformats.org/officeDocument/2006/relationships/hyperlink" Target="https://cdphe.colorado.gov/hm/gis-data" TargetMode="External"/><Relationship Id="rId272" Type="http://schemas.openxmlformats.org/officeDocument/2006/relationships/hyperlink" Target="https://cdphe.colorado.gov/hm/if-site-contaminated" TargetMode="External"/><Relationship Id="rId273" Type="http://schemas.openxmlformats.org/officeDocument/2006/relationships/hyperlink" Target="https://cdphe.colorado.gov/clean-water-gis-maps" TargetMode="External"/><Relationship Id="rId274" Type="http://schemas.openxmlformats.org/officeDocument/2006/relationships/hyperlink" Target="https://cdphe.colorado.gov/pfas/mapping" TargetMode="External"/><Relationship Id="rId275" Type="http://schemas.openxmlformats.org/officeDocument/2006/relationships/hyperlink" Target="https://www.fema.gov/flood-maps" TargetMode="External"/><Relationship Id="rId276" Type="http://schemas.openxmlformats.org/officeDocument/2006/relationships/hyperlink" Target="https://msc.fema.gov/portal/search" TargetMode="External"/><Relationship Id="rId277" Type="http://schemas.openxmlformats.org/officeDocument/2006/relationships/hyperlink" Target="https://www.fema.gov/flood-maps/national-flood-hazard-layer" TargetMode="External"/><Relationship Id="rId278" Type="http://schemas.openxmlformats.org/officeDocument/2006/relationships/hyperlink" Target="https://www.epa.gov/cleanups/cleanups-my-community" TargetMode="External"/><Relationship Id="rId279" Type="http://schemas.openxmlformats.org/officeDocument/2006/relationships/hyperlink" Target="https://map22.epa.gov/cimc/" TargetMode="External"/><Relationship Id="rId280" Type="http://schemas.openxmlformats.org/officeDocument/2006/relationships/hyperlink" Target="https://www.epa.gov/superfund/search-superfund-sites-where-you-live" TargetMode="External"/><Relationship Id="rId281" Type="http://schemas.openxmlformats.org/officeDocument/2006/relationships/hyperlink" Target="https://websoilsurvey.nrcs.usda.gov/" TargetMode="External"/><Relationship Id="rId282" Type="http://schemas.openxmlformats.org/officeDocument/2006/relationships/hyperlink" Target="https://www.fws.gov/program/national-wetlands-inventory/wetlands-mapper" TargetMode="External"/><Relationship Id="rId283" Type="http://schemas.openxmlformats.org/officeDocument/2006/relationships/hyperlink" Target="https://dtdapps.codot.gov/otis" TargetMode="External"/><Relationship Id="rId284" Type="http://schemas.openxmlformats.org/officeDocument/2006/relationships/hyperlink" Target="https://dtdapps.codot.gov/otis/HighwayData" TargetMode="External"/><Relationship Id="rId285" Type="http://schemas.openxmlformats.org/officeDocument/2006/relationships/hyperlink" Target="https://dtdapps.codot.gov/otis/TrafficData" TargetMode="External"/><Relationship Id="rId286" Type="http://schemas.openxmlformats.org/officeDocument/2006/relationships/hyperlink" Target="https://www.historycolorado.org/compass-information" TargetMode="External"/><Relationship Id="rId287" Type="http://schemas.openxmlformats.org/officeDocument/2006/relationships/hyperlink" Target="https://www.historycolorado.org/national-state-register-listed-properties" TargetMode="External"/><Relationship Id="rId288" Type="http://schemas.openxmlformats.org/officeDocument/2006/relationships/hyperlink" Target="https://dre.colorado.gov/hoa-center" TargetMode="External"/><Relationship Id="rId289" Type="http://schemas.openxmlformats.org/officeDocument/2006/relationships/hyperlink" Target="https://dre.colorado.gov/hoa-registration-services" TargetMode="External"/><Relationship Id="rId290" Type="http://schemas.openxmlformats.org/officeDocument/2006/relationships/hyperlink" Target="https://co.colorado.gov/verify-status-professionals-license" TargetMode="External"/><Relationship Id="rId291" Type="http://schemas.openxmlformats.org/officeDocument/2006/relationships/hyperlink" Target="https://secure.slb.colorado.gov/" TargetMode="External"/><Relationship Id="rId292" Type="http://schemas.openxmlformats.org/officeDocument/2006/relationships/hyperlink" Target="https://www.blm.gov/maps/frequently-requested/colorado/gis-datasets" TargetMode="External"/><Relationship Id="rId293" Type="http://schemas.openxmlformats.org/officeDocument/2006/relationships/hyperlink" Target="https://adamscountyco.gov/service/search-real-property/" TargetMode="External"/><Relationship Id="rId294" Type="http://schemas.openxmlformats.org/officeDocument/2006/relationships/hyperlink" Target="https://gis.dola.colorado.gov/CO_Muni/" TargetMode="External"/><Relationship Id="rId295" Type="http://schemas.openxmlformats.org/officeDocument/2006/relationships/hyperlink" Target="https://gisapp.adcogov.org/quicksearch/" TargetMode="External"/><Relationship Id="rId296" Type="http://schemas.openxmlformats.org/officeDocument/2006/relationships/hyperlink" Target="https://recording.adamscountyco.gov/landmarkweb/" TargetMode="External"/><Relationship Id="rId297" Type="http://schemas.openxmlformats.org/officeDocument/2006/relationships/hyperlink" Target="https://recording.adamscountyco.gov/landmarkweb/" TargetMode="External"/><Relationship Id="rId298" Type="http://schemas.openxmlformats.org/officeDocument/2006/relationships/hyperlink" Target="https://adamscountyco.gov/service/find-public-records-recorded-documents/" TargetMode="External"/><Relationship Id="rId299" Type="http://schemas.openxmlformats.org/officeDocument/2006/relationships/hyperlink" Target="https://adcotax.com/" TargetMode="External"/><Relationship Id="rId300" Type="http://schemas.openxmlformats.org/officeDocument/2006/relationships/hyperlink" Target="https://adamscountyco.gov/our-county/elected-officials/treasurer-public-trustee/treasurer-division/tax-lien-sale/" TargetMode="External"/><Relationship Id="rId301" Type="http://schemas.openxmlformats.org/officeDocument/2006/relationships/hyperlink" Target="https://apps.adcogov.org/PTForeclosureSearch/?ds=1" TargetMode="External"/><Relationship Id="rId302" Type="http://schemas.openxmlformats.org/officeDocument/2006/relationships/hyperlink" Target="https://adamscountyco.gov/our-county/elected-officials/clerk-recorder/recording/land-survey-plats/" TargetMode="External"/><Relationship Id="rId303" Type="http://schemas.openxmlformats.org/officeDocument/2006/relationships/hyperlink" Target="https://gis.dola.colorado.gov/CO_SpecialDistrict/" TargetMode="External"/><Relationship Id="rId304" Type="http://schemas.openxmlformats.org/officeDocument/2006/relationships/hyperlink" Target="https://dwr.state.co.us/Tools" TargetMode="External"/><Relationship Id="rId305" Type="http://schemas.openxmlformats.org/officeDocument/2006/relationships/hyperlink" Target="https://msc.fema.gov/portal/search" TargetMode="External"/><Relationship Id="rId306" Type="http://schemas.openxmlformats.org/officeDocument/2006/relationships/hyperlink" Target="https://websoilsurvey.nrcs.usda.gov/" TargetMode="External"/><Relationship Id="rId307" Type="http://schemas.openxmlformats.org/officeDocument/2006/relationships/hyperlink" Target="https://www.fws.gov/program/national-wetlands-inventory/wetlands-mapper" TargetMode="External"/><Relationship Id="rId308" Type="http://schemas.openxmlformats.org/officeDocument/2006/relationships/hyperlink" Target="https://cdphe.colorado.gov/hm/gis-data" TargetMode="External"/><Relationship Id="rId309" Type="http://schemas.openxmlformats.org/officeDocument/2006/relationships/hyperlink" Target="https://ecmc.state.co.us/maps.html" TargetMode="External"/><Relationship Id="rId310" Type="http://schemas.openxmlformats.org/officeDocument/2006/relationships/hyperlink" Target="https://dtdapps.codot.gov/otis" TargetMode="External"/><Relationship Id="rId311" Type="http://schemas.openxmlformats.org/officeDocument/2006/relationships/hyperlink" Target="https://www.historycolorado.org/national-state-register-listed-properties" TargetMode="External"/><Relationship Id="rId312" Type="http://schemas.openxmlformats.org/officeDocument/2006/relationships/hyperlink" Target="https://dre.colorado.gov/hoa-center" TargetMode="External"/><Relationship Id="rId313" Type="http://schemas.openxmlformats.org/officeDocument/2006/relationships/hyperlink" Target="https://co.colorado.gov/search-business-records" TargetMode="External"/><Relationship Id="rId314" Type="http://schemas.openxmlformats.org/officeDocument/2006/relationships/drawing" Target="../drawings/drawing54.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7324D"/>
    <pageSetUpPr fitToPage="true"/>
  </sheetPr>
  <dimension ref="B1:D66"/>
  <sheetViews>
    <sheetView showFormulas="false" showGridLines="false" showRowColHeaders="true" showZeros="true" rightToLeft="false" tabSelected="false" showOutlineSymbols="true" defaultGridColor="true" view="normal" topLeftCell="A1" colorId="64" zoomScale="120" zoomScaleNormal="12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C8" activeCellId="0" sqref="C8"/>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45.57"/>
    <col collapsed="false" customWidth="true" hidden="false" outlineLevel="0" max="3" min="3" style="1" width="38.71"/>
    <col collapsed="false" customWidth="true" hidden="false" outlineLevel="0" max="4" min="4" style="1" width="59.29"/>
  </cols>
  <sheetData>
    <row r="1" customFormat="false" ht="18" hidden="false" customHeight="true" outlineLevel="0" collapsed="false">
      <c r="B1" s="2" t="s">
        <v>0</v>
      </c>
      <c r="C1" s="2"/>
      <c r="D1" s="2"/>
    </row>
    <row r="2" customFormat="false" ht="30" hidden="false" customHeight="true" outlineLevel="0" collapsed="false">
      <c r="B2" s="3" t="s">
        <v>1</v>
      </c>
      <c r="C2" s="3"/>
      <c r="D2" s="3"/>
    </row>
    <row r="4" customFormat="false" ht="12" hidden="false" customHeight="true" outlineLevel="0" collapsed="false">
      <c r="B4" s="4" t="s">
        <v>2</v>
      </c>
      <c r="C4" s="4" t="s">
        <v>3</v>
      </c>
      <c r="D4" s="4" t="s">
        <v>4</v>
      </c>
    </row>
    <row r="5" customFormat="false" ht="18" hidden="false" customHeight="true" outlineLevel="0" collapsed="false">
      <c r="B5" s="2" t="s">
        <v>5</v>
      </c>
      <c r="C5" s="2"/>
      <c r="D5" s="2"/>
    </row>
    <row r="6" customFormat="false" ht="13.5" hidden="false" customHeight="true" outlineLevel="0" collapsed="false">
      <c r="B6" s="5" t="s">
        <v>6</v>
      </c>
      <c r="C6" s="6" t="n">
        <f aca="false">Year</f>
        <v>2025</v>
      </c>
      <c r="D6" s="7" t="s">
        <v>7</v>
      </c>
    </row>
    <row r="7" customFormat="false" ht="13.5" hidden="false" customHeight="true" outlineLevel="0" collapsed="false">
      <c r="B7" s="5" t="s">
        <v>8</v>
      </c>
      <c r="C7" s="8" t="s">
        <v>9</v>
      </c>
      <c r="D7" s="7" t="s">
        <v>10</v>
      </c>
    </row>
    <row r="8" customFormat="false" ht="13.5" hidden="false" customHeight="true" outlineLevel="0" collapsed="false">
      <c r="B8" s="5" t="s">
        <v>11</v>
      </c>
      <c r="C8" s="9" t="s">
        <v>12</v>
      </c>
      <c r="D8" s="7" t="s">
        <v>13</v>
      </c>
    </row>
    <row r="9" customFormat="false" ht="13.5" hidden="false" customHeight="true" outlineLevel="0" collapsed="false">
      <c r="B9" s="5" t="s">
        <v>14</v>
      </c>
      <c r="C9" s="10" t="n">
        <v>156901401001</v>
      </c>
      <c r="D9" s="7" t="s">
        <v>15</v>
      </c>
    </row>
    <row r="10" customFormat="false" ht="13.5" hidden="true" customHeight="true" outlineLevel="0" collapsed="false">
      <c r="B10" s="5" t="s">
        <v>16</v>
      </c>
      <c r="C10" s="8"/>
      <c r="D10" s="7" t="s">
        <v>17</v>
      </c>
    </row>
    <row r="11" customFormat="false" ht="13.5" hidden="false" customHeight="true" outlineLevel="0" collapsed="false">
      <c r="B11" s="5" t="s">
        <v>18</v>
      </c>
      <c r="C11" s="8" t="s">
        <v>19</v>
      </c>
      <c r="D11" s="7" t="s">
        <v>20</v>
      </c>
    </row>
    <row r="12" customFormat="false" ht="13.5" hidden="false" customHeight="true" outlineLevel="0" collapsed="false">
      <c r="B12" s="5" t="s">
        <v>21</v>
      </c>
      <c r="C12" s="8" t="s">
        <v>22</v>
      </c>
      <c r="D12" s="7" t="s">
        <v>23</v>
      </c>
    </row>
    <row r="13" customFormat="false" ht="13.5" hidden="false" customHeight="true" outlineLevel="0" collapsed="false">
      <c r="B13" s="5" t="s">
        <v>24</v>
      </c>
      <c r="C13" s="8" t="s">
        <v>25</v>
      </c>
      <c r="D13" s="7" t="s">
        <v>26</v>
      </c>
    </row>
    <row r="14" customFormat="false" ht="13.5" hidden="false" customHeight="true" outlineLevel="0" collapsed="false">
      <c r="B14" s="5" t="s">
        <v>27</v>
      </c>
      <c r="C14" s="11" t="n">
        <v>46247</v>
      </c>
      <c r="D14" s="7" t="s">
        <v>28</v>
      </c>
    </row>
    <row r="15" customFormat="false" ht="13.5" hidden="false" customHeight="true" outlineLevel="0" collapsed="false">
      <c r="B15" s="5" t="s">
        <v>29</v>
      </c>
      <c r="C15" s="11" t="n">
        <v>45473</v>
      </c>
      <c r="D15" s="284" t="inlineStr">
        <is>
          <t xml:space="preserve">Colorado: June 30 of the year before the reassessment cycle. The 2025-2026 cycle uses a 6/30/2024 level of value -- this must agree with Cost Approach C17.</t>
        </is>
      </c>
    </row>
    <row r="16" customFormat="false" ht="13.5" hidden="false" customHeight="true" outlineLevel="0" collapsed="false">
      <c r="B16" s="5" t="s">
        <v>31</v>
      </c>
      <c r="C16" s="8" t="s">
        <v>32</v>
      </c>
      <c r="D16" s="7" t="s">
        <v>33</v>
      </c>
    </row>
    <row r="17" customFormat="false" ht="13.5" hidden="false" customHeight="true" outlineLevel="0" collapsed="false">
      <c r="B17" s="5" t="s">
        <v>34</v>
      </c>
      <c r="C17" s="11" t="n">
        <v>46244</v>
      </c>
      <c r="D17" s="7" t="s">
        <v>33</v>
      </c>
    </row>
    <row r="18" customFormat="false" ht="18" hidden="false" customHeight="true" outlineLevel="0" collapsed="false">
      <c r="B18" s="2" t="s">
        <v>35</v>
      </c>
      <c r="C18" s="2"/>
      <c r="D18" s="2"/>
    </row>
    <row r="19" customFormat="false" ht="13.5" hidden="false" customHeight="true" outlineLevel="0" collapsed="false">
      <c r="B19" s="5" t="s">
        <v>36</v>
      </c>
      <c r="C19" s="12" t="str">
        <f aca="false">Subj_Address</f>
        <v>22600 Interstate 76</v>
      </c>
      <c r="D19" s="7" t="s">
        <v>37</v>
      </c>
    </row>
    <row r="20" customFormat="false" ht="13.5" hidden="false" customHeight="true" outlineLevel="0" collapsed="false">
      <c r="B20" s="5" t="s">
        <v>38</v>
      </c>
      <c r="C20" s="12" t="str">
        <f aca="false">'Subject Property'!C5</f>
        <v>BRIGHTON</v>
      </c>
      <c r="D20" s="7" t="s">
        <v>39</v>
      </c>
    </row>
    <row r="21" customFormat="false" ht="13.5" hidden="false" customHeight="true" outlineLevel="0" collapsed="false">
      <c r="B21" s="5" t="s">
        <v>40</v>
      </c>
      <c r="C21" s="9" t="s">
        <v>41</v>
      </c>
      <c r="D21" s="7" t="s">
        <v>42</v>
      </c>
    </row>
    <row r="22" customFormat="false" ht="13.5" hidden="false" customHeight="true" outlineLevel="0" collapsed="false">
      <c r="B22" s="5" t="s">
        <v>43</v>
      </c>
      <c r="C22" s="8"/>
      <c r="D22" s="7" t="s">
        <v>44</v>
      </c>
    </row>
    <row r="23" customFormat="false" ht="13.5" hidden="false" customHeight="true" outlineLevel="0" collapsed="false">
      <c r="B23" s="5" t="s">
        <v>45</v>
      </c>
      <c r="C23" s="12" t="str">
        <f aca="false">IFERROR(INDEX(OCCMAP_NAME,MATCH(PI_OccCode,OCCMAP_CODE,0)),"No MVS occupancy for OCC "&amp;PI_OccCode)</f>
        <v>Mega (Storage/Distribution) Warehouses</v>
      </c>
      <c r="D23" s="7" t="s">
        <v>46</v>
      </c>
    </row>
    <row r="24" customFormat="false" ht="13.5" hidden="false" customHeight="true" outlineLevel="0" collapsed="false">
      <c r="B24" s="5" t="s">
        <v>47</v>
      </c>
      <c r="C24" s="10" t="n">
        <v>584</v>
      </c>
      <c r="D24" s="7" t="s">
        <v>48</v>
      </c>
    </row>
    <row r="25" customFormat="false" ht="13.5" hidden="false" customHeight="true" outlineLevel="0" collapsed="false">
      <c r="B25" s="5" t="s">
        <v>49</v>
      </c>
      <c r="C25" s="8" t="s">
        <v>50</v>
      </c>
      <c r="D25" s="7" t="s">
        <v>51</v>
      </c>
    </row>
    <row r="26" customFormat="false" ht="13.5" hidden="false" customHeight="true" outlineLevel="0" collapsed="false">
      <c r="B26" s="5" t="s">
        <v>52</v>
      </c>
      <c r="C26" s="13" t="n">
        <f aca="false">IFERROR(Subj_SiteSF,"")</f>
        <v>869458</v>
      </c>
      <c r="D26" s="7" t="s">
        <v>53</v>
      </c>
    </row>
    <row r="27" customFormat="false" ht="13.5" hidden="false" customHeight="true" outlineLevel="0" collapsed="false">
      <c r="B27" s="5" t="s">
        <v>54</v>
      </c>
      <c r="C27" s="14" t="n">
        <f aca="false">IFERROR(Subj_SiteSF/43560,"")</f>
        <v>19.9600091827365</v>
      </c>
      <c r="D27" s="7" t="s">
        <v>55</v>
      </c>
    </row>
    <row r="28" customFormat="false" ht="13.5" hidden="false" customHeight="true" outlineLevel="0" collapsed="false">
      <c r="B28" s="5" t="s">
        <v>56</v>
      </c>
      <c r="C28" s="6" t="n">
        <f aca="false">Subj_NumBldgs</f>
        <v>1</v>
      </c>
      <c r="D28" s="7" t="s">
        <v>57</v>
      </c>
    </row>
    <row r="29" customFormat="false" ht="13.5" hidden="false" customHeight="true" outlineLevel="0" collapsed="false">
      <c r="B29" s="5" t="s">
        <v>58</v>
      </c>
      <c r="C29" s="13" t="n">
        <f aca="false">Subj_TotalBldgSF</f>
        <v>352240</v>
      </c>
      <c r="D29" s="7" t="s">
        <v>59</v>
      </c>
    </row>
    <row r="30" customFormat="false" ht="13.5" hidden="false" customHeight="true" outlineLevel="0" collapsed="false">
      <c r="B30" s="5" t="s">
        <v>60</v>
      </c>
      <c r="C30" s="6" t="n">
        <f aca="false">Subj_TotalUnits</f>
        <v>0</v>
      </c>
      <c r="D30" s="7" t="s">
        <v>61</v>
      </c>
    </row>
    <row r="31" customFormat="false" ht="13.5" hidden="false" customHeight="true" outlineLevel="0" collapsed="false">
      <c r="B31" s="5" t="s">
        <v>62</v>
      </c>
      <c r="C31" s="15" t="n">
        <f aca="false">IFERROR(Subj_SiteSF/Subj_TotalBldgSF,"")</f>
        <v>2.46836815807404</v>
      </c>
      <c r="D31" s="7" t="s">
        <v>63</v>
      </c>
    </row>
    <row r="32" customFormat="false" ht="13.5" hidden="false" customHeight="true" outlineLevel="0" collapsed="false">
      <c r="B32" s="5" t="s">
        <v>64</v>
      </c>
      <c r="C32" s="6" t="n">
        <f aca="false">Subj_YOC</f>
        <v>2020</v>
      </c>
      <c r="D32" s="7" t="s">
        <v>65</v>
      </c>
    </row>
    <row r="33" customFormat="false" ht="13.5" hidden="false" customHeight="true" outlineLevel="0" collapsed="false">
      <c r="B33" s="5" t="s">
        <v>66</v>
      </c>
      <c r="C33" s="6" t="n">
        <f aca="false">Subj_Age</f>
        <v>5</v>
      </c>
      <c r="D33" s="7" t="s">
        <v>67</v>
      </c>
    </row>
    <row r="34" customFormat="false" ht="13.5" hidden="false" customHeight="true" outlineLevel="0" collapsed="false">
      <c r="B34" s="5" t="s">
        <v>68</v>
      </c>
      <c r="C34" s="12" t="str">
        <f aca="false">Subj_Quality</f>
        <v>Average</v>
      </c>
      <c r="D34" s="7" t="s">
        <v>69</v>
      </c>
    </row>
    <row r="35" customFormat="false" ht="13.5" hidden="false" customHeight="true" outlineLevel="0" collapsed="false">
      <c r="B35" s="5" t="s">
        <v>70</v>
      </c>
      <c r="C35" s="12" t="str">
        <f aca="false">Subj_Condition</f>
        <v>Typical</v>
      </c>
      <c r="D35" s="7" t="s">
        <v>71</v>
      </c>
    </row>
    <row r="36" customFormat="false" ht="13.5" hidden="false" customHeight="true" outlineLevel="0" collapsed="false">
      <c r="B36" s="5" t="s">
        <v>72</v>
      </c>
      <c r="C36" s="8" t="s">
        <v>73</v>
      </c>
      <c r="D36" s="7" t="s">
        <v>74</v>
      </c>
    </row>
    <row r="37" customFormat="false" ht="13.5" hidden="false" customHeight="true" outlineLevel="0" collapsed="false">
      <c r="B37" s="5" t="s">
        <v>75</v>
      </c>
      <c r="C37" s="12" t="str">
        <f aca="false">Subj_Basis</f>
        <v>Per SF</v>
      </c>
      <c r="D37" s="7" t="s">
        <v>76</v>
      </c>
    </row>
    <row r="38" customFormat="false" ht="18" hidden="false" customHeight="true" outlineLevel="0" collapsed="false">
      <c r="B38" s="2" t="s">
        <v>77</v>
      </c>
      <c r="C38" s="2"/>
      <c r="D38" s="2"/>
    </row>
    <row r="39" customFormat="false" ht="13.5" hidden="false" customHeight="true" outlineLevel="0" collapsed="false">
      <c r="B39" s="5" t="s">
        <v>78</v>
      </c>
      <c r="C39" s="16" t="n">
        <v>4868170</v>
      </c>
      <c r="D39" s="7" t="s">
        <v>79</v>
      </c>
    </row>
    <row r="40" customFormat="false" ht="13.5" hidden="false" customHeight="true" outlineLevel="0" collapsed="false">
      <c r="B40" s="5" t="s">
        <v>80</v>
      </c>
      <c r="C40" s="16" t="n">
        <v>32219767</v>
      </c>
      <c r="D40" s="7" t="s">
        <v>79</v>
      </c>
    </row>
    <row r="41" customFormat="false" ht="13.5" hidden="false" customHeight="true" outlineLevel="0" collapsed="false">
      <c r="B41" s="5" t="s">
        <v>81</v>
      </c>
      <c r="C41" s="17" t="n">
        <f aca="false">N(PI_AsrLand)+N(PI_AsrImp)</f>
        <v>37087937</v>
      </c>
      <c r="D41" s="7" t="s">
        <v>82</v>
      </c>
    </row>
    <row r="42" customFormat="false" ht="13.5" hidden="false" customHeight="true" outlineLevel="0" collapsed="false">
      <c r="B42" s="5" t="s">
        <v>83</v>
      </c>
      <c r="C42" s="18" t="n">
        <f aca="false">IFERROR(PI_AsrTotal/Subj_TotalBldgSF,"")</f>
        <v>105.291667612991</v>
      </c>
      <c r="D42" s="7" t="s">
        <v>84</v>
      </c>
    </row>
    <row r="43" customFormat="false" ht="13.5" hidden="false" customHeight="true" outlineLevel="0" collapsed="false">
      <c r="B43" s="5" t="s">
        <v>85</v>
      </c>
      <c r="C43" s="16" t="n">
        <v>36985200</v>
      </c>
      <c r="D43" s="7" t="s">
        <v>86</v>
      </c>
    </row>
    <row r="44" customFormat="false" ht="13.5" hidden="false" customHeight="true" outlineLevel="0" collapsed="false">
      <c r="B44" s="5" t="s">
        <v>87</v>
      </c>
      <c r="C44" s="19" t="n">
        <f aca="false">IFERROR(PI_AsrTotal/PI_PriorValue-1,"")</f>
        <v>0.00277778679039176</v>
      </c>
      <c r="D44" s="7" t="s">
        <v>88</v>
      </c>
    </row>
    <row r="45" customFormat="false" ht="13.5" hidden="false" customHeight="true" outlineLevel="0" collapsed="false">
      <c r="B45" s="5" t="s">
        <v>89</v>
      </c>
      <c r="C45" s="20"/>
      <c r="D45" s="7" t="s">
        <v>90</v>
      </c>
    </row>
    <row r="46" customFormat="false" ht="13.5" hidden="false" customHeight="true" outlineLevel="0" collapsed="false">
      <c r="B46" s="5" t="s">
        <v>91</v>
      </c>
      <c r="C46" s="17" t="n">
        <f aca="false">N(PI_AsrTotal)*N(PI_AssessmentRate)</f>
        <v>0</v>
      </c>
      <c r="D46" s="7" t="s">
        <v>88</v>
      </c>
    </row>
    <row r="47" customFormat="false" ht="13.5" hidden="false" customHeight="true" outlineLevel="0" collapsed="false">
      <c r="B47" s="5" t="s">
        <v>92</v>
      </c>
      <c r="C47" s="21"/>
      <c r="D47" s="7" t="s">
        <v>93</v>
      </c>
    </row>
    <row r="48" customFormat="false" ht="13.5" hidden="false" customHeight="true" outlineLevel="0" collapsed="false">
      <c r="B48" s="5" t="s">
        <v>94</v>
      </c>
      <c r="C48" s="17" t="n">
        <f aca="false">IFERROR(PI_AsrTotal*PI_AssessmentRate*PI_MillLevy/1000,"")</f>
        <v>0</v>
      </c>
      <c r="D48" s="7" t="s">
        <v>88</v>
      </c>
    </row>
    <row r="49" customFormat="false" ht="18" hidden="false" customHeight="true" outlineLevel="0" collapsed="false">
      <c r="B49" s="2" t="s">
        <v>95</v>
      </c>
      <c r="C49" s="2"/>
      <c r="D49" s="2"/>
    </row>
    <row r="50" customFormat="false" ht="13.5" hidden="false" customHeight="true" outlineLevel="0" collapsed="false">
      <c r="B50" s="5" t="s">
        <v>96</v>
      </c>
      <c r="C50" s="22" t="n">
        <v>7</v>
      </c>
      <c r="D50" s="7" t="s">
        <v>97</v>
      </c>
    </row>
    <row r="51" customFormat="false" ht="13.5" hidden="false" customHeight="true" outlineLevel="0" collapsed="false">
      <c r="B51" s="5" t="s">
        <v>98</v>
      </c>
      <c r="C51" s="23" t="n">
        <v>0.05</v>
      </c>
      <c r="D51" s="7" t="s">
        <v>99</v>
      </c>
    </row>
    <row r="52" customFormat="false" ht="13.5" hidden="false" customHeight="true" outlineLevel="0" collapsed="false">
      <c r="B52" s="5" t="s">
        <v>100</v>
      </c>
      <c r="C52" s="23" t="n">
        <v>0.08</v>
      </c>
      <c r="D52" s="7" t="s">
        <v>101</v>
      </c>
    </row>
    <row r="53" customFormat="false" ht="13.5" hidden="false" customHeight="true" outlineLevel="0" collapsed="false">
      <c r="B53" s="5" t="s">
        <v>102</v>
      </c>
      <c r="C53" s="11" t="n">
        <v>44575</v>
      </c>
      <c r="D53" s="7" t="s">
        <v>103</v>
      </c>
    </row>
    <row r="54" customFormat="false" ht="13.5" hidden="false" customHeight="true" outlineLevel="0" collapsed="false">
      <c r="B54" s="5" t="s">
        <v>104</v>
      </c>
      <c r="C54" s="16" t="n">
        <v>49900000</v>
      </c>
      <c r="D54" s="7" t="s">
        <v>105</v>
      </c>
    </row>
    <row r="55" customFormat="false" ht="13.5" hidden="false" customHeight="true" outlineLevel="0" collapsed="false">
      <c r="B55" s="5" t="s">
        <v>106</v>
      </c>
      <c r="C55" s="18" t="n">
        <f aca="false">IFERROR(PI_LastSalePrice/Subj_TotalBldgSF,"")</f>
        <v>141.664774017715</v>
      </c>
      <c r="D55" s="7" t="s">
        <v>107</v>
      </c>
    </row>
    <row r="56" customFormat="false" ht="13.5" hidden="false" customHeight="true" outlineLevel="0" collapsed="false">
      <c r="B56" s="5" t="s">
        <v>108</v>
      </c>
      <c r="C56" s="9" t="n">
        <v>2022000006397</v>
      </c>
      <c r="D56" s="7" t="s">
        <v>109</v>
      </c>
    </row>
    <row r="57" customFormat="false" ht="13.5" hidden="false" customHeight="true" outlineLevel="0" collapsed="false">
      <c r="B57" s="5" t="s">
        <v>110</v>
      </c>
      <c r="C57" s="8" t="s">
        <v>111</v>
      </c>
      <c r="D57" s="7" t="s">
        <v>112</v>
      </c>
    </row>
    <row r="58" customFormat="false" ht="13.5" hidden="false" customHeight="true" outlineLevel="0" collapsed="false">
      <c r="B58" s="5" t="s">
        <v>113</v>
      </c>
      <c r="C58" s="8" t="s">
        <v>114</v>
      </c>
      <c r="D58" s="7" t="s">
        <v>115</v>
      </c>
    </row>
    <row r="59" customFormat="false" ht="18" hidden="false" customHeight="true" outlineLevel="0" collapsed="false">
      <c r="B59" s="2" t="s">
        <v>116</v>
      </c>
      <c r="C59" s="2"/>
      <c r="D59" s="2"/>
    </row>
    <row r="60" customFormat="false" ht="13.5" hidden="false" customHeight="true" outlineLevel="0" collapsed="false">
      <c r="B60" s="5" t="s">
        <v>117</v>
      </c>
      <c r="C60" s="17" t="n">
        <f aca="false">IFERROR(Reconciliation!$C$17,0)</f>
        <v>35225000</v>
      </c>
      <c r="D60" s="7" t="s">
        <v>118</v>
      </c>
    </row>
    <row r="61" customFormat="false" ht="13.5" hidden="false" customHeight="true" outlineLevel="0" collapsed="false">
      <c r="B61" s="5" t="s">
        <v>119</v>
      </c>
      <c r="C61" s="18" t="n">
        <f aca="false">IFERROR(Reconciliation!$C$18,"")</f>
        <v>100.002838973427</v>
      </c>
      <c r="D61" s="7" t="s">
        <v>120</v>
      </c>
    </row>
    <row r="62" customFormat="false" ht="13.5" hidden="false" customHeight="true" outlineLevel="0" collapsed="false">
      <c r="B62" s="5" t="s">
        <v>121</v>
      </c>
      <c r="C62" s="17" t="n">
        <f aca="false">IFERROR(PI_AsrTotal-Reconciliation!$C$17,"")</f>
        <v>1862937</v>
      </c>
      <c r="D62" s="7" t="s">
        <v>122</v>
      </c>
    </row>
    <row r="63" customFormat="false" ht="13.5" hidden="false" customHeight="true" outlineLevel="0" collapsed="false">
      <c r="B63" s="5" t="s">
        <v>123</v>
      </c>
      <c r="C63" s="19" t="n">
        <f aca="false">IFERROR(1-Reconciliation!$C$17/PI_AsrTotal,"")</f>
        <v>0.0502302675934766</v>
      </c>
      <c r="D63" s="7" t="s">
        <v>88</v>
      </c>
    </row>
    <row r="64" customFormat="false" ht="18" hidden="false" customHeight="true" outlineLevel="0" collapsed="false">
      <c r="B64" s="2" t="s">
        <v>124</v>
      </c>
      <c r="C64" s="2"/>
      <c r="D64" s="2"/>
    </row>
    <row r="65" customFormat="false" ht="42" hidden="false" customHeight="true" outlineLevel="0" collapsed="false">
      <c r="B65" s="3" t="s">
        <v>125</v>
      </c>
      <c r="C65" s="3"/>
      <c r="D65" s="3"/>
    </row>
    <row r="66" customFormat="false" ht="42" hidden="false" customHeight="true" outlineLevel="0" collapsed="false">
      <c r="B66" s="3" t="s">
        <v>126</v>
      </c>
      <c r="C66" s="3"/>
      <c r="D66" s="3"/>
    </row>
  </sheetData>
  <mergeCells count="3">
    <mergeCell ref="B2:D2"/>
    <mergeCell ref="B65:D65"/>
    <mergeCell ref="B66:D66"/>
  </mergeCells>
  <dataValidations count="4">
    <dataValidation allowBlank="true" errorStyle="stop" operator="between" showDropDown="false" showErrorMessage="true" showInputMessage="true" sqref="C7" type="list">
      <formula1>"ADAMS,ARAPAHOE,BOULDER,BROOMFIELD,DENVER,DOUGLAS,ELBERT,EL PASO,JEFFERSON,LARIMER,WELD,Other"</formula1>
      <formula2>0</formula2>
    </dataValidation>
    <dataValidation allowBlank="true" errorStyle="stop" operator="between" showDropDown="false" showErrorMessage="true" showInputMessage="true" sqref="C13" type="list">
      <formula1>"Abatement / Refund Petition,Assessor (NOD),County Board of Equalization (CBOE),Board of Assessment Appeals (BAA),District Court,Arbitration"</formula1>
      <formula2>0</formula2>
    </dataValidation>
    <dataValidation allowBlank="true" errorStyle="stop" operator="between" showDropDown="false" showErrorMessage="true" showInputMessage="true" sqref="C36" type="list">
      <formula1>"Excellent,Good,Typical,Fair,Poor"</formula1>
      <formula2>0</formula2>
    </dataValidation>
    <dataValidation allowBlank="true" errorStyle="stop" operator="between" prompt="Pick the assessor OCC code for the subject." promptTitle="OCC Code" showDropDown="false" showErrorMessage="false" showInputMessage="false" sqref="C24" type="list">
      <formula1>OCCMAP_CODE</formula1>
      <formula2>0</formula2>
    </dataValidation>
  </dataValidation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4:AN160"/>
  <sheetViews>
    <sheetView showFormulas="false" showGridLines="false" showRowColHeaders="true" showZeros="true" rightToLeft="false" tabSelected="false" showOutlineSymbols="true" defaultGridColor="true" view="normal" topLeftCell="U110" colorId="64" zoomScale="100" zoomScaleNormal="100" zoomScalePageLayoutView="100" workbookViewId="0">
      <pane xSplit="1" ySplit="3" topLeftCell="B4" activePane="bottomRight" state="frozen"/>
      <selection pane="topLeft" activeCell="U110" activeCellId="0" sqref="U110"/>
      <selection pane="topRight" activeCell="B110" activeCellId="0" sqref="B110"/>
      <selection pane="bottomLeft" activeCell="U4" activeCellId="0" sqref="U4"/>
      <selection pane="bottomRight" activeCell="AK155" activeCellId="0" sqref="AK155"/>
    </sheetView>
  </sheetViews>
  <sheetFormatPr defaultColWidth="9.86328125" defaultRowHeight="12" zeroHeight="false" outlineLevelRow="0" outlineLevelCol="0"/>
  <cols>
    <col collapsed="false" customWidth="true" hidden="false" outlineLevel="0" max="1" min="1" style="1" width="2"/>
    <col collapsed="false" customWidth="true" hidden="false" outlineLevel="0" max="2" min="2" style="1" width="34"/>
    <col collapsed="false" customWidth="true" hidden="false" outlineLevel="0" max="3" min="3" style="1" width="42"/>
    <col collapsed="false" customWidth="true" hidden="false" outlineLevel="0" max="4" min="4" style="1" width="2.5"/>
    <col collapsed="false" customWidth="true" hidden="false" outlineLevel="0" max="5" min="5" style="1" width="30"/>
    <col collapsed="false" customWidth="true" hidden="false" outlineLevel="0" max="7" min="6" style="1" width="16"/>
    <col collapsed="false" customWidth="true" hidden="false" outlineLevel="0" max="8" min="8" style="1" width="2.5"/>
    <col collapsed="false" customWidth="true" hidden="false" outlineLevel="0" max="9" min="9" style="1" width="28"/>
    <col collapsed="false" customWidth="true" hidden="false" outlineLevel="0" max="10" min="10" style="1" width="26"/>
    <col collapsed="false" customWidth="true" hidden="false" outlineLevel="0" max="12" min="11" style="1" width="14"/>
    <col collapsed="false" customWidth="true" hidden="false" outlineLevel="0" max="14" min="13" style="1" width="12"/>
    <col collapsed="false" customWidth="true" hidden="false" outlineLevel="0" max="16" min="15" style="1" width="2.5"/>
    <col collapsed="false" customWidth="true" hidden="false" outlineLevel="0" max="17" min="17" style="1" width="32"/>
    <col collapsed="false" customWidth="true" hidden="false" outlineLevel="0" max="18" min="18" style="1" width="20"/>
    <col collapsed="false" customWidth="true" hidden="false" outlineLevel="0" max="21" min="19" style="1" width="16"/>
    <col collapsed="false" customWidth="true" hidden="false" outlineLevel="0" max="22" min="22" style="1" width="2.5"/>
    <col collapsed="false" customWidth="true" hidden="false" outlineLevel="0" max="23" min="23" style="1" width="32"/>
    <col collapsed="false" customWidth="true" hidden="false" outlineLevel="0" max="24" min="24" style="1" width="44"/>
    <col collapsed="false" customWidth="true" hidden="false" outlineLevel="0" max="25" min="25" style="1" width="2.5"/>
    <col collapsed="false" customWidth="true" hidden="false" outlineLevel="0" max="26" min="26" style="1" width="28"/>
    <col collapsed="false" customWidth="true" hidden="false" outlineLevel="0" max="27" min="27" style="1" width="26"/>
    <col collapsed="false" customWidth="true" hidden="false" outlineLevel="0" max="28" min="28" style="1" width="14"/>
    <col collapsed="false" customWidth="true" hidden="false" outlineLevel="0" max="30" min="29" style="1" width="12"/>
    <col collapsed="false" customWidth="true" hidden="false" outlineLevel="0" max="31" min="31" style="1" width="2.5"/>
    <col collapsed="false" customWidth="true" hidden="false" outlineLevel="0" max="32" min="32" style="1" width="28"/>
    <col collapsed="false" customWidth="true" hidden="false" outlineLevel="0" max="35" min="33" style="1" width="17"/>
    <col collapsed="false" customWidth="true" hidden="false" outlineLevel="0" max="36" min="36" style="1" width="2.5"/>
    <col collapsed="false" customWidth="true" hidden="false" outlineLevel="0" max="37" min="37" style="1" width="28"/>
    <col collapsed="false" customWidth="true" hidden="false" outlineLevel="0" max="38" min="38" style="1" width="20"/>
    <col collapsed="false" customWidth="true" hidden="false" outlineLevel="0" max="40" min="39" style="1" width="17"/>
  </cols>
  <sheetData>
    <row r="4" customFormat="false" ht="18" hidden="false" customHeight="true" outlineLevel="0" collapsed="false">
      <c r="B4" s="24" t="s">
        <v>127</v>
      </c>
      <c r="C4" s="24"/>
    </row>
    <row r="5" customFormat="false" ht="13.5" hidden="false" customHeight="true" outlineLevel="0" collapsed="false">
      <c r="B5" s="25" t="s">
        <v>128</v>
      </c>
      <c r="C5" s="26" t="str">
        <f aca="false">PI_Account</f>
        <v>R0195554</v>
      </c>
    </row>
    <row r="6" customFormat="false" ht="13.5" hidden="false" customHeight="true" outlineLevel="0" collapsed="false">
      <c r="B6" s="25" t="s">
        <v>129</v>
      </c>
      <c r="C6" s="27" t="str">
        <f aca="false">'Property Info'!$C$19</f>
        <v>22600 Interstate 76</v>
      </c>
    </row>
    <row r="7" customFormat="false" ht="13.5" hidden="false" customHeight="true" outlineLevel="0" collapsed="false">
      <c r="B7" s="25" t="s">
        <v>8</v>
      </c>
      <c r="C7" s="27" t="str">
        <f aca="false">PROPER(PI_County)&amp;" County"</f>
        <v>Adams County</v>
      </c>
    </row>
    <row r="8" customFormat="false" ht="13.5" hidden="false" customHeight="true" outlineLevel="0" collapsed="false">
      <c r="B8" s="25" t="s">
        <v>130</v>
      </c>
      <c r="C8" s="27" t="str">
        <f aca="false">PROPER('Property Info'!$C$20)&amp;", Colorado"</f>
        <v>Brighton, Colorado</v>
      </c>
    </row>
    <row r="9" customFormat="false" ht="13.5" hidden="false" customHeight="true" outlineLevel="0" collapsed="false">
      <c r="B9" s="25" t="s">
        <v>131</v>
      </c>
      <c r="C9" s="28" t="n">
        <f aca="false">PI_ValuationDate</f>
        <v>45838</v>
      </c>
    </row>
    <row r="10" customFormat="false" ht="13.5" hidden="false" customHeight="true" outlineLevel="0" collapsed="false">
      <c r="B10" s="25" t="s">
        <v>132</v>
      </c>
      <c r="C10" s="28" t="n">
        <f aca="false">PI_DatePrepared</f>
        <v>46244</v>
      </c>
    </row>
    <row r="11" customFormat="false" ht="13.5" hidden="false" customHeight="true" outlineLevel="0" collapsed="false">
      <c r="B11" s="25" t="s">
        <v>27</v>
      </c>
      <c r="C11" s="28" t="n">
        <f aca="false">PI_HearingDate</f>
        <v>46247</v>
      </c>
    </row>
    <row r="13" customFormat="false" ht="13.5" hidden="false" customHeight="true" outlineLevel="0" collapsed="false">
      <c r="B13" s="25" t="s">
        <v>133</v>
      </c>
      <c r="C13" s="27" t="str">
        <f aca="false">'Property Info'!$C$23</f>
        <v>Mega (Storage/Distribution) Warehouses</v>
      </c>
    </row>
    <row r="14" customFormat="false" ht="12" hidden="false" customHeight="true" outlineLevel="0" collapsed="false">
      <c r="B14" s="29" t="s">
        <v>134</v>
      </c>
      <c r="C14" s="30"/>
    </row>
    <row r="15" customFormat="false" ht="13.5" hidden="false" customHeight="true" outlineLevel="0" collapsed="false">
      <c r="B15" s="25" t="s">
        <v>135</v>
      </c>
      <c r="C15" s="31" t="n">
        <f aca="false">'Property Info'!$C$29</f>
        <v>352240</v>
      </c>
    </row>
    <row r="16" customFormat="false" ht="13.5" hidden="false" customHeight="true" outlineLevel="0" collapsed="false">
      <c r="B16" s="25" t="s">
        <v>56</v>
      </c>
      <c r="C16" s="32" t="n">
        <f aca="false">'Property Info'!$C$28</f>
        <v>1</v>
      </c>
    </row>
    <row r="17" customFormat="false" ht="13.5" hidden="false" customHeight="true" outlineLevel="0" collapsed="false">
      <c r="B17" s="25" t="s">
        <v>136</v>
      </c>
      <c r="C17" s="27" t="str">
        <f aca="false">'Property Info'!$C$32&amp;"/"&amp;'Property Info'!$C$35</f>
        <v>2020/Typical</v>
      </c>
    </row>
    <row r="18" customFormat="false" ht="13.5" hidden="false" customHeight="true" outlineLevel="0" collapsed="false">
      <c r="B18" s="25" t="s">
        <v>70</v>
      </c>
      <c r="C18" s="27" t="str">
        <f aca="false">'Property Info'!$C$35</f>
        <v>Typical</v>
      </c>
    </row>
    <row r="19" customFormat="false" ht="13.5" hidden="false" customHeight="true" outlineLevel="0" collapsed="false">
      <c r="B19" s="25" t="s">
        <v>137</v>
      </c>
      <c r="C19" s="31" t="n">
        <f aca="false">'Property Info'!$C$26</f>
        <v>869458</v>
      </c>
    </row>
    <row r="20" customFormat="false" ht="13.5" hidden="false" customHeight="true" outlineLevel="0" collapsed="false">
      <c r="B20" s="25" t="s">
        <v>138</v>
      </c>
      <c r="C20" s="33" t="s">
        <v>139</v>
      </c>
    </row>
    <row r="21" customFormat="false" ht="13.5" hidden="false" customHeight="true" outlineLevel="0" collapsed="false">
      <c r="B21" s="25" t="s">
        <v>140</v>
      </c>
      <c r="C21" s="34" t="n">
        <f aca="false">1-PI_Vacancy</f>
        <v>0.95</v>
      </c>
    </row>
    <row r="24" customFormat="false" ht="18" hidden="false" customHeight="true" outlineLevel="0" collapsed="false">
      <c r="E24" s="24" t="s">
        <v>141</v>
      </c>
      <c r="F24" s="24"/>
      <c r="G24" s="24"/>
    </row>
    <row r="25" customFormat="false" ht="12" hidden="false" customHeight="true" outlineLevel="0" collapsed="false">
      <c r="F25" s="35" t="s">
        <v>142</v>
      </c>
      <c r="G25" s="35" t="s">
        <v>143</v>
      </c>
    </row>
    <row r="26" customFormat="false" ht="13.5" hidden="false" customHeight="true" outlineLevel="0" collapsed="false">
      <c r="E26" s="36" t="s">
        <v>144</v>
      </c>
      <c r="F26" s="37" t="n">
        <f aca="false">PI_AsrTotal</f>
        <v>37087937</v>
      </c>
      <c r="G26" s="38" t="n">
        <f aca="false">IFERROR(F26/'Property Info'!$C$29,"")</f>
        <v>105.291667612991</v>
      </c>
    </row>
    <row r="27" customFormat="false" ht="13.5" hidden="false" customHeight="true" outlineLevel="0" collapsed="false">
      <c r="E27" s="36" t="s">
        <v>145</v>
      </c>
      <c r="F27" s="37" t="n">
        <f aca="false">IFERROR(Reconciliation!$C$17,0)</f>
        <v>35225000</v>
      </c>
      <c r="G27" s="38" t="n">
        <f aca="false">IFERROR(F27/'Property Info'!$C$29,"")</f>
        <v>100.002838973427</v>
      </c>
    </row>
    <row r="30" customFormat="false" ht="18" hidden="false" customHeight="true" outlineLevel="0" collapsed="false">
      <c r="I30" s="24" t="s">
        <v>146</v>
      </c>
      <c r="J30" s="24"/>
      <c r="K30" s="24"/>
      <c r="L30" s="24"/>
      <c r="M30" s="24"/>
      <c r="N30" s="24"/>
    </row>
    <row r="31" customFormat="false" ht="30" hidden="false" customHeight="true" outlineLevel="0" collapsed="false">
      <c r="I31" s="25" t="s">
        <v>147</v>
      </c>
      <c r="J31" s="39" t="s">
        <v>148</v>
      </c>
      <c r="K31" s="39"/>
      <c r="L31" s="39"/>
      <c r="M31" s="39"/>
      <c r="N31" s="39"/>
    </row>
    <row r="32" customFormat="false" ht="13.5" hidden="false" customHeight="true" outlineLevel="0" collapsed="false">
      <c r="J32" s="33" t="s">
        <v>149</v>
      </c>
      <c r="K32" s="33"/>
      <c r="L32" s="33"/>
      <c r="M32" s="33"/>
    </row>
    <row r="33" customFormat="false" ht="13.5" hidden="false" customHeight="true" outlineLevel="0" collapsed="false">
      <c r="J33" s="33" t="s">
        <v>150</v>
      </c>
      <c r="K33" s="33"/>
      <c r="L33" s="33"/>
      <c r="M33" s="33"/>
    </row>
    <row r="34" customFormat="false" ht="30" hidden="false" customHeight="true" outlineLevel="0" collapsed="false">
      <c r="I34" s="25" t="s">
        <v>151</v>
      </c>
      <c r="J34" s="40" t="str">
        <f aca="false">J31</f>
        <v>Adams County Board of Equalization, Adams County Attorney, Colorado Board of Assessment Appeals</v>
      </c>
      <c r="K34" s="40"/>
      <c r="L34" s="40"/>
      <c r="M34" s="40"/>
    </row>
    <row r="35" customFormat="false" ht="13.5" hidden="false" customHeight="true" outlineLevel="0" collapsed="false">
      <c r="I35" s="25" t="s">
        <v>152</v>
      </c>
      <c r="J35" s="33" t="s">
        <v>153</v>
      </c>
      <c r="K35" s="33"/>
      <c r="L35" s="33"/>
      <c r="M35" s="33"/>
      <c r="N35" s="33"/>
    </row>
    <row r="36" customFormat="false" ht="13.5" hidden="false" customHeight="true" outlineLevel="0" collapsed="false">
      <c r="I36" s="25" t="s">
        <v>154</v>
      </c>
      <c r="J36" s="33" t="s">
        <v>155</v>
      </c>
      <c r="K36" s="33"/>
      <c r="L36" s="33"/>
      <c r="M36" s="33"/>
      <c r="N36" s="33"/>
    </row>
    <row r="37" customFormat="false" ht="30" hidden="false" customHeight="true" outlineLevel="0" collapsed="false">
      <c r="I37" s="25" t="s">
        <v>156</v>
      </c>
      <c r="J37" s="40" t="str">
        <f aca="false">"Retrospective Market Value of the Fee Simple interest in the subject property, As Is as of "&amp;TEXT(PI_ValuationDate,"mmmm d, yyyy")</f>
        <v>Retrospective Market Value of the Fee Simple interest in the subject property, As Is as of June 30, 2025</v>
      </c>
      <c r="K37" s="40"/>
      <c r="L37" s="40"/>
      <c r="M37" s="40"/>
      <c r="N37" s="40"/>
    </row>
    <row r="38" customFormat="false" ht="13.5" hidden="false" customHeight="true" outlineLevel="0" collapsed="false">
      <c r="I38" s="25" t="s">
        <v>157</v>
      </c>
      <c r="J38" s="40" t="str">
        <f aca="false">"Retrospective Market Value As Is  - "&amp;TEXT(PI_ValuationDate,"mmmm d, yyyy")</f>
        <v>Retrospective Market Value As Is  - June 30, 2025</v>
      </c>
      <c r="K38" s="40"/>
      <c r="L38" s="40"/>
      <c r="M38" s="40"/>
      <c r="N38" s="40"/>
    </row>
    <row r="39" customFormat="false" ht="13.5" hidden="false" customHeight="true" outlineLevel="0" collapsed="false">
      <c r="I39" s="25" t="s">
        <v>158</v>
      </c>
      <c r="J39" s="41"/>
      <c r="K39" s="41"/>
      <c r="L39" s="41"/>
      <c r="M39" s="41"/>
      <c r="N39" s="41"/>
    </row>
    <row r="40" customFormat="false" ht="13.5" hidden="false" customHeight="true" outlineLevel="0" collapsed="false">
      <c r="I40" s="25" t="s">
        <v>132</v>
      </c>
      <c r="J40" s="28" t="n">
        <f aca="false">PI_DatePrepared</f>
        <v>46244</v>
      </c>
      <c r="K40" s="28"/>
      <c r="L40" s="28"/>
      <c r="M40" s="28"/>
      <c r="N40" s="28"/>
    </row>
    <row r="41" customFormat="false" ht="13.5" hidden="false" customHeight="true" outlineLevel="0" collapsed="false">
      <c r="I41" s="25" t="s">
        <v>159</v>
      </c>
      <c r="J41" s="33" t="s">
        <v>160</v>
      </c>
      <c r="K41" s="33"/>
      <c r="L41" s="33"/>
      <c r="M41" s="33"/>
      <c r="N41" s="33"/>
    </row>
    <row r="42" customFormat="false" ht="13.5" hidden="false" customHeight="true" outlineLevel="0" collapsed="false">
      <c r="I42" s="25" t="s">
        <v>161</v>
      </c>
      <c r="J42" s="33" t="s">
        <v>160</v>
      </c>
      <c r="K42" s="33"/>
      <c r="L42" s="33"/>
      <c r="M42" s="33"/>
      <c r="N42" s="33"/>
    </row>
    <row r="43" customFormat="false" ht="13.5" hidden="false" customHeight="true" outlineLevel="0" collapsed="false">
      <c r="I43" s="25" t="s">
        <v>162</v>
      </c>
      <c r="J43" s="27" t="str">
        <f aca="false">PI_Petitioner</f>
        <v>Hyde Development (I-76 CC Building Four LLC)</v>
      </c>
      <c r="K43" s="27"/>
      <c r="L43" s="27"/>
      <c r="M43" s="27"/>
      <c r="N43" s="27"/>
    </row>
    <row r="44" customFormat="false" ht="42" hidden="false" customHeight="true" outlineLevel="0" collapsed="false">
      <c r="I44" s="25" t="s">
        <v>163</v>
      </c>
      <c r="J44" s="40" t="str">
        <f aca="false">PI_Agent</f>
        <v>Ryan, LLC - Beth Diehl,</v>
      </c>
      <c r="K44" s="40"/>
      <c r="L44" s="40"/>
      <c r="M44" s="40"/>
      <c r="N44" s="40"/>
    </row>
    <row r="45" customFormat="false" ht="13.5" hidden="false" customHeight="true" outlineLevel="0" collapsed="false">
      <c r="I45" s="25" t="s">
        <v>164</v>
      </c>
      <c r="J45" s="33" t="s">
        <v>165</v>
      </c>
      <c r="K45" s="33"/>
      <c r="L45" s="33"/>
      <c r="M45" s="33"/>
      <c r="N45" s="33"/>
    </row>
    <row r="46" customFormat="false" ht="12" hidden="false" customHeight="true" outlineLevel="0" collapsed="false">
      <c r="I46" s="29" t="s">
        <v>166</v>
      </c>
      <c r="J46" s="30"/>
      <c r="K46" s="30"/>
      <c r="L46" s="30"/>
      <c r="M46" s="30"/>
      <c r="N46" s="30"/>
    </row>
    <row r="47" customFormat="false" ht="13.5" hidden="false" customHeight="true" outlineLevel="0" collapsed="false">
      <c r="I47" s="25" t="s">
        <v>167</v>
      </c>
      <c r="J47" s="33" t="s">
        <v>168</v>
      </c>
      <c r="K47" s="33"/>
      <c r="L47" s="33"/>
      <c r="M47" s="33"/>
      <c r="N47" s="33"/>
    </row>
    <row r="48" customFormat="false" ht="13.5" hidden="false" customHeight="true" outlineLevel="0" collapsed="false">
      <c r="I48" s="25" t="s">
        <v>169</v>
      </c>
      <c r="J48" s="33" t="s">
        <v>170</v>
      </c>
      <c r="K48" s="33"/>
      <c r="L48" s="33"/>
      <c r="M48" s="33"/>
      <c r="N48" s="33"/>
    </row>
    <row r="51" customFormat="false" ht="18" hidden="false" customHeight="true" outlineLevel="0" collapsed="false">
      <c r="Q51" s="24" t="s">
        <v>171</v>
      </c>
      <c r="R51" s="24"/>
      <c r="S51" s="24"/>
      <c r="T51" s="24"/>
      <c r="U51" s="24"/>
    </row>
    <row r="52" customFormat="false" ht="13.5" hidden="false" customHeight="true" outlineLevel="0" collapsed="false">
      <c r="Q52" s="42" t="s">
        <v>172</v>
      </c>
      <c r="R52" s="39" t="s">
        <v>173</v>
      </c>
      <c r="S52" s="39"/>
      <c r="T52" s="39"/>
      <c r="U52" s="39"/>
    </row>
    <row r="53" customFormat="false" ht="13.5" hidden="false" customHeight="true" outlineLevel="0" collapsed="false">
      <c r="Q53" s="42"/>
      <c r="R53" s="39" t="s">
        <v>174</v>
      </c>
      <c r="S53" s="39"/>
      <c r="T53" s="39"/>
      <c r="U53" s="39"/>
    </row>
    <row r="54" customFormat="false" ht="13.5" hidden="false" customHeight="true" outlineLevel="0" collapsed="false">
      <c r="Q54" s="42"/>
      <c r="R54" s="39" t="s">
        <v>175</v>
      </c>
      <c r="S54" s="39"/>
      <c r="T54" s="39"/>
      <c r="U54" s="39"/>
    </row>
    <row r="55" customFormat="false" ht="13.5" hidden="false" customHeight="true" outlineLevel="0" collapsed="false">
      <c r="Q55" s="42"/>
      <c r="R55" s="39" t="s">
        <v>176</v>
      </c>
      <c r="S55" s="39"/>
      <c r="T55" s="39"/>
      <c r="U55" s="39"/>
    </row>
    <row r="56" customFormat="false" ht="13.5" hidden="false" customHeight="true" outlineLevel="0" collapsed="false">
      <c r="Q56" s="42"/>
      <c r="R56" s="39" t="s">
        <v>177</v>
      </c>
      <c r="S56" s="39"/>
      <c r="T56" s="39"/>
      <c r="U56" s="39"/>
    </row>
    <row r="57" customFormat="false" ht="13.5" hidden="false" customHeight="true" outlineLevel="0" collapsed="false">
      <c r="Q57" s="42"/>
      <c r="R57" s="39" t="s">
        <v>178</v>
      </c>
      <c r="S57" s="39"/>
      <c r="T57" s="39"/>
      <c r="U57" s="39"/>
    </row>
    <row r="58" customFormat="false" ht="13.5" hidden="false" customHeight="true" outlineLevel="0" collapsed="false">
      <c r="Q58" s="42"/>
      <c r="R58" s="39" t="s">
        <v>179</v>
      </c>
      <c r="S58" s="39"/>
      <c r="T58" s="39"/>
      <c r="U58" s="39"/>
    </row>
    <row r="59" customFormat="false" ht="13.5" hidden="false" customHeight="true" outlineLevel="0" collapsed="false">
      <c r="Q59" s="42"/>
      <c r="R59" s="39" t="s">
        <v>180</v>
      </c>
      <c r="S59" s="39"/>
      <c r="T59" s="39"/>
      <c r="U59" s="39"/>
    </row>
    <row r="60" customFormat="false" ht="25.5" hidden="false" customHeight="true" outlineLevel="0" collapsed="false">
      <c r="Q60" s="42"/>
      <c r="R60" s="39" t="s">
        <v>181</v>
      </c>
      <c r="S60" s="39"/>
      <c r="T60" s="39"/>
      <c r="U60" s="39"/>
    </row>
    <row r="61" customFormat="false" ht="13.5" hidden="false" customHeight="true" outlineLevel="0" collapsed="false">
      <c r="Q61" s="25" t="s">
        <v>182</v>
      </c>
      <c r="R61" s="39" t="s">
        <v>183</v>
      </c>
      <c r="S61" s="39"/>
      <c r="T61" s="39"/>
      <c r="U61" s="39"/>
    </row>
    <row r="62" customFormat="false" ht="12" hidden="false" customHeight="true" outlineLevel="0" collapsed="false">
      <c r="Q62" s="29" t="s">
        <v>184</v>
      </c>
      <c r="R62" s="43"/>
      <c r="S62" s="43"/>
      <c r="T62" s="43"/>
      <c r="U62" s="43"/>
    </row>
    <row r="63" customFormat="false" ht="13.5" hidden="false" customHeight="true" outlineLevel="0" collapsed="false">
      <c r="Q63" s="25" t="s">
        <v>185</v>
      </c>
      <c r="R63" s="39" t="s">
        <v>186</v>
      </c>
      <c r="S63" s="39"/>
      <c r="T63" s="39"/>
      <c r="U63" s="39"/>
    </row>
    <row r="64" customFormat="false" ht="13.5" hidden="false" customHeight="true" outlineLevel="0" collapsed="false">
      <c r="Q64" s="25" t="s">
        <v>187</v>
      </c>
      <c r="R64" s="39" t="s">
        <v>186</v>
      </c>
      <c r="S64" s="39"/>
      <c r="T64" s="39"/>
      <c r="U64" s="39"/>
    </row>
    <row r="65" customFormat="false" ht="13.5" hidden="false" customHeight="true" outlineLevel="0" collapsed="false">
      <c r="Q65" s="25" t="s">
        <v>188</v>
      </c>
      <c r="R65" s="39" t="s">
        <v>189</v>
      </c>
      <c r="S65" s="39"/>
      <c r="T65" s="39"/>
      <c r="U65" s="39"/>
    </row>
    <row r="66" customFormat="false" ht="13.5" hidden="false" customHeight="true" outlineLevel="0" collapsed="false">
      <c r="Q66" s="25" t="s">
        <v>190</v>
      </c>
      <c r="R66" s="39" t="s">
        <v>191</v>
      </c>
      <c r="S66" s="39"/>
      <c r="T66" s="39"/>
      <c r="U66" s="39"/>
    </row>
    <row r="67" customFormat="false" ht="13.5" hidden="false" customHeight="true" outlineLevel="0" collapsed="false">
      <c r="Q67" s="25" t="s">
        <v>192</v>
      </c>
      <c r="R67" s="39" t="s">
        <v>193</v>
      </c>
      <c r="S67" s="39"/>
      <c r="T67" s="39"/>
      <c r="U67" s="39"/>
    </row>
    <row r="68" customFormat="false" ht="13.5" hidden="false" customHeight="true" outlineLevel="0" collapsed="false">
      <c r="Q68" s="25" t="s">
        <v>194</v>
      </c>
      <c r="R68" s="39" t="s">
        <v>195</v>
      </c>
      <c r="S68" s="39"/>
      <c r="T68" s="39"/>
      <c r="U68" s="39"/>
    </row>
    <row r="69" customFormat="false" ht="13.5" hidden="false" customHeight="true" outlineLevel="0" collapsed="false">
      <c r="Q69" s="25" t="s">
        <v>196</v>
      </c>
      <c r="R69" s="39" t="s">
        <v>197</v>
      </c>
      <c r="S69" s="39"/>
      <c r="T69" s="39"/>
      <c r="U69" s="39"/>
    </row>
    <row r="70" customFormat="false" ht="13.5" hidden="false" customHeight="true" outlineLevel="0" collapsed="false">
      <c r="Q70" s="25" t="s">
        <v>198</v>
      </c>
      <c r="R70" s="39" t="s">
        <v>195</v>
      </c>
      <c r="S70" s="39"/>
      <c r="T70" s="39"/>
      <c r="U70" s="39"/>
    </row>
    <row r="71" customFormat="false" ht="13.5" hidden="false" customHeight="true" outlineLevel="0" collapsed="false">
      <c r="Q71" s="25" t="s">
        <v>199</v>
      </c>
      <c r="R71" s="39" t="s">
        <v>200</v>
      </c>
      <c r="S71" s="39"/>
      <c r="T71" s="39"/>
      <c r="U71" s="39"/>
    </row>
    <row r="72" customFormat="false" ht="12" hidden="false" customHeight="true" outlineLevel="0" collapsed="false">
      <c r="Q72" s="42" t="s">
        <v>201</v>
      </c>
      <c r="R72" s="44"/>
      <c r="S72" s="44"/>
      <c r="T72" s="44"/>
      <c r="U72" s="44"/>
    </row>
    <row r="73" customFormat="false" ht="13.5" hidden="false" customHeight="true" outlineLevel="0" collapsed="false">
      <c r="Q73" s="42"/>
      <c r="R73" s="39" t="s">
        <v>202</v>
      </c>
      <c r="S73" s="39"/>
      <c r="T73" s="39"/>
      <c r="U73" s="39"/>
    </row>
    <row r="74" customFormat="false" ht="13.5" hidden="false" customHeight="true" outlineLevel="0" collapsed="false">
      <c r="Q74" s="42"/>
      <c r="R74" s="39" t="s">
        <v>203</v>
      </c>
      <c r="S74" s="39"/>
      <c r="T74" s="39"/>
      <c r="U74" s="39"/>
    </row>
    <row r="75" customFormat="false" ht="13.5" hidden="false" customHeight="true" outlineLevel="0" collapsed="false">
      <c r="Q75" s="42"/>
      <c r="R75" s="39" t="s">
        <v>204</v>
      </c>
      <c r="S75" s="39"/>
      <c r="T75" s="39"/>
      <c r="U75" s="39"/>
    </row>
    <row r="76" customFormat="false" ht="12" hidden="false" customHeight="true" outlineLevel="0" collapsed="false">
      <c r="Q76" s="42"/>
      <c r="R76" s="44"/>
      <c r="S76" s="44"/>
      <c r="T76" s="44"/>
      <c r="U76" s="44"/>
    </row>
    <row r="77" customFormat="false" ht="12" hidden="false" customHeight="true" outlineLevel="0" collapsed="false">
      <c r="Q77" s="29" t="s">
        <v>205</v>
      </c>
      <c r="R77" s="43"/>
      <c r="S77" s="43"/>
      <c r="T77" s="43"/>
      <c r="U77" s="43"/>
    </row>
    <row r="78" customFormat="false" ht="13.5" hidden="false" customHeight="true" outlineLevel="0" collapsed="false">
      <c r="R78" s="39" t="s">
        <v>206</v>
      </c>
    </row>
    <row r="79" customFormat="false" ht="13.5" hidden="false" customHeight="true" outlineLevel="0" collapsed="false">
      <c r="R79" s="39" t="s">
        <v>207</v>
      </c>
    </row>
    <row r="80" customFormat="false" ht="13.5" hidden="false" customHeight="true" outlineLevel="0" collapsed="false">
      <c r="R80" s="39" t="s">
        <v>208</v>
      </c>
      <c r="S80" s="39"/>
      <c r="T80" s="39"/>
      <c r="U80" s="39"/>
    </row>
    <row r="81" customFormat="false" ht="13.5" hidden="false" customHeight="true" outlineLevel="0" collapsed="false">
      <c r="R81" s="39" t="s">
        <v>209</v>
      </c>
      <c r="S81" s="39"/>
      <c r="T81" s="39"/>
      <c r="U81" s="39"/>
    </row>
    <row r="84" customFormat="false" ht="18" hidden="false" customHeight="true" outlineLevel="0" collapsed="false">
      <c r="W84" s="24" t="s">
        <v>210</v>
      </c>
      <c r="X84" s="24"/>
    </row>
    <row r="85" customFormat="false" ht="55.5" hidden="false" customHeight="true" outlineLevel="0" collapsed="false">
      <c r="W85" s="40" t="s">
        <v>211</v>
      </c>
      <c r="X85" s="40"/>
    </row>
    <row r="86" customFormat="false" ht="12" hidden="false" customHeight="true" outlineLevel="0" collapsed="false">
      <c r="W86" s="29" t="s">
        <v>212</v>
      </c>
      <c r="X86" s="30"/>
    </row>
    <row r="87" customFormat="false" ht="13.5" hidden="false" customHeight="true" outlineLevel="0" collapsed="false">
      <c r="W87" s="39" t="s">
        <v>213</v>
      </c>
      <c r="X87" s="39"/>
    </row>
    <row r="88" customFormat="false" ht="13.5" hidden="false" customHeight="true" outlineLevel="0" collapsed="false">
      <c r="W88" s="33"/>
      <c r="X88" s="33"/>
    </row>
    <row r="89" customFormat="false" ht="13.5" hidden="false" customHeight="true" outlineLevel="0" collapsed="false">
      <c r="W89" s="33"/>
      <c r="X89" s="33"/>
    </row>
    <row r="90" customFormat="false" ht="13.5" hidden="false" customHeight="true" outlineLevel="0" collapsed="false">
      <c r="W90" s="33"/>
      <c r="X90" s="33"/>
    </row>
    <row r="92" customFormat="false" ht="12" hidden="false" customHeight="true" outlineLevel="0" collapsed="false">
      <c r="W92" s="29" t="s">
        <v>214</v>
      </c>
      <c r="X92" s="30"/>
    </row>
    <row r="93" customFormat="false" ht="13.5" hidden="false" customHeight="true" outlineLevel="0" collapsed="false">
      <c r="W93" s="39" t="s">
        <v>215</v>
      </c>
      <c r="X93" s="39"/>
    </row>
    <row r="94" customFormat="false" ht="13.5" hidden="false" customHeight="true" outlineLevel="0" collapsed="false">
      <c r="W94" s="33"/>
      <c r="X94" s="33"/>
    </row>
    <row r="95" customFormat="false" ht="13.5" hidden="false" customHeight="true" outlineLevel="0" collapsed="false">
      <c r="W95" s="33"/>
      <c r="X95" s="33"/>
    </row>
    <row r="96" customFormat="false" ht="13.5" hidden="false" customHeight="true" outlineLevel="0" collapsed="false">
      <c r="W96" s="33"/>
      <c r="X96" s="33"/>
    </row>
    <row r="101" customFormat="false" ht="18" hidden="false" customHeight="true" outlineLevel="0" collapsed="false">
      <c r="Z101" s="24" t="s">
        <v>216</v>
      </c>
      <c r="AA101" s="24"/>
      <c r="AB101" s="24"/>
      <c r="AC101" s="24"/>
      <c r="AD101" s="24"/>
    </row>
    <row r="102" customFormat="false" ht="13.5" hidden="false" customHeight="true" outlineLevel="0" collapsed="false">
      <c r="Z102" s="25" t="s">
        <v>217</v>
      </c>
      <c r="AA102" s="33"/>
      <c r="AB102" s="33"/>
      <c r="AC102" s="33"/>
      <c r="AD102" s="33"/>
    </row>
    <row r="103" customFormat="false" ht="13.5" hidden="false" customHeight="true" outlineLevel="0" collapsed="false">
      <c r="Z103" s="25" t="s">
        <v>129</v>
      </c>
      <c r="AA103" s="27" t="str">
        <f aca="false">'Property Info'!$C$19</f>
        <v>22600 Interstate 76</v>
      </c>
      <c r="AB103" s="27"/>
      <c r="AC103" s="27"/>
      <c r="AD103" s="27"/>
    </row>
    <row r="104" customFormat="false" ht="13.5" hidden="false" customHeight="true" outlineLevel="0" collapsed="false">
      <c r="AA104" s="27" t="str">
        <f aca="false">PROPER('Property Info'!$C$20)&amp;", CO  "&amp;PI_Zip</f>
        <v>Brighton, CO  80603</v>
      </c>
      <c r="AB104" s="27"/>
      <c r="AC104" s="27"/>
      <c r="AD104" s="27"/>
    </row>
    <row r="105" customFormat="false" ht="30" hidden="false" customHeight="true" outlineLevel="0" collapsed="false">
      <c r="Z105" s="25" t="s">
        <v>218</v>
      </c>
      <c r="AA105" s="39"/>
      <c r="AB105" s="39"/>
      <c r="AC105" s="39"/>
      <c r="AD105" s="39"/>
    </row>
    <row r="106" customFormat="false" ht="13.5" hidden="false" customHeight="true" outlineLevel="0" collapsed="false">
      <c r="Z106" s="25" t="s">
        <v>219</v>
      </c>
      <c r="AA106" s="27" t="str">
        <f aca="false">'Property Info'!$C$23</f>
        <v>Mega (Storage/Distribution) Warehouses</v>
      </c>
      <c r="AB106" s="27"/>
      <c r="AC106" s="27"/>
      <c r="AD106" s="27"/>
    </row>
    <row r="107" customFormat="false" ht="13.5" hidden="false" customHeight="true" outlineLevel="0" collapsed="false">
      <c r="Z107" s="25" t="s">
        <v>220</v>
      </c>
      <c r="AA107" s="33"/>
      <c r="AB107" s="33"/>
      <c r="AC107" s="33"/>
      <c r="AD107" s="33"/>
    </row>
    <row r="108" customFormat="false" ht="13.5" hidden="false" customHeight="true" outlineLevel="0" collapsed="false">
      <c r="Z108" s="25" t="s">
        <v>8</v>
      </c>
      <c r="AA108" s="27" t="str">
        <f aca="false">PROPER(PI_County)&amp;" County"</f>
        <v>Adams County</v>
      </c>
      <c r="AB108" s="27"/>
      <c r="AC108" s="27"/>
      <c r="AD108" s="27"/>
    </row>
    <row r="109" customFormat="false" ht="13.5" hidden="false" customHeight="true" outlineLevel="0" collapsed="false">
      <c r="Z109" s="25" t="s">
        <v>221</v>
      </c>
      <c r="AA109" s="26" t="str">
        <f aca="false">PI_Account</f>
        <v>R0195554</v>
      </c>
      <c r="AB109" s="26"/>
      <c r="AC109" s="26"/>
      <c r="AD109" s="26"/>
    </row>
    <row r="110" customFormat="false" ht="30" hidden="false" customHeight="true" outlineLevel="0" collapsed="false">
      <c r="Z110" s="25" t="s">
        <v>222</v>
      </c>
      <c r="AA110" s="39"/>
      <c r="AB110" s="39"/>
      <c r="AC110" s="39"/>
      <c r="AD110" s="39"/>
    </row>
    <row r="111" customFormat="false" ht="13.5" hidden="false" customHeight="true" outlineLevel="0" collapsed="false">
      <c r="Z111" s="25" t="s">
        <v>223</v>
      </c>
      <c r="AA111" s="45"/>
      <c r="AB111" s="45"/>
      <c r="AC111" s="45"/>
      <c r="AD111" s="45"/>
    </row>
    <row r="112" customFormat="false" ht="13.5" hidden="false" customHeight="true" outlineLevel="0" collapsed="false">
      <c r="Z112" s="25" t="s">
        <v>224</v>
      </c>
      <c r="AA112" s="39"/>
      <c r="AB112" s="39"/>
      <c r="AC112" s="39"/>
      <c r="AD112" s="39"/>
    </row>
    <row r="113" customFormat="false" ht="12" hidden="false" customHeight="true" outlineLevel="0" collapsed="false">
      <c r="Z113" s="29" t="s">
        <v>225</v>
      </c>
      <c r="AA113" s="30"/>
      <c r="AB113" s="30"/>
      <c r="AC113" s="30"/>
      <c r="AD113" s="30"/>
    </row>
    <row r="114" customFormat="false" ht="13.5" hidden="false" customHeight="true" outlineLevel="0" collapsed="false">
      <c r="Z114" s="25" t="s">
        <v>226</v>
      </c>
      <c r="AA114" s="46" t="n">
        <f aca="false">'Property Info'!$C$26</f>
        <v>869458</v>
      </c>
      <c r="AB114" s="47" t="n">
        <f aca="false">AA114/43560</f>
        <v>19.9600091827365</v>
      </c>
    </row>
    <row r="115" customFormat="false" ht="13.5" hidden="false" customHeight="true" outlineLevel="0" collapsed="false">
      <c r="Z115" s="25" t="s">
        <v>227</v>
      </c>
      <c r="AA115" s="48" t="n">
        <v>0</v>
      </c>
      <c r="AB115" s="47" t="n">
        <f aca="false">AA115/43560</f>
        <v>0</v>
      </c>
    </row>
    <row r="116" customFormat="false" ht="13.5" hidden="false" customHeight="true" outlineLevel="0" collapsed="false">
      <c r="Z116" s="25" t="s">
        <v>228</v>
      </c>
      <c r="AA116" s="48" t="n">
        <v>0</v>
      </c>
      <c r="AB116" s="47" t="n">
        <f aca="false">AA116/43560</f>
        <v>0</v>
      </c>
    </row>
    <row r="117" customFormat="false" ht="13.5" hidden="false" customHeight="true" outlineLevel="0" collapsed="false">
      <c r="Z117" s="36" t="s">
        <v>229</v>
      </c>
      <c r="AA117" s="49" t="n">
        <f aca="false">SUM(AA114:AA116)</f>
        <v>869458</v>
      </c>
      <c r="AB117" s="50" t="n">
        <f aca="false">AA117/43560</f>
        <v>19.9600091827365</v>
      </c>
    </row>
    <row r="118" customFormat="false" ht="13.5" hidden="false" customHeight="true" outlineLevel="0" collapsed="false">
      <c r="Z118" s="25" t="s">
        <v>49</v>
      </c>
      <c r="AA118" s="27" t="str">
        <f aca="false">'Property Info'!$C$25</f>
        <v>PUD</v>
      </c>
      <c r="AB118" s="27"/>
      <c r="AC118" s="27"/>
      <c r="AD118" s="27"/>
    </row>
    <row r="119" customFormat="false" ht="13.5" hidden="false" customHeight="true" outlineLevel="0" collapsed="false">
      <c r="Z119" s="25" t="s">
        <v>190</v>
      </c>
      <c r="AA119" s="33"/>
      <c r="AB119" s="33"/>
      <c r="AC119" s="33"/>
      <c r="AD119" s="33"/>
    </row>
    <row r="120" customFormat="false" ht="13.5" hidden="false" customHeight="true" outlineLevel="0" collapsed="false">
      <c r="Z120" s="25" t="s">
        <v>230</v>
      </c>
      <c r="AA120" s="51" t="n">
        <f aca="false">'Property Info'!$C$32</f>
        <v>2020</v>
      </c>
      <c r="AB120" s="51"/>
      <c r="AC120" s="51"/>
      <c r="AD120" s="51"/>
    </row>
    <row r="121" customFormat="false" ht="13.5" hidden="false" customHeight="true" outlineLevel="0" collapsed="false">
      <c r="Z121" s="25" t="s">
        <v>220</v>
      </c>
      <c r="AA121" s="33"/>
      <c r="AB121" s="33"/>
      <c r="AC121" s="33"/>
      <c r="AD121" s="33"/>
    </row>
    <row r="122" customFormat="false" ht="13.5" hidden="false" customHeight="true" outlineLevel="0" collapsed="false">
      <c r="Z122" s="25" t="s">
        <v>231</v>
      </c>
      <c r="AA122" s="52"/>
      <c r="AB122" s="52"/>
      <c r="AC122" s="52"/>
      <c r="AD122" s="52"/>
    </row>
    <row r="123" customFormat="false" ht="13.5" hidden="false" customHeight="true" outlineLevel="0" collapsed="false">
      <c r="Z123" s="25" t="s">
        <v>220</v>
      </c>
      <c r="AA123" s="33"/>
      <c r="AB123" s="33"/>
      <c r="AC123" s="33"/>
      <c r="AD123" s="33"/>
    </row>
    <row r="124" customFormat="false" ht="13.5" hidden="false" customHeight="true" outlineLevel="0" collapsed="false">
      <c r="Z124" s="25" t="s">
        <v>232</v>
      </c>
      <c r="AA124" s="33"/>
      <c r="AB124" s="33"/>
      <c r="AC124" s="33"/>
      <c r="AD124" s="33"/>
    </row>
    <row r="125" customFormat="false" ht="13.5" hidden="false" customHeight="true" outlineLevel="0" collapsed="false">
      <c r="Z125" s="25" t="s">
        <v>220</v>
      </c>
      <c r="AA125" s="33"/>
      <c r="AB125" s="33"/>
      <c r="AC125" s="33"/>
      <c r="AD125" s="33"/>
    </row>
    <row r="126" customFormat="false" ht="13.5" hidden="false" customHeight="true" outlineLevel="0" collapsed="false">
      <c r="Z126" s="25" t="s">
        <v>56</v>
      </c>
      <c r="AA126" s="51" t="n">
        <f aca="false">'Property Info'!$C$28</f>
        <v>1</v>
      </c>
      <c r="AB126" s="51"/>
      <c r="AC126" s="51"/>
      <c r="AD126" s="51"/>
    </row>
    <row r="127" customFormat="false" ht="13.5" hidden="false" customHeight="true" outlineLevel="0" collapsed="false">
      <c r="Z127" s="25" t="s">
        <v>220</v>
      </c>
      <c r="AA127" s="33"/>
      <c r="AB127" s="33"/>
      <c r="AC127" s="33"/>
      <c r="AD127" s="33"/>
    </row>
    <row r="128" customFormat="false" ht="13.5" hidden="false" customHeight="true" outlineLevel="0" collapsed="false">
      <c r="Z128" s="25" t="s">
        <v>233</v>
      </c>
      <c r="AA128" s="46" t="n">
        <f aca="false">'Property Info'!$C$29</f>
        <v>352240</v>
      </c>
      <c r="AB128" s="46"/>
      <c r="AC128" s="46"/>
      <c r="AD128" s="46"/>
    </row>
    <row r="129" customFormat="false" ht="13.5" hidden="false" customHeight="true" outlineLevel="0" collapsed="false">
      <c r="Z129" s="25" t="s">
        <v>220</v>
      </c>
      <c r="AA129" s="33"/>
      <c r="AB129" s="33"/>
      <c r="AC129" s="33"/>
      <c r="AD129" s="33"/>
    </row>
    <row r="130" customFormat="false" ht="13.5" hidden="false" customHeight="true" outlineLevel="0" collapsed="false">
      <c r="Z130" s="25" t="s">
        <v>234</v>
      </c>
      <c r="AA130" s="46" t="n">
        <f aca="false">'Property Info'!$C$29</f>
        <v>352240</v>
      </c>
      <c r="AB130" s="46"/>
      <c r="AC130" s="46"/>
      <c r="AD130" s="46"/>
    </row>
    <row r="131" customFormat="false" ht="13.5" hidden="false" customHeight="true" outlineLevel="0" collapsed="false">
      <c r="Z131" s="25" t="s">
        <v>220</v>
      </c>
      <c r="AA131" s="33"/>
      <c r="AB131" s="33"/>
      <c r="AC131" s="33"/>
      <c r="AD131" s="33"/>
    </row>
    <row r="132" customFormat="false" ht="13.5" hidden="false" customHeight="true" outlineLevel="0" collapsed="false">
      <c r="Z132" s="25" t="s">
        <v>235</v>
      </c>
      <c r="AA132" s="51" t="n">
        <f aca="false">'Property Info'!$C$30</f>
        <v>0</v>
      </c>
      <c r="AB132" s="51"/>
      <c r="AC132" s="51"/>
      <c r="AD132" s="51"/>
    </row>
    <row r="133" customFormat="false" ht="13.5" hidden="false" customHeight="true" outlineLevel="0" collapsed="false">
      <c r="Z133" s="25" t="s">
        <v>236</v>
      </c>
      <c r="AA133" s="52"/>
      <c r="AB133" s="52"/>
      <c r="AC133" s="52"/>
      <c r="AD133" s="52"/>
    </row>
    <row r="134" customFormat="false" ht="13.5" hidden="false" customHeight="true" outlineLevel="0" collapsed="false">
      <c r="Z134" s="25" t="s">
        <v>140</v>
      </c>
      <c r="AA134" s="53" t="n">
        <f aca="false">1-PI_Vacancy</f>
        <v>0.95</v>
      </c>
      <c r="AB134" s="53"/>
      <c r="AC134" s="53"/>
      <c r="AD134" s="53"/>
    </row>
    <row r="135" customFormat="false" ht="13.5" hidden="false" customHeight="true" outlineLevel="0" collapsed="false">
      <c r="Z135" s="25" t="s">
        <v>237</v>
      </c>
      <c r="AA135" s="27" t="str">
        <f aca="false">'Property Info'!$C$35</f>
        <v>Typical</v>
      </c>
      <c r="AB135" s="27"/>
      <c r="AC135" s="27"/>
      <c r="AD135" s="27"/>
    </row>
    <row r="136" customFormat="false" ht="13.5" hidden="false" customHeight="true" outlineLevel="0" collapsed="false">
      <c r="Z136" s="25" t="s">
        <v>238</v>
      </c>
      <c r="AA136" s="27" t="str">
        <f aca="false">'Property Info'!$C$34</f>
        <v>Average</v>
      </c>
      <c r="AB136" s="27"/>
      <c r="AC136" s="27"/>
      <c r="AD136" s="27"/>
    </row>
    <row r="137" customFormat="false" ht="13.5" hidden="false" customHeight="true" outlineLevel="0" collapsed="false">
      <c r="Z137" s="25" t="s">
        <v>239</v>
      </c>
      <c r="AA137" s="27" t="str">
        <f aca="false">'Property Info'!$C$36</f>
        <v>Typical</v>
      </c>
      <c r="AB137" s="27"/>
      <c r="AC137" s="27"/>
      <c r="AD137" s="27"/>
    </row>
    <row r="141" customFormat="false" ht="18" hidden="false" customHeight="true" outlineLevel="0" collapsed="false">
      <c r="AF141" s="24" t="s">
        <v>240</v>
      </c>
      <c r="AG141" s="24"/>
      <c r="AH141" s="24"/>
      <c r="AI141" s="24"/>
    </row>
    <row r="142" customFormat="false" ht="13.5" hidden="false" customHeight="true" outlineLevel="0" collapsed="false">
      <c r="AF142" s="25" t="s">
        <v>241</v>
      </c>
      <c r="AG142" s="33"/>
      <c r="AH142" s="33"/>
      <c r="AI142" s="33"/>
    </row>
    <row r="143" customFormat="false" ht="12" hidden="false" customHeight="true" outlineLevel="0" collapsed="false">
      <c r="AG143" s="35" t="s">
        <v>242</v>
      </c>
      <c r="AH143" s="35" t="s">
        <v>243</v>
      </c>
      <c r="AI143" s="35" t="s">
        <v>229</v>
      </c>
    </row>
    <row r="144" customFormat="false" ht="13.5" hidden="false" customHeight="true" outlineLevel="0" collapsed="false">
      <c r="AF144" s="25" t="s">
        <v>144</v>
      </c>
      <c r="AG144" s="54" t="n">
        <f aca="false">PI_AsrLand</f>
        <v>4868170</v>
      </c>
      <c r="AH144" s="54" t="n">
        <f aca="false">PI_AsrImp</f>
        <v>32219767</v>
      </c>
      <c r="AI144" s="37" t="n">
        <f aca="false">SUM(AG144:AH144)</f>
        <v>37087937</v>
      </c>
    </row>
    <row r="145" customFormat="false" ht="13.5" hidden="false" customHeight="true" outlineLevel="0" collapsed="false">
      <c r="AF145" s="25" t="s">
        <v>244</v>
      </c>
      <c r="AG145" s="54" t="n">
        <f aca="false">AG144</f>
        <v>4868170</v>
      </c>
      <c r="AH145" s="54" t="n">
        <f aca="false">IFERROR(Reconciliation!$C$17,0)-AG145</f>
        <v>30356830</v>
      </c>
      <c r="AI145" s="37" t="n">
        <f aca="false">SUM(AG145:AH145)</f>
        <v>35225000</v>
      </c>
    </row>
    <row r="146" customFormat="false" ht="13.5" hidden="false" customHeight="true" outlineLevel="0" collapsed="false">
      <c r="AF146" s="25" t="s">
        <v>245</v>
      </c>
      <c r="AG146" s="55" t="n">
        <v>0</v>
      </c>
      <c r="AH146" s="55" t="n">
        <v>0</v>
      </c>
      <c r="AI146" s="54" t="n">
        <f aca="false">SUM(AG146:AH146)</f>
        <v>0</v>
      </c>
    </row>
    <row r="148" customFormat="false" ht="13.5" hidden="false" customHeight="true" outlineLevel="0" collapsed="false">
      <c r="AF148" s="25" t="s">
        <v>246</v>
      </c>
      <c r="AG148" s="54" t="n">
        <f aca="false">AG144</f>
        <v>4868170</v>
      </c>
      <c r="AH148" s="54" t="n">
        <f aca="false">AH144</f>
        <v>32219767</v>
      </c>
      <c r="AI148" s="54" t="n">
        <f aca="false">SUM(AG148:AH148)</f>
        <v>37087937</v>
      </c>
    </row>
    <row r="149" customFormat="false" ht="13.5" hidden="false" customHeight="true" outlineLevel="0" collapsed="false">
      <c r="AF149" s="25" t="s">
        <v>247</v>
      </c>
      <c r="AG149" s="33"/>
      <c r="AH149" s="33"/>
    </row>
    <row r="150" customFormat="false" ht="13.5" hidden="false" customHeight="true" outlineLevel="0" collapsed="false">
      <c r="AF150" s="25" t="s">
        <v>248</v>
      </c>
      <c r="AG150" s="55" t="n">
        <v>0</v>
      </c>
      <c r="AH150" s="55" t="n">
        <v>0</v>
      </c>
      <c r="AI150" s="54" t="n">
        <f aca="false">SUM(AG150:AH150)</f>
        <v>0</v>
      </c>
    </row>
    <row r="151" customFormat="false" ht="13.5" hidden="false" customHeight="true" outlineLevel="0" collapsed="false">
      <c r="AF151" s="36" t="s">
        <v>249</v>
      </c>
      <c r="AG151" s="54" t="n">
        <f aca="false">AG144+AG146+AG150</f>
        <v>4868170</v>
      </c>
      <c r="AH151" s="54" t="n">
        <f aca="false">AH144+AH146+AH150</f>
        <v>32219767</v>
      </c>
      <c r="AI151" s="37" t="n">
        <f aca="false">SUM(AG151:AH151)</f>
        <v>37087937</v>
      </c>
    </row>
    <row r="155" customFormat="false" ht="18" hidden="false" customHeight="true" outlineLevel="0" collapsed="false">
      <c r="AK155" s="24" t="s">
        <v>250</v>
      </c>
      <c r="AL155" s="24"/>
      <c r="AM155" s="24"/>
      <c r="AN155" s="24"/>
    </row>
    <row r="156" customFormat="false" ht="12" hidden="false" customHeight="true" outlineLevel="0" collapsed="false">
      <c r="AL156" s="35" t="s">
        <v>251</v>
      </c>
      <c r="AM156" s="35" t="s">
        <v>252</v>
      </c>
      <c r="AN156" s="35" t="s">
        <v>253</v>
      </c>
    </row>
    <row r="157" customFormat="false" ht="13.5" hidden="false" customHeight="true" outlineLevel="0" collapsed="false">
      <c r="AK157" s="25" t="s">
        <v>254</v>
      </c>
      <c r="AL157" s="27" t="str">
        <f aca="false">IF(N(AM157)=0,"N/A","Currently Listed")</f>
        <v>N/A</v>
      </c>
      <c r="AM157" s="55"/>
      <c r="AN157" s="56" t="str">
        <f aca="false">IF(N(AM157)=0,"",AM157/'Property Info'!$C$29)</f>
        <v/>
      </c>
    </row>
    <row r="158" customFormat="false" ht="13.5" hidden="false" customHeight="true" outlineLevel="0" collapsed="false">
      <c r="AK158" s="25" t="s">
        <v>255</v>
      </c>
      <c r="AL158" s="33"/>
      <c r="AM158" s="55"/>
      <c r="AN158" s="56" t="str">
        <f aca="false">IF(N(AM158)=0,"",AM158/'Property Info'!$C$29)</f>
        <v/>
      </c>
    </row>
    <row r="159" customFormat="false" ht="13.5" hidden="false" customHeight="true" outlineLevel="0" collapsed="false">
      <c r="AK159" s="25" t="s">
        <v>256</v>
      </c>
      <c r="AL159" s="27" t="str">
        <f aca="false">IF(N(PI_LastSaleDate)=0,"N/A",TEXT(PI_LastSaleDate,"mmmm d, yyyy"))</f>
        <v>January 14, 2022</v>
      </c>
      <c r="AM159" s="54" t="n">
        <f aca="false">PI_LastSalePrice</f>
        <v>49900000</v>
      </c>
      <c r="AN159" s="56" t="n">
        <f aca="false">IF(N(AM159)=0,"",AM159/'Property Info'!$C$29)</f>
        <v>141.664774017715</v>
      </c>
    </row>
    <row r="160" customFormat="false" ht="13.5" hidden="false" customHeight="true" outlineLevel="0" collapsed="false">
      <c r="AK160" s="25" t="s">
        <v>256</v>
      </c>
      <c r="AL160" s="33"/>
      <c r="AM160" s="55"/>
      <c r="AN160" s="56" t="str">
        <f aca="false">IF(N(AM160)=0,"",AM160/'Property Info'!$C$29)</f>
        <v/>
      </c>
    </row>
  </sheetData>
  <mergeCells count="97">
    <mergeCell ref="B4:C4"/>
    <mergeCell ref="E24:G24"/>
    <mergeCell ref="I30:N30"/>
    <mergeCell ref="J31:N31"/>
    <mergeCell ref="J32:M32"/>
    <mergeCell ref="J33:M33"/>
    <mergeCell ref="J34:M34"/>
    <mergeCell ref="J35:N35"/>
    <mergeCell ref="J36:N36"/>
    <mergeCell ref="J37:N37"/>
    <mergeCell ref="J38:N38"/>
    <mergeCell ref="J39:N39"/>
    <mergeCell ref="J40:N40"/>
    <mergeCell ref="J41:N41"/>
    <mergeCell ref="J42:N42"/>
    <mergeCell ref="J43:N43"/>
    <mergeCell ref="J44:N44"/>
    <mergeCell ref="J45:N45"/>
    <mergeCell ref="J47:N47"/>
    <mergeCell ref="J48:N48"/>
    <mergeCell ref="Q51:U51"/>
    <mergeCell ref="Q52:Q60"/>
    <mergeCell ref="R52:U52"/>
    <mergeCell ref="R53:U53"/>
    <mergeCell ref="R54:U54"/>
    <mergeCell ref="R55:U55"/>
    <mergeCell ref="R56:U56"/>
    <mergeCell ref="R57:U57"/>
    <mergeCell ref="R58:U58"/>
    <mergeCell ref="R59:U59"/>
    <mergeCell ref="R60:U60"/>
    <mergeCell ref="R61:U61"/>
    <mergeCell ref="R62:U62"/>
    <mergeCell ref="R63:U63"/>
    <mergeCell ref="R64:U64"/>
    <mergeCell ref="R65:U65"/>
    <mergeCell ref="R66:U66"/>
    <mergeCell ref="R67:U67"/>
    <mergeCell ref="R68:U68"/>
    <mergeCell ref="R69:U69"/>
    <mergeCell ref="R70:U70"/>
    <mergeCell ref="R71:U71"/>
    <mergeCell ref="Q72:Q76"/>
    <mergeCell ref="R72:U72"/>
    <mergeCell ref="R73:U73"/>
    <mergeCell ref="R74:U74"/>
    <mergeCell ref="R75:U75"/>
    <mergeCell ref="R76:U76"/>
    <mergeCell ref="R77:U77"/>
    <mergeCell ref="R80:U80"/>
    <mergeCell ref="R81:U81"/>
    <mergeCell ref="W84:X84"/>
    <mergeCell ref="W85:X85"/>
    <mergeCell ref="W87:X87"/>
    <mergeCell ref="W88:X88"/>
    <mergeCell ref="W89:X89"/>
    <mergeCell ref="W90:X90"/>
    <mergeCell ref="W93:X93"/>
    <mergeCell ref="W94:X94"/>
    <mergeCell ref="W95:X95"/>
    <mergeCell ref="W96:X96"/>
    <mergeCell ref="Z101:AD101"/>
    <mergeCell ref="AA102:AD102"/>
    <mergeCell ref="AA103:AD103"/>
    <mergeCell ref="AA104:AD104"/>
    <mergeCell ref="AA105:AD105"/>
    <mergeCell ref="AA106:AD106"/>
    <mergeCell ref="AA107:AD107"/>
    <mergeCell ref="AA108:AD108"/>
    <mergeCell ref="AA109:AD109"/>
    <mergeCell ref="AA110:AD110"/>
    <mergeCell ref="AA111:AD111"/>
    <mergeCell ref="AA112:AD112"/>
    <mergeCell ref="AA118:AD118"/>
    <mergeCell ref="AA119:AD119"/>
    <mergeCell ref="AA120:AD120"/>
    <mergeCell ref="AA121:AD121"/>
    <mergeCell ref="AA122:AD122"/>
    <mergeCell ref="AA123:AD123"/>
    <mergeCell ref="AA124:AD124"/>
    <mergeCell ref="AA125:AD125"/>
    <mergeCell ref="AA126:AD126"/>
    <mergeCell ref="AA127:AD127"/>
    <mergeCell ref="AA128:AD128"/>
    <mergeCell ref="AA129:AD129"/>
    <mergeCell ref="AA130:AD130"/>
    <mergeCell ref="AA131:AD131"/>
    <mergeCell ref="AA132:AD132"/>
    <mergeCell ref="AA133:AD133"/>
    <mergeCell ref="AA134:AD134"/>
    <mergeCell ref="AA135:AD135"/>
    <mergeCell ref="AA136:AD136"/>
    <mergeCell ref="AA137:AD137"/>
    <mergeCell ref="AF141:AI141"/>
    <mergeCell ref="AG142:AI142"/>
    <mergeCell ref="AG149:AH149"/>
    <mergeCell ref="AK155:AN155"/>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7324D"/>
    <pageSetUpPr fitToPage="false"/>
  </sheetPr>
  <dimension ref="B1:L3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C7" activeCellId="0" sqref="C7"/>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38.71"/>
    <col collapsed="false" customWidth="true" hidden="false" outlineLevel="0" max="3" min="3" style="1" width="22"/>
    <col collapsed="false" customWidth="true" hidden="false" outlineLevel="0" max="12" min="4" style="1" width="17.14"/>
  </cols>
  <sheetData>
    <row r="1" customFormat="false" ht="21.75" hidden="false" customHeight="true" outlineLevel="0" collapsed="false">
      <c r="B1" s="57" t="s">
        <v>257</v>
      </c>
      <c r="C1" s="57"/>
      <c r="D1" s="57"/>
      <c r="E1" s="57"/>
      <c r="F1" s="57"/>
      <c r="G1" s="57"/>
      <c r="H1" s="57"/>
      <c r="I1" s="57"/>
      <c r="J1" s="57"/>
      <c r="K1" s="57"/>
      <c r="L1" s="57"/>
    </row>
    <row r="2" customFormat="false" ht="42" hidden="false" customHeight="true" outlineLevel="0" collapsed="false">
      <c r="B2" s="58" t="s">
        <v>258</v>
      </c>
      <c r="C2" s="58"/>
      <c r="D2" s="58"/>
      <c r="E2" s="58"/>
      <c r="F2" s="58"/>
      <c r="G2" s="58"/>
      <c r="H2" s="58"/>
      <c r="I2" s="58"/>
      <c r="J2" s="58"/>
      <c r="K2" s="58"/>
      <c r="L2" s="58"/>
    </row>
    <row r="4" customFormat="false" ht="12.75" hidden="false" customHeight="true" outlineLevel="0" collapsed="false">
      <c r="B4" s="59" t="s">
        <v>36</v>
      </c>
      <c r="C4" s="60" t="s">
        <v>259</v>
      </c>
    </row>
    <row r="5" customFormat="false" ht="12.75" hidden="false" customHeight="true" outlineLevel="0" collapsed="false">
      <c r="B5" s="59" t="s">
        <v>38</v>
      </c>
      <c r="C5" s="61" t="s">
        <v>260</v>
      </c>
    </row>
    <row r="6" customFormat="false" ht="12.75" hidden="false" customHeight="true" outlineLevel="0" collapsed="false">
      <c r="B6" s="59" t="s">
        <v>52</v>
      </c>
      <c r="C6" s="62" t="n">
        <v>869458</v>
      </c>
    </row>
    <row r="7" customFormat="false" ht="12.75" hidden="false" customHeight="true" outlineLevel="0" collapsed="false">
      <c r="B7" s="59" t="s">
        <v>49</v>
      </c>
      <c r="C7" s="60" t="s">
        <v>261</v>
      </c>
    </row>
    <row r="8" customFormat="false" ht="12.75" hidden="false" customHeight="true" outlineLevel="0" collapsed="false">
      <c r="B8" s="59" t="s">
        <v>262</v>
      </c>
      <c r="C8" s="62" t="n">
        <v>1</v>
      </c>
    </row>
    <row r="9" customFormat="false" ht="12.75" hidden="false" customHeight="true" outlineLevel="0" collapsed="false">
      <c r="B9" s="59" t="s">
        <v>263</v>
      </c>
      <c r="C9" s="63" t="n">
        <v>0.25</v>
      </c>
    </row>
    <row r="10" customFormat="false" ht="12.75" hidden="false" customHeight="true" outlineLevel="0" collapsed="false">
      <c r="B10" s="59" t="s">
        <v>264</v>
      </c>
      <c r="C10" s="62" t="n">
        <f aca="false">SUM(C15:L15)</f>
        <v>352240</v>
      </c>
    </row>
    <row r="11" customFormat="false" ht="19.5" hidden="false" customHeight="true" outlineLevel="0" collapsed="false">
      <c r="B11" s="64" t="s">
        <v>265</v>
      </c>
      <c r="C11" s="64"/>
      <c r="D11" s="64"/>
      <c r="E11" s="64"/>
      <c r="F11" s="64"/>
      <c r="G11" s="64"/>
      <c r="H11" s="64"/>
      <c r="I11" s="64"/>
      <c r="J11" s="64"/>
      <c r="K11" s="64"/>
      <c r="L11" s="64"/>
    </row>
    <row r="12" customFormat="false" ht="15" hidden="false" customHeight="true" outlineLevel="0" collapsed="false">
      <c r="B12" s="59"/>
      <c r="C12" s="59" t="s">
        <v>266</v>
      </c>
      <c r="D12" s="59" t="s">
        <v>267</v>
      </c>
      <c r="E12" s="59" t="s">
        <v>268</v>
      </c>
      <c r="F12" s="59" t="s">
        <v>269</v>
      </c>
      <c r="G12" s="59" t="s">
        <v>270</v>
      </c>
      <c r="H12" s="59" t="s">
        <v>271</v>
      </c>
      <c r="I12" s="59" t="s">
        <v>272</v>
      </c>
      <c r="J12" s="59" t="s">
        <v>273</v>
      </c>
      <c r="K12" s="59" t="s">
        <v>274</v>
      </c>
      <c r="L12" s="59" t="s">
        <v>275</v>
      </c>
    </row>
    <row r="13" customFormat="false" ht="12.75" hidden="false" customHeight="true" outlineLevel="0" collapsed="false">
      <c r="B13" s="59" t="s">
        <v>276</v>
      </c>
      <c r="C13" s="65" t="str">
        <f aca="false">IF('Property Info'!$C$24="","",'Property Info'!$C$24&amp;" - "&amp;'Property Info'!$C$23)</f>
        <v>584 - Mega (Storage/Distribution) Warehouses</v>
      </c>
      <c r="D13" s="66"/>
      <c r="E13" s="66"/>
      <c r="F13" s="66"/>
      <c r="G13" s="66"/>
      <c r="H13" s="66"/>
      <c r="I13" s="66"/>
      <c r="J13" s="66"/>
      <c r="K13" s="66"/>
      <c r="L13" s="66"/>
    </row>
    <row r="14" customFormat="false" ht="12.75" hidden="false" customHeight="true" outlineLevel="0" collapsed="false">
      <c r="B14" s="59" t="s">
        <v>277</v>
      </c>
      <c r="C14" s="67" t="n">
        <f aca="false">IFERROR(VALUE(LEFT(C13,FIND(" - ",C13)-1)),"")</f>
        <v>584</v>
      </c>
      <c r="D14" s="68" t="str">
        <f aca="false">IFERROR(VALUE(LEFT(D13,FIND(" - ",D13)-1)),"")</f>
        <v/>
      </c>
      <c r="E14" s="68" t="str">
        <f aca="false">IFERROR(VALUE(LEFT(E13,FIND(" - ",E13)-1)),"")</f>
        <v/>
      </c>
      <c r="F14" s="68" t="str">
        <f aca="false">IFERROR(VALUE(LEFT(F13,FIND(" - ",F13)-1)),"")</f>
        <v/>
      </c>
      <c r="G14" s="68" t="str">
        <f aca="false">IFERROR(VALUE(LEFT(G13,FIND(" - ",G13)-1)),"")</f>
        <v/>
      </c>
      <c r="H14" s="68" t="str">
        <f aca="false">IFERROR(VALUE(LEFT(H13,FIND(" - ",H13)-1)),"")</f>
        <v/>
      </c>
      <c r="I14" s="68" t="str">
        <f aca="false">IFERROR(VALUE(LEFT(I13,FIND(" - ",I13)-1)),"")</f>
        <v/>
      </c>
      <c r="J14" s="68" t="str">
        <f aca="false">IFERROR(VALUE(LEFT(J13,FIND(" - ",J13)-1)),"")</f>
        <v/>
      </c>
      <c r="K14" s="68" t="str">
        <f aca="false">IFERROR(VALUE(LEFT(K13,FIND(" - ",K13)-1)),"")</f>
        <v/>
      </c>
      <c r="L14" s="68" t="str">
        <f aca="false">IFERROR(VALUE(LEFT(L13,FIND(" - ",L13)-1)),"")</f>
        <v/>
      </c>
    </row>
    <row r="15" customFormat="false" ht="12.75" hidden="false" customHeight="true" outlineLevel="0" collapsed="false">
      <c r="B15" s="59" t="s">
        <v>278</v>
      </c>
      <c r="C15" s="62" t="n">
        <v>352240</v>
      </c>
      <c r="D15" s="69"/>
      <c r="E15" s="69"/>
      <c r="F15" s="69"/>
      <c r="G15" s="69"/>
      <c r="H15" s="69"/>
      <c r="I15" s="69"/>
      <c r="J15" s="69"/>
      <c r="K15" s="69"/>
      <c r="L15" s="69"/>
    </row>
    <row r="16" customFormat="false" ht="12.75" hidden="false" customHeight="true" outlineLevel="0" collapsed="false">
      <c r="B16" s="59" t="s">
        <v>70</v>
      </c>
      <c r="C16" s="60" t="s">
        <v>73</v>
      </c>
      <c r="D16" s="66"/>
      <c r="E16" s="66"/>
      <c r="F16" s="66"/>
      <c r="G16" s="66"/>
      <c r="H16" s="66"/>
      <c r="I16" s="66"/>
      <c r="J16" s="66"/>
      <c r="K16" s="66"/>
      <c r="L16" s="66"/>
    </row>
    <row r="17" customFormat="false" ht="12.75" hidden="false" customHeight="true" outlineLevel="0" collapsed="false">
      <c r="B17" s="59" t="s">
        <v>68</v>
      </c>
      <c r="C17" s="60" t="s">
        <v>279</v>
      </c>
      <c r="D17" s="66"/>
      <c r="E17" s="66"/>
      <c r="F17" s="66"/>
      <c r="G17" s="66"/>
      <c r="H17" s="66"/>
      <c r="I17" s="66"/>
      <c r="J17" s="66"/>
      <c r="K17" s="66"/>
      <c r="L17" s="66"/>
    </row>
    <row r="18" customFormat="false" ht="12.75" hidden="false" customHeight="true" outlineLevel="0" collapsed="false">
      <c r="B18" s="59" t="s">
        <v>64</v>
      </c>
      <c r="C18" s="62" t="n">
        <v>2020</v>
      </c>
      <c r="D18" s="69"/>
      <c r="E18" s="69"/>
      <c r="F18" s="69"/>
      <c r="G18" s="69"/>
      <c r="H18" s="69"/>
      <c r="I18" s="69"/>
      <c r="J18" s="69"/>
      <c r="K18" s="69"/>
      <c r="L18" s="69"/>
    </row>
    <row r="19" customFormat="false" ht="12.75" hidden="false" customHeight="true" outlineLevel="0" collapsed="false">
      <c r="B19" s="59" t="s">
        <v>280</v>
      </c>
      <c r="C19" s="70" t="n">
        <f aca="false">IF(C18="","",Year-C18)</f>
        <v>5</v>
      </c>
      <c r="D19" s="68" t="str">
        <f aca="false">IF(D18="","",Year-D18)</f>
        <v/>
      </c>
      <c r="E19" s="68" t="str">
        <f aca="false">IF(E18="","",Year-E18)</f>
        <v/>
      </c>
      <c r="F19" s="68" t="str">
        <f aca="false">IF(F18="","",Year-F18)</f>
        <v/>
      </c>
      <c r="G19" s="68" t="str">
        <f aca="false">IF(G18="","",Year-G18)</f>
        <v/>
      </c>
      <c r="H19" s="68" t="str">
        <f aca="false">IF(H18="","",Year-H18)</f>
        <v/>
      </c>
      <c r="I19" s="68" t="str">
        <f aca="false">IF(I18="","",Year-I18)</f>
        <v/>
      </c>
      <c r="J19" s="68" t="str">
        <f aca="false">IF(J18="","",Year-J18)</f>
        <v/>
      </c>
      <c r="K19" s="68" t="str">
        <f aca="false">IF(K18="","",Year-K18)</f>
        <v/>
      </c>
      <c r="L19" s="68" t="str">
        <f aca="false">IF(L18="","",Year-L18)</f>
        <v/>
      </c>
    </row>
    <row r="20" customFormat="false" ht="12.75" hidden="false" customHeight="true" outlineLevel="0" collapsed="false">
      <c r="B20" s="59" t="s">
        <v>281</v>
      </c>
      <c r="C20" s="62"/>
      <c r="D20" s="69"/>
      <c r="E20" s="69"/>
      <c r="F20" s="69"/>
      <c r="G20" s="69"/>
      <c r="H20" s="69"/>
      <c r="I20" s="69"/>
      <c r="J20" s="69"/>
      <c r="K20" s="69"/>
      <c r="L20" s="69"/>
    </row>
    <row r="21" customFormat="false" ht="19.5" hidden="false" customHeight="true" outlineLevel="0" collapsed="false">
      <c r="B21" s="64" t="s">
        <v>282</v>
      </c>
      <c r="C21" s="64"/>
      <c r="D21" s="64"/>
      <c r="E21" s="64"/>
      <c r="F21" s="64"/>
    </row>
    <row r="22" customFormat="false" ht="12.75" hidden="false" customHeight="true" outlineLevel="0" collapsed="false">
      <c r="B22" s="59" t="s">
        <v>283</v>
      </c>
      <c r="C22" s="68" t="n">
        <f aca="false">COUNT(Sales!AI2:AI941)</f>
        <v>0</v>
      </c>
    </row>
    <row r="23" customFormat="false" ht="25.5" hidden="false" customHeight="true" outlineLevel="0" collapsed="false">
      <c r="B23" s="71" t="s">
        <v>284</v>
      </c>
      <c r="C23" s="71"/>
      <c r="D23" s="71"/>
      <c r="E23" s="71"/>
      <c r="F23" s="71"/>
    </row>
    <row r="25" customFormat="false" ht="12.75" hidden="false" customHeight="true" outlineLevel="0" collapsed="false">
      <c r="B25" s="59" t="s">
        <v>285</v>
      </c>
      <c r="C25" s="68" t="n">
        <f aca="false">COUNT('Expense Database'!AN4:AN197)</f>
        <v>5</v>
      </c>
    </row>
    <row r="26" customFormat="false" ht="25.5" hidden="false" customHeight="true" outlineLevel="0" collapsed="false">
      <c r="B26" s="71" t="s">
        <v>286</v>
      </c>
      <c r="C26" s="71"/>
      <c r="D26" s="71"/>
      <c r="E26" s="71"/>
      <c r="F26" s="71"/>
    </row>
    <row r="28" customFormat="false" ht="12.75" hidden="false" customHeight="true" outlineLevel="0" collapsed="false">
      <c r="B28" s="59" t="s">
        <v>287</v>
      </c>
      <c r="C28" s="72" t="s">
        <v>288</v>
      </c>
    </row>
    <row r="30" customFormat="false" ht="12.75" hidden="false" customHeight="true" outlineLevel="0" collapsed="false">
      <c r="B30" s="59" t="s">
        <v>289</v>
      </c>
      <c r="C30" s="72" t="s">
        <v>290</v>
      </c>
    </row>
    <row r="33" customFormat="false" ht="15" hidden="false" customHeight="true" outlineLevel="0" collapsed="false">
      <c r="B33" s="73" t="s">
        <v>291</v>
      </c>
      <c r="C33" s="74"/>
      <c r="D33" s="74"/>
      <c r="E33" s="74"/>
      <c r="F33" s="74"/>
    </row>
    <row r="34" customFormat="false" ht="12.75" hidden="false" customHeight="true" outlineLevel="0" collapsed="false">
      <c r="B34" s="75" t="s">
        <v>129</v>
      </c>
      <c r="C34" s="75" t="s">
        <v>38</v>
      </c>
      <c r="D34" s="75" t="s">
        <v>292</v>
      </c>
      <c r="E34" s="75" t="s">
        <v>293</v>
      </c>
      <c r="F34" s="75" t="s">
        <v>294</v>
      </c>
    </row>
    <row r="35" customFormat="false" ht="12" hidden="false" customHeight="true" outlineLevel="0" collapsed="false">
      <c r="B35" s="1" t="str">
        <f aca="false">IF($H35="","",IFERROR(INDEX('Expense Database'!D:D,$H35),""))</f>
        <v>2780 N Tower Rd</v>
      </c>
      <c r="C35" s="1" t="str">
        <f aca="false">IF($H35="","",IFERROR(INDEX('Expense Database'!E:E,$H35),""))</f>
        <v>Aurora</v>
      </c>
      <c r="D35" s="76" t="n">
        <f aca="false">IF($H35="","",IFERROR(INDEX('Expense Database'!J:J,$H35),""))</f>
        <v>377729</v>
      </c>
      <c r="E35" s="77" t="n">
        <f aca="false">IF($H35="","",IFERROR(INDEX('Expense Database'!K:K,$H35),""))</f>
        <v>2023</v>
      </c>
      <c r="F35" s="78" t="n">
        <f aca="false">IF($H35="","",IFERROR(INDEX('PSF Summary'!AK:AK,$H35),""))</f>
        <v>7.811</v>
      </c>
      <c r="H35" s="1" t="n">
        <f aca="false">IFERROR(MATCH(_xlfn.AGGREGATE(15,6,'Expense Database'!$AO$4:$AO$197,1),'Expense Database'!$AO$4:$AO$197,0)+3,"")</f>
        <v>109</v>
      </c>
    </row>
    <row r="36" customFormat="false" ht="12" hidden="false" customHeight="true" outlineLevel="0" collapsed="false">
      <c r="B36" s="1" t="str">
        <f aca="false">IF($H36="","",IFERROR(INDEX('Expense Database'!D:D,$H36),""))</f>
        <v>2780 N Tower Rd</v>
      </c>
      <c r="C36" s="1" t="str">
        <f aca="false">IF($H36="","",IFERROR(INDEX('Expense Database'!E:E,$H36),""))</f>
        <v>Aurora</v>
      </c>
      <c r="D36" s="76" t="n">
        <f aca="false">IF($H36="","",IFERROR(INDEX('Expense Database'!J:J,$H36),""))</f>
        <v>377729</v>
      </c>
      <c r="E36" s="77" t="n">
        <f aca="false">IF($H36="","",IFERROR(INDEX('Expense Database'!K:K,$H36),""))</f>
        <v>2024</v>
      </c>
      <c r="F36" s="78" t="n">
        <f aca="false">IF($H36="","",IFERROR(INDEX('PSF Summary'!AK:AK,$H36),""))</f>
        <v>7.9433</v>
      </c>
      <c r="H36" s="1" t="n">
        <f aca="false">IFERROR(MATCH(_xlfn.AGGREGATE(15,6,'Expense Database'!$AO$4:$AO$197,2),'Expense Database'!$AO$4:$AO$197,0)+3,"")</f>
        <v>110</v>
      </c>
    </row>
    <row r="37" customFormat="false" ht="12" hidden="false" customHeight="true" outlineLevel="0" collapsed="false">
      <c r="B37" s="1" t="str">
        <f aca="false">IF($H37="","",IFERROR(INDEX('Expense Database'!D:D,$H37),""))</f>
        <v>2780 N Tower Rd</v>
      </c>
      <c r="C37" s="1" t="str">
        <f aca="false">IF($H37="","",IFERROR(INDEX('Expense Database'!E:E,$H37),""))</f>
        <v>Aurora</v>
      </c>
      <c r="D37" s="1" t="n">
        <f aca="false">IF($H37="","",IFERROR(INDEX('Expense Database'!J:J,$H37),""))</f>
        <v>384953</v>
      </c>
      <c r="E37" s="1" t="n">
        <f aca="false">IF($H37="","",IFERROR(INDEX('Expense Database'!K:K,$H37),""))</f>
        <v>2024</v>
      </c>
      <c r="F37" s="1" t="n">
        <f aca="false">IF($H37="","",IFERROR(INDEX('PSF Summary'!AK:AK,$H37),""))</f>
        <v>0</v>
      </c>
      <c r="H37" s="1" t="n">
        <f aca="false">IFERROR(MATCH(_xlfn.AGGREGATE(15,6,'Expense Database'!$AO$4:$AO$197,3),'Expense Database'!$AO$4:$AO$197,0)+3,"")</f>
        <v>39</v>
      </c>
    </row>
    <row r="38" customFormat="false" ht="12" hidden="false" customHeight="true" outlineLevel="0" collapsed="false">
      <c r="B38" s="1" t="str">
        <f aca="false">IF($H38="","",IFERROR(INDEX('Expense Database'!D:D,$H38),""))</f>
        <v>20101 E 36th Ave</v>
      </c>
      <c r="C38" s="1" t="str">
        <f aca="false">IF($H38="","",IFERROR(INDEX('Expense Database'!E:E,$H38),""))</f>
        <v>Aurora</v>
      </c>
      <c r="D38" s="1" t="n">
        <f aca="false">IF($H38="","",IFERROR(INDEX('Expense Database'!J:J,$H38),""))</f>
        <v>278538</v>
      </c>
      <c r="E38" s="1" t="n">
        <f aca="false">IF($H38="","",IFERROR(INDEX('Expense Database'!K:K,$H38),""))</f>
        <v>2024</v>
      </c>
      <c r="F38" s="1" t="n">
        <f aca="false">IF($H38="","",IFERROR(INDEX('PSF Summary'!AK:AK,$H38),""))</f>
        <v>0</v>
      </c>
      <c r="H38" s="1" t="n">
        <f aca="false">IFERROR(MATCH(_xlfn.AGGREGATE(15,6,'Expense Database'!$AO$4:$AO$197,4),'Expense Database'!$AO$4:$AO$197,0)+3,"")</f>
        <v>125</v>
      </c>
    </row>
    <row r="39" customFormat="false" ht="12" hidden="false" customHeight="true" outlineLevel="0" collapsed="false">
      <c r="B39" s="1" t="str">
        <f aca="false">IF($H39="","",IFERROR(INDEX('Expense Database'!D:D,$H39),""))</f>
        <v>(R0083935)</v>
      </c>
      <c r="C39" s="1" t="str">
        <f aca="false">IF($H39="","",IFERROR(INDEX('Expense Database'!E:E,$H39),""))</f>
        <v>Adams County</v>
      </c>
      <c r="D39" s="1" t="n">
        <f aca="false">IF($H39="","",IFERROR(INDEX('Expense Database'!J:J,$H39),""))</f>
        <v>277690</v>
      </c>
      <c r="E39" s="1" t="n">
        <f aca="false">IF($H39="","",IFERROR(INDEX('Expense Database'!K:K,$H39),""))</f>
        <v>2024</v>
      </c>
      <c r="F39" s="1" t="n">
        <f aca="false">IF($H39="","",IFERROR(INDEX('PSF Summary'!AK:AK,$H39),""))</f>
        <v>0</v>
      </c>
      <c r="H39" s="1" t="n">
        <f aca="false">IFERROR(MATCH(_xlfn.AGGREGATE(15,6,'Expense Database'!$AO$4:$AO$197,5),'Expense Database'!$AO$4:$AO$197,0)+3,"")</f>
        <v>182</v>
      </c>
    </row>
  </sheetData>
  <mergeCells count="5">
    <mergeCell ref="B2:L2"/>
    <mergeCell ref="B11:L11"/>
    <mergeCell ref="B21:F21"/>
    <mergeCell ref="B23:F23"/>
    <mergeCell ref="B26:F26"/>
  </mergeCells>
  <dataValidations count="6">
    <dataValidation allowBlank="true" errorStyle="stop" operator="between" showDropDown="false" showErrorMessage="true" showInputMessage="false" sqref="C13:L13" type="list">
      <formula1>OCC_TABLE_LABEL</formula1>
      <formula2>0</formula2>
    </dataValidation>
    <dataValidation allowBlank="true" errorStyle="stop" operator="between" showDropDown="false" showErrorMessage="true" showInputMessage="false" sqref="C16:L16" type="list">
      <formula1>"None,Poor,Fair,Typical,Good,Rehabilitated"</formula1>
      <formula2>0</formula2>
    </dataValidation>
    <dataValidation allowBlank="true" errorStyle="stop" operator="between" showDropDown="false" showErrorMessage="true" showInputMessage="false" sqref="C17:L17" type="list">
      <formula1>"Low Cost,Average,Good,Excellent,Cheap"</formula1>
      <formula2>0</formula2>
    </dataValidation>
    <dataValidation allowBlank="true" errorStyle="stop" operator="between" showDropDown="false" showErrorMessage="true" showInputMessage="false" sqref="C8" type="list">
      <formula1>"1,2,3,4,5,6,7,8,9,10"</formula1>
      <formula2>0</formula2>
    </dataValidation>
    <dataValidation allowBlank="true" errorStyle="stop" operator="between" showDropDown="false" showErrorMessage="true" showInputMessage="false" sqref="C5" type="list">
      <formula1>"ARVADA,AURORA,BENNETT,BRIGHTON,COMMERCE CITY,FEDERAL HEIGHTS,NORTHGLENN,STRASBURG,THORNTON,WESTMINSTER,Other / Not Listed"</formula1>
      <formula2>0</formula2>
    </dataValidation>
    <dataValidation allowBlank="true" errorStyle="stop" operator="between" showDropDown="false" showErrorMessage="true" showInputMessage="false" sqref="C7" type="list">
      <formula1>IF(OR($C$5="",$C$5="Other / Not Listed"),ZONING_TABLE,INDIRECT("ZONES_"&amp;SUBSTITUTE(SUBSTITUTE(UPPER($C$5)," ","_"),"-","_")))</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7324D"/>
    <pageSetUpPr fitToPage="false"/>
  </sheetPr>
  <dimension ref="B1:K5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B36" activeCellId="0" sqref="B36"/>
    </sheetView>
  </sheetViews>
  <sheetFormatPr defaultColWidth="10.29296875" defaultRowHeight="12" zeroHeight="false" outlineLevelRow="0" outlineLevelCol="0"/>
  <cols>
    <col collapsed="false" customWidth="true" hidden="false" outlineLevel="0" max="2" min="2" style="1" width="36.43"/>
    <col collapsed="false" customWidth="true" hidden="false" outlineLevel="0" max="3" min="3" style="1" width="21.43"/>
    <col collapsed="false" customWidth="true" hidden="false" outlineLevel="0" max="4" min="4" style="1" width="13.71"/>
    <col collapsed="false" customWidth="true" hidden="false" outlineLevel="0" max="6" min="6" style="1" width="11.43"/>
    <col collapsed="false" customWidth="true" hidden="false" outlineLevel="0" max="8" min="7" style="1" width="13.71"/>
    <col collapsed="false" customWidth="true" hidden="true" outlineLevel="0" max="9" min="9" style="1" width="16"/>
    <col collapsed="false" customWidth="true" hidden="true" outlineLevel="0" max="11" min="11" style="1" width="14.86"/>
  </cols>
  <sheetData>
    <row r="1" customFormat="false" ht="15.75" hidden="false" customHeight="true" outlineLevel="0" collapsed="false">
      <c r="B1" s="57" t="s">
        <v>295</v>
      </c>
      <c r="C1" s="74"/>
      <c r="D1" s="74"/>
      <c r="E1" s="74"/>
      <c r="F1" s="74"/>
      <c r="G1" s="74"/>
      <c r="H1" s="74"/>
      <c r="I1" s="74"/>
    </row>
    <row r="2" customFormat="false" ht="39.75" hidden="false" customHeight="true" outlineLevel="0" collapsed="false">
      <c r="B2" s="79" t="s">
        <v>296</v>
      </c>
      <c r="C2" s="79"/>
      <c r="D2" s="79"/>
      <c r="E2" s="79"/>
      <c r="F2" s="79"/>
      <c r="G2" s="79"/>
      <c r="H2" s="79"/>
      <c r="I2" s="79"/>
    </row>
    <row r="4" customFormat="false" ht="15.75" hidden="false" customHeight="true" outlineLevel="0" collapsed="false">
      <c r="B4" s="57" t="s">
        <v>297</v>
      </c>
      <c r="C4" s="74"/>
      <c r="D4" s="74"/>
      <c r="E4" s="74"/>
      <c r="F4" s="74"/>
      <c r="G4" s="74"/>
      <c r="H4" s="74"/>
      <c r="I4" s="74"/>
    </row>
    <row r="5" customFormat="false" ht="12" hidden="false" customHeight="true" outlineLevel="0" collapsed="false">
      <c r="B5" s="75" t="s">
        <v>298</v>
      </c>
      <c r="C5" s="75" t="s">
        <v>129</v>
      </c>
      <c r="D5" s="75" t="s">
        <v>299</v>
      </c>
      <c r="E5" s="75" t="s">
        <v>300</v>
      </c>
      <c r="F5" s="75" t="s">
        <v>301</v>
      </c>
      <c r="G5" s="75" t="s">
        <v>302</v>
      </c>
      <c r="H5" s="75" t="s">
        <v>303</v>
      </c>
      <c r="I5" s="75" t="s">
        <v>304</v>
      </c>
    </row>
    <row r="6" customFormat="false" ht="12" hidden="false" customHeight="true" outlineLevel="0" collapsed="false">
      <c r="B6" s="1" t="str">
        <f aca="false">IF($K6="","",1)</f>
        <v/>
      </c>
      <c r="C6" s="1" t="str">
        <f aca="false">IF($K6="","",IFERROR(INDEX(Sales!D:D,$K6),""))</f>
        <v/>
      </c>
      <c r="D6" s="80" t="str">
        <f aca="false">IF($K6="","",IFERROR(INDEX(Sales!AA:AA,$K6),""))</f>
        <v/>
      </c>
      <c r="E6" s="78" t="str">
        <f aca="false">IF(OR($D6="",$F6="",$F6=0),"",$D6/$F6)</f>
        <v/>
      </c>
      <c r="F6" s="76" t="str">
        <f aca="false">IF($K6="","",IFERROR(INDEX(Sales!L:L,$K6),""))</f>
        <v/>
      </c>
      <c r="G6" s="1" t="str">
        <f aca="false">IF($K6="","",IFERROR(INDEX(Sales!M:M,$K6),""))</f>
        <v/>
      </c>
      <c r="H6" s="81" t="str">
        <f aca="false">IF($K6="","",IFERROR(INDEX(Sales!I:I,$K6),""))</f>
        <v/>
      </c>
      <c r="I6" s="1" t="str">
        <f aca="false">IF($K6="","",IFERROR(INDEX(Sales!AC:AC,$K6),""))</f>
        <v/>
      </c>
      <c r="K6" s="1" t="str">
        <f aca="false">IFERROR(MATCH(_xlfn.AGGREGATE(15,6,Sales!$AJ$2:$AJ$941,1),Sales!$AJ$2:$AJ$941,0)+1,"")</f>
        <v/>
      </c>
    </row>
    <row r="7" customFormat="false" ht="12" hidden="false" customHeight="true" outlineLevel="0" collapsed="false">
      <c r="B7" s="1" t="str">
        <f aca="false">IF($K7="","",2)</f>
        <v/>
      </c>
      <c r="C7" s="1" t="str">
        <f aca="false">IF($K7="","",IFERROR(INDEX(Sales!D:D,$K7),""))</f>
        <v/>
      </c>
      <c r="D7" s="80" t="str">
        <f aca="false">IF($K7="","",IFERROR(INDEX(Sales!AA:AA,$K7),""))</f>
        <v/>
      </c>
      <c r="E7" s="78" t="str">
        <f aca="false">IF(OR($D7="",$F7="",$F7=0),"",$D7/$F7)</f>
        <v/>
      </c>
      <c r="F7" s="76" t="str">
        <f aca="false">IF($K7="","",IFERROR(INDEX(Sales!L:L,$K7),""))</f>
        <v/>
      </c>
      <c r="G7" s="1" t="str">
        <f aca="false">IF($K7="","",IFERROR(INDEX(Sales!M:M,$K7),""))</f>
        <v/>
      </c>
      <c r="H7" s="81" t="str">
        <f aca="false">IF($K7="","",IFERROR(INDEX(Sales!I:I,$K7),""))</f>
        <v/>
      </c>
      <c r="I7" s="1" t="str">
        <f aca="false">IF($K7="","",IFERROR(INDEX(Sales!AC:AC,$K7),""))</f>
        <v/>
      </c>
      <c r="K7" s="1" t="str">
        <f aca="false">IFERROR(MATCH(_xlfn.AGGREGATE(15,6,Sales!$AJ$2:$AJ$941,2),Sales!$AJ$2:$AJ$941,0)+1,"")</f>
        <v/>
      </c>
    </row>
    <row r="8" customFormat="false" ht="12" hidden="false" customHeight="true" outlineLevel="0" collapsed="false">
      <c r="B8" s="1" t="str">
        <f aca="false">IF($K8="","",3)</f>
        <v/>
      </c>
      <c r="C8" s="1" t="str">
        <f aca="false">IF($K8="","",IFERROR(INDEX(Sales!D:D,$K8),""))</f>
        <v/>
      </c>
      <c r="D8" s="80" t="str">
        <f aca="false">IF($K8="","",IFERROR(INDEX(Sales!AA:AA,$K8),""))</f>
        <v/>
      </c>
      <c r="E8" s="78" t="str">
        <f aca="false">IF(OR($D8="",$F8="",$F8=0),"",$D8/$F8)</f>
        <v/>
      </c>
      <c r="F8" s="76" t="str">
        <f aca="false">IF($K8="","",IFERROR(INDEX(Sales!L:L,$K8),""))</f>
        <v/>
      </c>
      <c r="G8" s="1" t="str">
        <f aca="false">IF($K8="","",IFERROR(INDEX(Sales!M:M,$K8),""))</f>
        <v/>
      </c>
      <c r="H8" s="81" t="str">
        <f aca="false">IF($K8="","",IFERROR(INDEX(Sales!I:I,$K8),""))</f>
        <v/>
      </c>
      <c r="I8" s="1" t="str">
        <f aca="false">IF($K8="","",IFERROR(INDEX(Sales!AC:AC,$K8),""))</f>
        <v/>
      </c>
      <c r="K8" s="1" t="str">
        <f aca="false">IFERROR(MATCH(_xlfn.AGGREGATE(15,6,Sales!$AJ$2:$AJ$941,3),Sales!$AJ$2:$AJ$941,0)+1,"")</f>
        <v/>
      </c>
    </row>
    <row r="9" customFormat="false" ht="12" hidden="false" customHeight="true" outlineLevel="0" collapsed="false">
      <c r="B9" s="1" t="str">
        <f aca="false">IF($K9="","",4)</f>
        <v/>
      </c>
      <c r="C9" s="1" t="str">
        <f aca="false">IF($K9="","",IFERROR(INDEX(Sales!D:D,$K9),""))</f>
        <v/>
      </c>
      <c r="D9" s="80" t="str">
        <f aca="false">IF($K9="","",IFERROR(INDEX(Sales!AA:AA,$K9),""))</f>
        <v/>
      </c>
      <c r="E9" s="78" t="str">
        <f aca="false">IF(OR($D9="",$F9="",$F9=0),"",$D9/$F9)</f>
        <v/>
      </c>
      <c r="F9" s="76" t="str">
        <f aca="false">IF($K9="","",IFERROR(INDEX(Sales!L:L,$K9),""))</f>
        <v/>
      </c>
      <c r="G9" s="1" t="str">
        <f aca="false">IF($K9="","",IFERROR(INDEX(Sales!M:M,$K9),""))</f>
        <v/>
      </c>
      <c r="H9" s="81" t="str">
        <f aca="false">IF($K9="","",IFERROR(INDEX(Sales!I:I,$K9),""))</f>
        <v/>
      </c>
      <c r="I9" s="1" t="str">
        <f aca="false">IF($K9="","",IFERROR(INDEX(Sales!AC:AC,$K9),""))</f>
        <v/>
      </c>
      <c r="K9" s="1" t="str">
        <f aca="false">IFERROR(MATCH(_xlfn.AGGREGATE(15,6,Sales!$AJ$2:$AJ$941,4),Sales!$AJ$2:$AJ$941,0)+1,"")</f>
        <v/>
      </c>
    </row>
    <row r="10" customFormat="false" ht="12" hidden="false" customHeight="true" outlineLevel="0" collapsed="false">
      <c r="B10" s="1" t="str">
        <f aca="false">IF($K10="","",5)</f>
        <v/>
      </c>
      <c r="C10" s="1" t="str">
        <f aca="false">IF($K10="","",IFERROR(INDEX(Sales!D:D,$K10),""))</f>
        <v/>
      </c>
      <c r="D10" s="80" t="str">
        <f aca="false">IF($K10="","",IFERROR(INDEX(Sales!AA:AA,$K10),""))</f>
        <v/>
      </c>
      <c r="E10" s="78" t="str">
        <f aca="false">IF(OR($D10="",$F10="",$F10=0),"",$D10/$F10)</f>
        <v/>
      </c>
      <c r="F10" s="76" t="str">
        <f aca="false">IF($K10="","",IFERROR(INDEX(Sales!L:L,$K10),""))</f>
        <v/>
      </c>
      <c r="G10" s="1" t="str">
        <f aca="false">IF($K10="","",IFERROR(INDEX(Sales!M:M,$K10),""))</f>
        <v/>
      </c>
      <c r="H10" s="81" t="str">
        <f aca="false">IF($K10="","",IFERROR(INDEX(Sales!I:I,$K10),""))</f>
        <v/>
      </c>
      <c r="I10" s="1" t="str">
        <f aca="false">IF($K10="","",IFERROR(INDEX(Sales!AC:AC,$K10),""))</f>
        <v/>
      </c>
      <c r="K10" s="1" t="str">
        <f aca="false">IFERROR(MATCH(_xlfn.AGGREGATE(15,6,Sales!$AJ$2:$AJ$941,5),Sales!$AJ$2:$AJ$941,0)+1,"")</f>
        <v/>
      </c>
    </row>
    <row r="11" customFormat="false" ht="12" hidden="false" customHeight="true" outlineLevel="0" collapsed="false">
      <c r="B11" s="1" t="str">
        <f aca="false">IF($K11="","",6)</f>
        <v/>
      </c>
      <c r="C11" s="1" t="str">
        <f aca="false">IF($K11="","",IFERROR(INDEX(Sales!D:D,$K11),""))</f>
        <v/>
      </c>
      <c r="D11" s="80" t="str">
        <f aca="false">IF($K11="","",IFERROR(INDEX(Sales!AA:AA,$K11),""))</f>
        <v/>
      </c>
      <c r="E11" s="78" t="str">
        <f aca="false">IF(OR($D11="",$F11="",$F11=0),"",$D11/$F11)</f>
        <v/>
      </c>
      <c r="F11" s="76" t="str">
        <f aca="false">IF($K11="","",IFERROR(INDEX(Sales!L:L,$K11),""))</f>
        <v/>
      </c>
      <c r="G11" s="1" t="str">
        <f aca="false">IF($K11="","",IFERROR(INDEX(Sales!M:M,$K11),""))</f>
        <v/>
      </c>
      <c r="H11" s="81" t="str">
        <f aca="false">IF($K11="","",IFERROR(INDEX(Sales!I:I,$K11),""))</f>
        <v/>
      </c>
      <c r="I11" s="1" t="str">
        <f aca="false">IF($K11="","",IFERROR(INDEX(Sales!AC:AC,$K11),""))</f>
        <v/>
      </c>
      <c r="K11" s="1" t="str">
        <f aca="false">IFERROR(MATCH(_xlfn.AGGREGATE(15,6,Sales!$AJ$2:$AJ$941,6),Sales!$AJ$2:$AJ$941,0)+1,"")</f>
        <v/>
      </c>
    </row>
    <row r="12" customFormat="false" ht="12" hidden="false" customHeight="true" outlineLevel="0" collapsed="false">
      <c r="B12" s="1" t="str">
        <f aca="false">IF($K12="","",7)</f>
        <v/>
      </c>
      <c r="C12" s="1" t="str">
        <f aca="false">IF($K12="","",IFERROR(INDEX(Sales!D:D,$K12),""))</f>
        <v/>
      </c>
      <c r="D12" s="80" t="str">
        <f aca="false">IF($K12="","",IFERROR(INDEX(Sales!AA:AA,$K12),""))</f>
        <v/>
      </c>
      <c r="E12" s="78" t="str">
        <f aca="false">IF(OR($D12="",$F12="",$F12=0),"",$D12/$F12)</f>
        <v/>
      </c>
      <c r="F12" s="76" t="str">
        <f aca="false">IF($K12="","",IFERROR(INDEX(Sales!L:L,$K12),""))</f>
        <v/>
      </c>
      <c r="G12" s="1" t="str">
        <f aca="false">IF($K12="","",IFERROR(INDEX(Sales!M:M,$K12),""))</f>
        <v/>
      </c>
      <c r="H12" s="81" t="str">
        <f aca="false">IF($K12="","",IFERROR(INDEX(Sales!I:I,$K12),""))</f>
        <v/>
      </c>
      <c r="I12" s="1" t="str">
        <f aca="false">IF($K12="","",IFERROR(INDEX(Sales!AC:AC,$K12),""))</f>
        <v/>
      </c>
      <c r="K12" s="1" t="str">
        <f aca="false">IFERROR(MATCH(_xlfn.AGGREGATE(15,6,Sales!$AJ$2:$AJ$941,7),Sales!$AJ$2:$AJ$941,0)+1,"")</f>
        <v/>
      </c>
    </row>
    <row r="13" customFormat="false" ht="12" hidden="false" customHeight="true" outlineLevel="0" collapsed="false">
      <c r="B13" s="1" t="str">
        <f aca="false">IF($K13="","",8)</f>
        <v/>
      </c>
      <c r="C13" s="1" t="str">
        <f aca="false">IF($K13="","",IFERROR(INDEX(Sales!D:D,$K13),""))</f>
        <v/>
      </c>
      <c r="D13" s="80" t="str">
        <f aca="false">IF($K13="","",IFERROR(INDEX(Sales!AA:AA,$K13),""))</f>
        <v/>
      </c>
      <c r="E13" s="78" t="str">
        <f aca="false">IF(OR($D13="",$F13="",$F13=0),"",$D13/$F13)</f>
        <v/>
      </c>
      <c r="F13" s="76" t="str">
        <f aca="false">IF($K13="","",IFERROR(INDEX(Sales!L:L,$K13),""))</f>
        <v/>
      </c>
      <c r="G13" s="1" t="str">
        <f aca="false">IF($K13="","",IFERROR(INDEX(Sales!M:M,$K13),""))</f>
        <v/>
      </c>
      <c r="H13" s="81" t="str">
        <f aca="false">IF($K13="","",IFERROR(INDEX(Sales!I:I,$K13),""))</f>
        <v/>
      </c>
      <c r="I13" s="1" t="str">
        <f aca="false">IF($K13="","",IFERROR(INDEX(Sales!AC:AC,$K13),""))</f>
        <v/>
      </c>
      <c r="K13" s="1" t="str">
        <f aca="false">IFERROR(MATCH(_xlfn.AGGREGATE(15,6,Sales!$AJ$2:$AJ$941,8),Sales!$AJ$2:$AJ$941,0)+1,"")</f>
        <v/>
      </c>
    </row>
    <row r="14" customFormat="false" ht="12" hidden="false" customHeight="true" outlineLevel="0" collapsed="false">
      <c r="B14" s="1" t="str">
        <f aca="false">IF($K14="","",9)</f>
        <v/>
      </c>
      <c r="C14" s="1" t="str">
        <f aca="false">IF($K14="","",IFERROR(INDEX(Sales!D:D,$K14),""))</f>
        <v/>
      </c>
      <c r="D14" s="80" t="str">
        <f aca="false">IF($K14="","",IFERROR(INDEX(Sales!AA:AA,$K14),""))</f>
        <v/>
      </c>
      <c r="E14" s="78" t="str">
        <f aca="false">IF(OR($D14="",$F14="",$F14=0),"",$D14/$F14)</f>
        <v/>
      </c>
      <c r="F14" s="76" t="str">
        <f aca="false">IF($K14="","",IFERROR(INDEX(Sales!L:L,$K14),""))</f>
        <v/>
      </c>
      <c r="G14" s="1" t="str">
        <f aca="false">IF($K14="","",IFERROR(INDEX(Sales!M:M,$K14),""))</f>
        <v/>
      </c>
      <c r="H14" s="81" t="str">
        <f aca="false">IF($K14="","",IFERROR(INDEX(Sales!I:I,$K14),""))</f>
        <v/>
      </c>
      <c r="I14" s="1" t="str">
        <f aca="false">IF($K14="","",IFERROR(INDEX(Sales!AC:AC,$K14),""))</f>
        <v/>
      </c>
      <c r="K14" s="1" t="str">
        <f aca="false">IFERROR(MATCH(_xlfn.AGGREGATE(15,6,Sales!$AJ$2:$AJ$941,9),Sales!$AJ$2:$AJ$941,0)+1,"")</f>
        <v/>
      </c>
    </row>
    <row r="15" customFormat="false" ht="12" hidden="false" customHeight="true" outlineLevel="0" collapsed="false">
      <c r="B15" s="1" t="str">
        <f aca="false">IF($K15="","",10)</f>
        <v/>
      </c>
      <c r="C15" s="1" t="str">
        <f aca="false">IF($K15="","",IFERROR(INDEX(Sales!D:D,$K15),""))</f>
        <v/>
      </c>
      <c r="D15" s="80" t="str">
        <f aca="false">IF($K15="","",IFERROR(INDEX(Sales!AA:AA,$K15),""))</f>
        <v/>
      </c>
      <c r="E15" s="78" t="str">
        <f aca="false">IF(OR($D15="",$F15="",$F15=0),"",$D15/$F15)</f>
        <v/>
      </c>
      <c r="F15" s="76" t="str">
        <f aca="false">IF($K15="","",IFERROR(INDEX(Sales!L:L,$K15),""))</f>
        <v/>
      </c>
      <c r="G15" s="1" t="str">
        <f aca="false">IF($K15="","",IFERROR(INDEX(Sales!M:M,$K15),""))</f>
        <v/>
      </c>
      <c r="H15" s="81" t="str">
        <f aca="false">IF($K15="","",IFERROR(INDEX(Sales!I:I,$K15),""))</f>
        <v/>
      </c>
      <c r="I15" s="1" t="str">
        <f aca="false">IF($K15="","",IFERROR(INDEX(Sales!AC:AC,$K15),""))</f>
        <v/>
      </c>
      <c r="K15" s="1" t="str">
        <f aca="false">IFERROR(MATCH(_xlfn.AGGREGATE(15,6,Sales!$AJ$2:$AJ$941,10),Sales!$AJ$2:$AJ$941,0)+1,"")</f>
        <v/>
      </c>
    </row>
    <row r="16" customFormat="false" ht="12" hidden="false" customHeight="true" outlineLevel="0" collapsed="false">
      <c r="B16" s="1" t="str">
        <f aca="false">IF($K16="","",11)</f>
        <v/>
      </c>
      <c r="C16" s="1" t="str">
        <f aca="false">IF($K16="","",IFERROR(INDEX(Sales!D:D,$K16),""))</f>
        <v/>
      </c>
      <c r="D16" s="80" t="str">
        <f aca="false">IF($K16="","",IFERROR(INDEX(Sales!AA:AA,$K16),""))</f>
        <v/>
      </c>
      <c r="E16" s="78" t="str">
        <f aca="false">IF(OR($D16="",$F16="",$F16=0),"",$D16/$F16)</f>
        <v/>
      </c>
      <c r="F16" s="76" t="str">
        <f aca="false">IF($K16="","",IFERROR(INDEX(Sales!L:L,$K16),""))</f>
        <v/>
      </c>
      <c r="G16" s="1" t="str">
        <f aca="false">IF($K16="","",IFERROR(INDEX(Sales!M:M,$K16),""))</f>
        <v/>
      </c>
      <c r="H16" s="81" t="str">
        <f aca="false">IF($K16="","",IFERROR(INDEX(Sales!I:I,$K16),""))</f>
        <v/>
      </c>
      <c r="I16" s="1" t="str">
        <f aca="false">IF($K16="","",IFERROR(INDEX(Sales!AC:AC,$K16),""))</f>
        <v/>
      </c>
      <c r="K16" s="1" t="str">
        <f aca="false">IFERROR(MATCH(_xlfn.AGGREGATE(15,6,Sales!$AJ$2:$AJ$941,11),Sales!$AJ$2:$AJ$941,0)+1,"")</f>
        <v/>
      </c>
    </row>
    <row r="17" customFormat="false" ht="12" hidden="false" customHeight="true" outlineLevel="0" collapsed="false">
      <c r="B17" s="1" t="str">
        <f aca="false">IF($K17="","",12)</f>
        <v/>
      </c>
      <c r="C17" s="1" t="str">
        <f aca="false">IF($K17="","",IFERROR(INDEX(Sales!D:D,$K17),""))</f>
        <v/>
      </c>
      <c r="D17" s="80" t="str">
        <f aca="false">IF($K17="","",IFERROR(INDEX(Sales!AA:AA,$K17),""))</f>
        <v/>
      </c>
      <c r="E17" s="78" t="str">
        <f aca="false">IF(OR($D17="",$F17="",$F17=0),"",$D17/$F17)</f>
        <v/>
      </c>
      <c r="F17" s="76" t="str">
        <f aca="false">IF($K17="","",IFERROR(INDEX(Sales!L:L,$K17),""))</f>
        <v/>
      </c>
      <c r="G17" s="1" t="str">
        <f aca="false">IF($K17="","",IFERROR(INDEX(Sales!M:M,$K17),""))</f>
        <v/>
      </c>
      <c r="H17" s="81" t="str">
        <f aca="false">IF($K17="","",IFERROR(INDEX(Sales!I:I,$K17),""))</f>
        <v/>
      </c>
      <c r="I17" s="1" t="str">
        <f aca="false">IF($K17="","",IFERROR(INDEX(Sales!AC:AC,$K17),""))</f>
        <v/>
      </c>
      <c r="K17" s="1" t="str">
        <f aca="false">IFERROR(MATCH(_xlfn.AGGREGATE(15,6,Sales!$AJ$2:$AJ$941,12),Sales!$AJ$2:$AJ$941,0)+1,"")</f>
        <v/>
      </c>
    </row>
    <row r="18" customFormat="false" ht="12" hidden="false" customHeight="true" outlineLevel="0" collapsed="false">
      <c r="B18" s="1" t="str">
        <f aca="false">IF($K18="","",13)</f>
        <v/>
      </c>
      <c r="C18" s="1" t="str">
        <f aca="false">IF($K18="","",IFERROR(INDEX(Sales!D:D,$K18),""))</f>
        <v/>
      </c>
      <c r="D18" s="80" t="str">
        <f aca="false">IF($K18="","",IFERROR(INDEX(Sales!AA:AA,$K18),""))</f>
        <v/>
      </c>
      <c r="E18" s="78" t="str">
        <f aca="false">IF(OR($D18="",$F18="",$F18=0),"",$D18/$F18)</f>
        <v/>
      </c>
      <c r="F18" s="76" t="str">
        <f aca="false">IF($K18="","",IFERROR(INDEX(Sales!L:L,$K18),""))</f>
        <v/>
      </c>
      <c r="G18" s="1" t="str">
        <f aca="false">IF($K18="","",IFERROR(INDEX(Sales!M:M,$K18),""))</f>
        <v/>
      </c>
      <c r="H18" s="81" t="str">
        <f aca="false">IF($K18="","",IFERROR(INDEX(Sales!I:I,$K18),""))</f>
        <v/>
      </c>
      <c r="I18" s="1" t="str">
        <f aca="false">IF($K18="","",IFERROR(INDEX(Sales!AC:AC,$K18),""))</f>
        <v/>
      </c>
      <c r="K18" s="1" t="str">
        <f aca="false">IFERROR(MATCH(_xlfn.AGGREGATE(15,6,Sales!$AJ$2:$AJ$941,13),Sales!$AJ$2:$AJ$941,0)+1,"")</f>
        <v/>
      </c>
    </row>
    <row r="19" customFormat="false" ht="12" hidden="false" customHeight="true" outlineLevel="0" collapsed="false">
      <c r="B19" s="1" t="str">
        <f aca="false">IF($K19="","",14)</f>
        <v/>
      </c>
      <c r="C19" s="1" t="str">
        <f aca="false">IF($K19="","",IFERROR(INDEX(Sales!D:D,$K19),""))</f>
        <v/>
      </c>
      <c r="D19" s="80" t="str">
        <f aca="false">IF($K19="","",IFERROR(INDEX(Sales!AA:AA,$K19),""))</f>
        <v/>
      </c>
      <c r="E19" s="78" t="str">
        <f aca="false">IF(OR($D19="",$F19="",$F19=0),"",$D19/$F19)</f>
        <v/>
      </c>
      <c r="F19" s="76" t="str">
        <f aca="false">IF($K19="","",IFERROR(INDEX(Sales!L:L,$K19),""))</f>
        <v/>
      </c>
      <c r="G19" s="1" t="str">
        <f aca="false">IF($K19="","",IFERROR(INDEX(Sales!M:M,$K19),""))</f>
        <v/>
      </c>
      <c r="H19" s="81" t="str">
        <f aca="false">IF($K19="","",IFERROR(INDEX(Sales!I:I,$K19),""))</f>
        <v/>
      </c>
      <c r="I19" s="1" t="str">
        <f aca="false">IF($K19="","",IFERROR(INDEX(Sales!AC:AC,$K19),""))</f>
        <v/>
      </c>
      <c r="K19" s="1" t="str">
        <f aca="false">IFERROR(MATCH(_xlfn.AGGREGATE(15,6,Sales!$AJ$2:$AJ$941,14),Sales!$AJ$2:$AJ$941,0)+1,"")</f>
        <v/>
      </c>
    </row>
    <row r="20" customFormat="false" ht="12" hidden="false" customHeight="true" outlineLevel="0" collapsed="false">
      <c r="B20" s="1" t="str">
        <f aca="false">IF($K20="","",15)</f>
        <v/>
      </c>
      <c r="C20" s="1" t="str">
        <f aca="false">IF($K20="","",IFERROR(INDEX(Sales!D:D,$K20),""))</f>
        <v/>
      </c>
      <c r="D20" s="80" t="str">
        <f aca="false">IF($K20="","",IFERROR(INDEX(Sales!AA:AA,$K20),""))</f>
        <v/>
      </c>
      <c r="E20" s="78" t="str">
        <f aca="false">IF(OR($D20="",$F20="",$F20=0),"",$D20/$F20)</f>
        <v/>
      </c>
      <c r="F20" s="76" t="str">
        <f aca="false">IF($K20="","",IFERROR(INDEX(Sales!L:L,$K20),""))</f>
        <v/>
      </c>
      <c r="G20" s="1" t="str">
        <f aca="false">IF($K20="","",IFERROR(INDEX(Sales!M:M,$K20),""))</f>
        <v/>
      </c>
      <c r="H20" s="81" t="str">
        <f aca="false">IF($K20="","",IFERROR(INDEX(Sales!I:I,$K20),""))</f>
        <v/>
      </c>
      <c r="I20" s="1" t="str">
        <f aca="false">IF($K20="","",IFERROR(INDEX(Sales!AC:AC,$K20),""))</f>
        <v/>
      </c>
      <c r="K20" s="1" t="str">
        <f aca="false">IFERROR(MATCH(_xlfn.AGGREGATE(15,6,Sales!$AJ$2:$AJ$941,15),Sales!$AJ$2:$AJ$941,0)+1,"")</f>
        <v/>
      </c>
    </row>
    <row r="22" customFormat="false" ht="12" hidden="false" customHeight="true" outlineLevel="0" collapsed="false">
      <c r="B22" s="82" t="s">
        <v>305</v>
      </c>
    </row>
    <row r="23" customFormat="false" ht="12" hidden="false" customHeight="true" outlineLevel="0" collapsed="false">
      <c r="B23" s="83" t="s">
        <v>306</v>
      </c>
      <c r="D23" s="84" t="str">
        <f aca="false">IF(COUNT(D6:D20)=0,"",COUNT(D6:D20))</f>
        <v/>
      </c>
      <c r="E23" s="85" t="str">
        <f aca="false">IF(COUNT(E6:E20)=0,"",COUNT(E6:E20))</f>
        <v/>
      </c>
    </row>
    <row r="24" customFormat="false" ht="12" hidden="false" customHeight="true" outlineLevel="0" collapsed="false">
      <c r="B24" s="83" t="s">
        <v>307</v>
      </c>
      <c r="D24" s="84" t="str">
        <f aca="false">IF(COUNT(D6:D20)=0,"",MIN(D6:D20))</f>
        <v/>
      </c>
      <c r="E24" s="85" t="str">
        <f aca="false">IF(COUNT(E6:E20)=0,"",MIN(E6:E20))</f>
        <v/>
      </c>
    </row>
    <row r="25" customFormat="false" ht="12" hidden="false" customHeight="true" outlineLevel="0" collapsed="false">
      <c r="B25" s="83" t="s">
        <v>308</v>
      </c>
      <c r="D25" s="84" t="str">
        <f aca="false">IF(COUNT(D6:D20)=0,"",MAX(D6:D20))</f>
        <v/>
      </c>
      <c r="E25" s="85" t="str">
        <f aca="false">IF(COUNT(E6:E20)=0,"",MAX(E6:E20))</f>
        <v/>
      </c>
    </row>
    <row r="26" customFormat="false" ht="12" hidden="false" customHeight="true" outlineLevel="0" collapsed="false">
      <c r="B26" s="83" t="s">
        <v>309</v>
      </c>
      <c r="D26" s="84" t="str">
        <f aca="false">IF(COUNT(D6:D20)=0,"",MAX(D6:D20)-MIN(D6:D20))</f>
        <v/>
      </c>
      <c r="E26" s="85" t="str">
        <f aca="false">IF(COUNT(E6:E20)=0,"",MAX(E6:E20)-MIN(E6:E20))</f>
        <v/>
      </c>
    </row>
    <row r="27" customFormat="false" ht="12" hidden="false" customHeight="true" outlineLevel="0" collapsed="false">
      <c r="B27" s="83" t="s">
        <v>310</v>
      </c>
      <c r="D27" s="84" t="str">
        <f aca="false">IF(COUNT(D6:D20)=0,"",MEDIAN(D6:D20))</f>
        <v/>
      </c>
      <c r="E27" s="85" t="str">
        <f aca="false">IF(COUNT(E6:E20)=0,"",MEDIAN(E6:E20))</f>
        <v/>
      </c>
    </row>
    <row r="28" customFormat="false" ht="12" hidden="false" customHeight="true" outlineLevel="0" collapsed="false">
      <c r="B28" s="83" t="s">
        <v>279</v>
      </c>
      <c r="D28" s="84" t="str">
        <f aca="false">IF(COUNT(D6:D20)=0,"",AVERAGE(D6:D20))</f>
        <v/>
      </c>
      <c r="E28" s="85" t="str">
        <f aca="false">IF(COUNT(E6:E20)=0,"",AVERAGE(E6:E20))</f>
        <v/>
      </c>
    </row>
    <row r="29" customFormat="false" ht="12" hidden="false" customHeight="true" outlineLevel="0" collapsed="false">
      <c r="B29" s="83" t="s">
        <v>311</v>
      </c>
      <c r="D29" s="84" t="str">
        <f aca="false">IF(COUNT(D6:D20)&lt;2,"",STDEV(D6:D20))</f>
        <v/>
      </c>
      <c r="E29" s="85" t="str">
        <f aca="false">IF(COUNT(E6:E20)&lt;2,"",STDEV(E6:E20))</f>
        <v/>
      </c>
    </row>
    <row r="32" customFormat="false" ht="12.75" hidden="false" customHeight="true" outlineLevel="0" collapsed="false">
      <c r="B32" s="86" t="s">
        <v>312</v>
      </c>
      <c r="C32" s="74"/>
      <c r="D32" s="74"/>
      <c r="E32" s="74"/>
      <c r="F32" s="74"/>
      <c r="G32" s="74"/>
    </row>
    <row r="33" customFormat="false" ht="12" hidden="false" customHeight="true" outlineLevel="0" collapsed="false">
      <c r="B33" s="75" t="s">
        <v>298</v>
      </c>
      <c r="C33" s="75" t="s">
        <v>129</v>
      </c>
      <c r="D33" s="75" t="s">
        <v>38</v>
      </c>
      <c r="E33" s="75" t="s">
        <v>292</v>
      </c>
      <c r="F33" s="75" t="s">
        <v>293</v>
      </c>
      <c r="G33" s="75" t="s">
        <v>294</v>
      </c>
    </row>
    <row r="34" customFormat="false" ht="12" hidden="false" customHeight="true" outlineLevel="0" collapsed="false">
      <c r="B34" s="1" t="n">
        <f aca="false">IF($I34="","",1)</f>
        <v>1</v>
      </c>
      <c r="C34" s="1" t="str">
        <f aca="false">IF($I34="","",IFERROR(INDEX('Expense Database'!D:D,$I34),""))</f>
        <v>2780 N Tower Rd</v>
      </c>
      <c r="D34" s="1" t="str">
        <f aca="false">IF($I34="","",IFERROR(INDEX('Expense Database'!E:E,$I34),""))</f>
        <v>Aurora</v>
      </c>
      <c r="E34" s="76" t="n">
        <f aca="false">IF($I34="","",IFERROR(INDEX('Expense Database'!J:J,$I34),""))</f>
        <v>377729</v>
      </c>
      <c r="F34" s="77" t="n">
        <f aca="false">IF($I34="","",IFERROR(INDEX('Expense Database'!K:K,$I34),""))</f>
        <v>2023</v>
      </c>
      <c r="G34" s="78" t="n">
        <f aca="false">IF($I34="","",IFERROR(INDEX('PSF Summary'!AK:AK,$I34),""))</f>
        <v>7.811</v>
      </c>
      <c r="I34" s="1" t="n">
        <f aca="false">IFERROR(MATCH(_xlfn.AGGREGATE(15,6,'Expense Database'!$AO$4:$AO$197,1),'Expense Database'!$AO$4:$AO$197,0)+3,"")</f>
        <v>109</v>
      </c>
    </row>
    <row r="35" customFormat="false" ht="12" hidden="false" customHeight="true" outlineLevel="0" collapsed="false">
      <c r="B35" s="1" t="n">
        <f aca="false">IF($I35="","",2)</f>
        <v>2</v>
      </c>
      <c r="C35" s="1" t="str">
        <f aca="false">IF($I35="","",IFERROR(INDEX('Expense Database'!D:D,$I35),""))</f>
        <v>2780 N Tower Rd</v>
      </c>
      <c r="D35" s="1" t="str">
        <f aca="false">IF($I35="","",IFERROR(INDEX('Expense Database'!E:E,$I35),""))</f>
        <v>Aurora</v>
      </c>
      <c r="E35" s="76" t="n">
        <f aca="false">IF($I35="","",IFERROR(INDEX('Expense Database'!J:J,$I35),""))</f>
        <v>377729</v>
      </c>
      <c r="F35" s="77" t="n">
        <f aca="false">IF($I35="","",IFERROR(INDEX('Expense Database'!K:K,$I35),""))</f>
        <v>2024</v>
      </c>
      <c r="G35" s="78" t="n">
        <f aca="false">IF($I35="","",IFERROR(INDEX('PSF Summary'!AK:AK,$I35),""))</f>
        <v>7.9433</v>
      </c>
      <c r="I35" s="1" t="n">
        <f aca="false">IFERROR(MATCH(_xlfn.AGGREGATE(15,6,'Expense Database'!$AO$4:$AO$197,2),'Expense Database'!$AO$4:$AO$197,0)+3,"")</f>
        <v>110</v>
      </c>
    </row>
    <row r="36" customFormat="false" ht="12" hidden="false" customHeight="true" outlineLevel="0" collapsed="false">
      <c r="B36" s="1" t="n">
        <f aca="false">IF($I36="","",3)</f>
        <v>3</v>
      </c>
      <c r="C36" s="1" t="str">
        <f aca="false">IF($I36="","",IFERROR(INDEX('Expense Database'!D:D,$I36),""))</f>
        <v>2780 N Tower Rd</v>
      </c>
      <c r="D36" s="1" t="str">
        <f aca="false">IF($I36="","",IFERROR(INDEX('Expense Database'!E:E,$I36),""))</f>
        <v>Aurora</v>
      </c>
      <c r="E36" s="76" t="n">
        <f aca="false">IF($I36="","",IFERROR(INDEX('Expense Database'!J:J,$I36),""))</f>
        <v>384953</v>
      </c>
      <c r="F36" s="1" t="n">
        <f aca="false">IF($I36="","",IFERROR(INDEX('Expense Database'!K:K,$I36),""))</f>
        <v>2024</v>
      </c>
      <c r="G36" s="78" t="n">
        <f aca="false">IF($I36="","",IFERROR(INDEX('PSF Summary'!AK:AK,$I36),""))</f>
        <v>0</v>
      </c>
      <c r="I36" s="1" t="n">
        <f aca="false">IFERROR(MATCH(_xlfn.AGGREGATE(15,6,'Expense Database'!$AO$4:$AO$197,3),'Expense Database'!$AO$4:$AO$197,0)+3,"")</f>
        <v>39</v>
      </c>
    </row>
    <row r="37" customFormat="false" ht="12" hidden="false" customHeight="true" outlineLevel="0" collapsed="false">
      <c r="B37" s="1" t="n">
        <f aca="false">IF($I37="","",4)</f>
        <v>4</v>
      </c>
      <c r="C37" s="1" t="str">
        <f aca="false">IF($I37="","",IFERROR(INDEX('Expense Database'!D:D,$I37),""))</f>
        <v>20101 E 36th Ave</v>
      </c>
      <c r="D37" s="1" t="str">
        <f aca="false">IF($I37="","",IFERROR(INDEX('Expense Database'!E:E,$I37),""))</f>
        <v>Aurora</v>
      </c>
      <c r="E37" s="76" t="n">
        <f aca="false">IF($I37="","",IFERROR(INDEX('Expense Database'!J:J,$I37),""))</f>
        <v>278538</v>
      </c>
      <c r="F37" s="1" t="n">
        <f aca="false">IF($I37="","",IFERROR(INDEX('Expense Database'!K:K,$I37),""))</f>
        <v>2024</v>
      </c>
      <c r="G37" s="78" t="n">
        <f aca="false">IF($I37="","",IFERROR(INDEX('PSF Summary'!AK:AK,$I37),""))</f>
        <v>0</v>
      </c>
      <c r="I37" s="1" t="n">
        <f aca="false">IFERROR(MATCH(_xlfn.AGGREGATE(15,6,'Expense Database'!$AO$4:$AO$197,4),'Expense Database'!$AO$4:$AO$197,0)+3,"")</f>
        <v>125</v>
      </c>
    </row>
    <row r="38" customFormat="false" ht="12" hidden="false" customHeight="true" outlineLevel="0" collapsed="false">
      <c r="B38" s="1" t="n">
        <f aca="false">IF($I38="","",5)</f>
        <v>5</v>
      </c>
      <c r="C38" s="1" t="str">
        <f aca="false">IF($I38="","",IFERROR(INDEX('Expense Database'!D:D,$I38),""))</f>
        <v>(R0083935)</v>
      </c>
      <c r="D38" s="1" t="str">
        <f aca="false">IF($I38="","",IFERROR(INDEX('Expense Database'!E:E,$I38),""))</f>
        <v>Adams County</v>
      </c>
      <c r="E38" s="76" t="n">
        <f aca="false">IF($I38="","",IFERROR(INDEX('Expense Database'!J:J,$I38),""))</f>
        <v>277690</v>
      </c>
      <c r="F38" s="1" t="n">
        <f aca="false">IF($I38="","",IFERROR(INDEX('Expense Database'!K:K,$I38),""))</f>
        <v>2024</v>
      </c>
      <c r="G38" s="78" t="n">
        <f aca="false">IF($I38="","",IFERROR(INDEX('PSF Summary'!AK:AK,$I38),""))</f>
        <v>0</v>
      </c>
      <c r="I38" s="1" t="n">
        <f aca="false">IFERROR(MATCH(_xlfn.AGGREGATE(15,6,'Expense Database'!$AO$4:$AO$197,5),'Expense Database'!$AO$4:$AO$197,0)+3,"")</f>
        <v>182</v>
      </c>
    </row>
    <row r="39" customFormat="false" ht="12" hidden="false" customHeight="true" outlineLevel="0" collapsed="false">
      <c r="B39" s="1" t="str">
        <f aca="false">IF($I39="","",6)</f>
        <v/>
      </c>
      <c r="C39" s="1" t="str">
        <f aca="false">IF($I39="","",IFERROR(INDEX('Expense Database'!D:D,$I39),""))</f>
        <v/>
      </c>
      <c r="D39" s="1" t="str">
        <f aca="false">IF($I39="","",IFERROR(INDEX('Expense Database'!E:E,$I39),""))</f>
        <v/>
      </c>
      <c r="E39" s="76" t="str">
        <f aca="false">IF($I39="","",IFERROR(INDEX('Expense Database'!J:J,$I39),""))</f>
        <v/>
      </c>
      <c r="F39" s="1" t="str">
        <f aca="false">IF($I39="","",IFERROR(INDEX('Expense Database'!K:K,$I39),""))</f>
        <v/>
      </c>
      <c r="G39" s="78" t="str">
        <f aca="false">IF($I39="","",IFERROR(INDEX('PSF Summary'!AK:AK,$I39),""))</f>
        <v/>
      </c>
      <c r="I39" s="1" t="str">
        <f aca="false">IFERROR(MATCH(_xlfn.AGGREGATE(15,6,'Expense Database'!$AO$4:$AO$197,6),'Expense Database'!$AO$4:$AO$197,0)+3,"")</f>
        <v/>
      </c>
    </row>
    <row r="40" customFormat="false" ht="12" hidden="false" customHeight="true" outlineLevel="0" collapsed="false">
      <c r="B40" s="1" t="str">
        <f aca="false">IF($I40="","",7)</f>
        <v/>
      </c>
      <c r="C40" s="1" t="str">
        <f aca="false">IF($I40="","",IFERROR(INDEX('Expense Database'!D:D,$I40),""))</f>
        <v/>
      </c>
      <c r="D40" s="1" t="str">
        <f aca="false">IF($I40="","",IFERROR(INDEX('Expense Database'!E:E,$I40),""))</f>
        <v/>
      </c>
      <c r="E40" s="76" t="str">
        <f aca="false">IF($I40="","",IFERROR(INDEX('Expense Database'!J:J,$I40),""))</f>
        <v/>
      </c>
      <c r="F40" s="1" t="str">
        <f aca="false">IF($I40="","",IFERROR(INDEX('Expense Database'!K:K,$I40),""))</f>
        <v/>
      </c>
      <c r="G40" s="78" t="str">
        <f aca="false">IF($I40="","",IFERROR(INDEX('PSF Summary'!AK:AK,$I40),""))</f>
        <v/>
      </c>
      <c r="I40" s="1" t="str">
        <f aca="false">IFERROR(MATCH(_xlfn.AGGREGATE(15,6,'Expense Database'!$AO$4:$AO$197,7),'Expense Database'!$AO$4:$AO$197,0)+3,"")</f>
        <v/>
      </c>
    </row>
    <row r="41" customFormat="false" ht="12" hidden="false" customHeight="true" outlineLevel="0" collapsed="false">
      <c r="B41" s="1" t="str">
        <f aca="false">IF($I41="","",8)</f>
        <v/>
      </c>
      <c r="C41" s="1" t="str">
        <f aca="false">IF($I41="","",IFERROR(INDEX('Expense Database'!D:D,$I41),""))</f>
        <v/>
      </c>
      <c r="D41" s="1" t="str">
        <f aca="false">IF($I41="","",IFERROR(INDEX('Expense Database'!E:E,$I41),""))</f>
        <v/>
      </c>
      <c r="E41" s="76" t="str">
        <f aca="false">IF($I41="","",IFERROR(INDEX('Expense Database'!J:J,$I41),""))</f>
        <v/>
      </c>
      <c r="F41" s="1" t="str">
        <f aca="false">IF($I41="","",IFERROR(INDEX('Expense Database'!K:K,$I41),""))</f>
        <v/>
      </c>
      <c r="G41" s="78" t="str">
        <f aca="false">IF($I41="","",IFERROR(INDEX('PSF Summary'!AK:AK,$I41),""))</f>
        <v/>
      </c>
      <c r="I41" s="1" t="str">
        <f aca="false">IFERROR(MATCH(_xlfn.AGGREGATE(15,6,'Expense Database'!$AO$4:$AO$197,8),'Expense Database'!$AO$4:$AO$197,0)+3,"")</f>
        <v/>
      </c>
    </row>
    <row r="42" customFormat="false" ht="12" hidden="false" customHeight="true" outlineLevel="0" collapsed="false">
      <c r="B42" s="1" t="str">
        <f aca="false">IF($I42="","",9)</f>
        <v/>
      </c>
      <c r="C42" s="1" t="str">
        <f aca="false">IF($I42="","",IFERROR(INDEX('Expense Database'!D:D,$I42),""))</f>
        <v/>
      </c>
      <c r="D42" s="1" t="str">
        <f aca="false">IF($I42="","",IFERROR(INDEX('Expense Database'!E:E,$I42),""))</f>
        <v/>
      </c>
      <c r="E42" s="76" t="str">
        <f aca="false">IF($I42="","",IFERROR(INDEX('Expense Database'!J:J,$I42),""))</f>
        <v/>
      </c>
      <c r="F42" s="1" t="str">
        <f aca="false">IF($I42="","",IFERROR(INDEX('Expense Database'!K:K,$I42),""))</f>
        <v/>
      </c>
      <c r="G42" s="78" t="str">
        <f aca="false">IF($I42="","",IFERROR(INDEX('PSF Summary'!AK:AK,$I42),""))</f>
        <v/>
      </c>
      <c r="I42" s="1" t="str">
        <f aca="false">IFERROR(MATCH(_xlfn.AGGREGATE(15,6,'Expense Database'!$AO$4:$AO$197,9),'Expense Database'!$AO$4:$AO$197,0)+3,"")</f>
        <v/>
      </c>
    </row>
    <row r="43" customFormat="false" ht="12" hidden="false" customHeight="true" outlineLevel="0" collapsed="false">
      <c r="B43" s="1" t="str">
        <f aca="false">IF($I43="","",10)</f>
        <v/>
      </c>
      <c r="C43" s="1" t="str">
        <f aca="false">IF($I43="","",IFERROR(INDEX('Expense Database'!D:D,$I43),""))</f>
        <v/>
      </c>
      <c r="D43" s="1" t="str">
        <f aca="false">IF($I43="","",IFERROR(INDEX('Expense Database'!E:E,$I43),""))</f>
        <v/>
      </c>
      <c r="E43" s="76" t="str">
        <f aca="false">IF($I43="","",IFERROR(INDEX('Expense Database'!J:J,$I43),""))</f>
        <v/>
      </c>
      <c r="F43" s="1" t="str">
        <f aca="false">IF($I43="","",IFERROR(INDEX('Expense Database'!K:K,$I43),""))</f>
        <v/>
      </c>
      <c r="G43" s="78" t="str">
        <f aca="false">IF($I43="","",IFERROR(INDEX('PSF Summary'!AK:AK,$I43),""))</f>
        <v/>
      </c>
      <c r="I43" s="1" t="str">
        <f aca="false">IFERROR(MATCH(_xlfn.AGGREGATE(15,6,'Expense Database'!$AO$4:$AO$197,10),'Expense Database'!$AO$4:$AO$197,0)+3,"")</f>
        <v/>
      </c>
    </row>
    <row r="44" customFormat="false" ht="12" hidden="false" customHeight="true" outlineLevel="0" collapsed="false">
      <c r="B44" s="1" t="str">
        <f aca="false">IF($I44="","",11)</f>
        <v/>
      </c>
      <c r="C44" s="1" t="str">
        <f aca="false">IF($I44="","",IFERROR(INDEX('Expense Database'!D:D,$I44),""))</f>
        <v/>
      </c>
      <c r="D44" s="1" t="str">
        <f aca="false">IF($I44="","",IFERROR(INDEX('Expense Database'!E:E,$I44),""))</f>
        <v/>
      </c>
      <c r="E44" s="76" t="str">
        <f aca="false">IF($I44="","",IFERROR(INDEX('Expense Database'!J:J,$I44),""))</f>
        <v/>
      </c>
      <c r="F44" s="1" t="str">
        <f aca="false">IF($I44="","",IFERROR(INDEX('Expense Database'!K:K,$I44),""))</f>
        <v/>
      </c>
      <c r="G44" s="78" t="str">
        <f aca="false">IF($I44="","",IFERROR(INDEX('PSF Summary'!AK:AK,$I44),""))</f>
        <v/>
      </c>
      <c r="I44" s="1" t="str">
        <f aca="false">IFERROR(MATCH(_xlfn.AGGREGATE(15,6,'Expense Database'!$AO$4:$AO$197,11),'Expense Database'!$AO$4:$AO$197,0)+3,"")</f>
        <v/>
      </c>
    </row>
    <row r="45" customFormat="false" ht="12" hidden="false" customHeight="true" outlineLevel="0" collapsed="false">
      <c r="B45" s="1" t="str">
        <f aca="false">IF($I45="","",12)</f>
        <v/>
      </c>
      <c r="C45" s="1" t="str">
        <f aca="false">IF($I45="","",IFERROR(INDEX('Expense Database'!D:D,$I45),""))</f>
        <v/>
      </c>
      <c r="D45" s="1" t="str">
        <f aca="false">IF($I45="","",IFERROR(INDEX('Expense Database'!E:E,$I45),""))</f>
        <v/>
      </c>
      <c r="E45" s="76" t="str">
        <f aca="false">IF($I45="","",IFERROR(INDEX('Expense Database'!J:J,$I45),""))</f>
        <v/>
      </c>
      <c r="F45" s="1" t="str">
        <f aca="false">IF($I45="","",IFERROR(INDEX('Expense Database'!K:K,$I45),""))</f>
        <v/>
      </c>
      <c r="G45" s="78" t="str">
        <f aca="false">IF($I45="","",IFERROR(INDEX('PSF Summary'!AK:AK,$I45),""))</f>
        <v/>
      </c>
      <c r="I45" s="1" t="str">
        <f aca="false">IFERROR(MATCH(_xlfn.AGGREGATE(15,6,'Expense Database'!$AO$4:$AO$197,12),'Expense Database'!$AO$4:$AO$197,0)+3,"")</f>
        <v/>
      </c>
    </row>
    <row r="46" customFormat="false" ht="12" hidden="false" customHeight="true" outlineLevel="0" collapsed="false">
      <c r="B46" s="1" t="str">
        <f aca="false">IF($I46="","",13)</f>
        <v/>
      </c>
      <c r="C46" s="1" t="str">
        <f aca="false">IF($I46="","",IFERROR(INDEX('Expense Database'!D:D,$I46),""))</f>
        <v/>
      </c>
      <c r="D46" s="1" t="str">
        <f aca="false">IF($I46="","",IFERROR(INDEX('Expense Database'!E:E,$I46),""))</f>
        <v/>
      </c>
      <c r="E46" s="76" t="str">
        <f aca="false">IF($I46="","",IFERROR(INDEX('Expense Database'!J:J,$I46),""))</f>
        <v/>
      </c>
      <c r="F46" s="1" t="str">
        <f aca="false">IF($I46="","",IFERROR(INDEX('Expense Database'!K:K,$I46),""))</f>
        <v/>
      </c>
      <c r="G46" s="78" t="str">
        <f aca="false">IF($I46="","",IFERROR(INDEX('PSF Summary'!AK:AK,$I46),""))</f>
        <v/>
      </c>
      <c r="I46" s="1" t="str">
        <f aca="false">IFERROR(MATCH(_xlfn.AGGREGATE(15,6,'Expense Database'!$AO$4:$AO$197,13),'Expense Database'!$AO$4:$AO$197,0)+3,"")</f>
        <v/>
      </c>
    </row>
    <row r="47" customFormat="false" ht="12" hidden="false" customHeight="true" outlineLevel="0" collapsed="false">
      <c r="B47" s="1" t="str">
        <f aca="false">IF($I47="","",14)</f>
        <v/>
      </c>
      <c r="C47" s="1" t="str">
        <f aca="false">IF($I47="","",IFERROR(INDEX('Expense Database'!D:D,$I47),""))</f>
        <v/>
      </c>
      <c r="D47" s="1" t="str">
        <f aca="false">IF($I47="","",IFERROR(INDEX('Expense Database'!E:E,$I47),""))</f>
        <v/>
      </c>
      <c r="E47" s="76" t="str">
        <f aca="false">IF($I47="","",IFERROR(INDEX('Expense Database'!J:J,$I47),""))</f>
        <v/>
      </c>
      <c r="F47" s="1" t="str">
        <f aca="false">IF($I47="","",IFERROR(INDEX('Expense Database'!K:K,$I47),""))</f>
        <v/>
      </c>
      <c r="G47" s="78" t="str">
        <f aca="false">IF($I47="","",IFERROR(INDEX('PSF Summary'!AK:AK,$I47),""))</f>
        <v/>
      </c>
      <c r="I47" s="1" t="str">
        <f aca="false">IFERROR(MATCH(_xlfn.AGGREGATE(15,6,'Expense Database'!$AO$4:$AO$197,14),'Expense Database'!$AO$4:$AO$197,0)+3,"")</f>
        <v/>
      </c>
    </row>
    <row r="48" customFormat="false" ht="12" hidden="false" customHeight="true" outlineLevel="0" collapsed="false">
      <c r="B48" s="1" t="str">
        <f aca="false">IF($I48="","",15)</f>
        <v/>
      </c>
      <c r="C48" s="1" t="str">
        <f aca="false">IF($I48="","",IFERROR(INDEX('Expense Database'!D:D,$I48),""))</f>
        <v/>
      </c>
      <c r="D48" s="1" t="str">
        <f aca="false">IF($I48="","",IFERROR(INDEX('Expense Database'!E:E,$I48),""))</f>
        <v/>
      </c>
      <c r="E48" s="76" t="str">
        <f aca="false">IF($I48="","",IFERROR(INDEX('Expense Database'!J:J,$I48),""))</f>
        <v/>
      </c>
      <c r="F48" s="1" t="str">
        <f aca="false">IF($I48="","",IFERROR(INDEX('Expense Database'!K:K,$I48),""))</f>
        <v/>
      </c>
      <c r="G48" s="78" t="str">
        <f aca="false">IF($I48="","",IFERROR(INDEX('PSF Summary'!AK:AK,$I48),""))</f>
        <v/>
      </c>
      <c r="I48" s="1" t="str">
        <f aca="false">IFERROR(MATCH(_xlfn.AGGREGATE(15,6,'Expense Database'!$AO$4:$AO$197,15),'Expense Database'!$AO$4:$AO$197,0)+3,"")</f>
        <v/>
      </c>
    </row>
    <row r="50" customFormat="false" ht="12" hidden="false" customHeight="true" outlineLevel="0" collapsed="false">
      <c r="B50" s="82" t="s">
        <v>305</v>
      </c>
    </row>
    <row r="51" customFormat="false" ht="12" hidden="false" customHeight="true" outlineLevel="0" collapsed="false">
      <c r="B51" s="83" t="s">
        <v>306</v>
      </c>
      <c r="G51" s="85" t="n">
        <f aca="false">IF(COUNT(G34:G48)=0,"",COUNT(G34:G48))</f>
        <v>5</v>
      </c>
    </row>
    <row r="52" customFormat="false" ht="12" hidden="false" customHeight="true" outlineLevel="0" collapsed="false">
      <c r="B52" s="83" t="s">
        <v>307</v>
      </c>
      <c r="G52" s="85" t="n">
        <f aca="false">IF(COUNT(G34:G48)=0,"",MIN(G34:G48))</f>
        <v>0</v>
      </c>
    </row>
    <row r="53" customFormat="false" ht="12" hidden="false" customHeight="true" outlineLevel="0" collapsed="false">
      <c r="B53" s="83" t="s">
        <v>308</v>
      </c>
      <c r="G53" s="85" t="n">
        <f aca="false">IF(COUNT(G34:G48)=0,"",MAX(G34:G48))</f>
        <v>7.9433</v>
      </c>
    </row>
    <row r="54" customFormat="false" ht="12" hidden="false" customHeight="true" outlineLevel="0" collapsed="false">
      <c r="B54" s="83" t="s">
        <v>309</v>
      </c>
      <c r="G54" s="85" t="n">
        <f aca="false">IF(COUNT(G34:G48)=0,"",MAX(G34:G48)-MIN(G34:G48))</f>
        <v>7.9433</v>
      </c>
    </row>
    <row r="55" customFormat="false" ht="12" hidden="false" customHeight="true" outlineLevel="0" collapsed="false">
      <c r="B55" s="83" t="s">
        <v>310</v>
      </c>
      <c r="G55" s="85" t="n">
        <f aca="false">IF(COUNT(G34:G48)=0,"",MEDIAN(G34:G48))</f>
        <v>0</v>
      </c>
    </row>
    <row r="56" customFormat="false" ht="12" hidden="false" customHeight="true" outlineLevel="0" collapsed="false">
      <c r="B56" s="83" t="s">
        <v>279</v>
      </c>
      <c r="G56" s="85" t="n">
        <f aca="false">IF(COUNT(G34:G48)=0,"",AVERAGE(G34:G48))</f>
        <v>3.15086</v>
      </c>
    </row>
    <row r="57" customFormat="false" ht="12" hidden="false" customHeight="true" outlineLevel="0" collapsed="false">
      <c r="B57" s="83" t="s">
        <v>311</v>
      </c>
      <c r="G57" s="85" t="n">
        <f aca="false">IF(COUNT(G34:G48)&lt;2,"",STDEV(G34:G48))</f>
        <v>4.31474629010791</v>
      </c>
    </row>
  </sheetData>
  <mergeCells count="1">
    <mergeCell ref="B2:I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O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C21" activeCellId="0" sqref="C21"/>
    </sheetView>
  </sheetViews>
  <sheetFormatPr defaultColWidth="10.43359375" defaultRowHeight="14.25" zeroHeight="false" outlineLevelRow="0" outlineLevelCol="0"/>
  <cols>
    <col collapsed="false" customWidth="true" hidden="false" outlineLevel="0" max="1" min="1" style="87" width="18.29"/>
    <col collapsed="false" customWidth="true" hidden="false" outlineLevel="0" max="2" min="2" style="87" width="16"/>
    <col collapsed="false" customWidth="true" hidden="false" outlineLevel="0" max="3" min="3" style="87" width="34.14"/>
    <col collapsed="false" customWidth="false" hidden="false" outlineLevel="0" max="16384" min="4" style="87" width="10.43"/>
  </cols>
  <sheetData>
    <row r="1" customFormat="false" ht="24" hidden="false" customHeight="true" outlineLevel="0" collapsed="false">
      <c r="A1" s="88" t="s">
        <v>313</v>
      </c>
      <c r="B1" s="88"/>
      <c r="C1" s="88"/>
      <c r="D1" s="88"/>
      <c r="E1" s="88"/>
      <c r="F1" s="88"/>
      <c r="G1" s="88"/>
      <c r="H1" s="88"/>
      <c r="I1" s="88"/>
      <c r="J1" s="88"/>
      <c r="K1" s="88"/>
      <c r="L1" s="88"/>
      <c r="M1" s="88"/>
      <c r="N1" s="88"/>
      <c r="O1" s="88"/>
    </row>
    <row r="2" customFormat="false" ht="9" hidden="false" customHeight="true" outlineLevel="0" collapsed="false"/>
    <row r="3" customFormat="false" ht="60" hidden="false" customHeight="true" outlineLevel="0" collapsed="false">
      <c r="A3" s="89" t="s">
        <v>314</v>
      </c>
      <c r="B3" s="90"/>
      <c r="C3" s="90"/>
      <c r="D3" s="90"/>
      <c r="E3" s="90"/>
      <c r="F3" s="90"/>
      <c r="G3" s="90"/>
      <c r="H3" s="90"/>
      <c r="I3" s="90"/>
      <c r="J3" s="90"/>
      <c r="K3" s="90"/>
      <c r="L3" s="90"/>
      <c r="M3" s="90"/>
      <c r="N3" s="90"/>
      <c r="O3" s="90"/>
    </row>
    <row r="4" customFormat="false" ht="9" hidden="false" customHeight="true" outlineLevel="0" collapsed="false"/>
    <row r="5" customFormat="false" ht="40.5" hidden="false" customHeight="true" outlineLevel="0" collapsed="false">
      <c r="A5" s="91" t="s">
        <v>315</v>
      </c>
      <c r="B5" s="91"/>
      <c r="C5" s="91"/>
      <c r="D5" s="92"/>
      <c r="E5" s="92"/>
      <c r="F5" s="92"/>
      <c r="G5" s="92"/>
      <c r="H5" s="92"/>
      <c r="I5" s="92"/>
      <c r="J5" s="92"/>
      <c r="K5" s="92"/>
      <c r="L5" s="92"/>
      <c r="M5" s="92"/>
      <c r="N5" s="92"/>
      <c r="O5" s="92"/>
    </row>
    <row r="6" customFormat="false" ht="14.25" hidden="false" customHeight="true" outlineLevel="0" collapsed="false">
      <c r="A6" s="93"/>
      <c r="B6" s="93"/>
      <c r="C6" s="93"/>
      <c r="D6" s="93"/>
      <c r="E6" s="93"/>
      <c r="F6" s="93"/>
      <c r="G6" s="93"/>
      <c r="H6" s="93"/>
      <c r="I6" s="93"/>
      <c r="J6" s="93"/>
      <c r="K6" s="93"/>
      <c r="L6" s="93"/>
      <c r="M6" s="93"/>
      <c r="N6" s="93"/>
      <c r="O6" s="93"/>
    </row>
    <row r="7" customFormat="false" ht="15" hidden="false" customHeight="true" outlineLevel="0" collapsed="false">
      <c r="C7" s="94" t="s">
        <v>316</v>
      </c>
      <c r="D7" s="90"/>
      <c r="E7" s="90"/>
      <c r="F7" s="90"/>
      <c r="G7" s="90"/>
      <c r="H7" s="90"/>
      <c r="I7" s="90"/>
      <c r="J7" s="90"/>
      <c r="K7" s="90"/>
      <c r="L7" s="90"/>
      <c r="M7" s="90"/>
      <c r="N7" s="90"/>
      <c r="O7" s="90"/>
    </row>
    <row r="8" customFormat="false" ht="15.75" hidden="false" customHeight="true" outlineLevel="0" collapsed="false">
      <c r="A8" s="95" t="s">
        <v>6</v>
      </c>
      <c r="B8" s="96" t="n">
        <v>2025</v>
      </c>
    </row>
  </sheetData>
  <mergeCells count="1">
    <mergeCell ref="A5:C5"/>
  </mergeCell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3">
              <controlPr defaultSize="0" print="true" autoFill="0" autoPict="0" macro="Module6.WO_Unhide">
                <anchor moveWithCells="true" sizeWithCells="false">
                  <from>
                    <xdr:col>2</xdr:col>
                    <xdr:colOff>218880</xdr:colOff>
                    <xdr:row>8</xdr:row>
                    <xdr:rowOff>9360</xdr:rowOff>
                  </from>
                  <to>
                    <xdr:col>3</xdr:col>
                    <xdr:colOff>-419040</xdr:colOff>
                    <xdr:row>9</xdr:row>
                    <xdr:rowOff>28440</xdr:rowOff>
                  </to>
                </anchor>
              </controlPr>
            </control>
          </mc:Choice>
        </mc:AlternateContent>
        <mc:AlternateContent xmlns:mc="http://schemas.openxmlformats.org/markup-compatibility/2006">
          <mc:Choice Requires="x14">
            <control shapeId="1002" r:id="rId4" name="Button 4">
              <controlPr defaultSize="0" print="true" autoFill="0" autoPict="0" macro="Module6.Rent_Unhide">
                <anchor moveWithCells="true" sizeWithCells="false">
                  <from>
                    <xdr:col>2</xdr:col>
                    <xdr:colOff>218880</xdr:colOff>
                    <xdr:row>10</xdr:row>
                    <xdr:rowOff>47520</xdr:rowOff>
                  </from>
                  <to>
                    <xdr:col>3</xdr:col>
                    <xdr:colOff>-409680</xdr:colOff>
                    <xdr:row>11</xdr:row>
                    <xdr:rowOff>66600</xdr:rowOff>
                  </to>
                </anchor>
              </controlPr>
            </control>
          </mc:Choice>
        </mc:AlternateContent>
        <mc:AlternateContent xmlns:mc="http://schemas.openxmlformats.org/markup-compatibility/2006">
          <mc:Choice Requires="x14">
            <control shapeId="1003" r:id="rId5" name="Button 5">
              <controlPr defaultSize="0" print="true" autoFill="0" autoPict="0" macro="Module6.Appeal_Unhide">
                <anchor moveWithCells="true" sizeWithCells="false">
                  <from>
                    <xdr:col>2</xdr:col>
                    <xdr:colOff>218880</xdr:colOff>
                    <xdr:row>11</xdr:row>
                    <xdr:rowOff>76320</xdr:rowOff>
                  </from>
                  <to>
                    <xdr:col>3</xdr:col>
                    <xdr:colOff>-409680</xdr:colOff>
                    <xdr:row>12</xdr:row>
                    <xdr:rowOff>85680</xdr:rowOff>
                  </to>
                </anchor>
              </controlPr>
            </control>
          </mc:Choice>
        </mc:AlternateContent>
        <mc:AlternateContent xmlns:mc="http://schemas.openxmlformats.org/markup-compatibility/2006">
          <mc:Choice Requires="x14">
            <control shapeId="1004" r:id="rId6" name="Button 6">
              <controlPr defaultSize="0" print="true" autoFill="0" autoPict="0" macro="Module6.BOCC_Unhide">
                <anchor moveWithCells="true" sizeWithCells="false">
                  <from>
                    <xdr:col>2</xdr:col>
                    <xdr:colOff>218880</xdr:colOff>
                    <xdr:row>12</xdr:row>
                    <xdr:rowOff>85680</xdr:rowOff>
                  </from>
                  <to>
                    <xdr:col>3</xdr:col>
                    <xdr:colOff>-390600</xdr:colOff>
                    <xdr:row>13</xdr:row>
                    <xdr:rowOff>104760</xdr:rowOff>
                  </to>
                </anchor>
              </controlPr>
            </control>
          </mc:Choice>
        </mc:AlternateContent>
        <mc:AlternateContent xmlns:mc="http://schemas.openxmlformats.org/markup-compatibility/2006">
          <mc:Choice Requires="x14">
            <control shapeId="1005" r:id="rId7" name="Button 7">
              <controlPr defaultSize="0" print="true" autoFill="0" autoPict="0" macro="Module6.Mkt_Unhide">
                <anchor moveWithCells="true" sizeWithCells="false">
                  <from>
                    <xdr:col>2</xdr:col>
                    <xdr:colOff>218880</xdr:colOff>
                    <xdr:row>9</xdr:row>
                    <xdr:rowOff>28440</xdr:rowOff>
                  </from>
                  <to>
                    <xdr:col>3</xdr:col>
                    <xdr:colOff>-419040</xdr:colOff>
                    <xdr:row>10</xdr:row>
                    <xdr:rowOff>37800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Z5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N27" activeCellId="0" sqref="N27"/>
    </sheetView>
  </sheetViews>
  <sheetFormatPr defaultColWidth="11.00390625" defaultRowHeight="12" zeroHeight="false" outlineLevelRow="0" outlineLevelCol="0"/>
  <cols>
    <col collapsed="false" customWidth="true" hidden="false" outlineLevel="0" max="1" min="1" style="1" width="15.14"/>
    <col collapsed="false" customWidth="true" hidden="false" outlineLevel="0" max="2" min="2" style="1" width="30.71"/>
    <col collapsed="false" customWidth="true" hidden="false" outlineLevel="0" max="3" min="3" style="1" width="12.57"/>
    <col collapsed="false" customWidth="true" hidden="false" outlineLevel="0" max="4" min="4" style="1" width="14.86"/>
    <col collapsed="false" customWidth="true" hidden="false" outlineLevel="0" max="5" min="5" style="1" width="19.43"/>
    <col collapsed="false" customWidth="true" hidden="false" outlineLevel="0" max="6" min="6" style="1" width="15.14"/>
    <col collapsed="false" customWidth="true" hidden="false" outlineLevel="0" max="7" min="7" style="1" width="16"/>
    <col collapsed="false" customWidth="true" hidden="false" outlineLevel="0" max="8" min="8" style="1" width="18.29"/>
    <col collapsed="false" customWidth="true" hidden="true" outlineLevel="0" max="25" min="25" style="1" width="6.86"/>
    <col collapsed="false" customWidth="true" hidden="true" outlineLevel="0" max="26" min="26" style="1" width="14.86"/>
  </cols>
  <sheetData>
    <row r="1" customFormat="false" ht="23.25" hidden="false" customHeight="true" outlineLevel="0" collapsed="false">
      <c r="A1" s="97"/>
      <c r="E1" s="98" t="s">
        <v>317</v>
      </c>
    </row>
    <row r="2" customFormat="false" ht="24" hidden="false" customHeight="true" outlineLevel="0" collapsed="false">
      <c r="A2" s="88" t="s">
        <v>318</v>
      </c>
      <c r="B2" s="88"/>
      <c r="C2" s="88"/>
      <c r="D2" s="88"/>
      <c r="E2" s="88"/>
      <c r="F2" s="88"/>
      <c r="G2" s="88"/>
      <c r="H2" s="88"/>
    </row>
    <row r="3" customFormat="false" ht="15.75" hidden="false" customHeight="true" outlineLevel="0" collapsed="false">
      <c r="A3" s="99" t="str">
        <f aca="false">TEXT(Year,"0")&amp;" APPEALS"</f>
        <v>2025 APPEALS</v>
      </c>
      <c r="B3" s="99"/>
      <c r="C3" s="99"/>
      <c r="D3" s="99"/>
      <c r="E3" s="99"/>
      <c r="F3" s="99"/>
      <c r="G3" s="99"/>
      <c r="H3" s="99"/>
    </row>
    <row r="4" customFormat="false" ht="15.75" hidden="false" customHeight="true" outlineLevel="0" collapsed="false">
      <c r="A4" s="99" t="s">
        <v>319</v>
      </c>
      <c r="B4" s="100" t="s">
        <v>320</v>
      </c>
      <c r="C4" s="101"/>
      <c r="D4" s="99"/>
      <c r="E4" s="99"/>
      <c r="F4" s="99"/>
      <c r="G4" s="99"/>
      <c r="H4" s="99"/>
    </row>
    <row r="5" customFormat="false" ht="18" hidden="false" customHeight="true" outlineLevel="0" collapsed="false">
      <c r="A5" s="102"/>
      <c r="B5" s="83"/>
      <c r="C5" s="103"/>
    </row>
    <row r="6" customFormat="false" ht="6.75" hidden="false" customHeight="true" outlineLevel="0" collapsed="false"/>
    <row r="7" customFormat="false" ht="16.5" hidden="false" customHeight="true" outlineLevel="0" collapsed="false">
      <c r="A7" s="104" t="s">
        <v>321</v>
      </c>
      <c r="B7" s="105"/>
      <c r="C7" s="105"/>
      <c r="D7" s="105"/>
      <c r="E7" s="105"/>
      <c r="F7" s="105"/>
      <c r="G7" s="105"/>
      <c r="H7" s="106"/>
    </row>
    <row r="8" customFormat="false" ht="12" hidden="false" customHeight="true" outlineLevel="0" collapsed="false">
      <c r="A8" s="107"/>
      <c r="B8" s="108" t="s">
        <v>128</v>
      </c>
      <c r="C8" s="108" t="s">
        <v>322</v>
      </c>
      <c r="D8" s="108" t="s">
        <v>323</v>
      </c>
      <c r="E8" s="108" t="s">
        <v>68</v>
      </c>
      <c r="F8" s="108" t="s">
        <v>324</v>
      </c>
      <c r="G8" s="108" t="s">
        <v>325</v>
      </c>
      <c r="H8" s="108" t="s">
        <v>14</v>
      </c>
    </row>
    <row r="9" customFormat="false" ht="12" hidden="false" customHeight="true" outlineLevel="0" collapsed="false">
      <c r="A9" s="109"/>
      <c r="B9" s="108" t="s">
        <v>36</v>
      </c>
      <c r="C9" s="108" t="s">
        <v>326</v>
      </c>
      <c r="D9" s="108" t="s">
        <v>327</v>
      </c>
      <c r="E9" s="108" t="s">
        <v>328</v>
      </c>
      <c r="F9" s="108" t="s">
        <v>329</v>
      </c>
      <c r="G9" s="108" t="s">
        <v>102</v>
      </c>
      <c r="H9" s="108" t="s">
        <v>330</v>
      </c>
    </row>
    <row r="10" customFormat="false" ht="12" hidden="false" customHeight="true" outlineLevel="0" collapsed="false">
      <c r="A10" s="110"/>
      <c r="B10" s="108" t="s">
        <v>133</v>
      </c>
      <c r="C10" s="108" t="s">
        <v>302</v>
      </c>
      <c r="D10" s="108" t="s">
        <v>331</v>
      </c>
      <c r="E10" s="108" t="s">
        <v>72</v>
      </c>
      <c r="F10" s="108" t="s">
        <v>100</v>
      </c>
      <c r="G10" s="108" t="s">
        <v>104</v>
      </c>
      <c r="H10" s="108" t="s">
        <v>332</v>
      </c>
    </row>
    <row r="11" customFormat="false" ht="12" hidden="false" customHeight="true" outlineLevel="0" collapsed="false">
      <c r="A11" s="109"/>
      <c r="B11" s="111"/>
      <c r="C11" s="112"/>
      <c r="D11" s="113" t="n">
        <f aca="false">Subj_SiteSF</f>
        <v>869458</v>
      </c>
      <c r="E11" s="114" t="str">
        <f aca="false">Subj_Quality</f>
        <v>Average</v>
      </c>
      <c r="F11" s="115"/>
      <c r="G11" s="116"/>
      <c r="H11" s="115"/>
    </row>
    <row r="12" customFormat="false" ht="12" hidden="false" customHeight="true" outlineLevel="0" collapsed="false">
      <c r="A12" s="109"/>
      <c r="B12" s="117" t="str">
        <f aca="false">Subj_Address</f>
        <v>22600 Interstate 76</v>
      </c>
      <c r="C12" s="118" t="str">
        <f aca="false">Subj_Zoning</f>
        <v>PUD-Bri</v>
      </c>
      <c r="D12" s="119" t="str">
        <f aca="false">IF(AND(ISNUMBER(D11),ISNUMBER(Subj_TotalBldgSF),Subj_TotalBldgSF&lt;&gt;0),ROUND(D11/Subj_TotalBldgSF,1)&amp;":1","")</f>
        <v>2.5:1</v>
      </c>
      <c r="E12" s="114" t="str">
        <f aca="false">Subj_Condition</f>
        <v>Typical</v>
      </c>
      <c r="F12" s="120"/>
      <c r="G12" s="121"/>
      <c r="H12" s="122" t="n">
        <f aca="false">IF(D13=0,0,ROUND(H13/D13,2))</f>
        <v>0</v>
      </c>
    </row>
    <row r="13" customFormat="false" ht="12" hidden="false" customHeight="true" outlineLevel="0" collapsed="false">
      <c r="A13" s="123"/>
      <c r="B13" s="124" t="str">
        <f aca="false">IFERROR(INDEX(OCC_TABLE_DESC,MATCH(Subj_OccCode,OCC_TABLE_CODE,0)),"")</f>
        <v>Mega Warehouse</v>
      </c>
      <c r="C13" s="125" t="n">
        <f aca="false">Subj_YOC</f>
        <v>2020</v>
      </c>
      <c r="D13" s="113" t="n">
        <f aca="false">Subj_BldgSF</f>
        <v>352240</v>
      </c>
      <c r="E13" s="126"/>
      <c r="F13" s="120"/>
      <c r="G13" s="127"/>
      <c r="H13" s="127"/>
    </row>
    <row r="14" customFormat="false" ht="6" hidden="false" customHeight="true" outlineLevel="0" collapsed="false">
      <c r="C14" s="128"/>
      <c r="D14" s="128"/>
      <c r="F14" s="128"/>
      <c r="G14" s="128"/>
      <c r="H14" s="128"/>
    </row>
    <row r="15" customFormat="false" ht="6" hidden="false" customHeight="true" outlineLevel="0" collapsed="false">
      <c r="C15" s="128"/>
      <c r="D15" s="128"/>
      <c r="F15" s="128"/>
      <c r="G15" s="128"/>
      <c r="H15" s="128"/>
    </row>
    <row r="16" customFormat="false" ht="16.5" hidden="false" customHeight="true" outlineLevel="0" collapsed="false">
      <c r="A16" s="104" t="s">
        <v>333</v>
      </c>
      <c r="B16" s="105"/>
      <c r="C16" s="105"/>
      <c r="D16" s="105"/>
      <c r="E16" s="105"/>
      <c r="F16" s="105"/>
      <c r="G16" s="105"/>
      <c r="H16" s="106"/>
    </row>
    <row r="17" customFormat="false" ht="12" hidden="false" customHeight="true" outlineLevel="0" collapsed="false">
      <c r="A17" s="108"/>
      <c r="B17" s="108" t="s">
        <v>128</v>
      </c>
      <c r="C17" s="108" t="s">
        <v>322</v>
      </c>
      <c r="D17" s="108" t="s">
        <v>323</v>
      </c>
      <c r="E17" s="108" t="s">
        <v>68</v>
      </c>
      <c r="F17" s="108" t="s">
        <v>334</v>
      </c>
      <c r="G17" s="108" t="s">
        <v>335</v>
      </c>
      <c r="H17" s="108" t="s">
        <v>14</v>
      </c>
    </row>
    <row r="18" customFormat="false" ht="12" hidden="false" customHeight="true" outlineLevel="0" collapsed="false">
      <c r="A18" s="108"/>
      <c r="B18" s="108" t="s">
        <v>36</v>
      </c>
      <c r="C18" s="108" t="s">
        <v>326</v>
      </c>
      <c r="D18" s="108" t="s">
        <v>327</v>
      </c>
      <c r="E18" s="108" t="s">
        <v>328</v>
      </c>
      <c r="F18" s="108" t="s">
        <v>336</v>
      </c>
      <c r="G18" s="108" t="s">
        <v>337</v>
      </c>
      <c r="H18" s="108" t="s">
        <v>338</v>
      </c>
    </row>
    <row r="19" customFormat="false" ht="12" hidden="false" customHeight="true" outlineLevel="0" collapsed="false">
      <c r="A19" s="108" t="s">
        <v>339</v>
      </c>
      <c r="B19" s="108" t="s">
        <v>133</v>
      </c>
      <c r="C19" s="108" t="s">
        <v>302</v>
      </c>
      <c r="D19" s="108" t="s">
        <v>331</v>
      </c>
      <c r="E19" s="108" t="s">
        <v>72</v>
      </c>
      <c r="F19" s="108" t="s">
        <v>340</v>
      </c>
      <c r="G19" s="108" t="s">
        <v>341</v>
      </c>
      <c r="H19" s="108" t="str">
        <f aca="false">"Indicated Value of Subject ("&amp;Subj_Basis&amp;")"</f>
        <v>Indicated Value of Subject (Per SF)</v>
      </c>
    </row>
    <row r="20" customFormat="false" ht="12" hidden="false" customHeight="true" outlineLevel="0" collapsed="false">
      <c r="A20" s="100"/>
      <c r="B20" s="129" t="str">
        <f aca="false">IF(IFERROR(INDEX(Sales!C:C,$Z$20),"")="","",+" "&amp;IFERROR(INDEX(Sales!C:C,$Z$20),""))</f>
        <v/>
      </c>
      <c r="C20" s="130" t="str">
        <f aca="false">IF(IFERROR(INDEX(Sales!F:F,$Z$20),"")="","",IFERROR(INDEX(Sales!F:F,$Z$20),""))</f>
        <v/>
      </c>
      <c r="D20" s="131" t="str">
        <f aca="false">IF(IFERROR(INDEX(Sales!S:S,$Z$20),"")="","",IFERROR(INDEX(Sales!S:S,$Z$20),""))</f>
        <v/>
      </c>
      <c r="E20" s="132" t="str">
        <f aca="false">IF(IFERROR(INDEX(Sales!R:R,$Z$20),"")="","",IFERROR(VLOOKUP(IFERROR(INDEX(Sales!R:R,$Z$20),""),GRADE,2),IFERROR(INDEX(Sales!R:R,$Z$20),"")))</f>
        <v/>
      </c>
      <c r="F20" s="133" t="str">
        <f aca="false">IF(IFERROR(INDEX(Sales!I:I,$Z$20),"")="","",IFERROR(INDEX(Sales!I:I,$Z$20),""))</f>
        <v/>
      </c>
      <c r="G20" s="122" t="str">
        <f aca="false">IF(IFERROR(INDEX(Sales!H:H,$Z$20),"")="","",IFERROR(INDEX(Sales!H:H,$Z$20),""))</f>
        <v/>
      </c>
      <c r="H20" s="122" t="str">
        <f aca="false">IF(IFERROR(INDEX(Sales!AC:AC,$Z$20),"")="","",+IFERROR(INDEX(Sales!AC:AC,$Z$20),""))</f>
        <v/>
      </c>
      <c r="Y20" s="134" t="n">
        <v>1</v>
      </c>
      <c r="Z20" s="1" t="str">
        <f aca="false">IFERROR(MATCH(_xlfn.AGGREGATE(15,6,Sales!$AJ$2:$AJ$941,$Y$20),Sales!$AJ$2:$AJ$941,0)+1,"")</f>
        <v/>
      </c>
    </row>
    <row r="21" customFormat="false" ht="12" hidden="false" customHeight="true" outlineLevel="0" collapsed="false">
      <c r="A21" s="135" t="s">
        <v>342</v>
      </c>
      <c r="B21" s="129" t="str">
        <f aca="false">IF(IFERROR(INDEX(Sales!D:D,$Z$20),"")="","",+" "&amp;IFERROR(INDEX(Sales!D:D,$Z$20),""))</f>
        <v/>
      </c>
      <c r="C21" s="130" t="str">
        <f aca="false">IF(IFERROR(INDEX(Sales!P:P,$Z$20),"")="","",IFERROR(INDEX(Sales!P:P,$Z$20),""))</f>
        <v/>
      </c>
      <c r="D21" s="131" t="str">
        <f aca="false">IF(IFERROR(INDEX(Sales!T:T,$Z$20),"")="","",IFERROR(INDEX(Sales!T:T,$Z$20),""))</f>
        <v/>
      </c>
      <c r="E21" s="132" t="str">
        <f aca="false">IF(IFERROR(INDEX(Sales!U:U,$Z$20),"")="","",IFERROR(VLOOKUP(IFERROR(INDEX(Sales!U:U,$Z$20),""),Codes!$A$12:$B$16,2),IFERROR(INDEX(Sales!U:U,$Z$20),"")))</f>
        <v/>
      </c>
      <c r="F21" s="136" t="str">
        <f aca="false">IF(IFERROR(INDEX(Sales!Y:Y,$Z$20),"")="","",IFERROR(INDEX(Sales!Y:Y,$Z$20),""))</f>
        <v/>
      </c>
      <c r="G21" s="137"/>
      <c r="H21" s="122" t="str">
        <f aca="false">IF(IFERROR(INDEX(Sales!AB:AB,$Z$20),"")="","",IFERROR(INDEX(Sales!AB:AB,$Z$20),""))</f>
        <v/>
      </c>
    </row>
    <row r="22" customFormat="false" ht="12" hidden="false" customHeight="true" outlineLevel="0" collapsed="false">
      <c r="A22" s="100"/>
      <c r="B22" s="129" t="str">
        <f aca="false">IF(IFERROR(INDEX(Sales!E:E,$Z$20),"")="","",+" "&amp;IFERROR(VLOOKUP(IFERROR(INDEX(Sales!E:E,$Z$20),""),Class,2),IFERROR(INDEX(Sales!E:E,$Z$20),"")))</f>
        <v/>
      </c>
      <c r="C22" s="130" t="str">
        <f aca="false">IF(IFERROR(INDEX(Sales!M:M,$Z$20),"")="","",IFERROR(INDEX(Sales!M:M,$Z$20),""))</f>
        <v/>
      </c>
      <c r="D22" s="131" t="str">
        <f aca="false">IF(IFERROR(INDEX(Sales!L:L,$Z$20),"")="","",IFERROR(INDEX(Sales!L:L,$Z$20),""))</f>
        <v/>
      </c>
      <c r="E22" s="132" t="str">
        <f aca="false">IF(IFERROR(INDEX(Sales!V:V,$Z$20),"")="","",IFERROR(VLOOKUP(IFERROR(INDEX(Sales!V:V,$Z$20),""),Codes!$A$1:$B$5,2),IFERROR(INDEX(Sales!V:V,$Z$20),"")))</f>
        <v/>
      </c>
      <c r="F22" s="136" t="str">
        <f aca="false">IF(IFERROR(INDEX(Sales!AA:AA,$Z$20),"")="","",IFERROR(INDEX(Sales!AA:AA,$Z$20),""))</f>
        <v/>
      </c>
      <c r="G22" s="138" t="str">
        <f aca="false">IF(G20="","",ROUND(G20*(1+G21),2))</f>
        <v/>
      </c>
      <c r="H22" s="139" t="str">
        <f aca="false">IF(G22="","",IF(Subj_Basis="Per SF",ROUND(G22*$D$13,-2),IFERROR(ROUND(INDEX(Sales!$AK:$AK,$Z$20)*(1+N(G21))*Subj_Units1,-2),ROUND(G22*$D$13,-2))))</f>
        <v/>
      </c>
    </row>
    <row r="23" customFormat="false" ht="12" hidden="false" customHeight="true" outlineLevel="0" collapsed="false">
      <c r="A23" s="100"/>
      <c r="B23" s="140" t="str">
        <f aca="false">IF(IFERROR(INDEX(Sales!C:C,$Z$23),"")="","",+" "&amp;IFERROR(INDEX(Sales!C:C,$Z$23),""))</f>
        <v/>
      </c>
      <c r="C23" s="141" t="str">
        <f aca="false">IF(IFERROR(INDEX(Sales!F:F,$Z$23),"")="","",IFERROR(INDEX(Sales!F:F,$Z$23),""))</f>
        <v/>
      </c>
      <c r="D23" s="142" t="str">
        <f aca="false">IF(IFERROR(INDEX(Sales!S:S,$Z$23),"")="","",IFERROR(INDEX(Sales!S:S,$Z$23),""))</f>
        <v/>
      </c>
      <c r="E23" s="143" t="str">
        <f aca="false">IF(IFERROR(INDEX(Sales!R:R,$Z$23),"")="","",IFERROR(VLOOKUP(IFERROR(INDEX(Sales!R:R,$Z$23),""),GRADE,2),IFERROR(INDEX(Sales!R:R,$Z$23),"")))</f>
        <v/>
      </c>
      <c r="F23" s="144" t="str">
        <f aca="false">IF(IFERROR(INDEX(Sales!I:I,$Z$23),"")="","",IFERROR(INDEX(Sales!I:I,$Z$23),""))</f>
        <v/>
      </c>
      <c r="G23" s="145" t="str">
        <f aca="false">IF(IFERROR(INDEX(Sales!H:H,$Z$23),"")="","",IFERROR(INDEX(Sales!H:H,$Z$23),""))</f>
        <v/>
      </c>
      <c r="H23" s="145" t="str">
        <f aca="false">IF(IFERROR(INDEX(Sales!AC:AC,$Z$23),"")="","",+IFERROR(INDEX(Sales!AC:AC,$Z$23),""))</f>
        <v/>
      </c>
      <c r="Y23" s="134" t="n">
        <v>2</v>
      </c>
      <c r="Z23" s="1" t="str">
        <f aca="false">IFERROR(MATCH(_xlfn.AGGREGATE(15,6,Sales!$AJ$2:$AJ$941,$Y$23),Sales!$AJ$2:$AJ$941,0)+1,"")</f>
        <v/>
      </c>
    </row>
    <row r="24" customFormat="false" ht="12" hidden="false" customHeight="true" outlineLevel="0" collapsed="false">
      <c r="A24" s="135" t="s">
        <v>343</v>
      </c>
      <c r="B24" s="140" t="str">
        <f aca="false">IF(IFERROR(INDEX(Sales!D:D,$Z$23),"")="","",+" "&amp;IFERROR(INDEX(Sales!D:D,$Z$23),""))</f>
        <v/>
      </c>
      <c r="C24" s="141" t="str">
        <f aca="false">IF(IFERROR(INDEX(Sales!P:P,$Z$23),"")="","",IFERROR(INDEX(Sales!P:P,$Z$23),""))</f>
        <v/>
      </c>
      <c r="D24" s="142" t="str">
        <f aca="false">IF(IFERROR(INDEX(Sales!T:T,$Z$23),"")="","",IFERROR(INDEX(Sales!T:T,$Z$23),""))</f>
        <v/>
      </c>
      <c r="E24" s="143" t="str">
        <f aca="false">IF(IFERROR(INDEX(Sales!U:U,$Z$23),"")="","",IFERROR(VLOOKUP(IFERROR(INDEX(Sales!U:U,$Z$23),""),Codes!$A$12:$B$16,2),IFERROR(INDEX(Sales!U:U,$Z$23),"")))</f>
        <v/>
      </c>
      <c r="F24" s="146" t="str">
        <f aca="false">IF(IFERROR(INDEX(Sales!Y:Y,$Z$23),"")="","",IFERROR(INDEX(Sales!Y:Y,$Z$23),""))</f>
        <v/>
      </c>
      <c r="G24" s="137"/>
      <c r="H24" s="145" t="str">
        <f aca="false">IF(IFERROR(INDEX(Sales!AB:AB,$Z$23),"")="","",IFERROR(INDEX(Sales!AB:AB,$Z$23),""))</f>
        <v/>
      </c>
    </row>
    <row r="25" customFormat="false" ht="12" hidden="false" customHeight="true" outlineLevel="0" collapsed="false">
      <c r="A25" s="100"/>
      <c r="B25" s="140" t="str">
        <f aca="false">IF(IFERROR(INDEX(Sales!E:E,$Z$23),"")="","",+" "&amp;IFERROR(VLOOKUP(IFERROR(INDEX(Sales!E:E,$Z$23),""),Class,2),IFERROR(INDEX(Sales!E:E,$Z$23),"")))</f>
        <v/>
      </c>
      <c r="C25" s="141" t="str">
        <f aca="false">IF(IFERROR(INDEX(Sales!M:M,$Z$23),"")="","",IFERROR(INDEX(Sales!M:M,$Z$23),""))</f>
        <v/>
      </c>
      <c r="D25" s="142" t="str">
        <f aca="false">IF(IFERROR(INDEX(Sales!L:L,$Z$23),"")="","",IFERROR(INDEX(Sales!L:L,$Z$23),""))</f>
        <v/>
      </c>
      <c r="E25" s="143" t="str">
        <f aca="false">IF(IFERROR(INDEX(Sales!V:V,$Z$23),"")="","",IFERROR(VLOOKUP(IFERROR(INDEX(Sales!V:V,$Z$23),""),Codes!$A$1:$B$5,2),IFERROR(INDEX(Sales!V:V,$Z$23),"")))</f>
        <v/>
      </c>
      <c r="F25" s="146" t="str">
        <f aca="false">IF(IFERROR(INDEX(Sales!AA:AA,$Z$23),"")="","",IFERROR(INDEX(Sales!AA:AA,$Z$23),""))</f>
        <v/>
      </c>
      <c r="G25" s="138" t="str">
        <f aca="false">IF(G23="","",ROUND(G23*(1+G24),2))</f>
        <v/>
      </c>
      <c r="H25" s="139" t="str">
        <f aca="false">IF(G25="","",IF(Subj_Basis="Per SF",ROUND(G25*$D$13,-2),IFERROR(ROUND(INDEX(Sales!$AK:$AK,$Z$23)*(1+N(G24))*Subj_Units1,-2),ROUND(G25*$D$13,-2))))</f>
        <v/>
      </c>
    </row>
    <row r="26" customFormat="false" ht="12" hidden="false" customHeight="true" outlineLevel="0" collapsed="false">
      <c r="A26" s="100"/>
      <c r="B26" s="129" t="str">
        <f aca="false">IF(IFERROR(INDEX(Sales!C:C,$Z$26),"")="","",+" "&amp;IFERROR(INDEX(Sales!C:C,$Z$26),""))</f>
        <v/>
      </c>
      <c r="C26" s="130" t="str">
        <f aca="false">IF(IFERROR(INDEX(Sales!F:F,$Z$26),"")="","",IFERROR(INDEX(Sales!F:F,$Z$26),""))</f>
        <v/>
      </c>
      <c r="D26" s="131" t="str">
        <f aca="false">IF(IFERROR(INDEX(Sales!S:S,$Z$26),"")="","",IFERROR(INDEX(Sales!S:S,$Z$26),""))</f>
        <v/>
      </c>
      <c r="E26" s="132" t="str">
        <f aca="false">IF(IFERROR(INDEX(Sales!R:R,$Z$26),"")="","",IFERROR(VLOOKUP(IFERROR(INDEX(Sales!R:R,$Z$26),""),GRADE,2),IFERROR(INDEX(Sales!R:R,$Z$26),"")))</f>
        <v/>
      </c>
      <c r="F26" s="133" t="str">
        <f aca="false">IF(IFERROR(INDEX(Sales!I:I,$Z$26),"")="","",IFERROR(INDEX(Sales!I:I,$Z$26),""))</f>
        <v/>
      </c>
      <c r="G26" s="122" t="str">
        <f aca="false">IF(IFERROR(INDEX(Sales!H:H,$Z$26),"")="","",IFERROR(INDEX(Sales!H:H,$Z$26),""))</f>
        <v/>
      </c>
      <c r="H26" s="122" t="str">
        <f aca="false">IF(IFERROR(INDEX(Sales!AC:AC,$Z$26),"")="","",+IFERROR(INDEX(Sales!AC:AC,$Z$26),""))</f>
        <v/>
      </c>
      <c r="Y26" s="134" t="n">
        <v>3</v>
      </c>
      <c r="Z26" s="1" t="str">
        <f aca="false">IFERROR(MATCH(_xlfn.AGGREGATE(15,6,Sales!$AJ$2:$AJ$941,$Y$26),Sales!$AJ$2:$AJ$941,0)+1,"")</f>
        <v/>
      </c>
    </row>
    <row r="27" customFormat="false" ht="12" hidden="false" customHeight="true" outlineLevel="0" collapsed="false">
      <c r="A27" s="135" t="s">
        <v>344</v>
      </c>
      <c r="B27" s="129" t="str">
        <f aca="false">IF(IFERROR(INDEX(Sales!D:D,$Z$26),"")="","",+" "&amp;IFERROR(INDEX(Sales!D:D,$Z$26),""))</f>
        <v/>
      </c>
      <c r="C27" s="130" t="str">
        <f aca="false">IF(IFERROR(INDEX(Sales!P:P,$Z$26),"")="","",IFERROR(INDEX(Sales!P:P,$Z$26),""))</f>
        <v/>
      </c>
      <c r="D27" s="131" t="str">
        <f aca="false">IF(IFERROR(INDEX(Sales!T:T,$Z$26),"")="","",IFERROR(INDEX(Sales!T:T,$Z$26),""))</f>
        <v/>
      </c>
      <c r="E27" s="132" t="str">
        <f aca="false">IF(IFERROR(INDEX(Sales!U:U,$Z$26),"")="","",IFERROR(VLOOKUP(IFERROR(INDEX(Sales!U:U,$Z$26),""),Codes!$A$12:$B$16,2),IFERROR(INDEX(Sales!U:U,$Z$26),"")))</f>
        <v/>
      </c>
      <c r="F27" s="136" t="str">
        <f aca="false">IF(IFERROR(INDEX(Sales!Y:Y,$Z$26),"")="","",IFERROR(INDEX(Sales!Y:Y,$Z$26),""))</f>
        <v/>
      </c>
      <c r="G27" s="137"/>
      <c r="H27" s="122" t="str">
        <f aca="false">IF(IFERROR(INDEX(Sales!AB:AB,$Z$26),"")="","",IFERROR(INDEX(Sales!AB:AB,$Z$26),""))</f>
        <v/>
      </c>
    </row>
    <row r="28" customFormat="false" ht="12" hidden="false" customHeight="true" outlineLevel="0" collapsed="false">
      <c r="A28" s="100"/>
      <c r="B28" s="129" t="str">
        <f aca="false">IF(IFERROR(INDEX(Sales!E:E,$Z$26),"")="","",+" "&amp;IFERROR(VLOOKUP(IFERROR(INDEX(Sales!E:E,$Z$26),""),Class,2),IFERROR(INDEX(Sales!E:E,$Z$26),"")))</f>
        <v/>
      </c>
      <c r="C28" s="130" t="str">
        <f aca="false">IF(IFERROR(INDEX(Sales!M:M,$Z$26),"")="","",IFERROR(INDEX(Sales!M:M,$Z$26),""))</f>
        <v/>
      </c>
      <c r="D28" s="131" t="str">
        <f aca="false">IF(IFERROR(INDEX(Sales!L:L,$Z$26),"")="","",IFERROR(INDEX(Sales!L:L,$Z$26),""))</f>
        <v/>
      </c>
      <c r="E28" s="132" t="str">
        <f aca="false">IF(IFERROR(INDEX(Sales!V:V,$Z$26),"")="","",IFERROR(VLOOKUP(IFERROR(INDEX(Sales!V:V,$Z$26),""),Codes!$A$1:$B$5,2),IFERROR(INDEX(Sales!V:V,$Z$26),"")))</f>
        <v/>
      </c>
      <c r="F28" s="136" t="str">
        <f aca="false">IF(IFERROR(INDEX(Sales!AA:AA,$Z$26),"")="","",IFERROR(INDEX(Sales!AA:AA,$Z$26),""))</f>
        <v/>
      </c>
      <c r="G28" s="138" t="str">
        <f aca="false">IF(G26="","",ROUND(G26*(1+G27),2))</f>
        <v/>
      </c>
      <c r="H28" s="139" t="str">
        <f aca="false">IF(G28="","",IF(Subj_Basis="Per SF",ROUND(G28*$D$13,-2),IFERROR(ROUND(INDEX(Sales!$AK:$AK,$Z$26)*(1+N(G27))*Subj_Units1,-2),ROUND(G28*$D$13,-2))))</f>
        <v/>
      </c>
    </row>
    <row r="29" customFormat="false" ht="9.75" hidden="false" customHeight="true" outlineLevel="0" collapsed="false"/>
    <row r="30" customFormat="false" ht="16.5" hidden="false" customHeight="true" outlineLevel="0" collapsed="false">
      <c r="A30" s="147" t="s">
        <v>345</v>
      </c>
      <c r="B30" s="148"/>
      <c r="C30" s="148"/>
      <c r="D30" s="148"/>
      <c r="E30" s="148"/>
      <c r="F30" s="148"/>
      <c r="G30" s="148"/>
      <c r="H30" s="149"/>
    </row>
    <row r="31" customFormat="false" ht="12" hidden="false" customHeight="true" outlineLevel="0" collapsed="false">
      <c r="A31" s="150"/>
      <c r="B31" s="150"/>
      <c r="C31" s="150"/>
      <c r="D31" s="150"/>
      <c r="E31" s="150"/>
      <c r="F31" s="150"/>
      <c r="G31" s="150"/>
      <c r="H31" s="150"/>
    </row>
    <row r="32" customFormat="false" ht="12" hidden="false" customHeight="true" outlineLevel="0" collapsed="false">
      <c r="A32" s="150"/>
      <c r="B32" s="150"/>
      <c r="C32" s="150"/>
      <c r="D32" s="150"/>
      <c r="E32" s="150"/>
      <c r="F32" s="150"/>
      <c r="G32" s="150"/>
      <c r="H32" s="150"/>
    </row>
    <row r="33" customFormat="false" ht="12" hidden="false" customHeight="true" outlineLevel="0" collapsed="false">
      <c r="A33" s="150"/>
      <c r="B33" s="150"/>
      <c r="C33" s="150"/>
      <c r="D33" s="150"/>
      <c r="E33" s="150"/>
      <c r="F33" s="150"/>
      <c r="G33" s="150"/>
      <c r="H33" s="150"/>
    </row>
    <row r="34" customFormat="false" ht="12" hidden="false" customHeight="true" outlineLevel="0" collapsed="false">
      <c r="A34" s="150"/>
      <c r="B34" s="150"/>
      <c r="C34" s="150"/>
      <c r="D34" s="150"/>
      <c r="E34" s="150"/>
      <c r="F34" s="150"/>
      <c r="G34" s="150"/>
      <c r="H34" s="150"/>
    </row>
    <row r="35" customFormat="false" ht="12" hidden="false" customHeight="true" outlineLevel="0" collapsed="false"/>
    <row r="36" customFormat="false" ht="16.5" hidden="false" customHeight="true" outlineLevel="0" collapsed="false">
      <c r="A36" s="104" t="s">
        <v>346</v>
      </c>
      <c r="B36" s="105"/>
      <c r="C36" s="105"/>
      <c r="D36" s="105"/>
      <c r="E36" s="105"/>
      <c r="F36" s="105"/>
      <c r="G36" s="149"/>
      <c r="H36" s="151"/>
    </row>
    <row r="37" customFormat="false" ht="12" hidden="false" customHeight="true" outlineLevel="0" collapsed="false">
      <c r="A37" s="108"/>
      <c r="B37" s="108" t="s">
        <v>347</v>
      </c>
      <c r="C37" s="108" t="s">
        <v>322</v>
      </c>
      <c r="D37" s="108" t="s">
        <v>323</v>
      </c>
      <c r="E37" s="108" t="s">
        <v>68</v>
      </c>
      <c r="F37" s="108" t="str">
        <f aca="false">"Rent / "&amp;IF(Subj_Basis="Per Unit","Unit",IF(Subj_Basis="Per Key","Key","Sq Ft"))</f>
        <v>Rent / Sq Ft</v>
      </c>
      <c r="G37" s="108"/>
      <c r="H37" s="108"/>
    </row>
    <row r="38" customFormat="false" ht="12" hidden="false" customHeight="true" outlineLevel="0" collapsed="false">
      <c r="A38" s="108"/>
      <c r="B38" s="108" t="s">
        <v>348</v>
      </c>
      <c r="C38" s="108" t="s">
        <v>326</v>
      </c>
      <c r="D38" s="108" t="s">
        <v>327</v>
      </c>
      <c r="E38" s="108"/>
      <c r="F38" s="108" t="s">
        <v>329</v>
      </c>
      <c r="G38" s="108" t="s">
        <v>349</v>
      </c>
      <c r="H38" s="108"/>
    </row>
    <row r="39" customFormat="false" ht="12" hidden="false" customHeight="true" outlineLevel="0" collapsed="false">
      <c r="A39" s="108" t="s">
        <v>339</v>
      </c>
      <c r="B39" s="108" t="s">
        <v>350</v>
      </c>
      <c r="C39" s="108" t="s">
        <v>302</v>
      </c>
      <c r="D39" s="108" t="s">
        <v>331</v>
      </c>
      <c r="E39" s="108"/>
      <c r="F39" s="108" t="s">
        <v>100</v>
      </c>
      <c r="G39" s="108" t="s">
        <v>351</v>
      </c>
      <c r="H39" s="108"/>
    </row>
    <row r="40" customFormat="false" ht="12" hidden="false" customHeight="true" outlineLevel="0" collapsed="false">
      <c r="A40" s="100"/>
      <c r="B40" s="129" t="str">
        <f aca="false">IF(Income!E2="","",+Income!E2)</f>
        <v/>
      </c>
      <c r="C40" s="130" t="str">
        <f aca="false">IF(Income!H2="","",IF(Income!H2&gt;9100,+Income!H2,+"            "&amp;Income!H2))</f>
        <v/>
      </c>
      <c r="D40" s="131" t="str">
        <f aca="false">IF(Income!W2="","",Income!W2)</f>
        <v/>
      </c>
      <c r="E40" s="132" t="str">
        <f aca="false">IF(Income!Z2="","",VLOOKUP(LEFT(Income!Z2,1),GRADE,2))</f>
        <v/>
      </c>
      <c r="F40" s="122" t="str">
        <f aca="false">IF(Subj_Basis="Per SF",IF(Income!K2="","",Income!K2),IF(N(Income!AL2)&gt;0,Income!AL2,IF(Income!K2="","",Income!K2)))</f>
        <v/>
      </c>
      <c r="G40" s="116"/>
      <c r="H40" s="100"/>
    </row>
    <row r="41" customFormat="false" ht="12" hidden="false" customHeight="true" outlineLevel="0" collapsed="false">
      <c r="A41" s="135" t="s">
        <v>352</v>
      </c>
      <c r="B41" s="129" t="str">
        <f aca="false">IF(Income!H2="","",+" "&amp;VLOOKUP(Income!H2,Codes!$G$1:$H$68,2))</f>
        <v/>
      </c>
      <c r="C41" s="130" t="str">
        <f aca="false">IF(Income!T2="","",Income!T2)</f>
        <v/>
      </c>
      <c r="D41" s="152" t="str">
        <f aca="false">IF(Income!X2="","",TEXT(Income!X2,"0.00"))</f>
        <v/>
      </c>
      <c r="E41" s="153"/>
      <c r="F41" s="154" t="str">
        <f aca="false">IF(Income!L2="","",Income!L2)</f>
        <v/>
      </c>
      <c r="G41" s="137"/>
      <c r="H41" s="100"/>
    </row>
    <row r="42" customFormat="false" ht="12" hidden="false" customHeight="true" outlineLevel="0" collapsed="false">
      <c r="A42" s="100"/>
      <c r="B42" s="129" t="str">
        <f aca="false">IF(Income!G2="","",+" "&amp;VLOOKUP(Income!G2,Class,2))</f>
        <v/>
      </c>
      <c r="C42" s="130" t="str">
        <f aca="false">IF(Income!N2="","",Income!N2)</f>
        <v/>
      </c>
      <c r="D42" s="131" t="str">
        <f aca="false">IF(Income!Y2="","",Income!Y2)</f>
        <v/>
      </c>
      <c r="E42" s="153"/>
      <c r="F42" s="154" t="str">
        <f aca="false">IF(Income!M2="","",Income!M2)</f>
        <v/>
      </c>
      <c r="G42" s="138" t="str">
        <f aca="false">IF(F40="","",ROUND(F40*(1+G41),2))</f>
        <v/>
      </c>
      <c r="H42" s="100"/>
    </row>
    <row r="43" customFormat="false" ht="12" hidden="false" customHeight="true" outlineLevel="0" collapsed="false">
      <c r="A43" s="100"/>
      <c r="B43" s="140" t="str">
        <f aca="false">IF(Income!E3="","",+Income!E3)</f>
        <v/>
      </c>
      <c r="C43" s="141" t="str">
        <f aca="false">IF(Income!H3="","",IF(Income!H3&gt;9100,+Income!H3,+"            "&amp;Income!H3))</f>
        <v/>
      </c>
      <c r="D43" s="142" t="str">
        <f aca="false">IF(Income!W3="","",Income!W3)</f>
        <v/>
      </c>
      <c r="E43" s="143" t="str">
        <f aca="false">IF(Income!Z3="","",VLOOKUP(LEFT(Income!Z3,1),GRADE,2))</f>
        <v/>
      </c>
      <c r="F43" s="145" t="str">
        <f aca="false">IF(Subj_Basis="Per SF",IF(Income!K3="","",Income!K3),IF(N(Income!AL3)&gt;0,Income!AL3,IF(Income!K3="","",Income!K3)))</f>
        <v/>
      </c>
      <c r="G43" s="116"/>
      <c r="H43" s="100"/>
    </row>
    <row r="44" customFormat="false" ht="12" hidden="false" customHeight="true" outlineLevel="0" collapsed="false">
      <c r="A44" s="135" t="s">
        <v>353</v>
      </c>
      <c r="B44" s="140" t="str">
        <f aca="false">IF(Income!H3="","",+" "&amp;VLOOKUP(Income!H3,Codes!$G$1:$H$68,2))</f>
        <v/>
      </c>
      <c r="C44" s="141" t="str">
        <f aca="false">IF(Income!T3="","",Income!T3)</f>
        <v/>
      </c>
      <c r="D44" s="155" t="str">
        <f aca="false">IF(Income!X3="","",TEXT(Income!X3,"0.00"))</f>
        <v/>
      </c>
      <c r="E44" s="153"/>
      <c r="F44" s="156" t="str">
        <f aca="false">IF(Income!L3="","",Income!L3)</f>
        <v/>
      </c>
      <c r="G44" s="137"/>
      <c r="H44" s="100"/>
    </row>
    <row r="45" customFormat="false" ht="12" hidden="false" customHeight="true" outlineLevel="0" collapsed="false">
      <c r="A45" s="100"/>
      <c r="B45" s="140" t="str">
        <f aca="false">IF(Income!G3="","",+" "&amp;VLOOKUP(Income!G3,Class,2))</f>
        <v/>
      </c>
      <c r="C45" s="141" t="str">
        <f aca="false">IF(Income!N3="","",Income!N3)</f>
        <v/>
      </c>
      <c r="D45" s="142" t="str">
        <f aca="false">IF(Income!Y3="","",Income!Y3)</f>
        <v/>
      </c>
      <c r="E45" s="153"/>
      <c r="F45" s="156" t="str">
        <f aca="false">IF(Income!M3="","",Income!M3)</f>
        <v/>
      </c>
      <c r="G45" s="138" t="str">
        <f aca="false">IF(F43="","",ROUND(F43*(1+G44),2))</f>
        <v/>
      </c>
      <c r="H45" s="100"/>
    </row>
    <row r="46" customFormat="false" ht="12" hidden="false" customHeight="true" outlineLevel="0" collapsed="false">
      <c r="A46" s="100"/>
      <c r="B46" s="129" t="str">
        <f aca="false">IF(Income!E4="","",+Income!E4)</f>
        <v/>
      </c>
      <c r="C46" s="130" t="str">
        <f aca="false">IF(Income!H4="","",IF(Income!H4&gt;9100,+Income!H4,+"            "&amp;Income!H4))</f>
        <v/>
      </c>
      <c r="D46" s="131" t="str">
        <f aca="false">IF(Income!W4="","",Income!W4)</f>
        <v/>
      </c>
      <c r="E46" s="132" t="str">
        <f aca="false">IF(Income!Z4="","",VLOOKUP(LEFT(Income!Z4,1),GRADE,2))</f>
        <v/>
      </c>
      <c r="F46" s="122" t="str">
        <f aca="false">IF(Subj_Basis="Per SF",IF(Income!K4="","",Income!K4),IF(N(Income!AL4)&gt;0,Income!AL4,IF(Income!K4="","",Income!K4)))</f>
        <v/>
      </c>
      <c r="G46" s="116"/>
      <c r="H46" s="100"/>
    </row>
    <row r="47" customFormat="false" ht="12" hidden="false" customHeight="true" outlineLevel="0" collapsed="false">
      <c r="A47" s="135" t="s">
        <v>354</v>
      </c>
      <c r="B47" s="129" t="str">
        <f aca="false">IF(Income!H4="","",+" "&amp;VLOOKUP(Income!H4,Codes!$G$1:$H$68,2))</f>
        <v/>
      </c>
      <c r="C47" s="130" t="str">
        <f aca="false">IF(Income!T4="","",Income!T4)</f>
        <v/>
      </c>
      <c r="D47" s="152" t="str">
        <f aca="false">IF(Income!X4="","",TEXT(Income!X4,"0.00"))</f>
        <v/>
      </c>
      <c r="E47" s="153"/>
      <c r="F47" s="154" t="str">
        <f aca="false">IF(Income!L4="","",Income!L4)</f>
        <v/>
      </c>
      <c r="G47" s="137"/>
      <c r="H47" s="100"/>
    </row>
    <row r="48" customFormat="false" ht="12" hidden="false" customHeight="true" outlineLevel="0" collapsed="false">
      <c r="A48" s="100"/>
      <c r="B48" s="129" t="str">
        <f aca="false">IF(Income!G4="","",+" "&amp;VLOOKUP(Income!G4,Class,2))</f>
        <v/>
      </c>
      <c r="C48" s="130" t="str">
        <f aca="false">IF(Income!N4="","",Income!N4)</f>
        <v/>
      </c>
      <c r="D48" s="131" t="str">
        <f aca="false">IF(Income!Y4="","",Income!Y4)</f>
        <v/>
      </c>
      <c r="E48" s="153"/>
      <c r="F48" s="154" t="str">
        <f aca="false">IF(Income!M4="","",Income!M4)</f>
        <v/>
      </c>
      <c r="G48" s="138" t="str">
        <f aca="false">IF(F46="","",ROUND(F46*(1+G47),2))</f>
        <v/>
      </c>
      <c r="H48" s="100"/>
    </row>
    <row r="49" customFormat="false" ht="11.25" hidden="false" customHeight="true" outlineLevel="0" collapsed="false"/>
    <row r="50" customFormat="false" ht="11.25" hidden="false" customHeight="true" outlineLevel="0" collapsed="false"/>
    <row r="51" customFormat="false" ht="16.5" hidden="false" customHeight="true" outlineLevel="0" collapsed="false">
      <c r="A51" s="147" t="s">
        <v>355</v>
      </c>
      <c r="B51" s="148"/>
      <c r="C51" s="148"/>
      <c r="D51" s="148"/>
      <c r="E51" s="148"/>
      <c r="F51" s="148"/>
      <c r="G51" s="148"/>
      <c r="H51" s="149"/>
    </row>
    <row r="52" customFormat="false" ht="12" hidden="false" customHeight="true" outlineLevel="0" collapsed="false">
      <c r="A52" s="150"/>
      <c r="B52" s="150"/>
      <c r="C52" s="150"/>
      <c r="D52" s="150"/>
      <c r="E52" s="150"/>
      <c r="F52" s="150"/>
      <c r="G52" s="150"/>
      <c r="H52" s="150"/>
    </row>
    <row r="53" customFormat="false" ht="12" hidden="false" customHeight="true" outlineLevel="0" collapsed="false">
      <c r="A53" s="150"/>
      <c r="B53" s="150"/>
      <c r="C53" s="150"/>
      <c r="D53" s="150"/>
      <c r="E53" s="150"/>
      <c r="F53" s="150"/>
      <c r="G53" s="150"/>
      <c r="H53" s="150"/>
    </row>
    <row r="54" customFormat="false" ht="12" hidden="false" customHeight="true" outlineLevel="0" collapsed="false">
      <c r="A54" s="150"/>
      <c r="B54" s="150"/>
      <c r="C54" s="150"/>
      <c r="D54" s="150"/>
      <c r="E54" s="150"/>
      <c r="F54" s="150"/>
      <c r="G54" s="150"/>
      <c r="H54" s="150"/>
    </row>
    <row r="55" customFormat="false" ht="12" hidden="false" customHeight="true" outlineLevel="0" collapsed="false">
      <c r="A55" s="150"/>
      <c r="B55" s="150"/>
      <c r="C55" s="150"/>
      <c r="D55" s="150"/>
      <c r="E55" s="150"/>
      <c r="F55" s="150"/>
      <c r="G55" s="150"/>
      <c r="H55" s="150"/>
    </row>
    <row r="56" customFormat="false" ht="4.5" hidden="false" customHeight="true" outlineLevel="0" collapsed="false"/>
  </sheetData>
  <mergeCells count="2">
    <mergeCell ref="A31:H34"/>
    <mergeCell ref="A52:H55"/>
  </mergeCells>
  <printOptions headings="false" gridLines="false" gridLinesSet="true" horizontalCentered="true" verticalCentered="true"/>
  <pageMargins left="0.5" right="0.25" top="0.25" bottom="0.2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7">
              <controlPr defaultSize="0" print="true" autoFill="0" autoPict="0" macro="Module1.WO_Data">
                <anchor moveWithCells="true" sizeWithCells="false">
                  <from>
                    <xdr:col>0</xdr:col>
                    <xdr:colOff>0</xdr:colOff>
                    <xdr:row>0</xdr:row>
                    <xdr:rowOff>0</xdr:rowOff>
                  </from>
                  <to>
                    <xdr:col>1</xdr:col>
                    <xdr:colOff>428400</xdr:colOff>
                    <xdr:row>1</xdr:row>
                    <xdr:rowOff>38160</xdr:rowOff>
                  </to>
                </anchor>
              </controlPr>
            </control>
          </mc:Choice>
        </mc:AlternateContent>
        <mc:AlternateContent xmlns:mc="http://schemas.openxmlformats.org/markup-compatibility/2006">
          <mc:Choice Requires="x14">
            <control shapeId="1002" r:id="rId5" name="Button 6">
              <controlPr defaultSize="0" print="true" autoFill="0" autoPict="0" macro="Module1.Sales">
                <anchor moveWithCells="true" sizeWithCells="false">
                  <from>
                    <xdr:col>5</xdr:col>
                    <xdr:colOff>704880</xdr:colOff>
                    <xdr:row>15</xdr:row>
                    <xdr:rowOff>9360</xdr:rowOff>
                  </from>
                  <to>
                    <xdr:col>6</xdr:col>
                    <xdr:colOff>76320</xdr:colOff>
                    <xdr:row>16</xdr:row>
                    <xdr:rowOff>0</xdr:rowOff>
                  </to>
                </anchor>
              </controlPr>
            </control>
          </mc:Choice>
        </mc:AlternateContent>
        <mc:AlternateContent xmlns:mc="http://schemas.openxmlformats.org/markup-compatibility/2006">
          <mc:Choice Requires="x14">
            <control shapeId="1003" r:id="rId6" name="Button 5">
              <controlPr defaultSize="0" print="true" autoFill="0" autoPict="0" macro="Module1.Income">
                <anchor moveWithCells="true" sizeWithCells="false">
                  <from>
                    <xdr:col>5</xdr:col>
                    <xdr:colOff>0</xdr:colOff>
                    <xdr:row>35</xdr:row>
                    <xdr:rowOff>28440</xdr:rowOff>
                  </from>
                  <to>
                    <xdr:col>6</xdr:col>
                    <xdr:colOff>133200</xdr:colOff>
                    <xdr:row>36</xdr:row>
                    <xdr:rowOff>123840</xdr:rowOff>
                  </to>
                </anchor>
              </controlPr>
            </control>
          </mc:Choice>
        </mc:AlternateContent>
        <mc:AlternateContent xmlns:mc="http://schemas.openxmlformats.org/markup-compatibility/2006">
          <mc:Choice Requires="x14">
            <control shapeId="1004" r:id="rId7" name="Button 8">
              <controlPr defaultSize="0" print="true" autoFill="0" autoPict="0" macro="Module1.WO_Data">
                <anchor moveWithCells="true" sizeWithCells="false">
                  <from>
                    <xdr:col>0</xdr:col>
                    <xdr:colOff>0</xdr:colOff>
                    <xdr:row>0</xdr:row>
                    <xdr:rowOff>0</xdr:rowOff>
                  </from>
                  <to>
                    <xdr:col>1</xdr:col>
                    <xdr:colOff>-428400</xdr:colOff>
                    <xdr:row>1</xdr:row>
                    <xdr:rowOff>38160</xdr:rowOff>
                  </to>
                </anchor>
              </controlPr>
            </control>
          </mc:Choice>
        </mc:AlternateContent>
        <mc:AlternateContent xmlns:mc="http://schemas.openxmlformats.org/markup-compatibility/2006">
          <mc:Choice Requires="x14">
            <control shapeId="1005" r:id="rId8" name="Button 9">
              <controlPr defaultSize="0" print="true" autoFill="0" autoPict="0" macro="Module1.Sales">
                <anchor moveWithCells="true" sizeWithCells="false">
                  <from>
                    <xdr:col>5</xdr:col>
                    <xdr:colOff>704880</xdr:colOff>
                    <xdr:row>15</xdr:row>
                    <xdr:rowOff>9360</xdr:rowOff>
                  </from>
                  <to>
                    <xdr:col>6</xdr:col>
                    <xdr:colOff>76320</xdr:colOff>
                    <xdr:row>16</xdr:row>
                    <xdr:rowOff>0</xdr:rowOff>
                  </to>
                </anchor>
              </controlPr>
            </control>
          </mc:Choice>
        </mc:AlternateContent>
        <mc:AlternateContent xmlns:mc="http://schemas.openxmlformats.org/markup-compatibility/2006">
          <mc:Choice Requires="x14">
            <control shapeId="1006" r:id="rId9" name="Button 10">
              <controlPr defaultSize="0" print="true" autoFill="0" autoPict="0" macro="Module1.Income">
                <anchor moveWithCells="true" sizeWithCells="false">
                  <from>
                    <xdr:col>5</xdr:col>
                    <xdr:colOff>0</xdr:colOff>
                    <xdr:row>35</xdr:row>
                    <xdr:rowOff>28440</xdr:rowOff>
                  </from>
                  <to>
                    <xdr:col>6</xdr:col>
                    <xdr:colOff>133200</xdr:colOff>
                    <xdr:row>36</xdr:row>
                    <xdr:rowOff>123840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Z40"/>
  <sheetViews>
    <sheetView showFormulas="false" showGridLines="false" showRowColHeaders="true" showZeros="true" rightToLeft="false" tabSelected="false" showOutlineSymbols="true" defaultGridColor="true" view="normal" topLeftCell="A1" colorId="64" zoomScale="93" zoomScaleNormal="93" zoomScalePageLayoutView="100" workbookViewId="0">
      <pane xSplit="0" ySplit="7" topLeftCell="A8" activePane="bottomLeft" state="frozen"/>
      <selection pane="topLeft" activeCell="A1" activeCellId="0" sqref="A1"/>
      <selection pane="bottomLeft" activeCell="C21" activeCellId="0" sqref="C21"/>
    </sheetView>
  </sheetViews>
  <sheetFormatPr defaultColWidth="15.57421875" defaultRowHeight="12.75" zeroHeight="false" outlineLevelRow="0" outlineLevelCol="0"/>
  <cols>
    <col collapsed="false" customWidth="true" hidden="false" outlineLevel="0" max="1" min="1" style="157" width="13.71"/>
    <col collapsed="false" customWidth="true" hidden="false" outlineLevel="0" max="3" min="2" style="157" width="22.86"/>
    <col collapsed="false" customWidth="true" hidden="false" outlineLevel="0" max="4" min="4" style="157" width="25.14"/>
    <col collapsed="false" customWidth="true" hidden="false" outlineLevel="0" max="5" min="5" style="157" width="22.86"/>
    <col collapsed="false" customWidth="true" hidden="false" outlineLevel="0" max="6" min="6" style="157" width="21.71"/>
    <col collapsed="false" customWidth="true" hidden="false" outlineLevel="0" max="7" min="7" style="157" width="11.43"/>
    <col collapsed="false" customWidth="true" hidden="false" outlineLevel="0" max="8" min="8" style="157" width="12.57"/>
    <col collapsed="false" customWidth="true" hidden="false" outlineLevel="0" max="9" min="9" style="157" width="21.71"/>
    <col collapsed="false" customWidth="true" hidden="false" outlineLevel="0" max="10" min="10" style="157" width="20.71"/>
    <col collapsed="false" customWidth="false" hidden="false" outlineLevel="0" max="24" min="11" style="157" width="15.57"/>
    <col collapsed="false" customWidth="true" hidden="true" outlineLevel="0" max="25" min="25" style="1" width="6.86"/>
    <col collapsed="false" customWidth="true" hidden="true" outlineLevel="0" max="26" min="26" style="1" width="14.86"/>
    <col collapsed="false" customWidth="false" hidden="false" outlineLevel="0" max="16384" min="27" style="157" width="15.57"/>
  </cols>
  <sheetData>
    <row r="1" customFormat="false" ht="24" hidden="false" customHeight="true" outlineLevel="0" collapsed="false">
      <c r="A1" s="88" t="s">
        <v>356</v>
      </c>
      <c r="B1" s="88"/>
      <c r="C1" s="88"/>
      <c r="D1" s="88"/>
      <c r="E1" s="88"/>
      <c r="F1" s="88"/>
      <c r="G1" s="88"/>
      <c r="H1" s="88"/>
      <c r="I1" s="88"/>
      <c r="J1" s="86"/>
      <c r="K1" s="86"/>
    </row>
    <row r="3" customFormat="false" ht="16.5" hidden="false" customHeight="true" outlineLevel="0" collapsed="false">
      <c r="A3" s="151" t="s">
        <v>357</v>
      </c>
      <c r="B3" s="151"/>
      <c r="C3" s="151"/>
      <c r="D3" s="151"/>
      <c r="E3" s="151"/>
      <c r="F3" s="151"/>
      <c r="G3" s="151"/>
      <c r="H3" s="151"/>
      <c r="I3" s="151"/>
    </row>
    <row r="4" customFormat="false" ht="13.5" hidden="false" customHeight="true" outlineLevel="0" collapsed="false">
      <c r="B4" s="108" t="s">
        <v>128</v>
      </c>
      <c r="C4" s="108" t="s">
        <v>110</v>
      </c>
      <c r="D4" s="108" t="s">
        <v>336</v>
      </c>
      <c r="E4" s="108" t="s">
        <v>218</v>
      </c>
      <c r="F4" s="108" t="s">
        <v>358</v>
      </c>
      <c r="G4" s="108"/>
      <c r="H4" s="108"/>
      <c r="I4" s="108" t="s">
        <v>359</v>
      </c>
    </row>
    <row r="5" customFormat="false" ht="12.75" hidden="false" customHeight="true" outlineLevel="0" collapsed="false">
      <c r="B5" s="108" t="s">
        <v>36</v>
      </c>
      <c r="C5" s="108" t="s">
        <v>113</v>
      </c>
      <c r="D5" s="108" t="s">
        <v>360</v>
      </c>
      <c r="E5" s="108" t="s">
        <v>361</v>
      </c>
      <c r="F5" s="108" t="s">
        <v>68</v>
      </c>
      <c r="G5" s="108"/>
      <c r="H5" s="108"/>
      <c r="I5" s="108" t="s">
        <v>362</v>
      </c>
    </row>
    <row r="6" customFormat="false" ht="12.75" hidden="false" customHeight="true" outlineLevel="0" collapsed="false">
      <c r="B6" s="108" t="s">
        <v>14</v>
      </c>
      <c r="C6" s="108" t="s">
        <v>108</v>
      </c>
      <c r="D6" s="108" t="s">
        <v>363</v>
      </c>
      <c r="E6" s="108" t="s">
        <v>364</v>
      </c>
      <c r="F6" s="108" t="s">
        <v>365</v>
      </c>
      <c r="G6" s="108"/>
      <c r="H6" s="108"/>
      <c r="I6" s="108" t="s">
        <v>3</v>
      </c>
    </row>
    <row r="7" customFormat="false" ht="13.5" hidden="false" customHeight="true" outlineLevel="0" collapsed="false">
      <c r="B7" s="108" t="s">
        <v>133</v>
      </c>
      <c r="C7" s="108" t="s">
        <v>303</v>
      </c>
      <c r="D7" s="108" t="s">
        <v>366</v>
      </c>
      <c r="E7" s="108" t="s">
        <v>187</v>
      </c>
      <c r="F7" s="108" t="s">
        <v>49</v>
      </c>
      <c r="G7" s="108" t="s">
        <v>367</v>
      </c>
      <c r="H7" s="108"/>
      <c r="I7" s="108" t="s">
        <v>368</v>
      </c>
    </row>
    <row r="8" customFormat="false" ht="14.25" hidden="false" customHeight="true" outlineLevel="0" collapsed="false">
      <c r="B8" s="100"/>
      <c r="C8" s="100"/>
      <c r="D8" s="100"/>
      <c r="E8" s="100"/>
      <c r="F8" s="100"/>
      <c r="G8" s="100"/>
      <c r="H8" s="100"/>
      <c r="I8" s="100"/>
    </row>
    <row r="9" customFormat="false" ht="13.5" hidden="false" customHeight="true" outlineLevel="0" collapsed="false">
      <c r="B9" s="158"/>
      <c r="C9" s="158"/>
      <c r="D9" s="127"/>
      <c r="E9" s="112"/>
      <c r="F9" s="112"/>
      <c r="G9" s="126"/>
      <c r="H9" s="126"/>
      <c r="I9" s="112"/>
    </row>
    <row r="10" customFormat="false" ht="12.75" hidden="false" customHeight="true" outlineLevel="0" collapsed="false">
      <c r="B10" s="158"/>
      <c r="C10" s="158"/>
      <c r="D10" s="159" t="str">
        <f aca="false">IF(OR(D9="",N(E12)=0),"",D9/E12)</f>
        <v/>
      </c>
      <c r="E10" s="160"/>
      <c r="F10" s="112"/>
      <c r="G10" s="126"/>
      <c r="H10" s="126"/>
      <c r="I10" s="161" t="str">
        <f aca="false">IF(E12="","",ROUND(I12/E12,2))</f>
        <v/>
      </c>
    </row>
    <row r="11" customFormat="false" ht="12.75" hidden="false" customHeight="true" outlineLevel="0" collapsed="false">
      <c r="B11" s="162"/>
      <c r="C11" s="162"/>
      <c r="D11" s="127"/>
      <c r="E11" s="163"/>
      <c r="F11" s="112"/>
      <c r="G11" s="126"/>
      <c r="H11" s="126"/>
      <c r="I11" s="112"/>
    </row>
    <row r="12" customFormat="false" ht="13.5" hidden="false" customHeight="true" outlineLevel="0" collapsed="false">
      <c r="B12" s="158"/>
      <c r="C12" s="164"/>
      <c r="D12" s="115"/>
      <c r="E12" s="160"/>
      <c r="F12" s="112"/>
      <c r="G12" s="126"/>
      <c r="H12" s="126"/>
      <c r="I12" s="165"/>
    </row>
    <row r="13" customFormat="false" ht="13.5" hidden="false" customHeight="true" outlineLevel="0" collapsed="false">
      <c r="B13" s="100"/>
      <c r="C13" s="100"/>
      <c r="D13" s="100"/>
      <c r="E13" s="100"/>
      <c r="F13" s="100"/>
      <c r="G13" s="100"/>
      <c r="H13" s="100"/>
      <c r="I13" s="166"/>
    </row>
    <row r="14" customFormat="false" ht="12.75" hidden="false" customHeight="true" outlineLevel="0" collapsed="false">
      <c r="I14" s="167"/>
    </row>
    <row r="15" customFormat="false" ht="16.5" hidden="false" customHeight="true" outlineLevel="0" collapsed="false">
      <c r="A15" s="151" t="s">
        <v>369</v>
      </c>
      <c r="B15" s="151"/>
      <c r="C15" s="151"/>
      <c r="D15" s="151"/>
      <c r="E15" s="151"/>
      <c r="F15" s="151"/>
      <c r="G15" s="151"/>
      <c r="H15" s="151"/>
      <c r="I15" s="151"/>
      <c r="J15" s="86"/>
      <c r="K15" s="86"/>
    </row>
    <row r="16" customFormat="false" ht="13.5" hidden="false" customHeight="true" outlineLevel="0" collapsed="false">
      <c r="A16" s="108"/>
      <c r="B16" s="108" t="s">
        <v>128</v>
      </c>
      <c r="C16" s="108" t="s">
        <v>110</v>
      </c>
      <c r="D16" s="108" t="s">
        <v>336</v>
      </c>
      <c r="E16" s="108" t="s">
        <v>218</v>
      </c>
      <c r="F16" s="108" t="s">
        <v>358</v>
      </c>
      <c r="G16" s="108"/>
      <c r="H16" s="108"/>
      <c r="I16" s="108" t="s">
        <v>370</v>
      </c>
    </row>
    <row r="17" customFormat="false" ht="12.75" hidden="false" customHeight="true" outlineLevel="0" collapsed="false">
      <c r="A17" s="108"/>
      <c r="B17" s="108" t="s">
        <v>36</v>
      </c>
      <c r="C17" s="108" t="s">
        <v>113</v>
      </c>
      <c r="D17" s="108" t="s">
        <v>360</v>
      </c>
      <c r="E17" s="108" t="s">
        <v>361</v>
      </c>
      <c r="F17" s="108" t="s">
        <v>68</v>
      </c>
      <c r="G17" s="108"/>
      <c r="H17" s="108" t="s">
        <v>371</v>
      </c>
      <c r="I17" s="108" t="s">
        <v>372</v>
      </c>
    </row>
    <row r="18" customFormat="false" ht="12.75" hidden="false" customHeight="true" outlineLevel="0" collapsed="false">
      <c r="A18" s="108"/>
      <c r="B18" s="108" t="s">
        <v>14</v>
      </c>
      <c r="C18" s="108" t="s">
        <v>108</v>
      </c>
      <c r="D18" s="108" t="s">
        <v>373</v>
      </c>
      <c r="E18" s="108" t="s">
        <v>364</v>
      </c>
      <c r="F18" s="108" t="s">
        <v>374</v>
      </c>
      <c r="G18" s="108" t="s">
        <v>375</v>
      </c>
      <c r="H18" s="108" t="s">
        <v>376</v>
      </c>
      <c r="I18" s="108" t="s">
        <v>370</v>
      </c>
    </row>
    <row r="19" customFormat="false" ht="13.5" hidden="false" customHeight="true" outlineLevel="0" collapsed="false">
      <c r="A19" s="108"/>
      <c r="B19" s="108" t="s">
        <v>133</v>
      </c>
      <c r="C19" s="108" t="s">
        <v>303</v>
      </c>
      <c r="D19" s="108" t="s">
        <v>366</v>
      </c>
      <c r="E19" s="108" t="s">
        <v>377</v>
      </c>
      <c r="F19" s="108" t="s">
        <v>49</v>
      </c>
      <c r="G19" s="108" t="s">
        <v>378</v>
      </c>
      <c r="H19" s="108" t="s">
        <v>379</v>
      </c>
      <c r="I19" s="108" t="s">
        <v>368</v>
      </c>
    </row>
    <row r="20" customFormat="false" ht="14.25" hidden="false" customHeight="true" outlineLevel="0" collapsed="false"/>
    <row r="21" customFormat="false" ht="13.5" hidden="false" customHeight="true" outlineLevel="0" collapsed="false">
      <c r="A21" s="135" t="s">
        <v>342</v>
      </c>
      <c r="B21" s="129" t="str">
        <f aca="false">IF(IFERROR(INDEX(Sales!C:C,$Z$21),"")="","",+" "&amp;IFERROR(INDEX(Sales!C:C,$Z$21),""))</f>
        <v/>
      </c>
      <c r="C21" s="129" t="str">
        <f aca="false">IF(IFERROR(INDEX(Sales!AE:AE,$Z$21),"")="","",IFERROR(INDEX(Sales!AE:AE,$Z$21),""))</f>
        <v/>
      </c>
      <c r="D21" s="136" t="str">
        <f aca="false">IF(IFERROR(INDEX(Sales!AA:AA,$Z$21),"")="","",IFERROR(INDEX(Sales!AA:AA,$Z$21),""))</f>
        <v/>
      </c>
      <c r="E21" s="136" t="str">
        <f aca="false">IF(IFERROR(INDEX(Sales!F:F,$Z$21),"")="","",IFERROR(INDEX(Sales!F:F,$Z$21),""))</f>
        <v/>
      </c>
      <c r="F21" s="130" t="str">
        <f aca="false">IF(IFERROR(INDEX(Sales!M:M,$Z$21),"")="","",IFERROR(INDEX(Sales!M:M,$Z$21),""))</f>
        <v/>
      </c>
      <c r="G21" s="168"/>
      <c r="H21" s="116"/>
      <c r="I21" s="116"/>
      <c r="Y21" s="134" t="n">
        <v>1</v>
      </c>
      <c r="Z21" s="1" t="str">
        <f aca="false">IFERROR(MATCH(_xlfn.AGGREGATE(15,6,Sales!$AJ$2:$AJ$941,$Y$21),Sales!$AJ$2:$AJ$941,0)+1,"")</f>
        <v/>
      </c>
    </row>
    <row r="22" customFormat="false" ht="12.75" hidden="false" customHeight="true" outlineLevel="0" collapsed="false">
      <c r="A22" s="135"/>
      <c r="B22" s="129" t="str">
        <f aca="false">IF(IFERROR(INDEX(Sales!D:D,$Z$21),"")="","",IFERROR(INDEX(Sales!D:D,$Z$21),""))</f>
        <v/>
      </c>
      <c r="C22" s="129" t="str">
        <f aca="false">IF(IFERROR(INDEX(Sales!AF:AF,$Z$21),"")="","",IFERROR(INDEX(Sales!AF:AF,$Z$21),""))</f>
        <v/>
      </c>
      <c r="D22" s="122" t="str">
        <f aca="false">IF(IFERROR(INDEX(Sales!H:H,$Z$21),"")="","",IFERROR(INDEX(Sales!H:H,$Z$21),""))</f>
        <v/>
      </c>
      <c r="E22" s="131" t="str">
        <f aca="false">IF(IFERROR(INDEX(Sales!S:S,$Z$21),"")="","",IFERROR(INDEX(Sales!S:S,$Z$21),""))</f>
        <v/>
      </c>
      <c r="F22" s="130" t="str">
        <f aca="false">IF(IFERROR(INDEX(Sales!R:R,$Z$21),"")="","",IFERROR(VLOOKUP(IFERROR(INDEX(Sales!R:R,$Z$21),""),GRADE,2),IFERROR(INDEX(Sales!R:R,$Z$21),"")))</f>
        <v/>
      </c>
      <c r="G22" s="116"/>
      <c r="H22" s="116"/>
      <c r="I22" s="169" t="str">
        <f aca="false">IF(H24="","",H24)</f>
        <v/>
      </c>
    </row>
    <row r="23" customFormat="false" ht="12.75" hidden="false" customHeight="true" outlineLevel="0" collapsed="false">
      <c r="A23" s="135"/>
      <c r="B23" s="129" t="str">
        <f aca="false">IF(IFERROR(INDEX(Sales!AC:AC,$Z$21),"")="","",+IFERROR(INDEX(Sales!AC:AC,$Z$21),""))</f>
        <v/>
      </c>
      <c r="C23" s="129" t="str">
        <f aca="false">IF(IFERROR(INDEX(Sales!AD:AD,$Z$21),"")="","",IFERROR(INDEX(Sales!AD:AD,$Z$21),""))</f>
        <v/>
      </c>
      <c r="D23" s="170"/>
      <c r="E23" s="130" t="str">
        <f aca="false">IF(IFERROR(INDEX(Sales!T:T,$Z$21),"")="","",IFERROR(INDEX(Sales!T:T,$Z$21),""))</f>
        <v/>
      </c>
      <c r="F23" s="130" t="str">
        <f aca="false">IF(IFERROR(INDEX(Sales!V:V,$Z$21),"")="","",IFERROR(VLOOKUP(IFERROR(INDEX(Sales!V:V,$Z$21),""),Codes!$A$12:$B$16,2),IFERROR(INDEX(Sales!V:V,$Z$21),"")))</f>
        <v/>
      </c>
      <c r="G23" s="116"/>
      <c r="H23" s="116"/>
      <c r="I23" s="116"/>
    </row>
    <row r="24" customFormat="false" ht="13.5" hidden="false" customHeight="true" outlineLevel="0" collapsed="false">
      <c r="A24" s="135"/>
      <c r="B24" s="129" t="str">
        <f aca="false">IF(IFERROR(INDEX(Sales!E:E,$Z$21),"")="","",+" "&amp;IFERROR(VLOOKUP(IFERROR(INDEX(Sales!E:E,$Z$21),""),Class,2),IFERROR(INDEX(Sales!E:E,$Z$21),"")))</f>
        <v/>
      </c>
      <c r="C24" s="171" t="str">
        <f aca="false">IF(IFERROR(INDEX(Sales!I:I,$Z$21),"")="","",IFERROR(INDEX(Sales!I:I,$Z$21),""))</f>
        <v/>
      </c>
      <c r="D24" s="122" t="str">
        <f aca="false">IF(D21="","",ROUND((D21+D23)/E24,2))</f>
        <v/>
      </c>
      <c r="E24" s="131" t="str">
        <f aca="false">IF(IFERROR(INDEX(Sales!L:L,$Z$21),"")="","",IFERROR(INDEX(Sales!L:L,$Z$21),""))</f>
        <v/>
      </c>
      <c r="F24" s="130" t="str">
        <f aca="false">IF(IFERROR(INDEX(Sales!P:P,$Z$21),"")="","",IFERROR(INDEX(Sales!P:P,$Z$21),""))</f>
        <v/>
      </c>
      <c r="G24" s="172"/>
      <c r="H24" s="169" t="str">
        <f aca="false">IF(D24="","",ROUND(D24*(1+G24),2))</f>
        <v/>
      </c>
      <c r="I24" s="173" t="str">
        <f aca="false">IF(E12="","",ROUND(E12*H24,-2))</f>
        <v/>
      </c>
    </row>
    <row r="25" customFormat="false" ht="14.25" hidden="false" customHeight="true" outlineLevel="0" collapsed="false">
      <c r="A25" s="174"/>
      <c r="G25" s="175"/>
      <c r="I25" s="176"/>
    </row>
    <row r="26" customFormat="false" ht="13.5" hidden="false" customHeight="true" outlineLevel="0" collapsed="false">
      <c r="A26" s="135" t="s">
        <v>343</v>
      </c>
      <c r="B26" s="140" t="str">
        <f aca="false">IF(IFERROR(INDEX(Sales!C:C,$Z$26),"")="","",+" "&amp;IFERROR(INDEX(Sales!C:C,$Z$26),""))</f>
        <v/>
      </c>
      <c r="C26" s="140" t="str">
        <f aca="false">IF(IFERROR(INDEX(Sales!AE:AE,$Z$26),"")="","",IFERROR(INDEX(Sales!AE:AE,$Z$26),""))</f>
        <v/>
      </c>
      <c r="D26" s="146" t="str">
        <f aca="false">IF(IFERROR(INDEX(Sales!AA:AA,$Z$26),"")="","",IFERROR(INDEX(Sales!AA:AA,$Z$26),""))</f>
        <v/>
      </c>
      <c r="E26" s="146" t="str">
        <f aca="false">IF(IFERROR(INDEX(Sales!F:F,$Z$26),"")="","",IFERROR(INDEX(Sales!F:F,$Z$26),""))</f>
        <v/>
      </c>
      <c r="F26" s="141" t="str">
        <f aca="false">IF(IFERROR(INDEX(Sales!M:M,$Z$26),"")="","",IFERROR(INDEX(Sales!M:M,$Z$26),""))</f>
        <v/>
      </c>
      <c r="G26" s="177"/>
      <c r="H26" s="116"/>
      <c r="I26" s="116"/>
      <c r="Y26" s="134" t="n">
        <v>2</v>
      </c>
      <c r="Z26" s="1" t="str">
        <f aca="false">IFERROR(MATCH(_xlfn.AGGREGATE(15,6,Sales!$AJ$2:$AJ$941,$Y$26),Sales!$AJ$2:$AJ$941,0)+1,"")</f>
        <v/>
      </c>
    </row>
    <row r="27" customFormat="false" ht="12.75" hidden="false" customHeight="true" outlineLevel="0" collapsed="false">
      <c r="A27" s="135"/>
      <c r="B27" s="140" t="str">
        <f aca="false">IF(IFERROR(INDEX(Sales!D:D,$Z$26),"")="","",IFERROR(INDEX(Sales!D:D,$Z$26),""))</f>
        <v/>
      </c>
      <c r="C27" s="140" t="str">
        <f aca="false">IF(IFERROR(INDEX(Sales!AF:AF,$Z$26),"")="","",IFERROR(INDEX(Sales!AF:AF,$Z$26),""))</f>
        <v/>
      </c>
      <c r="D27" s="145" t="str">
        <f aca="false">IF(IFERROR(INDEX(Sales!H:H,$Z$26),"")="","",IFERROR(INDEX(Sales!H:H,$Z$26),""))</f>
        <v/>
      </c>
      <c r="E27" s="142" t="str">
        <f aca="false">IF(IFERROR(INDEX(Sales!S:S,$Z$26),"")="","",IFERROR(INDEX(Sales!S:S,$Z$26),""))</f>
        <v/>
      </c>
      <c r="F27" s="141" t="str">
        <f aca="false">IF(IFERROR(INDEX(Sales!R:R,$Z$26),"")="","",IFERROR(VLOOKUP(IFERROR(INDEX(Sales!R:R,$Z$26),""),GRADE,2),IFERROR(INDEX(Sales!R:R,$Z$26),"")))</f>
        <v/>
      </c>
      <c r="G27" s="116"/>
      <c r="H27" s="116"/>
      <c r="I27" s="169" t="str">
        <f aca="false">IF(H29="","",H29)</f>
        <v/>
      </c>
    </row>
    <row r="28" customFormat="false" ht="12.75" hidden="false" customHeight="true" outlineLevel="0" collapsed="false">
      <c r="A28" s="135"/>
      <c r="B28" s="140" t="str">
        <f aca="false">IF(IFERROR(INDEX(Sales!AC:AC,$Z$26),"")="","",+IFERROR(INDEX(Sales!AC:AC,$Z$26),""))</f>
        <v/>
      </c>
      <c r="C28" s="140" t="str">
        <f aca="false">IF(IFERROR(INDEX(Sales!AD:AD,$Z$26),"")="","",IFERROR(INDEX(Sales!AD:AD,$Z$26),""))</f>
        <v/>
      </c>
      <c r="D28" s="170"/>
      <c r="E28" s="141" t="str">
        <f aca="false">IF(IFERROR(INDEX(Sales!T:T,$Z$26),"")="","",IFERROR(INDEX(Sales!T:T,$Z$26),""))</f>
        <v/>
      </c>
      <c r="F28" s="141" t="str">
        <f aca="false">IF(IFERROR(INDEX(Sales!V:V,$Z$26),"")="","",IFERROR(VLOOKUP(IFERROR(INDEX(Sales!V:V,$Z$26),""),Codes!$A$12:$B$16,2),IFERROR(INDEX(Sales!V:V,$Z$26),"")))</f>
        <v/>
      </c>
      <c r="G28" s="116"/>
      <c r="H28" s="116"/>
      <c r="I28" s="116"/>
    </row>
    <row r="29" customFormat="false" ht="13.5" hidden="false" customHeight="true" outlineLevel="0" collapsed="false">
      <c r="A29" s="135"/>
      <c r="B29" s="140" t="str">
        <f aca="false">IF(IFERROR(INDEX(Sales!E:E,$Z$26),"")="","",+" "&amp;IFERROR(VLOOKUP(IFERROR(INDEX(Sales!E:E,$Z$26),""),Class,2),IFERROR(INDEX(Sales!E:E,$Z$26),"")))</f>
        <v/>
      </c>
      <c r="C29" s="178" t="str">
        <f aca="false">IF(IFERROR(INDEX(Sales!I:I,$Z$26),"")="","",IFERROR(INDEX(Sales!I:I,$Z$26),""))</f>
        <v/>
      </c>
      <c r="D29" s="145" t="str">
        <f aca="false">IF(D26="","",ROUND((D26+D28)/E29,2))</f>
        <v/>
      </c>
      <c r="E29" s="142" t="str">
        <f aca="false">IF(IFERROR(INDEX(Sales!L:L,$Z$26),"")="","",IFERROR(INDEX(Sales!L:L,$Z$26),""))</f>
        <v/>
      </c>
      <c r="F29" s="141" t="str">
        <f aca="false">IF(IFERROR(INDEX(Sales!P:P,$Z$26),"")="","",IFERROR(INDEX(Sales!P:P,$Z$26),""))</f>
        <v/>
      </c>
      <c r="G29" s="172"/>
      <c r="H29" s="169" t="str">
        <f aca="false">IF(D29="","",ROUND(D29*(1+G29),2))</f>
        <v/>
      </c>
      <c r="I29" s="173" t="str">
        <f aca="false">IF(E12="","",ROUND(E12*H29,-2))</f>
        <v/>
      </c>
    </row>
    <row r="30" customFormat="false" ht="14.25" hidden="false" customHeight="true" outlineLevel="0" collapsed="false">
      <c r="A30" s="174"/>
      <c r="G30" s="175"/>
      <c r="I30" s="176"/>
    </row>
    <row r="31" customFormat="false" ht="13.5" hidden="false" customHeight="true" outlineLevel="0" collapsed="false">
      <c r="A31" s="135" t="s">
        <v>344</v>
      </c>
      <c r="B31" s="129" t="str">
        <f aca="false">IF(IFERROR(INDEX(Sales!C:C,$Z$31),"")="","",+" "&amp;IFERROR(INDEX(Sales!C:C,$Z$31),""))</f>
        <v/>
      </c>
      <c r="C31" s="129" t="str">
        <f aca="false">IF(IFERROR(INDEX(Sales!AE:AE,$Z$31),"")="","",IFERROR(INDEX(Sales!AE:AE,$Z$31),""))</f>
        <v/>
      </c>
      <c r="D31" s="136" t="str">
        <f aca="false">IF(IFERROR(INDEX(Sales!AA:AA,$Z$31),"")="","",IFERROR(INDEX(Sales!AA:AA,$Z$31),""))</f>
        <v/>
      </c>
      <c r="E31" s="136" t="str">
        <f aca="false">IF(IFERROR(INDEX(Sales!F:F,$Z$31),"")="","",IFERROR(INDEX(Sales!F:F,$Z$31),""))</f>
        <v/>
      </c>
      <c r="F31" s="130" t="str">
        <f aca="false">IF(IFERROR(INDEX(Sales!M:M,$Z$31),"")="","",IFERROR(INDEX(Sales!M:M,$Z$31),""))</f>
        <v/>
      </c>
      <c r="G31" s="168"/>
      <c r="H31" s="116"/>
      <c r="I31" s="116"/>
      <c r="Y31" s="134" t="n">
        <v>3</v>
      </c>
      <c r="Z31" s="1" t="str">
        <f aca="false">IFERROR(MATCH(_xlfn.AGGREGATE(15,6,Sales!$AJ$2:$AJ$941,$Y$31),Sales!$AJ$2:$AJ$941,0)+1,"")</f>
        <v/>
      </c>
    </row>
    <row r="32" customFormat="false" ht="12.75" hidden="false" customHeight="true" outlineLevel="0" collapsed="false">
      <c r="A32" s="135"/>
      <c r="B32" s="129" t="str">
        <f aca="false">IF(IFERROR(INDEX(Sales!D:D,$Z$31),"")="","",IFERROR(INDEX(Sales!D:D,$Z$31),""))</f>
        <v/>
      </c>
      <c r="C32" s="129" t="str">
        <f aca="false">IF(IFERROR(INDEX(Sales!AF:AF,$Z$31),"")="","",IFERROR(INDEX(Sales!AF:AF,$Z$31),""))</f>
        <v/>
      </c>
      <c r="D32" s="122" t="str">
        <f aca="false">IF(IFERROR(INDEX(Sales!H:H,$Z$31),"")="","",IFERROR(INDEX(Sales!H:H,$Z$31),""))</f>
        <v/>
      </c>
      <c r="E32" s="131" t="str">
        <f aca="false">IF(IFERROR(INDEX(Sales!S:S,$Z$31),"")="","",IFERROR(INDEX(Sales!S:S,$Z$31),""))</f>
        <v/>
      </c>
      <c r="F32" s="130" t="str">
        <f aca="false">IF(IFERROR(INDEX(Sales!R:R,$Z$31),"")="","",IFERROR(VLOOKUP(IFERROR(INDEX(Sales!R:R,$Z$31),""),GRADE,2),IFERROR(INDEX(Sales!R:R,$Z$31),"")))</f>
        <v/>
      </c>
      <c r="G32" s="116"/>
      <c r="H32" s="116"/>
      <c r="I32" s="169" t="str">
        <f aca="false">IF(H34="","",H34)</f>
        <v/>
      </c>
    </row>
    <row r="33" customFormat="false" ht="12.75" hidden="false" customHeight="true" outlineLevel="0" collapsed="false">
      <c r="A33" s="135"/>
      <c r="B33" s="129" t="str">
        <f aca="false">IF(IFERROR(INDEX(Sales!AC:AC,$Z$31),"")="","",+IFERROR(INDEX(Sales!AC:AC,$Z$31),""))</f>
        <v/>
      </c>
      <c r="C33" s="129" t="str">
        <f aca="false">IF(IFERROR(INDEX(Sales!AD:AD,$Z$31),"")="","",IFERROR(INDEX(Sales!AD:AD,$Z$31),""))</f>
        <v/>
      </c>
      <c r="D33" s="170"/>
      <c r="E33" s="130" t="str">
        <f aca="false">IF(IFERROR(INDEX(Sales!T:T,$Z$31),"")="","",IFERROR(INDEX(Sales!T:T,$Z$31),""))</f>
        <v/>
      </c>
      <c r="F33" s="130" t="str">
        <f aca="false">IF(IFERROR(INDEX(Sales!V:V,$Z$31),"")="","",IFERROR(VLOOKUP(IFERROR(INDEX(Sales!V:V,$Z$31),""),Codes!$A$12:$B$16,2),IFERROR(INDEX(Sales!V:V,$Z$31),"")))</f>
        <v/>
      </c>
      <c r="G33" s="116"/>
      <c r="H33" s="116"/>
      <c r="I33" s="116"/>
      <c r="K33" s="176"/>
    </row>
    <row r="34" customFormat="false" ht="13.5" hidden="false" customHeight="true" outlineLevel="0" collapsed="false">
      <c r="A34" s="135"/>
      <c r="B34" s="129" t="str">
        <f aca="false">IF(IFERROR(INDEX(Sales!E:E,$Z$31),"")="","",+" "&amp;IFERROR(VLOOKUP(IFERROR(INDEX(Sales!E:E,$Z$31),""),Class,2),IFERROR(INDEX(Sales!E:E,$Z$31),"")))</f>
        <v/>
      </c>
      <c r="C34" s="171" t="str">
        <f aca="false">IF(IFERROR(INDEX(Sales!I:I,$Z$31),"")="","",IFERROR(INDEX(Sales!I:I,$Z$31),""))</f>
        <v/>
      </c>
      <c r="D34" s="122" t="str">
        <f aca="false">IF(D31="","",ROUND((D31+D33)/E34,2))</f>
        <v/>
      </c>
      <c r="E34" s="131" t="str">
        <f aca="false">IF(IFERROR(INDEX(Sales!L:L,$Z$31),"")="","",IFERROR(INDEX(Sales!L:L,$Z$31),""))</f>
        <v/>
      </c>
      <c r="F34" s="130" t="str">
        <f aca="false">IF(IFERROR(INDEX(Sales!P:P,$Z$31),"")="","",IFERROR(INDEX(Sales!P:P,$Z$31),""))</f>
        <v/>
      </c>
      <c r="G34" s="172"/>
      <c r="H34" s="169" t="str">
        <f aca="false">IF(D34="","",ROUND(D34*(1+G34),2))</f>
        <v/>
      </c>
      <c r="I34" s="173" t="str">
        <f aca="false">IF(E12="","",ROUND(E12*H34,-2))</f>
        <v/>
      </c>
    </row>
    <row r="35" customFormat="false" ht="14.25" hidden="false" customHeight="true" outlineLevel="0" collapsed="false">
      <c r="A35" s="174"/>
      <c r="G35" s="175"/>
      <c r="I35" s="176"/>
    </row>
    <row r="36" customFormat="false" ht="13.5" hidden="false" customHeight="true" outlineLevel="0" collapsed="false">
      <c r="A36" s="135" t="s">
        <v>380</v>
      </c>
      <c r="B36" s="140" t="str">
        <f aca="false">IF(IFERROR(INDEX(Sales!C:C,$Z$36),"")="","",+" "&amp;IFERROR(INDEX(Sales!C:C,$Z$36),""))</f>
        <v/>
      </c>
      <c r="C36" s="140" t="str">
        <f aca="false">IF(IFERROR(INDEX(Sales!AE:AE,$Z$36),"")="","",IFERROR(INDEX(Sales!AE:AE,$Z$36),""))</f>
        <v/>
      </c>
      <c r="D36" s="146" t="str">
        <f aca="false">IF(IFERROR(INDEX(Sales!AA:AA,$Z$36),"")="","",IFERROR(INDEX(Sales!AA:AA,$Z$36),""))</f>
        <v/>
      </c>
      <c r="E36" s="146" t="str">
        <f aca="false">IF(IFERROR(INDEX(Sales!F:F,$Z$36),"")="","",IFERROR(INDEX(Sales!F:F,$Z$36),""))</f>
        <v/>
      </c>
      <c r="F36" s="141" t="str">
        <f aca="false">IF(IFERROR(INDEX(Sales!M:M,$Z$36),"")="","",IFERROR(INDEX(Sales!M:M,$Z$36),""))</f>
        <v/>
      </c>
      <c r="G36" s="116"/>
      <c r="H36" s="116"/>
      <c r="I36" s="116"/>
      <c r="Y36" s="134" t="n">
        <v>4</v>
      </c>
      <c r="Z36" s="1" t="str">
        <f aca="false">IFERROR(MATCH(_xlfn.AGGREGATE(15,6,Sales!$AJ$2:$AJ$941,$Y$36),Sales!$AJ$2:$AJ$941,0)+1,"")</f>
        <v/>
      </c>
    </row>
    <row r="37" customFormat="false" ht="12.75" hidden="false" customHeight="true" outlineLevel="0" collapsed="false">
      <c r="A37" s="135"/>
      <c r="B37" s="140" t="str">
        <f aca="false">IF(IFERROR(INDEX(Sales!D:D,$Z$36),"")="","",IFERROR(INDEX(Sales!D:D,$Z$36),""))</f>
        <v/>
      </c>
      <c r="C37" s="140" t="str">
        <f aca="false">IF(IFERROR(INDEX(Sales!AF:AF,$Z$36),"")="","",IFERROR(INDEX(Sales!AF:AF,$Z$36),""))</f>
        <v/>
      </c>
      <c r="D37" s="145" t="str">
        <f aca="false">IF(IFERROR(INDEX(Sales!H:H,$Z$36),"")="","",IFERROR(INDEX(Sales!H:H,$Z$36),""))</f>
        <v/>
      </c>
      <c r="E37" s="142" t="str">
        <f aca="false">IF(IFERROR(INDEX(Sales!S:S,$Z$36),"")="","",IFERROR(INDEX(Sales!S:S,$Z$36),""))</f>
        <v/>
      </c>
      <c r="F37" s="141" t="str">
        <f aca="false">IF(IFERROR(INDEX(Sales!R:R,$Z$36),"")="","",IFERROR(VLOOKUP(IFERROR(INDEX(Sales!R:R,$Z$36),""),GRADE,2),IFERROR(INDEX(Sales!R:R,$Z$36),"")))</f>
        <v/>
      </c>
      <c r="G37" s="116"/>
      <c r="H37" s="116"/>
      <c r="I37" s="169" t="str">
        <f aca="false">IF(H39="","",H39)</f>
        <v/>
      </c>
    </row>
    <row r="38" customFormat="false" ht="12.75" hidden="false" customHeight="true" outlineLevel="0" collapsed="false">
      <c r="A38" s="135"/>
      <c r="B38" s="140" t="str">
        <f aca="false">IF(IFERROR(INDEX(Sales!AC:AC,$Z$36),"")="","",+IFERROR(INDEX(Sales!AC:AC,$Z$36),""))</f>
        <v/>
      </c>
      <c r="C38" s="140" t="str">
        <f aca="false">IF(IFERROR(INDEX(Sales!AD:AD,$Z$36),"")="","",IFERROR(INDEX(Sales!AD:AD,$Z$36),""))</f>
        <v/>
      </c>
      <c r="D38" s="170"/>
      <c r="E38" s="141" t="str">
        <f aca="false">IF(IFERROR(INDEX(Sales!T:T,$Z$36),"")="","",IFERROR(INDEX(Sales!T:T,$Z$36),""))</f>
        <v/>
      </c>
      <c r="F38" s="141" t="str">
        <f aca="false">IF(IFERROR(INDEX(Sales!V:V,$Z$36),"")="","",IFERROR(VLOOKUP(IFERROR(INDEX(Sales!V:V,$Z$36),""),Codes!$A$12:$B$16,2),IFERROR(INDEX(Sales!V:V,$Z$36),"")))</f>
        <v/>
      </c>
      <c r="G38" s="116"/>
      <c r="H38" s="116"/>
      <c r="I38" s="116"/>
    </row>
    <row r="39" customFormat="false" ht="13.5" hidden="false" customHeight="true" outlineLevel="0" collapsed="false">
      <c r="A39" s="100"/>
      <c r="B39" s="140" t="str">
        <f aca="false">IF(IFERROR(INDEX(Sales!E:E,$Z$36),"")="","",+" "&amp;IFERROR(VLOOKUP(IFERROR(INDEX(Sales!E:E,$Z$36),""),Class,2),IFERROR(INDEX(Sales!E:E,$Z$36),"")))</f>
        <v/>
      </c>
      <c r="C39" s="178" t="str">
        <f aca="false">IF(IFERROR(INDEX(Sales!I:I,$Z$36),"")="","",IFERROR(INDEX(Sales!I:I,$Z$36),""))</f>
        <v/>
      </c>
      <c r="D39" s="145" t="str">
        <f aca="false">IF(D36="","",ROUND((D36+D38)/E39,2))</f>
        <v/>
      </c>
      <c r="E39" s="142" t="str">
        <f aca="false">IF(IFERROR(INDEX(Sales!L:L,$Z$36),"")="","",IFERROR(INDEX(Sales!L:L,$Z$36),""))</f>
        <v/>
      </c>
      <c r="F39" s="141" t="str">
        <f aca="false">IF(IFERROR(INDEX(Sales!P:P,$Z$36),"")="","",IFERROR(INDEX(Sales!P:P,$Z$36),""))</f>
        <v/>
      </c>
      <c r="G39" s="172"/>
      <c r="H39" s="169" t="str">
        <f aca="false">IF(D39="","",ROUND(D39*(1+G39),2))</f>
        <v/>
      </c>
      <c r="I39" s="173" t="str">
        <f aca="false">IF(OR(I37="",E12=""),"",I37*E12)</f>
        <v/>
      </c>
    </row>
    <row r="40" customFormat="false" ht="13.5" hidden="false" customHeight="true" outlineLevel="0" collapsed="false"/>
  </sheetData>
  <mergeCells count="4">
    <mergeCell ref="A21:A24"/>
    <mergeCell ref="A26:A29"/>
    <mergeCell ref="A31:A34"/>
    <mergeCell ref="A36:A38"/>
  </mergeCells>
  <printOptions headings="false" gridLines="false" gridLinesSet="true" horizontalCentered="true" verticalCentered="false"/>
  <pageMargins left="0.25" right="0.25"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3">
              <controlPr defaultSize="0" print="true" autoFill="0" autoPict="0" macro="Module4.Subject_BAA_Market">
                <anchor moveWithCells="true" sizeWithCells="false">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1002" r:id="rId5" name="Button 6">
              <controlPr defaultSize="0" print="true" autoFill="0" autoPict="0" macro="Module1.Sales">
                <anchor moveWithCells="true" sizeWithCells="false">
                  <from>
                    <xdr:col>0</xdr:col>
                    <xdr:colOff>0</xdr:colOff>
                    <xdr:row>1</xdr:row>
                    <xdr:rowOff>0</xdr:rowOff>
                  </from>
                  <to>
                    <xdr:col>1</xdr:col>
                    <xdr:colOff>714240</xdr:colOff>
                    <xdr:row>2</xdr:row>
                    <xdr:rowOff>0</xdr:rowOff>
                  </to>
                </anchor>
              </controlPr>
            </control>
          </mc:Choice>
        </mc:AlternateContent>
        <mc:AlternateContent xmlns:mc="http://schemas.openxmlformats.org/markup-compatibility/2006">
          <mc:Choice Requires="x14">
            <control shapeId="1003" r:id="rId6" name="Button 26">
              <controlPr defaultSize="0" print="true" autoFill="0" autoPict="0">
                <anchor moveWithCells="true" sizeWithCells="false">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1004" r:id="rId7" name="Button 28">
              <controlPr defaultSize="0" print="true" autoFill="0" autoPict="0">
                <anchor moveWithCells="true" sizeWithCells="false">
                  <from>
                    <xdr:col>0</xdr:col>
                    <xdr:colOff>0</xdr:colOff>
                    <xdr:row>1</xdr:row>
                    <xdr:rowOff>0</xdr:rowOff>
                  </from>
                  <to>
                    <xdr:col>1</xdr:col>
                    <xdr:colOff>714240</xdr:colOff>
                    <xdr:row>2</xdr:row>
                    <xdr:rowOff>0</xdr:rowOff>
                  </to>
                </anchor>
              </controlPr>
            </control>
          </mc:Choice>
        </mc:AlternateContent>
        <mc:AlternateContent xmlns:mc="http://schemas.openxmlformats.org/markup-compatibility/2006">
          <mc:Choice Requires="x14">
            <control shapeId="1005" r:id="rId8" name="Button 17">
              <controlPr defaultSize="0" print="true" autoFill="0" autoPict="0" macro="Module4.Subject_BAA_Market">
                <anchor moveWithCells="true" sizeWithCells="false">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1006" r:id="rId9" name="Button 18">
              <controlPr defaultSize="0" print="true" autoFill="0" autoPict="0" macro="Module1.Sales">
                <anchor moveWithCells="true" sizeWithCells="false">
                  <from>
                    <xdr:col>0</xdr:col>
                    <xdr:colOff>0</xdr:colOff>
                    <xdr:row>1</xdr:row>
                    <xdr:rowOff>0</xdr:rowOff>
                  </from>
                  <to>
                    <xdr:col>1</xdr:col>
                    <xdr:colOff>714240</xdr:colOff>
                    <xdr:row>2</xdr:row>
                    <xdr:rowOff>0</xdr:rowOff>
                  </to>
                </anchor>
              </controlPr>
            </control>
          </mc:Choice>
        </mc:AlternateContent>
        <mc:AlternateContent xmlns:mc="http://schemas.openxmlformats.org/markup-compatibility/2006">
          <mc:Choice Requires="x14">
            <control shapeId="1007" r:id="rId10" name="Button 19">
              <controlPr defaultSize="0" print="true" autoFill="0" autoPict="0">
                <anchor moveWithCells="true" sizeWithCells="false">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1008" r:id="rId11" name="Button 20">
              <controlPr defaultSize="0" print="true" autoFill="0" autoPict="0">
                <anchor moveWithCells="true" sizeWithCells="false">
                  <from>
                    <xdr:col>0</xdr:col>
                    <xdr:colOff>0</xdr:colOff>
                    <xdr:row>1</xdr:row>
                    <xdr:rowOff>0</xdr:rowOff>
                  </from>
                  <to>
                    <xdr:col>1</xdr:col>
                    <xdr:colOff>714240</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H42"/>
  <sheetViews>
    <sheetView showFormulas="false" showGridLines="false" showRowColHeaders="true" showZeros="true" rightToLeft="false" tabSelected="false" showOutlineSymbols="true" defaultGridColor="true" view="normal" topLeftCell="A1" colorId="64" zoomScale="85" zoomScaleNormal="85" zoomScalePageLayoutView="100" workbookViewId="0">
      <pane xSplit="0" ySplit="4" topLeftCell="A5" activePane="bottomLeft" state="frozen"/>
      <selection pane="topLeft" activeCell="A1" activeCellId="0" sqref="A1"/>
      <selection pane="bottomLeft" activeCell="P51" activeCellId="0" sqref="P51"/>
    </sheetView>
  </sheetViews>
  <sheetFormatPr defaultColWidth="14.00390625" defaultRowHeight="12.75" zeroHeight="false" outlineLevelRow="0" outlineLevelCol="0"/>
  <cols>
    <col collapsed="false" customWidth="true" hidden="false" outlineLevel="0" max="1" min="1" style="179" width="6.86"/>
    <col collapsed="false" customWidth="true" hidden="false" outlineLevel="0" max="2" min="2" style="179" width="22.86"/>
    <col collapsed="false" customWidth="true" hidden="false" outlineLevel="0" max="3" min="3" style="180" width="21.71"/>
    <col collapsed="false" customWidth="true" hidden="false" outlineLevel="0" max="4" min="4" style="1" width="17.14"/>
    <col collapsed="false" customWidth="true" hidden="false" outlineLevel="0" max="5" min="5" style="1" width="20.57"/>
    <col collapsed="false" customWidth="true" hidden="false" outlineLevel="0" max="6" min="6" style="1" width="9.14"/>
    <col collapsed="false" customWidth="true" hidden="false" outlineLevel="0" max="7" min="7" style="180" width="14.86"/>
    <col collapsed="false" customWidth="true" hidden="false" outlineLevel="0" max="8" min="8" style="179" width="16"/>
    <col collapsed="false" customWidth="false" hidden="false" outlineLevel="0" max="16384" min="9" style="179" width="14"/>
  </cols>
  <sheetData>
    <row r="1" customFormat="false" ht="32.25" hidden="false" customHeight="true" outlineLevel="0" collapsed="false"/>
    <row r="2" customFormat="false" ht="24" hidden="false" customHeight="true" outlineLevel="0" collapsed="false">
      <c r="A2" s="86"/>
      <c r="B2" s="88" t="s">
        <v>381</v>
      </c>
      <c r="C2" s="88"/>
      <c r="D2" s="88"/>
      <c r="E2" s="88"/>
      <c r="F2" s="88"/>
      <c r="G2" s="88"/>
      <c r="H2" s="88"/>
    </row>
    <row r="4" customFormat="false" ht="16.5" hidden="false" customHeight="true" outlineLevel="0" collapsed="false">
      <c r="B4" s="151" t="s">
        <v>357</v>
      </c>
      <c r="C4" s="151"/>
      <c r="D4" s="151"/>
      <c r="E4" s="151"/>
      <c r="F4" s="151"/>
      <c r="G4" s="151"/>
      <c r="H4" s="151"/>
    </row>
    <row r="5" customFormat="false" ht="13.5" hidden="false" customHeight="true" outlineLevel="0" collapsed="false">
      <c r="B5" s="108" t="s">
        <v>382</v>
      </c>
      <c r="C5" s="108" t="s">
        <v>383</v>
      </c>
      <c r="D5" s="108" t="s">
        <v>218</v>
      </c>
      <c r="E5" s="108" t="s">
        <v>358</v>
      </c>
      <c r="F5" s="108"/>
      <c r="G5" s="108"/>
      <c r="H5" s="108"/>
    </row>
    <row r="6" customFormat="false" ht="12.75" hidden="false" customHeight="true" outlineLevel="0" collapsed="false">
      <c r="B6" s="108" t="s">
        <v>36</v>
      </c>
      <c r="C6" s="108" t="s">
        <v>329</v>
      </c>
      <c r="D6" s="108" t="s">
        <v>361</v>
      </c>
      <c r="E6" s="108" t="s">
        <v>68</v>
      </c>
      <c r="F6" s="108"/>
      <c r="G6" s="108"/>
      <c r="H6" s="108"/>
    </row>
    <row r="7" customFormat="false" ht="12.75" hidden="false" customHeight="true" outlineLevel="0" collapsed="false">
      <c r="B7" s="108" t="s">
        <v>217</v>
      </c>
      <c r="C7" s="108" t="s">
        <v>384</v>
      </c>
      <c r="D7" s="108" t="s">
        <v>385</v>
      </c>
      <c r="E7" s="108" t="s">
        <v>374</v>
      </c>
      <c r="F7" s="108"/>
      <c r="G7" s="108"/>
      <c r="H7" s="108"/>
    </row>
    <row r="8" customFormat="false" ht="13.5" hidden="false" customHeight="true" outlineLevel="0" collapsed="false">
      <c r="B8" s="108" t="s">
        <v>133</v>
      </c>
      <c r="C8" s="108" t="s">
        <v>100</v>
      </c>
      <c r="D8" s="108" t="s">
        <v>187</v>
      </c>
      <c r="E8" s="108" t="s">
        <v>49</v>
      </c>
      <c r="F8" s="108" t="s">
        <v>386</v>
      </c>
      <c r="G8" s="108" t="s">
        <v>367</v>
      </c>
      <c r="H8" s="108"/>
    </row>
    <row r="9" customFormat="false" ht="14.25" hidden="false" customHeight="true" outlineLevel="0" collapsed="false"/>
    <row r="10" customFormat="false" ht="13.5" hidden="false" customHeight="true" outlineLevel="0" collapsed="false">
      <c r="B10" s="181" t="str">
        <f aca="false">IF('BAA Market'!B9="","",'BAA Market'!B9)</f>
        <v/>
      </c>
      <c r="C10" s="182"/>
      <c r="D10" s="183" t="str">
        <f aca="false">IF('BAA Market'!E9="","",'BAA Market'!E9)</f>
        <v/>
      </c>
      <c r="E10" s="183" t="str">
        <f aca="false">IF('BAA Market'!F9="","",'BAA Market'!F9)</f>
        <v/>
      </c>
      <c r="F10" s="112"/>
      <c r="G10" s="126"/>
      <c r="H10" s="126"/>
    </row>
    <row r="11" customFormat="false" ht="12.75" hidden="false" customHeight="true" outlineLevel="0" collapsed="false">
      <c r="B11" s="184" t="str">
        <f aca="false">IF('BAA Market'!B10="","",'BAA Market'!B10)</f>
        <v/>
      </c>
      <c r="C11" s="172"/>
      <c r="D11" s="185" t="str">
        <f aca="false">IF('BAA Market'!E10="","",'BAA Market'!E10)</f>
        <v/>
      </c>
      <c r="E11" s="183" t="str">
        <f aca="false">IF('BAA Market'!F10="","",'BAA Market'!F10)</f>
        <v/>
      </c>
      <c r="F11" s="112"/>
      <c r="G11" s="126"/>
      <c r="H11" s="126"/>
    </row>
    <row r="12" customFormat="false" ht="12.75" hidden="false" customHeight="true" outlineLevel="0" collapsed="false">
      <c r="B12" s="184" t="str">
        <f aca="false">IF('BAA Market'!B11="","",'BAA Market'!B11)</f>
        <v/>
      </c>
      <c r="C12" s="182"/>
      <c r="D12" s="130" t="str">
        <f aca="false">IF('BAA Market'!E11="","",'BAA Market'!E11)</f>
        <v/>
      </c>
      <c r="E12" s="183" t="str">
        <f aca="false">IF('BAA Market'!F11="","",'BAA Market'!F11)</f>
        <v/>
      </c>
      <c r="F12" s="112"/>
      <c r="G12" s="126"/>
      <c r="H12" s="126"/>
    </row>
    <row r="13" customFormat="false" ht="13.5" hidden="false" customHeight="true" outlineLevel="0" collapsed="false">
      <c r="B13" s="184" t="str">
        <f aca="false">IF('BAA Market'!B12="","",'BAA Market'!B12)</f>
        <v/>
      </c>
      <c r="C13" s="172"/>
      <c r="D13" s="185" t="str">
        <f aca="false">IF('BAA Market'!E12="","",'BAA Market'!E12)</f>
        <v/>
      </c>
      <c r="E13" s="183" t="str">
        <f aca="false">IF('BAA Market'!F12="","",'BAA Market'!F12)</f>
        <v/>
      </c>
      <c r="F13" s="112"/>
      <c r="G13" s="126"/>
      <c r="H13" s="126"/>
    </row>
    <row r="14" customFormat="false" ht="13.5" hidden="false" customHeight="true" outlineLevel="0" collapsed="false"/>
    <row r="17" customFormat="false" ht="16.5" hidden="false" customHeight="true" outlineLevel="0" collapsed="false">
      <c r="A17" s="86"/>
      <c r="B17" s="151" t="s">
        <v>387</v>
      </c>
      <c r="C17" s="151"/>
      <c r="D17" s="151"/>
      <c r="E17" s="151"/>
      <c r="F17" s="151"/>
      <c r="G17" s="151"/>
      <c r="H17" s="151"/>
    </row>
    <row r="18" customFormat="false" ht="13.5" hidden="false" customHeight="true" outlineLevel="0" collapsed="false">
      <c r="A18" s="75"/>
      <c r="B18" s="108"/>
      <c r="C18" s="108" t="s">
        <v>383</v>
      </c>
      <c r="D18" s="108" t="s">
        <v>218</v>
      </c>
      <c r="E18" s="108" t="s">
        <v>358</v>
      </c>
      <c r="F18" s="108"/>
      <c r="G18" s="108"/>
      <c r="H18" s="108"/>
    </row>
    <row r="19" customFormat="false" ht="12.75" hidden="false" customHeight="true" outlineLevel="0" collapsed="false">
      <c r="A19" s="75"/>
      <c r="B19" s="108" t="s">
        <v>388</v>
      </c>
      <c r="C19" s="108" t="s">
        <v>329</v>
      </c>
      <c r="D19" s="108" t="s">
        <v>361</v>
      </c>
      <c r="E19" s="108" t="s">
        <v>68</v>
      </c>
      <c r="F19" s="108"/>
      <c r="G19" s="108"/>
      <c r="H19" s="108"/>
    </row>
    <row r="20" customFormat="false" ht="12.75" hidden="false" customHeight="true" outlineLevel="0" collapsed="false">
      <c r="A20" s="75"/>
      <c r="B20" s="108" t="s">
        <v>389</v>
      </c>
      <c r="C20" s="108" t="s">
        <v>384</v>
      </c>
      <c r="D20" s="108" t="s">
        <v>385</v>
      </c>
      <c r="E20" s="108" t="s">
        <v>374</v>
      </c>
      <c r="F20" s="108"/>
      <c r="G20" s="108" t="s">
        <v>375</v>
      </c>
      <c r="H20" s="108" t="s">
        <v>371</v>
      </c>
    </row>
    <row r="21" customFormat="false" ht="13.5" hidden="false" customHeight="true" outlineLevel="0" collapsed="false">
      <c r="A21" s="75"/>
      <c r="B21" s="108" t="s">
        <v>133</v>
      </c>
      <c r="C21" s="108" t="s">
        <v>100</v>
      </c>
      <c r="D21" s="108" t="s">
        <v>187</v>
      </c>
      <c r="E21" s="108" t="s">
        <v>49</v>
      </c>
      <c r="F21" s="108" t="s">
        <v>386</v>
      </c>
      <c r="G21" s="108" t="s">
        <v>390</v>
      </c>
      <c r="H21" s="108" t="s">
        <v>383</v>
      </c>
    </row>
    <row r="22" customFormat="false" ht="14.25" hidden="false" customHeight="true" outlineLevel="0" collapsed="false"/>
    <row r="23" customFormat="false" ht="13.5" hidden="false" customHeight="true" outlineLevel="0" collapsed="false">
      <c r="A23" s="135" t="s">
        <v>391</v>
      </c>
      <c r="B23" s="100"/>
      <c r="C23" s="186" t="str">
        <f aca="false">IF(Income!K2="","",Income!K$2)</f>
        <v/>
      </c>
      <c r="D23" s="130" t="str">
        <f aca="false">IF(Income!H2="","",VLOOKUP(Income!H2,Location,2))</f>
        <v/>
      </c>
      <c r="E23" s="130" t="str">
        <f aca="false">IF(Income!N2="","",Income!N2)</f>
        <v/>
      </c>
      <c r="F23" s="116"/>
      <c r="G23" s="116"/>
      <c r="H23" s="100"/>
    </row>
    <row r="24" customFormat="false" ht="12.75" hidden="false" customHeight="true" outlineLevel="0" collapsed="false">
      <c r="A24" s="135"/>
      <c r="B24" s="100"/>
      <c r="C24" s="154" t="str">
        <f aca="false">IF(Income!L$2="","",Income!L$2)</f>
        <v/>
      </c>
      <c r="D24" s="131" t="str">
        <f aca="false">IF(Income!W2="","",Income!W2)</f>
        <v/>
      </c>
      <c r="E24" s="130" t="str">
        <f aca="false">IF(Income!Z2="","",VLOOKUP(Income!Z2,GRADE,2))</f>
        <v/>
      </c>
      <c r="F24" s="116"/>
      <c r="G24" s="116"/>
      <c r="H24" s="100"/>
    </row>
    <row r="25" customFormat="false" ht="12.75" hidden="false" customHeight="true" outlineLevel="0" collapsed="false">
      <c r="A25" s="135"/>
      <c r="B25" s="129" t="str">
        <f aca="false">IF(Income!E$2="","",Income!E$2)</f>
        <v/>
      </c>
      <c r="C25" s="186" t="str">
        <f aca="false">IF(OR(C23="",C24="",C26=""),"",C23*(1-C24)*C26)</f>
        <v/>
      </c>
      <c r="D25" s="130" t="str">
        <f aca="false">IF(Income!X2="","",Income!X2)</f>
        <v/>
      </c>
      <c r="E25" s="130" t="str">
        <f aca="false">IF(Income!AC2="","",VLOOKUP(Income!AC2,P_f,2))</f>
        <v/>
      </c>
      <c r="F25" s="116"/>
      <c r="G25" s="116"/>
      <c r="H25" s="100"/>
    </row>
    <row r="26" customFormat="false" ht="13.5" hidden="false" customHeight="true" outlineLevel="0" collapsed="false">
      <c r="A26" s="135"/>
      <c r="B26" s="129" t="str">
        <f aca="false">IF(Income!G$2="","",VLOOKUP(Income!G$2,Class,2))</f>
        <v/>
      </c>
      <c r="C26" s="154" t="str">
        <f aca="false">IF(Income!M2="","",Income!M$2)</f>
        <v/>
      </c>
      <c r="D26" s="131" t="str">
        <f aca="false">IF(Income!Y2="","",Income!Y2)</f>
        <v/>
      </c>
      <c r="E26" s="130" t="str">
        <f aca="false">IF(Income!T2="","",Income!T2)</f>
        <v/>
      </c>
      <c r="F26" s="172"/>
      <c r="G26" s="137"/>
      <c r="H26" s="187" t="str">
        <f aca="false">IF(C23="","",C23*(1+G26))</f>
        <v/>
      </c>
    </row>
    <row r="27" customFormat="false" ht="14.25" hidden="false" customHeight="true" outlineLevel="0" collapsed="false">
      <c r="F27" s="188"/>
    </row>
    <row r="28" customFormat="false" ht="13.5" hidden="false" customHeight="true" outlineLevel="0" collapsed="false">
      <c r="A28" s="135" t="s">
        <v>392</v>
      </c>
      <c r="B28" s="100"/>
      <c r="C28" s="189" t="str">
        <f aca="false">IF(Income!K3="","",Income!K3)</f>
        <v/>
      </c>
      <c r="D28" s="141" t="str">
        <f aca="false">IF(Income!H3="","",VLOOKUP(Income!H3,Location,2))</f>
        <v/>
      </c>
      <c r="E28" s="141" t="str">
        <f aca="false">IF(Income!N3="","",Income!N3)</f>
        <v/>
      </c>
      <c r="F28" s="116"/>
      <c r="G28" s="116"/>
      <c r="H28" s="100"/>
    </row>
    <row r="29" customFormat="false" ht="12.75" hidden="false" customHeight="true" outlineLevel="0" collapsed="false">
      <c r="A29" s="135"/>
      <c r="B29" s="100"/>
      <c r="C29" s="156" t="str">
        <f aca="false">IF(Income!L3="","",Income!L3)</f>
        <v/>
      </c>
      <c r="D29" s="142" t="str">
        <f aca="false">IF(Income!W3="","",Income!W3)</f>
        <v/>
      </c>
      <c r="E29" s="141" t="str">
        <f aca="false">IF(Income!Z3="","",VLOOKUP(Income!Z3,GRADE,2))</f>
        <v/>
      </c>
      <c r="F29" s="116"/>
      <c r="G29" s="116"/>
      <c r="H29" s="100"/>
    </row>
    <row r="30" customFormat="false" ht="12.75" hidden="false" customHeight="true" outlineLevel="0" collapsed="false">
      <c r="A30" s="135"/>
      <c r="B30" s="140" t="str">
        <f aca="false">IF(Income!E3="","",Income!E3)</f>
        <v/>
      </c>
      <c r="C30" s="189" t="str">
        <f aca="false">IF(OR(C28="",C29="",C31=""),"",C28*(1-C29)*C31)</f>
        <v/>
      </c>
      <c r="D30" s="141" t="str">
        <f aca="false">IF(Income!X3="","",Income!X3)</f>
        <v/>
      </c>
      <c r="E30" s="141" t="str">
        <f aca="false">IF(Income!AC3="","",VLOOKUP(Income!AC3,P_f,2))</f>
        <v/>
      </c>
      <c r="F30" s="116"/>
      <c r="G30" s="116"/>
      <c r="H30" s="100"/>
    </row>
    <row r="31" customFormat="false" ht="13.5" hidden="false" customHeight="true" outlineLevel="0" collapsed="false">
      <c r="A31" s="135"/>
      <c r="B31" s="140" t="str">
        <f aca="false">IF(Income!G3="","",VLOOKUP(Income!G3,Class,2))</f>
        <v/>
      </c>
      <c r="C31" s="156" t="str">
        <f aca="false">IF(Income!M3="","",Income!M3)</f>
        <v/>
      </c>
      <c r="D31" s="142" t="str">
        <f aca="false">IF(Income!Y3="","",Income!Y3)</f>
        <v/>
      </c>
      <c r="E31" s="141" t="str">
        <f aca="false">IF(Income!T3="","",Income!T3)</f>
        <v/>
      </c>
      <c r="F31" s="172"/>
      <c r="G31" s="137"/>
      <c r="H31" s="187" t="str">
        <f aca="false">IF(C28="","",C28*(1+G31))</f>
        <v/>
      </c>
    </row>
    <row r="32" customFormat="false" ht="14.25" hidden="false" customHeight="true" outlineLevel="0" collapsed="false">
      <c r="F32" s="188"/>
    </row>
    <row r="33" customFormat="false" ht="13.5" hidden="false" customHeight="true" outlineLevel="0" collapsed="false">
      <c r="A33" s="135" t="s">
        <v>393</v>
      </c>
      <c r="B33" s="100"/>
      <c r="C33" s="186" t="str">
        <f aca="false">IF(Income!K4="","",Income!K4)</f>
        <v/>
      </c>
      <c r="D33" s="130" t="str">
        <f aca="false">IF(Income!H4="","",VLOOKUP(Income!H4,Location,2))</f>
        <v/>
      </c>
      <c r="E33" s="130" t="str">
        <f aca="false">IF(Income!N4="","",Income!N4)</f>
        <v/>
      </c>
      <c r="F33" s="116"/>
      <c r="G33" s="116"/>
      <c r="H33" s="100"/>
    </row>
    <row r="34" customFormat="false" ht="12.75" hidden="false" customHeight="true" outlineLevel="0" collapsed="false">
      <c r="A34" s="135"/>
      <c r="B34" s="100"/>
      <c r="C34" s="154" t="str">
        <f aca="false">IF(Income!L4="","",Income!L4)</f>
        <v/>
      </c>
      <c r="D34" s="131" t="str">
        <f aca="false">IF(Income!W4="","",Income!W4)</f>
        <v/>
      </c>
      <c r="E34" s="130" t="str">
        <f aca="false">IF(Income!Z4="","",VLOOKUP(Income!Z4,GRADE,2))</f>
        <v/>
      </c>
      <c r="F34" s="116"/>
      <c r="G34" s="116"/>
      <c r="H34" s="100"/>
    </row>
    <row r="35" customFormat="false" ht="12.75" hidden="false" customHeight="true" outlineLevel="0" collapsed="false">
      <c r="A35" s="135"/>
      <c r="B35" s="129" t="str">
        <f aca="false">IF(Income!E4="","",Income!E4)</f>
        <v/>
      </c>
      <c r="C35" s="186" t="str">
        <f aca="false">IF(OR(C33="",C34="",C36=""),"",C33*(1-C34)*C36)</f>
        <v/>
      </c>
      <c r="D35" s="130" t="str">
        <f aca="false">IF(Income!X4="","",Income!X4)</f>
        <v/>
      </c>
      <c r="E35" s="130" t="str">
        <f aca="false">IF(Income!AC4="","",VLOOKUP(Income!AC4,P_f,2))</f>
        <v/>
      </c>
      <c r="F35" s="116"/>
      <c r="G35" s="116"/>
      <c r="H35" s="100"/>
    </row>
    <row r="36" customFormat="false" ht="13.5" hidden="false" customHeight="true" outlineLevel="0" collapsed="false">
      <c r="A36" s="135"/>
      <c r="B36" s="129" t="str">
        <f aca="false">IF(Income!G4="","",VLOOKUP(Income!G4,Class,2))</f>
        <v/>
      </c>
      <c r="C36" s="154" t="str">
        <f aca="false">IF(Income!M4="","",Income!M4)</f>
        <v/>
      </c>
      <c r="D36" s="131" t="str">
        <f aca="false">IF(Income!Y4="","",Income!Y4)</f>
        <v/>
      </c>
      <c r="E36" s="130" t="str">
        <f aca="false">IF(Income!T4="","",Income!T4)</f>
        <v/>
      </c>
      <c r="F36" s="172"/>
      <c r="G36" s="137"/>
      <c r="H36" s="187" t="str">
        <f aca="false">IF(C33="","",C33*(1+G36))</f>
        <v/>
      </c>
    </row>
    <row r="37" customFormat="false" ht="14.25" hidden="false" customHeight="true" outlineLevel="0" collapsed="false">
      <c r="F37" s="188"/>
    </row>
    <row r="38" customFormat="false" ht="13.5" hidden="false" customHeight="true" outlineLevel="0" collapsed="false">
      <c r="A38" s="135" t="s">
        <v>394</v>
      </c>
      <c r="B38" s="100"/>
      <c r="C38" s="189" t="str">
        <f aca="false">IF(Income!K5="","",Income!K5)</f>
        <v/>
      </c>
      <c r="D38" s="141" t="str">
        <f aca="false">IF(Income!H5="","",VLOOKUP(Income!H5,Location,2))</f>
        <v/>
      </c>
      <c r="E38" s="141" t="str">
        <f aca="false">IF(Income!N5="","",Income!N5)</f>
        <v/>
      </c>
      <c r="F38" s="116"/>
      <c r="G38" s="116"/>
      <c r="H38" s="100"/>
    </row>
    <row r="39" customFormat="false" ht="12.75" hidden="false" customHeight="true" outlineLevel="0" collapsed="false">
      <c r="A39" s="135"/>
      <c r="B39" s="100"/>
      <c r="C39" s="156" t="str">
        <f aca="false">IF(Income!L5="","",Income!L5)</f>
        <v/>
      </c>
      <c r="D39" s="142" t="str">
        <f aca="false">IF(Income!W5="","",Income!W5)</f>
        <v/>
      </c>
      <c r="E39" s="141" t="str">
        <f aca="false">IF(Income!Z5="","",VLOOKUP(Income!Z5,GRADE,2))</f>
        <v/>
      </c>
      <c r="F39" s="116"/>
      <c r="G39" s="116"/>
      <c r="H39" s="100"/>
    </row>
    <row r="40" customFormat="false" ht="12.75" hidden="false" customHeight="true" outlineLevel="0" collapsed="false">
      <c r="A40" s="135"/>
      <c r="B40" s="140" t="str">
        <f aca="false">IF(Income!E5="","",Income!E5)</f>
        <v/>
      </c>
      <c r="C40" s="189" t="str">
        <f aca="false">IF(OR(C38="",C39="",C41=""),"",C38*(1-C39)*C41)</f>
        <v/>
      </c>
      <c r="D40" s="141" t="str">
        <f aca="false">IF(Income!X5="","",Income!X5)</f>
        <v/>
      </c>
      <c r="E40" s="141" t="str">
        <f aca="false">IF(Income!AC5="","",VLOOKUP(Income!AC5,P_f,2))</f>
        <v/>
      </c>
      <c r="F40" s="116"/>
      <c r="G40" s="116"/>
      <c r="H40" s="100"/>
    </row>
    <row r="41" customFormat="false" ht="13.5" hidden="false" customHeight="true" outlineLevel="0" collapsed="false">
      <c r="A41" s="135"/>
      <c r="B41" s="140" t="str">
        <f aca="false">IF(Income!G5="","",VLOOKUP(Income!G5,Class,2))</f>
        <v/>
      </c>
      <c r="C41" s="156" t="str">
        <f aca="false">IF(Income!M5="","",Income!M5)</f>
        <v/>
      </c>
      <c r="D41" s="142" t="str">
        <f aca="false">IF(Income!Y5="","",Income!Y5)</f>
        <v/>
      </c>
      <c r="E41" s="141" t="str">
        <f aca="false">IF(Income!T5="","",Income!T5)</f>
        <v/>
      </c>
      <c r="F41" s="172"/>
      <c r="G41" s="137"/>
      <c r="H41" s="187" t="str">
        <f aca="false">IF(C38="","",C38*(1+G41))</f>
        <v/>
      </c>
    </row>
    <row r="42" customFormat="false" ht="13.5" hidden="false" customHeight="true" outlineLevel="0" collapsed="false"/>
  </sheetData>
  <mergeCells count="4">
    <mergeCell ref="A23:A26"/>
    <mergeCell ref="A28:A31"/>
    <mergeCell ref="A33:A36"/>
    <mergeCell ref="A38:A41"/>
  </mergeCells>
  <printOptions headings="false" gridLines="false" gridLinesSet="true" horizontalCentered="true" verticalCentered="false"/>
  <pageMargins left="0.25" right="0.25" top="0.5" bottom="0.2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1">
              <controlPr defaultSize="0" print="true" autoFill="0" autoPict="0" macro="Module4.Subject_BAA_RENT">
                <anchor moveWithCells="true" sizeWithCells="false">
                  <from>
                    <xdr:col>0</xdr:col>
                    <xdr:colOff>0</xdr:colOff>
                    <xdr:row>0</xdr:row>
                    <xdr:rowOff>0</xdr:rowOff>
                  </from>
                  <to>
                    <xdr:col>1</xdr:col>
                    <xdr:colOff>876240</xdr:colOff>
                    <xdr:row>1</xdr:row>
                    <xdr:rowOff>133200</xdr:rowOff>
                  </to>
                </anchor>
              </controlPr>
            </control>
          </mc:Choice>
        </mc:AlternateContent>
        <mc:AlternateContent xmlns:mc="http://schemas.openxmlformats.org/markup-compatibility/2006">
          <mc:Choice Requires="x14">
            <control shapeId="1002" r:id="rId5" name="Button 16">
              <controlPr defaultSize="0" print="true" autoFill="0" autoPict="0" macro="Module1.Income">
                <anchor moveWithCells="true" sizeWithCells="false">
                  <from>
                    <xdr:col>0</xdr:col>
                    <xdr:colOff>0</xdr:colOff>
                    <xdr:row>1</xdr:row>
                    <xdr:rowOff>0</xdr:rowOff>
                  </from>
                  <to>
                    <xdr:col>1</xdr:col>
                    <xdr:colOff>876240</xdr:colOff>
                    <xdr:row>2</xdr:row>
                    <xdr:rowOff>9360</xdr:rowOff>
                  </to>
                </anchor>
              </controlPr>
            </control>
          </mc:Choice>
        </mc:AlternateContent>
        <mc:AlternateContent xmlns:mc="http://schemas.openxmlformats.org/markup-compatibility/2006">
          <mc:Choice Requires="x14">
            <control shapeId="1003" r:id="rId6" name="Button 4">
              <controlPr defaultSize="0" print="true" autoFill="0" autoPict="0" macro="Module4.Subject_BAA_RENT">
                <anchor moveWithCells="true" sizeWithCells="false">
                  <from>
                    <xdr:col>0</xdr:col>
                    <xdr:colOff>0</xdr:colOff>
                    <xdr:row>0</xdr:row>
                    <xdr:rowOff>0</xdr:rowOff>
                  </from>
                  <to>
                    <xdr:col>1</xdr:col>
                    <xdr:colOff>876240</xdr:colOff>
                    <xdr:row>1</xdr:row>
                    <xdr:rowOff>-133200</xdr:rowOff>
                  </to>
                </anchor>
              </controlPr>
            </control>
          </mc:Choice>
        </mc:AlternateContent>
        <mc:AlternateContent xmlns:mc="http://schemas.openxmlformats.org/markup-compatibility/2006">
          <mc:Choice Requires="x14">
            <control shapeId="1004" r:id="rId7" name="Button 5">
              <controlPr defaultSize="0" print="true" autoFill="0" autoPict="0" macro="Module1.Income">
                <anchor moveWithCells="true" sizeWithCells="false">
                  <from>
                    <xdr:col>0</xdr:col>
                    <xdr:colOff>0</xdr:colOff>
                    <xdr:row>1</xdr:row>
                    <xdr:rowOff>0</xdr:rowOff>
                  </from>
                  <to>
                    <xdr:col>1</xdr:col>
                    <xdr:colOff>876240</xdr:colOff>
                    <xdr:row>2</xdr:row>
                    <xdr:rowOff>-9360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Z7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D77" activeCellId="0" sqref="D77"/>
    </sheetView>
  </sheetViews>
  <sheetFormatPr defaultColWidth="14.00390625" defaultRowHeight="16.5" zeroHeight="false" outlineLevelRow="0" outlineLevelCol="0"/>
  <cols>
    <col collapsed="false" customWidth="true" hidden="false" outlineLevel="0" max="1" min="1" style="190" width="28.43"/>
    <col collapsed="false" customWidth="true" hidden="false" outlineLevel="0" max="2" min="2" style="190" width="20.57"/>
    <col collapsed="false" customWidth="true" hidden="false" outlineLevel="0" max="3" min="3" style="190" width="11.43"/>
    <col collapsed="false" customWidth="true" hidden="false" outlineLevel="0" max="4" min="4" style="190" width="19.43"/>
    <col collapsed="false" customWidth="true" hidden="false" outlineLevel="0" max="5" min="5" style="190" width="2.43"/>
    <col collapsed="false" customWidth="true" hidden="false" outlineLevel="0" max="6" min="6" style="190" width="6.86"/>
    <col collapsed="false" customWidth="true" hidden="false" outlineLevel="0" max="7" min="7" style="190" width="8"/>
    <col collapsed="false" customWidth="true" hidden="false" outlineLevel="0" max="8" min="8" style="190" width="11.43"/>
    <col collapsed="false" customWidth="true" hidden="false" outlineLevel="0" max="9" min="9" style="190" width="2.43"/>
    <col collapsed="false" customWidth="true" hidden="false" outlineLevel="0" max="10" min="10" style="190" width="9.14"/>
    <col collapsed="false" customWidth="true" hidden="false" outlineLevel="0" max="11" min="11" style="190" width="12.57"/>
    <col collapsed="false" customWidth="true" hidden="false" outlineLevel="0" max="12" min="12" style="190" width="9.14"/>
    <col collapsed="false" customWidth="false" hidden="false" outlineLevel="0" max="24" min="13" style="190" width="14"/>
    <col collapsed="false" customWidth="true" hidden="true" outlineLevel="0" max="25" min="25" style="1" width="6.86"/>
    <col collapsed="false" customWidth="true" hidden="true" outlineLevel="0" max="26" min="26" style="1" width="14.86"/>
    <col collapsed="false" customWidth="false" hidden="false" outlineLevel="0" max="16384" min="27" style="190" width="14"/>
  </cols>
  <sheetData>
    <row r="1" customFormat="false" ht="24" hidden="false" customHeight="true" outlineLevel="0" collapsed="false">
      <c r="A1" s="191" t="s">
        <v>395</v>
      </c>
      <c r="B1" s="191"/>
      <c r="C1" s="191"/>
      <c r="D1" s="191"/>
      <c r="E1" s="191"/>
      <c r="F1" s="191"/>
      <c r="G1" s="191"/>
      <c r="H1" s="191"/>
      <c r="I1" s="191"/>
      <c r="J1" s="191"/>
      <c r="K1" s="191"/>
      <c r="L1" s="191"/>
      <c r="M1" s="191"/>
    </row>
    <row r="2" customFormat="false" ht="16.5" hidden="false" customHeight="true" outlineLevel="0" collapsed="false">
      <c r="A2" s="192" t="s">
        <v>396</v>
      </c>
      <c r="D2" s="193"/>
      <c r="E2" s="193"/>
      <c r="F2" s="193"/>
      <c r="G2" s="193"/>
      <c r="H2" s="193"/>
    </row>
    <row r="3" customFormat="false" ht="16.5" hidden="false" customHeight="true" outlineLevel="0" collapsed="false">
      <c r="A3" s="192" t="s">
        <v>397</v>
      </c>
      <c r="D3" s="194" t="str">
        <f aca="false">IF(Subj_Address="","",Subj_Address)</f>
        <v>22600 Interstate 76</v>
      </c>
      <c r="E3" s="194"/>
      <c r="F3" s="194"/>
      <c r="G3" s="194"/>
      <c r="H3" s="194"/>
    </row>
    <row r="4" customFormat="false" ht="16.5" hidden="false" customHeight="true" outlineLevel="0" collapsed="false">
      <c r="A4" s="192" t="s">
        <v>398</v>
      </c>
      <c r="D4" s="193"/>
      <c r="E4" s="193"/>
      <c r="F4" s="193"/>
      <c r="G4" s="193"/>
      <c r="H4" s="193"/>
    </row>
    <row r="5" customFormat="false" ht="16.5" hidden="false" customHeight="true" outlineLevel="0" collapsed="false">
      <c r="A5" s="192" t="s">
        <v>399</v>
      </c>
      <c r="D5" s="193"/>
      <c r="E5" s="193"/>
      <c r="F5" s="193"/>
      <c r="G5" s="193"/>
      <c r="H5" s="193"/>
    </row>
    <row r="7" customFormat="false" ht="16.5" hidden="false" customHeight="true" outlineLevel="0" collapsed="false">
      <c r="A7" s="192" t="s">
        <v>400</v>
      </c>
    </row>
    <row r="8" customFormat="false" ht="16.5" hidden="false" customHeight="true" outlineLevel="0" collapsed="false">
      <c r="A8" s="195"/>
      <c r="B8" s="195"/>
      <c r="C8" s="195"/>
      <c r="D8" s="195"/>
      <c r="E8" s="195"/>
      <c r="F8" s="195"/>
      <c r="G8" s="195"/>
      <c r="H8" s="195"/>
      <c r="I8" s="195"/>
      <c r="J8" s="195"/>
      <c r="K8" s="195"/>
      <c r="L8" s="195"/>
      <c r="M8" s="195"/>
    </row>
    <row r="9" customFormat="false" ht="16.5" hidden="false" customHeight="true" outlineLevel="0" collapsed="false">
      <c r="A9" s="195"/>
      <c r="B9" s="195"/>
      <c r="C9" s="195"/>
      <c r="D9" s="195"/>
      <c r="E9" s="195"/>
      <c r="F9" s="195"/>
      <c r="G9" s="195"/>
      <c r="H9" s="195"/>
      <c r="I9" s="195"/>
      <c r="J9" s="195"/>
      <c r="K9" s="195"/>
      <c r="L9" s="195"/>
      <c r="M9" s="195"/>
    </row>
    <row r="10" customFormat="false" ht="16.5" hidden="false" customHeight="true" outlineLevel="0" collapsed="false">
      <c r="A10" s="195"/>
      <c r="B10" s="195"/>
      <c r="C10" s="195"/>
      <c r="D10" s="195"/>
      <c r="E10" s="195"/>
      <c r="F10" s="195"/>
      <c r="G10" s="195"/>
      <c r="H10" s="195"/>
      <c r="I10" s="195"/>
      <c r="J10" s="195"/>
      <c r="K10" s="195"/>
      <c r="L10" s="195"/>
      <c r="M10" s="195"/>
    </row>
    <row r="11" customFormat="false" ht="16.5" hidden="false" customHeight="true" outlineLevel="0" collapsed="false">
      <c r="A11" s="195"/>
      <c r="B11" s="195"/>
      <c r="C11" s="195"/>
      <c r="D11" s="195"/>
      <c r="E11" s="195"/>
      <c r="F11" s="195"/>
      <c r="G11" s="195"/>
      <c r="H11" s="195"/>
      <c r="I11" s="195"/>
      <c r="J11" s="195"/>
      <c r="K11" s="195"/>
      <c r="L11" s="195"/>
      <c r="M11" s="195"/>
    </row>
    <row r="12" customFormat="false" ht="16.5" hidden="false" customHeight="true" outlineLevel="0" collapsed="false">
      <c r="A12" s="195"/>
      <c r="B12" s="195"/>
      <c r="C12" s="195"/>
      <c r="D12" s="195"/>
      <c r="E12" s="195"/>
      <c r="F12" s="195"/>
      <c r="G12" s="195"/>
      <c r="H12" s="195"/>
      <c r="I12" s="195"/>
      <c r="J12" s="195"/>
      <c r="K12" s="195"/>
      <c r="L12" s="195"/>
      <c r="M12" s="195"/>
    </row>
    <row r="13" customFormat="false" ht="16.5" hidden="false" customHeight="true" outlineLevel="0" collapsed="false">
      <c r="A13" s="195"/>
      <c r="B13" s="195"/>
      <c r="C13" s="195"/>
      <c r="D13" s="195"/>
      <c r="E13" s="195"/>
      <c r="F13" s="195"/>
      <c r="G13" s="195"/>
      <c r="H13" s="195"/>
      <c r="I13" s="195"/>
      <c r="J13" s="195"/>
      <c r="K13" s="195"/>
      <c r="L13" s="195"/>
      <c r="M13" s="195"/>
    </row>
    <row r="14" customFormat="false" ht="16.5" hidden="false" customHeight="true" outlineLevel="0" collapsed="false">
      <c r="A14" s="195"/>
      <c r="B14" s="195"/>
      <c r="C14" s="195"/>
      <c r="D14" s="195"/>
      <c r="E14" s="195"/>
      <c r="F14" s="195"/>
      <c r="G14" s="195"/>
      <c r="H14" s="195"/>
      <c r="I14" s="195"/>
      <c r="J14" s="195"/>
      <c r="K14" s="195"/>
      <c r="L14" s="195"/>
      <c r="M14" s="195"/>
    </row>
    <row r="15" customFormat="false" ht="16.5" hidden="false" customHeight="true" outlineLevel="0" collapsed="false">
      <c r="A15" s="195"/>
      <c r="B15" s="195"/>
      <c r="C15" s="195"/>
      <c r="D15" s="195"/>
      <c r="E15" s="195"/>
      <c r="F15" s="195"/>
      <c r="G15" s="195"/>
      <c r="H15" s="195"/>
      <c r="I15" s="195"/>
      <c r="J15" s="195"/>
      <c r="K15" s="195"/>
      <c r="L15" s="195"/>
      <c r="M15" s="195"/>
    </row>
    <row r="16" customFormat="false" ht="16.5" hidden="false" customHeight="true" outlineLevel="0" collapsed="false">
      <c r="A16" s="195"/>
      <c r="B16" s="195"/>
      <c r="C16" s="195"/>
      <c r="D16" s="195"/>
      <c r="E16" s="195"/>
      <c r="F16" s="195"/>
      <c r="G16" s="195"/>
      <c r="H16" s="195"/>
      <c r="I16" s="195"/>
      <c r="J16" s="195"/>
      <c r="K16" s="195"/>
      <c r="L16" s="195"/>
      <c r="M16" s="195"/>
    </row>
    <row r="17" customFormat="false" ht="16.5" hidden="false" customHeight="true" outlineLevel="0" collapsed="false">
      <c r="A17" s="195"/>
      <c r="B17" s="195"/>
      <c r="C17" s="195"/>
      <c r="D17" s="195"/>
      <c r="E17" s="195"/>
      <c r="F17" s="195"/>
      <c r="G17" s="195"/>
      <c r="H17" s="195"/>
      <c r="I17" s="195"/>
      <c r="J17" s="195"/>
      <c r="K17" s="195"/>
      <c r="L17" s="195"/>
      <c r="M17" s="195"/>
    </row>
    <row r="18" customFormat="false" ht="16.5" hidden="false" customHeight="true" outlineLevel="0" collapsed="false">
      <c r="A18" s="195"/>
      <c r="B18" s="195"/>
      <c r="C18" s="195"/>
      <c r="D18" s="195"/>
      <c r="E18" s="195"/>
      <c r="F18" s="195"/>
      <c r="G18" s="195"/>
      <c r="H18" s="195"/>
      <c r="I18" s="195"/>
      <c r="J18" s="195"/>
      <c r="K18" s="195"/>
      <c r="L18" s="195"/>
      <c r="M18" s="195"/>
    </row>
    <row r="19" customFormat="false" ht="16.5" hidden="false" customHeight="true" outlineLevel="0" collapsed="false">
      <c r="A19" s="195"/>
      <c r="B19" s="195"/>
      <c r="C19" s="195"/>
      <c r="D19" s="195"/>
      <c r="E19" s="195"/>
      <c r="F19" s="195"/>
      <c r="G19" s="195"/>
      <c r="H19" s="195"/>
      <c r="I19" s="195"/>
      <c r="J19" s="195"/>
      <c r="K19" s="195"/>
      <c r="L19" s="195"/>
      <c r="M19" s="195"/>
    </row>
    <row r="20" customFormat="false" ht="16.5" hidden="false" customHeight="true" outlineLevel="0" collapsed="false">
      <c r="A20" s="195"/>
      <c r="B20" s="195"/>
      <c r="C20" s="195"/>
      <c r="D20" s="195"/>
      <c r="E20" s="195"/>
      <c r="F20" s="195"/>
      <c r="G20" s="195"/>
      <c r="H20" s="195"/>
      <c r="I20" s="195"/>
      <c r="J20" s="195"/>
      <c r="K20" s="195"/>
      <c r="L20" s="195"/>
      <c r="M20" s="195"/>
    </row>
    <row r="22" customFormat="false" ht="16.5" hidden="false" customHeight="true" outlineLevel="0" collapsed="false">
      <c r="A22" s="192" t="s">
        <v>401</v>
      </c>
    </row>
    <row r="23" customFormat="false" ht="16.5" hidden="false" customHeight="true" outlineLevel="0" collapsed="false">
      <c r="A23" s="195"/>
      <c r="B23" s="195"/>
      <c r="C23" s="195"/>
      <c r="D23" s="195"/>
      <c r="E23" s="195"/>
      <c r="F23" s="195"/>
      <c r="G23" s="195"/>
      <c r="H23" s="195"/>
      <c r="I23" s="195"/>
      <c r="J23" s="195"/>
      <c r="K23" s="195"/>
      <c r="L23" s="195"/>
      <c r="M23" s="195"/>
    </row>
    <row r="24" customFormat="false" ht="16.5" hidden="false" customHeight="true" outlineLevel="0" collapsed="false">
      <c r="A24" s="195"/>
      <c r="B24" s="195"/>
      <c r="C24" s="195"/>
      <c r="D24" s="195"/>
      <c r="E24" s="195"/>
      <c r="F24" s="195"/>
      <c r="G24" s="195"/>
      <c r="H24" s="195"/>
      <c r="I24" s="195"/>
      <c r="J24" s="195"/>
      <c r="K24" s="195"/>
      <c r="L24" s="195"/>
      <c r="M24" s="195"/>
    </row>
    <row r="25" customFormat="false" ht="16.5" hidden="false" customHeight="true" outlineLevel="0" collapsed="false">
      <c r="A25" s="195"/>
      <c r="B25" s="195"/>
      <c r="C25" s="195"/>
      <c r="D25" s="195"/>
      <c r="E25" s="195"/>
      <c r="F25" s="195"/>
      <c r="G25" s="195"/>
      <c r="H25" s="195"/>
      <c r="I25" s="195"/>
      <c r="J25" s="195"/>
      <c r="K25" s="195"/>
      <c r="L25" s="195"/>
      <c r="M25" s="195"/>
    </row>
    <row r="26" customFormat="false" ht="16.5" hidden="false" customHeight="true" outlineLevel="0" collapsed="false">
      <c r="A26" s="195"/>
      <c r="B26" s="195"/>
      <c r="C26" s="195"/>
      <c r="D26" s="195"/>
      <c r="E26" s="195"/>
      <c r="F26" s="195"/>
      <c r="G26" s="195"/>
      <c r="H26" s="195"/>
      <c r="I26" s="195"/>
      <c r="J26" s="195"/>
      <c r="K26" s="195"/>
      <c r="L26" s="195"/>
      <c r="M26" s="195"/>
    </row>
    <row r="27" customFormat="false" ht="16.5" hidden="false" customHeight="true" outlineLevel="0" collapsed="false">
      <c r="A27" s="195"/>
      <c r="B27" s="195"/>
      <c r="C27" s="195"/>
      <c r="D27" s="195"/>
      <c r="E27" s="195"/>
      <c r="F27" s="195"/>
      <c r="G27" s="195"/>
      <c r="H27" s="195"/>
      <c r="I27" s="195"/>
      <c r="J27" s="195"/>
      <c r="K27" s="195"/>
      <c r="L27" s="195"/>
      <c r="M27" s="195"/>
    </row>
    <row r="28" customFormat="false" ht="16.5" hidden="false" customHeight="true" outlineLevel="0" collapsed="false">
      <c r="A28" s="195"/>
      <c r="B28" s="195"/>
      <c r="C28" s="195"/>
      <c r="D28" s="195"/>
      <c r="E28" s="195"/>
      <c r="F28" s="195"/>
      <c r="G28" s="195"/>
      <c r="H28" s="195"/>
      <c r="I28" s="195"/>
      <c r="J28" s="195"/>
      <c r="K28" s="195"/>
      <c r="L28" s="195"/>
      <c r="M28" s="195"/>
    </row>
    <row r="29" customFormat="false" ht="16.5" hidden="false" customHeight="true" outlineLevel="0" collapsed="false">
      <c r="A29" s="195"/>
      <c r="B29" s="195"/>
      <c r="C29" s="195"/>
      <c r="D29" s="195"/>
      <c r="E29" s="195"/>
      <c r="F29" s="195"/>
      <c r="G29" s="195"/>
      <c r="H29" s="195"/>
      <c r="I29" s="195"/>
      <c r="J29" s="195"/>
      <c r="K29" s="195"/>
      <c r="L29" s="195"/>
      <c r="M29" s="195"/>
    </row>
    <row r="30" customFormat="false" ht="16.5" hidden="false" customHeight="true" outlineLevel="0" collapsed="false">
      <c r="A30" s="195"/>
      <c r="B30" s="195"/>
      <c r="C30" s="195"/>
      <c r="D30" s="195"/>
      <c r="E30" s="195"/>
      <c r="F30" s="195"/>
      <c r="G30" s="195"/>
      <c r="H30" s="195"/>
      <c r="I30" s="195"/>
      <c r="J30" s="195"/>
      <c r="K30" s="195"/>
      <c r="L30" s="195"/>
      <c r="M30" s="195"/>
    </row>
    <row r="31" customFormat="false" ht="16.5" hidden="false" customHeight="true" outlineLevel="0" collapsed="false">
      <c r="A31" s="195"/>
      <c r="B31" s="195"/>
      <c r="C31" s="195"/>
      <c r="D31" s="195"/>
      <c r="E31" s="195"/>
      <c r="F31" s="195"/>
      <c r="G31" s="195"/>
      <c r="H31" s="195"/>
      <c r="I31" s="195"/>
      <c r="J31" s="195"/>
      <c r="K31" s="195"/>
      <c r="L31" s="195"/>
      <c r="M31" s="195"/>
    </row>
    <row r="32" customFormat="false" ht="16.5" hidden="false" customHeight="true" outlineLevel="0" collapsed="false">
      <c r="A32" s="195"/>
      <c r="B32" s="195"/>
      <c r="C32" s="195"/>
      <c r="D32" s="195"/>
      <c r="E32" s="195"/>
      <c r="F32" s="195"/>
      <c r="G32" s="195"/>
      <c r="H32" s="195"/>
      <c r="I32" s="195"/>
      <c r="J32" s="195"/>
      <c r="K32" s="195"/>
      <c r="L32" s="195"/>
      <c r="M32" s="195"/>
    </row>
    <row r="33" customFormat="false" ht="16.5" hidden="false" customHeight="true" outlineLevel="0" collapsed="false">
      <c r="A33" s="195"/>
      <c r="B33" s="195"/>
      <c r="C33" s="195"/>
      <c r="D33" s="195"/>
      <c r="E33" s="195"/>
      <c r="F33" s="195"/>
      <c r="G33" s="195"/>
      <c r="H33" s="195"/>
      <c r="I33" s="195"/>
      <c r="J33" s="195"/>
      <c r="K33" s="195"/>
      <c r="L33" s="195"/>
      <c r="M33" s="195"/>
    </row>
    <row r="35" customFormat="false" ht="16.5" hidden="false" customHeight="true" outlineLevel="0" collapsed="false">
      <c r="A35" s="192" t="s">
        <v>402</v>
      </c>
    </row>
    <row r="36" customFormat="false" ht="16.5" hidden="false" customHeight="true" outlineLevel="0" collapsed="false">
      <c r="A36" s="195"/>
      <c r="B36" s="195"/>
      <c r="C36" s="195"/>
      <c r="D36" s="195"/>
      <c r="E36" s="195"/>
      <c r="F36" s="195"/>
      <c r="G36" s="195"/>
      <c r="H36" s="195"/>
      <c r="I36" s="195"/>
      <c r="J36" s="195"/>
      <c r="K36" s="195"/>
      <c r="L36" s="195"/>
      <c r="M36" s="195"/>
    </row>
    <row r="37" customFormat="false" ht="16.5" hidden="false" customHeight="true" outlineLevel="0" collapsed="false">
      <c r="A37" s="195"/>
      <c r="B37" s="195"/>
      <c r="C37" s="195"/>
      <c r="D37" s="195"/>
      <c r="E37" s="195"/>
      <c r="F37" s="195"/>
      <c r="G37" s="195"/>
      <c r="H37" s="195"/>
      <c r="I37" s="195"/>
      <c r="J37" s="195"/>
      <c r="K37" s="195"/>
      <c r="L37" s="195"/>
      <c r="M37" s="195"/>
    </row>
    <row r="38" customFormat="false" ht="16.5" hidden="false" customHeight="true" outlineLevel="0" collapsed="false">
      <c r="A38" s="195"/>
      <c r="B38" s="195"/>
      <c r="C38" s="195"/>
      <c r="D38" s="195"/>
      <c r="E38" s="195"/>
      <c r="F38" s="195"/>
      <c r="G38" s="195"/>
      <c r="H38" s="195"/>
      <c r="I38" s="195"/>
      <c r="J38" s="195"/>
      <c r="K38" s="195"/>
      <c r="L38" s="195"/>
      <c r="M38" s="195"/>
    </row>
    <row r="39" customFormat="false" ht="16.5" hidden="false" customHeight="true" outlineLevel="0" collapsed="false">
      <c r="A39" s="195"/>
      <c r="B39" s="195"/>
      <c r="C39" s="195"/>
      <c r="D39" s="195"/>
      <c r="E39" s="195"/>
      <c r="F39" s="195"/>
      <c r="G39" s="195"/>
      <c r="H39" s="195"/>
      <c r="I39" s="195"/>
      <c r="J39" s="195"/>
      <c r="K39" s="195"/>
      <c r="L39" s="195"/>
      <c r="M39" s="195"/>
    </row>
    <row r="40" customFormat="false" ht="16.5" hidden="false" customHeight="true" outlineLevel="0" collapsed="false">
      <c r="A40" s="195"/>
      <c r="B40" s="195"/>
      <c r="C40" s="195"/>
      <c r="D40" s="195"/>
      <c r="E40" s="195"/>
      <c r="F40" s="195"/>
      <c r="G40" s="195"/>
      <c r="H40" s="195"/>
      <c r="I40" s="195"/>
      <c r="J40" s="195"/>
      <c r="K40" s="195"/>
      <c r="L40" s="195"/>
      <c r="M40" s="195"/>
    </row>
    <row r="41" customFormat="false" ht="16.5" hidden="false" customHeight="true" outlineLevel="0" collapsed="false">
      <c r="A41" s="195"/>
      <c r="B41" s="195"/>
      <c r="C41" s="195"/>
      <c r="D41" s="195"/>
      <c r="E41" s="195"/>
      <c r="F41" s="195"/>
      <c r="G41" s="195"/>
      <c r="H41" s="195"/>
      <c r="I41" s="195"/>
      <c r="J41" s="195"/>
      <c r="K41" s="195"/>
      <c r="L41" s="195"/>
      <c r="M41" s="195"/>
    </row>
    <row r="42" customFormat="false" ht="16.5" hidden="false" customHeight="true" outlineLevel="0" collapsed="false">
      <c r="A42" s="195"/>
      <c r="B42" s="195"/>
      <c r="C42" s="195"/>
      <c r="D42" s="195"/>
      <c r="E42" s="195"/>
      <c r="F42" s="195"/>
      <c r="G42" s="195"/>
      <c r="H42" s="195"/>
      <c r="I42" s="195"/>
      <c r="J42" s="195"/>
      <c r="K42" s="195"/>
      <c r="L42" s="195"/>
      <c r="M42" s="195"/>
    </row>
    <row r="43" customFormat="false" ht="16.5" hidden="false" customHeight="true" outlineLevel="0" collapsed="false">
      <c r="A43" s="195"/>
      <c r="B43" s="195"/>
      <c r="C43" s="195"/>
      <c r="D43" s="195"/>
      <c r="E43" s="195"/>
      <c r="F43" s="195"/>
      <c r="G43" s="195"/>
      <c r="H43" s="195"/>
      <c r="I43" s="195"/>
      <c r="J43" s="195"/>
      <c r="K43" s="195"/>
      <c r="L43" s="195"/>
      <c r="M43" s="195"/>
    </row>
    <row r="44" customFormat="false" ht="16.5" hidden="false" customHeight="true" outlineLevel="0" collapsed="false">
      <c r="A44" s="195"/>
      <c r="B44" s="195"/>
      <c r="C44" s="195"/>
      <c r="D44" s="195"/>
      <c r="E44" s="195"/>
      <c r="F44" s="195"/>
      <c r="G44" s="195"/>
      <c r="H44" s="195"/>
      <c r="I44" s="195"/>
      <c r="J44" s="195"/>
      <c r="K44" s="195"/>
      <c r="L44" s="195"/>
      <c r="M44" s="195"/>
    </row>
    <row r="45" customFormat="false" ht="16.5" hidden="false" customHeight="true" outlineLevel="0" collapsed="false">
      <c r="A45" s="195"/>
      <c r="B45" s="195"/>
      <c r="C45" s="195"/>
      <c r="D45" s="195"/>
      <c r="E45" s="195"/>
      <c r="F45" s="195"/>
      <c r="G45" s="195"/>
      <c r="H45" s="195"/>
      <c r="I45" s="195"/>
      <c r="J45" s="195"/>
      <c r="K45" s="195"/>
      <c r="L45" s="195"/>
      <c r="M45" s="195"/>
    </row>
    <row r="46" customFormat="false" ht="16.5" hidden="false" customHeight="true" outlineLevel="0" collapsed="false">
      <c r="A46" s="195"/>
      <c r="B46" s="195"/>
      <c r="C46" s="195"/>
      <c r="D46" s="195"/>
      <c r="E46" s="195"/>
      <c r="F46" s="195"/>
      <c r="G46" s="195"/>
      <c r="H46" s="195"/>
      <c r="I46" s="195"/>
      <c r="J46" s="195"/>
      <c r="K46" s="195"/>
      <c r="L46" s="195"/>
      <c r="M46" s="195"/>
    </row>
    <row r="47" customFormat="false" ht="16.5" hidden="false" customHeight="true" outlineLevel="0" collapsed="false">
      <c r="A47" s="196" t="s">
        <v>403</v>
      </c>
      <c r="B47" s="196"/>
      <c r="C47" s="196"/>
      <c r="D47" s="196"/>
      <c r="E47" s="196"/>
      <c r="F47" s="196"/>
      <c r="G47" s="196"/>
      <c r="H47" s="196"/>
      <c r="I47" s="196"/>
      <c r="J47" s="196"/>
      <c r="K47" s="196"/>
      <c r="L47" s="196"/>
      <c r="M47" s="196"/>
    </row>
    <row r="48" customFormat="false" ht="15.75" hidden="false" customHeight="true" outlineLevel="0" collapsed="false">
      <c r="C48" s="108" t="s">
        <v>404</v>
      </c>
      <c r="D48" s="108"/>
      <c r="E48" s="108"/>
      <c r="F48" s="108" t="s">
        <v>405</v>
      </c>
      <c r="G48" s="108"/>
      <c r="H48" s="108"/>
      <c r="I48" s="108"/>
      <c r="J48" s="108" t="s">
        <v>406</v>
      </c>
      <c r="K48" s="108"/>
    </row>
    <row r="49" customFormat="false" ht="16.5" hidden="false" customHeight="true" outlineLevel="0" collapsed="false">
      <c r="A49" s="192" t="s">
        <v>242</v>
      </c>
      <c r="C49" s="197"/>
      <c r="D49" s="197"/>
      <c r="E49" s="198"/>
      <c r="F49" s="197"/>
      <c r="G49" s="197"/>
      <c r="H49" s="197"/>
      <c r="I49" s="100"/>
      <c r="J49" s="199" t="n">
        <f aca="false">F49-C49</f>
        <v>0</v>
      </c>
      <c r="K49" s="199"/>
    </row>
    <row r="50" customFormat="false" ht="16.5" hidden="false" customHeight="true" outlineLevel="0" collapsed="false">
      <c r="A50" s="200" t="s">
        <v>407</v>
      </c>
      <c r="C50" s="197"/>
      <c r="D50" s="197"/>
      <c r="E50" s="198"/>
      <c r="F50" s="197"/>
      <c r="G50" s="197"/>
      <c r="H50" s="197"/>
      <c r="I50" s="100"/>
      <c r="J50" s="199" t="n">
        <f aca="false">F50-C50</f>
        <v>0</v>
      </c>
      <c r="K50" s="199"/>
    </row>
    <row r="51" customFormat="false" ht="16.5" hidden="false" customHeight="true" outlineLevel="0" collapsed="false">
      <c r="A51" s="192" t="s">
        <v>229</v>
      </c>
      <c r="C51" s="201" t="n">
        <f aca="false">C50+C49</f>
        <v>0</v>
      </c>
      <c r="D51" s="201"/>
      <c r="E51" s="198"/>
      <c r="F51" s="136" t="n">
        <f aca="false">F50+F49</f>
        <v>0</v>
      </c>
      <c r="G51" s="136"/>
      <c r="H51" s="136"/>
      <c r="I51" s="100"/>
      <c r="J51" s="199" t="n">
        <f aca="false">F51-C51</f>
        <v>0</v>
      </c>
      <c r="K51" s="199"/>
    </row>
    <row r="54" customFormat="false" ht="19.5" hidden="false" customHeight="true" outlineLevel="0" collapsed="false">
      <c r="A54" s="192" t="s">
        <v>408</v>
      </c>
      <c r="B54" s="202"/>
      <c r="C54" s="203"/>
      <c r="D54" s="204"/>
      <c r="F54" s="205"/>
    </row>
    <row r="55" customFormat="false" ht="19.5" hidden="false" customHeight="true" outlineLevel="0" collapsed="false">
      <c r="A55" s="206" t="s">
        <v>409</v>
      </c>
      <c r="B55" s="202"/>
      <c r="C55" s="202"/>
      <c r="D55" s="202"/>
      <c r="E55" s="207"/>
      <c r="F55" s="207"/>
    </row>
    <row r="56" customFormat="false" ht="19.5" hidden="false" customHeight="true" outlineLevel="0" collapsed="false">
      <c r="A56" s="208" t="s">
        <v>410</v>
      </c>
      <c r="B56" s="202"/>
      <c r="C56" s="202"/>
      <c r="D56" s="202"/>
      <c r="E56" s="205"/>
      <c r="F56" s="205"/>
    </row>
    <row r="57" customFormat="false" ht="19.5" hidden="false" customHeight="true" outlineLevel="0" collapsed="false"/>
    <row r="58" customFormat="false" ht="19.5" hidden="false" customHeight="true" outlineLevel="0" collapsed="false"/>
    <row r="59" customFormat="false" ht="19.5" hidden="false" customHeight="true" outlineLevel="0" collapsed="false"/>
    <row r="60" customFormat="false" ht="16.5" hidden="false" customHeight="true" outlineLevel="0" collapsed="false">
      <c r="A60" s="209" t="s">
        <v>411</v>
      </c>
      <c r="B60" s="210"/>
      <c r="C60" s="210"/>
      <c r="D60" s="210"/>
      <c r="E60" s="210"/>
      <c r="F60" s="210"/>
      <c r="G60" s="210"/>
      <c r="H60" s="210" t="s">
        <v>412</v>
      </c>
      <c r="I60" s="210"/>
      <c r="J60" s="210"/>
      <c r="K60" s="210"/>
      <c r="L60" s="211" t="s">
        <v>413</v>
      </c>
      <c r="M60" s="151"/>
    </row>
    <row r="61" customFormat="false" ht="16.5" hidden="false" customHeight="true" outlineLevel="0" collapsed="false">
      <c r="A61" s="108"/>
      <c r="B61" s="108" t="s">
        <v>414</v>
      </c>
      <c r="C61" s="108" t="s">
        <v>415</v>
      </c>
      <c r="D61" s="108"/>
      <c r="E61" s="108"/>
      <c r="F61" s="108" t="s">
        <v>416</v>
      </c>
      <c r="G61" s="108" t="s">
        <v>302</v>
      </c>
      <c r="H61" s="108" t="s">
        <v>417</v>
      </c>
      <c r="I61" s="108"/>
      <c r="J61" s="108" t="s">
        <v>418</v>
      </c>
      <c r="K61" s="108" t="s">
        <v>419</v>
      </c>
      <c r="L61" s="108" t="s">
        <v>420</v>
      </c>
      <c r="M61" s="108"/>
    </row>
    <row r="62" customFormat="false" ht="16.5" hidden="false" customHeight="true" outlineLevel="0" collapsed="false">
      <c r="A62" s="212"/>
      <c r="B62" s="135" t="s">
        <v>421</v>
      </c>
      <c r="C62" s="100"/>
      <c r="D62" s="100"/>
      <c r="E62" s="100"/>
      <c r="F62" s="153"/>
      <c r="G62" s="153"/>
      <c r="H62" s="116"/>
      <c r="I62" s="116"/>
      <c r="J62" s="116"/>
      <c r="K62" s="116"/>
      <c r="L62" s="116"/>
      <c r="M62" s="100"/>
    </row>
    <row r="63" customFormat="false" ht="16.5" hidden="false" customHeight="true" outlineLevel="0" collapsed="false">
      <c r="A63" s="213"/>
      <c r="B63" s="158" t="str">
        <f aca="false">IF(D2="","",LEFT(D2,5))</f>
        <v/>
      </c>
      <c r="C63" s="158" t="str">
        <f aca="false">IFERROR(INDEX(OCC_TABLE_DESC,MATCH(Subj_OccCode,OCC_TABLE_CODE,0)),"")</f>
        <v>Mega Warehouse</v>
      </c>
      <c r="D63" s="158"/>
      <c r="E63" s="198"/>
      <c r="F63" s="126" t="str">
        <f aca="false">IF(Subj_Zoning="","",Subj_Zoning)</f>
        <v>PUD-Bri</v>
      </c>
      <c r="G63" s="214" t="n">
        <f aca="false">IF(Subj_YOC="","",Subj_YOC)</f>
        <v>2020</v>
      </c>
      <c r="H63" s="215" t="n">
        <f aca="false">IF(Subj_BldgSF="","",Subj_BldgSF)</f>
        <v>352240</v>
      </c>
      <c r="I63" s="198"/>
      <c r="J63" s="166" t="str">
        <f aca="false">IF(WO!F11="","",WO!F11)</f>
        <v/>
      </c>
      <c r="K63" s="216" t="str">
        <f aca="false">IF(WO!F12="","",WO!F12)</f>
        <v/>
      </c>
      <c r="L63" s="216" t="str">
        <f aca="false">IF(WO!F13="","",WO!F13)</f>
        <v/>
      </c>
      <c r="M63" s="100"/>
    </row>
    <row r="64" customFormat="false" ht="16.5" hidden="false" customHeight="true" outlineLevel="0" collapsed="false">
      <c r="A64" s="135" t="s">
        <v>422</v>
      </c>
      <c r="B64" s="129" t="str">
        <f aca="false">IF(Income!D$2="","",MID(Income!D2,1,5))</f>
        <v/>
      </c>
      <c r="C64" s="129" t="str">
        <f aca="false">IF(Income!G$2="","",VLOOKUP(Income!G$2,Class,2))</f>
        <v/>
      </c>
      <c r="D64" s="100"/>
      <c r="E64" s="100"/>
      <c r="F64" s="132" t="str">
        <f aca="false">IF(Income!T$2="","",Income!T$2)</f>
        <v/>
      </c>
      <c r="G64" s="132" t="str">
        <f aca="false">IF(Income!N$2="","",Income!N$2)</f>
        <v/>
      </c>
      <c r="H64" s="217" t="str">
        <f aca="false">IF(Income!J$2="","",Income!J$2)</f>
        <v/>
      </c>
      <c r="I64" s="218"/>
      <c r="J64" s="219" t="str">
        <f aca="false">IF(Income!K$2="","",Income!K$2)</f>
        <v/>
      </c>
      <c r="K64" s="220" t="str">
        <f aca="false">IF(Income!L$2="","",Income!L$2)</f>
        <v/>
      </c>
      <c r="L64" s="220" t="str">
        <f aca="false">IF(Income!M$2="","",Income!M$2)</f>
        <v/>
      </c>
      <c r="M64" s="100"/>
    </row>
    <row r="65" customFormat="false" ht="16.5" hidden="false" customHeight="true" outlineLevel="0" collapsed="false">
      <c r="A65" s="135" t="s">
        <v>423</v>
      </c>
      <c r="B65" s="140" t="str">
        <f aca="false">IF(Income!D$3="","",MID(Income!D$3,1,5))</f>
        <v/>
      </c>
      <c r="C65" s="140" t="str">
        <f aca="false">IF(Income!G$3="","",VLOOKUP(Income!G$3,Class,2))</f>
        <v/>
      </c>
      <c r="D65" s="100"/>
      <c r="E65" s="100"/>
      <c r="F65" s="143" t="str">
        <f aca="false">IF(Income!T$3="","",Income!T$3)</f>
        <v/>
      </c>
      <c r="G65" s="143" t="str">
        <f aca="false">IF(Income!N$3="","",Income!N$3)</f>
        <v/>
      </c>
      <c r="H65" s="221" t="str">
        <f aca="false">IF(Income!J$3="","",Income!J$3)</f>
        <v/>
      </c>
      <c r="I65" s="218"/>
      <c r="J65" s="222" t="str">
        <f aca="false">IF(Income!K$3="","",Income!K$3)</f>
        <v/>
      </c>
      <c r="K65" s="223" t="str">
        <f aca="false">IF(Income!L$3="","",Income!L$3)</f>
        <v/>
      </c>
      <c r="L65" s="223" t="str">
        <f aca="false">IF(Income!M$3="","",Income!M$3)</f>
        <v/>
      </c>
      <c r="M65" s="100"/>
    </row>
    <row r="66" customFormat="false" ht="16.5" hidden="false" customHeight="true" outlineLevel="0" collapsed="false">
      <c r="A66" s="135" t="s">
        <v>424</v>
      </c>
      <c r="B66" s="129" t="str">
        <f aca="false">IF(Income!D$4="","",MID(Income!D$4,1,5))</f>
        <v/>
      </c>
      <c r="C66" s="129" t="str">
        <f aca="false">IF(Income!G$4="","",VLOOKUP(Income!G$4,Class,2))</f>
        <v/>
      </c>
      <c r="D66" s="100"/>
      <c r="E66" s="100"/>
      <c r="F66" s="132" t="str">
        <f aca="false">IF(Income!T$4="","",Income!T$4)</f>
        <v/>
      </c>
      <c r="G66" s="132" t="str">
        <f aca="false">IF(Income!N$4="","",Income!N$4)</f>
        <v/>
      </c>
      <c r="H66" s="217" t="str">
        <f aca="false">IF(Income!J$4="","",Income!J$4)</f>
        <v/>
      </c>
      <c r="I66" s="218"/>
      <c r="J66" s="219" t="str">
        <f aca="false">IF(Income!K$4="","",Income!K$4)</f>
        <v/>
      </c>
      <c r="K66" s="220" t="str">
        <f aca="false">IF(Income!L$4="","",Income!L$4)</f>
        <v/>
      </c>
      <c r="L66" s="220" t="str">
        <f aca="false">IF(Income!M$4="","",Income!M$4)</f>
        <v/>
      </c>
      <c r="M66" s="100"/>
    </row>
    <row r="67" customFormat="false" ht="16.5" hidden="false" customHeight="true" outlineLevel="0" collapsed="false">
      <c r="A67" s="224"/>
      <c r="B67" s="224"/>
      <c r="C67" s="224"/>
      <c r="D67" s="224"/>
      <c r="E67" s="224"/>
    </row>
    <row r="68" customFormat="false" ht="16.5" hidden="false" customHeight="true" outlineLevel="0" collapsed="false">
      <c r="A68" s="209" t="s">
        <v>425</v>
      </c>
      <c r="B68" s="210"/>
      <c r="C68" s="210"/>
      <c r="D68" s="210"/>
      <c r="E68" s="210"/>
      <c r="F68" s="210"/>
      <c r="G68" s="210"/>
      <c r="H68" s="210" t="s">
        <v>412</v>
      </c>
      <c r="I68" s="210"/>
      <c r="J68" s="210" t="s">
        <v>426</v>
      </c>
      <c r="K68" s="210" t="s">
        <v>426</v>
      </c>
      <c r="L68" s="211" t="s">
        <v>427</v>
      </c>
      <c r="M68" s="151"/>
    </row>
    <row r="69" customFormat="false" ht="24" hidden="false" customHeight="true" outlineLevel="0" collapsed="false">
      <c r="A69" s="108" t="s">
        <v>397</v>
      </c>
      <c r="B69" s="108"/>
      <c r="C69" s="108"/>
      <c r="D69" s="108" t="s">
        <v>428</v>
      </c>
      <c r="E69" s="108"/>
      <c r="F69" s="108"/>
      <c r="G69" s="108" t="s">
        <v>302</v>
      </c>
      <c r="H69" s="108" t="s">
        <v>417</v>
      </c>
      <c r="I69" s="108"/>
      <c r="J69" s="108" t="s">
        <v>429</v>
      </c>
      <c r="K69" s="108" t="s">
        <v>430</v>
      </c>
      <c r="L69" s="108" t="s">
        <v>417</v>
      </c>
      <c r="M69" s="108"/>
    </row>
    <row r="70" customFormat="false" ht="16.5" hidden="false" customHeight="true" outlineLevel="0" collapsed="false">
      <c r="A70" s="213"/>
      <c r="B70" s="135" t="s">
        <v>421</v>
      </c>
      <c r="C70" s="100"/>
      <c r="D70" s="100"/>
      <c r="E70" s="100"/>
      <c r="F70" s="100"/>
      <c r="G70" s="153"/>
      <c r="H70" s="100"/>
      <c r="I70" s="100"/>
      <c r="J70" s="100"/>
      <c r="K70" s="100"/>
      <c r="L70" s="100"/>
      <c r="M70" s="100"/>
    </row>
    <row r="71" customFormat="false" ht="16.5" hidden="false" customHeight="true" outlineLevel="0" collapsed="false">
      <c r="A71" s="213"/>
      <c r="B71" s="158" t="str">
        <f aca="false">IF(Subj_Address="","",Subj_Address)</f>
        <v>22600 Interstate 76</v>
      </c>
      <c r="C71" s="158"/>
      <c r="D71" s="100" t="str">
        <f aca="false">IF(D2="","",D2)</f>
        <v/>
      </c>
      <c r="E71" s="100"/>
      <c r="F71" s="100"/>
      <c r="G71" s="225" t="n">
        <f aca="false">G63</f>
        <v>2020</v>
      </c>
      <c r="H71" s="217" t="n">
        <f aca="false">H63</f>
        <v>352240</v>
      </c>
      <c r="I71" s="218"/>
      <c r="J71" s="226"/>
      <c r="K71" s="226"/>
      <c r="L71" s="227" t="n">
        <f aca="false">IF(N(H71)=0,"",ROUND(F51/H71,2))</f>
        <v>0</v>
      </c>
      <c r="M71" s="100"/>
    </row>
    <row r="72" customFormat="false" ht="16.5" hidden="false" customHeight="true" outlineLevel="0" collapsed="false">
      <c r="A72" s="135" t="s">
        <v>431</v>
      </c>
      <c r="B72" s="129" t="str">
        <f aca="false">IF(IFERROR(INDEX(Sales!D:D,$Z$72),"")="","",IFERROR(INDEX(Sales!D:D,$Z$72),""))</f>
        <v/>
      </c>
      <c r="C72" s="100"/>
      <c r="D72" s="129" t="str">
        <f aca="false">IF(IFERROR(INDEX(Sales!C:C,$Z$72),"")="","",IFERROR(INDEX(Sales!C:C,$Z$72),""))</f>
        <v/>
      </c>
      <c r="E72" s="100"/>
      <c r="F72" s="100"/>
      <c r="G72" s="132" t="str">
        <f aca="false">IF(IFERROR(INDEX(Sales!M:M,$Z$72),"")="","",IFERROR(INDEX(Sales!M:M,$Z$72),""))</f>
        <v/>
      </c>
      <c r="H72" s="217" t="str">
        <f aca="false">IF(IFERROR(INDEX(Sales!L:L,$Z$72),"")="","",IFERROR(INDEX(Sales!L:L,$Z$72),""))</f>
        <v/>
      </c>
      <c r="I72" s="218"/>
      <c r="J72" s="133" t="str">
        <f aca="false">IF(IFERROR(INDEX(Sales!I:I,$Z$72),"")="","",IFERROR(INDEX(Sales!I:I,$Z$72),""))</f>
        <v/>
      </c>
      <c r="K72" s="228" t="str">
        <f aca="false">IF(IFERROR(INDEX(Sales!AA:AA,$Z$72),"")="","",IFERROR(INDEX(Sales!AA:AA,$Z$72),""))</f>
        <v/>
      </c>
      <c r="L72" s="219" t="str">
        <f aca="false">IF(IFERROR(INDEX(Sales!H:H,$Z$72),"")="","",IFERROR(INDEX(Sales!H:H,$Z$72),""))</f>
        <v/>
      </c>
      <c r="M72" s="100"/>
      <c r="Y72" s="134" t="n">
        <v>1</v>
      </c>
      <c r="Z72" s="1" t="str">
        <f aca="false">IFERROR(MATCH(_xlfn.AGGREGATE(15,6,Sales!$AJ$2:$AJ$941,$Y$72),Sales!$AJ$2:$AJ$941,0)+1,"")</f>
        <v/>
      </c>
    </row>
    <row r="73" customFormat="false" ht="16.5" hidden="false" customHeight="true" outlineLevel="0" collapsed="false">
      <c r="A73" s="135" t="s">
        <v>432</v>
      </c>
      <c r="B73" s="140" t="str">
        <f aca="false">IF(IFERROR(INDEX(Sales!D:D,$Z$73),"")="","",IFERROR(INDEX(Sales!D:D,$Z$73),""))</f>
        <v/>
      </c>
      <c r="C73" s="100"/>
      <c r="D73" s="140" t="str">
        <f aca="false">IF(IFERROR(INDEX(Sales!C:C,$Z$73),"")="","",IFERROR(INDEX(Sales!C:C,$Z$73),""))</f>
        <v/>
      </c>
      <c r="E73" s="100"/>
      <c r="F73" s="100"/>
      <c r="G73" s="143" t="str">
        <f aca="false">IF(IFERROR(INDEX(Sales!M:M,$Z$73),"")="","",IFERROR(INDEX(Sales!M:M,$Z$73),""))</f>
        <v/>
      </c>
      <c r="H73" s="221" t="str">
        <f aca="false">IF(IFERROR(INDEX(Sales!L:L,$Z$73),"")="","",IFERROR(INDEX(Sales!L:L,$Z$73),""))</f>
        <v/>
      </c>
      <c r="I73" s="218"/>
      <c r="J73" s="144" t="str">
        <f aca="false">IF(IFERROR(INDEX(Sales!I:I,$Z$73),"")="","",IFERROR(INDEX(Sales!I:I,$Z$73),""))</f>
        <v/>
      </c>
      <c r="K73" s="229" t="str">
        <f aca="false">IF(IFERROR(INDEX(Sales!AA:AA,$Z$73),"")="","",IFERROR(INDEX(Sales!AA:AA,$Z$73),""))</f>
        <v/>
      </c>
      <c r="L73" s="222" t="str">
        <f aca="false">IF(IFERROR(INDEX(Sales!H:H,$Z$73),"")="","",IFERROR(INDEX(Sales!H:H,$Z$73),""))</f>
        <v/>
      </c>
      <c r="M73" s="100"/>
      <c r="Y73" s="134" t="n">
        <v>2</v>
      </c>
      <c r="Z73" s="1" t="str">
        <f aca="false">IFERROR(MATCH(_xlfn.AGGREGATE(15,6,Sales!$AJ$2:$AJ$941,$Y$73),Sales!$AJ$2:$AJ$941,0)+1,"")</f>
        <v/>
      </c>
    </row>
    <row r="74" customFormat="false" ht="16.5" hidden="false" customHeight="true" outlineLevel="0" collapsed="false">
      <c r="A74" s="135" t="s">
        <v>433</v>
      </c>
      <c r="B74" s="129" t="str">
        <f aca="false">IF(IFERROR(INDEX(Sales!D:D,$Z$74),"")="","",IFERROR(INDEX(Sales!D:D,$Z$74),""))</f>
        <v/>
      </c>
      <c r="C74" s="100"/>
      <c r="D74" s="129" t="str">
        <f aca="false">IF(IFERROR(INDEX(Sales!C:C,$Z$74),"")="","",IFERROR(INDEX(Sales!C:C,$Z$74),""))</f>
        <v/>
      </c>
      <c r="E74" s="100"/>
      <c r="F74" s="100"/>
      <c r="G74" s="132" t="str">
        <f aca="false">IF(IFERROR(INDEX(Sales!M:M,$Z$74),"")="","",IFERROR(INDEX(Sales!M:M,$Z$74),""))</f>
        <v/>
      </c>
      <c r="H74" s="217" t="str">
        <f aca="false">IF(IFERROR(INDEX(Sales!L:L,$Z$74),"")="","",IFERROR(INDEX(Sales!L:L,$Z$74),""))</f>
        <v/>
      </c>
      <c r="I74" s="218"/>
      <c r="J74" s="133" t="str">
        <f aca="false">IF(IFERROR(INDEX(Sales!I:I,$Z$74),"")="","",IFERROR(INDEX(Sales!I:I,$Z$74),""))</f>
        <v/>
      </c>
      <c r="K74" s="228" t="str">
        <f aca="false">IF(IFERROR(INDEX(Sales!AA:AA,$Z$74),"")="","",IFERROR(INDEX(Sales!AA:AA,$Z$74),""))</f>
        <v/>
      </c>
      <c r="L74" s="219" t="str">
        <f aca="false">IF(IFERROR(INDEX(Sales!H:H,$Z$74),"")="","",IFERROR(INDEX(Sales!H:H,$Z$74),""))</f>
        <v/>
      </c>
      <c r="M74" s="100"/>
      <c r="Y74" s="134" t="n">
        <v>3</v>
      </c>
      <c r="Z74" s="1" t="str">
        <f aca="false">IFERROR(MATCH(_xlfn.AGGREGATE(15,6,Sales!$AJ$2:$AJ$941,$Y$74),Sales!$AJ$2:$AJ$941,0)+1,"")</f>
        <v/>
      </c>
    </row>
  </sheetData>
  <mergeCells count="20">
    <mergeCell ref="D2:H2"/>
    <mergeCell ref="D3:H3"/>
    <mergeCell ref="D4:H4"/>
    <mergeCell ref="D5:H5"/>
    <mergeCell ref="A8:M20"/>
    <mergeCell ref="A23:M33"/>
    <mergeCell ref="A36:M46"/>
    <mergeCell ref="C48:D48"/>
    <mergeCell ref="F48:H48"/>
    <mergeCell ref="J48:K48"/>
    <mergeCell ref="C49:D49"/>
    <mergeCell ref="F49:H49"/>
    <mergeCell ref="J49:K49"/>
    <mergeCell ref="C50:D50"/>
    <mergeCell ref="F50:H50"/>
    <mergeCell ref="J50:K50"/>
    <mergeCell ref="C51:D51"/>
    <mergeCell ref="F51:H51"/>
    <mergeCell ref="J51:K51"/>
    <mergeCell ref="C63:D63"/>
  </mergeCells>
  <printOptions headings="false" gridLines="false" gridLinesSet="true" horizontalCentered="true" verticalCentered="false"/>
  <pageMargins left="0.429861111111111" right="0.440277777777778" top="0.759722222222222" bottom="0.420138888888889"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rowBreaks count="1" manualBreakCount="1">
    <brk id="40" man="true" max="16383" min="0"/>
  </rowBreaks>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6">
              <controlPr defaultSize="0" print="true" autoFill="0" autoPict="0" macro="Module1.Sales">
                <anchor moveWithCells="true" sizeWithCells="false">
                  <from>
                    <xdr:col>7</xdr:col>
                    <xdr:colOff>380880</xdr:colOff>
                    <xdr:row>0</xdr:row>
                    <xdr:rowOff>0</xdr:rowOff>
                  </from>
                  <to>
                    <xdr:col>10</xdr:col>
                    <xdr:colOff>798120</xdr:colOff>
                    <xdr:row>2</xdr:row>
                    <xdr:rowOff>9360</xdr:rowOff>
                  </to>
                </anchor>
              </controlPr>
            </control>
          </mc:Choice>
        </mc:AlternateContent>
        <mc:AlternateContent xmlns:mc="http://schemas.openxmlformats.org/markup-compatibility/2006">
          <mc:Choice Requires="x14">
            <control shapeId="1002" r:id="rId5" name="Button 7">
              <controlPr defaultSize="0" print="true" autoFill="0" autoPict="0" macro="Module1.Income">
                <anchor moveWithCells="true" sizeWithCells="false">
                  <from>
                    <xdr:col>7</xdr:col>
                    <xdr:colOff>409680</xdr:colOff>
                    <xdr:row>3</xdr:row>
                    <xdr:rowOff>28440</xdr:rowOff>
                  </from>
                  <to>
                    <xdr:col>11</xdr:col>
                    <xdr:colOff>123840</xdr:colOff>
                    <xdr:row>4</xdr:row>
                    <xdr:rowOff>180720</xdr:rowOff>
                  </to>
                </anchor>
              </controlPr>
            </control>
          </mc:Choice>
        </mc:AlternateContent>
        <mc:AlternateContent xmlns:mc="http://schemas.openxmlformats.org/markup-compatibility/2006">
          <mc:Choice Requires="x14">
            <control shapeId="1003" r:id="rId6" name="Button 8">
              <controlPr defaultSize="0" print="true" autoFill="0" autoPict="0" macro="Module1.Sales">
                <anchor moveWithCells="true" sizeWithCells="false">
                  <from>
                    <xdr:col>3</xdr:col>
                    <xdr:colOff>295200</xdr:colOff>
                    <xdr:row>54</xdr:row>
                    <xdr:rowOff>104760</xdr:rowOff>
                  </from>
                  <to>
                    <xdr:col>5</xdr:col>
                    <xdr:colOff>9360</xdr:colOff>
                    <xdr:row>56</xdr:row>
                    <xdr:rowOff>9360</xdr:rowOff>
                  </to>
                </anchor>
              </controlPr>
            </control>
          </mc:Choice>
        </mc:AlternateContent>
        <mc:AlternateContent xmlns:mc="http://schemas.openxmlformats.org/markup-compatibility/2006">
          <mc:Choice Requires="x14">
            <control shapeId="1004" r:id="rId7" name="Button 9">
              <controlPr defaultSize="0" print="true" autoFill="0" autoPict="0" macro="Module1.Income">
                <anchor moveWithCells="true" sizeWithCells="false">
                  <from>
                    <xdr:col>6</xdr:col>
                    <xdr:colOff>181080</xdr:colOff>
                    <xdr:row>54</xdr:row>
                    <xdr:rowOff>57240</xdr:rowOff>
                  </from>
                  <to>
                    <xdr:col>10</xdr:col>
                    <xdr:colOff>276480</xdr:colOff>
                    <xdr:row>56</xdr:row>
                    <xdr:rowOff>38160</xdr:rowOff>
                  </to>
                </anchor>
              </controlPr>
            </control>
          </mc:Choice>
        </mc:AlternateContent>
        <mc:AlternateContent xmlns:mc="http://schemas.openxmlformats.org/markup-compatibility/2006">
          <mc:Choice Requires="x14">
            <control shapeId="1005" r:id="rId8" name="Button 10">
              <controlPr defaultSize="0" print="true" autoFill="0" autoPict="0">
                <anchor moveWithCells="true" sizeWithCells="false">
                  <from>
                    <xdr:col>3</xdr:col>
                    <xdr:colOff>104760</xdr:colOff>
                    <xdr:row>50</xdr:row>
                    <xdr:rowOff>114120</xdr:rowOff>
                  </from>
                  <to>
                    <xdr:col>6</xdr:col>
                    <xdr:colOff>285840</xdr:colOff>
                    <xdr:row>51</xdr:row>
                    <xdr:rowOff>171360</xdr:rowOff>
                  </to>
                </anchor>
              </controlPr>
            </control>
          </mc:Choice>
        </mc:AlternateContent>
        <mc:AlternateContent xmlns:mc="http://schemas.openxmlformats.org/markup-compatibility/2006">
          <mc:Choice Requires="x14">
            <control shapeId="1006" r:id="rId9" name="Button 10">
              <controlPr defaultSize="0" print="true" autoFill="0" autoPict="0" macro="Module1.Sales">
                <anchor moveWithCells="true" sizeWithCells="false">
                  <from>
                    <xdr:col>7</xdr:col>
                    <xdr:colOff>380880</xdr:colOff>
                    <xdr:row>0</xdr:row>
                    <xdr:rowOff>0</xdr:rowOff>
                  </from>
                  <to>
                    <xdr:col>10</xdr:col>
                    <xdr:colOff>798120</xdr:colOff>
                    <xdr:row>2</xdr:row>
                    <xdr:rowOff>9360</xdr:rowOff>
                  </to>
                </anchor>
              </controlPr>
            </control>
          </mc:Choice>
        </mc:AlternateContent>
        <mc:AlternateContent xmlns:mc="http://schemas.openxmlformats.org/markup-compatibility/2006">
          <mc:Choice Requires="x14">
            <control shapeId="1007" r:id="rId10" name="Button 11">
              <controlPr defaultSize="0" print="true" autoFill="0" autoPict="0" macro="Module1.Income">
                <anchor moveWithCells="true" sizeWithCells="false">
                  <from>
                    <xdr:col>7</xdr:col>
                    <xdr:colOff>409680</xdr:colOff>
                    <xdr:row>3</xdr:row>
                    <xdr:rowOff>28440</xdr:rowOff>
                  </from>
                  <to>
                    <xdr:col>11</xdr:col>
                    <xdr:colOff>123840</xdr:colOff>
                    <xdr:row>4</xdr:row>
                    <xdr:rowOff>180720</xdr:rowOff>
                  </to>
                </anchor>
              </controlPr>
            </control>
          </mc:Choice>
        </mc:AlternateContent>
        <mc:AlternateContent xmlns:mc="http://schemas.openxmlformats.org/markup-compatibility/2006">
          <mc:Choice Requires="x14">
            <control shapeId="1008" r:id="rId11" name="Button 12">
              <controlPr defaultSize="0" print="true" autoFill="0" autoPict="0" macro="Module1.Sales">
                <anchor moveWithCells="true" sizeWithCells="false">
                  <from>
                    <xdr:col>3</xdr:col>
                    <xdr:colOff>295200</xdr:colOff>
                    <xdr:row>54</xdr:row>
                    <xdr:rowOff>104760</xdr:rowOff>
                  </from>
                  <to>
                    <xdr:col>5</xdr:col>
                    <xdr:colOff>9360</xdr:colOff>
                    <xdr:row>56</xdr:row>
                    <xdr:rowOff>9360</xdr:rowOff>
                  </to>
                </anchor>
              </controlPr>
            </control>
          </mc:Choice>
        </mc:AlternateContent>
        <mc:AlternateContent xmlns:mc="http://schemas.openxmlformats.org/markup-compatibility/2006">
          <mc:Choice Requires="x14">
            <control shapeId="1009" r:id="rId12" name="Button 13">
              <controlPr defaultSize="0" print="true" autoFill="0" autoPict="0" macro="Module1.Income">
                <anchor moveWithCells="true" sizeWithCells="false">
                  <from>
                    <xdr:col>6</xdr:col>
                    <xdr:colOff>181080</xdr:colOff>
                    <xdr:row>54</xdr:row>
                    <xdr:rowOff>57240</xdr:rowOff>
                  </from>
                  <to>
                    <xdr:col>10</xdr:col>
                    <xdr:colOff>276480</xdr:colOff>
                    <xdr:row>56</xdr:row>
                    <xdr:rowOff>38160</xdr:rowOff>
                  </to>
                </anchor>
              </controlPr>
            </control>
          </mc:Choice>
        </mc:AlternateContent>
        <mc:AlternateContent xmlns:mc="http://schemas.openxmlformats.org/markup-compatibility/2006">
          <mc:Choice Requires="x14">
            <control shapeId="1010" r:id="rId13" name="Button 14">
              <controlPr defaultSize="0" print="true" autoFill="0" autoPict="0">
                <anchor moveWithCells="true" sizeWithCells="false">
                  <from>
                    <xdr:col>3</xdr:col>
                    <xdr:colOff>104760</xdr:colOff>
                    <xdr:row>50</xdr:row>
                    <xdr:rowOff>114120</xdr:rowOff>
                  </from>
                  <to>
                    <xdr:col>4</xdr:col>
                    <xdr:colOff>-876240</xdr:colOff>
                    <xdr:row>51</xdr:row>
                    <xdr:rowOff>171360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Z4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P15" activeCellId="0" sqref="P15"/>
    </sheetView>
  </sheetViews>
  <sheetFormatPr defaultColWidth="12.86328125" defaultRowHeight="12.75" zeroHeight="false" outlineLevelRow="0" outlineLevelCol="0"/>
  <cols>
    <col collapsed="false" customWidth="true" hidden="false" outlineLevel="0" max="1" min="1" style="157" width="34.14"/>
    <col collapsed="false" customWidth="true" hidden="false" outlineLevel="0" max="2" min="2" style="157" width="20.57"/>
    <col collapsed="false" customWidth="true" hidden="false" outlineLevel="0" max="3" min="3" style="157" width="11.43"/>
    <col collapsed="false" customWidth="true" hidden="false" outlineLevel="0" max="4" min="4" style="157" width="18.29"/>
    <col collapsed="false" customWidth="true" hidden="false" outlineLevel="0" max="5" min="5" style="157" width="8"/>
    <col collapsed="false" customWidth="true" hidden="false" outlineLevel="0" max="6" min="6" style="157" width="6.86"/>
    <col collapsed="false" customWidth="true" hidden="false" outlineLevel="0" max="7" min="7" style="157" width="12.57"/>
    <col collapsed="false" customWidth="true" hidden="false" outlineLevel="0" max="8" min="8" style="157" width="9.14"/>
    <col collapsed="false" customWidth="true" hidden="false" outlineLevel="0" max="9" min="9" style="157" width="12.57"/>
    <col collapsed="false" customWidth="true" hidden="false" outlineLevel="0" max="10" min="10" style="157" width="10.29"/>
    <col collapsed="false" customWidth="true" hidden="false" outlineLevel="0" max="11" min="11" style="157" width="9.14"/>
    <col collapsed="false" customWidth="false" hidden="false" outlineLevel="0" max="24" min="12" style="157" width="12.86"/>
    <col collapsed="false" customWidth="true" hidden="true" outlineLevel="0" max="25" min="25" style="1" width="6.86"/>
    <col collapsed="false" customWidth="true" hidden="true" outlineLevel="0" max="26" min="26" style="1" width="14.86"/>
    <col collapsed="false" customWidth="false" hidden="false" outlineLevel="0" max="16384" min="27" style="157" width="12.86"/>
  </cols>
  <sheetData>
    <row r="1" customFormat="false" ht="24" hidden="false" customHeight="true" outlineLevel="0" collapsed="false">
      <c r="A1" s="88" t="str">
        <f aca="false">Year&amp;" APPEAL WORKSHEET"</f>
        <v>2025 APPEAL WORKSHEET</v>
      </c>
      <c r="B1" s="88"/>
      <c r="C1" s="88"/>
      <c r="D1" s="88"/>
      <c r="E1" s="88"/>
      <c r="F1" s="88"/>
      <c r="G1" s="88"/>
      <c r="H1" s="88"/>
      <c r="I1" s="88"/>
      <c r="J1" s="88"/>
      <c r="K1" s="88"/>
    </row>
    <row r="2" customFormat="false" ht="15.75" hidden="false" customHeight="true" outlineLevel="0" collapsed="false">
      <c r="A2" s="192" t="s">
        <v>435</v>
      </c>
      <c r="D2" s="230"/>
      <c r="E2" s="193"/>
      <c r="F2" s="193"/>
      <c r="G2" s="231"/>
      <c r="H2" s="231"/>
    </row>
    <row r="3" customFormat="false" ht="15.75" hidden="false" customHeight="true" outlineLevel="0" collapsed="false">
      <c r="A3" s="192" t="s">
        <v>397</v>
      </c>
      <c r="D3" s="230"/>
      <c r="E3" s="193"/>
      <c r="F3" s="193"/>
      <c r="G3" s="232"/>
      <c r="H3" s="232"/>
    </row>
    <row r="4" customFormat="false" ht="15.75" hidden="false" customHeight="true" outlineLevel="0" collapsed="false">
      <c r="A4" s="192" t="s">
        <v>398</v>
      </c>
      <c r="D4" s="230"/>
      <c r="E4" s="193"/>
      <c r="F4" s="193"/>
      <c r="G4" s="232"/>
      <c r="H4" s="232"/>
    </row>
    <row r="5" customFormat="false" ht="15.75" hidden="false" customHeight="true" outlineLevel="0" collapsed="false">
      <c r="A5" s="192" t="s">
        <v>399</v>
      </c>
      <c r="D5" s="230"/>
      <c r="E5" s="193"/>
      <c r="F5" s="193"/>
      <c r="G5" s="232"/>
      <c r="H5" s="232"/>
    </row>
    <row r="7" customFormat="false" ht="15.75" hidden="false" customHeight="true" outlineLevel="0" collapsed="false">
      <c r="A7" s="200" t="s">
        <v>400</v>
      </c>
    </row>
    <row r="8" customFormat="false" ht="12.75" hidden="false" customHeight="true" outlineLevel="0" collapsed="false">
      <c r="A8" s="195"/>
      <c r="B8" s="195"/>
      <c r="C8" s="195"/>
      <c r="D8" s="195"/>
      <c r="E8" s="195"/>
      <c r="F8" s="195"/>
      <c r="G8" s="195"/>
      <c r="H8" s="195"/>
      <c r="I8" s="195"/>
      <c r="J8" s="195"/>
      <c r="K8" s="195"/>
    </row>
    <row r="9" customFormat="false" ht="12.75" hidden="false" customHeight="true" outlineLevel="0" collapsed="false">
      <c r="A9" s="195"/>
      <c r="B9" s="195"/>
      <c r="C9" s="195"/>
      <c r="D9" s="195"/>
      <c r="E9" s="195"/>
      <c r="F9" s="195"/>
      <c r="G9" s="195"/>
      <c r="H9" s="195"/>
      <c r="I9" s="195"/>
      <c r="J9" s="195"/>
      <c r="K9" s="195"/>
    </row>
    <row r="10" customFormat="false" ht="12.75" hidden="false" customHeight="true" outlineLevel="0" collapsed="false">
      <c r="A10" s="195"/>
      <c r="B10" s="195"/>
      <c r="C10" s="195"/>
      <c r="D10" s="195"/>
      <c r="E10" s="195"/>
      <c r="F10" s="195"/>
      <c r="G10" s="195"/>
      <c r="H10" s="195"/>
      <c r="I10" s="195"/>
      <c r="J10" s="195"/>
      <c r="K10" s="195"/>
    </row>
    <row r="11" customFormat="false" ht="12.75" hidden="false" customHeight="true" outlineLevel="0" collapsed="false">
      <c r="A11" s="195"/>
      <c r="B11" s="195"/>
      <c r="C11" s="195"/>
      <c r="D11" s="195"/>
      <c r="E11" s="195"/>
      <c r="F11" s="195"/>
      <c r="G11" s="195"/>
      <c r="H11" s="195"/>
      <c r="I11" s="195"/>
      <c r="J11" s="195"/>
      <c r="K11" s="195"/>
    </row>
    <row r="12" customFormat="false" ht="12.75" hidden="false" customHeight="true" outlineLevel="0" collapsed="false">
      <c r="A12" s="195"/>
      <c r="B12" s="195"/>
      <c r="C12" s="195"/>
      <c r="D12" s="195"/>
      <c r="E12" s="195"/>
      <c r="F12" s="195"/>
      <c r="G12" s="195"/>
      <c r="H12" s="195"/>
      <c r="I12" s="195"/>
      <c r="J12" s="195"/>
      <c r="K12" s="195"/>
    </row>
    <row r="13" customFormat="false" ht="12.75" hidden="false" customHeight="true" outlineLevel="0" collapsed="false">
      <c r="A13" s="195"/>
      <c r="B13" s="195"/>
      <c r="C13" s="195"/>
      <c r="D13" s="195"/>
      <c r="E13" s="195"/>
      <c r="F13" s="195"/>
      <c r="G13" s="195"/>
      <c r="H13" s="195"/>
      <c r="I13" s="195"/>
      <c r="J13" s="195"/>
      <c r="K13" s="195"/>
    </row>
    <row r="14" customFormat="false" ht="12.75" hidden="false" customHeight="true" outlineLevel="0" collapsed="false">
      <c r="A14" s="195"/>
      <c r="B14" s="195"/>
      <c r="C14" s="195"/>
      <c r="D14" s="195"/>
      <c r="E14" s="195"/>
      <c r="F14" s="195"/>
      <c r="G14" s="195"/>
      <c r="H14" s="195"/>
      <c r="I14" s="195"/>
      <c r="J14" s="195"/>
      <c r="K14" s="195"/>
    </row>
    <row r="15" customFormat="false" ht="12.75" hidden="false" customHeight="true" outlineLevel="0" collapsed="false">
      <c r="A15" s="195"/>
      <c r="B15" s="195"/>
      <c r="C15" s="195"/>
      <c r="D15" s="195"/>
      <c r="E15" s="195"/>
      <c r="F15" s="195"/>
      <c r="G15" s="195"/>
      <c r="H15" s="195"/>
      <c r="I15" s="195"/>
      <c r="J15" s="195"/>
      <c r="K15" s="195"/>
    </row>
    <row r="18" customFormat="false" ht="16.5" hidden="false" customHeight="true" outlineLevel="0" collapsed="false">
      <c r="A18" s="209" t="s">
        <v>411</v>
      </c>
      <c r="B18" s="210"/>
      <c r="C18" s="210"/>
      <c r="D18" s="210"/>
      <c r="E18" s="210"/>
      <c r="F18" s="210"/>
      <c r="G18" s="210"/>
      <c r="H18" s="210" t="s">
        <v>412</v>
      </c>
      <c r="I18" s="210"/>
      <c r="J18" s="210"/>
      <c r="K18" s="211" t="s">
        <v>413</v>
      </c>
    </row>
    <row r="19" customFormat="false" ht="15" hidden="false" customHeight="true" outlineLevel="0" collapsed="false">
      <c r="A19" s="108"/>
      <c r="B19" s="108" t="s">
        <v>388</v>
      </c>
      <c r="C19" s="108" t="s">
        <v>415</v>
      </c>
      <c r="D19" s="108"/>
      <c r="E19" s="108"/>
      <c r="F19" s="108" t="s">
        <v>416</v>
      </c>
      <c r="G19" s="108" t="s">
        <v>302</v>
      </c>
      <c r="H19" s="108" t="s">
        <v>417</v>
      </c>
      <c r="I19" s="108" t="s">
        <v>418</v>
      </c>
      <c r="J19" s="108" t="s">
        <v>419</v>
      </c>
      <c r="K19" s="108" t="s">
        <v>420</v>
      </c>
    </row>
    <row r="20" customFormat="false" ht="16.5" hidden="false" customHeight="true" outlineLevel="0" collapsed="false">
      <c r="A20" s="233"/>
      <c r="B20" s="135" t="s">
        <v>421</v>
      </c>
      <c r="C20" s="100"/>
      <c r="D20" s="100"/>
      <c r="E20" s="100"/>
      <c r="F20" s="153"/>
      <c r="G20" s="153"/>
      <c r="H20" s="116"/>
      <c r="I20" s="116"/>
      <c r="J20" s="116"/>
      <c r="K20" s="116"/>
    </row>
    <row r="21" customFormat="false" ht="15" hidden="false" customHeight="true" outlineLevel="0" collapsed="false">
      <c r="A21" s="234"/>
      <c r="B21" s="235" t="str">
        <f aca="false">LEFT(D2,5)</f>
        <v/>
      </c>
      <c r="C21" s="158"/>
      <c r="D21" s="158"/>
      <c r="E21" s="198"/>
      <c r="F21" s="126"/>
      <c r="G21" s="126"/>
      <c r="H21" s="236"/>
      <c r="I21" s="226"/>
      <c r="J21" s="216"/>
      <c r="K21" s="216"/>
    </row>
    <row r="22" customFormat="false" ht="15" hidden="false" customHeight="true" outlineLevel="0" collapsed="false">
      <c r="A22" s="135" t="s">
        <v>422</v>
      </c>
      <c r="B22" s="132" t="str">
        <f aca="false">IF(Income!D$2="","",MID(Income!D2,1,5))</f>
        <v/>
      </c>
      <c r="C22" s="129" t="str">
        <f aca="false">IF(Income!G$2="","",VLOOKUP(Income!G$2,Class,2))</f>
        <v/>
      </c>
      <c r="D22" s="129"/>
      <c r="E22" s="100"/>
      <c r="F22" s="132" t="str">
        <f aca="false">IF(Income!T$2="","",Income!T$2)</f>
        <v/>
      </c>
      <c r="G22" s="132" t="str">
        <f aca="false">IF(Income!N$2="","",Income!N$2)</f>
        <v/>
      </c>
      <c r="H22" s="217" t="str">
        <f aca="false">IF(Income!J$2="","",Income!J$2)</f>
        <v/>
      </c>
      <c r="I22" s="219" t="str">
        <f aca="false">IF(Income!K$2="","",Income!K$2)</f>
        <v/>
      </c>
      <c r="J22" s="220" t="str">
        <f aca="false">IF(Income!L$2="","",Income!L$2)</f>
        <v/>
      </c>
      <c r="K22" s="220" t="str">
        <f aca="false">IF(Income!M$2="","",Income!M$2)</f>
        <v/>
      </c>
    </row>
    <row r="23" customFormat="false" ht="15" hidden="false" customHeight="true" outlineLevel="0" collapsed="false">
      <c r="A23" s="135" t="s">
        <v>423</v>
      </c>
      <c r="B23" s="143" t="str">
        <f aca="false">IF(Income!D$3="","",MID(Income!D$3,1,5))</f>
        <v/>
      </c>
      <c r="C23" s="140" t="str">
        <f aca="false">IF(Income!G$3="","",VLOOKUP(Income!G$3,Class,2))</f>
        <v/>
      </c>
      <c r="D23" s="140"/>
      <c r="E23" s="100"/>
      <c r="F23" s="143" t="str">
        <f aca="false">IF(Income!T$3="","",Income!T$3)</f>
        <v/>
      </c>
      <c r="G23" s="143" t="str">
        <f aca="false">IF(Income!N$3="","",Income!N$3)</f>
        <v/>
      </c>
      <c r="H23" s="221" t="str">
        <f aca="false">IF(Income!J$3="","",Income!J$3)</f>
        <v/>
      </c>
      <c r="I23" s="222" t="str">
        <f aca="false">IF(Income!K$3="","",Income!K$3)</f>
        <v/>
      </c>
      <c r="J23" s="223" t="str">
        <f aca="false">IF(Income!L$3="","",Income!L$3)</f>
        <v/>
      </c>
      <c r="K23" s="223" t="str">
        <f aca="false">IF(Income!M$3="","",Income!M$3)</f>
        <v/>
      </c>
    </row>
    <row r="24" customFormat="false" ht="15" hidden="false" customHeight="true" outlineLevel="0" collapsed="false">
      <c r="A24" s="135" t="s">
        <v>424</v>
      </c>
      <c r="B24" s="132" t="str">
        <f aca="false">IF(Income!D$4="","",MID(Income!D$4,1,5))</f>
        <v/>
      </c>
      <c r="C24" s="129" t="str">
        <f aca="false">IF(Income!G$4="","",VLOOKUP(Income!G$4,Class,2))</f>
        <v/>
      </c>
      <c r="D24" s="129"/>
      <c r="E24" s="100"/>
      <c r="F24" s="132" t="str">
        <f aca="false">IF(Income!T$4="","",Income!T$4)</f>
        <v/>
      </c>
      <c r="G24" s="132" t="str">
        <f aca="false">IF(Income!N$4="","",Income!N$4)</f>
        <v/>
      </c>
      <c r="H24" s="217" t="str">
        <f aca="false">IF(Income!J$4="","",Income!J$4)</f>
        <v/>
      </c>
      <c r="I24" s="219" t="str">
        <f aca="false">IF(Income!K$4="","",Income!K$4)</f>
        <v/>
      </c>
      <c r="J24" s="220" t="str">
        <f aca="false">IF(Income!L$4="","",Income!L$4)</f>
        <v/>
      </c>
      <c r="K24" s="220" t="str">
        <f aca="false">IF(Income!M$4="","",Income!M$4)</f>
        <v/>
      </c>
    </row>
    <row r="25" customFormat="false" ht="15.75" hidden="false" customHeight="true" outlineLevel="0" collapsed="false">
      <c r="A25" s="224"/>
      <c r="B25" s="224"/>
      <c r="C25" s="224"/>
      <c r="D25" s="224"/>
      <c r="E25" s="224"/>
    </row>
    <row r="26" customFormat="false" ht="16.5" hidden="false" customHeight="true" outlineLevel="0" collapsed="false">
      <c r="A26" s="209" t="s">
        <v>425</v>
      </c>
      <c r="B26" s="210"/>
      <c r="C26" s="210"/>
      <c r="D26" s="210"/>
      <c r="E26" s="210"/>
      <c r="F26" s="210"/>
      <c r="G26" s="210"/>
      <c r="H26" s="210" t="s">
        <v>412</v>
      </c>
      <c r="I26" s="210" t="s">
        <v>426</v>
      </c>
      <c r="J26" s="210" t="s">
        <v>426</v>
      </c>
      <c r="K26" s="211" t="s">
        <v>427</v>
      </c>
    </row>
    <row r="27" customFormat="false" ht="15" hidden="false" customHeight="true" outlineLevel="0" collapsed="false">
      <c r="A27" s="108"/>
      <c r="B27" s="108" t="s">
        <v>397</v>
      </c>
      <c r="C27" s="108"/>
      <c r="D27" s="108" t="s">
        <v>435</v>
      </c>
      <c r="E27" s="108"/>
      <c r="F27" s="108"/>
      <c r="G27" s="108" t="s">
        <v>302</v>
      </c>
      <c r="H27" s="108" t="s">
        <v>417</v>
      </c>
      <c r="I27" s="108" t="s">
        <v>429</v>
      </c>
      <c r="J27" s="108" t="s">
        <v>430</v>
      </c>
      <c r="K27" s="108" t="s">
        <v>417</v>
      </c>
    </row>
    <row r="28" customFormat="false" ht="16.5" hidden="false" customHeight="true" outlineLevel="0" collapsed="false">
      <c r="A28" s="234"/>
      <c r="B28" s="135" t="s">
        <v>421</v>
      </c>
      <c r="C28" s="100"/>
      <c r="D28" s="100"/>
      <c r="E28" s="100"/>
      <c r="F28" s="100"/>
      <c r="G28" s="153"/>
      <c r="H28" s="100"/>
      <c r="I28" s="100"/>
      <c r="J28" s="100"/>
      <c r="K28" s="100"/>
    </row>
    <row r="29" customFormat="false" ht="15" hidden="false" customHeight="true" outlineLevel="0" collapsed="false">
      <c r="A29" s="234"/>
      <c r="B29" s="237" t="n">
        <f aca="false">D3</f>
        <v>0</v>
      </c>
      <c r="C29" s="237"/>
      <c r="D29" s="238" t="n">
        <f aca="false">D2</f>
        <v>0</v>
      </c>
      <c r="E29" s="238"/>
      <c r="F29" s="238"/>
      <c r="G29" s="132" t="n">
        <f aca="false">G21</f>
        <v>0</v>
      </c>
      <c r="H29" s="217" t="n">
        <f aca="false">H21</f>
        <v>0</v>
      </c>
      <c r="I29" s="226"/>
      <c r="J29" s="226"/>
      <c r="K29" s="219" t="str">
        <f aca="false">IF(OR(N(H29)=0,N(D48)=0),"",ROUND(D48/H29,2))</f>
        <v/>
      </c>
    </row>
    <row r="30" customFormat="false" ht="15" hidden="false" customHeight="true" outlineLevel="0" collapsed="false">
      <c r="A30" s="135" t="s">
        <v>431</v>
      </c>
      <c r="B30" s="129" t="str">
        <f aca="false">IF(IFERROR(INDEX(Sales!D:D,$Z$30),"")="","",IFERROR(INDEX(Sales!D:D,$Z$30),""))</f>
        <v/>
      </c>
      <c r="C30" s="129"/>
      <c r="D30" s="238" t="str">
        <f aca="false">IF(IFERROR(INDEX(Sales!C:C,$Z$30),"")="","",IFERROR(INDEX(Sales!C:C,$Z$30),""))</f>
        <v/>
      </c>
      <c r="E30" s="238"/>
      <c r="F30" s="238"/>
      <c r="G30" s="132" t="str">
        <f aca="false">IF(IFERROR(INDEX(Sales!M:M,$Z$30),"")="","",IFERROR(INDEX(Sales!M:M,$Z$30),""))</f>
        <v/>
      </c>
      <c r="H30" s="217" t="str">
        <f aca="false">IF(IFERROR(INDEX(Sales!L:L,$Z$30),"")="","",IFERROR(INDEX(Sales!L:L,$Z$30),""))</f>
        <v/>
      </c>
      <c r="I30" s="133" t="str">
        <f aca="false">IF(IFERROR(INDEX(Sales!I:I,$Z$30),"")="","",IFERROR(INDEX(Sales!I:I,$Z$30),""))</f>
        <v/>
      </c>
      <c r="J30" s="228" t="str">
        <f aca="false">IF(IFERROR(INDEX(Sales!AA:AA,$Z$30),"")="","",IFERROR(INDEX(Sales!AA:AA,$Z$30),""))</f>
        <v/>
      </c>
      <c r="K30" s="219" t="str">
        <f aca="false">IF(IFERROR(INDEX(Sales!H:H,$Z$30),"")="","",IFERROR(INDEX(Sales!H:H,$Z$30),""))</f>
        <v/>
      </c>
      <c r="Y30" s="134" t="n">
        <v>1</v>
      </c>
      <c r="Z30" s="1" t="str">
        <f aca="false">IFERROR(MATCH(_xlfn.AGGREGATE(15,6,Sales!$AJ$2:$AJ$941,$Y$30),Sales!$AJ$2:$AJ$941,0)+1,"")</f>
        <v/>
      </c>
    </row>
    <row r="31" customFormat="false" ht="15" hidden="false" customHeight="true" outlineLevel="0" collapsed="false">
      <c r="A31" s="135" t="s">
        <v>432</v>
      </c>
      <c r="B31" s="140" t="str">
        <f aca="false">IF(IFERROR(INDEX(Sales!D:D,$Z$31),"")="","",IFERROR(INDEX(Sales!D:D,$Z$31),""))</f>
        <v/>
      </c>
      <c r="C31" s="140"/>
      <c r="D31" s="140" t="str">
        <f aca="false">IF(IFERROR(INDEX(Sales!C:C,$Z$31),"")="","",IFERROR(INDEX(Sales!C:C,$Z$31),""))</f>
        <v/>
      </c>
      <c r="E31" s="140"/>
      <c r="F31" s="140"/>
      <c r="G31" s="143" t="str">
        <f aca="false">IF(IFERROR(INDEX(Sales!M:M,$Z$31),"")="","",IFERROR(INDEX(Sales!M:M,$Z$31),""))</f>
        <v/>
      </c>
      <c r="H31" s="221" t="str">
        <f aca="false">IF(IFERROR(INDEX(Sales!L:L,$Z$31),"")="","",IFERROR(INDEX(Sales!L:L,$Z$31),""))</f>
        <v/>
      </c>
      <c r="I31" s="144" t="str">
        <f aca="false">IF(IFERROR(INDEX(Sales!I:I,$Z$31),"")="","",IFERROR(INDEX(Sales!I:I,$Z$31),""))</f>
        <v/>
      </c>
      <c r="J31" s="229" t="str">
        <f aca="false">IF(IFERROR(INDEX(Sales!AA:AA,$Z$31),"")="","",IFERROR(INDEX(Sales!AA:AA,$Z$31),""))</f>
        <v/>
      </c>
      <c r="K31" s="222" t="str">
        <f aca="false">IF(IFERROR(INDEX(Sales!H:H,$Z$31),"")="","",IFERROR(INDEX(Sales!H:H,$Z$31),""))</f>
        <v/>
      </c>
      <c r="Y31" s="134" t="n">
        <v>2</v>
      </c>
      <c r="Z31" s="1" t="str">
        <f aca="false">IFERROR(MATCH(_xlfn.AGGREGATE(15,6,Sales!$AJ$2:$AJ$941,$Y$31),Sales!$AJ$2:$AJ$941,0)+1,"")</f>
        <v/>
      </c>
    </row>
    <row r="32" customFormat="false" ht="15" hidden="false" customHeight="true" outlineLevel="0" collapsed="false">
      <c r="A32" s="135" t="s">
        <v>433</v>
      </c>
      <c r="B32" s="129" t="str">
        <f aca="false">IF(IFERROR(INDEX(Sales!D:D,$Z$32),"")="","",IFERROR(INDEX(Sales!D:D,$Z$32),""))</f>
        <v/>
      </c>
      <c r="C32" s="129"/>
      <c r="D32" s="238" t="str">
        <f aca="false">IF(IFERROR(INDEX(Sales!C:C,$Z$32),"")="","",IFERROR(INDEX(Sales!C:C,$Z$32),""))</f>
        <v/>
      </c>
      <c r="E32" s="238"/>
      <c r="F32" s="238"/>
      <c r="G32" s="132" t="str">
        <f aca="false">IF(IFERROR(INDEX(Sales!M:M,$Z$32),"")="","",IFERROR(INDEX(Sales!M:M,$Z$32),""))</f>
        <v/>
      </c>
      <c r="H32" s="217" t="str">
        <f aca="false">IF(IFERROR(INDEX(Sales!L:L,$Z$32),"")="","",IFERROR(INDEX(Sales!L:L,$Z$32),""))</f>
        <v/>
      </c>
      <c r="I32" s="133" t="str">
        <f aca="false">IF(IFERROR(INDEX(Sales!I:I,$Z$32),"")="","",IFERROR(INDEX(Sales!I:I,$Z$32),""))</f>
        <v/>
      </c>
      <c r="J32" s="228" t="str">
        <f aca="false">IF(IFERROR(INDEX(Sales!AA:AA,$Z$32),"")="","",IFERROR(INDEX(Sales!AA:AA,$Z$32),""))</f>
        <v/>
      </c>
      <c r="K32" s="219" t="str">
        <f aca="false">IF(IFERROR(INDEX(Sales!H:H,$Z$32),"")="","",IFERROR(INDEX(Sales!H:H,$Z$32),""))</f>
        <v/>
      </c>
      <c r="Y32" s="134" t="n">
        <v>3</v>
      </c>
      <c r="Z32" s="1" t="str">
        <f aca="false">IFERROR(MATCH(_xlfn.AGGREGATE(15,6,Sales!$AJ$2:$AJ$941,$Y$32),Sales!$AJ$2:$AJ$941,0)+1,"")</f>
        <v/>
      </c>
    </row>
    <row r="34" customFormat="false" ht="15.75" hidden="false" customHeight="true" outlineLevel="0" collapsed="false">
      <c r="A34" s="192" t="s">
        <v>401</v>
      </c>
    </row>
    <row r="35" customFormat="false" ht="12.75" hidden="false" customHeight="true" outlineLevel="0" collapsed="false">
      <c r="A35" s="195"/>
      <c r="B35" s="195"/>
      <c r="C35" s="195"/>
      <c r="D35" s="195"/>
      <c r="E35" s="195"/>
      <c r="F35" s="195"/>
      <c r="G35" s="195"/>
      <c r="H35" s="195"/>
      <c r="I35" s="195"/>
      <c r="J35" s="195"/>
      <c r="K35" s="195"/>
    </row>
    <row r="36" customFormat="false" ht="12.75" hidden="false" customHeight="true" outlineLevel="0" collapsed="false">
      <c r="A36" s="195"/>
      <c r="B36" s="195"/>
      <c r="C36" s="195"/>
      <c r="D36" s="195"/>
      <c r="E36" s="195"/>
      <c r="F36" s="195"/>
      <c r="G36" s="195"/>
      <c r="H36" s="195"/>
      <c r="I36" s="195"/>
      <c r="J36" s="195"/>
      <c r="K36" s="195"/>
    </row>
    <row r="37" customFormat="false" ht="12.75" hidden="false" customHeight="true" outlineLevel="0" collapsed="false">
      <c r="A37" s="195"/>
      <c r="B37" s="195"/>
      <c r="C37" s="195"/>
      <c r="D37" s="195"/>
      <c r="E37" s="195"/>
      <c r="F37" s="195"/>
      <c r="G37" s="195"/>
      <c r="H37" s="195"/>
      <c r="I37" s="195"/>
      <c r="J37" s="195"/>
      <c r="K37" s="195"/>
    </row>
    <row r="38" customFormat="false" ht="12.75" hidden="false" customHeight="true" outlineLevel="0" collapsed="false">
      <c r="A38" s="195"/>
      <c r="B38" s="195"/>
      <c r="C38" s="195"/>
      <c r="D38" s="195"/>
      <c r="E38" s="195"/>
      <c r="F38" s="195"/>
      <c r="G38" s="195"/>
      <c r="H38" s="195"/>
      <c r="I38" s="195"/>
      <c r="J38" s="195"/>
      <c r="K38" s="195"/>
    </row>
    <row r="39" customFormat="false" ht="12.75" hidden="false" customHeight="true" outlineLevel="0" collapsed="false">
      <c r="A39" s="195"/>
      <c r="B39" s="195"/>
      <c r="C39" s="195"/>
      <c r="D39" s="195"/>
      <c r="E39" s="195"/>
      <c r="F39" s="195"/>
      <c r="G39" s="195"/>
      <c r="H39" s="195"/>
      <c r="I39" s="195"/>
      <c r="J39" s="195"/>
      <c r="K39" s="195"/>
    </row>
    <row r="40" customFormat="false" ht="12.75" hidden="false" customHeight="true" outlineLevel="0" collapsed="false">
      <c r="A40" s="195"/>
      <c r="B40" s="195"/>
      <c r="C40" s="195"/>
      <c r="D40" s="195"/>
      <c r="E40" s="195"/>
      <c r="F40" s="195"/>
      <c r="G40" s="195"/>
      <c r="H40" s="195"/>
      <c r="I40" s="195"/>
      <c r="J40" s="195"/>
      <c r="K40" s="195"/>
    </row>
    <row r="41" customFormat="false" ht="12.75" hidden="false" customHeight="true" outlineLevel="0" collapsed="false">
      <c r="A41" s="195"/>
      <c r="B41" s="195"/>
      <c r="C41" s="195"/>
      <c r="D41" s="195"/>
      <c r="E41" s="195"/>
      <c r="F41" s="195"/>
      <c r="G41" s="195"/>
      <c r="H41" s="195"/>
      <c r="I41" s="195"/>
      <c r="J41" s="195"/>
      <c r="K41" s="195"/>
    </row>
    <row r="42" customFormat="false" ht="12.75" hidden="false" customHeight="true" outlineLevel="0" collapsed="false">
      <c r="A42" s="195"/>
      <c r="B42" s="195"/>
      <c r="C42" s="195"/>
      <c r="D42" s="195"/>
      <c r="E42" s="195"/>
      <c r="F42" s="195"/>
      <c r="G42" s="195"/>
      <c r="H42" s="195"/>
      <c r="I42" s="195"/>
      <c r="J42" s="195"/>
      <c r="K42" s="195"/>
    </row>
    <row r="44" customFormat="false" ht="16.5" hidden="false" customHeight="true" outlineLevel="0" collapsed="false">
      <c r="A44" s="151" t="s">
        <v>436</v>
      </c>
      <c r="B44" s="151"/>
      <c r="C44" s="151"/>
      <c r="D44" s="151"/>
      <c r="E44" s="151"/>
      <c r="F44" s="151"/>
      <c r="G44" s="151"/>
      <c r="H44" s="151"/>
      <c r="I44" s="151"/>
      <c r="J44" s="151"/>
      <c r="K44" s="151"/>
    </row>
    <row r="46" customFormat="false" ht="13.5" hidden="false" customHeight="true" outlineLevel="0" collapsed="false">
      <c r="A46" s="192" t="s">
        <v>437</v>
      </c>
      <c r="D46" s="239"/>
      <c r="E46" s="239"/>
      <c r="G46" s="240" t="s">
        <v>438</v>
      </c>
      <c r="I46" s="240" t="s">
        <v>439</v>
      </c>
    </row>
    <row r="47" customFormat="false" ht="13.5" hidden="false" customHeight="true" outlineLevel="0" collapsed="false">
      <c r="A47" s="192" t="s">
        <v>440</v>
      </c>
      <c r="D47" s="239"/>
      <c r="E47" s="239"/>
      <c r="G47" s="240" t="s">
        <v>438</v>
      </c>
      <c r="I47" s="240" t="s">
        <v>439</v>
      </c>
    </row>
    <row r="48" customFormat="false" ht="12.75" hidden="false" customHeight="true" outlineLevel="0" collapsed="false">
      <c r="A48" s="192" t="s">
        <v>441</v>
      </c>
      <c r="D48" s="239"/>
      <c r="E48" s="239"/>
      <c r="G48" s="240"/>
      <c r="I48" s="240"/>
    </row>
  </sheetData>
  <mergeCells count="17">
    <mergeCell ref="A8:K15"/>
    <mergeCell ref="C21:D21"/>
    <mergeCell ref="C22:D22"/>
    <mergeCell ref="C23:D23"/>
    <mergeCell ref="C24:D24"/>
    <mergeCell ref="B29:C29"/>
    <mergeCell ref="D29:F29"/>
    <mergeCell ref="B30:C30"/>
    <mergeCell ref="D30:F30"/>
    <mergeCell ref="B31:C31"/>
    <mergeCell ref="D31:F31"/>
    <mergeCell ref="B32:C32"/>
    <mergeCell ref="D32:F32"/>
    <mergeCell ref="A35:K42"/>
    <mergeCell ref="D46:E46"/>
    <mergeCell ref="D47:E47"/>
    <mergeCell ref="D48:E48"/>
  </mergeCells>
  <printOptions headings="false" gridLines="false" gridLinesSet="true" horizontalCentered="true" verticalCentered="false"/>
  <pageMargins left="0.25" right="0.25" top="0.5" bottom="0.5"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 ">
              <controlPr defaultSize="0" locked="1" autoFill="0" autoLine="0" autoPict="0" print="true" altText="Check Box 1">
                <anchor moveWithCells="true" sizeWithCells="false">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002" r:id="rId5" name=" ">
              <controlPr defaultSize="0" locked="1" autoFill="0" autoLine="0" autoPict="0" print="true" altText="Check Box 2">
                <anchor moveWithCells="true" sizeWithCells="false">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003" r:id="rId6" name=" ">
              <controlPr defaultSize="0" locked="1" autoFill="0" autoLine="0" autoPict="0" print="true" altText="Check Box 3">
                <anchor moveWithCells="true" sizeWithCells="false">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004" r:id="rId7" name=" ">
              <controlPr defaultSize="0" locked="1" autoFill="0" autoLine="0" autoPict="0" print="true" altText="Check Box 4">
                <anchor moveWithCells="true" sizeWithCells="false">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005" r:id="rId8" name="Button 7">
              <controlPr defaultSize="0" print="true" autoFill="0" autoPict="0" macro="Module1.Income">
                <anchor moveWithCells="true" sizeWithCells="false">
                  <from>
                    <xdr:col>0</xdr:col>
                    <xdr:colOff>104760</xdr:colOff>
                    <xdr:row>15</xdr:row>
                    <xdr:rowOff>85680</xdr:rowOff>
                  </from>
                  <to>
                    <xdr:col>3</xdr:col>
                    <xdr:colOff>9360</xdr:colOff>
                    <xdr:row>16</xdr:row>
                    <xdr:rowOff>162000</xdr:rowOff>
                  </to>
                </anchor>
              </controlPr>
            </control>
          </mc:Choice>
        </mc:AlternateContent>
        <mc:AlternateContent xmlns:mc="http://schemas.openxmlformats.org/markup-compatibility/2006">
          <mc:Choice Requires="x14">
            <control shapeId="1006" r:id="rId9" name="Button 8">
              <controlPr defaultSize="0" print="true" autoFill="0" autoPict="0" macro="Module1.Sales">
                <anchor moveWithCells="true" sizeWithCells="false">
                  <from>
                    <xdr:col>1</xdr:col>
                    <xdr:colOff>9360</xdr:colOff>
                    <xdr:row>24</xdr:row>
                    <xdr:rowOff>9360</xdr:rowOff>
                  </from>
                  <to>
                    <xdr:col>3</xdr:col>
                    <xdr:colOff>352080</xdr:colOff>
                    <xdr:row>25</xdr:row>
                    <xdr:rowOff>56880</xdr:rowOff>
                  </to>
                </anchor>
              </controlPr>
            </control>
          </mc:Choice>
        </mc:AlternateContent>
        <mc:AlternateContent xmlns:mc="http://schemas.openxmlformats.org/markup-compatibility/2006">
          <mc:Choice Requires="x14">
            <control shapeId="1007" r:id="rId10" name="Button 15">
              <controlPr defaultSize="0" print="true" autoFill="0" autoPict="0" macro="Module1.Income">
                <anchor moveWithCells="true" sizeWithCells="false">
                  <from>
                    <xdr:col>0</xdr:col>
                    <xdr:colOff>104760</xdr:colOff>
                    <xdr:row>15</xdr:row>
                    <xdr:rowOff>85680</xdr:rowOff>
                  </from>
                  <to>
                    <xdr:col>3</xdr:col>
                    <xdr:colOff>9360</xdr:colOff>
                    <xdr:row>16</xdr:row>
                    <xdr:rowOff>162000</xdr:rowOff>
                  </to>
                </anchor>
              </controlPr>
            </control>
          </mc:Choice>
        </mc:AlternateContent>
        <mc:AlternateContent xmlns:mc="http://schemas.openxmlformats.org/markup-compatibility/2006">
          <mc:Choice Requires="x14">
            <control shapeId="1008" r:id="rId11" name="Button 16">
              <controlPr defaultSize="0" print="true" autoFill="0" autoPict="0" macro="Module1.Sales">
                <anchor moveWithCells="true" sizeWithCells="false">
                  <from>
                    <xdr:col>1</xdr:col>
                    <xdr:colOff>9360</xdr:colOff>
                    <xdr:row>24</xdr:row>
                    <xdr:rowOff>9360</xdr:rowOff>
                  </from>
                  <to>
                    <xdr:col>3</xdr:col>
                    <xdr:colOff>352080</xdr:colOff>
                    <xdr:row>25</xdr:row>
                    <xdr:rowOff>56880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M510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0.29296875" defaultRowHeight="12" zeroHeight="false" outlineLevelRow="0" outlineLevelCol="0"/>
  <cols>
    <col collapsed="false" customWidth="true" hidden="false" outlineLevel="0" max="2" min="2" style="1" width="59.29"/>
    <col collapsed="false" customWidth="true" hidden="false" outlineLevel="0" max="3" min="3" style="1" width="34.14"/>
    <col collapsed="false" customWidth="true" hidden="false" outlineLevel="0" max="4" min="4" style="1" width="50.14"/>
    <col collapsed="false" customWidth="true" hidden="false" outlineLevel="0" max="5" min="5" style="1" width="9.14"/>
    <col collapsed="false" customWidth="true" hidden="false" outlineLevel="0" max="6" min="6" style="1" width="11.43"/>
    <col collapsed="false" customWidth="true" hidden="false" outlineLevel="0" max="7" min="7" style="1" width="12.57"/>
    <col collapsed="false" customWidth="true" hidden="false" outlineLevel="0" max="8" min="8" style="1" width="11.43"/>
    <col collapsed="false" customWidth="true" hidden="false" outlineLevel="0" max="9" min="9" style="1" width="16"/>
    <col collapsed="false" customWidth="true" hidden="false" outlineLevel="0" max="10" min="10" style="1" width="29.57"/>
    <col collapsed="false" customWidth="true" hidden="false" outlineLevel="0" max="13" min="11" style="1" width="11.43"/>
  </cols>
  <sheetData>
    <row r="1" customFormat="false" ht="12" hidden="false" customHeight="true" outlineLevel="0" collapsed="false">
      <c r="B1" s="83" t="s">
        <v>442</v>
      </c>
    </row>
    <row r="2" customFormat="false" ht="12" hidden="false" customHeight="true" outlineLevel="0" collapsed="false">
      <c r="B2" s="1" t="s">
        <v>443</v>
      </c>
    </row>
    <row r="4" customFormat="false" ht="12" hidden="false" customHeight="true" outlineLevel="0" collapsed="false">
      <c r="B4" s="1" t="s">
        <v>444</v>
      </c>
    </row>
    <row r="5" customFormat="false" ht="12" hidden="false" customHeight="true" outlineLevel="0" collapsed="false">
      <c r="B5" s="1" t="s">
        <v>445</v>
      </c>
      <c r="C5" s="80" t="n">
        <f aca="false">'Cost Approach'!G51</f>
        <v>30084087.499268</v>
      </c>
    </row>
    <row r="6" customFormat="false" ht="12" hidden="false" customHeight="true" outlineLevel="0" collapsed="false">
      <c r="B6" s="1" t="s">
        <v>446</v>
      </c>
      <c r="C6" s="80" t="n">
        <f aca="false">'Cost Approach'!G64</f>
        <v>28880723.9992973</v>
      </c>
    </row>
    <row r="7" customFormat="false" ht="12" hidden="false" customHeight="true" outlineLevel="0" collapsed="false">
      <c r="B7" s="1" t="s">
        <v>447</v>
      </c>
      <c r="C7" s="80" t="n">
        <f aca="false">'Cost Approach'!G67</f>
        <v>5000000</v>
      </c>
    </row>
    <row r="8" customFormat="false" ht="12" hidden="false" customHeight="true" outlineLevel="0" collapsed="false">
      <c r="B8" s="1" t="s">
        <v>448</v>
      </c>
      <c r="C8" s="80" t="n">
        <f aca="false">'Cost Approach'!G70</f>
        <v>33880000</v>
      </c>
    </row>
    <row r="11" customFormat="false" ht="12" hidden="false" customHeight="true" outlineLevel="0" collapsed="false">
      <c r="B11" s="83" t="s">
        <v>449</v>
      </c>
    </row>
    <row r="13" customFormat="false" ht="12" hidden="false" customHeight="true" outlineLevel="0" collapsed="false">
      <c r="B13" s="83" t="s">
        <v>450</v>
      </c>
    </row>
    <row r="14" customFormat="false" ht="12" hidden="false" customHeight="true" outlineLevel="0" collapsed="false">
      <c r="B14" s="1" t="s">
        <v>451</v>
      </c>
      <c r="C14" s="1" t="s">
        <v>452</v>
      </c>
      <c r="D14" s="1" t="s">
        <v>453</v>
      </c>
      <c r="E14" s="1" t="s">
        <v>454</v>
      </c>
      <c r="F14" s="1" t="s">
        <v>455</v>
      </c>
    </row>
    <row r="15" customFormat="false" ht="12" hidden="false" customHeight="true" outlineLevel="0" collapsed="false">
      <c r="B15" s="1" t="s">
        <v>456</v>
      </c>
      <c r="C15" s="1" t="s">
        <v>457</v>
      </c>
      <c r="D15" s="1" t="s">
        <v>458</v>
      </c>
      <c r="E15" s="1" t="s">
        <v>459</v>
      </c>
      <c r="F15" s="1" t="s">
        <v>460</v>
      </c>
    </row>
    <row r="16" customFormat="false" ht="12" hidden="false" customHeight="true" outlineLevel="0" collapsed="false">
      <c r="B16" s="1" t="s">
        <v>461</v>
      </c>
      <c r="C16" s="1" t="s">
        <v>462</v>
      </c>
      <c r="D16" s="1" t="s">
        <v>458</v>
      </c>
      <c r="E16" s="1" t="s">
        <v>459</v>
      </c>
      <c r="F16" s="1" t="s">
        <v>460</v>
      </c>
    </row>
    <row r="17" customFormat="false" ht="12" hidden="false" customHeight="true" outlineLevel="0" collapsed="false">
      <c r="B17" s="1" t="s">
        <v>463</v>
      </c>
      <c r="C17" s="1" t="s">
        <v>464</v>
      </c>
      <c r="D17" s="1" t="s">
        <v>465</v>
      </c>
      <c r="E17" s="1" t="s">
        <v>466</v>
      </c>
      <c r="F17" s="1" t="s">
        <v>467</v>
      </c>
    </row>
    <row r="18" customFormat="false" ht="12" hidden="false" customHeight="true" outlineLevel="0" collapsed="false">
      <c r="B18" s="1" t="s">
        <v>468</v>
      </c>
      <c r="C18" s="1" t="s">
        <v>469</v>
      </c>
      <c r="D18" s="1" t="s">
        <v>470</v>
      </c>
      <c r="E18" s="1" t="s">
        <v>471</v>
      </c>
      <c r="F18" s="1" t="s">
        <v>472</v>
      </c>
    </row>
    <row r="19" customFormat="false" ht="12" hidden="false" customHeight="true" outlineLevel="0" collapsed="false">
      <c r="B19" s="1" t="s">
        <v>473</v>
      </c>
      <c r="C19" s="1" t="s">
        <v>474</v>
      </c>
      <c r="D19" s="1" t="s">
        <v>475</v>
      </c>
      <c r="E19" s="1" t="s">
        <v>476</v>
      </c>
      <c r="F19" s="1" t="s">
        <v>477</v>
      </c>
    </row>
    <row r="21" customFormat="false" ht="12" hidden="false" customHeight="true" outlineLevel="0" collapsed="false">
      <c r="B21" s="83" t="s">
        <v>478</v>
      </c>
    </row>
    <row r="22" customFormat="false" ht="12" hidden="false" customHeight="true" outlineLevel="0" collapsed="false">
      <c r="B22" s="1" t="s">
        <v>68</v>
      </c>
      <c r="C22" s="1" t="s">
        <v>479</v>
      </c>
    </row>
    <row r="23" customFormat="false" ht="12" hidden="false" customHeight="true" outlineLevel="0" collapsed="false">
      <c r="B23" s="1" t="s">
        <v>480</v>
      </c>
      <c r="C23" s="1" t="s">
        <v>481</v>
      </c>
    </row>
    <row r="24" customFormat="false" ht="12" hidden="false" customHeight="true" outlineLevel="0" collapsed="false">
      <c r="B24" s="1" t="s">
        <v>279</v>
      </c>
      <c r="C24" s="1" t="s">
        <v>482</v>
      </c>
    </row>
    <row r="25" customFormat="false" ht="12" hidden="false" customHeight="true" outlineLevel="0" collapsed="false">
      <c r="B25" s="1" t="s">
        <v>483</v>
      </c>
      <c r="C25" s="1" t="s">
        <v>484</v>
      </c>
    </row>
    <row r="26" customFormat="false" ht="12" hidden="false" customHeight="true" outlineLevel="0" collapsed="false">
      <c r="B26" s="1" t="s">
        <v>485</v>
      </c>
      <c r="C26" s="1" t="s">
        <v>486</v>
      </c>
    </row>
    <row r="28" customFormat="false" ht="12" hidden="false" customHeight="true" outlineLevel="0" collapsed="false">
      <c r="B28" s="241" t="s">
        <v>487</v>
      </c>
    </row>
    <row r="29" customFormat="false" ht="12" hidden="false" customHeight="true" outlineLevel="0" collapsed="false">
      <c r="B29" s="242" t="s">
        <v>488</v>
      </c>
      <c r="C29" s="242" t="s">
        <v>489</v>
      </c>
      <c r="D29" s="242" t="s">
        <v>490</v>
      </c>
      <c r="E29" s="242" t="s">
        <v>491</v>
      </c>
      <c r="F29" s="242" t="s">
        <v>451</v>
      </c>
      <c r="G29" s="242" t="s">
        <v>68</v>
      </c>
      <c r="H29" s="242" t="s">
        <v>143</v>
      </c>
      <c r="I29" s="242" t="s">
        <v>492</v>
      </c>
      <c r="J29" s="242" t="s">
        <v>493</v>
      </c>
    </row>
    <row r="30" customFormat="false" ht="12" hidden="false" customHeight="true" outlineLevel="0" collapsed="false">
      <c r="B30" s="1" t="s">
        <v>494</v>
      </c>
      <c r="C30" s="1" t="s">
        <v>495</v>
      </c>
      <c r="D30" s="1" t="s">
        <v>496</v>
      </c>
      <c r="E30" s="1" t="s">
        <v>497</v>
      </c>
      <c r="F30" s="1" t="s">
        <v>456</v>
      </c>
      <c r="G30" s="1" t="s">
        <v>483</v>
      </c>
      <c r="H30" s="1" t="n">
        <v>304</v>
      </c>
      <c r="I30" s="1" t="str">
        <f aca="false">B30&amp;"|"&amp;F30&amp;"|"&amp;G30</f>
        <v>Homes For the Elderly|A|Good</v>
      </c>
      <c r="J30" s="1" t="s">
        <v>498</v>
      </c>
    </row>
    <row r="31" customFormat="false" ht="12" hidden="false" customHeight="true" outlineLevel="0" collapsed="false">
      <c r="B31" s="1" t="s">
        <v>494</v>
      </c>
      <c r="C31" s="1" t="s">
        <v>495</v>
      </c>
      <c r="D31" s="1" t="s">
        <v>496</v>
      </c>
      <c r="E31" s="1" t="s">
        <v>497</v>
      </c>
      <c r="F31" s="1" t="s">
        <v>456</v>
      </c>
      <c r="G31" s="1" t="s">
        <v>279</v>
      </c>
      <c r="H31" s="1" t="n">
        <v>238</v>
      </c>
      <c r="I31" s="1" t="str">
        <f aca="false">B31&amp;"|"&amp;F31&amp;"|"&amp;G31</f>
        <v>Homes For the Elderly|A|Average</v>
      </c>
      <c r="J31" s="1" t="s">
        <v>498</v>
      </c>
    </row>
    <row r="32" customFormat="false" ht="12" hidden="false" customHeight="true" outlineLevel="0" collapsed="false">
      <c r="B32" s="1" t="s">
        <v>494</v>
      </c>
      <c r="C32" s="1" t="s">
        <v>495</v>
      </c>
      <c r="D32" s="1" t="s">
        <v>496</v>
      </c>
      <c r="E32" s="1" t="s">
        <v>497</v>
      </c>
      <c r="F32" s="1" t="s">
        <v>456</v>
      </c>
      <c r="G32" s="1" t="s">
        <v>480</v>
      </c>
      <c r="H32" s="1" t="n">
        <v>189</v>
      </c>
      <c r="I32" s="1" t="str">
        <f aca="false">B32&amp;"|"&amp;F32&amp;"|"&amp;G32</f>
        <v>Homes For the Elderly|A|Low Cost</v>
      </c>
      <c r="J32" s="1" t="s">
        <v>498</v>
      </c>
    </row>
    <row r="33" customFormat="false" ht="12" hidden="false" customHeight="true" outlineLevel="0" collapsed="false">
      <c r="B33" s="1" t="s">
        <v>494</v>
      </c>
      <c r="C33" s="1" t="s">
        <v>495</v>
      </c>
      <c r="D33" s="1" t="s">
        <v>496</v>
      </c>
      <c r="E33" s="1" t="s">
        <v>497</v>
      </c>
      <c r="F33" s="1" t="s">
        <v>461</v>
      </c>
      <c r="G33" s="1" t="s">
        <v>483</v>
      </c>
      <c r="H33" s="1" t="n">
        <v>274</v>
      </c>
      <c r="I33" s="1" t="str">
        <f aca="false">B33&amp;"|"&amp;F33&amp;"|"&amp;G33</f>
        <v>Homes For the Elderly|B|Good</v>
      </c>
      <c r="J33" s="1" t="s">
        <v>498</v>
      </c>
    </row>
    <row r="34" customFormat="false" ht="12" hidden="false" customHeight="true" outlineLevel="0" collapsed="false">
      <c r="B34" s="1" t="s">
        <v>494</v>
      </c>
      <c r="C34" s="1" t="s">
        <v>495</v>
      </c>
      <c r="D34" s="1" t="s">
        <v>496</v>
      </c>
      <c r="E34" s="1" t="s">
        <v>497</v>
      </c>
      <c r="F34" s="1" t="s">
        <v>461</v>
      </c>
      <c r="G34" s="1" t="s">
        <v>279</v>
      </c>
      <c r="H34" s="1" t="n">
        <v>214</v>
      </c>
      <c r="I34" s="1" t="str">
        <f aca="false">B34&amp;"|"&amp;F34&amp;"|"&amp;G34</f>
        <v>Homes For the Elderly|B|Average</v>
      </c>
      <c r="J34" s="1" t="s">
        <v>498</v>
      </c>
    </row>
    <row r="35" customFormat="false" ht="12" hidden="false" customHeight="true" outlineLevel="0" collapsed="false">
      <c r="B35" s="1" t="s">
        <v>494</v>
      </c>
      <c r="C35" s="1" t="s">
        <v>495</v>
      </c>
      <c r="D35" s="1" t="s">
        <v>496</v>
      </c>
      <c r="E35" s="1" t="s">
        <v>497</v>
      </c>
      <c r="F35" s="1" t="s">
        <v>461</v>
      </c>
      <c r="G35" s="1" t="s">
        <v>480</v>
      </c>
      <c r="H35" s="1" t="n">
        <v>169</v>
      </c>
      <c r="I35" s="1" t="str">
        <f aca="false">B35&amp;"|"&amp;F35&amp;"|"&amp;G35</f>
        <v>Homes For the Elderly|B|Low Cost</v>
      </c>
      <c r="J35" s="1" t="s">
        <v>498</v>
      </c>
    </row>
    <row r="36" customFormat="false" ht="12" hidden="false" customHeight="true" outlineLevel="0" collapsed="false">
      <c r="B36" s="1" t="s">
        <v>494</v>
      </c>
      <c r="C36" s="1" t="s">
        <v>495</v>
      </c>
      <c r="D36" s="1" t="s">
        <v>496</v>
      </c>
      <c r="E36" s="1" t="s">
        <v>497</v>
      </c>
      <c r="F36" s="1" t="s">
        <v>463</v>
      </c>
      <c r="G36" s="1" t="s">
        <v>483</v>
      </c>
      <c r="H36" s="1" t="n">
        <v>229</v>
      </c>
      <c r="I36" s="1" t="str">
        <f aca="false">B36&amp;"|"&amp;F36&amp;"|"&amp;G36</f>
        <v>Homes For the Elderly|C|Good</v>
      </c>
      <c r="J36" s="1" t="s">
        <v>498</v>
      </c>
    </row>
    <row r="37" customFormat="false" ht="12" hidden="false" customHeight="true" outlineLevel="0" collapsed="false">
      <c r="B37" s="1" t="s">
        <v>494</v>
      </c>
      <c r="C37" s="1" t="s">
        <v>495</v>
      </c>
      <c r="D37" s="1" t="s">
        <v>496</v>
      </c>
      <c r="E37" s="1" t="s">
        <v>497</v>
      </c>
      <c r="F37" s="1" t="s">
        <v>463</v>
      </c>
      <c r="G37" s="1" t="s">
        <v>279</v>
      </c>
      <c r="H37" s="1" t="n">
        <v>173</v>
      </c>
      <c r="I37" s="1" t="str">
        <f aca="false">B37&amp;"|"&amp;F37&amp;"|"&amp;G37</f>
        <v>Homes For the Elderly|C|Average</v>
      </c>
      <c r="J37" s="1" t="s">
        <v>498</v>
      </c>
    </row>
    <row r="38" customFormat="false" ht="12" hidden="false" customHeight="true" outlineLevel="0" collapsed="false">
      <c r="B38" s="1" t="s">
        <v>494</v>
      </c>
      <c r="C38" s="1" t="s">
        <v>495</v>
      </c>
      <c r="D38" s="1" t="s">
        <v>496</v>
      </c>
      <c r="E38" s="1" t="s">
        <v>497</v>
      </c>
      <c r="F38" s="1" t="s">
        <v>463</v>
      </c>
      <c r="G38" s="1" t="s">
        <v>480</v>
      </c>
      <c r="H38" s="1" t="n">
        <v>131</v>
      </c>
      <c r="I38" s="1" t="str">
        <f aca="false">B38&amp;"|"&amp;F38&amp;"|"&amp;G38</f>
        <v>Homes For the Elderly|C|Low Cost</v>
      </c>
      <c r="J38" s="1" t="s">
        <v>498</v>
      </c>
    </row>
    <row r="39" customFormat="false" ht="12" hidden="false" customHeight="true" outlineLevel="0" collapsed="false">
      <c r="B39" s="1" t="s">
        <v>494</v>
      </c>
      <c r="C39" s="1" t="s">
        <v>495</v>
      </c>
      <c r="D39" s="1" t="s">
        <v>496</v>
      </c>
      <c r="E39" s="1" t="s">
        <v>497</v>
      </c>
      <c r="F39" s="1" t="s">
        <v>468</v>
      </c>
      <c r="G39" s="1" t="s">
        <v>483</v>
      </c>
      <c r="H39" s="1" t="n">
        <v>222</v>
      </c>
      <c r="I39" s="1" t="str">
        <f aca="false">B39&amp;"|"&amp;F39&amp;"|"&amp;G39</f>
        <v>Homes For the Elderly|D|Good</v>
      </c>
      <c r="J39" s="1" t="s">
        <v>498</v>
      </c>
    </row>
    <row r="40" customFormat="false" ht="12" hidden="false" customHeight="true" outlineLevel="0" collapsed="false">
      <c r="B40" s="1" t="s">
        <v>494</v>
      </c>
      <c r="C40" s="1" t="s">
        <v>495</v>
      </c>
      <c r="D40" s="1" t="s">
        <v>496</v>
      </c>
      <c r="E40" s="1" t="s">
        <v>497</v>
      </c>
      <c r="F40" s="1" t="s">
        <v>468</v>
      </c>
      <c r="G40" s="1" t="s">
        <v>279</v>
      </c>
      <c r="H40" s="1" t="n">
        <v>167</v>
      </c>
      <c r="I40" s="1" t="str">
        <f aca="false">B40&amp;"|"&amp;F40&amp;"|"&amp;G40</f>
        <v>Homes For the Elderly|D|Average</v>
      </c>
      <c r="J40" s="1" t="s">
        <v>498</v>
      </c>
    </row>
    <row r="41" customFormat="false" ht="12" hidden="false" customHeight="true" outlineLevel="0" collapsed="false">
      <c r="B41" s="1" t="s">
        <v>494</v>
      </c>
      <c r="C41" s="1" t="s">
        <v>495</v>
      </c>
      <c r="D41" s="1" t="s">
        <v>496</v>
      </c>
      <c r="E41" s="1" t="s">
        <v>497</v>
      </c>
      <c r="F41" s="1" t="s">
        <v>468</v>
      </c>
      <c r="G41" s="1" t="s">
        <v>480</v>
      </c>
      <c r="H41" s="1" t="n">
        <v>125</v>
      </c>
      <c r="I41" s="1" t="str">
        <f aca="false">B41&amp;"|"&amp;F41&amp;"|"&amp;G41</f>
        <v>Homes For the Elderly|D|Low Cost</v>
      </c>
      <c r="J41" s="1" t="s">
        <v>498</v>
      </c>
    </row>
    <row r="42" customFormat="false" ht="12" hidden="false" customHeight="true" outlineLevel="0" collapsed="false">
      <c r="B42" s="1" t="s">
        <v>494</v>
      </c>
      <c r="C42" s="1" t="s">
        <v>495</v>
      </c>
      <c r="D42" s="1" t="s">
        <v>496</v>
      </c>
      <c r="E42" s="1" t="s">
        <v>497</v>
      </c>
      <c r="F42" s="1" t="s">
        <v>473</v>
      </c>
      <c r="G42" s="1" t="s">
        <v>483</v>
      </c>
      <c r="H42" s="1" t="n">
        <v>216</v>
      </c>
      <c r="I42" s="1" t="str">
        <f aca="false">B42&amp;"|"&amp;F42&amp;"|"&amp;G42</f>
        <v>Homes For the Elderly|S|Good</v>
      </c>
      <c r="J42" s="1" t="s">
        <v>498</v>
      </c>
    </row>
    <row r="43" customFormat="false" ht="12" hidden="false" customHeight="true" outlineLevel="0" collapsed="false">
      <c r="B43" s="1" t="s">
        <v>494</v>
      </c>
      <c r="C43" s="1" t="s">
        <v>495</v>
      </c>
      <c r="D43" s="1" t="s">
        <v>496</v>
      </c>
      <c r="E43" s="1" t="s">
        <v>497</v>
      </c>
      <c r="F43" s="1" t="s">
        <v>473</v>
      </c>
      <c r="G43" s="1" t="s">
        <v>279</v>
      </c>
      <c r="H43" s="1" t="n">
        <v>160</v>
      </c>
      <c r="I43" s="1" t="str">
        <f aca="false">B43&amp;"|"&amp;F43&amp;"|"&amp;G43</f>
        <v>Homes For the Elderly|S|Average</v>
      </c>
      <c r="J43" s="1" t="s">
        <v>498</v>
      </c>
    </row>
    <row r="44" customFormat="false" ht="12" hidden="false" customHeight="true" outlineLevel="0" collapsed="false">
      <c r="B44" s="1" t="s">
        <v>499</v>
      </c>
      <c r="C44" s="1" t="s">
        <v>500</v>
      </c>
      <c r="D44" s="1" t="s">
        <v>496</v>
      </c>
      <c r="E44" s="1" t="s">
        <v>501</v>
      </c>
      <c r="F44" s="1" t="s">
        <v>456</v>
      </c>
      <c r="G44" s="1" t="s">
        <v>485</v>
      </c>
      <c r="H44" s="1" t="n">
        <v>431</v>
      </c>
      <c r="I44" s="1" t="str">
        <f aca="false">B44&amp;"|"&amp;F44&amp;"|"&amp;G44</f>
        <v>Dormitories|A|Excellent</v>
      </c>
      <c r="J44" s="1" t="s">
        <v>502</v>
      </c>
    </row>
    <row r="45" customFormat="false" ht="12" hidden="false" customHeight="true" outlineLevel="0" collapsed="false">
      <c r="B45" s="1" t="s">
        <v>499</v>
      </c>
      <c r="C45" s="1" t="s">
        <v>500</v>
      </c>
      <c r="D45" s="1" t="s">
        <v>496</v>
      </c>
      <c r="E45" s="1" t="s">
        <v>501</v>
      </c>
      <c r="F45" s="1" t="s">
        <v>456</v>
      </c>
      <c r="G45" s="1" t="s">
        <v>503</v>
      </c>
      <c r="H45" s="1" t="n">
        <v>354</v>
      </c>
      <c r="I45" s="1" t="str">
        <f aca="false">B45&amp;"|"&amp;F45&amp;"|"&amp;G45</f>
        <v>Dormitories|A|Very Good</v>
      </c>
      <c r="J45" s="1" t="s">
        <v>502</v>
      </c>
    </row>
    <row r="46" customFormat="false" ht="12" hidden="false" customHeight="true" outlineLevel="0" collapsed="false">
      <c r="B46" s="1" t="s">
        <v>499</v>
      </c>
      <c r="C46" s="1" t="s">
        <v>500</v>
      </c>
      <c r="D46" s="1" t="s">
        <v>496</v>
      </c>
      <c r="E46" s="1" t="s">
        <v>501</v>
      </c>
      <c r="F46" s="1" t="s">
        <v>456</v>
      </c>
      <c r="G46" s="1" t="s">
        <v>483</v>
      </c>
      <c r="H46" s="1" t="n">
        <v>291</v>
      </c>
      <c r="I46" s="1" t="str">
        <f aca="false">B46&amp;"|"&amp;F46&amp;"|"&amp;G46</f>
        <v>Dormitories|A|Good</v>
      </c>
      <c r="J46" s="1" t="s">
        <v>502</v>
      </c>
    </row>
    <row r="47" customFormat="false" ht="12" hidden="false" customHeight="true" outlineLevel="0" collapsed="false">
      <c r="B47" s="1" t="s">
        <v>499</v>
      </c>
      <c r="C47" s="1" t="s">
        <v>500</v>
      </c>
      <c r="D47" s="1" t="s">
        <v>496</v>
      </c>
      <c r="E47" s="1" t="s">
        <v>501</v>
      </c>
      <c r="F47" s="1" t="s">
        <v>456</v>
      </c>
      <c r="G47" s="1" t="s">
        <v>279</v>
      </c>
      <c r="H47" s="1" t="n">
        <v>229</v>
      </c>
      <c r="I47" s="1" t="str">
        <f aca="false">B47&amp;"|"&amp;F47&amp;"|"&amp;G47</f>
        <v>Dormitories|A|Average</v>
      </c>
      <c r="J47" s="1" t="s">
        <v>502</v>
      </c>
    </row>
    <row r="48" customFormat="false" ht="12" hidden="false" customHeight="true" outlineLevel="0" collapsed="false">
      <c r="B48" s="1" t="s">
        <v>499</v>
      </c>
      <c r="C48" s="1" t="s">
        <v>500</v>
      </c>
      <c r="D48" s="1" t="s">
        <v>496</v>
      </c>
      <c r="E48" s="1" t="s">
        <v>501</v>
      </c>
      <c r="F48" s="1" t="s">
        <v>456</v>
      </c>
      <c r="G48" s="1" t="s">
        <v>480</v>
      </c>
      <c r="H48" s="1" t="n">
        <v>182</v>
      </c>
      <c r="I48" s="1" t="str">
        <f aca="false">B48&amp;"|"&amp;F48&amp;"|"&amp;G48</f>
        <v>Dormitories|A|Low Cost</v>
      </c>
      <c r="J48" s="1" t="s">
        <v>502</v>
      </c>
    </row>
    <row r="49" customFormat="false" ht="12" hidden="false" customHeight="true" outlineLevel="0" collapsed="false">
      <c r="B49" s="1" t="s">
        <v>499</v>
      </c>
      <c r="C49" s="1" t="s">
        <v>500</v>
      </c>
      <c r="D49" s="1" t="s">
        <v>496</v>
      </c>
      <c r="E49" s="1" t="s">
        <v>501</v>
      </c>
      <c r="F49" s="1" t="s">
        <v>461</v>
      </c>
      <c r="G49" s="1" t="s">
        <v>485</v>
      </c>
      <c r="H49" s="1" t="n">
        <v>388</v>
      </c>
      <c r="I49" s="1" t="str">
        <f aca="false">B49&amp;"|"&amp;F49&amp;"|"&amp;G49</f>
        <v>Dormitories|B|Excellent</v>
      </c>
      <c r="J49" s="1" t="s">
        <v>502</v>
      </c>
    </row>
    <row r="50" customFormat="false" ht="12" hidden="false" customHeight="true" outlineLevel="0" collapsed="false">
      <c r="B50" s="1" t="s">
        <v>499</v>
      </c>
      <c r="C50" s="1" t="s">
        <v>500</v>
      </c>
      <c r="D50" s="1" t="s">
        <v>496</v>
      </c>
      <c r="E50" s="1" t="s">
        <v>501</v>
      </c>
      <c r="F50" s="1" t="s">
        <v>461</v>
      </c>
      <c r="G50" s="1" t="s">
        <v>503</v>
      </c>
      <c r="H50" s="1" t="n">
        <v>319</v>
      </c>
      <c r="I50" s="1" t="str">
        <f aca="false">B50&amp;"|"&amp;F50&amp;"|"&amp;G50</f>
        <v>Dormitories|B|Very Good</v>
      </c>
      <c r="J50" s="1" t="s">
        <v>502</v>
      </c>
    </row>
    <row r="51" customFormat="false" ht="12" hidden="false" customHeight="true" outlineLevel="0" collapsed="false">
      <c r="B51" s="1" t="s">
        <v>499</v>
      </c>
      <c r="C51" s="1" t="s">
        <v>500</v>
      </c>
      <c r="D51" s="1" t="s">
        <v>496</v>
      </c>
      <c r="E51" s="1" t="s">
        <v>501</v>
      </c>
      <c r="F51" s="1" t="s">
        <v>461</v>
      </c>
      <c r="G51" s="1" t="s">
        <v>483</v>
      </c>
      <c r="H51" s="1" t="n">
        <v>262</v>
      </c>
      <c r="I51" s="1" t="str">
        <f aca="false">B51&amp;"|"&amp;F51&amp;"|"&amp;G51</f>
        <v>Dormitories|B|Good</v>
      </c>
      <c r="J51" s="1" t="s">
        <v>502</v>
      </c>
    </row>
    <row r="52" customFormat="false" ht="12" hidden="false" customHeight="true" outlineLevel="0" collapsed="false">
      <c r="B52" s="1" t="s">
        <v>499</v>
      </c>
      <c r="C52" s="1" t="s">
        <v>500</v>
      </c>
      <c r="D52" s="1" t="s">
        <v>496</v>
      </c>
      <c r="E52" s="1" t="s">
        <v>501</v>
      </c>
      <c r="F52" s="1" t="s">
        <v>461</v>
      </c>
      <c r="G52" s="1" t="s">
        <v>279</v>
      </c>
      <c r="H52" s="1" t="n">
        <v>205</v>
      </c>
      <c r="I52" s="1" t="str">
        <f aca="false">B52&amp;"|"&amp;F52&amp;"|"&amp;G52</f>
        <v>Dormitories|B|Average</v>
      </c>
      <c r="J52" s="1" t="s">
        <v>502</v>
      </c>
    </row>
    <row r="53" customFormat="false" ht="12" hidden="false" customHeight="true" outlineLevel="0" collapsed="false">
      <c r="B53" s="1" t="s">
        <v>499</v>
      </c>
      <c r="C53" s="1" t="s">
        <v>500</v>
      </c>
      <c r="D53" s="1" t="s">
        <v>496</v>
      </c>
      <c r="E53" s="1" t="s">
        <v>501</v>
      </c>
      <c r="F53" s="1" t="s">
        <v>461</v>
      </c>
      <c r="G53" s="1" t="s">
        <v>480</v>
      </c>
      <c r="H53" s="1" t="n">
        <v>163</v>
      </c>
      <c r="I53" s="1" t="str">
        <f aca="false">B53&amp;"|"&amp;F53&amp;"|"&amp;G53</f>
        <v>Dormitories|B|Low Cost</v>
      </c>
      <c r="J53" s="1" t="s">
        <v>502</v>
      </c>
    </row>
    <row r="54" customFormat="false" ht="12" hidden="false" customHeight="true" outlineLevel="0" collapsed="false">
      <c r="B54" s="1" t="s">
        <v>499</v>
      </c>
      <c r="C54" s="1" t="s">
        <v>500</v>
      </c>
      <c r="D54" s="1" t="s">
        <v>496</v>
      </c>
      <c r="E54" s="1" t="s">
        <v>501</v>
      </c>
      <c r="F54" s="1" t="s">
        <v>463</v>
      </c>
      <c r="G54" s="1" t="s">
        <v>485</v>
      </c>
      <c r="H54" s="1" t="n">
        <v>357</v>
      </c>
      <c r="I54" s="1" t="str">
        <f aca="false">B54&amp;"|"&amp;F54&amp;"|"&amp;G54</f>
        <v>Dormitories|C|Excellent</v>
      </c>
      <c r="J54" s="1" t="s">
        <v>502</v>
      </c>
    </row>
    <row r="55" customFormat="false" ht="12" hidden="false" customHeight="true" outlineLevel="0" collapsed="false">
      <c r="B55" s="1" t="s">
        <v>499</v>
      </c>
      <c r="C55" s="1" t="s">
        <v>500</v>
      </c>
      <c r="D55" s="1" t="s">
        <v>496</v>
      </c>
      <c r="E55" s="1" t="s">
        <v>501</v>
      </c>
      <c r="F55" s="1" t="s">
        <v>463</v>
      </c>
      <c r="G55" s="1" t="s">
        <v>503</v>
      </c>
      <c r="H55" s="1" t="n">
        <v>284</v>
      </c>
      <c r="I55" s="1" t="str">
        <f aca="false">B55&amp;"|"&amp;F55&amp;"|"&amp;G55</f>
        <v>Dormitories|C|Very Good</v>
      </c>
      <c r="J55" s="1" t="s">
        <v>502</v>
      </c>
    </row>
    <row r="56" customFormat="false" ht="12" hidden="false" customHeight="true" outlineLevel="0" collapsed="false">
      <c r="B56" s="1" t="s">
        <v>499</v>
      </c>
      <c r="C56" s="1" t="s">
        <v>500</v>
      </c>
      <c r="D56" s="1" t="s">
        <v>496</v>
      </c>
      <c r="E56" s="1" t="s">
        <v>501</v>
      </c>
      <c r="F56" s="1" t="s">
        <v>463</v>
      </c>
      <c r="G56" s="1" t="s">
        <v>483</v>
      </c>
      <c r="H56" s="1" t="n">
        <v>215</v>
      </c>
      <c r="I56" s="1" t="str">
        <f aca="false">B56&amp;"|"&amp;F56&amp;"|"&amp;G56</f>
        <v>Dormitories|C|Good</v>
      </c>
      <c r="J56" s="1" t="s">
        <v>502</v>
      </c>
    </row>
    <row r="57" customFormat="false" ht="12" hidden="false" customHeight="true" outlineLevel="0" collapsed="false">
      <c r="B57" s="1" t="s">
        <v>499</v>
      </c>
      <c r="C57" s="1" t="s">
        <v>500</v>
      </c>
      <c r="D57" s="1" t="s">
        <v>496</v>
      </c>
      <c r="E57" s="1" t="s">
        <v>501</v>
      </c>
      <c r="F57" s="1" t="s">
        <v>463</v>
      </c>
      <c r="G57" s="1" t="s">
        <v>279</v>
      </c>
      <c r="H57" s="1" t="n">
        <v>161</v>
      </c>
      <c r="I57" s="1" t="str">
        <f aca="false">B57&amp;"|"&amp;F57&amp;"|"&amp;G57</f>
        <v>Dormitories|C|Average</v>
      </c>
      <c r="J57" s="1" t="s">
        <v>502</v>
      </c>
    </row>
    <row r="58" customFormat="false" ht="12" hidden="false" customHeight="true" outlineLevel="0" collapsed="false">
      <c r="B58" s="1" t="s">
        <v>499</v>
      </c>
      <c r="C58" s="1" t="s">
        <v>500</v>
      </c>
      <c r="D58" s="1" t="s">
        <v>496</v>
      </c>
      <c r="E58" s="1" t="s">
        <v>501</v>
      </c>
      <c r="F58" s="1" t="s">
        <v>463</v>
      </c>
      <c r="G58" s="1" t="s">
        <v>480</v>
      </c>
      <c r="H58" s="1" t="n">
        <v>123</v>
      </c>
      <c r="I58" s="1" t="str">
        <f aca="false">B58&amp;"|"&amp;F58&amp;"|"&amp;G58</f>
        <v>Dormitories|C|Low Cost</v>
      </c>
      <c r="J58" s="1" t="s">
        <v>502</v>
      </c>
    </row>
    <row r="59" customFormat="false" ht="12" hidden="false" customHeight="true" outlineLevel="0" collapsed="false">
      <c r="B59" s="1" t="s">
        <v>499</v>
      </c>
      <c r="C59" s="1" t="s">
        <v>500</v>
      </c>
      <c r="D59" s="1" t="s">
        <v>496</v>
      </c>
      <c r="E59" s="1" t="s">
        <v>501</v>
      </c>
      <c r="F59" s="1" t="s">
        <v>468</v>
      </c>
      <c r="G59" s="1" t="s">
        <v>485</v>
      </c>
      <c r="H59" s="1" t="n">
        <v>349</v>
      </c>
      <c r="I59" s="1" t="str">
        <f aca="false">B59&amp;"|"&amp;F59&amp;"|"&amp;G59</f>
        <v>Dormitories|D|Excellent</v>
      </c>
      <c r="J59" s="1" t="s">
        <v>502</v>
      </c>
    </row>
    <row r="60" customFormat="false" ht="12" hidden="false" customHeight="true" outlineLevel="0" collapsed="false">
      <c r="B60" s="1" t="s">
        <v>499</v>
      </c>
      <c r="C60" s="1" t="s">
        <v>500</v>
      </c>
      <c r="D60" s="1" t="s">
        <v>496</v>
      </c>
      <c r="E60" s="1" t="s">
        <v>501</v>
      </c>
      <c r="F60" s="1" t="s">
        <v>468</v>
      </c>
      <c r="G60" s="1" t="s">
        <v>503</v>
      </c>
      <c r="H60" s="1" t="n">
        <v>275</v>
      </c>
      <c r="I60" s="1" t="str">
        <f aca="false">B60&amp;"|"&amp;F60&amp;"|"&amp;G60</f>
        <v>Dormitories|D|Very Good</v>
      </c>
      <c r="J60" s="1" t="s">
        <v>502</v>
      </c>
    </row>
    <row r="61" customFormat="false" ht="12" hidden="false" customHeight="true" outlineLevel="0" collapsed="false">
      <c r="B61" s="1" t="s">
        <v>499</v>
      </c>
      <c r="C61" s="1" t="s">
        <v>500</v>
      </c>
      <c r="D61" s="1" t="s">
        <v>496</v>
      </c>
      <c r="E61" s="1" t="s">
        <v>501</v>
      </c>
      <c r="F61" s="1" t="s">
        <v>468</v>
      </c>
      <c r="G61" s="1" t="s">
        <v>483</v>
      </c>
      <c r="H61" s="1" t="n">
        <v>201</v>
      </c>
      <c r="I61" s="1" t="str">
        <f aca="false">B61&amp;"|"&amp;F61&amp;"|"&amp;G61</f>
        <v>Dormitories|D|Good</v>
      </c>
      <c r="J61" s="1" t="s">
        <v>502</v>
      </c>
    </row>
    <row r="62" customFormat="false" ht="12" hidden="false" customHeight="true" outlineLevel="0" collapsed="false">
      <c r="B62" s="1" t="s">
        <v>499</v>
      </c>
      <c r="C62" s="1" t="s">
        <v>500</v>
      </c>
      <c r="D62" s="1" t="s">
        <v>496</v>
      </c>
      <c r="E62" s="1" t="s">
        <v>501</v>
      </c>
      <c r="F62" s="1" t="s">
        <v>468</v>
      </c>
      <c r="G62" s="1" t="s">
        <v>279</v>
      </c>
      <c r="H62" s="1" t="n">
        <v>152</v>
      </c>
      <c r="I62" s="1" t="str">
        <f aca="false">B62&amp;"|"&amp;F62&amp;"|"&amp;G62</f>
        <v>Dormitories|D|Average</v>
      </c>
      <c r="J62" s="1" t="s">
        <v>502</v>
      </c>
    </row>
    <row r="63" customFormat="false" ht="12" hidden="false" customHeight="true" outlineLevel="0" collapsed="false">
      <c r="B63" s="1" t="s">
        <v>499</v>
      </c>
      <c r="C63" s="1" t="s">
        <v>500</v>
      </c>
      <c r="D63" s="1" t="s">
        <v>496</v>
      </c>
      <c r="E63" s="1" t="s">
        <v>501</v>
      </c>
      <c r="F63" s="1" t="s">
        <v>468</v>
      </c>
      <c r="G63" s="1" t="s">
        <v>480</v>
      </c>
      <c r="H63" s="1" t="n">
        <v>115</v>
      </c>
      <c r="I63" s="1" t="str">
        <f aca="false">B63&amp;"|"&amp;F63&amp;"|"&amp;G63</f>
        <v>Dormitories|D|Low Cost</v>
      </c>
      <c r="J63" s="1" t="s">
        <v>502</v>
      </c>
    </row>
    <row r="64" customFormat="false" ht="12" hidden="false" customHeight="true" outlineLevel="0" collapsed="false">
      <c r="B64" s="1" t="s">
        <v>499</v>
      </c>
      <c r="C64" s="1" t="s">
        <v>500</v>
      </c>
      <c r="D64" s="1" t="s">
        <v>496</v>
      </c>
      <c r="E64" s="1" t="s">
        <v>501</v>
      </c>
      <c r="F64" s="1" t="s">
        <v>473</v>
      </c>
      <c r="G64" s="1" t="s">
        <v>279</v>
      </c>
      <c r="H64" s="1" t="n">
        <v>147</v>
      </c>
      <c r="I64" s="1" t="str">
        <f aca="false">B64&amp;"|"&amp;F64&amp;"|"&amp;G64</f>
        <v>Dormitories|S|Average</v>
      </c>
      <c r="J64" s="1" t="s">
        <v>502</v>
      </c>
    </row>
    <row r="65" customFormat="false" ht="12" hidden="false" customHeight="true" outlineLevel="0" collapsed="false">
      <c r="B65" s="1" t="s">
        <v>504</v>
      </c>
      <c r="C65" s="1" t="s">
        <v>505</v>
      </c>
      <c r="D65" s="1" t="s">
        <v>496</v>
      </c>
      <c r="E65" s="1" t="s">
        <v>506</v>
      </c>
      <c r="F65" s="1" t="s">
        <v>456</v>
      </c>
      <c r="G65" s="1" t="s">
        <v>483</v>
      </c>
      <c r="H65" s="1" t="n">
        <v>404</v>
      </c>
      <c r="I65" s="1" t="str">
        <f aca="false">B65&amp;"|"&amp;F65&amp;"|"&amp;G65</f>
        <v>Luxury Apartments (High-Rise)|A|Good</v>
      </c>
      <c r="J65" s="1" t="s">
        <v>507</v>
      </c>
    </row>
    <row r="66" customFormat="false" ht="12" hidden="false" customHeight="true" outlineLevel="0" collapsed="false">
      <c r="B66" s="1" t="s">
        <v>504</v>
      </c>
      <c r="C66" s="1" t="s">
        <v>505</v>
      </c>
      <c r="D66" s="1" t="s">
        <v>496</v>
      </c>
      <c r="E66" s="1" t="s">
        <v>506</v>
      </c>
      <c r="F66" s="1" t="s">
        <v>456</v>
      </c>
      <c r="G66" s="1" t="s">
        <v>279</v>
      </c>
      <c r="H66" s="1" t="n">
        <v>324</v>
      </c>
      <c r="I66" s="1" t="str">
        <f aca="false">B66&amp;"|"&amp;F66&amp;"|"&amp;G66</f>
        <v>Luxury Apartments (High-Rise)|A|Average</v>
      </c>
      <c r="J66" s="1" t="s">
        <v>507</v>
      </c>
    </row>
    <row r="67" customFormat="false" ht="12" hidden="false" customHeight="true" outlineLevel="0" collapsed="false">
      <c r="B67" s="1" t="s">
        <v>504</v>
      </c>
      <c r="C67" s="1" t="s">
        <v>505</v>
      </c>
      <c r="D67" s="1" t="s">
        <v>496</v>
      </c>
      <c r="E67" s="1" t="s">
        <v>506</v>
      </c>
      <c r="F67" s="1" t="s">
        <v>461</v>
      </c>
      <c r="G67" s="1" t="s">
        <v>483</v>
      </c>
      <c r="H67" s="1" t="n">
        <v>357</v>
      </c>
      <c r="I67" s="1" t="str">
        <f aca="false">B67&amp;"|"&amp;F67&amp;"|"&amp;G67</f>
        <v>Luxury Apartments (High-Rise)|B|Good</v>
      </c>
      <c r="J67" s="1" t="s">
        <v>507</v>
      </c>
    </row>
    <row r="68" customFormat="false" ht="12" hidden="false" customHeight="true" outlineLevel="0" collapsed="false">
      <c r="B68" s="1" t="s">
        <v>504</v>
      </c>
      <c r="C68" s="1" t="s">
        <v>505</v>
      </c>
      <c r="D68" s="1" t="s">
        <v>496</v>
      </c>
      <c r="E68" s="1" t="s">
        <v>506</v>
      </c>
      <c r="F68" s="1" t="s">
        <v>461</v>
      </c>
      <c r="G68" s="1" t="s">
        <v>279</v>
      </c>
      <c r="H68" s="1" t="n">
        <v>288</v>
      </c>
      <c r="I68" s="1" t="str">
        <f aca="false">B68&amp;"|"&amp;F68&amp;"|"&amp;G68</f>
        <v>Luxury Apartments (High-Rise)|B|Average</v>
      </c>
      <c r="J68" s="1" t="s">
        <v>507</v>
      </c>
    </row>
    <row r="69" customFormat="false" ht="12" hidden="false" customHeight="true" outlineLevel="0" collapsed="false">
      <c r="B69" s="1" t="s">
        <v>504</v>
      </c>
      <c r="C69" s="1" t="s">
        <v>505</v>
      </c>
      <c r="D69" s="1" t="s">
        <v>496</v>
      </c>
      <c r="E69" s="1" t="s">
        <v>506</v>
      </c>
      <c r="F69" s="1" t="s">
        <v>463</v>
      </c>
      <c r="G69" s="1" t="s">
        <v>485</v>
      </c>
      <c r="H69" s="1" t="n">
        <v>355</v>
      </c>
      <c r="I69" s="1" t="str">
        <f aca="false">B69&amp;"|"&amp;F69&amp;"|"&amp;G69</f>
        <v>Luxury Apartments (High-Rise)|C|Excellent</v>
      </c>
      <c r="J69" s="1" t="s">
        <v>507</v>
      </c>
    </row>
    <row r="70" customFormat="false" ht="12" hidden="false" customHeight="true" outlineLevel="0" collapsed="false">
      <c r="B70" s="1" t="s">
        <v>504</v>
      </c>
      <c r="C70" s="1" t="s">
        <v>505</v>
      </c>
      <c r="D70" s="1" t="s">
        <v>496</v>
      </c>
      <c r="E70" s="1" t="s">
        <v>506</v>
      </c>
      <c r="F70" s="1" t="s">
        <v>463</v>
      </c>
      <c r="G70" s="1" t="s">
        <v>483</v>
      </c>
      <c r="H70" s="1" t="n">
        <v>278</v>
      </c>
      <c r="I70" s="1" t="str">
        <f aca="false">B70&amp;"|"&amp;F70&amp;"|"&amp;G70</f>
        <v>Luxury Apartments (High-Rise)|C|Good</v>
      </c>
      <c r="J70" s="1" t="s">
        <v>507</v>
      </c>
    </row>
    <row r="71" customFormat="false" ht="12" hidden="false" customHeight="true" outlineLevel="0" collapsed="false">
      <c r="B71" s="1" t="s">
        <v>504</v>
      </c>
      <c r="C71" s="1" t="s">
        <v>505</v>
      </c>
      <c r="D71" s="1" t="s">
        <v>496</v>
      </c>
      <c r="E71" s="1" t="s">
        <v>506</v>
      </c>
      <c r="F71" s="1" t="s">
        <v>463</v>
      </c>
      <c r="G71" s="1" t="s">
        <v>279</v>
      </c>
      <c r="H71" s="1" t="n">
        <v>227</v>
      </c>
      <c r="I71" s="1" t="str">
        <f aca="false">B71&amp;"|"&amp;F71&amp;"|"&amp;G71</f>
        <v>Luxury Apartments (High-Rise)|C|Average</v>
      </c>
      <c r="J71" s="1" t="s">
        <v>507</v>
      </c>
    </row>
    <row r="72" customFormat="false" ht="12" hidden="false" customHeight="true" outlineLevel="0" collapsed="false">
      <c r="B72" s="1" t="s">
        <v>504</v>
      </c>
      <c r="C72" s="1" t="s">
        <v>505</v>
      </c>
      <c r="D72" s="1" t="s">
        <v>496</v>
      </c>
      <c r="E72" s="1" t="s">
        <v>506</v>
      </c>
      <c r="F72" s="1" t="s">
        <v>508</v>
      </c>
      <c r="G72" s="1" t="s">
        <v>485</v>
      </c>
      <c r="H72" s="1" t="n">
        <v>347</v>
      </c>
      <c r="I72" s="1" t="str">
        <f aca="false">B72&amp;"|"&amp;F72&amp;"|"&amp;G72</f>
        <v>Luxury Apartments (High-Rise)|DMASVEN|Excellent</v>
      </c>
      <c r="J72" s="1" t="s">
        <v>507</v>
      </c>
    </row>
    <row r="73" customFormat="false" ht="12" hidden="false" customHeight="true" outlineLevel="0" collapsed="false">
      <c r="B73" s="1" t="s">
        <v>504</v>
      </c>
      <c r="C73" s="1" t="s">
        <v>505</v>
      </c>
      <c r="D73" s="1" t="s">
        <v>496</v>
      </c>
      <c r="E73" s="1" t="s">
        <v>506</v>
      </c>
      <c r="F73" s="1" t="s">
        <v>508</v>
      </c>
      <c r="G73" s="1" t="s">
        <v>483</v>
      </c>
      <c r="H73" s="1" t="n">
        <v>272</v>
      </c>
      <c r="I73" s="1" t="str">
        <f aca="false">B73&amp;"|"&amp;F73&amp;"|"&amp;G73</f>
        <v>Luxury Apartments (High-Rise)|DMASVEN|Good</v>
      </c>
      <c r="J73" s="1" t="s">
        <v>507</v>
      </c>
    </row>
    <row r="74" customFormat="false" ht="12" hidden="false" customHeight="true" outlineLevel="0" collapsed="false">
      <c r="B74" s="1" t="s">
        <v>504</v>
      </c>
      <c r="C74" s="1" t="s">
        <v>505</v>
      </c>
      <c r="D74" s="1" t="s">
        <v>496</v>
      </c>
      <c r="E74" s="1" t="s">
        <v>506</v>
      </c>
      <c r="F74" s="1" t="s">
        <v>508</v>
      </c>
      <c r="G74" s="1" t="s">
        <v>279</v>
      </c>
      <c r="H74" s="1" t="n">
        <v>221</v>
      </c>
      <c r="I74" s="1" t="str">
        <f aca="false">B74&amp;"|"&amp;F74&amp;"|"&amp;G74</f>
        <v>Luxury Apartments (High-Rise)|DMASVEN|Average</v>
      </c>
      <c r="J74" s="1" t="s">
        <v>507</v>
      </c>
    </row>
    <row r="75" customFormat="false" ht="12" hidden="false" customHeight="true" outlineLevel="0" collapsed="false">
      <c r="B75" s="1" t="s">
        <v>504</v>
      </c>
      <c r="C75" s="1" t="s">
        <v>505</v>
      </c>
      <c r="D75" s="1" t="s">
        <v>496</v>
      </c>
      <c r="E75" s="1" t="s">
        <v>506</v>
      </c>
      <c r="F75" s="1" t="s">
        <v>468</v>
      </c>
      <c r="G75" s="1" t="s">
        <v>485</v>
      </c>
      <c r="H75" s="1" t="n">
        <v>341</v>
      </c>
      <c r="I75" s="1" t="str">
        <f aca="false">B75&amp;"|"&amp;F75&amp;"|"&amp;G75</f>
        <v>Luxury Apartments (High-Rise)|D|Excellent</v>
      </c>
      <c r="J75" s="1" t="s">
        <v>507</v>
      </c>
    </row>
    <row r="76" customFormat="false" ht="12" hidden="false" customHeight="true" outlineLevel="0" collapsed="false">
      <c r="B76" s="1" t="s">
        <v>504</v>
      </c>
      <c r="C76" s="1" t="s">
        <v>505</v>
      </c>
      <c r="D76" s="1" t="s">
        <v>496</v>
      </c>
      <c r="E76" s="1" t="s">
        <v>506</v>
      </c>
      <c r="F76" s="1" t="s">
        <v>468</v>
      </c>
      <c r="G76" s="1" t="s">
        <v>483</v>
      </c>
      <c r="H76" s="1" t="n">
        <v>266</v>
      </c>
      <c r="I76" s="1" t="str">
        <f aca="false">B76&amp;"|"&amp;F76&amp;"|"&amp;G76</f>
        <v>Luxury Apartments (High-Rise)|D|Good</v>
      </c>
      <c r="J76" s="1" t="s">
        <v>507</v>
      </c>
    </row>
    <row r="77" customFormat="false" ht="12" hidden="false" customHeight="true" outlineLevel="0" collapsed="false">
      <c r="B77" s="1" t="s">
        <v>504</v>
      </c>
      <c r="C77" s="1" t="s">
        <v>505</v>
      </c>
      <c r="D77" s="1" t="s">
        <v>496</v>
      </c>
      <c r="E77" s="1" t="s">
        <v>506</v>
      </c>
      <c r="F77" s="1" t="s">
        <v>468</v>
      </c>
      <c r="G77" s="1" t="s">
        <v>279</v>
      </c>
      <c r="H77" s="1" t="n">
        <v>216</v>
      </c>
      <c r="I77" s="1" t="str">
        <f aca="false">B77&amp;"|"&amp;F77&amp;"|"&amp;G77</f>
        <v>Luxury Apartments (High-Rise)|D|Average</v>
      </c>
      <c r="J77" s="1" t="s">
        <v>507</v>
      </c>
    </row>
    <row r="78" customFormat="false" ht="12" hidden="false" customHeight="true" outlineLevel="0" collapsed="false">
      <c r="B78" s="1" t="s">
        <v>509</v>
      </c>
      <c r="C78" s="1" t="s">
        <v>510</v>
      </c>
      <c r="D78" s="1" t="s">
        <v>496</v>
      </c>
      <c r="E78" s="1" t="s">
        <v>511</v>
      </c>
      <c r="F78" s="1" t="s">
        <v>456</v>
      </c>
      <c r="G78" s="1" t="s">
        <v>483</v>
      </c>
      <c r="H78" s="1" t="n">
        <v>219</v>
      </c>
      <c r="I78" s="1" t="str">
        <f aca="false">B78&amp;"|"&amp;F78&amp;"|"&amp;G78</f>
        <v>Shell Luxury Apartment Buildings|A|Good</v>
      </c>
      <c r="J78" s="1" t="s">
        <v>512</v>
      </c>
    </row>
    <row r="79" customFormat="false" ht="12" hidden="false" customHeight="true" outlineLevel="0" collapsed="false">
      <c r="B79" s="1" t="s">
        <v>509</v>
      </c>
      <c r="C79" s="1" t="s">
        <v>510</v>
      </c>
      <c r="D79" s="1" t="s">
        <v>496</v>
      </c>
      <c r="E79" s="1" t="s">
        <v>511</v>
      </c>
      <c r="F79" s="1" t="s">
        <v>456</v>
      </c>
      <c r="G79" s="1" t="s">
        <v>279</v>
      </c>
      <c r="H79" s="1" t="n">
        <v>172</v>
      </c>
      <c r="I79" s="1" t="str">
        <f aca="false">B79&amp;"|"&amp;F79&amp;"|"&amp;G79</f>
        <v>Shell Luxury Apartment Buildings|A|Average</v>
      </c>
      <c r="J79" s="1" t="s">
        <v>512</v>
      </c>
    </row>
    <row r="80" customFormat="false" ht="12" hidden="false" customHeight="true" outlineLevel="0" collapsed="false">
      <c r="B80" s="1" t="s">
        <v>509</v>
      </c>
      <c r="C80" s="1" t="s">
        <v>510</v>
      </c>
      <c r="D80" s="1" t="s">
        <v>496</v>
      </c>
      <c r="E80" s="1" t="s">
        <v>511</v>
      </c>
      <c r="F80" s="1" t="s">
        <v>461</v>
      </c>
      <c r="G80" s="1" t="s">
        <v>483</v>
      </c>
      <c r="H80" s="1" t="n">
        <v>186</v>
      </c>
      <c r="I80" s="1" t="str">
        <f aca="false">B80&amp;"|"&amp;F80&amp;"|"&amp;G80</f>
        <v>Shell Luxury Apartment Buildings|B|Good</v>
      </c>
      <c r="J80" s="1" t="s">
        <v>512</v>
      </c>
    </row>
    <row r="81" customFormat="false" ht="12" hidden="false" customHeight="true" outlineLevel="0" collapsed="false">
      <c r="B81" s="1" t="s">
        <v>509</v>
      </c>
      <c r="C81" s="1" t="s">
        <v>510</v>
      </c>
      <c r="D81" s="1" t="s">
        <v>496</v>
      </c>
      <c r="E81" s="1" t="s">
        <v>511</v>
      </c>
      <c r="F81" s="1" t="s">
        <v>461</v>
      </c>
      <c r="G81" s="1" t="s">
        <v>279</v>
      </c>
      <c r="H81" s="1" t="n">
        <v>147</v>
      </c>
      <c r="I81" s="1" t="str">
        <f aca="false">B81&amp;"|"&amp;F81&amp;"|"&amp;G81</f>
        <v>Shell Luxury Apartment Buildings|B|Average</v>
      </c>
      <c r="J81" s="1" t="s">
        <v>512</v>
      </c>
    </row>
    <row r="82" customFormat="false" ht="12" hidden="false" customHeight="true" outlineLevel="0" collapsed="false">
      <c r="B82" s="1" t="s">
        <v>509</v>
      </c>
      <c r="C82" s="1" t="s">
        <v>510</v>
      </c>
      <c r="D82" s="1" t="s">
        <v>496</v>
      </c>
      <c r="E82" s="1" t="s">
        <v>513</v>
      </c>
      <c r="F82" s="1" t="s">
        <v>463</v>
      </c>
      <c r="G82" s="1" t="s">
        <v>485</v>
      </c>
      <c r="H82" s="1" t="n">
        <v>188</v>
      </c>
      <c r="I82" s="1" t="str">
        <f aca="false">B82&amp;"|"&amp;F82&amp;"|"&amp;G82</f>
        <v>Shell Luxury Apartment Buildings|C|Excellent</v>
      </c>
      <c r="J82" s="1" t="s">
        <v>514</v>
      </c>
    </row>
    <row r="83" customFormat="false" ht="12" hidden="false" customHeight="true" outlineLevel="0" collapsed="false">
      <c r="B83" s="1" t="s">
        <v>509</v>
      </c>
      <c r="C83" s="1" t="s">
        <v>510</v>
      </c>
      <c r="D83" s="1" t="s">
        <v>496</v>
      </c>
      <c r="E83" s="1" t="s">
        <v>513</v>
      </c>
      <c r="F83" s="1" t="s">
        <v>463</v>
      </c>
      <c r="G83" s="1" t="s">
        <v>483</v>
      </c>
      <c r="H83" s="1" t="n">
        <v>151</v>
      </c>
      <c r="I83" s="1" t="str">
        <f aca="false">B83&amp;"|"&amp;F83&amp;"|"&amp;G83</f>
        <v>Shell Luxury Apartment Buildings|C|Good</v>
      </c>
      <c r="J83" s="1" t="s">
        <v>514</v>
      </c>
    </row>
    <row r="84" customFormat="false" ht="12" hidden="false" customHeight="true" outlineLevel="0" collapsed="false">
      <c r="B84" s="1" t="s">
        <v>509</v>
      </c>
      <c r="C84" s="1" t="s">
        <v>510</v>
      </c>
      <c r="D84" s="1" t="s">
        <v>496</v>
      </c>
      <c r="E84" s="1" t="s">
        <v>513</v>
      </c>
      <c r="F84" s="1" t="s">
        <v>463</v>
      </c>
      <c r="G84" s="1" t="s">
        <v>279</v>
      </c>
      <c r="H84" s="1" t="n">
        <v>121</v>
      </c>
      <c r="I84" s="1" t="str">
        <f aca="false">B84&amp;"|"&amp;F84&amp;"|"&amp;G84</f>
        <v>Shell Luxury Apartment Buildings|C|Average</v>
      </c>
      <c r="J84" s="1" t="s">
        <v>514</v>
      </c>
    </row>
    <row r="85" customFormat="false" ht="12" hidden="false" customHeight="true" outlineLevel="0" collapsed="false">
      <c r="B85" s="1" t="s">
        <v>509</v>
      </c>
      <c r="C85" s="1" t="s">
        <v>510</v>
      </c>
      <c r="D85" s="1" t="s">
        <v>496</v>
      </c>
      <c r="E85" s="1" t="s">
        <v>513</v>
      </c>
      <c r="F85" s="1" t="s">
        <v>508</v>
      </c>
      <c r="G85" s="1" t="s">
        <v>485</v>
      </c>
      <c r="H85" s="1" t="n">
        <v>178</v>
      </c>
      <c r="I85" s="1" t="str">
        <f aca="false">B85&amp;"|"&amp;F85&amp;"|"&amp;G85</f>
        <v>Shell Luxury Apartment Buildings|DMASVEN|Excellent</v>
      </c>
      <c r="J85" s="1" t="s">
        <v>514</v>
      </c>
    </row>
    <row r="86" customFormat="false" ht="12" hidden="false" customHeight="true" outlineLevel="0" collapsed="false">
      <c r="B86" s="1" t="s">
        <v>509</v>
      </c>
      <c r="C86" s="1" t="s">
        <v>510</v>
      </c>
      <c r="D86" s="1" t="s">
        <v>496</v>
      </c>
      <c r="E86" s="1" t="s">
        <v>513</v>
      </c>
      <c r="F86" s="1" t="s">
        <v>508</v>
      </c>
      <c r="G86" s="1" t="s">
        <v>483</v>
      </c>
      <c r="H86" s="1" t="n">
        <v>142</v>
      </c>
      <c r="I86" s="1" t="str">
        <f aca="false">B86&amp;"|"&amp;F86&amp;"|"&amp;G86</f>
        <v>Shell Luxury Apartment Buildings|DMASVEN|Good</v>
      </c>
      <c r="J86" s="1" t="s">
        <v>514</v>
      </c>
    </row>
    <row r="87" customFormat="false" ht="12" hidden="false" customHeight="true" outlineLevel="0" collapsed="false">
      <c r="B87" s="1" t="s">
        <v>509</v>
      </c>
      <c r="C87" s="1" t="s">
        <v>510</v>
      </c>
      <c r="D87" s="1" t="s">
        <v>496</v>
      </c>
      <c r="E87" s="1" t="s">
        <v>513</v>
      </c>
      <c r="F87" s="1" t="s">
        <v>508</v>
      </c>
      <c r="G87" s="1" t="s">
        <v>279</v>
      </c>
      <c r="H87" s="1" t="n">
        <v>114</v>
      </c>
      <c r="I87" s="1" t="str">
        <f aca="false">B87&amp;"|"&amp;F87&amp;"|"&amp;G87</f>
        <v>Shell Luxury Apartment Buildings|DMASVEN|Average</v>
      </c>
      <c r="J87" s="1" t="s">
        <v>514</v>
      </c>
    </row>
    <row r="88" customFormat="false" ht="12" hidden="false" customHeight="true" outlineLevel="0" collapsed="false">
      <c r="B88" s="1" t="s">
        <v>509</v>
      </c>
      <c r="C88" s="1" t="s">
        <v>510</v>
      </c>
      <c r="D88" s="1" t="s">
        <v>496</v>
      </c>
      <c r="E88" s="1" t="s">
        <v>513</v>
      </c>
      <c r="F88" s="1" t="s">
        <v>468</v>
      </c>
      <c r="G88" s="1" t="s">
        <v>485</v>
      </c>
      <c r="H88" s="1" t="n">
        <v>175</v>
      </c>
      <c r="I88" s="1" t="str">
        <f aca="false">B88&amp;"|"&amp;F88&amp;"|"&amp;G88</f>
        <v>Shell Luxury Apartment Buildings|D|Excellent</v>
      </c>
      <c r="J88" s="1" t="s">
        <v>514</v>
      </c>
    </row>
    <row r="89" customFormat="false" ht="12" hidden="false" customHeight="true" outlineLevel="0" collapsed="false">
      <c r="B89" s="1" t="s">
        <v>509</v>
      </c>
      <c r="C89" s="1" t="s">
        <v>510</v>
      </c>
      <c r="D89" s="1" t="s">
        <v>496</v>
      </c>
      <c r="E89" s="1" t="s">
        <v>513</v>
      </c>
      <c r="F89" s="1" t="s">
        <v>468</v>
      </c>
      <c r="G89" s="1" t="s">
        <v>483</v>
      </c>
      <c r="H89" s="1" t="n">
        <v>139</v>
      </c>
      <c r="I89" s="1" t="str">
        <f aca="false">B89&amp;"|"&amp;F89&amp;"|"&amp;G89</f>
        <v>Shell Luxury Apartment Buildings|D|Good</v>
      </c>
      <c r="J89" s="1" t="s">
        <v>514</v>
      </c>
    </row>
    <row r="90" customFormat="false" ht="12" hidden="false" customHeight="true" outlineLevel="0" collapsed="false">
      <c r="B90" s="1" t="s">
        <v>509</v>
      </c>
      <c r="C90" s="1" t="s">
        <v>510</v>
      </c>
      <c r="D90" s="1" t="s">
        <v>496</v>
      </c>
      <c r="E90" s="1" t="s">
        <v>513</v>
      </c>
      <c r="F90" s="1" t="s">
        <v>468</v>
      </c>
      <c r="G90" s="1" t="s">
        <v>279</v>
      </c>
      <c r="H90" s="1" t="n">
        <v>111</v>
      </c>
      <c r="I90" s="1" t="str">
        <f aca="false">B90&amp;"|"&amp;F90&amp;"|"&amp;G90</f>
        <v>Shell Luxury Apartment Buildings|D|Average</v>
      </c>
      <c r="J90" s="1" t="s">
        <v>514</v>
      </c>
    </row>
    <row r="91" customFormat="false" ht="12" hidden="false" customHeight="true" outlineLevel="0" collapsed="false">
      <c r="B91" s="1" t="s">
        <v>515</v>
      </c>
      <c r="C91" s="1" t="s">
        <v>516</v>
      </c>
      <c r="D91" s="1" t="s">
        <v>496</v>
      </c>
      <c r="E91" s="1" t="s">
        <v>517</v>
      </c>
      <c r="F91" s="1" t="s">
        <v>456</v>
      </c>
      <c r="G91" s="1" t="s">
        <v>483</v>
      </c>
      <c r="H91" s="1" t="n">
        <v>249</v>
      </c>
      <c r="I91" s="1" t="str">
        <f aca="false">B91&amp;"|"&amp;F91&amp;"|"&amp;G91</f>
        <v>Apartments (High-Rise)|A|Good</v>
      </c>
      <c r="J91" s="1" t="s">
        <v>518</v>
      </c>
    </row>
    <row r="92" customFormat="false" ht="12" hidden="false" customHeight="true" outlineLevel="0" collapsed="false">
      <c r="B92" s="1" t="s">
        <v>515</v>
      </c>
      <c r="C92" s="1" t="s">
        <v>516</v>
      </c>
      <c r="D92" s="1" t="s">
        <v>496</v>
      </c>
      <c r="E92" s="1" t="s">
        <v>517</v>
      </c>
      <c r="F92" s="1" t="s">
        <v>456</v>
      </c>
      <c r="G92" s="1" t="s">
        <v>279</v>
      </c>
      <c r="H92" s="1" t="n">
        <v>197</v>
      </c>
      <c r="I92" s="1" t="str">
        <f aca="false">B92&amp;"|"&amp;F92&amp;"|"&amp;G92</f>
        <v>Apartments (High-Rise)|A|Average</v>
      </c>
      <c r="J92" s="1" t="s">
        <v>518</v>
      </c>
    </row>
    <row r="93" customFormat="false" ht="12" hidden="false" customHeight="true" outlineLevel="0" collapsed="false">
      <c r="B93" s="1" t="s">
        <v>515</v>
      </c>
      <c r="C93" s="1" t="s">
        <v>516</v>
      </c>
      <c r="D93" s="1" t="s">
        <v>496</v>
      </c>
      <c r="E93" s="1" t="s">
        <v>517</v>
      </c>
      <c r="F93" s="1" t="s">
        <v>456</v>
      </c>
      <c r="G93" s="1" t="s">
        <v>480</v>
      </c>
      <c r="H93" s="1" t="n">
        <v>156</v>
      </c>
      <c r="I93" s="1" t="str">
        <f aca="false">B93&amp;"|"&amp;F93&amp;"|"&amp;G93</f>
        <v>Apartments (High-Rise)|A|Low Cost</v>
      </c>
      <c r="J93" s="1" t="s">
        <v>518</v>
      </c>
    </row>
    <row r="94" customFormat="false" ht="12" hidden="false" customHeight="true" outlineLevel="0" collapsed="false">
      <c r="B94" s="1" t="s">
        <v>515</v>
      </c>
      <c r="C94" s="1" t="s">
        <v>516</v>
      </c>
      <c r="D94" s="1" t="s">
        <v>496</v>
      </c>
      <c r="E94" s="1" t="s">
        <v>517</v>
      </c>
      <c r="F94" s="1" t="s">
        <v>461</v>
      </c>
      <c r="G94" s="1" t="s">
        <v>483</v>
      </c>
      <c r="H94" s="1" t="n">
        <v>220</v>
      </c>
      <c r="I94" s="1" t="str">
        <f aca="false">B94&amp;"|"&amp;F94&amp;"|"&amp;G94</f>
        <v>Apartments (High-Rise)|B|Good</v>
      </c>
      <c r="J94" s="1" t="s">
        <v>518</v>
      </c>
    </row>
    <row r="95" customFormat="false" ht="12" hidden="false" customHeight="true" outlineLevel="0" collapsed="false">
      <c r="B95" s="1" t="s">
        <v>515</v>
      </c>
      <c r="C95" s="1" t="s">
        <v>516</v>
      </c>
      <c r="D95" s="1" t="s">
        <v>496</v>
      </c>
      <c r="E95" s="1" t="s">
        <v>517</v>
      </c>
      <c r="F95" s="1" t="s">
        <v>461</v>
      </c>
      <c r="G95" s="1" t="s">
        <v>279</v>
      </c>
      <c r="H95" s="1" t="n">
        <v>175</v>
      </c>
      <c r="I95" s="1" t="str">
        <f aca="false">B95&amp;"|"&amp;F95&amp;"|"&amp;G95</f>
        <v>Apartments (High-Rise)|B|Average</v>
      </c>
      <c r="J95" s="1" t="s">
        <v>518</v>
      </c>
    </row>
    <row r="96" customFormat="false" ht="12" hidden="false" customHeight="true" outlineLevel="0" collapsed="false">
      <c r="B96" s="1" t="s">
        <v>515</v>
      </c>
      <c r="C96" s="1" t="s">
        <v>516</v>
      </c>
      <c r="D96" s="1" t="s">
        <v>496</v>
      </c>
      <c r="E96" s="1" t="s">
        <v>517</v>
      </c>
      <c r="F96" s="1" t="s">
        <v>461</v>
      </c>
      <c r="G96" s="1" t="s">
        <v>480</v>
      </c>
      <c r="H96" s="1" t="n">
        <v>139</v>
      </c>
      <c r="I96" s="1" t="str">
        <f aca="false">B96&amp;"|"&amp;F96&amp;"|"&amp;G96</f>
        <v>Apartments (High-Rise)|B|Low Cost</v>
      </c>
      <c r="J96" s="1" t="s">
        <v>518</v>
      </c>
    </row>
    <row r="97" customFormat="false" ht="12" hidden="false" customHeight="true" outlineLevel="0" collapsed="false">
      <c r="B97" s="1" t="s">
        <v>515</v>
      </c>
      <c r="C97" s="1" t="s">
        <v>516</v>
      </c>
      <c r="D97" s="1" t="s">
        <v>496</v>
      </c>
      <c r="E97" s="1" t="s">
        <v>517</v>
      </c>
      <c r="F97" s="1" t="s">
        <v>463</v>
      </c>
      <c r="G97" s="1" t="s">
        <v>483</v>
      </c>
      <c r="H97" s="1" t="n">
        <v>176</v>
      </c>
      <c r="I97" s="1" t="str">
        <f aca="false">B97&amp;"|"&amp;F97&amp;"|"&amp;G97</f>
        <v>Apartments (High-Rise)|C|Good</v>
      </c>
      <c r="J97" s="1" t="s">
        <v>518</v>
      </c>
    </row>
    <row r="98" customFormat="false" ht="12" hidden="false" customHeight="true" outlineLevel="0" collapsed="false">
      <c r="B98" s="1" t="s">
        <v>515</v>
      </c>
      <c r="C98" s="1" t="s">
        <v>516</v>
      </c>
      <c r="D98" s="1" t="s">
        <v>496</v>
      </c>
      <c r="E98" s="1" t="s">
        <v>517</v>
      </c>
      <c r="F98" s="1" t="s">
        <v>463</v>
      </c>
      <c r="G98" s="1" t="s">
        <v>279</v>
      </c>
      <c r="H98" s="1" t="n">
        <v>135</v>
      </c>
      <c r="I98" s="1" t="str">
        <f aca="false">B98&amp;"|"&amp;F98&amp;"|"&amp;G98</f>
        <v>Apartments (High-Rise)|C|Average</v>
      </c>
      <c r="J98" s="1" t="s">
        <v>518</v>
      </c>
    </row>
    <row r="99" customFormat="false" ht="12" hidden="false" customHeight="true" outlineLevel="0" collapsed="false">
      <c r="B99" s="1" t="s">
        <v>515</v>
      </c>
      <c r="C99" s="1" t="s">
        <v>516</v>
      </c>
      <c r="D99" s="1" t="s">
        <v>496</v>
      </c>
      <c r="E99" s="1" t="s">
        <v>517</v>
      </c>
      <c r="F99" s="1" t="s">
        <v>463</v>
      </c>
      <c r="G99" s="1" t="s">
        <v>480</v>
      </c>
      <c r="H99" s="1" t="n">
        <v>102</v>
      </c>
      <c r="I99" s="1" t="str">
        <f aca="false">B99&amp;"|"&amp;F99&amp;"|"&amp;G99</f>
        <v>Apartments (High-Rise)|C|Low Cost</v>
      </c>
      <c r="J99" s="1" t="s">
        <v>518</v>
      </c>
    </row>
    <row r="100" customFormat="false" ht="12" hidden="false" customHeight="true" outlineLevel="0" collapsed="false">
      <c r="B100" s="1" t="s">
        <v>515</v>
      </c>
      <c r="C100" s="1" t="s">
        <v>516</v>
      </c>
      <c r="D100" s="1" t="s">
        <v>496</v>
      </c>
      <c r="E100" s="1" t="s">
        <v>517</v>
      </c>
      <c r="F100" s="1" t="s">
        <v>519</v>
      </c>
      <c r="G100" s="1" t="s">
        <v>483</v>
      </c>
      <c r="H100" s="1" t="n">
        <v>200</v>
      </c>
      <c r="I100" s="1" t="str">
        <f aca="false">B100&amp;"|"&amp;F100&amp;"|"&amp;G100</f>
        <v>Apartments (High-Rise)|CMILL|Good</v>
      </c>
      <c r="J100" s="1" t="s">
        <v>518</v>
      </c>
    </row>
    <row r="101" customFormat="false" ht="12" hidden="false" customHeight="true" outlineLevel="0" collapsed="false">
      <c r="B101" s="1" t="s">
        <v>515</v>
      </c>
      <c r="C101" s="1" t="s">
        <v>516</v>
      </c>
      <c r="D101" s="1" t="s">
        <v>496</v>
      </c>
      <c r="E101" s="1" t="s">
        <v>517</v>
      </c>
      <c r="F101" s="1" t="s">
        <v>519</v>
      </c>
      <c r="G101" s="1" t="s">
        <v>279</v>
      </c>
      <c r="H101" s="1" t="n">
        <v>164</v>
      </c>
      <c r="I101" s="1" t="str">
        <f aca="false">B101&amp;"|"&amp;F101&amp;"|"&amp;G101</f>
        <v>Apartments (High-Rise)|CMILL|Average</v>
      </c>
      <c r="J101" s="1" t="s">
        <v>518</v>
      </c>
    </row>
    <row r="102" customFormat="false" ht="12" hidden="false" customHeight="true" outlineLevel="0" collapsed="false">
      <c r="B102" s="1" t="s">
        <v>515</v>
      </c>
      <c r="C102" s="1" t="s">
        <v>516</v>
      </c>
      <c r="D102" s="1" t="s">
        <v>496</v>
      </c>
      <c r="E102" s="1" t="s">
        <v>517</v>
      </c>
      <c r="F102" s="1" t="s">
        <v>508</v>
      </c>
      <c r="G102" s="1" t="s">
        <v>483</v>
      </c>
      <c r="H102" s="1" t="n">
        <v>172</v>
      </c>
      <c r="I102" s="1" t="str">
        <f aca="false">B102&amp;"|"&amp;F102&amp;"|"&amp;G102</f>
        <v>Apartments (High-Rise)|DMASVEN|Good</v>
      </c>
      <c r="J102" s="1" t="s">
        <v>518</v>
      </c>
    </row>
    <row r="103" customFormat="false" ht="12" hidden="false" customHeight="true" outlineLevel="0" collapsed="false">
      <c r="B103" s="1" t="s">
        <v>515</v>
      </c>
      <c r="C103" s="1" t="s">
        <v>516</v>
      </c>
      <c r="D103" s="1" t="s">
        <v>496</v>
      </c>
      <c r="E103" s="1" t="s">
        <v>517</v>
      </c>
      <c r="F103" s="1" t="s">
        <v>508</v>
      </c>
      <c r="G103" s="1" t="s">
        <v>279</v>
      </c>
      <c r="H103" s="1" t="n">
        <v>131</v>
      </c>
      <c r="I103" s="1" t="str">
        <f aca="false">B103&amp;"|"&amp;F103&amp;"|"&amp;G103</f>
        <v>Apartments (High-Rise)|DMASVEN|Average</v>
      </c>
      <c r="J103" s="1" t="s">
        <v>518</v>
      </c>
    </row>
    <row r="104" customFormat="false" ht="12" hidden="false" customHeight="true" outlineLevel="0" collapsed="false">
      <c r="B104" s="1" t="s">
        <v>515</v>
      </c>
      <c r="C104" s="1" t="s">
        <v>516</v>
      </c>
      <c r="D104" s="1" t="s">
        <v>496</v>
      </c>
      <c r="E104" s="1" t="s">
        <v>517</v>
      </c>
      <c r="F104" s="1" t="s">
        <v>468</v>
      </c>
      <c r="G104" s="1" t="s">
        <v>483</v>
      </c>
      <c r="H104" s="1" t="n">
        <v>167</v>
      </c>
      <c r="I104" s="1" t="str">
        <f aca="false">B104&amp;"|"&amp;F104&amp;"|"&amp;G104</f>
        <v>Apartments (High-Rise)|D|Good</v>
      </c>
      <c r="J104" s="1" t="s">
        <v>518</v>
      </c>
    </row>
    <row r="105" customFormat="false" ht="12" hidden="false" customHeight="true" outlineLevel="0" collapsed="false">
      <c r="B105" s="1" t="s">
        <v>515</v>
      </c>
      <c r="C105" s="1" t="s">
        <v>516</v>
      </c>
      <c r="D105" s="1" t="s">
        <v>496</v>
      </c>
      <c r="E105" s="1" t="s">
        <v>517</v>
      </c>
      <c r="F105" s="1" t="s">
        <v>468</v>
      </c>
      <c r="G105" s="1" t="s">
        <v>279</v>
      </c>
      <c r="H105" s="1" t="n">
        <v>127</v>
      </c>
      <c r="I105" s="1" t="str">
        <f aca="false">B105&amp;"|"&amp;F105&amp;"|"&amp;G105</f>
        <v>Apartments (High-Rise)|D|Average</v>
      </c>
      <c r="J105" s="1" t="s">
        <v>518</v>
      </c>
    </row>
    <row r="106" customFormat="false" ht="12" hidden="false" customHeight="true" outlineLevel="0" collapsed="false">
      <c r="B106" s="1" t="s">
        <v>515</v>
      </c>
      <c r="C106" s="1" t="s">
        <v>516</v>
      </c>
      <c r="D106" s="1" t="s">
        <v>496</v>
      </c>
      <c r="E106" s="1" t="s">
        <v>517</v>
      </c>
      <c r="F106" s="1" t="s">
        <v>468</v>
      </c>
      <c r="G106" s="1" t="s">
        <v>480</v>
      </c>
      <c r="H106" s="1" t="n">
        <v>95.5</v>
      </c>
      <c r="I106" s="1" t="str">
        <f aca="false">B106&amp;"|"&amp;F106&amp;"|"&amp;G106</f>
        <v>Apartments (High-Rise)|D|Low Cost</v>
      </c>
      <c r="J106" s="1" t="s">
        <v>518</v>
      </c>
    </row>
    <row r="107" customFormat="false" ht="12" hidden="false" customHeight="true" outlineLevel="0" collapsed="false">
      <c r="B107" s="1" t="s">
        <v>515</v>
      </c>
      <c r="C107" s="1" t="s">
        <v>516</v>
      </c>
      <c r="D107" s="1" t="s">
        <v>496</v>
      </c>
      <c r="E107" s="1" t="s">
        <v>517</v>
      </c>
      <c r="F107" s="1" t="s">
        <v>473</v>
      </c>
      <c r="G107" s="1" t="s">
        <v>483</v>
      </c>
      <c r="H107" s="1" t="n">
        <v>163</v>
      </c>
      <c r="I107" s="1" t="str">
        <f aca="false">B107&amp;"|"&amp;F107&amp;"|"&amp;G107</f>
        <v>Apartments (High-Rise)|S|Good</v>
      </c>
      <c r="J107" s="1" t="s">
        <v>518</v>
      </c>
    </row>
    <row r="108" customFormat="false" ht="12" hidden="false" customHeight="true" outlineLevel="0" collapsed="false">
      <c r="B108" s="1" t="s">
        <v>515</v>
      </c>
      <c r="C108" s="1" t="s">
        <v>516</v>
      </c>
      <c r="D108" s="1" t="s">
        <v>496</v>
      </c>
      <c r="E108" s="1" t="s">
        <v>517</v>
      </c>
      <c r="F108" s="1" t="s">
        <v>473</v>
      </c>
      <c r="G108" s="1" t="s">
        <v>279</v>
      </c>
      <c r="H108" s="1" t="n">
        <v>123</v>
      </c>
      <c r="I108" s="1" t="str">
        <f aca="false">B108&amp;"|"&amp;F108&amp;"|"&amp;G108</f>
        <v>Apartments (High-Rise)|S|Average</v>
      </c>
      <c r="J108" s="1" t="s">
        <v>518</v>
      </c>
    </row>
    <row r="109" customFormat="false" ht="12" hidden="false" customHeight="true" outlineLevel="0" collapsed="false">
      <c r="B109" s="1" t="s">
        <v>520</v>
      </c>
      <c r="C109" s="1" t="s">
        <v>521</v>
      </c>
      <c r="D109" s="1" t="s">
        <v>496</v>
      </c>
      <c r="E109" s="1" t="s">
        <v>522</v>
      </c>
      <c r="F109" s="1" t="s">
        <v>523</v>
      </c>
      <c r="G109" s="1" t="s">
        <v>483</v>
      </c>
      <c r="H109" s="1" t="n">
        <v>304</v>
      </c>
      <c r="I109" s="1" t="str">
        <f aca="false">B109&amp;"|"&amp;F109&amp;"|"&amp;G109</f>
        <v>City Clubs|A-B|Good</v>
      </c>
      <c r="J109" s="1" t="s">
        <v>524</v>
      </c>
    </row>
    <row r="110" customFormat="false" ht="12" hidden="false" customHeight="true" outlineLevel="0" collapsed="false">
      <c r="B110" s="1" t="s">
        <v>520</v>
      </c>
      <c r="C110" s="1" t="s">
        <v>521</v>
      </c>
      <c r="D110" s="1" t="s">
        <v>496</v>
      </c>
      <c r="E110" s="1" t="s">
        <v>522</v>
      </c>
      <c r="F110" s="1" t="s">
        <v>523</v>
      </c>
      <c r="G110" s="1" t="s">
        <v>279</v>
      </c>
      <c r="H110" s="1" t="n">
        <v>237</v>
      </c>
      <c r="I110" s="1" t="str">
        <f aca="false">B110&amp;"|"&amp;F110&amp;"|"&amp;G110</f>
        <v>City Clubs|A-B|Average</v>
      </c>
      <c r="J110" s="1" t="s">
        <v>524</v>
      </c>
    </row>
    <row r="111" customFormat="false" ht="12" hidden="false" customHeight="true" outlineLevel="0" collapsed="false">
      <c r="B111" s="1" t="s">
        <v>520</v>
      </c>
      <c r="C111" s="1" t="s">
        <v>521</v>
      </c>
      <c r="D111" s="1" t="s">
        <v>496</v>
      </c>
      <c r="E111" s="1" t="s">
        <v>522</v>
      </c>
      <c r="F111" s="1" t="s">
        <v>463</v>
      </c>
      <c r="G111" s="1" t="s">
        <v>483</v>
      </c>
      <c r="H111" s="1" t="n">
        <v>238</v>
      </c>
      <c r="I111" s="1" t="str">
        <f aca="false">B111&amp;"|"&amp;F111&amp;"|"&amp;G111</f>
        <v>City Clubs|C|Good</v>
      </c>
      <c r="J111" s="1" t="s">
        <v>524</v>
      </c>
    </row>
    <row r="112" customFormat="false" ht="12" hidden="false" customHeight="true" outlineLevel="0" collapsed="false">
      <c r="B112" s="1" t="s">
        <v>520</v>
      </c>
      <c r="C112" s="1" t="s">
        <v>521</v>
      </c>
      <c r="D112" s="1" t="s">
        <v>496</v>
      </c>
      <c r="E112" s="1" t="s">
        <v>522</v>
      </c>
      <c r="F112" s="1" t="s">
        <v>463</v>
      </c>
      <c r="G112" s="1" t="s">
        <v>279</v>
      </c>
      <c r="H112" s="1" t="n">
        <v>191</v>
      </c>
      <c r="I112" s="1" t="str">
        <f aca="false">B112&amp;"|"&amp;F112&amp;"|"&amp;G112</f>
        <v>City Clubs|C|Average</v>
      </c>
      <c r="J112" s="1" t="s">
        <v>524</v>
      </c>
    </row>
    <row r="113" customFormat="false" ht="12" hidden="false" customHeight="true" outlineLevel="0" collapsed="false">
      <c r="B113" s="1" t="s">
        <v>525</v>
      </c>
      <c r="C113" s="1" t="s">
        <v>526</v>
      </c>
      <c r="D113" s="1" t="s">
        <v>496</v>
      </c>
      <c r="E113" s="1" t="s">
        <v>527</v>
      </c>
      <c r="F113" s="1" t="s">
        <v>456</v>
      </c>
      <c r="G113" s="1" t="s">
        <v>483</v>
      </c>
      <c r="H113" s="1" t="n">
        <v>154</v>
      </c>
      <c r="I113" s="1" t="str">
        <f aca="false">B113&amp;"|"&amp;F113&amp;"|"&amp;G113</f>
        <v>Shell Apartment Buildings|A|Good</v>
      </c>
      <c r="J113" s="1" t="s">
        <v>528</v>
      </c>
    </row>
    <row r="114" customFormat="false" ht="12" hidden="false" customHeight="true" outlineLevel="0" collapsed="false">
      <c r="B114" s="1" t="s">
        <v>525</v>
      </c>
      <c r="C114" s="1" t="s">
        <v>526</v>
      </c>
      <c r="D114" s="1" t="s">
        <v>496</v>
      </c>
      <c r="E114" s="1" t="s">
        <v>527</v>
      </c>
      <c r="F114" s="1" t="s">
        <v>456</v>
      </c>
      <c r="G114" s="1" t="s">
        <v>279</v>
      </c>
      <c r="H114" s="1" t="n">
        <v>121</v>
      </c>
      <c r="I114" s="1" t="str">
        <f aca="false">B114&amp;"|"&amp;F114&amp;"|"&amp;G114</f>
        <v>Shell Apartment Buildings|A|Average</v>
      </c>
      <c r="J114" s="1" t="s">
        <v>528</v>
      </c>
    </row>
    <row r="115" customFormat="false" ht="12" hidden="false" customHeight="true" outlineLevel="0" collapsed="false">
      <c r="B115" s="1" t="s">
        <v>525</v>
      </c>
      <c r="C115" s="1" t="s">
        <v>526</v>
      </c>
      <c r="D115" s="1" t="s">
        <v>496</v>
      </c>
      <c r="E115" s="1" t="s">
        <v>527</v>
      </c>
      <c r="F115" s="1" t="s">
        <v>456</v>
      </c>
      <c r="G115" s="1" t="s">
        <v>480</v>
      </c>
      <c r="H115" s="1" t="n">
        <v>96</v>
      </c>
      <c r="I115" s="1" t="str">
        <f aca="false">B115&amp;"|"&amp;F115&amp;"|"&amp;G115</f>
        <v>Shell Apartment Buildings|A|Low Cost</v>
      </c>
      <c r="J115" s="1" t="s">
        <v>528</v>
      </c>
    </row>
    <row r="116" customFormat="false" ht="12" hidden="false" customHeight="true" outlineLevel="0" collapsed="false">
      <c r="B116" s="1" t="s">
        <v>525</v>
      </c>
      <c r="C116" s="1" t="s">
        <v>526</v>
      </c>
      <c r="D116" s="1" t="s">
        <v>496</v>
      </c>
      <c r="E116" s="1" t="s">
        <v>527</v>
      </c>
      <c r="F116" s="1" t="s">
        <v>461</v>
      </c>
      <c r="G116" s="1" t="s">
        <v>483</v>
      </c>
      <c r="H116" s="1" t="n">
        <v>132</v>
      </c>
      <c r="I116" s="1" t="str">
        <f aca="false">B116&amp;"|"&amp;F116&amp;"|"&amp;G116</f>
        <v>Shell Apartment Buildings|B|Good</v>
      </c>
      <c r="J116" s="1" t="s">
        <v>528</v>
      </c>
    </row>
    <row r="117" customFormat="false" ht="12" hidden="false" customHeight="true" outlineLevel="0" collapsed="false">
      <c r="B117" s="1" t="s">
        <v>525</v>
      </c>
      <c r="C117" s="1" t="s">
        <v>526</v>
      </c>
      <c r="D117" s="1" t="s">
        <v>496</v>
      </c>
      <c r="E117" s="1" t="s">
        <v>527</v>
      </c>
      <c r="F117" s="1" t="s">
        <v>461</v>
      </c>
      <c r="G117" s="1" t="s">
        <v>279</v>
      </c>
      <c r="H117" s="1" t="n">
        <v>105</v>
      </c>
      <c r="I117" s="1" t="str">
        <f aca="false">B117&amp;"|"&amp;F117&amp;"|"&amp;G117</f>
        <v>Shell Apartment Buildings|B|Average</v>
      </c>
      <c r="J117" s="1" t="s">
        <v>528</v>
      </c>
    </row>
    <row r="118" customFormat="false" ht="12" hidden="false" customHeight="true" outlineLevel="0" collapsed="false">
      <c r="B118" s="1" t="s">
        <v>525</v>
      </c>
      <c r="C118" s="1" t="s">
        <v>526</v>
      </c>
      <c r="D118" s="1" t="s">
        <v>496</v>
      </c>
      <c r="E118" s="1" t="s">
        <v>527</v>
      </c>
      <c r="F118" s="1" t="s">
        <v>461</v>
      </c>
      <c r="G118" s="1" t="s">
        <v>480</v>
      </c>
      <c r="H118" s="1" t="n">
        <v>82.5</v>
      </c>
      <c r="I118" s="1" t="str">
        <f aca="false">B118&amp;"|"&amp;F118&amp;"|"&amp;G118</f>
        <v>Shell Apartment Buildings|B|Low Cost</v>
      </c>
      <c r="J118" s="1" t="s">
        <v>528</v>
      </c>
    </row>
    <row r="119" customFormat="false" ht="12" hidden="false" customHeight="true" outlineLevel="0" collapsed="false">
      <c r="B119" s="1" t="s">
        <v>525</v>
      </c>
      <c r="C119" s="1" t="s">
        <v>526</v>
      </c>
      <c r="D119" s="1" t="s">
        <v>496</v>
      </c>
      <c r="E119" s="1" t="s">
        <v>529</v>
      </c>
      <c r="F119" s="1" t="s">
        <v>463</v>
      </c>
      <c r="G119" s="1" t="s">
        <v>483</v>
      </c>
      <c r="H119" s="1" t="n">
        <v>109</v>
      </c>
      <c r="I119" s="1" t="str">
        <f aca="false">B119&amp;"|"&amp;F119&amp;"|"&amp;G119</f>
        <v>Shell Apartment Buildings|C|Good</v>
      </c>
      <c r="J119" s="1" t="s">
        <v>530</v>
      </c>
    </row>
    <row r="120" customFormat="false" ht="12" hidden="false" customHeight="true" outlineLevel="0" collapsed="false">
      <c r="B120" s="1" t="s">
        <v>525</v>
      </c>
      <c r="C120" s="1" t="s">
        <v>526</v>
      </c>
      <c r="D120" s="1" t="s">
        <v>496</v>
      </c>
      <c r="E120" s="1" t="s">
        <v>529</v>
      </c>
      <c r="F120" s="1" t="s">
        <v>463</v>
      </c>
      <c r="G120" s="1" t="s">
        <v>279</v>
      </c>
      <c r="H120" s="1" t="n">
        <v>85.5</v>
      </c>
      <c r="I120" s="1" t="str">
        <f aca="false">B120&amp;"|"&amp;F120&amp;"|"&amp;G120</f>
        <v>Shell Apartment Buildings|C|Average</v>
      </c>
      <c r="J120" s="1" t="s">
        <v>530</v>
      </c>
    </row>
    <row r="121" customFormat="false" ht="12" hidden="false" customHeight="true" outlineLevel="0" collapsed="false">
      <c r="B121" s="1" t="s">
        <v>525</v>
      </c>
      <c r="C121" s="1" t="s">
        <v>526</v>
      </c>
      <c r="D121" s="1" t="s">
        <v>496</v>
      </c>
      <c r="E121" s="1" t="s">
        <v>529</v>
      </c>
      <c r="F121" s="1" t="s">
        <v>463</v>
      </c>
      <c r="G121" s="1" t="s">
        <v>480</v>
      </c>
      <c r="H121" s="1" t="n">
        <v>63.5</v>
      </c>
      <c r="I121" s="1" t="str">
        <f aca="false">B121&amp;"|"&amp;F121&amp;"|"&amp;G121</f>
        <v>Shell Apartment Buildings|C|Low Cost</v>
      </c>
      <c r="J121" s="1" t="s">
        <v>530</v>
      </c>
    </row>
    <row r="122" customFormat="false" ht="12" hidden="false" customHeight="true" outlineLevel="0" collapsed="false">
      <c r="B122" s="1" t="s">
        <v>525</v>
      </c>
      <c r="C122" s="1" t="s">
        <v>526</v>
      </c>
      <c r="D122" s="1" t="s">
        <v>496</v>
      </c>
      <c r="E122" s="1" t="s">
        <v>529</v>
      </c>
      <c r="F122" s="1" t="s">
        <v>508</v>
      </c>
      <c r="G122" s="1" t="s">
        <v>483</v>
      </c>
      <c r="H122" s="1" t="n">
        <v>103</v>
      </c>
      <c r="I122" s="1" t="str">
        <f aca="false">B122&amp;"|"&amp;F122&amp;"|"&amp;G122</f>
        <v>Shell Apartment Buildings|DMASVEN|Good</v>
      </c>
      <c r="J122" s="1" t="s">
        <v>530</v>
      </c>
    </row>
    <row r="123" customFormat="false" ht="12" hidden="false" customHeight="true" outlineLevel="0" collapsed="false">
      <c r="B123" s="1" t="s">
        <v>525</v>
      </c>
      <c r="C123" s="1" t="s">
        <v>526</v>
      </c>
      <c r="D123" s="1" t="s">
        <v>496</v>
      </c>
      <c r="E123" s="1" t="s">
        <v>529</v>
      </c>
      <c r="F123" s="1" t="s">
        <v>508</v>
      </c>
      <c r="G123" s="1" t="s">
        <v>279</v>
      </c>
      <c r="H123" s="1" t="n">
        <v>80.5</v>
      </c>
      <c r="I123" s="1" t="str">
        <f aca="false">B123&amp;"|"&amp;F123&amp;"|"&amp;G123</f>
        <v>Shell Apartment Buildings|DMASVEN|Average</v>
      </c>
      <c r="J123" s="1" t="s">
        <v>530</v>
      </c>
    </row>
    <row r="124" customFormat="false" ht="12" hidden="false" customHeight="true" outlineLevel="0" collapsed="false">
      <c r="B124" s="1" t="s">
        <v>525</v>
      </c>
      <c r="C124" s="1" t="s">
        <v>526</v>
      </c>
      <c r="D124" s="1" t="s">
        <v>496</v>
      </c>
      <c r="E124" s="1" t="s">
        <v>529</v>
      </c>
      <c r="F124" s="1" t="s">
        <v>468</v>
      </c>
      <c r="G124" s="1" t="s">
        <v>483</v>
      </c>
      <c r="H124" s="1" t="n">
        <v>100</v>
      </c>
      <c r="I124" s="1" t="str">
        <f aca="false">B124&amp;"|"&amp;F124&amp;"|"&amp;G124</f>
        <v>Shell Apartment Buildings|D|Good</v>
      </c>
      <c r="J124" s="1" t="s">
        <v>530</v>
      </c>
    </row>
    <row r="125" customFormat="false" ht="12" hidden="false" customHeight="true" outlineLevel="0" collapsed="false">
      <c r="B125" s="1" t="s">
        <v>525</v>
      </c>
      <c r="C125" s="1" t="s">
        <v>526</v>
      </c>
      <c r="D125" s="1" t="s">
        <v>496</v>
      </c>
      <c r="E125" s="1" t="s">
        <v>529</v>
      </c>
      <c r="F125" s="1" t="s">
        <v>468</v>
      </c>
      <c r="G125" s="1" t="s">
        <v>279</v>
      </c>
      <c r="H125" s="1" t="n">
        <v>78</v>
      </c>
      <c r="I125" s="1" t="str">
        <f aca="false">B125&amp;"|"&amp;F125&amp;"|"&amp;G125</f>
        <v>Shell Apartment Buildings|D|Average</v>
      </c>
      <c r="J125" s="1" t="s">
        <v>530</v>
      </c>
    </row>
    <row r="126" customFormat="false" ht="12" hidden="false" customHeight="true" outlineLevel="0" collapsed="false">
      <c r="B126" s="1" t="s">
        <v>525</v>
      </c>
      <c r="C126" s="1" t="s">
        <v>526</v>
      </c>
      <c r="D126" s="1" t="s">
        <v>496</v>
      </c>
      <c r="E126" s="1" t="s">
        <v>529</v>
      </c>
      <c r="F126" s="1" t="s">
        <v>468</v>
      </c>
      <c r="G126" s="1" t="s">
        <v>480</v>
      </c>
      <c r="H126" s="1" t="n">
        <v>57.5</v>
      </c>
      <c r="I126" s="1" t="str">
        <f aca="false">B126&amp;"|"&amp;F126&amp;"|"&amp;G126</f>
        <v>Shell Apartment Buildings|D|Low Cost</v>
      </c>
      <c r="J126" s="1" t="s">
        <v>530</v>
      </c>
    </row>
    <row r="127" customFormat="false" ht="12" hidden="false" customHeight="true" outlineLevel="0" collapsed="false">
      <c r="B127" s="1" t="s">
        <v>525</v>
      </c>
      <c r="C127" s="1" t="s">
        <v>526</v>
      </c>
      <c r="D127" s="1" t="s">
        <v>496</v>
      </c>
      <c r="E127" s="1" t="s">
        <v>529</v>
      </c>
      <c r="F127" s="1" t="s">
        <v>473</v>
      </c>
      <c r="G127" s="1" t="s">
        <v>483</v>
      </c>
      <c r="H127" s="1" t="n">
        <v>95.5</v>
      </c>
      <c r="I127" s="1" t="str">
        <f aca="false">B127&amp;"|"&amp;F127&amp;"|"&amp;G127</f>
        <v>Shell Apartment Buildings|S|Good</v>
      </c>
      <c r="J127" s="1" t="s">
        <v>530</v>
      </c>
    </row>
    <row r="128" customFormat="false" ht="12" hidden="false" customHeight="true" outlineLevel="0" collapsed="false">
      <c r="B128" s="1" t="s">
        <v>525</v>
      </c>
      <c r="C128" s="1" t="s">
        <v>526</v>
      </c>
      <c r="D128" s="1" t="s">
        <v>496</v>
      </c>
      <c r="E128" s="1" t="s">
        <v>529</v>
      </c>
      <c r="F128" s="1" t="s">
        <v>473</v>
      </c>
      <c r="G128" s="1" t="s">
        <v>279</v>
      </c>
      <c r="H128" s="1" t="n">
        <v>74.5</v>
      </c>
      <c r="I128" s="1" t="str">
        <f aca="false">B128&amp;"|"&amp;F128&amp;"|"&amp;G128</f>
        <v>Shell Apartment Buildings|S|Average</v>
      </c>
      <c r="J128" s="1" t="s">
        <v>530</v>
      </c>
    </row>
    <row r="129" customFormat="false" ht="12" hidden="false" customHeight="true" outlineLevel="0" collapsed="false">
      <c r="B129" s="1" t="s">
        <v>531</v>
      </c>
      <c r="C129" s="1" t="s">
        <v>532</v>
      </c>
      <c r="D129" s="1" t="s">
        <v>496</v>
      </c>
      <c r="E129" s="1" t="s">
        <v>533</v>
      </c>
      <c r="F129" s="1" t="s">
        <v>456</v>
      </c>
      <c r="G129" s="1" t="s">
        <v>485</v>
      </c>
      <c r="H129" s="1" t="n">
        <v>271</v>
      </c>
      <c r="I129" s="1" t="str">
        <f aca="false">B129&amp;"|"&amp;F129&amp;"|"&amp;G129</f>
        <v>Hotels, Limited Service|A|Excellent</v>
      </c>
      <c r="J129" s="1" t="s">
        <v>534</v>
      </c>
    </row>
    <row r="130" customFormat="false" ht="12" hidden="false" customHeight="true" outlineLevel="0" collapsed="false">
      <c r="B130" s="1" t="s">
        <v>531</v>
      </c>
      <c r="C130" s="1" t="s">
        <v>532</v>
      </c>
      <c r="D130" s="1" t="s">
        <v>496</v>
      </c>
      <c r="E130" s="1" t="s">
        <v>533</v>
      </c>
      <c r="F130" s="1" t="s">
        <v>456</v>
      </c>
      <c r="G130" s="1" t="s">
        <v>483</v>
      </c>
      <c r="H130" s="1" t="n">
        <v>228</v>
      </c>
      <c r="I130" s="1" t="str">
        <f aca="false">B130&amp;"|"&amp;F130&amp;"|"&amp;G130</f>
        <v>Hotels, Limited Service|A|Good</v>
      </c>
      <c r="J130" s="1" t="s">
        <v>534</v>
      </c>
    </row>
    <row r="131" customFormat="false" ht="12" hidden="false" customHeight="true" outlineLevel="0" collapsed="false">
      <c r="B131" s="1" t="s">
        <v>531</v>
      </c>
      <c r="C131" s="1" t="s">
        <v>532</v>
      </c>
      <c r="D131" s="1" t="s">
        <v>496</v>
      </c>
      <c r="E131" s="1" t="s">
        <v>533</v>
      </c>
      <c r="F131" s="1" t="s">
        <v>456</v>
      </c>
      <c r="G131" s="1" t="s">
        <v>279</v>
      </c>
      <c r="H131" s="1" t="n">
        <v>197</v>
      </c>
      <c r="I131" s="1" t="str">
        <f aca="false">B131&amp;"|"&amp;F131&amp;"|"&amp;G131</f>
        <v>Hotels, Limited Service|A|Average</v>
      </c>
      <c r="J131" s="1" t="s">
        <v>534</v>
      </c>
    </row>
    <row r="132" customFormat="false" ht="12" hidden="false" customHeight="true" outlineLevel="0" collapsed="false">
      <c r="B132" s="1" t="s">
        <v>531</v>
      </c>
      <c r="C132" s="1" t="s">
        <v>532</v>
      </c>
      <c r="D132" s="1" t="s">
        <v>496</v>
      </c>
      <c r="E132" s="1" t="s">
        <v>533</v>
      </c>
      <c r="F132" s="1" t="s">
        <v>456</v>
      </c>
      <c r="G132" s="1" t="s">
        <v>480</v>
      </c>
      <c r="H132" s="1" t="n">
        <v>165</v>
      </c>
      <c r="I132" s="1" t="str">
        <f aca="false">B132&amp;"|"&amp;F132&amp;"|"&amp;G132</f>
        <v>Hotels, Limited Service|A|Low Cost</v>
      </c>
      <c r="J132" s="1" t="s">
        <v>534</v>
      </c>
    </row>
    <row r="133" customFormat="false" ht="12" hidden="false" customHeight="true" outlineLevel="0" collapsed="false">
      <c r="B133" s="1" t="s">
        <v>531</v>
      </c>
      <c r="C133" s="1" t="s">
        <v>532</v>
      </c>
      <c r="D133" s="1" t="s">
        <v>496</v>
      </c>
      <c r="E133" s="1" t="s">
        <v>533</v>
      </c>
      <c r="F133" s="1" t="s">
        <v>461</v>
      </c>
      <c r="G133" s="1" t="s">
        <v>485</v>
      </c>
      <c r="H133" s="1" t="n">
        <v>245</v>
      </c>
      <c r="I133" s="1" t="str">
        <f aca="false">B133&amp;"|"&amp;F133&amp;"|"&amp;G133</f>
        <v>Hotels, Limited Service|B|Excellent</v>
      </c>
      <c r="J133" s="1" t="s">
        <v>534</v>
      </c>
    </row>
    <row r="134" customFormat="false" ht="12" hidden="false" customHeight="true" outlineLevel="0" collapsed="false">
      <c r="B134" s="1" t="s">
        <v>531</v>
      </c>
      <c r="C134" s="1" t="s">
        <v>532</v>
      </c>
      <c r="D134" s="1" t="s">
        <v>496</v>
      </c>
      <c r="E134" s="1" t="s">
        <v>533</v>
      </c>
      <c r="F134" s="1" t="s">
        <v>461</v>
      </c>
      <c r="G134" s="1" t="s">
        <v>483</v>
      </c>
      <c r="H134" s="1" t="n">
        <v>205</v>
      </c>
      <c r="I134" s="1" t="str">
        <f aca="false">B134&amp;"|"&amp;F134&amp;"|"&amp;G134</f>
        <v>Hotels, Limited Service|B|Good</v>
      </c>
      <c r="J134" s="1" t="s">
        <v>534</v>
      </c>
    </row>
    <row r="135" customFormat="false" ht="12" hidden="false" customHeight="true" outlineLevel="0" collapsed="false">
      <c r="B135" s="1" t="s">
        <v>531</v>
      </c>
      <c r="C135" s="1" t="s">
        <v>532</v>
      </c>
      <c r="D135" s="1" t="s">
        <v>496</v>
      </c>
      <c r="E135" s="1" t="s">
        <v>533</v>
      </c>
      <c r="F135" s="1" t="s">
        <v>461</v>
      </c>
      <c r="G135" s="1" t="s">
        <v>279</v>
      </c>
      <c r="H135" s="1" t="n">
        <v>177</v>
      </c>
      <c r="I135" s="1" t="str">
        <f aca="false">B135&amp;"|"&amp;F135&amp;"|"&amp;G135</f>
        <v>Hotels, Limited Service|B|Average</v>
      </c>
      <c r="J135" s="1" t="s">
        <v>534</v>
      </c>
    </row>
    <row r="136" customFormat="false" ht="12" hidden="false" customHeight="true" outlineLevel="0" collapsed="false">
      <c r="B136" s="1" t="s">
        <v>531</v>
      </c>
      <c r="C136" s="1" t="s">
        <v>532</v>
      </c>
      <c r="D136" s="1" t="s">
        <v>496</v>
      </c>
      <c r="E136" s="1" t="s">
        <v>533</v>
      </c>
      <c r="F136" s="1" t="s">
        <v>461</v>
      </c>
      <c r="G136" s="1" t="s">
        <v>480</v>
      </c>
      <c r="H136" s="1" t="n">
        <v>147</v>
      </c>
      <c r="I136" s="1" t="str">
        <f aca="false">B136&amp;"|"&amp;F136&amp;"|"&amp;G136</f>
        <v>Hotels, Limited Service|B|Low Cost</v>
      </c>
      <c r="J136" s="1" t="s">
        <v>534</v>
      </c>
    </row>
    <row r="137" customFormat="false" ht="12" hidden="false" customHeight="true" outlineLevel="0" collapsed="false">
      <c r="B137" s="1" t="s">
        <v>531</v>
      </c>
      <c r="C137" s="1" t="s">
        <v>532</v>
      </c>
      <c r="D137" s="1" t="s">
        <v>496</v>
      </c>
      <c r="E137" s="1" t="s">
        <v>533</v>
      </c>
      <c r="F137" s="1" t="s">
        <v>463</v>
      </c>
      <c r="G137" s="1" t="s">
        <v>485</v>
      </c>
      <c r="H137" s="1" t="n">
        <v>222</v>
      </c>
      <c r="I137" s="1" t="str">
        <f aca="false">B137&amp;"|"&amp;F137&amp;"|"&amp;G137</f>
        <v>Hotels, Limited Service|C|Excellent</v>
      </c>
      <c r="J137" s="1" t="s">
        <v>534</v>
      </c>
    </row>
    <row r="138" customFormat="false" ht="12" hidden="false" customHeight="true" outlineLevel="0" collapsed="false">
      <c r="B138" s="1" t="s">
        <v>531</v>
      </c>
      <c r="C138" s="1" t="s">
        <v>532</v>
      </c>
      <c r="D138" s="1" t="s">
        <v>496</v>
      </c>
      <c r="E138" s="1" t="s">
        <v>533</v>
      </c>
      <c r="F138" s="1" t="s">
        <v>463</v>
      </c>
      <c r="G138" s="1" t="s">
        <v>483</v>
      </c>
      <c r="H138" s="1" t="n">
        <v>183</v>
      </c>
      <c r="I138" s="1" t="str">
        <f aca="false">B138&amp;"|"&amp;F138&amp;"|"&amp;G138</f>
        <v>Hotels, Limited Service|C|Good</v>
      </c>
      <c r="J138" s="1" t="s">
        <v>534</v>
      </c>
    </row>
    <row r="139" customFormat="false" ht="12" hidden="false" customHeight="true" outlineLevel="0" collapsed="false">
      <c r="B139" s="1" t="s">
        <v>531</v>
      </c>
      <c r="C139" s="1" t="s">
        <v>532</v>
      </c>
      <c r="D139" s="1" t="s">
        <v>496</v>
      </c>
      <c r="E139" s="1" t="s">
        <v>533</v>
      </c>
      <c r="F139" s="1" t="s">
        <v>463</v>
      </c>
      <c r="G139" s="1" t="s">
        <v>279</v>
      </c>
      <c r="H139" s="1" t="n">
        <v>145</v>
      </c>
      <c r="I139" s="1" t="str">
        <f aca="false">B139&amp;"|"&amp;F139&amp;"|"&amp;G139</f>
        <v>Hotels, Limited Service|C|Average</v>
      </c>
      <c r="J139" s="1" t="s">
        <v>534</v>
      </c>
    </row>
    <row r="140" customFormat="false" ht="12" hidden="false" customHeight="true" outlineLevel="0" collapsed="false">
      <c r="B140" s="1" t="s">
        <v>531</v>
      </c>
      <c r="C140" s="1" t="s">
        <v>532</v>
      </c>
      <c r="D140" s="1" t="s">
        <v>496</v>
      </c>
      <c r="E140" s="1" t="s">
        <v>533</v>
      </c>
      <c r="F140" s="1" t="s">
        <v>463</v>
      </c>
      <c r="G140" s="1" t="s">
        <v>480</v>
      </c>
      <c r="H140" s="1" t="n">
        <v>121</v>
      </c>
      <c r="I140" s="1" t="str">
        <f aca="false">B140&amp;"|"&amp;F140&amp;"|"&amp;G140</f>
        <v>Hotels, Limited Service|C|Low Cost</v>
      </c>
      <c r="J140" s="1" t="s">
        <v>534</v>
      </c>
    </row>
    <row r="141" customFormat="false" ht="12" hidden="false" customHeight="true" outlineLevel="0" collapsed="false">
      <c r="B141" s="1" t="s">
        <v>531</v>
      </c>
      <c r="C141" s="1" t="s">
        <v>532</v>
      </c>
      <c r="D141" s="1" t="s">
        <v>496</v>
      </c>
      <c r="E141" s="1" t="s">
        <v>533</v>
      </c>
      <c r="F141" s="1" t="s">
        <v>468</v>
      </c>
      <c r="G141" s="1" t="s">
        <v>483</v>
      </c>
      <c r="H141" s="1" t="n">
        <v>174</v>
      </c>
      <c r="I141" s="1" t="str">
        <f aca="false">B141&amp;"|"&amp;F141&amp;"|"&amp;G141</f>
        <v>Hotels, Limited Service|D|Good</v>
      </c>
      <c r="J141" s="1" t="s">
        <v>534</v>
      </c>
    </row>
    <row r="142" customFormat="false" ht="12" hidden="false" customHeight="true" outlineLevel="0" collapsed="false">
      <c r="B142" s="1" t="s">
        <v>531</v>
      </c>
      <c r="C142" s="1" t="s">
        <v>532</v>
      </c>
      <c r="D142" s="1" t="s">
        <v>496</v>
      </c>
      <c r="E142" s="1" t="s">
        <v>533</v>
      </c>
      <c r="F142" s="1" t="s">
        <v>468</v>
      </c>
      <c r="G142" s="1" t="s">
        <v>279</v>
      </c>
      <c r="H142" s="1" t="n">
        <v>137</v>
      </c>
      <c r="I142" s="1" t="str">
        <f aca="false">B142&amp;"|"&amp;F142&amp;"|"&amp;G142</f>
        <v>Hotels, Limited Service|D|Average</v>
      </c>
      <c r="J142" s="1" t="s">
        <v>534</v>
      </c>
    </row>
    <row r="143" customFormat="false" ht="12" hidden="false" customHeight="true" outlineLevel="0" collapsed="false">
      <c r="B143" s="1" t="s">
        <v>531</v>
      </c>
      <c r="C143" s="1" t="s">
        <v>532</v>
      </c>
      <c r="D143" s="1" t="s">
        <v>496</v>
      </c>
      <c r="E143" s="1" t="s">
        <v>533</v>
      </c>
      <c r="F143" s="1" t="s">
        <v>468</v>
      </c>
      <c r="G143" s="1" t="s">
        <v>480</v>
      </c>
      <c r="H143" s="1" t="n">
        <v>114</v>
      </c>
      <c r="I143" s="1" t="str">
        <f aca="false">B143&amp;"|"&amp;F143&amp;"|"&amp;G143</f>
        <v>Hotels, Limited Service|D|Low Cost</v>
      </c>
      <c r="J143" s="1" t="s">
        <v>534</v>
      </c>
    </row>
    <row r="144" customFormat="false" ht="12" hidden="false" customHeight="true" outlineLevel="0" collapsed="false">
      <c r="B144" s="1" t="s">
        <v>531</v>
      </c>
      <c r="C144" s="1" t="s">
        <v>532</v>
      </c>
      <c r="D144" s="1" t="s">
        <v>496</v>
      </c>
      <c r="E144" s="1" t="s">
        <v>533</v>
      </c>
      <c r="F144" s="1" t="s">
        <v>473</v>
      </c>
      <c r="G144" s="1" t="s">
        <v>279</v>
      </c>
      <c r="H144" s="1" t="n">
        <v>135</v>
      </c>
      <c r="I144" s="1" t="str">
        <f aca="false">B144&amp;"|"&amp;F144&amp;"|"&amp;G144</f>
        <v>Hotels, Limited Service|S|Average</v>
      </c>
      <c r="J144" s="1" t="s">
        <v>534</v>
      </c>
    </row>
    <row r="145" customFormat="false" ht="12" hidden="false" customHeight="true" outlineLevel="0" collapsed="false">
      <c r="B145" s="1" t="s">
        <v>535</v>
      </c>
      <c r="C145" s="1" t="s">
        <v>536</v>
      </c>
      <c r="D145" s="1" t="s">
        <v>496</v>
      </c>
      <c r="E145" s="1" t="s">
        <v>537</v>
      </c>
      <c r="F145" s="1" t="s">
        <v>456</v>
      </c>
      <c r="G145" s="1" t="s">
        <v>485</v>
      </c>
      <c r="H145" s="1" t="n">
        <v>162</v>
      </c>
      <c r="I145" s="1" t="str">
        <f aca="false">B145&amp;"|"&amp;F145&amp;"|"&amp;G145</f>
        <v>Shell Hotels: Limited Service Buildings|A|Excellent</v>
      </c>
      <c r="J145" s="1" t="s">
        <v>538</v>
      </c>
    </row>
    <row r="146" customFormat="false" ht="12" hidden="false" customHeight="true" outlineLevel="0" collapsed="false">
      <c r="B146" s="1" t="s">
        <v>535</v>
      </c>
      <c r="C146" s="1" t="s">
        <v>536</v>
      </c>
      <c r="D146" s="1" t="s">
        <v>496</v>
      </c>
      <c r="E146" s="1" t="s">
        <v>537</v>
      </c>
      <c r="F146" s="1" t="s">
        <v>456</v>
      </c>
      <c r="G146" s="1" t="s">
        <v>483</v>
      </c>
      <c r="H146" s="1" t="n">
        <v>141</v>
      </c>
      <c r="I146" s="1" t="str">
        <f aca="false">B146&amp;"|"&amp;F146&amp;"|"&amp;G146</f>
        <v>Shell Hotels: Limited Service Buildings|A|Good</v>
      </c>
      <c r="J146" s="1" t="s">
        <v>538</v>
      </c>
    </row>
    <row r="147" customFormat="false" ht="12" hidden="false" customHeight="true" outlineLevel="0" collapsed="false">
      <c r="B147" s="1" t="s">
        <v>535</v>
      </c>
      <c r="C147" s="1" t="s">
        <v>536</v>
      </c>
      <c r="D147" s="1" t="s">
        <v>496</v>
      </c>
      <c r="E147" s="1" t="s">
        <v>537</v>
      </c>
      <c r="F147" s="1" t="s">
        <v>456</v>
      </c>
      <c r="G147" s="1" t="s">
        <v>279</v>
      </c>
      <c r="H147" s="1" t="n">
        <v>123</v>
      </c>
      <c r="I147" s="1" t="str">
        <f aca="false">B147&amp;"|"&amp;F147&amp;"|"&amp;G147</f>
        <v>Shell Hotels: Limited Service Buildings|A|Average</v>
      </c>
      <c r="J147" s="1" t="s">
        <v>538</v>
      </c>
    </row>
    <row r="148" customFormat="false" ht="12" hidden="false" customHeight="true" outlineLevel="0" collapsed="false">
      <c r="B148" s="1" t="s">
        <v>535</v>
      </c>
      <c r="C148" s="1" t="s">
        <v>536</v>
      </c>
      <c r="D148" s="1" t="s">
        <v>496</v>
      </c>
      <c r="E148" s="1" t="s">
        <v>537</v>
      </c>
      <c r="F148" s="1" t="s">
        <v>456</v>
      </c>
      <c r="G148" s="1" t="s">
        <v>480</v>
      </c>
      <c r="H148" s="1" t="n">
        <v>107</v>
      </c>
      <c r="I148" s="1" t="str">
        <f aca="false">B148&amp;"|"&amp;F148&amp;"|"&amp;G148</f>
        <v>Shell Hotels: Limited Service Buildings|A|Low Cost</v>
      </c>
      <c r="J148" s="1" t="s">
        <v>538</v>
      </c>
    </row>
    <row r="149" customFormat="false" ht="12" hidden="false" customHeight="true" outlineLevel="0" collapsed="false">
      <c r="B149" s="1" t="s">
        <v>535</v>
      </c>
      <c r="C149" s="1" t="s">
        <v>536</v>
      </c>
      <c r="D149" s="1" t="s">
        <v>496</v>
      </c>
      <c r="E149" s="1" t="s">
        <v>537</v>
      </c>
      <c r="F149" s="1" t="s">
        <v>461</v>
      </c>
      <c r="G149" s="1" t="s">
        <v>485</v>
      </c>
      <c r="H149" s="1" t="n">
        <v>144</v>
      </c>
      <c r="I149" s="1" t="str">
        <f aca="false">B149&amp;"|"&amp;F149&amp;"|"&amp;G149</f>
        <v>Shell Hotels: Limited Service Buildings|B|Excellent</v>
      </c>
      <c r="J149" s="1" t="s">
        <v>538</v>
      </c>
    </row>
    <row r="150" customFormat="false" ht="12" hidden="false" customHeight="true" outlineLevel="0" collapsed="false">
      <c r="B150" s="1" t="s">
        <v>535</v>
      </c>
      <c r="C150" s="1" t="s">
        <v>536</v>
      </c>
      <c r="D150" s="1" t="s">
        <v>496</v>
      </c>
      <c r="E150" s="1" t="s">
        <v>537</v>
      </c>
      <c r="F150" s="1" t="s">
        <v>461</v>
      </c>
      <c r="G150" s="1" t="s">
        <v>483</v>
      </c>
      <c r="H150" s="1" t="n">
        <v>124</v>
      </c>
      <c r="I150" s="1" t="str">
        <f aca="false">B150&amp;"|"&amp;F150&amp;"|"&amp;G150</f>
        <v>Shell Hotels: Limited Service Buildings|B|Good</v>
      </c>
      <c r="J150" s="1" t="s">
        <v>538</v>
      </c>
    </row>
    <row r="151" customFormat="false" ht="12" hidden="false" customHeight="true" outlineLevel="0" collapsed="false">
      <c r="B151" s="1" t="s">
        <v>535</v>
      </c>
      <c r="C151" s="1" t="s">
        <v>536</v>
      </c>
      <c r="D151" s="1" t="s">
        <v>496</v>
      </c>
      <c r="E151" s="1" t="s">
        <v>537</v>
      </c>
      <c r="F151" s="1" t="s">
        <v>461</v>
      </c>
      <c r="G151" s="1" t="s">
        <v>279</v>
      </c>
      <c r="H151" s="1" t="n">
        <v>108</v>
      </c>
      <c r="I151" s="1" t="str">
        <f aca="false">B151&amp;"|"&amp;F151&amp;"|"&amp;G151</f>
        <v>Shell Hotels: Limited Service Buildings|B|Average</v>
      </c>
      <c r="J151" s="1" t="s">
        <v>538</v>
      </c>
    </row>
    <row r="152" customFormat="false" ht="12" hidden="false" customHeight="true" outlineLevel="0" collapsed="false">
      <c r="B152" s="1" t="s">
        <v>535</v>
      </c>
      <c r="C152" s="1" t="s">
        <v>536</v>
      </c>
      <c r="D152" s="1" t="s">
        <v>496</v>
      </c>
      <c r="E152" s="1" t="s">
        <v>537</v>
      </c>
      <c r="F152" s="1" t="s">
        <v>461</v>
      </c>
      <c r="G152" s="1" t="s">
        <v>480</v>
      </c>
      <c r="H152" s="1" t="n">
        <v>94</v>
      </c>
      <c r="I152" s="1" t="str">
        <f aca="false">B152&amp;"|"&amp;F152&amp;"|"&amp;G152</f>
        <v>Shell Hotels: Limited Service Buildings|B|Low Cost</v>
      </c>
      <c r="J152" s="1" t="s">
        <v>538</v>
      </c>
    </row>
    <row r="153" customFormat="false" ht="12" hidden="false" customHeight="true" outlineLevel="0" collapsed="false">
      <c r="B153" s="1" t="s">
        <v>535</v>
      </c>
      <c r="C153" s="1" t="s">
        <v>536</v>
      </c>
      <c r="D153" s="1" t="s">
        <v>496</v>
      </c>
      <c r="E153" s="1" t="s">
        <v>539</v>
      </c>
      <c r="F153" s="1" t="s">
        <v>463</v>
      </c>
      <c r="G153" s="1" t="s">
        <v>485</v>
      </c>
      <c r="H153" s="1" t="n">
        <v>138</v>
      </c>
      <c r="I153" s="1" t="str">
        <f aca="false">B153&amp;"|"&amp;F153&amp;"|"&amp;G153</f>
        <v>Shell Hotels: Limited Service Buildings|C|Excellent</v>
      </c>
      <c r="J153" s="1" t="s">
        <v>540</v>
      </c>
    </row>
    <row r="154" customFormat="false" ht="12" hidden="false" customHeight="true" outlineLevel="0" collapsed="false">
      <c r="B154" s="1" t="s">
        <v>535</v>
      </c>
      <c r="C154" s="1" t="s">
        <v>536</v>
      </c>
      <c r="D154" s="1" t="s">
        <v>496</v>
      </c>
      <c r="E154" s="1" t="s">
        <v>539</v>
      </c>
      <c r="F154" s="1" t="s">
        <v>463</v>
      </c>
      <c r="G154" s="1" t="s">
        <v>483</v>
      </c>
      <c r="H154" s="1" t="n">
        <v>114</v>
      </c>
      <c r="I154" s="1" t="str">
        <f aca="false">B154&amp;"|"&amp;F154&amp;"|"&amp;G154</f>
        <v>Shell Hotels: Limited Service Buildings|C|Good</v>
      </c>
      <c r="J154" s="1" t="s">
        <v>540</v>
      </c>
    </row>
    <row r="155" customFormat="false" ht="12" hidden="false" customHeight="true" outlineLevel="0" collapsed="false">
      <c r="B155" s="1" t="s">
        <v>535</v>
      </c>
      <c r="C155" s="1" t="s">
        <v>536</v>
      </c>
      <c r="D155" s="1" t="s">
        <v>496</v>
      </c>
      <c r="E155" s="1" t="s">
        <v>539</v>
      </c>
      <c r="F155" s="1" t="s">
        <v>463</v>
      </c>
      <c r="G155" s="1" t="s">
        <v>279</v>
      </c>
      <c r="H155" s="1" t="n">
        <v>93.5</v>
      </c>
      <c r="I155" s="1" t="str">
        <f aca="false">B155&amp;"|"&amp;F155&amp;"|"&amp;G155</f>
        <v>Shell Hotels: Limited Service Buildings|C|Average</v>
      </c>
      <c r="J155" s="1" t="s">
        <v>540</v>
      </c>
    </row>
    <row r="156" customFormat="false" ht="12" hidden="false" customHeight="true" outlineLevel="0" collapsed="false">
      <c r="B156" s="1" t="s">
        <v>535</v>
      </c>
      <c r="C156" s="1" t="s">
        <v>536</v>
      </c>
      <c r="D156" s="1" t="s">
        <v>496</v>
      </c>
      <c r="E156" s="1" t="s">
        <v>539</v>
      </c>
      <c r="F156" s="1" t="s">
        <v>463</v>
      </c>
      <c r="G156" s="1" t="s">
        <v>480</v>
      </c>
      <c r="H156" s="1" t="n">
        <v>77.5</v>
      </c>
      <c r="I156" s="1" t="str">
        <f aca="false">B156&amp;"|"&amp;F156&amp;"|"&amp;G156</f>
        <v>Shell Hotels: Limited Service Buildings|C|Low Cost</v>
      </c>
      <c r="J156" s="1" t="s">
        <v>540</v>
      </c>
    </row>
    <row r="157" customFormat="false" ht="12" hidden="false" customHeight="true" outlineLevel="0" collapsed="false">
      <c r="B157" s="1" t="s">
        <v>535</v>
      </c>
      <c r="C157" s="1" t="s">
        <v>536</v>
      </c>
      <c r="D157" s="1" t="s">
        <v>496</v>
      </c>
      <c r="E157" s="1" t="s">
        <v>539</v>
      </c>
      <c r="F157" s="1" t="s">
        <v>468</v>
      </c>
      <c r="G157" s="1" t="s">
        <v>483</v>
      </c>
      <c r="H157" s="1" t="n">
        <v>105</v>
      </c>
      <c r="I157" s="1" t="str">
        <f aca="false">B157&amp;"|"&amp;F157&amp;"|"&amp;G157</f>
        <v>Shell Hotels: Limited Service Buildings|D|Good</v>
      </c>
      <c r="J157" s="1" t="s">
        <v>540</v>
      </c>
    </row>
    <row r="158" customFormat="false" ht="12" hidden="false" customHeight="true" outlineLevel="0" collapsed="false">
      <c r="B158" s="1" t="s">
        <v>535</v>
      </c>
      <c r="C158" s="1" t="s">
        <v>536</v>
      </c>
      <c r="D158" s="1" t="s">
        <v>496</v>
      </c>
      <c r="E158" s="1" t="s">
        <v>539</v>
      </c>
      <c r="F158" s="1" t="s">
        <v>468</v>
      </c>
      <c r="G158" s="1" t="s">
        <v>279</v>
      </c>
      <c r="H158" s="1" t="n">
        <v>86.5</v>
      </c>
      <c r="I158" s="1" t="str">
        <f aca="false">B158&amp;"|"&amp;F158&amp;"|"&amp;G158</f>
        <v>Shell Hotels: Limited Service Buildings|D|Average</v>
      </c>
      <c r="J158" s="1" t="s">
        <v>540</v>
      </c>
    </row>
    <row r="159" customFormat="false" ht="12" hidden="false" customHeight="true" outlineLevel="0" collapsed="false">
      <c r="B159" s="1" t="s">
        <v>535</v>
      </c>
      <c r="C159" s="1" t="s">
        <v>536</v>
      </c>
      <c r="D159" s="1" t="s">
        <v>496</v>
      </c>
      <c r="E159" s="1" t="s">
        <v>539</v>
      </c>
      <c r="F159" s="1" t="s">
        <v>468</v>
      </c>
      <c r="G159" s="1" t="s">
        <v>480</v>
      </c>
      <c r="H159" s="1" t="n">
        <v>71</v>
      </c>
      <c r="I159" s="1" t="str">
        <f aca="false">B159&amp;"|"&amp;F159&amp;"|"&amp;G159</f>
        <v>Shell Hotels: Limited Service Buildings|D|Low Cost</v>
      </c>
      <c r="J159" s="1" t="s">
        <v>540</v>
      </c>
    </row>
    <row r="160" customFormat="false" ht="12" hidden="false" customHeight="true" outlineLevel="0" collapsed="false">
      <c r="B160" s="1" t="s">
        <v>535</v>
      </c>
      <c r="C160" s="1" t="s">
        <v>536</v>
      </c>
      <c r="D160" s="1" t="s">
        <v>496</v>
      </c>
      <c r="E160" s="1" t="s">
        <v>539</v>
      </c>
      <c r="F160" s="1" t="s">
        <v>473</v>
      </c>
      <c r="G160" s="1" t="s">
        <v>279</v>
      </c>
      <c r="H160" s="1" t="n">
        <v>84.5</v>
      </c>
      <c r="I160" s="1" t="str">
        <f aca="false">B160&amp;"|"&amp;F160&amp;"|"&amp;G160</f>
        <v>Shell Hotels: Limited Service Buildings|S|Average</v>
      </c>
      <c r="J160" s="1" t="s">
        <v>540</v>
      </c>
    </row>
    <row r="161" customFormat="false" ht="12" hidden="false" customHeight="true" outlineLevel="0" collapsed="false">
      <c r="B161" s="1" t="s">
        <v>541</v>
      </c>
      <c r="C161" s="1" t="s">
        <v>542</v>
      </c>
      <c r="D161" s="1" t="s">
        <v>496</v>
      </c>
      <c r="E161" s="1" t="s">
        <v>543</v>
      </c>
      <c r="F161" s="1" t="s">
        <v>456</v>
      </c>
      <c r="G161" s="1" t="s">
        <v>485</v>
      </c>
      <c r="H161" s="1" t="n">
        <v>380</v>
      </c>
      <c r="I161" s="1" t="str">
        <f aca="false">B161&amp;"|"&amp;F161&amp;"|"&amp;G161</f>
        <v>Hotels, Full Service|A|Excellent</v>
      </c>
      <c r="J161" s="1" t="s">
        <v>544</v>
      </c>
    </row>
    <row r="162" customFormat="false" ht="12" hidden="false" customHeight="true" outlineLevel="0" collapsed="false">
      <c r="B162" s="1" t="s">
        <v>541</v>
      </c>
      <c r="C162" s="1" t="s">
        <v>542</v>
      </c>
      <c r="D162" s="1" t="s">
        <v>496</v>
      </c>
      <c r="E162" s="1" t="s">
        <v>543</v>
      </c>
      <c r="F162" s="1" t="s">
        <v>456</v>
      </c>
      <c r="G162" s="1" t="s">
        <v>483</v>
      </c>
      <c r="H162" s="1" t="n">
        <v>310</v>
      </c>
      <c r="I162" s="1" t="str">
        <f aca="false">B162&amp;"|"&amp;F162&amp;"|"&amp;G162</f>
        <v>Hotels, Full Service|A|Good</v>
      </c>
      <c r="J162" s="1" t="s">
        <v>544</v>
      </c>
    </row>
    <row r="163" customFormat="false" ht="12" hidden="false" customHeight="true" outlineLevel="0" collapsed="false">
      <c r="B163" s="1" t="s">
        <v>541</v>
      </c>
      <c r="C163" s="1" t="s">
        <v>542</v>
      </c>
      <c r="D163" s="1" t="s">
        <v>496</v>
      </c>
      <c r="E163" s="1" t="s">
        <v>543</v>
      </c>
      <c r="F163" s="1" t="s">
        <v>456</v>
      </c>
      <c r="G163" s="1" t="s">
        <v>279</v>
      </c>
      <c r="H163" s="1" t="n">
        <v>244</v>
      </c>
      <c r="I163" s="1" t="str">
        <f aca="false">B163&amp;"|"&amp;F163&amp;"|"&amp;G163</f>
        <v>Hotels, Full Service|A|Average</v>
      </c>
      <c r="J163" s="1" t="s">
        <v>544</v>
      </c>
    </row>
    <row r="164" customFormat="false" ht="12" hidden="false" customHeight="true" outlineLevel="0" collapsed="false">
      <c r="B164" s="1" t="s">
        <v>541</v>
      </c>
      <c r="C164" s="1" t="s">
        <v>542</v>
      </c>
      <c r="D164" s="1" t="s">
        <v>496</v>
      </c>
      <c r="E164" s="1" t="s">
        <v>543</v>
      </c>
      <c r="F164" s="1" t="s">
        <v>456</v>
      </c>
      <c r="G164" s="1" t="s">
        <v>480</v>
      </c>
      <c r="H164" s="1" t="n">
        <v>194</v>
      </c>
      <c r="I164" s="1" t="str">
        <f aca="false">B164&amp;"|"&amp;F164&amp;"|"&amp;G164</f>
        <v>Hotels, Full Service|A|Low Cost</v>
      </c>
      <c r="J164" s="1" t="s">
        <v>544</v>
      </c>
    </row>
    <row r="165" customFormat="false" ht="12" hidden="false" customHeight="true" outlineLevel="0" collapsed="false">
      <c r="B165" s="1" t="s">
        <v>541</v>
      </c>
      <c r="C165" s="1" t="s">
        <v>542</v>
      </c>
      <c r="D165" s="1" t="s">
        <v>496</v>
      </c>
      <c r="E165" s="1" t="s">
        <v>543</v>
      </c>
      <c r="F165" s="1" t="s">
        <v>461</v>
      </c>
      <c r="G165" s="1" t="s">
        <v>485</v>
      </c>
      <c r="H165" s="1" t="n">
        <v>343</v>
      </c>
      <c r="I165" s="1" t="str">
        <f aca="false">B165&amp;"|"&amp;F165&amp;"|"&amp;G165</f>
        <v>Hotels, Full Service|B|Excellent</v>
      </c>
      <c r="J165" s="1" t="s">
        <v>544</v>
      </c>
    </row>
    <row r="166" customFormat="false" ht="12" hidden="false" customHeight="true" outlineLevel="0" collapsed="false">
      <c r="B166" s="1" t="s">
        <v>541</v>
      </c>
      <c r="C166" s="1" t="s">
        <v>542</v>
      </c>
      <c r="D166" s="1" t="s">
        <v>496</v>
      </c>
      <c r="E166" s="1" t="s">
        <v>543</v>
      </c>
      <c r="F166" s="1" t="s">
        <v>461</v>
      </c>
      <c r="G166" s="1" t="s">
        <v>483</v>
      </c>
      <c r="H166" s="1" t="n">
        <v>280</v>
      </c>
      <c r="I166" s="1" t="str">
        <f aca="false">B166&amp;"|"&amp;F166&amp;"|"&amp;G166</f>
        <v>Hotels, Full Service|B|Good</v>
      </c>
      <c r="J166" s="1" t="s">
        <v>544</v>
      </c>
    </row>
    <row r="167" customFormat="false" ht="12" hidden="false" customHeight="true" outlineLevel="0" collapsed="false">
      <c r="B167" s="1" t="s">
        <v>541</v>
      </c>
      <c r="C167" s="1" t="s">
        <v>542</v>
      </c>
      <c r="D167" s="1" t="s">
        <v>496</v>
      </c>
      <c r="E167" s="1" t="s">
        <v>543</v>
      </c>
      <c r="F167" s="1" t="s">
        <v>461</v>
      </c>
      <c r="G167" s="1" t="s">
        <v>279</v>
      </c>
      <c r="H167" s="1" t="n">
        <v>219</v>
      </c>
      <c r="I167" s="1" t="str">
        <f aca="false">B167&amp;"|"&amp;F167&amp;"|"&amp;G167</f>
        <v>Hotels, Full Service|B|Average</v>
      </c>
      <c r="J167" s="1" t="s">
        <v>544</v>
      </c>
    </row>
    <row r="168" customFormat="false" ht="12" hidden="false" customHeight="true" outlineLevel="0" collapsed="false">
      <c r="B168" s="1" t="s">
        <v>541</v>
      </c>
      <c r="C168" s="1" t="s">
        <v>542</v>
      </c>
      <c r="D168" s="1" t="s">
        <v>496</v>
      </c>
      <c r="E168" s="1" t="s">
        <v>543</v>
      </c>
      <c r="F168" s="1" t="s">
        <v>461</v>
      </c>
      <c r="G168" s="1" t="s">
        <v>480</v>
      </c>
      <c r="H168" s="1" t="n">
        <v>173</v>
      </c>
      <c r="I168" s="1" t="str">
        <f aca="false">B168&amp;"|"&amp;F168&amp;"|"&amp;G168</f>
        <v>Hotels, Full Service|B|Low Cost</v>
      </c>
      <c r="J168" s="1" t="s">
        <v>544</v>
      </c>
    </row>
    <row r="169" customFormat="false" ht="12" hidden="false" customHeight="true" outlineLevel="0" collapsed="false">
      <c r="B169" s="1" t="s">
        <v>541</v>
      </c>
      <c r="C169" s="1" t="s">
        <v>542</v>
      </c>
      <c r="D169" s="1" t="s">
        <v>496</v>
      </c>
      <c r="E169" s="1" t="s">
        <v>543</v>
      </c>
      <c r="F169" s="1" t="s">
        <v>463</v>
      </c>
      <c r="G169" s="1" t="s">
        <v>485</v>
      </c>
      <c r="H169" s="1" t="n">
        <v>281</v>
      </c>
      <c r="I169" s="1" t="str">
        <f aca="false">B169&amp;"|"&amp;F169&amp;"|"&amp;G169</f>
        <v>Hotels, Full Service|C|Excellent</v>
      </c>
      <c r="J169" s="1" t="s">
        <v>544</v>
      </c>
    </row>
    <row r="170" customFormat="false" ht="12" hidden="false" customHeight="true" outlineLevel="0" collapsed="false">
      <c r="B170" s="1" t="s">
        <v>541</v>
      </c>
      <c r="C170" s="1" t="s">
        <v>542</v>
      </c>
      <c r="D170" s="1" t="s">
        <v>496</v>
      </c>
      <c r="E170" s="1" t="s">
        <v>543</v>
      </c>
      <c r="F170" s="1" t="s">
        <v>463</v>
      </c>
      <c r="G170" s="1" t="s">
        <v>483</v>
      </c>
      <c r="H170" s="1" t="n">
        <v>228</v>
      </c>
      <c r="I170" s="1" t="str">
        <f aca="false">B170&amp;"|"&amp;F170&amp;"|"&amp;G170</f>
        <v>Hotels, Full Service|C|Good</v>
      </c>
      <c r="J170" s="1" t="s">
        <v>544</v>
      </c>
    </row>
    <row r="171" customFormat="false" ht="12" hidden="false" customHeight="true" outlineLevel="0" collapsed="false">
      <c r="B171" s="1" t="s">
        <v>541</v>
      </c>
      <c r="C171" s="1" t="s">
        <v>542</v>
      </c>
      <c r="D171" s="1" t="s">
        <v>496</v>
      </c>
      <c r="E171" s="1" t="s">
        <v>543</v>
      </c>
      <c r="F171" s="1" t="s">
        <v>463</v>
      </c>
      <c r="G171" s="1" t="s">
        <v>279</v>
      </c>
      <c r="H171" s="1" t="n">
        <v>191</v>
      </c>
      <c r="I171" s="1" t="str">
        <f aca="false">B171&amp;"|"&amp;F171&amp;"|"&amp;G171</f>
        <v>Hotels, Full Service|C|Average</v>
      </c>
      <c r="J171" s="1" t="s">
        <v>544</v>
      </c>
    </row>
    <row r="172" customFormat="false" ht="12" hidden="false" customHeight="true" outlineLevel="0" collapsed="false">
      <c r="B172" s="1" t="s">
        <v>541</v>
      </c>
      <c r="C172" s="1" t="s">
        <v>542</v>
      </c>
      <c r="D172" s="1" t="s">
        <v>496</v>
      </c>
      <c r="E172" s="1" t="s">
        <v>543</v>
      </c>
      <c r="F172" s="1" t="s">
        <v>463</v>
      </c>
      <c r="G172" s="1" t="s">
        <v>480</v>
      </c>
      <c r="H172" s="1" t="n">
        <v>154</v>
      </c>
      <c r="I172" s="1" t="str">
        <f aca="false">B172&amp;"|"&amp;F172&amp;"|"&amp;G172</f>
        <v>Hotels, Full Service|C|Low Cost</v>
      </c>
      <c r="J172" s="1" t="s">
        <v>544</v>
      </c>
    </row>
    <row r="173" customFormat="false" ht="12" hidden="false" customHeight="true" outlineLevel="0" collapsed="false">
      <c r="B173" s="1" t="s">
        <v>541</v>
      </c>
      <c r="C173" s="1" t="s">
        <v>542</v>
      </c>
      <c r="D173" s="1" t="s">
        <v>496</v>
      </c>
      <c r="E173" s="1" t="s">
        <v>543</v>
      </c>
      <c r="F173" s="1" t="s">
        <v>468</v>
      </c>
      <c r="G173" s="1" t="s">
        <v>485</v>
      </c>
      <c r="H173" s="1" t="n">
        <v>268</v>
      </c>
      <c r="I173" s="1" t="str">
        <f aca="false">B173&amp;"|"&amp;F173&amp;"|"&amp;G173</f>
        <v>Hotels, Full Service|D|Excellent</v>
      </c>
      <c r="J173" s="1" t="s">
        <v>544</v>
      </c>
    </row>
    <row r="174" customFormat="false" ht="12" hidden="false" customHeight="true" outlineLevel="0" collapsed="false">
      <c r="B174" s="1" t="s">
        <v>541</v>
      </c>
      <c r="C174" s="1" t="s">
        <v>542</v>
      </c>
      <c r="D174" s="1" t="s">
        <v>496</v>
      </c>
      <c r="E174" s="1" t="s">
        <v>543</v>
      </c>
      <c r="F174" s="1" t="s">
        <v>468</v>
      </c>
      <c r="G174" s="1" t="s">
        <v>483</v>
      </c>
      <c r="H174" s="1" t="n">
        <v>216</v>
      </c>
      <c r="I174" s="1" t="str">
        <f aca="false">B174&amp;"|"&amp;F174&amp;"|"&amp;G174</f>
        <v>Hotels, Full Service|D|Good</v>
      </c>
      <c r="J174" s="1" t="s">
        <v>544</v>
      </c>
    </row>
    <row r="175" customFormat="false" ht="12" hidden="false" customHeight="true" outlineLevel="0" collapsed="false">
      <c r="B175" s="1" t="s">
        <v>541</v>
      </c>
      <c r="C175" s="1" t="s">
        <v>542</v>
      </c>
      <c r="D175" s="1" t="s">
        <v>496</v>
      </c>
      <c r="E175" s="1" t="s">
        <v>543</v>
      </c>
      <c r="F175" s="1" t="s">
        <v>468</v>
      </c>
      <c r="G175" s="1" t="s">
        <v>279</v>
      </c>
      <c r="H175" s="1" t="n">
        <v>180</v>
      </c>
      <c r="I175" s="1" t="str">
        <f aca="false">B175&amp;"|"&amp;F175&amp;"|"&amp;G175</f>
        <v>Hotels, Full Service|D|Average</v>
      </c>
      <c r="J175" s="1" t="s">
        <v>544</v>
      </c>
    </row>
    <row r="176" customFormat="false" ht="12" hidden="false" customHeight="true" outlineLevel="0" collapsed="false">
      <c r="B176" s="1" t="s">
        <v>541</v>
      </c>
      <c r="C176" s="1" t="s">
        <v>542</v>
      </c>
      <c r="D176" s="1" t="s">
        <v>496</v>
      </c>
      <c r="E176" s="1" t="s">
        <v>543</v>
      </c>
      <c r="F176" s="1" t="s">
        <v>468</v>
      </c>
      <c r="G176" s="1" t="s">
        <v>480</v>
      </c>
      <c r="H176" s="1" t="n">
        <v>144</v>
      </c>
      <c r="I176" s="1" t="str">
        <f aca="false">B176&amp;"|"&amp;F176&amp;"|"&amp;G176</f>
        <v>Hotels, Full Service|D|Low Cost</v>
      </c>
      <c r="J176" s="1" t="s">
        <v>544</v>
      </c>
    </row>
    <row r="177" customFormat="false" ht="12" hidden="false" customHeight="true" outlineLevel="0" collapsed="false">
      <c r="B177" s="1" t="s">
        <v>545</v>
      </c>
      <c r="C177" s="1" t="s">
        <v>546</v>
      </c>
      <c r="D177" s="1" t="s">
        <v>496</v>
      </c>
      <c r="E177" s="1" t="s">
        <v>547</v>
      </c>
      <c r="F177" s="1" t="s">
        <v>456</v>
      </c>
      <c r="G177" s="1" t="s">
        <v>485</v>
      </c>
      <c r="H177" s="1" t="n">
        <v>210</v>
      </c>
      <c r="I177" s="1" t="str">
        <f aca="false">B177&amp;"|"&amp;F177&amp;"|"&amp;G177</f>
        <v>Shell Hotels: Full Service Buildings|A|Excellent</v>
      </c>
      <c r="J177" s="1" t="s">
        <v>548</v>
      </c>
    </row>
    <row r="178" customFormat="false" ht="12" hidden="false" customHeight="true" outlineLevel="0" collapsed="false">
      <c r="B178" s="1" t="s">
        <v>545</v>
      </c>
      <c r="C178" s="1" t="s">
        <v>546</v>
      </c>
      <c r="D178" s="1" t="s">
        <v>496</v>
      </c>
      <c r="E178" s="1" t="s">
        <v>547</v>
      </c>
      <c r="F178" s="1" t="s">
        <v>456</v>
      </c>
      <c r="G178" s="1" t="s">
        <v>483</v>
      </c>
      <c r="H178" s="1" t="n">
        <v>168</v>
      </c>
      <c r="I178" s="1" t="str">
        <f aca="false">B178&amp;"|"&amp;F178&amp;"|"&amp;G178</f>
        <v>Shell Hotels: Full Service Buildings|A|Good</v>
      </c>
      <c r="J178" s="1" t="s">
        <v>548</v>
      </c>
    </row>
    <row r="179" customFormat="false" ht="12" hidden="false" customHeight="true" outlineLevel="0" collapsed="false">
      <c r="B179" s="1" t="s">
        <v>545</v>
      </c>
      <c r="C179" s="1" t="s">
        <v>546</v>
      </c>
      <c r="D179" s="1" t="s">
        <v>496</v>
      </c>
      <c r="E179" s="1" t="s">
        <v>547</v>
      </c>
      <c r="F179" s="1" t="s">
        <v>456</v>
      </c>
      <c r="G179" s="1" t="s">
        <v>279</v>
      </c>
      <c r="H179" s="1" t="n">
        <v>135</v>
      </c>
      <c r="I179" s="1" t="str">
        <f aca="false">B179&amp;"|"&amp;F179&amp;"|"&amp;G179</f>
        <v>Shell Hotels: Full Service Buildings|A|Average</v>
      </c>
      <c r="J179" s="1" t="s">
        <v>548</v>
      </c>
    </row>
    <row r="180" customFormat="false" ht="12" hidden="false" customHeight="true" outlineLevel="0" collapsed="false">
      <c r="B180" s="1" t="s">
        <v>545</v>
      </c>
      <c r="C180" s="1" t="s">
        <v>546</v>
      </c>
      <c r="D180" s="1" t="s">
        <v>496</v>
      </c>
      <c r="E180" s="1" t="s">
        <v>547</v>
      </c>
      <c r="F180" s="1" t="s">
        <v>456</v>
      </c>
      <c r="G180" s="1" t="s">
        <v>480</v>
      </c>
      <c r="H180" s="1" t="n">
        <v>108</v>
      </c>
      <c r="I180" s="1" t="str">
        <f aca="false">B180&amp;"|"&amp;F180&amp;"|"&amp;G180</f>
        <v>Shell Hotels: Full Service Buildings|A|Low Cost</v>
      </c>
      <c r="J180" s="1" t="s">
        <v>548</v>
      </c>
    </row>
    <row r="181" customFormat="false" ht="12" hidden="false" customHeight="true" outlineLevel="0" collapsed="false">
      <c r="B181" s="1" t="s">
        <v>545</v>
      </c>
      <c r="C181" s="1" t="s">
        <v>546</v>
      </c>
      <c r="D181" s="1" t="s">
        <v>496</v>
      </c>
      <c r="E181" s="1" t="s">
        <v>547</v>
      </c>
      <c r="F181" s="1" t="s">
        <v>461</v>
      </c>
      <c r="G181" s="1" t="s">
        <v>485</v>
      </c>
      <c r="H181" s="1" t="n">
        <v>186</v>
      </c>
      <c r="I181" s="1" t="str">
        <f aca="false">B181&amp;"|"&amp;F181&amp;"|"&amp;G181</f>
        <v>Shell Hotels: Full Service Buildings|B|Excellent</v>
      </c>
      <c r="J181" s="1" t="s">
        <v>548</v>
      </c>
    </row>
    <row r="182" customFormat="false" ht="12" hidden="false" customHeight="true" outlineLevel="0" collapsed="false">
      <c r="B182" s="1" t="s">
        <v>545</v>
      </c>
      <c r="C182" s="1" t="s">
        <v>546</v>
      </c>
      <c r="D182" s="1" t="s">
        <v>496</v>
      </c>
      <c r="E182" s="1" t="s">
        <v>547</v>
      </c>
      <c r="F182" s="1" t="s">
        <v>461</v>
      </c>
      <c r="G182" s="1" t="s">
        <v>483</v>
      </c>
      <c r="H182" s="1" t="n">
        <v>148</v>
      </c>
      <c r="I182" s="1" t="str">
        <f aca="false">B182&amp;"|"&amp;F182&amp;"|"&amp;G182</f>
        <v>Shell Hotels: Full Service Buildings|B|Good</v>
      </c>
      <c r="J182" s="1" t="s">
        <v>548</v>
      </c>
    </row>
    <row r="183" customFormat="false" ht="12" hidden="false" customHeight="true" outlineLevel="0" collapsed="false">
      <c r="B183" s="1" t="s">
        <v>545</v>
      </c>
      <c r="C183" s="1" t="s">
        <v>546</v>
      </c>
      <c r="D183" s="1" t="s">
        <v>496</v>
      </c>
      <c r="E183" s="1" t="s">
        <v>547</v>
      </c>
      <c r="F183" s="1" t="s">
        <v>461</v>
      </c>
      <c r="G183" s="1" t="s">
        <v>279</v>
      </c>
      <c r="H183" s="1" t="n">
        <v>118</v>
      </c>
      <c r="I183" s="1" t="str">
        <f aca="false">B183&amp;"|"&amp;F183&amp;"|"&amp;G183</f>
        <v>Shell Hotels: Full Service Buildings|B|Average</v>
      </c>
      <c r="J183" s="1" t="s">
        <v>548</v>
      </c>
    </row>
    <row r="184" customFormat="false" ht="12" hidden="false" customHeight="true" outlineLevel="0" collapsed="false">
      <c r="B184" s="1" t="s">
        <v>545</v>
      </c>
      <c r="C184" s="1" t="s">
        <v>546</v>
      </c>
      <c r="D184" s="1" t="s">
        <v>496</v>
      </c>
      <c r="E184" s="1" t="s">
        <v>547</v>
      </c>
      <c r="F184" s="1" t="s">
        <v>461</v>
      </c>
      <c r="G184" s="1" t="s">
        <v>480</v>
      </c>
      <c r="H184" s="1" t="n">
        <v>94.5</v>
      </c>
      <c r="I184" s="1" t="str">
        <f aca="false">B184&amp;"|"&amp;F184&amp;"|"&amp;G184</f>
        <v>Shell Hotels: Full Service Buildings|B|Low Cost</v>
      </c>
      <c r="J184" s="1" t="s">
        <v>548</v>
      </c>
    </row>
    <row r="185" customFormat="false" ht="12" hidden="false" customHeight="true" outlineLevel="0" collapsed="false">
      <c r="B185" s="1" t="s">
        <v>545</v>
      </c>
      <c r="C185" s="1" t="s">
        <v>546</v>
      </c>
      <c r="D185" s="1" t="s">
        <v>496</v>
      </c>
      <c r="E185" s="1" t="s">
        <v>549</v>
      </c>
      <c r="F185" s="1" t="s">
        <v>463</v>
      </c>
      <c r="G185" s="1" t="s">
        <v>485</v>
      </c>
      <c r="H185" s="1" t="n">
        <v>151</v>
      </c>
      <c r="I185" s="1" t="str">
        <f aca="false">B185&amp;"|"&amp;F185&amp;"|"&amp;G185</f>
        <v>Shell Hotels: Full Service Buildings|C|Excellent</v>
      </c>
      <c r="J185" s="1" t="s">
        <v>550</v>
      </c>
    </row>
    <row r="186" customFormat="false" ht="12" hidden="false" customHeight="true" outlineLevel="0" collapsed="false">
      <c r="B186" s="1" t="s">
        <v>545</v>
      </c>
      <c r="C186" s="1" t="s">
        <v>546</v>
      </c>
      <c r="D186" s="1" t="s">
        <v>496</v>
      </c>
      <c r="E186" s="1" t="s">
        <v>549</v>
      </c>
      <c r="F186" s="1" t="s">
        <v>463</v>
      </c>
      <c r="G186" s="1" t="s">
        <v>483</v>
      </c>
      <c r="H186" s="1" t="n">
        <v>126</v>
      </c>
      <c r="I186" s="1" t="str">
        <f aca="false">B186&amp;"|"&amp;F186&amp;"|"&amp;G186</f>
        <v>Shell Hotels: Full Service Buildings|C|Good</v>
      </c>
      <c r="J186" s="1" t="s">
        <v>550</v>
      </c>
    </row>
    <row r="187" customFormat="false" ht="12" hidden="false" customHeight="true" outlineLevel="0" collapsed="false">
      <c r="B187" s="1" t="s">
        <v>545</v>
      </c>
      <c r="C187" s="1" t="s">
        <v>546</v>
      </c>
      <c r="D187" s="1" t="s">
        <v>496</v>
      </c>
      <c r="E187" s="1" t="s">
        <v>549</v>
      </c>
      <c r="F187" s="1" t="s">
        <v>463</v>
      </c>
      <c r="G187" s="1" t="s">
        <v>279</v>
      </c>
      <c r="H187" s="1" t="n">
        <v>106</v>
      </c>
      <c r="I187" s="1" t="str">
        <f aca="false">B187&amp;"|"&amp;F187&amp;"|"&amp;G187</f>
        <v>Shell Hotels: Full Service Buildings|C|Average</v>
      </c>
      <c r="J187" s="1" t="s">
        <v>550</v>
      </c>
    </row>
    <row r="188" customFormat="false" ht="12" hidden="false" customHeight="true" outlineLevel="0" collapsed="false">
      <c r="B188" s="1" t="s">
        <v>545</v>
      </c>
      <c r="C188" s="1" t="s">
        <v>546</v>
      </c>
      <c r="D188" s="1" t="s">
        <v>496</v>
      </c>
      <c r="E188" s="1" t="s">
        <v>549</v>
      </c>
      <c r="F188" s="1" t="s">
        <v>463</v>
      </c>
      <c r="G188" s="1" t="s">
        <v>480</v>
      </c>
      <c r="H188" s="1" t="n">
        <v>89</v>
      </c>
      <c r="I188" s="1" t="str">
        <f aca="false">B188&amp;"|"&amp;F188&amp;"|"&amp;G188</f>
        <v>Shell Hotels: Full Service Buildings|C|Low Cost</v>
      </c>
      <c r="J188" s="1" t="s">
        <v>550</v>
      </c>
    </row>
    <row r="189" customFormat="false" ht="12" hidden="false" customHeight="true" outlineLevel="0" collapsed="false">
      <c r="B189" s="1" t="s">
        <v>545</v>
      </c>
      <c r="C189" s="1" t="s">
        <v>546</v>
      </c>
      <c r="D189" s="1" t="s">
        <v>496</v>
      </c>
      <c r="E189" s="1" t="s">
        <v>549</v>
      </c>
      <c r="F189" s="1" t="s">
        <v>468</v>
      </c>
      <c r="G189" s="1" t="s">
        <v>485</v>
      </c>
      <c r="H189" s="1" t="n">
        <v>139</v>
      </c>
      <c r="I189" s="1" t="str">
        <f aca="false">B189&amp;"|"&amp;F189&amp;"|"&amp;G189</f>
        <v>Shell Hotels: Full Service Buildings|D|Excellent</v>
      </c>
      <c r="J189" s="1" t="s">
        <v>550</v>
      </c>
    </row>
    <row r="190" customFormat="false" ht="12" hidden="false" customHeight="true" outlineLevel="0" collapsed="false">
      <c r="B190" s="1" t="s">
        <v>545</v>
      </c>
      <c r="C190" s="1" t="s">
        <v>546</v>
      </c>
      <c r="D190" s="1" t="s">
        <v>496</v>
      </c>
      <c r="E190" s="1" t="s">
        <v>549</v>
      </c>
      <c r="F190" s="1" t="s">
        <v>468</v>
      </c>
      <c r="G190" s="1" t="s">
        <v>483</v>
      </c>
      <c r="H190" s="1" t="n">
        <v>115</v>
      </c>
      <c r="I190" s="1" t="str">
        <f aca="false">B190&amp;"|"&amp;F190&amp;"|"&amp;G190</f>
        <v>Shell Hotels: Full Service Buildings|D|Good</v>
      </c>
      <c r="J190" s="1" t="s">
        <v>550</v>
      </c>
    </row>
    <row r="191" customFormat="false" ht="12" hidden="false" customHeight="true" outlineLevel="0" collapsed="false">
      <c r="B191" s="1" t="s">
        <v>545</v>
      </c>
      <c r="C191" s="1" t="s">
        <v>546</v>
      </c>
      <c r="D191" s="1" t="s">
        <v>496</v>
      </c>
      <c r="E191" s="1" t="s">
        <v>549</v>
      </c>
      <c r="F191" s="1" t="s">
        <v>468</v>
      </c>
      <c r="G191" s="1" t="s">
        <v>279</v>
      </c>
      <c r="H191" s="1" t="n">
        <v>95.5</v>
      </c>
      <c r="I191" s="1" t="str">
        <f aca="false">B191&amp;"|"&amp;F191&amp;"|"&amp;G191</f>
        <v>Shell Hotels: Full Service Buildings|D|Average</v>
      </c>
      <c r="J191" s="1" t="s">
        <v>550</v>
      </c>
    </row>
    <row r="192" customFormat="false" ht="12" hidden="false" customHeight="true" outlineLevel="0" collapsed="false">
      <c r="B192" s="1" t="s">
        <v>545</v>
      </c>
      <c r="C192" s="1" t="s">
        <v>546</v>
      </c>
      <c r="D192" s="1" t="s">
        <v>496</v>
      </c>
      <c r="E192" s="1" t="s">
        <v>549</v>
      </c>
      <c r="F192" s="1" t="s">
        <v>468</v>
      </c>
      <c r="G192" s="1" t="s">
        <v>480</v>
      </c>
      <c r="H192" s="1" t="n">
        <v>79.5</v>
      </c>
      <c r="I192" s="1" t="str">
        <f aca="false">B192&amp;"|"&amp;F192&amp;"|"&amp;G192</f>
        <v>Shell Hotels: Full Service Buildings|D|Low Cost</v>
      </c>
      <c r="J192" s="1" t="s">
        <v>550</v>
      </c>
    </row>
    <row r="193" customFormat="false" ht="12" hidden="false" customHeight="true" outlineLevel="0" collapsed="false">
      <c r="B193" s="1" t="s">
        <v>551</v>
      </c>
      <c r="C193" s="1" t="s">
        <v>552</v>
      </c>
      <c r="D193" s="1" t="s">
        <v>496</v>
      </c>
      <c r="E193" s="1" t="s">
        <v>553</v>
      </c>
      <c r="F193" s="1" t="s">
        <v>463</v>
      </c>
      <c r="G193" s="1" t="s">
        <v>483</v>
      </c>
      <c r="H193" s="1" t="n">
        <v>163</v>
      </c>
      <c r="I193" s="1" t="str">
        <f aca="false">B193&amp;"|"&amp;F193&amp;"|"&amp;G193</f>
        <v>Rooming Houses|C|Good</v>
      </c>
      <c r="J193" s="1" t="s">
        <v>554</v>
      </c>
    </row>
    <row r="194" customFormat="false" ht="12" hidden="false" customHeight="true" outlineLevel="0" collapsed="false">
      <c r="B194" s="1" t="s">
        <v>551</v>
      </c>
      <c r="C194" s="1" t="s">
        <v>552</v>
      </c>
      <c r="D194" s="1" t="s">
        <v>496</v>
      </c>
      <c r="E194" s="1" t="s">
        <v>553</v>
      </c>
      <c r="F194" s="1" t="s">
        <v>463</v>
      </c>
      <c r="G194" s="1" t="s">
        <v>279</v>
      </c>
      <c r="H194" s="1" t="n">
        <v>125</v>
      </c>
      <c r="I194" s="1" t="str">
        <f aca="false">B194&amp;"|"&amp;F194&amp;"|"&amp;G194</f>
        <v>Rooming Houses|C|Average</v>
      </c>
      <c r="J194" s="1" t="s">
        <v>554</v>
      </c>
    </row>
    <row r="195" customFormat="false" ht="12" hidden="false" customHeight="true" outlineLevel="0" collapsed="false">
      <c r="B195" s="1" t="s">
        <v>551</v>
      </c>
      <c r="C195" s="1" t="s">
        <v>552</v>
      </c>
      <c r="D195" s="1" t="s">
        <v>496</v>
      </c>
      <c r="E195" s="1" t="s">
        <v>553</v>
      </c>
      <c r="F195" s="1" t="s">
        <v>463</v>
      </c>
      <c r="G195" s="1" t="s">
        <v>555</v>
      </c>
      <c r="H195" s="1" t="n">
        <v>105</v>
      </c>
      <c r="I195" s="1" t="str">
        <f aca="false">B195&amp;"|"&amp;F195&amp;"|"&amp;G195</f>
        <v>Rooming Houses|C|Fair</v>
      </c>
      <c r="J195" s="1" t="s">
        <v>554</v>
      </c>
    </row>
    <row r="196" customFormat="false" ht="12" hidden="false" customHeight="true" outlineLevel="0" collapsed="false">
      <c r="B196" s="1" t="s">
        <v>551</v>
      </c>
      <c r="C196" s="1" t="s">
        <v>552</v>
      </c>
      <c r="D196" s="1" t="s">
        <v>496</v>
      </c>
      <c r="E196" s="1" t="s">
        <v>553</v>
      </c>
      <c r="F196" s="1" t="s">
        <v>468</v>
      </c>
      <c r="G196" s="1" t="s">
        <v>483</v>
      </c>
      <c r="H196" s="1" t="n">
        <v>154</v>
      </c>
      <c r="I196" s="1" t="str">
        <f aca="false">B196&amp;"|"&amp;F196&amp;"|"&amp;G196</f>
        <v>Rooming Houses|D|Good</v>
      </c>
      <c r="J196" s="1" t="s">
        <v>554</v>
      </c>
    </row>
    <row r="197" customFormat="false" ht="12" hidden="false" customHeight="true" outlineLevel="0" collapsed="false">
      <c r="B197" s="1" t="s">
        <v>551</v>
      </c>
      <c r="C197" s="1" t="s">
        <v>552</v>
      </c>
      <c r="D197" s="1" t="s">
        <v>496</v>
      </c>
      <c r="E197" s="1" t="s">
        <v>553</v>
      </c>
      <c r="F197" s="1" t="s">
        <v>468</v>
      </c>
      <c r="G197" s="1" t="s">
        <v>279</v>
      </c>
      <c r="H197" s="1" t="n">
        <v>117</v>
      </c>
      <c r="I197" s="1" t="str">
        <f aca="false">B197&amp;"|"&amp;F197&amp;"|"&amp;G197</f>
        <v>Rooming Houses|D|Average</v>
      </c>
      <c r="J197" s="1" t="s">
        <v>554</v>
      </c>
    </row>
    <row r="198" customFormat="false" ht="12" hidden="false" customHeight="true" outlineLevel="0" collapsed="false">
      <c r="B198" s="1" t="s">
        <v>551</v>
      </c>
      <c r="C198" s="1" t="s">
        <v>552</v>
      </c>
      <c r="D198" s="1" t="s">
        <v>496</v>
      </c>
      <c r="E198" s="1" t="s">
        <v>553</v>
      </c>
      <c r="F198" s="1" t="s">
        <v>468</v>
      </c>
      <c r="G198" s="1" t="s">
        <v>555</v>
      </c>
      <c r="H198" s="1" t="n">
        <v>98</v>
      </c>
      <c r="I198" s="1" t="str">
        <f aca="false">B198&amp;"|"&amp;F198&amp;"|"&amp;G198</f>
        <v>Rooming Houses|D|Fair</v>
      </c>
      <c r="J198" s="1" t="s">
        <v>554</v>
      </c>
    </row>
    <row r="199" customFormat="false" ht="12" hidden="false" customHeight="true" outlineLevel="0" collapsed="false">
      <c r="B199" s="1" t="s">
        <v>551</v>
      </c>
      <c r="C199" s="1" t="s">
        <v>552</v>
      </c>
      <c r="D199" s="1" t="s">
        <v>496</v>
      </c>
      <c r="E199" s="1" t="s">
        <v>553</v>
      </c>
      <c r="F199" s="1" t="s">
        <v>468</v>
      </c>
      <c r="G199" s="1" t="s">
        <v>480</v>
      </c>
      <c r="H199" s="1" t="n">
        <v>86</v>
      </c>
      <c r="I199" s="1" t="str">
        <f aca="false">B199&amp;"|"&amp;F199&amp;"|"&amp;G199</f>
        <v>Rooming Houses|D|Low Cost</v>
      </c>
      <c r="J199" s="1" t="s">
        <v>554</v>
      </c>
    </row>
    <row r="200" customFormat="false" ht="12" hidden="false" customHeight="true" outlineLevel="0" collapsed="false">
      <c r="B200" s="1" t="s">
        <v>556</v>
      </c>
      <c r="C200" s="1" t="s">
        <v>557</v>
      </c>
      <c r="D200" s="1" t="s">
        <v>496</v>
      </c>
      <c r="E200" s="1" t="s">
        <v>553</v>
      </c>
      <c r="F200" s="1" t="s">
        <v>463</v>
      </c>
      <c r="G200" s="1" t="s">
        <v>485</v>
      </c>
      <c r="H200" s="1" t="n">
        <v>265</v>
      </c>
      <c r="I200" s="1" t="str">
        <f aca="false">B200&amp;"|"&amp;F200&amp;"|"&amp;G200</f>
        <v>Rectories|C|Excellent</v>
      </c>
      <c r="J200" s="1" t="s">
        <v>554</v>
      </c>
    </row>
    <row r="201" customFormat="false" ht="12" hidden="false" customHeight="true" outlineLevel="0" collapsed="false">
      <c r="B201" s="1" t="s">
        <v>556</v>
      </c>
      <c r="C201" s="1" t="s">
        <v>557</v>
      </c>
      <c r="D201" s="1" t="s">
        <v>496</v>
      </c>
      <c r="E201" s="1" t="s">
        <v>553</v>
      </c>
      <c r="F201" s="1" t="s">
        <v>463</v>
      </c>
      <c r="G201" s="1" t="s">
        <v>483</v>
      </c>
      <c r="H201" s="1" t="n">
        <v>200</v>
      </c>
      <c r="I201" s="1" t="str">
        <f aca="false">B201&amp;"|"&amp;F201&amp;"|"&amp;G201</f>
        <v>Rectories|C|Good</v>
      </c>
      <c r="J201" s="1" t="s">
        <v>554</v>
      </c>
    </row>
    <row r="202" customFormat="false" ht="12" hidden="false" customHeight="true" outlineLevel="0" collapsed="false">
      <c r="B202" s="1" t="s">
        <v>556</v>
      </c>
      <c r="C202" s="1" t="s">
        <v>557</v>
      </c>
      <c r="D202" s="1" t="s">
        <v>496</v>
      </c>
      <c r="E202" s="1" t="s">
        <v>553</v>
      </c>
      <c r="F202" s="1" t="s">
        <v>463</v>
      </c>
      <c r="G202" s="1" t="s">
        <v>279</v>
      </c>
      <c r="H202" s="1" t="n">
        <v>152</v>
      </c>
      <c r="I202" s="1" t="str">
        <f aca="false">B202&amp;"|"&amp;F202&amp;"|"&amp;G202</f>
        <v>Rectories|C|Average</v>
      </c>
      <c r="J202" s="1" t="s">
        <v>554</v>
      </c>
    </row>
    <row r="203" customFormat="false" ht="12" hidden="false" customHeight="true" outlineLevel="0" collapsed="false">
      <c r="B203" s="1" t="s">
        <v>556</v>
      </c>
      <c r="C203" s="1" t="s">
        <v>557</v>
      </c>
      <c r="D203" s="1" t="s">
        <v>496</v>
      </c>
      <c r="E203" s="1" t="s">
        <v>553</v>
      </c>
      <c r="F203" s="1" t="s">
        <v>463</v>
      </c>
      <c r="G203" s="1" t="s">
        <v>480</v>
      </c>
      <c r="H203" s="1" t="n">
        <v>112</v>
      </c>
      <c r="I203" s="1" t="str">
        <f aca="false">B203&amp;"|"&amp;F203&amp;"|"&amp;G203</f>
        <v>Rectories|C|Low Cost</v>
      </c>
      <c r="J203" s="1" t="s">
        <v>554</v>
      </c>
    </row>
    <row r="204" customFormat="false" ht="12" hidden="false" customHeight="true" outlineLevel="0" collapsed="false">
      <c r="B204" s="1" t="s">
        <v>556</v>
      </c>
      <c r="C204" s="1" t="s">
        <v>557</v>
      </c>
      <c r="D204" s="1" t="s">
        <v>496</v>
      </c>
      <c r="E204" s="1" t="s">
        <v>553</v>
      </c>
      <c r="F204" s="1" t="s">
        <v>468</v>
      </c>
      <c r="G204" s="1" t="s">
        <v>485</v>
      </c>
      <c r="H204" s="1" t="n">
        <v>258</v>
      </c>
      <c r="I204" s="1" t="str">
        <f aca="false">B204&amp;"|"&amp;F204&amp;"|"&amp;G204</f>
        <v>Rectories|D|Excellent</v>
      </c>
      <c r="J204" s="1" t="s">
        <v>554</v>
      </c>
    </row>
    <row r="205" customFormat="false" ht="12" hidden="false" customHeight="true" outlineLevel="0" collapsed="false">
      <c r="B205" s="1" t="s">
        <v>556</v>
      </c>
      <c r="C205" s="1" t="s">
        <v>557</v>
      </c>
      <c r="D205" s="1" t="s">
        <v>496</v>
      </c>
      <c r="E205" s="1" t="s">
        <v>553</v>
      </c>
      <c r="F205" s="1" t="s">
        <v>468</v>
      </c>
      <c r="G205" s="1" t="s">
        <v>483</v>
      </c>
      <c r="H205" s="1" t="n">
        <v>192</v>
      </c>
      <c r="I205" s="1" t="str">
        <f aca="false">B205&amp;"|"&amp;F205&amp;"|"&amp;G205</f>
        <v>Rectories|D|Good</v>
      </c>
      <c r="J205" s="1" t="s">
        <v>554</v>
      </c>
    </row>
    <row r="206" customFormat="false" ht="12" hidden="false" customHeight="true" outlineLevel="0" collapsed="false">
      <c r="B206" s="1" t="s">
        <v>556</v>
      </c>
      <c r="C206" s="1" t="s">
        <v>557</v>
      </c>
      <c r="D206" s="1" t="s">
        <v>496</v>
      </c>
      <c r="E206" s="1" t="s">
        <v>553</v>
      </c>
      <c r="F206" s="1" t="s">
        <v>468</v>
      </c>
      <c r="G206" s="1" t="s">
        <v>279</v>
      </c>
      <c r="H206" s="1" t="n">
        <v>145</v>
      </c>
      <c r="I206" s="1" t="str">
        <f aca="false">B206&amp;"|"&amp;F206&amp;"|"&amp;G206</f>
        <v>Rectories|D|Average</v>
      </c>
      <c r="J206" s="1" t="s">
        <v>554</v>
      </c>
    </row>
    <row r="207" customFormat="false" ht="12" hidden="false" customHeight="true" outlineLevel="0" collapsed="false">
      <c r="B207" s="1" t="s">
        <v>556</v>
      </c>
      <c r="C207" s="1" t="s">
        <v>557</v>
      </c>
      <c r="D207" s="1" t="s">
        <v>496</v>
      </c>
      <c r="E207" s="1" t="s">
        <v>553</v>
      </c>
      <c r="F207" s="1" t="s">
        <v>468</v>
      </c>
      <c r="G207" s="1" t="s">
        <v>480</v>
      </c>
      <c r="H207" s="1" t="n">
        <v>106</v>
      </c>
      <c r="I207" s="1" t="str">
        <f aca="false">B207&amp;"|"&amp;F207&amp;"|"&amp;G207</f>
        <v>Rectories|D|Low Cost</v>
      </c>
      <c r="J207" s="1" t="s">
        <v>554</v>
      </c>
    </row>
    <row r="208" customFormat="false" ht="12" hidden="false" customHeight="true" outlineLevel="0" collapsed="false">
      <c r="B208" s="1" t="s">
        <v>558</v>
      </c>
      <c r="C208" s="1" t="s">
        <v>559</v>
      </c>
      <c r="D208" s="1" t="s">
        <v>496</v>
      </c>
      <c r="E208" s="1" t="s">
        <v>553</v>
      </c>
      <c r="F208" s="1" t="s">
        <v>463</v>
      </c>
      <c r="G208" s="1" t="s">
        <v>485</v>
      </c>
      <c r="H208" s="1" t="n">
        <v>256</v>
      </c>
      <c r="I208" s="1" t="str">
        <f aca="false">B208&amp;"|"&amp;F208&amp;"|"&amp;G208</f>
        <v>Fraternity Housing|C|Excellent</v>
      </c>
      <c r="J208" s="1" t="s">
        <v>554</v>
      </c>
    </row>
    <row r="209" customFormat="false" ht="12" hidden="false" customHeight="true" outlineLevel="0" collapsed="false">
      <c r="B209" s="1" t="s">
        <v>558</v>
      </c>
      <c r="C209" s="1" t="s">
        <v>559</v>
      </c>
      <c r="D209" s="1" t="s">
        <v>496</v>
      </c>
      <c r="E209" s="1" t="s">
        <v>553</v>
      </c>
      <c r="F209" s="1" t="s">
        <v>463</v>
      </c>
      <c r="G209" s="1" t="s">
        <v>483</v>
      </c>
      <c r="H209" s="1" t="n">
        <v>202</v>
      </c>
      <c r="I209" s="1" t="str">
        <f aca="false">B209&amp;"|"&amp;F209&amp;"|"&amp;G209</f>
        <v>Fraternity Housing|C|Good</v>
      </c>
      <c r="J209" s="1" t="s">
        <v>554</v>
      </c>
    </row>
    <row r="210" customFormat="false" ht="12" hidden="false" customHeight="true" outlineLevel="0" collapsed="false">
      <c r="B210" s="1" t="s">
        <v>558</v>
      </c>
      <c r="C210" s="1" t="s">
        <v>559</v>
      </c>
      <c r="D210" s="1" t="s">
        <v>496</v>
      </c>
      <c r="E210" s="1" t="s">
        <v>553</v>
      </c>
      <c r="F210" s="1" t="s">
        <v>463</v>
      </c>
      <c r="G210" s="1" t="s">
        <v>279</v>
      </c>
      <c r="H210" s="1" t="n">
        <v>153</v>
      </c>
      <c r="I210" s="1" t="str">
        <f aca="false">B210&amp;"|"&amp;F210&amp;"|"&amp;G210</f>
        <v>Fraternity Housing|C|Average</v>
      </c>
      <c r="J210" s="1" t="s">
        <v>554</v>
      </c>
    </row>
    <row r="211" customFormat="false" ht="12" hidden="false" customHeight="true" outlineLevel="0" collapsed="false">
      <c r="B211" s="1" t="s">
        <v>558</v>
      </c>
      <c r="C211" s="1" t="s">
        <v>559</v>
      </c>
      <c r="D211" s="1" t="s">
        <v>496</v>
      </c>
      <c r="E211" s="1" t="s">
        <v>553</v>
      </c>
      <c r="F211" s="1" t="s">
        <v>468</v>
      </c>
      <c r="G211" s="1" t="s">
        <v>485</v>
      </c>
      <c r="H211" s="1" t="n">
        <v>249</v>
      </c>
      <c r="I211" s="1" t="str">
        <f aca="false">B211&amp;"|"&amp;F211&amp;"|"&amp;G211</f>
        <v>Fraternity Housing|D|Excellent</v>
      </c>
      <c r="J211" s="1" t="s">
        <v>554</v>
      </c>
    </row>
    <row r="212" customFormat="false" ht="12" hidden="false" customHeight="true" outlineLevel="0" collapsed="false">
      <c r="B212" s="1" t="s">
        <v>558</v>
      </c>
      <c r="C212" s="1" t="s">
        <v>559</v>
      </c>
      <c r="D212" s="1" t="s">
        <v>496</v>
      </c>
      <c r="E212" s="1" t="s">
        <v>553</v>
      </c>
      <c r="F212" s="1" t="s">
        <v>468</v>
      </c>
      <c r="G212" s="1" t="s">
        <v>483</v>
      </c>
      <c r="H212" s="1" t="n">
        <v>194</v>
      </c>
      <c r="I212" s="1" t="str">
        <f aca="false">B212&amp;"|"&amp;F212&amp;"|"&amp;G212</f>
        <v>Fraternity Housing|D|Good</v>
      </c>
      <c r="J212" s="1" t="s">
        <v>554</v>
      </c>
    </row>
    <row r="213" customFormat="false" ht="12" hidden="false" customHeight="true" outlineLevel="0" collapsed="false">
      <c r="B213" s="1" t="s">
        <v>558</v>
      </c>
      <c r="C213" s="1" t="s">
        <v>559</v>
      </c>
      <c r="D213" s="1" t="s">
        <v>496</v>
      </c>
      <c r="E213" s="1" t="s">
        <v>553</v>
      </c>
      <c r="F213" s="1" t="s">
        <v>468</v>
      </c>
      <c r="G213" s="1" t="s">
        <v>279</v>
      </c>
      <c r="H213" s="1" t="n">
        <v>147</v>
      </c>
      <c r="I213" s="1" t="str">
        <f aca="false">B213&amp;"|"&amp;F213&amp;"|"&amp;G213</f>
        <v>Fraternity Housing|D|Average</v>
      </c>
      <c r="J213" s="1" t="s">
        <v>554</v>
      </c>
    </row>
    <row r="214" customFormat="false" ht="12" hidden="false" customHeight="true" outlineLevel="0" collapsed="false">
      <c r="B214" s="1" t="s">
        <v>560</v>
      </c>
      <c r="C214" s="1" t="s">
        <v>561</v>
      </c>
      <c r="D214" s="1" t="s">
        <v>496</v>
      </c>
      <c r="E214" s="1" t="s">
        <v>562</v>
      </c>
      <c r="F214" s="1" t="s">
        <v>463</v>
      </c>
      <c r="G214" s="1" t="s">
        <v>485</v>
      </c>
      <c r="H214" s="1" t="n">
        <v>301</v>
      </c>
      <c r="I214" s="1" t="str">
        <f aca="false">B214&amp;"|"&amp;F214&amp;"|"&amp;G214</f>
        <v>Group Care Homes|C|Excellent</v>
      </c>
      <c r="J214" s="1" t="s">
        <v>563</v>
      </c>
    </row>
    <row r="215" customFormat="false" ht="12" hidden="false" customHeight="true" outlineLevel="0" collapsed="false">
      <c r="B215" s="1" t="s">
        <v>560</v>
      </c>
      <c r="C215" s="1" t="s">
        <v>561</v>
      </c>
      <c r="D215" s="1" t="s">
        <v>496</v>
      </c>
      <c r="E215" s="1" t="s">
        <v>562</v>
      </c>
      <c r="F215" s="1" t="s">
        <v>463</v>
      </c>
      <c r="G215" s="1" t="s">
        <v>503</v>
      </c>
      <c r="H215" s="1" t="n">
        <v>241</v>
      </c>
      <c r="I215" s="1" t="str">
        <f aca="false">B215&amp;"|"&amp;F215&amp;"|"&amp;G215</f>
        <v>Group Care Homes|C|Very Good</v>
      </c>
      <c r="J215" s="1" t="s">
        <v>563</v>
      </c>
    </row>
    <row r="216" customFormat="false" ht="12" hidden="false" customHeight="true" outlineLevel="0" collapsed="false">
      <c r="B216" s="1" t="s">
        <v>560</v>
      </c>
      <c r="C216" s="1" t="s">
        <v>561</v>
      </c>
      <c r="D216" s="1" t="s">
        <v>496</v>
      </c>
      <c r="E216" s="1" t="s">
        <v>562</v>
      </c>
      <c r="F216" s="1" t="s">
        <v>463</v>
      </c>
      <c r="G216" s="1" t="s">
        <v>483</v>
      </c>
      <c r="H216" s="1" t="n">
        <v>191</v>
      </c>
      <c r="I216" s="1" t="str">
        <f aca="false">B216&amp;"|"&amp;F216&amp;"|"&amp;G216</f>
        <v>Group Care Homes|C|Good</v>
      </c>
      <c r="J216" s="1" t="s">
        <v>563</v>
      </c>
    </row>
    <row r="217" customFormat="false" ht="12" hidden="false" customHeight="true" outlineLevel="0" collapsed="false">
      <c r="B217" s="1" t="s">
        <v>560</v>
      </c>
      <c r="C217" s="1" t="s">
        <v>561</v>
      </c>
      <c r="D217" s="1" t="s">
        <v>496</v>
      </c>
      <c r="E217" s="1" t="s">
        <v>562</v>
      </c>
      <c r="F217" s="1" t="s">
        <v>463</v>
      </c>
      <c r="G217" s="1" t="s">
        <v>279</v>
      </c>
      <c r="H217" s="1" t="n">
        <v>151</v>
      </c>
      <c r="I217" s="1" t="str">
        <f aca="false">B217&amp;"|"&amp;F217&amp;"|"&amp;G217</f>
        <v>Group Care Homes|C|Average</v>
      </c>
      <c r="J217" s="1" t="s">
        <v>563</v>
      </c>
    </row>
    <row r="218" customFormat="false" ht="12" hidden="false" customHeight="true" outlineLevel="0" collapsed="false">
      <c r="B218" s="1" t="s">
        <v>560</v>
      </c>
      <c r="C218" s="1" t="s">
        <v>561</v>
      </c>
      <c r="D218" s="1" t="s">
        <v>496</v>
      </c>
      <c r="E218" s="1" t="s">
        <v>562</v>
      </c>
      <c r="F218" s="1" t="s">
        <v>463</v>
      </c>
      <c r="G218" s="1" t="s">
        <v>480</v>
      </c>
      <c r="H218" s="1" t="n">
        <v>117</v>
      </c>
      <c r="I218" s="1" t="str">
        <f aca="false">B218&amp;"|"&amp;F218&amp;"|"&amp;G218</f>
        <v>Group Care Homes|C|Low Cost</v>
      </c>
      <c r="J218" s="1" t="s">
        <v>563</v>
      </c>
    </row>
    <row r="219" customFormat="false" ht="12" hidden="false" customHeight="true" outlineLevel="0" collapsed="false">
      <c r="B219" s="1" t="s">
        <v>560</v>
      </c>
      <c r="C219" s="1" t="s">
        <v>561</v>
      </c>
      <c r="D219" s="1" t="s">
        <v>496</v>
      </c>
      <c r="E219" s="1" t="s">
        <v>562</v>
      </c>
      <c r="F219" s="1" t="s">
        <v>468</v>
      </c>
      <c r="G219" s="1" t="s">
        <v>485</v>
      </c>
      <c r="H219" s="1" t="n">
        <v>291</v>
      </c>
      <c r="I219" s="1" t="str">
        <f aca="false">B219&amp;"|"&amp;F219&amp;"|"&amp;G219</f>
        <v>Group Care Homes|D|Excellent</v>
      </c>
      <c r="J219" s="1" t="s">
        <v>563</v>
      </c>
    </row>
    <row r="220" customFormat="false" ht="12" hidden="false" customHeight="true" outlineLevel="0" collapsed="false">
      <c r="B220" s="1" t="s">
        <v>560</v>
      </c>
      <c r="C220" s="1" t="s">
        <v>561</v>
      </c>
      <c r="D220" s="1" t="s">
        <v>496</v>
      </c>
      <c r="E220" s="1" t="s">
        <v>562</v>
      </c>
      <c r="F220" s="1" t="s">
        <v>468</v>
      </c>
      <c r="G220" s="1" t="s">
        <v>503</v>
      </c>
      <c r="H220" s="1" t="n">
        <v>232</v>
      </c>
      <c r="I220" s="1" t="str">
        <f aca="false">B220&amp;"|"&amp;F220&amp;"|"&amp;G220</f>
        <v>Group Care Homes|D|Very Good</v>
      </c>
      <c r="J220" s="1" t="s">
        <v>563</v>
      </c>
    </row>
    <row r="221" customFormat="false" ht="12" hidden="false" customHeight="true" outlineLevel="0" collapsed="false">
      <c r="B221" s="1" t="s">
        <v>560</v>
      </c>
      <c r="C221" s="1" t="s">
        <v>561</v>
      </c>
      <c r="D221" s="1" t="s">
        <v>496</v>
      </c>
      <c r="E221" s="1" t="s">
        <v>562</v>
      </c>
      <c r="F221" s="1" t="s">
        <v>468</v>
      </c>
      <c r="G221" s="1" t="s">
        <v>483</v>
      </c>
      <c r="H221" s="1" t="n">
        <v>182</v>
      </c>
      <c r="I221" s="1" t="str">
        <f aca="false">B221&amp;"|"&amp;F221&amp;"|"&amp;G221</f>
        <v>Group Care Homes|D|Good</v>
      </c>
      <c r="J221" s="1" t="s">
        <v>563</v>
      </c>
    </row>
    <row r="222" customFormat="false" ht="12" hidden="false" customHeight="true" outlineLevel="0" collapsed="false">
      <c r="B222" s="1" t="s">
        <v>560</v>
      </c>
      <c r="C222" s="1" t="s">
        <v>561</v>
      </c>
      <c r="D222" s="1" t="s">
        <v>496</v>
      </c>
      <c r="E222" s="1" t="s">
        <v>562</v>
      </c>
      <c r="F222" s="1" t="s">
        <v>468</v>
      </c>
      <c r="G222" s="1" t="s">
        <v>279</v>
      </c>
      <c r="H222" s="1" t="n">
        <v>143</v>
      </c>
      <c r="I222" s="1" t="str">
        <f aca="false">B222&amp;"|"&amp;F222&amp;"|"&amp;G222</f>
        <v>Group Care Homes|D|Average</v>
      </c>
      <c r="J222" s="1" t="s">
        <v>563</v>
      </c>
    </row>
    <row r="223" customFormat="false" ht="12" hidden="false" customHeight="true" outlineLevel="0" collapsed="false">
      <c r="B223" s="1" t="s">
        <v>560</v>
      </c>
      <c r="C223" s="1" t="s">
        <v>561</v>
      </c>
      <c r="D223" s="1" t="s">
        <v>496</v>
      </c>
      <c r="E223" s="1" t="s">
        <v>562</v>
      </c>
      <c r="F223" s="1" t="s">
        <v>468</v>
      </c>
      <c r="G223" s="1" t="s">
        <v>480</v>
      </c>
      <c r="H223" s="1" t="n">
        <v>110</v>
      </c>
      <c r="I223" s="1" t="str">
        <f aca="false">B223&amp;"|"&amp;F223&amp;"|"&amp;G223</f>
        <v>Group Care Homes|D|Low Cost</v>
      </c>
      <c r="J223" s="1" t="s">
        <v>563</v>
      </c>
    </row>
    <row r="224" customFormat="false" ht="12" hidden="false" customHeight="true" outlineLevel="0" collapsed="false">
      <c r="B224" s="1" t="s">
        <v>564</v>
      </c>
      <c r="C224" s="1" t="s">
        <v>565</v>
      </c>
      <c r="D224" s="1" t="s">
        <v>496</v>
      </c>
      <c r="E224" s="1" t="s">
        <v>562</v>
      </c>
      <c r="F224" s="1" t="s">
        <v>463</v>
      </c>
      <c r="G224" s="1" t="s">
        <v>483</v>
      </c>
      <c r="H224" s="1" t="n">
        <v>114</v>
      </c>
      <c r="I224" s="1" t="str">
        <f aca="false">B224&amp;"|"&amp;F224&amp;"|"&amp;G224</f>
        <v>Recreational (Pool) Enclosures|C|Good</v>
      </c>
      <c r="J224" s="1" t="s">
        <v>563</v>
      </c>
    </row>
    <row r="225" customFormat="false" ht="12" hidden="false" customHeight="true" outlineLevel="0" collapsed="false">
      <c r="B225" s="1" t="s">
        <v>564</v>
      </c>
      <c r="C225" s="1" t="s">
        <v>565</v>
      </c>
      <c r="D225" s="1" t="s">
        <v>496</v>
      </c>
      <c r="E225" s="1" t="s">
        <v>562</v>
      </c>
      <c r="F225" s="1" t="s">
        <v>463</v>
      </c>
      <c r="G225" s="1" t="s">
        <v>279</v>
      </c>
      <c r="H225" s="1" t="n">
        <v>76.5</v>
      </c>
      <c r="I225" s="1" t="str">
        <f aca="false">B225&amp;"|"&amp;F225&amp;"|"&amp;G225</f>
        <v>Recreational (Pool) Enclosures|C|Average</v>
      </c>
      <c r="J225" s="1" t="s">
        <v>563</v>
      </c>
    </row>
    <row r="226" customFormat="false" ht="12" hidden="false" customHeight="true" outlineLevel="0" collapsed="false">
      <c r="B226" s="1" t="s">
        <v>564</v>
      </c>
      <c r="C226" s="1" t="s">
        <v>565</v>
      </c>
      <c r="D226" s="1" t="s">
        <v>496</v>
      </c>
      <c r="E226" s="1" t="s">
        <v>562</v>
      </c>
      <c r="F226" s="1" t="s">
        <v>463</v>
      </c>
      <c r="G226" s="1" t="s">
        <v>480</v>
      </c>
      <c r="H226" s="1" t="n">
        <v>48.75</v>
      </c>
      <c r="I226" s="1" t="str">
        <f aca="false">B226&amp;"|"&amp;F226&amp;"|"&amp;G226</f>
        <v>Recreational (Pool) Enclosures|C|Low Cost</v>
      </c>
      <c r="J226" s="1" t="s">
        <v>563</v>
      </c>
    </row>
    <row r="227" customFormat="false" ht="12" hidden="false" customHeight="true" outlineLevel="0" collapsed="false">
      <c r="B227" s="1" t="s">
        <v>564</v>
      </c>
      <c r="C227" s="1" t="s">
        <v>565</v>
      </c>
      <c r="D227" s="1" t="s">
        <v>496</v>
      </c>
      <c r="E227" s="1" t="s">
        <v>562</v>
      </c>
      <c r="F227" s="1" t="s">
        <v>468</v>
      </c>
      <c r="G227" s="1" t="s">
        <v>483</v>
      </c>
      <c r="H227" s="1" t="n">
        <v>106</v>
      </c>
      <c r="I227" s="1" t="str">
        <f aca="false">B227&amp;"|"&amp;F227&amp;"|"&amp;G227</f>
        <v>Recreational (Pool) Enclosures|D|Good</v>
      </c>
      <c r="J227" s="1" t="s">
        <v>563</v>
      </c>
    </row>
    <row r="228" customFormat="false" ht="12" hidden="false" customHeight="true" outlineLevel="0" collapsed="false">
      <c r="B228" s="1" t="s">
        <v>564</v>
      </c>
      <c r="C228" s="1" t="s">
        <v>565</v>
      </c>
      <c r="D228" s="1" t="s">
        <v>496</v>
      </c>
      <c r="E228" s="1" t="s">
        <v>562</v>
      </c>
      <c r="F228" s="1" t="s">
        <v>468</v>
      </c>
      <c r="G228" s="1" t="s">
        <v>279</v>
      </c>
      <c r="H228" s="1" t="n">
        <v>69.5</v>
      </c>
      <c r="I228" s="1" t="str">
        <f aca="false">B228&amp;"|"&amp;F228&amp;"|"&amp;G228</f>
        <v>Recreational (Pool) Enclosures|D|Average</v>
      </c>
      <c r="J228" s="1" t="s">
        <v>563</v>
      </c>
    </row>
    <row r="229" customFormat="false" ht="12" hidden="false" customHeight="true" outlineLevel="0" collapsed="false">
      <c r="B229" s="1" t="s">
        <v>564</v>
      </c>
      <c r="C229" s="1" t="s">
        <v>565</v>
      </c>
      <c r="D229" s="1" t="s">
        <v>496</v>
      </c>
      <c r="E229" s="1" t="s">
        <v>562</v>
      </c>
      <c r="F229" s="1" t="s">
        <v>468</v>
      </c>
      <c r="G229" s="1" t="s">
        <v>480</v>
      </c>
      <c r="H229" s="1" t="n">
        <v>43.25</v>
      </c>
      <c r="I229" s="1" t="str">
        <f aca="false">B229&amp;"|"&amp;F229&amp;"|"&amp;G229</f>
        <v>Recreational (Pool) Enclosures|D|Low Cost</v>
      </c>
      <c r="J229" s="1" t="s">
        <v>563</v>
      </c>
    </row>
    <row r="230" customFormat="false" ht="12" hidden="false" customHeight="true" outlineLevel="0" collapsed="false">
      <c r="B230" s="1" t="s">
        <v>564</v>
      </c>
      <c r="C230" s="1" t="s">
        <v>565</v>
      </c>
      <c r="D230" s="1" t="s">
        <v>496</v>
      </c>
      <c r="E230" s="1" t="s">
        <v>562</v>
      </c>
      <c r="F230" s="1" t="s">
        <v>566</v>
      </c>
      <c r="G230" s="1" t="s">
        <v>480</v>
      </c>
      <c r="H230" s="1" t="n">
        <v>37.75</v>
      </c>
      <c r="I230" s="1" t="str">
        <f aca="false">B230&amp;"|"&amp;F230&amp;"|"&amp;G230</f>
        <v>Recreational (Pool) Enclosures|DPOLE|Low Cost</v>
      </c>
      <c r="J230" s="1" t="s">
        <v>563</v>
      </c>
    </row>
    <row r="231" customFormat="false" ht="12" hidden="false" customHeight="true" outlineLevel="0" collapsed="false">
      <c r="B231" s="1" t="s">
        <v>564</v>
      </c>
      <c r="C231" s="1" t="s">
        <v>565</v>
      </c>
      <c r="D231" s="1" t="s">
        <v>496</v>
      </c>
      <c r="E231" s="1" t="s">
        <v>562</v>
      </c>
      <c r="F231" s="1" t="s">
        <v>473</v>
      </c>
      <c r="G231" s="1" t="s">
        <v>483</v>
      </c>
      <c r="H231" s="1" t="n">
        <v>102</v>
      </c>
      <c r="I231" s="1" t="str">
        <f aca="false">B231&amp;"|"&amp;F231&amp;"|"&amp;G231</f>
        <v>Recreational (Pool) Enclosures|S|Good</v>
      </c>
      <c r="J231" s="1" t="s">
        <v>563</v>
      </c>
    </row>
    <row r="232" customFormat="false" ht="12" hidden="false" customHeight="true" outlineLevel="0" collapsed="false">
      <c r="B232" s="1" t="s">
        <v>564</v>
      </c>
      <c r="C232" s="1" t="s">
        <v>565</v>
      </c>
      <c r="D232" s="1" t="s">
        <v>496</v>
      </c>
      <c r="E232" s="1" t="s">
        <v>562</v>
      </c>
      <c r="F232" s="1" t="s">
        <v>473</v>
      </c>
      <c r="G232" s="1" t="s">
        <v>279</v>
      </c>
      <c r="H232" s="1" t="n">
        <v>64.5</v>
      </c>
      <c r="I232" s="1" t="str">
        <f aca="false">B232&amp;"|"&amp;F232&amp;"|"&amp;G232</f>
        <v>Recreational (Pool) Enclosures|S|Average</v>
      </c>
      <c r="J232" s="1" t="s">
        <v>563</v>
      </c>
    </row>
    <row r="233" customFormat="false" ht="12" hidden="false" customHeight="true" outlineLevel="0" collapsed="false">
      <c r="B233" s="1" t="s">
        <v>564</v>
      </c>
      <c r="C233" s="1" t="s">
        <v>565</v>
      </c>
      <c r="D233" s="1" t="s">
        <v>496</v>
      </c>
      <c r="E233" s="1" t="s">
        <v>562</v>
      </c>
      <c r="F233" s="1" t="s">
        <v>473</v>
      </c>
      <c r="G233" s="1" t="s">
        <v>480</v>
      </c>
      <c r="H233" s="1" t="n">
        <v>38.25</v>
      </c>
      <c r="I233" s="1" t="str">
        <f aca="false">B233&amp;"|"&amp;F233&amp;"|"&amp;G233</f>
        <v>Recreational (Pool) Enclosures|S|Low Cost</v>
      </c>
      <c r="J233" s="1" t="s">
        <v>563</v>
      </c>
    </row>
    <row r="234" customFormat="false" ht="12" hidden="false" customHeight="true" outlineLevel="0" collapsed="false">
      <c r="B234" s="1" t="s">
        <v>564</v>
      </c>
      <c r="C234" s="1" t="s">
        <v>565</v>
      </c>
      <c r="D234" s="1" t="s">
        <v>496</v>
      </c>
      <c r="E234" s="1" t="s">
        <v>562</v>
      </c>
      <c r="F234" s="1" t="s">
        <v>473</v>
      </c>
      <c r="G234" s="1" t="s">
        <v>567</v>
      </c>
      <c r="H234" s="1" t="n">
        <v>23.85</v>
      </c>
      <c r="I234" s="1" t="str">
        <f aca="false">B234&amp;"|"&amp;F234&amp;"|"&amp;G234</f>
        <v>Recreational (Pool) Enclosures|S|Cheap</v>
      </c>
      <c r="J234" s="1" t="s">
        <v>563</v>
      </c>
    </row>
    <row r="235" customFormat="false" ht="12" hidden="false" customHeight="true" outlineLevel="0" collapsed="false">
      <c r="B235" s="1" t="s">
        <v>568</v>
      </c>
      <c r="C235" s="1" t="s">
        <v>569</v>
      </c>
      <c r="D235" s="1" t="s">
        <v>496</v>
      </c>
      <c r="E235" s="1" t="s">
        <v>570</v>
      </c>
      <c r="F235" s="1" t="s">
        <v>463</v>
      </c>
      <c r="G235" s="1" t="s">
        <v>485</v>
      </c>
      <c r="H235" s="1" t="n">
        <v>272</v>
      </c>
      <c r="I235" s="1" t="str">
        <f aca="false">B235&amp;"|"&amp;F235&amp;"|"&amp;G235</f>
        <v>Clubhouses|C|Excellent</v>
      </c>
      <c r="J235" s="1" t="s">
        <v>571</v>
      </c>
    </row>
    <row r="236" customFormat="false" ht="12" hidden="false" customHeight="true" outlineLevel="0" collapsed="false">
      <c r="B236" s="1" t="s">
        <v>568</v>
      </c>
      <c r="C236" s="1" t="s">
        <v>569</v>
      </c>
      <c r="D236" s="1" t="s">
        <v>496</v>
      </c>
      <c r="E236" s="1" t="s">
        <v>570</v>
      </c>
      <c r="F236" s="1" t="s">
        <v>463</v>
      </c>
      <c r="G236" s="1" t="s">
        <v>483</v>
      </c>
      <c r="H236" s="1" t="n">
        <v>199</v>
      </c>
      <c r="I236" s="1" t="str">
        <f aca="false">B236&amp;"|"&amp;F236&amp;"|"&amp;G236</f>
        <v>Clubhouses|C|Good</v>
      </c>
      <c r="J236" s="1" t="s">
        <v>571</v>
      </c>
    </row>
    <row r="237" customFormat="false" ht="12" hidden="false" customHeight="true" outlineLevel="0" collapsed="false">
      <c r="B237" s="1" t="s">
        <v>568</v>
      </c>
      <c r="C237" s="1" t="s">
        <v>569</v>
      </c>
      <c r="D237" s="1" t="s">
        <v>496</v>
      </c>
      <c r="E237" s="1" t="s">
        <v>570</v>
      </c>
      <c r="F237" s="1" t="s">
        <v>463</v>
      </c>
      <c r="G237" s="1" t="s">
        <v>279</v>
      </c>
      <c r="H237" s="1" t="n">
        <v>143</v>
      </c>
      <c r="I237" s="1" t="str">
        <f aca="false">B237&amp;"|"&amp;F237&amp;"|"&amp;G237</f>
        <v>Clubhouses|C|Average</v>
      </c>
      <c r="J237" s="1" t="s">
        <v>571</v>
      </c>
    </row>
    <row r="238" customFormat="false" ht="12" hidden="false" customHeight="true" outlineLevel="0" collapsed="false">
      <c r="B238" s="1" t="s">
        <v>568</v>
      </c>
      <c r="C238" s="1" t="s">
        <v>569</v>
      </c>
      <c r="D238" s="1" t="s">
        <v>496</v>
      </c>
      <c r="E238" s="1" t="s">
        <v>570</v>
      </c>
      <c r="F238" s="1" t="s">
        <v>463</v>
      </c>
      <c r="G238" s="1" t="s">
        <v>480</v>
      </c>
      <c r="H238" s="1" t="n">
        <v>101</v>
      </c>
      <c r="I238" s="1" t="str">
        <f aca="false">B238&amp;"|"&amp;F238&amp;"|"&amp;G238</f>
        <v>Clubhouses|C|Low Cost</v>
      </c>
      <c r="J238" s="1" t="s">
        <v>571</v>
      </c>
    </row>
    <row r="239" customFormat="false" ht="12" hidden="false" customHeight="true" outlineLevel="0" collapsed="false">
      <c r="B239" s="1" t="s">
        <v>568</v>
      </c>
      <c r="C239" s="1" t="s">
        <v>569</v>
      </c>
      <c r="D239" s="1" t="s">
        <v>496</v>
      </c>
      <c r="E239" s="1" t="s">
        <v>570</v>
      </c>
      <c r="F239" s="1" t="s">
        <v>468</v>
      </c>
      <c r="G239" s="1" t="s">
        <v>485</v>
      </c>
      <c r="H239" s="1" t="n">
        <v>264</v>
      </c>
      <c r="I239" s="1" t="str">
        <f aca="false">B239&amp;"|"&amp;F239&amp;"|"&amp;G239</f>
        <v>Clubhouses|D|Excellent</v>
      </c>
      <c r="J239" s="1" t="s">
        <v>571</v>
      </c>
    </row>
    <row r="240" customFormat="false" ht="12" hidden="false" customHeight="true" outlineLevel="0" collapsed="false">
      <c r="B240" s="1" t="s">
        <v>568</v>
      </c>
      <c r="C240" s="1" t="s">
        <v>569</v>
      </c>
      <c r="D240" s="1" t="s">
        <v>496</v>
      </c>
      <c r="E240" s="1" t="s">
        <v>570</v>
      </c>
      <c r="F240" s="1" t="s">
        <v>468</v>
      </c>
      <c r="G240" s="1" t="s">
        <v>483</v>
      </c>
      <c r="H240" s="1" t="n">
        <v>191</v>
      </c>
      <c r="I240" s="1" t="str">
        <f aca="false">B240&amp;"|"&amp;F240&amp;"|"&amp;G240</f>
        <v>Clubhouses|D|Good</v>
      </c>
      <c r="J240" s="1" t="s">
        <v>571</v>
      </c>
    </row>
    <row r="241" customFormat="false" ht="12" hidden="false" customHeight="true" outlineLevel="0" collapsed="false">
      <c r="B241" s="1" t="s">
        <v>568</v>
      </c>
      <c r="C241" s="1" t="s">
        <v>569</v>
      </c>
      <c r="D241" s="1" t="s">
        <v>496</v>
      </c>
      <c r="E241" s="1" t="s">
        <v>570</v>
      </c>
      <c r="F241" s="1" t="s">
        <v>468</v>
      </c>
      <c r="G241" s="1" t="s">
        <v>279</v>
      </c>
      <c r="H241" s="1" t="n">
        <v>135</v>
      </c>
      <c r="I241" s="1" t="str">
        <f aca="false">B241&amp;"|"&amp;F241&amp;"|"&amp;G241</f>
        <v>Clubhouses|D|Average</v>
      </c>
      <c r="J241" s="1" t="s">
        <v>571</v>
      </c>
    </row>
    <row r="242" customFormat="false" ht="12" hidden="false" customHeight="true" outlineLevel="0" collapsed="false">
      <c r="B242" s="1" t="s">
        <v>568</v>
      </c>
      <c r="C242" s="1" t="s">
        <v>569</v>
      </c>
      <c r="D242" s="1" t="s">
        <v>496</v>
      </c>
      <c r="E242" s="1" t="s">
        <v>570</v>
      </c>
      <c r="F242" s="1" t="s">
        <v>468</v>
      </c>
      <c r="G242" s="1" t="s">
        <v>480</v>
      </c>
      <c r="H242" s="1" t="n">
        <v>93.5</v>
      </c>
      <c r="I242" s="1" t="str">
        <f aca="false">B242&amp;"|"&amp;F242&amp;"|"&amp;G242</f>
        <v>Clubhouses|D|Low Cost</v>
      </c>
      <c r="J242" s="1" t="s">
        <v>571</v>
      </c>
    </row>
    <row r="243" customFormat="false" ht="12" hidden="false" customHeight="true" outlineLevel="0" collapsed="false">
      <c r="B243" s="1" t="s">
        <v>568</v>
      </c>
      <c r="C243" s="1" t="s">
        <v>569</v>
      </c>
      <c r="D243" s="1" t="s">
        <v>496</v>
      </c>
      <c r="E243" s="1" t="s">
        <v>570</v>
      </c>
      <c r="F243" s="1" t="s">
        <v>566</v>
      </c>
      <c r="G243" s="1" t="s">
        <v>480</v>
      </c>
      <c r="H243" s="1" t="n">
        <v>84.5</v>
      </c>
      <c r="I243" s="1" t="str">
        <f aca="false">B243&amp;"|"&amp;F243&amp;"|"&amp;G243</f>
        <v>Clubhouses|DPOLE|Low Cost</v>
      </c>
      <c r="J243" s="1" t="s">
        <v>571</v>
      </c>
    </row>
    <row r="244" customFormat="false" ht="12" hidden="false" customHeight="true" outlineLevel="0" collapsed="false">
      <c r="B244" s="1" t="s">
        <v>568</v>
      </c>
      <c r="C244" s="1" t="s">
        <v>569</v>
      </c>
      <c r="D244" s="1" t="s">
        <v>496</v>
      </c>
      <c r="E244" s="1" t="s">
        <v>570</v>
      </c>
      <c r="F244" s="1" t="s">
        <v>473</v>
      </c>
      <c r="G244" s="1" t="s">
        <v>485</v>
      </c>
      <c r="H244" s="1" t="n">
        <v>236</v>
      </c>
      <c r="I244" s="1" t="str">
        <f aca="false">B244&amp;"|"&amp;F244&amp;"|"&amp;G244</f>
        <v>Clubhouses|S|Excellent</v>
      </c>
      <c r="J244" s="1" t="s">
        <v>571</v>
      </c>
    </row>
    <row r="245" customFormat="false" ht="12" hidden="false" customHeight="true" outlineLevel="0" collapsed="false">
      <c r="B245" s="1" t="s">
        <v>568</v>
      </c>
      <c r="C245" s="1" t="s">
        <v>569</v>
      </c>
      <c r="D245" s="1" t="s">
        <v>496</v>
      </c>
      <c r="E245" s="1" t="s">
        <v>570</v>
      </c>
      <c r="F245" s="1" t="s">
        <v>473</v>
      </c>
      <c r="G245" s="1" t="s">
        <v>483</v>
      </c>
      <c r="H245" s="1" t="n">
        <v>172</v>
      </c>
      <c r="I245" s="1" t="str">
        <f aca="false">B245&amp;"|"&amp;F245&amp;"|"&amp;G245</f>
        <v>Clubhouses|S|Good</v>
      </c>
      <c r="J245" s="1" t="s">
        <v>571</v>
      </c>
    </row>
    <row r="246" customFormat="false" ht="12" hidden="false" customHeight="true" outlineLevel="0" collapsed="false">
      <c r="B246" s="1" t="s">
        <v>568</v>
      </c>
      <c r="C246" s="1" t="s">
        <v>569</v>
      </c>
      <c r="D246" s="1" t="s">
        <v>496</v>
      </c>
      <c r="E246" s="1" t="s">
        <v>570</v>
      </c>
      <c r="F246" s="1" t="s">
        <v>473</v>
      </c>
      <c r="G246" s="1" t="s">
        <v>279</v>
      </c>
      <c r="H246" s="1" t="n">
        <v>122</v>
      </c>
      <c r="I246" s="1" t="str">
        <f aca="false">B246&amp;"|"&amp;F246&amp;"|"&amp;G246</f>
        <v>Clubhouses|S|Average</v>
      </c>
      <c r="J246" s="1" t="s">
        <v>571</v>
      </c>
    </row>
    <row r="247" customFormat="false" ht="12" hidden="false" customHeight="true" outlineLevel="0" collapsed="false">
      <c r="B247" s="1" t="s">
        <v>568</v>
      </c>
      <c r="C247" s="1" t="s">
        <v>569</v>
      </c>
      <c r="D247" s="1" t="s">
        <v>496</v>
      </c>
      <c r="E247" s="1" t="s">
        <v>570</v>
      </c>
      <c r="F247" s="1" t="s">
        <v>473</v>
      </c>
      <c r="G247" s="1" t="s">
        <v>480</v>
      </c>
      <c r="H247" s="1" t="n">
        <v>85.5</v>
      </c>
      <c r="I247" s="1" t="str">
        <f aca="false">B247&amp;"|"&amp;F247&amp;"|"&amp;G247</f>
        <v>Clubhouses|S|Low Cost</v>
      </c>
      <c r="J247" s="1" t="s">
        <v>571</v>
      </c>
    </row>
    <row r="248" customFormat="false" ht="12" hidden="false" customHeight="true" outlineLevel="0" collapsed="false">
      <c r="B248" s="1" t="s">
        <v>572</v>
      </c>
      <c r="C248" s="1" t="s">
        <v>573</v>
      </c>
      <c r="D248" s="1" t="s">
        <v>496</v>
      </c>
      <c r="E248" s="1" t="s">
        <v>570</v>
      </c>
      <c r="F248" s="1" t="s">
        <v>463</v>
      </c>
      <c r="G248" s="1" t="s">
        <v>485</v>
      </c>
      <c r="H248" s="1" t="n">
        <v>361</v>
      </c>
      <c r="I248" s="1" t="str">
        <f aca="false">B248&amp;"|"&amp;F248&amp;"|"&amp;G248</f>
        <v>Senior (Clubhouse) Centers|C|Excellent</v>
      </c>
      <c r="J248" s="1" t="s">
        <v>571</v>
      </c>
    </row>
    <row r="249" customFormat="false" ht="12" hidden="false" customHeight="true" outlineLevel="0" collapsed="false">
      <c r="B249" s="1" t="s">
        <v>572</v>
      </c>
      <c r="C249" s="1" t="s">
        <v>573</v>
      </c>
      <c r="D249" s="1" t="s">
        <v>496</v>
      </c>
      <c r="E249" s="1" t="s">
        <v>570</v>
      </c>
      <c r="F249" s="1" t="s">
        <v>463</v>
      </c>
      <c r="G249" s="1" t="s">
        <v>483</v>
      </c>
      <c r="H249" s="1" t="n">
        <v>275</v>
      </c>
      <c r="I249" s="1" t="str">
        <f aca="false">B249&amp;"|"&amp;F249&amp;"|"&amp;G249</f>
        <v>Senior (Clubhouse) Centers|C|Good</v>
      </c>
      <c r="J249" s="1" t="s">
        <v>571</v>
      </c>
    </row>
    <row r="250" customFormat="false" ht="12" hidden="false" customHeight="true" outlineLevel="0" collapsed="false">
      <c r="B250" s="1" t="s">
        <v>572</v>
      </c>
      <c r="C250" s="1" t="s">
        <v>573</v>
      </c>
      <c r="D250" s="1" t="s">
        <v>496</v>
      </c>
      <c r="E250" s="1" t="s">
        <v>570</v>
      </c>
      <c r="F250" s="1" t="s">
        <v>463</v>
      </c>
      <c r="G250" s="1" t="s">
        <v>279</v>
      </c>
      <c r="H250" s="1" t="n">
        <v>210</v>
      </c>
      <c r="I250" s="1" t="str">
        <f aca="false">B250&amp;"|"&amp;F250&amp;"|"&amp;G250</f>
        <v>Senior (Clubhouse) Centers|C|Average</v>
      </c>
      <c r="J250" s="1" t="s">
        <v>571</v>
      </c>
    </row>
    <row r="251" customFormat="false" ht="12" hidden="false" customHeight="true" outlineLevel="0" collapsed="false">
      <c r="B251" s="1" t="s">
        <v>572</v>
      </c>
      <c r="C251" s="1" t="s">
        <v>573</v>
      </c>
      <c r="D251" s="1" t="s">
        <v>496</v>
      </c>
      <c r="E251" s="1" t="s">
        <v>570</v>
      </c>
      <c r="F251" s="1" t="s">
        <v>463</v>
      </c>
      <c r="G251" s="1" t="s">
        <v>480</v>
      </c>
      <c r="H251" s="1" t="n">
        <v>157</v>
      </c>
      <c r="I251" s="1" t="str">
        <f aca="false">B251&amp;"|"&amp;F251&amp;"|"&amp;G251</f>
        <v>Senior (Clubhouse) Centers|C|Low Cost</v>
      </c>
      <c r="J251" s="1" t="s">
        <v>571</v>
      </c>
    </row>
    <row r="252" customFormat="false" ht="12" hidden="false" customHeight="true" outlineLevel="0" collapsed="false">
      <c r="B252" s="1" t="s">
        <v>572</v>
      </c>
      <c r="C252" s="1" t="s">
        <v>573</v>
      </c>
      <c r="D252" s="1" t="s">
        <v>496</v>
      </c>
      <c r="E252" s="1" t="s">
        <v>570</v>
      </c>
      <c r="F252" s="1" t="s">
        <v>468</v>
      </c>
      <c r="G252" s="1" t="s">
        <v>485</v>
      </c>
      <c r="H252" s="1" t="n">
        <v>350</v>
      </c>
      <c r="I252" s="1" t="str">
        <f aca="false">B252&amp;"|"&amp;F252&amp;"|"&amp;G252</f>
        <v>Senior (Clubhouse) Centers|D|Excellent</v>
      </c>
      <c r="J252" s="1" t="s">
        <v>571</v>
      </c>
    </row>
    <row r="253" customFormat="false" ht="12" hidden="false" customHeight="true" outlineLevel="0" collapsed="false">
      <c r="B253" s="1" t="s">
        <v>572</v>
      </c>
      <c r="C253" s="1" t="s">
        <v>573</v>
      </c>
      <c r="D253" s="1" t="s">
        <v>496</v>
      </c>
      <c r="E253" s="1" t="s">
        <v>570</v>
      </c>
      <c r="F253" s="1" t="s">
        <v>468</v>
      </c>
      <c r="G253" s="1" t="s">
        <v>483</v>
      </c>
      <c r="H253" s="1" t="n">
        <v>264</v>
      </c>
      <c r="I253" s="1" t="str">
        <f aca="false">B253&amp;"|"&amp;F253&amp;"|"&amp;G253</f>
        <v>Senior (Clubhouse) Centers|D|Good</v>
      </c>
      <c r="J253" s="1" t="s">
        <v>571</v>
      </c>
    </row>
    <row r="254" customFormat="false" ht="12" hidden="false" customHeight="true" outlineLevel="0" collapsed="false">
      <c r="B254" s="1" t="s">
        <v>572</v>
      </c>
      <c r="C254" s="1" t="s">
        <v>573</v>
      </c>
      <c r="D254" s="1" t="s">
        <v>496</v>
      </c>
      <c r="E254" s="1" t="s">
        <v>570</v>
      </c>
      <c r="F254" s="1" t="s">
        <v>468</v>
      </c>
      <c r="G254" s="1" t="s">
        <v>279</v>
      </c>
      <c r="H254" s="1" t="n">
        <v>200</v>
      </c>
      <c r="I254" s="1" t="str">
        <f aca="false">B254&amp;"|"&amp;F254&amp;"|"&amp;G254</f>
        <v>Senior (Clubhouse) Centers|D|Average</v>
      </c>
      <c r="J254" s="1" t="s">
        <v>571</v>
      </c>
    </row>
    <row r="255" customFormat="false" ht="12" hidden="false" customHeight="true" outlineLevel="0" collapsed="false">
      <c r="B255" s="1" t="s">
        <v>572</v>
      </c>
      <c r="C255" s="1" t="s">
        <v>573</v>
      </c>
      <c r="D255" s="1" t="s">
        <v>496</v>
      </c>
      <c r="E255" s="1" t="s">
        <v>570</v>
      </c>
      <c r="F255" s="1" t="s">
        <v>468</v>
      </c>
      <c r="G255" s="1" t="s">
        <v>480</v>
      </c>
      <c r="H255" s="1" t="n">
        <v>148</v>
      </c>
      <c r="I255" s="1" t="str">
        <f aca="false">B255&amp;"|"&amp;F255&amp;"|"&amp;G255</f>
        <v>Senior (Clubhouse) Centers|D|Low Cost</v>
      </c>
      <c r="J255" s="1" t="s">
        <v>571</v>
      </c>
    </row>
    <row r="256" customFormat="false" ht="12" hidden="false" customHeight="true" outlineLevel="0" collapsed="false">
      <c r="B256" s="1" t="s">
        <v>572</v>
      </c>
      <c r="C256" s="1" t="s">
        <v>573</v>
      </c>
      <c r="D256" s="1" t="s">
        <v>496</v>
      </c>
      <c r="E256" s="1" t="s">
        <v>570</v>
      </c>
      <c r="F256" s="1" t="s">
        <v>473</v>
      </c>
      <c r="G256" s="1" t="s">
        <v>480</v>
      </c>
      <c r="H256" s="1" t="n">
        <v>136</v>
      </c>
      <c r="I256" s="1" t="str">
        <f aca="false">B256&amp;"|"&amp;F256&amp;"|"&amp;G256</f>
        <v>Senior (Clubhouse) Centers|S|Low Cost</v>
      </c>
      <c r="J256" s="1" t="s">
        <v>571</v>
      </c>
    </row>
    <row r="257" customFormat="false" ht="12" hidden="false" customHeight="true" outlineLevel="0" collapsed="false">
      <c r="B257" s="1" t="s">
        <v>574</v>
      </c>
      <c r="C257" s="1" t="s">
        <v>575</v>
      </c>
      <c r="D257" s="1" t="s">
        <v>496</v>
      </c>
      <c r="E257" s="1" t="s">
        <v>576</v>
      </c>
      <c r="F257" s="1" t="s">
        <v>463</v>
      </c>
      <c r="G257" s="1" t="s">
        <v>485</v>
      </c>
      <c r="H257" s="1" t="n">
        <v>341</v>
      </c>
      <c r="I257" s="1" t="str">
        <f aca="false">B257&amp;"|"&amp;F257&amp;"|"&amp;G257</f>
        <v>Country Clubs|C|Excellent</v>
      </c>
      <c r="J257" s="1" t="s">
        <v>577</v>
      </c>
    </row>
    <row r="258" customFormat="false" ht="12" hidden="false" customHeight="true" outlineLevel="0" collapsed="false">
      <c r="B258" s="1" t="s">
        <v>574</v>
      </c>
      <c r="C258" s="1" t="s">
        <v>575</v>
      </c>
      <c r="D258" s="1" t="s">
        <v>496</v>
      </c>
      <c r="E258" s="1" t="s">
        <v>576</v>
      </c>
      <c r="F258" s="1" t="s">
        <v>463</v>
      </c>
      <c r="G258" s="1" t="s">
        <v>483</v>
      </c>
      <c r="H258" s="1" t="n">
        <v>259</v>
      </c>
      <c r="I258" s="1" t="str">
        <f aca="false">B258&amp;"|"&amp;F258&amp;"|"&amp;G258</f>
        <v>Country Clubs|C|Good</v>
      </c>
      <c r="J258" s="1" t="s">
        <v>577</v>
      </c>
    </row>
    <row r="259" customFormat="false" ht="12" hidden="false" customHeight="true" outlineLevel="0" collapsed="false">
      <c r="B259" s="1" t="s">
        <v>574</v>
      </c>
      <c r="C259" s="1" t="s">
        <v>575</v>
      </c>
      <c r="D259" s="1" t="s">
        <v>496</v>
      </c>
      <c r="E259" s="1" t="s">
        <v>576</v>
      </c>
      <c r="F259" s="1" t="s">
        <v>463</v>
      </c>
      <c r="G259" s="1" t="s">
        <v>279</v>
      </c>
      <c r="H259" s="1" t="n">
        <v>198</v>
      </c>
      <c r="I259" s="1" t="str">
        <f aca="false">B259&amp;"|"&amp;F259&amp;"|"&amp;G259</f>
        <v>Country Clubs|C|Average</v>
      </c>
      <c r="J259" s="1" t="s">
        <v>577</v>
      </c>
    </row>
    <row r="260" customFormat="false" ht="12" hidden="false" customHeight="true" outlineLevel="0" collapsed="false">
      <c r="B260" s="1" t="s">
        <v>574</v>
      </c>
      <c r="C260" s="1" t="s">
        <v>575</v>
      </c>
      <c r="D260" s="1" t="s">
        <v>496</v>
      </c>
      <c r="E260" s="1" t="s">
        <v>576</v>
      </c>
      <c r="F260" s="1" t="s">
        <v>463</v>
      </c>
      <c r="G260" s="1" t="s">
        <v>480</v>
      </c>
      <c r="H260" s="1" t="n">
        <v>148</v>
      </c>
      <c r="I260" s="1" t="str">
        <f aca="false">B260&amp;"|"&amp;F260&amp;"|"&amp;G260</f>
        <v>Country Clubs|C|Low Cost</v>
      </c>
      <c r="J260" s="1" t="s">
        <v>577</v>
      </c>
    </row>
    <row r="261" customFormat="false" ht="12" hidden="false" customHeight="true" outlineLevel="0" collapsed="false">
      <c r="B261" s="1" t="s">
        <v>574</v>
      </c>
      <c r="C261" s="1" t="s">
        <v>575</v>
      </c>
      <c r="D261" s="1" t="s">
        <v>496</v>
      </c>
      <c r="E261" s="1" t="s">
        <v>576</v>
      </c>
      <c r="F261" s="1" t="s">
        <v>468</v>
      </c>
      <c r="G261" s="1" t="s">
        <v>485</v>
      </c>
      <c r="H261" s="1" t="n">
        <v>334</v>
      </c>
      <c r="I261" s="1" t="str">
        <f aca="false">B261&amp;"|"&amp;F261&amp;"|"&amp;G261</f>
        <v>Country Clubs|D|Excellent</v>
      </c>
      <c r="J261" s="1" t="s">
        <v>577</v>
      </c>
    </row>
    <row r="262" customFormat="false" ht="12" hidden="false" customHeight="true" outlineLevel="0" collapsed="false">
      <c r="B262" s="1" t="s">
        <v>574</v>
      </c>
      <c r="C262" s="1" t="s">
        <v>575</v>
      </c>
      <c r="D262" s="1" t="s">
        <v>496</v>
      </c>
      <c r="E262" s="1" t="s">
        <v>576</v>
      </c>
      <c r="F262" s="1" t="s">
        <v>468</v>
      </c>
      <c r="G262" s="1" t="s">
        <v>483</v>
      </c>
      <c r="H262" s="1" t="n">
        <v>250</v>
      </c>
      <c r="I262" s="1" t="str">
        <f aca="false">B262&amp;"|"&amp;F262&amp;"|"&amp;G262</f>
        <v>Country Clubs|D|Good</v>
      </c>
      <c r="J262" s="1" t="s">
        <v>577</v>
      </c>
    </row>
    <row r="263" customFormat="false" ht="12" hidden="false" customHeight="true" outlineLevel="0" collapsed="false">
      <c r="B263" s="1" t="s">
        <v>574</v>
      </c>
      <c r="C263" s="1" t="s">
        <v>575</v>
      </c>
      <c r="D263" s="1" t="s">
        <v>496</v>
      </c>
      <c r="E263" s="1" t="s">
        <v>576</v>
      </c>
      <c r="F263" s="1" t="s">
        <v>468</v>
      </c>
      <c r="G263" s="1" t="s">
        <v>279</v>
      </c>
      <c r="H263" s="1" t="n">
        <v>189</v>
      </c>
      <c r="I263" s="1" t="str">
        <f aca="false">B263&amp;"|"&amp;F263&amp;"|"&amp;G263</f>
        <v>Country Clubs|D|Average</v>
      </c>
      <c r="J263" s="1" t="s">
        <v>577</v>
      </c>
    </row>
    <row r="264" customFormat="false" ht="12" hidden="false" customHeight="true" outlineLevel="0" collapsed="false">
      <c r="B264" s="1" t="s">
        <v>574</v>
      </c>
      <c r="C264" s="1" t="s">
        <v>575</v>
      </c>
      <c r="D264" s="1" t="s">
        <v>496</v>
      </c>
      <c r="E264" s="1" t="s">
        <v>576</v>
      </c>
      <c r="F264" s="1" t="s">
        <v>468</v>
      </c>
      <c r="G264" s="1" t="s">
        <v>480</v>
      </c>
      <c r="H264" s="1" t="n">
        <v>139</v>
      </c>
      <c r="I264" s="1" t="str">
        <f aca="false">B264&amp;"|"&amp;F264&amp;"|"&amp;G264</f>
        <v>Country Clubs|D|Low Cost</v>
      </c>
      <c r="J264" s="1" t="s">
        <v>577</v>
      </c>
    </row>
    <row r="265" customFormat="false" ht="12" hidden="false" customHeight="true" outlineLevel="0" collapsed="false">
      <c r="B265" s="1" t="s">
        <v>574</v>
      </c>
      <c r="C265" s="1" t="s">
        <v>575</v>
      </c>
      <c r="D265" s="1" t="s">
        <v>496</v>
      </c>
      <c r="E265" s="1" t="s">
        <v>576</v>
      </c>
      <c r="F265" s="1" t="s">
        <v>473</v>
      </c>
      <c r="G265" s="1" t="s">
        <v>279</v>
      </c>
      <c r="H265" s="1" t="n">
        <v>178</v>
      </c>
      <c r="I265" s="1" t="str">
        <f aca="false">B265&amp;"|"&amp;F265&amp;"|"&amp;G265</f>
        <v>Country Clubs|S|Average</v>
      </c>
      <c r="J265" s="1" t="s">
        <v>577</v>
      </c>
    </row>
    <row r="266" customFormat="false" ht="12" hidden="false" customHeight="true" outlineLevel="0" collapsed="false">
      <c r="B266" s="1" t="s">
        <v>574</v>
      </c>
      <c r="C266" s="1" t="s">
        <v>575</v>
      </c>
      <c r="D266" s="1" t="s">
        <v>496</v>
      </c>
      <c r="E266" s="1" t="s">
        <v>576</v>
      </c>
      <c r="F266" s="1" t="s">
        <v>473</v>
      </c>
      <c r="G266" s="1" t="s">
        <v>480</v>
      </c>
      <c r="H266" s="1" t="n">
        <v>130</v>
      </c>
      <c r="I266" s="1" t="str">
        <f aca="false">B266&amp;"|"&amp;F266&amp;"|"&amp;G266</f>
        <v>Country Clubs|S|Low Cost</v>
      </c>
      <c r="J266" s="1" t="s">
        <v>577</v>
      </c>
    </row>
    <row r="267" customFormat="false" ht="12" hidden="false" customHeight="true" outlineLevel="0" collapsed="false">
      <c r="B267" s="1" t="s">
        <v>578</v>
      </c>
      <c r="C267" s="1" t="s">
        <v>579</v>
      </c>
      <c r="D267" s="1" t="s">
        <v>496</v>
      </c>
      <c r="E267" s="1" t="s">
        <v>576</v>
      </c>
      <c r="F267" s="1" t="s">
        <v>463</v>
      </c>
      <c r="G267" s="1" t="s">
        <v>483</v>
      </c>
      <c r="H267" s="1" t="n">
        <v>236</v>
      </c>
      <c r="I267" s="1" t="str">
        <f aca="false">B267&amp;"|"&amp;F267&amp;"|"&amp;G267</f>
        <v>Health Clubs (Spas)|C|Good</v>
      </c>
      <c r="J267" s="1" t="s">
        <v>577</v>
      </c>
    </row>
    <row r="268" customFormat="false" ht="12" hidden="false" customHeight="true" outlineLevel="0" collapsed="false">
      <c r="B268" s="1" t="s">
        <v>578</v>
      </c>
      <c r="C268" s="1" t="s">
        <v>579</v>
      </c>
      <c r="D268" s="1" t="s">
        <v>496</v>
      </c>
      <c r="E268" s="1" t="s">
        <v>576</v>
      </c>
      <c r="F268" s="1" t="s">
        <v>463</v>
      </c>
      <c r="G268" s="1" t="s">
        <v>279</v>
      </c>
      <c r="H268" s="1" t="n">
        <v>172</v>
      </c>
      <c r="I268" s="1" t="str">
        <f aca="false">B268&amp;"|"&amp;F268&amp;"|"&amp;G268</f>
        <v>Health Clubs (Spas)|C|Average</v>
      </c>
      <c r="J268" s="1" t="s">
        <v>577</v>
      </c>
    </row>
    <row r="269" customFormat="false" ht="12" hidden="false" customHeight="true" outlineLevel="0" collapsed="false">
      <c r="B269" s="1" t="s">
        <v>578</v>
      </c>
      <c r="C269" s="1" t="s">
        <v>579</v>
      </c>
      <c r="D269" s="1" t="s">
        <v>496</v>
      </c>
      <c r="E269" s="1" t="s">
        <v>576</v>
      </c>
      <c r="F269" s="1" t="s">
        <v>463</v>
      </c>
      <c r="G269" s="1" t="s">
        <v>480</v>
      </c>
      <c r="H269" s="1" t="n">
        <v>127</v>
      </c>
      <c r="I269" s="1" t="str">
        <f aca="false">B269&amp;"|"&amp;F269&amp;"|"&amp;G269</f>
        <v>Health Clubs (Spas)|C|Low Cost</v>
      </c>
      <c r="J269" s="1" t="s">
        <v>577</v>
      </c>
    </row>
    <row r="270" customFormat="false" ht="12" hidden="false" customHeight="true" outlineLevel="0" collapsed="false">
      <c r="B270" s="1" t="s">
        <v>578</v>
      </c>
      <c r="C270" s="1" t="s">
        <v>579</v>
      </c>
      <c r="D270" s="1" t="s">
        <v>496</v>
      </c>
      <c r="E270" s="1" t="s">
        <v>576</v>
      </c>
      <c r="F270" s="1" t="s">
        <v>468</v>
      </c>
      <c r="G270" s="1" t="s">
        <v>483</v>
      </c>
      <c r="H270" s="1" t="n">
        <v>227</v>
      </c>
      <c r="I270" s="1" t="str">
        <f aca="false">B270&amp;"|"&amp;F270&amp;"|"&amp;G270</f>
        <v>Health Clubs (Spas)|D|Good</v>
      </c>
      <c r="J270" s="1" t="s">
        <v>577</v>
      </c>
    </row>
    <row r="271" customFormat="false" ht="12" hidden="false" customHeight="true" outlineLevel="0" collapsed="false">
      <c r="B271" s="1" t="s">
        <v>578</v>
      </c>
      <c r="C271" s="1" t="s">
        <v>579</v>
      </c>
      <c r="D271" s="1" t="s">
        <v>496</v>
      </c>
      <c r="E271" s="1" t="s">
        <v>576</v>
      </c>
      <c r="F271" s="1" t="s">
        <v>468</v>
      </c>
      <c r="G271" s="1" t="s">
        <v>279</v>
      </c>
      <c r="H271" s="1" t="n">
        <v>164</v>
      </c>
      <c r="I271" s="1" t="str">
        <f aca="false">B271&amp;"|"&amp;F271&amp;"|"&amp;G271</f>
        <v>Health Clubs (Spas)|D|Average</v>
      </c>
      <c r="J271" s="1" t="s">
        <v>577</v>
      </c>
    </row>
    <row r="272" customFormat="false" ht="12" hidden="false" customHeight="true" outlineLevel="0" collapsed="false">
      <c r="B272" s="1" t="s">
        <v>578</v>
      </c>
      <c r="C272" s="1" t="s">
        <v>579</v>
      </c>
      <c r="D272" s="1" t="s">
        <v>496</v>
      </c>
      <c r="E272" s="1" t="s">
        <v>576</v>
      </c>
      <c r="F272" s="1" t="s">
        <v>468</v>
      </c>
      <c r="G272" s="1" t="s">
        <v>480</v>
      </c>
      <c r="H272" s="1" t="n">
        <v>119</v>
      </c>
      <c r="I272" s="1" t="str">
        <f aca="false">B272&amp;"|"&amp;F272&amp;"|"&amp;G272</f>
        <v>Health Clubs (Spas)|D|Low Cost</v>
      </c>
      <c r="J272" s="1" t="s">
        <v>577</v>
      </c>
    </row>
    <row r="273" customFormat="false" ht="12" hidden="false" customHeight="true" outlineLevel="0" collapsed="false">
      <c r="B273" s="1" t="s">
        <v>578</v>
      </c>
      <c r="C273" s="1" t="s">
        <v>579</v>
      </c>
      <c r="D273" s="1" t="s">
        <v>496</v>
      </c>
      <c r="E273" s="1" t="s">
        <v>576</v>
      </c>
      <c r="F273" s="1" t="s">
        <v>473</v>
      </c>
      <c r="G273" s="1" t="s">
        <v>279</v>
      </c>
      <c r="H273" s="1" t="n">
        <v>157</v>
      </c>
      <c r="I273" s="1" t="str">
        <f aca="false">B273&amp;"|"&amp;F273&amp;"|"&amp;G273</f>
        <v>Health Clubs (Spas)|S|Average</v>
      </c>
      <c r="J273" s="1" t="s">
        <v>577</v>
      </c>
    </row>
    <row r="274" customFormat="false" ht="12" hidden="false" customHeight="true" outlineLevel="0" collapsed="false">
      <c r="B274" s="1" t="s">
        <v>578</v>
      </c>
      <c r="C274" s="1" t="s">
        <v>579</v>
      </c>
      <c r="D274" s="1" t="s">
        <v>496</v>
      </c>
      <c r="E274" s="1" t="s">
        <v>576</v>
      </c>
      <c r="F274" s="1" t="s">
        <v>473</v>
      </c>
      <c r="G274" s="1" t="s">
        <v>480</v>
      </c>
      <c r="H274" s="1" t="n">
        <v>113</v>
      </c>
      <c r="I274" s="1" t="str">
        <f aca="false">B274&amp;"|"&amp;F274&amp;"|"&amp;G274</f>
        <v>Health Clubs (Spas)|S|Low Cost</v>
      </c>
      <c r="J274" s="1" t="s">
        <v>577</v>
      </c>
    </row>
    <row r="275" customFormat="false" ht="12" hidden="false" customHeight="true" outlineLevel="0" collapsed="false">
      <c r="B275" s="1" t="s">
        <v>580</v>
      </c>
      <c r="C275" s="1" t="s">
        <v>581</v>
      </c>
      <c r="D275" s="1" t="s">
        <v>496</v>
      </c>
      <c r="E275" s="1" t="s">
        <v>582</v>
      </c>
      <c r="F275" s="1" t="s">
        <v>523</v>
      </c>
      <c r="G275" s="1" t="s">
        <v>483</v>
      </c>
      <c r="H275" s="1" t="n">
        <v>324</v>
      </c>
      <c r="I275" s="1" t="str">
        <f aca="false">B275&amp;"|"&amp;F275&amp;"|"&amp;G275</f>
        <v>Mortuaries / Funeral Homes|A-B|Good</v>
      </c>
      <c r="J275" s="1" t="s">
        <v>583</v>
      </c>
    </row>
    <row r="276" customFormat="false" ht="12" hidden="false" customHeight="true" outlineLevel="0" collapsed="false">
      <c r="B276" s="1" t="s">
        <v>580</v>
      </c>
      <c r="C276" s="1" t="s">
        <v>581</v>
      </c>
      <c r="D276" s="1" t="s">
        <v>496</v>
      </c>
      <c r="E276" s="1" t="s">
        <v>582</v>
      </c>
      <c r="F276" s="1" t="s">
        <v>523</v>
      </c>
      <c r="G276" s="1" t="s">
        <v>279</v>
      </c>
      <c r="H276" s="1" t="n">
        <v>258</v>
      </c>
      <c r="I276" s="1" t="str">
        <f aca="false">B276&amp;"|"&amp;F276&amp;"|"&amp;G276</f>
        <v>Mortuaries / Funeral Homes|A-B|Average</v>
      </c>
      <c r="J276" s="1" t="s">
        <v>583</v>
      </c>
    </row>
    <row r="277" customFormat="false" ht="12" hidden="false" customHeight="true" outlineLevel="0" collapsed="false">
      <c r="B277" s="1" t="s">
        <v>580</v>
      </c>
      <c r="C277" s="1" t="s">
        <v>581</v>
      </c>
      <c r="D277" s="1" t="s">
        <v>496</v>
      </c>
      <c r="E277" s="1" t="s">
        <v>582</v>
      </c>
      <c r="F277" s="1" t="s">
        <v>463</v>
      </c>
      <c r="G277" s="1" t="s">
        <v>485</v>
      </c>
      <c r="H277" s="1" t="n">
        <v>291</v>
      </c>
      <c r="I277" s="1" t="str">
        <f aca="false">B277&amp;"|"&amp;F277&amp;"|"&amp;G277</f>
        <v>Mortuaries / Funeral Homes|C|Excellent</v>
      </c>
      <c r="J277" s="1" t="s">
        <v>583</v>
      </c>
    </row>
    <row r="278" customFormat="false" ht="12" hidden="false" customHeight="true" outlineLevel="0" collapsed="false">
      <c r="B278" s="1" t="s">
        <v>580</v>
      </c>
      <c r="C278" s="1" t="s">
        <v>581</v>
      </c>
      <c r="D278" s="1" t="s">
        <v>496</v>
      </c>
      <c r="E278" s="1" t="s">
        <v>582</v>
      </c>
      <c r="F278" s="1" t="s">
        <v>463</v>
      </c>
      <c r="G278" s="1" t="s">
        <v>483</v>
      </c>
      <c r="H278" s="1" t="n">
        <v>214</v>
      </c>
      <c r="I278" s="1" t="str">
        <f aca="false">B278&amp;"|"&amp;F278&amp;"|"&amp;G278</f>
        <v>Mortuaries / Funeral Homes|C|Good</v>
      </c>
      <c r="J278" s="1" t="s">
        <v>583</v>
      </c>
    </row>
    <row r="279" customFormat="false" ht="12" hidden="false" customHeight="true" outlineLevel="0" collapsed="false">
      <c r="B279" s="1" t="s">
        <v>580</v>
      </c>
      <c r="C279" s="1" t="s">
        <v>581</v>
      </c>
      <c r="D279" s="1" t="s">
        <v>496</v>
      </c>
      <c r="E279" s="1" t="s">
        <v>582</v>
      </c>
      <c r="F279" s="1" t="s">
        <v>463</v>
      </c>
      <c r="G279" s="1" t="s">
        <v>279</v>
      </c>
      <c r="H279" s="1" t="n">
        <v>159</v>
      </c>
      <c r="I279" s="1" t="str">
        <f aca="false">B279&amp;"|"&amp;F279&amp;"|"&amp;G279</f>
        <v>Mortuaries / Funeral Homes|C|Average</v>
      </c>
      <c r="J279" s="1" t="s">
        <v>583</v>
      </c>
    </row>
    <row r="280" customFormat="false" ht="12" hidden="false" customHeight="true" outlineLevel="0" collapsed="false">
      <c r="B280" s="1" t="s">
        <v>580</v>
      </c>
      <c r="C280" s="1" t="s">
        <v>581</v>
      </c>
      <c r="D280" s="1" t="s">
        <v>496</v>
      </c>
      <c r="E280" s="1" t="s">
        <v>582</v>
      </c>
      <c r="F280" s="1" t="s">
        <v>463</v>
      </c>
      <c r="G280" s="1" t="s">
        <v>480</v>
      </c>
      <c r="H280" s="1" t="n">
        <v>115</v>
      </c>
      <c r="I280" s="1" t="str">
        <f aca="false">B280&amp;"|"&amp;F280&amp;"|"&amp;G280</f>
        <v>Mortuaries / Funeral Homes|C|Low Cost</v>
      </c>
      <c r="J280" s="1" t="s">
        <v>583</v>
      </c>
    </row>
    <row r="281" customFormat="false" ht="12" hidden="false" customHeight="true" outlineLevel="0" collapsed="false">
      <c r="B281" s="1" t="s">
        <v>580</v>
      </c>
      <c r="C281" s="1" t="s">
        <v>581</v>
      </c>
      <c r="D281" s="1" t="s">
        <v>496</v>
      </c>
      <c r="E281" s="1" t="s">
        <v>582</v>
      </c>
      <c r="F281" s="1" t="s">
        <v>468</v>
      </c>
      <c r="G281" s="1" t="s">
        <v>485</v>
      </c>
      <c r="H281" s="1" t="n">
        <v>283</v>
      </c>
      <c r="I281" s="1" t="str">
        <f aca="false">B281&amp;"|"&amp;F281&amp;"|"&amp;G281</f>
        <v>Mortuaries / Funeral Homes|D|Excellent</v>
      </c>
      <c r="J281" s="1" t="s">
        <v>583</v>
      </c>
    </row>
    <row r="282" customFormat="false" ht="12" hidden="false" customHeight="true" outlineLevel="0" collapsed="false">
      <c r="B282" s="1" t="s">
        <v>580</v>
      </c>
      <c r="C282" s="1" t="s">
        <v>581</v>
      </c>
      <c r="D282" s="1" t="s">
        <v>496</v>
      </c>
      <c r="E282" s="1" t="s">
        <v>582</v>
      </c>
      <c r="F282" s="1" t="s">
        <v>468</v>
      </c>
      <c r="G282" s="1" t="s">
        <v>483</v>
      </c>
      <c r="H282" s="1" t="n">
        <v>206</v>
      </c>
      <c r="I282" s="1" t="str">
        <f aca="false">B282&amp;"|"&amp;F282&amp;"|"&amp;G282</f>
        <v>Mortuaries / Funeral Homes|D|Good</v>
      </c>
      <c r="J282" s="1" t="s">
        <v>583</v>
      </c>
    </row>
    <row r="283" customFormat="false" ht="12" hidden="false" customHeight="true" outlineLevel="0" collapsed="false">
      <c r="B283" s="1" t="s">
        <v>580</v>
      </c>
      <c r="C283" s="1" t="s">
        <v>581</v>
      </c>
      <c r="D283" s="1" t="s">
        <v>496</v>
      </c>
      <c r="E283" s="1" t="s">
        <v>582</v>
      </c>
      <c r="F283" s="1" t="s">
        <v>468</v>
      </c>
      <c r="G283" s="1" t="s">
        <v>279</v>
      </c>
      <c r="H283" s="1" t="n">
        <v>151</v>
      </c>
      <c r="I283" s="1" t="str">
        <f aca="false">B283&amp;"|"&amp;F283&amp;"|"&amp;G283</f>
        <v>Mortuaries / Funeral Homes|D|Average</v>
      </c>
      <c r="J283" s="1" t="s">
        <v>583</v>
      </c>
    </row>
    <row r="284" customFormat="false" ht="12" hidden="false" customHeight="true" outlineLevel="0" collapsed="false">
      <c r="B284" s="1" t="s">
        <v>580</v>
      </c>
      <c r="C284" s="1" t="s">
        <v>581</v>
      </c>
      <c r="D284" s="1" t="s">
        <v>496</v>
      </c>
      <c r="E284" s="1" t="s">
        <v>582</v>
      </c>
      <c r="F284" s="1" t="s">
        <v>468</v>
      </c>
      <c r="G284" s="1" t="s">
        <v>480</v>
      </c>
      <c r="H284" s="1" t="n">
        <v>108</v>
      </c>
      <c r="I284" s="1" t="str">
        <f aca="false">B284&amp;"|"&amp;F284&amp;"|"&amp;G284</f>
        <v>Mortuaries / Funeral Homes|D|Low Cost</v>
      </c>
      <c r="J284" s="1" t="s">
        <v>583</v>
      </c>
    </row>
    <row r="285" customFormat="false" ht="12" hidden="false" customHeight="true" outlineLevel="0" collapsed="false">
      <c r="B285" s="1" t="s">
        <v>580</v>
      </c>
      <c r="C285" s="1" t="s">
        <v>581</v>
      </c>
      <c r="D285" s="1" t="s">
        <v>496</v>
      </c>
      <c r="E285" s="1" t="s">
        <v>582</v>
      </c>
      <c r="F285" s="1" t="s">
        <v>566</v>
      </c>
      <c r="G285" s="1" t="s">
        <v>480</v>
      </c>
      <c r="H285" s="1" t="n">
        <v>101</v>
      </c>
      <c r="I285" s="1" t="str">
        <f aca="false">B285&amp;"|"&amp;F285&amp;"|"&amp;G285</f>
        <v>Mortuaries / Funeral Homes|DPOLE|Low Cost</v>
      </c>
      <c r="J285" s="1" t="s">
        <v>583</v>
      </c>
    </row>
    <row r="286" customFormat="false" ht="12" hidden="false" customHeight="true" outlineLevel="0" collapsed="false">
      <c r="B286" s="1" t="s">
        <v>580</v>
      </c>
      <c r="C286" s="1" t="s">
        <v>581</v>
      </c>
      <c r="D286" s="1" t="s">
        <v>496</v>
      </c>
      <c r="E286" s="1" t="s">
        <v>582</v>
      </c>
      <c r="F286" s="1" t="s">
        <v>473</v>
      </c>
      <c r="G286" s="1" t="s">
        <v>279</v>
      </c>
      <c r="H286" s="1" t="n">
        <v>143</v>
      </c>
      <c r="I286" s="1" t="str">
        <f aca="false">B286&amp;"|"&amp;F286&amp;"|"&amp;G286</f>
        <v>Mortuaries / Funeral Homes|S|Average</v>
      </c>
      <c r="J286" s="1" t="s">
        <v>583</v>
      </c>
    </row>
    <row r="287" customFormat="false" ht="12" hidden="false" customHeight="true" outlineLevel="0" collapsed="false">
      <c r="B287" s="1" t="s">
        <v>580</v>
      </c>
      <c r="C287" s="1" t="s">
        <v>581</v>
      </c>
      <c r="D287" s="1" t="s">
        <v>496</v>
      </c>
      <c r="E287" s="1" t="s">
        <v>582</v>
      </c>
      <c r="F287" s="1" t="s">
        <v>473</v>
      </c>
      <c r="G287" s="1" t="s">
        <v>480</v>
      </c>
      <c r="H287" s="1" t="n">
        <v>101</v>
      </c>
      <c r="I287" s="1" t="str">
        <f aca="false">B287&amp;"|"&amp;F287&amp;"|"&amp;G287</f>
        <v>Mortuaries / Funeral Homes|S|Low Cost</v>
      </c>
      <c r="J287" s="1" t="s">
        <v>583</v>
      </c>
    </row>
    <row r="288" customFormat="false" ht="12" hidden="false" customHeight="true" outlineLevel="0" collapsed="false">
      <c r="B288" s="1" t="s">
        <v>584</v>
      </c>
      <c r="C288" s="1" t="s">
        <v>585</v>
      </c>
      <c r="D288" s="1" t="s">
        <v>496</v>
      </c>
      <c r="E288" s="1" t="s">
        <v>586</v>
      </c>
      <c r="F288" s="1" t="s">
        <v>463</v>
      </c>
      <c r="G288" s="1" t="s">
        <v>485</v>
      </c>
      <c r="H288" s="1" t="n">
        <v>222</v>
      </c>
      <c r="I288" s="1" t="str">
        <f aca="false">B288&amp;"|"&amp;F288&amp;"|"&amp;G288</f>
        <v>High-Rise Row (Town) Houses|C|Excellent</v>
      </c>
      <c r="J288" s="1" t="s">
        <v>587</v>
      </c>
    </row>
    <row r="289" customFormat="false" ht="12" hidden="false" customHeight="true" outlineLevel="0" collapsed="false">
      <c r="B289" s="1" t="s">
        <v>584</v>
      </c>
      <c r="C289" s="1" t="s">
        <v>585</v>
      </c>
      <c r="D289" s="1" t="s">
        <v>496</v>
      </c>
      <c r="E289" s="1" t="s">
        <v>586</v>
      </c>
      <c r="F289" s="1" t="s">
        <v>463</v>
      </c>
      <c r="G289" s="1" t="s">
        <v>483</v>
      </c>
      <c r="H289" s="1" t="n">
        <v>166</v>
      </c>
      <c r="I289" s="1" t="str">
        <f aca="false">B289&amp;"|"&amp;F289&amp;"|"&amp;G289</f>
        <v>High-Rise Row (Town) Houses|C|Good</v>
      </c>
      <c r="J289" s="1" t="s">
        <v>587</v>
      </c>
    </row>
    <row r="290" customFormat="false" ht="12" hidden="false" customHeight="true" outlineLevel="0" collapsed="false">
      <c r="B290" s="1" t="s">
        <v>584</v>
      </c>
      <c r="C290" s="1" t="s">
        <v>585</v>
      </c>
      <c r="D290" s="1" t="s">
        <v>496</v>
      </c>
      <c r="E290" s="1" t="s">
        <v>586</v>
      </c>
      <c r="F290" s="1" t="s">
        <v>463</v>
      </c>
      <c r="G290" s="1" t="s">
        <v>279</v>
      </c>
      <c r="H290" s="1" t="n">
        <v>128</v>
      </c>
      <c r="I290" s="1" t="str">
        <f aca="false">B290&amp;"|"&amp;F290&amp;"|"&amp;G290</f>
        <v>High-Rise Row (Town) Houses|C|Average</v>
      </c>
      <c r="J290" s="1" t="s">
        <v>587</v>
      </c>
    </row>
    <row r="291" customFormat="false" ht="12" hidden="false" customHeight="true" outlineLevel="0" collapsed="false">
      <c r="B291" s="1" t="s">
        <v>584</v>
      </c>
      <c r="C291" s="1" t="s">
        <v>585</v>
      </c>
      <c r="D291" s="1" t="s">
        <v>496</v>
      </c>
      <c r="E291" s="1" t="s">
        <v>586</v>
      </c>
      <c r="F291" s="1" t="s">
        <v>519</v>
      </c>
      <c r="G291" s="1" t="s">
        <v>485</v>
      </c>
      <c r="H291" s="1" t="n">
        <v>237</v>
      </c>
      <c r="I291" s="1" t="str">
        <f aca="false">B291&amp;"|"&amp;F291&amp;"|"&amp;G291</f>
        <v>High-Rise Row (Town) Houses|CMILL|Excellent</v>
      </c>
      <c r="J291" s="1" t="s">
        <v>587</v>
      </c>
    </row>
    <row r="292" customFormat="false" ht="12" hidden="false" customHeight="true" outlineLevel="0" collapsed="false">
      <c r="B292" s="1" t="s">
        <v>584</v>
      </c>
      <c r="C292" s="1" t="s">
        <v>585</v>
      </c>
      <c r="D292" s="1" t="s">
        <v>496</v>
      </c>
      <c r="E292" s="1" t="s">
        <v>586</v>
      </c>
      <c r="F292" s="1" t="s">
        <v>519</v>
      </c>
      <c r="G292" s="1" t="s">
        <v>483</v>
      </c>
      <c r="H292" s="1" t="n">
        <v>190</v>
      </c>
      <c r="I292" s="1" t="str">
        <f aca="false">B292&amp;"|"&amp;F292&amp;"|"&amp;G292</f>
        <v>High-Rise Row (Town) Houses|CMILL|Good</v>
      </c>
      <c r="J292" s="1" t="s">
        <v>587</v>
      </c>
    </row>
    <row r="293" customFormat="false" ht="12" hidden="false" customHeight="true" outlineLevel="0" collapsed="false">
      <c r="B293" s="1" t="s">
        <v>584</v>
      </c>
      <c r="C293" s="1" t="s">
        <v>585</v>
      </c>
      <c r="D293" s="1" t="s">
        <v>496</v>
      </c>
      <c r="E293" s="1" t="s">
        <v>586</v>
      </c>
      <c r="F293" s="1" t="s">
        <v>519</v>
      </c>
      <c r="G293" s="1" t="s">
        <v>279</v>
      </c>
      <c r="H293" s="1" t="n">
        <v>153</v>
      </c>
      <c r="I293" s="1" t="str">
        <f aca="false">B293&amp;"|"&amp;F293&amp;"|"&amp;G293</f>
        <v>High-Rise Row (Town) Houses|CMILL|Average</v>
      </c>
      <c r="J293" s="1" t="s">
        <v>587</v>
      </c>
    </row>
    <row r="294" customFormat="false" ht="12" hidden="false" customHeight="true" outlineLevel="0" collapsed="false">
      <c r="B294" s="1" t="s">
        <v>584</v>
      </c>
      <c r="C294" s="1" t="s">
        <v>585</v>
      </c>
      <c r="D294" s="1" t="s">
        <v>496</v>
      </c>
      <c r="E294" s="1" t="s">
        <v>586</v>
      </c>
      <c r="F294" s="1" t="s">
        <v>508</v>
      </c>
      <c r="G294" s="1" t="s">
        <v>485</v>
      </c>
      <c r="H294" s="1" t="n">
        <v>218</v>
      </c>
      <c r="I294" s="1" t="str">
        <f aca="false">B294&amp;"|"&amp;F294&amp;"|"&amp;G294</f>
        <v>High-Rise Row (Town) Houses|DMASVEN|Excellent</v>
      </c>
      <c r="J294" s="1" t="s">
        <v>587</v>
      </c>
    </row>
    <row r="295" customFormat="false" ht="12" hidden="false" customHeight="true" outlineLevel="0" collapsed="false">
      <c r="B295" s="1" t="s">
        <v>584</v>
      </c>
      <c r="C295" s="1" t="s">
        <v>585</v>
      </c>
      <c r="D295" s="1" t="s">
        <v>496</v>
      </c>
      <c r="E295" s="1" t="s">
        <v>586</v>
      </c>
      <c r="F295" s="1" t="s">
        <v>508</v>
      </c>
      <c r="G295" s="1" t="s">
        <v>483</v>
      </c>
      <c r="H295" s="1" t="n">
        <v>163</v>
      </c>
      <c r="I295" s="1" t="str">
        <f aca="false">B295&amp;"|"&amp;F295&amp;"|"&amp;G295</f>
        <v>High-Rise Row (Town) Houses|DMASVEN|Good</v>
      </c>
      <c r="J295" s="1" t="s">
        <v>587</v>
      </c>
    </row>
    <row r="296" customFormat="false" ht="12" hidden="false" customHeight="true" outlineLevel="0" collapsed="false">
      <c r="B296" s="1" t="s">
        <v>584</v>
      </c>
      <c r="C296" s="1" t="s">
        <v>585</v>
      </c>
      <c r="D296" s="1" t="s">
        <v>496</v>
      </c>
      <c r="E296" s="1" t="s">
        <v>586</v>
      </c>
      <c r="F296" s="1" t="s">
        <v>508</v>
      </c>
      <c r="G296" s="1" t="s">
        <v>279</v>
      </c>
      <c r="H296" s="1" t="n">
        <v>125</v>
      </c>
      <c r="I296" s="1" t="str">
        <f aca="false">B296&amp;"|"&amp;F296&amp;"|"&amp;G296</f>
        <v>High-Rise Row (Town) Houses|DMASVEN|Average</v>
      </c>
      <c r="J296" s="1" t="s">
        <v>587</v>
      </c>
    </row>
    <row r="297" customFormat="false" ht="12" hidden="false" customHeight="true" outlineLevel="0" collapsed="false">
      <c r="B297" s="1" t="s">
        <v>584</v>
      </c>
      <c r="C297" s="1" t="s">
        <v>585</v>
      </c>
      <c r="D297" s="1" t="s">
        <v>496</v>
      </c>
      <c r="E297" s="1" t="s">
        <v>586</v>
      </c>
      <c r="F297" s="1" t="s">
        <v>468</v>
      </c>
      <c r="G297" s="1" t="s">
        <v>485</v>
      </c>
      <c r="H297" s="1" t="n">
        <v>209</v>
      </c>
      <c r="I297" s="1" t="str">
        <f aca="false">B297&amp;"|"&amp;F297&amp;"|"&amp;G297</f>
        <v>High-Rise Row (Town) Houses|D|Excellent</v>
      </c>
      <c r="J297" s="1" t="s">
        <v>587</v>
      </c>
    </row>
    <row r="298" customFormat="false" ht="12" hidden="false" customHeight="true" outlineLevel="0" collapsed="false">
      <c r="B298" s="1" t="s">
        <v>584</v>
      </c>
      <c r="C298" s="1" t="s">
        <v>585</v>
      </c>
      <c r="D298" s="1" t="s">
        <v>496</v>
      </c>
      <c r="E298" s="1" t="s">
        <v>586</v>
      </c>
      <c r="F298" s="1" t="s">
        <v>468</v>
      </c>
      <c r="G298" s="1" t="s">
        <v>483</v>
      </c>
      <c r="H298" s="1" t="n">
        <v>157</v>
      </c>
      <c r="I298" s="1" t="str">
        <f aca="false">B298&amp;"|"&amp;F298&amp;"|"&amp;G298</f>
        <v>High-Rise Row (Town) Houses|D|Good</v>
      </c>
      <c r="J298" s="1" t="s">
        <v>587</v>
      </c>
    </row>
    <row r="299" customFormat="false" ht="12" hidden="false" customHeight="true" outlineLevel="0" collapsed="false">
      <c r="B299" s="1" t="s">
        <v>584</v>
      </c>
      <c r="C299" s="1" t="s">
        <v>585</v>
      </c>
      <c r="D299" s="1" t="s">
        <v>496</v>
      </c>
      <c r="E299" s="1" t="s">
        <v>586</v>
      </c>
      <c r="F299" s="1" t="s">
        <v>468</v>
      </c>
      <c r="G299" s="1" t="s">
        <v>279</v>
      </c>
      <c r="H299" s="1" t="n">
        <v>121</v>
      </c>
      <c r="I299" s="1" t="str">
        <f aca="false">B299&amp;"|"&amp;F299&amp;"|"&amp;G299</f>
        <v>High-Rise Row (Town) Houses|D|Average</v>
      </c>
      <c r="J299" s="1" t="s">
        <v>587</v>
      </c>
    </row>
    <row r="300" customFormat="false" ht="12" hidden="false" customHeight="true" outlineLevel="0" collapsed="false">
      <c r="B300" s="1" t="s">
        <v>588</v>
      </c>
      <c r="C300" s="1" t="s">
        <v>589</v>
      </c>
      <c r="D300" s="1" t="s">
        <v>590</v>
      </c>
      <c r="E300" s="1" t="s">
        <v>591</v>
      </c>
      <c r="F300" s="1" t="s">
        <v>463</v>
      </c>
      <c r="G300" s="1" t="s">
        <v>485</v>
      </c>
      <c r="H300" s="1" t="n">
        <v>237</v>
      </c>
      <c r="I300" s="1" t="str">
        <f aca="false">B300&amp;"|"&amp;F300&amp;"|"&amp;G300</f>
        <v>Motels|C|Excellent</v>
      </c>
      <c r="J300" s="1" t="s">
        <v>592</v>
      </c>
    </row>
    <row r="301" customFormat="false" ht="12" hidden="false" customHeight="true" outlineLevel="0" collapsed="false">
      <c r="B301" s="1" t="s">
        <v>588</v>
      </c>
      <c r="C301" s="1" t="s">
        <v>589</v>
      </c>
      <c r="D301" s="1" t="s">
        <v>590</v>
      </c>
      <c r="E301" s="1" t="s">
        <v>591</v>
      </c>
      <c r="F301" s="1" t="s">
        <v>463</v>
      </c>
      <c r="G301" s="1" t="s">
        <v>483</v>
      </c>
      <c r="H301" s="1" t="n">
        <v>176</v>
      </c>
      <c r="I301" s="1" t="str">
        <f aca="false">B301&amp;"|"&amp;F301&amp;"|"&amp;G301</f>
        <v>Motels|C|Good</v>
      </c>
      <c r="J301" s="1" t="s">
        <v>592</v>
      </c>
    </row>
    <row r="302" customFormat="false" ht="12" hidden="false" customHeight="true" outlineLevel="0" collapsed="false">
      <c r="B302" s="1" t="s">
        <v>588</v>
      </c>
      <c r="C302" s="1" t="s">
        <v>589</v>
      </c>
      <c r="D302" s="1" t="s">
        <v>590</v>
      </c>
      <c r="E302" s="1" t="s">
        <v>591</v>
      </c>
      <c r="F302" s="1" t="s">
        <v>463</v>
      </c>
      <c r="G302" s="1" t="s">
        <v>279</v>
      </c>
      <c r="H302" s="1" t="n">
        <v>128</v>
      </c>
      <c r="I302" s="1" t="str">
        <f aca="false">B302&amp;"|"&amp;F302&amp;"|"&amp;G302</f>
        <v>Motels|C|Average</v>
      </c>
      <c r="J302" s="1" t="s">
        <v>592</v>
      </c>
    </row>
    <row r="303" customFormat="false" ht="12" hidden="false" customHeight="true" outlineLevel="0" collapsed="false">
      <c r="B303" s="1" t="s">
        <v>588</v>
      </c>
      <c r="C303" s="1" t="s">
        <v>589</v>
      </c>
      <c r="D303" s="1" t="s">
        <v>590</v>
      </c>
      <c r="E303" s="1" t="s">
        <v>591</v>
      </c>
      <c r="F303" s="1" t="s">
        <v>463</v>
      </c>
      <c r="G303" s="1" t="s">
        <v>555</v>
      </c>
      <c r="H303" s="1" t="n">
        <v>112</v>
      </c>
      <c r="I303" s="1" t="str">
        <f aca="false">B303&amp;"|"&amp;F303&amp;"|"&amp;G303</f>
        <v>Motels|C|Fair</v>
      </c>
      <c r="J303" s="1" t="s">
        <v>592</v>
      </c>
    </row>
    <row r="304" customFormat="false" ht="12" hidden="false" customHeight="true" outlineLevel="0" collapsed="false">
      <c r="B304" s="1" t="s">
        <v>588</v>
      </c>
      <c r="C304" s="1" t="s">
        <v>589</v>
      </c>
      <c r="D304" s="1" t="s">
        <v>590</v>
      </c>
      <c r="E304" s="1" t="s">
        <v>591</v>
      </c>
      <c r="F304" s="1" t="s">
        <v>463</v>
      </c>
      <c r="G304" s="1" t="s">
        <v>480</v>
      </c>
      <c r="H304" s="1" t="n">
        <v>95</v>
      </c>
      <c r="I304" s="1" t="str">
        <f aca="false">B304&amp;"|"&amp;F304&amp;"|"&amp;G304</f>
        <v>Motels|C|Low Cost</v>
      </c>
      <c r="J304" s="1" t="s">
        <v>592</v>
      </c>
    </row>
    <row r="305" customFormat="false" ht="12" hidden="false" customHeight="true" outlineLevel="0" collapsed="false">
      <c r="B305" s="1" t="s">
        <v>588</v>
      </c>
      <c r="C305" s="1" t="s">
        <v>589</v>
      </c>
      <c r="D305" s="1" t="s">
        <v>590</v>
      </c>
      <c r="E305" s="1" t="s">
        <v>591</v>
      </c>
      <c r="F305" s="1" t="s">
        <v>463</v>
      </c>
      <c r="G305" s="1" t="s">
        <v>567</v>
      </c>
      <c r="H305" s="1" t="n">
        <v>79</v>
      </c>
      <c r="I305" s="1" t="str">
        <f aca="false">B305&amp;"|"&amp;F305&amp;"|"&amp;G305</f>
        <v>Motels|C|Cheap</v>
      </c>
      <c r="J305" s="1" t="s">
        <v>592</v>
      </c>
    </row>
    <row r="306" customFormat="false" ht="12" hidden="false" customHeight="true" outlineLevel="0" collapsed="false">
      <c r="B306" s="1" t="s">
        <v>588</v>
      </c>
      <c r="C306" s="1" t="s">
        <v>589</v>
      </c>
      <c r="D306" s="1" t="s">
        <v>590</v>
      </c>
      <c r="E306" s="1" t="s">
        <v>591</v>
      </c>
      <c r="F306" s="1" t="s">
        <v>468</v>
      </c>
      <c r="G306" s="1" t="s">
        <v>485</v>
      </c>
      <c r="H306" s="1" t="n">
        <v>233</v>
      </c>
      <c r="I306" s="1" t="str">
        <f aca="false">B306&amp;"|"&amp;F306&amp;"|"&amp;G306</f>
        <v>Motels|D|Excellent</v>
      </c>
      <c r="J306" s="1" t="s">
        <v>592</v>
      </c>
    </row>
    <row r="307" customFormat="false" ht="12" hidden="false" customHeight="true" outlineLevel="0" collapsed="false">
      <c r="B307" s="1" t="s">
        <v>588</v>
      </c>
      <c r="C307" s="1" t="s">
        <v>589</v>
      </c>
      <c r="D307" s="1" t="s">
        <v>590</v>
      </c>
      <c r="E307" s="1" t="s">
        <v>591</v>
      </c>
      <c r="F307" s="1" t="s">
        <v>468</v>
      </c>
      <c r="G307" s="1" t="s">
        <v>483</v>
      </c>
      <c r="H307" s="1" t="n">
        <v>172</v>
      </c>
      <c r="I307" s="1" t="str">
        <f aca="false">B307&amp;"|"&amp;F307&amp;"|"&amp;G307</f>
        <v>Motels|D|Good</v>
      </c>
      <c r="J307" s="1" t="s">
        <v>592</v>
      </c>
    </row>
    <row r="308" customFormat="false" ht="12" hidden="false" customHeight="true" outlineLevel="0" collapsed="false">
      <c r="B308" s="1" t="s">
        <v>588</v>
      </c>
      <c r="C308" s="1" t="s">
        <v>589</v>
      </c>
      <c r="D308" s="1" t="s">
        <v>590</v>
      </c>
      <c r="E308" s="1" t="s">
        <v>591</v>
      </c>
      <c r="F308" s="1" t="s">
        <v>468</v>
      </c>
      <c r="G308" s="1" t="s">
        <v>279</v>
      </c>
      <c r="H308" s="1" t="n">
        <v>125</v>
      </c>
      <c r="I308" s="1" t="str">
        <f aca="false">B308&amp;"|"&amp;F308&amp;"|"&amp;G308</f>
        <v>Motels|D|Average</v>
      </c>
      <c r="J308" s="1" t="s">
        <v>592</v>
      </c>
    </row>
    <row r="309" customFormat="false" ht="12" hidden="false" customHeight="true" outlineLevel="0" collapsed="false">
      <c r="B309" s="1" t="s">
        <v>588</v>
      </c>
      <c r="C309" s="1" t="s">
        <v>589</v>
      </c>
      <c r="D309" s="1" t="s">
        <v>590</v>
      </c>
      <c r="E309" s="1" t="s">
        <v>591</v>
      </c>
      <c r="F309" s="1" t="s">
        <v>468</v>
      </c>
      <c r="G309" s="1" t="s">
        <v>555</v>
      </c>
      <c r="H309" s="1" t="n">
        <v>109</v>
      </c>
      <c r="I309" s="1" t="str">
        <f aca="false">B309&amp;"|"&amp;F309&amp;"|"&amp;G309</f>
        <v>Motels|D|Fair</v>
      </c>
      <c r="J309" s="1" t="s">
        <v>592</v>
      </c>
    </row>
    <row r="310" customFormat="false" ht="12" hidden="false" customHeight="true" outlineLevel="0" collapsed="false">
      <c r="B310" s="1" t="s">
        <v>588</v>
      </c>
      <c r="C310" s="1" t="s">
        <v>589</v>
      </c>
      <c r="D310" s="1" t="s">
        <v>590</v>
      </c>
      <c r="E310" s="1" t="s">
        <v>591</v>
      </c>
      <c r="F310" s="1" t="s">
        <v>468</v>
      </c>
      <c r="G310" s="1" t="s">
        <v>480</v>
      </c>
      <c r="H310" s="1" t="n">
        <v>92.5</v>
      </c>
      <c r="I310" s="1" t="str">
        <f aca="false">B310&amp;"|"&amp;F310&amp;"|"&amp;G310</f>
        <v>Motels|D|Low Cost</v>
      </c>
      <c r="J310" s="1" t="s">
        <v>592</v>
      </c>
    </row>
    <row r="311" customFormat="false" ht="12" hidden="false" customHeight="true" outlineLevel="0" collapsed="false">
      <c r="B311" s="1" t="s">
        <v>588</v>
      </c>
      <c r="C311" s="1" t="s">
        <v>589</v>
      </c>
      <c r="D311" s="1" t="s">
        <v>590</v>
      </c>
      <c r="E311" s="1" t="s">
        <v>591</v>
      </c>
      <c r="F311" s="1" t="s">
        <v>468</v>
      </c>
      <c r="G311" s="1" t="s">
        <v>567</v>
      </c>
      <c r="H311" s="1" t="n">
        <v>77</v>
      </c>
      <c r="I311" s="1" t="str">
        <f aca="false">B311&amp;"|"&amp;F311&amp;"|"&amp;G311</f>
        <v>Motels|D|Cheap</v>
      </c>
      <c r="J311" s="1" t="s">
        <v>592</v>
      </c>
    </row>
    <row r="312" customFormat="false" ht="12" hidden="false" customHeight="true" outlineLevel="0" collapsed="false">
      <c r="B312" s="1" t="s">
        <v>588</v>
      </c>
      <c r="C312" s="1" t="s">
        <v>589</v>
      </c>
      <c r="D312" s="1" t="s">
        <v>590</v>
      </c>
      <c r="E312" s="1" t="s">
        <v>591</v>
      </c>
      <c r="F312" s="1" t="s">
        <v>473</v>
      </c>
      <c r="G312" s="1" t="s">
        <v>279</v>
      </c>
      <c r="H312" s="1" t="n">
        <v>122</v>
      </c>
      <c r="I312" s="1" t="str">
        <f aca="false">B312&amp;"|"&amp;F312&amp;"|"&amp;G312</f>
        <v>Motels|S|Average</v>
      </c>
      <c r="J312" s="1" t="s">
        <v>592</v>
      </c>
    </row>
    <row r="313" customFormat="false" ht="12" hidden="false" customHeight="true" outlineLevel="0" collapsed="false">
      <c r="B313" s="1" t="s">
        <v>593</v>
      </c>
      <c r="C313" s="1" t="s">
        <v>594</v>
      </c>
      <c r="D313" s="1" t="s">
        <v>590</v>
      </c>
      <c r="E313" s="1" t="s">
        <v>595</v>
      </c>
      <c r="F313" s="1" t="s">
        <v>463</v>
      </c>
      <c r="G313" s="1" t="s">
        <v>485</v>
      </c>
      <c r="H313" s="1" t="n">
        <v>115</v>
      </c>
      <c r="I313" s="1" t="str">
        <f aca="false">B313&amp;"|"&amp;F313&amp;"|"&amp;G313</f>
        <v>Shell Motels|C|Excellent</v>
      </c>
      <c r="J313" s="1" t="s">
        <v>596</v>
      </c>
    </row>
    <row r="314" customFormat="false" ht="12" hidden="false" customHeight="true" outlineLevel="0" collapsed="false">
      <c r="B314" s="1" t="s">
        <v>593</v>
      </c>
      <c r="C314" s="1" t="s">
        <v>594</v>
      </c>
      <c r="D314" s="1" t="s">
        <v>590</v>
      </c>
      <c r="E314" s="1" t="s">
        <v>595</v>
      </c>
      <c r="F314" s="1" t="s">
        <v>463</v>
      </c>
      <c r="G314" s="1" t="s">
        <v>483</v>
      </c>
      <c r="H314" s="1" t="n">
        <v>89</v>
      </c>
      <c r="I314" s="1" t="str">
        <f aca="false">B314&amp;"|"&amp;F314&amp;"|"&amp;G314</f>
        <v>Shell Motels|C|Good</v>
      </c>
      <c r="J314" s="1" t="s">
        <v>596</v>
      </c>
    </row>
    <row r="315" customFormat="false" ht="12" hidden="false" customHeight="true" outlineLevel="0" collapsed="false">
      <c r="B315" s="1" t="s">
        <v>593</v>
      </c>
      <c r="C315" s="1" t="s">
        <v>594</v>
      </c>
      <c r="D315" s="1" t="s">
        <v>590</v>
      </c>
      <c r="E315" s="1" t="s">
        <v>595</v>
      </c>
      <c r="F315" s="1" t="s">
        <v>463</v>
      </c>
      <c r="G315" s="1" t="s">
        <v>279</v>
      </c>
      <c r="H315" s="1" t="n">
        <v>69</v>
      </c>
      <c r="I315" s="1" t="str">
        <f aca="false">B315&amp;"|"&amp;F315&amp;"|"&amp;G315</f>
        <v>Shell Motels|C|Average</v>
      </c>
      <c r="J315" s="1" t="s">
        <v>596</v>
      </c>
    </row>
    <row r="316" customFormat="false" ht="12" hidden="false" customHeight="true" outlineLevel="0" collapsed="false">
      <c r="B316" s="1" t="s">
        <v>593</v>
      </c>
      <c r="C316" s="1" t="s">
        <v>594</v>
      </c>
      <c r="D316" s="1" t="s">
        <v>590</v>
      </c>
      <c r="E316" s="1" t="s">
        <v>595</v>
      </c>
      <c r="F316" s="1" t="s">
        <v>463</v>
      </c>
      <c r="G316" s="1" t="s">
        <v>555</v>
      </c>
      <c r="H316" s="1" t="n">
        <v>61</v>
      </c>
      <c r="I316" s="1" t="str">
        <f aca="false">B316&amp;"|"&amp;F316&amp;"|"&amp;G316</f>
        <v>Shell Motels|C|Fair</v>
      </c>
      <c r="J316" s="1" t="s">
        <v>596</v>
      </c>
    </row>
    <row r="317" customFormat="false" ht="12" hidden="false" customHeight="true" outlineLevel="0" collapsed="false">
      <c r="B317" s="1" t="s">
        <v>593</v>
      </c>
      <c r="C317" s="1" t="s">
        <v>594</v>
      </c>
      <c r="D317" s="1" t="s">
        <v>590</v>
      </c>
      <c r="E317" s="1" t="s">
        <v>595</v>
      </c>
      <c r="F317" s="1" t="s">
        <v>463</v>
      </c>
      <c r="G317" s="1" t="s">
        <v>480</v>
      </c>
      <c r="H317" s="1" t="n">
        <v>53.5</v>
      </c>
      <c r="I317" s="1" t="str">
        <f aca="false">B317&amp;"|"&amp;F317&amp;"|"&amp;G317</f>
        <v>Shell Motels|C|Low Cost</v>
      </c>
      <c r="J317" s="1" t="s">
        <v>596</v>
      </c>
    </row>
    <row r="318" customFormat="false" ht="12" hidden="false" customHeight="true" outlineLevel="0" collapsed="false">
      <c r="B318" s="1" t="s">
        <v>593</v>
      </c>
      <c r="C318" s="1" t="s">
        <v>594</v>
      </c>
      <c r="D318" s="1" t="s">
        <v>590</v>
      </c>
      <c r="E318" s="1" t="s">
        <v>595</v>
      </c>
      <c r="F318" s="1" t="s">
        <v>463</v>
      </c>
      <c r="G318" s="1" t="s">
        <v>567</v>
      </c>
      <c r="H318" s="1" t="n">
        <v>45.25</v>
      </c>
      <c r="I318" s="1" t="str">
        <f aca="false">B318&amp;"|"&amp;F318&amp;"|"&amp;G318</f>
        <v>Shell Motels|C|Cheap</v>
      </c>
      <c r="J318" s="1" t="s">
        <v>596</v>
      </c>
    </row>
    <row r="319" customFormat="false" ht="12" hidden="false" customHeight="true" outlineLevel="0" collapsed="false">
      <c r="B319" s="1" t="s">
        <v>593</v>
      </c>
      <c r="C319" s="1" t="s">
        <v>594</v>
      </c>
      <c r="D319" s="1" t="s">
        <v>590</v>
      </c>
      <c r="E319" s="1" t="s">
        <v>595</v>
      </c>
      <c r="F319" s="1" t="s">
        <v>468</v>
      </c>
      <c r="G319" s="1" t="s">
        <v>485</v>
      </c>
      <c r="H319" s="1" t="n">
        <v>110</v>
      </c>
      <c r="I319" s="1" t="str">
        <f aca="false">B319&amp;"|"&amp;F319&amp;"|"&amp;G319</f>
        <v>Shell Motels|D|Excellent</v>
      </c>
      <c r="J319" s="1" t="s">
        <v>596</v>
      </c>
    </row>
    <row r="320" customFormat="false" ht="12" hidden="false" customHeight="true" outlineLevel="0" collapsed="false">
      <c r="B320" s="1" t="s">
        <v>593</v>
      </c>
      <c r="C320" s="1" t="s">
        <v>594</v>
      </c>
      <c r="D320" s="1" t="s">
        <v>590</v>
      </c>
      <c r="E320" s="1" t="s">
        <v>595</v>
      </c>
      <c r="F320" s="1" t="s">
        <v>468</v>
      </c>
      <c r="G320" s="1" t="s">
        <v>483</v>
      </c>
      <c r="H320" s="1" t="n">
        <v>85</v>
      </c>
      <c r="I320" s="1" t="str">
        <f aca="false">B320&amp;"|"&amp;F320&amp;"|"&amp;G320</f>
        <v>Shell Motels|D|Good</v>
      </c>
      <c r="J320" s="1" t="s">
        <v>596</v>
      </c>
    </row>
    <row r="321" customFormat="false" ht="12" hidden="false" customHeight="true" outlineLevel="0" collapsed="false">
      <c r="B321" s="1" t="s">
        <v>593</v>
      </c>
      <c r="C321" s="1" t="s">
        <v>594</v>
      </c>
      <c r="D321" s="1" t="s">
        <v>590</v>
      </c>
      <c r="E321" s="1" t="s">
        <v>595</v>
      </c>
      <c r="F321" s="1" t="s">
        <v>468</v>
      </c>
      <c r="G321" s="1" t="s">
        <v>279</v>
      </c>
      <c r="H321" s="1" t="n">
        <v>65.5</v>
      </c>
      <c r="I321" s="1" t="str">
        <f aca="false">B321&amp;"|"&amp;F321&amp;"|"&amp;G321</f>
        <v>Shell Motels|D|Average</v>
      </c>
      <c r="J321" s="1" t="s">
        <v>596</v>
      </c>
    </row>
    <row r="322" customFormat="false" ht="12" hidden="false" customHeight="true" outlineLevel="0" collapsed="false">
      <c r="B322" s="1" t="s">
        <v>593</v>
      </c>
      <c r="C322" s="1" t="s">
        <v>594</v>
      </c>
      <c r="D322" s="1" t="s">
        <v>590</v>
      </c>
      <c r="E322" s="1" t="s">
        <v>595</v>
      </c>
      <c r="F322" s="1" t="s">
        <v>468</v>
      </c>
      <c r="G322" s="1" t="s">
        <v>555</v>
      </c>
      <c r="H322" s="1" t="n">
        <v>57.5</v>
      </c>
      <c r="I322" s="1" t="str">
        <f aca="false">B322&amp;"|"&amp;F322&amp;"|"&amp;G322</f>
        <v>Shell Motels|D|Fair</v>
      </c>
      <c r="J322" s="1" t="s">
        <v>596</v>
      </c>
    </row>
    <row r="323" customFormat="false" ht="12" hidden="false" customHeight="true" outlineLevel="0" collapsed="false">
      <c r="B323" s="1" t="s">
        <v>593</v>
      </c>
      <c r="C323" s="1" t="s">
        <v>594</v>
      </c>
      <c r="D323" s="1" t="s">
        <v>590</v>
      </c>
      <c r="E323" s="1" t="s">
        <v>595</v>
      </c>
      <c r="F323" s="1" t="s">
        <v>468</v>
      </c>
      <c r="G323" s="1" t="s">
        <v>480</v>
      </c>
      <c r="H323" s="1" t="n">
        <v>50.5</v>
      </c>
      <c r="I323" s="1" t="str">
        <f aca="false">B323&amp;"|"&amp;F323&amp;"|"&amp;G323</f>
        <v>Shell Motels|D|Low Cost</v>
      </c>
      <c r="J323" s="1" t="s">
        <v>596</v>
      </c>
    </row>
    <row r="324" customFormat="false" ht="12" hidden="false" customHeight="true" outlineLevel="0" collapsed="false">
      <c r="B324" s="1" t="s">
        <v>593</v>
      </c>
      <c r="C324" s="1" t="s">
        <v>594</v>
      </c>
      <c r="D324" s="1" t="s">
        <v>590</v>
      </c>
      <c r="E324" s="1" t="s">
        <v>595</v>
      </c>
      <c r="F324" s="1" t="s">
        <v>468</v>
      </c>
      <c r="G324" s="1" t="s">
        <v>567</v>
      </c>
      <c r="H324" s="1" t="n">
        <v>42.75</v>
      </c>
      <c r="I324" s="1" t="str">
        <f aca="false">B324&amp;"|"&amp;F324&amp;"|"&amp;G324</f>
        <v>Shell Motels|D|Cheap</v>
      </c>
      <c r="J324" s="1" t="s">
        <v>596</v>
      </c>
    </row>
    <row r="325" customFormat="false" ht="12" hidden="false" customHeight="true" outlineLevel="0" collapsed="false">
      <c r="B325" s="1" t="s">
        <v>593</v>
      </c>
      <c r="C325" s="1" t="s">
        <v>594</v>
      </c>
      <c r="D325" s="1" t="s">
        <v>590</v>
      </c>
      <c r="E325" s="1" t="s">
        <v>595</v>
      </c>
      <c r="F325" s="1" t="s">
        <v>473</v>
      </c>
      <c r="G325" s="1" t="s">
        <v>279</v>
      </c>
      <c r="H325" s="1" t="n">
        <v>63.5</v>
      </c>
      <c r="I325" s="1" t="str">
        <f aca="false">B325&amp;"|"&amp;F325&amp;"|"&amp;G325</f>
        <v>Shell Motels|S|Average</v>
      </c>
      <c r="J325" s="1" t="s">
        <v>596</v>
      </c>
    </row>
    <row r="326" customFormat="false" ht="12" hidden="false" customHeight="true" outlineLevel="0" collapsed="false">
      <c r="B326" s="1" t="s">
        <v>597</v>
      </c>
      <c r="C326" s="1" t="s">
        <v>598</v>
      </c>
      <c r="D326" s="1" t="s">
        <v>590</v>
      </c>
      <c r="E326" s="1" t="s">
        <v>496</v>
      </c>
      <c r="F326" s="1" t="s">
        <v>463</v>
      </c>
      <c r="G326" s="1" t="s">
        <v>485</v>
      </c>
      <c r="H326" s="1" t="n">
        <v>189</v>
      </c>
      <c r="I326" s="1" t="str">
        <f aca="false">B326&amp;"|"&amp;F326&amp;"|"&amp;G326</f>
        <v>Extended-Stay Motels|C|Excellent</v>
      </c>
      <c r="J326" s="1" t="s">
        <v>599</v>
      </c>
    </row>
    <row r="327" customFormat="false" ht="12" hidden="false" customHeight="true" outlineLevel="0" collapsed="false">
      <c r="B327" s="1" t="s">
        <v>597</v>
      </c>
      <c r="C327" s="1" t="s">
        <v>598</v>
      </c>
      <c r="D327" s="1" t="s">
        <v>590</v>
      </c>
      <c r="E327" s="1" t="s">
        <v>496</v>
      </c>
      <c r="F327" s="1" t="s">
        <v>463</v>
      </c>
      <c r="G327" s="1" t="s">
        <v>483</v>
      </c>
      <c r="H327" s="1" t="n">
        <v>152</v>
      </c>
      <c r="I327" s="1" t="str">
        <f aca="false">B327&amp;"|"&amp;F327&amp;"|"&amp;G327</f>
        <v>Extended-Stay Motels|C|Good</v>
      </c>
      <c r="J327" s="1" t="s">
        <v>599</v>
      </c>
    </row>
    <row r="328" customFormat="false" ht="12" hidden="false" customHeight="true" outlineLevel="0" collapsed="false">
      <c r="B328" s="1" t="s">
        <v>597</v>
      </c>
      <c r="C328" s="1" t="s">
        <v>598</v>
      </c>
      <c r="D328" s="1" t="s">
        <v>590</v>
      </c>
      <c r="E328" s="1" t="s">
        <v>496</v>
      </c>
      <c r="F328" s="1" t="s">
        <v>463</v>
      </c>
      <c r="G328" s="1" t="s">
        <v>279</v>
      </c>
      <c r="H328" s="1" t="n">
        <v>121</v>
      </c>
      <c r="I328" s="1" t="str">
        <f aca="false">B328&amp;"|"&amp;F328&amp;"|"&amp;G328</f>
        <v>Extended-Stay Motels|C|Average</v>
      </c>
      <c r="J328" s="1" t="s">
        <v>599</v>
      </c>
    </row>
    <row r="329" customFormat="false" ht="12" hidden="false" customHeight="true" outlineLevel="0" collapsed="false">
      <c r="B329" s="1" t="s">
        <v>597</v>
      </c>
      <c r="C329" s="1" t="s">
        <v>598</v>
      </c>
      <c r="D329" s="1" t="s">
        <v>590</v>
      </c>
      <c r="E329" s="1" t="s">
        <v>496</v>
      </c>
      <c r="F329" s="1" t="s">
        <v>463</v>
      </c>
      <c r="G329" s="1" t="s">
        <v>555</v>
      </c>
      <c r="H329" s="1" t="n">
        <v>109</v>
      </c>
      <c r="I329" s="1" t="str">
        <f aca="false">B329&amp;"|"&amp;F329&amp;"|"&amp;G329</f>
        <v>Extended-Stay Motels|C|Fair</v>
      </c>
      <c r="J329" s="1" t="s">
        <v>599</v>
      </c>
    </row>
    <row r="330" customFormat="false" ht="12" hidden="false" customHeight="true" outlineLevel="0" collapsed="false">
      <c r="B330" s="1" t="s">
        <v>597</v>
      </c>
      <c r="C330" s="1" t="s">
        <v>598</v>
      </c>
      <c r="D330" s="1" t="s">
        <v>590</v>
      </c>
      <c r="E330" s="1" t="s">
        <v>496</v>
      </c>
      <c r="F330" s="1" t="s">
        <v>463</v>
      </c>
      <c r="G330" s="1" t="s">
        <v>480</v>
      </c>
      <c r="H330" s="1" t="n">
        <v>98.5</v>
      </c>
      <c r="I330" s="1" t="str">
        <f aca="false">B330&amp;"|"&amp;F330&amp;"|"&amp;G330</f>
        <v>Extended-Stay Motels|C|Low Cost</v>
      </c>
      <c r="J330" s="1" t="s">
        <v>599</v>
      </c>
    </row>
    <row r="331" customFormat="false" ht="12" hidden="false" customHeight="true" outlineLevel="0" collapsed="false">
      <c r="B331" s="1" t="s">
        <v>597</v>
      </c>
      <c r="C331" s="1" t="s">
        <v>598</v>
      </c>
      <c r="D331" s="1" t="s">
        <v>590</v>
      </c>
      <c r="E331" s="1" t="s">
        <v>496</v>
      </c>
      <c r="F331" s="1" t="s">
        <v>468</v>
      </c>
      <c r="G331" s="1" t="s">
        <v>485</v>
      </c>
      <c r="H331" s="1" t="n">
        <v>184</v>
      </c>
      <c r="I331" s="1" t="str">
        <f aca="false">B331&amp;"|"&amp;F331&amp;"|"&amp;G331</f>
        <v>Extended-Stay Motels|D|Excellent</v>
      </c>
      <c r="J331" s="1" t="s">
        <v>599</v>
      </c>
    </row>
    <row r="332" customFormat="false" ht="12" hidden="false" customHeight="true" outlineLevel="0" collapsed="false">
      <c r="B332" s="1" t="s">
        <v>597</v>
      </c>
      <c r="C332" s="1" t="s">
        <v>598</v>
      </c>
      <c r="D332" s="1" t="s">
        <v>590</v>
      </c>
      <c r="E332" s="1" t="s">
        <v>496</v>
      </c>
      <c r="F332" s="1" t="s">
        <v>468</v>
      </c>
      <c r="G332" s="1" t="s">
        <v>483</v>
      </c>
      <c r="H332" s="1" t="n">
        <v>148</v>
      </c>
      <c r="I332" s="1" t="str">
        <f aca="false">B332&amp;"|"&amp;F332&amp;"|"&amp;G332</f>
        <v>Extended-Stay Motels|D|Good</v>
      </c>
      <c r="J332" s="1" t="s">
        <v>599</v>
      </c>
    </row>
    <row r="333" customFormat="false" ht="12" hidden="false" customHeight="true" outlineLevel="0" collapsed="false">
      <c r="B333" s="1" t="s">
        <v>597</v>
      </c>
      <c r="C333" s="1" t="s">
        <v>598</v>
      </c>
      <c r="D333" s="1" t="s">
        <v>590</v>
      </c>
      <c r="E333" s="1" t="s">
        <v>496</v>
      </c>
      <c r="F333" s="1" t="s">
        <v>468</v>
      </c>
      <c r="G333" s="1" t="s">
        <v>279</v>
      </c>
      <c r="H333" s="1" t="n">
        <v>117</v>
      </c>
      <c r="I333" s="1" t="str">
        <f aca="false">B333&amp;"|"&amp;F333&amp;"|"&amp;G333</f>
        <v>Extended-Stay Motels|D|Average</v>
      </c>
      <c r="J333" s="1" t="s">
        <v>599</v>
      </c>
    </row>
    <row r="334" customFormat="false" ht="12" hidden="false" customHeight="true" outlineLevel="0" collapsed="false">
      <c r="B334" s="1" t="s">
        <v>597</v>
      </c>
      <c r="C334" s="1" t="s">
        <v>598</v>
      </c>
      <c r="D334" s="1" t="s">
        <v>590</v>
      </c>
      <c r="E334" s="1" t="s">
        <v>496</v>
      </c>
      <c r="F334" s="1" t="s">
        <v>468</v>
      </c>
      <c r="G334" s="1" t="s">
        <v>555</v>
      </c>
      <c r="H334" s="1" t="n">
        <v>106</v>
      </c>
      <c r="I334" s="1" t="str">
        <f aca="false">B334&amp;"|"&amp;F334&amp;"|"&amp;G334</f>
        <v>Extended-Stay Motels|D|Fair</v>
      </c>
      <c r="J334" s="1" t="s">
        <v>599</v>
      </c>
    </row>
    <row r="335" customFormat="false" ht="12" hidden="false" customHeight="true" outlineLevel="0" collapsed="false">
      <c r="B335" s="1" t="s">
        <v>597</v>
      </c>
      <c r="C335" s="1" t="s">
        <v>598</v>
      </c>
      <c r="D335" s="1" t="s">
        <v>590</v>
      </c>
      <c r="E335" s="1" t="s">
        <v>496</v>
      </c>
      <c r="F335" s="1" t="s">
        <v>468</v>
      </c>
      <c r="G335" s="1" t="s">
        <v>480</v>
      </c>
      <c r="H335" s="1" t="n">
        <v>96</v>
      </c>
      <c r="I335" s="1" t="str">
        <f aca="false">B335&amp;"|"&amp;F335&amp;"|"&amp;G335</f>
        <v>Extended-Stay Motels|D|Low Cost</v>
      </c>
      <c r="J335" s="1" t="s">
        <v>599</v>
      </c>
    </row>
    <row r="336" customFormat="false" ht="12" hidden="false" customHeight="true" outlineLevel="0" collapsed="false">
      <c r="B336" s="1" t="s">
        <v>600</v>
      </c>
      <c r="C336" s="1" t="s">
        <v>601</v>
      </c>
      <c r="D336" s="1" t="s">
        <v>590</v>
      </c>
      <c r="E336" s="1" t="s">
        <v>590</v>
      </c>
      <c r="F336" s="1" t="s">
        <v>463</v>
      </c>
      <c r="G336" s="1" t="s">
        <v>485</v>
      </c>
      <c r="H336" s="1" t="n">
        <v>107</v>
      </c>
      <c r="I336" s="1" t="str">
        <f aca="false">B336&amp;"|"&amp;F336&amp;"|"&amp;G336</f>
        <v>Shell Extended Stay - Motels|C|Excellent</v>
      </c>
      <c r="J336" s="1" t="s">
        <v>602</v>
      </c>
    </row>
    <row r="337" customFormat="false" ht="12" hidden="false" customHeight="true" outlineLevel="0" collapsed="false">
      <c r="B337" s="1" t="s">
        <v>600</v>
      </c>
      <c r="C337" s="1" t="s">
        <v>601</v>
      </c>
      <c r="D337" s="1" t="s">
        <v>590</v>
      </c>
      <c r="E337" s="1" t="s">
        <v>590</v>
      </c>
      <c r="F337" s="1" t="s">
        <v>463</v>
      </c>
      <c r="G337" s="1" t="s">
        <v>483</v>
      </c>
      <c r="H337" s="1" t="n">
        <v>88.5</v>
      </c>
      <c r="I337" s="1" t="str">
        <f aca="false">B337&amp;"|"&amp;F337&amp;"|"&amp;G337</f>
        <v>Shell Extended Stay - Motels|C|Good</v>
      </c>
      <c r="J337" s="1" t="s">
        <v>602</v>
      </c>
    </row>
    <row r="338" customFormat="false" ht="12" hidden="false" customHeight="true" outlineLevel="0" collapsed="false">
      <c r="B338" s="1" t="s">
        <v>600</v>
      </c>
      <c r="C338" s="1" t="s">
        <v>601</v>
      </c>
      <c r="D338" s="1" t="s">
        <v>590</v>
      </c>
      <c r="E338" s="1" t="s">
        <v>590</v>
      </c>
      <c r="F338" s="1" t="s">
        <v>463</v>
      </c>
      <c r="G338" s="1" t="s">
        <v>279</v>
      </c>
      <c r="H338" s="1" t="n">
        <v>73</v>
      </c>
      <c r="I338" s="1" t="str">
        <f aca="false">B338&amp;"|"&amp;F338&amp;"|"&amp;G338</f>
        <v>Shell Extended Stay - Motels|C|Average</v>
      </c>
      <c r="J338" s="1" t="s">
        <v>602</v>
      </c>
    </row>
    <row r="339" customFormat="false" ht="12" hidden="false" customHeight="true" outlineLevel="0" collapsed="false">
      <c r="B339" s="1" t="s">
        <v>600</v>
      </c>
      <c r="C339" s="1" t="s">
        <v>601</v>
      </c>
      <c r="D339" s="1" t="s">
        <v>590</v>
      </c>
      <c r="E339" s="1" t="s">
        <v>590</v>
      </c>
      <c r="F339" s="1" t="s">
        <v>463</v>
      </c>
      <c r="G339" s="1" t="s">
        <v>555</v>
      </c>
      <c r="H339" s="1" t="n">
        <v>66.5</v>
      </c>
      <c r="I339" s="1" t="str">
        <f aca="false">B339&amp;"|"&amp;F339&amp;"|"&amp;G339</f>
        <v>Shell Extended Stay - Motels|C|Fair</v>
      </c>
      <c r="J339" s="1" t="s">
        <v>602</v>
      </c>
    </row>
    <row r="340" customFormat="false" ht="12" hidden="false" customHeight="true" outlineLevel="0" collapsed="false">
      <c r="B340" s="1" t="s">
        <v>600</v>
      </c>
      <c r="C340" s="1" t="s">
        <v>601</v>
      </c>
      <c r="D340" s="1" t="s">
        <v>590</v>
      </c>
      <c r="E340" s="1" t="s">
        <v>590</v>
      </c>
      <c r="F340" s="1" t="s">
        <v>463</v>
      </c>
      <c r="G340" s="1" t="s">
        <v>480</v>
      </c>
      <c r="H340" s="1" t="n">
        <v>60.5</v>
      </c>
      <c r="I340" s="1" t="str">
        <f aca="false">B340&amp;"|"&amp;F340&amp;"|"&amp;G340</f>
        <v>Shell Extended Stay - Motels|C|Low Cost</v>
      </c>
      <c r="J340" s="1" t="s">
        <v>602</v>
      </c>
    </row>
    <row r="341" customFormat="false" ht="12" hidden="false" customHeight="true" outlineLevel="0" collapsed="false">
      <c r="B341" s="1" t="s">
        <v>600</v>
      </c>
      <c r="C341" s="1" t="s">
        <v>601</v>
      </c>
      <c r="D341" s="1" t="s">
        <v>590</v>
      </c>
      <c r="E341" s="1" t="s">
        <v>590</v>
      </c>
      <c r="F341" s="1" t="s">
        <v>468</v>
      </c>
      <c r="G341" s="1" t="s">
        <v>485</v>
      </c>
      <c r="H341" s="1" t="n">
        <v>101</v>
      </c>
      <c r="I341" s="1" t="str">
        <f aca="false">B341&amp;"|"&amp;F341&amp;"|"&amp;G341</f>
        <v>Shell Extended Stay - Motels|D|Excellent</v>
      </c>
      <c r="J341" s="1" t="s">
        <v>602</v>
      </c>
    </row>
    <row r="342" customFormat="false" ht="12" hidden="false" customHeight="true" outlineLevel="0" collapsed="false">
      <c r="B342" s="1" t="s">
        <v>600</v>
      </c>
      <c r="C342" s="1" t="s">
        <v>601</v>
      </c>
      <c r="D342" s="1" t="s">
        <v>590</v>
      </c>
      <c r="E342" s="1" t="s">
        <v>590</v>
      </c>
      <c r="F342" s="1" t="s">
        <v>468</v>
      </c>
      <c r="G342" s="1" t="s">
        <v>483</v>
      </c>
      <c r="H342" s="1" t="n">
        <v>83.5</v>
      </c>
      <c r="I342" s="1" t="str">
        <f aca="false">B342&amp;"|"&amp;F342&amp;"|"&amp;G342</f>
        <v>Shell Extended Stay - Motels|D|Good</v>
      </c>
      <c r="J342" s="1" t="s">
        <v>602</v>
      </c>
    </row>
    <row r="343" customFormat="false" ht="12" hidden="false" customHeight="true" outlineLevel="0" collapsed="false">
      <c r="B343" s="1" t="s">
        <v>600</v>
      </c>
      <c r="C343" s="1" t="s">
        <v>601</v>
      </c>
      <c r="D343" s="1" t="s">
        <v>590</v>
      </c>
      <c r="E343" s="1" t="s">
        <v>590</v>
      </c>
      <c r="F343" s="1" t="s">
        <v>468</v>
      </c>
      <c r="G343" s="1" t="s">
        <v>279</v>
      </c>
      <c r="H343" s="1" t="n">
        <v>69.5</v>
      </c>
      <c r="I343" s="1" t="str">
        <f aca="false">B343&amp;"|"&amp;F343&amp;"|"&amp;G343</f>
        <v>Shell Extended Stay - Motels|D|Average</v>
      </c>
      <c r="J343" s="1" t="s">
        <v>602</v>
      </c>
    </row>
    <row r="344" customFormat="false" ht="12" hidden="false" customHeight="true" outlineLevel="0" collapsed="false">
      <c r="B344" s="1" t="s">
        <v>600</v>
      </c>
      <c r="C344" s="1" t="s">
        <v>601</v>
      </c>
      <c r="D344" s="1" t="s">
        <v>590</v>
      </c>
      <c r="E344" s="1" t="s">
        <v>590</v>
      </c>
      <c r="F344" s="1" t="s">
        <v>468</v>
      </c>
      <c r="G344" s="1" t="s">
        <v>555</v>
      </c>
      <c r="H344" s="1" t="n">
        <v>63</v>
      </c>
      <c r="I344" s="1" t="str">
        <f aca="false">B344&amp;"|"&amp;F344&amp;"|"&amp;G344</f>
        <v>Shell Extended Stay - Motels|D|Fair</v>
      </c>
      <c r="J344" s="1" t="s">
        <v>602</v>
      </c>
    </row>
    <row r="345" customFormat="false" ht="12" hidden="false" customHeight="true" outlineLevel="0" collapsed="false">
      <c r="B345" s="1" t="s">
        <v>600</v>
      </c>
      <c r="C345" s="1" t="s">
        <v>601</v>
      </c>
      <c r="D345" s="1" t="s">
        <v>590</v>
      </c>
      <c r="E345" s="1" t="s">
        <v>590</v>
      </c>
      <c r="F345" s="1" t="s">
        <v>468</v>
      </c>
      <c r="G345" s="1" t="s">
        <v>480</v>
      </c>
      <c r="H345" s="1" t="n">
        <v>57.5</v>
      </c>
      <c r="I345" s="1" t="str">
        <f aca="false">B345&amp;"|"&amp;F345&amp;"|"&amp;G345</f>
        <v>Shell Extended Stay - Motels|D|Low Cost</v>
      </c>
      <c r="J345" s="1" t="s">
        <v>602</v>
      </c>
    </row>
    <row r="346" customFormat="false" ht="12" hidden="false" customHeight="true" outlineLevel="0" collapsed="false">
      <c r="B346" s="1" t="s">
        <v>603</v>
      </c>
      <c r="C346" s="1" t="s">
        <v>604</v>
      </c>
      <c r="D346" s="1" t="s">
        <v>590</v>
      </c>
      <c r="E346" s="1" t="s">
        <v>497</v>
      </c>
      <c r="F346" s="1" t="s">
        <v>463</v>
      </c>
      <c r="G346" s="1" t="s">
        <v>485</v>
      </c>
      <c r="H346" s="1" t="n">
        <v>258</v>
      </c>
      <c r="I346" s="1" t="str">
        <f aca="false">B346&amp;"|"&amp;F346&amp;"|"&amp;G346</f>
        <v>Office-Apartments|C|Excellent</v>
      </c>
      <c r="J346" s="1" t="s">
        <v>605</v>
      </c>
    </row>
    <row r="347" customFormat="false" ht="12" hidden="false" customHeight="true" outlineLevel="0" collapsed="false">
      <c r="B347" s="1" t="s">
        <v>603</v>
      </c>
      <c r="C347" s="1" t="s">
        <v>604</v>
      </c>
      <c r="D347" s="1" t="s">
        <v>590</v>
      </c>
      <c r="E347" s="1" t="s">
        <v>497</v>
      </c>
      <c r="F347" s="1" t="s">
        <v>463</v>
      </c>
      <c r="G347" s="1" t="s">
        <v>483</v>
      </c>
      <c r="H347" s="1" t="n">
        <v>186</v>
      </c>
      <c r="I347" s="1" t="str">
        <f aca="false">B347&amp;"|"&amp;F347&amp;"|"&amp;G347</f>
        <v>Office-Apartments|C|Good</v>
      </c>
      <c r="J347" s="1" t="s">
        <v>605</v>
      </c>
    </row>
    <row r="348" customFormat="false" ht="12" hidden="false" customHeight="true" outlineLevel="0" collapsed="false">
      <c r="B348" s="1" t="s">
        <v>603</v>
      </c>
      <c r="C348" s="1" t="s">
        <v>604</v>
      </c>
      <c r="D348" s="1" t="s">
        <v>590</v>
      </c>
      <c r="E348" s="1" t="s">
        <v>497</v>
      </c>
      <c r="F348" s="1" t="s">
        <v>463</v>
      </c>
      <c r="G348" s="1" t="s">
        <v>279</v>
      </c>
      <c r="H348" s="1" t="n">
        <v>133</v>
      </c>
      <c r="I348" s="1" t="str">
        <f aca="false">B348&amp;"|"&amp;F348&amp;"|"&amp;G348</f>
        <v>Office-Apartments|C|Average</v>
      </c>
      <c r="J348" s="1" t="s">
        <v>605</v>
      </c>
    </row>
    <row r="349" customFormat="false" ht="12" hidden="false" customHeight="true" outlineLevel="0" collapsed="false">
      <c r="B349" s="1" t="s">
        <v>603</v>
      </c>
      <c r="C349" s="1" t="s">
        <v>604</v>
      </c>
      <c r="D349" s="1" t="s">
        <v>590</v>
      </c>
      <c r="E349" s="1" t="s">
        <v>497</v>
      </c>
      <c r="F349" s="1" t="s">
        <v>463</v>
      </c>
      <c r="G349" s="1" t="s">
        <v>480</v>
      </c>
      <c r="H349" s="1" t="n">
        <v>94</v>
      </c>
      <c r="I349" s="1" t="str">
        <f aca="false">B349&amp;"|"&amp;F349&amp;"|"&amp;G349</f>
        <v>Office-Apartments|C|Low Cost</v>
      </c>
      <c r="J349" s="1" t="s">
        <v>605</v>
      </c>
    </row>
    <row r="350" customFormat="false" ht="12" hidden="false" customHeight="true" outlineLevel="0" collapsed="false">
      <c r="B350" s="1" t="s">
        <v>603</v>
      </c>
      <c r="C350" s="1" t="s">
        <v>604</v>
      </c>
      <c r="D350" s="1" t="s">
        <v>590</v>
      </c>
      <c r="E350" s="1" t="s">
        <v>497</v>
      </c>
      <c r="F350" s="1" t="s">
        <v>463</v>
      </c>
      <c r="G350" s="1" t="s">
        <v>567</v>
      </c>
      <c r="H350" s="1" t="n">
        <v>78</v>
      </c>
      <c r="I350" s="1" t="str">
        <f aca="false">B350&amp;"|"&amp;F350&amp;"|"&amp;G350</f>
        <v>Office-Apartments|C|Cheap</v>
      </c>
      <c r="J350" s="1" t="s">
        <v>605</v>
      </c>
    </row>
    <row r="351" customFormat="false" ht="12" hidden="false" customHeight="true" outlineLevel="0" collapsed="false">
      <c r="B351" s="1" t="s">
        <v>603</v>
      </c>
      <c r="C351" s="1" t="s">
        <v>604</v>
      </c>
      <c r="D351" s="1" t="s">
        <v>590</v>
      </c>
      <c r="E351" s="1" t="s">
        <v>497</v>
      </c>
      <c r="F351" s="1" t="s">
        <v>468</v>
      </c>
      <c r="G351" s="1" t="s">
        <v>485</v>
      </c>
      <c r="H351" s="1" t="n">
        <v>254</v>
      </c>
      <c r="I351" s="1" t="str">
        <f aca="false">B351&amp;"|"&amp;F351&amp;"|"&amp;G351</f>
        <v>Office-Apartments|D|Excellent</v>
      </c>
      <c r="J351" s="1" t="s">
        <v>605</v>
      </c>
    </row>
    <row r="352" customFormat="false" ht="12" hidden="false" customHeight="true" outlineLevel="0" collapsed="false">
      <c r="B352" s="1" t="s">
        <v>603</v>
      </c>
      <c r="C352" s="1" t="s">
        <v>604</v>
      </c>
      <c r="D352" s="1" t="s">
        <v>590</v>
      </c>
      <c r="E352" s="1" t="s">
        <v>497</v>
      </c>
      <c r="F352" s="1" t="s">
        <v>468</v>
      </c>
      <c r="G352" s="1" t="s">
        <v>483</v>
      </c>
      <c r="H352" s="1" t="n">
        <v>182</v>
      </c>
      <c r="I352" s="1" t="str">
        <f aca="false">B352&amp;"|"&amp;F352&amp;"|"&amp;G352</f>
        <v>Office-Apartments|D|Good</v>
      </c>
      <c r="J352" s="1" t="s">
        <v>605</v>
      </c>
    </row>
    <row r="353" customFormat="false" ht="12" hidden="false" customHeight="true" outlineLevel="0" collapsed="false">
      <c r="B353" s="1" t="s">
        <v>603</v>
      </c>
      <c r="C353" s="1" t="s">
        <v>604</v>
      </c>
      <c r="D353" s="1" t="s">
        <v>590</v>
      </c>
      <c r="E353" s="1" t="s">
        <v>497</v>
      </c>
      <c r="F353" s="1" t="s">
        <v>468</v>
      </c>
      <c r="G353" s="1" t="s">
        <v>279</v>
      </c>
      <c r="H353" s="1" t="n">
        <v>129</v>
      </c>
      <c r="I353" s="1" t="str">
        <f aca="false">B353&amp;"|"&amp;F353&amp;"|"&amp;G353</f>
        <v>Office-Apartments|D|Average</v>
      </c>
      <c r="J353" s="1" t="s">
        <v>605</v>
      </c>
    </row>
    <row r="354" customFormat="false" ht="12" hidden="false" customHeight="true" outlineLevel="0" collapsed="false">
      <c r="B354" s="1" t="s">
        <v>603</v>
      </c>
      <c r="C354" s="1" t="s">
        <v>604</v>
      </c>
      <c r="D354" s="1" t="s">
        <v>590</v>
      </c>
      <c r="E354" s="1" t="s">
        <v>497</v>
      </c>
      <c r="F354" s="1" t="s">
        <v>468</v>
      </c>
      <c r="G354" s="1" t="s">
        <v>480</v>
      </c>
      <c r="H354" s="1" t="n">
        <v>91.5</v>
      </c>
      <c r="I354" s="1" t="str">
        <f aca="false">B354&amp;"|"&amp;F354&amp;"|"&amp;G354</f>
        <v>Office-Apartments|D|Low Cost</v>
      </c>
      <c r="J354" s="1" t="s">
        <v>605</v>
      </c>
    </row>
    <row r="355" customFormat="false" ht="12" hidden="false" customHeight="true" outlineLevel="0" collapsed="false">
      <c r="B355" s="1" t="s">
        <v>603</v>
      </c>
      <c r="C355" s="1" t="s">
        <v>604</v>
      </c>
      <c r="D355" s="1" t="s">
        <v>590</v>
      </c>
      <c r="E355" s="1" t="s">
        <v>497</v>
      </c>
      <c r="F355" s="1" t="s">
        <v>468</v>
      </c>
      <c r="G355" s="1" t="s">
        <v>567</v>
      </c>
      <c r="H355" s="1" t="n">
        <v>75.5</v>
      </c>
      <c r="I355" s="1" t="str">
        <f aca="false">B355&amp;"|"&amp;F355&amp;"|"&amp;G355</f>
        <v>Office-Apartments|D|Cheap</v>
      </c>
      <c r="J355" s="1" t="s">
        <v>605</v>
      </c>
    </row>
    <row r="356" customFormat="false" ht="12" hidden="false" customHeight="true" outlineLevel="0" collapsed="false">
      <c r="B356" s="1" t="s">
        <v>603</v>
      </c>
      <c r="C356" s="1" t="s">
        <v>604</v>
      </c>
      <c r="D356" s="1" t="s">
        <v>590</v>
      </c>
      <c r="E356" s="1" t="s">
        <v>497</v>
      </c>
      <c r="F356" s="1" t="s">
        <v>473</v>
      </c>
      <c r="G356" s="1" t="s">
        <v>279</v>
      </c>
      <c r="H356" s="1" t="n">
        <v>126</v>
      </c>
      <c r="I356" s="1" t="str">
        <f aca="false">B356&amp;"|"&amp;F356&amp;"|"&amp;G356</f>
        <v>Office-Apartments|S|Average</v>
      </c>
      <c r="J356" s="1" t="s">
        <v>605</v>
      </c>
    </row>
    <row r="357" customFormat="false" ht="12" hidden="false" customHeight="true" outlineLevel="0" collapsed="false">
      <c r="B357" s="1" t="s">
        <v>606</v>
      </c>
      <c r="C357" s="1" t="s">
        <v>607</v>
      </c>
      <c r="D357" s="1" t="s">
        <v>590</v>
      </c>
      <c r="E357" s="1" t="s">
        <v>497</v>
      </c>
      <c r="F357" s="1" t="s">
        <v>463</v>
      </c>
      <c r="G357" s="1" t="s">
        <v>485</v>
      </c>
      <c r="H357" s="1" t="n">
        <v>226</v>
      </c>
      <c r="I357" s="1" t="str">
        <f aca="false">B357&amp;"|"&amp;F357&amp;"|"&amp;G357</f>
        <v>Motel Guest Rooms|C|Excellent</v>
      </c>
      <c r="J357" s="1" t="s">
        <v>605</v>
      </c>
    </row>
    <row r="358" customFormat="false" ht="12" hidden="false" customHeight="true" outlineLevel="0" collapsed="false">
      <c r="B358" s="1" t="s">
        <v>606</v>
      </c>
      <c r="C358" s="1" t="s">
        <v>607</v>
      </c>
      <c r="D358" s="1" t="s">
        <v>590</v>
      </c>
      <c r="E358" s="1" t="s">
        <v>497</v>
      </c>
      <c r="F358" s="1" t="s">
        <v>463</v>
      </c>
      <c r="G358" s="1" t="s">
        <v>483</v>
      </c>
      <c r="H358" s="1" t="n">
        <v>171</v>
      </c>
      <c r="I358" s="1" t="str">
        <f aca="false">B358&amp;"|"&amp;F358&amp;"|"&amp;G358</f>
        <v>Motel Guest Rooms|C|Good</v>
      </c>
      <c r="J358" s="1" t="s">
        <v>605</v>
      </c>
    </row>
    <row r="359" customFormat="false" ht="12" hidden="false" customHeight="true" outlineLevel="0" collapsed="false">
      <c r="B359" s="1" t="s">
        <v>606</v>
      </c>
      <c r="C359" s="1" t="s">
        <v>607</v>
      </c>
      <c r="D359" s="1" t="s">
        <v>590</v>
      </c>
      <c r="E359" s="1" t="s">
        <v>497</v>
      </c>
      <c r="F359" s="1" t="s">
        <v>463</v>
      </c>
      <c r="G359" s="1" t="s">
        <v>279</v>
      </c>
      <c r="H359" s="1" t="n">
        <v>126</v>
      </c>
      <c r="I359" s="1" t="str">
        <f aca="false">B359&amp;"|"&amp;F359&amp;"|"&amp;G359</f>
        <v>Motel Guest Rooms|C|Average</v>
      </c>
      <c r="J359" s="1" t="s">
        <v>605</v>
      </c>
    </row>
    <row r="360" customFormat="false" ht="12" hidden="false" customHeight="true" outlineLevel="0" collapsed="false">
      <c r="B360" s="1" t="s">
        <v>606</v>
      </c>
      <c r="C360" s="1" t="s">
        <v>607</v>
      </c>
      <c r="D360" s="1" t="s">
        <v>590</v>
      </c>
      <c r="E360" s="1" t="s">
        <v>497</v>
      </c>
      <c r="F360" s="1" t="s">
        <v>463</v>
      </c>
      <c r="G360" s="1" t="s">
        <v>480</v>
      </c>
      <c r="H360" s="1" t="n">
        <v>95</v>
      </c>
      <c r="I360" s="1" t="str">
        <f aca="false">B360&amp;"|"&amp;F360&amp;"|"&amp;G360</f>
        <v>Motel Guest Rooms|C|Low Cost</v>
      </c>
      <c r="J360" s="1" t="s">
        <v>605</v>
      </c>
    </row>
    <row r="361" customFormat="false" ht="12" hidden="false" customHeight="true" outlineLevel="0" collapsed="false">
      <c r="B361" s="1" t="s">
        <v>606</v>
      </c>
      <c r="C361" s="1" t="s">
        <v>607</v>
      </c>
      <c r="D361" s="1" t="s">
        <v>590</v>
      </c>
      <c r="E361" s="1" t="s">
        <v>497</v>
      </c>
      <c r="F361" s="1" t="s">
        <v>463</v>
      </c>
      <c r="G361" s="1" t="s">
        <v>567</v>
      </c>
      <c r="H361" s="1" t="n">
        <v>79.5</v>
      </c>
      <c r="I361" s="1" t="str">
        <f aca="false">B361&amp;"|"&amp;F361&amp;"|"&amp;G361</f>
        <v>Motel Guest Rooms|C|Cheap</v>
      </c>
      <c r="J361" s="1" t="s">
        <v>605</v>
      </c>
    </row>
    <row r="362" customFormat="false" ht="12" hidden="false" customHeight="true" outlineLevel="0" collapsed="false">
      <c r="B362" s="1" t="s">
        <v>606</v>
      </c>
      <c r="C362" s="1" t="s">
        <v>607</v>
      </c>
      <c r="D362" s="1" t="s">
        <v>590</v>
      </c>
      <c r="E362" s="1" t="s">
        <v>497</v>
      </c>
      <c r="F362" s="1" t="s">
        <v>468</v>
      </c>
      <c r="G362" s="1" t="s">
        <v>485</v>
      </c>
      <c r="H362" s="1" t="n">
        <v>222</v>
      </c>
      <c r="I362" s="1" t="str">
        <f aca="false">B362&amp;"|"&amp;F362&amp;"|"&amp;G362</f>
        <v>Motel Guest Rooms|D|Excellent</v>
      </c>
      <c r="J362" s="1" t="s">
        <v>605</v>
      </c>
    </row>
    <row r="363" customFormat="false" ht="12" hidden="false" customHeight="true" outlineLevel="0" collapsed="false">
      <c r="B363" s="1" t="s">
        <v>606</v>
      </c>
      <c r="C363" s="1" t="s">
        <v>607</v>
      </c>
      <c r="D363" s="1" t="s">
        <v>590</v>
      </c>
      <c r="E363" s="1" t="s">
        <v>497</v>
      </c>
      <c r="F363" s="1" t="s">
        <v>468</v>
      </c>
      <c r="G363" s="1" t="s">
        <v>483</v>
      </c>
      <c r="H363" s="1" t="n">
        <v>167</v>
      </c>
      <c r="I363" s="1" t="str">
        <f aca="false">B363&amp;"|"&amp;F363&amp;"|"&amp;G363</f>
        <v>Motel Guest Rooms|D|Good</v>
      </c>
      <c r="J363" s="1" t="s">
        <v>605</v>
      </c>
    </row>
    <row r="364" customFormat="false" ht="12" hidden="false" customHeight="true" outlineLevel="0" collapsed="false">
      <c r="B364" s="1" t="s">
        <v>606</v>
      </c>
      <c r="C364" s="1" t="s">
        <v>607</v>
      </c>
      <c r="D364" s="1" t="s">
        <v>590</v>
      </c>
      <c r="E364" s="1" t="s">
        <v>497</v>
      </c>
      <c r="F364" s="1" t="s">
        <v>468</v>
      </c>
      <c r="G364" s="1" t="s">
        <v>279</v>
      </c>
      <c r="H364" s="1" t="n">
        <v>123</v>
      </c>
      <c r="I364" s="1" t="str">
        <f aca="false">B364&amp;"|"&amp;F364&amp;"|"&amp;G364</f>
        <v>Motel Guest Rooms|D|Average</v>
      </c>
      <c r="J364" s="1" t="s">
        <v>605</v>
      </c>
    </row>
    <row r="365" customFormat="false" ht="12" hidden="false" customHeight="true" outlineLevel="0" collapsed="false">
      <c r="B365" s="1" t="s">
        <v>606</v>
      </c>
      <c r="C365" s="1" t="s">
        <v>607</v>
      </c>
      <c r="D365" s="1" t="s">
        <v>590</v>
      </c>
      <c r="E365" s="1" t="s">
        <v>497</v>
      </c>
      <c r="F365" s="1" t="s">
        <v>468</v>
      </c>
      <c r="G365" s="1" t="s">
        <v>480</v>
      </c>
      <c r="H365" s="1" t="n">
        <v>92.5</v>
      </c>
      <c r="I365" s="1" t="str">
        <f aca="false">B365&amp;"|"&amp;F365&amp;"|"&amp;G365</f>
        <v>Motel Guest Rooms|D|Low Cost</v>
      </c>
      <c r="J365" s="1" t="s">
        <v>605</v>
      </c>
    </row>
    <row r="366" customFormat="false" ht="12" hidden="false" customHeight="true" outlineLevel="0" collapsed="false">
      <c r="B366" s="1" t="s">
        <v>606</v>
      </c>
      <c r="C366" s="1" t="s">
        <v>607</v>
      </c>
      <c r="D366" s="1" t="s">
        <v>590</v>
      </c>
      <c r="E366" s="1" t="s">
        <v>497</v>
      </c>
      <c r="F366" s="1" t="s">
        <v>468</v>
      </c>
      <c r="G366" s="1" t="s">
        <v>567</v>
      </c>
      <c r="H366" s="1" t="n">
        <v>77</v>
      </c>
      <c r="I366" s="1" t="str">
        <f aca="false">B366&amp;"|"&amp;F366&amp;"|"&amp;G366</f>
        <v>Motel Guest Rooms|D|Cheap</v>
      </c>
      <c r="J366" s="1" t="s">
        <v>605</v>
      </c>
    </row>
    <row r="367" customFormat="false" ht="12" hidden="false" customHeight="true" outlineLevel="0" collapsed="false">
      <c r="B367" s="1" t="s">
        <v>606</v>
      </c>
      <c r="C367" s="1" t="s">
        <v>607</v>
      </c>
      <c r="D367" s="1" t="s">
        <v>590</v>
      </c>
      <c r="E367" s="1" t="s">
        <v>497</v>
      </c>
      <c r="F367" s="1" t="s">
        <v>473</v>
      </c>
      <c r="G367" s="1" t="s">
        <v>279</v>
      </c>
      <c r="H367" s="1" t="n">
        <v>120</v>
      </c>
      <c r="I367" s="1" t="str">
        <f aca="false">B367&amp;"|"&amp;F367&amp;"|"&amp;G367</f>
        <v>Motel Guest Rooms|S|Average</v>
      </c>
      <c r="J367" s="1" t="s">
        <v>605</v>
      </c>
    </row>
    <row r="368" customFormat="false" ht="12" hidden="false" customHeight="true" outlineLevel="0" collapsed="false">
      <c r="B368" s="1" t="s">
        <v>608</v>
      </c>
      <c r="C368" s="1" t="s">
        <v>609</v>
      </c>
      <c r="D368" s="1" t="s">
        <v>590</v>
      </c>
      <c r="E368" s="1" t="s">
        <v>501</v>
      </c>
      <c r="F368" s="1" t="s">
        <v>463</v>
      </c>
      <c r="G368" s="1" t="s">
        <v>485</v>
      </c>
      <c r="H368" s="1" t="n">
        <v>285</v>
      </c>
      <c r="I368" s="1" t="str">
        <f aca="false">B368&amp;"|"&amp;F368&amp;"|"&amp;G368</f>
        <v>Lodges|C|Excellent</v>
      </c>
      <c r="J368" s="1" t="s">
        <v>610</v>
      </c>
    </row>
    <row r="369" customFormat="false" ht="12" hidden="false" customHeight="true" outlineLevel="0" collapsed="false">
      <c r="B369" s="1" t="s">
        <v>608</v>
      </c>
      <c r="C369" s="1" t="s">
        <v>609</v>
      </c>
      <c r="D369" s="1" t="s">
        <v>590</v>
      </c>
      <c r="E369" s="1" t="s">
        <v>501</v>
      </c>
      <c r="F369" s="1" t="s">
        <v>463</v>
      </c>
      <c r="G369" s="1" t="s">
        <v>503</v>
      </c>
      <c r="H369" s="1" t="n">
        <v>242</v>
      </c>
      <c r="I369" s="1" t="str">
        <f aca="false">B369&amp;"|"&amp;F369&amp;"|"&amp;G369</f>
        <v>Lodges|C|Very Good</v>
      </c>
      <c r="J369" s="1" t="s">
        <v>610</v>
      </c>
    </row>
    <row r="370" customFormat="false" ht="12" hidden="false" customHeight="true" outlineLevel="0" collapsed="false">
      <c r="B370" s="1" t="s">
        <v>608</v>
      </c>
      <c r="C370" s="1" t="s">
        <v>609</v>
      </c>
      <c r="D370" s="1" t="s">
        <v>590</v>
      </c>
      <c r="E370" s="1" t="s">
        <v>501</v>
      </c>
      <c r="F370" s="1" t="s">
        <v>463</v>
      </c>
      <c r="G370" s="1" t="s">
        <v>483</v>
      </c>
      <c r="H370" s="1" t="n">
        <v>206</v>
      </c>
      <c r="I370" s="1" t="str">
        <f aca="false">B370&amp;"|"&amp;F370&amp;"|"&amp;G370</f>
        <v>Lodges|C|Good</v>
      </c>
      <c r="J370" s="1" t="s">
        <v>610</v>
      </c>
    </row>
    <row r="371" customFormat="false" ht="12" hidden="false" customHeight="true" outlineLevel="0" collapsed="false">
      <c r="B371" s="1" t="s">
        <v>608</v>
      </c>
      <c r="C371" s="1" t="s">
        <v>609</v>
      </c>
      <c r="D371" s="1" t="s">
        <v>590</v>
      </c>
      <c r="E371" s="1" t="s">
        <v>501</v>
      </c>
      <c r="F371" s="1" t="s">
        <v>463</v>
      </c>
      <c r="G371" s="1" t="s">
        <v>279</v>
      </c>
      <c r="H371" s="1" t="n">
        <v>147</v>
      </c>
      <c r="I371" s="1" t="str">
        <f aca="false">B371&amp;"|"&amp;F371&amp;"|"&amp;G371</f>
        <v>Lodges|C|Average</v>
      </c>
      <c r="J371" s="1" t="s">
        <v>610</v>
      </c>
    </row>
    <row r="372" customFormat="false" ht="12" hidden="false" customHeight="true" outlineLevel="0" collapsed="false">
      <c r="B372" s="1" t="s">
        <v>608</v>
      </c>
      <c r="C372" s="1" t="s">
        <v>609</v>
      </c>
      <c r="D372" s="1" t="s">
        <v>590</v>
      </c>
      <c r="E372" s="1" t="s">
        <v>501</v>
      </c>
      <c r="F372" s="1" t="s">
        <v>463</v>
      </c>
      <c r="G372" s="1" t="s">
        <v>555</v>
      </c>
      <c r="H372" s="1" t="n">
        <v>125</v>
      </c>
      <c r="I372" s="1" t="str">
        <f aca="false">B372&amp;"|"&amp;F372&amp;"|"&amp;G372</f>
        <v>Lodges|C|Fair</v>
      </c>
      <c r="J372" s="1" t="s">
        <v>610</v>
      </c>
    </row>
    <row r="373" customFormat="false" ht="12" hidden="false" customHeight="true" outlineLevel="0" collapsed="false">
      <c r="B373" s="1" t="s">
        <v>608</v>
      </c>
      <c r="C373" s="1" t="s">
        <v>609</v>
      </c>
      <c r="D373" s="1" t="s">
        <v>590</v>
      </c>
      <c r="E373" s="1" t="s">
        <v>501</v>
      </c>
      <c r="F373" s="1" t="s">
        <v>463</v>
      </c>
      <c r="G373" s="1" t="s">
        <v>480</v>
      </c>
      <c r="H373" s="1" t="n">
        <v>105</v>
      </c>
      <c r="I373" s="1" t="str">
        <f aca="false">B373&amp;"|"&amp;F373&amp;"|"&amp;G373</f>
        <v>Lodges|C|Low Cost</v>
      </c>
      <c r="J373" s="1" t="s">
        <v>610</v>
      </c>
    </row>
    <row r="374" customFormat="false" ht="12" hidden="false" customHeight="true" outlineLevel="0" collapsed="false">
      <c r="B374" s="1" t="s">
        <v>608</v>
      </c>
      <c r="C374" s="1" t="s">
        <v>609</v>
      </c>
      <c r="D374" s="1" t="s">
        <v>590</v>
      </c>
      <c r="E374" s="1" t="s">
        <v>501</v>
      </c>
      <c r="F374" s="1" t="s">
        <v>463</v>
      </c>
      <c r="G374" s="1" t="s">
        <v>567</v>
      </c>
      <c r="H374" s="1" t="n">
        <v>84</v>
      </c>
      <c r="I374" s="1" t="str">
        <f aca="false">B374&amp;"|"&amp;F374&amp;"|"&amp;G374</f>
        <v>Lodges|C|Cheap</v>
      </c>
      <c r="J374" s="1" t="s">
        <v>610</v>
      </c>
    </row>
    <row r="375" customFormat="false" ht="12" hidden="false" customHeight="true" outlineLevel="0" collapsed="false">
      <c r="B375" s="1" t="s">
        <v>608</v>
      </c>
      <c r="C375" s="1" t="s">
        <v>609</v>
      </c>
      <c r="D375" s="1" t="s">
        <v>590</v>
      </c>
      <c r="E375" s="1" t="s">
        <v>501</v>
      </c>
      <c r="F375" s="1" t="s">
        <v>468</v>
      </c>
      <c r="G375" s="1" t="s">
        <v>485</v>
      </c>
      <c r="H375" s="1" t="n">
        <v>284</v>
      </c>
      <c r="I375" s="1" t="str">
        <f aca="false">B375&amp;"|"&amp;F375&amp;"|"&amp;G375</f>
        <v>Lodges|D|Excellent</v>
      </c>
      <c r="J375" s="1" t="s">
        <v>610</v>
      </c>
    </row>
    <row r="376" customFormat="false" ht="12" hidden="false" customHeight="true" outlineLevel="0" collapsed="false">
      <c r="B376" s="1" t="s">
        <v>608</v>
      </c>
      <c r="C376" s="1" t="s">
        <v>609</v>
      </c>
      <c r="D376" s="1" t="s">
        <v>590</v>
      </c>
      <c r="E376" s="1" t="s">
        <v>501</v>
      </c>
      <c r="F376" s="1" t="s">
        <v>468</v>
      </c>
      <c r="G376" s="1" t="s">
        <v>503</v>
      </c>
      <c r="H376" s="1" t="n">
        <v>239</v>
      </c>
      <c r="I376" s="1" t="str">
        <f aca="false">B376&amp;"|"&amp;F376&amp;"|"&amp;G376</f>
        <v>Lodges|D|Very Good</v>
      </c>
      <c r="J376" s="1" t="s">
        <v>610</v>
      </c>
    </row>
    <row r="377" customFormat="false" ht="12" hidden="false" customHeight="true" outlineLevel="0" collapsed="false">
      <c r="B377" s="1" t="s">
        <v>608</v>
      </c>
      <c r="C377" s="1" t="s">
        <v>609</v>
      </c>
      <c r="D377" s="1" t="s">
        <v>590</v>
      </c>
      <c r="E377" s="1" t="s">
        <v>501</v>
      </c>
      <c r="F377" s="1" t="s">
        <v>468</v>
      </c>
      <c r="G377" s="1" t="s">
        <v>483</v>
      </c>
      <c r="H377" s="1" t="n">
        <v>202</v>
      </c>
      <c r="I377" s="1" t="str">
        <f aca="false">B377&amp;"|"&amp;F377&amp;"|"&amp;G377</f>
        <v>Lodges|D|Good</v>
      </c>
      <c r="J377" s="1" t="s">
        <v>610</v>
      </c>
    </row>
    <row r="378" customFormat="false" ht="12" hidden="false" customHeight="true" outlineLevel="0" collapsed="false">
      <c r="B378" s="1" t="s">
        <v>608</v>
      </c>
      <c r="C378" s="1" t="s">
        <v>609</v>
      </c>
      <c r="D378" s="1" t="s">
        <v>590</v>
      </c>
      <c r="E378" s="1" t="s">
        <v>501</v>
      </c>
      <c r="F378" s="1" t="s">
        <v>468</v>
      </c>
      <c r="G378" s="1" t="s">
        <v>279</v>
      </c>
      <c r="H378" s="1" t="n">
        <v>142</v>
      </c>
      <c r="I378" s="1" t="str">
        <f aca="false">B378&amp;"|"&amp;F378&amp;"|"&amp;G378</f>
        <v>Lodges|D|Average</v>
      </c>
      <c r="J378" s="1" t="s">
        <v>610</v>
      </c>
    </row>
    <row r="379" customFormat="false" ht="12" hidden="false" customHeight="true" outlineLevel="0" collapsed="false">
      <c r="B379" s="1" t="s">
        <v>608</v>
      </c>
      <c r="C379" s="1" t="s">
        <v>609</v>
      </c>
      <c r="D379" s="1" t="s">
        <v>590</v>
      </c>
      <c r="E379" s="1" t="s">
        <v>501</v>
      </c>
      <c r="F379" s="1" t="s">
        <v>468</v>
      </c>
      <c r="G379" s="1" t="s">
        <v>555</v>
      </c>
      <c r="H379" s="1" t="n">
        <v>120</v>
      </c>
      <c r="I379" s="1" t="str">
        <f aca="false">B379&amp;"|"&amp;F379&amp;"|"&amp;G379</f>
        <v>Lodges|D|Fair</v>
      </c>
      <c r="J379" s="1" t="s">
        <v>610</v>
      </c>
    </row>
    <row r="380" customFormat="false" ht="12" hidden="false" customHeight="true" outlineLevel="0" collapsed="false">
      <c r="B380" s="1" t="s">
        <v>608</v>
      </c>
      <c r="C380" s="1" t="s">
        <v>609</v>
      </c>
      <c r="D380" s="1" t="s">
        <v>590</v>
      </c>
      <c r="E380" s="1" t="s">
        <v>501</v>
      </c>
      <c r="F380" s="1" t="s">
        <v>468</v>
      </c>
      <c r="G380" s="1" t="s">
        <v>480</v>
      </c>
      <c r="H380" s="1" t="n">
        <v>99.5</v>
      </c>
      <c r="I380" s="1" t="str">
        <f aca="false">B380&amp;"|"&amp;F380&amp;"|"&amp;G380</f>
        <v>Lodges|D|Low Cost</v>
      </c>
      <c r="J380" s="1" t="s">
        <v>610</v>
      </c>
    </row>
    <row r="381" customFormat="false" ht="12" hidden="false" customHeight="true" outlineLevel="0" collapsed="false">
      <c r="B381" s="1" t="s">
        <v>608</v>
      </c>
      <c r="C381" s="1" t="s">
        <v>609</v>
      </c>
      <c r="D381" s="1" t="s">
        <v>590</v>
      </c>
      <c r="E381" s="1" t="s">
        <v>501</v>
      </c>
      <c r="F381" s="1" t="s">
        <v>468</v>
      </c>
      <c r="G381" s="1" t="s">
        <v>567</v>
      </c>
      <c r="H381" s="1" t="n">
        <v>79</v>
      </c>
      <c r="I381" s="1" t="str">
        <f aca="false">B381&amp;"|"&amp;F381&amp;"|"&amp;G381</f>
        <v>Lodges|D|Cheap</v>
      </c>
      <c r="J381" s="1" t="s">
        <v>610</v>
      </c>
    </row>
    <row r="382" customFormat="false" ht="12" hidden="false" customHeight="true" outlineLevel="0" collapsed="false">
      <c r="B382" s="1" t="s">
        <v>611</v>
      </c>
      <c r="C382" s="1" t="s">
        <v>612</v>
      </c>
      <c r="D382" s="1" t="s">
        <v>590</v>
      </c>
      <c r="E382" s="1" t="s">
        <v>506</v>
      </c>
      <c r="F382" s="1" t="s">
        <v>463</v>
      </c>
      <c r="G382" s="1" t="s">
        <v>485</v>
      </c>
      <c r="H382" s="1" t="n">
        <v>263</v>
      </c>
      <c r="I382" s="1" t="str">
        <f aca="false">B382&amp;"|"&amp;F382&amp;"|"&amp;G382</f>
        <v>Guest Cottages|C|Excellent</v>
      </c>
      <c r="J382" s="1" t="s">
        <v>613</v>
      </c>
    </row>
    <row r="383" customFormat="false" ht="12" hidden="false" customHeight="true" outlineLevel="0" collapsed="false">
      <c r="B383" s="1" t="s">
        <v>611</v>
      </c>
      <c r="C383" s="1" t="s">
        <v>612</v>
      </c>
      <c r="D383" s="1" t="s">
        <v>590</v>
      </c>
      <c r="E383" s="1" t="s">
        <v>506</v>
      </c>
      <c r="F383" s="1" t="s">
        <v>463</v>
      </c>
      <c r="G383" s="1" t="s">
        <v>483</v>
      </c>
      <c r="H383" s="1" t="n">
        <v>201</v>
      </c>
      <c r="I383" s="1" t="str">
        <f aca="false">B383&amp;"|"&amp;F383&amp;"|"&amp;G383</f>
        <v>Guest Cottages|C|Good</v>
      </c>
      <c r="J383" s="1" t="s">
        <v>613</v>
      </c>
    </row>
    <row r="384" customFormat="false" ht="12" hidden="false" customHeight="true" outlineLevel="0" collapsed="false">
      <c r="B384" s="1" t="s">
        <v>611</v>
      </c>
      <c r="C384" s="1" t="s">
        <v>612</v>
      </c>
      <c r="D384" s="1" t="s">
        <v>590</v>
      </c>
      <c r="E384" s="1" t="s">
        <v>506</v>
      </c>
      <c r="F384" s="1" t="s">
        <v>463</v>
      </c>
      <c r="G384" s="1" t="s">
        <v>279</v>
      </c>
      <c r="H384" s="1" t="n">
        <v>150</v>
      </c>
      <c r="I384" s="1" t="str">
        <f aca="false">B384&amp;"|"&amp;F384&amp;"|"&amp;G384</f>
        <v>Guest Cottages|C|Average</v>
      </c>
      <c r="J384" s="1" t="s">
        <v>613</v>
      </c>
    </row>
    <row r="385" customFormat="false" ht="12" hidden="false" customHeight="true" outlineLevel="0" collapsed="false">
      <c r="B385" s="1" t="s">
        <v>611</v>
      </c>
      <c r="C385" s="1" t="s">
        <v>612</v>
      </c>
      <c r="D385" s="1" t="s">
        <v>590</v>
      </c>
      <c r="E385" s="1" t="s">
        <v>506</v>
      </c>
      <c r="F385" s="1" t="s">
        <v>463</v>
      </c>
      <c r="G385" s="1" t="s">
        <v>555</v>
      </c>
      <c r="H385" s="1" t="n">
        <v>131</v>
      </c>
      <c r="I385" s="1" t="str">
        <f aca="false">B385&amp;"|"&amp;F385&amp;"|"&amp;G385</f>
        <v>Guest Cottages|C|Fair</v>
      </c>
      <c r="J385" s="1" t="s">
        <v>613</v>
      </c>
    </row>
    <row r="386" customFormat="false" ht="12" hidden="false" customHeight="true" outlineLevel="0" collapsed="false">
      <c r="B386" s="1" t="s">
        <v>611</v>
      </c>
      <c r="C386" s="1" t="s">
        <v>612</v>
      </c>
      <c r="D386" s="1" t="s">
        <v>590</v>
      </c>
      <c r="E386" s="1" t="s">
        <v>506</v>
      </c>
      <c r="F386" s="1" t="s">
        <v>463</v>
      </c>
      <c r="G386" s="1" t="s">
        <v>480</v>
      </c>
      <c r="H386" s="1" t="n">
        <v>112</v>
      </c>
      <c r="I386" s="1" t="str">
        <f aca="false">B386&amp;"|"&amp;F386&amp;"|"&amp;G386</f>
        <v>Guest Cottages|C|Low Cost</v>
      </c>
      <c r="J386" s="1" t="s">
        <v>613</v>
      </c>
    </row>
    <row r="387" customFormat="false" ht="12" hidden="false" customHeight="true" outlineLevel="0" collapsed="false">
      <c r="B387" s="1" t="s">
        <v>611</v>
      </c>
      <c r="C387" s="1" t="s">
        <v>612</v>
      </c>
      <c r="D387" s="1" t="s">
        <v>590</v>
      </c>
      <c r="E387" s="1" t="s">
        <v>506</v>
      </c>
      <c r="F387" s="1" t="s">
        <v>468</v>
      </c>
      <c r="G387" s="1" t="s">
        <v>485</v>
      </c>
      <c r="H387" s="1" t="n">
        <v>255</v>
      </c>
      <c r="I387" s="1" t="str">
        <f aca="false">B387&amp;"|"&amp;F387&amp;"|"&amp;G387</f>
        <v>Guest Cottages|D|Excellent</v>
      </c>
      <c r="J387" s="1" t="s">
        <v>613</v>
      </c>
    </row>
    <row r="388" customFormat="false" ht="12" hidden="false" customHeight="true" outlineLevel="0" collapsed="false">
      <c r="B388" s="1" t="s">
        <v>611</v>
      </c>
      <c r="C388" s="1" t="s">
        <v>612</v>
      </c>
      <c r="D388" s="1" t="s">
        <v>590</v>
      </c>
      <c r="E388" s="1" t="s">
        <v>506</v>
      </c>
      <c r="F388" s="1" t="s">
        <v>468</v>
      </c>
      <c r="G388" s="1" t="s">
        <v>483</v>
      </c>
      <c r="H388" s="1" t="n">
        <v>194</v>
      </c>
      <c r="I388" s="1" t="str">
        <f aca="false">B388&amp;"|"&amp;F388&amp;"|"&amp;G388</f>
        <v>Guest Cottages|D|Good</v>
      </c>
      <c r="J388" s="1" t="s">
        <v>613</v>
      </c>
    </row>
    <row r="389" customFormat="false" ht="12" hidden="false" customHeight="true" outlineLevel="0" collapsed="false">
      <c r="B389" s="1" t="s">
        <v>611</v>
      </c>
      <c r="C389" s="1" t="s">
        <v>612</v>
      </c>
      <c r="D389" s="1" t="s">
        <v>590</v>
      </c>
      <c r="E389" s="1" t="s">
        <v>506</v>
      </c>
      <c r="F389" s="1" t="s">
        <v>468</v>
      </c>
      <c r="G389" s="1" t="s">
        <v>279</v>
      </c>
      <c r="H389" s="1" t="n">
        <v>144</v>
      </c>
      <c r="I389" s="1" t="str">
        <f aca="false">B389&amp;"|"&amp;F389&amp;"|"&amp;G389</f>
        <v>Guest Cottages|D|Average</v>
      </c>
      <c r="J389" s="1" t="s">
        <v>613</v>
      </c>
    </row>
    <row r="390" customFormat="false" ht="12" hidden="false" customHeight="true" outlineLevel="0" collapsed="false">
      <c r="B390" s="1" t="s">
        <v>611</v>
      </c>
      <c r="C390" s="1" t="s">
        <v>612</v>
      </c>
      <c r="D390" s="1" t="s">
        <v>590</v>
      </c>
      <c r="E390" s="1" t="s">
        <v>506</v>
      </c>
      <c r="F390" s="1" t="s">
        <v>468</v>
      </c>
      <c r="G390" s="1" t="s">
        <v>555</v>
      </c>
      <c r="H390" s="1" t="n">
        <v>124</v>
      </c>
      <c r="I390" s="1" t="str">
        <f aca="false">B390&amp;"|"&amp;F390&amp;"|"&amp;G390</f>
        <v>Guest Cottages|D|Fair</v>
      </c>
      <c r="J390" s="1" t="s">
        <v>613</v>
      </c>
    </row>
    <row r="391" customFormat="false" ht="12" hidden="false" customHeight="true" outlineLevel="0" collapsed="false">
      <c r="B391" s="1" t="s">
        <v>611</v>
      </c>
      <c r="C391" s="1" t="s">
        <v>612</v>
      </c>
      <c r="D391" s="1" t="s">
        <v>590</v>
      </c>
      <c r="E391" s="1" t="s">
        <v>506</v>
      </c>
      <c r="F391" s="1" t="s">
        <v>468</v>
      </c>
      <c r="G391" s="1" t="s">
        <v>480</v>
      </c>
      <c r="H391" s="1" t="n">
        <v>106</v>
      </c>
      <c r="I391" s="1" t="str">
        <f aca="false">B391&amp;"|"&amp;F391&amp;"|"&amp;G391</f>
        <v>Guest Cottages|D|Low Cost</v>
      </c>
      <c r="J391" s="1" t="s">
        <v>613</v>
      </c>
    </row>
    <row r="392" customFormat="false" ht="12" hidden="false" customHeight="true" outlineLevel="0" collapsed="false">
      <c r="B392" s="1" t="s">
        <v>611</v>
      </c>
      <c r="C392" s="1" t="s">
        <v>612</v>
      </c>
      <c r="D392" s="1" t="s">
        <v>590</v>
      </c>
      <c r="E392" s="1" t="s">
        <v>506</v>
      </c>
      <c r="F392" s="1" t="s">
        <v>614</v>
      </c>
      <c r="G392" s="1" t="s">
        <v>567</v>
      </c>
      <c r="H392" s="1" t="n">
        <v>67</v>
      </c>
      <c r="I392" s="1" t="str">
        <f aca="false">B392&amp;"|"&amp;F392&amp;"|"&amp;G392</f>
        <v>Guest Cottages|WALL|Cheap</v>
      </c>
      <c r="J392" s="1" t="s">
        <v>613</v>
      </c>
    </row>
    <row r="393" customFormat="false" ht="12" hidden="false" customHeight="true" outlineLevel="0" collapsed="false">
      <c r="B393" s="1" t="s">
        <v>615</v>
      </c>
      <c r="C393" s="1" t="s">
        <v>616</v>
      </c>
      <c r="D393" s="1" t="s">
        <v>590</v>
      </c>
      <c r="E393" s="1" t="s">
        <v>506</v>
      </c>
      <c r="F393" s="1" t="s">
        <v>463</v>
      </c>
      <c r="G393" s="1" t="s">
        <v>485</v>
      </c>
      <c r="H393" s="1" t="n">
        <v>251</v>
      </c>
      <c r="I393" s="1" t="str">
        <f aca="false">B393&amp;"|"&amp;F393&amp;"|"&amp;G393</f>
        <v>Bed and Breakfast Inns|C|Excellent</v>
      </c>
      <c r="J393" s="1" t="s">
        <v>613</v>
      </c>
    </row>
    <row r="394" customFormat="false" ht="12" hidden="false" customHeight="true" outlineLevel="0" collapsed="false">
      <c r="B394" s="1" t="s">
        <v>615</v>
      </c>
      <c r="C394" s="1" t="s">
        <v>616</v>
      </c>
      <c r="D394" s="1" t="s">
        <v>590</v>
      </c>
      <c r="E394" s="1" t="s">
        <v>506</v>
      </c>
      <c r="F394" s="1" t="s">
        <v>463</v>
      </c>
      <c r="G394" s="1" t="s">
        <v>483</v>
      </c>
      <c r="H394" s="1" t="n">
        <v>189</v>
      </c>
      <c r="I394" s="1" t="str">
        <f aca="false">B394&amp;"|"&amp;F394&amp;"|"&amp;G394</f>
        <v>Bed and Breakfast Inns|C|Good</v>
      </c>
      <c r="J394" s="1" t="s">
        <v>613</v>
      </c>
    </row>
    <row r="395" customFormat="false" ht="12" hidden="false" customHeight="true" outlineLevel="0" collapsed="false">
      <c r="B395" s="1" t="s">
        <v>615</v>
      </c>
      <c r="C395" s="1" t="s">
        <v>616</v>
      </c>
      <c r="D395" s="1" t="s">
        <v>590</v>
      </c>
      <c r="E395" s="1" t="s">
        <v>506</v>
      </c>
      <c r="F395" s="1" t="s">
        <v>463</v>
      </c>
      <c r="G395" s="1" t="s">
        <v>279</v>
      </c>
      <c r="H395" s="1" t="n">
        <v>139</v>
      </c>
      <c r="I395" s="1" t="str">
        <f aca="false">B395&amp;"|"&amp;F395&amp;"|"&amp;G395</f>
        <v>Bed and Breakfast Inns|C|Average</v>
      </c>
      <c r="J395" s="1" t="s">
        <v>613</v>
      </c>
    </row>
    <row r="396" customFormat="false" ht="12" hidden="false" customHeight="true" outlineLevel="0" collapsed="false">
      <c r="B396" s="1" t="s">
        <v>615</v>
      </c>
      <c r="C396" s="1" t="s">
        <v>616</v>
      </c>
      <c r="D396" s="1" t="s">
        <v>590</v>
      </c>
      <c r="E396" s="1" t="s">
        <v>506</v>
      </c>
      <c r="F396" s="1" t="s">
        <v>463</v>
      </c>
      <c r="G396" s="1" t="s">
        <v>480</v>
      </c>
      <c r="H396" s="1" t="n">
        <v>104</v>
      </c>
      <c r="I396" s="1" t="str">
        <f aca="false">B396&amp;"|"&amp;F396&amp;"|"&amp;G396</f>
        <v>Bed and Breakfast Inns|C|Low Cost</v>
      </c>
      <c r="J396" s="1" t="s">
        <v>613</v>
      </c>
    </row>
    <row r="397" customFormat="false" ht="12" hidden="false" customHeight="true" outlineLevel="0" collapsed="false">
      <c r="B397" s="1" t="s">
        <v>615</v>
      </c>
      <c r="C397" s="1" t="s">
        <v>616</v>
      </c>
      <c r="D397" s="1" t="s">
        <v>590</v>
      </c>
      <c r="E397" s="1" t="s">
        <v>506</v>
      </c>
      <c r="F397" s="1" t="s">
        <v>468</v>
      </c>
      <c r="G397" s="1" t="s">
        <v>485</v>
      </c>
      <c r="H397" s="1" t="n">
        <v>246</v>
      </c>
      <c r="I397" s="1" t="str">
        <f aca="false">B397&amp;"|"&amp;F397&amp;"|"&amp;G397</f>
        <v>Bed and Breakfast Inns|D|Excellent</v>
      </c>
      <c r="J397" s="1" t="s">
        <v>613</v>
      </c>
    </row>
    <row r="398" customFormat="false" ht="12" hidden="false" customHeight="true" outlineLevel="0" collapsed="false">
      <c r="B398" s="1" t="s">
        <v>615</v>
      </c>
      <c r="C398" s="1" t="s">
        <v>616</v>
      </c>
      <c r="D398" s="1" t="s">
        <v>590</v>
      </c>
      <c r="E398" s="1" t="s">
        <v>506</v>
      </c>
      <c r="F398" s="1" t="s">
        <v>468</v>
      </c>
      <c r="G398" s="1" t="s">
        <v>483</v>
      </c>
      <c r="H398" s="1" t="n">
        <v>182</v>
      </c>
      <c r="I398" s="1" t="str">
        <f aca="false">B398&amp;"|"&amp;F398&amp;"|"&amp;G398</f>
        <v>Bed and Breakfast Inns|D|Good</v>
      </c>
      <c r="J398" s="1" t="s">
        <v>613</v>
      </c>
    </row>
    <row r="399" customFormat="false" ht="12" hidden="false" customHeight="true" outlineLevel="0" collapsed="false">
      <c r="B399" s="1" t="s">
        <v>615</v>
      </c>
      <c r="C399" s="1" t="s">
        <v>616</v>
      </c>
      <c r="D399" s="1" t="s">
        <v>590</v>
      </c>
      <c r="E399" s="1" t="s">
        <v>506</v>
      </c>
      <c r="F399" s="1" t="s">
        <v>468</v>
      </c>
      <c r="G399" s="1" t="s">
        <v>279</v>
      </c>
      <c r="H399" s="1" t="n">
        <v>132</v>
      </c>
      <c r="I399" s="1" t="str">
        <f aca="false">B399&amp;"|"&amp;F399&amp;"|"&amp;G399</f>
        <v>Bed and Breakfast Inns|D|Average</v>
      </c>
      <c r="J399" s="1" t="s">
        <v>613</v>
      </c>
    </row>
    <row r="400" customFormat="false" ht="12" hidden="false" customHeight="true" outlineLevel="0" collapsed="false">
      <c r="B400" s="1" t="s">
        <v>615</v>
      </c>
      <c r="C400" s="1" t="s">
        <v>616</v>
      </c>
      <c r="D400" s="1" t="s">
        <v>590</v>
      </c>
      <c r="E400" s="1" t="s">
        <v>506</v>
      </c>
      <c r="F400" s="1" t="s">
        <v>614</v>
      </c>
      <c r="G400" s="1" t="s">
        <v>480</v>
      </c>
      <c r="H400" s="1" t="n">
        <v>97.5</v>
      </c>
      <c r="I400" s="1" t="str">
        <f aca="false">B400&amp;"|"&amp;F400&amp;"|"&amp;G400</f>
        <v>Bed and Breakfast Inns|WALL|Low Cost</v>
      </c>
      <c r="J400" s="1" t="s">
        <v>613</v>
      </c>
    </row>
    <row r="401" customFormat="false" ht="12" hidden="false" customHeight="true" outlineLevel="0" collapsed="false">
      <c r="B401" s="1" t="s">
        <v>617</v>
      </c>
      <c r="C401" s="1" t="s">
        <v>618</v>
      </c>
      <c r="D401" s="1" t="s">
        <v>590</v>
      </c>
      <c r="E401" s="1" t="s">
        <v>511</v>
      </c>
      <c r="F401" s="1" t="s">
        <v>463</v>
      </c>
      <c r="G401" s="1" t="s">
        <v>485</v>
      </c>
      <c r="H401" s="1" t="n">
        <v>198</v>
      </c>
      <c r="I401" s="1" t="str">
        <f aca="false">B401&amp;"|"&amp;F401&amp;"|"&amp;G401</f>
        <v>Multiple Residences|C|Excellent</v>
      </c>
      <c r="J401" s="1" t="s">
        <v>619</v>
      </c>
    </row>
    <row r="402" customFormat="false" ht="12" hidden="false" customHeight="true" outlineLevel="0" collapsed="false">
      <c r="B402" s="1" t="s">
        <v>617</v>
      </c>
      <c r="C402" s="1" t="s">
        <v>618</v>
      </c>
      <c r="D402" s="1" t="s">
        <v>590</v>
      </c>
      <c r="E402" s="1" t="s">
        <v>511</v>
      </c>
      <c r="F402" s="1" t="s">
        <v>463</v>
      </c>
      <c r="G402" s="1" t="s">
        <v>483</v>
      </c>
      <c r="H402" s="1" t="n">
        <v>147</v>
      </c>
      <c r="I402" s="1" t="str">
        <f aca="false">B402&amp;"|"&amp;F402&amp;"|"&amp;G402</f>
        <v>Multiple Residences|C|Good</v>
      </c>
      <c r="J402" s="1" t="s">
        <v>619</v>
      </c>
    </row>
    <row r="403" customFormat="false" ht="12" hidden="false" customHeight="true" outlineLevel="0" collapsed="false">
      <c r="B403" s="1" t="s">
        <v>617</v>
      </c>
      <c r="C403" s="1" t="s">
        <v>618</v>
      </c>
      <c r="D403" s="1" t="s">
        <v>590</v>
      </c>
      <c r="E403" s="1" t="s">
        <v>511</v>
      </c>
      <c r="F403" s="1" t="s">
        <v>463</v>
      </c>
      <c r="G403" s="1" t="s">
        <v>279</v>
      </c>
      <c r="H403" s="1" t="n">
        <v>109</v>
      </c>
      <c r="I403" s="1" t="str">
        <f aca="false">B403&amp;"|"&amp;F403&amp;"|"&amp;G403</f>
        <v>Multiple Residences|C|Average</v>
      </c>
      <c r="J403" s="1" t="s">
        <v>619</v>
      </c>
    </row>
    <row r="404" customFormat="false" ht="12" hidden="false" customHeight="true" outlineLevel="0" collapsed="false">
      <c r="B404" s="1" t="s">
        <v>617</v>
      </c>
      <c r="C404" s="1" t="s">
        <v>618</v>
      </c>
      <c r="D404" s="1" t="s">
        <v>590</v>
      </c>
      <c r="E404" s="1" t="s">
        <v>511</v>
      </c>
      <c r="F404" s="1" t="s">
        <v>463</v>
      </c>
      <c r="G404" s="1" t="s">
        <v>555</v>
      </c>
      <c r="H404" s="1" t="n">
        <v>94.5</v>
      </c>
      <c r="I404" s="1" t="str">
        <f aca="false">B404&amp;"|"&amp;F404&amp;"|"&amp;G404</f>
        <v>Multiple Residences|C|Fair</v>
      </c>
      <c r="J404" s="1" t="s">
        <v>619</v>
      </c>
    </row>
    <row r="405" customFormat="false" ht="12" hidden="false" customHeight="true" outlineLevel="0" collapsed="false">
      <c r="B405" s="1" t="s">
        <v>617</v>
      </c>
      <c r="C405" s="1" t="s">
        <v>618</v>
      </c>
      <c r="D405" s="1" t="s">
        <v>590</v>
      </c>
      <c r="E405" s="1" t="s">
        <v>511</v>
      </c>
      <c r="F405" s="1" t="s">
        <v>463</v>
      </c>
      <c r="G405" s="1" t="s">
        <v>480</v>
      </c>
      <c r="H405" s="1" t="n">
        <v>80.5</v>
      </c>
      <c r="I405" s="1" t="str">
        <f aca="false">B405&amp;"|"&amp;F405&amp;"|"&amp;G405</f>
        <v>Multiple Residences|C|Low Cost</v>
      </c>
      <c r="J405" s="1" t="s">
        <v>619</v>
      </c>
    </row>
    <row r="406" customFormat="false" ht="12" hidden="false" customHeight="true" outlineLevel="0" collapsed="false">
      <c r="B406" s="1" t="s">
        <v>617</v>
      </c>
      <c r="C406" s="1" t="s">
        <v>618</v>
      </c>
      <c r="D406" s="1" t="s">
        <v>590</v>
      </c>
      <c r="E406" s="1" t="s">
        <v>511</v>
      </c>
      <c r="F406" s="1" t="s">
        <v>508</v>
      </c>
      <c r="G406" s="1" t="s">
        <v>485</v>
      </c>
      <c r="H406" s="1" t="n">
        <v>197</v>
      </c>
      <c r="I406" s="1" t="str">
        <f aca="false">B406&amp;"|"&amp;F406&amp;"|"&amp;G406</f>
        <v>Multiple Residences|DMASVEN|Excellent</v>
      </c>
      <c r="J406" s="1" t="s">
        <v>619</v>
      </c>
    </row>
    <row r="407" customFormat="false" ht="12" hidden="false" customHeight="true" outlineLevel="0" collapsed="false">
      <c r="B407" s="1" t="s">
        <v>617</v>
      </c>
      <c r="C407" s="1" t="s">
        <v>618</v>
      </c>
      <c r="D407" s="1" t="s">
        <v>590</v>
      </c>
      <c r="E407" s="1" t="s">
        <v>511</v>
      </c>
      <c r="F407" s="1" t="s">
        <v>508</v>
      </c>
      <c r="G407" s="1" t="s">
        <v>483</v>
      </c>
      <c r="H407" s="1" t="n">
        <v>145</v>
      </c>
      <c r="I407" s="1" t="str">
        <f aca="false">B407&amp;"|"&amp;F407&amp;"|"&amp;G407</f>
        <v>Multiple Residences|DMASVEN|Good</v>
      </c>
      <c r="J407" s="1" t="s">
        <v>619</v>
      </c>
    </row>
    <row r="408" customFormat="false" ht="12" hidden="false" customHeight="true" outlineLevel="0" collapsed="false">
      <c r="B408" s="1" t="s">
        <v>617</v>
      </c>
      <c r="C408" s="1" t="s">
        <v>618</v>
      </c>
      <c r="D408" s="1" t="s">
        <v>590</v>
      </c>
      <c r="E408" s="1" t="s">
        <v>511</v>
      </c>
      <c r="F408" s="1" t="s">
        <v>508</v>
      </c>
      <c r="G408" s="1" t="s">
        <v>279</v>
      </c>
      <c r="H408" s="1" t="n">
        <v>107</v>
      </c>
      <c r="I408" s="1" t="str">
        <f aca="false">B408&amp;"|"&amp;F408&amp;"|"&amp;G408</f>
        <v>Multiple Residences|DMASVEN|Average</v>
      </c>
      <c r="J408" s="1" t="s">
        <v>619</v>
      </c>
    </row>
    <row r="409" customFormat="false" ht="12" hidden="false" customHeight="true" outlineLevel="0" collapsed="false">
      <c r="B409" s="1" t="s">
        <v>617</v>
      </c>
      <c r="C409" s="1" t="s">
        <v>618</v>
      </c>
      <c r="D409" s="1" t="s">
        <v>590</v>
      </c>
      <c r="E409" s="1" t="s">
        <v>511</v>
      </c>
      <c r="F409" s="1" t="s">
        <v>508</v>
      </c>
      <c r="G409" s="1" t="s">
        <v>555</v>
      </c>
      <c r="H409" s="1" t="n">
        <v>93</v>
      </c>
      <c r="I409" s="1" t="str">
        <f aca="false">B409&amp;"|"&amp;F409&amp;"|"&amp;G409</f>
        <v>Multiple Residences|DMASVEN|Fair</v>
      </c>
      <c r="J409" s="1" t="s">
        <v>619</v>
      </c>
    </row>
    <row r="410" customFormat="false" ht="12" hidden="false" customHeight="true" outlineLevel="0" collapsed="false">
      <c r="B410" s="1" t="s">
        <v>617</v>
      </c>
      <c r="C410" s="1" t="s">
        <v>618</v>
      </c>
      <c r="D410" s="1" t="s">
        <v>590</v>
      </c>
      <c r="E410" s="1" t="s">
        <v>511</v>
      </c>
      <c r="F410" s="1" t="s">
        <v>508</v>
      </c>
      <c r="G410" s="1" t="s">
        <v>480</v>
      </c>
      <c r="H410" s="1" t="n">
        <v>78.5</v>
      </c>
      <c r="I410" s="1" t="str">
        <f aca="false">B410&amp;"|"&amp;F410&amp;"|"&amp;G410</f>
        <v>Multiple Residences|DMASVEN|Low Cost</v>
      </c>
      <c r="J410" s="1" t="s">
        <v>619</v>
      </c>
    </row>
    <row r="411" customFormat="false" ht="12" hidden="false" customHeight="true" outlineLevel="0" collapsed="false">
      <c r="B411" s="1" t="s">
        <v>617</v>
      </c>
      <c r="C411" s="1" t="s">
        <v>618</v>
      </c>
      <c r="D411" s="1" t="s">
        <v>590</v>
      </c>
      <c r="E411" s="1" t="s">
        <v>511</v>
      </c>
      <c r="F411" s="1" t="s">
        <v>468</v>
      </c>
      <c r="G411" s="1" t="s">
        <v>485</v>
      </c>
      <c r="H411" s="1" t="n">
        <v>193</v>
      </c>
      <c r="I411" s="1" t="str">
        <f aca="false">B411&amp;"|"&amp;F411&amp;"|"&amp;G411</f>
        <v>Multiple Residences|D|Excellent</v>
      </c>
      <c r="J411" s="1" t="s">
        <v>619</v>
      </c>
    </row>
    <row r="412" customFormat="false" ht="12" hidden="false" customHeight="true" outlineLevel="0" collapsed="false">
      <c r="B412" s="1" t="s">
        <v>617</v>
      </c>
      <c r="C412" s="1" t="s">
        <v>618</v>
      </c>
      <c r="D412" s="1" t="s">
        <v>590</v>
      </c>
      <c r="E412" s="1" t="s">
        <v>511</v>
      </c>
      <c r="F412" s="1" t="s">
        <v>468</v>
      </c>
      <c r="G412" s="1" t="s">
        <v>483</v>
      </c>
      <c r="H412" s="1" t="n">
        <v>142</v>
      </c>
      <c r="I412" s="1" t="str">
        <f aca="false">B412&amp;"|"&amp;F412&amp;"|"&amp;G412</f>
        <v>Multiple Residences|D|Good</v>
      </c>
      <c r="J412" s="1" t="s">
        <v>619</v>
      </c>
    </row>
    <row r="413" customFormat="false" ht="12" hidden="false" customHeight="true" outlineLevel="0" collapsed="false">
      <c r="B413" s="1" t="s">
        <v>617</v>
      </c>
      <c r="C413" s="1" t="s">
        <v>618</v>
      </c>
      <c r="D413" s="1" t="s">
        <v>590</v>
      </c>
      <c r="E413" s="1" t="s">
        <v>511</v>
      </c>
      <c r="F413" s="1" t="s">
        <v>468</v>
      </c>
      <c r="G413" s="1" t="s">
        <v>279</v>
      </c>
      <c r="H413" s="1" t="n">
        <v>104</v>
      </c>
      <c r="I413" s="1" t="str">
        <f aca="false">B413&amp;"|"&amp;F413&amp;"|"&amp;G413</f>
        <v>Multiple Residences|D|Average</v>
      </c>
      <c r="J413" s="1" t="s">
        <v>619</v>
      </c>
    </row>
    <row r="414" customFormat="false" ht="12" hidden="false" customHeight="true" outlineLevel="0" collapsed="false">
      <c r="B414" s="1" t="s">
        <v>617</v>
      </c>
      <c r="C414" s="1" t="s">
        <v>618</v>
      </c>
      <c r="D414" s="1" t="s">
        <v>590</v>
      </c>
      <c r="E414" s="1" t="s">
        <v>511</v>
      </c>
      <c r="F414" s="1" t="s">
        <v>468</v>
      </c>
      <c r="G414" s="1" t="s">
        <v>555</v>
      </c>
      <c r="H414" s="1" t="n">
        <v>90</v>
      </c>
      <c r="I414" s="1" t="str">
        <f aca="false">B414&amp;"|"&amp;F414&amp;"|"&amp;G414</f>
        <v>Multiple Residences|D|Fair</v>
      </c>
      <c r="J414" s="1" t="s">
        <v>619</v>
      </c>
    </row>
    <row r="415" customFormat="false" ht="12" hidden="false" customHeight="true" outlineLevel="0" collapsed="false">
      <c r="B415" s="1" t="s">
        <v>617</v>
      </c>
      <c r="C415" s="1" t="s">
        <v>618</v>
      </c>
      <c r="D415" s="1" t="s">
        <v>590</v>
      </c>
      <c r="E415" s="1" t="s">
        <v>511</v>
      </c>
      <c r="F415" s="1" t="s">
        <v>468</v>
      </c>
      <c r="G415" s="1" t="s">
        <v>480</v>
      </c>
      <c r="H415" s="1" t="n">
        <v>76.5</v>
      </c>
      <c r="I415" s="1" t="str">
        <f aca="false">B415&amp;"|"&amp;F415&amp;"|"&amp;G415</f>
        <v>Multiple Residences|D|Low Cost</v>
      </c>
      <c r="J415" s="1" t="s">
        <v>619</v>
      </c>
    </row>
    <row r="416" customFormat="false" ht="12" hidden="false" customHeight="true" outlineLevel="0" collapsed="false">
      <c r="B416" s="1" t="s">
        <v>617</v>
      </c>
      <c r="C416" s="1" t="s">
        <v>618</v>
      </c>
      <c r="D416" s="1" t="s">
        <v>590</v>
      </c>
      <c r="E416" s="1" t="s">
        <v>511</v>
      </c>
      <c r="F416" s="1" t="s">
        <v>473</v>
      </c>
      <c r="G416" s="1" t="s">
        <v>483</v>
      </c>
      <c r="H416" s="1" t="n">
        <v>138</v>
      </c>
      <c r="I416" s="1" t="str">
        <f aca="false">B416&amp;"|"&amp;F416&amp;"|"&amp;G416</f>
        <v>Multiple Residences|S|Good</v>
      </c>
      <c r="J416" s="1" t="s">
        <v>619</v>
      </c>
    </row>
    <row r="417" customFormat="false" ht="12" hidden="false" customHeight="true" outlineLevel="0" collapsed="false">
      <c r="B417" s="1" t="s">
        <v>617</v>
      </c>
      <c r="C417" s="1" t="s">
        <v>618</v>
      </c>
      <c r="D417" s="1" t="s">
        <v>590</v>
      </c>
      <c r="E417" s="1" t="s">
        <v>511</v>
      </c>
      <c r="F417" s="1" t="s">
        <v>473</v>
      </c>
      <c r="G417" s="1" t="s">
        <v>279</v>
      </c>
      <c r="H417" s="1" t="n">
        <v>102</v>
      </c>
      <c r="I417" s="1" t="str">
        <f aca="false">B417&amp;"|"&amp;F417&amp;"|"&amp;G417</f>
        <v>Multiple Residences|S|Average</v>
      </c>
      <c r="J417" s="1" t="s">
        <v>619</v>
      </c>
    </row>
    <row r="418" customFormat="false" ht="12" hidden="false" customHeight="true" outlineLevel="0" collapsed="false">
      <c r="B418" s="1" t="s">
        <v>620</v>
      </c>
      <c r="C418" s="1" t="s">
        <v>621</v>
      </c>
      <c r="D418" s="1" t="s">
        <v>590</v>
      </c>
      <c r="E418" s="1" t="s">
        <v>513</v>
      </c>
      <c r="F418" s="1" t="s">
        <v>463</v>
      </c>
      <c r="G418" s="1" t="s">
        <v>485</v>
      </c>
      <c r="H418" s="1" t="n">
        <v>90</v>
      </c>
      <c r="I418" s="1" t="str">
        <f aca="false">B418&amp;"|"&amp;F418&amp;"|"&amp;G418</f>
        <v>Shell Multiple Residence Buildings|C|Excellent</v>
      </c>
      <c r="J418" s="1" t="s">
        <v>622</v>
      </c>
    </row>
    <row r="419" customFormat="false" ht="12" hidden="false" customHeight="true" outlineLevel="0" collapsed="false">
      <c r="B419" s="1" t="s">
        <v>620</v>
      </c>
      <c r="C419" s="1" t="s">
        <v>621</v>
      </c>
      <c r="D419" s="1" t="s">
        <v>590</v>
      </c>
      <c r="E419" s="1" t="s">
        <v>513</v>
      </c>
      <c r="F419" s="1" t="s">
        <v>463</v>
      </c>
      <c r="G419" s="1" t="s">
        <v>483</v>
      </c>
      <c r="H419" s="1" t="n">
        <v>69.5</v>
      </c>
      <c r="I419" s="1" t="str">
        <f aca="false">B419&amp;"|"&amp;F419&amp;"|"&amp;G419</f>
        <v>Shell Multiple Residence Buildings|C|Good</v>
      </c>
      <c r="J419" s="1" t="s">
        <v>622</v>
      </c>
    </row>
    <row r="420" customFormat="false" ht="12" hidden="false" customHeight="true" outlineLevel="0" collapsed="false">
      <c r="B420" s="1" t="s">
        <v>620</v>
      </c>
      <c r="C420" s="1" t="s">
        <v>621</v>
      </c>
      <c r="D420" s="1" t="s">
        <v>590</v>
      </c>
      <c r="E420" s="1" t="s">
        <v>513</v>
      </c>
      <c r="F420" s="1" t="s">
        <v>463</v>
      </c>
      <c r="G420" s="1" t="s">
        <v>279</v>
      </c>
      <c r="H420" s="1" t="n">
        <v>54.5</v>
      </c>
      <c r="I420" s="1" t="str">
        <f aca="false">B420&amp;"|"&amp;F420&amp;"|"&amp;G420</f>
        <v>Shell Multiple Residence Buildings|C|Average</v>
      </c>
      <c r="J420" s="1" t="s">
        <v>622</v>
      </c>
    </row>
    <row r="421" customFormat="false" ht="12" hidden="false" customHeight="true" outlineLevel="0" collapsed="false">
      <c r="B421" s="1" t="s">
        <v>620</v>
      </c>
      <c r="C421" s="1" t="s">
        <v>621</v>
      </c>
      <c r="D421" s="1" t="s">
        <v>590</v>
      </c>
      <c r="E421" s="1" t="s">
        <v>513</v>
      </c>
      <c r="F421" s="1" t="s">
        <v>463</v>
      </c>
      <c r="G421" s="1" t="s">
        <v>555</v>
      </c>
      <c r="H421" s="1" t="n">
        <v>48.25</v>
      </c>
      <c r="I421" s="1" t="str">
        <f aca="false">B421&amp;"|"&amp;F421&amp;"|"&amp;G421</f>
        <v>Shell Multiple Residence Buildings|C|Fair</v>
      </c>
      <c r="J421" s="1" t="s">
        <v>622</v>
      </c>
    </row>
    <row r="422" customFormat="false" ht="12" hidden="false" customHeight="true" outlineLevel="0" collapsed="false">
      <c r="B422" s="1" t="s">
        <v>620</v>
      </c>
      <c r="C422" s="1" t="s">
        <v>621</v>
      </c>
      <c r="D422" s="1" t="s">
        <v>590</v>
      </c>
      <c r="E422" s="1" t="s">
        <v>513</v>
      </c>
      <c r="F422" s="1" t="s">
        <v>508</v>
      </c>
      <c r="G422" s="1" t="s">
        <v>485</v>
      </c>
      <c r="H422" s="1" t="n">
        <v>85.5</v>
      </c>
      <c r="I422" s="1" t="str">
        <f aca="false">B422&amp;"|"&amp;F422&amp;"|"&amp;G422</f>
        <v>Shell Multiple Residence Buildings|DMASVEN|Excellent</v>
      </c>
      <c r="J422" s="1" t="s">
        <v>622</v>
      </c>
    </row>
    <row r="423" customFormat="false" ht="12" hidden="false" customHeight="true" outlineLevel="0" collapsed="false">
      <c r="B423" s="1" t="s">
        <v>620</v>
      </c>
      <c r="C423" s="1" t="s">
        <v>621</v>
      </c>
      <c r="D423" s="1" t="s">
        <v>590</v>
      </c>
      <c r="E423" s="1" t="s">
        <v>513</v>
      </c>
      <c r="F423" s="1" t="s">
        <v>508</v>
      </c>
      <c r="G423" s="1" t="s">
        <v>483</v>
      </c>
      <c r="H423" s="1" t="n">
        <v>65.5</v>
      </c>
      <c r="I423" s="1" t="str">
        <f aca="false">B423&amp;"|"&amp;F423&amp;"|"&amp;G423</f>
        <v>Shell Multiple Residence Buildings|DMASVEN|Good</v>
      </c>
      <c r="J423" s="1" t="s">
        <v>622</v>
      </c>
    </row>
    <row r="424" customFormat="false" ht="12" hidden="false" customHeight="true" outlineLevel="0" collapsed="false">
      <c r="B424" s="1" t="s">
        <v>620</v>
      </c>
      <c r="C424" s="1" t="s">
        <v>621</v>
      </c>
      <c r="D424" s="1" t="s">
        <v>590</v>
      </c>
      <c r="E424" s="1" t="s">
        <v>513</v>
      </c>
      <c r="F424" s="1" t="s">
        <v>508</v>
      </c>
      <c r="G424" s="1" t="s">
        <v>279</v>
      </c>
      <c r="H424" s="1" t="n">
        <v>51</v>
      </c>
      <c r="I424" s="1" t="str">
        <f aca="false">B424&amp;"|"&amp;F424&amp;"|"&amp;G424</f>
        <v>Shell Multiple Residence Buildings|DMASVEN|Average</v>
      </c>
      <c r="J424" s="1" t="s">
        <v>622</v>
      </c>
    </row>
    <row r="425" customFormat="false" ht="12" hidden="false" customHeight="true" outlineLevel="0" collapsed="false">
      <c r="B425" s="1" t="s">
        <v>620</v>
      </c>
      <c r="C425" s="1" t="s">
        <v>621</v>
      </c>
      <c r="D425" s="1" t="s">
        <v>590</v>
      </c>
      <c r="E425" s="1" t="s">
        <v>513</v>
      </c>
      <c r="F425" s="1" t="s">
        <v>508</v>
      </c>
      <c r="G425" s="1" t="s">
        <v>555</v>
      </c>
      <c r="H425" s="1" t="n">
        <v>45</v>
      </c>
      <c r="I425" s="1" t="str">
        <f aca="false">B425&amp;"|"&amp;F425&amp;"|"&amp;G425</f>
        <v>Shell Multiple Residence Buildings|DMASVEN|Fair</v>
      </c>
      <c r="J425" s="1" t="s">
        <v>622</v>
      </c>
    </row>
    <row r="426" customFormat="false" ht="12" hidden="false" customHeight="true" outlineLevel="0" collapsed="false">
      <c r="B426" s="1" t="s">
        <v>620</v>
      </c>
      <c r="C426" s="1" t="s">
        <v>621</v>
      </c>
      <c r="D426" s="1" t="s">
        <v>590</v>
      </c>
      <c r="E426" s="1" t="s">
        <v>513</v>
      </c>
      <c r="F426" s="1" t="s">
        <v>468</v>
      </c>
      <c r="G426" s="1" t="s">
        <v>485</v>
      </c>
      <c r="H426" s="1" t="n">
        <v>83.5</v>
      </c>
      <c r="I426" s="1" t="str">
        <f aca="false">B426&amp;"|"&amp;F426&amp;"|"&amp;G426</f>
        <v>Shell Multiple Residence Buildings|D|Excellent</v>
      </c>
      <c r="J426" s="1" t="s">
        <v>622</v>
      </c>
    </row>
    <row r="427" customFormat="false" ht="12" hidden="false" customHeight="true" outlineLevel="0" collapsed="false">
      <c r="B427" s="1" t="s">
        <v>620</v>
      </c>
      <c r="C427" s="1" t="s">
        <v>621</v>
      </c>
      <c r="D427" s="1" t="s">
        <v>590</v>
      </c>
      <c r="E427" s="1" t="s">
        <v>513</v>
      </c>
      <c r="F427" s="1" t="s">
        <v>468</v>
      </c>
      <c r="G427" s="1" t="s">
        <v>483</v>
      </c>
      <c r="H427" s="1" t="n">
        <v>64</v>
      </c>
      <c r="I427" s="1" t="str">
        <f aca="false">B427&amp;"|"&amp;F427&amp;"|"&amp;G427</f>
        <v>Shell Multiple Residence Buildings|D|Good</v>
      </c>
      <c r="J427" s="1" t="s">
        <v>622</v>
      </c>
    </row>
    <row r="428" customFormat="false" ht="12" hidden="false" customHeight="true" outlineLevel="0" collapsed="false">
      <c r="B428" s="1" t="s">
        <v>620</v>
      </c>
      <c r="C428" s="1" t="s">
        <v>621</v>
      </c>
      <c r="D428" s="1" t="s">
        <v>590</v>
      </c>
      <c r="E428" s="1" t="s">
        <v>513</v>
      </c>
      <c r="F428" s="1" t="s">
        <v>468</v>
      </c>
      <c r="G428" s="1" t="s">
        <v>279</v>
      </c>
      <c r="H428" s="1" t="n">
        <v>49.25</v>
      </c>
      <c r="I428" s="1" t="str">
        <f aca="false">B428&amp;"|"&amp;F428&amp;"|"&amp;G428</f>
        <v>Shell Multiple Residence Buildings|D|Average</v>
      </c>
      <c r="J428" s="1" t="s">
        <v>622</v>
      </c>
    </row>
    <row r="429" customFormat="false" ht="12" hidden="false" customHeight="true" outlineLevel="0" collapsed="false">
      <c r="B429" s="1" t="s">
        <v>620</v>
      </c>
      <c r="C429" s="1" t="s">
        <v>621</v>
      </c>
      <c r="D429" s="1" t="s">
        <v>590</v>
      </c>
      <c r="E429" s="1" t="s">
        <v>513</v>
      </c>
      <c r="F429" s="1" t="s">
        <v>468</v>
      </c>
      <c r="G429" s="1" t="s">
        <v>555</v>
      </c>
      <c r="H429" s="1" t="n">
        <v>43.5</v>
      </c>
      <c r="I429" s="1" t="str">
        <f aca="false">B429&amp;"|"&amp;F429&amp;"|"&amp;G429</f>
        <v>Shell Multiple Residence Buildings|D|Fair</v>
      </c>
      <c r="J429" s="1" t="s">
        <v>622</v>
      </c>
    </row>
    <row r="430" customFormat="false" ht="12" hidden="false" customHeight="true" outlineLevel="0" collapsed="false">
      <c r="B430" s="1" t="s">
        <v>620</v>
      </c>
      <c r="C430" s="1" t="s">
        <v>621</v>
      </c>
      <c r="D430" s="1" t="s">
        <v>590</v>
      </c>
      <c r="E430" s="1" t="s">
        <v>513</v>
      </c>
      <c r="F430" s="1" t="s">
        <v>473</v>
      </c>
      <c r="G430" s="1" t="s">
        <v>483</v>
      </c>
      <c r="H430" s="1" t="n">
        <v>61.5</v>
      </c>
      <c r="I430" s="1" t="str">
        <f aca="false">B430&amp;"|"&amp;F430&amp;"|"&amp;G430</f>
        <v>Shell Multiple Residence Buildings|S|Good</v>
      </c>
      <c r="J430" s="1" t="s">
        <v>622</v>
      </c>
    </row>
    <row r="431" customFormat="false" ht="12" hidden="false" customHeight="true" outlineLevel="0" collapsed="false">
      <c r="B431" s="1" t="s">
        <v>620</v>
      </c>
      <c r="C431" s="1" t="s">
        <v>621</v>
      </c>
      <c r="D431" s="1" t="s">
        <v>590</v>
      </c>
      <c r="E431" s="1" t="s">
        <v>513</v>
      </c>
      <c r="F431" s="1" t="s">
        <v>473</v>
      </c>
      <c r="G431" s="1" t="s">
        <v>279</v>
      </c>
      <c r="H431" s="1" t="n">
        <v>47.75</v>
      </c>
      <c r="I431" s="1" t="str">
        <f aca="false">B431&amp;"|"&amp;F431&amp;"|"&amp;G431</f>
        <v>Shell Multiple Residence Buildings|S|Average</v>
      </c>
      <c r="J431" s="1" t="s">
        <v>622</v>
      </c>
    </row>
    <row r="432" customFormat="false" ht="12" hidden="false" customHeight="true" outlineLevel="0" collapsed="false">
      <c r="B432" s="1" t="s">
        <v>623</v>
      </c>
      <c r="C432" s="1" t="s">
        <v>624</v>
      </c>
      <c r="D432" s="1" t="s">
        <v>590</v>
      </c>
      <c r="E432" s="1" t="s">
        <v>517</v>
      </c>
      <c r="F432" s="1" t="s">
        <v>463</v>
      </c>
      <c r="G432" s="1" t="s">
        <v>485</v>
      </c>
      <c r="H432" s="1" t="n">
        <v>187</v>
      </c>
      <c r="I432" s="1" t="str">
        <f aca="false">B432&amp;"|"&amp;F432&amp;"|"&amp;G432</f>
        <v>Multiple Residences – Senior Citizen|C|Excellent</v>
      </c>
      <c r="J432" s="1" t="s">
        <v>625</v>
      </c>
    </row>
    <row r="433" customFormat="false" ht="12" hidden="false" customHeight="true" outlineLevel="0" collapsed="false">
      <c r="B433" s="1" t="s">
        <v>623</v>
      </c>
      <c r="C433" s="1" t="s">
        <v>624</v>
      </c>
      <c r="D433" s="1" t="s">
        <v>590</v>
      </c>
      <c r="E433" s="1" t="s">
        <v>517</v>
      </c>
      <c r="F433" s="1" t="s">
        <v>463</v>
      </c>
      <c r="G433" s="1" t="s">
        <v>483</v>
      </c>
      <c r="H433" s="1" t="n">
        <v>149</v>
      </c>
      <c r="I433" s="1" t="str">
        <f aca="false">B433&amp;"|"&amp;F433&amp;"|"&amp;G433</f>
        <v>Multiple Residences – Senior Citizen|C|Good</v>
      </c>
      <c r="J433" s="1" t="s">
        <v>625</v>
      </c>
    </row>
    <row r="434" customFormat="false" ht="12" hidden="false" customHeight="true" outlineLevel="0" collapsed="false">
      <c r="B434" s="1" t="s">
        <v>623</v>
      </c>
      <c r="C434" s="1" t="s">
        <v>624</v>
      </c>
      <c r="D434" s="1" t="s">
        <v>590</v>
      </c>
      <c r="E434" s="1" t="s">
        <v>517</v>
      </c>
      <c r="F434" s="1" t="s">
        <v>463</v>
      </c>
      <c r="G434" s="1" t="s">
        <v>279</v>
      </c>
      <c r="H434" s="1" t="n">
        <v>119</v>
      </c>
      <c r="I434" s="1" t="str">
        <f aca="false">B434&amp;"|"&amp;F434&amp;"|"&amp;G434</f>
        <v>Multiple Residences – Senior Citizen|C|Average</v>
      </c>
      <c r="J434" s="1" t="s">
        <v>625</v>
      </c>
    </row>
    <row r="435" customFormat="false" ht="12" hidden="false" customHeight="true" outlineLevel="0" collapsed="false">
      <c r="B435" s="1" t="s">
        <v>623</v>
      </c>
      <c r="C435" s="1" t="s">
        <v>624</v>
      </c>
      <c r="D435" s="1" t="s">
        <v>590</v>
      </c>
      <c r="E435" s="1" t="s">
        <v>517</v>
      </c>
      <c r="F435" s="1" t="s">
        <v>463</v>
      </c>
      <c r="G435" s="1" t="s">
        <v>555</v>
      </c>
      <c r="H435" s="1" t="n">
        <v>103</v>
      </c>
      <c r="I435" s="1" t="str">
        <f aca="false">B435&amp;"|"&amp;F435&amp;"|"&amp;G435</f>
        <v>Multiple Residences – Senior Citizen|C|Fair</v>
      </c>
      <c r="J435" s="1" t="s">
        <v>625</v>
      </c>
    </row>
    <row r="436" customFormat="false" ht="12" hidden="false" customHeight="true" outlineLevel="0" collapsed="false">
      <c r="B436" s="1" t="s">
        <v>623</v>
      </c>
      <c r="C436" s="1" t="s">
        <v>624</v>
      </c>
      <c r="D436" s="1" t="s">
        <v>590</v>
      </c>
      <c r="E436" s="1" t="s">
        <v>517</v>
      </c>
      <c r="F436" s="1" t="s">
        <v>508</v>
      </c>
      <c r="G436" s="1" t="s">
        <v>485</v>
      </c>
      <c r="H436" s="1" t="n">
        <v>186</v>
      </c>
      <c r="I436" s="1" t="str">
        <f aca="false">B436&amp;"|"&amp;F436&amp;"|"&amp;G436</f>
        <v>Multiple Residences – Senior Citizen|DMASVEN|Excellent</v>
      </c>
      <c r="J436" s="1" t="s">
        <v>625</v>
      </c>
    </row>
    <row r="437" customFormat="false" ht="12" hidden="false" customHeight="true" outlineLevel="0" collapsed="false">
      <c r="B437" s="1" t="s">
        <v>623</v>
      </c>
      <c r="C437" s="1" t="s">
        <v>624</v>
      </c>
      <c r="D437" s="1" t="s">
        <v>590</v>
      </c>
      <c r="E437" s="1" t="s">
        <v>517</v>
      </c>
      <c r="F437" s="1" t="s">
        <v>508</v>
      </c>
      <c r="G437" s="1" t="s">
        <v>483</v>
      </c>
      <c r="H437" s="1" t="n">
        <v>147</v>
      </c>
      <c r="I437" s="1" t="str">
        <f aca="false">B437&amp;"|"&amp;F437&amp;"|"&amp;G437</f>
        <v>Multiple Residences – Senior Citizen|DMASVEN|Good</v>
      </c>
      <c r="J437" s="1" t="s">
        <v>625</v>
      </c>
    </row>
    <row r="438" customFormat="false" ht="12" hidden="false" customHeight="true" outlineLevel="0" collapsed="false">
      <c r="B438" s="1" t="s">
        <v>623</v>
      </c>
      <c r="C438" s="1" t="s">
        <v>624</v>
      </c>
      <c r="D438" s="1" t="s">
        <v>590</v>
      </c>
      <c r="E438" s="1" t="s">
        <v>517</v>
      </c>
      <c r="F438" s="1" t="s">
        <v>508</v>
      </c>
      <c r="G438" s="1" t="s">
        <v>279</v>
      </c>
      <c r="H438" s="1" t="n">
        <v>117</v>
      </c>
      <c r="I438" s="1" t="str">
        <f aca="false">B438&amp;"|"&amp;F438&amp;"|"&amp;G438</f>
        <v>Multiple Residences – Senior Citizen|DMASVEN|Average</v>
      </c>
      <c r="J438" s="1" t="s">
        <v>625</v>
      </c>
    </row>
    <row r="439" customFormat="false" ht="12" hidden="false" customHeight="true" outlineLevel="0" collapsed="false">
      <c r="B439" s="1" t="s">
        <v>623</v>
      </c>
      <c r="C439" s="1" t="s">
        <v>624</v>
      </c>
      <c r="D439" s="1" t="s">
        <v>590</v>
      </c>
      <c r="E439" s="1" t="s">
        <v>517</v>
      </c>
      <c r="F439" s="1" t="s">
        <v>508</v>
      </c>
      <c r="G439" s="1" t="s">
        <v>555</v>
      </c>
      <c r="H439" s="1" t="n">
        <v>101</v>
      </c>
      <c r="I439" s="1" t="str">
        <f aca="false">B439&amp;"|"&amp;F439&amp;"|"&amp;G439</f>
        <v>Multiple Residences – Senior Citizen|DMASVEN|Fair</v>
      </c>
      <c r="J439" s="1" t="s">
        <v>625</v>
      </c>
    </row>
    <row r="440" customFormat="false" ht="12" hidden="false" customHeight="true" outlineLevel="0" collapsed="false">
      <c r="B440" s="1" t="s">
        <v>623</v>
      </c>
      <c r="C440" s="1" t="s">
        <v>624</v>
      </c>
      <c r="D440" s="1" t="s">
        <v>590</v>
      </c>
      <c r="E440" s="1" t="s">
        <v>517</v>
      </c>
      <c r="F440" s="1" t="s">
        <v>468</v>
      </c>
      <c r="G440" s="1" t="s">
        <v>485</v>
      </c>
      <c r="H440" s="1" t="n">
        <v>181</v>
      </c>
      <c r="I440" s="1" t="str">
        <f aca="false">B440&amp;"|"&amp;F440&amp;"|"&amp;G440</f>
        <v>Multiple Residences – Senior Citizen|D|Excellent</v>
      </c>
      <c r="J440" s="1" t="s">
        <v>625</v>
      </c>
    </row>
    <row r="441" customFormat="false" ht="12" hidden="false" customHeight="true" outlineLevel="0" collapsed="false">
      <c r="B441" s="1" t="s">
        <v>623</v>
      </c>
      <c r="C441" s="1" t="s">
        <v>624</v>
      </c>
      <c r="D441" s="1" t="s">
        <v>590</v>
      </c>
      <c r="E441" s="1" t="s">
        <v>517</v>
      </c>
      <c r="F441" s="1" t="s">
        <v>468</v>
      </c>
      <c r="G441" s="1" t="s">
        <v>483</v>
      </c>
      <c r="H441" s="1" t="n">
        <v>143</v>
      </c>
      <c r="I441" s="1" t="str">
        <f aca="false">B441&amp;"|"&amp;F441&amp;"|"&amp;G441</f>
        <v>Multiple Residences – Senior Citizen|D|Good</v>
      </c>
      <c r="J441" s="1" t="s">
        <v>625</v>
      </c>
    </row>
    <row r="442" customFormat="false" ht="12" hidden="false" customHeight="true" outlineLevel="0" collapsed="false">
      <c r="B442" s="1" t="s">
        <v>623</v>
      </c>
      <c r="C442" s="1" t="s">
        <v>624</v>
      </c>
      <c r="D442" s="1" t="s">
        <v>590</v>
      </c>
      <c r="E442" s="1" t="s">
        <v>517</v>
      </c>
      <c r="F442" s="1" t="s">
        <v>468</v>
      </c>
      <c r="G442" s="1" t="s">
        <v>279</v>
      </c>
      <c r="H442" s="1" t="n">
        <v>114</v>
      </c>
      <c r="I442" s="1" t="str">
        <f aca="false">B442&amp;"|"&amp;F442&amp;"|"&amp;G442</f>
        <v>Multiple Residences – Senior Citizen|D|Average</v>
      </c>
      <c r="J442" s="1" t="s">
        <v>625</v>
      </c>
    </row>
    <row r="443" customFormat="false" ht="12" hidden="false" customHeight="true" outlineLevel="0" collapsed="false">
      <c r="B443" s="1" t="s">
        <v>623</v>
      </c>
      <c r="C443" s="1" t="s">
        <v>624</v>
      </c>
      <c r="D443" s="1" t="s">
        <v>590</v>
      </c>
      <c r="E443" s="1" t="s">
        <v>517</v>
      </c>
      <c r="F443" s="1" t="s">
        <v>468</v>
      </c>
      <c r="G443" s="1" t="s">
        <v>555</v>
      </c>
      <c r="H443" s="1" t="n">
        <v>98</v>
      </c>
      <c r="I443" s="1" t="str">
        <f aca="false">B443&amp;"|"&amp;F443&amp;"|"&amp;G443</f>
        <v>Multiple Residences – Senior Citizen|D|Fair</v>
      </c>
      <c r="J443" s="1" t="s">
        <v>625</v>
      </c>
    </row>
    <row r="444" customFormat="false" ht="12" hidden="false" customHeight="true" outlineLevel="0" collapsed="false">
      <c r="B444" s="1" t="s">
        <v>623</v>
      </c>
      <c r="C444" s="1" t="s">
        <v>624</v>
      </c>
      <c r="D444" s="1" t="s">
        <v>590</v>
      </c>
      <c r="E444" s="1" t="s">
        <v>517</v>
      </c>
      <c r="F444" s="1" t="s">
        <v>468</v>
      </c>
      <c r="G444" s="1" t="s">
        <v>480</v>
      </c>
      <c r="H444" s="1" t="n">
        <v>86.5</v>
      </c>
      <c r="I444" s="1" t="str">
        <f aca="false">B444&amp;"|"&amp;F444&amp;"|"&amp;G444</f>
        <v>Multiple Residences – Senior Citizen|D|Low Cost</v>
      </c>
      <c r="J444" s="1" t="s">
        <v>625</v>
      </c>
    </row>
    <row r="445" customFormat="false" ht="12" hidden="false" customHeight="true" outlineLevel="0" collapsed="false">
      <c r="B445" s="1" t="s">
        <v>623</v>
      </c>
      <c r="C445" s="1" t="s">
        <v>624</v>
      </c>
      <c r="D445" s="1" t="s">
        <v>590</v>
      </c>
      <c r="E445" s="1" t="s">
        <v>517</v>
      </c>
      <c r="F445" s="1" t="s">
        <v>473</v>
      </c>
      <c r="G445" s="1" t="s">
        <v>483</v>
      </c>
      <c r="H445" s="1" t="n">
        <v>140</v>
      </c>
      <c r="I445" s="1" t="str">
        <f aca="false">B445&amp;"|"&amp;F445&amp;"|"&amp;G445</f>
        <v>Multiple Residences – Senior Citizen|S|Good</v>
      </c>
      <c r="J445" s="1" t="s">
        <v>625</v>
      </c>
    </row>
    <row r="446" customFormat="false" ht="12" hidden="false" customHeight="true" outlineLevel="0" collapsed="false">
      <c r="B446" s="1" t="s">
        <v>623</v>
      </c>
      <c r="C446" s="1" t="s">
        <v>624</v>
      </c>
      <c r="D446" s="1" t="s">
        <v>590</v>
      </c>
      <c r="E446" s="1" t="s">
        <v>517</v>
      </c>
      <c r="F446" s="1" t="s">
        <v>473</v>
      </c>
      <c r="G446" s="1" t="s">
        <v>279</v>
      </c>
      <c r="H446" s="1" t="n">
        <v>112</v>
      </c>
      <c r="I446" s="1" t="str">
        <f aca="false">B446&amp;"|"&amp;F446&amp;"|"&amp;G446</f>
        <v>Multiple Residences – Senior Citizen|S|Average</v>
      </c>
      <c r="J446" s="1" t="s">
        <v>625</v>
      </c>
    </row>
    <row r="447" customFormat="false" ht="12" hidden="false" customHeight="true" outlineLevel="0" collapsed="false">
      <c r="B447" s="1" t="s">
        <v>626</v>
      </c>
      <c r="C447" s="1" t="s">
        <v>627</v>
      </c>
      <c r="D447" s="1" t="s">
        <v>590</v>
      </c>
      <c r="E447" s="1" t="s">
        <v>522</v>
      </c>
      <c r="F447" s="1" t="s">
        <v>463</v>
      </c>
      <c r="G447" s="1" t="s">
        <v>485</v>
      </c>
      <c r="H447" s="1" t="n">
        <v>102</v>
      </c>
      <c r="I447" s="1" t="str">
        <f aca="false">B447&amp;"|"&amp;F447&amp;"|"&amp;G447</f>
        <v>Shell Multiple Residences - Senior Citizen|C|Excellent</v>
      </c>
      <c r="J447" s="1" t="s">
        <v>628</v>
      </c>
    </row>
    <row r="448" customFormat="false" ht="12" hidden="false" customHeight="true" outlineLevel="0" collapsed="false">
      <c r="B448" s="1" t="s">
        <v>626</v>
      </c>
      <c r="C448" s="1" t="s">
        <v>627</v>
      </c>
      <c r="D448" s="1" t="s">
        <v>590</v>
      </c>
      <c r="E448" s="1" t="s">
        <v>522</v>
      </c>
      <c r="F448" s="1" t="s">
        <v>463</v>
      </c>
      <c r="G448" s="1" t="s">
        <v>483</v>
      </c>
      <c r="H448" s="1" t="n">
        <v>82</v>
      </c>
      <c r="I448" s="1" t="str">
        <f aca="false">B448&amp;"|"&amp;F448&amp;"|"&amp;G448</f>
        <v>Shell Multiple Residences - Senior Citizen|C|Good</v>
      </c>
      <c r="J448" s="1" t="s">
        <v>628</v>
      </c>
    </row>
    <row r="449" customFormat="false" ht="12" hidden="false" customHeight="true" outlineLevel="0" collapsed="false">
      <c r="B449" s="1" t="s">
        <v>626</v>
      </c>
      <c r="C449" s="1" t="s">
        <v>627</v>
      </c>
      <c r="D449" s="1" t="s">
        <v>590</v>
      </c>
      <c r="E449" s="1" t="s">
        <v>522</v>
      </c>
      <c r="F449" s="1" t="s">
        <v>463</v>
      </c>
      <c r="G449" s="1" t="s">
        <v>279</v>
      </c>
      <c r="H449" s="1" t="n">
        <v>66.5</v>
      </c>
      <c r="I449" s="1" t="str">
        <f aca="false">B449&amp;"|"&amp;F449&amp;"|"&amp;G449</f>
        <v>Shell Multiple Residences - Senior Citizen|C|Average</v>
      </c>
      <c r="J449" s="1" t="s">
        <v>628</v>
      </c>
    </row>
    <row r="450" customFormat="false" ht="12" hidden="false" customHeight="true" outlineLevel="0" collapsed="false">
      <c r="B450" s="1" t="s">
        <v>626</v>
      </c>
      <c r="C450" s="1" t="s">
        <v>627</v>
      </c>
      <c r="D450" s="1" t="s">
        <v>590</v>
      </c>
      <c r="E450" s="1" t="s">
        <v>522</v>
      </c>
      <c r="F450" s="1" t="s">
        <v>463</v>
      </c>
      <c r="G450" s="1" t="s">
        <v>555</v>
      </c>
      <c r="H450" s="1" t="n">
        <v>59.5</v>
      </c>
      <c r="I450" s="1" t="str">
        <f aca="false">B450&amp;"|"&amp;F450&amp;"|"&amp;G450</f>
        <v>Shell Multiple Residences - Senior Citizen|C|Fair</v>
      </c>
      <c r="J450" s="1" t="s">
        <v>628</v>
      </c>
    </row>
    <row r="451" customFormat="false" ht="12" hidden="false" customHeight="true" outlineLevel="0" collapsed="false">
      <c r="B451" s="1" t="s">
        <v>626</v>
      </c>
      <c r="C451" s="1" t="s">
        <v>627</v>
      </c>
      <c r="D451" s="1" t="s">
        <v>590</v>
      </c>
      <c r="E451" s="1" t="s">
        <v>522</v>
      </c>
      <c r="F451" s="1" t="s">
        <v>508</v>
      </c>
      <c r="G451" s="1" t="s">
        <v>485</v>
      </c>
      <c r="H451" s="1" t="n">
        <v>97</v>
      </c>
      <c r="I451" s="1" t="str">
        <f aca="false">B451&amp;"|"&amp;F451&amp;"|"&amp;G451</f>
        <v>Shell Multiple Residences - Senior Citizen|DMASVEN|Excellent</v>
      </c>
      <c r="J451" s="1" t="s">
        <v>628</v>
      </c>
    </row>
    <row r="452" customFormat="false" ht="12" hidden="false" customHeight="true" outlineLevel="0" collapsed="false">
      <c r="B452" s="1" t="s">
        <v>626</v>
      </c>
      <c r="C452" s="1" t="s">
        <v>627</v>
      </c>
      <c r="D452" s="1" t="s">
        <v>590</v>
      </c>
      <c r="E452" s="1" t="s">
        <v>522</v>
      </c>
      <c r="F452" s="1" t="s">
        <v>508</v>
      </c>
      <c r="G452" s="1" t="s">
        <v>483</v>
      </c>
      <c r="H452" s="1" t="n">
        <v>78.5</v>
      </c>
      <c r="I452" s="1" t="str">
        <f aca="false">B452&amp;"|"&amp;F452&amp;"|"&amp;G452</f>
        <v>Shell Multiple Residences - Senior Citizen|DMASVEN|Good</v>
      </c>
      <c r="J452" s="1" t="s">
        <v>628</v>
      </c>
    </row>
    <row r="453" customFormat="false" ht="12" hidden="false" customHeight="true" outlineLevel="0" collapsed="false">
      <c r="B453" s="1" t="s">
        <v>626</v>
      </c>
      <c r="C453" s="1" t="s">
        <v>627</v>
      </c>
      <c r="D453" s="1" t="s">
        <v>590</v>
      </c>
      <c r="E453" s="1" t="s">
        <v>522</v>
      </c>
      <c r="F453" s="1" t="s">
        <v>508</v>
      </c>
      <c r="G453" s="1" t="s">
        <v>279</v>
      </c>
      <c r="H453" s="1" t="n">
        <v>63</v>
      </c>
      <c r="I453" s="1" t="str">
        <f aca="false">B453&amp;"|"&amp;F453&amp;"|"&amp;G453</f>
        <v>Shell Multiple Residences - Senior Citizen|DMASVEN|Average</v>
      </c>
      <c r="J453" s="1" t="s">
        <v>628</v>
      </c>
    </row>
    <row r="454" customFormat="false" ht="12" hidden="false" customHeight="true" outlineLevel="0" collapsed="false">
      <c r="B454" s="1" t="s">
        <v>626</v>
      </c>
      <c r="C454" s="1" t="s">
        <v>627</v>
      </c>
      <c r="D454" s="1" t="s">
        <v>590</v>
      </c>
      <c r="E454" s="1" t="s">
        <v>522</v>
      </c>
      <c r="F454" s="1" t="s">
        <v>508</v>
      </c>
      <c r="G454" s="1" t="s">
        <v>555</v>
      </c>
      <c r="H454" s="1" t="n">
        <v>56.5</v>
      </c>
      <c r="I454" s="1" t="str">
        <f aca="false">B454&amp;"|"&amp;F454&amp;"|"&amp;G454</f>
        <v>Shell Multiple Residences - Senior Citizen|DMASVEN|Fair</v>
      </c>
      <c r="J454" s="1" t="s">
        <v>628</v>
      </c>
    </row>
    <row r="455" customFormat="false" ht="12" hidden="false" customHeight="true" outlineLevel="0" collapsed="false">
      <c r="B455" s="1" t="s">
        <v>626</v>
      </c>
      <c r="C455" s="1" t="s">
        <v>627</v>
      </c>
      <c r="D455" s="1" t="s">
        <v>590</v>
      </c>
      <c r="E455" s="1" t="s">
        <v>522</v>
      </c>
      <c r="F455" s="1" t="s">
        <v>468</v>
      </c>
      <c r="G455" s="1" t="s">
        <v>485</v>
      </c>
      <c r="H455" s="1" t="n">
        <v>94.5</v>
      </c>
      <c r="I455" s="1" t="str">
        <f aca="false">B455&amp;"|"&amp;F455&amp;"|"&amp;G455</f>
        <v>Shell Multiple Residences - Senior Citizen|D|Excellent</v>
      </c>
      <c r="J455" s="1" t="s">
        <v>628</v>
      </c>
    </row>
    <row r="456" customFormat="false" ht="12" hidden="false" customHeight="true" outlineLevel="0" collapsed="false">
      <c r="B456" s="1" t="s">
        <v>626</v>
      </c>
      <c r="C456" s="1" t="s">
        <v>627</v>
      </c>
      <c r="D456" s="1" t="s">
        <v>590</v>
      </c>
      <c r="E456" s="1" t="s">
        <v>522</v>
      </c>
      <c r="F456" s="1" t="s">
        <v>468</v>
      </c>
      <c r="G456" s="1" t="s">
        <v>483</v>
      </c>
      <c r="H456" s="1" t="n">
        <v>76</v>
      </c>
      <c r="I456" s="1" t="str">
        <f aca="false">B456&amp;"|"&amp;F456&amp;"|"&amp;G456</f>
        <v>Shell Multiple Residences - Senior Citizen|D|Good</v>
      </c>
      <c r="J456" s="1" t="s">
        <v>628</v>
      </c>
    </row>
    <row r="457" customFormat="false" ht="12" hidden="false" customHeight="true" outlineLevel="0" collapsed="false">
      <c r="B457" s="1" t="s">
        <v>626</v>
      </c>
      <c r="C457" s="1" t="s">
        <v>627</v>
      </c>
      <c r="D457" s="1" t="s">
        <v>590</v>
      </c>
      <c r="E457" s="1" t="s">
        <v>522</v>
      </c>
      <c r="F457" s="1" t="s">
        <v>468</v>
      </c>
      <c r="G457" s="1" t="s">
        <v>279</v>
      </c>
      <c r="H457" s="1" t="n">
        <v>61</v>
      </c>
      <c r="I457" s="1" t="str">
        <f aca="false">B457&amp;"|"&amp;F457&amp;"|"&amp;G457</f>
        <v>Shell Multiple Residences - Senior Citizen|D|Average</v>
      </c>
      <c r="J457" s="1" t="s">
        <v>628</v>
      </c>
    </row>
    <row r="458" customFormat="false" ht="12" hidden="false" customHeight="true" outlineLevel="0" collapsed="false">
      <c r="B458" s="1" t="s">
        <v>626</v>
      </c>
      <c r="C458" s="1" t="s">
        <v>627</v>
      </c>
      <c r="D458" s="1" t="s">
        <v>590</v>
      </c>
      <c r="E458" s="1" t="s">
        <v>522</v>
      </c>
      <c r="F458" s="1" t="s">
        <v>468</v>
      </c>
      <c r="G458" s="1" t="s">
        <v>555</v>
      </c>
      <c r="H458" s="1" t="n">
        <v>55</v>
      </c>
      <c r="I458" s="1" t="str">
        <f aca="false">B458&amp;"|"&amp;F458&amp;"|"&amp;G458</f>
        <v>Shell Multiple Residences - Senior Citizen|D|Fair</v>
      </c>
      <c r="J458" s="1" t="s">
        <v>628</v>
      </c>
    </row>
    <row r="459" customFormat="false" ht="12" hidden="false" customHeight="true" outlineLevel="0" collapsed="false">
      <c r="B459" s="1" t="s">
        <v>626</v>
      </c>
      <c r="C459" s="1" t="s">
        <v>627</v>
      </c>
      <c r="D459" s="1" t="s">
        <v>590</v>
      </c>
      <c r="E459" s="1" t="s">
        <v>522</v>
      </c>
      <c r="F459" s="1" t="s">
        <v>468</v>
      </c>
      <c r="G459" s="1" t="s">
        <v>480</v>
      </c>
      <c r="H459" s="1" t="n">
        <v>49.25</v>
      </c>
      <c r="I459" s="1" t="str">
        <f aca="false">B459&amp;"|"&amp;F459&amp;"|"&amp;G459</f>
        <v>Shell Multiple Residences - Senior Citizen|D|Low Cost</v>
      </c>
      <c r="J459" s="1" t="s">
        <v>628</v>
      </c>
    </row>
    <row r="460" customFormat="false" ht="12" hidden="false" customHeight="true" outlineLevel="0" collapsed="false">
      <c r="B460" s="1" t="s">
        <v>626</v>
      </c>
      <c r="C460" s="1" t="s">
        <v>627</v>
      </c>
      <c r="D460" s="1" t="s">
        <v>590</v>
      </c>
      <c r="E460" s="1" t="s">
        <v>522</v>
      </c>
      <c r="F460" s="1" t="s">
        <v>473</v>
      </c>
      <c r="G460" s="1" t="s">
        <v>483</v>
      </c>
      <c r="H460" s="1" t="n">
        <v>73.5</v>
      </c>
      <c r="I460" s="1" t="str">
        <f aca="false">B460&amp;"|"&amp;F460&amp;"|"&amp;G460</f>
        <v>Shell Multiple Residences - Senior Citizen|S|Good</v>
      </c>
      <c r="J460" s="1" t="s">
        <v>628</v>
      </c>
    </row>
    <row r="461" customFormat="false" ht="12" hidden="false" customHeight="true" outlineLevel="0" collapsed="false">
      <c r="B461" s="1" t="s">
        <v>626</v>
      </c>
      <c r="C461" s="1" t="s">
        <v>627</v>
      </c>
      <c r="D461" s="1" t="s">
        <v>590</v>
      </c>
      <c r="E461" s="1" t="s">
        <v>522</v>
      </c>
      <c r="F461" s="1" t="s">
        <v>473</v>
      </c>
      <c r="G461" s="1" t="s">
        <v>279</v>
      </c>
      <c r="H461" s="1" t="n">
        <v>59.5</v>
      </c>
      <c r="I461" s="1" t="str">
        <f aca="false">B461&amp;"|"&amp;F461&amp;"|"&amp;G461</f>
        <v>Shell Multiple Residences - Senior Citizen|S|Average</v>
      </c>
      <c r="J461" s="1" t="s">
        <v>628</v>
      </c>
    </row>
    <row r="462" customFormat="false" ht="12" hidden="false" customHeight="true" outlineLevel="0" collapsed="false">
      <c r="B462" s="1" t="s">
        <v>629</v>
      </c>
      <c r="C462" s="1" t="s">
        <v>630</v>
      </c>
      <c r="D462" s="1" t="s">
        <v>590</v>
      </c>
      <c r="E462" s="1" t="s">
        <v>527</v>
      </c>
      <c r="F462" s="1" t="s">
        <v>463</v>
      </c>
      <c r="G462" s="1" t="s">
        <v>485</v>
      </c>
      <c r="H462" s="1" t="n">
        <v>202</v>
      </c>
      <c r="I462" s="1" t="str">
        <f aca="false">B462&amp;"|"&amp;F462&amp;"|"&amp;G462</f>
        <v>Multiple Residences – Elderly Assisted Living|C|Excellent</v>
      </c>
      <c r="J462" s="1" t="s">
        <v>631</v>
      </c>
    </row>
    <row r="463" customFormat="false" ht="12" hidden="false" customHeight="true" outlineLevel="0" collapsed="false">
      <c r="B463" s="1" t="s">
        <v>629</v>
      </c>
      <c r="C463" s="1" t="s">
        <v>630</v>
      </c>
      <c r="D463" s="1" t="s">
        <v>590</v>
      </c>
      <c r="E463" s="1" t="s">
        <v>527</v>
      </c>
      <c r="F463" s="1" t="s">
        <v>463</v>
      </c>
      <c r="G463" s="1" t="s">
        <v>483</v>
      </c>
      <c r="H463" s="1" t="n">
        <v>165</v>
      </c>
      <c r="I463" s="1" t="str">
        <f aca="false">B463&amp;"|"&amp;F463&amp;"|"&amp;G463</f>
        <v>Multiple Residences – Elderly Assisted Living|C|Good</v>
      </c>
      <c r="J463" s="1" t="s">
        <v>631</v>
      </c>
    </row>
    <row r="464" customFormat="false" ht="12" hidden="false" customHeight="true" outlineLevel="0" collapsed="false">
      <c r="B464" s="1" t="s">
        <v>629</v>
      </c>
      <c r="C464" s="1" t="s">
        <v>630</v>
      </c>
      <c r="D464" s="1" t="s">
        <v>590</v>
      </c>
      <c r="E464" s="1" t="s">
        <v>527</v>
      </c>
      <c r="F464" s="1" t="s">
        <v>463</v>
      </c>
      <c r="G464" s="1" t="s">
        <v>279</v>
      </c>
      <c r="H464" s="1" t="n">
        <v>135</v>
      </c>
      <c r="I464" s="1" t="str">
        <f aca="false">B464&amp;"|"&amp;F464&amp;"|"&amp;G464</f>
        <v>Multiple Residences – Elderly Assisted Living|C|Average</v>
      </c>
      <c r="J464" s="1" t="s">
        <v>631</v>
      </c>
    </row>
    <row r="465" customFormat="false" ht="12" hidden="false" customHeight="true" outlineLevel="0" collapsed="false">
      <c r="B465" s="1" t="s">
        <v>629</v>
      </c>
      <c r="C465" s="1" t="s">
        <v>630</v>
      </c>
      <c r="D465" s="1" t="s">
        <v>590</v>
      </c>
      <c r="E465" s="1" t="s">
        <v>527</v>
      </c>
      <c r="F465" s="1" t="s">
        <v>463</v>
      </c>
      <c r="G465" s="1" t="s">
        <v>555</v>
      </c>
      <c r="H465" s="1" t="n">
        <v>119</v>
      </c>
      <c r="I465" s="1" t="str">
        <f aca="false">B465&amp;"|"&amp;F465&amp;"|"&amp;G465</f>
        <v>Multiple Residences – Elderly Assisted Living|C|Fair</v>
      </c>
      <c r="J465" s="1" t="s">
        <v>631</v>
      </c>
    </row>
    <row r="466" customFormat="false" ht="12" hidden="false" customHeight="true" outlineLevel="0" collapsed="false">
      <c r="B466" s="1" t="s">
        <v>629</v>
      </c>
      <c r="C466" s="1" t="s">
        <v>630</v>
      </c>
      <c r="D466" s="1" t="s">
        <v>590</v>
      </c>
      <c r="E466" s="1" t="s">
        <v>527</v>
      </c>
      <c r="F466" s="1" t="s">
        <v>508</v>
      </c>
      <c r="G466" s="1" t="s">
        <v>485</v>
      </c>
      <c r="H466" s="1" t="n">
        <v>201</v>
      </c>
      <c r="I466" s="1" t="str">
        <f aca="false">B466&amp;"|"&amp;F466&amp;"|"&amp;G466</f>
        <v>Multiple Residences – Elderly Assisted Living|DMASVEN|Excellent</v>
      </c>
      <c r="J466" s="1" t="s">
        <v>631</v>
      </c>
    </row>
    <row r="467" customFormat="false" ht="12" hidden="false" customHeight="true" outlineLevel="0" collapsed="false">
      <c r="B467" s="1" t="s">
        <v>629</v>
      </c>
      <c r="C467" s="1" t="s">
        <v>630</v>
      </c>
      <c r="D467" s="1" t="s">
        <v>590</v>
      </c>
      <c r="E467" s="1" t="s">
        <v>527</v>
      </c>
      <c r="F467" s="1" t="s">
        <v>508</v>
      </c>
      <c r="G467" s="1" t="s">
        <v>483</v>
      </c>
      <c r="H467" s="1" t="n">
        <v>163</v>
      </c>
      <c r="I467" s="1" t="str">
        <f aca="false">B467&amp;"|"&amp;F467&amp;"|"&amp;G467</f>
        <v>Multiple Residences – Elderly Assisted Living|DMASVEN|Good</v>
      </c>
      <c r="J467" s="1" t="s">
        <v>631</v>
      </c>
    </row>
    <row r="468" customFormat="false" ht="12" hidden="false" customHeight="true" outlineLevel="0" collapsed="false">
      <c r="B468" s="1" t="s">
        <v>629</v>
      </c>
      <c r="C468" s="1" t="s">
        <v>630</v>
      </c>
      <c r="D468" s="1" t="s">
        <v>590</v>
      </c>
      <c r="E468" s="1" t="s">
        <v>527</v>
      </c>
      <c r="F468" s="1" t="s">
        <v>508</v>
      </c>
      <c r="G468" s="1" t="s">
        <v>279</v>
      </c>
      <c r="H468" s="1" t="n">
        <v>134</v>
      </c>
      <c r="I468" s="1" t="str">
        <f aca="false">B468&amp;"|"&amp;F468&amp;"|"&amp;G468</f>
        <v>Multiple Residences – Elderly Assisted Living|DMASVEN|Average</v>
      </c>
      <c r="J468" s="1" t="s">
        <v>631</v>
      </c>
    </row>
    <row r="469" customFormat="false" ht="12" hidden="false" customHeight="true" outlineLevel="0" collapsed="false">
      <c r="B469" s="1" t="s">
        <v>629</v>
      </c>
      <c r="C469" s="1" t="s">
        <v>630</v>
      </c>
      <c r="D469" s="1" t="s">
        <v>590</v>
      </c>
      <c r="E469" s="1" t="s">
        <v>527</v>
      </c>
      <c r="F469" s="1" t="s">
        <v>508</v>
      </c>
      <c r="G469" s="1" t="s">
        <v>555</v>
      </c>
      <c r="H469" s="1" t="n">
        <v>118</v>
      </c>
      <c r="I469" s="1" t="str">
        <f aca="false">B469&amp;"|"&amp;F469&amp;"|"&amp;G469</f>
        <v>Multiple Residences – Elderly Assisted Living|DMASVEN|Fair</v>
      </c>
      <c r="J469" s="1" t="s">
        <v>631</v>
      </c>
    </row>
    <row r="470" customFormat="false" ht="12" hidden="false" customHeight="true" outlineLevel="0" collapsed="false">
      <c r="B470" s="1" t="s">
        <v>629</v>
      </c>
      <c r="C470" s="1" t="s">
        <v>630</v>
      </c>
      <c r="D470" s="1" t="s">
        <v>590</v>
      </c>
      <c r="E470" s="1" t="s">
        <v>527</v>
      </c>
      <c r="F470" s="1" t="s">
        <v>468</v>
      </c>
      <c r="G470" s="1" t="s">
        <v>485</v>
      </c>
      <c r="H470" s="1" t="n">
        <v>195</v>
      </c>
      <c r="I470" s="1" t="str">
        <f aca="false">B470&amp;"|"&amp;F470&amp;"|"&amp;G470</f>
        <v>Multiple Residences – Elderly Assisted Living|D|Excellent</v>
      </c>
      <c r="J470" s="1" t="s">
        <v>631</v>
      </c>
    </row>
    <row r="471" customFormat="false" ht="12" hidden="false" customHeight="true" outlineLevel="0" collapsed="false">
      <c r="B471" s="1" t="s">
        <v>629</v>
      </c>
      <c r="C471" s="1" t="s">
        <v>630</v>
      </c>
      <c r="D471" s="1" t="s">
        <v>590</v>
      </c>
      <c r="E471" s="1" t="s">
        <v>527</v>
      </c>
      <c r="F471" s="1" t="s">
        <v>468</v>
      </c>
      <c r="G471" s="1" t="s">
        <v>483</v>
      </c>
      <c r="H471" s="1" t="n">
        <v>159</v>
      </c>
      <c r="I471" s="1" t="str">
        <f aca="false">B471&amp;"|"&amp;F471&amp;"|"&amp;G471</f>
        <v>Multiple Residences – Elderly Assisted Living|D|Good</v>
      </c>
      <c r="J471" s="1" t="s">
        <v>631</v>
      </c>
    </row>
    <row r="472" customFormat="false" ht="12" hidden="false" customHeight="true" outlineLevel="0" collapsed="false">
      <c r="B472" s="1" t="s">
        <v>629</v>
      </c>
      <c r="C472" s="1" t="s">
        <v>630</v>
      </c>
      <c r="D472" s="1" t="s">
        <v>590</v>
      </c>
      <c r="E472" s="1" t="s">
        <v>527</v>
      </c>
      <c r="F472" s="1" t="s">
        <v>468</v>
      </c>
      <c r="G472" s="1" t="s">
        <v>279</v>
      </c>
      <c r="H472" s="1" t="n">
        <v>130</v>
      </c>
      <c r="I472" s="1" t="str">
        <f aca="false">B472&amp;"|"&amp;F472&amp;"|"&amp;G472</f>
        <v>Multiple Residences – Elderly Assisted Living|D|Average</v>
      </c>
      <c r="J472" s="1" t="s">
        <v>631</v>
      </c>
    </row>
    <row r="473" customFormat="false" ht="12" hidden="false" customHeight="true" outlineLevel="0" collapsed="false">
      <c r="B473" s="1" t="s">
        <v>629</v>
      </c>
      <c r="C473" s="1" t="s">
        <v>630</v>
      </c>
      <c r="D473" s="1" t="s">
        <v>590</v>
      </c>
      <c r="E473" s="1" t="s">
        <v>527</v>
      </c>
      <c r="F473" s="1" t="s">
        <v>468</v>
      </c>
      <c r="G473" s="1" t="s">
        <v>555</v>
      </c>
      <c r="H473" s="1" t="n">
        <v>115</v>
      </c>
      <c r="I473" s="1" t="str">
        <f aca="false">B473&amp;"|"&amp;F473&amp;"|"&amp;G473</f>
        <v>Multiple Residences – Elderly Assisted Living|D|Fair</v>
      </c>
      <c r="J473" s="1" t="s">
        <v>631</v>
      </c>
    </row>
    <row r="474" customFormat="false" ht="12" hidden="false" customHeight="true" outlineLevel="0" collapsed="false">
      <c r="B474" s="1" t="s">
        <v>629</v>
      </c>
      <c r="C474" s="1" t="s">
        <v>630</v>
      </c>
      <c r="D474" s="1" t="s">
        <v>590</v>
      </c>
      <c r="E474" s="1" t="s">
        <v>527</v>
      </c>
      <c r="F474" s="1" t="s">
        <v>468</v>
      </c>
      <c r="G474" s="1" t="s">
        <v>480</v>
      </c>
      <c r="H474" s="1" t="n">
        <v>104</v>
      </c>
      <c r="I474" s="1" t="str">
        <f aca="false">B474&amp;"|"&amp;F474&amp;"|"&amp;G474</f>
        <v>Multiple Residences – Elderly Assisted Living|D|Low Cost</v>
      </c>
      <c r="J474" s="1" t="s">
        <v>631</v>
      </c>
    </row>
    <row r="475" customFormat="false" ht="12" hidden="false" customHeight="true" outlineLevel="0" collapsed="false">
      <c r="B475" s="1" t="s">
        <v>629</v>
      </c>
      <c r="C475" s="1" t="s">
        <v>630</v>
      </c>
      <c r="D475" s="1" t="s">
        <v>590</v>
      </c>
      <c r="E475" s="1" t="s">
        <v>527</v>
      </c>
      <c r="F475" s="1" t="s">
        <v>473</v>
      </c>
      <c r="G475" s="1" t="s">
        <v>483</v>
      </c>
      <c r="H475" s="1" t="n">
        <v>155</v>
      </c>
      <c r="I475" s="1" t="str">
        <f aca="false">B475&amp;"|"&amp;F475&amp;"|"&amp;G475</f>
        <v>Multiple Residences – Elderly Assisted Living|S|Good</v>
      </c>
      <c r="J475" s="1" t="s">
        <v>631</v>
      </c>
    </row>
    <row r="476" customFormat="false" ht="12" hidden="false" customHeight="true" outlineLevel="0" collapsed="false">
      <c r="B476" s="1" t="s">
        <v>629</v>
      </c>
      <c r="C476" s="1" t="s">
        <v>630</v>
      </c>
      <c r="D476" s="1" t="s">
        <v>590</v>
      </c>
      <c r="E476" s="1" t="s">
        <v>527</v>
      </c>
      <c r="F476" s="1" t="s">
        <v>473</v>
      </c>
      <c r="G476" s="1" t="s">
        <v>279</v>
      </c>
      <c r="H476" s="1" t="n">
        <v>127</v>
      </c>
      <c r="I476" s="1" t="str">
        <f aca="false">B476&amp;"|"&amp;F476&amp;"|"&amp;G476</f>
        <v>Multiple Residences – Elderly Assisted Living|S|Average</v>
      </c>
      <c r="J476" s="1" t="s">
        <v>631</v>
      </c>
    </row>
    <row r="477" customFormat="false" ht="12" hidden="false" customHeight="true" outlineLevel="0" collapsed="false">
      <c r="B477" s="1" t="s">
        <v>632</v>
      </c>
      <c r="C477" s="1" t="s">
        <v>633</v>
      </c>
      <c r="D477" s="1" t="s">
        <v>590</v>
      </c>
      <c r="E477" s="1" t="s">
        <v>529</v>
      </c>
      <c r="F477" s="1" t="s">
        <v>463</v>
      </c>
      <c r="G477" s="1" t="s">
        <v>485</v>
      </c>
      <c r="H477" s="1" t="n">
        <v>86.5</v>
      </c>
      <c r="I477" s="1" t="str">
        <f aca="false">B477&amp;"|"&amp;F477&amp;"|"&amp;G477</f>
        <v>Shell Multiple Residences - Elderly Assisted Living|C|Excellent</v>
      </c>
      <c r="J477" s="1" t="s">
        <v>634</v>
      </c>
    </row>
    <row r="478" customFormat="false" ht="12" hidden="false" customHeight="true" outlineLevel="0" collapsed="false">
      <c r="B478" s="1" t="s">
        <v>632</v>
      </c>
      <c r="C478" s="1" t="s">
        <v>633</v>
      </c>
      <c r="D478" s="1" t="s">
        <v>590</v>
      </c>
      <c r="E478" s="1" t="s">
        <v>529</v>
      </c>
      <c r="F478" s="1" t="s">
        <v>463</v>
      </c>
      <c r="G478" s="1" t="s">
        <v>483</v>
      </c>
      <c r="H478" s="1" t="n">
        <v>74</v>
      </c>
      <c r="I478" s="1" t="str">
        <f aca="false">B478&amp;"|"&amp;F478&amp;"|"&amp;G478</f>
        <v>Shell Multiple Residences - Elderly Assisted Living|C|Good</v>
      </c>
      <c r="J478" s="1" t="s">
        <v>634</v>
      </c>
    </row>
    <row r="479" customFormat="false" ht="12" hidden="false" customHeight="true" outlineLevel="0" collapsed="false">
      <c r="B479" s="1" t="s">
        <v>632</v>
      </c>
      <c r="C479" s="1" t="s">
        <v>633</v>
      </c>
      <c r="D479" s="1" t="s">
        <v>590</v>
      </c>
      <c r="E479" s="1" t="s">
        <v>529</v>
      </c>
      <c r="F479" s="1" t="s">
        <v>463</v>
      </c>
      <c r="G479" s="1" t="s">
        <v>279</v>
      </c>
      <c r="H479" s="1" t="n">
        <v>63</v>
      </c>
      <c r="I479" s="1" t="str">
        <f aca="false">B479&amp;"|"&amp;F479&amp;"|"&amp;G479</f>
        <v>Shell Multiple Residences - Elderly Assisted Living|C|Average</v>
      </c>
      <c r="J479" s="1" t="s">
        <v>634</v>
      </c>
    </row>
    <row r="480" customFormat="false" ht="12" hidden="false" customHeight="true" outlineLevel="0" collapsed="false">
      <c r="B480" s="1" t="s">
        <v>632</v>
      </c>
      <c r="C480" s="1" t="s">
        <v>633</v>
      </c>
      <c r="D480" s="1" t="s">
        <v>590</v>
      </c>
      <c r="E480" s="1" t="s">
        <v>529</v>
      </c>
      <c r="F480" s="1" t="s">
        <v>463</v>
      </c>
      <c r="G480" s="1" t="s">
        <v>555</v>
      </c>
      <c r="H480" s="1" t="n">
        <v>58</v>
      </c>
      <c r="I480" s="1" t="str">
        <f aca="false">B480&amp;"|"&amp;F480&amp;"|"&amp;G480</f>
        <v>Shell Multiple Residences - Elderly Assisted Living|C|Fair</v>
      </c>
      <c r="J480" s="1" t="s">
        <v>634</v>
      </c>
    </row>
    <row r="481" customFormat="false" ht="12" hidden="false" customHeight="true" outlineLevel="0" collapsed="false">
      <c r="B481" s="1" t="s">
        <v>632</v>
      </c>
      <c r="C481" s="1" t="s">
        <v>633</v>
      </c>
      <c r="D481" s="1" t="s">
        <v>590</v>
      </c>
      <c r="E481" s="1" t="s">
        <v>529</v>
      </c>
      <c r="F481" s="1" t="s">
        <v>508</v>
      </c>
      <c r="G481" s="1" t="s">
        <v>485</v>
      </c>
      <c r="H481" s="1" t="n">
        <v>81</v>
      </c>
      <c r="I481" s="1" t="str">
        <f aca="false">B481&amp;"|"&amp;F481&amp;"|"&amp;G481</f>
        <v>Shell Multiple Residences - Elderly Assisted Living|DMASVEN|Excellent</v>
      </c>
      <c r="J481" s="1" t="s">
        <v>634</v>
      </c>
    </row>
    <row r="482" customFormat="false" ht="12" hidden="false" customHeight="true" outlineLevel="0" collapsed="false">
      <c r="B482" s="1" t="s">
        <v>632</v>
      </c>
      <c r="C482" s="1" t="s">
        <v>633</v>
      </c>
      <c r="D482" s="1" t="s">
        <v>590</v>
      </c>
      <c r="E482" s="1" t="s">
        <v>529</v>
      </c>
      <c r="F482" s="1" t="s">
        <v>508</v>
      </c>
      <c r="G482" s="1" t="s">
        <v>483</v>
      </c>
      <c r="H482" s="1" t="n">
        <v>69.5</v>
      </c>
      <c r="I482" s="1" t="str">
        <f aca="false">B482&amp;"|"&amp;F482&amp;"|"&amp;G482</f>
        <v>Shell Multiple Residences - Elderly Assisted Living|DMASVEN|Good</v>
      </c>
      <c r="J482" s="1" t="s">
        <v>634</v>
      </c>
    </row>
    <row r="483" customFormat="false" ht="12" hidden="false" customHeight="true" outlineLevel="0" collapsed="false">
      <c r="B483" s="1" t="s">
        <v>632</v>
      </c>
      <c r="C483" s="1" t="s">
        <v>633</v>
      </c>
      <c r="D483" s="1" t="s">
        <v>590</v>
      </c>
      <c r="E483" s="1" t="s">
        <v>529</v>
      </c>
      <c r="F483" s="1" t="s">
        <v>508</v>
      </c>
      <c r="G483" s="1" t="s">
        <v>279</v>
      </c>
      <c r="H483" s="1" t="n">
        <v>59</v>
      </c>
      <c r="I483" s="1" t="str">
        <f aca="false">B483&amp;"|"&amp;F483&amp;"|"&amp;G483</f>
        <v>Shell Multiple Residences - Elderly Assisted Living|DMASVEN|Average</v>
      </c>
      <c r="J483" s="1" t="s">
        <v>634</v>
      </c>
    </row>
    <row r="484" customFormat="false" ht="12" hidden="false" customHeight="true" outlineLevel="0" collapsed="false">
      <c r="B484" s="1" t="s">
        <v>632</v>
      </c>
      <c r="C484" s="1" t="s">
        <v>633</v>
      </c>
      <c r="D484" s="1" t="s">
        <v>590</v>
      </c>
      <c r="E484" s="1" t="s">
        <v>529</v>
      </c>
      <c r="F484" s="1" t="s">
        <v>508</v>
      </c>
      <c r="G484" s="1" t="s">
        <v>555</v>
      </c>
      <c r="H484" s="1" t="n">
        <v>55</v>
      </c>
      <c r="I484" s="1" t="str">
        <f aca="false">B484&amp;"|"&amp;F484&amp;"|"&amp;G484</f>
        <v>Shell Multiple Residences - Elderly Assisted Living|DMASVEN|Fair</v>
      </c>
      <c r="J484" s="1" t="s">
        <v>634</v>
      </c>
    </row>
    <row r="485" customFormat="false" ht="12" hidden="false" customHeight="true" outlineLevel="0" collapsed="false">
      <c r="B485" s="1" t="s">
        <v>632</v>
      </c>
      <c r="C485" s="1" t="s">
        <v>633</v>
      </c>
      <c r="D485" s="1" t="s">
        <v>590</v>
      </c>
      <c r="E485" s="1" t="s">
        <v>529</v>
      </c>
      <c r="F485" s="1" t="s">
        <v>468</v>
      </c>
      <c r="G485" s="1" t="s">
        <v>485</v>
      </c>
      <c r="H485" s="1" t="n">
        <v>78.5</v>
      </c>
      <c r="I485" s="1" t="str">
        <f aca="false">B485&amp;"|"&amp;F485&amp;"|"&amp;G485</f>
        <v>Shell Multiple Residences - Elderly Assisted Living|D|Excellent</v>
      </c>
      <c r="J485" s="1" t="s">
        <v>634</v>
      </c>
    </row>
    <row r="486" customFormat="false" ht="12" hidden="false" customHeight="true" outlineLevel="0" collapsed="false">
      <c r="B486" s="1" t="s">
        <v>632</v>
      </c>
      <c r="C486" s="1" t="s">
        <v>633</v>
      </c>
      <c r="D486" s="1" t="s">
        <v>590</v>
      </c>
      <c r="E486" s="1" t="s">
        <v>529</v>
      </c>
      <c r="F486" s="1" t="s">
        <v>468</v>
      </c>
      <c r="G486" s="1" t="s">
        <v>483</v>
      </c>
      <c r="H486" s="1" t="n">
        <v>67.5</v>
      </c>
      <c r="I486" s="1" t="str">
        <f aca="false">B486&amp;"|"&amp;F486&amp;"|"&amp;G486</f>
        <v>Shell Multiple Residences - Elderly Assisted Living|D|Good</v>
      </c>
      <c r="J486" s="1" t="s">
        <v>634</v>
      </c>
    </row>
    <row r="487" customFormat="false" ht="12" hidden="false" customHeight="true" outlineLevel="0" collapsed="false">
      <c r="B487" s="1" t="s">
        <v>632</v>
      </c>
      <c r="C487" s="1" t="s">
        <v>633</v>
      </c>
      <c r="D487" s="1" t="s">
        <v>590</v>
      </c>
      <c r="E487" s="1" t="s">
        <v>529</v>
      </c>
      <c r="F487" s="1" t="s">
        <v>468</v>
      </c>
      <c r="G487" s="1" t="s">
        <v>279</v>
      </c>
      <c r="H487" s="1" t="n">
        <v>57.5</v>
      </c>
      <c r="I487" s="1" t="str">
        <f aca="false">B487&amp;"|"&amp;F487&amp;"|"&amp;G487</f>
        <v>Shell Multiple Residences - Elderly Assisted Living|D|Average</v>
      </c>
      <c r="J487" s="1" t="s">
        <v>634</v>
      </c>
    </row>
    <row r="488" customFormat="false" ht="12" hidden="false" customHeight="true" outlineLevel="0" collapsed="false">
      <c r="B488" s="1" t="s">
        <v>632</v>
      </c>
      <c r="C488" s="1" t="s">
        <v>633</v>
      </c>
      <c r="D488" s="1" t="s">
        <v>590</v>
      </c>
      <c r="E488" s="1" t="s">
        <v>529</v>
      </c>
      <c r="F488" s="1" t="s">
        <v>468</v>
      </c>
      <c r="G488" s="1" t="s">
        <v>555</v>
      </c>
      <c r="H488" s="1" t="n">
        <v>53.5</v>
      </c>
      <c r="I488" s="1" t="str">
        <f aca="false">B488&amp;"|"&amp;F488&amp;"|"&amp;G488</f>
        <v>Shell Multiple Residences - Elderly Assisted Living|D|Fair</v>
      </c>
      <c r="J488" s="1" t="s">
        <v>634</v>
      </c>
    </row>
    <row r="489" customFormat="false" ht="12" hidden="false" customHeight="true" outlineLevel="0" collapsed="false">
      <c r="B489" s="1" t="s">
        <v>632</v>
      </c>
      <c r="C489" s="1" t="s">
        <v>633</v>
      </c>
      <c r="D489" s="1" t="s">
        <v>590</v>
      </c>
      <c r="E489" s="1" t="s">
        <v>529</v>
      </c>
      <c r="F489" s="1" t="s">
        <v>468</v>
      </c>
      <c r="G489" s="1" t="s">
        <v>480</v>
      </c>
      <c r="H489" s="1" t="n">
        <v>49.25</v>
      </c>
      <c r="I489" s="1" t="str">
        <f aca="false">B489&amp;"|"&amp;F489&amp;"|"&amp;G489</f>
        <v>Shell Multiple Residences - Elderly Assisted Living|D|Low Cost</v>
      </c>
      <c r="J489" s="1" t="s">
        <v>634</v>
      </c>
    </row>
    <row r="490" customFormat="false" ht="12" hidden="false" customHeight="true" outlineLevel="0" collapsed="false">
      <c r="B490" s="1" t="s">
        <v>632</v>
      </c>
      <c r="C490" s="1" t="s">
        <v>633</v>
      </c>
      <c r="D490" s="1" t="s">
        <v>590</v>
      </c>
      <c r="E490" s="1" t="s">
        <v>529</v>
      </c>
      <c r="F490" s="1" t="s">
        <v>473</v>
      </c>
      <c r="G490" s="1" t="s">
        <v>483</v>
      </c>
      <c r="H490" s="1" t="n">
        <v>65</v>
      </c>
      <c r="I490" s="1" t="str">
        <f aca="false">B490&amp;"|"&amp;F490&amp;"|"&amp;G490</f>
        <v>Shell Multiple Residences - Elderly Assisted Living|S|Good</v>
      </c>
      <c r="J490" s="1" t="s">
        <v>634</v>
      </c>
    </row>
    <row r="491" customFormat="false" ht="12" hidden="false" customHeight="true" outlineLevel="0" collapsed="false">
      <c r="B491" s="1" t="s">
        <v>632</v>
      </c>
      <c r="C491" s="1" t="s">
        <v>633</v>
      </c>
      <c r="D491" s="1" t="s">
        <v>590</v>
      </c>
      <c r="E491" s="1" t="s">
        <v>529</v>
      </c>
      <c r="F491" s="1" t="s">
        <v>473</v>
      </c>
      <c r="G491" s="1" t="s">
        <v>279</v>
      </c>
      <c r="H491" s="1" t="n">
        <v>55.5</v>
      </c>
      <c r="I491" s="1" t="str">
        <f aca="false">B491&amp;"|"&amp;F491&amp;"|"&amp;G491</f>
        <v>Shell Multiple Residences - Elderly Assisted Living|S|Average</v>
      </c>
      <c r="J491" s="1" t="s">
        <v>634</v>
      </c>
    </row>
    <row r="492" customFormat="false" ht="12" hidden="false" customHeight="true" outlineLevel="0" collapsed="false">
      <c r="B492" s="1" t="s">
        <v>635</v>
      </c>
      <c r="C492" s="1" t="s">
        <v>636</v>
      </c>
      <c r="D492" s="1" t="s">
        <v>590</v>
      </c>
      <c r="E492" s="1" t="s">
        <v>533</v>
      </c>
      <c r="F492" s="1" t="s">
        <v>463</v>
      </c>
      <c r="G492" s="1" t="s">
        <v>483</v>
      </c>
      <c r="H492" s="1" t="n">
        <v>234</v>
      </c>
      <c r="I492" s="1" t="str">
        <f aca="false">B492&amp;"|"&amp;F492&amp;"|"&amp;G492</f>
        <v>Multiple Residences – Retirement Community Complex|C|Good</v>
      </c>
      <c r="J492" s="1" t="s">
        <v>637</v>
      </c>
    </row>
    <row r="493" customFormat="false" ht="12" hidden="false" customHeight="true" outlineLevel="0" collapsed="false">
      <c r="B493" s="1" t="s">
        <v>635</v>
      </c>
      <c r="C493" s="1" t="s">
        <v>636</v>
      </c>
      <c r="D493" s="1" t="s">
        <v>590</v>
      </c>
      <c r="E493" s="1" t="s">
        <v>533</v>
      </c>
      <c r="F493" s="1" t="s">
        <v>463</v>
      </c>
      <c r="G493" s="1" t="s">
        <v>279</v>
      </c>
      <c r="H493" s="1" t="n">
        <v>188</v>
      </c>
      <c r="I493" s="1" t="str">
        <f aca="false">B493&amp;"|"&amp;F493&amp;"|"&amp;G493</f>
        <v>Multiple Residences – Retirement Community Complex|C|Average</v>
      </c>
      <c r="J493" s="1" t="s">
        <v>637</v>
      </c>
    </row>
    <row r="494" customFormat="false" ht="12" hidden="false" customHeight="true" outlineLevel="0" collapsed="false">
      <c r="B494" s="1" t="s">
        <v>635</v>
      </c>
      <c r="C494" s="1" t="s">
        <v>636</v>
      </c>
      <c r="D494" s="1" t="s">
        <v>590</v>
      </c>
      <c r="E494" s="1" t="s">
        <v>533</v>
      </c>
      <c r="F494" s="1" t="s">
        <v>463</v>
      </c>
      <c r="G494" s="1" t="s">
        <v>555</v>
      </c>
      <c r="H494" s="1" t="n">
        <v>168</v>
      </c>
      <c r="I494" s="1" t="str">
        <f aca="false">B494&amp;"|"&amp;F494&amp;"|"&amp;G494</f>
        <v>Multiple Residences – Retirement Community Complex|C|Fair</v>
      </c>
      <c r="J494" s="1" t="s">
        <v>637</v>
      </c>
    </row>
    <row r="495" customFormat="false" ht="12" hidden="false" customHeight="true" outlineLevel="0" collapsed="false">
      <c r="B495" s="1" t="s">
        <v>635</v>
      </c>
      <c r="C495" s="1" t="s">
        <v>636</v>
      </c>
      <c r="D495" s="1" t="s">
        <v>590</v>
      </c>
      <c r="E495" s="1" t="s">
        <v>533</v>
      </c>
      <c r="F495" s="1" t="s">
        <v>463</v>
      </c>
      <c r="G495" s="1" t="s">
        <v>480</v>
      </c>
      <c r="H495" s="1" t="n">
        <v>147</v>
      </c>
      <c r="I495" s="1" t="str">
        <f aca="false">B495&amp;"|"&amp;F495&amp;"|"&amp;G495</f>
        <v>Multiple Residences – Retirement Community Complex|C|Low Cost</v>
      </c>
      <c r="J495" s="1" t="s">
        <v>637</v>
      </c>
    </row>
    <row r="496" customFormat="false" ht="12" hidden="false" customHeight="true" outlineLevel="0" collapsed="false">
      <c r="B496" s="1" t="s">
        <v>635</v>
      </c>
      <c r="C496" s="1" t="s">
        <v>636</v>
      </c>
      <c r="D496" s="1" t="s">
        <v>590</v>
      </c>
      <c r="E496" s="1" t="s">
        <v>533</v>
      </c>
      <c r="F496" s="1" t="s">
        <v>508</v>
      </c>
      <c r="G496" s="1" t="s">
        <v>483</v>
      </c>
      <c r="H496" s="1" t="n">
        <v>233</v>
      </c>
      <c r="I496" s="1" t="str">
        <f aca="false">B496&amp;"|"&amp;F496&amp;"|"&amp;G496</f>
        <v>Multiple Residences – Retirement Community Complex|DMASVEN|Good</v>
      </c>
      <c r="J496" s="1" t="s">
        <v>637</v>
      </c>
    </row>
    <row r="497" customFormat="false" ht="12" hidden="false" customHeight="true" outlineLevel="0" collapsed="false">
      <c r="B497" s="1" t="s">
        <v>635</v>
      </c>
      <c r="C497" s="1" t="s">
        <v>636</v>
      </c>
      <c r="D497" s="1" t="s">
        <v>590</v>
      </c>
      <c r="E497" s="1" t="s">
        <v>533</v>
      </c>
      <c r="F497" s="1" t="s">
        <v>508</v>
      </c>
      <c r="G497" s="1" t="s">
        <v>279</v>
      </c>
      <c r="H497" s="1" t="n">
        <v>186</v>
      </c>
      <c r="I497" s="1" t="str">
        <f aca="false">B497&amp;"|"&amp;F497&amp;"|"&amp;G497</f>
        <v>Multiple Residences – Retirement Community Complex|DMASVEN|Average</v>
      </c>
      <c r="J497" s="1" t="s">
        <v>637</v>
      </c>
    </row>
    <row r="498" customFormat="false" ht="12" hidden="false" customHeight="true" outlineLevel="0" collapsed="false">
      <c r="B498" s="1" t="s">
        <v>635</v>
      </c>
      <c r="C498" s="1" t="s">
        <v>636</v>
      </c>
      <c r="D498" s="1" t="s">
        <v>590</v>
      </c>
      <c r="E498" s="1" t="s">
        <v>533</v>
      </c>
      <c r="F498" s="1" t="s">
        <v>508</v>
      </c>
      <c r="G498" s="1" t="s">
        <v>555</v>
      </c>
      <c r="H498" s="1" t="n">
        <v>167</v>
      </c>
      <c r="I498" s="1" t="str">
        <f aca="false">B498&amp;"|"&amp;F498&amp;"|"&amp;G498</f>
        <v>Multiple Residences – Retirement Community Complex|DMASVEN|Fair</v>
      </c>
      <c r="J498" s="1" t="s">
        <v>637</v>
      </c>
    </row>
    <row r="499" customFormat="false" ht="12" hidden="false" customHeight="true" outlineLevel="0" collapsed="false">
      <c r="B499" s="1" t="s">
        <v>635</v>
      </c>
      <c r="C499" s="1" t="s">
        <v>636</v>
      </c>
      <c r="D499" s="1" t="s">
        <v>590</v>
      </c>
      <c r="E499" s="1" t="s">
        <v>533</v>
      </c>
      <c r="F499" s="1" t="s">
        <v>508</v>
      </c>
      <c r="G499" s="1" t="s">
        <v>480</v>
      </c>
      <c r="H499" s="1" t="n">
        <v>146</v>
      </c>
      <c r="I499" s="1" t="str">
        <f aca="false">B499&amp;"|"&amp;F499&amp;"|"&amp;G499</f>
        <v>Multiple Residences – Retirement Community Complex|DMASVEN|Low Cost</v>
      </c>
      <c r="J499" s="1" t="s">
        <v>637</v>
      </c>
    </row>
    <row r="500" customFormat="false" ht="12" hidden="false" customHeight="true" outlineLevel="0" collapsed="false">
      <c r="B500" s="1" t="s">
        <v>635</v>
      </c>
      <c r="C500" s="1" t="s">
        <v>636</v>
      </c>
      <c r="D500" s="1" t="s">
        <v>590</v>
      </c>
      <c r="E500" s="1" t="s">
        <v>533</v>
      </c>
      <c r="F500" s="1" t="s">
        <v>468</v>
      </c>
      <c r="G500" s="1" t="s">
        <v>483</v>
      </c>
      <c r="H500" s="1" t="n">
        <v>228</v>
      </c>
      <c r="I500" s="1" t="str">
        <f aca="false">B500&amp;"|"&amp;F500&amp;"|"&amp;G500</f>
        <v>Multiple Residences – Retirement Community Complex|D|Good</v>
      </c>
      <c r="J500" s="1" t="s">
        <v>637</v>
      </c>
    </row>
    <row r="501" customFormat="false" ht="12" hidden="false" customHeight="true" outlineLevel="0" collapsed="false">
      <c r="B501" s="1" t="s">
        <v>635</v>
      </c>
      <c r="C501" s="1" t="s">
        <v>636</v>
      </c>
      <c r="D501" s="1" t="s">
        <v>590</v>
      </c>
      <c r="E501" s="1" t="s">
        <v>533</v>
      </c>
      <c r="F501" s="1" t="s">
        <v>468</v>
      </c>
      <c r="G501" s="1" t="s">
        <v>279</v>
      </c>
      <c r="H501" s="1" t="n">
        <v>182</v>
      </c>
      <c r="I501" s="1" t="str">
        <f aca="false">B501&amp;"|"&amp;F501&amp;"|"&amp;G501</f>
        <v>Multiple Residences – Retirement Community Complex|D|Average</v>
      </c>
      <c r="J501" s="1" t="s">
        <v>637</v>
      </c>
    </row>
    <row r="502" customFormat="false" ht="12" hidden="false" customHeight="true" outlineLevel="0" collapsed="false">
      <c r="B502" s="1" t="s">
        <v>635</v>
      </c>
      <c r="C502" s="1" t="s">
        <v>636</v>
      </c>
      <c r="D502" s="1" t="s">
        <v>590</v>
      </c>
      <c r="E502" s="1" t="s">
        <v>533</v>
      </c>
      <c r="F502" s="1" t="s">
        <v>468</v>
      </c>
      <c r="G502" s="1" t="s">
        <v>555</v>
      </c>
      <c r="H502" s="1" t="n">
        <v>162</v>
      </c>
      <c r="I502" s="1" t="str">
        <f aca="false">B502&amp;"|"&amp;F502&amp;"|"&amp;G502</f>
        <v>Multiple Residences – Retirement Community Complex|D|Fair</v>
      </c>
      <c r="J502" s="1" t="s">
        <v>637</v>
      </c>
    </row>
    <row r="503" customFormat="false" ht="12" hidden="false" customHeight="true" outlineLevel="0" collapsed="false">
      <c r="B503" s="1" t="s">
        <v>635</v>
      </c>
      <c r="C503" s="1" t="s">
        <v>636</v>
      </c>
      <c r="D503" s="1" t="s">
        <v>590</v>
      </c>
      <c r="E503" s="1" t="s">
        <v>533</v>
      </c>
      <c r="F503" s="1" t="s">
        <v>468</v>
      </c>
      <c r="G503" s="1" t="s">
        <v>480</v>
      </c>
      <c r="H503" s="1" t="n">
        <v>142</v>
      </c>
      <c r="I503" s="1" t="str">
        <f aca="false">B503&amp;"|"&amp;F503&amp;"|"&amp;G503</f>
        <v>Multiple Residences – Retirement Community Complex|D|Low Cost</v>
      </c>
      <c r="J503" s="1" t="s">
        <v>637</v>
      </c>
    </row>
    <row r="504" customFormat="false" ht="12" hidden="false" customHeight="true" outlineLevel="0" collapsed="false">
      <c r="B504" s="1" t="s">
        <v>635</v>
      </c>
      <c r="C504" s="1" t="s">
        <v>636</v>
      </c>
      <c r="D504" s="1" t="s">
        <v>590</v>
      </c>
      <c r="E504" s="1" t="s">
        <v>533</v>
      </c>
      <c r="F504" s="1" t="s">
        <v>473</v>
      </c>
      <c r="G504" s="1" t="s">
        <v>279</v>
      </c>
      <c r="H504" s="1" t="n">
        <v>177</v>
      </c>
      <c r="I504" s="1" t="str">
        <f aca="false">B504&amp;"|"&amp;F504&amp;"|"&amp;G504</f>
        <v>Multiple Residences – Retirement Community Complex|S|Average</v>
      </c>
      <c r="J504" s="1" t="s">
        <v>637</v>
      </c>
    </row>
    <row r="505" customFormat="false" ht="12" hidden="false" customHeight="true" outlineLevel="0" collapsed="false">
      <c r="B505" s="1" t="s">
        <v>635</v>
      </c>
      <c r="C505" s="1" t="s">
        <v>636</v>
      </c>
      <c r="D505" s="1" t="s">
        <v>590</v>
      </c>
      <c r="E505" s="1" t="s">
        <v>533</v>
      </c>
      <c r="F505" s="1" t="s">
        <v>473</v>
      </c>
      <c r="G505" s="1" t="s">
        <v>555</v>
      </c>
      <c r="H505" s="1" t="n">
        <v>158</v>
      </c>
      <c r="I505" s="1" t="str">
        <f aca="false">B505&amp;"|"&amp;F505&amp;"|"&amp;G505</f>
        <v>Multiple Residences – Retirement Community Complex|S|Fair</v>
      </c>
      <c r="J505" s="1" t="s">
        <v>637</v>
      </c>
    </row>
    <row r="506" customFormat="false" ht="12" hidden="false" customHeight="true" outlineLevel="0" collapsed="false">
      <c r="B506" s="1" t="s">
        <v>638</v>
      </c>
      <c r="C506" s="1" t="s">
        <v>639</v>
      </c>
      <c r="D506" s="1" t="s">
        <v>590</v>
      </c>
      <c r="E506" s="1" t="s">
        <v>537</v>
      </c>
      <c r="F506" s="1" t="s">
        <v>463</v>
      </c>
      <c r="G506" s="1" t="s">
        <v>483</v>
      </c>
      <c r="H506" s="1" t="n">
        <v>120</v>
      </c>
      <c r="I506" s="1" t="str">
        <f aca="false">B506&amp;"|"&amp;F506&amp;"|"&amp;G506</f>
        <v>Shell Multiple Residences - Retirement Community Complex|C|Good</v>
      </c>
      <c r="J506" s="1" t="s">
        <v>640</v>
      </c>
    </row>
    <row r="507" customFormat="false" ht="12" hidden="false" customHeight="true" outlineLevel="0" collapsed="false">
      <c r="B507" s="1" t="s">
        <v>638</v>
      </c>
      <c r="C507" s="1" t="s">
        <v>639</v>
      </c>
      <c r="D507" s="1" t="s">
        <v>590</v>
      </c>
      <c r="E507" s="1" t="s">
        <v>537</v>
      </c>
      <c r="F507" s="1" t="s">
        <v>463</v>
      </c>
      <c r="G507" s="1" t="s">
        <v>279</v>
      </c>
      <c r="H507" s="1" t="n">
        <v>100</v>
      </c>
      <c r="I507" s="1" t="str">
        <f aca="false">B507&amp;"|"&amp;F507&amp;"|"&amp;G507</f>
        <v>Shell Multiple Residences - Retirement Community Complex|C|Average</v>
      </c>
      <c r="J507" s="1" t="s">
        <v>640</v>
      </c>
    </row>
    <row r="508" customFormat="false" ht="12" hidden="false" customHeight="true" outlineLevel="0" collapsed="false">
      <c r="B508" s="1" t="s">
        <v>638</v>
      </c>
      <c r="C508" s="1" t="s">
        <v>639</v>
      </c>
      <c r="D508" s="1" t="s">
        <v>590</v>
      </c>
      <c r="E508" s="1" t="s">
        <v>537</v>
      </c>
      <c r="F508" s="1" t="s">
        <v>463</v>
      </c>
      <c r="G508" s="1" t="s">
        <v>555</v>
      </c>
      <c r="H508" s="1" t="n">
        <v>91.5</v>
      </c>
      <c r="I508" s="1" t="str">
        <f aca="false">B508&amp;"|"&amp;F508&amp;"|"&amp;G508</f>
        <v>Shell Multiple Residences - Retirement Community Complex|C|Fair</v>
      </c>
      <c r="J508" s="1" t="s">
        <v>640</v>
      </c>
    </row>
    <row r="509" customFormat="false" ht="12" hidden="false" customHeight="true" outlineLevel="0" collapsed="false">
      <c r="B509" s="1" t="s">
        <v>638</v>
      </c>
      <c r="C509" s="1" t="s">
        <v>639</v>
      </c>
      <c r="D509" s="1" t="s">
        <v>590</v>
      </c>
      <c r="E509" s="1" t="s">
        <v>537</v>
      </c>
      <c r="F509" s="1" t="s">
        <v>463</v>
      </c>
      <c r="G509" s="1" t="s">
        <v>480</v>
      </c>
      <c r="H509" s="1" t="n">
        <v>83.5</v>
      </c>
      <c r="I509" s="1" t="str">
        <f aca="false">B509&amp;"|"&amp;F509&amp;"|"&amp;G509</f>
        <v>Shell Multiple Residences - Retirement Community Complex|C|Low Cost</v>
      </c>
      <c r="J509" s="1" t="s">
        <v>640</v>
      </c>
    </row>
    <row r="510" customFormat="false" ht="12" hidden="false" customHeight="true" outlineLevel="0" collapsed="false">
      <c r="B510" s="1" t="s">
        <v>638</v>
      </c>
      <c r="C510" s="1" t="s">
        <v>639</v>
      </c>
      <c r="D510" s="1" t="s">
        <v>590</v>
      </c>
      <c r="E510" s="1" t="s">
        <v>537</v>
      </c>
      <c r="F510" s="1" t="s">
        <v>508</v>
      </c>
      <c r="G510" s="1" t="s">
        <v>483</v>
      </c>
      <c r="H510" s="1" t="n">
        <v>116</v>
      </c>
      <c r="I510" s="1" t="str">
        <f aca="false">B510&amp;"|"&amp;F510&amp;"|"&amp;G510</f>
        <v>Shell Multiple Residences - Retirement Community Complex|DMASVEN|Good</v>
      </c>
      <c r="J510" s="1" t="s">
        <v>640</v>
      </c>
    </row>
    <row r="511" customFormat="false" ht="12" hidden="false" customHeight="true" outlineLevel="0" collapsed="false">
      <c r="B511" s="1" t="s">
        <v>638</v>
      </c>
      <c r="C511" s="1" t="s">
        <v>639</v>
      </c>
      <c r="D511" s="1" t="s">
        <v>590</v>
      </c>
      <c r="E511" s="1" t="s">
        <v>537</v>
      </c>
      <c r="F511" s="1" t="s">
        <v>508</v>
      </c>
      <c r="G511" s="1" t="s">
        <v>279</v>
      </c>
      <c r="H511" s="1" t="n">
        <v>96.5</v>
      </c>
      <c r="I511" s="1" t="str">
        <f aca="false">B511&amp;"|"&amp;F511&amp;"|"&amp;G511</f>
        <v>Shell Multiple Residences - Retirement Community Complex|DMASVEN|Average</v>
      </c>
      <c r="J511" s="1" t="s">
        <v>640</v>
      </c>
    </row>
    <row r="512" customFormat="false" ht="12" hidden="false" customHeight="true" outlineLevel="0" collapsed="false">
      <c r="B512" s="1" t="s">
        <v>638</v>
      </c>
      <c r="C512" s="1" t="s">
        <v>639</v>
      </c>
      <c r="D512" s="1" t="s">
        <v>590</v>
      </c>
      <c r="E512" s="1" t="s">
        <v>537</v>
      </c>
      <c r="F512" s="1" t="s">
        <v>508</v>
      </c>
      <c r="G512" s="1" t="s">
        <v>555</v>
      </c>
      <c r="H512" s="1" t="n">
        <v>88</v>
      </c>
      <c r="I512" s="1" t="str">
        <f aca="false">B512&amp;"|"&amp;F512&amp;"|"&amp;G512</f>
        <v>Shell Multiple Residences - Retirement Community Complex|DMASVEN|Fair</v>
      </c>
      <c r="J512" s="1" t="s">
        <v>640</v>
      </c>
    </row>
    <row r="513" customFormat="false" ht="12" hidden="false" customHeight="true" outlineLevel="0" collapsed="false">
      <c r="B513" s="1" t="s">
        <v>638</v>
      </c>
      <c r="C513" s="1" t="s">
        <v>639</v>
      </c>
      <c r="D513" s="1" t="s">
        <v>590</v>
      </c>
      <c r="E513" s="1" t="s">
        <v>537</v>
      </c>
      <c r="F513" s="1" t="s">
        <v>508</v>
      </c>
      <c r="G513" s="1" t="s">
        <v>480</v>
      </c>
      <c r="H513" s="1" t="n">
        <v>80</v>
      </c>
      <c r="I513" s="1" t="str">
        <f aca="false">B513&amp;"|"&amp;F513&amp;"|"&amp;G513</f>
        <v>Shell Multiple Residences - Retirement Community Complex|DMASVEN|Low Cost</v>
      </c>
      <c r="J513" s="1" t="s">
        <v>640</v>
      </c>
    </row>
    <row r="514" customFormat="false" ht="12" hidden="false" customHeight="true" outlineLevel="0" collapsed="false">
      <c r="B514" s="1" t="s">
        <v>638</v>
      </c>
      <c r="C514" s="1" t="s">
        <v>639</v>
      </c>
      <c r="D514" s="1" t="s">
        <v>590</v>
      </c>
      <c r="E514" s="1" t="s">
        <v>537</v>
      </c>
      <c r="F514" s="1" t="s">
        <v>468</v>
      </c>
      <c r="G514" s="1" t="s">
        <v>483</v>
      </c>
      <c r="H514" s="1" t="n">
        <v>114</v>
      </c>
      <c r="I514" s="1" t="str">
        <f aca="false">B514&amp;"|"&amp;F514&amp;"|"&amp;G514</f>
        <v>Shell Multiple Residences - Retirement Community Complex|D|Good</v>
      </c>
      <c r="J514" s="1" t="s">
        <v>640</v>
      </c>
    </row>
    <row r="515" customFormat="false" ht="12" hidden="false" customHeight="true" outlineLevel="0" collapsed="false">
      <c r="B515" s="1" t="s">
        <v>638</v>
      </c>
      <c r="C515" s="1" t="s">
        <v>639</v>
      </c>
      <c r="D515" s="1" t="s">
        <v>590</v>
      </c>
      <c r="E515" s="1" t="s">
        <v>537</v>
      </c>
      <c r="F515" s="1" t="s">
        <v>468</v>
      </c>
      <c r="G515" s="1" t="s">
        <v>279</v>
      </c>
      <c r="H515" s="1" t="n">
        <v>94</v>
      </c>
      <c r="I515" s="1" t="str">
        <f aca="false">B515&amp;"|"&amp;F515&amp;"|"&amp;G515</f>
        <v>Shell Multiple Residences - Retirement Community Complex|D|Average</v>
      </c>
      <c r="J515" s="1" t="s">
        <v>640</v>
      </c>
    </row>
    <row r="516" customFormat="false" ht="12" hidden="false" customHeight="true" outlineLevel="0" collapsed="false">
      <c r="B516" s="1" t="s">
        <v>638</v>
      </c>
      <c r="C516" s="1" t="s">
        <v>639</v>
      </c>
      <c r="D516" s="1" t="s">
        <v>590</v>
      </c>
      <c r="E516" s="1" t="s">
        <v>537</v>
      </c>
      <c r="F516" s="1" t="s">
        <v>468</v>
      </c>
      <c r="G516" s="1" t="s">
        <v>555</v>
      </c>
      <c r="H516" s="1" t="n">
        <v>85.5</v>
      </c>
      <c r="I516" s="1" t="str">
        <f aca="false">B516&amp;"|"&amp;F516&amp;"|"&amp;G516</f>
        <v>Shell Multiple Residences - Retirement Community Complex|D|Fair</v>
      </c>
      <c r="J516" s="1" t="s">
        <v>640</v>
      </c>
    </row>
    <row r="517" customFormat="false" ht="12" hidden="false" customHeight="true" outlineLevel="0" collapsed="false">
      <c r="B517" s="1" t="s">
        <v>638</v>
      </c>
      <c r="C517" s="1" t="s">
        <v>639</v>
      </c>
      <c r="D517" s="1" t="s">
        <v>590</v>
      </c>
      <c r="E517" s="1" t="s">
        <v>537</v>
      </c>
      <c r="F517" s="1" t="s">
        <v>468</v>
      </c>
      <c r="G517" s="1" t="s">
        <v>480</v>
      </c>
      <c r="H517" s="1" t="n">
        <v>78</v>
      </c>
      <c r="I517" s="1" t="str">
        <f aca="false">B517&amp;"|"&amp;F517&amp;"|"&amp;G517</f>
        <v>Shell Multiple Residences - Retirement Community Complex|D|Low Cost</v>
      </c>
      <c r="J517" s="1" t="s">
        <v>640</v>
      </c>
    </row>
    <row r="518" customFormat="false" ht="12" hidden="false" customHeight="true" outlineLevel="0" collapsed="false">
      <c r="B518" s="1" t="s">
        <v>638</v>
      </c>
      <c r="C518" s="1" t="s">
        <v>639</v>
      </c>
      <c r="D518" s="1" t="s">
        <v>590</v>
      </c>
      <c r="E518" s="1" t="s">
        <v>537</v>
      </c>
      <c r="F518" s="1" t="s">
        <v>473</v>
      </c>
      <c r="G518" s="1" t="s">
        <v>279</v>
      </c>
      <c r="H518" s="1" t="n">
        <v>91</v>
      </c>
      <c r="I518" s="1" t="str">
        <f aca="false">B518&amp;"|"&amp;F518&amp;"|"&amp;G518</f>
        <v>Shell Multiple Residences - Retirement Community Complex|S|Average</v>
      </c>
      <c r="J518" s="1" t="s">
        <v>640</v>
      </c>
    </row>
    <row r="519" customFormat="false" ht="12" hidden="false" customHeight="true" outlineLevel="0" collapsed="false">
      <c r="B519" s="1" t="s">
        <v>638</v>
      </c>
      <c r="C519" s="1" t="s">
        <v>639</v>
      </c>
      <c r="D519" s="1" t="s">
        <v>590</v>
      </c>
      <c r="E519" s="1" t="s">
        <v>537</v>
      </c>
      <c r="F519" s="1" t="s">
        <v>473</v>
      </c>
      <c r="G519" s="1" t="s">
        <v>555</v>
      </c>
      <c r="H519" s="1" t="n">
        <v>83</v>
      </c>
      <c r="I519" s="1" t="str">
        <f aca="false">B519&amp;"|"&amp;F519&amp;"|"&amp;G519</f>
        <v>Shell Multiple Residences - Retirement Community Complex|S|Fair</v>
      </c>
      <c r="J519" s="1" t="s">
        <v>640</v>
      </c>
    </row>
    <row r="520" customFormat="false" ht="12" hidden="false" customHeight="true" outlineLevel="0" collapsed="false">
      <c r="B520" s="1" t="s">
        <v>641</v>
      </c>
      <c r="C520" s="1" t="s">
        <v>642</v>
      </c>
      <c r="D520" s="1" t="s">
        <v>590</v>
      </c>
      <c r="E520" s="1" t="s">
        <v>543</v>
      </c>
      <c r="F520" s="1" t="s">
        <v>463</v>
      </c>
      <c r="G520" s="1" t="s">
        <v>485</v>
      </c>
      <c r="H520" s="1" t="n">
        <v>266</v>
      </c>
      <c r="I520" s="1" t="str">
        <f aca="false">B520&amp;"|"&amp;F520&amp;"|"&amp;G520</f>
        <v>Single-Family Residences|C|Excellent</v>
      </c>
      <c r="J520" s="1" t="s">
        <v>643</v>
      </c>
    </row>
    <row r="521" customFormat="false" ht="12" hidden="false" customHeight="true" outlineLevel="0" collapsed="false">
      <c r="B521" s="1" t="s">
        <v>641</v>
      </c>
      <c r="C521" s="1" t="s">
        <v>642</v>
      </c>
      <c r="D521" s="1" t="s">
        <v>590</v>
      </c>
      <c r="E521" s="1" t="s">
        <v>543</v>
      </c>
      <c r="F521" s="1" t="s">
        <v>463</v>
      </c>
      <c r="G521" s="1" t="s">
        <v>503</v>
      </c>
      <c r="H521" s="1" t="n">
        <v>220</v>
      </c>
      <c r="I521" s="1" t="str">
        <f aca="false">B521&amp;"|"&amp;F521&amp;"|"&amp;G521</f>
        <v>Single-Family Residences|C|Very Good</v>
      </c>
      <c r="J521" s="1" t="s">
        <v>643</v>
      </c>
    </row>
    <row r="522" customFormat="false" ht="12" hidden="false" customHeight="true" outlineLevel="0" collapsed="false">
      <c r="B522" s="1" t="s">
        <v>641</v>
      </c>
      <c r="C522" s="1" t="s">
        <v>642</v>
      </c>
      <c r="D522" s="1" t="s">
        <v>590</v>
      </c>
      <c r="E522" s="1" t="s">
        <v>543</v>
      </c>
      <c r="F522" s="1" t="s">
        <v>463</v>
      </c>
      <c r="G522" s="1" t="s">
        <v>483</v>
      </c>
      <c r="H522" s="1" t="n">
        <v>185</v>
      </c>
      <c r="I522" s="1" t="str">
        <f aca="false">B522&amp;"|"&amp;F522&amp;"|"&amp;G522</f>
        <v>Single-Family Residences|C|Good</v>
      </c>
      <c r="J522" s="1" t="s">
        <v>643</v>
      </c>
    </row>
    <row r="523" customFormat="false" ht="12" hidden="false" customHeight="true" outlineLevel="0" collapsed="false">
      <c r="B523" s="1" t="s">
        <v>641</v>
      </c>
      <c r="C523" s="1" t="s">
        <v>642</v>
      </c>
      <c r="D523" s="1" t="s">
        <v>590</v>
      </c>
      <c r="E523" s="1" t="s">
        <v>543</v>
      </c>
      <c r="F523" s="1" t="s">
        <v>463</v>
      </c>
      <c r="G523" s="1" t="s">
        <v>279</v>
      </c>
      <c r="H523" s="1" t="n">
        <v>132</v>
      </c>
      <c r="I523" s="1" t="str">
        <f aca="false">B523&amp;"|"&amp;F523&amp;"|"&amp;G523</f>
        <v>Single-Family Residences|C|Average</v>
      </c>
      <c r="J523" s="1" t="s">
        <v>643</v>
      </c>
    </row>
    <row r="524" customFormat="false" ht="12" hidden="false" customHeight="true" outlineLevel="0" collapsed="false">
      <c r="B524" s="1" t="s">
        <v>641</v>
      </c>
      <c r="C524" s="1" t="s">
        <v>642</v>
      </c>
      <c r="D524" s="1" t="s">
        <v>590</v>
      </c>
      <c r="E524" s="1" t="s">
        <v>543</v>
      </c>
      <c r="F524" s="1" t="s">
        <v>463</v>
      </c>
      <c r="G524" s="1" t="s">
        <v>555</v>
      </c>
      <c r="H524" s="1" t="n">
        <v>113</v>
      </c>
      <c r="I524" s="1" t="str">
        <f aca="false">B524&amp;"|"&amp;F524&amp;"|"&amp;G524</f>
        <v>Single-Family Residences|C|Fair</v>
      </c>
      <c r="J524" s="1" t="s">
        <v>643</v>
      </c>
    </row>
    <row r="525" customFormat="false" ht="12" hidden="false" customHeight="true" outlineLevel="0" collapsed="false">
      <c r="B525" s="1" t="s">
        <v>641</v>
      </c>
      <c r="C525" s="1" t="s">
        <v>642</v>
      </c>
      <c r="D525" s="1" t="s">
        <v>590</v>
      </c>
      <c r="E525" s="1" t="s">
        <v>543</v>
      </c>
      <c r="F525" s="1" t="s">
        <v>463</v>
      </c>
      <c r="G525" s="1" t="s">
        <v>480</v>
      </c>
      <c r="H525" s="1" t="n">
        <v>94.5</v>
      </c>
      <c r="I525" s="1" t="str">
        <f aca="false">B525&amp;"|"&amp;F525&amp;"|"&amp;G525</f>
        <v>Single-Family Residences|C|Low Cost</v>
      </c>
      <c r="J525" s="1" t="s">
        <v>643</v>
      </c>
    </row>
    <row r="526" customFormat="false" ht="12" hidden="false" customHeight="true" outlineLevel="0" collapsed="false">
      <c r="B526" s="1" t="s">
        <v>641</v>
      </c>
      <c r="C526" s="1" t="s">
        <v>642</v>
      </c>
      <c r="D526" s="1" t="s">
        <v>590</v>
      </c>
      <c r="E526" s="1" t="s">
        <v>543</v>
      </c>
      <c r="F526" s="1" t="s">
        <v>463</v>
      </c>
      <c r="G526" s="1" t="s">
        <v>567</v>
      </c>
      <c r="H526" s="1" t="n">
        <v>79.5</v>
      </c>
      <c r="I526" s="1" t="str">
        <f aca="false">B526&amp;"|"&amp;F526&amp;"|"&amp;G526</f>
        <v>Single-Family Residences|C|Cheap</v>
      </c>
      <c r="J526" s="1" t="s">
        <v>643</v>
      </c>
    </row>
    <row r="527" customFormat="false" ht="12" hidden="false" customHeight="true" outlineLevel="0" collapsed="false">
      <c r="B527" s="1" t="s">
        <v>641</v>
      </c>
      <c r="C527" s="1" t="s">
        <v>642</v>
      </c>
      <c r="D527" s="1" t="s">
        <v>590</v>
      </c>
      <c r="E527" s="1" t="s">
        <v>543</v>
      </c>
      <c r="F527" s="1" t="s">
        <v>508</v>
      </c>
      <c r="G527" s="1" t="s">
        <v>485</v>
      </c>
      <c r="H527" s="1" t="n">
        <v>263</v>
      </c>
      <c r="I527" s="1" t="str">
        <f aca="false">B527&amp;"|"&amp;F527&amp;"|"&amp;G527</f>
        <v>Single-Family Residences|DMASVEN|Excellent</v>
      </c>
      <c r="J527" s="1" t="s">
        <v>643</v>
      </c>
    </row>
    <row r="528" customFormat="false" ht="12" hidden="false" customHeight="true" outlineLevel="0" collapsed="false">
      <c r="B528" s="1" t="s">
        <v>641</v>
      </c>
      <c r="C528" s="1" t="s">
        <v>642</v>
      </c>
      <c r="D528" s="1" t="s">
        <v>590</v>
      </c>
      <c r="E528" s="1" t="s">
        <v>543</v>
      </c>
      <c r="F528" s="1" t="s">
        <v>508</v>
      </c>
      <c r="G528" s="1" t="s">
        <v>503</v>
      </c>
      <c r="H528" s="1" t="n">
        <v>218</v>
      </c>
      <c r="I528" s="1" t="str">
        <f aca="false">B528&amp;"|"&amp;F528&amp;"|"&amp;G528</f>
        <v>Single-Family Residences|DMASVEN|Very Good</v>
      </c>
      <c r="J528" s="1" t="s">
        <v>643</v>
      </c>
    </row>
    <row r="529" customFormat="false" ht="12" hidden="false" customHeight="true" outlineLevel="0" collapsed="false">
      <c r="B529" s="1" t="s">
        <v>641</v>
      </c>
      <c r="C529" s="1" t="s">
        <v>642</v>
      </c>
      <c r="D529" s="1" t="s">
        <v>590</v>
      </c>
      <c r="E529" s="1" t="s">
        <v>543</v>
      </c>
      <c r="F529" s="1" t="s">
        <v>508</v>
      </c>
      <c r="G529" s="1" t="s">
        <v>483</v>
      </c>
      <c r="H529" s="1" t="n">
        <v>184</v>
      </c>
      <c r="I529" s="1" t="str">
        <f aca="false">B529&amp;"|"&amp;F529&amp;"|"&amp;G529</f>
        <v>Single-Family Residences|DMASVEN|Good</v>
      </c>
      <c r="J529" s="1" t="s">
        <v>643</v>
      </c>
    </row>
    <row r="530" customFormat="false" ht="12" hidden="false" customHeight="true" outlineLevel="0" collapsed="false">
      <c r="B530" s="1" t="s">
        <v>641</v>
      </c>
      <c r="C530" s="1" t="s">
        <v>642</v>
      </c>
      <c r="D530" s="1" t="s">
        <v>590</v>
      </c>
      <c r="E530" s="1" t="s">
        <v>543</v>
      </c>
      <c r="F530" s="1" t="s">
        <v>508</v>
      </c>
      <c r="G530" s="1" t="s">
        <v>279</v>
      </c>
      <c r="H530" s="1" t="n">
        <v>132</v>
      </c>
      <c r="I530" s="1" t="str">
        <f aca="false">B530&amp;"|"&amp;F530&amp;"|"&amp;G530</f>
        <v>Single-Family Residences|DMASVEN|Average</v>
      </c>
      <c r="J530" s="1" t="s">
        <v>643</v>
      </c>
    </row>
    <row r="531" customFormat="false" ht="12" hidden="false" customHeight="true" outlineLevel="0" collapsed="false">
      <c r="B531" s="1" t="s">
        <v>641</v>
      </c>
      <c r="C531" s="1" t="s">
        <v>642</v>
      </c>
      <c r="D531" s="1" t="s">
        <v>590</v>
      </c>
      <c r="E531" s="1" t="s">
        <v>543</v>
      </c>
      <c r="F531" s="1" t="s">
        <v>508</v>
      </c>
      <c r="G531" s="1" t="s">
        <v>555</v>
      </c>
      <c r="H531" s="1" t="n">
        <v>113</v>
      </c>
      <c r="I531" s="1" t="str">
        <f aca="false">B531&amp;"|"&amp;F531&amp;"|"&amp;G531</f>
        <v>Single-Family Residences|DMASVEN|Fair</v>
      </c>
      <c r="J531" s="1" t="s">
        <v>643</v>
      </c>
    </row>
    <row r="532" customFormat="false" ht="12" hidden="false" customHeight="true" outlineLevel="0" collapsed="false">
      <c r="B532" s="1" t="s">
        <v>641</v>
      </c>
      <c r="C532" s="1" t="s">
        <v>642</v>
      </c>
      <c r="D532" s="1" t="s">
        <v>590</v>
      </c>
      <c r="E532" s="1" t="s">
        <v>543</v>
      </c>
      <c r="F532" s="1" t="s">
        <v>508</v>
      </c>
      <c r="G532" s="1" t="s">
        <v>480</v>
      </c>
      <c r="H532" s="1" t="n">
        <v>95</v>
      </c>
      <c r="I532" s="1" t="str">
        <f aca="false">B532&amp;"|"&amp;F532&amp;"|"&amp;G532</f>
        <v>Single-Family Residences|DMASVEN|Low Cost</v>
      </c>
      <c r="J532" s="1" t="s">
        <v>643</v>
      </c>
    </row>
    <row r="533" customFormat="false" ht="12" hidden="false" customHeight="true" outlineLevel="0" collapsed="false">
      <c r="B533" s="1" t="s">
        <v>641</v>
      </c>
      <c r="C533" s="1" t="s">
        <v>642</v>
      </c>
      <c r="D533" s="1" t="s">
        <v>590</v>
      </c>
      <c r="E533" s="1" t="s">
        <v>543</v>
      </c>
      <c r="F533" s="1" t="s">
        <v>468</v>
      </c>
      <c r="G533" s="1" t="s">
        <v>485</v>
      </c>
      <c r="H533" s="1" t="n">
        <v>243</v>
      </c>
      <c r="I533" s="1" t="str">
        <f aca="false">B533&amp;"|"&amp;F533&amp;"|"&amp;G533</f>
        <v>Single-Family Residences|D|Excellent</v>
      </c>
      <c r="J533" s="1" t="s">
        <v>643</v>
      </c>
    </row>
    <row r="534" customFormat="false" ht="12" hidden="false" customHeight="true" outlineLevel="0" collapsed="false">
      <c r="B534" s="1" t="s">
        <v>641</v>
      </c>
      <c r="C534" s="1" t="s">
        <v>642</v>
      </c>
      <c r="D534" s="1" t="s">
        <v>590</v>
      </c>
      <c r="E534" s="1" t="s">
        <v>543</v>
      </c>
      <c r="F534" s="1" t="s">
        <v>468</v>
      </c>
      <c r="G534" s="1" t="s">
        <v>503</v>
      </c>
      <c r="H534" s="1" t="n">
        <v>202</v>
      </c>
      <c r="I534" s="1" t="str">
        <f aca="false">B534&amp;"|"&amp;F534&amp;"|"&amp;G534</f>
        <v>Single-Family Residences|D|Very Good</v>
      </c>
      <c r="J534" s="1" t="s">
        <v>643</v>
      </c>
    </row>
    <row r="535" customFormat="false" ht="12" hidden="false" customHeight="true" outlineLevel="0" collapsed="false">
      <c r="B535" s="1" t="s">
        <v>641</v>
      </c>
      <c r="C535" s="1" t="s">
        <v>642</v>
      </c>
      <c r="D535" s="1" t="s">
        <v>590</v>
      </c>
      <c r="E535" s="1" t="s">
        <v>543</v>
      </c>
      <c r="F535" s="1" t="s">
        <v>468</v>
      </c>
      <c r="G535" s="1" t="s">
        <v>483</v>
      </c>
      <c r="H535" s="1" t="n">
        <v>172</v>
      </c>
      <c r="I535" s="1" t="str">
        <f aca="false">B535&amp;"|"&amp;F535&amp;"|"&amp;G535</f>
        <v>Single-Family Residences|D|Good</v>
      </c>
      <c r="J535" s="1" t="s">
        <v>643</v>
      </c>
    </row>
    <row r="536" customFormat="false" ht="12" hidden="false" customHeight="true" outlineLevel="0" collapsed="false">
      <c r="B536" s="1" t="s">
        <v>641</v>
      </c>
      <c r="C536" s="1" t="s">
        <v>642</v>
      </c>
      <c r="D536" s="1" t="s">
        <v>590</v>
      </c>
      <c r="E536" s="1" t="s">
        <v>543</v>
      </c>
      <c r="F536" s="1" t="s">
        <v>468</v>
      </c>
      <c r="G536" s="1" t="s">
        <v>279</v>
      </c>
      <c r="H536" s="1" t="n">
        <v>124</v>
      </c>
      <c r="I536" s="1" t="str">
        <f aca="false">B536&amp;"|"&amp;F536&amp;"|"&amp;G536</f>
        <v>Single-Family Residences|D|Average</v>
      </c>
      <c r="J536" s="1" t="s">
        <v>643</v>
      </c>
    </row>
    <row r="537" customFormat="false" ht="12" hidden="false" customHeight="true" outlineLevel="0" collapsed="false">
      <c r="B537" s="1" t="s">
        <v>641</v>
      </c>
      <c r="C537" s="1" t="s">
        <v>642</v>
      </c>
      <c r="D537" s="1" t="s">
        <v>590</v>
      </c>
      <c r="E537" s="1" t="s">
        <v>543</v>
      </c>
      <c r="F537" s="1" t="s">
        <v>468</v>
      </c>
      <c r="G537" s="1" t="s">
        <v>555</v>
      </c>
      <c r="H537" s="1" t="n">
        <v>106</v>
      </c>
      <c r="I537" s="1" t="str">
        <f aca="false">B537&amp;"|"&amp;F537&amp;"|"&amp;G537</f>
        <v>Single-Family Residences|D|Fair</v>
      </c>
      <c r="J537" s="1" t="s">
        <v>643</v>
      </c>
    </row>
    <row r="538" customFormat="false" ht="12" hidden="false" customHeight="true" outlineLevel="0" collapsed="false">
      <c r="B538" s="1" t="s">
        <v>641</v>
      </c>
      <c r="C538" s="1" t="s">
        <v>642</v>
      </c>
      <c r="D538" s="1" t="s">
        <v>590</v>
      </c>
      <c r="E538" s="1" t="s">
        <v>543</v>
      </c>
      <c r="F538" s="1" t="s">
        <v>468</v>
      </c>
      <c r="G538" s="1" t="s">
        <v>480</v>
      </c>
      <c r="H538" s="1" t="n">
        <v>89.5</v>
      </c>
      <c r="I538" s="1" t="str">
        <f aca="false">B538&amp;"|"&amp;F538&amp;"|"&amp;G538</f>
        <v>Single-Family Residences|D|Low Cost</v>
      </c>
      <c r="J538" s="1" t="s">
        <v>643</v>
      </c>
    </row>
    <row r="539" customFormat="false" ht="12" hidden="false" customHeight="true" outlineLevel="0" collapsed="false">
      <c r="B539" s="1" t="s">
        <v>641</v>
      </c>
      <c r="C539" s="1" t="s">
        <v>642</v>
      </c>
      <c r="D539" s="1" t="s">
        <v>590</v>
      </c>
      <c r="E539" s="1" t="s">
        <v>543</v>
      </c>
      <c r="F539" s="1" t="s">
        <v>468</v>
      </c>
      <c r="G539" s="1" t="s">
        <v>567</v>
      </c>
      <c r="H539" s="1" t="n">
        <v>75.5</v>
      </c>
      <c r="I539" s="1" t="str">
        <f aca="false">B539&amp;"|"&amp;F539&amp;"|"&amp;G539</f>
        <v>Single-Family Residences|D|Cheap</v>
      </c>
      <c r="J539" s="1" t="s">
        <v>643</v>
      </c>
    </row>
    <row r="540" customFormat="false" ht="12" hidden="false" customHeight="true" outlineLevel="0" collapsed="false">
      <c r="B540" s="1" t="s">
        <v>641</v>
      </c>
      <c r="C540" s="1" t="s">
        <v>642</v>
      </c>
      <c r="D540" s="1" t="s">
        <v>590</v>
      </c>
      <c r="E540" s="1" t="s">
        <v>543</v>
      </c>
      <c r="F540" s="1" t="s">
        <v>473</v>
      </c>
      <c r="G540" s="1" t="s">
        <v>279</v>
      </c>
      <c r="H540" s="1" t="n">
        <v>123</v>
      </c>
      <c r="I540" s="1" t="str">
        <f aca="false">B540&amp;"|"&amp;F540&amp;"|"&amp;G540</f>
        <v>Single-Family Residences|S|Average</v>
      </c>
      <c r="J540" s="1" t="s">
        <v>643</v>
      </c>
    </row>
    <row r="541" customFormat="false" ht="12" hidden="false" customHeight="true" outlineLevel="0" collapsed="false">
      <c r="B541" s="1" t="s">
        <v>644</v>
      </c>
      <c r="D541" s="1" t="s">
        <v>590</v>
      </c>
      <c r="E541" s="1" t="s">
        <v>562</v>
      </c>
      <c r="F541" s="1" t="s">
        <v>463</v>
      </c>
      <c r="G541" s="1" t="s">
        <v>485</v>
      </c>
      <c r="H541" s="1" t="n">
        <v>276</v>
      </c>
      <c r="I541" s="1" t="str">
        <f aca="false">B541&amp;"|"&amp;F541&amp;"|"&amp;G541</f>
        <v>Guest Houses|C|Excellent</v>
      </c>
      <c r="J541" s="1" t="s">
        <v>645</v>
      </c>
    </row>
    <row r="542" customFormat="false" ht="12" hidden="false" customHeight="true" outlineLevel="0" collapsed="false">
      <c r="B542" s="1" t="s">
        <v>644</v>
      </c>
      <c r="D542" s="1" t="s">
        <v>590</v>
      </c>
      <c r="E542" s="1" t="s">
        <v>562</v>
      </c>
      <c r="F542" s="1" t="s">
        <v>463</v>
      </c>
      <c r="G542" s="1" t="s">
        <v>503</v>
      </c>
      <c r="H542" s="1" t="n">
        <v>208</v>
      </c>
      <c r="I542" s="1" t="str">
        <f aca="false">B542&amp;"|"&amp;F542&amp;"|"&amp;G542</f>
        <v>Guest Houses|C|Very Good</v>
      </c>
      <c r="J542" s="1" t="s">
        <v>645</v>
      </c>
    </row>
    <row r="543" customFormat="false" ht="12" hidden="false" customHeight="true" outlineLevel="0" collapsed="false">
      <c r="B543" s="1" t="s">
        <v>644</v>
      </c>
      <c r="D543" s="1" t="s">
        <v>590</v>
      </c>
      <c r="E543" s="1" t="s">
        <v>562</v>
      </c>
      <c r="F543" s="1" t="s">
        <v>463</v>
      </c>
      <c r="G543" s="1" t="s">
        <v>483</v>
      </c>
      <c r="H543" s="1" t="n">
        <v>157</v>
      </c>
      <c r="I543" s="1" t="str">
        <f aca="false">B543&amp;"|"&amp;F543&amp;"|"&amp;G543</f>
        <v>Guest Houses|C|Good</v>
      </c>
      <c r="J543" s="1" t="s">
        <v>645</v>
      </c>
    </row>
    <row r="544" customFormat="false" ht="12" hidden="false" customHeight="true" outlineLevel="0" collapsed="false">
      <c r="B544" s="1" t="s">
        <v>644</v>
      </c>
      <c r="D544" s="1" t="s">
        <v>590</v>
      </c>
      <c r="E544" s="1" t="s">
        <v>562</v>
      </c>
      <c r="F544" s="1" t="s">
        <v>463</v>
      </c>
      <c r="G544" s="1" t="s">
        <v>279</v>
      </c>
      <c r="H544" s="1" t="n">
        <v>117</v>
      </c>
      <c r="I544" s="1" t="str">
        <f aca="false">B544&amp;"|"&amp;F544&amp;"|"&amp;G544</f>
        <v>Guest Houses|C|Average</v>
      </c>
      <c r="J544" s="1" t="s">
        <v>645</v>
      </c>
    </row>
    <row r="545" customFormat="false" ht="12" hidden="false" customHeight="true" outlineLevel="0" collapsed="false">
      <c r="B545" s="1" t="s">
        <v>644</v>
      </c>
      <c r="D545" s="1" t="s">
        <v>590</v>
      </c>
      <c r="E545" s="1" t="s">
        <v>562</v>
      </c>
      <c r="F545" s="1" t="s">
        <v>463</v>
      </c>
      <c r="G545" s="1" t="s">
        <v>480</v>
      </c>
      <c r="H545" s="1" t="n">
        <v>88.5</v>
      </c>
      <c r="I545" s="1" t="str">
        <f aca="false">B545&amp;"|"&amp;F545&amp;"|"&amp;G545</f>
        <v>Guest Houses|C|Low Cost</v>
      </c>
      <c r="J545" s="1" t="s">
        <v>645</v>
      </c>
    </row>
    <row r="546" customFormat="false" ht="12" hidden="false" customHeight="true" outlineLevel="0" collapsed="false">
      <c r="B546" s="1" t="s">
        <v>644</v>
      </c>
      <c r="D546" s="1" t="s">
        <v>590</v>
      </c>
      <c r="E546" s="1" t="s">
        <v>562</v>
      </c>
      <c r="F546" s="1" t="s">
        <v>468</v>
      </c>
      <c r="G546" s="1" t="s">
        <v>485</v>
      </c>
      <c r="H546" s="1" t="n">
        <v>275</v>
      </c>
      <c r="I546" s="1" t="str">
        <f aca="false">B546&amp;"|"&amp;F546&amp;"|"&amp;G546</f>
        <v>Guest Houses|D|Excellent</v>
      </c>
      <c r="J546" s="1" t="s">
        <v>645</v>
      </c>
    </row>
    <row r="547" customFormat="false" ht="12" hidden="false" customHeight="true" outlineLevel="0" collapsed="false">
      <c r="B547" s="1" t="s">
        <v>644</v>
      </c>
      <c r="D547" s="1" t="s">
        <v>590</v>
      </c>
      <c r="E547" s="1" t="s">
        <v>562</v>
      </c>
      <c r="F547" s="1" t="s">
        <v>468</v>
      </c>
      <c r="G547" s="1" t="s">
        <v>503</v>
      </c>
      <c r="H547" s="1" t="n">
        <v>204</v>
      </c>
      <c r="I547" s="1" t="str">
        <f aca="false">B547&amp;"|"&amp;F547&amp;"|"&amp;G547</f>
        <v>Guest Houses|D|Very Good</v>
      </c>
      <c r="J547" s="1" t="s">
        <v>645</v>
      </c>
    </row>
    <row r="548" customFormat="false" ht="12" hidden="false" customHeight="true" outlineLevel="0" collapsed="false">
      <c r="B548" s="1" t="s">
        <v>644</v>
      </c>
      <c r="D548" s="1" t="s">
        <v>590</v>
      </c>
      <c r="E548" s="1" t="s">
        <v>562</v>
      </c>
      <c r="F548" s="1" t="s">
        <v>468</v>
      </c>
      <c r="G548" s="1" t="s">
        <v>483</v>
      </c>
      <c r="H548" s="1" t="n">
        <v>153</v>
      </c>
      <c r="I548" s="1" t="str">
        <f aca="false">B548&amp;"|"&amp;F548&amp;"|"&amp;G548</f>
        <v>Guest Houses|D|Good</v>
      </c>
      <c r="J548" s="1" t="s">
        <v>645</v>
      </c>
    </row>
    <row r="549" customFormat="false" ht="12" hidden="false" customHeight="true" outlineLevel="0" collapsed="false">
      <c r="B549" s="1" t="s">
        <v>644</v>
      </c>
      <c r="D549" s="1" t="s">
        <v>590</v>
      </c>
      <c r="E549" s="1" t="s">
        <v>562</v>
      </c>
      <c r="F549" s="1" t="s">
        <v>468</v>
      </c>
      <c r="G549" s="1" t="s">
        <v>279</v>
      </c>
      <c r="H549" s="1" t="n">
        <v>112</v>
      </c>
      <c r="I549" s="1" t="str">
        <f aca="false">B549&amp;"|"&amp;F549&amp;"|"&amp;G549</f>
        <v>Guest Houses|D|Average</v>
      </c>
      <c r="J549" s="1" t="s">
        <v>645</v>
      </c>
    </row>
    <row r="550" customFormat="false" ht="12" hidden="false" customHeight="true" outlineLevel="0" collapsed="false">
      <c r="B550" s="1" t="s">
        <v>644</v>
      </c>
      <c r="D550" s="1" t="s">
        <v>590</v>
      </c>
      <c r="E550" s="1" t="s">
        <v>562</v>
      </c>
      <c r="F550" s="1" t="s">
        <v>468</v>
      </c>
      <c r="G550" s="1" t="s">
        <v>480</v>
      </c>
      <c r="H550" s="1" t="n">
        <v>83.5</v>
      </c>
      <c r="I550" s="1" t="str">
        <f aca="false">B550&amp;"|"&amp;F550&amp;"|"&amp;G550</f>
        <v>Guest Houses|D|Low Cost</v>
      </c>
      <c r="J550" s="1" t="s">
        <v>645</v>
      </c>
    </row>
    <row r="551" customFormat="false" ht="12" hidden="false" customHeight="true" outlineLevel="0" collapsed="false">
      <c r="B551" s="1" t="s">
        <v>644</v>
      </c>
      <c r="D551" s="1" t="s">
        <v>590</v>
      </c>
      <c r="E551" s="1" t="s">
        <v>562</v>
      </c>
      <c r="F551" s="1" t="s">
        <v>468</v>
      </c>
      <c r="G551" s="1" t="s">
        <v>567</v>
      </c>
      <c r="H551" s="1" t="n">
        <v>76</v>
      </c>
      <c r="I551" s="1" t="str">
        <f aca="false">B551&amp;"|"&amp;F551&amp;"|"&amp;G551</f>
        <v>Guest Houses|D|Cheap</v>
      </c>
      <c r="J551" s="1" t="s">
        <v>645</v>
      </c>
    </row>
    <row r="552" customFormat="false" ht="12" hidden="false" customHeight="true" outlineLevel="0" collapsed="false">
      <c r="B552" s="1" t="s">
        <v>646</v>
      </c>
      <c r="C552" s="1" t="s">
        <v>647</v>
      </c>
      <c r="D552" s="1" t="s">
        <v>590</v>
      </c>
      <c r="E552" s="1" t="s">
        <v>570</v>
      </c>
      <c r="F552" s="1" t="s">
        <v>468</v>
      </c>
      <c r="G552" s="1" t="s">
        <v>485</v>
      </c>
      <c r="H552" s="1" t="n">
        <v>271</v>
      </c>
      <c r="I552" s="1" t="str">
        <f aca="false">B552&amp;"|"&amp;F552&amp;"|"&amp;G552</f>
        <v>Log Homes|D|Excellent</v>
      </c>
      <c r="J552" s="1" t="s">
        <v>648</v>
      </c>
    </row>
    <row r="553" customFormat="false" ht="12" hidden="false" customHeight="true" outlineLevel="0" collapsed="false">
      <c r="B553" s="1" t="s">
        <v>646</v>
      </c>
      <c r="C553" s="1" t="s">
        <v>647</v>
      </c>
      <c r="D553" s="1" t="s">
        <v>590</v>
      </c>
      <c r="E553" s="1" t="s">
        <v>570</v>
      </c>
      <c r="F553" s="1" t="s">
        <v>468</v>
      </c>
      <c r="G553" s="1" t="s">
        <v>483</v>
      </c>
      <c r="H553" s="1" t="n">
        <v>192</v>
      </c>
      <c r="I553" s="1" t="str">
        <f aca="false">B553&amp;"|"&amp;F553&amp;"|"&amp;G553</f>
        <v>Log Homes|D|Good</v>
      </c>
      <c r="J553" s="1" t="s">
        <v>648</v>
      </c>
    </row>
    <row r="554" customFormat="false" ht="12" hidden="false" customHeight="true" outlineLevel="0" collapsed="false">
      <c r="B554" s="1" t="s">
        <v>646</v>
      </c>
      <c r="C554" s="1" t="s">
        <v>647</v>
      </c>
      <c r="D554" s="1" t="s">
        <v>590</v>
      </c>
      <c r="E554" s="1" t="s">
        <v>570</v>
      </c>
      <c r="F554" s="1" t="s">
        <v>468</v>
      </c>
      <c r="G554" s="1" t="s">
        <v>279</v>
      </c>
      <c r="H554" s="1" t="n">
        <v>138</v>
      </c>
      <c r="I554" s="1" t="str">
        <f aca="false">B554&amp;"|"&amp;F554&amp;"|"&amp;G554</f>
        <v>Log Homes|D|Average</v>
      </c>
      <c r="J554" s="1" t="s">
        <v>648</v>
      </c>
    </row>
    <row r="555" customFormat="false" ht="12" hidden="false" customHeight="true" outlineLevel="0" collapsed="false">
      <c r="B555" s="1" t="s">
        <v>646</v>
      </c>
      <c r="C555" s="1" t="s">
        <v>647</v>
      </c>
      <c r="D555" s="1" t="s">
        <v>590</v>
      </c>
      <c r="E555" s="1" t="s">
        <v>570</v>
      </c>
      <c r="F555" s="1" t="s">
        <v>468</v>
      </c>
      <c r="G555" s="1" t="s">
        <v>480</v>
      </c>
      <c r="H555" s="1" t="n">
        <v>99.5</v>
      </c>
      <c r="I555" s="1" t="str">
        <f aca="false">B555&amp;"|"&amp;F555&amp;"|"&amp;G555</f>
        <v>Log Homes|D|Low Cost</v>
      </c>
      <c r="J555" s="1" t="s">
        <v>648</v>
      </c>
    </row>
    <row r="556" customFormat="false" ht="12" hidden="false" customHeight="true" outlineLevel="0" collapsed="false">
      <c r="B556" s="1" t="s">
        <v>649</v>
      </c>
      <c r="C556" s="1" t="s">
        <v>650</v>
      </c>
      <c r="D556" s="1" t="s">
        <v>590</v>
      </c>
      <c r="E556" s="1" t="s">
        <v>576</v>
      </c>
      <c r="F556" s="1" t="s">
        <v>463</v>
      </c>
      <c r="G556" s="1" t="s">
        <v>485</v>
      </c>
      <c r="H556" s="1" t="n">
        <v>221</v>
      </c>
      <c r="I556" s="1" t="str">
        <f aca="false">B556&amp;"|"&amp;F556&amp;"|"&amp;G556</f>
        <v>Town Houses|C|Excellent</v>
      </c>
      <c r="J556" s="1" t="s">
        <v>651</v>
      </c>
    </row>
    <row r="557" customFormat="false" ht="12" hidden="false" customHeight="true" outlineLevel="0" collapsed="false">
      <c r="B557" s="1" t="s">
        <v>649</v>
      </c>
      <c r="C557" s="1" t="s">
        <v>650</v>
      </c>
      <c r="D557" s="1" t="s">
        <v>590</v>
      </c>
      <c r="E557" s="1" t="s">
        <v>576</v>
      </c>
      <c r="F557" s="1" t="s">
        <v>463</v>
      </c>
      <c r="G557" s="1" t="s">
        <v>483</v>
      </c>
      <c r="H557" s="1" t="n">
        <v>161</v>
      </c>
      <c r="I557" s="1" t="str">
        <f aca="false">B557&amp;"|"&amp;F557&amp;"|"&amp;G557</f>
        <v>Town Houses|C|Good</v>
      </c>
      <c r="J557" s="1" t="s">
        <v>651</v>
      </c>
    </row>
    <row r="558" customFormat="false" ht="12" hidden="false" customHeight="true" outlineLevel="0" collapsed="false">
      <c r="B558" s="1" t="s">
        <v>649</v>
      </c>
      <c r="C558" s="1" t="s">
        <v>650</v>
      </c>
      <c r="D558" s="1" t="s">
        <v>590</v>
      </c>
      <c r="E558" s="1" t="s">
        <v>576</v>
      </c>
      <c r="F558" s="1" t="s">
        <v>463</v>
      </c>
      <c r="G558" s="1" t="s">
        <v>279</v>
      </c>
      <c r="H558" s="1" t="n">
        <v>117</v>
      </c>
      <c r="I558" s="1" t="str">
        <f aca="false">B558&amp;"|"&amp;F558&amp;"|"&amp;G558</f>
        <v>Town Houses|C|Average</v>
      </c>
      <c r="J558" s="1" t="s">
        <v>651</v>
      </c>
    </row>
    <row r="559" customFormat="false" ht="12" hidden="false" customHeight="true" outlineLevel="0" collapsed="false">
      <c r="B559" s="1" t="s">
        <v>649</v>
      </c>
      <c r="C559" s="1" t="s">
        <v>650</v>
      </c>
      <c r="D559" s="1" t="s">
        <v>590</v>
      </c>
      <c r="E559" s="1" t="s">
        <v>576</v>
      </c>
      <c r="F559" s="1" t="s">
        <v>463</v>
      </c>
      <c r="G559" s="1" t="s">
        <v>555</v>
      </c>
      <c r="H559" s="1" t="n">
        <v>101</v>
      </c>
      <c r="I559" s="1" t="str">
        <f aca="false">B559&amp;"|"&amp;F559&amp;"|"&amp;G559</f>
        <v>Town Houses|C|Fair</v>
      </c>
      <c r="J559" s="1" t="s">
        <v>651</v>
      </c>
    </row>
    <row r="560" customFormat="false" ht="12" hidden="false" customHeight="true" outlineLevel="0" collapsed="false">
      <c r="B560" s="1" t="s">
        <v>649</v>
      </c>
      <c r="C560" s="1" t="s">
        <v>650</v>
      </c>
      <c r="D560" s="1" t="s">
        <v>590</v>
      </c>
      <c r="E560" s="1" t="s">
        <v>576</v>
      </c>
      <c r="F560" s="1" t="s">
        <v>463</v>
      </c>
      <c r="G560" s="1" t="s">
        <v>480</v>
      </c>
      <c r="H560" s="1" t="n">
        <v>85.5</v>
      </c>
      <c r="I560" s="1" t="str">
        <f aca="false">B560&amp;"|"&amp;F560&amp;"|"&amp;G560</f>
        <v>Town Houses|C|Low Cost</v>
      </c>
      <c r="J560" s="1" t="s">
        <v>651</v>
      </c>
    </row>
    <row r="561" customFormat="false" ht="12" hidden="false" customHeight="true" outlineLevel="0" collapsed="false">
      <c r="B561" s="1" t="s">
        <v>649</v>
      </c>
      <c r="C561" s="1" t="s">
        <v>650</v>
      </c>
      <c r="D561" s="1" t="s">
        <v>590</v>
      </c>
      <c r="E561" s="1" t="s">
        <v>576</v>
      </c>
      <c r="F561" s="1" t="s">
        <v>508</v>
      </c>
      <c r="G561" s="1" t="s">
        <v>485</v>
      </c>
      <c r="H561" s="1" t="n">
        <v>219</v>
      </c>
      <c r="I561" s="1" t="str">
        <f aca="false">B561&amp;"|"&amp;F561&amp;"|"&amp;G561</f>
        <v>Town Houses|DMASVEN|Excellent</v>
      </c>
      <c r="J561" s="1" t="s">
        <v>651</v>
      </c>
    </row>
    <row r="562" customFormat="false" ht="12" hidden="false" customHeight="true" outlineLevel="0" collapsed="false">
      <c r="B562" s="1" t="s">
        <v>649</v>
      </c>
      <c r="C562" s="1" t="s">
        <v>650</v>
      </c>
      <c r="D562" s="1" t="s">
        <v>590</v>
      </c>
      <c r="E562" s="1" t="s">
        <v>576</v>
      </c>
      <c r="F562" s="1" t="s">
        <v>508</v>
      </c>
      <c r="G562" s="1" t="s">
        <v>483</v>
      </c>
      <c r="H562" s="1" t="n">
        <v>160</v>
      </c>
      <c r="I562" s="1" t="str">
        <f aca="false">B562&amp;"|"&amp;F562&amp;"|"&amp;G562</f>
        <v>Town Houses|DMASVEN|Good</v>
      </c>
      <c r="J562" s="1" t="s">
        <v>651</v>
      </c>
    </row>
    <row r="563" customFormat="false" ht="12" hidden="false" customHeight="true" outlineLevel="0" collapsed="false">
      <c r="B563" s="1" t="s">
        <v>649</v>
      </c>
      <c r="C563" s="1" t="s">
        <v>650</v>
      </c>
      <c r="D563" s="1" t="s">
        <v>590</v>
      </c>
      <c r="E563" s="1" t="s">
        <v>576</v>
      </c>
      <c r="F563" s="1" t="s">
        <v>508</v>
      </c>
      <c r="G563" s="1" t="s">
        <v>279</v>
      </c>
      <c r="H563" s="1" t="n">
        <v>117</v>
      </c>
      <c r="I563" s="1" t="str">
        <f aca="false">B563&amp;"|"&amp;F563&amp;"|"&amp;G563</f>
        <v>Town Houses|DMASVEN|Average</v>
      </c>
      <c r="J563" s="1" t="s">
        <v>651</v>
      </c>
    </row>
    <row r="564" customFormat="false" ht="12" hidden="false" customHeight="true" outlineLevel="0" collapsed="false">
      <c r="B564" s="1" t="s">
        <v>649</v>
      </c>
      <c r="C564" s="1" t="s">
        <v>650</v>
      </c>
      <c r="D564" s="1" t="s">
        <v>590</v>
      </c>
      <c r="E564" s="1" t="s">
        <v>576</v>
      </c>
      <c r="F564" s="1" t="s">
        <v>508</v>
      </c>
      <c r="G564" s="1" t="s">
        <v>555</v>
      </c>
      <c r="H564" s="1" t="n">
        <v>100</v>
      </c>
      <c r="I564" s="1" t="str">
        <f aca="false">B564&amp;"|"&amp;F564&amp;"|"&amp;G564</f>
        <v>Town Houses|DMASVEN|Fair</v>
      </c>
      <c r="J564" s="1" t="s">
        <v>651</v>
      </c>
    </row>
    <row r="565" customFormat="false" ht="12" hidden="false" customHeight="true" outlineLevel="0" collapsed="false">
      <c r="B565" s="1" t="s">
        <v>649</v>
      </c>
      <c r="C565" s="1" t="s">
        <v>650</v>
      </c>
      <c r="D565" s="1" t="s">
        <v>590</v>
      </c>
      <c r="E565" s="1" t="s">
        <v>576</v>
      </c>
      <c r="F565" s="1" t="s">
        <v>508</v>
      </c>
      <c r="G565" s="1" t="s">
        <v>480</v>
      </c>
      <c r="H565" s="1" t="n">
        <v>85</v>
      </c>
      <c r="I565" s="1" t="str">
        <f aca="false">B565&amp;"|"&amp;F565&amp;"|"&amp;G565</f>
        <v>Town Houses|DMASVEN|Low Cost</v>
      </c>
      <c r="J565" s="1" t="s">
        <v>651</v>
      </c>
    </row>
    <row r="566" customFormat="false" ht="12" hidden="false" customHeight="true" outlineLevel="0" collapsed="false">
      <c r="B566" s="1" t="s">
        <v>649</v>
      </c>
      <c r="C566" s="1" t="s">
        <v>650</v>
      </c>
      <c r="D566" s="1" t="s">
        <v>590</v>
      </c>
      <c r="E566" s="1" t="s">
        <v>576</v>
      </c>
      <c r="F566" s="1" t="s">
        <v>468</v>
      </c>
      <c r="G566" s="1" t="s">
        <v>485</v>
      </c>
      <c r="H566" s="1" t="n">
        <v>210</v>
      </c>
      <c r="I566" s="1" t="str">
        <f aca="false">B566&amp;"|"&amp;F566&amp;"|"&amp;G566</f>
        <v>Town Houses|D|Excellent</v>
      </c>
      <c r="J566" s="1" t="s">
        <v>651</v>
      </c>
    </row>
    <row r="567" customFormat="false" ht="12" hidden="false" customHeight="true" outlineLevel="0" collapsed="false">
      <c r="B567" s="1" t="s">
        <v>649</v>
      </c>
      <c r="C567" s="1" t="s">
        <v>650</v>
      </c>
      <c r="D567" s="1" t="s">
        <v>590</v>
      </c>
      <c r="E567" s="1" t="s">
        <v>576</v>
      </c>
      <c r="F567" s="1" t="s">
        <v>468</v>
      </c>
      <c r="G567" s="1" t="s">
        <v>483</v>
      </c>
      <c r="H567" s="1" t="n">
        <v>154</v>
      </c>
      <c r="I567" s="1" t="str">
        <f aca="false">B567&amp;"|"&amp;F567&amp;"|"&amp;G567</f>
        <v>Town Houses|D|Good</v>
      </c>
      <c r="J567" s="1" t="s">
        <v>651</v>
      </c>
    </row>
    <row r="568" customFormat="false" ht="12" hidden="false" customHeight="true" outlineLevel="0" collapsed="false">
      <c r="B568" s="1" t="s">
        <v>649</v>
      </c>
      <c r="C568" s="1" t="s">
        <v>650</v>
      </c>
      <c r="D568" s="1" t="s">
        <v>590</v>
      </c>
      <c r="E568" s="1" t="s">
        <v>576</v>
      </c>
      <c r="F568" s="1" t="s">
        <v>468</v>
      </c>
      <c r="G568" s="1" t="s">
        <v>279</v>
      </c>
      <c r="H568" s="1" t="n">
        <v>112</v>
      </c>
      <c r="I568" s="1" t="str">
        <f aca="false">B568&amp;"|"&amp;F568&amp;"|"&amp;G568</f>
        <v>Town Houses|D|Average</v>
      </c>
      <c r="J568" s="1" t="s">
        <v>651</v>
      </c>
    </row>
    <row r="569" customFormat="false" ht="12" hidden="false" customHeight="true" outlineLevel="0" collapsed="false">
      <c r="B569" s="1" t="s">
        <v>649</v>
      </c>
      <c r="C569" s="1" t="s">
        <v>650</v>
      </c>
      <c r="D569" s="1" t="s">
        <v>590</v>
      </c>
      <c r="E569" s="1" t="s">
        <v>576</v>
      </c>
      <c r="F569" s="1" t="s">
        <v>468</v>
      </c>
      <c r="G569" s="1" t="s">
        <v>555</v>
      </c>
      <c r="H569" s="1" t="n">
        <v>96.5</v>
      </c>
      <c r="I569" s="1" t="str">
        <f aca="false">B569&amp;"|"&amp;F569&amp;"|"&amp;G569</f>
        <v>Town Houses|D|Fair</v>
      </c>
      <c r="J569" s="1" t="s">
        <v>651</v>
      </c>
    </row>
    <row r="570" customFormat="false" ht="12" hidden="false" customHeight="true" outlineLevel="0" collapsed="false">
      <c r="B570" s="1" t="s">
        <v>649</v>
      </c>
      <c r="C570" s="1" t="s">
        <v>650</v>
      </c>
      <c r="D570" s="1" t="s">
        <v>590</v>
      </c>
      <c r="E570" s="1" t="s">
        <v>576</v>
      </c>
      <c r="F570" s="1" t="s">
        <v>468</v>
      </c>
      <c r="G570" s="1" t="s">
        <v>480</v>
      </c>
      <c r="H570" s="1" t="n">
        <v>81.5</v>
      </c>
      <c r="I570" s="1" t="str">
        <f aca="false">B570&amp;"|"&amp;F570&amp;"|"&amp;G570</f>
        <v>Town Houses|D|Low Cost</v>
      </c>
      <c r="J570" s="1" t="s">
        <v>651</v>
      </c>
    </row>
    <row r="571" customFormat="false" ht="12" hidden="false" customHeight="true" outlineLevel="0" collapsed="false">
      <c r="B571" s="1" t="s">
        <v>652</v>
      </c>
      <c r="C571" s="1" t="s">
        <v>653</v>
      </c>
      <c r="D571" s="1" t="s">
        <v>590</v>
      </c>
      <c r="E571" s="1" t="s">
        <v>582</v>
      </c>
      <c r="F571" s="1" t="s">
        <v>463</v>
      </c>
      <c r="G571" s="1" t="s">
        <v>485</v>
      </c>
      <c r="H571" s="1" t="n">
        <v>218</v>
      </c>
      <c r="I571" s="1" t="str">
        <f aca="false">B571&amp;"|"&amp;F571&amp;"|"&amp;G571</f>
        <v>Senior Citizen Town Houses|C|Excellent</v>
      </c>
      <c r="J571" s="1" t="s">
        <v>654</v>
      </c>
    </row>
    <row r="572" customFormat="false" ht="12" hidden="false" customHeight="true" outlineLevel="0" collapsed="false">
      <c r="B572" s="1" t="s">
        <v>652</v>
      </c>
      <c r="C572" s="1" t="s">
        <v>653</v>
      </c>
      <c r="D572" s="1" t="s">
        <v>590</v>
      </c>
      <c r="E572" s="1" t="s">
        <v>582</v>
      </c>
      <c r="F572" s="1" t="s">
        <v>463</v>
      </c>
      <c r="G572" s="1" t="s">
        <v>483</v>
      </c>
      <c r="H572" s="1" t="n">
        <v>166</v>
      </c>
      <c r="I572" s="1" t="str">
        <f aca="false">B572&amp;"|"&amp;F572&amp;"|"&amp;G572</f>
        <v>Senior Citizen Town Houses|C|Good</v>
      </c>
      <c r="J572" s="1" t="s">
        <v>654</v>
      </c>
    </row>
    <row r="573" customFormat="false" ht="12" hidden="false" customHeight="true" outlineLevel="0" collapsed="false">
      <c r="B573" s="1" t="s">
        <v>652</v>
      </c>
      <c r="C573" s="1" t="s">
        <v>653</v>
      </c>
      <c r="D573" s="1" t="s">
        <v>590</v>
      </c>
      <c r="E573" s="1" t="s">
        <v>582</v>
      </c>
      <c r="F573" s="1" t="s">
        <v>463</v>
      </c>
      <c r="G573" s="1" t="s">
        <v>279</v>
      </c>
      <c r="H573" s="1" t="n">
        <v>127</v>
      </c>
      <c r="I573" s="1" t="str">
        <f aca="false">B573&amp;"|"&amp;F573&amp;"|"&amp;G573</f>
        <v>Senior Citizen Town Houses|C|Average</v>
      </c>
      <c r="J573" s="1" t="s">
        <v>654</v>
      </c>
    </row>
    <row r="574" customFormat="false" ht="12" hidden="false" customHeight="true" outlineLevel="0" collapsed="false">
      <c r="B574" s="1" t="s">
        <v>652</v>
      </c>
      <c r="C574" s="1" t="s">
        <v>653</v>
      </c>
      <c r="D574" s="1" t="s">
        <v>590</v>
      </c>
      <c r="E574" s="1" t="s">
        <v>582</v>
      </c>
      <c r="F574" s="1" t="s">
        <v>463</v>
      </c>
      <c r="G574" s="1" t="s">
        <v>555</v>
      </c>
      <c r="H574" s="1" t="n">
        <v>108</v>
      </c>
      <c r="I574" s="1" t="str">
        <f aca="false">B574&amp;"|"&amp;F574&amp;"|"&amp;G574</f>
        <v>Senior Citizen Town Houses|C|Fair</v>
      </c>
      <c r="J574" s="1" t="s">
        <v>654</v>
      </c>
    </row>
    <row r="575" customFormat="false" ht="12" hidden="false" customHeight="true" outlineLevel="0" collapsed="false">
      <c r="B575" s="1" t="s">
        <v>652</v>
      </c>
      <c r="C575" s="1" t="s">
        <v>653</v>
      </c>
      <c r="D575" s="1" t="s">
        <v>590</v>
      </c>
      <c r="E575" s="1" t="s">
        <v>582</v>
      </c>
      <c r="F575" s="1" t="s">
        <v>508</v>
      </c>
      <c r="G575" s="1" t="s">
        <v>485</v>
      </c>
      <c r="H575" s="1" t="n">
        <v>216</v>
      </c>
      <c r="I575" s="1" t="str">
        <f aca="false">B575&amp;"|"&amp;F575&amp;"|"&amp;G575</f>
        <v>Senior Citizen Town Houses|DMASVEN|Excellent</v>
      </c>
      <c r="J575" s="1" t="s">
        <v>654</v>
      </c>
    </row>
    <row r="576" customFormat="false" ht="12" hidden="false" customHeight="true" outlineLevel="0" collapsed="false">
      <c r="B576" s="1" t="s">
        <v>652</v>
      </c>
      <c r="C576" s="1" t="s">
        <v>653</v>
      </c>
      <c r="D576" s="1" t="s">
        <v>590</v>
      </c>
      <c r="E576" s="1" t="s">
        <v>582</v>
      </c>
      <c r="F576" s="1" t="s">
        <v>508</v>
      </c>
      <c r="G576" s="1" t="s">
        <v>483</v>
      </c>
      <c r="H576" s="1" t="n">
        <v>165</v>
      </c>
      <c r="I576" s="1" t="str">
        <f aca="false">B576&amp;"|"&amp;F576&amp;"|"&amp;G576</f>
        <v>Senior Citizen Town Houses|DMASVEN|Good</v>
      </c>
      <c r="J576" s="1" t="s">
        <v>654</v>
      </c>
    </row>
    <row r="577" customFormat="false" ht="12" hidden="false" customHeight="true" outlineLevel="0" collapsed="false">
      <c r="B577" s="1" t="s">
        <v>652</v>
      </c>
      <c r="C577" s="1" t="s">
        <v>653</v>
      </c>
      <c r="D577" s="1" t="s">
        <v>590</v>
      </c>
      <c r="E577" s="1" t="s">
        <v>582</v>
      </c>
      <c r="F577" s="1" t="s">
        <v>508</v>
      </c>
      <c r="G577" s="1" t="s">
        <v>279</v>
      </c>
      <c r="H577" s="1" t="n">
        <v>126</v>
      </c>
      <c r="I577" s="1" t="str">
        <f aca="false">B577&amp;"|"&amp;F577&amp;"|"&amp;G577</f>
        <v>Senior Citizen Town Houses|DMASVEN|Average</v>
      </c>
      <c r="J577" s="1" t="s">
        <v>654</v>
      </c>
    </row>
    <row r="578" customFormat="false" ht="12" hidden="false" customHeight="true" outlineLevel="0" collapsed="false">
      <c r="B578" s="1" t="s">
        <v>652</v>
      </c>
      <c r="C578" s="1" t="s">
        <v>653</v>
      </c>
      <c r="D578" s="1" t="s">
        <v>590</v>
      </c>
      <c r="E578" s="1" t="s">
        <v>582</v>
      </c>
      <c r="F578" s="1" t="s">
        <v>508</v>
      </c>
      <c r="G578" s="1" t="s">
        <v>555</v>
      </c>
      <c r="H578" s="1" t="n">
        <v>107</v>
      </c>
      <c r="I578" s="1" t="str">
        <f aca="false">B578&amp;"|"&amp;F578&amp;"|"&amp;G578</f>
        <v>Senior Citizen Town Houses|DMASVEN|Fair</v>
      </c>
      <c r="J578" s="1" t="s">
        <v>654</v>
      </c>
    </row>
    <row r="579" customFormat="false" ht="12" hidden="false" customHeight="true" outlineLevel="0" collapsed="false">
      <c r="B579" s="1" t="s">
        <v>652</v>
      </c>
      <c r="C579" s="1" t="s">
        <v>653</v>
      </c>
      <c r="D579" s="1" t="s">
        <v>590</v>
      </c>
      <c r="E579" s="1" t="s">
        <v>582</v>
      </c>
      <c r="F579" s="1" t="s">
        <v>468</v>
      </c>
      <c r="G579" s="1" t="s">
        <v>485</v>
      </c>
      <c r="H579" s="1" t="n">
        <v>208</v>
      </c>
      <c r="I579" s="1" t="str">
        <f aca="false">B579&amp;"|"&amp;F579&amp;"|"&amp;G579</f>
        <v>Senior Citizen Town Houses|D|Excellent</v>
      </c>
      <c r="J579" s="1" t="s">
        <v>654</v>
      </c>
    </row>
    <row r="580" customFormat="false" ht="12" hidden="false" customHeight="true" outlineLevel="0" collapsed="false">
      <c r="B580" s="1" t="s">
        <v>652</v>
      </c>
      <c r="C580" s="1" t="s">
        <v>653</v>
      </c>
      <c r="D580" s="1" t="s">
        <v>590</v>
      </c>
      <c r="E580" s="1" t="s">
        <v>582</v>
      </c>
      <c r="F580" s="1" t="s">
        <v>468</v>
      </c>
      <c r="G580" s="1" t="s">
        <v>483</v>
      </c>
      <c r="H580" s="1" t="n">
        <v>158</v>
      </c>
      <c r="I580" s="1" t="str">
        <f aca="false">B580&amp;"|"&amp;F580&amp;"|"&amp;G580</f>
        <v>Senior Citizen Town Houses|D|Good</v>
      </c>
      <c r="J580" s="1" t="s">
        <v>654</v>
      </c>
    </row>
    <row r="581" customFormat="false" ht="12" hidden="false" customHeight="true" outlineLevel="0" collapsed="false">
      <c r="B581" s="1" t="s">
        <v>652</v>
      </c>
      <c r="C581" s="1" t="s">
        <v>653</v>
      </c>
      <c r="D581" s="1" t="s">
        <v>590</v>
      </c>
      <c r="E581" s="1" t="s">
        <v>582</v>
      </c>
      <c r="F581" s="1" t="s">
        <v>468</v>
      </c>
      <c r="G581" s="1" t="s">
        <v>279</v>
      </c>
      <c r="H581" s="1" t="n">
        <v>121</v>
      </c>
      <c r="I581" s="1" t="str">
        <f aca="false">B581&amp;"|"&amp;F581&amp;"|"&amp;G581</f>
        <v>Senior Citizen Town Houses|D|Average</v>
      </c>
      <c r="J581" s="1" t="s">
        <v>654</v>
      </c>
    </row>
    <row r="582" customFormat="false" ht="12" hidden="false" customHeight="true" outlineLevel="0" collapsed="false">
      <c r="B582" s="1" t="s">
        <v>652</v>
      </c>
      <c r="C582" s="1" t="s">
        <v>653</v>
      </c>
      <c r="D582" s="1" t="s">
        <v>590</v>
      </c>
      <c r="E582" s="1" t="s">
        <v>582</v>
      </c>
      <c r="F582" s="1" t="s">
        <v>468</v>
      </c>
      <c r="G582" s="1" t="s">
        <v>555</v>
      </c>
      <c r="H582" s="1" t="n">
        <v>103</v>
      </c>
      <c r="I582" s="1" t="str">
        <f aca="false">B582&amp;"|"&amp;F582&amp;"|"&amp;G582</f>
        <v>Senior Citizen Town Houses|D|Fair</v>
      </c>
      <c r="J582" s="1" t="s">
        <v>654</v>
      </c>
    </row>
    <row r="583" customFormat="false" ht="12" hidden="false" customHeight="true" outlineLevel="0" collapsed="false">
      <c r="B583" s="1" t="s">
        <v>655</v>
      </c>
      <c r="C583" s="1" t="s">
        <v>656</v>
      </c>
      <c r="D583" s="1" t="s">
        <v>590</v>
      </c>
      <c r="E583" s="1" t="s">
        <v>586</v>
      </c>
      <c r="F583" s="1" t="s">
        <v>463</v>
      </c>
      <c r="G583" s="1" t="s">
        <v>485</v>
      </c>
      <c r="H583" s="1" t="n">
        <v>237</v>
      </c>
      <c r="I583" s="1" t="str">
        <f aca="false">B583&amp;"|"&amp;F583&amp;"|"&amp;G583</f>
        <v>Urban Row (Town) Houses|C|Excellent</v>
      </c>
      <c r="J583" s="1" t="s">
        <v>657</v>
      </c>
    </row>
    <row r="584" customFormat="false" ht="12" hidden="false" customHeight="true" outlineLevel="0" collapsed="false">
      <c r="B584" s="1" t="s">
        <v>655</v>
      </c>
      <c r="C584" s="1" t="s">
        <v>656</v>
      </c>
      <c r="D584" s="1" t="s">
        <v>590</v>
      </c>
      <c r="E584" s="1" t="s">
        <v>586</v>
      </c>
      <c r="F584" s="1" t="s">
        <v>463</v>
      </c>
      <c r="G584" s="1" t="s">
        <v>483</v>
      </c>
      <c r="H584" s="1" t="n">
        <v>173</v>
      </c>
      <c r="I584" s="1" t="str">
        <f aca="false">B584&amp;"|"&amp;F584&amp;"|"&amp;G584</f>
        <v>Urban Row (Town) Houses|C|Good</v>
      </c>
      <c r="J584" s="1" t="s">
        <v>657</v>
      </c>
    </row>
    <row r="585" customFormat="false" ht="12" hidden="false" customHeight="true" outlineLevel="0" collapsed="false">
      <c r="B585" s="1" t="s">
        <v>655</v>
      </c>
      <c r="C585" s="1" t="s">
        <v>656</v>
      </c>
      <c r="D585" s="1" t="s">
        <v>590</v>
      </c>
      <c r="E585" s="1" t="s">
        <v>586</v>
      </c>
      <c r="F585" s="1" t="s">
        <v>463</v>
      </c>
      <c r="G585" s="1" t="s">
        <v>279</v>
      </c>
      <c r="H585" s="1" t="n">
        <v>126</v>
      </c>
      <c r="I585" s="1" t="str">
        <f aca="false">B585&amp;"|"&amp;F585&amp;"|"&amp;G585</f>
        <v>Urban Row (Town) Houses|C|Average</v>
      </c>
      <c r="J585" s="1" t="s">
        <v>657</v>
      </c>
    </row>
    <row r="586" customFormat="false" ht="12" hidden="false" customHeight="true" outlineLevel="0" collapsed="false">
      <c r="B586" s="1" t="s">
        <v>655</v>
      </c>
      <c r="C586" s="1" t="s">
        <v>656</v>
      </c>
      <c r="D586" s="1" t="s">
        <v>590</v>
      </c>
      <c r="E586" s="1" t="s">
        <v>586</v>
      </c>
      <c r="F586" s="1" t="s">
        <v>463</v>
      </c>
      <c r="G586" s="1" t="s">
        <v>555</v>
      </c>
      <c r="H586" s="1" t="n">
        <v>108</v>
      </c>
      <c r="I586" s="1" t="str">
        <f aca="false">B586&amp;"|"&amp;F586&amp;"|"&amp;G586</f>
        <v>Urban Row (Town) Houses|C|Fair</v>
      </c>
      <c r="J586" s="1" t="s">
        <v>657</v>
      </c>
    </row>
    <row r="587" customFormat="false" ht="12" hidden="false" customHeight="true" outlineLevel="0" collapsed="false">
      <c r="B587" s="1" t="s">
        <v>655</v>
      </c>
      <c r="C587" s="1" t="s">
        <v>656</v>
      </c>
      <c r="D587" s="1" t="s">
        <v>590</v>
      </c>
      <c r="E587" s="1" t="s">
        <v>586</v>
      </c>
      <c r="F587" s="1" t="s">
        <v>519</v>
      </c>
      <c r="G587" s="1" t="s">
        <v>485</v>
      </c>
      <c r="H587" s="1" t="n">
        <v>258</v>
      </c>
      <c r="I587" s="1" t="str">
        <f aca="false">B587&amp;"|"&amp;F587&amp;"|"&amp;G587</f>
        <v>Urban Row (Town) Houses|CMILL|Excellent</v>
      </c>
      <c r="J587" s="1" t="s">
        <v>657</v>
      </c>
    </row>
    <row r="588" customFormat="false" ht="12" hidden="false" customHeight="true" outlineLevel="0" collapsed="false">
      <c r="B588" s="1" t="s">
        <v>655</v>
      </c>
      <c r="C588" s="1" t="s">
        <v>656</v>
      </c>
      <c r="D588" s="1" t="s">
        <v>590</v>
      </c>
      <c r="E588" s="1" t="s">
        <v>586</v>
      </c>
      <c r="F588" s="1" t="s">
        <v>519</v>
      </c>
      <c r="G588" s="1" t="s">
        <v>483</v>
      </c>
      <c r="H588" s="1" t="n">
        <v>203</v>
      </c>
      <c r="I588" s="1" t="str">
        <f aca="false">B588&amp;"|"&amp;F588&amp;"|"&amp;G588</f>
        <v>Urban Row (Town) Houses|CMILL|Good</v>
      </c>
      <c r="J588" s="1" t="s">
        <v>657</v>
      </c>
    </row>
    <row r="589" customFormat="false" ht="12" hidden="false" customHeight="true" outlineLevel="0" collapsed="false">
      <c r="B589" s="1" t="s">
        <v>655</v>
      </c>
      <c r="C589" s="1" t="s">
        <v>656</v>
      </c>
      <c r="D589" s="1" t="s">
        <v>590</v>
      </c>
      <c r="E589" s="1" t="s">
        <v>586</v>
      </c>
      <c r="F589" s="1" t="s">
        <v>519</v>
      </c>
      <c r="G589" s="1" t="s">
        <v>279</v>
      </c>
      <c r="H589" s="1" t="n">
        <v>160</v>
      </c>
      <c r="I589" s="1" t="str">
        <f aca="false">B589&amp;"|"&amp;F589&amp;"|"&amp;G589</f>
        <v>Urban Row (Town) Houses|CMILL|Average</v>
      </c>
      <c r="J589" s="1" t="s">
        <v>657</v>
      </c>
    </row>
    <row r="590" customFormat="false" ht="12" hidden="false" customHeight="true" outlineLevel="0" collapsed="false">
      <c r="B590" s="1" t="s">
        <v>655</v>
      </c>
      <c r="C590" s="1" t="s">
        <v>656</v>
      </c>
      <c r="D590" s="1" t="s">
        <v>590</v>
      </c>
      <c r="E590" s="1" t="s">
        <v>586</v>
      </c>
      <c r="F590" s="1" t="s">
        <v>508</v>
      </c>
      <c r="G590" s="1" t="s">
        <v>485</v>
      </c>
      <c r="H590" s="1" t="n">
        <v>236</v>
      </c>
      <c r="I590" s="1" t="str">
        <f aca="false">B590&amp;"|"&amp;F590&amp;"|"&amp;G590</f>
        <v>Urban Row (Town) Houses|DMASVEN|Excellent</v>
      </c>
      <c r="J590" s="1" t="s">
        <v>657</v>
      </c>
    </row>
    <row r="591" customFormat="false" ht="12" hidden="false" customHeight="true" outlineLevel="0" collapsed="false">
      <c r="B591" s="1" t="s">
        <v>655</v>
      </c>
      <c r="C591" s="1" t="s">
        <v>656</v>
      </c>
      <c r="D591" s="1" t="s">
        <v>590</v>
      </c>
      <c r="E591" s="1" t="s">
        <v>586</v>
      </c>
      <c r="F591" s="1" t="s">
        <v>508</v>
      </c>
      <c r="G591" s="1" t="s">
        <v>483</v>
      </c>
      <c r="H591" s="1" t="n">
        <v>172</v>
      </c>
      <c r="I591" s="1" t="str">
        <f aca="false">B591&amp;"|"&amp;F591&amp;"|"&amp;G591</f>
        <v>Urban Row (Town) Houses|DMASVEN|Good</v>
      </c>
      <c r="J591" s="1" t="s">
        <v>657</v>
      </c>
    </row>
    <row r="592" customFormat="false" ht="12" hidden="false" customHeight="true" outlineLevel="0" collapsed="false">
      <c r="B592" s="1" t="s">
        <v>655</v>
      </c>
      <c r="C592" s="1" t="s">
        <v>656</v>
      </c>
      <c r="D592" s="1" t="s">
        <v>590</v>
      </c>
      <c r="E592" s="1" t="s">
        <v>586</v>
      </c>
      <c r="F592" s="1" t="s">
        <v>508</v>
      </c>
      <c r="G592" s="1" t="s">
        <v>279</v>
      </c>
      <c r="H592" s="1" t="n">
        <v>125</v>
      </c>
      <c r="I592" s="1" t="str">
        <f aca="false">B592&amp;"|"&amp;F592&amp;"|"&amp;G592</f>
        <v>Urban Row (Town) Houses|DMASVEN|Average</v>
      </c>
      <c r="J592" s="1" t="s">
        <v>657</v>
      </c>
    </row>
    <row r="593" customFormat="false" ht="12" hidden="false" customHeight="true" outlineLevel="0" collapsed="false">
      <c r="B593" s="1" t="s">
        <v>655</v>
      </c>
      <c r="C593" s="1" t="s">
        <v>656</v>
      </c>
      <c r="D593" s="1" t="s">
        <v>590</v>
      </c>
      <c r="E593" s="1" t="s">
        <v>586</v>
      </c>
      <c r="F593" s="1" t="s">
        <v>508</v>
      </c>
      <c r="G593" s="1" t="s">
        <v>555</v>
      </c>
      <c r="H593" s="1" t="n">
        <v>107</v>
      </c>
      <c r="I593" s="1" t="str">
        <f aca="false">B593&amp;"|"&amp;F593&amp;"|"&amp;G593</f>
        <v>Urban Row (Town) Houses|DMASVEN|Fair</v>
      </c>
      <c r="J593" s="1" t="s">
        <v>657</v>
      </c>
    </row>
    <row r="594" customFormat="false" ht="12" hidden="false" customHeight="true" outlineLevel="0" collapsed="false">
      <c r="B594" s="1" t="s">
        <v>655</v>
      </c>
      <c r="C594" s="1" t="s">
        <v>656</v>
      </c>
      <c r="D594" s="1" t="s">
        <v>590</v>
      </c>
      <c r="E594" s="1" t="s">
        <v>586</v>
      </c>
      <c r="F594" s="1" t="s">
        <v>468</v>
      </c>
      <c r="G594" s="1" t="s">
        <v>485</v>
      </c>
      <c r="H594" s="1" t="n">
        <v>226</v>
      </c>
      <c r="I594" s="1" t="str">
        <f aca="false">B594&amp;"|"&amp;F594&amp;"|"&amp;G594</f>
        <v>Urban Row (Town) Houses|D|Excellent</v>
      </c>
      <c r="J594" s="1" t="s">
        <v>657</v>
      </c>
    </row>
    <row r="595" customFormat="false" ht="12" hidden="false" customHeight="true" outlineLevel="0" collapsed="false">
      <c r="B595" s="1" t="s">
        <v>655</v>
      </c>
      <c r="C595" s="1" t="s">
        <v>656</v>
      </c>
      <c r="D595" s="1" t="s">
        <v>590</v>
      </c>
      <c r="E595" s="1" t="s">
        <v>586</v>
      </c>
      <c r="F595" s="1" t="s">
        <v>468</v>
      </c>
      <c r="G595" s="1" t="s">
        <v>483</v>
      </c>
      <c r="H595" s="1" t="n">
        <v>165</v>
      </c>
      <c r="I595" s="1" t="str">
        <f aca="false">B595&amp;"|"&amp;F595&amp;"|"&amp;G595</f>
        <v>Urban Row (Town) Houses|D|Good</v>
      </c>
      <c r="J595" s="1" t="s">
        <v>657</v>
      </c>
    </row>
    <row r="596" customFormat="false" ht="12" hidden="false" customHeight="true" outlineLevel="0" collapsed="false">
      <c r="B596" s="1" t="s">
        <v>655</v>
      </c>
      <c r="C596" s="1" t="s">
        <v>656</v>
      </c>
      <c r="D596" s="1" t="s">
        <v>590</v>
      </c>
      <c r="E596" s="1" t="s">
        <v>586</v>
      </c>
      <c r="F596" s="1" t="s">
        <v>468</v>
      </c>
      <c r="G596" s="1" t="s">
        <v>279</v>
      </c>
      <c r="H596" s="1" t="n">
        <v>120</v>
      </c>
      <c r="I596" s="1" t="str">
        <f aca="false">B596&amp;"|"&amp;F596&amp;"|"&amp;G596</f>
        <v>Urban Row (Town) Houses|D|Average</v>
      </c>
      <c r="J596" s="1" t="s">
        <v>657</v>
      </c>
    </row>
    <row r="597" customFormat="false" ht="12" hidden="false" customHeight="true" outlineLevel="0" collapsed="false">
      <c r="B597" s="1" t="s">
        <v>655</v>
      </c>
      <c r="C597" s="1" t="s">
        <v>656</v>
      </c>
      <c r="D597" s="1" t="s">
        <v>590</v>
      </c>
      <c r="E597" s="1" t="s">
        <v>586</v>
      </c>
      <c r="F597" s="1" t="s">
        <v>468</v>
      </c>
      <c r="G597" s="1" t="s">
        <v>555</v>
      </c>
      <c r="H597" s="1" t="n">
        <v>103</v>
      </c>
      <c r="I597" s="1" t="str">
        <f aca="false">B597&amp;"|"&amp;F597&amp;"|"&amp;G597</f>
        <v>Urban Row (Town) Houses|D|Fair</v>
      </c>
      <c r="J597" s="1" t="s">
        <v>657</v>
      </c>
    </row>
    <row r="598" customFormat="false" ht="12" hidden="false" customHeight="true" outlineLevel="0" collapsed="false">
      <c r="B598" s="1" t="s">
        <v>658</v>
      </c>
      <c r="C598" s="1" t="s">
        <v>659</v>
      </c>
      <c r="D598" s="1" t="s">
        <v>590</v>
      </c>
      <c r="E598" s="1" t="s">
        <v>660</v>
      </c>
      <c r="F598" s="1" t="s">
        <v>463</v>
      </c>
      <c r="G598" s="1" t="s">
        <v>485</v>
      </c>
      <c r="H598" s="1" t="n">
        <v>101</v>
      </c>
      <c r="I598" s="1" t="str">
        <f aca="false">B598&amp;"|"&amp;F598&amp;"|"&amp;G598</f>
        <v>Shell Town House Buildings|C|Excellent</v>
      </c>
      <c r="J598" s="1" t="s">
        <v>661</v>
      </c>
    </row>
    <row r="599" customFormat="false" ht="12" hidden="false" customHeight="true" outlineLevel="0" collapsed="false">
      <c r="B599" s="1" t="s">
        <v>658</v>
      </c>
      <c r="C599" s="1" t="s">
        <v>659</v>
      </c>
      <c r="D599" s="1" t="s">
        <v>590</v>
      </c>
      <c r="E599" s="1" t="s">
        <v>660</v>
      </c>
      <c r="F599" s="1" t="s">
        <v>463</v>
      </c>
      <c r="G599" s="1" t="s">
        <v>483</v>
      </c>
      <c r="H599" s="1" t="n">
        <v>76.5</v>
      </c>
      <c r="I599" s="1" t="str">
        <f aca="false">B599&amp;"|"&amp;F599&amp;"|"&amp;G599</f>
        <v>Shell Town House Buildings|C|Good</v>
      </c>
      <c r="J599" s="1" t="s">
        <v>661</v>
      </c>
    </row>
    <row r="600" customFormat="false" ht="12" hidden="false" customHeight="true" outlineLevel="0" collapsed="false">
      <c r="B600" s="1" t="s">
        <v>658</v>
      </c>
      <c r="C600" s="1" t="s">
        <v>659</v>
      </c>
      <c r="D600" s="1" t="s">
        <v>590</v>
      </c>
      <c r="E600" s="1" t="s">
        <v>660</v>
      </c>
      <c r="F600" s="1" t="s">
        <v>463</v>
      </c>
      <c r="G600" s="1" t="s">
        <v>279</v>
      </c>
      <c r="H600" s="1" t="n">
        <v>58</v>
      </c>
      <c r="I600" s="1" t="str">
        <f aca="false">B600&amp;"|"&amp;F600&amp;"|"&amp;G600</f>
        <v>Shell Town House Buildings|C|Average</v>
      </c>
      <c r="J600" s="1" t="s">
        <v>661</v>
      </c>
    </row>
    <row r="601" customFormat="false" ht="12" hidden="false" customHeight="true" outlineLevel="0" collapsed="false">
      <c r="B601" s="1" t="s">
        <v>658</v>
      </c>
      <c r="C601" s="1" t="s">
        <v>659</v>
      </c>
      <c r="D601" s="1" t="s">
        <v>590</v>
      </c>
      <c r="E601" s="1" t="s">
        <v>660</v>
      </c>
      <c r="F601" s="1" t="s">
        <v>463</v>
      </c>
      <c r="G601" s="1" t="s">
        <v>555</v>
      </c>
      <c r="H601" s="1" t="n">
        <v>51</v>
      </c>
      <c r="I601" s="1" t="str">
        <f aca="false">B601&amp;"|"&amp;F601&amp;"|"&amp;G601</f>
        <v>Shell Town House Buildings|C|Fair</v>
      </c>
      <c r="J601" s="1" t="s">
        <v>661</v>
      </c>
    </row>
    <row r="602" customFormat="false" ht="12" hidden="false" customHeight="true" outlineLevel="0" collapsed="false">
      <c r="B602" s="1" t="s">
        <v>658</v>
      </c>
      <c r="C602" s="1" t="s">
        <v>659</v>
      </c>
      <c r="D602" s="1" t="s">
        <v>590</v>
      </c>
      <c r="E602" s="1" t="s">
        <v>660</v>
      </c>
      <c r="F602" s="1" t="s">
        <v>508</v>
      </c>
      <c r="G602" s="1" t="s">
        <v>485</v>
      </c>
      <c r="H602" s="1" t="n">
        <v>98.5</v>
      </c>
      <c r="I602" s="1" t="str">
        <f aca="false">B602&amp;"|"&amp;F602&amp;"|"&amp;G602</f>
        <v>Shell Town House Buildings|DMASVEN|Excellent</v>
      </c>
      <c r="J602" s="1" t="s">
        <v>661</v>
      </c>
    </row>
    <row r="603" customFormat="false" ht="12" hidden="false" customHeight="true" outlineLevel="0" collapsed="false">
      <c r="B603" s="1" t="s">
        <v>658</v>
      </c>
      <c r="C603" s="1" t="s">
        <v>659</v>
      </c>
      <c r="D603" s="1" t="s">
        <v>590</v>
      </c>
      <c r="E603" s="1" t="s">
        <v>660</v>
      </c>
      <c r="F603" s="1" t="s">
        <v>508</v>
      </c>
      <c r="G603" s="1" t="s">
        <v>483</v>
      </c>
      <c r="H603" s="1" t="n">
        <v>74.5</v>
      </c>
      <c r="I603" s="1" t="str">
        <f aca="false">B603&amp;"|"&amp;F603&amp;"|"&amp;G603</f>
        <v>Shell Town House Buildings|DMASVEN|Good</v>
      </c>
      <c r="J603" s="1" t="s">
        <v>661</v>
      </c>
    </row>
    <row r="604" customFormat="false" ht="12" hidden="false" customHeight="true" outlineLevel="0" collapsed="false">
      <c r="B604" s="1" t="s">
        <v>658</v>
      </c>
      <c r="C604" s="1" t="s">
        <v>659</v>
      </c>
      <c r="D604" s="1" t="s">
        <v>590</v>
      </c>
      <c r="E604" s="1" t="s">
        <v>660</v>
      </c>
      <c r="F604" s="1" t="s">
        <v>508</v>
      </c>
      <c r="G604" s="1" t="s">
        <v>279</v>
      </c>
      <c r="H604" s="1" t="n">
        <v>57</v>
      </c>
      <c r="I604" s="1" t="str">
        <f aca="false">B604&amp;"|"&amp;F604&amp;"|"&amp;G604</f>
        <v>Shell Town House Buildings|DMASVEN|Average</v>
      </c>
      <c r="J604" s="1" t="s">
        <v>661</v>
      </c>
    </row>
    <row r="605" customFormat="false" ht="12" hidden="false" customHeight="true" outlineLevel="0" collapsed="false">
      <c r="B605" s="1" t="s">
        <v>658</v>
      </c>
      <c r="C605" s="1" t="s">
        <v>659</v>
      </c>
      <c r="D605" s="1" t="s">
        <v>590</v>
      </c>
      <c r="E605" s="1" t="s">
        <v>660</v>
      </c>
      <c r="F605" s="1" t="s">
        <v>508</v>
      </c>
      <c r="G605" s="1" t="s">
        <v>555</v>
      </c>
      <c r="H605" s="1" t="n">
        <v>49.75</v>
      </c>
      <c r="I605" s="1" t="str">
        <f aca="false">B605&amp;"|"&amp;F605&amp;"|"&amp;G605</f>
        <v>Shell Town House Buildings|DMASVEN|Fair</v>
      </c>
      <c r="J605" s="1" t="s">
        <v>661</v>
      </c>
    </row>
    <row r="606" customFormat="false" ht="12" hidden="false" customHeight="true" outlineLevel="0" collapsed="false">
      <c r="B606" s="1" t="s">
        <v>658</v>
      </c>
      <c r="C606" s="1" t="s">
        <v>659</v>
      </c>
      <c r="D606" s="1" t="s">
        <v>590</v>
      </c>
      <c r="E606" s="1" t="s">
        <v>660</v>
      </c>
      <c r="F606" s="1" t="s">
        <v>468</v>
      </c>
      <c r="G606" s="1" t="s">
        <v>485</v>
      </c>
      <c r="H606" s="1" t="n">
        <v>89.5</v>
      </c>
      <c r="I606" s="1" t="str">
        <f aca="false">B606&amp;"|"&amp;F606&amp;"|"&amp;G606</f>
        <v>Shell Town House Buildings|D|Excellent</v>
      </c>
      <c r="J606" s="1" t="s">
        <v>661</v>
      </c>
    </row>
    <row r="607" customFormat="false" ht="12" hidden="false" customHeight="true" outlineLevel="0" collapsed="false">
      <c r="B607" s="1" t="s">
        <v>658</v>
      </c>
      <c r="C607" s="1" t="s">
        <v>659</v>
      </c>
      <c r="D607" s="1" t="s">
        <v>590</v>
      </c>
      <c r="E607" s="1" t="s">
        <v>660</v>
      </c>
      <c r="F607" s="1" t="s">
        <v>468</v>
      </c>
      <c r="G607" s="1" t="s">
        <v>483</v>
      </c>
      <c r="H607" s="1" t="n">
        <v>68</v>
      </c>
      <c r="I607" s="1" t="str">
        <f aca="false">B607&amp;"|"&amp;F607&amp;"|"&amp;G607</f>
        <v>Shell Town House Buildings|D|Good</v>
      </c>
      <c r="J607" s="1" t="s">
        <v>661</v>
      </c>
    </row>
    <row r="608" customFormat="false" ht="12" hidden="false" customHeight="true" outlineLevel="0" collapsed="false">
      <c r="B608" s="1" t="s">
        <v>658</v>
      </c>
      <c r="C608" s="1" t="s">
        <v>659</v>
      </c>
      <c r="D608" s="1" t="s">
        <v>590</v>
      </c>
      <c r="E608" s="1" t="s">
        <v>660</v>
      </c>
      <c r="F608" s="1" t="s">
        <v>468</v>
      </c>
      <c r="G608" s="1" t="s">
        <v>279</v>
      </c>
      <c r="H608" s="1" t="n">
        <v>52</v>
      </c>
      <c r="I608" s="1" t="str">
        <f aca="false">B608&amp;"|"&amp;F608&amp;"|"&amp;G608</f>
        <v>Shell Town House Buildings|D|Average</v>
      </c>
      <c r="J608" s="1" t="s">
        <v>661</v>
      </c>
    </row>
    <row r="609" customFormat="false" ht="12" hidden="false" customHeight="true" outlineLevel="0" collapsed="false">
      <c r="B609" s="1" t="s">
        <v>658</v>
      </c>
      <c r="C609" s="1" t="s">
        <v>659</v>
      </c>
      <c r="D609" s="1" t="s">
        <v>590</v>
      </c>
      <c r="E609" s="1" t="s">
        <v>660</v>
      </c>
      <c r="F609" s="1" t="s">
        <v>468</v>
      </c>
      <c r="G609" s="1" t="s">
        <v>555</v>
      </c>
      <c r="H609" s="1" t="n">
        <v>45.75</v>
      </c>
      <c r="I609" s="1" t="str">
        <f aca="false">B609&amp;"|"&amp;F609&amp;"|"&amp;G609</f>
        <v>Shell Town House Buildings|D|Fair</v>
      </c>
      <c r="J609" s="1" t="s">
        <v>661</v>
      </c>
    </row>
    <row r="610" customFormat="false" ht="12" hidden="false" customHeight="true" outlineLevel="0" collapsed="false">
      <c r="B610" s="1" t="s">
        <v>662</v>
      </c>
      <c r="C610" s="1" t="s">
        <v>663</v>
      </c>
      <c r="D610" s="1" t="s">
        <v>497</v>
      </c>
      <c r="E610" s="1" t="s">
        <v>497</v>
      </c>
      <c r="F610" s="1" t="s">
        <v>523</v>
      </c>
      <c r="G610" s="1" t="s">
        <v>279</v>
      </c>
      <c r="H610" s="1" t="n">
        <v>181</v>
      </c>
      <c r="I610" s="1" t="str">
        <f aca="false">B610&amp;"|"&amp;F610&amp;"|"&amp;G610</f>
        <v>Bars/Taverns|A-B|Average</v>
      </c>
      <c r="J610" s="1" t="s">
        <v>664</v>
      </c>
    </row>
    <row r="611" customFormat="false" ht="12" hidden="false" customHeight="true" outlineLevel="0" collapsed="false">
      <c r="B611" s="1" t="s">
        <v>662</v>
      </c>
      <c r="C611" s="1" t="s">
        <v>663</v>
      </c>
      <c r="D611" s="1" t="s">
        <v>497</v>
      </c>
      <c r="E611" s="1" t="s">
        <v>497</v>
      </c>
      <c r="F611" s="1" t="s">
        <v>463</v>
      </c>
      <c r="G611" s="1" t="s">
        <v>483</v>
      </c>
      <c r="H611" s="1" t="n">
        <v>187</v>
      </c>
      <c r="I611" s="1" t="str">
        <f aca="false">B611&amp;"|"&amp;F611&amp;"|"&amp;G611</f>
        <v>Bars/Taverns|C|Good</v>
      </c>
      <c r="J611" s="1" t="s">
        <v>664</v>
      </c>
    </row>
    <row r="612" customFormat="false" ht="12" hidden="false" customHeight="true" outlineLevel="0" collapsed="false">
      <c r="B612" s="1" t="s">
        <v>662</v>
      </c>
      <c r="C612" s="1" t="s">
        <v>663</v>
      </c>
      <c r="D612" s="1" t="s">
        <v>497</v>
      </c>
      <c r="E612" s="1" t="s">
        <v>497</v>
      </c>
      <c r="F612" s="1" t="s">
        <v>463</v>
      </c>
      <c r="G612" s="1" t="s">
        <v>279</v>
      </c>
      <c r="H612" s="1" t="n">
        <v>143</v>
      </c>
      <c r="I612" s="1" t="str">
        <f aca="false">B612&amp;"|"&amp;F612&amp;"|"&amp;G612</f>
        <v>Bars/Taverns|C|Average</v>
      </c>
      <c r="J612" s="1" t="s">
        <v>664</v>
      </c>
    </row>
    <row r="613" customFormat="false" ht="12" hidden="false" customHeight="true" outlineLevel="0" collapsed="false">
      <c r="B613" s="1" t="s">
        <v>662</v>
      </c>
      <c r="C613" s="1" t="s">
        <v>663</v>
      </c>
      <c r="D613" s="1" t="s">
        <v>497</v>
      </c>
      <c r="E613" s="1" t="s">
        <v>497</v>
      </c>
      <c r="F613" s="1" t="s">
        <v>463</v>
      </c>
      <c r="G613" s="1" t="s">
        <v>480</v>
      </c>
      <c r="H613" s="1" t="n">
        <v>110</v>
      </c>
      <c r="I613" s="1" t="str">
        <f aca="false">B613&amp;"|"&amp;F613&amp;"|"&amp;G613</f>
        <v>Bars/Taverns|C|Low Cost</v>
      </c>
      <c r="J613" s="1" t="s">
        <v>664</v>
      </c>
    </row>
    <row r="614" customFormat="false" ht="12" hidden="false" customHeight="true" outlineLevel="0" collapsed="false">
      <c r="B614" s="1" t="s">
        <v>662</v>
      </c>
      <c r="C614" s="1" t="s">
        <v>663</v>
      </c>
      <c r="D614" s="1" t="s">
        <v>497</v>
      </c>
      <c r="E614" s="1" t="s">
        <v>497</v>
      </c>
      <c r="F614" s="1" t="s">
        <v>468</v>
      </c>
      <c r="G614" s="1" t="s">
        <v>483</v>
      </c>
      <c r="H614" s="1" t="n">
        <v>175</v>
      </c>
      <c r="I614" s="1" t="str">
        <f aca="false">B614&amp;"|"&amp;F614&amp;"|"&amp;G614</f>
        <v>Bars/Taverns|D|Good</v>
      </c>
      <c r="J614" s="1" t="s">
        <v>664</v>
      </c>
    </row>
    <row r="615" customFormat="false" ht="12" hidden="false" customHeight="true" outlineLevel="0" collapsed="false">
      <c r="B615" s="1" t="s">
        <v>662</v>
      </c>
      <c r="C615" s="1" t="s">
        <v>663</v>
      </c>
      <c r="D615" s="1" t="s">
        <v>497</v>
      </c>
      <c r="E615" s="1" t="s">
        <v>497</v>
      </c>
      <c r="F615" s="1" t="s">
        <v>468</v>
      </c>
      <c r="G615" s="1" t="s">
        <v>279</v>
      </c>
      <c r="H615" s="1" t="n">
        <v>134</v>
      </c>
      <c r="I615" s="1" t="str">
        <f aca="false">B615&amp;"|"&amp;F615&amp;"|"&amp;G615</f>
        <v>Bars/Taverns|D|Average</v>
      </c>
      <c r="J615" s="1" t="s">
        <v>664</v>
      </c>
    </row>
    <row r="616" customFormat="false" ht="12" hidden="false" customHeight="true" outlineLevel="0" collapsed="false">
      <c r="B616" s="1" t="s">
        <v>662</v>
      </c>
      <c r="C616" s="1" t="s">
        <v>663</v>
      </c>
      <c r="D616" s="1" t="s">
        <v>497</v>
      </c>
      <c r="E616" s="1" t="s">
        <v>497</v>
      </c>
      <c r="F616" s="1" t="s">
        <v>468</v>
      </c>
      <c r="G616" s="1" t="s">
        <v>480</v>
      </c>
      <c r="H616" s="1" t="n">
        <v>103</v>
      </c>
      <c r="I616" s="1" t="str">
        <f aca="false">B616&amp;"|"&amp;F616&amp;"|"&amp;G616</f>
        <v>Bars/Taverns|D|Low Cost</v>
      </c>
      <c r="J616" s="1" t="s">
        <v>664</v>
      </c>
    </row>
    <row r="617" customFormat="false" ht="12" hidden="false" customHeight="true" outlineLevel="0" collapsed="false">
      <c r="B617" s="1" t="s">
        <v>662</v>
      </c>
      <c r="C617" s="1" t="s">
        <v>663</v>
      </c>
      <c r="D617" s="1" t="s">
        <v>497</v>
      </c>
      <c r="E617" s="1" t="s">
        <v>497</v>
      </c>
      <c r="F617" s="1" t="s">
        <v>566</v>
      </c>
      <c r="G617" s="1" t="s">
        <v>480</v>
      </c>
      <c r="H617" s="1" t="n">
        <v>98.5</v>
      </c>
      <c r="I617" s="1" t="str">
        <f aca="false">B617&amp;"|"&amp;F617&amp;"|"&amp;G617</f>
        <v>Bars/Taverns|DPOLE|Low Cost</v>
      </c>
      <c r="J617" s="1" t="s">
        <v>664</v>
      </c>
    </row>
    <row r="618" customFormat="false" ht="12" hidden="false" customHeight="true" outlineLevel="0" collapsed="false">
      <c r="B618" s="1" t="s">
        <v>662</v>
      </c>
      <c r="C618" s="1" t="s">
        <v>663</v>
      </c>
      <c r="D618" s="1" t="s">
        <v>497</v>
      </c>
      <c r="E618" s="1" t="s">
        <v>497</v>
      </c>
      <c r="F618" s="1" t="s">
        <v>473</v>
      </c>
      <c r="G618" s="1" t="s">
        <v>279</v>
      </c>
      <c r="H618" s="1" t="n">
        <v>134</v>
      </c>
      <c r="I618" s="1" t="str">
        <f aca="false">B618&amp;"|"&amp;F618&amp;"|"&amp;G618</f>
        <v>Bars/Taverns|S|Average</v>
      </c>
      <c r="J618" s="1" t="s">
        <v>664</v>
      </c>
    </row>
    <row r="619" customFormat="false" ht="12" hidden="false" customHeight="true" outlineLevel="0" collapsed="false">
      <c r="B619" s="1" t="s">
        <v>662</v>
      </c>
      <c r="C619" s="1" t="s">
        <v>663</v>
      </c>
      <c r="D619" s="1" t="s">
        <v>497</v>
      </c>
      <c r="E619" s="1" t="s">
        <v>497</v>
      </c>
      <c r="F619" s="1" t="s">
        <v>473</v>
      </c>
      <c r="G619" s="1" t="s">
        <v>480</v>
      </c>
      <c r="H619" s="1" t="n">
        <v>101</v>
      </c>
      <c r="I619" s="1" t="str">
        <f aca="false">B619&amp;"|"&amp;F619&amp;"|"&amp;G619</f>
        <v>Bars/Taverns|S|Low Cost</v>
      </c>
      <c r="J619" s="1" t="s">
        <v>664</v>
      </c>
    </row>
    <row r="620" customFormat="false" ht="12" hidden="false" customHeight="true" outlineLevel="0" collapsed="false">
      <c r="B620" s="1" t="s">
        <v>665</v>
      </c>
      <c r="C620" s="1" t="s">
        <v>666</v>
      </c>
      <c r="D620" s="1" t="s">
        <v>497</v>
      </c>
      <c r="E620" s="1" t="s">
        <v>497</v>
      </c>
      <c r="F620" s="1" t="s">
        <v>523</v>
      </c>
      <c r="G620" s="1" t="s">
        <v>483</v>
      </c>
      <c r="H620" s="1" t="n">
        <v>258</v>
      </c>
      <c r="I620" s="1" t="str">
        <f aca="false">B620&amp;"|"&amp;F620&amp;"|"&amp;G620</f>
        <v>Cocktail Lounges|A-B|Good</v>
      </c>
      <c r="J620" s="1" t="s">
        <v>664</v>
      </c>
    </row>
    <row r="621" customFormat="false" ht="12" hidden="false" customHeight="true" outlineLevel="0" collapsed="false">
      <c r="B621" s="1" t="s">
        <v>665</v>
      </c>
      <c r="C621" s="1" t="s">
        <v>666</v>
      </c>
      <c r="D621" s="1" t="s">
        <v>497</v>
      </c>
      <c r="E621" s="1" t="s">
        <v>497</v>
      </c>
      <c r="F621" s="1" t="s">
        <v>523</v>
      </c>
      <c r="G621" s="1" t="s">
        <v>279</v>
      </c>
      <c r="H621" s="1" t="n">
        <v>202</v>
      </c>
      <c r="I621" s="1" t="str">
        <f aca="false">B621&amp;"|"&amp;F621&amp;"|"&amp;G621</f>
        <v>Cocktail Lounges|A-B|Average</v>
      </c>
      <c r="J621" s="1" t="s">
        <v>664</v>
      </c>
    </row>
    <row r="622" customFormat="false" ht="12" hidden="false" customHeight="true" outlineLevel="0" collapsed="false">
      <c r="B622" s="1" t="s">
        <v>665</v>
      </c>
      <c r="C622" s="1" t="s">
        <v>666</v>
      </c>
      <c r="D622" s="1" t="s">
        <v>497</v>
      </c>
      <c r="E622" s="1" t="s">
        <v>497</v>
      </c>
      <c r="F622" s="1" t="s">
        <v>463</v>
      </c>
      <c r="G622" s="1" t="s">
        <v>485</v>
      </c>
      <c r="H622" s="1" t="n">
        <v>283</v>
      </c>
      <c r="I622" s="1" t="str">
        <f aca="false">B622&amp;"|"&amp;F622&amp;"|"&amp;G622</f>
        <v>Cocktail Lounges|C|Excellent</v>
      </c>
      <c r="J622" s="1" t="s">
        <v>664</v>
      </c>
    </row>
    <row r="623" customFormat="false" ht="12" hidden="false" customHeight="true" outlineLevel="0" collapsed="false">
      <c r="B623" s="1" t="s">
        <v>665</v>
      </c>
      <c r="C623" s="1" t="s">
        <v>666</v>
      </c>
      <c r="D623" s="1" t="s">
        <v>497</v>
      </c>
      <c r="E623" s="1" t="s">
        <v>497</v>
      </c>
      <c r="F623" s="1" t="s">
        <v>463</v>
      </c>
      <c r="G623" s="1" t="s">
        <v>483</v>
      </c>
      <c r="H623" s="1" t="n">
        <v>209</v>
      </c>
      <c r="I623" s="1" t="str">
        <f aca="false">B623&amp;"|"&amp;F623&amp;"|"&amp;G623</f>
        <v>Cocktail Lounges|C|Good</v>
      </c>
      <c r="J623" s="1" t="s">
        <v>664</v>
      </c>
    </row>
    <row r="624" customFormat="false" ht="12" hidden="false" customHeight="true" outlineLevel="0" collapsed="false">
      <c r="B624" s="1" t="s">
        <v>665</v>
      </c>
      <c r="C624" s="1" t="s">
        <v>666</v>
      </c>
      <c r="D624" s="1" t="s">
        <v>497</v>
      </c>
      <c r="E624" s="1" t="s">
        <v>497</v>
      </c>
      <c r="F624" s="1" t="s">
        <v>463</v>
      </c>
      <c r="G624" s="1" t="s">
        <v>279</v>
      </c>
      <c r="H624" s="1" t="n">
        <v>159</v>
      </c>
      <c r="I624" s="1" t="str">
        <f aca="false">B624&amp;"|"&amp;F624&amp;"|"&amp;G624</f>
        <v>Cocktail Lounges|C|Average</v>
      </c>
      <c r="J624" s="1" t="s">
        <v>664</v>
      </c>
    </row>
    <row r="625" customFormat="false" ht="12" hidden="false" customHeight="true" outlineLevel="0" collapsed="false">
      <c r="B625" s="1" t="s">
        <v>665</v>
      </c>
      <c r="C625" s="1" t="s">
        <v>666</v>
      </c>
      <c r="D625" s="1" t="s">
        <v>497</v>
      </c>
      <c r="E625" s="1" t="s">
        <v>497</v>
      </c>
      <c r="F625" s="1" t="s">
        <v>463</v>
      </c>
      <c r="G625" s="1" t="s">
        <v>480</v>
      </c>
      <c r="H625" s="1" t="n">
        <v>121</v>
      </c>
      <c r="I625" s="1" t="str">
        <f aca="false">B625&amp;"|"&amp;F625&amp;"|"&amp;G625</f>
        <v>Cocktail Lounges|C|Low Cost</v>
      </c>
      <c r="J625" s="1" t="s">
        <v>664</v>
      </c>
    </row>
    <row r="626" customFormat="false" ht="12" hidden="false" customHeight="true" outlineLevel="0" collapsed="false">
      <c r="B626" s="1" t="s">
        <v>665</v>
      </c>
      <c r="C626" s="1" t="s">
        <v>666</v>
      </c>
      <c r="D626" s="1" t="s">
        <v>497</v>
      </c>
      <c r="E626" s="1" t="s">
        <v>497</v>
      </c>
      <c r="F626" s="1" t="s">
        <v>468</v>
      </c>
      <c r="G626" s="1" t="s">
        <v>485</v>
      </c>
      <c r="H626" s="1" t="n">
        <v>270</v>
      </c>
      <c r="I626" s="1" t="str">
        <f aca="false">B626&amp;"|"&amp;F626&amp;"|"&amp;G626</f>
        <v>Cocktail Lounges|D|Excellent</v>
      </c>
      <c r="J626" s="1" t="s">
        <v>664</v>
      </c>
    </row>
    <row r="627" customFormat="false" ht="12" hidden="false" customHeight="true" outlineLevel="0" collapsed="false">
      <c r="B627" s="1" t="s">
        <v>665</v>
      </c>
      <c r="C627" s="1" t="s">
        <v>666</v>
      </c>
      <c r="D627" s="1" t="s">
        <v>497</v>
      </c>
      <c r="E627" s="1" t="s">
        <v>497</v>
      </c>
      <c r="F627" s="1" t="s">
        <v>468</v>
      </c>
      <c r="G627" s="1" t="s">
        <v>483</v>
      </c>
      <c r="H627" s="1" t="n">
        <v>198</v>
      </c>
      <c r="I627" s="1" t="str">
        <f aca="false">B627&amp;"|"&amp;F627&amp;"|"&amp;G627</f>
        <v>Cocktail Lounges|D|Good</v>
      </c>
      <c r="J627" s="1" t="s">
        <v>664</v>
      </c>
    </row>
    <row r="628" customFormat="false" ht="12" hidden="false" customHeight="true" outlineLevel="0" collapsed="false">
      <c r="B628" s="1" t="s">
        <v>665</v>
      </c>
      <c r="C628" s="1" t="s">
        <v>666</v>
      </c>
      <c r="D628" s="1" t="s">
        <v>497</v>
      </c>
      <c r="E628" s="1" t="s">
        <v>497</v>
      </c>
      <c r="F628" s="1" t="s">
        <v>468</v>
      </c>
      <c r="G628" s="1" t="s">
        <v>279</v>
      </c>
      <c r="H628" s="1" t="n">
        <v>149</v>
      </c>
      <c r="I628" s="1" t="str">
        <f aca="false">B628&amp;"|"&amp;F628&amp;"|"&amp;G628</f>
        <v>Cocktail Lounges|D|Average</v>
      </c>
      <c r="J628" s="1" t="s">
        <v>664</v>
      </c>
    </row>
    <row r="629" customFormat="false" ht="12" hidden="false" customHeight="true" outlineLevel="0" collapsed="false">
      <c r="B629" s="1" t="s">
        <v>665</v>
      </c>
      <c r="C629" s="1" t="s">
        <v>666</v>
      </c>
      <c r="D629" s="1" t="s">
        <v>497</v>
      </c>
      <c r="E629" s="1" t="s">
        <v>497</v>
      </c>
      <c r="F629" s="1" t="s">
        <v>468</v>
      </c>
      <c r="G629" s="1" t="s">
        <v>480</v>
      </c>
      <c r="H629" s="1" t="n">
        <v>113</v>
      </c>
      <c r="I629" s="1" t="str">
        <f aca="false">B629&amp;"|"&amp;F629&amp;"|"&amp;G629</f>
        <v>Cocktail Lounges|D|Low Cost</v>
      </c>
      <c r="J629" s="1" t="s">
        <v>664</v>
      </c>
    </row>
    <row r="630" customFormat="false" ht="12" hidden="false" customHeight="true" outlineLevel="0" collapsed="false">
      <c r="B630" s="1" t="s">
        <v>665</v>
      </c>
      <c r="C630" s="1" t="s">
        <v>666</v>
      </c>
      <c r="D630" s="1" t="s">
        <v>497</v>
      </c>
      <c r="E630" s="1" t="s">
        <v>497</v>
      </c>
      <c r="F630" s="1" t="s">
        <v>566</v>
      </c>
      <c r="G630" s="1" t="s">
        <v>480</v>
      </c>
      <c r="H630" s="1" t="n">
        <v>110</v>
      </c>
      <c r="I630" s="1" t="str">
        <f aca="false">B630&amp;"|"&amp;F630&amp;"|"&amp;G630</f>
        <v>Cocktail Lounges|DPOLE|Low Cost</v>
      </c>
      <c r="J630" s="1" t="s">
        <v>664</v>
      </c>
    </row>
    <row r="631" customFormat="false" ht="12" hidden="false" customHeight="true" outlineLevel="0" collapsed="false">
      <c r="B631" s="1" t="s">
        <v>665</v>
      </c>
      <c r="C631" s="1" t="s">
        <v>666</v>
      </c>
      <c r="D631" s="1" t="s">
        <v>497</v>
      </c>
      <c r="E631" s="1" t="s">
        <v>497</v>
      </c>
      <c r="F631" s="1" t="s">
        <v>473</v>
      </c>
      <c r="G631" s="1" t="s">
        <v>483</v>
      </c>
      <c r="H631" s="1" t="n">
        <v>201</v>
      </c>
      <c r="I631" s="1" t="str">
        <f aca="false">B631&amp;"|"&amp;F631&amp;"|"&amp;G631</f>
        <v>Cocktail Lounges|S|Good</v>
      </c>
      <c r="J631" s="1" t="s">
        <v>664</v>
      </c>
    </row>
    <row r="632" customFormat="false" ht="12" hidden="false" customHeight="true" outlineLevel="0" collapsed="false">
      <c r="B632" s="1" t="s">
        <v>665</v>
      </c>
      <c r="C632" s="1" t="s">
        <v>666</v>
      </c>
      <c r="D632" s="1" t="s">
        <v>497</v>
      </c>
      <c r="E632" s="1" t="s">
        <v>497</v>
      </c>
      <c r="F632" s="1" t="s">
        <v>473</v>
      </c>
      <c r="G632" s="1" t="s">
        <v>279</v>
      </c>
      <c r="H632" s="1" t="n">
        <v>150</v>
      </c>
      <c r="I632" s="1" t="str">
        <f aca="false">B632&amp;"|"&amp;F632&amp;"|"&amp;G632</f>
        <v>Cocktail Lounges|S|Average</v>
      </c>
      <c r="J632" s="1" t="s">
        <v>664</v>
      </c>
    </row>
    <row r="633" customFormat="false" ht="12" hidden="false" customHeight="true" outlineLevel="0" collapsed="false">
      <c r="B633" s="1" t="s">
        <v>665</v>
      </c>
      <c r="C633" s="1" t="s">
        <v>666</v>
      </c>
      <c r="D633" s="1" t="s">
        <v>497</v>
      </c>
      <c r="E633" s="1" t="s">
        <v>497</v>
      </c>
      <c r="F633" s="1" t="s">
        <v>473</v>
      </c>
      <c r="G633" s="1" t="s">
        <v>480</v>
      </c>
      <c r="H633" s="1" t="n">
        <v>113</v>
      </c>
      <c r="I633" s="1" t="str">
        <f aca="false">B633&amp;"|"&amp;F633&amp;"|"&amp;G633</f>
        <v>Cocktail Lounges|S|Low Cost</v>
      </c>
      <c r="J633" s="1" t="s">
        <v>664</v>
      </c>
    </row>
    <row r="634" customFormat="false" ht="12" hidden="false" customHeight="true" outlineLevel="0" collapsed="false">
      <c r="B634" s="1" t="s">
        <v>667</v>
      </c>
      <c r="C634" s="1" t="s">
        <v>668</v>
      </c>
      <c r="D634" s="1" t="s">
        <v>497</v>
      </c>
      <c r="E634" s="1" t="s">
        <v>501</v>
      </c>
      <c r="F634" s="1" t="s">
        <v>523</v>
      </c>
      <c r="G634" s="1" t="s">
        <v>485</v>
      </c>
      <c r="H634" s="1" t="n">
        <v>412</v>
      </c>
      <c r="I634" s="1" t="str">
        <f aca="false">B634&amp;"|"&amp;F634&amp;"|"&amp;G634</f>
        <v>Restaurants|A-B|Excellent</v>
      </c>
      <c r="J634" s="1" t="s">
        <v>669</v>
      </c>
    </row>
    <row r="635" customFormat="false" ht="12" hidden="false" customHeight="true" outlineLevel="0" collapsed="false">
      <c r="B635" s="1" t="s">
        <v>667</v>
      </c>
      <c r="C635" s="1" t="s">
        <v>668</v>
      </c>
      <c r="D635" s="1" t="s">
        <v>497</v>
      </c>
      <c r="E635" s="1" t="s">
        <v>501</v>
      </c>
      <c r="F635" s="1" t="s">
        <v>523</v>
      </c>
      <c r="G635" s="1" t="s">
        <v>483</v>
      </c>
      <c r="H635" s="1" t="n">
        <v>308</v>
      </c>
      <c r="I635" s="1" t="str">
        <f aca="false">B635&amp;"|"&amp;F635&amp;"|"&amp;G635</f>
        <v>Restaurants|A-B|Good</v>
      </c>
      <c r="J635" s="1" t="s">
        <v>669</v>
      </c>
    </row>
    <row r="636" customFormat="false" ht="12" hidden="false" customHeight="true" outlineLevel="0" collapsed="false">
      <c r="B636" s="1" t="s">
        <v>667</v>
      </c>
      <c r="C636" s="1" t="s">
        <v>668</v>
      </c>
      <c r="D636" s="1" t="s">
        <v>497</v>
      </c>
      <c r="E636" s="1" t="s">
        <v>501</v>
      </c>
      <c r="F636" s="1" t="s">
        <v>523</v>
      </c>
      <c r="G636" s="1" t="s">
        <v>279</v>
      </c>
      <c r="H636" s="1" t="n">
        <v>232</v>
      </c>
      <c r="I636" s="1" t="str">
        <f aca="false">B636&amp;"|"&amp;F636&amp;"|"&amp;G636</f>
        <v>Restaurants|A-B|Average</v>
      </c>
      <c r="J636" s="1" t="s">
        <v>669</v>
      </c>
    </row>
    <row r="637" customFormat="false" ht="12" hidden="false" customHeight="true" outlineLevel="0" collapsed="false">
      <c r="B637" s="1" t="s">
        <v>667</v>
      </c>
      <c r="C637" s="1" t="s">
        <v>668</v>
      </c>
      <c r="D637" s="1" t="s">
        <v>497</v>
      </c>
      <c r="E637" s="1" t="s">
        <v>501</v>
      </c>
      <c r="F637" s="1" t="s">
        <v>463</v>
      </c>
      <c r="G637" s="1" t="s">
        <v>485</v>
      </c>
      <c r="H637" s="1" t="n">
        <v>379</v>
      </c>
      <c r="I637" s="1" t="str">
        <f aca="false">B637&amp;"|"&amp;F637&amp;"|"&amp;G637</f>
        <v>Restaurants|C|Excellent</v>
      </c>
      <c r="J637" s="1" t="s">
        <v>669</v>
      </c>
    </row>
    <row r="638" customFormat="false" ht="12" hidden="false" customHeight="true" outlineLevel="0" collapsed="false">
      <c r="B638" s="1" t="s">
        <v>667</v>
      </c>
      <c r="C638" s="1" t="s">
        <v>668</v>
      </c>
      <c r="D638" s="1" t="s">
        <v>497</v>
      </c>
      <c r="E638" s="1" t="s">
        <v>501</v>
      </c>
      <c r="F638" s="1" t="s">
        <v>463</v>
      </c>
      <c r="G638" s="1" t="s">
        <v>503</v>
      </c>
      <c r="H638" s="1" t="n">
        <v>294</v>
      </c>
      <c r="I638" s="1" t="str">
        <f aca="false">B638&amp;"|"&amp;F638&amp;"|"&amp;G638</f>
        <v>Restaurants|C|Very Good</v>
      </c>
      <c r="J638" s="1" t="s">
        <v>669</v>
      </c>
    </row>
    <row r="639" customFormat="false" ht="12" hidden="false" customHeight="true" outlineLevel="0" collapsed="false">
      <c r="B639" s="1" t="s">
        <v>667</v>
      </c>
      <c r="C639" s="1" t="s">
        <v>668</v>
      </c>
      <c r="D639" s="1" t="s">
        <v>497</v>
      </c>
      <c r="E639" s="1" t="s">
        <v>501</v>
      </c>
      <c r="F639" s="1" t="s">
        <v>463</v>
      </c>
      <c r="G639" s="1" t="s">
        <v>483</v>
      </c>
      <c r="H639" s="1" t="n">
        <v>229</v>
      </c>
      <c r="I639" s="1" t="str">
        <f aca="false">B639&amp;"|"&amp;F639&amp;"|"&amp;G639</f>
        <v>Restaurants|C|Good</v>
      </c>
      <c r="J639" s="1" t="s">
        <v>669</v>
      </c>
    </row>
    <row r="640" customFormat="false" ht="12" hidden="false" customHeight="true" outlineLevel="0" collapsed="false">
      <c r="B640" s="1" t="s">
        <v>667</v>
      </c>
      <c r="C640" s="1" t="s">
        <v>668</v>
      </c>
      <c r="D640" s="1" t="s">
        <v>497</v>
      </c>
      <c r="E640" s="1" t="s">
        <v>501</v>
      </c>
      <c r="F640" s="1" t="s">
        <v>463</v>
      </c>
      <c r="G640" s="1" t="s">
        <v>279</v>
      </c>
      <c r="H640" s="1" t="n">
        <v>178</v>
      </c>
      <c r="I640" s="1" t="str">
        <f aca="false">B640&amp;"|"&amp;F640&amp;"|"&amp;G640</f>
        <v>Restaurants|C|Average</v>
      </c>
      <c r="J640" s="1" t="s">
        <v>669</v>
      </c>
    </row>
    <row r="641" customFormat="false" ht="12" hidden="false" customHeight="true" outlineLevel="0" collapsed="false">
      <c r="B641" s="1" t="s">
        <v>667</v>
      </c>
      <c r="C641" s="1" t="s">
        <v>668</v>
      </c>
      <c r="D641" s="1" t="s">
        <v>497</v>
      </c>
      <c r="E641" s="1" t="s">
        <v>501</v>
      </c>
      <c r="F641" s="1" t="s">
        <v>463</v>
      </c>
      <c r="G641" s="1" t="s">
        <v>480</v>
      </c>
      <c r="H641" s="1" t="n">
        <v>129</v>
      </c>
      <c r="I641" s="1" t="str">
        <f aca="false">B641&amp;"|"&amp;F641&amp;"|"&amp;G641</f>
        <v>Restaurants|C|Low Cost</v>
      </c>
      <c r="J641" s="1" t="s">
        <v>669</v>
      </c>
    </row>
    <row r="642" customFormat="false" ht="12" hidden="false" customHeight="true" outlineLevel="0" collapsed="false">
      <c r="B642" s="1" t="s">
        <v>667</v>
      </c>
      <c r="C642" s="1" t="s">
        <v>668</v>
      </c>
      <c r="D642" s="1" t="s">
        <v>497</v>
      </c>
      <c r="E642" s="1" t="s">
        <v>501</v>
      </c>
      <c r="F642" s="1" t="s">
        <v>468</v>
      </c>
      <c r="G642" s="1" t="s">
        <v>485</v>
      </c>
      <c r="H642" s="1" t="n">
        <v>364</v>
      </c>
      <c r="I642" s="1" t="str">
        <f aca="false">B642&amp;"|"&amp;F642&amp;"|"&amp;G642</f>
        <v>Restaurants|D|Excellent</v>
      </c>
      <c r="J642" s="1" t="s">
        <v>669</v>
      </c>
    </row>
    <row r="643" customFormat="false" ht="12" hidden="false" customHeight="true" outlineLevel="0" collapsed="false">
      <c r="B643" s="1" t="s">
        <v>667</v>
      </c>
      <c r="C643" s="1" t="s">
        <v>668</v>
      </c>
      <c r="D643" s="1" t="s">
        <v>497</v>
      </c>
      <c r="E643" s="1" t="s">
        <v>501</v>
      </c>
      <c r="F643" s="1" t="s">
        <v>468</v>
      </c>
      <c r="G643" s="1" t="s">
        <v>503</v>
      </c>
      <c r="H643" s="1" t="n">
        <v>278</v>
      </c>
      <c r="I643" s="1" t="str">
        <f aca="false">B643&amp;"|"&amp;F643&amp;"|"&amp;G643</f>
        <v>Restaurants|D|Very Good</v>
      </c>
      <c r="J643" s="1" t="s">
        <v>669</v>
      </c>
    </row>
    <row r="644" customFormat="false" ht="12" hidden="false" customHeight="true" outlineLevel="0" collapsed="false">
      <c r="B644" s="1" t="s">
        <v>667</v>
      </c>
      <c r="C644" s="1" t="s">
        <v>668</v>
      </c>
      <c r="D644" s="1" t="s">
        <v>497</v>
      </c>
      <c r="E644" s="1" t="s">
        <v>501</v>
      </c>
      <c r="F644" s="1" t="s">
        <v>468</v>
      </c>
      <c r="G644" s="1" t="s">
        <v>483</v>
      </c>
      <c r="H644" s="1" t="n">
        <v>214</v>
      </c>
      <c r="I644" s="1" t="str">
        <f aca="false">B644&amp;"|"&amp;F644&amp;"|"&amp;G644</f>
        <v>Restaurants|D|Good</v>
      </c>
      <c r="J644" s="1" t="s">
        <v>669</v>
      </c>
    </row>
    <row r="645" customFormat="false" ht="12" hidden="false" customHeight="true" outlineLevel="0" collapsed="false">
      <c r="B645" s="1" t="s">
        <v>667</v>
      </c>
      <c r="C645" s="1" t="s">
        <v>668</v>
      </c>
      <c r="D645" s="1" t="s">
        <v>497</v>
      </c>
      <c r="E645" s="1" t="s">
        <v>501</v>
      </c>
      <c r="F645" s="1" t="s">
        <v>468</v>
      </c>
      <c r="G645" s="1" t="s">
        <v>279</v>
      </c>
      <c r="H645" s="1" t="n">
        <v>165</v>
      </c>
      <c r="I645" s="1" t="str">
        <f aca="false">B645&amp;"|"&amp;F645&amp;"|"&amp;G645</f>
        <v>Restaurants|D|Average</v>
      </c>
      <c r="J645" s="1" t="s">
        <v>669</v>
      </c>
    </row>
    <row r="646" customFormat="false" ht="12" hidden="false" customHeight="true" outlineLevel="0" collapsed="false">
      <c r="B646" s="1" t="s">
        <v>667</v>
      </c>
      <c r="C646" s="1" t="s">
        <v>668</v>
      </c>
      <c r="D646" s="1" t="s">
        <v>497</v>
      </c>
      <c r="E646" s="1" t="s">
        <v>501</v>
      </c>
      <c r="F646" s="1" t="s">
        <v>468</v>
      </c>
      <c r="G646" s="1" t="s">
        <v>480</v>
      </c>
      <c r="H646" s="1" t="n">
        <v>117</v>
      </c>
      <c r="I646" s="1" t="str">
        <f aca="false">B646&amp;"|"&amp;F646&amp;"|"&amp;G646</f>
        <v>Restaurants|D|Low Cost</v>
      </c>
      <c r="J646" s="1" t="s">
        <v>669</v>
      </c>
    </row>
    <row r="647" customFormat="false" ht="12" hidden="false" customHeight="true" outlineLevel="0" collapsed="false">
      <c r="B647" s="1" t="s">
        <v>667</v>
      </c>
      <c r="C647" s="1" t="s">
        <v>668</v>
      </c>
      <c r="D647" s="1" t="s">
        <v>497</v>
      </c>
      <c r="E647" s="1" t="s">
        <v>501</v>
      </c>
      <c r="F647" s="1" t="s">
        <v>566</v>
      </c>
      <c r="G647" s="1" t="s">
        <v>480</v>
      </c>
      <c r="H647" s="1" t="n">
        <v>109</v>
      </c>
      <c r="I647" s="1" t="str">
        <f aca="false">B647&amp;"|"&amp;F647&amp;"|"&amp;G647</f>
        <v>Restaurants|DPOLE|Low Cost</v>
      </c>
      <c r="J647" s="1" t="s">
        <v>669</v>
      </c>
    </row>
    <row r="648" customFormat="false" ht="12" hidden="false" customHeight="true" outlineLevel="0" collapsed="false">
      <c r="B648" s="1" t="s">
        <v>667</v>
      </c>
      <c r="C648" s="1" t="s">
        <v>668</v>
      </c>
      <c r="D648" s="1" t="s">
        <v>497</v>
      </c>
      <c r="E648" s="1" t="s">
        <v>501</v>
      </c>
      <c r="F648" s="1" t="s">
        <v>473</v>
      </c>
      <c r="G648" s="1" t="s">
        <v>483</v>
      </c>
      <c r="H648" s="1" t="n">
        <v>216</v>
      </c>
      <c r="I648" s="1" t="str">
        <f aca="false">B648&amp;"|"&amp;F648&amp;"|"&amp;G648</f>
        <v>Restaurants|S|Good</v>
      </c>
      <c r="J648" s="1" t="s">
        <v>669</v>
      </c>
    </row>
    <row r="649" customFormat="false" ht="12" hidden="false" customHeight="true" outlineLevel="0" collapsed="false">
      <c r="B649" s="1" t="s">
        <v>667</v>
      </c>
      <c r="C649" s="1" t="s">
        <v>668</v>
      </c>
      <c r="D649" s="1" t="s">
        <v>497</v>
      </c>
      <c r="E649" s="1" t="s">
        <v>501</v>
      </c>
      <c r="F649" s="1" t="s">
        <v>473</v>
      </c>
      <c r="G649" s="1" t="s">
        <v>279</v>
      </c>
      <c r="H649" s="1" t="n">
        <v>162</v>
      </c>
      <c r="I649" s="1" t="str">
        <f aca="false">B649&amp;"|"&amp;F649&amp;"|"&amp;G649</f>
        <v>Restaurants|S|Average</v>
      </c>
      <c r="J649" s="1" t="s">
        <v>669</v>
      </c>
    </row>
    <row r="650" customFormat="false" ht="12" hidden="false" customHeight="true" outlineLevel="0" collapsed="false">
      <c r="B650" s="1" t="s">
        <v>667</v>
      </c>
      <c r="C650" s="1" t="s">
        <v>668</v>
      </c>
      <c r="D650" s="1" t="s">
        <v>497</v>
      </c>
      <c r="E650" s="1" t="s">
        <v>501</v>
      </c>
      <c r="F650" s="1" t="s">
        <v>473</v>
      </c>
      <c r="G650" s="1" t="s">
        <v>480</v>
      </c>
      <c r="H650" s="1" t="n">
        <v>112</v>
      </c>
      <c r="I650" s="1" t="str">
        <f aca="false">B650&amp;"|"&amp;F650&amp;"|"&amp;G650</f>
        <v>Restaurants|S|Low Cost</v>
      </c>
      <c r="J650" s="1" t="s">
        <v>669</v>
      </c>
    </row>
    <row r="651" customFormat="false" ht="12" hidden="false" customHeight="true" outlineLevel="0" collapsed="false">
      <c r="B651" s="1" t="s">
        <v>670</v>
      </c>
      <c r="C651" s="1" t="s">
        <v>671</v>
      </c>
      <c r="D651" s="1" t="s">
        <v>497</v>
      </c>
      <c r="E651" s="1" t="s">
        <v>506</v>
      </c>
      <c r="F651" s="1" t="s">
        <v>523</v>
      </c>
      <c r="G651" s="1" t="s">
        <v>483</v>
      </c>
      <c r="H651" s="1" t="n">
        <v>276</v>
      </c>
      <c r="I651" s="1" t="str">
        <f aca="false">B651&amp;"|"&amp;F651&amp;"|"&amp;G651</f>
        <v>Restaurants – Cafeterias|A-B|Good</v>
      </c>
      <c r="J651" s="1" t="s">
        <v>672</v>
      </c>
    </row>
    <row r="652" customFormat="false" ht="12" hidden="false" customHeight="true" outlineLevel="0" collapsed="false">
      <c r="B652" s="1" t="s">
        <v>670</v>
      </c>
      <c r="C652" s="1" t="s">
        <v>671</v>
      </c>
      <c r="D652" s="1" t="s">
        <v>497</v>
      </c>
      <c r="E652" s="1" t="s">
        <v>506</v>
      </c>
      <c r="F652" s="1" t="s">
        <v>523</v>
      </c>
      <c r="G652" s="1" t="s">
        <v>279</v>
      </c>
      <c r="H652" s="1" t="n">
        <v>212</v>
      </c>
      <c r="I652" s="1" t="str">
        <f aca="false">B652&amp;"|"&amp;F652&amp;"|"&amp;G652</f>
        <v>Restaurants – Cafeterias|A-B|Average</v>
      </c>
      <c r="J652" s="1" t="s">
        <v>672</v>
      </c>
    </row>
    <row r="653" customFormat="false" ht="12" hidden="false" customHeight="true" outlineLevel="0" collapsed="false">
      <c r="B653" s="1" t="s">
        <v>670</v>
      </c>
      <c r="C653" s="1" t="s">
        <v>671</v>
      </c>
      <c r="D653" s="1" t="s">
        <v>497</v>
      </c>
      <c r="E653" s="1" t="s">
        <v>506</v>
      </c>
      <c r="F653" s="1" t="s">
        <v>463</v>
      </c>
      <c r="G653" s="1" t="s">
        <v>485</v>
      </c>
      <c r="H653" s="1" t="n">
        <v>318</v>
      </c>
      <c r="I653" s="1" t="str">
        <f aca="false">B653&amp;"|"&amp;F653&amp;"|"&amp;G653</f>
        <v>Restaurants – Cafeterias|C|Excellent</v>
      </c>
      <c r="J653" s="1" t="s">
        <v>672</v>
      </c>
    </row>
    <row r="654" customFormat="false" ht="12" hidden="false" customHeight="true" outlineLevel="0" collapsed="false">
      <c r="B654" s="1" t="s">
        <v>670</v>
      </c>
      <c r="C654" s="1" t="s">
        <v>671</v>
      </c>
      <c r="D654" s="1" t="s">
        <v>497</v>
      </c>
      <c r="E654" s="1" t="s">
        <v>506</v>
      </c>
      <c r="F654" s="1" t="s">
        <v>463</v>
      </c>
      <c r="G654" s="1" t="s">
        <v>483</v>
      </c>
      <c r="H654" s="1" t="n">
        <v>226</v>
      </c>
      <c r="I654" s="1" t="str">
        <f aca="false">B654&amp;"|"&amp;F654&amp;"|"&amp;G654</f>
        <v>Restaurants – Cafeterias|C|Good</v>
      </c>
      <c r="J654" s="1" t="s">
        <v>672</v>
      </c>
    </row>
    <row r="655" customFormat="false" ht="12" hidden="false" customHeight="true" outlineLevel="0" collapsed="false">
      <c r="B655" s="1" t="s">
        <v>670</v>
      </c>
      <c r="C655" s="1" t="s">
        <v>671</v>
      </c>
      <c r="D655" s="1" t="s">
        <v>497</v>
      </c>
      <c r="E655" s="1" t="s">
        <v>506</v>
      </c>
      <c r="F655" s="1" t="s">
        <v>463</v>
      </c>
      <c r="G655" s="1" t="s">
        <v>279</v>
      </c>
      <c r="H655" s="1" t="n">
        <v>165</v>
      </c>
      <c r="I655" s="1" t="str">
        <f aca="false">B655&amp;"|"&amp;F655&amp;"|"&amp;G655</f>
        <v>Restaurants – Cafeterias|C|Average</v>
      </c>
      <c r="J655" s="1" t="s">
        <v>672</v>
      </c>
    </row>
    <row r="656" customFormat="false" ht="12" hidden="false" customHeight="true" outlineLevel="0" collapsed="false">
      <c r="B656" s="1" t="s">
        <v>670</v>
      </c>
      <c r="C656" s="1" t="s">
        <v>671</v>
      </c>
      <c r="D656" s="1" t="s">
        <v>497</v>
      </c>
      <c r="E656" s="1" t="s">
        <v>506</v>
      </c>
      <c r="F656" s="1" t="s">
        <v>463</v>
      </c>
      <c r="G656" s="1" t="s">
        <v>480</v>
      </c>
      <c r="H656" s="1" t="n">
        <v>111</v>
      </c>
      <c r="I656" s="1" t="str">
        <f aca="false">B656&amp;"|"&amp;F656&amp;"|"&amp;G656</f>
        <v>Restaurants – Cafeterias|C|Low Cost</v>
      </c>
      <c r="J656" s="1" t="s">
        <v>672</v>
      </c>
    </row>
    <row r="657" customFormat="false" ht="12" hidden="false" customHeight="true" outlineLevel="0" collapsed="false">
      <c r="B657" s="1" t="s">
        <v>670</v>
      </c>
      <c r="C657" s="1" t="s">
        <v>671</v>
      </c>
      <c r="D657" s="1" t="s">
        <v>497</v>
      </c>
      <c r="E657" s="1" t="s">
        <v>506</v>
      </c>
      <c r="F657" s="1" t="s">
        <v>468</v>
      </c>
      <c r="G657" s="1" t="s">
        <v>485</v>
      </c>
      <c r="H657" s="1" t="n">
        <v>306</v>
      </c>
      <c r="I657" s="1" t="str">
        <f aca="false">B657&amp;"|"&amp;F657&amp;"|"&amp;G657</f>
        <v>Restaurants – Cafeterias|D|Excellent</v>
      </c>
      <c r="J657" s="1" t="s">
        <v>672</v>
      </c>
    </row>
    <row r="658" customFormat="false" ht="12" hidden="false" customHeight="true" outlineLevel="0" collapsed="false">
      <c r="B658" s="1" t="s">
        <v>670</v>
      </c>
      <c r="C658" s="1" t="s">
        <v>671</v>
      </c>
      <c r="D658" s="1" t="s">
        <v>497</v>
      </c>
      <c r="E658" s="1" t="s">
        <v>506</v>
      </c>
      <c r="F658" s="1" t="s">
        <v>468</v>
      </c>
      <c r="G658" s="1" t="s">
        <v>483</v>
      </c>
      <c r="H658" s="1" t="n">
        <v>214</v>
      </c>
      <c r="I658" s="1" t="str">
        <f aca="false">B658&amp;"|"&amp;F658&amp;"|"&amp;G658</f>
        <v>Restaurants – Cafeterias|D|Good</v>
      </c>
      <c r="J658" s="1" t="s">
        <v>672</v>
      </c>
    </row>
    <row r="659" customFormat="false" ht="12" hidden="false" customHeight="true" outlineLevel="0" collapsed="false">
      <c r="B659" s="1" t="s">
        <v>670</v>
      </c>
      <c r="C659" s="1" t="s">
        <v>671</v>
      </c>
      <c r="D659" s="1" t="s">
        <v>497</v>
      </c>
      <c r="E659" s="1" t="s">
        <v>506</v>
      </c>
      <c r="F659" s="1" t="s">
        <v>468</v>
      </c>
      <c r="G659" s="1" t="s">
        <v>279</v>
      </c>
      <c r="H659" s="1" t="n">
        <v>154</v>
      </c>
      <c r="I659" s="1" t="str">
        <f aca="false">B659&amp;"|"&amp;F659&amp;"|"&amp;G659</f>
        <v>Restaurants – Cafeterias|D|Average</v>
      </c>
      <c r="J659" s="1" t="s">
        <v>672</v>
      </c>
    </row>
    <row r="660" customFormat="false" ht="12" hidden="false" customHeight="true" outlineLevel="0" collapsed="false">
      <c r="B660" s="1" t="s">
        <v>670</v>
      </c>
      <c r="C660" s="1" t="s">
        <v>671</v>
      </c>
      <c r="D660" s="1" t="s">
        <v>497</v>
      </c>
      <c r="E660" s="1" t="s">
        <v>506</v>
      </c>
      <c r="F660" s="1" t="s">
        <v>468</v>
      </c>
      <c r="G660" s="1" t="s">
        <v>480</v>
      </c>
      <c r="H660" s="1" t="n">
        <v>101</v>
      </c>
      <c r="I660" s="1" t="str">
        <f aca="false">B660&amp;"|"&amp;F660&amp;"|"&amp;G660</f>
        <v>Restaurants – Cafeterias|D|Low Cost</v>
      </c>
      <c r="J660" s="1" t="s">
        <v>672</v>
      </c>
    </row>
    <row r="661" customFormat="false" ht="12" hidden="false" customHeight="true" outlineLevel="0" collapsed="false">
      <c r="B661" s="1" t="s">
        <v>670</v>
      </c>
      <c r="C661" s="1" t="s">
        <v>671</v>
      </c>
      <c r="D661" s="1" t="s">
        <v>497</v>
      </c>
      <c r="E661" s="1" t="s">
        <v>506</v>
      </c>
      <c r="F661" s="1" t="s">
        <v>566</v>
      </c>
      <c r="G661" s="1" t="s">
        <v>480</v>
      </c>
      <c r="H661" s="1" t="n">
        <v>98</v>
      </c>
      <c r="I661" s="1" t="str">
        <f aca="false">B661&amp;"|"&amp;F661&amp;"|"&amp;G661</f>
        <v>Restaurants – Cafeterias|DPOLE|Low Cost</v>
      </c>
      <c r="J661" s="1" t="s">
        <v>672</v>
      </c>
    </row>
    <row r="662" customFormat="false" ht="12" hidden="false" customHeight="true" outlineLevel="0" collapsed="false">
      <c r="B662" s="1" t="s">
        <v>670</v>
      </c>
      <c r="C662" s="1" t="s">
        <v>671</v>
      </c>
      <c r="D662" s="1" t="s">
        <v>497</v>
      </c>
      <c r="E662" s="1" t="s">
        <v>506</v>
      </c>
      <c r="F662" s="1" t="s">
        <v>473</v>
      </c>
      <c r="G662" s="1" t="s">
        <v>483</v>
      </c>
      <c r="H662" s="1" t="n">
        <v>216</v>
      </c>
      <c r="I662" s="1" t="str">
        <f aca="false">B662&amp;"|"&amp;F662&amp;"|"&amp;G662</f>
        <v>Restaurants – Cafeterias|S|Good</v>
      </c>
      <c r="J662" s="1" t="s">
        <v>672</v>
      </c>
    </row>
    <row r="663" customFormat="false" ht="12" hidden="false" customHeight="true" outlineLevel="0" collapsed="false">
      <c r="B663" s="1" t="s">
        <v>670</v>
      </c>
      <c r="C663" s="1" t="s">
        <v>671</v>
      </c>
      <c r="D663" s="1" t="s">
        <v>497</v>
      </c>
      <c r="E663" s="1" t="s">
        <v>506</v>
      </c>
      <c r="F663" s="1" t="s">
        <v>473</v>
      </c>
      <c r="G663" s="1" t="s">
        <v>279</v>
      </c>
      <c r="H663" s="1" t="n">
        <v>154</v>
      </c>
      <c r="I663" s="1" t="str">
        <f aca="false">B663&amp;"|"&amp;F663&amp;"|"&amp;G663</f>
        <v>Restaurants – Cafeterias|S|Average</v>
      </c>
      <c r="J663" s="1" t="s">
        <v>672</v>
      </c>
    </row>
    <row r="664" customFormat="false" ht="12" hidden="false" customHeight="true" outlineLevel="0" collapsed="false">
      <c r="B664" s="1" t="s">
        <v>670</v>
      </c>
      <c r="C664" s="1" t="s">
        <v>671</v>
      </c>
      <c r="D664" s="1" t="s">
        <v>497</v>
      </c>
      <c r="E664" s="1" t="s">
        <v>506</v>
      </c>
      <c r="F664" s="1" t="s">
        <v>473</v>
      </c>
      <c r="G664" s="1" t="s">
        <v>480</v>
      </c>
      <c r="H664" s="1" t="n">
        <v>101</v>
      </c>
      <c r="I664" s="1" t="str">
        <f aca="false">B664&amp;"|"&amp;F664&amp;"|"&amp;G664</f>
        <v>Restaurants – Cafeterias|S|Low Cost</v>
      </c>
      <c r="J664" s="1" t="s">
        <v>672</v>
      </c>
    </row>
    <row r="665" customFormat="false" ht="12" hidden="false" customHeight="true" outlineLevel="0" collapsed="false">
      <c r="B665" s="1" t="s">
        <v>673</v>
      </c>
      <c r="C665" s="1" t="s">
        <v>674</v>
      </c>
      <c r="D665" s="1" t="s">
        <v>497</v>
      </c>
      <c r="E665" s="1" t="s">
        <v>511</v>
      </c>
      <c r="F665" s="1" t="s">
        <v>463</v>
      </c>
      <c r="G665" s="1" t="s">
        <v>485</v>
      </c>
      <c r="H665" s="1" t="n">
        <v>279</v>
      </c>
      <c r="I665" s="1" t="str">
        <f aca="false">B665&amp;"|"&amp;F665&amp;"|"&amp;G665</f>
        <v>Truck Stop Restaurants|C|Excellent</v>
      </c>
      <c r="J665" s="1" t="s">
        <v>675</v>
      </c>
    </row>
    <row r="666" customFormat="false" ht="12" hidden="false" customHeight="true" outlineLevel="0" collapsed="false">
      <c r="B666" s="1" t="s">
        <v>673</v>
      </c>
      <c r="C666" s="1" t="s">
        <v>674</v>
      </c>
      <c r="D666" s="1" t="s">
        <v>497</v>
      </c>
      <c r="E666" s="1" t="s">
        <v>511</v>
      </c>
      <c r="F666" s="1" t="s">
        <v>463</v>
      </c>
      <c r="G666" s="1" t="s">
        <v>483</v>
      </c>
      <c r="H666" s="1" t="n">
        <v>230</v>
      </c>
      <c r="I666" s="1" t="str">
        <f aca="false">B666&amp;"|"&amp;F666&amp;"|"&amp;G666</f>
        <v>Truck Stop Restaurants|C|Good</v>
      </c>
      <c r="J666" s="1" t="s">
        <v>675</v>
      </c>
    </row>
    <row r="667" customFormat="false" ht="12" hidden="false" customHeight="true" outlineLevel="0" collapsed="false">
      <c r="B667" s="1" t="s">
        <v>673</v>
      </c>
      <c r="C667" s="1" t="s">
        <v>674</v>
      </c>
      <c r="D667" s="1" t="s">
        <v>497</v>
      </c>
      <c r="E667" s="1" t="s">
        <v>511</v>
      </c>
      <c r="F667" s="1" t="s">
        <v>463</v>
      </c>
      <c r="G667" s="1" t="s">
        <v>279</v>
      </c>
      <c r="H667" s="1" t="n">
        <v>189</v>
      </c>
      <c r="I667" s="1" t="str">
        <f aca="false">B667&amp;"|"&amp;F667&amp;"|"&amp;G667</f>
        <v>Truck Stop Restaurants|C|Average</v>
      </c>
      <c r="J667" s="1" t="s">
        <v>675</v>
      </c>
    </row>
    <row r="668" customFormat="false" ht="12" hidden="false" customHeight="true" outlineLevel="0" collapsed="false">
      <c r="B668" s="1" t="s">
        <v>673</v>
      </c>
      <c r="C668" s="1" t="s">
        <v>674</v>
      </c>
      <c r="D668" s="1" t="s">
        <v>497</v>
      </c>
      <c r="E668" s="1" t="s">
        <v>511</v>
      </c>
      <c r="F668" s="1" t="s">
        <v>468</v>
      </c>
      <c r="G668" s="1" t="s">
        <v>485</v>
      </c>
      <c r="H668" s="1" t="n">
        <v>267</v>
      </c>
      <c r="I668" s="1" t="str">
        <f aca="false">B668&amp;"|"&amp;F668&amp;"|"&amp;G668</f>
        <v>Truck Stop Restaurants|D|Excellent</v>
      </c>
      <c r="J668" s="1" t="s">
        <v>675</v>
      </c>
    </row>
    <row r="669" customFormat="false" ht="12" hidden="false" customHeight="true" outlineLevel="0" collapsed="false">
      <c r="B669" s="1" t="s">
        <v>673</v>
      </c>
      <c r="C669" s="1" t="s">
        <v>674</v>
      </c>
      <c r="D669" s="1" t="s">
        <v>497</v>
      </c>
      <c r="E669" s="1" t="s">
        <v>511</v>
      </c>
      <c r="F669" s="1" t="s">
        <v>468</v>
      </c>
      <c r="G669" s="1" t="s">
        <v>483</v>
      </c>
      <c r="H669" s="1" t="n">
        <v>219</v>
      </c>
      <c r="I669" s="1" t="str">
        <f aca="false">B669&amp;"|"&amp;F669&amp;"|"&amp;G669</f>
        <v>Truck Stop Restaurants|D|Good</v>
      </c>
      <c r="J669" s="1" t="s">
        <v>675</v>
      </c>
    </row>
    <row r="670" customFormat="false" ht="12" hidden="false" customHeight="true" outlineLevel="0" collapsed="false">
      <c r="B670" s="1" t="s">
        <v>673</v>
      </c>
      <c r="C670" s="1" t="s">
        <v>674</v>
      </c>
      <c r="D670" s="1" t="s">
        <v>497</v>
      </c>
      <c r="E670" s="1" t="s">
        <v>511</v>
      </c>
      <c r="F670" s="1" t="s">
        <v>468</v>
      </c>
      <c r="G670" s="1" t="s">
        <v>279</v>
      </c>
      <c r="H670" s="1" t="n">
        <v>179</v>
      </c>
      <c r="I670" s="1" t="str">
        <f aca="false">B670&amp;"|"&amp;F670&amp;"|"&amp;G670</f>
        <v>Truck Stop Restaurants|D|Average</v>
      </c>
      <c r="J670" s="1" t="s">
        <v>675</v>
      </c>
    </row>
    <row r="671" customFormat="false" ht="12" hidden="false" customHeight="true" outlineLevel="0" collapsed="false">
      <c r="B671" s="1" t="s">
        <v>673</v>
      </c>
      <c r="C671" s="1" t="s">
        <v>674</v>
      </c>
      <c r="D671" s="1" t="s">
        <v>497</v>
      </c>
      <c r="E671" s="1" t="s">
        <v>511</v>
      </c>
      <c r="F671" s="1" t="s">
        <v>473</v>
      </c>
      <c r="G671" s="1" t="s">
        <v>483</v>
      </c>
      <c r="H671" s="1" t="n">
        <v>221</v>
      </c>
      <c r="I671" s="1" t="str">
        <f aca="false">B671&amp;"|"&amp;F671&amp;"|"&amp;G671</f>
        <v>Truck Stop Restaurants|S|Good</v>
      </c>
      <c r="J671" s="1" t="s">
        <v>675</v>
      </c>
    </row>
    <row r="672" customFormat="false" ht="12" hidden="false" customHeight="true" outlineLevel="0" collapsed="false">
      <c r="B672" s="1" t="s">
        <v>673</v>
      </c>
      <c r="C672" s="1" t="s">
        <v>674</v>
      </c>
      <c r="D672" s="1" t="s">
        <v>497</v>
      </c>
      <c r="E672" s="1" t="s">
        <v>511</v>
      </c>
      <c r="F672" s="1" t="s">
        <v>473</v>
      </c>
      <c r="G672" s="1" t="s">
        <v>279</v>
      </c>
      <c r="H672" s="1" t="n">
        <v>180</v>
      </c>
      <c r="I672" s="1" t="str">
        <f aca="false">B672&amp;"|"&amp;F672&amp;"|"&amp;G672</f>
        <v>Truck Stop Restaurants|S|Average</v>
      </c>
      <c r="J672" s="1" t="s">
        <v>675</v>
      </c>
    </row>
    <row r="673" customFormat="false" ht="12" hidden="false" customHeight="true" outlineLevel="0" collapsed="false">
      <c r="B673" s="1" t="s">
        <v>676</v>
      </c>
      <c r="C673" s="1" t="s">
        <v>677</v>
      </c>
      <c r="D673" s="1" t="s">
        <v>497</v>
      </c>
      <c r="E673" s="1" t="s">
        <v>511</v>
      </c>
      <c r="F673" s="1" t="s">
        <v>463</v>
      </c>
      <c r="G673" s="1" t="s">
        <v>483</v>
      </c>
      <c r="H673" s="1" t="n">
        <v>193</v>
      </c>
      <c r="I673" s="1" t="str">
        <f aca="false">B673&amp;"|"&amp;F673&amp;"|"&amp;G673</f>
        <v>Dining Atriums/Play Rooms|C|Good</v>
      </c>
      <c r="J673" s="1" t="s">
        <v>675</v>
      </c>
    </row>
    <row r="674" customFormat="false" ht="12" hidden="false" customHeight="true" outlineLevel="0" collapsed="false">
      <c r="B674" s="1" t="s">
        <v>676</v>
      </c>
      <c r="C674" s="1" t="s">
        <v>677</v>
      </c>
      <c r="D674" s="1" t="s">
        <v>497</v>
      </c>
      <c r="E674" s="1" t="s">
        <v>511</v>
      </c>
      <c r="F674" s="1" t="s">
        <v>463</v>
      </c>
      <c r="G674" s="1" t="s">
        <v>279</v>
      </c>
      <c r="H674" s="1" t="n">
        <v>118</v>
      </c>
      <c r="I674" s="1" t="str">
        <f aca="false">B674&amp;"|"&amp;F674&amp;"|"&amp;G674</f>
        <v>Dining Atriums/Play Rooms|C|Average</v>
      </c>
      <c r="J674" s="1" t="s">
        <v>675</v>
      </c>
    </row>
    <row r="675" customFormat="false" ht="12" hidden="false" customHeight="true" outlineLevel="0" collapsed="false">
      <c r="B675" s="1" t="s">
        <v>676</v>
      </c>
      <c r="C675" s="1" t="s">
        <v>677</v>
      </c>
      <c r="D675" s="1" t="s">
        <v>497</v>
      </c>
      <c r="E675" s="1" t="s">
        <v>511</v>
      </c>
      <c r="F675" s="1" t="s">
        <v>463</v>
      </c>
      <c r="G675" s="1" t="s">
        <v>480</v>
      </c>
      <c r="H675" s="1" t="n">
        <v>73</v>
      </c>
      <c r="I675" s="1" t="str">
        <f aca="false">B675&amp;"|"&amp;F675&amp;"|"&amp;G675</f>
        <v>Dining Atriums/Play Rooms|C|Low Cost</v>
      </c>
      <c r="J675" s="1" t="s">
        <v>675</v>
      </c>
    </row>
    <row r="676" customFormat="false" ht="12" hidden="false" customHeight="true" outlineLevel="0" collapsed="false">
      <c r="B676" s="1" t="s">
        <v>676</v>
      </c>
      <c r="C676" s="1" t="s">
        <v>677</v>
      </c>
      <c r="D676" s="1" t="s">
        <v>497</v>
      </c>
      <c r="E676" s="1" t="s">
        <v>511</v>
      </c>
      <c r="F676" s="1" t="s">
        <v>468</v>
      </c>
      <c r="G676" s="1" t="s">
        <v>483</v>
      </c>
      <c r="H676" s="1" t="n">
        <v>177</v>
      </c>
      <c r="I676" s="1" t="str">
        <f aca="false">B676&amp;"|"&amp;F676&amp;"|"&amp;G676</f>
        <v>Dining Atriums/Play Rooms|D|Good</v>
      </c>
      <c r="J676" s="1" t="s">
        <v>675</v>
      </c>
    </row>
    <row r="677" customFormat="false" ht="12" hidden="false" customHeight="true" outlineLevel="0" collapsed="false">
      <c r="B677" s="1" t="s">
        <v>676</v>
      </c>
      <c r="C677" s="1" t="s">
        <v>677</v>
      </c>
      <c r="D677" s="1" t="s">
        <v>497</v>
      </c>
      <c r="E677" s="1" t="s">
        <v>511</v>
      </c>
      <c r="F677" s="1" t="s">
        <v>468</v>
      </c>
      <c r="G677" s="1" t="s">
        <v>279</v>
      </c>
      <c r="H677" s="1" t="n">
        <v>104</v>
      </c>
      <c r="I677" s="1" t="str">
        <f aca="false">B677&amp;"|"&amp;F677&amp;"|"&amp;G677</f>
        <v>Dining Atriums/Play Rooms|D|Average</v>
      </c>
      <c r="J677" s="1" t="s">
        <v>675</v>
      </c>
    </row>
    <row r="678" customFormat="false" ht="12" hidden="false" customHeight="true" outlineLevel="0" collapsed="false">
      <c r="B678" s="1" t="s">
        <v>676</v>
      </c>
      <c r="C678" s="1" t="s">
        <v>677</v>
      </c>
      <c r="D678" s="1" t="s">
        <v>497</v>
      </c>
      <c r="E678" s="1" t="s">
        <v>511</v>
      </c>
      <c r="F678" s="1" t="s">
        <v>468</v>
      </c>
      <c r="G678" s="1" t="s">
        <v>480</v>
      </c>
      <c r="H678" s="1" t="n">
        <v>61.5</v>
      </c>
      <c r="I678" s="1" t="str">
        <f aca="false">B678&amp;"|"&amp;F678&amp;"|"&amp;G678</f>
        <v>Dining Atriums/Play Rooms|D|Low Cost</v>
      </c>
      <c r="J678" s="1" t="s">
        <v>675</v>
      </c>
    </row>
    <row r="679" customFormat="false" ht="12" hidden="false" customHeight="true" outlineLevel="0" collapsed="false">
      <c r="B679" s="1" t="s">
        <v>676</v>
      </c>
      <c r="C679" s="1" t="s">
        <v>677</v>
      </c>
      <c r="D679" s="1" t="s">
        <v>497</v>
      </c>
      <c r="E679" s="1" t="s">
        <v>511</v>
      </c>
      <c r="F679" s="1" t="s">
        <v>473</v>
      </c>
      <c r="G679" s="1" t="s">
        <v>485</v>
      </c>
      <c r="H679" s="1" t="n">
        <v>305</v>
      </c>
      <c r="I679" s="1" t="str">
        <f aca="false">B679&amp;"|"&amp;F679&amp;"|"&amp;G679</f>
        <v>Dining Atriums/Play Rooms|S|Excellent</v>
      </c>
      <c r="J679" s="1" t="s">
        <v>675</v>
      </c>
    </row>
    <row r="680" customFormat="false" ht="12" hidden="false" customHeight="true" outlineLevel="0" collapsed="false">
      <c r="B680" s="1" t="s">
        <v>676</v>
      </c>
      <c r="C680" s="1" t="s">
        <v>677</v>
      </c>
      <c r="D680" s="1" t="s">
        <v>497</v>
      </c>
      <c r="E680" s="1" t="s">
        <v>511</v>
      </c>
      <c r="F680" s="1" t="s">
        <v>473</v>
      </c>
      <c r="G680" s="1" t="s">
        <v>503</v>
      </c>
      <c r="H680" s="1" t="n">
        <v>229</v>
      </c>
      <c r="I680" s="1" t="str">
        <f aca="false">B680&amp;"|"&amp;F680&amp;"|"&amp;G680</f>
        <v>Dining Atriums/Play Rooms|S|Very Good</v>
      </c>
      <c r="J680" s="1" t="s">
        <v>675</v>
      </c>
    </row>
    <row r="681" customFormat="false" ht="12" hidden="false" customHeight="true" outlineLevel="0" collapsed="false">
      <c r="B681" s="1" t="s">
        <v>676</v>
      </c>
      <c r="C681" s="1" t="s">
        <v>677</v>
      </c>
      <c r="D681" s="1" t="s">
        <v>497</v>
      </c>
      <c r="E681" s="1" t="s">
        <v>511</v>
      </c>
      <c r="F681" s="1" t="s">
        <v>473</v>
      </c>
      <c r="G681" s="1" t="s">
        <v>483</v>
      </c>
      <c r="H681" s="1" t="n">
        <v>172</v>
      </c>
      <c r="I681" s="1" t="str">
        <f aca="false">B681&amp;"|"&amp;F681&amp;"|"&amp;G681</f>
        <v>Dining Atriums/Play Rooms|S|Good</v>
      </c>
      <c r="J681" s="1" t="s">
        <v>675</v>
      </c>
    </row>
    <row r="682" customFormat="false" ht="12" hidden="false" customHeight="true" outlineLevel="0" collapsed="false">
      <c r="B682" s="1" t="s">
        <v>676</v>
      </c>
      <c r="C682" s="1" t="s">
        <v>677</v>
      </c>
      <c r="D682" s="1" t="s">
        <v>497</v>
      </c>
      <c r="E682" s="1" t="s">
        <v>511</v>
      </c>
      <c r="F682" s="1" t="s">
        <v>473</v>
      </c>
      <c r="G682" s="1" t="s">
        <v>279</v>
      </c>
      <c r="H682" s="1" t="n">
        <v>98</v>
      </c>
      <c r="I682" s="1" t="str">
        <f aca="false">B682&amp;"|"&amp;F682&amp;"|"&amp;G682</f>
        <v>Dining Atriums/Play Rooms|S|Average</v>
      </c>
      <c r="J682" s="1" t="s">
        <v>675</v>
      </c>
    </row>
    <row r="683" customFormat="false" ht="12" hidden="false" customHeight="true" outlineLevel="0" collapsed="false">
      <c r="B683" s="1" t="s">
        <v>676</v>
      </c>
      <c r="C683" s="1" t="s">
        <v>677</v>
      </c>
      <c r="D683" s="1" t="s">
        <v>497</v>
      </c>
      <c r="E683" s="1" t="s">
        <v>511</v>
      </c>
      <c r="F683" s="1" t="s">
        <v>473</v>
      </c>
      <c r="G683" s="1" t="s">
        <v>480</v>
      </c>
      <c r="H683" s="1" t="n">
        <v>55.5</v>
      </c>
      <c r="I683" s="1" t="str">
        <f aca="false">B683&amp;"|"&amp;F683&amp;"|"&amp;G683</f>
        <v>Dining Atriums/Play Rooms|S|Low Cost</v>
      </c>
      <c r="J683" s="1" t="s">
        <v>675</v>
      </c>
    </row>
    <row r="684" customFormat="false" ht="12" hidden="false" customHeight="true" outlineLevel="0" collapsed="false">
      <c r="B684" s="1" t="s">
        <v>676</v>
      </c>
      <c r="C684" s="1" t="s">
        <v>677</v>
      </c>
      <c r="D684" s="1" t="s">
        <v>497</v>
      </c>
      <c r="E684" s="1" t="s">
        <v>511</v>
      </c>
      <c r="F684" s="1" t="s">
        <v>473</v>
      </c>
      <c r="G684" s="1" t="s">
        <v>567</v>
      </c>
      <c r="H684" s="1" t="n">
        <v>31.5</v>
      </c>
      <c r="I684" s="1" t="str">
        <f aca="false">B684&amp;"|"&amp;F684&amp;"|"&amp;G684</f>
        <v>Dining Atriums/Play Rooms|S|Cheap</v>
      </c>
      <c r="J684" s="1" t="s">
        <v>675</v>
      </c>
    </row>
    <row r="685" customFormat="false" ht="12" hidden="false" customHeight="true" outlineLevel="0" collapsed="false">
      <c r="B685" s="1" t="s">
        <v>678</v>
      </c>
      <c r="C685" s="1" t="s">
        <v>679</v>
      </c>
      <c r="D685" s="1" t="s">
        <v>497</v>
      </c>
      <c r="E685" s="1" t="s">
        <v>513</v>
      </c>
      <c r="F685" s="1" t="s">
        <v>523</v>
      </c>
      <c r="G685" s="1" t="s">
        <v>483</v>
      </c>
      <c r="H685" s="1" t="n">
        <v>340</v>
      </c>
      <c r="I685" s="1" t="str">
        <f aca="false">B685&amp;"|"&amp;F685&amp;"|"&amp;G685</f>
        <v>Restaurants – Fast Food|A-B|Good</v>
      </c>
      <c r="J685" s="1" t="s">
        <v>680</v>
      </c>
    </row>
    <row r="686" customFormat="false" ht="12" hidden="false" customHeight="true" outlineLevel="0" collapsed="false">
      <c r="B686" s="1" t="s">
        <v>678</v>
      </c>
      <c r="C686" s="1" t="s">
        <v>679</v>
      </c>
      <c r="D686" s="1" t="s">
        <v>497</v>
      </c>
      <c r="E686" s="1" t="s">
        <v>513</v>
      </c>
      <c r="F686" s="1" t="s">
        <v>523</v>
      </c>
      <c r="G686" s="1" t="s">
        <v>279</v>
      </c>
      <c r="H686" s="1" t="n">
        <v>257</v>
      </c>
      <c r="I686" s="1" t="str">
        <f aca="false">B686&amp;"|"&amp;F686&amp;"|"&amp;G686</f>
        <v>Restaurants – Fast Food|A-B|Average</v>
      </c>
      <c r="J686" s="1" t="s">
        <v>680</v>
      </c>
    </row>
    <row r="687" customFormat="false" ht="12" hidden="false" customHeight="true" outlineLevel="0" collapsed="false">
      <c r="B687" s="1" t="s">
        <v>678</v>
      </c>
      <c r="C687" s="1" t="s">
        <v>679</v>
      </c>
      <c r="D687" s="1" t="s">
        <v>497</v>
      </c>
      <c r="E687" s="1" t="s">
        <v>513</v>
      </c>
      <c r="F687" s="1" t="s">
        <v>463</v>
      </c>
      <c r="G687" s="1" t="s">
        <v>485</v>
      </c>
      <c r="H687" s="1" t="n">
        <v>416</v>
      </c>
      <c r="I687" s="1" t="str">
        <f aca="false">B687&amp;"|"&amp;F687&amp;"|"&amp;G687</f>
        <v>Restaurants – Fast Food|C|Excellent</v>
      </c>
      <c r="J687" s="1" t="s">
        <v>680</v>
      </c>
    </row>
    <row r="688" customFormat="false" ht="12" hidden="false" customHeight="true" outlineLevel="0" collapsed="false">
      <c r="B688" s="1" t="s">
        <v>678</v>
      </c>
      <c r="C688" s="1" t="s">
        <v>679</v>
      </c>
      <c r="D688" s="1" t="s">
        <v>497</v>
      </c>
      <c r="E688" s="1" t="s">
        <v>513</v>
      </c>
      <c r="F688" s="1" t="s">
        <v>463</v>
      </c>
      <c r="G688" s="1" t="s">
        <v>503</v>
      </c>
      <c r="H688" s="1" t="n">
        <v>319</v>
      </c>
      <c r="I688" s="1" t="str">
        <f aca="false">B688&amp;"|"&amp;F688&amp;"|"&amp;G688</f>
        <v>Restaurants – Fast Food|C|Very Good</v>
      </c>
      <c r="J688" s="1" t="s">
        <v>680</v>
      </c>
    </row>
    <row r="689" customFormat="false" ht="12" hidden="false" customHeight="true" outlineLevel="0" collapsed="false">
      <c r="B689" s="1" t="s">
        <v>678</v>
      </c>
      <c r="C689" s="1" t="s">
        <v>679</v>
      </c>
      <c r="D689" s="1" t="s">
        <v>497</v>
      </c>
      <c r="E689" s="1" t="s">
        <v>513</v>
      </c>
      <c r="F689" s="1" t="s">
        <v>463</v>
      </c>
      <c r="G689" s="1" t="s">
        <v>483</v>
      </c>
      <c r="H689" s="1" t="n">
        <v>246</v>
      </c>
      <c r="I689" s="1" t="str">
        <f aca="false">B689&amp;"|"&amp;F689&amp;"|"&amp;G689</f>
        <v>Restaurants – Fast Food|C|Good</v>
      </c>
      <c r="J689" s="1" t="s">
        <v>680</v>
      </c>
    </row>
    <row r="690" customFormat="false" ht="12" hidden="false" customHeight="true" outlineLevel="0" collapsed="false">
      <c r="B690" s="1" t="s">
        <v>678</v>
      </c>
      <c r="C690" s="1" t="s">
        <v>679</v>
      </c>
      <c r="D690" s="1" t="s">
        <v>497</v>
      </c>
      <c r="E690" s="1" t="s">
        <v>513</v>
      </c>
      <c r="F690" s="1" t="s">
        <v>463</v>
      </c>
      <c r="G690" s="1" t="s">
        <v>279</v>
      </c>
      <c r="H690" s="1" t="n">
        <v>191</v>
      </c>
      <c r="I690" s="1" t="str">
        <f aca="false">B690&amp;"|"&amp;F690&amp;"|"&amp;G690</f>
        <v>Restaurants – Fast Food|C|Average</v>
      </c>
      <c r="J690" s="1" t="s">
        <v>680</v>
      </c>
    </row>
    <row r="691" customFormat="false" ht="12" hidden="false" customHeight="true" outlineLevel="0" collapsed="false">
      <c r="B691" s="1" t="s">
        <v>678</v>
      </c>
      <c r="C691" s="1" t="s">
        <v>679</v>
      </c>
      <c r="D691" s="1" t="s">
        <v>497</v>
      </c>
      <c r="E691" s="1" t="s">
        <v>513</v>
      </c>
      <c r="F691" s="1" t="s">
        <v>463</v>
      </c>
      <c r="G691" s="1" t="s">
        <v>480</v>
      </c>
      <c r="H691" s="1" t="n">
        <v>138</v>
      </c>
      <c r="I691" s="1" t="str">
        <f aca="false">B691&amp;"|"&amp;F691&amp;"|"&amp;G691</f>
        <v>Restaurants – Fast Food|C|Low Cost</v>
      </c>
      <c r="J691" s="1" t="s">
        <v>680</v>
      </c>
    </row>
    <row r="692" customFormat="false" ht="12" hidden="false" customHeight="true" outlineLevel="0" collapsed="false">
      <c r="B692" s="1" t="s">
        <v>678</v>
      </c>
      <c r="C692" s="1" t="s">
        <v>679</v>
      </c>
      <c r="D692" s="1" t="s">
        <v>497</v>
      </c>
      <c r="E692" s="1" t="s">
        <v>513</v>
      </c>
      <c r="F692" s="1" t="s">
        <v>468</v>
      </c>
      <c r="G692" s="1" t="s">
        <v>485</v>
      </c>
      <c r="H692" s="1" t="n">
        <v>399</v>
      </c>
      <c r="I692" s="1" t="str">
        <f aca="false">B692&amp;"|"&amp;F692&amp;"|"&amp;G692</f>
        <v>Restaurants – Fast Food|D|Excellent</v>
      </c>
      <c r="J692" s="1" t="s">
        <v>680</v>
      </c>
    </row>
    <row r="693" customFormat="false" ht="12" hidden="false" customHeight="true" outlineLevel="0" collapsed="false">
      <c r="B693" s="1" t="s">
        <v>678</v>
      </c>
      <c r="C693" s="1" t="s">
        <v>679</v>
      </c>
      <c r="D693" s="1" t="s">
        <v>497</v>
      </c>
      <c r="E693" s="1" t="s">
        <v>513</v>
      </c>
      <c r="F693" s="1" t="s">
        <v>468</v>
      </c>
      <c r="G693" s="1" t="s">
        <v>503</v>
      </c>
      <c r="H693" s="1" t="n">
        <v>302</v>
      </c>
      <c r="I693" s="1" t="str">
        <f aca="false">B693&amp;"|"&amp;F693&amp;"|"&amp;G693</f>
        <v>Restaurants – Fast Food|D|Very Good</v>
      </c>
      <c r="J693" s="1" t="s">
        <v>680</v>
      </c>
    </row>
    <row r="694" customFormat="false" ht="12" hidden="false" customHeight="true" outlineLevel="0" collapsed="false">
      <c r="B694" s="1" t="s">
        <v>678</v>
      </c>
      <c r="C694" s="1" t="s">
        <v>679</v>
      </c>
      <c r="D694" s="1" t="s">
        <v>497</v>
      </c>
      <c r="E694" s="1" t="s">
        <v>513</v>
      </c>
      <c r="F694" s="1" t="s">
        <v>468</v>
      </c>
      <c r="G694" s="1" t="s">
        <v>483</v>
      </c>
      <c r="H694" s="1" t="n">
        <v>230</v>
      </c>
      <c r="I694" s="1" t="str">
        <f aca="false">B694&amp;"|"&amp;F694&amp;"|"&amp;G694</f>
        <v>Restaurants – Fast Food|D|Good</v>
      </c>
      <c r="J694" s="1" t="s">
        <v>680</v>
      </c>
    </row>
    <row r="695" customFormat="false" ht="12" hidden="false" customHeight="true" outlineLevel="0" collapsed="false">
      <c r="B695" s="1" t="s">
        <v>678</v>
      </c>
      <c r="C695" s="1" t="s">
        <v>679</v>
      </c>
      <c r="D695" s="1" t="s">
        <v>497</v>
      </c>
      <c r="E695" s="1" t="s">
        <v>513</v>
      </c>
      <c r="F695" s="1" t="s">
        <v>468</v>
      </c>
      <c r="G695" s="1" t="s">
        <v>279</v>
      </c>
      <c r="H695" s="1" t="n">
        <v>176</v>
      </c>
      <c r="I695" s="1" t="str">
        <f aca="false">B695&amp;"|"&amp;F695&amp;"|"&amp;G695</f>
        <v>Restaurants – Fast Food|D|Average</v>
      </c>
      <c r="J695" s="1" t="s">
        <v>680</v>
      </c>
    </row>
    <row r="696" customFormat="false" ht="12" hidden="false" customHeight="true" outlineLevel="0" collapsed="false">
      <c r="B696" s="1" t="s">
        <v>678</v>
      </c>
      <c r="C696" s="1" t="s">
        <v>679</v>
      </c>
      <c r="D696" s="1" t="s">
        <v>497</v>
      </c>
      <c r="E696" s="1" t="s">
        <v>513</v>
      </c>
      <c r="F696" s="1" t="s">
        <v>468</v>
      </c>
      <c r="G696" s="1" t="s">
        <v>480</v>
      </c>
      <c r="H696" s="1" t="n">
        <v>125</v>
      </c>
      <c r="I696" s="1" t="str">
        <f aca="false">B696&amp;"|"&amp;F696&amp;"|"&amp;G696</f>
        <v>Restaurants – Fast Food|D|Low Cost</v>
      </c>
      <c r="J696" s="1" t="s">
        <v>680</v>
      </c>
    </row>
    <row r="697" customFormat="false" ht="12" hidden="false" customHeight="true" outlineLevel="0" collapsed="false">
      <c r="B697" s="1" t="s">
        <v>678</v>
      </c>
      <c r="C697" s="1" t="s">
        <v>679</v>
      </c>
      <c r="D697" s="1" t="s">
        <v>497</v>
      </c>
      <c r="E697" s="1" t="s">
        <v>513</v>
      </c>
      <c r="F697" s="1" t="s">
        <v>473</v>
      </c>
      <c r="G697" s="1" t="s">
        <v>485</v>
      </c>
      <c r="H697" s="1" t="n">
        <v>321</v>
      </c>
      <c r="I697" s="1" t="str">
        <f aca="false">B697&amp;"|"&amp;F697&amp;"|"&amp;G697</f>
        <v>Restaurants – Fast Food|S|Excellent</v>
      </c>
      <c r="J697" s="1" t="s">
        <v>680</v>
      </c>
    </row>
    <row r="698" customFormat="false" ht="12" hidden="false" customHeight="true" outlineLevel="0" collapsed="false">
      <c r="B698" s="1" t="s">
        <v>678</v>
      </c>
      <c r="C698" s="1" t="s">
        <v>679</v>
      </c>
      <c r="D698" s="1" t="s">
        <v>497</v>
      </c>
      <c r="E698" s="1" t="s">
        <v>513</v>
      </c>
      <c r="F698" s="1" t="s">
        <v>473</v>
      </c>
      <c r="G698" s="1" t="s">
        <v>483</v>
      </c>
      <c r="H698" s="1" t="n">
        <v>233</v>
      </c>
      <c r="I698" s="1" t="str">
        <f aca="false">B698&amp;"|"&amp;F698&amp;"|"&amp;G698</f>
        <v>Restaurants – Fast Food|S|Good</v>
      </c>
      <c r="J698" s="1" t="s">
        <v>680</v>
      </c>
    </row>
    <row r="699" customFormat="false" ht="12" hidden="false" customHeight="true" outlineLevel="0" collapsed="false">
      <c r="B699" s="1" t="s">
        <v>678</v>
      </c>
      <c r="C699" s="1" t="s">
        <v>679</v>
      </c>
      <c r="D699" s="1" t="s">
        <v>497</v>
      </c>
      <c r="E699" s="1" t="s">
        <v>513</v>
      </c>
      <c r="F699" s="1" t="s">
        <v>473</v>
      </c>
      <c r="G699" s="1" t="s">
        <v>279</v>
      </c>
      <c r="H699" s="1" t="n">
        <v>174</v>
      </c>
      <c r="I699" s="1" t="str">
        <f aca="false">B699&amp;"|"&amp;F699&amp;"|"&amp;G699</f>
        <v>Restaurants – Fast Food|S|Average</v>
      </c>
      <c r="J699" s="1" t="s">
        <v>680</v>
      </c>
    </row>
    <row r="700" customFormat="false" ht="12" hidden="false" customHeight="true" outlineLevel="0" collapsed="false">
      <c r="B700" s="1" t="s">
        <v>678</v>
      </c>
      <c r="C700" s="1" t="s">
        <v>679</v>
      </c>
      <c r="D700" s="1" t="s">
        <v>497</v>
      </c>
      <c r="E700" s="1" t="s">
        <v>513</v>
      </c>
      <c r="F700" s="1" t="s">
        <v>473</v>
      </c>
      <c r="G700" s="1" t="s">
        <v>480</v>
      </c>
      <c r="H700" s="1" t="n">
        <v>121</v>
      </c>
      <c r="I700" s="1" t="str">
        <f aca="false">B700&amp;"|"&amp;F700&amp;"|"&amp;G700</f>
        <v>Restaurants – Fast Food|S|Low Cost</v>
      </c>
      <c r="J700" s="1" t="s">
        <v>680</v>
      </c>
    </row>
    <row r="701" customFormat="false" ht="12" hidden="false" customHeight="true" outlineLevel="0" collapsed="false">
      <c r="B701" s="1" t="s">
        <v>681</v>
      </c>
      <c r="C701" s="1" t="s">
        <v>682</v>
      </c>
      <c r="D701" s="1" t="s">
        <v>497</v>
      </c>
      <c r="E701" s="1" t="s">
        <v>517</v>
      </c>
      <c r="F701" s="1" t="s">
        <v>463</v>
      </c>
      <c r="G701" s="1" t="s">
        <v>485</v>
      </c>
      <c r="H701" s="1" t="n">
        <v>258</v>
      </c>
      <c r="I701" s="1" t="str">
        <f aca="false">B701&amp;"|"&amp;F701&amp;"|"&amp;G701</f>
        <v>Snack Bars|C|Excellent</v>
      </c>
      <c r="J701" s="1" t="s">
        <v>683</v>
      </c>
    </row>
    <row r="702" customFormat="false" ht="12" hidden="false" customHeight="true" outlineLevel="0" collapsed="false">
      <c r="B702" s="1" t="s">
        <v>681</v>
      </c>
      <c r="C702" s="1" t="s">
        <v>682</v>
      </c>
      <c r="D702" s="1" t="s">
        <v>497</v>
      </c>
      <c r="E702" s="1" t="s">
        <v>517</v>
      </c>
      <c r="F702" s="1" t="s">
        <v>463</v>
      </c>
      <c r="G702" s="1" t="s">
        <v>483</v>
      </c>
      <c r="H702" s="1" t="n">
        <v>171</v>
      </c>
      <c r="I702" s="1" t="str">
        <f aca="false">B702&amp;"|"&amp;F702&amp;"|"&amp;G702</f>
        <v>Snack Bars|C|Good</v>
      </c>
      <c r="J702" s="1" t="s">
        <v>683</v>
      </c>
    </row>
    <row r="703" customFormat="false" ht="12" hidden="false" customHeight="true" outlineLevel="0" collapsed="false">
      <c r="B703" s="1" t="s">
        <v>681</v>
      </c>
      <c r="C703" s="1" t="s">
        <v>682</v>
      </c>
      <c r="D703" s="1" t="s">
        <v>497</v>
      </c>
      <c r="E703" s="1" t="s">
        <v>517</v>
      </c>
      <c r="F703" s="1" t="s">
        <v>463</v>
      </c>
      <c r="G703" s="1" t="s">
        <v>279</v>
      </c>
      <c r="H703" s="1" t="n">
        <v>114</v>
      </c>
      <c r="I703" s="1" t="str">
        <f aca="false">B703&amp;"|"&amp;F703&amp;"|"&amp;G703</f>
        <v>Snack Bars|C|Average</v>
      </c>
      <c r="J703" s="1" t="s">
        <v>683</v>
      </c>
    </row>
    <row r="704" customFormat="false" ht="12" hidden="false" customHeight="true" outlineLevel="0" collapsed="false">
      <c r="B704" s="1" t="s">
        <v>681</v>
      </c>
      <c r="C704" s="1" t="s">
        <v>682</v>
      </c>
      <c r="D704" s="1" t="s">
        <v>497</v>
      </c>
      <c r="E704" s="1" t="s">
        <v>517</v>
      </c>
      <c r="F704" s="1" t="s">
        <v>463</v>
      </c>
      <c r="G704" s="1" t="s">
        <v>480</v>
      </c>
      <c r="H704" s="1" t="n">
        <v>74</v>
      </c>
      <c r="I704" s="1" t="str">
        <f aca="false">B704&amp;"|"&amp;F704&amp;"|"&amp;G704</f>
        <v>Snack Bars|C|Low Cost</v>
      </c>
      <c r="J704" s="1" t="s">
        <v>683</v>
      </c>
    </row>
    <row r="705" customFormat="false" ht="12" hidden="false" customHeight="true" outlineLevel="0" collapsed="false">
      <c r="B705" s="1" t="s">
        <v>681</v>
      </c>
      <c r="C705" s="1" t="s">
        <v>682</v>
      </c>
      <c r="D705" s="1" t="s">
        <v>497</v>
      </c>
      <c r="E705" s="1" t="s">
        <v>517</v>
      </c>
      <c r="F705" s="1" t="s">
        <v>463</v>
      </c>
      <c r="G705" s="1" t="s">
        <v>567</v>
      </c>
      <c r="H705" s="1" t="n">
        <v>60</v>
      </c>
      <c r="I705" s="1" t="str">
        <f aca="false">B705&amp;"|"&amp;F705&amp;"|"&amp;G705</f>
        <v>Snack Bars|C|Cheap</v>
      </c>
      <c r="J705" s="1" t="s">
        <v>683</v>
      </c>
    </row>
    <row r="706" customFormat="false" ht="12" hidden="false" customHeight="true" outlineLevel="0" collapsed="false">
      <c r="B706" s="1" t="s">
        <v>681</v>
      </c>
      <c r="C706" s="1" t="s">
        <v>682</v>
      </c>
      <c r="D706" s="1" t="s">
        <v>497</v>
      </c>
      <c r="E706" s="1" t="s">
        <v>517</v>
      </c>
      <c r="F706" s="1" t="s">
        <v>468</v>
      </c>
      <c r="G706" s="1" t="s">
        <v>485</v>
      </c>
      <c r="H706" s="1" t="n">
        <v>249</v>
      </c>
      <c r="I706" s="1" t="str">
        <f aca="false">B706&amp;"|"&amp;F706&amp;"|"&amp;G706</f>
        <v>Snack Bars|D|Excellent</v>
      </c>
      <c r="J706" s="1" t="s">
        <v>683</v>
      </c>
    </row>
    <row r="707" customFormat="false" ht="12" hidden="false" customHeight="true" outlineLevel="0" collapsed="false">
      <c r="B707" s="1" t="s">
        <v>681</v>
      </c>
      <c r="C707" s="1" t="s">
        <v>682</v>
      </c>
      <c r="D707" s="1" t="s">
        <v>497</v>
      </c>
      <c r="E707" s="1" t="s">
        <v>517</v>
      </c>
      <c r="F707" s="1" t="s">
        <v>468</v>
      </c>
      <c r="G707" s="1" t="s">
        <v>483</v>
      </c>
      <c r="H707" s="1" t="n">
        <v>159</v>
      </c>
      <c r="I707" s="1" t="str">
        <f aca="false">B707&amp;"|"&amp;F707&amp;"|"&amp;G707</f>
        <v>Snack Bars|D|Good</v>
      </c>
      <c r="J707" s="1" t="s">
        <v>683</v>
      </c>
    </row>
    <row r="708" customFormat="false" ht="12" hidden="false" customHeight="true" outlineLevel="0" collapsed="false">
      <c r="B708" s="1" t="s">
        <v>681</v>
      </c>
      <c r="C708" s="1" t="s">
        <v>682</v>
      </c>
      <c r="D708" s="1" t="s">
        <v>497</v>
      </c>
      <c r="E708" s="1" t="s">
        <v>517</v>
      </c>
      <c r="F708" s="1" t="s">
        <v>468</v>
      </c>
      <c r="G708" s="1" t="s">
        <v>279</v>
      </c>
      <c r="H708" s="1" t="n">
        <v>103</v>
      </c>
      <c r="I708" s="1" t="str">
        <f aca="false">B708&amp;"|"&amp;F708&amp;"|"&amp;G708</f>
        <v>Snack Bars|D|Average</v>
      </c>
      <c r="J708" s="1" t="s">
        <v>683</v>
      </c>
    </row>
    <row r="709" customFormat="false" ht="12" hidden="false" customHeight="true" outlineLevel="0" collapsed="false">
      <c r="B709" s="1" t="s">
        <v>681</v>
      </c>
      <c r="C709" s="1" t="s">
        <v>682</v>
      </c>
      <c r="D709" s="1" t="s">
        <v>497</v>
      </c>
      <c r="E709" s="1" t="s">
        <v>517</v>
      </c>
      <c r="F709" s="1" t="s">
        <v>468</v>
      </c>
      <c r="G709" s="1" t="s">
        <v>480</v>
      </c>
      <c r="H709" s="1" t="n">
        <v>64</v>
      </c>
      <c r="I709" s="1" t="str">
        <f aca="false">B709&amp;"|"&amp;F709&amp;"|"&amp;G709</f>
        <v>Snack Bars|D|Low Cost</v>
      </c>
      <c r="J709" s="1" t="s">
        <v>683</v>
      </c>
    </row>
    <row r="710" customFormat="false" ht="12" hidden="false" customHeight="true" outlineLevel="0" collapsed="false">
      <c r="B710" s="1" t="s">
        <v>681</v>
      </c>
      <c r="C710" s="1" t="s">
        <v>682</v>
      </c>
      <c r="D710" s="1" t="s">
        <v>497</v>
      </c>
      <c r="E710" s="1" t="s">
        <v>517</v>
      </c>
      <c r="F710" s="1" t="s">
        <v>468</v>
      </c>
      <c r="G710" s="1" t="s">
        <v>567</v>
      </c>
      <c r="H710" s="1" t="n">
        <v>46</v>
      </c>
      <c r="I710" s="1" t="str">
        <f aca="false">B710&amp;"|"&amp;F710&amp;"|"&amp;G710</f>
        <v>Snack Bars|D|Cheap</v>
      </c>
      <c r="J710" s="1" t="s">
        <v>683</v>
      </c>
    </row>
    <row r="711" customFormat="false" ht="12" hidden="false" customHeight="true" outlineLevel="0" collapsed="false">
      <c r="B711" s="1" t="s">
        <v>681</v>
      </c>
      <c r="C711" s="1" t="s">
        <v>682</v>
      </c>
      <c r="D711" s="1" t="s">
        <v>497</v>
      </c>
      <c r="E711" s="1" t="s">
        <v>517</v>
      </c>
      <c r="F711" s="1" t="s">
        <v>566</v>
      </c>
      <c r="G711" s="1" t="s">
        <v>279</v>
      </c>
      <c r="H711" s="1" t="n">
        <v>96</v>
      </c>
      <c r="I711" s="1" t="str">
        <f aca="false">B711&amp;"|"&amp;F711&amp;"|"&amp;G711</f>
        <v>Snack Bars|DPOLE|Average</v>
      </c>
      <c r="J711" s="1" t="s">
        <v>683</v>
      </c>
    </row>
    <row r="712" customFormat="false" ht="12" hidden="false" customHeight="true" outlineLevel="0" collapsed="false">
      <c r="B712" s="1" t="s">
        <v>681</v>
      </c>
      <c r="C712" s="1" t="s">
        <v>682</v>
      </c>
      <c r="D712" s="1" t="s">
        <v>497</v>
      </c>
      <c r="E712" s="1" t="s">
        <v>517</v>
      </c>
      <c r="F712" s="1" t="s">
        <v>566</v>
      </c>
      <c r="G712" s="1" t="s">
        <v>480</v>
      </c>
      <c r="H712" s="1" t="n">
        <v>58.5</v>
      </c>
      <c r="I712" s="1" t="str">
        <f aca="false">B712&amp;"|"&amp;F712&amp;"|"&amp;G712</f>
        <v>Snack Bars|DPOLE|Low Cost</v>
      </c>
      <c r="J712" s="1" t="s">
        <v>683</v>
      </c>
    </row>
    <row r="713" customFormat="false" ht="12" hidden="false" customHeight="true" outlineLevel="0" collapsed="false">
      <c r="B713" s="1" t="s">
        <v>681</v>
      </c>
      <c r="C713" s="1" t="s">
        <v>682</v>
      </c>
      <c r="D713" s="1" t="s">
        <v>497</v>
      </c>
      <c r="E713" s="1" t="s">
        <v>517</v>
      </c>
      <c r="F713" s="1" t="s">
        <v>566</v>
      </c>
      <c r="G713" s="1" t="s">
        <v>567</v>
      </c>
      <c r="H713" s="1" t="n">
        <v>46.25</v>
      </c>
      <c r="I713" s="1" t="str">
        <f aca="false">B713&amp;"|"&amp;F713&amp;"|"&amp;G713</f>
        <v>Snack Bars|DPOLE|Cheap</v>
      </c>
      <c r="J713" s="1" t="s">
        <v>683</v>
      </c>
    </row>
    <row r="714" customFormat="false" ht="12" hidden="false" customHeight="true" outlineLevel="0" collapsed="false">
      <c r="B714" s="1" t="s">
        <v>681</v>
      </c>
      <c r="C714" s="1" t="s">
        <v>682</v>
      </c>
      <c r="D714" s="1" t="s">
        <v>497</v>
      </c>
      <c r="E714" s="1" t="s">
        <v>517</v>
      </c>
      <c r="F714" s="1" t="s">
        <v>473</v>
      </c>
      <c r="G714" s="1" t="s">
        <v>279</v>
      </c>
      <c r="H714" s="1" t="n">
        <v>101</v>
      </c>
      <c r="I714" s="1" t="str">
        <f aca="false">B714&amp;"|"&amp;F714&amp;"|"&amp;G714</f>
        <v>Snack Bars|S|Average</v>
      </c>
      <c r="J714" s="1" t="s">
        <v>683</v>
      </c>
    </row>
    <row r="715" customFormat="false" ht="12" hidden="false" customHeight="true" outlineLevel="0" collapsed="false">
      <c r="B715" s="1" t="s">
        <v>681</v>
      </c>
      <c r="C715" s="1" t="s">
        <v>682</v>
      </c>
      <c r="D715" s="1" t="s">
        <v>497</v>
      </c>
      <c r="E715" s="1" t="s">
        <v>517</v>
      </c>
      <c r="F715" s="1" t="s">
        <v>473</v>
      </c>
      <c r="G715" s="1" t="s">
        <v>480</v>
      </c>
      <c r="H715" s="1" t="n">
        <v>62.5</v>
      </c>
      <c r="I715" s="1" t="str">
        <f aca="false">B715&amp;"|"&amp;F715&amp;"|"&amp;G715</f>
        <v>Snack Bars|S|Low Cost</v>
      </c>
      <c r="J715" s="1" t="s">
        <v>683</v>
      </c>
    </row>
    <row r="716" customFormat="false" ht="12" hidden="false" customHeight="true" outlineLevel="0" collapsed="false">
      <c r="B716" s="1" t="s">
        <v>681</v>
      </c>
      <c r="C716" s="1" t="s">
        <v>682</v>
      </c>
      <c r="D716" s="1" t="s">
        <v>497</v>
      </c>
      <c r="E716" s="1" t="s">
        <v>517</v>
      </c>
      <c r="F716" s="1" t="s">
        <v>473</v>
      </c>
      <c r="G716" s="1" t="s">
        <v>567</v>
      </c>
      <c r="H716" s="1" t="n">
        <v>49.5</v>
      </c>
      <c r="I716" s="1" t="str">
        <f aca="false">B716&amp;"|"&amp;F716&amp;"|"&amp;G716</f>
        <v>Snack Bars|S|Cheap</v>
      </c>
      <c r="J716" s="1" t="s">
        <v>683</v>
      </c>
    </row>
    <row r="717" customFormat="false" ht="12" hidden="false" customHeight="true" outlineLevel="0" collapsed="false">
      <c r="B717" s="1" t="s">
        <v>684</v>
      </c>
      <c r="C717" s="1" t="s">
        <v>685</v>
      </c>
      <c r="D717" s="1" t="s">
        <v>497</v>
      </c>
      <c r="E717" s="1" t="s">
        <v>522</v>
      </c>
      <c r="F717" s="1" t="s">
        <v>463</v>
      </c>
      <c r="G717" s="1" t="s">
        <v>485</v>
      </c>
      <c r="H717" s="1" t="n">
        <v>290</v>
      </c>
      <c r="I717" s="1" t="str">
        <f aca="false">B717&amp;"|"&amp;F717&amp;"|"&amp;G717</f>
        <v>Banquet Halls|C|Excellent</v>
      </c>
      <c r="J717" s="1" t="s">
        <v>686</v>
      </c>
    </row>
    <row r="718" customFormat="false" ht="12" hidden="false" customHeight="true" outlineLevel="0" collapsed="false">
      <c r="B718" s="1" t="s">
        <v>684</v>
      </c>
      <c r="C718" s="1" t="s">
        <v>685</v>
      </c>
      <c r="D718" s="1" t="s">
        <v>497</v>
      </c>
      <c r="E718" s="1" t="s">
        <v>522</v>
      </c>
      <c r="F718" s="1" t="s">
        <v>463</v>
      </c>
      <c r="G718" s="1" t="s">
        <v>483</v>
      </c>
      <c r="H718" s="1" t="n">
        <v>209</v>
      </c>
      <c r="I718" s="1" t="str">
        <f aca="false">B718&amp;"|"&amp;F718&amp;"|"&amp;G718</f>
        <v>Banquet Halls|C|Good</v>
      </c>
      <c r="J718" s="1" t="s">
        <v>686</v>
      </c>
    </row>
    <row r="719" customFormat="false" ht="12" hidden="false" customHeight="true" outlineLevel="0" collapsed="false">
      <c r="B719" s="1" t="s">
        <v>684</v>
      </c>
      <c r="C719" s="1" t="s">
        <v>685</v>
      </c>
      <c r="D719" s="1" t="s">
        <v>497</v>
      </c>
      <c r="E719" s="1" t="s">
        <v>522</v>
      </c>
      <c r="F719" s="1" t="s">
        <v>463</v>
      </c>
      <c r="G719" s="1" t="s">
        <v>279</v>
      </c>
      <c r="H719" s="1" t="n">
        <v>151</v>
      </c>
      <c r="I719" s="1" t="str">
        <f aca="false">B719&amp;"|"&amp;F719&amp;"|"&amp;G719</f>
        <v>Banquet Halls|C|Average</v>
      </c>
      <c r="J719" s="1" t="s">
        <v>686</v>
      </c>
    </row>
    <row r="720" customFormat="false" ht="12" hidden="false" customHeight="true" outlineLevel="0" collapsed="false">
      <c r="B720" s="1" t="s">
        <v>684</v>
      </c>
      <c r="C720" s="1" t="s">
        <v>685</v>
      </c>
      <c r="D720" s="1" t="s">
        <v>497</v>
      </c>
      <c r="E720" s="1" t="s">
        <v>522</v>
      </c>
      <c r="F720" s="1" t="s">
        <v>463</v>
      </c>
      <c r="G720" s="1" t="s">
        <v>480</v>
      </c>
      <c r="H720" s="1" t="n">
        <v>106</v>
      </c>
      <c r="I720" s="1" t="str">
        <f aca="false">B720&amp;"|"&amp;F720&amp;"|"&amp;G720</f>
        <v>Banquet Halls|C|Low Cost</v>
      </c>
      <c r="J720" s="1" t="s">
        <v>686</v>
      </c>
    </row>
    <row r="721" customFormat="false" ht="12" hidden="false" customHeight="true" outlineLevel="0" collapsed="false">
      <c r="B721" s="1" t="s">
        <v>684</v>
      </c>
      <c r="C721" s="1" t="s">
        <v>685</v>
      </c>
      <c r="D721" s="1" t="s">
        <v>497</v>
      </c>
      <c r="E721" s="1" t="s">
        <v>522</v>
      </c>
      <c r="F721" s="1" t="s">
        <v>468</v>
      </c>
      <c r="G721" s="1" t="s">
        <v>485</v>
      </c>
      <c r="H721" s="1" t="n">
        <v>277</v>
      </c>
      <c r="I721" s="1" t="str">
        <f aca="false">B721&amp;"|"&amp;F721&amp;"|"&amp;G721</f>
        <v>Banquet Halls|D|Excellent</v>
      </c>
      <c r="J721" s="1" t="s">
        <v>686</v>
      </c>
    </row>
    <row r="722" customFormat="false" ht="12" hidden="false" customHeight="true" outlineLevel="0" collapsed="false">
      <c r="B722" s="1" t="s">
        <v>684</v>
      </c>
      <c r="C722" s="1" t="s">
        <v>685</v>
      </c>
      <c r="D722" s="1" t="s">
        <v>497</v>
      </c>
      <c r="E722" s="1" t="s">
        <v>522</v>
      </c>
      <c r="F722" s="1" t="s">
        <v>468</v>
      </c>
      <c r="G722" s="1" t="s">
        <v>483</v>
      </c>
      <c r="H722" s="1" t="n">
        <v>197</v>
      </c>
      <c r="I722" s="1" t="str">
        <f aca="false">B722&amp;"|"&amp;F722&amp;"|"&amp;G722</f>
        <v>Banquet Halls|D|Good</v>
      </c>
      <c r="J722" s="1" t="s">
        <v>686</v>
      </c>
    </row>
    <row r="723" customFormat="false" ht="12" hidden="false" customHeight="true" outlineLevel="0" collapsed="false">
      <c r="B723" s="1" t="s">
        <v>684</v>
      </c>
      <c r="C723" s="1" t="s">
        <v>685</v>
      </c>
      <c r="D723" s="1" t="s">
        <v>497</v>
      </c>
      <c r="E723" s="1" t="s">
        <v>522</v>
      </c>
      <c r="F723" s="1" t="s">
        <v>468</v>
      </c>
      <c r="G723" s="1" t="s">
        <v>279</v>
      </c>
      <c r="H723" s="1" t="n">
        <v>141</v>
      </c>
      <c r="I723" s="1" t="str">
        <f aca="false">B723&amp;"|"&amp;F723&amp;"|"&amp;G723</f>
        <v>Banquet Halls|D|Average</v>
      </c>
      <c r="J723" s="1" t="s">
        <v>686</v>
      </c>
    </row>
    <row r="724" customFormat="false" ht="12" hidden="false" customHeight="true" outlineLevel="0" collapsed="false">
      <c r="B724" s="1" t="s">
        <v>684</v>
      </c>
      <c r="C724" s="1" t="s">
        <v>685</v>
      </c>
      <c r="D724" s="1" t="s">
        <v>497</v>
      </c>
      <c r="E724" s="1" t="s">
        <v>522</v>
      </c>
      <c r="F724" s="1" t="s">
        <v>468</v>
      </c>
      <c r="G724" s="1" t="s">
        <v>480</v>
      </c>
      <c r="H724" s="1" t="n">
        <v>97.5</v>
      </c>
      <c r="I724" s="1" t="str">
        <f aca="false">B724&amp;"|"&amp;F724&amp;"|"&amp;G724</f>
        <v>Banquet Halls|D|Low Cost</v>
      </c>
      <c r="J724" s="1" t="s">
        <v>686</v>
      </c>
    </row>
    <row r="725" customFormat="false" ht="12" hidden="false" customHeight="true" outlineLevel="0" collapsed="false">
      <c r="B725" s="1" t="s">
        <v>684</v>
      </c>
      <c r="C725" s="1" t="s">
        <v>685</v>
      </c>
      <c r="D725" s="1" t="s">
        <v>497</v>
      </c>
      <c r="E725" s="1" t="s">
        <v>522</v>
      </c>
      <c r="F725" s="1" t="s">
        <v>566</v>
      </c>
      <c r="G725" s="1" t="s">
        <v>480</v>
      </c>
      <c r="H725" s="1" t="n">
        <v>91.5</v>
      </c>
      <c r="I725" s="1" t="str">
        <f aca="false">B725&amp;"|"&amp;F725&amp;"|"&amp;G725</f>
        <v>Banquet Halls|DPOLE|Low Cost</v>
      </c>
      <c r="J725" s="1" t="s">
        <v>686</v>
      </c>
    </row>
    <row r="726" customFormat="false" ht="12" hidden="false" customHeight="true" outlineLevel="0" collapsed="false">
      <c r="B726" s="1" t="s">
        <v>684</v>
      </c>
      <c r="C726" s="1" t="s">
        <v>685</v>
      </c>
      <c r="D726" s="1" t="s">
        <v>497</v>
      </c>
      <c r="E726" s="1" t="s">
        <v>522</v>
      </c>
      <c r="F726" s="1" t="s">
        <v>473</v>
      </c>
      <c r="G726" s="1" t="s">
        <v>483</v>
      </c>
      <c r="H726" s="1" t="n">
        <v>193</v>
      </c>
      <c r="I726" s="1" t="str">
        <f aca="false">B726&amp;"|"&amp;F726&amp;"|"&amp;G726</f>
        <v>Banquet Halls|S|Good</v>
      </c>
      <c r="J726" s="1" t="s">
        <v>686</v>
      </c>
    </row>
    <row r="727" customFormat="false" ht="12" hidden="false" customHeight="true" outlineLevel="0" collapsed="false">
      <c r="B727" s="1" t="s">
        <v>684</v>
      </c>
      <c r="C727" s="1" t="s">
        <v>685</v>
      </c>
      <c r="D727" s="1" t="s">
        <v>497</v>
      </c>
      <c r="E727" s="1" t="s">
        <v>522</v>
      </c>
      <c r="F727" s="1" t="s">
        <v>473</v>
      </c>
      <c r="G727" s="1" t="s">
        <v>279</v>
      </c>
      <c r="H727" s="1" t="n">
        <v>138</v>
      </c>
      <c r="I727" s="1" t="str">
        <f aca="false">B727&amp;"|"&amp;F727&amp;"|"&amp;G727</f>
        <v>Banquet Halls|S|Average</v>
      </c>
      <c r="J727" s="1" t="s">
        <v>686</v>
      </c>
    </row>
    <row r="728" customFormat="false" ht="12" hidden="false" customHeight="true" outlineLevel="0" collapsed="false">
      <c r="B728" s="1" t="s">
        <v>684</v>
      </c>
      <c r="C728" s="1" t="s">
        <v>685</v>
      </c>
      <c r="D728" s="1" t="s">
        <v>497</v>
      </c>
      <c r="E728" s="1" t="s">
        <v>522</v>
      </c>
      <c r="F728" s="1" t="s">
        <v>473</v>
      </c>
      <c r="G728" s="1" t="s">
        <v>480</v>
      </c>
      <c r="H728" s="1" t="n">
        <v>94.5</v>
      </c>
      <c r="I728" s="1" t="str">
        <f aca="false">B728&amp;"|"&amp;F728&amp;"|"&amp;G728</f>
        <v>Banquet Halls|S|Low Cost</v>
      </c>
      <c r="J728" s="1" t="s">
        <v>686</v>
      </c>
    </row>
    <row r="729" customFormat="false" ht="12" hidden="false" customHeight="true" outlineLevel="0" collapsed="false">
      <c r="B729" s="1" t="s">
        <v>687</v>
      </c>
      <c r="C729" s="1" t="s">
        <v>688</v>
      </c>
      <c r="D729" s="1" t="s">
        <v>497</v>
      </c>
      <c r="E729" s="1" t="s">
        <v>522</v>
      </c>
      <c r="F729" s="1" t="s">
        <v>473</v>
      </c>
      <c r="G729" s="1" t="s">
        <v>485</v>
      </c>
      <c r="H729" s="1" t="n">
        <v>350</v>
      </c>
      <c r="I729" s="1" t="str">
        <f aca="false">B729&amp;"|"&amp;F729&amp;"|"&amp;G729</f>
        <v>Modular Restaurants – Diners|S|Excellent</v>
      </c>
      <c r="J729" s="1" t="s">
        <v>686</v>
      </c>
    </row>
    <row r="730" customFormat="false" ht="12" hidden="false" customHeight="true" outlineLevel="0" collapsed="false">
      <c r="B730" s="1" t="s">
        <v>687</v>
      </c>
      <c r="C730" s="1" t="s">
        <v>688</v>
      </c>
      <c r="D730" s="1" t="s">
        <v>497</v>
      </c>
      <c r="E730" s="1" t="s">
        <v>522</v>
      </c>
      <c r="F730" s="1" t="s">
        <v>473</v>
      </c>
      <c r="G730" s="1" t="s">
        <v>483</v>
      </c>
      <c r="H730" s="1" t="n">
        <v>329</v>
      </c>
      <c r="I730" s="1" t="str">
        <f aca="false">B730&amp;"|"&amp;F730&amp;"|"&amp;G730</f>
        <v>Modular Restaurants – Diners|S|Good</v>
      </c>
      <c r="J730" s="1" t="s">
        <v>686</v>
      </c>
    </row>
    <row r="731" customFormat="false" ht="12" hidden="false" customHeight="true" outlineLevel="0" collapsed="false">
      <c r="B731" s="1" t="s">
        <v>687</v>
      </c>
      <c r="C731" s="1" t="s">
        <v>688</v>
      </c>
      <c r="D731" s="1" t="s">
        <v>497</v>
      </c>
      <c r="E731" s="1" t="s">
        <v>522</v>
      </c>
      <c r="F731" s="1" t="s">
        <v>473</v>
      </c>
      <c r="G731" s="1" t="s">
        <v>279</v>
      </c>
      <c r="H731" s="1" t="n">
        <v>309</v>
      </c>
      <c r="I731" s="1" t="str">
        <f aca="false">B731&amp;"|"&amp;F731&amp;"|"&amp;G731</f>
        <v>Modular Restaurants – Diners|S|Average</v>
      </c>
      <c r="J731" s="1" t="s">
        <v>686</v>
      </c>
    </row>
    <row r="732" customFormat="false" ht="12" hidden="false" customHeight="true" outlineLevel="0" collapsed="false">
      <c r="B732" s="1" t="s">
        <v>687</v>
      </c>
      <c r="C732" s="1" t="s">
        <v>688</v>
      </c>
      <c r="D732" s="1" t="s">
        <v>497</v>
      </c>
      <c r="E732" s="1" t="s">
        <v>522</v>
      </c>
      <c r="F732" s="1" t="s">
        <v>473</v>
      </c>
      <c r="G732" s="1" t="s">
        <v>480</v>
      </c>
      <c r="H732" s="1" t="n">
        <v>291</v>
      </c>
      <c r="I732" s="1" t="str">
        <f aca="false">B732&amp;"|"&amp;F732&amp;"|"&amp;G732</f>
        <v>Modular Restaurants – Diners|S|Low Cost</v>
      </c>
      <c r="J732" s="1" t="s">
        <v>686</v>
      </c>
    </row>
    <row r="733" customFormat="false" ht="12" hidden="false" customHeight="true" outlineLevel="0" collapsed="false">
      <c r="B733" s="1" t="s">
        <v>689</v>
      </c>
      <c r="C733" s="1" t="s">
        <v>690</v>
      </c>
      <c r="D733" s="1" t="s">
        <v>497</v>
      </c>
      <c r="E733" s="1" t="s">
        <v>527</v>
      </c>
      <c r="F733" s="1" t="s">
        <v>523</v>
      </c>
      <c r="G733" s="1" t="s">
        <v>483</v>
      </c>
      <c r="H733" s="1" t="n">
        <v>176</v>
      </c>
      <c r="I733" s="1" t="str">
        <f aca="false">B733&amp;"|"&amp;F733&amp;"|"&amp;G733</f>
        <v>Supermarkets|A-B|Good</v>
      </c>
      <c r="J733" s="1" t="s">
        <v>691</v>
      </c>
    </row>
    <row r="734" customFormat="false" ht="12" hidden="false" customHeight="true" outlineLevel="0" collapsed="false">
      <c r="B734" s="1" t="s">
        <v>689</v>
      </c>
      <c r="C734" s="1" t="s">
        <v>690</v>
      </c>
      <c r="D734" s="1" t="s">
        <v>497</v>
      </c>
      <c r="E734" s="1" t="s">
        <v>527</v>
      </c>
      <c r="F734" s="1" t="s">
        <v>523</v>
      </c>
      <c r="G734" s="1" t="s">
        <v>279</v>
      </c>
      <c r="H734" s="1" t="n">
        <v>153</v>
      </c>
      <c r="I734" s="1" t="str">
        <f aca="false">B734&amp;"|"&amp;F734&amp;"|"&amp;G734</f>
        <v>Supermarkets|A-B|Average</v>
      </c>
      <c r="J734" s="1" t="s">
        <v>691</v>
      </c>
    </row>
    <row r="735" customFormat="false" ht="12" hidden="false" customHeight="true" outlineLevel="0" collapsed="false">
      <c r="B735" s="1" t="s">
        <v>689</v>
      </c>
      <c r="C735" s="1" t="s">
        <v>690</v>
      </c>
      <c r="D735" s="1" t="s">
        <v>497</v>
      </c>
      <c r="E735" s="1" t="s">
        <v>527</v>
      </c>
      <c r="F735" s="1" t="s">
        <v>463</v>
      </c>
      <c r="G735" s="1" t="s">
        <v>485</v>
      </c>
      <c r="H735" s="1" t="n">
        <v>177</v>
      </c>
      <c r="I735" s="1" t="str">
        <f aca="false">B735&amp;"|"&amp;F735&amp;"|"&amp;G735</f>
        <v>Supermarkets|C|Excellent</v>
      </c>
      <c r="J735" s="1" t="s">
        <v>691</v>
      </c>
    </row>
    <row r="736" customFormat="false" ht="12" hidden="false" customHeight="true" outlineLevel="0" collapsed="false">
      <c r="B736" s="1" t="s">
        <v>689</v>
      </c>
      <c r="C736" s="1" t="s">
        <v>690</v>
      </c>
      <c r="D736" s="1" t="s">
        <v>497</v>
      </c>
      <c r="E736" s="1" t="s">
        <v>527</v>
      </c>
      <c r="F736" s="1" t="s">
        <v>463</v>
      </c>
      <c r="G736" s="1" t="s">
        <v>483</v>
      </c>
      <c r="H736" s="1" t="n">
        <v>149</v>
      </c>
      <c r="I736" s="1" t="str">
        <f aca="false">B736&amp;"|"&amp;F736&amp;"|"&amp;G736</f>
        <v>Supermarkets|C|Good</v>
      </c>
      <c r="J736" s="1" t="s">
        <v>691</v>
      </c>
    </row>
    <row r="737" customFormat="false" ht="12" hidden="false" customHeight="true" outlineLevel="0" collapsed="false">
      <c r="B737" s="1" t="s">
        <v>689</v>
      </c>
      <c r="C737" s="1" t="s">
        <v>690</v>
      </c>
      <c r="D737" s="1" t="s">
        <v>497</v>
      </c>
      <c r="E737" s="1" t="s">
        <v>527</v>
      </c>
      <c r="F737" s="1" t="s">
        <v>463</v>
      </c>
      <c r="G737" s="1" t="s">
        <v>279</v>
      </c>
      <c r="H737" s="1" t="n">
        <v>121</v>
      </c>
      <c r="I737" s="1" t="str">
        <f aca="false">B737&amp;"|"&amp;F737&amp;"|"&amp;G737</f>
        <v>Supermarkets|C|Average</v>
      </c>
      <c r="J737" s="1" t="s">
        <v>691</v>
      </c>
    </row>
    <row r="738" customFormat="false" ht="12" hidden="false" customHeight="true" outlineLevel="0" collapsed="false">
      <c r="B738" s="1" t="s">
        <v>689</v>
      </c>
      <c r="C738" s="1" t="s">
        <v>690</v>
      </c>
      <c r="D738" s="1" t="s">
        <v>497</v>
      </c>
      <c r="E738" s="1" t="s">
        <v>527</v>
      </c>
      <c r="F738" s="1" t="s">
        <v>463</v>
      </c>
      <c r="G738" s="1" t="s">
        <v>480</v>
      </c>
      <c r="H738" s="1" t="n">
        <v>102</v>
      </c>
      <c r="I738" s="1" t="str">
        <f aca="false">B738&amp;"|"&amp;F738&amp;"|"&amp;G738</f>
        <v>Supermarkets|C|Low Cost</v>
      </c>
      <c r="J738" s="1" t="s">
        <v>691</v>
      </c>
    </row>
    <row r="739" customFormat="false" ht="12" hidden="false" customHeight="true" outlineLevel="0" collapsed="false">
      <c r="B739" s="1" t="s">
        <v>689</v>
      </c>
      <c r="C739" s="1" t="s">
        <v>690</v>
      </c>
      <c r="D739" s="1" t="s">
        <v>497</v>
      </c>
      <c r="E739" s="1" t="s">
        <v>527</v>
      </c>
      <c r="F739" s="1" t="s">
        <v>468</v>
      </c>
      <c r="G739" s="1" t="s">
        <v>485</v>
      </c>
      <c r="H739" s="1" t="n">
        <v>166</v>
      </c>
      <c r="I739" s="1" t="str">
        <f aca="false">B739&amp;"|"&amp;F739&amp;"|"&amp;G739</f>
        <v>Supermarkets|D|Excellent</v>
      </c>
      <c r="J739" s="1" t="s">
        <v>691</v>
      </c>
    </row>
    <row r="740" customFormat="false" ht="12" hidden="false" customHeight="true" outlineLevel="0" collapsed="false">
      <c r="B740" s="1" t="s">
        <v>689</v>
      </c>
      <c r="C740" s="1" t="s">
        <v>690</v>
      </c>
      <c r="D740" s="1" t="s">
        <v>497</v>
      </c>
      <c r="E740" s="1" t="s">
        <v>527</v>
      </c>
      <c r="F740" s="1" t="s">
        <v>468</v>
      </c>
      <c r="G740" s="1" t="s">
        <v>483</v>
      </c>
      <c r="H740" s="1" t="n">
        <v>139</v>
      </c>
      <c r="I740" s="1" t="str">
        <f aca="false">B740&amp;"|"&amp;F740&amp;"|"&amp;G740</f>
        <v>Supermarkets|D|Good</v>
      </c>
      <c r="J740" s="1" t="s">
        <v>691</v>
      </c>
    </row>
    <row r="741" customFormat="false" ht="12" hidden="false" customHeight="true" outlineLevel="0" collapsed="false">
      <c r="B741" s="1" t="s">
        <v>689</v>
      </c>
      <c r="C741" s="1" t="s">
        <v>690</v>
      </c>
      <c r="D741" s="1" t="s">
        <v>497</v>
      </c>
      <c r="E741" s="1" t="s">
        <v>527</v>
      </c>
      <c r="F741" s="1" t="s">
        <v>468</v>
      </c>
      <c r="G741" s="1" t="s">
        <v>279</v>
      </c>
      <c r="H741" s="1" t="n">
        <v>113</v>
      </c>
      <c r="I741" s="1" t="str">
        <f aca="false">B741&amp;"|"&amp;F741&amp;"|"&amp;G741</f>
        <v>Supermarkets|D|Average</v>
      </c>
      <c r="J741" s="1" t="s">
        <v>691</v>
      </c>
    </row>
    <row r="742" customFormat="false" ht="12" hidden="false" customHeight="true" outlineLevel="0" collapsed="false">
      <c r="B742" s="1" t="s">
        <v>689</v>
      </c>
      <c r="C742" s="1" t="s">
        <v>690</v>
      </c>
      <c r="D742" s="1" t="s">
        <v>497</v>
      </c>
      <c r="E742" s="1" t="s">
        <v>527</v>
      </c>
      <c r="F742" s="1" t="s">
        <v>473</v>
      </c>
      <c r="G742" s="1" t="s">
        <v>483</v>
      </c>
      <c r="H742" s="1" t="n">
        <v>139</v>
      </c>
      <c r="I742" s="1" t="str">
        <f aca="false">B742&amp;"|"&amp;F742&amp;"|"&amp;G742</f>
        <v>Supermarkets|S|Good</v>
      </c>
      <c r="J742" s="1" t="s">
        <v>691</v>
      </c>
    </row>
    <row r="743" customFormat="false" ht="12" hidden="false" customHeight="true" outlineLevel="0" collapsed="false">
      <c r="B743" s="1" t="s">
        <v>689</v>
      </c>
      <c r="C743" s="1" t="s">
        <v>690</v>
      </c>
      <c r="D743" s="1" t="s">
        <v>497</v>
      </c>
      <c r="E743" s="1" t="s">
        <v>527</v>
      </c>
      <c r="F743" s="1" t="s">
        <v>473</v>
      </c>
      <c r="G743" s="1" t="s">
        <v>279</v>
      </c>
      <c r="H743" s="1" t="n">
        <v>111</v>
      </c>
      <c r="I743" s="1" t="str">
        <f aca="false">B743&amp;"|"&amp;F743&amp;"|"&amp;G743</f>
        <v>Supermarkets|S|Average</v>
      </c>
      <c r="J743" s="1" t="s">
        <v>691</v>
      </c>
    </row>
    <row r="744" customFormat="false" ht="12" hidden="false" customHeight="true" outlineLevel="0" collapsed="false">
      <c r="B744" s="1" t="s">
        <v>689</v>
      </c>
      <c r="C744" s="1" t="s">
        <v>690</v>
      </c>
      <c r="D744" s="1" t="s">
        <v>497</v>
      </c>
      <c r="E744" s="1" t="s">
        <v>527</v>
      </c>
      <c r="F744" s="1" t="s">
        <v>473</v>
      </c>
      <c r="G744" s="1" t="s">
        <v>480</v>
      </c>
      <c r="H744" s="1" t="n">
        <v>92</v>
      </c>
      <c r="I744" s="1" t="str">
        <f aca="false">B744&amp;"|"&amp;F744&amp;"|"&amp;G744</f>
        <v>Supermarkets|S|Low Cost</v>
      </c>
      <c r="J744" s="1" t="s">
        <v>691</v>
      </c>
    </row>
    <row r="745" customFormat="false" ht="12" hidden="false" customHeight="true" outlineLevel="0" collapsed="false">
      <c r="B745" s="1" t="s">
        <v>692</v>
      </c>
      <c r="C745" s="1" t="s">
        <v>693</v>
      </c>
      <c r="D745" s="1" t="s">
        <v>497</v>
      </c>
      <c r="E745" s="1" t="s">
        <v>527</v>
      </c>
      <c r="F745" s="1" t="s">
        <v>523</v>
      </c>
      <c r="G745" s="1" t="s">
        <v>279</v>
      </c>
      <c r="H745" s="1" t="n">
        <v>179</v>
      </c>
      <c r="I745" s="1" t="str">
        <f aca="false">B745&amp;"|"&amp;F745&amp;"|"&amp;G745</f>
        <v>Drug Stores|A-B|Average</v>
      </c>
      <c r="J745" s="1" t="s">
        <v>691</v>
      </c>
    </row>
    <row r="746" customFormat="false" ht="12" hidden="false" customHeight="true" outlineLevel="0" collapsed="false">
      <c r="B746" s="1" t="s">
        <v>692</v>
      </c>
      <c r="C746" s="1" t="s">
        <v>693</v>
      </c>
      <c r="D746" s="1" t="s">
        <v>497</v>
      </c>
      <c r="E746" s="1" t="s">
        <v>527</v>
      </c>
      <c r="F746" s="1" t="s">
        <v>463</v>
      </c>
      <c r="G746" s="1" t="s">
        <v>485</v>
      </c>
      <c r="H746" s="1" t="n">
        <v>208</v>
      </c>
      <c r="I746" s="1" t="str">
        <f aca="false">B746&amp;"|"&amp;F746&amp;"|"&amp;G746</f>
        <v>Drug Stores|C|Excellent</v>
      </c>
      <c r="J746" s="1" t="s">
        <v>691</v>
      </c>
    </row>
    <row r="747" customFormat="false" ht="12" hidden="false" customHeight="true" outlineLevel="0" collapsed="false">
      <c r="B747" s="1" t="s">
        <v>692</v>
      </c>
      <c r="C747" s="1" t="s">
        <v>693</v>
      </c>
      <c r="D747" s="1" t="s">
        <v>497</v>
      </c>
      <c r="E747" s="1" t="s">
        <v>527</v>
      </c>
      <c r="F747" s="1" t="s">
        <v>463</v>
      </c>
      <c r="G747" s="1" t="s">
        <v>483</v>
      </c>
      <c r="H747" s="1" t="n">
        <v>174</v>
      </c>
      <c r="I747" s="1" t="str">
        <f aca="false">B747&amp;"|"&amp;F747&amp;"|"&amp;G747</f>
        <v>Drug Stores|C|Good</v>
      </c>
      <c r="J747" s="1" t="s">
        <v>691</v>
      </c>
    </row>
    <row r="748" customFormat="false" ht="12" hidden="false" customHeight="true" outlineLevel="0" collapsed="false">
      <c r="B748" s="1" t="s">
        <v>692</v>
      </c>
      <c r="C748" s="1" t="s">
        <v>693</v>
      </c>
      <c r="D748" s="1" t="s">
        <v>497</v>
      </c>
      <c r="E748" s="1" t="s">
        <v>527</v>
      </c>
      <c r="F748" s="1" t="s">
        <v>463</v>
      </c>
      <c r="G748" s="1" t="s">
        <v>279</v>
      </c>
      <c r="H748" s="1" t="n">
        <v>146</v>
      </c>
      <c r="I748" s="1" t="str">
        <f aca="false">B748&amp;"|"&amp;F748&amp;"|"&amp;G748</f>
        <v>Drug Stores|C|Average</v>
      </c>
      <c r="J748" s="1" t="s">
        <v>691</v>
      </c>
    </row>
    <row r="749" customFormat="false" ht="12" hidden="false" customHeight="true" outlineLevel="0" collapsed="false">
      <c r="B749" s="1" t="s">
        <v>692</v>
      </c>
      <c r="C749" s="1" t="s">
        <v>693</v>
      </c>
      <c r="D749" s="1" t="s">
        <v>497</v>
      </c>
      <c r="E749" s="1" t="s">
        <v>527</v>
      </c>
      <c r="F749" s="1" t="s">
        <v>463</v>
      </c>
      <c r="G749" s="1" t="s">
        <v>480</v>
      </c>
      <c r="H749" s="1" t="n">
        <v>123</v>
      </c>
      <c r="I749" s="1" t="str">
        <f aca="false">B749&amp;"|"&amp;F749&amp;"|"&amp;G749</f>
        <v>Drug Stores|C|Low Cost</v>
      </c>
      <c r="J749" s="1" t="s">
        <v>691</v>
      </c>
    </row>
    <row r="750" customFormat="false" ht="12" hidden="false" customHeight="true" outlineLevel="0" collapsed="false">
      <c r="B750" s="1" t="s">
        <v>692</v>
      </c>
      <c r="C750" s="1" t="s">
        <v>693</v>
      </c>
      <c r="D750" s="1" t="s">
        <v>497</v>
      </c>
      <c r="E750" s="1" t="s">
        <v>527</v>
      </c>
      <c r="F750" s="1" t="s">
        <v>468</v>
      </c>
      <c r="G750" s="1" t="s">
        <v>485</v>
      </c>
      <c r="H750" s="1" t="n">
        <v>197</v>
      </c>
      <c r="I750" s="1" t="str">
        <f aca="false">B750&amp;"|"&amp;F750&amp;"|"&amp;G750</f>
        <v>Drug Stores|D|Excellent</v>
      </c>
      <c r="J750" s="1" t="s">
        <v>691</v>
      </c>
    </row>
    <row r="751" customFormat="false" ht="12" hidden="false" customHeight="true" outlineLevel="0" collapsed="false">
      <c r="B751" s="1" t="s">
        <v>692</v>
      </c>
      <c r="C751" s="1" t="s">
        <v>693</v>
      </c>
      <c r="D751" s="1" t="s">
        <v>497</v>
      </c>
      <c r="E751" s="1" t="s">
        <v>527</v>
      </c>
      <c r="F751" s="1" t="s">
        <v>468</v>
      </c>
      <c r="G751" s="1" t="s">
        <v>483</v>
      </c>
      <c r="H751" s="1" t="n">
        <v>165</v>
      </c>
      <c r="I751" s="1" t="str">
        <f aca="false">B751&amp;"|"&amp;F751&amp;"|"&amp;G751</f>
        <v>Drug Stores|D|Good</v>
      </c>
      <c r="J751" s="1" t="s">
        <v>691</v>
      </c>
    </row>
    <row r="752" customFormat="false" ht="12" hidden="false" customHeight="true" outlineLevel="0" collapsed="false">
      <c r="B752" s="1" t="s">
        <v>692</v>
      </c>
      <c r="C752" s="1" t="s">
        <v>693</v>
      </c>
      <c r="D752" s="1" t="s">
        <v>497</v>
      </c>
      <c r="E752" s="1" t="s">
        <v>527</v>
      </c>
      <c r="F752" s="1" t="s">
        <v>468</v>
      </c>
      <c r="G752" s="1" t="s">
        <v>279</v>
      </c>
      <c r="H752" s="1" t="n">
        <v>138</v>
      </c>
      <c r="I752" s="1" t="str">
        <f aca="false">B752&amp;"|"&amp;F752&amp;"|"&amp;G752</f>
        <v>Drug Stores|D|Average</v>
      </c>
      <c r="J752" s="1" t="s">
        <v>691</v>
      </c>
    </row>
    <row r="753" customFormat="false" ht="12" hidden="false" customHeight="true" outlineLevel="0" collapsed="false">
      <c r="B753" s="1" t="s">
        <v>692</v>
      </c>
      <c r="C753" s="1" t="s">
        <v>693</v>
      </c>
      <c r="D753" s="1" t="s">
        <v>497</v>
      </c>
      <c r="E753" s="1" t="s">
        <v>527</v>
      </c>
      <c r="F753" s="1" t="s">
        <v>468</v>
      </c>
      <c r="G753" s="1" t="s">
        <v>480</v>
      </c>
      <c r="H753" s="1" t="n">
        <v>116</v>
      </c>
      <c r="I753" s="1" t="str">
        <f aca="false">B753&amp;"|"&amp;F753&amp;"|"&amp;G753</f>
        <v>Drug Stores|D|Low Cost</v>
      </c>
      <c r="J753" s="1" t="s">
        <v>691</v>
      </c>
    </row>
    <row r="754" customFormat="false" ht="12" hidden="false" customHeight="true" outlineLevel="0" collapsed="false">
      <c r="B754" s="1" t="s">
        <v>692</v>
      </c>
      <c r="C754" s="1" t="s">
        <v>693</v>
      </c>
      <c r="D754" s="1" t="s">
        <v>497</v>
      </c>
      <c r="E754" s="1" t="s">
        <v>527</v>
      </c>
      <c r="F754" s="1" t="s">
        <v>473</v>
      </c>
      <c r="G754" s="1" t="s">
        <v>480</v>
      </c>
      <c r="H754" s="1" t="n">
        <v>114</v>
      </c>
      <c r="I754" s="1" t="str">
        <f aca="false">B754&amp;"|"&amp;F754&amp;"|"&amp;G754</f>
        <v>Drug Stores|S|Low Cost</v>
      </c>
      <c r="J754" s="1" t="s">
        <v>691</v>
      </c>
    </row>
    <row r="755" customFormat="false" ht="12" hidden="false" customHeight="true" outlineLevel="0" collapsed="false">
      <c r="B755" s="1" t="s">
        <v>694</v>
      </c>
      <c r="C755" s="1" t="s">
        <v>695</v>
      </c>
      <c r="D755" s="1" t="s">
        <v>497</v>
      </c>
      <c r="E755" s="1" t="s">
        <v>529</v>
      </c>
      <c r="F755" s="1" t="s">
        <v>523</v>
      </c>
      <c r="G755" s="1" t="s">
        <v>279</v>
      </c>
      <c r="H755" s="1" t="n">
        <v>155</v>
      </c>
      <c r="I755" s="1" t="str">
        <f aca="false">B755&amp;"|"&amp;F755&amp;"|"&amp;G755</f>
        <v>Markets|A-B|Average</v>
      </c>
      <c r="J755" s="1" t="s">
        <v>696</v>
      </c>
    </row>
    <row r="756" customFormat="false" ht="12" hidden="false" customHeight="true" outlineLevel="0" collapsed="false">
      <c r="B756" s="1" t="s">
        <v>694</v>
      </c>
      <c r="C756" s="1" t="s">
        <v>695</v>
      </c>
      <c r="D756" s="1" t="s">
        <v>497</v>
      </c>
      <c r="E756" s="1" t="s">
        <v>529</v>
      </c>
      <c r="F756" s="1" t="s">
        <v>463</v>
      </c>
      <c r="G756" s="1" t="s">
        <v>485</v>
      </c>
      <c r="H756" s="1" t="n">
        <v>186</v>
      </c>
      <c r="I756" s="1" t="str">
        <f aca="false">B756&amp;"|"&amp;F756&amp;"|"&amp;G756</f>
        <v>Markets|C|Excellent</v>
      </c>
      <c r="J756" s="1" t="s">
        <v>696</v>
      </c>
    </row>
    <row r="757" customFormat="false" ht="12" hidden="false" customHeight="true" outlineLevel="0" collapsed="false">
      <c r="B757" s="1" t="s">
        <v>694</v>
      </c>
      <c r="C757" s="1" t="s">
        <v>695</v>
      </c>
      <c r="D757" s="1" t="s">
        <v>497</v>
      </c>
      <c r="E757" s="1" t="s">
        <v>529</v>
      </c>
      <c r="F757" s="1" t="s">
        <v>463</v>
      </c>
      <c r="G757" s="1" t="s">
        <v>483</v>
      </c>
      <c r="H757" s="1" t="n">
        <v>151</v>
      </c>
      <c r="I757" s="1" t="str">
        <f aca="false">B757&amp;"|"&amp;F757&amp;"|"&amp;G757</f>
        <v>Markets|C|Good</v>
      </c>
      <c r="J757" s="1" t="s">
        <v>696</v>
      </c>
    </row>
    <row r="758" customFormat="false" ht="12" hidden="false" customHeight="true" outlineLevel="0" collapsed="false">
      <c r="B758" s="1" t="s">
        <v>694</v>
      </c>
      <c r="C758" s="1" t="s">
        <v>695</v>
      </c>
      <c r="D758" s="1" t="s">
        <v>497</v>
      </c>
      <c r="E758" s="1" t="s">
        <v>529</v>
      </c>
      <c r="F758" s="1" t="s">
        <v>463</v>
      </c>
      <c r="G758" s="1" t="s">
        <v>279</v>
      </c>
      <c r="H758" s="1" t="n">
        <v>120</v>
      </c>
      <c r="I758" s="1" t="str">
        <f aca="false">B758&amp;"|"&amp;F758&amp;"|"&amp;G758</f>
        <v>Markets|C|Average</v>
      </c>
      <c r="J758" s="1" t="s">
        <v>696</v>
      </c>
    </row>
    <row r="759" customFormat="false" ht="12" hidden="false" customHeight="true" outlineLevel="0" collapsed="false">
      <c r="B759" s="1" t="s">
        <v>694</v>
      </c>
      <c r="C759" s="1" t="s">
        <v>695</v>
      </c>
      <c r="D759" s="1" t="s">
        <v>497</v>
      </c>
      <c r="E759" s="1" t="s">
        <v>529</v>
      </c>
      <c r="F759" s="1" t="s">
        <v>463</v>
      </c>
      <c r="G759" s="1" t="s">
        <v>480</v>
      </c>
      <c r="H759" s="1" t="n">
        <v>92</v>
      </c>
      <c r="I759" s="1" t="str">
        <f aca="false">B759&amp;"|"&amp;F759&amp;"|"&amp;G759</f>
        <v>Markets|C|Low Cost</v>
      </c>
      <c r="J759" s="1" t="s">
        <v>696</v>
      </c>
    </row>
    <row r="760" customFormat="false" ht="12" hidden="false" customHeight="true" outlineLevel="0" collapsed="false">
      <c r="B760" s="1" t="s">
        <v>694</v>
      </c>
      <c r="C760" s="1" t="s">
        <v>695</v>
      </c>
      <c r="D760" s="1" t="s">
        <v>497</v>
      </c>
      <c r="E760" s="1" t="s">
        <v>529</v>
      </c>
      <c r="F760" s="1" t="s">
        <v>468</v>
      </c>
      <c r="G760" s="1" t="s">
        <v>485</v>
      </c>
      <c r="H760" s="1" t="n">
        <v>174</v>
      </c>
      <c r="I760" s="1" t="str">
        <f aca="false">B760&amp;"|"&amp;F760&amp;"|"&amp;G760</f>
        <v>Markets|D|Excellent</v>
      </c>
      <c r="J760" s="1" t="s">
        <v>696</v>
      </c>
    </row>
    <row r="761" customFormat="false" ht="12" hidden="false" customHeight="true" outlineLevel="0" collapsed="false">
      <c r="B761" s="1" t="s">
        <v>694</v>
      </c>
      <c r="C761" s="1" t="s">
        <v>695</v>
      </c>
      <c r="D761" s="1" t="s">
        <v>497</v>
      </c>
      <c r="E761" s="1" t="s">
        <v>529</v>
      </c>
      <c r="F761" s="1" t="s">
        <v>468</v>
      </c>
      <c r="G761" s="1" t="s">
        <v>483</v>
      </c>
      <c r="H761" s="1" t="n">
        <v>141</v>
      </c>
      <c r="I761" s="1" t="str">
        <f aca="false">B761&amp;"|"&amp;F761&amp;"|"&amp;G761</f>
        <v>Markets|D|Good</v>
      </c>
      <c r="J761" s="1" t="s">
        <v>696</v>
      </c>
    </row>
    <row r="762" customFormat="false" ht="12" hidden="false" customHeight="true" outlineLevel="0" collapsed="false">
      <c r="B762" s="1" t="s">
        <v>694</v>
      </c>
      <c r="C762" s="1" t="s">
        <v>695</v>
      </c>
      <c r="D762" s="1" t="s">
        <v>497</v>
      </c>
      <c r="E762" s="1" t="s">
        <v>529</v>
      </c>
      <c r="F762" s="1" t="s">
        <v>468</v>
      </c>
      <c r="G762" s="1" t="s">
        <v>279</v>
      </c>
      <c r="H762" s="1" t="n">
        <v>111</v>
      </c>
      <c r="I762" s="1" t="str">
        <f aca="false">B762&amp;"|"&amp;F762&amp;"|"&amp;G762</f>
        <v>Markets|D|Average</v>
      </c>
      <c r="J762" s="1" t="s">
        <v>696</v>
      </c>
    </row>
    <row r="763" customFormat="false" ht="12" hidden="false" customHeight="true" outlineLevel="0" collapsed="false">
      <c r="B763" s="1" t="s">
        <v>694</v>
      </c>
      <c r="C763" s="1" t="s">
        <v>695</v>
      </c>
      <c r="D763" s="1" t="s">
        <v>497</v>
      </c>
      <c r="E763" s="1" t="s">
        <v>529</v>
      </c>
      <c r="F763" s="1" t="s">
        <v>468</v>
      </c>
      <c r="G763" s="1" t="s">
        <v>480</v>
      </c>
      <c r="H763" s="1" t="n">
        <v>85</v>
      </c>
      <c r="I763" s="1" t="str">
        <f aca="false">B763&amp;"|"&amp;F763&amp;"|"&amp;G763</f>
        <v>Markets|D|Low Cost</v>
      </c>
      <c r="J763" s="1" t="s">
        <v>696</v>
      </c>
    </row>
    <row r="764" customFormat="false" ht="12" hidden="false" customHeight="true" outlineLevel="0" collapsed="false">
      <c r="B764" s="1" t="s">
        <v>694</v>
      </c>
      <c r="C764" s="1" t="s">
        <v>695</v>
      </c>
      <c r="D764" s="1" t="s">
        <v>497</v>
      </c>
      <c r="E764" s="1" t="s">
        <v>529</v>
      </c>
      <c r="F764" s="1" t="s">
        <v>566</v>
      </c>
      <c r="G764" s="1" t="s">
        <v>279</v>
      </c>
      <c r="H764" s="1" t="n">
        <v>107</v>
      </c>
      <c r="I764" s="1" t="str">
        <f aca="false">B764&amp;"|"&amp;F764&amp;"|"&amp;G764</f>
        <v>Markets|DPOLE|Average</v>
      </c>
      <c r="J764" s="1" t="s">
        <v>696</v>
      </c>
    </row>
    <row r="765" customFormat="false" ht="12" hidden="false" customHeight="true" outlineLevel="0" collapsed="false">
      <c r="B765" s="1" t="s">
        <v>694</v>
      </c>
      <c r="C765" s="1" t="s">
        <v>695</v>
      </c>
      <c r="D765" s="1" t="s">
        <v>497</v>
      </c>
      <c r="E765" s="1" t="s">
        <v>529</v>
      </c>
      <c r="F765" s="1" t="s">
        <v>566</v>
      </c>
      <c r="G765" s="1" t="s">
        <v>480</v>
      </c>
      <c r="H765" s="1" t="n">
        <v>80.5</v>
      </c>
      <c r="I765" s="1" t="str">
        <f aca="false">B765&amp;"|"&amp;F765&amp;"|"&amp;G765</f>
        <v>Markets|DPOLE|Low Cost</v>
      </c>
      <c r="J765" s="1" t="s">
        <v>696</v>
      </c>
    </row>
    <row r="766" customFormat="false" ht="12" hidden="false" customHeight="true" outlineLevel="0" collapsed="false">
      <c r="B766" s="1" t="s">
        <v>694</v>
      </c>
      <c r="C766" s="1" t="s">
        <v>695</v>
      </c>
      <c r="D766" s="1" t="s">
        <v>497</v>
      </c>
      <c r="E766" s="1" t="s">
        <v>529</v>
      </c>
      <c r="F766" s="1" t="s">
        <v>473</v>
      </c>
      <c r="G766" s="1" t="s">
        <v>483</v>
      </c>
      <c r="H766" s="1" t="n">
        <v>142</v>
      </c>
      <c r="I766" s="1" t="str">
        <f aca="false">B766&amp;"|"&amp;F766&amp;"|"&amp;G766</f>
        <v>Markets|S|Good</v>
      </c>
      <c r="J766" s="1" t="s">
        <v>696</v>
      </c>
    </row>
    <row r="767" customFormat="false" ht="12" hidden="false" customHeight="true" outlineLevel="0" collapsed="false">
      <c r="B767" s="1" t="s">
        <v>694</v>
      </c>
      <c r="C767" s="1" t="s">
        <v>695</v>
      </c>
      <c r="D767" s="1" t="s">
        <v>497</v>
      </c>
      <c r="E767" s="1" t="s">
        <v>529</v>
      </c>
      <c r="F767" s="1" t="s">
        <v>473</v>
      </c>
      <c r="G767" s="1" t="s">
        <v>279</v>
      </c>
      <c r="H767" s="1" t="n">
        <v>109</v>
      </c>
      <c r="I767" s="1" t="str">
        <f aca="false">B767&amp;"|"&amp;F767&amp;"|"&amp;G767</f>
        <v>Markets|S|Average</v>
      </c>
      <c r="J767" s="1" t="s">
        <v>696</v>
      </c>
    </row>
    <row r="768" customFormat="false" ht="12" hidden="false" customHeight="true" outlineLevel="0" collapsed="false">
      <c r="B768" s="1" t="s">
        <v>694</v>
      </c>
      <c r="C768" s="1" t="s">
        <v>695</v>
      </c>
      <c r="D768" s="1" t="s">
        <v>497</v>
      </c>
      <c r="E768" s="1" t="s">
        <v>529</v>
      </c>
      <c r="F768" s="1" t="s">
        <v>473</v>
      </c>
      <c r="G768" s="1" t="s">
        <v>480</v>
      </c>
      <c r="H768" s="1" t="n">
        <v>82</v>
      </c>
      <c r="I768" s="1" t="str">
        <f aca="false">B768&amp;"|"&amp;F768&amp;"|"&amp;G768</f>
        <v>Markets|S|Low Cost</v>
      </c>
      <c r="J768" s="1" t="s">
        <v>696</v>
      </c>
    </row>
    <row r="769" customFormat="false" ht="12" hidden="false" customHeight="true" outlineLevel="0" collapsed="false">
      <c r="B769" s="1" t="s">
        <v>697</v>
      </c>
      <c r="C769" s="1" t="s">
        <v>698</v>
      </c>
      <c r="D769" s="1" t="s">
        <v>497</v>
      </c>
      <c r="E769" s="1" t="s">
        <v>529</v>
      </c>
      <c r="F769" s="1" t="s">
        <v>523</v>
      </c>
      <c r="G769" s="1" t="s">
        <v>279</v>
      </c>
      <c r="H769" s="1" t="n">
        <v>152</v>
      </c>
      <c r="I769" s="1" t="str">
        <f aca="false">B769&amp;"|"&amp;F769&amp;"|"&amp;G769</f>
        <v>Florist Shops|A-B|Average</v>
      </c>
      <c r="J769" s="1" t="s">
        <v>696</v>
      </c>
    </row>
    <row r="770" customFormat="false" ht="12" hidden="false" customHeight="true" outlineLevel="0" collapsed="false">
      <c r="B770" s="1" t="s">
        <v>697</v>
      </c>
      <c r="C770" s="1" t="s">
        <v>698</v>
      </c>
      <c r="D770" s="1" t="s">
        <v>497</v>
      </c>
      <c r="E770" s="1" t="s">
        <v>529</v>
      </c>
      <c r="F770" s="1" t="s">
        <v>463</v>
      </c>
      <c r="G770" s="1" t="s">
        <v>485</v>
      </c>
      <c r="H770" s="1" t="n">
        <v>179</v>
      </c>
      <c r="I770" s="1" t="str">
        <f aca="false">B770&amp;"|"&amp;F770&amp;"|"&amp;G770</f>
        <v>Florist Shops|C|Excellent</v>
      </c>
      <c r="J770" s="1" t="s">
        <v>696</v>
      </c>
    </row>
    <row r="771" customFormat="false" ht="12" hidden="false" customHeight="true" outlineLevel="0" collapsed="false">
      <c r="B771" s="1" t="s">
        <v>697</v>
      </c>
      <c r="C771" s="1" t="s">
        <v>698</v>
      </c>
      <c r="D771" s="1" t="s">
        <v>497</v>
      </c>
      <c r="E771" s="1" t="s">
        <v>529</v>
      </c>
      <c r="F771" s="1" t="s">
        <v>463</v>
      </c>
      <c r="G771" s="1" t="s">
        <v>483</v>
      </c>
      <c r="H771" s="1" t="n">
        <v>148</v>
      </c>
      <c r="I771" s="1" t="str">
        <f aca="false">B771&amp;"|"&amp;F771&amp;"|"&amp;G771</f>
        <v>Florist Shops|C|Good</v>
      </c>
      <c r="J771" s="1" t="s">
        <v>696</v>
      </c>
    </row>
    <row r="772" customFormat="false" ht="12" hidden="false" customHeight="true" outlineLevel="0" collapsed="false">
      <c r="B772" s="1" t="s">
        <v>697</v>
      </c>
      <c r="C772" s="1" t="s">
        <v>698</v>
      </c>
      <c r="D772" s="1" t="s">
        <v>497</v>
      </c>
      <c r="E772" s="1" t="s">
        <v>529</v>
      </c>
      <c r="F772" s="1" t="s">
        <v>463</v>
      </c>
      <c r="G772" s="1" t="s">
        <v>279</v>
      </c>
      <c r="H772" s="1" t="n">
        <v>118</v>
      </c>
      <c r="I772" s="1" t="str">
        <f aca="false">B772&amp;"|"&amp;F772&amp;"|"&amp;G772</f>
        <v>Florist Shops|C|Average</v>
      </c>
      <c r="J772" s="1" t="s">
        <v>696</v>
      </c>
    </row>
    <row r="773" customFormat="false" ht="12" hidden="false" customHeight="true" outlineLevel="0" collapsed="false">
      <c r="B773" s="1" t="s">
        <v>697</v>
      </c>
      <c r="C773" s="1" t="s">
        <v>698</v>
      </c>
      <c r="D773" s="1" t="s">
        <v>497</v>
      </c>
      <c r="E773" s="1" t="s">
        <v>529</v>
      </c>
      <c r="F773" s="1" t="s">
        <v>463</v>
      </c>
      <c r="G773" s="1" t="s">
        <v>480</v>
      </c>
      <c r="H773" s="1" t="n">
        <v>94</v>
      </c>
      <c r="I773" s="1" t="str">
        <f aca="false">B773&amp;"|"&amp;F773&amp;"|"&amp;G773</f>
        <v>Florist Shops|C|Low Cost</v>
      </c>
      <c r="J773" s="1" t="s">
        <v>696</v>
      </c>
    </row>
    <row r="774" customFormat="false" ht="12" hidden="false" customHeight="true" outlineLevel="0" collapsed="false">
      <c r="B774" s="1" t="s">
        <v>697</v>
      </c>
      <c r="C774" s="1" t="s">
        <v>698</v>
      </c>
      <c r="D774" s="1" t="s">
        <v>497</v>
      </c>
      <c r="E774" s="1" t="s">
        <v>529</v>
      </c>
      <c r="F774" s="1" t="s">
        <v>468</v>
      </c>
      <c r="G774" s="1" t="s">
        <v>485</v>
      </c>
      <c r="H774" s="1" t="n">
        <v>168</v>
      </c>
      <c r="I774" s="1" t="str">
        <f aca="false">B774&amp;"|"&amp;F774&amp;"|"&amp;G774</f>
        <v>Florist Shops|D|Excellent</v>
      </c>
      <c r="J774" s="1" t="s">
        <v>696</v>
      </c>
    </row>
    <row r="775" customFormat="false" ht="12" hidden="false" customHeight="true" outlineLevel="0" collapsed="false">
      <c r="B775" s="1" t="s">
        <v>697</v>
      </c>
      <c r="C775" s="1" t="s">
        <v>698</v>
      </c>
      <c r="D775" s="1" t="s">
        <v>497</v>
      </c>
      <c r="E775" s="1" t="s">
        <v>529</v>
      </c>
      <c r="F775" s="1" t="s">
        <v>468</v>
      </c>
      <c r="G775" s="1" t="s">
        <v>483</v>
      </c>
      <c r="H775" s="1" t="n">
        <v>139</v>
      </c>
      <c r="I775" s="1" t="str">
        <f aca="false">B775&amp;"|"&amp;F775&amp;"|"&amp;G775</f>
        <v>Florist Shops|D|Good</v>
      </c>
      <c r="J775" s="1" t="s">
        <v>696</v>
      </c>
    </row>
    <row r="776" customFormat="false" ht="12" hidden="false" customHeight="true" outlineLevel="0" collapsed="false">
      <c r="B776" s="1" t="s">
        <v>697</v>
      </c>
      <c r="C776" s="1" t="s">
        <v>698</v>
      </c>
      <c r="D776" s="1" t="s">
        <v>497</v>
      </c>
      <c r="E776" s="1" t="s">
        <v>529</v>
      </c>
      <c r="F776" s="1" t="s">
        <v>468</v>
      </c>
      <c r="G776" s="1" t="s">
        <v>279</v>
      </c>
      <c r="H776" s="1" t="n">
        <v>110</v>
      </c>
      <c r="I776" s="1" t="str">
        <f aca="false">B776&amp;"|"&amp;F776&amp;"|"&amp;G776</f>
        <v>Florist Shops|D|Average</v>
      </c>
      <c r="J776" s="1" t="s">
        <v>696</v>
      </c>
    </row>
    <row r="777" customFormat="false" ht="12" hidden="false" customHeight="true" outlineLevel="0" collapsed="false">
      <c r="B777" s="1" t="s">
        <v>697</v>
      </c>
      <c r="C777" s="1" t="s">
        <v>698</v>
      </c>
      <c r="D777" s="1" t="s">
        <v>497</v>
      </c>
      <c r="E777" s="1" t="s">
        <v>529</v>
      </c>
      <c r="F777" s="1" t="s">
        <v>468</v>
      </c>
      <c r="G777" s="1" t="s">
        <v>480</v>
      </c>
      <c r="H777" s="1" t="n">
        <v>87.5</v>
      </c>
      <c r="I777" s="1" t="str">
        <f aca="false">B777&amp;"|"&amp;F777&amp;"|"&amp;G777</f>
        <v>Florist Shops|D|Low Cost</v>
      </c>
      <c r="J777" s="1" t="s">
        <v>696</v>
      </c>
    </row>
    <row r="778" customFormat="false" ht="12" hidden="false" customHeight="true" outlineLevel="0" collapsed="false">
      <c r="B778" s="1" t="s">
        <v>697</v>
      </c>
      <c r="C778" s="1" t="s">
        <v>698</v>
      </c>
      <c r="D778" s="1" t="s">
        <v>497</v>
      </c>
      <c r="E778" s="1" t="s">
        <v>529</v>
      </c>
      <c r="F778" s="1" t="s">
        <v>566</v>
      </c>
      <c r="G778" s="1" t="s">
        <v>480</v>
      </c>
      <c r="H778" s="1" t="n">
        <v>83.5</v>
      </c>
      <c r="I778" s="1" t="str">
        <f aca="false">B778&amp;"|"&amp;F778&amp;"|"&amp;G778</f>
        <v>Florist Shops|DPOLE|Low Cost</v>
      </c>
      <c r="J778" s="1" t="s">
        <v>696</v>
      </c>
    </row>
    <row r="779" customFormat="false" ht="12" hidden="false" customHeight="true" outlineLevel="0" collapsed="false">
      <c r="B779" s="1" t="s">
        <v>697</v>
      </c>
      <c r="C779" s="1" t="s">
        <v>698</v>
      </c>
      <c r="D779" s="1" t="s">
        <v>497</v>
      </c>
      <c r="E779" s="1" t="s">
        <v>529</v>
      </c>
      <c r="F779" s="1" t="s">
        <v>473</v>
      </c>
      <c r="G779" s="1" t="s">
        <v>480</v>
      </c>
      <c r="H779" s="1" t="n">
        <v>86</v>
      </c>
      <c r="I779" s="1" t="str">
        <f aca="false">B779&amp;"|"&amp;F779&amp;"|"&amp;G779</f>
        <v>Florist Shops|S|Low Cost</v>
      </c>
      <c r="J779" s="1" t="s">
        <v>696</v>
      </c>
    </row>
    <row r="780" customFormat="false" ht="12" hidden="false" customHeight="true" outlineLevel="0" collapsed="false">
      <c r="B780" s="1" t="s">
        <v>699</v>
      </c>
      <c r="C780" s="1" t="s">
        <v>700</v>
      </c>
      <c r="D780" s="1" t="s">
        <v>497</v>
      </c>
      <c r="E780" s="1" t="s">
        <v>533</v>
      </c>
      <c r="F780" s="1" t="s">
        <v>523</v>
      </c>
      <c r="G780" s="1" t="s">
        <v>279</v>
      </c>
      <c r="H780" s="1" t="n">
        <v>159</v>
      </c>
      <c r="I780" s="1" t="str">
        <f aca="false">B780&amp;"|"&amp;F780&amp;"|"&amp;G780</f>
        <v>Convenience Stores|A-B|Average</v>
      </c>
      <c r="J780" s="1" t="s">
        <v>701</v>
      </c>
    </row>
    <row r="781" customFormat="false" ht="12" hidden="false" customHeight="true" outlineLevel="0" collapsed="false">
      <c r="B781" s="1" t="s">
        <v>699</v>
      </c>
      <c r="C781" s="1" t="s">
        <v>700</v>
      </c>
      <c r="D781" s="1" t="s">
        <v>497</v>
      </c>
      <c r="E781" s="1" t="s">
        <v>533</v>
      </c>
      <c r="F781" s="1" t="s">
        <v>463</v>
      </c>
      <c r="G781" s="1" t="s">
        <v>485</v>
      </c>
      <c r="H781" s="1" t="n">
        <v>186</v>
      </c>
      <c r="I781" s="1" t="str">
        <f aca="false">B781&amp;"|"&amp;F781&amp;"|"&amp;G781</f>
        <v>Convenience Stores|C|Excellent</v>
      </c>
      <c r="J781" s="1" t="s">
        <v>701</v>
      </c>
    </row>
    <row r="782" customFormat="false" ht="12" hidden="false" customHeight="true" outlineLevel="0" collapsed="false">
      <c r="B782" s="1" t="s">
        <v>699</v>
      </c>
      <c r="C782" s="1" t="s">
        <v>700</v>
      </c>
      <c r="D782" s="1" t="s">
        <v>497</v>
      </c>
      <c r="E782" s="1" t="s">
        <v>533</v>
      </c>
      <c r="F782" s="1" t="s">
        <v>463</v>
      </c>
      <c r="G782" s="1" t="s">
        <v>483</v>
      </c>
      <c r="H782" s="1" t="n">
        <v>156</v>
      </c>
      <c r="I782" s="1" t="str">
        <f aca="false">B782&amp;"|"&amp;F782&amp;"|"&amp;G782</f>
        <v>Convenience Stores|C|Good</v>
      </c>
      <c r="J782" s="1" t="s">
        <v>701</v>
      </c>
    </row>
    <row r="783" customFormat="false" ht="12" hidden="false" customHeight="true" outlineLevel="0" collapsed="false">
      <c r="B783" s="1" t="s">
        <v>699</v>
      </c>
      <c r="C783" s="1" t="s">
        <v>700</v>
      </c>
      <c r="D783" s="1" t="s">
        <v>497</v>
      </c>
      <c r="E783" s="1" t="s">
        <v>533</v>
      </c>
      <c r="F783" s="1" t="s">
        <v>463</v>
      </c>
      <c r="G783" s="1" t="s">
        <v>279</v>
      </c>
      <c r="H783" s="1" t="n">
        <v>125</v>
      </c>
      <c r="I783" s="1" t="str">
        <f aca="false">B783&amp;"|"&amp;F783&amp;"|"&amp;G783</f>
        <v>Convenience Stores|C|Average</v>
      </c>
      <c r="J783" s="1" t="s">
        <v>701</v>
      </c>
    </row>
    <row r="784" customFormat="false" ht="12" hidden="false" customHeight="true" outlineLevel="0" collapsed="false">
      <c r="B784" s="1" t="s">
        <v>699</v>
      </c>
      <c r="C784" s="1" t="s">
        <v>700</v>
      </c>
      <c r="D784" s="1" t="s">
        <v>497</v>
      </c>
      <c r="E784" s="1" t="s">
        <v>533</v>
      </c>
      <c r="F784" s="1" t="s">
        <v>463</v>
      </c>
      <c r="G784" s="1" t="s">
        <v>480</v>
      </c>
      <c r="H784" s="1" t="n">
        <v>101</v>
      </c>
      <c r="I784" s="1" t="str">
        <f aca="false">B784&amp;"|"&amp;F784&amp;"|"&amp;G784</f>
        <v>Convenience Stores|C|Low Cost</v>
      </c>
      <c r="J784" s="1" t="s">
        <v>701</v>
      </c>
    </row>
    <row r="785" customFormat="false" ht="12" hidden="false" customHeight="true" outlineLevel="0" collapsed="false">
      <c r="B785" s="1" t="s">
        <v>699</v>
      </c>
      <c r="C785" s="1" t="s">
        <v>700</v>
      </c>
      <c r="D785" s="1" t="s">
        <v>497</v>
      </c>
      <c r="E785" s="1" t="s">
        <v>533</v>
      </c>
      <c r="F785" s="1" t="s">
        <v>468</v>
      </c>
      <c r="G785" s="1" t="s">
        <v>485</v>
      </c>
      <c r="H785" s="1" t="n">
        <v>176</v>
      </c>
      <c r="I785" s="1" t="str">
        <f aca="false">B785&amp;"|"&amp;F785&amp;"|"&amp;G785</f>
        <v>Convenience Stores|D|Excellent</v>
      </c>
      <c r="J785" s="1" t="s">
        <v>701</v>
      </c>
    </row>
    <row r="786" customFormat="false" ht="12" hidden="false" customHeight="true" outlineLevel="0" collapsed="false">
      <c r="B786" s="1" t="s">
        <v>699</v>
      </c>
      <c r="C786" s="1" t="s">
        <v>700</v>
      </c>
      <c r="D786" s="1" t="s">
        <v>497</v>
      </c>
      <c r="E786" s="1" t="s">
        <v>533</v>
      </c>
      <c r="F786" s="1" t="s">
        <v>468</v>
      </c>
      <c r="G786" s="1" t="s">
        <v>483</v>
      </c>
      <c r="H786" s="1" t="n">
        <v>147</v>
      </c>
      <c r="I786" s="1" t="str">
        <f aca="false">B786&amp;"|"&amp;F786&amp;"|"&amp;G786</f>
        <v>Convenience Stores|D|Good</v>
      </c>
      <c r="J786" s="1" t="s">
        <v>701</v>
      </c>
    </row>
    <row r="787" customFormat="false" ht="12" hidden="false" customHeight="true" outlineLevel="0" collapsed="false">
      <c r="B787" s="1" t="s">
        <v>699</v>
      </c>
      <c r="C787" s="1" t="s">
        <v>700</v>
      </c>
      <c r="D787" s="1" t="s">
        <v>497</v>
      </c>
      <c r="E787" s="1" t="s">
        <v>533</v>
      </c>
      <c r="F787" s="1" t="s">
        <v>468</v>
      </c>
      <c r="G787" s="1" t="s">
        <v>279</v>
      </c>
      <c r="H787" s="1" t="n">
        <v>117</v>
      </c>
      <c r="I787" s="1" t="str">
        <f aca="false">B787&amp;"|"&amp;F787&amp;"|"&amp;G787</f>
        <v>Convenience Stores|D|Average</v>
      </c>
      <c r="J787" s="1" t="s">
        <v>701</v>
      </c>
    </row>
    <row r="788" customFormat="false" ht="12" hidden="false" customHeight="true" outlineLevel="0" collapsed="false">
      <c r="B788" s="1" t="s">
        <v>699</v>
      </c>
      <c r="C788" s="1" t="s">
        <v>700</v>
      </c>
      <c r="D788" s="1" t="s">
        <v>497</v>
      </c>
      <c r="E788" s="1" t="s">
        <v>533</v>
      </c>
      <c r="F788" s="1" t="s">
        <v>468</v>
      </c>
      <c r="G788" s="1" t="s">
        <v>480</v>
      </c>
      <c r="H788" s="1" t="n">
        <v>94</v>
      </c>
      <c r="I788" s="1" t="str">
        <f aca="false">B788&amp;"|"&amp;F788&amp;"|"&amp;G788</f>
        <v>Convenience Stores|D|Low Cost</v>
      </c>
      <c r="J788" s="1" t="s">
        <v>701</v>
      </c>
    </row>
    <row r="789" customFormat="false" ht="12" hidden="false" customHeight="true" outlineLevel="0" collapsed="false">
      <c r="B789" s="1" t="s">
        <v>699</v>
      </c>
      <c r="C789" s="1" t="s">
        <v>700</v>
      </c>
      <c r="D789" s="1" t="s">
        <v>497</v>
      </c>
      <c r="E789" s="1" t="s">
        <v>533</v>
      </c>
      <c r="F789" s="1" t="s">
        <v>566</v>
      </c>
      <c r="G789" s="1" t="s">
        <v>480</v>
      </c>
      <c r="H789" s="1" t="n">
        <v>90.5</v>
      </c>
      <c r="I789" s="1" t="str">
        <f aca="false">B789&amp;"|"&amp;F789&amp;"|"&amp;G789</f>
        <v>Convenience Stores|DPOLE|Low Cost</v>
      </c>
      <c r="J789" s="1" t="s">
        <v>701</v>
      </c>
    </row>
    <row r="790" customFormat="false" ht="12" hidden="false" customHeight="true" outlineLevel="0" collapsed="false">
      <c r="B790" s="1" t="s">
        <v>699</v>
      </c>
      <c r="C790" s="1" t="s">
        <v>700</v>
      </c>
      <c r="D790" s="1" t="s">
        <v>497</v>
      </c>
      <c r="E790" s="1" t="s">
        <v>533</v>
      </c>
      <c r="F790" s="1" t="s">
        <v>473</v>
      </c>
      <c r="G790" s="1" t="s">
        <v>485</v>
      </c>
      <c r="H790" s="1" t="n">
        <v>179</v>
      </c>
      <c r="I790" s="1" t="str">
        <f aca="false">B790&amp;"|"&amp;F790&amp;"|"&amp;G790</f>
        <v>Convenience Stores|S|Excellent</v>
      </c>
      <c r="J790" s="1" t="s">
        <v>701</v>
      </c>
    </row>
    <row r="791" customFormat="false" ht="12" hidden="false" customHeight="true" outlineLevel="0" collapsed="false">
      <c r="B791" s="1" t="s">
        <v>699</v>
      </c>
      <c r="C791" s="1" t="s">
        <v>700</v>
      </c>
      <c r="D791" s="1" t="s">
        <v>497</v>
      </c>
      <c r="E791" s="1" t="s">
        <v>533</v>
      </c>
      <c r="F791" s="1" t="s">
        <v>473</v>
      </c>
      <c r="G791" s="1" t="s">
        <v>483</v>
      </c>
      <c r="H791" s="1" t="n">
        <v>148</v>
      </c>
      <c r="I791" s="1" t="str">
        <f aca="false">B791&amp;"|"&amp;F791&amp;"|"&amp;G791</f>
        <v>Convenience Stores|S|Good</v>
      </c>
      <c r="J791" s="1" t="s">
        <v>701</v>
      </c>
    </row>
    <row r="792" customFormat="false" ht="12" hidden="false" customHeight="true" outlineLevel="0" collapsed="false">
      <c r="B792" s="1" t="s">
        <v>699</v>
      </c>
      <c r="C792" s="1" t="s">
        <v>700</v>
      </c>
      <c r="D792" s="1" t="s">
        <v>497</v>
      </c>
      <c r="E792" s="1" t="s">
        <v>533</v>
      </c>
      <c r="F792" s="1" t="s">
        <v>473</v>
      </c>
      <c r="G792" s="1" t="s">
        <v>279</v>
      </c>
      <c r="H792" s="1" t="n">
        <v>117</v>
      </c>
      <c r="I792" s="1" t="str">
        <f aca="false">B792&amp;"|"&amp;F792&amp;"|"&amp;G792</f>
        <v>Convenience Stores|S|Average</v>
      </c>
      <c r="J792" s="1" t="s">
        <v>701</v>
      </c>
    </row>
    <row r="793" customFormat="false" ht="12" hidden="false" customHeight="true" outlineLevel="0" collapsed="false">
      <c r="B793" s="1" t="s">
        <v>699</v>
      </c>
      <c r="C793" s="1" t="s">
        <v>700</v>
      </c>
      <c r="D793" s="1" t="s">
        <v>497</v>
      </c>
      <c r="E793" s="1" t="s">
        <v>533</v>
      </c>
      <c r="F793" s="1" t="s">
        <v>473</v>
      </c>
      <c r="G793" s="1" t="s">
        <v>480</v>
      </c>
      <c r="H793" s="1" t="n">
        <v>92.5</v>
      </c>
      <c r="I793" s="1" t="str">
        <f aca="false">B793&amp;"|"&amp;F793&amp;"|"&amp;G793</f>
        <v>Convenience Stores|S|Low Cost</v>
      </c>
      <c r="J793" s="1" t="s">
        <v>701</v>
      </c>
    </row>
    <row r="794" customFormat="false" ht="12" hidden="false" customHeight="true" outlineLevel="0" collapsed="false">
      <c r="B794" s="1" t="s">
        <v>702</v>
      </c>
      <c r="C794" s="1" t="s">
        <v>703</v>
      </c>
      <c r="D794" s="1" t="s">
        <v>497</v>
      </c>
      <c r="E794" s="1" t="s">
        <v>533</v>
      </c>
      <c r="F794" s="1" t="s">
        <v>463</v>
      </c>
      <c r="G794" s="1" t="s">
        <v>485</v>
      </c>
      <c r="H794" s="1" t="n">
        <v>286</v>
      </c>
      <c r="I794" s="1" t="str">
        <f aca="false">B794&amp;"|"&amp;F794&amp;"|"&amp;G794</f>
        <v>Mini-Mart Convenience Stores|C|Excellent</v>
      </c>
      <c r="J794" s="1" t="s">
        <v>701</v>
      </c>
    </row>
    <row r="795" customFormat="false" ht="12" hidden="false" customHeight="true" outlineLevel="0" collapsed="false">
      <c r="B795" s="1" t="s">
        <v>702</v>
      </c>
      <c r="C795" s="1" t="s">
        <v>703</v>
      </c>
      <c r="D795" s="1" t="s">
        <v>497</v>
      </c>
      <c r="E795" s="1" t="s">
        <v>533</v>
      </c>
      <c r="F795" s="1" t="s">
        <v>463</v>
      </c>
      <c r="G795" s="1" t="s">
        <v>483</v>
      </c>
      <c r="H795" s="1" t="n">
        <v>244</v>
      </c>
      <c r="I795" s="1" t="str">
        <f aca="false">B795&amp;"|"&amp;F795&amp;"|"&amp;G795</f>
        <v>Mini-Mart Convenience Stores|C|Good</v>
      </c>
      <c r="J795" s="1" t="s">
        <v>701</v>
      </c>
    </row>
    <row r="796" customFormat="false" ht="12" hidden="false" customHeight="true" outlineLevel="0" collapsed="false">
      <c r="B796" s="1" t="s">
        <v>702</v>
      </c>
      <c r="C796" s="1" t="s">
        <v>703</v>
      </c>
      <c r="D796" s="1" t="s">
        <v>497</v>
      </c>
      <c r="E796" s="1" t="s">
        <v>533</v>
      </c>
      <c r="F796" s="1" t="s">
        <v>463</v>
      </c>
      <c r="G796" s="1" t="s">
        <v>279</v>
      </c>
      <c r="H796" s="1" t="n">
        <v>208</v>
      </c>
      <c r="I796" s="1" t="str">
        <f aca="false">B796&amp;"|"&amp;F796&amp;"|"&amp;G796</f>
        <v>Mini-Mart Convenience Stores|C|Average</v>
      </c>
      <c r="J796" s="1" t="s">
        <v>701</v>
      </c>
    </row>
    <row r="797" customFormat="false" ht="12" hidden="false" customHeight="true" outlineLevel="0" collapsed="false">
      <c r="B797" s="1" t="s">
        <v>702</v>
      </c>
      <c r="C797" s="1" t="s">
        <v>703</v>
      </c>
      <c r="D797" s="1" t="s">
        <v>497</v>
      </c>
      <c r="E797" s="1" t="s">
        <v>533</v>
      </c>
      <c r="F797" s="1" t="s">
        <v>463</v>
      </c>
      <c r="G797" s="1" t="s">
        <v>480</v>
      </c>
      <c r="H797" s="1" t="n">
        <v>178</v>
      </c>
      <c r="I797" s="1" t="str">
        <f aca="false">B797&amp;"|"&amp;F797&amp;"|"&amp;G797</f>
        <v>Mini-Mart Convenience Stores|C|Low Cost</v>
      </c>
      <c r="J797" s="1" t="s">
        <v>701</v>
      </c>
    </row>
    <row r="798" customFormat="false" ht="12" hidden="false" customHeight="true" outlineLevel="0" collapsed="false">
      <c r="B798" s="1" t="s">
        <v>702</v>
      </c>
      <c r="C798" s="1" t="s">
        <v>703</v>
      </c>
      <c r="D798" s="1" t="s">
        <v>497</v>
      </c>
      <c r="E798" s="1" t="s">
        <v>533</v>
      </c>
      <c r="F798" s="1" t="s">
        <v>468</v>
      </c>
      <c r="G798" s="1" t="s">
        <v>483</v>
      </c>
      <c r="H798" s="1" t="n">
        <v>234</v>
      </c>
      <c r="I798" s="1" t="str">
        <f aca="false">B798&amp;"|"&amp;F798&amp;"|"&amp;G798</f>
        <v>Mini-Mart Convenience Stores|D|Good</v>
      </c>
      <c r="J798" s="1" t="s">
        <v>701</v>
      </c>
    </row>
    <row r="799" customFormat="false" ht="12" hidden="false" customHeight="true" outlineLevel="0" collapsed="false">
      <c r="B799" s="1" t="s">
        <v>702</v>
      </c>
      <c r="C799" s="1" t="s">
        <v>703</v>
      </c>
      <c r="D799" s="1" t="s">
        <v>497</v>
      </c>
      <c r="E799" s="1" t="s">
        <v>533</v>
      </c>
      <c r="F799" s="1" t="s">
        <v>468</v>
      </c>
      <c r="G799" s="1" t="s">
        <v>279</v>
      </c>
      <c r="H799" s="1" t="n">
        <v>199</v>
      </c>
      <c r="I799" s="1" t="str">
        <f aca="false">B799&amp;"|"&amp;F799&amp;"|"&amp;G799</f>
        <v>Mini-Mart Convenience Stores|D|Average</v>
      </c>
      <c r="J799" s="1" t="s">
        <v>701</v>
      </c>
    </row>
    <row r="800" customFormat="false" ht="12" hidden="false" customHeight="true" outlineLevel="0" collapsed="false">
      <c r="B800" s="1" t="s">
        <v>702</v>
      </c>
      <c r="C800" s="1" t="s">
        <v>703</v>
      </c>
      <c r="D800" s="1" t="s">
        <v>497</v>
      </c>
      <c r="E800" s="1" t="s">
        <v>533</v>
      </c>
      <c r="F800" s="1" t="s">
        <v>468</v>
      </c>
      <c r="G800" s="1" t="s">
        <v>480</v>
      </c>
      <c r="H800" s="1" t="n">
        <v>170</v>
      </c>
      <c r="I800" s="1" t="str">
        <f aca="false">B800&amp;"|"&amp;F800&amp;"|"&amp;G800</f>
        <v>Mini-Mart Convenience Stores|D|Low Cost</v>
      </c>
      <c r="J800" s="1" t="s">
        <v>701</v>
      </c>
    </row>
    <row r="801" customFormat="false" ht="12" hidden="false" customHeight="true" outlineLevel="0" collapsed="false">
      <c r="B801" s="1" t="s">
        <v>702</v>
      </c>
      <c r="C801" s="1" t="s">
        <v>703</v>
      </c>
      <c r="D801" s="1" t="s">
        <v>497</v>
      </c>
      <c r="E801" s="1" t="s">
        <v>533</v>
      </c>
      <c r="F801" s="1" t="s">
        <v>566</v>
      </c>
      <c r="G801" s="1" t="s">
        <v>480</v>
      </c>
      <c r="H801" s="1" t="n">
        <v>169</v>
      </c>
      <c r="I801" s="1" t="str">
        <f aca="false">B801&amp;"|"&amp;F801&amp;"|"&amp;G801</f>
        <v>Mini-Mart Convenience Stores|DPOLE|Low Cost</v>
      </c>
      <c r="J801" s="1" t="s">
        <v>701</v>
      </c>
    </row>
    <row r="802" customFormat="false" ht="12" hidden="false" customHeight="true" outlineLevel="0" collapsed="false">
      <c r="B802" s="1" t="s">
        <v>702</v>
      </c>
      <c r="C802" s="1" t="s">
        <v>703</v>
      </c>
      <c r="D802" s="1" t="s">
        <v>497</v>
      </c>
      <c r="E802" s="1" t="s">
        <v>533</v>
      </c>
      <c r="F802" s="1" t="s">
        <v>473</v>
      </c>
      <c r="G802" s="1" t="s">
        <v>485</v>
      </c>
      <c r="H802" s="1" t="n">
        <v>284</v>
      </c>
      <c r="I802" s="1" t="str">
        <f aca="false">B802&amp;"|"&amp;F802&amp;"|"&amp;G802</f>
        <v>Mini-Mart Convenience Stores|S|Excellent</v>
      </c>
      <c r="J802" s="1" t="s">
        <v>701</v>
      </c>
    </row>
    <row r="803" customFormat="false" ht="12" hidden="false" customHeight="true" outlineLevel="0" collapsed="false">
      <c r="B803" s="1" t="s">
        <v>702</v>
      </c>
      <c r="C803" s="1" t="s">
        <v>703</v>
      </c>
      <c r="D803" s="1" t="s">
        <v>497</v>
      </c>
      <c r="E803" s="1" t="s">
        <v>533</v>
      </c>
      <c r="F803" s="1" t="s">
        <v>473</v>
      </c>
      <c r="G803" s="1" t="s">
        <v>483</v>
      </c>
      <c r="H803" s="1" t="n">
        <v>245</v>
      </c>
      <c r="I803" s="1" t="str">
        <f aca="false">B803&amp;"|"&amp;F803&amp;"|"&amp;G803</f>
        <v>Mini-Mart Convenience Stores|S|Good</v>
      </c>
      <c r="J803" s="1" t="s">
        <v>701</v>
      </c>
    </row>
    <row r="804" customFormat="false" ht="12" hidden="false" customHeight="true" outlineLevel="0" collapsed="false">
      <c r="B804" s="1" t="s">
        <v>702</v>
      </c>
      <c r="C804" s="1" t="s">
        <v>703</v>
      </c>
      <c r="D804" s="1" t="s">
        <v>497</v>
      </c>
      <c r="E804" s="1" t="s">
        <v>533</v>
      </c>
      <c r="F804" s="1" t="s">
        <v>473</v>
      </c>
      <c r="G804" s="1" t="s">
        <v>279</v>
      </c>
      <c r="H804" s="1" t="n">
        <v>212</v>
      </c>
      <c r="I804" s="1" t="str">
        <f aca="false">B804&amp;"|"&amp;F804&amp;"|"&amp;G804</f>
        <v>Mini-Mart Convenience Stores|S|Average</v>
      </c>
      <c r="J804" s="1" t="s">
        <v>701</v>
      </c>
    </row>
    <row r="805" customFormat="false" ht="12" hidden="false" customHeight="true" outlineLevel="0" collapsed="false">
      <c r="B805" s="1" t="s">
        <v>702</v>
      </c>
      <c r="C805" s="1" t="s">
        <v>703</v>
      </c>
      <c r="D805" s="1" t="s">
        <v>497</v>
      </c>
      <c r="E805" s="1" t="s">
        <v>533</v>
      </c>
      <c r="F805" s="1" t="s">
        <v>473</v>
      </c>
      <c r="G805" s="1" t="s">
        <v>480</v>
      </c>
      <c r="H805" s="1" t="n">
        <v>183</v>
      </c>
      <c r="I805" s="1" t="str">
        <f aca="false">B805&amp;"|"&amp;F805&amp;"|"&amp;G805</f>
        <v>Mini-Mart Convenience Stores|S|Low Cost</v>
      </c>
      <c r="J805" s="1" t="s">
        <v>701</v>
      </c>
    </row>
    <row r="806" customFormat="false" ht="12" hidden="false" customHeight="true" outlineLevel="0" collapsed="false">
      <c r="B806" s="1" t="s">
        <v>704</v>
      </c>
      <c r="C806" s="1" t="s">
        <v>705</v>
      </c>
      <c r="D806" s="1" t="s">
        <v>497</v>
      </c>
      <c r="E806" s="1" t="s">
        <v>537</v>
      </c>
      <c r="F806" s="1" t="s">
        <v>463</v>
      </c>
      <c r="G806" s="1" t="s">
        <v>485</v>
      </c>
      <c r="H806" s="1" t="n">
        <v>133</v>
      </c>
      <c r="I806" s="1" t="str">
        <f aca="false">B806&amp;"|"&amp;F806&amp;"|"&amp;G806</f>
        <v>Roadside Markets|C|Excellent</v>
      </c>
      <c r="J806" s="1" t="s">
        <v>706</v>
      </c>
    </row>
    <row r="807" customFormat="false" ht="12" hidden="false" customHeight="true" outlineLevel="0" collapsed="false">
      <c r="B807" s="1" t="s">
        <v>704</v>
      </c>
      <c r="C807" s="1" t="s">
        <v>705</v>
      </c>
      <c r="D807" s="1" t="s">
        <v>497</v>
      </c>
      <c r="E807" s="1" t="s">
        <v>537</v>
      </c>
      <c r="F807" s="1" t="s">
        <v>463</v>
      </c>
      <c r="G807" s="1" t="s">
        <v>483</v>
      </c>
      <c r="H807" s="1" t="n">
        <v>83.5</v>
      </c>
      <c r="I807" s="1" t="str">
        <f aca="false">B807&amp;"|"&amp;F807&amp;"|"&amp;G807</f>
        <v>Roadside Markets|C|Good</v>
      </c>
      <c r="J807" s="1" t="s">
        <v>706</v>
      </c>
    </row>
    <row r="808" customFormat="false" ht="12" hidden="false" customHeight="true" outlineLevel="0" collapsed="false">
      <c r="B808" s="1" t="s">
        <v>704</v>
      </c>
      <c r="C808" s="1" t="s">
        <v>705</v>
      </c>
      <c r="D808" s="1" t="s">
        <v>497</v>
      </c>
      <c r="E808" s="1" t="s">
        <v>537</v>
      </c>
      <c r="F808" s="1" t="s">
        <v>463</v>
      </c>
      <c r="G808" s="1" t="s">
        <v>279</v>
      </c>
      <c r="H808" s="1" t="n">
        <v>53.5</v>
      </c>
      <c r="I808" s="1" t="str">
        <f aca="false">B808&amp;"|"&amp;F808&amp;"|"&amp;G808</f>
        <v>Roadside Markets|C|Average</v>
      </c>
      <c r="J808" s="1" t="s">
        <v>706</v>
      </c>
    </row>
    <row r="809" customFormat="false" ht="12" hidden="false" customHeight="true" outlineLevel="0" collapsed="false">
      <c r="B809" s="1" t="s">
        <v>704</v>
      </c>
      <c r="C809" s="1" t="s">
        <v>705</v>
      </c>
      <c r="D809" s="1" t="s">
        <v>497</v>
      </c>
      <c r="E809" s="1" t="s">
        <v>537</v>
      </c>
      <c r="F809" s="1" t="s">
        <v>468</v>
      </c>
      <c r="G809" s="1" t="s">
        <v>485</v>
      </c>
      <c r="H809" s="1" t="n">
        <v>123</v>
      </c>
      <c r="I809" s="1" t="str">
        <f aca="false">B809&amp;"|"&amp;F809&amp;"|"&amp;G809</f>
        <v>Roadside Markets|D|Excellent</v>
      </c>
      <c r="J809" s="1" t="s">
        <v>706</v>
      </c>
    </row>
    <row r="810" customFormat="false" ht="12" hidden="false" customHeight="true" outlineLevel="0" collapsed="false">
      <c r="B810" s="1" t="s">
        <v>704</v>
      </c>
      <c r="C810" s="1" t="s">
        <v>705</v>
      </c>
      <c r="D810" s="1" t="s">
        <v>497</v>
      </c>
      <c r="E810" s="1" t="s">
        <v>537</v>
      </c>
      <c r="F810" s="1" t="s">
        <v>468</v>
      </c>
      <c r="G810" s="1" t="s">
        <v>483</v>
      </c>
      <c r="H810" s="1" t="n">
        <v>75</v>
      </c>
      <c r="I810" s="1" t="str">
        <f aca="false">B810&amp;"|"&amp;F810&amp;"|"&amp;G810</f>
        <v>Roadside Markets|D|Good</v>
      </c>
      <c r="J810" s="1" t="s">
        <v>706</v>
      </c>
    </row>
    <row r="811" customFormat="false" ht="12" hidden="false" customHeight="true" outlineLevel="0" collapsed="false">
      <c r="B811" s="1" t="s">
        <v>704</v>
      </c>
      <c r="C811" s="1" t="s">
        <v>705</v>
      </c>
      <c r="D811" s="1" t="s">
        <v>497</v>
      </c>
      <c r="E811" s="1" t="s">
        <v>537</v>
      </c>
      <c r="F811" s="1" t="s">
        <v>468</v>
      </c>
      <c r="G811" s="1" t="s">
        <v>279</v>
      </c>
      <c r="H811" s="1" t="n">
        <v>46.75</v>
      </c>
      <c r="I811" s="1" t="str">
        <f aca="false">B811&amp;"|"&amp;F811&amp;"|"&amp;G811</f>
        <v>Roadside Markets|D|Average</v>
      </c>
      <c r="J811" s="1" t="s">
        <v>706</v>
      </c>
    </row>
    <row r="812" customFormat="false" ht="12" hidden="false" customHeight="true" outlineLevel="0" collapsed="false">
      <c r="B812" s="1" t="s">
        <v>704</v>
      </c>
      <c r="C812" s="1" t="s">
        <v>705</v>
      </c>
      <c r="D812" s="1" t="s">
        <v>497</v>
      </c>
      <c r="E812" s="1" t="s">
        <v>537</v>
      </c>
      <c r="F812" s="1" t="s">
        <v>468</v>
      </c>
      <c r="G812" s="1" t="s">
        <v>480</v>
      </c>
      <c r="H812" s="1" t="n">
        <v>27.75</v>
      </c>
      <c r="I812" s="1" t="str">
        <f aca="false">B812&amp;"|"&amp;F812&amp;"|"&amp;G812</f>
        <v>Roadside Markets|D|Low Cost</v>
      </c>
      <c r="J812" s="1" t="s">
        <v>706</v>
      </c>
    </row>
    <row r="813" customFormat="false" ht="12" hidden="false" customHeight="true" outlineLevel="0" collapsed="false">
      <c r="B813" s="1" t="s">
        <v>704</v>
      </c>
      <c r="C813" s="1" t="s">
        <v>705</v>
      </c>
      <c r="D813" s="1" t="s">
        <v>497</v>
      </c>
      <c r="E813" s="1" t="s">
        <v>537</v>
      </c>
      <c r="F813" s="1" t="s">
        <v>468</v>
      </c>
      <c r="G813" s="1" t="s">
        <v>567</v>
      </c>
      <c r="H813" s="1" t="n">
        <v>17.2</v>
      </c>
      <c r="I813" s="1" t="str">
        <f aca="false">B813&amp;"|"&amp;F813&amp;"|"&amp;G813</f>
        <v>Roadside Markets|D|Cheap</v>
      </c>
      <c r="J813" s="1" t="s">
        <v>706</v>
      </c>
    </row>
    <row r="814" customFormat="false" ht="12" hidden="false" customHeight="true" outlineLevel="0" collapsed="false">
      <c r="B814" s="1" t="s">
        <v>704</v>
      </c>
      <c r="C814" s="1" t="s">
        <v>705</v>
      </c>
      <c r="D814" s="1" t="s">
        <v>497</v>
      </c>
      <c r="E814" s="1" t="s">
        <v>537</v>
      </c>
      <c r="F814" s="1" t="s">
        <v>566</v>
      </c>
      <c r="G814" s="1" t="s">
        <v>485</v>
      </c>
      <c r="H814" s="1" t="n">
        <v>118</v>
      </c>
      <c r="I814" s="1" t="str">
        <f aca="false">B814&amp;"|"&amp;F814&amp;"|"&amp;G814</f>
        <v>Roadside Markets|DPOLE|Excellent</v>
      </c>
      <c r="J814" s="1" t="s">
        <v>706</v>
      </c>
    </row>
    <row r="815" customFormat="false" ht="12" hidden="false" customHeight="true" outlineLevel="0" collapsed="false">
      <c r="B815" s="1" t="s">
        <v>704</v>
      </c>
      <c r="C815" s="1" t="s">
        <v>705</v>
      </c>
      <c r="D815" s="1" t="s">
        <v>497</v>
      </c>
      <c r="E815" s="1" t="s">
        <v>537</v>
      </c>
      <c r="F815" s="1" t="s">
        <v>566</v>
      </c>
      <c r="G815" s="1" t="s">
        <v>483</v>
      </c>
      <c r="H815" s="1" t="n">
        <v>70</v>
      </c>
      <c r="I815" s="1" t="str">
        <f aca="false">B815&amp;"|"&amp;F815&amp;"|"&amp;G815</f>
        <v>Roadside Markets|DPOLE|Good</v>
      </c>
      <c r="J815" s="1" t="s">
        <v>706</v>
      </c>
    </row>
    <row r="816" customFormat="false" ht="12" hidden="false" customHeight="true" outlineLevel="0" collapsed="false">
      <c r="B816" s="1" t="s">
        <v>704</v>
      </c>
      <c r="C816" s="1" t="s">
        <v>705</v>
      </c>
      <c r="D816" s="1" t="s">
        <v>497</v>
      </c>
      <c r="E816" s="1" t="s">
        <v>537</v>
      </c>
      <c r="F816" s="1" t="s">
        <v>566</v>
      </c>
      <c r="G816" s="1" t="s">
        <v>279</v>
      </c>
      <c r="H816" s="1" t="n">
        <v>42.5</v>
      </c>
      <c r="I816" s="1" t="str">
        <f aca="false">B816&amp;"|"&amp;F816&amp;"|"&amp;G816</f>
        <v>Roadside Markets|DPOLE|Average</v>
      </c>
      <c r="J816" s="1" t="s">
        <v>706</v>
      </c>
    </row>
    <row r="817" customFormat="false" ht="12" hidden="false" customHeight="true" outlineLevel="0" collapsed="false">
      <c r="B817" s="1" t="s">
        <v>704</v>
      </c>
      <c r="C817" s="1" t="s">
        <v>705</v>
      </c>
      <c r="D817" s="1" t="s">
        <v>497</v>
      </c>
      <c r="E817" s="1" t="s">
        <v>537</v>
      </c>
      <c r="F817" s="1" t="s">
        <v>566</v>
      </c>
      <c r="G817" s="1" t="s">
        <v>480</v>
      </c>
      <c r="H817" s="1" t="n">
        <v>24.5</v>
      </c>
      <c r="I817" s="1" t="str">
        <f aca="false">B817&amp;"|"&amp;F817&amp;"|"&amp;G817</f>
        <v>Roadside Markets|DPOLE|Low Cost</v>
      </c>
      <c r="J817" s="1" t="s">
        <v>706</v>
      </c>
    </row>
    <row r="818" customFormat="false" ht="12" hidden="false" customHeight="true" outlineLevel="0" collapsed="false">
      <c r="B818" s="1" t="s">
        <v>704</v>
      </c>
      <c r="C818" s="1" t="s">
        <v>705</v>
      </c>
      <c r="D818" s="1" t="s">
        <v>497</v>
      </c>
      <c r="E818" s="1" t="s">
        <v>537</v>
      </c>
      <c r="F818" s="1" t="s">
        <v>566</v>
      </c>
      <c r="G818" s="1" t="s">
        <v>567</v>
      </c>
      <c r="H818" s="1" t="n">
        <v>14.9</v>
      </c>
      <c r="I818" s="1" t="str">
        <f aca="false">B818&amp;"|"&amp;F818&amp;"|"&amp;G818</f>
        <v>Roadside Markets|DPOLE|Cheap</v>
      </c>
      <c r="J818" s="1" t="s">
        <v>706</v>
      </c>
    </row>
    <row r="819" customFormat="false" ht="12" hidden="false" customHeight="true" outlineLevel="0" collapsed="false">
      <c r="B819" s="1" t="s">
        <v>704</v>
      </c>
      <c r="C819" s="1" t="s">
        <v>705</v>
      </c>
      <c r="D819" s="1" t="s">
        <v>497</v>
      </c>
      <c r="E819" s="1" t="s">
        <v>537</v>
      </c>
      <c r="F819" s="1" t="s">
        <v>473</v>
      </c>
      <c r="G819" s="1" t="s">
        <v>485</v>
      </c>
      <c r="H819" s="1" t="n">
        <v>121</v>
      </c>
      <c r="I819" s="1" t="str">
        <f aca="false">B819&amp;"|"&amp;F819&amp;"|"&amp;G819</f>
        <v>Roadside Markets|S|Excellent</v>
      </c>
      <c r="J819" s="1" t="s">
        <v>706</v>
      </c>
    </row>
    <row r="820" customFormat="false" ht="12" hidden="false" customHeight="true" outlineLevel="0" collapsed="false">
      <c r="B820" s="1" t="s">
        <v>704</v>
      </c>
      <c r="C820" s="1" t="s">
        <v>705</v>
      </c>
      <c r="D820" s="1" t="s">
        <v>497</v>
      </c>
      <c r="E820" s="1" t="s">
        <v>537</v>
      </c>
      <c r="F820" s="1" t="s">
        <v>473</v>
      </c>
      <c r="G820" s="1" t="s">
        <v>483</v>
      </c>
      <c r="H820" s="1" t="n">
        <v>74</v>
      </c>
      <c r="I820" s="1" t="str">
        <f aca="false">B820&amp;"|"&amp;F820&amp;"|"&amp;G820</f>
        <v>Roadside Markets|S|Good</v>
      </c>
      <c r="J820" s="1" t="s">
        <v>706</v>
      </c>
    </row>
    <row r="821" customFormat="false" ht="12" hidden="false" customHeight="true" outlineLevel="0" collapsed="false">
      <c r="B821" s="1" t="s">
        <v>704</v>
      </c>
      <c r="C821" s="1" t="s">
        <v>705</v>
      </c>
      <c r="D821" s="1" t="s">
        <v>497</v>
      </c>
      <c r="E821" s="1" t="s">
        <v>537</v>
      </c>
      <c r="F821" s="1" t="s">
        <v>473</v>
      </c>
      <c r="G821" s="1" t="s">
        <v>279</v>
      </c>
      <c r="H821" s="1" t="n">
        <v>46</v>
      </c>
      <c r="I821" s="1" t="str">
        <f aca="false">B821&amp;"|"&amp;F821&amp;"|"&amp;G821</f>
        <v>Roadside Markets|S|Average</v>
      </c>
      <c r="J821" s="1" t="s">
        <v>706</v>
      </c>
    </row>
    <row r="822" customFormat="false" ht="12" hidden="false" customHeight="true" outlineLevel="0" collapsed="false">
      <c r="B822" s="1" t="s">
        <v>704</v>
      </c>
      <c r="C822" s="1" t="s">
        <v>705</v>
      </c>
      <c r="D822" s="1" t="s">
        <v>497</v>
      </c>
      <c r="E822" s="1" t="s">
        <v>537</v>
      </c>
      <c r="F822" s="1" t="s">
        <v>473</v>
      </c>
      <c r="G822" s="1" t="s">
        <v>480</v>
      </c>
      <c r="H822" s="1" t="n">
        <v>27.25</v>
      </c>
      <c r="I822" s="1" t="str">
        <f aca="false">B822&amp;"|"&amp;F822&amp;"|"&amp;G822</f>
        <v>Roadside Markets|S|Low Cost</v>
      </c>
      <c r="J822" s="1" t="s">
        <v>706</v>
      </c>
    </row>
    <row r="823" customFormat="false" ht="12" hidden="false" customHeight="true" outlineLevel="0" collapsed="false">
      <c r="B823" s="1" t="s">
        <v>707</v>
      </c>
      <c r="C823" s="1" t="s">
        <v>708</v>
      </c>
      <c r="D823" s="1" t="s">
        <v>497</v>
      </c>
      <c r="E823" s="1" t="s">
        <v>539</v>
      </c>
      <c r="F823" s="1" t="s">
        <v>523</v>
      </c>
      <c r="G823" s="1" t="s">
        <v>483</v>
      </c>
      <c r="H823" s="1" t="n">
        <v>448</v>
      </c>
      <c r="I823" s="1" t="str">
        <f aca="false">B823&amp;"|"&amp;F823&amp;"|"&amp;G823</f>
        <v>Luxury Boutiques|A-B|Good</v>
      </c>
      <c r="J823" s="1" t="s">
        <v>709</v>
      </c>
    </row>
    <row r="824" customFormat="false" ht="12" hidden="false" customHeight="true" outlineLevel="0" collapsed="false">
      <c r="B824" s="1" t="s">
        <v>707</v>
      </c>
      <c r="C824" s="1" t="s">
        <v>708</v>
      </c>
      <c r="D824" s="1" t="s">
        <v>497</v>
      </c>
      <c r="E824" s="1" t="s">
        <v>539</v>
      </c>
      <c r="F824" s="1" t="s">
        <v>523</v>
      </c>
      <c r="G824" s="1" t="s">
        <v>279</v>
      </c>
      <c r="H824" s="1" t="n">
        <v>354</v>
      </c>
      <c r="I824" s="1" t="str">
        <f aca="false">B824&amp;"|"&amp;F824&amp;"|"&amp;G824</f>
        <v>Luxury Boutiques|A-B|Average</v>
      </c>
      <c r="J824" s="1" t="s">
        <v>709</v>
      </c>
    </row>
    <row r="825" customFormat="false" ht="12" hidden="false" customHeight="true" outlineLevel="0" collapsed="false">
      <c r="B825" s="1" t="s">
        <v>707</v>
      </c>
      <c r="C825" s="1" t="s">
        <v>708</v>
      </c>
      <c r="D825" s="1" t="s">
        <v>497</v>
      </c>
      <c r="E825" s="1" t="s">
        <v>539</v>
      </c>
      <c r="F825" s="1" t="s">
        <v>463</v>
      </c>
      <c r="G825" s="1" t="s">
        <v>483</v>
      </c>
      <c r="H825" s="1" t="n">
        <v>386</v>
      </c>
      <c r="I825" s="1" t="str">
        <f aca="false">B825&amp;"|"&amp;F825&amp;"|"&amp;G825</f>
        <v>Luxury Boutiques|C|Good</v>
      </c>
      <c r="J825" s="1" t="s">
        <v>709</v>
      </c>
    </row>
    <row r="826" customFormat="false" ht="12" hidden="false" customHeight="true" outlineLevel="0" collapsed="false">
      <c r="B826" s="1" t="s">
        <v>707</v>
      </c>
      <c r="C826" s="1" t="s">
        <v>708</v>
      </c>
      <c r="D826" s="1" t="s">
        <v>497</v>
      </c>
      <c r="E826" s="1" t="s">
        <v>539</v>
      </c>
      <c r="F826" s="1" t="s">
        <v>463</v>
      </c>
      <c r="G826" s="1" t="s">
        <v>279</v>
      </c>
      <c r="H826" s="1" t="n">
        <v>303</v>
      </c>
      <c r="I826" s="1" t="str">
        <f aca="false">B826&amp;"|"&amp;F826&amp;"|"&amp;G826</f>
        <v>Luxury Boutiques|C|Average</v>
      </c>
      <c r="J826" s="1" t="s">
        <v>709</v>
      </c>
    </row>
    <row r="827" customFormat="false" ht="12" hidden="false" customHeight="true" outlineLevel="0" collapsed="false">
      <c r="B827" s="1" t="s">
        <v>707</v>
      </c>
      <c r="C827" s="1" t="s">
        <v>708</v>
      </c>
      <c r="D827" s="1" t="s">
        <v>497</v>
      </c>
      <c r="E827" s="1" t="s">
        <v>539</v>
      </c>
      <c r="F827" s="1" t="s">
        <v>463</v>
      </c>
      <c r="G827" s="1" t="s">
        <v>480</v>
      </c>
      <c r="H827" s="1" t="n">
        <v>237</v>
      </c>
      <c r="I827" s="1" t="str">
        <f aca="false">B827&amp;"|"&amp;F827&amp;"|"&amp;G827</f>
        <v>Luxury Boutiques|C|Low Cost</v>
      </c>
      <c r="J827" s="1" t="s">
        <v>709</v>
      </c>
    </row>
    <row r="828" customFormat="false" ht="12" hidden="false" customHeight="true" outlineLevel="0" collapsed="false">
      <c r="B828" s="1" t="s">
        <v>707</v>
      </c>
      <c r="C828" s="1" t="s">
        <v>708</v>
      </c>
      <c r="D828" s="1" t="s">
        <v>497</v>
      </c>
      <c r="E828" s="1" t="s">
        <v>539</v>
      </c>
      <c r="F828" s="1" t="s">
        <v>468</v>
      </c>
      <c r="G828" s="1" t="s">
        <v>483</v>
      </c>
      <c r="H828" s="1" t="n">
        <v>370</v>
      </c>
      <c r="I828" s="1" t="str">
        <f aca="false">B828&amp;"|"&amp;F828&amp;"|"&amp;G828</f>
        <v>Luxury Boutiques|D|Good</v>
      </c>
      <c r="J828" s="1" t="s">
        <v>709</v>
      </c>
    </row>
    <row r="829" customFormat="false" ht="12" hidden="false" customHeight="true" outlineLevel="0" collapsed="false">
      <c r="B829" s="1" t="s">
        <v>707</v>
      </c>
      <c r="C829" s="1" t="s">
        <v>708</v>
      </c>
      <c r="D829" s="1" t="s">
        <v>497</v>
      </c>
      <c r="E829" s="1" t="s">
        <v>539</v>
      </c>
      <c r="F829" s="1" t="s">
        <v>468</v>
      </c>
      <c r="G829" s="1" t="s">
        <v>279</v>
      </c>
      <c r="H829" s="1" t="n">
        <v>290</v>
      </c>
      <c r="I829" s="1" t="str">
        <f aca="false">B829&amp;"|"&amp;F829&amp;"|"&amp;G829</f>
        <v>Luxury Boutiques|D|Average</v>
      </c>
      <c r="J829" s="1" t="s">
        <v>709</v>
      </c>
    </row>
    <row r="830" customFormat="false" ht="12" hidden="false" customHeight="true" outlineLevel="0" collapsed="false">
      <c r="B830" s="1" t="s">
        <v>707</v>
      </c>
      <c r="C830" s="1" t="s">
        <v>708</v>
      </c>
      <c r="D830" s="1" t="s">
        <v>497</v>
      </c>
      <c r="E830" s="1" t="s">
        <v>539</v>
      </c>
      <c r="F830" s="1" t="s">
        <v>468</v>
      </c>
      <c r="G830" s="1" t="s">
        <v>480</v>
      </c>
      <c r="H830" s="1" t="n">
        <v>225</v>
      </c>
      <c r="I830" s="1" t="str">
        <f aca="false">B830&amp;"|"&amp;F830&amp;"|"&amp;G830</f>
        <v>Luxury Boutiques|D|Low Cost</v>
      </c>
      <c r="J830" s="1" t="s">
        <v>709</v>
      </c>
    </row>
    <row r="831" customFormat="false" ht="12" hidden="false" customHeight="true" outlineLevel="0" collapsed="false">
      <c r="B831" s="1" t="s">
        <v>710</v>
      </c>
      <c r="C831" s="1" t="s">
        <v>711</v>
      </c>
      <c r="D831" s="1" t="s">
        <v>497</v>
      </c>
      <c r="E831" s="1" t="s">
        <v>539</v>
      </c>
      <c r="F831" s="1" t="s">
        <v>463</v>
      </c>
      <c r="G831" s="1" t="s">
        <v>485</v>
      </c>
      <c r="H831" s="1" t="n">
        <v>447</v>
      </c>
      <c r="I831" s="1" t="str">
        <f aca="false">B831&amp;"|"&amp;F831&amp;"|"&amp;G831</f>
        <v>Winery (Tasting – Display) Shops|C|Excellent</v>
      </c>
      <c r="J831" s="1" t="s">
        <v>709</v>
      </c>
    </row>
    <row r="832" customFormat="false" ht="12" hidden="false" customHeight="true" outlineLevel="0" collapsed="false">
      <c r="B832" s="1" t="s">
        <v>710</v>
      </c>
      <c r="C832" s="1" t="s">
        <v>711</v>
      </c>
      <c r="D832" s="1" t="s">
        <v>497</v>
      </c>
      <c r="E832" s="1" t="s">
        <v>539</v>
      </c>
      <c r="F832" s="1" t="s">
        <v>463</v>
      </c>
      <c r="G832" s="1" t="s">
        <v>483</v>
      </c>
      <c r="H832" s="1" t="n">
        <v>264</v>
      </c>
      <c r="I832" s="1" t="str">
        <f aca="false">B832&amp;"|"&amp;F832&amp;"|"&amp;G832</f>
        <v>Winery (Tasting – Display) Shops|C|Good</v>
      </c>
      <c r="J832" s="1" t="s">
        <v>709</v>
      </c>
    </row>
    <row r="833" customFormat="false" ht="12" hidden="false" customHeight="true" outlineLevel="0" collapsed="false">
      <c r="B833" s="1" t="s">
        <v>710</v>
      </c>
      <c r="C833" s="1" t="s">
        <v>711</v>
      </c>
      <c r="D833" s="1" t="s">
        <v>497</v>
      </c>
      <c r="E833" s="1" t="s">
        <v>539</v>
      </c>
      <c r="F833" s="1" t="s">
        <v>463</v>
      </c>
      <c r="G833" s="1" t="s">
        <v>279</v>
      </c>
      <c r="H833" s="1" t="n">
        <v>158</v>
      </c>
      <c r="I833" s="1" t="str">
        <f aca="false">B833&amp;"|"&amp;F833&amp;"|"&amp;G833</f>
        <v>Winery (Tasting – Display) Shops|C|Average</v>
      </c>
      <c r="J833" s="1" t="s">
        <v>709</v>
      </c>
    </row>
    <row r="834" customFormat="false" ht="12" hidden="false" customHeight="true" outlineLevel="0" collapsed="false">
      <c r="B834" s="1" t="s">
        <v>710</v>
      </c>
      <c r="C834" s="1" t="s">
        <v>711</v>
      </c>
      <c r="D834" s="1" t="s">
        <v>497</v>
      </c>
      <c r="E834" s="1" t="s">
        <v>539</v>
      </c>
      <c r="F834" s="1" t="s">
        <v>463</v>
      </c>
      <c r="G834" s="1" t="s">
        <v>480</v>
      </c>
      <c r="H834" s="1" t="n">
        <v>97</v>
      </c>
      <c r="I834" s="1" t="str">
        <f aca="false">B834&amp;"|"&amp;F834&amp;"|"&amp;G834</f>
        <v>Winery (Tasting – Display) Shops|C|Low Cost</v>
      </c>
      <c r="J834" s="1" t="s">
        <v>709</v>
      </c>
    </row>
    <row r="835" customFormat="false" ht="12" hidden="false" customHeight="true" outlineLevel="0" collapsed="false">
      <c r="B835" s="1" t="s">
        <v>710</v>
      </c>
      <c r="C835" s="1" t="s">
        <v>711</v>
      </c>
      <c r="D835" s="1" t="s">
        <v>497</v>
      </c>
      <c r="E835" s="1" t="s">
        <v>539</v>
      </c>
      <c r="F835" s="1" t="s">
        <v>468</v>
      </c>
      <c r="G835" s="1" t="s">
        <v>485</v>
      </c>
      <c r="H835" s="1" t="n">
        <v>430</v>
      </c>
      <c r="I835" s="1" t="str">
        <f aca="false">B835&amp;"|"&amp;F835&amp;"|"&amp;G835</f>
        <v>Winery (Tasting – Display) Shops|D|Excellent</v>
      </c>
      <c r="J835" s="1" t="s">
        <v>709</v>
      </c>
    </row>
    <row r="836" customFormat="false" ht="12" hidden="false" customHeight="true" outlineLevel="0" collapsed="false">
      <c r="B836" s="1" t="s">
        <v>710</v>
      </c>
      <c r="C836" s="1" t="s">
        <v>711</v>
      </c>
      <c r="D836" s="1" t="s">
        <v>497</v>
      </c>
      <c r="E836" s="1" t="s">
        <v>539</v>
      </c>
      <c r="F836" s="1" t="s">
        <v>468</v>
      </c>
      <c r="G836" s="1" t="s">
        <v>483</v>
      </c>
      <c r="H836" s="1" t="n">
        <v>249</v>
      </c>
      <c r="I836" s="1" t="str">
        <f aca="false">B836&amp;"|"&amp;F836&amp;"|"&amp;G836</f>
        <v>Winery (Tasting – Display) Shops|D|Good</v>
      </c>
      <c r="J836" s="1" t="s">
        <v>709</v>
      </c>
    </row>
    <row r="837" customFormat="false" ht="12" hidden="false" customHeight="true" outlineLevel="0" collapsed="false">
      <c r="B837" s="1" t="s">
        <v>710</v>
      </c>
      <c r="C837" s="1" t="s">
        <v>711</v>
      </c>
      <c r="D837" s="1" t="s">
        <v>497</v>
      </c>
      <c r="E837" s="1" t="s">
        <v>539</v>
      </c>
      <c r="F837" s="1" t="s">
        <v>468</v>
      </c>
      <c r="G837" s="1" t="s">
        <v>279</v>
      </c>
      <c r="H837" s="1" t="n">
        <v>148</v>
      </c>
      <c r="I837" s="1" t="str">
        <f aca="false">B837&amp;"|"&amp;F837&amp;"|"&amp;G837</f>
        <v>Winery (Tasting – Display) Shops|D|Average</v>
      </c>
      <c r="J837" s="1" t="s">
        <v>709</v>
      </c>
    </row>
    <row r="838" customFormat="false" ht="12" hidden="false" customHeight="true" outlineLevel="0" collapsed="false">
      <c r="B838" s="1" t="s">
        <v>710</v>
      </c>
      <c r="C838" s="1" t="s">
        <v>711</v>
      </c>
      <c r="D838" s="1" t="s">
        <v>497</v>
      </c>
      <c r="E838" s="1" t="s">
        <v>539</v>
      </c>
      <c r="F838" s="1" t="s">
        <v>468</v>
      </c>
      <c r="G838" s="1" t="s">
        <v>480</v>
      </c>
      <c r="H838" s="1" t="n">
        <v>89</v>
      </c>
      <c r="I838" s="1" t="str">
        <f aca="false">B838&amp;"|"&amp;F838&amp;"|"&amp;G838</f>
        <v>Winery (Tasting – Display) Shops|D|Low Cost</v>
      </c>
      <c r="J838" s="1" t="s">
        <v>709</v>
      </c>
    </row>
    <row r="839" customFormat="false" ht="12" hidden="false" customHeight="true" outlineLevel="0" collapsed="false">
      <c r="B839" s="1" t="s">
        <v>710</v>
      </c>
      <c r="C839" s="1" t="s">
        <v>711</v>
      </c>
      <c r="D839" s="1" t="s">
        <v>497</v>
      </c>
      <c r="E839" s="1" t="s">
        <v>539</v>
      </c>
      <c r="F839" s="1" t="s">
        <v>566</v>
      </c>
      <c r="G839" s="1" t="s">
        <v>480</v>
      </c>
      <c r="H839" s="1" t="n">
        <v>84.5</v>
      </c>
      <c r="I839" s="1" t="str">
        <f aca="false">B839&amp;"|"&amp;F839&amp;"|"&amp;G839</f>
        <v>Winery (Tasting – Display) Shops|DPOLE|Low Cost</v>
      </c>
      <c r="J839" s="1" t="s">
        <v>709</v>
      </c>
    </row>
    <row r="840" customFormat="false" ht="12" hidden="false" customHeight="true" outlineLevel="0" collapsed="false">
      <c r="B840" s="1" t="s">
        <v>710</v>
      </c>
      <c r="C840" s="1" t="s">
        <v>711</v>
      </c>
      <c r="D840" s="1" t="s">
        <v>497</v>
      </c>
      <c r="E840" s="1" t="s">
        <v>539</v>
      </c>
      <c r="F840" s="1" t="s">
        <v>473</v>
      </c>
      <c r="G840" s="1" t="s">
        <v>279</v>
      </c>
      <c r="H840" s="1" t="n">
        <v>145</v>
      </c>
      <c r="I840" s="1" t="str">
        <f aca="false">B840&amp;"|"&amp;F840&amp;"|"&amp;G840</f>
        <v>Winery (Tasting – Display) Shops|S|Average</v>
      </c>
      <c r="J840" s="1" t="s">
        <v>709</v>
      </c>
    </row>
    <row r="841" customFormat="false" ht="12" hidden="false" customHeight="true" outlineLevel="0" collapsed="false">
      <c r="B841" s="1" t="s">
        <v>710</v>
      </c>
      <c r="C841" s="1" t="s">
        <v>711</v>
      </c>
      <c r="D841" s="1" t="s">
        <v>497</v>
      </c>
      <c r="E841" s="1" t="s">
        <v>539</v>
      </c>
      <c r="F841" s="1" t="s">
        <v>473</v>
      </c>
      <c r="G841" s="1" t="s">
        <v>480</v>
      </c>
      <c r="H841" s="1" t="n">
        <v>87.5</v>
      </c>
      <c r="I841" s="1" t="str">
        <f aca="false">B841&amp;"|"&amp;F841&amp;"|"&amp;G841</f>
        <v>Winery (Tasting – Display) Shops|S|Low Cost</v>
      </c>
      <c r="J841" s="1" t="s">
        <v>709</v>
      </c>
    </row>
    <row r="842" customFormat="false" ht="12" hidden="false" customHeight="true" outlineLevel="0" collapsed="false">
      <c r="B842" s="1" t="s">
        <v>712</v>
      </c>
      <c r="C842" s="1" t="s">
        <v>713</v>
      </c>
      <c r="D842" s="1" t="s">
        <v>497</v>
      </c>
      <c r="E842" s="1" t="s">
        <v>543</v>
      </c>
      <c r="F842" s="1" t="s">
        <v>523</v>
      </c>
      <c r="G842" s="1" t="s">
        <v>279</v>
      </c>
      <c r="H842" s="1" t="n">
        <v>149</v>
      </c>
      <c r="I842" s="1" t="str">
        <f aca="false">B842&amp;"|"&amp;F842&amp;"|"&amp;G842</f>
        <v>Barber Shops/Beauty Salons|A-B|Average</v>
      </c>
      <c r="J842" s="1" t="s">
        <v>714</v>
      </c>
    </row>
    <row r="843" customFormat="false" ht="12" hidden="false" customHeight="true" outlineLevel="0" collapsed="false">
      <c r="B843" s="1" t="s">
        <v>712</v>
      </c>
      <c r="C843" s="1" t="s">
        <v>713</v>
      </c>
      <c r="D843" s="1" t="s">
        <v>497</v>
      </c>
      <c r="E843" s="1" t="s">
        <v>543</v>
      </c>
      <c r="F843" s="1" t="s">
        <v>463</v>
      </c>
      <c r="G843" s="1" t="s">
        <v>483</v>
      </c>
      <c r="H843" s="1" t="n">
        <v>147</v>
      </c>
      <c r="I843" s="1" t="str">
        <f aca="false">B843&amp;"|"&amp;F843&amp;"|"&amp;G843</f>
        <v>Barber Shops/Beauty Salons|C|Good</v>
      </c>
      <c r="J843" s="1" t="s">
        <v>714</v>
      </c>
    </row>
    <row r="844" customFormat="false" ht="12" hidden="false" customHeight="true" outlineLevel="0" collapsed="false">
      <c r="B844" s="1" t="s">
        <v>712</v>
      </c>
      <c r="C844" s="1" t="s">
        <v>713</v>
      </c>
      <c r="D844" s="1" t="s">
        <v>497</v>
      </c>
      <c r="E844" s="1" t="s">
        <v>543</v>
      </c>
      <c r="F844" s="1" t="s">
        <v>463</v>
      </c>
      <c r="G844" s="1" t="s">
        <v>279</v>
      </c>
      <c r="H844" s="1" t="n">
        <v>106</v>
      </c>
      <c r="I844" s="1" t="str">
        <f aca="false">B844&amp;"|"&amp;F844&amp;"|"&amp;G844</f>
        <v>Barber Shops/Beauty Salons|C|Average</v>
      </c>
      <c r="J844" s="1" t="s">
        <v>714</v>
      </c>
    </row>
    <row r="845" customFormat="false" ht="12" hidden="false" customHeight="true" outlineLevel="0" collapsed="false">
      <c r="B845" s="1" t="s">
        <v>712</v>
      </c>
      <c r="C845" s="1" t="s">
        <v>713</v>
      </c>
      <c r="D845" s="1" t="s">
        <v>497</v>
      </c>
      <c r="E845" s="1" t="s">
        <v>543</v>
      </c>
      <c r="F845" s="1" t="s">
        <v>468</v>
      </c>
      <c r="G845" s="1" t="s">
        <v>483</v>
      </c>
      <c r="H845" s="1" t="n">
        <v>136</v>
      </c>
      <c r="I845" s="1" t="str">
        <f aca="false">B845&amp;"|"&amp;F845&amp;"|"&amp;G845</f>
        <v>Barber Shops/Beauty Salons|D|Good</v>
      </c>
      <c r="J845" s="1" t="s">
        <v>714</v>
      </c>
    </row>
    <row r="846" customFormat="false" ht="12" hidden="false" customHeight="true" outlineLevel="0" collapsed="false">
      <c r="B846" s="1" t="s">
        <v>712</v>
      </c>
      <c r="C846" s="1" t="s">
        <v>713</v>
      </c>
      <c r="D846" s="1" t="s">
        <v>497</v>
      </c>
      <c r="E846" s="1" t="s">
        <v>543</v>
      </c>
      <c r="F846" s="1" t="s">
        <v>468</v>
      </c>
      <c r="G846" s="1" t="s">
        <v>279</v>
      </c>
      <c r="H846" s="1" t="n">
        <v>98</v>
      </c>
      <c r="I846" s="1" t="str">
        <f aca="false">B846&amp;"|"&amp;F846&amp;"|"&amp;G846</f>
        <v>Barber Shops/Beauty Salons|D|Average</v>
      </c>
      <c r="J846" s="1" t="s">
        <v>714</v>
      </c>
    </row>
    <row r="847" customFormat="false" ht="12" hidden="false" customHeight="true" outlineLevel="0" collapsed="false">
      <c r="B847" s="1" t="s">
        <v>712</v>
      </c>
      <c r="C847" s="1" t="s">
        <v>713</v>
      </c>
      <c r="D847" s="1" t="s">
        <v>497</v>
      </c>
      <c r="E847" s="1" t="s">
        <v>543</v>
      </c>
      <c r="F847" s="1" t="s">
        <v>473</v>
      </c>
      <c r="G847" s="1" t="s">
        <v>483</v>
      </c>
      <c r="H847" s="1" t="n">
        <v>135</v>
      </c>
      <c r="I847" s="1" t="str">
        <f aca="false">B847&amp;"|"&amp;F847&amp;"|"&amp;G847</f>
        <v>Barber Shops/Beauty Salons|S|Good</v>
      </c>
      <c r="J847" s="1" t="s">
        <v>714</v>
      </c>
    </row>
    <row r="848" customFormat="false" ht="12" hidden="false" customHeight="true" outlineLevel="0" collapsed="false">
      <c r="B848" s="1" t="s">
        <v>712</v>
      </c>
      <c r="C848" s="1" t="s">
        <v>713</v>
      </c>
      <c r="D848" s="1" t="s">
        <v>497</v>
      </c>
      <c r="E848" s="1" t="s">
        <v>543</v>
      </c>
      <c r="F848" s="1" t="s">
        <v>473</v>
      </c>
      <c r="G848" s="1" t="s">
        <v>279</v>
      </c>
      <c r="H848" s="1" t="n">
        <v>96.5</v>
      </c>
      <c r="I848" s="1" t="str">
        <f aca="false">B848&amp;"|"&amp;F848&amp;"|"&amp;G848</f>
        <v>Barber Shops/Beauty Salons|S|Average</v>
      </c>
      <c r="J848" s="1" t="s">
        <v>714</v>
      </c>
    </row>
    <row r="849" customFormat="false" ht="12" hidden="false" customHeight="true" outlineLevel="0" collapsed="false">
      <c r="B849" s="1" t="s">
        <v>715</v>
      </c>
      <c r="C849" s="1" t="s">
        <v>716</v>
      </c>
      <c r="D849" s="1" t="s">
        <v>497</v>
      </c>
      <c r="E849" s="1" t="s">
        <v>543</v>
      </c>
      <c r="F849" s="1" t="s">
        <v>463</v>
      </c>
      <c r="G849" s="1" t="s">
        <v>279</v>
      </c>
      <c r="H849" s="1" t="n">
        <v>119</v>
      </c>
      <c r="I849" s="1" t="str">
        <f aca="false">B849&amp;"|"&amp;F849&amp;"|"&amp;G849</f>
        <v>Laundromats|C|Average</v>
      </c>
      <c r="J849" s="1" t="s">
        <v>714</v>
      </c>
    </row>
    <row r="850" customFormat="false" ht="12" hidden="false" customHeight="true" outlineLevel="0" collapsed="false">
      <c r="B850" s="1" t="s">
        <v>715</v>
      </c>
      <c r="C850" s="1" t="s">
        <v>716</v>
      </c>
      <c r="D850" s="1" t="s">
        <v>497</v>
      </c>
      <c r="E850" s="1" t="s">
        <v>543</v>
      </c>
      <c r="F850" s="1" t="s">
        <v>468</v>
      </c>
      <c r="G850" s="1" t="s">
        <v>279</v>
      </c>
      <c r="H850" s="1" t="n">
        <v>109</v>
      </c>
      <c r="I850" s="1" t="str">
        <f aca="false">B850&amp;"|"&amp;F850&amp;"|"&amp;G850</f>
        <v>Laundromats|D|Average</v>
      </c>
      <c r="J850" s="1" t="s">
        <v>714</v>
      </c>
    </row>
    <row r="851" customFormat="false" ht="12" hidden="false" customHeight="true" outlineLevel="0" collapsed="false">
      <c r="B851" s="1" t="s">
        <v>715</v>
      </c>
      <c r="C851" s="1" t="s">
        <v>716</v>
      </c>
      <c r="D851" s="1" t="s">
        <v>497</v>
      </c>
      <c r="E851" s="1" t="s">
        <v>543</v>
      </c>
      <c r="F851" s="1" t="s">
        <v>566</v>
      </c>
      <c r="G851" s="1" t="s">
        <v>279</v>
      </c>
      <c r="H851" s="1" t="n">
        <v>103</v>
      </c>
      <c r="I851" s="1" t="str">
        <f aca="false">B851&amp;"|"&amp;F851&amp;"|"&amp;G851</f>
        <v>Laundromats|DPOLE|Average</v>
      </c>
      <c r="J851" s="1" t="s">
        <v>714</v>
      </c>
    </row>
    <row r="852" customFormat="false" ht="12" hidden="false" customHeight="true" outlineLevel="0" collapsed="false">
      <c r="B852" s="1" t="s">
        <v>715</v>
      </c>
      <c r="C852" s="1" t="s">
        <v>716</v>
      </c>
      <c r="D852" s="1" t="s">
        <v>497</v>
      </c>
      <c r="E852" s="1" t="s">
        <v>543</v>
      </c>
      <c r="F852" s="1" t="s">
        <v>473</v>
      </c>
      <c r="G852" s="1" t="s">
        <v>279</v>
      </c>
      <c r="H852" s="1" t="n">
        <v>106</v>
      </c>
      <c r="I852" s="1" t="str">
        <f aca="false">B852&amp;"|"&amp;F852&amp;"|"&amp;G852</f>
        <v>Laundromats|S|Average</v>
      </c>
      <c r="J852" s="1" t="s">
        <v>714</v>
      </c>
    </row>
    <row r="853" customFormat="false" ht="12" hidden="false" customHeight="true" outlineLevel="0" collapsed="false">
      <c r="B853" s="1" t="s">
        <v>717</v>
      </c>
      <c r="C853" s="1" t="s">
        <v>718</v>
      </c>
      <c r="D853" s="1" t="s">
        <v>497</v>
      </c>
      <c r="E853" s="1" t="s">
        <v>543</v>
      </c>
      <c r="F853" s="1" t="s">
        <v>463</v>
      </c>
      <c r="G853" s="1" t="s">
        <v>483</v>
      </c>
      <c r="H853" s="1" t="n">
        <v>152</v>
      </c>
      <c r="I853" s="1" t="str">
        <f aca="false">B853&amp;"|"&amp;F853&amp;"|"&amp;G853</f>
        <v>Laundry/Dry Cleaning|C|Good</v>
      </c>
      <c r="J853" s="1" t="s">
        <v>714</v>
      </c>
    </row>
    <row r="854" customFormat="false" ht="12" hidden="false" customHeight="true" outlineLevel="0" collapsed="false">
      <c r="B854" s="1" t="s">
        <v>717</v>
      </c>
      <c r="C854" s="1" t="s">
        <v>718</v>
      </c>
      <c r="D854" s="1" t="s">
        <v>497</v>
      </c>
      <c r="E854" s="1" t="s">
        <v>543</v>
      </c>
      <c r="F854" s="1" t="s">
        <v>463</v>
      </c>
      <c r="G854" s="1" t="s">
        <v>279</v>
      </c>
      <c r="H854" s="1" t="n">
        <v>115</v>
      </c>
      <c r="I854" s="1" t="str">
        <f aca="false">B854&amp;"|"&amp;F854&amp;"|"&amp;G854</f>
        <v>Laundry/Dry Cleaning|C|Average</v>
      </c>
      <c r="J854" s="1" t="s">
        <v>714</v>
      </c>
    </row>
    <row r="855" customFormat="false" ht="12" hidden="false" customHeight="true" outlineLevel="0" collapsed="false">
      <c r="B855" s="1" t="s">
        <v>717</v>
      </c>
      <c r="C855" s="1" t="s">
        <v>718</v>
      </c>
      <c r="D855" s="1" t="s">
        <v>497</v>
      </c>
      <c r="E855" s="1" t="s">
        <v>543</v>
      </c>
      <c r="F855" s="1" t="s">
        <v>468</v>
      </c>
      <c r="G855" s="1" t="s">
        <v>483</v>
      </c>
      <c r="H855" s="1" t="n">
        <v>142</v>
      </c>
      <c r="I855" s="1" t="str">
        <f aca="false">B855&amp;"|"&amp;F855&amp;"|"&amp;G855</f>
        <v>Laundry/Dry Cleaning|D|Good</v>
      </c>
      <c r="J855" s="1" t="s">
        <v>714</v>
      </c>
    </row>
    <row r="856" customFormat="false" ht="12" hidden="false" customHeight="true" outlineLevel="0" collapsed="false">
      <c r="B856" s="1" t="s">
        <v>717</v>
      </c>
      <c r="C856" s="1" t="s">
        <v>718</v>
      </c>
      <c r="D856" s="1" t="s">
        <v>497</v>
      </c>
      <c r="E856" s="1" t="s">
        <v>543</v>
      </c>
      <c r="F856" s="1" t="s">
        <v>468</v>
      </c>
      <c r="G856" s="1" t="s">
        <v>279</v>
      </c>
      <c r="H856" s="1" t="n">
        <v>106</v>
      </c>
      <c r="I856" s="1" t="str">
        <f aca="false">B856&amp;"|"&amp;F856&amp;"|"&amp;G856</f>
        <v>Laundry/Dry Cleaning|D|Average</v>
      </c>
      <c r="J856" s="1" t="s">
        <v>714</v>
      </c>
    </row>
    <row r="857" customFormat="false" ht="12" hidden="false" customHeight="true" outlineLevel="0" collapsed="false">
      <c r="B857" s="1" t="s">
        <v>717</v>
      </c>
      <c r="C857" s="1" t="s">
        <v>718</v>
      </c>
      <c r="D857" s="1" t="s">
        <v>497</v>
      </c>
      <c r="E857" s="1" t="s">
        <v>543</v>
      </c>
      <c r="F857" s="1" t="s">
        <v>473</v>
      </c>
      <c r="G857" s="1" t="s">
        <v>279</v>
      </c>
      <c r="H857" s="1" t="n">
        <v>103</v>
      </c>
      <c r="I857" s="1" t="str">
        <f aca="false">B857&amp;"|"&amp;F857&amp;"|"&amp;G857</f>
        <v>Laundry/Dry Cleaning|S|Average</v>
      </c>
      <c r="J857" s="1" t="s">
        <v>714</v>
      </c>
    </row>
    <row r="858" customFormat="false" ht="12" hidden="false" customHeight="true" outlineLevel="0" collapsed="false">
      <c r="B858" s="1" t="s">
        <v>719</v>
      </c>
      <c r="C858" s="1" t="s">
        <v>720</v>
      </c>
      <c r="D858" s="1" t="s">
        <v>497</v>
      </c>
      <c r="E858" s="1" t="s">
        <v>543</v>
      </c>
      <c r="F858" s="1" t="s">
        <v>463</v>
      </c>
      <c r="G858" s="1" t="s">
        <v>279</v>
      </c>
      <c r="H858" s="1" t="n">
        <v>132</v>
      </c>
      <c r="I858" s="1" t="str">
        <f aca="false">B858&amp;"|"&amp;F858&amp;"|"&amp;G858</f>
        <v>Dairy Sales|C|Average</v>
      </c>
      <c r="J858" s="1" t="s">
        <v>714</v>
      </c>
    </row>
    <row r="859" customFormat="false" ht="12" hidden="false" customHeight="true" outlineLevel="0" collapsed="false">
      <c r="B859" s="1" t="s">
        <v>719</v>
      </c>
      <c r="C859" s="1" t="s">
        <v>720</v>
      </c>
      <c r="D859" s="1" t="s">
        <v>497</v>
      </c>
      <c r="E859" s="1" t="s">
        <v>543</v>
      </c>
      <c r="F859" s="1" t="s">
        <v>468</v>
      </c>
      <c r="G859" s="1" t="s">
        <v>279</v>
      </c>
      <c r="H859" s="1" t="n">
        <v>123</v>
      </c>
      <c r="I859" s="1" t="str">
        <f aca="false">B859&amp;"|"&amp;F859&amp;"|"&amp;G859</f>
        <v>Dairy Sales|D|Average</v>
      </c>
      <c r="J859" s="1" t="s">
        <v>714</v>
      </c>
    </row>
    <row r="860" customFormat="false" ht="12" hidden="false" customHeight="true" outlineLevel="0" collapsed="false">
      <c r="B860" s="1" t="s">
        <v>719</v>
      </c>
      <c r="C860" s="1" t="s">
        <v>720</v>
      </c>
      <c r="D860" s="1" t="s">
        <v>497</v>
      </c>
      <c r="E860" s="1" t="s">
        <v>543</v>
      </c>
      <c r="F860" s="1" t="s">
        <v>473</v>
      </c>
      <c r="G860" s="1" t="s">
        <v>279</v>
      </c>
      <c r="H860" s="1" t="n">
        <v>121</v>
      </c>
      <c r="I860" s="1" t="str">
        <f aca="false">B860&amp;"|"&amp;F860&amp;"|"&amp;G860</f>
        <v>Dairy Sales|S|Average</v>
      </c>
      <c r="J860" s="1" t="s">
        <v>714</v>
      </c>
    </row>
    <row r="861" customFormat="false" ht="12" hidden="false" customHeight="true" outlineLevel="0" collapsed="false">
      <c r="B861" s="1" t="s">
        <v>721</v>
      </c>
      <c r="C861" s="1" t="s">
        <v>722</v>
      </c>
      <c r="D861" s="1" t="s">
        <v>497</v>
      </c>
      <c r="E861" s="1" t="s">
        <v>547</v>
      </c>
      <c r="F861" s="1" t="s">
        <v>456</v>
      </c>
      <c r="G861" s="1" t="s">
        <v>485</v>
      </c>
      <c r="H861" s="1" t="n">
        <v>273</v>
      </c>
      <c r="I861" s="1" t="str">
        <f aca="false">B861&amp;"|"&amp;F861&amp;"|"&amp;G861</f>
        <v>Retail Stores|A|Excellent</v>
      </c>
      <c r="J861" s="1" t="s">
        <v>723</v>
      </c>
    </row>
    <row r="862" customFormat="false" ht="12" hidden="false" customHeight="true" outlineLevel="0" collapsed="false">
      <c r="B862" s="1" t="s">
        <v>721</v>
      </c>
      <c r="C862" s="1" t="s">
        <v>722</v>
      </c>
      <c r="D862" s="1" t="s">
        <v>497</v>
      </c>
      <c r="E862" s="1" t="s">
        <v>547</v>
      </c>
      <c r="F862" s="1" t="s">
        <v>456</v>
      </c>
      <c r="G862" s="1" t="s">
        <v>483</v>
      </c>
      <c r="H862" s="1" t="n">
        <v>205</v>
      </c>
      <c r="I862" s="1" t="str">
        <f aca="false">B862&amp;"|"&amp;F862&amp;"|"&amp;G862</f>
        <v>Retail Stores|A|Good</v>
      </c>
      <c r="J862" s="1" t="s">
        <v>723</v>
      </c>
    </row>
    <row r="863" customFormat="false" ht="12" hidden="false" customHeight="true" outlineLevel="0" collapsed="false">
      <c r="B863" s="1" t="s">
        <v>721</v>
      </c>
      <c r="C863" s="1" t="s">
        <v>722</v>
      </c>
      <c r="D863" s="1" t="s">
        <v>497</v>
      </c>
      <c r="E863" s="1" t="s">
        <v>547</v>
      </c>
      <c r="F863" s="1" t="s">
        <v>456</v>
      </c>
      <c r="G863" s="1" t="s">
        <v>279</v>
      </c>
      <c r="H863" s="1" t="n">
        <v>161</v>
      </c>
      <c r="I863" s="1" t="str">
        <f aca="false">B863&amp;"|"&amp;F863&amp;"|"&amp;G863</f>
        <v>Retail Stores|A|Average</v>
      </c>
      <c r="J863" s="1" t="s">
        <v>723</v>
      </c>
    </row>
    <row r="864" customFormat="false" ht="12" hidden="false" customHeight="true" outlineLevel="0" collapsed="false">
      <c r="B864" s="1" t="s">
        <v>721</v>
      </c>
      <c r="C864" s="1" t="s">
        <v>722</v>
      </c>
      <c r="D864" s="1" t="s">
        <v>497</v>
      </c>
      <c r="E864" s="1" t="s">
        <v>547</v>
      </c>
      <c r="F864" s="1" t="s">
        <v>456</v>
      </c>
      <c r="G864" s="1" t="s">
        <v>480</v>
      </c>
      <c r="H864" s="1" t="n">
        <v>123</v>
      </c>
      <c r="I864" s="1" t="str">
        <f aca="false">B864&amp;"|"&amp;F864&amp;"|"&amp;G864</f>
        <v>Retail Stores|A|Low Cost</v>
      </c>
      <c r="J864" s="1" t="s">
        <v>723</v>
      </c>
    </row>
    <row r="865" customFormat="false" ht="12" hidden="false" customHeight="true" outlineLevel="0" collapsed="false">
      <c r="B865" s="1" t="s">
        <v>721</v>
      </c>
      <c r="C865" s="1" t="s">
        <v>722</v>
      </c>
      <c r="D865" s="1" t="s">
        <v>497</v>
      </c>
      <c r="E865" s="1" t="s">
        <v>547</v>
      </c>
      <c r="F865" s="1" t="s">
        <v>461</v>
      </c>
      <c r="G865" s="1" t="s">
        <v>485</v>
      </c>
      <c r="H865" s="1" t="n">
        <v>248</v>
      </c>
      <c r="I865" s="1" t="str">
        <f aca="false">B865&amp;"|"&amp;F865&amp;"|"&amp;G865</f>
        <v>Retail Stores|B|Excellent</v>
      </c>
      <c r="J865" s="1" t="s">
        <v>723</v>
      </c>
    </row>
    <row r="866" customFormat="false" ht="12" hidden="false" customHeight="true" outlineLevel="0" collapsed="false">
      <c r="B866" s="1" t="s">
        <v>721</v>
      </c>
      <c r="C866" s="1" t="s">
        <v>722</v>
      </c>
      <c r="D866" s="1" t="s">
        <v>497</v>
      </c>
      <c r="E866" s="1" t="s">
        <v>547</v>
      </c>
      <c r="F866" s="1" t="s">
        <v>461</v>
      </c>
      <c r="G866" s="1" t="s">
        <v>483</v>
      </c>
      <c r="H866" s="1" t="n">
        <v>185</v>
      </c>
      <c r="I866" s="1" t="str">
        <f aca="false">B866&amp;"|"&amp;F866&amp;"|"&amp;G866</f>
        <v>Retail Stores|B|Good</v>
      </c>
      <c r="J866" s="1" t="s">
        <v>723</v>
      </c>
    </row>
    <row r="867" customFormat="false" ht="12" hidden="false" customHeight="true" outlineLevel="0" collapsed="false">
      <c r="B867" s="1" t="s">
        <v>721</v>
      </c>
      <c r="C867" s="1" t="s">
        <v>722</v>
      </c>
      <c r="D867" s="1" t="s">
        <v>497</v>
      </c>
      <c r="E867" s="1" t="s">
        <v>547</v>
      </c>
      <c r="F867" s="1" t="s">
        <v>461</v>
      </c>
      <c r="G867" s="1" t="s">
        <v>279</v>
      </c>
      <c r="H867" s="1" t="n">
        <v>145</v>
      </c>
      <c r="I867" s="1" t="str">
        <f aca="false">B867&amp;"|"&amp;F867&amp;"|"&amp;G867</f>
        <v>Retail Stores|B|Average</v>
      </c>
      <c r="J867" s="1" t="s">
        <v>723</v>
      </c>
    </row>
    <row r="868" customFormat="false" ht="12" hidden="false" customHeight="true" outlineLevel="0" collapsed="false">
      <c r="B868" s="1" t="s">
        <v>721</v>
      </c>
      <c r="C868" s="1" t="s">
        <v>722</v>
      </c>
      <c r="D868" s="1" t="s">
        <v>497</v>
      </c>
      <c r="E868" s="1" t="s">
        <v>547</v>
      </c>
      <c r="F868" s="1" t="s">
        <v>461</v>
      </c>
      <c r="G868" s="1" t="s">
        <v>480</v>
      </c>
      <c r="H868" s="1" t="n">
        <v>110</v>
      </c>
      <c r="I868" s="1" t="str">
        <f aca="false">B868&amp;"|"&amp;F868&amp;"|"&amp;G868</f>
        <v>Retail Stores|B|Low Cost</v>
      </c>
      <c r="J868" s="1" t="s">
        <v>723</v>
      </c>
    </row>
    <row r="869" customFormat="false" ht="12" hidden="false" customHeight="true" outlineLevel="0" collapsed="false">
      <c r="B869" s="1" t="s">
        <v>721</v>
      </c>
      <c r="C869" s="1" t="s">
        <v>722</v>
      </c>
      <c r="D869" s="1" t="s">
        <v>497</v>
      </c>
      <c r="E869" s="1" t="s">
        <v>547</v>
      </c>
      <c r="F869" s="1" t="s">
        <v>463</v>
      </c>
      <c r="G869" s="1" t="s">
        <v>485</v>
      </c>
      <c r="H869" s="1" t="n">
        <v>208</v>
      </c>
      <c r="I869" s="1" t="str">
        <f aca="false">B869&amp;"|"&amp;F869&amp;"|"&amp;G869</f>
        <v>Retail Stores|C|Excellent</v>
      </c>
      <c r="J869" s="1" t="s">
        <v>723</v>
      </c>
    </row>
    <row r="870" customFormat="false" ht="12" hidden="false" customHeight="true" outlineLevel="0" collapsed="false">
      <c r="B870" s="1" t="s">
        <v>721</v>
      </c>
      <c r="C870" s="1" t="s">
        <v>722</v>
      </c>
      <c r="D870" s="1" t="s">
        <v>497</v>
      </c>
      <c r="E870" s="1" t="s">
        <v>547</v>
      </c>
      <c r="F870" s="1" t="s">
        <v>463</v>
      </c>
      <c r="G870" s="1" t="s">
        <v>483</v>
      </c>
      <c r="H870" s="1" t="n">
        <v>154</v>
      </c>
      <c r="I870" s="1" t="str">
        <f aca="false">B870&amp;"|"&amp;F870&amp;"|"&amp;G870</f>
        <v>Retail Stores|C|Good</v>
      </c>
      <c r="J870" s="1" t="s">
        <v>723</v>
      </c>
    </row>
    <row r="871" customFormat="false" ht="12" hidden="false" customHeight="true" outlineLevel="0" collapsed="false">
      <c r="B871" s="1" t="s">
        <v>721</v>
      </c>
      <c r="C871" s="1" t="s">
        <v>722</v>
      </c>
      <c r="D871" s="1" t="s">
        <v>497</v>
      </c>
      <c r="E871" s="1" t="s">
        <v>547</v>
      </c>
      <c r="F871" s="1" t="s">
        <v>463</v>
      </c>
      <c r="G871" s="1" t="s">
        <v>279</v>
      </c>
      <c r="H871" s="1" t="n">
        <v>117</v>
      </c>
      <c r="I871" s="1" t="str">
        <f aca="false">B871&amp;"|"&amp;F871&amp;"|"&amp;G871</f>
        <v>Retail Stores|C|Average</v>
      </c>
      <c r="J871" s="1" t="s">
        <v>723</v>
      </c>
    </row>
    <row r="872" customFormat="false" ht="12" hidden="false" customHeight="true" outlineLevel="0" collapsed="false">
      <c r="B872" s="1" t="s">
        <v>721</v>
      </c>
      <c r="C872" s="1" t="s">
        <v>722</v>
      </c>
      <c r="D872" s="1" t="s">
        <v>497</v>
      </c>
      <c r="E872" s="1" t="s">
        <v>547</v>
      </c>
      <c r="F872" s="1" t="s">
        <v>463</v>
      </c>
      <c r="G872" s="1" t="s">
        <v>480</v>
      </c>
      <c r="H872" s="1" t="n">
        <v>84</v>
      </c>
      <c r="I872" s="1" t="str">
        <f aca="false">B872&amp;"|"&amp;F872&amp;"|"&amp;G872</f>
        <v>Retail Stores|C|Low Cost</v>
      </c>
      <c r="J872" s="1" t="s">
        <v>723</v>
      </c>
    </row>
    <row r="873" customFormat="false" ht="12" hidden="false" customHeight="true" outlineLevel="0" collapsed="false">
      <c r="B873" s="1" t="s">
        <v>721</v>
      </c>
      <c r="C873" s="1" t="s">
        <v>722</v>
      </c>
      <c r="D873" s="1" t="s">
        <v>497</v>
      </c>
      <c r="E873" s="1" t="s">
        <v>547</v>
      </c>
      <c r="F873" s="1" t="s">
        <v>468</v>
      </c>
      <c r="G873" s="1" t="s">
        <v>485</v>
      </c>
      <c r="H873" s="1" t="n">
        <v>198</v>
      </c>
      <c r="I873" s="1" t="str">
        <f aca="false">B873&amp;"|"&amp;F873&amp;"|"&amp;G873</f>
        <v>Retail Stores|D|Excellent</v>
      </c>
      <c r="J873" s="1" t="s">
        <v>723</v>
      </c>
    </row>
    <row r="874" customFormat="false" ht="12" hidden="false" customHeight="true" outlineLevel="0" collapsed="false">
      <c r="B874" s="1" t="s">
        <v>721</v>
      </c>
      <c r="C874" s="1" t="s">
        <v>722</v>
      </c>
      <c r="D874" s="1" t="s">
        <v>497</v>
      </c>
      <c r="E874" s="1" t="s">
        <v>547</v>
      </c>
      <c r="F874" s="1" t="s">
        <v>468</v>
      </c>
      <c r="G874" s="1" t="s">
        <v>483</v>
      </c>
      <c r="H874" s="1" t="n">
        <v>145</v>
      </c>
      <c r="I874" s="1" t="str">
        <f aca="false">B874&amp;"|"&amp;F874&amp;"|"&amp;G874</f>
        <v>Retail Stores|D|Good</v>
      </c>
      <c r="J874" s="1" t="s">
        <v>723</v>
      </c>
    </row>
    <row r="875" customFormat="false" ht="12" hidden="false" customHeight="true" outlineLevel="0" collapsed="false">
      <c r="B875" s="1" t="s">
        <v>721</v>
      </c>
      <c r="C875" s="1" t="s">
        <v>722</v>
      </c>
      <c r="D875" s="1" t="s">
        <v>497</v>
      </c>
      <c r="E875" s="1" t="s">
        <v>547</v>
      </c>
      <c r="F875" s="1" t="s">
        <v>468</v>
      </c>
      <c r="G875" s="1" t="s">
        <v>279</v>
      </c>
      <c r="H875" s="1" t="n">
        <v>110</v>
      </c>
      <c r="I875" s="1" t="str">
        <f aca="false">B875&amp;"|"&amp;F875&amp;"|"&amp;G875</f>
        <v>Retail Stores|D|Average</v>
      </c>
      <c r="J875" s="1" t="s">
        <v>723</v>
      </c>
    </row>
    <row r="876" customFormat="false" ht="12" hidden="false" customHeight="true" outlineLevel="0" collapsed="false">
      <c r="B876" s="1" t="s">
        <v>721</v>
      </c>
      <c r="C876" s="1" t="s">
        <v>722</v>
      </c>
      <c r="D876" s="1" t="s">
        <v>497</v>
      </c>
      <c r="E876" s="1" t="s">
        <v>547</v>
      </c>
      <c r="F876" s="1" t="s">
        <v>468</v>
      </c>
      <c r="G876" s="1" t="s">
        <v>480</v>
      </c>
      <c r="H876" s="1" t="n">
        <v>78.5</v>
      </c>
      <c r="I876" s="1" t="str">
        <f aca="false">B876&amp;"|"&amp;F876&amp;"|"&amp;G876</f>
        <v>Retail Stores|D|Low Cost</v>
      </c>
      <c r="J876" s="1" t="s">
        <v>723</v>
      </c>
    </row>
    <row r="877" customFormat="false" ht="12" hidden="false" customHeight="true" outlineLevel="0" collapsed="false">
      <c r="B877" s="1" t="s">
        <v>721</v>
      </c>
      <c r="C877" s="1" t="s">
        <v>722</v>
      </c>
      <c r="D877" s="1" t="s">
        <v>497</v>
      </c>
      <c r="E877" s="1" t="s">
        <v>547</v>
      </c>
      <c r="F877" s="1" t="s">
        <v>566</v>
      </c>
      <c r="G877" s="1" t="s">
        <v>480</v>
      </c>
      <c r="H877" s="1" t="n">
        <v>73</v>
      </c>
      <c r="I877" s="1" t="str">
        <f aca="false">B877&amp;"|"&amp;F877&amp;"|"&amp;G877</f>
        <v>Retail Stores|DPOLE|Low Cost</v>
      </c>
      <c r="J877" s="1" t="s">
        <v>723</v>
      </c>
    </row>
    <row r="878" customFormat="false" ht="12" hidden="false" customHeight="true" outlineLevel="0" collapsed="false">
      <c r="B878" s="1" t="s">
        <v>721</v>
      </c>
      <c r="C878" s="1" t="s">
        <v>722</v>
      </c>
      <c r="D878" s="1" t="s">
        <v>497</v>
      </c>
      <c r="E878" s="1" t="s">
        <v>547</v>
      </c>
      <c r="F878" s="1" t="s">
        <v>473</v>
      </c>
      <c r="G878" s="1" t="s">
        <v>483</v>
      </c>
      <c r="H878" s="1" t="n">
        <v>146</v>
      </c>
      <c r="I878" s="1" t="str">
        <f aca="false">B878&amp;"|"&amp;F878&amp;"|"&amp;G878</f>
        <v>Retail Stores|S|Good</v>
      </c>
      <c r="J878" s="1" t="s">
        <v>723</v>
      </c>
    </row>
    <row r="879" customFormat="false" ht="12" hidden="false" customHeight="true" outlineLevel="0" collapsed="false">
      <c r="B879" s="1" t="s">
        <v>721</v>
      </c>
      <c r="C879" s="1" t="s">
        <v>722</v>
      </c>
      <c r="D879" s="1" t="s">
        <v>497</v>
      </c>
      <c r="E879" s="1" t="s">
        <v>547</v>
      </c>
      <c r="F879" s="1" t="s">
        <v>473</v>
      </c>
      <c r="G879" s="1" t="s">
        <v>279</v>
      </c>
      <c r="H879" s="1" t="n">
        <v>108</v>
      </c>
      <c r="I879" s="1" t="str">
        <f aca="false">B879&amp;"|"&amp;F879&amp;"|"&amp;G879</f>
        <v>Retail Stores|S|Average</v>
      </c>
      <c r="J879" s="1" t="s">
        <v>723</v>
      </c>
    </row>
    <row r="880" customFormat="false" ht="12" hidden="false" customHeight="true" outlineLevel="0" collapsed="false">
      <c r="B880" s="1" t="s">
        <v>721</v>
      </c>
      <c r="C880" s="1" t="s">
        <v>722</v>
      </c>
      <c r="D880" s="1" t="s">
        <v>497</v>
      </c>
      <c r="E880" s="1" t="s">
        <v>547</v>
      </c>
      <c r="F880" s="1" t="s">
        <v>473</v>
      </c>
      <c r="G880" s="1" t="s">
        <v>480</v>
      </c>
      <c r="H880" s="1" t="n">
        <v>76</v>
      </c>
      <c r="I880" s="1" t="str">
        <f aca="false">B880&amp;"|"&amp;F880&amp;"|"&amp;G880</f>
        <v>Retail Stores|S|Low Cost</v>
      </c>
      <c r="J880" s="1" t="s">
        <v>723</v>
      </c>
    </row>
    <row r="881" customFormat="false" ht="12" hidden="false" customHeight="true" outlineLevel="0" collapsed="false">
      <c r="B881" s="1" t="s">
        <v>724</v>
      </c>
      <c r="C881" s="1" t="s">
        <v>725</v>
      </c>
      <c r="D881" s="1" t="s">
        <v>497</v>
      </c>
      <c r="E881" s="1" t="s">
        <v>549</v>
      </c>
      <c r="F881" s="1" t="s">
        <v>456</v>
      </c>
      <c r="G881" s="1" t="s">
        <v>485</v>
      </c>
      <c r="H881" s="1" t="n">
        <v>317</v>
      </c>
      <c r="I881" s="1" t="str">
        <f aca="false">B881&amp;"|"&amp;F881&amp;"|"&amp;G881</f>
        <v>Department Stores|A|Excellent</v>
      </c>
      <c r="J881" s="1" t="s">
        <v>726</v>
      </c>
    </row>
    <row r="882" customFormat="false" ht="12" hidden="false" customHeight="true" outlineLevel="0" collapsed="false">
      <c r="B882" s="1" t="s">
        <v>724</v>
      </c>
      <c r="C882" s="1" t="s">
        <v>725</v>
      </c>
      <c r="D882" s="1" t="s">
        <v>497</v>
      </c>
      <c r="E882" s="1" t="s">
        <v>549</v>
      </c>
      <c r="F882" s="1" t="s">
        <v>456</v>
      </c>
      <c r="G882" s="1" t="s">
        <v>483</v>
      </c>
      <c r="H882" s="1" t="n">
        <v>256</v>
      </c>
      <c r="I882" s="1" t="str">
        <f aca="false">B882&amp;"|"&amp;F882&amp;"|"&amp;G882</f>
        <v>Department Stores|A|Good</v>
      </c>
      <c r="J882" s="1" t="s">
        <v>726</v>
      </c>
    </row>
    <row r="883" customFormat="false" ht="12" hidden="false" customHeight="true" outlineLevel="0" collapsed="false">
      <c r="B883" s="1" t="s">
        <v>724</v>
      </c>
      <c r="C883" s="1" t="s">
        <v>725</v>
      </c>
      <c r="D883" s="1" t="s">
        <v>497</v>
      </c>
      <c r="E883" s="1" t="s">
        <v>549</v>
      </c>
      <c r="F883" s="1" t="s">
        <v>456</v>
      </c>
      <c r="G883" s="1" t="s">
        <v>279</v>
      </c>
      <c r="H883" s="1" t="n">
        <v>198</v>
      </c>
      <c r="I883" s="1" t="str">
        <f aca="false">B883&amp;"|"&amp;F883&amp;"|"&amp;G883</f>
        <v>Department Stores|A|Average</v>
      </c>
      <c r="J883" s="1" t="s">
        <v>726</v>
      </c>
    </row>
    <row r="884" customFormat="false" ht="12" hidden="false" customHeight="true" outlineLevel="0" collapsed="false">
      <c r="B884" s="1" t="s">
        <v>724</v>
      </c>
      <c r="C884" s="1" t="s">
        <v>725</v>
      </c>
      <c r="D884" s="1" t="s">
        <v>497</v>
      </c>
      <c r="E884" s="1" t="s">
        <v>549</v>
      </c>
      <c r="F884" s="1" t="s">
        <v>461</v>
      </c>
      <c r="G884" s="1" t="s">
        <v>485</v>
      </c>
      <c r="H884" s="1" t="n">
        <v>289</v>
      </c>
      <c r="I884" s="1" t="str">
        <f aca="false">B884&amp;"|"&amp;F884&amp;"|"&amp;G884</f>
        <v>Department Stores|B|Excellent</v>
      </c>
      <c r="J884" s="1" t="s">
        <v>726</v>
      </c>
    </row>
    <row r="885" customFormat="false" ht="12" hidden="false" customHeight="true" outlineLevel="0" collapsed="false">
      <c r="B885" s="1" t="s">
        <v>724</v>
      </c>
      <c r="C885" s="1" t="s">
        <v>725</v>
      </c>
      <c r="D885" s="1" t="s">
        <v>497</v>
      </c>
      <c r="E885" s="1" t="s">
        <v>549</v>
      </c>
      <c r="F885" s="1" t="s">
        <v>461</v>
      </c>
      <c r="G885" s="1" t="s">
        <v>483</v>
      </c>
      <c r="H885" s="1" t="n">
        <v>233</v>
      </c>
      <c r="I885" s="1" t="str">
        <f aca="false">B885&amp;"|"&amp;F885&amp;"|"&amp;G885</f>
        <v>Department Stores|B|Good</v>
      </c>
      <c r="J885" s="1" t="s">
        <v>726</v>
      </c>
    </row>
    <row r="886" customFormat="false" ht="12" hidden="false" customHeight="true" outlineLevel="0" collapsed="false">
      <c r="B886" s="1" t="s">
        <v>724</v>
      </c>
      <c r="C886" s="1" t="s">
        <v>725</v>
      </c>
      <c r="D886" s="1" t="s">
        <v>497</v>
      </c>
      <c r="E886" s="1" t="s">
        <v>549</v>
      </c>
      <c r="F886" s="1" t="s">
        <v>461</v>
      </c>
      <c r="G886" s="1" t="s">
        <v>279</v>
      </c>
      <c r="H886" s="1" t="n">
        <v>180</v>
      </c>
      <c r="I886" s="1" t="str">
        <f aca="false">B886&amp;"|"&amp;F886&amp;"|"&amp;G886</f>
        <v>Department Stores|B|Average</v>
      </c>
      <c r="J886" s="1" t="s">
        <v>726</v>
      </c>
    </row>
    <row r="887" customFormat="false" ht="12" hidden="false" customHeight="true" outlineLevel="0" collapsed="false">
      <c r="B887" s="1" t="s">
        <v>724</v>
      </c>
      <c r="C887" s="1" t="s">
        <v>725</v>
      </c>
      <c r="D887" s="1" t="s">
        <v>497</v>
      </c>
      <c r="E887" s="1" t="s">
        <v>549</v>
      </c>
      <c r="F887" s="1" t="s">
        <v>463</v>
      </c>
      <c r="G887" s="1" t="s">
        <v>485</v>
      </c>
      <c r="H887" s="1" t="n">
        <v>254</v>
      </c>
      <c r="I887" s="1" t="str">
        <f aca="false">B887&amp;"|"&amp;F887&amp;"|"&amp;G887</f>
        <v>Department Stores|C|Excellent</v>
      </c>
      <c r="J887" s="1" t="s">
        <v>726</v>
      </c>
    </row>
    <row r="888" customFormat="false" ht="12" hidden="false" customHeight="true" outlineLevel="0" collapsed="false">
      <c r="B888" s="1" t="s">
        <v>724</v>
      </c>
      <c r="C888" s="1" t="s">
        <v>725</v>
      </c>
      <c r="D888" s="1" t="s">
        <v>497</v>
      </c>
      <c r="E888" s="1" t="s">
        <v>549</v>
      </c>
      <c r="F888" s="1" t="s">
        <v>463</v>
      </c>
      <c r="G888" s="1" t="s">
        <v>483</v>
      </c>
      <c r="H888" s="1" t="n">
        <v>193</v>
      </c>
      <c r="I888" s="1" t="str">
        <f aca="false">B888&amp;"|"&amp;F888&amp;"|"&amp;G888</f>
        <v>Department Stores|C|Good</v>
      </c>
      <c r="J888" s="1" t="s">
        <v>726</v>
      </c>
    </row>
    <row r="889" customFormat="false" ht="12" hidden="false" customHeight="true" outlineLevel="0" collapsed="false">
      <c r="B889" s="1" t="s">
        <v>724</v>
      </c>
      <c r="C889" s="1" t="s">
        <v>725</v>
      </c>
      <c r="D889" s="1" t="s">
        <v>497</v>
      </c>
      <c r="E889" s="1" t="s">
        <v>549</v>
      </c>
      <c r="F889" s="1" t="s">
        <v>463</v>
      </c>
      <c r="G889" s="1" t="s">
        <v>279</v>
      </c>
      <c r="H889" s="1" t="n">
        <v>154</v>
      </c>
      <c r="I889" s="1" t="str">
        <f aca="false">B889&amp;"|"&amp;F889&amp;"|"&amp;G889</f>
        <v>Department Stores|C|Average</v>
      </c>
      <c r="J889" s="1" t="s">
        <v>726</v>
      </c>
    </row>
    <row r="890" customFormat="false" ht="12" hidden="false" customHeight="true" outlineLevel="0" collapsed="false">
      <c r="B890" s="1" t="s">
        <v>727</v>
      </c>
      <c r="C890" s="1" t="s">
        <v>728</v>
      </c>
      <c r="D890" s="1" t="s">
        <v>497</v>
      </c>
      <c r="E890" s="1" t="s">
        <v>549</v>
      </c>
      <c r="F890" s="1" t="s">
        <v>523</v>
      </c>
      <c r="G890" s="1" t="s">
        <v>483</v>
      </c>
      <c r="H890" s="1" t="n">
        <v>190</v>
      </c>
      <c r="I890" s="1" t="str">
        <f aca="false">B890&amp;"|"&amp;F890&amp;"|"&amp;G890</f>
        <v>Mall Anchor (Department/Big Box) Stores|A-B|Good</v>
      </c>
      <c r="J890" s="1" t="s">
        <v>726</v>
      </c>
    </row>
    <row r="891" customFormat="false" ht="12" hidden="false" customHeight="true" outlineLevel="0" collapsed="false">
      <c r="B891" s="1" t="s">
        <v>727</v>
      </c>
      <c r="C891" s="1" t="s">
        <v>728</v>
      </c>
      <c r="D891" s="1" t="s">
        <v>497</v>
      </c>
      <c r="E891" s="1" t="s">
        <v>549</v>
      </c>
      <c r="F891" s="1" t="s">
        <v>523</v>
      </c>
      <c r="G891" s="1" t="s">
        <v>279</v>
      </c>
      <c r="H891" s="1" t="n">
        <v>154</v>
      </c>
      <c r="I891" s="1" t="str">
        <f aca="false">B891&amp;"|"&amp;F891&amp;"|"&amp;G891</f>
        <v>Mall Anchor (Department/Big Box) Stores|A-B|Average</v>
      </c>
      <c r="J891" s="1" t="s">
        <v>726</v>
      </c>
    </row>
    <row r="892" customFormat="false" ht="12" hidden="false" customHeight="true" outlineLevel="0" collapsed="false">
      <c r="B892" s="1" t="s">
        <v>727</v>
      </c>
      <c r="C892" s="1" t="s">
        <v>728</v>
      </c>
      <c r="D892" s="1" t="s">
        <v>497</v>
      </c>
      <c r="E892" s="1" t="s">
        <v>549</v>
      </c>
      <c r="F892" s="1" t="s">
        <v>523</v>
      </c>
      <c r="G892" s="1" t="s">
        <v>480</v>
      </c>
      <c r="H892" s="1" t="n">
        <v>122</v>
      </c>
      <c r="I892" s="1" t="str">
        <f aca="false">B892&amp;"|"&amp;F892&amp;"|"&amp;G892</f>
        <v>Mall Anchor (Department/Big Box) Stores|A-B|Low Cost</v>
      </c>
      <c r="J892" s="1" t="s">
        <v>726</v>
      </c>
    </row>
    <row r="893" customFormat="false" ht="12" hidden="false" customHeight="true" outlineLevel="0" collapsed="false">
      <c r="B893" s="1" t="s">
        <v>727</v>
      </c>
      <c r="C893" s="1" t="s">
        <v>728</v>
      </c>
      <c r="D893" s="1" t="s">
        <v>497</v>
      </c>
      <c r="E893" s="1" t="s">
        <v>549</v>
      </c>
      <c r="F893" s="1" t="s">
        <v>463</v>
      </c>
      <c r="G893" s="1" t="s">
        <v>483</v>
      </c>
      <c r="H893" s="1" t="n">
        <v>155</v>
      </c>
      <c r="I893" s="1" t="str">
        <f aca="false">B893&amp;"|"&amp;F893&amp;"|"&amp;G893</f>
        <v>Mall Anchor (Department/Big Box) Stores|C|Good</v>
      </c>
      <c r="J893" s="1" t="s">
        <v>726</v>
      </c>
    </row>
    <row r="894" customFormat="false" ht="12" hidden="false" customHeight="true" outlineLevel="0" collapsed="false">
      <c r="B894" s="1" t="s">
        <v>727</v>
      </c>
      <c r="C894" s="1" t="s">
        <v>728</v>
      </c>
      <c r="D894" s="1" t="s">
        <v>497</v>
      </c>
      <c r="E894" s="1" t="s">
        <v>549</v>
      </c>
      <c r="F894" s="1" t="s">
        <v>463</v>
      </c>
      <c r="G894" s="1" t="s">
        <v>279</v>
      </c>
      <c r="H894" s="1" t="n">
        <v>124</v>
      </c>
      <c r="I894" s="1" t="str">
        <f aca="false">B894&amp;"|"&amp;F894&amp;"|"&amp;G894</f>
        <v>Mall Anchor (Department/Big Box) Stores|C|Average</v>
      </c>
      <c r="J894" s="1" t="s">
        <v>726</v>
      </c>
    </row>
    <row r="895" customFormat="false" ht="12" hidden="false" customHeight="true" outlineLevel="0" collapsed="false">
      <c r="B895" s="1" t="s">
        <v>727</v>
      </c>
      <c r="C895" s="1" t="s">
        <v>728</v>
      </c>
      <c r="D895" s="1" t="s">
        <v>497</v>
      </c>
      <c r="E895" s="1" t="s">
        <v>549</v>
      </c>
      <c r="F895" s="1" t="s">
        <v>463</v>
      </c>
      <c r="G895" s="1" t="s">
        <v>480</v>
      </c>
      <c r="H895" s="1" t="n">
        <v>96.5</v>
      </c>
      <c r="I895" s="1" t="str">
        <f aca="false">B895&amp;"|"&amp;F895&amp;"|"&amp;G895</f>
        <v>Mall Anchor (Department/Big Box) Stores|C|Low Cost</v>
      </c>
      <c r="J895" s="1" t="s">
        <v>726</v>
      </c>
    </row>
    <row r="896" customFormat="false" ht="12" hidden="false" customHeight="true" outlineLevel="0" collapsed="false">
      <c r="B896" s="1" t="s">
        <v>727</v>
      </c>
      <c r="C896" s="1" t="s">
        <v>728</v>
      </c>
      <c r="D896" s="1" t="s">
        <v>497</v>
      </c>
      <c r="E896" s="1" t="s">
        <v>549</v>
      </c>
      <c r="F896" s="1" t="s">
        <v>468</v>
      </c>
      <c r="G896" s="1" t="s">
        <v>483</v>
      </c>
      <c r="H896" s="1" t="n">
        <v>146</v>
      </c>
      <c r="I896" s="1" t="str">
        <f aca="false">B896&amp;"|"&amp;F896&amp;"|"&amp;G896</f>
        <v>Mall Anchor (Department/Big Box) Stores|D|Good</v>
      </c>
      <c r="J896" s="1" t="s">
        <v>726</v>
      </c>
    </row>
    <row r="897" customFormat="false" ht="12" hidden="false" customHeight="true" outlineLevel="0" collapsed="false">
      <c r="B897" s="1" t="s">
        <v>727</v>
      </c>
      <c r="C897" s="1" t="s">
        <v>728</v>
      </c>
      <c r="D897" s="1" t="s">
        <v>497</v>
      </c>
      <c r="E897" s="1" t="s">
        <v>549</v>
      </c>
      <c r="F897" s="1" t="s">
        <v>468</v>
      </c>
      <c r="G897" s="1" t="s">
        <v>279</v>
      </c>
      <c r="H897" s="1" t="n">
        <v>117</v>
      </c>
      <c r="I897" s="1" t="str">
        <f aca="false">B897&amp;"|"&amp;F897&amp;"|"&amp;G897</f>
        <v>Mall Anchor (Department/Big Box) Stores|D|Average</v>
      </c>
      <c r="J897" s="1" t="s">
        <v>726</v>
      </c>
    </row>
    <row r="898" customFormat="false" ht="12" hidden="false" customHeight="true" outlineLevel="0" collapsed="false">
      <c r="B898" s="1" t="s">
        <v>727</v>
      </c>
      <c r="C898" s="1" t="s">
        <v>728</v>
      </c>
      <c r="D898" s="1" t="s">
        <v>497</v>
      </c>
      <c r="E898" s="1" t="s">
        <v>549</v>
      </c>
      <c r="F898" s="1" t="s">
        <v>468</v>
      </c>
      <c r="G898" s="1" t="s">
        <v>480</v>
      </c>
      <c r="H898" s="1" t="n">
        <v>89.5</v>
      </c>
      <c r="I898" s="1" t="str">
        <f aca="false">B898&amp;"|"&amp;F898&amp;"|"&amp;G898</f>
        <v>Mall Anchor (Department/Big Box) Stores|D|Low Cost</v>
      </c>
      <c r="J898" s="1" t="s">
        <v>726</v>
      </c>
    </row>
    <row r="899" customFormat="false" ht="12" hidden="false" customHeight="true" outlineLevel="0" collapsed="false">
      <c r="B899" s="1" t="s">
        <v>727</v>
      </c>
      <c r="C899" s="1" t="s">
        <v>728</v>
      </c>
      <c r="D899" s="1" t="s">
        <v>497</v>
      </c>
      <c r="E899" s="1" t="s">
        <v>549</v>
      </c>
      <c r="F899" s="1" t="s">
        <v>473</v>
      </c>
      <c r="G899" s="1" t="s">
        <v>480</v>
      </c>
      <c r="H899" s="1" t="n">
        <v>88</v>
      </c>
      <c r="I899" s="1" t="str">
        <f aca="false">B899&amp;"|"&amp;F899&amp;"|"&amp;G899</f>
        <v>Mall Anchor (Department/Big Box) Stores|S|Low Cost</v>
      </c>
      <c r="J899" s="1" t="s">
        <v>726</v>
      </c>
    </row>
    <row r="900" customFormat="false" ht="12" hidden="false" customHeight="true" outlineLevel="0" collapsed="false">
      <c r="B900" s="1" t="s">
        <v>729</v>
      </c>
      <c r="C900" s="1" t="s">
        <v>730</v>
      </c>
      <c r="D900" s="1" t="s">
        <v>497</v>
      </c>
      <c r="E900" s="1" t="s">
        <v>553</v>
      </c>
      <c r="F900" s="1" t="s">
        <v>523</v>
      </c>
      <c r="G900" s="1" t="s">
        <v>279</v>
      </c>
      <c r="H900" s="1" t="n">
        <v>121</v>
      </c>
      <c r="I900" s="1" t="str">
        <f aca="false">B900&amp;"|"&amp;F900&amp;"|"&amp;G900</f>
        <v>Discount Stores|A-B|Average</v>
      </c>
      <c r="J900" s="1" t="s">
        <v>731</v>
      </c>
    </row>
    <row r="901" customFormat="false" ht="12" hidden="false" customHeight="true" outlineLevel="0" collapsed="false">
      <c r="B901" s="1" t="s">
        <v>729</v>
      </c>
      <c r="C901" s="1" t="s">
        <v>730</v>
      </c>
      <c r="D901" s="1" t="s">
        <v>497</v>
      </c>
      <c r="E901" s="1" t="s">
        <v>553</v>
      </c>
      <c r="F901" s="1" t="s">
        <v>463</v>
      </c>
      <c r="G901" s="1" t="s">
        <v>483</v>
      </c>
      <c r="H901" s="1" t="n">
        <v>118</v>
      </c>
      <c r="I901" s="1" t="str">
        <f aca="false">B901&amp;"|"&amp;F901&amp;"|"&amp;G901</f>
        <v>Discount Stores|C|Good</v>
      </c>
      <c r="J901" s="1" t="s">
        <v>731</v>
      </c>
    </row>
    <row r="902" customFormat="false" ht="12" hidden="false" customHeight="true" outlineLevel="0" collapsed="false">
      <c r="B902" s="1" t="s">
        <v>729</v>
      </c>
      <c r="C902" s="1" t="s">
        <v>730</v>
      </c>
      <c r="D902" s="1" t="s">
        <v>497</v>
      </c>
      <c r="E902" s="1" t="s">
        <v>553</v>
      </c>
      <c r="F902" s="1" t="s">
        <v>463</v>
      </c>
      <c r="G902" s="1" t="s">
        <v>279</v>
      </c>
      <c r="H902" s="1" t="n">
        <v>94</v>
      </c>
      <c r="I902" s="1" t="str">
        <f aca="false">B902&amp;"|"&amp;F902&amp;"|"&amp;G902</f>
        <v>Discount Stores|C|Average</v>
      </c>
      <c r="J902" s="1" t="s">
        <v>731</v>
      </c>
    </row>
    <row r="903" customFormat="false" ht="12" hidden="false" customHeight="true" outlineLevel="0" collapsed="false">
      <c r="B903" s="1" t="s">
        <v>729</v>
      </c>
      <c r="C903" s="1" t="s">
        <v>730</v>
      </c>
      <c r="D903" s="1" t="s">
        <v>497</v>
      </c>
      <c r="E903" s="1" t="s">
        <v>553</v>
      </c>
      <c r="F903" s="1" t="s">
        <v>463</v>
      </c>
      <c r="G903" s="1" t="s">
        <v>480</v>
      </c>
      <c r="H903" s="1" t="n">
        <v>72</v>
      </c>
      <c r="I903" s="1" t="str">
        <f aca="false">B903&amp;"|"&amp;F903&amp;"|"&amp;G903</f>
        <v>Discount Stores|C|Low Cost</v>
      </c>
      <c r="J903" s="1" t="s">
        <v>731</v>
      </c>
    </row>
    <row r="904" customFormat="false" ht="12" hidden="false" customHeight="true" outlineLevel="0" collapsed="false">
      <c r="B904" s="1" t="s">
        <v>729</v>
      </c>
      <c r="C904" s="1" t="s">
        <v>730</v>
      </c>
      <c r="D904" s="1" t="s">
        <v>497</v>
      </c>
      <c r="E904" s="1" t="s">
        <v>553</v>
      </c>
      <c r="F904" s="1" t="s">
        <v>468</v>
      </c>
      <c r="G904" s="1" t="s">
        <v>483</v>
      </c>
      <c r="H904" s="1" t="n">
        <v>111</v>
      </c>
      <c r="I904" s="1" t="str">
        <f aca="false">B904&amp;"|"&amp;F904&amp;"|"&amp;G904</f>
        <v>Discount Stores|D|Good</v>
      </c>
      <c r="J904" s="1" t="s">
        <v>731</v>
      </c>
    </row>
    <row r="905" customFormat="false" ht="12" hidden="false" customHeight="true" outlineLevel="0" collapsed="false">
      <c r="B905" s="1" t="s">
        <v>729</v>
      </c>
      <c r="C905" s="1" t="s">
        <v>730</v>
      </c>
      <c r="D905" s="1" t="s">
        <v>497</v>
      </c>
      <c r="E905" s="1" t="s">
        <v>553</v>
      </c>
      <c r="F905" s="1" t="s">
        <v>468</v>
      </c>
      <c r="G905" s="1" t="s">
        <v>279</v>
      </c>
      <c r="H905" s="1" t="n">
        <v>87</v>
      </c>
      <c r="I905" s="1" t="str">
        <f aca="false">B905&amp;"|"&amp;F905&amp;"|"&amp;G905</f>
        <v>Discount Stores|D|Average</v>
      </c>
      <c r="J905" s="1" t="s">
        <v>731</v>
      </c>
    </row>
    <row r="906" customFormat="false" ht="12" hidden="false" customHeight="true" outlineLevel="0" collapsed="false">
      <c r="B906" s="1" t="s">
        <v>729</v>
      </c>
      <c r="C906" s="1" t="s">
        <v>730</v>
      </c>
      <c r="D906" s="1" t="s">
        <v>497</v>
      </c>
      <c r="E906" s="1" t="s">
        <v>553</v>
      </c>
      <c r="F906" s="1" t="s">
        <v>468</v>
      </c>
      <c r="G906" s="1" t="s">
        <v>480</v>
      </c>
      <c r="H906" s="1" t="n">
        <v>65.5</v>
      </c>
      <c r="I906" s="1" t="str">
        <f aca="false">B906&amp;"|"&amp;F906&amp;"|"&amp;G906</f>
        <v>Discount Stores|D|Low Cost</v>
      </c>
      <c r="J906" s="1" t="s">
        <v>731</v>
      </c>
    </row>
    <row r="907" customFormat="false" ht="12" hidden="false" customHeight="true" outlineLevel="0" collapsed="false">
      <c r="B907" s="1" t="s">
        <v>729</v>
      </c>
      <c r="C907" s="1" t="s">
        <v>730</v>
      </c>
      <c r="D907" s="1" t="s">
        <v>497</v>
      </c>
      <c r="E907" s="1" t="s">
        <v>553</v>
      </c>
      <c r="F907" s="1" t="s">
        <v>566</v>
      </c>
      <c r="G907" s="1" t="s">
        <v>480</v>
      </c>
      <c r="H907" s="1" t="n">
        <v>59</v>
      </c>
      <c r="I907" s="1" t="str">
        <f aca="false">B907&amp;"|"&amp;F907&amp;"|"&amp;G907</f>
        <v>Discount Stores|DPOLE|Low Cost</v>
      </c>
      <c r="J907" s="1" t="s">
        <v>731</v>
      </c>
    </row>
    <row r="908" customFormat="false" ht="12" hidden="false" customHeight="true" outlineLevel="0" collapsed="false">
      <c r="B908" s="1" t="s">
        <v>729</v>
      </c>
      <c r="C908" s="1" t="s">
        <v>730</v>
      </c>
      <c r="D908" s="1" t="s">
        <v>497</v>
      </c>
      <c r="E908" s="1" t="s">
        <v>553</v>
      </c>
      <c r="F908" s="1" t="s">
        <v>473</v>
      </c>
      <c r="G908" s="1" t="s">
        <v>483</v>
      </c>
      <c r="H908" s="1" t="n">
        <v>111</v>
      </c>
      <c r="I908" s="1" t="str">
        <f aca="false">B908&amp;"|"&amp;F908&amp;"|"&amp;G908</f>
        <v>Discount Stores|S|Good</v>
      </c>
      <c r="J908" s="1" t="s">
        <v>731</v>
      </c>
    </row>
    <row r="909" customFormat="false" ht="12" hidden="false" customHeight="true" outlineLevel="0" collapsed="false">
      <c r="B909" s="1" t="s">
        <v>729</v>
      </c>
      <c r="C909" s="1" t="s">
        <v>730</v>
      </c>
      <c r="D909" s="1" t="s">
        <v>497</v>
      </c>
      <c r="E909" s="1" t="s">
        <v>553</v>
      </c>
      <c r="F909" s="1" t="s">
        <v>473</v>
      </c>
      <c r="G909" s="1" t="s">
        <v>279</v>
      </c>
      <c r="H909" s="1" t="n">
        <v>85</v>
      </c>
      <c r="I909" s="1" t="str">
        <f aca="false">B909&amp;"|"&amp;F909&amp;"|"&amp;G909</f>
        <v>Discount Stores|S|Average</v>
      </c>
      <c r="J909" s="1" t="s">
        <v>731</v>
      </c>
    </row>
    <row r="910" customFormat="false" ht="12" hidden="false" customHeight="true" outlineLevel="0" collapsed="false">
      <c r="B910" s="1" t="s">
        <v>729</v>
      </c>
      <c r="C910" s="1" t="s">
        <v>730</v>
      </c>
      <c r="D910" s="1" t="s">
        <v>497</v>
      </c>
      <c r="E910" s="1" t="s">
        <v>553</v>
      </c>
      <c r="F910" s="1" t="s">
        <v>473</v>
      </c>
      <c r="G910" s="1" t="s">
        <v>480</v>
      </c>
      <c r="H910" s="1" t="n">
        <v>63</v>
      </c>
      <c r="I910" s="1" t="str">
        <f aca="false">B910&amp;"|"&amp;F910&amp;"|"&amp;G910</f>
        <v>Discount Stores|S|Low Cost</v>
      </c>
      <c r="J910" s="1" t="s">
        <v>731</v>
      </c>
    </row>
    <row r="911" customFormat="false" ht="12" hidden="false" customHeight="true" outlineLevel="0" collapsed="false">
      <c r="B911" s="1" t="s">
        <v>732</v>
      </c>
      <c r="C911" s="1" t="s">
        <v>733</v>
      </c>
      <c r="D911" s="1" t="s">
        <v>497</v>
      </c>
      <c r="E911" s="1" t="s">
        <v>553</v>
      </c>
      <c r="F911" s="1" t="s">
        <v>463</v>
      </c>
      <c r="G911" s="1" t="s">
        <v>483</v>
      </c>
      <c r="H911" s="1" t="n">
        <v>96</v>
      </c>
      <c r="I911" s="1" t="str">
        <f aca="false">B911&amp;"|"&amp;F911&amp;"|"&amp;G911</f>
        <v>Warehouse Discount Stores|C|Good</v>
      </c>
      <c r="J911" s="1" t="s">
        <v>731</v>
      </c>
    </row>
    <row r="912" customFormat="false" ht="12" hidden="false" customHeight="true" outlineLevel="0" collapsed="false">
      <c r="B912" s="1" t="s">
        <v>732</v>
      </c>
      <c r="C912" s="1" t="s">
        <v>733</v>
      </c>
      <c r="D912" s="1" t="s">
        <v>497</v>
      </c>
      <c r="E912" s="1" t="s">
        <v>553</v>
      </c>
      <c r="F912" s="1" t="s">
        <v>463</v>
      </c>
      <c r="G912" s="1" t="s">
        <v>279</v>
      </c>
      <c r="H912" s="1" t="n">
        <v>73</v>
      </c>
      <c r="I912" s="1" t="str">
        <f aca="false">B912&amp;"|"&amp;F912&amp;"|"&amp;G912</f>
        <v>Warehouse Discount Stores|C|Average</v>
      </c>
      <c r="J912" s="1" t="s">
        <v>731</v>
      </c>
    </row>
    <row r="913" customFormat="false" ht="12" hidden="false" customHeight="true" outlineLevel="0" collapsed="false">
      <c r="B913" s="1" t="s">
        <v>732</v>
      </c>
      <c r="C913" s="1" t="s">
        <v>733</v>
      </c>
      <c r="D913" s="1" t="s">
        <v>497</v>
      </c>
      <c r="E913" s="1" t="s">
        <v>553</v>
      </c>
      <c r="F913" s="1" t="s">
        <v>463</v>
      </c>
      <c r="G913" s="1" t="s">
        <v>480</v>
      </c>
      <c r="H913" s="1" t="n">
        <v>55.5</v>
      </c>
      <c r="I913" s="1" t="str">
        <f aca="false">B913&amp;"|"&amp;F913&amp;"|"&amp;G913</f>
        <v>Warehouse Discount Stores|C|Low Cost</v>
      </c>
      <c r="J913" s="1" t="s">
        <v>731</v>
      </c>
    </row>
    <row r="914" customFormat="false" ht="12" hidden="false" customHeight="true" outlineLevel="0" collapsed="false">
      <c r="B914" s="1" t="s">
        <v>732</v>
      </c>
      <c r="C914" s="1" t="s">
        <v>733</v>
      </c>
      <c r="D914" s="1" t="s">
        <v>497</v>
      </c>
      <c r="E914" s="1" t="s">
        <v>553</v>
      </c>
      <c r="F914" s="1" t="s">
        <v>468</v>
      </c>
      <c r="G914" s="1" t="s">
        <v>483</v>
      </c>
      <c r="H914" s="1" t="n">
        <v>88</v>
      </c>
      <c r="I914" s="1" t="str">
        <f aca="false">B914&amp;"|"&amp;F914&amp;"|"&amp;G914</f>
        <v>Warehouse Discount Stores|D|Good</v>
      </c>
      <c r="J914" s="1" t="s">
        <v>731</v>
      </c>
    </row>
    <row r="915" customFormat="false" ht="12" hidden="false" customHeight="true" outlineLevel="0" collapsed="false">
      <c r="B915" s="1" t="s">
        <v>732</v>
      </c>
      <c r="C915" s="1" t="s">
        <v>733</v>
      </c>
      <c r="D915" s="1" t="s">
        <v>497</v>
      </c>
      <c r="E915" s="1" t="s">
        <v>553</v>
      </c>
      <c r="F915" s="1" t="s">
        <v>468</v>
      </c>
      <c r="G915" s="1" t="s">
        <v>279</v>
      </c>
      <c r="H915" s="1" t="n">
        <v>66</v>
      </c>
      <c r="I915" s="1" t="str">
        <f aca="false">B915&amp;"|"&amp;F915&amp;"|"&amp;G915</f>
        <v>Warehouse Discount Stores|D|Average</v>
      </c>
      <c r="J915" s="1" t="s">
        <v>731</v>
      </c>
    </row>
    <row r="916" customFormat="false" ht="12" hidden="false" customHeight="true" outlineLevel="0" collapsed="false">
      <c r="B916" s="1" t="s">
        <v>732</v>
      </c>
      <c r="C916" s="1" t="s">
        <v>733</v>
      </c>
      <c r="D916" s="1" t="s">
        <v>497</v>
      </c>
      <c r="E916" s="1" t="s">
        <v>553</v>
      </c>
      <c r="F916" s="1" t="s">
        <v>468</v>
      </c>
      <c r="G916" s="1" t="s">
        <v>480</v>
      </c>
      <c r="H916" s="1" t="n">
        <v>49.5</v>
      </c>
      <c r="I916" s="1" t="str">
        <f aca="false">B916&amp;"|"&amp;F916&amp;"|"&amp;G916</f>
        <v>Warehouse Discount Stores|D|Low Cost</v>
      </c>
      <c r="J916" s="1" t="s">
        <v>731</v>
      </c>
    </row>
    <row r="917" customFormat="false" ht="12" hidden="false" customHeight="true" outlineLevel="0" collapsed="false">
      <c r="B917" s="1" t="s">
        <v>732</v>
      </c>
      <c r="C917" s="1" t="s">
        <v>733</v>
      </c>
      <c r="D917" s="1" t="s">
        <v>497</v>
      </c>
      <c r="E917" s="1" t="s">
        <v>553</v>
      </c>
      <c r="F917" s="1" t="s">
        <v>566</v>
      </c>
      <c r="G917" s="1" t="s">
        <v>480</v>
      </c>
      <c r="H917" s="1" t="n">
        <v>47.75</v>
      </c>
      <c r="I917" s="1" t="str">
        <f aca="false">B917&amp;"|"&amp;F917&amp;"|"&amp;G917</f>
        <v>Warehouse Discount Stores|DPOLE|Low Cost</v>
      </c>
      <c r="J917" s="1" t="s">
        <v>731</v>
      </c>
    </row>
    <row r="918" customFormat="false" ht="12" hidden="false" customHeight="true" outlineLevel="0" collapsed="false">
      <c r="B918" s="1" t="s">
        <v>732</v>
      </c>
      <c r="C918" s="1" t="s">
        <v>733</v>
      </c>
      <c r="D918" s="1" t="s">
        <v>497</v>
      </c>
      <c r="E918" s="1" t="s">
        <v>553</v>
      </c>
      <c r="F918" s="1" t="s">
        <v>473</v>
      </c>
      <c r="G918" s="1" t="s">
        <v>483</v>
      </c>
      <c r="H918" s="1" t="n">
        <v>86</v>
      </c>
      <c r="I918" s="1" t="str">
        <f aca="false">B918&amp;"|"&amp;F918&amp;"|"&amp;G918</f>
        <v>Warehouse Discount Stores|S|Good</v>
      </c>
      <c r="J918" s="1" t="s">
        <v>731</v>
      </c>
    </row>
    <row r="919" customFormat="false" ht="12" hidden="false" customHeight="true" outlineLevel="0" collapsed="false">
      <c r="B919" s="1" t="s">
        <v>732</v>
      </c>
      <c r="C919" s="1" t="s">
        <v>733</v>
      </c>
      <c r="D919" s="1" t="s">
        <v>497</v>
      </c>
      <c r="E919" s="1" t="s">
        <v>553</v>
      </c>
      <c r="F919" s="1" t="s">
        <v>473</v>
      </c>
      <c r="G919" s="1" t="s">
        <v>279</v>
      </c>
      <c r="H919" s="1" t="n">
        <v>66.5</v>
      </c>
      <c r="I919" s="1" t="str">
        <f aca="false">B919&amp;"|"&amp;F919&amp;"|"&amp;G919</f>
        <v>Warehouse Discount Stores|S|Average</v>
      </c>
      <c r="J919" s="1" t="s">
        <v>731</v>
      </c>
    </row>
    <row r="920" customFormat="false" ht="12" hidden="false" customHeight="true" outlineLevel="0" collapsed="false">
      <c r="B920" s="1" t="s">
        <v>732</v>
      </c>
      <c r="C920" s="1" t="s">
        <v>733</v>
      </c>
      <c r="D920" s="1" t="s">
        <v>497</v>
      </c>
      <c r="E920" s="1" t="s">
        <v>553</v>
      </c>
      <c r="F920" s="1" t="s">
        <v>473</v>
      </c>
      <c r="G920" s="1" t="s">
        <v>480</v>
      </c>
      <c r="H920" s="1" t="n">
        <v>52</v>
      </c>
      <c r="I920" s="1" t="str">
        <f aca="false">B920&amp;"|"&amp;F920&amp;"|"&amp;G920</f>
        <v>Warehouse Discount Stores|S|Low Cost</v>
      </c>
      <c r="J920" s="1" t="s">
        <v>731</v>
      </c>
    </row>
    <row r="921" customFormat="false" ht="12" hidden="false" customHeight="true" outlineLevel="0" collapsed="false">
      <c r="B921" s="1" t="s">
        <v>734</v>
      </c>
      <c r="C921" s="1" t="s">
        <v>735</v>
      </c>
      <c r="D921" s="1" t="s">
        <v>497</v>
      </c>
      <c r="E921" s="1" t="s">
        <v>562</v>
      </c>
      <c r="F921" s="1" t="s">
        <v>463</v>
      </c>
      <c r="G921" s="1" t="s">
        <v>483</v>
      </c>
      <c r="H921" s="1" t="n">
        <v>102</v>
      </c>
      <c r="I921" s="1" t="str">
        <f aca="false">B921&amp;"|"&amp;F921&amp;"|"&amp;G921</f>
        <v>Warehouse Showroom Stores|C|Good</v>
      </c>
      <c r="J921" s="1" t="s">
        <v>736</v>
      </c>
    </row>
    <row r="922" customFormat="false" ht="12" hidden="false" customHeight="true" outlineLevel="0" collapsed="false">
      <c r="B922" s="1" t="s">
        <v>734</v>
      </c>
      <c r="C922" s="1" t="s">
        <v>735</v>
      </c>
      <c r="D922" s="1" t="s">
        <v>497</v>
      </c>
      <c r="E922" s="1" t="s">
        <v>562</v>
      </c>
      <c r="F922" s="1" t="s">
        <v>463</v>
      </c>
      <c r="G922" s="1" t="s">
        <v>279</v>
      </c>
      <c r="H922" s="1" t="n">
        <v>79</v>
      </c>
      <c r="I922" s="1" t="str">
        <f aca="false">B922&amp;"|"&amp;F922&amp;"|"&amp;G922</f>
        <v>Warehouse Showroom Stores|C|Average</v>
      </c>
      <c r="J922" s="1" t="s">
        <v>736</v>
      </c>
    </row>
    <row r="923" customFormat="false" ht="12" hidden="false" customHeight="true" outlineLevel="0" collapsed="false">
      <c r="B923" s="1" t="s">
        <v>734</v>
      </c>
      <c r="C923" s="1" t="s">
        <v>735</v>
      </c>
      <c r="D923" s="1" t="s">
        <v>497</v>
      </c>
      <c r="E923" s="1" t="s">
        <v>562</v>
      </c>
      <c r="F923" s="1" t="s">
        <v>463</v>
      </c>
      <c r="G923" s="1" t="s">
        <v>480</v>
      </c>
      <c r="H923" s="1" t="n">
        <v>61</v>
      </c>
      <c r="I923" s="1" t="str">
        <f aca="false">B923&amp;"|"&amp;F923&amp;"|"&amp;G923</f>
        <v>Warehouse Showroom Stores|C|Low Cost</v>
      </c>
      <c r="J923" s="1" t="s">
        <v>736</v>
      </c>
    </row>
    <row r="924" customFormat="false" ht="12" hidden="false" customHeight="true" outlineLevel="0" collapsed="false">
      <c r="B924" s="1" t="s">
        <v>734</v>
      </c>
      <c r="C924" s="1" t="s">
        <v>735</v>
      </c>
      <c r="D924" s="1" t="s">
        <v>497</v>
      </c>
      <c r="E924" s="1" t="s">
        <v>562</v>
      </c>
      <c r="F924" s="1" t="s">
        <v>468</v>
      </c>
      <c r="G924" s="1" t="s">
        <v>483</v>
      </c>
      <c r="H924" s="1" t="n">
        <v>94.5</v>
      </c>
      <c r="I924" s="1" t="str">
        <f aca="false">B924&amp;"|"&amp;F924&amp;"|"&amp;G924</f>
        <v>Warehouse Showroom Stores|D|Good</v>
      </c>
      <c r="J924" s="1" t="s">
        <v>736</v>
      </c>
    </row>
    <row r="925" customFormat="false" ht="12" hidden="false" customHeight="true" outlineLevel="0" collapsed="false">
      <c r="B925" s="1" t="s">
        <v>734</v>
      </c>
      <c r="C925" s="1" t="s">
        <v>735</v>
      </c>
      <c r="D925" s="1" t="s">
        <v>497</v>
      </c>
      <c r="E925" s="1" t="s">
        <v>562</v>
      </c>
      <c r="F925" s="1" t="s">
        <v>468</v>
      </c>
      <c r="G925" s="1" t="s">
        <v>279</v>
      </c>
      <c r="H925" s="1" t="n">
        <v>72</v>
      </c>
      <c r="I925" s="1" t="str">
        <f aca="false">B925&amp;"|"&amp;F925&amp;"|"&amp;G925</f>
        <v>Warehouse Showroom Stores|D|Average</v>
      </c>
      <c r="J925" s="1" t="s">
        <v>736</v>
      </c>
    </row>
    <row r="926" customFormat="false" ht="12" hidden="false" customHeight="true" outlineLevel="0" collapsed="false">
      <c r="B926" s="1" t="s">
        <v>734</v>
      </c>
      <c r="C926" s="1" t="s">
        <v>735</v>
      </c>
      <c r="D926" s="1" t="s">
        <v>497</v>
      </c>
      <c r="E926" s="1" t="s">
        <v>562</v>
      </c>
      <c r="F926" s="1" t="s">
        <v>468</v>
      </c>
      <c r="G926" s="1" t="s">
        <v>480</v>
      </c>
      <c r="H926" s="1" t="n">
        <v>55</v>
      </c>
      <c r="I926" s="1" t="str">
        <f aca="false">B926&amp;"|"&amp;F926&amp;"|"&amp;G926</f>
        <v>Warehouse Showroom Stores|D|Low Cost</v>
      </c>
      <c r="J926" s="1" t="s">
        <v>736</v>
      </c>
    </row>
    <row r="927" customFormat="false" ht="12" hidden="false" customHeight="true" outlineLevel="0" collapsed="false">
      <c r="B927" s="1" t="s">
        <v>734</v>
      </c>
      <c r="C927" s="1" t="s">
        <v>735</v>
      </c>
      <c r="D927" s="1" t="s">
        <v>497</v>
      </c>
      <c r="E927" s="1" t="s">
        <v>562</v>
      </c>
      <c r="F927" s="1" t="s">
        <v>566</v>
      </c>
      <c r="G927" s="1" t="s">
        <v>480</v>
      </c>
      <c r="H927" s="1" t="n">
        <v>53.5</v>
      </c>
      <c r="I927" s="1" t="str">
        <f aca="false">B927&amp;"|"&amp;F927&amp;"|"&amp;G927</f>
        <v>Warehouse Showroom Stores|DPOLE|Low Cost</v>
      </c>
      <c r="J927" s="1" t="s">
        <v>736</v>
      </c>
    </row>
    <row r="928" customFormat="false" ht="12" hidden="false" customHeight="true" outlineLevel="0" collapsed="false">
      <c r="B928" s="1" t="s">
        <v>734</v>
      </c>
      <c r="C928" s="1" t="s">
        <v>735</v>
      </c>
      <c r="D928" s="1" t="s">
        <v>497</v>
      </c>
      <c r="E928" s="1" t="s">
        <v>562</v>
      </c>
      <c r="F928" s="1" t="s">
        <v>473</v>
      </c>
      <c r="G928" s="1" t="s">
        <v>483</v>
      </c>
      <c r="H928" s="1" t="n">
        <v>93.5</v>
      </c>
      <c r="I928" s="1" t="str">
        <f aca="false">B928&amp;"|"&amp;F928&amp;"|"&amp;G928</f>
        <v>Warehouse Showroom Stores|S|Good</v>
      </c>
      <c r="J928" s="1" t="s">
        <v>736</v>
      </c>
    </row>
    <row r="929" customFormat="false" ht="12" hidden="false" customHeight="true" outlineLevel="0" collapsed="false">
      <c r="B929" s="1" t="s">
        <v>734</v>
      </c>
      <c r="C929" s="1" t="s">
        <v>735</v>
      </c>
      <c r="D929" s="1" t="s">
        <v>497</v>
      </c>
      <c r="E929" s="1" t="s">
        <v>562</v>
      </c>
      <c r="F929" s="1" t="s">
        <v>473</v>
      </c>
      <c r="G929" s="1" t="s">
        <v>279</v>
      </c>
      <c r="H929" s="1" t="n">
        <v>73</v>
      </c>
      <c r="I929" s="1" t="str">
        <f aca="false">B929&amp;"|"&amp;F929&amp;"|"&amp;G929</f>
        <v>Warehouse Showroom Stores|S|Average</v>
      </c>
      <c r="J929" s="1" t="s">
        <v>736</v>
      </c>
    </row>
    <row r="930" customFormat="false" ht="12" hidden="false" customHeight="true" outlineLevel="0" collapsed="false">
      <c r="B930" s="1" t="s">
        <v>734</v>
      </c>
      <c r="C930" s="1" t="s">
        <v>735</v>
      </c>
      <c r="D930" s="1" t="s">
        <v>497</v>
      </c>
      <c r="E930" s="1" t="s">
        <v>562</v>
      </c>
      <c r="F930" s="1" t="s">
        <v>473</v>
      </c>
      <c r="G930" s="1" t="s">
        <v>480</v>
      </c>
      <c r="H930" s="1" t="n">
        <v>57</v>
      </c>
      <c r="I930" s="1" t="str">
        <f aca="false">B930&amp;"|"&amp;F930&amp;"|"&amp;G930</f>
        <v>Warehouse Showroom Stores|S|Low Cost</v>
      </c>
      <c r="J930" s="1" t="s">
        <v>736</v>
      </c>
    </row>
    <row r="931" customFormat="false" ht="12" hidden="false" customHeight="true" outlineLevel="0" collapsed="false">
      <c r="B931" s="1" t="s">
        <v>737</v>
      </c>
      <c r="C931" s="1" t="s">
        <v>738</v>
      </c>
      <c r="D931" s="1" t="s">
        <v>497</v>
      </c>
      <c r="E931" s="1" t="s">
        <v>562</v>
      </c>
      <c r="F931" s="1" t="s">
        <v>463</v>
      </c>
      <c r="G931" s="1" t="s">
        <v>483</v>
      </c>
      <c r="H931" s="1" t="n">
        <v>124</v>
      </c>
      <c r="I931" s="1" t="str">
        <f aca="false">B931&amp;"|"&amp;F931&amp;"|"&amp;G931</f>
        <v>Warehouse Food Stores|C|Good</v>
      </c>
      <c r="J931" s="1" t="s">
        <v>736</v>
      </c>
    </row>
    <row r="932" customFormat="false" ht="12" hidden="false" customHeight="true" outlineLevel="0" collapsed="false">
      <c r="B932" s="1" t="s">
        <v>737</v>
      </c>
      <c r="C932" s="1" t="s">
        <v>738</v>
      </c>
      <c r="D932" s="1" t="s">
        <v>497</v>
      </c>
      <c r="E932" s="1" t="s">
        <v>562</v>
      </c>
      <c r="F932" s="1" t="s">
        <v>463</v>
      </c>
      <c r="G932" s="1" t="s">
        <v>279</v>
      </c>
      <c r="H932" s="1" t="n">
        <v>96.5</v>
      </c>
      <c r="I932" s="1" t="str">
        <f aca="false">B932&amp;"|"&amp;F932&amp;"|"&amp;G932</f>
        <v>Warehouse Food Stores|C|Average</v>
      </c>
      <c r="J932" s="1" t="s">
        <v>736</v>
      </c>
    </row>
    <row r="933" customFormat="false" ht="12" hidden="false" customHeight="true" outlineLevel="0" collapsed="false">
      <c r="B933" s="1" t="s">
        <v>737</v>
      </c>
      <c r="C933" s="1" t="s">
        <v>738</v>
      </c>
      <c r="D933" s="1" t="s">
        <v>497</v>
      </c>
      <c r="E933" s="1" t="s">
        <v>562</v>
      </c>
      <c r="F933" s="1" t="s">
        <v>463</v>
      </c>
      <c r="G933" s="1" t="s">
        <v>480</v>
      </c>
      <c r="H933" s="1" t="n">
        <v>75</v>
      </c>
      <c r="I933" s="1" t="str">
        <f aca="false">B933&amp;"|"&amp;F933&amp;"|"&amp;G933</f>
        <v>Warehouse Food Stores|C|Low Cost</v>
      </c>
      <c r="J933" s="1" t="s">
        <v>736</v>
      </c>
    </row>
    <row r="934" customFormat="false" ht="12" hidden="false" customHeight="true" outlineLevel="0" collapsed="false">
      <c r="B934" s="1" t="s">
        <v>737</v>
      </c>
      <c r="C934" s="1" t="s">
        <v>738</v>
      </c>
      <c r="D934" s="1" t="s">
        <v>497</v>
      </c>
      <c r="E934" s="1" t="s">
        <v>562</v>
      </c>
      <c r="F934" s="1" t="s">
        <v>468</v>
      </c>
      <c r="G934" s="1" t="s">
        <v>483</v>
      </c>
      <c r="H934" s="1" t="n">
        <v>115</v>
      </c>
      <c r="I934" s="1" t="str">
        <f aca="false">B934&amp;"|"&amp;F934&amp;"|"&amp;G934</f>
        <v>Warehouse Food Stores|D|Good</v>
      </c>
      <c r="J934" s="1" t="s">
        <v>736</v>
      </c>
    </row>
    <row r="935" customFormat="false" ht="12" hidden="false" customHeight="true" outlineLevel="0" collapsed="false">
      <c r="B935" s="1" t="s">
        <v>737</v>
      </c>
      <c r="C935" s="1" t="s">
        <v>738</v>
      </c>
      <c r="D935" s="1" t="s">
        <v>497</v>
      </c>
      <c r="E935" s="1" t="s">
        <v>562</v>
      </c>
      <c r="F935" s="1" t="s">
        <v>468</v>
      </c>
      <c r="G935" s="1" t="s">
        <v>279</v>
      </c>
      <c r="H935" s="1" t="n">
        <v>88.5</v>
      </c>
      <c r="I935" s="1" t="str">
        <f aca="false">B935&amp;"|"&amp;F935&amp;"|"&amp;G935</f>
        <v>Warehouse Food Stores|D|Average</v>
      </c>
      <c r="J935" s="1" t="s">
        <v>736</v>
      </c>
    </row>
    <row r="936" customFormat="false" ht="12" hidden="false" customHeight="true" outlineLevel="0" collapsed="false">
      <c r="B936" s="1" t="s">
        <v>737</v>
      </c>
      <c r="C936" s="1" t="s">
        <v>738</v>
      </c>
      <c r="D936" s="1" t="s">
        <v>497</v>
      </c>
      <c r="E936" s="1" t="s">
        <v>562</v>
      </c>
      <c r="F936" s="1" t="s">
        <v>468</v>
      </c>
      <c r="G936" s="1" t="s">
        <v>480</v>
      </c>
      <c r="H936" s="1" t="n">
        <v>68.5</v>
      </c>
      <c r="I936" s="1" t="str">
        <f aca="false">B936&amp;"|"&amp;F936&amp;"|"&amp;G936</f>
        <v>Warehouse Food Stores|D|Low Cost</v>
      </c>
      <c r="J936" s="1" t="s">
        <v>736</v>
      </c>
    </row>
    <row r="937" customFormat="false" ht="12" hidden="false" customHeight="true" outlineLevel="0" collapsed="false">
      <c r="B937" s="1" t="s">
        <v>737</v>
      </c>
      <c r="C937" s="1" t="s">
        <v>738</v>
      </c>
      <c r="D937" s="1" t="s">
        <v>497</v>
      </c>
      <c r="E937" s="1" t="s">
        <v>562</v>
      </c>
      <c r="F937" s="1" t="s">
        <v>566</v>
      </c>
      <c r="G937" s="1" t="s">
        <v>480</v>
      </c>
      <c r="H937" s="1" t="n">
        <v>63.5</v>
      </c>
      <c r="I937" s="1" t="str">
        <f aca="false">B937&amp;"|"&amp;F937&amp;"|"&amp;G937</f>
        <v>Warehouse Food Stores|DPOLE|Low Cost</v>
      </c>
      <c r="J937" s="1" t="s">
        <v>736</v>
      </c>
    </row>
    <row r="938" customFormat="false" ht="12" hidden="false" customHeight="true" outlineLevel="0" collapsed="false">
      <c r="B938" s="1" t="s">
        <v>737</v>
      </c>
      <c r="C938" s="1" t="s">
        <v>738</v>
      </c>
      <c r="D938" s="1" t="s">
        <v>497</v>
      </c>
      <c r="E938" s="1" t="s">
        <v>562</v>
      </c>
      <c r="F938" s="1" t="s">
        <v>473</v>
      </c>
      <c r="G938" s="1" t="s">
        <v>483</v>
      </c>
      <c r="H938" s="1" t="n">
        <v>114</v>
      </c>
      <c r="I938" s="1" t="str">
        <f aca="false">B938&amp;"|"&amp;F938&amp;"|"&amp;G938</f>
        <v>Warehouse Food Stores|S|Good</v>
      </c>
      <c r="J938" s="1" t="s">
        <v>736</v>
      </c>
    </row>
    <row r="939" customFormat="false" ht="12" hidden="false" customHeight="true" outlineLevel="0" collapsed="false">
      <c r="B939" s="1" t="s">
        <v>737</v>
      </c>
      <c r="C939" s="1" t="s">
        <v>738</v>
      </c>
      <c r="D939" s="1" t="s">
        <v>497</v>
      </c>
      <c r="E939" s="1" t="s">
        <v>562</v>
      </c>
      <c r="F939" s="1" t="s">
        <v>473</v>
      </c>
      <c r="G939" s="1" t="s">
        <v>279</v>
      </c>
      <c r="H939" s="1" t="n">
        <v>86.5</v>
      </c>
      <c r="I939" s="1" t="str">
        <f aca="false">B939&amp;"|"&amp;F939&amp;"|"&amp;G939</f>
        <v>Warehouse Food Stores|S|Average</v>
      </c>
      <c r="J939" s="1" t="s">
        <v>736</v>
      </c>
    </row>
    <row r="940" customFormat="false" ht="12" hidden="false" customHeight="true" outlineLevel="0" collapsed="false">
      <c r="B940" s="1" t="s">
        <v>737</v>
      </c>
      <c r="C940" s="1" t="s">
        <v>738</v>
      </c>
      <c r="D940" s="1" t="s">
        <v>497</v>
      </c>
      <c r="E940" s="1" t="s">
        <v>562</v>
      </c>
      <c r="F940" s="1" t="s">
        <v>473</v>
      </c>
      <c r="G940" s="1" t="s">
        <v>480</v>
      </c>
      <c r="H940" s="1" t="n">
        <v>65.5</v>
      </c>
      <c r="I940" s="1" t="str">
        <f aca="false">B940&amp;"|"&amp;F940&amp;"|"&amp;G940</f>
        <v>Warehouse Food Stores|S|Low Cost</v>
      </c>
      <c r="J940" s="1" t="s">
        <v>736</v>
      </c>
    </row>
    <row r="941" customFormat="false" ht="12" hidden="false" customHeight="true" outlineLevel="0" collapsed="false">
      <c r="B941" s="1" t="s">
        <v>739</v>
      </c>
      <c r="C941" s="1" t="s">
        <v>740</v>
      </c>
      <c r="D941" s="1" t="s">
        <v>497</v>
      </c>
      <c r="E941" s="1" t="s">
        <v>570</v>
      </c>
      <c r="F941" s="1" t="s">
        <v>463</v>
      </c>
      <c r="G941" s="1" t="s">
        <v>483</v>
      </c>
      <c r="H941" s="1" t="n">
        <v>88.5</v>
      </c>
      <c r="I941" s="1" t="str">
        <f aca="false">B941&amp;"|"&amp;F941&amp;"|"&amp;G941</f>
        <v>Mega Warehouse Stores|C|Good</v>
      </c>
      <c r="J941" s="1" t="s">
        <v>741</v>
      </c>
    </row>
    <row r="942" customFormat="false" ht="12" hidden="false" customHeight="true" outlineLevel="0" collapsed="false">
      <c r="B942" s="1" t="s">
        <v>739</v>
      </c>
      <c r="C942" s="1" t="s">
        <v>740</v>
      </c>
      <c r="D942" s="1" t="s">
        <v>497</v>
      </c>
      <c r="E942" s="1" t="s">
        <v>570</v>
      </c>
      <c r="F942" s="1" t="s">
        <v>463</v>
      </c>
      <c r="G942" s="1" t="s">
        <v>279</v>
      </c>
      <c r="H942" s="1" t="n">
        <v>67.5</v>
      </c>
      <c r="I942" s="1" t="str">
        <f aca="false">B942&amp;"|"&amp;F942&amp;"|"&amp;G942</f>
        <v>Mega Warehouse Stores|C|Average</v>
      </c>
      <c r="J942" s="1" t="s">
        <v>741</v>
      </c>
    </row>
    <row r="943" customFormat="false" ht="12" hidden="false" customHeight="true" outlineLevel="0" collapsed="false">
      <c r="B943" s="1" t="s">
        <v>739</v>
      </c>
      <c r="C943" s="1" t="s">
        <v>740</v>
      </c>
      <c r="D943" s="1" t="s">
        <v>497</v>
      </c>
      <c r="E943" s="1" t="s">
        <v>570</v>
      </c>
      <c r="F943" s="1" t="s">
        <v>463</v>
      </c>
      <c r="G943" s="1" t="s">
        <v>480</v>
      </c>
      <c r="H943" s="1" t="n">
        <v>51.5</v>
      </c>
      <c r="I943" s="1" t="str">
        <f aca="false">B943&amp;"|"&amp;F943&amp;"|"&amp;G943</f>
        <v>Mega Warehouse Stores|C|Low Cost</v>
      </c>
      <c r="J943" s="1" t="s">
        <v>741</v>
      </c>
    </row>
    <row r="944" customFormat="false" ht="12" hidden="false" customHeight="true" outlineLevel="0" collapsed="false">
      <c r="B944" s="1" t="s">
        <v>739</v>
      </c>
      <c r="C944" s="1" t="s">
        <v>740</v>
      </c>
      <c r="D944" s="1" t="s">
        <v>497</v>
      </c>
      <c r="E944" s="1" t="s">
        <v>570</v>
      </c>
      <c r="F944" s="1" t="s">
        <v>473</v>
      </c>
      <c r="G944" s="1" t="s">
        <v>279</v>
      </c>
      <c r="H944" s="1" t="n">
        <v>61.5</v>
      </c>
      <c r="I944" s="1" t="str">
        <f aca="false">B944&amp;"|"&amp;F944&amp;"|"&amp;G944</f>
        <v>Mega Warehouse Stores|S|Average</v>
      </c>
      <c r="J944" s="1" t="s">
        <v>741</v>
      </c>
    </row>
    <row r="945" customFormat="false" ht="12" hidden="false" customHeight="true" outlineLevel="0" collapsed="false">
      <c r="B945" s="1" t="s">
        <v>739</v>
      </c>
      <c r="C945" s="1" t="s">
        <v>740</v>
      </c>
      <c r="D945" s="1" t="s">
        <v>497</v>
      </c>
      <c r="E945" s="1" t="s">
        <v>570</v>
      </c>
      <c r="F945" s="1" t="s">
        <v>473</v>
      </c>
      <c r="G945" s="1" t="s">
        <v>480</v>
      </c>
      <c r="H945" s="1" t="n">
        <v>48</v>
      </c>
      <c r="I945" s="1" t="str">
        <f aca="false">B945&amp;"|"&amp;F945&amp;"|"&amp;G945</f>
        <v>Mega Warehouse Stores|S|Low Cost</v>
      </c>
      <c r="J945" s="1" t="s">
        <v>741</v>
      </c>
    </row>
    <row r="946" customFormat="false" ht="12" hidden="false" customHeight="true" outlineLevel="0" collapsed="false">
      <c r="B946" s="1" t="s">
        <v>742</v>
      </c>
      <c r="C946" s="1" t="s">
        <v>743</v>
      </c>
      <c r="D946" s="1" t="s">
        <v>497</v>
      </c>
      <c r="E946" s="1" t="s">
        <v>586</v>
      </c>
      <c r="F946" s="1" t="s">
        <v>463</v>
      </c>
      <c r="G946" s="1" t="s">
        <v>483</v>
      </c>
      <c r="H946" s="1" t="n">
        <v>152</v>
      </c>
      <c r="I946" s="1" t="str">
        <f aca="false">B946&amp;"|"&amp;F946&amp;"|"&amp;G946</f>
        <v>Neighborhood Shopping Centers|C|Good</v>
      </c>
      <c r="J946" s="1" t="s">
        <v>744</v>
      </c>
    </row>
    <row r="947" customFormat="false" ht="12" hidden="false" customHeight="true" outlineLevel="0" collapsed="false">
      <c r="B947" s="1" t="s">
        <v>742</v>
      </c>
      <c r="C947" s="1" t="s">
        <v>743</v>
      </c>
      <c r="D947" s="1" t="s">
        <v>497</v>
      </c>
      <c r="E947" s="1" t="s">
        <v>586</v>
      </c>
      <c r="F947" s="1" t="s">
        <v>463</v>
      </c>
      <c r="G947" s="1" t="s">
        <v>279</v>
      </c>
      <c r="H947" s="1" t="n">
        <v>127</v>
      </c>
      <c r="I947" s="1" t="str">
        <f aca="false">B947&amp;"|"&amp;F947&amp;"|"&amp;G947</f>
        <v>Neighborhood Shopping Centers|C|Average</v>
      </c>
      <c r="J947" s="1" t="s">
        <v>744</v>
      </c>
    </row>
    <row r="948" customFormat="false" ht="12" hidden="false" customHeight="true" outlineLevel="0" collapsed="false">
      <c r="B948" s="1" t="s">
        <v>742</v>
      </c>
      <c r="C948" s="1" t="s">
        <v>743</v>
      </c>
      <c r="D948" s="1" t="s">
        <v>497</v>
      </c>
      <c r="E948" s="1" t="s">
        <v>586</v>
      </c>
      <c r="F948" s="1" t="s">
        <v>463</v>
      </c>
      <c r="G948" s="1" t="s">
        <v>480</v>
      </c>
      <c r="H948" s="1" t="n">
        <v>100</v>
      </c>
      <c r="I948" s="1" t="str">
        <f aca="false">B948&amp;"|"&amp;F948&amp;"|"&amp;G948</f>
        <v>Neighborhood Shopping Centers|C|Low Cost</v>
      </c>
      <c r="J948" s="1" t="s">
        <v>744</v>
      </c>
    </row>
    <row r="949" customFormat="false" ht="12" hidden="false" customHeight="true" outlineLevel="0" collapsed="false">
      <c r="B949" s="1" t="s">
        <v>742</v>
      </c>
      <c r="C949" s="1" t="s">
        <v>743</v>
      </c>
      <c r="D949" s="1" t="s">
        <v>497</v>
      </c>
      <c r="E949" s="1" t="s">
        <v>586</v>
      </c>
      <c r="F949" s="1" t="s">
        <v>519</v>
      </c>
      <c r="G949" s="1" t="s">
        <v>279</v>
      </c>
      <c r="H949" s="1" t="n">
        <v>145</v>
      </c>
      <c r="I949" s="1" t="str">
        <f aca="false">B949&amp;"|"&amp;F949&amp;"|"&amp;G949</f>
        <v>Neighborhood Shopping Centers|CMILL|Average</v>
      </c>
      <c r="J949" s="1" t="s">
        <v>744</v>
      </c>
    </row>
    <row r="950" customFormat="false" ht="12" hidden="false" customHeight="true" outlineLevel="0" collapsed="false">
      <c r="B950" s="1" t="s">
        <v>742</v>
      </c>
      <c r="C950" s="1" t="s">
        <v>743</v>
      </c>
      <c r="D950" s="1" t="s">
        <v>497</v>
      </c>
      <c r="E950" s="1" t="s">
        <v>586</v>
      </c>
      <c r="F950" s="1" t="s">
        <v>468</v>
      </c>
      <c r="G950" s="1" t="s">
        <v>483</v>
      </c>
      <c r="H950" s="1" t="n">
        <v>143</v>
      </c>
      <c r="I950" s="1" t="str">
        <f aca="false">B950&amp;"|"&amp;F950&amp;"|"&amp;G950</f>
        <v>Neighborhood Shopping Centers|D|Good</v>
      </c>
      <c r="J950" s="1" t="s">
        <v>744</v>
      </c>
    </row>
    <row r="951" customFormat="false" ht="12" hidden="false" customHeight="true" outlineLevel="0" collapsed="false">
      <c r="B951" s="1" t="s">
        <v>742</v>
      </c>
      <c r="C951" s="1" t="s">
        <v>743</v>
      </c>
      <c r="D951" s="1" t="s">
        <v>497</v>
      </c>
      <c r="E951" s="1" t="s">
        <v>586</v>
      </c>
      <c r="F951" s="1" t="s">
        <v>468</v>
      </c>
      <c r="G951" s="1" t="s">
        <v>279</v>
      </c>
      <c r="H951" s="1" t="n">
        <v>119</v>
      </c>
      <c r="I951" s="1" t="str">
        <f aca="false">B951&amp;"|"&amp;F951&amp;"|"&amp;G951</f>
        <v>Neighborhood Shopping Centers|D|Average</v>
      </c>
      <c r="J951" s="1" t="s">
        <v>744</v>
      </c>
    </row>
    <row r="952" customFormat="false" ht="12" hidden="false" customHeight="true" outlineLevel="0" collapsed="false">
      <c r="B952" s="1" t="s">
        <v>742</v>
      </c>
      <c r="C952" s="1" t="s">
        <v>743</v>
      </c>
      <c r="D952" s="1" t="s">
        <v>497</v>
      </c>
      <c r="E952" s="1" t="s">
        <v>586</v>
      </c>
      <c r="F952" s="1" t="s">
        <v>468</v>
      </c>
      <c r="G952" s="1" t="s">
        <v>480</v>
      </c>
      <c r="H952" s="1" t="n">
        <v>93</v>
      </c>
      <c r="I952" s="1" t="str">
        <f aca="false">B952&amp;"|"&amp;F952&amp;"|"&amp;G952</f>
        <v>Neighborhood Shopping Centers|D|Low Cost</v>
      </c>
      <c r="J952" s="1" t="s">
        <v>744</v>
      </c>
    </row>
    <row r="953" customFormat="false" ht="12" hidden="false" customHeight="true" outlineLevel="0" collapsed="false">
      <c r="B953" s="1" t="s">
        <v>742</v>
      </c>
      <c r="C953" s="1" t="s">
        <v>743</v>
      </c>
      <c r="D953" s="1" t="s">
        <v>497</v>
      </c>
      <c r="E953" s="1" t="s">
        <v>586</v>
      </c>
      <c r="F953" s="1" t="s">
        <v>566</v>
      </c>
      <c r="G953" s="1" t="s">
        <v>480</v>
      </c>
      <c r="H953" s="1" t="n">
        <v>88.5</v>
      </c>
      <c r="I953" s="1" t="str">
        <f aca="false">B953&amp;"|"&amp;F953&amp;"|"&amp;G953</f>
        <v>Neighborhood Shopping Centers|DPOLE|Low Cost</v>
      </c>
      <c r="J953" s="1" t="s">
        <v>744</v>
      </c>
    </row>
    <row r="954" customFormat="false" ht="12" hidden="false" customHeight="true" outlineLevel="0" collapsed="false">
      <c r="B954" s="1" t="s">
        <v>742</v>
      </c>
      <c r="C954" s="1" t="s">
        <v>743</v>
      </c>
      <c r="D954" s="1" t="s">
        <v>497</v>
      </c>
      <c r="E954" s="1" t="s">
        <v>586</v>
      </c>
      <c r="F954" s="1" t="s">
        <v>473</v>
      </c>
      <c r="G954" s="1" t="s">
        <v>279</v>
      </c>
      <c r="H954" s="1" t="n">
        <v>116</v>
      </c>
      <c r="I954" s="1" t="str">
        <f aca="false">B954&amp;"|"&amp;F954&amp;"|"&amp;G954</f>
        <v>Neighborhood Shopping Centers|S|Average</v>
      </c>
      <c r="J954" s="1" t="s">
        <v>744</v>
      </c>
    </row>
    <row r="955" customFormat="false" ht="12" hidden="false" customHeight="true" outlineLevel="0" collapsed="false">
      <c r="B955" s="1" t="s">
        <v>742</v>
      </c>
      <c r="C955" s="1" t="s">
        <v>743</v>
      </c>
      <c r="D955" s="1" t="s">
        <v>497</v>
      </c>
      <c r="E955" s="1" t="s">
        <v>586</v>
      </c>
      <c r="F955" s="1" t="s">
        <v>473</v>
      </c>
      <c r="G955" s="1" t="s">
        <v>480</v>
      </c>
      <c r="H955" s="1" t="n">
        <v>91</v>
      </c>
      <c r="I955" s="1" t="str">
        <f aca="false">B955&amp;"|"&amp;F955&amp;"|"&amp;G955</f>
        <v>Neighborhood Shopping Centers|S|Low Cost</v>
      </c>
      <c r="J955" s="1" t="s">
        <v>744</v>
      </c>
    </row>
    <row r="956" customFormat="false" ht="12" hidden="false" customHeight="true" outlineLevel="0" collapsed="false">
      <c r="B956" s="1" t="s">
        <v>745</v>
      </c>
      <c r="C956" s="1" t="s">
        <v>746</v>
      </c>
      <c r="D956" s="1" t="s">
        <v>497</v>
      </c>
      <c r="E956" s="1" t="s">
        <v>586</v>
      </c>
      <c r="F956" s="1" t="s">
        <v>463</v>
      </c>
      <c r="G956" s="1" t="s">
        <v>483</v>
      </c>
      <c r="H956" s="1" t="n">
        <v>157</v>
      </c>
      <c r="I956" s="1" t="str">
        <f aca="false">B956&amp;"|"&amp;F956&amp;"|"&amp;G956</f>
        <v>Mixed Retail Centers with Residential Units|C|Good</v>
      </c>
      <c r="J956" s="1" t="s">
        <v>744</v>
      </c>
    </row>
    <row r="957" customFormat="false" ht="12" hidden="false" customHeight="true" outlineLevel="0" collapsed="false">
      <c r="B957" s="1" t="s">
        <v>745</v>
      </c>
      <c r="C957" s="1" t="s">
        <v>746</v>
      </c>
      <c r="D957" s="1" t="s">
        <v>497</v>
      </c>
      <c r="E957" s="1" t="s">
        <v>586</v>
      </c>
      <c r="F957" s="1" t="s">
        <v>463</v>
      </c>
      <c r="G957" s="1" t="s">
        <v>279</v>
      </c>
      <c r="H957" s="1" t="n">
        <v>125</v>
      </c>
      <c r="I957" s="1" t="str">
        <f aca="false">B957&amp;"|"&amp;F957&amp;"|"&amp;G957</f>
        <v>Mixed Retail Centers with Residential Units|C|Average</v>
      </c>
      <c r="J957" s="1" t="s">
        <v>744</v>
      </c>
    </row>
    <row r="958" customFormat="false" ht="12" hidden="false" customHeight="true" outlineLevel="0" collapsed="false">
      <c r="B958" s="1" t="s">
        <v>745</v>
      </c>
      <c r="C958" s="1" t="s">
        <v>746</v>
      </c>
      <c r="D958" s="1" t="s">
        <v>497</v>
      </c>
      <c r="E958" s="1" t="s">
        <v>586</v>
      </c>
      <c r="F958" s="1" t="s">
        <v>463</v>
      </c>
      <c r="G958" s="1" t="s">
        <v>480</v>
      </c>
      <c r="H958" s="1" t="n">
        <v>95</v>
      </c>
      <c r="I958" s="1" t="str">
        <f aca="false">B958&amp;"|"&amp;F958&amp;"|"&amp;G958</f>
        <v>Mixed Retail Centers with Residential Units|C|Low Cost</v>
      </c>
      <c r="J958" s="1" t="s">
        <v>744</v>
      </c>
    </row>
    <row r="959" customFormat="false" ht="12" hidden="false" customHeight="true" outlineLevel="0" collapsed="false">
      <c r="B959" s="1" t="s">
        <v>745</v>
      </c>
      <c r="C959" s="1" t="s">
        <v>746</v>
      </c>
      <c r="D959" s="1" t="s">
        <v>497</v>
      </c>
      <c r="E959" s="1" t="s">
        <v>586</v>
      </c>
      <c r="F959" s="1" t="s">
        <v>519</v>
      </c>
      <c r="G959" s="1" t="s">
        <v>279</v>
      </c>
      <c r="H959" s="1" t="n">
        <v>147</v>
      </c>
      <c r="I959" s="1" t="str">
        <f aca="false">B959&amp;"|"&amp;F959&amp;"|"&amp;G959</f>
        <v>Mixed Retail Centers with Residential Units|CMILL|Average</v>
      </c>
      <c r="J959" s="1" t="s">
        <v>744</v>
      </c>
    </row>
    <row r="960" customFormat="false" ht="12" hidden="false" customHeight="true" outlineLevel="0" collapsed="false">
      <c r="B960" s="1" t="s">
        <v>745</v>
      </c>
      <c r="C960" s="1" t="s">
        <v>746</v>
      </c>
      <c r="D960" s="1" t="s">
        <v>497</v>
      </c>
      <c r="E960" s="1" t="s">
        <v>586</v>
      </c>
      <c r="F960" s="1" t="s">
        <v>468</v>
      </c>
      <c r="G960" s="1" t="s">
        <v>483</v>
      </c>
      <c r="H960" s="1" t="n">
        <v>148</v>
      </c>
      <c r="I960" s="1" t="str">
        <f aca="false">B960&amp;"|"&amp;F960&amp;"|"&amp;G960</f>
        <v>Mixed Retail Centers with Residential Units|D|Good</v>
      </c>
      <c r="J960" s="1" t="s">
        <v>744</v>
      </c>
    </row>
    <row r="961" customFormat="false" ht="12" hidden="false" customHeight="true" outlineLevel="0" collapsed="false">
      <c r="B961" s="1" t="s">
        <v>745</v>
      </c>
      <c r="C961" s="1" t="s">
        <v>746</v>
      </c>
      <c r="D961" s="1" t="s">
        <v>497</v>
      </c>
      <c r="E961" s="1" t="s">
        <v>586</v>
      </c>
      <c r="F961" s="1" t="s">
        <v>468</v>
      </c>
      <c r="G961" s="1" t="s">
        <v>279</v>
      </c>
      <c r="H961" s="1" t="n">
        <v>117</v>
      </c>
      <c r="I961" s="1" t="str">
        <f aca="false">B961&amp;"|"&amp;F961&amp;"|"&amp;G961</f>
        <v>Mixed Retail Centers with Residential Units|D|Average</v>
      </c>
      <c r="J961" s="1" t="s">
        <v>744</v>
      </c>
    </row>
    <row r="962" customFormat="false" ht="12" hidden="false" customHeight="true" outlineLevel="0" collapsed="false">
      <c r="B962" s="1" t="s">
        <v>745</v>
      </c>
      <c r="C962" s="1" t="s">
        <v>746</v>
      </c>
      <c r="D962" s="1" t="s">
        <v>497</v>
      </c>
      <c r="E962" s="1" t="s">
        <v>586</v>
      </c>
      <c r="F962" s="1" t="s">
        <v>468</v>
      </c>
      <c r="G962" s="1" t="s">
        <v>480</v>
      </c>
      <c r="H962" s="1" t="n">
        <v>88</v>
      </c>
      <c r="I962" s="1" t="str">
        <f aca="false">B962&amp;"|"&amp;F962&amp;"|"&amp;G962</f>
        <v>Mixed Retail Centers with Residential Units|D|Low Cost</v>
      </c>
      <c r="J962" s="1" t="s">
        <v>744</v>
      </c>
    </row>
    <row r="963" customFormat="false" ht="12" hidden="false" customHeight="true" outlineLevel="0" collapsed="false">
      <c r="B963" s="1" t="s">
        <v>747</v>
      </c>
      <c r="C963" s="1" t="s">
        <v>748</v>
      </c>
      <c r="D963" s="1" t="s">
        <v>497</v>
      </c>
      <c r="E963" s="1" t="s">
        <v>660</v>
      </c>
      <c r="F963" s="1" t="s">
        <v>463</v>
      </c>
      <c r="G963" s="1" t="s">
        <v>483</v>
      </c>
      <c r="H963" s="1" t="n">
        <v>156</v>
      </c>
      <c r="I963" s="1" t="str">
        <f aca="false">B963&amp;"|"&amp;F963&amp;"|"&amp;G963</f>
        <v>Mixed Retail Centers with Office Units|C|Good</v>
      </c>
      <c r="J963" s="1" t="s">
        <v>749</v>
      </c>
    </row>
    <row r="964" customFormat="false" ht="12" hidden="false" customHeight="true" outlineLevel="0" collapsed="false">
      <c r="B964" s="1" t="s">
        <v>747</v>
      </c>
      <c r="C964" s="1" t="s">
        <v>748</v>
      </c>
      <c r="D964" s="1" t="s">
        <v>497</v>
      </c>
      <c r="E964" s="1" t="s">
        <v>660</v>
      </c>
      <c r="F964" s="1" t="s">
        <v>463</v>
      </c>
      <c r="G964" s="1" t="s">
        <v>279</v>
      </c>
      <c r="H964" s="1" t="n">
        <v>128</v>
      </c>
      <c r="I964" s="1" t="str">
        <f aca="false">B964&amp;"|"&amp;F964&amp;"|"&amp;G964</f>
        <v>Mixed Retail Centers with Office Units|C|Average</v>
      </c>
      <c r="J964" s="1" t="s">
        <v>749</v>
      </c>
    </row>
    <row r="965" customFormat="false" ht="12" hidden="false" customHeight="true" outlineLevel="0" collapsed="false">
      <c r="B965" s="1" t="s">
        <v>747</v>
      </c>
      <c r="C965" s="1" t="s">
        <v>748</v>
      </c>
      <c r="D965" s="1" t="s">
        <v>497</v>
      </c>
      <c r="E965" s="1" t="s">
        <v>660</v>
      </c>
      <c r="F965" s="1" t="s">
        <v>463</v>
      </c>
      <c r="G965" s="1" t="s">
        <v>480</v>
      </c>
      <c r="H965" s="1" t="n">
        <v>100</v>
      </c>
      <c r="I965" s="1" t="str">
        <f aca="false">B965&amp;"|"&amp;F965&amp;"|"&amp;G965</f>
        <v>Mixed Retail Centers with Office Units|C|Low Cost</v>
      </c>
      <c r="J965" s="1" t="s">
        <v>749</v>
      </c>
    </row>
    <row r="966" customFormat="false" ht="12" hidden="false" customHeight="true" outlineLevel="0" collapsed="false">
      <c r="B966" s="1" t="s">
        <v>747</v>
      </c>
      <c r="C966" s="1" t="s">
        <v>748</v>
      </c>
      <c r="D966" s="1" t="s">
        <v>497</v>
      </c>
      <c r="E966" s="1" t="s">
        <v>660</v>
      </c>
      <c r="F966" s="1" t="s">
        <v>519</v>
      </c>
      <c r="G966" s="1" t="s">
        <v>279</v>
      </c>
      <c r="H966" s="1" t="n">
        <v>148</v>
      </c>
      <c r="I966" s="1" t="str">
        <f aca="false">B966&amp;"|"&amp;F966&amp;"|"&amp;G966</f>
        <v>Mixed Retail Centers with Office Units|CMILL|Average</v>
      </c>
      <c r="J966" s="1" t="s">
        <v>749</v>
      </c>
    </row>
    <row r="967" customFormat="false" ht="12" hidden="false" customHeight="true" outlineLevel="0" collapsed="false">
      <c r="B967" s="1" t="s">
        <v>747</v>
      </c>
      <c r="C967" s="1" t="s">
        <v>748</v>
      </c>
      <c r="D967" s="1" t="s">
        <v>497</v>
      </c>
      <c r="E967" s="1" t="s">
        <v>660</v>
      </c>
      <c r="F967" s="1" t="s">
        <v>468</v>
      </c>
      <c r="G967" s="1" t="s">
        <v>483</v>
      </c>
      <c r="H967" s="1" t="n">
        <v>147</v>
      </c>
      <c r="I967" s="1" t="str">
        <f aca="false">B967&amp;"|"&amp;F967&amp;"|"&amp;G967</f>
        <v>Mixed Retail Centers with Office Units|D|Good</v>
      </c>
      <c r="J967" s="1" t="s">
        <v>749</v>
      </c>
    </row>
    <row r="968" customFormat="false" ht="12" hidden="false" customHeight="true" outlineLevel="0" collapsed="false">
      <c r="B968" s="1" t="s">
        <v>747</v>
      </c>
      <c r="C968" s="1" t="s">
        <v>748</v>
      </c>
      <c r="D968" s="1" t="s">
        <v>497</v>
      </c>
      <c r="E968" s="1" t="s">
        <v>660</v>
      </c>
      <c r="F968" s="1" t="s">
        <v>468</v>
      </c>
      <c r="G968" s="1" t="s">
        <v>279</v>
      </c>
      <c r="H968" s="1" t="n">
        <v>120</v>
      </c>
      <c r="I968" s="1" t="str">
        <f aca="false">B968&amp;"|"&amp;F968&amp;"|"&amp;G968</f>
        <v>Mixed Retail Centers with Office Units|D|Average</v>
      </c>
      <c r="J968" s="1" t="s">
        <v>749</v>
      </c>
    </row>
    <row r="969" customFormat="false" ht="12" hidden="false" customHeight="true" outlineLevel="0" collapsed="false">
      <c r="B969" s="1" t="s">
        <v>747</v>
      </c>
      <c r="C969" s="1" t="s">
        <v>748</v>
      </c>
      <c r="D969" s="1" t="s">
        <v>497</v>
      </c>
      <c r="E969" s="1" t="s">
        <v>660</v>
      </c>
      <c r="F969" s="1" t="s">
        <v>468</v>
      </c>
      <c r="G969" s="1" t="s">
        <v>480</v>
      </c>
      <c r="H969" s="1" t="n">
        <v>93</v>
      </c>
      <c r="I969" s="1" t="str">
        <f aca="false">B969&amp;"|"&amp;F969&amp;"|"&amp;G969</f>
        <v>Mixed Retail Centers with Office Units|D|Low Cost</v>
      </c>
      <c r="J969" s="1" t="s">
        <v>749</v>
      </c>
    </row>
    <row r="970" customFormat="false" ht="12" hidden="false" customHeight="true" outlineLevel="0" collapsed="false">
      <c r="B970" s="1" t="s">
        <v>750</v>
      </c>
      <c r="C970" s="1" t="s">
        <v>751</v>
      </c>
      <c r="D970" s="1" t="s">
        <v>497</v>
      </c>
      <c r="E970" s="1" t="s">
        <v>660</v>
      </c>
      <c r="F970" s="1" t="s">
        <v>463</v>
      </c>
      <c r="G970" s="1" t="s">
        <v>485</v>
      </c>
      <c r="H970" s="1" t="n">
        <v>207</v>
      </c>
      <c r="I970" s="1" t="str">
        <f aca="false">B970&amp;"|"&amp;F970&amp;"|"&amp;G970</f>
        <v>Community Shopping Centers|C|Excellent</v>
      </c>
      <c r="J970" s="1" t="s">
        <v>749</v>
      </c>
    </row>
    <row r="971" customFormat="false" ht="12" hidden="false" customHeight="true" outlineLevel="0" collapsed="false">
      <c r="B971" s="1" t="s">
        <v>750</v>
      </c>
      <c r="C971" s="1" t="s">
        <v>751</v>
      </c>
      <c r="D971" s="1" t="s">
        <v>497</v>
      </c>
      <c r="E971" s="1" t="s">
        <v>660</v>
      </c>
      <c r="F971" s="1" t="s">
        <v>463</v>
      </c>
      <c r="G971" s="1" t="s">
        <v>483</v>
      </c>
      <c r="H971" s="1" t="n">
        <v>169</v>
      </c>
      <c r="I971" s="1" t="str">
        <f aca="false">B971&amp;"|"&amp;F971&amp;"|"&amp;G971</f>
        <v>Community Shopping Centers|C|Good</v>
      </c>
      <c r="J971" s="1" t="s">
        <v>749</v>
      </c>
    </row>
    <row r="972" customFormat="false" ht="12" hidden="false" customHeight="true" outlineLevel="0" collapsed="false">
      <c r="B972" s="1" t="s">
        <v>750</v>
      </c>
      <c r="C972" s="1" t="s">
        <v>751</v>
      </c>
      <c r="D972" s="1" t="s">
        <v>497</v>
      </c>
      <c r="E972" s="1" t="s">
        <v>660</v>
      </c>
      <c r="F972" s="1" t="s">
        <v>463</v>
      </c>
      <c r="G972" s="1" t="s">
        <v>279</v>
      </c>
      <c r="H972" s="1" t="n">
        <v>135</v>
      </c>
      <c r="I972" s="1" t="str">
        <f aca="false">B972&amp;"|"&amp;F972&amp;"|"&amp;G972</f>
        <v>Community Shopping Centers|C|Average</v>
      </c>
      <c r="J972" s="1" t="s">
        <v>749</v>
      </c>
    </row>
    <row r="973" customFormat="false" ht="12" hidden="false" customHeight="true" outlineLevel="0" collapsed="false">
      <c r="B973" s="1" t="s">
        <v>750</v>
      </c>
      <c r="C973" s="1" t="s">
        <v>751</v>
      </c>
      <c r="D973" s="1" t="s">
        <v>497</v>
      </c>
      <c r="E973" s="1" t="s">
        <v>660</v>
      </c>
      <c r="F973" s="1" t="s">
        <v>463</v>
      </c>
      <c r="G973" s="1" t="s">
        <v>480</v>
      </c>
      <c r="H973" s="1" t="n">
        <v>111</v>
      </c>
      <c r="I973" s="1" t="str">
        <f aca="false">B973&amp;"|"&amp;F973&amp;"|"&amp;G973</f>
        <v>Community Shopping Centers|C|Low Cost</v>
      </c>
      <c r="J973" s="1" t="s">
        <v>749</v>
      </c>
    </row>
    <row r="974" customFormat="false" ht="12" hidden="false" customHeight="true" outlineLevel="0" collapsed="false">
      <c r="B974" s="1" t="s">
        <v>750</v>
      </c>
      <c r="C974" s="1" t="s">
        <v>751</v>
      </c>
      <c r="D974" s="1" t="s">
        <v>497</v>
      </c>
      <c r="E974" s="1" t="s">
        <v>660</v>
      </c>
      <c r="F974" s="1" t="s">
        <v>468</v>
      </c>
      <c r="G974" s="1" t="s">
        <v>485</v>
      </c>
      <c r="H974" s="1" t="n">
        <v>195</v>
      </c>
      <c r="I974" s="1" t="str">
        <f aca="false">B974&amp;"|"&amp;F974&amp;"|"&amp;G974</f>
        <v>Community Shopping Centers|D|Excellent</v>
      </c>
      <c r="J974" s="1" t="s">
        <v>749</v>
      </c>
    </row>
    <row r="975" customFormat="false" ht="12" hidden="false" customHeight="true" outlineLevel="0" collapsed="false">
      <c r="B975" s="1" t="s">
        <v>750</v>
      </c>
      <c r="C975" s="1" t="s">
        <v>751</v>
      </c>
      <c r="D975" s="1" t="s">
        <v>497</v>
      </c>
      <c r="E975" s="1" t="s">
        <v>660</v>
      </c>
      <c r="F975" s="1" t="s">
        <v>468</v>
      </c>
      <c r="G975" s="1" t="s">
        <v>483</v>
      </c>
      <c r="H975" s="1" t="n">
        <v>159</v>
      </c>
      <c r="I975" s="1" t="str">
        <f aca="false">B975&amp;"|"&amp;F975&amp;"|"&amp;G975</f>
        <v>Community Shopping Centers|D|Good</v>
      </c>
      <c r="J975" s="1" t="s">
        <v>749</v>
      </c>
    </row>
    <row r="976" customFormat="false" ht="12" hidden="false" customHeight="true" outlineLevel="0" collapsed="false">
      <c r="B976" s="1" t="s">
        <v>750</v>
      </c>
      <c r="C976" s="1" t="s">
        <v>751</v>
      </c>
      <c r="D976" s="1" t="s">
        <v>497</v>
      </c>
      <c r="E976" s="1" t="s">
        <v>660</v>
      </c>
      <c r="F976" s="1" t="s">
        <v>468</v>
      </c>
      <c r="G976" s="1" t="s">
        <v>279</v>
      </c>
      <c r="H976" s="1" t="n">
        <v>126</v>
      </c>
      <c r="I976" s="1" t="str">
        <f aca="false">B976&amp;"|"&amp;F976&amp;"|"&amp;G976</f>
        <v>Community Shopping Centers|D|Average</v>
      </c>
      <c r="J976" s="1" t="s">
        <v>749</v>
      </c>
    </row>
    <row r="977" customFormat="false" ht="12" hidden="false" customHeight="true" outlineLevel="0" collapsed="false">
      <c r="B977" s="1" t="s">
        <v>750</v>
      </c>
      <c r="C977" s="1" t="s">
        <v>751</v>
      </c>
      <c r="D977" s="1" t="s">
        <v>497</v>
      </c>
      <c r="E977" s="1" t="s">
        <v>660</v>
      </c>
      <c r="F977" s="1" t="s">
        <v>473</v>
      </c>
      <c r="G977" s="1" t="s">
        <v>279</v>
      </c>
      <c r="H977" s="1" t="n">
        <v>124</v>
      </c>
      <c r="I977" s="1" t="str">
        <f aca="false">B977&amp;"|"&amp;F977&amp;"|"&amp;G977</f>
        <v>Community Shopping Centers|S|Average</v>
      </c>
      <c r="J977" s="1" t="s">
        <v>749</v>
      </c>
    </row>
    <row r="978" customFormat="false" ht="12" hidden="false" customHeight="true" outlineLevel="0" collapsed="false">
      <c r="B978" s="1" t="s">
        <v>752</v>
      </c>
      <c r="C978" s="1" t="s">
        <v>753</v>
      </c>
      <c r="D978" s="1" t="s">
        <v>497</v>
      </c>
      <c r="E978" s="1" t="s">
        <v>754</v>
      </c>
      <c r="F978" s="1" t="s">
        <v>523</v>
      </c>
      <c r="G978" s="1" t="s">
        <v>483</v>
      </c>
      <c r="H978" s="1" t="n">
        <v>176</v>
      </c>
      <c r="I978" s="1" t="str">
        <f aca="false">B978&amp;"|"&amp;F978&amp;"|"&amp;G978</f>
        <v>Regional Discount Shopping Centers|A-B|Good</v>
      </c>
      <c r="J978" s="1" t="s">
        <v>755</v>
      </c>
    </row>
    <row r="979" customFormat="false" ht="12" hidden="false" customHeight="true" outlineLevel="0" collapsed="false">
      <c r="B979" s="1" t="s">
        <v>752</v>
      </c>
      <c r="C979" s="1" t="s">
        <v>753</v>
      </c>
      <c r="D979" s="1" t="s">
        <v>497</v>
      </c>
      <c r="E979" s="1" t="s">
        <v>754</v>
      </c>
      <c r="F979" s="1" t="s">
        <v>523</v>
      </c>
      <c r="G979" s="1" t="s">
        <v>279</v>
      </c>
      <c r="H979" s="1" t="n">
        <v>145</v>
      </c>
      <c r="I979" s="1" t="str">
        <f aca="false">B979&amp;"|"&amp;F979&amp;"|"&amp;G979</f>
        <v>Regional Discount Shopping Centers|A-B|Average</v>
      </c>
      <c r="J979" s="1" t="s">
        <v>755</v>
      </c>
    </row>
    <row r="980" customFormat="false" ht="12" hidden="false" customHeight="true" outlineLevel="0" collapsed="false">
      <c r="B980" s="1" t="s">
        <v>752</v>
      </c>
      <c r="C980" s="1" t="s">
        <v>753</v>
      </c>
      <c r="D980" s="1" t="s">
        <v>497</v>
      </c>
      <c r="E980" s="1" t="s">
        <v>754</v>
      </c>
      <c r="F980" s="1" t="s">
        <v>463</v>
      </c>
      <c r="G980" s="1" t="s">
        <v>485</v>
      </c>
      <c r="H980" s="1" t="n">
        <v>157</v>
      </c>
      <c r="I980" s="1" t="str">
        <f aca="false">B980&amp;"|"&amp;F980&amp;"|"&amp;G980</f>
        <v>Regional Discount Shopping Centers|C|Excellent</v>
      </c>
      <c r="J980" s="1" t="s">
        <v>755</v>
      </c>
    </row>
    <row r="981" customFormat="false" ht="12" hidden="false" customHeight="true" outlineLevel="0" collapsed="false">
      <c r="B981" s="1" t="s">
        <v>752</v>
      </c>
      <c r="C981" s="1" t="s">
        <v>753</v>
      </c>
      <c r="D981" s="1" t="s">
        <v>497</v>
      </c>
      <c r="E981" s="1" t="s">
        <v>754</v>
      </c>
      <c r="F981" s="1" t="s">
        <v>463</v>
      </c>
      <c r="G981" s="1" t="s">
        <v>483</v>
      </c>
      <c r="H981" s="1" t="n">
        <v>129</v>
      </c>
      <c r="I981" s="1" t="str">
        <f aca="false">B981&amp;"|"&amp;F981&amp;"|"&amp;G981</f>
        <v>Regional Discount Shopping Centers|C|Good</v>
      </c>
      <c r="J981" s="1" t="s">
        <v>755</v>
      </c>
    </row>
    <row r="982" customFormat="false" ht="12" hidden="false" customHeight="true" outlineLevel="0" collapsed="false">
      <c r="B982" s="1" t="s">
        <v>752</v>
      </c>
      <c r="C982" s="1" t="s">
        <v>753</v>
      </c>
      <c r="D982" s="1" t="s">
        <v>497</v>
      </c>
      <c r="E982" s="1" t="s">
        <v>754</v>
      </c>
      <c r="F982" s="1" t="s">
        <v>463</v>
      </c>
      <c r="G982" s="1" t="s">
        <v>279</v>
      </c>
      <c r="H982" s="1" t="n">
        <v>110</v>
      </c>
      <c r="I982" s="1" t="str">
        <f aca="false">B982&amp;"|"&amp;F982&amp;"|"&amp;G982</f>
        <v>Regional Discount Shopping Centers|C|Average</v>
      </c>
      <c r="J982" s="1" t="s">
        <v>755</v>
      </c>
    </row>
    <row r="983" customFormat="false" ht="12" hidden="false" customHeight="true" outlineLevel="0" collapsed="false">
      <c r="B983" s="1" t="s">
        <v>752</v>
      </c>
      <c r="C983" s="1" t="s">
        <v>753</v>
      </c>
      <c r="D983" s="1" t="s">
        <v>497</v>
      </c>
      <c r="E983" s="1" t="s">
        <v>754</v>
      </c>
      <c r="F983" s="1" t="s">
        <v>468</v>
      </c>
      <c r="G983" s="1" t="s">
        <v>483</v>
      </c>
      <c r="H983" s="1" t="n">
        <v>120</v>
      </c>
      <c r="I983" s="1" t="str">
        <f aca="false">B983&amp;"|"&amp;F983&amp;"|"&amp;G983</f>
        <v>Regional Discount Shopping Centers|D|Good</v>
      </c>
      <c r="J983" s="1" t="s">
        <v>755</v>
      </c>
    </row>
    <row r="984" customFormat="false" ht="12" hidden="false" customHeight="true" outlineLevel="0" collapsed="false">
      <c r="B984" s="1" t="s">
        <v>752</v>
      </c>
      <c r="C984" s="1" t="s">
        <v>753</v>
      </c>
      <c r="D984" s="1" t="s">
        <v>497</v>
      </c>
      <c r="E984" s="1" t="s">
        <v>754</v>
      </c>
      <c r="F984" s="1" t="s">
        <v>468</v>
      </c>
      <c r="G984" s="1" t="s">
        <v>279</v>
      </c>
      <c r="H984" s="1" t="n">
        <v>101</v>
      </c>
      <c r="I984" s="1" t="str">
        <f aca="false">B984&amp;"|"&amp;F984&amp;"|"&amp;G984</f>
        <v>Regional Discount Shopping Centers|D|Average</v>
      </c>
      <c r="J984" s="1" t="s">
        <v>755</v>
      </c>
    </row>
    <row r="985" customFormat="false" ht="12" hidden="false" customHeight="true" outlineLevel="0" collapsed="false">
      <c r="B985" s="1" t="s">
        <v>752</v>
      </c>
      <c r="C985" s="1" t="s">
        <v>753</v>
      </c>
      <c r="D985" s="1" t="s">
        <v>497</v>
      </c>
      <c r="E985" s="1" t="s">
        <v>754</v>
      </c>
      <c r="F985" s="1" t="s">
        <v>473</v>
      </c>
      <c r="G985" s="1" t="s">
        <v>279</v>
      </c>
      <c r="H985" s="1" t="n">
        <v>100</v>
      </c>
      <c r="I985" s="1" t="str">
        <f aca="false">B985&amp;"|"&amp;F985&amp;"|"&amp;G985</f>
        <v>Regional Discount Shopping Centers|S|Average</v>
      </c>
      <c r="J985" s="1" t="s">
        <v>755</v>
      </c>
    </row>
    <row r="986" customFormat="false" ht="12" hidden="false" customHeight="true" outlineLevel="0" collapsed="false">
      <c r="B986" s="1" t="s">
        <v>756</v>
      </c>
      <c r="C986" s="1" t="s">
        <v>757</v>
      </c>
      <c r="D986" s="1" t="s">
        <v>497</v>
      </c>
      <c r="E986" s="1" t="s">
        <v>754</v>
      </c>
      <c r="F986" s="1" t="s">
        <v>523</v>
      </c>
      <c r="G986" s="1" t="s">
        <v>485</v>
      </c>
      <c r="H986" s="1" t="n">
        <v>284</v>
      </c>
      <c r="I986" s="1" t="str">
        <f aca="false">B986&amp;"|"&amp;F986&amp;"|"&amp;G986</f>
        <v>Regional Shopping Centers|A-B|Excellent</v>
      </c>
      <c r="J986" s="1" t="s">
        <v>755</v>
      </c>
    </row>
    <row r="987" customFormat="false" ht="12" hidden="false" customHeight="true" outlineLevel="0" collapsed="false">
      <c r="B987" s="1" t="s">
        <v>756</v>
      </c>
      <c r="C987" s="1" t="s">
        <v>757</v>
      </c>
      <c r="D987" s="1" t="s">
        <v>497</v>
      </c>
      <c r="E987" s="1" t="s">
        <v>754</v>
      </c>
      <c r="F987" s="1" t="s">
        <v>523</v>
      </c>
      <c r="G987" s="1" t="s">
        <v>483</v>
      </c>
      <c r="H987" s="1" t="n">
        <v>233</v>
      </c>
      <c r="I987" s="1" t="str">
        <f aca="false">B987&amp;"|"&amp;F987&amp;"|"&amp;G987</f>
        <v>Regional Shopping Centers|A-B|Good</v>
      </c>
      <c r="J987" s="1" t="s">
        <v>755</v>
      </c>
    </row>
    <row r="988" customFormat="false" ht="12" hidden="false" customHeight="true" outlineLevel="0" collapsed="false">
      <c r="B988" s="1" t="s">
        <v>756</v>
      </c>
      <c r="C988" s="1" t="s">
        <v>757</v>
      </c>
      <c r="D988" s="1" t="s">
        <v>497</v>
      </c>
      <c r="E988" s="1" t="s">
        <v>754</v>
      </c>
      <c r="F988" s="1" t="s">
        <v>463</v>
      </c>
      <c r="G988" s="1" t="s">
        <v>485</v>
      </c>
      <c r="H988" s="1" t="n">
        <v>238</v>
      </c>
      <c r="I988" s="1" t="str">
        <f aca="false">B988&amp;"|"&amp;F988&amp;"|"&amp;G988</f>
        <v>Regional Shopping Centers|C|Excellent</v>
      </c>
      <c r="J988" s="1" t="s">
        <v>755</v>
      </c>
    </row>
    <row r="989" customFormat="false" ht="12" hidden="false" customHeight="true" outlineLevel="0" collapsed="false">
      <c r="B989" s="1" t="s">
        <v>756</v>
      </c>
      <c r="C989" s="1" t="s">
        <v>757</v>
      </c>
      <c r="D989" s="1" t="s">
        <v>497</v>
      </c>
      <c r="E989" s="1" t="s">
        <v>754</v>
      </c>
      <c r="F989" s="1" t="s">
        <v>463</v>
      </c>
      <c r="G989" s="1" t="s">
        <v>483</v>
      </c>
      <c r="H989" s="1" t="n">
        <v>189</v>
      </c>
      <c r="I989" s="1" t="str">
        <f aca="false">B989&amp;"|"&amp;F989&amp;"|"&amp;G989</f>
        <v>Regional Shopping Centers|C|Good</v>
      </c>
      <c r="J989" s="1" t="s">
        <v>755</v>
      </c>
    </row>
    <row r="990" customFormat="false" ht="12" hidden="false" customHeight="true" outlineLevel="0" collapsed="false">
      <c r="B990" s="1" t="s">
        <v>756</v>
      </c>
      <c r="C990" s="1" t="s">
        <v>757</v>
      </c>
      <c r="D990" s="1" t="s">
        <v>497</v>
      </c>
      <c r="E990" s="1" t="s">
        <v>754</v>
      </c>
      <c r="F990" s="1" t="s">
        <v>463</v>
      </c>
      <c r="G990" s="1" t="s">
        <v>279</v>
      </c>
      <c r="H990" s="1" t="n">
        <v>153</v>
      </c>
      <c r="I990" s="1" t="str">
        <f aca="false">B990&amp;"|"&amp;F990&amp;"|"&amp;G990</f>
        <v>Regional Shopping Centers|C|Average</v>
      </c>
      <c r="J990" s="1" t="s">
        <v>755</v>
      </c>
    </row>
    <row r="991" customFormat="false" ht="12" hidden="false" customHeight="true" outlineLevel="0" collapsed="false">
      <c r="B991" s="1" t="s">
        <v>756</v>
      </c>
      <c r="C991" s="1" t="s">
        <v>757</v>
      </c>
      <c r="D991" s="1" t="s">
        <v>497</v>
      </c>
      <c r="E991" s="1" t="s">
        <v>754</v>
      </c>
      <c r="F991" s="1" t="s">
        <v>468</v>
      </c>
      <c r="G991" s="1" t="s">
        <v>485</v>
      </c>
      <c r="H991" s="1" t="n">
        <v>223</v>
      </c>
      <c r="I991" s="1" t="str">
        <f aca="false">B991&amp;"|"&amp;F991&amp;"|"&amp;G991</f>
        <v>Regional Shopping Centers|D|Excellent</v>
      </c>
      <c r="J991" s="1" t="s">
        <v>755</v>
      </c>
    </row>
    <row r="992" customFormat="false" ht="12" hidden="false" customHeight="true" outlineLevel="0" collapsed="false">
      <c r="B992" s="1" t="s">
        <v>756</v>
      </c>
      <c r="C992" s="1" t="s">
        <v>757</v>
      </c>
      <c r="D992" s="1" t="s">
        <v>497</v>
      </c>
      <c r="E992" s="1" t="s">
        <v>754</v>
      </c>
      <c r="F992" s="1" t="s">
        <v>468</v>
      </c>
      <c r="G992" s="1" t="s">
        <v>483</v>
      </c>
      <c r="H992" s="1" t="n">
        <v>176</v>
      </c>
      <c r="I992" s="1" t="str">
        <f aca="false">B992&amp;"|"&amp;F992&amp;"|"&amp;G992</f>
        <v>Regional Shopping Centers|D|Good</v>
      </c>
      <c r="J992" s="1" t="s">
        <v>755</v>
      </c>
    </row>
    <row r="993" customFormat="false" ht="12" hidden="false" customHeight="true" outlineLevel="0" collapsed="false">
      <c r="B993" s="1" t="s">
        <v>756</v>
      </c>
      <c r="C993" s="1" t="s">
        <v>757</v>
      </c>
      <c r="D993" s="1" t="s">
        <v>497</v>
      </c>
      <c r="E993" s="1" t="s">
        <v>754</v>
      </c>
      <c r="F993" s="1" t="s">
        <v>468</v>
      </c>
      <c r="G993" s="1" t="s">
        <v>279</v>
      </c>
      <c r="H993" s="1" t="n">
        <v>142</v>
      </c>
      <c r="I993" s="1" t="str">
        <f aca="false">B993&amp;"|"&amp;F993&amp;"|"&amp;G993</f>
        <v>Regional Shopping Centers|D|Average</v>
      </c>
      <c r="J993" s="1" t="s">
        <v>755</v>
      </c>
    </row>
    <row r="994" customFormat="false" ht="12" hidden="false" customHeight="true" outlineLevel="0" collapsed="false">
      <c r="B994" s="1" t="s">
        <v>756</v>
      </c>
      <c r="C994" s="1" t="s">
        <v>757</v>
      </c>
      <c r="D994" s="1" t="s">
        <v>497</v>
      </c>
      <c r="E994" s="1" t="s">
        <v>754</v>
      </c>
      <c r="F994" s="1" t="s">
        <v>473</v>
      </c>
      <c r="G994" s="1" t="s">
        <v>279</v>
      </c>
      <c r="H994" s="1" t="n">
        <v>142</v>
      </c>
      <c r="I994" s="1" t="str">
        <f aca="false">B994&amp;"|"&amp;F994&amp;"|"&amp;G994</f>
        <v>Regional Shopping Centers|S|Average</v>
      </c>
      <c r="J994" s="1" t="s">
        <v>755</v>
      </c>
    </row>
    <row r="995" customFormat="false" ht="12" hidden="false" customHeight="true" outlineLevel="0" collapsed="false">
      <c r="B995" s="1" t="s">
        <v>758</v>
      </c>
      <c r="C995" s="1" t="s">
        <v>759</v>
      </c>
      <c r="D995" s="1" t="s">
        <v>497</v>
      </c>
      <c r="E995" s="1" t="s">
        <v>760</v>
      </c>
      <c r="F995" s="1" t="s">
        <v>523</v>
      </c>
      <c r="G995" s="1" t="s">
        <v>485</v>
      </c>
      <c r="H995" s="1" t="n">
        <v>118</v>
      </c>
      <c r="I995" s="1" t="str">
        <f aca="false">B995&amp;"|"&amp;F995&amp;"|"&amp;G995</f>
        <v>Regional Shopping Center Shell Buildings|A-B|Excellent</v>
      </c>
      <c r="J995" s="1" t="s">
        <v>761</v>
      </c>
    </row>
    <row r="996" customFormat="false" ht="12" hidden="false" customHeight="true" outlineLevel="0" collapsed="false">
      <c r="B996" s="1" t="s">
        <v>758</v>
      </c>
      <c r="C996" s="1" t="s">
        <v>759</v>
      </c>
      <c r="D996" s="1" t="s">
        <v>497</v>
      </c>
      <c r="E996" s="1" t="s">
        <v>760</v>
      </c>
      <c r="F996" s="1" t="s">
        <v>523</v>
      </c>
      <c r="G996" s="1" t="s">
        <v>483</v>
      </c>
      <c r="H996" s="1" t="n">
        <v>108</v>
      </c>
      <c r="I996" s="1" t="str">
        <f aca="false">B996&amp;"|"&amp;F996&amp;"|"&amp;G996</f>
        <v>Regional Shopping Center Shell Buildings|A-B|Good</v>
      </c>
      <c r="J996" s="1" t="s">
        <v>761</v>
      </c>
    </row>
    <row r="997" customFormat="false" ht="12" hidden="false" customHeight="true" outlineLevel="0" collapsed="false">
      <c r="B997" s="1" t="s">
        <v>758</v>
      </c>
      <c r="C997" s="1" t="s">
        <v>759</v>
      </c>
      <c r="D997" s="1" t="s">
        <v>497</v>
      </c>
      <c r="E997" s="1" t="s">
        <v>760</v>
      </c>
      <c r="F997" s="1" t="s">
        <v>463</v>
      </c>
      <c r="G997" s="1" t="s">
        <v>485</v>
      </c>
      <c r="H997" s="1" t="n">
        <v>79</v>
      </c>
      <c r="I997" s="1" t="str">
        <f aca="false">B997&amp;"|"&amp;F997&amp;"|"&amp;G997</f>
        <v>Regional Shopping Center Shell Buildings|C|Excellent</v>
      </c>
      <c r="J997" s="1" t="s">
        <v>761</v>
      </c>
    </row>
    <row r="998" customFormat="false" ht="12" hidden="false" customHeight="true" outlineLevel="0" collapsed="false">
      <c r="B998" s="1" t="s">
        <v>758</v>
      </c>
      <c r="C998" s="1" t="s">
        <v>759</v>
      </c>
      <c r="D998" s="1" t="s">
        <v>497</v>
      </c>
      <c r="E998" s="1" t="s">
        <v>760</v>
      </c>
      <c r="F998" s="1" t="s">
        <v>463</v>
      </c>
      <c r="G998" s="1" t="s">
        <v>483</v>
      </c>
      <c r="H998" s="1" t="n">
        <v>70</v>
      </c>
      <c r="I998" s="1" t="str">
        <f aca="false">B998&amp;"|"&amp;F998&amp;"|"&amp;G998</f>
        <v>Regional Shopping Center Shell Buildings|C|Good</v>
      </c>
      <c r="J998" s="1" t="s">
        <v>761</v>
      </c>
    </row>
    <row r="999" customFormat="false" ht="12" hidden="false" customHeight="true" outlineLevel="0" collapsed="false">
      <c r="B999" s="1" t="s">
        <v>758</v>
      </c>
      <c r="C999" s="1" t="s">
        <v>759</v>
      </c>
      <c r="D999" s="1" t="s">
        <v>497</v>
      </c>
      <c r="E999" s="1" t="s">
        <v>760</v>
      </c>
      <c r="F999" s="1" t="s">
        <v>463</v>
      </c>
      <c r="G999" s="1" t="s">
        <v>279</v>
      </c>
      <c r="H999" s="1" t="n">
        <v>62</v>
      </c>
      <c r="I999" s="1" t="str">
        <f aca="false">B999&amp;"|"&amp;F999&amp;"|"&amp;G999</f>
        <v>Regional Shopping Center Shell Buildings|C|Average</v>
      </c>
      <c r="J999" s="1" t="s">
        <v>761</v>
      </c>
    </row>
    <row r="1000" customFormat="false" ht="12" hidden="false" customHeight="true" outlineLevel="0" collapsed="false">
      <c r="B1000" s="1" t="s">
        <v>758</v>
      </c>
      <c r="C1000" s="1" t="s">
        <v>759</v>
      </c>
      <c r="D1000" s="1" t="s">
        <v>497</v>
      </c>
      <c r="E1000" s="1" t="s">
        <v>760</v>
      </c>
      <c r="F1000" s="1" t="s">
        <v>468</v>
      </c>
      <c r="G1000" s="1" t="s">
        <v>483</v>
      </c>
      <c r="H1000" s="1" t="n">
        <v>60</v>
      </c>
      <c r="I1000" s="1" t="str">
        <f aca="false">B1000&amp;"|"&amp;F1000&amp;"|"&amp;G1000</f>
        <v>Regional Shopping Center Shell Buildings|D|Good</v>
      </c>
      <c r="J1000" s="1" t="s">
        <v>761</v>
      </c>
    </row>
    <row r="1001" customFormat="false" ht="12" hidden="false" customHeight="true" outlineLevel="0" collapsed="false">
      <c r="B1001" s="1" t="s">
        <v>758</v>
      </c>
      <c r="C1001" s="1" t="s">
        <v>759</v>
      </c>
      <c r="D1001" s="1" t="s">
        <v>497</v>
      </c>
      <c r="E1001" s="1" t="s">
        <v>760</v>
      </c>
      <c r="F1001" s="1" t="s">
        <v>468</v>
      </c>
      <c r="G1001" s="1" t="s">
        <v>279</v>
      </c>
      <c r="H1001" s="1" t="n">
        <v>53</v>
      </c>
      <c r="I1001" s="1" t="str">
        <f aca="false">B1001&amp;"|"&amp;F1001&amp;"|"&amp;G1001</f>
        <v>Regional Shopping Center Shell Buildings|D|Average</v>
      </c>
      <c r="J1001" s="1" t="s">
        <v>761</v>
      </c>
    </row>
    <row r="1002" customFormat="false" ht="12" hidden="false" customHeight="true" outlineLevel="0" collapsed="false">
      <c r="B1002" s="1" t="s">
        <v>758</v>
      </c>
      <c r="C1002" s="1" t="s">
        <v>759</v>
      </c>
      <c r="D1002" s="1" t="s">
        <v>497</v>
      </c>
      <c r="E1002" s="1" t="s">
        <v>760</v>
      </c>
      <c r="F1002" s="1" t="s">
        <v>473</v>
      </c>
      <c r="G1002" s="1" t="s">
        <v>279</v>
      </c>
      <c r="H1002" s="1" t="n">
        <v>50.5</v>
      </c>
      <c r="I1002" s="1" t="str">
        <f aca="false">B1002&amp;"|"&amp;F1002&amp;"|"&amp;G1002</f>
        <v>Regional Shopping Center Shell Buildings|S|Average</v>
      </c>
      <c r="J1002" s="1" t="s">
        <v>761</v>
      </c>
    </row>
    <row r="1003" customFormat="false" ht="12" hidden="false" customHeight="true" outlineLevel="0" collapsed="false">
      <c r="B1003" s="1" t="s">
        <v>762</v>
      </c>
      <c r="C1003" s="1" t="s">
        <v>763</v>
      </c>
      <c r="D1003" s="1" t="s">
        <v>497</v>
      </c>
      <c r="E1003" s="1" t="s">
        <v>760</v>
      </c>
      <c r="F1003" s="1" t="s">
        <v>463</v>
      </c>
      <c r="G1003" s="1" t="s">
        <v>485</v>
      </c>
      <c r="H1003" s="1" t="n">
        <v>107</v>
      </c>
      <c r="I1003" s="1" t="str">
        <f aca="false">B1003&amp;"|"&amp;F1003&amp;"|"&amp;G1003</f>
        <v>Community Shopping Center Shell Buildings|C|Excellent</v>
      </c>
      <c r="J1003" s="1" t="s">
        <v>761</v>
      </c>
    </row>
    <row r="1004" customFormat="false" ht="12" hidden="false" customHeight="true" outlineLevel="0" collapsed="false">
      <c r="B1004" s="1" t="s">
        <v>762</v>
      </c>
      <c r="C1004" s="1" t="s">
        <v>763</v>
      </c>
      <c r="D1004" s="1" t="s">
        <v>497</v>
      </c>
      <c r="E1004" s="1" t="s">
        <v>760</v>
      </c>
      <c r="F1004" s="1" t="s">
        <v>463</v>
      </c>
      <c r="G1004" s="1" t="s">
        <v>483</v>
      </c>
      <c r="H1004" s="1" t="n">
        <v>86</v>
      </c>
      <c r="I1004" s="1" t="str">
        <f aca="false">B1004&amp;"|"&amp;F1004&amp;"|"&amp;G1004</f>
        <v>Community Shopping Center Shell Buildings|C|Good</v>
      </c>
      <c r="J1004" s="1" t="s">
        <v>761</v>
      </c>
    </row>
    <row r="1005" customFormat="false" ht="12" hidden="false" customHeight="true" outlineLevel="0" collapsed="false">
      <c r="B1005" s="1" t="s">
        <v>762</v>
      </c>
      <c r="C1005" s="1" t="s">
        <v>763</v>
      </c>
      <c r="D1005" s="1" t="s">
        <v>497</v>
      </c>
      <c r="E1005" s="1" t="s">
        <v>760</v>
      </c>
      <c r="F1005" s="1" t="s">
        <v>463</v>
      </c>
      <c r="G1005" s="1" t="s">
        <v>279</v>
      </c>
      <c r="H1005" s="1" t="n">
        <v>69</v>
      </c>
      <c r="I1005" s="1" t="str">
        <f aca="false">B1005&amp;"|"&amp;F1005&amp;"|"&amp;G1005</f>
        <v>Community Shopping Center Shell Buildings|C|Average</v>
      </c>
      <c r="J1005" s="1" t="s">
        <v>761</v>
      </c>
    </row>
    <row r="1006" customFormat="false" ht="12" hidden="false" customHeight="true" outlineLevel="0" collapsed="false">
      <c r="B1006" s="1" t="s">
        <v>762</v>
      </c>
      <c r="C1006" s="1" t="s">
        <v>763</v>
      </c>
      <c r="D1006" s="1" t="s">
        <v>497</v>
      </c>
      <c r="E1006" s="1" t="s">
        <v>760</v>
      </c>
      <c r="F1006" s="1" t="s">
        <v>468</v>
      </c>
      <c r="G1006" s="1" t="s">
        <v>485</v>
      </c>
      <c r="H1006" s="1" t="n">
        <v>98</v>
      </c>
      <c r="I1006" s="1" t="str">
        <f aca="false">B1006&amp;"|"&amp;F1006&amp;"|"&amp;G1006</f>
        <v>Community Shopping Center Shell Buildings|D|Excellent</v>
      </c>
      <c r="J1006" s="1" t="s">
        <v>761</v>
      </c>
    </row>
    <row r="1007" customFormat="false" ht="12" hidden="false" customHeight="true" outlineLevel="0" collapsed="false">
      <c r="B1007" s="1" t="s">
        <v>762</v>
      </c>
      <c r="C1007" s="1" t="s">
        <v>763</v>
      </c>
      <c r="D1007" s="1" t="s">
        <v>497</v>
      </c>
      <c r="E1007" s="1" t="s">
        <v>760</v>
      </c>
      <c r="F1007" s="1" t="s">
        <v>468</v>
      </c>
      <c r="G1007" s="1" t="s">
        <v>483</v>
      </c>
      <c r="H1007" s="1" t="n">
        <v>78</v>
      </c>
      <c r="I1007" s="1" t="str">
        <f aca="false">B1007&amp;"|"&amp;F1007&amp;"|"&amp;G1007</f>
        <v>Community Shopping Center Shell Buildings|D|Good</v>
      </c>
      <c r="J1007" s="1" t="s">
        <v>761</v>
      </c>
    </row>
    <row r="1008" customFormat="false" ht="12" hidden="false" customHeight="true" outlineLevel="0" collapsed="false">
      <c r="B1008" s="1" t="s">
        <v>762</v>
      </c>
      <c r="C1008" s="1" t="s">
        <v>763</v>
      </c>
      <c r="D1008" s="1" t="s">
        <v>497</v>
      </c>
      <c r="E1008" s="1" t="s">
        <v>760</v>
      </c>
      <c r="F1008" s="1" t="s">
        <v>468</v>
      </c>
      <c r="G1008" s="1" t="s">
        <v>279</v>
      </c>
      <c r="H1008" s="1" t="n">
        <v>62</v>
      </c>
      <c r="I1008" s="1" t="str">
        <f aca="false">B1008&amp;"|"&amp;F1008&amp;"|"&amp;G1008</f>
        <v>Community Shopping Center Shell Buildings|D|Average</v>
      </c>
      <c r="J1008" s="1" t="s">
        <v>761</v>
      </c>
    </row>
    <row r="1009" customFormat="false" ht="12" hidden="false" customHeight="true" outlineLevel="0" collapsed="false">
      <c r="B1009" s="1" t="s">
        <v>762</v>
      </c>
      <c r="C1009" s="1" t="s">
        <v>763</v>
      </c>
      <c r="D1009" s="1" t="s">
        <v>497</v>
      </c>
      <c r="E1009" s="1" t="s">
        <v>760</v>
      </c>
      <c r="F1009" s="1" t="s">
        <v>473</v>
      </c>
      <c r="G1009" s="1" t="s">
        <v>279</v>
      </c>
      <c r="H1009" s="1" t="n">
        <v>58</v>
      </c>
      <c r="I1009" s="1" t="str">
        <f aca="false">B1009&amp;"|"&amp;F1009&amp;"|"&amp;G1009</f>
        <v>Community Shopping Center Shell Buildings|S|Average</v>
      </c>
      <c r="J1009" s="1" t="s">
        <v>761</v>
      </c>
    </row>
    <row r="1010" customFormat="false" ht="12" hidden="false" customHeight="true" outlineLevel="0" collapsed="false">
      <c r="B1010" s="1" t="s">
        <v>764</v>
      </c>
      <c r="C1010" s="1" t="s">
        <v>765</v>
      </c>
      <c r="D1010" s="1" t="s">
        <v>497</v>
      </c>
      <c r="E1010" s="1" t="s">
        <v>766</v>
      </c>
      <c r="F1010" s="1" t="s">
        <v>463</v>
      </c>
      <c r="G1010" s="1" t="s">
        <v>483</v>
      </c>
      <c r="H1010" s="1" t="n">
        <v>76</v>
      </c>
      <c r="I1010" s="1" t="str">
        <f aca="false">B1010&amp;"|"&amp;F1010&amp;"|"&amp;G1010</f>
        <v>Neighborhood Shopping Center Shell Buildings|C|Good</v>
      </c>
      <c r="J1010" s="1" t="s">
        <v>767</v>
      </c>
    </row>
    <row r="1011" customFormat="false" ht="12" hidden="false" customHeight="true" outlineLevel="0" collapsed="false">
      <c r="B1011" s="1" t="s">
        <v>764</v>
      </c>
      <c r="C1011" s="1" t="s">
        <v>765</v>
      </c>
      <c r="D1011" s="1" t="s">
        <v>497</v>
      </c>
      <c r="E1011" s="1" t="s">
        <v>766</v>
      </c>
      <c r="F1011" s="1" t="s">
        <v>463</v>
      </c>
      <c r="G1011" s="1" t="s">
        <v>279</v>
      </c>
      <c r="H1011" s="1" t="n">
        <v>62</v>
      </c>
      <c r="I1011" s="1" t="str">
        <f aca="false">B1011&amp;"|"&amp;F1011&amp;"|"&amp;G1011</f>
        <v>Neighborhood Shopping Center Shell Buildings|C|Average</v>
      </c>
      <c r="J1011" s="1" t="s">
        <v>767</v>
      </c>
    </row>
    <row r="1012" customFormat="false" ht="12" hidden="false" customHeight="true" outlineLevel="0" collapsed="false">
      <c r="B1012" s="1" t="s">
        <v>764</v>
      </c>
      <c r="C1012" s="1" t="s">
        <v>765</v>
      </c>
      <c r="D1012" s="1" t="s">
        <v>497</v>
      </c>
      <c r="E1012" s="1" t="s">
        <v>766</v>
      </c>
      <c r="F1012" s="1" t="s">
        <v>463</v>
      </c>
      <c r="G1012" s="1" t="s">
        <v>480</v>
      </c>
      <c r="H1012" s="1" t="n">
        <v>50.5</v>
      </c>
      <c r="I1012" s="1" t="str">
        <f aca="false">B1012&amp;"|"&amp;F1012&amp;"|"&amp;G1012</f>
        <v>Neighborhood Shopping Center Shell Buildings|C|Low Cost</v>
      </c>
      <c r="J1012" s="1" t="s">
        <v>767</v>
      </c>
    </row>
    <row r="1013" customFormat="false" ht="12" hidden="false" customHeight="true" outlineLevel="0" collapsed="false">
      <c r="B1013" s="1" t="s">
        <v>764</v>
      </c>
      <c r="C1013" s="1" t="s">
        <v>765</v>
      </c>
      <c r="D1013" s="1" t="s">
        <v>497</v>
      </c>
      <c r="E1013" s="1" t="s">
        <v>766</v>
      </c>
      <c r="F1013" s="1" t="s">
        <v>463</v>
      </c>
      <c r="G1013" s="1" t="s">
        <v>567</v>
      </c>
      <c r="H1013" s="1" t="n">
        <v>37.25</v>
      </c>
      <c r="I1013" s="1" t="str">
        <f aca="false">B1013&amp;"|"&amp;F1013&amp;"|"&amp;G1013</f>
        <v>Neighborhood Shopping Center Shell Buildings|C|Cheap</v>
      </c>
      <c r="J1013" s="1" t="s">
        <v>767</v>
      </c>
    </row>
    <row r="1014" customFormat="false" ht="12" hidden="false" customHeight="true" outlineLevel="0" collapsed="false">
      <c r="B1014" s="1" t="s">
        <v>764</v>
      </c>
      <c r="C1014" s="1" t="s">
        <v>765</v>
      </c>
      <c r="D1014" s="1" t="s">
        <v>497</v>
      </c>
      <c r="E1014" s="1" t="s">
        <v>766</v>
      </c>
      <c r="F1014" s="1" t="s">
        <v>468</v>
      </c>
      <c r="G1014" s="1" t="s">
        <v>279</v>
      </c>
      <c r="H1014" s="1" t="n">
        <v>55</v>
      </c>
      <c r="I1014" s="1" t="str">
        <f aca="false">B1014&amp;"|"&amp;F1014&amp;"|"&amp;G1014</f>
        <v>Neighborhood Shopping Center Shell Buildings|D|Average</v>
      </c>
      <c r="J1014" s="1" t="s">
        <v>767</v>
      </c>
    </row>
    <row r="1015" customFormat="false" ht="12" hidden="false" customHeight="true" outlineLevel="0" collapsed="false">
      <c r="B1015" s="1" t="s">
        <v>764</v>
      </c>
      <c r="C1015" s="1" t="s">
        <v>765</v>
      </c>
      <c r="D1015" s="1" t="s">
        <v>497</v>
      </c>
      <c r="E1015" s="1" t="s">
        <v>766</v>
      </c>
      <c r="F1015" s="1" t="s">
        <v>468</v>
      </c>
      <c r="G1015" s="1" t="s">
        <v>480</v>
      </c>
      <c r="H1015" s="1" t="n">
        <v>44.25</v>
      </c>
      <c r="I1015" s="1" t="str">
        <f aca="false">B1015&amp;"|"&amp;F1015&amp;"|"&amp;G1015</f>
        <v>Neighborhood Shopping Center Shell Buildings|D|Low Cost</v>
      </c>
      <c r="J1015" s="1" t="s">
        <v>767</v>
      </c>
    </row>
    <row r="1016" customFormat="false" ht="12" hidden="false" customHeight="true" outlineLevel="0" collapsed="false">
      <c r="B1016" s="1" t="s">
        <v>764</v>
      </c>
      <c r="C1016" s="1" t="s">
        <v>765</v>
      </c>
      <c r="D1016" s="1" t="s">
        <v>497</v>
      </c>
      <c r="E1016" s="1" t="s">
        <v>766</v>
      </c>
      <c r="F1016" s="1" t="s">
        <v>468</v>
      </c>
      <c r="G1016" s="1" t="s">
        <v>567</v>
      </c>
      <c r="H1016" s="1" t="n">
        <v>31.5</v>
      </c>
      <c r="I1016" s="1" t="str">
        <f aca="false">B1016&amp;"|"&amp;F1016&amp;"|"&amp;G1016</f>
        <v>Neighborhood Shopping Center Shell Buildings|D|Cheap</v>
      </c>
      <c r="J1016" s="1" t="s">
        <v>767</v>
      </c>
    </row>
    <row r="1017" customFormat="false" ht="12" hidden="false" customHeight="true" outlineLevel="0" collapsed="false">
      <c r="B1017" s="1" t="s">
        <v>764</v>
      </c>
      <c r="C1017" s="1" t="s">
        <v>765</v>
      </c>
      <c r="D1017" s="1" t="s">
        <v>497</v>
      </c>
      <c r="E1017" s="1" t="s">
        <v>766</v>
      </c>
      <c r="F1017" s="1" t="s">
        <v>566</v>
      </c>
      <c r="G1017" s="1" t="s">
        <v>480</v>
      </c>
      <c r="H1017" s="1" t="n">
        <v>38.5</v>
      </c>
      <c r="I1017" s="1" t="str">
        <f aca="false">B1017&amp;"|"&amp;F1017&amp;"|"&amp;G1017</f>
        <v>Neighborhood Shopping Center Shell Buildings|DPOLE|Low Cost</v>
      </c>
      <c r="J1017" s="1" t="s">
        <v>767</v>
      </c>
    </row>
    <row r="1018" customFormat="false" ht="12" hidden="false" customHeight="true" outlineLevel="0" collapsed="false">
      <c r="B1018" s="1" t="s">
        <v>764</v>
      </c>
      <c r="C1018" s="1" t="s">
        <v>765</v>
      </c>
      <c r="D1018" s="1" t="s">
        <v>497</v>
      </c>
      <c r="E1018" s="1" t="s">
        <v>766</v>
      </c>
      <c r="F1018" s="1" t="s">
        <v>566</v>
      </c>
      <c r="G1018" s="1" t="s">
        <v>567</v>
      </c>
      <c r="H1018" s="1" t="n">
        <v>25.5</v>
      </c>
      <c r="I1018" s="1" t="str">
        <f aca="false">B1018&amp;"|"&amp;F1018&amp;"|"&amp;G1018</f>
        <v>Neighborhood Shopping Center Shell Buildings|DPOLE|Cheap</v>
      </c>
      <c r="J1018" s="1" t="s">
        <v>767</v>
      </c>
    </row>
    <row r="1019" customFormat="false" ht="12" hidden="false" customHeight="true" outlineLevel="0" collapsed="false">
      <c r="B1019" s="1" t="s">
        <v>764</v>
      </c>
      <c r="C1019" s="1" t="s">
        <v>765</v>
      </c>
      <c r="D1019" s="1" t="s">
        <v>497</v>
      </c>
      <c r="E1019" s="1" t="s">
        <v>766</v>
      </c>
      <c r="F1019" s="1" t="s">
        <v>473</v>
      </c>
      <c r="G1019" s="1" t="s">
        <v>279</v>
      </c>
      <c r="H1019" s="1" t="n">
        <v>51</v>
      </c>
      <c r="I1019" s="1" t="str">
        <f aca="false">B1019&amp;"|"&amp;F1019&amp;"|"&amp;G1019</f>
        <v>Neighborhood Shopping Center Shell Buildings|S|Average</v>
      </c>
      <c r="J1019" s="1" t="s">
        <v>767</v>
      </c>
    </row>
    <row r="1020" customFormat="false" ht="12" hidden="false" customHeight="true" outlineLevel="0" collapsed="false">
      <c r="B1020" s="1" t="s">
        <v>764</v>
      </c>
      <c r="C1020" s="1" t="s">
        <v>765</v>
      </c>
      <c r="D1020" s="1" t="s">
        <v>497</v>
      </c>
      <c r="E1020" s="1" t="s">
        <v>766</v>
      </c>
      <c r="F1020" s="1" t="s">
        <v>473</v>
      </c>
      <c r="G1020" s="1" t="s">
        <v>480</v>
      </c>
      <c r="H1020" s="1" t="n">
        <v>41.25</v>
      </c>
      <c r="I1020" s="1" t="str">
        <f aca="false">B1020&amp;"|"&amp;F1020&amp;"|"&amp;G1020</f>
        <v>Neighborhood Shopping Center Shell Buildings|S|Low Cost</v>
      </c>
      <c r="J1020" s="1" t="s">
        <v>767</v>
      </c>
    </row>
    <row r="1021" customFormat="false" ht="12" hidden="false" customHeight="true" outlineLevel="0" collapsed="false">
      <c r="B1021" s="1" t="s">
        <v>764</v>
      </c>
      <c r="C1021" s="1" t="s">
        <v>765</v>
      </c>
      <c r="D1021" s="1" t="s">
        <v>497</v>
      </c>
      <c r="E1021" s="1" t="s">
        <v>766</v>
      </c>
      <c r="F1021" s="1" t="s">
        <v>473</v>
      </c>
      <c r="G1021" s="1" t="s">
        <v>567</v>
      </c>
      <c r="H1021" s="1" t="n">
        <v>27.75</v>
      </c>
      <c r="I1021" s="1" t="str">
        <f aca="false">B1021&amp;"|"&amp;F1021&amp;"|"&amp;G1021</f>
        <v>Neighborhood Shopping Center Shell Buildings|S|Cheap</v>
      </c>
      <c r="J1021" s="1" t="s">
        <v>767</v>
      </c>
    </row>
    <row r="1022" customFormat="false" ht="12" hidden="false" customHeight="true" outlineLevel="0" collapsed="false">
      <c r="B1022" s="1" t="s">
        <v>768</v>
      </c>
      <c r="C1022" s="1" t="s">
        <v>769</v>
      </c>
      <c r="D1022" s="1" t="s">
        <v>501</v>
      </c>
      <c r="E1022" s="1" t="s">
        <v>497</v>
      </c>
      <c r="F1022" s="1" t="s">
        <v>523</v>
      </c>
      <c r="G1022" s="1" t="s">
        <v>485</v>
      </c>
      <c r="H1022" s="1" t="n">
        <v>228</v>
      </c>
      <c r="I1022" s="1" t="str">
        <f aca="false">B1022&amp;"|"&amp;F1022&amp;"|"&amp;G1022</f>
        <v>Lofts|A-B|Excellent</v>
      </c>
      <c r="J1022" s="1" t="s">
        <v>770</v>
      </c>
    </row>
    <row r="1023" customFormat="false" ht="12" hidden="false" customHeight="true" outlineLevel="0" collapsed="false">
      <c r="B1023" s="1" t="s">
        <v>768</v>
      </c>
      <c r="C1023" s="1" t="s">
        <v>769</v>
      </c>
      <c r="D1023" s="1" t="s">
        <v>501</v>
      </c>
      <c r="E1023" s="1" t="s">
        <v>497</v>
      </c>
      <c r="F1023" s="1" t="s">
        <v>523</v>
      </c>
      <c r="G1023" s="1" t="s">
        <v>483</v>
      </c>
      <c r="H1023" s="1" t="n">
        <v>174</v>
      </c>
      <c r="I1023" s="1" t="str">
        <f aca="false">B1023&amp;"|"&amp;F1023&amp;"|"&amp;G1023</f>
        <v>Lofts|A-B|Good</v>
      </c>
      <c r="J1023" s="1" t="s">
        <v>770</v>
      </c>
    </row>
    <row r="1024" customFormat="false" ht="12" hidden="false" customHeight="true" outlineLevel="0" collapsed="false">
      <c r="B1024" s="1" t="s">
        <v>768</v>
      </c>
      <c r="C1024" s="1" t="s">
        <v>769</v>
      </c>
      <c r="D1024" s="1" t="s">
        <v>501</v>
      </c>
      <c r="E1024" s="1" t="s">
        <v>497</v>
      </c>
      <c r="F1024" s="1" t="s">
        <v>523</v>
      </c>
      <c r="G1024" s="1" t="s">
        <v>279</v>
      </c>
      <c r="H1024" s="1" t="n">
        <v>135</v>
      </c>
      <c r="I1024" s="1" t="str">
        <f aca="false">B1024&amp;"|"&amp;F1024&amp;"|"&amp;G1024</f>
        <v>Lofts|A-B|Average</v>
      </c>
      <c r="J1024" s="1" t="s">
        <v>770</v>
      </c>
    </row>
    <row r="1025" customFormat="false" ht="12" hidden="false" customHeight="true" outlineLevel="0" collapsed="false">
      <c r="B1025" s="1" t="s">
        <v>768</v>
      </c>
      <c r="C1025" s="1" t="s">
        <v>769</v>
      </c>
      <c r="D1025" s="1" t="s">
        <v>501</v>
      </c>
      <c r="E1025" s="1" t="s">
        <v>497</v>
      </c>
      <c r="F1025" s="1" t="s">
        <v>523</v>
      </c>
      <c r="G1025" s="1" t="s">
        <v>480</v>
      </c>
      <c r="H1025" s="1" t="n">
        <v>106</v>
      </c>
      <c r="I1025" s="1" t="str">
        <f aca="false">B1025&amp;"|"&amp;F1025&amp;"|"&amp;G1025</f>
        <v>Lofts|A-B|Low Cost</v>
      </c>
      <c r="J1025" s="1" t="s">
        <v>770</v>
      </c>
    </row>
    <row r="1026" customFormat="false" ht="12" hidden="false" customHeight="true" outlineLevel="0" collapsed="false">
      <c r="B1026" s="1" t="s">
        <v>768</v>
      </c>
      <c r="C1026" s="1" t="s">
        <v>769</v>
      </c>
      <c r="D1026" s="1" t="s">
        <v>501</v>
      </c>
      <c r="E1026" s="1" t="s">
        <v>497</v>
      </c>
      <c r="F1026" s="1" t="s">
        <v>463</v>
      </c>
      <c r="G1026" s="1" t="s">
        <v>483</v>
      </c>
      <c r="H1026" s="1" t="n">
        <v>141</v>
      </c>
      <c r="I1026" s="1" t="str">
        <f aca="false">B1026&amp;"|"&amp;F1026&amp;"|"&amp;G1026</f>
        <v>Lofts|C|Good</v>
      </c>
      <c r="J1026" s="1" t="s">
        <v>770</v>
      </c>
    </row>
    <row r="1027" customFormat="false" ht="12" hidden="false" customHeight="true" outlineLevel="0" collapsed="false">
      <c r="B1027" s="1" t="s">
        <v>768</v>
      </c>
      <c r="C1027" s="1" t="s">
        <v>769</v>
      </c>
      <c r="D1027" s="1" t="s">
        <v>501</v>
      </c>
      <c r="E1027" s="1" t="s">
        <v>497</v>
      </c>
      <c r="F1027" s="1" t="s">
        <v>463</v>
      </c>
      <c r="G1027" s="1" t="s">
        <v>279</v>
      </c>
      <c r="H1027" s="1" t="n">
        <v>102</v>
      </c>
      <c r="I1027" s="1" t="str">
        <f aca="false">B1027&amp;"|"&amp;F1027&amp;"|"&amp;G1027</f>
        <v>Lofts|C|Average</v>
      </c>
      <c r="J1027" s="1" t="s">
        <v>770</v>
      </c>
    </row>
    <row r="1028" customFormat="false" ht="12" hidden="false" customHeight="true" outlineLevel="0" collapsed="false">
      <c r="B1028" s="1" t="s">
        <v>768</v>
      </c>
      <c r="C1028" s="1" t="s">
        <v>769</v>
      </c>
      <c r="D1028" s="1" t="s">
        <v>501</v>
      </c>
      <c r="E1028" s="1" t="s">
        <v>497</v>
      </c>
      <c r="F1028" s="1" t="s">
        <v>463</v>
      </c>
      <c r="G1028" s="1" t="s">
        <v>480</v>
      </c>
      <c r="H1028" s="1" t="n">
        <v>69</v>
      </c>
      <c r="I1028" s="1" t="str">
        <f aca="false">B1028&amp;"|"&amp;F1028&amp;"|"&amp;G1028</f>
        <v>Lofts|C|Low Cost</v>
      </c>
      <c r="J1028" s="1" t="s">
        <v>770</v>
      </c>
    </row>
    <row r="1029" customFormat="false" ht="12" hidden="false" customHeight="true" outlineLevel="0" collapsed="false">
      <c r="B1029" s="1" t="s">
        <v>768</v>
      </c>
      <c r="C1029" s="1" t="s">
        <v>769</v>
      </c>
      <c r="D1029" s="1" t="s">
        <v>501</v>
      </c>
      <c r="E1029" s="1" t="s">
        <v>497</v>
      </c>
      <c r="F1029" s="1" t="s">
        <v>519</v>
      </c>
      <c r="G1029" s="1" t="s">
        <v>279</v>
      </c>
      <c r="H1029" s="1" t="n">
        <v>128</v>
      </c>
      <c r="I1029" s="1" t="str">
        <f aca="false">B1029&amp;"|"&amp;F1029&amp;"|"&amp;G1029</f>
        <v>Lofts|CMILL|Average</v>
      </c>
      <c r="J1029" s="1" t="s">
        <v>770</v>
      </c>
    </row>
    <row r="1030" customFormat="false" ht="12" hidden="false" customHeight="true" outlineLevel="0" collapsed="false">
      <c r="B1030" s="1" t="s">
        <v>768</v>
      </c>
      <c r="C1030" s="1" t="s">
        <v>769</v>
      </c>
      <c r="D1030" s="1" t="s">
        <v>501</v>
      </c>
      <c r="E1030" s="1" t="s">
        <v>497</v>
      </c>
      <c r="F1030" s="1" t="s">
        <v>468</v>
      </c>
      <c r="G1030" s="1" t="s">
        <v>279</v>
      </c>
      <c r="H1030" s="1" t="n">
        <v>94.5</v>
      </c>
      <c r="I1030" s="1" t="str">
        <f aca="false">B1030&amp;"|"&amp;F1030&amp;"|"&amp;G1030</f>
        <v>Lofts|D|Average</v>
      </c>
      <c r="J1030" s="1" t="s">
        <v>770</v>
      </c>
    </row>
    <row r="1031" customFormat="false" ht="12" hidden="false" customHeight="true" outlineLevel="0" collapsed="false">
      <c r="B1031" s="1" t="s">
        <v>768</v>
      </c>
      <c r="C1031" s="1" t="s">
        <v>769</v>
      </c>
      <c r="D1031" s="1" t="s">
        <v>501</v>
      </c>
      <c r="E1031" s="1" t="s">
        <v>497</v>
      </c>
      <c r="F1031" s="1" t="s">
        <v>468</v>
      </c>
      <c r="G1031" s="1" t="s">
        <v>480</v>
      </c>
      <c r="H1031" s="1" t="n">
        <v>63.5</v>
      </c>
      <c r="I1031" s="1" t="str">
        <f aca="false">B1031&amp;"|"&amp;F1031&amp;"|"&amp;G1031</f>
        <v>Lofts|D|Low Cost</v>
      </c>
      <c r="J1031" s="1" t="s">
        <v>770</v>
      </c>
    </row>
    <row r="1032" customFormat="false" ht="12" hidden="false" customHeight="true" outlineLevel="0" collapsed="false">
      <c r="B1032" s="1" t="s">
        <v>768</v>
      </c>
      <c r="C1032" s="1" t="s">
        <v>769</v>
      </c>
      <c r="D1032" s="1" t="s">
        <v>501</v>
      </c>
      <c r="E1032" s="1" t="s">
        <v>497</v>
      </c>
      <c r="F1032" s="1" t="s">
        <v>473</v>
      </c>
      <c r="G1032" s="1" t="s">
        <v>279</v>
      </c>
      <c r="H1032" s="1" t="n">
        <v>96</v>
      </c>
      <c r="I1032" s="1" t="str">
        <f aca="false">B1032&amp;"|"&amp;F1032&amp;"|"&amp;G1032</f>
        <v>Lofts|S|Average</v>
      </c>
      <c r="J1032" s="1" t="s">
        <v>770</v>
      </c>
    </row>
    <row r="1033" customFormat="false" ht="12" hidden="false" customHeight="true" outlineLevel="0" collapsed="false">
      <c r="B1033" s="1" t="s">
        <v>771</v>
      </c>
      <c r="C1033" s="1" t="s">
        <v>772</v>
      </c>
      <c r="D1033" s="1" t="s">
        <v>501</v>
      </c>
      <c r="E1033" s="1" t="s">
        <v>497</v>
      </c>
      <c r="F1033" s="1" t="s">
        <v>463</v>
      </c>
      <c r="G1033" s="1" t="s">
        <v>483</v>
      </c>
      <c r="H1033" s="1" t="n">
        <v>102</v>
      </c>
      <c r="I1033" s="1" t="str">
        <f aca="false">B1033&amp;"|"&amp;F1033&amp;"|"&amp;G1033</f>
        <v>Industrial Flex (Mall) Buildings|C|Good</v>
      </c>
      <c r="J1033" s="1" t="s">
        <v>770</v>
      </c>
    </row>
    <row r="1034" customFormat="false" ht="12" hidden="false" customHeight="true" outlineLevel="0" collapsed="false">
      <c r="B1034" s="1" t="s">
        <v>771</v>
      </c>
      <c r="C1034" s="1" t="s">
        <v>772</v>
      </c>
      <c r="D1034" s="1" t="s">
        <v>501</v>
      </c>
      <c r="E1034" s="1" t="s">
        <v>497</v>
      </c>
      <c r="F1034" s="1" t="s">
        <v>463</v>
      </c>
      <c r="G1034" s="1" t="s">
        <v>279</v>
      </c>
      <c r="H1034" s="1" t="n">
        <v>72</v>
      </c>
      <c r="I1034" s="1" t="str">
        <f aca="false">B1034&amp;"|"&amp;F1034&amp;"|"&amp;G1034</f>
        <v>Industrial Flex (Mall) Buildings|C|Average</v>
      </c>
      <c r="J1034" s="1" t="s">
        <v>770</v>
      </c>
    </row>
    <row r="1035" customFormat="false" ht="12" hidden="false" customHeight="true" outlineLevel="0" collapsed="false">
      <c r="B1035" s="1" t="s">
        <v>771</v>
      </c>
      <c r="C1035" s="1" t="s">
        <v>772</v>
      </c>
      <c r="D1035" s="1" t="s">
        <v>501</v>
      </c>
      <c r="E1035" s="1" t="s">
        <v>497</v>
      </c>
      <c r="F1035" s="1" t="s">
        <v>463</v>
      </c>
      <c r="G1035" s="1" t="s">
        <v>480</v>
      </c>
      <c r="H1035" s="1" t="n">
        <v>51</v>
      </c>
      <c r="I1035" s="1" t="str">
        <f aca="false">B1035&amp;"|"&amp;F1035&amp;"|"&amp;G1035</f>
        <v>Industrial Flex (Mall) Buildings|C|Low Cost</v>
      </c>
      <c r="J1035" s="1" t="s">
        <v>770</v>
      </c>
    </row>
    <row r="1036" customFormat="false" ht="12" hidden="false" customHeight="true" outlineLevel="0" collapsed="false">
      <c r="B1036" s="1" t="s">
        <v>771</v>
      </c>
      <c r="C1036" s="1" t="s">
        <v>772</v>
      </c>
      <c r="D1036" s="1" t="s">
        <v>501</v>
      </c>
      <c r="E1036" s="1" t="s">
        <v>497</v>
      </c>
      <c r="F1036" s="1" t="s">
        <v>468</v>
      </c>
      <c r="G1036" s="1" t="s">
        <v>279</v>
      </c>
      <c r="H1036" s="1" t="n">
        <v>66.5</v>
      </c>
      <c r="I1036" s="1" t="str">
        <f aca="false">B1036&amp;"|"&amp;F1036&amp;"|"&amp;G1036</f>
        <v>Industrial Flex (Mall) Buildings|D|Average</v>
      </c>
      <c r="J1036" s="1" t="s">
        <v>770</v>
      </c>
    </row>
    <row r="1037" customFormat="false" ht="12" hidden="false" customHeight="true" outlineLevel="0" collapsed="false">
      <c r="B1037" s="1" t="s">
        <v>771</v>
      </c>
      <c r="C1037" s="1" t="s">
        <v>772</v>
      </c>
      <c r="D1037" s="1" t="s">
        <v>501</v>
      </c>
      <c r="E1037" s="1" t="s">
        <v>497</v>
      </c>
      <c r="F1037" s="1" t="s">
        <v>468</v>
      </c>
      <c r="G1037" s="1" t="s">
        <v>480</v>
      </c>
      <c r="H1037" s="1" t="n">
        <v>46.5</v>
      </c>
      <c r="I1037" s="1" t="str">
        <f aca="false">B1037&amp;"|"&amp;F1037&amp;"|"&amp;G1037</f>
        <v>Industrial Flex (Mall) Buildings|D|Low Cost</v>
      </c>
      <c r="J1037" s="1" t="s">
        <v>770</v>
      </c>
    </row>
    <row r="1038" customFormat="false" ht="12" hidden="false" customHeight="true" outlineLevel="0" collapsed="false">
      <c r="B1038" s="1" t="s">
        <v>771</v>
      </c>
      <c r="C1038" s="1" t="s">
        <v>772</v>
      </c>
      <c r="D1038" s="1" t="s">
        <v>501</v>
      </c>
      <c r="E1038" s="1" t="s">
        <v>497</v>
      </c>
      <c r="F1038" s="1" t="s">
        <v>566</v>
      </c>
      <c r="G1038" s="1" t="s">
        <v>279</v>
      </c>
      <c r="H1038" s="1" t="n">
        <v>62</v>
      </c>
      <c r="I1038" s="1" t="str">
        <f aca="false">B1038&amp;"|"&amp;F1038&amp;"|"&amp;G1038</f>
        <v>Industrial Flex (Mall) Buildings|DPOLE|Average</v>
      </c>
      <c r="J1038" s="1" t="s">
        <v>770</v>
      </c>
    </row>
    <row r="1039" customFormat="false" ht="12" hidden="false" customHeight="true" outlineLevel="0" collapsed="false">
      <c r="B1039" s="1" t="s">
        <v>771</v>
      </c>
      <c r="C1039" s="1" t="s">
        <v>772</v>
      </c>
      <c r="D1039" s="1" t="s">
        <v>501</v>
      </c>
      <c r="E1039" s="1" t="s">
        <v>497</v>
      </c>
      <c r="F1039" s="1" t="s">
        <v>566</v>
      </c>
      <c r="G1039" s="1" t="s">
        <v>480</v>
      </c>
      <c r="H1039" s="1" t="n">
        <v>43</v>
      </c>
      <c r="I1039" s="1" t="str">
        <f aca="false">B1039&amp;"|"&amp;F1039&amp;"|"&amp;G1039</f>
        <v>Industrial Flex (Mall) Buildings|DPOLE|Low Cost</v>
      </c>
      <c r="J1039" s="1" t="s">
        <v>770</v>
      </c>
    </row>
    <row r="1040" customFormat="false" ht="12" hidden="false" customHeight="true" outlineLevel="0" collapsed="false">
      <c r="B1040" s="1" t="s">
        <v>771</v>
      </c>
      <c r="C1040" s="1" t="s">
        <v>772</v>
      </c>
      <c r="D1040" s="1" t="s">
        <v>501</v>
      </c>
      <c r="E1040" s="1" t="s">
        <v>497</v>
      </c>
      <c r="F1040" s="1" t="s">
        <v>473</v>
      </c>
      <c r="G1040" s="1" t="s">
        <v>483</v>
      </c>
      <c r="H1040" s="1" t="n">
        <v>96.5</v>
      </c>
      <c r="I1040" s="1" t="str">
        <f aca="false">B1040&amp;"|"&amp;F1040&amp;"|"&amp;G1040</f>
        <v>Industrial Flex (Mall) Buildings|S|Good</v>
      </c>
      <c r="J1040" s="1" t="s">
        <v>770</v>
      </c>
    </row>
    <row r="1041" customFormat="false" ht="12" hidden="false" customHeight="true" outlineLevel="0" collapsed="false">
      <c r="B1041" s="1" t="s">
        <v>771</v>
      </c>
      <c r="C1041" s="1" t="s">
        <v>772</v>
      </c>
      <c r="D1041" s="1" t="s">
        <v>501</v>
      </c>
      <c r="E1041" s="1" t="s">
        <v>497</v>
      </c>
      <c r="F1041" s="1" t="s">
        <v>473</v>
      </c>
      <c r="G1041" s="1" t="s">
        <v>279</v>
      </c>
      <c r="H1041" s="1" t="n">
        <v>67</v>
      </c>
      <c r="I1041" s="1" t="str">
        <f aca="false">B1041&amp;"|"&amp;F1041&amp;"|"&amp;G1041</f>
        <v>Industrial Flex (Mall) Buildings|S|Average</v>
      </c>
      <c r="J1041" s="1" t="s">
        <v>770</v>
      </c>
    </row>
    <row r="1042" customFormat="false" ht="12" hidden="false" customHeight="true" outlineLevel="0" collapsed="false">
      <c r="B1042" s="1" t="s">
        <v>771</v>
      </c>
      <c r="C1042" s="1" t="s">
        <v>772</v>
      </c>
      <c r="D1042" s="1" t="s">
        <v>501</v>
      </c>
      <c r="E1042" s="1" t="s">
        <v>497</v>
      </c>
      <c r="F1042" s="1" t="s">
        <v>473</v>
      </c>
      <c r="G1042" s="1" t="s">
        <v>480</v>
      </c>
      <c r="H1042" s="1" t="n">
        <v>46.25</v>
      </c>
      <c r="I1042" s="1" t="str">
        <f aca="false">B1042&amp;"|"&amp;F1042&amp;"|"&amp;G1042</f>
        <v>Industrial Flex (Mall) Buildings|S|Low Cost</v>
      </c>
      <c r="J1042" s="1" t="s">
        <v>770</v>
      </c>
    </row>
    <row r="1043" customFormat="false" ht="12" hidden="false" customHeight="true" outlineLevel="0" collapsed="false">
      <c r="B1043" s="1" t="s">
        <v>773</v>
      </c>
      <c r="C1043" s="1" t="s">
        <v>774</v>
      </c>
      <c r="D1043" s="1" t="s">
        <v>501</v>
      </c>
      <c r="E1043" s="1" t="s">
        <v>501</v>
      </c>
      <c r="F1043" s="1" t="s">
        <v>456</v>
      </c>
      <c r="G1043" s="1" t="s">
        <v>279</v>
      </c>
      <c r="H1043" s="1" t="n">
        <v>122</v>
      </c>
      <c r="I1043" s="1" t="str">
        <f aca="false">B1043&amp;"|"&amp;F1043&amp;"|"&amp;G1043</f>
        <v>Industrials, Light Manufacturing|A|Average</v>
      </c>
      <c r="J1043" s="1" t="s">
        <v>775</v>
      </c>
    </row>
    <row r="1044" customFormat="false" ht="12" hidden="false" customHeight="true" outlineLevel="0" collapsed="false">
      <c r="B1044" s="1" t="s">
        <v>773</v>
      </c>
      <c r="C1044" s="1" t="s">
        <v>774</v>
      </c>
      <c r="D1044" s="1" t="s">
        <v>501</v>
      </c>
      <c r="E1044" s="1" t="s">
        <v>501</v>
      </c>
      <c r="F1044" s="1" t="s">
        <v>456</v>
      </c>
      <c r="G1044" s="1" t="s">
        <v>480</v>
      </c>
      <c r="H1044" s="1" t="n">
        <v>84.5</v>
      </c>
      <c r="I1044" s="1" t="str">
        <f aca="false">B1044&amp;"|"&amp;F1044&amp;"|"&amp;G1044</f>
        <v>Industrials, Light Manufacturing|A|Low Cost</v>
      </c>
      <c r="J1044" s="1" t="s">
        <v>775</v>
      </c>
    </row>
    <row r="1045" customFormat="false" ht="12" hidden="false" customHeight="true" outlineLevel="0" collapsed="false">
      <c r="B1045" s="1" t="s">
        <v>773</v>
      </c>
      <c r="C1045" s="1" t="s">
        <v>774</v>
      </c>
      <c r="D1045" s="1" t="s">
        <v>501</v>
      </c>
      <c r="E1045" s="1" t="s">
        <v>501</v>
      </c>
      <c r="F1045" s="1" t="s">
        <v>461</v>
      </c>
      <c r="G1045" s="1" t="s">
        <v>279</v>
      </c>
      <c r="H1045" s="1" t="n">
        <v>107</v>
      </c>
      <c r="I1045" s="1" t="str">
        <f aca="false">B1045&amp;"|"&amp;F1045&amp;"|"&amp;G1045</f>
        <v>Industrials, Light Manufacturing|B|Average</v>
      </c>
      <c r="J1045" s="1" t="s">
        <v>775</v>
      </c>
    </row>
    <row r="1046" customFormat="false" ht="12" hidden="false" customHeight="true" outlineLevel="0" collapsed="false">
      <c r="B1046" s="1" t="s">
        <v>773</v>
      </c>
      <c r="C1046" s="1" t="s">
        <v>774</v>
      </c>
      <c r="D1046" s="1" t="s">
        <v>501</v>
      </c>
      <c r="E1046" s="1" t="s">
        <v>501</v>
      </c>
      <c r="F1046" s="1" t="s">
        <v>461</v>
      </c>
      <c r="G1046" s="1" t="s">
        <v>480</v>
      </c>
      <c r="H1046" s="1" t="n">
        <v>74</v>
      </c>
      <c r="I1046" s="1" t="str">
        <f aca="false">B1046&amp;"|"&amp;F1046&amp;"|"&amp;G1046</f>
        <v>Industrials, Light Manufacturing|B|Low Cost</v>
      </c>
      <c r="J1046" s="1" t="s">
        <v>775</v>
      </c>
    </row>
    <row r="1047" customFormat="false" ht="12" hidden="false" customHeight="true" outlineLevel="0" collapsed="false">
      <c r="B1047" s="1" t="s">
        <v>773</v>
      </c>
      <c r="C1047" s="1" t="s">
        <v>774</v>
      </c>
      <c r="D1047" s="1" t="s">
        <v>501</v>
      </c>
      <c r="E1047" s="1" t="s">
        <v>501</v>
      </c>
      <c r="F1047" s="1" t="s">
        <v>463</v>
      </c>
      <c r="G1047" s="1" t="s">
        <v>483</v>
      </c>
      <c r="H1047" s="1" t="n">
        <v>100</v>
      </c>
      <c r="I1047" s="1" t="str">
        <f aca="false">B1047&amp;"|"&amp;F1047&amp;"|"&amp;G1047</f>
        <v>Industrials, Light Manufacturing|C|Good</v>
      </c>
      <c r="J1047" s="1" t="s">
        <v>775</v>
      </c>
    </row>
    <row r="1048" customFormat="false" ht="12" hidden="false" customHeight="true" outlineLevel="0" collapsed="false">
      <c r="B1048" s="1" t="s">
        <v>773</v>
      </c>
      <c r="C1048" s="1" t="s">
        <v>774</v>
      </c>
      <c r="D1048" s="1" t="s">
        <v>501</v>
      </c>
      <c r="E1048" s="1" t="s">
        <v>501</v>
      </c>
      <c r="F1048" s="1" t="s">
        <v>463</v>
      </c>
      <c r="G1048" s="1" t="s">
        <v>279</v>
      </c>
      <c r="H1048" s="1" t="n">
        <v>72</v>
      </c>
      <c r="I1048" s="1" t="str">
        <f aca="false">B1048&amp;"|"&amp;F1048&amp;"|"&amp;G1048</f>
        <v>Industrials, Light Manufacturing|C|Average</v>
      </c>
      <c r="J1048" s="1" t="s">
        <v>775</v>
      </c>
    </row>
    <row r="1049" customFormat="false" ht="12" hidden="false" customHeight="true" outlineLevel="0" collapsed="false">
      <c r="B1049" s="1" t="s">
        <v>773</v>
      </c>
      <c r="C1049" s="1" t="s">
        <v>774</v>
      </c>
      <c r="D1049" s="1" t="s">
        <v>501</v>
      </c>
      <c r="E1049" s="1" t="s">
        <v>501</v>
      </c>
      <c r="F1049" s="1" t="s">
        <v>463</v>
      </c>
      <c r="G1049" s="1" t="s">
        <v>480</v>
      </c>
      <c r="H1049" s="1" t="n">
        <v>52.5</v>
      </c>
      <c r="I1049" s="1" t="str">
        <f aca="false">B1049&amp;"|"&amp;F1049&amp;"|"&amp;G1049</f>
        <v>Industrials, Light Manufacturing|C|Low Cost</v>
      </c>
      <c r="J1049" s="1" t="s">
        <v>775</v>
      </c>
    </row>
    <row r="1050" customFormat="false" ht="12" hidden="false" customHeight="true" outlineLevel="0" collapsed="false">
      <c r="B1050" s="1" t="s">
        <v>773</v>
      </c>
      <c r="C1050" s="1" t="s">
        <v>774</v>
      </c>
      <c r="D1050" s="1" t="s">
        <v>501</v>
      </c>
      <c r="E1050" s="1" t="s">
        <v>501</v>
      </c>
      <c r="F1050" s="1" t="s">
        <v>468</v>
      </c>
      <c r="G1050" s="1" t="s">
        <v>483</v>
      </c>
      <c r="H1050" s="1" t="n">
        <v>92</v>
      </c>
      <c r="I1050" s="1" t="str">
        <f aca="false">B1050&amp;"|"&amp;F1050&amp;"|"&amp;G1050</f>
        <v>Industrials, Light Manufacturing|D|Good</v>
      </c>
      <c r="J1050" s="1" t="s">
        <v>775</v>
      </c>
    </row>
    <row r="1051" customFormat="false" ht="12" hidden="false" customHeight="true" outlineLevel="0" collapsed="false">
      <c r="B1051" s="1" t="s">
        <v>773</v>
      </c>
      <c r="C1051" s="1" t="s">
        <v>774</v>
      </c>
      <c r="D1051" s="1" t="s">
        <v>501</v>
      </c>
      <c r="E1051" s="1" t="s">
        <v>501</v>
      </c>
      <c r="F1051" s="1" t="s">
        <v>468</v>
      </c>
      <c r="G1051" s="1" t="s">
        <v>279</v>
      </c>
      <c r="H1051" s="1" t="n">
        <v>65.5</v>
      </c>
      <c r="I1051" s="1" t="str">
        <f aca="false">B1051&amp;"|"&amp;F1051&amp;"|"&amp;G1051</f>
        <v>Industrials, Light Manufacturing|D|Average</v>
      </c>
      <c r="J1051" s="1" t="s">
        <v>775</v>
      </c>
    </row>
    <row r="1052" customFormat="false" ht="12" hidden="false" customHeight="true" outlineLevel="0" collapsed="false">
      <c r="B1052" s="1" t="s">
        <v>773</v>
      </c>
      <c r="C1052" s="1" t="s">
        <v>774</v>
      </c>
      <c r="D1052" s="1" t="s">
        <v>501</v>
      </c>
      <c r="E1052" s="1" t="s">
        <v>501</v>
      </c>
      <c r="F1052" s="1" t="s">
        <v>468</v>
      </c>
      <c r="G1052" s="1" t="s">
        <v>480</v>
      </c>
      <c r="H1052" s="1" t="n">
        <v>47</v>
      </c>
      <c r="I1052" s="1" t="str">
        <f aca="false">B1052&amp;"|"&amp;F1052&amp;"|"&amp;G1052</f>
        <v>Industrials, Light Manufacturing|D|Low Cost</v>
      </c>
      <c r="J1052" s="1" t="s">
        <v>775</v>
      </c>
    </row>
    <row r="1053" customFormat="false" ht="12" hidden="false" customHeight="true" outlineLevel="0" collapsed="false">
      <c r="B1053" s="1" t="s">
        <v>773</v>
      </c>
      <c r="C1053" s="1" t="s">
        <v>774</v>
      </c>
      <c r="D1053" s="1" t="s">
        <v>501</v>
      </c>
      <c r="E1053" s="1" t="s">
        <v>501</v>
      </c>
      <c r="F1053" s="1" t="s">
        <v>566</v>
      </c>
      <c r="G1053" s="1" t="s">
        <v>483</v>
      </c>
      <c r="H1053" s="1" t="n">
        <v>84</v>
      </c>
      <c r="I1053" s="1" t="str">
        <f aca="false">B1053&amp;"|"&amp;F1053&amp;"|"&amp;G1053</f>
        <v>Industrials, Light Manufacturing|DPOLE|Good</v>
      </c>
      <c r="J1053" s="1" t="s">
        <v>775</v>
      </c>
    </row>
    <row r="1054" customFormat="false" ht="12" hidden="false" customHeight="true" outlineLevel="0" collapsed="false">
      <c r="B1054" s="1" t="s">
        <v>773</v>
      </c>
      <c r="C1054" s="1" t="s">
        <v>774</v>
      </c>
      <c r="D1054" s="1" t="s">
        <v>501</v>
      </c>
      <c r="E1054" s="1" t="s">
        <v>501</v>
      </c>
      <c r="F1054" s="1" t="s">
        <v>566</v>
      </c>
      <c r="G1054" s="1" t="s">
        <v>279</v>
      </c>
      <c r="H1054" s="1" t="n">
        <v>60.5</v>
      </c>
      <c r="I1054" s="1" t="str">
        <f aca="false">B1054&amp;"|"&amp;F1054&amp;"|"&amp;G1054</f>
        <v>Industrials, Light Manufacturing|DPOLE|Average</v>
      </c>
      <c r="J1054" s="1" t="s">
        <v>775</v>
      </c>
    </row>
    <row r="1055" customFormat="false" ht="12" hidden="false" customHeight="true" outlineLevel="0" collapsed="false">
      <c r="B1055" s="1" t="s">
        <v>773</v>
      </c>
      <c r="C1055" s="1" t="s">
        <v>774</v>
      </c>
      <c r="D1055" s="1" t="s">
        <v>501</v>
      </c>
      <c r="E1055" s="1" t="s">
        <v>501</v>
      </c>
      <c r="F1055" s="1" t="s">
        <v>566</v>
      </c>
      <c r="G1055" s="1" t="s">
        <v>480</v>
      </c>
      <c r="H1055" s="1" t="n">
        <v>43.5</v>
      </c>
      <c r="I1055" s="1" t="str">
        <f aca="false">B1055&amp;"|"&amp;F1055&amp;"|"&amp;G1055</f>
        <v>Industrials, Light Manufacturing|DPOLE|Low Cost</v>
      </c>
      <c r="J1055" s="1" t="s">
        <v>775</v>
      </c>
    </row>
    <row r="1056" customFormat="false" ht="12" hidden="false" customHeight="true" outlineLevel="0" collapsed="false">
      <c r="B1056" s="1" t="s">
        <v>773</v>
      </c>
      <c r="C1056" s="1" t="s">
        <v>774</v>
      </c>
      <c r="D1056" s="1" t="s">
        <v>501</v>
      </c>
      <c r="E1056" s="1" t="s">
        <v>501</v>
      </c>
      <c r="F1056" s="1" t="s">
        <v>473</v>
      </c>
      <c r="G1056" s="1" t="s">
        <v>483</v>
      </c>
      <c r="H1056" s="1" t="n">
        <v>93</v>
      </c>
      <c r="I1056" s="1" t="str">
        <f aca="false">B1056&amp;"|"&amp;F1056&amp;"|"&amp;G1056</f>
        <v>Industrials, Light Manufacturing|S|Good</v>
      </c>
      <c r="J1056" s="1" t="s">
        <v>775</v>
      </c>
    </row>
    <row r="1057" customFormat="false" ht="12" hidden="false" customHeight="true" outlineLevel="0" collapsed="false">
      <c r="B1057" s="1" t="s">
        <v>773</v>
      </c>
      <c r="C1057" s="1" t="s">
        <v>774</v>
      </c>
      <c r="D1057" s="1" t="s">
        <v>501</v>
      </c>
      <c r="E1057" s="1" t="s">
        <v>501</v>
      </c>
      <c r="F1057" s="1" t="s">
        <v>473</v>
      </c>
      <c r="G1057" s="1" t="s">
        <v>279</v>
      </c>
      <c r="H1057" s="1" t="n">
        <v>66</v>
      </c>
      <c r="I1057" s="1" t="str">
        <f aca="false">B1057&amp;"|"&amp;F1057&amp;"|"&amp;G1057</f>
        <v>Industrials, Light Manufacturing|S|Average</v>
      </c>
      <c r="J1057" s="1" t="s">
        <v>775</v>
      </c>
    </row>
    <row r="1058" customFormat="false" ht="12" hidden="false" customHeight="true" outlineLevel="0" collapsed="false">
      <c r="B1058" s="1" t="s">
        <v>773</v>
      </c>
      <c r="C1058" s="1" t="s">
        <v>774</v>
      </c>
      <c r="D1058" s="1" t="s">
        <v>501</v>
      </c>
      <c r="E1058" s="1" t="s">
        <v>501</v>
      </c>
      <c r="F1058" s="1" t="s">
        <v>473</v>
      </c>
      <c r="G1058" s="1" t="s">
        <v>480</v>
      </c>
      <c r="H1058" s="1" t="n">
        <v>46.75</v>
      </c>
      <c r="I1058" s="1" t="str">
        <f aca="false">B1058&amp;"|"&amp;F1058&amp;"|"&amp;G1058</f>
        <v>Industrials, Light Manufacturing|S|Low Cost</v>
      </c>
      <c r="J1058" s="1" t="s">
        <v>775</v>
      </c>
    </row>
    <row r="1059" customFormat="false" ht="12" hidden="false" customHeight="true" outlineLevel="0" collapsed="false">
      <c r="B1059" s="1" t="s">
        <v>776</v>
      </c>
      <c r="C1059" s="1" t="s">
        <v>777</v>
      </c>
      <c r="D1059" s="1" t="s">
        <v>501</v>
      </c>
      <c r="E1059" s="1" t="s">
        <v>506</v>
      </c>
      <c r="F1059" s="1" t="s">
        <v>456</v>
      </c>
      <c r="G1059" s="1" t="s">
        <v>485</v>
      </c>
      <c r="H1059" s="1" t="n">
        <v>376</v>
      </c>
      <c r="I1059" s="1" t="str">
        <f aca="false">B1059&amp;"|"&amp;F1059&amp;"|"&amp;G1059</f>
        <v>Industrials, Heavy (Process) Manufacturing|A|Excellent</v>
      </c>
      <c r="J1059" s="1" t="s">
        <v>778</v>
      </c>
    </row>
    <row r="1060" customFormat="false" ht="12" hidden="false" customHeight="true" outlineLevel="0" collapsed="false">
      <c r="B1060" s="1" t="s">
        <v>776</v>
      </c>
      <c r="C1060" s="1" t="s">
        <v>777</v>
      </c>
      <c r="D1060" s="1" t="s">
        <v>501</v>
      </c>
      <c r="E1060" s="1" t="s">
        <v>506</v>
      </c>
      <c r="F1060" s="1" t="s">
        <v>456</v>
      </c>
      <c r="G1060" s="1" t="s">
        <v>483</v>
      </c>
      <c r="H1060" s="1" t="n">
        <v>302</v>
      </c>
      <c r="I1060" s="1" t="str">
        <f aca="false">B1060&amp;"|"&amp;F1060&amp;"|"&amp;G1060</f>
        <v>Industrials, Heavy (Process) Manufacturing|A|Good</v>
      </c>
      <c r="J1060" s="1" t="s">
        <v>778</v>
      </c>
    </row>
    <row r="1061" customFormat="false" ht="12" hidden="false" customHeight="true" outlineLevel="0" collapsed="false">
      <c r="B1061" s="1" t="s">
        <v>776</v>
      </c>
      <c r="C1061" s="1" t="s">
        <v>777</v>
      </c>
      <c r="D1061" s="1" t="s">
        <v>501</v>
      </c>
      <c r="E1061" s="1" t="s">
        <v>506</v>
      </c>
      <c r="F1061" s="1" t="s">
        <v>456</v>
      </c>
      <c r="G1061" s="1" t="s">
        <v>279</v>
      </c>
      <c r="H1061" s="1" t="n">
        <v>232</v>
      </c>
      <c r="I1061" s="1" t="str">
        <f aca="false">B1061&amp;"|"&amp;F1061&amp;"|"&amp;G1061</f>
        <v>Industrials, Heavy (Process) Manufacturing|A|Average</v>
      </c>
      <c r="J1061" s="1" t="s">
        <v>778</v>
      </c>
    </row>
    <row r="1062" customFormat="false" ht="12" hidden="false" customHeight="true" outlineLevel="0" collapsed="false">
      <c r="B1062" s="1" t="s">
        <v>776</v>
      </c>
      <c r="C1062" s="1" t="s">
        <v>777</v>
      </c>
      <c r="D1062" s="1" t="s">
        <v>501</v>
      </c>
      <c r="E1062" s="1" t="s">
        <v>506</v>
      </c>
      <c r="F1062" s="1" t="s">
        <v>456</v>
      </c>
      <c r="G1062" s="1" t="s">
        <v>480</v>
      </c>
      <c r="H1062" s="1" t="n">
        <v>180</v>
      </c>
      <c r="I1062" s="1" t="str">
        <f aca="false">B1062&amp;"|"&amp;F1062&amp;"|"&amp;G1062</f>
        <v>Industrials, Heavy (Process) Manufacturing|A|Low Cost</v>
      </c>
      <c r="J1062" s="1" t="s">
        <v>778</v>
      </c>
    </row>
    <row r="1063" customFormat="false" ht="12" hidden="false" customHeight="true" outlineLevel="0" collapsed="false">
      <c r="B1063" s="1" t="s">
        <v>776</v>
      </c>
      <c r="C1063" s="1" t="s">
        <v>777</v>
      </c>
      <c r="D1063" s="1" t="s">
        <v>501</v>
      </c>
      <c r="E1063" s="1" t="s">
        <v>506</v>
      </c>
      <c r="F1063" s="1" t="s">
        <v>461</v>
      </c>
      <c r="G1063" s="1" t="s">
        <v>485</v>
      </c>
      <c r="H1063" s="1" t="n">
        <v>339</v>
      </c>
      <c r="I1063" s="1" t="str">
        <f aca="false">B1063&amp;"|"&amp;F1063&amp;"|"&amp;G1063</f>
        <v>Industrials, Heavy (Process) Manufacturing|B|Excellent</v>
      </c>
      <c r="J1063" s="1" t="s">
        <v>778</v>
      </c>
    </row>
    <row r="1064" customFormat="false" ht="12" hidden="false" customHeight="true" outlineLevel="0" collapsed="false">
      <c r="B1064" s="1" t="s">
        <v>776</v>
      </c>
      <c r="C1064" s="1" t="s">
        <v>777</v>
      </c>
      <c r="D1064" s="1" t="s">
        <v>501</v>
      </c>
      <c r="E1064" s="1" t="s">
        <v>506</v>
      </c>
      <c r="F1064" s="1" t="s">
        <v>461</v>
      </c>
      <c r="G1064" s="1" t="s">
        <v>483</v>
      </c>
      <c r="H1064" s="1" t="n">
        <v>272</v>
      </c>
      <c r="I1064" s="1" t="str">
        <f aca="false">B1064&amp;"|"&amp;F1064&amp;"|"&amp;G1064</f>
        <v>Industrials, Heavy (Process) Manufacturing|B|Good</v>
      </c>
      <c r="J1064" s="1" t="s">
        <v>778</v>
      </c>
    </row>
    <row r="1065" customFormat="false" ht="12" hidden="false" customHeight="true" outlineLevel="0" collapsed="false">
      <c r="B1065" s="1" t="s">
        <v>776</v>
      </c>
      <c r="C1065" s="1" t="s">
        <v>777</v>
      </c>
      <c r="D1065" s="1" t="s">
        <v>501</v>
      </c>
      <c r="E1065" s="1" t="s">
        <v>506</v>
      </c>
      <c r="F1065" s="1" t="s">
        <v>461</v>
      </c>
      <c r="G1065" s="1" t="s">
        <v>279</v>
      </c>
      <c r="H1065" s="1" t="n">
        <v>208</v>
      </c>
      <c r="I1065" s="1" t="str">
        <f aca="false">B1065&amp;"|"&amp;F1065&amp;"|"&amp;G1065</f>
        <v>Industrials, Heavy (Process) Manufacturing|B|Average</v>
      </c>
      <c r="J1065" s="1" t="s">
        <v>778</v>
      </c>
    </row>
    <row r="1066" customFormat="false" ht="12" hidden="false" customHeight="true" outlineLevel="0" collapsed="false">
      <c r="B1066" s="1" t="s">
        <v>776</v>
      </c>
      <c r="C1066" s="1" t="s">
        <v>777</v>
      </c>
      <c r="D1066" s="1" t="s">
        <v>501</v>
      </c>
      <c r="E1066" s="1" t="s">
        <v>506</v>
      </c>
      <c r="F1066" s="1" t="s">
        <v>461</v>
      </c>
      <c r="G1066" s="1" t="s">
        <v>480</v>
      </c>
      <c r="H1066" s="1" t="n">
        <v>161</v>
      </c>
      <c r="I1066" s="1" t="str">
        <f aca="false">B1066&amp;"|"&amp;F1066&amp;"|"&amp;G1066</f>
        <v>Industrials, Heavy (Process) Manufacturing|B|Low Cost</v>
      </c>
      <c r="J1066" s="1" t="s">
        <v>778</v>
      </c>
    </row>
    <row r="1067" customFormat="false" ht="12" hidden="false" customHeight="true" outlineLevel="0" collapsed="false">
      <c r="B1067" s="1" t="s">
        <v>776</v>
      </c>
      <c r="C1067" s="1" t="s">
        <v>777</v>
      </c>
      <c r="D1067" s="1" t="s">
        <v>501</v>
      </c>
      <c r="E1067" s="1" t="s">
        <v>506</v>
      </c>
      <c r="F1067" s="1" t="s">
        <v>463</v>
      </c>
      <c r="G1067" s="1" t="s">
        <v>483</v>
      </c>
      <c r="H1067" s="1" t="n">
        <v>217</v>
      </c>
      <c r="I1067" s="1" t="str">
        <f aca="false">B1067&amp;"|"&amp;F1067&amp;"|"&amp;G1067</f>
        <v>Industrials, Heavy (Process) Manufacturing|C|Good</v>
      </c>
      <c r="J1067" s="1" t="s">
        <v>778</v>
      </c>
    </row>
    <row r="1068" customFormat="false" ht="12" hidden="false" customHeight="true" outlineLevel="0" collapsed="false">
      <c r="B1068" s="1" t="s">
        <v>776</v>
      </c>
      <c r="C1068" s="1" t="s">
        <v>777</v>
      </c>
      <c r="D1068" s="1" t="s">
        <v>501</v>
      </c>
      <c r="E1068" s="1" t="s">
        <v>506</v>
      </c>
      <c r="F1068" s="1" t="s">
        <v>463</v>
      </c>
      <c r="G1068" s="1" t="s">
        <v>279</v>
      </c>
      <c r="H1068" s="1" t="n">
        <v>162</v>
      </c>
      <c r="I1068" s="1" t="str">
        <f aca="false">B1068&amp;"|"&amp;F1068&amp;"|"&amp;G1068</f>
        <v>Industrials, Heavy (Process) Manufacturing|C|Average</v>
      </c>
      <c r="J1068" s="1" t="s">
        <v>778</v>
      </c>
    </row>
    <row r="1069" customFormat="false" ht="12" hidden="false" customHeight="true" outlineLevel="0" collapsed="false">
      <c r="B1069" s="1" t="s">
        <v>776</v>
      </c>
      <c r="C1069" s="1" t="s">
        <v>777</v>
      </c>
      <c r="D1069" s="1" t="s">
        <v>501</v>
      </c>
      <c r="E1069" s="1" t="s">
        <v>506</v>
      </c>
      <c r="F1069" s="1" t="s">
        <v>463</v>
      </c>
      <c r="G1069" s="1" t="s">
        <v>480</v>
      </c>
      <c r="H1069" s="1" t="n">
        <v>117</v>
      </c>
      <c r="I1069" s="1" t="str">
        <f aca="false">B1069&amp;"|"&amp;F1069&amp;"|"&amp;G1069</f>
        <v>Industrials, Heavy (Process) Manufacturing|C|Low Cost</v>
      </c>
      <c r="J1069" s="1" t="s">
        <v>778</v>
      </c>
    </row>
    <row r="1070" customFormat="false" ht="12" hidden="false" customHeight="true" outlineLevel="0" collapsed="false">
      <c r="B1070" s="1" t="s">
        <v>776</v>
      </c>
      <c r="C1070" s="1" t="s">
        <v>777</v>
      </c>
      <c r="D1070" s="1" t="s">
        <v>501</v>
      </c>
      <c r="E1070" s="1" t="s">
        <v>506</v>
      </c>
      <c r="F1070" s="1" t="s">
        <v>519</v>
      </c>
      <c r="G1070" s="1" t="s">
        <v>483</v>
      </c>
      <c r="H1070" s="1" t="n">
        <v>139</v>
      </c>
      <c r="I1070" s="1" t="str">
        <f aca="false">B1070&amp;"|"&amp;F1070&amp;"|"&amp;G1070</f>
        <v>Industrials, Heavy (Process) Manufacturing|CMILL|Good</v>
      </c>
      <c r="J1070" s="1" t="s">
        <v>778</v>
      </c>
    </row>
    <row r="1071" customFormat="false" ht="12" hidden="false" customHeight="true" outlineLevel="0" collapsed="false">
      <c r="B1071" s="1" t="s">
        <v>776</v>
      </c>
      <c r="C1071" s="1" t="s">
        <v>777</v>
      </c>
      <c r="D1071" s="1" t="s">
        <v>501</v>
      </c>
      <c r="E1071" s="1" t="s">
        <v>506</v>
      </c>
      <c r="F1071" s="1" t="s">
        <v>519</v>
      </c>
      <c r="G1071" s="1" t="s">
        <v>279</v>
      </c>
      <c r="H1071" s="1" t="n">
        <v>106</v>
      </c>
      <c r="I1071" s="1" t="str">
        <f aca="false">B1071&amp;"|"&amp;F1071&amp;"|"&amp;G1071</f>
        <v>Industrials, Heavy (Process) Manufacturing|CMILL|Average</v>
      </c>
      <c r="J1071" s="1" t="s">
        <v>778</v>
      </c>
    </row>
    <row r="1072" customFormat="false" ht="12" hidden="false" customHeight="true" outlineLevel="0" collapsed="false">
      <c r="B1072" s="1" t="s">
        <v>776</v>
      </c>
      <c r="C1072" s="1" t="s">
        <v>777</v>
      </c>
      <c r="D1072" s="1" t="s">
        <v>501</v>
      </c>
      <c r="E1072" s="1" t="s">
        <v>506</v>
      </c>
      <c r="F1072" s="1" t="s">
        <v>468</v>
      </c>
      <c r="G1072" s="1" t="s">
        <v>279</v>
      </c>
      <c r="H1072" s="1" t="n">
        <v>144</v>
      </c>
      <c r="I1072" s="1" t="str">
        <f aca="false">B1072&amp;"|"&amp;F1072&amp;"|"&amp;G1072</f>
        <v>Industrials, Heavy (Process) Manufacturing|D|Average</v>
      </c>
      <c r="J1072" s="1" t="s">
        <v>778</v>
      </c>
    </row>
    <row r="1073" customFormat="false" ht="12" hidden="false" customHeight="true" outlineLevel="0" collapsed="false">
      <c r="B1073" s="1" t="s">
        <v>776</v>
      </c>
      <c r="C1073" s="1" t="s">
        <v>777</v>
      </c>
      <c r="D1073" s="1" t="s">
        <v>501</v>
      </c>
      <c r="E1073" s="1" t="s">
        <v>506</v>
      </c>
      <c r="F1073" s="1" t="s">
        <v>468</v>
      </c>
      <c r="G1073" s="1" t="s">
        <v>480</v>
      </c>
      <c r="H1073" s="1" t="n">
        <v>111</v>
      </c>
      <c r="I1073" s="1" t="str">
        <f aca="false">B1073&amp;"|"&amp;F1073&amp;"|"&amp;G1073</f>
        <v>Industrials, Heavy (Process) Manufacturing|D|Low Cost</v>
      </c>
      <c r="J1073" s="1" t="s">
        <v>778</v>
      </c>
    </row>
    <row r="1074" customFormat="false" ht="12" hidden="false" customHeight="true" outlineLevel="0" collapsed="false">
      <c r="B1074" s="1" t="s">
        <v>776</v>
      </c>
      <c r="C1074" s="1" t="s">
        <v>777</v>
      </c>
      <c r="D1074" s="1" t="s">
        <v>501</v>
      </c>
      <c r="E1074" s="1" t="s">
        <v>506</v>
      </c>
      <c r="F1074" s="1" t="s">
        <v>473</v>
      </c>
      <c r="G1074" s="1" t="s">
        <v>483</v>
      </c>
      <c r="H1074" s="1" t="n">
        <v>209</v>
      </c>
      <c r="I1074" s="1" t="str">
        <f aca="false">B1074&amp;"|"&amp;F1074&amp;"|"&amp;G1074</f>
        <v>Industrials, Heavy (Process) Manufacturing|S|Good</v>
      </c>
      <c r="J1074" s="1" t="s">
        <v>778</v>
      </c>
    </row>
    <row r="1075" customFormat="false" ht="12" hidden="false" customHeight="true" outlineLevel="0" collapsed="false">
      <c r="B1075" s="1" t="s">
        <v>776</v>
      </c>
      <c r="C1075" s="1" t="s">
        <v>777</v>
      </c>
      <c r="D1075" s="1" t="s">
        <v>501</v>
      </c>
      <c r="E1075" s="1" t="s">
        <v>506</v>
      </c>
      <c r="F1075" s="1" t="s">
        <v>473</v>
      </c>
      <c r="G1075" s="1" t="s">
        <v>279</v>
      </c>
      <c r="H1075" s="1" t="n">
        <v>149</v>
      </c>
      <c r="I1075" s="1" t="str">
        <f aca="false">B1075&amp;"|"&amp;F1075&amp;"|"&amp;G1075</f>
        <v>Industrials, Heavy (Process) Manufacturing|S|Average</v>
      </c>
      <c r="J1075" s="1" t="s">
        <v>778</v>
      </c>
    </row>
    <row r="1076" customFormat="false" ht="12" hidden="false" customHeight="true" outlineLevel="0" collapsed="false">
      <c r="B1076" s="1" t="s">
        <v>776</v>
      </c>
      <c r="C1076" s="1" t="s">
        <v>777</v>
      </c>
      <c r="D1076" s="1" t="s">
        <v>501</v>
      </c>
      <c r="E1076" s="1" t="s">
        <v>506</v>
      </c>
      <c r="F1076" s="1" t="s">
        <v>473</v>
      </c>
      <c r="G1076" s="1" t="s">
        <v>480</v>
      </c>
      <c r="H1076" s="1" t="n">
        <v>113</v>
      </c>
      <c r="I1076" s="1" t="str">
        <f aca="false">B1076&amp;"|"&amp;F1076&amp;"|"&amp;G1076</f>
        <v>Industrials, Heavy (Process) Manufacturing|S|Low Cost</v>
      </c>
      <c r="J1076" s="1" t="s">
        <v>778</v>
      </c>
    </row>
    <row r="1077" customFormat="false" ht="12" hidden="false" customHeight="true" outlineLevel="0" collapsed="false">
      <c r="B1077" s="1" t="s">
        <v>779</v>
      </c>
      <c r="C1077" s="1" t="s">
        <v>780</v>
      </c>
      <c r="D1077" s="1" t="s">
        <v>501</v>
      </c>
      <c r="E1077" s="1" t="s">
        <v>511</v>
      </c>
      <c r="F1077" s="1" t="s">
        <v>456</v>
      </c>
      <c r="G1077" s="1" t="s">
        <v>485</v>
      </c>
      <c r="H1077" s="1" t="n">
        <v>278</v>
      </c>
      <c r="I1077" s="1" t="str">
        <f aca="false">B1077&amp;"|"&amp;F1077&amp;"|"&amp;G1077</f>
        <v>Industrial, Engineering (R&amp;D) Buildings|A|Excellent</v>
      </c>
      <c r="J1077" s="1" t="s">
        <v>781</v>
      </c>
    </row>
    <row r="1078" customFormat="false" ht="12" hidden="false" customHeight="true" outlineLevel="0" collapsed="false">
      <c r="B1078" s="1" t="s">
        <v>779</v>
      </c>
      <c r="C1078" s="1" t="s">
        <v>780</v>
      </c>
      <c r="D1078" s="1" t="s">
        <v>501</v>
      </c>
      <c r="E1078" s="1" t="s">
        <v>511</v>
      </c>
      <c r="F1078" s="1" t="s">
        <v>456</v>
      </c>
      <c r="G1078" s="1" t="s">
        <v>483</v>
      </c>
      <c r="H1078" s="1" t="n">
        <v>199</v>
      </c>
      <c r="I1078" s="1" t="str">
        <f aca="false">B1078&amp;"|"&amp;F1078&amp;"|"&amp;G1078</f>
        <v>Industrial, Engineering (R&amp;D) Buildings|A|Good</v>
      </c>
      <c r="J1078" s="1" t="s">
        <v>781</v>
      </c>
    </row>
    <row r="1079" customFormat="false" ht="12" hidden="false" customHeight="true" outlineLevel="0" collapsed="false">
      <c r="B1079" s="1" t="s">
        <v>779</v>
      </c>
      <c r="C1079" s="1" t="s">
        <v>780</v>
      </c>
      <c r="D1079" s="1" t="s">
        <v>501</v>
      </c>
      <c r="E1079" s="1" t="s">
        <v>511</v>
      </c>
      <c r="F1079" s="1" t="s">
        <v>456</v>
      </c>
      <c r="G1079" s="1" t="s">
        <v>279</v>
      </c>
      <c r="H1079" s="1" t="n">
        <v>147</v>
      </c>
      <c r="I1079" s="1" t="str">
        <f aca="false">B1079&amp;"|"&amp;F1079&amp;"|"&amp;G1079</f>
        <v>Industrial, Engineering (R&amp;D) Buildings|A|Average</v>
      </c>
      <c r="J1079" s="1" t="s">
        <v>781</v>
      </c>
    </row>
    <row r="1080" customFormat="false" ht="12" hidden="false" customHeight="true" outlineLevel="0" collapsed="false">
      <c r="B1080" s="1" t="s">
        <v>779</v>
      </c>
      <c r="C1080" s="1" t="s">
        <v>780</v>
      </c>
      <c r="D1080" s="1" t="s">
        <v>501</v>
      </c>
      <c r="E1080" s="1" t="s">
        <v>511</v>
      </c>
      <c r="F1080" s="1" t="s">
        <v>456</v>
      </c>
      <c r="G1080" s="1" t="s">
        <v>480</v>
      </c>
      <c r="H1080" s="1" t="n">
        <v>111</v>
      </c>
      <c r="I1080" s="1" t="str">
        <f aca="false">B1080&amp;"|"&amp;F1080&amp;"|"&amp;G1080</f>
        <v>Industrial, Engineering (R&amp;D) Buildings|A|Low Cost</v>
      </c>
      <c r="J1080" s="1" t="s">
        <v>781</v>
      </c>
    </row>
    <row r="1081" customFormat="false" ht="12" hidden="false" customHeight="true" outlineLevel="0" collapsed="false">
      <c r="B1081" s="1" t="s">
        <v>779</v>
      </c>
      <c r="C1081" s="1" t="s">
        <v>780</v>
      </c>
      <c r="D1081" s="1" t="s">
        <v>501</v>
      </c>
      <c r="E1081" s="1" t="s">
        <v>511</v>
      </c>
      <c r="F1081" s="1" t="s">
        <v>461</v>
      </c>
      <c r="G1081" s="1" t="s">
        <v>485</v>
      </c>
      <c r="H1081" s="1" t="n">
        <v>250</v>
      </c>
      <c r="I1081" s="1" t="str">
        <f aca="false">B1081&amp;"|"&amp;F1081&amp;"|"&amp;G1081</f>
        <v>Industrial, Engineering (R&amp;D) Buildings|B|Excellent</v>
      </c>
      <c r="J1081" s="1" t="s">
        <v>781</v>
      </c>
    </row>
    <row r="1082" customFormat="false" ht="12" hidden="false" customHeight="true" outlineLevel="0" collapsed="false">
      <c r="B1082" s="1" t="s">
        <v>779</v>
      </c>
      <c r="C1082" s="1" t="s">
        <v>780</v>
      </c>
      <c r="D1082" s="1" t="s">
        <v>501</v>
      </c>
      <c r="E1082" s="1" t="s">
        <v>511</v>
      </c>
      <c r="F1082" s="1" t="s">
        <v>461</v>
      </c>
      <c r="G1082" s="1" t="s">
        <v>483</v>
      </c>
      <c r="H1082" s="1" t="n">
        <v>178</v>
      </c>
      <c r="I1082" s="1" t="str">
        <f aca="false">B1082&amp;"|"&amp;F1082&amp;"|"&amp;G1082</f>
        <v>Industrial, Engineering (R&amp;D) Buildings|B|Good</v>
      </c>
      <c r="J1082" s="1" t="s">
        <v>781</v>
      </c>
    </row>
    <row r="1083" customFormat="false" ht="12" hidden="false" customHeight="true" outlineLevel="0" collapsed="false">
      <c r="B1083" s="1" t="s">
        <v>779</v>
      </c>
      <c r="C1083" s="1" t="s">
        <v>780</v>
      </c>
      <c r="D1083" s="1" t="s">
        <v>501</v>
      </c>
      <c r="E1083" s="1" t="s">
        <v>511</v>
      </c>
      <c r="F1083" s="1" t="s">
        <v>461</v>
      </c>
      <c r="G1083" s="1" t="s">
        <v>279</v>
      </c>
      <c r="H1083" s="1" t="n">
        <v>131</v>
      </c>
      <c r="I1083" s="1" t="str">
        <f aca="false">B1083&amp;"|"&amp;F1083&amp;"|"&amp;G1083</f>
        <v>Industrial, Engineering (R&amp;D) Buildings|B|Average</v>
      </c>
      <c r="J1083" s="1" t="s">
        <v>781</v>
      </c>
    </row>
    <row r="1084" customFormat="false" ht="12" hidden="false" customHeight="true" outlineLevel="0" collapsed="false">
      <c r="B1084" s="1" t="s">
        <v>779</v>
      </c>
      <c r="C1084" s="1" t="s">
        <v>780</v>
      </c>
      <c r="D1084" s="1" t="s">
        <v>501</v>
      </c>
      <c r="E1084" s="1" t="s">
        <v>511</v>
      </c>
      <c r="F1084" s="1" t="s">
        <v>461</v>
      </c>
      <c r="G1084" s="1" t="s">
        <v>480</v>
      </c>
      <c r="H1084" s="1" t="n">
        <v>99.5</v>
      </c>
      <c r="I1084" s="1" t="str">
        <f aca="false">B1084&amp;"|"&amp;F1084&amp;"|"&amp;G1084</f>
        <v>Industrial, Engineering (R&amp;D) Buildings|B|Low Cost</v>
      </c>
      <c r="J1084" s="1" t="s">
        <v>781</v>
      </c>
    </row>
    <row r="1085" customFormat="false" ht="12" hidden="false" customHeight="true" outlineLevel="0" collapsed="false">
      <c r="B1085" s="1" t="s">
        <v>779</v>
      </c>
      <c r="C1085" s="1" t="s">
        <v>780</v>
      </c>
      <c r="D1085" s="1" t="s">
        <v>501</v>
      </c>
      <c r="E1085" s="1" t="s">
        <v>511</v>
      </c>
      <c r="F1085" s="1" t="s">
        <v>463</v>
      </c>
      <c r="G1085" s="1" t="s">
        <v>485</v>
      </c>
      <c r="H1085" s="1" t="n">
        <v>224</v>
      </c>
      <c r="I1085" s="1" t="str">
        <f aca="false">B1085&amp;"|"&amp;F1085&amp;"|"&amp;G1085</f>
        <v>Industrial, Engineering (R&amp;D) Buildings|C|Excellent</v>
      </c>
      <c r="J1085" s="1" t="s">
        <v>781</v>
      </c>
    </row>
    <row r="1086" customFormat="false" ht="12" hidden="false" customHeight="true" outlineLevel="0" collapsed="false">
      <c r="B1086" s="1" t="s">
        <v>779</v>
      </c>
      <c r="C1086" s="1" t="s">
        <v>780</v>
      </c>
      <c r="D1086" s="1" t="s">
        <v>501</v>
      </c>
      <c r="E1086" s="1" t="s">
        <v>511</v>
      </c>
      <c r="F1086" s="1" t="s">
        <v>463</v>
      </c>
      <c r="G1086" s="1" t="s">
        <v>483</v>
      </c>
      <c r="H1086" s="1" t="n">
        <v>148</v>
      </c>
      <c r="I1086" s="1" t="str">
        <f aca="false">B1086&amp;"|"&amp;F1086&amp;"|"&amp;G1086</f>
        <v>Industrial, Engineering (R&amp;D) Buildings|C|Good</v>
      </c>
      <c r="J1086" s="1" t="s">
        <v>781</v>
      </c>
    </row>
    <row r="1087" customFormat="false" ht="12" hidden="false" customHeight="true" outlineLevel="0" collapsed="false">
      <c r="B1087" s="1" t="s">
        <v>779</v>
      </c>
      <c r="C1087" s="1" t="s">
        <v>780</v>
      </c>
      <c r="D1087" s="1" t="s">
        <v>501</v>
      </c>
      <c r="E1087" s="1" t="s">
        <v>511</v>
      </c>
      <c r="F1087" s="1" t="s">
        <v>463</v>
      </c>
      <c r="G1087" s="1" t="s">
        <v>279</v>
      </c>
      <c r="H1087" s="1" t="n">
        <v>101</v>
      </c>
      <c r="I1087" s="1" t="str">
        <f aca="false">B1087&amp;"|"&amp;F1087&amp;"|"&amp;G1087</f>
        <v>Industrial, Engineering (R&amp;D) Buildings|C|Average</v>
      </c>
      <c r="J1087" s="1" t="s">
        <v>781</v>
      </c>
    </row>
    <row r="1088" customFormat="false" ht="12" hidden="false" customHeight="true" outlineLevel="0" collapsed="false">
      <c r="B1088" s="1" t="s">
        <v>779</v>
      </c>
      <c r="C1088" s="1" t="s">
        <v>780</v>
      </c>
      <c r="D1088" s="1" t="s">
        <v>501</v>
      </c>
      <c r="E1088" s="1" t="s">
        <v>511</v>
      </c>
      <c r="F1088" s="1" t="s">
        <v>463</v>
      </c>
      <c r="G1088" s="1" t="s">
        <v>480</v>
      </c>
      <c r="H1088" s="1" t="n">
        <v>72.5</v>
      </c>
      <c r="I1088" s="1" t="str">
        <f aca="false">B1088&amp;"|"&amp;F1088&amp;"|"&amp;G1088</f>
        <v>Industrial, Engineering (R&amp;D) Buildings|C|Low Cost</v>
      </c>
      <c r="J1088" s="1" t="s">
        <v>781</v>
      </c>
    </row>
    <row r="1089" customFormat="false" ht="12" hidden="false" customHeight="true" outlineLevel="0" collapsed="false">
      <c r="B1089" s="1" t="s">
        <v>779</v>
      </c>
      <c r="C1089" s="1" t="s">
        <v>780</v>
      </c>
      <c r="D1089" s="1" t="s">
        <v>501</v>
      </c>
      <c r="E1089" s="1" t="s">
        <v>511</v>
      </c>
      <c r="F1089" s="1" t="s">
        <v>468</v>
      </c>
      <c r="G1089" s="1" t="s">
        <v>485</v>
      </c>
      <c r="H1089" s="1" t="n">
        <v>201</v>
      </c>
      <c r="I1089" s="1" t="str">
        <f aca="false">B1089&amp;"|"&amp;F1089&amp;"|"&amp;G1089</f>
        <v>Industrial, Engineering (R&amp;D) Buildings|D|Excellent</v>
      </c>
      <c r="J1089" s="1" t="s">
        <v>781</v>
      </c>
    </row>
    <row r="1090" customFormat="false" ht="12" hidden="false" customHeight="true" outlineLevel="0" collapsed="false">
      <c r="B1090" s="1" t="s">
        <v>779</v>
      </c>
      <c r="C1090" s="1" t="s">
        <v>780</v>
      </c>
      <c r="D1090" s="1" t="s">
        <v>501</v>
      </c>
      <c r="E1090" s="1" t="s">
        <v>511</v>
      </c>
      <c r="F1090" s="1" t="s">
        <v>468</v>
      </c>
      <c r="G1090" s="1" t="s">
        <v>483</v>
      </c>
      <c r="H1090" s="1" t="n">
        <v>140</v>
      </c>
      <c r="I1090" s="1" t="str">
        <f aca="false">B1090&amp;"|"&amp;F1090&amp;"|"&amp;G1090</f>
        <v>Industrial, Engineering (R&amp;D) Buildings|D|Good</v>
      </c>
      <c r="J1090" s="1" t="s">
        <v>781</v>
      </c>
    </row>
    <row r="1091" customFormat="false" ht="12" hidden="false" customHeight="true" outlineLevel="0" collapsed="false">
      <c r="B1091" s="1" t="s">
        <v>779</v>
      </c>
      <c r="C1091" s="1" t="s">
        <v>780</v>
      </c>
      <c r="D1091" s="1" t="s">
        <v>501</v>
      </c>
      <c r="E1091" s="1" t="s">
        <v>511</v>
      </c>
      <c r="F1091" s="1" t="s">
        <v>468</v>
      </c>
      <c r="G1091" s="1" t="s">
        <v>279</v>
      </c>
      <c r="H1091" s="1" t="n">
        <v>94.5</v>
      </c>
      <c r="I1091" s="1" t="str">
        <f aca="false">B1091&amp;"|"&amp;F1091&amp;"|"&amp;G1091</f>
        <v>Industrial, Engineering (R&amp;D) Buildings|D|Average</v>
      </c>
      <c r="J1091" s="1" t="s">
        <v>781</v>
      </c>
    </row>
    <row r="1092" customFormat="false" ht="12" hidden="false" customHeight="true" outlineLevel="0" collapsed="false">
      <c r="B1092" s="1" t="s">
        <v>779</v>
      </c>
      <c r="C1092" s="1" t="s">
        <v>780</v>
      </c>
      <c r="D1092" s="1" t="s">
        <v>501</v>
      </c>
      <c r="E1092" s="1" t="s">
        <v>511</v>
      </c>
      <c r="F1092" s="1" t="s">
        <v>468</v>
      </c>
      <c r="G1092" s="1" t="s">
        <v>480</v>
      </c>
      <c r="H1092" s="1" t="n">
        <v>67</v>
      </c>
      <c r="I1092" s="1" t="str">
        <f aca="false">B1092&amp;"|"&amp;F1092&amp;"|"&amp;G1092</f>
        <v>Industrial, Engineering (R&amp;D) Buildings|D|Low Cost</v>
      </c>
      <c r="J1092" s="1" t="s">
        <v>781</v>
      </c>
    </row>
    <row r="1093" customFormat="false" ht="12" hidden="false" customHeight="true" outlineLevel="0" collapsed="false">
      <c r="B1093" s="1" t="s">
        <v>779</v>
      </c>
      <c r="C1093" s="1" t="s">
        <v>780</v>
      </c>
      <c r="D1093" s="1" t="s">
        <v>501</v>
      </c>
      <c r="E1093" s="1" t="s">
        <v>511</v>
      </c>
      <c r="F1093" s="1" t="s">
        <v>473</v>
      </c>
      <c r="G1093" s="1" t="s">
        <v>485</v>
      </c>
      <c r="H1093" s="1" t="n">
        <v>207</v>
      </c>
      <c r="I1093" s="1" t="str">
        <f aca="false">B1093&amp;"|"&amp;F1093&amp;"|"&amp;G1093</f>
        <v>Industrial, Engineering (R&amp;D) Buildings|S|Excellent</v>
      </c>
      <c r="J1093" s="1" t="s">
        <v>781</v>
      </c>
    </row>
    <row r="1094" customFormat="false" ht="12" hidden="false" customHeight="true" outlineLevel="0" collapsed="false">
      <c r="B1094" s="1" t="s">
        <v>779</v>
      </c>
      <c r="C1094" s="1" t="s">
        <v>780</v>
      </c>
      <c r="D1094" s="1" t="s">
        <v>501</v>
      </c>
      <c r="E1094" s="1" t="s">
        <v>511</v>
      </c>
      <c r="F1094" s="1" t="s">
        <v>473</v>
      </c>
      <c r="G1094" s="1" t="s">
        <v>483</v>
      </c>
      <c r="H1094" s="1" t="n">
        <v>142</v>
      </c>
      <c r="I1094" s="1" t="str">
        <f aca="false">B1094&amp;"|"&amp;F1094&amp;"|"&amp;G1094</f>
        <v>Industrial, Engineering (R&amp;D) Buildings|S|Good</v>
      </c>
      <c r="J1094" s="1" t="s">
        <v>781</v>
      </c>
    </row>
    <row r="1095" customFormat="false" ht="12" hidden="false" customHeight="true" outlineLevel="0" collapsed="false">
      <c r="B1095" s="1" t="s">
        <v>779</v>
      </c>
      <c r="C1095" s="1" t="s">
        <v>780</v>
      </c>
      <c r="D1095" s="1" t="s">
        <v>501</v>
      </c>
      <c r="E1095" s="1" t="s">
        <v>511</v>
      </c>
      <c r="F1095" s="1" t="s">
        <v>473</v>
      </c>
      <c r="G1095" s="1" t="s">
        <v>279</v>
      </c>
      <c r="H1095" s="1" t="n">
        <v>95.5</v>
      </c>
      <c r="I1095" s="1" t="str">
        <f aca="false">B1095&amp;"|"&amp;F1095&amp;"|"&amp;G1095</f>
        <v>Industrial, Engineering (R&amp;D) Buildings|S|Average</v>
      </c>
      <c r="J1095" s="1" t="s">
        <v>781</v>
      </c>
    </row>
    <row r="1096" customFormat="false" ht="12" hidden="false" customHeight="true" outlineLevel="0" collapsed="false">
      <c r="B1096" s="1" t="s">
        <v>779</v>
      </c>
      <c r="C1096" s="1" t="s">
        <v>780</v>
      </c>
      <c r="D1096" s="1" t="s">
        <v>501</v>
      </c>
      <c r="E1096" s="1" t="s">
        <v>511</v>
      </c>
      <c r="F1096" s="1" t="s">
        <v>473</v>
      </c>
      <c r="G1096" s="1" t="s">
        <v>480</v>
      </c>
      <c r="H1096" s="1" t="n">
        <v>67.5</v>
      </c>
      <c r="I1096" s="1" t="str">
        <f aca="false">B1096&amp;"|"&amp;F1096&amp;"|"&amp;G1096</f>
        <v>Industrial, Engineering (R&amp;D) Buildings|S|Low Cost</v>
      </c>
      <c r="J1096" s="1" t="s">
        <v>781</v>
      </c>
    </row>
    <row r="1097" customFormat="false" ht="12" hidden="false" customHeight="true" outlineLevel="0" collapsed="false">
      <c r="B1097" s="1" t="s">
        <v>782</v>
      </c>
      <c r="C1097" s="1" t="s">
        <v>783</v>
      </c>
      <c r="D1097" s="1" t="s">
        <v>501</v>
      </c>
      <c r="E1097" s="1" t="s">
        <v>513</v>
      </c>
      <c r="F1097" s="1" t="s">
        <v>523</v>
      </c>
      <c r="G1097" s="1" t="s">
        <v>485</v>
      </c>
      <c r="H1097" s="1" t="n">
        <v>575</v>
      </c>
      <c r="I1097" s="1" t="str">
        <f aca="false">B1097&amp;"|"&amp;F1097&amp;"|"&amp;G1097</f>
        <v>Laboratory Buildings|A-B|Excellent</v>
      </c>
      <c r="J1097" s="1" t="s">
        <v>784</v>
      </c>
    </row>
    <row r="1098" customFormat="false" ht="12" hidden="false" customHeight="true" outlineLevel="0" collapsed="false">
      <c r="B1098" s="1" t="s">
        <v>782</v>
      </c>
      <c r="C1098" s="1" t="s">
        <v>783</v>
      </c>
      <c r="D1098" s="1" t="s">
        <v>501</v>
      </c>
      <c r="E1098" s="1" t="s">
        <v>513</v>
      </c>
      <c r="F1098" s="1" t="s">
        <v>523</v>
      </c>
      <c r="G1098" s="1" t="s">
        <v>483</v>
      </c>
      <c r="H1098" s="1" t="n">
        <v>438</v>
      </c>
      <c r="I1098" s="1" t="str">
        <f aca="false">B1098&amp;"|"&amp;F1098&amp;"|"&amp;G1098</f>
        <v>Laboratory Buildings|A-B|Good</v>
      </c>
      <c r="J1098" s="1" t="s">
        <v>784</v>
      </c>
    </row>
    <row r="1099" customFormat="false" ht="12" hidden="false" customHeight="true" outlineLevel="0" collapsed="false">
      <c r="B1099" s="1" t="s">
        <v>782</v>
      </c>
      <c r="C1099" s="1" t="s">
        <v>783</v>
      </c>
      <c r="D1099" s="1" t="s">
        <v>501</v>
      </c>
      <c r="E1099" s="1" t="s">
        <v>513</v>
      </c>
      <c r="F1099" s="1" t="s">
        <v>523</v>
      </c>
      <c r="G1099" s="1" t="s">
        <v>279</v>
      </c>
      <c r="H1099" s="1" t="n">
        <v>333</v>
      </c>
      <c r="I1099" s="1" t="str">
        <f aca="false">B1099&amp;"|"&amp;F1099&amp;"|"&amp;G1099</f>
        <v>Laboratory Buildings|A-B|Average</v>
      </c>
      <c r="J1099" s="1" t="s">
        <v>784</v>
      </c>
    </row>
    <row r="1100" customFormat="false" ht="12" hidden="false" customHeight="true" outlineLevel="0" collapsed="false">
      <c r="B1100" s="1" t="s">
        <v>782</v>
      </c>
      <c r="C1100" s="1" t="s">
        <v>783</v>
      </c>
      <c r="D1100" s="1" t="s">
        <v>501</v>
      </c>
      <c r="E1100" s="1" t="s">
        <v>513</v>
      </c>
      <c r="F1100" s="1" t="s">
        <v>523</v>
      </c>
      <c r="G1100" s="1" t="s">
        <v>480</v>
      </c>
      <c r="H1100" s="1" t="n">
        <v>253</v>
      </c>
      <c r="I1100" s="1" t="str">
        <f aca="false">B1100&amp;"|"&amp;F1100&amp;"|"&amp;G1100</f>
        <v>Laboratory Buildings|A-B|Low Cost</v>
      </c>
      <c r="J1100" s="1" t="s">
        <v>784</v>
      </c>
    </row>
    <row r="1101" customFormat="false" ht="12" hidden="false" customHeight="true" outlineLevel="0" collapsed="false">
      <c r="B1101" s="1" t="s">
        <v>782</v>
      </c>
      <c r="C1101" s="1" t="s">
        <v>783</v>
      </c>
      <c r="D1101" s="1" t="s">
        <v>501</v>
      </c>
      <c r="E1101" s="1" t="s">
        <v>513</v>
      </c>
      <c r="F1101" s="1" t="s">
        <v>463</v>
      </c>
      <c r="G1101" s="1" t="s">
        <v>485</v>
      </c>
      <c r="H1101" s="1" t="n">
        <v>421</v>
      </c>
      <c r="I1101" s="1" t="str">
        <f aca="false">B1101&amp;"|"&amp;F1101&amp;"|"&amp;G1101</f>
        <v>Laboratory Buildings|C|Excellent</v>
      </c>
      <c r="J1101" s="1" t="s">
        <v>784</v>
      </c>
    </row>
    <row r="1102" customFormat="false" ht="12" hidden="false" customHeight="true" outlineLevel="0" collapsed="false">
      <c r="B1102" s="1" t="s">
        <v>782</v>
      </c>
      <c r="C1102" s="1" t="s">
        <v>783</v>
      </c>
      <c r="D1102" s="1" t="s">
        <v>501</v>
      </c>
      <c r="E1102" s="1" t="s">
        <v>513</v>
      </c>
      <c r="F1102" s="1" t="s">
        <v>463</v>
      </c>
      <c r="G1102" s="1" t="s">
        <v>483</v>
      </c>
      <c r="H1102" s="1" t="n">
        <v>326</v>
      </c>
      <c r="I1102" s="1" t="str">
        <f aca="false">B1102&amp;"|"&amp;F1102&amp;"|"&amp;G1102</f>
        <v>Laboratory Buildings|C|Good</v>
      </c>
      <c r="J1102" s="1" t="s">
        <v>784</v>
      </c>
    </row>
    <row r="1103" customFormat="false" ht="12" hidden="false" customHeight="true" outlineLevel="0" collapsed="false">
      <c r="B1103" s="1" t="s">
        <v>782</v>
      </c>
      <c r="C1103" s="1" t="s">
        <v>783</v>
      </c>
      <c r="D1103" s="1" t="s">
        <v>501</v>
      </c>
      <c r="E1103" s="1" t="s">
        <v>513</v>
      </c>
      <c r="F1103" s="1" t="s">
        <v>463</v>
      </c>
      <c r="G1103" s="1" t="s">
        <v>279</v>
      </c>
      <c r="H1103" s="1" t="n">
        <v>255</v>
      </c>
      <c r="I1103" s="1" t="str">
        <f aca="false">B1103&amp;"|"&amp;F1103&amp;"|"&amp;G1103</f>
        <v>Laboratory Buildings|C|Average</v>
      </c>
      <c r="J1103" s="1" t="s">
        <v>784</v>
      </c>
    </row>
    <row r="1104" customFormat="false" ht="12" hidden="false" customHeight="true" outlineLevel="0" collapsed="false">
      <c r="B1104" s="1" t="s">
        <v>782</v>
      </c>
      <c r="C1104" s="1" t="s">
        <v>783</v>
      </c>
      <c r="D1104" s="1" t="s">
        <v>501</v>
      </c>
      <c r="E1104" s="1" t="s">
        <v>513</v>
      </c>
      <c r="F1104" s="1" t="s">
        <v>463</v>
      </c>
      <c r="G1104" s="1" t="s">
        <v>480</v>
      </c>
      <c r="H1104" s="1" t="n">
        <v>201</v>
      </c>
      <c r="I1104" s="1" t="str">
        <f aca="false">B1104&amp;"|"&amp;F1104&amp;"|"&amp;G1104</f>
        <v>Laboratory Buildings|C|Low Cost</v>
      </c>
      <c r="J1104" s="1" t="s">
        <v>784</v>
      </c>
    </row>
    <row r="1105" customFormat="false" ht="12" hidden="false" customHeight="true" outlineLevel="0" collapsed="false">
      <c r="B1105" s="1" t="s">
        <v>782</v>
      </c>
      <c r="C1105" s="1" t="s">
        <v>783</v>
      </c>
      <c r="D1105" s="1" t="s">
        <v>501</v>
      </c>
      <c r="E1105" s="1" t="s">
        <v>513</v>
      </c>
      <c r="F1105" s="1" t="s">
        <v>468</v>
      </c>
      <c r="G1105" s="1" t="s">
        <v>485</v>
      </c>
      <c r="H1105" s="1" t="n">
        <v>407</v>
      </c>
      <c r="I1105" s="1" t="str">
        <f aca="false">B1105&amp;"|"&amp;F1105&amp;"|"&amp;G1105</f>
        <v>Laboratory Buildings|D|Excellent</v>
      </c>
      <c r="J1105" s="1" t="s">
        <v>784</v>
      </c>
    </row>
    <row r="1106" customFormat="false" ht="12" hidden="false" customHeight="true" outlineLevel="0" collapsed="false">
      <c r="B1106" s="1" t="s">
        <v>782</v>
      </c>
      <c r="C1106" s="1" t="s">
        <v>783</v>
      </c>
      <c r="D1106" s="1" t="s">
        <v>501</v>
      </c>
      <c r="E1106" s="1" t="s">
        <v>513</v>
      </c>
      <c r="F1106" s="1" t="s">
        <v>468</v>
      </c>
      <c r="G1106" s="1" t="s">
        <v>483</v>
      </c>
      <c r="H1106" s="1" t="n">
        <v>315</v>
      </c>
      <c r="I1106" s="1" t="str">
        <f aca="false">B1106&amp;"|"&amp;F1106&amp;"|"&amp;G1106</f>
        <v>Laboratory Buildings|D|Good</v>
      </c>
      <c r="J1106" s="1" t="s">
        <v>784</v>
      </c>
    </row>
    <row r="1107" customFormat="false" ht="12" hidden="false" customHeight="true" outlineLevel="0" collapsed="false">
      <c r="B1107" s="1" t="s">
        <v>782</v>
      </c>
      <c r="C1107" s="1" t="s">
        <v>783</v>
      </c>
      <c r="D1107" s="1" t="s">
        <v>501</v>
      </c>
      <c r="E1107" s="1" t="s">
        <v>513</v>
      </c>
      <c r="F1107" s="1" t="s">
        <v>468</v>
      </c>
      <c r="G1107" s="1" t="s">
        <v>279</v>
      </c>
      <c r="H1107" s="1" t="n">
        <v>246</v>
      </c>
      <c r="I1107" s="1" t="str">
        <f aca="false">B1107&amp;"|"&amp;F1107&amp;"|"&amp;G1107</f>
        <v>Laboratory Buildings|D|Average</v>
      </c>
      <c r="J1107" s="1" t="s">
        <v>784</v>
      </c>
    </row>
    <row r="1108" customFormat="false" ht="12" hidden="false" customHeight="true" outlineLevel="0" collapsed="false">
      <c r="B1108" s="1" t="s">
        <v>782</v>
      </c>
      <c r="C1108" s="1" t="s">
        <v>783</v>
      </c>
      <c r="D1108" s="1" t="s">
        <v>501</v>
      </c>
      <c r="E1108" s="1" t="s">
        <v>513</v>
      </c>
      <c r="F1108" s="1" t="s">
        <v>468</v>
      </c>
      <c r="G1108" s="1" t="s">
        <v>480</v>
      </c>
      <c r="H1108" s="1" t="n">
        <v>193</v>
      </c>
      <c r="I1108" s="1" t="str">
        <f aca="false">B1108&amp;"|"&amp;F1108&amp;"|"&amp;G1108</f>
        <v>Laboratory Buildings|D|Low Cost</v>
      </c>
      <c r="J1108" s="1" t="s">
        <v>784</v>
      </c>
    </row>
    <row r="1109" customFormat="false" ht="12" hidden="false" customHeight="true" outlineLevel="0" collapsed="false">
      <c r="B1109" s="1" t="s">
        <v>782</v>
      </c>
      <c r="C1109" s="1" t="s">
        <v>783</v>
      </c>
      <c r="D1109" s="1" t="s">
        <v>501</v>
      </c>
      <c r="E1109" s="1" t="s">
        <v>513</v>
      </c>
      <c r="F1109" s="1" t="s">
        <v>473</v>
      </c>
      <c r="G1109" s="1" t="s">
        <v>483</v>
      </c>
      <c r="H1109" s="1" t="n">
        <v>318</v>
      </c>
      <c r="I1109" s="1" t="str">
        <f aca="false">B1109&amp;"|"&amp;F1109&amp;"|"&amp;G1109</f>
        <v>Laboratory Buildings|S|Good</v>
      </c>
      <c r="J1109" s="1" t="s">
        <v>784</v>
      </c>
    </row>
    <row r="1110" customFormat="false" ht="12" hidden="false" customHeight="true" outlineLevel="0" collapsed="false">
      <c r="B1110" s="1" t="s">
        <v>782</v>
      </c>
      <c r="C1110" s="1" t="s">
        <v>783</v>
      </c>
      <c r="D1110" s="1" t="s">
        <v>501</v>
      </c>
      <c r="E1110" s="1" t="s">
        <v>513</v>
      </c>
      <c r="F1110" s="1" t="s">
        <v>473</v>
      </c>
      <c r="G1110" s="1" t="s">
        <v>279</v>
      </c>
      <c r="H1110" s="1" t="n">
        <v>249</v>
      </c>
      <c r="I1110" s="1" t="str">
        <f aca="false">B1110&amp;"|"&amp;F1110&amp;"|"&amp;G1110</f>
        <v>Laboratory Buildings|S|Average</v>
      </c>
      <c r="J1110" s="1" t="s">
        <v>784</v>
      </c>
    </row>
    <row r="1111" customFormat="false" ht="12" hidden="false" customHeight="true" outlineLevel="0" collapsed="false">
      <c r="B1111" s="1" t="s">
        <v>782</v>
      </c>
      <c r="C1111" s="1" t="s">
        <v>783</v>
      </c>
      <c r="D1111" s="1" t="s">
        <v>501</v>
      </c>
      <c r="E1111" s="1" t="s">
        <v>513</v>
      </c>
      <c r="F1111" s="1" t="s">
        <v>473</v>
      </c>
      <c r="G1111" s="1" t="s">
        <v>480</v>
      </c>
      <c r="H1111" s="1" t="n">
        <v>195</v>
      </c>
      <c r="I1111" s="1" t="str">
        <f aca="false">B1111&amp;"|"&amp;F1111&amp;"|"&amp;G1111</f>
        <v>Laboratory Buildings|S|Low Cost</v>
      </c>
      <c r="J1111" s="1" t="s">
        <v>784</v>
      </c>
    </row>
    <row r="1112" customFormat="false" ht="12" hidden="false" customHeight="true" outlineLevel="0" collapsed="false">
      <c r="B1112" s="1" t="s">
        <v>785</v>
      </c>
      <c r="C1112" s="1" t="s">
        <v>786</v>
      </c>
      <c r="D1112" s="1" t="s">
        <v>501</v>
      </c>
      <c r="E1112" s="1" t="s">
        <v>517</v>
      </c>
      <c r="F1112" s="1" t="s">
        <v>523</v>
      </c>
      <c r="G1112" s="1" t="s">
        <v>485</v>
      </c>
      <c r="H1112" s="1" t="n">
        <v>387</v>
      </c>
      <c r="I1112" s="1" t="str">
        <f aca="false">B1112&amp;"|"&amp;F1112&amp;"|"&amp;G1112</f>
        <v>Computer (Data) Centers|A-B|Excellent</v>
      </c>
      <c r="J1112" s="1" t="s">
        <v>787</v>
      </c>
    </row>
    <row r="1113" customFormat="false" ht="12" hidden="false" customHeight="true" outlineLevel="0" collapsed="false">
      <c r="B1113" s="1" t="s">
        <v>785</v>
      </c>
      <c r="C1113" s="1" t="s">
        <v>786</v>
      </c>
      <c r="D1113" s="1" t="s">
        <v>501</v>
      </c>
      <c r="E1113" s="1" t="s">
        <v>517</v>
      </c>
      <c r="F1113" s="1" t="s">
        <v>523</v>
      </c>
      <c r="G1113" s="1" t="s">
        <v>483</v>
      </c>
      <c r="H1113" s="1" t="n">
        <v>316</v>
      </c>
      <c r="I1113" s="1" t="str">
        <f aca="false">B1113&amp;"|"&amp;F1113&amp;"|"&amp;G1113</f>
        <v>Computer (Data) Centers|A-B|Good</v>
      </c>
      <c r="J1113" s="1" t="s">
        <v>787</v>
      </c>
    </row>
    <row r="1114" customFormat="false" ht="12" hidden="false" customHeight="true" outlineLevel="0" collapsed="false">
      <c r="B1114" s="1" t="s">
        <v>785</v>
      </c>
      <c r="C1114" s="1" t="s">
        <v>786</v>
      </c>
      <c r="D1114" s="1" t="s">
        <v>501</v>
      </c>
      <c r="E1114" s="1" t="s">
        <v>517</v>
      </c>
      <c r="F1114" s="1" t="s">
        <v>523</v>
      </c>
      <c r="G1114" s="1" t="s">
        <v>279</v>
      </c>
      <c r="H1114" s="1" t="n">
        <v>258</v>
      </c>
      <c r="I1114" s="1" t="str">
        <f aca="false">B1114&amp;"|"&amp;F1114&amp;"|"&amp;G1114</f>
        <v>Computer (Data) Centers|A-B|Average</v>
      </c>
      <c r="J1114" s="1" t="s">
        <v>787</v>
      </c>
    </row>
    <row r="1115" customFormat="false" ht="12" hidden="false" customHeight="true" outlineLevel="0" collapsed="false">
      <c r="B1115" s="1" t="s">
        <v>785</v>
      </c>
      <c r="C1115" s="1" t="s">
        <v>786</v>
      </c>
      <c r="D1115" s="1" t="s">
        <v>501</v>
      </c>
      <c r="E1115" s="1" t="s">
        <v>517</v>
      </c>
      <c r="F1115" s="1" t="s">
        <v>523</v>
      </c>
      <c r="G1115" s="1" t="s">
        <v>480</v>
      </c>
      <c r="H1115" s="1" t="n">
        <v>200</v>
      </c>
      <c r="I1115" s="1" t="str">
        <f aca="false">B1115&amp;"|"&amp;F1115&amp;"|"&amp;G1115</f>
        <v>Computer (Data) Centers|A-B|Low Cost</v>
      </c>
      <c r="J1115" s="1" t="s">
        <v>787</v>
      </c>
    </row>
    <row r="1116" customFormat="false" ht="12" hidden="false" customHeight="true" outlineLevel="0" collapsed="false">
      <c r="B1116" s="1" t="s">
        <v>785</v>
      </c>
      <c r="C1116" s="1" t="s">
        <v>786</v>
      </c>
      <c r="D1116" s="1" t="s">
        <v>501</v>
      </c>
      <c r="E1116" s="1" t="s">
        <v>517</v>
      </c>
      <c r="F1116" s="1" t="s">
        <v>463</v>
      </c>
      <c r="G1116" s="1" t="s">
        <v>483</v>
      </c>
      <c r="H1116" s="1" t="n">
        <v>234</v>
      </c>
      <c r="I1116" s="1" t="str">
        <f aca="false">B1116&amp;"|"&amp;F1116&amp;"|"&amp;G1116</f>
        <v>Computer (Data) Centers|C|Good</v>
      </c>
      <c r="J1116" s="1" t="s">
        <v>787</v>
      </c>
    </row>
    <row r="1117" customFormat="false" ht="12" hidden="false" customHeight="true" outlineLevel="0" collapsed="false">
      <c r="B1117" s="1" t="s">
        <v>785</v>
      </c>
      <c r="C1117" s="1" t="s">
        <v>786</v>
      </c>
      <c r="D1117" s="1" t="s">
        <v>501</v>
      </c>
      <c r="E1117" s="1" t="s">
        <v>517</v>
      </c>
      <c r="F1117" s="1" t="s">
        <v>463</v>
      </c>
      <c r="G1117" s="1" t="s">
        <v>279</v>
      </c>
      <c r="H1117" s="1" t="n">
        <v>192</v>
      </c>
      <c r="I1117" s="1" t="str">
        <f aca="false">B1117&amp;"|"&amp;F1117&amp;"|"&amp;G1117</f>
        <v>Computer (Data) Centers|C|Average</v>
      </c>
      <c r="J1117" s="1" t="s">
        <v>787</v>
      </c>
    </row>
    <row r="1118" customFormat="false" ht="12" hidden="false" customHeight="true" outlineLevel="0" collapsed="false">
      <c r="B1118" s="1" t="s">
        <v>785</v>
      </c>
      <c r="C1118" s="1" t="s">
        <v>786</v>
      </c>
      <c r="D1118" s="1" t="s">
        <v>501</v>
      </c>
      <c r="E1118" s="1" t="s">
        <v>517</v>
      </c>
      <c r="F1118" s="1" t="s">
        <v>463</v>
      </c>
      <c r="G1118" s="1" t="s">
        <v>480</v>
      </c>
      <c r="H1118" s="1" t="n">
        <v>154</v>
      </c>
      <c r="I1118" s="1" t="str">
        <f aca="false">B1118&amp;"|"&amp;F1118&amp;"|"&amp;G1118</f>
        <v>Computer (Data) Centers|C|Low Cost</v>
      </c>
      <c r="J1118" s="1" t="s">
        <v>787</v>
      </c>
    </row>
    <row r="1119" customFormat="false" ht="12" hidden="false" customHeight="true" outlineLevel="0" collapsed="false">
      <c r="B1119" s="1" t="s">
        <v>785</v>
      </c>
      <c r="C1119" s="1" t="s">
        <v>786</v>
      </c>
      <c r="D1119" s="1" t="s">
        <v>501</v>
      </c>
      <c r="E1119" s="1" t="s">
        <v>517</v>
      </c>
      <c r="F1119" s="1" t="s">
        <v>468</v>
      </c>
      <c r="G1119" s="1" t="s">
        <v>279</v>
      </c>
      <c r="H1119" s="1" t="n">
        <v>183</v>
      </c>
      <c r="I1119" s="1" t="str">
        <f aca="false">B1119&amp;"|"&amp;F1119&amp;"|"&amp;G1119</f>
        <v>Computer (Data) Centers|D|Average</v>
      </c>
      <c r="J1119" s="1" t="s">
        <v>787</v>
      </c>
    </row>
    <row r="1120" customFormat="false" ht="12" hidden="false" customHeight="true" outlineLevel="0" collapsed="false">
      <c r="B1120" s="1" t="s">
        <v>785</v>
      </c>
      <c r="C1120" s="1" t="s">
        <v>786</v>
      </c>
      <c r="D1120" s="1" t="s">
        <v>501</v>
      </c>
      <c r="E1120" s="1" t="s">
        <v>517</v>
      </c>
      <c r="F1120" s="1" t="s">
        <v>468</v>
      </c>
      <c r="G1120" s="1" t="s">
        <v>480</v>
      </c>
      <c r="H1120" s="1" t="n">
        <v>147</v>
      </c>
      <c r="I1120" s="1" t="str">
        <f aca="false">B1120&amp;"|"&amp;F1120&amp;"|"&amp;G1120</f>
        <v>Computer (Data) Centers|D|Low Cost</v>
      </c>
      <c r="J1120" s="1" t="s">
        <v>787</v>
      </c>
    </row>
    <row r="1121" customFormat="false" ht="12" hidden="false" customHeight="true" outlineLevel="0" collapsed="false">
      <c r="B1121" s="1" t="s">
        <v>785</v>
      </c>
      <c r="C1121" s="1" t="s">
        <v>786</v>
      </c>
      <c r="D1121" s="1" t="s">
        <v>501</v>
      </c>
      <c r="E1121" s="1" t="s">
        <v>517</v>
      </c>
      <c r="F1121" s="1" t="s">
        <v>473</v>
      </c>
      <c r="G1121" s="1" t="s">
        <v>279</v>
      </c>
      <c r="H1121" s="1" t="n">
        <v>187</v>
      </c>
      <c r="I1121" s="1" t="str">
        <f aca="false">B1121&amp;"|"&amp;F1121&amp;"|"&amp;G1121</f>
        <v>Computer (Data) Centers|S|Average</v>
      </c>
      <c r="J1121" s="1" t="s">
        <v>787</v>
      </c>
    </row>
    <row r="1122" customFormat="false" ht="12" hidden="false" customHeight="true" outlineLevel="0" collapsed="false">
      <c r="B1122" s="1" t="s">
        <v>788</v>
      </c>
      <c r="C1122" s="1" t="s">
        <v>789</v>
      </c>
      <c r="D1122" s="1" t="s">
        <v>501</v>
      </c>
      <c r="E1122" s="1" t="s">
        <v>522</v>
      </c>
      <c r="F1122" s="1" t="s">
        <v>523</v>
      </c>
      <c r="G1122" s="1" t="s">
        <v>483</v>
      </c>
      <c r="H1122" s="1" t="n">
        <v>386</v>
      </c>
      <c r="I1122" s="1" t="str">
        <f aca="false">B1122&amp;"|"&amp;F1122&amp;"|"&amp;G1122</f>
        <v>Broadcasting Facilities|A-B|Good</v>
      </c>
      <c r="J1122" s="1" t="s">
        <v>790</v>
      </c>
    </row>
    <row r="1123" customFormat="false" ht="12" hidden="false" customHeight="true" outlineLevel="0" collapsed="false">
      <c r="B1123" s="1" t="s">
        <v>788</v>
      </c>
      <c r="C1123" s="1" t="s">
        <v>789</v>
      </c>
      <c r="D1123" s="1" t="s">
        <v>501</v>
      </c>
      <c r="E1123" s="1" t="s">
        <v>522</v>
      </c>
      <c r="F1123" s="1" t="s">
        <v>523</v>
      </c>
      <c r="G1123" s="1" t="s">
        <v>279</v>
      </c>
      <c r="H1123" s="1" t="n">
        <v>295</v>
      </c>
      <c r="I1123" s="1" t="str">
        <f aca="false">B1123&amp;"|"&amp;F1123&amp;"|"&amp;G1123</f>
        <v>Broadcasting Facilities|A-B|Average</v>
      </c>
      <c r="J1123" s="1" t="s">
        <v>790</v>
      </c>
    </row>
    <row r="1124" customFormat="false" ht="12" hidden="false" customHeight="true" outlineLevel="0" collapsed="false">
      <c r="B1124" s="1" t="s">
        <v>788</v>
      </c>
      <c r="C1124" s="1" t="s">
        <v>789</v>
      </c>
      <c r="D1124" s="1" t="s">
        <v>501</v>
      </c>
      <c r="E1124" s="1" t="s">
        <v>522</v>
      </c>
      <c r="F1124" s="1" t="s">
        <v>523</v>
      </c>
      <c r="G1124" s="1" t="s">
        <v>480</v>
      </c>
      <c r="H1124" s="1" t="n">
        <v>214</v>
      </c>
      <c r="I1124" s="1" t="str">
        <f aca="false">B1124&amp;"|"&amp;F1124&amp;"|"&amp;G1124</f>
        <v>Broadcasting Facilities|A-B|Low Cost</v>
      </c>
      <c r="J1124" s="1" t="s">
        <v>790</v>
      </c>
    </row>
    <row r="1125" customFormat="false" ht="12" hidden="false" customHeight="true" outlineLevel="0" collapsed="false">
      <c r="B1125" s="1" t="s">
        <v>788</v>
      </c>
      <c r="C1125" s="1" t="s">
        <v>789</v>
      </c>
      <c r="D1125" s="1" t="s">
        <v>501</v>
      </c>
      <c r="E1125" s="1" t="s">
        <v>522</v>
      </c>
      <c r="F1125" s="1" t="s">
        <v>463</v>
      </c>
      <c r="G1125" s="1" t="s">
        <v>485</v>
      </c>
      <c r="H1125" s="1" t="n">
        <v>353</v>
      </c>
      <c r="I1125" s="1" t="str">
        <f aca="false">B1125&amp;"|"&amp;F1125&amp;"|"&amp;G1125</f>
        <v>Broadcasting Facilities|C|Excellent</v>
      </c>
      <c r="J1125" s="1" t="s">
        <v>790</v>
      </c>
    </row>
    <row r="1126" customFormat="false" ht="12" hidden="false" customHeight="true" outlineLevel="0" collapsed="false">
      <c r="B1126" s="1" t="s">
        <v>788</v>
      </c>
      <c r="C1126" s="1" t="s">
        <v>789</v>
      </c>
      <c r="D1126" s="1" t="s">
        <v>501</v>
      </c>
      <c r="E1126" s="1" t="s">
        <v>522</v>
      </c>
      <c r="F1126" s="1" t="s">
        <v>463</v>
      </c>
      <c r="G1126" s="1" t="s">
        <v>483</v>
      </c>
      <c r="H1126" s="1" t="n">
        <v>253</v>
      </c>
      <c r="I1126" s="1" t="str">
        <f aca="false">B1126&amp;"|"&amp;F1126&amp;"|"&amp;G1126</f>
        <v>Broadcasting Facilities|C|Good</v>
      </c>
      <c r="J1126" s="1" t="s">
        <v>790</v>
      </c>
    </row>
    <row r="1127" customFormat="false" ht="12" hidden="false" customHeight="true" outlineLevel="0" collapsed="false">
      <c r="B1127" s="1" t="s">
        <v>788</v>
      </c>
      <c r="C1127" s="1" t="s">
        <v>789</v>
      </c>
      <c r="D1127" s="1" t="s">
        <v>501</v>
      </c>
      <c r="E1127" s="1" t="s">
        <v>522</v>
      </c>
      <c r="F1127" s="1" t="s">
        <v>463</v>
      </c>
      <c r="G1127" s="1" t="s">
        <v>279</v>
      </c>
      <c r="H1127" s="1" t="n">
        <v>187</v>
      </c>
      <c r="I1127" s="1" t="str">
        <f aca="false">B1127&amp;"|"&amp;F1127&amp;"|"&amp;G1127</f>
        <v>Broadcasting Facilities|C|Average</v>
      </c>
      <c r="J1127" s="1" t="s">
        <v>790</v>
      </c>
    </row>
    <row r="1128" customFormat="false" ht="12" hidden="false" customHeight="true" outlineLevel="0" collapsed="false">
      <c r="B1128" s="1" t="s">
        <v>788</v>
      </c>
      <c r="C1128" s="1" t="s">
        <v>789</v>
      </c>
      <c r="D1128" s="1" t="s">
        <v>501</v>
      </c>
      <c r="E1128" s="1" t="s">
        <v>522</v>
      </c>
      <c r="F1128" s="1" t="s">
        <v>463</v>
      </c>
      <c r="G1128" s="1" t="s">
        <v>480</v>
      </c>
      <c r="H1128" s="1" t="n">
        <v>138</v>
      </c>
      <c r="I1128" s="1" t="str">
        <f aca="false">B1128&amp;"|"&amp;F1128&amp;"|"&amp;G1128</f>
        <v>Broadcasting Facilities|C|Low Cost</v>
      </c>
      <c r="J1128" s="1" t="s">
        <v>790</v>
      </c>
    </row>
    <row r="1129" customFormat="false" ht="12" hidden="false" customHeight="true" outlineLevel="0" collapsed="false">
      <c r="B1129" s="1" t="s">
        <v>788</v>
      </c>
      <c r="C1129" s="1" t="s">
        <v>789</v>
      </c>
      <c r="D1129" s="1" t="s">
        <v>501</v>
      </c>
      <c r="E1129" s="1" t="s">
        <v>522</v>
      </c>
      <c r="F1129" s="1" t="s">
        <v>468</v>
      </c>
      <c r="G1129" s="1" t="s">
        <v>485</v>
      </c>
      <c r="H1129" s="1" t="n">
        <v>340</v>
      </c>
      <c r="I1129" s="1" t="str">
        <f aca="false">B1129&amp;"|"&amp;F1129&amp;"|"&amp;G1129</f>
        <v>Broadcasting Facilities|D|Excellent</v>
      </c>
      <c r="J1129" s="1" t="s">
        <v>790</v>
      </c>
    </row>
    <row r="1130" customFormat="false" ht="12" hidden="false" customHeight="true" outlineLevel="0" collapsed="false">
      <c r="B1130" s="1" t="s">
        <v>788</v>
      </c>
      <c r="C1130" s="1" t="s">
        <v>789</v>
      </c>
      <c r="D1130" s="1" t="s">
        <v>501</v>
      </c>
      <c r="E1130" s="1" t="s">
        <v>522</v>
      </c>
      <c r="F1130" s="1" t="s">
        <v>468</v>
      </c>
      <c r="G1130" s="1" t="s">
        <v>483</v>
      </c>
      <c r="H1130" s="1" t="n">
        <v>243</v>
      </c>
      <c r="I1130" s="1" t="str">
        <f aca="false">B1130&amp;"|"&amp;F1130&amp;"|"&amp;G1130</f>
        <v>Broadcasting Facilities|D|Good</v>
      </c>
      <c r="J1130" s="1" t="s">
        <v>790</v>
      </c>
    </row>
    <row r="1131" customFormat="false" ht="12" hidden="false" customHeight="true" outlineLevel="0" collapsed="false">
      <c r="B1131" s="1" t="s">
        <v>788</v>
      </c>
      <c r="C1131" s="1" t="s">
        <v>789</v>
      </c>
      <c r="D1131" s="1" t="s">
        <v>501</v>
      </c>
      <c r="E1131" s="1" t="s">
        <v>522</v>
      </c>
      <c r="F1131" s="1" t="s">
        <v>468</v>
      </c>
      <c r="G1131" s="1" t="s">
        <v>279</v>
      </c>
      <c r="H1131" s="1" t="n">
        <v>179</v>
      </c>
      <c r="I1131" s="1" t="str">
        <f aca="false">B1131&amp;"|"&amp;F1131&amp;"|"&amp;G1131</f>
        <v>Broadcasting Facilities|D|Average</v>
      </c>
      <c r="J1131" s="1" t="s">
        <v>790</v>
      </c>
    </row>
    <row r="1132" customFormat="false" ht="12" hidden="false" customHeight="true" outlineLevel="0" collapsed="false">
      <c r="B1132" s="1" t="s">
        <v>788</v>
      </c>
      <c r="C1132" s="1" t="s">
        <v>789</v>
      </c>
      <c r="D1132" s="1" t="s">
        <v>501</v>
      </c>
      <c r="E1132" s="1" t="s">
        <v>522</v>
      </c>
      <c r="F1132" s="1" t="s">
        <v>468</v>
      </c>
      <c r="G1132" s="1" t="s">
        <v>480</v>
      </c>
      <c r="H1132" s="1" t="n">
        <v>132</v>
      </c>
      <c r="I1132" s="1" t="str">
        <f aca="false">B1132&amp;"|"&amp;F1132&amp;"|"&amp;G1132</f>
        <v>Broadcasting Facilities|D|Low Cost</v>
      </c>
      <c r="J1132" s="1" t="s">
        <v>790</v>
      </c>
    </row>
    <row r="1133" customFormat="false" ht="12" hidden="false" customHeight="true" outlineLevel="0" collapsed="false">
      <c r="B1133" s="1" t="s">
        <v>788</v>
      </c>
      <c r="C1133" s="1" t="s">
        <v>789</v>
      </c>
      <c r="D1133" s="1" t="s">
        <v>501</v>
      </c>
      <c r="E1133" s="1" t="s">
        <v>522</v>
      </c>
      <c r="F1133" s="1" t="s">
        <v>566</v>
      </c>
      <c r="G1133" s="1" t="s">
        <v>279</v>
      </c>
      <c r="H1133" s="1" t="n">
        <v>174</v>
      </c>
      <c r="I1133" s="1" t="str">
        <f aca="false">B1133&amp;"|"&amp;F1133&amp;"|"&amp;G1133</f>
        <v>Broadcasting Facilities|DPOLE|Average</v>
      </c>
      <c r="J1133" s="1" t="s">
        <v>790</v>
      </c>
    </row>
    <row r="1134" customFormat="false" ht="12" hidden="false" customHeight="true" outlineLevel="0" collapsed="false">
      <c r="B1134" s="1" t="s">
        <v>788</v>
      </c>
      <c r="C1134" s="1" t="s">
        <v>789</v>
      </c>
      <c r="D1134" s="1" t="s">
        <v>501</v>
      </c>
      <c r="E1134" s="1" t="s">
        <v>522</v>
      </c>
      <c r="F1134" s="1" t="s">
        <v>566</v>
      </c>
      <c r="G1134" s="1" t="s">
        <v>480</v>
      </c>
      <c r="H1134" s="1" t="n">
        <v>128</v>
      </c>
      <c r="I1134" s="1" t="str">
        <f aca="false">B1134&amp;"|"&amp;F1134&amp;"|"&amp;G1134</f>
        <v>Broadcasting Facilities|DPOLE|Low Cost</v>
      </c>
      <c r="J1134" s="1" t="s">
        <v>790</v>
      </c>
    </row>
    <row r="1135" customFormat="false" ht="12" hidden="false" customHeight="true" outlineLevel="0" collapsed="false">
      <c r="B1135" s="1" t="s">
        <v>788</v>
      </c>
      <c r="C1135" s="1" t="s">
        <v>789</v>
      </c>
      <c r="D1135" s="1" t="s">
        <v>501</v>
      </c>
      <c r="E1135" s="1" t="s">
        <v>522</v>
      </c>
      <c r="F1135" s="1" t="s">
        <v>473</v>
      </c>
      <c r="G1135" s="1" t="s">
        <v>483</v>
      </c>
      <c r="H1135" s="1" t="n">
        <v>247</v>
      </c>
      <c r="I1135" s="1" t="str">
        <f aca="false">B1135&amp;"|"&amp;F1135&amp;"|"&amp;G1135</f>
        <v>Broadcasting Facilities|S|Good</v>
      </c>
      <c r="J1135" s="1" t="s">
        <v>790</v>
      </c>
    </row>
    <row r="1136" customFormat="false" ht="12" hidden="false" customHeight="true" outlineLevel="0" collapsed="false">
      <c r="B1136" s="1" t="s">
        <v>788</v>
      </c>
      <c r="C1136" s="1" t="s">
        <v>789</v>
      </c>
      <c r="D1136" s="1" t="s">
        <v>501</v>
      </c>
      <c r="E1136" s="1" t="s">
        <v>522</v>
      </c>
      <c r="F1136" s="1" t="s">
        <v>473</v>
      </c>
      <c r="G1136" s="1" t="s">
        <v>279</v>
      </c>
      <c r="H1136" s="1" t="n">
        <v>181</v>
      </c>
      <c r="I1136" s="1" t="str">
        <f aca="false">B1136&amp;"|"&amp;F1136&amp;"|"&amp;G1136</f>
        <v>Broadcasting Facilities|S|Average</v>
      </c>
      <c r="J1136" s="1" t="s">
        <v>790</v>
      </c>
    </row>
    <row r="1137" customFormat="false" ht="12" hidden="false" customHeight="true" outlineLevel="0" collapsed="false">
      <c r="B1137" s="1" t="s">
        <v>788</v>
      </c>
      <c r="C1137" s="1" t="s">
        <v>789</v>
      </c>
      <c r="D1137" s="1" t="s">
        <v>501</v>
      </c>
      <c r="E1137" s="1" t="s">
        <v>522</v>
      </c>
      <c r="F1137" s="1" t="s">
        <v>473</v>
      </c>
      <c r="G1137" s="1" t="s">
        <v>480</v>
      </c>
      <c r="H1137" s="1" t="n">
        <v>133</v>
      </c>
      <c r="I1137" s="1" t="str">
        <f aca="false">B1137&amp;"|"&amp;F1137&amp;"|"&amp;G1137</f>
        <v>Broadcasting Facilities|S|Low Cost</v>
      </c>
      <c r="J1137" s="1" t="s">
        <v>790</v>
      </c>
    </row>
    <row r="1138" customFormat="false" ht="12" hidden="false" customHeight="true" outlineLevel="0" collapsed="false">
      <c r="B1138" s="1" t="s">
        <v>791</v>
      </c>
      <c r="C1138" s="1" t="s">
        <v>792</v>
      </c>
      <c r="D1138" s="1" t="s">
        <v>501</v>
      </c>
      <c r="E1138" s="1" t="s">
        <v>527</v>
      </c>
      <c r="F1138" s="1" t="s">
        <v>523</v>
      </c>
      <c r="G1138" s="1" t="s">
        <v>485</v>
      </c>
      <c r="H1138" s="1" t="n">
        <v>650</v>
      </c>
      <c r="I1138" s="1" t="str">
        <f aca="false">B1138&amp;"|"&amp;F1138&amp;"|"&amp;G1138</f>
        <v>Passenger Terminals|A-B|Excellent</v>
      </c>
      <c r="J1138" s="1" t="s">
        <v>793</v>
      </c>
    </row>
    <row r="1139" customFormat="false" ht="12" hidden="false" customHeight="true" outlineLevel="0" collapsed="false">
      <c r="B1139" s="1" t="s">
        <v>791</v>
      </c>
      <c r="C1139" s="1" t="s">
        <v>792</v>
      </c>
      <c r="D1139" s="1" t="s">
        <v>501</v>
      </c>
      <c r="E1139" s="1" t="s">
        <v>527</v>
      </c>
      <c r="F1139" s="1" t="s">
        <v>523</v>
      </c>
      <c r="G1139" s="1" t="s">
        <v>483</v>
      </c>
      <c r="H1139" s="1" t="n">
        <v>458</v>
      </c>
      <c r="I1139" s="1" t="str">
        <f aca="false">B1139&amp;"|"&amp;F1139&amp;"|"&amp;G1139</f>
        <v>Passenger Terminals|A-B|Good</v>
      </c>
      <c r="J1139" s="1" t="s">
        <v>793</v>
      </c>
    </row>
    <row r="1140" customFormat="false" ht="12" hidden="false" customHeight="true" outlineLevel="0" collapsed="false">
      <c r="B1140" s="1" t="s">
        <v>791</v>
      </c>
      <c r="C1140" s="1" t="s">
        <v>792</v>
      </c>
      <c r="D1140" s="1" t="s">
        <v>501</v>
      </c>
      <c r="E1140" s="1" t="s">
        <v>527</v>
      </c>
      <c r="F1140" s="1" t="s">
        <v>523</v>
      </c>
      <c r="G1140" s="1" t="s">
        <v>279</v>
      </c>
      <c r="H1140" s="1" t="n">
        <v>323</v>
      </c>
      <c r="I1140" s="1" t="str">
        <f aca="false">B1140&amp;"|"&amp;F1140&amp;"|"&amp;G1140</f>
        <v>Passenger Terminals|A-B|Average</v>
      </c>
      <c r="J1140" s="1" t="s">
        <v>793</v>
      </c>
    </row>
    <row r="1141" customFormat="false" ht="12" hidden="false" customHeight="true" outlineLevel="0" collapsed="false">
      <c r="B1141" s="1" t="s">
        <v>791</v>
      </c>
      <c r="C1141" s="1" t="s">
        <v>792</v>
      </c>
      <c r="D1141" s="1" t="s">
        <v>501</v>
      </c>
      <c r="E1141" s="1" t="s">
        <v>527</v>
      </c>
      <c r="F1141" s="1" t="s">
        <v>523</v>
      </c>
      <c r="G1141" s="1" t="s">
        <v>480</v>
      </c>
      <c r="H1141" s="1" t="n">
        <v>227</v>
      </c>
      <c r="I1141" s="1" t="str">
        <f aca="false">B1141&amp;"|"&amp;F1141&amp;"|"&amp;G1141</f>
        <v>Passenger Terminals|A-B|Low Cost</v>
      </c>
      <c r="J1141" s="1" t="s">
        <v>793</v>
      </c>
    </row>
    <row r="1142" customFormat="false" ht="12" hidden="false" customHeight="true" outlineLevel="0" collapsed="false">
      <c r="B1142" s="1" t="s">
        <v>791</v>
      </c>
      <c r="C1142" s="1" t="s">
        <v>792</v>
      </c>
      <c r="D1142" s="1" t="s">
        <v>501</v>
      </c>
      <c r="E1142" s="1" t="s">
        <v>527</v>
      </c>
      <c r="F1142" s="1" t="s">
        <v>463</v>
      </c>
      <c r="G1142" s="1" t="s">
        <v>485</v>
      </c>
      <c r="H1142" s="1" t="n">
        <v>440</v>
      </c>
      <c r="I1142" s="1" t="str">
        <f aca="false">B1142&amp;"|"&amp;F1142&amp;"|"&amp;G1142</f>
        <v>Passenger Terminals|C|Excellent</v>
      </c>
      <c r="J1142" s="1" t="s">
        <v>793</v>
      </c>
    </row>
    <row r="1143" customFormat="false" ht="12" hidden="false" customHeight="true" outlineLevel="0" collapsed="false">
      <c r="B1143" s="1" t="s">
        <v>791</v>
      </c>
      <c r="C1143" s="1" t="s">
        <v>792</v>
      </c>
      <c r="D1143" s="1" t="s">
        <v>501</v>
      </c>
      <c r="E1143" s="1" t="s">
        <v>527</v>
      </c>
      <c r="F1143" s="1" t="s">
        <v>463</v>
      </c>
      <c r="G1143" s="1" t="s">
        <v>503</v>
      </c>
      <c r="H1143" s="1" t="n">
        <v>345</v>
      </c>
      <c r="I1143" s="1" t="str">
        <f aca="false">B1143&amp;"|"&amp;F1143&amp;"|"&amp;G1143</f>
        <v>Passenger Terminals|C|Very Good</v>
      </c>
      <c r="J1143" s="1" t="s">
        <v>793</v>
      </c>
    </row>
    <row r="1144" customFormat="false" ht="12" hidden="false" customHeight="true" outlineLevel="0" collapsed="false">
      <c r="B1144" s="1" t="s">
        <v>791</v>
      </c>
      <c r="C1144" s="1" t="s">
        <v>792</v>
      </c>
      <c r="D1144" s="1" t="s">
        <v>501</v>
      </c>
      <c r="E1144" s="1" t="s">
        <v>527</v>
      </c>
      <c r="F1144" s="1" t="s">
        <v>463</v>
      </c>
      <c r="G1144" s="1" t="s">
        <v>483</v>
      </c>
      <c r="H1144" s="1" t="n">
        <v>262</v>
      </c>
      <c r="I1144" s="1" t="str">
        <f aca="false">B1144&amp;"|"&amp;F1144&amp;"|"&amp;G1144</f>
        <v>Passenger Terminals|C|Good</v>
      </c>
      <c r="J1144" s="1" t="s">
        <v>793</v>
      </c>
    </row>
    <row r="1145" customFormat="false" ht="12" hidden="false" customHeight="true" outlineLevel="0" collapsed="false">
      <c r="B1145" s="1" t="s">
        <v>791</v>
      </c>
      <c r="C1145" s="1" t="s">
        <v>792</v>
      </c>
      <c r="D1145" s="1" t="s">
        <v>501</v>
      </c>
      <c r="E1145" s="1" t="s">
        <v>527</v>
      </c>
      <c r="F1145" s="1" t="s">
        <v>463</v>
      </c>
      <c r="G1145" s="1" t="s">
        <v>279</v>
      </c>
      <c r="H1145" s="1" t="n">
        <v>161</v>
      </c>
      <c r="I1145" s="1" t="str">
        <f aca="false">B1145&amp;"|"&amp;F1145&amp;"|"&amp;G1145</f>
        <v>Passenger Terminals|C|Average</v>
      </c>
      <c r="J1145" s="1" t="s">
        <v>793</v>
      </c>
    </row>
    <row r="1146" customFormat="false" ht="12" hidden="false" customHeight="true" outlineLevel="0" collapsed="false">
      <c r="B1146" s="1" t="s">
        <v>791</v>
      </c>
      <c r="C1146" s="1" t="s">
        <v>792</v>
      </c>
      <c r="D1146" s="1" t="s">
        <v>501</v>
      </c>
      <c r="E1146" s="1" t="s">
        <v>527</v>
      </c>
      <c r="F1146" s="1" t="s">
        <v>463</v>
      </c>
      <c r="G1146" s="1" t="s">
        <v>555</v>
      </c>
      <c r="H1146" s="1" t="n">
        <v>128</v>
      </c>
      <c r="I1146" s="1" t="str">
        <f aca="false">B1146&amp;"|"&amp;F1146&amp;"|"&amp;G1146</f>
        <v>Passenger Terminals|C|Fair</v>
      </c>
      <c r="J1146" s="1" t="s">
        <v>793</v>
      </c>
    </row>
    <row r="1147" customFormat="false" ht="12" hidden="false" customHeight="true" outlineLevel="0" collapsed="false">
      <c r="B1147" s="1" t="s">
        <v>791</v>
      </c>
      <c r="C1147" s="1" t="s">
        <v>792</v>
      </c>
      <c r="D1147" s="1" t="s">
        <v>501</v>
      </c>
      <c r="E1147" s="1" t="s">
        <v>527</v>
      </c>
      <c r="F1147" s="1" t="s">
        <v>463</v>
      </c>
      <c r="G1147" s="1" t="s">
        <v>480</v>
      </c>
      <c r="H1147" s="1" t="n">
        <v>102</v>
      </c>
      <c r="I1147" s="1" t="str">
        <f aca="false">B1147&amp;"|"&amp;F1147&amp;"|"&amp;G1147</f>
        <v>Passenger Terminals|C|Low Cost</v>
      </c>
      <c r="J1147" s="1" t="s">
        <v>793</v>
      </c>
    </row>
    <row r="1148" customFormat="false" ht="12" hidden="false" customHeight="true" outlineLevel="0" collapsed="false">
      <c r="B1148" s="1" t="s">
        <v>791</v>
      </c>
      <c r="C1148" s="1" t="s">
        <v>792</v>
      </c>
      <c r="D1148" s="1" t="s">
        <v>501</v>
      </c>
      <c r="E1148" s="1" t="s">
        <v>527</v>
      </c>
      <c r="F1148" s="1" t="s">
        <v>468</v>
      </c>
      <c r="G1148" s="1" t="s">
        <v>503</v>
      </c>
      <c r="H1148" s="1" t="n">
        <v>325</v>
      </c>
      <c r="I1148" s="1" t="str">
        <f aca="false">B1148&amp;"|"&amp;F1148&amp;"|"&amp;G1148</f>
        <v>Passenger Terminals|D|Very Good</v>
      </c>
      <c r="J1148" s="1" t="s">
        <v>793</v>
      </c>
    </row>
    <row r="1149" customFormat="false" ht="12" hidden="false" customHeight="true" outlineLevel="0" collapsed="false">
      <c r="B1149" s="1" t="s">
        <v>791</v>
      </c>
      <c r="C1149" s="1" t="s">
        <v>792</v>
      </c>
      <c r="D1149" s="1" t="s">
        <v>501</v>
      </c>
      <c r="E1149" s="1" t="s">
        <v>527</v>
      </c>
      <c r="F1149" s="1" t="s">
        <v>468</v>
      </c>
      <c r="G1149" s="1" t="s">
        <v>483</v>
      </c>
      <c r="H1149" s="1" t="n">
        <v>245</v>
      </c>
      <c r="I1149" s="1" t="str">
        <f aca="false">B1149&amp;"|"&amp;F1149&amp;"|"&amp;G1149</f>
        <v>Passenger Terminals|D|Good</v>
      </c>
      <c r="J1149" s="1" t="s">
        <v>793</v>
      </c>
    </row>
    <row r="1150" customFormat="false" ht="12" hidden="false" customHeight="true" outlineLevel="0" collapsed="false">
      <c r="B1150" s="1" t="s">
        <v>791</v>
      </c>
      <c r="C1150" s="1" t="s">
        <v>792</v>
      </c>
      <c r="D1150" s="1" t="s">
        <v>501</v>
      </c>
      <c r="E1150" s="1" t="s">
        <v>527</v>
      </c>
      <c r="F1150" s="1" t="s">
        <v>468</v>
      </c>
      <c r="G1150" s="1" t="s">
        <v>279</v>
      </c>
      <c r="H1150" s="1" t="n">
        <v>150</v>
      </c>
      <c r="I1150" s="1" t="str">
        <f aca="false">B1150&amp;"|"&amp;F1150&amp;"|"&amp;G1150</f>
        <v>Passenger Terminals|D|Average</v>
      </c>
      <c r="J1150" s="1" t="s">
        <v>793</v>
      </c>
    </row>
    <row r="1151" customFormat="false" ht="12" hidden="false" customHeight="true" outlineLevel="0" collapsed="false">
      <c r="B1151" s="1" t="s">
        <v>791</v>
      </c>
      <c r="C1151" s="1" t="s">
        <v>792</v>
      </c>
      <c r="D1151" s="1" t="s">
        <v>501</v>
      </c>
      <c r="E1151" s="1" t="s">
        <v>527</v>
      </c>
      <c r="F1151" s="1" t="s">
        <v>468</v>
      </c>
      <c r="G1151" s="1" t="s">
        <v>555</v>
      </c>
      <c r="H1151" s="1" t="n">
        <v>119</v>
      </c>
      <c r="I1151" s="1" t="str">
        <f aca="false">B1151&amp;"|"&amp;F1151&amp;"|"&amp;G1151</f>
        <v>Passenger Terminals|D|Fair</v>
      </c>
      <c r="J1151" s="1" t="s">
        <v>793</v>
      </c>
    </row>
    <row r="1152" customFormat="false" ht="12" hidden="false" customHeight="true" outlineLevel="0" collapsed="false">
      <c r="B1152" s="1" t="s">
        <v>791</v>
      </c>
      <c r="C1152" s="1" t="s">
        <v>792</v>
      </c>
      <c r="D1152" s="1" t="s">
        <v>501</v>
      </c>
      <c r="E1152" s="1" t="s">
        <v>527</v>
      </c>
      <c r="F1152" s="1" t="s">
        <v>468</v>
      </c>
      <c r="G1152" s="1" t="s">
        <v>480</v>
      </c>
      <c r="H1152" s="1" t="n">
        <v>95</v>
      </c>
      <c r="I1152" s="1" t="str">
        <f aca="false">B1152&amp;"|"&amp;F1152&amp;"|"&amp;G1152</f>
        <v>Passenger Terminals|D|Low Cost</v>
      </c>
      <c r="J1152" s="1" t="s">
        <v>793</v>
      </c>
    </row>
    <row r="1153" customFormat="false" ht="12" hidden="false" customHeight="true" outlineLevel="0" collapsed="false">
      <c r="B1153" s="1" t="s">
        <v>791</v>
      </c>
      <c r="C1153" s="1" t="s">
        <v>792</v>
      </c>
      <c r="D1153" s="1" t="s">
        <v>501</v>
      </c>
      <c r="E1153" s="1" t="s">
        <v>527</v>
      </c>
      <c r="F1153" s="1" t="s">
        <v>566</v>
      </c>
      <c r="G1153" s="1" t="s">
        <v>555</v>
      </c>
      <c r="H1153" s="1" t="n">
        <v>114</v>
      </c>
      <c r="I1153" s="1" t="str">
        <f aca="false">B1153&amp;"|"&amp;F1153&amp;"|"&amp;G1153</f>
        <v>Passenger Terminals|DPOLE|Fair</v>
      </c>
      <c r="J1153" s="1" t="s">
        <v>793</v>
      </c>
    </row>
    <row r="1154" customFormat="false" ht="12" hidden="false" customHeight="true" outlineLevel="0" collapsed="false">
      <c r="B1154" s="1" t="s">
        <v>791</v>
      </c>
      <c r="C1154" s="1" t="s">
        <v>792</v>
      </c>
      <c r="D1154" s="1" t="s">
        <v>501</v>
      </c>
      <c r="E1154" s="1" t="s">
        <v>527</v>
      </c>
      <c r="F1154" s="1" t="s">
        <v>566</v>
      </c>
      <c r="G1154" s="1" t="s">
        <v>480</v>
      </c>
      <c r="H1154" s="1" t="n">
        <v>90.5</v>
      </c>
      <c r="I1154" s="1" t="str">
        <f aca="false">B1154&amp;"|"&amp;F1154&amp;"|"&amp;G1154</f>
        <v>Passenger Terminals|DPOLE|Low Cost</v>
      </c>
      <c r="J1154" s="1" t="s">
        <v>793</v>
      </c>
    </row>
    <row r="1155" customFormat="false" ht="12" hidden="false" customHeight="true" outlineLevel="0" collapsed="false">
      <c r="B1155" s="1" t="s">
        <v>791</v>
      </c>
      <c r="C1155" s="1" t="s">
        <v>792</v>
      </c>
      <c r="D1155" s="1" t="s">
        <v>501</v>
      </c>
      <c r="E1155" s="1" t="s">
        <v>527</v>
      </c>
      <c r="F1155" s="1" t="s">
        <v>473</v>
      </c>
      <c r="G1155" s="1" t="s">
        <v>279</v>
      </c>
      <c r="H1155" s="1" t="n">
        <v>150</v>
      </c>
      <c r="I1155" s="1" t="str">
        <f aca="false">B1155&amp;"|"&amp;F1155&amp;"|"&amp;G1155</f>
        <v>Passenger Terminals|S|Average</v>
      </c>
      <c r="J1155" s="1" t="s">
        <v>793</v>
      </c>
    </row>
    <row r="1156" customFormat="false" ht="12" hidden="false" customHeight="true" outlineLevel="0" collapsed="false">
      <c r="B1156" s="1" t="s">
        <v>791</v>
      </c>
      <c r="C1156" s="1" t="s">
        <v>792</v>
      </c>
      <c r="D1156" s="1" t="s">
        <v>501</v>
      </c>
      <c r="E1156" s="1" t="s">
        <v>527</v>
      </c>
      <c r="F1156" s="1" t="s">
        <v>473</v>
      </c>
      <c r="G1156" s="1" t="s">
        <v>555</v>
      </c>
      <c r="H1156" s="1" t="n">
        <v>119</v>
      </c>
      <c r="I1156" s="1" t="str">
        <f aca="false">B1156&amp;"|"&amp;F1156&amp;"|"&amp;G1156</f>
        <v>Passenger Terminals|S|Fair</v>
      </c>
      <c r="J1156" s="1" t="s">
        <v>793</v>
      </c>
    </row>
    <row r="1157" customFormat="false" ht="12" hidden="false" customHeight="true" outlineLevel="0" collapsed="false">
      <c r="B1157" s="1" t="s">
        <v>791</v>
      </c>
      <c r="C1157" s="1" t="s">
        <v>792</v>
      </c>
      <c r="D1157" s="1" t="s">
        <v>501</v>
      </c>
      <c r="E1157" s="1" t="s">
        <v>527</v>
      </c>
      <c r="F1157" s="1" t="s">
        <v>473</v>
      </c>
      <c r="G1157" s="1" t="s">
        <v>480</v>
      </c>
      <c r="H1157" s="1" t="n">
        <v>94.5</v>
      </c>
      <c r="I1157" s="1" t="str">
        <f aca="false">B1157&amp;"|"&amp;F1157&amp;"|"&amp;G1157</f>
        <v>Passenger Terminals|S|Low Cost</v>
      </c>
      <c r="J1157" s="1" t="s">
        <v>793</v>
      </c>
    </row>
    <row r="1158" customFormat="false" ht="12" hidden="false" customHeight="true" outlineLevel="0" collapsed="false">
      <c r="B1158" s="1" t="s">
        <v>794</v>
      </c>
      <c r="C1158" s="1" t="s">
        <v>795</v>
      </c>
      <c r="D1158" s="1" t="s">
        <v>501</v>
      </c>
      <c r="E1158" s="1" t="s">
        <v>529</v>
      </c>
      <c r="F1158" s="1" t="s">
        <v>523</v>
      </c>
      <c r="G1158" s="1" t="s">
        <v>483</v>
      </c>
      <c r="H1158" s="1" t="n">
        <v>374</v>
      </c>
      <c r="I1158" s="1" t="str">
        <f aca="false">B1158&amp;"|"&amp;F1158&amp;"|"&amp;G1158</f>
        <v>Main Post Offices|A-B|Good</v>
      </c>
      <c r="J1158" s="1" t="s">
        <v>796</v>
      </c>
    </row>
    <row r="1159" customFormat="false" ht="12" hidden="false" customHeight="true" outlineLevel="0" collapsed="false">
      <c r="B1159" s="1" t="s">
        <v>794</v>
      </c>
      <c r="C1159" s="1" t="s">
        <v>795</v>
      </c>
      <c r="D1159" s="1" t="s">
        <v>501</v>
      </c>
      <c r="E1159" s="1" t="s">
        <v>529</v>
      </c>
      <c r="F1159" s="1" t="s">
        <v>523</v>
      </c>
      <c r="G1159" s="1" t="s">
        <v>279</v>
      </c>
      <c r="H1159" s="1" t="n">
        <v>282</v>
      </c>
      <c r="I1159" s="1" t="str">
        <f aca="false">B1159&amp;"|"&amp;F1159&amp;"|"&amp;G1159</f>
        <v>Main Post Offices|A-B|Average</v>
      </c>
      <c r="J1159" s="1" t="s">
        <v>796</v>
      </c>
    </row>
    <row r="1160" customFormat="false" ht="12" hidden="false" customHeight="true" outlineLevel="0" collapsed="false">
      <c r="B1160" s="1" t="s">
        <v>794</v>
      </c>
      <c r="C1160" s="1" t="s">
        <v>795</v>
      </c>
      <c r="D1160" s="1" t="s">
        <v>501</v>
      </c>
      <c r="E1160" s="1" t="s">
        <v>529</v>
      </c>
      <c r="F1160" s="1" t="s">
        <v>463</v>
      </c>
      <c r="G1160" s="1" t="s">
        <v>485</v>
      </c>
      <c r="H1160" s="1" t="n">
        <v>344</v>
      </c>
      <c r="I1160" s="1" t="str">
        <f aca="false">B1160&amp;"|"&amp;F1160&amp;"|"&amp;G1160</f>
        <v>Main Post Offices|C|Excellent</v>
      </c>
      <c r="J1160" s="1" t="s">
        <v>796</v>
      </c>
    </row>
    <row r="1161" customFormat="false" ht="12" hidden="false" customHeight="true" outlineLevel="0" collapsed="false">
      <c r="B1161" s="1" t="s">
        <v>794</v>
      </c>
      <c r="C1161" s="1" t="s">
        <v>795</v>
      </c>
      <c r="D1161" s="1" t="s">
        <v>501</v>
      </c>
      <c r="E1161" s="1" t="s">
        <v>529</v>
      </c>
      <c r="F1161" s="1" t="s">
        <v>463</v>
      </c>
      <c r="G1161" s="1" t="s">
        <v>483</v>
      </c>
      <c r="H1161" s="1" t="n">
        <v>253</v>
      </c>
      <c r="I1161" s="1" t="str">
        <f aca="false">B1161&amp;"|"&amp;F1161&amp;"|"&amp;G1161</f>
        <v>Main Post Offices|C|Good</v>
      </c>
      <c r="J1161" s="1" t="s">
        <v>796</v>
      </c>
    </row>
    <row r="1162" customFormat="false" ht="12" hidden="false" customHeight="true" outlineLevel="0" collapsed="false">
      <c r="B1162" s="1" t="s">
        <v>794</v>
      </c>
      <c r="C1162" s="1" t="s">
        <v>795</v>
      </c>
      <c r="D1162" s="1" t="s">
        <v>501</v>
      </c>
      <c r="E1162" s="1" t="s">
        <v>529</v>
      </c>
      <c r="F1162" s="1" t="s">
        <v>463</v>
      </c>
      <c r="G1162" s="1" t="s">
        <v>279</v>
      </c>
      <c r="H1162" s="1" t="n">
        <v>192</v>
      </c>
      <c r="I1162" s="1" t="str">
        <f aca="false">B1162&amp;"|"&amp;F1162&amp;"|"&amp;G1162</f>
        <v>Main Post Offices|C|Average</v>
      </c>
      <c r="J1162" s="1" t="s">
        <v>796</v>
      </c>
    </row>
    <row r="1163" customFormat="false" ht="12" hidden="false" customHeight="true" outlineLevel="0" collapsed="false">
      <c r="B1163" s="1" t="s">
        <v>794</v>
      </c>
      <c r="C1163" s="1" t="s">
        <v>795</v>
      </c>
      <c r="D1163" s="1" t="s">
        <v>501</v>
      </c>
      <c r="E1163" s="1" t="s">
        <v>529</v>
      </c>
      <c r="F1163" s="1" t="s">
        <v>508</v>
      </c>
      <c r="G1163" s="1" t="s">
        <v>485</v>
      </c>
      <c r="H1163" s="1" t="n">
        <v>319</v>
      </c>
      <c r="I1163" s="1" t="str">
        <f aca="false">B1163&amp;"|"&amp;F1163&amp;"|"&amp;G1163</f>
        <v>Main Post Offices|DMASVEN|Excellent</v>
      </c>
      <c r="J1163" s="1" t="s">
        <v>796</v>
      </c>
    </row>
    <row r="1164" customFormat="false" ht="12" hidden="false" customHeight="true" outlineLevel="0" collapsed="false">
      <c r="B1164" s="1" t="s">
        <v>794</v>
      </c>
      <c r="C1164" s="1" t="s">
        <v>795</v>
      </c>
      <c r="D1164" s="1" t="s">
        <v>501</v>
      </c>
      <c r="E1164" s="1" t="s">
        <v>529</v>
      </c>
      <c r="F1164" s="1" t="s">
        <v>508</v>
      </c>
      <c r="G1164" s="1" t="s">
        <v>483</v>
      </c>
      <c r="H1164" s="1" t="n">
        <v>244</v>
      </c>
      <c r="I1164" s="1" t="str">
        <f aca="false">B1164&amp;"|"&amp;F1164&amp;"|"&amp;G1164</f>
        <v>Main Post Offices|DMASVEN|Good</v>
      </c>
      <c r="J1164" s="1" t="s">
        <v>796</v>
      </c>
    </row>
    <row r="1165" customFormat="false" ht="12" hidden="false" customHeight="true" outlineLevel="0" collapsed="false">
      <c r="B1165" s="1" t="s">
        <v>794</v>
      </c>
      <c r="C1165" s="1" t="s">
        <v>795</v>
      </c>
      <c r="D1165" s="1" t="s">
        <v>501</v>
      </c>
      <c r="E1165" s="1" t="s">
        <v>529</v>
      </c>
      <c r="F1165" s="1" t="s">
        <v>508</v>
      </c>
      <c r="G1165" s="1" t="s">
        <v>279</v>
      </c>
      <c r="H1165" s="1" t="n">
        <v>185</v>
      </c>
      <c r="I1165" s="1" t="str">
        <f aca="false">B1165&amp;"|"&amp;F1165&amp;"|"&amp;G1165</f>
        <v>Main Post Offices|DMASVEN|Average</v>
      </c>
      <c r="J1165" s="1" t="s">
        <v>796</v>
      </c>
    </row>
    <row r="1166" customFormat="false" ht="12" hidden="false" customHeight="true" outlineLevel="0" collapsed="false">
      <c r="B1166" s="1" t="s">
        <v>794</v>
      </c>
      <c r="C1166" s="1" t="s">
        <v>795</v>
      </c>
      <c r="D1166" s="1" t="s">
        <v>501</v>
      </c>
      <c r="E1166" s="1" t="s">
        <v>529</v>
      </c>
      <c r="F1166" s="1" t="s">
        <v>468</v>
      </c>
      <c r="G1166" s="1" t="s">
        <v>503</v>
      </c>
      <c r="H1166" s="1" t="n">
        <v>268</v>
      </c>
      <c r="I1166" s="1" t="str">
        <f aca="false">B1166&amp;"|"&amp;F1166&amp;"|"&amp;G1166</f>
        <v>Main Post Offices|D|Very Good</v>
      </c>
      <c r="J1166" s="1" t="s">
        <v>796</v>
      </c>
    </row>
    <row r="1167" customFormat="false" ht="12" hidden="false" customHeight="true" outlineLevel="0" collapsed="false">
      <c r="B1167" s="1" t="s">
        <v>794</v>
      </c>
      <c r="C1167" s="1" t="s">
        <v>795</v>
      </c>
      <c r="D1167" s="1" t="s">
        <v>501</v>
      </c>
      <c r="E1167" s="1" t="s">
        <v>529</v>
      </c>
      <c r="F1167" s="1" t="s">
        <v>468</v>
      </c>
      <c r="G1167" s="1" t="s">
        <v>483</v>
      </c>
      <c r="H1167" s="1" t="n">
        <v>235</v>
      </c>
      <c r="I1167" s="1" t="str">
        <f aca="false">B1167&amp;"|"&amp;F1167&amp;"|"&amp;G1167</f>
        <v>Main Post Offices|D|Good</v>
      </c>
      <c r="J1167" s="1" t="s">
        <v>796</v>
      </c>
    </row>
    <row r="1168" customFormat="false" ht="12" hidden="false" customHeight="true" outlineLevel="0" collapsed="false">
      <c r="B1168" s="1" t="s">
        <v>794</v>
      </c>
      <c r="C1168" s="1" t="s">
        <v>795</v>
      </c>
      <c r="D1168" s="1" t="s">
        <v>501</v>
      </c>
      <c r="E1168" s="1" t="s">
        <v>529</v>
      </c>
      <c r="F1168" s="1" t="s">
        <v>468</v>
      </c>
      <c r="G1168" s="1" t="s">
        <v>279</v>
      </c>
      <c r="H1168" s="1" t="n">
        <v>180</v>
      </c>
      <c r="I1168" s="1" t="str">
        <f aca="false">B1168&amp;"|"&amp;F1168&amp;"|"&amp;G1168</f>
        <v>Main Post Offices|D|Average</v>
      </c>
      <c r="J1168" s="1" t="s">
        <v>796</v>
      </c>
    </row>
    <row r="1169" customFormat="false" ht="12" hidden="false" customHeight="true" outlineLevel="0" collapsed="false">
      <c r="B1169" s="1" t="s">
        <v>794</v>
      </c>
      <c r="C1169" s="1" t="s">
        <v>795</v>
      </c>
      <c r="D1169" s="1" t="s">
        <v>501</v>
      </c>
      <c r="E1169" s="1" t="s">
        <v>529</v>
      </c>
      <c r="F1169" s="1" t="s">
        <v>473</v>
      </c>
      <c r="G1169" s="1" t="s">
        <v>279</v>
      </c>
      <c r="H1169" s="1" t="n">
        <v>184</v>
      </c>
      <c r="I1169" s="1" t="str">
        <f aca="false">B1169&amp;"|"&amp;F1169&amp;"|"&amp;G1169</f>
        <v>Main Post Offices|S|Average</v>
      </c>
      <c r="J1169" s="1" t="s">
        <v>796</v>
      </c>
    </row>
    <row r="1170" customFormat="false" ht="12" hidden="false" customHeight="true" outlineLevel="0" collapsed="false">
      <c r="B1170" s="1" t="s">
        <v>797</v>
      </c>
      <c r="C1170" s="1" t="s">
        <v>798</v>
      </c>
      <c r="D1170" s="1" t="s">
        <v>501</v>
      </c>
      <c r="E1170" s="1" t="s">
        <v>529</v>
      </c>
      <c r="F1170" s="1" t="s">
        <v>523</v>
      </c>
      <c r="G1170" s="1" t="s">
        <v>279</v>
      </c>
      <c r="H1170" s="1" t="n">
        <v>210</v>
      </c>
      <c r="I1170" s="1" t="str">
        <f aca="false">B1170&amp;"|"&amp;F1170&amp;"|"&amp;G1170</f>
        <v>Mail - Processing Facilities|A-B|Average</v>
      </c>
      <c r="J1170" s="1" t="s">
        <v>796</v>
      </c>
    </row>
    <row r="1171" customFormat="false" ht="12" hidden="false" customHeight="true" outlineLevel="0" collapsed="false">
      <c r="B1171" s="1" t="s">
        <v>797</v>
      </c>
      <c r="C1171" s="1" t="s">
        <v>798</v>
      </c>
      <c r="D1171" s="1" t="s">
        <v>501</v>
      </c>
      <c r="E1171" s="1" t="s">
        <v>529</v>
      </c>
      <c r="F1171" s="1" t="s">
        <v>463</v>
      </c>
      <c r="G1171" s="1" t="s">
        <v>483</v>
      </c>
      <c r="H1171" s="1" t="n">
        <v>179</v>
      </c>
      <c r="I1171" s="1" t="str">
        <f aca="false">B1171&amp;"|"&amp;F1171&amp;"|"&amp;G1171</f>
        <v>Mail - Processing Facilities|C|Good</v>
      </c>
      <c r="J1171" s="1" t="s">
        <v>796</v>
      </c>
    </row>
    <row r="1172" customFormat="false" ht="12" hidden="false" customHeight="true" outlineLevel="0" collapsed="false">
      <c r="B1172" s="1" t="s">
        <v>797</v>
      </c>
      <c r="C1172" s="1" t="s">
        <v>798</v>
      </c>
      <c r="D1172" s="1" t="s">
        <v>501</v>
      </c>
      <c r="E1172" s="1" t="s">
        <v>529</v>
      </c>
      <c r="F1172" s="1" t="s">
        <v>463</v>
      </c>
      <c r="G1172" s="1" t="s">
        <v>279</v>
      </c>
      <c r="H1172" s="1" t="n">
        <v>125</v>
      </c>
      <c r="I1172" s="1" t="str">
        <f aca="false">B1172&amp;"|"&amp;F1172&amp;"|"&amp;G1172</f>
        <v>Mail - Processing Facilities|C|Average</v>
      </c>
      <c r="J1172" s="1" t="s">
        <v>796</v>
      </c>
    </row>
    <row r="1173" customFormat="false" ht="12" hidden="false" customHeight="true" outlineLevel="0" collapsed="false">
      <c r="B1173" s="1" t="s">
        <v>797</v>
      </c>
      <c r="C1173" s="1" t="s">
        <v>798</v>
      </c>
      <c r="D1173" s="1" t="s">
        <v>501</v>
      </c>
      <c r="E1173" s="1" t="s">
        <v>529</v>
      </c>
      <c r="F1173" s="1" t="s">
        <v>473</v>
      </c>
      <c r="G1173" s="1" t="s">
        <v>483</v>
      </c>
      <c r="H1173" s="1" t="n">
        <v>174</v>
      </c>
      <c r="I1173" s="1" t="str">
        <f aca="false">B1173&amp;"|"&amp;F1173&amp;"|"&amp;G1173</f>
        <v>Mail - Processing Facilities|S|Good</v>
      </c>
      <c r="J1173" s="1" t="s">
        <v>796</v>
      </c>
    </row>
    <row r="1174" customFormat="false" ht="12" hidden="false" customHeight="true" outlineLevel="0" collapsed="false">
      <c r="B1174" s="1" t="s">
        <v>797</v>
      </c>
      <c r="C1174" s="1" t="s">
        <v>798</v>
      </c>
      <c r="D1174" s="1" t="s">
        <v>501</v>
      </c>
      <c r="E1174" s="1" t="s">
        <v>529</v>
      </c>
      <c r="F1174" s="1" t="s">
        <v>473</v>
      </c>
      <c r="G1174" s="1" t="s">
        <v>279</v>
      </c>
      <c r="H1174" s="1" t="n">
        <v>122</v>
      </c>
      <c r="I1174" s="1" t="str">
        <f aca="false">B1174&amp;"|"&amp;F1174&amp;"|"&amp;G1174</f>
        <v>Mail - Processing Facilities|S|Average</v>
      </c>
      <c r="J1174" s="1" t="s">
        <v>796</v>
      </c>
    </row>
    <row r="1175" customFormat="false" ht="12" hidden="false" customHeight="true" outlineLevel="0" collapsed="false">
      <c r="B1175" s="1" t="s">
        <v>799</v>
      </c>
      <c r="C1175" s="1" t="s">
        <v>800</v>
      </c>
      <c r="D1175" s="1" t="s">
        <v>501</v>
      </c>
      <c r="E1175" s="1" t="s">
        <v>533</v>
      </c>
      <c r="F1175" s="1" t="s">
        <v>523</v>
      </c>
      <c r="G1175" s="1" t="s">
        <v>279</v>
      </c>
      <c r="H1175" s="1" t="n">
        <v>213</v>
      </c>
      <c r="I1175" s="1" t="str">
        <f aca="false">B1175&amp;"|"&amp;F1175&amp;"|"&amp;G1175</f>
        <v>Branch Post Offices|A-B|Average</v>
      </c>
      <c r="J1175" s="1" t="s">
        <v>801</v>
      </c>
    </row>
    <row r="1176" customFormat="false" ht="12" hidden="false" customHeight="true" outlineLevel="0" collapsed="false">
      <c r="B1176" s="1" t="s">
        <v>799</v>
      </c>
      <c r="C1176" s="1" t="s">
        <v>800</v>
      </c>
      <c r="D1176" s="1" t="s">
        <v>501</v>
      </c>
      <c r="E1176" s="1" t="s">
        <v>533</v>
      </c>
      <c r="F1176" s="1" t="s">
        <v>463</v>
      </c>
      <c r="G1176" s="1" t="s">
        <v>485</v>
      </c>
      <c r="H1176" s="1" t="n">
        <v>306</v>
      </c>
      <c r="I1176" s="1" t="str">
        <f aca="false">B1176&amp;"|"&amp;F1176&amp;"|"&amp;G1176</f>
        <v>Branch Post Offices|C|Excellent</v>
      </c>
      <c r="J1176" s="1" t="s">
        <v>801</v>
      </c>
    </row>
    <row r="1177" customFormat="false" ht="12" hidden="false" customHeight="true" outlineLevel="0" collapsed="false">
      <c r="B1177" s="1" t="s">
        <v>799</v>
      </c>
      <c r="C1177" s="1" t="s">
        <v>800</v>
      </c>
      <c r="D1177" s="1" t="s">
        <v>501</v>
      </c>
      <c r="E1177" s="1" t="s">
        <v>533</v>
      </c>
      <c r="F1177" s="1" t="s">
        <v>463</v>
      </c>
      <c r="G1177" s="1" t="s">
        <v>483</v>
      </c>
      <c r="H1177" s="1" t="n">
        <v>226</v>
      </c>
      <c r="I1177" s="1" t="str">
        <f aca="false">B1177&amp;"|"&amp;F1177&amp;"|"&amp;G1177</f>
        <v>Branch Post Offices|C|Good</v>
      </c>
      <c r="J1177" s="1" t="s">
        <v>801</v>
      </c>
    </row>
    <row r="1178" customFormat="false" ht="12" hidden="false" customHeight="true" outlineLevel="0" collapsed="false">
      <c r="B1178" s="1" t="s">
        <v>799</v>
      </c>
      <c r="C1178" s="1" t="s">
        <v>800</v>
      </c>
      <c r="D1178" s="1" t="s">
        <v>501</v>
      </c>
      <c r="E1178" s="1" t="s">
        <v>533</v>
      </c>
      <c r="F1178" s="1" t="s">
        <v>463</v>
      </c>
      <c r="G1178" s="1" t="s">
        <v>279</v>
      </c>
      <c r="H1178" s="1" t="n">
        <v>168</v>
      </c>
      <c r="I1178" s="1" t="str">
        <f aca="false">B1178&amp;"|"&amp;F1178&amp;"|"&amp;G1178</f>
        <v>Branch Post Offices|C|Average</v>
      </c>
      <c r="J1178" s="1" t="s">
        <v>801</v>
      </c>
    </row>
    <row r="1179" customFormat="false" ht="12" hidden="false" customHeight="true" outlineLevel="0" collapsed="false">
      <c r="B1179" s="1" t="s">
        <v>799</v>
      </c>
      <c r="C1179" s="1" t="s">
        <v>800</v>
      </c>
      <c r="D1179" s="1" t="s">
        <v>501</v>
      </c>
      <c r="E1179" s="1" t="s">
        <v>533</v>
      </c>
      <c r="F1179" s="1" t="s">
        <v>463</v>
      </c>
      <c r="G1179" s="1" t="s">
        <v>480</v>
      </c>
      <c r="H1179" s="1" t="n">
        <v>120</v>
      </c>
      <c r="I1179" s="1" t="str">
        <f aca="false">B1179&amp;"|"&amp;F1179&amp;"|"&amp;G1179</f>
        <v>Branch Post Offices|C|Low Cost</v>
      </c>
      <c r="J1179" s="1" t="s">
        <v>801</v>
      </c>
    </row>
    <row r="1180" customFormat="false" ht="12" hidden="false" customHeight="true" outlineLevel="0" collapsed="false">
      <c r="B1180" s="1" t="s">
        <v>799</v>
      </c>
      <c r="C1180" s="1" t="s">
        <v>800</v>
      </c>
      <c r="D1180" s="1" t="s">
        <v>501</v>
      </c>
      <c r="E1180" s="1" t="s">
        <v>533</v>
      </c>
      <c r="F1180" s="1" t="s">
        <v>508</v>
      </c>
      <c r="G1180" s="1" t="s">
        <v>485</v>
      </c>
      <c r="H1180" s="1" t="n">
        <v>293</v>
      </c>
      <c r="I1180" s="1" t="str">
        <f aca="false">B1180&amp;"|"&amp;F1180&amp;"|"&amp;G1180</f>
        <v>Branch Post Offices|DMASVEN|Excellent</v>
      </c>
      <c r="J1180" s="1" t="s">
        <v>801</v>
      </c>
    </row>
    <row r="1181" customFormat="false" ht="12" hidden="false" customHeight="true" outlineLevel="0" collapsed="false">
      <c r="B1181" s="1" t="s">
        <v>799</v>
      </c>
      <c r="C1181" s="1" t="s">
        <v>800</v>
      </c>
      <c r="D1181" s="1" t="s">
        <v>501</v>
      </c>
      <c r="E1181" s="1" t="s">
        <v>533</v>
      </c>
      <c r="F1181" s="1" t="s">
        <v>508</v>
      </c>
      <c r="G1181" s="1" t="s">
        <v>483</v>
      </c>
      <c r="H1181" s="1" t="n">
        <v>218</v>
      </c>
      <c r="I1181" s="1" t="str">
        <f aca="false">B1181&amp;"|"&amp;F1181&amp;"|"&amp;G1181</f>
        <v>Branch Post Offices|DMASVEN|Good</v>
      </c>
      <c r="J1181" s="1" t="s">
        <v>801</v>
      </c>
    </row>
    <row r="1182" customFormat="false" ht="12" hidden="false" customHeight="true" outlineLevel="0" collapsed="false">
      <c r="B1182" s="1" t="s">
        <v>799</v>
      </c>
      <c r="C1182" s="1" t="s">
        <v>800</v>
      </c>
      <c r="D1182" s="1" t="s">
        <v>501</v>
      </c>
      <c r="E1182" s="1" t="s">
        <v>533</v>
      </c>
      <c r="F1182" s="1" t="s">
        <v>508</v>
      </c>
      <c r="G1182" s="1" t="s">
        <v>279</v>
      </c>
      <c r="H1182" s="1" t="n">
        <v>163</v>
      </c>
      <c r="I1182" s="1" t="str">
        <f aca="false">B1182&amp;"|"&amp;F1182&amp;"|"&amp;G1182</f>
        <v>Branch Post Offices|DMASVEN|Average</v>
      </c>
      <c r="J1182" s="1" t="s">
        <v>801</v>
      </c>
    </row>
    <row r="1183" customFormat="false" ht="12" hidden="false" customHeight="true" outlineLevel="0" collapsed="false">
      <c r="B1183" s="1" t="s">
        <v>799</v>
      </c>
      <c r="C1183" s="1" t="s">
        <v>800</v>
      </c>
      <c r="D1183" s="1" t="s">
        <v>501</v>
      </c>
      <c r="E1183" s="1" t="s">
        <v>533</v>
      </c>
      <c r="F1183" s="1" t="s">
        <v>508</v>
      </c>
      <c r="G1183" s="1" t="s">
        <v>480</v>
      </c>
      <c r="H1183" s="1" t="n">
        <v>117</v>
      </c>
      <c r="I1183" s="1" t="str">
        <f aca="false">B1183&amp;"|"&amp;F1183&amp;"|"&amp;G1183</f>
        <v>Branch Post Offices|DMASVEN|Low Cost</v>
      </c>
      <c r="J1183" s="1" t="s">
        <v>801</v>
      </c>
    </row>
    <row r="1184" customFormat="false" ht="12" hidden="false" customHeight="true" outlineLevel="0" collapsed="false">
      <c r="B1184" s="1" t="s">
        <v>799</v>
      </c>
      <c r="C1184" s="1" t="s">
        <v>800</v>
      </c>
      <c r="D1184" s="1" t="s">
        <v>501</v>
      </c>
      <c r="E1184" s="1" t="s">
        <v>533</v>
      </c>
      <c r="F1184" s="1" t="s">
        <v>468</v>
      </c>
      <c r="G1184" s="1" t="s">
        <v>485</v>
      </c>
      <c r="H1184" s="1" t="n">
        <v>278</v>
      </c>
      <c r="I1184" s="1" t="str">
        <f aca="false">B1184&amp;"|"&amp;F1184&amp;"|"&amp;G1184</f>
        <v>Branch Post Offices|D|Excellent</v>
      </c>
      <c r="J1184" s="1" t="s">
        <v>801</v>
      </c>
    </row>
    <row r="1185" customFormat="false" ht="12" hidden="false" customHeight="true" outlineLevel="0" collapsed="false">
      <c r="B1185" s="1" t="s">
        <v>799</v>
      </c>
      <c r="C1185" s="1" t="s">
        <v>800</v>
      </c>
      <c r="D1185" s="1" t="s">
        <v>501</v>
      </c>
      <c r="E1185" s="1" t="s">
        <v>533</v>
      </c>
      <c r="F1185" s="1" t="s">
        <v>468</v>
      </c>
      <c r="G1185" s="1" t="s">
        <v>483</v>
      </c>
      <c r="H1185" s="1" t="n">
        <v>208</v>
      </c>
      <c r="I1185" s="1" t="str">
        <f aca="false">B1185&amp;"|"&amp;F1185&amp;"|"&amp;G1185</f>
        <v>Branch Post Offices|D|Good</v>
      </c>
      <c r="J1185" s="1" t="s">
        <v>801</v>
      </c>
    </row>
    <row r="1186" customFormat="false" ht="12" hidden="false" customHeight="true" outlineLevel="0" collapsed="false">
      <c r="B1186" s="1" t="s">
        <v>799</v>
      </c>
      <c r="C1186" s="1" t="s">
        <v>800</v>
      </c>
      <c r="D1186" s="1" t="s">
        <v>501</v>
      </c>
      <c r="E1186" s="1" t="s">
        <v>533</v>
      </c>
      <c r="F1186" s="1" t="s">
        <v>468</v>
      </c>
      <c r="G1186" s="1" t="s">
        <v>279</v>
      </c>
      <c r="H1186" s="1" t="n">
        <v>158</v>
      </c>
      <c r="I1186" s="1" t="str">
        <f aca="false">B1186&amp;"|"&amp;F1186&amp;"|"&amp;G1186</f>
        <v>Branch Post Offices|D|Average</v>
      </c>
      <c r="J1186" s="1" t="s">
        <v>801</v>
      </c>
    </row>
    <row r="1187" customFormat="false" ht="12" hidden="false" customHeight="true" outlineLevel="0" collapsed="false">
      <c r="B1187" s="1" t="s">
        <v>799</v>
      </c>
      <c r="C1187" s="1" t="s">
        <v>800</v>
      </c>
      <c r="D1187" s="1" t="s">
        <v>501</v>
      </c>
      <c r="E1187" s="1" t="s">
        <v>533</v>
      </c>
      <c r="F1187" s="1" t="s">
        <v>468</v>
      </c>
      <c r="G1187" s="1" t="s">
        <v>480</v>
      </c>
      <c r="H1187" s="1" t="n">
        <v>114</v>
      </c>
      <c r="I1187" s="1" t="str">
        <f aca="false">B1187&amp;"|"&amp;F1187&amp;"|"&amp;G1187</f>
        <v>Branch Post Offices|D|Low Cost</v>
      </c>
      <c r="J1187" s="1" t="s">
        <v>801</v>
      </c>
    </row>
    <row r="1188" customFormat="false" ht="12" hidden="false" customHeight="true" outlineLevel="0" collapsed="false">
      <c r="B1188" s="1" t="s">
        <v>799</v>
      </c>
      <c r="C1188" s="1" t="s">
        <v>800</v>
      </c>
      <c r="D1188" s="1" t="s">
        <v>501</v>
      </c>
      <c r="E1188" s="1" t="s">
        <v>533</v>
      </c>
      <c r="F1188" s="1" t="s">
        <v>473</v>
      </c>
      <c r="G1188" s="1" t="s">
        <v>279</v>
      </c>
      <c r="H1188" s="1" t="n">
        <v>162</v>
      </c>
      <c r="I1188" s="1" t="str">
        <f aca="false">B1188&amp;"|"&amp;F1188&amp;"|"&amp;G1188</f>
        <v>Branch Post Offices|S|Average</v>
      </c>
      <c r="J1188" s="1" t="s">
        <v>801</v>
      </c>
    </row>
    <row r="1189" customFormat="false" ht="12" hidden="false" customHeight="true" outlineLevel="0" collapsed="false">
      <c r="B1189" s="1" t="s">
        <v>802</v>
      </c>
      <c r="C1189" s="1" t="s">
        <v>803</v>
      </c>
      <c r="D1189" s="1" t="s">
        <v>501</v>
      </c>
      <c r="E1189" s="1" t="s">
        <v>533</v>
      </c>
      <c r="F1189" s="1" t="s">
        <v>463</v>
      </c>
      <c r="G1189" s="1" t="s">
        <v>485</v>
      </c>
      <c r="H1189" s="1" t="n">
        <v>231</v>
      </c>
      <c r="I1189" s="1" t="str">
        <f aca="false">B1189&amp;"|"&amp;F1189&amp;"|"&amp;G1189</f>
        <v>Armories|C|Excellent</v>
      </c>
      <c r="J1189" s="1" t="s">
        <v>801</v>
      </c>
    </row>
    <row r="1190" customFormat="false" ht="12" hidden="false" customHeight="true" outlineLevel="0" collapsed="false">
      <c r="B1190" s="1" t="s">
        <v>802</v>
      </c>
      <c r="C1190" s="1" t="s">
        <v>803</v>
      </c>
      <c r="D1190" s="1" t="s">
        <v>501</v>
      </c>
      <c r="E1190" s="1" t="s">
        <v>533</v>
      </c>
      <c r="F1190" s="1" t="s">
        <v>463</v>
      </c>
      <c r="G1190" s="1" t="s">
        <v>483</v>
      </c>
      <c r="H1190" s="1" t="n">
        <v>174</v>
      </c>
      <c r="I1190" s="1" t="str">
        <f aca="false">B1190&amp;"|"&amp;F1190&amp;"|"&amp;G1190</f>
        <v>Armories|C|Good</v>
      </c>
      <c r="J1190" s="1" t="s">
        <v>801</v>
      </c>
    </row>
    <row r="1191" customFormat="false" ht="12" hidden="false" customHeight="true" outlineLevel="0" collapsed="false">
      <c r="B1191" s="1" t="s">
        <v>802</v>
      </c>
      <c r="C1191" s="1" t="s">
        <v>803</v>
      </c>
      <c r="D1191" s="1" t="s">
        <v>501</v>
      </c>
      <c r="E1191" s="1" t="s">
        <v>533</v>
      </c>
      <c r="F1191" s="1" t="s">
        <v>463</v>
      </c>
      <c r="G1191" s="1" t="s">
        <v>279</v>
      </c>
      <c r="H1191" s="1" t="n">
        <v>131</v>
      </c>
      <c r="I1191" s="1" t="str">
        <f aca="false">B1191&amp;"|"&amp;F1191&amp;"|"&amp;G1191</f>
        <v>Armories|C|Average</v>
      </c>
      <c r="J1191" s="1" t="s">
        <v>801</v>
      </c>
    </row>
    <row r="1192" customFormat="false" ht="12" hidden="false" customHeight="true" outlineLevel="0" collapsed="false">
      <c r="B1192" s="1" t="s">
        <v>802</v>
      </c>
      <c r="C1192" s="1" t="s">
        <v>803</v>
      </c>
      <c r="D1192" s="1" t="s">
        <v>501</v>
      </c>
      <c r="E1192" s="1" t="s">
        <v>533</v>
      </c>
      <c r="F1192" s="1" t="s">
        <v>468</v>
      </c>
      <c r="G1192" s="1" t="s">
        <v>485</v>
      </c>
      <c r="H1192" s="1" t="n">
        <v>215</v>
      </c>
      <c r="I1192" s="1" t="str">
        <f aca="false">B1192&amp;"|"&amp;F1192&amp;"|"&amp;G1192</f>
        <v>Armories|D|Excellent</v>
      </c>
      <c r="J1192" s="1" t="s">
        <v>801</v>
      </c>
    </row>
    <row r="1193" customFormat="false" ht="12" hidden="false" customHeight="true" outlineLevel="0" collapsed="false">
      <c r="B1193" s="1" t="s">
        <v>802</v>
      </c>
      <c r="C1193" s="1" t="s">
        <v>803</v>
      </c>
      <c r="D1193" s="1" t="s">
        <v>501</v>
      </c>
      <c r="E1193" s="1" t="s">
        <v>533</v>
      </c>
      <c r="F1193" s="1" t="s">
        <v>468</v>
      </c>
      <c r="G1193" s="1" t="s">
        <v>483</v>
      </c>
      <c r="H1193" s="1" t="n">
        <v>163</v>
      </c>
      <c r="I1193" s="1" t="str">
        <f aca="false">B1193&amp;"|"&amp;F1193&amp;"|"&amp;G1193</f>
        <v>Armories|D|Good</v>
      </c>
      <c r="J1193" s="1" t="s">
        <v>801</v>
      </c>
    </row>
    <row r="1194" customFormat="false" ht="12" hidden="false" customHeight="true" outlineLevel="0" collapsed="false">
      <c r="B1194" s="1" t="s">
        <v>802</v>
      </c>
      <c r="C1194" s="1" t="s">
        <v>803</v>
      </c>
      <c r="D1194" s="1" t="s">
        <v>501</v>
      </c>
      <c r="E1194" s="1" t="s">
        <v>533</v>
      </c>
      <c r="F1194" s="1" t="s">
        <v>468</v>
      </c>
      <c r="G1194" s="1" t="s">
        <v>279</v>
      </c>
      <c r="H1194" s="1" t="n">
        <v>123</v>
      </c>
      <c r="I1194" s="1" t="str">
        <f aca="false">B1194&amp;"|"&amp;F1194&amp;"|"&amp;G1194</f>
        <v>Armories|D|Average</v>
      </c>
      <c r="J1194" s="1" t="s">
        <v>801</v>
      </c>
    </row>
    <row r="1195" customFormat="false" ht="12" hidden="false" customHeight="true" outlineLevel="0" collapsed="false">
      <c r="B1195" s="1" t="s">
        <v>802</v>
      </c>
      <c r="C1195" s="1" t="s">
        <v>803</v>
      </c>
      <c r="D1195" s="1" t="s">
        <v>501</v>
      </c>
      <c r="E1195" s="1" t="s">
        <v>533</v>
      </c>
      <c r="F1195" s="1" t="s">
        <v>473</v>
      </c>
      <c r="G1195" s="1" t="s">
        <v>279</v>
      </c>
      <c r="H1195" s="1" t="n">
        <v>125</v>
      </c>
      <c r="I1195" s="1" t="str">
        <f aca="false">B1195&amp;"|"&amp;F1195&amp;"|"&amp;G1195</f>
        <v>Armories|S|Average</v>
      </c>
      <c r="J1195" s="1" t="s">
        <v>801</v>
      </c>
    </row>
    <row r="1196" customFormat="false" ht="12" hidden="false" customHeight="true" outlineLevel="0" collapsed="false">
      <c r="B1196" s="1" t="s">
        <v>802</v>
      </c>
      <c r="C1196" s="1" t="s">
        <v>803</v>
      </c>
      <c r="D1196" s="1" t="s">
        <v>501</v>
      </c>
      <c r="E1196" s="1" t="s">
        <v>533</v>
      </c>
      <c r="F1196" s="1" t="s">
        <v>804</v>
      </c>
      <c r="G1196" s="1" t="s">
        <v>279</v>
      </c>
      <c r="H1196" s="1" t="n">
        <v>65</v>
      </c>
      <c r="I1196" s="1" t="str">
        <f aca="false">B1196&amp;"|"&amp;F1196&amp;"|"&amp;G1196</f>
        <v>Armories|CDS|Average</v>
      </c>
      <c r="J1196" s="1" t="s">
        <v>801</v>
      </c>
    </row>
    <row r="1197" customFormat="false" ht="12" hidden="false" customHeight="true" outlineLevel="0" collapsed="false">
      <c r="B1197" s="1" t="s">
        <v>805</v>
      </c>
      <c r="C1197" s="1" t="s">
        <v>806</v>
      </c>
      <c r="D1197" s="1" t="s">
        <v>501</v>
      </c>
      <c r="E1197" s="1" t="s">
        <v>537</v>
      </c>
      <c r="F1197" s="1" t="s">
        <v>456</v>
      </c>
      <c r="G1197" s="1" t="s">
        <v>483</v>
      </c>
      <c r="H1197" s="1" t="n">
        <v>161</v>
      </c>
      <c r="I1197" s="1" t="str">
        <f aca="false">B1197&amp;"|"&amp;F1197&amp;"|"&amp;G1197</f>
        <v>Distribution Warehouses|A|Good</v>
      </c>
      <c r="J1197" s="1" t="s">
        <v>807</v>
      </c>
    </row>
    <row r="1198" customFormat="false" ht="12" hidden="false" customHeight="true" outlineLevel="0" collapsed="false">
      <c r="B1198" s="1" t="s">
        <v>805</v>
      </c>
      <c r="C1198" s="1" t="s">
        <v>806</v>
      </c>
      <c r="D1198" s="1" t="s">
        <v>501</v>
      </c>
      <c r="E1198" s="1" t="s">
        <v>537</v>
      </c>
      <c r="F1198" s="1" t="s">
        <v>456</v>
      </c>
      <c r="G1198" s="1" t="s">
        <v>279</v>
      </c>
      <c r="H1198" s="1" t="n">
        <v>123</v>
      </c>
      <c r="I1198" s="1" t="str">
        <f aca="false">B1198&amp;"|"&amp;F1198&amp;"|"&amp;G1198</f>
        <v>Distribution Warehouses|A|Average</v>
      </c>
      <c r="J1198" s="1" t="s">
        <v>807</v>
      </c>
    </row>
    <row r="1199" customFormat="false" ht="12" hidden="false" customHeight="true" outlineLevel="0" collapsed="false">
      <c r="B1199" s="1" t="s">
        <v>805</v>
      </c>
      <c r="C1199" s="1" t="s">
        <v>806</v>
      </c>
      <c r="D1199" s="1" t="s">
        <v>501</v>
      </c>
      <c r="E1199" s="1" t="s">
        <v>537</v>
      </c>
      <c r="F1199" s="1" t="s">
        <v>461</v>
      </c>
      <c r="G1199" s="1" t="s">
        <v>483</v>
      </c>
      <c r="H1199" s="1" t="n">
        <v>144</v>
      </c>
      <c r="I1199" s="1" t="str">
        <f aca="false">B1199&amp;"|"&amp;F1199&amp;"|"&amp;G1199</f>
        <v>Distribution Warehouses|B|Good</v>
      </c>
      <c r="J1199" s="1" t="s">
        <v>807</v>
      </c>
    </row>
    <row r="1200" customFormat="false" ht="12" hidden="false" customHeight="true" outlineLevel="0" collapsed="false">
      <c r="B1200" s="1" t="s">
        <v>805</v>
      </c>
      <c r="C1200" s="1" t="s">
        <v>806</v>
      </c>
      <c r="D1200" s="1" t="s">
        <v>501</v>
      </c>
      <c r="E1200" s="1" t="s">
        <v>537</v>
      </c>
      <c r="F1200" s="1" t="s">
        <v>461</v>
      </c>
      <c r="G1200" s="1" t="s">
        <v>279</v>
      </c>
      <c r="H1200" s="1" t="n">
        <v>108</v>
      </c>
      <c r="I1200" s="1" t="str">
        <f aca="false">B1200&amp;"|"&amp;F1200&amp;"|"&amp;G1200</f>
        <v>Distribution Warehouses|B|Average</v>
      </c>
      <c r="J1200" s="1" t="s">
        <v>807</v>
      </c>
    </row>
    <row r="1201" customFormat="false" ht="12" hidden="false" customHeight="true" outlineLevel="0" collapsed="false">
      <c r="B1201" s="1" t="s">
        <v>805</v>
      </c>
      <c r="C1201" s="1" t="s">
        <v>806</v>
      </c>
      <c r="D1201" s="1" t="s">
        <v>501</v>
      </c>
      <c r="E1201" s="1" t="s">
        <v>537</v>
      </c>
      <c r="F1201" s="1" t="s">
        <v>463</v>
      </c>
      <c r="G1201" s="1" t="s">
        <v>485</v>
      </c>
      <c r="H1201" s="1" t="n">
        <v>150</v>
      </c>
      <c r="I1201" s="1" t="str">
        <f aca="false">B1201&amp;"|"&amp;F1201&amp;"|"&amp;G1201</f>
        <v>Distribution Warehouses|C|Excellent</v>
      </c>
      <c r="J1201" s="1" t="s">
        <v>807</v>
      </c>
    </row>
    <row r="1202" customFormat="false" ht="12" hidden="false" customHeight="true" outlineLevel="0" collapsed="false">
      <c r="B1202" s="1" t="s">
        <v>805</v>
      </c>
      <c r="C1202" s="1" t="s">
        <v>806</v>
      </c>
      <c r="D1202" s="1" t="s">
        <v>501</v>
      </c>
      <c r="E1202" s="1" t="s">
        <v>537</v>
      </c>
      <c r="F1202" s="1" t="s">
        <v>463</v>
      </c>
      <c r="G1202" s="1" t="s">
        <v>483</v>
      </c>
      <c r="H1202" s="1" t="n">
        <v>103</v>
      </c>
      <c r="I1202" s="1" t="str">
        <f aca="false">B1202&amp;"|"&amp;F1202&amp;"|"&amp;G1202</f>
        <v>Distribution Warehouses|C|Good</v>
      </c>
      <c r="J1202" s="1" t="s">
        <v>807</v>
      </c>
    </row>
    <row r="1203" customFormat="false" ht="12" hidden="false" customHeight="true" outlineLevel="0" collapsed="false">
      <c r="B1203" s="1" t="s">
        <v>805</v>
      </c>
      <c r="C1203" s="1" t="s">
        <v>806</v>
      </c>
      <c r="D1203" s="1" t="s">
        <v>501</v>
      </c>
      <c r="E1203" s="1" t="s">
        <v>537</v>
      </c>
      <c r="F1203" s="1" t="s">
        <v>463</v>
      </c>
      <c r="G1203" s="1" t="s">
        <v>279</v>
      </c>
      <c r="H1203" s="1" t="n">
        <v>70.5</v>
      </c>
      <c r="I1203" s="1" t="str">
        <f aca="false">B1203&amp;"|"&amp;F1203&amp;"|"&amp;G1203</f>
        <v>Distribution Warehouses|C|Average</v>
      </c>
      <c r="J1203" s="1" t="s">
        <v>807</v>
      </c>
    </row>
    <row r="1204" customFormat="false" ht="12" hidden="false" customHeight="true" outlineLevel="0" collapsed="false">
      <c r="B1204" s="1" t="s">
        <v>805</v>
      </c>
      <c r="C1204" s="1" t="s">
        <v>806</v>
      </c>
      <c r="D1204" s="1" t="s">
        <v>501</v>
      </c>
      <c r="E1204" s="1" t="s">
        <v>537</v>
      </c>
      <c r="F1204" s="1" t="s">
        <v>463</v>
      </c>
      <c r="G1204" s="1" t="s">
        <v>480</v>
      </c>
      <c r="H1204" s="1" t="n">
        <v>50.5</v>
      </c>
      <c r="I1204" s="1" t="str">
        <f aca="false">B1204&amp;"|"&amp;F1204&amp;"|"&amp;G1204</f>
        <v>Distribution Warehouses|C|Low Cost</v>
      </c>
      <c r="J1204" s="1" t="s">
        <v>807</v>
      </c>
    </row>
    <row r="1205" customFormat="false" ht="12" hidden="false" customHeight="true" outlineLevel="0" collapsed="false">
      <c r="B1205" s="1" t="s">
        <v>805</v>
      </c>
      <c r="C1205" s="1" t="s">
        <v>806</v>
      </c>
      <c r="D1205" s="1" t="s">
        <v>501</v>
      </c>
      <c r="E1205" s="1" t="s">
        <v>537</v>
      </c>
      <c r="F1205" s="1" t="s">
        <v>468</v>
      </c>
      <c r="G1205" s="1" t="s">
        <v>483</v>
      </c>
      <c r="H1205" s="1" t="n">
        <v>92.5</v>
      </c>
      <c r="I1205" s="1" t="str">
        <f aca="false">B1205&amp;"|"&amp;F1205&amp;"|"&amp;G1205</f>
        <v>Distribution Warehouses|D|Good</v>
      </c>
      <c r="J1205" s="1" t="s">
        <v>807</v>
      </c>
    </row>
    <row r="1206" customFormat="false" ht="12" hidden="false" customHeight="true" outlineLevel="0" collapsed="false">
      <c r="B1206" s="1" t="s">
        <v>805</v>
      </c>
      <c r="C1206" s="1" t="s">
        <v>806</v>
      </c>
      <c r="D1206" s="1" t="s">
        <v>501</v>
      </c>
      <c r="E1206" s="1" t="s">
        <v>537</v>
      </c>
      <c r="F1206" s="1" t="s">
        <v>468</v>
      </c>
      <c r="G1206" s="1" t="s">
        <v>279</v>
      </c>
      <c r="H1206" s="1" t="n">
        <v>63</v>
      </c>
      <c r="I1206" s="1" t="str">
        <f aca="false">B1206&amp;"|"&amp;F1206&amp;"|"&amp;G1206</f>
        <v>Distribution Warehouses|D|Average</v>
      </c>
      <c r="J1206" s="1" t="s">
        <v>807</v>
      </c>
    </row>
    <row r="1207" customFormat="false" ht="12" hidden="false" customHeight="true" outlineLevel="0" collapsed="false">
      <c r="B1207" s="1" t="s">
        <v>805</v>
      </c>
      <c r="C1207" s="1" t="s">
        <v>806</v>
      </c>
      <c r="D1207" s="1" t="s">
        <v>501</v>
      </c>
      <c r="E1207" s="1" t="s">
        <v>537</v>
      </c>
      <c r="F1207" s="1" t="s">
        <v>566</v>
      </c>
      <c r="G1207" s="1" t="s">
        <v>279</v>
      </c>
      <c r="H1207" s="1" t="n">
        <v>57</v>
      </c>
      <c r="I1207" s="1" t="str">
        <f aca="false">B1207&amp;"|"&amp;F1207&amp;"|"&amp;G1207</f>
        <v>Distribution Warehouses|DPOLE|Average</v>
      </c>
      <c r="J1207" s="1" t="s">
        <v>807</v>
      </c>
    </row>
    <row r="1208" customFormat="false" ht="12" hidden="false" customHeight="true" outlineLevel="0" collapsed="false">
      <c r="B1208" s="1" t="s">
        <v>805</v>
      </c>
      <c r="C1208" s="1" t="s">
        <v>806</v>
      </c>
      <c r="D1208" s="1" t="s">
        <v>501</v>
      </c>
      <c r="E1208" s="1" t="s">
        <v>537</v>
      </c>
      <c r="F1208" s="1" t="s">
        <v>566</v>
      </c>
      <c r="G1208" s="1" t="s">
        <v>480</v>
      </c>
      <c r="H1208" s="1" t="n">
        <v>41.25</v>
      </c>
      <c r="I1208" s="1" t="str">
        <f aca="false">B1208&amp;"|"&amp;F1208&amp;"|"&amp;G1208</f>
        <v>Distribution Warehouses|DPOLE|Low Cost</v>
      </c>
      <c r="J1208" s="1" t="s">
        <v>807</v>
      </c>
    </row>
    <row r="1209" customFormat="false" ht="12" hidden="false" customHeight="true" outlineLevel="0" collapsed="false">
      <c r="B1209" s="1" t="s">
        <v>805</v>
      </c>
      <c r="C1209" s="1" t="s">
        <v>806</v>
      </c>
      <c r="D1209" s="1" t="s">
        <v>501</v>
      </c>
      <c r="E1209" s="1" t="s">
        <v>537</v>
      </c>
      <c r="F1209" s="1" t="s">
        <v>473</v>
      </c>
      <c r="G1209" s="1" t="s">
        <v>485</v>
      </c>
      <c r="H1209" s="1" t="n">
        <v>139</v>
      </c>
      <c r="I1209" s="1" t="str">
        <f aca="false">B1209&amp;"|"&amp;F1209&amp;"|"&amp;G1209</f>
        <v>Distribution Warehouses|S|Excellent</v>
      </c>
      <c r="J1209" s="1" t="s">
        <v>807</v>
      </c>
    </row>
    <row r="1210" customFormat="false" ht="12" hidden="false" customHeight="true" outlineLevel="0" collapsed="false">
      <c r="B1210" s="1" t="s">
        <v>805</v>
      </c>
      <c r="C1210" s="1" t="s">
        <v>806</v>
      </c>
      <c r="D1210" s="1" t="s">
        <v>501</v>
      </c>
      <c r="E1210" s="1" t="s">
        <v>537</v>
      </c>
      <c r="F1210" s="1" t="s">
        <v>473</v>
      </c>
      <c r="G1210" s="1" t="s">
        <v>483</v>
      </c>
      <c r="H1210" s="1" t="n">
        <v>94.5</v>
      </c>
      <c r="I1210" s="1" t="str">
        <f aca="false">B1210&amp;"|"&amp;F1210&amp;"|"&amp;G1210</f>
        <v>Distribution Warehouses|S|Good</v>
      </c>
      <c r="J1210" s="1" t="s">
        <v>807</v>
      </c>
    </row>
    <row r="1211" customFormat="false" ht="12" hidden="false" customHeight="true" outlineLevel="0" collapsed="false">
      <c r="B1211" s="1" t="s">
        <v>805</v>
      </c>
      <c r="C1211" s="1" t="s">
        <v>806</v>
      </c>
      <c r="D1211" s="1" t="s">
        <v>501</v>
      </c>
      <c r="E1211" s="1" t="s">
        <v>537</v>
      </c>
      <c r="F1211" s="1" t="s">
        <v>473</v>
      </c>
      <c r="G1211" s="1" t="s">
        <v>279</v>
      </c>
      <c r="H1211" s="1" t="n">
        <v>64</v>
      </c>
      <c r="I1211" s="1" t="str">
        <f aca="false">B1211&amp;"|"&amp;F1211&amp;"|"&amp;G1211</f>
        <v>Distribution Warehouses|S|Average</v>
      </c>
      <c r="J1211" s="1" t="s">
        <v>807</v>
      </c>
    </row>
    <row r="1212" customFormat="false" ht="12" hidden="false" customHeight="true" outlineLevel="0" collapsed="false">
      <c r="B1212" s="1" t="s">
        <v>805</v>
      </c>
      <c r="C1212" s="1" t="s">
        <v>806</v>
      </c>
      <c r="D1212" s="1" t="s">
        <v>501</v>
      </c>
      <c r="E1212" s="1" t="s">
        <v>537</v>
      </c>
      <c r="F1212" s="1" t="s">
        <v>473</v>
      </c>
      <c r="G1212" s="1" t="s">
        <v>480</v>
      </c>
      <c r="H1212" s="1" t="n">
        <v>45.5</v>
      </c>
      <c r="I1212" s="1" t="str">
        <f aca="false">B1212&amp;"|"&amp;F1212&amp;"|"&amp;G1212</f>
        <v>Distribution Warehouses|S|Low Cost</v>
      </c>
      <c r="J1212" s="1" t="s">
        <v>807</v>
      </c>
    </row>
    <row r="1213" customFormat="false" ht="12" hidden="false" customHeight="true" outlineLevel="0" collapsed="false">
      <c r="B1213" s="1" t="s">
        <v>808</v>
      </c>
      <c r="C1213" s="1" t="s">
        <v>809</v>
      </c>
      <c r="D1213" s="1" t="s">
        <v>501</v>
      </c>
      <c r="E1213" s="1" t="s">
        <v>537</v>
      </c>
      <c r="F1213" s="1" t="s">
        <v>463</v>
      </c>
      <c r="G1213" s="1" t="s">
        <v>483</v>
      </c>
      <c r="H1213" s="1" t="n">
        <v>136</v>
      </c>
      <c r="I1213" s="1" t="str">
        <f aca="false">B1213&amp;"|"&amp;F1213&amp;"|"&amp;G1213</f>
        <v>Transit Warehouses|C|Good</v>
      </c>
      <c r="J1213" s="1" t="s">
        <v>807</v>
      </c>
    </row>
    <row r="1214" customFormat="false" ht="12" hidden="false" customHeight="true" outlineLevel="0" collapsed="false">
      <c r="B1214" s="1" t="s">
        <v>808</v>
      </c>
      <c r="C1214" s="1" t="s">
        <v>809</v>
      </c>
      <c r="D1214" s="1" t="s">
        <v>501</v>
      </c>
      <c r="E1214" s="1" t="s">
        <v>537</v>
      </c>
      <c r="F1214" s="1" t="s">
        <v>463</v>
      </c>
      <c r="G1214" s="1" t="s">
        <v>279</v>
      </c>
      <c r="H1214" s="1" t="n">
        <v>95</v>
      </c>
      <c r="I1214" s="1" t="str">
        <f aca="false">B1214&amp;"|"&amp;F1214&amp;"|"&amp;G1214</f>
        <v>Transit Warehouses|C|Average</v>
      </c>
      <c r="J1214" s="1" t="s">
        <v>807</v>
      </c>
    </row>
    <row r="1215" customFormat="false" ht="12" hidden="false" customHeight="true" outlineLevel="0" collapsed="false">
      <c r="B1215" s="1" t="s">
        <v>808</v>
      </c>
      <c r="C1215" s="1" t="s">
        <v>809</v>
      </c>
      <c r="D1215" s="1" t="s">
        <v>501</v>
      </c>
      <c r="E1215" s="1" t="s">
        <v>537</v>
      </c>
      <c r="F1215" s="1" t="s">
        <v>468</v>
      </c>
      <c r="G1215" s="1" t="s">
        <v>279</v>
      </c>
      <c r="H1215" s="1" t="n">
        <v>85.5</v>
      </c>
      <c r="I1215" s="1" t="str">
        <f aca="false">B1215&amp;"|"&amp;F1215&amp;"|"&amp;G1215</f>
        <v>Transit Warehouses|D|Average</v>
      </c>
      <c r="J1215" s="1" t="s">
        <v>807</v>
      </c>
    </row>
    <row r="1216" customFormat="false" ht="12" hidden="false" customHeight="true" outlineLevel="0" collapsed="false">
      <c r="B1216" s="1" t="s">
        <v>808</v>
      </c>
      <c r="C1216" s="1" t="s">
        <v>809</v>
      </c>
      <c r="D1216" s="1" t="s">
        <v>501</v>
      </c>
      <c r="E1216" s="1" t="s">
        <v>537</v>
      </c>
      <c r="F1216" s="1" t="s">
        <v>566</v>
      </c>
      <c r="G1216" s="1" t="s">
        <v>279</v>
      </c>
      <c r="H1216" s="1" t="n">
        <v>80.5</v>
      </c>
      <c r="I1216" s="1" t="str">
        <f aca="false">B1216&amp;"|"&amp;F1216&amp;"|"&amp;G1216</f>
        <v>Transit Warehouses|DPOLE|Average</v>
      </c>
      <c r="J1216" s="1" t="s">
        <v>807</v>
      </c>
    </row>
    <row r="1217" customFormat="false" ht="12" hidden="false" customHeight="true" outlineLevel="0" collapsed="false">
      <c r="B1217" s="1" t="s">
        <v>808</v>
      </c>
      <c r="C1217" s="1" t="s">
        <v>809</v>
      </c>
      <c r="D1217" s="1" t="s">
        <v>501</v>
      </c>
      <c r="E1217" s="1" t="s">
        <v>537</v>
      </c>
      <c r="F1217" s="1" t="s">
        <v>473</v>
      </c>
      <c r="G1217" s="1" t="s">
        <v>483</v>
      </c>
      <c r="H1217" s="1" t="n">
        <v>124</v>
      </c>
      <c r="I1217" s="1" t="str">
        <f aca="false">B1217&amp;"|"&amp;F1217&amp;"|"&amp;G1217</f>
        <v>Transit Warehouses|S|Good</v>
      </c>
      <c r="J1217" s="1" t="s">
        <v>807</v>
      </c>
    </row>
    <row r="1218" customFormat="false" ht="12" hidden="false" customHeight="true" outlineLevel="0" collapsed="false">
      <c r="B1218" s="1" t="s">
        <v>808</v>
      </c>
      <c r="C1218" s="1" t="s">
        <v>809</v>
      </c>
      <c r="D1218" s="1" t="s">
        <v>501</v>
      </c>
      <c r="E1218" s="1" t="s">
        <v>537</v>
      </c>
      <c r="F1218" s="1" t="s">
        <v>473</v>
      </c>
      <c r="G1218" s="1" t="s">
        <v>279</v>
      </c>
      <c r="H1218" s="1" t="n">
        <v>86.5</v>
      </c>
      <c r="I1218" s="1" t="str">
        <f aca="false">B1218&amp;"|"&amp;F1218&amp;"|"&amp;G1218</f>
        <v>Transit Warehouses|S|Average</v>
      </c>
      <c r="J1218" s="1" t="s">
        <v>807</v>
      </c>
    </row>
    <row r="1219" customFormat="false" ht="12" hidden="false" customHeight="true" outlineLevel="0" collapsed="false">
      <c r="B1219" s="1" t="s">
        <v>810</v>
      </c>
      <c r="C1219" s="1" t="s">
        <v>811</v>
      </c>
      <c r="D1219" s="1" t="s">
        <v>501</v>
      </c>
      <c r="E1219" s="1" t="s">
        <v>539</v>
      </c>
      <c r="F1219" s="1" t="s">
        <v>523</v>
      </c>
      <c r="G1219" s="1" t="s">
        <v>483</v>
      </c>
      <c r="H1219" s="1" t="n">
        <v>166</v>
      </c>
      <c r="I1219" s="1" t="str">
        <f aca="false">B1219&amp;"|"&amp;F1219&amp;"|"&amp;G1219</f>
        <v>Cold Storage Facilities|A-B|Good</v>
      </c>
      <c r="J1219" s="1" t="s">
        <v>812</v>
      </c>
    </row>
    <row r="1220" customFormat="false" ht="12" hidden="false" customHeight="true" outlineLevel="0" collapsed="false">
      <c r="B1220" s="1" t="s">
        <v>810</v>
      </c>
      <c r="C1220" s="1" t="s">
        <v>811</v>
      </c>
      <c r="D1220" s="1" t="s">
        <v>501</v>
      </c>
      <c r="E1220" s="1" t="s">
        <v>539</v>
      </c>
      <c r="F1220" s="1" t="s">
        <v>523</v>
      </c>
      <c r="G1220" s="1" t="s">
        <v>279</v>
      </c>
      <c r="H1220" s="1" t="n">
        <v>119</v>
      </c>
      <c r="I1220" s="1" t="str">
        <f aca="false">B1220&amp;"|"&amp;F1220&amp;"|"&amp;G1220</f>
        <v>Cold Storage Facilities|A-B|Average</v>
      </c>
      <c r="J1220" s="1" t="s">
        <v>812</v>
      </c>
    </row>
    <row r="1221" customFormat="false" ht="12" hidden="false" customHeight="true" outlineLevel="0" collapsed="false">
      <c r="B1221" s="1" t="s">
        <v>810</v>
      </c>
      <c r="C1221" s="1" t="s">
        <v>811</v>
      </c>
      <c r="D1221" s="1" t="s">
        <v>501</v>
      </c>
      <c r="E1221" s="1" t="s">
        <v>539</v>
      </c>
      <c r="F1221" s="1" t="s">
        <v>463</v>
      </c>
      <c r="G1221" s="1" t="s">
        <v>485</v>
      </c>
      <c r="H1221" s="1" t="n">
        <v>184</v>
      </c>
      <c r="I1221" s="1" t="str">
        <f aca="false">B1221&amp;"|"&amp;F1221&amp;"|"&amp;G1221</f>
        <v>Cold Storage Facilities|C|Excellent</v>
      </c>
      <c r="J1221" s="1" t="s">
        <v>812</v>
      </c>
    </row>
    <row r="1222" customFormat="false" ht="12" hidden="false" customHeight="true" outlineLevel="0" collapsed="false">
      <c r="B1222" s="1" t="s">
        <v>810</v>
      </c>
      <c r="C1222" s="1" t="s">
        <v>811</v>
      </c>
      <c r="D1222" s="1" t="s">
        <v>501</v>
      </c>
      <c r="E1222" s="1" t="s">
        <v>539</v>
      </c>
      <c r="F1222" s="1" t="s">
        <v>463</v>
      </c>
      <c r="G1222" s="1" t="s">
        <v>483</v>
      </c>
      <c r="H1222" s="1" t="n">
        <v>131</v>
      </c>
      <c r="I1222" s="1" t="str">
        <f aca="false">B1222&amp;"|"&amp;F1222&amp;"|"&amp;G1222</f>
        <v>Cold Storage Facilities|C|Good</v>
      </c>
      <c r="J1222" s="1" t="s">
        <v>812</v>
      </c>
    </row>
    <row r="1223" customFormat="false" ht="12" hidden="false" customHeight="true" outlineLevel="0" collapsed="false">
      <c r="B1223" s="1" t="s">
        <v>810</v>
      </c>
      <c r="C1223" s="1" t="s">
        <v>811</v>
      </c>
      <c r="D1223" s="1" t="s">
        <v>501</v>
      </c>
      <c r="E1223" s="1" t="s">
        <v>539</v>
      </c>
      <c r="F1223" s="1" t="s">
        <v>463</v>
      </c>
      <c r="G1223" s="1" t="s">
        <v>279</v>
      </c>
      <c r="H1223" s="1" t="n">
        <v>94</v>
      </c>
      <c r="I1223" s="1" t="str">
        <f aca="false">B1223&amp;"|"&amp;F1223&amp;"|"&amp;G1223</f>
        <v>Cold Storage Facilities|C|Average</v>
      </c>
      <c r="J1223" s="1" t="s">
        <v>812</v>
      </c>
    </row>
    <row r="1224" customFormat="false" ht="12" hidden="false" customHeight="true" outlineLevel="0" collapsed="false">
      <c r="B1224" s="1" t="s">
        <v>810</v>
      </c>
      <c r="C1224" s="1" t="s">
        <v>811</v>
      </c>
      <c r="D1224" s="1" t="s">
        <v>501</v>
      </c>
      <c r="E1224" s="1" t="s">
        <v>539</v>
      </c>
      <c r="F1224" s="1" t="s">
        <v>463</v>
      </c>
      <c r="G1224" s="1" t="s">
        <v>555</v>
      </c>
      <c r="H1224" s="1" t="n">
        <v>78.5</v>
      </c>
      <c r="I1224" s="1" t="str">
        <f aca="false">B1224&amp;"|"&amp;F1224&amp;"|"&amp;G1224</f>
        <v>Cold Storage Facilities|C|Fair</v>
      </c>
      <c r="J1224" s="1" t="s">
        <v>812</v>
      </c>
    </row>
    <row r="1225" customFormat="false" ht="12" hidden="false" customHeight="true" outlineLevel="0" collapsed="false">
      <c r="B1225" s="1" t="s">
        <v>810</v>
      </c>
      <c r="C1225" s="1" t="s">
        <v>811</v>
      </c>
      <c r="D1225" s="1" t="s">
        <v>501</v>
      </c>
      <c r="E1225" s="1" t="s">
        <v>539</v>
      </c>
      <c r="F1225" s="1" t="s">
        <v>463</v>
      </c>
      <c r="G1225" s="1" t="s">
        <v>480</v>
      </c>
      <c r="H1225" s="1" t="n">
        <v>68</v>
      </c>
      <c r="I1225" s="1" t="str">
        <f aca="false">B1225&amp;"|"&amp;F1225&amp;"|"&amp;G1225</f>
        <v>Cold Storage Facilities|C|Low Cost</v>
      </c>
      <c r="J1225" s="1" t="s">
        <v>812</v>
      </c>
    </row>
    <row r="1226" customFormat="false" ht="12" hidden="false" customHeight="true" outlineLevel="0" collapsed="false">
      <c r="B1226" s="1" t="s">
        <v>810</v>
      </c>
      <c r="C1226" s="1" t="s">
        <v>811</v>
      </c>
      <c r="D1226" s="1" t="s">
        <v>501</v>
      </c>
      <c r="E1226" s="1" t="s">
        <v>539</v>
      </c>
      <c r="F1226" s="1" t="s">
        <v>468</v>
      </c>
      <c r="G1226" s="1" t="s">
        <v>279</v>
      </c>
      <c r="H1226" s="1" t="n">
        <v>87.5</v>
      </c>
      <c r="I1226" s="1" t="str">
        <f aca="false">B1226&amp;"|"&amp;F1226&amp;"|"&amp;G1226</f>
        <v>Cold Storage Facilities|D|Average</v>
      </c>
      <c r="J1226" s="1" t="s">
        <v>812</v>
      </c>
    </row>
    <row r="1227" customFormat="false" ht="12" hidden="false" customHeight="true" outlineLevel="0" collapsed="false">
      <c r="B1227" s="1" t="s">
        <v>810</v>
      </c>
      <c r="C1227" s="1" t="s">
        <v>811</v>
      </c>
      <c r="D1227" s="1" t="s">
        <v>501</v>
      </c>
      <c r="E1227" s="1" t="s">
        <v>539</v>
      </c>
      <c r="F1227" s="1" t="s">
        <v>468</v>
      </c>
      <c r="G1227" s="1" t="s">
        <v>480</v>
      </c>
      <c r="H1227" s="1" t="n">
        <v>63</v>
      </c>
      <c r="I1227" s="1" t="str">
        <f aca="false">B1227&amp;"|"&amp;F1227&amp;"|"&amp;G1227</f>
        <v>Cold Storage Facilities|D|Low Cost</v>
      </c>
      <c r="J1227" s="1" t="s">
        <v>812</v>
      </c>
    </row>
    <row r="1228" customFormat="false" ht="12" hidden="false" customHeight="true" outlineLevel="0" collapsed="false">
      <c r="B1228" s="1" t="s">
        <v>810</v>
      </c>
      <c r="C1228" s="1" t="s">
        <v>811</v>
      </c>
      <c r="D1228" s="1" t="s">
        <v>501</v>
      </c>
      <c r="E1228" s="1" t="s">
        <v>539</v>
      </c>
      <c r="F1228" s="1" t="s">
        <v>566</v>
      </c>
      <c r="G1228" s="1" t="s">
        <v>279</v>
      </c>
      <c r="H1228" s="1" t="n">
        <v>82.5</v>
      </c>
      <c r="I1228" s="1" t="str">
        <f aca="false">B1228&amp;"|"&amp;F1228&amp;"|"&amp;G1228</f>
        <v>Cold Storage Facilities|DPOLE|Average</v>
      </c>
      <c r="J1228" s="1" t="s">
        <v>812</v>
      </c>
    </row>
    <row r="1229" customFormat="false" ht="12" hidden="false" customHeight="true" outlineLevel="0" collapsed="false">
      <c r="B1229" s="1" t="s">
        <v>810</v>
      </c>
      <c r="C1229" s="1" t="s">
        <v>811</v>
      </c>
      <c r="D1229" s="1" t="s">
        <v>501</v>
      </c>
      <c r="E1229" s="1" t="s">
        <v>539</v>
      </c>
      <c r="F1229" s="1" t="s">
        <v>566</v>
      </c>
      <c r="G1229" s="1" t="s">
        <v>480</v>
      </c>
      <c r="H1229" s="1" t="n">
        <v>58.5</v>
      </c>
      <c r="I1229" s="1" t="str">
        <f aca="false">B1229&amp;"|"&amp;F1229&amp;"|"&amp;G1229</f>
        <v>Cold Storage Facilities|DPOLE|Low Cost</v>
      </c>
      <c r="J1229" s="1" t="s">
        <v>812</v>
      </c>
    </row>
    <row r="1230" customFormat="false" ht="12" hidden="false" customHeight="true" outlineLevel="0" collapsed="false">
      <c r="B1230" s="1" t="s">
        <v>810</v>
      </c>
      <c r="C1230" s="1" t="s">
        <v>811</v>
      </c>
      <c r="D1230" s="1" t="s">
        <v>501</v>
      </c>
      <c r="E1230" s="1" t="s">
        <v>539</v>
      </c>
      <c r="F1230" s="1" t="s">
        <v>473</v>
      </c>
      <c r="G1230" s="1" t="s">
        <v>485</v>
      </c>
      <c r="H1230" s="1" t="n">
        <v>186</v>
      </c>
      <c r="I1230" s="1" t="str">
        <f aca="false">B1230&amp;"|"&amp;F1230&amp;"|"&amp;G1230</f>
        <v>Cold Storage Facilities|S|Excellent</v>
      </c>
      <c r="J1230" s="1" t="s">
        <v>812</v>
      </c>
    </row>
    <row r="1231" customFormat="false" ht="12" hidden="false" customHeight="true" outlineLevel="0" collapsed="false">
      <c r="B1231" s="1" t="s">
        <v>810</v>
      </c>
      <c r="C1231" s="1" t="s">
        <v>811</v>
      </c>
      <c r="D1231" s="1" t="s">
        <v>501</v>
      </c>
      <c r="E1231" s="1" t="s">
        <v>539</v>
      </c>
      <c r="F1231" s="1" t="s">
        <v>473</v>
      </c>
      <c r="G1231" s="1" t="s">
        <v>483</v>
      </c>
      <c r="H1231" s="1" t="n">
        <v>128</v>
      </c>
      <c r="I1231" s="1" t="str">
        <f aca="false">B1231&amp;"|"&amp;F1231&amp;"|"&amp;G1231</f>
        <v>Cold Storage Facilities|S|Good</v>
      </c>
      <c r="J1231" s="1" t="s">
        <v>812</v>
      </c>
    </row>
    <row r="1232" customFormat="false" ht="12" hidden="false" customHeight="true" outlineLevel="0" collapsed="false">
      <c r="B1232" s="1" t="s">
        <v>810</v>
      </c>
      <c r="C1232" s="1" t="s">
        <v>811</v>
      </c>
      <c r="D1232" s="1" t="s">
        <v>501</v>
      </c>
      <c r="E1232" s="1" t="s">
        <v>539</v>
      </c>
      <c r="F1232" s="1" t="s">
        <v>473</v>
      </c>
      <c r="G1232" s="1" t="s">
        <v>279</v>
      </c>
      <c r="H1232" s="1" t="n">
        <v>89</v>
      </c>
      <c r="I1232" s="1" t="str">
        <f aca="false">B1232&amp;"|"&amp;F1232&amp;"|"&amp;G1232</f>
        <v>Cold Storage Facilities|S|Average</v>
      </c>
      <c r="J1232" s="1" t="s">
        <v>812</v>
      </c>
    </row>
    <row r="1233" customFormat="false" ht="12" hidden="false" customHeight="true" outlineLevel="0" collapsed="false">
      <c r="B1233" s="1" t="s">
        <v>810</v>
      </c>
      <c r="C1233" s="1" t="s">
        <v>811</v>
      </c>
      <c r="D1233" s="1" t="s">
        <v>501</v>
      </c>
      <c r="E1233" s="1" t="s">
        <v>539</v>
      </c>
      <c r="F1233" s="1" t="s">
        <v>473</v>
      </c>
      <c r="G1233" s="1" t="s">
        <v>555</v>
      </c>
      <c r="H1233" s="1" t="n">
        <v>73.5</v>
      </c>
      <c r="I1233" s="1" t="str">
        <f aca="false">B1233&amp;"|"&amp;F1233&amp;"|"&amp;G1233</f>
        <v>Cold Storage Facilities|S|Fair</v>
      </c>
      <c r="J1233" s="1" t="s">
        <v>812</v>
      </c>
    </row>
    <row r="1234" customFormat="false" ht="12" hidden="false" customHeight="true" outlineLevel="0" collapsed="false">
      <c r="B1234" s="1" t="s">
        <v>810</v>
      </c>
      <c r="C1234" s="1" t="s">
        <v>811</v>
      </c>
      <c r="D1234" s="1" t="s">
        <v>501</v>
      </c>
      <c r="E1234" s="1" t="s">
        <v>539</v>
      </c>
      <c r="F1234" s="1" t="s">
        <v>473</v>
      </c>
      <c r="G1234" s="1" t="s">
        <v>480</v>
      </c>
      <c r="H1234" s="1" t="n">
        <v>63</v>
      </c>
      <c r="I1234" s="1" t="str">
        <f aca="false">B1234&amp;"|"&amp;F1234&amp;"|"&amp;G1234</f>
        <v>Cold Storage Facilities|S|Low Cost</v>
      </c>
      <c r="J1234" s="1" t="s">
        <v>812</v>
      </c>
    </row>
    <row r="1235" customFormat="false" ht="12" hidden="false" customHeight="true" outlineLevel="0" collapsed="false">
      <c r="B1235" s="1" t="s">
        <v>813</v>
      </c>
      <c r="C1235" s="1" t="s">
        <v>814</v>
      </c>
      <c r="D1235" s="1" t="s">
        <v>501</v>
      </c>
      <c r="E1235" s="1" t="s">
        <v>543</v>
      </c>
      <c r="F1235" s="1" t="s">
        <v>523</v>
      </c>
      <c r="G1235" s="1" t="s">
        <v>279</v>
      </c>
      <c r="H1235" s="1" t="n">
        <v>171</v>
      </c>
      <c r="I1235" s="1" t="str">
        <f aca="false">B1235&amp;"|"&amp;F1235&amp;"|"&amp;G1235</f>
        <v>Creameries|A-B|Average</v>
      </c>
      <c r="J1235" s="1" t="s">
        <v>815</v>
      </c>
    </row>
    <row r="1236" customFormat="false" ht="12" hidden="false" customHeight="true" outlineLevel="0" collapsed="false">
      <c r="B1236" s="1" t="s">
        <v>813</v>
      </c>
      <c r="C1236" s="1" t="s">
        <v>814</v>
      </c>
      <c r="D1236" s="1" t="s">
        <v>501</v>
      </c>
      <c r="E1236" s="1" t="s">
        <v>543</v>
      </c>
      <c r="F1236" s="1" t="s">
        <v>463</v>
      </c>
      <c r="G1236" s="1" t="s">
        <v>483</v>
      </c>
      <c r="H1236" s="1" t="n">
        <v>163</v>
      </c>
      <c r="I1236" s="1" t="str">
        <f aca="false">B1236&amp;"|"&amp;F1236&amp;"|"&amp;G1236</f>
        <v>Creameries|C|Good</v>
      </c>
      <c r="J1236" s="1" t="s">
        <v>815</v>
      </c>
    </row>
    <row r="1237" customFormat="false" ht="12" hidden="false" customHeight="true" outlineLevel="0" collapsed="false">
      <c r="B1237" s="1" t="s">
        <v>813</v>
      </c>
      <c r="C1237" s="1" t="s">
        <v>814</v>
      </c>
      <c r="D1237" s="1" t="s">
        <v>501</v>
      </c>
      <c r="E1237" s="1" t="s">
        <v>543</v>
      </c>
      <c r="F1237" s="1" t="s">
        <v>463</v>
      </c>
      <c r="G1237" s="1" t="s">
        <v>279</v>
      </c>
      <c r="H1237" s="1" t="n">
        <v>120</v>
      </c>
      <c r="I1237" s="1" t="str">
        <f aca="false">B1237&amp;"|"&amp;F1237&amp;"|"&amp;G1237</f>
        <v>Creameries|C|Average</v>
      </c>
      <c r="J1237" s="1" t="s">
        <v>815</v>
      </c>
    </row>
    <row r="1238" customFormat="false" ht="12" hidden="false" customHeight="true" outlineLevel="0" collapsed="false">
      <c r="B1238" s="1" t="s">
        <v>813</v>
      </c>
      <c r="C1238" s="1" t="s">
        <v>814</v>
      </c>
      <c r="D1238" s="1" t="s">
        <v>501</v>
      </c>
      <c r="E1238" s="1" t="s">
        <v>543</v>
      </c>
      <c r="F1238" s="1" t="s">
        <v>463</v>
      </c>
      <c r="G1238" s="1" t="s">
        <v>480</v>
      </c>
      <c r="H1238" s="1" t="n">
        <v>82</v>
      </c>
      <c r="I1238" s="1" t="str">
        <f aca="false">B1238&amp;"|"&amp;F1238&amp;"|"&amp;G1238</f>
        <v>Creameries|C|Low Cost</v>
      </c>
      <c r="J1238" s="1" t="s">
        <v>815</v>
      </c>
    </row>
    <row r="1239" customFormat="false" ht="12" hidden="false" customHeight="true" outlineLevel="0" collapsed="false">
      <c r="B1239" s="1" t="s">
        <v>813</v>
      </c>
      <c r="C1239" s="1" t="s">
        <v>814</v>
      </c>
      <c r="D1239" s="1" t="s">
        <v>501</v>
      </c>
      <c r="E1239" s="1" t="s">
        <v>543</v>
      </c>
      <c r="F1239" s="1" t="s">
        <v>468</v>
      </c>
      <c r="G1239" s="1" t="s">
        <v>483</v>
      </c>
      <c r="H1239" s="1" t="n">
        <v>150</v>
      </c>
      <c r="I1239" s="1" t="str">
        <f aca="false">B1239&amp;"|"&amp;F1239&amp;"|"&amp;G1239</f>
        <v>Creameries|D|Good</v>
      </c>
      <c r="J1239" s="1" t="s">
        <v>815</v>
      </c>
    </row>
    <row r="1240" customFormat="false" ht="12" hidden="false" customHeight="true" outlineLevel="0" collapsed="false">
      <c r="B1240" s="1" t="s">
        <v>813</v>
      </c>
      <c r="C1240" s="1" t="s">
        <v>814</v>
      </c>
      <c r="D1240" s="1" t="s">
        <v>501</v>
      </c>
      <c r="E1240" s="1" t="s">
        <v>543</v>
      </c>
      <c r="F1240" s="1" t="s">
        <v>468</v>
      </c>
      <c r="G1240" s="1" t="s">
        <v>279</v>
      </c>
      <c r="H1240" s="1" t="n">
        <v>109</v>
      </c>
      <c r="I1240" s="1" t="str">
        <f aca="false">B1240&amp;"|"&amp;F1240&amp;"|"&amp;G1240</f>
        <v>Creameries|D|Average</v>
      </c>
      <c r="J1240" s="1" t="s">
        <v>815</v>
      </c>
    </row>
    <row r="1241" customFormat="false" ht="12" hidden="false" customHeight="true" outlineLevel="0" collapsed="false">
      <c r="B1241" s="1" t="s">
        <v>813</v>
      </c>
      <c r="C1241" s="1" t="s">
        <v>814</v>
      </c>
      <c r="D1241" s="1" t="s">
        <v>501</v>
      </c>
      <c r="E1241" s="1" t="s">
        <v>543</v>
      </c>
      <c r="F1241" s="1" t="s">
        <v>468</v>
      </c>
      <c r="G1241" s="1" t="s">
        <v>480</v>
      </c>
      <c r="H1241" s="1" t="n">
        <v>73</v>
      </c>
      <c r="I1241" s="1" t="str">
        <f aca="false">B1241&amp;"|"&amp;F1241&amp;"|"&amp;G1241</f>
        <v>Creameries|D|Low Cost</v>
      </c>
      <c r="J1241" s="1" t="s">
        <v>815</v>
      </c>
    </row>
    <row r="1242" customFormat="false" ht="12" hidden="false" customHeight="true" outlineLevel="0" collapsed="false">
      <c r="B1242" s="1" t="s">
        <v>813</v>
      </c>
      <c r="C1242" s="1" t="s">
        <v>814</v>
      </c>
      <c r="D1242" s="1" t="s">
        <v>501</v>
      </c>
      <c r="E1242" s="1" t="s">
        <v>543</v>
      </c>
      <c r="F1242" s="1" t="s">
        <v>473</v>
      </c>
      <c r="G1242" s="1" t="s">
        <v>483</v>
      </c>
      <c r="H1242" s="1" t="n">
        <v>154</v>
      </c>
      <c r="I1242" s="1" t="str">
        <f aca="false">B1242&amp;"|"&amp;F1242&amp;"|"&amp;G1242</f>
        <v>Creameries|S|Good</v>
      </c>
      <c r="J1242" s="1" t="s">
        <v>815</v>
      </c>
    </row>
    <row r="1243" customFormat="false" ht="12" hidden="false" customHeight="true" outlineLevel="0" collapsed="false">
      <c r="B1243" s="1" t="s">
        <v>813</v>
      </c>
      <c r="C1243" s="1" t="s">
        <v>814</v>
      </c>
      <c r="D1243" s="1" t="s">
        <v>501</v>
      </c>
      <c r="E1243" s="1" t="s">
        <v>543</v>
      </c>
      <c r="F1243" s="1" t="s">
        <v>473</v>
      </c>
      <c r="G1243" s="1" t="s">
        <v>279</v>
      </c>
      <c r="H1243" s="1" t="n">
        <v>112</v>
      </c>
      <c r="I1243" s="1" t="str">
        <f aca="false">B1243&amp;"|"&amp;F1243&amp;"|"&amp;G1243</f>
        <v>Creameries|S|Average</v>
      </c>
      <c r="J1243" s="1" t="s">
        <v>815</v>
      </c>
    </row>
    <row r="1244" customFormat="false" ht="12" hidden="false" customHeight="true" outlineLevel="0" collapsed="false">
      <c r="B1244" s="1" t="s">
        <v>813</v>
      </c>
      <c r="C1244" s="1" t="s">
        <v>814</v>
      </c>
      <c r="D1244" s="1" t="s">
        <v>501</v>
      </c>
      <c r="E1244" s="1" t="s">
        <v>543</v>
      </c>
      <c r="F1244" s="1" t="s">
        <v>473</v>
      </c>
      <c r="G1244" s="1" t="s">
        <v>480</v>
      </c>
      <c r="H1244" s="1" t="n">
        <v>75</v>
      </c>
      <c r="I1244" s="1" t="str">
        <f aca="false">B1244&amp;"|"&amp;F1244&amp;"|"&amp;G1244</f>
        <v>Creameries|S|Low Cost</v>
      </c>
      <c r="J1244" s="1" t="s">
        <v>815</v>
      </c>
    </row>
    <row r="1245" customFormat="false" ht="12" hidden="false" customHeight="true" outlineLevel="0" collapsed="false">
      <c r="B1245" s="1" t="s">
        <v>816</v>
      </c>
      <c r="C1245" s="1" t="s">
        <v>817</v>
      </c>
      <c r="D1245" s="1" t="s">
        <v>501</v>
      </c>
      <c r="E1245" s="1" t="s">
        <v>543</v>
      </c>
      <c r="F1245" s="1" t="s">
        <v>463</v>
      </c>
      <c r="G1245" s="1" t="s">
        <v>483</v>
      </c>
      <c r="H1245" s="1" t="n">
        <v>79.5</v>
      </c>
      <c r="I1245" s="1" t="str">
        <f aca="false">B1245&amp;"|"&amp;F1245&amp;"|"&amp;G1245</f>
        <v>Mega (Storage/Distribution) Warehouses|C|Good</v>
      </c>
      <c r="J1245" s="1" t="s">
        <v>815</v>
      </c>
    </row>
    <row r="1246" customFormat="false" ht="12" hidden="false" customHeight="true" outlineLevel="0" collapsed="false">
      <c r="B1246" s="1" t="s">
        <v>816</v>
      </c>
      <c r="C1246" s="1" t="s">
        <v>817</v>
      </c>
      <c r="D1246" s="1" t="s">
        <v>501</v>
      </c>
      <c r="E1246" s="1" t="s">
        <v>543</v>
      </c>
      <c r="F1246" s="1" t="s">
        <v>463</v>
      </c>
      <c r="G1246" s="1" t="s">
        <v>279</v>
      </c>
      <c r="H1246" s="1" t="n">
        <v>52</v>
      </c>
      <c r="I1246" s="1" t="str">
        <f aca="false">B1246&amp;"|"&amp;F1246&amp;"|"&amp;G1246</f>
        <v>Mega (Storage/Distribution) Warehouses|C|Average</v>
      </c>
      <c r="J1246" s="1" t="s">
        <v>815</v>
      </c>
    </row>
    <row r="1247" customFormat="false" ht="12" hidden="false" customHeight="true" outlineLevel="0" collapsed="false">
      <c r="B1247" s="1" t="s">
        <v>816</v>
      </c>
      <c r="C1247" s="1" t="s">
        <v>817</v>
      </c>
      <c r="D1247" s="1" t="s">
        <v>501</v>
      </c>
      <c r="E1247" s="1" t="s">
        <v>543</v>
      </c>
      <c r="F1247" s="1" t="s">
        <v>463</v>
      </c>
      <c r="G1247" s="1" t="s">
        <v>480</v>
      </c>
      <c r="H1247" s="1" t="n">
        <v>34.75</v>
      </c>
      <c r="I1247" s="1" t="str">
        <f aca="false">B1247&amp;"|"&amp;F1247&amp;"|"&amp;G1247</f>
        <v>Mega (Storage/Distribution) Warehouses|C|Low Cost</v>
      </c>
      <c r="J1247" s="1" t="s">
        <v>815</v>
      </c>
    </row>
    <row r="1248" customFormat="false" ht="12" hidden="false" customHeight="true" outlineLevel="0" collapsed="false">
      <c r="B1248" s="1" t="s">
        <v>816</v>
      </c>
      <c r="C1248" s="1" t="s">
        <v>817</v>
      </c>
      <c r="D1248" s="1" t="s">
        <v>501</v>
      </c>
      <c r="E1248" s="1" t="s">
        <v>543</v>
      </c>
      <c r="F1248" s="1" t="s">
        <v>463</v>
      </c>
      <c r="G1248" s="1" t="s">
        <v>567</v>
      </c>
      <c r="H1248" s="1" t="n">
        <v>28.5</v>
      </c>
      <c r="I1248" s="1" t="str">
        <f aca="false">B1248&amp;"|"&amp;F1248&amp;"|"&amp;G1248</f>
        <v>Mega (Storage/Distribution) Warehouses|C|Cheap</v>
      </c>
      <c r="J1248" s="1" t="s">
        <v>815</v>
      </c>
    </row>
    <row r="1249" customFormat="false" ht="12" hidden="false" customHeight="true" outlineLevel="0" collapsed="false">
      <c r="B1249" s="1" t="s">
        <v>816</v>
      </c>
      <c r="C1249" s="1" t="s">
        <v>817</v>
      </c>
      <c r="D1249" s="1" t="s">
        <v>501</v>
      </c>
      <c r="E1249" s="1" t="s">
        <v>543</v>
      </c>
      <c r="F1249" s="1" t="s">
        <v>473</v>
      </c>
      <c r="G1249" s="1" t="s">
        <v>483</v>
      </c>
      <c r="H1249" s="1" t="n">
        <v>77</v>
      </c>
      <c r="I1249" s="1" t="str">
        <f aca="false">B1249&amp;"|"&amp;F1249&amp;"|"&amp;G1249</f>
        <v>Mega (Storage/Distribution) Warehouses|S|Good</v>
      </c>
      <c r="J1249" s="1" t="s">
        <v>815</v>
      </c>
    </row>
    <row r="1250" customFormat="false" ht="12" hidden="false" customHeight="true" outlineLevel="0" collapsed="false">
      <c r="B1250" s="1" t="s">
        <v>816</v>
      </c>
      <c r="C1250" s="1" t="s">
        <v>817</v>
      </c>
      <c r="D1250" s="1" t="s">
        <v>501</v>
      </c>
      <c r="E1250" s="1" t="s">
        <v>543</v>
      </c>
      <c r="F1250" s="1" t="s">
        <v>473</v>
      </c>
      <c r="G1250" s="1" t="s">
        <v>279</v>
      </c>
      <c r="H1250" s="1" t="n">
        <v>52.5</v>
      </c>
      <c r="I1250" s="1" t="str">
        <f aca="false">B1250&amp;"|"&amp;F1250&amp;"|"&amp;G1250</f>
        <v>Mega (Storage/Distribution) Warehouses|S|Average</v>
      </c>
      <c r="J1250" s="1" t="s">
        <v>815</v>
      </c>
    </row>
    <row r="1251" customFormat="false" ht="12" hidden="false" customHeight="true" outlineLevel="0" collapsed="false">
      <c r="B1251" s="1" t="s">
        <v>816</v>
      </c>
      <c r="C1251" s="1" t="s">
        <v>817</v>
      </c>
      <c r="D1251" s="1" t="s">
        <v>501</v>
      </c>
      <c r="E1251" s="1" t="s">
        <v>543</v>
      </c>
      <c r="F1251" s="1" t="s">
        <v>473</v>
      </c>
      <c r="G1251" s="1" t="s">
        <v>480</v>
      </c>
      <c r="H1251" s="1" t="n">
        <v>36.25</v>
      </c>
      <c r="I1251" s="1" t="str">
        <f aca="false">B1251&amp;"|"&amp;F1251&amp;"|"&amp;G1251</f>
        <v>Mega (Storage/Distribution) Warehouses|S|Low Cost</v>
      </c>
      <c r="J1251" s="1" t="s">
        <v>815</v>
      </c>
    </row>
    <row r="1252" customFormat="false" ht="12" hidden="false" customHeight="true" outlineLevel="0" collapsed="false">
      <c r="B1252" s="1" t="s">
        <v>816</v>
      </c>
      <c r="C1252" s="1" t="s">
        <v>817</v>
      </c>
      <c r="D1252" s="1" t="s">
        <v>501</v>
      </c>
      <c r="E1252" s="1" t="s">
        <v>543</v>
      </c>
      <c r="F1252" s="1" t="s">
        <v>473</v>
      </c>
      <c r="G1252" s="1" t="s">
        <v>567</v>
      </c>
      <c r="H1252" s="1" t="n">
        <v>25.5</v>
      </c>
      <c r="I1252" s="1" t="str">
        <f aca="false">B1252&amp;"|"&amp;F1252&amp;"|"&amp;G1252</f>
        <v>Mega (Storage/Distribution) Warehouses|S|Cheap</v>
      </c>
      <c r="J1252" s="1" t="s">
        <v>815</v>
      </c>
    </row>
    <row r="1253" customFormat="false" ht="12" hidden="false" customHeight="true" outlineLevel="0" collapsed="false">
      <c r="B1253" s="1" t="s">
        <v>818</v>
      </c>
      <c r="C1253" s="1" t="s">
        <v>819</v>
      </c>
      <c r="D1253" s="1" t="s">
        <v>501</v>
      </c>
      <c r="E1253" s="1" t="s">
        <v>547</v>
      </c>
      <c r="F1253" s="1" t="s">
        <v>456</v>
      </c>
      <c r="G1253" s="1" t="s">
        <v>483</v>
      </c>
      <c r="H1253" s="1" t="n">
        <v>137</v>
      </c>
      <c r="I1253" s="1" t="str">
        <f aca="false">B1253&amp;"|"&amp;F1253&amp;"|"&amp;G1253</f>
        <v>Storage Warehouses|A|Good</v>
      </c>
      <c r="J1253" s="1" t="s">
        <v>820</v>
      </c>
    </row>
    <row r="1254" customFormat="false" ht="12" hidden="false" customHeight="true" outlineLevel="0" collapsed="false">
      <c r="B1254" s="1" t="s">
        <v>818</v>
      </c>
      <c r="C1254" s="1" t="s">
        <v>819</v>
      </c>
      <c r="D1254" s="1" t="s">
        <v>501</v>
      </c>
      <c r="E1254" s="1" t="s">
        <v>547</v>
      </c>
      <c r="F1254" s="1" t="s">
        <v>456</v>
      </c>
      <c r="G1254" s="1" t="s">
        <v>279</v>
      </c>
      <c r="H1254" s="1" t="n">
        <v>101</v>
      </c>
      <c r="I1254" s="1" t="str">
        <f aca="false">B1254&amp;"|"&amp;F1254&amp;"|"&amp;G1254</f>
        <v>Storage Warehouses|A|Average</v>
      </c>
      <c r="J1254" s="1" t="s">
        <v>820</v>
      </c>
    </row>
    <row r="1255" customFormat="false" ht="12" hidden="false" customHeight="true" outlineLevel="0" collapsed="false">
      <c r="B1255" s="1" t="s">
        <v>818</v>
      </c>
      <c r="C1255" s="1" t="s">
        <v>819</v>
      </c>
      <c r="D1255" s="1" t="s">
        <v>501</v>
      </c>
      <c r="E1255" s="1" t="s">
        <v>547</v>
      </c>
      <c r="F1255" s="1" t="s">
        <v>456</v>
      </c>
      <c r="G1255" s="1" t="s">
        <v>480</v>
      </c>
      <c r="H1255" s="1" t="n">
        <v>79.5</v>
      </c>
      <c r="I1255" s="1" t="str">
        <f aca="false">B1255&amp;"|"&amp;F1255&amp;"|"&amp;G1255</f>
        <v>Storage Warehouses|A|Low Cost</v>
      </c>
      <c r="J1255" s="1" t="s">
        <v>820</v>
      </c>
    </row>
    <row r="1256" customFormat="false" ht="12" hidden="false" customHeight="true" outlineLevel="0" collapsed="false">
      <c r="B1256" s="1" t="s">
        <v>818</v>
      </c>
      <c r="C1256" s="1" t="s">
        <v>819</v>
      </c>
      <c r="D1256" s="1" t="s">
        <v>501</v>
      </c>
      <c r="E1256" s="1" t="s">
        <v>547</v>
      </c>
      <c r="F1256" s="1" t="s">
        <v>461</v>
      </c>
      <c r="G1256" s="1" t="s">
        <v>483</v>
      </c>
      <c r="H1256" s="1" t="n">
        <v>121</v>
      </c>
      <c r="I1256" s="1" t="str">
        <f aca="false">B1256&amp;"|"&amp;F1256&amp;"|"&amp;G1256</f>
        <v>Storage Warehouses|B|Good</v>
      </c>
      <c r="J1256" s="1" t="s">
        <v>820</v>
      </c>
    </row>
    <row r="1257" customFormat="false" ht="12" hidden="false" customHeight="true" outlineLevel="0" collapsed="false">
      <c r="B1257" s="1" t="s">
        <v>818</v>
      </c>
      <c r="C1257" s="1" t="s">
        <v>819</v>
      </c>
      <c r="D1257" s="1" t="s">
        <v>501</v>
      </c>
      <c r="E1257" s="1" t="s">
        <v>547</v>
      </c>
      <c r="F1257" s="1" t="s">
        <v>461</v>
      </c>
      <c r="G1257" s="1" t="s">
        <v>279</v>
      </c>
      <c r="H1257" s="1" t="n">
        <v>88</v>
      </c>
      <c r="I1257" s="1" t="str">
        <f aca="false">B1257&amp;"|"&amp;F1257&amp;"|"&amp;G1257</f>
        <v>Storage Warehouses|B|Average</v>
      </c>
      <c r="J1257" s="1" t="s">
        <v>820</v>
      </c>
    </row>
    <row r="1258" customFormat="false" ht="12" hidden="false" customHeight="true" outlineLevel="0" collapsed="false">
      <c r="B1258" s="1" t="s">
        <v>818</v>
      </c>
      <c r="C1258" s="1" t="s">
        <v>819</v>
      </c>
      <c r="D1258" s="1" t="s">
        <v>501</v>
      </c>
      <c r="E1258" s="1" t="s">
        <v>547</v>
      </c>
      <c r="F1258" s="1" t="s">
        <v>461</v>
      </c>
      <c r="G1258" s="1" t="s">
        <v>480</v>
      </c>
      <c r="H1258" s="1" t="n">
        <v>69</v>
      </c>
      <c r="I1258" s="1" t="str">
        <f aca="false">B1258&amp;"|"&amp;F1258&amp;"|"&amp;G1258</f>
        <v>Storage Warehouses|B|Low Cost</v>
      </c>
      <c r="J1258" s="1" t="s">
        <v>820</v>
      </c>
    </row>
    <row r="1259" customFormat="false" ht="12" hidden="false" customHeight="true" outlineLevel="0" collapsed="false">
      <c r="B1259" s="1" t="s">
        <v>818</v>
      </c>
      <c r="C1259" s="1" t="s">
        <v>819</v>
      </c>
      <c r="D1259" s="1" t="s">
        <v>501</v>
      </c>
      <c r="E1259" s="1" t="s">
        <v>547</v>
      </c>
      <c r="F1259" s="1" t="s">
        <v>463</v>
      </c>
      <c r="G1259" s="1" t="s">
        <v>485</v>
      </c>
      <c r="H1259" s="1" t="n">
        <v>134</v>
      </c>
      <c r="I1259" s="1" t="str">
        <f aca="false">B1259&amp;"|"&amp;F1259&amp;"|"&amp;G1259</f>
        <v>Storage Warehouses|C|Excellent</v>
      </c>
      <c r="J1259" s="1" t="s">
        <v>820</v>
      </c>
    </row>
    <row r="1260" customFormat="false" ht="12" hidden="false" customHeight="true" outlineLevel="0" collapsed="false">
      <c r="B1260" s="1" t="s">
        <v>818</v>
      </c>
      <c r="C1260" s="1" t="s">
        <v>819</v>
      </c>
      <c r="D1260" s="1" t="s">
        <v>501</v>
      </c>
      <c r="E1260" s="1" t="s">
        <v>547</v>
      </c>
      <c r="F1260" s="1" t="s">
        <v>463</v>
      </c>
      <c r="G1260" s="1" t="s">
        <v>483</v>
      </c>
      <c r="H1260" s="1" t="n">
        <v>86.5</v>
      </c>
      <c r="I1260" s="1" t="str">
        <f aca="false">B1260&amp;"|"&amp;F1260&amp;"|"&amp;G1260</f>
        <v>Storage Warehouses|C|Good</v>
      </c>
      <c r="J1260" s="1" t="s">
        <v>820</v>
      </c>
    </row>
    <row r="1261" customFormat="false" ht="12" hidden="false" customHeight="true" outlineLevel="0" collapsed="false">
      <c r="B1261" s="1" t="s">
        <v>818</v>
      </c>
      <c r="C1261" s="1" t="s">
        <v>819</v>
      </c>
      <c r="D1261" s="1" t="s">
        <v>501</v>
      </c>
      <c r="E1261" s="1" t="s">
        <v>547</v>
      </c>
      <c r="F1261" s="1" t="s">
        <v>463</v>
      </c>
      <c r="G1261" s="1" t="s">
        <v>279</v>
      </c>
      <c r="H1261" s="1" t="n">
        <v>61</v>
      </c>
      <c r="I1261" s="1" t="str">
        <f aca="false">B1261&amp;"|"&amp;F1261&amp;"|"&amp;G1261</f>
        <v>Storage Warehouses|C|Average</v>
      </c>
      <c r="J1261" s="1" t="s">
        <v>820</v>
      </c>
    </row>
    <row r="1262" customFormat="false" ht="12" hidden="false" customHeight="true" outlineLevel="0" collapsed="false">
      <c r="B1262" s="1" t="s">
        <v>818</v>
      </c>
      <c r="C1262" s="1" t="s">
        <v>819</v>
      </c>
      <c r="D1262" s="1" t="s">
        <v>501</v>
      </c>
      <c r="E1262" s="1" t="s">
        <v>547</v>
      </c>
      <c r="F1262" s="1" t="s">
        <v>463</v>
      </c>
      <c r="G1262" s="1" t="s">
        <v>480</v>
      </c>
      <c r="H1262" s="1" t="n">
        <v>43</v>
      </c>
      <c r="I1262" s="1" t="str">
        <f aca="false">B1262&amp;"|"&amp;F1262&amp;"|"&amp;G1262</f>
        <v>Storage Warehouses|C|Low Cost</v>
      </c>
      <c r="J1262" s="1" t="s">
        <v>820</v>
      </c>
    </row>
    <row r="1263" customFormat="false" ht="12" hidden="false" customHeight="true" outlineLevel="0" collapsed="false">
      <c r="B1263" s="1" t="s">
        <v>818</v>
      </c>
      <c r="C1263" s="1" t="s">
        <v>819</v>
      </c>
      <c r="D1263" s="1" t="s">
        <v>501</v>
      </c>
      <c r="E1263" s="1" t="s">
        <v>547</v>
      </c>
      <c r="F1263" s="1" t="s">
        <v>519</v>
      </c>
      <c r="G1263" s="1" t="s">
        <v>483</v>
      </c>
      <c r="H1263" s="1" t="n">
        <v>119</v>
      </c>
      <c r="I1263" s="1" t="str">
        <f aca="false">B1263&amp;"|"&amp;F1263&amp;"|"&amp;G1263</f>
        <v>Storage Warehouses|CMILL|Good</v>
      </c>
      <c r="J1263" s="1" t="s">
        <v>820</v>
      </c>
    </row>
    <row r="1264" customFormat="false" ht="12" hidden="false" customHeight="true" outlineLevel="0" collapsed="false">
      <c r="B1264" s="1" t="s">
        <v>818</v>
      </c>
      <c r="C1264" s="1" t="s">
        <v>819</v>
      </c>
      <c r="D1264" s="1" t="s">
        <v>501</v>
      </c>
      <c r="E1264" s="1" t="s">
        <v>547</v>
      </c>
      <c r="F1264" s="1" t="s">
        <v>519</v>
      </c>
      <c r="G1264" s="1" t="s">
        <v>279</v>
      </c>
      <c r="H1264" s="1" t="n">
        <v>82</v>
      </c>
      <c r="I1264" s="1" t="str">
        <f aca="false">B1264&amp;"|"&amp;F1264&amp;"|"&amp;G1264</f>
        <v>Storage Warehouses|CMILL|Average</v>
      </c>
      <c r="J1264" s="1" t="s">
        <v>820</v>
      </c>
    </row>
    <row r="1265" customFormat="false" ht="12" hidden="false" customHeight="true" outlineLevel="0" collapsed="false">
      <c r="B1265" s="1" t="s">
        <v>818</v>
      </c>
      <c r="C1265" s="1" t="s">
        <v>819</v>
      </c>
      <c r="D1265" s="1" t="s">
        <v>501</v>
      </c>
      <c r="E1265" s="1" t="s">
        <v>547</v>
      </c>
      <c r="F1265" s="1" t="s">
        <v>468</v>
      </c>
      <c r="G1265" s="1" t="s">
        <v>483</v>
      </c>
      <c r="H1265" s="1" t="n">
        <v>78</v>
      </c>
      <c r="I1265" s="1" t="str">
        <f aca="false">B1265&amp;"|"&amp;F1265&amp;"|"&amp;G1265</f>
        <v>Storage Warehouses|D|Good</v>
      </c>
      <c r="J1265" s="1" t="s">
        <v>820</v>
      </c>
    </row>
    <row r="1266" customFormat="false" ht="12" hidden="false" customHeight="true" outlineLevel="0" collapsed="false">
      <c r="B1266" s="1" t="s">
        <v>818</v>
      </c>
      <c r="C1266" s="1" t="s">
        <v>819</v>
      </c>
      <c r="D1266" s="1" t="s">
        <v>501</v>
      </c>
      <c r="E1266" s="1" t="s">
        <v>547</v>
      </c>
      <c r="F1266" s="1" t="s">
        <v>468</v>
      </c>
      <c r="G1266" s="1" t="s">
        <v>279</v>
      </c>
      <c r="H1266" s="1" t="n">
        <v>54.5</v>
      </c>
      <c r="I1266" s="1" t="str">
        <f aca="false">B1266&amp;"|"&amp;F1266&amp;"|"&amp;G1266</f>
        <v>Storage Warehouses|D|Average</v>
      </c>
      <c r="J1266" s="1" t="s">
        <v>820</v>
      </c>
    </row>
    <row r="1267" customFormat="false" ht="12" hidden="false" customHeight="true" outlineLevel="0" collapsed="false">
      <c r="B1267" s="1" t="s">
        <v>818</v>
      </c>
      <c r="C1267" s="1" t="s">
        <v>819</v>
      </c>
      <c r="D1267" s="1" t="s">
        <v>501</v>
      </c>
      <c r="E1267" s="1" t="s">
        <v>547</v>
      </c>
      <c r="F1267" s="1" t="s">
        <v>468</v>
      </c>
      <c r="G1267" s="1" t="s">
        <v>480</v>
      </c>
      <c r="H1267" s="1" t="n">
        <v>38.75</v>
      </c>
      <c r="I1267" s="1" t="str">
        <f aca="false">B1267&amp;"|"&amp;F1267&amp;"|"&amp;G1267</f>
        <v>Storage Warehouses|D|Low Cost</v>
      </c>
      <c r="J1267" s="1" t="s">
        <v>820</v>
      </c>
    </row>
    <row r="1268" customFormat="false" ht="12" hidden="false" customHeight="true" outlineLevel="0" collapsed="false">
      <c r="B1268" s="1" t="s">
        <v>818</v>
      </c>
      <c r="C1268" s="1" t="s">
        <v>819</v>
      </c>
      <c r="D1268" s="1" t="s">
        <v>501</v>
      </c>
      <c r="E1268" s="1" t="s">
        <v>547</v>
      </c>
      <c r="F1268" s="1" t="s">
        <v>566</v>
      </c>
      <c r="G1268" s="1" t="s">
        <v>279</v>
      </c>
      <c r="H1268" s="1" t="n">
        <v>48</v>
      </c>
      <c r="I1268" s="1" t="str">
        <f aca="false">B1268&amp;"|"&amp;F1268&amp;"|"&amp;G1268</f>
        <v>Storage Warehouses|DPOLE|Average</v>
      </c>
      <c r="J1268" s="1" t="s">
        <v>820</v>
      </c>
    </row>
    <row r="1269" customFormat="false" ht="12" hidden="false" customHeight="true" outlineLevel="0" collapsed="false">
      <c r="B1269" s="1" t="s">
        <v>818</v>
      </c>
      <c r="C1269" s="1" t="s">
        <v>819</v>
      </c>
      <c r="D1269" s="1" t="s">
        <v>501</v>
      </c>
      <c r="E1269" s="1" t="s">
        <v>547</v>
      </c>
      <c r="F1269" s="1" t="s">
        <v>566</v>
      </c>
      <c r="G1269" s="1" t="s">
        <v>480</v>
      </c>
      <c r="H1269" s="1" t="n">
        <v>34</v>
      </c>
      <c r="I1269" s="1" t="str">
        <f aca="false">B1269&amp;"|"&amp;F1269&amp;"|"&amp;G1269</f>
        <v>Storage Warehouses|DPOLE|Low Cost</v>
      </c>
      <c r="J1269" s="1" t="s">
        <v>820</v>
      </c>
    </row>
    <row r="1270" customFormat="false" ht="12" hidden="false" customHeight="true" outlineLevel="0" collapsed="false">
      <c r="B1270" s="1" t="s">
        <v>818</v>
      </c>
      <c r="C1270" s="1" t="s">
        <v>819</v>
      </c>
      <c r="D1270" s="1" t="s">
        <v>501</v>
      </c>
      <c r="E1270" s="1" t="s">
        <v>547</v>
      </c>
      <c r="F1270" s="1" t="s">
        <v>473</v>
      </c>
      <c r="G1270" s="1" t="s">
        <v>485</v>
      </c>
      <c r="H1270" s="1" t="n">
        <v>125</v>
      </c>
      <c r="I1270" s="1" t="str">
        <f aca="false">B1270&amp;"|"&amp;F1270&amp;"|"&amp;G1270</f>
        <v>Storage Warehouses|S|Excellent</v>
      </c>
      <c r="J1270" s="1" t="s">
        <v>820</v>
      </c>
    </row>
    <row r="1271" customFormat="false" ht="12" hidden="false" customHeight="true" outlineLevel="0" collapsed="false">
      <c r="B1271" s="1" t="s">
        <v>818</v>
      </c>
      <c r="C1271" s="1" t="s">
        <v>819</v>
      </c>
      <c r="D1271" s="1" t="s">
        <v>501</v>
      </c>
      <c r="E1271" s="1" t="s">
        <v>547</v>
      </c>
      <c r="F1271" s="1" t="s">
        <v>473</v>
      </c>
      <c r="G1271" s="1" t="s">
        <v>483</v>
      </c>
      <c r="H1271" s="1" t="n">
        <v>79.5</v>
      </c>
      <c r="I1271" s="1" t="str">
        <f aca="false">B1271&amp;"|"&amp;F1271&amp;"|"&amp;G1271</f>
        <v>Storage Warehouses|S|Good</v>
      </c>
      <c r="J1271" s="1" t="s">
        <v>820</v>
      </c>
    </row>
    <row r="1272" customFormat="false" ht="12" hidden="false" customHeight="true" outlineLevel="0" collapsed="false">
      <c r="B1272" s="1" t="s">
        <v>818</v>
      </c>
      <c r="C1272" s="1" t="s">
        <v>819</v>
      </c>
      <c r="D1272" s="1" t="s">
        <v>501</v>
      </c>
      <c r="E1272" s="1" t="s">
        <v>547</v>
      </c>
      <c r="F1272" s="1" t="s">
        <v>473</v>
      </c>
      <c r="G1272" s="1" t="s">
        <v>279</v>
      </c>
      <c r="H1272" s="1" t="n">
        <v>55.5</v>
      </c>
      <c r="I1272" s="1" t="str">
        <f aca="false">B1272&amp;"|"&amp;F1272&amp;"|"&amp;G1272</f>
        <v>Storage Warehouses|S|Average</v>
      </c>
      <c r="J1272" s="1" t="s">
        <v>820</v>
      </c>
    </row>
    <row r="1273" customFormat="false" ht="12" hidden="false" customHeight="true" outlineLevel="0" collapsed="false">
      <c r="B1273" s="1" t="s">
        <v>818</v>
      </c>
      <c r="C1273" s="1" t="s">
        <v>819</v>
      </c>
      <c r="D1273" s="1" t="s">
        <v>501</v>
      </c>
      <c r="E1273" s="1" t="s">
        <v>547</v>
      </c>
      <c r="F1273" s="1" t="s">
        <v>473</v>
      </c>
      <c r="G1273" s="1" t="s">
        <v>480</v>
      </c>
      <c r="H1273" s="1" t="n">
        <v>38.75</v>
      </c>
      <c r="I1273" s="1" t="str">
        <f aca="false">B1273&amp;"|"&amp;F1273&amp;"|"&amp;G1273</f>
        <v>Storage Warehouses|S|Low Cost</v>
      </c>
      <c r="J1273" s="1" t="s">
        <v>820</v>
      </c>
    </row>
    <row r="1274" customFormat="false" ht="12" hidden="false" customHeight="true" outlineLevel="0" collapsed="false">
      <c r="B1274" s="1" t="s">
        <v>821</v>
      </c>
      <c r="C1274" s="1" t="s">
        <v>822</v>
      </c>
      <c r="D1274" s="1" t="s">
        <v>501</v>
      </c>
      <c r="E1274" s="1" t="s">
        <v>553</v>
      </c>
      <c r="F1274" s="1" t="s">
        <v>463</v>
      </c>
      <c r="G1274" s="1" t="s">
        <v>483</v>
      </c>
      <c r="H1274" s="1" t="n">
        <v>68.5</v>
      </c>
      <c r="I1274" s="1" t="str">
        <f aca="false">B1274&amp;"|"&amp;F1274&amp;"|"&amp;G1274</f>
        <v>Mini-Warehouses / Self-Storage|C|Good</v>
      </c>
      <c r="J1274" s="1" t="s">
        <v>823</v>
      </c>
    </row>
    <row r="1275" customFormat="false" ht="12" hidden="false" customHeight="true" outlineLevel="0" collapsed="false">
      <c r="B1275" s="1" t="s">
        <v>821</v>
      </c>
      <c r="C1275" s="1" t="s">
        <v>822</v>
      </c>
      <c r="D1275" s="1" t="s">
        <v>501</v>
      </c>
      <c r="E1275" s="1" t="s">
        <v>553</v>
      </c>
      <c r="F1275" s="1" t="s">
        <v>463</v>
      </c>
      <c r="G1275" s="1" t="s">
        <v>279</v>
      </c>
      <c r="H1275" s="1" t="n">
        <v>51</v>
      </c>
      <c r="I1275" s="1" t="str">
        <f aca="false">B1275&amp;"|"&amp;F1275&amp;"|"&amp;G1275</f>
        <v>Mini-Warehouses / Self-Storage|C|Average</v>
      </c>
      <c r="J1275" s="1" t="s">
        <v>823</v>
      </c>
    </row>
    <row r="1276" customFormat="false" ht="12" hidden="false" customHeight="true" outlineLevel="0" collapsed="false">
      <c r="B1276" s="1" t="s">
        <v>821</v>
      </c>
      <c r="C1276" s="1" t="s">
        <v>822</v>
      </c>
      <c r="D1276" s="1" t="s">
        <v>501</v>
      </c>
      <c r="E1276" s="1" t="s">
        <v>553</v>
      </c>
      <c r="F1276" s="1" t="s">
        <v>463</v>
      </c>
      <c r="G1276" s="1" t="s">
        <v>480</v>
      </c>
      <c r="H1276" s="1" t="n">
        <v>38.25</v>
      </c>
      <c r="I1276" s="1" t="str">
        <f aca="false">B1276&amp;"|"&amp;F1276&amp;"|"&amp;G1276</f>
        <v>Mini-Warehouses / Self-Storage|C|Low Cost</v>
      </c>
      <c r="J1276" s="1" t="s">
        <v>823</v>
      </c>
    </row>
    <row r="1277" customFormat="false" ht="12" hidden="false" customHeight="true" outlineLevel="0" collapsed="false">
      <c r="B1277" s="1" t="s">
        <v>821</v>
      </c>
      <c r="C1277" s="1" t="s">
        <v>822</v>
      </c>
      <c r="D1277" s="1" t="s">
        <v>501</v>
      </c>
      <c r="E1277" s="1" t="s">
        <v>553</v>
      </c>
      <c r="F1277" s="1" t="s">
        <v>468</v>
      </c>
      <c r="G1277" s="1" t="s">
        <v>483</v>
      </c>
      <c r="H1277" s="1" t="n">
        <v>63.5</v>
      </c>
      <c r="I1277" s="1" t="str">
        <f aca="false">B1277&amp;"|"&amp;F1277&amp;"|"&amp;G1277</f>
        <v>Mini-Warehouses / Self-Storage|D|Good</v>
      </c>
      <c r="J1277" s="1" t="s">
        <v>823</v>
      </c>
    </row>
    <row r="1278" customFormat="false" ht="12" hidden="false" customHeight="true" outlineLevel="0" collapsed="false">
      <c r="B1278" s="1" t="s">
        <v>821</v>
      </c>
      <c r="C1278" s="1" t="s">
        <v>822</v>
      </c>
      <c r="D1278" s="1" t="s">
        <v>501</v>
      </c>
      <c r="E1278" s="1" t="s">
        <v>553</v>
      </c>
      <c r="F1278" s="1" t="s">
        <v>468</v>
      </c>
      <c r="G1278" s="1" t="s">
        <v>279</v>
      </c>
      <c r="H1278" s="1" t="n">
        <v>47.5</v>
      </c>
      <c r="I1278" s="1" t="str">
        <f aca="false">B1278&amp;"|"&amp;F1278&amp;"|"&amp;G1278</f>
        <v>Mini-Warehouses / Self-Storage|D|Average</v>
      </c>
      <c r="J1278" s="1" t="s">
        <v>823</v>
      </c>
    </row>
    <row r="1279" customFormat="false" ht="12" hidden="false" customHeight="true" outlineLevel="0" collapsed="false">
      <c r="B1279" s="1" t="s">
        <v>821</v>
      </c>
      <c r="C1279" s="1" t="s">
        <v>822</v>
      </c>
      <c r="D1279" s="1" t="s">
        <v>501</v>
      </c>
      <c r="E1279" s="1" t="s">
        <v>553</v>
      </c>
      <c r="F1279" s="1" t="s">
        <v>468</v>
      </c>
      <c r="G1279" s="1" t="s">
        <v>480</v>
      </c>
      <c r="H1279" s="1" t="n">
        <v>35.5</v>
      </c>
      <c r="I1279" s="1" t="str">
        <f aca="false">B1279&amp;"|"&amp;F1279&amp;"|"&amp;G1279</f>
        <v>Mini-Warehouses / Self-Storage|D|Low Cost</v>
      </c>
      <c r="J1279" s="1" t="s">
        <v>823</v>
      </c>
    </row>
    <row r="1280" customFormat="false" ht="12" hidden="false" customHeight="true" outlineLevel="0" collapsed="false">
      <c r="B1280" s="1" t="s">
        <v>821</v>
      </c>
      <c r="C1280" s="1" t="s">
        <v>822</v>
      </c>
      <c r="D1280" s="1" t="s">
        <v>501</v>
      </c>
      <c r="E1280" s="1" t="s">
        <v>553</v>
      </c>
      <c r="F1280" s="1" t="s">
        <v>566</v>
      </c>
      <c r="G1280" s="1" t="s">
        <v>483</v>
      </c>
      <c r="H1280" s="1" t="n">
        <v>58.5</v>
      </c>
      <c r="I1280" s="1" t="str">
        <f aca="false">B1280&amp;"|"&amp;F1280&amp;"|"&amp;G1280</f>
        <v>Mini-Warehouses / Self-Storage|DPOLE|Good</v>
      </c>
      <c r="J1280" s="1" t="s">
        <v>823</v>
      </c>
    </row>
    <row r="1281" customFormat="false" ht="12" hidden="false" customHeight="true" outlineLevel="0" collapsed="false">
      <c r="B1281" s="1" t="s">
        <v>821</v>
      </c>
      <c r="C1281" s="1" t="s">
        <v>822</v>
      </c>
      <c r="D1281" s="1" t="s">
        <v>501</v>
      </c>
      <c r="E1281" s="1" t="s">
        <v>553</v>
      </c>
      <c r="F1281" s="1" t="s">
        <v>566</v>
      </c>
      <c r="G1281" s="1" t="s">
        <v>279</v>
      </c>
      <c r="H1281" s="1" t="n">
        <v>43.5</v>
      </c>
      <c r="I1281" s="1" t="str">
        <f aca="false">B1281&amp;"|"&amp;F1281&amp;"|"&amp;G1281</f>
        <v>Mini-Warehouses / Self-Storage|DPOLE|Average</v>
      </c>
      <c r="J1281" s="1" t="s">
        <v>823</v>
      </c>
    </row>
    <row r="1282" customFormat="false" ht="12" hidden="false" customHeight="true" outlineLevel="0" collapsed="false">
      <c r="B1282" s="1" t="s">
        <v>821</v>
      </c>
      <c r="C1282" s="1" t="s">
        <v>822</v>
      </c>
      <c r="D1282" s="1" t="s">
        <v>501</v>
      </c>
      <c r="E1282" s="1" t="s">
        <v>553</v>
      </c>
      <c r="F1282" s="1" t="s">
        <v>566</v>
      </c>
      <c r="G1282" s="1" t="s">
        <v>480</v>
      </c>
      <c r="H1282" s="1" t="n">
        <v>32.5</v>
      </c>
      <c r="I1282" s="1" t="str">
        <f aca="false">B1282&amp;"|"&amp;F1282&amp;"|"&amp;G1282</f>
        <v>Mini-Warehouses / Self-Storage|DPOLE|Low Cost</v>
      </c>
      <c r="J1282" s="1" t="s">
        <v>823</v>
      </c>
    </row>
    <row r="1283" customFormat="false" ht="12" hidden="false" customHeight="true" outlineLevel="0" collapsed="false">
      <c r="B1283" s="1" t="s">
        <v>821</v>
      </c>
      <c r="C1283" s="1" t="s">
        <v>822</v>
      </c>
      <c r="D1283" s="1" t="s">
        <v>501</v>
      </c>
      <c r="E1283" s="1" t="s">
        <v>553</v>
      </c>
      <c r="F1283" s="1" t="s">
        <v>473</v>
      </c>
      <c r="G1283" s="1" t="s">
        <v>483</v>
      </c>
      <c r="H1283" s="1" t="n">
        <v>63.5</v>
      </c>
      <c r="I1283" s="1" t="str">
        <f aca="false">B1283&amp;"|"&amp;F1283&amp;"|"&amp;G1283</f>
        <v>Mini-Warehouses / Self-Storage|S|Good</v>
      </c>
      <c r="J1283" s="1" t="s">
        <v>823</v>
      </c>
    </row>
    <row r="1284" customFormat="false" ht="12" hidden="false" customHeight="true" outlineLevel="0" collapsed="false">
      <c r="B1284" s="1" t="s">
        <v>821</v>
      </c>
      <c r="C1284" s="1" t="s">
        <v>822</v>
      </c>
      <c r="D1284" s="1" t="s">
        <v>501</v>
      </c>
      <c r="E1284" s="1" t="s">
        <v>553</v>
      </c>
      <c r="F1284" s="1" t="s">
        <v>473</v>
      </c>
      <c r="G1284" s="1" t="s">
        <v>279</v>
      </c>
      <c r="H1284" s="1" t="n">
        <v>47.5</v>
      </c>
      <c r="I1284" s="1" t="str">
        <f aca="false">B1284&amp;"|"&amp;F1284&amp;"|"&amp;G1284</f>
        <v>Mini-Warehouses / Self-Storage|S|Average</v>
      </c>
      <c r="J1284" s="1" t="s">
        <v>823</v>
      </c>
    </row>
    <row r="1285" customFormat="false" ht="12" hidden="false" customHeight="true" outlineLevel="0" collapsed="false">
      <c r="B1285" s="1" t="s">
        <v>821</v>
      </c>
      <c r="C1285" s="1" t="s">
        <v>822</v>
      </c>
      <c r="D1285" s="1" t="s">
        <v>501</v>
      </c>
      <c r="E1285" s="1" t="s">
        <v>553</v>
      </c>
      <c r="F1285" s="1" t="s">
        <v>473</v>
      </c>
      <c r="G1285" s="1" t="s">
        <v>480</v>
      </c>
      <c r="H1285" s="1" t="n">
        <v>35.5</v>
      </c>
      <c r="I1285" s="1" t="str">
        <f aca="false">B1285&amp;"|"&amp;F1285&amp;"|"&amp;G1285</f>
        <v>Mini-Warehouses / Self-Storage|S|Low Cost</v>
      </c>
      <c r="J1285" s="1" t="s">
        <v>823</v>
      </c>
    </row>
    <row r="1286" customFormat="false" ht="12" hidden="false" customHeight="true" outlineLevel="0" collapsed="false">
      <c r="B1286" s="1" t="s">
        <v>821</v>
      </c>
      <c r="C1286" s="1" t="s">
        <v>822</v>
      </c>
      <c r="D1286" s="1" t="s">
        <v>501</v>
      </c>
      <c r="E1286" s="1" t="s">
        <v>553</v>
      </c>
      <c r="F1286" s="1" t="s">
        <v>473</v>
      </c>
      <c r="G1286" s="1" t="s">
        <v>567</v>
      </c>
      <c r="H1286" s="1" t="n">
        <v>26.25</v>
      </c>
      <c r="I1286" s="1" t="str">
        <f aca="false">B1286&amp;"|"&amp;F1286&amp;"|"&amp;G1286</f>
        <v>Mini-Warehouses / Self-Storage|S|Cheap</v>
      </c>
      <c r="J1286" s="1" t="s">
        <v>823</v>
      </c>
    </row>
    <row r="1287" customFormat="false" ht="12" hidden="false" customHeight="true" outlineLevel="0" collapsed="false">
      <c r="B1287" s="1" t="s">
        <v>824</v>
      </c>
      <c r="C1287" s="1" t="s">
        <v>825</v>
      </c>
      <c r="D1287" s="1" t="s">
        <v>501</v>
      </c>
      <c r="E1287" s="1" t="s">
        <v>553</v>
      </c>
      <c r="F1287" s="1" t="s">
        <v>523</v>
      </c>
      <c r="G1287" s="1" t="s">
        <v>279</v>
      </c>
      <c r="H1287" s="1" t="n">
        <v>94</v>
      </c>
      <c r="I1287" s="1" t="str">
        <f aca="false">B1287&amp;"|"&amp;F1287&amp;"|"&amp;G1287</f>
        <v>Mini-Warehouses, High-Rise|A-B|Average</v>
      </c>
      <c r="J1287" s="1" t="s">
        <v>823</v>
      </c>
    </row>
    <row r="1288" customFormat="false" ht="12" hidden="false" customHeight="true" outlineLevel="0" collapsed="false">
      <c r="B1288" s="1" t="s">
        <v>824</v>
      </c>
      <c r="C1288" s="1" t="s">
        <v>825</v>
      </c>
      <c r="D1288" s="1" t="s">
        <v>501</v>
      </c>
      <c r="E1288" s="1" t="s">
        <v>553</v>
      </c>
      <c r="F1288" s="1" t="s">
        <v>463</v>
      </c>
      <c r="G1288" s="1" t="s">
        <v>483</v>
      </c>
      <c r="H1288" s="1" t="n">
        <v>86.5</v>
      </c>
      <c r="I1288" s="1" t="str">
        <f aca="false">B1288&amp;"|"&amp;F1288&amp;"|"&amp;G1288</f>
        <v>Mini-Warehouses, High-Rise|C|Good</v>
      </c>
      <c r="J1288" s="1" t="s">
        <v>823</v>
      </c>
    </row>
    <row r="1289" customFormat="false" ht="12" hidden="false" customHeight="true" outlineLevel="0" collapsed="false">
      <c r="B1289" s="1" t="s">
        <v>824</v>
      </c>
      <c r="C1289" s="1" t="s">
        <v>825</v>
      </c>
      <c r="D1289" s="1" t="s">
        <v>501</v>
      </c>
      <c r="E1289" s="1" t="s">
        <v>553</v>
      </c>
      <c r="F1289" s="1" t="s">
        <v>463</v>
      </c>
      <c r="G1289" s="1" t="s">
        <v>279</v>
      </c>
      <c r="H1289" s="1" t="n">
        <v>66</v>
      </c>
      <c r="I1289" s="1" t="str">
        <f aca="false">B1289&amp;"|"&amp;F1289&amp;"|"&amp;G1289</f>
        <v>Mini-Warehouses, High-Rise|C|Average</v>
      </c>
      <c r="J1289" s="1" t="s">
        <v>823</v>
      </c>
    </row>
    <row r="1290" customFormat="false" ht="12" hidden="false" customHeight="true" outlineLevel="0" collapsed="false">
      <c r="B1290" s="1" t="s">
        <v>824</v>
      </c>
      <c r="C1290" s="1" t="s">
        <v>825</v>
      </c>
      <c r="D1290" s="1" t="s">
        <v>501</v>
      </c>
      <c r="E1290" s="1" t="s">
        <v>553</v>
      </c>
      <c r="F1290" s="1" t="s">
        <v>468</v>
      </c>
      <c r="G1290" s="1" t="s">
        <v>483</v>
      </c>
      <c r="H1290" s="1" t="n">
        <v>79.5</v>
      </c>
      <c r="I1290" s="1" t="str">
        <f aca="false">B1290&amp;"|"&amp;F1290&amp;"|"&amp;G1290</f>
        <v>Mini-Warehouses, High-Rise|D|Good</v>
      </c>
      <c r="J1290" s="1" t="s">
        <v>823</v>
      </c>
    </row>
    <row r="1291" customFormat="false" ht="12" hidden="false" customHeight="true" outlineLevel="0" collapsed="false">
      <c r="B1291" s="1" t="s">
        <v>824</v>
      </c>
      <c r="C1291" s="1" t="s">
        <v>825</v>
      </c>
      <c r="D1291" s="1" t="s">
        <v>501</v>
      </c>
      <c r="E1291" s="1" t="s">
        <v>553</v>
      </c>
      <c r="F1291" s="1" t="s">
        <v>473</v>
      </c>
      <c r="G1291" s="1" t="s">
        <v>483</v>
      </c>
      <c r="H1291" s="1" t="n">
        <v>81</v>
      </c>
      <c r="I1291" s="1" t="str">
        <f aca="false">B1291&amp;"|"&amp;F1291&amp;"|"&amp;G1291</f>
        <v>Mini-Warehouses, High-Rise|S|Good</v>
      </c>
      <c r="J1291" s="1" t="s">
        <v>823</v>
      </c>
    </row>
    <row r="1292" customFormat="false" ht="12" hidden="false" customHeight="true" outlineLevel="0" collapsed="false">
      <c r="B1292" s="1" t="s">
        <v>826</v>
      </c>
      <c r="C1292" s="1" t="s">
        <v>827</v>
      </c>
      <c r="D1292" s="1" t="s">
        <v>501</v>
      </c>
      <c r="E1292" s="1" t="s">
        <v>562</v>
      </c>
      <c r="F1292" s="1" t="s">
        <v>463</v>
      </c>
      <c r="G1292" s="1" t="s">
        <v>485</v>
      </c>
      <c r="H1292" s="1" t="n">
        <v>165</v>
      </c>
      <c r="I1292" s="1" t="str">
        <f aca="false">B1292&amp;"|"&amp;F1292&amp;"|"&amp;G1292</f>
        <v>Maintenance Hangars|C|Excellent</v>
      </c>
      <c r="J1292" s="1" t="s">
        <v>828</v>
      </c>
    </row>
    <row r="1293" customFormat="false" ht="12" hidden="false" customHeight="true" outlineLevel="0" collapsed="false">
      <c r="B1293" s="1" t="s">
        <v>826</v>
      </c>
      <c r="C1293" s="1" t="s">
        <v>827</v>
      </c>
      <c r="D1293" s="1" t="s">
        <v>501</v>
      </c>
      <c r="E1293" s="1" t="s">
        <v>562</v>
      </c>
      <c r="F1293" s="1" t="s">
        <v>463</v>
      </c>
      <c r="G1293" s="1" t="s">
        <v>483</v>
      </c>
      <c r="H1293" s="1" t="n">
        <v>111</v>
      </c>
      <c r="I1293" s="1" t="str">
        <f aca="false">B1293&amp;"|"&amp;F1293&amp;"|"&amp;G1293</f>
        <v>Maintenance Hangars|C|Good</v>
      </c>
      <c r="J1293" s="1" t="s">
        <v>828</v>
      </c>
    </row>
    <row r="1294" customFormat="false" ht="12" hidden="false" customHeight="true" outlineLevel="0" collapsed="false">
      <c r="B1294" s="1" t="s">
        <v>826</v>
      </c>
      <c r="C1294" s="1" t="s">
        <v>827</v>
      </c>
      <c r="D1294" s="1" t="s">
        <v>501</v>
      </c>
      <c r="E1294" s="1" t="s">
        <v>562</v>
      </c>
      <c r="F1294" s="1" t="s">
        <v>463</v>
      </c>
      <c r="G1294" s="1" t="s">
        <v>279</v>
      </c>
      <c r="H1294" s="1" t="n">
        <v>80</v>
      </c>
      <c r="I1294" s="1" t="str">
        <f aca="false">B1294&amp;"|"&amp;F1294&amp;"|"&amp;G1294</f>
        <v>Maintenance Hangars|C|Average</v>
      </c>
      <c r="J1294" s="1" t="s">
        <v>828</v>
      </c>
    </row>
    <row r="1295" customFormat="false" ht="12" hidden="false" customHeight="true" outlineLevel="0" collapsed="false">
      <c r="B1295" s="1" t="s">
        <v>826</v>
      </c>
      <c r="C1295" s="1" t="s">
        <v>827</v>
      </c>
      <c r="D1295" s="1" t="s">
        <v>501</v>
      </c>
      <c r="E1295" s="1" t="s">
        <v>562</v>
      </c>
      <c r="F1295" s="1" t="s">
        <v>463</v>
      </c>
      <c r="G1295" s="1" t="s">
        <v>480</v>
      </c>
      <c r="H1295" s="1" t="n">
        <v>57.5</v>
      </c>
      <c r="I1295" s="1" t="str">
        <f aca="false">B1295&amp;"|"&amp;F1295&amp;"|"&amp;G1295</f>
        <v>Maintenance Hangars|C|Low Cost</v>
      </c>
      <c r="J1295" s="1" t="s">
        <v>828</v>
      </c>
    </row>
    <row r="1296" customFormat="false" ht="12" hidden="false" customHeight="true" outlineLevel="0" collapsed="false">
      <c r="B1296" s="1" t="s">
        <v>826</v>
      </c>
      <c r="C1296" s="1" t="s">
        <v>827</v>
      </c>
      <c r="D1296" s="1" t="s">
        <v>501</v>
      </c>
      <c r="E1296" s="1" t="s">
        <v>562</v>
      </c>
      <c r="F1296" s="1" t="s">
        <v>468</v>
      </c>
      <c r="G1296" s="1" t="s">
        <v>279</v>
      </c>
      <c r="H1296" s="1" t="n">
        <v>73</v>
      </c>
      <c r="I1296" s="1" t="str">
        <f aca="false">B1296&amp;"|"&amp;F1296&amp;"|"&amp;G1296</f>
        <v>Maintenance Hangars|D|Average</v>
      </c>
      <c r="J1296" s="1" t="s">
        <v>828</v>
      </c>
    </row>
    <row r="1297" customFormat="false" ht="12" hidden="false" customHeight="true" outlineLevel="0" collapsed="false">
      <c r="B1297" s="1" t="s">
        <v>826</v>
      </c>
      <c r="C1297" s="1" t="s">
        <v>827</v>
      </c>
      <c r="D1297" s="1" t="s">
        <v>501</v>
      </c>
      <c r="E1297" s="1" t="s">
        <v>562</v>
      </c>
      <c r="F1297" s="1" t="s">
        <v>468</v>
      </c>
      <c r="G1297" s="1" t="s">
        <v>480</v>
      </c>
      <c r="H1297" s="1" t="n">
        <v>52.5</v>
      </c>
      <c r="I1297" s="1" t="str">
        <f aca="false">B1297&amp;"|"&amp;F1297&amp;"|"&amp;G1297</f>
        <v>Maintenance Hangars|D|Low Cost</v>
      </c>
      <c r="J1297" s="1" t="s">
        <v>828</v>
      </c>
    </row>
    <row r="1298" customFormat="false" ht="12" hidden="false" customHeight="true" outlineLevel="0" collapsed="false">
      <c r="B1298" s="1" t="s">
        <v>826</v>
      </c>
      <c r="C1298" s="1" t="s">
        <v>827</v>
      </c>
      <c r="D1298" s="1" t="s">
        <v>501</v>
      </c>
      <c r="E1298" s="1" t="s">
        <v>562</v>
      </c>
      <c r="F1298" s="1" t="s">
        <v>473</v>
      </c>
      <c r="G1298" s="1" t="s">
        <v>485</v>
      </c>
      <c r="H1298" s="1" t="n">
        <v>158</v>
      </c>
      <c r="I1298" s="1" t="str">
        <f aca="false">B1298&amp;"|"&amp;F1298&amp;"|"&amp;G1298</f>
        <v>Maintenance Hangars|S|Excellent</v>
      </c>
      <c r="J1298" s="1" t="s">
        <v>828</v>
      </c>
    </row>
    <row r="1299" customFormat="false" ht="12" hidden="false" customHeight="true" outlineLevel="0" collapsed="false">
      <c r="B1299" s="1" t="s">
        <v>826</v>
      </c>
      <c r="C1299" s="1" t="s">
        <v>827</v>
      </c>
      <c r="D1299" s="1" t="s">
        <v>501</v>
      </c>
      <c r="E1299" s="1" t="s">
        <v>562</v>
      </c>
      <c r="F1299" s="1" t="s">
        <v>473</v>
      </c>
      <c r="G1299" s="1" t="s">
        <v>483</v>
      </c>
      <c r="H1299" s="1" t="n">
        <v>102</v>
      </c>
      <c r="I1299" s="1" t="str">
        <f aca="false">B1299&amp;"|"&amp;F1299&amp;"|"&amp;G1299</f>
        <v>Maintenance Hangars|S|Good</v>
      </c>
      <c r="J1299" s="1" t="s">
        <v>828</v>
      </c>
    </row>
    <row r="1300" customFormat="false" ht="12" hidden="false" customHeight="true" outlineLevel="0" collapsed="false">
      <c r="B1300" s="1" t="s">
        <v>826</v>
      </c>
      <c r="C1300" s="1" t="s">
        <v>827</v>
      </c>
      <c r="D1300" s="1" t="s">
        <v>501</v>
      </c>
      <c r="E1300" s="1" t="s">
        <v>562</v>
      </c>
      <c r="F1300" s="1" t="s">
        <v>473</v>
      </c>
      <c r="G1300" s="1" t="s">
        <v>279</v>
      </c>
      <c r="H1300" s="1" t="n">
        <v>71.5</v>
      </c>
      <c r="I1300" s="1" t="str">
        <f aca="false">B1300&amp;"|"&amp;F1300&amp;"|"&amp;G1300</f>
        <v>Maintenance Hangars|S|Average</v>
      </c>
      <c r="J1300" s="1" t="s">
        <v>828</v>
      </c>
    </row>
    <row r="1301" customFormat="false" ht="12" hidden="false" customHeight="true" outlineLevel="0" collapsed="false">
      <c r="B1301" s="1" t="s">
        <v>826</v>
      </c>
      <c r="C1301" s="1" t="s">
        <v>827</v>
      </c>
      <c r="D1301" s="1" t="s">
        <v>501</v>
      </c>
      <c r="E1301" s="1" t="s">
        <v>562</v>
      </c>
      <c r="F1301" s="1" t="s">
        <v>473</v>
      </c>
      <c r="G1301" s="1" t="s">
        <v>480</v>
      </c>
      <c r="H1301" s="1" t="n">
        <v>50</v>
      </c>
      <c r="I1301" s="1" t="str">
        <f aca="false">B1301&amp;"|"&amp;F1301&amp;"|"&amp;G1301</f>
        <v>Maintenance Hangars|S|Low Cost</v>
      </c>
      <c r="J1301" s="1" t="s">
        <v>828</v>
      </c>
    </row>
    <row r="1302" customFormat="false" ht="12" hidden="false" customHeight="true" outlineLevel="0" collapsed="false">
      <c r="B1302" s="1" t="s">
        <v>829</v>
      </c>
      <c r="C1302" s="1" t="s">
        <v>830</v>
      </c>
      <c r="D1302" s="1" t="s">
        <v>501</v>
      </c>
      <c r="E1302" s="1" t="s">
        <v>562</v>
      </c>
      <c r="F1302" s="1" t="s">
        <v>463</v>
      </c>
      <c r="G1302" s="1" t="s">
        <v>485</v>
      </c>
      <c r="H1302" s="1" t="n">
        <v>128</v>
      </c>
      <c r="I1302" s="1" t="str">
        <f aca="false">B1302&amp;"|"&amp;F1302&amp;"|"&amp;G1302</f>
        <v>Storage Hangars|C|Excellent</v>
      </c>
      <c r="J1302" s="1" t="s">
        <v>828</v>
      </c>
    </row>
    <row r="1303" customFormat="false" ht="12" hidden="false" customHeight="true" outlineLevel="0" collapsed="false">
      <c r="B1303" s="1" t="s">
        <v>829</v>
      </c>
      <c r="C1303" s="1" t="s">
        <v>830</v>
      </c>
      <c r="D1303" s="1" t="s">
        <v>501</v>
      </c>
      <c r="E1303" s="1" t="s">
        <v>562</v>
      </c>
      <c r="F1303" s="1" t="s">
        <v>463</v>
      </c>
      <c r="G1303" s="1" t="s">
        <v>483</v>
      </c>
      <c r="H1303" s="1" t="n">
        <v>89</v>
      </c>
      <c r="I1303" s="1" t="str">
        <f aca="false">B1303&amp;"|"&amp;F1303&amp;"|"&amp;G1303</f>
        <v>Storage Hangars|C|Good</v>
      </c>
      <c r="J1303" s="1" t="s">
        <v>828</v>
      </c>
    </row>
    <row r="1304" customFormat="false" ht="12" hidden="false" customHeight="true" outlineLevel="0" collapsed="false">
      <c r="B1304" s="1" t="s">
        <v>829</v>
      </c>
      <c r="C1304" s="1" t="s">
        <v>830</v>
      </c>
      <c r="D1304" s="1" t="s">
        <v>501</v>
      </c>
      <c r="E1304" s="1" t="s">
        <v>562</v>
      </c>
      <c r="F1304" s="1" t="s">
        <v>463</v>
      </c>
      <c r="G1304" s="1" t="s">
        <v>279</v>
      </c>
      <c r="H1304" s="1" t="n">
        <v>59.5</v>
      </c>
      <c r="I1304" s="1" t="str">
        <f aca="false">B1304&amp;"|"&amp;F1304&amp;"|"&amp;G1304</f>
        <v>Storage Hangars|C|Average</v>
      </c>
      <c r="J1304" s="1" t="s">
        <v>828</v>
      </c>
    </row>
    <row r="1305" customFormat="false" ht="12" hidden="false" customHeight="true" outlineLevel="0" collapsed="false">
      <c r="B1305" s="1" t="s">
        <v>829</v>
      </c>
      <c r="C1305" s="1" t="s">
        <v>830</v>
      </c>
      <c r="D1305" s="1" t="s">
        <v>501</v>
      </c>
      <c r="E1305" s="1" t="s">
        <v>562</v>
      </c>
      <c r="F1305" s="1" t="s">
        <v>463</v>
      </c>
      <c r="G1305" s="1" t="s">
        <v>480</v>
      </c>
      <c r="H1305" s="1" t="n">
        <v>41</v>
      </c>
      <c r="I1305" s="1" t="str">
        <f aca="false">B1305&amp;"|"&amp;F1305&amp;"|"&amp;G1305</f>
        <v>Storage Hangars|C|Low Cost</v>
      </c>
      <c r="J1305" s="1" t="s">
        <v>828</v>
      </c>
    </row>
    <row r="1306" customFormat="false" ht="12" hidden="false" customHeight="true" outlineLevel="0" collapsed="false">
      <c r="B1306" s="1" t="s">
        <v>829</v>
      </c>
      <c r="C1306" s="1" t="s">
        <v>830</v>
      </c>
      <c r="D1306" s="1" t="s">
        <v>501</v>
      </c>
      <c r="E1306" s="1" t="s">
        <v>562</v>
      </c>
      <c r="F1306" s="1" t="s">
        <v>468</v>
      </c>
      <c r="G1306" s="1" t="s">
        <v>279</v>
      </c>
      <c r="H1306" s="1" t="n">
        <v>53.5</v>
      </c>
      <c r="I1306" s="1" t="str">
        <f aca="false">B1306&amp;"|"&amp;F1306&amp;"|"&amp;G1306</f>
        <v>Storage Hangars|D|Average</v>
      </c>
      <c r="J1306" s="1" t="s">
        <v>828</v>
      </c>
    </row>
    <row r="1307" customFormat="false" ht="12" hidden="false" customHeight="true" outlineLevel="0" collapsed="false">
      <c r="B1307" s="1" t="s">
        <v>829</v>
      </c>
      <c r="C1307" s="1" t="s">
        <v>830</v>
      </c>
      <c r="D1307" s="1" t="s">
        <v>501</v>
      </c>
      <c r="E1307" s="1" t="s">
        <v>562</v>
      </c>
      <c r="F1307" s="1" t="s">
        <v>468</v>
      </c>
      <c r="G1307" s="1" t="s">
        <v>480</v>
      </c>
      <c r="H1307" s="1" t="n">
        <v>36.75</v>
      </c>
      <c r="I1307" s="1" t="str">
        <f aca="false">B1307&amp;"|"&amp;F1307&amp;"|"&amp;G1307</f>
        <v>Storage Hangars|D|Low Cost</v>
      </c>
      <c r="J1307" s="1" t="s">
        <v>828</v>
      </c>
    </row>
    <row r="1308" customFormat="false" ht="12" hidden="false" customHeight="true" outlineLevel="0" collapsed="false">
      <c r="B1308" s="1" t="s">
        <v>829</v>
      </c>
      <c r="C1308" s="1" t="s">
        <v>830</v>
      </c>
      <c r="D1308" s="1" t="s">
        <v>501</v>
      </c>
      <c r="E1308" s="1" t="s">
        <v>562</v>
      </c>
      <c r="F1308" s="1" t="s">
        <v>566</v>
      </c>
      <c r="G1308" s="1" t="s">
        <v>480</v>
      </c>
      <c r="H1308" s="1" t="n">
        <v>31.75</v>
      </c>
      <c r="I1308" s="1" t="str">
        <f aca="false">B1308&amp;"|"&amp;F1308&amp;"|"&amp;G1308</f>
        <v>Storage Hangars|DPOLE|Low Cost</v>
      </c>
      <c r="J1308" s="1" t="s">
        <v>828</v>
      </c>
    </row>
    <row r="1309" customFormat="false" ht="12" hidden="false" customHeight="true" outlineLevel="0" collapsed="false">
      <c r="B1309" s="1" t="s">
        <v>829</v>
      </c>
      <c r="C1309" s="1" t="s">
        <v>830</v>
      </c>
      <c r="D1309" s="1" t="s">
        <v>501</v>
      </c>
      <c r="E1309" s="1" t="s">
        <v>562</v>
      </c>
      <c r="F1309" s="1" t="s">
        <v>566</v>
      </c>
      <c r="G1309" s="1" t="s">
        <v>567</v>
      </c>
      <c r="H1309" s="1" t="n">
        <v>23.1</v>
      </c>
      <c r="I1309" s="1" t="str">
        <f aca="false">B1309&amp;"|"&amp;F1309&amp;"|"&amp;G1309</f>
        <v>Storage Hangars|DPOLE|Cheap</v>
      </c>
      <c r="J1309" s="1" t="s">
        <v>828</v>
      </c>
    </row>
    <row r="1310" customFormat="false" ht="12" hidden="false" customHeight="true" outlineLevel="0" collapsed="false">
      <c r="B1310" s="1" t="s">
        <v>829</v>
      </c>
      <c r="C1310" s="1" t="s">
        <v>830</v>
      </c>
      <c r="D1310" s="1" t="s">
        <v>501</v>
      </c>
      <c r="E1310" s="1" t="s">
        <v>562</v>
      </c>
      <c r="F1310" s="1" t="s">
        <v>473</v>
      </c>
      <c r="G1310" s="1" t="s">
        <v>485</v>
      </c>
      <c r="H1310" s="1" t="n">
        <v>119</v>
      </c>
      <c r="I1310" s="1" t="str">
        <f aca="false">B1310&amp;"|"&amp;F1310&amp;"|"&amp;G1310</f>
        <v>Storage Hangars|S|Excellent</v>
      </c>
      <c r="J1310" s="1" t="s">
        <v>828</v>
      </c>
    </row>
    <row r="1311" customFormat="false" ht="12" hidden="false" customHeight="true" outlineLevel="0" collapsed="false">
      <c r="B1311" s="1" t="s">
        <v>829</v>
      </c>
      <c r="C1311" s="1" t="s">
        <v>830</v>
      </c>
      <c r="D1311" s="1" t="s">
        <v>501</v>
      </c>
      <c r="E1311" s="1" t="s">
        <v>562</v>
      </c>
      <c r="F1311" s="1" t="s">
        <v>473</v>
      </c>
      <c r="G1311" s="1" t="s">
        <v>483</v>
      </c>
      <c r="H1311" s="1" t="n">
        <v>81.5</v>
      </c>
      <c r="I1311" s="1" t="str">
        <f aca="false">B1311&amp;"|"&amp;F1311&amp;"|"&amp;G1311</f>
        <v>Storage Hangars|S|Good</v>
      </c>
      <c r="J1311" s="1" t="s">
        <v>828</v>
      </c>
    </row>
    <row r="1312" customFormat="false" ht="12" hidden="false" customHeight="true" outlineLevel="0" collapsed="false">
      <c r="B1312" s="1" t="s">
        <v>829</v>
      </c>
      <c r="C1312" s="1" t="s">
        <v>830</v>
      </c>
      <c r="D1312" s="1" t="s">
        <v>501</v>
      </c>
      <c r="E1312" s="1" t="s">
        <v>562</v>
      </c>
      <c r="F1312" s="1" t="s">
        <v>473</v>
      </c>
      <c r="G1312" s="1" t="s">
        <v>279</v>
      </c>
      <c r="H1312" s="1" t="n">
        <v>53</v>
      </c>
      <c r="I1312" s="1" t="str">
        <f aca="false">B1312&amp;"|"&amp;F1312&amp;"|"&amp;G1312</f>
        <v>Storage Hangars|S|Average</v>
      </c>
      <c r="J1312" s="1" t="s">
        <v>828</v>
      </c>
    </row>
    <row r="1313" customFormat="false" ht="12" hidden="false" customHeight="true" outlineLevel="0" collapsed="false">
      <c r="B1313" s="1" t="s">
        <v>829</v>
      </c>
      <c r="C1313" s="1" t="s">
        <v>830</v>
      </c>
      <c r="D1313" s="1" t="s">
        <v>501</v>
      </c>
      <c r="E1313" s="1" t="s">
        <v>562</v>
      </c>
      <c r="F1313" s="1" t="s">
        <v>473</v>
      </c>
      <c r="G1313" s="1" t="s">
        <v>480</v>
      </c>
      <c r="H1313" s="1" t="n">
        <v>35.5</v>
      </c>
      <c r="I1313" s="1" t="str">
        <f aca="false">B1313&amp;"|"&amp;F1313&amp;"|"&amp;G1313</f>
        <v>Storage Hangars|S|Low Cost</v>
      </c>
      <c r="J1313" s="1" t="s">
        <v>828</v>
      </c>
    </row>
    <row r="1314" customFormat="false" ht="12" hidden="false" customHeight="true" outlineLevel="0" collapsed="false">
      <c r="B1314" s="1" t="s">
        <v>829</v>
      </c>
      <c r="C1314" s="1" t="s">
        <v>830</v>
      </c>
      <c r="D1314" s="1" t="s">
        <v>501</v>
      </c>
      <c r="E1314" s="1" t="s">
        <v>562</v>
      </c>
      <c r="F1314" s="1" t="s">
        <v>473</v>
      </c>
      <c r="G1314" s="1" t="s">
        <v>567</v>
      </c>
      <c r="H1314" s="1" t="n">
        <v>26</v>
      </c>
      <c r="I1314" s="1" t="str">
        <f aca="false">B1314&amp;"|"&amp;F1314&amp;"|"&amp;G1314</f>
        <v>Storage Hangars|S|Cheap</v>
      </c>
      <c r="J1314" s="1" t="s">
        <v>828</v>
      </c>
    </row>
    <row r="1315" customFormat="false" ht="12" hidden="false" customHeight="true" outlineLevel="0" collapsed="false">
      <c r="B1315" s="1" t="s">
        <v>831</v>
      </c>
      <c r="C1315" s="1" t="s">
        <v>832</v>
      </c>
      <c r="D1315" s="1" t="s">
        <v>501</v>
      </c>
      <c r="E1315" s="1" t="s">
        <v>570</v>
      </c>
      <c r="F1315" s="1" t="s">
        <v>463</v>
      </c>
      <c r="G1315" s="1" t="s">
        <v>279</v>
      </c>
      <c r="H1315" s="1" t="n">
        <v>53</v>
      </c>
      <c r="I1315" s="1" t="str">
        <f aca="false">B1315&amp;"|"&amp;F1315&amp;"|"&amp;G1315</f>
        <v>T-Hangars|C|Average</v>
      </c>
      <c r="J1315" s="1" t="s">
        <v>833</v>
      </c>
    </row>
    <row r="1316" customFormat="false" ht="12" hidden="false" customHeight="true" outlineLevel="0" collapsed="false">
      <c r="B1316" s="1" t="s">
        <v>831</v>
      </c>
      <c r="C1316" s="1" t="s">
        <v>832</v>
      </c>
      <c r="D1316" s="1" t="s">
        <v>501</v>
      </c>
      <c r="E1316" s="1" t="s">
        <v>570</v>
      </c>
      <c r="F1316" s="1" t="s">
        <v>566</v>
      </c>
      <c r="G1316" s="1" t="s">
        <v>480</v>
      </c>
      <c r="H1316" s="1" t="n">
        <v>34</v>
      </c>
      <c r="I1316" s="1" t="str">
        <f aca="false">B1316&amp;"|"&amp;F1316&amp;"|"&amp;G1316</f>
        <v>T-Hangars|DPOLE|Low Cost</v>
      </c>
      <c r="J1316" s="1" t="s">
        <v>833</v>
      </c>
    </row>
    <row r="1317" customFormat="false" ht="12" hidden="false" customHeight="true" outlineLevel="0" collapsed="false">
      <c r="B1317" s="1" t="s">
        <v>831</v>
      </c>
      <c r="C1317" s="1" t="s">
        <v>832</v>
      </c>
      <c r="D1317" s="1" t="s">
        <v>501</v>
      </c>
      <c r="E1317" s="1" t="s">
        <v>570</v>
      </c>
      <c r="F1317" s="1" t="s">
        <v>473</v>
      </c>
      <c r="G1317" s="1" t="s">
        <v>279</v>
      </c>
      <c r="H1317" s="1" t="n">
        <v>48.75</v>
      </c>
      <c r="I1317" s="1" t="str">
        <f aca="false">B1317&amp;"|"&amp;F1317&amp;"|"&amp;G1317</f>
        <v>T-Hangars|S|Average</v>
      </c>
      <c r="J1317" s="1" t="s">
        <v>833</v>
      </c>
    </row>
    <row r="1318" customFormat="false" ht="12" hidden="false" customHeight="true" outlineLevel="0" collapsed="false">
      <c r="B1318" s="1" t="s">
        <v>831</v>
      </c>
      <c r="C1318" s="1" t="s">
        <v>832</v>
      </c>
      <c r="D1318" s="1" t="s">
        <v>501</v>
      </c>
      <c r="E1318" s="1" t="s">
        <v>570</v>
      </c>
      <c r="F1318" s="1" t="s">
        <v>473</v>
      </c>
      <c r="G1318" s="1" t="s">
        <v>480</v>
      </c>
      <c r="H1318" s="1" t="n">
        <v>37.75</v>
      </c>
      <c r="I1318" s="1" t="str">
        <f aca="false">B1318&amp;"|"&amp;F1318&amp;"|"&amp;G1318</f>
        <v>T-Hangars|S|Low Cost</v>
      </c>
      <c r="J1318" s="1" t="s">
        <v>833</v>
      </c>
    </row>
    <row r="1319" customFormat="false" ht="12" hidden="false" customHeight="true" outlineLevel="0" collapsed="false">
      <c r="B1319" s="1" t="s">
        <v>834</v>
      </c>
      <c r="C1319" s="1" t="s">
        <v>835</v>
      </c>
      <c r="D1319" s="1" t="s">
        <v>501</v>
      </c>
      <c r="E1319" s="1" t="s">
        <v>570</v>
      </c>
      <c r="F1319" s="1" t="s">
        <v>523</v>
      </c>
      <c r="G1319" s="1" t="s">
        <v>279</v>
      </c>
      <c r="H1319" s="1" t="n">
        <v>193</v>
      </c>
      <c r="I1319" s="1" t="str">
        <f aca="false">B1319&amp;"|"&amp;F1319&amp;"|"&amp;G1319</f>
        <v>Complete Auto Dealerships|A-B|Average</v>
      </c>
      <c r="J1319" s="1" t="s">
        <v>833</v>
      </c>
    </row>
    <row r="1320" customFormat="false" ht="12" hidden="false" customHeight="true" outlineLevel="0" collapsed="false">
      <c r="B1320" s="1" t="s">
        <v>834</v>
      </c>
      <c r="C1320" s="1" t="s">
        <v>835</v>
      </c>
      <c r="D1320" s="1" t="s">
        <v>501</v>
      </c>
      <c r="E1320" s="1" t="s">
        <v>570</v>
      </c>
      <c r="F1320" s="1" t="s">
        <v>463</v>
      </c>
      <c r="G1320" s="1" t="s">
        <v>485</v>
      </c>
      <c r="H1320" s="1" t="n">
        <v>247</v>
      </c>
      <c r="I1320" s="1" t="str">
        <f aca="false">B1320&amp;"|"&amp;F1320&amp;"|"&amp;G1320</f>
        <v>Complete Auto Dealerships|C|Excellent</v>
      </c>
      <c r="J1320" s="1" t="s">
        <v>833</v>
      </c>
    </row>
    <row r="1321" customFormat="false" ht="12" hidden="false" customHeight="true" outlineLevel="0" collapsed="false">
      <c r="B1321" s="1" t="s">
        <v>834</v>
      </c>
      <c r="C1321" s="1" t="s">
        <v>835</v>
      </c>
      <c r="D1321" s="1" t="s">
        <v>501</v>
      </c>
      <c r="E1321" s="1" t="s">
        <v>570</v>
      </c>
      <c r="F1321" s="1" t="s">
        <v>463</v>
      </c>
      <c r="G1321" s="1" t="s">
        <v>483</v>
      </c>
      <c r="H1321" s="1" t="n">
        <v>173</v>
      </c>
      <c r="I1321" s="1" t="str">
        <f aca="false">B1321&amp;"|"&amp;F1321&amp;"|"&amp;G1321</f>
        <v>Complete Auto Dealerships|C|Good</v>
      </c>
      <c r="J1321" s="1" t="s">
        <v>833</v>
      </c>
    </row>
    <row r="1322" customFormat="false" ht="12" hidden="false" customHeight="true" outlineLevel="0" collapsed="false">
      <c r="B1322" s="1" t="s">
        <v>834</v>
      </c>
      <c r="C1322" s="1" t="s">
        <v>835</v>
      </c>
      <c r="D1322" s="1" t="s">
        <v>501</v>
      </c>
      <c r="E1322" s="1" t="s">
        <v>570</v>
      </c>
      <c r="F1322" s="1" t="s">
        <v>463</v>
      </c>
      <c r="G1322" s="1" t="s">
        <v>279</v>
      </c>
      <c r="H1322" s="1" t="n">
        <v>125</v>
      </c>
      <c r="I1322" s="1" t="str">
        <f aca="false">B1322&amp;"|"&amp;F1322&amp;"|"&amp;G1322</f>
        <v>Complete Auto Dealerships|C|Average</v>
      </c>
      <c r="J1322" s="1" t="s">
        <v>833</v>
      </c>
    </row>
    <row r="1323" customFormat="false" ht="12" hidden="false" customHeight="true" outlineLevel="0" collapsed="false">
      <c r="B1323" s="1" t="s">
        <v>834</v>
      </c>
      <c r="C1323" s="1" t="s">
        <v>835</v>
      </c>
      <c r="D1323" s="1" t="s">
        <v>501</v>
      </c>
      <c r="E1323" s="1" t="s">
        <v>570</v>
      </c>
      <c r="F1323" s="1" t="s">
        <v>463</v>
      </c>
      <c r="G1323" s="1" t="s">
        <v>480</v>
      </c>
      <c r="H1323" s="1" t="n">
        <v>85</v>
      </c>
      <c r="I1323" s="1" t="str">
        <f aca="false">B1323&amp;"|"&amp;F1323&amp;"|"&amp;G1323</f>
        <v>Complete Auto Dealerships|C|Low Cost</v>
      </c>
      <c r="J1323" s="1" t="s">
        <v>833</v>
      </c>
    </row>
    <row r="1324" customFormat="false" ht="12" hidden="false" customHeight="true" outlineLevel="0" collapsed="false">
      <c r="B1324" s="1" t="s">
        <v>834</v>
      </c>
      <c r="C1324" s="1" t="s">
        <v>835</v>
      </c>
      <c r="D1324" s="1" t="s">
        <v>501</v>
      </c>
      <c r="E1324" s="1" t="s">
        <v>570</v>
      </c>
      <c r="F1324" s="1" t="s">
        <v>468</v>
      </c>
      <c r="G1324" s="1" t="s">
        <v>485</v>
      </c>
      <c r="H1324" s="1" t="n">
        <v>238</v>
      </c>
      <c r="I1324" s="1" t="str">
        <f aca="false">B1324&amp;"|"&amp;F1324&amp;"|"&amp;G1324</f>
        <v>Complete Auto Dealerships|D|Excellent</v>
      </c>
      <c r="J1324" s="1" t="s">
        <v>833</v>
      </c>
    </row>
    <row r="1325" customFormat="false" ht="12" hidden="false" customHeight="true" outlineLevel="0" collapsed="false">
      <c r="B1325" s="1" t="s">
        <v>834</v>
      </c>
      <c r="C1325" s="1" t="s">
        <v>835</v>
      </c>
      <c r="D1325" s="1" t="s">
        <v>501</v>
      </c>
      <c r="E1325" s="1" t="s">
        <v>570</v>
      </c>
      <c r="F1325" s="1" t="s">
        <v>468</v>
      </c>
      <c r="G1325" s="1" t="s">
        <v>483</v>
      </c>
      <c r="H1325" s="1" t="n">
        <v>165</v>
      </c>
      <c r="I1325" s="1" t="str">
        <f aca="false">B1325&amp;"|"&amp;F1325&amp;"|"&amp;G1325</f>
        <v>Complete Auto Dealerships|D|Good</v>
      </c>
      <c r="J1325" s="1" t="s">
        <v>833</v>
      </c>
    </row>
    <row r="1326" customFormat="false" ht="12" hidden="false" customHeight="true" outlineLevel="0" collapsed="false">
      <c r="B1326" s="1" t="s">
        <v>834</v>
      </c>
      <c r="C1326" s="1" t="s">
        <v>835</v>
      </c>
      <c r="D1326" s="1" t="s">
        <v>501</v>
      </c>
      <c r="E1326" s="1" t="s">
        <v>570</v>
      </c>
      <c r="F1326" s="1" t="s">
        <v>468</v>
      </c>
      <c r="G1326" s="1" t="s">
        <v>279</v>
      </c>
      <c r="H1326" s="1" t="n">
        <v>117</v>
      </c>
      <c r="I1326" s="1" t="str">
        <f aca="false">B1326&amp;"|"&amp;F1326&amp;"|"&amp;G1326</f>
        <v>Complete Auto Dealerships|D|Average</v>
      </c>
      <c r="J1326" s="1" t="s">
        <v>833</v>
      </c>
    </row>
    <row r="1327" customFormat="false" ht="12" hidden="false" customHeight="true" outlineLevel="0" collapsed="false">
      <c r="B1327" s="1" t="s">
        <v>834</v>
      </c>
      <c r="C1327" s="1" t="s">
        <v>835</v>
      </c>
      <c r="D1327" s="1" t="s">
        <v>501</v>
      </c>
      <c r="E1327" s="1" t="s">
        <v>570</v>
      </c>
      <c r="F1327" s="1" t="s">
        <v>468</v>
      </c>
      <c r="G1327" s="1" t="s">
        <v>480</v>
      </c>
      <c r="H1327" s="1" t="n">
        <v>78.5</v>
      </c>
      <c r="I1327" s="1" t="str">
        <f aca="false">B1327&amp;"|"&amp;F1327&amp;"|"&amp;G1327</f>
        <v>Complete Auto Dealerships|D|Low Cost</v>
      </c>
      <c r="J1327" s="1" t="s">
        <v>833</v>
      </c>
    </row>
    <row r="1328" customFormat="false" ht="12" hidden="false" customHeight="true" outlineLevel="0" collapsed="false">
      <c r="B1328" s="1" t="s">
        <v>834</v>
      </c>
      <c r="C1328" s="1" t="s">
        <v>835</v>
      </c>
      <c r="D1328" s="1" t="s">
        <v>501</v>
      </c>
      <c r="E1328" s="1" t="s">
        <v>570</v>
      </c>
      <c r="F1328" s="1" t="s">
        <v>566</v>
      </c>
      <c r="G1328" s="1" t="s">
        <v>279</v>
      </c>
      <c r="H1328" s="1" t="n">
        <v>111</v>
      </c>
      <c r="I1328" s="1" t="str">
        <f aca="false">B1328&amp;"|"&amp;F1328&amp;"|"&amp;G1328</f>
        <v>Complete Auto Dealerships|DPOLE|Average</v>
      </c>
      <c r="J1328" s="1" t="s">
        <v>833</v>
      </c>
    </row>
    <row r="1329" customFormat="false" ht="12" hidden="false" customHeight="true" outlineLevel="0" collapsed="false">
      <c r="B1329" s="1" t="s">
        <v>834</v>
      </c>
      <c r="C1329" s="1" t="s">
        <v>835</v>
      </c>
      <c r="D1329" s="1" t="s">
        <v>501</v>
      </c>
      <c r="E1329" s="1" t="s">
        <v>570</v>
      </c>
      <c r="F1329" s="1" t="s">
        <v>566</v>
      </c>
      <c r="G1329" s="1" t="s">
        <v>480</v>
      </c>
      <c r="H1329" s="1" t="n">
        <v>73.5</v>
      </c>
      <c r="I1329" s="1" t="str">
        <f aca="false">B1329&amp;"|"&amp;F1329&amp;"|"&amp;G1329</f>
        <v>Complete Auto Dealerships|DPOLE|Low Cost</v>
      </c>
      <c r="J1329" s="1" t="s">
        <v>833</v>
      </c>
    </row>
    <row r="1330" customFormat="false" ht="12" hidden="false" customHeight="true" outlineLevel="0" collapsed="false">
      <c r="B1330" s="1" t="s">
        <v>834</v>
      </c>
      <c r="C1330" s="1" t="s">
        <v>835</v>
      </c>
      <c r="D1330" s="1" t="s">
        <v>501</v>
      </c>
      <c r="E1330" s="1" t="s">
        <v>570</v>
      </c>
      <c r="F1330" s="1" t="s">
        <v>473</v>
      </c>
      <c r="G1330" s="1" t="s">
        <v>483</v>
      </c>
      <c r="H1330" s="1" t="n">
        <v>167</v>
      </c>
      <c r="I1330" s="1" t="str">
        <f aca="false">B1330&amp;"|"&amp;F1330&amp;"|"&amp;G1330</f>
        <v>Complete Auto Dealerships|S|Good</v>
      </c>
      <c r="J1330" s="1" t="s">
        <v>833</v>
      </c>
    </row>
    <row r="1331" customFormat="false" ht="12" hidden="false" customHeight="true" outlineLevel="0" collapsed="false">
      <c r="B1331" s="1" t="s">
        <v>834</v>
      </c>
      <c r="C1331" s="1" t="s">
        <v>835</v>
      </c>
      <c r="D1331" s="1" t="s">
        <v>501</v>
      </c>
      <c r="E1331" s="1" t="s">
        <v>570</v>
      </c>
      <c r="F1331" s="1" t="s">
        <v>473</v>
      </c>
      <c r="G1331" s="1" t="s">
        <v>279</v>
      </c>
      <c r="H1331" s="1" t="n">
        <v>118</v>
      </c>
      <c r="I1331" s="1" t="str">
        <f aca="false">B1331&amp;"|"&amp;F1331&amp;"|"&amp;G1331</f>
        <v>Complete Auto Dealerships|S|Average</v>
      </c>
      <c r="J1331" s="1" t="s">
        <v>833</v>
      </c>
    </row>
    <row r="1332" customFormat="false" ht="12" hidden="false" customHeight="true" outlineLevel="0" collapsed="false">
      <c r="B1332" s="1" t="s">
        <v>834</v>
      </c>
      <c r="C1332" s="1" t="s">
        <v>835</v>
      </c>
      <c r="D1332" s="1" t="s">
        <v>501</v>
      </c>
      <c r="E1332" s="1" t="s">
        <v>570</v>
      </c>
      <c r="F1332" s="1" t="s">
        <v>473</v>
      </c>
      <c r="G1332" s="1" t="s">
        <v>480</v>
      </c>
      <c r="H1332" s="1" t="n">
        <v>78.5</v>
      </c>
      <c r="I1332" s="1" t="str">
        <f aca="false">B1332&amp;"|"&amp;F1332&amp;"|"&amp;G1332</f>
        <v>Complete Auto Dealerships|S|Low Cost</v>
      </c>
      <c r="J1332" s="1" t="s">
        <v>833</v>
      </c>
    </row>
    <row r="1333" customFormat="false" ht="12" hidden="false" customHeight="true" outlineLevel="0" collapsed="false">
      <c r="B1333" s="1" t="s">
        <v>836</v>
      </c>
      <c r="C1333" s="1" t="s">
        <v>837</v>
      </c>
      <c r="D1333" s="1" t="s">
        <v>501</v>
      </c>
      <c r="E1333" s="1" t="s">
        <v>576</v>
      </c>
      <c r="F1333" s="1" t="s">
        <v>463</v>
      </c>
      <c r="G1333" s="1" t="s">
        <v>483</v>
      </c>
      <c r="H1333" s="1" t="n">
        <v>131</v>
      </c>
      <c r="I1333" s="1" t="str">
        <f aca="false">B1333&amp;"|"&amp;F1333&amp;"|"&amp;G1333</f>
        <v>Automotive Service Centers|C|Good</v>
      </c>
      <c r="J1333" s="1" t="s">
        <v>838</v>
      </c>
    </row>
    <row r="1334" customFormat="false" ht="12" hidden="false" customHeight="true" outlineLevel="0" collapsed="false">
      <c r="B1334" s="1" t="s">
        <v>836</v>
      </c>
      <c r="C1334" s="1" t="s">
        <v>837</v>
      </c>
      <c r="D1334" s="1" t="s">
        <v>501</v>
      </c>
      <c r="E1334" s="1" t="s">
        <v>576</v>
      </c>
      <c r="F1334" s="1" t="s">
        <v>463</v>
      </c>
      <c r="G1334" s="1" t="s">
        <v>279</v>
      </c>
      <c r="H1334" s="1" t="n">
        <v>105</v>
      </c>
      <c r="I1334" s="1" t="str">
        <f aca="false">B1334&amp;"|"&amp;F1334&amp;"|"&amp;G1334</f>
        <v>Automotive Service Centers|C|Average</v>
      </c>
      <c r="J1334" s="1" t="s">
        <v>838</v>
      </c>
    </row>
    <row r="1335" customFormat="false" ht="12" hidden="false" customHeight="true" outlineLevel="0" collapsed="false">
      <c r="B1335" s="1" t="s">
        <v>836</v>
      </c>
      <c r="C1335" s="1" t="s">
        <v>837</v>
      </c>
      <c r="D1335" s="1" t="s">
        <v>501</v>
      </c>
      <c r="E1335" s="1" t="s">
        <v>576</v>
      </c>
      <c r="F1335" s="1" t="s">
        <v>463</v>
      </c>
      <c r="G1335" s="1" t="s">
        <v>480</v>
      </c>
      <c r="H1335" s="1" t="n">
        <v>84.5</v>
      </c>
      <c r="I1335" s="1" t="str">
        <f aca="false">B1335&amp;"|"&amp;F1335&amp;"|"&amp;G1335</f>
        <v>Automotive Service Centers|C|Low Cost</v>
      </c>
      <c r="J1335" s="1" t="s">
        <v>838</v>
      </c>
    </row>
    <row r="1336" customFormat="false" ht="12" hidden="false" customHeight="true" outlineLevel="0" collapsed="false">
      <c r="B1336" s="1" t="s">
        <v>836</v>
      </c>
      <c r="C1336" s="1" t="s">
        <v>837</v>
      </c>
      <c r="D1336" s="1" t="s">
        <v>501</v>
      </c>
      <c r="E1336" s="1" t="s">
        <v>576</v>
      </c>
      <c r="F1336" s="1" t="s">
        <v>468</v>
      </c>
      <c r="G1336" s="1" t="s">
        <v>483</v>
      </c>
      <c r="H1336" s="1" t="n">
        <v>122</v>
      </c>
      <c r="I1336" s="1" t="str">
        <f aca="false">B1336&amp;"|"&amp;F1336&amp;"|"&amp;G1336</f>
        <v>Automotive Service Centers|D|Good</v>
      </c>
      <c r="J1336" s="1" t="s">
        <v>838</v>
      </c>
    </row>
    <row r="1337" customFormat="false" ht="12" hidden="false" customHeight="true" outlineLevel="0" collapsed="false">
      <c r="B1337" s="1" t="s">
        <v>836</v>
      </c>
      <c r="C1337" s="1" t="s">
        <v>837</v>
      </c>
      <c r="D1337" s="1" t="s">
        <v>501</v>
      </c>
      <c r="E1337" s="1" t="s">
        <v>576</v>
      </c>
      <c r="F1337" s="1" t="s">
        <v>468</v>
      </c>
      <c r="G1337" s="1" t="s">
        <v>279</v>
      </c>
      <c r="H1337" s="1" t="n">
        <v>98</v>
      </c>
      <c r="I1337" s="1" t="str">
        <f aca="false">B1337&amp;"|"&amp;F1337&amp;"|"&amp;G1337</f>
        <v>Automotive Service Centers|D|Average</v>
      </c>
      <c r="J1337" s="1" t="s">
        <v>838</v>
      </c>
    </row>
    <row r="1338" customFormat="false" ht="12" hidden="false" customHeight="true" outlineLevel="0" collapsed="false">
      <c r="B1338" s="1" t="s">
        <v>836</v>
      </c>
      <c r="C1338" s="1" t="s">
        <v>837</v>
      </c>
      <c r="D1338" s="1" t="s">
        <v>501</v>
      </c>
      <c r="E1338" s="1" t="s">
        <v>576</v>
      </c>
      <c r="F1338" s="1" t="s">
        <v>566</v>
      </c>
      <c r="G1338" s="1" t="s">
        <v>480</v>
      </c>
      <c r="H1338" s="1" t="n">
        <v>73</v>
      </c>
      <c r="I1338" s="1" t="str">
        <f aca="false">B1338&amp;"|"&amp;F1338&amp;"|"&amp;G1338</f>
        <v>Automotive Service Centers|DPOLE|Low Cost</v>
      </c>
      <c r="J1338" s="1" t="s">
        <v>838</v>
      </c>
    </row>
    <row r="1339" customFormat="false" ht="12" hidden="false" customHeight="true" outlineLevel="0" collapsed="false">
      <c r="B1339" s="1" t="s">
        <v>836</v>
      </c>
      <c r="C1339" s="1" t="s">
        <v>837</v>
      </c>
      <c r="D1339" s="1" t="s">
        <v>501</v>
      </c>
      <c r="E1339" s="1" t="s">
        <v>576</v>
      </c>
      <c r="F1339" s="1" t="s">
        <v>473</v>
      </c>
      <c r="G1339" s="1" t="s">
        <v>279</v>
      </c>
      <c r="H1339" s="1" t="n">
        <v>97.5</v>
      </c>
      <c r="I1339" s="1" t="str">
        <f aca="false">B1339&amp;"|"&amp;F1339&amp;"|"&amp;G1339</f>
        <v>Automotive Service Centers|S|Average</v>
      </c>
      <c r="J1339" s="1" t="s">
        <v>838</v>
      </c>
    </row>
    <row r="1340" customFormat="false" ht="12" hidden="false" customHeight="true" outlineLevel="0" collapsed="false">
      <c r="B1340" s="1" t="s">
        <v>836</v>
      </c>
      <c r="C1340" s="1" t="s">
        <v>837</v>
      </c>
      <c r="D1340" s="1" t="s">
        <v>501</v>
      </c>
      <c r="E1340" s="1" t="s">
        <v>576</v>
      </c>
      <c r="F1340" s="1" t="s">
        <v>473</v>
      </c>
      <c r="G1340" s="1" t="s">
        <v>480</v>
      </c>
      <c r="H1340" s="1" t="n">
        <v>78</v>
      </c>
      <c r="I1340" s="1" t="str">
        <f aca="false">B1340&amp;"|"&amp;F1340&amp;"|"&amp;G1340</f>
        <v>Automotive Service Centers|S|Low Cost</v>
      </c>
      <c r="J1340" s="1" t="s">
        <v>838</v>
      </c>
    </row>
    <row r="1341" customFormat="false" ht="12" hidden="false" customHeight="true" outlineLevel="0" collapsed="false">
      <c r="B1341" s="1" t="s">
        <v>839</v>
      </c>
      <c r="C1341" s="1" t="s">
        <v>840</v>
      </c>
      <c r="D1341" s="1" t="s">
        <v>501</v>
      </c>
      <c r="E1341" s="1" t="s">
        <v>576</v>
      </c>
      <c r="F1341" s="1" t="s">
        <v>523</v>
      </c>
      <c r="G1341" s="1" t="s">
        <v>279</v>
      </c>
      <c r="H1341" s="1" t="n">
        <v>218</v>
      </c>
      <c r="I1341" s="1" t="str">
        <f aca="false">B1341&amp;"|"&amp;F1341&amp;"|"&amp;G1341</f>
        <v>Showrooms|A-B|Average</v>
      </c>
      <c r="J1341" s="1" t="s">
        <v>838</v>
      </c>
    </row>
    <row r="1342" customFormat="false" ht="12" hidden="false" customHeight="true" outlineLevel="0" collapsed="false">
      <c r="B1342" s="1" t="s">
        <v>839</v>
      </c>
      <c r="C1342" s="1" t="s">
        <v>840</v>
      </c>
      <c r="D1342" s="1" t="s">
        <v>501</v>
      </c>
      <c r="E1342" s="1" t="s">
        <v>576</v>
      </c>
      <c r="F1342" s="1" t="s">
        <v>463</v>
      </c>
      <c r="G1342" s="1" t="s">
        <v>485</v>
      </c>
      <c r="H1342" s="1" t="n">
        <v>274</v>
      </c>
      <c r="I1342" s="1" t="str">
        <f aca="false">B1342&amp;"|"&amp;F1342&amp;"|"&amp;G1342</f>
        <v>Showrooms|C|Excellent</v>
      </c>
      <c r="J1342" s="1" t="s">
        <v>838</v>
      </c>
    </row>
    <row r="1343" customFormat="false" ht="12" hidden="false" customHeight="true" outlineLevel="0" collapsed="false">
      <c r="B1343" s="1" t="s">
        <v>839</v>
      </c>
      <c r="C1343" s="1" t="s">
        <v>840</v>
      </c>
      <c r="D1343" s="1" t="s">
        <v>501</v>
      </c>
      <c r="E1343" s="1" t="s">
        <v>576</v>
      </c>
      <c r="F1343" s="1" t="s">
        <v>463</v>
      </c>
      <c r="G1343" s="1" t="s">
        <v>483</v>
      </c>
      <c r="H1343" s="1" t="n">
        <v>194</v>
      </c>
      <c r="I1343" s="1" t="str">
        <f aca="false">B1343&amp;"|"&amp;F1343&amp;"|"&amp;G1343</f>
        <v>Showrooms|C|Good</v>
      </c>
      <c r="J1343" s="1" t="s">
        <v>838</v>
      </c>
    </row>
    <row r="1344" customFormat="false" ht="12" hidden="false" customHeight="true" outlineLevel="0" collapsed="false">
      <c r="B1344" s="1" t="s">
        <v>839</v>
      </c>
      <c r="C1344" s="1" t="s">
        <v>840</v>
      </c>
      <c r="D1344" s="1" t="s">
        <v>501</v>
      </c>
      <c r="E1344" s="1" t="s">
        <v>576</v>
      </c>
      <c r="F1344" s="1" t="s">
        <v>463</v>
      </c>
      <c r="G1344" s="1" t="s">
        <v>279</v>
      </c>
      <c r="H1344" s="1" t="n">
        <v>140</v>
      </c>
      <c r="I1344" s="1" t="str">
        <f aca="false">B1344&amp;"|"&amp;F1344&amp;"|"&amp;G1344</f>
        <v>Showrooms|C|Average</v>
      </c>
      <c r="J1344" s="1" t="s">
        <v>838</v>
      </c>
    </row>
    <row r="1345" customFormat="false" ht="12" hidden="false" customHeight="true" outlineLevel="0" collapsed="false">
      <c r="B1345" s="1" t="s">
        <v>839</v>
      </c>
      <c r="C1345" s="1" t="s">
        <v>840</v>
      </c>
      <c r="D1345" s="1" t="s">
        <v>501</v>
      </c>
      <c r="E1345" s="1" t="s">
        <v>576</v>
      </c>
      <c r="F1345" s="1" t="s">
        <v>463</v>
      </c>
      <c r="G1345" s="1" t="s">
        <v>480</v>
      </c>
      <c r="H1345" s="1" t="n">
        <v>97</v>
      </c>
      <c r="I1345" s="1" t="str">
        <f aca="false">B1345&amp;"|"&amp;F1345&amp;"|"&amp;G1345</f>
        <v>Showrooms|C|Low Cost</v>
      </c>
      <c r="J1345" s="1" t="s">
        <v>838</v>
      </c>
    </row>
    <row r="1346" customFormat="false" ht="12" hidden="false" customHeight="true" outlineLevel="0" collapsed="false">
      <c r="B1346" s="1" t="s">
        <v>839</v>
      </c>
      <c r="C1346" s="1" t="s">
        <v>840</v>
      </c>
      <c r="D1346" s="1" t="s">
        <v>501</v>
      </c>
      <c r="E1346" s="1" t="s">
        <v>576</v>
      </c>
      <c r="F1346" s="1" t="s">
        <v>468</v>
      </c>
      <c r="G1346" s="1" t="s">
        <v>485</v>
      </c>
      <c r="H1346" s="1" t="n">
        <v>265</v>
      </c>
      <c r="I1346" s="1" t="str">
        <f aca="false">B1346&amp;"|"&amp;F1346&amp;"|"&amp;G1346</f>
        <v>Showrooms|D|Excellent</v>
      </c>
      <c r="J1346" s="1" t="s">
        <v>838</v>
      </c>
    </row>
    <row r="1347" customFormat="false" ht="12" hidden="false" customHeight="true" outlineLevel="0" collapsed="false">
      <c r="B1347" s="1" t="s">
        <v>839</v>
      </c>
      <c r="C1347" s="1" t="s">
        <v>840</v>
      </c>
      <c r="D1347" s="1" t="s">
        <v>501</v>
      </c>
      <c r="E1347" s="1" t="s">
        <v>576</v>
      </c>
      <c r="F1347" s="1" t="s">
        <v>468</v>
      </c>
      <c r="G1347" s="1" t="s">
        <v>483</v>
      </c>
      <c r="H1347" s="1" t="n">
        <v>185</v>
      </c>
      <c r="I1347" s="1" t="str">
        <f aca="false">B1347&amp;"|"&amp;F1347&amp;"|"&amp;G1347</f>
        <v>Showrooms|D|Good</v>
      </c>
      <c r="J1347" s="1" t="s">
        <v>838</v>
      </c>
    </row>
    <row r="1348" customFormat="false" ht="12" hidden="false" customHeight="true" outlineLevel="0" collapsed="false">
      <c r="B1348" s="1" t="s">
        <v>839</v>
      </c>
      <c r="C1348" s="1" t="s">
        <v>840</v>
      </c>
      <c r="D1348" s="1" t="s">
        <v>501</v>
      </c>
      <c r="E1348" s="1" t="s">
        <v>576</v>
      </c>
      <c r="F1348" s="1" t="s">
        <v>468</v>
      </c>
      <c r="G1348" s="1" t="s">
        <v>279</v>
      </c>
      <c r="H1348" s="1" t="n">
        <v>133</v>
      </c>
      <c r="I1348" s="1" t="str">
        <f aca="false">B1348&amp;"|"&amp;F1348&amp;"|"&amp;G1348</f>
        <v>Showrooms|D|Average</v>
      </c>
      <c r="J1348" s="1" t="s">
        <v>838</v>
      </c>
    </row>
    <row r="1349" customFormat="false" ht="12" hidden="false" customHeight="true" outlineLevel="0" collapsed="false">
      <c r="B1349" s="1" t="s">
        <v>839</v>
      </c>
      <c r="C1349" s="1" t="s">
        <v>840</v>
      </c>
      <c r="D1349" s="1" t="s">
        <v>501</v>
      </c>
      <c r="E1349" s="1" t="s">
        <v>576</v>
      </c>
      <c r="F1349" s="1" t="s">
        <v>468</v>
      </c>
      <c r="G1349" s="1" t="s">
        <v>480</v>
      </c>
      <c r="H1349" s="1" t="n">
        <v>90.5</v>
      </c>
      <c r="I1349" s="1" t="str">
        <f aca="false">B1349&amp;"|"&amp;F1349&amp;"|"&amp;G1349</f>
        <v>Showrooms|D|Low Cost</v>
      </c>
      <c r="J1349" s="1" t="s">
        <v>838</v>
      </c>
    </row>
    <row r="1350" customFormat="false" ht="12" hidden="false" customHeight="true" outlineLevel="0" collapsed="false">
      <c r="B1350" s="1" t="s">
        <v>839</v>
      </c>
      <c r="C1350" s="1" t="s">
        <v>840</v>
      </c>
      <c r="D1350" s="1" t="s">
        <v>501</v>
      </c>
      <c r="E1350" s="1" t="s">
        <v>576</v>
      </c>
      <c r="F1350" s="1" t="s">
        <v>566</v>
      </c>
      <c r="G1350" s="1" t="s">
        <v>279</v>
      </c>
      <c r="H1350" s="1" t="n">
        <v>125</v>
      </c>
      <c r="I1350" s="1" t="str">
        <f aca="false">B1350&amp;"|"&amp;F1350&amp;"|"&amp;G1350</f>
        <v>Showrooms|DPOLE|Average</v>
      </c>
      <c r="J1350" s="1" t="s">
        <v>838</v>
      </c>
    </row>
    <row r="1351" customFormat="false" ht="12" hidden="false" customHeight="true" outlineLevel="0" collapsed="false">
      <c r="B1351" s="1" t="s">
        <v>839</v>
      </c>
      <c r="C1351" s="1" t="s">
        <v>840</v>
      </c>
      <c r="D1351" s="1" t="s">
        <v>501</v>
      </c>
      <c r="E1351" s="1" t="s">
        <v>576</v>
      </c>
      <c r="F1351" s="1" t="s">
        <v>566</v>
      </c>
      <c r="G1351" s="1" t="s">
        <v>480</v>
      </c>
      <c r="H1351" s="1" t="n">
        <v>83.5</v>
      </c>
      <c r="I1351" s="1" t="str">
        <f aca="false">B1351&amp;"|"&amp;F1351&amp;"|"&amp;G1351</f>
        <v>Showrooms|DPOLE|Low Cost</v>
      </c>
      <c r="J1351" s="1" t="s">
        <v>838</v>
      </c>
    </row>
    <row r="1352" customFormat="false" ht="12" hidden="false" customHeight="true" outlineLevel="0" collapsed="false">
      <c r="B1352" s="1" t="s">
        <v>839</v>
      </c>
      <c r="C1352" s="1" t="s">
        <v>840</v>
      </c>
      <c r="D1352" s="1" t="s">
        <v>501</v>
      </c>
      <c r="E1352" s="1" t="s">
        <v>576</v>
      </c>
      <c r="F1352" s="1" t="s">
        <v>473</v>
      </c>
      <c r="G1352" s="1" t="s">
        <v>483</v>
      </c>
      <c r="H1352" s="1" t="n">
        <v>187</v>
      </c>
      <c r="I1352" s="1" t="str">
        <f aca="false">B1352&amp;"|"&amp;F1352&amp;"|"&amp;G1352</f>
        <v>Showrooms|S|Good</v>
      </c>
      <c r="J1352" s="1" t="s">
        <v>838</v>
      </c>
    </row>
    <row r="1353" customFormat="false" ht="12" hidden="false" customHeight="true" outlineLevel="0" collapsed="false">
      <c r="B1353" s="1" t="s">
        <v>839</v>
      </c>
      <c r="C1353" s="1" t="s">
        <v>840</v>
      </c>
      <c r="D1353" s="1" t="s">
        <v>501</v>
      </c>
      <c r="E1353" s="1" t="s">
        <v>576</v>
      </c>
      <c r="F1353" s="1" t="s">
        <v>473</v>
      </c>
      <c r="G1353" s="1" t="s">
        <v>279</v>
      </c>
      <c r="H1353" s="1" t="n">
        <v>133</v>
      </c>
      <c r="I1353" s="1" t="str">
        <f aca="false">B1353&amp;"|"&amp;F1353&amp;"|"&amp;G1353</f>
        <v>Showrooms|S|Average</v>
      </c>
      <c r="J1353" s="1" t="s">
        <v>838</v>
      </c>
    </row>
    <row r="1354" customFormat="false" ht="12" hidden="false" customHeight="true" outlineLevel="0" collapsed="false">
      <c r="B1354" s="1" t="s">
        <v>839</v>
      </c>
      <c r="C1354" s="1" t="s">
        <v>840</v>
      </c>
      <c r="D1354" s="1" t="s">
        <v>501</v>
      </c>
      <c r="E1354" s="1" t="s">
        <v>576</v>
      </c>
      <c r="F1354" s="1" t="s">
        <v>473</v>
      </c>
      <c r="G1354" s="1" t="s">
        <v>480</v>
      </c>
      <c r="H1354" s="1" t="n">
        <v>89.5</v>
      </c>
      <c r="I1354" s="1" t="str">
        <f aca="false">B1354&amp;"|"&amp;F1354&amp;"|"&amp;G1354</f>
        <v>Showrooms|S|Low Cost</v>
      </c>
      <c r="J1354" s="1" t="s">
        <v>838</v>
      </c>
    </row>
    <row r="1355" customFormat="false" ht="12" hidden="false" customHeight="true" outlineLevel="0" collapsed="false">
      <c r="B1355" s="1" t="s">
        <v>841</v>
      </c>
      <c r="C1355" s="1" t="s">
        <v>842</v>
      </c>
      <c r="D1355" s="1" t="s">
        <v>501</v>
      </c>
      <c r="E1355" s="1" t="s">
        <v>582</v>
      </c>
      <c r="F1355" s="1" t="s">
        <v>523</v>
      </c>
      <c r="G1355" s="1" t="s">
        <v>279</v>
      </c>
      <c r="H1355" s="1" t="n">
        <v>122</v>
      </c>
      <c r="I1355" s="1" t="str">
        <f aca="false">B1355&amp;"|"&amp;F1355&amp;"|"&amp;G1355</f>
        <v>Service Garages (Commercial/Repair)|A-B|Average</v>
      </c>
      <c r="J1355" s="1" t="s">
        <v>843</v>
      </c>
    </row>
    <row r="1356" customFormat="false" ht="12" hidden="false" customHeight="true" outlineLevel="0" collapsed="false">
      <c r="B1356" s="1" t="s">
        <v>841</v>
      </c>
      <c r="C1356" s="1" t="s">
        <v>842</v>
      </c>
      <c r="D1356" s="1" t="s">
        <v>501</v>
      </c>
      <c r="E1356" s="1" t="s">
        <v>582</v>
      </c>
      <c r="F1356" s="1" t="s">
        <v>463</v>
      </c>
      <c r="G1356" s="1" t="s">
        <v>485</v>
      </c>
      <c r="H1356" s="1" t="n">
        <v>156</v>
      </c>
      <c r="I1356" s="1" t="str">
        <f aca="false">B1356&amp;"|"&amp;F1356&amp;"|"&amp;G1356</f>
        <v>Service Garages (Commercial/Repair)|C|Excellent</v>
      </c>
      <c r="J1356" s="1" t="s">
        <v>843</v>
      </c>
    </row>
    <row r="1357" customFormat="false" ht="12" hidden="false" customHeight="true" outlineLevel="0" collapsed="false">
      <c r="B1357" s="1" t="s">
        <v>841</v>
      </c>
      <c r="C1357" s="1" t="s">
        <v>842</v>
      </c>
      <c r="D1357" s="1" t="s">
        <v>501</v>
      </c>
      <c r="E1357" s="1" t="s">
        <v>582</v>
      </c>
      <c r="F1357" s="1" t="s">
        <v>463</v>
      </c>
      <c r="G1357" s="1" t="s">
        <v>483</v>
      </c>
      <c r="H1357" s="1" t="n">
        <v>109</v>
      </c>
      <c r="I1357" s="1" t="str">
        <f aca="false">B1357&amp;"|"&amp;F1357&amp;"|"&amp;G1357</f>
        <v>Service Garages (Commercial/Repair)|C|Good</v>
      </c>
      <c r="J1357" s="1" t="s">
        <v>843</v>
      </c>
    </row>
    <row r="1358" customFormat="false" ht="12" hidden="false" customHeight="true" outlineLevel="0" collapsed="false">
      <c r="B1358" s="1" t="s">
        <v>841</v>
      </c>
      <c r="C1358" s="1" t="s">
        <v>842</v>
      </c>
      <c r="D1358" s="1" t="s">
        <v>501</v>
      </c>
      <c r="E1358" s="1" t="s">
        <v>582</v>
      </c>
      <c r="F1358" s="1" t="s">
        <v>463</v>
      </c>
      <c r="G1358" s="1" t="s">
        <v>279</v>
      </c>
      <c r="H1358" s="1" t="n">
        <v>79.5</v>
      </c>
      <c r="I1358" s="1" t="str">
        <f aca="false">B1358&amp;"|"&amp;F1358&amp;"|"&amp;G1358</f>
        <v>Service Garages (Commercial/Repair)|C|Average</v>
      </c>
      <c r="J1358" s="1" t="s">
        <v>843</v>
      </c>
    </row>
    <row r="1359" customFormat="false" ht="12" hidden="false" customHeight="true" outlineLevel="0" collapsed="false">
      <c r="B1359" s="1" t="s">
        <v>841</v>
      </c>
      <c r="C1359" s="1" t="s">
        <v>842</v>
      </c>
      <c r="D1359" s="1" t="s">
        <v>501</v>
      </c>
      <c r="E1359" s="1" t="s">
        <v>582</v>
      </c>
      <c r="F1359" s="1" t="s">
        <v>463</v>
      </c>
      <c r="G1359" s="1" t="s">
        <v>480</v>
      </c>
      <c r="H1359" s="1" t="n">
        <v>57.5</v>
      </c>
      <c r="I1359" s="1" t="str">
        <f aca="false">B1359&amp;"|"&amp;F1359&amp;"|"&amp;G1359</f>
        <v>Service Garages (Commercial/Repair)|C|Low Cost</v>
      </c>
      <c r="J1359" s="1" t="s">
        <v>843</v>
      </c>
    </row>
    <row r="1360" customFormat="false" ht="12" hidden="false" customHeight="true" outlineLevel="0" collapsed="false">
      <c r="B1360" s="1" t="s">
        <v>841</v>
      </c>
      <c r="C1360" s="1" t="s">
        <v>842</v>
      </c>
      <c r="D1360" s="1" t="s">
        <v>501</v>
      </c>
      <c r="E1360" s="1" t="s">
        <v>582</v>
      </c>
      <c r="F1360" s="1" t="s">
        <v>468</v>
      </c>
      <c r="G1360" s="1" t="s">
        <v>483</v>
      </c>
      <c r="H1360" s="1" t="n">
        <v>96</v>
      </c>
      <c r="I1360" s="1" t="str">
        <f aca="false">B1360&amp;"|"&amp;F1360&amp;"|"&amp;G1360</f>
        <v>Service Garages (Commercial/Repair)|D|Good</v>
      </c>
      <c r="J1360" s="1" t="s">
        <v>843</v>
      </c>
    </row>
    <row r="1361" customFormat="false" ht="12" hidden="false" customHeight="true" outlineLevel="0" collapsed="false">
      <c r="B1361" s="1" t="s">
        <v>841</v>
      </c>
      <c r="C1361" s="1" t="s">
        <v>842</v>
      </c>
      <c r="D1361" s="1" t="s">
        <v>501</v>
      </c>
      <c r="E1361" s="1" t="s">
        <v>582</v>
      </c>
      <c r="F1361" s="1" t="s">
        <v>468</v>
      </c>
      <c r="G1361" s="1" t="s">
        <v>279</v>
      </c>
      <c r="H1361" s="1" t="n">
        <v>70.5</v>
      </c>
      <c r="I1361" s="1" t="str">
        <f aca="false">B1361&amp;"|"&amp;F1361&amp;"|"&amp;G1361</f>
        <v>Service Garages (Commercial/Repair)|D|Average</v>
      </c>
      <c r="J1361" s="1" t="s">
        <v>843</v>
      </c>
    </row>
    <row r="1362" customFormat="false" ht="12" hidden="false" customHeight="true" outlineLevel="0" collapsed="false">
      <c r="B1362" s="1" t="s">
        <v>841</v>
      </c>
      <c r="C1362" s="1" t="s">
        <v>842</v>
      </c>
      <c r="D1362" s="1" t="s">
        <v>501</v>
      </c>
      <c r="E1362" s="1" t="s">
        <v>582</v>
      </c>
      <c r="F1362" s="1" t="s">
        <v>468</v>
      </c>
      <c r="G1362" s="1" t="s">
        <v>480</v>
      </c>
      <c r="H1362" s="1" t="n">
        <v>52</v>
      </c>
      <c r="I1362" s="1" t="str">
        <f aca="false">B1362&amp;"|"&amp;F1362&amp;"|"&amp;G1362</f>
        <v>Service Garages (Commercial/Repair)|D|Low Cost</v>
      </c>
      <c r="J1362" s="1" t="s">
        <v>843</v>
      </c>
    </row>
    <row r="1363" customFormat="false" ht="12" hidden="false" customHeight="true" outlineLevel="0" collapsed="false">
      <c r="B1363" s="1" t="s">
        <v>841</v>
      </c>
      <c r="C1363" s="1" t="s">
        <v>842</v>
      </c>
      <c r="D1363" s="1" t="s">
        <v>501</v>
      </c>
      <c r="E1363" s="1" t="s">
        <v>582</v>
      </c>
      <c r="F1363" s="1" t="s">
        <v>566</v>
      </c>
      <c r="G1363" s="1" t="s">
        <v>279</v>
      </c>
      <c r="H1363" s="1" t="n">
        <v>62</v>
      </c>
      <c r="I1363" s="1" t="str">
        <f aca="false">B1363&amp;"|"&amp;F1363&amp;"|"&amp;G1363</f>
        <v>Service Garages (Commercial/Repair)|DPOLE|Average</v>
      </c>
      <c r="J1363" s="1" t="s">
        <v>843</v>
      </c>
    </row>
    <row r="1364" customFormat="false" ht="12" hidden="false" customHeight="true" outlineLevel="0" collapsed="false">
      <c r="B1364" s="1" t="s">
        <v>841</v>
      </c>
      <c r="C1364" s="1" t="s">
        <v>842</v>
      </c>
      <c r="D1364" s="1" t="s">
        <v>501</v>
      </c>
      <c r="E1364" s="1" t="s">
        <v>582</v>
      </c>
      <c r="F1364" s="1" t="s">
        <v>566</v>
      </c>
      <c r="G1364" s="1" t="s">
        <v>480</v>
      </c>
      <c r="H1364" s="1" t="n">
        <v>45.5</v>
      </c>
      <c r="I1364" s="1" t="str">
        <f aca="false">B1364&amp;"|"&amp;F1364&amp;"|"&amp;G1364</f>
        <v>Service Garages (Commercial/Repair)|DPOLE|Low Cost</v>
      </c>
      <c r="J1364" s="1" t="s">
        <v>843</v>
      </c>
    </row>
    <row r="1365" customFormat="false" ht="12" hidden="false" customHeight="true" outlineLevel="0" collapsed="false">
      <c r="B1365" s="1" t="s">
        <v>841</v>
      </c>
      <c r="C1365" s="1" t="s">
        <v>842</v>
      </c>
      <c r="D1365" s="1" t="s">
        <v>501</v>
      </c>
      <c r="E1365" s="1" t="s">
        <v>582</v>
      </c>
      <c r="F1365" s="1" t="s">
        <v>473</v>
      </c>
      <c r="G1365" s="1" t="s">
        <v>483</v>
      </c>
      <c r="H1365" s="1" t="n">
        <v>94.5</v>
      </c>
      <c r="I1365" s="1" t="str">
        <f aca="false">B1365&amp;"|"&amp;F1365&amp;"|"&amp;G1365</f>
        <v>Service Garages (Commercial/Repair)|S|Good</v>
      </c>
      <c r="J1365" s="1" t="s">
        <v>843</v>
      </c>
    </row>
    <row r="1366" customFormat="false" ht="12" hidden="false" customHeight="true" outlineLevel="0" collapsed="false">
      <c r="B1366" s="1" t="s">
        <v>841</v>
      </c>
      <c r="C1366" s="1" t="s">
        <v>842</v>
      </c>
      <c r="D1366" s="1" t="s">
        <v>501</v>
      </c>
      <c r="E1366" s="1" t="s">
        <v>582</v>
      </c>
      <c r="F1366" s="1" t="s">
        <v>473</v>
      </c>
      <c r="G1366" s="1" t="s">
        <v>279</v>
      </c>
      <c r="H1366" s="1" t="n">
        <v>68</v>
      </c>
      <c r="I1366" s="1" t="str">
        <f aca="false">B1366&amp;"|"&amp;F1366&amp;"|"&amp;G1366</f>
        <v>Service Garages (Commercial/Repair)|S|Average</v>
      </c>
      <c r="J1366" s="1" t="s">
        <v>843</v>
      </c>
    </row>
    <row r="1367" customFormat="false" ht="12" hidden="false" customHeight="true" outlineLevel="0" collapsed="false">
      <c r="B1367" s="1" t="s">
        <v>841</v>
      </c>
      <c r="C1367" s="1" t="s">
        <v>842</v>
      </c>
      <c r="D1367" s="1" t="s">
        <v>501</v>
      </c>
      <c r="E1367" s="1" t="s">
        <v>582</v>
      </c>
      <c r="F1367" s="1" t="s">
        <v>473</v>
      </c>
      <c r="G1367" s="1" t="s">
        <v>480</v>
      </c>
      <c r="H1367" s="1" t="n">
        <v>49.5</v>
      </c>
      <c r="I1367" s="1" t="str">
        <f aca="false">B1367&amp;"|"&amp;F1367&amp;"|"&amp;G1367</f>
        <v>Service Garages (Commercial/Repair)|S|Low Cost</v>
      </c>
      <c r="J1367" s="1" t="s">
        <v>843</v>
      </c>
    </row>
    <row r="1368" customFormat="false" ht="12" hidden="false" customHeight="true" outlineLevel="0" collapsed="false">
      <c r="B1368" s="1" t="s">
        <v>844</v>
      </c>
      <c r="C1368" s="1" t="s">
        <v>845</v>
      </c>
      <c r="D1368" s="1" t="s">
        <v>501</v>
      </c>
      <c r="E1368" s="1" t="s">
        <v>582</v>
      </c>
      <c r="F1368" s="1" t="s">
        <v>463</v>
      </c>
      <c r="G1368" s="1" t="s">
        <v>483</v>
      </c>
      <c r="H1368" s="1" t="n">
        <v>49.5</v>
      </c>
      <c r="I1368" s="1" t="str">
        <f aca="false">B1368&amp;"|"&amp;F1368&amp;"|"&amp;G1368</f>
        <v>Service Garage Sheds|C|Good</v>
      </c>
      <c r="J1368" s="1" t="s">
        <v>843</v>
      </c>
    </row>
    <row r="1369" customFormat="false" ht="12" hidden="false" customHeight="true" outlineLevel="0" collapsed="false">
      <c r="B1369" s="1" t="s">
        <v>844</v>
      </c>
      <c r="C1369" s="1" t="s">
        <v>845</v>
      </c>
      <c r="D1369" s="1" t="s">
        <v>501</v>
      </c>
      <c r="E1369" s="1" t="s">
        <v>582</v>
      </c>
      <c r="F1369" s="1" t="s">
        <v>463</v>
      </c>
      <c r="G1369" s="1" t="s">
        <v>279</v>
      </c>
      <c r="H1369" s="1" t="n">
        <v>35</v>
      </c>
      <c r="I1369" s="1" t="str">
        <f aca="false">B1369&amp;"|"&amp;F1369&amp;"|"&amp;G1369</f>
        <v>Service Garage Sheds|C|Average</v>
      </c>
      <c r="J1369" s="1" t="s">
        <v>843</v>
      </c>
    </row>
    <row r="1370" customFormat="false" ht="12" hidden="false" customHeight="true" outlineLevel="0" collapsed="false">
      <c r="B1370" s="1" t="s">
        <v>844</v>
      </c>
      <c r="C1370" s="1" t="s">
        <v>845</v>
      </c>
      <c r="D1370" s="1" t="s">
        <v>501</v>
      </c>
      <c r="E1370" s="1" t="s">
        <v>582</v>
      </c>
      <c r="F1370" s="1" t="s">
        <v>463</v>
      </c>
      <c r="G1370" s="1" t="s">
        <v>480</v>
      </c>
      <c r="H1370" s="1" t="n">
        <v>26.5</v>
      </c>
      <c r="I1370" s="1" t="str">
        <f aca="false">B1370&amp;"|"&amp;F1370&amp;"|"&amp;G1370</f>
        <v>Service Garage Sheds|C|Low Cost</v>
      </c>
      <c r="J1370" s="1" t="s">
        <v>843</v>
      </c>
    </row>
    <row r="1371" customFormat="false" ht="12" hidden="false" customHeight="true" outlineLevel="0" collapsed="false">
      <c r="B1371" s="1" t="s">
        <v>844</v>
      </c>
      <c r="C1371" s="1" t="s">
        <v>845</v>
      </c>
      <c r="D1371" s="1" t="s">
        <v>501</v>
      </c>
      <c r="E1371" s="1" t="s">
        <v>582</v>
      </c>
      <c r="F1371" s="1" t="s">
        <v>566</v>
      </c>
      <c r="G1371" s="1" t="s">
        <v>483</v>
      </c>
      <c r="H1371" s="1" t="n">
        <v>39.75</v>
      </c>
      <c r="I1371" s="1" t="str">
        <f aca="false">B1371&amp;"|"&amp;F1371&amp;"|"&amp;G1371</f>
        <v>Service Garage Sheds|DPOLE|Good</v>
      </c>
      <c r="J1371" s="1" t="s">
        <v>843</v>
      </c>
    </row>
    <row r="1372" customFormat="false" ht="12" hidden="false" customHeight="true" outlineLevel="0" collapsed="false">
      <c r="B1372" s="1" t="s">
        <v>844</v>
      </c>
      <c r="C1372" s="1" t="s">
        <v>845</v>
      </c>
      <c r="D1372" s="1" t="s">
        <v>501</v>
      </c>
      <c r="E1372" s="1" t="s">
        <v>582</v>
      </c>
      <c r="F1372" s="1" t="s">
        <v>566</v>
      </c>
      <c r="G1372" s="1" t="s">
        <v>279</v>
      </c>
      <c r="H1372" s="1" t="n">
        <v>28.25</v>
      </c>
      <c r="I1372" s="1" t="str">
        <f aca="false">B1372&amp;"|"&amp;F1372&amp;"|"&amp;G1372</f>
        <v>Service Garage Sheds|DPOLE|Average</v>
      </c>
      <c r="J1372" s="1" t="s">
        <v>843</v>
      </c>
    </row>
    <row r="1373" customFormat="false" ht="12" hidden="false" customHeight="true" outlineLevel="0" collapsed="false">
      <c r="B1373" s="1" t="s">
        <v>844</v>
      </c>
      <c r="C1373" s="1" t="s">
        <v>845</v>
      </c>
      <c r="D1373" s="1" t="s">
        <v>501</v>
      </c>
      <c r="E1373" s="1" t="s">
        <v>582</v>
      </c>
      <c r="F1373" s="1" t="s">
        <v>566</v>
      </c>
      <c r="G1373" s="1" t="s">
        <v>480</v>
      </c>
      <c r="H1373" s="1" t="n">
        <v>21.7</v>
      </c>
      <c r="I1373" s="1" t="str">
        <f aca="false">B1373&amp;"|"&amp;F1373&amp;"|"&amp;G1373</f>
        <v>Service Garage Sheds|DPOLE|Low Cost</v>
      </c>
      <c r="J1373" s="1" t="s">
        <v>843</v>
      </c>
    </row>
    <row r="1374" customFormat="false" ht="12" hidden="false" customHeight="true" outlineLevel="0" collapsed="false">
      <c r="B1374" s="1" t="s">
        <v>844</v>
      </c>
      <c r="C1374" s="1" t="s">
        <v>845</v>
      </c>
      <c r="D1374" s="1" t="s">
        <v>501</v>
      </c>
      <c r="E1374" s="1" t="s">
        <v>582</v>
      </c>
      <c r="F1374" s="1" t="s">
        <v>473</v>
      </c>
      <c r="G1374" s="1" t="s">
        <v>483</v>
      </c>
      <c r="H1374" s="1" t="n">
        <v>43.75</v>
      </c>
      <c r="I1374" s="1" t="str">
        <f aca="false">B1374&amp;"|"&amp;F1374&amp;"|"&amp;G1374</f>
        <v>Service Garage Sheds|S|Good</v>
      </c>
      <c r="J1374" s="1" t="s">
        <v>843</v>
      </c>
    </row>
    <row r="1375" customFormat="false" ht="12" hidden="false" customHeight="true" outlineLevel="0" collapsed="false">
      <c r="B1375" s="1" t="s">
        <v>844</v>
      </c>
      <c r="C1375" s="1" t="s">
        <v>845</v>
      </c>
      <c r="D1375" s="1" t="s">
        <v>501</v>
      </c>
      <c r="E1375" s="1" t="s">
        <v>582</v>
      </c>
      <c r="F1375" s="1" t="s">
        <v>473</v>
      </c>
      <c r="G1375" s="1" t="s">
        <v>279</v>
      </c>
      <c r="H1375" s="1" t="n">
        <v>31.25</v>
      </c>
      <c r="I1375" s="1" t="str">
        <f aca="false">B1375&amp;"|"&amp;F1375&amp;"|"&amp;G1375</f>
        <v>Service Garage Sheds|S|Average</v>
      </c>
      <c r="J1375" s="1" t="s">
        <v>843</v>
      </c>
    </row>
    <row r="1376" customFormat="false" ht="12" hidden="false" customHeight="true" outlineLevel="0" collapsed="false">
      <c r="B1376" s="1" t="s">
        <v>844</v>
      </c>
      <c r="C1376" s="1" t="s">
        <v>845</v>
      </c>
      <c r="D1376" s="1" t="s">
        <v>501</v>
      </c>
      <c r="E1376" s="1" t="s">
        <v>582</v>
      </c>
      <c r="F1376" s="1" t="s">
        <v>473</v>
      </c>
      <c r="G1376" s="1" t="s">
        <v>480</v>
      </c>
      <c r="H1376" s="1" t="n">
        <v>23.9</v>
      </c>
      <c r="I1376" s="1" t="str">
        <f aca="false">B1376&amp;"|"&amp;F1376&amp;"|"&amp;G1376</f>
        <v>Service Garage Sheds|S|Low Cost</v>
      </c>
      <c r="J1376" s="1" t="s">
        <v>843</v>
      </c>
    </row>
    <row r="1377" customFormat="false" ht="12" hidden="false" customHeight="true" outlineLevel="0" collapsed="false">
      <c r="B1377" s="1" t="s">
        <v>846</v>
      </c>
      <c r="C1377" s="1" t="s">
        <v>847</v>
      </c>
      <c r="D1377" s="1" t="s">
        <v>501</v>
      </c>
      <c r="E1377" s="1" t="s">
        <v>586</v>
      </c>
      <c r="F1377" s="1" t="s">
        <v>463</v>
      </c>
      <c r="G1377" s="1" t="s">
        <v>485</v>
      </c>
      <c r="H1377" s="1" t="n">
        <v>242</v>
      </c>
      <c r="I1377" s="1" t="str">
        <f aca="false">B1377&amp;"|"&amp;F1377&amp;"|"&amp;G1377</f>
        <v>Municipal Service Garages|C|Excellent</v>
      </c>
      <c r="J1377" s="1" t="s">
        <v>848</v>
      </c>
    </row>
    <row r="1378" customFormat="false" ht="12" hidden="false" customHeight="true" outlineLevel="0" collapsed="false">
      <c r="B1378" s="1" t="s">
        <v>846</v>
      </c>
      <c r="C1378" s="1" t="s">
        <v>847</v>
      </c>
      <c r="D1378" s="1" t="s">
        <v>501</v>
      </c>
      <c r="E1378" s="1" t="s">
        <v>586</v>
      </c>
      <c r="F1378" s="1" t="s">
        <v>463</v>
      </c>
      <c r="G1378" s="1" t="s">
        <v>483</v>
      </c>
      <c r="H1378" s="1" t="n">
        <v>173</v>
      </c>
      <c r="I1378" s="1" t="str">
        <f aca="false">B1378&amp;"|"&amp;F1378&amp;"|"&amp;G1378</f>
        <v>Municipal Service Garages|C|Good</v>
      </c>
      <c r="J1378" s="1" t="s">
        <v>848</v>
      </c>
    </row>
    <row r="1379" customFormat="false" ht="12" hidden="false" customHeight="true" outlineLevel="0" collapsed="false">
      <c r="B1379" s="1" t="s">
        <v>846</v>
      </c>
      <c r="C1379" s="1" t="s">
        <v>847</v>
      </c>
      <c r="D1379" s="1" t="s">
        <v>501</v>
      </c>
      <c r="E1379" s="1" t="s">
        <v>586</v>
      </c>
      <c r="F1379" s="1" t="s">
        <v>463</v>
      </c>
      <c r="G1379" s="1" t="s">
        <v>279</v>
      </c>
      <c r="H1379" s="1" t="n">
        <v>118</v>
      </c>
      <c r="I1379" s="1" t="str">
        <f aca="false">B1379&amp;"|"&amp;F1379&amp;"|"&amp;G1379</f>
        <v>Municipal Service Garages|C|Average</v>
      </c>
      <c r="J1379" s="1" t="s">
        <v>848</v>
      </c>
    </row>
    <row r="1380" customFormat="false" ht="12" hidden="false" customHeight="true" outlineLevel="0" collapsed="false">
      <c r="B1380" s="1" t="s">
        <v>846</v>
      </c>
      <c r="C1380" s="1" t="s">
        <v>847</v>
      </c>
      <c r="D1380" s="1" t="s">
        <v>501</v>
      </c>
      <c r="E1380" s="1" t="s">
        <v>586</v>
      </c>
      <c r="F1380" s="1" t="s">
        <v>468</v>
      </c>
      <c r="G1380" s="1" t="s">
        <v>279</v>
      </c>
      <c r="H1380" s="1" t="n">
        <v>105</v>
      </c>
      <c r="I1380" s="1" t="str">
        <f aca="false">B1380&amp;"|"&amp;F1380&amp;"|"&amp;G1380</f>
        <v>Municipal Service Garages|D|Average</v>
      </c>
      <c r="J1380" s="1" t="s">
        <v>848</v>
      </c>
    </row>
    <row r="1381" customFormat="false" ht="12" hidden="false" customHeight="true" outlineLevel="0" collapsed="false">
      <c r="B1381" s="1" t="s">
        <v>846</v>
      </c>
      <c r="C1381" s="1" t="s">
        <v>847</v>
      </c>
      <c r="D1381" s="1" t="s">
        <v>501</v>
      </c>
      <c r="E1381" s="1" t="s">
        <v>586</v>
      </c>
      <c r="F1381" s="1" t="s">
        <v>473</v>
      </c>
      <c r="G1381" s="1" t="s">
        <v>485</v>
      </c>
      <c r="H1381" s="1" t="n">
        <v>212</v>
      </c>
      <c r="I1381" s="1" t="str">
        <f aca="false">B1381&amp;"|"&amp;F1381&amp;"|"&amp;G1381</f>
        <v>Municipal Service Garages|S|Excellent</v>
      </c>
      <c r="J1381" s="1" t="s">
        <v>848</v>
      </c>
    </row>
    <row r="1382" customFormat="false" ht="12" hidden="false" customHeight="true" outlineLevel="0" collapsed="false">
      <c r="B1382" s="1" t="s">
        <v>846</v>
      </c>
      <c r="C1382" s="1" t="s">
        <v>847</v>
      </c>
      <c r="D1382" s="1" t="s">
        <v>501</v>
      </c>
      <c r="E1382" s="1" t="s">
        <v>586</v>
      </c>
      <c r="F1382" s="1" t="s">
        <v>473</v>
      </c>
      <c r="G1382" s="1" t="s">
        <v>483</v>
      </c>
      <c r="H1382" s="1" t="n">
        <v>153</v>
      </c>
      <c r="I1382" s="1" t="str">
        <f aca="false">B1382&amp;"|"&amp;F1382&amp;"|"&amp;G1382</f>
        <v>Municipal Service Garages|S|Good</v>
      </c>
      <c r="J1382" s="1" t="s">
        <v>848</v>
      </c>
    </row>
    <row r="1383" customFormat="false" ht="12" hidden="false" customHeight="true" outlineLevel="0" collapsed="false">
      <c r="B1383" s="1" t="s">
        <v>846</v>
      </c>
      <c r="C1383" s="1" t="s">
        <v>847</v>
      </c>
      <c r="D1383" s="1" t="s">
        <v>501</v>
      </c>
      <c r="E1383" s="1" t="s">
        <v>586</v>
      </c>
      <c r="F1383" s="1" t="s">
        <v>473</v>
      </c>
      <c r="G1383" s="1" t="s">
        <v>279</v>
      </c>
      <c r="H1383" s="1" t="n">
        <v>106</v>
      </c>
      <c r="I1383" s="1" t="str">
        <f aca="false">B1383&amp;"|"&amp;F1383&amp;"|"&amp;G1383</f>
        <v>Municipal Service Garages|S|Average</v>
      </c>
      <c r="J1383" s="1" t="s">
        <v>848</v>
      </c>
    </row>
    <row r="1384" customFormat="false" ht="12" hidden="false" customHeight="true" outlineLevel="0" collapsed="false">
      <c r="B1384" s="1" t="s">
        <v>849</v>
      </c>
      <c r="C1384" s="1" t="s">
        <v>850</v>
      </c>
      <c r="D1384" s="1" t="s">
        <v>501</v>
      </c>
      <c r="E1384" s="1" t="s">
        <v>586</v>
      </c>
      <c r="F1384" s="1" t="s">
        <v>463</v>
      </c>
      <c r="G1384" s="1" t="s">
        <v>485</v>
      </c>
      <c r="H1384" s="1" t="n">
        <v>235</v>
      </c>
      <c r="I1384" s="1" t="str">
        <f aca="false">B1384&amp;"|"&amp;F1384&amp;"|"&amp;G1384</f>
        <v>Mini-Lube Garages|C|Excellent</v>
      </c>
      <c r="J1384" s="1" t="s">
        <v>848</v>
      </c>
    </row>
    <row r="1385" customFormat="false" ht="12" hidden="false" customHeight="true" outlineLevel="0" collapsed="false">
      <c r="B1385" s="1" t="s">
        <v>849</v>
      </c>
      <c r="C1385" s="1" t="s">
        <v>850</v>
      </c>
      <c r="D1385" s="1" t="s">
        <v>501</v>
      </c>
      <c r="E1385" s="1" t="s">
        <v>586</v>
      </c>
      <c r="F1385" s="1" t="s">
        <v>463</v>
      </c>
      <c r="G1385" s="1" t="s">
        <v>483</v>
      </c>
      <c r="H1385" s="1" t="n">
        <v>181</v>
      </c>
      <c r="I1385" s="1" t="str">
        <f aca="false">B1385&amp;"|"&amp;F1385&amp;"|"&amp;G1385</f>
        <v>Mini-Lube Garages|C|Good</v>
      </c>
      <c r="J1385" s="1" t="s">
        <v>848</v>
      </c>
    </row>
    <row r="1386" customFormat="false" ht="12" hidden="false" customHeight="true" outlineLevel="0" collapsed="false">
      <c r="B1386" s="1" t="s">
        <v>849</v>
      </c>
      <c r="C1386" s="1" t="s">
        <v>850</v>
      </c>
      <c r="D1386" s="1" t="s">
        <v>501</v>
      </c>
      <c r="E1386" s="1" t="s">
        <v>586</v>
      </c>
      <c r="F1386" s="1" t="s">
        <v>463</v>
      </c>
      <c r="G1386" s="1" t="s">
        <v>279</v>
      </c>
      <c r="H1386" s="1" t="n">
        <v>140</v>
      </c>
      <c r="I1386" s="1" t="str">
        <f aca="false">B1386&amp;"|"&amp;F1386&amp;"|"&amp;G1386</f>
        <v>Mini-Lube Garages|C|Average</v>
      </c>
      <c r="J1386" s="1" t="s">
        <v>848</v>
      </c>
    </row>
    <row r="1387" customFormat="false" ht="12" hidden="false" customHeight="true" outlineLevel="0" collapsed="false">
      <c r="B1387" s="1" t="s">
        <v>849</v>
      </c>
      <c r="C1387" s="1" t="s">
        <v>850</v>
      </c>
      <c r="D1387" s="1" t="s">
        <v>501</v>
      </c>
      <c r="E1387" s="1" t="s">
        <v>586</v>
      </c>
      <c r="F1387" s="1" t="s">
        <v>463</v>
      </c>
      <c r="G1387" s="1" t="s">
        <v>480</v>
      </c>
      <c r="H1387" s="1" t="n">
        <v>111</v>
      </c>
      <c r="I1387" s="1" t="str">
        <f aca="false">B1387&amp;"|"&amp;F1387&amp;"|"&amp;G1387</f>
        <v>Mini-Lube Garages|C|Low Cost</v>
      </c>
      <c r="J1387" s="1" t="s">
        <v>848</v>
      </c>
    </row>
    <row r="1388" customFormat="false" ht="12" hidden="false" customHeight="true" outlineLevel="0" collapsed="false">
      <c r="B1388" s="1" t="s">
        <v>849</v>
      </c>
      <c r="C1388" s="1" t="s">
        <v>850</v>
      </c>
      <c r="D1388" s="1" t="s">
        <v>501</v>
      </c>
      <c r="E1388" s="1" t="s">
        <v>586</v>
      </c>
      <c r="F1388" s="1" t="s">
        <v>468</v>
      </c>
      <c r="G1388" s="1" t="s">
        <v>485</v>
      </c>
      <c r="H1388" s="1" t="n">
        <v>226</v>
      </c>
      <c r="I1388" s="1" t="str">
        <f aca="false">B1388&amp;"|"&amp;F1388&amp;"|"&amp;G1388</f>
        <v>Mini-Lube Garages|D|Excellent</v>
      </c>
      <c r="J1388" s="1" t="s">
        <v>848</v>
      </c>
    </row>
    <row r="1389" customFormat="false" ht="12" hidden="false" customHeight="true" outlineLevel="0" collapsed="false">
      <c r="B1389" s="1" t="s">
        <v>849</v>
      </c>
      <c r="C1389" s="1" t="s">
        <v>850</v>
      </c>
      <c r="D1389" s="1" t="s">
        <v>501</v>
      </c>
      <c r="E1389" s="1" t="s">
        <v>586</v>
      </c>
      <c r="F1389" s="1" t="s">
        <v>468</v>
      </c>
      <c r="G1389" s="1" t="s">
        <v>483</v>
      </c>
      <c r="H1389" s="1" t="n">
        <v>173</v>
      </c>
      <c r="I1389" s="1" t="str">
        <f aca="false">B1389&amp;"|"&amp;F1389&amp;"|"&amp;G1389</f>
        <v>Mini-Lube Garages|D|Good</v>
      </c>
      <c r="J1389" s="1" t="s">
        <v>848</v>
      </c>
    </row>
    <row r="1390" customFormat="false" ht="12" hidden="false" customHeight="true" outlineLevel="0" collapsed="false">
      <c r="B1390" s="1" t="s">
        <v>849</v>
      </c>
      <c r="C1390" s="1" t="s">
        <v>850</v>
      </c>
      <c r="D1390" s="1" t="s">
        <v>501</v>
      </c>
      <c r="E1390" s="1" t="s">
        <v>586</v>
      </c>
      <c r="F1390" s="1" t="s">
        <v>468</v>
      </c>
      <c r="G1390" s="1" t="s">
        <v>279</v>
      </c>
      <c r="H1390" s="1" t="n">
        <v>133</v>
      </c>
      <c r="I1390" s="1" t="str">
        <f aca="false">B1390&amp;"|"&amp;F1390&amp;"|"&amp;G1390</f>
        <v>Mini-Lube Garages|D|Average</v>
      </c>
      <c r="J1390" s="1" t="s">
        <v>848</v>
      </c>
    </row>
    <row r="1391" customFormat="false" ht="12" hidden="false" customHeight="true" outlineLevel="0" collapsed="false">
      <c r="B1391" s="1" t="s">
        <v>849</v>
      </c>
      <c r="C1391" s="1" t="s">
        <v>850</v>
      </c>
      <c r="D1391" s="1" t="s">
        <v>501</v>
      </c>
      <c r="E1391" s="1" t="s">
        <v>586</v>
      </c>
      <c r="F1391" s="1" t="s">
        <v>468</v>
      </c>
      <c r="G1391" s="1" t="s">
        <v>480</v>
      </c>
      <c r="H1391" s="1" t="n">
        <v>104</v>
      </c>
      <c r="I1391" s="1" t="str">
        <f aca="false">B1391&amp;"|"&amp;F1391&amp;"|"&amp;G1391</f>
        <v>Mini-Lube Garages|D|Low Cost</v>
      </c>
      <c r="J1391" s="1" t="s">
        <v>848</v>
      </c>
    </row>
    <row r="1392" customFormat="false" ht="12" hidden="false" customHeight="true" outlineLevel="0" collapsed="false">
      <c r="B1392" s="1" t="s">
        <v>849</v>
      </c>
      <c r="C1392" s="1" t="s">
        <v>850</v>
      </c>
      <c r="D1392" s="1" t="s">
        <v>501</v>
      </c>
      <c r="E1392" s="1" t="s">
        <v>586</v>
      </c>
      <c r="F1392" s="1" t="s">
        <v>473</v>
      </c>
      <c r="G1392" s="1" t="s">
        <v>279</v>
      </c>
      <c r="H1392" s="1" t="n">
        <v>133</v>
      </c>
      <c r="I1392" s="1" t="str">
        <f aca="false">B1392&amp;"|"&amp;F1392&amp;"|"&amp;G1392</f>
        <v>Mini-Lube Garages|S|Average</v>
      </c>
      <c r="J1392" s="1" t="s">
        <v>848</v>
      </c>
    </row>
    <row r="1393" customFormat="false" ht="12" hidden="false" customHeight="true" outlineLevel="0" collapsed="false">
      <c r="B1393" s="1" t="s">
        <v>849</v>
      </c>
      <c r="C1393" s="1" t="s">
        <v>850</v>
      </c>
      <c r="D1393" s="1" t="s">
        <v>501</v>
      </c>
      <c r="E1393" s="1" t="s">
        <v>586</v>
      </c>
      <c r="F1393" s="1" t="s">
        <v>473</v>
      </c>
      <c r="G1393" s="1" t="s">
        <v>480</v>
      </c>
      <c r="H1393" s="1" t="n">
        <v>105</v>
      </c>
      <c r="I1393" s="1" t="str">
        <f aca="false">B1393&amp;"|"&amp;F1393&amp;"|"&amp;G1393</f>
        <v>Mini-Lube Garages|S|Low Cost</v>
      </c>
      <c r="J1393" s="1" t="s">
        <v>848</v>
      </c>
    </row>
    <row r="1394" customFormat="false" ht="12" hidden="false" customHeight="true" outlineLevel="0" collapsed="false">
      <c r="B1394" s="1" t="s">
        <v>849</v>
      </c>
      <c r="C1394" s="1" t="s">
        <v>850</v>
      </c>
      <c r="D1394" s="1" t="s">
        <v>501</v>
      </c>
      <c r="E1394" s="1" t="s">
        <v>586</v>
      </c>
      <c r="F1394" s="1" t="s">
        <v>804</v>
      </c>
      <c r="G1394" s="1" t="s">
        <v>279</v>
      </c>
      <c r="H1394" s="1" t="n">
        <v>59.5</v>
      </c>
      <c r="I1394" s="1" t="str">
        <f aca="false">B1394&amp;"|"&amp;F1394&amp;"|"&amp;G1394</f>
        <v>Mini-Lube Garages|CDS|Average</v>
      </c>
      <c r="J1394" s="1" t="s">
        <v>848</v>
      </c>
    </row>
    <row r="1395" customFormat="false" ht="12" hidden="false" customHeight="true" outlineLevel="0" collapsed="false">
      <c r="B1395" s="1" t="s">
        <v>851</v>
      </c>
      <c r="C1395" s="1" t="s">
        <v>852</v>
      </c>
      <c r="D1395" s="1" t="s">
        <v>501</v>
      </c>
      <c r="E1395" s="1" t="s">
        <v>660</v>
      </c>
      <c r="F1395" s="1" t="s">
        <v>456</v>
      </c>
      <c r="G1395" s="1" t="s">
        <v>483</v>
      </c>
      <c r="H1395" s="1" t="n">
        <v>110</v>
      </c>
      <c r="I1395" s="1" t="str">
        <f aca="false">B1395&amp;"|"&amp;F1395&amp;"|"&amp;G1395</f>
        <v>Parking (Parkade) Structures|A|Good</v>
      </c>
      <c r="J1395" s="1" t="s">
        <v>853</v>
      </c>
    </row>
    <row r="1396" customFormat="false" ht="12" hidden="false" customHeight="true" outlineLevel="0" collapsed="false">
      <c r="B1396" s="1" t="s">
        <v>851</v>
      </c>
      <c r="C1396" s="1" t="s">
        <v>852</v>
      </c>
      <c r="D1396" s="1" t="s">
        <v>501</v>
      </c>
      <c r="E1396" s="1" t="s">
        <v>660</v>
      </c>
      <c r="F1396" s="1" t="s">
        <v>456</v>
      </c>
      <c r="G1396" s="1" t="s">
        <v>279</v>
      </c>
      <c r="H1396" s="1" t="n">
        <v>84</v>
      </c>
      <c r="I1396" s="1" t="str">
        <f aca="false">B1396&amp;"|"&amp;F1396&amp;"|"&amp;G1396</f>
        <v>Parking (Parkade) Structures|A|Average</v>
      </c>
      <c r="J1396" s="1" t="s">
        <v>853</v>
      </c>
    </row>
    <row r="1397" customFormat="false" ht="12" hidden="false" customHeight="true" outlineLevel="0" collapsed="false">
      <c r="B1397" s="1" t="s">
        <v>851</v>
      </c>
      <c r="C1397" s="1" t="s">
        <v>852</v>
      </c>
      <c r="D1397" s="1" t="s">
        <v>501</v>
      </c>
      <c r="E1397" s="1" t="s">
        <v>660</v>
      </c>
      <c r="F1397" s="1" t="s">
        <v>461</v>
      </c>
      <c r="G1397" s="1" t="s">
        <v>483</v>
      </c>
      <c r="H1397" s="1" t="n">
        <v>96.5</v>
      </c>
      <c r="I1397" s="1" t="str">
        <f aca="false">B1397&amp;"|"&amp;F1397&amp;"|"&amp;G1397</f>
        <v>Parking (Parkade) Structures|B|Good</v>
      </c>
      <c r="J1397" s="1" t="s">
        <v>853</v>
      </c>
    </row>
    <row r="1398" customFormat="false" ht="12" hidden="false" customHeight="true" outlineLevel="0" collapsed="false">
      <c r="B1398" s="1" t="s">
        <v>851</v>
      </c>
      <c r="C1398" s="1" t="s">
        <v>852</v>
      </c>
      <c r="D1398" s="1" t="s">
        <v>501</v>
      </c>
      <c r="E1398" s="1" t="s">
        <v>660</v>
      </c>
      <c r="F1398" s="1" t="s">
        <v>461</v>
      </c>
      <c r="G1398" s="1" t="s">
        <v>279</v>
      </c>
      <c r="H1398" s="1" t="n">
        <v>75</v>
      </c>
      <c r="I1398" s="1" t="str">
        <f aca="false">B1398&amp;"|"&amp;F1398&amp;"|"&amp;G1398</f>
        <v>Parking (Parkade) Structures|B|Average</v>
      </c>
      <c r="J1398" s="1" t="s">
        <v>853</v>
      </c>
    </row>
    <row r="1399" customFormat="false" ht="12" hidden="false" customHeight="true" outlineLevel="0" collapsed="false">
      <c r="B1399" s="1" t="s">
        <v>851</v>
      </c>
      <c r="C1399" s="1" t="s">
        <v>852</v>
      </c>
      <c r="D1399" s="1" t="s">
        <v>501</v>
      </c>
      <c r="E1399" s="1" t="s">
        <v>660</v>
      </c>
      <c r="F1399" s="1" t="s">
        <v>461</v>
      </c>
      <c r="G1399" s="1" t="s">
        <v>480</v>
      </c>
      <c r="H1399" s="1" t="n">
        <v>58.5</v>
      </c>
      <c r="I1399" s="1" t="str">
        <f aca="false">B1399&amp;"|"&amp;F1399&amp;"|"&amp;G1399</f>
        <v>Parking (Parkade) Structures|B|Low Cost</v>
      </c>
      <c r="J1399" s="1" t="s">
        <v>853</v>
      </c>
    </row>
    <row r="1400" customFormat="false" ht="12" hidden="false" customHeight="true" outlineLevel="0" collapsed="false">
      <c r="B1400" s="1" t="s">
        <v>851</v>
      </c>
      <c r="C1400" s="1" t="s">
        <v>852</v>
      </c>
      <c r="D1400" s="1" t="s">
        <v>501</v>
      </c>
      <c r="E1400" s="1" t="s">
        <v>660</v>
      </c>
      <c r="F1400" s="1" t="s">
        <v>473</v>
      </c>
      <c r="G1400" s="1" t="s">
        <v>480</v>
      </c>
      <c r="H1400" s="1" t="n">
        <v>56</v>
      </c>
      <c r="I1400" s="1" t="str">
        <f aca="false">B1400&amp;"|"&amp;F1400&amp;"|"&amp;G1400</f>
        <v>Parking (Parkade) Structures|S|Low Cost</v>
      </c>
      <c r="J1400" s="1" t="s">
        <v>853</v>
      </c>
    </row>
    <row r="1401" customFormat="false" ht="12" hidden="false" customHeight="true" outlineLevel="0" collapsed="false">
      <c r="B1401" s="1" t="s">
        <v>851</v>
      </c>
      <c r="C1401" s="1" t="s">
        <v>852</v>
      </c>
      <c r="D1401" s="1" t="s">
        <v>501</v>
      </c>
      <c r="E1401" s="1" t="s">
        <v>660</v>
      </c>
      <c r="F1401" s="1" t="s">
        <v>473</v>
      </c>
      <c r="G1401" s="1" t="s">
        <v>567</v>
      </c>
      <c r="H1401" s="1" t="n">
        <v>43.75</v>
      </c>
      <c r="I1401" s="1" t="str">
        <f aca="false">B1401&amp;"|"&amp;F1401&amp;"|"&amp;G1401</f>
        <v>Parking (Parkade) Structures|S|Cheap</v>
      </c>
      <c r="J1401" s="1" t="s">
        <v>853</v>
      </c>
    </row>
    <row r="1402" customFormat="false" ht="12" hidden="false" customHeight="true" outlineLevel="0" collapsed="false">
      <c r="B1402" s="1" t="s">
        <v>854</v>
      </c>
      <c r="C1402" s="1" t="s">
        <v>855</v>
      </c>
      <c r="D1402" s="1" t="s">
        <v>501</v>
      </c>
      <c r="E1402" s="1" t="s">
        <v>660</v>
      </c>
      <c r="F1402" s="1" t="s">
        <v>523</v>
      </c>
      <c r="G1402" s="1" t="s">
        <v>279</v>
      </c>
      <c r="H1402" s="1" t="n">
        <v>109</v>
      </c>
      <c r="I1402" s="1" t="str">
        <f aca="false">B1402&amp;"|"&amp;F1402&amp;"|"&amp;G1402</f>
        <v>Storage Garages|A-B|Average</v>
      </c>
      <c r="J1402" s="1" t="s">
        <v>853</v>
      </c>
    </row>
    <row r="1403" customFormat="false" ht="12" hidden="false" customHeight="true" outlineLevel="0" collapsed="false">
      <c r="B1403" s="1" t="s">
        <v>854</v>
      </c>
      <c r="C1403" s="1" t="s">
        <v>855</v>
      </c>
      <c r="D1403" s="1" t="s">
        <v>501</v>
      </c>
      <c r="E1403" s="1" t="s">
        <v>660</v>
      </c>
      <c r="F1403" s="1" t="s">
        <v>463</v>
      </c>
      <c r="G1403" s="1" t="s">
        <v>279</v>
      </c>
      <c r="H1403" s="1" t="n">
        <v>79</v>
      </c>
      <c r="I1403" s="1" t="str">
        <f aca="false">B1403&amp;"|"&amp;F1403&amp;"|"&amp;G1403</f>
        <v>Storage Garages|C|Average</v>
      </c>
      <c r="J1403" s="1" t="s">
        <v>853</v>
      </c>
    </row>
    <row r="1404" customFormat="false" ht="12" hidden="false" customHeight="true" outlineLevel="0" collapsed="false">
      <c r="B1404" s="1" t="s">
        <v>854</v>
      </c>
      <c r="C1404" s="1" t="s">
        <v>855</v>
      </c>
      <c r="D1404" s="1" t="s">
        <v>501</v>
      </c>
      <c r="E1404" s="1" t="s">
        <v>660</v>
      </c>
      <c r="F1404" s="1" t="s">
        <v>519</v>
      </c>
      <c r="G1404" s="1" t="s">
        <v>279</v>
      </c>
      <c r="H1404" s="1" t="n">
        <v>93.5</v>
      </c>
      <c r="I1404" s="1" t="str">
        <f aca="false">B1404&amp;"|"&amp;F1404&amp;"|"&amp;G1404</f>
        <v>Storage Garages|CMILL|Average</v>
      </c>
      <c r="J1404" s="1" t="s">
        <v>853</v>
      </c>
    </row>
    <row r="1405" customFormat="false" ht="12" hidden="false" customHeight="true" outlineLevel="0" collapsed="false">
      <c r="B1405" s="1" t="s">
        <v>854</v>
      </c>
      <c r="C1405" s="1" t="s">
        <v>855</v>
      </c>
      <c r="D1405" s="1" t="s">
        <v>501</v>
      </c>
      <c r="E1405" s="1" t="s">
        <v>660</v>
      </c>
      <c r="F1405" s="1" t="s">
        <v>468</v>
      </c>
      <c r="G1405" s="1" t="s">
        <v>279</v>
      </c>
      <c r="H1405" s="1" t="n">
        <v>71.5</v>
      </c>
      <c r="I1405" s="1" t="str">
        <f aca="false">B1405&amp;"|"&amp;F1405&amp;"|"&amp;G1405</f>
        <v>Storage Garages|D|Average</v>
      </c>
      <c r="J1405" s="1" t="s">
        <v>853</v>
      </c>
    </row>
    <row r="1406" customFormat="false" ht="12" hidden="false" customHeight="true" outlineLevel="0" collapsed="false">
      <c r="B1406" s="1" t="s">
        <v>854</v>
      </c>
      <c r="C1406" s="1" t="s">
        <v>855</v>
      </c>
      <c r="D1406" s="1" t="s">
        <v>501</v>
      </c>
      <c r="E1406" s="1" t="s">
        <v>660</v>
      </c>
      <c r="F1406" s="1" t="s">
        <v>473</v>
      </c>
      <c r="G1406" s="1" t="s">
        <v>279</v>
      </c>
      <c r="H1406" s="1" t="n">
        <v>69.5</v>
      </c>
      <c r="I1406" s="1" t="str">
        <f aca="false">B1406&amp;"|"&amp;F1406&amp;"|"&amp;G1406</f>
        <v>Storage Garages|S|Average</v>
      </c>
      <c r="J1406" s="1" t="s">
        <v>853</v>
      </c>
    </row>
    <row r="1407" customFormat="false" ht="12" hidden="false" customHeight="true" outlineLevel="0" collapsed="false">
      <c r="B1407" s="1" t="s">
        <v>856</v>
      </c>
      <c r="C1407" s="1" t="s">
        <v>857</v>
      </c>
      <c r="D1407" s="1" t="s">
        <v>501</v>
      </c>
      <c r="E1407" s="1" t="s">
        <v>754</v>
      </c>
      <c r="F1407" s="1" t="s">
        <v>463</v>
      </c>
      <c r="G1407" s="1" t="s">
        <v>483</v>
      </c>
      <c r="H1407" s="1" t="n">
        <v>71</v>
      </c>
      <c r="I1407" s="1" t="str">
        <f aca="false">B1407&amp;"|"&amp;F1407&amp;"|"&amp;G1407</f>
        <v>Light Industrial/Warehouse Shell Buildings|C|Good</v>
      </c>
      <c r="J1407" s="1" t="s">
        <v>858</v>
      </c>
    </row>
    <row r="1408" customFormat="false" ht="12" hidden="false" customHeight="true" outlineLevel="0" collapsed="false">
      <c r="B1408" s="1" t="s">
        <v>856</v>
      </c>
      <c r="C1408" s="1" t="s">
        <v>857</v>
      </c>
      <c r="D1408" s="1" t="s">
        <v>501</v>
      </c>
      <c r="E1408" s="1" t="s">
        <v>754</v>
      </c>
      <c r="F1408" s="1" t="s">
        <v>463</v>
      </c>
      <c r="G1408" s="1" t="s">
        <v>279</v>
      </c>
      <c r="H1408" s="1" t="n">
        <v>51</v>
      </c>
      <c r="I1408" s="1" t="str">
        <f aca="false">B1408&amp;"|"&amp;F1408&amp;"|"&amp;G1408</f>
        <v>Light Industrial/Warehouse Shell Buildings|C|Average</v>
      </c>
      <c r="J1408" s="1" t="s">
        <v>858</v>
      </c>
    </row>
    <row r="1409" customFormat="false" ht="12" hidden="false" customHeight="true" outlineLevel="0" collapsed="false">
      <c r="B1409" s="1" t="s">
        <v>856</v>
      </c>
      <c r="C1409" s="1" t="s">
        <v>857</v>
      </c>
      <c r="D1409" s="1" t="s">
        <v>501</v>
      </c>
      <c r="E1409" s="1" t="s">
        <v>754</v>
      </c>
      <c r="F1409" s="1" t="s">
        <v>463</v>
      </c>
      <c r="G1409" s="1" t="s">
        <v>480</v>
      </c>
      <c r="H1409" s="1" t="n">
        <v>36.75</v>
      </c>
      <c r="I1409" s="1" t="str">
        <f aca="false">B1409&amp;"|"&amp;F1409&amp;"|"&amp;G1409</f>
        <v>Light Industrial/Warehouse Shell Buildings|C|Low Cost</v>
      </c>
      <c r="J1409" s="1" t="s">
        <v>858</v>
      </c>
    </row>
    <row r="1410" customFormat="false" ht="12" hidden="false" customHeight="true" outlineLevel="0" collapsed="false">
      <c r="B1410" s="1" t="s">
        <v>856</v>
      </c>
      <c r="C1410" s="1" t="s">
        <v>857</v>
      </c>
      <c r="D1410" s="1" t="s">
        <v>501</v>
      </c>
      <c r="E1410" s="1" t="s">
        <v>754</v>
      </c>
      <c r="F1410" s="1" t="s">
        <v>463</v>
      </c>
      <c r="G1410" s="1" t="s">
        <v>567</v>
      </c>
      <c r="H1410" s="1" t="n">
        <v>29.75</v>
      </c>
      <c r="I1410" s="1" t="str">
        <f aca="false">B1410&amp;"|"&amp;F1410&amp;"|"&amp;G1410</f>
        <v>Light Industrial/Warehouse Shell Buildings|C|Cheap</v>
      </c>
      <c r="J1410" s="1" t="s">
        <v>858</v>
      </c>
    </row>
    <row r="1411" customFormat="false" ht="12" hidden="false" customHeight="true" outlineLevel="0" collapsed="false">
      <c r="B1411" s="1" t="s">
        <v>856</v>
      </c>
      <c r="C1411" s="1" t="s">
        <v>857</v>
      </c>
      <c r="D1411" s="1" t="s">
        <v>501</v>
      </c>
      <c r="E1411" s="1" t="s">
        <v>754</v>
      </c>
      <c r="F1411" s="1" t="s">
        <v>468</v>
      </c>
      <c r="G1411" s="1" t="s">
        <v>483</v>
      </c>
      <c r="H1411" s="1" t="n">
        <v>65.5</v>
      </c>
      <c r="I1411" s="1" t="str">
        <f aca="false">B1411&amp;"|"&amp;F1411&amp;"|"&amp;G1411</f>
        <v>Light Industrial/Warehouse Shell Buildings|D|Good</v>
      </c>
      <c r="J1411" s="1" t="s">
        <v>858</v>
      </c>
    </row>
    <row r="1412" customFormat="false" ht="12" hidden="false" customHeight="true" outlineLevel="0" collapsed="false">
      <c r="B1412" s="1" t="s">
        <v>856</v>
      </c>
      <c r="C1412" s="1" t="s">
        <v>857</v>
      </c>
      <c r="D1412" s="1" t="s">
        <v>501</v>
      </c>
      <c r="E1412" s="1" t="s">
        <v>754</v>
      </c>
      <c r="F1412" s="1" t="s">
        <v>468</v>
      </c>
      <c r="G1412" s="1" t="s">
        <v>279</v>
      </c>
      <c r="H1412" s="1" t="n">
        <v>46.75</v>
      </c>
      <c r="I1412" s="1" t="str">
        <f aca="false">B1412&amp;"|"&amp;F1412&amp;"|"&amp;G1412</f>
        <v>Light Industrial/Warehouse Shell Buildings|D|Average</v>
      </c>
      <c r="J1412" s="1" t="s">
        <v>858</v>
      </c>
    </row>
    <row r="1413" customFormat="false" ht="12" hidden="false" customHeight="true" outlineLevel="0" collapsed="false">
      <c r="B1413" s="1" t="s">
        <v>856</v>
      </c>
      <c r="C1413" s="1" t="s">
        <v>857</v>
      </c>
      <c r="D1413" s="1" t="s">
        <v>501</v>
      </c>
      <c r="E1413" s="1" t="s">
        <v>754</v>
      </c>
      <c r="F1413" s="1" t="s">
        <v>566</v>
      </c>
      <c r="G1413" s="1" t="s">
        <v>279</v>
      </c>
      <c r="H1413" s="1" t="n">
        <v>38.75</v>
      </c>
      <c r="I1413" s="1" t="str">
        <f aca="false">B1413&amp;"|"&amp;F1413&amp;"|"&amp;G1413</f>
        <v>Light Industrial/Warehouse Shell Buildings|DPOLE|Average</v>
      </c>
      <c r="J1413" s="1" t="s">
        <v>858</v>
      </c>
    </row>
    <row r="1414" customFormat="false" ht="12" hidden="false" customHeight="true" outlineLevel="0" collapsed="false">
      <c r="B1414" s="1" t="s">
        <v>856</v>
      </c>
      <c r="C1414" s="1" t="s">
        <v>857</v>
      </c>
      <c r="D1414" s="1" t="s">
        <v>501</v>
      </c>
      <c r="E1414" s="1" t="s">
        <v>754</v>
      </c>
      <c r="F1414" s="1" t="s">
        <v>566</v>
      </c>
      <c r="G1414" s="1" t="s">
        <v>480</v>
      </c>
      <c r="H1414" s="1" t="n">
        <v>27.75</v>
      </c>
      <c r="I1414" s="1" t="str">
        <f aca="false">B1414&amp;"|"&amp;F1414&amp;"|"&amp;G1414</f>
        <v>Light Industrial/Warehouse Shell Buildings|DPOLE|Low Cost</v>
      </c>
      <c r="J1414" s="1" t="s">
        <v>858</v>
      </c>
    </row>
    <row r="1415" customFormat="false" ht="12" hidden="false" customHeight="true" outlineLevel="0" collapsed="false">
      <c r="B1415" s="1" t="s">
        <v>856</v>
      </c>
      <c r="C1415" s="1" t="s">
        <v>857</v>
      </c>
      <c r="D1415" s="1" t="s">
        <v>501</v>
      </c>
      <c r="E1415" s="1" t="s">
        <v>754</v>
      </c>
      <c r="F1415" s="1" t="s">
        <v>566</v>
      </c>
      <c r="G1415" s="1" t="s">
        <v>567</v>
      </c>
      <c r="H1415" s="1" t="n">
        <v>21.55</v>
      </c>
      <c r="I1415" s="1" t="str">
        <f aca="false">B1415&amp;"|"&amp;F1415&amp;"|"&amp;G1415</f>
        <v>Light Industrial/Warehouse Shell Buildings|DPOLE|Cheap</v>
      </c>
      <c r="J1415" s="1" t="s">
        <v>858</v>
      </c>
    </row>
    <row r="1416" customFormat="false" ht="12" hidden="false" customHeight="true" outlineLevel="0" collapsed="false">
      <c r="B1416" s="1" t="s">
        <v>856</v>
      </c>
      <c r="C1416" s="1" t="s">
        <v>857</v>
      </c>
      <c r="D1416" s="1" t="s">
        <v>501</v>
      </c>
      <c r="E1416" s="1" t="s">
        <v>754</v>
      </c>
      <c r="F1416" s="1" t="s">
        <v>473</v>
      </c>
      <c r="G1416" s="1" t="s">
        <v>483</v>
      </c>
      <c r="H1416" s="1" t="n">
        <v>64.5</v>
      </c>
      <c r="I1416" s="1" t="str">
        <f aca="false">B1416&amp;"|"&amp;F1416&amp;"|"&amp;G1416</f>
        <v>Light Industrial/Warehouse Shell Buildings|S|Good</v>
      </c>
      <c r="J1416" s="1" t="s">
        <v>858</v>
      </c>
    </row>
    <row r="1417" customFormat="false" ht="12" hidden="false" customHeight="true" outlineLevel="0" collapsed="false">
      <c r="B1417" s="1" t="s">
        <v>856</v>
      </c>
      <c r="C1417" s="1" t="s">
        <v>857</v>
      </c>
      <c r="D1417" s="1" t="s">
        <v>501</v>
      </c>
      <c r="E1417" s="1" t="s">
        <v>754</v>
      </c>
      <c r="F1417" s="1" t="s">
        <v>473</v>
      </c>
      <c r="G1417" s="1" t="s">
        <v>279</v>
      </c>
      <c r="H1417" s="1" t="n">
        <v>45.75</v>
      </c>
      <c r="I1417" s="1" t="str">
        <f aca="false">B1417&amp;"|"&amp;F1417&amp;"|"&amp;G1417</f>
        <v>Light Industrial/Warehouse Shell Buildings|S|Average</v>
      </c>
      <c r="J1417" s="1" t="s">
        <v>858</v>
      </c>
    </row>
    <row r="1418" customFormat="false" ht="12" hidden="false" customHeight="true" outlineLevel="0" collapsed="false">
      <c r="B1418" s="1" t="s">
        <v>856</v>
      </c>
      <c r="C1418" s="1" t="s">
        <v>857</v>
      </c>
      <c r="D1418" s="1" t="s">
        <v>501</v>
      </c>
      <c r="E1418" s="1" t="s">
        <v>754</v>
      </c>
      <c r="F1418" s="1" t="s">
        <v>473</v>
      </c>
      <c r="G1418" s="1" t="s">
        <v>480</v>
      </c>
      <c r="H1418" s="1" t="n">
        <v>32.5</v>
      </c>
      <c r="I1418" s="1" t="str">
        <f aca="false">B1418&amp;"|"&amp;F1418&amp;"|"&amp;G1418</f>
        <v>Light Industrial/Warehouse Shell Buildings|S|Low Cost</v>
      </c>
      <c r="J1418" s="1" t="s">
        <v>858</v>
      </c>
    </row>
    <row r="1419" customFormat="false" ht="12" hidden="false" customHeight="true" outlineLevel="0" collapsed="false">
      <c r="B1419" s="1" t="s">
        <v>856</v>
      </c>
      <c r="C1419" s="1" t="s">
        <v>857</v>
      </c>
      <c r="D1419" s="1" t="s">
        <v>501</v>
      </c>
      <c r="E1419" s="1" t="s">
        <v>754</v>
      </c>
      <c r="F1419" s="1" t="s">
        <v>473</v>
      </c>
      <c r="G1419" s="1" t="s">
        <v>567</v>
      </c>
      <c r="H1419" s="1" t="n">
        <v>24.65</v>
      </c>
      <c r="I1419" s="1" t="str">
        <f aca="false">B1419&amp;"|"&amp;F1419&amp;"|"&amp;G1419</f>
        <v>Light Industrial/Warehouse Shell Buildings|S|Cheap</v>
      </c>
      <c r="J1419" s="1" t="s">
        <v>858</v>
      </c>
    </row>
    <row r="1420" customFormat="false" ht="12" hidden="false" customHeight="true" outlineLevel="0" collapsed="false">
      <c r="B1420" s="1" t="s">
        <v>859</v>
      </c>
      <c r="C1420" s="1" t="s">
        <v>860</v>
      </c>
      <c r="D1420" s="1" t="s">
        <v>506</v>
      </c>
      <c r="E1420" s="1" t="s">
        <v>513</v>
      </c>
      <c r="F1420" s="1" t="s">
        <v>456</v>
      </c>
      <c r="G1420" s="1" t="s">
        <v>485</v>
      </c>
      <c r="H1420" s="1" t="n">
        <v>404</v>
      </c>
      <c r="I1420" s="1" t="str">
        <f aca="false">B1420&amp;"|"&amp;F1420&amp;"|"&amp;G1420</f>
        <v>Office Buildings|A|Excellent</v>
      </c>
      <c r="J1420" s="1" t="s">
        <v>861</v>
      </c>
    </row>
    <row r="1421" customFormat="false" ht="12" hidden="false" customHeight="true" outlineLevel="0" collapsed="false">
      <c r="B1421" s="1" t="s">
        <v>859</v>
      </c>
      <c r="C1421" s="1" t="s">
        <v>860</v>
      </c>
      <c r="D1421" s="1" t="s">
        <v>506</v>
      </c>
      <c r="E1421" s="1" t="s">
        <v>513</v>
      </c>
      <c r="F1421" s="1" t="s">
        <v>456</v>
      </c>
      <c r="G1421" s="1" t="s">
        <v>483</v>
      </c>
      <c r="H1421" s="1" t="n">
        <v>320</v>
      </c>
      <c r="I1421" s="1" t="str">
        <f aca="false">B1421&amp;"|"&amp;F1421&amp;"|"&amp;G1421</f>
        <v>Office Buildings|A|Good</v>
      </c>
      <c r="J1421" s="1" t="s">
        <v>861</v>
      </c>
    </row>
    <row r="1422" customFormat="false" ht="12" hidden="false" customHeight="true" outlineLevel="0" collapsed="false">
      <c r="B1422" s="1" t="s">
        <v>859</v>
      </c>
      <c r="C1422" s="1" t="s">
        <v>860</v>
      </c>
      <c r="D1422" s="1" t="s">
        <v>506</v>
      </c>
      <c r="E1422" s="1" t="s">
        <v>513</v>
      </c>
      <c r="F1422" s="1" t="s">
        <v>456</v>
      </c>
      <c r="G1422" s="1" t="s">
        <v>279</v>
      </c>
      <c r="H1422" s="1" t="n">
        <v>241</v>
      </c>
      <c r="I1422" s="1" t="str">
        <f aca="false">B1422&amp;"|"&amp;F1422&amp;"|"&amp;G1422</f>
        <v>Office Buildings|A|Average</v>
      </c>
      <c r="J1422" s="1" t="s">
        <v>861</v>
      </c>
    </row>
    <row r="1423" customFormat="false" ht="12" hidden="false" customHeight="true" outlineLevel="0" collapsed="false">
      <c r="B1423" s="1" t="s">
        <v>859</v>
      </c>
      <c r="C1423" s="1" t="s">
        <v>860</v>
      </c>
      <c r="D1423" s="1" t="s">
        <v>506</v>
      </c>
      <c r="E1423" s="1" t="s">
        <v>513</v>
      </c>
      <c r="F1423" s="1" t="s">
        <v>456</v>
      </c>
      <c r="G1423" s="1" t="s">
        <v>480</v>
      </c>
      <c r="H1423" s="1" t="n">
        <v>192</v>
      </c>
      <c r="I1423" s="1" t="str">
        <f aca="false">B1423&amp;"|"&amp;F1423&amp;"|"&amp;G1423</f>
        <v>Office Buildings|A|Low Cost</v>
      </c>
      <c r="J1423" s="1" t="s">
        <v>861</v>
      </c>
    </row>
    <row r="1424" customFormat="false" ht="12" hidden="false" customHeight="true" outlineLevel="0" collapsed="false">
      <c r="B1424" s="1" t="s">
        <v>859</v>
      </c>
      <c r="C1424" s="1" t="s">
        <v>860</v>
      </c>
      <c r="D1424" s="1" t="s">
        <v>506</v>
      </c>
      <c r="E1424" s="1" t="s">
        <v>513</v>
      </c>
      <c r="F1424" s="1" t="s">
        <v>461</v>
      </c>
      <c r="G1424" s="1" t="s">
        <v>485</v>
      </c>
      <c r="H1424" s="1" t="n">
        <v>372</v>
      </c>
      <c r="I1424" s="1" t="str">
        <f aca="false">B1424&amp;"|"&amp;F1424&amp;"|"&amp;G1424</f>
        <v>Office Buildings|B|Excellent</v>
      </c>
      <c r="J1424" s="1" t="s">
        <v>861</v>
      </c>
    </row>
    <row r="1425" customFormat="false" ht="12" hidden="false" customHeight="true" outlineLevel="0" collapsed="false">
      <c r="B1425" s="1" t="s">
        <v>859</v>
      </c>
      <c r="C1425" s="1" t="s">
        <v>860</v>
      </c>
      <c r="D1425" s="1" t="s">
        <v>506</v>
      </c>
      <c r="E1425" s="1" t="s">
        <v>513</v>
      </c>
      <c r="F1425" s="1" t="s">
        <v>461</v>
      </c>
      <c r="G1425" s="1" t="s">
        <v>483</v>
      </c>
      <c r="H1425" s="1" t="n">
        <v>293</v>
      </c>
      <c r="I1425" s="1" t="str">
        <f aca="false">B1425&amp;"|"&amp;F1425&amp;"|"&amp;G1425</f>
        <v>Office Buildings|B|Good</v>
      </c>
      <c r="J1425" s="1" t="s">
        <v>861</v>
      </c>
    </row>
    <row r="1426" customFormat="false" ht="12" hidden="false" customHeight="true" outlineLevel="0" collapsed="false">
      <c r="B1426" s="1" t="s">
        <v>859</v>
      </c>
      <c r="C1426" s="1" t="s">
        <v>860</v>
      </c>
      <c r="D1426" s="1" t="s">
        <v>506</v>
      </c>
      <c r="E1426" s="1" t="s">
        <v>513</v>
      </c>
      <c r="F1426" s="1" t="s">
        <v>461</v>
      </c>
      <c r="G1426" s="1" t="s">
        <v>279</v>
      </c>
      <c r="H1426" s="1" t="n">
        <v>219</v>
      </c>
      <c r="I1426" s="1" t="str">
        <f aca="false">B1426&amp;"|"&amp;F1426&amp;"|"&amp;G1426</f>
        <v>Office Buildings|B|Average</v>
      </c>
      <c r="J1426" s="1" t="s">
        <v>861</v>
      </c>
    </row>
    <row r="1427" customFormat="false" ht="12" hidden="false" customHeight="true" outlineLevel="0" collapsed="false">
      <c r="B1427" s="1" t="s">
        <v>859</v>
      </c>
      <c r="C1427" s="1" t="s">
        <v>860</v>
      </c>
      <c r="D1427" s="1" t="s">
        <v>506</v>
      </c>
      <c r="E1427" s="1" t="s">
        <v>513</v>
      </c>
      <c r="F1427" s="1" t="s">
        <v>461</v>
      </c>
      <c r="G1427" s="1" t="s">
        <v>480</v>
      </c>
      <c r="H1427" s="1" t="n">
        <v>173</v>
      </c>
      <c r="I1427" s="1" t="str">
        <f aca="false">B1427&amp;"|"&amp;F1427&amp;"|"&amp;G1427</f>
        <v>Office Buildings|B|Low Cost</v>
      </c>
      <c r="J1427" s="1" t="s">
        <v>861</v>
      </c>
    </row>
    <row r="1428" customFormat="false" ht="12" hidden="false" customHeight="true" outlineLevel="0" collapsed="false">
      <c r="B1428" s="1" t="s">
        <v>859</v>
      </c>
      <c r="C1428" s="1" t="s">
        <v>860</v>
      </c>
      <c r="D1428" s="1" t="s">
        <v>506</v>
      </c>
      <c r="E1428" s="1" t="s">
        <v>513</v>
      </c>
      <c r="F1428" s="1" t="s">
        <v>463</v>
      </c>
      <c r="G1428" s="1" t="s">
        <v>485</v>
      </c>
      <c r="H1428" s="1" t="n">
        <v>317</v>
      </c>
      <c r="I1428" s="1" t="str">
        <f aca="false">B1428&amp;"|"&amp;F1428&amp;"|"&amp;G1428</f>
        <v>Office Buildings|C|Excellent</v>
      </c>
      <c r="J1428" s="1" t="s">
        <v>861</v>
      </c>
    </row>
    <row r="1429" customFormat="false" ht="12" hidden="false" customHeight="true" outlineLevel="0" collapsed="false">
      <c r="B1429" s="1" t="s">
        <v>859</v>
      </c>
      <c r="C1429" s="1" t="s">
        <v>860</v>
      </c>
      <c r="D1429" s="1" t="s">
        <v>506</v>
      </c>
      <c r="E1429" s="1" t="s">
        <v>513</v>
      </c>
      <c r="F1429" s="1" t="s">
        <v>463</v>
      </c>
      <c r="G1429" s="1" t="s">
        <v>483</v>
      </c>
      <c r="H1429" s="1" t="n">
        <v>221</v>
      </c>
      <c r="I1429" s="1" t="str">
        <f aca="false">B1429&amp;"|"&amp;F1429&amp;"|"&amp;G1429</f>
        <v>Office Buildings|C|Good</v>
      </c>
      <c r="J1429" s="1" t="s">
        <v>861</v>
      </c>
    </row>
    <row r="1430" customFormat="false" ht="12" hidden="false" customHeight="true" outlineLevel="0" collapsed="false">
      <c r="B1430" s="1" t="s">
        <v>859</v>
      </c>
      <c r="C1430" s="1" t="s">
        <v>860</v>
      </c>
      <c r="D1430" s="1" t="s">
        <v>506</v>
      </c>
      <c r="E1430" s="1" t="s">
        <v>513</v>
      </c>
      <c r="F1430" s="1" t="s">
        <v>463</v>
      </c>
      <c r="G1430" s="1" t="s">
        <v>279</v>
      </c>
      <c r="H1430" s="1" t="n">
        <v>157</v>
      </c>
      <c r="I1430" s="1" t="str">
        <f aca="false">B1430&amp;"|"&amp;F1430&amp;"|"&amp;G1430</f>
        <v>Office Buildings|C|Average</v>
      </c>
      <c r="J1430" s="1" t="s">
        <v>861</v>
      </c>
    </row>
    <row r="1431" customFormat="false" ht="12" hidden="false" customHeight="true" outlineLevel="0" collapsed="false">
      <c r="B1431" s="1" t="s">
        <v>859</v>
      </c>
      <c r="C1431" s="1" t="s">
        <v>860</v>
      </c>
      <c r="D1431" s="1" t="s">
        <v>506</v>
      </c>
      <c r="E1431" s="1" t="s">
        <v>513</v>
      </c>
      <c r="F1431" s="1" t="s">
        <v>463</v>
      </c>
      <c r="G1431" s="1" t="s">
        <v>480</v>
      </c>
      <c r="H1431" s="1" t="n">
        <v>106</v>
      </c>
      <c r="I1431" s="1" t="str">
        <f aca="false">B1431&amp;"|"&amp;F1431&amp;"|"&amp;G1431</f>
        <v>Office Buildings|C|Low Cost</v>
      </c>
      <c r="J1431" s="1" t="s">
        <v>861</v>
      </c>
    </row>
    <row r="1432" customFormat="false" ht="12" hidden="false" customHeight="true" outlineLevel="0" collapsed="false">
      <c r="B1432" s="1" t="s">
        <v>859</v>
      </c>
      <c r="C1432" s="1" t="s">
        <v>860</v>
      </c>
      <c r="D1432" s="1" t="s">
        <v>506</v>
      </c>
      <c r="E1432" s="1" t="s">
        <v>513</v>
      </c>
      <c r="F1432" s="1" t="s">
        <v>468</v>
      </c>
      <c r="G1432" s="1" t="s">
        <v>485</v>
      </c>
      <c r="H1432" s="1" t="n">
        <v>302</v>
      </c>
      <c r="I1432" s="1" t="str">
        <f aca="false">B1432&amp;"|"&amp;F1432&amp;"|"&amp;G1432</f>
        <v>Office Buildings|D|Excellent</v>
      </c>
      <c r="J1432" s="1" t="s">
        <v>861</v>
      </c>
    </row>
    <row r="1433" customFormat="false" ht="12" hidden="false" customHeight="true" outlineLevel="0" collapsed="false">
      <c r="B1433" s="1" t="s">
        <v>859</v>
      </c>
      <c r="C1433" s="1" t="s">
        <v>860</v>
      </c>
      <c r="D1433" s="1" t="s">
        <v>506</v>
      </c>
      <c r="E1433" s="1" t="s">
        <v>513</v>
      </c>
      <c r="F1433" s="1" t="s">
        <v>468</v>
      </c>
      <c r="G1433" s="1" t="s">
        <v>483</v>
      </c>
      <c r="H1433" s="1" t="n">
        <v>210</v>
      </c>
      <c r="I1433" s="1" t="str">
        <f aca="false">B1433&amp;"|"&amp;F1433&amp;"|"&amp;G1433</f>
        <v>Office Buildings|D|Good</v>
      </c>
      <c r="J1433" s="1" t="s">
        <v>861</v>
      </c>
    </row>
    <row r="1434" customFormat="false" ht="12" hidden="false" customHeight="true" outlineLevel="0" collapsed="false">
      <c r="B1434" s="1" t="s">
        <v>859</v>
      </c>
      <c r="C1434" s="1" t="s">
        <v>860</v>
      </c>
      <c r="D1434" s="1" t="s">
        <v>506</v>
      </c>
      <c r="E1434" s="1" t="s">
        <v>513</v>
      </c>
      <c r="F1434" s="1" t="s">
        <v>468</v>
      </c>
      <c r="G1434" s="1" t="s">
        <v>279</v>
      </c>
      <c r="H1434" s="1" t="n">
        <v>149</v>
      </c>
      <c r="I1434" s="1" t="str">
        <f aca="false">B1434&amp;"|"&amp;F1434&amp;"|"&amp;G1434</f>
        <v>Office Buildings|D|Average</v>
      </c>
      <c r="J1434" s="1" t="s">
        <v>861</v>
      </c>
    </row>
    <row r="1435" customFormat="false" ht="12" hidden="false" customHeight="true" outlineLevel="0" collapsed="false">
      <c r="B1435" s="1" t="s">
        <v>859</v>
      </c>
      <c r="C1435" s="1" t="s">
        <v>860</v>
      </c>
      <c r="D1435" s="1" t="s">
        <v>506</v>
      </c>
      <c r="E1435" s="1" t="s">
        <v>513</v>
      </c>
      <c r="F1435" s="1" t="s">
        <v>468</v>
      </c>
      <c r="G1435" s="1" t="s">
        <v>480</v>
      </c>
      <c r="H1435" s="1" t="n">
        <v>99.5</v>
      </c>
      <c r="I1435" s="1" t="str">
        <f aca="false">B1435&amp;"|"&amp;F1435&amp;"|"&amp;G1435</f>
        <v>Office Buildings|D|Low Cost</v>
      </c>
      <c r="J1435" s="1" t="s">
        <v>861</v>
      </c>
    </row>
    <row r="1436" customFormat="false" ht="12" hidden="false" customHeight="true" outlineLevel="0" collapsed="false">
      <c r="B1436" s="1" t="s">
        <v>859</v>
      </c>
      <c r="C1436" s="1" t="s">
        <v>860</v>
      </c>
      <c r="D1436" s="1" t="s">
        <v>506</v>
      </c>
      <c r="E1436" s="1" t="s">
        <v>513</v>
      </c>
      <c r="F1436" s="1" t="s">
        <v>566</v>
      </c>
      <c r="G1436" s="1" t="s">
        <v>483</v>
      </c>
      <c r="H1436" s="1" t="n">
        <v>198</v>
      </c>
      <c r="I1436" s="1" t="str">
        <f aca="false">B1436&amp;"|"&amp;F1436&amp;"|"&amp;G1436</f>
        <v>Office Buildings|DPOLE|Good</v>
      </c>
      <c r="J1436" s="1" t="s">
        <v>861</v>
      </c>
    </row>
    <row r="1437" customFormat="false" ht="12" hidden="false" customHeight="true" outlineLevel="0" collapsed="false">
      <c r="B1437" s="1" t="s">
        <v>859</v>
      </c>
      <c r="C1437" s="1" t="s">
        <v>860</v>
      </c>
      <c r="D1437" s="1" t="s">
        <v>506</v>
      </c>
      <c r="E1437" s="1" t="s">
        <v>513</v>
      </c>
      <c r="F1437" s="1" t="s">
        <v>566</v>
      </c>
      <c r="G1437" s="1" t="s">
        <v>279</v>
      </c>
      <c r="H1437" s="1" t="n">
        <v>135</v>
      </c>
      <c r="I1437" s="1" t="str">
        <f aca="false">B1437&amp;"|"&amp;F1437&amp;"|"&amp;G1437</f>
        <v>Office Buildings|DPOLE|Average</v>
      </c>
      <c r="J1437" s="1" t="s">
        <v>861</v>
      </c>
    </row>
    <row r="1438" customFormat="false" ht="12" hidden="false" customHeight="true" outlineLevel="0" collapsed="false">
      <c r="B1438" s="1" t="s">
        <v>859</v>
      </c>
      <c r="C1438" s="1" t="s">
        <v>860</v>
      </c>
      <c r="D1438" s="1" t="s">
        <v>506</v>
      </c>
      <c r="E1438" s="1" t="s">
        <v>513</v>
      </c>
      <c r="F1438" s="1" t="s">
        <v>566</v>
      </c>
      <c r="G1438" s="1" t="s">
        <v>480</v>
      </c>
      <c r="H1438" s="1" t="n">
        <v>91.5</v>
      </c>
      <c r="I1438" s="1" t="str">
        <f aca="false">B1438&amp;"|"&amp;F1438&amp;"|"&amp;G1438</f>
        <v>Office Buildings|DPOLE|Low Cost</v>
      </c>
      <c r="J1438" s="1" t="s">
        <v>861</v>
      </c>
    </row>
    <row r="1439" customFormat="false" ht="12" hidden="false" customHeight="true" outlineLevel="0" collapsed="false">
      <c r="B1439" s="1" t="s">
        <v>859</v>
      </c>
      <c r="C1439" s="1" t="s">
        <v>860</v>
      </c>
      <c r="D1439" s="1" t="s">
        <v>506</v>
      </c>
      <c r="E1439" s="1" t="s">
        <v>513</v>
      </c>
      <c r="F1439" s="1" t="s">
        <v>473</v>
      </c>
      <c r="G1439" s="1" t="s">
        <v>483</v>
      </c>
      <c r="H1439" s="1" t="n">
        <v>203</v>
      </c>
      <c r="I1439" s="1" t="str">
        <f aca="false">B1439&amp;"|"&amp;F1439&amp;"|"&amp;G1439</f>
        <v>Office Buildings|S|Good</v>
      </c>
      <c r="J1439" s="1" t="s">
        <v>861</v>
      </c>
    </row>
    <row r="1440" customFormat="false" ht="12" hidden="false" customHeight="true" outlineLevel="0" collapsed="false">
      <c r="B1440" s="1" t="s">
        <v>859</v>
      </c>
      <c r="C1440" s="1" t="s">
        <v>860</v>
      </c>
      <c r="D1440" s="1" t="s">
        <v>506</v>
      </c>
      <c r="E1440" s="1" t="s">
        <v>513</v>
      </c>
      <c r="F1440" s="1" t="s">
        <v>473</v>
      </c>
      <c r="G1440" s="1" t="s">
        <v>279</v>
      </c>
      <c r="H1440" s="1" t="n">
        <v>140</v>
      </c>
      <c r="I1440" s="1" t="str">
        <f aca="false">B1440&amp;"|"&amp;F1440&amp;"|"&amp;G1440</f>
        <v>Office Buildings|S|Average</v>
      </c>
      <c r="J1440" s="1" t="s">
        <v>861</v>
      </c>
    </row>
    <row r="1441" customFormat="false" ht="12" hidden="false" customHeight="true" outlineLevel="0" collapsed="false">
      <c r="B1441" s="1" t="s">
        <v>859</v>
      </c>
      <c r="C1441" s="1" t="s">
        <v>860</v>
      </c>
      <c r="D1441" s="1" t="s">
        <v>506</v>
      </c>
      <c r="E1441" s="1" t="s">
        <v>513</v>
      </c>
      <c r="F1441" s="1" t="s">
        <v>473</v>
      </c>
      <c r="G1441" s="1" t="s">
        <v>480</v>
      </c>
      <c r="H1441" s="1" t="n">
        <v>94.5</v>
      </c>
      <c r="I1441" s="1" t="str">
        <f aca="false">B1441&amp;"|"&amp;F1441&amp;"|"&amp;G1441</f>
        <v>Office Buildings|S|Low Cost</v>
      </c>
      <c r="J1441" s="1" t="s">
        <v>861</v>
      </c>
    </row>
    <row r="1442" customFormat="false" ht="12" hidden="false" customHeight="true" outlineLevel="0" collapsed="false">
      <c r="B1442" s="1" t="s">
        <v>862</v>
      </c>
      <c r="C1442" s="1" t="s">
        <v>863</v>
      </c>
      <c r="D1442" s="1" t="s">
        <v>506</v>
      </c>
      <c r="E1442" s="1" t="s">
        <v>517</v>
      </c>
      <c r="F1442" s="1" t="s">
        <v>523</v>
      </c>
      <c r="G1442" s="1" t="s">
        <v>485</v>
      </c>
      <c r="H1442" s="1" t="n">
        <v>715</v>
      </c>
      <c r="I1442" s="1" t="str">
        <f aca="false">B1442&amp;"|"&amp;F1442&amp;"|"&amp;G1442</f>
        <v>Atriums/Vestibules|A-B|Excellent</v>
      </c>
      <c r="J1442" s="1" t="s">
        <v>864</v>
      </c>
    </row>
    <row r="1443" customFormat="false" ht="12" hidden="false" customHeight="true" outlineLevel="0" collapsed="false">
      <c r="B1443" s="1" t="s">
        <v>862</v>
      </c>
      <c r="C1443" s="1" t="s">
        <v>863</v>
      </c>
      <c r="D1443" s="1" t="s">
        <v>506</v>
      </c>
      <c r="E1443" s="1" t="s">
        <v>517</v>
      </c>
      <c r="F1443" s="1" t="s">
        <v>523</v>
      </c>
      <c r="G1443" s="1" t="s">
        <v>483</v>
      </c>
      <c r="H1443" s="1" t="n">
        <v>458</v>
      </c>
      <c r="I1443" s="1" t="str">
        <f aca="false">B1443&amp;"|"&amp;F1443&amp;"|"&amp;G1443</f>
        <v>Atriums/Vestibules|A-B|Good</v>
      </c>
      <c r="J1443" s="1" t="s">
        <v>864</v>
      </c>
    </row>
    <row r="1444" customFormat="false" ht="12" hidden="false" customHeight="true" outlineLevel="0" collapsed="false">
      <c r="B1444" s="1" t="s">
        <v>862</v>
      </c>
      <c r="C1444" s="1" t="s">
        <v>863</v>
      </c>
      <c r="D1444" s="1" t="s">
        <v>506</v>
      </c>
      <c r="E1444" s="1" t="s">
        <v>517</v>
      </c>
      <c r="F1444" s="1" t="s">
        <v>523</v>
      </c>
      <c r="G1444" s="1" t="s">
        <v>279</v>
      </c>
      <c r="H1444" s="1" t="n">
        <v>300</v>
      </c>
      <c r="I1444" s="1" t="str">
        <f aca="false">B1444&amp;"|"&amp;F1444&amp;"|"&amp;G1444</f>
        <v>Atriums/Vestibules|A-B|Average</v>
      </c>
      <c r="J1444" s="1" t="s">
        <v>864</v>
      </c>
    </row>
    <row r="1445" customFormat="false" ht="12" hidden="false" customHeight="true" outlineLevel="0" collapsed="false">
      <c r="B1445" s="1" t="s">
        <v>862</v>
      </c>
      <c r="C1445" s="1" t="s">
        <v>863</v>
      </c>
      <c r="D1445" s="1" t="s">
        <v>506</v>
      </c>
      <c r="E1445" s="1" t="s">
        <v>517</v>
      </c>
      <c r="F1445" s="1" t="s">
        <v>523</v>
      </c>
      <c r="G1445" s="1" t="s">
        <v>480</v>
      </c>
      <c r="H1445" s="1" t="n">
        <v>187</v>
      </c>
      <c r="I1445" s="1" t="str">
        <f aca="false">B1445&amp;"|"&amp;F1445&amp;"|"&amp;G1445</f>
        <v>Atriums/Vestibules|A-B|Low Cost</v>
      </c>
      <c r="J1445" s="1" t="s">
        <v>864</v>
      </c>
    </row>
    <row r="1446" customFormat="false" ht="12" hidden="false" customHeight="true" outlineLevel="0" collapsed="false">
      <c r="B1446" s="1" t="s">
        <v>862</v>
      </c>
      <c r="C1446" s="1" t="s">
        <v>863</v>
      </c>
      <c r="D1446" s="1" t="s">
        <v>506</v>
      </c>
      <c r="E1446" s="1" t="s">
        <v>517</v>
      </c>
      <c r="F1446" s="1" t="s">
        <v>523</v>
      </c>
      <c r="G1446" s="1" t="s">
        <v>567</v>
      </c>
      <c r="H1446" s="1" t="n">
        <v>100</v>
      </c>
      <c r="I1446" s="1" t="str">
        <f aca="false">B1446&amp;"|"&amp;F1446&amp;"|"&amp;G1446</f>
        <v>Atriums/Vestibules|A-B|Cheap</v>
      </c>
      <c r="J1446" s="1" t="s">
        <v>864</v>
      </c>
    </row>
    <row r="1447" customFormat="false" ht="12" hidden="false" customHeight="true" outlineLevel="0" collapsed="false">
      <c r="B1447" s="1" t="s">
        <v>862</v>
      </c>
      <c r="C1447" s="1" t="s">
        <v>863</v>
      </c>
      <c r="D1447" s="1" t="s">
        <v>506</v>
      </c>
      <c r="E1447" s="1" t="s">
        <v>517</v>
      </c>
      <c r="F1447" s="1" t="s">
        <v>804</v>
      </c>
      <c r="G1447" s="1" t="s">
        <v>483</v>
      </c>
      <c r="H1447" s="1" t="n">
        <v>360</v>
      </c>
      <c r="I1447" s="1" t="str">
        <f aca="false">B1447&amp;"|"&amp;F1447&amp;"|"&amp;G1447</f>
        <v>Atriums/Vestibules|CDS|Good</v>
      </c>
      <c r="J1447" s="1" t="s">
        <v>864</v>
      </c>
    </row>
    <row r="1448" customFormat="false" ht="12" hidden="false" customHeight="true" outlineLevel="0" collapsed="false">
      <c r="B1448" s="1" t="s">
        <v>862</v>
      </c>
      <c r="C1448" s="1" t="s">
        <v>863</v>
      </c>
      <c r="D1448" s="1" t="s">
        <v>506</v>
      </c>
      <c r="E1448" s="1" t="s">
        <v>517</v>
      </c>
      <c r="F1448" s="1" t="s">
        <v>804</v>
      </c>
      <c r="G1448" s="1" t="s">
        <v>279</v>
      </c>
      <c r="H1448" s="1" t="n">
        <v>220</v>
      </c>
      <c r="I1448" s="1" t="str">
        <f aca="false">B1448&amp;"|"&amp;F1448&amp;"|"&amp;G1448</f>
        <v>Atriums/Vestibules|CDS|Average</v>
      </c>
      <c r="J1448" s="1" t="s">
        <v>864</v>
      </c>
    </row>
    <row r="1449" customFormat="false" ht="12" hidden="false" customHeight="true" outlineLevel="0" collapsed="false">
      <c r="B1449" s="1" t="s">
        <v>862</v>
      </c>
      <c r="C1449" s="1" t="s">
        <v>863</v>
      </c>
      <c r="D1449" s="1" t="s">
        <v>506</v>
      </c>
      <c r="E1449" s="1" t="s">
        <v>517</v>
      </c>
      <c r="F1449" s="1" t="s">
        <v>804</v>
      </c>
      <c r="G1449" s="1" t="s">
        <v>480</v>
      </c>
      <c r="H1449" s="1" t="n">
        <v>144</v>
      </c>
      <c r="I1449" s="1" t="str">
        <f aca="false">B1449&amp;"|"&amp;F1449&amp;"|"&amp;G1449</f>
        <v>Atriums/Vestibules|CDS|Low Cost</v>
      </c>
      <c r="J1449" s="1" t="s">
        <v>864</v>
      </c>
    </row>
    <row r="1450" customFormat="false" ht="12" hidden="false" customHeight="true" outlineLevel="0" collapsed="false">
      <c r="B1450" s="1" t="s">
        <v>862</v>
      </c>
      <c r="C1450" s="1" t="s">
        <v>863</v>
      </c>
      <c r="D1450" s="1" t="s">
        <v>506</v>
      </c>
      <c r="E1450" s="1" t="s">
        <v>517</v>
      </c>
      <c r="F1450" s="1" t="s">
        <v>804</v>
      </c>
      <c r="G1450" s="1" t="s">
        <v>567</v>
      </c>
      <c r="H1450" s="1" t="n">
        <v>71.5</v>
      </c>
      <c r="I1450" s="1" t="str">
        <f aca="false">B1450&amp;"|"&amp;F1450&amp;"|"&amp;G1450</f>
        <v>Atriums/Vestibules|CDS|Cheap</v>
      </c>
      <c r="J1450" s="1" t="s">
        <v>864</v>
      </c>
    </row>
    <row r="1451" customFormat="false" ht="12" hidden="false" customHeight="true" outlineLevel="0" collapsed="false">
      <c r="B1451" s="1" t="s">
        <v>865</v>
      </c>
      <c r="C1451" s="1" t="s">
        <v>866</v>
      </c>
      <c r="D1451" s="1" t="s">
        <v>506</v>
      </c>
      <c r="E1451" s="1" t="s">
        <v>517</v>
      </c>
      <c r="F1451" s="1" t="s">
        <v>523</v>
      </c>
      <c r="G1451" s="1" t="s">
        <v>485</v>
      </c>
      <c r="H1451" s="1" t="n">
        <v>151</v>
      </c>
      <c r="I1451" s="1" t="str">
        <f aca="false">B1451&amp;"|"&amp;F1451&amp;"|"&amp;G1451</f>
        <v>Parking Levels (Intermediate/Under Building)|A-B|Excellent</v>
      </c>
      <c r="J1451" s="1" t="s">
        <v>864</v>
      </c>
    </row>
    <row r="1452" customFormat="false" ht="12" hidden="false" customHeight="true" outlineLevel="0" collapsed="false">
      <c r="B1452" s="1" t="s">
        <v>865</v>
      </c>
      <c r="C1452" s="1" t="s">
        <v>866</v>
      </c>
      <c r="D1452" s="1" t="s">
        <v>506</v>
      </c>
      <c r="E1452" s="1" t="s">
        <v>517</v>
      </c>
      <c r="F1452" s="1" t="s">
        <v>523</v>
      </c>
      <c r="G1452" s="1" t="s">
        <v>483</v>
      </c>
      <c r="H1452" s="1" t="n">
        <v>118</v>
      </c>
      <c r="I1452" s="1" t="str">
        <f aca="false">B1452&amp;"|"&amp;F1452&amp;"|"&amp;G1452</f>
        <v>Parking Levels (Intermediate/Under Building)|A-B|Good</v>
      </c>
      <c r="J1452" s="1" t="s">
        <v>864</v>
      </c>
    </row>
    <row r="1453" customFormat="false" ht="12" hidden="false" customHeight="true" outlineLevel="0" collapsed="false">
      <c r="B1453" s="1" t="s">
        <v>865</v>
      </c>
      <c r="C1453" s="1" t="s">
        <v>866</v>
      </c>
      <c r="D1453" s="1" t="s">
        <v>506</v>
      </c>
      <c r="E1453" s="1" t="s">
        <v>517</v>
      </c>
      <c r="F1453" s="1" t="s">
        <v>523</v>
      </c>
      <c r="G1453" s="1" t="s">
        <v>279</v>
      </c>
      <c r="H1453" s="1" t="n">
        <v>94</v>
      </c>
      <c r="I1453" s="1" t="str">
        <f aca="false">B1453&amp;"|"&amp;F1453&amp;"|"&amp;G1453</f>
        <v>Parking Levels (Intermediate/Under Building)|A-B|Average</v>
      </c>
      <c r="J1453" s="1" t="s">
        <v>864</v>
      </c>
    </row>
    <row r="1454" customFormat="false" ht="12" hidden="false" customHeight="true" outlineLevel="0" collapsed="false">
      <c r="B1454" s="1" t="s">
        <v>865</v>
      </c>
      <c r="C1454" s="1" t="s">
        <v>866</v>
      </c>
      <c r="D1454" s="1" t="s">
        <v>506</v>
      </c>
      <c r="E1454" s="1" t="s">
        <v>517</v>
      </c>
      <c r="F1454" s="1" t="s">
        <v>523</v>
      </c>
      <c r="G1454" s="1" t="s">
        <v>480</v>
      </c>
      <c r="H1454" s="1" t="n">
        <v>72</v>
      </c>
      <c r="I1454" s="1" t="str">
        <f aca="false">B1454&amp;"|"&amp;F1454&amp;"|"&amp;G1454</f>
        <v>Parking Levels (Intermediate/Under Building)|A-B|Low Cost</v>
      </c>
      <c r="J1454" s="1" t="s">
        <v>864</v>
      </c>
    </row>
    <row r="1455" customFormat="false" ht="12" hidden="false" customHeight="true" outlineLevel="0" collapsed="false">
      <c r="B1455" s="1" t="s">
        <v>865</v>
      </c>
      <c r="C1455" s="1" t="s">
        <v>866</v>
      </c>
      <c r="D1455" s="1" t="s">
        <v>506</v>
      </c>
      <c r="E1455" s="1" t="s">
        <v>517</v>
      </c>
      <c r="F1455" s="1" t="s">
        <v>523</v>
      </c>
      <c r="G1455" s="1" t="s">
        <v>567</v>
      </c>
      <c r="H1455" s="1" t="n">
        <v>46</v>
      </c>
      <c r="I1455" s="1" t="str">
        <f aca="false">B1455&amp;"|"&amp;F1455&amp;"|"&amp;G1455</f>
        <v>Parking Levels (Intermediate/Under Building)|A-B|Cheap</v>
      </c>
      <c r="J1455" s="1" t="s">
        <v>864</v>
      </c>
    </row>
    <row r="1456" customFormat="false" ht="12" hidden="false" customHeight="true" outlineLevel="0" collapsed="false">
      <c r="B1456" s="1" t="s">
        <v>865</v>
      </c>
      <c r="C1456" s="1" t="s">
        <v>866</v>
      </c>
      <c r="D1456" s="1" t="s">
        <v>506</v>
      </c>
      <c r="E1456" s="1" t="s">
        <v>517</v>
      </c>
      <c r="F1456" s="1" t="s">
        <v>804</v>
      </c>
      <c r="G1456" s="1" t="s">
        <v>483</v>
      </c>
      <c r="H1456" s="1" t="n">
        <v>96.5</v>
      </c>
      <c r="I1456" s="1" t="str">
        <f aca="false">B1456&amp;"|"&amp;F1456&amp;"|"&amp;G1456</f>
        <v>Parking Levels (Intermediate/Under Building)|CDS|Good</v>
      </c>
      <c r="J1456" s="1" t="s">
        <v>864</v>
      </c>
    </row>
    <row r="1457" customFormat="false" ht="12" hidden="false" customHeight="true" outlineLevel="0" collapsed="false">
      <c r="B1457" s="1" t="s">
        <v>865</v>
      </c>
      <c r="C1457" s="1" t="s">
        <v>866</v>
      </c>
      <c r="D1457" s="1" t="s">
        <v>506</v>
      </c>
      <c r="E1457" s="1" t="s">
        <v>517</v>
      </c>
      <c r="F1457" s="1" t="s">
        <v>804</v>
      </c>
      <c r="G1457" s="1" t="s">
        <v>279</v>
      </c>
      <c r="H1457" s="1" t="n">
        <v>75.5</v>
      </c>
      <c r="I1457" s="1" t="str">
        <f aca="false">B1457&amp;"|"&amp;F1457&amp;"|"&amp;G1457</f>
        <v>Parking Levels (Intermediate/Under Building)|CDS|Average</v>
      </c>
      <c r="J1457" s="1" t="s">
        <v>864</v>
      </c>
    </row>
    <row r="1458" customFormat="false" ht="12" hidden="false" customHeight="true" outlineLevel="0" collapsed="false">
      <c r="B1458" s="1" t="s">
        <v>865</v>
      </c>
      <c r="C1458" s="1" t="s">
        <v>866</v>
      </c>
      <c r="D1458" s="1" t="s">
        <v>506</v>
      </c>
      <c r="E1458" s="1" t="s">
        <v>517</v>
      </c>
      <c r="F1458" s="1" t="s">
        <v>804</v>
      </c>
      <c r="G1458" s="1" t="s">
        <v>480</v>
      </c>
      <c r="H1458" s="1" t="n">
        <v>56.5</v>
      </c>
      <c r="I1458" s="1" t="str">
        <f aca="false">B1458&amp;"|"&amp;F1458&amp;"|"&amp;G1458</f>
        <v>Parking Levels (Intermediate/Under Building)|CDS|Low Cost</v>
      </c>
      <c r="J1458" s="1" t="s">
        <v>864</v>
      </c>
    </row>
    <row r="1459" customFormat="false" ht="12" hidden="false" customHeight="true" outlineLevel="0" collapsed="false">
      <c r="B1459" s="1" t="s">
        <v>865</v>
      </c>
      <c r="C1459" s="1" t="s">
        <v>866</v>
      </c>
      <c r="D1459" s="1" t="s">
        <v>506</v>
      </c>
      <c r="E1459" s="1" t="s">
        <v>517</v>
      </c>
      <c r="F1459" s="1" t="s">
        <v>804</v>
      </c>
      <c r="G1459" s="1" t="s">
        <v>567</v>
      </c>
      <c r="H1459" s="1" t="n">
        <v>34.5</v>
      </c>
      <c r="I1459" s="1" t="str">
        <f aca="false">B1459&amp;"|"&amp;F1459&amp;"|"&amp;G1459</f>
        <v>Parking Levels (Intermediate/Under Building)|CDS|Cheap</v>
      </c>
      <c r="J1459" s="1" t="s">
        <v>864</v>
      </c>
    </row>
    <row r="1460" customFormat="false" ht="12" hidden="false" customHeight="true" outlineLevel="0" collapsed="false">
      <c r="B1460" s="1" t="s">
        <v>867</v>
      </c>
      <c r="C1460" s="1" t="s">
        <v>868</v>
      </c>
      <c r="D1460" s="1" t="s">
        <v>506</v>
      </c>
      <c r="E1460" s="1" t="s">
        <v>522</v>
      </c>
      <c r="F1460" s="1" t="s">
        <v>523</v>
      </c>
      <c r="G1460" s="1" t="s">
        <v>485</v>
      </c>
      <c r="H1460" s="1" t="n">
        <v>134</v>
      </c>
      <c r="I1460" s="1" t="str">
        <f aca="false">B1460&amp;"|"&amp;F1460&amp;"|"&amp;G1460</f>
        <v>Mechanical Penthouses|A-B|Excellent</v>
      </c>
      <c r="J1460" s="1" t="s">
        <v>869</v>
      </c>
    </row>
    <row r="1461" customFormat="false" ht="12" hidden="false" customHeight="true" outlineLevel="0" collapsed="false">
      <c r="B1461" s="1" t="s">
        <v>867</v>
      </c>
      <c r="C1461" s="1" t="s">
        <v>868</v>
      </c>
      <c r="D1461" s="1" t="s">
        <v>506</v>
      </c>
      <c r="E1461" s="1" t="s">
        <v>522</v>
      </c>
      <c r="F1461" s="1" t="s">
        <v>523</v>
      </c>
      <c r="G1461" s="1" t="s">
        <v>483</v>
      </c>
      <c r="H1461" s="1" t="n">
        <v>121</v>
      </c>
      <c r="I1461" s="1" t="str">
        <f aca="false">B1461&amp;"|"&amp;F1461&amp;"|"&amp;G1461</f>
        <v>Mechanical Penthouses|A-B|Good</v>
      </c>
      <c r="J1461" s="1" t="s">
        <v>869</v>
      </c>
    </row>
    <row r="1462" customFormat="false" ht="12" hidden="false" customHeight="true" outlineLevel="0" collapsed="false">
      <c r="B1462" s="1" t="s">
        <v>867</v>
      </c>
      <c r="C1462" s="1" t="s">
        <v>868</v>
      </c>
      <c r="D1462" s="1" t="s">
        <v>506</v>
      </c>
      <c r="E1462" s="1" t="s">
        <v>522</v>
      </c>
      <c r="F1462" s="1" t="s">
        <v>523</v>
      </c>
      <c r="G1462" s="1" t="s">
        <v>279</v>
      </c>
      <c r="H1462" s="1" t="n">
        <v>85.5</v>
      </c>
      <c r="I1462" s="1" t="str">
        <f aca="false">B1462&amp;"|"&amp;F1462&amp;"|"&amp;G1462</f>
        <v>Mechanical Penthouses|A-B|Average</v>
      </c>
      <c r="J1462" s="1" t="s">
        <v>869</v>
      </c>
    </row>
    <row r="1463" customFormat="false" ht="12" hidden="false" customHeight="true" outlineLevel="0" collapsed="false">
      <c r="B1463" s="1" t="s">
        <v>867</v>
      </c>
      <c r="C1463" s="1" t="s">
        <v>868</v>
      </c>
      <c r="D1463" s="1" t="s">
        <v>506</v>
      </c>
      <c r="E1463" s="1" t="s">
        <v>522</v>
      </c>
      <c r="F1463" s="1" t="s">
        <v>523</v>
      </c>
      <c r="G1463" s="1" t="s">
        <v>480</v>
      </c>
      <c r="H1463" s="1" t="n">
        <v>60.5</v>
      </c>
      <c r="I1463" s="1" t="str">
        <f aca="false">B1463&amp;"|"&amp;F1463&amp;"|"&amp;G1463</f>
        <v>Mechanical Penthouses|A-B|Low Cost</v>
      </c>
      <c r="J1463" s="1" t="s">
        <v>869</v>
      </c>
    </row>
    <row r="1464" customFormat="false" ht="12" hidden="false" customHeight="true" outlineLevel="0" collapsed="false">
      <c r="B1464" s="1" t="s">
        <v>867</v>
      </c>
      <c r="C1464" s="1" t="s">
        <v>868</v>
      </c>
      <c r="D1464" s="1" t="s">
        <v>506</v>
      </c>
      <c r="E1464" s="1" t="s">
        <v>522</v>
      </c>
      <c r="F1464" s="1" t="s">
        <v>804</v>
      </c>
      <c r="G1464" s="1" t="s">
        <v>279</v>
      </c>
      <c r="H1464" s="1" t="n">
        <v>64.5</v>
      </c>
      <c r="I1464" s="1" t="str">
        <f aca="false">B1464&amp;"|"&amp;F1464&amp;"|"&amp;G1464</f>
        <v>Mechanical Penthouses|CDS|Average</v>
      </c>
      <c r="J1464" s="1" t="s">
        <v>869</v>
      </c>
    </row>
    <row r="1465" customFormat="false" ht="12" hidden="false" customHeight="true" outlineLevel="0" collapsed="false">
      <c r="B1465" s="1" t="s">
        <v>867</v>
      </c>
      <c r="C1465" s="1" t="s">
        <v>868</v>
      </c>
      <c r="D1465" s="1" t="s">
        <v>506</v>
      </c>
      <c r="E1465" s="1" t="s">
        <v>522</v>
      </c>
      <c r="F1465" s="1" t="s">
        <v>804</v>
      </c>
      <c r="G1465" s="1" t="s">
        <v>480</v>
      </c>
      <c r="H1465" s="1" t="n">
        <v>45.25</v>
      </c>
      <c r="I1465" s="1" t="str">
        <f aca="false">B1465&amp;"|"&amp;F1465&amp;"|"&amp;G1465</f>
        <v>Mechanical Penthouses|CDS|Low Cost</v>
      </c>
      <c r="J1465" s="1" t="s">
        <v>869</v>
      </c>
    </row>
    <row r="1466" customFormat="false" ht="12" hidden="false" customHeight="true" outlineLevel="0" collapsed="false">
      <c r="B1466" s="1" t="s">
        <v>870</v>
      </c>
      <c r="C1466" s="1" t="s">
        <v>871</v>
      </c>
      <c r="D1466" s="1" t="s">
        <v>506</v>
      </c>
      <c r="E1466" s="1" t="s">
        <v>527</v>
      </c>
      <c r="F1466" s="1" t="s">
        <v>456</v>
      </c>
      <c r="G1466" s="1" t="s">
        <v>485</v>
      </c>
      <c r="H1466" s="1" t="n">
        <v>505</v>
      </c>
      <c r="I1466" s="1" t="str">
        <f aca="false">B1466&amp;"|"&amp;F1466&amp;"|"&amp;G1466</f>
        <v>Banks – Central Offices|A|Excellent</v>
      </c>
      <c r="J1466" s="1" t="s">
        <v>872</v>
      </c>
    </row>
    <row r="1467" customFormat="false" ht="12" hidden="false" customHeight="true" outlineLevel="0" collapsed="false">
      <c r="B1467" s="1" t="s">
        <v>870</v>
      </c>
      <c r="C1467" s="1" t="s">
        <v>871</v>
      </c>
      <c r="D1467" s="1" t="s">
        <v>506</v>
      </c>
      <c r="E1467" s="1" t="s">
        <v>527</v>
      </c>
      <c r="F1467" s="1" t="s">
        <v>456</v>
      </c>
      <c r="G1467" s="1" t="s">
        <v>483</v>
      </c>
      <c r="H1467" s="1" t="n">
        <v>395</v>
      </c>
      <c r="I1467" s="1" t="str">
        <f aca="false">B1467&amp;"|"&amp;F1467&amp;"|"&amp;G1467</f>
        <v>Banks – Central Offices|A|Good</v>
      </c>
      <c r="J1467" s="1" t="s">
        <v>872</v>
      </c>
    </row>
    <row r="1468" customFormat="false" ht="12" hidden="false" customHeight="true" outlineLevel="0" collapsed="false">
      <c r="B1468" s="1" t="s">
        <v>870</v>
      </c>
      <c r="C1468" s="1" t="s">
        <v>871</v>
      </c>
      <c r="D1468" s="1" t="s">
        <v>506</v>
      </c>
      <c r="E1468" s="1" t="s">
        <v>527</v>
      </c>
      <c r="F1468" s="1" t="s">
        <v>456</v>
      </c>
      <c r="G1468" s="1" t="s">
        <v>279</v>
      </c>
      <c r="H1468" s="1" t="n">
        <v>312</v>
      </c>
      <c r="I1468" s="1" t="str">
        <f aca="false">B1468&amp;"|"&amp;F1468&amp;"|"&amp;G1468</f>
        <v>Banks – Central Offices|A|Average</v>
      </c>
      <c r="J1468" s="1" t="s">
        <v>872</v>
      </c>
    </row>
    <row r="1469" customFormat="false" ht="12" hidden="false" customHeight="true" outlineLevel="0" collapsed="false">
      <c r="B1469" s="1" t="s">
        <v>870</v>
      </c>
      <c r="C1469" s="1" t="s">
        <v>871</v>
      </c>
      <c r="D1469" s="1" t="s">
        <v>506</v>
      </c>
      <c r="E1469" s="1" t="s">
        <v>527</v>
      </c>
      <c r="F1469" s="1" t="s">
        <v>461</v>
      </c>
      <c r="G1469" s="1" t="s">
        <v>485</v>
      </c>
      <c r="H1469" s="1" t="n">
        <v>464</v>
      </c>
      <c r="I1469" s="1" t="str">
        <f aca="false">B1469&amp;"|"&amp;F1469&amp;"|"&amp;G1469</f>
        <v>Banks – Central Offices|B|Excellent</v>
      </c>
      <c r="J1469" s="1" t="s">
        <v>872</v>
      </c>
    </row>
    <row r="1470" customFormat="false" ht="12" hidden="false" customHeight="true" outlineLevel="0" collapsed="false">
      <c r="B1470" s="1" t="s">
        <v>870</v>
      </c>
      <c r="C1470" s="1" t="s">
        <v>871</v>
      </c>
      <c r="D1470" s="1" t="s">
        <v>506</v>
      </c>
      <c r="E1470" s="1" t="s">
        <v>527</v>
      </c>
      <c r="F1470" s="1" t="s">
        <v>461</v>
      </c>
      <c r="G1470" s="1" t="s">
        <v>483</v>
      </c>
      <c r="H1470" s="1" t="n">
        <v>362</v>
      </c>
      <c r="I1470" s="1" t="str">
        <f aca="false">B1470&amp;"|"&amp;F1470&amp;"|"&amp;G1470</f>
        <v>Banks – Central Offices|B|Good</v>
      </c>
      <c r="J1470" s="1" t="s">
        <v>872</v>
      </c>
    </row>
    <row r="1471" customFormat="false" ht="12" hidden="false" customHeight="true" outlineLevel="0" collapsed="false">
      <c r="B1471" s="1" t="s">
        <v>870</v>
      </c>
      <c r="C1471" s="1" t="s">
        <v>871</v>
      </c>
      <c r="D1471" s="1" t="s">
        <v>506</v>
      </c>
      <c r="E1471" s="1" t="s">
        <v>527</v>
      </c>
      <c r="F1471" s="1" t="s">
        <v>461</v>
      </c>
      <c r="G1471" s="1" t="s">
        <v>279</v>
      </c>
      <c r="H1471" s="1" t="n">
        <v>285</v>
      </c>
      <c r="I1471" s="1" t="str">
        <f aca="false">B1471&amp;"|"&amp;F1471&amp;"|"&amp;G1471</f>
        <v>Banks – Central Offices|B|Average</v>
      </c>
      <c r="J1471" s="1" t="s">
        <v>872</v>
      </c>
    </row>
    <row r="1472" customFormat="false" ht="12" hidden="false" customHeight="true" outlineLevel="0" collapsed="false">
      <c r="B1472" s="1" t="s">
        <v>870</v>
      </c>
      <c r="C1472" s="1" t="s">
        <v>871</v>
      </c>
      <c r="D1472" s="1" t="s">
        <v>506</v>
      </c>
      <c r="E1472" s="1" t="s">
        <v>527</v>
      </c>
      <c r="F1472" s="1" t="s">
        <v>463</v>
      </c>
      <c r="G1472" s="1" t="s">
        <v>485</v>
      </c>
      <c r="H1472" s="1" t="n">
        <v>409</v>
      </c>
      <c r="I1472" s="1" t="str">
        <f aca="false">B1472&amp;"|"&amp;F1472&amp;"|"&amp;G1472</f>
        <v>Banks – Central Offices|C|Excellent</v>
      </c>
      <c r="J1472" s="1" t="s">
        <v>872</v>
      </c>
    </row>
    <row r="1473" customFormat="false" ht="12" hidden="false" customHeight="true" outlineLevel="0" collapsed="false">
      <c r="B1473" s="1" t="s">
        <v>870</v>
      </c>
      <c r="C1473" s="1" t="s">
        <v>871</v>
      </c>
      <c r="D1473" s="1" t="s">
        <v>506</v>
      </c>
      <c r="E1473" s="1" t="s">
        <v>527</v>
      </c>
      <c r="F1473" s="1" t="s">
        <v>463</v>
      </c>
      <c r="G1473" s="1" t="s">
        <v>483</v>
      </c>
      <c r="H1473" s="1" t="n">
        <v>300</v>
      </c>
      <c r="I1473" s="1" t="str">
        <f aca="false">B1473&amp;"|"&amp;F1473&amp;"|"&amp;G1473</f>
        <v>Banks – Central Offices|C|Good</v>
      </c>
      <c r="J1473" s="1" t="s">
        <v>872</v>
      </c>
    </row>
    <row r="1474" customFormat="false" ht="12" hidden="false" customHeight="true" outlineLevel="0" collapsed="false">
      <c r="B1474" s="1" t="s">
        <v>870</v>
      </c>
      <c r="C1474" s="1" t="s">
        <v>871</v>
      </c>
      <c r="D1474" s="1" t="s">
        <v>506</v>
      </c>
      <c r="E1474" s="1" t="s">
        <v>527</v>
      </c>
      <c r="F1474" s="1" t="s">
        <v>463</v>
      </c>
      <c r="G1474" s="1" t="s">
        <v>279</v>
      </c>
      <c r="H1474" s="1" t="n">
        <v>232</v>
      </c>
      <c r="I1474" s="1" t="str">
        <f aca="false">B1474&amp;"|"&amp;F1474&amp;"|"&amp;G1474</f>
        <v>Banks – Central Offices|C|Average</v>
      </c>
      <c r="J1474" s="1" t="s">
        <v>872</v>
      </c>
    </row>
    <row r="1475" customFormat="false" ht="12" hidden="false" customHeight="true" outlineLevel="0" collapsed="false">
      <c r="B1475" s="1" t="s">
        <v>870</v>
      </c>
      <c r="C1475" s="1" t="s">
        <v>871</v>
      </c>
      <c r="D1475" s="1" t="s">
        <v>506</v>
      </c>
      <c r="E1475" s="1" t="s">
        <v>527</v>
      </c>
      <c r="F1475" s="1" t="s">
        <v>468</v>
      </c>
      <c r="G1475" s="1" t="s">
        <v>485</v>
      </c>
      <c r="H1475" s="1" t="n">
        <v>394</v>
      </c>
      <c r="I1475" s="1" t="str">
        <f aca="false">B1475&amp;"|"&amp;F1475&amp;"|"&amp;G1475</f>
        <v>Banks – Central Offices|D|Excellent</v>
      </c>
      <c r="J1475" s="1" t="s">
        <v>872</v>
      </c>
    </row>
    <row r="1476" customFormat="false" ht="12" hidden="false" customHeight="true" outlineLevel="0" collapsed="false">
      <c r="B1476" s="1" t="s">
        <v>870</v>
      </c>
      <c r="C1476" s="1" t="s">
        <v>871</v>
      </c>
      <c r="D1476" s="1" t="s">
        <v>506</v>
      </c>
      <c r="E1476" s="1" t="s">
        <v>527</v>
      </c>
      <c r="F1476" s="1" t="s">
        <v>468</v>
      </c>
      <c r="G1476" s="1" t="s">
        <v>483</v>
      </c>
      <c r="H1476" s="1" t="n">
        <v>288</v>
      </c>
      <c r="I1476" s="1" t="str">
        <f aca="false">B1476&amp;"|"&amp;F1476&amp;"|"&amp;G1476</f>
        <v>Banks – Central Offices|D|Good</v>
      </c>
      <c r="J1476" s="1" t="s">
        <v>872</v>
      </c>
    </row>
    <row r="1477" customFormat="false" ht="12" hidden="false" customHeight="true" outlineLevel="0" collapsed="false">
      <c r="B1477" s="1" t="s">
        <v>870</v>
      </c>
      <c r="C1477" s="1" t="s">
        <v>871</v>
      </c>
      <c r="D1477" s="1" t="s">
        <v>506</v>
      </c>
      <c r="E1477" s="1" t="s">
        <v>527</v>
      </c>
      <c r="F1477" s="1" t="s">
        <v>468</v>
      </c>
      <c r="G1477" s="1" t="s">
        <v>279</v>
      </c>
      <c r="H1477" s="1" t="n">
        <v>222</v>
      </c>
      <c r="I1477" s="1" t="str">
        <f aca="false">B1477&amp;"|"&amp;F1477&amp;"|"&amp;G1477</f>
        <v>Banks – Central Offices|D|Average</v>
      </c>
      <c r="J1477" s="1" t="s">
        <v>872</v>
      </c>
    </row>
    <row r="1478" customFormat="false" ht="12" hidden="false" customHeight="true" outlineLevel="0" collapsed="false">
      <c r="B1478" s="1" t="s">
        <v>870</v>
      </c>
      <c r="C1478" s="1" t="s">
        <v>871</v>
      </c>
      <c r="D1478" s="1" t="s">
        <v>506</v>
      </c>
      <c r="E1478" s="1" t="s">
        <v>527</v>
      </c>
      <c r="F1478" s="1" t="s">
        <v>473</v>
      </c>
      <c r="G1478" s="1" t="s">
        <v>483</v>
      </c>
      <c r="H1478" s="1" t="n">
        <v>280</v>
      </c>
      <c r="I1478" s="1" t="str">
        <f aca="false">B1478&amp;"|"&amp;F1478&amp;"|"&amp;G1478</f>
        <v>Banks – Central Offices|S|Good</v>
      </c>
      <c r="J1478" s="1" t="s">
        <v>872</v>
      </c>
    </row>
    <row r="1479" customFormat="false" ht="12" hidden="false" customHeight="true" outlineLevel="0" collapsed="false">
      <c r="B1479" s="1" t="s">
        <v>870</v>
      </c>
      <c r="C1479" s="1" t="s">
        <v>871</v>
      </c>
      <c r="D1479" s="1" t="s">
        <v>506</v>
      </c>
      <c r="E1479" s="1" t="s">
        <v>527</v>
      </c>
      <c r="F1479" s="1" t="s">
        <v>473</v>
      </c>
      <c r="G1479" s="1" t="s">
        <v>279</v>
      </c>
      <c r="H1479" s="1" t="n">
        <v>217</v>
      </c>
      <c r="I1479" s="1" t="str">
        <f aca="false">B1479&amp;"|"&amp;F1479&amp;"|"&amp;G1479</f>
        <v>Banks – Central Offices|S|Average</v>
      </c>
      <c r="J1479" s="1" t="s">
        <v>872</v>
      </c>
    </row>
    <row r="1480" customFormat="false" ht="12" hidden="false" customHeight="true" outlineLevel="0" collapsed="false">
      <c r="B1480" s="1" t="s">
        <v>873</v>
      </c>
      <c r="C1480" s="1" t="s">
        <v>874</v>
      </c>
      <c r="D1480" s="1" t="s">
        <v>506</v>
      </c>
      <c r="E1480" s="1" t="s">
        <v>527</v>
      </c>
      <c r="F1480" s="1" t="s">
        <v>523</v>
      </c>
      <c r="G1480" s="1" t="s">
        <v>483</v>
      </c>
      <c r="H1480" s="1" t="n">
        <v>710</v>
      </c>
      <c r="I1480" s="1" t="str">
        <f aca="false">B1480&amp;"|"&amp;F1480&amp;"|"&amp;G1480</f>
        <v>Mini-Banks (Walk-Up and Drive-Through)|A-B|Good</v>
      </c>
      <c r="J1480" s="1" t="s">
        <v>872</v>
      </c>
    </row>
    <row r="1481" customFormat="false" ht="12" hidden="false" customHeight="true" outlineLevel="0" collapsed="false">
      <c r="B1481" s="1" t="s">
        <v>873</v>
      </c>
      <c r="C1481" s="1" t="s">
        <v>874</v>
      </c>
      <c r="D1481" s="1" t="s">
        <v>506</v>
      </c>
      <c r="E1481" s="1" t="s">
        <v>527</v>
      </c>
      <c r="F1481" s="1" t="s">
        <v>523</v>
      </c>
      <c r="G1481" s="1" t="s">
        <v>279</v>
      </c>
      <c r="H1481" s="1" t="n">
        <v>580</v>
      </c>
      <c r="I1481" s="1" t="str">
        <f aca="false">B1481&amp;"|"&amp;F1481&amp;"|"&amp;G1481</f>
        <v>Mini-Banks (Walk-Up and Drive-Through)|A-B|Average</v>
      </c>
      <c r="J1481" s="1" t="s">
        <v>872</v>
      </c>
    </row>
    <row r="1482" customFormat="false" ht="12" hidden="false" customHeight="true" outlineLevel="0" collapsed="false">
      <c r="B1482" s="1" t="s">
        <v>873</v>
      </c>
      <c r="C1482" s="1" t="s">
        <v>874</v>
      </c>
      <c r="D1482" s="1" t="s">
        <v>506</v>
      </c>
      <c r="E1482" s="1" t="s">
        <v>527</v>
      </c>
      <c r="F1482" s="1" t="s">
        <v>463</v>
      </c>
      <c r="G1482" s="1" t="s">
        <v>485</v>
      </c>
      <c r="H1482" s="1" t="n">
        <v>665</v>
      </c>
      <c r="I1482" s="1" t="str">
        <f aca="false">B1482&amp;"|"&amp;F1482&amp;"|"&amp;G1482</f>
        <v>Mini-Banks (Walk-Up and Drive-Through)|C|Excellent</v>
      </c>
      <c r="J1482" s="1" t="s">
        <v>872</v>
      </c>
    </row>
    <row r="1483" customFormat="false" ht="12" hidden="false" customHeight="true" outlineLevel="0" collapsed="false">
      <c r="B1483" s="1" t="s">
        <v>873</v>
      </c>
      <c r="C1483" s="1" t="s">
        <v>874</v>
      </c>
      <c r="D1483" s="1" t="s">
        <v>506</v>
      </c>
      <c r="E1483" s="1" t="s">
        <v>527</v>
      </c>
      <c r="F1483" s="1" t="s">
        <v>463</v>
      </c>
      <c r="G1483" s="1" t="s">
        <v>483</v>
      </c>
      <c r="H1483" s="1" t="n">
        <v>535</v>
      </c>
      <c r="I1483" s="1" t="str">
        <f aca="false">B1483&amp;"|"&amp;F1483&amp;"|"&amp;G1483</f>
        <v>Mini-Banks (Walk-Up and Drive-Through)|C|Good</v>
      </c>
      <c r="J1483" s="1" t="s">
        <v>872</v>
      </c>
    </row>
    <row r="1484" customFormat="false" ht="12" hidden="false" customHeight="true" outlineLevel="0" collapsed="false">
      <c r="B1484" s="1" t="s">
        <v>873</v>
      </c>
      <c r="C1484" s="1" t="s">
        <v>874</v>
      </c>
      <c r="D1484" s="1" t="s">
        <v>506</v>
      </c>
      <c r="E1484" s="1" t="s">
        <v>527</v>
      </c>
      <c r="F1484" s="1" t="s">
        <v>463</v>
      </c>
      <c r="G1484" s="1" t="s">
        <v>279</v>
      </c>
      <c r="H1484" s="1" t="n">
        <v>426</v>
      </c>
      <c r="I1484" s="1" t="str">
        <f aca="false">B1484&amp;"|"&amp;F1484&amp;"|"&amp;G1484</f>
        <v>Mini-Banks (Walk-Up and Drive-Through)|C|Average</v>
      </c>
      <c r="J1484" s="1" t="s">
        <v>872</v>
      </c>
    </row>
    <row r="1485" customFormat="false" ht="12" hidden="false" customHeight="true" outlineLevel="0" collapsed="false">
      <c r="B1485" s="1" t="s">
        <v>873</v>
      </c>
      <c r="C1485" s="1" t="s">
        <v>874</v>
      </c>
      <c r="D1485" s="1" t="s">
        <v>506</v>
      </c>
      <c r="E1485" s="1" t="s">
        <v>527</v>
      </c>
      <c r="F1485" s="1" t="s">
        <v>463</v>
      </c>
      <c r="G1485" s="1" t="s">
        <v>480</v>
      </c>
      <c r="H1485" s="1" t="n">
        <v>345</v>
      </c>
      <c r="I1485" s="1" t="str">
        <f aca="false">B1485&amp;"|"&amp;F1485&amp;"|"&amp;G1485</f>
        <v>Mini-Banks (Walk-Up and Drive-Through)|C|Low Cost</v>
      </c>
      <c r="J1485" s="1" t="s">
        <v>872</v>
      </c>
    </row>
    <row r="1486" customFormat="false" ht="12" hidden="false" customHeight="true" outlineLevel="0" collapsed="false">
      <c r="B1486" s="1" t="s">
        <v>873</v>
      </c>
      <c r="C1486" s="1" t="s">
        <v>874</v>
      </c>
      <c r="D1486" s="1" t="s">
        <v>506</v>
      </c>
      <c r="E1486" s="1" t="s">
        <v>527</v>
      </c>
      <c r="F1486" s="1" t="s">
        <v>468</v>
      </c>
      <c r="G1486" s="1" t="s">
        <v>485</v>
      </c>
      <c r="H1486" s="1" t="n">
        <v>650</v>
      </c>
      <c r="I1486" s="1" t="str">
        <f aca="false">B1486&amp;"|"&amp;F1486&amp;"|"&amp;G1486</f>
        <v>Mini-Banks (Walk-Up and Drive-Through)|D|Excellent</v>
      </c>
      <c r="J1486" s="1" t="s">
        <v>872</v>
      </c>
    </row>
    <row r="1487" customFormat="false" ht="12" hidden="false" customHeight="true" outlineLevel="0" collapsed="false">
      <c r="B1487" s="1" t="s">
        <v>873</v>
      </c>
      <c r="C1487" s="1" t="s">
        <v>874</v>
      </c>
      <c r="D1487" s="1" t="s">
        <v>506</v>
      </c>
      <c r="E1487" s="1" t="s">
        <v>527</v>
      </c>
      <c r="F1487" s="1" t="s">
        <v>468</v>
      </c>
      <c r="G1487" s="1" t="s">
        <v>483</v>
      </c>
      <c r="H1487" s="1" t="n">
        <v>520</v>
      </c>
      <c r="I1487" s="1" t="str">
        <f aca="false">B1487&amp;"|"&amp;F1487&amp;"|"&amp;G1487</f>
        <v>Mini-Banks (Walk-Up and Drive-Through)|D|Good</v>
      </c>
      <c r="J1487" s="1" t="s">
        <v>872</v>
      </c>
    </row>
    <row r="1488" customFormat="false" ht="12" hidden="false" customHeight="true" outlineLevel="0" collapsed="false">
      <c r="B1488" s="1" t="s">
        <v>873</v>
      </c>
      <c r="C1488" s="1" t="s">
        <v>874</v>
      </c>
      <c r="D1488" s="1" t="s">
        <v>506</v>
      </c>
      <c r="E1488" s="1" t="s">
        <v>527</v>
      </c>
      <c r="F1488" s="1" t="s">
        <v>468</v>
      </c>
      <c r="G1488" s="1" t="s">
        <v>279</v>
      </c>
      <c r="H1488" s="1" t="n">
        <v>411</v>
      </c>
      <c r="I1488" s="1" t="str">
        <f aca="false">B1488&amp;"|"&amp;F1488&amp;"|"&amp;G1488</f>
        <v>Mini-Banks (Walk-Up and Drive-Through)|D|Average</v>
      </c>
      <c r="J1488" s="1" t="s">
        <v>872</v>
      </c>
    </row>
    <row r="1489" customFormat="false" ht="12" hidden="false" customHeight="true" outlineLevel="0" collapsed="false">
      <c r="B1489" s="1" t="s">
        <v>873</v>
      </c>
      <c r="C1489" s="1" t="s">
        <v>874</v>
      </c>
      <c r="D1489" s="1" t="s">
        <v>506</v>
      </c>
      <c r="E1489" s="1" t="s">
        <v>527</v>
      </c>
      <c r="F1489" s="1" t="s">
        <v>468</v>
      </c>
      <c r="G1489" s="1" t="s">
        <v>480</v>
      </c>
      <c r="H1489" s="1" t="n">
        <v>332</v>
      </c>
      <c r="I1489" s="1" t="str">
        <f aca="false">B1489&amp;"|"&amp;F1489&amp;"|"&amp;G1489</f>
        <v>Mini-Banks (Walk-Up and Drive-Through)|D|Low Cost</v>
      </c>
      <c r="J1489" s="1" t="s">
        <v>872</v>
      </c>
    </row>
    <row r="1490" customFormat="false" ht="12" hidden="false" customHeight="true" outlineLevel="0" collapsed="false">
      <c r="B1490" s="1" t="s">
        <v>873</v>
      </c>
      <c r="C1490" s="1" t="s">
        <v>874</v>
      </c>
      <c r="D1490" s="1" t="s">
        <v>506</v>
      </c>
      <c r="E1490" s="1" t="s">
        <v>527</v>
      </c>
      <c r="F1490" s="1" t="s">
        <v>473</v>
      </c>
      <c r="G1490" s="1" t="s">
        <v>279</v>
      </c>
      <c r="H1490" s="1" t="n">
        <v>407</v>
      </c>
      <c r="I1490" s="1" t="str">
        <f aca="false">B1490&amp;"|"&amp;F1490&amp;"|"&amp;G1490</f>
        <v>Mini-Banks (Walk-Up and Drive-Through)|S|Average</v>
      </c>
      <c r="J1490" s="1" t="s">
        <v>872</v>
      </c>
    </row>
    <row r="1491" customFormat="false" ht="12" hidden="false" customHeight="true" outlineLevel="0" collapsed="false">
      <c r="B1491" s="1" t="s">
        <v>875</v>
      </c>
      <c r="C1491" s="1" t="s">
        <v>876</v>
      </c>
      <c r="D1491" s="1" t="s">
        <v>506</v>
      </c>
      <c r="E1491" s="1" t="s">
        <v>529</v>
      </c>
      <c r="F1491" s="1" t="s">
        <v>456</v>
      </c>
      <c r="G1491" s="1" t="s">
        <v>483</v>
      </c>
      <c r="H1491" s="1" t="n">
        <v>416</v>
      </c>
      <c r="I1491" s="1" t="str">
        <f aca="false">B1491&amp;"|"&amp;F1491&amp;"|"&amp;G1491</f>
        <v>Banks, Branch|A|Good</v>
      </c>
      <c r="J1491" s="1" t="s">
        <v>877</v>
      </c>
    </row>
    <row r="1492" customFormat="false" ht="12" hidden="false" customHeight="true" outlineLevel="0" collapsed="false">
      <c r="B1492" s="1" t="s">
        <v>875</v>
      </c>
      <c r="C1492" s="1" t="s">
        <v>876</v>
      </c>
      <c r="D1492" s="1" t="s">
        <v>506</v>
      </c>
      <c r="E1492" s="1" t="s">
        <v>529</v>
      </c>
      <c r="F1492" s="1" t="s">
        <v>456</v>
      </c>
      <c r="G1492" s="1" t="s">
        <v>279</v>
      </c>
      <c r="H1492" s="1" t="n">
        <v>327</v>
      </c>
      <c r="I1492" s="1" t="str">
        <f aca="false">B1492&amp;"|"&amp;F1492&amp;"|"&amp;G1492</f>
        <v>Banks, Branch|A|Average</v>
      </c>
      <c r="J1492" s="1" t="s">
        <v>877</v>
      </c>
    </row>
    <row r="1493" customFormat="false" ht="12" hidden="false" customHeight="true" outlineLevel="0" collapsed="false">
      <c r="B1493" s="1" t="s">
        <v>875</v>
      </c>
      <c r="C1493" s="1" t="s">
        <v>876</v>
      </c>
      <c r="D1493" s="1" t="s">
        <v>506</v>
      </c>
      <c r="E1493" s="1" t="s">
        <v>529</v>
      </c>
      <c r="F1493" s="1" t="s">
        <v>456</v>
      </c>
      <c r="G1493" s="1" t="s">
        <v>480</v>
      </c>
      <c r="H1493" s="1" t="n">
        <v>260</v>
      </c>
      <c r="I1493" s="1" t="str">
        <f aca="false">B1493&amp;"|"&amp;F1493&amp;"|"&amp;G1493</f>
        <v>Banks, Branch|A|Low Cost</v>
      </c>
      <c r="J1493" s="1" t="s">
        <v>877</v>
      </c>
    </row>
    <row r="1494" customFormat="false" ht="12" hidden="false" customHeight="true" outlineLevel="0" collapsed="false">
      <c r="B1494" s="1" t="s">
        <v>875</v>
      </c>
      <c r="C1494" s="1" t="s">
        <v>876</v>
      </c>
      <c r="D1494" s="1" t="s">
        <v>506</v>
      </c>
      <c r="E1494" s="1" t="s">
        <v>529</v>
      </c>
      <c r="F1494" s="1" t="s">
        <v>461</v>
      </c>
      <c r="G1494" s="1" t="s">
        <v>483</v>
      </c>
      <c r="H1494" s="1" t="n">
        <v>378</v>
      </c>
      <c r="I1494" s="1" t="str">
        <f aca="false">B1494&amp;"|"&amp;F1494&amp;"|"&amp;G1494</f>
        <v>Banks, Branch|B|Good</v>
      </c>
      <c r="J1494" s="1" t="s">
        <v>877</v>
      </c>
    </row>
    <row r="1495" customFormat="false" ht="12" hidden="false" customHeight="true" outlineLevel="0" collapsed="false">
      <c r="B1495" s="1" t="s">
        <v>875</v>
      </c>
      <c r="C1495" s="1" t="s">
        <v>876</v>
      </c>
      <c r="D1495" s="1" t="s">
        <v>506</v>
      </c>
      <c r="E1495" s="1" t="s">
        <v>529</v>
      </c>
      <c r="F1495" s="1" t="s">
        <v>461</v>
      </c>
      <c r="G1495" s="1" t="s">
        <v>279</v>
      </c>
      <c r="H1495" s="1" t="n">
        <v>296</v>
      </c>
      <c r="I1495" s="1" t="str">
        <f aca="false">B1495&amp;"|"&amp;F1495&amp;"|"&amp;G1495</f>
        <v>Banks, Branch|B|Average</v>
      </c>
      <c r="J1495" s="1" t="s">
        <v>877</v>
      </c>
    </row>
    <row r="1496" customFormat="false" ht="12" hidden="false" customHeight="true" outlineLevel="0" collapsed="false">
      <c r="B1496" s="1" t="s">
        <v>875</v>
      </c>
      <c r="C1496" s="1" t="s">
        <v>876</v>
      </c>
      <c r="D1496" s="1" t="s">
        <v>506</v>
      </c>
      <c r="E1496" s="1" t="s">
        <v>529</v>
      </c>
      <c r="F1496" s="1" t="s">
        <v>461</v>
      </c>
      <c r="G1496" s="1" t="s">
        <v>480</v>
      </c>
      <c r="H1496" s="1" t="n">
        <v>234</v>
      </c>
      <c r="I1496" s="1" t="str">
        <f aca="false">B1496&amp;"|"&amp;F1496&amp;"|"&amp;G1496</f>
        <v>Banks, Branch|B|Low Cost</v>
      </c>
      <c r="J1496" s="1" t="s">
        <v>877</v>
      </c>
    </row>
    <row r="1497" customFormat="false" ht="12" hidden="false" customHeight="true" outlineLevel="0" collapsed="false">
      <c r="B1497" s="1" t="s">
        <v>875</v>
      </c>
      <c r="C1497" s="1" t="s">
        <v>876</v>
      </c>
      <c r="D1497" s="1" t="s">
        <v>506</v>
      </c>
      <c r="E1497" s="1" t="s">
        <v>529</v>
      </c>
      <c r="F1497" s="1" t="s">
        <v>463</v>
      </c>
      <c r="G1497" s="1" t="s">
        <v>485</v>
      </c>
      <c r="H1497" s="1" t="n">
        <v>448</v>
      </c>
      <c r="I1497" s="1" t="str">
        <f aca="false">B1497&amp;"|"&amp;F1497&amp;"|"&amp;G1497</f>
        <v>Banks, Branch|C|Excellent</v>
      </c>
      <c r="J1497" s="1" t="s">
        <v>877</v>
      </c>
    </row>
    <row r="1498" customFormat="false" ht="12" hidden="false" customHeight="true" outlineLevel="0" collapsed="false">
      <c r="B1498" s="1" t="s">
        <v>875</v>
      </c>
      <c r="C1498" s="1" t="s">
        <v>876</v>
      </c>
      <c r="D1498" s="1" t="s">
        <v>506</v>
      </c>
      <c r="E1498" s="1" t="s">
        <v>529</v>
      </c>
      <c r="F1498" s="1" t="s">
        <v>463</v>
      </c>
      <c r="G1498" s="1" t="s">
        <v>483</v>
      </c>
      <c r="H1498" s="1" t="n">
        <v>326</v>
      </c>
      <c r="I1498" s="1" t="str">
        <f aca="false">B1498&amp;"|"&amp;F1498&amp;"|"&amp;G1498</f>
        <v>Banks, Branch|C|Good</v>
      </c>
      <c r="J1498" s="1" t="s">
        <v>877</v>
      </c>
    </row>
    <row r="1499" customFormat="false" ht="12" hidden="false" customHeight="true" outlineLevel="0" collapsed="false">
      <c r="B1499" s="1" t="s">
        <v>875</v>
      </c>
      <c r="C1499" s="1" t="s">
        <v>876</v>
      </c>
      <c r="D1499" s="1" t="s">
        <v>506</v>
      </c>
      <c r="E1499" s="1" t="s">
        <v>529</v>
      </c>
      <c r="F1499" s="1" t="s">
        <v>463</v>
      </c>
      <c r="G1499" s="1" t="s">
        <v>279</v>
      </c>
      <c r="H1499" s="1" t="n">
        <v>236</v>
      </c>
      <c r="I1499" s="1" t="str">
        <f aca="false">B1499&amp;"|"&amp;F1499&amp;"|"&amp;G1499</f>
        <v>Banks, Branch|C|Average</v>
      </c>
      <c r="J1499" s="1" t="s">
        <v>877</v>
      </c>
    </row>
    <row r="1500" customFormat="false" ht="12" hidden="false" customHeight="true" outlineLevel="0" collapsed="false">
      <c r="B1500" s="1" t="s">
        <v>875</v>
      </c>
      <c r="C1500" s="1" t="s">
        <v>876</v>
      </c>
      <c r="D1500" s="1" t="s">
        <v>506</v>
      </c>
      <c r="E1500" s="1" t="s">
        <v>529</v>
      </c>
      <c r="F1500" s="1" t="s">
        <v>463</v>
      </c>
      <c r="G1500" s="1" t="s">
        <v>480</v>
      </c>
      <c r="H1500" s="1" t="n">
        <v>177</v>
      </c>
      <c r="I1500" s="1" t="str">
        <f aca="false">B1500&amp;"|"&amp;F1500&amp;"|"&amp;G1500</f>
        <v>Banks, Branch|C|Low Cost</v>
      </c>
      <c r="J1500" s="1" t="s">
        <v>877</v>
      </c>
    </row>
    <row r="1501" customFormat="false" ht="12" hidden="false" customHeight="true" outlineLevel="0" collapsed="false">
      <c r="B1501" s="1" t="s">
        <v>875</v>
      </c>
      <c r="C1501" s="1" t="s">
        <v>876</v>
      </c>
      <c r="D1501" s="1" t="s">
        <v>506</v>
      </c>
      <c r="E1501" s="1" t="s">
        <v>529</v>
      </c>
      <c r="F1501" s="1" t="s">
        <v>468</v>
      </c>
      <c r="G1501" s="1" t="s">
        <v>485</v>
      </c>
      <c r="H1501" s="1" t="n">
        <v>423</v>
      </c>
      <c r="I1501" s="1" t="str">
        <f aca="false">B1501&amp;"|"&amp;F1501&amp;"|"&amp;G1501</f>
        <v>Banks, Branch|D|Excellent</v>
      </c>
      <c r="J1501" s="1" t="s">
        <v>877</v>
      </c>
    </row>
    <row r="1502" customFormat="false" ht="12" hidden="false" customHeight="true" outlineLevel="0" collapsed="false">
      <c r="B1502" s="1" t="s">
        <v>875</v>
      </c>
      <c r="C1502" s="1" t="s">
        <v>876</v>
      </c>
      <c r="D1502" s="1" t="s">
        <v>506</v>
      </c>
      <c r="E1502" s="1" t="s">
        <v>529</v>
      </c>
      <c r="F1502" s="1" t="s">
        <v>468</v>
      </c>
      <c r="G1502" s="1" t="s">
        <v>483</v>
      </c>
      <c r="H1502" s="1" t="n">
        <v>308</v>
      </c>
      <c r="I1502" s="1" t="str">
        <f aca="false">B1502&amp;"|"&amp;F1502&amp;"|"&amp;G1502</f>
        <v>Banks, Branch|D|Good</v>
      </c>
      <c r="J1502" s="1" t="s">
        <v>877</v>
      </c>
    </row>
    <row r="1503" customFormat="false" ht="12" hidden="false" customHeight="true" outlineLevel="0" collapsed="false">
      <c r="B1503" s="1" t="s">
        <v>875</v>
      </c>
      <c r="C1503" s="1" t="s">
        <v>876</v>
      </c>
      <c r="D1503" s="1" t="s">
        <v>506</v>
      </c>
      <c r="E1503" s="1" t="s">
        <v>529</v>
      </c>
      <c r="F1503" s="1" t="s">
        <v>468</v>
      </c>
      <c r="G1503" s="1" t="s">
        <v>279</v>
      </c>
      <c r="H1503" s="1" t="n">
        <v>223</v>
      </c>
      <c r="I1503" s="1" t="str">
        <f aca="false">B1503&amp;"|"&amp;F1503&amp;"|"&amp;G1503</f>
        <v>Banks, Branch|D|Average</v>
      </c>
      <c r="J1503" s="1" t="s">
        <v>877</v>
      </c>
    </row>
    <row r="1504" customFormat="false" ht="12" hidden="false" customHeight="true" outlineLevel="0" collapsed="false">
      <c r="B1504" s="1" t="s">
        <v>875</v>
      </c>
      <c r="C1504" s="1" t="s">
        <v>876</v>
      </c>
      <c r="D1504" s="1" t="s">
        <v>506</v>
      </c>
      <c r="E1504" s="1" t="s">
        <v>529</v>
      </c>
      <c r="F1504" s="1" t="s">
        <v>468</v>
      </c>
      <c r="G1504" s="1" t="s">
        <v>480</v>
      </c>
      <c r="H1504" s="1" t="n">
        <v>168</v>
      </c>
      <c r="I1504" s="1" t="str">
        <f aca="false">B1504&amp;"|"&amp;F1504&amp;"|"&amp;G1504</f>
        <v>Banks, Branch|D|Low Cost</v>
      </c>
      <c r="J1504" s="1" t="s">
        <v>877</v>
      </c>
    </row>
    <row r="1505" customFormat="false" ht="12" hidden="false" customHeight="true" outlineLevel="0" collapsed="false">
      <c r="B1505" s="1" t="s">
        <v>875</v>
      </c>
      <c r="C1505" s="1" t="s">
        <v>876</v>
      </c>
      <c r="D1505" s="1" t="s">
        <v>506</v>
      </c>
      <c r="E1505" s="1" t="s">
        <v>529</v>
      </c>
      <c r="F1505" s="1" t="s">
        <v>473</v>
      </c>
      <c r="G1505" s="1" t="s">
        <v>483</v>
      </c>
      <c r="H1505" s="1" t="n">
        <v>288</v>
      </c>
      <c r="I1505" s="1" t="str">
        <f aca="false">B1505&amp;"|"&amp;F1505&amp;"|"&amp;G1505</f>
        <v>Banks, Branch|S|Good</v>
      </c>
      <c r="J1505" s="1" t="s">
        <v>877</v>
      </c>
    </row>
    <row r="1506" customFormat="false" ht="12" hidden="false" customHeight="true" outlineLevel="0" collapsed="false">
      <c r="B1506" s="1" t="s">
        <v>875</v>
      </c>
      <c r="C1506" s="1" t="s">
        <v>876</v>
      </c>
      <c r="D1506" s="1" t="s">
        <v>506</v>
      </c>
      <c r="E1506" s="1" t="s">
        <v>529</v>
      </c>
      <c r="F1506" s="1" t="s">
        <v>473</v>
      </c>
      <c r="G1506" s="1" t="s">
        <v>279</v>
      </c>
      <c r="H1506" s="1" t="n">
        <v>218</v>
      </c>
      <c r="I1506" s="1" t="str">
        <f aca="false">B1506&amp;"|"&amp;F1506&amp;"|"&amp;G1506</f>
        <v>Banks, Branch|S|Average</v>
      </c>
      <c r="J1506" s="1" t="s">
        <v>877</v>
      </c>
    </row>
    <row r="1507" customFormat="false" ht="12" hidden="false" customHeight="true" outlineLevel="0" collapsed="false">
      <c r="B1507" s="1" t="s">
        <v>875</v>
      </c>
      <c r="C1507" s="1" t="s">
        <v>876</v>
      </c>
      <c r="D1507" s="1" t="s">
        <v>506</v>
      </c>
      <c r="E1507" s="1" t="s">
        <v>529</v>
      </c>
      <c r="F1507" s="1" t="s">
        <v>473</v>
      </c>
      <c r="G1507" s="1" t="s">
        <v>480</v>
      </c>
      <c r="H1507" s="1" t="n">
        <v>167</v>
      </c>
      <c r="I1507" s="1" t="str">
        <f aca="false">B1507&amp;"|"&amp;F1507&amp;"|"&amp;G1507</f>
        <v>Banks, Branch|S|Low Cost</v>
      </c>
      <c r="J1507" s="1" t="s">
        <v>877</v>
      </c>
    </row>
    <row r="1508" customFormat="false" ht="12" hidden="false" customHeight="true" outlineLevel="0" collapsed="false">
      <c r="B1508" s="1" t="s">
        <v>878</v>
      </c>
      <c r="C1508" s="1" t="s">
        <v>879</v>
      </c>
      <c r="D1508" s="1" t="s">
        <v>506</v>
      </c>
      <c r="E1508" s="1" t="s">
        <v>533</v>
      </c>
      <c r="F1508" s="1" t="s">
        <v>456</v>
      </c>
      <c r="G1508" s="1" t="s">
        <v>485</v>
      </c>
      <c r="H1508" s="1" t="n">
        <v>438</v>
      </c>
      <c r="I1508" s="1" t="str">
        <f aca="false">B1508&amp;"|"&amp;F1508&amp;"|"&amp;G1508</f>
        <v>Medical Office Buildings|A|Excellent</v>
      </c>
      <c r="J1508" s="1" t="s">
        <v>880</v>
      </c>
    </row>
    <row r="1509" customFormat="false" ht="12" hidden="false" customHeight="true" outlineLevel="0" collapsed="false">
      <c r="B1509" s="1" t="s">
        <v>878</v>
      </c>
      <c r="C1509" s="1" t="s">
        <v>879</v>
      </c>
      <c r="D1509" s="1" t="s">
        <v>506</v>
      </c>
      <c r="E1509" s="1" t="s">
        <v>533</v>
      </c>
      <c r="F1509" s="1" t="s">
        <v>456</v>
      </c>
      <c r="G1509" s="1" t="s">
        <v>483</v>
      </c>
      <c r="H1509" s="1" t="n">
        <v>351</v>
      </c>
      <c r="I1509" s="1" t="str">
        <f aca="false">B1509&amp;"|"&amp;F1509&amp;"|"&amp;G1509</f>
        <v>Medical Office Buildings|A|Good</v>
      </c>
      <c r="J1509" s="1" t="s">
        <v>880</v>
      </c>
    </row>
    <row r="1510" customFormat="false" ht="12" hidden="false" customHeight="true" outlineLevel="0" collapsed="false">
      <c r="B1510" s="1" t="s">
        <v>878</v>
      </c>
      <c r="C1510" s="1" t="s">
        <v>879</v>
      </c>
      <c r="D1510" s="1" t="s">
        <v>506</v>
      </c>
      <c r="E1510" s="1" t="s">
        <v>533</v>
      </c>
      <c r="F1510" s="1" t="s">
        <v>456</v>
      </c>
      <c r="G1510" s="1" t="s">
        <v>279</v>
      </c>
      <c r="H1510" s="1" t="n">
        <v>270</v>
      </c>
      <c r="I1510" s="1" t="str">
        <f aca="false">B1510&amp;"|"&amp;F1510&amp;"|"&amp;G1510</f>
        <v>Medical Office Buildings|A|Average</v>
      </c>
      <c r="J1510" s="1" t="s">
        <v>880</v>
      </c>
    </row>
    <row r="1511" customFormat="false" ht="12" hidden="false" customHeight="true" outlineLevel="0" collapsed="false">
      <c r="B1511" s="1" t="s">
        <v>878</v>
      </c>
      <c r="C1511" s="1" t="s">
        <v>879</v>
      </c>
      <c r="D1511" s="1" t="s">
        <v>506</v>
      </c>
      <c r="E1511" s="1" t="s">
        <v>533</v>
      </c>
      <c r="F1511" s="1" t="s">
        <v>456</v>
      </c>
      <c r="G1511" s="1" t="s">
        <v>480</v>
      </c>
      <c r="H1511" s="1" t="n">
        <v>207</v>
      </c>
      <c r="I1511" s="1" t="str">
        <f aca="false">B1511&amp;"|"&amp;F1511&amp;"|"&amp;G1511</f>
        <v>Medical Office Buildings|A|Low Cost</v>
      </c>
      <c r="J1511" s="1" t="s">
        <v>880</v>
      </c>
    </row>
    <row r="1512" customFormat="false" ht="12" hidden="false" customHeight="true" outlineLevel="0" collapsed="false">
      <c r="B1512" s="1" t="s">
        <v>878</v>
      </c>
      <c r="C1512" s="1" t="s">
        <v>879</v>
      </c>
      <c r="D1512" s="1" t="s">
        <v>506</v>
      </c>
      <c r="E1512" s="1" t="s">
        <v>533</v>
      </c>
      <c r="F1512" s="1" t="s">
        <v>461</v>
      </c>
      <c r="G1512" s="1" t="s">
        <v>485</v>
      </c>
      <c r="H1512" s="1" t="n">
        <v>402</v>
      </c>
      <c r="I1512" s="1" t="str">
        <f aca="false">B1512&amp;"|"&amp;F1512&amp;"|"&amp;G1512</f>
        <v>Medical Office Buildings|B|Excellent</v>
      </c>
      <c r="J1512" s="1" t="s">
        <v>880</v>
      </c>
    </row>
    <row r="1513" customFormat="false" ht="12" hidden="false" customHeight="true" outlineLevel="0" collapsed="false">
      <c r="B1513" s="1" t="s">
        <v>878</v>
      </c>
      <c r="C1513" s="1" t="s">
        <v>879</v>
      </c>
      <c r="D1513" s="1" t="s">
        <v>506</v>
      </c>
      <c r="E1513" s="1" t="s">
        <v>533</v>
      </c>
      <c r="F1513" s="1" t="s">
        <v>461</v>
      </c>
      <c r="G1513" s="1" t="s">
        <v>483</v>
      </c>
      <c r="H1513" s="1" t="n">
        <v>322</v>
      </c>
      <c r="I1513" s="1" t="str">
        <f aca="false">B1513&amp;"|"&amp;F1513&amp;"|"&amp;G1513</f>
        <v>Medical Office Buildings|B|Good</v>
      </c>
      <c r="J1513" s="1" t="s">
        <v>880</v>
      </c>
    </row>
    <row r="1514" customFormat="false" ht="12" hidden="false" customHeight="true" outlineLevel="0" collapsed="false">
      <c r="B1514" s="1" t="s">
        <v>878</v>
      </c>
      <c r="C1514" s="1" t="s">
        <v>879</v>
      </c>
      <c r="D1514" s="1" t="s">
        <v>506</v>
      </c>
      <c r="E1514" s="1" t="s">
        <v>533</v>
      </c>
      <c r="F1514" s="1" t="s">
        <v>461</v>
      </c>
      <c r="G1514" s="1" t="s">
        <v>279</v>
      </c>
      <c r="H1514" s="1" t="n">
        <v>246</v>
      </c>
      <c r="I1514" s="1" t="str">
        <f aca="false">B1514&amp;"|"&amp;F1514&amp;"|"&amp;G1514</f>
        <v>Medical Office Buildings|B|Average</v>
      </c>
      <c r="J1514" s="1" t="s">
        <v>880</v>
      </c>
    </row>
    <row r="1515" customFormat="false" ht="12" hidden="false" customHeight="true" outlineLevel="0" collapsed="false">
      <c r="B1515" s="1" t="s">
        <v>878</v>
      </c>
      <c r="C1515" s="1" t="s">
        <v>879</v>
      </c>
      <c r="D1515" s="1" t="s">
        <v>506</v>
      </c>
      <c r="E1515" s="1" t="s">
        <v>533</v>
      </c>
      <c r="F1515" s="1" t="s">
        <v>461</v>
      </c>
      <c r="G1515" s="1" t="s">
        <v>480</v>
      </c>
      <c r="H1515" s="1" t="n">
        <v>187</v>
      </c>
      <c r="I1515" s="1" t="str">
        <f aca="false">B1515&amp;"|"&amp;F1515&amp;"|"&amp;G1515</f>
        <v>Medical Office Buildings|B|Low Cost</v>
      </c>
      <c r="J1515" s="1" t="s">
        <v>880</v>
      </c>
    </row>
    <row r="1516" customFormat="false" ht="12" hidden="false" customHeight="true" outlineLevel="0" collapsed="false">
      <c r="B1516" s="1" t="s">
        <v>878</v>
      </c>
      <c r="C1516" s="1" t="s">
        <v>879</v>
      </c>
      <c r="D1516" s="1" t="s">
        <v>506</v>
      </c>
      <c r="E1516" s="1" t="s">
        <v>533</v>
      </c>
      <c r="F1516" s="1" t="s">
        <v>463</v>
      </c>
      <c r="G1516" s="1" t="s">
        <v>485</v>
      </c>
      <c r="H1516" s="1" t="n">
        <v>344</v>
      </c>
      <c r="I1516" s="1" t="str">
        <f aca="false">B1516&amp;"|"&amp;F1516&amp;"|"&amp;G1516</f>
        <v>Medical Office Buildings|C|Excellent</v>
      </c>
      <c r="J1516" s="1" t="s">
        <v>880</v>
      </c>
    </row>
    <row r="1517" customFormat="false" ht="12" hidden="false" customHeight="true" outlineLevel="0" collapsed="false">
      <c r="B1517" s="1" t="s">
        <v>878</v>
      </c>
      <c r="C1517" s="1" t="s">
        <v>879</v>
      </c>
      <c r="D1517" s="1" t="s">
        <v>506</v>
      </c>
      <c r="E1517" s="1" t="s">
        <v>533</v>
      </c>
      <c r="F1517" s="1" t="s">
        <v>463</v>
      </c>
      <c r="G1517" s="1" t="s">
        <v>483</v>
      </c>
      <c r="H1517" s="1" t="n">
        <v>261</v>
      </c>
      <c r="I1517" s="1" t="str">
        <f aca="false">B1517&amp;"|"&amp;F1517&amp;"|"&amp;G1517</f>
        <v>Medical Office Buildings|C|Good</v>
      </c>
      <c r="J1517" s="1" t="s">
        <v>880</v>
      </c>
    </row>
    <row r="1518" customFormat="false" ht="12" hidden="false" customHeight="true" outlineLevel="0" collapsed="false">
      <c r="B1518" s="1" t="s">
        <v>878</v>
      </c>
      <c r="C1518" s="1" t="s">
        <v>879</v>
      </c>
      <c r="D1518" s="1" t="s">
        <v>506</v>
      </c>
      <c r="E1518" s="1" t="s">
        <v>533</v>
      </c>
      <c r="F1518" s="1" t="s">
        <v>463</v>
      </c>
      <c r="G1518" s="1" t="s">
        <v>279</v>
      </c>
      <c r="H1518" s="1" t="n">
        <v>198</v>
      </c>
      <c r="I1518" s="1" t="str">
        <f aca="false">B1518&amp;"|"&amp;F1518&amp;"|"&amp;G1518</f>
        <v>Medical Office Buildings|C|Average</v>
      </c>
      <c r="J1518" s="1" t="s">
        <v>880</v>
      </c>
    </row>
    <row r="1519" customFormat="false" ht="12" hidden="false" customHeight="true" outlineLevel="0" collapsed="false">
      <c r="B1519" s="1" t="s">
        <v>878</v>
      </c>
      <c r="C1519" s="1" t="s">
        <v>879</v>
      </c>
      <c r="D1519" s="1" t="s">
        <v>506</v>
      </c>
      <c r="E1519" s="1" t="s">
        <v>533</v>
      </c>
      <c r="F1519" s="1" t="s">
        <v>463</v>
      </c>
      <c r="G1519" s="1" t="s">
        <v>480</v>
      </c>
      <c r="H1519" s="1" t="n">
        <v>150</v>
      </c>
      <c r="I1519" s="1" t="str">
        <f aca="false">B1519&amp;"|"&amp;F1519&amp;"|"&amp;G1519</f>
        <v>Medical Office Buildings|C|Low Cost</v>
      </c>
      <c r="J1519" s="1" t="s">
        <v>880</v>
      </c>
    </row>
    <row r="1520" customFormat="false" ht="12" hidden="false" customHeight="true" outlineLevel="0" collapsed="false">
      <c r="B1520" s="1" t="s">
        <v>878</v>
      </c>
      <c r="C1520" s="1" t="s">
        <v>879</v>
      </c>
      <c r="D1520" s="1" t="s">
        <v>506</v>
      </c>
      <c r="E1520" s="1" t="s">
        <v>533</v>
      </c>
      <c r="F1520" s="1" t="s">
        <v>468</v>
      </c>
      <c r="G1520" s="1" t="s">
        <v>485</v>
      </c>
      <c r="H1520" s="1" t="n">
        <v>314</v>
      </c>
      <c r="I1520" s="1" t="str">
        <f aca="false">B1520&amp;"|"&amp;F1520&amp;"|"&amp;G1520</f>
        <v>Medical Office Buildings|D|Excellent</v>
      </c>
      <c r="J1520" s="1" t="s">
        <v>880</v>
      </c>
    </row>
    <row r="1521" customFormat="false" ht="12" hidden="false" customHeight="true" outlineLevel="0" collapsed="false">
      <c r="B1521" s="1" t="s">
        <v>878</v>
      </c>
      <c r="C1521" s="1" t="s">
        <v>879</v>
      </c>
      <c r="D1521" s="1" t="s">
        <v>506</v>
      </c>
      <c r="E1521" s="1" t="s">
        <v>533</v>
      </c>
      <c r="F1521" s="1" t="s">
        <v>468</v>
      </c>
      <c r="G1521" s="1" t="s">
        <v>483</v>
      </c>
      <c r="H1521" s="1" t="n">
        <v>249</v>
      </c>
      <c r="I1521" s="1" t="str">
        <f aca="false">B1521&amp;"|"&amp;F1521&amp;"|"&amp;G1521</f>
        <v>Medical Office Buildings|D|Good</v>
      </c>
      <c r="J1521" s="1" t="s">
        <v>880</v>
      </c>
    </row>
    <row r="1522" customFormat="false" ht="12" hidden="false" customHeight="true" outlineLevel="0" collapsed="false">
      <c r="B1522" s="1" t="s">
        <v>878</v>
      </c>
      <c r="C1522" s="1" t="s">
        <v>879</v>
      </c>
      <c r="D1522" s="1" t="s">
        <v>506</v>
      </c>
      <c r="E1522" s="1" t="s">
        <v>533</v>
      </c>
      <c r="F1522" s="1" t="s">
        <v>468</v>
      </c>
      <c r="G1522" s="1" t="s">
        <v>279</v>
      </c>
      <c r="H1522" s="1" t="n">
        <v>189</v>
      </c>
      <c r="I1522" s="1" t="str">
        <f aca="false">B1522&amp;"|"&amp;F1522&amp;"|"&amp;G1522</f>
        <v>Medical Office Buildings|D|Average</v>
      </c>
      <c r="J1522" s="1" t="s">
        <v>880</v>
      </c>
    </row>
    <row r="1523" customFormat="false" ht="12" hidden="false" customHeight="true" outlineLevel="0" collapsed="false">
      <c r="B1523" s="1" t="s">
        <v>878</v>
      </c>
      <c r="C1523" s="1" t="s">
        <v>879</v>
      </c>
      <c r="D1523" s="1" t="s">
        <v>506</v>
      </c>
      <c r="E1523" s="1" t="s">
        <v>533</v>
      </c>
      <c r="F1523" s="1" t="s">
        <v>468</v>
      </c>
      <c r="G1523" s="1" t="s">
        <v>480</v>
      </c>
      <c r="H1523" s="1" t="n">
        <v>144</v>
      </c>
      <c r="I1523" s="1" t="str">
        <f aca="false">B1523&amp;"|"&amp;F1523&amp;"|"&amp;G1523</f>
        <v>Medical Office Buildings|D|Low Cost</v>
      </c>
      <c r="J1523" s="1" t="s">
        <v>880</v>
      </c>
    </row>
    <row r="1524" customFormat="false" ht="12" hidden="false" customHeight="true" outlineLevel="0" collapsed="false">
      <c r="B1524" s="1" t="s">
        <v>878</v>
      </c>
      <c r="C1524" s="1" t="s">
        <v>879</v>
      </c>
      <c r="D1524" s="1" t="s">
        <v>506</v>
      </c>
      <c r="E1524" s="1" t="s">
        <v>533</v>
      </c>
      <c r="F1524" s="1" t="s">
        <v>566</v>
      </c>
      <c r="G1524" s="1" t="s">
        <v>480</v>
      </c>
      <c r="H1524" s="1" t="n">
        <v>132</v>
      </c>
      <c r="I1524" s="1" t="str">
        <f aca="false">B1524&amp;"|"&amp;F1524&amp;"|"&amp;G1524</f>
        <v>Medical Office Buildings|DPOLE|Low Cost</v>
      </c>
      <c r="J1524" s="1" t="s">
        <v>880</v>
      </c>
    </row>
    <row r="1525" customFormat="false" ht="12" hidden="false" customHeight="true" outlineLevel="0" collapsed="false">
      <c r="B1525" s="1" t="s">
        <v>878</v>
      </c>
      <c r="C1525" s="1" t="s">
        <v>879</v>
      </c>
      <c r="D1525" s="1" t="s">
        <v>506</v>
      </c>
      <c r="E1525" s="1" t="s">
        <v>533</v>
      </c>
      <c r="F1525" s="1" t="s">
        <v>473</v>
      </c>
      <c r="G1525" s="1" t="s">
        <v>483</v>
      </c>
      <c r="H1525" s="1" t="n">
        <v>242</v>
      </c>
      <c r="I1525" s="1" t="str">
        <f aca="false">B1525&amp;"|"&amp;F1525&amp;"|"&amp;G1525</f>
        <v>Medical Office Buildings|S|Good</v>
      </c>
      <c r="J1525" s="1" t="s">
        <v>880</v>
      </c>
    </row>
    <row r="1526" customFormat="false" ht="12" hidden="false" customHeight="true" outlineLevel="0" collapsed="false">
      <c r="B1526" s="1" t="s">
        <v>878</v>
      </c>
      <c r="C1526" s="1" t="s">
        <v>879</v>
      </c>
      <c r="D1526" s="1" t="s">
        <v>506</v>
      </c>
      <c r="E1526" s="1" t="s">
        <v>533</v>
      </c>
      <c r="F1526" s="1" t="s">
        <v>473</v>
      </c>
      <c r="G1526" s="1" t="s">
        <v>279</v>
      </c>
      <c r="H1526" s="1" t="n">
        <v>177</v>
      </c>
      <c r="I1526" s="1" t="str">
        <f aca="false">B1526&amp;"|"&amp;F1526&amp;"|"&amp;G1526</f>
        <v>Medical Office Buildings|S|Average</v>
      </c>
      <c r="J1526" s="1" t="s">
        <v>880</v>
      </c>
    </row>
    <row r="1527" customFormat="false" ht="12" hidden="false" customHeight="true" outlineLevel="0" collapsed="false">
      <c r="B1527" s="1" t="s">
        <v>878</v>
      </c>
      <c r="C1527" s="1" t="s">
        <v>879</v>
      </c>
      <c r="D1527" s="1" t="s">
        <v>506</v>
      </c>
      <c r="E1527" s="1" t="s">
        <v>533</v>
      </c>
      <c r="F1527" s="1" t="s">
        <v>473</v>
      </c>
      <c r="G1527" s="1" t="s">
        <v>480</v>
      </c>
      <c r="H1527" s="1" t="n">
        <v>135</v>
      </c>
      <c r="I1527" s="1" t="str">
        <f aca="false">B1527&amp;"|"&amp;F1527&amp;"|"&amp;G1527</f>
        <v>Medical Office Buildings|S|Low Cost</v>
      </c>
      <c r="J1527" s="1" t="s">
        <v>880</v>
      </c>
    </row>
    <row r="1528" customFormat="false" ht="12" hidden="false" customHeight="true" outlineLevel="0" collapsed="false">
      <c r="B1528" s="1" t="s">
        <v>881</v>
      </c>
      <c r="C1528" s="1" t="s">
        <v>882</v>
      </c>
      <c r="D1528" s="1" t="s">
        <v>506</v>
      </c>
      <c r="E1528" s="1" t="s">
        <v>537</v>
      </c>
      <c r="F1528" s="1" t="s">
        <v>463</v>
      </c>
      <c r="G1528" s="1" t="s">
        <v>485</v>
      </c>
      <c r="H1528" s="1" t="n">
        <v>346</v>
      </c>
      <c r="I1528" s="1" t="str">
        <f aca="false">B1528&amp;"|"&amp;F1528&amp;"|"&amp;G1528</f>
        <v>Dental Clinics|C|Excellent</v>
      </c>
      <c r="J1528" s="1" t="s">
        <v>883</v>
      </c>
    </row>
    <row r="1529" customFormat="false" ht="12" hidden="false" customHeight="true" outlineLevel="0" collapsed="false">
      <c r="B1529" s="1" t="s">
        <v>881</v>
      </c>
      <c r="C1529" s="1" t="s">
        <v>882</v>
      </c>
      <c r="D1529" s="1" t="s">
        <v>506</v>
      </c>
      <c r="E1529" s="1" t="s">
        <v>537</v>
      </c>
      <c r="F1529" s="1" t="s">
        <v>463</v>
      </c>
      <c r="G1529" s="1" t="s">
        <v>483</v>
      </c>
      <c r="H1529" s="1" t="n">
        <v>265</v>
      </c>
      <c r="I1529" s="1" t="str">
        <f aca="false">B1529&amp;"|"&amp;F1529&amp;"|"&amp;G1529</f>
        <v>Dental Clinics|C|Good</v>
      </c>
      <c r="J1529" s="1" t="s">
        <v>883</v>
      </c>
    </row>
    <row r="1530" customFormat="false" ht="12" hidden="false" customHeight="true" outlineLevel="0" collapsed="false">
      <c r="B1530" s="1" t="s">
        <v>881</v>
      </c>
      <c r="C1530" s="1" t="s">
        <v>882</v>
      </c>
      <c r="D1530" s="1" t="s">
        <v>506</v>
      </c>
      <c r="E1530" s="1" t="s">
        <v>537</v>
      </c>
      <c r="F1530" s="1" t="s">
        <v>463</v>
      </c>
      <c r="G1530" s="1" t="s">
        <v>279</v>
      </c>
      <c r="H1530" s="1" t="n">
        <v>202</v>
      </c>
      <c r="I1530" s="1" t="str">
        <f aca="false">B1530&amp;"|"&amp;F1530&amp;"|"&amp;G1530</f>
        <v>Dental Clinics|C|Average</v>
      </c>
      <c r="J1530" s="1" t="s">
        <v>883</v>
      </c>
    </row>
    <row r="1531" customFormat="false" ht="12" hidden="false" customHeight="true" outlineLevel="0" collapsed="false">
      <c r="B1531" s="1" t="s">
        <v>881</v>
      </c>
      <c r="C1531" s="1" t="s">
        <v>882</v>
      </c>
      <c r="D1531" s="1" t="s">
        <v>506</v>
      </c>
      <c r="E1531" s="1" t="s">
        <v>537</v>
      </c>
      <c r="F1531" s="1" t="s">
        <v>463</v>
      </c>
      <c r="G1531" s="1" t="s">
        <v>480</v>
      </c>
      <c r="H1531" s="1" t="n">
        <v>154</v>
      </c>
      <c r="I1531" s="1" t="str">
        <f aca="false">B1531&amp;"|"&amp;F1531&amp;"|"&amp;G1531</f>
        <v>Dental Clinics|C|Low Cost</v>
      </c>
      <c r="J1531" s="1" t="s">
        <v>883</v>
      </c>
    </row>
    <row r="1532" customFormat="false" ht="12" hidden="false" customHeight="true" outlineLevel="0" collapsed="false">
      <c r="B1532" s="1" t="s">
        <v>881</v>
      </c>
      <c r="C1532" s="1" t="s">
        <v>882</v>
      </c>
      <c r="D1532" s="1" t="s">
        <v>506</v>
      </c>
      <c r="E1532" s="1" t="s">
        <v>537</v>
      </c>
      <c r="F1532" s="1" t="s">
        <v>468</v>
      </c>
      <c r="G1532" s="1" t="s">
        <v>485</v>
      </c>
      <c r="H1532" s="1" t="n">
        <v>332</v>
      </c>
      <c r="I1532" s="1" t="str">
        <f aca="false">B1532&amp;"|"&amp;F1532&amp;"|"&amp;G1532</f>
        <v>Dental Clinics|D|Excellent</v>
      </c>
      <c r="J1532" s="1" t="s">
        <v>883</v>
      </c>
    </row>
    <row r="1533" customFormat="false" ht="12" hidden="false" customHeight="true" outlineLevel="0" collapsed="false">
      <c r="B1533" s="1" t="s">
        <v>881</v>
      </c>
      <c r="C1533" s="1" t="s">
        <v>882</v>
      </c>
      <c r="D1533" s="1" t="s">
        <v>506</v>
      </c>
      <c r="E1533" s="1" t="s">
        <v>537</v>
      </c>
      <c r="F1533" s="1" t="s">
        <v>468</v>
      </c>
      <c r="G1533" s="1" t="s">
        <v>483</v>
      </c>
      <c r="H1533" s="1" t="n">
        <v>254</v>
      </c>
      <c r="I1533" s="1" t="str">
        <f aca="false">B1533&amp;"|"&amp;F1533&amp;"|"&amp;G1533</f>
        <v>Dental Clinics|D|Good</v>
      </c>
      <c r="J1533" s="1" t="s">
        <v>883</v>
      </c>
    </row>
    <row r="1534" customFormat="false" ht="12" hidden="false" customHeight="true" outlineLevel="0" collapsed="false">
      <c r="B1534" s="1" t="s">
        <v>881</v>
      </c>
      <c r="C1534" s="1" t="s">
        <v>882</v>
      </c>
      <c r="D1534" s="1" t="s">
        <v>506</v>
      </c>
      <c r="E1534" s="1" t="s">
        <v>537</v>
      </c>
      <c r="F1534" s="1" t="s">
        <v>468</v>
      </c>
      <c r="G1534" s="1" t="s">
        <v>279</v>
      </c>
      <c r="H1534" s="1" t="n">
        <v>194</v>
      </c>
      <c r="I1534" s="1" t="str">
        <f aca="false">B1534&amp;"|"&amp;F1534&amp;"|"&amp;G1534</f>
        <v>Dental Clinics|D|Average</v>
      </c>
      <c r="J1534" s="1" t="s">
        <v>883</v>
      </c>
    </row>
    <row r="1535" customFormat="false" ht="12" hidden="false" customHeight="true" outlineLevel="0" collapsed="false">
      <c r="B1535" s="1" t="s">
        <v>881</v>
      </c>
      <c r="C1535" s="1" t="s">
        <v>882</v>
      </c>
      <c r="D1535" s="1" t="s">
        <v>506</v>
      </c>
      <c r="E1535" s="1" t="s">
        <v>537</v>
      </c>
      <c r="F1535" s="1" t="s">
        <v>468</v>
      </c>
      <c r="G1535" s="1" t="s">
        <v>480</v>
      </c>
      <c r="H1535" s="1" t="n">
        <v>147</v>
      </c>
      <c r="I1535" s="1" t="str">
        <f aca="false">B1535&amp;"|"&amp;F1535&amp;"|"&amp;G1535</f>
        <v>Dental Clinics|D|Low Cost</v>
      </c>
      <c r="J1535" s="1" t="s">
        <v>883</v>
      </c>
    </row>
    <row r="1536" customFormat="false" ht="12" hidden="false" customHeight="true" outlineLevel="0" collapsed="false">
      <c r="B1536" s="1" t="s">
        <v>881</v>
      </c>
      <c r="C1536" s="1" t="s">
        <v>882</v>
      </c>
      <c r="D1536" s="1" t="s">
        <v>506</v>
      </c>
      <c r="E1536" s="1" t="s">
        <v>537</v>
      </c>
      <c r="F1536" s="1" t="s">
        <v>566</v>
      </c>
      <c r="G1536" s="1" t="s">
        <v>279</v>
      </c>
      <c r="H1536" s="1" t="n">
        <v>181</v>
      </c>
      <c r="I1536" s="1" t="str">
        <f aca="false">B1536&amp;"|"&amp;F1536&amp;"|"&amp;G1536</f>
        <v>Dental Clinics|DPOLE|Average</v>
      </c>
      <c r="J1536" s="1" t="s">
        <v>883</v>
      </c>
    </row>
    <row r="1537" customFormat="false" ht="12" hidden="false" customHeight="true" outlineLevel="0" collapsed="false">
      <c r="B1537" s="1" t="s">
        <v>881</v>
      </c>
      <c r="C1537" s="1" t="s">
        <v>882</v>
      </c>
      <c r="D1537" s="1" t="s">
        <v>506</v>
      </c>
      <c r="E1537" s="1" t="s">
        <v>537</v>
      </c>
      <c r="F1537" s="1" t="s">
        <v>566</v>
      </c>
      <c r="G1537" s="1" t="s">
        <v>480</v>
      </c>
      <c r="H1537" s="1" t="n">
        <v>135</v>
      </c>
      <c r="I1537" s="1" t="str">
        <f aca="false">B1537&amp;"|"&amp;F1537&amp;"|"&amp;G1537</f>
        <v>Dental Clinics|DPOLE|Low Cost</v>
      </c>
      <c r="J1537" s="1" t="s">
        <v>883</v>
      </c>
    </row>
    <row r="1538" customFormat="false" ht="12" hidden="false" customHeight="true" outlineLevel="0" collapsed="false">
      <c r="B1538" s="1" t="s">
        <v>881</v>
      </c>
      <c r="C1538" s="1" t="s">
        <v>882</v>
      </c>
      <c r="D1538" s="1" t="s">
        <v>506</v>
      </c>
      <c r="E1538" s="1" t="s">
        <v>537</v>
      </c>
      <c r="F1538" s="1" t="s">
        <v>473</v>
      </c>
      <c r="G1538" s="1" t="s">
        <v>483</v>
      </c>
      <c r="H1538" s="1" t="n">
        <v>246</v>
      </c>
      <c r="I1538" s="1" t="str">
        <f aca="false">B1538&amp;"|"&amp;F1538&amp;"|"&amp;G1538</f>
        <v>Dental Clinics|S|Good</v>
      </c>
      <c r="J1538" s="1" t="s">
        <v>883</v>
      </c>
    </row>
    <row r="1539" customFormat="false" ht="12" hidden="false" customHeight="true" outlineLevel="0" collapsed="false">
      <c r="B1539" s="1" t="s">
        <v>881</v>
      </c>
      <c r="C1539" s="1" t="s">
        <v>882</v>
      </c>
      <c r="D1539" s="1" t="s">
        <v>506</v>
      </c>
      <c r="E1539" s="1" t="s">
        <v>537</v>
      </c>
      <c r="F1539" s="1" t="s">
        <v>473</v>
      </c>
      <c r="G1539" s="1" t="s">
        <v>279</v>
      </c>
      <c r="H1539" s="1" t="n">
        <v>185</v>
      </c>
      <c r="I1539" s="1" t="str">
        <f aca="false">B1539&amp;"|"&amp;F1539&amp;"|"&amp;G1539</f>
        <v>Dental Clinics|S|Average</v>
      </c>
      <c r="J1539" s="1" t="s">
        <v>883</v>
      </c>
    </row>
    <row r="1540" customFormat="false" ht="12" hidden="false" customHeight="true" outlineLevel="0" collapsed="false">
      <c r="B1540" s="1" t="s">
        <v>881</v>
      </c>
      <c r="C1540" s="1" t="s">
        <v>882</v>
      </c>
      <c r="D1540" s="1" t="s">
        <v>506</v>
      </c>
      <c r="E1540" s="1" t="s">
        <v>537</v>
      </c>
      <c r="F1540" s="1" t="s">
        <v>473</v>
      </c>
      <c r="G1540" s="1" t="s">
        <v>480</v>
      </c>
      <c r="H1540" s="1" t="n">
        <v>139</v>
      </c>
      <c r="I1540" s="1" t="str">
        <f aca="false">B1540&amp;"|"&amp;F1540&amp;"|"&amp;G1540</f>
        <v>Dental Clinics|S|Low Cost</v>
      </c>
      <c r="J1540" s="1" t="s">
        <v>883</v>
      </c>
    </row>
    <row r="1541" customFormat="false" ht="12" hidden="false" customHeight="true" outlineLevel="0" collapsed="false">
      <c r="B1541" s="1" t="s">
        <v>884</v>
      </c>
      <c r="C1541" s="1" t="s">
        <v>885</v>
      </c>
      <c r="D1541" s="1" t="s">
        <v>506</v>
      </c>
      <c r="E1541" s="1" t="s">
        <v>537</v>
      </c>
      <c r="F1541" s="1" t="s">
        <v>523</v>
      </c>
      <c r="G1541" s="1" t="s">
        <v>483</v>
      </c>
      <c r="H1541" s="1" t="n">
        <v>244</v>
      </c>
      <c r="I1541" s="1" t="str">
        <f aca="false">B1541&amp;"|"&amp;F1541&amp;"|"&amp;G1541</f>
        <v>Urgent Care Clinics|A-B|Good</v>
      </c>
      <c r="J1541" s="1" t="s">
        <v>883</v>
      </c>
    </row>
    <row r="1542" customFormat="false" ht="12" hidden="false" customHeight="true" outlineLevel="0" collapsed="false">
      <c r="B1542" s="1" t="s">
        <v>884</v>
      </c>
      <c r="C1542" s="1" t="s">
        <v>885</v>
      </c>
      <c r="D1542" s="1" t="s">
        <v>506</v>
      </c>
      <c r="E1542" s="1" t="s">
        <v>537</v>
      </c>
      <c r="F1542" s="1" t="s">
        <v>523</v>
      </c>
      <c r="G1542" s="1" t="s">
        <v>279</v>
      </c>
      <c r="H1542" s="1" t="n">
        <v>201</v>
      </c>
      <c r="I1542" s="1" t="str">
        <f aca="false">B1542&amp;"|"&amp;F1542&amp;"|"&amp;G1542</f>
        <v>Urgent Care Clinics|A-B|Average</v>
      </c>
      <c r="J1542" s="1" t="s">
        <v>883</v>
      </c>
    </row>
    <row r="1543" customFormat="false" ht="12" hidden="false" customHeight="true" outlineLevel="0" collapsed="false">
      <c r="B1543" s="1" t="s">
        <v>884</v>
      </c>
      <c r="C1543" s="1" t="s">
        <v>885</v>
      </c>
      <c r="D1543" s="1" t="s">
        <v>506</v>
      </c>
      <c r="E1543" s="1" t="s">
        <v>537</v>
      </c>
      <c r="F1543" s="1" t="s">
        <v>463</v>
      </c>
      <c r="G1543" s="1" t="s">
        <v>485</v>
      </c>
      <c r="H1543" s="1" t="n">
        <v>248</v>
      </c>
      <c r="I1543" s="1" t="str">
        <f aca="false">B1543&amp;"|"&amp;F1543&amp;"|"&amp;G1543</f>
        <v>Urgent Care Clinics|C|Excellent</v>
      </c>
      <c r="J1543" s="1" t="s">
        <v>883</v>
      </c>
    </row>
    <row r="1544" customFormat="false" ht="12" hidden="false" customHeight="true" outlineLevel="0" collapsed="false">
      <c r="B1544" s="1" t="s">
        <v>884</v>
      </c>
      <c r="C1544" s="1" t="s">
        <v>885</v>
      </c>
      <c r="D1544" s="1" t="s">
        <v>506</v>
      </c>
      <c r="E1544" s="1" t="s">
        <v>537</v>
      </c>
      <c r="F1544" s="1" t="s">
        <v>463</v>
      </c>
      <c r="G1544" s="1" t="s">
        <v>483</v>
      </c>
      <c r="H1544" s="1" t="n">
        <v>190</v>
      </c>
      <c r="I1544" s="1" t="str">
        <f aca="false">B1544&amp;"|"&amp;F1544&amp;"|"&amp;G1544</f>
        <v>Urgent Care Clinics|C|Good</v>
      </c>
      <c r="J1544" s="1" t="s">
        <v>883</v>
      </c>
    </row>
    <row r="1545" customFormat="false" ht="12" hidden="false" customHeight="true" outlineLevel="0" collapsed="false">
      <c r="B1545" s="1" t="s">
        <v>884</v>
      </c>
      <c r="C1545" s="1" t="s">
        <v>885</v>
      </c>
      <c r="D1545" s="1" t="s">
        <v>506</v>
      </c>
      <c r="E1545" s="1" t="s">
        <v>537</v>
      </c>
      <c r="F1545" s="1" t="s">
        <v>463</v>
      </c>
      <c r="G1545" s="1" t="s">
        <v>279</v>
      </c>
      <c r="H1545" s="1" t="n">
        <v>148</v>
      </c>
      <c r="I1545" s="1" t="str">
        <f aca="false">B1545&amp;"|"&amp;F1545&amp;"|"&amp;G1545</f>
        <v>Urgent Care Clinics|C|Average</v>
      </c>
      <c r="J1545" s="1" t="s">
        <v>883</v>
      </c>
    </row>
    <row r="1546" customFormat="false" ht="12" hidden="false" customHeight="true" outlineLevel="0" collapsed="false">
      <c r="B1546" s="1" t="s">
        <v>884</v>
      </c>
      <c r="C1546" s="1" t="s">
        <v>885</v>
      </c>
      <c r="D1546" s="1" t="s">
        <v>506</v>
      </c>
      <c r="E1546" s="1" t="s">
        <v>537</v>
      </c>
      <c r="F1546" s="1" t="s">
        <v>468</v>
      </c>
      <c r="G1546" s="1" t="s">
        <v>485</v>
      </c>
      <c r="H1546" s="1" t="n">
        <v>236</v>
      </c>
      <c r="I1546" s="1" t="str">
        <f aca="false">B1546&amp;"|"&amp;F1546&amp;"|"&amp;G1546</f>
        <v>Urgent Care Clinics|D|Excellent</v>
      </c>
      <c r="J1546" s="1" t="s">
        <v>883</v>
      </c>
    </row>
    <row r="1547" customFormat="false" ht="12" hidden="false" customHeight="true" outlineLevel="0" collapsed="false">
      <c r="B1547" s="1" t="s">
        <v>884</v>
      </c>
      <c r="C1547" s="1" t="s">
        <v>885</v>
      </c>
      <c r="D1547" s="1" t="s">
        <v>506</v>
      </c>
      <c r="E1547" s="1" t="s">
        <v>537</v>
      </c>
      <c r="F1547" s="1" t="s">
        <v>468</v>
      </c>
      <c r="G1547" s="1" t="s">
        <v>483</v>
      </c>
      <c r="H1547" s="1" t="n">
        <v>180</v>
      </c>
      <c r="I1547" s="1" t="str">
        <f aca="false">B1547&amp;"|"&amp;F1547&amp;"|"&amp;G1547</f>
        <v>Urgent Care Clinics|D|Good</v>
      </c>
      <c r="J1547" s="1" t="s">
        <v>883</v>
      </c>
    </row>
    <row r="1548" customFormat="false" ht="12" hidden="false" customHeight="true" outlineLevel="0" collapsed="false">
      <c r="B1548" s="1" t="s">
        <v>884</v>
      </c>
      <c r="C1548" s="1" t="s">
        <v>885</v>
      </c>
      <c r="D1548" s="1" t="s">
        <v>506</v>
      </c>
      <c r="E1548" s="1" t="s">
        <v>537</v>
      </c>
      <c r="F1548" s="1" t="s">
        <v>468</v>
      </c>
      <c r="G1548" s="1" t="s">
        <v>279</v>
      </c>
      <c r="H1548" s="1" t="n">
        <v>140</v>
      </c>
      <c r="I1548" s="1" t="str">
        <f aca="false">B1548&amp;"|"&amp;F1548&amp;"|"&amp;G1548</f>
        <v>Urgent Care Clinics|D|Average</v>
      </c>
      <c r="J1548" s="1" t="s">
        <v>883</v>
      </c>
    </row>
    <row r="1549" customFormat="false" ht="12" hidden="false" customHeight="true" outlineLevel="0" collapsed="false">
      <c r="B1549" s="1" t="s">
        <v>884</v>
      </c>
      <c r="C1549" s="1" t="s">
        <v>885</v>
      </c>
      <c r="D1549" s="1" t="s">
        <v>506</v>
      </c>
      <c r="E1549" s="1" t="s">
        <v>537</v>
      </c>
      <c r="F1549" s="1" t="s">
        <v>473</v>
      </c>
      <c r="G1549" s="1" t="s">
        <v>279</v>
      </c>
      <c r="H1549" s="1" t="n">
        <v>135</v>
      </c>
      <c r="I1549" s="1" t="str">
        <f aca="false">B1549&amp;"|"&amp;F1549&amp;"|"&amp;G1549</f>
        <v>Urgent Care Clinics|S|Average</v>
      </c>
      <c r="J1549" s="1" t="s">
        <v>883</v>
      </c>
    </row>
    <row r="1550" customFormat="false" ht="12" hidden="false" customHeight="true" outlineLevel="0" collapsed="false">
      <c r="B1550" s="1" t="s">
        <v>886</v>
      </c>
      <c r="C1550" s="1" t="s">
        <v>887</v>
      </c>
      <c r="D1550" s="1" t="s">
        <v>506</v>
      </c>
      <c r="E1550" s="1" t="s">
        <v>539</v>
      </c>
      <c r="F1550" s="1" t="s">
        <v>456</v>
      </c>
      <c r="G1550" s="1" t="s">
        <v>485</v>
      </c>
      <c r="H1550" s="1" t="n">
        <v>735</v>
      </c>
      <c r="I1550" s="1" t="str">
        <f aca="false">B1550&amp;"|"&amp;F1550&amp;"|"&amp;G1550</f>
        <v>General Hospitals|A|Excellent</v>
      </c>
      <c r="J1550" s="1" t="s">
        <v>888</v>
      </c>
    </row>
    <row r="1551" customFormat="false" ht="12" hidden="false" customHeight="true" outlineLevel="0" collapsed="false">
      <c r="B1551" s="1" t="s">
        <v>886</v>
      </c>
      <c r="C1551" s="1" t="s">
        <v>887</v>
      </c>
      <c r="D1551" s="1" t="s">
        <v>506</v>
      </c>
      <c r="E1551" s="1" t="s">
        <v>539</v>
      </c>
      <c r="F1551" s="1" t="s">
        <v>456</v>
      </c>
      <c r="G1551" s="1" t="s">
        <v>483</v>
      </c>
      <c r="H1551" s="1" t="n">
        <v>560</v>
      </c>
      <c r="I1551" s="1" t="str">
        <f aca="false">B1551&amp;"|"&amp;F1551&amp;"|"&amp;G1551</f>
        <v>General Hospitals|A|Good</v>
      </c>
      <c r="J1551" s="1" t="s">
        <v>888</v>
      </c>
    </row>
    <row r="1552" customFormat="false" ht="12" hidden="false" customHeight="true" outlineLevel="0" collapsed="false">
      <c r="B1552" s="1" t="s">
        <v>886</v>
      </c>
      <c r="C1552" s="1" t="s">
        <v>887</v>
      </c>
      <c r="D1552" s="1" t="s">
        <v>506</v>
      </c>
      <c r="E1552" s="1" t="s">
        <v>539</v>
      </c>
      <c r="F1552" s="1" t="s">
        <v>456</v>
      </c>
      <c r="G1552" s="1" t="s">
        <v>279</v>
      </c>
      <c r="H1552" s="1" t="n">
        <v>430</v>
      </c>
      <c r="I1552" s="1" t="str">
        <f aca="false">B1552&amp;"|"&amp;F1552&amp;"|"&amp;G1552</f>
        <v>General Hospitals|A|Average</v>
      </c>
      <c r="J1552" s="1" t="s">
        <v>888</v>
      </c>
    </row>
    <row r="1553" customFormat="false" ht="12" hidden="false" customHeight="true" outlineLevel="0" collapsed="false">
      <c r="B1553" s="1" t="s">
        <v>886</v>
      </c>
      <c r="C1553" s="1" t="s">
        <v>887</v>
      </c>
      <c r="D1553" s="1" t="s">
        <v>506</v>
      </c>
      <c r="E1553" s="1" t="s">
        <v>539</v>
      </c>
      <c r="F1553" s="1" t="s">
        <v>456</v>
      </c>
      <c r="G1553" s="1" t="s">
        <v>480</v>
      </c>
      <c r="H1553" s="1" t="n">
        <v>331</v>
      </c>
      <c r="I1553" s="1" t="str">
        <f aca="false">B1553&amp;"|"&amp;F1553&amp;"|"&amp;G1553</f>
        <v>General Hospitals|A|Low Cost</v>
      </c>
      <c r="J1553" s="1" t="s">
        <v>888</v>
      </c>
    </row>
    <row r="1554" customFormat="false" ht="12" hidden="false" customHeight="true" outlineLevel="0" collapsed="false">
      <c r="B1554" s="1" t="s">
        <v>886</v>
      </c>
      <c r="C1554" s="1" t="s">
        <v>887</v>
      </c>
      <c r="D1554" s="1" t="s">
        <v>506</v>
      </c>
      <c r="E1554" s="1" t="s">
        <v>539</v>
      </c>
      <c r="F1554" s="1" t="s">
        <v>461</v>
      </c>
      <c r="G1554" s="1" t="s">
        <v>485</v>
      </c>
      <c r="H1554" s="1" t="n">
        <v>675</v>
      </c>
      <c r="I1554" s="1" t="str">
        <f aca="false">B1554&amp;"|"&amp;F1554&amp;"|"&amp;G1554</f>
        <v>General Hospitals|B|Excellent</v>
      </c>
      <c r="J1554" s="1" t="s">
        <v>888</v>
      </c>
    </row>
    <row r="1555" customFormat="false" ht="12" hidden="false" customHeight="true" outlineLevel="0" collapsed="false">
      <c r="B1555" s="1" t="s">
        <v>886</v>
      </c>
      <c r="C1555" s="1" t="s">
        <v>887</v>
      </c>
      <c r="D1555" s="1" t="s">
        <v>506</v>
      </c>
      <c r="E1555" s="1" t="s">
        <v>539</v>
      </c>
      <c r="F1555" s="1" t="s">
        <v>461</v>
      </c>
      <c r="G1555" s="1" t="s">
        <v>483</v>
      </c>
      <c r="H1555" s="1" t="n">
        <v>520</v>
      </c>
      <c r="I1555" s="1" t="str">
        <f aca="false">B1555&amp;"|"&amp;F1555&amp;"|"&amp;G1555</f>
        <v>General Hospitals|B|Good</v>
      </c>
      <c r="J1555" s="1" t="s">
        <v>888</v>
      </c>
    </row>
    <row r="1556" customFormat="false" ht="12" hidden="false" customHeight="true" outlineLevel="0" collapsed="false">
      <c r="B1556" s="1" t="s">
        <v>886</v>
      </c>
      <c r="C1556" s="1" t="s">
        <v>887</v>
      </c>
      <c r="D1556" s="1" t="s">
        <v>506</v>
      </c>
      <c r="E1556" s="1" t="s">
        <v>539</v>
      </c>
      <c r="F1556" s="1" t="s">
        <v>461</v>
      </c>
      <c r="G1556" s="1" t="s">
        <v>279</v>
      </c>
      <c r="H1556" s="1" t="n">
        <v>398</v>
      </c>
      <c r="I1556" s="1" t="str">
        <f aca="false">B1556&amp;"|"&amp;F1556&amp;"|"&amp;G1556</f>
        <v>General Hospitals|B|Average</v>
      </c>
      <c r="J1556" s="1" t="s">
        <v>888</v>
      </c>
    </row>
    <row r="1557" customFormat="false" ht="12" hidden="false" customHeight="true" outlineLevel="0" collapsed="false">
      <c r="B1557" s="1" t="s">
        <v>886</v>
      </c>
      <c r="C1557" s="1" t="s">
        <v>887</v>
      </c>
      <c r="D1557" s="1" t="s">
        <v>506</v>
      </c>
      <c r="E1557" s="1" t="s">
        <v>539</v>
      </c>
      <c r="F1557" s="1" t="s">
        <v>461</v>
      </c>
      <c r="G1557" s="1" t="s">
        <v>480</v>
      </c>
      <c r="H1557" s="1" t="n">
        <v>307</v>
      </c>
      <c r="I1557" s="1" t="str">
        <f aca="false">B1557&amp;"|"&amp;F1557&amp;"|"&amp;G1557</f>
        <v>General Hospitals|B|Low Cost</v>
      </c>
      <c r="J1557" s="1" t="s">
        <v>888</v>
      </c>
    </row>
    <row r="1558" customFormat="false" ht="12" hidden="false" customHeight="true" outlineLevel="0" collapsed="false">
      <c r="B1558" s="1" t="s">
        <v>886</v>
      </c>
      <c r="C1558" s="1" t="s">
        <v>887</v>
      </c>
      <c r="D1558" s="1" t="s">
        <v>506</v>
      </c>
      <c r="E1558" s="1" t="s">
        <v>539</v>
      </c>
      <c r="F1558" s="1" t="s">
        <v>463</v>
      </c>
      <c r="G1558" s="1" t="s">
        <v>485</v>
      </c>
      <c r="H1558" s="1" t="n">
        <v>540</v>
      </c>
      <c r="I1558" s="1" t="str">
        <f aca="false">B1558&amp;"|"&amp;F1558&amp;"|"&amp;G1558</f>
        <v>General Hospitals|C|Excellent</v>
      </c>
      <c r="J1558" s="1" t="s">
        <v>888</v>
      </c>
    </row>
    <row r="1559" customFormat="false" ht="12" hidden="false" customHeight="true" outlineLevel="0" collapsed="false">
      <c r="B1559" s="1" t="s">
        <v>886</v>
      </c>
      <c r="C1559" s="1" t="s">
        <v>887</v>
      </c>
      <c r="D1559" s="1" t="s">
        <v>506</v>
      </c>
      <c r="E1559" s="1" t="s">
        <v>539</v>
      </c>
      <c r="F1559" s="1" t="s">
        <v>463</v>
      </c>
      <c r="G1559" s="1" t="s">
        <v>483</v>
      </c>
      <c r="H1559" s="1" t="n">
        <v>403</v>
      </c>
      <c r="I1559" s="1" t="str">
        <f aca="false">B1559&amp;"|"&amp;F1559&amp;"|"&amp;G1559</f>
        <v>General Hospitals|C|Good</v>
      </c>
      <c r="J1559" s="1" t="s">
        <v>888</v>
      </c>
    </row>
    <row r="1560" customFormat="false" ht="12" hidden="false" customHeight="true" outlineLevel="0" collapsed="false">
      <c r="B1560" s="1" t="s">
        <v>886</v>
      </c>
      <c r="C1560" s="1" t="s">
        <v>887</v>
      </c>
      <c r="D1560" s="1" t="s">
        <v>506</v>
      </c>
      <c r="E1560" s="1" t="s">
        <v>539</v>
      </c>
      <c r="F1560" s="1" t="s">
        <v>463</v>
      </c>
      <c r="G1560" s="1" t="s">
        <v>279</v>
      </c>
      <c r="H1560" s="1" t="n">
        <v>303</v>
      </c>
      <c r="I1560" s="1" t="str">
        <f aca="false">B1560&amp;"|"&amp;F1560&amp;"|"&amp;G1560</f>
        <v>General Hospitals|C|Average</v>
      </c>
      <c r="J1560" s="1" t="s">
        <v>888</v>
      </c>
    </row>
    <row r="1561" customFormat="false" ht="12" hidden="false" customHeight="true" outlineLevel="0" collapsed="false">
      <c r="B1561" s="1" t="s">
        <v>886</v>
      </c>
      <c r="C1561" s="1" t="s">
        <v>887</v>
      </c>
      <c r="D1561" s="1" t="s">
        <v>506</v>
      </c>
      <c r="E1561" s="1" t="s">
        <v>539</v>
      </c>
      <c r="F1561" s="1" t="s">
        <v>463</v>
      </c>
      <c r="G1561" s="1" t="s">
        <v>480</v>
      </c>
      <c r="H1561" s="1" t="n">
        <v>225</v>
      </c>
      <c r="I1561" s="1" t="str">
        <f aca="false">B1561&amp;"|"&amp;F1561&amp;"|"&amp;G1561</f>
        <v>General Hospitals|C|Low Cost</v>
      </c>
      <c r="J1561" s="1" t="s">
        <v>888</v>
      </c>
    </row>
    <row r="1562" customFormat="false" ht="12" hidden="false" customHeight="true" outlineLevel="0" collapsed="false">
      <c r="B1562" s="1" t="s">
        <v>886</v>
      </c>
      <c r="C1562" s="1" t="s">
        <v>887</v>
      </c>
      <c r="D1562" s="1" t="s">
        <v>506</v>
      </c>
      <c r="E1562" s="1" t="s">
        <v>539</v>
      </c>
      <c r="F1562" s="1" t="s">
        <v>468</v>
      </c>
      <c r="G1562" s="1" t="s">
        <v>483</v>
      </c>
      <c r="H1562" s="1" t="n">
        <v>382</v>
      </c>
      <c r="I1562" s="1" t="str">
        <f aca="false">B1562&amp;"|"&amp;F1562&amp;"|"&amp;G1562</f>
        <v>General Hospitals|D|Good</v>
      </c>
      <c r="J1562" s="1" t="s">
        <v>888</v>
      </c>
    </row>
    <row r="1563" customFormat="false" ht="12" hidden="false" customHeight="true" outlineLevel="0" collapsed="false">
      <c r="B1563" s="1" t="s">
        <v>886</v>
      </c>
      <c r="C1563" s="1" t="s">
        <v>887</v>
      </c>
      <c r="D1563" s="1" t="s">
        <v>506</v>
      </c>
      <c r="E1563" s="1" t="s">
        <v>539</v>
      </c>
      <c r="F1563" s="1" t="s">
        <v>468</v>
      </c>
      <c r="G1563" s="1" t="s">
        <v>279</v>
      </c>
      <c r="H1563" s="1" t="n">
        <v>289</v>
      </c>
      <c r="I1563" s="1" t="str">
        <f aca="false">B1563&amp;"|"&amp;F1563&amp;"|"&amp;G1563</f>
        <v>General Hospitals|D|Average</v>
      </c>
      <c r="J1563" s="1" t="s">
        <v>888</v>
      </c>
    </row>
    <row r="1564" customFormat="false" ht="12" hidden="false" customHeight="true" outlineLevel="0" collapsed="false">
      <c r="B1564" s="1" t="s">
        <v>886</v>
      </c>
      <c r="C1564" s="1" t="s">
        <v>887</v>
      </c>
      <c r="D1564" s="1" t="s">
        <v>506</v>
      </c>
      <c r="E1564" s="1" t="s">
        <v>539</v>
      </c>
      <c r="F1564" s="1" t="s">
        <v>468</v>
      </c>
      <c r="G1564" s="1" t="s">
        <v>480</v>
      </c>
      <c r="H1564" s="1" t="n">
        <v>218</v>
      </c>
      <c r="I1564" s="1" t="str">
        <f aca="false">B1564&amp;"|"&amp;F1564&amp;"|"&amp;G1564</f>
        <v>General Hospitals|D|Low Cost</v>
      </c>
      <c r="J1564" s="1" t="s">
        <v>888</v>
      </c>
    </row>
    <row r="1565" customFormat="false" ht="12" hidden="false" customHeight="true" outlineLevel="0" collapsed="false">
      <c r="B1565" s="1" t="s">
        <v>886</v>
      </c>
      <c r="C1565" s="1" t="s">
        <v>887</v>
      </c>
      <c r="D1565" s="1" t="s">
        <v>506</v>
      </c>
      <c r="E1565" s="1" t="s">
        <v>539</v>
      </c>
      <c r="F1565" s="1" t="s">
        <v>473</v>
      </c>
      <c r="G1565" s="1" t="s">
        <v>480</v>
      </c>
      <c r="H1565" s="1" t="n">
        <v>215</v>
      </c>
      <c r="I1565" s="1" t="str">
        <f aca="false">B1565&amp;"|"&amp;F1565&amp;"|"&amp;G1565</f>
        <v>General Hospitals|S|Low Cost</v>
      </c>
      <c r="J1565" s="1" t="s">
        <v>888</v>
      </c>
    </row>
    <row r="1566" customFormat="false" ht="12" hidden="false" customHeight="true" outlineLevel="0" collapsed="false">
      <c r="B1566" s="1" t="s">
        <v>889</v>
      </c>
      <c r="C1566" s="1" t="s">
        <v>890</v>
      </c>
      <c r="D1566" s="1" t="s">
        <v>506</v>
      </c>
      <c r="E1566" s="1" t="s">
        <v>543</v>
      </c>
      <c r="F1566" s="1" t="s">
        <v>523</v>
      </c>
      <c r="G1566" s="1" t="s">
        <v>483</v>
      </c>
      <c r="H1566" s="1" t="n">
        <v>550</v>
      </c>
      <c r="I1566" s="1" t="str">
        <f aca="false">B1566&amp;"|"&amp;F1566&amp;"|"&amp;G1566</f>
        <v>Outpatient (Surgical) Centers|A-B|Good</v>
      </c>
      <c r="J1566" s="1" t="s">
        <v>891</v>
      </c>
    </row>
    <row r="1567" customFormat="false" ht="12" hidden="false" customHeight="true" outlineLevel="0" collapsed="false">
      <c r="B1567" s="1" t="s">
        <v>889</v>
      </c>
      <c r="C1567" s="1" t="s">
        <v>890</v>
      </c>
      <c r="D1567" s="1" t="s">
        <v>506</v>
      </c>
      <c r="E1567" s="1" t="s">
        <v>543</v>
      </c>
      <c r="F1567" s="1" t="s">
        <v>523</v>
      </c>
      <c r="G1567" s="1" t="s">
        <v>279</v>
      </c>
      <c r="H1567" s="1" t="n">
        <v>403</v>
      </c>
      <c r="I1567" s="1" t="str">
        <f aca="false">B1567&amp;"|"&amp;F1567&amp;"|"&amp;G1567</f>
        <v>Outpatient (Surgical) Centers|A-B|Average</v>
      </c>
      <c r="J1567" s="1" t="s">
        <v>891</v>
      </c>
    </row>
    <row r="1568" customFormat="false" ht="12" hidden="false" customHeight="true" outlineLevel="0" collapsed="false">
      <c r="B1568" s="1" t="s">
        <v>889</v>
      </c>
      <c r="C1568" s="1" t="s">
        <v>890</v>
      </c>
      <c r="D1568" s="1" t="s">
        <v>506</v>
      </c>
      <c r="E1568" s="1" t="s">
        <v>543</v>
      </c>
      <c r="F1568" s="1" t="s">
        <v>463</v>
      </c>
      <c r="G1568" s="1" t="s">
        <v>485</v>
      </c>
      <c r="H1568" s="1" t="n">
        <v>620</v>
      </c>
      <c r="I1568" s="1" t="str">
        <f aca="false">B1568&amp;"|"&amp;F1568&amp;"|"&amp;G1568</f>
        <v>Outpatient (Surgical) Centers|C|Excellent</v>
      </c>
      <c r="J1568" s="1" t="s">
        <v>891</v>
      </c>
    </row>
    <row r="1569" customFormat="false" ht="12" hidden="false" customHeight="true" outlineLevel="0" collapsed="false">
      <c r="B1569" s="1" t="s">
        <v>889</v>
      </c>
      <c r="C1569" s="1" t="s">
        <v>890</v>
      </c>
      <c r="D1569" s="1" t="s">
        <v>506</v>
      </c>
      <c r="E1569" s="1" t="s">
        <v>543</v>
      </c>
      <c r="F1569" s="1" t="s">
        <v>463</v>
      </c>
      <c r="G1569" s="1" t="s">
        <v>483</v>
      </c>
      <c r="H1569" s="1" t="n">
        <v>429</v>
      </c>
      <c r="I1569" s="1" t="str">
        <f aca="false">B1569&amp;"|"&amp;F1569&amp;"|"&amp;G1569</f>
        <v>Outpatient (Surgical) Centers|C|Good</v>
      </c>
      <c r="J1569" s="1" t="s">
        <v>891</v>
      </c>
    </row>
    <row r="1570" customFormat="false" ht="12" hidden="false" customHeight="true" outlineLevel="0" collapsed="false">
      <c r="B1570" s="1" t="s">
        <v>889</v>
      </c>
      <c r="C1570" s="1" t="s">
        <v>890</v>
      </c>
      <c r="D1570" s="1" t="s">
        <v>506</v>
      </c>
      <c r="E1570" s="1" t="s">
        <v>543</v>
      </c>
      <c r="F1570" s="1" t="s">
        <v>463</v>
      </c>
      <c r="G1570" s="1" t="s">
        <v>279</v>
      </c>
      <c r="H1570" s="1" t="n">
        <v>298</v>
      </c>
      <c r="I1570" s="1" t="str">
        <f aca="false">B1570&amp;"|"&amp;F1570&amp;"|"&amp;G1570</f>
        <v>Outpatient (Surgical) Centers|C|Average</v>
      </c>
      <c r="J1570" s="1" t="s">
        <v>891</v>
      </c>
    </row>
    <row r="1571" customFormat="false" ht="12" hidden="false" customHeight="true" outlineLevel="0" collapsed="false">
      <c r="B1571" s="1" t="s">
        <v>889</v>
      </c>
      <c r="C1571" s="1" t="s">
        <v>890</v>
      </c>
      <c r="D1571" s="1" t="s">
        <v>506</v>
      </c>
      <c r="E1571" s="1" t="s">
        <v>543</v>
      </c>
      <c r="F1571" s="1" t="s">
        <v>463</v>
      </c>
      <c r="G1571" s="1" t="s">
        <v>555</v>
      </c>
      <c r="H1571" s="1" t="n">
        <v>249</v>
      </c>
      <c r="I1571" s="1" t="str">
        <f aca="false">B1571&amp;"|"&amp;F1571&amp;"|"&amp;G1571</f>
        <v>Outpatient (Surgical) Centers|C|Fair</v>
      </c>
      <c r="J1571" s="1" t="s">
        <v>891</v>
      </c>
    </row>
    <row r="1572" customFormat="false" ht="12" hidden="false" customHeight="true" outlineLevel="0" collapsed="false">
      <c r="B1572" s="1" t="s">
        <v>889</v>
      </c>
      <c r="C1572" s="1" t="s">
        <v>890</v>
      </c>
      <c r="D1572" s="1" t="s">
        <v>506</v>
      </c>
      <c r="E1572" s="1" t="s">
        <v>543</v>
      </c>
      <c r="F1572" s="1" t="s">
        <v>463</v>
      </c>
      <c r="G1572" s="1" t="s">
        <v>480</v>
      </c>
      <c r="H1572" s="1" t="n">
        <v>208</v>
      </c>
      <c r="I1572" s="1" t="str">
        <f aca="false">B1572&amp;"|"&amp;F1572&amp;"|"&amp;G1572</f>
        <v>Outpatient (Surgical) Centers|C|Low Cost</v>
      </c>
      <c r="J1572" s="1" t="s">
        <v>891</v>
      </c>
    </row>
    <row r="1573" customFormat="false" ht="12" hidden="false" customHeight="true" outlineLevel="0" collapsed="false">
      <c r="B1573" s="1" t="s">
        <v>889</v>
      </c>
      <c r="C1573" s="1" t="s">
        <v>890</v>
      </c>
      <c r="D1573" s="1" t="s">
        <v>506</v>
      </c>
      <c r="E1573" s="1" t="s">
        <v>543</v>
      </c>
      <c r="F1573" s="1" t="s">
        <v>468</v>
      </c>
      <c r="G1573" s="1" t="s">
        <v>485</v>
      </c>
      <c r="H1573" s="1" t="n">
        <v>585</v>
      </c>
      <c r="I1573" s="1" t="str">
        <f aca="false">B1573&amp;"|"&amp;F1573&amp;"|"&amp;G1573</f>
        <v>Outpatient (Surgical) Centers|D|Excellent</v>
      </c>
      <c r="J1573" s="1" t="s">
        <v>891</v>
      </c>
    </row>
    <row r="1574" customFormat="false" ht="12" hidden="false" customHeight="true" outlineLevel="0" collapsed="false">
      <c r="B1574" s="1" t="s">
        <v>889</v>
      </c>
      <c r="C1574" s="1" t="s">
        <v>890</v>
      </c>
      <c r="D1574" s="1" t="s">
        <v>506</v>
      </c>
      <c r="E1574" s="1" t="s">
        <v>543</v>
      </c>
      <c r="F1574" s="1" t="s">
        <v>468</v>
      </c>
      <c r="G1574" s="1" t="s">
        <v>483</v>
      </c>
      <c r="H1574" s="1" t="n">
        <v>409</v>
      </c>
      <c r="I1574" s="1" t="str">
        <f aca="false">B1574&amp;"|"&amp;F1574&amp;"|"&amp;G1574</f>
        <v>Outpatient (Surgical) Centers|D|Good</v>
      </c>
      <c r="J1574" s="1" t="s">
        <v>891</v>
      </c>
    </row>
    <row r="1575" customFormat="false" ht="12" hidden="false" customHeight="true" outlineLevel="0" collapsed="false">
      <c r="B1575" s="1" t="s">
        <v>889</v>
      </c>
      <c r="C1575" s="1" t="s">
        <v>890</v>
      </c>
      <c r="D1575" s="1" t="s">
        <v>506</v>
      </c>
      <c r="E1575" s="1" t="s">
        <v>543</v>
      </c>
      <c r="F1575" s="1" t="s">
        <v>468</v>
      </c>
      <c r="G1575" s="1" t="s">
        <v>279</v>
      </c>
      <c r="H1575" s="1" t="n">
        <v>287</v>
      </c>
      <c r="I1575" s="1" t="str">
        <f aca="false">B1575&amp;"|"&amp;F1575&amp;"|"&amp;G1575</f>
        <v>Outpatient (Surgical) Centers|D|Average</v>
      </c>
      <c r="J1575" s="1" t="s">
        <v>891</v>
      </c>
    </row>
    <row r="1576" customFormat="false" ht="12" hidden="false" customHeight="true" outlineLevel="0" collapsed="false">
      <c r="B1576" s="1" t="s">
        <v>889</v>
      </c>
      <c r="C1576" s="1" t="s">
        <v>890</v>
      </c>
      <c r="D1576" s="1" t="s">
        <v>506</v>
      </c>
      <c r="E1576" s="1" t="s">
        <v>543</v>
      </c>
      <c r="F1576" s="1" t="s">
        <v>468</v>
      </c>
      <c r="G1576" s="1" t="s">
        <v>555</v>
      </c>
      <c r="H1576" s="1" t="n">
        <v>240</v>
      </c>
      <c r="I1576" s="1" t="str">
        <f aca="false">B1576&amp;"|"&amp;F1576&amp;"|"&amp;G1576</f>
        <v>Outpatient (Surgical) Centers|D|Fair</v>
      </c>
      <c r="J1576" s="1" t="s">
        <v>891</v>
      </c>
    </row>
    <row r="1577" customFormat="false" ht="12" hidden="false" customHeight="true" outlineLevel="0" collapsed="false">
      <c r="B1577" s="1" t="s">
        <v>889</v>
      </c>
      <c r="C1577" s="1" t="s">
        <v>890</v>
      </c>
      <c r="D1577" s="1" t="s">
        <v>506</v>
      </c>
      <c r="E1577" s="1" t="s">
        <v>543</v>
      </c>
      <c r="F1577" s="1" t="s">
        <v>468</v>
      </c>
      <c r="G1577" s="1" t="s">
        <v>480</v>
      </c>
      <c r="H1577" s="1" t="n">
        <v>201</v>
      </c>
      <c r="I1577" s="1" t="str">
        <f aca="false">B1577&amp;"|"&amp;F1577&amp;"|"&amp;G1577</f>
        <v>Outpatient (Surgical) Centers|D|Low Cost</v>
      </c>
      <c r="J1577" s="1" t="s">
        <v>891</v>
      </c>
    </row>
    <row r="1578" customFormat="false" ht="12" hidden="false" customHeight="true" outlineLevel="0" collapsed="false">
      <c r="B1578" s="1" t="s">
        <v>889</v>
      </c>
      <c r="C1578" s="1" t="s">
        <v>890</v>
      </c>
      <c r="D1578" s="1" t="s">
        <v>506</v>
      </c>
      <c r="E1578" s="1" t="s">
        <v>543</v>
      </c>
      <c r="F1578" s="1" t="s">
        <v>473</v>
      </c>
      <c r="G1578" s="1" t="s">
        <v>279</v>
      </c>
      <c r="H1578" s="1" t="n">
        <v>284</v>
      </c>
      <c r="I1578" s="1" t="str">
        <f aca="false">B1578&amp;"|"&amp;F1578&amp;"|"&amp;G1578</f>
        <v>Outpatient (Surgical) Centers|S|Average</v>
      </c>
      <c r="J1578" s="1" t="s">
        <v>891</v>
      </c>
    </row>
    <row r="1579" customFormat="false" ht="12" hidden="false" customHeight="true" outlineLevel="0" collapsed="false">
      <c r="B1579" s="1" t="s">
        <v>889</v>
      </c>
      <c r="C1579" s="1" t="s">
        <v>890</v>
      </c>
      <c r="D1579" s="1" t="s">
        <v>506</v>
      </c>
      <c r="E1579" s="1" t="s">
        <v>543</v>
      </c>
      <c r="F1579" s="1" t="s">
        <v>473</v>
      </c>
      <c r="G1579" s="1" t="s">
        <v>555</v>
      </c>
      <c r="H1579" s="1" t="n">
        <v>238</v>
      </c>
      <c r="I1579" s="1" t="str">
        <f aca="false">B1579&amp;"|"&amp;F1579&amp;"|"&amp;G1579</f>
        <v>Outpatient (Surgical) Centers|S|Fair</v>
      </c>
      <c r="J1579" s="1" t="s">
        <v>891</v>
      </c>
    </row>
    <row r="1580" customFormat="false" ht="12" hidden="false" customHeight="true" outlineLevel="0" collapsed="false">
      <c r="B1580" s="1" t="s">
        <v>889</v>
      </c>
      <c r="C1580" s="1" t="s">
        <v>890</v>
      </c>
      <c r="D1580" s="1" t="s">
        <v>506</v>
      </c>
      <c r="E1580" s="1" t="s">
        <v>543</v>
      </c>
      <c r="F1580" s="1" t="s">
        <v>473</v>
      </c>
      <c r="G1580" s="1" t="s">
        <v>480</v>
      </c>
      <c r="H1580" s="1" t="n">
        <v>199</v>
      </c>
      <c r="I1580" s="1" t="str">
        <f aca="false">B1580&amp;"|"&amp;F1580&amp;"|"&amp;G1580</f>
        <v>Outpatient (Surgical) Centers|S|Low Cost</v>
      </c>
      <c r="J1580" s="1" t="s">
        <v>891</v>
      </c>
    </row>
    <row r="1581" customFormat="false" ht="12" hidden="false" customHeight="true" outlineLevel="0" collapsed="false">
      <c r="B1581" s="1" t="s">
        <v>892</v>
      </c>
      <c r="C1581" s="1" t="s">
        <v>893</v>
      </c>
      <c r="D1581" s="1" t="s">
        <v>506</v>
      </c>
      <c r="E1581" s="1" t="s">
        <v>547</v>
      </c>
      <c r="F1581" s="1" t="s">
        <v>456</v>
      </c>
      <c r="G1581" s="1" t="s">
        <v>483</v>
      </c>
      <c r="H1581" s="1" t="n">
        <v>393</v>
      </c>
      <c r="I1581" s="1" t="str">
        <f aca="false">B1581&amp;"|"&amp;F1581&amp;"|"&amp;G1581</f>
        <v>Nursing Homes (Convalescent Hospitals)|A|Good</v>
      </c>
      <c r="J1581" s="1" t="s">
        <v>894</v>
      </c>
    </row>
    <row r="1582" customFormat="false" ht="12" hidden="false" customHeight="true" outlineLevel="0" collapsed="false">
      <c r="B1582" s="1" t="s">
        <v>892</v>
      </c>
      <c r="C1582" s="1" t="s">
        <v>893</v>
      </c>
      <c r="D1582" s="1" t="s">
        <v>506</v>
      </c>
      <c r="E1582" s="1" t="s">
        <v>547</v>
      </c>
      <c r="F1582" s="1" t="s">
        <v>456</v>
      </c>
      <c r="G1582" s="1" t="s">
        <v>279</v>
      </c>
      <c r="H1582" s="1" t="n">
        <v>320</v>
      </c>
      <c r="I1582" s="1" t="str">
        <f aca="false">B1582&amp;"|"&amp;F1582&amp;"|"&amp;G1582</f>
        <v>Nursing Homes (Convalescent Hospitals)|A|Average</v>
      </c>
      <c r="J1582" s="1" t="s">
        <v>894</v>
      </c>
    </row>
    <row r="1583" customFormat="false" ht="12" hidden="false" customHeight="true" outlineLevel="0" collapsed="false">
      <c r="B1583" s="1" t="s">
        <v>892</v>
      </c>
      <c r="C1583" s="1" t="s">
        <v>893</v>
      </c>
      <c r="D1583" s="1" t="s">
        <v>506</v>
      </c>
      <c r="E1583" s="1" t="s">
        <v>547</v>
      </c>
      <c r="F1583" s="1" t="s">
        <v>461</v>
      </c>
      <c r="G1583" s="1" t="s">
        <v>483</v>
      </c>
      <c r="H1583" s="1" t="n">
        <v>361</v>
      </c>
      <c r="I1583" s="1" t="str">
        <f aca="false">B1583&amp;"|"&amp;F1583&amp;"|"&amp;G1583</f>
        <v>Nursing Homes (Convalescent Hospitals)|B|Good</v>
      </c>
      <c r="J1583" s="1" t="s">
        <v>894</v>
      </c>
    </row>
    <row r="1584" customFormat="false" ht="12" hidden="false" customHeight="true" outlineLevel="0" collapsed="false">
      <c r="B1584" s="1" t="s">
        <v>892</v>
      </c>
      <c r="C1584" s="1" t="s">
        <v>893</v>
      </c>
      <c r="D1584" s="1" t="s">
        <v>506</v>
      </c>
      <c r="E1584" s="1" t="s">
        <v>547</v>
      </c>
      <c r="F1584" s="1" t="s">
        <v>461</v>
      </c>
      <c r="G1584" s="1" t="s">
        <v>279</v>
      </c>
      <c r="H1584" s="1" t="n">
        <v>296</v>
      </c>
      <c r="I1584" s="1" t="str">
        <f aca="false">B1584&amp;"|"&amp;F1584&amp;"|"&amp;G1584</f>
        <v>Nursing Homes (Convalescent Hospitals)|B|Average</v>
      </c>
      <c r="J1584" s="1" t="s">
        <v>894</v>
      </c>
    </row>
    <row r="1585" customFormat="false" ht="12" hidden="false" customHeight="true" outlineLevel="0" collapsed="false">
      <c r="B1585" s="1" t="s">
        <v>892</v>
      </c>
      <c r="C1585" s="1" t="s">
        <v>893</v>
      </c>
      <c r="D1585" s="1" t="s">
        <v>506</v>
      </c>
      <c r="E1585" s="1" t="s">
        <v>547</v>
      </c>
      <c r="F1585" s="1" t="s">
        <v>463</v>
      </c>
      <c r="G1585" s="1" t="s">
        <v>485</v>
      </c>
      <c r="H1585" s="1" t="n">
        <v>351</v>
      </c>
      <c r="I1585" s="1" t="str">
        <f aca="false">B1585&amp;"|"&amp;F1585&amp;"|"&amp;G1585</f>
        <v>Nursing Homes (Convalescent Hospitals)|C|Excellent</v>
      </c>
      <c r="J1585" s="1" t="s">
        <v>894</v>
      </c>
    </row>
    <row r="1586" customFormat="false" ht="12" hidden="false" customHeight="true" outlineLevel="0" collapsed="false">
      <c r="B1586" s="1" t="s">
        <v>892</v>
      </c>
      <c r="C1586" s="1" t="s">
        <v>893</v>
      </c>
      <c r="D1586" s="1" t="s">
        <v>506</v>
      </c>
      <c r="E1586" s="1" t="s">
        <v>547</v>
      </c>
      <c r="F1586" s="1" t="s">
        <v>463</v>
      </c>
      <c r="G1586" s="1" t="s">
        <v>483</v>
      </c>
      <c r="H1586" s="1" t="n">
        <v>266</v>
      </c>
      <c r="I1586" s="1" t="str">
        <f aca="false">B1586&amp;"|"&amp;F1586&amp;"|"&amp;G1586</f>
        <v>Nursing Homes (Convalescent Hospitals)|C|Good</v>
      </c>
      <c r="J1586" s="1" t="s">
        <v>894</v>
      </c>
    </row>
    <row r="1587" customFormat="false" ht="12" hidden="false" customHeight="true" outlineLevel="0" collapsed="false">
      <c r="B1587" s="1" t="s">
        <v>892</v>
      </c>
      <c r="C1587" s="1" t="s">
        <v>893</v>
      </c>
      <c r="D1587" s="1" t="s">
        <v>506</v>
      </c>
      <c r="E1587" s="1" t="s">
        <v>547</v>
      </c>
      <c r="F1587" s="1" t="s">
        <v>463</v>
      </c>
      <c r="G1587" s="1" t="s">
        <v>279</v>
      </c>
      <c r="H1587" s="1" t="n">
        <v>200</v>
      </c>
      <c r="I1587" s="1" t="str">
        <f aca="false">B1587&amp;"|"&amp;F1587&amp;"|"&amp;G1587</f>
        <v>Nursing Homes (Convalescent Hospitals)|C|Average</v>
      </c>
      <c r="J1587" s="1" t="s">
        <v>894</v>
      </c>
    </row>
    <row r="1588" customFormat="false" ht="12" hidden="false" customHeight="true" outlineLevel="0" collapsed="false">
      <c r="B1588" s="1" t="s">
        <v>892</v>
      </c>
      <c r="C1588" s="1" t="s">
        <v>893</v>
      </c>
      <c r="D1588" s="1" t="s">
        <v>506</v>
      </c>
      <c r="E1588" s="1" t="s">
        <v>547</v>
      </c>
      <c r="F1588" s="1" t="s">
        <v>463</v>
      </c>
      <c r="G1588" s="1" t="s">
        <v>480</v>
      </c>
      <c r="H1588" s="1" t="n">
        <v>154</v>
      </c>
      <c r="I1588" s="1" t="str">
        <f aca="false">B1588&amp;"|"&amp;F1588&amp;"|"&amp;G1588</f>
        <v>Nursing Homes (Convalescent Hospitals)|C|Low Cost</v>
      </c>
      <c r="J1588" s="1" t="s">
        <v>894</v>
      </c>
    </row>
    <row r="1589" customFormat="false" ht="12" hidden="false" customHeight="true" outlineLevel="0" collapsed="false">
      <c r="B1589" s="1" t="s">
        <v>892</v>
      </c>
      <c r="C1589" s="1" t="s">
        <v>893</v>
      </c>
      <c r="D1589" s="1" t="s">
        <v>506</v>
      </c>
      <c r="E1589" s="1" t="s">
        <v>547</v>
      </c>
      <c r="F1589" s="1" t="s">
        <v>468</v>
      </c>
      <c r="G1589" s="1" t="s">
        <v>485</v>
      </c>
      <c r="H1589" s="1" t="n">
        <v>324</v>
      </c>
      <c r="I1589" s="1" t="str">
        <f aca="false">B1589&amp;"|"&amp;F1589&amp;"|"&amp;G1589</f>
        <v>Nursing Homes (Convalescent Hospitals)|D|Excellent</v>
      </c>
      <c r="J1589" s="1" t="s">
        <v>894</v>
      </c>
    </row>
    <row r="1590" customFormat="false" ht="12" hidden="false" customHeight="true" outlineLevel="0" collapsed="false">
      <c r="B1590" s="1" t="s">
        <v>892</v>
      </c>
      <c r="C1590" s="1" t="s">
        <v>893</v>
      </c>
      <c r="D1590" s="1" t="s">
        <v>506</v>
      </c>
      <c r="E1590" s="1" t="s">
        <v>547</v>
      </c>
      <c r="F1590" s="1" t="s">
        <v>468</v>
      </c>
      <c r="G1590" s="1" t="s">
        <v>483</v>
      </c>
      <c r="H1590" s="1" t="n">
        <v>255</v>
      </c>
      <c r="I1590" s="1" t="str">
        <f aca="false">B1590&amp;"|"&amp;F1590&amp;"|"&amp;G1590</f>
        <v>Nursing Homes (Convalescent Hospitals)|D|Good</v>
      </c>
      <c r="J1590" s="1" t="s">
        <v>894</v>
      </c>
    </row>
    <row r="1591" customFormat="false" ht="12" hidden="false" customHeight="true" outlineLevel="0" collapsed="false">
      <c r="B1591" s="1" t="s">
        <v>892</v>
      </c>
      <c r="C1591" s="1" t="s">
        <v>893</v>
      </c>
      <c r="D1591" s="1" t="s">
        <v>506</v>
      </c>
      <c r="E1591" s="1" t="s">
        <v>547</v>
      </c>
      <c r="F1591" s="1" t="s">
        <v>468</v>
      </c>
      <c r="G1591" s="1" t="s">
        <v>279</v>
      </c>
      <c r="H1591" s="1" t="n">
        <v>192</v>
      </c>
      <c r="I1591" s="1" t="str">
        <f aca="false">B1591&amp;"|"&amp;F1591&amp;"|"&amp;G1591</f>
        <v>Nursing Homes (Convalescent Hospitals)|D|Average</v>
      </c>
      <c r="J1591" s="1" t="s">
        <v>894</v>
      </c>
    </row>
    <row r="1592" customFormat="false" ht="12" hidden="false" customHeight="true" outlineLevel="0" collapsed="false">
      <c r="B1592" s="1" t="s">
        <v>892</v>
      </c>
      <c r="C1592" s="1" t="s">
        <v>893</v>
      </c>
      <c r="D1592" s="1" t="s">
        <v>506</v>
      </c>
      <c r="E1592" s="1" t="s">
        <v>547</v>
      </c>
      <c r="F1592" s="1" t="s">
        <v>468</v>
      </c>
      <c r="G1592" s="1" t="s">
        <v>480</v>
      </c>
      <c r="H1592" s="1" t="n">
        <v>147</v>
      </c>
      <c r="I1592" s="1" t="str">
        <f aca="false">B1592&amp;"|"&amp;F1592&amp;"|"&amp;G1592</f>
        <v>Nursing Homes (Convalescent Hospitals)|D|Low Cost</v>
      </c>
      <c r="J1592" s="1" t="s">
        <v>894</v>
      </c>
    </row>
    <row r="1593" customFormat="false" ht="12" hidden="false" customHeight="true" outlineLevel="0" collapsed="false">
      <c r="B1593" s="1" t="s">
        <v>892</v>
      </c>
      <c r="C1593" s="1" t="s">
        <v>893</v>
      </c>
      <c r="D1593" s="1" t="s">
        <v>506</v>
      </c>
      <c r="E1593" s="1" t="s">
        <v>547</v>
      </c>
      <c r="F1593" s="1" t="s">
        <v>566</v>
      </c>
      <c r="G1593" s="1" t="s">
        <v>480</v>
      </c>
      <c r="H1593" s="1" t="n">
        <v>142</v>
      </c>
      <c r="I1593" s="1" t="str">
        <f aca="false">B1593&amp;"|"&amp;F1593&amp;"|"&amp;G1593</f>
        <v>Nursing Homes (Convalescent Hospitals)|DPOLE|Low Cost</v>
      </c>
      <c r="J1593" s="1" t="s">
        <v>894</v>
      </c>
    </row>
    <row r="1594" customFormat="false" ht="12" hidden="false" customHeight="true" outlineLevel="0" collapsed="false">
      <c r="B1594" s="1" t="s">
        <v>892</v>
      </c>
      <c r="C1594" s="1" t="s">
        <v>893</v>
      </c>
      <c r="D1594" s="1" t="s">
        <v>506</v>
      </c>
      <c r="E1594" s="1" t="s">
        <v>547</v>
      </c>
      <c r="F1594" s="1" t="s">
        <v>473</v>
      </c>
      <c r="G1594" s="1" t="s">
        <v>279</v>
      </c>
      <c r="H1594" s="1" t="n">
        <v>189</v>
      </c>
      <c r="I1594" s="1" t="str">
        <f aca="false">B1594&amp;"|"&amp;F1594&amp;"|"&amp;G1594</f>
        <v>Nursing Homes (Convalescent Hospitals)|S|Average</v>
      </c>
      <c r="J1594" s="1" t="s">
        <v>894</v>
      </c>
    </row>
    <row r="1595" customFormat="false" ht="12" hidden="false" customHeight="true" outlineLevel="0" collapsed="false">
      <c r="B1595" s="1" t="s">
        <v>892</v>
      </c>
      <c r="C1595" s="1" t="s">
        <v>893</v>
      </c>
      <c r="D1595" s="1" t="s">
        <v>506</v>
      </c>
      <c r="E1595" s="1" t="s">
        <v>547</v>
      </c>
      <c r="F1595" s="1" t="s">
        <v>473</v>
      </c>
      <c r="G1595" s="1" t="s">
        <v>480</v>
      </c>
      <c r="H1595" s="1" t="n">
        <v>145</v>
      </c>
      <c r="I1595" s="1" t="str">
        <f aca="false">B1595&amp;"|"&amp;F1595&amp;"|"&amp;G1595</f>
        <v>Nursing Homes (Convalescent Hospitals)|S|Low Cost</v>
      </c>
      <c r="J1595" s="1" t="s">
        <v>894</v>
      </c>
    </row>
    <row r="1596" customFormat="false" ht="12" hidden="false" customHeight="true" outlineLevel="0" collapsed="false">
      <c r="B1596" s="1" t="s">
        <v>895</v>
      </c>
      <c r="C1596" s="1" t="s">
        <v>896</v>
      </c>
      <c r="D1596" s="1" t="s">
        <v>506</v>
      </c>
      <c r="E1596" s="1" t="s">
        <v>549</v>
      </c>
      <c r="F1596" s="1" t="s">
        <v>463</v>
      </c>
      <c r="G1596" s="1" t="s">
        <v>485</v>
      </c>
      <c r="H1596" s="1" t="n">
        <v>315</v>
      </c>
      <c r="I1596" s="1" t="str">
        <f aca="false">B1596&amp;"|"&amp;F1596&amp;"|"&amp;G1596</f>
        <v>Kennels|C|Excellent</v>
      </c>
      <c r="J1596" s="1" t="s">
        <v>897</v>
      </c>
    </row>
    <row r="1597" customFormat="false" ht="12" hidden="false" customHeight="true" outlineLevel="0" collapsed="false">
      <c r="B1597" s="1" t="s">
        <v>895</v>
      </c>
      <c r="C1597" s="1" t="s">
        <v>896</v>
      </c>
      <c r="D1597" s="1" t="s">
        <v>506</v>
      </c>
      <c r="E1597" s="1" t="s">
        <v>549</v>
      </c>
      <c r="F1597" s="1" t="s">
        <v>463</v>
      </c>
      <c r="G1597" s="1" t="s">
        <v>503</v>
      </c>
      <c r="H1597" s="1" t="n">
        <v>243</v>
      </c>
      <c r="I1597" s="1" t="str">
        <f aca="false">B1597&amp;"|"&amp;F1597&amp;"|"&amp;G1597</f>
        <v>Kennels|C|Very Good</v>
      </c>
      <c r="J1597" s="1" t="s">
        <v>897</v>
      </c>
    </row>
    <row r="1598" customFormat="false" ht="12" hidden="false" customHeight="true" outlineLevel="0" collapsed="false">
      <c r="B1598" s="1" t="s">
        <v>895</v>
      </c>
      <c r="C1598" s="1" t="s">
        <v>896</v>
      </c>
      <c r="D1598" s="1" t="s">
        <v>506</v>
      </c>
      <c r="E1598" s="1" t="s">
        <v>549</v>
      </c>
      <c r="F1598" s="1" t="s">
        <v>463</v>
      </c>
      <c r="G1598" s="1" t="s">
        <v>483</v>
      </c>
      <c r="H1598" s="1" t="n">
        <v>178</v>
      </c>
      <c r="I1598" s="1" t="str">
        <f aca="false">B1598&amp;"|"&amp;F1598&amp;"|"&amp;G1598</f>
        <v>Kennels|C|Good</v>
      </c>
      <c r="J1598" s="1" t="s">
        <v>897</v>
      </c>
    </row>
    <row r="1599" customFormat="false" ht="12" hidden="false" customHeight="true" outlineLevel="0" collapsed="false">
      <c r="B1599" s="1" t="s">
        <v>895</v>
      </c>
      <c r="C1599" s="1" t="s">
        <v>896</v>
      </c>
      <c r="D1599" s="1" t="s">
        <v>506</v>
      </c>
      <c r="E1599" s="1" t="s">
        <v>549</v>
      </c>
      <c r="F1599" s="1" t="s">
        <v>463</v>
      </c>
      <c r="G1599" s="1" t="s">
        <v>279</v>
      </c>
      <c r="H1599" s="1" t="n">
        <v>133</v>
      </c>
      <c r="I1599" s="1" t="str">
        <f aca="false">B1599&amp;"|"&amp;F1599&amp;"|"&amp;G1599</f>
        <v>Kennels|C|Average</v>
      </c>
      <c r="J1599" s="1" t="s">
        <v>897</v>
      </c>
    </row>
    <row r="1600" customFormat="false" ht="12" hidden="false" customHeight="true" outlineLevel="0" collapsed="false">
      <c r="B1600" s="1" t="s">
        <v>895</v>
      </c>
      <c r="C1600" s="1" t="s">
        <v>896</v>
      </c>
      <c r="D1600" s="1" t="s">
        <v>506</v>
      </c>
      <c r="E1600" s="1" t="s">
        <v>549</v>
      </c>
      <c r="F1600" s="1" t="s">
        <v>463</v>
      </c>
      <c r="G1600" s="1" t="s">
        <v>480</v>
      </c>
      <c r="H1600" s="1" t="n">
        <v>95</v>
      </c>
      <c r="I1600" s="1" t="str">
        <f aca="false">B1600&amp;"|"&amp;F1600&amp;"|"&amp;G1600</f>
        <v>Kennels|C|Low Cost</v>
      </c>
      <c r="J1600" s="1" t="s">
        <v>897</v>
      </c>
    </row>
    <row r="1601" customFormat="false" ht="12" hidden="false" customHeight="true" outlineLevel="0" collapsed="false">
      <c r="B1601" s="1" t="s">
        <v>895</v>
      </c>
      <c r="C1601" s="1" t="s">
        <v>896</v>
      </c>
      <c r="D1601" s="1" t="s">
        <v>506</v>
      </c>
      <c r="E1601" s="1" t="s">
        <v>549</v>
      </c>
      <c r="F1601" s="1" t="s">
        <v>463</v>
      </c>
      <c r="G1601" s="1" t="s">
        <v>567</v>
      </c>
      <c r="H1601" s="1" t="n">
        <v>68</v>
      </c>
      <c r="I1601" s="1" t="str">
        <f aca="false">B1601&amp;"|"&amp;F1601&amp;"|"&amp;G1601</f>
        <v>Kennels|C|Cheap</v>
      </c>
      <c r="J1601" s="1" t="s">
        <v>897</v>
      </c>
    </row>
    <row r="1602" customFormat="false" ht="12" hidden="false" customHeight="true" outlineLevel="0" collapsed="false">
      <c r="B1602" s="1" t="s">
        <v>895</v>
      </c>
      <c r="C1602" s="1" t="s">
        <v>896</v>
      </c>
      <c r="D1602" s="1" t="s">
        <v>506</v>
      </c>
      <c r="E1602" s="1" t="s">
        <v>549</v>
      </c>
      <c r="F1602" s="1" t="s">
        <v>468</v>
      </c>
      <c r="G1602" s="1" t="s">
        <v>485</v>
      </c>
      <c r="H1602" s="1" t="n">
        <v>297</v>
      </c>
      <c r="I1602" s="1" t="str">
        <f aca="false">B1602&amp;"|"&amp;F1602&amp;"|"&amp;G1602</f>
        <v>Kennels|D|Excellent</v>
      </c>
      <c r="J1602" s="1" t="s">
        <v>897</v>
      </c>
    </row>
    <row r="1603" customFormat="false" ht="12" hidden="false" customHeight="true" outlineLevel="0" collapsed="false">
      <c r="B1603" s="1" t="s">
        <v>895</v>
      </c>
      <c r="C1603" s="1" t="s">
        <v>896</v>
      </c>
      <c r="D1603" s="1" t="s">
        <v>506</v>
      </c>
      <c r="E1603" s="1" t="s">
        <v>549</v>
      </c>
      <c r="F1603" s="1" t="s">
        <v>468</v>
      </c>
      <c r="G1603" s="1" t="s">
        <v>503</v>
      </c>
      <c r="H1603" s="1" t="n">
        <v>229</v>
      </c>
      <c r="I1603" s="1" t="str">
        <f aca="false">B1603&amp;"|"&amp;F1603&amp;"|"&amp;G1603</f>
        <v>Kennels|D|Very Good</v>
      </c>
      <c r="J1603" s="1" t="s">
        <v>897</v>
      </c>
    </row>
    <row r="1604" customFormat="false" ht="12" hidden="false" customHeight="true" outlineLevel="0" collapsed="false">
      <c r="B1604" s="1" t="s">
        <v>895</v>
      </c>
      <c r="C1604" s="1" t="s">
        <v>896</v>
      </c>
      <c r="D1604" s="1" t="s">
        <v>506</v>
      </c>
      <c r="E1604" s="1" t="s">
        <v>549</v>
      </c>
      <c r="F1604" s="1" t="s">
        <v>468</v>
      </c>
      <c r="G1604" s="1" t="s">
        <v>483</v>
      </c>
      <c r="H1604" s="1" t="n">
        <v>167</v>
      </c>
      <c r="I1604" s="1" t="str">
        <f aca="false">B1604&amp;"|"&amp;F1604&amp;"|"&amp;G1604</f>
        <v>Kennels|D|Good</v>
      </c>
      <c r="J1604" s="1" t="s">
        <v>897</v>
      </c>
    </row>
    <row r="1605" customFormat="false" ht="12" hidden="false" customHeight="true" outlineLevel="0" collapsed="false">
      <c r="B1605" s="1" t="s">
        <v>895</v>
      </c>
      <c r="C1605" s="1" t="s">
        <v>896</v>
      </c>
      <c r="D1605" s="1" t="s">
        <v>506</v>
      </c>
      <c r="E1605" s="1" t="s">
        <v>549</v>
      </c>
      <c r="F1605" s="1" t="s">
        <v>468</v>
      </c>
      <c r="G1605" s="1" t="s">
        <v>279</v>
      </c>
      <c r="H1605" s="1" t="n">
        <v>125</v>
      </c>
      <c r="I1605" s="1" t="str">
        <f aca="false">B1605&amp;"|"&amp;F1605&amp;"|"&amp;G1605</f>
        <v>Kennels|D|Average</v>
      </c>
      <c r="J1605" s="1" t="s">
        <v>897</v>
      </c>
    </row>
    <row r="1606" customFormat="false" ht="12" hidden="false" customHeight="true" outlineLevel="0" collapsed="false">
      <c r="B1606" s="1" t="s">
        <v>895</v>
      </c>
      <c r="C1606" s="1" t="s">
        <v>896</v>
      </c>
      <c r="D1606" s="1" t="s">
        <v>506</v>
      </c>
      <c r="E1606" s="1" t="s">
        <v>549</v>
      </c>
      <c r="F1606" s="1" t="s">
        <v>468</v>
      </c>
      <c r="G1606" s="1" t="s">
        <v>480</v>
      </c>
      <c r="H1606" s="1" t="n">
        <v>89</v>
      </c>
      <c r="I1606" s="1" t="str">
        <f aca="false">B1606&amp;"|"&amp;F1606&amp;"|"&amp;G1606</f>
        <v>Kennels|D|Low Cost</v>
      </c>
      <c r="J1606" s="1" t="s">
        <v>897</v>
      </c>
    </row>
    <row r="1607" customFormat="false" ht="12" hidden="false" customHeight="true" outlineLevel="0" collapsed="false">
      <c r="B1607" s="1" t="s">
        <v>895</v>
      </c>
      <c r="C1607" s="1" t="s">
        <v>896</v>
      </c>
      <c r="D1607" s="1" t="s">
        <v>506</v>
      </c>
      <c r="E1607" s="1" t="s">
        <v>549</v>
      </c>
      <c r="F1607" s="1" t="s">
        <v>468</v>
      </c>
      <c r="G1607" s="1" t="s">
        <v>567</v>
      </c>
      <c r="H1607" s="1" t="n">
        <v>63.5</v>
      </c>
      <c r="I1607" s="1" t="str">
        <f aca="false">B1607&amp;"|"&amp;F1607&amp;"|"&amp;G1607</f>
        <v>Kennels|D|Cheap</v>
      </c>
      <c r="J1607" s="1" t="s">
        <v>897</v>
      </c>
    </row>
    <row r="1608" customFormat="false" ht="12" hidden="false" customHeight="true" outlineLevel="0" collapsed="false">
      <c r="B1608" s="1" t="s">
        <v>895</v>
      </c>
      <c r="C1608" s="1" t="s">
        <v>896</v>
      </c>
      <c r="D1608" s="1" t="s">
        <v>506</v>
      </c>
      <c r="E1608" s="1" t="s">
        <v>549</v>
      </c>
      <c r="F1608" s="1" t="s">
        <v>566</v>
      </c>
      <c r="G1608" s="1" t="s">
        <v>279</v>
      </c>
      <c r="H1608" s="1" t="n">
        <v>118</v>
      </c>
      <c r="I1608" s="1" t="str">
        <f aca="false">B1608&amp;"|"&amp;F1608&amp;"|"&amp;G1608</f>
        <v>Kennels|DPOLE|Average</v>
      </c>
      <c r="J1608" s="1" t="s">
        <v>897</v>
      </c>
    </row>
    <row r="1609" customFormat="false" ht="12" hidden="false" customHeight="true" outlineLevel="0" collapsed="false">
      <c r="B1609" s="1" t="s">
        <v>895</v>
      </c>
      <c r="C1609" s="1" t="s">
        <v>896</v>
      </c>
      <c r="D1609" s="1" t="s">
        <v>506</v>
      </c>
      <c r="E1609" s="1" t="s">
        <v>549</v>
      </c>
      <c r="F1609" s="1" t="s">
        <v>566</v>
      </c>
      <c r="G1609" s="1" t="s">
        <v>480</v>
      </c>
      <c r="H1609" s="1" t="n">
        <v>82.5</v>
      </c>
      <c r="I1609" s="1" t="str">
        <f aca="false">B1609&amp;"|"&amp;F1609&amp;"|"&amp;G1609</f>
        <v>Kennels|DPOLE|Low Cost</v>
      </c>
      <c r="J1609" s="1" t="s">
        <v>897</v>
      </c>
    </row>
    <row r="1610" customFormat="false" ht="12" hidden="false" customHeight="true" outlineLevel="0" collapsed="false">
      <c r="B1610" s="1" t="s">
        <v>895</v>
      </c>
      <c r="C1610" s="1" t="s">
        <v>896</v>
      </c>
      <c r="D1610" s="1" t="s">
        <v>506</v>
      </c>
      <c r="E1610" s="1" t="s">
        <v>549</v>
      </c>
      <c r="F1610" s="1" t="s">
        <v>566</v>
      </c>
      <c r="G1610" s="1" t="s">
        <v>567</v>
      </c>
      <c r="H1610" s="1" t="n">
        <v>58</v>
      </c>
      <c r="I1610" s="1" t="str">
        <f aca="false">B1610&amp;"|"&amp;F1610&amp;"|"&amp;G1610</f>
        <v>Kennels|DPOLE|Cheap</v>
      </c>
      <c r="J1610" s="1" t="s">
        <v>897</v>
      </c>
    </row>
    <row r="1611" customFormat="false" ht="12" hidden="false" customHeight="true" outlineLevel="0" collapsed="false">
      <c r="B1611" s="1" t="s">
        <v>895</v>
      </c>
      <c r="C1611" s="1" t="s">
        <v>896</v>
      </c>
      <c r="D1611" s="1" t="s">
        <v>506</v>
      </c>
      <c r="E1611" s="1" t="s">
        <v>549</v>
      </c>
      <c r="F1611" s="1" t="s">
        <v>473</v>
      </c>
      <c r="G1611" s="1" t="s">
        <v>483</v>
      </c>
      <c r="H1611" s="1" t="n">
        <v>165</v>
      </c>
      <c r="I1611" s="1" t="str">
        <f aca="false">B1611&amp;"|"&amp;F1611&amp;"|"&amp;G1611</f>
        <v>Kennels|S|Good</v>
      </c>
      <c r="J1611" s="1" t="s">
        <v>897</v>
      </c>
    </row>
    <row r="1612" customFormat="false" ht="12" hidden="false" customHeight="true" outlineLevel="0" collapsed="false">
      <c r="B1612" s="1" t="s">
        <v>895</v>
      </c>
      <c r="C1612" s="1" t="s">
        <v>896</v>
      </c>
      <c r="D1612" s="1" t="s">
        <v>506</v>
      </c>
      <c r="E1612" s="1" t="s">
        <v>549</v>
      </c>
      <c r="F1612" s="1" t="s">
        <v>473</v>
      </c>
      <c r="G1612" s="1" t="s">
        <v>279</v>
      </c>
      <c r="H1612" s="1" t="n">
        <v>121</v>
      </c>
      <c r="I1612" s="1" t="str">
        <f aca="false">B1612&amp;"|"&amp;F1612&amp;"|"&amp;G1612</f>
        <v>Kennels|S|Average</v>
      </c>
      <c r="J1612" s="1" t="s">
        <v>897</v>
      </c>
    </row>
    <row r="1613" customFormat="false" ht="12" hidden="false" customHeight="true" outlineLevel="0" collapsed="false">
      <c r="B1613" s="1" t="s">
        <v>895</v>
      </c>
      <c r="C1613" s="1" t="s">
        <v>896</v>
      </c>
      <c r="D1613" s="1" t="s">
        <v>506</v>
      </c>
      <c r="E1613" s="1" t="s">
        <v>549</v>
      </c>
      <c r="F1613" s="1" t="s">
        <v>473</v>
      </c>
      <c r="G1613" s="1" t="s">
        <v>480</v>
      </c>
      <c r="H1613" s="1" t="n">
        <v>86</v>
      </c>
      <c r="I1613" s="1" t="str">
        <f aca="false">B1613&amp;"|"&amp;F1613&amp;"|"&amp;G1613</f>
        <v>Kennels|S|Low Cost</v>
      </c>
      <c r="J1613" s="1" t="s">
        <v>897</v>
      </c>
    </row>
    <row r="1614" customFormat="false" ht="12" hidden="false" customHeight="true" outlineLevel="0" collapsed="false">
      <c r="B1614" s="1" t="s">
        <v>895</v>
      </c>
      <c r="C1614" s="1" t="s">
        <v>896</v>
      </c>
      <c r="D1614" s="1" t="s">
        <v>506</v>
      </c>
      <c r="E1614" s="1" t="s">
        <v>549</v>
      </c>
      <c r="F1614" s="1" t="s">
        <v>473</v>
      </c>
      <c r="G1614" s="1" t="s">
        <v>567</v>
      </c>
      <c r="H1614" s="1" t="n">
        <v>60.5</v>
      </c>
      <c r="I1614" s="1" t="str">
        <f aca="false">B1614&amp;"|"&amp;F1614&amp;"|"&amp;G1614</f>
        <v>Kennels|S|Cheap</v>
      </c>
      <c r="J1614" s="1" t="s">
        <v>897</v>
      </c>
    </row>
    <row r="1615" customFormat="false" ht="12" hidden="false" customHeight="true" outlineLevel="0" collapsed="false">
      <c r="B1615" s="1" t="s">
        <v>898</v>
      </c>
      <c r="C1615" s="1" t="s">
        <v>899</v>
      </c>
      <c r="D1615" s="1" t="s">
        <v>506</v>
      </c>
      <c r="E1615" s="1" t="s">
        <v>553</v>
      </c>
      <c r="F1615" s="1" t="s">
        <v>523</v>
      </c>
      <c r="G1615" s="1" t="s">
        <v>279</v>
      </c>
      <c r="H1615" s="1" t="n">
        <v>293</v>
      </c>
      <c r="I1615" s="1" t="str">
        <f aca="false">B1615&amp;"|"&amp;F1615&amp;"|"&amp;G1615</f>
        <v>Veterinary Hospitals|A-B|Average</v>
      </c>
      <c r="J1615" s="1" t="s">
        <v>900</v>
      </c>
    </row>
    <row r="1616" customFormat="false" ht="12" hidden="false" customHeight="true" outlineLevel="0" collapsed="false">
      <c r="B1616" s="1" t="s">
        <v>898</v>
      </c>
      <c r="C1616" s="1" t="s">
        <v>899</v>
      </c>
      <c r="D1616" s="1" t="s">
        <v>506</v>
      </c>
      <c r="E1616" s="1" t="s">
        <v>553</v>
      </c>
      <c r="F1616" s="1" t="s">
        <v>463</v>
      </c>
      <c r="G1616" s="1" t="s">
        <v>485</v>
      </c>
      <c r="H1616" s="1" t="n">
        <v>326</v>
      </c>
      <c r="I1616" s="1" t="str">
        <f aca="false">B1616&amp;"|"&amp;F1616&amp;"|"&amp;G1616</f>
        <v>Veterinary Hospitals|C|Excellent</v>
      </c>
      <c r="J1616" s="1" t="s">
        <v>900</v>
      </c>
    </row>
    <row r="1617" customFormat="false" ht="12" hidden="false" customHeight="true" outlineLevel="0" collapsed="false">
      <c r="B1617" s="1" t="s">
        <v>898</v>
      </c>
      <c r="C1617" s="1" t="s">
        <v>899</v>
      </c>
      <c r="D1617" s="1" t="s">
        <v>506</v>
      </c>
      <c r="E1617" s="1" t="s">
        <v>553</v>
      </c>
      <c r="F1617" s="1" t="s">
        <v>463</v>
      </c>
      <c r="G1617" s="1" t="s">
        <v>483</v>
      </c>
      <c r="H1617" s="1" t="n">
        <v>250</v>
      </c>
      <c r="I1617" s="1" t="str">
        <f aca="false">B1617&amp;"|"&amp;F1617&amp;"|"&amp;G1617</f>
        <v>Veterinary Hospitals|C|Good</v>
      </c>
      <c r="J1617" s="1" t="s">
        <v>900</v>
      </c>
    </row>
    <row r="1618" customFormat="false" ht="12" hidden="false" customHeight="true" outlineLevel="0" collapsed="false">
      <c r="B1618" s="1" t="s">
        <v>898</v>
      </c>
      <c r="C1618" s="1" t="s">
        <v>899</v>
      </c>
      <c r="D1618" s="1" t="s">
        <v>506</v>
      </c>
      <c r="E1618" s="1" t="s">
        <v>553</v>
      </c>
      <c r="F1618" s="1" t="s">
        <v>463</v>
      </c>
      <c r="G1618" s="1" t="s">
        <v>279</v>
      </c>
      <c r="H1618" s="1" t="n">
        <v>194</v>
      </c>
      <c r="I1618" s="1" t="str">
        <f aca="false">B1618&amp;"|"&amp;F1618&amp;"|"&amp;G1618</f>
        <v>Veterinary Hospitals|C|Average</v>
      </c>
      <c r="J1618" s="1" t="s">
        <v>900</v>
      </c>
    </row>
    <row r="1619" customFormat="false" ht="12" hidden="false" customHeight="true" outlineLevel="0" collapsed="false">
      <c r="B1619" s="1" t="s">
        <v>898</v>
      </c>
      <c r="C1619" s="1" t="s">
        <v>899</v>
      </c>
      <c r="D1619" s="1" t="s">
        <v>506</v>
      </c>
      <c r="E1619" s="1" t="s">
        <v>553</v>
      </c>
      <c r="F1619" s="1" t="s">
        <v>463</v>
      </c>
      <c r="G1619" s="1" t="s">
        <v>480</v>
      </c>
      <c r="H1619" s="1" t="n">
        <v>146</v>
      </c>
      <c r="I1619" s="1" t="str">
        <f aca="false">B1619&amp;"|"&amp;F1619&amp;"|"&amp;G1619</f>
        <v>Veterinary Hospitals|C|Low Cost</v>
      </c>
      <c r="J1619" s="1" t="s">
        <v>900</v>
      </c>
    </row>
    <row r="1620" customFormat="false" ht="12" hidden="false" customHeight="true" outlineLevel="0" collapsed="false">
      <c r="B1620" s="1" t="s">
        <v>898</v>
      </c>
      <c r="C1620" s="1" t="s">
        <v>899</v>
      </c>
      <c r="D1620" s="1" t="s">
        <v>506</v>
      </c>
      <c r="E1620" s="1" t="s">
        <v>553</v>
      </c>
      <c r="F1620" s="1" t="s">
        <v>468</v>
      </c>
      <c r="G1620" s="1" t="s">
        <v>485</v>
      </c>
      <c r="H1620" s="1" t="n">
        <v>315</v>
      </c>
      <c r="I1620" s="1" t="str">
        <f aca="false">B1620&amp;"|"&amp;F1620&amp;"|"&amp;G1620</f>
        <v>Veterinary Hospitals|D|Excellent</v>
      </c>
      <c r="J1620" s="1" t="s">
        <v>900</v>
      </c>
    </row>
    <row r="1621" customFormat="false" ht="12" hidden="false" customHeight="true" outlineLevel="0" collapsed="false">
      <c r="B1621" s="1" t="s">
        <v>898</v>
      </c>
      <c r="C1621" s="1" t="s">
        <v>899</v>
      </c>
      <c r="D1621" s="1" t="s">
        <v>506</v>
      </c>
      <c r="E1621" s="1" t="s">
        <v>553</v>
      </c>
      <c r="F1621" s="1" t="s">
        <v>468</v>
      </c>
      <c r="G1621" s="1" t="s">
        <v>483</v>
      </c>
      <c r="H1621" s="1" t="n">
        <v>240</v>
      </c>
      <c r="I1621" s="1" t="str">
        <f aca="false">B1621&amp;"|"&amp;F1621&amp;"|"&amp;G1621</f>
        <v>Veterinary Hospitals|D|Good</v>
      </c>
      <c r="J1621" s="1" t="s">
        <v>900</v>
      </c>
    </row>
    <row r="1622" customFormat="false" ht="12" hidden="false" customHeight="true" outlineLevel="0" collapsed="false">
      <c r="B1622" s="1" t="s">
        <v>898</v>
      </c>
      <c r="C1622" s="1" t="s">
        <v>899</v>
      </c>
      <c r="D1622" s="1" t="s">
        <v>506</v>
      </c>
      <c r="E1622" s="1" t="s">
        <v>553</v>
      </c>
      <c r="F1622" s="1" t="s">
        <v>468</v>
      </c>
      <c r="G1622" s="1" t="s">
        <v>279</v>
      </c>
      <c r="H1622" s="1" t="n">
        <v>186</v>
      </c>
      <c r="I1622" s="1" t="str">
        <f aca="false">B1622&amp;"|"&amp;F1622&amp;"|"&amp;G1622</f>
        <v>Veterinary Hospitals|D|Average</v>
      </c>
      <c r="J1622" s="1" t="s">
        <v>900</v>
      </c>
    </row>
    <row r="1623" customFormat="false" ht="12" hidden="false" customHeight="true" outlineLevel="0" collapsed="false">
      <c r="B1623" s="1" t="s">
        <v>898</v>
      </c>
      <c r="C1623" s="1" t="s">
        <v>899</v>
      </c>
      <c r="D1623" s="1" t="s">
        <v>506</v>
      </c>
      <c r="E1623" s="1" t="s">
        <v>553</v>
      </c>
      <c r="F1623" s="1" t="s">
        <v>468</v>
      </c>
      <c r="G1623" s="1" t="s">
        <v>480</v>
      </c>
      <c r="H1623" s="1" t="n">
        <v>140</v>
      </c>
      <c r="I1623" s="1" t="str">
        <f aca="false">B1623&amp;"|"&amp;F1623&amp;"|"&amp;G1623</f>
        <v>Veterinary Hospitals|D|Low Cost</v>
      </c>
      <c r="J1623" s="1" t="s">
        <v>900</v>
      </c>
    </row>
    <row r="1624" customFormat="false" ht="12" hidden="false" customHeight="true" outlineLevel="0" collapsed="false">
      <c r="B1624" s="1" t="s">
        <v>898</v>
      </c>
      <c r="C1624" s="1" t="s">
        <v>899</v>
      </c>
      <c r="D1624" s="1" t="s">
        <v>506</v>
      </c>
      <c r="E1624" s="1" t="s">
        <v>553</v>
      </c>
      <c r="F1624" s="1" t="s">
        <v>566</v>
      </c>
      <c r="G1624" s="1" t="s">
        <v>480</v>
      </c>
      <c r="H1624" s="1" t="n">
        <v>127</v>
      </c>
      <c r="I1624" s="1" t="str">
        <f aca="false">B1624&amp;"|"&amp;F1624&amp;"|"&amp;G1624</f>
        <v>Veterinary Hospitals|DPOLE|Low Cost</v>
      </c>
      <c r="J1624" s="1" t="s">
        <v>900</v>
      </c>
    </row>
    <row r="1625" customFormat="false" ht="12" hidden="false" customHeight="true" outlineLevel="0" collapsed="false">
      <c r="B1625" s="1" t="s">
        <v>898</v>
      </c>
      <c r="C1625" s="1" t="s">
        <v>899</v>
      </c>
      <c r="D1625" s="1" t="s">
        <v>506</v>
      </c>
      <c r="E1625" s="1" t="s">
        <v>553</v>
      </c>
      <c r="F1625" s="1" t="s">
        <v>473</v>
      </c>
      <c r="G1625" s="1" t="s">
        <v>279</v>
      </c>
      <c r="H1625" s="1" t="n">
        <v>177</v>
      </c>
      <c r="I1625" s="1" t="str">
        <f aca="false">B1625&amp;"|"&amp;F1625&amp;"|"&amp;G1625</f>
        <v>Veterinary Hospitals|S|Average</v>
      </c>
      <c r="J1625" s="1" t="s">
        <v>900</v>
      </c>
    </row>
    <row r="1626" customFormat="false" ht="12" hidden="false" customHeight="true" outlineLevel="0" collapsed="false">
      <c r="B1626" s="1" t="s">
        <v>898</v>
      </c>
      <c r="C1626" s="1" t="s">
        <v>899</v>
      </c>
      <c r="D1626" s="1" t="s">
        <v>506</v>
      </c>
      <c r="E1626" s="1" t="s">
        <v>553</v>
      </c>
      <c r="F1626" s="1" t="s">
        <v>473</v>
      </c>
      <c r="G1626" s="1" t="s">
        <v>480</v>
      </c>
      <c r="H1626" s="1" t="n">
        <v>130</v>
      </c>
      <c r="I1626" s="1" t="str">
        <f aca="false">B1626&amp;"|"&amp;F1626&amp;"|"&amp;G1626</f>
        <v>Veterinary Hospitals|S|Low Cost</v>
      </c>
      <c r="J1626" s="1" t="s">
        <v>900</v>
      </c>
    </row>
    <row r="1627" customFormat="false" ht="12" hidden="false" customHeight="true" outlineLevel="0" collapsed="false">
      <c r="B1627" s="1" t="s">
        <v>901</v>
      </c>
      <c r="C1627" s="1" t="s">
        <v>902</v>
      </c>
      <c r="D1627" s="1" t="s">
        <v>506</v>
      </c>
      <c r="E1627" s="1" t="s">
        <v>553</v>
      </c>
      <c r="F1627" s="1" t="s">
        <v>523</v>
      </c>
      <c r="G1627" s="1" t="s">
        <v>279</v>
      </c>
      <c r="H1627" s="1" t="n">
        <v>159</v>
      </c>
      <c r="I1627" s="1" t="str">
        <f aca="false">B1627&amp;"|"&amp;F1627&amp;"|"&amp;G1627</f>
        <v>Fire Stations – Volunteer|A-B|Average</v>
      </c>
      <c r="J1627" s="1" t="s">
        <v>900</v>
      </c>
    </row>
    <row r="1628" customFormat="false" ht="12" hidden="false" customHeight="true" outlineLevel="0" collapsed="false">
      <c r="B1628" s="1" t="s">
        <v>901</v>
      </c>
      <c r="C1628" s="1" t="s">
        <v>902</v>
      </c>
      <c r="D1628" s="1" t="s">
        <v>506</v>
      </c>
      <c r="E1628" s="1" t="s">
        <v>553</v>
      </c>
      <c r="F1628" s="1" t="s">
        <v>523</v>
      </c>
      <c r="G1628" s="1" t="s">
        <v>480</v>
      </c>
      <c r="H1628" s="1" t="n">
        <v>126</v>
      </c>
      <c r="I1628" s="1" t="str">
        <f aca="false">B1628&amp;"|"&amp;F1628&amp;"|"&amp;G1628</f>
        <v>Fire Stations – Volunteer|A-B|Low Cost</v>
      </c>
      <c r="J1628" s="1" t="s">
        <v>900</v>
      </c>
    </row>
    <row r="1629" customFormat="false" ht="12" hidden="false" customHeight="true" outlineLevel="0" collapsed="false">
      <c r="B1629" s="1" t="s">
        <v>901</v>
      </c>
      <c r="C1629" s="1" t="s">
        <v>902</v>
      </c>
      <c r="D1629" s="1" t="s">
        <v>506</v>
      </c>
      <c r="E1629" s="1" t="s">
        <v>553</v>
      </c>
      <c r="F1629" s="1" t="s">
        <v>463</v>
      </c>
      <c r="G1629" s="1" t="s">
        <v>483</v>
      </c>
      <c r="H1629" s="1" t="n">
        <v>137</v>
      </c>
      <c r="I1629" s="1" t="str">
        <f aca="false">B1629&amp;"|"&amp;F1629&amp;"|"&amp;G1629</f>
        <v>Fire Stations – Volunteer|C|Good</v>
      </c>
      <c r="J1629" s="1" t="s">
        <v>900</v>
      </c>
    </row>
    <row r="1630" customFormat="false" ht="12" hidden="false" customHeight="true" outlineLevel="0" collapsed="false">
      <c r="B1630" s="1" t="s">
        <v>901</v>
      </c>
      <c r="C1630" s="1" t="s">
        <v>902</v>
      </c>
      <c r="D1630" s="1" t="s">
        <v>506</v>
      </c>
      <c r="E1630" s="1" t="s">
        <v>553</v>
      </c>
      <c r="F1630" s="1" t="s">
        <v>463</v>
      </c>
      <c r="G1630" s="1" t="s">
        <v>279</v>
      </c>
      <c r="H1630" s="1" t="n">
        <v>97.5</v>
      </c>
      <c r="I1630" s="1" t="str">
        <f aca="false">B1630&amp;"|"&amp;F1630&amp;"|"&amp;G1630</f>
        <v>Fire Stations – Volunteer|C|Average</v>
      </c>
      <c r="J1630" s="1" t="s">
        <v>900</v>
      </c>
    </row>
    <row r="1631" customFormat="false" ht="12" hidden="false" customHeight="true" outlineLevel="0" collapsed="false">
      <c r="B1631" s="1" t="s">
        <v>901</v>
      </c>
      <c r="C1631" s="1" t="s">
        <v>902</v>
      </c>
      <c r="D1631" s="1" t="s">
        <v>506</v>
      </c>
      <c r="E1631" s="1" t="s">
        <v>553</v>
      </c>
      <c r="F1631" s="1" t="s">
        <v>463</v>
      </c>
      <c r="G1631" s="1" t="s">
        <v>480</v>
      </c>
      <c r="H1631" s="1" t="n">
        <v>74</v>
      </c>
      <c r="I1631" s="1" t="str">
        <f aca="false">B1631&amp;"|"&amp;F1631&amp;"|"&amp;G1631</f>
        <v>Fire Stations – Volunteer|C|Low Cost</v>
      </c>
      <c r="J1631" s="1" t="s">
        <v>900</v>
      </c>
    </row>
    <row r="1632" customFormat="false" ht="12" hidden="false" customHeight="true" outlineLevel="0" collapsed="false">
      <c r="B1632" s="1" t="s">
        <v>901</v>
      </c>
      <c r="C1632" s="1" t="s">
        <v>902</v>
      </c>
      <c r="D1632" s="1" t="s">
        <v>506</v>
      </c>
      <c r="E1632" s="1" t="s">
        <v>553</v>
      </c>
      <c r="F1632" s="1" t="s">
        <v>468</v>
      </c>
      <c r="G1632" s="1" t="s">
        <v>483</v>
      </c>
      <c r="H1632" s="1" t="n">
        <v>126</v>
      </c>
      <c r="I1632" s="1" t="str">
        <f aca="false">B1632&amp;"|"&amp;F1632&amp;"|"&amp;G1632</f>
        <v>Fire Stations – Volunteer|D|Good</v>
      </c>
      <c r="J1632" s="1" t="s">
        <v>900</v>
      </c>
    </row>
    <row r="1633" customFormat="false" ht="12" hidden="false" customHeight="true" outlineLevel="0" collapsed="false">
      <c r="B1633" s="1" t="s">
        <v>901</v>
      </c>
      <c r="C1633" s="1" t="s">
        <v>902</v>
      </c>
      <c r="D1633" s="1" t="s">
        <v>506</v>
      </c>
      <c r="E1633" s="1" t="s">
        <v>553</v>
      </c>
      <c r="F1633" s="1" t="s">
        <v>468</v>
      </c>
      <c r="G1633" s="1" t="s">
        <v>279</v>
      </c>
      <c r="H1633" s="1" t="n">
        <v>88.5</v>
      </c>
      <c r="I1633" s="1" t="str">
        <f aca="false">B1633&amp;"|"&amp;F1633&amp;"|"&amp;G1633</f>
        <v>Fire Stations – Volunteer|D|Average</v>
      </c>
      <c r="J1633" s="1" t="s">
        <v>900</v>
      </c>
    </row>
    <row r="1634" customFormat="false" ht="12" hidden="false" customHeight="true" outlineLevel="0" collapsed="false">
      <c r="B1634" s="1" t="s">
        <v>901</v>
      </c>
      <c r="C1634" s="1" t="s">
        <v>902</v>
      </c>
      <c r="D1634" s="1" t="s">
        <v>506</v>
      </c>
      <c r="E1634" s="1" t="s">
        <v>553</v>
      </c>
      <c r="F1634" s="1" t="s">
        <v>468</v>
      </c>
      <c r="G1634" s="1" t="s">
        <v>480</v>
      </c>
      <c r="H1634" s="1" t="n">
        <v>67</v>
      </c>
      <c r="I1634" s="1" t="str">
        <f aca="false">B1634&amp;"|"&amp;F1634&amp;"|"&amp;G1634</f>
        <v>Fire Stations – Volunteer|D|Low Cost</v>
      </c>
      <c r="J1634" s="1" t="s">
        <v>900</v>
      </c>
    </row>
    <row r="1635" customFormat="false" ht="12" hidden="false" customHeight="true" outlineLevel="0" collapsed="false">
      <c r="B1635" s="1" t="s">
        <v>901</v>
      </c>
      <c r="C1635" s="1" t="s">
        <v>902</v>
      </c>
      <c r="D1635" s="1" t="s">
        <v>506</v>
      </c>
      <c r="E1635" s="1" t="s">
        <v>553</v>
      </c>
      <c r="F1635" s="1" t="s">
        <v>566</v>
      </c>
      <c r="G1635" s="1" t="s">
        <v>279</v>
      </c>
      <c r="H1635" s="1" t="n">
        <v>81</v>
      </c>
      <c r="I1635" s="1" t="str">
        <f aca="false">B1635&amp;"|"&amp;F1635&amp;"|"&amp;G1635</f>
        <v>Fire Stations – Volunteer|DPOLE|Average</v>
      </c>
      <c r="J1635" s="1" t="s">
        <v>900</v>
      </c>
    </row>
    <row r="1636" customFormat="false" ht="12" hidden="false" customHeight="true" outlineLevel="0" collapsed="false">
      <c r="B1636" s="1" t="s">
        <v>901</v>
      </c>
      <c r="C1636" s="1" t="s">
        <v>902</v>
      </c>
      <c r="D1636" s="1" t="s">
        <v>506</v>
      </c>
      <c r="E1636" s="1" t="s">
        <v>553</v>
      </c>
      <c r="F1636" s="1" t="s">
        <v>566</v>
      </c>
      <c r="G1636" s="1" t="s">
        <v>480</v>
      </c>
      <c r="H1636" s="1" t="n">
        <v>59.5</v>
      </c>
      <c r="I1636" s="1" t="str">
        <f aca="false">B1636&amp;"|"&amp;F1636&amp;"|"&amp;G1636</f>
        <v>Fire Stations – Volunteer|DPOLE|Low Cost</v>
      </c>
      <c r="J1636" s="1" t="s">
        <v>900</v>
      </c>
    </row>
    <row r="1637" customFormat="false" ht="12" hidden="false" customHeight="true" outlineLevel="0" collapsed="false">
      <c r="B1637" s="1" t="s">
        <v>901</v>
      </c>
      <c r="C1637" s="1" t="s">
        <v>902</v>
      </c>
      <c r="D1637" s="1" t="s">
        <v>506</v>
      </c>
      <c r="E1637" s="1" t="s">
        <v>553</v>
      </c>
      <c r="F1637" s="1" t="s">
        <v>473</v>
      </c>
      <c r="G1637" s="1" t="s">
        <v>483</v>
      </c>
      <c r="H1637" s="1" t="n">
        <v>122</v>
      </c>
      <c r="I1637" s="1" t="str">
        <f aca="false">B1637&amp;"|"&amp;F1637&amp;"|"&amp;G1637</f>
        <v>Fire Stations – Volunteer|S|Good</v>
      </c>
      <c r="J1637" s="1" t="s">
        <v>900</v>
      </c>
    </row>
    <row r="1638" customFormat="false" ht="12" hidden="false" customHeight="true" outlineLevel="0" collapsed="false">
      <c r="B1638" s="1" t="s">
        <v>901</v>
      </c>
      <c r="C1638" s="1" t="s">
        <v>902</v>
      </c>
      <c r="D1638" s="1" t="s">
        <v>506</v>
      </c>
      <c r="E1638" s="1" t="s">
        <v>553</v>
      </c>
      <c r="F1638" s="1" t="s">
        <v>473</v>
      </c>
      <c r="G1638" s="1" t="s">
        <v>279</v>
      </c>
      <c r="H1638" s="1" t="n">
        <v>85</v>
      </c>
      <c r="I1638" s="1" t="str">
        <f aca="false">B1638&amp;"|"&amp;F1638&amp;"|"&amp;G1638</f>
        <v>Fire Stations – Volunteer|S|Average</v>
      </c>
      <c r="J1638" s="1" t="s">
        <v>900</v>
      </c>
    </row>
    <row r="1639" customFormat="false" ht="12" hidden="false" customHeight="true" outlineLevel="0" collapsed="false">
      <c r="B1639" s="1" t="s">
        <v>901</v>
      </c>
      <c r="C1639" s="1" t="s">
        <v>902</v>
      </c>
      <c r="D1639" s="1" t="s">
        <v>506</v>
      </c>
      <c r="E1639" s="1" t="s">
        <v>553</v>
      </c>
      <c r="F1639" s="1" t="s">
        <v>473</v>
      </c>
      <c r="G1639" s="1" t="s">
        <v>480</v>
      </c>
      <c r="H1639" s="1" t="n">
        <v>63.5</v>
      </c>
      <c r="I1639" s="1" t="str">
        <f aca="false">B1639&amp;"|"&amp;F1639&amp;"|"&amp;G1639</f>
        <v>Fire Stations – Volunteer|S|Low Cost</v>
      </c>
      <c r="J1639" s="1" t="s">
        <v>900</v>
      </c>
    </row>
    <row r="1640" customFormat="false" ht="12" hidden="false" customHeight="true" outlineLevel="0" collapsed="false">
      <c r="B1640" s="1" t="s">
        <v>903</v>
      </c>
      <c r="C1640" s="1" t="s">
        <v>904</v>
      </c>
      <c r="D1640" s="1" t="s">
        <v>506</v>
      </c>
      <c r="E1640" s="1" t="s">
        <v>562</v>
      </c>
      <c r="F1640" s="1" t="s">
        <v>523</v>
      </c>
      <c r="G1640" s="1" t="s">
        <v>483</v>
      </c>
      <c r="H1640" s="1" t="n">
        <v>387</v>
      </c>
      <c r="I1640" s="1" t="str">
        <f aca="false">B1640&amp;"|"&amp;F1640&amp;"|"&amp;G1640</f>
        <v>Fire Stations – Staffed|A-B|Good</v>
      </c>
      <c r="J1640" s="1" t="s">
        <v>905</v>
      </c>
    </row>
    <row r="1641" customFormat="false" ht="12" hidden="false" customHeight="true" outlineLevel="0" collapsed="false">
      <c r="B1641" s="1" t="s">
        <v>903</v>
      </c>
      <c r="C1641" s="1" t="s">
        <v>904</v>
      </c>
      <c r="D1641" s="1" t="s">
        <v>506</v>
      </c>
      <c r="E1641" s="1" t="s">
        <v>562</v>
      </c>
      <c r="F1641" s="1" t="s">
        <v>523</v>
      </c>
      <c r="G1641" s="1" t="s">
        <v>279</v>
      </c>
      <c r="H1641" s="1" t="n">
        <v>279</v>
      </c>
      <c r="I1641" s="1" t="str">
        <f aca="false">B1641&amp;"|"&amp;F1641&amp;"|"&amp;G1641</f>
        <v>Fire Stations – Staffed|A-B|Average</v>
      </c>
      <c r="J1641" s="1" t="s">
        <v>905</v>
      </c>
    </row>
    <row r="1642" customFormat="false" ht="12" hidden="false" customHeight="true" outlineLevel="0" collapsed="false">
      <c r="B1642" s="1" t="s">
        <v>903</v>
      </c>
      <c r="C1642" s="1" t="s">
        <v>904</v>
      </c>
      <c r="D1642" s="1" t="s">
        <v>506</v>
      </c>
      <c r="E1642" s="1" t="s">
        <v>562</v>
      </c>
      <c r="F1642" s="1" t="s">
        <v>463</v>
      </c>
      <c r="G1642" s="1" t="s">
        <v>485</v>
      </c>
      <c r="H1642" s="1" t="n">
        <v>366</v>
      </c>
      <c r="I1642" s="1" t="str">
        <f aca="false">B1642&amp;"|"&amp;F1642&amp;"|"&amp;G1642</f>
        <v>Fire Stations – Staffed|C|Excellent</v>
      </c>
      <c r="J1642" s="1" t="s">
        <v>905</v>
      </c>
    </row>
    <row r="1643" customFormat="false" ht="12" hidden="false" customHeight="true" outlineLevel="0" collapsed="false">
      <c r="B1643" s="1" t="s">
        <v>903</v>
      </c>
      <c r="C1643" s="1" t="s">
        <v>904</v>
      </c>
      <c r="D1643" s="1" t="s">
        <v>506</v>
      </c>
      <c r="E1643" s="1" t="s">
        <v>562</v>
      </c>
      <c r="F1643" s="1" t="s">
        <v>463</v>
      </c>
      <c r="G1643" s="1" t="s">
        <v>503</v>
      </c>
      <c r="H1643" s="1" t="n">
        <v>304</v>
      </c>
      <c r="I1643" s="1" t="str">
        <f aca="false">B1643&amp;"|"&amp;F1643&amp;"|"&amp;G1643</f>
        <v>Fire Stations – Staffed|C|Very Good</v>
      </c>
      <c r="J1643" s="1" t="s">
        <v>905</v>
      </c>
    </row>
    <row r="1644" customFormat="false" ht="12" hidden="false" customHeight="true" outlineLevel="0" collapsed="false">
      <c r="B1644" s="1" t="s">
        <v>903</v>
      </c>
      <c r="C1644" s="1" t="s">
        <v>904</v>
      </c>
      <c r="D1644" s="1" t="s">
        <v>506</v>
      </c>
      <c r="E1644" s="1" t="s">
        <v>562</v>
      </c>
      <c r="F1644" s="1" t="s">
        <v>463</v>
      </c>
      <c r="G1644" s="1" t="s">
        <v>483</v>
      </c>
      <c r="H1644" s="1" t="n">
        <v>252</v>
      </c>
      <c r="I1644" s="1" t="str">
        <f aca="false">B1644&amp;"|"&amp;F1644&amp;"|"&amp;G1644</f>
        <v>Fire Stations – Staffed|C|Good</v>
      </c>
      <c r="J1644" s="1" t="s">
        <v>905</v>
      </c>
    </row>
    <row r="1645" customFormat="false" ht="12" hidden="false" customHeight="true" outlineLevel="0" collapsed="false">
      <c r="B1645" s="1" t="s">
        <v>903</v>
      </c>
      <c r="C1645" s="1" t="s">
        <v>904</v>
      </c>
      <c r="D1645" s="1" t="s">
        <v>506</v>
      </c>
      <c r="E1645" s="1" t="s">
        <v>562</v>
      </c>
      <c r="F1645" s="1" t="s">
        <v>463</v>
      </c>
      <c r="G1645" s="1" t="s">
        <v>279</v>
      </c>
      <c r="H1645" s="1" t="n">
        <v>176</v>
      </c>
      <c r="I1645" s="1" t="str">
        <f aca="false">B1645&amp;"|"&amp;F1645&amp;"|"&amp;G1645</f>
        <v>Fire Stations – Staffed|C|Average</v>
      </c>
      <c r="J1645" s="1" t="s">
        <v>905</v>
      </c>
    </row>
    <row r="1646" customFormat="false" ht="12" hidden="false" customHeight="true" outlineLevel="0" collapsed="false">
      <c r="B1646" s="1" t="s">
        <v>903</v>
      </c>
      <c r="C1646" s="1" t="s">
        <v>904</v>
      </c>
      <c r="D1646" s="1" t="s">
        <v>506</v>
      </c>
      <c r="E1646" s="1" t="s">
        <v>562</v>
      </c>
      <c r="F1646" s="1" t="s">
        <v>463</v>
      </c>
      <c r="G1646" s="1" t="s">
        <v>480</v>
      </c>
      <c r="H1646" s="1" t="n">
        <v>119</v>
      </c>
      <c r="I1646" s="1" t="str">
        <f aca="false">B1646&amp;"|"&amp;F1646&amp;"|"&amp;G1646</f>
        <v>Fire Stations – Staffed|C|Low Cost</v>
      </c>
      <c r="J1646" s="1" t="s">
        <v>905</v>
      </c>
    </row>
    <row r="1647" customFormat="false" ht="12" hidden="false" customHeight="true" outlineLevel="0" collapsed="false">
      <c r="B1647" s="1" t="s">
        <v>903</v>
      </c>
      <c r="C1647" s="1" t="s">
        <v>904</v>
      </c>
      <c r="D1647" s="1" t="s">
        <v>506</v>
      </c>
      <c r="E1647" s="1" t="s">
        <v>562</v>
      </c>
      <c r="F1647" s="1" t="s">
        <v>468</v>
      </c>
      <c r="G1647" s="1" t="s">
        <v>485</v>
      </c>
      <c r="H1647" s="1" t="n">
        <v>352</v>
      </c>
      <c r="I1647" s="1" t="str">
        <f aca="false">B1647&amp;"|"&amp;F1647&amp;"|"&amp;G1647</f>
        <v>Fire Stations – Staffed|D|Excellent</v>
      </c>
      <c r="J1647" s="1" t="s">
        <v>905</v>
      </c>
    </row>
    <row r="1648" customFormat="false" ht="12" hidden="false" customHeight="true" outlineLevel="0" collapsed="false">
      <c r="B1648" s="1" t="s">
        <v>903</v>
      </c>
      <c r="C1648" s="1" t="s">
        <v>904</v>
      </c>
      <c r="D1648" s="1" t="s">
        <v>506</v>
      </c>
      <c r="E1648" s="1" t="s">
        <v>562</v>
      </c>
      <c r="F1648" s="1" t="s">
        <v>468</v>
      </c>
      <c r="G1648" s="1" t="s">
        <v>503</v>
      </c>
      <c r="H1648" s="1" t="n">
        <v>290</v>
      </c>
      <c r="I1648" s="1" t="str">
        <f aca="false">B1648&amp;"|"&amp;F1648&amp;"|"&amp;G1648</f>
        <v>Fire Stations – Staffed|D|Very Good</v>
      </c>
      <c r="J1648" s="1" t="s">
        <v>905</v>
      </c>
    </row>
    <row r="1649" customFormat="false" ht="12" hidden="false" customHeight="true" outlineLevel="0" collapsed="false">
      <c r="B1649" s="1" t="s">
        <v>903</v>
      </c>
      <c r="C1649" s="1" t="s">
        <v>904</v>
      </c>
      <c r="D1649" s="1" t="s">
        <v>506</v>
      </c>
      <c r="E1649" s="1" t="s">
        <v>562</v>
      </c>
      <c r="F1649" s="1" t="s">
        <v>468</v>
      </c>
      <c r="G1649" s="1" t="s">
        <v>483</v>
      </c>
      <c r="H1649" s="1" t="n">
        <v>238</v>
      </c>
      <c r="I1649" s="1" t="str">
        <f aca="false">B1649&amp;"|"&amp;F1649&amp;"|"&amp;G1649</f>
        <v>Fire Stations – Staffed|D|Good</v>
      </c>
      <c r="J1649" s="1" t="s">
        <v>905</v>
      </c>
    </row>
    <row r="1650" customFormat="false" ht="12" hidden="false" customHeight="true" outlineLevel="0" collapsed="false">
      <c r="B1650" s="1" t="s">
        <v>903</v>
      </c>
      <c r="C1650" s="1" t="s">
        <v>904</v>
      </c>
      <c r="D1650" s="1" t="s">
        <v>506</v>
      </c>
      <c r="E1650" s="1" t="s">
        <v>562</v>
      </c>
      <c r="F1650" s="1" t="s">
        <v>468</v>
      </c>
      <c r="G1650" s="1" t="s">
        <v>279</v>
      </c>
      <c r="H1650" s="1" t="n">
        <v>163</v>
      </c>
      <c r="I1650" s="1" t="str">
        <f aca="false">B1650&amp;"|"&amp;F1650&amp;"|"&amp;G1650</f>
        <v>Fire Stations – Staffed|D|Average</v>
      </c>
      <c r="J1650" s="1" t="s">
        <v>905</v>
      </c>
    </row>
    <row r="1651" customFormat="false" ht="12" hidden="false" customHeight="true" outlineLevel="0" collapsed="false">
      <c r="B1651" s="1" t="s">
        <v>903</v>
      </c>
      <c r="C1651" s="1" t="s">
        <v>904</v>
      </c>
      <c r="D1651" s="1" t="s">
        <v>506</v>
      </c>
      <c r="E1651" s="1" t="s">
        <v>562</v>
      </c>
      <c r="F1651" s="1" t="s">
        <v>468</v>
      </c>
      <c r="G1651" s="1" t="s">
        <v>480</v>
      </c>
      <c r="H1651" s="1" t="n">
        <v>108</v>
      </c>
      <c r="I1651" s="1" t="str">
        <f aca="false">B1651&amp;"|"&amp;F1651&amp;"|"&amp;G1651</f>
        <v>Fire Stations – Staffed|D|Low Cost</v>
      </c>
      <c r="J1651" s="1" t="s">
        <v>905</v>
      </c>
    </row>
    <row r="1652" customFormat="false" ht="12" hidden="false" customHeight="true" outlineLevel="0" collapsed="false">
      <c r="B1652" s="1" t="s">
        <v>903</v>
      </c>
      <c r="C1652" s="1" t="s">
        <v>904</v>
      </c>
      <c r="D1652" s="1" t="s">
        <v>506</v>
      </c>
      <c r="E1652" s="1" t="s">
        <v>562</v>
      </c>
      <c r="F1652" s="1" t="s">
        <v>566</v>
      </c>
      <c r="G1652" s="1" t="s">
        <v>279</v>
      </c>
      <c r="H1652" s="1" t="n">
        <v>139</v>
      </c>
      <c r="I1652" s="1" t="str">
        <f aca="false">B1652&amp;"|"&amp;F1652&amp;"|"&amp;G1652</f>
        <v>Fire Stations – Staffed|DPOLE|Average</v>
      </c>
      <c r="J1652" s="1" t="s">
        <v>905</v>
      </c>
    </row>
    <row r="1653" customFormat="false" ht="12" hidden="false" customHeight="true" outlineLevel="0" collapsed="false">
      <c r="B1653" s="1" t="s">
        <v>903</v>
      </c>
      <c r="C1653" s="1" t="s">
        <v>904</v>
      </c>
      <c r="D1653" s="1" t="s">
        <v>506</v>
      </c>
      <c r="E1653" s="1" t="s">
        <v>562</v>
      </c>
      <c r="F1653" s="1" t="s">
        <v>566</v>
      </c>
      <c r="G1653" s="1" t="s">
        <v>480</v>
      </c>
      <c r="H1653" s="1" t="n">
        <v>91.5</v>
      </c>
      <c r="I1653" s="1" t="str">
        <f aca="false">B1653&amp;"|"&amp;F1653&amp;"|"&amp;G1653</f>
        <v>Fire Stations – Staffed|DPOLE|Low Cost</v>
      </c>
      <c r="J1653" s="1" t="s">
        <v>905</v>
      </c>
    </row>
    <row r="1654" customFormat="false" ht="12" hidden="false" customHeight="true" outlineLevel="0" collapsed="false">
      <c r="B1654" s="1" t="s">
        <v>903</v>
      </c>
      <c r="C1654" s="1" t="s">
        <v>904</v>
      </c>
      <c r="D1654" s="1" t="s">
        <v>506</v>
      </c>
      <c r="E1654" s="1" t="s">
        <v>562</v>
      </c>
      <c r="F1654" s="1" t="s">
        <v>473</v>
      </c>
      <c r="G1654" s="1" t="s">
        <v>483</v>
      </c>
      <c r="H1654" s="1" t="n">
        <v>208</v>
      </c>
      <c r="I1654" s="1" t="str">
        <f aca="false">B1654&amp;"|"&amp;F1654&amp;"|"&amp;G1654</f>
        <v>Fire Stations – Staffed|S|Good</v>
      </c>
      <c r="J1654" s="1" t="s">
        <v>905</v>
      </c>
    </row>
    <row r="1655" customFormat="false" ht="12" hidden="false" customHeight="true" outlineLevel="0" collapsed="false">
      <c r="B1655" s="1" t="s">
        <v>903</v>
      </c>
      <c r="C1655" s="1" t="s">
        <v>904</v>
      </c>
      <c r="D1655" s="1" t="s">
        <v>506</v>
      </c>
      <c r="E1655" s="1" t="s">
        <v>562</v>
      </c>
      <c r="F1655" s="1" t="s">
        <v>473</v>
      </c>
      <c r="G1655" s="1" t="s">
        <v>279</v>
      </c>
      <c r="H1655" s="1" t="n">
        <v>144</v>
      </c>
      <c r="I1655" s="1" t="str">
        <f aca="false">B1655&amp;"|"&amp;F1655&amp;"|"&amp;G1655</f>
        <v>Fire Stations – Staffed|S|Average</v>
      </c>
      <c r="J1655" s="1" t="s">
        <v>905</v>
      </c>
    </row>
    <row r="1656" customFormat="false" ht="12" hidden="false" customHeight="true" outlineLevel="0" collapsed="false">
      <c r="B1656" s="1" t="s">
        <v>903</v>
      </c>
      <c r="C1656" s="1" t="s">
        <v>904</v>
      </c>
      <c r="D1656" s="1" t="s">
        <v>506</v>
      </c>
      <c r="E1656" s="1" t="s">
        <v>562</v>
      </c>
      <c r="F1656" s="1" t="s">
        <v>473</v>
      </c>
      <c r="G1656" s="1" t="s">
        <v>480</v>
      </c>
      <c r="H1656" s="1" t="n">
        <v>95.5</v>
      </c>
      <c r="I1656" s="1" t="str">
        <f aca="false">B1656&amp;"|"&amp;F1656&amp;"|"&amp;G1656</f>
        <v>Fire Stations – Staffed|S|Low Cost</v>
      </c>
      <c r="J1656" s="1" t="s">
        <v>905</v>
      </c>
    </row>
    <row r="1657" customFormat="false" ht="12" hidden="false" customHeight="true" outlineLevel="0" collapsed="false">
      <c r="B1657" s="1" t="s">
        <v>906</v>
      </c>
      <c r="C1657" s="1" t="s">
        <v>907</v>
      </c>
      <c r="D1657" s="1" t="s">
        <v>506</v>
      </c>
      <c r="E1657" s="1" t="s">
        <v>570</v>
      </c>
      <c r="F1657" s="1" t="s">
        <v>456</v>
      </c>
      <c r="G1657" s="1" t="s">
        <v>485</v>
      </c>
      <c r="H1657" s="1" t="n">
        <v>493</v>
      </c>
      <c r="I1657" s="1" t="str">
        <f aca="false">B1657&amp;"|"&amp;F1657&amp;"|"&amp;G1657</f>
        <v>Governmental Buildings|A|Excellent</v>
      </c>
      <c r="J1657" s="1" t="s">
        <v>908</v>
      </c>
    </row>
    <row r="1658" customFormat="false" ht="12" hidden="false" customHeight="true" outlineLevel="0" collapsed="false">
      <c r="B1658" s="1" t="s">
        <v>906</v>
      </c>
      <c r="C1658" s="1" t="s">
        <v>907</v>
      </c>
      <c r="D1658" s="1" t="s">
        <v>506</v>
      </c>
      <c r="E1658" s="1" t="s">
        <v>570</v>
      </c>
      <c r="F1658" s="1" t="s">
        <v>456</v>
      </c>
      <c r="G1658" s="1" t="s">
        <v>483</v>
      </c>
      <c r="H1658" s="1" t="n">
        <v>377</v>
      </c>
      <c r="I1658" s="1" t="str">
        <f aca="false">B1658&amp;"|"&amp;F1658&amp;"|"&amp;G1658</f>
        <v>Governmental Buildings|A|Good</v>
      </c>
      <c r="J1658" s="1" t="s">
        <v>908</v>
      </c>
    </row>
    <row r="1659" customFormat="false" ht="12" hidden="false" customHeight="true" outlineLevel="0" collapsed="false">
      <c r="B1659" s="1" t="s">
        <v>906</v>
      </c>
      <c r="C1659" s="1" t="s">
        <v>907</v>
      </c>
      <c r="D1659" s="1" t="s">
        <v>506</v>
      </c>
      <c r="E1659" s="1" t="s">
        <v>570</v>
      </c>
      <c r="F1659" s="1" t="s">
        <v>456</v>
      </c>
      <c r="G1659" s="1" t="s">
        <v>279</v>
      </c>
      <c r="H1659" s="1" t="n">
        <v>277</v>
      </c>
      <c r="I1659" s="1" t="str">
        <f aca="false">B1659&amp;"|"&amp;F1659&amp;"|"&amp;G1659</f>
        <v>Governmental Buildings|A|Average</v>
      </c>
      <c r="J1659" s="1" t="s">
        <v>908</v>
      </c>
    </row>
    <row r="1660" customFormat="false" ht="12" hidden="false" customHeight="true" outlineLevel="0" collapsed="false">
      <c r="B1660" s="1" t="s">
        <v>906</v>
      </c>
      <c r="C1660" s="1" t="s">
        <v>907</v>
      </c>
      <c r="D1660" s="1" t="s">
        <v>506</v>
      </c>
      <c r="E1660" s="1" t="s">
        <v>570</v>
      </c>
      <c r="F1660" s="1" t="s">
        <v>461</v>
      </c>
      <c r="G1660" s="1" t="s">
        <v>485</v>
      </c>
      <c r="H1660" s="1" t="n">
        <v>447</v>
      </c>
      <c r="I1660" s="1" t="str">
        <f aca="false">B1660&amp;"|"&amp;F1660&amp;"|"&amp;G1660</f>
        <v>Governmental Buildings|B|Excellent</v>
      </c>
      <c r="J1660" s="1" t="s">
        <v>908</v>
      </c>
    </row>
    <row r="1661" customFormat="false" ht="12" hidden="false" customHeight="true" outlineLevel="0" collapsed="false">
      <c r="B1661" s="1" t="s">
        <v>906</v>
      </c>
      <c r="C1661" s="1" t="s">
        <v>907</v>
      </c>
      <c r="D1661" s="1" t="s">
        <v>506</v>
      </c>
      <c r="E1661" s="1" t="s">
        <v>570</v>
      </c>
      <c r="F1661" s="1" t="s">
        <v>461</v>
      </c>
      <c r="G1661" s="1" t="s">
        <v>483</v>
      </c>
      <c r="H1661" s="1" t="n">
        <v>344</v>
      </c>
      <c r="I1661" s="1" t="str">
        <f aca="false">B1661&amp;"|"&amp;F1661&amp;"|"&amp;G1661</f>
        <v>Governmental Buildings|B|Good</v>
      </c>
      <c r="J1661" s="1" t="s">
        <v>908</v>
      </c>
    </row>
    <row r="1662" customFormat="false" ht="12" hidden="false" customHeight="true" outlineLevel="0" collapsed="false">
      <c r="B1662" s="1" t="s">
        <v>906</v>
      </c>
      <c r="C1662" s="1" t="s">
        <v>907</v>
      </c>
      <c r="D1662" s="1" t="s">
        <v>506</v>
      </c>
      <c r="E1662" s="1" t="s">
        <v>570</v>
      </c>
      <c r="F1662" s="1" t="s">
        <v>461</v>
      </c>
      <c r="G1662" s="1" t="s">
        <v>279</v>
      </c>
      <c r="H1662" s="1" t="n">
        <v>254</v>
      </c>
      <c r="I1662" s="1" t="str">
        <f aca="false">B1662&amp;"|"&amp;F1662&amp;"|"&amp;G1662</f>
        <v>Governmental Buildings|B|Average</v>
      </c>
      <c r="J1662" s="1" t="s">
        <v>908</v>
      </c>
    </row>
    <row r="1663" customFormat="false" ht="12" hidden="false" customHeight="true" outlineLevel="0" collapsed="false">
      <c r="B1663" s="1" t="s">
        <v>906</v>
      </c>
      <c r="C1663" s="1" t="s">
        <v>907</v>
      </c>
      <c r="D1663" s="1" t="s">
        <v>506</v>
      </c>
      <c r="E1663" s="1" t="s">
        <v>570</v>
      </c>
      <c r="F1663" s="1" t="s">
        <v>461</v>
      </c>
      <c r="G1663" s="1" t="s">
        <v>480</v>
      </c>
      <c r="H1663" s="1" t="n">
        <v>192</v>
      </c>
      <c r="I1663" s="1" t="str">
        <f aca="false">B1663&amp;"|"&amp;F1663&amp;"|"&amp;G1663</f>
        <v>Governmental Buildings|B|Low Cost</v>
      </c>
      <c r="J1663" s="1" t="s">
        <v>908</v>
      </c>
    </row>
    <row r="1664" customFormat="false" ht="12" hidden="false" customHeight="true" outlineLevel="0" collapsed="false">
      <c r="B1664" s="1" t="s">
        <v>906</v>
      </c>
      <c r="C1664" s="1" t="s">
        <v>907</v>
      </c>
      <c r="D1664" s="1" t="s">
        <v>506</v>
      </c>
      <c r="E1664" s="1" t="s">
        <v>570</v>
      </c>
      <c r="F1664" s="1" t="s">
        <v>463</v>
      </c>
      <c r="G1664" s="1" t="s">
        <v>485</v>
      </c>
      <c r="H1664" s="1" t="n">
        <v>380</v>
      </c>
      <c r="I1664" s="1" t="str">
        <f aca="false">B1664&amp;"|"&amp;F1664&amp;"|"&amp;G1664</f>
        <v>Governmental Buildings|C|Excellent</v>
      </c>
      <c r="J1664" s="1" t="s">
        <v>908</v>
      </c>
    </row>
    <row r="1665" customFormat="false" ht="12" hidden="false" customHeight="true" outlineLevel="0" collapsed="false">
      <c r="B1665" s="1" t="s">
        <v>906</v>
      </c>
      <c r="C1665" s="1" t="s">
        <v>907</v>
      </c>
      <c r="D1665" s="1" t="s">
        <v>506</v>
      </c>
      <c r="E1665" s="1" t="s">
        <v>570</v>
      </c>
      <c r="F1665" s="1" t="s">
        <v>463</v>
      </c>
      <c r="G1665" s="1" t="s">
        <v>483</v>
      </c>
      <c r="H1665" s="1" t="n">
        <v>273</v>
      </c>
      <c r="I1665" s="1" t="str">
        <f aca="false">B1665&amp;"|"&amp;F1665&amp;"|"&amp;G1665</f>
        <v>Governmental Buildings|C|Good</v>
      </c>
      <c r="J1665" s="1" t="s">
        <v>908</v>
      </c>
    </row>
    <row r="1666" customFormat="false" ht="12" hidden="false" customHeight="true" outlineLevel="0" collapsed="false">
      <c r="B1666" s="1" t="s">
        <v>906</v>
      </c>
      <c r="C1666" s="1" t="s">
        <v>907</v>
      </c>
      <c r="D1666" s="1" t="s">
        <v>506</v>
      </c>
      <c r="E1666" s="1" t="s">
        <v>570</v>
      </c>
      <c r="F1666" s="1" t="s">
        <v>463</v>
      </c>
      <c r="G1666" s="1" t="s">
        <v>279</v>
      </c>
      <c r="H1666" s="1" t="n">
        <v>206</v>
      </c>
      <c r="I1666" s="1" t="str">
        <f aca="false">B1666&amp;"|"&amp;F1666&amp;"|"&amp;G1666</f>
        <v>Governmental Buildings|C|Average</v>
      </c>
      <c r="J1666" s="1" t="s">
        <v>908</v>
      </c>
    </row>
    <row r="1667" customFormat="false" ht="12" hidden="false" customHeight="true" outlineLevel="0" collapsed="false">
      <c r="B1667" s="1" t="s">
        <v>906</v>
      </c>
      <c r="C1667" s="1" t="s">
        <v>907</v>
      </c>
      <c r="D1667" s="1" t="s">
        <v>506</v>
      </c>
      <c r="E1667" s="1" t="s">
        <v>570</v>
      </c>
      <c r="F1667" s="1" t="s">
        <v>463</v>
      </c>
      <c r="G1667" s="1" t="s">
        <v>480</v>
      </c>
      <c r="H1667" s="1" t="n">
        <v>147</v>
      </c>
      <c r="I1667" s="1" t="str">
        <f aca="false">B1667&amp;"|"&amp;F1667&amp;"|"&amp;G1667</f>
        <v>Governmental Buildings|C|Low Cost</v>
      </c>
      <c r="J1667" s="1" t="s">
        <v>908</v>
      </c>
    </row>
    <row r="1668" customFormat="false" ht="12" hidden="false" customHeight="true" outlineLevel="0" collapsed="false">
      <c r="B1668" s="1" t="s">
        <v>906</v>
      </c>
      <c r="C1668" s="1" t="s">
        <v>907</v>
      </c>
      <c r="D1668" s="1" t="s">
        <v>506</v>
      </c>
      <c r="E1668" s="1" t="s">
        <v>570</v>
      </c>
      <c r="F1668" s="1" t="s">
        <v>468</v>
      </c>
      <c r="G1668" s="1" t="s">
        <v>485</v>
      </c>
      <c r="H1668" s="1" t="n">
        <v>367</v>
      </c>
      <c r="I1668" s="1" t="str">
        <f aca="false">B1668&amp;"|"&amp;F1668&amp;"|"&amp;G1668</f>
        <v>Governmental Buildings|D|Excellent</v>
      </c>
      <c r="J1668" s="1" t="s">
        <v>908</v>
      </c>
    </row>
    <row r="1669" customFormat="false" ht="12" hidden="false" customHeight="true" outlineLevel="0" collapsed="false">
      <c r="B1669" s="1" t="s">
        <v>906</v>
      </c>
      <c r="C1669" s="1" t="s">
        <v>907</v>
      </c>
      <c r="D1669" s="1" t="s">
        <v>506</v>
      </c>
      <c r="E1669" s="1" t="s">
        <v>570</v>
      </c>
      <c r="F1669" s="1" t="s">
        <v>468</v>
      </c>
      <c r="G1669" s="1" t="s">
        <v>483</v>
      </c>
      <c r="H1669" s="1" t="n">
        <v>263</v>
      </c>
      <c r="I1669" s="1" t="str">
        <f aca="false">B1669&amp;"|"&amp;F1669&amp;"|"&amp;G1669</f>
        <v>Governmental Buildings|D|Good</v>
      </c>
      <c r="J1669" s="1" t="s">
        <v>908</v>
      </c>
    </row>
    <row r="1670" customFormat="false" ht="12" hidden="false" customHeight="true" outlineLevel="0" collapsed="false">
      <c r="B1670" s="1" t="s">
        <v>906</v>
      </c>
      <c r="C1670" s="1" t="s">
        <v>907</v>
      </c>
      <c r="D1670" s="1" t="s">
        <v>506</v>
      </c>
      <c r="E1670" s="1" t="s">
        <v>570</v>
      </c>
      <c r="F1670" s="1" t="s">
        <v>468</v>
      </c>
      <c r="G1670" s="1" t="s">
        <v>279</v>
      </c>
      <c r="H1670" s="1" t="n">
        <v>187</v>
      </c>
      <c r="I1670" s="1" t="str">
        <f aca="false">B1670&amp;"|"&amp;F1670&amp;"|"&amp;G1670</f>
        <v>Governmental Buildings|D|Average</v>
      </c>
      <c r="J1670" s="1" t="s">
        <v>908</v>
      </c>
    </row>
    <row r="1671" customFormat="false" ht="12" hidden="false" customHeight="true" outlineLevel="0" collapsed="false">
      <c r="B1671" s="1" t="s">
        <v>906</v>
      </c>
      <c r="C1671" s="1" t="s">
        <v>907</v>
      </c>
      <c r="D1671" s="1" t="s">
        <v>506</v>
      </c>
      <c r="E1671" s="1" t="s">
        <v>570</v>
      </c>
      <c r="F1671" s="1" t="s">
        <v>468</v>
      </c>
      <c r="G1671" s="1" t="s">
        <v>480</v>
      </c>
      <c r="H1671" s="1" t="n">
        <v>135</v>
      </c>
      <c r="I1671" s="1" t="str">
        <f aca="false">B1671&amp;"|"&amp;F1671&amp;"|"&amp;G1671</f>
        <v>Governmental Buildings|D|Low Cost</v>
      </c>
      <c r="J1671" s="1" t="s">
        <v>908</v>
      </c>
    </row>
    <row r="1672" customFormat="false" ht="12" hidden="false" customHeight="true" outlineLevel="0" collapsed="false">
      <c r="B1672" s="1" t="s">
        <v>906</v>
      </c>
      <c r="C1672" s="1" t="s">
        <v>907</v>
      </c>
      <c r="D1672" s="1" t="s">
        <v>506</v>
      </c>
      <c r="E1672" s="1" t="s">
        <v>570</v>
      </c>
      <c r="F1672" s="1" t="s">
        <v>473</v>
      </c>
      <c r="G1672" s="1" t="s">
        <v>279</v>
      </c>
      <c r="H1672" s="1" t="n">
        <v>185</v>
      </c>
      <c r="I1672" s="1" t="str">
        <f aca="false">B1672&amp;"|"&amp;F1672&amp;"|"&amp;G1672</f>
        <v>Governmental Buildings|S|Average</v>
      </c>
      <c r="J1672" s="1" t="s">
        <v>908</v>
      </c>
    </row>
    <row r="1673" customFormat="false" ht="12" hidden="false" customHeight="true" outlineLevel="0" collapsed="false">
      <c r="B1673" s="1" t="s">
        <v>906</v>
      </c>
      <c r="C1673" s="1" t="s">
        <v>907</v>
      </c>
      <c r="D1673" s="1" t="s">
        <v>506</v>
      </c>
      <c r="E1673" s="1" t="s">
        <v>570</v>
      </c>
      <c r="F1673" s="1" t="s">
        <v>473</v>
      </c>
      <c r="G1673" s="1" t="s">
        <v>480</v>
      </c>
      <c r="H1673" s="1" t="n">
        <v>134</v>
      </c>
      <c r="I1673" s="1" t="str">
        <f aca="false">B1673&amp;"|"&amp;F1673&amp;"|"&amp;G1673</f>
        <v>Governmental Buildings|S|Low Cost</v>
      </c>
      <c r="J1673" s="1" t="s">
        <v>908</v>
      </c>
    </row>
    <row r="1674" customFormat="false" ht="12" hidden="false" customHeight="true" outlineLevel="0" collapsed="false">
      <c r="B1674" s="1" t="s">
        <v>909</v>
      </c>
      <c r="C1674" s="1" t="s">
        <v>910</v>
      </c>
      <c r="D1674" s="1" t="s">
        <v>506</v>
      </c>
      <c r="E1674" s="1" t="s">
        <v>576</v>
      </c>
      <c r="F1674" s="1" t="s">
        <v>523</v>
      </c>
      <c r="G1674" s="1" t="s">
        <v>279</v>
      </c>
      <c r="H1674" s="1" t="n">
        <v>221</v>
      </c>
      <c r="I1674" s="1" t="str">
        <f aca="false">B1674&amp;"|"&amp;F1674&amp;"|"&amp;G1674</f>
        <v>Governmental – Community Service Buildings|A-B|Average</v>
      </c>
      <c r="J1674" s="1" t="s">
        <v>911</v>
      </c>
    </row>
    <row r="1675" customFormat="false" ht="12" hidden="false" customHeight="true" outlineLevel="0" collapsed="false">
      <c r="B1675" s="1" t="s">
        <v>909</v>
      </c>
      <c r="C1675" s="1" t="s">
        <v>910</v>
      </c>
      <c r="D1675" s="1" t="s">
        <v>506</v>
      </c>
      <c r="E1675" s="1" t="s">
        <v>576</v>
      </c>
      <c r="F1675" s="1" t="s">
        <v>523</v>
      </c>
      <c r="G1675" s="1" t="s">
        <v>480</v>
      </c>
      <c r="H1675" s="1" t="n">
        <v>168</v>
      </c>
      <c r="I1675" s="1" t="str">
        <f aca="false">B1675&amp;"|"&amp;F1675&amp;"|"&amp;G1675</f>
        <v>Governmental – Community Service Buildings|A-B|Low Cost</v>
      </c>
      <c r="J1675" s="1" t="s">
        <v>911</v>
      </c>
    </row>
    <row r="1676" customFormat="false" ht="12" hidden="false" customHeight="true" outlineLevel="0" collapsed="false">
      <c r="B1676" s="1" t="s">
        <v>909</v>
      </c>
      <c r="C1676" s="1" t="s">
        <v>910</v>
      </c>
      <c r="D1676" s="1" t="s">
        <v>506</v>
      </c>
      <c r="E1676" s="1" t="s">
        <v>576</v>
      </c>
      <c r="F1676" s="1" t="s">
        <v>463</v>
      </c>
      <c r="G1676" s="1" t="s">
        <v>485</v>
      </c>
      <c r="H1676" s="1" t="n">
        <v>311</v>
      </c>
      <c r="I1676" s="1" t="str">
        <f aca="false">B1676&amp;"|"&amp;F1676&amp;"|"&amp;G1676</f>
        <v>Governmental – Community Service Buildings|C|Excellent</v>
      </c>
      <c r="J1676" s="1" t="s">
        <v>911</v>
      </c>
    </row>
    <row r="1677" customFormat="false" ht="12" hidden="false" customHeight="true" outlineLevel="0" collapsed="false">
      <c r="B1677" s="1" t="s">
        <v>909</v>
      </c>
      <c r="C1677" s="1" t="s">
        <v>910</v>
      </c>
      <c r="D1677" s="1" t="s">
        <v>506</v>
      </c>
      <c r="E1677" s="1" t="s">
        <v>576</v>
      </c>
      <c r="F1677" s="1" t="s">
        <v>463</v>
      </c>
      <c r="G1677" s="1" t="s">
        <v>483</v>
      </c>
      <c r="H1677" s="1" t="n">
        <v>230</v>
      </c>
      <c r="I1677" s="1" t="str">
        <f aca="false">B1677&amp;"|"&amp;F1677&amp;"|"&amp;G1677</f>
        <v>Governmental – Community Service Buildings|C|Good</v>
      </c>
      <c r="J1677" s="1" t="s">
        <v>911</v>
      </c>
    </row>
    <row r="1678" customFormat="false" ht="12" hidden="false" customHeight="true" outlineLevel="0" collapsed="false">
      <c r="B1678" s="1" t="s">
        <v>909</v>
      </c>
      <c r="C1678" s="1" t="s">
        <v>910</v>
      </c>
      <c r="D1678" s="1" t="s">
        <v>506</v>
      </c>
      <c r="E1678" s="1" t="s">
        <v>576</v>
      </c>
      <c r="F1678" s="1" t="s">
        <v>463</v>
      </c>
      <c r="G1678" s="1" t="s">
        <v>279</v>
      </c>
      <c r="H1678" s="1" t="n">
        <v>169</v>
      </c>
      <c r="I1678" s="1" t="str">
        <f aca="false">B1678&amp;"|"&amp;F1678&amp;"|"&amp;G1678</f>
        <v>Governmental – Community Service Buildings|C|Average</v>
      </c>
      <c r="J1678" s="1" t="s">
        <v>911</v>
      </c>
    </row>
    <row r="1679" customFormat="false" ht="12" hidden="false" customHeight="true" outlineLevel="0" collapsed="false">
      <c r="B1679" s="1" t="s">
        <v>909</v>
      </c>
      <c r="C1679" s="1" t="s">
        <v>910</v>
      </c>
      <c r="D1679" s="1" t="s">
        <v>506</v>
      </c>
      <c r="E1679" s="1" t="s">
        <v>576</v>
      </c>
      <c r="F1679" s="1" t="s">
        <v>463</v>
      </c>
      <c r="G1679" s="1" t="s">
        <v>480</v>
      </c>
      <c r="H1679" s="1" t="n">
        <v>124</v>
      </c>
      <c r="I1679" s="1" t="str">
        <f aca="false">B1679&amp;"|"&amp;F1679&amp;"|"&amp;G1679</f>
        <v>Governmental – Community Service Buildings|C|Low Cost</v>
      </c>
      <c r="J1679" s="1" t="s">
        <v>911</v>
      </c>
    </row>
    <row r="1680" customFormat="false" ht="12" hidden="false" customHeight="true" outlineLevel="0" collapsed="false">
      <c r="B1680" s="1" t="s">
        <v>909</v>
      </c>
      <c r="C1680" s="1" t="s">
        <v>910</v>
      </c>
      <c r="D1680" s="1" t="s">
        <v>506</v>
      </c>
      <c r="E1680" s="1" t="s">
        <v>576</v>
      </c>
      <c r="F1680" s="1" t="s">
        <v>468</v>
      </c>
      <c r="G1680" s="1" t="s">
        <v>485</v>
      </c>
      <c r="H1680" s="1" t="n">
        <v>301</v>
      </c>
      <c r="I1680" s="1" t="str">
        <f aca="false">B1680&amp;"|"&amp;F1680&amp;"|"&amp;G1680</f>
        <v>Governmental – Community Service Buildings|D|Excellent</v>
      </c>
      <c r="J1680" s="1" t="s">
        <v>911</v>
      </c>
    </row>
    <row r="1681" customFormat="false" ht="12" hidden="false" customHeight="true" outlineLevel="0" collapsed="false">
      <c r="B1681" s="1" t="s">
        <v>909</v>
      </c>
      <c r="C1681" s="1" t="s">
        <v>910</v>
      </c>
      <c r="D1681" s="1" t="s">
        <v>506</v>
      </c>
      <c r="E1681" s="1" t="s">
        <v>576</v>
      </c>
      <c r="F1681" s="1" t="s">
        <v>468</v>
      </c>
      <c r="G1681" s="1" t="s">
        <v>483</v>
      </c>
      <c r="H1681" s="1" t="n">
        <v>221</v>
      </c>
      <c r="I1681" s="1" t="str">
        <f aca="false">B1681&amp;"|"&amp;F1681&amp;"|"&amp;G1681</f>
        <v>Governmental – Community Service Buildings|D|Good</v>
      </c>
      <c r="J1681" s="1" t="s">
        <v>911</v>
      </c>
    </row>
    <row r="1682" customFormat="false" ht="12" hidden="false" customHeight="true" outlineLevel="0" collapsed="false">
      <c r="B1682" s="1" t="s">
        <v>909</v>
      </c>
      <c r="C1682" s="1" t="s">
        <v>910</v>
      </c>
      <c r="D1682" s="1" t="s">
        <v>506</v>
      </c>
      <c r="E1682" s="1" t="s">
        <v>576</v>
      </c>
      <c r="F1682" s="1" t="s">
        <v>468</v>
      </c>
      <c r="G1682" s="1" t="s">
        <v>279</v>
      </c>
      <c r="H1682" s="1" t="n">
        <v>162</v>
      </c>
      <c r="I1682" s="1" t="str">
        <f aca="false">B1682&amp;"|"&amp;F1682&amp;"|"&amp;G1682</f>
        <v>Governmental – Community Service Buildings|D|Average</v>
      </c>
      <c r="J1682" s="1" t="s">
        <v>911</v>
      </c>
    </row>
    <row r="1683" customFormat="false" ht="12" hidden="false" customHeight="true" outlineLevel="0" collapsed="false">
      <c r="B1683" s="1" t="s">
        <v>909</v>
      </c>
      <c r="C1683" s="1" t="s">
        <v>910</v>
      </c>
      <c r="D1683" s="1" t="s">
        <v>506</v>
      </c>
      <c r="E1683" s="1" t="s">
        <v>576</v>
      </c>
      <c r="F1683" s="1" t="s">
        <v>468</v>
      </c>
      <c r="G1683" s="1" t="s">
        <v>480</v>
      </c>
      <c r="H1683" s="1" t="n">
        <v>118</v>
      </c>
      <c r="I1683" s="1" t="str">
        <f aca="false">B1683&amp;"|"&amp;F1683&amp;"|"&amp;G1683</f>
        <v>Governmental – Community Service Buildings|D|Low Cost</v>
      </c>
      <c r="J1683" s="1" t="s">
        <v>911</v>
      </c>
    </row>
    <row r="1684" customFormat="false" ht="12" hidden="false" customHeight="true" outlineLevel="0" collapsed="false">
      <c r="B1684" s="1" t="s">
        <v>909</v>
      </c>
      <c r="C1684" s="1" t="s">
        <v>910</v>
      </c>
      <c r="D1684" s="1" t="s">
        <v>506</v>
      </c>
      <c r="E1684" s="1" t="s">
        <v>576</v>
      </c>
      <c r="F1684" s="1" t="s">
        <v>566</v>
      </c>
      <c r="G1684" s="1" t="s">
        <v>279</v>
      </c>
      <c r="H1684" s="1" t="n">
        <v>154</v>
      </c>
      <c r="I1684" s="1" t="str">
        <f aca="false">B1684&amp;"|"&amp;F1684&amp;"|"&amp;G1684</f>
        <v>Governmental – Community Service Buildings|DPOLE|Average</v>
      </c>
      <c r="J1684" s="1" t="s">
        <v>911</v>
      </c>
    </row>
    <row r="1685" customFormat="false" ht="12" hidden="false" customHeight="true" outlineLevel="0" collapsed="false">
      <c r="B1685" s="1" t="s">
        <v>909</v>
      </c>
      <c r="C1685" s="1" t="s">
        <v>910</v>
      </c>
      <c r="D1685" s="1" t="s">
        <v>506</v>
      </c>
      <c r="E1685" s="1" t="s">
        <v>576</v>
      </c>
      <c r="F1685" s="1" t="s">
        <v>566</v>
      </c>
      <c r="G1685" s="1" t="s">
        <v>480</v>
      </c>
      <c r="H1685" s="1" t="n">
        <v>112</v>
      </c>
      <c r="I1685" s="1" t="str">
        <f aca="false">B1685&amp;"|"&amp;F1685&amp;"|"&amp;G1685</f>
        <v>Governmental – Community Service Buildings|DPOLE|Low Cost</v>
      </c>
      <c r="J1685" s="1" t="s">
        <v>911</v>
      </c>
    </row>
    <row r="1686" customFormat="false" ht="12" hidden="false" customHeight="true" outlineLevel="0" collapsed="false">
      <c r="B1686" s="1" t="s">
        <v>909</v>
      </c>
      <c r="C1686" s="1" t="s">
        <v>910</v>
      </c>
      <c r="D1686" s="1" t="s">
        <v>506</v>
      </c>
      <c r="E1686" s="1" t="s">
        <v>576</v>
      </c>
      <c r="F1686" s="1" t="s">
        <v>473</v>
      </c>
      <c r="G1686" s="1" t="s">
        <v>483</v>
      </c>
      <c r="H1686" s="1" t="n">
        <v>216</v>
      </c>
      <c r="I1686" s="1" t="str">
        <f aca="false">B1686&amp;"|"&amp;F1686&amp;"|"&amp;G1686</f>
        <v>Governmental – Community Service Buildings|S|Good</v>
      </c>
      <c r="J1686" s="1" t="s">
        <v>911</v>
      </c>
    </row>
    <row r="1687" customFormat="false" ht="12" hidden="false" customHeight="true" outlineLevel="0" collapsed="false">
      <c r="B1687" s="1" t="s">
        <v>909</v>
      </c>
      <c r="C1687" s="1" t="s">
        <v>910</v>
      </c>
      <c r="D1687" s="1" t="s">
        <v>506</v>
      </c>
      <c r="E1687" s="1" t="s">
        <v>576</v>
      </c>
      <c r="F1687" s="1" t="s">
        <v>473</v>
      </c>
      <c r="G1687" s="1" t="s">
        <v>279</v>
      </c>
      <c r="H1687" s="1" t="n">
        <v>159</v>
      </c>
      <c r="I1687" s="1" t="str">
        <f aca="false">B1687&amp;"|"&amp;F1687&amp;"|"&amp;G1687</f>
        <v>Governmental – Community Service Buildings|S|Average</v>
      </c>
      <c r="J1687" s="1" t="s">
        <v>911</v>
      </c>
    </row>
    <row r="1688" customFormat="false" ht="12" hidden="false" customHeight="true" outlineLevel="0" collapsed="false">
      <c r="B1688" s="1" t="s">
        <v>909</v>
      </c>
      <c r="C1688" s="1" t="s">
        <v>910</v>
      </c>
      <c r="D1688" s="1" t="s">
        <v>506</v>
      </c>
      <c r="E1688" s="1" t="s">
        <v>576</v>
      </c>
      <c r="F1688" s="1" t="s">
        <v>473</v>
      </c>
      <c r="G1688" s="1" t="s">
        <v>480</v>
      </c>
      <c r="H1688" s="1" t="n">
        <v>116</v>
      </c>
      <c r="I1688" s="1" t="str">
        <f aca="false">B1688&amp;"|"&amp;F1688&amp;"|"&amp;G1688</f>
        <v>Governmental – Community Service Buildings|S|Low Cost</v>
      </c>
      <c r="J1688" s="1" t="s">
        <v>911</v>
      </c>
    </row>
    <row r="1689" customFormat="false" ht="12" hidden="false" customHeight="true" outlineLevel="0" collapsed="false">
      <c r="B1689" s="1" t="s">
        <v>912</v>
      </c>
      <c r="C1689" s="1" t="s">
        <v>913</v>
      </c>
      <c r="D1689" s="1" t="s">
        <v>506</v>
      </c>
      <c r="E1689" s="1" t="s">
        <v>582</v>
      </c>
      <c r="F1689" s="1" t="s">
        <v>456</v>
      </c>
      <c r="G1689" s="1" t="s">
        <v>483</v>
      </c>
      <c r="H1689" s="1" t="n">
        <v>394</v>
      </c>
      <c r="I1689" s="1" t="str">
        <f aca="false">B1689&amp;"|"&amp;F1689&amp;"|"&amp;G1689</f>
        <v>Public Libraries|A|Good</v>
      </c>
      <c r="J1689" s="1" t="s">
        <v>914</v>
      </c>
    </row>
    <row r="1690" customFormat="false" ht="12" hidden="false" customHeight="true" outlineLevel="0" collapsed="false">
      <c r="B1690" s="1" t="s">
        <v>912</v>
      </c>
      <c r="C1690" s="1" t="s">
        <v>913</v>
      </c>
      <c r="D1690" s="1" t="s">
        <v>506</v>
      </c>
      <c r="E1690" s="1" t="s">
        <v>582</v>
      </c>
      <c r="F1690" s="1" t="s">
        <v>456</v>
      </c>
      <c r="G1690" s="1" t="s">
        <v>279</v>
      </c>
      <c r="H1690" s="1" t="n">
        <v>290</v>
      </c>
      <c r="I1690" s="1" t="str">
        <f aca="false">B1690&amp;"|"&amp;F1690&amp;"|"&amp;G1690</f>
        <v>Public Libraries|A|Average</v>
      </c>
      <c r="J1690" s="1" t="s">
        <v>914</v>
      </c>
    </row>
    <row r="1691" customFormat="false" ht="12" hidden="false" customHeight="true" outlineLevel="0" collapsed="false">
      <c r="B1691" s="1" t="s">
        <v>912</v>
      </c>
      <c r="C1691" s="1" t="s">
        <v>913</v>
      </c>
      <c r="D1691" s="1" t="s">
        <v>506</v>
      </c>
      <c r="E1691" s="1" t="s">
        <v>582</v>
      </c>
      <c r="F1691" s="1" t="s">
        <v>461</v>
      </c>
      <c r="G1691" s="1" t="s">
        <v>483</v>
      </c>
      <c r="H1691" s="1" t="n">
        <v>359</v>
      </c>
      <c r="I1691" s="1" t="str">
        <f aca="false">B1691&amp;"|"&amp;F1691&amp;"|"&amp;G1691</f>
        <v>Public Libraries|B|Good</v>
      </c>
      <c r="J1691" s="1" t="s">
        <v>914</v>
      </c>
    </row>
    <row r="1692" customFormat="false" ht="12" hidden="false" customHeight="true" outlineLevel="0" collapsed="false">
      <c r="B1692" s="1" t="s">
        <v>912</v>
      </c>
      <c r="C1692" s="1" t="s">
        <v>913</v>
      </c>
      <c r="D1692" s="1" t="s">
        <v>506</v>
      </c>
      <c r="E1692" s="1" t="s">
        <v>582</v>
      </c>
      <c r="F1692" s="1" t="s">
        <v>461</v>
      </c>
      <c r="G1692" s="1" t="s">
        <v>279</v>
      </c>
      <c r="H1692" s="1" t="n">
        <v>264</v>
      </c>
      <c r="I1692" s="1" t="str">
        <f aca="false">B1692&amp;"|"&amp;F1692&amp;"|"&amp;G1692</f>
        <v>Public Libraries|B|Average</v>
      </c>
      <c r="J1692" s="1" t="s">
        <v>914</v>
      </c>
    </row>
    <row r="1693" customFormat="false" ht="12" hidden="false" customHeight="true" outlineLevel="0" collapsed="false">
      <c r="B1693" s="1" t="s">
        <v>912</v>
      </c>
      <c r="C1693" s="1" t="s">
        <v>913</v>
      </c>
      <c r="D1693" s="1" t="s">
        <v>506</v>
      </c>
      <c r="E1693" s="1" t="s">
        <v>582</v>
      </c>
      <c r="F1693" s="1" t="s">
        <v>463</v>
      </c>
      <c r="G1693" s="1" t="s">
        <v>485</v>
      </c>
      <c r="H1693" s="1" t="n">
        <v>447</v>
      </c>
      <c r="I1693" s="1" t="str">
        <f aca="false">B1693&amp;"|"&amp;F1693&amp;"|"&amp;G1693</f>
        <v>Public Libraries|C|Excellent</v>
      </c>
      <c r="J1693" s="1" t="s">
        <v>914</v>
      </c>
    </row>
    <row r="1694" customFormat="false" ht="12" hidden="false" customHeight="true" outlineLevel="0" collapsed="false">
      <c r="B1694" s="1" t="s">
        <v>912</v>
      </c>
      <c r="C1694" s="1" t="s">
        <v>913</v>
      </c>
      <c r="D1694" s="1" t="s">
        <v>506</v>
      </c>
      <c r="E1694" s="1" t="s">
        <v>582</v>
      </c>
      <c r="F1694" s="1" t="s">
        <v>463</v>
      </c>
      <c r="G1694" s="1" t="s">
        <v>503</v>
      </c>
      <c r="H1694" s="1" t="n">
        <v>350</v>
      </c>
      <c r="I1694" s="1" t="str">
        <f aca="false">B1694&amp;"|"&amp;F1694&amp;"|"&amp;G1694</f>
        <v>Public Libraries|C|Very Good</v>
      </c>
      <c r="J1694" s="1" t="s">
        <v>914</v>
      </c>
    </row>
    <row r="1695" customFormat="false" ht="12" hidden="false" customHeight="true" outlineLevel="0" collapsed="false">
      <c r="B1695" s="1" t="s">
        <v>912</v>
      </c>
      <c r="C1695" s="1" t="s">
        <v>913</v>
      </c>
      <c r="D1695" s="1" t="s">
        <v>506</v>
      </c>
      <c r="E1695" s="1" t="s">
        <v>582</v>
      </c>
      <c r="F1695" s="1" t="s">
        <v>463</v>
      </c>
      <c r="G1695" s="1" t="s">
        <v>483</v>
      </c>
      <c r="H1695" s="1" t="n">
        <v>262</v>
      </c>
      <c r="I1695" s="1" t="str">
        <f aca="false">B1695&amp;"|"&amp;F1695&amp;"|"&amp;G1695</f>
        <v>Public Libraries|C|Good</v>
      </c>
      <c r="J1695" s="1" t="s">
        <v>914</v>
      </c>
    </row>
    <row r="1696" customFormat="false" ht="12" hidden="false" customHeight="true" outlineLevel="0" collapsed="false">
      <c r="B1696" s="1" t="s">
        <v>912</v>
      </c>
      <c r="C1696" s="1" t="s">
        <v>913</v>
      </c>
      <c r="D1696" s="1" t="s">
        <v>506</v>
      </c>
      <c r="E1696" s="1" t="s">
        <v>582</v>
      </c>
      <c r="F1696" s="1" t="s">
        <v>463</v>
      </c>
      <c r="G1696" s="1" t="s">
        <v>279</v>
      </c>
      <c r="H1696" s="1" t="n">
        <v>195</v>
      </c>
      <c r="I1696" s="1" t="str">
        <f aca="false">B1696&amp;"|"&amp;F1696&amp;"|"&amp;G1696</f>
        <v>Public Libraries|C|Average</v>
      </c>
      <c r="J1696" s="1" t="s">
        <v>914</v>
      </c>
    </row>
    <row r="1697" customFormat="false" ht="12" hidden="false" customHeight="true" outlineLevel="0" collapsed="false">
      <c r="B1697" s="1" t="s">
        <v>912</v>
      </c>
      <c r="C1697" s="1" t="s">
        <v>913</v>
      </c>
      <c r="D1697" s="1" t="s">
        <v>506</v>
      </c>
      <c r="E1697" s="1" t="s">
        <v>582</v>
      </c>
      <c r="F1697" s="1" t="s">
        <v>463</v>
      </c>
      <c r="G1697" s="1" t="s">
        <v>480</v>
      </c>
      <c r="H1697" s="1" t="n">
        <v>148</v>
      </c>
      <c r="I1697" s="1" t="str">
        <f aca="false">B1697&amp;"|"&amp;F1697&amp;"|"&amp;G1697</f>
        <v>Public Libraries|C|Low Cost</v>
      </c>
      <c r="J1697" s="1" t="s">
        <v>914</v>
      </c>
    </row>
    <row r="1698" customFormat="false" ht="12" hidden="false" customHeight="true" outlineLevel="0" collapsed="false">
      <c r="B1698" s="1" t="s">
        <v>912</v>
      </c>
      <c r="C1698" s="1" t="s">
        <v>913</v>
      </c>
      <c r="D1698" s="1" t="s">
        <v>506</v>
      </c>
      <c r="E1698" s="1" t="s">
        <v>582</v>
      </c>
      <c r="F1698" s="1" t="s">
        <v>468</v>
      </c>
      <c r="G1698" s="1" t="s">
        <v>485</v>
      </c>
      <c r="H1698" s="1" t="n">
        <v>417</v>
      </c>
      <c r="I1698" s="1" t="str">
        <f aca="false">B1698&amp;"|"&amp;F1698&amp;"|"&amp;G1698</f>
        <v>Public Libraries|D|Excellent</v>
      </c>
      <c r="J1698" s="1" t="s">
        <v>914</v>
      </c>
    </row>
    <row r="1699" customFormat="false" ht="12" hidden="false" customHeight="true" outlineLevel="0" collapsed="false">
      <c r="B1699" s="1" t="s">
        <v>912</v>
      </c>
      <c r="C1699" s="1" t="s">
        <v>913</v>
      </c>
      <c r="D1699" s="1" t="s">
        <v>506</v>
      </c>
      <c r="E1699" s="1" t="s">
        <v>582</v>
      </c>
      <c r="F1699" s="1" t="s">
        <v>468</v>
      </c>
      <c r="G1699" s="1" t="s">
        <v>503</v>
      </c>
      <c r="H1699" s="1" t="n">
        <v>323</v>
      </c>
      <c r="I1699" s="1" t="str">
        <f aca="false">B1699&amp;"|"&amp;F1699&amp;"|"&amp;G1699</f>
        <v>Public Libraries|D|Very Good</v>
      </c>
      <c r="J1699" s="1" t="s">
        <v>914</v>
      </c>
    </row>
    <row r="1700" customFormat="false" ht="12" hidden="false" customHeight="true" outlineLevel="0" collapsed="false">
      <c r="B1700" s="1" t="s">
        <v>912</v>
      </c>
      <c r="C1700" s="1" t="s">
        <v>913</v>
      </c>
      <c r="D1700" s="1" t="s">
        <v>506</v>
      </c>
      <c r="E1700" s="1" t="s">
        <v>582</v>
      </c>
      <c r="F1700" s="1" t="s">
        <v>468</v>
      </c>
      <c r="G1700" s="1" t="s">
        <v>483</v>
      </c>
      <c r="H1700" s="1" t="n">
        <v>251</v>
      </c>
      <c r="I1700" s="1" t="str">
        <f aca="false">B1700&amp;"|"&amp;F1700&amp;"|"&amp;G1700</f>
        <v>Public Libraries|D|Good</v>
      </c>
      <c r="J1700" s="1" t="s">
        <v>914</v>
      </c>
    </row>
    <row r="1701" customFormat="false" ht="12" hidden="false" customHeight="true" outlineLevel="0" collapsed="false">
      <c r="B1701" s="1" t="s">
        <v>912</v>
      </c>
      <c r="C1701" s="1" t="s">
        <v>913</v>
      </c>
      <c r="D1701" s="1" t="s">
        <v>506</v>
      </c>
      <c r="E1701" s="1" t="s">
        <v>582</v>
      </c>
      <c r="F1701" s="1" t="s">
        <v>468</v>
      </c>
      <c r="G1701" s="1" t="s">
        <v>279</v>
      </c>
      <c r="H1701" s="1" t="n">
        <v>186</v>
      </c>
      <c r="I1701" s="1" t="str">
        <f aca="false">B1701&amp;"|"&amp;F1701&amp;"|"&amp;G1701</f>
        <v>Public Libraries|D|Average</v>
      </c>
      <c r="J1701" s="1" t="s">
        <v>914</v>
      </c>
    </row>
    <row r="1702" customFormat="false" ht="12" hidden="false" customHeight="true" outlineLevel="0" collapsed="false">
      <c r="B1702" s="1" t="s">
        <v>912</v>
      </c>
      <c r="C1702" s="1" t="s">
        <v>913</v>
      </c>
      <c r="D1702" s="1" t="s">
        <v>506</v>
      </c>
      <c r="E1702" s="1" t="s">
        <v>582</v>
      </c>
      <c r="F1702" s="1" t="s">
        <v>468</v>
      </c>
      <c r="G1702" s="1" t="s">
        <v>480</v>
      </c>
      <c r="H1702" s="1" t="n">
        <v>140</v>
      </c>
      <c r="I1702" s="1" t="str">
        <f aca="false">B1702&amp;"|"&amp;F1702&amp;"|"&amp;G1702</f>
        <v>Public Libraries|D|Low Cost</v>
      </c>
      <c r="J1702" s="1" t="s">
        <v>914</v>
      </c>
    </row>
    <row r="1703" customFormat="false" ht="12" hidden="false" customHeight="true" outlineLevel="0" collapsed="false">
      <c r="B1703" s="1" t="s">
        <v>912</v>
      </c>
      <c r="C1703" s="1" t="s">
        <v>913</v>
      </c>
      <c r="D1703" s="1" t="s">
        <v>506</v>
      </c>
      <c r="E1703" s="1" t="s">
        <v>582</v>
      </c>
      <c r="F1703" s="1" t="s">
        <v>566</v>
      </c>
      <c r="G1703" s="1" t="s">
        <v>480</v>
      </c>
      <c r="H1703" s="1" t="n">
        <v>129</v>
      </c>
      <c r="I1703" s="1" t="str">
        <f aca="false">B1703&amp;"|"&amp;F1703&amp;"|"&amp;G1703</f>
        <v>Public Libraries|DPOLE|Low Cost</v>
      </c>
      <c r="J1703" s="1" t="s">
        <v>914</v>
      </c>
    </row>
    <row r="1704" customFormat="false" ht="12" hidden="false" customHeight="true" outlineLevel="0" collapsed="false">
      <c r="B1704" s="1" t="s">
        <v>912</v>
      </c>
      <c r="C1704" s="1" t="s">
        <v>913</v>
      </c>
      <c r="D1704" s="1" t="s">
        <v>506</v>
      </c>
      <c r="E1704" s="1" t="s">
        <v>582</v>
      </c>
      <c r="F1704" s="1" t="s">
        <v>473</v>
      </c>
      <c r="G1704" s="1" t="s">
        <v>483</v>
      </c>
      <c r="H1704" s="1" t="n">
        <v>241</v>
      </c>
      <c r="I1704" s="1" t="str">
        <f aca="false">B1704&amp;"|"&amp;F1704&amp;"|"&amp;G1704</f>
        <v>Public Libraries|S|Good</v>
      </c>
      <c r="J1704" s="1" t="s">
        <v>914</v>
      </c>
    </row>
    <row r="1705" customFormat="false" ht="12" hidden="false" customHeight="true" outlineLevel="0" collapsed="false">
      <c r="B1705" s="1" t="s">
        <v>912</v>
      </c>
      <c r="C1705" s="1" t="s">
        <v>913</v>
      </c>
      <c r="D1705" s="1" t="s">
        <v>506</v>
      </c>
      <c r="E1705" s="1" t="s">
        <v>582</v>
      </c>
      <c r="F1705" s="1" t="s">
        <v>473</v>
      </c>
      <c r="G1705" s="1" t="s">
        <v>279</v>
      </c>
      <c r="H1705" s="1" t="n">
        <v>178</v>
      </c>
      <c r="I1705" s="1" t="str">
        <f aca="false">B1705&amp;"|"&amp;F1705&amp;"|"&amp;G1705</f>
        <v>Public Libraries|S|Average</v>
      </c>
      <c r="J1705" s="1" t="s">
        <v>914</v>
      </c>
    </row>
    <row r="1706" customFormat="false" ht="12" hidden="false" customHeight="true" outlineLevel="0" collapsed="false">
      <c r="B1706" s="1" t="s">
        <v>912</v>
      </c>
      <c r="C1706" s="1" t="s">
        <v>913</v>
      </c>
      <c r="D1706" s="1" t="s">
        <v>506</v>
      </c>
      <c r="E1706" s="1" t="s">
        <v>582</v>
      </c>
      <c r="F1706" s="1" t="s">
        <v>473</v>
      </c>
      <c r="G1706" s="1" t="s">
        <v>480</v>
      </c>
      <c r="H1706" s="1" t="n">
        <v>134</v>
      </c>
      <c r="I1706" s="1" t="str">
        <f aca="false">B1706&amp;"|"&amp;F1706&amp;"|"&amp;G1706</f>
        <v>Public Libraries|S|Low Cost</v>
      </c>
      <c r="J1706" s="1" t="s">
        <v>914</v>
      </c>
    </row>
    <row r="1707" customFormat="false" ht="12" hidden="false" customHeight="true" outlineLevel="0" collapsed="false">
      <c r="B1707" s="1" t="s">
        <v>915</v>
      </c>
      <c r="C1707" s="1" t="s">
        <v>916</v>
      </c>
      <c r="D1707" s="1" t="s">
        <v>506</v>
      </c>
      <c r="E1707" s="1" t="s">
        <v>586</v>
      </c>
      <c r="F1707" s="1" t="s">
        <v>523</v>
      </c>
      <c r="G1707" s="1" t="s">
        <v>485</v>
      </c>
      <c r="H1707" s="1" t="n">
        <v>615</v>
      </c>
      <c r="I1707" s="1" t="str">
        <f aca="false">B1707&amp;"|"&amp;F1707&amp;"|"&amp;G1707</f>
        <v>Jails – Correctional Facilities|A-B|Excellent</v>
      </c>
      <c r="J1707" s="1" t="s">
        <v>917</v>
      </c>
    </row>
    <row r="1708" customFormat="false" ht="12" hidden="false" customHeight="true" outlineLevel="0" collapsed="false">
      <c r="B1708" s="1" t="s">
        <v>915</v>
      </c>
      <c r="C1708" s="1" t="s">
        <v>916</v>
      </c>
      <c r="D1708" s="1" t="s">
        <v>506</v>
      </c>
      <c r="E1708" s="1" t="s">
        <v>586</v>
      </c>
      <c r="F1708" s="1" t="s">
        <v>523</v>
      </c>
      <c r="G1708" s="1" t="s">
        <v>483</v>
      </c>
      <c r="H1708" s="1" t="n">
        <v>450</v>
      </c>
      <c r="I1708" s="1" t="str">
        <f aca="false">B1708&amp;"|"&amp;F1708&amp;"|"&amp;G1708</f>
        <v>Jails – Correctional Facilities|A-B|Good</v>
      </c>
      <c r="J1708" s="1" t="s">
        <v>917</v>
      </c>
    </row>
    <row r="1709" customFormat="false" ht="12" hidden="false" customHeight="true" outlineLevel="0" collapsed="false">
      <c r="B1709" s="1" t="s">
        <v>915</v>
      </c>
      <c r="C1709" s="1" t="s">
        <v>916</v>
      </c>
      <c r="D1709" s="1" t="s">
        <v>506</v>
      </c>
      <c r="E1709" s="1" t="s">
        <v>586</v>
      </c>
      <c r="F1709" s="1" t="s">
        <v>523</v>
      </c>
      <c r="G1709" s="1" t="s">
        <v>279</v>
      </c>
      <c r="H1709" s="1" t="n">
        <v>335</v>
      </c>
      <c r="I1709" s="1" t="str">
        <f aca="false">B1709&amp;"|"&amp;F1709&amp;"|"&amp;G1709</f>
        <v>Jails – Correctional Facilities|A-B|Average</v>
      </c>
      <c r="J1709" s="1" t="s">
        <v>917</v>
      </c>
    </row>
    <row r="1710" customFormat="false" ht="12" hidden="false" customHeight="true" outlineLevel="0" collapsed="false">
      <c r="B1710" s="1" t="s">
        <v>915</v>
      </c>
      <c r="C1710" s="1" t="s">
        <v>916</v>
      </c>
      <c r="D1710" s="1" t="s">
        <v>506</v>
      </c>
      <c r="E1710" s="1" t="s">
        <v>586</v>
      </c>
      <c r="F1710" s="1" t="s">
        <v>463</v>
      </c>
      <c r="G1710" s="1" t="s">
        <v>485</v>
      </c>
      <c r="H1710" s="1" t="n">
        <v>499</v>
      </c>
      <c r="I1710" s="1" t="str">
        <f aca="false">B1710&amp;"|"&amp;F1710&amp;"|"&amp;G1710</f>
        <v>Jails – Correctional Facilities|C|Excellent</v>
      </c>
      <c r="J1710" s="1" t="s">
        <v>917</v>
      </c>
    </row>
    <row r="1711" customFormat="false" ht="12" hidden="false" customHeight="true" outlineLevel="0" collapsed="false">
      <c r="B1711" s="1" t="s">
        <v>915</v>
      </c>
      <c r="C1711" s="1" t="s">
        <v>916</v>
      </c>
      <c r="D1711" s="1" t="s">
        <v>506</v>
      </c>
      <c r="E1711" s="1" t="s">
        <v>586</v>
      </c>
      <c r="F1711" s="1" t="s">
        <v>463</v>
      </c>
      <c r="G1711" s="1" t="s">
        <v>483</v>
      </c>
      <c r="H1711" s="1" t="n">
        <v>366</v>
      </c>
      <c r="I1711" s="1" t="str">
        <f aca="false">B1711&amp;"|"&amp;F1711&amp;"|"&amp;G1711</f>
        <v>Jails – Correctional Facilities|C|Good</v>
      </c>
      <c r="J1711" s="1" t="s">
        <v>917</v>
      </c>
    </row>
    <row r="1712" customFormat="false" ht="12" hidden="false" customHeight="true" outlineLevel="0" collapsed="false">
      <c r="B1712" s="1" t="s">
        <v>915</v>
      </c>
      <c r="C1712" s="1" t="s">
        <v>916</v>
      </c>
      <c r="D1712" s="1" t="s">
        <v>506</v>
      </c>
      <c r="E1712" s="1" t="s">
        <v>586</v>
      </c>
      <c r="F1712" s="1" t="s">
        <v>463</v>
      </c>
      <c r="G1712" s="1" t="s">
        <v>279</v>
      </c>
      <c r="H1712" s="1" t="n">
        <v>273</v>
      </c>
      <c r="I1712" s="1" t="str">
        <f aca="false">B1712&amp;"|"&amp;F1712&amp;"|"&amp;G1712</f>
        <v>Jails – Correctional Facilities|C|Average</v>
      </c>
      <c r="J1712" s="1" t="s">
        <v>917</v>
      </c>
    </row>
    <row r="1713" customFormat="false" ht="12" hidden="false" customHeight="true" outlineLevel="0" collapsed="false">
      <c r="B1713" s="1" t="s">
        <v>915</v>
      </c>
      <c r="C1713" s="1" t="s">
        <v>916</v>
      </c>
      <c r="D1713" s="1" t="s">
        <v>506</v>
      </c>
      <c r="E1713" s="1" t="s">
        <v>586</v>
      </c>
      <c r="F1713" s="1" t="s">
        <v>463</v>
      </c>
      <c r="G1713" s="1" t="s">
        <v>480</v>
      </c>
      <c r="H1713" s="1" t="n">
        <v>204</v>
      </c>
      <c r="I1713" s="1" t="str">
        <f aca="false">B1713&amp;"|"&amp;F1713&amp;"|"&amp;G1713</f>
        <v>Jails – Correctional Facilities|C|Low Cost</v>
      </c>
      <c r="J1713" s="1" t="s">
        <v>917</v>
      </c>
    </row>
    <row r="1714" customFormat="false" ht="12" hidden="false" customHeight="true" outlineLevel="0" collapsed="false">
      <c r="B1714" s="1" t="s">
        <v>915</v>
      </c>
      <c r="C1714" s="1" t="s">
        <v>916</v>
      </c>
      <c r="D1714" s="1" t="s">
        <v>506</v>
      </c>
      <c r="E1714" s="1" t="s">
        <v>586</v>
      </c>
      <c r="F1714" s="1" t="s">
        <v>468</v>
      </c>
      <c r="G1714" s="1" t="s">
        <v>485</v>
      </c>
      <c r="H1714" s="1" t="n">
        <v>469</v>
      </c>
      <c r="I1714" s="1" t="str">
        <f aca="false">B1714&amp;"|"&amp;F1714&amp;"|"&amp;G1714</f>
        <v>Jails – Correctional Facilities|D|Excellent</v>
      </c>
      <c r="J1714" s="1" t="s">
        <v>917</v>
      </c>
    </row>
    <row r="1715" customFormat="false" ht="12" hidden="false" customHeight="true" outlineLevel="0" collapsed="false">
      <c r="B1715" s="1" t="s">
        <v>915</v>
      </c>
      <c r="C1715" s="1" t="s">
        <v>916</v>
      </c>
      <c r="D1715" s="1" t="s">
        <v>506</v>
      </c>
      <c r="E1715" s="1" t="s">
        <v>586</v>
      </c>
      <c r="F1715" s="1" t="s">
        <v>468</v>
      </c>
      <c r="G1715" s="1" t="s">
        <v>483</v>
      </c>
      <c r="H1715" s="1" t="n">
        <v>349</v>
      </c>
      <c r="I1715" s="1" t="str">
        <f aca="false">B1715&amp;"|"&amp;F1715&amp;"|"&amp;G1715</f>
        <v>Jails – Correctional Facilities|D|Good</v>
      </c>
      <c r="J1715" s="1" t="s">
        <v>917</v>
      </c>
    </row>
    <row r="1716" customFormat="false" ht="12" hidden="false" customHeight="true" outlineLevel="0" collapsed="false">
      <c r="B1716" s="1" t="s">
        <v>915</v>
      </c>
      <c r="C1716" s="1" t="s">
        <v>916</v>
      </c>
      <c r="D1716" s="1" t="s">
        <v>506</v>
      </c>
      <c r="E1716" s="1" t="s">
        <v>586</v>
      </c>
      <c r="F1716" s="1" t="s">
        <v>468</v>
      </c>
      <c r="G1716" s="1" t="s">
        <v>279</v>
      </c>
      <c r="H1716" s="1" t="n">
        <v>258</v>
      </c>
      <c r="I1716" s="1" t="str">
        <f aca="false">B1716&amp;"|"&amp;F1716&amp;"|"&amp;G1716</f>
        <v>Jails – Correctional Facilities|D|Average</v>
      </c>
      <c r="J1716" s="1" t="s">
        <v>917</v>
      </c>
    </row>
    <row r="1717" customFormat="false" ht="12" hidden="false" customHeight="true" outlineLevel="0" collapsed="false">
      <c r="B1717" s="1" t="s">
        <v>915</v>
      </c>
      <c r="C1717" s="1" t="s">
        <v>916</v>
      </c>
      <c r="D1717" s="1" t="s">
        <v>506</v>
      </c>
      <c r="E1717" s="1" t="s">
        <v>586</v>
      </c>
      <c r="F1717" s="1" t="s">
        <v>473</v>
      </c>
      <c r="G1717" s="1" t="s">
        <v>279</v>
      </c>
      <c r="H1717" s="1" t="n">
        <v>256</v>
      </c>
      <c r="I1717" s="1" t="str">
        <f aca="false">B1717&amp;"|"&amp;F1717&amp;"|"&amp;G1717</f>
        <v>Jails – Correctional Facilities|S|Average</v>
      </c>
      <c r="J1717" s="1" t="s">
        <v>917</v>
      </c>
    </row>
    <row r="1718" customFormat="false" ht="12" hidden="false" customHeight="true" outlineLevel="0" collapsed="false">
      <c r="B1718" s="1" t="s">
        <v>918</v>
      </c>
      <c r="C1718" s="1" t="s">
        <v>919</v>
      </c>
      <c r="D1718" s="1" t="s">
        <v>506</v>
      </c>
      <c r="E1718" s="1" t="s">
        <v>586</v>
      </c>
      <c r="F1718" s="1" t="s">
        <v>523</v>
      </c>
      <c r="G1718" s="1" t="s">
        <v>485</v>
      </c>
      <c r="H1718" s="1" t="n">
        <v>405</v>
      </c>
      <c r="I1718" s="1" t="str">
        <f aca="false">B1718&amp;"|"&amp;F1718&amp;"|"&amp;G1718</f>
        <v>Jails – Police Stations|A-B|Excellent</v>
      </c>
      <c r="J1718" s="1" t="s">
        <v>917</v>
      </c>
    </row>
    <row r="1719" customFormat="false" ht="12" hidden="false" customHeight="true" outlineLevel="0" collapsed="false">
      <c r="B1719" s="1" t="s">
        <v>918</v>
      </c>
      <c r="C1719" s="1" t="s">
        <v>919</v>
      </c>
      <c r="D1719" s="1" t="s">
        <v>506</v>
      </c>
      <c r="E1719" s="1" t="s">
        <v>586</v>
      </c>
      <c r="F1719" s="1" t="s">
        <v>523</v>
      </c>
      <c r="G1719" s="1" t="s">
        <v>483</v>
      </c>
      <c r="H1719" s="1" t="n">
        <v>305</v>
      </c>
      <c r="I1719" s="1" t="str">
        <f aca="false">B1719&amp;"|"&amp;F1719&amp;"|"&amp;G1719</f>
        <v>Jails – Police Stations|A-B|Good</v>
      </c>
      <c r="J1719" s="1" t="s">
        <v>917</v>
      </c>
    </row>
    <row r="1720" customFormat="false" ht="12" hidden="false" customHeight="true" outlineLevel="0" collapsed="false">
      <c r="B1720" s="1" t="s">
        <v>918</v>
      </c>
      <c r="C1720" s="1" t="s">
        <v>919</v>
      </c>
      <c r="D1720" s="1" t="s">
        <v>506</v>
      </c>
      <c r="E1720" s="1" t="s">
        <v>586</v>
      </c>
      <c r="F1720" s="1" t="s">
        <v>523</v>
      </c>
      <c r="G1720" s="1" t="s">
        <v>279</v>
      </c>
      <c r="H1720" s="1" t="n">
        <v>240</v>
      </c>
      <c r="I1720" s="1" t="str">
        <f aca="false">B1720&amp;"|"&amp;F1720&amp;"|"&amp;G1720</f>
        <v>Jails – Police Stations|A-B|Average</v>
      </c>
      <c r="J1720" s="1" t="s">
        <v>917</v>
      </c>
    </row>
    <row r="1721" customFormat="false" ht="12" hidden="false" customHeight="true" outlineLevel="0" collapsed="false">
      <c r="B1721" s="1" t="s">
        <v>918</v>
      </c>
      <c r="C1721" s="1" t="s">
        <v>919</v>
      </c>
      <c r="D1721" s="1" t="s">
        <v>506</v>
      </c>
      <c r="E1721" s="1" t="s">
        <v>586</v>
      </c>
      <c r="F1721" s="1" t="s">
        <v>523</v>
      </c>
      <c r="G1721" s="1" t="s">
        <v>480</v>
      </c>
      <c r="H1721" s="1" t="n">
        <v>185</v>
      </c>
      <c r="I1721" s="1" t="str">
        <f aca="false">B1721&amp;"|"&amp;F1721&amp;"|"&amp;G1721</f>
        <v>Jails – Police Stations|A-B|Low Cost</v>
      </c>
      <c r="J1721" s="1" t="s">
        <v>917</v>
      </c>
    </row>
    <row r="1722" customFormat="false" ht="12" hidden="false" customHeight="true" outlineLevel="0" collapsed="false">
      <c r="B1722" s="1" t="s">
        <v>918</v>
      </c>
      <c r="C1722" s="1" t="s">
        <v>919</v>
      </c>
      <c r="D1722" s="1" t="s">
        <v>506</v>
      </c>
      <c r="E1722" s="1" t="s">
        <v>586</v>
      </c>
      <c r="F1722" s="1" t="s">
        <v>463</v>
      </c>
      <c r="G1722" s="1" t="s">
        <v>485</v>
      </c>
      <c r="H1722" s="1" t="n">
        <v>345</v>
      </c>
      <c r="I1722" s="1" t="str">
        <f aca="false">B1722&amp;"|"&amp;F1722&amp;"|"&amp;G1722</f>
        <v>Jails – Police Stations|C|Excellent</v>
      </c>
      <c r="J1722" s="1" t="s">
        <v>917</v>
      </c>
    </row>
    <row r="1723" customFormat="false" ht="12" hidden="false" customHeight="true" outlineLevel="0" collapsed="false">
      <c r="B1723" s="1" t="s">
        <v>918</v>
      </c>
      <c r="C1723" s="1" t="s">
        <v>919</v>
      </c>
      <c r="D1723" s="1" t="s">
        <v>506</v>
      </c>
      <c r="E1723" s="1" t="s">
        <v>586</v>
      </c>
      <c r="F1723" s="1" t="s">
        <v>463</v>
      </c>
      <c r="G1723" s="1" t="s">
        <v>483</v>
      </c>
      <c r="H1723" s="1" t="n">
        <v>259</v>
      </c>
      <c r="I1723" s="1" t="str">
        <f aca="false">B1723&amp;"|"&amp;F1723&amp;"|"&amp;G1723</f>
        <v>Jails – Police Stations|C|Good</v>
      </c>
      <c r="J1723" s="1" t="s">
        <v>917</v>
      </c>
    </row>
    <row r="1724" customFormat="false" ht="12" hidden="false" customHeight="true" outlineLevel="0" collapsed="false">
      <c r="B1724" s="1" t="s">
        <v>918</v>
      </c>
      <c r="C1724" s="1" t="s">
        <v>919</v>
      </c>
      <c r="D1724" s="1" t="s">
        <v>506</v>
      </c>
      <c r="E1724" s="1" t="s">
        <v>586</v>
      </c>
      <c r="F1724" s="1" t="s">
        <v>463</v>
      </c>
      <c r="G1724" s="1" t="s">
        <v>279</v>
      </c>
      <c r="H1724" s="1" t="n">
        <v>194</v>
      </c>
      <c r="I1724" s="1" t="str">
        <f aca="false">B1724&amp;"|"&amp;F1724&amp;"|"&amp;G1724</f>
        <v>Jails – Police Stations|C|Average</v>
      </c>
      <c r="J1724" s="1" t="s">
        <v>917</v>
      </c>
    </row>
    <row r="1725" customFormat="false" ht="12" hidden="false" customHeight="true" outlineLevel="0" collapsed="false">
      <c r="B1725" s="1" t="s">
        <v>918</v>
      </c>
      <c r="C1725" s="1" t="s">
        <v>919</v>
      </c>
      <c r="D1725" s="1" t="s">
        <v>506</v>
      </c>
      <c r="E1725" s="1" t="s">
        <v>586</v>
      </c>
      <c r="F1725" s="1" t="s">
        <v>463</v>
      </c>
      <c r="G1725" s="1" t="s">
        <v>480</v>
      </c>
      <c r="H1725" s="1" t="n">
        <v>146</v>
      </c>
      <c r="I1725" s="1" t="str">
        <f aca="false">B1725&amp;"|"&amp;F1725&amp;"|"&amp;G1725</f>
        <v>Jails – Police Stations|C|Low Cost</v>
      </c>
      <c r="J1725" s="1" t="s">
        <v>917</v>
      </c>
    </row>
    <row r="1726" customFormat="false" ht="12" hidden="false" customHeight="true" outlineLevel="0" collapsed="false">
      <c r="B1726" s="1" t="s">
        <v>918</v>
      </c>
      <c r="C1726" s="1" t="s">
        <v>919</v>
      </c>
      <c r="D1726" s="1" t="s">
        <v>506</v>
      </c>
      <c r="E1726" s="1" t="s">
        <v>586</v>
      </c>
      <c r="F1726" s="1" t="s">
        <v>468</v>
      </c>
      <c r="G1726" s="1" t="s">
        <v>485</v>
      </c>
      <c r="H1726" s="1" t="n">
        <v>331</v>
      </c>
      <c r="I1726" s="1" t="str">
        <f aca="false">B1726&amp;"|"&amp;F1726&amp;"|"&amp;G1726</f>
        <v>Jails – Police Stations|D|Excellent</v>
      </c>
      <c r="J1726" s="1" t="s">
        <v>917</v>
      </c>
    </row>
    <row r="1727" customFormat="false" ht="12" hidden="false" customHeight="true" outlineLevel="0" collapsed="false">
      <c r="B1727" s="1" t="s">
        <v>918</v>
      </c>
      <c r="C1727" s="1" t="s">
        <v>919</v>
      </c>
      <c r="D1727" s="1" t="s">
        <v>506</v>
      </c>
      <c r="E1727" s="1" t="s">
        <v>586</v>
      </c>
      <c r="F1727" s="1" t="s">
        <v>468</v>
      </c>
      <c r="G1727" s="1" t="s">
        <v>483</v>
      </c>
      <c r="H1727" s="1" t="n">
        <v>248</v>
      </c>
      <c r="I1727" s="1" t="str">
        <f aca="false">B1727&amp;"|"&amp;F1727&amp;"|"&amp;G1727</f>
        <v>Jails – Police Stations|D|Good</v>
      </c>
      <c r="J1727" s="1" t="s">
        <v>917</v>
      </c>
    </row>
    <row r="1728" customFormat="false" ht="12" hidden="false" customHeight="true" outlineLevel="0" collapsed="false">
      <c r="B1728" s="1" t="s">
        <v>918</v>
      </c>
      <c r="C1728" s="1" t="s">
        <v>919</v>
      </c>
      <c r="D1728" s="1" t="s">
        <v>506</v>
      </c>
      <c r="E1728" s="1" t="s">
        <v>586</v>
      </c>
      <c r="F1728" s="1" t="s">
        <v>468</v>
      </c>
      <c r="G1728" s="1" t="s">
        <v>279</v>
      </c>
      <c r="H1728" s="1" t="n">
        <v>186</v>
      </c>
      <c r="I1728" s="1" t="str">
        <f aca="false">B1728&amp;"|"&amp;F1728&amp;"|"&amp;G1728</f>
        <v>Jails – Police Stations|D|Average</v>
      </c>
      <c r="J1728" s="1" t="s">
        <v>917</v>
      </c>
    </row>
    <row r="1729" customFormat="false" ht="12" hidden="false" customHeight="true" outlineLevel="0" collapsed="false">
      <c r="B1729" s="1" t="s">
        <v>920</v>
      </c>
      <c r="C1729" s="1" t="s">
        <v>921</v>
      </c>
      <c r="D1729" s="1" t="s">
        <v>506</v>
      </c>
      <c r="E1729" s="1" t="s">
        <v>660</v>
      </c>
      <c r="F1729" s="1" t="s">
        <v>456</v>
      </c>
      <c r="G1729" s="1" t="s">
        <v>485</v>
      </c>
      <c r="H1729" s="1" t="n">
        <v>248</v>
      </c>
      <c r="I1729" s="1" t="str">
        <f aca="false">B1729&amp;"|"&amp;F1729&amp;"|"&amp;G1729</f>
        <v>Shell Office Buildings|A|Excellent</v>
      </c>
      <c r="J1729" s="1" t="s">
        <v>922</v>
      </c>
    </row>
    <row r="1730" customFormat="false" ht="12" hidden="false" customHeight="true" outlineLevel="0" collapsed="false">
      <c r="B1730" s="1" t="s">
        <v>920</v>
      </c>
      <c r="C1730" s="1" t="s">
        <v>921</v>
      </c>
      <c r="D1730" s="1" t="s">
        <v>506</v>
      </c>
      <c r="E1730" s="1" t="s">
        <v>660</v>
      </c>
      <c r="F1730" s="1" t="s">
        <v>456</v>
      </c>
      <c r="G1730" s="1" t="s">
        <v>483</v>
      </c>
      <c r="H1730" s="1" t="n">
        <v>193</v>
      </c>
      <c r="I1730" s="1" t="str">
        <f aca="false">B1730&amp;"|"&amp;F1730&amp;"|"&amp;G1730</f>
        <v>Shell Office Buildings|A|Good</v>
      </c>
      <c r="J1730" s="1" t="s">
        <v>922</v>
      </c>
    </row>
    <row r="1731" customFormat="false" ht="12" hidden="false" customHeight="true" outlineLevel="0" collapsed="false">
      <c r="B1731" s="1" t="s">
        <v>920</v>
      </c>
      <c r="C1731" s="1" t="s">
        <v>921</v>
      </c>
      <c r="D1731" s="1" t="s">
        <v>506</v>
      </c>
      <c r="E1731" s="1" t="s">
        <v>660</v>
      </c>
      <c r="F1731" s="1" t="s">
        <v>456</v>
      </c>
      <c r="G1731" s="1" t="s">
        <v>279</v>
      </c>
      <c r="H1731" s="1" t="n">
        <v>151</v>
      </c>
      <c r="I1731" s="1" t="str">
        <f aca="false">B1731&amp;"|"&amp;F1731&amp;"|"&amp;G1731</f>
        <v>Shell Office Buildings|A|Average</v>
      </c>
      <c r="J1731" s="1" t="s">
        <v>922</v>
      </c>
    </row>
    <row r="1732" customFormat="false" ht="12" hidden="false" customHeight="true" outlineLevel="0" collapsed="false">
      <c r="B1732" s="1" t="s">
        <v>920</v>
      </c>
      <c r="C1732" s="1" t="s">
        <v>921</v>
      </c>
      <c r="D1732" s="1" t="s">
        <v>506</v>
      </c>
      <c r="E1732" s="1" t="s">
        <v>660</v>
      </c>
      <c r="F1732" s="1" t="s">
        <v>456</v>
      </c>
      <c r="G1732" s="1" t="s">
        <v>480</v>
      </c>
      <c r="H1732" s="1" t="n">
        <v>118</v>
      </c>
      <c r="I1732" s="1" t="str">
        <f aca="false">B1732&amp;"|"&amp;F1732&amp;"|"&amp;G1732</f>
        <v>Shell Office Buildings|A|Low Cost</v>
      </c>
      <c r="J1732" s="1" t="s">
        <v>922</v>
      </c>
    </row>
    <row r="1733" customFormat="false" ht="12" hidden="false" customHeight="true" outlineLevel="0" collapsed="false">
      <c r="B1733" s="1" t="s">
        <v>920</v>
      </c>
      <c r="C1733" s="1" t="s">
        <v>921</v>
      </c>
      <c r="D1733" s="1" t="s">
        <v>506</v>
      </c>
      <c r="E1733" s="1" t="s">
        <v>660</v>
      </c>
      <c r="F1733" s="1" t="s">
        <v>461</v>
      </c>
      <c r="G1733" s="1" t="s">
        <v>485</v>
      </c>
      <c r="H1733" s="1" t="n">
        <v>224</v>
      </c>
      <c r="I1733" s="1" t="str">
        <f aca="false">B1733&amp;"|"&amp;F1733&amp;"|"&amp;G1733</f>
        <v>Shell Office Buildings|B|Excellent</v>
      </c>
      <c r="J1733" s="1" t="s">
        <v>922</v>
      </c>
    </row>
    <row r="1734" customFormat="false" ht="12" hidden="false" customHeight="true" outlineLevel="0" collapsed="false">
      <c r="B1734" s="1" t="s">
        <v>920</v>
      </c>
      <c r="C1734" s="1" t="s">
        <v>921</v>
      </c>
      <c r="D1734" s="1" t="s">
        <v>506</v>
      </c>
      <c r="E1734" s="1" t="s">
        <v>660</v>
      </c>
      <c r="F1734" s="1" t="s">
        <v>461</v>
      </c>
      <c r="G1734" s="1" t="s">
        <v>483</v>
      </c>
      <c r="H1734" s="1" t="n">
        <v>172</v>
      </c>
      <c r="I1734" s="1" t="str">
        <f aca="false">B1734&amp;"|"&amp;F1734&amp;"|"&amp;G1734</f>
        <v>Shell Office Buildings|B|Good</v>
      </c>
      <c r="J1734" s="1" t="s">
        <v>922</v>
      </c>
    </row>
    <row r="1735" customFormat="false" ht="12" hidden="false" customHeight="true" outlineLevel="0" collapsed="false">
      <c r="B1735" s="1" t="s">
        <v>920</v>
      </c>
      <c r="C1735" s="1" t="s">
        <v>921</v>
      </c>
      <c r="D1735" s="1" t="s">
        <v>506</v>
      </c>
      <c r="E1735" s="1" t="s">
        <v>660</v>
      </c>
      <c r="F1735" s="1" t="s">
        <v>461</v>
      </c>
      <c r="G1735" s="1" t="s">
        <v>279</v>
      </c>
      <c r="H1735" s="1" t="n">
        <v>132</v>
      </c>
      <c r="I1735" s="1" t="str">
        <f aca="false">B1735&amp;"|"&amp;F1735&amp;"|"&amp;G1735</f>
        <v>Shell Office Buildings|B|Average</v>
      </c>
      <c r="J1735" s="1" t="s">
        <v>922</v>
      </c>
    </row>
    <row r="1736" customFormat="false" ht="12" hidden="false" customHeight="true" outlineLevel="0" collapsed="false">
      <c r="B1736" s="1" t="s">
        <v>920</v>
      </c>
      <c r="C1736" s="1" t="s">
        <v>921</v>
      </c>
      <c r="D1736" s="1" t="s">
        <v>506</v>
      </c>
      <c r="E1736" s="1" t="s">
        <v>660</v>
      </c>
      <c r="F1736" s="1" t="s">
        <v>461</v>
      </c>
      <c r="G1736" s="1" t="s">
        <v>480</v>
      </c>
      <c r="H1736" s="1" t="n">
        <v>102</v>
      </c>
      <c r="I1736" s="1" t="str">
        <f aca="false">B1736&amp;"|"&amp;F1736&amp;"|"&amp;G1736</f>
        <v>Shell Office Buildings|B|Low Cost</v>
      </c>
      <c r="J1736" s="1" t="s">
        <v>922</v>
      </c>
    </row>
    <row r="1737" customFormat="false" ht="12" hidden="false" customHeight="true" outlineLevel="0" collapsed="false">
      <c r="B1737" s="1" t="s">
        <v>920</v>
      </c>
      <c r="C1737" s="1" t="s">
        <v>921</v>
      </c>
      <c r="D1737" s="1" t="s">
        <v>506</v>
      </c>
      <c r="E1737" s="1" t="s">
        <v>754</v>
      </c>
      <c r="F1737" s="1" t="s">
        <v>463</v>
      </c>
      <c r="G1737" s="1" t="s">
        <v>485</v>
      </c>
      <c r="H1737" s="1" t="n">
        <v>192</v>
      </c>
      <c r="I1737" s="1" t="str">
        <f aca="false">B1737&amp;"|"&amp;F1737&amp;"|"&amp;G1737</f>
        <v>Shell Office Buildings|C|Excellent</v>
      </c>
      <c r="J1737" s="1" t="s">
        <v>923</v>
      </c>
    </row>
    <row r="1738" customFormat="false" ht="12" hidden="false" customHeight="true" outlineLevel="0" collapsed="false">
      <c r="B1738" s="1" t="s">
        <v>920</v>
      </c>
      <c r="C1738" s="1" t="s">
        <v>921</v>
      </c>
      <c r="D1738" s="1" t="s">
        <v>506</v>
      </c>
      <c r="E1738" s="1" t="s">
        <v>754</v>
      </c>
      <c r="F1738" s="1" t="s">
        <v>463</v>
      </c>
      <c r="G1738" s="1" t="s">
        <v>483</v>
      </c>
      <c r="H1738" s="1" t="n">
        <v>128</v>
      </c>
      <c r="I1738" s="1" t="str">
        <f aca="false">B1738&amp;"|"&amp;F1738&amp;"|"&amp;G1738</f>
        <v>Shell Office Buildings|C|Good</v>
      </c>
      <c r="J1738" s="1" t="s">
        <v>923</v>
      </c>
    </row>
    <row r="1739" customFormat="false" ht="12" hidden="false" customHeight="true" outlineLevel="0" collapsed="false">
      <c r="B1739" s="1" t="s">
        <v>920</v>
      </c>
      <c r="C1739" s="1" t="s">
        <v>921</v>
      </c>
      <c r="D1739" s="1" t="s">
        <v>506</v>
      </c>
      <c r="E1739" s="1" t="s">
        <v>754</v>
      </c>
      <c r="F1739" s="1" t="s">
        <v>463</v>
      </c>
      <c r="G1739" s="1" t="s">
        <v>279</v>
      </c>
      <c r="H1739" s="1" t="n">
        <v>85</v>
      </c>
      <c r="I1739" s="1" t="str">
        <f aca="false">B1739&amp;"|"&amp;F1739&amp;"|"&amp;G1739</f>
        <v>Shell Office Buildings|C|Average</v>
      </c>
      <c r="J1739" s="1" t="s">
        <v>923</v>
      </c>
    </row>
    <row r="1740" customFormat="false" ht="12" hidden="false" customHeight="true" outlineLevel="0" collapsed="false">
      <c r="B1740" s="1" t="s">
        <v>920</v>
      </c>
      <c r="C1740" s="1" t="s">
        <v>921</v>
      </c>
      <c r="D1740" s="1" t="s">
        <v>506</v>
      </c>
      <c r="E1740" s="1" t="s">
        <v>754</v>
      </c>
      <c r="F1740" s="1" t="s">
        <v>463</v>
      </c>
      <c r="G1740" s="1" t="s">
        <v>480</v>
      </c>
      <c r="H1740" s="1" t="n">
        <v>53.5</v>
      </c>
      <c r="I1740" s="1" t="str">
        <f aca="false">B1740&amp;"|"&amp;F1740&amp;"|"&amp;G1740</f>
        <v>Shell Office Buildings|C|Low Cost</v>
      </c>
      <c r="J1740" s="1" t="s">
        <v>923</v>
      </c>
    </row>
    <row r="1741" customFormat="false" ht="12" hidden="false" customHeight="true" outlineLevel="0" collapsed="false">
      <c r="B1741" s="1" t="s">
        <v>920</v>
      </c>
      <c r="C1741" s="1" t="s">
        <v>921</v>
      </c>
      <c r="D1741" s="1" t="s">
        <v>506</v>
      </c>
      <c r="E1741" s="1" t="s">
        <v>754</v>
      </c>
      <c r="F1741" s="1" t="s">
        <v>468</v>
      </c>
      <c r="G1741" s="1" t="s">
        <v>485</v>
      </c>
      <c r="H1741" s="1" t="n">
        <v>178</v>
      </c>
      <c r="I1741" s="1" t="str">
        <f aca="false">B1741&amp;"|"&amp;F1741&amp;"|"&amp;G1741</f>
        <v>Shell Office Buildings|D|Excellent</v>
      </c>
      <c r="J1741" s="1" t="s">
        <v>923</v>
      </c>
    </row>
    <row r="1742" customFormat="false" ht="12" hidden="false" customHeight="true" outlineLevel="0" collapsed="false">
      <c r="B1742" s="1" t="s">
        <v>920</v>
      </c>
      <c r="C1742" s="1" t="s">
        <v>921</v>
      </c>
      <c r="D1742" s="1" t="s">
        <v>506</v>
      </c>
      <c r="E1742" s="1" t="s">
        <v>754</v>
      </c>
      <c r="F1742" s="1" t="s">
        <v>468</v>
      </c>
      <c r="G1742" s="1" t="s">
        <v>483</v>
      </c>
      <c r="H1742" s="1" t="n">
        <v>118</v>
      </c>
      <c r="I1742" s="1" t="str">
        <f aca="false">B1742&amp;"|"&amp;F1742&amp;"|"&amp;G1742</f>
        <v>Shell Office Buildings|D|Good</v>
      </c>
      <c r="J1742" s="1" t="s">
        <v>923</v>
      </c>
    </row>
    <row r="1743" customFormat="false" ht="12" hidden="false" customHeight="true" outlineLevel="0" collapsed="false">
      <c r="B1743" s="1" t="s">
        <v>920</v>
      </c>
      <c r="C1743" s="1" t="s">
        <v>921</v>
      </c>
      <c r="D1743" s="1" t="s">
        <v>506</v>
      </c>
      <c r="E1743" s="1" t="s">
        <v>754</v>
      </c>
      <c r="F1743" s="1" t="s">
        <v>468</v>
      </c>
      <c r="G1743" s="1" t="s">
        <v>279</v>
      </c>
      <c r="H1743" s="1" t="n">
        <v>77</v>
      </c>
      <c r="I1743" s="1" t="str">
        <f aca="false">B1743&amp;"|"&amp;F1743&amp;"|"&amp;G1743</f>
        <v>Shell Office Buildings|D|Average</v>
      </c>
      <c r="J1743" s="1" t="s">
        <v>923</v>
      </c>
    </row>
    <row r="1744" customFormat="false" ht="12" hidden="false" customHeight="true" outlineLevel="0" collapsed="false">
      <c r="B1744" s="1" t="s">
        <v>920</v>
      </c>
      <c r="C1744" s="1" t="s">
        <v>921</v>
      </c>
      <c r="D1744" s="1" t="s">
        <v>506</v>
      </c>
      <c r="E1744" s="1" t="s">
        <v>754</v>
      </c>
      <c r="F1744" s="1" t="s">
        <v>468</v>
      </c>
      <c r="G1744" s="1" t="s">
        <v>480</v>
      </c>
      <c r="H1744" s="1" t="n">
        <v>48</v>
      </c>
      <c r="I1744" s="1" t="str">
        <f aca="false">B1744&amp;"|"&amp;F1744&amp;"|"&amp;G1744</f>
        <v>Shell Office Buildings|D|Low Cost</v>
      </c>
      <c r="J1744" s="1" t="s">
        <v>923</v>
      </c>
    </row>
    <row r="1745" customFormat="false" ht="12" hidden="false" customHeight="true" outlineLevel="0" collapsed="false">
      <c r="B1745" s="1" t="s">
        <v>920</v>
      </c>
      <c r="C1745" s="1" t="s">
        <v>921</v>
      </c>
      <c r="D1745" s="1" t="s">
        <v>506</v>
      </c>
      <c r="E1745" s="1" t="s">
        <v>754</v>
      </c>
      <c r="F1745" s="1" t="s">
        <v>566</v>
      </c>
      <c r="G1745" s="1" t="s">
        <v>279</v>
      </c>
      <c r="H1745" s="1" t="n">
        <v>62.5</v>
      </c>
      <c r="I1745" s="1" t="str">
        <f aca="false">B1745&amp;"|"&amp;F1745&amp;"|"&amp;G1745</f>
        <v>Shell Office Buildings|DPOLE|Average</v>
      </c>
      <c r="J1745" s="1" t="s">
        <v>923</v>
      </c>
    </row>
    <row r="1746" customFormat="false" ht="12" hidden="false" customHeight="true" outlineLevel="0" collapsed="false">
      <c r="B1746" s="1" t="s">
        <v>920</v>
      </c>
      <c r="C1746" s="1" t="s">
        <v>921</v>
      </c>
      <c r="D1746" s="1" t="s">
        <v>506</v>
      </c>
      <c r="E1746" s="1" t="s">
        <v>754</v>
      </c>
      <c r="F1746" s="1" t="s">
        <v>566</v>
      </c>
      <c r="G1746" s="1" t="s">
        <v>480</v>
      </c>
      <c r="H1746" s="1" t="n">
        <v>38.5</v>
      </c>
      <c r="I1746" s="1" t="str">
        <f aca="false">B1746&amp;"|"&amp;F1746&amp;"|"&amp;G1746</f>
        <v>Shell Office Buildings|DPOLE|Low Cost</v>
      </c>
      <c r="J1746" s="1" t="s">
        <v>923</v>
      </c>
    </row>
    <row r="1747" customFormat="false" ht="12" hidden="false" customHeight="true" outlineLevel="0" collapsed="false">
      <c r="B1747" s="1" t="s">
        <v>920</v>
      </c>
      <c r="C1747" s="1" t="s">
        <v>921</v>
      </c>
      <c r="D1747" s="1" t="s">
        <v>506</v>
      </c>
      <c r="E1747" s="1" t="s">
        <v>754</v>
      </c>
      <c r="F1747" s="1" t="s">
        <v>473</v>
      </c>
      <c r="G1747" s="1" t="s">
        <v>483</v>
      </c>
      <c r="H1747" s="1" t="n">
        <v>109</v>
      </c>
      <c r="I1747" s="1" t="str">
        <f aca="false">B1747&amp;"|"&amp;F1747&amp;"|"&amp;G1747</f>
        <v>Shell Office Buildings|S|Good</v>
      </c>
      <c r="J1747" s="1" t="s">
        <v>923</v>
      </c>
    </row>
    <row r="1748" customFormat="false" ht="12" hidden="false" customHeight="true" outlineLevel="0" collapsed="false">
      <c r="B1748" s="1" t="s">
        <v>920</v>
      </c>
      <c r="C1748" s="1" t="s">
        <v>921</v>
      </c>
      <c r="D1748" s="1" t="s">
        <v>506</v>
      </c>
      <c r="E1748" s="1" t="s">
        <v>754</v>
      </c>
      <c r="F1748" s="1" t="s">
        <v>473</v>
      </c>
      <c r="G1748" s="1" t="s">
        <v>279</v>
      </c>
      <c r="H1748" s="1" t="n">
        <v>66.5</v>
      </c>
      <c r="I1748" s="1" t="str">
        <f aca="false">B1748&amp;"|"&amp;F1748&amp;"|"&amp;G1748</f>
        <v>Shell Office Buildings|S|Average</v>
      </c>
      <c r="J1748" s="1" t="s">
        <v>923</v>
      </c>
    </row>
    <row r="1749" customFormat="false" ht="12" hidden="false" customHeight="true" outlineLevel="0" collapsed="false">
      <c r="B1749" s="1" t="s">
        <v>920</v>
      </c>
      <c r="C1749" s="1" t="s">
        <v>921</v>
      </c>
      <c r="D1749" s="1" t="s">
        <v>506</v>
      </c>
      <c r="E1749" s="1" t="s">
        <v>754</v>
      </c>
      <c r="F1749" s="1" t="s">
        <v>473</v>
      </c>
      <c r="G1749" s="1" t="s">
        <v>480</v>
      </c>
      <c r="H1749" s="1" t="n">
        <v>41.75</v>
      </c>
      <c r="I1749" s="1" t="str">
        <f aca="false">B1749&amp;"|"&amp;F1749&amp;"|"&amp;G1749</f>
        <v>Shell Office Buildings|S|Low Cost</v>
      </c>
      <c r="J1749" s="1" t="s">
        <v>923</v>
      </c>
    </row>
    <row r="1750" customFormat="false" ht="12" hidden="false" customHeight="true" outlineLevel="0" collapsed="false">
      <c r="B1750" s="1" t="s">
        <v>924</v>
      </c>
      <c r="C1750" s="1" t="s">
        <v>925</v>
      </c>
      <c r="D1750" s="1" t="s">
        <v>511</v>
      </c>
      <c r="E1750" s="1" t="s">
        <v>926</v>
      </c>
      <c r="F1750" s="1" t="s">
        <v>456</v>
      </c>
      <c r="G1750" s="1" t="s">
        <v>483</v>
      </c>
      <c r="H1750" s="1" t="n">
        <v>358</v>
      </c>
      <c r="I1750" s="1" t="str">
        <f aca="false">B1750&amp;"|"&amp;F1750&amp;"|"&amp;G1750</f>
        <v>Churches with Sunday Schools|A|Good</v>
      </c>
      <c r="J1750" s="1" t="s">
        <v>927</v>
      </c>
    </row>
    <row r="1751" customFormat="false" ht="12" hidden="false" customHeight="true" outlineLevel="0" collapsed="false">
      <c r="B1751" s="1" t="s">
        <v>924</v>
      </c>
      <c r="C1751" s="1" t="s">
        <v>925</v>
      </c>
      <c r="D1751" s="1" t="s">
        <v>511</v>
      </c>
      <c r="E1751" s="1" t="s">
        <v>926</v>
      </c>
      <c r="F1751" s="1" t="s">
        <v>456</v>
      </c>
      <c r="G1751" s="1" t="s">
        <v>279</v>
      </c>
      <c r="H1751" s="1" t="n">
        <v>263</v>
      </c>
      <c r="I1751" s="1" t="str">
        <f aca="false">B1751&amp;"|"&amp;F1751&amp;"|"&amp;G1751</f>
        <v>Churches with Sunday Schools|A|Average</v>
      </c>
      <c r="J1751" s="1" t="s">
        <v>927</v>
      </c>
    </row>
    <row r="1752" customFormat="false" ht="12" hidden="false" customHeight="true" outlineLevel="0" collapsed="false">
      <c r="B1752" s="1" t="s">
        <v>924</v>
      </c>
      <c r="C1752" s="1" t="s">
        <v>925</v>
      </c>
      <c r="D1752" s="1" t="s">
        <v>511</v>
      </c>
      <c r="E1752" s="1" t="s">
        <v>926</v>
      </c>
      <c r="F1752" s="1" t="s">
        <v>461</v>
      </c>
      <c r="G1752" s="1" t="s">
        <v>483</v>
      </c>
      <c r="H1752" s="1" t="n">
        <v>323</v>
      </c>
      <c r="I1752" s="1" t="str">
        <f aca="false">B1752&amp;"|"&amp;F1752&amp;"|"&amp;G1752</f>
        <v>Churches with Sunday Schools|B|Good</v>
      </c>
      <c r="J1752" s="1" t="s">
        <v>927</v>
      </c>
    </row>
    <row r="1753" customFormat="false" ht="12" hidden="false" customHeight="true" outlineLevel="0" collapsed="false">
      <c r="B1753" s="1" t="s">
        <v>924</v>
      </c>
      <c r="C1753" s="1" t="s">
        <v>925</v>
      </c>
      <c r="D1753" s="1" t="s">
        <v>511</v>
      </c>
      <c r="E1753" s="1" t="s">
        <v>926</v>
      </c>
      <c r="F1753" s="1" t="s">
        <v>461</v>
      </c>
      <c r="G1753" s="1" t="s">
        <v>279</v>
      </c>
      <c r="H1753" s="1" t="n">
        <v>238</v>
      </c>
      <c r="I1753" s="1" t="str">
        <f aca="false">B1753&amp;"|"&amp;F1753&amp;"|"&amp;G1753</f>
        <v>Churches with Sunday Schools|B|Average</v>
      </c>
      <c r="J1753" s="1" t="s">
        <v>927</v>
      </c>
    </row>
    <row r="1754" customFormat="false" ht="12" hidden="false" customHeight="true" outlineLevel="0" collapsed="false">
      <c r="B1754" s="1" t="s">
        <v>924</v>
      </c>
      <c r="C1754" s="1" t="s">
        <v>925</v>
      </c>
      <c r="D1754" s="1" t="s">
        <v>511</v>
      </c>
      <c r="E1754" s="1" t="s">
        <v>926</v>
      </c>
      <c r="F1754" s="1" t="s">
        <v>463</v>
      </c>
      <c r="G1754" s="1" t="s">
        <v>485</v>
      </c>
      <c r="H1754" s="1" t="n">
        <v>340</v>
      </c>
      <c r="I1754" s="1" t="str">
        <f aca="false">B1754&amp;"|"&amp;F1754&amp;"|"&amp;G1754</f>
        <v>Churches with Sunday Schools|C|Excellent</v>
      </c>
      <c r="J1754" s="1" t="s">
        <v>927</v>
      </c>
    </row>
    <row r="1755" customFormat="false" ht="12" hidden="false" customHeight="true" outlineLevel="0" collapsed="false">
      <c r="B1755" s="1" t="s">
        <v>924</v>
      </c>
      <c r="C1755" s="1" t="s">
        <v>925</v>
      </c>
      <c r="D1755" s="1" t="s">
        <v>511</v>
      </c>
      <c r="E1755" s="1" t="s">
        <v>926</v>
      </c>
      <c r="F1755" s="1" t="s">
        <v>463</v>
      </c>
      <c r="G1755" s="1" t="s">
        <v>483</v>
      </c>
      <c r="H1755" s="1" t="n">
        <v>254</v>
      </c>
      <c r="I1755" s="1" t="str">
        <f aca="false">B1755&amp;"|"&amp;F1755&amp;"|"&amp;G1755</f>
        <v>Churches with Sunday Schools|C|Good</v>
      </c>
      <c r="J1755" s="1" t="s">
        <v>927</v>
      </c>
    </row>
    <row r="1756" customFormat="false" ht="12" hidden="false" customHeight="true" outlineLevel="0" collapsed="false">
      <c r="B1756" s="1" t="s">
        <v>924</v>
      </c>
      <c r="C1756" s="1" t="s">
        <v>925</v>
      </c>
      <c r="D1756" s="1" t="s">
        <v>511</v>
      </c>
      <c r="E1756" s="1" t="s">
        <v>926</v>
      </c>
      <c r="F1756" s="1" t="s">
        <v>463</v>
      </c>
      <c r="G1756" s="1" t="s">
        <v>279</v>
      </c>
      <c r="H1756" s="1" t="n">
        <v>182</v>
      </c>
      <c r="I1756" s="1" t="str">
        <f aca="false">B1756&amp;"|"&amp;F1756&amp;"|"&amp;G1756</f>
        <v>Churches with Sunday Schools|C|Average</v>
      </c>
      <c r="J1756" s="1" t="s">
        <v>927</v>
      </c>
    </row>
    <row r="1757" customFormat="false" ht="12" hidden="false" customHeight="true" outlineLevel="0" collapsed="false">
      <c r="B1757" s="1" t="s">
        <v>924</v>
      </c>
      <c r="C1757" s="1" t="s">
        <v>925</v>
      </c>
      <c r="D1757" s="1" t="s">
        <v>511</v>
      </c>
      <c r="E1757" s="1" t="s">
        <v>926</v>
      </c>
      <c r="F1757" s="1" t="s">
        <v>468</v>
      </c>
      <c r="G1757" s="1" t="s">
        <v>485</v>
      </c>
      <c r="H1757" s="1" t="n">
        <v>321</v>
      </c>
      <c r="I1757" s="1" t="str">
        <f aca="false">B1757&amp;"|"&amp;F1757&amp;"|"&amp;G1757</f>
        <v>Churches with Sunday Schools|D|Excellent</v>
      </c>
      <c r="J1757" s="1" t="s">
        <v>927</v>
      </c>
    </row>
    <row r="1758" customFormat="false" ht="12" hidden="false" customHeight="true" outlineLevel="0" collapsed="false">
      <c r="B1758" s="1" t="s">
        <v>924</v>
      </c>
      <c r="C1758" s="1" t="s">
        <v>925</v>
      </c>
      <c r="D1758" s="1" t="s">
        <v>511</v>
      </c>
      <c r="E1758" s="1" t="s">
        <v>926</v>
      </c>
      <c r="F1758" s="1" t="s">
        <v>468</v>
      </c>
      <c r="G1758" s="1" t="s">
        <v>483</v>
      </c>
      <c r="H1758" s="1" t="n">
        <v>241</v>
      </c>
      <c r="I1758" s="1" t="str">
        <f aca="false">B1758&amp;"|"&amp;F1758&amp;"|"&amp;G1758</f>
        <v>Churches with Sunday Schools|D|Good</v>
      </c>
      <c r="J1758" s="1" t="s">
        <v>927</v>
      </c>
    </row>
    <row r="1759" customFormat="false" ht="12" hidden="false" customHeight="true" outlineLevel="0" collapsed="false">
      <c r="B1759" s="1" t="s">
        <v>924</v>
      </c>
      <c r="C1759" s="1" t="s">
        <v>925</v>
      </c>
      <c r="D1759" s="1" t="s">
        <v>511</v>
      </c>
      <c r="E1759" s="1" t="s">
        <v>926</v>
      </c>
      <c r="F1759" s="1" t="s">
        <v>468</v>
      </c>
      <c r="G1759" s="1" t="s">
        <v>279</v>
      </c>
      <c r="H1759" s="1" t="n">
        <v>174</v>
      </c>
      <c r="I1759" s="1" t="str">
        <f aca="false">B1759&amp;"|"&amp;F1759&amp;"|"&amp;G1759</f>
        <v>Churches with Sunday Schools|D|Average</v>
      </c>
      <c r="J1759" s="1" t="s">
        <v>927</v>
      </c>
    </row>
    <row r="1760" customFormat="false" ht="12" hidden="false" customHeight="true" outlineLevel="0" collapsed="false">
      <c r="B1760" s="1" t="s">
        <v>924</v>
      </c>
      <c r="C1760" s="1" t="s">
        <v>925</v>
      </c>
      <c r="D1760" s="1" t="s">
        <v>511</v>
      </c>
      <c r="E1760" s="1" t="s">
        <v>926</v>
      </c>
      <c r="F1760" s="1" t="s">
        <v>566</v>
      </c>
      <c r="G1760" s="1" t="s">
        <v>483</v>
      </c>
      <c r="H1760" s="1" t="n">
        <v>230</v>
      </c>
      <c r="I1760" s="1" t="str">
        <f aca="false">B1760&amp;"|"&amp;F1760&amp;"|"&amp;G1760</f>
        <v>Churches with Sunday Schools|DPOLE|Good</v>
      </c>
      <c r="J1760" s="1" t="s">
        <v>927</v>
      </c>
    </row>
    <row r="1761" customFormat="false" ht="12" hidden="false" customHeight="true" outlineLevel="0" collapsed="false">
      <c r="B1761" s="1" t="s">
        <v>924</v>
      </c>
      <c r="C1761" s="1" t="s">
        <v>925</v>
      </c>
      <c r="D1761" s="1" t="s">
        <v>511</v>
      </c>
      <c r="E1761" s="1" t="s">
        <v>926</v>
      </c>
      <c r="F1761" s="1" t="s">
        <v>473</v>
      </c>
      <c r="G1761" s="1" t="s">
        <v>279</v>
      </c>
      <c r="H1761" s="1" t="n">
        <v>168</v>
      </c>
      <c r="I1761" s="1" t="str">
        <f aca="false">B1761&amp;"|"&amp;F1761&amp;"|"&amp;G1761</f>
        <v>Churches with Sunday Schools|S|Average</v>
      </c>
      <c r="J1761" s="1" t="s">
        <v>927</v>
      </c>
    </row>
    <row r="1762" customFormat="false" ht="12" hidden="false" customHeight="true" outlineLevel="0" collapsed="false">
      <c r="B1762" s="1" t="s">
        <v>928</v>
      </c>
      <c r="C1762" s="1" t="s">
        <v>929</v>
      </c>
      <c r="D1762" s="1" t="s">
        <v>511</v>
      </c>
      <c r="E1762" s="1" t="s">
        <v>591</v>
      </c>
      <c r="F1762" s="1" t="s">
        <v>456</v>
      </c>
      <c r="G1762" s="1" t="s">
        <v>485</v>
      </c>
      <c r="H1762" s="1" t="n">
        <v>520</v>
      </c>
      <c r="I1762" s="1" t="str">
        <f aca="false">B1762&amp;"|"&amp;F1762&amp;"|"&amp;G1762</f>
        <v>Churches – Sanctuaries (Chapels)|A|Excellent</v>
      </c>
      <c r="J1762" s="1" t="s">
        <v>930</v>
      </c>
    </row>
    <row r="1763" customFormat="false" ht="12" hidden="false" customHeight="true" outlineLevel="0" collapsed="false">
      <c r="B1763" s="1" t="s">
        <v>928</v>
      </c>
      <c r="C1763" s="1" t="s">
        <v>929</v>
      </c>
      <c r="D1763" s="1" t="s">
        <v>511</v>
      </c>
      <c r="E1763" s="1" t="s">
        <v>591</v>
      </c>
      <c r="F1763" s="1" t="s">
        <v>456</v>
      </c>
      <c r="G1763" s="1" t="s">
        <v>483</v>
      </c>
      <c r="H1763" s="1" t="n">
        <v>383</v>
      </c>
      <c r="I1763" s="1" t="str">
        <f aca="false">B1763&amp;"|"&amp;F1763&amp;"|"&amp;G1763</f>
        <v>Churches – Sanctuaries (Chapels)|A|Good</v>
      </c>
      <c r="J1763" s="1" t="s">
        <v>930</v>
      </c>
    </row>
    <row r="1764" customFormat="false" ht="12" hidden="false" customHeight="true" outlineLevel="0" collapsed="false">
      <c r="B1764" s="1" t="s">
        <v>928</v>
      </c>
      <c r="C1764" s="1" t="s">
        <v>929</v>
      </c>
      <c r="D1764" s="1" t="s">
        <v>511</v>
      </c>
      <c r="E1764" s="1" t="s">
        <v>591</v>
      </c>
      <c r="F1764" s="1" t="s">
        <v>456</v>
      </c>
      <c r="G1764" s="1" t="s">
        <v>279</v>
      </c>
      <c r="H1764" s="1" t="n">
        <v>275</v>
      </c>
      <c r="I1764" s="1" t="str">
        <f aca="false">B1764&amp;"|"&amp;F1764&amp;"|"&amp;G1764</f>
        <v>Churches – Sanctuaries (Chapels)|A|Average</v>
      </c>
      <c r="J1764" s="1" t="s">
        <v>930</v>
      </c>
    </row>
    <row r="1765" customFormat="false" ht="12" hidden="false" customHeight="true" outlineLevel="0" collapsed="false">
      <c r="B1765" s="1" t="s">
        <v>928</v>
      </c>
      <c r="C1765" s="1" t="s">
        <v>929</v>
      </c>
      <c r="D1765" s="1" t="s">
        <v>511</v>
      </c>
      <c r="E1765" s="1" t="s">
        <v>591</v>
      </c>
      <c r="F1765" s="1" t="s">
        <v>461</v>
      </c>
      <c r="G1765" s="1" t="s">
        <v>485</v>
      </c>
      <c r="H1765" s="1" t="n">
        <v>469</v>
      </c>
      <c r="I1765" s="1" t="str">
        <f aca="false">B1765&amp;"|"&amp;F1765&amp;"|"&amp;G1765</f>
        <v>Churches – Sanctuaries (Chapels)|B|Excellent</v>
      </c>
      <c r="J1765" s="1" t="s">
        <v>930</v>
      </c>
    </row>
    <row r="1766" customFormat="false" ht="12" hidden="false" customHeight="true" outlineLevel="0" collapsed="false">
      <c r="B1766" s="1" t="s">
        <v>928</v>
      </c>
      <c r="C1766" s="1" t="s">
        <v>929</v>
      </c>
      <c r="D1766" s="1" t="s">
        <v>511</v>
      </c>
      <c r="E1766" s="1" t="s">
        <v>591</v>
      </c>
      <c r="F1766" s="1" t="s">
        <v>461</v>
      </c>
      <c r="G1766" s="1" t="s">
        <v>483</v>
      </c>
      <c r="H1766" s="1" t="n">
        <v>346</v>
      </c>
      <c r="I1766" s="1" t="str">
        <f aca="false">B1766&amp;"|"&amp;F1766&amp;"|"&amp;G1766</f>
        <v>Churches – Sanctuaries (Chapels)|B|Good</v>
      </c>
      <c r="J1766" s="1" t="s">
        <v>930</v>
      </c>
    </row>
    <row r="1767" customFormat="false" ht="12" hidden="false" customHeight="true" outlineLevel="0" collapsed="false">
      <c r="B1767" s="1" t="s">
        <v>928</v>
      </c>
      <c r="C1767" s="1" t="s">
        <v>929</v>
      </c>
      <c r="D1767" s="1" t="s">
        <v>511</v>
      </c>
      <c r="E1767" s="1" t="s">
        <v>591</v>
      </c>
      <c r="F1767" s="1" t="s">
        <v>461</v>
      </c>
      <c r="G1767" s="1" t="s">
        <v>279</v>
      </c>
      <c r="H1767" s="1" t="n">
        <v>249</v>
      </c>
      <c r="I1767" s="1" t="str">
        <f aca="false">B1767&amp;"|"&amp;F1767&amp;"|"&amp;G1767</f>
        <v>Churches – Sanctuaries (Chapels)|B|Average</v>
      </c>
      <c r="J1767" s="1" t="s">
        <v>930</v>
      </c>
    </row>
    <row r="1768" customFormat="false" ht="12" hidden="false" customHeight="true" outlineLevel="0" collapsed="false">
      <c r="B1768" s="1" t="s">
        <v>928</v>
      </c>
      <c r="C1768" s="1" t="s">
        <v>929</v>
      </c>
      <c r="D1768" s="1" t="s">
        <v>511</v>
      </c>
      <c r="E1768" s="1" t="s">
        <v>591</v>
      </c>
      <c r="F1768" s="1" t="s">
        <v>463</v>
      </c>
      <c r="G1768" s="1" t="s">
        <v>485</v>
      </c>
      <c r="H1768" s="1" t="n">
        <v>359</v>
      </c>
      <c r="I1768" s="1" t="str">
        <f aca="false">B1768&amp;"|"&amp;F1768&amp;"|"&amp;G1768</f>
        <v>Churches – Sanctuaries (Chapels)|C|Excellent</v>
      </c>
      <c r="J1768" s="1" t="s">
        <v>930</v>
      </c>
    </row>
    <row r="1769" customFormat="false" ht="12" hidden="false" customHeight="true" outlineLevel="0" collapsed="false">
      <c r="B1769" s="1" t="s">
        <v>928</v>
      </c>
      <c r="C1769" s="1" t="s">
        <v>929</v>
      </c>
      <c r="D1769" s="1" t="s">
        <v>511</v>
      </c>
      <c r="E1769" s="1" t="s">
        <v>591</v>
      </c>
      <c r="F1769" s="1" t="s">
        <v>463</v>
      </c>
      <c r="G1769" s="1" t="s">
        <v>483</v>
      </c>
      <c r="H1769" s="1" t="n">
        <v>264</v>
      </c>
      <c r="I1769" s="1" t="str">
        <f aca="false">B1769&amp;"|"&amp;F1769&amp;"|"&amp;G1769</f>
        <v>Churches – Sanctuaries (Chapels)|C|Good</v>
      </c>
      <c r="J1769" s="1" t="s">
        <v>930</v>
      </c>
    </row>
    <row r="1770" customFormat="false" ht="12" hidden="false" customHeight="true" outlineLevel="0" collapsed="false">
      <c r="B1770" s="1" t="s">
        <v>928</v>
      </c>
      <c r="C1770" s="1" t="s">
        <v>929</v>
      </c>
      <c r="D1770" s="1" t="s">
        <v>511</v>
      </c>
      <c r="E1770" s="1" t="s">
        <v>591</v>
      </c>
      <c r="F1770" s="1" t="s">
        <v>463</v>
      </c>
      <c r="G1770" s="1" t="s">
        <v>279</v>
      </c>
      <c r="H1770" s="1" t="n">
        <v>188</v>
      </c>
      <c r="I1770" s="1" t="str">
        <f aca="false">B1770&amp;"|"&amp;F1770&amp;"|"&amp;G1770</f>
        <v>Churches – Sanctuaries (Chapels)|C|Average</v>
      </c>
      <c r="J1770" s="1" t="s">
        <v>930</v>
      </c>
    </row>
    <row r="1771" customFormat="false" ht="12" hidden="false" customHeight="true" outlineLevel="0" collapsed="false">
      <c r="B1771" s="1" t="s">
        <v>928</v>
      </c>
      <c r="C1771" s="1" t="s">
        <v>929</v>
      </c>
      <c r="D1771" s="1" t="s">
        <v>511</v>
      </c>
      <c r="E1771" s="1" t="s">
        <v>591</v>
      </c>
      <c r="F1771" s="1" t="s">
        <v>468</v>
      </c>
      <c r="G1771" s="1" t="s">
        <v>485</v>
      </c>
      <c r="H1771" s="1" t="n">
        <v>345</v>
      </c>
      <c r="I1771" s="1" t="str">
        <f aca="false">B1771&amp;"|"&amp;F1771&amp;"|"&amp;G1771</f>
        <v>Churches – Sanctuaries (Chapels)|D|Excellent</v>
      </c>
      <c r="J1771" s="1" t="s">
        <v>930</v>
      </c>
    </row>
    <row r="1772" customFormat="false" ht="12" hidden="false" customHeight="true" outlineLevel="0" collapsed="false">
      <c r="B1772" s="1" t="s">
        <v>928</v>
      </c>
      <c r="C1772" s="1" t="s">
        <v>929</v>
      </c>
      <c r="D1772" s="1" t="s">
        <v>511</v>
      </c>
      <c r="E1772" s="1" t="s">
        <v>591</v>
      </c>
      <c r="F1772" s="1" t="s">
        <v>468</v>
      </c>
      <c r="G1772" s="1" t="s">
        <v>483</v>
      </c>
      <c r="H1772" s="1" t="n">
        <v>254</v>
      </c>
      <c r="I1772" s="1" t="str">
        <f aca="false">B1772&amp;"|"&amp;F1772&amp;"|"&amp;G1772</f>
        <v>Churches – Sanctuaries (Chapels)|D|Good</v>
      </c>
      <c r="J1772" s="1" t="s">
        <v>930</v>
      </c>
    </row>
    <row r="1773" customFormat="false" ht="12" hidden="false" customHeight="true" outlineLevel="0" collapsed="false">
      <c r="B1773" s="1" t="s">
        <v>928</v>
      </c>
      <c r="C1773" s="1" t="s">
        <v>929</v>
      </c>
      <c r="D1773" s="1" t="s">
        <v>511</v>
      </c>
      <c r="E1773" s="1" t="s">
        <v>591</v>
      </c>
      <c r="F1773" s="1" t="s">
        <v>468</v>
      </c>
      <c r="G1773" s="1" t="s">
        <v>279</v>
      </c>
      <c r="H1773" s="1" t="n">
        <v>181</v>
      </c>
      <c r="I1773" s="1" t="str">
        <f aca="false">B1773&amp;"|"&amp;F1773&amp;"|"&amp;G1773</f>
        <v>Churches – Sanctuaries (Chapels)|D|Average</v>
      </c>
      <c r="J1773" s="1" t="s">
        <v>930</v>
      </c>
    </row>
    <row r="1774" customFormat="false" ht="12" hidden="false" customHeight="true" outlineLevel="0" collapsed="false">
      <c r="B1774" s="1" t="s">
        <v>928</v>
      </c>
      <c r="C1774" s="1" t="s">
        <v>929</v>
      </c>
      <c r="D1774" s="1" t="s">
        <v>511</v>
      </c>
      <c r="E1774" s="1" t="s">
        <v>591</v>
      </c>
      <c r="F1774" s="1" t="s">
        <v>566</v>
      </c>
      <c r="G1774" s="1" t="s">
        <v>279</v>
      </c>
      <c r="H1774" s="1" t="n">
        <v>164</v>
      </c>
      <c r="I1774" s="1" t="str">
        <f aca="false">B1774&amp;"|"&amp;F1774&amp;"|"&amp;G1774</f>
        <v>Churches – Sanctuaries (Chapels)|DPOLE|Average</v>
      </c>
      <c r="J1774" s="1" t="s">
        <v>930</v>
      </c>
    </row>
    <row r="1775" customFormat="false" ht="12" hidden="false" customHeight="true" outlineLevel="0" collapsed="false">
      <c r="B1775" s="1" t="s">
        <v>928</v>
      </c>
      <c r="C1775" s="1" t="s">
        <v>929</v>
      </c>
      <c r="D1775" s="1" t="s">
        <v>511</v>
      </c>
      <c r="E1775" s="1" t="s">
        <v>591</v>
      </c>
      <c r="F1775" s="1" t="s">
        <v>473</v>
      </c>
      <c r="G1775" s="1" t="s">
        <v>483</v>
      </c>
      <c r="H1775" s="1" t="n">
        <v>238</v>
      </c>
      <c r="I1775" s="1" t="str">
        <f aca="false">B1775&amp;"|"&amp;F1775&amp;"|"&amp;G1775</f>
        <v>Churches – Sanctuaries (Chapels)|S|Good</v>
      </c>
      <c r="J1775" s="1" t="s">
        <v>930</v>
      </c>
    </row>
    <row r="1776" customFormat="false" ht="12" hidden="false" customHeight="true" outlineLevel="0" collapsed="false">
      <c r="B1776" s="1" t="s">
        <v>928</v>
      </c>
      <c r="C1776" s="1" t="s">
        <v>929</v>
      </c>
      <c r="D1776" s="1" t="s">
        <v>511</v>
      </c>
      <c r="E1776" s="1" t="s">
        <v>591</v>
      </c>
      <c r="F1776" s="1" t="s">
        <v>473</v>
      </c>
      <c r="G1776" s="1" t="s">
        <v>279</v>
      </c>
      <c r="H1776" s="1" t="n">
        <v>172</v>
      </c>
      <c r="I1776" s="1" t="str">
        <f aca="false">B1776&amp;"|"&amp;F1776&amp;"|"&amp;G1776</f>
        <v>Churches – Sanctuaries (Chapels)|S|Average</v>
      </c>
      <c r="J1776" s="1" t="s">
        <v>930</v>
      </c>
    </row>
    <row r="1777" customFormat="false" ht="12" hidden="false" customHeight="true" outlineLevel="0" collapsed="false">
      <c r="B1777" s="1" t="s">
        <v>931</v>
      </c>
      <c r="C1777" s="1" t="s">
        <v>932</v>
      </c>
      <c r="D1777" s="1" t="s">
        <v>511</v>
      </c>
      <c r="E1777" s="1" t="s">
        <v>595</v>
      </c>
      <c r="F1777" s="1" t="s">
        <v>523</v>
      </c>
      <c r="G1777" s="1" t="s">
        <v>483</v>
      </c>
      <c r="H1777" s="1" t="n">
        <v>282</v>
      </c>
      <c r="I1777" s="1" t="str">
        <f aca="false">B1777&amp;"|"&amp;F1777&amp;"|"&amp;G1777</f>
        <v>Fellowship Halls|A-B|Good</v>
      </c>
      <c r="J1777" s="1" t="s">
        <v>933</v>
      </c>
    </row>
    <row r="1778" customFormat="false" ht="12" hidden="false" customHeight="true" outlineLevel="0" collapsed="false">
      <c r="B1778" s="1" t="s">
        <v>931</v>
      </c>
      <c r="C1778" s="1" t="s">
        <v>932</v>
      </c>
      <c r="D1778" s="1" t="s">
        <v>511</v>
      </c>
      <c r="E1778" s="1" t="s">
        <v>595</v>
      </c>
      <c r="F1778" s="1" t="s">
        <v>523</v>
      </c>
      <c r="G1778" s="1" t="s">
        <v>279</v>
      </c>
      <c r="H1778" s="1" t="n">
        <v>206</v>
      </c>
      <c r="I1778" s="1" t="str">
        <f aca="false">B1778&amp;"|"&amp;F1778&amp;"|"&amp;G1778</f>
        <v>Fellowship Halls|A-B|Average</v>
      </c>
      <c r="J1778" s="1" t="s">
        <v>933</v>
      </c>
    </row>
    <row r="1779" customFormat="false" ht="12" hidden="false" customHeight="true" outlineLevel="0" collapsed="false">
      <c r="B1779" s="1" t="s">
        <v>931</v>
      </c>
      <c r="C1779" s="1" t="s">
        <v>932</v>
      </c>
      <c r="D1779" s="1" t="s">
        <v>511</v>
      </c>
      <c r="E1779" s="1" t="s">
        <v>595</v>
      </c>
      <c r="F1779" s="1" t="s">
        <v>463</v>
      </c>
      <c r="G1779" s="1" t="s">
        <v>485</v>
      </c>
      <c r="H1779" s="1" t="n">
        <v>275</v>
      </c>
      <c r="I1779" s="1" t="str">
        <f aca="false">B1779&amp;"|"&amp;F1779&amp;"|"&amp;G1779</f>
        <v>Fellowship Halls|C|Excellent</v>
      </c>
      <c r="J1779" s="1" t="s">
        <v>933</v>
      </c>
    </row>
    <row r="1780" customFormat="false" ht="12" hidden="false" customHeight="true" outlineLevel="0" collapsed="false">
      <c r="B1780" s="1" t="s">
        <v>931</v>
      </c>
      <c r="C1780" s="1" t="s">
        <v>932</v>
      </c>
      <c r="D1780" s="1" t="s">
        <v>511</v>
      </c>
      <c r="E1780" s="1" t="s">
        <v>595</v>
      </c>
      <c r="F1780" s="1" t="s">
        <v>463</v>
      </c>
      <c r="G1780" s="1" t="s">
        <v>483</v>
      </c>
      <c r="H1780" s="1" t="n">
        <v>199</v>
      </c>
      <c r="I1780" s="1" t="str">
        <f aca="false">B1780&amp;"|"&amp;F1780&amp;"|"&amp;G1780</f>
        <v>Fellowship Halls|C|Good</v>
      </c>
      <c r="J1780" s="1" t="s">
        <v>933</v>
      </c>
    </row>
    <row r="1781" customFormat="false" ht="12" hidden="false" customHeight="true" outlineLevel="0" collapsed="false">
      <c r="B1781" s="1" t="s">
        <v>931</v>
      </c>
      <c r="C1781" s="1" t="s">
        <v>932</v>
      </c>
      <c r="D1781" s="1" t="s">
        <v>511</v>
      </c>
      <c r="E1781" s="1" t="s">
        <v>595</v>
      </c>
      <c r="F1781" s="1" t="s">
        <v>463</v>
      </c>
      <c r="G1781" s="1" t="s">
        <v>279</v>
      </c>
      <c r="H1781" s="1" t="n">
        <v>142</v>
      </c>
      <c r="I1781" s="1" t="str">
        <f aca="false">B1781&amp;"|"&amp;F1781&amp;"|"&amp;G1781</f>
        <v>Fellowship Halls|C|Average</v>
      </c>
      <c r="J1781" s="1" t="s">
        <v>933</v>
      </c>
    </row>
    <row r="1782" customFormat="false" ht="12" hidden="false" customHeight="true" outlineLevel="0" collapsed="false">
      <c r="B1782" s="1" t="s">
        <v>931</v>
      </c>
      <c r="C1782" s="1" t="s">
        <v>932</v>
      </c>
      <c r="D1782" s="1" t="s">
        <v>511</v>
      </c>
      <c r="E1782" s="1" t="s">
        <v>595</v>
      </c>
      <c r="F1782" s="1" t="s">
        <v>468</v>
      </c>
      <c r="G1782" s="1" t="s">
        <v>483</v>
      </c>
      <c r="H1782" s="1" t="n">
        <v>189</v>
      </c>
      <c r="I1782" s="1" t="str">
        <f aca="false">B1782&amp;"|"&amp;F1782&amp;"|"&amp;G1782</f>
        <v>Fellowship Halls|D|Good</v>
      </c>
      <c r="J1782" s="1" t="s">
        <v>933</v>
      </c>
    </row>
    <row r="1783" customFormat="false" ht="12" hidden="false" customHeight="true" outlineLevel="0" collapsed="false">
      <c r="B1783" s="1" t="s">
        <v>931</v>
      </c>
      <c r="C1783" s="1" t="s">
        <v>932</v>
      </c>
      <c r="D1783" s="1" t="s">
        <v>511</v>
      </c>
      <c r="E1783" s="1" t="s">
        <v>595</v>
      </c>
      <c r="F1783" s="1" t="s">
        <v>468</v>
      </c>
      <c r="G1783" s="1" t="s">
        <v>279</v>
      </c>
      <c r="H1783" s="1" t="n">
        <v>135</v>
      </c>
      <c r="I1783" s="1" t="str">
        <f aca="false">B1783&amp;"|"&amp;F1783&amp;"|"&amp;G1783</f>
        <v>Fellowship Halls|D|Average</v>
      </c>
      <c r="J1783" s="1" t="s">
        <v>933</v>
      </c>
    </row>
    <row r="1784" customFormat="false" ht="12" hidden="false" customHeight="true" outlineLevel="0" collapsed="false">
      <c r="B1784" s="1" t="s">
        <v>931</v>
      </c>
      <c r="C1784" s="1" t="s">
        <v>932</v>
      </c>
      <c r="D1784" s="1" t="s">
        <v>511</v>
      </c>
      <c r="E1784" s="1" t="s">
        <v>595</v>
      </c>
      <c r="F1784" s="1" t="s">
        <v>468</v>
      </c>
      <c r="G1784" s="1" t="s">
        <v>567</v>
      </c>
      <c r="H1784" s="1" t="n">
        <v>72.5</v>
      </c>
      <c r="I1784" s="1" t="str">
        <f aca="false">B1784&amp;"|"&amp;F1784&amp;"|"&amp;G1784</f>
        <v>Fellowship Halls|D|Cheap</v>
      </c>
      <c r="J1784" s="1" t="s">
        <v>933</v>
      </c>
    </row>
    <row r="1785" customFormat="false" ht="12" hidden="false" customHeight="true" outlineLevel="0" collapsed="false">
      <c r="B1785" s="1" t="s">
        <v>931</v>
      </c>
      <c r="C1785" s="1" t="s">
        <v>932</v>
      </c>
      <c r="D1785" s="1" t="s">
        <v>511</v>
      </c>
      <c r="E1785" s="1" t="s">
        <v>595</v>
      </c>
      <c r="F1785" s="1" t="s">
        <v>566</v>
      </c>
      <c r="G1785" s="1" t="s">
        <v>279</v>
      </c>
      <c r="H1785" s="1" t="n">
        <v>122</v>
      </c>
      <c r="I1785" s="1" t="str">
        <f aca="false">B1785&amp;"|"&amp;F1785&amp;"|"&amp;G1785</f>
        <v>Fellowship Halls|DPOLE|Average</v>
      </c>
      <c r="J1785" s="1" t="s">
        <v>933</v>
      </c>
    </row>
    <row r="1786" customFormat="false" ht="12" hidden="false" customHeight="true" outlineLevel="0" collapsed="false">
      <c r="B1786" s="1" t="s">
        <v>931</v>
      </c>
      <c r="C1786" s="1" t="s">
        <v>932</v>
      </c>
      <c r="D1786" s="1" t="s">
        <v>511</v>
      </c>
      <c r="E1786" s="1" t="s">
        <v>595</v>
      </c>
      <c r="F1786" s="1" t="s">
        <v>566</v>
      </c>
      <c r="G1786" s="1" t="s">
        <v>567</v>
      </c>
      <c r="H1786" s="1" t="n">
        <v>68.5</v>
      </c>
      <c r="I1786" s="1" t="str">
        <f aca="false">B1786&amp;"|"&amp;F1786&amp;"|"&amp;G1786</f>
        <v>Fellowship Halls|DPOLE|Cheap</v>
      </c>
      <c r="J1786" s="1" t="s">
        <v>933</v>
      </c>
    </row>
    <row r="1787" customFormat="false" ht="12" hidden="false" customHeight="true" outlineLevel="0" collapsed="false">
      <c r="B1787" s="1" t="s">
        <v>931</v>
      </c>
      <c r="C1787" s="1" t="s">
        <v>932</v>
      </c>
      <c r="D1787" s="1" t="s">
        <v>511</v>
      </c>
      <c r="E1787" s="1" t="s">
        <v>595</v>
      </c>
      <c r="F1787" s="1" t="s">
        <v>473</v>
      </c>
      <c r="G1787" s="1" t="s">
        <v>483</v>
      </c>
      <c r="H1787" s="1" t="n">
        <v>182</v>
      </c>
      <c r="I1787" s="1" t="str">
        <f aca="false">B1787&amp;"|"&amp;F1787&amp;"|"&amp;G1787</f>
        <v>Fellowship Halls|S|Good</v>
      </c>
      <c r="J1787" s="1" t="s">
        <v>933</v>
      </c>
    </row>
    <row r="1788" customFormat="false" ht="12" hidden="false" customHeight="true" outlineLevel="0" collapsed="false">
      <c r="B1788" s="1" t="s">
        <v>931</v>
      </c>
      <c r="C1788" s="1" t="s">
        <v>932</v>
      </c>
      <c r="D1788" s="1" t="s">
        <v>511</v>
      </c>
      <c r="E1788" s="1" t="s">
        <v>595</v>
      </c>
      <c r="F1788" s="1" t="s">
        <v>473</v>
      </c>
      <c r="G1788" s="1" t="s">
        <v>279</v>
      </c>
      <c r="H1788" s="1" t="n">
        <v>130</v>
      </c>
      <c r="I1788" s="1" t="str">
        <f aca="false">B1788&amp;"|"&amp;F1788&amp;"|"&amp;G1788</f>
        <v>Fellowship Halls|S|Average</v>
      </c>
      <c r="J1788" s="1" t="s">
        <v>933</v>
      </c>
    </row>
    <row r="1789" customFormat="false" ht="12" hidden="false" customHeight="true" outlineLevel="0" collapsed="false">
      <c r="B1789" s="1" t="s">
        <v>931</v>
      </c>
      <c r="C1789" s="1" t="s">
        <v>932</v>
      </c>
      <c r="D1789" s="1" t="s">
        <v>511</v>
      </c>
      <c r="E1789" s="1" t="s">
        <v>595</v>
      </c>
      <c r="F1789" s="1" t="s">
        <v>473</v>
      </c>
      <c r="G1789" s="1" t="s">
        <v>567</v>
      </c>
      <c r="H1789" s="1" t="n">
        <v>70</v>
      </c>
      <c r="I1789" s="1" t="str">
        <f aca="false">B1789&amp;"|"&amp;F1789&amp;"|"&amp;G1789</f>
        <v>Fellowship Halls|S|Cheap</v>
      </c>
      <c r="J1789" s="1" t="s">
        <v>933</v>
      </c>
    </row>
    <row r="1790" customFormat="false" ht="12" hidden="false" customHeight="true" outlineLevel="0" collapsed="false">
      <c r="B1790" s="1" t="s">
        <v>934</v>
      </c>
      <c r="C1790" s="1" t="s">
        <v>935</v>
      </c>
      <c r="D1790" s="1" t="s">
        <v>511</v>
      </c>
      <c r="E1790" s="1" t="s">
        <v>595</v>
      </c>
      <c r="F1790" s="1" t="s">
        <v>523</v>
      </c>
      <c r="G1790" s="1" t="s">
        <v>485</v>
      </c>
      <c r="H1790" s="1" t="n">
        <v>396</v>
      </c>
      <c r="I1790" s="1" t="str">
        <f aca="false">B1790&amp;"|"&amp;F1790&amp;"|"&amp;G1790</f>
        <v>Foyers / Narthexes|A-B|Excellent</v>
      </c>
      <c r="J1790" s="1" t="s">
        <v>933</v>
      </c>
    </row>
    <row r="1791" customFormat="false" ht="12" hidden="false" customHeight="true" outlineLevel="0" collapsed="false">
      <c r="B1791" s="1" t="s">
        <v>934</v>
      </c>
      <c r="C1791" s="1" t="s">
        <v>935</v>
      </c>
      <c r="D1791" s="1" t="s">
        <v>511</v>
      </c>
      <c r="E1791" s="1" t="s">
        <v>595</v>
      </c>
      <c r="F1791" s="1" t="s">
        <v>523</v>
      </c>
      <c r="G1791" s="1" t="s">
        <v>483</v>
      </c>
      <c r="H1791" s="1" t="n">
        <v>303</v>
      </c>
      <c r="I1791" s="1" t="str">
        <f aca="false">B1791&amp;"|"&amp;F1791&amp;"|"&amp;G1791</f>
        <v>Foyers / Narthexes|A-B|Good</v>
      </c>
      <c r="J1791" s="1" t="s">
        <v>933</v>
      </c>
    </row>
    <row r="1792" customFormat="false" ht="12" hidden="false" customHeight="true" outlineLevel="0" collapsed="false">
      <c r="B1792" s="1" t="s">
        <v>934</v>
      </c>
      <c r="C1792" s="1" t="s">
        <v>935</v>
      </c>
      <c r="D1792" s="1" t="s">
        <v>511</v>
      </c>
      <c r="E1792" s="1" t="s">
        <v>595</v>
      </c>
      <c r="F1792" s="1" t="s">
        <v>523</v>
      </c>
      <c r="G1792" s="1" t="s">
        <v>279</v>
      </c>
      <c r="H1792" s="1" t="n">
        <v>225</v>
      </c>
      <c r="I1792" s="1" t="str">
        <f aca="false">B1792&amp;"|"&amp;F1792&amp;"|"&amp;G1792</f>
        <v>Foyers / Narthexes|A-B|Average</v>
      </c>
      <c r="J1792" s="1" t="s">
        <v>933</v>
      </c>
    </row>
    <row r="1793" customFormat="false" ht="12" hidden="false" customHeight="true" outlineLevel="0" collapsed="false">
      <c r="B1793" s="1" t="s">
        <v>934</v>
      </c>
      <c r="C1793" s="1" t="s">
        <v>935</v>
      </c>
      <c r="D1793" s="1" t="s">
        <v>511</v>
      </c>
      <c r="E1793" s="1" t="s">
        <v>595</v>
      </c>
      <c r="F1793" s="1" t="s">
        <v>804</v>
      </c>
      <c r="G1793" s="1" t="s">
        <v>485</v>
      </c>
      <c r="H1793" s="1" t="n">
        <v>314</v>
      </c>
      <c r="I1793" s="1" t="str">
        <f aca="false">B1793&amp;"|"&amp;F1793&amp;"|"&amp;G1793</f>
        <v>Foyers / Narthexes|CDS|Excellent</v>
      </c>
      <c r="J1793" s="1" t="s">
        <v>933</v>
      </c>
    </row>
    <row r="1794" customFormat="false" ht="12" hidden="false" customHeight="true" outlineLevel="0" collapsed="false">
      <c r="B1794" s="1" t="s">
        <v>934</v>
      </c>
      <c r="C1794" s="1" t="s">
        <v>935</v>
      </c>
      <c r="D1794" s="1" t="s">
        <v>511</v>
      </c>
      <c r="E1794" s="1" t="s">
        <v>595</v>
      </c>
      <c r="F1794" s="1" t="s">
        <v>804</v>
      </c>
      <c r="G1794" s="1" t="s">
        <v>483</v>
      </c>
      <c r="H1794" s="1" t="n">
        <v>236</v>
      </c>
      <c r="I1794" s="1" t="str">
        <f aca="false">B1794&amp;"|"&amp;F1794&amp;"|"&amp;G1794</f>
        <v>Foyers / Narthexes|CDS|Good</v>
      </c>
      <c r="J1794" s="1" t="s">
        <v>933</v>
      </c>
    </row>
    <row r="1795" customFormat="false" ht="12" hidden="false" customHeight="true" outlineLevel="0" collapsed="false">
      <c r="B1795" s="1" t="s">
        <v>934</v>
      </c>
      <c r="C1795" s="1" t="s">
        <v>935</v>
      </c>
      <c r="D1795" s="1" t="s">
        <v>511</v>
      </c>
      <c r="E1795" s="1" t="s">
        <v>595</v>
      </c>
      <c r="F1795" s="1" t="s">
        <v>804</v>
      </c>
      <c r="G1795" s="1" t="s">
        <v>279</v>
      </c>
      <c r="H1795" s="1" t="n">
        <v>171</v>
      </c>
      <c r="I1795" s="1" t="str">
        <f aca="false">B1795&amp;"|"&amp;F1795&amp;"|"&amp;G1795</f>
        <v>Foyers / Narthexes|CDS|Average</v>
      </c>
      <c r="J1795" s="1" t="s">
        <v>933</v>
      </c>
    </row>
    <row r="1796" customFormat="false" ht="12" hidden="false" customHeight="true" outlineLevel="0" collapsed="false">
      <c r="B1796" s="1" t="s">
        <v>936</v>
      </c>
      <c r="C1796" s="1" t="s">
        <v>937</v>
      </c>
      <c r="D1796" s="1" t="s">
        <v>511</v>
      </c>
      <c r="E1796" s="1" t="s">
        <v>496</v>
      </c>
      <c r="F1796" s="1" t="s">
        <v>456</v>
      </c>
      <c r="G1796" s="1" t="s">
        <v>483</v>
      </c>
      <c r="H1796" s="1" t="n">
        <v>238</v>
      </c>
      <c r="I1796" s="1" t="str">
        <f aca="false">B1796&amp;"|"&amp;F1796&amp;"|"&amp;G1796</f>
        <v>Church Educational Wings|A|Good</v>
      </c>
      <c r="J1796" s="1" t="s">
        <v>938</v>
      </c>
    </row>
    <row r="1797" customFormat="false" ht="12" hidden="false" customHeight="true" outlineLevel="0" collapsed="false">
      <c r="B1797" s="1" t="s">
        <v>936</v>
      </c>
      <c r="C1797" s="1" t="s">
        <v>937</v>
      </c>
      <c r="D1797" s="1" t="s">
        <v>511</v>
      </c>
      <c r="E1797" s="1" t="s">
        <v>496</v>
      </c>
      <c r="F1797" s="1" t="s">
        <v>456</v>
      </c>
      <c r="G1797" s="1" t="s">
        <v>279</v>
      </c>
      <c r="H1797" s="1" t="n">
        <v>185</v>
      </c>
      <c r="I1797" s="1" t="str">
        <f aca="false">B1797&amp;"|"&amp;F1797&amp;"|"&amp;G1797</f>
        <v>Church Educational Wings|A|Average</v>
      </c>
      <c r="J1797" s="1" t="s">
        <v>938</v>
      </c>
    </row>
    <row r="1798" customFormat="false" ht="12" hidden="false" customHeight="true" outlineLevel="0" collapsed="false">
      <c r="B1798" s="1" t="s">
        <v>936</v>
      </c>
      <c r="C1798" s="1" t="s">
        <v>937</v>
      </c>
      <c r="D1798" s="1" t="s">
        <v>511</v>
      </c>
      <c r="E1798" s="1" t="s">
        <v>496</v>
      </c>
      <c r="F1798" s="1" t="s">
        <v>461</v>
      </c>
      <c r="G1798" s="1" t="s">
        <v>483</v>
      </c>
      <c r="H1798" s="1" t="n">
        <v>218</v>
      </c>
      <c r="I1798" s="1" t="str">
        <f aca="false">B1798&amp;"|"&amp;F1798&amp;"|"&amp;G1798</f>
        <v>Church Educational Wings|B|Good</v>
      </c>
      <c r="J1798" s="1" t="s">
        <v>938</v>
      </c>
    </row>
    <row r="1799" customFormat="false" ht="12" hidden="false" customHeight="true" outlineLevel="0" collapsed="false">
      <c r="B1799" s="1" t="s">
        <v>936</v>
      </c>
      <c r="C1799" s="1" t="s">
        <v>937</v>
      </c>
      <c r="D1799" s="1" t="s">
        <v>511</v>
      </c>
      <c r="E1799" s="1" t="s">
        <v>496</v>
      </c>
      <c r="F1799" s="1" t="s">
        <v>461</v>
      </c>
      <c r="G1799" s="1" t="s">
        <v>279</v>
      </c>
      <c r="H1799" s="1" t="n">
        <v>169</v>
      </c>
      <c r="I1799" s="1" t="str">
        <f aca="false">B1799&amp;"|"&amp;F1799&amp;"|"&amp;G1799</f>
        <v>Church Educational Wings|B|Average</v>
      </c>
      <c r="J1799" s="1" t="s">
        <v>938</v>
      </c>
    </row>
    <row r="1800" customFormat="false" ht="12" hidden="false" customHeight="true" outlineLevel="0" collapsed="false">
      <c r="B1800" s="1" t="s">
        <v>936</v>
      </c>
      <c r="C1800" s="1" t="s">
        <v>937</v>
      </c>
      <c r="D1800" s="1" t="s">
        <v>511</v>
      </c>
      <c r="E1800" s="1" t="s">
        <v>496</v>
      </c>
      <c r="F1800" s="1" t="s">
        <v>463</v>
      </c>
      <c r="G1800" s="1" t="s">
        <v>485</v>
      </c>
      <c r="H1800" s="1" t="n">
        <v>223</v>
      </c>
      <c r="I1800" s="1" t="str">
        <f aca="false">B1800&amp;"|"&amp;F1800&amp;"|"&amp;G1800</f>
        <v>Church Educational Wings|C|Excellent</v>
      </c>
      <c r="J1800" s="1" t="s">
        <v>938</v>
      </c>
    </row>
    <row r="1801" customFormat="false" ht="12" hidden="false" customHeight="true" outlineLevel="0" collapsed="false">
      <c r="B1801" s="1" t="s">
        <v>936</v>
      </c>
      <c r="C1801" s="1" t="s">
        <v>937</v>
      </c>
      <c r="D1801" s="1" t="s">
        <v>511</v>
      </c>
      <c r="E1801" s="1" t="s">
        <v>496</v>
      </c>
      <c r="F1801" s="1" t="s">
        <v>463</v>
      </c>
      <c r="G1801" s="1" t="s">
        <v>483</v>
      </c>
      <c r="H1801" s="1" t="n">
        <v>173</v>
      </c>
      <c r="I1801" s="1" t="str">
        <f aca="false">B1801&amp;"|"&amp;F1801&amp;"|"&amp;G1801</f>
        <v>Church Educational Wings|C|Good</v>
      </c>
      <c r="J1801" s="1" t="s">
        <v>938</v>
      </c>
    </row>
    <row r="1802" customFormat="false" ht="12" hidden="false" customHeight="true" outlineLevel="0" collapsed="false">
      <c r="B1802" s="1" t="s">
        <v>936</v>
      </c>
      <c r="C1802" s="1" t="s">
        <v>937</v>
      </c>
      <c r="D1802" s="1" t="s">
        <v>511</v>
      </c>
      <c r="E1802" s="1" t="s">
        <v>496</v>
      </c>
      <c r="F1802" s="1" t="s">
        <v>463</v>
      </c>
      <c r="G1802" s="1" t="s">
        <v>279</v>
      </c>
      <c r="H1802" s="1" t="n">
        <v>133</v>
      </c>
      <c r="I1802" s="1" t="str">
        <f aca="false">B1802&amp;"|"&amp;F1802&amp;"|"&amp;G1802</f>
        <v>Church Educational Wings|C|Average</v>
      </c>
      <c r="J1802" s="1" t="s">
        <v>938</v>
      </c>
    </row>
    <row r="1803" customFormat="false" ht="12" hidden="false" customHeight="true" outlineLevel="0" collapsed="false">
      <c r="B1803" s="1" t="s">
        <v>936</v>
      </c>
      <c r="C1803" s="1" t="s">
        <v>937</v>
      </c>
      <c r="D1803" s="1" t="s">
        <v>511</v>
      </c>
      <c r="E1803" s="1" t="s">
        <v>496</v>
      </c>
      <c r="F1803" s="1" t="s">
        <v>468</v>
      </c>
      <c r="G1803" s="1" t="s">
        <v>485</v>
      </c>
      <c r="H1803" s="1" t="n">
        <v>215</v>
      </c>
      <c r="I1803" s="1" t="str">
        <f aca="false">B1803&amp;"|"&amp;F1803&amp;"|"&amp;G1803</f>
        <v>Church Educational Wings|D|Excellent</v>
      </c>
      <c r="J1803" s="1" t="s">
        <v>938</v>
      </c>
    </row>
    <row r="1804" customFormat="false" ht="12" hidden="false" customHeight="true" outlineLevel="0" collapsed="false">
      <c r="B1804" s="1" t="s">
        <v>936</v>
      </c>
      <c r="C1804" s="1" t="s">
        <v>937</v>
      </c>
      <c r="D1804" s="1" t="s">
        <v>511</v>
      </c>
      <c r="E1804" s="1" t="s">
        <v>496</v>
      </c>
      <c r="F1804" s="1" t="s">
        <v>468</v>
      </c>
      <c r="G1804" s="1" t="s">
        <v>483</v>
      </c>
      <c r="H1804" s="1" t="n">
        <v>165</v>
      </c>
      <c r="I1804" s="1" t="str">
        <f aca="false">B1804&amp;"|"&amp;F1804&amp;"|"&amp;G1804</f>
        <v>Church Educational Wings|D|Good</v>
      </c>
      <c r="J1804" s="1" t="s">
        <v>938</v>
      </c>
    </row>
    <row r="1805" customFormat="false" ht="12" hidden="false" customHeight="true" outlineLevel="0" collapsed="false">
      <c r="B1805" s="1" t="s">
        <v>936</v>
      </c>
      <c r="C1805" s="1" t="s">
        <v>937</v>
      </c>
      <c r="D1805" s="1" t="s">
        <v>511</v>
      </c>
      <c r="E1805" s="1" t="s">
        <v>496</v>
      </c>
      <c r="F1805" s="1" t="s">
        <v>468</v>
      </c>
      <c r="G1805" s="1" t="s">
        <v>279</v>
      </c>
      <c r="H1805" s="1" t="n">
        <v>126</v>
      </c>
      <c r="I1805" s="1" t="str">
        <f aca="false">B1805&amp;"|"&amp;F1805&amp;"|"&amp;G1805</f>
        <v>Church Educational Wings|D|Average</v>
      </c>
      <c r="J1805" s="1" t="s">
        <v>938</v>
      </c>
    </row>
    <row r="1806" customFormat="false" ht="12" hidden="false" customHeight="true" outlineLevel="0" collapsed="false">
      <c r="B1806" s="1" t="s">
        <v>936</v>
      </c>
      <c r="C1806" s="1" t="s">
        <v>937</v>
      </c>
      <c r="D1806" s="1" t="s">
        <v>511</v>
      </c>
      <c r="E1806" s="1" t="s">
        <v>496</v>
      </c>
      <c r="F1806" s="1" t="s">
        <v>566</v>
      </c>
      <c r="G1806" s="1" t="s">
        <v>279</v>
      </c>
      <c r="H1806" s="1" t="n">
        <v>118</v>
      </c>
      <c r="I1806" s="1" t="str">
        <f aca="false">B1806&amp;"|"&amp;F1806&amp;"|"&amp;G1806</f>
        <v>Church Educational Wings|DPOLE|Average</v>
      </c>
      <c r="J1806" s="1" t="s">
        <v>938</v>
      </c>
    </row>
    <row r="1807" customFormat="false" ht="12" hidden="false" customHeight="true" outlineLevel="0" collapsed="false">
      <c r="B1807" s="1" t="s">
        <v>936</v>
      </c>
      <c r="C1807" s="1" t="s">
        <v>937</v>
      </c>
      <c r="D1807" s="1" t="s">
        <v>511</v>
      </c>
      <c r="E1807" s="1" t="s">
        <v>496</v>
      </c>
      <c r="F1807" s="1" t="s">
        <v>473</v>
      </c>
      <c r="G1807" s="1" t="s">
        <v>483</v>
      </c>
      <c r="H1807" s="1" t="n">
        <v>163</v>
      </c>
      <c r="I1807" s="1" t="str">
        <f aca="false">B1807&amp;"|"&amp;F1807&amp;"|"&amp;G1807</f>
        <v>Church Educational Wings|S|Good</v>
      </c>
      <c r="J1807" s="1" t="s">
        <v>938</v>
      </c>
    </row>
    <row r="1808" customFormat="false" ht="12" hidden="false" customHeight="true" outlineLevel="0" collapsed="false">
      <c r="B1808" s="1" t="s">
        <v>936</v>
      </c>
      <c r="C1808" s="1" t="s">
        <v>937</v>
      </c>
      <c r="D1808" s="1" t="s">
        <v>511</v>
      </c>
      <c r="E1808" s="1" t="s">
        <v>496</v>
      </c>
      <c r="F1808" s="1" t="s">
        <v>473</v>
      </c>
      <c r="G1808" s="1" t="s">
        <v>279</v>
      </c>
      <c r="H1808" s="1" t="n">
        <v>124</v>
      </c>
      <c r="I1808" s="1" t="str">
        <f aca="false">B1808&amp;"|"&amp;F1808&amp;"|"&amp;G1808</f>
        <v>Church Educational Wings|S|Average</v>
      </c>
      <c r="J1808" s="1" t="s">
        <v>938</v>
      </c>
    </row>
    <row r="1809" customFormat="false" ht="12" hidden="false" customHeight="true" outlineLevel="0" collapsed="false">
      <c r="B1809" s="1" t="s">
        <v>939</v>
      </c>
      <c r="C1809" s="1" t="s">
        <v>940</v>
      </c>
      <c r="D1809" s="1" t="s">
        <v>511</v>
      </c>
      <c r="E1809" s="1" t="s">
        <v>590</v>
      </c>
      <c r="F1809" s="1" t="s">
        <v>456</v>
      </c>
      <c r="G1809" s="1" t="s">
        <v>485</v>
      </c>
      <c r="H1809" s="1" t="n">
        <v>540</v>
      </c>
      <c r="I1809" s="1" t="str">
        <f aca="false">B1809&amp;"|"&amp;F1809&amp;"|"&amp;G1809</f>
        <v>Theaters: Live-Stage|A|Excellent</v>
      </c>
      <c r="J1809" s="1" t="s">
        <v>941</v>
      </c>
    </row>
    <row r="1810" customFormat="false" ht="12" hidden="false" customHeight="true" outlineLevel="0" collapsed="false">
      <c r="B1810" s="1" t="s">
        <v>939</v>
      </c>
      <c r="C1810" s="1" t="s">
        <v>940</v>
      </c>
      <c r="D1810" s="1" t="s">
        <v>511</v>
      </c>
      <c r="E1810" s="1" t="s">
        <v>590</v>
      </c>
      <c r="F1810" s="1" t="s">
        <v>456</v>
      </c>
      <c r="G1810" s="1" t="s">
        <v>483</v>
      </c>
      <c r="H1810" s="1" t="n">
        <v>391</v>
      </c>
      <c r="I1810" s="1" t="str">
        <f aca="false">B1810&amp;"|"&amp;F1810&amp;"|"&amp;G1810</f>
        <v>Theaters: Live-Stage|A|Good</v>
      </c>
      <c r="J1810" s="1" t="s">
        <v>941</v>
      </c>
    </row>
    <row r="1811" customFormat="false" ht="12" hidden="false" customHeight="true" outlineLevel="0" collapsed="false">
      <c r="B1811" s="1" t="s">
        <v>939</v>
      </c>
      <c r="C1811" s="1" t="s">
        <v>940</v>
      </c>
      <c r="D1811" s="1" t="s">
        <v>511</v>
      </c>
      <c r="E1811" s="1" t="s">
        <v>590</v>
      </c>
      <c r="F1811" s="1" t="s">
        <v>456</v>
      </c>
      <c r="G1811" s="1" t="s">
        <v>279</v>
      </c>
      <c r="H1811" s="1" t="n">
        <v>292</v>
      </c>
      <c r="I1811" s="1" t="str">
        <f aca="false">B1811&amp;"|"&amp;F1811&amp;"|"&amp;G1811</f>
        <v>Theaters: Live-Stage|A|Average</v>
      </c>
      <c r="J1811" s="1" t="s">
        <v>941</v>
      </c>
    </row>
    <row r="1812" customFormat="false" ht="12" hidden="false" customHeight="true" outlineLevel="0" collapsed="false">
      <c r="B1812" s="1" t="s">
        <v>939</v>
      </c>
      <c r="C1812" s="1" t="s">
        <v>940</v>
      </c>
      <c r="D1812" s="1" t="s">
        <v>511</v>
      </c>
      <c r="E1812" s="1" t="s">
        <v>590</v>
      </c>
      <c r="F1812" s="1" t="s">
        <v>461</v>
      </c>
      <c r="G1812" s="1" t="s">
        <v>485</v>
      </c>
      <c r="H1812" s="1" t="n">
        <v>483</v>
      </c>
      <c r="I1812" s="1" t="str">
        <f aca="false">B1812&amp;"|"&amp;F1812&amp;"|"&amp;G1812</f>
        <v>Theaters: Live-Stage|B|Excellent</v>
      </c>
      <c r="J1812" s="1" t="s">
        <v>941</v>
      </c>
    </row>
    <row r="1813" customFormat="false" ht="12" hidden="false" customHeight="true" outlineLevel="0" collapsed="false">
      <c r="B1813" s="1" t="s">
        <v>939</v>
      </c>
      <c r="C1813" s="1" t="s">
        <v>940</v>
      </c>
      <c r="D1813" s="1" t="s">
        <v>511</v>
      </c>
      <c r="E1813" s="1" t="s">
        <v>590</v>
      </c>
      <c r="F1813" s="1" t="s">
        <v>461</v>
      </c>
      <c r="G1813" s="1" t="s">
        <v>483</v>
      </c>
      <c r="H1813" s="1" t="n">
        <v>353</v>
      </c>
      <c r="I1813" s="1" t="str">
        <f aca="false">B1813&amp;"|"&amp;F1813&amp;"|"&amp;G1813</f>
        <v>Theaters: Live-Stage|B|Good</v>
      </c>
      <c r="J1813" s="1" t="s">
        <v>941</v>
      </c>
    </row>
    <row r="1814" customFormat="false" ht="12" hidden="false" customHeight="true" outlineLevel="0" collapsed="false">
      <c r="B1814" s="1" t="s">
        <v>939</v>
      </c>
      <c r="C1814" s="1" t="s">
        <v>940</v>
      </c>
      <c r="D1814" s="1" t="s">
        <v>511</v>
      </c>
      <c r="E1814" s="1" t="s">
        <v>590</v>
      </c>
      <c r="F1814" s="1" t="s">
        <v>461</v>
      </c>
      <c r="G1814" s="1" t="s">
        <v>279</v>
      </c>
      <c r="H1814" s="1" t="n">
        <v>266</v>
      </c>
      <c r="I1814" s="1" t="str">
        <f aca="false">B1814&amp;"|"&amp;F1814&amp;"|"&amp;G1814</f>
        <v>Theaters: Live-Stage|B|Average</v>
      </c>
      <c r="J1814" s="1" t="s">
        <v>941</v>
      </c>
    </row>
    <row r="1815" customFormat="false" ht="12" hidden="false" customHeight="true" outlineLevel="0" collapsed="false">
      <c r="B1815" s="1" t="s">
        <v>939</v>
      </c>
      <c r="C1815" s="1" t="s">
        <v>940</v>
      </c>
      <c r="D1815" s="1" t="s">
        <v>511</v>
      </c>
      <c r="E1815" s="1" t="s">
        <v>590</v>
      </c>
      <c r="F1815" s="1" t="s">
        <v>463</v>
      </c>
      <c r="G1815" s="1" t="s">
        <v>485</v>
      </c>
      <c r="H1815" s="1" t="n">
        <v>377</v>
      </c>
      <c r="I1815" s="1" t="str">
        <f aca="false">B1815&amp;"|"&amp;F1815&amp;"|"&amp;G1815</f>
        <v>Theaters: Live-Stage|C|Excellent</v>
      </c>
      <c r="J1815" s="1" t="s">
        <v>941</v>
      </c>
    </row>
    <row r="1816" customFormat="false" ht="12" hidden="false" customHeight="true" outlineLevel="0" collapsed="false">
      <c r="B1816" s="1" t="s">
        <v>939</v>
      </c>
      <c r="C1816" s="1" t="s">
        <v>940</v>
      </c>
      <c r="D1816" s="1" t="s">
        <v>511</v>
      </c>
      <c r="E1816" s="1" t="s">
        <v>590</v>
      </c>
      <c r="F1816" s="1" t="s">
        <v>463</v>
      </c>
      <c r="G1816" s="1" t="s">
        <v>483</v>
      </c>
      <c r="H1816" s="1" t="n">
        <v>261</v>
      </c>
      <c r="I1816" s="1" t="str">
        <f aca="false">B1816&amp;"|"&amp;F1816&amp;"|"&amp;G1816</f>
        <v>Theaters: Live-Stage|C|Good</v>
      </c>
      <c r="J1816" s="1" t="s">
        <v>941</v>
      </c>
    </row>
    <row r="1817" customFormat="false" ht="12" hidden="false" customHeight="true" outlineLevel="0" collapsed="false">
      <c r="B1817" s="1" t="s">
        <v>939</v>
      </c>
      <c r="C1817" s="1" t="s">
        <v>940</v>
      </c>
      <c r="D1817" s="1" t="s">
        <v>511</v>
      </c>
      <c r="E1817" s="1" t="s">
        <v>590</v>
      </c>
      <c r="F1817" s="1" t="s">
        <v>463</v>
      </c>
      <c r="G1817" s="1" t="s">
        <v>279</v>
      </c>
      <c r="H1817" s="1" t="n">
        <v>174</v>
      </c>
      <c r="I1817" s="1" t="str">
        <f aca="false">B1817&amp;"|"&amp;F1817&amp;"|"&amp;G1817</f>
        <v>Theaters: Live-Stage|C|Average</v>
      </c>
      <c r="J1817" s="1" t="s">
        <v>941</v>
      </c>
    </row>
    <row r="1818" customFormat="false" ht="12" hidden="false" customHeight="true" outlineLevel="0" collapsed="false">
      <c r="B1818" s="1" t="s">
        <v>939</v>
      </c>
      <c r="C1818" s="1" t="s">
        <v>940</v>
      </c>
      <c r="D1818" s="1" t="s">
        <v>511</v>
      </c>
      <c r="E1818" s="1" t="s">
        <v>590</v>
      </c>
      <c r="F1818" s="1" t="s">
        <v>468</v>
      </c>
      <c r="G1818" s="1" t="s">
        <v>483</v>
      </c>
      <c r="H1818" s="1" t="n">
        <v>250</v>
      </c>
      <c r="I1818" s="1" t="str">
        <f aca="false">B1818&amp;"|"&amp;F1818&amp;"|"&amp;G1818</f>
        <v>Theaters: Live-Stage|D|Good</v>
      </c>
      <c r="J1818" s="1" t="s">
        <v>941</v>
      </c>
    </row>
    <row r="1819" customFormat="false" ht="12" hidden="false" customHeight="true" outlineLevel="0" collapsed="false">
      <c r="B1819" s="1" t="s">
        <v>939</v>
      </c>
      <c r="C1819" s="1" t="s">
        <v>940</v>
      </c>
      <c r="D1819" s="1" t="s">
        <v>511</v>
      </c>
      <c r="E1819" s="1" t="s">
        <v>590</v>
      </c>
      <c r="F1819" s="1" t="s">
        <v>566</v>
      </c>
      <c r="G1819" s="1" t="s">
        <v>279</v>
      </c>
      <c r="H1819" s="1" t="n">
        <v>166</v>
      </c>
      <c r="I1819" s="1" t="str">
        <f aca="false">B1819&amp;"|"&amp;F1819&amp;"|"&amp;G1819</f>
        <v>Theaters: Live-Stage|DPOLE|Average</v>
      </c>
      <c r="J1819" s="1" t="s">
        <v>941</v>
      </c>
    </row>
    <row r="1820" customFormat="false" ht="12" hidden="false" customHeight="true" outlineLevel="0" collapsed="false">
      <c r="B1820" s="1" t="s">
        <v>939</v>
      </c>
      <c r="C1820" s="1" t="s">
        <v>940</v>
      </c>
      <c r="D1820" s="1" t="s">
        <v>511</v>
      </c>
      <c r="E1820" s="1" t="s">
        <v>590</v>
      </c>
      <c r="F1820" s="1" t="s">
        <v>473</v>
      </c>
      <c r="G1820" s="1" t="s">
        <v>279</v>
      </c>
      <c r="H1820" s="1" t="n">
        <v>162</v>
      </c>
      <c r="I1820" s="1" t="str">
        <f aca="false">B1820&amp;"|"&amp;F1820&amp;"|"&amp;G1820</f>
        <v>Theaters: Live-Stage|S|Average</v>
      </c>
      <c r="J1820" s="1" t="s">
        <v>941</v>
      </c>
    </row>
    <row r="1821" customFormat="false" ht="12" hidden="false" customHeight="true" outlineLevel="0" collapsed="false">
      <c r="B1821" s="1" t="s">
        <v>942</v>
      </c>
      <c r="C1821" s="1" t="s">
        <v>943</v>
      </c>
      <c r="D1821" s="1" t="s">
        <v>511</v>
      </c>
      <c r="E1821" s="1" t="s">
        <v>497</v>
      </c>
      <c r="F1821" s="1" t="s">
        <v>456</v>
      </c>
      <c r="G1821" s="1" t="s">
        <v>483</v>
      </c>
      <c r="H1821" s="1" t="n">
        <v>340</v>
      </c>
      <c r="I1821" s="1" t="str">
        <f aca="false">B1821&amp;"|"&amp;F1821&amp;"|"&amp;G1821</f>
        <v>Theaters: Cinema|A|Good</v>
      </c>
      <c r="J1821" s="1" t="s">
        <v>944</v>
      </c>
    </row>
    <row r="1822" customFormat="false" ht="12" hidden="false" customHeight="true" outlineLevel="0" collapsed="false">
      <c r="B1822" s="1" t="s">
        <v>942</v>
      </c>
      <c r="C1822" s="1" t="s">
        <v>943</v>
      </c>
      <c r="D1822" s="1" t="s">
        <v>511</v>
      </c>
      <c r="E1822" s="1" t="s">
        <v>497</v>
      </c>
      <c r="F1822" s="1" t="s">
        <v>456</v>
      </c>
      <c r="G1822" s="1" t="s">
        <v>279</v>
      </c>
      <c r="H1822" s="1" t="n">
        <v>255</v>
      </c>
      <c r="I1822" s="1" t="str">
        <f aca="false">B1822&amp;"|"&amp;F1822&amp;"|"&amp;G1822</f>
        <v>Theaters: Cinema|A|Average</v>
      </c>
      <c r="J1822" s="1" t="s">
        <v>944</v>
      </c>
    </row>
    <row r="1823" customFormat="false" ht="12" hidden="false" customHeight="true" outlineLevel="0" collapsed="false">
      <c r="B1823" s="1" t="s">
        <v>942</v>
      </c>
      <c r="C1823" s="1" t="s">
        <v>943</v>
      </c>
      <c r="D1823" s="1" t="s">
        <v>511</v>
      </c>
      <c r="E1823" s="1" t="s">
        <v>497</v>
      </c>
      <c r="F1823" s="1" t="s">
        <v>461</v>
      </c>
      <c r="G1823" s="1" t="s">
        <v>483</v>
      </c>
      <c r="H1823" s="1" t="n">
        <v>306</v>
      </c>
      <c r="I1823" s="1" t="str">
        <f aca="false">B1823&amp;"|"&amp;F1823&amp;"|"&amp;G1823</f>
        <v>Theaters: Cinema|B|Good</v>
      </c>
      <c r="J1823" s="1" t="s">
        <v>944</v>
      </c>
    </row>
    <row r="1824" customFormat="false" ht="12" hidden="false" customHeight="true" outlineLevel="0" collapsed="false">
      <c r="B1824" s="1" t="s">
        <v>942</v>
      </c>
      <c r="C1824" s="1" t="s">
        <v>943</v>
      </c>
      <c r="D1824" s="1" t="s">
        <v>511</v>
      </c>
      <c r="E1824" s="1" t="s">
        <v>497</v>
      </c>
      <c r="F1824" s="1" t="s">
        <v>461</v>
      </c>
      <c r="G1824" s="1" t="s">
        <v>279</v>
      </c>
      <c r="H1824" s="1" t="n">
        <v>233</v>
      </c>
      <c r="I1824" s="1" t="str">
        <f aca="false">B1824&amp;"|"&amp;F1824&amp;"|"&amp;G1824</f>
        <v>Theaters: Cinema|B|Average</v>
      </c>
      <c r="J1824" s="1" t="s">
        <v>944</v>
      </c>
    </row>
    <row r="1825" customFormat="false" ht="12" hidden="false" customHeight="true" outlineLevel="0" collapsed="false">
      <c r="B1825" s="1" t="s">
        <v>942</v>
      </c>
      <c r="C1825" s="1" t="s">
        <v>943</v>
      </c>
      <c r="D1825" s="1" t="s">
        <v>511</v>
      </c>
      <c r="E1825" s="1" t="s">
        <v>497</v>
      </c>
      <c r="F1825" s="1" t="s">
        <v>461</v>
      </c>
      <c r="G1825" s="1" t="s">
        <v>485</v>
      </c>
      <c r="H1825" s="1" t="n">
        <v>306</v>
      </c>
      <c r="I1825" s="1" t="str">
        <f aca="false">B1825&amp;"|"&amp;F1825&amp;"|"&amp;G1825</f>
        <v>Theaters: Cinema|B|Excellent</v>
      </c>
      <c r="J1825" s="1" t="s">
        <v>944</v>
      </c>
    </row>
    <row r="1826" customFormat="false" ht="12" hidden="false" customHeight="true" outlineLevel="0" collapsed="false">
      <c r="B1826" s="1" t="s">
        <v>942</v>
      </c>
      <c r="C1826" s="1" t="s">
        <v>943</v>
      </c>
      <c r="D1826" s="1" t="s">
        <v>511</v>
      </c>
      <c r="E1826" s="1" t="s">
        <v>497</v>
      </c>
      <c r="F1826" s="1" t="s">
        <v>463</v>
      </c>
      <c r="G1826" s="1" t="s">
        <v>503</v>
      </c>
      <c r="H1826" s="1" t="n">
        <v>256</v>
      </c>
      <c r="I1826" s="1" t="str">
        <f aca="false">B1826&amp;"|"&amp;F1826&amp;"|"&amp;G1826</f>
        <v>Theaters: Cinema|C|Very Good</v>
      </c>
      <c r="J1826" s="1" t="s">
        <v>944</v>
      </c>
    </row>
    <row r="1827" customFormat="false" ht="12" hidden="false" customHeight="true" outlineLevel="0" collapsed="false">
      <c r="B1827" s="1" t="s">
        <v>942</v>
      </c>
      <c r="C1827" s="1" t="s">
        <v>943</v>
      </c>
      <c r="D1827" s="1" t="s">
        <v>511</v>
      </c>
      <c r="E1827" s="1" t="s">
        <v>497</v>
      </c>
      <c r="F1827" s="1" t="s">
        <v>463</v>
      </c>
      <c r="G1827" s="1" t="s">
        <v>483</v>
      </c>
      <c r="H1827" s="1" t="n">
        <v>207</v>
      </c>
      <c r="I1827" s="1" t="str">
        <f aca="false">B1827&amp;"|"&amp;F1827&amp;"|"&amp;G1827</f>
        <v>Theaters: Cinema|C|Good</v>
      </c>
      <c r="J1827" s="1" t="s">
        <v>944</v>
      </c>
    </row>
    <row r="1828" customFormat="false" ht="12" hidden="false" customHeight="true" outlineLevel="0" collapsed="false">
      <c r="B1828" s="1" t="s">
        <v>942</v>
      </c>
      <c r="C1828" s="1" t="s">
        <v>943</v>
      </c>
      <c r="D1828" s="1" t="s">
        <v>511</v>
      </c>
      <c r="E1828" s="1" t="s">
        <v>497</v>
      </c>
      <c r="F1828" s="1" t="s">
        <v>463</v>
      </c>
      <c r="G1828" s="1" t="s">
        <v>279</v>
      </c>
      <c r="H1828" s="1" t="n">
        <v>146</v>
      </c>
      <c r="I1828" s="1" t="str">
        <f aca="false">B1828&amp;"|"&amp;F1828&amp;"|"&amp;G1828</f>
        <v>Theaters: Cinema|C|Average</v>
      </c>
      <c r="J1828" s="1" t="s">
        <v>944</v>
      </c>
    </row>
    <row r="1829" customFormat="false" ht="12" hidden="false" customHeight="true" outlineLevel="0" collapsed="false">
      <c r="B1829" s="1" t="s">
        <v>942</v>
      </c>
      <c r="C1829" s="1" t="s">
        <v>943</v>
      </c>
      <c r="D1829" s="1" t="s">
        <v>511</v>
      </c>
      <c r="E1829" s="1" t="s">
        <v>497</v>
      </c>
      <c r="F1829" s="1" t="s">
        <v>463</v>
      </c>
      <c r="G1829" s="1" t="s">
        <v>555</v>
      </c>
      <c r="H1829" s="1" t="n">
        <v>123</v>
      </c>
      <c r="I1829" s="1" t="str">
        <f aca="false">B1829&amp;"|"&amp;F1829&amp;"|"&amp;G1829</f>
        <v>Theaters: Cinema|C|Fair</v>
      </c>
      <c r="J1829" s="1" t="s">
        <v>944</v>
      </c>
    </row>
    <row r="1830" customFormat="false" ht="12" hidden="false" customHeight="true" outlineLevel="0" collapsed="false">
      <c r="B1830" s="1" t="s">
        <v>942</v>
      </c>
      <c r="C1830" s="1" t="s">
        <v>943</v>
      </c>
      <c r="D1830" s="1" t="s">
        <v>511</v>
      </c>
      <c r="E1830" s="1" t="s">
        <v>497</v>
      </c>
      <c r="F1830" s="1" t="s">
        <v>468</v>
      </c>
      <c r="G1830" s="1" t="s">
        <v>503</v>
      </c>
      <c r="H1830" s="1" t="n">
        <v>245</v>
      </c>
      <c r="I1830" s="1" t="str">
        <f aca="false">B1830&amp;"|"&amp;F1830&amp;"|"&amp;G1830</f>
        <v>Theaters: Cinema|D|Very Good</v>
      </c>
      <c r="J1830" s="1" t="s">
        <v>944</v>
      </c>
    </row>
    <row r="1831" customFormat="false" ht="12" hidden="false" customHeight="true" outlineLevel="0" collapsed="false">
      <c r="B1831" s="1" t="s">
        <v>942</v>
      </c>
      <c r="C1831" s="1" t="s">
        <v>943</v>
      </c>
      <c r="D1831" s="1" t="s">
        <v>511</v>
      </c>
      <c r="E1831" s="1" t="s">
        <v>497</v>
      </c>
      <c r="F1831" s="1" t="s">
        <v>468</v>
      </c>
      <c r="G1831" s="1" t="s">
        <v>483</v>
      </c>
      <c r="H1831" s="1" t="n">
        <v>197</v>
      </c>
      <c r="I1831" s="1" t="str">
        <f aca="false">B1831&amp;"|"&amp;F1831&amp;"|"&amp;G1831</f>
        <v>Theaters: Cinema|D|Good</v>
      </c>
      <c r="J1831" s="1" t="s">
        <v>944</v>
      </c>
    </row>
    <row r="1832" customFormat="false" ht="12" hidden="false" customHeight="true" outlineLevel="0" collapsed="false">
      <c r="B1832" s="1" t="s">
        <v>942</v>
      </c>
      <c r="C1832" s="1" t="s">
        <v>943</v>
      </c>
      <c r="D1832" s="1" t="s">
        <v>511</v>
      </c>
      <c r="E1832" s="1" t="s">
        <v>497</v>
      </c>
      <c r="F1832" s="1" t="s">
        <v>468</v>
      </c>
      <c r="G1832" s="1" t="s">
        <v>279</v>
      </c>
      <c r="H1832" s="1" t="n">
        <v>138</v>
      </c>
      <c r="I1832" s="1" t="str">
        <f aca="false">B1832&amp;"|"&amp;F1832&amp;"|"&amp;G1832</f>
        <v>Theaters: Cinema|D|Average</v>
      </c>
      <c r="J1832" s="1" t="s">
        <v>944</v>
      </c>
    </row>
    <row r="1833" customFormat="false" ht="12" hidden="false" customHeight="true" outlineLevel="0" collapsed="false">
      <c r="B1833" s="1" t="s">
        <v>942</v>
      </c>
      <c r="C1833" s="1" t="s">
        <v>943</v>
      </c>
      <c r="D1833" s="1" t="s">
        <v>511</v>
      </c>
      <c r="E1833" s="1" t="s">
        <v>497</v>
      </c>
      <c r="F1833" s="1" t="s">
        <v>468</v>
      </c>
      <c r="G1833" s="1" t="s">
        <v>555</v>
      </c>
      <c r="H1833" s="1" t="n">
        <v>117</v>
      </c>
      <c r="I1833" s="1" t="str">
        <f aca="false">B1833&amp;"|"&amp;F1833&amp;"|"&amp;G1833</f>
        <v>Theaters: Cinema|D|Fair</v>
      </c>
      <c r="J1833" s="1" t="s">
        <v>944</v>
      </c>
    </row>
    <row r="1834" customFormat="false" ht="12" hidden="false" customHeight="true" outlineLevel="0" collapsed="false">
      <c r="B1834" s="1" t="s">
        <v>942</v>
      </c>
      <c r="C1834" s="1" t="s">
        <v>943</v>
      </c>
      <c r="D1834" s="1" t="s">
        <v>511</v>
      </c>
      <c r="E1834" s="1" t="s">
        <v>497</v>
      </c>
      <c r="F1834" s="1" t="s">
        <v>566</v>
      </c>
      <c r="G1834" s="1" t="s">
        <v>483</v>
      </c>
      <c r="H1834" s="1" t="n">
        <v>196</v>
      </c>
      <c r="I1834" s="1" t="str">
        <f aca="false">B1834&amp;"|"&amp;F1834&amp;"|"&amp;G1834</f>
        <v>Theaters: Cinema|DPOLE|Good</v>
      </c>
      <c r="J1834" s="1" t="s">
        <v>944</v>
      </c>
    </row>
    <row r="1835" customFormat="false" ht="12" hidden="false" customHeight="true" outlineLevel="0" collapsed="false">
      <c r="B1835" s="1" t="s">
        <v>942</v>
      </c>
      <c r="C1835" s="1" t="s">
        <v>943</v>
      </c>
      <c r="D1835" s="1" t="s">
        <v>511</v>
      </c>
      <c r="E1835" s="1" t="s">
        <v>497</v>
      </c>
      <c r="F1835" s="1" t="s">
        <v>473</v>
      </c>
      <c r="G1835" s="1" t="s">
        <v>279</v>
      </c>
      <c r="H1835" s="1" t="n">
        <v>137</v>
      </c>
      <c r="I1835" s="1" t="str">
        <f aca="false">B1835&amp;"|"&amp;F1835&amp;"|"&amp;G1835</f>
        <v>Theaters: Cinema|S|Average</v>
      </c>
      <c r="J1835" s="1" t="s">
        <v>944</v>
      </c>
    </row>
    <row r="1836" customFormat="false" ht="12" hidden="false" customHeight="true" outlineLevel="0" collapsed="false">
      <c r="B1836" s="1" t="s">
        <v>942</v>
      </c>
      <c r="C1836" s="1" t="s">
        <v>943</v>
      </c>
      <c r="D1836" s="1" t="s">
        <v>511</v>
      </c>
      <c r="E1836" s="1" t="s">
        <v>497</v>
      </c>
      <c r="F1836" s="1" t="s">
        <v>473</v>
      </c>
      <c r="G1836" s="1" t="s">
        <v>555</v>
      </c>
      <c r="H1836" s="1" t="n">
        <v>115</v>
      </c>
      <c r="I1836" s="1" t="str">
        <f aca="false">B1836&amp;"|"&amp;F1836&amp;"|"&amp;G1836</f>
        <v>Theaters: Cinema|S|Fair</v>
      </c>
      <c r="J1836" s="1" t="s">
        <v>944</v>
      </c>
    </row>
    <row r="1837" customFormat="false" ht="12" hidden="false" customHeight="true" outlineLevel="0" collapsed="false">
      <c r="B1837" s="1" t="s">
        <v>945</v>
      </c>
      <c r="C1837" s="1" t="s">
        <v>946</v>
      </c>
      <c r="D1837" s="1" t="s">
        <v>511</v>
      </c>
      <c r="E1837" s="1" t="s">
        <v>501</v>
      </c>
      <c r="F1837" s="1" t="s">
        <v>456</v>
      </c>
      <c r="G1837" s="1" t="s">
        <v>485</v>
      </c>
      <c r="H1837" s="1" t="n">
        <v>525</v>
      </c>
      <c r="I1837" s="1" t="str">
        <f aca="false">B1837&amp;"|"&amp;F1837&amp;"|"&amp;G1837</f>
        <v>Auditoriums|A|Excellent</v>
      </c>
      <c r="J1837" s="1" t="s">
        <v>947</v>
      </c>
    </row>
    <row r="1838" customFormat="false" ht="12" hidden="false" customHeight="true" outlineLevel="0" collapsed="false">
      <c r="B1838" s="1" t="s">
        <v>945</v>
      </c>
      <c r="C1838" s="1" t="s">
        <v>946</v>
      </c>
      <c r="D1838" s="1" t="s">
        <v>511</v>
      </c>
      <c r="E1838" s="1" t="s">
        <v>501</v>
      </c>
      <c r="F1838" s="1" t="s">
        <v>456</v>
      </c>
      <c r="G1838" s="1" t="s">
        <v>483</v>
      </c>
      <c r="H1838" s="1" t="n">
        <v>369</v>
      </c>
      <c r="I1838" s="1" t="str">
        <f aca="false">B1838&amp;"|"&amp;F1838&amp;"|"&amp;G1838</f>
        <v>Auditoriums|A|Good</v>
      </c>
      <c r="J1838" s="1" t="s">
        <v>947</v>
      </c>
    </row>
    <row r="1839" customFormat="false" ht="12" hidden="false" customHeight="true" outlineLevel="0" collapsed="false">
      <c r="B1839" s="1" t="s">
        <v>945</v>
      </c>
      <c r="C1839" s="1" t="s">
        <v>946</v>
      </c>
      <c r="D1839" s="1" t="s">
        <v>511</v>
      </c>
      <c r="E1839" s="1" t="s">
        <v>501</v>
      </c>
      <c r="F1839" s="1" t="s">
        <v>456</v>
      </c>
      <c r="G1839" s="1" t="s">
        <v>279</v>
      </c>
      <c r="H1839" s="1" t="n">
        <v>267</v>
      </c>
      <c r="I1839" s="1" t="str">
        <f aca="false">B1839&amp;"|"&amp;F1839&amp;"|"&amp;G1839</f>
        <v>Auditoriums|A|Average</v>
      </c>
      <c r="J1839" s="1" t="s">
        <v>947</v>
      </c>
    </row>
    <row r="1840" customFormat="false" ht="12" hidden="false" customHeight="true" outlineLevel="0" collapsed="false">
      <c r="B1840" s="1" t="s">
        <v>945</v>
      </c>
      <c r="C1840" s="1" t="s">
        <v>946</v>
      </c>
      <c r="D1840" s="1" t="s">
        <v>511</v>
      </c>
      <c r="E1840" s="1" t="s">
        <v>501</v>
      </c>
      <c r="F1840" s="1" t="s">
        <v>461</v>
      </c>
      <c r="G1840" s="1" t="s">
        <v>485</v>
      </c>
      <c r="H1840" s="1" t="n">
        <v>472</v>
      </c>
      <c r="I1840" s="1" t="str">
        <f aca="false">B1840&amp;"|"&amp;F1840&amp;"|"&amp;G1840</f>
        <v>Auditoriums|B|Excellent</v>
      </c>
      <c r="J1840" s="1" t="s">
        <v>947</v>
      </c>
    </row>
    <row r="1841" customFormat="false" ht="12" hidden="false" customHeight="true" outlineLevel="0" collapsed="false">
      <c r="B1841" s="1" t="s">
        <v>945</v>
      </c>
      <c r="C1841" s="1" t="s">
        <v>946</v>
      </c>
      <c r="D1841" s="1" t="s">
        <v>511</v>
      </c>
      <c r="E1841" s="1" t="s">
        <v>501</v>
      </c>
      <c r="F1841" s="1" t="s">
        <v>461</v>
      </c>
      <c r="G1841" s="1" t="s">
        <v>483</v>
      </c>
      <c r="H1841" s="1" t="n">
        <v>332</v>
      </c>
      <c r="I1841" s="1" t="str">
        <f aca="false">B1841&amp;"|"&amp;F1841&amp;"|"&amp;G1841</f>
        <v>Auditoriums|B|Good</v>
      </c>
      <c r="J1841" s="1" t="s">
        <v>947</v>
      </c>
    </row>
    <row r="1842" customFormat="false" ht="12" hidden="false" customHeight="true" outlineLevel="0" collapsed="false">
      <c r="B1842" s="1" t="s">
        <v>945</v>
      </c>
      <c r="C1842" s="1" t="s">
        <v>946</v>
      </c>
      <c r="D1842" s="1" t="s">
        <v>511</v>
      </c>
      <c r="E1842" s="1" t="s">
        <v>501</v>
      </c>
      <c r="F1842" s="1" t="s">
        <v>461</v>
      </c>
      <c r="G1842" s="1" t="s">
        <v>279</v>
      </c>
      <c r="H1842" s="1" t="n">
        <v>242</v>
      </c>
      <c r="I1842" s="1" t="str">
        <f aca="false">B1842&amp;"|"&amp;F1842&amp;"|"&amp;G1842</f>
        <v>Auditoriums|B|Average</v>
      </c>
      <c r="J1842" s="1" t="s">
        <v>947</v>
      </c>
    </row>
    <row r="1843" customFormat="false" ht="12" hidden="false" customHeight="true" outlineLevel="0" collapsed="false">
      <c r="B1843" s="1" t="s">
        <v>945</v>
      </c>
      <c r="C1843" s="1" t="s">
        <v>946</v>
      </c>
      <c r="D1843" s="1" t="s">
        <v>511</v>
      </c>
      <c r="E1843" s="1" t="s">
        <v>501</v>
      </c>
      <c r="F1843" s="1" t="s">
        <v>463</v>
      </c>
      <c r="G1843" s="1" t="s">
        <v>485</v>
      </c>
      <c r="H1843" s="1" t="n">
        <v>344</v>
      </c>
      <c r="I1843" s="1" t="str">
        <f aca="false">B1843&amp;"|"&amp;F1843&amp;"|"&amp;G1843</f>
        <v>Auditoriums|C|Excellent</v>
      </c>
      <c r="J1843" s="1" t="s">
        <v>947</v>
      </c>
    </row>
    <row r="1844" customFormat="false" ht="12" hidden="false" customHeight="true" outlineLevel="0" collapsed="false">
      <c r="B1844" s="1" t="s">
        <v>945</v>
      </c>
      <c r="C1844" s="1" t="s">
        <v>946</v>
      </c>
      <c r="D1844" s="1" t="s">
        <v>511</v>
      </c>
      <c r="E1844" s="1" t="s">
        <v>501</v>
      </c>
      <c r="F1844" s="1" t="s">
        <v>463</v>
      </c>
      <c r="G1844" s="1" t="s">
        <v>483</v>
      </c>
      <c r="H1844" s="1" t="n">
        <v>249</v>
      </c>
      <c r="I1844" s="1" t="str">
        <f aca="false">B1844&amp;"|"&amp;F1844&amp;"|"&amp;G1844</f>
        <v>Auditoriums|C|Good</v>
      </c>
      <c r="J1844" s="1" t="s">
        <v>947</v>
      </c>
    </row>
    <row r="1845" customFormat="false" ht="12" hidden="false" customHeight="true" outlineLevel="0" collapsed="false">
      <c r="B1845" s="1" t="s">
        <v>945</v>
      </c>
      <c r="C1845" s="1" t="s">
        <v>946</v>
      </c>
      <c r="D1845" s="1" t="s">
        <v>511</v>
      </c>
      <c r="E1845" s="1" t="s">
        <v>501</v>
      </c>
      <c r="F1845" s="1" t="s">
        <v>463</v>
      </c>
      <c r="G1845" s="1" t="s">
        <v>279</v>
      </c>
      <c r="H1845" s="1" t="n">
        <v>174</v>
      </c>
      <c r="I1845" s="1" t="str">
        <f aca="false">B1845&amp;"|"&amp;F1845&amp;"|"&amp;G1845</f>
        <v>Auditoriums|C|Average</v>
      </c>
      <c r="J1845" s="1" t="s">
        <v>947</v>
      </c>
    </row>
    <row r="1846" customFormat="false" ht="12" hidden="false" customHeight="true" outlineLevel="0" collapsed="false">
      <c r="B1846" s="1" t="s">
        <v>945</v>
      </c>
      <c r="C1846" s="1" t="s">
        <v>946</v>
      </c>
      <c r="D1846" s="1" t="s">
        <v>511</v>
      </c>
      <c r="E1846" s="1" t="s">
        <v>501</v>
      </c>
      <c r="F1846" s="1" t="s">
        <v>468</v>
      </c>
      <c r="G1846" s="1" t="s">
        <v>483</v>
      </c>
      <c r="H1846" s="1" t="n">
        <v>238</v>
      </c>
      <c r="I1846" s="1" t="str">
        <f aca="false">B1846&amp;"|"&amp;F1846&amp;"|"&amp;G1846</f>
        <v>Auditoriums|D|Good</v>
      </c>
      <c r="J1846" s="1" t="s">
        <v>947</v>
      </c>
    </row>
    <row r="1847" customFormat="false" ht="12" hidden="false" customHeight="true" outlineLevel="0" collapsed="false">
      <c r="B1847" s="1" t="s">
        <v>945</v>
      </c>
      <c r="C1847" s="1" t="s">
        <v>946</v>
      </c>
      <c r="D1847" s="1" t="s">
        <v>511</v>
      </c>
      <c r="E1847" s="1" t="s">
        <v>501</v>
      </c>
      <c r="F1847" s="1" t="s">
        <v>566</v>
      </c>
      <c r="G1847" s="1" t="s">
        <v>279</v>
      </c>
      <c r="H1847" s="1" t="n">
        <v>165</v>
      </c>
      <c r="I1847" s="1" t="str">
        <f aca="false">B1847&amp;"|"&amp;F1847&amp;"|"&amp;G1847</f>
        <v>Auditoriums|DPOLE|Average</v>
      </c>
      <c r="J1847" s="1" t="s">
        <v>947</v>
      </c>
    </row>
    <row r="1848" customFormat="false" ht="12" hidden="false" customHeight="true" outlineLevel="0" collapsed="false">
      <c r="B1848" s="1" t="s">
        <v>945</v>
      </c>
      <c r="C1848" s="1" t="s">
        <v>946</v>
      </c>
      <c r="D1848" s="1" t="s">
        <v>511</v>
      </c>
      <c r="E1848" s="1" t="s">
        <v>501</v>
      </c>
      <c r="F1848" s="1" t="s">
        <v>473</v>
      </c>
      <c r="G1848" s="1" t="s">
        <v>279</v>
      </c>
      <c r="H1848" s="1" t="n">
        <v>162</v>
      </c>
      <c r="I1848" s="1" t="str">
        <f aca="false">B1848&amp;"|"&amp;F1848&amp;"|"&amp;G1848</f>
        <v>Auditoriums|S|Average</v>
      </c>
      <c r="J1848" s="1" t="s">
        <v>947</v>
      </c>
    </row>
    <row r="1849" customFormat="false" ht="12" hidden="false" customHeight="true" outlineLevel="0" collapsed="false">
      <c r="B1849" s="1" t="s">
        <v>948</v>
      </c>
      <c r="C1849" s="1" t="s">
        <v>949</v>
      </c>
      <c r="D1849" s="1" t="s">
        <v>511</v>
      </c>
      <c r="E1849" s="1" t="s">
        <v>506</v>
      </c>
      <c r="F1849" s="1" t="s">
        <v>456</v>
      </c>
      <c r="G1849" s="1" t="s">
        <v>279</v>
      </c>
      <c r="H1849" s="1" t="n">
        <v>261</v>
      </c>
      <c r="I1849" s="1" t="str">
        <f aca="false">B1849&amp;"|"&amp;F1849&amp;"|"&amp;G1849</f>
        <v>Fraternal Buildings|A|Average</v>
      </c>
      <c r="J1849" s="1" t="s">
        <v>950</v>
      </c>
    </row>
    <row r="1850" customFormat="false" ht="12" hidden="false" customHeight="true" outlineLevel="0" collapsed="false">
      <c r="B1850" s="1" t="s">
        <v>948</v>
      </c>
      <c r="C1850" s="1" t="s">
        <v>949</v>
      </c>
      <c r="D1850" s="1" t="s">
        <v>511</v>
      </c>
      <c r="E1850" s="1" t="s">
        <v>506</v>
      </c>
      <c r="F1850" s="1" t="s">
        <v>461</v>
      </c>
      <c r="G1850" s="1" t="s">
        <v>279</v>
      </c>
      <c r="H1850" s="1" t="n">
        <v>236</v>
      </c>
      <c r="I1850" s="1" t="str">
        <f aca="false">B1850&amp;"|"&amp;F1850&amp;"|"&amp;G1850</f>
        <v>Fraternal Buildings|B|Average</v>
      </c>
      <c r="J1850" s="1" t="s">
        <v>950</v>
      </c>
    </row>
    <row r="1851" customFormat="false" ht="12" hidden="false" customHeight="true" outlineLevel="0" collapsed="false">
      <c r="B1851" s="1" t="s">
        <v>948</v>
      </c>
      <c r="C1851" s="1" t="s">
        <v>949</v>
      </c>
      <c r="D1851" s="1" t="s">
        <v>511</v>
      </c>
      <c r="E1851" s="1" t="s">
        <v>506</v>
      </c>
      <c r="F1851" s="1" t="s">
        <v>463</v>
      </c>
      <c r="G1851" s="1" t="s">
        <v>485</v>
      </c>
      <c r="H1851" s="1" t="n">
        <v>315</v>
      </c>
      <c r="I1851" s="1" t="str">
        <f aca="false">B1851&amp;"|"&amp;F1851&amp;"|"&amp;G1851</f>
        <v>Fraternal Buildings|C|Excellent</v>
      </c>
      <c r="J1851" s="1" t="s">
        <v>950</v>
      </c>
    </row>
    <row r="1852" customFormat="false" ht="12" hidden="false" customHeight="true" outlineLevel="0" collapsed="false">
      <c r="B1852" s="1" t="s">
        <v>948</v>
      </c>
      <c r="C1852" s="1" t="s">
        <v>949</v>
      </c>
      <c r="D1852" s="1" t="s">
        <v>511</v>
      </c>
      <c r="E1852" s="1" t="s">
        <v>506</v>
      </c>
      <c r="F1852" s="1" t="s">
        <v>463</v>
      </c>
      <c r="G1852" s="1" t="s">
        <v>483</v>
      </c>
      <c r="H1852" s="1" t="n">
        <v>237</v>
      </c>
      <c r="I1852" s="1" t="str">
        <f aca="false">B1852&amp;"|"&amp;F1852&amp;"|"&amp;G1852</f>
        <v>Fraternal Buildings|C|Good</v>
      </c>
      <c r="J1852" s="1" t="s">
        <v>950</v>
      </c>
    </row>
    <row r="1853" customFormat="false" ht="12" hidden="false" customHeight="true" outlineLevel="0" collapsed="false">
      <c r="B1853" s="1" t="s">
        <v>948</v>
      </c>
      <c r="C1853" s="1" t="s">
        <v>949</v>
      </c>
      <c r="D1853" s="1" t="s">
        <v>511</v>
      </c>
      <c r="E1853" s="1" t="s">
        <v>506</v>
      </c>
      <c r="F1853" s="1" t="s">
        <v>463</v>
      </c>
      <c r="G1853" s="1" t="s">
        <v>279</v>
      </c>
      <c r="H1853" s="1" t="n">
        <v>171</v>
      </c>
      <c r="I1853" s="1" t="str">
        <f aca="false">B1853&amp;"|"&amp;F1853&amp;"|"&amp;G1853</f>
        <v>Fraternal Buildings|C|Average</v>
      </c>
      <c r="J1853" s="1" t="s">
        <v>950</v>
      </c>
    </row>
    <row r="1854" customFormat="false" ht="12" hidden="false" customHeight="true" outlineLevel="0" collapsed="false">
      <c r="B1854" s="1" t="s">
        <v>948</v>
      </c>
      <c r="C1854" s="1" t="s">
        <v>949</v>
      </c>
      <c r="D1854" s="1" t="s">
        <v>511</v>
      </c>
      <c r="E1854" s="1" t="s">
        <v>506</v>
      </c>
      <c r="F1854" s="1" t="s">
        <v>468</v>
      </c>
      <c r="G1854" s="1" t="s">
        <v>483</v>
      </c>
      <c r="H1854" s="1" t="n">
        <v>228</v>
      </c>
      <c r="I1854" s="1" t="str">
        <f aca="false">B1854&amp;"|"&amp;F1854&amp;"|"&amp;G1854</f>
        <v>Fraternal Buildings|D|Good</v>
      </c>
      <c r="J1854" s="1" t="s">
        <v>950</v>
      </c>
    </row>
    <row r="1855" customFormat="false" ht="12" hidden="false" customHeight="true" outlineLevel="0" collapsed="false">
      <c r="B1855" s="1" t="s">
        <v>948</v>
      </c>
      <c r="C1855" s="1" t="s">
        <v>949</v>
      </c>
      <c r="D1855" s="1" t="s">
        <v>511</v>
      </c>
      <c r="E1855" s="1" t="s">
        <v>506</v>
      </c>
      <c r="F1855" s="1" t="s">
        <v>566</v>
      </c>
      <c r="G1855" s="1" t="s">
        <v>279</v>
      </c>
      <c r="H1855" s="1" t="n">
        <v>163</v>
      </c>
      <c r="I1855" s="1" t="str">
        <f aca="false">B1855&amp;"|"&amp;F1855&amp;"|"&amp;G1855</f>
        <v>Fraternal Buildings|DPOLE|Average</v>
      </c>
      <c r="J1855" s="1" t="s">
        <v>950</v>
      </c>
    </row>
    <row r="1856" customFormat="false" ht="12" hidden="false" customHeight="true" outlineLevel="0" collapsed="false">
      <c r="B1856" s="1" t="s">
        <v>948</v>
      </c>
      <c r="C1856" s="1" t="s">
        <v>949</v>
      </c>
      <c r="D1856" s="1" t="s">
        <v>511</v>
      </c>
      <c r="E1856" s="1" t="s">
        <v>506</v>
      </c>
      <c r="F1856" s="1" t="s">
        <v>473</v>
      </c>
      <c r="G1856" s="1" t="s">
        <v>279</v>
      </c>
      <c r="H1856" s="1" t="n">
        <v>159</v>
      </c>
      <c r="I1856" s="1" t="str">
        <f aca="false">B1856&amp;"|"&amp;F1856&amp;"|"&amp;G1856</f>
        <v>Fraternal Buildings|S|Average</v>
      </c>
      <c r="J1856" s="1" t="s">
        <v>950</v>
      </c>
    </row>
    <row r="1857" customFormat="false" ht="12" hidden="false" customHeight="true" outlineLevel="0" collapsed="false">
      <c r="B1857" s="1" t="s">
        <v>951</v>
      </c>
      <c r="C1857" s="1" t="s">
        <v>952</v>
      </c>
      <c r="D1857" s="1" t="s">
        <v>511</v>
      </c>
      <c r="E1857" s="1" t="s">
        <v>506</v>
      </c>
      <c r="F1857" s="1" t="s">
        <v>523</v>
      </c>
      <c r="G1857" s="1" t="s">
        <v>483</v>
      </c>
      <c r="H1857" s="1" t="n">
        <v>334</v>
      </c>
      <c r="I1857" s="1" t="str">
        <f aca="false">B1857&amp;"|"&amp;F1857&amp;"|"&amp;G1857</f>
        <v>Visitor Centers|A-B|Good</v>
      </c>
      <c r="J1857" s="1" t="s">
        <v>950</v>
      </c>
    </row>
    <row r="1858" customFormat="false" ht="12" hidden="false" customHeight="true" outlineLevel="0" collapsed="false">
      <c r="B1858" s="1" t="s">
        <v>951</v>
      </c>
      <c r="C1858" s="1" t="s">
        <v>952</v>
      </c>
      <c r="D1858" s="1" t="s">
        <v>511</v>
      </c>
      <c r="E1858" s="1" t="s">
        <v>506</v>
      </c>
      <c r="F1858" s="1" t="s">
        <v>523</v>
      </c>
      <c r="G1858" s="1" t="s">
        <v>279</v>
      </c>
      <c r="H1858" s="1" t="n">
        <v>241</v>
      </c>
      <c r="I1858" s="1" t="str">
        <f aca="false">B1858&amp;"|"&amp;F1858&amp;"|"&amp;G1858</f>
        <v>Visitor Centers|A-B|Average</v>
      </c>
      <c r="J1858" s="1" t="s">
        <v>950</v>
      </c>
    </row>
    <row r="1859" customFormat="false" ht="12" hidden="false" customHeight="true" outlineLevel="0" collapsed="false">
      <c r="B1859" s="1" t="s">
        <v>951</v>
      </c>
      <c r="C1859" s="1" t="s">
        <v>952</v>
      </c>
      <c r="D1859" s="1" t="s">
        <v>511</v>
      </c>
      <c r="E1859" s="1" t="s">
        <v>506</v>
      </c>
      <c r="F1859" s="1" t="s">
        <v>463</v>
      </c>
      <c r="G1859" s="1" t="s">
        <v>485</v>
      </c>
      <c r="H1859" s="1" t="n">
        <v>309</v>
      </c>
      <c r="I1859" s="1" t="str">
        <f aca="false">B1859&amp;"|"&amp;F1859&amp;"|"&amp;G1859</f>
        <v>Visitor Centers|C|Excellent</v>
      </c>
      <c r="J1859" s="1" t="s">
        <v>950</v>
      </c>
    </row>
    <row r="1860" customFormat="false" ht="12" hidden="false" customHeight="true" outlineLevel="0" collapsed="false">
      <c r="B1860" s="1" t="s">
        <v>951</v>
      </c>
      <c r="C1860" s="1" t="s">
        <v>952</v>
      </c>
      <c r="D1860" s="1" t="s">
        <v>511</v>
      </c>
      <c r="E1860" s="1" t="s">
        <v>506</v>
      </c>
      <c r="F1860" s="1" t="s">
        <v>463</v>
      </c>
      <c r="G1860" s="1" t="s">
        <v>483</v>
      </c>
      <c r="H1860" s="1" t="n">
        <v>230</v>
      </c>
      <c r="I1860" s="1" t="str">
        <f aca="false">B1860&amp;"|"&amp;F1860&amp;"|"&amp;G1860</f>
        <v>Visitor Centers|C|Good</v>
      </c>
      <c r="J1860" s="1" t="s">
        <v>950</v>
      </c>
    </row>
    <row r="1861" customFormat="false" ht="12" hidden="false" customHeight="true" outlineLevel="0" collapsed="false">
      <c r="B1861" s="1" t="s">
        <v>951</v>
      </c>
      <c r="C1861" s="1" t="s">
        <v>952</v>
      </c>
      <c r="D1861" s="1" t="s">
        <v>511</v>
      </c>
      <c r="E1861" s="1" t="s">
        <v>506</v>
      </c>
      <c r="F1861" s="1" t="s">
        <v>463</v>
      </c>
      <c r="G1861" s="1" t="s">
        <v>279</v>
      </c>
      <c r="H1861" s="1" t="n">
        <v>166</v>
      </c>
      <c r="I1861" s="1" t="str">
        <f aca="false">B1861&amp;"|"&amp;F1861&amp;"|"&amp;G1861</f>
        <v>Visitor Centers|C|Average</v>
      </c>
      <c r="J1861" s="1" t="s">
        <v>950</v>
      </c>
    </row>
    <row r="1862" customFormat="false" ht="12" hidden="false" customHeight="true" outlineLevel="0" collapsed="false">
      <c r="B1862" s="1" t="s">
        <v>951</v>
      </c>
      <c r="C1862" s="1" t="s">
        <v>952</v>
      </c>
      <c r="D1862" s="1" t="s">
        <v>511</v>
      </c>
      <c r="E1862" s="1" t="s">
        <v>506</v>
      </c>
      <c r="F1862" s="1" t="s">
        <v>468</v>
      </c>
      <c r="G1862" s="1" t="s">
        <v>485</v>
      </c>
      <c r="H1862" s="1" t="n">
        <v>297</v>
      </c>
      <c r="I1862" s="1" t="str">
        <f aca="false">B1862&amp;"|"&amp;F1862&amp;"|"&amp;G1862</f>
        <v>Visitor Centers|D|Excellent</v>
      </c>
      <c r="J1862" s="1" t="s">
        <v>950</v>
      </c>
    </row>
    <row r="1863" customFormat="false" ht="12" hidden="false" customHeight="true" outlineLevel="0" collapsed="false">
      <c r="B1863" s="1" t="s">
        <v>951</v>
      </c>
      <c r="C1863" s="1" t="s">
        <v>952</v>
      </c>
      <c r="D1863" s="1" t="s">
        <v>511</v>
      </c>
      <c r="E1863" s="1" t="s">
        <v>506</v>
      </c>
      <c r="F1863" s="1" t="s">
        <v>468</v>
      </c>
      <c r="G1863" s="1" t="s">
        <v>483</v>
      </c>
      <c r="H1863" s="1" t="n">
        <v>220</v>
      </c>
      <c r="I1863" s="1" t="str">
        <f aca="false">B1863&amp;"|"&amp;F1863&amp;"|"&amp;G1863</f>
        <v>Visitor Centers|D|Good</v>
      </c>
      <c r="J1863" s="1" t="s">
        <v>950</v>
      </c>
    </row>
    <row r="1864" customFormat="false" ht="12" hidden="false" customHeight="true" outlineLevel="0" collapsed="false">
      <c r="B1864" s="1" t="s">
        <v>951</v>
      </c>
      <c r="C1864" s="1" t="s">
        <v>952</v>
      </c>
      <c r="D1864" s="1" t="s">
        <v>511</v>
      </c>
      <c r="E1864" s="1" t="s">
        <v>506</v>
      </c>
      <c r="F1864" s="1" t="s">
        <v>468</v>
      </c>
      <c r="G1864" s="1" t="s">
        <v>279</v>
      </c>
      <c r="H1864" s="1" t="n">
        <v>159</v>
      </c>
      <c r="I1864" s="1" t="str">
        <f aca="false">B1864&amp;"|"&amp;F1864&amp;"|"&amp;G1864</f>
        <v>Visitor Centers|D|Average</v>
      </c>
      <c r="J1864" s="1" t="s">
        <v>950</v>
      </c>
    </row>
    <row r="1865" customFormat="false" ht="12" hidden="false" customHeight="true" outlineLevel="0" collapsed="false">
      <c r="B1865" s="1" t="s">
        <v>951</v>
      </c>
      <c r="C1865" s="1" t="s">
        <v>952</v>
      </c>
      <c r="D1865" s="1" t="s">
        <v>511</v>
      </c>
      <c r="E1865" s="1" t="s">
        <v>506</v>
      </c>
      <c r="F1865" s="1" t="s">
        <v>566</v>
      </c>
      <c r="G1865" s="1" t="s">
        <v>279</v>
      </c>
      <c r="H1865" s="1" t="n">
        <v>150</v>
      </c>
      <c r="I1865" s="1" t="str">
        <f aca="false">B1865&amp;"|"&amp;F1865&amp;"|"&amp;G1865</f>
        <v>Visitor Centers|DPOLE|Average</v>
      </c>
      <c r="J1865" s="1" t="s">
        <v>950</v>
      </c>
    </row>
    <row r="1866" customFormat="false" ht="12" hidden="false" customHeight="true" outlineLevel="0" collapsed="false">
      <c r="B1866" s="1" t="s">
        <v>953</v>
      </c>
      <c r="C1866" s="1" t="s">
        <v>954</v>
      </c>
      <c r="D1866" s="1" t="s">
        <v>511</v>
      </c>
      <c r="E1866" s="1" t="s">
        <v>511</v>
      </c>
      <c r="F1866" s="1" t="s">
        <v>456</v>
      </c>
      <c r="G1866" s="1" t="s">
        <v>483</v>
      </c>
      <c r="H1866" s="1" t="n">
        <v>369</v>
      </c>
      <c r="I1866" s="1" t="str">
        <f aca="false">B1866&amp;"|"&amp;F1866&amp;"|"&amp;G1866</f>
        <v>Convention Centers|A|Good</v>
      </c>
      <c r="J1866" s="1" t="s">
        <v>955</v>
      </c>
    </row>
    <row r="1867" customFormat="false" ht="12" hidden="false" customHeight="true" outlineLevel="0" collapsed="false">
      <c r="B1867" s="1" t="s">
        <v>953</v>
      </c>
      <c r="C1867" s="1" t="s">
        <v>954</v>
      </c>
      <c r="D1867" s="1" t="s">
        <v>511</v>
      </c>
      <c r="E1867" s="1" t="s">
        <v>511</v>
      </c>
      <c r="F1867" s="1" t="s">
        <v>456</v>
      </c>
      <c r="G1867" s="1" t="s">
        <v>279</v>
      </c>
      <c r="H1867" s="1" t="n">
        <v>265</v>
      </c>
      <c r="I1867" s="1" t="str">
        <f aca="false">B1867&amp;"|"&amp;F1867&amp;"|"&amp;G1867</f>
        <v>Convention Centers|A|Average</v>
      </c>
      <c r="J1867" s="1" t="s">
        <v>955</v>
      </c>
    </row>
    <row r="1868" customFormat="false" ht="12" hidden="false" customHeight="true" outlineLevel="0" collapsed="false">
      <c r="B1868" s="1" t="s">
        <v>953</v>
      </c>
      <c r="C1868" s="1" t="s">
        <v>954</v>
      </c>
      <c r="D1868" s="1" t="s">
        <v>511</v>
      </c>
      <c r="E1868" s="1" t="s">
        <v>511</v>
      </c>
      <c r="F1868" s="1" t="s">
        <v>461</v>
      </c>
      <c r="G1868" s="1" t="s">
        <v>483</v>
      </c>
      <c r="H1868" s="1" t="n">
        <v>333</v>
      </c>
      <c r="I1868" s="1" t="str">
        <f aca="false">B1868&amp;"|"&amp;F1868&amp;"|"&amp;G1868</f>
        <v>Convention Centers|B|Good</v>
      </c>
      <c r="J1868" s="1" t="s">
        <v>955</v>
      </c>
    </row>
    <row r="1869" customFormat="false" ht="12" hidden="false" customHeight="true" outlineLevel="0" collapsed="false">
      <c r="B1869" s="1" t="s">
        <v>953</v>
      </c>
      <c r="C1869" s="1" t="s">
        <v>954</v>
      </c>
      <c r="D1869" s="1" t="s">
        <v>511</v>
      </c>
      <c r="E1869" s="1" t="s">
        <v>511</v>
      </c>
      <c r="F1869" s="1" t="s">
        <v>461</v>
      </c>
      <c r="G1869" s="1" t="s">
        <v>279</v>
      </c>
      <c r="H1869" s="1" t="n">
        <v>241</v>
      </c>
      <c r="I1869" s="1" t="str">
        <f aca="false">B1869&amp;"|"&amp;F1869&amp;"|"&amp;G1869</f>
        <v>Convention Centers|B|Average</v>
      </c>
      <c r="J1869" s="1" t="s">
        <v>955</v>
      </c>
    </row>
    <row r="1870" customFormat="false" ht="12" hidden="false" customHeight="true" outlineLevel="0" collapsed="false">
      <c r="B1870" s="1" t="s">
        <v>953</v>
      </c>
      <c r="C1870" s="1" t="s">
        <v>954</v>
      </c>
      <c r="D1870" s="1" t="s">
        <v>511</v>
      </c>
      <c r="E1870" s="1" t="s">
        <v>511</v>
      </c>
      <c r="F1870" s="1" t="s">
        <v>463</v>
      </c>
      <c r="G1870" s="1" t="s">
        <v>485</v>
      </c>
      <c r="H1870" s="1" t="n">
        <v>298</v>
      </c>
      <c r="I1870" s="1" t="str">
        <f aca="false">B1870&amp;"|"&amp;F1870&amp;"|"&amp;G1870</f>
        <v>Convention Centers|C|Excellent</v>
      </c>
      <c r="J1870" s="1" t="s">
        <v>955</v>
      </c>
    </row>
    <row r="1871" customFormat="false" ht="12" hidden="false" customHeight="true" outlineLevel="0" collapsed="false">
      <c r="B1871" s="1" t="s">
        <v>953</v>
      </c>
      <c r="C1871" s="1" t="s">
        <v>954</v>
      </c>
      <c r="D1871" s="1" t="s">
        <v>511</v>
      </c>
      <c r="E1871" s="1" t="s">
        <v>511</v>
      </c>
      <c r="F1871" s="1" t="s">
        <v>463</v>
      </c>
      <c r="G1871" s="1" t="s">
        <v>483</v>
      </c>
      <c r="H1871" s="1" t="n">
        <v>236</v>
      </c>
      <c r="I1871" s="1" t="str">
        <f aca="false">B1871&amp;"|"&amp;F1871&amp;"|"&amp;G1871</f>
        <v>Convention Centers|C|Good</v>
      </c>
      <c r="J1871" s="1" t="s">
        <v>955</v>
      </c>
    </row>
    <row r="1872" customFormat="false" ht="12" hidden="false" customHeight="true" outlineLevel="0" collapsed="false">
      <c r="B1872" s="1" t="s">
        <v>953</v>
      </c>
      <c r="C1872" s="1" t="s">
        <v>954</v>
      </c>
      <c r="D1872" s="1" t="s">
        <v>511</v>
      </c>
      <c r="E1872" s="1" t="s">
        <v>511</v>
      </c>
      <c r="F1872" s="1" t="s">
        <v>463</v>
      </c>
      <c r="G1872" s="1" t="s">
        <v>279</v>
      </c>
      <c r="H1872" s="1" t="n">
        <v>179</v>
      </c>
      <c r="I1872" s="1" t="str">
        <f aca="false">B1872&amp;"|"&amp;F1872&amp;"|"&amp;G1872</f>
        <v>Convention Centers|C|Average</v>
      </c>
      <c r="J1872" s="1" t="s">
        <v>955</v>
      </c>
    </row>
    <row r="1873" customFormat="false" ht="12" hidden="false" customHeight="true" outlineLevel="0" collapsed="false">
      <c r="B1873" s="1" t="s">
        <v>953</v>
      </c>
      <c r="C1873" s="1" t="s">
        <v>954</v>
      </c>
      <c r="D1873" s="1" t="s">
        <v>511</v>
      </c>
      <c r="E1873" s="1" t="s">
        <v>511</v>
      </c>
      <c r="F1873" s="1" t="s">
        <v>468</v>
      </c>
      <c r="G1873" s="1" t="s">
        <v>485</v>
      </c>
      <c r="H1873" s="1" t="n">
        <v>285</v>
      </c>
      <c r="I1873" s="1" t="str">
        <f aca="false">B1873&amp;"|"&amp;F1873&amp;"|"&amp;G1873</f>
        <v>Convention Centers|D|Excellent</v>
      </c>
      <c r="J1873" s="1" t="s">
        <v>955</v>
      </c>
    </row>
    <row r="1874" customFormat="false" ht="12" hidden="false" customHeight="true" outlineLevel="0" collapsed="false">
      <c r="B1874" s="1" t="s">
        <v>953</v>
      </c>
      <c r="C1874" s="1" t="s">
        <v>954</v>
      </c>
      <c r="D1874" s="1" t="s">
        <v>511</v>
      </c>
      <c r="E1874" s="1" t="s">
        <v>511</v>
      </c>
      <c r="F1874" s="1" t="s">
        <v>468</v>
      </c>
      <c r="G1874" s="1" t="s">
        <v>483</v>
      </c>
      <c r="H1874" s="1" t="n">
        <v>226</v>
      </c>
      <c r="I1874" s="1" t="str">
        <f aca="false">B1874&amp;"|"&amp;F1874&amp;"|"&amp;G1874</f>
        <v>Convention Centers|D|Good</v>
      </c>
      <c r="J1874" s="1" t="s">
        <v>955</v>
      </c>
    </row>
    <row r="1875" customFormat="false" ht="12" hidden="false" customHeight="true" outlineLevel="0" collapsed="false">
      <c r="B1875" s="1" t="s">
        <v>953</v>
      </c>
      <c r="C1875" s="1" t="s">
        <v>954</v>
      </c>
      <c r="D1875" s="1" t="s">
        <v>511</v>
      </c>
      <c r="E1875" s="1" t="s">
        <v>511</v>
      </c>
      <c r="F1875" s="1" t="s">
        <v>468</v>
      </c>
      <c r="G1875" s="1" t="s">
        <v>279</v>
      </c>
      <c r="H1875" s="1" t="n">
        <v>172</v>
      </c>
      <c r="I1875" s="1" t="str">
        <f aca="false">B1875&amp;"|"&amp;F1875&amp;"|"&amp;G1875</f>
        <v>Convention Centers|D|Average</v>
      </c>
      <c r="J1875" s="1" t="s">
        <v>955</v>
      </c>
    </row>
    <row r="1876" customFormat="false" ht="12" hidden="false" customHeight="true" outlineLevel="0" collapsed="false">
      <c r="B1876" s="1" t="s">
        <v>956</v>
      </c>
      <c r="C1876" s="1" t="s">
        <v>957</v>
      </c>
      <c r="D1876" s="1" t="s">
        <v>511</v>
      </c>
      <c r="E1876" s="1" t="s">
        <v>513</v>
      </c>
      <c r="F1876" s="1" t="s">
        <v>463</v>
      </c>
      <c r="G1876" s="1" t="s">
        <v>485</v>
      </c>
      <c r="H1876" s="1" t="n">
        <v>361</v>
      </c>
      <c r="I1876" s="1" t="str">
        <f aca="false">B1876&amp;"|"&amp;F1876&amp;"|"&amp;G1876</f>
        <v>Casinos|C|Excellent</v>
      </c>
      <c r="J1876" s="1" t="s">
        <v>958</v>
      </c>
    </row>
    <row r="1877" customFormat="false" ht="12" hidden="false" customHeight="true" outlineLevel="0" collapsed="false">
      <c r="B1877" s="1" t="s">
        <v>956</v>
      </c>
      <c r="C1877" s="1" t="s">
        <v>957</v>
      </c>
      <c r="D1877" s="1" t="s">
        <v>511</v>
      </c>
      <c r="E1877" s="1" t="s">
        <v>513</v>
      </c>
      <c r="F1877" s="1" t="s">
        <v>463</v>
      </c>
      <c r="G1877" s="1" t="s">
        <v>503</v>
      </c>
      <c r="H1877" s="1" t="n">
        <v>310</v>
      </c>
      <c r="I1877" s="1" t="str">
        <f aca="false">B1877&amp;"|"&amp;F1877&amp;"|"&amp;G1877</f>
        <v>Casinos|C|Very Good</v>
      </c>
      <c r="J1877" s="1" t="s">
        <v>958</v>
      </c>
    </row>
    <row r="1878" customFormat="false" ht="12" hidden="false" customHeight="true" outlineLevel="0" collapsed="false">
      <c r="B1878" s="1" t="s">
        <v>956</v>
      </c>
      <c r="C1878" s="1" t="s">
        <v>957</v>
      </c>
      <c r="D1878" s="1" t="s">
        <v>511</v>
      </c>
      <c r="E1878" s="1" t="s">
        <v>513</v>
      </c>
      <c r="F1878" s="1" t="s">
        <v>463</v>
      </c>
      <c r="G1878" s="1" t="s">
        <v>483</v>
      </c>
      <c r="H1878" s="1" t="n">
        <v>254</v>
      </c>
      <c r="I1878" s="1" t="str">
        <f aca="false">B1878&amp;"|"&amp;F1878&amp;"|"&amp;G1878</f>
        <v>Casinos|C|Good</v>
      </c>
      <c r="J1878" s="1" t="s">
        <v>958</v>
      </c>
    </row>
    <row r="1879" customFormat="false" ht="12" hidden="false" customHeight="true" outlineLevel="0" collapsed="false">
      <c r="B1879" s="1" t="s">
        <v>956</v>
      </c>
      <c r="C1879" s="1" t="s">
        <v>957</v>
      </c>
      <c r="D1879" s="1" t="s">
        <v>511</v>
      </c>
      <c r="E1879" s="1" t="s">
        <v>513</v>
      </c>
      <c r="F1879" s="1" t="s">
        <v>463</v>
      </c>
      <c r="G1879" s="1" t="s">
        <v>279</v>
      </c>
      <c r="H1879" s="1" t="n">
        <v>188</v>
      </c>
      <c r="I1879" s="1" t="str">
        <f aca="false">B1879&amp;"|"&amp;F1879&amp;"|"&amp;G1879</f>
        <v>Casinos|C|Average</v>
      </c>
      <c r="J1879" s="1" t="s">
        <v>958</v>
      </c>
    </row>
    <row r="1880" customFormat="false" ht="12" hidden="false" customHeight="true" outlineLevel="0" collapsed="false">
      <c r="B1880" s="1" t="s">
        <v>956</v>
      </c>
      <c r="C1880" s="1" t="s">
        <v>957</v>
      </c>
      <c r="D1880" s="1" t="s">
        <v>511</v>
      </c>
      <c r="E1880" s="1" t="s">
        <v>513</v>
      </c>
      <c r="F1880" s="1" t="s">
        <v>468</v>
      </c>
      <c r="G1880" s="1" t="s">
        <v>485</v>
      </c>
      <c r="H1880" s="1" t="n">
        <v>350</v>
      </c>
      <c r="I1880" s="1" t="str">
        <f aca="false">B1880&amp;"|"&amp;F1880&amp;"|"&amp;G1880</f>
        <v>Casinos|D|Excellent</v>
      </c>
      <c r="J1880" s="1" t="s">
        <v>958</v>
      </c>
    </row>
    <row r="1881" customFormat="false" ht="12" hidden="false" customHeight="true" outlineLevel="0" collapsed="false">
      <c r="B1881" s="1" t="s">
        <v>956</v>
      </c>
      <c r="C1881" s="1" t="s">
        <v>957</v>
      </c>
      <c r="D1881" s="1" t="s">
        <v>511</v>
      </c>
      <c r="E1881" s="1" t="s">
        <v>513</v>
      </c>
      <c r="F1881" s="1" t="s">
        <v>468</v>
      </c>
      <c r="G1881" s="1" t="s">
        <v>503</v>
      </c>
      <c r="H1881" s="1" t="n">
        <v>300</v>
      </c>
      <c r="I1881" s="1" t="str">
        <f aca="false">B1881&amp;"|"&amp;F1881&amp;"|"&amp;G1881</f>
        <v>Casinos|D|Very Good</v>
      </c>
      <c r="J1881" s="1" t="s">
        <v>958</v>
      </c>
    </row>
    <row r="1882" customFormat="false" ht="12" hidden="false" customHeight="true" outlineLevel="0" collapsed="false">
      <c r="B1882" s="1" t="s">
        <v>956</v>
      </c>
      <c r="C1882" s="1" t="s">
        <v>957</v>
      </c>
      <c r="D1882" s="1" t="s">
        <v>511</v>
      </c>
      <c r="E1882" s="1" t="s">
        <v>513</v>
      </c>
      <c r="F1882" s="1" t="s">
        <v>468</v>
      </c>
      <c r="G1882" s="1" t="s">
        <v>483</v>
      </c>
      <c r="H1882" s="1" t="n">
        <v>245</v>
      </c>
      <c r="I1882" s="1" t="str">
        <f aca="false">B1882&amp;"|"&amp;F1882&amp;"|"&amp;G1882</f>
        <v>Casinos|D|Good</v>
      </c>
      <c r="J1882" s="1" t="s">
        <v>958</v>
      </c>
    </row>
    <row r="1883" customFormat="false" ht="12" hidden="false" customHeight="true" outlineLevel="0" collapsed="false">
      <c r="B1883" s="1" t="s">
        <v>956</v>
      </c>
      <c r="C1883" s="1" t="s">
        <v>957</v>
      </c>
      <c r="D1883" s="1" t="s">
        <v>511</v>
      </c>
      <c r="E1883" s="1" t="s">
        <v>513</v>
      </c>
      <c r="F1883" s="1" t="s">
        <v>468</v>
      </c>
      <c r="G1883" s="1" t="s">
        <v>279</v>
      </c>
      <c r="H1883" s="1" t="n">
        <v>180</v>
      </c>
      <c r="I1883" s="1" t="str">
        <f aca="false">B1883&amp;"|"&amp;F1883&amp;"|"&amp;G1883</f>
        <v>Casinos|D|Average</v>
      </c>
      <c r="J1883" s="1" t="s">
        <v>958</v>
      </c>
    </row>
    <row r="1884" customFormat="false" ht="12" hidden="false" customHeight="true" outlineLevel="0" collapsed="false">
      <c r="B1884" s="1" t="s">
        <v>956</v>
      </c>
      <c r="C1884" s="1" t="s">
        <v>957</v>
      </c>
      <c r="D1884" s="1" t="s">
        <v>511</v>
      </c>
      <c r="E1884" s="1" t="s">
        <v>513</v>
      </c>
      <c r="F1884" s="1" t="s">
        <v>473</v>
      </c>
      <c r="G1884" s="1" t="s">
        <v>279</v>
      </c>
      <c r="H1884" s="1" t="n">
        <v>178</v>
      </c>
      <c r="I1884" s="1" t="str">
        <f aca="false">B1884&amp;"|"&amp;F1884&amp;"|"&amp;G1884</f>
        <v>Casinos|S|Average</v>
      </c>
      <c r="J1884" s="1" t="s">
        <v>958</v>
      </c>
    </row>
    <row r="1885" customFormat="false" ht="12" hidden="false" customHeight="true" outlineLevel="0" collapsed="false">
      <c r="B1885" s="1" t="s">
        <v>959</v>
      </c>
      <c r="C1885" s="1" t="s">
        <v>960</v>
      </c>
      <c r="D1885" s="1" t="s">
        <v>511</v>
      </c>
      <c r="E1885" s="1" t="s">
        <v>517</v>
      </c>
      <c r="F1885" s="1" t="s">
        <v>523</v>
      </c>
      <c r="G1885" s="1" t="s">
        <v>483</v>
      </c>
      <c r="H1885" s="1" t="n">
        <v>314</v>
      </c>
      <c r="I1885" s="1" t="str">
        <f aca="false">B1885&amp;"|"&amp;F1885&amp;"|"&amp;G1885</f>
        <v>Community Recreation Centers|A-B|Good</v>
      </c>
      <c r="J1885" s="1" t="s">
        <v>961</v>
      </c>
    </row>
    <row r="1886" customFormat="false" ht="12" hidden="false" customHeight="true" outlineLevel="0" collapsed="false">
      <c r="B1886" s="1" t="s">
        <v>959</v>
      </c>
      <c r="C1886" s="1" t="s">
        <v>960</v>
      </c>
      <c r="D1886" s="1" t="s">
        <v>511</v>
      </c>
      <c r="E1886" s="1" t="s">
        <v>517</v>
      </c>
      <c r="F1886" s="1" t="s">
        <v>523</v>
      </c>
      <c r="G1886" s="1" t="s">
        <v>279</v>
      </c>
      <c r="H1886" s="1" t="n">
        <v>242</v>
      </c>
      <c r="I1886" s="1" t="str">
        <f aca="false">B1886&amp;"|"&amp;F1886&amp;"|"&amp;G1886</f>
        <v>Community Recreation Centers|A-B|Average</v>
      </c>
      <c r="J1886" s="1" t="s">
        <v>961</v>
      </c>
    </row>
    <row r="1887" customFormat="false" ht="12" hidden="false" customHeight="true" outlineLevel="0" collapsed="false">
      <c r="B1887" s="1" t="s">
        <v>959</v>
      </c>
      <c r="C1887" s="1" t="s">
        <v>960</v>
      </c>
      <c r="D1887" s="1" t="s">
        <v>511</v>
      </c>
      <c r="E1887" s="1" t="s">
        <v>517</v>
      </c>
      <c r="F1887" s="1" t="s">
        <v>463</v>
      </c>
      <c r="G1887" s="1" t="s">
        <v>485</v>
      </c>
      <c r="H1887" s="1" t="n">
        <v>312</v>
      </c>
      <c r="I1887" s="1" t="str">
        <f aca="false">B1887&amp;"|"&amp;F1887&amp;"|"&amp;G1887</f>
        <v>Community Recreation Centers|C|Excellent</v>
      </c>
      <c r="J1887" s="1" t="s">
        <v>961</v>
      </c>
    </row>
    <row r="1888" customFormat="false" ht="12" hidden="false" customHeight="true" outlineLevel="0" collapsed="false">
      <c r="B1888" s="1" t="s">
        <v>959</v>
      </c>
      <c r="C1888" s="1" t="s">
        <v>960</v>
      </c>
      <c r="D1888" s="1" t="s">
        <v>511</v>
      </c>
      <c r="E1888" s="1" t="s">
        <v>517</v>
      </c>
      <c r="F1888" s="1" t="s">
        <v>463</v>
      </c>
      <c r="G1888" s="1" t="s">
        <v>483</v>
      </c>
      <c r="H1888" s="1" t="n">
        <v>236</v>
      </c>
      <c r="I1888" s="1" t="str">
        <f aca="false">B1888&amp;"|"&amp;F1888&amp;"|"&amp;G1888</f>
        <v>Community Recreation Centers|C|Good</v>
      </c>
      <c r="J1888" s="1" t="s">
        <v>961</v>
      </c>
    </row>
    <row r="1889" customFormat="false" ht="12" hidden="false" customHeight="true" outlineLevel="0" collapsed="false">
      <c r="B1889" s="1" t="s">
        <v>959</v>
      </c>
      <c r="C1889" s="1" t="s">
        <v>960</v>
      </c>
      <c r="D1889" s="1" t="s">
        <v>511</v>
      </c>
      <c r="E1889" s="1" t="s">
        <v>517</v>
      </c>
      <c r="F1889" s="1" t="s">
        <v>463</v>
      </c>
      <c r="G1889" s="1" t="s">
        <v>279</v>
      </c>
      <c r="H1889" s="1" t="n">
        <v>180</v>
      </c>
      <c r="I1889" s="1" t="str">
        <f aca="false">B1889&amp;"|"&amp;F1889&amp;"|"&amp;G1889</f>
        <v>Community Recreation Centers|C|Average</v>
      </c>
      <c r="J1889" s="1" t="s">
        <v>961</v>
      </c>
    </row>
    <row r="1890" customFormat="false" ht="12" hidden="false" customHeight="true" outlineLevel="0" collapsed="false">
      <c r="B1890" s="1" t="s">
        <v>959</v>
      </c>
      <c r="C1890" s="1" t="s">
        <v>960</v>
      </c>
      <c r="D1890" s="1" t="s">
        <v>511</v>
      </c>
      <c r="E1890" s="1" t="s">
        <v>517</v>
      </c>
      <c r="F1890" s="1" t="s">
        <v>468</v>
      </c>
      <c r="G1890" s="1" t="s">
        <v>485</v>
      </c>
      <c r="H1890" s="1" t="n">
        <v>303</v>
      </c>
      <c r="I1890" s="1" t="str">
        <f aca="false">B1890&amp;"|"&amp;F1890&amp;"|"&amp;G1890</f>
        <v>Community Recreation Centers|D|Excellent</v>
      </c>
      <c r="J1890" s="1" t="s">
        <v>961</v>
      </c>
    </row>
    <row r="1891" customFormat="false" ht="12" hidden="false" customHeight="true" outlineLevel="0" collapsed="false">
      <c r="B1891" s="1" t="s">
        <v>959</v>
      </c>
      <c r="C1891" s="1" t="s">
        <v>960</v>
      </c>
      <c r="D1891" s="1" t="s">
        <v>511</v>
      </c>
      <c r="E1891" s="1" t="s">
        <v>517</v>
      </c>
      <c r="F1891" s="1" t="s">
        <v>468</v>
      </c>
      <c r="G1891" s="1" t="s">
        <v>483</v>
      </c>
      <c r="H1891" s="1" t="n">
        <v>229</v>
      </c>
      <c r="I1891" s="1" t="str">
        <f aca="false">B1891&amp;"|"&amp;F1891&amp;"|"&amp;G1891</f>
        <v>Community Recreation Centers|D|Good</v>
      </c>
      <c r="J1891" s="1" t="s">
        <v>961</v>
      </c>
    </row>
    <row r="1892" customFormat="false" ht="12" hidden="false" customHeight="true" outlineLevel="0" collapsed="false">
      <c r="B1892" s="1" t="s">
        <v>959</v>
      </c>
      <c r="C1892" s="1" t="s">
        <v>960</v>
      </c>
      <c r="D1892" s="1" t="s">
        <v>511</v>
      </c>
      <c r="E1892" s="1" t="s">
        <v>517</v>
      </c>
      <c r="F1892" s="1" t="s">
        <v>468</v>
      </c>
      <c r="G1892" s="1" t="s">
        <v>279</v>
      </c>
      <c r="H1892" s="1" t="n">
        <v>174</v>
      </c>
      <c r="I1892" s="1" t="str">
        <f aca="false">B1892&amp;"|"&amp;F1892&amp;"|"&amp;G1892</f>
        <v>Community Recreation Centers|D|Average</v>
      </c>
      <c r="J1892" s="1" t="s">
        <v>961</v>
      </c>
    </row>
    <row r="1893" customFormat="false" ht="12" hidden="false" customHeight="true" outlineLevel="0" collapsed="false">
      <c r="B1893" s="1" t="s">
        <v>959</v>
      </c>
      <c r="C1893" s="1" t="s">
        <v>960</v>
      </c>
      <c r="D1893" s="1" t="s">
        <v>511</v>
      </c>
      <c r="E1893" s="1" t="s">
        <v>517</v>
      </c>
      <c r="F1893" s="1" t="s">
        <v>473</v>
      </c>
      <c r="G1893" s="1" t="s">
        <v>483</v>
      </c>
      <c r="H1893" s="1" t="n">
        <v>227</v>
      </c>
      <c r="I1893" s="1" t="str">
        <f aca="false">B1893&amp;"|"&amp;F1893&amp;"|"&amp;G1893</f>
        <v>Community Recreation Centers|S|Good</v>
      </c>
      <c r="J1893" s="1" t="s">
        <v>961</v>
      </c>
    </row>
    <row r="1894" customFormat="false" ht="12" hidden="false" customHeight="true" outlineLevel="0" collapsed="false">
      <c r="B1894" s="1" t="s">
        <v>959</v>
      </c>
      <c r="C1894" s="1" t="s">
        <v>960</v>
      </c>
      <c r="D1894" s="1" t="s">
        <v>511</v>
      </c>
      <c r="E1894" s="1" t="s">
        <v>517</v>
      </c>
      <c r="F1894" s="1" t="s">
        <v>473</v>
      </c>
      <c r="G1894" s="1" t="s">
        <v>279</v>
      </c>
      <c r="H1894" s="1" t="n">
        <v>172</v>
      </c>
      <c r="I1894" s="1" t="str">
        <f aca="false">B1894&amp;"|"&amp;F1894&amp;"|"&amp;G1894</f>
        <v>Community Recreation Centers|S|Average</v>
      </c>
      <c r="J1894" s="1" t="s">
        <v>961</v>
      </c>
    </row>
    <row r="1895" customFormat="false" ht="12" hidden="false" customHeight="true" outlineLevel="0" collapsed="false">
      <c r="B1895" s="1" t="s">
        <v>962</v>
      </c>
      <c r="C1895" s="1" t="s">
        <v>963</v>
      </c>
      <c r="D1895" s="1" t="s">
        <v>511</v>
      </c>
      <c r="E1895" s="1" t="s">
        <v>517</v>
      </c>
      <c r="F1895" s="1" t="s">
        <v>463</v>
      </c>
      <c r="G1895" s="1" t="s">
        <v>485</v>
      </c>
      <c r="H1895" s="1" t="n">
        <v>208</v>
      </c>
      <c r="I1895" s="1" t="str">
        <f aca="false">B1895&amp;"|"&amp;F1895&amp;"|"&amp;G1895</f>
        <v>Arcade Buildings|C|Excellent</v>
      </c>
      <c r="J1895" s="1" t="s">
        <v>961</v>
      </c>
    </row>
    <row r="1896" customFormat="false" ht="12" hidden="false" customHeight="true" outlineLevel="0" collapsed="false">
      <c r="B1896" s="1" t="s">
        <v>962</v>
      </c>
      <c r="C1896" s="1" t="s">
        <v>963</v>
      </c>
      <c r="D1896" s="1" t="s">
        <v>511</v>
      </c>
      <c r="E1896" s="1" t="s">
        <v>517</v>
      </c>
      <c r="F1896" s="1" t="s">
        <v>463</v>
      </c>
      <c r="G1896" s="1" t="s">
        <v>483</v>
      </c>
      <c r="H1896" s="1" t="n">
        <v>153</v>
      </c>
      <c r="I1896" s="1" t="str">
        <f aca="false">B1896&amp;"|"&amp;F1896&amp;"|"&amp;G1896</f>
        <v>Arcade Buildings|C|Good</v>
      </c>
      <c r="J1896" s="1" t="s">
        <v>961</v>
      </c>
    </row>
    <row r="1897" customFormat="false" ht="12" hidden="false" customHeight="true" outlineLevel="0" collapsed="false">
      <c r="B1897" s="1" t="s">
        <v>962</v>
      </c>
      <c r="C1897" s="1" t="s">
        <v>963</v>
      </c>
      <c r="D1897" s="1" t="s">
        <v>511</v>
      </c>
      <c r="E1897" s="1" t="s">
        <v>517</v>
      </c>
      <c r="F1897" s="1" t="s">
        <v>463</v>
      </c>
      <c r="G1897" s="1" t="s">
        <v>279</v>
      </c>
      <c r="H1897" s="1" t="n">
        <v>113</v>
      </c>
      <c r="I1897" s="1" t="str">
        <f aca="false">B1897&amp;"|"&amp;F1897&amp;"|"&amp;G1897</f>
        <v>Arcade Buildings|C|Average</v>
      </c>
      <c r="J1897" s="1" t="s">
        <v>961</v>
      </c>
    </row>
    <row r="1898" customFormat="false" ht="12" hidden="false" customHeight="true" outlineLevel="0" collapsed="false">
      <c r="B1898" s="1" t="s">
        <v>962</v>
      </c>
      <c r="C1898" s="1" t="s">
        <v>963</v>
      </c>
      <c r="D1898" s="1" t="s">
        <v>511</v>
      </c>
      <c r="E1898" s="1" t="s">
        <v>517</v>
      </c>
      <c r="F1898" s="1" t="s">
        <v>468</v>
      </c>
      <c r="G1898" s="1" t="s">
        <v>483</v>
      </c>
      <c r="H1898" s="1" t="n">
        <v>146</v>
      </c>
      <c r="I1898" s="1" t="str">
        <f aca="false">B1898&amp;"|"&amp;F1898&amp;"|"&amp;G1898</f>
        <v>Arcade Buildings|D|Good</v>
      </c>
      <c r="J1898" s="1" t="s">
        <v>961</v>
      </c>
    </row>
    <row r="1899" customFormat="false" ht="12" hidden="false" customHeight="true" outlineLevel="0" collapsed="false">
      <c r="B1899" s="1" t="s">
        <v>962</v>
      </c>
      <c r="C1899" s="1" t="s">
        <v>963</v>
      </c>
      <c r="D1899" s="1" t="s">
        <v>511</v>
      </c>
      <c r="E1899" s="1" t="s">
        <v>517</v>
      </c>
      <c r="F1899" s="1" t="s">
        <v>468</v>
      </c>
      <c r="G1899" s="1" t="s">
        <v>279</v>
      </c>
      <c r="H1899" s="1" t="n">
        <v>108</v>
      </c>
      <c r="I1899" s="1" t="str">
        <f aca="false">B1899&amp;"|"&amp;F1899&amp;"|"&amp;G1899</f>
        <v>Arcade Buildings|D|Average</v>
      </c>
      <c r="J1899" s="1" t="s">
        <v>961</v>
      </c>
    </row>
    <row r="1900" customFormat="false" ht="12" hidden="false" customHeight="true" outlineLevel="0" collapsed="false">
      <c r="B1900" s="1" t="s">
        <v>962</v>
      </c>
      <c r="C1900" s="1" t="s">
        <v>963</v>
      </c>
      <c r="D1900" s="1" t="s">
        <v>511</v>
      </c>
      <c r="E1900" s="1" t="s">
        <v>517</v>
      </c>
      <c r="F1900" s="1" t="s">
        <v>566</v>
      </c>
      <c r="G1900" s="1" t="s">
        <v>279</v>
      </c>
      <c r="H1900" s="1" t="n">
        <v>100</v>
      </c>
      <c r="I1900" s="1" t="str">
        <f aca="false">B1900&amp;"|"&amp;F1900&amp;"|"&amp;G1900</f>
        <v>Arcade Buildings|DPOLE|Average</v>
      </c>
      <c r="J1900" s="1" t="s">
        <v>961</v>
      </c>
    </row>
    <row r="1901" customFormat="false" ht="12" hidden="false" customHeight="true" outlineLevel="0" collapsed="false">
      <c r="B1901" s="1" t="s">
        <v>962</v>
      </c>
      <c r="C1901" s="1" t="s">
        <v>963</v>
      </c>
      <c r="D1901" s="1" t="s">
        <v>511</v>
      </c>
      <c r="E1901" s="1" t="s">
        <v>517</v>
      </c>
      <c r="F1901" s="1" t="s">
        <v>473</v>
      </c>
      <c r="G1901" s="1" t="s">
        <v>279</v>
      </c>
      <c r="H1901" s="1" t="n">
        <v>106</v>
      </c>
      <c r="I1901" s="1" t="str">
        <f aca="false">B1901&amp;"|"&amp;F1901&amp;"|"&amp;G1901</f>
        <v>Arcade Buildings|S|Average</v>
      </c>
      <c r="J1901" s="1" t="s">
        <v>961</v>
      </c>
    </row>
    <row r="1902" customFormat="false" ht="12" hidden="false" customHeight="true" outlineLevel="0" collapsed="false">
      <c r="B1902" s="1" t="s">
        <v>964</v>
      </c>
      <c r="C1902" s="1" t="s">
        <v>965</v>
      </c>
      <c r="D1902" s="1" t="s">
        <v>511</v>
      </c>
      <c r="E1902" s="1" t="s">
        <v>522</v>
      </c>
      <c r="F1902" s="1" t="s">
        <v>523</v>
      </c>
      <c r="G1902" s="1" t="s">
        <v>483</v>
      </c>
      <c r="H1902" s="1" t="n">
        <v>394</v>
      </c>
      <c r="I1902" s="1" t="str">
        <f aca="false">B1902&amp;"|"&amp;F1902&amp;"|"&amp;G1902</f>
        <v>Museums|A-B|Good</v>
      </c>
      <c r="J1902" s="1" t="s">
        <v>966</v>
      </c>
    </row>
    <row r="1903" customFormat="false" ht="12" hidden="false" customHeight="true" outlineLevel="0" collapsed="false">
      <c r="B1903" s="1" t="s">
        <v>964</v>
      </c>
      <c r="C1903" s="1" t="s">
        <v>965</v>
      </c>
      <c r="D1903" s="1" t="s">
        <v>511</v>
      </c>
      <c r="E1903" s="1" t="s">
        <v>522</v>
      </c>
      <c r="F1903" s="1" t="s">
        <v>523</v>
      </c>
      <c r="G1903" s="1" t="s">
        <v>279</v>
      </c>
      <c r="H1903" s="1" t="n">
        <v>278</v>
      </c>
      <c r="I1903" s="1" t="str">
        <f aca="false">B1903&amp;"|"&amp;F1903&amp;"|"&amp;G1903</f>
        <v>Museums|A-B|Average</v>
      </c>
      <c r="J1903" s="1" t="s">
        <v>966</v>
      </c>
    </row>
    <row r="1904" customFormat="false" ht="12" hidden="false" customHeight="true" outlineLevel="0" collapsed="false">
      <c r="B1904" s="1" t="s">
        <v>964</v>
      </c>
      <c r="C1904" s="1" t="s">
        <v>965</v>
      </c>
      <c r="D1904" s="1" t="s">
        <v>511</v>
      </c>
      <c r="E1904" s="1" t="s">
        <v>522</v>
      </c>
      <c r="F1904" s="1" t="s">
        <v>463</v>
      </c>
      <c r="G1904" s="1" t="s">
        <v>485</v>
      </c>
      <c r="H1904" s="1" t="n">
        <v>369</v>
      </c>
      <c r="I1904" s="1" t="str">
        <f aca="false">B1904&amp;"|"&amp;F1904&amp;"|"&amp;G1904</f>
        <v>Museums|C|Excellent</v>
      </c>
      <c r="J1904" s="1" t="s">
        <v>966</v>
      </c>
    </row>
    <row r="1905" customFormat="false" ht="12" hidden="false" customHeight="true" outlineLevel="0" collapsed="false">
      <c r="B1905" s="1" t="s">
        <v>964</v>
      </c>
      <c r="C1905" s="1" t="s">
        <v>965</v>
      </c>
      <c r="D1905" s="1" t="s">
        <v>511</v>
      </c>
      <c r="E1905" s="1" t="s">
        <v>522</v>
      </c>
      <c r="F1905" s="1" t="s">
        <v>463</v>
      </c>
      <c r="G1905" s="1" t="s">
        <v>483</v>
      </c>
      <c r="H1905" s="1" t="n">
        <v>270</v>
      </c>
      <c r="I1905" s="1" t="str">
        <f aca="false">B1905&amp;"|"&amp;F1905&amp;"|"&amp;G1905</f>
        <v>Museums|C|Good</v>
      </c>
      <c r="J1905" s="1" t="s">
        <v>966</v>
      </c>
    </row>
    <row r="1906" customFormat="false" ht="12" hidden="false" customHeight="true" outlineLevel="0" collapsed="false">
      <c r="B1906" s="1" t="s">
        <v>964</v>
      </c>
      <c r="C1906" s="1" t="s">
        <v>965</v>
      </c>
      <c r="D1906" s="1" t="s">
        <v>511</v>
      </c>
      <c r="E1906" s="1" t="s">
        <v>522</v>
      </c>
      <c r="F1906" s="1" t="s">
        <v>463</v>
      </c>
      <c r="G1906" s="1" t="s">
        <v>279</v>
      </c>
      <c r="H1906" s="1" t="n">
        <v>197</v>
      </c>
      <c r="I1906" s="1" t="str">
        <f aca="false">B1906&amp;"|"&amp;F1906&amp;"|"&amp;G1906</f>
        <v>Museums|C|Average</v>
      </c>
      <c r="J1906" s="1" t="s">
        <v>966</v>
      </c>
    </row>
    <row r="1907" customFormat="false" ht="12" hidden="false" customHeight="true" outlineLevel="0" collapsed="false">
      <c r="B1907" s="1" t="s">
        <v>964</v>
      </c>
      <c r="C1907" s="1" t="s">
        <v>965</v>
      </c>
      <c r="D1907" s="1" t="s">
        <v>511</v>
      </c>
      <c r="E1907" s="1" t="s">
        <v>522</v>
      </c>
      <c r="F1907" s="1" t="s">
        <v>468</v>
      </c>
      <c r="G1907" s="1" t="s">
        <v>485</v>
      </c>
      <c r="H1907" s="1" t="n">
        <v>341</v>
      </c>
      <c r="I1907" s="1" t="str">
        <f aca="false">B1907&amp;"|"&amp;F1907&amp;"|"&amp;G1907</f>
        <v>Museums|D|Excellent</v>
      </c>
      <c r="J1907" s="1" t="s">
        <v>966</v>
      </c>
    </row>
    <row r="1908" customFormat="false" ht="12" hidden="false" customHeight="true" outlineLevel="0" collapsed="false">
      <c r="B1908" s="1" t="s">
        <v>964</v>
      </c>
      <c r="C1908" s="1" t="s">
        <v>965</v>
      </c>
      <c r="D1908" s="1" t="s">
        <v>511</v>
      </c>
      <c r="E1908" s="1" t="s">
        <v>522</v>
      </c>
      <c r="F1908" s="1" t="s">
        <v>468</v>
      </c>
      <c r="G1908" s="1" t="s">
        <v>483</v>
      </c>
      <c r="H1908" s="1" t="n">
        <v>250</v>
      </c>
      <c r="I1908" s="1" t="str">
        <f aca="false">B1908&amp;"|"&amp;F1908&amp;"|"&amp;G1908</f>
        <v>Museums|D|Good</v>
      </c>
      <c r="J1908" s="1" t="s">
        <v>966</v>
      </c>
    </row>
    <row r="1909" customFormat="false" ht="12" hidden="false" customHeight="true" outlineLevel="0" collapsed="false">
      <c r="B1909" s="1" t="s">
        <v>964</v>
      </c>
      <c r="C1909" s="1" t="s">
        <v>965</v>
      </c>
      <c r="D1909" s="1" t="s">
        <v>511</v>
      </c>
      <c r="E1909" s="1" t="s">
        <v>522</v>
      </c>
      <c r="F1909" s="1" t="s">
        <v>468</v>
      </c>
      <c r="G1909" s="1" t="s">
        <v>279</v>
      </c>
      <c r="H1909" s="1" t="n">
        <v>189</v>
      </c>
      <c r="I1909" s="1" t="str">
        <f aca="false">B1909&amp;"|"&amp;F1909&amp;"|"&amp;G1909</f>
        <v>Museums|D|Average</v>
      </c>
      <c r="J1909" s="1" t="s">
        <v>966</v>
      </c>
    </row>
    <row r="1910" customFormat="false" ht="12" hidden="false" customHeight="true" outlineLevel="0" collapsed="false">
      <c r="B1910" s="1" t="s">
        <v>967</v>
      </c>
      <c r="C1910" s="1" t="s">
        <v>968</v>
      </c>
      <c r="D1910" s="1" t="s">
        <v>511</v>
      </c>
      <c r="E1910" s="1" t="s">
        <v>527</v>
      </c>
      <c r="F1910" s="1" t="s">
        <v>523</v>
      </c>
      <c r="G1910" s="1" t="s">
        <v>483</v>
      </c>
      <c r="H1910" s="1" t="n">
        <v>277</v>
      </c>
      <c r="I1910" s="1" t="str">
        <f aca="false">B1910&amp;"|"&amp;F1910&amp;"|"&amp;G1910</f>
        <v>Ice Skating Rinks|A-B|Good</v>
      </c>
      <c r="J1910" s="1" t="s">
        <v>969</v>
      </c>
    </row>
    <row r="1911" customFormat="false" ht="12" hidden="false" customHeight="true" outlineLevel="0" collapsed="false">
      <c r="B1911" s="1" t="s">
        <v>967</v>
      </c>
      <c r="C1911" s="1" t="s">
        <v>968</v>
      </c>
      <c r="D1911" s="1" t="s">
        <v>511</v>
      </c>
      <c r="E1911" s="1" t="s">
        <v>527</v>
      </c>
      <c r="F1911" s="1" t="s">
        <v>523</v>
      </c>
      <c r="G1911" s="1" t="s">
        <v>279</v>
      </c>
      <c r="H1911" s="1" t="n">
        <v>195</v>
      </c>
      <c r="I1911" s="1" t="str">
        <f aca="false">B1911&amp;"|"&amp;F1911&amp;"|"&amp;G1911</f>
        <v>Ice Skating Rinks|A-B|Average</v>
      </c>
      <c r="J1911" s="1" t="s">
        <v>969</v>
      </c>
    </row>
    <row r="1912" customFormat="false" ht="12" hidden="false" customHeight="true" outlineLevel="0" collapsed="false">
      <c r="B1912" s="1" t="s">
        <v>967</v>
      </c>
      <c r="C1912" s="1" t="s">
        <v>968</v>
      </c>
      <c r="D1912" s="1" t="s">
        <v>511</v>
      </c>
      <c r="E1912" s="1" t="s">
        <v>527</v>
      </c>
      <c r="F1912" s="1" t="s">
        <v>463</v>
      </c>
      <c r="G1912" s="1" t="s">
        <v>485</v>
      </c>
      <c r="H1912" s="1" t="n">
        <v>264</v>
      </c>
      <c r="I1912" s="1" t="str">
        <f aca="false">B1912&amp;"|"&amp;F1912&amp;"|"&amp;G1912</f>
        <v>Ice Skating Rinks|C|Excellent</v>
      </c>
      <c r="J1912" s="1" t="s">
        <v>969</v>
      </c>
    </row>
    <row r="1913" customFormat="false" ht="12" hidden="false" customHeight="true" outlineLevel="0" collapsed="false">
      <c r="B1913" s="1" t="s">
        <v>967</v>
      </c>
      <c r="C1913" s="1" t="s">
        <v>968</v>
      </c>
      <c r="D1913" s="1" t="s">
        <v>511</v>
      </c>
      <c r="E1913" s="1" t="s">
        <v>527</v>
      </c>
      <c r="F1913" s="1" t="s">
        <v>463</v>
      </c>
      <c r="G1913" s="1" t="s">
        <v>483</v>
      </c>
      <c r="H1913" s="1" t="n">
        <v>183</v>
      </c>
      <c r="I1913" s="1" t="str">
        <f aca="false">B1913&amp;"|"&amp;F1913&amp;"|"&amp;G1913</f>
        <v>Ice Skating Rinks|C|Good</v>
      </c>
      <c r="J1913" s="1" t="s">
        <v>969</v>
      </c>
    </row>
    <row r="1914" customFormat="false" ht="12" hidden="false" customHeight="true" outlineLevel="0" collapsed="false">
      <c r="B1914" s="1" t="s">
        <v>967</v>
      </c>
      <c r="C1914" s="1" t="s">
        <v>968</v>
      </c>
      <c r="D1914" s="1" t="s">
        <v>511</v>
      </c>
      <c r="E1914" s="1" t="s">
        <v>527</v>
      </c>
      <c r="F1914" s="1" t="s">
        <v>463</v>
      </c>
      <c r="G1914" s="1" t="s">
        <v>279</v>
      </c>
      <c r="H1914" s="1" t="n">
        <v>133</v>
      </c>
      <c r="I1914" s="1" t="str">
        <f aca="false">B1914&amp;"|"&amp;F1914&amp;"|"&amp;G1914</f>
        <v>Ice Skating Rinks|C|Average</v>
      </c>
      <c r="J1914" s="1" t="s">
        <v>969</v>
      </c>
    </row>
    <row r="1915" customFormat="false" ht="12" hidden="false" customHeight="true" outlineLevel="0" collapsed="false">
      <c r="B1915" s="1" t="s">
        <v>967</v>
      </c>
      <c r="C1915" s="1" t="s">
        <v>968</v>
      </c>
      <c r="D1915" s="1" t="s">
        <v>511</v>
      </c>
      <c r="E1915" s="1" t="s">
        <v>527</v>
      </c>
      <c r="F1915" s="1" t="s">
        <v>468</v>
      </c>
      <c r="G1915" s="1" t="s">
        <v>485</v>
      </c>
      <c r="H1915" s="1" t="n">
        <v>257</v>
      </c>
      <c r="I1915" s="1" t="str">
        <f aca="false">B1915&amp;"|"&amp;F1915&amp;"|"&amp;G1915</f>
        <v>Ice Skating Rinks|D|Excellent</v>
      </c>
      <c r="J1915" s="1" t="s">
        <v>969</v>
      </c>
    </row>
    <row r="1916" customFormat="false" ht="12" hidden="false" customHeight="true" outlineLevel="0" collapsed="false">
      <c r="B1916" s="1" t="s">
        <v>967</v>
      </c>
      <c r="C1916" s="1" t="s">
        <v>968</v>
      </c>
      <c r="D1916" s="1" t="s">
        <v>511</v>
      </c>
      <c r="E1916" s="1" t="s">
        <v>527</v>
      </c>
      <c r="F1916" s="1" t="s">
        <v>468</v>
      </c>
      <c r="G1916" s="1" t="s">
        <v>483</v>
      </c>
      <c r="H1916" s="1" t="n">
        <v>176</v>
      </c>
      <c r="I1916" s="1" t="str">
        <f aca="false">B1916&amp;"|"&amp;F1916&amp;"|"&amp;G1916</f>
        <v>Ice Skating Rinks|D|Good</v>
      </c>
      <c r="J1916" s="1" t="s">
        <v>969</v>
      </c>
    </row>
    <row r="1917" customFormat="false" ht="12" hidden="false" customHeight="true" outlineLevel="0" collapsed="false">
      <c r="B1917" s="1" t="s">
        <v>967</v>
      </c>
      <c r="C1917" s="1" t="s">
        <v>968</v>
      </c>
      <c r="D1917" s="1" t="s">
        <v>511</v>
      </c>
      <c r="E1917" s="1" t="s">
        <v>527</v>
      </c>
      <c r="F1917" s="1" t="s">
        <v>468</v>
      </c>
      <c r="G1917" s="1" t="s">
        <v>279</v>
      </c>
      <c r="H1917" s="1" t="n">
        <v>126</v>
      </c>
      <c r="I1917" s="1" t="str">
        <f aca="false">B1917&amp;"|"&amp;F1917&amp;"|"&amp;G1917</f>
        <v>Ice Skating Rinks|D|Average</v>
      </c>
      <c r="J1917" s="1" t="s">
        <v>969</v>
      </c>
    </row>
    <row r="1918" customFormat="false" ht="12" hidden="false" customHeight="true" outlineLevel="0" collapsed="false">
      <c r="B1918" s="1" t="s">
        <v>967</v>
      </c>
      <c r="C1918" s="1" t="s">
        <v>968</v>
      </c>
      <c r="D1918" s="1" t="s">
        <v>511</v>
      </c>
      <c r="E1918" s="1" t="s">
        <v>527</v>
      </c>
      <c r="F1918" s="1" t="s">
        <v>566</v>
      </c>
      <c r="G1918" s="1" t="s">
        <v>485</v>
      </c>
      <c r="H1918" s="1" t="n">
        <v>258</v>
      </c>
      <c r="I1918" s="1" t="str">
        <f aca="false">B1918&amp;"|"&amp;F1918&amp;"|"&amp;G1918</f>
        <v>Ice Skating Rinks|DPOLE|Excellent</v>
      </c>
      <c r="J1918" s="1" t="s">
        <v>969</v>
      </c>
    </row>
    <row r="1919" customFormat="false" ht="12" hidden="false" customHeight="true" outlineLevel="0" collapsed="false">
      <c r="B1919" s="1" t="s">
        <v>967</v>
      </c>
      <c r="C1919" s="1" t="s">
        <v>968</v>
      </c>
      <c r="D1919" s="1" t="s">
        <v>511</v>
      </c>
      <c r="E1919" s="1" t="s">
        <v>527</v>
      </c>
      <c r="F1919" s="1" t="s">
        <v>473</v>
      </c>
      <c r="G1919" s="1" t="s">
        <v>483</v>
      </c>
      <c r="H1919" s="1" t="n">
        <v>174</v>
      </c>
      <c r="I1919" s="1" t="str">
        <f aca="false">B1919&amp;"|"&amp;F1919&amp;"|"&amp;G1919</f>
        <v>Ice Skating Rinks|S|Good</v>
      </c>
      <c r="J1919" s="1" t="s">
        <v>969</v>
      </c>
    </row>
    <row r="1920" customFormat="false" ht="12" hidden="false" customHeight="true" outlineLevel="0" collapsed="false">
      <c r="B1920" s="1" t="s">
        <v>967</v>
      </c>
      <c r="C1920" s="1" t="s">
        <v>968</v>
      </c>
      <c r="D1920" s="1" t="s">
        <v>511</v>
      </c>
      <c r="E1920" s="1" t="s">
        <v>527</v>
      </c>
      <c r="F1920" s="1" t="s">
        <v>473</v>
      </c>
      <c r="G1920" s="1" t="s">
        <v>279</v>
      </c>
      <c r="H1920" s="1" t="n">
        <v>124</v>
      </c>
      <c r="I1920" s="1" t="str">
        <f aca="false">B1920&amp;"|"&amp;F1920&amp;"|"&amp;G1920</f>
        <v>Ice Skating Rinks|S|Average</v>
      </c>
      <c r="J1920" s="1" t="s">
        <v>969</v>
      </c>
    </row>
    <row r="1921" customFormat="false" ht="12" hidden="false" customHeight="true" outlineLevel="0" collapsed="false">
      <c r="B1921" s="1" t="s">
        <v>970</v>
      </c>
      <c r="C1921" s="1" t="s">
        <v>971</v>
      </c>
      <c r="D1921" s="1" t="s">
        <v>511</v>
      </c>
      <c r="E1921" s="1" t="s">
        <v>529</v>
      </c>
      <c r="F1921" s="1" t="s">
        <v>463</v>
      </c>
      <c r="G1921" s="1" t="s">
        <v>483</v>
      </c>
      <c r="H1921" s="1" t="n">
        <v>169</v>
      </c>
      <c r="I1921" s="1" t="str">
        <f aca="false">B1921&amp;"|"&amp;F1921&amp;"|"&amp;G1921</f>
        <v>Roller Skating Rinks|C|Good</v>
      </c>
      <c r="J1921" s="1" t="s">
        <v>972</v>
      </c>
    </row>
    <row r="1922" customFormat="false" ht="12" hidden="false" customHeight="true" outlineLevel="0" collapsed="false">
      <c r="B1922" s="1" t="s">
        <v>970</v>
      </c>
      <c r="C1922" s="1" t="s">
        <v>971</v>
      </c>
      <c r="D1922" s="1" t="s">
        <v>511</v>
      </c>
      <c r="E1922" s="1" t="s">
        <v>529</v>
      </c>
      <c r="F1922" s="1" t="s">
        <v>463</v>
      </c>
      <c r="G1922" s="1" t="s">
        <v>279</v>
      </c>
      <c r="H1922" s="1" t="n">
        <v>125</v>
      </c>
      <c r="I1922" s="1" t="str">
        <f aca="false">B1922&amp;"|"&amp;F1922&amp;"|"&amp;G1922</f>
        <v>Roller Skating Rinks|C|Average</v>
      </c>
      <c r="J1922" s="1" t="s">
        <v>972</v>
      </c>
    </row>
    <row r="1923" customFormat="false" ht="12" hidden="false" customHeight="true" outlineLevel="0" collapsed="false">
      <c r="B1923" s="1" t="s">
        <v>970</v>
      </c>
      <c r="C1923" s="1" t="s">
        <v>971</v>
      </c>
      <c r="D1923" s="1" t="s">
        <v>511</v>
      </c>
      <c r="E1923" s="1" t="s">
        <v>529</v>
      </c>
      <c r="F1923" s="1" t="s">
        <v>468</v>
      </c>
      <c r="G1923" s="1" t="s">
        <v>483</v>
      </c>
      <c r="H1923" s="1" t="n">
        <v>162</v>
      </c>
      <c r="I1923" s="1" t="str">
        <f aca="false">B1923&amp;"|"&amp;F1923&amp;"|"&amp;G1923</f>
        <v>Roller Skating Rinks|D|Good</v>
      </c>
      <c r="J1923" s="1" t="s">
        <v>972</v>
      </c>
    </row>
    <row r="1924" customFormat="false" ht="12" hidden="false" customHeight="true" outlineLevel="0" collapsed="false">
      <c r="B1924" s="1" t="s">
        <v>970</v>
      </c>
      <c r="C1924" s="1" t="s">
        <v>971</v>
      </c>
      <c r="D1924" s="1" t="s">
        <v>511</v>
      </c>
      <c r="E1924" s="1" t="s">
        <v>529</v>
      </c>
      <c r="F1924" s="1" t="s">
        <v>468</v>
      </c>
      <c r="G1924" s="1" t="s">
        <v>279</v>
      </c>
      <c r="H1924" s="1" t="n">
        <v>118</v>
      </c>
      <c r="I1924" s="1" t="str">
        <f aca="false">B1924&amp;"|"&amp;F1924&amp;"|"&amp;G1924</f>
        <v>Roller Skating Rinks|D|Average</v>
      </c>
      <c r="J1924" s="1" t="s">
        <v>972</v>
      </c>
    </row>
    <row r="1925" customFormat="false" ht="12" hidden="false" customHeight="true" outlineLevel="0" collapsed="false">
      <c r="B1925" s="1" t="s">
        <v>970</v>
      </c>
      <c r="C1925" s="1" t="s">
        <v>971</v>
      </c>
      <c r="D1925" s="1" t="s">
        <v>511</v>
      </c>
      <c r="E1925" s="1" t="s">
        <v>529</v>
      </c>
      <c r="F1925" s="1" t="s">
        <v>566</v>
      </c>
      <c r="G1925" s="1" t="s">
        <v>483</v>
      </c>
      <c r="H1925" s="1" t="n">
        <v>160</v>
      </c>
      <c r="I1925" s="1" t="str">
        <f aca="false">B1925&amp;"|"&amp;F1925&amp;"|"&amp;G1925</f>
        <v>Roller Skating Rinks|DPOLE|Good</v>
      </c>
      <c r="J1925" s="1" t="s">
        <v>972</v>
      </c>
    </row>
    <row r="1926" customFormat="false" ht="12" hidden="false" customHeight="true" outlineLevel="0" collapsed="false">
      <c r="B1926" s="1" t="s">
        <v>970</v>
      </c>
      <c r="C1926" s="1" t="s">
        <v>971</v>
      </c>
      <c r="D1926" s="1" t="s">
        <v>511</v>
      </c>
      <c r="E1926" s="1" t="s">
        <v>529</v>
      </c>
      <c r="F1926" s="1" t="s">
        <v>473</v>
      </c>
      <c r="G1926" s="1" t="s">
        <v>279</v>
      </c>
      <c r="H1926" s="1" t="n">
        <v>115</v>
      </c>
      <c r="I1926" s="1" t="str">
        <f aca="false">B1926&amp;"|"&amp;F1926&amp;"|"&amp;G1926</f>
        <v>Roller Skating Rinks|S|Average</v>
      </c>
      <c r="J1926" s="1" t="s">
        <v>972</v>
      </c>
    </row>
    <row r="1927" customFormat="false" ht="12" hidden="false" customHeight="true" outlineLevel="0" collapsed="false">
      <c r="B1927" s="1" t="s">
        <v>973</v>
      </c>
      <c r="C1927" s="1" t="s">
        <v>974</v>
      </c>
      <c r="D1927" s="1" t="s">
        <v>511</v>
      </c>
      <c r="E1927" s="1" t="s">
        <v>529</v>
      </c>
      <c r="F1927" s="1" t="s">
        <v>463</v>
      </c>
      <c r="G1927" s="1" t="s">
        <v>483</v>
      </c>
      <c r="H1927" s="1" t="n">
        <v>200</v>
      </c>
      <c r="I1927" s="1" t="str">
        <f aca="false">B1927&amp;"|"&amp;F1927&amp;"|"&amp;G1927</f>
        <v>Handball/Racquetball Clubs|C|Good</v>
      </c>
      <c r="J1927" s="1" t="s">
        <v>972</v>
      </c>
    </row>
    <row r="1928" customFormat="false" ht="12" hidden="false" customHeight="true" outlineLevel="0" collapsed="false">
      <c r="B1928" s="1" t="s">
        <v>973</v>
      </c>
      <c r="C1928" s="1" t="s">
        <v>974</v>
      </c>
      <c r="D1928" s="1" t="s">
        <v>511</v>
      </c>
      <c r="E1928" s="1" t="s">
        <v>529</v>
      </c>
      <c r="F1928" s="1" t="s">
        <v>463</v>
      </c>
      <c r="G1928" s="1" t="s">
        <v>279</v>
      </c>
      <c r="H1928" s="1" t="n">
        <v>136</v>
      </c>
      <c r="I1928" s="1" t="str">
        <f aca="false">B1928&amp;"|"&amp;F1928&amp;"|"&amp;G1928</f>
        <v>Handball/Racquetball Clubs|C|Average</v>
      </c>
      <c r="J1928" s="1" t="s">
        <v>972</v>
      </c>
    </row>
    <row r="1929" customFormat="false" ht="12" hidden="false" customHeight="true" outlineLevel="0" collapsed="false">
      <c r="B1929" s="1" t="s">
        <v>973</v>
      </c>
      <c r="C1929" s="1" t="s">
        <v>974</v>
      </c>
      <c r="D1929" s="1" t="s">
        <v>511</v>
      </c>
      <c r="E1929" s="1" t="s">
        <v>529</v>
      </c>
      <c r="F1929" s="1" t="s">
        <v>468</v>
      </c>
      <c r="G1929" s="1" t="s">
        <v>483</v>
      </c>
      <c r="H1929" s="1" t="n">
        <v>190</v>
      </c>
      <c r="I1929" s="1" t="str">
        <f aca="false">B1929&amp;"|"&amp;F1929&amp;"|"&amp;G1929</f>
        <v>Handball/Racquetball Clubs|D|Good</v>
      </c>
      <c r="J1929" s="1" t="s">
        <v>972</v>
      </c>
    </row>
    <row r="1930" customFormat="false" ht="12" hidden="false" customHeight="true" outlineLevel="0" collapsed="false">
      <c r="B1930" s="1" t="s">
        <v>973</v>
      </c>
      <c r="C1930" s="1" t="s">
        <v>974</v>
      </c>
      <c r="D1930" s="1" t="s">
        <v>511</v>
      </c>
      <c r="E1930" s="1" t="s">
        <v>529</v>
      </c>
      <c r="F1930" s="1" t="s">
        <v>468</v>
      </c>
      <c r="G1930" s="1" t="s">
        <v>279</v>
      </c>
      <c r="H1930" s="1" t="n">
        <v>128</v>
      </c>
      <c r="I1930" s="1" t="str">
        <f aca="false">B1930&amp;"|"&amp;F1930&amp;"|"&amp;G1930</f>
        <v>Handball/Racquetball Clubs|D|Average</v>
      </c>
      <c r="J1930" s="1" t="s">
        <v>972</v>
      </c>
    </row>
    <row r="1931" customFormat="false" ht="12" hidden="false" customHeight="true" outlineLevel="0" collapsed="false">
      <c r="B1931" s="1" t="s">
        <v>973</v>
      </c>
      <c r="C1931" s="1" t="s">
        <v>974</v>
      </c>
      <c r="D1931" s="1" t="s">
        <v>511</v>
      </c>
      <c r="E1931" s="1" t="s">
        <v>529</v>
      </c>
      <c r="F1931" s="1" t="s">
        <v>473</v>
      </c>
      <c r="G1931" s="1" t="s">
        <v>483</v>
      </c>
      <c r="H1931" s="1" t="n">
        <v>191</v>
      </c>
      <c r="I1931" s="1" t="str">
        <f aca="false">B1931&amp;"|"&amp;F1931&amp;"|"&amp;G1931</f>
        <v>Handball/Racquetball Clubs|S|Good</v>
      </c>
      <c r="J1931" s="1" t="s">
        <v>972</v>
      </c>
    </row>
    <row r="1932" customFormat="false" ht="12" hidden="false" customHeight="true" outlineLevel="0" collapsed="false">
      <c r="B1932" s="1" t="s">
        <v>973</v>
      </c>
      <c r="C1932" s="1" t="s">
        <v>974</v>
      </c>
      <c r="D1932" s="1" t="s">
        <v>511</v>
      </c>
      <c r="E1932" s="1" t="s">
        <v>529</v>
      </c>
      <c r="F1932" s="1" t="s">
        <v>473</v>
      </c>
      <c r="G1932" s="1" t="s">
        <v>279</v>
      </c>
      <c r="H1932" s="1" t="n">
        <v>126</v>
      </c>
      <c r="I1932" s="1" t="str">
        <f aca="false">B1932&amp;"|"&amp;F1932&amp;"|"&amp;G1932</f>
        <v>Handball/Racquetball Clubs|S|Average</v>
      </c>
      <c r="J1932" s="1" t="s">
        <v>972</v>
      </c>
    </row>
    <row r="1933" customFormat="false" ht="12" hidden="false" customHeight="true" outlineLevel="0" collapsed="false">
      <c r="B1933" s="1" t="s">
        <v>975</v>
      </c>
      <c r="C1933" s="1" t="s">
        <v>976</v>
      </c>
      <c r="D1933" s="1" t="s">
        <v>511</v>
      </c>
      <c r="E1933" s="1" t="s">
        <v>529</v>
      </c>
      <c r="F1933" s="1" t="s">
        <v>523</v>
      </c>
      <c r="G1933" s="1" t="s">
        <v>483</v>
      </c>
      <c r="H1933" s="1" t="n">
        <v>289</v>
      </c>
      <c r="I1933" s="1" t="str">
        <f aca="false">B1933&amp;"|"&amp;F1933&amp;"|"&amp;G1933</f>
        <v>Fitness Centers|A-B|Good</v>
      </c>
      <c r="J1933" s="1" t="s">
        <v>972</v>
      </c>
    </row>
    <row r="1934" customFormat="false" ht="12" hidden="false" customHeight="true" outlineLevel="0" collapsed="false">
      <c r="B1934" s="1" t="s">
        <v>975</v>
      </c>
      <c r="C1934" s="1" t="s">
        <v>976</v>
      </c>
      <c r="D1934" s="1" t="s">
        <v>511</v>
      </c>
      <c r="E1934" s="1" t="s">
        <v>529</v>
      </c>
      <c r="F1934" s="1" t="s">
        <v>523</v>
      </c>
      <c r="G1934" s="1" t="s">
        <v>279</v>
      </c>
      <c r="H1934" s="1" t="n">
        <v>209</v>
      </c>
      <c r="I1934" s="1" t="str">
        <f aca="false">B1934&amp;"|"&amp;F1934&amp;"|"&amp;G1934</f>
        <v>Fitness Centers|A-B|Average</v>
      </c>
      <c r="J1934" s="1" t="s">
        <v>972</v>
      </c>
    </row>
    <row r="1935" customFormat="false" ht="12" hidden="false" customHeight="true" outlineLevel="0" collapsed="false">
      <c r="B1935" s="1" t="s">
        <v>975</v>
      </c>
      <c r="C1935" s="1" t="s">
        <v>976</v>
      </c>
      <c r="D1935" s="1" t="s">
        <v>511</v>
      </c>
      <c r="E1935" s="1" t="s">
        <v>529</v>
      </c>
      <c r="F1935" s="1" t="s">
        <v>463</v>
      </c>
      <c r="G1935" s="1" t="s">
        <v>485</v>
      </c>
      <c r="H1935" s="1" t="n">
        <v>280</v>
      </c>
      <c r="I1935" s="1" t="str">
        <f aca="false">B1935&amp;"|"&amp;F1935&amp;"|"&amp;G1935</f>
        <v>Fitness Centers|C|Excellent</v>
      </c>
      <c r="J1935" s="1" t="s">
        <v>972</v>
      </c>
    </row>
    <row r="1936" customFormat="false" ht="12" hidden="false" customHeight="true" outlineLevel="0" collapsed="false">
      <c r="B1936" s="1" t="s">
        <v>975</v>
      </c>
      <c r="C1936" s="1" t="s">
        <v>976</v>
      </c>
      <c r="D1936" s="1" t="s">
        <v>511</v>
      </c>
      <c r="E1936" s="1" t="s">
        <v>529</v>
      </c>
      <c r="F1936" s="1" t="s">
        <v>463</v>
      </c>
      <c r="G1936" s="1" t="s">
        <v>483</v>
      </c>
      <c r="H1936" s="1" t="n">
        <v>199</v>
      </c>
      <c r="I1936" s="1" t="str">
        <f aca="false">B1936&amp;"|"&amp;F1936&amp;"|"&amp;G1936</f>
        <v>Fitness Centers|C|Good</v>
      </c>
      <c r="J1936" s="1" t="s">
        <v>972</v>
      </c>
    </row>
    <row r="1937" customFormat="false" ht="12" hidden="false" customHeight="true" outlineLevel="0" collapsed="false">
      <c r="B1937" s="1" t="s">
        <v>975</v>
      </c>
      <c r="C1937" s="1" t="s">
        <v>976</v>
      </c>
      <c r="D1937" s="1" t="s">
        <v>511</v>
      </c>
      <c r="E1937" s="1" t="s">
        <v>529</v>
      </c>
      <c r="F1937" s="1" t="s">
        <v>463</v>
      </c>
      <c r="G1937" s="1" t="s">
        <v>279</v>
      </c>
      <c r="H1937" s="1" t="n">
        <v>141</v>
      </c>
      <c r="I1937" s="1" t="str">
        <f aca="false">B1937&amp;"|"&amp;F1937&amp;"|"&amp;G1937</f>
        <v>Fitness Centers|C|Average</v>
      </c>
      <c r="J1937" s="1" t="s">
        <v>972</v>
      </c>
    </row>
    <row r="1938" customFormat="false" ht="12" hidden="false" customHeight="true" outlineLevel="0" collapsed="false">
      <c r="B1938" s="1" t="s">
        <v>975</v>
      </c>
      <c r="C1938" s="1" t="s">
        <v>976</v>
      </c>
      <c r="D1938" s="1" t="s">
        <v>511</v>
      </c>
      <c r="E1938" s="1" t="s">
        <v>529</v>
      </c>
      <c r="F1938" s="1" t="s">
        <v>468</v>
      </c>
      <c r="G1938" s="1" t="s">
        <v>483</v>
      </c>
      <c r="H1938" s="1" t="n">
        <v>191</v>
      </c>
      <c r="I1938" s="1" t="str">
        <f aca="false">B1938&amp;"|"&amp;F1938&amp;"|"&amp;G1938</f>
        <v>Fitness Centers|D|Good</v>
      </c>
      <c r="J1938" s="1" t="s">
        <v>972</v>
      </c>
    </row>
    <row r="1939" customFormat="false" ht="12" hidden="false" customHeight="true" outlineLevel="0" collapsed="false">
      <c r="B1939" s="1" t="s">
        <v>975</v>
      </c>
      <c r="C1939" s="1" t="s">
        <v>976</v>
      </c>
      <c r="D1939" s="1" t="s">
        <v>511</v>
      </c>
      <c r="E1939" s="1" t="s">
        <v>529</v>
      </c>
      <c r="F1939" s="1" t="s">
        <v>468</v>
      </c>
      <c r="G1939" s="1" t="s">
        <v>279</v>
      </c>
      <c r="H1939" s="1" t="n">
        <v>135</v>
      </c>
      <c r="I1939" s="1" t="str">
        <f aca="false">B1939&amp;"|"&amp;F1939&amp;"|"&amp;G1939</f>
        <v>Fitness Centers|D|Average</v>
      </c>
      <c r="J1939" s="1" t="s">
        <v>972</v>
      </c>
    </row>
    <row r="1940" customFormat="false" ht="12" hidden="false" customHeight="true" outlineLevel="0" collapsed="false">
      <c r="B1940" s="1" t="s">
        <v>975</v>
      </c>
      <c r="C1940" s="1" t="s">
        <v>976</v>
      </c>
      <c r="D1940" s="1" t="s">
        <v>511</v>
      </c>
      <c r="E1940" s="1" t="s">
        <v>529</v>
      </c>
      <c r="F1940" s="1" t="s">
        <v>473</v>
      </c>
      <c r="G1940" s="1" t="s">
        <v>483</v>
      </c>
      <c r="H1940" s="1" t="n">
        <v>192</v>
      </c>
      <c r="I1940" s="1" t="str">
        <f aca="false">B1940&amp;"|"&amp;F1940&amp;"|"&amp;G1940</f>
        <v>Fitness Centers|S|Good</v>
      </c>
      <c r="J1940" s="1" t="s">
        <v>972</v>
      </c>
    </row>
    <row r="1941" customFormat="false" ht="12" hidden="false" customHeight="true" outlineLevel="0" collapsed="false">
      <c r="B1941" s="1" t="s">
        <v>975</v>
      </c>
      <c r="C1941" s="1" t="s">
        <v>976</v>
      </c>
      <c r="D1941" s="1" t="s">
        <v>511</v>
      </c>
      <c r="E1941" s="1" t="s">
        <v>529</v>
      </c>
      <c r="F1941" s="1" t="s">
        <v>473</v>
      </c>
      <c r="G1941" s="1" t="s">
        <v>279</v>
      </c>
      <c r="H1941" s="1" t="n">
        <v>133</v>
      </c>
      <c r="I1941" s="1" t="str">
        <f aca="false">B1941&amp;"|"&amp;F1941&amp;"|"&amp;G1941</f>
        <v>Fitness Centers|S|Average</v>
      </c>
      <c r="J1941" s="1" t="s">
        <v>972</v>
      </c>
    </row>
    <row r="1942" customFormat="false" ht="12" hidden="false" customHeight="true" outlineLevel="0" collapsed="false">
      <c r="B1942" s="1" t="s">
        <v>977</v>
      </c>
      <c r="C1942" s="1" t="s">
        <v>978</v>
      </c>
      <c r="D1942" s="1" t="s">
        <v>511</v>
      </c>
      <c r="E1942" s="1" t="s">
        <v>533</v>
      </c>
      <c r="F1942" s="1" t="s">
        <v>463</v>
      </c>
      <c r="G1942" s="1" t="s">
        <v>485</v>
      </c>
      <c r="H1942" s="1" t="n">
        <v>176</v>
      </c>
      <c r="I1942" s="1" t="str">
        <f aca="false">B1942&amp;"|"&amp;F1942&amp;"|"&amp;G1942</f>
        <v>Bowling Centers|C|Excellent</v>
      </c>
      <c r="J1942" s="1" t="s">
        <v>979</v>
      </c>
    </row>
    <row r="1943" customFormat="false" ht="12" hidden="false" customHeight="true" outlineLevel="0" collapsed="false">
      <c r="B1943" s="1" t="s">
        <v>977</v>
      </c>
      <c r="C1943" s="1" t="s">
        <v>978</v>
      </c>
      <c r="D1943" s="1" t="s">
        <v>511</v>
      </c>
      <c r="E1943" s="1" t="s">
        <v>533</v>
      </c>
      <c r="F1943" s="1" t="s">
        <v>463</v>
      </c>
      <c r="G1943" s="1" t="s">
        <v>483</v>
      </c>
      <c r="H1943" s="1" t="n">
        <v>144</v>
      </c>
      <c r="I1943" s="1" t="str">
        <f aca="false">B1943&amp;"|"&amp;F1943&amp;"|"&amp;G1943</f>
        <v>Bowling Centers|C|Good</v>
      </c>
      <c r="J1943" s="1" t="s">
        <v>979</v>
      </c>
    </row>
    <row r="1944" customFormat="false" ht="12" hidden="false" customHeight="true" outlineLevel="0" collapsed="false">
      <c r="B1944" s="1" t="s">
        <v>977</v>
      </c>
      <c r="C1944" s="1" t="s">
        <v>978</v>
      </c>
      <c r="D1944" s="1" t="s">
        <v>511</v>
      </c>
      <c r="E1944" s="1" t="s">
        <v>533</v>
      </c>
      <c r="F1944" s="1" t="s">
        <v>463</v>
      </c>
      <c r="G1944" s="1" t="s">
        <v>279</v>
      </c>
      <c r="H1944" s="1" t="n">
        <v>111</v>
      </c>
      <c r="I1944" s="1" t="str">
        <f aca="false">B1944&amp;"|"&amp;F1944&amp;"|"&amp;G1944</f>
        <v>Bowling Centers|C|Average</v>
      </c>
      <c r="J1944" s="1" t="s">
        <v>979</v>
      </c>
    </row>
    <row r="1945" customFormat="false" ht="12" hidden="false" customHeight="true" outlineLevel="0" collapsed="false">
      <c r="B1945" s="1" t="s">
        <v>977</v>
      </c>
      <c r="C1945" s="1" t="s">
        <v>978</v>
      </c>
      <c r="D1945" s="1" t="s">
        <v>511</v>
      </c>
      <c r="E1945" s="1" t="s">
        <v>533</v>
      </c>
      <c r="F1945" s="1" t="s">
        <v>468</v>
      </c>
      <c r="G1945" s="1" t="s">
        <v>485</v>
      </c>
      <c r="H1945" s="1" t="n">
        <v>167</v>
      </c>
      <c r="I1945" s="1" t="str">
        <f aca="false">B1945&amp;"|"&amp;F1945&amp;"|"&amp;G1945</f>
        <v>Bowling Centers|D|Excellent</v>
      </c>
      <c r="J1945" s="1" t="s">
        <v>979</v>
      </c>
    </row>
    <row r="1946" customFormat="false" ht="12" hidden="false" customHeight="true" outlineLevel="0" collapsed="false">
      <c r="B1946" s="1" t="s">
        <v>977</v>
      </c>
      <c r="C1946" s="1" t="s">
        <v>978</v>
      </c>
      <c r="D1946" s="1" t="s">
        <v>511</v>
      </c>
      <c r="E1946" s="1" t="s">
        <v>533</v>
      </c>
      <c r="F1946" s="1" t="s">
        <v>468</v>
      </c>
      <c r="G1946" s="1" t="s">
        <v>483</v>
      </c>
      <c r="H1946" s="1" t="n">
        <v>136</v>
      </c>
      <c r="I1946" s="1" t="str">
        <f aca="false">B1946&amp;"|"&amp;F1946&amp;"|"&amp;G1946</f>
        <v>Bowling Centers|D|Good</v>
      </c>
      <c r="J1946" s="1" t="s">
        <v>979</v>
      </c>
    </row>
    <row r="1947" customFormat="false" ht="12" hidden="false" customHeight="true" outlineLevel="0" collapsed="false">
      <c r="B1947" s="1" t="s">
        <v>977</v>
      </c>
      <c r="C1947" s="1" t="s">
        <v>978</v>
      </c>
      <c r="D1947" s="1" t="s">
        <v>511</v>
      </c>
      <c r="E1947" s="1" t="s">
        <v>533</v>
      </c>
      <c r="F1947" s="1" t="s">
        <v>468</v>
      </c>
      <c r="G1947" s="1" t="s">
        <v>279</v>
      </c>
      <c r="H1947" s="1" t="n">
        <v>103</v>
      </c>
      <c r="I1947" s="1" t="str">
        <f aca="false">B1947&amp;"|"&amp;F1947&amp;"|"&amp;G1947</f>
        <v>Bowling Centers|D|Average</v>
      </c>
      <c r="J1947" s="1" t="s">
        <v>979</v>
      </c>
    </row>
    <row r="1948" customFormat="false" ht="12" hidden="false" customHeight="true" outlineLevel="0" collapsed="false">
      <c r="B1948" s="1" t="s">
        <v>977</v>
      </c>
      <c r="C1948" s="1" t="s">
        <v>978</v>
      </c>
      <c r="D1948" s="1" t="s">
        <v>511</v>
      </c>
      <c r="E1948" s="1" t="s">
        <v>533</v>
      </c>
      <c r="F1948" s="1" t="s">
        <v>566</v>
      </c>
      <c r="G1948" s="1" t="s">
        <v>483</v>
      </c>
      <c r="H1948" s="1" t="n">
        <v>131</v>
      </c>
      <c r="I1948" s="1" t="str">
        <f aca="false">B1948&amp;"|"&amp;F1948&amp;"|"&amp;G1948</f>
        <v>Bowling Centers|DPOLE|Good</v>
      </c>
      <c r="J1948" s="1" t="s">
        <v>979</v>
      </c>
    </row>
    <row r="1949" customFormat="false" ht="12" hidden="false" customHeight="true" outlineLevel="0" collapsed="false">
      <c r="B1949" s="1" t="s">
        <v>977</v>
      </c>
      <c r="C1949" s="1" t="s">
        <v>978</v>
      </c>
      <c r="D1949" s="1" t="s">
        <v>511</v>
      </c>
      <c r="E1949" s="1" t="s">
        <v>533</v>
      </c>
      <c r="F1949" s="1" t="s">
        <v>473</v>
      </c>
      <c r="G1949" s="1" t="s">
        <v>279</v>
      </c>
      <c r="H1949" s="1" t="n">
        <v>99.5</v>
      </c>
      <c r="I1949" s="1" t="str">
        <f aca="false">B1949&amp;"|"&amp;F1949&amp;"|"&amp;G1949</f>
        <v>Bowling Centers|S|Average</v>
      </c>
      <c r="J1949" s="1" t="s">
        <v>979</v>
      </c>
    </row>
    <row r="1950" customFormat="false" ht="12" hidden="false" customHeight="true" outlineLevel="0" collapsed="false">
      <c r="B1950" s="1" t="s">
        <v>980</v>
      </c>
      <c r="C1950" s="1" t="s">
        <v>981</v>
      </c>
      <c r="D1950" s="1" t="s">
        <v>511</v>
      </c>
      <c r="E1950" s="1" t="s">
        <v>533</v>
      </c>
      <c r="F1950" s="1" t="s">
        <v>463</v>
      </c>
      <c r="G1950" s="1" t="s">
        <v>483</v>
      </c>
      <c r="H1950" s="1" t="n">
        <v>125</v>
      </c>
      <c r="I1950" s="1" t="str">
        <f aca="false">B1950&amp;"|"&amp;F1950&amp;"|"&amp;G1950</f>
        <v>Indoor Tennis Clubs|C|Good</v>
      </c>
      <c r="J1950" s="1" t="s">
        <v>979</v>
      </c>
    </row>
    <row r="1951" customFormat="false" ht="12" hidden="false" customHeight="true" outlineLevel="0" collapsed="false">
      <c r="B1951" s="1" t="s">
        <v>980</v>
      </c>
      <c r="C1951" s="1" t="s">
        <v>981</v>
      </c>
      <c r="D1951" s="1" t="s">
        <v>511</v>
      </c>
      <c r="E1951" s="1" t="s">
        <v>533</v>
      </c>
      <c r="F1951" s="1" t="s">
        <v>463</v>
      </c>
      <c r="G1951" s="1" t="s">
        <v>279</v>
      </c>
      <c r="H1951" s="1" t="n">
        <v>92.5</v>
      </c>
      <c r="I1951" s="1" t="str">
        <f aca="false">B1951&amp;"|"&amp;F1951&amp;"|"&amp;G1951</f>
        <v>Indoor Tennis Clubs|C|Average</v>
      </c>
      <c r="J1951" s="1" t="s">
        <v>979</v>
      </c>
    </row>
    <row r="1952" customFormat="false" ht="12" hidden="false" customHeight="true" outlineLevel="0" collapsed="false">
      <c r="B1952" s="1" t="s">
        <v>980</v>
      </c>
      <c r="C1952" s="1" t="s">
        <v>981</v>
      </c>
      <c r="D1952" s="1" t="s">
        <v>511</v>
      </c>
      <c r="E1952" s="1" t="s">
        <v>533</v>
      </c>
      <c r="F1952" s="1" t="s">
        <v>468</v>
      </c>
      <c r="G1952" s="1" t="s">
        <v>483</v>
      </c>
      <c r="H1952" s="1" t="n">
        <v>115</v>
      </c>
      <c r="I1952" s="1" t="str">
        <f aca="false">B1952&amp;"|"&amp;F1952&amp;"|"&amp;G1952</f>
        <v>Indoor Tennis Clubs|D|Good</v>
      </c>
      <c r="J1952" s="1" t="s">
        <v>979</v>
      </c>
    </row>
    <row r="1953" customFormat="false" ht="12" hidden="false" customHeight="true" outlineLevel="0" collapsed="false">
      <c r="B1953" s="1" t="s">
        <v>980</v>
      </c>
      <c r="C1953" s="1" t="s">
        <v>981</v>
      </c>
      <c r="D1953" s="1" t="s">
        <v>511</v>
      </c>
      <c r="E1953" s="1" t="s">
        <v>533</v>
      </c>
      <c r="F1953" s="1" t="s">
        <v>468</v>
      </c>
      <c r="G1953" s="1" t="s">
        <v>279</v>
      </c>
      <c r="H1953" s="1" t="n">
        <v>84</v>
      </c>
      <c r="I1953" s="1" t="str">
        <f aca="false">B1953&amp;"|"&amp;F1953&amp;"|"&amp;G1953</f>
        <v>Indoor Tennis Clubs|D|Average</v>
      </c>
      <c r="J1953" s="1" t="s">
        <v>979</v>
      </c>
    </row>
    <row r="1954" customFormat="false" ht="12" hidden="false" customHeight="true" outlineLevel="0" collapsed="false">
      <c r="B1954" s="1" t="s">
        <v>980</v>
      </c>
      <c r="C1954" s="1" t="s">
        <v>981</v>
      </c>
      <c r="D1954" s="1" t="s">
        <v>511</v>
      </c>
      <c r="E1954" s="1" t="s">
        <v>533</v>
      </c>
      <c r="F1954" s="1" t="s">
        <v>566</v>
      </c>
      <c r="G1954" s="1" t="s">
        <v>483</v>
      </c>
      <c r="H1954" s="1" t="n">
        <v>114</v>
      </c>
      <c r="I1954" s="1" t="str">
        <f aca="false">B1954&amp;"|"&amp;F1954&amp;"|"&amp;G1954</f>
        <v>Indoor Tennis Clubs|DPOLE|Good</v>
      </c>
      <c r="J1954" s="1" t="s">
        <v>979</v>
      </c>
    </row>
    <row r="1955" customFormat="false" ht="12" hidden="false" customHeight="true" outlineLevel="0" collapsed="false">
      <c r="B1955" s="1" t="s">
        <v>980</v>
      </c>
      <c r="C1955" s="1" t="s">
        <v>981</v>
      </c>
      <c r="D1955" s="1" t="s">
        <v>511</v>
      </c>
      <c r="E1955" s="1" t="s">
        <v>533</v>
      </c>
      <c r="F1955" s="1" t="s">
        <v>473</v>
      </c>
      <c r="G1955" s="1" t="s">
        <v>279</v>
      </c>
      <c r="H1955" s="1" t="n">
        <v>82</v>
      </c>
      <c r="I1955" s="1" t="str">
        <f aca="false">B1955&amp;"|"&amp;F1955&amp;"|"&amp;G1955</f>
        <v>Indoor Tennis Clubs|S|Average</v>
      </c>
      <c r="J1955" s="1" t="s">
        <v>979</v>
      </c>
    </row>
    <row r="1956" customFormat="false" ht="12" hidden="false" customHeight="true" outlineLevel="0" collapsed="false">
      <c r="B1956" s="1" t="s">
        <v>982</v>
      </c>
      <c r="C1956" s="1" t="s">
        <v>983</v>
      </c>
      <c r="D1956" s="1" t="s">
        <v>511</v>
      </c>
      <c r="E1956" s="1" t="s">
        <v>537</v>
      </c>
      <c r="F1956" s="1" t="s">
        <v>463</v>
      </c>
      <c r="G1956" s="1" t="s">
        <v>485</v>
      </c>
      <c r="H1956" s="1" t="n">
        <v>342</v>
      </c>
      <c r="I1956" s="1" t="str">
        <f aca="false">B1956&amp;"|"&amp;F1956&amp;"|"&amp;G1956</f>
        <v>Pavilions|C|Excellent</v>
      </c>
      <c r="J1956" s="1" t="s">
        <v>984</v>
      </c>
    </row>
    <row r="1957" customFormat="false" ht="12" hidden="false" customHeight="true" outlineLevel="0" collapsed="false">
      <c r="B1957" s="1" t="s">
        <v>982</v>
      </c>
      <c r="C1957" s="1" t="s">
        <v>983</v>
      </c>
      <c r="D1957" s="1" t="s">
        <v>511</v>
      </c>
      <c r="E1957" s="1" t="s">
        <v>537</v>
      </c>
      <c r="F1957" s="1" t="s">
        <v>463</v>
      </c>
      <c r="G1957" s="1" t="s">
        <v>503</v>
      </c>
      <c r="H1957" s="1" t="n">
        <v>265</v>
      </c>
      <c r="I1957" s="1" t="str">
        <f aca="false">B1957&amp;"|"&amp;F1957&amp;"|"&amp;G1957</f>
        <v>Pavilions|C|Very Good</v>
      </c>
      <c r="J1957" s="1" t="s">
        <v>984</v>
      </c>
    </row>
    <row r="1958" customFormat="false" ht="12" hidden="false" customHeight="true" outlineLevel="0" collapsed="false">
      <c r="B1958" s="1" t="s">
        <v>982</v>
      </c>
      <c r="C1958" s="1" t="s">
        <v>983</v>
      </c>
      <c r="D1958" s="1" t="s">
        <v>511</v>
      </c>
      <c r="E1958" s="1" t="s">
        <v>537</v>
      </c>
      <c r="F1958" s="1" t="s">
        <v>463</v>
      </c>
      <c r="G1958" s="1" t="s">
        <v>483</v>
      </c>
      <c r="H1958" s="1" t="n">
        <v>205</v>
      </c>
      <c r="I1958" s="1" t="str">
        <f aca="false">B1958&amp;"|"&amp;F1958&amp;"|"&amp;G1958</f>
        <v>Pavilions|C|Good</v>
      </c>
      <c r="J1958" s="1" t="s">
        <v>984</v>
      </c>
    </row>
    <row r="1959" customFormat="false" ht="12" hidden="false" customHeight="true" outlineLevel="0" collapsed="false">
      <c r="B1959" s="1" t="s">
        <v>982</v>
      </c>
      <c r="C1959" s="1" t="s">
        <v>983</v>
      </c>
      <c r="D1959" s="1" t="s">
        <v>511</v>
      </c>
      <c r="E1959" s="1" t="s">
        <v>537</v>
      </c>
      <c r="F1959" s="1" t="s">
        <v>463</v>
      </c>
      <c r="G1959" s="1" t="s">
        <v>279</v>
      </c>
      <c r="H1959" s="1" t="n">
        <v>124</v>
      </c>
      <c r="I1959" s="1" t="str">
        <f aca="false">B1959&amp;"|"&amp;F1959&amp;"|"&amp;G1959</f>
        <v>Pavilions|C|Average</v>
      </c>
      <c r="J1959" s="1" t="s">
        <v>984</v>
      </c>
    </row>
    <row r="1960" customFormat="false" ht="12" hidden="false" customHeight="true" outlineLevel="0" collapsed="false">
      <c r="B1960" s="1" t="s">
        <v>982</v>
      </c>
      <c r="C1960" s="1" t="s">
        <v>983</v>
      </c>
      <c r="D1960" s="1" t="s">
        <v>511</v>
      </c>
      <c r="E1960" s="1" t="s">
        <v>537</v>
      </c>
      <c r="F1960" s="1" t="s">
        <v>463</v>
      </c>
      <c r="G1960" s="1" t="s">
        <v>555</v>
      </c>
      <c r="H1960" s="1" t="n">
        <v>96.5</v>
      </c>
      <c r="I1960" s="1" t="str">
        <f aca="false">B1960&amp;"|"&amp;F1960&amp;"|"&amp;G1960</f>
        <v>Pavilions|C|Fair</v>
      </c>
      <c r="J1960" s="1" t="s">
        <v>984</v>
      </c>
    </row>
    <row r="1961" customFormat="false" ht="12" hidden="false" customHeight="true" outlineLevel="0" collapsed="false">
      <c r="B1961" s="1" t="s">
        <v>982</v>
      </c>
      <c r="C1961" s="1" t="s">
        <v>983</v>
      </c>
      <c r="D1961" s="1" t="s">
        <v>511</v>
      </c>
      <c r="E1961" s="1" t="s">
        <v>537</v>
      </c>
      <c r="F1961" s="1" t="s">
        <v>463</v>
      </c>
      <c r="G1961" s="1" t="s">
        <v>567</v>
      </c>
      <c r="H1961" s="1" t="n">
        <v>58</v>
      </c>
      <c r="I1961" s="1" t="str">
        <f aca="false">B1961&amp;"|"&amp;F1961&amp;"|"&amp;G1961</f>
        <v>Pavilions|C|Cheap</v>
      </c>
      <c r="J1961" s="1" t="s">
        <v>984</v>
      </c>
    </row>
    <row r="1962" customFormat="false" ht="12" hidden="false" customHeight="true" outlineLevel="0" collapsed="false">
      <c r="B1962" s="1" t="s">
        <v>982</v>
      </c>
      <c r="C1962" s="1" t="s">
        <v>983</v>
      </c>
      <c r="D1962" s="1" t="s">
        <v>511</v>
      </c>
      <c r="E1962" s="1" t="s">
        <v>537</v>
      </c>
      <c r="F1962" s="1" t="s">
        <v>468</v>
      </c>
      <c r="G1962" s="1" t="s">
        <v>485</v>
      </c>
      <c r="H1962" s="1" t="n">
        <v>329</v>
      </c>
      <c r="I1962" s="1" t="str">
        <f aca="false">B1962&amp;"|"&amp;F1962&amp;"|"&amp;G1962</f>
        <v>Pavilions|D|Excellent</v>
      </c>
      <c r="J1962" s="1" t="s">
        <v>984</v>
      </c>
    </row>
    <row r="1963" customFormat="false" ht="12" hidden="false" customHeight="true" outlineLevel="0" collapsed="false">
      <c r="B1963" s="1" t="s">
        <v>982</v>
      </c>
      <c r="C1963" s="1" t="s">
        <v>983</v>
      </c>
      <c r="D1963" s="1" t="s">
        <v>511</v>
      </c>
      <c r="E1963" s="1" t="s">
        <v>537</v>
      </c>
      <c r="F1963" s="1" t="s">
        <v>468</v>
      </c>
      <c r="G1963" s="1" t="s">
        <v>503</v>
      </c>
      <c r="H1963" s="1" t="n">
        <v>254</v>
      </c>
      <c r="I1963" s="1" t="str">
        <f aca="false">B1963&amp;"|"&amp;F1963&amp;"|"&amp;G1963</f>
        <v>Pavilions|D|Very Good</v>
      </c>
      <c r="J1963" s="1" t="s">
        <v>984</v>
      </c>
    </row>
    <row r="1964" customFormat="false" ht="12" hidden="false" customHeight="true" outlineLevel="0" collapsed="false">
      <c r="B1964" s="1" t="s">
        <v>982</v>
      </c>
      <c r="C1964" s="1" t="s">
        <v>983</v>
      </c>
      <c r="D1964" s="1" t="s">
        <v>511</v>
      </c>
      <c r="E1964" s="1" t="s">
        <v>537</v>
      </c>
      <c r="F1964" s="1" t="s">
        <v>468</v>
      </c>
      <c r="G1964" s="1" t="s">
        <v>483</v>
      </c>
      <c r="H1964" s="1" t="n">
        <v>195</v>
      </c>
      <c r="I1964" s="1" t="str">
        <f aca="false">B1964&amp;"|"&amp;F1964&amp;"|"&amp;G1964</f>
        <v>Pavilions|D|Good</v>
      </c>
      <c r="J1964" s="1" t="s">
        <v>984</v>
      </c>
    </row>
    <row r="1965" customFormat="false" ht="12" hidden="false" customHeight="true" outlineLevel="0" collapsed="false">
      <c r="B1965" s="1" t="s">
        <v>982</v>
      </c>
      <c r="C1965" s="1" t="s">
        <v>983</v>
      </c>
      <c r="D1965" s="1" t="s">
        <v>511</v>
      </c>
      <c r="E1965" s="1" t="s">
        <v>537</v>
      </c>
      <c r="F1965" s="1" t="s">
        <v>468</v>
      </c>
      <c r="G1965" s="1" t="s">
        <v>279</v>
      </c>
      <c r="H1965" s="1" t="n">
        <v>116</v>
      </c>
      <c r="I1965" s="1" t="str">
        <f aca="false">B1965&amp;"|"&amp;F1965&amp;"|"&amp;G1965</f>
        <v>Pavilions|D|Average</v>
      </c>
      <c r="J1965" s="1" t="s">
        <v>984</v>
      </c>
    </row>
    <row r="1966" customFormat="false" ht="12" hidden="false" customHeight="true" outlineLevel="0" collapsed="false">
      <c r="B1966" s="1" t="s">
        <v>982</v>
      </c>
      <c r="C1966" s="1" t="s">
        <v>983</v>
      </c>
      <c r="D1966" s="1" t="s">
        <v>511</v>
      </c>
      <c r="E1966" s="1" t="s">
        <v>537</v>
      </c>
      <c r="F1966" s="1" t="s">
        <v>468</v>
      </c>
      <c r="G1966" s="1" t="s">
        <v>555</v>
      </c>
      <c r="H1966" s="1" t="n">
        <v>90</v>
      </c>
      <c r="I1966" s="1" t="str">
        <f aca="false">B1966&amp;"|"&amp;F1966&amp;"|"&amp;G1966</f>
        <v>Pavilions|D|Fair</v>
      </c>
      <c r="J1966" s="1" t="s">
        <v>984</v>
      </c>
    </row>
    <row r="1967" customFormat="false" ht="12" hidden="false" customHeight="true" outlineLevel="0" collapsed="false">
      <c r="B1967" s="1" t="s">
        <v>982</v>
      </c>
      <c r="C1967" s="1" t="s">
        <v>983</v>
      </c>
      <c r="D1967" s="1" t="s">
        <v>511</v>
      </c>
      <c r="E1967" s="1" t="s">
        <v>537</v>
      </c>
      <c r="F1967" s="1" t="s">
        <v>468</v>
      </c>
      <c r="G1967" s="1" t="s">
        <v>567</v>
      </c>
      <c r="H1967" s="1" t="n">
        <v>53.5</v>
      </c>
      <c r="I1967" s="1" t="str">
        <f aca="false">B1967&amp;"|"&amp;F1967&amp;"|"&amp;G1967</f>
        <v>Pavilions|D|Cheap</v>
      </c>
      <c r="J1967" s="1" t="s">
        <v>984</v>
      </c>
    </row>
    <row r="1968" customFormat="false" ht="12" hidden="false" customHeight="true" outlineLevel="0" collapsed="false">
      <c r="B1968" s="1" t="s">
        <v>982</v>
      </c>
      <c r="C1968" s="1" t="s">
        <v>983</v>
      </c>
      <c r="D1968" s="1" t="s">
        <v>511</v>
      </c>
      <c r="E1968" s="1" t="s">
        <v>537</v>
      </c>
      <c r="F1968" s="1" t="s">
        <v>566</v>
      </c>
      <c r="G1968" s="1" t="s">
        <v>555</v>
      </c>
      <c r="H1968" s="1" t="n">
        <v>83</v>
      </c>
      <c r="I1968" s="1" t="str">
        <f aca="false">B1968&amp;"|"&amp;F1968&amp;"|"&amp;G1968</f>
        <v>Pavilions|DPOLE|Fair</v>
      </c>
      <c r="J1968" s="1" t="s">
        <v>984</v>
      </c>
    </row>
    <row r="1969" customFormat="false" ht="12" hidden="false" customHeight="true" outlineLevel="0" collapsed="false">
      <c r="B1969" s="1" t="s">
        <v>982</v>
      </c>
      <c r="C1969" s="1" t="s">
        <v>983</v>
      </c>
      <c r="D1969" s="1" t="s">
        <v>511</v>
      </c>
      <c r="E1969" s="1" t="s">
        <v>537</v>
      </c>
      <c r="F1969" s="1" t="s">
        <v>473</v>
      </c>
      <c r="G1969" s="1" t="s">
        <v>279</v>
      </c>
      <c r="H1969" s="1" t="n">
        <v>114</v>
      </c>
      <c r="I1969" s="1" t="str">
        <f aca="false">B1969&amp;"|"&amp;F1969&amp;"|"&amp;G1969</f>
        <v>Pavilions|S|Average</v>
      </c>
      <c r="J1969" s="1" t="s">
        <v>984</v>
      </c>
    </row>
    <row r="1970" customFormat="false" ht="12" hidden="false" customHeight="true" outlineLevel="0" collapsed="false">
      <c r="B1970" s="1" t="s">
        <v>982</v>
      </c>
      <c r="C1970" s="1" t="s">
        <v>983</v>
      </c>
      <c r="D1970" s="1" t="s">
        <v>511</v>
      </c>
      <c r="E1970" s="1" t="s">
        <v>537</v>
      </c>
      <c r="F1970" s="1" t="s">
        <v>473</v>
      </c>
      <c r="G1970" s="1" t="s">
        <v>567</v>
      </c>
      <c r="H1970" s="1" t="n">
        <v>53</v>
      </c>
      <c r="I1970" s="1" t="str">
        <f aca="false">B1970&amp;"|"&amp;F1970&amp;"|"&amp;G1970</f>
        <v>Pavilions|S|Cheap</v>
      </c>
      <c r="J1970" s="1" t="s">
        <v>984</v>
      </c>
    </row>
    <row r="1971" customFormat="false" ht="12" hidden="false" customHeight="true" outlineLevel="0" collapsed="false">
      <c r="B1971" s="1" t="s">
        <v>985</v>
      </c>
      <c r="C1971" s="1" t="s">
        <v>986</v>
      </c>
      <c r="D1971" s="1" t="s">
        <v>513</v>
      </c>
      <c r="E1971" s="1" t="s">
        <v>496</v>
      </c>
      <c r="F1971" s="1" t="s">
        <v>463</v>
      </c>
      <c r="G1971" s="1" t="s">
        <v>483</v>
      </c>
      <c r="H1971" s="1" t="n">
        <v>52.5</v>
      </c>
      <c r="I1971" s="1" t="str">
        <f aca="false">B1971&amp;"|"&amp;F1971&amp;"|"&amp;G1971</f>
        <v>Light Commercial – Commodity Warehouse|C|Good</v>
      </c>
      <c r="J1971" s="1" t="s">
        <v>987</v>
      </c>
    </row>
    <row r="1972" customFormat="false" ht="12" hidden="false" customHeight="true" outlineLevel="0" collapsed="false">
      <c r="B1972" s="1" t="s">
        <v>985</v>
      </c>
      <c r="C1972" s="1" t="s">
        <v>986</v>
      </c>
      <c r="D1972" s="1" t="s">
        <v>513</v>
      </c>
      <c r="E1972" s="1" t="s">
        <v>496</v>
      </c>
      <c r="F1972" s="1" t="s">
        <v>463</v>
      </c>
      <c r="G1972" s="1" t="s">
        <v>279</v>
      </c>
      <c r="H1972" s="1" t="n">
        <v>39.5</v>
      </c>
      <c r="I1972" s="1" t="str">
        <f aca="false">B1972&amp;"|"&amp;F1972&amp;"|"&amp;G1972</f>
        <v>Light Commercial – Commodity Warehouse|C|Average</v>
      </c>
      <c r="J1972" s="1" t="s">
        <v>987</v>
      </c>
    </row>
    <row r="1973" customFormat="false" ht="12" hidden="false" customHeight="true" outlineLevel="0" collapsed="false">
      <c r="B1973" s="1" t="s">
        <v>985</v>
      </c>
      <c r="C1973" s="1" t="s">
        <v>986</v>
      </c>
      <c r="D1973" s="1" t="s">
        <v>513</v>
      </c>
      <c r="E1973" s="1" t="s">
        <v>496</v>
      </c>
      <c r="F1973" s="1" t="s">
        <v>468</v>
      </c>
      <c r="G1973" s="1" t="s">
        <v>483</v>
      </c>
      <c r="H1973" s="1" t="n">
        <v>43.25</v>
      </c>
      <c r="I1973" s="1" t="str">
        <f aca="false">B1973&amp;"|"&amp;F1973&amp;"|"&amp;G1973</f>
        <v>Light Commercial – Commodity Warehouse|D|Good</v>
      </c>
      <c r="J1973" s="1" t="s">
        <v>987</v>
      </c>
    </row>
    <row r="1974" customFormat="false" ht="12" hidden="false" customHeight="true" outlineLevel="0" collapsed="false">
      <c r="B1974" s="1" t="s">
        <v>985</v>
      </c>
      <c r="C1974" s="1" t="s">
        <v>986</v>
      </c>
      <c r="D1974" s="1" t="s">
        <v>513</v>
      </c>
      <c r="E1974" s="1" t="s">
        <v>496</v>
      </c>
      <c r="F1974" s="1" t="s">
        <v>468</v>
      </c>
      <c r="G1974" s="1" t="s">
        <v>279</v>
      </c>
      <c r="H1974" s="1" t="n">
        <v>31</v>
      </c>
      <c r="I1974" s="1" t="str">
        <f aca="false">B1974&amp;"|"&amp;F1974&amp;"|"&amp;G1974</f>
        <v>Light Commercial – Commodity Warehouse|D|Average</v>
      </c>
      <c r="J1974" s="1" t="s">
        <v>987</v>
      </c>
    </row>
    <row r="1975" customFormat="false" ht="12" hidden="false" customHeight="true" outlineLevel="0" collapsed="false">
      <c r="B1975" s="1" t="s">
        <v>985</v>
      </c>
      <c r="C1975" s="1" t="s">
        <v>986</v>
      </c>
      <c r="D1975" s="1" t="s">
        <v>513</v>
      </c>
      <c r="E1975" s="1" t="s">
        <v>496</v>
      </c>
      <c r="F1975" s="1" t="s">
        <v>468</v>
      </c>
      <c r="G1975" s="1" t="s">
        <v>480</v>
      </c>
      <c r="H1975" s="1" t="n">
        <v>20.35</v>
      </c>
      <c r="I1975" s="1" t="str">
        <f aca="false">B1975&amp;"|"&amp;F1975&amp;"|"&amp;G1975</f>
        <v>Light Commercial – Commodity Warehouse|D|Low Cost</v>
      </c>
      <c r="J1975" s="1" t="s">
        <v>987</v>
      </c>
    </row>
    <row r="1976" customFormat="false" ht="12" hidden="false" customHeight="true" outlineLevel="0" collapsed="false">
      <c r="B1976" s="1" t="s">
        <v>985</v>
      </c>
      <c r="C1976" s="1" t="s">
        <v>986</v>
      </c>
      <c r="D1976" s="1" t="s">
        <v>513</v>
      </c>
      <c r="E1976" s="1" t="s">
        <v>496</v>
      </c>
      <c r="F1976" s="1" t="s">
        <v>566</v>
      </c>
      <c r="G1976" s="1" t="s">
        <v>483</v>
      </c>
      <c r="H1976" s="1" t="n">
        <v>37.5</v>
      </c>
      <c r="I1976" s="1" t="str">
        <f aca="false">B1976&amp;"|"&amp;F1976&amp;"|"&amp;G1976</f>
        <v>Light Commercial – Commodity Warehouse|DPOLE|Good</v>
      </c>
      <c r="J1976" s="1" t="s">
        <v>987</v>
      </c>
    </row>
    <row r="1977" customFormat="false" ht="12" hidden="false" customHeight="true" outlineLevel="0" collapsed="false">
      <c r="B1977" s="1" t="s">
        <v>985</v>
      </c>
      <c r="C1977" s="1" t="s">
        <v>986</v>
      </c>
      <c r="D1977" s="1" t="s">
        <v>513</v>
      </c>
      <c r="E1977" s="1" t="s">
        <v>496</v>
      </c>
      <c r="F1977" s="1" t="s">
        <v>566</v>
      </c>
      <c r="G1977" s="1" t="s">
        <v>279</v>
      </c>
      <c r="H1977" s="1" t="n">
        <v>27</v>
      </c>
      <c r="I1977" s="1" t="str">
        <f aca="false">B1977&amp;"|"&amp;F1977&amp;"|"&amp;G1977</f>
        <v>Light Commercial – Commodity Warehouse|DPOLE|Average</v>
      </c>
      <c r="J1977" s="1" t="s">
        <v>987</v>
      </c>
    </row>
    <row r="1978" customFormat="false" ht="12" hidden="false" customHeight="true" outlineLevel="0" collapsed="false">
      <c r="B1978" s="1" t="s">
        <v>985</v>
      </c>
      <c r="C1978" s="1" t="s">
        <v>986</v>
      </c>
      <c r="D1978" s="1" t="s">
        <v>513</v>
      </c>
      <c r="E1978" s="1" t="s">
        <v>496</v>
      </c>
      <c r="F1978" s="1" t="s">
        <v>566</v>
      </c>
      <c r="G1978" s="1" t="s">
        <v>480</v>
      </c>
      <c r="H1978" s="1" t="n">
        <v>17.55</v>
      </c>
      <c r="I1978" s="1" t="str">
        <f aca="false">B1978&amp;"|"&amp;F1978&amp;"|"&amp;G1978</f>
        <v>Light Commercial – Commodity Warehouse|DPOLE|Low Cost</v>
      </c>
      <c r="J1978" s="1" t="s">
        <v>987</v>
      </c>
    </row>
    <row r="1979" customFormat="false" ht="12" hidden="false" customHeight="true" outlineLevel="0" collapsed="false">
      <c r="B1979" s="1" t="s">
        <v>985</v>
      </c>
      <c r="C1979" s="1" t="s">
        <v>986</v>
      </c>
      <c r="D1979" s="1" t="s">
        <v>513</v>
      </c>
      <c r="E1979" s="1" t="s">
        <v>496</v>
      </c>
      <c r="F1979" s="1" t="s">
        <v>473</v>
      </c>
      <c r="G1979" s="1" t="s">
        <v>483</v>
      </c>
      <c r="H1979" s="1" t="n">
        <v>41.75</v>
      </c>
      <c r="I1979" s="1" t="str">
        <f aca="false">B1979&amp;"|"&amp;F1979&amp;"|"&amp;G1979</f>
        <v>Light Commercial – Commodity Warehouse|S|Good</v>
      </c>
      <c r="J1979" s="1" t="s">
        <v>987</v>
      </c>
    </row>
    <row r="1980" customFormat="false" ht="12" hidden="false" customHeight="true" outlineLevel="0" collapsed="false">
      <c r="B1980" s="1" t="s">
        <v>985</v>
      </c>
      <c r="C1980" s="1" t="s">
        <v>986</v>
      </c>
      <c r="D1980" s="1" t="s">
        <v>513</v>
      </c>
      <c r="E1980" s="1" t="s">
        <v>496</v>
      </c>
      <c r="F1980" s="1" t="s">
        <v>473</v>
      </c>
      <c r="G1980" s="1" t="s">
        <v>279</v>
      </c>
      <c r="H1980" s="1" t="n">
        <v>30.5</v>
      </c>
      <c r="I1980" s="1" t="str">
        <f aca="false">B1980&amp;"|"&amp;F1980&amp;"|"&amp;G1980</f>
        <v>Light Commercial – Commodity Warehouse|S|Average</v>
      </c>
      <c r="J1980" s="1" t="s">
        <v>987</v>
      </c>
    </row>
    <row r="1981" customFormat="false" ht="12" hidden="false" customHeight="true" outlineLevel="0" collapsed="false">
      <c r="B1981" s="1" t="s">
        <v>985</v>
      </c>
      <c r="C1981" s="1" t="s">
        <v>986</v>
      </c>
      <c r="D1981" s="1" t="s">
        <v>513</v>
      </c>
      <c r="E1981" s="1" t="s">
        <v>496</v>
      </c>
      <c r="F1981" s="1" t="s">
        <v>473</v>
      </c>
      <c r="G1981" s="1" t="s">
        <v>480</v>
      </c>
      <c r="H1981" s="1" t="n">
        <v>20.35</v>
      </c>
      <c r="I1981" s="1" t="str">
        <f aca="false">B1981&amp;"|"&amp;F1981&amp;"|"&amp;G1981</f>
        <v>Light Commercial – Commodity Warehouse|S|Low Cost</v>
      </c>
      <c r="J1981" s="1" t="s">
        <v>987</v>
      </c>
    </row>
    <row r="1982" customFormat="false" ht="12" hidden="false" customHeight="true" outlineLevel="0" collapsed="false">
      <c r="B1982" s="1" t="s">
        <v>985</v>
      </c>
      <c r="C1982" s="1" t="s">
        <v>986</v>
      </c>
      <c r="D1982" s="1" t="s">
        <v>513</v>
      </c>
      <c r="E1982" s="1" t="s">
        <v>496</v>
      </c>
      <c r="F1982" s="1" t="s">
        <v>988</v>
      </c>
      <c r="G1982" s="1" t="s">
        <v>483</v>
      </c>
      <c r="H1982" s="1" t="n">
        <v>38.5</v>
      </c>
      <c r="I1982" s="1" t="str">
        <f aca="false">B1982&amp;"|"&amp;F1982&amp;"|"&amp;G1982</f>
        <v>Light Commercial – Commodity Warehouse|SSLANT|Good</v>
      </c>
      <c r="J1982" s="1" t="s">
        <v>987</v>
      </c>
    </row>
    <row r="1983" customFormat="false" ht="12" hidden="false" customHeight="true" outlineLevel="0" collapsed="false">
      <c r="B1983" s="1" t="s">
        <v>985</v>
      </c>
      <c r="C1983" s="1" t="s">
        <v>986</v>
      </c>
      <c r="D1983" s="1" t="s">
        <v>513</v>
      </c>
      <c r="E1983" s="1" t="s">
        <v>496</v>
      </c>
      <c r="F1983" s="1" t="s">
        <v>988</v>
      </c>
      <c r="G1983" s="1" t="s">
        <v>279</v>
      </c>
      <c r="H1983" s="1" t="n">
        <v>28.25</v>
      </c>
      <c r="I1983" s="1" t="str">
        <f aca="false">B1983&amp;"|"&amp;F1983&amp;"|"&amp;G1983</f>
        <v>Light Commercial – Commodity Warehouse|SSLANT|Average</v>
      </c>
      <c r="J1983" s="1" t="s">
        <v>987</v>
      </c>
    </row>
    <row r="1984" customFormat="false" ht="12" hidden="false" customHeight="true" outlineLevel="0" collapsed="false">
      <c r="B1984" s="1" t="s">
        <v>985</v>
      </c>
      <c r="C1984" s="1" t="s">
        <v>986</v>
      </c>
      <c r="D1984" s="1" t="s">
        <v>513</v>
      </c>
      <c r="E1984" s="1" t="s">
        <v>496</v>
      </c>
      <c r="F1984" s="1" t="s">
        <v>988</v>
      </c>
      <c r="G1984" s="1" t="s">
        <v>480</v>
      </c>
      <c r="H1984" s="1" t="n">
        <v>18.8</v>
      </c>
      <c r="I1984" s="1" t="str">
        <f aca="false">B1984&amp;"|"&amp;F1984&amp;"|"&amp;G1984</f>
        <v>Light Commercial – Commodity Warehouse|SSLANT|Low Cost</v>
      </c>
      <c r="J1984" s="1" t="s">
        <v>987</v>
      </c>
    </row>
    <row r="1985" customFormat="false" ht="12" hidden="false" customHeight="true" outlineLevel="0" collapsed="false">
      <c r="B1985" s="1" t="s">
        <v>989</v>
      </c>
      <c r="C1985" s="1" t="s">
        <v>990</v>
      </c>
      <c r="D1985" s="1" t="s">
        <v>513</v>
      </c>
      <c r="E1985" s="1" t="s">
        <v>496</v>
      </c>
      <c r="F1985" s="1" t="s">
        <v>566</v>
      </c>
      <c r="G1985" s="1" t="s">
        <v>483</v>
      </c>
      <c r="H1985" s="1" t="n">
        <v>43.25</v>
      </c>
      <c r="I1985" s="1" t="str">
        <f aca="false">B1985&amp;"|"&amp;F1985&amp;"|"&amp;G1985</f>
        <v>Light Commercial – Manufacturing Utility Buildings|DPOLE|Good</v>
      </c>
      <c r="J1985" s="1" t="s">
        <v>987</v>
      </c>
    </row>
    <row r="1986" customFormat="false" ht="12" hidden="false" customHeight="true" outlineLevel="0" collapsed="false">
      <c r="B1986" s="1" t="s">
        <v>989</v>
      </c>
      <c r="C1986" s="1" t="s">
        <v>990</v>
      </c>
      <c r="D1986" s="1" t="s">
        <v>513</v>
      </c>
      <c r="E1986" s="1" t="s">
        <v>496</v>
      </c>
      <c r="F1986" s="1" t="s">
        <v>566</v>
      </c>
      <c r="G1986" s="1" t="s">
        <v>279</v>
      </c>
      <c r="H1986" s="1" t="n">
        <v>33.25</v>
      </c>
      <c r="I1986" s="1" t="str">
        <f aca="false">B1986&amp;"|"&amp;F1986&amp;"|"&amp;G1986</f>
        <v>Light Commercial – Manufacturing Utility Buildings|DPOLE|Average</v>
      </c>
      <c r="J1986" s="1" t="s">
        <v>987</v>
      </c>
    </row>
    <row r="1987" customFormat="false" ht="12" hidden="false" customHeight="true" outlineLevel="0" collapsed="false">
      <c r="B1987" s="1" t="s">
        <v>989</v>
      </c>
      <c r="C1987" s="1" t="s">
        <v>990</v>
      </c>
      <c r="D1987" s="1" t="s">
        <v>513</v>
      </c>
      <c r="E1987" s="1" t="s">
        <v>496</v>
      </c>
      <c r="F1987" s="1" t="s">
        <v>566</v>
      </c>
      <c r="G1987" s="1" t="s">
        <v>480</v>
      </c>
      <c r="H1987" s="1" t="n">
        <v>25.75</v>
      </c>
      <c r="I1987" s="1" t="str">
        <f aca="false">B1987&amp;"|"&amp;F1987&amp;"|"&amp;G1987</f>
        <v>Light Commercial – Manufacturing Utility Buildings|DPOLE|Low Cost</v>
      </c>
      <c r="J1987" s="1" t="s">
        <v>987</v>
      </c>
    </row>
    <row r="1988" customFormat="false" ht="12" hidden="false" customHeight="true" outlineLevel="0" collapsed="false">
      <c r="B1988" s="1" t="s">
        <v>989</v>
      </c>
      <c r="C1988" s="1" t="s">
        <v>990</v>
      </c>
      <c r="D1988" s="1" t="s">
        <v>513</v>
      </c>
      <c r="E1988" s="1" t="s">
        <v>496</v>
      </c>
      <c r="F1988" s="1" t="s">
        <v>473</v>
      </c>
      <c r="G1988" s="1" t="s">
        <v>483</v>
      </c>
      <c r="H1988" s="1" t="n">
        <v>47.75</v>
      </c>
      <c r="I1988" s="1" t="str">
        <f aca="false">B1988&amp;"|"&amp;F1988&amp;"|"&amp;G1988</f>
        <v>Light Commercial – Manufacturing Utility Buildings|S|Good</v>
      </c>
      <c r="J1988" s="1" t="s">
        <v>987</v>
      </c>
    </row>
    <row r="1989" customFormat="false" ht="12" hidden="false" customHeight="true" outlineLevel="0" collapsed="false">
      <c r="B1989" s="1" t="s">
        <v>989</v>
      </c>
      <c r="C1989" s="1" t="s">
        <v>990</v>
      </c>
      <c r="D1989" s="1" t="s">
        <v>513</v>
      </c>
      <c r="E1989" s="1" t="s">
        <v>496</v>
      </c>
      <c r="F1989" s="1" t="s">
        <v>473</v>
      </c>
      <c r="G1989" s="1" t="s">
        <v>279</v>
      </c>
      <c r="H1989" s="1" t="n">
        <v>37</v>
      </c>
      <c r="I1989" s="1" t="str">
        <f aca="false">B1989&amp;"|"&amp;F1989&amp;"|"&amp;G1989</f>
        <v>Light Commercial – Manufacturing Utility Buildings|S|Average</v>
      </c>
      <c r="J1989" s="1" t="s">
        <v>987</v>
      </c>
    </row>
    <row r="1990" customFormat="false" ht="12" hidden="false" customHeight="true" outlineLevel="0" collapsed="false">
      <c r="B1990" s="1" t="s">
        <v>989</v>
      </c>
      <c r="C1990" s="1" t="s">
        <v>990</v>
      </c>
      <c r="D1990" s="1" t="s">
        <v>513</v>
      </c>
      <c r="E1990" s="1" t="s">
        <v>496</v>
      </c>
      <c r="F1990" s="1" t="s">
        <v>473</v>
      </c>
      <c r="G1990" s="1" t="s">
        <v>480</v>
      </c>
      <c r="H1990" s="1" t="n">
        <v>29</v>
      </c>
      <c r="I1990" s="1" t="str">
        <f aca="false">B1990&amp;"|"&amp;F1990&amp;"|"&amp;G1990</f>
        <v>Light Commercial – Manufacturing Utility Buildings|S|Low Cost</v>
      </c>
      <c r="J1990" s="1" t="s">
        <v>987</v>
      </c>
    </row>
    <row r="1991" customFormat="false" ht="12" hidden="false" customHeight="true" outlineLevel="0" collapsed="false">
      <c r="B1991" s="1" t="s">
        <v>991</v>
      </c>
      <c r="C1991" s="1" t="s">
        <v>992</v>
      </c>
      <c r="D1991" s="1" t="s">
        <v>513</v>
      </c>
      <c r="E1991" s="1" t="s">
        <v>496</v>
      </c>
      <c r="F1991" s="1" t="s">
        <v>468</v>
      </c>
      <c r="G1991" s="1" t="s">
        <v>483</v>
      </c>
      <c r="H1991" s="1" t="n">
        <v>18.52</v>
      </c>
      <c r="I1991" s="1" t="str">
        <f aca="false">B1991&amp;"|"&amp;F1991&amp;"|"&amp;G1991</f>
        <v>Material – Commodity Shelters|D|Good</v>
      </c>
      <c r="J1991" s="1" t="s">
        <v>993</v>
      </c>
    </row>
    <row r="1992" customFormat="false" ht="12" hidden="false" customHeight="true" outlineLevel="0" collapsed="false">
      <c r="B1992" s="1" t="s">
        <v>991</v>
      </c>
      <c r="C1992" s="1" t="s">
        <v>992</v>
      </c>
      <c r="D1992" s="1" t="s">
        <v>513</v>
      </c>
      <c r="E1992" s="1" t="s">
        <v>496</v>
      </c>
      <c r="F1992" s="1" t="s">
        <v>468</v>
      </c>
      <c r="G1992" s="1" t="s">
        <v>480</v>
      </c>
      <c r="H1992" s="1" t="n">
        <v>9.31</v>
      </c>
      <c r="I1992" s="1" t="str">
        <f aca="false">B1992&amp;"|"&amp;F1992&amp;"|"&amp;G1992</f>
        <v>Material – Commodity Shelters|D|Low Cost</v>
      </c>
      <c r="J1992" s="1" t="s">
        <v>994</v>
      </c>
    </row>
    <row r="1993" customFormat="false" ht="12" hidden="false" customHeight="true" outlineLevel="0" collapsed="false">
      <c r="B1993" s="1" t="s">
        <v>991</v>
      </c>
      <c r="C1993" s="1" t="s">
        <v>992</v>
      </c>
      <c r="D1993" s="1" t="s">
        <v>513</v>
      </c>
      <c r="E1993" s="1" t="s">
        <v>496</v>
      </c>
      <c r="F1993" s="1" t="s">
        <v>473</v>
      </c>
      <c r="G1993" s="1" t="s">
        <v>503</v>
      </c>
      <c r="H1993" s="1" t="n">
        <v>23.4</v>
      </c>
      <c r="I1993" s="1" t="str">
        <f aca="false">B1993&amp;"|"&amp;F1993&amp;"|"&amp;G1993</f>
        <v>Material – Commodity Shelters|S|Very Good</v>
      </c>
      <c r="J1993" s="1" t="s">
        <v>995</v>
      </c>
    </row>
    <row r="1994" customFormat="false" ht="12" hidden="false" customHeight="true" outlineLevel="0" collapsed="false">
      <c r="B1994" s="1" t="s">
        <v>991</v>
      </c>
      <c r="C1994" s="1" t="s">
        <v>992</v>
      </c>
      <c r="D1994" s="1" t="s">
        <v>513</v>
      </c>
      <c r="E1994" s="1" t="s">
        <v>496</v>
      </c>
      <c r="F1994" s="1" t="s">
        <v>473</v>
      </c>
      <c r="G1994" s="1" t="s">
        <v>483</v>
      </c>
      <c r="H1994" s="1" t="n">
        <v>19.73</v>
      </c>
      <c r="I1994" s="1" t="str">
        <f aca="false">B1994&amp;"|"&amp;F1994&amp;"|"&amp;G1994</f>
        <v>Material – Commodity Shelters|S|Good</v>
      </c>
      <c r="J1994" s="1" t="s">
        <v>996</v>
      </c>
    </row>
    <row r="1995" customFormat="false" ht="12" hidden="false" customHeight="true" outlineLevel="0" collapsed="false">
      <c r="B1995" s="1" t="s">
        <v>991</v>
      </c>
      <c r="C1995" s="1" t="s">
        <v>992</v>
      </c>
      <c r="D1995" s="1" t="s">
        <v>513</v>
      </c>
      <c r="E1995" s="1" t="s">
        <v>496</v>
      </c>
      <c r="F1995" s="1" t="s">
        <v>473</v>
      </c>
      <c r="G1995" s="1" t="s">
        <v>279</v>
      </c>
      <c r="H1995" s="1" t="n">
        <v>13.98</v>
      </c>
      <c r="I1995" s="1" t="str">
        <f aca="false">B1995&amp;"|"&amp;F1995&amp;"|"&amp;G1995</f>
        <v>Material – Commodity Shelters|S|Average</v>
      </c>
      <c r="J1995" s="1" t="s">
        <v>997</v>
      </c>
    </row>
    <row r="1996" customFormat="false" ht="12" hidden="false" customHeight="true" outlineLevel="0" collapsed="false">
      <c r="B1996" s="1" t="s">
        <v>991</v>
      </c>
      <c r="C1996" s="1" t="s">
        <v>992</v>
      </c>
      <c r="D1996" s="1" t="s">
        <v>513</v>
      </c>
      <c r="E1996" s="1" t="s">
        <v>496</v>
      </c>
      <c r="F1996" s="1" t="s">
        <v>473</v>
      </c>
      <c r="G1996" s="1" t="s">
        <v>480</v>
      </c>
      <c r="H1996" s="1" t="n">
        <v>9.91</v>
      </c>
      <c r="I1996" s="1" t="str">
        <f aca="false">B1996&amp;"|"&amp;F1996&amp;"|"&amp;G1996</f>
        <v>Material – Commodity Shelters|S|Low Cost</v>
      </c>
      <c r="J1996" s="1" t="s">
        <v>998</v>
      </c>
    </row>
    <row r="1997" customFormat="false" ht="12" hidden="false" customHeight="true" outlineLevel="0" collapsed="false">
      <c r="B1997" s="1" t="s">
        <v>999</v>
      </c>
      <c r="C1997" s="1" t="s">
        <v>1000</v>
      </c>
      <c r="D1997" s="1" t="s">
        <v>513</v>
      </c>
      <c r="E1997" s="1" t="s">
        <v>590</v>
      </c>
      <c r="F1997" s="1" t="s">
        <v>463</v>
      </c>
      <c r="G1997" s="1" t="s">
        <v>483</v>
      </c>
      <c r="H1997" s="1" t="n">
        <v>51</v>
      </c>
      <c r="I1997" s="1" t="str">
        <f aca="false">B1997&amp;"|"&amp;F1997&amp;"|"&amp;G1997</f>
        <v>Light Commercial Utility Buildings|C|Good</v>
      </c>
      <c r="J1997" s="1" t="s">
        <v>1001</v>
      </c>
    </row>
    <row r="1998" customFormat="false" ht="12" hidden="false" customHeight="true" outlineLevel="0" collapsed="false">
      <c r="B1998" s="1" t="s">
        <v>999</v>
      </c>
      <c r="C1998" s="1" t="s">
        <v>1000</v>
      </c>
      <c r="D1998" s="1" t="s">
        <v>513</v>
      </c>
      <c r="E1998" s="1" t="s">
        <v>590</v>
      </c>
      <c r="F1998" s="1" t="s">
        <v>463</v>
      </c>
      <c r="G1998" s="1" t="s">
        <v>279</v>
      </c>
      <c r="H1998" s="1" t="n">
        <v>36.5</v>
      </c>
      <c r="I1998" s="1" t="str">
        <f aca="false">B1998&amp;"|"&amp;F1998&amp;"|"&amp;G1998</f>
        <v>Light Commercial Utility Buildings|C|Average</v>
      </c>
      <c r="J1998" s="1" t="s">
        <v>1001</v>
      </c>
    </row>
    <row r="1999" customFormat="false" ht="12" hidden="false" customHeight="true" outlineLevel="0" collapsed="false">
      <c r="B1999" s="1" t="s">
        <v>999</v>
      </c>
      <c r="C1999" s="1" t="s">
        <v>1000</v>
      </c>
      <c r="D1999" s="1" t="s">
        <v>513</v>
      </c>
      <c r="E1999" s="1" t="s">
        <v>590</v>
      </c>
      <c r="F1999" s="1" t="s">
        <v>468</v>
      </c>
      <c r="G1999" s="1" t="s">
        <v>483</v>
      </c>
      <c r="H1999" s="1" t="n">
        <v>42</v>
      </c>
      <c r="I1999" s="1" t="str">
        <f aca="false">B1999&amp;"|"&amp;F1999&amp;"|"&amp;G1999</f>
        <v>Light Commercial Utility Buildings|D|Good</v>
      </c>
      <c r="J1999" s="1" t="s">
        <v>1001</v>
      </c>
    </row>
    <row r="2000" customFormat="false" ht="12" hidden="false" customHeight="true" outlineLevel="0" collapsed="false">
      <c r="B2000" s="1" t="s">
        <v>999</v>
      </c>
      <c r="C2000" s="1" t="s">
        <v>1000</v>
      </c>
      <c r="D2000" s="1" t="s">
        <v>513</v>
      </c>
      <c r="E2000" s="1" t="s">
        <v>590</v>
      </c>
      <c r="F2000" s="1" t="s">
        <v>468</v>
      </c>
      <c r="G2000" s="1" t="s">
        <v>279</v>
      </c>
      <c r="H2000" s="1" t="n">
        <v>28</v>
      </c>
      <c r="I2000" s="1" t="str">
        <f aca="false">B2000&amp;"|"&amp;F2000&amp;"|"&amp;G2000</f>
        <v>Light Commercial Utility Buildings|D|Average</v>
      </c>
      <c r="J2000" s="1" t="s">
        <v>1001</v>
      </c>
    </row>
    <row r="2001" customFormat="false" ht="12" hidden="false" customHeight="true" outlineLevel="0" collapsed="false">
      <c r="B2001" s="1" t="s">
        <v>999</v>
      </c>
      <c r="C2001" s="1" t="s">
        <v>1000</v>
      </c>
      <c r="D2001" s="1" t="s">
        <v>513</v>
      </c>
      <c r="E2001" s="1" t="s">
        <v>590</v>
      </c>
      <c r="F2001" s="1" t="s">
        <v>468</v>
      </c>
      <c r="G2001" s="1" t="s">
        <v>480</v>
      </c>
      <c r="H2001" s="1" t="n">
        <v>19.9</v>
      </c>
      <c r="I2001" s="1" t="str">
        <f aca="false">B2001&amp;"|"&amp;F2001&amp;"|"&amp;G2001</f>
        <v>Light Commercial Utility Buildings|D|Low Cost</v>
      </c>
      <c r="J2001" s="1" t="s">
        <v>1001</v>
      </c>
    </row>
    <row r="2002" customFormat="false" ht="12" hidden="false" customHeight="true" outlineLevel="0" collapsed="false">
      <c r="B2002" s="1" t="s">
        <v>999</v>
      </c>
      <c r="C2002" s="1" t="s">
        <v>1000</v>
      </c>
      <c r="D2002" s="1" t="s">
        <v>513</v>
      </c>
      <c r="E2002" s="1" t="s">
        <v>590</v>
      </c>
      <c r="F2002" s="1" t="s">
        <v>566</v>
      </c>
      <c r="G2002" s="1" t="s">
        <v>483</v>
      </c>
      <c r="H2002" s="1" t="n">
        <v>36.5</v>
      </c>
      <c r="I2002" s="1" t="str">
        <f aca="false">B2002&amp;"|"&amp;F2002&amp;"|"&amp;G2002</f>
        <v>Light Commercial Utility Buildings|DPOLE|Good</v>
      </c>
      <c r="J2002" s="1" t="s">
        <v>1001</v>
      </c>
    </row>
    <row r="2003" customFormat="false" ht="12" hidden="false" customHeight="true" outlineLevel="0" collapsed="false">
      <c r="B2003" s="1" t="s">
        <v>999</v>
      </c>
      <c r="C2003" s="1" t="s">
        <v>1000</v>
      </c>
      <c r="D2003" s="1" t="s">
        <v>513</v>
      </c>
      <c r="E2003" s="1" t="s">
        <v>590</v>
      </c>
      <c r="F2003" s="1" t="s">
        <v>566</v>
      </c>
      <c r="G2003" s="1" t="s">
        <v>279</v>
      </c>
      <c r="H2003" s="1" t="n">
        <v>24.25</v>
      </c>
      <c r="I2003" s="1" t="str">
        <f aca="false">B2003&amp;"|"&amp;F2003&amp;"|"&amp;G2003</f>
        <v>Light Commercial Utility Buildings|DPOLE|Average</v>
      </c>
      <c r="J2003" s="1" t="s">
        <v>1001</v>
      </c>
    </row>
    <row r="2004" customFormat="false" ht="12" hidden="false" customHeight="true" outlineLevel="0" collapsed="false">
      <c r="B2004" s="1" t="s">
        <v>999</v>
      </c>
      <c r="C2004" s="1" t="s">
        <v>1000</v>
      </c>
      <c r="D2004" s="1" t="s">
        <v>513</v>
      </c>
      <c r="E2004" s="1" t="s">
        <v>590</v>
      </c>
      <c r="F2004" s="1" t="s">
        <v>566</v>
      </c>
      <c r="G2004" s="1" t="s">
        <v>480</v>
      </c>
      <c r="H2004" s="1" t="n">
        <v>17.15</v>
      </c>
      <c r="I2004" s="1" t="str">
        <f aca="false">B2004&amp;"|"&amp;F2004&amp;"|"&amp;G2004</f>
        <v>Light Commercial Utility Buildings|DPOLE|Low Cost</v>
      </c>
      <c r="J2004" s="1" t="s">
        <v>1001</v>
      </c>
    </row>
    <row r="2005" customFormat="false" ht="12" hidden="false" customHeight="true" outlineLevel="0" collapsed="false">
      <c r="B2005" s="1" t="s">
        <v>999</v>
      </c>
      <c r="C2005" s="1" t="s">
        <v>1000</v>
      </c>
      <c r="D2005" s="1" t="s">
        <v>513</v>
      </c>
      <c r="E2005" s="1" t="s">
        <v>590</v>
      </c>
      <c r="F2005" s="1" t="s">
        <v>473</v>
      </c>
      <c r="G2005" s="1" t="s">
        <v>483</v>
      </c>
      <c r="H2005" s="1" t="n">
        <v>40.5</v>
      </c>
      <c r="I2005" s="1" t="str">
        <f aca="false">B2005&amp;"|"&amp;F2005&amp;"|"&amp;G2005</f>
        <v>Light Commercial Utility Buildings|S|Good</v>
      </c>
      <c r="J2005" s="1" t="s">
        <v>1001</v>
      </c>
    </row>
    <row r="2006" customFormat="false" ht="12" hidden="false" customHeight="true" outlineLevel="0" collapsed="false">
      <c r="B2006" s="1" t="s">
        <v>999</v>
      </c>
      <c r="C2006" s="1" t="s">
        <v>1000</v>
      </c>
      <c r="D2006" s="1" t="s">
        <v>513</v>
      </c>
      <c r="E2006" s="1" t="s">
        <v>590</v>
      </c>
      <c r="F2006" s="1" t="s">
        <v>473</v>
      </c>
      <c r="G2006" s="1" t="s">
        <v>279</v>
      </c>
      <c r="H2006" s="1" t="n">
        <v>27.5</v>
      </c>
      <c r="I2006" s="1" t="str">
        <f aca="false">B2006&amp;"|"&amp;F2006&amp;"|"&amp;G2006</f>
        <v>Light Commercial Utility Buildings|S|Average</v>
      </c>
      <c r="J2006" s="1" t="s">
        <v>1001</v>
      </c>
    </row>
    <row r="2007" customFormat="false" ht="12" hidden="false" customHeight="true" outlineLevel="0" collapsed="false">
      <c r="B2007" s="1" t="s">
        <v>999</v>
      </c>
      <c r="C2007" s="1" t="s">
        <v>1000</v>
      </c>
      <c r="D2007" s="1" t="s">
        <v>513</v>
      </c>
      <c r="E2007" s="1" t="s">
        <v>590</v>
      </c>
      <c r="F2007" s="1" t="s">
        <v>473</v>
      </c>
      <c r="G2007" s="1" t="s">
        <v>480</v>
      </c>
      <c r="H2007" s="1" t="n">
        <v>19.9</v>
      </c>
      <c r="I2007" s="1" t="str">
        <f aca="false">B2007&amp;"|"&amp;F2007&amp;"|"&amp;G2007</f>
        <v>Light Commercial Utility Buildings|S|Low Cost</v>
      </c>
      <c r="J2007" s="1" t="s">
        <v>1001</v>
      </c>
    </row>
    <row r="2008" customFormat="false" ht="12" hidden="false" customHeight="true" outlineLevel="0" collapsed="false">
      <c r="B2008" s="1" t="s">
        <v>999</v>
      </c>
      <c r="C2008" s="1" t="s">
        <v>1000</v>
      </c>
      <c r="D2008" s="1" t="s">
        <v>513</v>
      </c>
      <c r="E2008" s="1" t="s">
        <v>590</v>
      </c>
      <c r="F2008" s="1" t="s">
        <v>988</v>
      </c>
      <c r="G2008" s="1" t="s">
        <v>483</v>
      </c>
      <c r="H2008" s="1" t="n">
        <v>37.5</v>
      </c>
      <c r="I2008" s="1" t="str">
        <f aca="false">B2008&amp;"|"&amp;F2008&amp;"|"&amp;G2008</f>
        <v>Light Commercial Utility Buildings|SSLANT|Good</v>
      </c>
      <c r="J2008" s="1" t="s">
        <v>1001</v>
      </c>
    </row>
    <row r="2009" customFormat="false" ht="12" hidden="false" customHeight="true" outlineLevel="0" collapsed="false">
      <c r="B2009" s="1" t="s">
        <v>999</v>
      </c>
      <c r="C2009" s="1" t="s">
        <v>1000</v>
      </c>
      <c r="D2009" s="1" t="s">
        <v>513</v>
      </c>
      <c r="E2009" s="1" t="s">
        <v>590</v>
      </c>
      <c r="F2009" s="1" t="s">
        <v>988</v>
      </c>
      <c r="G2009" s="1" t="s">
        <v>279</v>
      </c>
      <c r="H2009" s="1" t="n">
        <v>25.5</v>
      </c>
      <c r="I2009" s="1" t="str">
        <f aca="false">B2009&amp;"|"&amp;F2009&amp;"|"&amp;G2009</f>
        <v>Light Commercial Utility Buildings|SSLANT|Average</v>
      </c>
      <c r="J2009" s="1" t="s">
        <v>1001</v>
      </c>
    </row>
    <row r="2010" customFormat="false" ht="12" hidden="false" customHeight="true" outlineLevel="0" collapsed="false">
      <c r="B2010" s="1" t="s">
        <v>999</v>
      </c>
      <c r="C2010" s="1" t="s">
        <v>1000</v>
      </c>
      <c r="D2010" s="1" t="s">
        <v>513</v>
      </c>
      <c r="E2010" s="1" t="s">
        <v>590</v>
      </c>
      <c r="F2010" s="1" t="s">
        <v>988</v>
      </c>
      <c r="G2010" s="1" t="s">
        <v>480</v>
      </c>
      <c r="H2010" s="1" t="n">
        <v>18.4</v>
      </c>
      <c r="I2010" s="1" t="str">
        <f aca="false">B2010&amp;"|"&amp;F2010&amp;"|"&amp;G2010</f>
        <v>Light Commercial Utility Buildings|SSLANT|Low Cost</v>
      </c>
      <c r="J2010" s="1" t="s">
        <v>1001</v>
      </c>
    </row>
    <row r="2011" customFormat="false" ht="12" hidden="false" customHeight="true" outlineLevel="0" collapsed="false">
      <c r="B2011" s="1" t="s">
        <v>1002</v>
      </c>
      <c r="C2011" s="1" t="s">
        <v>1003</v>
      </c>
      <c r="D2011" s="1" t="s">
        <v>513</v>
      </c>
      <c r="E2011" s="1" t="s">
        <v>590</v>
      </c>
      <c r="F2011" s="1" t="s">
        <v>463</v>
      </c>
      <c r="G2011" s="1" t="s">
        <v>483</v>
      </c>
      <c r="H2011" s="1" t="n">
        <v>35.5</v>
      </c>
      <c r="I2011" s="1" t="str">
        <f aca="false">B2011&amp;"|"&amp;F2011&amp;"|"&amp;G2011</f>
        <v>Toolshed Buildings|C|Good</v>
      </c>
      <c r="J2011" s="1" t="s">
        <v>1001</v>
      </c>
    </row>
    <row r="2012" customFormat="false" ht="12" hidden="false" customHeight="true" outlineLevel="0" collapsed="false">
      <c r="B2012" s="1" t="s">
        <v>1002</v>
      </c>
      <c r="C2012" s="1" t="s">
        <v>1003</v>
      </c>
      <c r="D2012" s="1" t="s">
        <v>513</v>
      </c>
      <c r="E2012" s="1" t="s">
        <v>590</v>
      </c>
      <c r="F2012" s="1" t="s">
        <v>468</v>
      </c>
      <c r="G2012" s="1" t="s">
        <v>483</v>
      </c>
      <c r="H2012" s="1" t="n">
        <v>29.75</v>
      </c>
      <c r="I2012" s="1" t="str">
        <f aca="false">B2012&amp;"|"&amp;F2012&amp;"|"&amp;G2012</f>
        <v>Toolshed Buildings|D|Good</v>
      </c>
      <c r="J2012" s="1" t="s">
        <v>1001</v>
      </c>
    </row>
    <row r="2013" customFormat="false" ht="12" hidden="false" customHeight="true" outlineLevel="0" collapsed="false">
      <c r="B2013" s="1" t="s">
        <v>1002</v>
      </c>
      <c r="C2013" s="1" t="s">
        <v>1003</v>
      </c>
      <c r="D2013" s="1" t="s">
        <v>513</v>
      </c>
      <c r="E2013" s="1" t="s">
        <v>590</v>
      </c>
      <c r="F2013" s="1" t="s">
        <v>468</v>
      </c>
      <c r="G2013" s="1" t="s">
        <v>279</v>
      </c>
      <c r="H2013" s="1" t="n">
        <v>18.35</v>
      </c>
      <c r="I2013" s="1" t="str">
        <f aca="false">B2013&amp;"|"&amp;F2013&amp;"|"&amp;G2013</f>
        <v>Toolshed Buildings|D|Average</v>
      </c>
      <c r="J2013" s="1" t="s">
        <v>1001</v>
      </c>
    </row>
    <row r="2014" customFormat="false" ht="12" hidden="false" customHeight="true" outlineLevel="0" collapsed="false">
      <c r="B2014" s="1" t="s">
        <v>1002</v>
      </c>
      <c r="C2014" s="1" t="s">
        <v>1003</v>
      </c>
      <c r="D2014" s="1" t="s">
        <v>513</v>
      </c>
      <c r="E2014" s="1" t="s">
        <v>590</v>
      </c>
      <c r="F2014" s="1" t="s">
        <v>468</v>
      </c>
      <c r="G2014" s="1" t="s">
        <v>480</v>
      </c>
      <c r="H2014" s="1" t="n">
        <v>11.3</v>
      </c>
      <c r="I2014" s="1" t="str">
        <f aca="false">B2014&amp;"|"&amp;F2014&amp;"|"&amp;G2014</f>
        <v>Toolshed Buildings|D|Low Cost</v>
      </c>
      <c r="J2014" s="1" t="s">
        <v>1001</v>
      </c>
    </row>
    <row r="2015" customFormat="false" ht="12" hidden="false" customHeight="true" outlineLevel="0" collapsed="false">
      <c r="B2015" s="1" t="s">
        <v>1004</v>
      </c>
      <c r="C2015" s="1" t="s">
        <v>1005</v>
      </c>
      <c r="D2015" s="1" t="s">
        <v>513</v>
      </c>
      <c r="E2015" s="1" t="s">
        <v>497</v>
      </c>
      <c r="F2015" s="1" t="s">
        <v>468</v>
      </c>
      <c r="G2015" s="1" t="s">
        <v>483</v>
      </c>
      <c r="H2015" s="1" t="n">
        <v>44</v>
      </c>
      <c r="I2015" s="1" t="str">
        <f aca="false">B2015&amp;"|"&amp;F2015&amp;"|"&amp;G2015</f>
        <v>Light Commercial Arch-Rib (Quonset) Buildings|D|Good</v>
      </c>
      <c r="J2015" s="1" t="s">
        <v>1006</v>
      </c>
    </row>
    <row r="2016" customFormat="false" ht="12" hidden="false" customHeight="true" outlineLevel="0" collapsed="false">
      <c r="B2016" s="1" t="s">
        <v>1004</v>
      </c>
      <c r="C2016" s="1" t="s">
        <v>1005</v>
      </c>
      <c r="D2016" s="1" t="s">
        <v>513</v>
      </c>
      <c r="E2016" s="1" t="s">
        <v>497</v>
      </c>
      <c r="F2016" s="1" t="s">
        <v>468</v>
      </c>
      <c r="G2016" s="1" t="s">
        <v>279</v>
      </c>
      <c r="H2016" s="1" t="n">
        <v>31</v>
      </c>
      <c r="I2016" s="1" t="str">
        <f aca="false">B2016&amp;"|"&amp;F2016&amp;"|"&amp;G2016</f>
        <v>Light Commercial Arch-Rib (Quonset) Buildings|D|Average</v>
      </c>
      <c r="J2016" s="1" t="s">
        <v>1006</v>
      </c>
    </row>
    <row r="2017" customFormat="false" ht="12" hidden="false" customHeight="true" outlineLevel="0" collapsed="false">
      <c r="B2017" s="1" t="s">
        <v>1004</v>
      </c>
      <c r="C2017" s="1" t="s">
        <v>1005</v>
      </c>
      <c r="D2017" s="1" t="s">
        <v>513</v>
      </c>
      <c r="E2017" s="1" t="s">
        <v>497</v>
      </c>
      <c r="F2017" s="1" t="s">
        <v>468</v>
      </c>
      <c r="G2017" s="1" t="s">
        <v>480</v>
      </c>
      <c r="H2017" s="1" t="n">
        <v>23.2</v>
      </c>
      <c r="I2017" s="1" t="str">
        <f aca="false">B2017&amp;"|"&amp;F2017&amp;"|"&amp;G2017</f>
        <v>Light Commercial Arch-Rib (Quonset) Buildings|D|Low Cost</v>
      </c>
      <c r="J2017" s="1" t="s">
        <v>1006</v>
      </c>
    </row>
    <row r="2018" customFormat="false" ht="12" hidden="false" customHeight="true" outlineLevel="0" collapsed="false">
      <c r="B2018" s="1" t="s">
        <v>1004</v>
      </c>
      <c r="C2018" s="1" t="s">
        <v>1005</v>
      </c>
      <c r="D2018" s="1" t="s">
        <v>513</v>
      </c>
      <c r="E2018" s="1" t="s">
        <v>497</v>
      </c>
      <c r="F2018" s="1" t="s">
        <v>566</v>
      </c>
      <c r="G2018" s="1" t="s">
        <v>483</v>
      </c>
      <c r="H2018" s="1" t="n">
        <v>42.25</v>
      </c>
      <c r="I2018" s="1" t="str">
        <f aca="false">B2018&amp;"|"&amp;F2018&amp;"|"&amp;G2018</f>
        <v>Light Commercial Arch-Rib (Quonset) Buildings|DPOLE|Good</v>
      </c>
      <c r="J2018" s="1" t="s">
        <v>1006</v>
      </c>
    </row>
    <row r="2019" customFormat="false" ht="12" hidden="false" customHeight="true" outlineLevel="0" collapsed="false">
      <c r="B2019" s="1" t="s">
        <v>1004</v>
      </c>
      <c r="C2019" s="1" t="s">
        <v>1005</v>
      </c>
      <c r="D2019" s="1" t="s">
        <v>513</v>
      </c>
      <c r="E2019" s="1" t="s">
        <v>497</v>
      </c>
      <c r="F2019" s="1" t="s">
        <v>566</v>
      </c>
      <c r="G2019" s="1" t="s">
        <v>279</v>
      </c>
      <c r="H2019" s="1" t="n">
        <v>29.75</v>
      </c>
      <c r="I2019" s="1" t="str">
        <f aca="false">B2019&amp;"|"&amp;F2019&amp;"|"&amp;G2019</f>
        <v>Light Commercial Arch-Rib (Quonset) Buildings|DPOLE|Average</v>
      </c>
      <c r="J2019" s="1" t="s">
        <v>1006</v>
      </c>
    </row>
    <row r="2020" customFormat="false" ht="12" hidden="false" customHeight="true" outlineLevel="0" collapsed="false">
      <c r="B2020" s="1" t="s">
        <v>1004</v>
      </c>
      <c r="C2020" s="1" t="s">
        <v>1005</v>
      </c>
      <c r="D2020" s="1" t="s">
        <v>513</v>
      </c>
      <c r="E2020" s="1" t="s">
        <v>497</v>
      </c>
      <c r="F2020" s="1" t="s">
        <v>566</v>
      </c>
      <c r="G2020" s="1" t="s">
        <v>480</v>
      </c>
      <c r="H2020" s="1" t="n">
        <v>22.1</v>
      </c>
      <c r="I2020" s="1" t="str">
        <f aca="false">B2020&amp;"|"&amp;F2020&amp;"|"&amp;G2020</f>
        <v>Light Commercial Arch-Rib (Quonset) Buildings|DPOLE|Low Cost</v>
      </c>
      <c r="J2020" s="1" t="s">
        <v>1006</v>
      </c>
    </row>
    <row r="2021" customFormat="false" ht="12" hidden="false" customHeight="true" outlineLevel="0" collapsed="false">
      <c r="B2021" s="1" t="s">
        <v>1004</v>
      </c>
      <c r="C2021" s="1" t="s">
        <v>1005</v>
      </c>
      <c r="D2021" s="1" t="s">
        <v>513</v>
      </c>
      <c r="E2021" s="1" t="s">
        <v>497</v>
      </c>
      <c r="F2021" s="1" t="s">
        <v>473</v>
      </c>
      <c r="G2021" s="1" t="s">
        <v>483</v>
      </c>
      <c r="H2021" s="1" t="n">
        <v>42.75</v>
      </c>
      <c r="I2021" s="1" t="str">
        <f aca="false">B2021&amp;"|"&amp;F2021&amp;"|"&amp;G2021</f>
        <v>Light Commercial Arch-Rib (Quonset) Buildings|S|Good</v>
      </c>
      <c r="J2021" s="1" t="s">
        <v>1006</v>
      </c>
    </row>
    <row r="2022" customFormat="false" ht="12" hidden="false" customHeight="true" outlineLevel="0" collapsed="false">
      <c r="B2022" s="1" t="s">
        <v>1004</v>
      </c>
      <c r="C2022" s="1" t="s">
        <v>1005</v>
      </c>
      <c r="D2022" s="1" t="s">
        <v>513</v>
      </c>
      <c r="E2022" s="1" t="s">
        <v>497</v>
      </c>
      <c r="F2022" s="1" t="s">
        <v>614</v>
      </c>
      <c r="G2022" s="1" t="s">
        <v>480</v>
      </c>
      <c r="H2022" s="1" t="n">
        <v>22.85</v>
      </c>
      <c r="I2022" s="1" t="str">
        <f aca="false">B2022&amp;"|"&amp;F2022&amp;"|"&amp;G2022</f>
        <v>Light Commercial Arch-Rib (Quonset) Buildings|WALL|Low Cost</v>
      </c>
      <c r="J2022" s="1" t="s">
        <v>1006</v>
      </c>
    </row>
    <row r="2023" customFormat="false" ht="12" hidden="false" customHeight="true" outlineLevel="0" collapsed="false">
      <c r="B2023" s="1" t="s">
        <v>1007</v>
      </c>
      <c r="C2023" s="1" t="s">
        <v>1008</v>
      </c>
      <c r="D2023" s="1" t="s">
        <v>513</v>
      </c>
      <c r="E2023" s="1" t="s">
        <v>497</v>
      </c>
      <c r="F2023" s="1" t="s">
        <v>463</v>
      </c>
      <c r="G2023" s="1" t="s">
        <v>483</v>
      </c>
      <c r="H2023" s="1" t="n">
        <v>57</v>
      </c>
      <c r="I2023" s="1" t="str">
        <f aca="false">B2023&amp;"|"&amp;F2023&amp;"|"&amp;G2023</f>
        <v>Light Commercial Equipment (Shop) Buildings|C|Good</v>
      </c>
      <c r="J2023" s="1" t="s">
        <v>1006</v>
      </c>
    </row>
    <row r="2024" customFormat="false" ht="12" hidden="false" customHeight="true" outlineLevel="0" collapsed="false">
      <c r="B2024" s="1" t="s">
        <v>1007</v>
      </c>
      <c r="C2024" s="1" t="s">
        <v>1008</v>
      </c>
      <c r="D2024" s="1" t="s">
        <v>513</v>
      </c>
      <c r="E2024" s="1" t="s">
        <v>497</v>
      </c>
      <c r="F2024" s="1" t="s">
        <v>463</v>
      </c>
      <c r="G2024" s="1" t="s">
        <v>279</v>
      </c>
      <c r="H2024" s="1" t="n">
        <v>42.75</v>
      </c>
      <c r="I2024" s="1" t="str">
        <f aca="false">B2024&amp;"|"&amp;F2024&amp;"|"&amp;G2024</f>
        <v>Light Commercial Equipment (Shop) Buildings|C|Average</v>
      </c>
      <c r="J2024" s="1" t="s">
        <v>1006</v>
      </c>
    </row>
    <row r="2025" customFormat="false" ht="12" hidden="false" customHeight="true" outlineLevel="0" collapsed="false">
      <c r="B2025" s="1" t="s">
        <v>1007</v>
      </c>
      <c r="C2025" s="1" t="s">
        <v>1008</v>
      </c>
      <c r="D2025" s="1" t="s">
        <v>513</v>
      </c>
      <c r="E2025" s="1" t="s">
        <v>497</v>
      </c>
      <c r="F2025" s="1" t="s">
        <v>468</v>
      </c>
      <c r="G2025" s="1" t="s">
        <v>483</v>
      </c>
      <c r="H2025" s="1" t="n">
        <v>47.75</v>
      </c>
      <c r="I2025" s="1" t="str">
        <f aca="false">B2025&amp;"|"&amp;F2025&amp;"|"&amp;G2025</f>
        <v>Light Commercial Equipment (Shop) Buildings|D|Good</v>
      </c>
      <c r="J2025" s="1" t="s">
        <v>1006</v>
      </c>
    </row>
    <row r="2026" customFormat="false" ht="12" hidden="false" customHeight="true" outlineLevel="0" collapsed="false">
      <c r="B2026" s="1" t="s">
        <v>1007</v>
      </c>
      <c r="C2026" s="1" t="s">
        <v>1008</v>
      </c>
      <c r="D2026" s="1" t="s">
        <v>513</v>
      </c>
      <c r="E2026" s="1" t="s">
        <v>497</v>
      </c>
      <c r="F2026" s="1" t="s">
        <v>468</v>
      </c>
      <c r="G2026" s="1" t="s">
        <v>279</v>
      </c>
      <c r="H2026" s="1" t="n">
        <v>33.5</v>
      </c>
      <c r="I2026" s="1" t="str">
        <f aca="false">B2026&amp;"|"&amp;F2026&amp;"|"&amp;G2026</f>
        <v>Light Commercial Equipment (Shop) Buildings|D|Average</v>
      </c>
      <c r="J2026" s="1" t="s">
        <v>1006</v>
      </c>
    </row>
    <row r="2027" customFormat="false" ht="12" hidden="false" customHeight="true" outlineLevel="0" collapsed="false">
      <c r="B2027" s="1" t="s">
        <v>1007</v>
      </c>
      <c r="C2027" s="1" t="s">
        <v>1008</v>
      </c>
      <c r="D2027" s="1" t="s">
        <v>513</v>
      </c>
      <c r="E2027" s="1" t="s">
        <v>497</v>
      </c>
      <c r="F2027" s="1" t="s">
        <v>566</v>
      </c>
      <c r="G2027" s="1" t="s">
        <v>483</v>
      </c>
      <c r="H2027" s="1" t="n">
        <v>41.75</v>
      </c>
      <c r="I2027" s="1" t="str">
        <f aca="false">B2027&amp;"|"&amp;F2027&amp;"|"&amp;G2027</f>
        <v>Light Commercial Equipment (Shop) Buildings|DPOLE|Good</v>
      </c>
      <c r="J2027" s="1" t="s">
        <v>1006</v>
      </c>
    </row>
    <row r="2028" customFormat="false" ht="12" hidden="false" customHeight="true" outlineLevel="0" collapsed="false">
      <c r="B2028" s="1" t="s">
        <v>1007</v>
      </c>
      <c r="C2028" s="1" t="s">
        <v>1008</v>
      </c>
      <c r="D2028" s="1" t="s">
        <v>513</v>
      </c>
      <c r="E2028" s="1" t="s">
        <v>497</v>
      </c>
      <c r="F2028" s="1" t="s">
        <v>566</v>
      </c>
      <c r="G2028" s="1" t="s">
        <v>279</v>
      </c>
      <c r="H2028" s="1" t="n">
        <v>29.75</v>
      </c>
      <c r="I2028" s="1" t="str">
        <f aca="false">B2028&amp;"|"&amp;F2028&amp;"|"&amp;G2028</f>
        <v>Light Commercial Equipment (Shop) Buildings|DPOLE|Average</v>
      </c>
      <c r="J2028" s="1" t="s">
        <v>1006</v>
      </c>
    </row>
    <row r="2029" customFormat="false" ht="12" hidden="false" customHeight="true" outlineLevel="0" collapsed="false">
      <c r="B2029" s="1" t="s">
        <v>1007</v>
      </c>
      <c r="C2029" s="1" t="s">
        <v>1008</v>
      </c>
      <c r="D2029" s="1" t="s">
        <v>513</v>
      </c>
      <c r="E2029" s="1" t="s">
        <v>497</v>
      </c>
      <c r="F2029" s="1" t="s">
        <v>473</v>
      </c>
      <c r="G2029" s="1" t="s">
        <v>483</v>
      </c>
      <c r="H2029" s="1" t="n">
        <v>45.75</v>
      </c>
      <c r="I2029" s="1" t="str">
        <f aca="false">B2029&amp;"|"&amp;F2029&amp;"|"&amp;G2029</f>
        <v>Light Commercial Equipment (Shop) Buildings|S|Good</v>
      </c>
      <c r="J2029" s="1" t="s">
        <v>1006</v>
      </c>
    </row>
    <row r="2030" customFormat="false" ht="12" hidden="false" customHeight="true" outlineLevel="0" collapsed="false">
      <c r="B2030" s="1" t="s">
        <v>1007</v>
      </c>
      <c r="C2030" s="1" t="s">
        <v>1008</v>
      </c>
      <c r="D2030" s="1" t="s">
        <v>513</v>
      </c>
      <c r="E2030" s="1" t="s">
        <v>497</v>
      </c>
      <c r="F2030" s="1" t="s">
        <v>473</v>
      </c>
      <c r="G2030" s="1" t="s">
        <v>279</v>
      </c>
      <c r="H2030" s="1" t="n">
        <v>33.25</v>
      </c>
      <c r="I2030" s="1" t="str">
        <f aca="false">B2030&amp;"|"&amp;F2030&amp;"|"&amp;G2030</f>
        <v>Light Commercial Equipment (Shop) Buildings|S|Average</v>
      </c>
      <c r="J2030" s="1" t="s">
        <v>1006</v>
      </c>
    </row>
    <row r="2031" customFormat="false" ht="12" hidden="false" customHeight="true" outlineLevel="0" collapsed="false">
      <c r="B2031" s="1" t="s">
        <v>1007</v>
      </c>
      <c r="C2031" s="1" t="s">
        <v>1008</v>
      </c>
      <c r="D2031" s="1" t="s">
        <v>513</v>
      </c>
      <c r="E2031" s="1" t="s">
        <v>497</v>
      </c>
      <c r="F2031" s="1" t="s">
        <v>988</v>
      </c>
      <c r="G2031" s="1" t="s">
        <v>483</v>
      </c>
      <c r="H2031" s="1" t="n">
        <v>42.5</v>
      </c>
      <c r="I2031" s="1" t="str">
        <f aca="false">B2031&amp;"|"&amp;F2031&amp;"|"&amp;G2031</f>
        <v>Light Commercial Equipment (Shop) Buildings|SSLANT|Good</v>
      </c>
      <c r="J2031" s="1" t="s">
        <v>1006</v>
      </c>
    </row>
    <row r="2032" customFormat="false" ht="12" hidden="false" customHeight="true" outlineLevel="0" collapsed="false">
      <c r="B2032" s="1" t="s">
        <v>1007</v>
      </c>
      <c r="C2032" s="1" t="s">
        <v>1008</v>
      </c>
      <c r="D2032" s="1" t="s">
        <v>513</v>
      </c>
      <c r="E2032" s="1" t="s">
        <v>497</v>
      </c>
      <c r="F2032" s="1" t="s">
        <v>804</v>
      </c>
      <c r="G2032" s="1" t="s">
        <v>279</v>
      </c>
      <c r="H2032" s="1" t="n">
        <v>30.75</v>
      </c>
      <c r="I2032" s="1" t="str">
        <f aca="false">B2032&amp;"|"&amp;F2032&amp;"|"&amp;G2032</f>
        <v>Light Commercial Equipment (Shop) Buildings|CDS|Average</v>
      </c>
      <c r="J2032" s="1" t="s">
        <v>1006</v>
      </c>
    </row>
    <row r="2033" customFormat="false" ht="12" hidden="false" customHeight="true" outlineLevel="0" collapsed="false">
      <c r="B2033" s="1" t="s">
        <v>1009</v>
      </c>
      <c r="C2033" s="1" t="s">
        <v>1010</v>
      </c>
      <c r="D2033" s="1" t="s">
        <v>513</v>
      </c>
      <c r="E2033" s="1" t="s">
        <v>501</v>
      </c>
      <c r="F2033" s="1" t="s">
        <v>463</v>
      </c>
      <c r="G2033" s="1" t="s">
        <v>483</v>
      </c>
      <c r="H2033" s="1" t="n">
        <v>46.25</v>
      </c>
      <c r="I2033" s="1" t="str">
        <f aca="false">B2033&amp;"|"&amp;F2033&amp;"|"&amp;G2033</f>
        <v>Light Commercial Equipment Sheds|C|Good</v>
      </c>
      <c r="J2033" s="1" t="s">
        <v>1011</v>
      </c>
    </row>
    <row r="2034" customFormat="false" ht="12" hidden="false" customHeight="true" outlineLevel="0" collapsed="false">
      <c r="B2034" s="1" t="s">
        <v>1009</v>
      </c>
      <c r="C2034" s="1" t="s">
        <v>1010</v>
      </c>
      <c r="D2034" s="1" t="s">
        <v>513</v>
      </c>
      <c r="E2034" s="1" t="s">
        <v>501</v>
      </c>
      <c r="F2034" s="1" t="s">
        <v>463</v>
      </c>
      <c r="G2034" s="1" t="s">
        <v>279</v>
      </c>
      <c r="H2034" s="1" t="n">
        <v>34.75</v>
      </c>
      <c r="I2034" s="1" t="str">
        <f aca="false">B2034&amp;"|"&amp;F2034&amp;"|"&amp;G2034</f>
        <v>Light Commercial Equipment Sheds|C|Average</v>
      </c>
      <c r="J2034" s="1" t="s">
        <v>1011</v>
      </c>
    </row>
    <row r="2035" customFormat="false" ht="12" hidden="false" customHeight="true" outlineLevel="0" collapsed="false">
      <c r="B2035" s="1" t="s">
        <v>1009</v>
      </c>
      <c r="C2035" s="1" t="s">
        <v>1010</v>
      </c>
      <c r="D2035" s="1" t="s">
        <v>513</v>
      </c>
      <c r="E2035" s="1" t="s">
        <v>501</v>
      </c>
      <c r="F2035" s="1" t="s">
        <v>468</v>
      </c>
      <c r="G2035" s="1" t="s">
        <v>483</v>
      </c>
      <c r="H2035" s="1" t="n">
        <v>43</v>
      </c>
      <c r="I2035" s="1" t="str">
        <f aca="false">B2035&amp;"|"&amp;F2035&amp;"|"&amp;G2035</f>
        <v>Light Commercial Equipment Sheds|D|Good</v>
      </c>
      <c r="J2035" s="1" t="s">
        <v>1011</v>
      </c>
    </row>
    <row r="2036" customFormat="false" ht="12" hidden="false" customHeight="true" outlineLevel="0" collapsed="false">
      <c r="B2036" s="1" t="s">
        <v>1009</v>
      </c>
      <c r="C2036" s="1" t="s">
        <v>1010</v>
      </c>
      <c r="D2036" s="1" t="s">
        <v>513</v>
      </c>
      <c r="E2036" s="1" t="s">
        <v>501</v>
      </c>
      <c r="F2036" s="1" t="s">
        <v>468</v>
      </c>
      <c r="G2036" s="1" t="s">
        <v>279</v>
      </c>
      <c r="H2036" s="1" t="n">
        <v>31.75</v>
      </c>
      <c r="I2036" s="1" t="str">
        <f aca="false">B2036&amp;"|"&amp;F2036&amp;"|"&amp;G2036</f>
        <v>Light Commercial Equipment Sheds|D|Average</v>
      </c>
      <c r="J2036" s="1" t="s">
        <v>1011</v>
      </c>
    </row>
    <row r="2037" customFormat="false" ht="12" hidden="false" customHeight="true" outlineLevel="0" collapsed="false">
      <c r="B2037" s="1" t="s">
        <v>1009</v>
      </c>
      <c r="C2037" s="1" t="s">
        <v>1010</v>
      </c>
      <c r="D2037" s="1" t="s">
        <v>513</v>
      </c>
      <c r="E2037" s="1" t="s">
        <v>501</v>
      </c>
      <c r="F2037" s="1" t="s">
        <v>566</v>
      </c>
      <c r="G2037" s="1" t="s">
        <v>483</v>
      </c>
      <c r="H2037" s="1" t="n">
        <v>37.25</v>
      </c>
      <c r="I2037" s="1" t="str">
        <f aca="false">B2037&amp;"|"&amp;F2037&amp;"|"&amp;G2037</f>
        <v>Light Commercial Equipment Sheds|DPOLE|Good</v>
      </c>
      <c r="J2037" s="1" t="s">
        <v>1011</v>
      </c>
    </row>
    <row r="2038" customFormat="false" ht="12" hidden="false" customHeight="true" outlineLevel="0" collapsed="false">
      <c r="B2038" s="1" t="s">
        <v>1009</v>
      </c>
      <c r="C2038" s="1" t="s">
        <v>1010</v>
      </c>
      <c r="D2038" s="1" t="s">
        <v>513</v>
      </c>
      <c r="E2038" s="1" t="s">
        <v>501</v>
      </c>
      <c r="F2038" s="1" t="s">
        <v>566</v>
      </c>
      <c r="G2038" s="1" t="s">
        <v>279</v>
      </c>
      <c r="H2038" s="1" t="n">
        <v>28</v>
      </c>
      <c r="I2038" s="1" t="str">
        <f aca="false">B2038&amp;"|"&amp;F2038&amp;"|"&amp;G2038</f>
        <v>Light Commercial Equipment Sheds|DPOLE|Average</v>
      </c>
      <c r="J2038" s="1" t="s">
        <v>1011</v>
      </c>
    </row>
    <row r="2039" customFormat="false" ht="12" hidden="false" customHeight="true" outlineLevel="0" collapsed="false">
      <c r="B2039" s="1" t="s">
        <v>1009</v>
      </c>
      <c r="C2039" s="1" t="s">
        <v>1010</v>
      </c>
      <c r="D2039" s="1" t="s">
        <v>513</v>
      </c>
      <c r="E2039" s="1" t="s">
        <v>501</v>
      </c>
      <c r="F2039" s="1" t="s">
        <v>473</v>
      </c>
      <c r="G2039" s="1" t="s">
        <v>483</v>
      </c>
      <c r="H2039" s="1" t="n">
        <v>40.75</v>
      </c>
      <c r="I2039" s="1" t="str">
        <f aca="false">B2039&amp;"|"&amp;F2039&amp;"|"&amp;G2039</f>
        <v>Light Commercial Equipment Sheds|S|Good</v>
      </c>
      <c r="J2039" s="1" t="s">
        <v>1011</v>
      </c>
    </row>
    <row r="2040" customFormat="false" ht="12" hidden="false" customHeight="true" outlineLevel="0" collapsed="false">
      <c r="B2040" s="1" t="s">
        <v>1009</v>
      </c>
      <c r="C2040" s="1" t="s">
        <v>1010</v>
      </c>
      <c r="D2040" s="1" t="s">
        <v>513</v>
      </c>
      <c r="E2040" s="1" t="s">
        <v>501</v>
      </c>
      <c r="F2040" s="1" t="s">
        <v>473</v>
      </c>
      <c r="G2040" s="1" t="s">
        <v>279</v>
      </c>
      <c r="H2040" s="1" t="n">
        <v>31</v>
      </c>
      <c r="I2040" s="1" t="str">
        <f aca="false">B2040&amp;"|"&amp;F2040&amp;"|"&amp;G2040</f>
        <v>Light Commercial Equipment Sheds|S|Average</v>
      </c>
      <c r="J2040" s="1" t="s">
        <v>1011</v>
      </c>
    </row>
    <row r="2041" customFormat="false" ht="12" hidden="false" customHeight="true" outlineLevel="0" collapsed="false">
      <c r="B2041" s="1" t="s">
        <v>1009</v>
      </c>
      <c r="C2041" s="1" t="s">
        <v>1010</v>
      </c>
      <c r="D2041" s="1" t="s">
        <v>513</v>
      </c>
      <c r="E2041" s="1" t="s">
        <v>501</v>
      </c>
      <c r="F2041" s="1" t="s">
        <v>988</v>
      </c>
      <c r="G2041" s="1" t="s">
        <v>483</v>
      </c>
      <c r="H2041" s="1" t="n">
        <v>37.75</v>
      </c>
      <c r="I2041" s="1" t="str">
        <f aca="false">B2041&amp;"|"&amp;F2041&amp;"|"&amp;G2041</f>
        <v>Light Commercial Equipment Sheds|SSLANT|Good</v>
      </c>
      <c r="J2041" s="1" t="s">
        <v>1011</v>
      </c>
    </row>
    <row r="2042" customFormat="false" ht="12" hidden="false" customHeight="true" outlineLevel="0" collapsed="false">
      <c r="B2042" s="1" t="s">
        <v>1009</v>
      </c>
      <c r="C2042" s="1" t="s">
        <v>1010</v>
      </c>
      <c r="D2042" s="1" t="s">
        <v>513</v>
      </c>
      <c r="E2042" s="1" t="s">
        <v>501</v>
      </c>
      <c r="F2042" s="1" t="s">
        <v>988</v>
      </c>
      <c r="G2042" s="1" t="s">
        <v>279</v>
      </c>
      <c r="H2042" s="1" t="n">
        <v>29</v>
      </c>
      <c r="I2042" s="1" t="str">
        <f aca="false">B2042&amp;"|"&amp;F2042&amp;"|"&amp;G2042</f>
        <v>Light Commercial Equipment Sheds|SSLANT|Average</v>
      </c>
      <c r="J2042" s="1" t="s">
        <v>1011</v>
      </c>
    </row>
    <row r="2043" customFormat="false" ht="12" hidden="false" customHeight="true" outlineLevel="0" collapsed="false">
      <c r="B2043" s="1" t="s">
        <v>1012</v>
      </c>
      <c r="C2043" s="1" t="s">
        <v>1013</v>
      </c>
      <c r="D2043" s="1" t="s">
        <v>513</v>
      </c>
      <c r="E2043" s="1" t="s">
        <v>501</v>
      </c>
      <c r="F2043" s="1" t="s">
        <v>463</v>
      </c>
      <c r="G2043" s="1" t="s">
        <v>483</v>
      </c>
      <c r="H2043" s="1" t="n">
        <v>114</v>
      </c>
      <c r="I2043" s="1" t="str">
        <f aca="false">B2043&amp;"|"&amp;F2043&amp;"|"&amp;G2043</f>
        <v>Shed Office Structures|C|Good</v>
      </c>
      <c r="J2043" s="1" t="s">
        <v>1011</v>
      </c>
    </row>
    <row r="2044" customFormat="false" ht="12" hidden="false" customHeight="true" outlineLevel="0" collapsed="false">
      <c r="B2044" s="1" t="s">
        <v>1012</v>
      </c>
      <c r="C2044" s="1" t="s">
        <v>1013</v>
      </c>
      <c r="D2044" s="1" t="s">
        <v>513</v>
      </c>
      <c r="E2044" s="1" t="s">
        <v>501</v>
      </c>
      <c r="F2044" s="1" t="s">
        <v>463</v>
      </c>
      <c r="G2044" s="1" t="s">
        <v>279</v>
      </c>
      <c r="H2044" s="1" t="n">
        <v>83.5</v>
      </c>
      <c r="I2044" s="1" t="str">
        <f aca="false">B2044&amp;"|"&amp;F2044&amp;"|"&amp;G2044</f>
        <v>Shed Office Structures|C|Average</v>
      </c>
      <c r="J2044" s="1" t="s">
        <v>1011</v>
      </c>
    </row>
    <row r="2045" customFormat="false" ht="12" hidden="false" customHeight="true" outlineLevel="0" collapsed="false">
      <c r="B2045" s="1" t="s">
        <v>1012</v>
      </c>
      <c r="C2045" s="1" t="s">
        <v>1013</v>
      </c>
      <c r="D2045" s="1" t="s">
        <v>513</v>
      </c>
      <c r="E2045" s="1" t="s">
        <v>501</v>
      </c>
      <c r="F2045" s="1" t="s">
        <v>468</v>
      </c>
      <c r="G2045" s="1" t="s">
        <v>483</v>
      </c>
      <c r="H2045" s="1" t="n">
        <v>111</v>
      </c>
      <c r="I2045" s="1" t="str">
        <f aca="false">B2045&amp;"|"&amp;F2045&amp;"|"&amp;G2045</f>
        <v>Shed Office Structures|D|Good</v>
      </c>
      <c r="J2045" s="1" t="s">
        <v>1011</v>
      </c>
    </row>
    <row r="2046" customFormat="false" ht="12" hidden="false" customHeight="true" outlineLevel="0" collapsed="false">
      <c r="B2046" s="1" t="s">
        <v>1012</v>
      </c>
      <c r="C2046" s="1" t="s">
        <v>1013</v>
      </c>
      <c r="D2046" s="1" t="s">
        <v>513</v>
      </c>
      <c r="E2046" s="1" t="s">
        <v>501</v>
      </c>
      <c r="F2046" s="1" t="s">
        <v>468</v>
      </c>
      <c r="G2046" s="1" t="s">
        <v>279</v>
      </c>
      <c r="H2046" s="1" t="n">
        <v>80</v>
      </c>
      <c r="I2046" s="1" t="str">
        <f aca="false">B2046&amp;"|"&amp;F2046&amp;"|"&amp;G2046</f>
        <v>Shed Office Structures|D|Average</v>
      </c>
      <c r="J2046" s="1" t="s">
        <v>1011</v>
      </c>
    </row>
    <row r="2047" customFormat="false" ht="12" hidden="false" customHeight="true" outlineLevel="0" collapsed="false">
      <c r="B2047" s="1" t="s">
        <v>1012</v>
      </c>
      <c r="C2047" s="1" t="s">
        <v>1013</v>
      </c>
      <c r="D2047" s="1" t="s">
        <v>513</v>
      </c>
      <c r="E2047" s="1" t="s">
        <v>501</v>
      </c>
      <c r="F2047" s="1" t="s">
        <v>468</v>
      </c>
      <c r="G2047" s="1" t="s">
        <v>480</v>
      </c>
      <c r="H2047" s="1" t="n">
        <v>56</v>
      </c>
      <c r="I2047" s="1" t="str">
        <f aca="false">B2047&amp;"|"&amp;F2047&amp;"|"&amp;G2047</f>
        <v>Shed Office Structures|D|Low Cost</v>
      </c>
      <c r="J2047" s="1" t="s">
        <v>1011</v>
      </c>
    </row>
    <row r="2048" customFormat="false" ht="12" hidden="false" customHeight="true" outlineLevel="0" collapsed="false">
      <c r="B2048" s="1" t="s">
        <v>1012</v>
      </c>
      <c r="C2048" s="1" t="s">
        <v>1013</v>
      </c>
      <c r="D2048" s="1" t="s">
        <v>513</v>
      </c>
      <c r="E2048" s="1" t="s">
        <v>501</v>
      </c>
      <c r="F2048" s="1" t="s">
        <v>566</v>
      </c>
      <c r="G2048" s="1" t="s">
        <v>279</v>
      </c>
      <c r="H2048" s="1" t="n">
        <v>77.5</v>
      </c>
      <c r="I2048" s="1" t="str">
        <f aca="false">B2048&amp;"|"&amp;F2048&amp;"|"&amp;G2048</f>
        <v>Shed Office Structures|DPOLE|Average</v>
      </c>
      <c r="J2048" s="1" t="s">
        <v>1011</v>
      </c>
    </row>
    <row r="2049" customFormat="false" ht="12" hidden="false" customHeight="true" outlineLevel="0" collapsed="false">
      <c r="B2049" s="1" t="s">
        <v>1012</v>
      </c>
      <c r="C2049" s="1" t="s">
        <v>1013</v>
      </c>
      <c r="D2049" s="1" t="s">
        <v>513</v>
      </c>
      <c r="E2049" s="1" t="s">
        <v>501</v>
      </c>
      <c r="F2049" s="1" t="s">
        <v>566</v>
      </c>
      <c r="G2049" s="1" t="s">
        <v>480</v>
      </c>
      <c r="H2049" s="1" t="n">
        <v>54.5</v>
      </c>
      <c r="I2049" s="1" t="str">
        <f aca="false">B2049&amp;"|"&amp;F2049&amp;"|"&amp;G2049</f>
        <v>Shed Office Structures|DPOLE|Low Cost</v>
      </c>
      <c r="J2049" s="1" t="s">
        <v>1011</v>
      </c>
    </row>
    <row r="2050" customFormat="false" ht="12" hidden="false" customHeight="true" outlineLevel="0" collapsed="false">
      <c r="B2050" s="1" t="s">
        <v>1012</v>
      </c>
      <c r="C2050" s="1" t="s">
        <v>1013</v>
      </c>
      <c r="D2050" s="1" t="s">
        <v>513</v>
      </c>
      <c r="E2050" s="1" t="s">
        <v>501</v>
      </c>
      <c r="F2050" s="1" t="s">
        <v>473</v>
      </c>
      <c r="G2050" s="1" t="s">
        <v>279</v>
      </c>
      <c r="H2050" s="1" t="n">
        <v>79</v>
      </c>
      <c r="I2050" s="1" t="str">
        <f aca="false">B2050&amp;"|"&amp;F2050&amp;"|"&amp;G2050</f>
        <v>Shed Office Structures|S|Average</v>
      </c>
      <c r="J2050" s="1" t="s">
        <v>1011</v>
      </c>
    </row>
    <row r="2051" customFormat="false" ht="12" hidden="false" customHeight="true" outlineLevel="0" collapsed="false">
      <c r="B2051" s="1" t="s">
        <v>1012</v>
      </c>
      <c r="C2051" s="1" t="s">
        <v>1013</v>
      </c>
      <c r="D2051" s="1" t="s">
        <v>513</v>
      </c>
      <c r="E2051" s="1" t="s">
        <v>501</v>
      </c>
      <c r="F2051" s="1" t="s">
        <v>473</v>
      </c>
      <c r="G2051" s="1" t="s">
        <v>480</v>
      </c>
      <c r="H2051" s="1" t="n">
        <v>56</v>
      </c>
      <c r="I2051" s="1" t="str">
        <f aca="false">B2051&amp;"|"&amp;F2051&amp;"|"&amp;G2051</f>
        <v>Shed Office Structures|S|Low Cost</v>
      </c>
      <c r="J2051" s="1" t="s">
        <v>1011</v>
      </c>
    </row>
    <row r="2052" customFormat="false" ht="12" hidden="false" customHeight="true" outlineLevel="0" collapsed="false">
      <c r="B2052" s="1" t="s">
        <v>1014</v>
      </c>
      <c r="C2052" s="1" t="s">
        <v>1015</v>
      </c>
      <c r="D2052" s="1" t="s">
        <v>513</v>
      </c>
      <c r="E2052" s="1" t="s">
        <v>506</v>
      </c>
      <c r="F2052" s="1" t="s">
        <v>463</v>
      </c>
      <c r="G2052" s="1" t="s">
        <v>485</v>
      </c>
      <c r="H2052" s="1" t="n">
        <v>114</v>
      </c>
      <c r="I2052" s="1" t="str">
        <f aca="false">B2052&amp;"|"&amp;F2052&amp;"|"&amp;G2052</f>
        <v>Golf Cart Storage Buildings|C|Excellent</v>
      </c>
      <c r="J2052" s="1" t="s">
        <v>1016</v>
      </c>
    </row>
    <row r="2053" customFormat="false" ht="12" hidden="false" customHeight="true" outlineLevel="0" collapsed="false">
      <c r="B2053" s="1" t="s">
        <v>1014</v>
      </c>
      <c r="C2053" s="1" t="s">
        <v>1015</v>
      </c>
      <c r="D2053" s="1" t="s">
        <v>513</v>
      </c>
      <c r="E2053" s="1" t="s">
        <v>506</v>
      </c>
      <c r="F2053" s="1" t="s">
        <v>463</v>
      </c>
      <c r="G2053" s="1" t="s">
        <v>483</v>
      </c>
      <c r="H2053" s="1" t="n">
        <v>88</v>
      </c>
      <c r="I2053" s="1" t="str">
        <f aca="false">B2053&amp;"|"&amp;F2053&amp;"|"&amp;G2053</f>
        <v>Golf Cart Storage Buildings|C|Good</v>
      </c>
      <c r="J2053" s="1" t="s">
        <v>1016</v>
      </c>
    </row>
    <row r="2054" customFormat="false" ht="12" hidden="false" customHeight="true" outlineLevel="0" collapsed="false">
      <c r="B2054" s="1" t="s">
        <v>1014</v>
      </c>
      <c r="C2054" s="1" t="s">
        <v>1015</v>
      </c>
      <c r="D2054" s="1" t="s">
        <v>513</v>
      </c>
      <c r="E2054" s="1" t="s">
        <v>506</v>
      </c>
      <c r="F2054" s="1" t="s">
        <v>468</v>
      </c>
      <c r="G2054" s="1" t="s">
        <v>485</v>
      </c>
      <c r="H2054" s="1" t="n">
        <v>110</v>
      </c>
      <c r="I2054" s="1" t="str">
        <f aca="false">B2054&amp;"|"&amp;F2054&amp;"|"&amp;G2054</f>
        <v>Golf Cart Storage Buildings|D|Excellent</v>
      </c>
      <c r="J2054" s="1" t="s">
        <v>1016</v>
      </c>
    </row>
    <row r="2055" customFormat="false" ht="12" hidden="false" customHeight="true" outlineLevel="0" collapsed="false">
      <c r="B2055" s="1" t="s">
        <v>1014</v>
      </c>
      <c r="C2055" s="1" t="s">
        <v>1015</v>
      </c>
      <c r="D2055" s="1" t="s">
        <v>513</v>
      </c>
      <c r="E2055" s="1" t="s">
        <v>506</v>
      </c>
      <c r="F2055" s="1" t="s">
        <v>468</v>
      </c>
      <c r="G2055" s="1" t="s">
        <v>483</v>
      </c>
      <c r="H2055" s="1" t="n">
        <v>84.5</v>
      </c>
      <c r="I2055" s="1" t="str">
        <f aca="false">B2055&amp;"|"&amp;F2055&amp;"|"&amp;G2055</f>
        <v>Golf Cart Storage Buildings|D|Good</v>
      </c>
      <c r="J2055" s="1" t="s">
        <v>1016</v>
      </c>
    </row>
    <row r="2056" customFormat="false" ht="12" hidden="false" customHeight="true" outlineLevel="0" collapsed="false">
      <c r="B2056" s="1" t="s">
        <v>1014</v>
      </c>
      <c r="C2056" s="1" t="s">
        <v>1015</v>
      </c>
      <c r="D2056" s="1" t="s">
        <v>513</v>
      </c>
      <c r="E2056" s="1" t="s">
        <v>506</v>
      </c>
      <c r="F2056" s="1" t="s">
        <v>468</v>
      </c>
      <c r="G2056" s="1" t="s">
        <v>279</v>
      </c>
      <c r="H2056" s="1" t="n">
        <v>65</v>
      </c>
      <c r="I2056" s="1" t="str">
        <f aca="false">B2056&amp;"|"&amp;F2056&amp;"|"&amp;G2056</f>
        <v>Golf Cart Storage Buildings|D|Average</v>
      </c>
      <c r="J2056" s="1" t="s">
        <v>1016</v>
      </c>
    </row>
    <row r="2057" customFormat="false" ht="12" hidden="false" customHeight="true" outlineLevel="0" collapsed="false">
      <c r="B2057" s="1" t="s">
        <v>1014</v>
      </c>
      <c r="C2057" s="1" t="s">
        <v>1015</v>
      </c>
      <c r="D2057" s="1" t="s">
        <v>513</v>
      </c>
      <c r="E2057" s="1" t="s">
        <v>506</v>
      </c>
      <c r="F2057" s="1" t="s">
        <v>566</v>
      </c>
      <c r="G2057" s="1" t="s">
        <v>483</v>
      </c>
      <c r="H2057" s="1" t="n">
        <v>71</v>
      </c>
      <c r="I2057" s="1" t="str">
        <f aca="false">B2057&amp;"|"&amp;F2057&amp;"|"&amp;G2057</f>
        <v>Golf Cart Storage Buildings|DPOLE|Good</v>
      </c>
      <c r="J2057" s="1" t="s">
        <v>1016</v>
      </c>
    </row>
    <row r="2058" customFormat="false" ht="12" hidden="false" customHeight="true" outlineLevel="0" collapsed="false">
      <c r="B2058" s="1" t="s">
        <v>1014</v>
      </c>
      <c r="C2058" s="1" t="s">
        <v>1015</v>
      </c>
      <c r="D2058" s="1" t="s">
        <v>513</v>
      </c>
      <c r="E2058" s="1" t="s">
        <v>506</v>
      </c>
      <c r="F2058" s="1" t="s">
        <v>566</v>
      </c>
      <c r="G2058" s="1" t="s">
        <v>279</v>
      </c>
      <c r="H2058" s="1" t="n">
        <v>56</v>
      </c>
      <c r="I2058" s="1" t="str">
        <f aca="false">B2058&amp;"|"&amp;F2058&amp;"|"&amp;G2058</f>
        <v>Golf Cart Storage Buildings|DPOLE|Average</v>
      </c>
      <c r="J2058" s="1" t="s">
        <v>1016</v>
      </c>
    </row>
    <row r="2059" customFormat="false" ht="12" hidden="false" customHeight="true" outlineLevel="0" collapsed="false">
      <c r="B2059" s="1" t="s">
        <v>1014</v>
      </c>
      <c r="C2059" s="1" t="s">
        <v>1015</v>
      </c>
      <c r="D2059" s="1" t="s">
        <v>513</v>
      </c>
      <c r="E2059" s="1" t="s">
        <v>506</v>
      </c>
      <c r="F2059" s="1" t="s">
        <v>473</v>
      </c>
      <c r="G2059" s="1" t="s">
        <v>483</v>
      </c>
      <c r="H2059" s="1" t="n">
        <v>77</v>
      </c>
      <c r="I2059" s="1" t="str">
        <f aca="false">B2059&amp;"|"&amp;F2059&amp;"|"&amp;G2059</f>
        <v>Golf Cart Storage Buildings|S|Good</v>
      </c>
      <c r="J2059" s="1" t="s">
        <v>1016</v>
      </c>
    </row>
    <row r="2060" customFormat="false" ht="12" hidden="false" customHeight="true" outlineLevel="0" collapsed="false">
      <c r="B2060" s="1" t="s">
        <v>1014</v>
      </c>
      <c r="C2060" s="1" t="s">
        <v>1015</v>
      </c>
      <c r="D2060" s="1" t="s">
        <v>513</v>
      </c>
      <c r="E2060" s="1" t="s">
        <v>506</v>
      </c>
      <c r="F2060" s="1" t="s">
        <v>473</v>
      </c>
      <c r="G2060" s="1" t="s">
        <v>279</v>
      </c>
      <c r="H2060" s="1" t="n">
        <v>60.5</v>
      </c>
      <c r="I2060" s="1" t="str">
        <f aca="false">B2060&amp;"|"&amp;F2060&amp;"|"&amp;G2060</f>
        <v>Golf Cart Storage Buildings|S|Average</v>
      </c>
      <c r="J2060" s="1" t="s">
        <v>1016</v>
      </c>
    </row>
    <row r="2061" customFormat="false" ht="12" hidden="false" customHeight="true" outlineLevel="0" collapsed="false">
      <c r="B2061" s="1" t="s">
        <v>1014</v>
      </c>
      <c r="C2061" s="1" t="s">
        <v>1015</v>
      </c>
      <c r="D2061" s="1" t="s">
        <v>513</v>
      </c>
      <c r="E2061" s="1" t="s">
        <v>506</v>
      </c>
      <c r="F2061" s="1" t="s">
        <v>988</v>
      </c>
      <c r="G2061" s="1" t="s">
        <v>279</v>
      </c>
      <c r="H2061" s="1" t="n">
        <v>57.5</v>
      </c>
      <c r="I2061" s="1" t="str">
        <f aca="false">B2061&amp;"|"&amp;F2061&amp;"|"&amp;G2061</f>
        <v>Golf Cart Storage Buildings|SSLANT|Average</v>
      </c>
      <c r="J2061" s="1" t="s">
        <v>1016</v>
      </c>
    </row>
    <row r="2062" customFormat="false" ht="12" hidden="false" customHeight="true" outlineLevel="0" collapsed="false">
      <c r="B2062" s="1" t="s">
        <v>1017</v>
      </c>
      <c r="C2062" s="1" t="s">
        <v>1018</v>
      </c>
      <c r="D2062" s="1" t="s">
        <v>513</v>
      </c>
      <c r="E2062" s="1" t="s">
        <v>506</v>
      </c>
      <c r="F2062" s="1" t="s">
        <v>463</v>
      </c>
      <c r="G2062" s="1" t="s">
        <v>485</v>
      </c>
      <c r="H2062" s="1" t="n">
        <v>208</v>
      </c>
      <c r="I2062" s="1" t="str">
        <f aca="false">B2062&amp;"|"&amp;F2062&amp;"|"&amp;G2062</f>
        <v>Golf Starter (Guard House) Booths|C|Excellent</v>
      </c>
      <c r="J2062" s="1" t="s">
        <v>1016</v>
      </c>
    </row>
    <row r="2063" customFormat="false" ht="12" hidden="false" customHeight="true" outlineLevel="0" collapsed="false">
      <c r="B2063" s="1" t="s">
        <v>1017</v>
      </c>
      <c r="C2063" s="1" t="s">
        <v>1018</v>
      </c>
      <c r="D2063" s="1" t="s">
        <v>513</v>
      </c>
      <c r="E2063" s="1" t="s">
        <v>506</v>
      </c>
      <c r="F2063" s="1" t="s">
        <v>463</v>
      </c>
      <c r="G2063" s="1" t="s">
        <v>483</v>
      </c>
      <c r="H2063" s="1" t="n">
        <v>152</v>
      </c>
      <c r="I2063" s="1" t="str">
        <f aca="false">B2063&amp;"|"&amp;F2063&amp;"|"&amp;G2063</f>
        <v>Golf Starter (Guard House) Booths|C|Good</v>
      </c>
      <c r="J2063" s="1" t="s">
        <v>1016</v>
      </c>
    </row>
    <row r="2064" customFormat="false" ht="12" hidden="false" customHeight="true" outlineLevel="0" collapsed="false">
      <c r="B2064" s="1" t="s">
        <v>1017</v>
      </c>
      <c r="C2064" s="1" t="s">
        <v>1018</v>
      </c>
      <c r="D2064" s="1" t="s">
        <v>513</v>
      </c>
      <c r="E2064" s="1" t="s">
        <v>506</v>
      </c>
      <c r="F2064" s="1" t="s">
        <v>463</v>
      </c>
      <c r="G2064" s="1" t="s">
        <v>279</v>
      </c>
      <c r="H2064" s="1" t="n">
        <v>108</v>
      </c>
      <c r="I2064" s="1" t="str">
        <f aca="false">B2064&amp;"|"&amp;F2064&amp;"|"&amp;G2064</f>
        <v>Golf Starter (Guard House) Booths|C|Average</v>
      </c>
      <c r="J2064" s="1" t="s">
        <v>1016</v>
      </c>
    </row>
    <row r="2065" customFormat="false" ht="12" hidden="false" customHeight="true" outlineLevel="0" collapsed="false">
      <c r="B2065" s="1" t="s">
        <v>1017</v>
      </c>
      <c r="C2065" s="1" t="s">
        <v>1018</v>
      </c>
      <c r="D2065" s="1" t="s">
        <v>513</v>
      </c>
      <c r="E2065" s="1" t="s">
        <v>506</v>
      </c>
      <c r="F2065" s="1" t="s">
        <v>468</v>
      </c>
      <c r="G2065" s="1" t="s">
        <v>485</v>
      </c>
      <c r="H2065" s="1" t="n">
        <v>203</v>
      </c>
      <c r="I2065" s="1" t="str">
        <f aca="false">B2065&amp;"|"&amp;F2065&amp;"|"&amp;G2065</f>
        <v>Golf Starter (Guard House) Booths|D|Excellent</v>
      </c>
      <c r="J2065" s="1" t="s">
        <v>1016</v>
      </c>
    </row>
    <row r="2066" customFormat="false" ht="12" hidden="false" customHeight="true" outlineLevel="0" collapsed="false">
      <c r="B2066" s="1" t="s">
        <v>1017</v>
      </c>
      <c r="C2066" s="1" t="s">
        <v>1018</v>
      </c>
      <c r="D2066" s="1" t="s">
        <v>513</v>
      </c>
      <c r="E2066" s="1" t="s">
        <v>506</v>
      </c>
      <c r="F2066" s="1" t="s">
        <v>468</v>
      </c>
      <c r="G2066" s="1" t="s">
        <v>483</v>
      </c>
      <c r="H2066" s="1" t="n">
        <v>147</v>
      </c>
      <c r="I2066" s="1" t="str">
        <f aca="false">B2066&amp;"|"&amp;F2066&amp;"|"&amp;G2066</f>
        <v>Golf Starter (Guard House) Booths|D|Good</v>
      </c>
      <c r="J2066" s="1" t="s">
        <v>1016</v>
      </c>
    </row>
    <row r="2067" customFormat="false" ht="12" hidden="false" customHeight="true" outlineLevel="0" collapsed="false">
      <c r="B2067" s="1" t="s">
        <v>1017</v>
      </c>
      <c r="C2067" s="1" t="s">
        <v>1018</v>
      </c>
      <c r="D2067" s="1" t="s">
        <v>513</v>
      </c>
      <c r="E2067" s="1" t="s">
        <v>506</v>
      </c>
      <c r="F2067" s="1" t="s">
        <v>468</v>
      </c>
      <c r="G2067" s="1" t="s">
        <v>279</v>
      </c>
      <c r="H2067" s="1" t="n">
        <v>103</v>
      </c>
      <c r="I2067" s="1" t="str">
        <f aca="false">B2067&amp;"|"&amp;F2067&amp;"|"&amp;G2067</f>
        <v>Golf Starter (Guard House) Booths|D|Average</v>
      </c>
      <c r="J2067" s="1" t="s">
        <v>1016</v>
      </c>
    </row>
    <row r="2068" customFormat="false" ht="12" hidden="false" customHeight="true" outlineLevel="0" collapsed="false">
      <c r="B2068" s="1" t="s">
        <v>1017</v>
      </c>
      <c r="C2068" s="1" t="s">
        <v>1018</v>
      </c>
      <c r="D2068" s="1" t="s">
        <v>513</v>
      </c>
      <c r="E2068" s="1" t="s">
        <v>506</v>
      </c>
      <c r="F2068" s="1" t="s">
        <v>468</v>
      </c>
      <c r="G2068" s="1" t="s">
        <v>480</v>
      </c>
      <c r="H2068" s="1" t="n">
        <v>74.5</v>
      </c>
      <c r="I2068" s="1" t="str">
        <f aca="false">B2068&amp;"|"&amp;F2068&amp;"|"&amp;G2068</f>
        <v>Golf Starter (Guard House) Booths|D|Low Cost</v>
      </c>
      <c r="J2068" s="1" t="s">
        <v>1016</v>
      </c>
    </row>
    <row r="2069" customFormat="false" ht="12" hidden="false" customHeight="true" outlineLevel="0" collapsed="false">
      <c r="B2069" s="1" t="s">
        <v>1017</v>
      </c>
      <c r="C2069" s="1" t="s">
        <v>1018</v>
      </c>
      <c r="D2069" s="1" t="s">
        <v>513</v>
      </c>
      <c r="E2069" s="1" t="s">
        <v>506</v>
      </c>
      <c r="F2069" s="1" t="s">
        <v>566</v>
      </c>
      <c r="G2069" s="1" t="s">
        <v>279</v>
      </c>
      <c r="H2069" s="1" t="n">
        <v>99</v>
      </c>
      <c r="I2069" s="1" t="str">
        <f aca="false">B2069&amp;"|"&amp;F2069&amp;"|"&amp;G2069</f>
        <v>Golf Starter (Guard House) Booths|DPOLE|Average</v>
      </c>
      <c r="J2069" s="1" t="s">
        <v>1016</v>
      </c>
    </row>
    <row r="2070" customFormat="false" ht="12" hidden="false" customHeight="true" outlineLevel="0" collapsed="false">
      <c r="B2070" s="1" t="s">
        <v>1017</v>
      </c>
      <c r="C2070" s="1" t="s">
        <v>1018</v>
      </c>
      <c r="D2070" s="1" t="s">
        <v>513</v>
      </c>
      <c r="E2070" s="1" t="s">
        <v>506</v>
      </c>
      <c r="F2070" s="1" t="s">
        <v>566</v>
      </c>
      <c r="G2070" s="1" t="s">
        <v>480</v>
      </c>
      <c r="H2070" s="1" t="n">
        <v>72.5</v>
      </c>
      <c r="I2070" s="1" t="str">
        <f aca="false">B2070&amp;"|"&amp;F2070&amp;"|"&amp;G2070</f>
        <v>Golf Starter (Guard House) Booths|DPOLE|Low Cost</v>
      </c>
      <c r="J2070" s="1" t="s">
        <v>1016</v>
      </c>
    </row>
    <row r="2071" customFormat="false" ht="12" hidden="false" customHeight="true" outlineLevel="0" collapsed="false">
      <c r="B2071" s="1" t="s">
        <v>1017</v>
      </c>
      <c r="C2071" s="1" t="s">
        <v>1018</v>
      </c>
      <c r="D2071" s="1" t="s">
        <v>513</v>
      </c>
      <c r="E2071" s="1" t="s">
        <v>506</v>
      </c>
      <c r="F2071" s="1" t="s">
        <v>473</v>
      </c>
      <c r="G2071" s="1" t="s">
        <v>483</v>
      </c>
      <c r="H2071" s="1" t="n">
        <v>144</v>
      </c>
      <c r="I2071" s="1" t="str">
        <f aca="false">B2071&amp;"|"&amp;F2071&amp;"|"&amp;G2071</f>
        <v>Golf Starter (Guard House) Booths|S|Good</v>
      </c>
      <c r="J2071" s="1" t="s">
        <v>1016</v>
      </c>
    </row>
    <row r="2072" customFormat="false" ht="12" hidden="false" customHeight="true" outlineLevel="0" collapsed="false">
      <c r="B2072" s="1" t="s">
        <v>1017</v>
      </c>
      <c r="C2072" s="1" t="s">
        <v>1018</v>
      </c>
      <c r="D2072" s="1" t="s">
        <v>513</v>
      </c>
      <c r="E2072" s="1" t="s">
        <v>506</v>
      </c>
      <c r="F2072" s="1" t="s">
        <v>473</v>
      </c>
      <c r="G2072" s="1" t="s">
        <v>279</v>
      </c>
      <c r="H2072" s="1" t="n">
        <v>102</v>
      </c>
      <c r="I2072" s="1" t="str">
        <f aca="false">B2072&amp;"|"&amp;F2072&amp;"|"&amp;G2072</f>
        <v>Golf Starter (Guard House) Booths|S|Average</v>
      </c>
      <c r="J2072" s="1" t="s">
        <v>1016</v>
      </c>
    </row>
    <row r="2073" customFormat="false" ht="12" hidden="false" customHeight="true" outlineLevel="0" collapsed="false">
      <c r="B2073" s="1" t="s">
        <v>1017</v>
      </c>
      <c r="C2073" s="1" t="s">
        <v>1018</v>
      </c>
      <c r="D2073" s="1" t="s">
        <v>513</v>
      </c>
      <c r="E2073" s="1" t="s">
        <v>506</v>
      </c>
      <c r="F2073" s="1" t="s">
        <v>473</v>
      </c>
      <c r="G2073" s="1" t="s">
        <v>480</v>
      </c>
      <c r="H2073" s="1" t="n">
        <v>74</v>
      </c>
      <c r="I2073" s="1" t="str">
        <f aca="false">B2073&amp;"|"&amp;F2073&amp;"|"&amp;G2073</f>
        <v>Golf Starter (Guard House) Booths|S|Low Cost</v>
      </c>
      <c r="J2073" s="1" t="s">
        <v>1016</v>
      </c>
    </row>
    <row r="2074" customFormat="false" ht="12" hidden="false" customHeight="true" outlineLevel="0" collapsed="false">
      <c r="B2074" s="1" t="s">
        <v>1019</v>
      </c>
      <c r="C2074" s="1" t="s">
        <v>1020</v>
      </c>
      <c r="D2074" s="1" t="s">
        <v>513</v>
      </c>
      <c r="E2074" s="1" t="s">
        <v>511</v>
      </c>
      <c r="F2074" s="1" t="s">
        <v>463</v>
      </c>
      <c r="G2074" s="1" t="s">
        <v>503</v>
      </c>
      <c r="H2074" s="1" t="n">
        <v>62</v>
      </c>
      <c r="I2074" s="1" t="str">
        <f aca="false">B2074&amp;"|"&amp;F2074&amp;"|"&amp;G2074</f>
        <v>Material Storage Buildings|C|Very Good</v>
      </c>
      <c r="J2074" s="1" t="s">
        <v>1021</v>
      </c>
    </row>
    <row r="2075" customFormat="false" ht="12" hidden="false" customHeight="true" outlineLevel="0" collapsed="false">
      <c r="B2075" s="1" t="s">
        <v>1019</v>
      </c>
      <c r="C2075" s="1" t="s">
        <v>1020</v>
      </c>
      <c r="D2075" s="1" t="s">
        <v>513</v>
      </c>
      <c r="E2075" s="1" t="s">
        <v>511</v>
      </c>
      <c r="F2075" s="1" t="s">
        <v>463</v>
      </c>
      <c r="G2075" s="1" t="s">
        <v>483</v>
      </c>
      <c r="H2075" s="1" t="n">
        <v>54</v>
      </c>
      <c r="I2075" s="1" t="str">
        <f aca="false">B2075&amp;"|"&amp;F2075&amp;"|"&amp;G2075</f>
        <v>Material Storage Buildings|C|Good</v>
      </c>
      <c r="J2075" s="1" t="s">
        <v>1021</v>
      </c>
    </row>
    <row r="2076" customFormat="false" ht="12" hidden="false" customHeight="true" outlineLevel="0" collapsed="false">
      <c r="B2076" s="1" t="s">
        <v>1019</v>
      </c>
      <c r="C2076" s="1" t="s">
        <v>1020</v>
      </c>
      <c r="D2076" s="1" t="s">
        <v>513</v>
      </c>
      <c r="E2076" s="1" t="s">
        <v>511</v>
      </c>
      <c r="F2076" s="1" t="s">
        <v>463</v>
      </c>
      <c r="G2076" s="1" t="s">
        <v>279</v>
      </c>
      <c r="H2076" s="1" t="n">
        <v>41.5</v>
      </c>
      <c r="I2076" s="1" t="str">
        <f aca="false">B2076&amp;"|"&amp;F2076&amp;"|"&amp;G2076</f>
        <v>Material Storage Buildings|C|Average</v>
      </c>
      <c r="J2076" s="1" t="s">
        <v>1021</v>
      </c>
    </row>
    <row r="2077" customFormat="false" ht="12" hidden="false" customHeight="true" outlineLevel="0" collapsed="false">
      <c r="B2077" s="1" t="s">
        <v>1019</v>
      </c>
      <c r="C2077" s="1" t="s">
        <v>1020</v>
      </c>
      <c r="D2077" s="1" t="s">
        <v>513</v>
      </c>
      <c r="E2077" s="1" t="s">
        <v>511</v>
      </c>
      <c r="F2077" s="1" t="s">
        <v>468</v>
      </c>
      <c r="G2077" s="1" t="s">
        <v>503</v>
      </c>
      <c r="H2077" s="1" t="n">
        <v>57</v>
      </c>
      <c r="I2077" s="1" t="str">
        <f aca="false">B2077&amp;"|"&amp;F2077&amp;"|"&amp;G2077</f>
        <v>Material Storage Buildings|D|Very Good</v>
      </c>
      <c r="J2077" s="1" t="s">
        <v>1021</v>
      </c>
    </row>
    <row r="2078" customFormat="false" ht="12" hidden="false" customHeight="true" outlineLevel="0" collapsed="false">
      <c r="B2078" s="1" t="s">
        <v>1019</v>
      </c>
      <c r="C2078" s="1" t="s">
        <v>1020</v>
      </c>
      <c r="D2078" s="1" t="s">
        <v>513</v>
      </c>
      <c r="E2078" s="1" t="s">
        <v>511</v>
      </c>
      <c r="F2078" s="1" t="s">
        <v>468</v>
      </c>
      <c r="G2078" s="1" t="s">
        <v>483</v>
      </c>
      <c r="H2078" s="1" t="n">
        <v>47.25</v>
      </c>
      <c r="I2078" s="1" t="str">
        <f aca="false">B2078&amp;"|"&amp;F2078&amp;"|"&amp;G2078</f>
        <v>Material Storage Buildings|D|Good</v>
      </c>
      <c r="J2078" s="1" t="s">
        <v>1021</v>
      </c>
    </row>
    <row r="2079" customFormat="false" ht="12" hidden="false" customHeight="true" outlineLevel="0" collapsed="false">
      <c r="B2079" s="1" t="s">
        <v>1019</v>
      </c>
      <c r="C2079" s="1" t="s">
        <v>1020</v>
      </c>
      <c r="D2079" s="1" t="s">
        <v>513</v>
      </c>
      <c r="E2079" s="1" t="s">
        <v>511</v>
      </c>
      <c r="F2079" s="1" t="s">
        <v>468</v>
      </c>
      <c r="G2079" s="1" t="s">
        <v>279</v>
      </c>
      <c r="H2079" s="1" t="n">
        <v>32.5</v>
      </c>
      <c r="I2079" s="1" t="str">
        <f aca="false">B2079&amp;"|"&amp;F2079&amp;"|"&amp;G2079</f>
        <v>Material Storage Buildings|D|Average</v>
      </c>
      <c r="J2079" s="1" t="s">
        <v>1021</v>
      </c>
    </row>
    <row r="2080" customFormat="false" ht="12" hidden="false" customHeight="true" outlineLevel="0" collapsed="false">
      <c r="B2080" s="1" t="s">
        <v>1019</v>
      </c>
      <c r="C2080" s="1" t="s">
        <v>1020</v>
      </c>
      <c r="D2080" s="1" t="s">
        <v>513</v>
      </c>
      <c r="E2080" s="1" t="s">
        <v>511</v>
      </c>
      <c r="F2080" s="1" t="s">
        <v>566</v>
      </c>
      <c r="G2080" s="1" t="s">
        <v>279</v>
      </c>
      <c r="H2080" s="1" t="n">
        <v>29</v>
      </c>
      <c r="I2080" s="1" t="str">
        <f aca="false">B2080&amp;"|"&amp;F2080&amp;"|"&amp;G2080</f>
        <v>Material Storage Buildings|DPOLE|Average</v>
      </c>
      <c r="J2080" s="1" t="s">
        <v>1021</v>
      </c>
    </row>
    <row r="2081" customFormat="false" ht="12" hidden="false" customHeight="true" outlineLevel="0" collapsed="false">
      <c r="B2081" s="1" t="s">
        <v>1019</v>
      </c>
      <c r="C2081" s="1" t="s">
        <v>1020</v>
      </c>
      <c r="D2081" s="1" t="s">
        <v>513</v>
      </c>
      <c r="E2081" s="1" t="s">
        <v>511</v>
      </c>
      <c r="F2081" s="1" t="s">
        <v>473</v>
      </c>
      <c r="G2081" s="1" t="s">
        <v>503</v>
      </c>
      <c r="H2081" s="1" t="n">
        <v>56.5</v>
      </c>
      <c r="I2081" s="1" t="str">
        <f aca="false">B2081&amp;"|"&amp;F2081&amp;"|"&amp;G2081</f>
        <v>Material Storage Buildings|S|Very Good</v>
      </c>
      <c r="J2081" s="1" t="s">
        <v>1021</v>
      </c>
    </row>
    <row r="2082" customFormat="false" ht="12" hidden="false" customHeight="true" outlineLevel="0" collapsed="false">
      <c r="B2082" s="1" t="s">
        <v>1019</v>
      </c>
      <c r="C2082" s="1" t="s">
        <v>1020</v>
      </c>
      <c r="D2082" s="1" t="s">
        <v>513</v>
      </c>
      <c r="E2082" s="1" t="s">
        <v>511</v>
      </c>
      <c r="F2082" s="1" t="s">
        <v>473</v>
      </c>
      <c r="G2082" s="1" t="s">
        <v>483</v>
      </c>
      <c r="H2082" s="1" t="n">
        <v>47.25</v>
      </c>
      <c r="I2082" s="1" t="str">
        <f aca="false">B2082&amp;"|"&amp;F2082&amp;"|"&amp;G2082</f>
        <v>Material Storage Buildings|S|Good</v>
      </c>
      <c r="J2082" s="1" t="s">
        <v>1021</v>
      </c>
    </row>
    <row r="2083" customFormat="false" ht="12" hidden="false" customHeight="true" outlineLevel="0" collapsed="false">
      <c r="B2083" s="1" t="s">
        <v>1019</v>
      </c>
      <c r="C2083" s="1" t="s">
        <v>1020</v>
      </c>
      <c r="D2083" s="1" t="s">
        <v>513</v>
      </c>
      <c r="E2083" s="1" t="s">
        <v>511</v>
      </c>
      <c r="F2083" s="1" t="s">
        <v>473</v>
      </c>
      <c r="G2083" s="1" t="s">
        <v>279</v>
      </c>
      <c r="H2083" s="1" t="n">
        <v>32.75</v>
      </c>
      <c r="I2083" s="1" t="str">
        <f aca="false">B2083&amp;"|"&amp;F2083&amp;"|"&amp;G2083</f>
        <v>Material Storage Buildings|S|Average</v>
      </c>
      <c r="J2083" s="1" t="s">
        <v>1021</v>
      </c>
    </row>
    <row r="2084" customFormat="false" ht="12" hidden="false" customHeight="true" outlineLevel="0" collapsed="false">
      <c r="B2084" s="1" t="s">
        <v>1019</v>
      </c>
      <c r="C2084" s="1" t="s">
        <v>1020</v>
      </c>
      <c r="D2084" s="1" t="s">
        <v>513</v>
      </c>
      <c r="E2084" s="1" t="s">
        <v>511</v>
      </c>
      <c r="F2084" s="1" t="s">
        <v>988</v>
      </c>
      <c r="G2084" s="1" t="s">
        <v>279</v>
      </c>
      <c r="H2084" s="1" t="n">
        <v>30</v>
      </c>
      <c r="I2084" s="1" t="str">
        <f aca="false">B2084&amp;"|"&amp;F2084&amp;"|"&amp;G2084</f>
        <v>Material Storage Buildings|SSLANT|Average</v>
      </c>
      <c r="J2084" s="1" t="s">
        <v>1021</v>
      </c>
    </row>
    <row r="2085" customFormat="false" ht="12" hidden="false" customHeight="true" outlineLevel="0" collapsed="false">
      <c r="B2085" s="1" t="s">
        <v>1022</v>
      </c>
      <c r="C2085" s="1" t="s">
        <v>1023</v>
      </c>
      <c r="D2085" s="1" t="s">
        <v>513</v>
      </c>
      <c r="E2085" s="1" t="s">
        <v>511</v>
      </c>
      <c r="F2085" s="1" t="s">
        <v>463</v>
      </c>
      <c r="G2085" s="1" t="s">
        <v>279</v>
      </c>
      <c r="H2085" s="1" t="n">
        <v>28.75</v>
      </c>
      <c r="I2085" s="1" t="str">
        <f aca="false">B2085&amp;"|"&amp;F2085&amp;"|"&amp;G2085</f>
        <v>Material Storage Sheds|C|Average</v>
      </c>
      <c r="J2085" s="1" t="s">
        <v>1021</v>
      </c>
    </row>
    <row r="2086" customFormat="false" ht="12" hidden="false" customHeight="true" outlineLevel="0" collapsed="false">
      <c r="B2086" s="1" t="s">
        <v>1022</v>
      </c>
      <c r="C2086" s="1" t="s">
        <v>1023</v>
      </c>
      <c r="D2086" s="1" t="s">
        <v>513</v>
      </c>
      <c r="E2086" s="1" t="s">
        <v>511</v>
      </c>
      <c r="F2086" s="1" t="s">
        <v>463</v>
      </c>
      <c r="G2086" s="1" t="s">
        <v>480</v>
      </c>
      <c r="H2086" s="1" t="n">
        <v>21.8</v>
      </c>
      <c r="I2086" s="1" t="str">
        <f aca="false">B2086&amp;"|"&amp;F2086&amp;"|"&amp;G2086</f>
        <v>Material Storage Sheds|C|Low Cost</v>
      </c>
      <c r="J2086" s="1" t="s">
        <v>1021</v>
      </c>
    </row>
    <row r="2087" customFormat="false" ht="12" hidden="false" customHeight="true" outlineLevel="0" collapsed="false">
      <c r="B2087" s="1" t="s">
        <v>1022</v>
      </c>
      <c r="C2087" s="1" t="s">
        <v>1023</v>
      </c>
      <c r="D2087" s="1" t="s">
        <v>513</v>
      </c>
      <c r="E2087" s="1" t="s">
        <v>511</v>
      </c>
      <c r="F2087" s="1" t="s">
        <v>468</v>
      </c>
      <c r="G2087" s="1" t="s">
        <v>279</v>
      </c>
      <c r="H2087" s="1" t="n">
        <v>22.8</v>
      </c>
      <c r="I2087" s="1" t="str">
        <f aca="false">B2087&amp;"|"&amp;F2087&amp;"|"&amp;G2087</f>
        <v>Material Storage Sheds|D|Average</v>
      </c>
      <c r="J2087" s="1" t="s">
        <v>1021</v>
      </c>
    </row>
    <row r="2088" customFormat="false" ht="12" hidden="false" customHeight="true" outlineLevel="0" collapsed="false">
      <c r="B2088" s="1" t="s">
        <v>1022</v>
      </c>
      <c r="C2088" s="1" t="s">
        <v>1023</v>
      </c>
      <c r="D2088" s="1" t="s">
        <v>513</v>
      </c>
      <c r="E2088" s="1" t="s">
        <v>511</v>
      </c>
      <c r="F2088" s="1" t="s">
        <v>468</v>
      </c>
      <c r="G2088" s="1" t="s">
        <v>480</v>
      </c>
      <c r="H2088" s="1" t="n">
        <v>16.05</v>
      </c>
      <c r="I2088" s="1" t="str">
        <f aca="false">B2088&amp;"|"&amp;F2088&amp;"|"&amp;G2088</f>
        <v>Material Storage Sheds|D|Low Cost</v>
      </c>
      <c r="J2088" s="1" t="s">
        <v>1021</v>
      </c>
    </row>
    <row r="2089" customFormat="false" ht="12" hidden="false" customHeight="true" outlineLevel="0" collapsed="false">
      <c r="B2089" s="1" t="s">
        <v>1022</v>
      </c>
      <c r="C2089" s="1" t="s">
        <v>1023</v>
      </c>
      <c r="D2089" s="1" t="s">
        <v>513</v>
      </c>
      <c r="E2089" s="1" t="s">
        <v>511</v>
      </c>
      <c r="F2089" s="1" t="s">
        <v>566</v>
      </c>
      <c r="G2089" s="1" t="s">
        <v>279</v>
      </c>
      <c r="H2089" s="1" t="n">
        <v>18.6</v>
      </c>
      <c r="I2089" s="1" t="str">
        <f aca="false">B2089&amp;"|"&amp;F2089&amp;"|"&amp;G2089</f>
        <v>Material Storage Sheds|DPOLE|Average</v>
      </c>
      <c r="J2089" s="1" t="s">
        <v>1021</v>
      </c>
    </row>
    <row r="2090" customFormat="false" ht="12" hidden="false" customHeight="true" outlineLevel="0" collapsed="false">
      <c r="B2090" s="1" t="s">
        <v>1022</v>
      </c>
      <c r="C2090" s="1" t="s">
        <v>1023</v>
      </c>
      <c r="D2090" s="1" t="s">
        <v>513</v>
      </c>
      <c r="E2090" s="1" t="s">
        <v>511</v>
      </c>
      <c r="F2090" s="1" t="s">
        <v>566</v>
      </c>
      <c r="G2090" s="1" t="s">
        <v>480</v>
      </c>
      <c r="H2090" s="1" t="n">
        <v>12.95</v>
      </c>
      <c r="I2090" s="1" t="str">
        <f aca="false">B2090&amp;"|"&amp;F2090&amp;"|"&amp;G2090</f>
        <v>Material Storage Sheds|DPOLE|Low Cost</v>
      </c>
      <c r="J2090" s="1" t="s">
        <v>1021</v>
      </c>
    </row>
    <row r="2091" customFormat="false" ht="12" hidden="false" customHeight="true" outlineLevel="0" collapsed="false">
      <c r="B2091" s="1" t="s">
        <v>1022</v>
      </c>
      <c r="C2091" s="1" t="s">
        <v>1023</v>
      </c>
      <c r="D2091" s="1" t="s">
        <v>513</v>
      </c>
      <c r="E2091" s="1" t="s">
        <v>511</v>
      </c>
      <c r="F2091" s="1" t="s">
        <v>473</v>
      </c>
      <c r="G2091" s="1" t="s">
        <v>279</v>
      </c>
      <c r="H2091" s="1" t="n">
        <v>21.55</v>
      </c>
      <c r="I2091" s="1" t="str">
        <f aca="false">B2091&amp;"|"&amp;F2091&amp;"|"&amp;G2091</f>
        <v>Material Storage Sheds|S|Average</v>
      </c>
      <c r="J2091" s="1" t="s">
        <v>1021</v>
      </c>
    </row>
    <row r="2092" customFormat="false" ht="12" hidden="false" customHeight="true" outlineLevel="0" collapsed="false">
      <c r="B2092" s="1" t="s">
        <v>1022</v>
      </c>
      <c r="C2092" s="1" t="s">
        <v>1023</v>
      </c>
      <c r="D2092" s="1" t="s">
        <v>513</v>
      </c>
      <c r="E2092" s="1" t="s">
        <v>511</v>
      </c>
      <c r="F2092" s="1" t="s">
        <v>473</v>
      </c>
      <c r="G2092" s="1" t="s">
        <v>480</v>
      </c>
      <c r="H2092" s="1" t="n">
        <v>15.5</v>
      </c>
      <c r="I2092" s="1" t="str">
        <f aca="false">B2092&amp;"|"&amp;F2092&amp;"|"&amp;G2092</f>
        <v>Material Storage Sheds|S|Low Cost</v>
      </c>
      <c r="J2092" s="1" t="s">
        <v>1021</v>
      </c>
    </row>
    <row r="2093" customFormat="false" ht="12" hidden="false" customHeight="true" outlineLevel="0" collapsed="false">
      <c r="B2093" s="1" t="s">
        <v>1022</v>
      </c>
      <c r="C2093" s="1" t="s">
        <v>1023</v>
      </c>
      <c r="D2093" s="1" t="s">
        <v>513</v>
      </c>
      <c r="E2093" s="1" t="s">
        <v>511</v>
      </c>
      <c r="F2093" s="1" t="s">
        <v>988</v>
      </c>
      <c r="G2093" s="1" t="s">
        <v>279</v>
      </c>
      <c r="H2093" s="1" t="n">
        <v>20.05</v>
      </c>
      <c r="I2093" s="1" t="str">
        <f aca="false">B2093&amp;"|"&amp;F2093&amp;"|"&amp;G2093</f>
        <v>Material Storage Sheds|SSLANT|Average</v>
      </c>
      <c r="J2093" s="1" t="s">
        <v>1021</v>
      </c>
    </row>
    <row r="2094" customFormat="false" ht="12" hidden="false" customHeight="true" outlineLevel="0" collapsed="false">
      <c r="B2094" s="1" t="s">
        <v>1022</v>
      </c>
      <c r="C2094" s="1" t="s">
        <v>1023</v>
      </c>
      <c r="D2094" s="1" t="s">
        <v>513</v>
      </c>
      <c r="E2094" s="1" t="s">
        <v>511</v>
      </c>
      <c r="F2094" s="1" t="s">
        <v>988</v>
      </c>
      <c r="G2094" s="1" t="s">
        <v>480</v>
      </c>
      <c r="H2094" s="1" t="n">
        <v>14.35</v>
      </c>
      <c r="I2094" s="1" t="str">
        <f aca="false">B2094&amp;"|"&amp;F2094&amp;"|"&amp;G2094</f>
        <v>Material Storage Sheds|SSLANT|Low Cost</v>
      </c>
      <c r="J2094" s="1" t="s">
        <v>1021</v>
      </c>
    </row>
    <row r="2095" customFormat="false" ht="12" hidden="false" customHeight="true" outlineLevel="0" collapsed="false">
      <c r="B2095" s="1" t="s">
        <v>1024</v>
      </c>
      <c r="C2095" s="1" t="s">
        <v>1025</v>
      </c>
      <c r="D2095" s="1" t="s">
        <v>513</v>
      </c>
      <c r="E2095" s="1" t="s">
        <v>511</v>
      </c>
      <c r="F2095" s="1" t="s">
        <v>468</v>
      </c>
      <c r="G2095" s="1" t="s">
        <v>279</v>
      </c>
      <c r="H2095" s="1" t="n">
        <v>45.5</v>
      </c>
      <c r="I2095" s="1" t="str">
        <f aca="false">B2095&amp;"|"&amp;F2095&amp;"|"&amp;G2095</f>
        <v>Bulk Oil Storage|D|Average</v>
      </c>
      <c r="J2095" s="1" t="s">
        <v>1021</v>
      </c>
    </row>
    <row r="2096" customFormat="false" ht="12" hidden="false" customHeight="true" outlineLevel="0" collapsed="false">
      <c r="B2096" s="1" t="s">
        <v>1024</v>
      </c>
      <c r="C2096" s="1" t="s">
        <v>1025</v>
      </c>
      <c r="D2096" s="1" t="s">
        <v>513</v>
      </c>
      <c r="E2096" s="1" t="s">
        <v>511</v>
      </c>
      <c r="F2096" s="1" t="s">
        <v>566</v>
      </c>
      <c r="G2096" s="1" t="s">
        <v>279</v>
      </c>
      <c r="H2096" s="1" t="n">
        <v>42.75</v>
      </c>
      <c r="I2096" s="1" t="str">
        <f aca="false">B2096&amp;"|"&amp;F2096&amp;"|"&amp;G2096</f>
        <v>Bulk Oil Storage|DPOLE|Average</v>
      </c>
      <c r="J2096" s="1" t="s">
        <v>1021</v>
      </c>
    </row>
    <row r="2097" customFormat="false" ht="12" hidden="false" customHeight="true" outlineLevel="0" collapsed="false">
      <c r="B2097" s="1" t="s">
        <v>1024</v>
      </c>
      <c r="C2097" s="1" t="s">
        <v>1025</v>
      </c>
      <c r="D2097" s="1" t="s">
        <v>513</v>
      </c>
      <c r="E2097" s="1" t="s">
        <v>511</v>
      </c>
      <c r="F2097" s="1" t="s">
        <v>473</v>
      </c>
      <c r="G2097" s="1" t="s">
        <v>279</v>
      </c>
      <c r="H2097" s="1" t="n">
        <v>44.25</v>
      </c>
      <c r="I2097" s="1" t="str">
        <f aca="false">B2097&amp;"|"&amp;F2097&amp;"|"&amp;G2097</f>
        <v>Bulk Oil Storage|S|Average</v>
      </c>
      <c r="J2097" s="1" t="s">
        <v>1021</v>
      </c>
    </row>
    <row r="2098" customFormat="false" ht="12" hidden="false" customHeight="true" outlineLevel="0" collapsed="false">
      <c r="B2098" s="1" t="s">
        <v>1026</v>
      </c>
      <c r="C2098" s="1" t="s">
        <v>1027</v>
      </c>
      <c r="D2098" s="1" t="s">
        <v>513</v>
      </c>
      <c r="E2098" s="1" t="s">
        <v>513</v>
      </c>
      <c r="F2098" s="1" t="s">
        <v>468</v>
      </c>
      <c r="G2098" s="1" t="s">
        <v>483</v>
      </c>
      <c r="H2098" s="1" t="n">
        <v>47.75</v>
      </c>
      <c r="I2098" s="1" t="str">
        <f aca="false">B2098&amp;"|"&amp;F2098&amp;"|"&amp;G2098</f>
        <v>Lumber Storage Buildings|D|Good</v>
      </c>
      <c r="J2098" s="1" t="s">
        <v>1028</v>
      </c>
    </row>
    <row r="2099" customFormat="false" ht="12" hidden="false" customHeight="true" outlineLevel="0" collapsed="false">
      <c r="B2099" s="1" t="s">
        <v>1026</v>
      </c>
      <c r="C2099" s="1" t="s">
        <v>1027</v>
      </c>
      <c r="D2099" s="1" t="s">
        <v>513</v>
      </c>
      <c r="E2099" s="1" t="s">
        <v>513</v>
      </c>
      <c r="F2099" s="1" t="s">
        <v>468</v>
      </c>
      <c r="G2099" s="1" t="s">
        <v>279</v>
      </c>
      <c r="H2099" s="1" t="n">
        <v>33.5</v>
      </c>
      <c r="I2099" s="1" t="str">
        <f aca="false">B2099&amp;"|"&amp;F2099&amp;"|"&amp;G2099</f>
        <v>Lumber Storage Buildings|D|Average</v>
      </c>
      <c r="J2099" s="1" t="s">
        <v>1028</v>
      </c>
    </row>
    <row r="2100" customFormat="false" ht="12" hidden="false" customHeight="true" outlineLevel="0" collapsed="false">
      <c r="B2100" s="1" t="s">
        <v>1026</v>
      </c>
      <c r="C2100" s="1" t="s">
        <v>1027</v>
      </c>
      <c r="D2100" s="1" t="s">
        <v>513</v>
      </c>
      <c r="E2100" s="1" t="s">
        <v>513</v>
      </c>
      <c r="F2100" s="1" t="s">
        <v>468</v>
      </c>
      <c r="G2100" s="1" t="s">
        <v>480</v>
      </c>
      <c r="H2100" s="1" t="n">
        <v>23.65</v>
      </c>
      <c r="I2100" s="1" t="str">
        <f aca="false">B2100&amp;"|"&amp;F2100&amp;"|"&amp;G2100</f>
        <v>Lumber Storage Buildings|D|Low Cost</v>
      </c>
      <c r="J2100" s="1" t="s">
        <v>1028</v>
      </c>
    </row>
    <row r="2101" customFormat="false" ht="12" hidden="false" customHeight="true" outlineLevel="0" collapsed="false">
      <c r="B2101" s="1" t="s">
        <v>1026</v>
      </c>
      <c r="C2101" s="1" t="s">
        <v>1027</v>
      </c>
      <c r="D2101" s="1" t="s">
        <v>513</v>
      </c>
      <c r="E2101" s="1" t="s">
        <v>513</v>
      </c>
      <c r="F2101" s="1" t="s">
        <v>566</v>
      </c>
      <c r="G2101" s="1" t="s">
        <v>483</v>
      </c>
      <c r="H2101" s="1" t="n">
        <v>43</v>
      </c>
      <c r="I2101" s="1" t="str">
        <f aca="false">B2101&amp;"|"&amp;F2101&amp;"|"&amp;G2101</f>
        <v>Lumber Storage Buildings|DPOLE|Good</v>
      </c>
      <c r="J2101" s="1" t="s">
        <v>1028</v>
      </c>
    </row>
    <row r="2102" customFormat="false" ht="12" hidden="false" customHeight="true" outlineLevel="0" collapsed="false">
      <c r="B2102" s="1" t="s">
        <v>1026</v>
      </c>
      <c r="C2102" s="1" t="s">
        <v>1027</v>
      </c>
      <c r="D2102" s="1" t="s">
        <v>513</v>
      </c>
      <c r="E2102" s="1" t="s">
        <v>513</v>
      </c>
      <c r="F2102" s="1" t="s">
        <v>566</v>
      </c>
      <c r="G2102" s="1" t="s">
        <v>279</v>
      </c>
      <c r="H2102" s="1" t="n">
        <v>30</v>
      </c>
      <c r="I2102" s="1" t="str">
        <f aca="false">B2102&amp;"|"&amp;F2102&amp;"|"&amp;G2102</f>
        <v>Lumber Storage Buildings|DPOLE|Average</v>
      </c>
      <c r="J2102" s="1" t="s">
        <v>1028</v>
      </c>
    </row>
    <row r="2103" customFormat="false" ht="12" hidden="false" customHeight="true" outlineLevel="0" collapsed="false">
      <c r="B2103" s="1" t="s">
        <v>1026</v>
      </c>
      <c r="C2103" s="1" t="s">
        <v>1027</v>
      </c>
      <c r="D2103" s="1" t="s">
        <v>513</v>
      </c>
      <c r="E2103" s="1" t="s">
        <v>513</v>
      </c>
      <c r="F2103" s="1" t="s">
        <v>566</v>
      </c>
      <c r="G2103" s="1" t="s">
        <v>480</v>
      </c>
      <c r="H2103" s="1" t="n">
        <v>20.9</v>
      </c>
      <c r="I2103" s="1" t="str">
        <f aca="false">B2103&amp;"|"&amp;F2103&amp;"|"&amp;G2103</f>
        <v>Lumber Storage Buildings|DPOLE|Low Cost</v>
      </c>
      <c r="J2103" s="1" t="s">
        <v>1028</v>
      </c>
    </row>
    <row r="2104" customFormat="false" ht="12" hidden="false" customHeight="true" outlineLevel="0" collapsed="false">
      <c r="B2104" s="1" t="s">
        <v>1026</v>
      </c>
      <c r="C2104" s="1" t="s">
        <v>1027</v>
      </c>
      <c r="D2104" s="1" t="s">
        <v>513</v>
      </c>
      <c r="E2104" s="1" t="s">
        <v>513</v>
      </c>
      <c r="F2104" s="1" t="s">
        <v>473</v>
      </c>
      <c r="G2104" s="1" t="s">
        <v>483</v>
      </c>
      <c r="H2104" s="1" t="n">
        <v>47.5</v>
      </c>
      <c r="I2104" s="1" t="str">
        <f aca="false">B2104&amp;"|"&amp;F2104&amp;"|"&amp;G2104</f>
        <v>Lumber Storage Buildings|S|Good</v>
      </c>
      <c r="J2104" s="1" t="s">
        <v>1028</v>
      </c>
    </row>
    <row r="2105" customFormat="false" ht="12" hidden="false" customHeight="true" outlineLevel="0" collapsed="false">
      <c r="B2105" s="1" t="s">
        <v>1026</v>
      </c>
      <c r="C2105" s="1" t="s">
        <v>1027</v>
      </c>
      <c r="D2105" s="1" t="s">
        <v>513</v>
      </c>
      <c r="E2105" s="1" t="s">
        <v>513</v>
      </c>
      <c r="F2105" s="1" t="s">
        <v>473</v>
      </c>
      <c r="G2105" s="1" t="s">
        <v>279</v>
      </c>
      <c r="H2105" s="1" t="n">
        <v>33.5</v>
      </c>
      <c r="I2105" s="1" t="str">
        <f aca="false">B2105&amp;"|"&amp;F2105&amp;"|"&amp;G2105</f>
        <v>Lumber Storage Buildings|S|Average</v>
      </c>
      <c r="J2105" s="1" t="s">
        <v>1028</v>
      </c>
    </row>
    <row r="2106" customFormat="false" ht="12" hidden="false" customHeight="true" outlineLevel="0" collapsed="false">
      <c r="B2106" s="1" t="s">
        <v>1026</v>
      </c>
      <c r="C2106" s="1" t="s">
        <v>1027</v>
      </c>
      <c r="D2106" s="1" t="s">
        <v>513</v>
      </c>
      <c r="E2106" s="1" t="s">
        <v>513</v>
      </c>
      <c r="F2106" s="1" t="s">
        <v>473</v>
      </c>
      <c r="G2106" s="1" t="s">
        <v>480</v>
      </c>
      <c r="H2106" s="1" t="n">
        <v>23.75</v>
      </c>
      <c r="I2106" s="1" t="str">
        <f aca="false">B2106&amp;"|"&amp;F2106&amp;"|"&amp;G2106</f>
        <v>Lumber Storage Buildings|S|Low Cost</v>
      </c>
      <c r="J2106" s="1" t="s">
        <v>1028</v>
      </c>
    </row>
    <row r="2107" customFormat="false" ht="12" hidden="false" customHeight="true" outlineLevel="0" collapsed="false">
      <c r="B2107" s="1" t="s">
        <v>1029</v>
      </c>
      <c r="C2107" s="1" t="s">
        <v>1030</v>
      </c>
      <c r="D2107" s="1" t="s">
        <v>513</v>
      </c>
      <c r="E2107" s="1" t="s">
        <v>513</v>
      </c>
      <c r="F2107" s="1" t="s">
        <v>468</v>
      </c>
      <c r="G2107" s="1" t="s">
        <v>483</v>
      </c>
      <c r="H2107" s="1" t="n">
        <v>40</v>
      </c>
      <c r="I2107" s="1" t="str">
        <f aca="false">B2107&amp;"|"&amp;F2107&amp;"|"&amp;G2107</f>
        <v>Lumber Storage Sheds|D|Good</v>
      </c>
      <c r="J2107" s="1" t="s">
        <v>1028</v>
      </c>
    </row>
    <row r="2108" customFormat="false" ht="12" hidden="false" customHeight="true" outlineLevel="0" collapsed="false">
      <c r="B2108" s="1" t="s">
        <v>1029</v>
      </c>
      <c r="C2108" s="1" t="s">
        <v>1030</v>
      </c>
      <c r="D2108" s="1" t="s">
        <v>513</v>
      </c>
      <c r="E2108" s="1" t="s">
        <v>513</v>
      </c>
      <c r="F2108" s="1" t="s">
        <v>468</v>
      </c>
      <c r="G2108" s="1" t="s">
        <v>279</v>
      </c>
      <c r="H2108" s="1" t="n">
        <v>27.25</v>
      </c>
      <c r="I2108" s="1" t="str">
        <f aca="false">B2108&amp;"|"&amp;F2108&amp;"|"&amp;G2108</f>
        <v>Lumber Storage Sheds|D|Average</v>
      </c>
      <c r="J2108" s="1" t="s">
        <v>1028</v>
      </c>
    </row>
    <row r="2109" customFormat="false" ht="12" hidden="false" customHeight="true" outlineLevel="0" collapsed="false">
      <c r="B2109" s="1" t="s">
        <v>1029</v>
      </c>
      <c r="C2109" s="1" t="s">
        <v>1030</v>
      </c>
      <c r="D2109" s="1" t="s">
        <v>513</v>
      </c>
      <c r="E2109" s="1" t="s">
        <v>513</v>
      </c>
      <c r="F2109" s="1" t="s">
        <v>468</v>
      </c>
      <c r="G2109" s="1" t="s">
        <v>480</v>
      </c>
      <c r="H2109" s="1" t="n">
        <v>18.55</v>
      </c>
      <c r="I2109" s="1" t="str">
        <f aca="false">B2109&amp;"|"&amp;F2109&amp;"|"&amp;G2109</f>
        <v>Lumber Storage Sheds|D|Low Cost</v>
      </c>
      <c r="J2109" s="1" t="s">
        <v>1028</v>
      </c>
    </row>
    <row r="2110" customFormat="false" ht="12" hidden="false" customHeight="true" outlineLevel="0" collapsed="false">
      <c r="B2110" s="1" t="s">
        <v>1029</v>
      </c>
      <c r="C2110" s="1" t="s">
        <v>1030</v>
      </c>
      <c r="D2110" s="1" t="s">
        <v>513</v>
      </c>
      <c r="E2110" s="1" t="s">
        <v>513</v>
      </c>
      <c r="F2110" s="1" t="s">
        <v>566</v>
      </c>
      <c r="G2110" s="1" t="s">
        <v>483</v>
      </c>
      <c r="H2110" s="1" t="n">
        <v>34.5</v>
      </c>
      <c r="I2110" s="1" t="str">
        <f aca="false">B2110&amp;"|"&amp;F2110&amp;"|"&amp;G2110</f>
        <v>Lumber Storage Sheds|DPOLE|Good</v>
      </c>
      <c r="J2110" s="1" t="s">
        <v>1028</v>
      </c>
    </row>
    <row r="2111" customFormat="false" ht="12" hidden="false" customHeight="true" outlineLevel="0" collapsed="false">
      <c r="B2111" s="1" t="s">
        <v>1029</v>
      </c>
      <c r="C2111" s="1" t="s">
        <v>1030</v>
      </c>
      <c r="D2111" s="1" t="s">
        <v>513</v>
      </c>
      <c r="E2111" s="1" t="s">
        <v>513</v>
      </c>
      <c r="F2111" s="1" t="s">
        <v>566</v>
      </c>
      <c r="G2111" s="1" t="s">
        <v>279</v>
      </c>
      <c r="H2111" s="1" t="n">
        <v>23.45</v>
      </c>
      <c r="I2111" s="1" t="str">
        <f aca="false">B2111&amp;"|"&amp;F2111&amp;"|"&amp;G2111</f>
        <v>Lumber Storage Sheds|DPOLE|Average</v>
      </c>
      <c r="J2111" s="1" t="s">
        <v>1028</v>
      </c>
    </row>
    <row r="2112" customFormat="false" ht="12" hidden="false" customHeight="true" outlineLevel="0" collapsed="false">
      <c r="B2112" s="1" t="s">
        <v>1029</v>
      </c>
      <c r="C2112" s="1" t="s">
        <v>1030</v>
      </c>
      <c r="D2112" s="1" t="s">
        <v>513</v>
      </c>
      <c r="E2112" s="1" t="s">
        <v>513</v>
      </c>
      <c r="F2112" s="1" t="s">
        <v>566</v>
      </c>
      <c r="G2112" s="1" t="s">
        <v>480</v>
      </c>
      <c r="H2112" s="1" t="n">
        <v>15.95</v>
      </c>
      <c r="I2112" s="1" t="str">
        <f aca="false">B2112&amp;"|"&amp;F2112&amp;"|"&amp;G2112</f>
        <v>Lumber Storage Sheds|DPOLE|Low Cost</v>
      </c>
      <c r="J2112" s="1" t="s">
        <v>1028</v>
      </c>
    </row>
    <row r="2113" customFormat="false" ht="12" hidden="false" customHeight="true" outlineLevel="0" collapsed="false">
      <c r="B2113" s="1" t="s">
        <v>1029</v>
      </c>
      <c r="C2113" s="1" t="s">
        <v>1030</v>
      </c>
      <c r="D2113" s="1" t="s">
        <v>513</v>
      </c>
      <c r="E2113" s="1" t="s">
        <v>513</v>
      </c>
      <c r="F2113" s="1" t="s">
        <v>473</v>
      </c>
      <c r="G2113" s="1" t="s">
        <v>483</v>
      </c>
      <c r="H2113" s="1" t="n">
        <v>39.75</v>
      </c>
      <c r="I2113" s="1" t="str">
        <f aca="false">B2113&amp;"|"&amp;F2113&amp;"|"&amp;G2113</f>
        <v>Lumber Storage Sheds|S|Good</v>
      </c>
      <c r="J2113" s="1" t="s">
        <v>1028</v>
      </c>
    </row>
    <row r="2114" customFormat="false" ht="12" hidden="false" customHeight="true" outlineLevel="0" collapsed="false">
      <c r="B2114" s="1" t="s">
        <v>1029</v>
      </c>
      <c r="C2114" s="1" t="s">
        <v>1030</v>
      </c>
      <c r="D2114" s="1" t="s">
        <v>513</v>
      </c>
      <c r="E2114" s="1" t="s">
        <v>513</v>
      </c>
      <c r="F2114" s="1" t="s">
        <v>473</v>
      </c>
      <c r="G2114" s="1" t="s">
        <v>279</v>
      </c>
      <c r="H2114" s="1" t="n">
        <v>27</v>
      </c>
      <c r="I2114" s="1" t="str">
        <f aca="false">B2114&amp;"|"&amp;F2114&amp;"|"&amp;G2114</f>
        <v>Lumber Storage Sheds|S|Average</v>
      </c>
      <c r="J2114" s="1" t="s">
        <v>1028</v>
      </c>
    </row>
    <row r="2115" customFormat="false" ht="12" hidden="false" customHeight="true" outlineLevel="0" collapsed="false">
      <c r="B2115" s="1" t="s">
        <v>1029</v>
      </c>
      <c r="C2115" s="1" t="s">
        <v>1030</v>
      </c>
      <c r="D2115" s="1" t="s">
        <v>513</v>
      </c>
      <c r="E2115" s="1" t="s">
        <v>513</v>
      </c>
      <c r="F2115" s="1" t="s">
        <v>473</v>
      </c>
      <c r="G2115" s="1" t="s">
        <v>480</v>
      </c>
      <c r="H2115" s="1" t="n">
        <v>18.4</v>
      </c>
      <c r="I2115" s="1" t="str">
        <f aca="false">B2115&amp;"|"&amp;F2115&amp;"|"&amp;G2115</f>
        <v>Lumber Storage Sheds|S|Low Cost</v>
      </c>
      <c r="J2115" s="1" t="s">
        <v>1028</v>
      </c>
    </row>
    <row r="2116" customFormat="false" ht="12" hidden="false" customHeight="true" outlineLevel="0" collapsed="false">
      <c r="B2116" s="1" t="s">
        <v>1031</v>
      </c>
      <c r="C2116" s="1" t="s">
        <v>1032</v>
      </c>
      <c r="D2116" s="1" t="s">
        <v>513</v>
      </c>
      <c r="E2116" s="1" t="s">
        <v>517</v>
      </c>
      <c r="F2116" s="1" t="s">
        <v>468</v>
      </c>
      <c r="G2116" s="1" t="s">
        <v>279</v>
      </c>
      <c r="H2116" s="1" t="n">
        <v>43.5</v>
      </c>
      <c r="I2116" s="1" t="str">
        <f aca="false">B2116&amp;"|"&amp;F2116&amp;"|"&amp;G2116</f>
        <v>Boat Storage Buildings|D|Average</v>
      </c>
      <c r="J2116" s="1" t="s">
        <v>1033</v>
      </c>
    </row>
    <row r="2117" customFormat="false" ht="12" hidden="false" customHeight="true" outlineLevel="0" collapsed="false">
      <c r="B2117" s="1" t="s">
        <v>1031</v>
      </c>
      <c r="C2117" s="1" t="s">
        <v>1032</v>
      </c>
      <c r="D2117" s="1" t="s">
        <v>513</v>
      </c>
      <c r="E2117" s="1" t="s">
        <v>517</v>
      </c>
      <c r="F2117" s="1" t="s">
        <v>468</v>
      </c>
      <c r="G2117" s="1" t="s">
        <v>480</v>
      </c>
      <c r="H2117" s="1" t="n">
        <v>32.5</v>
      </c>
      <c r="I2117" s="1" t="str">
        <f aca="false">B2117&amp;"|"&amp;F2117&amp;"|"&amp;G2117</f>
        <v>Boat Storage Buildings|D|Low Cost</v>
      </c>
      <c r="J2117" s="1" t="s">
        <v>1033</v>
      </c>
    </row>
    <row r="2118" customFormat="false" ht="12" hidden="false" customHeight="true" outlineLevel="0" collapsed="false">
      <c r="B2118" s="1" t="s">
        <v>1031</v>
      </c>
      <c r="C2118" s="1" t="s">
        <v>1032</v>
      </c>
      <c r="D2118" s="1" t="s">
        <v>513</v>
      </c>
      <c r="E2118" s="1" t="s">
        <v>517</v>
      </c>
      <c r="F2118" s="1" t="s">
        <v>566</v>
      </c>
      <c r="G2118" s="1" t="s">
        <v>279</v>
      </c>
      <c r="H2118" s="1" t="n">
        <v>40.25</v>
      </c>
      <c r="I2118" s="1" t="str">
        <f aca="false">B2118&amp;"|"&amp;F2118&amp;"|"&amp;G2118</f>
        <v>Boat Storage Buildings|DPOLE|Average</v>
      </c>
      <c r="J2118" s="1" t="s">
        <v>1033</v>
      </c>
    </row>
    <row r="2119" customFormat="false" ht="12" hidden="false" customHeight="true" outlineLevel="0" collapsed="false">
      <c r="B2119" s="1" t="s">
        <v>1031</v>
      </c>
      <c r="C2119" s="1" t="s">
        <v>1032</v>
      </c>
      <c r="D2119" s="1" t="s">
        <v>513</v>
      </c>
      <c r="E2119" s="1" t="s">
        <v>517</v>
      </c>
      <c r="F2119" s="1" t="s">
        <v>566</v>
      </c>
      <c r="G2119" s="1" t="s">
        <v>480</v>
      </c>
      <c r="H2119" s="1" t="n">
        <v>30</v>
      </c>
      <c r="I2119" s="1" t="str">
        <f aca="false">B2119&amp;"|"&amp;F2119&amp;"|"&amp;G2119</f>
        <v>Boat Storage Buildings|DPOLE|Low Cost</v>
      </c>
      <c r="J2119" s="1" t="s">
        <v>1033</v>
      </c>
    </row>
    <row r="2120" customFormat="false" ht="12" hidden="false" customHeight="true" outlineLevel="0" collapsed="false">
      <c r="B2120" s="1" t="s">
        <v>1031</v>
      </c>
      <c r="C2120" s="1" t="s">
        <v>1032</v>
      </c>
      <c r="D2120" s="1" t="s">
        <v>513</v>
      </c>
      <c r="E2120" s="1" t="s">
        <v>517</v>
      </c>
      <c r="F2120" s="1" t="s">
        <v>473</v>
      </c>
      <c r="G2120" s="1" t="s">
        <v>483</v>
      </c>
      <c r="H2120" s="1" t="n">
        <v>58.5</v>
      </c>
      <c r="I2120" s="1" t="str">
        <f aca="false">B2120&amp;"|"&amp;F2120&amp;"|"&amp;G2120</f>
        <v>Boat Storage Buildings|S|Good</v>
      </c>
      <c r="J2120" s="1" t="s">
        <v>1033</v>
      </c>
    </row>
    <row r="2121" customFormat="false" ht="12" hidden="false" customHeight="true" outlineLevel="0" collapsed="false">
      <c r="B2121" s="1" t="s">
        <v>1031</v>
      </c>
      <c r="C2121" s="1" t="s">
        <v>1032</v>
      </c>
      <c r="D2121" s="1" t="s">
        <v>513</v>
      </c>
      <c r="E2121" s="1" t="s">
        <v>517</v>
      </c>
      <c r="F2121" s="1" t="s">
        <v>473</v>
      </c>
      <c r="G2121" s="1" t="s">
        <v>279</v>
      </c>
      <c r="H2121" s="1" t="n">
        <v>43.75</v>
      </c>
      <c r="I2121" s="1" t="str">
        <f aca="false">B2121&amp;"|"&amp;F2121&amp;"|"&amp;G2121</f>
        <v>Boat Storage Buildings|S|Average</v>
      </c>
      <c r="J2121" s="1" t="s">
        <v>1033</v>
      </c>
    </row>
    <row r="2122" customFormat="false" ht="12" hidden="false" customHeight="true" outlineLevel="0" collapsed="false">
      <c r="B2122" s="1" t="s">
        <v>1031</v>
      </c>
      <c r="C2122" s="1" t="s">
        <v>1032</v>
      </c>
      <c r="D2122" s="1" t="s">
        <v>513</v>
      </c>
      <c r="E2122" s="1" t="s">
        <v>517</v>
      </c>
      <c r="F2122" s="1" t="s">
        <v>473</v>
      </c>
      <c r="G2122" s="1" t="s">
        <v>480</v>
      </c>
      <c r="H2122" s="1" t="n">
        <v>32.75</v>
      </c>
      <c r="I2122" s="1" t="str">
        <f aca="false">B2122&amp;"|"&amp;F2122&amp;"|"&amp;G2122</f>
        <v>Boat Storage Buildings|S|Low Cost</v>
      </c>
      <c r="J2122" s="1" t="s">
        <v>1033</v>
      </c>
    </row>
    <row r="2123" customFormat="false" ht="12" hidden="false" customHeight="true" outlineLevel="0" collapsed="false">
      <c r="B2123" s="1" t="s">
        <v>1031</v>
      </c>
      <c r="C2123" s="1" t="s">
        <v>1032</v>
      </c>
      <c r="D2123" s="1" t="s">
        <v>513</v>
      </c>
      <c r="E2123" s="1" t="s">
        <v>517</v>
      </c>
      <c r="F2123" s="1" t="s">
        <v>988</v>
      </c>
      <c r="G2123" s="1" t="s">
        <v>483</v>
      </c>
      <c r="H2123" s="1" t="n">
        <v>56</v>
      </c>
      <c r="I2123" s="1" t="str">
        <f aca="false">B2123&amp;"|"&amp;F2123&amp;"|"&amp;G2123</f>
        <v>Boat Storage Buildings|SSLANT|Good</v>
      </c>
      <c r="J2123" s="1" t="s">
        <v>1033</v>
      </c>
    </row>
    <row r="2124" customFormat="false" ht="12" hidden="false" customHeight="true" outlineLevel="0" collapsed="false">
      <c r="B2124" s="1" t="s">
        <v>1031</v>
      </c>
      <c r="C2124" s="1" t="s">
        <v>1032</v>
      </c>
      <c r="D2124" s="1" t="s">
        <v>513</v>
      </c>
      <c r="E2124" s="1" t="s">
        <v>517</v>
      </c>
      <c r="F2124" s="1" t="s">
        <v>988</v>
      </c>
      <c r="G2124" s="1" t="s">
        <v>279</v>
      </c>
      <c r="H2124" s="1" t="n">
        <v>41.5</v>
      </c>
      <c r="I2124" s="1" t="str">
        <f aca="false">B2124&amp;"|"&amp;F2124&amp;"|"&amp;G2124</f>
        <v>Boat Storage Buildings|SSLANT|Average</v>
      </c>
      <c r="J2124" s="1" t="s">
        <v>1033</v>
      </c>
    </row>
    <row r="2125" customFormat="false" ht="12" hidden="false" customHeight="true" outlineLevel="0" collapsed="false">
      <c r="B2125" s="1" t="s">
        <v>1031</v>
      </c>
      <c r="C2125" s="1" t="s">
        <v>1032</v>
      </c>
      <c r="D2125" s="1" t="s">
        <v>513</v>
      </c>
      <c r="E2125" s="1" t="s">
        <v>517</v>
      </c>
      <c r="F2125" s="1" t="s">
        <v>988</v>
      </c>
      <c r="G2125" s="1" t="s">
        <v>480</v>
      </c>
      <c r="H2125" s="1" t="n">
        <v>31</v>
      </c>
      <c r="I2125" s="1" t="str">
        <f aca="false">B2125&amp;"|"&amp;F2125&amp;"|"&amp;G2125</f>
        <v>Boat Storage Buildings|SSLANT|Low Cost</v>
      </c>
      <c r="J2125" s="1" t="s">
        <v>1033</v>
      </c>
    </row>
    <row r="2126" customFormat="false" ht="12" hidden="false" customHeight="true" outlineLevel="0" collapsed="false">
      <c r="B2126" s="1" t="s">
        <v>1034</v>
      </c>
      <c r="C2126" s="1" t="s">
        <v>1035</v>
      </c>
      <c r="D2126" s="1" t="s">
        <v>513</v>
      </c>
      <c r="E2126" s="1" t="s">
        <v>517</v>
      </c>
      <c r="F2126" s="1" t="s">
        <v>468</v>
      </c>
      <c r="G2126" s="1" t="s">
        <v>483</v>
      </c>
      <c r="H2126" s="1" t="n">
        <v>45.75</v>
      </c>
      <c r="I2126" s="1" t="str">
        <f aca="false">B2126&amp;"|"&amp;F2126&amp;"|"&amp;G2126</f>
        <v>Boat Storage Sheds|D|Good</v>
      </c>
      <c r="J2126" s="1" t="s">
        <v>1033</v>
      </c>
    </row>
    <row r="2127" customFormat="false" ht="12" hidden="false" customHeight="true" outlineLevel="0" collapsed="false">
      <c r="B2127" s="1" t="s">
        <v>1034</v>
      </c>
      <c r="C2127" s="1" t="s">
        <v>1035</v>
      </c>
      <c r="D2127" s="1" t="s">
        <v>513</v>
      </c>
      <c r="E2127" s="1" t="s">
        <v>517</v>
      </c>
      <c r="F2127" s="1" t="s">
        <v>468</v>
      </c>
      <c r="G2127" s="1" t="s">
        <v>279</v>
      </c>
      <c r="H2127" s="1" t="n">
        <v>31</v>
      </c>
      <c r="I2127" s="1" t="str">
        <f aca="false">B2127&amp;"|"&amp;F2127&amp;"|"&amp;G2127</f>
        <v>Boat Storage Sheds|D|Average</v>
      </c>
      <c r="J2127" s="1" t="s">
        <v>1033</v>
      </c>
    </row>
    <row r="2128" customFormat="false" ht="12" hidden="false" customHeight="true" outlineLevel="0" collapsed="false">
      <c r="B2128" s="1" t="s">
        <v>1034</v>
      </c>
      <c r="C2128" s="1" t="s">
        <v>1035</v>
      </c>
      <c r="D2128" s="1" t="s">
        <v>513</v>
      </c>
      <c r="E2128" s="1" t="s">
        <v>517</v>
      </c>
      <c r="F2128" s="1" t="s">
        <v>468</v>
      </c>
      <c r="G2128" s="1" t="s">
        <v>480</v>
      </c>
      <c r="H2128" s="1" t="n">
        <v>21.15</v>
      </c>
      <c r="I2128" s="1" t="str">
        <f aca="false">B2128&amp;"|"&amp;F2128&amp;"|"&amp;G2128</f>
        <v>Boat Storage Sheds|D|Low Cost</v>
      </c>
      <c r="J2128" s="1" t="s">
        <v>1033</v>
      </c>
    </row>
    <row r="2129" customFormat="false" ht="12" hidden="false" customHeight="true" outlineLevel="0" collapsed="false">
      <c r="B2129" s="1" t="s">
        <v>1034</v>
      </c>
      <c r="C2129" s="1" t="s">
        <v>1035</v>
      </c>
      <c r="D2129" s="1" t="s">
        <v>513</v>
      </c>
      <c r="E2129" s="1" t="s">
        <v>517</v>
      </c>
      <c r="F2129" s="1" t="s">
        <v>566</v>
      </c>
      <c r="G2129" s="1" t="s">
        <v>483</v>
      </c>
      <c r="H2129" s="1" t="n">
        <v>43</v>
      </c>
      <c r="I2129" s="1" t="str">
        <f aca="false">B2129&amp;"|"&amp;F2129&amp;"|"&amp;G2129</f>
        <v>Boat Storage Sheds|DPOLE|Good</v>
      </c>
      <c r="J2129" s="1" t="s">
        <v>1033</v>
      </c>
    </row>
    <row r="2130" customFormat="false" ht="12" hidden="false" customHeight="true" outlineLevel="0" collapsed="false">
      <c r="B2130" s="1" t="s">
        <v>1034</v>
      </c>
      <c r="C2130" s="1" t="s">
        <v>1035</v>
      </c>
      <c r="D2130" s="1" t="s">
        <v>513</v>
      </c>
      <c r="E2130" s="1" t="s">
        <v>517</v>
      </c>
      <c r="F2130" s="1" t="s">
        <v>566</v>
      </c>
      <c r="G2130" s="1" t="s">
        <v>279</v>
      </c>
      <c r="H2130" s="1" t="n">
        <v>28.75</v>
      </c>
      <c r="I2130" s="1" t="str">
        <f aca="false">B2130&amp;"|"&amp;F2130&amp;"|"&amp;G2130</f>
        <v>Boat Storage Sheds|DPOLE|Average</v>
      </c>
      <c r="J2130" s="1" t="s">
        <v>1033</v>
      </c>
    </row>
    <row r="2131" customFormat="false" ht="12" hidden="false" customHeight="true" outlineLevel="0" collapsed="false">
      <c r="B2131" s="1" t="s">
        <v>1034</v>
      </c>
      <c r="C2131" s="1" t="s">
        <v>1035</v>
      </c>
      <c r="D2131" s="1" t="s">
        <v>513</v>
      </c>
      <c r="E2131" s="1" t="s">
        <v>517</v>
      </c>
      <c r="F2131" s="1" t="s">
        <v>566</v>
      </c>
      <c r="G2131" s="1" t="s">
        <v>480</v>
      </c>
      <c r="H2131" s="1" t="n">
        <v>19.35</v>
      </c>
      <c r="I2131" s="1" t="str">
        <f aca="false">B2131&amp;"|"&amp;F2131&amp;"|"&amp;G2131</f>
        <v>Boat Storage Sheds|DPOLE|Low Cost</v>
      </c>
      <c r="J2131" s="1" t="s">
        <v>1033</v>
      </c>
    </row>
    <row r="2132" customFormat="false" ht="12" hidden="false" customHeight="true" outlineLevel="0" collapsed="false">
      <c r="B2132" s="1" t="s">
        <v>1034</v>
      </c>
      <c r="C2132" s="1" t="s">
        <v>1035</v>
      </c>
      <c r="D2132" s="1" t="s">
        <v>513</v>
      </c>
      <c r="E2132" s="1" t="s">
        <v>517</v>
      </c>
      <c r="F2132" s="1" t="s">
        <v>473</v>
      </c>
      <c r="G2132" s="1" t="s">
        <v>483</v>
      </c>
      <c r="H2132" s="1" t="n">
        <v>45.75</v>
      </c>
      <c r="I2132" s="1" t="str">
        <f aca="false">B2132&amp;"|"&amp;F2132&amp;"|"&amp;G2132</f>
        <v>Boat Storage Sheds|S|Good</v>
      </c>
      <c r="J2132" s="1" t="s">
        <v>1033</v>
      </c>
    </row>
    <row r="2133" customFormat="false" ht="12" hidden="false" customHeight="true" outlineLevel="0" collapsed="false">
      <c r="B2133" s="1" t="s">
        <v>1034</v>
      </c>
      <c r="C2133" s="1" t="s">
        <v>1035</v>
      </c>
      <c r="D2133" s="1" t="s">
        <v>513</v>
      </c>
      <c r="E2133" s="1" t="s">
        <v>517</v>
      </c>
      <c r="F2133" s="1" t="s">
        <v>473</v>
      </c>
      <c r="G2133" s="1" t="s">
        <v>279</v>
      </c>
      <c r="H2133" s="1" t="n">
        <v>31</v>
      </c>
      <c r="I2133" s="1" t="str">
        <f aca="false">B2133&amp;"|"&amp;F2133&amp;"|"&amp;G2133</f>
        <v>Boat Storage Sheds|S|Average</v>
      </c>
      <c r="J2133" s="1" t="s">
        <v>1033</v>
      </c>
    </row>
    <row r="2134" customFormat="false" ht="12" hidden="false" customHeight="true" outlineLevel="0" collapsed="false">
      <c r="B2134" s="1" t="s">
        <v>1034</v>
      </c>
      <c r="C2134" s="1" t="s">
        <v>1035</v>
      </c>
      <c r="D2134" s="1" t="s">
        <v>513</v>
      </c>
      <c r="E2134" s="1" t="s">
        <v>517</v>
      </c>
      <c r="F2134" s="1" t="s">
        <v>473</v>
      </c>
      <c r="G2134" s="1" t="s">
        <v>480</v>
      </c>
      <c r="H2134" s="1" t="n">
        <v>21.05</v>
      </c>
      <c r="I2134" s="1" t="str">
        <f aca="false">B2134&amp;"|"&amp;F2134&amp;"|"&amp;G2134</f>
        <v>Boat Storage Sheds|S|Low Cost</v>
      </c>
      <c r="J2134" s="1" t="s">
        <v>1033</v>
      </c>
    </row>
    <row r="2135" customFormat="false" ht="12" hidden="false" customHeight="true" outlineLevel="0" collapsed="false">
      <c r="B2135" s="1" t="s">
        <v>1036</v>
      </c>
      <c r="C2135" s="1" t="s">
        <v>1037</v>
      </c>
      <c r="D2135" s="1" t="s">
        <v>513</v>
      </c>
      <c r="E2135" s="1" t="s">
        <v>522</v>
      </c>
      <c r="F2135" s="1" t="s">
        <v>468</v>
      </c>
      <c r="G2135" s="1" t="s">
        <v>279</v>
      </c>
      <c r="H2135" s="1" t="n">
        <v>49.5</v>
      </c>
      <c r="I2135" s="1" t="str">
        <f aca="false">B2135&amp;"|"&amp;F2135&amp;"|"&amp;G2135</f>
        <v>Bag Fertilizer Storage|D|Average</v>
      </c>
      <c r="J2135" s="1" t="s">
        <v>1038</v>
      </c>
    </row>
    <row r="2136" customFormat="false" ht="12" hidden="false" customHeight="true" outlineLevel="0" collapsed="false">
      <c r="B2136" s="1" t="s">
        <v>1036</v>
      </c>
      <c r="C2136" s="1" t="s">
        <v>1037</v>
      </c>
      <c r="D2136" s="1" t="s">
        <v>513</v>
      </c>
      <c r="E2136" s="1" t="s">
        <v>522</v>
      </c>
      <c r="F2136" s="1" t="s">
        <v>566</v>
      </c>
      <c r="G2136" s="1" t="s">
        <v>279</v>
      </c>
      <c r="H2136" s="1" t="n">
        <v>47.25</v>
      </c>
      <c r="I2136" s="1" t="str">
        <f aca="false">B2136&amp;"|"&amp;F2136&amp;"|"&amp;G2136</f>
        <v>Bag Fertilizer Storage|DPOLE|Average</v>
      </c>
      <c r="J2136" s="1" t="s">
        <v>1038</v>
      </c>
    </row>
    <row r="2137" customFormat="false" ht="12" hidden="false" customHeight="true" outlineLevel="0" collapsed="false">
      <c r="B2137" s="1" t="s">
        <v>1036</v>
      </c>
      <c r="C2137" s="1" t="s">
        <v>1037</v>
      </c>
      <c r="D2137" s="1" t="s">
        <v>513</v>
      </c>
      <c r="E2137" s="1" t="s">
        <v>522</v>
      </c>
      <c r="F2137" s="1" t="s">
        <v>473</v>
      </c>
      <c r="G2137" s="1" t="s">
        <v>279</v>
      </c>
      <c r="H2137" s="1" t="n">
        <v>48.5</v>
      </c>
      <c r="I2137" s="1" t="str">
        <f aca="false">B2137&amp;"|"&amp;F2137&amp;"|"&amp;G2137</f>
        <v>Bag Fertilizer Storage|S|Average</v>
      </c>
      <c r="J2137" s="1" t="s">
        <v>1038</v>
      </c>
    </row>
    <row r="2138" customFormat="false" ht="12" hidden="false" customHeight="true" outlineLevel="0" collapsed="false">
      <c r="B2138" s="1" t="s">
        <v>1039</v>
      </c>
      <c r="C2138" s="1" t="s">
        <v>1040</v>
      </c>
      <c r="D2138" s="1" t="s">
        <v>513</v>
      </c>
      <c r="E2138" s="1" t="s">
        <v>522</v>
      </c>
      <c r="F2138" s="1" t="s">
        <v>463</v>
      </c>
      <c r="G2138" s="1" t="s">
        <v>279</v>
      </c>
      <c r="H2138" s="1" t="n">
        <v>61.5</v>
      </c>
      <c r="I2138" s="1" t="str">
        <f aca="false">B2138&amp;"|"&amp;F2138&amp;"|"&amp;G2138</f>
        <v>Bulk Fertilizer Storage|C|Average</v>
      </c>
      <c r="J2138" s="1" t="s">
        <v>1038</v>
      </c>
    </row>
    <row r="2139" customFormat="false" ht="12" hidden="false" customHeight="true" outlineLevel="0" collapsed="false">
      <c r="B2139" s="1" t="s">
        <v>1039</v>
      </c>
      <c r="C2139" s="1" t="s">
        <v>1040</v>
      </c>
      <c r="D2139" s="1" t="s">
        <v>513</v>
      </c>
      <c r="E2139" s="1" t="s">
        <v>522</v>
      </c>
      <c r="F2139" s="1" t="s">
        <v>468</v>
      </c>
      <c r="G2139" s="1" t="s">
        <v>279</v>
      </c>
      <c r="H2139" s="1" t="n">
        <v>57.5</v>
      </c>
      <c r="I2139" s="1" t="str">
        <f aca="false">B2139&amp;"|"&amp;F2139&amp;"|"&amp;G2139</f>
        <v>Bulk Fertilizer Storage|D|Average</v>
      </c>
      <c r="J2139" s="1" t="s">
        <v>1038</v>
      </c>
    </row>
    <row r="2140" customFormat="false" ht="12" hidden="false" customHeight="true" outlineLevel="0" collapsed="false">
      <c r="B2140" s="1" t="s">
        <v>1039</v>
      </c>
      <c r="C2140" s="1" t="s">
        <v>1040</v>
      </c>
      <c r="D2140" s="1" t="s">
        <v>513</v>
      </c>
      <c r="E2140" s="1" t="s">
        <v>522</v>
      </c>
      <c r="F2140" s="1" t="s">
        <v>566</v>
      </c>
      <c r="G2140" s="1" t="s">
        <v>279</v>
      </c>
      <c r="H2140" s="1" t="n">
        <v>54</v>
      </c>
      <c r="I2140" s="1" t="str">
        <f aca="false">B2140&amp;"|"&amp;F2140&amp;"|"&amp;G2140</f>
        <v>Bulk Fertilizer Storage|DPOLE|Average</v>
      </c>
      <c r="J2140" s="1" t="s">
        <v>1038</v>
      </c>
    </row>
    <row r="2141" customFormat="false" ht="12" hidden="false" customHeight="true" outlineLevel="0" collapsed="false">
      <c r="B2141" s="1" t="s">
        <v>1039</v>
      </c>
      <c r="C2141" s="1" t="s">
        <v>1040</v>
      </c>
      <c r="D2141" s="1" t="s">
        <v>513</v>
      </c>
      <c r="E2141" s="1" t="s">
        <v>522</v>
      </c>
      <c r="F2141" s="1" t="s">
        <v>473</v>
      </c>
      <c r="G2141" s="1" t="s">
        <v>279</v>
      </c>
      <c r="H2141" s="1" t="n">
        <v>57.5</v>
      </c>
      <c r="I2141" s="1" t="str">
        <f aca="false">B2141&amp;"|"&amp;F2141&amp;"|"&amp;G2141</f>
        <v>Bulk Fertilizer Storage|S|Average</v>
      </c>
      <c r="J2141" s="1" t="s">
        <v>1038</v>
      </c>
    </row>
    <row r="2142" customFormat="false" ht="12" hidden="false" customHeight="true" outlineLevel="0" collapsed="false">
      <c r="B2142" s="1" t="s">
        <v>1041</v>
      </c>
      <c r="C2142" s="1" t="s">
        <v>1042</v>
      </c>
      <c r="D2142" s="1" t="s">
        <v>513</v>
      </c>
      <c r="E2142" s="1" t="s">
        <v>522</v>
      </c>
      <c r="F2142" s="1" t="s">
        <v>463</v>
      </c>
      <c r="G2142" s="1" t="s">
        <v>279</v>
      </c>
      <c r="H2142" s="1" t="n">
        <v>43.5</v>
      </c>
      <c r="I2142" s="1" t="str">
        <f aca="false">B2142&amp;"|"&amp;F2142&amp;"|"&amp;G2142</f>
        <v>Tobacco Barns – Flue Curing|C|Average</v>
      </c>
      <c r="J2142" s="1" t="s">
        <v>1038</v>
      </c>
    </row>
    <row r="2143" customFormat="false" ht="12" hidden="false" customHeight="true" outlineLevel="0" collapsed="false">
      <c r="B2143" s="1" t="s">
        <v>1041</v>
      </c>
      <c r="C2143" s="1" t="s">
        <v>1042</v>
      </c>
      <c r="D2143" s="1" t="s">
        <v>513</v>
      </c>
      <c r="E2143" s="1" t="s">
        <v>522</v>
      </c>
      <c r="F2143" s="1" t="s">
        <v>468</v>
      </c>
      <c r="G2143" s="1" t="s">
        <v>279</v>
      </c>
      <c r="H2143" s="1" t="n">
        <v>38.75</v>
      </c>
      <c r="I2143" s="1" t="str">
        <f aca="false">B2143&amp;"|"&amp;F2143&amp;"|"&amp;G2143</f>
        <v>Tobacco Barns – Flue Curing|D|Average</v>
      </c>
      <c r="J2143" s="1" t="s">
        <v>1038</v>
      </c>
    </row>
    <row r="2144" customFormat="false" ht="12" hidden="false" customHeight="true" outlineLevel="0" collapsed="false">
      <c r="B2144" s="1" t="s">
        <v>1041</v>
      </c>
      <c r="C2144" s="1" t="s">
        <v>1042</v>
      </c>
      <c r="D2144" s="1" t="s">
        <v>513</v>
      </c>
      <c r="E2144" s="1" t="s">
        <v>522</v>
      </c>
      <c r="F2144" s="1" t="s">
        <v>566</v>
      </c>
      <c r="G2144" s="1" t="s">
        <v>279</v>
      </c>
      <c r="H2144" s="1" t="n">
        <v>34.75</v>
      </c>
      <c r="I2144" s="1" t="str">
        <f aca="false">B2144&amp;"|"&amp;F2144&amp;"|"&amp;G2144</f>
        <v>Tobacco Barns – Flue Curing|DPOLE|Average</v>
      </c>
      <c r="J2144" s="1" t="s">
        <v>1038</v>
      </c>
    </row>
    <row r="2145" customFormat="false" ht="12" hidden="false" customHeight="true" outlineLevel="0" collapsed="false">
      <c r="B2145" s="1" t="s">
        <v>1041</v>
      </c>
      <c r="C2145" s="1" t="s">
        <v>1042</v>
      </c>
      <c r="D2145" s="1" t="s">
        <v>513</v>
      </c>
      <c r="E2145" s="1" t="s">
        <v>522</v>
      </c>
      <c r="F2145" s="1" t="s">
        <v>473</v>
      </c>
      <c r="G2145" s="1" t="s">
        <v>279</v>
      </c>
      <c r="H2145" s="1" t="n">
        <v>38</v>
      </c>
      <c r="I2145" s="1" t="str">
        <f aca="false">B2145&amp;"|"&amp;F2145&amp;"|"&amp;G2145</f>
        <v>Tobacco Barns – Flue Curing|S|Average</v>
      </c>
      <c r="J2145" s="1" t="s">
        <v>1038</v>
      </c>
    </row>
    <row r="2146" customFormat="false" ht="12" hidden="false" customHeight="true" outlineLevel="0" collapsed="false">
      <c r="B2146" s="1" t="s">
        <v>1043</v>
      </c>
      <c r="C2146" s="1" t="s">
        <v>1044</v>
      </c>
      <c r="D2146" s="1" t="s">
        <v>513</v>
      </c>
      <c r="E2146" s="1" t="s">
        <v>522</v>
      </c>
      <c r="F2146" s="1" t="s">
        <v>468</v>
      </c>
      <c r="G2146" s="1" t="s">
        <v>279</v>
      </c>
      <c r="H2146" s="1" t="n">
        <v>36.75</v>
      </c>
      <c r="I2146" s="1" t="str">
        <f aca="false">B2146&amp;"|"&amp;F2146&amp;"|"&amp;G2146</f>
        <v>Tobacco Barns – Air Curing|D|Average</v>
      </c>
      <c r="J2146" s="1" t="s">
        <v>1038</v>
      </c>
    </row>
    <row r="2147" customFormat="false" ht="12" hidden="false" customHeight="true" outlineLevel="0" collapsed="false">
      <c r="B2147" s="1" t="s">
        <v>1043</v>
      </c>
      <c r="C2147" s="1" t="s">
        <v>1044</v>
      </c>
      <c r="D2147" s="1" t="s">
        <v>513</v>
      </c>
      <c r="E2147" s="1" t="s">
        <v>522</v>
      </c>
      <c r="F2147" s="1" t="s">
        <v>468</v>
      </c>
      <c r="G2147" s="1" t="s">
        <v>480</v>
      </c>
      <c r="H2147" s="1" t="n">
        <v>26.5</v>
      </c>
      <c r="I2147" s="1" t="str">
        <f aca="false">B2147&amp;"|"&amp;F2147&amp;"|"&amp;G2147</f>
        <v>Tobacco Barns – Air Curing|D|Low Cost</v>
      </c>
      <c r="J2147" s="1" t="s">
        <v>1038</v>
      </c>
    </row>
    <row r="2148" customFormat="false" ht="12" hidden="false" customHeight="true" outlineLevel="0" collapsed="false">
      <c r="B2148" s="1" t="s">
        <v>1045</v>
      </c>
      <c r="C2148" s="1" t="s">
        <v>1046</v>
      </c>
      <c r="D2148" s="1" t="s">
        <v>513</v>
      </c>
      <c r="E2148" s="1" t="s">
        <v>522</v>
      </c>
      <c r="F2148" s="1" t="s">
        <v>463</v>
      </c>
      <c r="G2148" s="1" t="s">
        <v>279</v>
      </c>
      <c r="H2148" s="1" t="n">
        <v>135</v>
      </c>
      <c r="I2148" s="1" t="str">
        <f aca="false">B2148&amp;"|"&amp;F2148&amp;"|"&amp;G2148</f>
        <v>Dehydrator Shed Buildings|C|Average</v>
      </c>
      <c r="J2148" s="1" t="s">
        <v>1038</v>
      </c>
    </row>
    <row r="2149" customFormat="false" ht="12" hidden="false" customHeight="true" outlineLevel="0" collapsed="false">
      <c r="B2149" s="1" t="s">
        <v>1047</v>
      </c>
      <c r="C2149" s="1" t="s">
        <v>1048</v>
      </c>
      <c r="D2149" s="1" t="s">
        <v>513</v>
      </c>
      <c r="E2149" s="1" t="s">
        <v>527</v>
      </c>
      <c r="F2149" s="1" t="s">
        <v>463</v>
      </c>
      <c r="G2149" s="1" t="s">
        <v>483</v>
      </c>
      <c r="H2149" s="1" t="n">
        <v>68.5</v>
      </c>
      <c r="I2149" s="1" t="str">
        <f aca="false">B2149&amp;"|"&amp;F2149&amp;"|"&amp;G2149</f>
        <v>Farm Cold Storage Buildings|C|Good</v>
      </c>
      <c r="J2149" s="1" t="s">
        <v>1049</v>
      </c>
    </row>
    <row r="2150" customFormat="false" ht="12" hidden="false" customHeight="true" outlineLevel="0" collapsed="false">
      <c r="B2150" s="1" t="s">
        <v>1047</v>
      </c>
      <c r="C2150" s="1" t="s">
        <v>1048</v>
      </c>
      <c r="D2150" s="1" t="s">
        <v>513</v>
      </c>
      <c r="E2150" s="1" t="s">
        <v>527</v>
      </c>
      <c r="F2150" s="1" t="s">
        <v>463</v>
      </c>
      <c r="G2150" s="1" t="s">
        <v>279</v>
      </c>
      <c r="H2150" s="1" t="n">
        <v>48.5</v>
      </c>
      <c r="I2150" s="1" t="str">
        <f aca="false">B2150&amp;"|"&amp;F2150&amp;"|"&amp;G2150</f>
        <v>Farm Cold Storage Buildings|C|Average</v>
      </c>
      <c r="J2150" s="1" t="s">
        <v>1049</v>
      </c>
    </row>
    <row r="2151" customFormat="false" ht="12" hidden="false" customHeight="true" outlineLevel="0" collapsed="false">
      <c r="B2151" s="1" t="s">
        <v>1047</v>
      </c>
      <c r="C2151" s="1" t="s">
        <v>1048</v>
      </c>
      <c r="D2151" s="1" t="s">
        <v>513</v>
      </c>
      <c r="E2151" s="1" t="s">
        <v>527</v>
      </c>
      <c r="F2151" s="1" t="s">
        <v>463</v>
      </c>
      <c r="G2151" s="1" t="s">
        <v>480</v>
      </c>
      <c r="H2151" s="1" t="n">
        <v>34.25</v>
      </c>
      <c r="I2151" s="1" t="str">
        <f aca="false">B2151&amp;"|"&amp;F2151&amp;"|"&amp;G2151</f>
        <v>Farm Cold Storage Buildings|C|Low Cost</v>
      </c>
      <c r="J2151" s="1" t="s">
        <v>1049</v>
      </c>
    </row>
    <row r="2152" customFormat="false" ht="12" hidden="false" customHeight="true" outlineLevel="0" collapsed="false">
      <c r="B2152" s="1" t="s">
        <v>1047</v>
      </c>
      <c r="C2152" s="1" t="s">
        <v>1048</v>
      </c>
      <c r="D2152" s="1" t="s">
        <v>513</v>
      </c>
      <c r="E2152" s="1" t="s">
        <v>527</v>
      </c>
      <c r="F2152" s="1" t="s">
        <v>468</v>
      </c>
      <c r="G2152" s="1" t="s">
        <v>483</v>
      </c>
      <c r="H2152" s="1" t="n">
        <v>64</v>
      </c>
      <c r="I2152" s="1" t="str">
        <f aca="false">B2152&amp;"|"&amp;F2152&amp;"|"&amp;G2152</f>
        <v>Farm Cold Storage Buildings|D|Good</v>
      </c>
      <c r="J2152" s="1" t="s">
        <v>1049</v>
      </c>
    </row>
    <row r="2153" customFormat="false" ht="12" hidden="false" customHeight="true" outlineLevel="0" collapsed="false">
      <c r="B2153" s="1" t="s">
        <v>1047</v>
      </c>
      <c r="C2153" s="1" t="s">
        <v>1048</v>
      </c>
      <c r="D2153" s="1" t="s">
        <v>513</v>
      </c>
      <c r="E2153" s="1" t="s">
        <v>527</v>
      </c>
      <c r="F2153" s="1" t="s">
        <v>468</v>
      </c>
      <c r="G2153" s="1" t="s">
        <v>279</v>
      </c>
      <c r="H2153" s="1" t="n">
        <v>44.25</v>
      </c>
      <c r="I2153" s="1" t="str">
        <f aca="false">B2153&amp;"|"&amp;F2153&amp;"|"&amp;G2153</f>
        <v>Farm Cold Storage Buildings|D|Average</v>
      </c>
      <c r="J2153" s="1" t="s">
        <v>1049</v>
      </c>
    </row>
    <row r="2154" customFormat="false" ht="12" hidden="false" customHeight="true" outlineLevel="0" collapsed="false">
      <c r="B2154" s="1" t="s">
        <v>1047</v>
      </c>
      <c r="C2154" s="1" t="s">
        <v>1048</v>
      </c>
      <c r="D2154" s="1" t="s">
        <v>513</v>
      </c>
      <c r="E2154" s="1" t="s">
        <v>527</v>
      </c>
      <c r="F2154" s="1" t="s">
        <v>468</v>
      </c>
      <c r="G2154" s="1" t="s">
        <v>480</v>
      </c>
      <c r="H2154" s="1" t="n">
        <v>30.75</v>
      </c>
      <c r="I2154" s="1" t="str">
        <f aca="false">B2154&amp;"|"&amp;F2154&amp;"|"&amp;G2154</f>
        <v>Farm Cold Storage Buildings|D|Low Cost</v>
      </c>
      <c r="J2154" s="1" t="s">
        <v>1049</v>
      </c>
    </row>
    <row r="2155" customFormat="false" ht="12" hidden="false" customHeight="true" outlineLevel="0" collapsed="false">
      <c r="B2155" s="1" t="s">
        <v>1047</v>
      </c>
      <c r="C2155" s="1" t="s">
        <v>1048</v>
      </c>
      <c r="D2155" s="1" t="s">
        <v>513</v>
      </c>
      <c r="E2155" s="1" t="s">
        <v>527</v>
      </c>
      <c r="F2155" s="1" t="s">
        <v>566</v>
      </c>
      <c r="G2155" s="1" t="s">
        <v>279</v>
      </c>
      <c r="H2155" s="1" t="n">
        <v>42</v>
      </c>
      <c r="I2155" s="1" t="str">
        <f aca="false">B2155&amp;"|"&amp;F2155&amp;"|"&amp;G2155</f>
        <v>Farm Cold Storage Buildings|DPOLE|Average</v>
      </c>
      <c r="J2155" s="1" t="s">
        <v>1049</v>
      </c>
    </row>
    <row r="2156" customFormat="false" ht="12" hidden="false" customHeight="true" outlineLevel="0" collapsed="false">
      <c r="B2156" s="1" t="s">
        <v>1047</v>
      </c>
      <c r="C2156" s="1" t="s">
        <v>1048</v>
      </c>
      <c r="D2156" s="1" t="s">
        <v>513</v>
      </c>
      <c r="E2156" s="1" t="s">
        <v>527</v>
      </c>
      <c r="F2156" s="1" t="s">
        <v>566</v>
      </c>
      <c r="G2156" s="1" t="s">
        <v>480</v>
      </c>
      <c r="H2156" s="1" t="n">
        <v>29.5</v>
      </c>
      <c r="I2156" s="1" t="str">
        <f aca="false">B2156&amp;"|"&amp;F2156&amp;"|"&amp;G2156</f>
        <v>Farm Cold Storage Buildings|DPOLE|Low Cost</v>
      </c>
      <c r="J2156" s="1" t="s">
        <v>1049</v>
      </c>
    </row>
    <row r="2157" customFormat="false" ht="12" hidden="false" customHeight="true" outlineLevel="0" collapsed="false">
      <c r="B2157" s="1" t="s">
        <v>1047</v>
      </c>
      <c r="C2157" s="1" t="s">
        <v>1048</v>
      </c>
      <c r="D2157" s="1" t="s">
        <v>513</v>
      </c>
      <c r="E2157" s="1" t="s">
        <v>527</v>
      </c>
      <c r="F2157" s="1" t="s">
        <v>473</v>
      </c>
      <c r="G2157" s="1" t="s">
        <v>483</v>
      </c>
      <c r="H2157" s="1" t="n">
        <v>64</v>
      </c>
      <c r="I2157" s="1" t="str">
        <f aca="false">B2157&amp;"|"&amp;F2157&amp;"|"&amp;G2157</f>
        <v>Farm Cold Storage Buildings|S|Good</v>
      </c>
      <c r="J2157" s="1" t="s">
        <v>1049</v>
      </c>
    </row>
    <row r="2158" customFormat="false" ht="12" hidden="false" customHeight="true" outlineLevel="0" collapsed="false">
      <c r="B2158" s="1" t="s">
        <v>1047</v>
      </c>
      <c r="C2158" s="1" t="s">
        <v>1048</v>
      </c>
      <c r="D2158" s="1" t="s">
        <v>513</v>
      </c>
      <c r="E2158" s="1" t="s">
        <v>527</v>
      </c>
      <c r="F2158" s="1" t="s">
        <v>473</v>
      </c>
      <c r="G2158" s="1" t="s">
        <v>279</v>
      </c>
      <c r="H2158" s="1" t="n">
        <v>44.75</v>
      </c>
      <c r="I2158" s="1" t="str">
        <f aca="false">B2158&amp;"|"&amp;F2158&amp;"|"&amp;G2158</f>
        <v>Farm Cold Storage Buildings|S|Average</v>
      </c>
      <c r="J2158" s="1" t="s">
        <v>1049</v>
      </c>
    </row>
    <row r="2159" customFormat="false" ht="12" hidden="false" customHeight="true" outlineLevel="0" collapsed="false">
      <c r="B2159" s="1" t="s">
        <v>1047</v>
      </c>
      <c r="C2159" s="1" t="s">
        <v>1048</v>
      </c>
      <c r="D2159" s="1" t="s">
        <v>513</v>
      </c>
      <c r="E2159" s="1" t="s">
        <v>527</v>
      </c>
      <c r="F2159" s="1" t="s">
        <v>473</v>
      </c>
      <c r="G2159" s="1" t="s">
        <v>480</v>
      </c>
      <c r="H2159" s="1" t="n">
        <v>31.5</v>
      </c>
      <c r="I2159" s="1" t="str">
        <f aca="false">B2159&amp;"|"&amp;F2159&amp;"|"&amp;G2159</f>
        <v>Farm Cold Storage Buildings|S|Low Cost</v>
      </c>
      <c r="J2159" s="1" t="s">
        <v>1049</v>
      </c>
    </row>
    <row r="2160" customFormat="false" ht="12" hidden="false" customHeight="true" outlineLevel="0" collapsed="false">
      <c r="B2160" s="1" t="s">
        <v>1050</v>
      </c>
      <c r="C2160" s="1" t="s">
        <v>1051</v>
      </c>
      <c r="D2160" s="1" t="s">
        <v>513</v>
      </c>
      <c r="E2160" s="1" t="s">
        <v>527</v>
      </c>
      <c r="F2160" s="1" t="s">
        <v>463</v>
      </c>
      <c r="G2160" s="1" t="s">
        <v>279</v>
      </c>
      <c r="H2160" s="1" t="n">
        <v>46.25</v>
      </c>
      <c r="I2160" s="1" t="str">
        <f aca="false">B2160&amp;"|"&amp;F2160&amp;"|"&amp;G2160</f>
        <v>Fruit Packing Barns|C|Average</v>
      </c>
      <c r="J2160" s="1" t="s">
        <v>1049</v>
      </c>
    </row>
    <row r="2161" customFormat="false" ht="12" hidden="false" customHeight="true" outlineLevel="0" collapsed="false">
      <c r="B2161" s="1" t="s">
        <v>1050</v>
      </c>
      <c r="C2161" s="1" t="s">
        <v>1051</v>
      </c>
      <c r="D2161" s="1" t="s">
        <v>513</v>
      </c>
      <c r="E2161" s="1" t="s">
        <v>527</v>
      </c>
      <c r="F2161" s="1" t="s">
        <v>468</v>
      </c>
      <c r="G2161" s="1" t="s">
        <v>279</v>
      </c>
      <c r="H2161" s="1" t="n">
        <v>42.5</v>
      </c>
      <c r="I2161" s="1" t="str">
        <f aca="false">B2161&amp;"|"&amp;F2161&amp;"|"&amp;G2161</f>
        <v>Fruit Packing Barns|D|Average</v>
      </c>
      <c r="J2161" s="1" t="s">
        <v>1049</v>
      </c>
    </row>
    <row r="2162" customFormat="false" ht="12" hidden="false" customHeight="true" outlineLevel="0" collapsed="false">
      <c r="B2162" s="1" t="s">
        <v>1050</v>
      </c>
      <c r="C2162" s="1" t="s">
        <v>1051</v>
      </c>
      <c r="D2162" s="1" t="s">
        <v>513</v>
      </c>
      <c r="E2162" s="1" t="s">
        <v>527</v>
      </c>
      <c r="F2162" s="1" t="s">
        <v>566</v>
      </c>
      <c r="G2162" s="1" t="s">
        <v>279</v>
      </c>
      <c r="H2162" s="1" t="n">
        <v>40</v>
      </c>
      <c r="I2162" s="1" t="str">
        <f aca="false">B2162&amp;"|"&amp;F2162&amp;"|"&amp;G2162</f>
        <v>Fruit Packing Barns|DPOLE|Average</v>
      </c>
      <c r="J2162" s="1" t="s">
        <v>1049</v>
      </c>
    </row>
    <row r="2163" customFormat="false" ht="12" hidden="false" customHeight="true" outlineLevel="0" collapsed="false">
      <c r="B2163" s="1" t="s">
        <v>1050</v>
      </c>
      <c r="C2163" s="1" t="s">
        <v>1051</v>
      </c>
      <c r="D2163" s="1" t="s">
        <v>513</v>
      </c>
      <c r="E2163" s="1" t="s">
        <v>527</v>
      </c>
      <c r="F2163" s="1" t="s">
        <v>473</v>
      </c>
      <c r="G2163" s="1" t="s">
        <v>279</v>
      </c>
      <c r="H2163" s="1" t="n">
        <v>43</v>
      </c>
      <c r="I2163" s="1" t="str">
        <f aca="false">B2163&amp;"|"&amp;F2163&amp;"|"&amp;G2163</f>
        <v>Fruit Packing Barns|S|Average</v>
      </c>
      <c r="J2163" s="1" t="s">
        <v>1049</v>
      </c>
    </row>
    <row r="2164" customFormat="false" ht="12" hidden="false" customHeight="true" outlineLevel="0" collapsed="false">
      <c r="B2164" s="1" t="s">
        <v>1052</v>
      </c>
      <c r="C2164" s="1" t="s">
        <v>1053</v>
      </c>
      <c r="D2164" s="1" t="s">
        <v>513</v>
      </c>
      <c r="E2164" s="1" t="s">
        <v>529</v>
      </c>
      <c r="F2164" s="1" t="s">
        <v>463</v>
      </c>
      <c r="G2164" s="1" t="s">
        <v>483</v>
      </c>
      <c r="H2164" s="1" t="n">
        <v>77</v>
      </c>
      <c r="I2164" s="1" t="str">
        <f aca="false">B2164&amp;"|"&amp;F2164&amp;"|"&amp;G2164</f>
        <v>Potato Storage Buildings|C|Good</v>
      </c>
      <c r="J2164" s="1" t="s">
        <v>1054</v>
      </c>
    </row>
    <row r="2165" customFormat="false" ht="12" hidden="false" customHeight="true" outlineLevel="0" collapsed="false">
      <c r="B2165" s="1" t="s">
        <v>1052</v>
      </c>
      <c r="C2165" s="1" t="s">
        <v>1053</v>
      </c>
      <c r="D2165" s="1" t="s">
        <v>513</v>
      </c>
      <c r="E2165" s="1" t="s">
        <v>529</v>
      </c>
      <c r="F2165" s="1" t="s">
        <v>463</v>
      </c>
      <c r="G2165" s="1" t="s">
        <v>279</v>
      </c>
      <c r="H2165" s="1" t="n">
        <v>51.5</v>
      </c>
      <c r="I2165" s="1" t="str">
        <f aca="false">B2165&amp;"|"&amp;F2165&amp;"|"&amp;G2165</f>
        <v>Potato Storage Buildings|C|Average</v>
      </c>
      <c r="J2165" s="1" t="s">
        <v>1054</v>
      </c>
    </row>
    <row r="2166" customFormat="false" ht="12" hidden="false" customHeight="true" outlineLevel="0" collapsed="false">
      <c r="B2166" s="1" t="s">
        <v>1052</v>
      </c>
      <c r="C2166" s="1" t="s">
        <v>1053</v>
      </c>
      <c r="D2166" s="1" t="s">
        <v>513</v>
      </c>
      <c r="E2166" s="1" t="s">
        <v>529</v>
      </c>
      <c r="F2166" s="1" t="s">
        <v>463</v>
      </c>
      <c r="G2166" s="1" t="s">
        <v>480</v>
      </c>
      <c r="H2166" s="1" t="n">
        <v>34.75</v>
      </c>
      <c r="I2166" s="1" t="str">
        <f aca="false">B2166&amp;"|"&amp;F2166&amp;"|"&amp;G2166</f>
        <v>Potato Storage Buildings|C|Low Cost</v>
      </c>
      <c r="J2166" s="1" t="s">
        <v>1054</v>
      </c>
    </row>
    <row r="2167" customFormat="false" ht="12" hidden="false" customHeight="true" outlineLevel="0" collapsed="false">
      <c r="B2167" s="1" t="s">
        <v>1052</v>
      </c>
      <c r="C2167" s="1" t="s">
        <v>1053</v>
      </c>
      <c r="D2167" s="1" t="s">
        <v>513</v>
      </c>
      <c r="E2167" s="1" t="s">
        <v>529</v>
      </c>
      <c r="F2167" s="1" t="s">
        <v>463</v>
      </c>
      <c r="G2167" s="1" t="s">
        <v>567</v>
      </c>
      <c r="H2167" s="1" t="n">
        <v>18.75</v>
      </c>
      <c r="I2167" s="1" t="str">
        <f aca="false">B2167&amp;"|"&amp;F2167&amp;"|"&amp;G2167</f>
        <v>Potato Storage Buildings|C|Cheap</v>
      </c>
      <c r="J2167" s="1" t="s">
        <v>1054</v>
      </c>
    </row>
    <row r="2168" customFormat="false" ht="12" hidden="false" customHeight="true" outlineLevel="0" collapsed="false">
      <c r="B2168" s="1" t="s">
        <v>1052</v>
      </c>
      <c r="C2168" s="1" t="s">
        <v>1053</v>
      </c>
      <c r="D2168" s="1" t="s">
        <v>513</v>
      </c>
      <c r="E2168" s="1" t="s">
        <v>529</v>
      </c>
      <c r="F2168" s="1" t="s">
        <v>468</v>
      </c>
      <c r="G2168" s="1" t="s">
        <v>483</v>
      </c>
      <c r="H2168" s="1" t="n">
        <v>73</v>
      </c>
      <c r="I2168" s="1" t="str">
        <f aca="false">B2168&amp;"|"&amp;F2168&amp;"|"&amp;G2168</f>
        <v>Potato Storage Buildings|D|Good</v>
      </c>
      <c r="J2168" s="1" t="s">
        <v>1054</v>
      </c>
    </row>
    <row r="2169" customFormat="false" ht="12" hidden="false" customHeight="true" outlineLevel="0" collapsed="false">
      <c r="B2169" s="1" t="s">
        <v>1052</v>
      </c>
      <c r="C2169" s="1" t="s">
        <v>1053</v>
      </c>
      <c r="D2169" s="1" t="s">
        <v>513</v>
      </c>
      <c r="E2169" s="1" t="s">
        <v>529</v>
      </c>
      <c r="F2169" s="1" t="s">
        <v>468</v>
      </c>
      <c r="G2169" s="1" t="s">
        <v>279</v>
      </c>
      <c r="H2169" s="1" t="n">
        <v>47</v>
      </c>
      <c r="I2169" s="1" t="str">
        <f aca="false">B2169&amp;"|"&amp;F2169&amp;"|"&amp;G2169</f>
        <v>Potato Storage Buildings|D|Average</v>
      </c>
      <c r="J2169" s="1" t="s">
        <v>1054</v>
      </c>
    </row>
    <row r="2170" customFormat="false" ht="12" hidden="false" customHeight="true" outlineLevel="0" collapsed="false">
      <c r="B2170" s="1" t="s">
        <v>1052</v>
      </c>
      <c r="C2170" s="1" t="s">
        <v>1053</v>
      </c>
      <c r="D2170" s="1" t="s">
        <v>513</v>
      </c>
      <c r="E2170" s="1" t="s">
        <v>529</v>
      </c>
      <c r="F2170" s="1" t="s">
        <v>468</v>
      </c>
      <c r="G2170" s="1" t="s">
        <v>480</v>
      </c>
      <c r="H2170" s="1" t="n">
        <v>30.5</v>
      </c>
      <c r="I2170" s="1" t="str">
        <f aca="false">B2170&amp;"|"&amp;F2170&amp;"|"&amp;G2170</f>
        <v>Potato Storage Buildings|D|Low Cost</v>
      </c>
      <c r="J2170" s="1" t="s">
        <v>1054</v>
      </c>
    </row>
    <row r="2171" customFormat="false" ht="12" hidden="false" customHeight="true" outlineLevel="0" collapsed="false">
      <c r="B2171" s="1" t="s">
        <v>1052</v>
      </c>
      <c r="C2171" s="1" t="s">
        <v>1053</v>
      </c>
      <c r="D2171" s="1" t="s">
        <v>513</v>
      </c>
      <c r="E2171" s="1" t="s">
        <v>529</v>
      </c>
      <c r="F2171" s="1" t="s">
        <v>468</v>
      </c>
      <c r="G2171" s="1" t="s">
        <v>567</v>
      </c>
      <c r="H2171" s="1" t="n">
        <v>15.2</v>
      </c>
      <c r="I2171" s="1" t="str">
        <f aca="false">B2171&amp;"|"&amp;F2171&amp;"|"&amp;G2171</f>
        <v>Potato Storage Buildings|D|Cheap</v>
      </c>
      <c r="J2171" s="1" t="s">
        <v>1054</v>
      </c>
    </row>
    <row r="2172" customFormat="false" ht="12" hidden="false" customHeight="true" outlineLevel="0" collapsed="false">
      <c r="B2172" s="1" t="s">
        <v>1052</v>
      </c>
      <c r="C2172" s="1" t="s">
        <v>1053</v>
      </c>
      <c r="D2172" s="1" t="s">
        <v>513</v>
      </c>
      <c r="E2172" s="1" t="s">
        <v>529</v>
      </c>
      <c r="F2172" s="1" t="s">
        <v>566</v>
      </c>
      <c r="G2172" s="1" t="s">
        <v>483</v>
      </c>
      <c r="H2172" s="1" t="n">
        <v>67</v>
      </c>
      <c r="I2172" s="1" t="str">
        <f aca="false">B2172&amp;"|"&amp;F2172&amp;"|"&amp;G2172</f>
        <v>Potato Storage Buildings|DPOLE|Good</v>
      </c>
      <c r="J2172" s="1" t="s">
        <v>1054</v>
      </c>
    </row>
    <row r="2173" customFormat="false" ht="12" hidden="false" customHeight="true" outlineLevel="0" collapsed="false">
      <c r="B2173" s="1" t="s">
        <v>1052</v>
      </c>
      <c r="C2173" s="1" t="s">
        <v>1053</v>
      </c>
      <c r="D2173" s="1" t="s">
        <v>513</v>
      </c>
      <c r="E2173" s="1" t="s">
        <v>529</v>
      </c>
      <c r="F2173" s="1" t="s">
        <v>566</v>
      </c>
      <c r="G2173" s="1" t="s">
        <v>279</v>
      </c>
      <c r="H2173" s="1" t="n">
        <v>43.25</v>
      </c>
      <c r="I2173" s="1" t="str">
        <f aca="false">B2173&amp;"|"&amp;F2173&amp;"|"&amp;G2173</f>
        <v>Potato Storage Buildings|DPOLE|Average</v>
      </c>
      <c r="J2173" s="1" t="s">
        <v>1054</v>
      </c>
    </row>
    <row r="2174" customFormat="false" ht="12" hidden="false" customHeight="true" outlineLevel="0" collapsed="false">
      <c r="B2174" s="1" t="s">
        <v>1052</v>
      </c>
      <c r="C2174" s="1" t="s">
        <v>1053</v>
      </c>
      <c r="D2174" s="1" t="s">
        <v>513</v>
      </c>
      <c r="E2174" s="1" t="s">
        <v>529</v>
      </c>
      <c r="F2174" s="1" t="s">
        <v>566</v>
      </c>
      <c r="G2174" s="1" t="s">
        <v>480</v>
      </c>
      <c r="H2174" s="1" t="n">
        <v>28</v>
      </c>
      <c r="I2174" s="1" t="str">
        <f aca="false">B2174&amp;"|"&amp;F2174&amp;"|"&amp;G2174</f>
        <v>Potato Storage Buildings|DPOLE|Low Cost</v>
      </c>
      <c r="J2174" s="1" t="s">
        <v>1054</v>
      </c>
    </row>
    <row r="2175" customFormat="false" ht="12" hidden="false" customHeight="true" outlineLevel="0" collapsed="false">
      <c r="B2175" s="1" t="s">
        <v>1052</v>
      </c>
      <c r="C2175" s="1" t="s">
        <v>1053</v>
      </c>
      <c r="D2175" s="1" t="s">
        <v>513</v>
      </c>
      <c r="E2175" s="1" t="s">
        <v>529</v>
      </c>
      <c r="F2175" s="1" t="s">
        <v>566</v>
      </c>
      <c r="G2175" s="1" t="s">
        <v>567</v>
      </c>
      <c r="H2175" s="1" t="n">
        <v>13.7</v>
      </c>
      <c r="I2175" s="1" t="str">
        <f aca="false">B2175&amp;"|"&amp;F2175&amp;"|"&amp;G2175</f>
        <v>Potato Storage Buildings|DPOLE|Cheap</v>
      </c>
      <c r="J2175" s="1" t="s">
        <v>1054</v>
      </c>
    </row>
    <row r="2176" customFormat="false" ht="12" hidden="false" customHeight="true" outlineLevel="0" collapsed="false">
      <c r="B2176" s="1" t="s">
        <v>1052</v>
      </c>
      <c r="C2176" s="1" t="s">
        <v>1053</v>
      </c>
      <c r="D2176" s="1" t="s">
        <v>513</v>
      </c>
      <c r="E2176" s="1" t="s">
        <v>529</v>
      </c>
      <c r="F2176" s="1" t="s">
        <v>473</v>
      </c>
      <c r="G2176" s="1" t="s">
        <v>483</v>
      </c>
      <c r="H2176" s="1" t="n">
        <v>71.5</v>
      </c>
      <c r="I2176" s="1" t="str">
        <f aca="false">B2176&amp;"|"&amp;F2176&amp;"|"&amp;G2176</f>
        <v>Potato Storage Buildings|S|Good</v>
      </c>
      <c r="J2176" s="1" t="s">
        <v>1054</v>
      </c>
    </row>
    <row r="2177" customFormat="false" ht="12" hidden="false" customHeight="true" outlineLevel="0" collapsed="false">
      <c r="B2177" s="1" t="s">
        <v>1052</v>
      </c>
      <c r="C2177" s="1" t="s">
        <v>1053</v>
      </c>
      <c r="D2177" s="1" t="s">
        <v>513</v>
      </c>
      <c r="E2177" s="1" t="s">
        <v>529</v>
      </c>
      <c r="F2177" s="1" t="s">
        <v>473</v>
      </c>
      <c r="G2177" s="1" t="s">
        <v>279</v>
      </c>
      <c r="H2177" s="1" t="n">
        <v>47.25</v>
      </c>
      <c r="I2177" s="1" t="str">
        <f aca="false">B2177&amp;"|"&amp;F2177&amp;"|"&amp;G2177</f>
        <v>Potato Storage Buildings|S|Average</v>
      </c>
      <c r="J2177" s="1" t="s">
        <v>1054</v>
      </c>
    </row>
    <row r="2178" customFormat="false" ht="12" hidden="false" customHeight="true" outlineLevel="0" collapsed="false">
      <c r="B2178" s="1" t="s">
        <v>1052</v>
      </c>
      <c r="C2178" s="1" t="s">
        <v>1053</v>
      </c>
      <c r="D2178" s="1" t="s">
        <v>513</v>
      </c>
      <c r="E2178" s="1" t="s">
        <v>529</v>
      </c>
      <c r="F2178" s="1" t="s">
        <v>473</v>
      </c>
      <c r="G2178" s="1" t="s">
        <v>480</v>
      </c>
      <c r="H2178" s="1" t="n">
        <v>31.5</v>
      </c>
      <c r="I2178" s="1" t="str">
        <f aca="false">B2178&amp;"|"&amp;F2178&amp;"|"&amp;G2178</f>
        <v>Potato Storage Buildings|S|Low Cost</v>
      </c>
      <c r="J2178" s="1" t="s">
        <v>1054</v>
      </c>
    </row>
    <row r="2179" customFormat="false" ht="12" hidden="false" customHeight="true" outlineLevel="0" collapsed="false">
      <c r="B2179" s="1" t="s">
        <v>1055</v>
      </c>
      <c r="C2179" s="1" t="s">
        <v>1056</v>
      </c>
      <c r="D2179" s="1" t="s">
        <v>513</v>
      </c>
      <c r="E2179" s="1" t="s">
        <v>529</v>
      </c>
      <c r="F2179" s="1" t="s">
        <v>988</v>
      </c>
      <c r="G2179" s="1" t="s">
        <v>483</v>
      </c>
      <c r="H2179" s="1" t="n">
        <v>69.5</v>
      </c>
      <c r="I2179" s="1" t="str">
        <f aca="false">B2179&amp;"|"&amp;F2179&amp;"|"&amp;G2179</f>
        <v>Vegetable Buildings – Environmental|SSLANT|Good</v>
      </c>
      <c r="J2179" s="1" t="s">
        <v>1054</v>
      </c>
    </row>
    <row r="2180" customFormat="false" ht="12" hidden="false" customHeight="true" outlineLevel="0" collapsed="false">
      <c r="B2180" s="1" t="s">
        <v>1055</v>
      </c>
      <c r="C2180" s="1" t="s">
        <v>1056</v>
      </c>
      <c r="D2180" s="1" t="s">
        <v>513</v>
      </c>
      <c r="E2180" s="1" t="s">
        <v>529</v>
      </c>
      <c r="F2180" s="1" t="s">
        <v>988</v>
      </c>
      <c r="G2180" s="1" t="s">
        <v>555</v>
      </c>
      <c r="H2180" s="1" t="n">
        <v>49.5</v>
      </c>
      <c r="I2180" s="1" t="str">
        <f aca="false">B2180&amp;"|"&amp;F2180&amp;"|"&amp;G2180</f>
        <v>Vegetable Buildings – Environmental|SSLANT|Fair</v>
      </c>
      <c r="J2180" s="1" t="s">
        <v>1054</v>
      </c>
    </row>
    <row r="2181" customFormat="false" ht="12" hidden="false" customHeight="true" outlineLevel="0" collapsed="false">
      <c r="B2181" s="1" t="s">
        <v>1055</v>
      </c>
      <c r="C2181" s="1" t="s">
        <v>1056</v>
      </c>
      <c r="D2181" s="1" t="s">
        <v>513</v>
      </c>
      <c r="E2181" s="1" t="s">
        <v>529</v>
      </c>
      <c r="F2181" s="1" t="s">
        <v>988</v>
      </c>
      <c r="G2181" s="1" t="s">
        <v>480</v>
      </c>
      <c r="H2181" s="1" t="n">
        <v>44.25</v>
      </c>
      <c r="I2181" s="1" t="str">
        <f aca="false">B2181&amp;"|"&amp;F2181&amp;"|"&amp;G2181</f>
        <v>Vegetable Buildings – Environmental|SSLANT|Low Cost</v>
      </c>
      <c r="J2181" s="1" t="s">
        <v>1054</v>
      </c>
    </row>
    <row r="2182" customFormat="false" ht="12" hidden="false" customHeight="true" outlineLevel="0" collapsed="false">
      <c r="B2182" s="1" t="s">
        <v>1057</v>
      </c>
      <c r="C2182" s="1" t="s">
        <v>1058</v>
      </c>
      <c r="D2182" s="1" t="s">
        <v>513</v>
      </c>
      <c r="E2182" s="1" t="s">
        <v>529</v>
      </c>
      <c r="F2182" s="1" t="s">
        <v>463</v>
      </c>
      <c r="G2182" s="1" t="s">
        <v>279</v>
      </c>
      <c r="H2182" s="1" t="n">
        <v>59</v>
      </c>
      <c r="I2182" s="1" t="str">
        <f aca="false">B2182&amp;"|"&amp;F2182&amp;"|"&amp;G2182</f>
        <v>Controlled Atmosphere Buildings|C|Average</v>
      </c>
      <c r="J2182" s="1" t="s">
        <v>1054</v>
      </c>
    </row>
    <row r="2183" customFormat="false" ht="12" hidden="false" customHeight="true" outlineLevel="0" collapsed="false">
      <c r="B2183" s="1" t="s">
        <v>1057</v>
      </c>
      <c r="C2183" s="1" t="s">
        <v>1058</v>
      </c>
      <c r="D2183" s="1" t="s">
        <v>513</v>
      </c>
      <c r="E2183" s="1" t="s">
        <v>529</v>
      </c>
      <c r="F2183" s="1" t="s">
        <v>468</v>
      </c>
      <c r="G2183" s="1" t="s">
        <v>279</v>
      </c>
      <c r="H2183" s="1" t="n">
        <v>55</v>
      </c>
      <c r="I2183" s="1" t="str">
        <f aca="false">B2183&amp;"|"&amp;F2183&amp;"|"&amp;G2183</f>
        <v>Controlled Atmosphere Buildings|D|Average</v>
      </c>
      <c r="J2183" s="1" t="s">
        <v>1054</v>
      </c>
    </row>
    <row r="2184" customFormat="false" ht="12" hidden="false" customHeight="true" outlineLevel="0" collapsed="false">
      <c r="B2184" s="1" t="s">
        <v>1057</v>
      </c>
      <c r="C2184" s="1" t="s">
        <v>1058</v>
      </c>
      <c r="D2184" s="1" t="s">
        <v>513</v>
      </c>
      <c r="E2184" s="1" t="s">
        <v>529</v>
      </c>
      <c r="F2184" s="1" t="s">
        <v>566</v>
      </c>
      <c r="G2184" s="1" t="s">
        <v>279</v>
      </c>
      <c r="H2184" s="1" t="n">
        <v>52.5</v>
      </c>
      <c r="I2184" s="1" t="str">
        <f aca="false">B2184&amp;"|"&amp;F2184&amp;"|"&amp;G2184</f>
        <v>Controlled Atmosphere Buildings|DPOLE|Average</v>
      </c>
      <c r="J2184" s="1" t="s">
        <v>1054</v>
      </c>
    </row>
    <row r="2185" customFormat="false" ht="12" hidden="false" customHeight="true" outlineLevel="0" collapsed="false">
      <c r="B2185" s="1" t="s">
        <v>1057</v>
      </c>
      <c r="C2185" s="1" t="s">
        <v>1058</v>
      </c>
      <c r="D2185" s="1" t="s">
        <v>513</v>
      </c>
      <c r="E2185" s="1" t="s">
        <v>529</v>
      </c>
      <c r="F2185" s="1" t="s">
        <v>473</v>
      </c>
      <c r="G2185" s="1" t="s">
        <v>279</v>
      </c>
      <c r="H2185" s="1" t="n">
        <v>56</v>
      </c>
      <c r="I2185" s="1" t="str">
        <f aca="false">B2185&amp;"|"&amp;F2185&amp;"|"&amp;G2185</f>
        <v>Controlled Atmosphere Buildings|S|Average</v>
      </c>
      <c r="J2185" s="1" t="s">
        <v>1054</v>
      </c>
    </row>
    <row r="2186" customFormat="false" ht="12" hidden="false" customHeight="true" outlineLevel="0" collapsed="false">
      <c r="B2186" s="1" t="s">
        <v>1059</v>
      </c>
      <c r="C2186" s="1" t="s">
        <v>1060</v>
      </c>
      <c r="D2186" s="1" t="s">
        <v>513</v>
      </c>
      <c r="E2186" s="1" t="s">
        <v>533</v>
      </c>
      <c r="F2186" s="1" t="s">
        <v>468</v>
      </c>
      <c r="G2186" s="1" t="s">
        <v>279</v>
      </c>
      <c r="H2186" s="1" t="n">
        <v>14.7</v>
      </c>
      <c r="I2186" s="1" t="str">
        <f aca="false">B2186&amp;"|"&amp;F2186&amp;"|"&amp;G2186</f>
        <v>Greenhouse – Straight-Wall Structures|D|Average</v>
      </c>
      <c r="J2186" s="1" t="s">
        <v>1061</v>
      </c>
    </row>
    <row r="2187" customFormat="false" ht="12" hidden="false" customHeight="true" outlineLevel="0" collapsed="false">
      <c r="B2187" s="1" t="s">
        <v>1059</v>
      </c>
      <c r="C2187" s="1" t="s">
        <v>1060</v>
      </c>
      <c r="D2187" s="1" t="s">
        <v>513</v>
      </c>
      <c r="E2187" s="1" t="s">
        <v>533</v>
      </c>
      <c r="F2187" s="1" t="s">
        <v>468</v>
      </c>
      <c r="G2187" s="1" t="s">
        <v>555</v>
      </c>
      <c r="H2187" s="1" t="n">
        <v>9.58</v>
      </c>
      <c r="I2187" s="1" t="str">
        <f aca="false">B2187&amp;"|"&amp;F2187&amp;"|"&amp;G2187</f>
        <v>Greenhouse – Straight-Wall Structures|D|Fair</v>
      </c>
      <c r="J2187" s="1" t="s">
        <v>1061</v>
      </c>
    </row>
    <row r="2188" customFormat="false" ht="12" hidden="false" customHeight="true" outlineLevel="0" collapsed="false">
      <c r="B2188" s="1" t="s">
        <v>1059</v>
      </c>
      <c r="C2188" s="1" t="s">
        <v>1060</v>
      </c>
      <c r="D2188" s="1" t="s">
        <v>513</v>
      </c>
      <c r="E2188" s="1" t="s">
        <v>533</v>
      </c>
      <c r="F2188" s="1" t="s">
        <v>468</v>
      </c>
      <c r="G2188" s="1" t="s">
        <v>480</v>
      </c>
      <c r="H2188" s="1" t="n">
        <v>6.24</v>
      </c>
      <c r="I2188" s="1" t="str">
        <f aca="false">B2188&amp;"|"&amp;F2188&amp;"|"&amp;G2188</f>
        <v>Greenhouse – Straight-Wall Structures|D|Low Cost</v>
      </c>
      <c r="J2188" s="1" t="s">
        <v>1061</v>
      </c>
    </row>
    <row r="2189" customFormat="false" ht="12" hidden="false" customHeight="true" outlineLevel="0" collapsed="false">
      <c r="B2189" s="1" t="s">
        <v>1059</v>
      </c>
      <c r="C2189" s="1" t="s">
        <v>1060</v>
      </c>
      <c r="D2189" s="1" t="s">
        <v>513</v>
      </c>
      <c r="E2189" s="1" t="s">
        <v>533</v>
      </c>
      <c r="F2189" s="1" t="s">
        <v>468</v>
      </c>
      <c r="G2189" s="1" t="s">
        <v>567</v>
      </c>
      <c r="H2189" s="1" t="n">
        <v>5.54</v>
      </c>
      <c r="I2189" s="1" t="str">
        <f aca="false">B2189&amp;"|"&amp;F2189&amp;"|"&amp;G2189</f>
        <v>Greenhouse – Straight-Wall Structures|D|Cheap</v>
      </c>
      <c r="J2189" s="1" t="s">
        <v>1061</v>
      </c>
    </row>
    <row r="2190" customFormat="false" ht="12" hidden="false" customHeight="true" outlineLevel="0" collapsed="false">
      <c r="B2190" s="1" t="s">
        <v>1059</v>
      </c>
      <c r="C2190" s="1" t="s">
        <v>1060</v>
      </c>
      <c r="D2190" s="1" t="s">
        <v>513</v>
      </c>
      <c r="E2190" s="1" t="s">
        <v>533</v>
      </c>
      <c r="F2190" s="1" t="s">
        <v>473</v>
      </c>
      <c r="G2190" s="1" t="s">
        <v>485</v>
      </c>
      <c r="H2190" s="1" t="n">
        <v>46</v>
      </c>
      <c r="I2190" s="1" t="str">
        <f aca="false">B2190&amp;"|"&amp;F2190&amp;"|"&amp;G2190</f>
        <v>Greenhouse – Straight-Wall Structures|S|Excellent</v>
      </c>
      <c r="J2190" s="1" t="s">
        <v>1061</v>
      </c>
    </row>
    <row r="2191" customFormat="false" ht="12" hidden="false" customHeight="true" outlineLevel="0" collapsed="false">
      <c r="B2191" s="1" t="s">
        <v>1059</v>
      </c>
      <c r="C2191" s="1" t="s">
        <v>1060</v>
      </c>
      <c r="D2191" s="1" t="s">
        <v>513</v>
      </c>
      <c r="E2191" s="1" t="s">
        <v>533</v>
      </c>
      <c r="F2191" s="1" t="s">
        <v>473</v>
      </c>
      <c r="G2191" s="1" t="s">
        <v>503</v>
      </c>
      <c r="H2191" s="1" t="n">
        <v>38</v>
      </c>
      <c r="I2191" s="1" t="str">
        <f aca="false">B2191&amp;"|"&amp;F2191&amp;"|"&amp;G2191</f>
        <v>Greenhouse – Straight-Wall Structures|S|Very Good</v>
      </c>
      <c r="J2191" s="1" t="s">
        <v>1061</v>
      </c>
    </row>
    <row r="2192" customFormat="false" ht="12" hidden="false" customHeight="true" outlineLevel="0" collapsed="false">
      <c r="B2192" s="1" t="s">
        <v>1059</v>
      </c>
      <c r="C2192" s="1" t="s">
        <v>1060</v>
      </c>
      <c r="D2192" s="1" t="s">
        <v>513</v>
      </c>
      <c r="E2192" s="1" t="s">
        <v>533</v>
      </c>
      <c r="F2192" s="1" t="s">
        <v>473</v>
      </c>
      <c r="G2192" s="1" t="s">
        <v>483</v>
      </c>
      <c r="H2192" s="1" t="n">
        <v>31.25</v>
      </c>
      <c r="I2192" s="1" t="str">
        <f aca="false">B2192&amp;"|"&amp;F2192&amp;"|"&amp;G2192</f>
        <v>Greenhouse – Straight-Wall Structures|S|Good</v>
      </c>
      <c r="J2192" s="1" t="s">
        <v>1061</v>
      </c>
    </row>
    <row r="2193" customFormat="false" ht="12" hidden="false" customHeight="true" outlineLevel="0" collapsed="false">
      <c r="B2193" s="1" t="s">
        <v>1059</v>
      </c>
      <c r="C2193" s="1" t="s">
        <v>1060</v>
      </c>
      <c r="D2193" s="1" t="s">
        <v>513</v>
      </c>
      <c r="E2193" s="1" t="s">
        <v>533</v>
      </c>
      <c r="F2193" s="1" t="s">
        <v>473</v>
      </c>
      <c r="G2193" s="1" t="s">
        <v>279</v>
      </c>
      <c r="H2193" s="1" t="n">
        <v>14.55</v>
      </c>
      <c r="I2193" s="1" t="str">
        <f aca="false">B2193&amp;"|"&amp;F2193&amp;"|"&amp;G2193</f>
        <v>Greenhouse – Straight-Wall Structures|S|Average</v>
      </c>
      <c r="J2193" s="1" t="s">
        <v>1061</v>
      </c>
    </row>
    <row r="2194" customFormat="false" ht="12" hidden="false" customHeight="true" outlineLevel="0" collapsed="false">
      <c r="B2194" s="1" t="s">
        <v>1059</v>
      </c>
      <c r="C2194" s="1" t="s">
        <v>1060</v>
      </c>
      <c r="D2194" s="1" t="s">
        <v>513</v>
      </c>
      <c r="E2194" s="1" t="s">
        <v>533</v>
      </c>
      <c r="F2194" s="1" t="s">
        <v>473</v>
      </c>
      <c r="G2194" s="1" t="s">
        <v>555</v>
      </c>
      <c r="H2194" s="1" t="n">
        <v>9.92</v>
      </c>
      <c r="I2194" s="1" t="str">
        <f aca="false">B2194&amp;"|"&amp;F2194&amp;"|"&amp;G2194</f>
        <v>Greenhouse – Straight-Wall Structures|S|Fair</v>
      </c>
      <c r="J2194" s="1" t="s">
        <v>1061</v>
      </c>
    </row>
    <row r="2195" customFormat="false" ht="12" hidden="false" customHeight="true" outlineLevel="0" collapsed="false">
      <c r="B2195" s="1" t="s">
        <v>1059</v>
      </c>
      <c r="C2195" s="1" t="s">
        <v>1060</v>
      </c>
      <c r="D2195" s="1" t="s">
        <v>513</v>
      </c>
      <c r="E2195" s="1" t="s">
        <v>533</v>
      </c>
      <c r="F2195" s="1" t="s">
        <v>473</v>
      </c>
      <c r="G2195" s="1" t="s">
        <v>480</v>
      </c>
      <c r="H2195" s="1" t="n">
        <v>6.76</v>
      </c>
      <c r="I2195" s="1" t="str">
        <f aca="false">B2195&amp;"|"&amp;F2195&amp;"|"&amp;G2195</f>
        <v>Greenhouse – Straight-Wall Structures|S|Low Cost</v>
      </c>
      <c r="J2195" s="1" t="s">
        <v>1061</v>
      </c>
    </row>
    <row r="2196" customFormat="false" ht="12" hidden="false" customHeight="true" outlineLevel="0" collapsed="false">
      <c r="B2196" s="1" t="s">
        <v>1059</v>
      </c>
      <c r="C2196" s="1" t="s">
        <v>1060</v>
      </c>
      <c r="D2196" s="1" t="s">
        <v>513</v>
      </c>
      <c r="E2196" s="1" t="s">
        <v>533</v>
      </c>
      <c r="F2196" s="1" t="s">
        <v>473</v>
      </c>
      <c r="G2196" s="1" t="s">
        <v>567</v>
      </c>
      <c r="H2196" s="1" t="n">
        <v>6.01</v>
      </c>
      <c r="I2196" s="1" t="str">
        <f aca="false">B2196&amp;"|"&amp;F2196&amp;"|"&amp;G2196</f>
        <v>Greenhouse – Straight-Wall Structures|S|Cheap</v>
      </c>
      <c r="J2196" s="1" t="s">
        <v>1061</v>
      </c>
    </row>
    <row r="2197" customFormat="false" ht="12" hidden="false" customHeight="true" outlineLevel="0" collapsed="false">
      <c r="B2197" s="1" t="s">
        <v>1062</v>
      </c>
      <c r="C2197" s="1" t="s">
        <v>1063</v>
      </c>
      <c r="D2197" s="1" t="s">
        <v>513</v>
      </c>
      <c r="E2197" s="1" t="s">
        <v>533</v>
      </c>
      <c r="F2197" s="1" t="s">
        <v>468</v>
      </c>
      <c r="G2197" s="1" t="s">
        <v>480</v>
      </c>
      <c r="H2197" s="1" t="n">
        <v>5.81</v>
      </c>
      <c r="I2197" s="1" t="str">
        <f aca="false">B2197&amp;"|"&amp;F2197&amp;"|"&amp;G2197</f>
        <v>Greenhouse – Hoop (Arch-Rib/Quonset) Structures|D|Low Cost</v>
      </c>
      <c r="J2197" s="1" t="s">
        <v>1061</v>
      </c>
    </row>
    <row r="2198" customFormat="false" ht="12" hidden="false" customHeight="true" outlineLevel="0" collapsed="false">
      <c r="B2198" s="1" t="s">
        <v>1062</v>
      </c>
      <c r="C2198" s="1" t="s">
        <v>1063</v>
      </c>
      <c r="D2198" s="1" t="s">
        <v>513</v>
      </c>
      <c r="E2198" s="1" t="s">
        <v>533</v>
      </c>
      <c r="F2198" s="1" t="s">
        <v>473</v>
      </c>
      <c r="G2198" s="1" t="s">
        <v>503</v>
      </c>
      <c r="H2198" s="1" t="n">
        <v>26.5</v>
      </c>
      <c r="I2198" s="1" t="str">
        <f aca="false">B2198&amp;"|"&amp;F2198&amp;"|"&amp;G2198</f>
        <v>Greenhouse – Hoop (Arch-Rib/Quonset) Structures|S|Very Good</v>
      </c>
      <c r="J2198" s="1" t="s">
        <v>1061</v>
      </c>
    </row>
    <row r="2199" customFormat="false" ht="12" hidden="false" customHeight="true" outlineLevel="0" collapsed="false">
      <c r="B2199" s="1" t="s">
        <v>1062</v>
      </c>
      <c r="C2199" s="1" t="s">
        <v>1063</v>
      </c>
      <c r="D2199" s="1" t="s">
        <v>513</v>
      </c>
      <c r="E2199" s="1" t="s">
        <v>533</v>
      </c>
      <c r="F2199" s="1" t="s">
        <v>473</v>
      </c>
      <c r="G2199" s="1" t="s">
        <v>483</v>
      </c>
      <c r="H2199" s="1" t="n">
        <v>21.95</v>
      </c>
      <c r="I2199" s="1" t="str">
        <f aca="false">B2199&amp;"|"&amp;F2199&amp;"|"&amp;G2199</f>
        <v>Greenhouse – Hoop (Arch-Rib/Quonset) Structures|S|Good</v>
      </c>
      <c r="J2199" s="1" t="s">
        <v>1061</v>
      </c>
    </row>
    <row r="2200" customFormat="false" ht="12" hidden="false" customHeight="true" outlineLevel="0" collapsed="false">
      <c r="B2200" s="1" t="s">
        <v>1062</v>
      </c>
      <c r="C2200" s="1" t="s">
        <v>1063</v>
      </c>
      <c r="D2200" s="1" t="s">
        <v>513</v>
      </c>
      <c r="E2200" s="1" t="s">
        <v>533</v>
      </c>
      <c r="F2200" s="1" t="s">
        <v>473</v>
      </c>
      <c r="G2200" s="1" t="s">
        <v>279</v>
      </c>
      <c r="H2200" s="1" t="n">
        <v>10.35</v>
      </c>
      <c r="I2200" s="1" t="str">
        <f aca="false">B2200&amp;"|"&amp;F2200&amp;"|"&amp;G2200</f>
        <v>Greenhouse – Hoop (Arch-Rib/Quonset) Structures|S|Average</v>
      </c>
      <c r="J2200" s="1" t="s">
        <v>1061</v>
      </c>
    </row>
    <row r="2201" customFormat="false" ht="12" hidden="false" customHeight="true" outlineLevel="0" collapsed="false">
      <c r="B2201" s="1" t="s">
        <v>1062</v>
      </c>
      <c r="C2201" s="1" t="s">
        <v>1063</v>
      </c>
      <c r="D2201" s="1" t="s">
        <v>513</v>
      </c>
      <c r="E2201" s="1" t="s">
        <v>533</v>
      </c>
      <c r="F2201" s="1" t="s">
        <v>473</v>
      </c>
      <c r="G2201" s="1" t="s">
        <v>555</v>
      </c>
      <c r="H2201" s="1" t="n">
        <v>7.09</v>
      </c>
      <c r="I2201" s="1" t="str">
        <f aca="false">B2201&amp;"|"&amp;F2201&amp;"|"&amp;G2201</f>
        <v>Greenhouse – Hoop (Arch-Rib/Quonset) Structures|S|Fair</v>
      </c>
      <c r="J2201" s="1" t="s">
        <v>1061</v>
      </c>
    </row>
    <row r="2202" customFormat="false" ht="12" hidden="false" customHeight="true" outlineLevel="0" collapsed="false">
      <c r="B2202" s="1" t="s">
        <v>1062</v>
      </c>
      <c r="C2202" s="1" t="s">
        <v>1063</v>
      </c>
      <c r="D2202" s="1" t="s">
        <v>513</v>
      </c>
      <c r="E2202" s="1" t="s">
        <v>533</v>
      </c>
      <c r="F2202" s="1" t="s">
        <v>473</v>
      </c>
      <c r="G2202" s="1" t="s">
        <v>480</v>
      </c>
      <c r="H2202" s="1" t="n">
        <v>4.88</v>
      </c>
      <c r="I2202" s="1" t="str">
        <f aca="false">B2202&amp;"|"&amp;F2202&amp;"|"&amp;G2202</f>
        <v>Greenhouse – Hoop (Arch-Rib/Quonset) Structures|S|Low Cost</v>
      </c>
      <c r="J2202" s="1" t="s">
        <v>1061</v>
      </c>
    </row>
    <row r="2203" customFormat="false" ht="12" hidden="false" customHeight="true" outlineLevel="0" collapsed="false">
      <c r="B2203" s="1" t="s">
        <v>1062</v>
      </c>
      <c r="C2203" s="1" t="s">
        <v>1063</v>
      </c>
      <c r="D2203" s="1" t="s">
        <v>513</v>
      </c>
      <c r="E2203" s="1" t="s">
        <v>533</v>
      </c>
      <c r="F2203" s="1" t="s">
        <v>473</v>
      </c>
      <c r="G2203" s="1" t="s">
        <v>567</v>
      </c>
      <c r="H2203" s="1" t="n">
        <v>4.33</v>
      </c>
      <c r="I2203" s="1" t="str">
        <f aca="false">B2203&amp;"|"&amp;F2203&amp;"|"&amp;G2203</f>
        <v>Greenhouse – Hoop (Arch-Rib/Quonset) Structures|S|Cheap</v>
      </c>
      <c r="J2203" s="1" t="s">
        <v>1061</v>
      </c>
    </row>
    <row r="2204" customFormat="false" ht="12" hidden="false" customHeight="true" outlineLevel="0" collapsed="false">
      <c r="B2204" s="1" t="s">
        <v>1064</v>
      </c>
      <c r="C2204" s="1" t="s">
        <v>1065</v>
      </c>
      <c r="D2204" s="1" t="s">
        <v>513</v>
      </c>
      <c r="E2204" s="1" t="s">
        <v>537</v>
      </c>
      <c r="F2204" s="1" t="s">
        <v>468</v>
      </c>
      <c r="G2204" s="1" t="s">
        <v>279</v>
      </c>
      <c r="H2204" s="1" t="n">
        <v>3.39</v>
      </c>
      <c r="I2204" s="1" t="str">
        <f aca="false">B2204&amp;"|"&amp;F2204&amp;"|"&amp;G2204</f>
        <v>Greenhouse Shade Shelters|D|Average</v>
      </c>
      <c r="J2204" s="1" t="s">
        <v>1066</v>
      </c>
    </row>
    <row r="2205" customFormat="false" ht="12" hidden="false" customHeight="true" outlineLevel="0" collapsed="false">
      <c r="B2205" s="1" t="s">
        <v>1064</v>
      </c>
      <c r="C2205" s="1" t="s">
        <v>1065</v>
      </c>
      <c r="D2205" s="1" t="s">
        <v>513</v>
      </c>
      <c r="E2205" s="1" t="s">
        <v>537</v>
      </c>
      <c r="F2205" s="1" t="s">
        <v>468</v>
      </c>
      <c r="G2205" s="1" t="s">
        <v>480</v>
      </c>
      <c r="H2205" s="1" t="n">
        <v>2.49</v>
      </c>
      <c r="I2205" s="1" t="str">
        <f aca="false">B2205&amp;"|"&amp;F2205&amp;"|"&amp;G2205</f>
        <v>Greenhouse Shade Shelters|D|Low Cost</v>
      </c>
      <c r="J2205" s="1" t="s">
        <v>1066</v>
      </c>
    </row>
    <row r="2206" customFormat="false" ht="12" hidden="false" customHeight="true" outlineLevel="0" collapsed="false">
      <c r="B2206" s="1" t="s">
        <v>1064</v>
      </c>
      <c r="C2206" s="1" t="s">
        <v>1065</v>
      </c>
      <c r="D2206" s="1" t="s">
        <v>513</v>
      </c>
      <c r="E2206" s="1" t="s">
        <v>537</v>
      </c>
      <c r="F2206" s="1" t="s">
        <v>473</v>
      </c>
      <c r="G2206" s="1" t="s">
        <v>279</v>
      </c>
      <c r="H2206" s="1" t="n">
        <v>3.7</v>
      </c>
      <c r="I2206" s="1" t="str">
        <f aca="false">B2206&amp;"|"&amp;F2206&amp;"|"&amp;G2206</f>
        <v>Greenhouse Shade Shelters|S|Average</v>
      </c>
      <c r="J2206" s="1" t="s">
        <v>1066</v>
      </c>
    </row>
    <row r="2207" customFormat="false" ht="12" hidden="false" customHeight="true" outlineLevel="0" collapsed="false">
      <c r="B2207" s="1" t="s">
        <v>1064</v>
      </c>
      <c r="C2207" s="1" t="s">
        <v>1065</v>
      </c>
      <c r="D2207" s="1" t="s">
        <v>513</v>
      </c>
      <c r="E2207" s="1" t="s">
        <v>537</v>
      </c>
      <c r="F2207" s="1" t="s">
        <v>473</v>
      </c>
      <c r="G2207" s="1" t="s">
        <v>480</v>
      </c>
      <c r="H2207" s="1" t="n">
        <v>2.76</v>
      </c>
      <c r="I2207" s="1" t="str">
        <f aca="false">B2207&amp;"|"&amp;F2207&amp;"|"&amp;G2207</f>
        <v>Greenhouse Shade Shelters|S|Low Cost</v>
      </c>
      <c r="J2207" s="1" t="s">
        <v>1066</v>
      </c>
    </row>
    <row r="2208" customFormat="false" ht="12" hidden="false" customHeight="true" outlineLevel="0" collapsed="false">
      <c r="B2208" s="1" t="s">
        <v>1067</v>
      </c>
      <c r="C2208" s="1" t="s">
        <v>1068</v>
      </c>
      <c r="D2208" s="1" t="s">
        <v>513</v>
      </c>
      <c r="E2208" s="1" t="s">
        <v>537</v>
      </c>
      <c r="F2208" s="1" t="s">
        <v>468</v>
      </c>
      <c r="G2208" s="1" t="s">
        <v>279</v>
      </c>
      <c r="H2208" s="1" t="n">
        <v>7.38</v>
      </c>
      <c r="I2208" s="1" t="str">
        <f aca="false">B2208&amp;"|"&amp;F2208&amp;"|"&amp;G2208</f>
        <v>Lath Shade Houses|D|Average</v>
      </c>
      <c r="J2208" s="1" t="s">
        <v>1066</v>
      </c>
    </row>
    <row r="2209" customFormat="false" ht="12" hidden="false" customHeight="true" outlineLevel="0" collapsed="false">
      <c r="B2209" s="1" t="s">
        <v>1067</v>
      </c>
      <c r="C2209" s="1" t="s">
        <v>1068</v>
      </c>
      <c r="D2209" s="1" t="s">
        <v>513</v>
      </c>
      <c r="E2209" s="1" t="s">
        <v>537</v>
      </c>
      <c r="F2209" s="1" t="s">
        <v>473</v>
      </c>
      <c r="G2209" s="1" t="s">
        <v>279</v>
      </c>
      <c r="H2209" s="1" t="n">
        <v>12.65</v>
      </c>
      <c r="I2209" s="1" t="str">
        <f aca="false">B2209&amp;"|"&amp;F2209&amp;"|"&amp;G2209</f>
        <v>Lath Shade Houses|S|Average</v>
      </c>
      <c r="J2209" s="1" t="s">
        <v>1066</v>
      </c>
    </row>
    <row r="2210" customFormat="false" ht="12" hidden="false" customHeight="true" outlineLevel="0" collapsed="false">
      <c r="B2210" s="1" t="s">
        <v>1069</v>
      </c>
      <c r="C2210" s="1" t="s">
        <v>1070</v>
      </c>
      <c r="D2210" s="1" t="s">
        <v>513</v>
      </c>
      <c r="E2210" s="1" t="s">
        <v>539</v>
      </c>
      <c r="F2210" s="1" t="s">
        <v>463</v>
      </c>
      <c r="G2210" s="1" t="s">
        <v>483</v>
      </c>
      <c r="H2210" s="1" t="n">
        <v>61</v>
      </c>
      <c r="I2210" s="1" t="str">
        <f aca="false">B2210&amp;"|"&amp;F2210&amp;"|"&amp;G2210</f>
        <v>Flathouse Storage Buildings|C|Good</v>
      </c>
      <c r="J2210" s="1" t="s">
        <v>1071</v>
      </c>
    </row>
    <row r="2211" customFormat="false" ht="12" hidden="false" customHeight="true" outlineLevel="0" collapsed="false">
      <c r="B2211" s="1" t="s">
        <v>1069</v>
      </c>
      <c r="C2211" s="1" t="s">
        <v>1070</v>
      </c>
      <c r="D2211" s="1" t="s">
        <v>513</v>
      </c>
      <c r="E2211" s="1" t="s">
        <v>539</v>
      </c>
      <c r="F2211" s="1" t="s">
        <v>463</v>
      </c>
      <c r="G2211" s="1" t="s">
        <v>279</v>
      </c>
      <c r="H2211" s="1" t="n">
        <v>42.5</v>
      </c>
      <c r="I2211" s="1" t="str">
        <f aca="false">B2211&amp;"|"&amp;F2211&amp;"|"&amp;G2211</f>
        <v>Flathouse Storage Buildings|C|Average</v>
      </c>
      <c r="J2211" s="1" t="s">
        <v>1071</v>
      </c>
    </row>
    <row r="2212" customFormat="false" ht="12" hidden="false" customHeight="true" outlineLevel="0" collapsed="false">
      <c r="B2212" s="1" t="s">
        <v>1069</v>
      </c>
      <c r="C2212" s="1" t="s">
        <v>1070</v>
      </c>
      <c r="D2212" s="1" t="s">
        <v>513</v>
      </c>
      <c r="E2212" s="1" t="s">
        <v>539</v>
      </c>
      <c r="F2212" s="1" t="s">
        <v>468</v>
      </c>
      <c r="G2212" s="1" t="s">
        <v>483</v>
      </c>
      <c r="H2212" s="1" t="n">
        <v>51</v>
      </c>
      <c r="I2212" s="1" t="str">
        <f aca="false">B2212&amp;"|"&amp;F2212&amp;"|"&amp;G2212</f>
        <v>Flathouse Storage Buildings|D|Good</v>
      </c>
      <c r="J2212" s="1" t="s">
        <v>1071</v>
      </c>
    </row>
    <row r="2213" customFormat="false" ht="12" hidden="false" customHeight="true" outlineLevel="0" collapsed="false">
      <c r="B2213" s="1" t="s">
        <v>1069</v>
      </c>
      <c r="C2213" s="1" t="s">
        <v>1070</v>
      </c>
      <c r="D2213" s="1" t="s">
        <v>513</v>
      </c>
      <c r="E2213" s="1" t="s">
        <v>539</v>
      </c>
      <c r="F2213" s="1" t="s">
        <v>468</v>
      </c>
      <c r="G2213" s="1" t="s">
        <v>279</v>
      </c>
      <c r="H2213" s="1" t="n">
        <v>34.5</v>
      </c>
      <c r="I2213" s="1" t="str">
        <f aca="false">B2213&amp;"|"&amp;F2213&amp;"|"&amp;G2213</f>
        <v>Flathouse Storage Buildings|D|Average</v>
      </c>
      <c r="J2213" s="1" t="s">
        <v>1071</v>
      </c>
    </row>
    <row r="2214" customFormat="false" ht="12" hidden="false" customHeight="true" outlineLevel="0" collapsed="false">
      <c r="B2214" s="1" t="s">
        <v>1069</v>
      </c>
      <c r="C2214" s="1" t="s">
        <v>1070</v>
      </c>
      <c r="D2214" s="1" t="s">
        <v>513</v>
      </c>
      <c r="E2214" s="1" t="s">
        <v>539</v>
      </c>
      <c r="F2214" s="1" t="s">
        <v>566</v>
      </c>
      <c r="G2214" s="1" t="s">
        <v>483</v>
      </c>
      <c r="H2214" s="1" t="n">
        <v>45.5</v>
      </c>
      <c r="I2214" s="1" t="str">
        <f aca="false">B2214&amp;"|"&amp;F2214&amp;"|"&amp;G2214</f>
        <v>Flathouse Storage Buildings|DPOLE|Good</v>
      </c>
      <c r="J2214" s="1" t="s">
        <v>1071</v>
      </c>
    </row>
    <row r="2215" customFormat="false" ht="12" hidden="false" customHeight="true" outlineLevel="0" collapsed="false">
      <c r="B2215" s="1" t="s">
        <v>1069</v>
      </c>
      <c r="C2215" s="1" t="s">
        <v>1070</v>
      </c>
      <c r="D2215" s="1" t="s">
        <v>513</v>
      </c>
      <c r="E2215" s="1" t="s">
        <v>539</v>
      </c>
      <c r="F2215" s="1" t="s">
        <v>566</v>
      </c>
      <c r="G2215" s="1" t="s">
        <v>279</v>
      </c>
      <c r="H2215" s="1" t="n">
        <v>31.75</v>
      </c>
      <c r="I2215" s="1" t="str">
        <f aca="false">B2215&amp;"|"&amp;F2215&amp;"|"&amp;G2215</f>
        <v>Flathouse Storage Buildings|DPOLE|Average</v>
      </c>
      <c r="J2215" s="1" t="s">
        <v>1071</v>
      </c>
    </row>
    <row r="2216" customFormat="false" ht="12" hidden="false" customHeight="true" outlineLevel="0" collapsed="false">
      <c r="B2216" s="1" t="s">
        <v>1069</v>
      </c>
      <c r="C2216" s="1" t="s">
        <v>1070</v>
      </c>
      <c r="D2216" s="1" t="s">
        <v>513</v>
      </c>
      <c r="E2216" s="1" t="s">
        <v>539</v>
      </c>
      <c r="F2216" s="1" t="s">
        <v>473</v>
      </c>
      <c r="G2216" s="1" t="s">
        <v>483</v>
      </c>
      <c r="H2216" s="1" t="n">
        <v>49</v>
      </c>
      <c r="I2216" s="1" t="str">
        <f aca="false">B2216&amp;"|"&amp;F2216&amp;"|"&amp;G2216</f>
        <v>Flathouse Storage Buildings|S|Good</v>
      </c>
      <c r="J2216" s="1" t="s">
        <v>1071</v>
      </c>
    </row>
    <row r="2217" customFormat="false" ht="12" hidden="false" customHeight="true" outlineLevel="0" collapsed="false">
      <c r="B2217" s="1" t="s">
        <v>1069</v>
      </c>
      <c r="C2217" s="1" t="s">
        <v>1070</v>
      </c>
      <c r="D2217" s="1" t="s">
        <v>513</v>
      </c>
      <c r="E2217" s="1" t="s">
        <v>539</v>
      </c>
      <c r="F2217" s="1" t="s">
        <v>473</v>
      </c>
      <c r="G2217" s="1" t="s">
        <v>279</v>
      </c>
      <c r="H2217" s="1" t="n">
        <v>34.25</v>
      </c>
      <c r="I2217" s="1" t="str">
        <f aca="false">B2217&amp;"|"&amp;F2217&amp;"|"&amp;G2217</f>
        <v>Flathouse Storage Buildings|S|Average</v>
      </c>
      <c r="J2217" s="1" t="s">
        <v>1071</v>
      </c>
    </row>
    <row r="2218" customFormat="false" ht="12" hidden="false" customHeight="true" outlineLevel="0" collapsed="false">
      <c r="B2218" s="1" t="s">
        <v>1069</v>
      </c>
      <c r="C2218" s="1" t="s">
        <v>1070</v>
      </c>
      <c r="D2218" s="1" t="s">
        <v>513</v>
      </c>
      <c r="E2218" s="1" t="s">
        <v>539</v>
      </c>
      <c r="F2218" s="1" t="s">
        <v>988</v>
      </c>
      <c r="G2218" s="1" t="s">
        <v>483</v>
      </c>
      <c r="H2218" s="1" t="n">
        <v>46</v>
      </c>
      <c r="I2218" s="1" t="str">
        <f aca="false">B2218&amp;"|"&amp;F2218&amp;"|"&amp;G2218</f>
        <v>Flathouse Storage Buildings|SSLANT|Good</v>
      </c>
      <c r="J2218" s="1" t="s">
        <v>1071</v>
      </c>
    </row>
    <row r="2219" customFormat="false" ht="12" hidden="false" customHeight="true" outlineLevel="0" collapsed="false">
      <c r="B2219" s="1" t="s">
        <v>1069</v>
      </c>
      <c r="C2219" s="1" t="s">
        <v>1070</v>
      </c>
      <c r="D2219" s="1" t="s">
        <v>513</v>
      </c>
      <c r="E2219" s="1" t="s">
        <v>539</v>
      </c>
      <c r="F2219" s="1" t="s">
        <v>988</v>
      </c>
      <c r="G2219" s="1" t="s">
        <v>279</v>
      </c>
      <c r="H2219" s="1" t="n">
        <v>32.25</v>
      </c>
      <c r="I2219" s="1" t="str">
        <f aca="false">B2219&amp;"|"&amp;F2219&amp;"|"&amp;G2219</f>
        <v>Flathouse Storage Buildings|SSLANT|Average</v>
      </c>
      <c r="J2219" s="1" t="s">
        <v>1071</v>
      </c>
    </row>
    <row r="2220" customFormat="false" ht="12" hidden="false" customHeight="true" outlineLevel="0" collapsed="false">
      <c r="B2220" s="1" t="s">
        <v>1072</v>
      </c>
      <c r="C2220" s="1" t="s">
        <v>1073</v>
      </c>
      <c r="D2220" s="1" t="s">
        <v>513</v>
      </c>
      <c r="E2220" s="1" t="s">
        <v>539</v>
      </c>
      <c r="F2220" s="1" t="s">
        <v>468</v>
      </c>
      <c r="G2220" s="1" t="s">
        <v>279</v>
      </c>
      <c r="H2220" s="1" t="n">
        <v>23.3</v>
      </c>
      <c r="I2220" s="1" t="str">
        <f aca="false">B2220&amp;"|"&amp;F2220&amp;"|"&amp;G2220</f>
        <v>Feed Handling and Mixing Shed Building|D|Average</v>
      </c>
      <c r="J2220" s="1" t="s">
        <v>1071</v>
      </c>
    </row>
    <row r="2221" customFormat="false" ht="12" hidden="false" customHeight="true" outlineLevel="0" collapsed="false">
      <c r="B2221" s="1" t="s">
        <v>1072</v>
      </c>
      <c r="C2221" s="1" t="s">
        <v>1073</v>
      </c>
      <c r="D2221" s="1" t="s">
        <v>513</v>
      </c>
      <c r="E2221" s="1" t="s">
        <v>539</v>
      </c>
      <c r="F2221" s="1" t="s">
        <v>566</v>
      </c>
      <c r="G2221" s="1" t="s">
        <v>279</v>
      </c>
      <c r="H2221" s="1" t="n">
        <v>19.8</v>
      </c>
      <c r="I2221" s="1" t="str">
        <f aca="false">B2221&amp;"|"&amp;F2221&amp;"|"&amp;G2221</f>
        <v>Feed Handling and Mixing Shed Building|DPOLE|Average</v>
      </c>
      <c r="J2221" s="1" t="s">
        <v>1071</v>
      </c>
    </row>
    <row r="2222" customFormat="false" ht="12" hidden="false" customHeight="true" outlineLevel="0" collapsed="false">
      <c r="B2222" s="1" t="s">
        <v>1072</v>
      </c>
      <c r="C2222" s="1" t="s">
        <v>1073</v>
      </c>
      <c r="D2222" s="1" t="s">
        <v>513</v>
      </c>
      <c r="E2222" s="1" t="s">
        <v>539</v>
      </c>
      <c r="F2222" s="1" t="s">
        <v>473</v>
      </c>
      <c r="G2222" s="1" t="s">
        <v>279</v>
      </c>
      <c r="H2222" s="1" t="n">
        <v>22.65</v>
      </c>
      <c r="I2222" s="1" t="str">
        <f aca="false">B2222&amp;"|"&amp;F2222&amp;"|"&amp;G2222</f>
        <v>Feed Handling and Mixing Shed Building|S|Average</v>
      </c>
      <c r="J2222" s="1" t="s">
        <v>1071</v>
      </c>
    </row>
    <row r="2223" customFormat="false" ht="12" hidden="false" customHeight="true" outlineLevel="0" collapsed="false">
      <c r="B2223" s="1" t="s">
        <v>1074</v>
      </c>
      <c r="C2223" s="1" t="s">
        <v>1075</v>
      </c>
      <c r="D2223" s="1" t="s">
        <v>513</v>
      </c>
      <c r="E2223" s="1" t="s">
        <v>539</v>
      </c>
      <c r="F2223" s="1" t="s">
        <v>473</v>
      </c>
      <c r="G2223" s="1" t="s">
        <v>279</v>
      </c>
      <c r="H2223" s="1" t="n">
        <v>98</v>
      </c>
      <c r="I2223" s="1" t="str">
        <f aca="false">B2223&amp;"|"&amp;F2223&amp;"|"&amp;G2223</f>
        <v>Cotton Gins|S|Average</v>
      </c>
      <c r="J2223" s="1" t="s">
        <v>1071</v>
      </c>
    </row>
    <row r="2224" customFormat="false" ht="12" hidden="false" customHeight="true" outlineLevel="0" collapsed="false">
      <c r="B2224" s="1" t="s">
        <v>1074</v>
      </c>
      <c r="C2224" s="1" t="s">
        <v>1075</v>
      </c>
      <c r="D2224" s="1" t="s">
        <v>513</v>
      </c>
      <c r="E2224" s="1" t="s">
        <v>539</v>
      </c>
      <c r="F2224" s="1" t="s">
        <v>473</v>
      </c>
      <c r="G2224" s="1" t="s">
        <v>480</v>
      </c>
      <c r="H2224" s="1" t="n">
        <v>72.5</v>
      </c>
      <c r="I2224" s="1" t="str">
        <f aca="false">B2224&amp;"|"&amp;F2224&amp;"|"&amp;G2224</f>
        <v>Cotton Gins|S|Low Cost</v>
      </c>
      <c r="J2224" s="1" t="s">
        <v>1071</v>
      </c>
    </row>
    <row r="2225" customFormat="false" ht="12" hidden="false" customHeight="true" outlineLevel="0" collapsed="false">
      <c r="B2225" s="1" t="s">
        <v>1076</v>
      </c>
      <c r="C2225" s="1" t="s">
        <v>1077</v>
      </c>
      <c r="D2225" s="1" t="s">
        <v>513</v>
      </c>
      <c r="E2225" s="1" t="s">
        <v>539</v>
      </c>
      <c r="F2225" s="1" t="s">
        <v>468</v>
      </c>
      <c r="G2225" s="1" t="s">
        <v>279</v>
      </c>
      <c r="H2225" s="1" t="n">
        <v>45</v>
      </c>
      <c r="I2225" s="1" t="str">
        <f aca="false">B2225&amp;"|"&amp;F2225&amp;"|"&amp;G2225</f>
        <v>Seed Processing Storage|D|Average</v>
      </c>
      <c r="J2225" s="1" t="s">
        <v>1071</v>
      </c>
    </row>
    <row r="2226" customFormat="false" ht="12" hidden="false" customHeight="true" outlineLevel="0" collapsed="false">
      <c r="B2226" s="1" t="s">
        <v>1076</v>
      </c>
      <c r="C2226" s="1" t="s">
        <v>1077</v>
      </c>
      <c r="D2226" s="1" t="s">
        <v>513</v>
      </c>
      <c r="E2226" s="1" t="s">
        <v>539</v>
      </c>
      <c r="F2226" s="1" t="s">
        <v>566</v>
      </c>
      <c r="G2226" s="1" t="s">
        <v>279</v>
      </c>
      <c r="H2226" s="1" t="n">
        <v>40.5</v>
      </c>
      <c r="I2226" s="1" t="str">
        <f aca="false">B2226&amp;"|"&amp;F2226&amp;"|"&amp;G2226</f>
        <v>Seed Processing Storage|DPOLE|Average</v>
      </c>
      <c r="J2226" s="1" t="s">
        <v>1071</v>
      </c>
    </row>
    <row r="2227" customFormat="false" ht="12" hidden="false" customHeight="true" outlineLevel="0" collapsed="false">
      <c r="B2227" s="1" t="s">
        <v>1076</v>
      </c>
      <c r="C2227" s="1" t="s">
        <v>1077</v>
      </c>
      <c r="D2227" s="1" t="s">
        <v>513</v>
      </c>
      <c r="E2227" s="1" t="s">
        <v>539</v>
      </c>
      <c r="F2227" s="1" t="s">
        <v>473</v>
      </c>
      <c r="G2227" s="1" t="s">
        <v>279</v>
      </c>
      <c r="H2227" s="1" t="n">
        <v>43.25</v>
      </c>
      <c r="I2227" s="1" t="str">
        <f aca="false">B2227&amp;"|"&amp;F2227&amp;"|"&amp;G2227</f>
        <v>Seed Processing Storage|S|Average</v>
      </c>
      <c r="J2227" s="1" t="s">
        <v>1071</v>
      </c>
    </row>
    <row r="2228" customFormat="false" ht="12" hidden="false" customHeight="true" outlineLevel="0" collapsed="false">
      <c r="B2228" s="1" t="s">
        <v>1078</v>
      </c>
      <c r="C2228" s="1" t="s">
        <v>1079</v>
      </c>
      <c r="D2228" s="1" t="s">
        <v>513</v>
      </c>
      <c r="E2228" s="1" t="s">
        <v>543</v>
      </c>
      <c r="F2228" s="1" t="s">
        <v>463</v>
      </c>
      <c r="G2228" s="1" t="s">
        <v>483</v>
      </c>
      <c r="H2228" s="1" t="n">
        <v>102</v>
      </c>
      <c r="I2228" s="1" t="str">
        <f aca="false">B2228&amp;"|"&amp;F2228&amp;"|"&amp;G2228</f>
        <v>Secure Storage Modular Shed Buildings|C|Good</v>
      </c>
      <c r="J2228" s="1" t="s">
        <v>1080</v>
      </c>
    </row>
    <row r="2229" customFormat="false" ht="12" hidden="false" customHeight="true" outlineLevel="0" collapsed="false">
      <c r="B2229" s="1" t="s">
        <v>1078</v>
      </c>
      <c r="C2229" s="1" t="s">
        <v>1079</v>
      </c>
      <c r="D2229" s="1" t="s">
        <v>513</v>
      </c>
      <c r="E2229" s="1" t="s">
        <v>543</v>
      </c>
      <c r="F2229" s="1" t="s">
        <v>463</v>
      </c>
      <c r="G2229" s="1" t="s">
        <v>279</v>
      </c>
      <c r="H2229" s="1" t="n">
        <v>82</v>
      </c>
      <c r="I2229" s="1" t="str">
        <f aca="false">B2229&amp;"|"&amp;F2229&amp;"|"&amp;G2229</f>
        <v>Secure Storage Modular Shed Buildings|C|Average</v>
      </c>
      <c r="J2229" s="1" t="s">
        <v>1080</v>
      </c>
    </row>
    <row r="2230" customFormat="false" ht="12" hidden="false" customHeight="true" outlineLevel="0" collapsed="false">
      <c r="B2230" s="1" t="s">
        <v>1078</v>
      </c>
      <c r="C2230" s="1" t="s">
        <v>1079</v>
      </c>
      <c r="D2230" s="1" t="s">
        <v>513</v>
      </c>
      <c r="E2230" s="1" t="s">
        <v>543</v>
      </c>
      <c r="F2230" s="1" t="s">
        <v>473</v>
      </c>
      <c r="G2230" s="1" t="s">
        <v>483</v>
      </c>
      <c r="H2230" s="1" t="n">
        <v>46.75</v>
      </c>
      <c r="I2230" s="1" t="str">
        <f aca="false">B2230&amp;"|"&amp;F2230&amp;"|"&amp;G2230</f>
        <v>Secure Storage Modular Shed Buildings|S|Good</v>
      </c>
      <c r="J2230" s="1" t="s">
        <v>1080</v>
      </c>
    </row>
    <row r="2231" customFormat="false" ht="12" hidden="false" customHeight="true" outlineLevel="0" collapsed="false">
      <c r="B2231" s="1" t="s">
        <v>1078</v>
      </c>
      <c r="C2231" s="1" t="s">
        <v>1079</v>
      </c>
      <c r="D2231" s="1" t="s">
        <v>513</v>
      </c>
      <c r="E2231" s="1" t="s">
        <v>543</v>
      </c>
      <c r="F2231" s="1" t="s">
        <v>473</v>
      </c>
      <c r="G2231" s="1" t="s">
        <v>279</v>
      </c>
      <c r="H2231" s="1" t="n">
        <v>33.25</v>
      </c>
      <c r="I2231" s="1" t="str">
        <f aca="false">B2231&amp;"|"&amp;F2231&amp;"|"&amp;G2231</f>
        <v>Secure Storage Modular Shed Buildings|S|Average</v>
      </c>
      <c r="J2231" s="1" t="s">
        <v>1080</v>
      </c>
    </row>
    <row r="2232" customFormat="false" ht="12" hidden="false" customHeight="true" outlineLevel="0" collapsed="false">
      <c r="B2232" s="1" t="s">
        <v>1078</v>
      </c>
      <c r="C2232" s="1" t="s">
        <v>1079</v>
      </c>
      <c r="D2232" s="1" t="s">
        <v>513</v>
      </c>
      <c r="E2232" s="1" t="s">
        <v>543</v>
      </c>
      <c r="F2232" s="1" t="s">
        <v>473</v>
      </c>
      <c r="G2232" s="1" t="s">
        <v>480</v>
      </c>
      <c r="H2232" s="1" t="n">
        <v>23.75</v>
      </c>
      <c r="I2232" s="1" t="str">
        <f aca="false">B2232&amp;"|"&amp;F2232&amp;"|"&amp;G2232</f>
        <v>Secure Storage Modular Shed Buildings|S|Low Cost</v>
      </c>
      <c r="J2232" s="1" t="s">
        <v>1080</v>
      </c>
    </row>
    <row r="2233" customFormat="false" ht="12" hidden="false" customHeight="true" outlineLevel="0" collapsed="false">
      <c r="B2233" s="1" t="s">
        <v>1081</v>
      </c>
      <c r="C2233" s="1" t="s">
        <v>1082</v>
      </c>
      <c r="D2233" s="1" t="s">
        <v>513</v>
      </c>
      <c r="E2233" s="1" t="s">
        <v>543</v>
      </c>
      <c r="F2233" s="1" t="s">
        <v>468</v>
      </c>
      <c r="G2233" s="1" t="s">
        <v>485</v>
      </c>
      <c r="H2233" s="1" t="n">
        <v>27</v>
      </c>
      <c r="I2233" s="1" t="str">
        <f aca="false">B2233&amp;"|"&amp;F2233&amp;"|"&amp;G2233</f>
        <v>Prefabricated Storage Shed Buildings|D|Excellent</v>
      </c>
      <c r="J2233" s="1" t="s">
        <v>1080</v>
      </c>
    </row>
    <row r="2234" customFormat="false" ht="12" hidden="false" customHeight="true" outlineLevel="0" collapsed="false">
      <c r="B2234" s="1" t="s">
        <v>1081</v>
      </c>
      <c r="C2234" s="1" t="s">
        <v>1082</v>
      </c>
      <c r="D2234" s="1" t="s">
        <v>513</v>
      </c>
      <c r="E2234" s="1" t="s">
        <v>543</v>
      </c>
      <c r="F2234" s="1" t="s">
        <v>468</v>
      </c>
      <c r="G2234" s="1" t="s">
        <v>483</v>
      </c>
      <c r="H2234" s="1" t="n">
        <v>21.6</v>
      </c>
      <c r="I2234" s="1" t="str">
        <f aca="false">B2234&amp;"|"&amp;F2234&amp;"|"&amp;G2234</f>
        <v>Prefabricated Storage Shed Buildings|D|Good</v>
      </c>
      <c r="J2234" s="1" t="s">
        <v>1080</v>
      </c>
    </row>
    <row r="2235" customFormat="false" ht="12" hidden="false" customHeight="true" outlineLevel="0" collapsed="false">
      <c r="B2235" s="1" t="s">
        <v>1081</v>
      </c>
      <c r="C2235" s="1" t="s">
        <v>1082</v>
      </c>
      <c r="D2235" s="1" t="s">
        <v>513</v>
      </c>
      <c r="E2235" s="1" t="s">
        <v>543</v>
      </c>
      <c r="F2235" s="1" t="s">
        <v>468</v>
      </c>
      <c r="G2235" s="1" t="s">
        <v>279</v>
      </c>
      <c r="H2235" s="1" t="n">
        <v>17.25</v>
      </c>
      <c r="I2235" s="1" t="str">
        <f aca="false">B2235&amp;"|"&amp;F2235&amp;"|"&amp;G2235</f>
        <v>Prefabricated Storage Shed Buildings|D|Average</v>
      </c>
      <c r="J2235" s="1" t="s">
        <v>1080</v>
      </c>
    </row>
    <row r="2236" customFormat="false" ht="12" hidden="false" customHeight="true" outlineLevel="0" collapsed="false">
      <c r="B2236" s="1" t="s">
        <v>1081</v>
      </c>
      <c r="C2236" s="1" t="s">
        <v>1082</v>
      </c>
      <c r="D2236" s="1" t="s">
        <v>513</v>
      </c>
      <c r="E2236" s="1" t="s">
        <v>543</v>
      </c>
      <c r="F2236" s="1" t="s">
        <v>468</v>
      </c>
      <c r="G2236" s="1" t="s">
        <v>480</v>
      </c>
      <c r="H2236" s="1" t="n">
        <v>13.8</v>
      </c>
      <c r="I2236" s="1" t="str">
        <f aca="false">B2236&amp;"|"&amp;F2236&amp;"|"&amp;G2236</f>
        <v>Prefabricated Storage Shed Buildings|D|Low Cost</v>
      </c>
      <c r="J2236" s="1" t="s">
        <v>1080</v>
      </c>
    </row>
    <row r="2237" customFormat="false" ht="12" hidden="false" customHeight="true" outlineLevel="0" collapsed="false">
      <c r="B2237" s="1" t="s">
        <v>1081</v>
      </c>
      <c r="C2237" s="1" t="s">
        <v>1082</v>
      </c>
      <c r="D2237" s="1" t="s">
        <v>513</v>
      </c>
      <c r="E2237" s="1" t="s">
        <v>543</v>
      </c>
      <c r="F2237" s="1" t="s">
        <v>473</v>
      </c>
      <c r="G2237" s="1" t="s">
        <v>485</v>
      </c>
      <c r="H2237" s="1" t="n">
        <v>21</v>
      </c>
      <c r="I2237" s="1" t="str">
        <f aca="false">B2237&amp;"|"&amp;F2237&amp;"|"&amp;G2237</f>
        <v>Prefabricated Storage Shed Buildings|S|Excellent</v>
      </c>
      <c r="J2237" s="1" t="s">
        <v>1080</v>
      </c>
    </row>
    <row r="2238" customFormat="false" ht="12" hidden="false" customHeight="true" outlineLevel="0" collapsed="false">
      <c r="B2238" s="1" t="s">
        <v>1081</v>
      </c>
      <c r="C2238" s="1" t="s">
        <v>1082</v>
      </c>
      <c r="D2238" s="1" t="s">
        <v>513</v>
      </c>
      <c r="E2238" s="1" t="s">
        <v>543</v>
      </c>
      <c r="F2238" s="1" t="s">
        <v>473</v>
      </c>
      <c r="G2238" s="1" t="s">
        <v>483</v>
      </c>
      <c r="H2238" s="1" t="n">
        <v>15.1</v>
      </c>
      <c r="I2238" s="1" t="str">
        <f aca="false">B2238&amp;"|"&amp;F2238&amp;"|"&amp;G2238</f>
        <v>Prefabricated Storage Shed Buildings|S|Good</v>
      </c>
      <c r="J2238" s="1" t="s">
        <v>1080</v>
      </c>
    </row>
    <row r="2239" customFormat="false" ht="12" hidden="false" customHeight="true" outlineLevel="0" collapsed="false">
      <c r="B2239" s="1" t="s">
        <v>1081</v>
      </c>
      <c r="C2239" s="1" t="s">
        <v>1082</v>
      </c>
      <c r="D2239" s="1" t="s">
        <v>513</v>
      </c>
      <c r="E2239" s="1" t="s">
        <v>543</v>
      </c>
      <c r="F2239" s="1" t="s">
        <v>473</v>
      </c>
      <c r="G2239" s="1" t="s">
        <v>279</v>
      </c>
      <c r="H2239" s="1" t="n">
        <v>10.85</v>
      </c>
      <c r="I2239" s="1" t="str">
        <f aca="false">B2239&amp;"|"&amp;F2239&amp;"|"&amp;G2239</f>
        <v>Prefabricated Storage Shed Buildings|S|Average</v>
      </c>
      <c r="J2239" s="1" t="s">
        <v>1080</v>
      </c>
    </row>
    <row r="2240" customFormat="false" ht="12" hidden="false" customHeight="true" outlineLevel="0" collapsed="false">
      <c r="B2240" s="1" t="s">
        <v>1081</v>
      </c>
      <c r="C2240" s="1" t="s">
        <v>1082</v>
      </c>
      <c r="D2240" s="1" t="s">
        <v>513</v>
      </c>
      <c r="E2240" s="1" t="s">
        <v>543</v>
      </c>
      <c r="F2240" s="1" t="s">
        <v>473</v>
      </c>
      <c r="G2240" s="1" t="s">
        <v>480</v>
      </c>
      <c r="H2240" s="1" t="n">
        <v>7.77</v>
      </c>
      <c r="I2240" s="1" t="str">
        <f aca="false">B2240&amp;"|"&amp;F2240&amp;"|"&amp;G2240</f>
        <v>Prefabricated Storage Shed Buildings|S|Low Cost</v>
      </c>
      <c r="J2240" s="1" t="s">
        <v>1080</v>
      </c>
    </row>
    <row r="2241" customFormat="false" ht="12" hidden="false" customHeight="true" outlineLevel="0" collapsed="false">
      <c r="B2241" s="1" t="s">
        <v>1083</v>
      </c>
      <c r="C2241" s="1" t="s">
        <v>1084</v>
      </c>
      <c r="D2241" s="1" t="s">
        <v>513</v>
      </c>
      <c r="E2241" s="1" t="s">
        <v>543</v>
      </c>
      <c r="F2241" s="1" t="s">
        <v>468</v>
      </c>
      <c r="G2241" s="1" t="s">
        <v>485</v>
      </c>
      <c r="H2241" s="1" t="n">
        <v>11.05</v>
      </c>
      <c r="I2241" s="1" t="str">
        <f aca="false">B2241&amp;"|"&amp;F2241&amp;"|"&amp;G2241</f>
        <v>Corn Crib Bins|D|Excellent</v>
      </c>
      <c r="J2241" s="1" t="s">
        <v>1080</v>
      </c>
    </row>
    <row r="2242" customFormat="false" ht="12" hidden="false" customHeight="true" outlineLevel="0" collapsed="false">
      <c r="B2242" s="1" t="s">
        <v>1083</v>
      </c>
      <c r="C2242" s="1" t="s">
        <v>1084</v>
      </c>
      <c r="D2242" s="1" t="s">
        <v>513</v>
      </c>
      <c r="E2242" s="1" t="s">
        <v>543</v>
      </c>
      <c r="F2242" s="1" t="s">
        <v>468</v>
      </c>
      <c r="G2242" s="1" t="s">
        <v>483</v>
      </c>
      <c r="H2242" s="1" t="n">
        <v>9.08</v>
      </c>
      <c r="I2242" s="1" t="str">
        <f aca="false">B2242&amp;"|"&amp;F2242&amp;"|"&amp;G2242</f>
        <v>Corn Crib Bins|D|Good</v>
      </c>
      <c r="J2242" s="1" t="s">
        <v>1080</v>
      </c>
    </row>
    <row r="2243" customFormat="false" ht="12" hidden="false" customHeight="true" outlineLevel="0" collapsed="false">
      <c r="B2243" s="1" t="s">
        <v>1083</v>
      </c>
      <c r="C2243" s="1" t="s">
        <v>1084</v>
      </c>
      <c r="D2243" s="1" t="s">
        <v>513</v>
      </c>
      <c r="E2243" s="1" t="s">
        <v>543</v>
      </c>
      <c r="F2243" s="1" t="s">
        <v>468</v>
      </c>
      <c r="G2243" s="1" t="s">
        <v>279</v>
      </c>
      <c r="H2243" s="1" t="n">
        <v>7.46</v>
      </c>
      <c r="I2243" s="1" t="str">
        <f aca="false">B2243&amp;"|"&amp;F2243&amp;"|"&amp;G2243</f>
        <v>Corn Crib Bins|D|Average</v>
      </c>
      <c r="J2243" s="1" t="s">
        <v>1080</v>
      </c>
    </row>
    <row r="2244" customFormat="false" ht="12" hidden="false" customHeight="true" outlineLevel="0" collapsed="false">
      <c r="B2244" s="1" t="s">
        <v>1083</v>
      </c>
      <c r="C2244" s="1" t="s">
        <v>1084</v>
      </c>
      <c r="D2244" s="1" t="s">
        <v>513</v>
      </c>
      <c r="E2244" s="1" t="s">
        <v>543</v>
      </c>
      <c r="F2244" s="1" t="s">
        <v>468</v>
      </c>
      <c r="G2244" s="1" t="s">
        <v>480</v>
      </c>
      <c r="H2244" s="1" t="n">
        <v>6.1</v>
      </c>
      <c r="I2244" s="1" t="str">
        <f aca="false">B2244&amp;"|"&amp;F2244&amp;"|"&amp;G2244</f>
        <v>Corn Crib Bins|D|Low Cost</v>
      </c>
      <c r="J2244" s="1" t="s">
        <v>1080</v>
      </c>
    </row>
    <row r="2245" customFormat="false" ht="12" hidden="false" customHeight="true" outlineLevel="0" collapsed="false">
      <c r="B2245" s="1" t="s">
        <v>1085</v>
      </c>
      <c r="C2245" s="1" t="s">
        <v>1086</v>
      </c>
      <c r="D2245" s="1" t="s">
        <v>513</v>
      </c>
      <c r="E2245" s="1" t="s">
        <v>547</v>
      </c>
      <c r="F2245" s="1" t="s">
        <v>463</v>
      </c>
      <c r="G2245" s="1" t="s">
        <v>483</v>
      </c>
      <c r="H2245" s="1" t="n">
        <v>38.5</v>
      </c>
      <c r="I2245" s="1" t="str">
        <f aca="false">B2245&amp;"|"&amp;F2245&amp;"|"&amp;G2245</f>
        <v>Farm Utility Buildings|C|Good</v>
      </c>
      <c r="J2245" s="1" t="s">
        <v>1087</v>
      </c>
    </row>
    <row r="2246" customFormat="false" ht="12" hidden="false" customHeight="true" outlineLevel="0" collapsed="false">
      <c r="B2246" s="1" t="s">
        <v>1085</v>
      </c>
      <c r="C2246" s="1" t="s">
        <v>1086</v>
      </c>
      <c r="D2246" s="1" t="s">
        <v>513</v>
      </c>
      <c r="E2246" s="1" t="s">
        <v>547</v>
      </c>
      <c r="F2246" s="1" t="s">
        <v>463</v>
      </c>
      <c r="G2246" s="1" t="s">
        <v>279</v>
      </c>
      <c r="H2246" s="1" t="n">
        <v>27.75</v>
      </c>
      <c r="I2246" s="1" t="str">
        <f aca="false">B2246&amp;"|"&amp;F2246&amp;"|"&amp;G2246</f>
        <v>Farm Utility Buildings|C|Average</v>
      </c>
      <c r="J2246" s="1" t="s">
        <v>1087</v>
      </c>
    </row>
    <row r="2247" customFormat="false" ht="12" hidden="false" customHeight="true" outlineLevel="0" collapsed="false">
      <c r="B2247" s="1" t="s">
        <v>1085</v>
      </c>
      <c r="C2247" s="1" t="s">
        <v>1086</v>
      </c>
      <c r="D2247" s="1" t="s">
        <v>513</v>
      </c>
      <c r="E2247" s="1" t="s">
        <v>547</v>
      </c>
      <c r="F2247" s="1" t="s">
        <v>468</v>
      </c>
      <c r="G2247" s="1" t="s">
        <v>279</v>
      </c>
      <c r="H2247" s="1" t="n">
        <v>19.45</v>
      </c>
      <c r="I2247" s="1" t="str">
        <f aca="false">B2247&amp;"|"&amp;F2247&amp;"|"&amp;G2247</f>
        <v>Farm Utility Buildings|D|Average</v>
      </c>
      <c r="J2247" s="1" t="s">
        <v>1087</v>
      </c>
    </row>
    <row r="2248" customFormat="false" ht="12" hidden="false" customHeight="true" outlineLevel="0" collapsed="false">
      <c r="B2248" s="1" t="s">
        <v>1085</v>
      </c>
      <c r="C2248" s="1" t="s">
        <v>1086</v>
      </c>
      <c r="D2248" s="1" t="s">
        <v>513</v>
      </c>
      <c r="E2248" s="1" t="s">
        <v>547</v>
      </c>
      <c r="F2248" s="1" t="s">
        <v>468</v>
      </c>
      <c r="G2248" s="1" t="s">
        <v>480</v>
      </c>
      <c r="H2248" s="1" t="n">
        <v>12.5</v>
      </c>
      <c r="I2248" s="1" t="str">
        <f aca="false">B2248&amp;"|"&amp;F2248&amp;"|"&amp;G2248</f>
        <v>Farm Utility Buildings|D|Low Cost</v>
      </c>
      <c r="J2248" s="1" t="s">
        <v>1087</v>
      </c>
    </row>
    <row r="2249" customFormat="false" ht="12" hidden="false" customHeight="true" outlineLevel="0" collapsed="false">
      <c r="B2249" s="1" t="s">
        <v>1085</v>
      </c>
      <c r="C2249" s="1" t="s">
        <v>1086</v>
      </c>
      <c r="D2249" s="1" t="s">
        <v>513</v>
      </c>
      <c r="E2249" s="1" t="s">
        <v>547</v>
      </c>
      <c r="F2249" s="1" t="s">
        <v>566</v>
      </c>
      <c r="G2249" s="1" t="s">
        <v>279</v>
      </c>
      <c r="H2249" s="1" t="n">
        <v>15.7</v>
      </c>
      <c r="I2249" s="1" t="str">
        <f aca="false">B2249&amp;"|"&amp;F2249&amp;"|"&amp;G2249</f>
        <v>Farm Utility Buildings|DPOLE|Average</v>
      </c>
      <c r="J2249" s="1" t="s">
        <v>1087</v>
      </c>
    </row>
    <row r="2250" customFormat="false" ht="12" hidden="false" customHeight="true" outlineLevel="0" collapsed="false">
      <c r="B2250" s="1" t="s">
        <v>1085</v>
      </c>
      <c r="C2250" s="1" t="s">
        <v>1086</v>
      </c>
      <c r="D2250" s="1" t="s">
        <v>513</v>
      </c>
      <c r="E2250" s="1" t="s">
        <v>547</v>
      </c>
      <c r="F2250" s="1" t="s">
        <v>566</v>
      </c>
      <c r="G2250" s="1" t="s">
        <v>480</v>
      </c>
      <c r="H2250" s="1" t="n">
        <v>9.19</v>
      </c>
      <c r="I2250" s="1" t="str">
        <f aca="false">B2250&amp;"|"&amp;F2250&amp;"|"&amp;G2250</f>
        <v>Farm Utility Buildings|DPOLE|Low Cost</v>
      </c>
      <c r="J2250" s="1" t="s">
        <v>1087</v>
      </c>
    </row>
    <row r="2251" customFormat="false" ht="12" hidden="false" customHeight="true" outlineLevel="0" collapsed="false">
      <c r="B2251" s="1" t="s">
        <v>1085</v>
      </c>
      <c r="C2251" s="1" t="s">
        <v>1086</v>
      </c>
      <c r="D2251" s="1" t="s">
        <v>513</v>
      </c>
      <c r="E2251" s="1" t="s">
        <v>547</v>
      </c>
      <c r="F2251" s="1" t="s">
        <v>473</v>
      </c>
      <c r="G2251" s="1" t="s">
        <v>279</v>
      </c>
      <c r="H2251" s="1" t="n">
        <v>18.8</v>
      </c>
      <c r="I2251" s="1" t="str">
        <f aca="false">B2251&amp;"|"&amp;F2251&amp;"|"&amp;G2251</f>
        <v>Farm Utility Buildings|S|Average</v>
      </c>
      <c r="J2251" s="1" t="s">
        <v>1087</v>
      </c>
    </row>
    <row r="2252" customFormat="false" ht="12" hidden="false" customHeight="true" outlineLevel="0" collapsed="false">
      <c r="B2252" s="1" t="s">
        <v>1085</v>
      </c>
      <c r="C2252" s="1" t="s">
        <v>1086</v>
      </c>
      <c r="D2252" s="1" t="s">
        <v>513</v>
      </c>
      <c r="E2252" s="1" t="s">
        <v>547</v>
      </c>
      <c r="F2252" s="1" t="s">
        <v>473</v>
      </c>
      <c r="G2252" s="1" t="s">
        <v>480</v>
      </c>
      <c r="H2252" s="1" t="n">
        <v>11.75</v>
      </c>
      <c r="I2252" s="1" t="str">
        <f aca="false">B2252&amp;"|"&amp;F2252&amp;"|"&amp;G2252</f>
        <v>Farm Utility Buildings|S|Low Cost</v>
      </c>
      <c r="J2252" s="1" t="s">
        <v>1087</v>
      </c>
    </row>
    <row r="2253" customFormat="false" ht="12" hidden="false" customHeight="true" outlineLevel="0" collapsed="false">
      <c r="B2253" s="1" t="s">
        <v>1085</v>
      </c>
      <c r="C2253" s="1" t="s">
        <v>1086</v>
      </c>
      <c r="D2253" s="1" t="s">
        <v>513</v>
      </c>
      <c r="E2253" s="1" t="s">
        <v>547</v>
      </c>
      <c r="F2253" s="1" t="s">
        <v>988</v>
      </c>
      <c r="G2253" s="1" t="s">
        <v>279</v>
      </c>
      <c r="H2253" s="1" t="n">
        <v>17.4</v>
      </c>
      <c r="I2253" s="1" t="str">
        <f aca="false">B2253&amp;"|"&amp;F2253&amp;"|"&amp;G2253</f>
        <v>Farm Utility Buildings|SSLANT|Average</v>
      </c>
      <c r="J2253" s="1" t="s">
        <v>1087</v>
      </c>
    </row>
    <row r="2254" customFormat="false" ht="12" hidden="false" customHeight="true" outlineLevel="0" collapsed="false">
      <c r="B2254" s="1" t="s">
        <v>1085</v>
      </c>
      <c r="C2254" s="1" t="s">
        <v>1086</v>
      </c>
      <c r="D2254" s="1" t="s">
        <v>513</v>
      </c>
      <c r="E2254" s="1" t="s">
        <v>547</v>
      </c>
      <c r="F2254" s="1" t="s">
        <v>988</v>
      </c>
      <c r="G2254" s="1" t="s">
        <v>480</v>
      </c>
      <c r="H2254" s="1" t="n">
        <v>10.8</v>
      </c>
      <c r="I2254" s="1" t="str">
        <f aca="false">B2254&amp;"|"&amp;F2254&amp;"|"&amp;G2254</f>
        <v>Farm Utility Buildings|SSLANT|Low Cost</v>
      </c>
      <c r="J2254" s="1" t="s">
        <v>1087</v>
      </c>
    </row>
    <row r="2255" customFormat="false" ht="12" hidden="false" customHeight="true" outlineLevel="0" collapsed="false">
      <c r="B2255" s="1" t="s">
        <v>1088</v>
      </c>
      <c r="C2255" s="1" t="s">
        <v>1089</v>
      </c>
      <c r="D2255" s="1" t="s">
        <v>513</v>
      </c>
      <c r="E2255" s="1" t="s">
        <v>547</v>
      </c>
      <c r="F2255" s="1" t="s">
        <v>468</v>
      </c>
      <c r="G2255" s="1" t="s">
        <v>483</v>
      </c>
      <c r="H2255" s="1" t="n">
        <v>36.5</v>
      </c>
      <c r="I2255" s="1" t="str">
        <f aca="false">B2255&amp;"|"&amp;F2255&amp;"|"&amp;G2255</f>
        <v>Arch-Rib (Quonset) Farm Utility Buildings|D|Good</v>
      </c>
      <c r="J2255" s="1" t="s">
        <v>1087</v>
      </c>
    </row>
    <row r="2256" customFormat="false" ht="12" hidden="false" customHeight="true" outlineLevel="0" collapsed="false">
      <c r="B2256" s="1" t="s">
        <v>1088</v>
      </c>
      <c r="C2256" s="1" t="s">
        <v>1089</v>
      </c>
      <c r="D2256" s="1" t="s">
        <v>513</v>
      </c>
      <c r="E2256" s="1" t="s">
        <v>547</v>
      </c>
      <c r="F2256" s="1" t="s">
        <v>468</v>
      </c>
      <c r="G2256" s="1" t="s">
        <v>279</v>
      </c>
      <c r="H2256" s="1" t="n">
        <v>21.45</v>
      </c>
      <c r="I2256" s="1" t="str">
        <f aca="false">B2256&amp;"|"&amp;F2256&amp;"|"&amp;G2256</f>
        <v>Arch-Rib (Quonset) Farm Utility Buildings|D|Average</v>
      </c>
      <c r="J2256" s="1" t="s">
        <v>1087</v>
      </c>
    </row>
    <row r="2257" customFormat="false" ht="12" hidden="false" customHeight="true" outlineLevel="0" collapsed="false">
      <c r="B2257" s="1" t="s">
        <v>1088</v>
      </c>
      <c r="C2257" s="1" t="s">
        <v>1089</v>
      </c>
      <c r="D2257" s="1" t="s">
        <v>513</v>
      </c>
      <c r="E2257" s="1" t="s">
        <v>547</v>
      </c>
      <c r="F2257" s="1" t="s">
        <v>468</v>
      </c>
      <c r="G2257" s="1" t="s">
        <v>480</v>
      </c>
      <c r="H2257" s="1" t="n">
        <v>12.6</v>
      </c>
      <c r="I2257" s="1" t="str">
        <f aca="false">B2257&amp;"|"&amp;F2257&amp;"|"&amp;G2257</f>
        <v>Arch-Rib (Quonset) Farm Utility Buildings|D|Low Cost</v>
      </c>
      <c r="J2257" s="1" t="s">
        <v>1087</v>
      </c>
    </row>
    <row r="2258" customFormat="false" ht="12" hidden="false" customHeight="true" outlineLevel="0" collapsed="false">
      <c r="B2258" s="1" t="s">
        <v>1088</v>
      </c>
      <c r="C2258" s="1" t="s">
        <v>1089</v>
      </c>
      <c r="D2258" s="1" t="s">
        <v>513</v>
      </c>
      <c r="E2258" s="1" t="s">
        <v>547</v>
      </c>
      <c r="F2258" s="1" t="s">
        <v>566</v>
      </c>
      <c r="G2258" s="1" t="s">
        <v>483</v>
      </c>
      <c r="H2258" s="1" t="n">
        <v>34.5</v>
      </c>
      <c r="I2258" s="1" t="str">
        <f aca="false">B2258&amp;"|"&amp;F2258&amp;"|"&amp;G2258</f>
        <v>Arch-Rib (Quonset) Farm Utility Buildings|DPOLE|Good</v>
      </c>
      <c r="J2258" s="1" t="s">
        <v>1087</v>
      </c>
    </row>
    <row r="2259" customFormat="false" ht="12" hidden="false" customHeight="true" outlineLevel="0" collapsed="false">
      <c r="B2259" s="1" t="s">
        <v>1088</v>
      </c>
      <c r="C2259" s="1" t="s">
        <v>1089</v>
      </c>
      <c r="D2259" s="1" t="s">
        <v>513</v>
      </c>
      <c r="E2259" s="1" t="s">
        <v>547</v>
      </c>
      <c r="F2259" s="1" t="s">
        <v>566</v>
      </c>
      <c r="G2259" s="1" t="s">
        <v>279</v>
      </c>
      <c r="H2259" s="1" t="n">
        <v>20.05</v>
      </c>
      <c r="I2259" s="1" t="str">
        <f aca="false">B2259&amp;"|"&amp;F2259&amp;"|"&amp;G2259</f>
        <v>Arch-Rib (Quonset) Farm Utility Buildings|DPOLE|Average</v>
      </c>
      <c r="J2259" s="1" t="s">
        <v>1087</v>
      </c>
    </row>
    <row r="2260" customFormat="false" ht="12" hidden="false" customHeight="true" outlineLevel="0" collapsed="false">
      <c r="B2260" s="1" t="s">
        <v>1088</v>
      </c>
      <c r="C2260" s="1" t="s">
        <v>1089</v>
      </c>
      <c r="D2260" s="1" t="s">
        <v>513</v>
      </c>
      <c r="E2260" s="1" t="s">
        <v>547</v>
      </c>
      <c r="F2260" s="1" t="s">
        <v>566</v>
      </c>
      <c r="G2260" s="1" t="s">
        <v>480</v>
      </c>
      <c r="H2260" s="1" t="n">
        <v>11.65</v>
      </c>
      <c r="I2260" s="1" t="str">
        <f aca="false">B2260&amp;"|"&amp;F2260&amp;"|"&amp;G2260</f>
        <v>Arch-Rib (Quonset) Farm Utility Buildings|DPOLE|Low Cost</v>
      </c>
      <c r="J2260" s="1" t="s">
        <v>1087</v>
      </c>
    </row>
    <row r="2261" customFormat="false" ht="12" hidden="false" customHeight="true" outlineLevel="0" collapsed="false">
      <c r="B2261" s="1" t="s">
        <v>1088</v>
      </c>
      <c r="C2261" s="1" t="s">
        <v>1089</v>
      </c>
      <c r="D2261" s="1" t="s">
        <v>513</v>
      </c>
      <c r="E2261" s="1" t="s">
        <v>547</v>
      </c>
      <c r="F2261" s="1" t="s">
        <v>1090</v>
      </c>
      <c r="G2261" s="1" t="s">
        <v>279</v>
      </c>
      <c r="H2261" s="1" t="n">
        <v>14.15</v>
      </c>
      <c r="I2261" s="1" t="str">
        <f aca="false">B2261&amp;"|"&amp;F2261&amp;"|"&amp;G2261</f>
        <v>Arch-Rib (Quonset) Farm Utility Buildings|DHOOP|Average</v>
      </c>
      <c r="J2261" s="1" t="s">
        <v>1087</v>
      </c>
    </row>
    <row r="2262" customFormat="false" ht="12" hidden="false" customHeight="true" outlineLevel="0" collapsed="false">
      <c r="B2262" s="1" t="s">
        <v>1088</v>
      </c>
      <c r="C2262" s="1" t="s">
        <v>1089</v>
      </c>
      <c r="D2262" s="1" t="s">
        <v>513</v>
      </c>
      <c r="E2262" s="1" t="s">
        <v>547</v>
      </c>
      <c r="F2262" s="1" t="s">
        <v>1090</v>
      </c>
      <c r="G2262" s="1" t="s">
        <v>480</v>
      </c>
      <c r="H2262" s="1" t="n">
        <v>8.85</v>
      </c>
      <c r="I2262" s="1" t="str">
        <f aca="false">B2262&amp;"|"&amp;F2262&amp;"|"&amp;G2262</f>
        <v>Arch-Rib (Quonset) Farm Utility Buildings|DHOOP|Low Cost</v>
      </c>
      <c r="J2262" s="1" t="s">
        <v>1087</v>
      </c>
    </row>
    <row r="2263" customFormat="false" ht="12" hidden="false" customHeight="true" outlineLevel="0" collapsed="false">
      <c r="B2263" s="1" t="s">
        <v>1088</v>
      </c>
      <c r="C2263" s="1" t="s">
        <v>1089</v>
      </c>
      <c r="D2263" s="1" t="s">
        <v>513</v>
      </c>
      <c r="E2263" s="1" t="s">
        <v>547</v>
      </c>
      <c r="F2263" s="1" t="s">
        <v>473</v>
      </c>
      <c r="G2263" s="1" t="s">
        <v>483</v>
      </c>
      <c r="H2263" s="1" t="n">
        <v>35</v>
      </c>
      <c r="I2263" s="1" t="str">
        <f aca="false">B2263&amp;"|"&amp;F2263&amp;"|"&amp;G2263</f>
        <v>Arch-Rib (Quonset) Farm Utility Buildings|S|Good</v>
      </c>
      <c r="J2263" s="1" t="s">
        <v>1087</v>
      </c>
    </row>
    <row r="2264" customFormat="false" ht="12" hidden="false" customHeight="true" outlineLevel="0" collapsed="false">
      <c r="B2264" s="1" t="s">
        <v>1088</v>
      </c>
      <c r="C2264" s="1" t="s">
        <v>1089</v>
      </c>
      <c r="D2264" s="1" t="s">
        <v>513</v>
      </c>
      <c r="E2264" s="1" t="s">
        <v>547</v>
      </c>
      <c r="F2264" s="1" t="s">
        <v>473</v>
      </c>
      <c r="G2264" s="1" t="s">
        <v>279</v>
      </c>
      <c r="H2264" s="1" t="n">
        <v>20.45</v>
      </c>
      <c r="I2264" s="1" t="str">
        <f aca="false">B2264&amp;"|"&amp;F2264&amp;"|"&amp;G2264</f>
        <v>Arch-Rib (Quonset) Farm Utility Buildings|S|Average</v>
      </c>
      <c r="J2264" s="1" t="s">
        <v>1087</v>
      </c>
    </row>
    <row r="2265" customFormat="false" ht="12" hidden="false" customHeight="true" outlineLevel="0" collapsed="false">
      <c r="B2265" s="1" t="s">
        <v>1088</v>
      </c>
      <c r="C2265" s="1" t="s">
        <v>1089</v>
      </c>
      <c r="D2265" s="1" t="s">
        <v>513</v>
      </c>
      <c r="E2265" s="1" t="s">
        <v>547</v>
      </c>
      <c r="F2265" s="1" t="s">
        <v>614</v>
      </c>
      <c r="G2265" s="1" t="s">
        <v>480</v>
      </c>
      <c r="H2265" s="1" t="n">
        <v>11.95</v>
      </c>
      <c r="I2265" s="1" t="str">
        <f aca="false">B2265&amp;"|"&amp;F2265&amp;"|"&amp;G2265</f>
        <v>Arch-Rib (Quonset) Farm Utility Buildings|WALL|Low Cost</v>
      </c>
      <c r="J2265" s="1" t="s">
        <v>1087</v>
      </c>
    </row>
    <row r="2266" customFormat="false" ht="12" hidden="false" customHeight="true" outlineLevel="0" collapsed="false">
      <c r="B2266" s="1" t="s">
        <v>1091</v>
      </c>
      <c r="C2266" s="1" t="s">
        <v>1092</v>
      </c>
      <c r="D2266" s="1" t="s">
        <v>513</v>
      </c>
      <c r="E2266" s="1" t="s">
        <v>549</v>
      </c>
      <c r="F2266" s="1" t="s">
        <v>468</v>
      </c>
      <c r="G2266" s="1" t="s">
        <v>503</v>
      </c>
      <c r="H2266" s="1" t="n">
        <v>33</v>
      </c>
      <c r="I2266" s="1" t="str">
        <f aca="false">B2266&amp;"|"&amp;F2266&amp;"|"&amp;G2266</f>
        <v>Farm Utility/Grain Storage (Granary) Buildings|D|Very Good</v>
      </c>
      <c r="J2266" s="1" t="s">
        <v>1093</v>
      </c>
    </row>
    <row r="2267" customFormat="false" ht="12" hidden="false" customHeight="true" outlineLevel="0" collapsed="false">
      <c r="B2267" s="1" t="s">
        <v>1091</v>
      </c>
      <c r="C2267" s="1" t="s">
        <v>1092</v>
      </c>
      <c r="D2267" s="1" t="s">
        <v>513</v>
      </c>
      <c r="E2267" s="1" t="s">
        <v>549</v>
      </c>
      <c r="F2267" s="1" t="s">
        <v>468</v>
      </c>
      <c r="G2267" s="1" t="s">
        <v>483</v>
      </c>
      <c r="H2267" s="1" t="n">
        <v>30.5</v>
      </c>
      <c r="I2267" s="1" t="str">
        <f aca="false">B2267&amp;"|"&amp;F2267&amp;"|"&amp;G2267</f>
        <v>Farm Utility/Grain Storage (Granary) Buildings|D|Good</v>
      </c>
      <c r="J2267" s="1" t="s">
        <v>1093</v>
      </c>
    </row>
    <row r="2268" customFormat="false" ht="12" hidden="false" customHeight="true" outlineLevel="0" collapsed="false">
      <c r="B2268" s="1" t="s">
        <v>1091</v>
      </c>
      <c r="C2268" s="1" t="s">
        <v>1092</v>
      </c>
      <c r="D2268" s="1" t="s">
        <v>513</v>
      </c>
      <c r="E2268" s="1" t="s">
        <v>549</v>
      </c>
      <c r="F2268" s="1" t="s">
        <v>566</v>
      </c>
      <c r="G2268" s="1" t="s">
        <v>503</v>
      </c>
      <c r="H2268" s="1" t="n">
        <v>29.25</v>
      </c>
      <c r="I2268" s="1" t="str">
        <f aca="false">B2268&amp;"|"&amp;F2268&amp;"|"&amp;G2268</f>
        <v>Farm Utility/Grain Storage (Granary) Buildings|DPOLE|Very Good</v>
      </c>
      <c r="J2268" s="1" t="s">
        <v>1093</v>
      </c>
    </row>
    <row r="2269" customFormat="false" ht="12" hidden="false" customHeight="true" outlineLevel="0" collapsed="false">
      <c r="B2269" s="1" t="s">
        <v>1091</v>
      </c>
      <c r="C2269" s="1" t="s">
        <v>1092</v>
      </c>
      <c r="D2269" s="1" t="s">
        <v>513</v>
      </c>
      <c r="E2269" s="1" t="s">
        <v>549</v>
      </c>
      <c r="F2269" s="1" t="s">
        <v>566</v>
      </c>
      <c r="G2269" s="1" t="s">
        <v>483</v>
      </c>
      <c r="H2269" s="1" t="n">
        <v>27</v>
      </c>
      <c r="I2269" s="1" t="str">
        <f aca="false">B2269&amp;"|"&amp;F2269&amp;"|"&amp;G2269</f>
        <v>Farm Utility/Grain Storage (Granary) Buildings|DPOLE|Good</v>
      </c>
      <c r="J2269" s="1" t="s">
        <v>1093</v>
      </c>
    </row>
    <row r="2270" customFormat="false" ht="12" hidden="false" customHeight="true" outlineLevel="0" collapsed="false">
      <c r="B2270" s="1" t="s">
        <v>1091</v>
      </c>
      <c r="C2270" s="1" t="s">
        <v>1092</v>
      </c>
      <c r="D2270" s="1" t="s">
        <v>513</v>
      </c>
      <c r="E2270" s="1" t="s">
        <v>549</v>
      </c>
      <c r="F2270" s="1" t="s">
        <v>1090</v>
      </c>
      <c r="G2270" s="1" t="s">
        <v>483</v>
      </c>
      <c r="H2270" s="1" t="n">
        <v>22.75</v>
      </c>
      <c r="I2270" s="1" t="str">
        <f aca="false">B2270&amp;"|"&amp;F2270&amp;"|"&amp;G2270</f>
        <v>Farm Utility/Grain Storage (Granary) Buildings|DHOOP|Good</v>
      </c>
      <c r="J2270" s="1" t="s">
        <v>1093</v>
      </c>
    </row>
    <row r="2271" customFormat="false" ht="12" hidden="false" customHeight="true" outlineLevel="0" collapsed="false">
      <c r="B2271" s="1" t="s">
        <v>1091</v>
      </c>
      <c r="C2271" s="1" t="s">
        <v>1092</v>
      </c>
      <c r="D2271" s="1" t="s">
        <v>513</v>
      </c>
      <c r="E2271" s="1" t="s">
        <v>549</v>
      </c>
      <c r="F2271" s="1" t="s">
        <v>473</v>
      </c>
      <c r="G2271" s="1" t="s">
        <v>483</v>
      </c>
      <c r="H2271" s="1" t="n">
        <v>30.25</v>
      </c>
      <c r="I2271" s="1" t="str">
        <f aca="false">B2271&amp;"|"&amp;F2271&amp;"|"&amp;G2271</f>
        <v>Farm Utility/Grain Storage (Granary) Buildings|S|Good</v>
      </c>
      <c r="J2271" s="1" t="s">
        <v>1093</v>
      </c>
    </row>
    <row r="2272" customFormat="false" ht="12" hidden="false" customHeight="true" outlineLevel="0" collapsed="false">
      <c r="B2272" s="1" t="s">
        <v>1091</v>
      </c>
      <c r="C2272" s="1" t="s">
        <v>1092</v>
      </c>
      <c r="D2272" s="1" t="s">
        <v>513</v>
      </c>
      <c r="E2272" s="1" t="s">
        <v>549</v>
      </c>
      <c r="F2272" s="1" t="s">
        <v>988</v>
      </c>
      <c r="G2272" s="1" t="s">
        <v>483</v>
      </c>
      <c r="H2272" s="1" t="n">
        <v>28.25</v>
      </c>
      <c r="I2272" s="1" t="str">
        <f aca="false">B2272&amp;"|"&amp;F2272&amp;"|"&amp;G2272</f>
        <v>Farm Utility/Grain Storage (Granary) Buildings|SSLANT|Good</v>
      </c>
      <c r="J2272" s="1" t="s">
        <v>1093</v>
      </c>
    </row>
    <row r="2273" customFormat="false" ht="12" hidden="false" customHeight="true" outlineLevel="0" collapsed="false">
      <c r="B2273" s="1" t="s">
        <v>1094</v>
      </c>
      <c r="C2273" s="1" t="s">
        <v>1095</v>
      </c>
      <c r="D2273" s="1" t="s">
        <v>513</v>
      </c>
      <c r="E2273" s="1" t="s">
        <v>549</v>
      </c>
      <c r="F2273" s="1" t="s">
        <v>463</v>
      </c>
      <c r="G2273" s="1" t="s">
        <v>480</v>
      </c>
      <c r="H2273" s="1" t="n">
        <v>16.9</v>
      </c>
      <c r="I2273" s="1" t="str">
        <f aca="false">B2273&amp;"|"&amp;F2273&amp;"|"&amp;G2273</f>
        <v>Farm Utility Storage Sheds|C|Low Cost</v>
      </c>
      <c r="J2273" s="1" t="s">
        <v>1093</v>
      </c>
    </row>
    <row r="2274" customFormat="false" ht="12" hidden="false" customHeight="true" outlineLevel="0" collapsed="false">
      <c r="B2274" s="1" t="s">
        <v>1094</v>
      </c>
      <c r="C2274" s="1" t="s">
        <v>1095</v>
      </c>
      <c r="D2274" s="1" t="s">
        <v>513</v>
      </c>
      <c r="E2274" s="1" t="s">
        <v>549</v>
      </c>
      <c r="F2274" s="1" t="s">
        <v>468</v>
      </c>
      <c r="G2274" s="1" t="s">
        <v>483</v>
      </c>
      <c r="H2274" s="1" t="n">
        <v>12</v>
      </c>
      <c r="I2274" s="1" t="str">
        <f aca="false">B2274&amp;"|"&amp;F2274&amp;"|"&amp;G2274</f>
        <v>Farm Utility Storage Sheds|D|Good</v>
      </c>
      <c r="J2274" s="1" t="s">
        <v>1093</v>
      </c>
    </row>
    <row r="2275" customFormat="false" ht="12" hidden="false" customHeight="true" outlineLevel="0" collapsed="false">
      <c r="B2275" s="1" t="s">
        <v>1094</v>
      </c>
      <c r="C2275" s="1" t="s">
        <v>1095</v>
      </c>
      <c r="D2275" s="1" t="s">
        <v>513</v>
      </c>
      <c r="E2275" s="1" t="s">
        <v>549</v>
      </c>
      <c r="F2275" s="1" t="s">
        <v>468</v>
      </c>
      <c r="G2275" s="1" t="s">
        <v>279</v>
      </c>
      <c r="H2275" s="1" t="n">
        <v>10.75</v>
      </c>
      <c r="I2275" s="1" t="str">
        <f aca="false">B2275&amp;"|"&amp;F2275&amp;"|"&amp;G2275</f>
        <v>Farm Utility Storage Sheds|D|Average</v>
      </c>
      <c r="J2275" s="1" t="s">
        <v>1093</v>
      </c>
    </row>
    <row r="2276" customFormat="false" ht="12" hidden="false" customHeight="true" outlineLevel="0" collapsed="false">
      <c r="B2276" s="1" t="s">
        <v>1094</v>
      </c>
      <c r="C2276" s="1" t="s">
        <v>1095</v>
      </c>
      <c r="D2276" s="1" t="s">
        <v>513</v>
      </c>
      <c r="E2276" s="1" t="s">
        <v>549</v>
      </c>
      <c r="F2276" s="1" t="s">
        <v>468</v>
      </c>
      <c r="G2276" s="1" t="s">
        <v>480</v>
      </c>
      <c r="H2276" s="1" t="n">
        <v>9.64</v>
      </c>
      <c r="I2276" s="1" t="str">
        <f aca="false">B2276&amp;"|"&amp;F2276&amp;"|"&amp;G2276</f>
        <v>Farm Utility Storage Sheds|D|Low Cost</v>
      </c>
      <c r="J2276" s="1" t="s">
        <v>1093</v>
      </c>
    </row>
    <row r="2277" customFormat="false" ht="12" hidden="false" customHeight="true" outlineLevel="0" collapsed="false">
      <c r="B2277" s="1" t="s">
        <v>1094</v>
      </c>
      <c r="C2277" s="1" t="s">
        <v>1095</v>
      </c>
      <c r="D2277" s="1" t="s">
        <v>513</v>
      </c>
      <c r="E2277" s="1" t="s">
        <v>549</v>
      </c>
      <c r="F2277" s="1" t="s">
        <v>566</v>
      </c>
      <c r="G2277" s="1" t="s">
        <v>480</v>
      </c>
      <c r="H2277" s="1" t="n">
        <v>8.02</v>
      </c>
      <c r="I2277" s="1" t="str">
        <f aca="false">B2277&amp;"|"&amp;F2277&amp;"|"&amp;G2277</f>
        <v>Farm Utility Storage Sheds|DPOLE|Low Cost</v>
      </c>
      <c r="J2277" s="1" t="s">
        <v>1093</v>
      </c>
    </row>
    <row r="2278" customFormat="false" ht="12" hidden="false" customHeight="true" outlineLevel="0" collapsed="false">
      <c r="B2278" s="1" t="s">
        <v>1094</v>
      </c>
      <c r="C2278" s="1" t="s">
        <v>1095</v>
      </c>
      <c r="D2278" s="1" t="s">
        <v>513</v>
      </c>
      <c r="E2278" s="1" t="s">
        <v>549</v>
      </c>
      <c r="F2278" s="1" t="s">
        <v>473</v>
      </c>
      <c r="G2278" s="1" t="s">
        <v>480</v>
      </c>
      <c r="H2278" s="1" t="n">
        <v>10.5</v>
      </c>
      <c r="I2278" s="1" t="str">
        <f aca="false">B2278&amp;"|"&amp;F2278&amp;"|"&amp;G2278</f>
        <v>Farm Utility Storage Sheds|S|Low Cost</v>
      </c>
      <c r="J2278" s="1" t="s">
        <v>1093</v>
      </c>
    </row>
    <row r="2279" customFormat="false" ht="12" hidden="false" customHeight="true" outlineLevel="0" collapsed="false">
      <c r="B2279" s="1" t="s">
        <v>1094</v>
      </c>
      <c r="C2279" s="1" t="s">
        <v>1095</v>
      </c>
      <c r="D2279" s="1" t="s">
        <v>513</v>
      </c>
      <c r="E2279" s="1" t="s">
        <v>549</v>
      </c>
      <c r="F2279" s="1" t="s">
        <v>988</v>
      </c>
      <c r="G2279" s="1" t="s">
        <v>480</v>
      </c>
      <c r="H2279" s="1" t="n">
        <v>9.63</v>
      </c>
      <c r="I2279" s="1" t="str">
        <f aca="false">B2279&amp;"|"&amp;F2279&amp;"|"&amp;G2279</f>
        <v>Farm Utility Storage Sheds|SSLANT|Low Cost</v>
      </c>
      <c r="J2279" s="1" t="s">
        <v>1093</v>
      </c>
    </row>
    <row r="2280" customFormat="false" ht="12" hidden="false" customHeight="true" outlineLevel="0" collapsed="false">
      <c r="B2280" s="1" t="s">
        <v>1096</v>
      </c>
      <c r="C2280" s="1" t="s">
        <v>1097</v>
      </c>
      <c r="D2280" s="1" t="s">
        <v>513</v>
      </c>
      <c r="E2280" s="1" t="s">
        <v>549</v>
      </c>
      <c r="F2280" s="1" t="s">
        <v>468</v>
      </c>
      <c r="G2280" s="1" t="s">
        <v>483</v>
      </c>
      <c r="H2280" s="1" t="n">
        <v>17.6</v>
      </c>
      <c r="I2280" s="1" t="str">
        <f aca="false">B2280&amp;"|"&amp;F2280&amp;"|"&amp;G2280</f>
        <v>Farm Utility Lean-Tos|D|Good</v>
      </c>
      <c r="J2280" s="1" t="s">
        <v>1093</v>
      </c>
    </row>
    <row r="2281" customFormat="false" ht="12" hidden="false" customHeight="true" outlineLevel="0" collapsed="false">
      <c r="B2281" s="1" t="s">
        <v>1096</v>
      </c>
      <c r="C2281" s="1" t="s">
        <v>1097</v>
      </c>
      <c r="D2281" s="1" t="s">
        <v>513</v>
      </c>
      <c r="E2281" s="1" t="s">
        <v>549</v>
      </c>
      <c r="F2281" s="1" t="s">
        <v>468</v>
      </c>
      <c r="G2281" s="1" t="s">
        <v>279</v>
      </c>
      <c r="H2281" s="1" t="n">
        <v>12.4</v>
      </c>
      <c r="I2281" s="1" t="str">
        <f aca="false">B2281&amp;"|"&amp;F2281&amp;"|"&amp;G2281</f>
        <v>Farm Utility Lean-Tos|D|Average</v>
      </c>
      <c r="J2281" s="1" t="s">
        <v>1093</v>
      </c>
    </row>
    <row r="2282" customFormat="false" ht="12" hidden="false" customHeight="true" outlineLevel="0" collapsed="false">
      <c r="B2282" s="1" t="s">
        <v>1096</v>
      </c>
      <c r="C2282" s="1" t="s">
        <v>1097</v>
      </c>
      <c r="D2282" s="1" t="s">
        <v>513</v>
      </c>
      <c r="E2282" s="1" t="s">
        <v>549</v>
      </c>
      <c r="F2282" s="1" t="s">
        <v>468</v>
      </c>
      <c r="G2282" s="1" t="s">
        <v>480</v>
      </c>
      <c r="H2282" s="1" t="n">
        <v>8.72</v>
      </c>
      <c r="I2282" s="1" t="str">
        <f aca="false">B2282&amp;"|"&amp;F2282&amp;"|"&amp;G2282</f>
        <v>Farm Utility Lean-Tos|D|Low Cost</v>
      </c>
      <c r="J2282" s="1" t="s">
        <v>1093</v>
      </c>
    </row>
    <row r="2283" customFormat="false" ht="12" hidden="false" customHeight="true" outlineLevel="0" collapsed="false">
      <c r="B2283" s="1" t="s">
        <v>1096</v>
      </c>
      <c r="C2283" s="1" t="s">
        <v>1097</v>
      </c>
      <c r="D2283" s="1" t="s">
        <v>513</v>
      </c>
      <c r="E2283" s="1" t="s">
        <v>549</v>
      </c>
      <c r="F2283" s="1" t="s">
        <v>566</v>
      </c>
      <c r="G2283" s="1" t="s">
        <v>483</v>
      </c>
      <c r="H2283" s="1" t="n">
        <v>15.4</v>
      </c>
      <c r="I2283" s="1" t="str">
        <f aca="false">B2283&amp;"|"&amp;F2283&amp;"|"&amp;G2283</f>
        <v>Farm Utility Lean-Tos|DPOLE|Good</v>
      </c>
      <c r="J2283" s="1" t="s">
        <v>1093</v>
      </c>
    </row>
    <row r="2284" customFormat="false" ht="12" hidden="false" customHeight="true" outlineLevel="0" collapsed="false">
      <c r="B2284" s="1" t="s">
        <v>1096</v>
      </c>
      <c r="C2284" s="1" t="s">
        <v>1097</v>
      </c>
      <c r="D2284" s="1" t="s">
        <v>513</v>
      </c>
      <c r="E2284" s="1" t="s">
        <v>549</v>
      </c>
      <c r="F2284" s="1" t="s">
        <v>566</v>
      </c>
      <c r="G2284" s="1" t="s">
        <v>279</v>
      </c>
      <c r="H2284" s="1" t="n">
        <v>10.9</v>
      </c>
      <c r="I2284" s="1" t="str">
        <f aca="false">B2284&amp;"|"&amp;F2284&amp;"|"&amp;G2284</f>
        <v>Farm Utility Lean-Tos|DPOLE|Average</v>
      </c>
      <c r="J2284" s="1" t="s">
        <v>1093</v>
      </c>
    </row>
    <row r="2285" customFormat="false" ht="12" hidden="false" customHeight="true" outlineLevel="0" collapsed="false">
      <c r="B2285" s="1" t="s">
        <v>1096</v>
      </c>
      <c r="C2285" s="1" t="s">
        <v>1097</v>
      </c>
      <c r="D2285" s="1" t="s">
        <v>513</v>
      </c>
      <c r="E2285" s="1" t="s">
        <v>549</v>
      </c>
      <c r="F2285" s="1" t="s">
        <v>566</v>
      </c>
      <c r="G2285" s="1" t="s">
        <v>480</v>
      </c>
      <c r="H2285" s="1" t="n">
        <v>7.69</v>
      </c>
      <c r="I2285" s="1" t="str">
        <f aca="false">B2285&amp;"|"&amp;F2285&amp;"|"&amp;G2285</f>
        <v>Farm Utility Lean-Tos|DPOLE|Low Cost</v>
      </c>
      <c r="J2285" s="1" t="s">
        <v>1093</v>
      </c>
    </row>
    <row r="2286" customFormat="false" ht="12" hidden="false" customHeight="true" outlineLevel="0" collapsed="false">
      <c r="B2286" s="1" t="s">
        <v>1096</v>
      </c>
      <c r="C2286" s="1" t="s">
        <v>1097</v>
      </c>
      <c r="D2286" s="1" t="s">
        <v>513</v>
      </c>
      <c r="E2286" s="1" t="s">
        <v>549</v>
      </c>
      <c r="F2286" s="1" t="s">
        <v>473</v>
      </c>
      <c r="G2286" s="1" t="s">
        <v>483</v>
      </c>
      <c r="H2286" s="1" t="n">
        <v>17.05</v>
      </c>
      <c r="I2286" s="1" t="str">
        <f aca="false">B2286&amp;"|"&amp;F2286&amp;"|"&amp;G2286</f>
        <v>Farm Utility Lean-Tos|S|Good</v>
      </c>
      <c r="J2286" s="1" t="s">
        <v>1093</v>
      </c>
    </row>
    <row r="2287" customFormat="false" ht="12" hidden="false" customHeight="true" outlineLevel="0" collapsed="false">
      <c r="B2287" s="1" t="s">
        <v>1096</v>
      </c>
      <c r="C2287" s="1" t="s">
        <v>1097</v>
      </c>
      <c r="D2287" s="1" t="s">
        <v>513</v>
      </c>
      <c r="E2287" s="1" t="s">
        <v>549</v>
      </c>
      <c r="F2287" s="1" t="s">
        <v>473</v>
      </c>
      <c r="G2287" s="1" t="s">
        <v>279</v>
      </c>
      <c r="H2287" s="1" t="n">
        <v>12.5</v>
      </c>
      <c r="I2287" s="1" t="str">
        <f aca="false">B2287&amp;"|"&amp;F2287&amp;"|"&amp;G2287</f>
        <v>Farm Utility Lean-Tos|S|Average</v>
      </c>
      <c r="J2287" s="1" t="s">
        <v>1093</v>
      </c>
    </row>
    <row r="2288" customFormat="false" ht="12" hidden="false" customHeight="true" outlineLevel="0" collapsed="false">
      <c r="B2288" s="1" t="s">
        <v>1096</v>
      </c>
      <c r="C2288" s="1" t="s">
        <v>1097</v>
      </c>
      <c r="D2288" s="1" t="s">
        <v>513</v>
      </c>
      <c r="E2288" s="1" t="s">
        <v>549</v>
      </c>
      <c r="F2288" s="1" t="s">
        <v>473</v>
      </c>
      <c r="G2288" s="1" t="s">
        <v>480</v>
      </c>
      <c r="H2288" s="1" t="n">
        <v>9.19</v>
      </c>
      <c r="I2288" s="1" t="str">
        <f aca="false">B2288&amp;"|"&amp;F2288&amp;"|"&amp;G2288</f>
        <v>Farm Utility Lean-Tos|S|Low Cost</v>
      </c>
      <c r="J2288" s="1" t="s">
        <v>1093</v>
      </c>
    </row>
    <row r="2289" customFormat="false" ht="12" hidden="false" customHeight="true" outlineLevel="0" collapsed="false">
      <c r="B2289" s="1" t="s">
        <v>1098</v>
      </c>
      <c r="C2289" s="1" t="s">
        <v>1099</v>
      </c>
      <c r="D2289" s="1" t="s">
        <v>513</v>
      </c>
      <c r="E2289" s="1" t="s">
        <v>553</v>
      </c>
      <c r="F2289" s="1" t="s">
        <v>463</v>
      </c>
      <c r="G2289" s="1" t="s">
        <v>279</v>
      </c>
      <c r="H2289" s="1" t="n">
        <v>24.35</v>
      </c>
      <c r="I2289" s="1" t="str">
        <f aca="false">B2289&amp;"|"&amp;F2289&amp;"|"&amp;G2289</f>
        <v>Farm Commodity Storage Sheds|C|Average</v>
      </c>
      <c r="J2289" s="1" t="s">
        <v>1100</v>
      </c>
    </row>
    <row r="2290" customFormat="false" ht="12" hidden="false" customHeight="true" outlineLevel="0" collapsed="false">
      <c r="B2290" s="1" t="s">
        <v>1098</v>
      </c>
      <c r="C2290" s="1" t="s">
        <v>1099</v>
      </c>
      <c r="D2290" s="1" t="s">
        <v>513</v>
      </c>
      <c r="E2290" s="1" t="s">
        <v>553</v>
      </c>
      <c r="F2290" s="1" t="s">
        <v>468</v>
      </c>
      <c r="G2290" s="1" t="s">
        <v>279</v>
      </c>
      <c r="H2290" s="1" t="n">
        <v>17.5</v>
      </c>
      <c r="I2290" s="1" t="str">
        <f aca="false">B2290&amp;"|"&amp;F2290&amp;"|"&amp;G2290</f>
        <v>Farm Commodity Storage Sheds|D|Average</v>
      </c>
      <c r="J2290" s="1" t="s">
        <v>1100</v>
      </c>
    </row>
    <row r="2291" customFormat="false" ht="12" hidden="false" customHeight="true" outlineLevel="0" collapsed="false">
      <c r="B2291" s="1" t="s">
        <v>1098</v>
      </c>
      <c r="C2291" s="1" t="s">
        <v>1099</v>
      </c>
      <c r="D2291" s="1" t="s">
        <v>513</v>
      </c>
      <c r="E2291" s="1" t="s">
        <v>553</v>
      </c>
      <c r="F2291" s="1" t="s">
        <v>566</v>
      </c>
      <c r="G2291" s="1" t="s">
        <v>279</v>
      </c>
      <c r="H2291" s="1" t="n">
        <v>16.1</v>
      </c>
      <c r="I2291" s="1" t="str">
        <f aca="false">B2291&amp;"|"&amp;F2291&amp;"|"&amp;G2291</f>
        <v>Farm Commodity Storage Sheds|DPOLE|Average</v>
      </c>
      <c r="J2291" s="1" t="s">
        <v>1100</v>
      </c>
    </row>
    <row r="2292" customFormat="false" ht="12" hidden="false" customHeight="true" outlineLevel="0" collapsed="false">
      <c r="B2292" s="1" t="s">
        <v>1098</v>
      </c>
      <c r="C2292" s="1" t="s">
        <v>1099</v>
      </c>
      <c r="D2292" s="1" t="s">
        <v>513</v>
      </c>
      <c r="E2292" s="1" t="s">
        <v>553</v>
      </c>
      <c r="F2292" s="1" t="s">
        <v>473</v>
      </c>
      <c r="G2292" s="1" t="s">
        <v>279</v>
      </c>
      <c r="H2292" s="1" t="n">
        <v>18.5</v>
      </c>
      <c r="I2292" s="1" t="str">
        <f aca="false">B2292&amp;"|"&amp;F2292&amp;"|"&amp;G2292</f>
        <v>Farm Commodity Storage Sheds|S|Average</v>
      </c>
      <c r="J2292" s="1" t="s">
        <v>1100</v>
      </c>
    </row>
    <row r="2293" customFormat="false" ht="12" hidden="false" customHeight="true" outlineLevel="0" collapsed="false">
      <c r="B2293" s="1" t="s">
        <v>1101</v>
      </c>
      <c r="C2293" s="1" t="s">
        <v>1102</v>
      </c>
      <c r="D2293" s="1" t="s">
        <v>513</v>
      </c>
      <c r="E2293" s="1" t="s">
        <v>553</v>
      </c>
      <c r="F2293" s="1" t="s">
        <v>468</v>
      </c>
      <c r="G2293" s="1" t="s">
        <v>483</v>
      </c>
      <c r="H2293" s="1" t="n">
        <v>25.75</v>
      </c>
      <c r="I2293" s="1" t="str">
        <f aca="false">B2293&amp;"|"&amp;F2293&amp;"|"&amp;G2293</f>
        <v>Corn Crib Buildings – Spaced Boards|D|Good</v>
      </c>
      <c r="J2293" s="1" t="s">
        <v>1100</v>
      </c>
    </row>
    <row r="2294" customFormat="false" ht="12" hidden="false" customHeight="true" outlineLevel="0" collapsed="false">
      <c r="B2294" s="1" t="s">
        <v>1101</v>
      </c>
      <c r="C2294" s="1" t="s">
        <v>1102</v>
      </c>
      <c r="D2294" s="1" t="s">
        <v>513</v>
      </c>
      <c r="E2294" s="1" t="s">
        <v>553</v>
      </c>
      <c r="F2294" s="1" t="s">
        <v>468</v>
      </c>
      <c r="G2294" s="1" t="s">
        <v>279</v>
      </c>
      <c r="H2294" s="1" t="n">
        <v>24.2</v>
      </c>
      <c r="I2294" s="1" t="str">
        <f aca="false">B2294&amp;"|"&amp;F2294&amp;"|"&amp;G2294</f>
        <v>Corn Crib Buildings – Spaced Boards|D|Average</v>
      </c>
      <c r="J2294" s="1" t="s">
        <v>1100</v>
      </c>
    </row>
    <row r="2295" customFormat="false" ht="12" hidden="false" customHeight="true" outlineLevel="0" collapsed="false">
      <c r="B2295" s="1" t="s">
        <v>1103</v>
      </c>
      <c r="C2295" s="1" t="s">
        <v>1104</v>
      </c>
      <c r="D2295" s="1" t="s">
        <v>513</v>
      </c>
      <c r="E2295" s="1" t="s">
        <v>553</v>
      </c>
      <c r="F2295" s="1" t="s">
        <v>468</v>
      </c>
      <c r="G2295" s="1" t="s">
        <v>483</v>
      </c>
      <c r="H2295" s="1" t="n">
        <v>23.7</v>
      </c>
      <c r="I2295" s="1" t="str">
        <f aca="false">B2295&amp;"|"&amp;F2295&amp;"|"&amp;G2295</f>
        <v>Corn Crib Buildings – Wire Mesh|D|Good</v>
      </c>
      <c r="J2295" s="1" t="s">
        <v>1100</v>
      </c>
    </row>
    <row r="2296" customFormat="false" ht="12" hidden="false" customHeight="true" outlineLevel="0" collapsed="false">
      <c r="B2296" s="1" t="s">
        <v>1103</v>
      </c>
      <c r="C2296" s="1" t="s">
        <v>1104</v>
      </c>
      <c r="D2296" s="1" t="s">
        <v>513</v>
      </c>
      <c r="E2296" s="1" t="s">
        <v>553</v>
      </c>
      <c r="F2296" s="1" t="s">
        <v>468</v>
      </c>
      <c r="G2296" s="1" t="s">
        <v>279</v>
      </c>
      <c r="H2296" s="1" t="n">
        <v>22.1</v>
      </c>
      <c r="I2296" s="1" t="str">
        <f aca="false">B2296&amp;"|"&amp;F2296&amp;"|"&amp;G2296</f>
        <v>Corn Crib Buildings – Wire Mesh|D|Average</v>
      </c>
      <c r="J2296" s="1" t="s">
        <v>1100</v>
      </c>
    </row>
    <row r="2297" customFormat="false" ht="12" hidden="false" customHeight="true" outlineLevel="0" collapsed="false">
      <c r="B2297" s="1" t="s">
        <v>1105</v>
      </c>
      <c r="C2297" s="1" t="s">
        <v>1106</v>
      </c>
      <c r="D2297" s="1" t="s">
        <v>513</v>
      </c>
      <c r="E2297" s="1" t="s">
        <v>553</v>
      </c>
      <c r="F2297" s="1" t="s">
        <v>463</v>
      </c>
      <c r="G2297" s="1" t="s">
        <v>483</v>
      </c>
      <c r="H2297" s="1" t="n">
        <v>40</v>
      </c>
      <c r="I2297" s="1" t="str">
        <f aca="false">B2297&amp;"|"&amp;F2297&amp;"|"&amp;G2297</f>
        <v>Farm Implement (Equipment Shop) Buildings|C|Good</v>
      </c>
      <c r="J2297" s="1" t="s">
        <v>1100</v>
      </c>
    </row>
    <row r="2298" customFormat="false" ht="12" hidden="false" customHeight="true" outlineLevel="0" collapsed="false">
      <c r="B2298" s="1" t="s">
        <v>1105</v>
      </c>
      <c r="C2298" s="1" t="s">
        <v>1106</v>
      </c>
      <c r="D2298" s="1" t="s">
        <v>513</v>
      </c>
      <c r="E2298" s="1" t="s">
        <v>553</v>
      </c>
      <c r="F2298" s="1" t="s">
        <v>463</v>
      </c>
      <c r="G2298" s="1" t="s">
        <v>279</v>
      </c>
      <c r="H2298" s="1" t="n">
        <v>31.25</v>
      </c>
      <c r="I2298" s="1" t="str">
        <f aca="false">B2298&amp;"|"&amp;F2298&amp;"|"&amp;G2298</f>
        <v>Farm Implement (Equipment Shop) Buildings|C|Average</v>
      </c>
      <c r="J2298" s="1" t="s">
        <v>1100</v>
      </c>
    </row>
    <row r="2299" customFormat="false" ht="12" hidden="false" customHeight="true" outlineLevel="0" collapsed="false">
      <c r="B2299" s="1" t="s">
        <v>1105</v>
      </c>
      <c r="C2299" s="1" t="s">
        <v>1106</v>
      </c>
      <c r="D2299" s="1" t="s">
        <v>513</v>
      </c>
      <c r="E2299" s="1" t="s">
        <v>553</v>
      </c>
      <c r="F2299" s="1" t="s">
        <v>468</v>
      </c>
      <c r="G2299" s="1" t="s">
        <v>483</v>
      </c>
      <c r="H2299" s="1" t="n">
        <v>32.25</v>
      </c>
      <c r="I2299" s="1" t="str">
        <f aca="false">B2299&amp;"|"&amp;F2299&amp;"|"&amp;G2299</f>
        <v>Farm Implement (Equipment Shop) Buildings|D|Good</v>
      </c>
      <c r="J2299" s="1" t="s">
        <v>1100</v>
      </c>
    </row>
    <row r="2300" customFormat="false" ht="12" hidden="false" customHeight="true" outlineLevel="0" collapsed="false">
      <c r="B2300" s="1" t="s">
        <v>1105</v>
      </c>
      <c r="C2300" s="1" t="s">
        <v>1106</v>
      </c>
      <c r="D2300" s="1" t="s">
        <v>513</v>
      </c>
      <c r="E2300" s="1" t="s">
        <v>553</v>
      </c>
      <c r="F2300" s="1" t="s">
        <v>468</v>
      </c>
      <c r="G2300" s="1" t="s">
        <v>279</v>
      </c>
      <c r="H2300" s="1" t="n">
        <v>22.8</v>
      </c>
      <c r="I2300" s="1" t="str">
        <f aca="false">B2300&amp;"|"&amp;F2300&amp;"|"&amp;G2300</f>
        <v>Farm Implement (Equipment Shop) Buildings|D|Average</v>
      </c>
      <c r="J2300" s="1" t="s">
        <v>1100</v>
      </c>
    </row>
    <row r="2301" customFormat="false" ht="12" hidden="false" customHeight="true" outlineLevel="0" collapsed="false">
      <c r="B2301" s="1" t="s">
        <v>1105</v>
      </c>
      <c r="C2301" s="1" t="s">
        <v>1106</v>
      </c>
      <c r="D2301" s="1" t="s">
        <v>513</v>
      </c>
      <c r="E2301" s="1" t="s">
        <v>553</v>
      </c>
      <c r="F2301" s="1" t="s">
        <v>566</v>
      </c>
      <c r="G2301" s="1" t="s">
        <v>483</v>
      </c>
      <c r="H2301" s="1" t="n">
        <v>29</v>
      </c>
      <c r="I2301" s="1" t="str">
        <f aca="false">B2301&amp;"|"&amp;F2301&amp;"|"&amp;G2301</f>
        <v>Farm Implement (Equipment Shop) Buildings|DPOLE|Good</v>
      </c>
      <c r="J2301" s="1" t="s">
        <v>1100</v>
      </c>
    </row>
    <row r="2302" customFormat="false" ht="12" hidden="false" customHeight="true" outlineLevel="0" collapsed="false">
      <c r="B2302" s="1" t="s">
        <v>1105</v>
      </c>
      <c r="C2302" s="1" t="s">
        <v>1106</v>
      </c>
      <c r="D2302" s="1" t="s">
        <v>513</v>
      </c>
      <c r="E2302" s="1" t="s">
        <v>553</v>
      </c>
      <c r="F2302" s="1" t="s">
        <v>566</v>
      </c>
      <c r="G2302" s="1" t="s">
        <v>279</v>
      </c>
      <c r="H2302" s="1" t="n">
        <v>19.95</v>
      </c>
      <c r="I2302" s="1" t="str">
        <f aca="false">B2302&amp;"|"&amp;F2302&amp;"|"&amp;G2302</f>
        <v>Farm Implement (Equipment Shop) Buildings|DPOLE|Average</v>
      </c>
      <c r="J2302" s="1" t="s">
        <v>1100</v>
      </c>
    </row>
    <row r="2303" customFormat="false" ht="12" hidden="false" customHeight="true" outlineLevel="0" collapsed="false">
      <c r="B2303" s="1" t="s">
        <v>1105</v>
      </c>
      <c r="C2303" s="1" t="s">
        <v>1106</v>
      </c>
      <c r="D2303" s="1" t="s">
        <v>513</v>
      </c>
      <c r="E2303" s="1" t="s">
        <v>553</v>
      </c>
      <c r="F2303" s="1" t="s">
        <v>566</v>
      </c>
      <c r="G2303" s="1" t="s">
        <v>480</v>
      </c>
      <c r="H2303" s="1" t="n">
        <v>13.8</v>
      </c>
      <c r="I2303" s="1" t="str">
        <f aca="false">B2303&amp;"|"&amp;F2303&amp;"|"&amp;G2303</f>
        <v>Farm Implement (Equipment Shop) Buildings|DPOLE|Low Cost</v>
      </c>
      <c r="J2303" s="1" t="s">
        <v>1100</v>
      </c>
    </row>
    <row r="2304" customFormat="false" ht="12" hidden="false" customHeight="true" outlineLevel="0" collapsed="false">
      <c r="B2304" s="1" t="s">
        <v>1105</v>
      </c>
      <c r="C2304" s="1" t="s">
        <v>1106</v>
      </c>
      <c r="D2304" s="1" t="s">
        <v>513</v>
      </c>
      <c r="E2304" s="1" t="s">
        <v>553</v>
      </c>
      <c r="F2304" s="1" t="s">
        <v>473</v>
      </c>
      <c r="G2304" s="1" t="s">
        <v>483</v>
      </c>
      <c r="H2304" s="1" t="n">
        <v>32</v>
      </c>
      <c r="I2304" s="1" t="str">
        <f aca="false">B2304&amp;"|"&amp;F2304&amp;"|"&amp;G2304</f>
        <v>Farm Implement (Equipment Shop) Buildings|S|Good</v>
      </c>
      <c r="J2304" s="1" t="s">
        <v>1100</v>
      </c>
    </row>
    <row r="2305" customFormat="false" ht="12" hidden="false" customHeight="true" outlineLevel="0" collapsed="false">
      <c r="B2305" s="1" t="s">
        <v>1105</v>
      </c>
      <c r="C2305" s="1" t="s">
        <v>1106</v>
      </c>
      <c r="D2305" s="1" t="s">
        <v>513</v>
      </c>
      <c r="E2305" s="1" t="s">
        <v>553</v>
      </c>
      <c r="F2305" s="1" t="s">
        <v>473</v>
      </c>
      <c r="G2305" s="1" t="s">
        <v>279</v>
      </c>
      <c r="H2305" s="1" t="n">
        <v>22.7</v>
      </c>
      <c r="I2305" s="1" t="str">
        <f aca="false">B2305&amp;"|"&amp;F2305&amp;"|"&amp;G2305</f>
        <v>Farm Implement (Equipment Shop) Buildings|S|Average</v>
      </c>
      <c r="J2305" s="1" t="s">
        <v>1100</v>
      </c>
    </row>
    <row r="2306" customFormat="false" ht="12" hidden="false" customHeight="true" outlineLevel="0" collapsed="false">
      <c r="B2306" s="1" t="s">
        <v>1105</v>
      </c>
      <c r="C2306" s="1" t="s">
        <v>1106</v>
      </c>
      <c r="D2306" s="1" t="s">
        <v>513</v>
      </c>
      <c r="E2306" s="1" t="s">
        <v>553</v>
      </c>
      <c r="F2306" s="1" t="s">
        <v>473</v>
      </c>
      <c r="G2306" s="1" t="s">
        <v>480</v>
      </c>
      <c r="H2306" s="1" t="n">
        <v>16.2</v>
      </c>
      <c r="I2306" s="1" t="str">
        <f aca="false">B2306&amp;"|"&amp;F2306&amp;"|"&amp;G2306</f>
        <v>Farm Implement (Equipment Shop) Buildings|S|Low Cost</v>
      </c>
      <c r="J2306" s="1" t="s">
        <v>1100</v>
      </c>
    </row>
    <row r="2307" customFormat="false" ht="12" hidden="false" customHeight="true" outlineLevel="0" collapsed="false">
      <c r="B2307" s="1" t="s">
        <v>1105</v>
      </c>
      <c r="C2307" s="1" t="s">
        <v>1106</v>
      </c>
      <c r="D2307" s="1" t="s">
        <v>513</v>
      </c>
      <c r="E2307" s="1" t="s">
        <v>553</v>
      </c>
      <c r="F2307" s="1" t="s">
        <v>988</v>
      </c>
      <c r="G2307" s="1" t="s">
        <v>483</v>
      </c>
      <c r="H2307" s="1" t="n">
        <v>30</v>
      </c>
      <c r="I2307" s="1" t="str">
        <f aca="false">B2307&amp;"|"&amp;F2307&amp;"|"&amp;G2307</f>
        <v>Farm Implement (Equipment Shop) Buildings|SSLANT|Good</v>
      </c>
      <c r="J2307" s="1" t="s">
        <v>1100</v>
      </c>
    </row>
    <row r="2308" customFormat="false" ht="12" hidden="false" customHeight="true" outlineLevel="0" collapsed="false">
      <c r="B2308" s="1" t="s">
        <v>1105</v>
      </c>
      <c r="C2308" s="1" t="s">
        <v>1106</v>
      </c>
      <c r="D2308" s="1" t="s">
        <v>513</v>
      </c>
      <c r="E2308" s="1" t="s">
        <v>553</v>
      </c>
      <c r="F2308" s="1" t="s">
        <v>988</v>
      </c>
      <c r="G2308" s="1" t="s">
        <v>279</v>
      </c>
      <c r="H2308" s="1" t="n">
        <v>21.25</v>
      </c>
      <c r="I2308" s="1" t="str">
        <f aca="false">B2308&amp;"|"&amp;F2308&amp;"|"&amp;G2308</f>
        <v>Farm Implement (Equipment Shop) Buildings|SSLANT|Average</v>
      </c>
      <c r="J2308" s="1" t="s">
        <v>1100</v>
      </c>
    </row>
    <row r="2309" customFormat="false" ht="12" hidden="false" customHeight="true" outlineLevel="0" collapsed="false">
      <c r="B2309" s="1" t="s">
        <v>1105</v>
      </c>
      <c r="C2309" s="1" t="s">
        <v>1106</v>
      </c>
      <c r="D2309" s="1" t="s">
        <v>513</v>
      </c>
      <c r="E2309" s="1" t="s">
        <v>553</v>
      </c>
      <c r="F2309" s="1" t="s">
        <v>988</v>
      </c>
      <c r="G2309" s="1" t="s">
        <v>480</v>
      </c>
      <c r="H2309" s="1" t="n">
        <v>15.1</v>
      </c>
      <c r="I2309" s="1" t="str">
        <f aca="false">B2309&amp;"|"&amp;F2309&amp;"|"&amp;G2309</f>
        <v>Farm Implement (Equipment Shop) Buildings|SSLANT|Low Cost</v>
      </c>
      <c r="J2309" s="1" t="s">
        <v>1100</v>
      </c>
    </row>
    <row r="2310" customFormat="false" ht="12" hidden="false" customHeight="true" outlineLevel="0" collapsed="false">
      <c r="B2310" s="1" t="s">
        <v>1107</v>
      </c>
      <c r="C2310" s="1" t="s">
        <v>1108</v>
      </c>
      <c r="D2310" s="1" t="s">
        <v>513</v>
      </c>
      <c r="E2310" s="1" t="s">
        <v>562</v>
      </c>
      <c r="F2310" s="1" t="s">
        <v>468</v>
      </c>
      <c r="G2310" s="1" t="s">
        <v>483</v>
      </c>
      <c r="H2310" s="1" t="n">
        <v>37.75</v>
      </c>
      <c r="I2310" s="1" t="str">
        <f aca="false">B2310&amp;"|"&amp;F2310&amp;"|"&amp;G2310</f>
        <v>Arch-Rib (Quonset) Farm Implement Buildings|D|Good</v>
      </c>
      <c r="J2310" s="1" t="s">
        <v>1109</v>
      </c>
    </row>
    <row r="2311" customFormat="false" ht="12" hidden="false" customHeight="true" outlineLevel="0" collapsed="false">
      <c r="B2311" s="1" t="s">
        <v>1107</v>
      </c>
      <c r="C2311" s="1" t="s">
        <v>1108</v>
      </c>
      <c r="D2311" s="1" t="s">
        <v>513</v>
      </c>
      <c r="E2311" s="1" t="s">
        <v>562</v>
      </c>
      <c r="F2311" s="1" t="s">
        <v>468</v>
      </c>
      <c r="G2311" s="1" t="s">
        <v>279</v>
      </c>
      <c r="H2311" s="1" t="n">
        <v>28.75</v>
      </c>
      <c r="I2311" s="1" t="str">
        <f aca="false">B2311&amp;"|"&amp;F2311&amp;"|"&amp;G2311</f>
        <v>Arch-Rib (Quonset) Farm Implement Buildings|D|Average</v>
      </c>
      <c r="J2311" s="1" t="s">
        <v>1109</v>
      </c>
    </row>
    <row r="2312" customFormat="false" ht="12" hidden="false" customHeight="true" outlineLevel="0" collapsed="false">
      <c r="B2312" s="1" t="s">
        <v>1107</v>
      </c>
      <c r="C2312" s="1" t="s">
        <v>1108</v>
      </c>
      <c r="D2312" s="1" t="s">
        <v>513</v>
      </c>
      <c r="E2312" s="1" t="s">
        <v>562</v>
      </c>
      <c r="F2312" s="1" t="s">
        <v>566</v>
      </c>
      <c r="G2312" s="1" t="s">
        <v>483</v>
      </c>
      <c r="H2312" s="1" t="n">
        <v>36</v>
      </c>
      <c r="I2312" s="1" t="str">
        <f aca="false">B2312&amp;"|"&amp;F2312&amp;"|"&amp;G2312</f>
        <v>Arch-Rib (Quonset) Farm Implement Buildings|DPOLE|Good</v>
      </c>
      <c r="J2312" s="1" t="s">
        <v>1109</v>
      </c>
    </row>
    <row r="2313" customFormat="false" ht="12" hidden="false" customHeight="true" outlineLevel="0" collapsed="false">
      <c r="B2313" s="1" t="s">
        <v>1107</v>
      </c>
      <c r="C2313" s="1" t="s">
        <v>1108</v>
      </c>
      <c r="D2313" s="1" t="s">
        <v>513</v>
      </c>
      <c r="E2313" s="1" t="s">
        <v>562</v>
      </c>
      <c r="F2313" s="1" t="s">
        <v>566</v>
      </c>
      <c r="G2313" s="1" t="s">
        <v>279</v>
      </c>
      <c r="H2313" s="1" t="n">
        <v>27</v>
      </c>
      <c r="I2313" s="1" t="str">
        <f aca="false">B2313&amp;"|"&amp;F2313&amp;"|"&amp;G2313</f>
        <v>Arch-Rib (Quonset) Farm Implement Buildings|DPOLE|Average</v>
      </c>
      <c r="J2313" s="1" t="s">
        <v>1109</v>
      </c>
    </row>
    <row r="2314" customFormat="false" ht="12" hidden="false" customHeight="true" outlineLevel="0" collapsed="false">
      <c r="B2314" s="1" t="s">
        <v>1107</v>
      </c>
      <c r="C2314" s="1" t="s">
        <v>1108</v>
      </c>
      <c r="D2314" s="1" t="s">
        <v>513</v>
      </c>
      <c r="E2314" s="1" t="s">
        <v>562</v>
      </c>
      <c r="F2314" s="1" t="s">
        <v>1090</v>
      </c>
      <c r="G2314" s="1" t="s">
        <v>279</v>
      </c>
      <c r="H2314" s="1" t="n">
        <v>17.85</v>
      </c>
      <c r="I2314" s="1" t="str">
        <f aca="false">B2314&amp;"|"&amp;F2314&amp;"|"&amp;G2314</f>
        <v>Arch-Rib (Quonset) Farm Implement Buildings|DHOOP|Average</v>
      </c>
      <c r="J2314" s="1" t="s">
        <v>1109</v>
      </c>
    </row>
    <row r="2315" customFormat="false" ht="12" hidden="false" customHeight="true" outlineLevel="0" collapsed="false">
      <c r="B2315" s="1" t="s">
        <v>1107</v>
      </c>
      <c r="C2315" s="1" t="s">
        <v>1108</v>
      </c>
      <c r="D2315" s="1" t="s">
        <v>513</v>
      </c>
      <c r="E2315" s="1" t="s">
        <v>562</v>
      </c>
      <c r="F2315" s="1" t="s">
        <v>1090</v>
      </c>
      <c r="G2315" s="1" t="s">
        <v>480</v>
      </c>
      <c r="H2315" s="1" t="n">
        <v>13.6</v>
      </c>
      <c r="I2315" s="1" t="str">
        <f aca="false">B2315&amp;"|"&amp;F2315&amp;"|"&amp;G2315</f>
        <v>Arch-Rib (Quonset) Farm Implement Buildings|DHOOP|Low Cost</v>
      </c>
      <c r="J2315" s="1" t="s">
        <v>1109</v>
      </c>
    </row>
    <row r="2316" customFormat="false" ht="12" hidden="false" customHeight="true" outlineLevel="0" collapsed="false">
      <c r="B2316" s="1" t="s">
        <v>1107</v>
      </c>
      <c r="C2316" s="1" t="s">
        <v>1108</v>
      </c>
      <c r="D2316" s="1" t="s">
        <v>513</v>
      </c>
      <c r="E2316" s="1" t="s">
        <v>562</v>
      </c>
      <c r="F2316" s="1" t="s">
        <v>473</v>
      </c>
      <c r="G2316" s="1" t="s">
        <v>483</v>
      </c>
      <c r="H2316" s="1" t="n">
        <v>36.5</v>
      </c>
      <c r="I2316" s="1" t="str">
        <f aca="false">B2316&amp;"|"&amp;F2316&amp;"|"&amp;G2316</f>
        <v>Arch-Rib (Quonset) Farm Implement Buildings|S|Good</v>
      </c>
      <c r="J2316" s="1" t="s">
        <v>1109</v>
      </c>
    </row>
    <row r="2317" customFormat="false" ht="12" hidden="false" customHeight="true" outlineLevel="0" collapsed="false">
      <c r="B2317" s="1" t="s">
        <v>1107</v>
      </c>
      <c r="C2317" s="1" t="s">
        <v>1108</v>
      </c>
      <c r="D2317" s="1" t="s">
        <v>513</v>
      </c>
      <c r="E2317" s="1" t="s">
        <v>562</v>
      </c>
      <c r="F2317" s="1" t="s">
        <v>473</v>
      </c>
      <c r="G2317" s="1" t="s">
        <v>279</v>
      </c>
      <c r="H2317" s="1" t="n">
        <v>27.5</v>
      </c>
      <c r="I2317" s="1" t="str">
        <f aca="false">B2317&amp;"|"&amp;F2317&amp;"|"&amp;G2317</f>
        <v>Arch-Rib (Quonset) Farm Implement Buildings|S|Average</v>
      </c>
      <c r="J2317" s="1" t="s">
        <v>1109</v>
      </c>
    </row>
    <row r="2318" customFormat="false" ht="12" hidden="false" customHeight="true" outlineLevel="0" collapsed="false">
      <c r="B2318" s="1" t="s">
        <v>1107</v>
      </c>
      <c r="C2318" s="1" t="s">
        <v>1108</v>
      </c>
      <c r="D2318" s="1" t="s">
        <v>513</v>
      </c>
      <c r="E2318" s="1" t="s">
        <v>562</v>
      </c>
      <c r="F2318" s="1" t="s">
        <v>473</v>
      </c>
      <c r="G2318" s="1" t="s">
        <v>480</v>
      </c>
      <c r="H2318" s="1" t="n">
        <v>20.8</v>
      </c>
      <c r="I2318" s="1" t="str">
        <f aca="false">B2318&amp;"|"&amp;F2318&amp;"|"&amp;G2318</f>
        <v>Arch-Rib (Quonset) Farm Implement Buildings|S|Low Cost</v>
      </c>
      <c r="J2318" s="1" t="s">
        <v>1109</v>
      </c>
    </row>
    <row r="2319" customFormat="false" ht="12" hidden="false" customHeight="true" outlineLevel="0" collapsed="false">
      <c r="B2319" s="1" t="s">
        <v>1107</v>
      </c>
      <c r="C2319" s="1" t="s">
        <v>1108</v>
      </c>
      <c r="D2319" s="1" t="s">
        <v>513</v>
      </c>
      <c r="E2319" s="1" t="s">
        <v>562</v>
      </c>
      <c r="F2319" s="1" t="s">
        <v>614</v>
      </c>
      <c r="G2319" s="1" t="s">
        <v>567</v>
      </c>
      <c r="H2319" s="1" t="n">
        <v>16.9</v>
      </c>
      <c r="I2319" s="1" t="str">
        <f aca="false">B2319&amp;"|"&amp;F2319&amp;"|"&amp;G2319</f>
        <v>Arch-Rib (Quonset) Farm Implement Buildings|WALL|Cheap</v>
      </c>
      <c r="J2319" s="1" t="s">
        <v>1109</v>
      </c>
    </row>
    <row r="2320" customFormat="false" ht="12" hidden="false" customHeight="true" outlineLevel="0" collapsed="false">
      <c r="B2320" s="1" t="s">
        <v>1110</v>
      </c>
      <c r="C2320" s="1" t="s">
        <v>1111</v>
      </c>
      <c r="D2320" s="1" t="s">
        <v>513</v>
      </c>
      <c r="E2320" s="1" t="s">
        <v>562</v>
      </c>
      <c r="F2320" s="1" t="s">
        <v>463</v>
      </c>
      <c r="G2320" s="1" t="s">
        <v>279</v>
      </c>
      <c r="H2320" s="1" t="n">
        <v>25.5</v>
      </c>
      <c r="I2320" s="1" t="str">
        <f aca="false">B2320&amp;"|"&amp;F2320&amp;"|"&amp;G2320</f>
        <v>Farm Implement – Equipment Sheds|C|Average</v>
      </c>
      <c r="J2320" s="1" t="s">
        <v>1109</v>
      </c>
    </row>
    <row r="2321" customFormat="false" ht="12" hidden="false" customHeight="true" outlineLevel="0" collapsed="false">
      <c r="B2321" s="1" t="s">
        <v>1110</v>
      </c>
      <c r="C2321" s="1" t="s">
        <v>1111</v>
      </c>
      <c r="D2321" s="1" t="s">
        <v>513</v>
      </c>
      <c r="E2321" s="1" t="s">
        <v>562</v>
      </c>
      <c r="F2321" s="1" t="s">
        <v>463</v>
      </c>
      <c r="G2321" s="1" t="s">
        <v>480</v>
      </c>
      <c r="H2321" s="1" t="n">
        <v>18.55</v>
      </c>
      <c r="I2321" s="1" t="str">
        <f aca="false">B2321&amp;"|"&amp;F2321&amp;"|"&amp;G2321</f>
        <v>Farm Implement – Equipment Sheds|C|Low Cost</v>
      </c>
      <c r="J2321" s="1" t="s">
        <v>1109</v>
      </c>
    </row>
    <row r="2322" customFormat="false" ht="12" hidden="false" customHeight="true" outlineLevel="0" collapsed="false">
      <c r="B2322" s="1" t="s">
        <v>1110</v>
      </c>
      <c r="C2322" s="1" t="s">
        <v>1111</v>
      </c>
      <c r="D2322" s="1" t="s">
        <v>513</v>
      </c>
      <c r="E2322" s="1" t="s">
        <v>562</v>
      </c>
      <c r="F2322" s="1" t="s">
        <v>468</v>
      </c>
      <c r="G2322" s="1" t="s">
        <v>279</v>
      </c>
      <c r="H2322" s="1" t="n">
        <v>19.65</v>
      </c>
      <c r="I2322" s="1" t="str">
        <f aca="false">B2322&amp;"|"&amp;F2322&amp;"|"&amp;G2322</f>
        <v>Farm Implement – Equipment Sheds|D|Average</v>
      </c>
      <c r="J2322" s="1" t="s">
        <v>1109</v>
      </c>
    </row>
    <row r="2323" customFormat="false" ht="12" hidden="false" customHeight="true" outlineLevel="0" collapsed="false">
      <c r="B2323" s="1" t="s">
        <v>1110</v>
      </c>
      <c r="C2323" s="1" t="s">
        <v>1111</v>
      </c>
      <c r="D2323" s="1" t="s">
        <v>513</v>
      </c>
      <c r="E2323" s="1" t="s">
        <v>562</v>
      </c>
      <c r="F2323" s="1" t="s">
        <v>468</v>
      </c>
      <c r="G2323" s="1" t="s">
        <v>480</v>
      </c>
      <c r="H2323" s="1" t="n">
        <v>11.3</v>
      </c>
      <c r="I2323" s="1" t="str">
        <f aca="false">B2323&amp;"|"&amp;F2323&amp;"|"&amp;G2323</f>
        <v>Farm Implement – Equipment Sheds|D|Low Cost</v>
      </c>
      <c r="J2323" s="1" t="s">
        <v>1109</v>
      </c>
    </row>
    <row r="2324" customFormat="false" ht="12" hidden="false" customHeight="true" outlineLevel="0" collapsed="false">
      <c r="B2324" s="1" t="s">
        <v>1110</v>
      </c>
      <c r="C2324" s="1" t="s">
        <v>1111</v>
      </c>
      <c r="D2324" s="1" t="s">
        <v>513</v>
      </c>
      <c r="E2324" s="1" t="s">
        <v>562</v>
      </c>
      <c r="F2324" s="1" t="s">
        <v>566</v>
      </c>
      <c r="G2324" s="1" t="s">
        <v>279</v>
      </c>
      <c r="H2324" s="1" t="n">
        <v>16.7</v>
      </c>
      <c r="I2324" s="1" t="str">
        <f aca="false">B2324&amp;"|"&amp;F2324&amp;"|"&amp;G2324</f>
        <v>Farm Implement – Equipment Sheds|DPOLE|Average</v>
      </c>
      <c r="J2324" s="1" t="s">
        <v>1109</v>
      </c>
    </row>
    <row r="2325" customFormat="false" ht="12" hidden="false" customHeight="true" outlineLevel="0" collapsed="false">
      <c r="B2325" s="1" t="s">
        <v>1110</v>
      </c>
      <c r="C2325" s="1" t="s">
        <v>1111</v>
      </c>
      <c r="D2325" s="1" t="s">
        <v>513</v>
      </c>
      <c r="E2325" s="1" t="s">
        <v>562</v>
      </c>
      <c r="F2325" s="1" t="s">
        <v>566</v>
      </c>
      <c r="G2325" s="1" t="s">
        <v>480</v>
      </c>
      <c r="H2325" s="1" t="n">
        <v>9.57</v>
      </c>
      <c r="I2325" s="1" t="str">
        <f aca="false">B2325&amp;"|"&amp;F2325&amp;"|"&amp;G2325</f>
        <v>Farm Implement – Equipment Sheds|DPOLE|Low Cost</v>
      </c>
      <c r="J2325" s="1" t="s">
        <v>1109</v>
      </c>
    </row>
    <row r="2326" customFormat="false" ht="12" hidden="false" customHeight="true" outlineLevel="0" collapsed="false">
      <c r="B2326" s="1" t="s">
        <v>1110</v>
      </c>
      <c r="C2326" s="1" t="s">
        <v>1111</v>
      </c>
      <c r="D2326" s="1" t="s">
        <v>513</v>
      </c>
      <c r="E2326" s="1" t="s">
        <v>562</v>
      </c>
      <c r="F2326" s="1" t="s">
        <v>473</v>
      </c>
      <c r="G2326" s="1" t="s">
        <v>279</v>
      </c>
      <c r="H2326" s="1" t="n">
        <v>19.6</v>
      </c>
      <c r="I2326" s="1" t="str">
        <f aca="false">B2326&amp;"|"&amp;F2326&amp;"|"&amp;G2326</f>
        <v>Farm Implement – Equipment Sheds|S|Average</v>
      </c>
      <c r="J2326" s="1" t="s">
        <v>1109</v>
      </c>
    </row>
    <row r="2327" customFormat="false" ht="12" hidden="false" customHeight="true" outlineLevel="0" collapsed="false">
      <c r="B2327" s="1" t="s">
        <v>1110</v>
      </c>
      <c r="C2327" s="1" t="s">
        <v>1111</v>
      </c>
      <c r="D2327" s="1" t="s">
        <v>513</v>
      </c>
      <c r="E2327" s="1" t="s">
        <v>562</v>
      </c>
      <c r="F2327" s="1" t="s">
        <v>473</v>
      </c>
      <c r="G2327" s="1" t="s">
        <v>480</v>
      </c>
      <c r="H2327" s="1" t="n">
        <v>12.05</v>
      </c>
      <c r="I2327" s="1" t="str">
        <f aca="false">B2327&amp;"|"&amp;F2327&amp;"|"&amp;G2327</f>
        <v>Farm Implement – Equipment Sheds|S|Low Cost</v>
      </c>
      <c r="J2327" s="1" t="s">
        <v>1109</v>
      </c>
    </row>
    <row r="2328" customFormat="false" ht="12" hidden="false" customHeight="true" outlineLevel="0" collapsed="false">
      <c r="B2328" s="1" t="s">
        <v>1110</v>
      </c>
      <c r="C2328" s="1" t="s">
        <v>1111</v>
      </c>
      <c r="D2328" s="1" t="s">
        <v>513</v>
      </c>
      <c r="E2328" s="1" t="s">
        <v>562</v>
      </c>
      <c r="F2328" s="1" t="s">
        <v>988</v>
      </c>
      <c r="G2328" s="1" t="s">
        <v>279</v>
      </c>
      <c r="H2328" s="1" t="n">
        <v>18.2</v>
      </c>
      <c r="I2328" s="1" t="str">
        <f aca="false">B2328&amp;"|"&amp;F2328&amp;"|"&amp;G2328</f>
        <v>Farm Implement – Equipment Sheds|SSLANT|Average</v>
      </c>
      <c r="J2328" s="1" t="s">
        <v>1109</v>
      </c>
    </row>
    <row r="2329" customFormat="false" ht="12" hidden="false" customHeight="true" outlineLevel="0" collapsed="false">
      <c r="B2329" s="1" t="s">
        <v>1110</v>
      </c>
      <c r="C2329" s="1" t="s">
        <v>1111</v>
      </c>
      <c r="D2329" s="1" t="s">
        <v>513</v>
      </c>
      <c r="E2329" s="1" t="s">
        <v>562</v>
      </c>
      <c r="F2329" s="1" t="s">
        <v>988</v>
      </c>
      <c r="G2329" s="1" t="s">
        <v>480</v>
      </c>
      <c r="H2329" s="1" t="n">
        <v>11.05</v>
      </c>
      <c r="I2329" s="1" t="str">
        <f aca="false">B2329&amp;"|"&amp;F2329&amp;"|"&amp;G2329</f>
        <v>Farm Implement – Equipment Sheds|SSLANT|Low Cost</v>
      </c>
      <c r="J2329" s="1" t="s">
        <v>1109</v>
      </c>
    </row>
    <row r="2330" customFormat="false" ht="12" hidden="false" customHeight="true" outlineLevel="0" collapsed="false">
      <c r="B2330" s="1" t="s">
        <v>1112</v>
      </c>
      <c r="C2330" s="1" t="s">
        <v>1113</v>
      </c>
      <c r="D2330" s="1" t="s">
        <v>513</v>
      </c>
      <c r="E2330" s="1" t="s">
        <v>570</v>
      </c>
      <c r="F2330" s="1" t="s">
        <v>463</v>
      </c>
      <c r="G2330" s="1" t="s">
        <v>483</v>
      </c>
      <c r="H2330" s="1" t="n">
        <v>53</v>
      </c>
      <c r="I2330" s="1" t="str">
        <f aca="false">B2330&amp;"|"&amp;F2330&amp;"|"&amp;G2330</f>
        <v>Barns – General Purpose|C|Good</v>
      </c>
      <c r="J2330" s="1" t="s">
        <v>1114</v>
      </c>
    </row>
    <row r="2331" customFormat="false" ht="12" hidden="false" customHeight="true" outlineLevel="0" collapsed="false">
      <c r="B2331" s="1" t="s">
        <v>1112</v>
      </c>
      <c r="C2331" s="1" t="s">
        <v>1113</v>
      </c>
      <c r="D2331" s="1" t="s">
        <v>513</v>
      </c>
      <c r="E2331" s="1" t="s">
        <v>570</v>
      </c>
      <c r="F2331" s="1" t="s">
        <v>463</v>
      </c>
      <c r="G2331" s="1" t="s">
        <v>279</v>
      </c>
      <c r="H2331" s="1" t="n">
        <v>40.25</v>
      </c>
      <c r="I2331" s="1" t="str">
        <f aca="false">B2331&amp;"|"&amp;F2331&amp;"|"&amp;G2331</f>
        <v>Barns – General Purpose|C|Average</v>
      </c>
      <c r="J2331" s="1" t="s">
        <v>1114</v>
      </c>
    </row>
    <row r="2332" customFormat="false" ht="12" hidden="false" customHeight="true" outlineLevel="0" collapsed="false">
      <c r="B2332" s="1" t="s">
        <v>1112</v>
      </c>
      <c r="C2332" s="1" t="s">
        <v>1113</v>
      </c>
      <c r="D2332" s="1" t="s">
        <v>513</v>
      </c>
      <c r="E2332" s="1" t="s">
        <v>570</v>
      </c>
      <c r="F2332" s="1" t="s">
        <v>463</v>
      </c>
      <c r="G2332" s="1" t="s">
        <v>480</v>
      </c>
      <c r="H2332" s="1" t="n">
        <v>30.75</v>
      </c>
      <c r="I2332" s="1" t="str">
        <f aca="false">B2332&amp;"|"&amp;F2332&amp;"|"&amp;G2332</f>
        <v>Barns – General Purpose|C|Low Cost</v>
      </c>
      <c r="J2332" s="1" t="s">
        <v>1114</v>
      </c>
    </row>
    <row r="2333" customFormat="false" ht="12" hidden="false" customHeight="true" outlineLevel="0" collapsed="false">
      <c r="B2333" s="1" t="s">
        <v>1112</v>
      </c>
      <c r="C2333" s="1" t="s">
        <v>1113</v>
      </c>
      <c r="D2333" s="1" t="s">
        <v>513</v>
      </c>
      <c r="E2333" s="1" t="s">
        <v>570</v>
      </c>
      <c r="F2333" s="1" t="s">
        <v>468</v>
      </c>
      <c r="G2333" s="1" t="s">
        <v>483</v>
      </c>
      <c r="H2333" s="1" t="n">
        <v>47.25</v>
      </c>
      <c r="I2333" s="1" t="str">
        <f aca="false">B2333&amp;"|"&amp;F2333&amp;"|"&amp;G2333</f>
        <v>Barns – General Purpose|D|Good</v>
      </c>
      <c r="J2333" s="1" t="s">
        <v>1114</v>
      </c>
    </row>
    <row r="2334" customFormat="false" ht="12" hidden="false" customHeight="true" outlineLevel="0" collapsed="false">
      <c r="B2334" s="1" t="s">
        <v>1112</v>
      </c>
      <c r="C2334" s="1" t="s">
        <v>1113</v>
      </c>
      <c r="D2334" s="1" t="s">
        <v>513</v>
      </c>
      <c r="E2334" s="1" t="s">
        <v>570</v>
      </c>
      <c r="F2334" s="1" t="s">
        <v>468</v>
      </c>
      <c r="G2334" s="1" t="s">
        <v>279</v>
      </c>
      <c r="H2334" s="1" t="n">
        <v>34</v>
      </c>
      <c r="I2334" s="1" t="str">
        <f aca="false">B2334&amp;"|"&amp;F2334&amp;"|"&amp;G2334</f>
        <v>Barns – General Purpose|D|Average</v>
      </c>
      <c r="J2334" s="1" t="s">
        <v>1114</v>
      </c>
    </row>
    <row r="2335" customFormat="false" ht="12" hidden="false" customHeight="true" outlineLevel="0" collapsed="false">
      <c r="B2335" s="1" t="s">
        <v>1112</v>
      </c>
      <c r="C2335" s="1" t="s">
        <v>1113</v>
      </c>
      <c r="D2335" s="1" t="s">
        <v>513</v>
      </c>
      <c r="E2335" s="1" t="s">
        <v>570</v>
      </c>
      <c r="F2335" s="1" t="s">
        <v>468</v>
      </c>
      <c r="G2335" s="1" t="s">
        <v>480</v>
      </c>
      <c r="H2335" s="1" t="n">
        <v>24.7</v>
      </c>
      <c r="I2335" s="1" t="str">
        <f aca="false">B2335&amp;"|"&amp;F2335&amp;"|"&amp;G2335</f>
        <v>Barns – General Purpose|D|Low Cost</v>
      </c>
      <c r="J2335" s="1" t="s">
        <v>1114</v>
      </c>
    </row>
    <row r="2336" customFormat="false" ht="12" hidden="false" customHeight="true" outlineLevel="0" collapsed="false">
      <c r="B2336" s="1" t="s">
        <v>1112</v>
      </c>
      <c r="C2336" s="1" t="s">
        <v>1113</v>
      </c>
      <c r="D2336" s="1" t="s">
        <v>513</v>
      </c>
      <c r="E2336" s="1" t="s">
        <v>570</v>
      </c>
      <c r="F2336" s="1" t="s">
        <v>566</v>
      </c>
      <c r="G2336" s="1" t="s">
        <v>483</v>
      </c>
      <c r="H2336" s="1" t="n">
        <v>41</v>
      </c>
      <c r="I2336" s="1" t="str">
        <f aca="false">B2336&amp;"|"&amp;F2336&amp;"|"&amp;G2336</f>
        <v>Barns – General Purpose|DPOLE|Good</v>
      </c>
      <c r="J2336" s="1" t="s">
        <v>1114</v>
      </c>
    </row>
    <row r="2337" customFormat="false" ht="12" hidden="false" customHeight="true" outlineLevel="0" collapsed="false">
      <c r="B2337" s="1" t="s">
        <v>1112</v>
      </c>
      <c r="C2337" s="1" t="s">
        <v>1113</v>
      </c>
      <c r="D2337" s="1" t="s">
        <v>513</v>
      </c>
      <c r="E2337" s="1" t="s">
        <v>570</v>
      </c>
      <c r="F2337" s="1" t="s">
        <v>566</v>
      </c>
      <c r="G2337" s="1" t="s">
        <v>279</v>
      </c>
      <c r="H2337" s="1" t="n">
        <v>29.25</v>
      </c>
      <c r="I2337" s="1" t="str">
        <f aca="false">B2337&amp;"|"&amp;F2337&amp;"|"&amp;G2337</f>
        <v>Barns – General Purpose|DPOLE|Average</v>
      </c>
      <c r="J2337" s="1" t="s">
        <v>1114</v>
      </c>
    </row>
    <row r="2338" customFormat="false" ht="12" hidden="false" customHeight="true" outlineLevel="0" collapsed="false">
      <c r="B2338" s="1" t="s">
        <v>1112</v>
      </c>
      <c r="C2338" s="1" t="s">
        <v>1113</v>
      </c>
      <c r="D2338" s="1" t="s">
        <v>513</v>
      </c>
      <c r="E2338" s="1" t="s">
        <v>570</v>
      </c>
      <c r="F2338" s="1" t="s">
        <v>566</v>
      </c>
      <c r="G2338" s="1" t="s">
        <v>480</v>
      </c>
      <c r="H2338" s="1" t="n">
        <v>20.85</v>
      </c>
      <c r="I2338" s="1" t="str">
        <f aca="false">B2338&amp;"|"&amp;F2338&amp;"|"&amp;G2338</f>
        <v>Barns – General Purpose|DPOLE|Low Cost</v>
      </c>
      <c r="J2338" s="1" t="s">
        <v>1114</v>
      </c>
    </row>
    <row r="2339" customFormat="false" ht="12" hidden="false" customHeight="true" outlineLevel="0" collapsed="false">
      <c r="B2339" s="1" t="s">
        <v>1112</v>
      </c>
      <c r="C2339" s="1" t="s">
        <v>1113</v>
      </c>
      <c r="D2339" s="1" t="s">
        <v>513</v>
      </c>
      <c r="E2339" s="1" t="s">
        <v>570</v>
      </c>
      <c r="F2339" s="1" t="s">
        <v>473</v>
      </c>
      <c r="G2339" s="1" t="s">
        <v>483</v>
      </c>
      <c r="H2339" s="1" t="n">
        <v>44.75</v>
      </c>
      <c r="I2339" s="1" t="str">
        <f aca="false">B2339&amp;"|"&amp;F2339&amp;"|"&amp;G2339</f>
        <v>Barns – General Purpose|S|Good</v>
      </c>
      <c r="J2339" s="1" t="s">
        <v>1114</v>
      </c>
    </row>
    <row r="2340" customFormat="false" ht="12" hidden="false" customHeight="true" outlineLevel="0" collapsed="false">
      <c r="B2340" s="1" t="s">
        <v>1112</v>
      </c>
      <c r="C2340" s="1" t="s">
        <v>1113</v>
      </c>
      <c r="D2340" s="1" t="s">
        <v>513</v>
      </c>
      <c r="E2340" s="1" t="s">
        <v>570</v>
      </c>
      <c r="F2340" s="1" t="s">
        <v>473</v>
      </c>
      <c r="G2340" s="1" t="s">
        <v>279</v>
      </c>
      <c r="H2340" s="1" t="n">
        <v>32.5</v>
      </c>
      <c r="I2340" s="1" t="str">
        <f aca="false">B2340&amp;"|"&amp;F2340&amp;"|"&amp;G2340</f>
        <v>Barns – General Purpose|S|Average</v>
      </c>
      <c r="J2340" s="1" t="s">
        <v>1114</v>
      </c>
    </row>
    <row r="2341" customFormat="false" ht="12" hidden="false" customHeight="true" outlineLevel="0" collapsed="false">
      <c r="B2341" s="1" t="s">
        <v>1112</v>
      </c>
      <c r="C2341" s="1" t="s">
        <v>1113</v>
      </c>
      <c r="D2341" s="1" t="s">
        <v>513</v>
      </c>
      <c r="E2341" s="1" t="s">
        <v>570</v>
      </c>
      <c r="F2341" s="1" t="s">
        <v>473</v>
      </c>
      <c r="G2341" s="1" t="s">
        <v>480</v>
      </c>
      <c r="H2341" s="1" t="n">
        <v>23.55</v>
      </c>
      <c r="I2341" s="1" t="str">
        <f aca="false">B2341&amp;"|"&amp;F2341&amp;"|"&amp;G2341</f>
        <v>Barns – General Purpose|S|Low Cost</v>
      </c>
      <c r="J2341" s="1" t="s">
        <v>1114</v>
      </c>
    </row>
    <row r="2342" customFormat="false" ht="12" hidden="false" customHeight="true" outlineLevel="0" collapsed="false">
      <c r="B2342" s="1" t="s">
        <v>1115</v>
      </c>
      <c r="C2342" s="1" t="s">
        <v>1116</v>
      </c>
      <c r="D2342" s="1" t="s">
        <v>513</v>
      </c>
      <c r="E2342" s="1" t="s">
        <v>570</v>
      </c>
      <c r="F2342" s="1" t="s">
        <v>463</v>
      </c>
      <c r="G2342" s="1" t="s">
        <v>483</v>
      </c>
      <c r="H2342" s="1" t="n">
        <v>38.25</v>
      </c>
      <c r="I2342" s="1" t="str">
        <f aca="false">B2342&amp;"|"&amp;F2342&amp;"|"&amp;G2342</f>
        <v>Bank Barns (Two-Story) – General Purpose|C|Good</v>
      </c>
      <c r="J2342" s="1" t="s">
        <v>1114</v>
      </c>
    </row>
    <row r="2343" customFormat="false" ht="12" hidden="false" customHeight="true" outlineLevel="0" collapsed="false">
      <c r="B2343" s="1" t="s">
        <v>1115</v>
      </c>
      <c r="C2343" s="1" t="s">
        <v>1116</v>
      </c>
      <c r="D2343" s="1" t="s">
        <v>513</v>
      </c>
      <c r="E2343" s="1" t="s">
        <v>570</v>
      </c>
      <c r="F2343" s="1" t="s">
        <v>463</v>
      </c>
      <c r="G2343" s="1" t="s">
        <v>279</v>
      </c>
      <c r="H2343" s="1" t="n">
        <v>29.25</v>
      </c>
      <c r="I2343" s="1" t="str">
        <f aca="false">B2343&amp;"|"&amp;F2343&amp;"|"&amp;G2343</f>
        <v>Bank Barns (Two-Story) – General Purpose|C|Average</v>
      </c>
      <c r="J2343" s="1" t="s">
        <v>1114</v>
      </c>
    </row>
    <row r="2344" customFormat="false" ht="12" hidden="false" customHeight="true" outlineLevel="0" collapsed="false">
      <c r="B2344" s="1" t="s">
        <v>1115</v>
      </c>
      <c r="C2344" s="1" t="s">
        <v>1116</v>
      </c>
      <c r="D2344" s="1" t="s">
        <v>513</v>
      </c>
      <c r="E2344" s="1" t="s">
        <v>570</v>
      </c>
      <c r="F2344" s="1" t="s">
        <v>463</v>
      </c>
      <c r="G2344" s="1" t="s">
        <v>480</v>
      </c>
      <c r="H2344" s="1" t="n">
        <v>22.4</v>
      </c>
      <c r="I2344" s="1" t="str">
        <f aca="false">B2344&amp;"|"&amp;F2344&amp;"|"&amp;G2344</f>
        <v>Bank Barns (Two-Story) – General Purpose|C|Low Cost</v>
      </c>
      <c r="J2344" s="1" t="s">
        <v>1114</v>
      </c>
    </row>
    <row r="2345" customFormat="false" ht="12" hidden="false" customHeight="true" outlineLevel="0" collapsed="false">
      <c r="B2345" s="1" t="s">
        <v>1115</v>
      </c>
      <c r="C2345" s="1" t="s">
        <v>1116</v>
      </c>
      <c r="D2345" s="1" t="s">
        <v>513</v>
      </c>
      <c r="E2345" s="1" t="s">
        <v>570</v>
      </c>
      <c r="F2345" s="1" t="s">
        <v>468</v>
      </c>
      <c r="G2345" s="1" t="s">
        <v>483</v>
      </c>
      <c r="H2345" s="1" t="n">
        <v>35.25</v>
      </c>
      <c r="I2345" s="1" t="str">
        <f aca="false">B2345&amp;"|"&amp;F2345&amp;"|"&amp;G2345</f>
        <v>Bank Barns (Two-Story) – General Purpose|D|Good</v>
      </c>
      <c r="J2345" s="1" t="s">
        <v>1114</v>
      </c>
    </row>
    <row r="2346" customFormat="false" ht="12" hidden="false" customHeight="true" outlineLevel="0" collapsed="false">
      <c r="B2346" s="1" t="s">
        <v>1115</v>
      </c>
      <c r="C2346" s="1" t="s">
        <v>1116</v>
      </c>
      <c r="D2346" s="1" t="s">
        <v>513</v>
      </c>
      <c r="E2346" s="1" t="s">
        <v>570</v>
      </c>
      <c r="F2346" s="1" t="s">
        <v>468</v>
      </c>
      <c r="G2346" s="1" t="s">
        <v>279</v>
      </c>
      <c r="H2346" s="1" t="n">
        <v>26</v>
      </c>
      <c r="I2346" s="1" t="str">
        <f aca="false">B2346&amp;"|"&amp;F2346&amp;"|"&amp;G2346</f>
        <v>Bank Barns (Two-Story) – General Purpose|D|Average</v>
      </c>
      <c r="J2346" s="1" t="s">
        <v>1114</v>
      </c>
    </row>
    <row r="2347" customFormat="false" ht="12" hidden="false" customHeight="true" outlineLevel="0" collapsed="false">
      <c r="B2347" s="1" t="s">
        <v>1115</v>
      </c>
      <c r="C2347" s="1" t="s">
        <v>1116</v>
      </c>
      <c r="D2347" s="1" t="s">
        <v>513</v>
      </c>
      <c r="E2347" s="1" t="s">
        <v>570</v>
      </c>
      <c r="F2347" s="1" t="s">
        <v>468</v>
      </c>
      <c r="G2347" s="1" t="s">
        <v>480</v>
      </c>
      <c r="H2347" s="1" t="n">
        <v>19.2</v>
      </c>
      <c r="I2347" s="1" t="str">
        <f aca="false">B2347&amp;"|"&amp;F2347&amp;"|"&amp;G2347</f>
        <v>Bank Barns (Two-Story) – General Purpose|D|Low Cost</v>
      </c>
      <c r="J2347" s="1" t="s">
        <v>1114</v>
      </c>
    </row>
    <row r="2348" customFormat="false" ht="12" hidden="false" customHeight="true" outlineLevel="0" collapsed="false">
      <c r="B2348" s="1" t="s">
        <v>1115</v>
      </c>
      <c r="C2348" s="1" t="s">
        <v>1116</v>
      </c>
      <c r="D2348" s="1" t="s">
        <v>513</v>
      </c>
      <c r="E2348" s="1" t="s">
        <v>570</v>
      </c>
      <c r="F2348" s="1" t="s">
        <v>566</v>
      </c>
      <c r="G2348" s="1" t="s">
        <v>483</v>
      </c>
      <c r="H2348" s="1" t="n">
        <v>31.75</v>
      </c>
      <c r="I2348" s="1" t="str">
        <f aca="false">B2348&amp;"|"&amp;F2348&amp;"|"&amp;G2348</f>
        <v>Bank Barns (Two-Story) – General Purpose|DPOLE|Good</v>
      </c>
      <c r="J2348" s="1" t="s">
        <v>1114</v>
      </c>
    </row>
    <row r="2349" customFormat="false" ht="12" hidden="false" customHeight="true" outlineLevel="0" collapsed="false">
      <c r="B2349" s="1" t="s">
        <v>1115</v>
      </c>
      <c r="C2349" s="1" t="s">
        <v>1116</v>
      </c>
      <c r="D2349" s="1" t="s">
        <v>513</v>
      </c>
      <c r="E2349" s="1" t="s">
        <v>570</v>
      </c>
      <c r="F2349" s="1" t="s">
        <v>566</v>
      </c>
      <c r="G2349" s="1" t="s">
        <v>279</v>
      </c>
      <c r="H2349" s="1" t="n">
        <v>23.4</v>
      </c>
      <c r="I2349" s="1" t="str">
        <f aca="false">B2349&amp;"|"&amp;F2349&amp;"|"&amp;G2349</f>
        <v>Bank Barns (Two-Story) – General Purpose|DPOLE|Average</v>
      </c>
      <c r="J2349" s="1" t="s">
        <v>1114</v>
      </c>
    </row>
    <row r="2350" customFormat="false" ht="12" hidden="false" customHeight="true" outlineLevel="0" collapsed="false">
      <c r="B2350" s="1" t="s">
        <v>1115</v>
      </c>
      <c r="C2350" s="1" t="s">
        <v>1116</v>
      </c>
      <c r="D2350" s="1" t="s">
        <v>513</v>
      </c>
      <c r="E2350" s="1" t="s">
        <v>570</v>
      </c>
      <c r="F2350" s="1" t="s">
        <v>566</v>
      </c>
      <c r="G2350" s="1" t="s">
        <v>480</v>
      </c>
      <c r="H2350" s="1" t="n">
        <v>17.25</v>
      </c>
      <c r="I2350" s="1" t="str">
        <f aca="false">B2350&amp;"|"&amp;F2350&amp;"|"&amp;G2350</f>
        <v>Bank Barns (Two-Story) – General Purpose|DPOLE|Low Cost</v>
      </c>
      <c r="J2350" s="1" t="s">
        <v>1114</v>
      </c>
    </row>
    <row r="2351" customFormat="false" ht="12" hidden="false" customHeight="true" outlineLevel="0" collapsed="false">
      <c r="B2351" s="1" t="s">
        <v>1117</v>
      </c>
      <c r="C2351" s="1" t="s">
        <v>1118</v>
      </c>
      <c r="D2351" s="1" t="s">
        <v>513</v>
      </c>
      <c r="E2351" s="1" t="s">
        <v>576</v>
      </c>
      <c r="F2351" s="1" t="s">
        <v>463</v>
      </c>
      <c r="G2351" s="1" t="s">
        <v>485</v>
      </c>
      <c r="H2351" s="1" t="n">
        <v>93</v>
      </c>
      <c r="I2351" s="1" t="str">
        <f aca="false">B2351&amp;"|"&amp;F2351&amp;"|"&amp;G2351</f>
        <v>Barns – Special Purpose|C|Excellent</v>
      </c>
      <c r="J2351" s="1" t="s">
        <v>1119</v>
      </c>
    </row>
    <row r="2352" customFormat="false" ht="12" hidden="false" customHeight="true" outlineLevel="0" collapsed="false">
      <c r="B2352" s="1" t="s">
        <v>1117</v>
      </c>
      <c r="C2352" s="1" t="s">
        <v>1118</v>
      </c>
      <c r="D2352" s="1" t="s">
        <v>513</v>
      </c>
      <c r="E2352" s="1" t="s">
        <v>576</v>
      </c>
      <c r="F2352" s="1" t="s">
        <v>463</v>
      </c>
      <c r="G2352" s="1" t="s">
        <v>483</v>
      </c>
      <c r="H2352" s="1" t="n">
        <v>70.5</v>
      </c>
      <c r="I2352" s="1" t="str">
        <f aca="false">B2352&amp;"|"&amp;F2352&amp;"|"&amp;G2352</f>
        <v>Barns – Special Purpose|C|Good</v>
      </c>
      <c r="J2352" s="1" t="s">
        <v>1119</v>
      </c>
    </row>
    <row r="2353" customFormat="false" ht="12" hidden="false" customHeight="true" outlineLevel="0" collapsed="false">
      <c r="B2353" s="1" t="s">
        <v>1117</v>
      </c>
      <c r="C2353" s="1" t="s">
        <v>1118</v>
      </c>
      <c r="D2353" s="1" t="s">
        <v>513</v>
      </c>
      <c r="E2353" s="1" t="s">
        <v>576</v>
      </c>
      <c r="F2353" s="1" t="s">
        <v>463</v>
      </c>
      <c r="G2353" s="1" t="s">
        <v>279</v>
      </c>
      <c r="H2353" s="1" t="n">
        <v>53.5</v>
      </c>
      <c r="I2353" s="1" t="str">
        <f aca="false">B2353&amp;"|"&amp;F2353&amp;"|"&amp;G2353</f>
        <v>Barns – Special Purpose|C|Average</v>
      </c>
      <c r="J2353" s="1" t="s">
        <v>1119</v>
      </c>
    </row>
    <row r="2354" customFormat="false" ht="12" hidden="false" customHeight="true" outlineLevel="0" collapsed="false">
      <c r="B2354" s="1" t="s">
        <v>1117</v>
      </c>
      <c r="C2354" s="1" t="s">
        <v>1118</v>
      </c>
      <c r="D2354" s="1" t="s">
        <v>513</v>
      </c>
      <c r="E2354" s="1" t="s">
        <v>576</v>
      </c>
      <c r="F2354" s="1" t="s">
        <v>463</v>
      </c>
      <c r="G2354" s="1" t="s">
        <v>480</v>
      </c>
      <c r="H2354" s="1" t="n">
        <v>40.75</v>
      </c>
      <c r="I2354" s="1" t="str">
        <f aca="false">B2354&amp;"|"&amp;F2354&amp;"|"&amp;G2354</f>
        <v>Barns – Special Purpose|C|Low Cost</v>
      </c>
      <c r="J2354" s="1" t="s">
        <v>1119</v>
      </c>
    </row>
    <row r="2355" customFormat="false" ht="12" hidden="false" customHeight="true" outlineLevel="0" collapsed="false">
      <c r="B2355" s="1" t="s">
        <v>1117</v>
      </c>
      <c r="C2355" s="1" t="s">
        <v>1118</v>
      </c>
      <c r="D2355" s="1" t="s">
        <v>513</v>
      </c>
      <c r="E2355" s="1" t="s">
        <v>576</v>
      </c>
      <c r="F2355" s="1" t="s">
        <v>468</v>
      </c>
      <c r="G2355" s="1" t="s">
        <v>485</v>
      </c>
      <c r="H2355" s="1" t="n">
        <v>90</v>
      </c>
      <c r="I2355" s="1" t="str">
        <f aca="false">B2355&amp;"|"&amp;F2355&amp;"|"&amp;G2355</f>
        <v>Barns – Special Purpose|D|Excellent</v>
      </c>
      <c r="J2355" s="1" t="s">
        <v>1119</v>
      </c>
    </row>
    <row r="2356" customFormat="false" ht="12" hidden="false" customHeight="true" outlineLevel="0" collapsed="false">
      <c r="B2356" s="1" t="s">
        <v>1117</v>
      </c>
      <c r="C2356" s="1" t="s">
        <v>1118</v>
      </c>
      <c r="D2356" s="1" t="s">
        <v>513</v>
      </c>
      <c r="E2356" s="1" t="s">
        <v>576</v>
      </c>
      <c r="F2356" s="1" t="s">
        <v>468</v>
      </c>
      <c r="G2356" s="1" t="s">
        <v>483</v>
      </c>
      <c r="H2356" s="1" t="n">
        <v>66.5</v>
      </c>
      <c r="I2356" s="1" t="str">
        <f aca="false">B2356&amp;"|"&amp;F2356&amp;"|"&amp;G2356</f>
        <v>Barns – Special Purpose|D|Good</v>
      </c>
      <c r="J2356" s="1" t="s">
        <v>1119</v>
      </c>
    </row>
    <row r="2357" customFormat="false" ht="12" hidden="false" customHeight="true" outlineLevel="0" collapsed="false">
      <c r="B2357" s="1" t="s">
        <v>1117</v>
      </c>
      <c r="C2357" s="1" t="s">
        <v>1118</v>
      </c>
      <c r="D2357" s="1" t="s">
        <v>513</v>
      </c>
      <c r="E2357" s="1" t="s">
        <v>576</v>
      </c>
      <c r="F2357" s="1" t="s">
        <v>468</v>
      </c>
      <c r="G2357" s="1" t="s">
        <v>279</v>
      </c>
      <c r="H2357" s="1" t="n">
        <v>49.25</v>
      </c>
      <c r="I2357" s="1" t="str">
        <f aca="false">B2357&amp;"|"&amp;F2357&amp;"|"&amp;G2357</f>
        <v>Barns – Special Purpose|D|Average</v>
      </c>
      <c r="J2357" s="1" t="s">
        <v>1119</v>
      </c>
    </row>
    <row r="2358" customFormat="false" ht="12" hidden="false" customHeight="true" outlineLevel="0" collapsed="false">
      <c r="B2358" s="1" t="s">
        <v>1117</v>
      </c>
      <c r="C2358" s="1" t="s">
        <v>1118</v>
      </c>
      <c r="D2358" s="1" t="s">
        <v>513</v>
      </c>
      <c r="E2358" s="1" t="s">
        <v>576</v>
      </c>
      <c r="F2358" s="1" t="s">
        <v>468</v>
      </c>
      <c r="G2358" s="1" t="s">
        <v>480</v>
      </c>
      <c r="H2358" s="1" t="n">
        <v>36.5</v>
      </c>
      <c r="I2358" s="1" t="str">
        <f aca="false">B2358&amp;"|"&amp;F2358&amp;"|"&amp;G2358</f>
        <v>Barns – Special Purpose|D|Low Cost</v>
      </c>
      <c r="J2358" s="1" t="s">
        <v>1119</v>
      </c>
    </row>
    <row r="2359" customFormat="false" ht="12" hidden="false" customHeight="true" outlineLevel="0" collapsed="false">
      <c r="B2359" s="1" t="s">
        <v>1117</v>
      </c>
      <c r="C2359" s="1" t="s">
        <v>1118</v>
      </c>
      <c r="D2359" s="1" t="s">
        <v>513</v>
      </c>
      <c r="E2359" s="1" t="s">
        <v>576</v>
      </c>
      <c r="F2359" s="1" t="s">
        <v>566</v>
      </c>
      <c r="G2359" s="1" t="s">
        <v>279</v>
      </c>
      <c r="H2359" s="1" t="n">
        <v>43.25</v>
      </c>
      <c r="I2359" s="1" t="str">
        <f aca="false">B2359&amp;"|"&amp;F2359&amp;"|"&amp;G2359</f>
        <v>Barns – Special Purpose|DPOLE|Average</v>
      </c>
      <c r="J2359" s="1" t="s">
        <v>1119</v>
      </c>
    </row>
    <row r="2360" customFormat="false" ht="12" hidden="false" customHeight="true" outlineLevel="0" collapsed="false">
      <c r="B2360" s="1" t="s">
        <v>1117</v>
      </c>
      <c r="C2360" s="1" t="s">
        <v>1118</v>
      </c>
      <c r="D2360" s="1" t="s">
        <v>513</v>
      </c>
      <c r="E2360" s="1" t="s">
        <v>576</v>
      </c>
      <c r="F2360" s="1" t="s">
        <v>566</v>
      </c>
      <c r="G2360" s="1" t="s">
        <v>480</v>
      </c>
      <c r="H2360" s="1" t="n">
        <v>31.5</v>
      </c>
      <c r="I2360" s="1" t="str">
        <f aca="false">B2360&amp;"|"&amp;F2360&amp;"|"&amp;G2360</f>
        <v>Barns – Special Purpose|DPOLE|Low Cost</v>
      </c>
      <c r="J2360" s="1" t="s">
        <v>1119</v>
      </c>
    </row>
    <row r="2361" customFormat="false" ht="12" hidden="false" customHeight="true" outlineLevel="0" collapsed="false">
      <c r="B2361" s="1" t="s">
        <v>1120</v>
      </c>
      <c r="C2361" s="1" t="s">
        <v>1121</v>
      </c>
      <c r="D2361" s="1" t="s">
        <v>513</v>
      </c>
      <c r="E2361" s="1" t="s">
        <v>576</v>
      </c>
      <c r="F2361" s="1" t="s">
        <v>463</v>
      </c>
      <c r="G2361" s="1" t="s">
        <v>485</v>
      </c>
      <c r="H2361" s="1" t="n">
        <v>64</v>
      </c>
      <c r="I2361" s="1" t="str">
        <f aca="false">B2361&amp;"|"&amp;F2361&amp;"|"&amp;G2361</f>
        <v>Bank Barns (Two-Story) – Special Purpose|C|Excellent</v>
      </c>
      <c r="J2361" s="1" t="s">
        <v>1119</v>
      </c>
    </row>
    <row r="2362" customFormat="false" ht="12" hidden="false" customHeight="true" outlineLevel="0" collapsed="false">
      <c r="B2362" s="1" t="s">
        <v>1120</v>
      </c>
      <c r="C2362" s="1" t="s">
        <v>1121</v>
      </c>
      <c r="D2362" s="1" t="s">
        <v>513</v>
      </c>
      <c r="E2362" s="1" t="s">
        <v>576</v>
      </c>
      <c r="F2362" s="1" t="s">
        <v>463</v>
      </c>
      <c r="G2362" s="1" t="s">
        <v>483</v>
      </c>
      <c r="H2362" s="1" t="n">
        <v>48.5</v>
      </c>
      <c r="I2362" s="1" t="str">
        <f aca="false">B2362&amp;"|"&amp;F2362&amp;"|"&amp;G2362</f>
        <v>Bank Barns (Two-Story) – Special Purpose|C|Good</v>
      </c>
      <c r="J2362" s="1" t="s">
        <v>1119</v>
      </c>
    </row>
    <row r="2363" customFormat="false" ht="12" hidden="false" customHeight="true" outlineLevel="0" collapsed="false">
      <c r="B2363" s="1" t="s">
        <v>1120</v>
      </c>
      <c r="C2363" s="1" t="s">
        <v>1121</v>
      </c>
      <c r="D2363" s="1" t="s">
        <v>513</v>
      </c>
      <c r="E2363" s="1" t="s">
        <v>576</v>
      </c>
      <c r="F2363" s="1" t="s">
        <v>463</v>
      </c>
      <c r="G2363" s="1" t="s">
        <v>279</v>
      </c>
      <c r="H2363" s="1" t="n">
        <v>36.75</v>
      </c>
      <c r="I2363" s="1" t="str">
        <f aca="false">B2363&amp;"|"&amp;F2363&amp;"|"&amp;G2363</f>
        <v>Bank Barns (Two-Story) – Special Purpose|C|Average</v>
      </c>
      <c r="J2363" s="1" t="s">
        <v>1119</v>
      </c>
    </row>
    <row r="2364" customFormat="false" ht="12" hidden="false" customHeight="true" outlineLevel="0" collapsed="false">
      <c r="B2364" s="1" t="s">
        <v>1120</v>
      </c>
      <c r="C2364" s="1" t="s">
        <v>1121</v>
      </c>
      <c r="D2364" s="1" t="s">
        <v>513</v>
      </c>
      <c r="E2364" s="1" t="s">
        <v>576</v>
      </c>
      <c r="F2364" s="1" t="s">
        <v>463</v>
      </c>
      <c r="G2364" s="1" t="s">
        <v>480</v>
      </c>
      <c r="H2364" s="1" t="n">
        <v>28</v>
      </c>
      <c r="I2364" s="1" t="str">
        <f aca="false">B2364&amp;"|"&amp;F2364&amp;"|"&amp;G2364</f>
        <v>Bank Barns (Two-Story) – Special Purpose|C|Low Cost</v>
      </c>
      <c r="J2364" s="1" t="s">
        <v>1119</v>
      </c>
    </row>
    <row r="2365" customFormat="false" ht="12" hidden="false" customHeight="true" outlineLevel="0" collapsed="false">
      <c r="B2365" s="1" t="s">
        <v>1120</v>
      </c>
      <c r="C2365" s="1" t="s">
        <v>1121</v>
      </c>
      <c r="D2365" s="1" t="s">
        <v>513</v>
      </c>
      <c r="E2365" s="1" t="s">
        <v>576</v>
      </c>
      <c r="F2365" s="1" t="s">
        <v>468</v>
      </c>
      <c r="G2365" s="1" t="s">
        <v>485</v>
      </c>
      <c r="H2365" s="1" t="n">
        <v>62</v>
      </c>
      <c r="I2365" s="1" t="str">
        <f aca="false">B2365&amp;"|"&amp;F2365&amp;"|"&amp;G2365</f>
        <v>Bank Barns (Two-Story) – Special Purpose|D|Excellent</v>
      </c>
      <c r="J2365" s="1" t="s">
        <v>1119</v>
      </c>
    </row>
    <row r="2366" customFormat="false" ht="12" hidden="false" customHeight="true" outlineLevel="0" collapsed="false">
      <c r="B2366" s="1" t="s">
        <v>1120</v>
      </c>
      <c r="C2366" s="1" t="s">
        <v>1121</v>
      </c>
      <c r="D2366" s="1" t="s">
        <v>513</v>
      </c>
      <c r="E2366" s="1" t="s">
        <v>576</v>
      </c>
      <c r="F2366" s="1" t="s">
        <v>468</v>
      </c>
      <c r="G2366" s="1" t="s">
        <v>483</v>
      </c>
      <c r="H2366" s="1" t="n">
        <v>46.25</v>
      </c>
      <c r="I2366" s="1" t="str">
        <f aca="false">B2366&amp;"|"&amp;F2366&amp;"|"&amp;G2366</f>
        <v>Bank Barns (Two-Story) – Special Purpose|D|Good</v>
      </c>
      <c r="J2366" s="1" t="s">
        <v>1119</v>
      </c>
    </row>
    <row r="2367" customFormat="false" ht="12" hidden="false" customHeight="true" outlineLevel="0" collapsed="false">
      <c r="B2367" s="1" t="s">
        <v>1120</v>
      </c>
      <c r="C2367" s="1" t="s">
        <v>1121</v>
      </c>
      <c r="D2367" s="1" t="s">
        <v>513</v>
      </c>
      <c r="E2367" s="1" t="s">
        <v>576</v>
      </c>
      <c r="F2367" s="1" t="s">
        <v>468</v>
      </c>
      <c r="G2367" s="1" t="s">
        <v>279</v>
      </c>
      <c r="H2367" s="1" t="n">
        <v>34.5</v>
      </c>
      <c r="I2367" s="1" t="str">
        <f aca="false">B2367&amp;"|"&amp;F2367&amp;"|"&amp;G2367</f>
        <v>Bank Barns (Two-Story) – Special Purpose|D|Average</v>
      </c>
      <c r="J2367" s="1" t="s">
        <v>1119</v>
      </c>
    </row>
    <row r="2368" customFormat="false" ht="12" hidden="false" customHeight="true" outlineLevel="0" collapsed="false">
      <c r="B2368" s="1" t="s">
        <v>1120</v>
      </c>
      <c r="C2368" s="1" t="s">
        <v>1121</v>
      </c>
      <c r="D2368" s="1" t="s">
        <v>513</v>
      </c>
      <c r="E2368" s="1" t="s">
        <v>576</v>
      </c>
      <c r="F2368" s="1" t="s">
        <v>468</v>
      </c>
      <c r="G2368" s="1" t="s">
        <v>480</v>
      </c>
      <c r="H2368" s="1" t="n">
        <v>25.75</v>
      </c>
      <c r="I2368" s="1" t="str">
        <f aca="false">B2368&amp;"|"&amp;F2368&amp;"|"&amp;G2368</f>
        <v>Bank Barns (Two-Story) – Special Purpose|D|Low Cost</v>
      </c>
      <c r="J2368" s="1" t="s">
        <v>1119</v>
      </c>
    </row>
    <row r="2369" customFormat="false" ht="12" hidden="false" customHeight="true" outlineLevel="0" collapsed="false">
      <c r="B2369" s="1" t="s">
        <v>1120</v>
      </c>
      <c r="C2369" s="1" t="s">
        <v>1121</v>
      </c>
      <c r="D2369" s="1" t="s">
        <v>513</v>
      </c>
      <c r="E2369" s="1" t="s">
        <v>576</v>
      </c>
      <c r="F2369" s="1" t="s">
        <v>566</v>
      </c>
      <c r="G2369" s="1" t="s">
        <v>279</v>
      </c>
      <c r="H2369" s="1" t="n">
        <v>31.25</v>
      </c>
      <c r="I2369" s="1" t="str">
        <f aca="false">B2369&amp;"|"&amp;F2369&amp;"|"&amp;G2369</f>
        <v>Bank Barns (Two-Story) – Special Purpose|DPOLE|Average</v>
      </c>
      <c r="J2369" s="1" t="s">
        <v>1119</v>
      </c>
    </row>
    <row r="2370" customFormat="false" ht="12" hidden="false" customHeight="true" outlineLevel="0" collapsed="false">
      <c r="B2370" s="1" t="s">
        <v>1120</v>
      </c>
      <c r="C2370" s="1" t="s">
        <v>1121</v>
      </c>
      <c r="D2370" s="1" t="s">
        <v>513</v>
      </c>
      <c r="E2370" s="1" t="s">
        <v>576</v>
      </c>
      <c r="F2370" s="1" t="s">
        <v>566</v>
      </c>
      <c r="G2370" s="1" t="s">
        <v>480</v>
      </c>
      <c r="H2370" s="1" t="n">
        <v>23.05</v>
      </c>
      <c r="I2370" s="1" t="str">
        <f aca="false">B2370&amp;"|"&amp;F2370&amp;"|"&amp;G2370</f>
        <v>Bank Barns (Two-Story) – Special Purpose|DPOLE|Low Cost</v>
      </c>
      <c r="J2370" s="1" t="s">
        <v>1119</v>
      </c>
    </row>
    <row r="2371" customFormat="false" ht="12" hidden="false" customHeight="true" outlineLevel="0" collapsed="false">
      <c r="B2371" s="1" t="s">
        <v>1122</v>
      </c>
      <c r="C2371" s="1" t="s">
        <v>1123</v>
      </c>
      <c r="D2371" s="1" t="s">
        <v>513</v>
      </c>
      <c r="E2371" s="1" t="s">
        <v>582</v>
      </c>
      <c r="F2371" s="1" t="s">
        <v>468</v>
      </c>
      <c r="G2371" s="1" t="s">
        <v>485</v>
      </c>
      <c r="H2371" s="1" t="n">
        <v>43.75</v>
      </c>
      <c r="I2371" s="1" t="str">
        <f aca="false">B2371&amp;"|"&amp;F2371&amp;"|"&amp;G2371</f>
        <v>Free-Stall Barns|D|Excellent</v>
      </c>
      <c r="J2371" s="1" t="s">
        <v>1124</v>
      </c>
    </row>
    <row r="2372" customFormat="false" ht="12" hidden="false" customHeight="true" outlineLevel="0" collapsed="false">
      <c r="B2372" s="1" t="s">
        <v>1122</v>
      </c>
      <c r="C2372" s="1" t="s">
        <v>1123</v>
      </c>
      <c r="D2372" s="1" t="s">
        <v>513</v>
      </c>
      <c r="E2372" s="1" t="s">
        <v>582</v>
      </c>
      <c r="F2372" s="1" t="s">
        <v>468</v>
      </c>
      <c r="G2372" s="1" t="s">
        <v>483</v>
      </c>
      <c r="H2372" s="1" t="n">
        <v>32</v>
      </c>
      <c r="I2372" s="1" t="str">
        <f aca="false">B2372&amp;"|"&amp;F2372&amp;"|"&amp;G2372</f>
        <v>Free-Stall Barns|D|Good</v>
      </c>
      <c r="J2372" s="1" t="s">
        <v>1124</v>
      </c>
    </row>
    <row r="2373" customFormat="false" ht="12" hidden="false" customHeight="true" outlineLevel="0" collapsed="false">
      <c r="B2373" s="1" t="s">
        <v>1122</v>
      </c>
      <c r="C2373" s="1" t="s">
        <v>1123</v>
      </c>
      <c r="D2373" s="1" t="s">
        <v>513</v>
      </c>
      <c r="E2373" s="1" t="s">
        <v>582</v>
      </c>
      <c r="F2373" s="1" t="s">
        <v>468</v>
      </c>
      <c r="G2373" s="1" t="s">
        <v>279</v>
      </c>
      <c r="H2373" s="1" t="n">
        <v>23.4</v>
      </c>
      <c r="I2373" s="1" t="str">
        <f aca="false">B2373&amp;"|"&amp;F2373&amp;"|"&amp;G2373</f>
        <v>Free-Stall Barns|D|Average</v>
      </c>
      <c r="J2373" s="1" t="s">
        <v>1124</v>
      </c>
    </row>
    <row r="2374" customFormat="false" ht="12" hidden="false" customHeight="true" outlineLevel="0" collapsed="false">
      <c r="B2374" s="1" t="s">
        <v>1122</v>
      </c>
      <c r="C2374" s="1" t="s">
        <v>1123</v>
      </c>
      <c r="D2374" s="1" t="s">
        <v>513</v>
      </c>
      <c r="E2374" s="1" t="s">
        <v>582</v>
      </c>
      <c r="F2374" s="1" t="s">
        <v>468</v>
      </c>
      <c r="G2374" s="1" t="s">
        <v>480</v>
      </c>
      <c r="H2374" s="1" t="n">
        <v>17.05</v>
      </c>
      <c r="I2374" s="1" t="str">
        <f aca="false">B2374&amp;"|"&amp;F2374&amp;"|"&amp;G2374</f>
        <v>Free-Stall Barns|D|Low Cost</v>
      </c>
      <c r="J2374" s="1" t="s">
        <v>1124</v>
      </c>
    </row>
    <row r="2375" customFormat="false" ht="12" hidden="false" customHeight="true" outlineLevel="0" collapsed="false">
      <c r="B2375" s="1" t="s">
        <v>1122</v>
      </c>
      <c r="C2375" s="1" t="s">
        <v>1123</v>
      </c>
      <c r="D2375" s="1" t="s">
        <v>513</v>
      </c>
      <c r="E2375" s="1" t="s">
        <v>582</v>
      </c>
      <c r="F2375" s="1" t="s">
        <v>566</v>
      </c>
      <c r="G2375" s="1" t="s">
        <v>485</v>
      </c>
      <c r="H2375" s="1" t="n">
        <v>39</v>
      </c>
      <c r="I2375" s="1" t="str">
        <f aca="false">B2375&amp;"|"&amp;F2375&amp;"|"&amp;G2375</f>
        <v>Free-Stall Barns|DPOLE|Excellent</v>
      </c>
      <c r="J2375" s="1" t="s">
        <v>1124</v>
      </c>
    </row>
    <row r="2376" customFormat="false" ht="12" hidden="false" customHeight="true" outlineLevel="0" collapsed="false">
      <c r="B2376" s="1" t="s">
        <v>1122</v>
      </c>
      <c r="C2376" s="1" t="s">
        <v>1123</v>
      </c>
      <c r="D2376" s="1" t="s">
        <v>513</v>
      </c>
      <c r="E2376" s="1" t="s">
        <v>582</v>
      </c>
      <c r="F2376" s="1" t="s">
        <v>566</v>
      </c>
      <c r="G2376" s="1" t="s">
        <v>483</v>
      </c>
      <c r="H2376" s="1" t="n">
        <v>28.5</v>
      </c>
      <c r="I2376" s="1" t="str">
        <f aca="false">B2376&amp;"|"&amp;F2376&amp;"|"&amp;G2376</f>
        <v>Free-Stall Barns|DPOLE|Good</v>
      </c>
      <c r="J2376" s="1" t="s">
        <v>1124</v>
      </c>
    </row>
    <row r="2377" customFormat="false" ht="12" hidden="false" customHeight="true" outlineLevel="0" collapsed="false">
      <c r="B2377" s="1" t="s">
        <v>1122</v>
      </c>
      <c r="C2377" s="1" t="s">
        <v>1123</v>
      </c>
      <c r="D2377" s="1" t="s">
        <v>513</v>
      </c>
      <c r="E2377" s="1" t="s">
        <v>582</v>
      </c>
      <c r="F2377" s="1" t="s">
        <v>566</v>
      </c>
      <c r="G2377" s="1" t="s">
        <v>279</v>
      </c>
      <c r="H2377" s="1" t="n">
        <v>20.7</v>
      </c>
      <c r="I2377" s="1" t="str">
        <f aca="false">B2377&amp;"|"&amp;F2377&amp;"|"&amp;G2377</f>
        <v>Free-Stall Barns|DPOLE|Average</v>
      </c>
      <c r="J2377" s="1" t="s">
        <v>1124</v>
      </c>
    </row>
    <row r="2378" customFormat="false" ht="12" hidden="false" customHeight="true" outlineLevel="0" collapsed="false">
      <c r="B2378" s="1" t="s">
        <v>1122</v>
      </c>
      <c r="C2378" s="1" t="s">
        <v>1123</v>
      </c>
      <c r="D2378" s="1" t="s">
        <v>513</v>
      </c>
      <c r="E2378" s="1" t="s">
        <v>582</v>
      </c>
      <c r="F2378" s="1" t="s">
        <v>566</v>
      </c>
      <c r="G2378" s="1" t="s">
        <v>480</v>
      </c>
      <c r="H2378" s="1" t="n">
        <v>15.1</v>
      </c>
      <c r="I2378" s="1" t="str">
        <f aca="false">B2378&amp;"|"&amp;F2378&amp;"|"&amp;G2378</f>
        <v>Free-Stall Barns|DPOLE|Low Cost</v>
      </c>
      <c r="J2378" s="1" t="s">
        <v>1124</v>
      </c>
    </row>
    <row r="2379" customFormat="false" ht="12" hidden="false" customHeight="true" outlineLevel="0" collapsed="false">
      <c r="B2379" s="1" t="s">
        <v>1122</v>
      </c>
      <c r="C2379" s="1" t="s">
        <v>1123</v>
      </c>
      <c r="D2379" s="1" t="s">
        <v>513</v>
      </c>
      <c r="E2379" s="1" t="s">
        <v>582</v>
      </c>
      <c r="F2379" s="1" t="s">
        <v>566</v>
      </c>
      <c r="G2379" s="1" t="s">
        <v>567</v>
      </c>
      <c r="H2379" s="1" t="n">
        <v>10.75</v>
      </c>
      <c r="I2379" s="1" t="str">
        <f aca="false">B2379&amp;"|"&amp;F2379&amp;"|"&amp;G2379</f>
        <v>Free-Stall Barns|DPOLE|Cheap</v>
      </c>
      <c r="J2379" s="1" t="s">
        <v>1124</v>
      </c>
    </row>
    <row r="2380" customFormat="false" ht="12" hidden="false" customHeight="true" outlineLevel="0" collapsed="false">
      <c r="B2380" s="1" t="s">
        <v>1122</v>
      </c>
      <c r="C2380" s="1" t="s">
        <v>1123</v>
      </c>
      <c r="D2380" s="1" t="s">
        <v>513</v>
      </c>
      <c r="E2380" s="1" t="s">
        <v>582</v>
      </c>
      <c r="F2380" s="1" t="s">
        <v>1090</v>
      </c>
      <c r="G2380" s="1" t="s">
        <v>279</v>
      </c>
      <c r="H2380" s="1" t="n">
        <v>18</v>
      </c>
      <c r="I2380" s="1" t="str">
        <f aca="false">B2380&amp;"|"&amp;F2380&amp;"|"&amp;G2380</f>
        <v>Free-Stall Barns|DHOOP|Average</v>
      </c>
      <c r="J2380" s="1" t="s">
        <v>1124</v>
      </c>
    </row>
    <row r="2381" customFormat="false" ht="12" hidden="false" customHeight="true" outlineLevel="0" collapsed="false">
      <c r="B2381" s="1" t="s">
        <v>1122</v>
      </c>
      <c r="C2381" s="1" t="s">
        <v>1123</v>
      </c>
      <c r="D2381" s="1" t="s">
        <v>513</v>
      </c>
      <c r="E2381" s="1" t="s">
        <v>582</v>
      </c>
      <c r="F2381" s="1" t="s">
        <v>1090</v>
      </c>
      <c r="G2381" s="1" t="s">
        <v>480</v>
      </c>
      <c r="H2381" s="1" t="n">
        <v>13.75</v>
      </c>
      <c r="I2381" s="1" t="str">
        <f aca="false">B2381&amp;"|"&amp;F2381&amp;"|"&amp;G2381</f>
        <v>Free-Stall Barns|DHOOP|Low Cost</v>
      </c>
      <c r="J2381" s="1" t="s">
        <v>1124</v>
      </c>
    </row>
    <row r="2382" customFormat="false" ht="12" hidden="false" customHeight="true" outlineLevel="0" collapsed="false">
      <c r="B2382" s="1" t="s">
        <v>1122</v>
      </c>
      <c r="C2382" s="1" t="s">
        <v>1123</v>
      </c>
      <c r="D2382" s="1" t="s">
        <v>513</v>
      </c>
      <c r="E2382" s="1" t="s">
        <v>582</v>
      </c>
      <c r="F2382" s="1" t="s">
        <v>1090</v>
      </c>
      <c r="G2382" s="1" t="s">
        <v>567</v>
      </c>
      <c r="H2382" s="1" t="n">
        <v>12.05</v>
      </c>
      <c r="I2382" s="1" t="str">
        <f aca="false">B2382&amp;"|"&amp;F2382&amp;"|"&amp;G2382</f>
        <v>Free-Stall Barns|DHOOP|Cheap</v>
      </c>
      <c r="J2382" s="1" t="s">
        <v>1124</v>
      </c>
    </row>
    <row r="2383" customFormat="false" ht="12" hidden="false" customHeight="true" outlineLevel="0" collapsed="false">
      <c r="B2383" s="1" t="s">
        <v>1122</v>
      </c>
      <c r="C2383" s="1" t="s">
        <v>1123</v>
      </c>
      <c r="D2383" s="1" t="s">
        <v>513</v>
      </c>
      <c r="E2383" s="1" t="s">
        <v>582</v>
      </c>
      <c r="F2383" s="1" t="s">
        <v>473</v>
      </c>
      <c r="G2383" s="1" t="s">
        <v>485</v>
      </c>
      <c r="H2383" s="1" t="n">
        <v>42.25</v>
      </c>
      <c r="I2383" s="1" t="str">
        <f aca="false">B2383&amp;"|"&amp;F2383&amp;"|"&amp;G2383</f>
        <v>Free-Stall Barns|S|Excellent</v>
      </c>
      <c r="J2383" s="1" t="s">
        <v>1124</v>
      </c>
    </row>
    <row r="2384" customFormat="false" ht="12" hidden="false" customHeight="true" outlineLevel="0" collapsed="false">
      <c r="B2384" s="1" t="s">
        <v>1122</v>
      </c>
      <c r="C2384" s="1" t="s">
        <v>1123</v>
      </c>
      <c r="D2384" s="1" t="s">
        <v>513</v>
      </c>
      <c r="E2384" s="1" t="s">
        <v>582</v>
      </c>
      <c r="F2384" s="1" t="s">
        <v>473</v>
      </c>
      <c r="G2384" s="1" t="s">
        <v>483</v>
      </c>
      <c r="H2384" s="1" t="n">
        <v>31.75</v>
      </c>
      <c r="I2384" s="1" t="str">
        <f aca="false">B2384&amp;"|"&amp;F2384&amp;"|"&amp;G2384</f>
        <v>Free-Stall Barns|S|Good</v>
      </c>
      <c r="J2384" s="1" t="s">
        <v>1124</v>
      </c>
    </row>
    <row r="2385" customFormat="false" ht="12" hidden="false" customHeight="true" outlineLevel="0" collapsed="false">
      <c r="B2385" s="1" t="s">
        <v>1122</v>
      </c>
      <c r="C2385" s="1" t="s">
        <v>1123</v>
      </c>
      <c r="D2385" s="1" t="s">
        <v>513</v>
      </c>
      <c r="E2385" s="1" t="s">
        <v>582</v>
      </c>
      <c r="F2385" s="1" t="s">
        <v>473</v>
      </c>
      <c r="G2385" s="1" t="s">
        <v>279</v>
      </c>
      <c r="H2385" s="1" t="n">
        <v>23.6</v>
      </c>
      <c r="I2385" s="1" t="str">
        <f aca="false">B2385&amp;"|"&amp;F2385&amp;"|"&amp;G2385</f>
        <v>Free-Stall Barns|S|Average</v>
      </c>
      <c r="J2385" s="1" t="s">
        <v>1124</v>
      </c>
    </row>
    <row r="2386" customFormat="false" ht="12" hidden="false" customHeight="true" outlineLevel="0" collapsed="false">
      <c r="B2386" s="1" t="s">
        <v>1122</v>
      </c>
      <c r="C2386" s="1" t="s">
        <v>1123</v>
      </c>
      <c r="D2386" s="1" t="s">
        <v>513</v>
      </c>
      <c r="E2386" s="1" t="s">
        <v>582</v>
      </c>
      <c r="F2386" s="1" t="s">
        <v>473</v>
      </c>
      <c r="G2386" s="1" t="s">
        <v>480</v>
      </c>
      <c r="H2386" s="1" t="n">
        <v>17.65</v>
      </c>
      <c r="I2386" s="1" t="str">
        <f aca="false">B2386&amp;"|"&amp;F2386&amp;"|"&amp;G2386</f>
        <v>Free-Stall Barns|S|Low Cost</v>
      </c>
      <c r="J2386" s="1" t="s">
        <v>1124</v>
      </c>
    </row>
    <row r="2387" customFormat="false" ht="12" hidden="false" customHeight="true" outlineLevel="0" collapsed="false">
      <c r="B2387" s="1" t="s">
        <v>1122</v>
      </c>
      <c r="C2387" s="1" t="s">
        <v>1123</v>
      </c>
      <c r="D2387" s="1" t="s">
        <v>513</v>
      </c>
      <c r="E2387" s="1" t="s">
        <v>582</v>
      </c>
      <c r="F2387" s="1" t="s">
        <v>473</v>
      </c>
      <c r="G2387" s="1" t="s">
        <v>567</v>
      </c>
      <c r="H2387" s="1" t="n">
        <v>11.45</v>
      </c>
      <c r="I2387" s="1" t="str">
        <f aca="false">B2387&amp;"|"&amp;F2387&amp;"|"&amp;G2387</f>
        <v>Free-Stall Barns|S|Cheap</v>
      </c>
      <c r="J2387" s="1" t="s">
        <v>1124</v>
      </c>
    </row>
    <row r="2388" customFormat="false" ht="12" hidden="false" customHeight="true" outlineLevel="0" collapsed="false">
      <c r="B2388" s="1" t="s">
        <v>1125</v>
      </c>
      <c r="C2388" s="1" t="s">
        <v>1126</v>
      </c>
      <c r="D2388" s="1" t="s">
        <v>513</v>
      </c>
      <c r="E2388" s="1" t="s">
        <v>582</v>
      </c>
      <c r="F2388" s="1" t="s">
        <v>468</v>
      </c>
      <c r="G2388" s="1" t="s">
        <v>279</v>
      </c>
      <c r="H2388" s="1" t="n">
        <v>30.5</v>
      </c>
      <c r="I2388" s="1" t="str">
        <f aca="false">B2388&amp;"|"&amp;F2388&amp;"|"&amp;G2388</f>
        <v>Confinement Barns|D|Average</v>
      </c>
      <c r="J2388" s="1" t="s">
        <v>1124</v>
      </c>
    </row>
    <row r="2389" customFormat="false" ht="12" hidden="false" customHeight="true" outlineLevel="0" collapsed="false">
      <c r="B2389" s="1" t="s">
        <v>1125</v>
      </c>
      <c r="C2389" s="1" t="s">
        <v>1126</v>
      </c>
      <c r="D2389" s="1" t="s">
        <v>513</v>
      </c>
      <c r="E2389" s="1" t="s">
        <v>582</v>
      </c>
      <c r="F2389" s="1" t="s">
        <v>468</v>
      </c>
      <c r="G2389" s="1" t="s">
        <v>480</v>
      </c>
      <c r="H2389" s="1" t="n">
        <v>15.2</v>
      </c>
      <c r="I2389" s="1" t="str">
        <f aca="false">B2389&amp;"|"&amp;F2389&amp;"|"&amp;G2389</f>
        <v>Confinement Barns|D|Low Cost</v>
      </c>
      <c r="J2389" s="1" t="s">
        <v>1124</v>
      </c>
    </row>
    <row r="2390" customFormat="false" ht="12" hidden="false" customHeight="true" outlineLevel="0" collapsed="false">
      <c r="B2390" s="1" t="s">
        <v>1125</v>
      </c>
      <c r="C2390" s="1" t="s">
        <v>1126</v>
      </c>
      <c r="D2390" s="1" t="s">
        <v>513</v>
      </c>
      <c r="E2390" s="1" t="s">
        <v>582</v>
      </c>
      <c r="F2390" s="1" t="s">
        <v>566</v>
      </c>
      <c r="G2390" s="1" t="s">
        <v>279</v>
      </c>
      <c r="H2390" s="1" t="n">
        <v>27.5</v>
      </c>
      <c r="I2390" s="1" t="str">
        <f aca="false">B2390&amp;"|"&amp;F2390&amp;"|"&amp;G2390</f>
        <v>Confinement Barns|DPOLE|Average</v>
      </c>
      <c r="J2390" s="1" t="s">
        <v>1124</v>
      </c>
    </row>
    <row r="2391" customFormat="false" ht="12" hidden="false" customHeight="true" outlineLevel="0" collapsed="false">
      <c r="B2391" s="1" t="s">
        <v>1125</v>
      </c>
      <c r="C2391" s="1" t="s">
        <v>1126</v>
      </c>
      <c r="D2391" s="1" t="s">
        <v>513</v>
      </c>
      <c r="E2391" s="1" t="s">
        <v>582</v>
      </c>
      <c r="F2391" s="1" t="s">
        <v>566</v>
      </c>
      <c r="G2391" s="1" t="s">
        <v>480</v>
      </c>
      <c r="H2391" s="1" t="n">
        <v>13.2</v>
      </c>
      <c r="I2391" s="1" t="str">
        <f aca="false">B2391&amp;"|"&amp;F2391&amp;"|"&amp;G2391</f>
        <v>Confinement Barns|DPOLE|Low Cost</v>
      </c>
      <c r="J2391" s="1" t="s">
        <v>1124</v>
      </c>
    </row>
    <row r="2392" customFormat="false" ht="12" hidden="false" customHeight="true" outlineLevel="0" collapsed="false">
      <c r="B2392" s="1" t="s">
        <v>1125</v>
      </c>
      <c r="C2392" s="1" t="s">
        <v>1126</v>
      </c>
      <c r="D2392" s="1" t="s">
        <v>513</v>
      </c>
      <c r="E2392" s="1" t="s">
        <v>582</v>
      </c>
      <c r="F2392" s="1" t="s">
        <v>1090</v>
      </c>
      <c r="G2392" s="1" t="s">
        <v>480</v>
      </c>
      <c r="H2392" s="1" t="n">
        <v>9.41</v>
      </c>
      <c r="I2392" s="1" t="str">
        <f aca="false">B2392&amp;"|"&amp;F2392&amp;"|"&amp;G2392</f>
        <v>Confinement Barns|DHOOP|Low Cost</v>
      </c>
      <c r="J2392" s="1" t="s">
        <v>1124</v>
      </c>
    </row>
    <row r="2393" customFormat="false" ht="12" hidden="false" customHeight="true" outlineLevel="0" collapsed="false">
      <c r="B2393" s="1" t="s">
        <v>1125</v>
      </c>
      <c r="C2393" s="1" t="s">
        <v>1126</v>
      </c>
      <c r="D2393" s="1" t="s">
        <v>513</v>
      </c>
      <c r="E2393" s="1" t="s">
        <v>582</v>
      </c>
      <c r="F2393" s="1" t="s">
        <v>473</v>
      </c>
      <c r="G2393" s="1" t="s">
        <v>279</v>
      </c>
      <c r="H2393" s="1" t="n">
        <v>30</v>
      </c>
      <c r="I2393" s="1" t="str">
        <f aca="false">B2393&amp;"|"&amp;F2393&amp;"|"&amp;G2393</f>
        <v>Confinement Barns|S|Average</v>
      </c>
      <c r="J2393" s="1" t="s">
        <v>1124</v>
      </c>
    </row>
    <row r="2394" customFormat="false" ht="12" hidden="false" customHeight="true" outlineLevel="0" collapsed="false">
      <c r="B2394" s="1" t="s">
        <v>1125</v>
      </c>
      <c r="C2394" s="1" t="s">
        <v>1126</v>
      </c>
      <c r="D2394" s="1" t="s">
        <v>513</v>
      </c>
      <c r="E2394" s="1" t="s">
        <v>582</v>
      </c>
      <c r="F2394" s="1" t="s">
        <v>473</v>
      </c>
      <c r="G2394" s="1" t="s">
        <v>480</v>
      </c>
      <c r="H2394" s="1" t="n">
        <v>15.65</v>
      </c>
      <c r="I2394" s="1" t="str">
        <f aca="false">B2394&amp;"|"&amp;F2394&amp;"|"&amp;G2394</f>
        <v>Confinement Barns|S|Low Cost</v>
      </c>
      <c r="J2394" s="1" t="s">
        <v>1124</v>
      </c>
    </row>
    <row r="2395" customFormat="false" ht="12" hidden="false" customHeight="true" outlineLevel="0" collapsed="false">
      <c r="B2395" s="1" t="s">
        <v>1127</v>
      </c>
      <c r="C2395" s="1" t="s">
        <v>1128</v>
      </c>
      <c r="D2395" s="1" t="s">
        <v>513</v>
      </c>
      <c r="E2395" s="1" t="s">
        <v>586</v>
      </c>
      <c r="F2395" s="1" t="s">
        <v>468</v>
      </c>
      <c r="G2395" s="1" t="s">
        <v>483</v>
      </c>
      <c r="H2395" s="1" t="n">
        <v>12.95</v>
      </c>
      <c r="I2395" s="1" t="str">
        <f aca="false">B2395&amp;"|"&amp;F2395&amp;"|"&amp;G2395</f>
        <v>Feeder Barns – Sheds|D|Good</v>
      </c>
      <c r="J2395" s="1" t="s">
        <v>1129</v>
      </c>
    </row>
    <row r="2396" customFormat="false" ht="12" hidden="false" customHeight="true" outlineLevel="0" collapsed="false">
      <c r="B2396" s="1" t="s">
        <v>1127</v>
      </c>
      <c r="C2396" s="1" t="s">
        <v>1128</v>
      </c>
      <c r="D2396" s="1" t="s">
        <v>513</v>
      </c>
      <c r="E2396" s="1" t="s">
        <v>586</v>
      </c>
      <c r="F2396" s="1" t="s">
        <v>468</v>
      </c>
      <c r="G2396" s="1" t="s">
        <v>279</v>
      </c>
      <c r="H2396" s="1" t="n">
        <v>11.4</v>
      </c>
      <c r="I2396" s="1" t="str">
        <f aca="false">B2396&amp;"|"&amp;F2396&amp;"|"&amp;G2396</f>
        <v>Feeder Barns – Sheds|D|Average</v>
      </c>
      <c r="J2396" s="1" t="s">
        <v>1129</v>
      </c>
    </row>
    <row r="2397" customFormat="false" ht="12" hidden="false" customHeight="true" outlineLevel="0" collapsed="false">
      <c r="B2397" s="1" t="s">
        <v>1127</v>
      </c>
      <c r="C2397" s="1" t="s">
        <v>1128</v>
      </c>
      <c r="D2397" s="1" t="s">
        <v>513</v>
      </c>
      <c r="E2397" s="1" t="s">
        <v>586</v>
      </c>
      <c r="F2397" s="1" t="s">
        <v>468</v>
      </c>
      <c r="G2397" s="1" t="s">
        <v>480</v>
      </c>
      <c r="H2397" s="1" t="n">
        <v>10.05</v>
      </c>
      <c r="I2397" s="1" t="str">
        <f aca="false">B2397&amp;"|"&amp;F2397&amp;"|"&amp;G2397</f>
        <v>Feeder Barns – Sheds|D|Low Cost</v>
      </c>
      <c r="J2397" s="1" t="s">
        <v>1129</v>
      </c>
    </row>
    <row r="2398" customFormat="false" ht="12" hidden="false" customHeight="true" outlineLevel="0" collapsed="false">
      <c r="B2398" s="1" t="s">
        <v>1127</v>
      </c>
      <c r="C2398" s="1" t="s">
        <v>1128</v>
      </c>
      <c r="D2398" s="1" t="s">
        <v>513</v>
      </c>
      <c r="E2398" s="1" t="s">
        <v>586</v>
      </c>
      <c r="F2398" s="1" t="s">
        <v>566</v>
      </c>
      <c r="G2398" s="1" t="s">
        <v>483</v>
      </c>
      <c r="H2398" s="1" t="n">
        <v>10.95</v>
      </c>
      <c r="I2398" s="1" t="str">
        <f aca="false">B2398&amp;"|"&amp;F2398&amp;"|"&amp;G2398</f>
        <v>Feeder Barns – Sheds|DPOLE|Good</v>
      </c>
      <c r="J2398" s="1" t="s">
        <v>1129</v>
      </c>
    </row>
    <row r="2399" customFormat="false" ht="12" hidden="false" customHeight="true" outlineLevel="0" collapsed="false">
      <c r="B2399" s="1" t="s">
        <v>1127</v>
      </c>
      <c r="C2399" s="1" t="s">
        <v>1128</v>
      </c>
      <c r="D2399" s="1" t="s">
        <v>513</v>
      </c>
      <c r="E2399" s="1" t="s">
        <v>586</v>
      </c>
      <c r="F2399" s="1" t="s">
        <v>566</v>
      </c>
      <c r="G2399" s="1" t="s">
        <v>279</v>
      </c>
      <c r="H2399" s="1" t="n">
        <v>9.63</v>
      </c>
      <c r="I2399" s="1" t="str">
        <f aca="false">B2399&amp;"|"&amp;F2399&amp;"|"&amp;G2399</f>
        <v>Feeder Barns – Sheds|DPOLE|Average</v>
      </c>
      <c r="J2399" s="1" t="s">
        <v>1129</v>
      </c>
    </row>
    <row r="2400" customFormat="false" ht="12" hidden="false" customHeight="true" outlineLevel="0" collapsed="false">
      <c r="B2400" s="1" t="s">
        <v>1127</v>
      </c>
      <c r="C2400" s="1" t="s">
        <v>1128</v>
      </c>
      <c r="D2400" s="1" t="s">
        <v>513</v>
      </c>
      <c r="E2400" s="1" t="s">
        <v>586</v>
      </c>
      <c r="F2400" s="1" t="s">
        <v>566</v>
      </c>
      <c r="G2400" s="1" t="s">
        <v>480</v>
      </c>
      <c r="H2400" s="1" t="n">
        <v>8.45</v>
      </c>
      <c r="I2400" s="1" t="str">
        <f aca="false">B2400&amp;"|"&amp;F2400&amp;"|"&amp;G2400</f>
        <v>Feeder Barns – Sheds|DPOLE|Low Cost</v>
      </c>
      <c r="J2400" s="1" t="s">
        <v>1129</v>
      </c>
    </row>
    <row r="2401" customFormat="false" ht="12" hidden="false" customHeight="true" outlineLevel="0" collapsed="false">
      <c r="B2401" s="1" t="s">
        <v>1127</v>
      </c>
      <c r="C2401" s="1" t="s">
        <v>1128</v>
      </c>
      <c r="D2401" s="1" t="s">
        <v>513</v>
      </c>
      <c r="E2401" s="1" t="s">
        <v>586</v>
      </c>
      <c r="F2401" s="1" t="s">
        <v>1090</v>
      </c>
      <c r="G2401" s="1" t="s">
        <v>279</v>
      </c>
      <c r="H2401" s="1" t="n">
        <v>9.09</v>
      </c>
      <c r="I2401" s="1" t="str">
        <f aca="false">B2401&amp;"|"&amp;F2401&amp;"|"&amp;G2401</f>
        <v>Feeder Barns – Sheds|DHOOP|Average</v>
      </c>
      <c r="J2401" s="1" t="s">
        <v>1129</v>
      </c>
    </row>
    <row r="2402" customFormat="false" ht="12" hidden="false" customHeight="true" outlineLevel="0" collapsed="false">
      <c r="B2402" s="1" t="s">
        <v>1127</v>
      </c>
      <c r="C2402" s="1" t="s">
        <v>1128</v>
      </c>
      <c r="D2402" s="1" t="s">
        <v>513</v>
      </c>
      <c r="E2402" s="1" t="s">
        <v>586</v>
      </c>
      <c r="F2402" s="1" t="s">
        <v>1090</v>
      </c>
      <c r="G2402" s="1" t="s">
        <v>480</v>
      </c>
      <c r="H2402" s="1" t="n">
        <v>7.98</v>
      </c>
      <c r="I2402" s="1" t="str">
        <f aca="false">B2402&amp;"|"&amp;F2402&amp;"|"&amp;G2402</f>
        <v>Feeder Barns – Sheds|DHOOP|Low Cost</v>
      </c>
      <c r="J2402" s="1" t="s">
        <v>1129</v>
      </c>
    </row>
    <row r="2403" customFormat="false" ht="12" hidden="false" customHeight="true" outlineLevel="0" collapsed="false">
      <c r="B2403" s="1" t="s">
        <v>1127</v>
      </c>
      <c r="C2403" s="1" t="s">
        <v>1128</v>
      </c>
      <c r="D2403" s="1" t="s">
        <v>513</v>
      </c>
      <c r="E2403" s="1" t="s">
        <v>586</v>
      </c>
      <c r="F2403" s="1" t="s">
        <v>473</v>
      </c>
      <c r="G2403" s="1" t="s">
        <v>483</v>
      </c>
      <c r="H2403" s="1" t="n">
        <v>13.75</v>
      </c>
      <c r="I2403" s="1" t="str">
        <f aca="false">B2403&amp;"|"&amp;F2403&amp;"|"&amp;G2403</f>
        <v>Feeder Barns – Sheds|S|Good</v>
      </c>
      <c r="J2403" s="1" t="s">
        <v>1129</v>
      </c>
    </row>
    <row r="2404" customFormat="false" ht="12" hidden="false" customHeight="true" outlineLevel="0" collapsed="false">
      <c r="B2404" s="1" t="s">
        <v>1127</v>
      </c>
      <c r="C2404" s="1" t="s">
        <v>1128</v>
      </c>
      <c r="D2404" s="1" t="s">
        <v>513</v>
      </c>
      <c r="E2404" s="1" t="s">
        <v>586</v>
      </c>
      <c r="F2404" s="1" t="s">
        <v>473</v>
      </c>
      <c r="G2404" s="1" t="s">
        <v>279</v>
      </c>
      <c r="H2404" s="1" t="n">
        <v>12.25</v>
      </c>
      <c r="I2404" s="1" t="str">
        <f aca="false">B2404&amp;"|"&amp;F2404&amp;"|"&amp;G2404</f>
        <v>Feeder Barns – Sheds|S|Average</v>
      </c>
      <c r="J2404" s="1" t="s">
        <v>1129</v>
      </c>
    </row>
    <row r="2405" customFormat="false" ht="12" hidden="false" customHeight="true" outlineLevel="0" collapsed="false">
      <c r="B2405" s="1" t="s">
        <v>1127</v>
      </c>
      <c r="C2405" s="1" t="s">
        <v>1128</v>
      </c>
      <c r="D2405" s="1" t="s">
        <v>513</v>
      </c>
      <c r="E2405" s="1" t="s">
        <v>586</v>
      </c>
      <c r="F2405" s="1" t="s">
        <v>473</v>
      </c>
      <c r="G2405" s="1" t="s">
        <v>480</v>
      </c>
      <c r="H2405" s="1" t="n">
        <v>10.9</v>
      </c>
      <c r="I2405" s="1" t="str">
        <f aca="false">B2405&amp;"|"&amp;F2405&amp;"|"&amp;G2405</f>
        <v>Feeder Barns – Sheds|S|Low Cost</v>
      </c>
      <c r="J2405" s="1" t="s">
        <v>1129</v>
      </c>
    </row>
    <row r="2406" customFormat="false" ht="12" hidden="false" customHeight="true" outlineLevel="0" collapsed="false">
      <c r="B2406" s="1" t="s">
        <v>1130</v>
      </c>
      <c r="C2406" s="1" t="s">
        <v>1131</v>
      </c>
      <c r="D2406" s="1" t="s">
        <v>513</v>
      </c>
      <c r="E2406" s="1" t="s">
        <v>586</v>
      </c>
      <c r="F2406" s="1" t="s">
        <v>468</v>
      </c>
      <c r="G2406" s="1" t="s">
        <v>483</v>
      </c>
      <c r="H2406" s="1" t="n">
        <v>11.3</v>
      </c>
      <c r="I2406" s="1" t="str">
        <f aca="false">B2406&amp;"|"&amp;F2406&amp;"|"&amp;G2406</f>
        <v>Loafing Sheds|D|Good</v>
      </c>
      <c r="J2406" s="1" t="s">
        <v>1129</v>
      </c>
    </row>
    <row r="2407" customFormat="false" ht="12" hidden="false" customHeight="true" outlineLevel="0" collapsed="false">
      <c r="B2407" s="1" t="s">
        <v>1130</v>
      </c>
      <c r="C2407" s="1" t="s">
        <v>1131</v>
      </c>
      <c r="D2407" s="1" t="s">
        <v>513</v>
      </c>
      <c r="E2407" s="1" t="s">
        <v>586</v>
      </c>
      <c r="F2407" s="1" t="s">
        <v>468</v>
      </c>
      <c r="G2407" s="1" t="s">
        <v>279</v>
      </c>
      <c r="H2407" s="1" t="n">
        <v>10.55</v>
      </c>
      <c r="I2407" s="1" t="str">
        <f aca="false">B2407&amp;"|"&amp;F2407&amp;"|"&amp;G2407</f>
        <v>Loafing Sheds|D|Average</v>
      </c>
      <c r="J2407" s="1" t="s">
        <v>1129</v>
      </c>
    </row>
    <row r="2408" customFormat="false" ht="12" hidden="false" customHeight="true" outlineLevel="0" collapsed="false">
      <c r="B2408" s="1" t="s">
        <v>1130</v>
      </c>
      <c r="C2408" s="1" t="s">
        <v>1131</v>
      </c>
      <c r="D2408" s="1" t="s">
        <v>513</v>
      </c>
      <c r="E2408" s="1" t="s">
        <v>586</v>
      </c>
      <c r="F2408" s="1" t="s">
        <v>468</v>
      </c>
      <c r="G2408" s="1" t="s">
        <v>480</v>
      </c>
      <c r="H2408" s="1" t="n">
        <v>9.86</v>
      </c>
      <c r="I2408" s="1" t="str">
        <f aca="false">B2408&amp;"|"&amp;F2408&amp;"|"&amp;G2408</f>
        <v>Loafing Sheds|D|Low Cost</v>
      </c>
      <c r="J2408" s="1" t="s">
        <v>1129</v>
      </c>
    </row>
    <row r="2409" customFormat="false" ht="12" hidden="false" customHeight="true" outlineLevel="0" collapsed="false">
      <c r="B2409" s="1" t="s">
        <v>1130</v>
      </c>
      <c r="C2409" s="1" t="s">
        <v>1131</v>
      </c>
      <c r="D2409" s="1" t="s">
        <v>513</v>
      </c>
      <c r="E2409" s="1" t="s">
        <v>586</v>
      </c>
      <c r="F2409" s="1" t="s">
        <v>566</v>
      </c>
      <c r="G2409" s="1" t="s">
        <v>480</v>
      </c>
      <c r="H2409" s="1" t="n">
        <v>8.25</v>
      </c>
      <c r="I2409" s="1" t="str">
        <f aca="false">B2409&amp;"|"&amp;F2409&amp;"|"&amp;G2409</f>
        <v>Loafing Sheds|DPOLE|Low Cost</v>
      </c>
      <c r="J2409" s="1" t="s">
        <v>1129</v>
      </c>
    </row>
    <row r="2410" customFormat="false" ht="12" hidden="false" customHeight="true" outlineLevel="0" collapsed="false">
      <c r="B2410" s="1" t="s">
        <v>1130</v>
      </c>
      <c r="C2410" s="1" t="s">
        <v>1131</v>
      </c>
      <c r="D2410" s="1" t="s">
        <v>513</v>
      </c>
      <c r="E2410" s="1" t="s">
        <v>586</v>
      </c>
      <c r="F2410" s="1" t="s">
        <v>473</v>
      </c>
      <c r="G2410" s="1" t="s">
        <v>480</v>
      </c>
      <c r="H2410" s="1" t="n">
        <v>10.65</v>
      </c>
      <c r="I2410" s="1" t="str">
        <f aca="false">B2410&amp;"|"&amp;F2410&amp;"|"&amp;G2410</f>
        <v>Loafing Sheds|S|Low Cost</v>
      </c>
      <c r="J2410" s="1" t="s">
        <v>1129</v>
      </c>
    </row>
    <row r="2411" customFormat="false" ht="12" hidden="false" customHeight="true" outlineLevel="0" collapsed="false">
      <c r="B2411" s="1" t="s">
        <v>1132</v>
      </c>
      <c r="C2411" s="1" t="s">
        <v>1133</v>
      </c>
      <c r="D2411" s="1" t="s">
        <v>513</v>
      </c>
      <c r="E2411" s="1" t="s">
        <v>586</v>
      </c>
      <c r="F2411" s="1" t="s">
        <v>468</v>
      </c>
      <c r="G2411" s="1" t="s">
        <v>483</v>
      </c>
      <c r="H2411" s="1" t="n">
        <v>7.94</v>
      </c>
      <c r="I2411" s="1" t="str">
        <f aca="false">B2411&amp;"|"&amp;F2411&amp;"|"&amp;G2411</f>
        <v>Farm Utility Shelters (Open Hay Sheds)|D|Good</v>
      </c>
      <c r="J2411" s="1" t="s">
        <v>1134</v>
      </c>
    </row>
    <row r="2412" customFormat="false" ht="12" hidden="false" customHeight="true" outlineLevel="0" collapsed="false">
      <c r="B2412" s="1" t="s">
        <v>1132</v>
      </c>
      <c r="C2412" s="1" t="s">
        <v>1133</v>
      </c>
      <c r="D2412" s="1" t="s">
        <v>513</v>
      </c>
      <c r="E2412" s="1" t="s">
        <v>586</v>
      </c>
      <c r="F2412" s="1" t="s">
        <v>468</v>
      </c>
      <c r="G2412" s="1" t="s">
        <v>279</v>
      </c>
      <c r="H2412" s="1" t="n">
        <v>6.19</v>
      </c>
      <c r="I2412" s="1" t="str">
        <f aca="false">B2412&amp;"|"&amp;F2412&amp;"|"&amp;G2412</f>
        <v>Farm Utility Shelters (Open Hay Sheds)|D|Average</v>
      </c>
      <c r="J2412" s="1" t="s">
        <v>1135</v>
      </c>
    </row>
    <row r="2413" customFormat="false" ht="12" hidden="false" customHeight="true" outlineLevel="0" collapsed="false">
      <c r="B2413" s="1" t="s">
        <v>1132</v>
      </c>
      <c r="C2413" s="1" t="s">
        <v>1133</v>
      </c>
      <c r="D2413" s="1" t="s">
        <v>513</v>
      </c>
      <c r="E2413" s="1" t="s">
        <v>586</v>
      </c>
      <c r="F2413" s="1" t="s">
        <v>473</v>
      </c>
      <c r="G2413" s="1" t="s">
        <v>483</v>
      </c>
      <c r="H2413" s="1" t="n">
        <v>10.61</v>
      </c>
      <c r="I2413" s="1" t="str">
        <f aca="false">B2413&amp;"|"&amp;F2413&amp;"|"&amp;G2413</f>
        <v>Farm Utility Shelters (Open Hay Sheds)|S|Good</v>
      </c>
      <c r="J2413" s="1" t="s">
        <v>1136</v>
      </c>
    </row>
    <row r="2414" customFormat="false" ht="12" hidden="false" customHeight="true" outlineLevel="0" collapsed="false">
      <c r="B2414" s="1" t="s">
        <v>1132</v>
      </c>
      <c r="C2414" s="1" t="s">
        <v>1133</v>
      </c>
      <c r="D2414" s="1" t="s">
        <v>513</v>
      </c>
      <c r="E2414" s="1" t="s">
        <v>586</v>
      </c>
      <c r="F2414" s="1" t="s">
        <v>473</v>
      </c>
      <c r="G2414" s="1" t="s">
        <v>279</v>
      </c>
      <c r="H2414" s="1" t="n">
        <v>7.54</v>
      </c>
      <c r="I2414" s="1" t="str">
        <f aca="false">B2414&amp;"|"&amp;F2414&amp;"|"&amp;G2414</f>
        <v>Farm Utility Shelters (Open Hay Sheds)|S|Average</v>
      </c>
      <c r="J2414" s="1" t="s">
        <v>1137</v>
      </c>
    </row>
    <row r="2415" customFormat="false" ht="12" hidden="false" customHeight="true" outlineLevel="0" collapsed="false">
      <c r="B2415" s="1" t="s">
        <v>1138</v>
      </c>
      <c r="C2415" s="1" t="s">
        <v>1139</v>
      </c>
      <c r="D2415" s="1" t="s">
        <v>513</v>
      </c>
      <c r="E2415" s="1" t="s">
        <v>660</v>
      </c>
      <c r="F2415" s="1" t="s">
        <v>468</v>
      </c>
      <c r="G2415" s="1" t="s">
        <v>483</v>
      </c>
      <c r="H2415" s="1" t="n">
        <v>32</v>
      </c>
      <c r="I2415" s="1" t="str">
        <f aca="false">B2415&amp;"|"&amp;F2415&amp;"|"&amp;G2415</f>
        <v>Calving Barns – Sheds|D|Good</v>
      </c>
      <c r="J2415" s="1" t="s">
        <v>1140</v>
      </c>
    </row>
    <row r="2416" customFormat="false" ht="12" hidden="false" customHeight="true" outlineLevel="0" collapsed="false">
      <c r="B2416" s="1" t="s">
        <v>1138</v>
      </c>
      <c r="C2416" s="1" t="s">
        <v>1139</v>
      </c>
      <c r="D2416" s="1" t="s">
        <v>513</v>
      </c>
      <c r="E2416" s="1" t="s">
        <v>660</v>
      </c>
      <c r="F2416" s="1" t="s">
        <v>468</v>
      </c>
      <c r="G2416" s="1" t="s">
        <v>279</v>
      </c>
      <c r="H2416" s="1" t="n">
        <v>23.1</v>
      </c>
      <c r="I2416" s="1" t="str">
        <f aca="false">B2416&amp;"|"&amp;F2416&amp;"|"&amp;G2416</f>
        <v>Calving Barns – Sheds|D|Average</v>
      </c>
      <c r="J2416" s="1" t="s">
        <v>1140</v>
      </c>
    </row>
    <row r="2417" customFormat="false" ht="12" hidden="false" customHeight="true" outlineLevel="0" collapsed="false">
      <c r="B2417" s="1" t="s">
        <v>1138</v>
      </c>
      <c r="C2417" s="1" t="s">
        <v>1139</v>
      </c>
      <c r="D2417" s="1" t="s">
        <v>513</v>
      </c>
      <c r="E2417" s="1" t="s">
        <v>660</v>
      </c>
      <c r="F2417" s="1" t="s">
        <v>468</v>
      </c>
      <c r="G2417" s="1" t="s">
        <v>480</v>
      </c>
      <c r="H2417" s="1" t="n">
        <v>16.65</v>
      </c>
      <c r="I2417" s="1" t="str">
        <f aca="false">B2417&amp;"|"&amp;F2417&amp;"|"&amp;G2417</f>
        <v>Calving Barns – Sheds|D|Low Cost</v>
      </c>
      <c r="J2417" s="1" t="s">
        <v>1140</v>
      </c>
    </row>
    <row r="2418" customFormat="false" ht="12" hidden="false" customHeight="true" outlineLevel="0" collapsed="false">
      <c r="B2418" s="1" t="s">
        <v>1138</v>
      </c>
      <c r="C2418" s="1" t="s">
        <v>1139</v>
      </c>
      <c r="D2418" s="1" t="s">
        <v>513</v>
      </c>
      <c r="E2418" s="1" t="s">
        <v>660</v>
      </c>
      <c r="F2418" s="1" t="s">
        <v>566</v>
      </c>
      <c r="G2418" s="1" t="s">
        <v>483</v>
      </c>
      <c r="H2418" s="1" t="n">
        <v>29.25</v>
      </c>
      <c r="I2418" s="1" t="str">
        <f aca="false">B2418&amp;"|"&amp;F2418&amp;"|"&amp;G2418</f>
        <v>Calving Barns – Sheds|DPOLE|Good</v>
      </c>
      <c r="J2418" s="1" t="s">
        <v>1140</v>
      </c>
    </row>
    <row r="2419" customFormat="false" ht="12" hidden="false" customHeight="true" outlineLevel="0" collapsed="false">
      <c r="B2419" s="1" t="s">
        <v>1138</v>
      </c>
      <c r="C2419" s="1" t="s">
        <v>1139</v>
      </c>
      <c r="D2419" s="1" t="s">
        <v>513</v>
      </c>
      <c r="E2419" s="1" t="s">
        <v>660</v>
      </c>
      <c r="F2419" s="1" t="s">
        <v>566</v>
      </c>
      <c r="G2419" s="1" t="s">
        <v>279</v>
      </c>
      <c r="H2419" s="1" t="n">
        <v>20.9</v>
      </c>
      <c r="I2419" s="1" t="str">
        <f aca="false">B2419&amp;"|"&amp;F2419&amp;"|"&amp;G2419</f>
        <v>Calving Barns – Sheds|DPOLE|Average</v>
      </c>
      <c r="J2419" s="1" t="s">
        <v>1140</v>
      </c>
    </row>
    <row r="2420" customFormat="false" ht="12" hidden="false" customHeight="true" outlineLevel="0" collapsed="false">
      <c r="B2420" s="1" t="s">
        <v>1138</v>
      </c>
      <c r="C2420" s="1" t="s">
        <v>1139</v>
      </c>
      <c r="D2420" s="1" t="s">
        <v>513</v>
      </c>
      <c r="E2420" s="1" t="s">
        <v>660</v>
      </c>
      <c r="F2420" s="1" t="s">
        <v>566</v>
      </c>
      <c r="G2420" s="1" t="s">
        <v>480</v>
      </c>
      <c r="H2420" s="1" t="n">
        <v>14.95</v>
      </c>
      <c r="I2420" s="1" t="str">
        <f aca="false">B2420&amp;"|"&amp;F2420&amp;"|"&amp;G2420</f>
        <v>Calving Barns – Sheds|DPOLE|Low Cost</v>
      </c>
      <c r="J2420" s="1" t="s">
        <v>1140</v>
      </c>
    </row>
    <row r="2421" customFormat="false" ht="12" hidden="false" customHeight="true" outlineLevel="0" collapsed="false">
      <c r="B2421" s="1" t="s">
        <v>1138</v>
      </c>
      <c r="C2421" s="1" t="s">
        <v>1139</v>
      </c>
      <c r="D2421" s="1" t="s">
        <v>513</v>
      </c>
      <c r="E2421" s="1" t="s">
        <v>660</v>
      </c>
      <c r="F2421" s="1" t="s">
        <v>1090</v>
      </c>
      <c r="G2421" s="1" t="s">
        <v>279</v>
      </c>
      <c r="H2421" s="1" t="n">
        <v>14.5</v>
      </c>
      <c r="I2421" s="1" t="str">
        <f aca="false">B2421&amp;"|"&amp;F2421&amp;"|"&amp;G2421</f>
        <v>Calving Barns – Sheds|DHOOP|Average</v>
      </c>
      <c r="J2421" s="1" t="s">
        <v>1140</v>
      </c>
    </row>
    <row r="2422" customFormat="false" ht="12" hidden="false" customHeight="true" outlineLevel="0" collapsed="false">
      <c r="B2422" s="1" t="s">
        <v>1138</v>
      </c>
      <c r="C2422" s="1" t="s">
        <v>1139</v>
      </c>
      <c r="D2422" s="1" t="s">
        <v>513</v>
      </c>
      <c r="E2422" s="1" t="s">
        <v>660</v>
      </c>
      <c r="F2422" s="1" t="s">
        <v>1090</v>
      </c>
      <c r="G2422" s="1" t="s">
        <v>480</v>
      </c>
      <c r="H2422" s="1" t="n">
        <v>11.75</v>
      </c>
      <c r="I2422" s="1" t="str">
        <f aca="false">B2422&amp;"|"&amp;F2422&amp;"|"&amp;G2422</f>
        <v>Calving Barns – Sheds|DHOOP|Low Cost</v>
      </c>
      <c r="J2422" s="1" t="s">
        <v>1140</v>
      </c>
    </row>
    <row r="2423" customFormat="false" ht="12" hidden="false" customHeight="true" outlineLevel="0" collapsed="false">
      <c r="B2423" s="1" t="s">
        <v>1138</v>
      </c>
      <c r="C2423" s="1" t="s">
        <v>1139</v>
      </c>
      <c r="D2423" s="1" t="s">
        <v>513</v>
      </c>
      <c r="E2423" s="1" t="s">
        <v>660</v>
      </c>
      <c r="F2423" s="1" t="s">
        <v>473</v>
      </c>
      <c r="G2423" s="1" t="s">
        <v>483</v>
      </c>
      <c r="H2423" s="1" t="n">
        <v>32.25</v>
      </c>
      <c r="I2423" s="1" t="str">
        <f aca="false">B2423&amp;"|"&amp;F2423&amp;"|"&amp;G2423</f>
        <v>Calving Barns – Sheds|S|Good</v>
      </c>
      <c r="J2423" s="1" t="s">
        <v>1140</v>
      </c>
    </row>
    <row r="2424" customFormat="false" ht="12" hidden="false" customHeight="true" outlineLevel="0" collapsed="false">
      <c r="B2424" s="1" t="s">
        <v>1138</v>
      </c>
      <c r="C2424" s="1" t="s">
        <v>1139</v>
      </c>
      <c r="D2424" s="1" t="s">
        <v>513</v>
      </c>
      <c r="E2424" s="1" t="s">
        <v>660</v>
      </c>
      <c r="F2424" s="1" t="s">
        <v>473</v>
      </c>
      <c r="G2424" s="1" t="s">
        <v>279</v>
      </c>
      <c r="H2424" s="1" t="n">
        <v>23.2</v>
      </c>
      <c r="I2424" s="1" t="str">
        <f aca="false">B2424&amp;"|"&amp;F2424&amp;"|"&amp;G2424</f>
        <v>Calving Barns – Sheds|S|Average</v>
      </c>
      <c r="J2424" s="1" t="s">
        <v>1140</v>
      </c>
    </row>
    <row r="2425" customFormat="false" ht="12" hidden="false" customHeight="true" outlineLevel="0" collapsed="false">
      <c r="B2425" s="1" t="s">
        <v>1138</v>
      </c>
      <c r="C2425" s="1" t="s">
        <v>1139</v>
      </c>
      <c r="D2425" s="1" t="s">
        <v>513</v>
      </c>
      <c r="E2425" s="1" t="s">
        <v>660</v>
      </c>
      <c r="F2425" s="1" t="s">
        <v>473</v>
      </c>
      <c r="G2425" s="1" t="s">
        <v>480</v>
      </c>
      <c r="H2425" s="1" t="n">
        <v>16.75</v>
      </c>
      <c r="I2425" s="1" t="str">
        <f aca="false">B2425&amp;"|"&amp;F2425&amp;"|"&amp;G2425</f>
        <v>Calving Barns – Sheds|S|Low Cost</v>
      </c>
      <c r="J2425" s="1" t="s">
        <v>1140</v>
      </c>
    </row>
    <row r="2426" customFormat="false" ht="12" hidden="false" customHeight="true" outlineLevel="0" collapsed="false">
      <c r="B2426" s="1" t="s">
        <v>1141</v>
      </c>
      <c r="C2426" s="1" t="s">
        <v>1142</v>
      </c>
      <c r="D2426" s="1" t="s">
        <v>513</v>
      </c>
      <c r="E2426" s="1" t="s">
        <v>660</v>
      </c>
      <c r="F2426" s="1" t="s">
        <v>566</v>
      </c>
      <c r="G2426" s="1" t="s">
        <v>480</v>
      </c>
      <c r="H2426" s="1" t="n">
        <v>11.7</v>
      </c>
      <c r="I2426" s="1" t="str">
        <f aca="false">B2426&amp;"|"&amp;F2426&amp;"|"&amp;G2426</f>
        <v>Arena Shelters|DPOLE|Low Cost</v>
      </c>
      <c r="J2426" s="1" t="s">
        <v>1140</v>
      </c>
    </row>
    <row r="2427" customFormat="false" ht="12" hidden="false" customHeight="true" outlineLevel="0" collapsed="false">
      <c r="B2427" s="1" t="s">
        <v>1141</v>
      </c>
      <c r="C2427" s="1" t="s">
        <v>1142</v>
      </c>
      <c r="D2427" s="1" t="s">
        <v>513</v>
      </c>
      <c r="E2427" s="1" t="s">
        <v>660</v>
      </c>
      <c r="F2427" s="1" t="s">
        <v>473</v>
      </c>
      <c r="G2427" s="1" t="s">
        <v>483</v>
      </c>
      <c r="H2427" s="1" t="n">
        <v>23.5</v>
      </c>
      <c r="I2427" s="1" t="str">
        <f aca="false">B2427&amp;"|"&amp;F2427&amp;"|"&amp;G2427</f>
        <v>Arena Shelters|S|Good</v>
      </c>
      <c r="J2427" s="1" t="s">
        <v>1140</v>
      </c>
    </row>
    <row r="2428" customFormat="false" ht="12" hidden="false" customHeight="true" outlineLevel="0" collapsed="false">
      <c r="B2428" s="1" t="s">
        <v>1141</v>
      </c>
      <c r="C2428" s="1" t="s">
        <v>1142</v>
      </c>
      <c r="D2428" s="1" t="s">
        <v>513</v>
      </c>
      <c r="E2428" s="1" t="s">
        <v>660</v>
      </c>
      <c r="F2428" s="1" t="s">
        <v>473</v>
      </c>
      <c r="G2428" s="1" t="s">
        <v>279</v>
      </c>
      <c r="H2428" s="1" t="n">
        <v>18.1</v>
      </c>
      <c r="I2428" s="1" t="str">
        <f aca="false">B2428&amp;"|"&amp;F2428&amp;"|"&amp;G2428</f>
        <v>Arena Shelters|S|Average</v>
      </c>
      <c r="J2428" s="1" t="s">
        <v>1140</v>
      </c>
    </row>
    <row r="2429" customFormat="false" ht="12" hidden="false" customHeight="true" outlineLevel="0" collapsed="false">
      <c r="B2429" s="1" t="s">
        <v>1141</v>
      </c>
      <c r="C2429" s="1" t="s">
        <v>1142</v>
      </c>
      <c r="D2429" s="1" t="s">
        <v>513</v>
      </c>
      <c r="E2429" s="1" t="s">
        <v>660</v>
      </c>
      <c r="F2429" s="1" t="s">
        <v>473</v>
      </c>
      <c r="G2429" s="1" t="s">
        <v>480</v>
      </c>
      <c r="H2429" s="1" t="n">
        <v>13.9</v>
      </c>
      <c r="I2429" s="1" t="str">
        <f aca="false">B2429&amp;"|"&amp;F2429&amp;"|"&amp;G2429</f>
        <v>Arena Shelters|S|Low Cost</v>
      </c>
      <c r="J2429" s="1" t="s">
        <v>1140</v>
      </c>
    </row>
    <row r="2430" customFormat="false" ht="12" hidden="false" customHeight="true" outlineLevel="0" collapsed="false">
      <c r="B2430" s="1" t="s">
        <v>1143</v>
      </c>
      <c r="C2430" s="1" t="s">
        <v>1144</v>
      </c>
      <c r="D2430" s="1" t="s">
        <v>513</v>
      </c>
      <c r="E2430" s="1" t="s">
        <v>660</v>
      </c>
      <c r="F2430" s="1" t="s">
        <v>468</v>
      </c>
      <c r="G2430" s="1" t="s">
        <v>279</v>
      </c>
      <c r="H2430" s="1" t="n">
        <v>4.83</v>
      </c>
      <c r="I2430" s="1" t="str">
        <f aca="false">B2430&amp;"|"&amp;F2430&amp;"|"&amp;G2430</f>
        <v>Farm Sun Shelters|D|Average</v>
      </c>
      <c r="J2430" s="1" t="s">
        <v>1145</v>
      </c>
    </row>
    <row r="2431" customFormat="false" ht="12" hidden="false" customHeight="true" outlineLevel="0" collapsed="false">
      <c r="B2431" s="1" t="s">
        <v>1143</v>
      </c>
      <c r="C2431" s="1" t="s">
        <v>1144</v>
      </c>
      <c r="D2431" s="1" t="s">
        <v>513</v>
      </c>
      <c r="E2431" s="1" t="s">
        <v>660</v>
      </c>
      <c r="F2431" s="1" t="s">
        <v>468</v>
      </c>
      <c r="G2431" s="1" t="s">
        <v>480</v>
      </c>
      <c r="H2431" s="1" t="n">
        <v>4.21</v>
      </c>
      <c r="I2431" s="1" t="str">
        <f aca="false">B2431&amp;"|"&amp;F2431&amp;"|"&amp;G2431</f>
        <v>Farm Sun Shelters|D|Low Cost</v>
      </c>
      <c r="J2431" s="1" t="s">
        <v>1146</v>
      </c>
    </row>
    <row r="2432" customFormat="false" ht="12" hidden="false" customHeight="true" outlineLevel="0" collapsed="false">
      <c r="B2432" s="1" t="s">
        <v>1143</v>
      </c>
      <c r="C2432" s="1" t="s">
        <v>1144</v>
      </c>
      <c r="D2432" s="1" t="s">
        <v>513</v>
      </c>
      <c r="E2432" s="1" t="s">
        <v>660</v>
      </c>
      <c r="F2432" s="1" t="s">
        <v>473</v>
      </c>
      <c r="G2432" s="1" t="s">
        <v>279</v>
      </c>
      <c r="H2432" s="1" t="n">
        <v>5.38</v>
      </c>
      <c r="I2432" s="1" t="str">
        <f aca="false">B2432&amp;"|"&amp;F2432&amp;"|"&amp;G2432</f>
        <v>Farm Sun Shelters|S|Average</v>
      </c>
      <c r="J2432" s="1" t="s">
        <v>1147</v>
      </c>
    </row>
    <row r="2433" customFormat="false" ht="12" hidden="false" customHeight="true" outlineLevel="0" collapsed="false">
      <c r="B2433" s="1" t="s">
        <v>1143</v>
      </c>
      <c r="C2433" s="1" t="s">
        <v>1144</v>
      </c>
      <c r="D2433" s="1" t="s">
        <v>513</v>
      </c>
      <c r="E2433" s="1" t="s">
        <v>660</v>
      </c>
      <c r="F2433" s="1" t="s">
        <v>473</v>
      </c>
      <c r="G2433" s="1" t="s">
        <v>480</v>
      </c>
      <c r="H2433" s="1" t="n">
        <v>4.59</v>
      </c>
      <c r="I2433" s="1" t="str">
        <f aca="false">B2433&amp;"|"&amp;F2433&amp;"|"&amp;G2433</f>
        <v>Farm Sun Shelters|S|Low Cost</v>
      </c>
      <c r="J2433" s="1" t="s">
        <v>1148</v>
      </c>
    </row>
    <row r="2434" customFormat="false" ht="12" hidden="false" customHeight="true" outlineLevel="0" collapsed="false">
      <c r="B2434" s="1" t="s">
        <v>1149</v>
      </c>
      <c r="C2434" s="1" t="s">
        <v>1150</v>
      </c>
      <c r="D2434" s="1" t="s">
        <v>513</v>
      </c>
      <c r="E2434" s="1" t="s">
        <v>754</v>
      </c>
      <c r="F2434" s="1" t="s">
        <v>463</v>
      </c>
      <c r="G2434" s="1" t="s">
        <v>485</v>
      </c>
      <c r="H2434" s="1" t="n">
        <v>85</v>
      </c>
      <c r="I2434" s="1" t="str">
        <f aca="false">B2434&amp;"|"&amp;F2434&amp;"|"&amp;G2434</f>
        <v>Arenas|C|Excellent</v>
      </c>
      <c r="J2434" s="1" t="s">
        <v>1151</v>
      </c>
    </row>
    <row r="2435" customFormat="false" ht="12" hidden="false" customHeight="true" outlineLevel="0" collapsed="false">
      <c r="B2435" s="1" t="s">
        <v>1149</v>
      </c>
      <c r="C2435" s="1" t="s">
        <v>1150</v>
      </c>
      <c r="D2435" s="1" t="s">
        <v>513</v>
      </c>
      <c r="E2435" s="1" t="s">
        <v>754</v>
      </c>
      <c r="F2435" s="1" t="s">
        <v>463</v>
      </c>
      <c r="G2435" s="1" t="s">
        <v>483</v>
      </c>
      <c r="H2435" s="1" t="n">
        <v>57</v>
      </c>
      <c r="I2435" s="1" t="str">
        <f aca="false">B2435&amp;"|"&amp;F2435&amp;"|"&amp;G2435</f>
        <v>Arenas|C|Good</v>
      </c>
      <c r="J2435" s="1" t="s">
        <v>1151</v>
      </c>
    </row>
    <row r="2436" customFormat="false" ht="12" hidden="false" customHeight="true" outlineLevel="0" collapsed="false">
      <c r="B2436" s="1" t="s">
        <v>1149</v>
      </c>
      <c r="C2436" s="1" t="s">
        <v>1150</v>
      </c>
      <c r="D2436" s="1" t="s">
        <v>513</v>
      </c>
      <c r="E2436" s="1" t="s">
        <v>754</v>
      </c>
      <c r="F2436" s="1" t="s">
        <v>463</v>
      </c>
      <c r="G2436" s="1" t="s">
        <v>279</v>
      </c>
      <c r="H2436" s="1" t="n">
        <v>38</v>
      </c>
      <c r="I2436" s="1" t="str">
        <f aca="false">B2436&amp;"|"&amp;F2436&amp;"|"&amp;G2436</f>
        <v>Arenas|C|Average</v>
      </c>
      <c r="J2436" s="1" t="s">
        <v>1151</v>
      </c>
    </row>
    <row r="2437" customFormat="false" ht="12" hidden="false" customHeight="true" outlineLevel="0" collapsed="false">
      <c r="B2437" s="1" t="s">
        <v>1149</v>
      </c>
      <c r="C2437" s="1" t="s">
        <v>1150</v>
      </c>
      <c r="D2437" s="1" t="s">
        <v>513</v>
      </c>
      <c r="E2437" s="1" t="s">
        <v>754</v>
      </c>
      <c r="F2437" s="1" t="s">
        <v>463</v>
      </c>
      <c r="G2437" s="1" t="s">
        <v>480</v>
      </c>
      <c r="H2437" s="1" t="n">
        <v>25.5</v>
      </c>
      <c r="I2437" s="1" t="str">
        <f aca="false">B2437&amp;"|"&amp;F2437&amp;"|"&amp;G2437</f>
        <v>Arenas|C|Low Cost</v>
      </c>
      <c r="J2437" s="1" t="s">
        <v>1151</v>
      </c>
    </row>
    <row r="2438" customFormat="false" ht="12" hidden="false" customHeight="true" outlineLevel="0" collapsed="false">
      <c r="B2438" s="1" t="s">
        <v>1149</v>
      </c>
      <c r="C2438" s="1" t="s">
        <v>1150</v>
      </c>
      <c r="D2438" s="1" t="s">
        <v>513</v>
      </c>
      <c r="E2438" s="1" t="s">
        <v>754</v>
      </c>
      <c r="F2438" s="1" t="s">
        <v>468</v>
      </c>
      <c r="G2438" s="1" t="s">
        <v>485</v>
      </c>
      <c r="H2438" s="1" t="n">
        <v>78.5</v>
      </c>
      <c r="I2438" s="1" t="str">
        <f aca="false">B2438&amp;"|"&amp;F2438&amp;"|"&amp;G2438</f>
        <v>Arenas|D|Excellent</v>
      </c>
      <c r="J2438" s="1" t="s">
        <v>1151</v>
      </c>
    </row>
    <row r="2439" customFormat="false" ht="12" hidden="false" customHeight="true" outlineLevel="0" collapsed="false">
      <c r="B2439" s="1" t="s">
        <v>1149</v>
      </c>
      <c r="C2439" s="1" t="s">
        <v>1150</v>
      </c>
      <c r="D2439" s="1" t="s">
        <v>513</v>
      </c>
      <c r="E2439" s="1" t="s">
        <v>754</v>
      </c>
      <c r="F2439" s="1" t="s">
        <v>468</v>
      </c>
      <c r="G2439" s="1" t="s">
        <v>483</v>
      </c>
      <c r="H2439" s="1" t="n">
        <v>45.5</v>
      </c>
      <c r="I2439" s="1" t="str">
        <f aca="false">B2439&amp;"|"&amp;F2439&amp;"|"&amp;G2439</f>
        <v>Arenas|D|Good</v>
      </c>
      <c r="J2439" s="1" t="s">
        <v>1151</v>
      </c>
    </row>
    <row r="2440" customFormat="false" ht="12" hidden="false" customHeight="true" outlineLevel="0" collapsed="false">
      <c r="B2440" s="1" t="s">
        <v>1149</v>
      </c>
      <c r="C2440" s="1" t="s">
        <v>1150</v>
      </c>
      <c r="D2440" s="1" t="s">
        <v>513</v>
      </c>
      <c r="E2440" s="1" t="s">
        <v>754</v>
      </c>
      <c r="F2440" s="1" t="s">
        <v>468</v>
      </c>
      <c r="G2440" s="1" t="s">
        <v>279</v>
      </c>
      <c r="H2440" s="1" t="n">
        <v>26.25</v>
      </c>
      <c r="I2440" s="1" t="str">
        <f aca="false">B2440&amp;"|"&amp;F2440&amp;"|"&amp;G2440</f>
        <v>Arenas|D|Average</v>
      </c>
      <c r="J2440" s="1" t="s">
        <v>1151</v>
      </c>
    </row>
    <row r="2441" customFormat="false" ht="12" hidden="false" customHeight="true" outlineLevel="0" collapsed="false">
      <c r="B2441" s="1" t="s">
        <v>1149</v>
      </c>
      <c r="C2441" s="1" t="s">
        <v>1150</v>
      </c>
      <c r="D2441" s="1" t="s">
        <v>513</v>
      </c>
      <c r="E2441" s="1" t="s">
        <v>754</v>
      </c>
      <c r="F2441" s="1" t="s">
        <v>468</v>
      </c>
      <c r="G2441" s="1" t="s">
        <v>480</v>
      </c>
      <c r="H2441" s="1" t="n">
        <v>15.2</v>
      </c>
      <c r="I2441" s="1" t="str">
        <f aca="false">B2441&amp;"|"&amp;F2441&amp;"|"&amp;G2441</f>
        <v>Arenas|D|Low Cost</v>
      </c>
      <c r="J2441" s="1" t="s">
        <v>1151</v>
      </c>
    </row>
    <row r="2442" customFormat="false" ht="12" hidden="false" customHeight="true" outlineLevel="0" collapsed="false">
      <c r="B2442" s="1" t="s">
        <v>1149</v>
      </c>
      <c r="C2442" s="1" t="s">
        <v>1150</v>
      </c>
      <c r="D2442" s="1" t="s">
        <v>513</v>
      </c>
      <c r="E2442" s="1" t="s">
        <v>754</v>
      </c>
      <c r="F2442" s="1" t="s">
        <v>566</v>
      </c>
      <c r="G2442" s="1" t="s">
        <v>483</v>
      </c>
      <c r="H2442" s="1" t="n">
        <v>40.75</v>
      </c>
      <c r="I2442" s="1" t="str">
        <f aca="false">B2442&amp;"|"&amp;F2442&amp;"|"&amp;G2442</f>
        <v>Arenas|DPOLE|Good</v>
      </c>
      <c r="J2442" s="1" t="s">
        <v>1151</v>
      </c>
    </row>
    <row r="2443" customFormat="false" ht="12" hidden="false" customHeight="true" outlineLevel="0" collapsed="false">
      <c r="B2443" s="1" t="s">
        <v>1149</v>
      </c>
      <c r="C2443" s="1" t="s">
        <v>1150</v>
      </c>
      <c r="D2443" s="1" t="s">
        <v>513</v>
      </c>
      <c r="E2443" s="1" t="s">
        <v>754</v>
      </c>
      <c r="F2443" s="1" t="s">
        <v>566</v>
      </c>
      <c r="G2443" s="1" t="s">
        <v>279</v>
      </c>
      <c r="H2443" s="1" t="n">
        <v>23.4</v>
      </c>
      <c r="I2443" s="1" t="str">
        <f aca="false">B2443&amp;"|"&amp;F2443&amp;"|"&amp;G2443</f>
        <v>Arenas|DPOLE|Average</v>
      </c>
      <c r="J2443" s="1" t="s">
        <v>1151</v>
      </c>
    </row>
    <row r="2444" customFormat="false" ht="12" hidden="false" customHeight="true" outlineLevel="0" collapsed="false">
      <c r="B2444" s="1" t="s">
        <v>1149</v>
      </c>
      <c r="C2444" s="1" t="s">
        <v>1150</v>
      </c>
      <c r="D2444" s="1" t="s">
        <v>513</v>
      </c>
      <c r="E2444" s="1" t="s">
        <v>754</v>
      </c>
      <c r="F2444" s="1" t="s">
        <v>566</v>
      </c>
      <c r="G2444" s="1" t="s">
        <v>480</v>
      </c>
      <c r="H2444" s="1" t="n">
        <v>13.45</v>
      </c>
      <c r="I2444" s="1" t="str">
        <f aca="false">B2444&amp;"|"&amp;F2444&amp;"|"&amp;G2444</f>
        <v>Arenas|DPOLE|Low Cost</v>
      </c>
      <c r="J2444" s="1" t="s">
        <v>1151</v>
      </c>
    </row>
    <row r="2445" customFormat="false" ht="12" hidden="false" customHeight="true" outlineLevel="0" collapsed="false">
      <c r="B2445" s="1" t="s">
        <v>1149</v>
      </c>
      <c r="C2445" s="1" t="s">
        <v>1150</v>
      </c>
      <c r="D2445" s="1" t="s">
        <v>513</v>
      </c>
      <c r="E2445" s="1" t="s">
        <v>754</v>
      </c>
      <c r="F2445" s="1" t="s">
        <v>566</v>
      </c>
      <c r="G2445" s="1" t="s">
        <v>567</v>
      </c>
      <c r="H2445" s="1" t="n">
        <v>12.2</v>
      </c>
      <c r="I2445" s="1" t="str">
        <f aca="false">B2445&amp;"|"&amp;F2445&amp;"|"&amp;G2445</f>
        <v>Arenas|DPOLE|Cheap</v>
      </c>
      <c r="J2445" s="1" t="s">
        <v>1151</v>
      </c>
    </row>
    <row r="2446" customFormat="false" ht="12" hidden="false" customHeight="true" outlineLevel="0" collapsed="false">
      <c r="B2446" s="1" t="s">
        <v>1149</v>
      </c>
      <c r="C2446" s="1" t="s">
        <v>1150</v>
      </c>
      <c r="D2446" s="1" t="s">
        <v>513</v>
      </c>
      <c r="E2446" s="1" t="s">
        <v>754</v>
      </c>
      <c r="F2446" s="1" t="s">
        <v>1090</v>
      </c>
      <c r="G2446" s="1" t="s">
        <v>567</v>
      </c>
      <c r="H2446" s="1" t="n">
        <v>10.45</v>
      </c>
      <c r="I2446" s="1" t="str">
        <f aca="false">B2446&amp;"|"&amp;F2446&amp;"|"&amp;G2446</f>
        <v>Arenas|DHOOP|Cheap</v>
      </c>
      <c r="J2446" s="1" t="s">
        <v>1151</v>
      </c>
    </row>
    <row r="2447" customFormat="false" ht="12" hidden="false" customHeight="true" outlineLevel="0" collapsed="false">
      <c r="B2447" s="1" t="s">
        <v>1149</v>
      </c>
      <c r="C2447" s="1" t="s">
        <v>1150</v>
      </c>
      <c r="D2447" s="1" t="s">
        <v>513</v>
      </c>
      <c r="E2447" s="1" t="s">
        <v>754</v>
      </c>
      <c r="F2447" s="1" t="s">
        <v>473</v>
      </c>
      <c r="G2447" s="1" t="s">
        <v>485</v>
      </c>
      <c r="H2447" s="1" t="n">
        <v>78.5</v>
      </c>
      <c r="I2447" s="1" t="str">
        <f aca="false">B2447&amp;"|"&amp;F2447&amp;"|"&amp;G2447</f>
        <v>Arenas|S|Excellent</v>
      </c>
      <c r="J2447" s="1" t="s">
        <v>1151</v>
      </c>
    </row>
    <row r="2448" customFormat="false" ht="12" hidden="false" customHeight="true" outlineLevel="0" collapsed="false">
      <c r="B2448" s="1" t="s">
        <v>1149</v>
      </c>
      <c r="C2448" s="1" t="s">
        <v>1150</v>
      </c>
      <c r="D2448" s="1" t="s">
        <v>513</v>
      </c>
      <c r="E2448" s="1" t="s">
        <v>754</v>
      </c>
      <c r="F2448" s="1" t="s">
        <v>473</v>
      </c>
      <c r="G2448" s="1" t="s">
        <v>483</v>
      </c>
      <c r="H2448" s="1" t="n">
        <v>46.25</v>
      </c>
      <c r="I2448" s="1" t="str">
        <f aca="false">B2448&amp;"|"&amp;F2448&amp;"|"&amp;G2448</f>
        <v>Arenas|S|Good</v>
      </c>
      <c r="J2448" s="1" t="s">
        <v>1151</v>
      </c>
    </row>
    <row r="2449" customFormat="false" ht="12" hidden="false" customHeight="true" outlineLevel="0" collapsed="false">
      <c r="B2449" s="1" t="s">
        <v>1149</v>
      </c>
      <c r="C2449" s="1" t="s">
        <v>1150</v>
      </c>
      <c r="D2449" s="1" t="s">
        <v>513</v>
      </c>
      <c r="E2449" s="1" t="s">
        <v>754</v>
      </c>
      <c r="F2449" s="1" t="s">
        <v>473</v>
      </c>
      <c r="G2449" s="1" t="s">
        <v>279</v>
      </c>
      <c r="H2449" s="1" t="n">
        <v>27</v>
      </c>
      <c r="I2449" s="1" t="str">
        <f aca="false">B2449&amp;"|"&amp;F2449&amp;"|"&amp;G2449</f>
        <v>Arenas|S|Average</v>
      </c>
      <c r="J2449" s="1" t="s">
        <v>1151</v>
      </c>
    </row>
    <row r="2450" customFormat="false" ht="12" hidden="false" customHeight="true" outlineLevel="0" collapsed="false">
      <c r="B2450" s="1" t="s">
        <v>1149</v>
      </c>
      <c r="C2450" s="1" t="s">
        <v>1150</v>
      </c>
      <c r="D2450" s="1" t="s">
        <v>513</v>
      </c>
      <c r="E2450" s="1" t="s">
        <v>754</v>
      </c>
      <c r="F2450" s="1" t="s">
        <v>473</v>
      </c>
      <c r="G2450" s="1" t="s">
        <v>480</v>
      </c>
      <c r="H2450" s="1" t="n">
        <v>15.95</v>
      </c>
      <c r="I2450" s="1" t="str">
        <f aca="false">B2450&amp;"|"&amp;F2450&amp;"|"&amp;G2450</f>
        <v>Arenas|S|Low Cost</v>
      </c>
      <c r="J2450" s="1" t="s">
        <v>1151</v>
      </c>
    </row>
    <row r="2451" customFormat="false" ht="12" hidden="false" customHeight="true" outlineLevel="0" collapsed="false">
      <c r="B2451" s="1" t="s">
        <v>1149</v>
      </c>
      <c r="C2451" s="1" t="s">
        <v>1150</v>
      </c>
      <c r="D2451" s="1" t="s">
        <v>513</v>
      </c>
      <c r="E2451" s="1" t="s">
        <v>754</v>
      </c>
      <c r="F2451" s="1" t="s">
        <v>473</v>
      </c>
      <c r="G2451" s="1" t="s">
        <v>567</v>
      </c>
      <c r="H2451" s="1" t="n">
        <v>14.5</v>
      </c>
      <c r="I2451" s="1" t="str">
        <f aca="false">B2451&amp;"|"&amp;F2451&amp;"|"&amp;G2451</f>
        <v>Arenas|S|Cheap</v>
      </c>
      <c r="J2451" s="1" t="s">
        <v>1151</v>
      </c>
    </row>
    <row r="2452" customFormat="false" ht="12" hidden="false" customHeight="true" outlineLevel="0" collapsed="false">
      <c r="B2452" s="1" t="s">
        <v>1152</v>
      </c>
      <c r="C2452" s="1" t="s">
        <v>1153</v>
      </c>
      <c r="D2452" s="1" t="s">
        <v>513</v>
      </c>
      <c r="E2452" s="1" t="s">
        <v>754</v>
      </c>
      <c r="F2452" s="1" t="s">
        <v>468</v>
      </c>
      <c r="G2452" s="1" t="s">
        <v>279</v>
      </c>
      <c r="H2452" s="1" t="n">
        <v>23.85</v>
      </c>
      <c r="I2452" s="1" t="str">
        <f aca="false">B2452&amp;"|"&amp;F2452&amp;"|"&amp;G2452</f>
        <v>Equestrian Lean-Tos|D|Average</v>
      </c>
      <c r="J2452" s="1" t="s">
        <v>1151</v>
      </c>
    </row>
    <row r="2453" customFormat="false" ht="12" hidden="false" customHeight="true" outlineLevel="0" collapsed="false">
      <c r="B2453" s="1" t="s">
        <v>1152</v>
      </c>
      <c r="C2453" s="1" t="s">
        <v>1153</v>
      </c>
      <c r="D2453" s="1" t="s">
        <v>513</v>
      </c>
      <c r="E2453" s="1" t="s">
        <v>754</v>
      </c>
      <c r="F2453" s="1" t="s">
        <v>468</v>
      </c>
      <c r="G2453" s="1" t="s">
        <v>480</v>
      </c>
      <c r="H2453" s="1" t="n">
        <v>14.4</v>
      </c>
      <c r="I2453" s="1" t="str">
        <f aca="false">B2453&amp;"|"&amp;F2453&amp;"|"&amp;G2453</f>
        <v>Equestrian Lean-Tos|D|Low Cost</v>
      </c>
      <c r="J2453" s="1" t="s">
        <v>1151</v>
      </c>
    </row>
    <row r="2454" customFormat="false" ht="12" hidden="false" customHeight="true" outlineLevel="0" collapsed="false">
      <c r="B2454" s="1" t="s">
        <v>1152</v>
      </c>
      <c r="C2454" s="1" t="s">
        <v>1153</v>
      </c>
      <c r="D2454" s="1" t="s">
        <v>513</v>
      </c>
      <c r="E2454" s="1" t="s">
        <v>754</v>
      </c>
      <c r="F2454" s="1" t="s">
        <v>566</v>
      </c>
      <c r="G2454" s="1" t="s">
        <v>279</v>
      </c>
      <c r="H2454" s="1" t="n">
        <v>22.15</v>
      </c>
      <c r="I2454" s="1" t="str">
        <f aca="false">B2454&amp;"|"&amp;F2454&amp;"|"&amp;G2454</f>
        <v>Equestrian Lean-Tos|DPOLE|Average</v>
      </c>
      <c r="J2454" s="1" t="s">
        <v>1151</v>
      </c>
    </row>
    <row r="2455" customFormat="false" ht="12" hidden="false" customHeight="true" outlineLevel="0" collapsed="false">
      <c r="B2455" s="1" t="s">
        <v>1152</v>
      </c>
      <c r="C2455" s="1" t="s">
        <v>1153</v>
      </c>
      <c r="D2455" s="1" t="s">
        <v>513</v>
      </c>
      <c r="E2455" s="1" t="s">
        <v>754</v>
      </c>
      <c r="F2455" s="1" t="s">
        <v>566</v>
      </c>
      <c r="G2455" s="1" t="s">
        <v>480</v>
      </c>
      <c r="H2455" s="1" t="n">
        <v>13.05</v>
      </c>
      <c r="I2455" s="1" t="str">
        <f aca="false">B2455&amp;"|"&amp;F2455&amp;"|"&amp;G2455</f>
        <v>Equestrian Lean-Tos|DPOLE|Low Cost</v>
      </c>
      <c r="J2455" s="1" t="s">
        <v>1151</v>
      </c>
    </row>
    <row r="2456" customFormat="false" ht="12" hidden="false" customHeight="true" outlineLevel="0" collapsed="false">
      <c r="B2456" s="1" t="s">
        <v>1152</v>
      </c>
      <c r="C2456" s="1" t="s">
        <v>1153</v>
      </c>
      <c r="D2456" s="1" t="s">
        <v>513</v>
      </c>
      <c r="E2456" s="1" t="s">
        <v>754</v>
      </c>
      <c r="F2456" s="1" t="s">
        <v>473</v>
      </c>
      <c r="G2456" s="1" t="s">
        <v>279</v>
      </c>
      <c r="H2456" s="1" t="n">
        <v>24.35</v>
      </c>
      <c r="I2456" s="1" t="str">
        <f aca="false">B2456&amp;"|"&amp;F2456&amp;"|"&amp;G2456</f>
        <v>Equestrian Lean-Tos|S|Average</v>
      </c>
      <c r="J2456" s="1" t="s">
        <v>1151</v>
      </c>
    </row>
    <row r="2457" customFormat="false" ht="12" hidden="false" customHeight="true" outlineLevel="0" collapsed="false">
      <c r="B2457" s="1" t="s">
        <v>1152</v>
      </c>
      <c r="C2457" s="1" t="s">
        <v>1153</v>
      </c>
      <c r="D2457" s="1" t="s">
        <v>513</v>
      </c>
      <c r="E2457" s="1" t="s">
        <v>754</v>
      </c>
      <c r="F2457" s="1" t="s">
        <v>473</v>
      </c>
      <c r="G2457" s="1" t="s">
        <v>480</v>
      </c>
      <c r="H2457" s="1" t="n">
        <v>14.95</v>
      </c>
      <c r="I2457" s="1" t="str">
        <f aca="false">B2457&amp;"|"&amp;F2457&amp;"|"&amp;G2457</f>
        <v>Equestrian Lean-Tos|S|Low Cost</v>
      </c>
      <c r="J2457" s="1" t="s">
        <v>1151</v>
      </c>
    </row>
    <row r="2458" customFormat="false" ht="12" hidden="false" customHeight="true" outlineLevel="0" collapsed="false">
      <c r="B2458" s="1" t="s">
        <v>1154</v>
      </c>
      <c r="C2458" s="1" t="s">
        <v>1155</v>
      </c>
      <c r="D2458" s="1" t="s">
        <v>513</v>
      </c>
      <c r="E2458" s="1" t="s">
        <v>1156</v>
      </c>
      <c r="F2458" s="1" t="s">
        <v>463</v>
      </c>
      <c r="G2458" s="1" t="s">
        <v>483</v>
      </c>
      <c r="H2458" s="1" t="n">
        <v>68</v>
      </c>
      <c r="I2458" s="1" t="str">
        <f aca="false">B2458&amp;"|"&amp;F2458&amp;"|"&amp;G2458</f>
        <v>Stables|C|Good</v>
      </c>
      <c r="J2458" s="1" t="s">
        <v>1157</v>
      </c>
    </row>
    <row r="2459" customFormat="false" ht="12" hidden="false" customHeight="true" outlineLevel="0" collapsed="false">
      <c r="B2459" s="1" t="s">
        <v>1154</v>
      </c>
      <c r="C2459" s="1" t="s">
        <v>1155</v>
      </c>
      <c r="D2459" s="1" t="s">
        <v>513</v>
      </c>
      <c r="E2459" s="1" t="s">
        <v>1156</v>
      </c>
      <c r="F2459" s="1" t="s">
        <v>463</v>
      </c>
      <c r="G2459" s="1" t="s">
        <v>279</v>
      </c>
      <c r="H2459" s="1" t="n">
        <v>48</v>
      </c>
      <c r="I2459" s="1" t="str">
        <f aca="false">B2459&amp;"|"&amp;F2459&amp;"|"&amp;G2459</f>
        <v>Stables|C|Average</v>
      </c>
      <c r="J2459" s="1" t="s">
        <v>1157</v>
      </c>
    </row>
    <row r="2460" customFormat="false" ht="12" hidden="false" customHeight="true" outlineLevel="0" collapsed="false">
      <c r="B2460" s="1" t="s">
        <v>1154</v>
      </c>
      <c r="C2460" s="1" t="s">
        <v>1155</v>
      </c>
      <c r="D2460" s="1" t="s">
        <v>513</v>
      </c>
      <c r="E2460" s="1" t="s">
        <v>1156</v>
      </c>
      <c r="F2460" s="1" t="s">
        <v>463</v>
      </c>
      <c r="G2460" s="1" t="s">
        <v>480</v>
      </c>
      <c r="H2460" s="1" t="n">
        <v>34.25</v>
      </c>
      <c r="I2460" s="1" t="str">
        <f aca="false">B2460&amp;"|"&amp;F2460&amp;"|"&amp;G2460</f>
        <v>Stables|C|Low Cost</v>
      </c>
      <c r="J2460" s="1" t="s">
        <v>1157</v>
      </c>
    </row>
    <row r="2461" customFormat="false" ht="12" hidden="false" customHeight="true" outlineLevel="0" collapsed="false">
      <c r="B2461" s="1" t="s">
        <v>1154</v>
      </c>
      <c r="C2461" s="1" t="s">
        <v>1155</v>
      </c>
      <c r="D2461" s="1" t="s">
        <v>513</v>
      </c>
      <c r="E2461" s="1" t="s">
        <v>1156</v>
      </c>
      <c r="F2461" s="1" t="s">
        <v>468</v>
      </c>
      <c r="G2461" s="1" t="s">
        <v>483</v>
      </c>
      <c r="H2461" s="1" t="n">
        <v>60</v>
      </c>
      <c r="I2461" s="1" t="str">
        <f aca="false">B2461&amp;"|"&amp;F2461&amp;"|"&amp;G2461</f>
        <v>Stables|D|Good</v>
      </c>
      <c r="J2461" s="1" t="s">
        <v>1157</v>
      </c>
    </row>
    <row r="2462" customFormat="false" ht="12" hidden="false" customHeight="true" outlineLevel="0" collapsed="false">
      <c r="B2462" s="1" t="s">
        <v>1154</v>
      </c>
      <c r="C2462" s="1" t="s">
        <v>1155</v>
      </c>
      <c r="D2462" s="1" t="s">
        <v>513</v>
      </c>
      <c r="E2462" s="1" t="s">
        <v>1156</v>
      </c>
      <c r="F2462" s="1" t="s">
        <v>468</v>
      </c>
      <c r="G2462" s="1" t="s">
        <v>279</v>
      </c>
      <c r="H2462" s="1" t="n">
        <v>38.75</v>
      </c>
      <c r="I2462" s="1" t="str">
        <f aca="false">B2462&amp;"|"&amp;F2462&amp;"|"&amp;G2462</f>
        <v>Stables|D|Average</v>
      </c>
      <c r="J2462" s="1" t="s">
        <v>1157</v>
      </c>
    </row>
    <row r="2463" customFormat="false" ht="12" hidden="false" customHeight="true" outlineLevel="0" collapsed="false">
      <c r="B2463" s="1" t="s">
        <v>1154</v>
      </c>
      <c r="C2463" s="1" t="s">
        <v>1155</v>
      </c>
      <c r="D2463" s="1" t="s">
        <v>513</v>
      </c>
      <c r="E2463" s="1" t="s">
        <v>1156</v>
      </c>
      <c r="F2463" s="1" t="s">
        <v>468</v>
      </c>
      <c r="G2463" s="1" t="s">
        <v>480</v>
      </c>
      <c r="H2463" s="1" t="n">
        <v>25</v>
      </c>
      <c r="I2463" s="1" t="str">
        <f aca="false">B2463&amp;"|"&amp;F2463&amp;"|"&amp;G2463</f>
        <v>Stables|D|Low Cost</v>
      </c>
      <c r="J2463" s="1" t="s">
        <v>1157</v>
      </c>
    </row>
    <row r="2464" customFormat="false" ht="12" hidden="false" customHeight="true" outlineLevel="0" collapsed="false">
      <c r="B2464" s="1" t="s">
        <v>1154</v>
      </c>
      <c r="C2464" s="1" t="s">
        <v>1155</v>
      </c>
      <c r="D2464" s="1" t="s">
        <v>513</v>
      </c>
      <c r="E2464" s="1" t="s">
        <v>1156</v>
      </c>
      <c r="F2464" s="1" t="s">
        <v>566</v>
      </c>
      <c r="G2464" s="1" t="s">
        <v>483</v>
      </c>
      <c r="H2464" s="1" t="n">
        <v>55.5</v>
      </c>
      <c r="I2464" s="1" t="str">
        <f aca="false">B2464&amp;"|"&amp;F2464&amp;"|"&amp;G2464</f>
        <v>Stables|DPOLE|Good</v>
      </c>
      <c r="J2464" s="1" t="s">
        <v>1157</v>
      </c>
    </row>
    <row r="2465" customFormat="false" ht="12" hidden="false" customHeight="true" outlineLevel="0" collapsed="false">
      <c r="B2465" s="1" t="s">
        <v>1154</v>
      </c>
      <c r="C2465" s="1" t="s">
        <v>1155</v>
      </c>
      <c r="D2465" s="1" t="s">
        <v>513</v>
      </c>
      <c r="E2465" s="1" t="s">
        <v>1156</v>
      </c>
      <c r="F2465" s="1" t="s">
        <v>566</v>
      </c>
      <c r="G2465" s="1" t="s">
        <v>279</v>
      </c>
      <c r="H2465" s="1" t="n">
        <v>36</v>
      </c>
      <c r="I2465" s="1" t="str">
        <f aca="false">B2465&amp;"|"&amp;F2465&amp;"|"&amp;G2465</f>
        <v>Stables|DPOLE|Average</v>
      </c>
      <c r="J2465" s="1" t="s">
        <v>1157</v>
      </c>
    </row>
    <row r="2466" customFormat="false" ht="12" hidden="false" customHeight="true" outlineLevel="0" collapsed="false">
      <c r="B2466" s="1" t="s">
        <v>1154</v>
      </c>
      <c r="C2466" s="1" t="s">
        <v>1155</v>
      </c>
      <c r="D2466" s="1" t="s">
        <v>513</v>
      </c>
      <c r="E2466" s="1" t="s">
        <v>1156</v>
      </c>
      <c r="F2466" s="1" t="s">
        <v>566</v>
      </c>
      <c r="G2466" s="1" t="s">
        <v>480</v>
      </c>
      <c r="H2466" s="1" t="n">
        <v>23.25</v>
      </c>
      <c r="I2466" s="1" t="str">
        <f aca="false">B2466&amp;"|"&amp;F2466&amp;"|"&amp;G2466</f>
        <v>Stables|DPOLE|Low Cost</v>
      </c>
      <c r="J2466" s="1" t="s">
        <v>1157</v>
      </c>
    </row>
    <row r="2467" customFormat="false" ht="12" hidden="false" customHeight="true" outlineLevel="0" collapsed="false">
      <c r="B2467" s="1" t="s">
        <v>1154</v>
      </c>
      <c r="C2467" s="1" t="s">
        <v>1155</v>
      </c>
      <c r="D2467" s="1" t="s">
        <v>513</v>
      </c>
      <c r="E2467" s="1" t="s">
        <v>1156</v>
      </c>
      <c r="F2467" s="1" t="s">
        <v>566</v>
      </c>
      <c r="G2467" s="1" t="s">
        <v>567</v>
      </c>
      <c r="H2467" s="1" t="n">
        <v>18.4</v>
      </c>
      <c r="I2467" s="1" t="str">
        <f aca="false">B2467&amp;"|"&amp;F2467&amp;"|"&amp;G2467</f>
        <v>Stables|DPOLE|Cheap</v>
      </c>
      <c r="J2467" s="1" t="s">
        <v>1157</v>
      </c>
    </row>
    <row r="2468" customFormat="false" ht="12" hidden="false" customHeight="true" outlineLevel="0" collapsed="false">
      <c r="B2468" s="1" t="s">
        <v>1154</v>
      </c>
      <c r="C2468" s="1" t="s">
        <v>1155</v>
      </c>
      <c r="D2468" s="1" t="s">
        <v>513</v>
      </c>
      <c r="E2468" s="1" t="s">
        <v>1156</v>
      </c>
      <c r="F2468" s="1" t="s">
        <v>1090</v>
      </c>
      <c r="G2468" s="1" t="s">
        <v>279</v>
      </c>
      <c r="H2468" s="1" t="n">
        <v>12.9</v>
      </c>
      <c r="I2468" s="1" t="str">
        <f aca="false">B2468&amp;"|"&amp;F2468&amp;"|"&amp;G2468</f>
        <v>Stables|DHOOP|Average</v>
      </c>
      <c r="J2468" s="1" t="s">
        <v>1157</v>
      </c>
    </row>
    <row r="2469" customFormat="false" ht="12" hidden="false" customHeight="true" outlineLevel="0" collapsed="false">
      <c r="B2469" s="1" t="s">
        <v>1154</v>
      </c>
      <c r="C2469" s="1" t="s">
        <v>1155</v>
      </c>
      <c r="D2469" s="1" t="s">
        <v>513</v>
      </c>
      <c r="E2469" s="1" t="s">
        <v>1156</v>
      </c>
      <c r="F2469" s="1" t="s">
        <v>1090</v>
      </c>
      <c r="G2469" s="1" t="s">
        <v>480</v>
      </c>
      <c r="H2469" s="1" t="n">
        <v>8.73</v>
      </c>
      <c r="I2469" s="1" t="str">
        <f aca="false">B2469&amp;"|"&amp;F2469&amp;"|"&amp;G2469</f>
        <v>Stables|DHOOP|Low Cost</v>
      </c>
      <c r="J2469" s="1" t="s">
        <v>1157</v>
      </c>
    </row>
    <row r="2470" customFormat="false" ht="12" hidden="false" customHeight="true" outlineLevel="0" collapsed="false">
      <c r="B2470" s="1" t="s">
        <v>1154</v>
      </c>
      <c r="C2470" s="1" t="s">
        <v>1155</v>
      </c>
      <c r="D2470" s="1" t="s">
        <v>513</v>
      </c>
      <c r="E2470" s="1" t="s">
        <v>1156</v>
      </c>
      <c r="F2470" s="1" t="s">
        <v>473</v>
      </c>
      <c r="G2470" s="1" t="s">
        <v>483</v>
      </c>
      <c r="H2470" s="1" t="n">
        <v>59.5</v>
      </c>
      <c r="I2470" s="1" t="str">
        <f aca="false">B2470&amp;"|"&amp;F2470&amp;"|"&amp;G2470</f>
        <v>Stables|S|Good</v>
      </c>
      <c r="J2470" s="1" t="s">
        <v>1157</v>
      </c>
    </row>
    <row r="2471" customFormat="false" ht="12" hidden="false" customHeight="true" outlineLevel="0" collapsed="false">
      <c r="B2471" s="1" t="s">
        <v>1154</v>
      </c>
      <c r="C2471" s="1" t="s">
        <v>1155</v>
      </c>
      <c r="D2471" s="1" t="s">
        <v>513</v>
      </c>
      <c r="E2471" s="1" t="s">
        <v>1156</v>
      </c>
      <c r="F2471" s="1" t="s">
        <v>473</v>
      </c>
      <c r="G2471" s="1" t="s">
        <v>279</v>
      </c>
      <c r="H2471" s="1" t="n">
        <v>38.75</v>
      </c>
      <c r="I2471" s="1" t="str">
        <f aca="false">B2471&amp;"|"&amp;F2471&amp;"|"&amp;G2471</f>
        <v>Stables|S|Average</v>
      </c>
      <c r="J2471" s="1" t="s">
        <v>1157</v>
      </c>
    </row>
    <row r="2472" customFormat="false" ht="12" hidden="false" customHeight="true" outlineLevel="0" collapsed="false">
      <c r="B2472" s="1" t="s">
        <v>1154</v>
      </c>
      <c r="C2472" s="1" t="s">
        <v>1155</v>
      </c>
      <c r="D2472" s="1" t="s">
        <v>513</v>
      </c>
      <c r="E2472" s="1" t="s">
        <v>1156</v>
      </c>
      <c r="F2472" s="1" t="s">
        <v>473</v>
      </c>
      <c r="G2472" s="1" t="s">
        <v>480</v>
      </c>
      <c r="H2472" s="1" t="n">
        <v>25.25</v>
      </c>
      <c r="I2472" s="1" t="str">
        <f aca="false">B2472&amp;"|"&amp;F2472&amp;"|"&amp;G2472</f>
        <v>Stables|S|Low Cost</v>
      </c>
      <c r="J2472" s="1" t="s">
        <v>1157</v>
      </c>
    </row>
    <row r="2473" customFormat="false" ht="12" hidden="false" customHeight="true" outlineLevel="0" collapsed="false">
      <c r="B2473" s="1" t="s">
        <v>1158</v>
      </c>
      <c r="C2473" s="1" t="s">
        <v>1159</v>
      </c>
      <c r="D2473" s="1" t="s">
        <v>513</v>
      </c>
      <c r="E2473" s="1" t="s">
        <v>1156</v>
      </c>
      <c r="F2473" s="1" t="s">
        <v>463</v>
      </c>
      <c r="G2473" s="1" t="s">
        <v>485</v>
      </c>
      <c r="H2473" s="1" t="n">
        <v>286</v>
      </c>
      <c r="I2473" s="1" t="str">
        <f aca="false">B2473&amp;"|"&amp;F2473&amp;"|"&amp;G2473</f>
        <v>High-Value (Estate) Stables – Horse Barns|C|Excellent</v>
      </c>
      <c r="J2473" s="1" t="s">
        <v>1157</v>
      </c>
    </row>
    <row r="2474" customFormat="false" ht="12" hidden="false" customHeight="true" outlineLevel="0" collapsed="false">
      <c r="B2474" s="1" t="s">
        <v>1158</v>
      </c>
      <c r="C2474" s="1" t="s">
        <v>1159</v>
      </c>
      <c r="D2474" s="1" t="s">
        <v>513</v>
      </c>
      <c r="E2474" s="1" t="s">
        <v>1156</v>
      </c>
      <c r="F2474" s="1" t="s">
        <v>463</v>
      </c>
      <c r="G2474" s="1" t="s">
        <v>483</v>
      </c>
      <c r="H2474" s="1" t="n">
        <v>199</v>
      </c>
      <c r="I2474" s="1" t="str">
        <f aca="false">B2474&amp;"|"&amp;F2474&amp;"|"&amp;G2474</f>
        <v>High-Value (Estate) Stables – Horse Barns|C|Good</v>
      </c>
      <c r="J2474" s="1" t="s">
        <v>1157</v>
      </c>
    </row>
    <row r="2475" customFormat="false" ht="12" hidden="false" customHeight="true" outlineLevel="0" collapsed="false">
      <c r="B2475" s="1" t="s">
        <v>1158</v>
      </c>
      <c r="C2475" s="1" t="s">
        <v>1159</v>
      </c>
      <c r="D2475" s="1" t="s">
        <v>513</v>
      </c>
      <c r="E2475" s="1" t="s">
        <v>1156</v>
      </c>
      <c r="F2475" s="1" t="s">
        <v>463</v>
      </c>
      <c r="G2475" s="1" t="s">
        <v>279</v>
      </c>
      <c r="H2475" s="1" t="n">
        <v>139</v>
      </c>
      <c r="I2475" s="1" t="str">
        <f aca="false">B2475&amp;"|"&amp;F2475&amp;"|"&amp;G2475</f>
        <v>High-Value (Estate) Stables – Horse Barns|C|Average</v>
      </c>
      <c r="J2475" s="1" t="s">
        <v>1157</v>
      </c>
    </row>
    <row r="2476" customFormat="false" ht="12" hidden="false" customHeight="true" outlineLevel="0" collapsed="false">
      <c r="B2476" s="1" t="s">
        <v>1158</v>
      </c>
      <c r="C2476" s="1" t="s">
        <v>1159</v>
      </c>
      <c r="D2476" s="1" t="s">
        <v>513</v>
      </c>
      <c r="E2476" s="1" t="s">
        <v>1156</v>
      </c>
      <c r="F2476" s="1" t="s">
        <v>463</v>
      </c>
      <c r="G2476" s="1" t="s">
        <v>480</v>
      </c>
      <c r="H2476" s="1" t="n">
        <v>97</v>
      </c>
      <c r="I2476" s="1" t="str">
        <f aca="false">B2476&amp;"|"&amp;F2476&amp;"|"&amp;G2476</f>
        <v>High-Value (Estate) Stables – Horse Barns|C|Low Cost</v>
      </c>
      <c r="J2476" s="1" t="s">
        <v>1157</v>
      </c>
    </row>
    <row r="2477" customFormat="false" ht="12" hidden="false" customHeight="true" outlineLevel="0" collapsed="false">
      <c r="B2477" s="1" t="s">
        <v>1158</v>
      </c>
      <c r="C2477" s="1" t="s">
        <v>1159</v>
      </c>
      <c r="D2477" s="1" t="s">
        <v>513</v>
      </c>
      <c r="E2477" s="1" t="s">
        <v>1156</v>
      </c>
      <c r="F2477" s="1" t="s">
        <v>468</v>
      </c>
      <c r="G2477" s="1" t="s">
        <v>485</v>
      </c>
      <c r="H2477" s="1" t="n">
        <v>287</v>
      </c>
      <c r="I2477" s="1" t="str">
        <f aca="false">B2477&amp;"|"&amp;F2477&amp;"|"&amp;G2477</f>
        <v>High-Value (Estate) Stables – Horse Barns|D|Excellent</v>
      </c>
      <c r="J2477" s="1" t="s">
        <v>1157</v>
      </c>
    </row>
    <row r="2478" customFormat="false" ht="12" hidden="false" customHeight="true" outlineLevel="0" collapsed="false">
      <c r="B2478" s="1" t="s">
        <v>1158</v>
      </c>
      <c r="C2478" s="1" t="s">
        <v>1159</v>
      </c>
      <c r="D2478" s="1" t="s">
        <v>513</v>
      </c>
      <c r="E2478" s="1" t="s">
        <v>1156</v>
      </c>
      <c r="F2478" s="1" t="s">
        <v>468</v>
      </c>
      <c r="G2478" s="1" t="s">
        <v>483</v>
      </c>
      <c r="H2478" s="1" t="n">
        <v>197</v>
      </c>
      <c r="I2478" s="1" t="str">
        <f aca="false">B2478&amp;"|"&amp;F2478&amp;"|"&amp;G2478</f>
        <v>High-Value (Estate) Stables – Horse Barns|D|Good</v>
      </c>
      <c r="J2478" s="1" t="s">
        <v>1157</v>
      </c>
    </row>
    <row r="2479" customFormat="false" ht="12" hidden="false" customHeight="true" outlineLevel="0" collapsed="false">
      <c r="B2479" s="1" t="s">
        <v>1158</v>
      </c>
      <c r="C2479" s="1" t="s">
        <v>1159</v>
      </c>
      <c r="D2479" s="1" t="s">
        <v>513</v>
      </c>
      <c r="E2479" s="1" t="s">
        <v>1156</v>
      </c>
      <c r="F2479" s="1" t="s">
        <v>468</v>
      </c>
      <c r="G2479" s="1" t="s">
        <v>279</v>
      </c>
      <c r="H2479" s="1" t="n">
        <v>136</v>
      </c>
      <c r="I2479" s="1" t="str">
        <f aca="false">B2479&amp;"|"&amp;F2479&amp;"|"&amp;G2479</f>
        <v>High-Value (Estate) Stables – Horse Barns|D|Average</v>
      </c>
      <c r="J2479" s="1" t="s">
        <v>1157</v>
      </c>
    </row>
    <row r="2480" customFormat="false" ht="12" hidden="false" customHeight="true" outlineLevel="0" collapsed="false">
      <c r="B2480" s="1" t="s">
        <v>1158</v>
      </c>
      <c r="C2480" s="1" t="s">
        <v>1159</v>
      </c>
      <c r="D2480" s="1" t="s">
        <v>513</v>
      </c>
      <c r="E2480" s="1" t="s">
        <v>1156</v>
      </c>
      <c r="F2480" s="1" t="s">
        <v>468</v>
      </c>
      <c r="G2480" s="1" t="s">
        <v>480</v>
      </c>
      <c r="H2480" s="1" t="n">
        <v>93.5</v>
      </c>
      <c r="I2480" s="1" t="str">
        <f aca="false">B2480&amp;"|"&amp;F2480&amp;"|"&amp;G2480</f>
        <v>High-Value (Estate) Stables – Horse Barns|D|Low Cost</v>
      </c>
      <c r="J2480" s="1" t="s">
        <v>1157</v>
      </c>
    </row>
    <row r="2481" customFormat="false" ht="12" hidden="false" customHeight="true" outlineLevel="0" collapsed="false">
      <c r="B2481" s="1" t="s">
        <v>1158</v>
      </c>
      <c r="C2481" s="1" t="s">
        <v>1159</v>
      </c>
      <c r="D2481" s="1" t="s">
        <v>513</v>
      </c>
      <c r="E2481" s="1" t="s">
        <v>1156</v>
      </c>
      <c r="F2481" s="1" t="s">
        <v>566</v>
      </c>
      <c r="G2481" s="1" t="s">
        <v>480</v>
      </c>
      <c r="H2481" s="1" t="n">
        <v>87</v>
      </c>
      <c r="I2481" s="1" t="str">
        <f aca="false">B2481&amp;"|"&amp;F2481&amp;"|"&amp;G2481</f>
        <v>High-Value (Estate) Stables – Horse Barns|DPOLE|Low Cost</v>
      </c>
      <c r="J2481" s="1" t="s">
        <v>1157</v>
      </c>
    </row>
    <row r="2482" customFormat="false" ht="12" hidden="false" customHeight="true" outlineLevel="0" collapsed="false">
      <c r="B2482" s="1" t="s">
        <v>1158</v>
      </c>
      <c r="C2482" s="1" t="s">
        <v>1159</v>
      </c>
      <c r="D2482" s="1" t="s">
        <v>513</v>
      </c>
      <c r="E2482" s="1" t="s">
        <v>1156</v>
      </c>
      <c r="F2482" s="1" t="s">
        <v>473</v>
      </c>
      <c r="G2482" s="1" t="s">
        <v>480</v>
      </c>
      <c r="H2482" s="1" t="n">
        <v>93</v>
      </c>
      <c r="I2482" s="1" t="str">
        <f aca="false">B2482&amp;"|"&amp;F2482&amp;"|"&amp;G2482</f>
        <v>High-Value (Estate) Stables – Horse Barns|S|Low Cost</v>
      </c>
      <c r="J2482" s="1" t="s">
        <v>1157</v>
      </c>
    </row>
    <row r="2483" customFormat="false" ht="12" hidden="false" customHeight="true" outlineLevel="0" collapsed="false">
      <c r="B2483" s="1" t="s">
        <v>1160</v>
      </c>
      <c r="C2483" s="1" t="s">
        <v>1161</v>
      </c>
      <c r="D2483" s="1" t="s">
        <v>513</v>
      </c>
      <c r="E2483" s="1" t="s">
        <v>766</v>
      </c>
      <c r="F2483" s="1" t="s">
        <v>463</v>
      </c>
      <c r="G2483" s="1" t="s">
        <v>485</v>
      </c>
      <c r="H2483" s="1" t="n">
        <v>104</v>
      </c>
      <c r="I2483" s="1" t="str">
        <f aca="false">B2483&amp;"|"&amp;F2483&amp;"|"&amp;G2483</f>
        <v>Dairies (Milking Parlors)|C|Excellent</v>
      </c>
      <c r="J2483" s="1" t="s">
        <v>1162</v>
      </c>
    </row>
    <row r="2484" customFormat="false" ht="12" hidden="false" customHeight="true" outlineLevel="0" collapsed="false">
      <c r="B2484" s="1" t="s">
        <v>1160</v>
      </c>
      <c r="C2484" s="1" t="s">
        <v>1161</v>
      </c>
      <c r="D2484" s="1" t="s">
        <v>513</v>
      </c>
      <c r="E2484" s="1" t="s">
        <v>766</v>
      </c>
      <c r="F2484" s="1" t="s">
        <v>463</v>
      </c>
      <c r="G2484" s="1" t="s">
        <v>483</v>
      </c>
      <c r="H2484" s="1" t="n">
        <v>78</v>
      </c>
      <c r="I2484" s="1" t="str">
        <f aca="false">B2484&amp;"|"&amp;F2484&amp;"|"&amp;G2484</f>
        <v>Dairies (Milking Parlors)|C|Good</v>
      </c>
      <c r="J2484" s="1" t="s">
        <v>1162</v>
      </c>
    </row>
    <row r="2485" customFormat="false" ht="12" hidden="false" customHeight="true" outlineLevel="0" collapsed="false">
      <c r="B2485" s="1" t="s">
        <v>1160</v>
      </c>
      <c r="C2485" s="1" t="s">
        <v>1161</v>
      </c>
      <c r="D2485" s="1" t="s">
        <v>513</v>
      </c>
      <c r="E2485" s="1" t="s">
        <v>766</v>
      </c>
      <c r="F2485" s="1" t="s">
        <v>463</v>
      </c>
      <c r="G2485" s="1" t="s">
        <v>279</v>
      </c>
      <c r="H2485" s="1" t="n">
        <v>59</v>
      </c>
      <c r="I2485" s="1" t="str">
        <f aca="false">B2485&amp;"|"&amp;F2485&amp;"|"&amp;G2485</f>
        <v>Dairies (Milking Parlors)|C|Average</v>
      </c>
      <c r="J2485" s="1" t="s">
        <v>1162</v>
      </c>
    </row>
    <row r="2486" customFormat="false" ht="12" hidden="false" customHeight="true" outlineLevel="0" collapsed="false">
      <c r="B2486" s="1" t="s">
        <v>1160</v>
      </c>
      <c r="C2486" s="1" t="s">
        <v>1161</v>
      </c>
      <c r="D2486" s="1" t="s">
        <v>513</v>
      </c>
      <c r="E2486" s="1" t="s">
        <v>766</v>
      </c>
      <c r="F2486" s="1" t="s">
        <v>463</v>
      </c>
      <c r="G2486" s="1" t="s">
        <v>480</v>
      </c>
      <c r="H2486" s="1" t="n">
        <v>44.5</v>
      </c>
      <c r="I2486" s="1" t="str">
        <f aca="false">B2486&amp;"|"&amp;F2486&amp;"|"&amp;G2486</f>
        <v>Dairies (Milking Parlors)|C|Low Cost</v>
      </c>
      <c r="J2486" s="1" t="s">
        <v>1162</v>
      </c>
    </row>
    <row r="2487" customFormat="false" ht="12" hidden="false" customHeight="true" outlineLevel="0" collapsed="false">
      <c r="B2487" s="1" t="s">
        <v>1160</v>
      </c>
      <c r="C2487" s="1" t="s">
        <v>1161</v>
      </c>
      <c r="D2487" s="1" t="s">
        <v>513</v>
      </c>
      <c r="E2487" s="1" t="s">
        <v>766</v>
      </c>
      <c r="F2487" s="1" t="s">
        <v>468</v>
      </c>
      <c r="G2487" s="1" t="s">
        <v>485</v>
      </c>
      <c r="H2487" s="1" t="n">
        <v>98</v>
      </c>
      <c r="I2487" s="1" t="str">
        <f aca="false">B2487&amp;"|"&amp;F2487&amp;"|"&amp;G2487</f>
        <v>Dairies (Milking Parlors)|D|Excellent</v>
      </c>
      <c r="J2487" s="1" t="s">
        <v>1162</v>
      </c>
    </row>
    <row r="2488" customFormat="false" ht="12" hidden="false" customHeight="true" outlineLevel="0" collapsed="false">
      <c r="B2488" s="1" t="s">
        <v>1160</v>
      </c>
      <c r="C2488" s="1" t="s">
        <v>1161</v>
      </c>
      <c r="D2488" s="1" t="s">
        <v>513</v>
      </c>
      <c r="E2488" s="1" t="s">
        <v>766</v>
      </c>
      <c r="F2488" s="1" t="s">
        <v>468</v>
      </c>
      <c r="G2488" s="1" t="s">
        <v>483</v>
      </c>
      <c r="H2488" s="1" t="n">
        <v>70.5</v>
      </c>
      <c r="I2488" s="1" t="str">
        <f aca="false">B2488&amp;"|"&amp;F2488&amp;"|"&amp;G2488</f>
        <v>Dairies (Milking Parlors)|D|Good</v>
      </c>
      <c r="J2488" s="1" t="s">
        <v>1162</v>
      </c>
    </row>
    <row r="2489" customFormat="false" ht="12" hidden="false" customHeight="true" outlineLevel="0" collapsed="false">
      <c r="B2489" s="1" t="s">
        <v>1160</v>
      </c>
      <c r="C2489" s="1" t="s">
        <v>1161</v>
      </c>
      <c r="D2489" s="1" t="s">
        <v>513</v>
      </c>
      <c r="E2489" s="1" t="s">
        <v>766</v>
      </c>
      <c r="F2489" s="1" t="s">
        <v>468</v>
      </c>
      <c r="G2489" s="1" t="s">
        <v>279</v>
      </c>
      <c r="H2489" s="1" t="n">
        <v>51</v>
      </c>
      <c r="I2489" s="1" t="str">
        <f aca="false">B2489&amp;"|"&amp;F2489&amp;"|"&amp;G2489</f>
        <v>Dairies (Milking Parlors)|D|Average</v>
      </c>
      <c r="J2489" s="1" t="s">
        <v>1162</v>
      </c>
    </row>
    <row r="2490" customFormat="false" ht="12" hidden="false" customHeight="true" outlineLevel="0" collapsed="false">
      <c r="B2490" s="1" t="s">
        <v>1160</v>
      </c>
      <c r="C2490" s="1" t="s">
        <v>1161</v>
      </c>
      <c r="D2490" s="1" t="s">
        <v>513</v>
      </c>
      <c r="E2490" s="1" t="s">
        <v>766</v>
      </c>
      <c r="F2490" s="1" t="s">
        <v>468</v>
      </c>
      <c r="G2490" s="1" t="s">
        <v>480</v>
      </c>
      <c r="H2490" s="1" t="n">
        <v>36.75</v>
      </c>
      <c r="I2490" s="1" t="str">
        <f aca="false">B2490&amp;"|"&amp;F2490&amp;"|"&amp;G2490</f>
        <v>Dairies (Milking Parlors)|D|Low Cost</v>
      </c>
      <c r="J2490" s="1" t="s">
        <v>1162</v>
      </c>
    </row>
    <row r="2491" customFormat="false" ht="12" hidden="false" customHeight="true" outlineLevel="0" collapsed="false">
      <c r="B2491" s="1" t="s">
        <v>1160</v>
      </c>
      <c r="C2491" s="1" t="s">
        <v>1161</v>
      </c>
      <c r="D2491" s="1" t="s">
        <v>513</v>
      </c>
      <c r="E2491" s="1" t="s">
        <v>766</v>
      </c>
      <c r="F2491" s="1" t="s">
        <v>566</v>
      </c>
      <c r="G2491" s="1" t="s">
        <v>485</v>
      </c>
      <c r="H2491" s="1" t="n">
        <v>89.5</v>
      </c>
      <c r="I2491" s="1" t="str">
        <f aca="false">B2491&amp;"|"&amp;F2491&amp;"|"&amp;G2491</f>
        <v>Dairies (Milking Parlors)|DPOLE|Excellent</v>
      </c>
      <c r="J2491" s="1" t="s">
        <v>1162</v>
      </c>
    </row>
    <row r="2492" customFormat="false" ht="12" hidden="false" customHeight="true" outlineLevel="0" collapsed="false">
      <c r="B2492" s="1" t="s">
        <v>1160</v>
      </c>
      <c r="C2492" s="1" t="s">
        <v>1161</v>
      </c>
      <c r="D2492" s="1" t="s">
        <v>513</v>
      </c>
      <c r="E2492" s="1" t="s">
        <v>766</v>
      </c>
      <c r="F2492" s="1" t="s">
        <v>566</v>
      </c>
      <c r="G2492" s="1" t="s">
        <v>483</v>
      </c>
      <c r="H2492" s="1" t="n">
        <v>64.5</v>
      </c>
      <c r="I2492" s="1" t="str">
        <f aca="false">B2492&amp;"|"&amp;F2492&amp;"|"&amp;G2492</f>
        <v>Dairies (Milking Parlors)|DPOLE|Good</v>
      </c>
      <c r="J2492" s="1" t="s">
        <v>1162</v>
      </c>
    </row>
    <row r="2493" customFormat="false" ht="12" hidden="false" customHeight="true" outlineLevel="0" collapsed="false">
      <c r="B2493" s="1" t="s">
        <v>1160</v>
      </c>
      <c r="C2493" s="1" t="s">
        <v>1161</v>
      </c>
      <c r="D2493" s="1" t="s">
        <v>513</v>
      </c>
      <c r="E2493" s="1" t="s">
        <v>766</v>
      </c>
      <c r="F2493" s="1" t="s">
        <v>566</v>
      </c>
      <c r="G2493" s="1" t="s">
        <v>279</v>
      </c>
      <c r="H2493" s="1" t="n">
        <v>47</v>
      </c>
      <c r="I2493" s="1" t="str">
        <f aca="false">B2493&amp;"|"&amp;F2493&amp;"|"&amp;G2493</f>
        <v>Dairies (Milking Parlors)|DPOLE|Average</v>
      </c>
      <c r="J2493" s="1" t="s">
        <v>1162</v>
      </c>
    </row>
    <row r="2494" customFormat="false" ht="12" hidden="false" customHeight="true" outlineLevel="0" collapsed="false">
      <c r="B2494" s="1" t="s">
        <v>1160</v>
      </c>
      <c r="C2494" s="1" t="s">
        <v>1161</v>
      </c>
      <c r="D2494" s="1" t="s">
        <v>513</v>
      </c>
      <c r="E2494" s="1" t="s">
        <v>766</v>
      </c>
      <c r="F2494" s="1" t="s">
        <v>566</v>
      </c>
      <c r="G2494" s="1" t="s">
        <v>480</v>
      </c>
      <c r="H2494" s="1" t="n">
        <v>34.25</v>
      </c>
      <c r="I2494" s="1" t="str">
        <f aca="false">B2494&amp;"|"&amp;F2494&amp;"|"&amp;G2494</f>
        <v>Dairies (Milking Parlors)|DPOLE|Low Cost</v>
      </c>
      <c r="J2494" s="1" t="s">
        <v>1162</v>
      </c>
    </row>
    <row r="2495" customFormat="false" ht="12" hidden="false" customHeight="true" outlineLevel="0" collapsed="false">
      <c r="B2495" s="1" t="s">
        <v>1160</v>
      </c>
      <c r="C2495" s="1" t="s">
        <v>1161</v>
      </c>
      <c r="D2495" s="1" t="s">
        <v>513</v>
      </c>
      <c r="E2495" s="1" t="s">
        <v>766</v>
      </c>
      <c r="F2495" s="1" t="s">
        <v>473</v>
      </c>
      <c r="G2495" s="1" t="s">
        <v>485</v>
      </c>
      <c r="H2495" s="1" t="n">
        <v>97</v>
      </c>
      <c r="I2495" s="1" t="str">
        <f aca="false">B2495&amp;"|"&amp;F2495&amp;"|"&amp;G2495</f>
        <v>Dairies (Milking Parlors)|S|Excellent</v>
      </c>
      <c r="J2495" s="1" t="s">
        <v>1162</v>
      </c>
    </row>
    <row r="2496" customFormat="false" ht="12" hidden="false" customHeight="true" outlineLevel="0" collapsed="false">
      <c r="B2496" s="1" t="s">
        <v>1160</v>
      </c>
      <c r="C2496" s="1" t="s">
        <v>1161</v>
      </c>
      <c r="D2496" s="1" t="s">
        <v>513</v>
      </c>
      <c r="E2496" s="1" t="s">
        <v>766</v>
      </c>
      <c r="F2496" s="1" t="s">
        <v>473</v>
      </c>
      <c r="G2496" s="1" t="s">
        <v>483</v>
      </c>
      <c r="H2496" s="1" t="n">
        <v>71</v>
      </c>
      <c r="I2496" s="1" t="str">
        <f aca="false">B2496&amp;"|"&amp;F2496&amp;"|"&amp;G2496</f>
        <v>Dairies (Milking Parlors)|S|Good</v>
      </c>
      <c r="J2496" s="1" t="s">
        <v>1162</v>
      </c>
    </row>
    <row r="2497" customFormat="false" ht="12" hidden="false" customHeight="true" outlineLevel="0" collapsed="false">
      <c r="B2497" s="1" t="s">
        <v>1160</v>
      </c>
      <c r="C2497" s="1" t="s">
        <v>1161</v>
      </c>
      <c r="D2497" s="1" t="s">
        <v>513</v>
      </c>
      <c r="E2497" s="1" t="s">
        <v>766</v>
      </c>
      <c r="F2497" s="1" t="s">
        <v>473</v>
      </c>
      <c r="G2497" s="1" t="s">
        <v>279</v>
      </c>
      <c r="H2497" s="1" t="n">
        <v>52</v>
      </c>
      <c r="I2497" s="1" t="str">
        <f aca="false">B2497&amp;"|"&amp;F2497&amp;"|"&amp;G2497</f>
        <v>Dairies (Milking Parlors)|S|Average</v>
      </c>
      <c r="J2497" s="1" t="s">
        <v>1162</v>
      </c>
    </row>
    <row r="2498" customFormat="false" ht="12" hidden="false" customHeight="true" outlineLevel="0" collapsed="false">
      <c r="B2498" s="1" t="s">
        <v>1160</v>
      </c>
      <c r="C2498" s="1" t="s">
        <v>1161</v>
      </c>
      <c r="D2498" s="1" t="s">
        <v>513</v>
      </c>
      <c r="E2498" s="1" t="s">
        <v>766</v>
      </c>
      <c r="F2498" s="1" t="s">
        <v>473</v>
      </c>
      <c r="G2498" s="1" t="s">
        <v>480</v>
      </c>
      <c r="H2498" s="1" t="n">
        <v>38.25</v>
      </c>
      <c r="I2498" s="1" t="str">
        <f aca="false">B2498&amp;"|"&amp;F2498&amp;"|"&amp;G2498</f>
        <v>Dairies (Milking Parlors)|S|Low Cost</v>
      </c>
      <c r="J2498" s="1" t="s">
        <v>1162</v>
      </c>
    </row>
    <row r="2499" customFormat="false" ht="12" hidden="false" customHeight="true" outlineLevel="0" collapsed="false">
      <c r="B2499" s="1" t="s">
        <v>1163</v>
      </c>
      <c r="C2499" s="1" t="s">
        <v>1164</v>
      </c>
      <c r="D2499" s="1" t="s">
        <v>513</v>
      </c>
      <c r="E2499" s="1" t="s">
        <v>766</v>
      </c>
      <c r="F2499" s="1" t="s">
        <v>463</v>
      </c>
      <c r="G2499" s="1" t="s">
        <v>483</v>
      </c>
      <c r="H2499" s="1" t="n">
        <v>86</v>
      </c>
      <c r="I2499" s="1" t="str">
        <f aca="false">B2499&amp;"|"&amp;F2499&amp;"|"&amp;G2499</f>
        <v>Milkhouses|C|Good</v>
      </c>
      <c r="J2499" s="1" t="s">
        <v>1162</v>
      </c>
    </row>
    <row r="2500" customFormat="false" ht="12" hidden="false" customHeight="true" outlineLevel="0" collapsed="false">
      <c r="B2500" s="1" t="s">
        <v>1163</v>
      </c>
      <c r="C2500" s="1" t="s">
        <v>1164</v>
      </c>
      <c r="D2500" s="1" t="s">
        <v>513</v>
      </c>
      <c r="E2500" s="1" t="s">
        <v>766</v>
      </c>
      <c r="F2500" s="1" t="s">
        <v>463</v>
      </c>
      <c r="G2500" s="1" t="s">
        <v>279</v>
      </c>
      <c r="H2500" s="1" t="n">
        <v>63</v>
      </c>
      <c r="I2500" s="1" t="str">
        <f aca="false">B2500&amp;"|"&amp;F2500&amp;"|"&amp;G2500</f>
        <v>Milkhouses|C|Average</v>
      </c>
      <c r="J2500" s="1" t="s">
        <v>1162</v>
      </c>
    </row>
    <row r="2501" customFormat="false" ht="12" hidden="false" customHeight="true" outlineLevel="0" collapsed="false">
      <c r="B2501" s="1" t="s">
        <v>1163</v>
      </c>
      <c r="C2501" s="1" t="s">
        <v>1164</v>
      </c>
      <c r="D2501" s="1" t="s">
        <v>513</v>
      </c>
      <c r="E2501" s="1" t="s">
        <v>766</v>
      </c>
      <c r="F2501" s="1" t="s">
        <v>468</v>
      </c>
      <c r="G2501" s="1" t="s">
        <v>483</v>
      </c>
      <c r="H2501" s="1" t="n">
        <v>77</v>
      </c>
      <c r="I2501" s="1" t="str">
        <f aca="false">B2501&amp;"|"&amp;F2501&amp;"|"&amp;G2501</f>
        <v>Milkhouses|D|Good</v>
      </c>
      <c r="J2501" s="1" t="s">
        <v>1162</v>
      </c>
    </row>
    <row r="2502" customFormat="false" ht="12" hidden="false" customHeight="true" outlineLevel="0" collapsed="false">
      <c r="B2502" s="1" t="s">
        <v>1163</v>
      </c>
      <c r="C2502" s="1" t="s">
        <v>1164</v>
      </c>
      <c r="D2502" s="1" t="s">
        <v>513</v>
      </c>
      <c r="E2502" s="1" t="s">
        <v>766</v>
      </c>
      <c r="F2502" s="1" t="s">
        <v>468</v>
      </c>
      <c r="G2502" s="1" t="s">
        <v>279</v>
      </c>
      <c r="H2502" s="1" t="n">
        <v>56.5</v>
      </c>
      <c r="I2502" s="1" t="str">
        <f aca="false">B2502&amp;"|"&amp;F2502&amp;"|"&amp;G2502</f>
        <v>Milkhouses|D|Average</v>
      </c>
      <c r="J2502" s="1" t="s">
        <v>1162</v>
      </c>
    </row>
    <row r="2503" customFormat="false" ht="12" hidden="false" customHeight="true" outlineLevel="0" collapsed="false">
      <c r="B2503" s="1" t="s">
        <v>1165</v>
      </c>
      <c r="C2503" s="1" t="s">
        <v>1166</v>
      </c>
      <c r="D2503" s="1" t="s">
        <v>513</v>
      </c>
      <c r="E2503" s="1" t="s">
        <v>766</v>
      </c>
      <c r="F2503" s="1" t="s">
        <v>463</v>
      </c>
      <c r="G2503" s="1" t="s">
        <v>483</v>
      </c>
      <c r="H2503" s="1" t="n">
        <v>74</v>
      </c>
      <c r="I2503" s="1" t="str">
        <f aca="false">B2503&amp;"|"&amp;F2503&amp;"|"&amp;G2503</f>
        <v>Milkhouse Sheds|C|Good</v>
      </c>
      <c r="J2503" s="1" t="s">
        <v>1162</v>
      </c>
    </row>
    <row r="2504" customFormat="false" ht="12" hidden="false" customHeight="true" outlineLevel="0" collapsed="false">
      <c r="B2504" s="1" t="s">
        <v>1165</v>
      </c>
      <c r="C2504" s="1" t="s">
        <v>1166</v>
      </c>
      <c r="D2504" s="1" t="s">
        <v>513</v>
      </c>
      <c r="E2504" s="1" t="s">
        <v>766</v>
      </c>
      <c r="F2504" s="1" t="s">
        <v>463</v>
      </c>
      <c r="G2504" s="1" t="s">
        <v>279</v>
      </c>
      <c r="H2504" s="1" t="n">
        <v>54.5</v>
      </c>
      <c r="I2504" s="1" t="str">
        <f aca="false">B2504&amp;"|"&amp;F2504&amp;"|"&amp;G2504</f>
        <v>Milkhouse Sheds|C|Average</v>
      </c>
      <c r="J2504" s="1" t="s">
        <v>1162</v>
      </c>
    </row>
    <row r="2505" customFormat="false" ht="12" hidden="false" customHeight="true" outlineLevel="0" collapsed="false">
      <c r="B2505" s="1" t="s">
        <v>1165</v>
      </c>
      <c r="C2505" s="1" t="s">
        <v>1166</v>
      </c>
      <c r="D2505" s="1" t="s">
        <v>513</v>
      </c>
      <c r="E2505" s="1" t="s">
        <v>766</v>
      </c>
      <c r="F2505" s="1" t="s">
        <v>468</v>
      </c>
      <c r="G2505" s="1" t="s">
        <v>483</v>
      </c>
      <c r="H2505" s="1" t="n">
        <v>66</v>
      </c>
      <c r="I2505" s="1" t="str">
        <f aca="false">B2505&amp;"|"&amp;F2505&amp;"|"&amp;G2505</f>
        <v>Milkhouse Sheds|D|Good</v>
      </c>
      <c r="J2505" s="1" t="s">
        <v>1162</v>
      </c>
    </row>
    <row r="2506" customFormat="false" ht="12" hidden="false" customHeight="true" outlineLevel="0" collapsed="false">
      <c r="B2506" s="1" t="s">
        <v>1165</v>
      </c>
      <c r="C2506" s="1" t="s">
        <v>1166</v>
      </c>
      <c r="D2506" s="1" t="s">
        <v>513</v>
      </c>
      <c r="E2506" s="1" t="s">
        <v>766</v>
      </c>
      <c r="F2506" s="1" t="s">
        <v>468</v>
      </c>
      <c r="G2506" s="1" t="s">
        <v>279</v>
      </c>
      <c r="H2506" s="1" t="n">
        <v>48.25</v>
      </c>
      <c r="I2506" s="1" t="str">
        <f aca="false">B2506&amp;"|"&amp;F2506&amp;"|"&amp;G2506</f>
        <v>Milkhouse Sheds|D|Average</v>
      </c>
      <c r="J2506" s="1" t="s">
        <v>1162</v>
      </c>
    </row>
    <row r="2507" customFormat="false" ht="12" hidden="false" customHeight="true" outlineLevel="0" collapsed="false">
      <c r="B2507" s="1" t="s">
        <v>1167</v>
      </c>
      <c r="C2507" s="1" t="s">
        <v>1168</v>
      </c>
      <c r="D2507" s="1" t="s">
        <v>513</v>
      </c>
      <c r="E2507" s="1" t="s">
        <v>1169</v>
      </c>
      <c r="F2507" s="1" t="s">
        <v>463</v>
      </c>
      <c r="G2507" s="1" t="s">
        <v>483</v>
      </c>
      <c r="H2507" s="1" t="n">
        <v>69.5</v>
      </c>
      <c r="I2507" s="1" t="str">
        <f aca="false">B2507&amp;"|"&amp;F2507&amp;"|"&amp;G2507</f>
        <v>Hog Barns – Nursery|C|Good</v>
      </c>
      <c r="J2507" s="1" t="s">
        <v>1170</v>
      </c>
    </row>
    <row r="2508" customFormat="false" ht="12" hidden="false" customHeight="true" outlineLevel="0" collapsed="false">
      <c r="B2508" s="1" t="s">
        <v>1167</v>
      </c>
      <c r="C2508" s="1" t="s">
        <v>1168</v>
      </c>
      <c r="D2508" s="1" t="s">
        <v>513</v>
      </c>
      <c r="E2508" s="1" t="s">
        <v>1169</v>
      </c>
      <c r="F2508" s="1" t="s">
        <v>463</v>
      </c>
      <c r="G2508" s="1" t="s">
        <v>279</v>
      </c>
      <c r="H2508" s="1" t="n">
        <v>62</v>
      </c>
      <c r="I2508" s="1" t="str">
        <f aca="false">B2508&amp;"|"&amp;F2508&amp;"|"&amp;G2508</f>
        <v>Hog Barns – Nursery|C|Average</v>
      </c>
      <c r="J2508" s="1" t="s">
        <v>1170</v>
      </c>
    </row>
    <row r="2509" customFormat="false" ht="12" hidden="false" customHeight="true" outlineLevel="0" collapsed="false">
      <c r="B2509" s="1" t="s">
        <v>1167</v>
      </c>
      <c r="C2509" s="1" t="s">
        <v>1168</v>
      </c>
      <c r="D2509" s="1" t="s">
        <v>513</v>
      </c>
      <c r="E2509" s="1" t="s">
        <v>1169</v>
      </c>
      <c r="F2509" s="1" t="s">
        <v>468</v>
      </c>
      <c r="G2509" s="1" t="s">
        <v>483</v>
      </c>
      <c r="H2509" s="1" t="n">
        <v>65.5</v>
      </c>
      <c r="I2509" s="1" t="str">
        <f aca="false">B2509&amp;"|"&amp;F2509&amp;"|"&amp;G2509</f>
        <v>Hog Barns – Nursery|D|Good</v>
      </c>
      <c r="J2509" s="1" t="s">
        <v>1170</v>
      </c>
    </row>
    <row r="2510" customFormat="false" ht="12" hidden="false" customHeight="true" outlineLevel="0" collapsed="false">
      <c r="B2510" s="1" t="s">
        <v>1167</v>
      </c>
      <c r="C2510" s="1" t="s">
        <v>1168</v>
      </c>
      <c r="D2510" s="1" t="s">
        <v>513</v>
      </c>
      <c r="E2510" s="1" t="s">
        <v>1169</v>
      </c>
      <c r="F2510" s="1" t="s">
        <v>468</v>
      </c>
      <c r="G2510" s="1" t="s">
        <v>279</v>
      </c>
      <c r="H2510" s="1" t="n">
        <v>57</v>
      </c>
      <c r="I2510" s="1" t="str">
        <f aca="false">B2510&amp;"|"&amp;F2510&amp;"|"&amp;G2510</f>
        <v>Hog Barns – Nursery|D|Average</v>
      </c>
      <c r="J2510" s="1" t="s">
        <v>1170</v>
      </c>
    </row>
    <row r="2511" customFormat="false" ht="12" hidden="false" customHeight="true" outlineLevel="0" collapsed="false">
      <c r="B2511" s="1" t="s">
        <v>1167</v>
      </c>
      <c r="C2511" s="1" t="s">
        <v>1168</v>
      </c>
      <c r="D2511" s="1" t="s">
        <v>513</v>
      </c>
      <c r="E2511" s="1" t="s">
        <v>1169</v>
      </c>
      <c r="F2511" s="1" t="s">
        <v>566</v>
      </c>
      <c r="G2511" s="1" t="s">
        <v>483</v>
      </c>
      <c r="H2511" s="1" t="n">
        <v>60.5</v>
      </c>
      <c r="I2511" s="1" t="str">
        <f aca="false">B2511&amp;"|"&amp;F2511&amp;"|"&amp;G2511</f>
        <v>Hog Barns – Nursery|DPOLE|Good</v>
      </c>
      <c r="J2511" s="1" t="s">
        <v>1170</v>
      </c>
    </row>
    <row r="2512" customFormat="false" ht="12" hidden="false" customHeight="true" outlineLevel="0" collapsed="false">
      <c r="B2512" s="1" t="s">
        <v>1167</v>
      </c>
      <c r="C2512" s="1" t="s">
        <v>1168</v>
      </c>
      <c r="D2512" s="1" t="s">
        <v>513</v>
      </c>
      <c r="E2512" s="1" t="s">
        <v>1169</v>
      </c>
      <c r="F2512" s="1" t="s">
        <v>566</v>
      </c>
      <c r="G2512" s="1" t="s">
        <v>279</v>
      </c>
      <c r="H2512" s="1" t="n">
        <v>53</v>
      </c>
      <c r="I2512" s="1" t="str">
        <f aca="false">B2512&amp;"|"&amp;F2512&amp;"|"&amp;G2512</f>
        <v>Hog Barns – Nursery|DPOLE|Average</v>
      </c>
      <c r="J2512" s="1" t="s">
        <v>1170</v>
      </c>
    </row>
    <row r="2513" customFormat="false" ht="12" hidden="false" customHeight="true" outlineLevel="0" collapsed="false">
      <c r="B2513" s="1" t="s">
        <v>1167</v>
      </c>
      <c r="C2513" s="1" t="s">
        <v>1168</v>
      </c>
      <c r="D2513" s="1" t="s">
        <v>513</v>
      </c>
      <c r="E2513" s="1" t="s">
        <v>1169</v>
      </c>
      <c r="F2513" s="1" t="s">
        <v>473</v>
      </c>
      <c r="G2513" s="1" t="s">
        <v>483</v>
      </c>
      <c r="H2513" s="1" t="n">
        <v>65.5</v>
      </c>
      <c r="I2513" s="1" t="str">
        <f aca="false">B2513&amp;"|"&amp;F2513&amp;"|"&amp;G2513</f>
        <v>Hog Barns – Nursery|S|Good</v>
      </c>
      <c r="J2513" s="1" t="s">
        <v>1170</v>
      </c>
    </row>
    <row r="2514" customFormat="false" ht="12" hidden="false" customHeight="true" outlineLevel="0" collapsed="false">
      <c r="B2514" s="1" t="s">
        <v>1167</v>
      </c>
      <c r="C2514" s="1" t="s">
        <v>1168</v>
      </c>
      <c r="D2514" s="1" t="s">
        <v>513</v>
      </c>
      <c r="E2514" s="1" t="s">
        <v>1169</v>
      </c>
      <c r="F2514" s="1" t="s">
        <v>473</v>
      </c>
      <c r="G2514" s="1" t="s">
        <v>279</v>
      </c>
      <c r="H2514" s="1" t="n">
        <v>57.5</v>
      </c>
      <c r="I2514" s="1" t="str">
        <f aca="false">B2514&amp;"|"&amp;F2514&amp;"|"&amp;G2514</f>
        <v>Hog Barns – Nursery|S|Average</v>
      </c>
      <c r="J2514" s="1" t="s">
        <v>1170</v>
      </c>
    </row>
    <row r="2515" customFormat="false" ht="12" hidden="false" customHeight="true" outlineLevel="0" collapsed="false">
      <c r="B2515" s="1" t="s">
        <v>1171</v>
      </c>
      <c r="C2515" s="1" t="s">
        <v>1172</v>
      </c>
      <c r="D2515" s="1" t="s">
        <v>513</v>
      </c>
      <c r="E2515" s="1" t="s">
        <v>1169</v>
      </c>
      <c r="F2515" s="1" t="s">
        <v>463</v>
      </c>
      <c r="G2515" s="1" t="s">
        <v>483</v>
      </c>
      <c r="H2515" s="1" t="n">
        <v>55.5</v>
      </c>
      <c r="I2515" s="1" t="str">
        <f aca="false">B2515&amp;"|"&amp;F2515&amp;"|"&amp;G2515</f>
        <v>Hog Barns – Breeding/Gestation|C|Good</v>
      </c>
      <c r="J2515" s="1" t="s">
        <v>1170</v>
      </c>
    </row>
    <row r="2516" customFormat="false" ht="12" hidden="false" customHeight="true" outlineLevel="0" collapsed="false">
      <c r="B2516" s="1" t="s">
        <v>1171</v>
      </c>
      <c r="C2516" s="1" t="s">
        <v>1172</v>
      </c>
      <c r="D2516" s="1" t="s">
        <v>513</v>
      </c>
      <c r="E2516" s="1" t="s">
        <v>1169</v>
      </c>
      <c r="F2516" s="1" t="s">
        <v>463</v>
      </c>
      <c r="G2516" s="1" t="s">
        <v>279</v>
      </c>
      <c r="H2516" s="1" t="n">
        <v>44</v>
      </c>
      <c r="I2516" s="1" t="str">
        <f aca="false">B2516&amp;"|"&amp;F2516&amp;"|"&amp;G2516</f>
        <v>Hog Barns – Breeding/Gestation|C|Average</v>
      </c>
      <c r="J2516" s="1" t="s">
        <v>1170</v>
      </c>
    </row>
    <row r="2517" customFormat="false" ht="12" hidden="false" customHeight="true" outlineLevel="0" collapsed="false">
      <c r="B2517" s="1" t="s">
        <v>1171</v>
      </c>
      <c r="C2517" s="1" t="s">
        <v>1172</v>
      </c>
      <c r="D2517" s="1" t="s">
        <v>513</v>
      </c>
      <c r="E2517" s="1" t="s">
        <v>1169</v>
      </c>
      <c r="F2517" s="1" t="s">
        <v>463</v>
      </c>
      <c r="G2517" s="1" t="s">
        <v>480</v>
      </c>
      <c r="H2517" s="1" t="n">
        <v>38.25</v>
      </c>
      <c r="I2517" s="1" t="str">
        <f aca="false">B2517&amp;"|"&amp;F2517&amp;"|"&amp;G2517</f>
        <v>Hog Barns – Breeding/Gestation|C|Low Cost</v>
      </c>
      <c r="J2517" s="1" t="s">
        <v>1170</v>
      </c>
    </row>
    <row r="2518" customFormat="false" ht="12" hidden="false" customHeight="true" outlineLevel="0" collapsed="false">
      <c r="B2518" s="1" t="s">
        <v>1171</v>
      </c>
      <c r="C2518" s="1" t="s">
        <v>1172</v>
      </c>
      <c r="D2518" s="1" t="s">
        <v>513</v>
      </c>
      <c r="E2518" s="1" t="s">
        <v>1169</v>
      </c>
      <c r="F2518" s="1" t="s">
        <v>468</v>
      </c>
      <c r="G2518" s="1" t="s">
        <v>483</v>
      </c>
      <c r="H2518" s="1" t="n">
        <v>49.5</v>
      </c>
      <c r="I2518" s="1" t="str">
        <f aca="false">B2518&amp;"|"&amp;F2518&amp;"|"&amp;G2518</f>
        <v>Hog Barns – Breeding/Gestation|D|Good</v>
      </c>
      <c r="J2518" s="1" t="s">
        <v>1170</v>
      </c>
    </row>
    <row r="2519" customFormat="false" ht="12" hidden="false" customHeight="true" outlineLevel="0" collapsed="false">
      <c r="B2519" s="1" t="s">
        <v>1171</v>
      </c>
      <c r="C2519" s="1" t="s">
        <v>1172</v>
      </c>
      <c r="D2519" s="1" t="s">
        <v>513</v>
      </c>
      <c r="E2519" s="1" t="s">
        <v>1169</v>
      </c>
      <c r="F2519" s="1" t="s">
        <v>468</v>
      </c>
      <c r="G2519" s="1" t="s">
        <v>279</v>
      </c>
      <c r="H2519" s="1" t="n">
        <v>37.5</v>
      </c>
      <c r="I2519" s="1" t="str">
        <f aca="false">B2519&amp;"|"&amp;F2519&amp;"|"&amp;G2519</f>
        <v>Hog Barns – Breeding/Gestation|D|Average</v>
      </c>
      <c r="J2519" s="1" t="s">
        <v>1170</v>
      </c>
    </row>
    <row r="2520" customFormat="false" ht="12" hidden="false" customHeight="true" outlineLevel="0" collapsed="false">
      <c r="B2520" s="1" t="s">
        <v>1171</v>
      </c>
      <c r="C2520" s="1" t="s">
        <v>1172</v>
      </c>
      <c r="D2520" s="1" t="s">
        <v>513</v>
      </c>
      <c r="E2520" s="1" t="s">
        <v>1169</v>
      </c>
      <c r="F2520" s="1" t="s">
        <v>468</v>
      </c>
      <c r="G2520" s="1" t="s">
        <v>480</v>
      </c>
      <c r="H2520" s="1" t="n">
        <v>32.25</v>
      </c>
      <c r="I2520" s="1" t="str">
        <f aca="false">B2520&amp;"|"&amp;F2520&amp;"|"&amp;G2520</f>
        <v>Hog Barns – Breeding/Gestation|D|Low Cost</v>
      </c>
      <c r="J2520" s="1" t="s">
        <v>1170</v>
      </c>
    </row>
    <row r="2521" customFormat="false" ht="12" hidden="false" customHeight="true" outlineLevel="0" collapsed="false">
      <c r="B2521" s="1" t="s">
        <v>1171</v>
      </c>
      <c r="C2521" s="1" t="s">
        <v>1172</v>
      </c>
      <c r="D2521" s="1" t="s">
        <v>513</v>
      </c>
      <c r="E2521" s="1" t="s">
        <v>1169</v>
      </c>
      <c r="F2521" s="1" t="s">
        <v>468</v>
      </c>
      <c r="G2521" s="1" t="s">
        <v>567</v>
      </c>
      <c r="H2521" s="1" t="n">
        <v>24.8</v>
      </c>
      <c r="I2521" s="1" t="str">
        <f aca="false">B2521&amp;"|"&amp;F2521&amp;"|"&amp;G2521</f>
        <v>Hog Barns – Breeding/Gestation|D|Cheap</v>
      </c>
      <c r="J2521" s="1" t="s">
        <v>1170</v>
      </c>
    </row>
    <row r="2522" customFormat="false" ht="12" hidden="false" customHeight="true" outlineLevel="0" collapsed="false">
      <c r="B2522" s="1" t="s">
        <v>1171</v>
      </c>
      <c r="C2522" s="1" t="s">
        <v>1172</v>
      </c>
      <c r="D2522" s="1" t="s">
        <v>513</v>
      </c>
      <c r="E2522" s="1" t="s">
        <v>1169</v>
      </c>
      <c r="F2522" s="1" t="s">
        <v>566</v>
      </c>
      <c r="G2522" s="1" t="s">
        <v>483</v>
      </c>
      <c r="H2522" s="1" t="n">
        <v>46.5</v>
      </c>
      <c r="I2522" s="1" t="str">
        <f aca="false">B2522&amp;"|"&amp;F2522&amp;"|"&amp;G2522</f>
        <v>Hog Barns – Breeding/Gestation|DPOLE|Good</v>
      </c>
      <c r="J2522" s="1" t="s">
        <v>1170</v>
      </c>
    </row>
    <row r="2523" customFormat="false" ht="12" hidden="false" customHeight="true" outlineLevel="0" collapsed="false">
      <c r="B2523" s="1" t="s">
        <v>1171</v>
      </c>
      <c r="C2523" s="1" t="s">
        <v>1172</v>
      </c>
      <c r="D2523" s="1" t="s">
        <v>513</v>
      </c>
      <c r="E2523" s="1" t="s">
        <v>1169</v>
      </c>
      <c r="F2523" s="1" t="s">
        <v>566</v>
      </c>
      <c r="G2523" s="1" t="s">
        <v>279</v>
      </c>
      <c r="H2523" s="1" t="n">
        <v>35.5</v>
      </c>
      <c r="I2523" s="1" t="str">
        <f aca="false">B2523&amp;"|"&amp;F2523&amp;"|"&amp;G2523</f>
        <v>Hog Barns – Breeding/Gestation|DPOLE|Average</v>
      </c>
      <c r="J2523" s="1" t="s">
        <v>1170</v>
      </c>
    </row>
    <row r="2524" customFormat="false" ht="12" hidden="false" customHeight="true" outlineLevel="0" collapsed="false">
      <c r="B2524" s="1" t="s">
        <v>1171</v>
      </c>
      <c r="C2524" s="1" t="s">
        <v>1172</v>
      </c>
      <c r="D2524" s="1" t="s">
        <v>513</v>
      </c>
      <c r="E2524" s="1" t="s">
        <v>1169</v>
      </c>
      <c r="F2524" s="1" t="s">
        <v>566</v>
      </c>
      <c r="G2524" s="1" t="s">
        <v>480</v>
      </c>
      <c r="H2524" s="1" t="n">
        <v>30.75</v>
      </c>
      <c r="I2524" s="1" t="str">
        <f aca="false">B2524&amp;"|"&amp;F2524&amp;"|"&amp;G2524</f>
        <v>Hog Barns – Breeding/Gestation|DPOLE|Low Cost</v>
      </c>
      <c r="J2524" s="1" t="s">
        <v>1170</v>
      </c>
    </row>
    <row r="2525" customFormat="false" ht="12" hidden="false" customHeight="true" outlineLevel="0" collapsed="false">
      <c r="B2525" s="1" t="s">
        <v>1171</v>
      </c>
      <c r="C2525" s="1" t="s">
        <v>1172</v>
      </c>
      <c r="D2525" s="1" t="s">
        <v>513</v>
      </c>
      <c r="E2525" s="1" t="s">
        <v>1169</v>
      </c>
      <c r="F2525" s="1" t="s">
        <v>566</v>
      </c>
      <c r="G2525" s="1" t="s">
        <v>567</v>
      </c>
      <c r="H2525" s="1" t="n">
        <v>23.95</v>
      </c>
      <c r="I2525" s="1" t="str">
        <f aca="false">B2525&amp;"|"&amp;F2525&amp;"|"&amp;G2525</f>
        <v>Hog Barns – Breeding/Gestation|DPOLE|Cheap</v>
      </c>
      <c r="J2525" s="1" t="s">
        <v>1170</v>
      </c>
    </row>
    <row r="2526" customFormat="false" ht="12" hidden="false" customHeight="true" outlineLevel="0" collapsed="false">
      <c r="B2526" s="1" t="s">
        <v>1171</v>
      </c>
      <c r="C2526" s="1" t="s">
        <v>1172</v>
      </c>
      <c r="D2526" s="1" t="s">
        <v>513</v>
      </c>
      <c r="E2526" s="1" t="s">
        <v>1169</v>
      </c>
      <c r="F2526" s="1" t="s">
        <v>473</v>
      </c>
      <c r="G2526" s="1" t="s">
        <v>483</v>
      </c>
      <c r="H2526" s="1" t="n">
        <v>49.75</v>
      </c>
      <c r="I2526" s="1" t="str">
        <f aca="false">B2526&amp;"|"&amp;F2526&amp;"|"&amp;G2526</f>
        <v>Hog Barns – Breeding/Gestation|S|Good</v>
      </c>
      <c r="J2526" s="1" t="s">
        <v>1170</v>
      </c>
    </row>
    <row r="2527" customFormat="false" ht="12" hidden="false" customHeight="true" outlineLevel="0" collapsed="false">
      <c r="B2527" s="1" t="s">
        <v>1171</v>
      </c>
      <c r="C2527" s="1" t="s">
        <v>1172</v>
      </c>
      <c r="D2527" s="1" t="s">
        <v>513</v>
      </c>
      <c r="E2527" s="1" t="s">
        <v>1169</v>
      </c>
      <c r="F2527" s="1" t="s">
        <v>473</v>
      </c>
      <c r="G2527" s="1" t="s">
        <v>279</v>
      </c>
      <c r="H2527" s="1" t="n">
        <v>38</v>
      </c>
      <c r="I2527" s="1" t="str">
        <f aca="false">B2527&amp;"|"&amp;F2527&amp;"|"&amp;G2527</f>
        <v>Hog Barns – Breeding/Gestation|S|Average</v>
      </c>
      <c r="J2527" s="1" t="s">
        <v>1170</v>
      </c>
    </row>
    <row r="2528" customFormat="false" ht="12" hidden="false" customHeight="true" outlineLevel="0" collapsed="false">
      <c r="B2528" s="1" t="s">
        <v>1171</v>
      </c>
      <c r="C2528" s="1" t="s">
        <v>1172</v>
      </c>
      <c r="D2528" s="1" t="s">
        <v>513</v>
      </c>
      <c r="E2528" s="1" t="s">
        <v>1169</v>
      </c>
      <c r="F2528" s="1" t="s">
        <v>473</v>
      </c>
      <c r="G2528" s="1" t="s">
        <v>480</v>
      </c>
      <c r="H2528" s="1" t="n">
        <v>32.5</v>
      </c>
      <c r="I2528" s="1" t="str">
        <f aca="false">B2528&amp;"|"&amp;F2528&amp;"|"&amp;G2528</f>
        <v>Hog Barns – Breeding/Gestation|S|Low Cost</v>
      </c>
      <c r="J2528" s="1" t="s">
        <v>1170</v>
      </c>
    </row>
    <row r="2529" customFormat="false" ht="12" hidden="false" customHeight="true" outlineLevel="0" collapsed="false">
      <c r="B2529" s="1" t="s">
        <v>1171</v>
      </c>
      <c r="C2529" s="1" t="s">
        <v>1172</v>
      </c>
      <c r="D2529" s="1" t="s">
        <v>513</v>
      </c>
      <c r="E2529" s="1" t="s">
        <v>1169</v>
      </c>
      <c r="F2529" s="1" t="s">
        <v>473</v>
      </c>
      <c r="G2529" s="1" t="s">
        <v>567</v>
      </c>
      <c r="H2529" s="1" t="n">
        <v>25.25</v>
      </c>
      <c r="I2529" s="1" t="str">
        <f aca="false">B2529&amp;"|"&amp;F2529&amp;"|"&amp;G2529</f>
        <v>Hog Barns – Breeding/Gestation|S|Cheap</v>
      </c>
      <c r="J2529" s="1" t="s">
        <v>1170</v>
      </c>
    </row>
    <row r="2530" customFormat="false" ht="12" hidden="false" customHeight="true" outlineLevel="0" collapsed="false">
      <c r="B2530" s="1" t="s">
        <v>1173</v>
      </c>
      <c r="C2530" s="1" t="s">
        <v>1174</v>
      </c>
      <c r="D2530" s="1" t="s">
        <v>513</v>
      </c>
      <c r="E2530" s="1" t="s">
        <v>1175</v>
      </c>
      <c r="F2530" s="1" t="s">
        <v>463</v>
      </c>
      <c r="G2530" s="1" t="s">
        <v>483</v>
      </c>
      <c r="H2530" s="1" t="n">
        <v>62</v>
      </c>
      <c r="I2530" s="1" t="str">
        <f aca="false">B2530&amp;"|"&amp;F2530&amp;"|"&amp;G2530</f>
        <v>Hog Barns – Farrowing|C|Good</v>
      </c>
      <c r="J2530" s="1" t="s">
        <v>1176</v>
      </c>
    </row>
    <row r="2531" customFormat="false" ht="12" hidden="false" customHeight="true" outlineLevel="0" collapsed="false">
      <c r="B2531" s="1" t="s">
        <v>1173</v>
      </c>
      <c r="C2531" s="1" t="s">
        <v>1174</v>
      </c>
      <c r="D2531" s="1" t="s">
        <v>513</v>
      </c>
      <c r="E2531" s="1" t="s">
        <v>1175</v>
      </c>
      <c r="F2531" s="1" t="s">
        <v>463</v>
      </c>
      <c r="G2531" s="1" t="s">
        <v>279</v>
      </c>
      <c r="H2531" s="1" t="n">
        <v>50.5</v>
      </c>
      <c r="I2531" s="1" t="str">
        <f aca="false">B2531&amp;"|"&amp;F2531&amp;"|"&amp;G2531</f>
        <v>Hog Barns – Farrowing|C|Average</v>
      </c>
      <c r="J2531" s="1" t="s">
        <v>1176</v>
      </c>
    </row>
    <row r="2532" customFormat="false" ht="12" hidden="false" customHeight="true" outlineLevel="0" collapsed="false">
      <c r="B2532" s="1" t="s">
        <v>1173</v>
      </c>
      <c r="C2532" s="1" t="s">
        <v>1174</v>
      </c>
      <c r="D2532" s="1" t="s">
        <v>513</v>
      </c>
      <c r="E2532" s="1" t="s">
        <v>1175</v>
      </c>
      <c r="F2532" s="1" t="s">
        <v>463</v>
      </c>
      <c r="G2532" s="1" t="s">
        <v>480</v>
      </c>
      <c r="H2532" s="1" t="n">
        <v>41</v>
      </c>
      <c r="I2532" s="1" t="str">
        <f aca="false">B2532&amp;"|"&amp;F2532&amp;"|"&amp;G2532</f>
        <v>Hog Barns – Farrowing|C|Low Cost</v>
      </c>
      <c r="J2532" s="1" t="s">
        <v>1176</v>
      </c>
    </row>
    <row r="2533" customFormat="false" ht="12" hidden="false" customHeight="true" outlineLevel="0" collapsed="false">
      <c r="B2533" s="1" t="s">
        <v>1173</v>
      </c>
      <c r="C2533" s="1" t="s">
        <v>1174</v>
      </c>
      <c r="D2533" s="1" t="s">
        <v>513</v>
      </c>
      <c r="E2533" s="1" t="s">
        <v>1175</v>
      </c>
      <c r="F2533" s="1" t="s">
        <v>468</v>
      </c>
      <c r="G2533" s="1" t="s">
        <v>483</v>
      </c>
      <c r="H2533" s="1" t="n">
        <v>57</v>
      </c>
      <c r="I2533" s="1" t="str">
        <f aca="false">B2533&amp;"|"&amp;F2533&amp;"|"&amp;G2533</f>
        <v>Hog Barns – Farrowing|D|Good</v>
      </c>
      <c r="J2533" s="1" t="s">
        <v>1176</v>
      </c>
    </row>
    <row r="2534" customFormat="false" ht="12" hidden="false" customHeight="true" outlineLevel="0" collapsed="false">
      <c r="B2534" s="1" t="s">
        <v>1173</v>
      </c>
      <c r="C2534" s="1" t="s">
        <v>1174</v>
      </c>
      <c r="D2534" s="1" t="s">
        <v>513</v>
      </c>
      <c r="E2534" s="1" t="s">
        <v>1175</v>
      </c>
      <c r="F2534" s="1" t="s">
        <v>468</v>
      </c>
      <c r="G2534" s="1" t="s">
        <v>279</v>
      </c>
      <c r="H2534" s="1" t="n">
        <v>44.25</v>
      </c>
      <c r="I2534" s="1" t="str">
        <f aca="false">B2534&amp;"|"&amp;F2534&amp;"|"&amp;G2534</f>
        <v>Hog Barns – Farrowing|D|Average</v>
      </c>
      <c r="J2534" s="1" t="s">
        <v>1176</v>
      </c>
    </row>
    <row r="2535" customFormat="false" ht="12" hidden="false" customHeight="true" outlineLevel="0" collapsed="false">
      <c r="B2535" s="1" t="s">
        <v>1173</v>
      </c>
      <c r="C2535" s="1" t="s">
        <v>1174</v>
      </c>
      <c r="D2535" s="1" t="s">
        <v>513</v>
      </c>
      <c r="E2535" s="1" t="s">
        <v>1175</v>
      </c>
      <c r="F2535" s="1" t="s">
        <v>468</v>
      </c>
      <c r="G2535" s="1" t="s">
        <v>480</v>
      </c>
      <c r="H2535" s="1" t="n">
        <v>34.5</v>
      </c>
      <c r="I2535" s="1" t="str">
        <f aca="false">B2535&amp;"|"&amp;F2535&amp;"|"&amp;G2535</f>
        <v>Hog Barns – Farrowing|D|Low Cost</v>
      </c>
      <c r="J2535" s="1" t="s">
        <v>1176</v>
      </c>
    </row>
    <row r="2536" customFormat="false" ht="12" hidden="false" customHeight="true" outlineLevel="0" collapsed="false">
      <c r="B2536" s="1" t="s">
        <v>1173</v>
      </c>
      <c r="C2536" s="1" t="s">
        <v>1174</v>
      </c>
      <c r="D2536" s="1" t="s">
        <v>513</v>
      </c>
      <c r="E2536" s="1" t="s">
        <v>1175</v>
      </c>
      <c r="F2536" s="1" t="s">
        <v>566</v>
      </c>
      <c r="G2536" s="1" t="s">
        <v>483</v>
      </c>
      <c r="H2536" s="1" t="n">
        <v>53</v>
      </c>
      <c r="I2536" s="1" t="str">
        <f aca="false">B2536&amp;"|"&amp;F2536&amp;"|"&amp;G2536</f>
        <v>Hog Barns – Farrowing|DPOLE|Good</v>
      </c>
      <c r="J2536" s="1" t="s">
        <v>1176</v>
      </c>
    </row>
    <row r="2537" customFormat="false" ht="12" hidden="false" customHeight="true" outlineLevel="0" collapsed="false">
      <c r="B2537" s="1" t="s">
        <v>1173</v>
      </c>
      <c r="C2537" s="1" t="s">
        <v>1174</v>
      </c>
      <c r="D2537" s="1" t="s">
        <v>513</v>
      </c>
      <c r="E2537" s="1" t="s">
        <v>1175</v>
      </c>
      <c r="F2537" s="1" t="s">
        <v>566</v>
      </c>
      <c r="G2537" s="1" t="s">
        <v>279</v>
      </c>
      <c r="H2537" s="1" t="n">
        <v>41.75</v>
      </c>
      <c r="I2537" s="1" t="str">
        <f aca="false">B2537&amp;"|"&amp;F2537&amp;"|"&amp;G2537</f>
        <v>Hog Barns – Farrowing|DPOLE|Average</v>
      </c>
      <c r="J2537" s="1" t="s">
        <v>1176</v>
      </c>
    </row>
    <row r="2538" customFormat="false" ht="12" hidden="false" customHeight="true" outlineLevel="0" collapsed="false">
      <c r="B2538" s="1" t="s">
        <v>1173</v>
      </c>
      <c r="C2538" s="1" t="s">
        <v>1174</v>
      </c>
      <c r="D2538" s="1" t="s">
        <v>513</v>
      </c>
      <c r="E2538" s="1" t="s">
        <v>1175</v>
      </c>
      <c r="F2538" s="1" t="s">
        <v>566</v>
      </c>
      <c r="G2538" s="1" t="s">
        <v>480</v>
      </c>
      <c r="H2538" s="1" t="n">
        <v>32.75</v>
      </c>
      <c r="I2538" s="1" t="str">
        <f aca="false">B2538&amp;"|"&amp;F2538&amp;"|"&amp;G2538</f>
        <v>Hog Barns – Farrowing|DPOLE|Low Cost</v>
      </c>
      <c r="J2538" s="1" t="s">
        <v>1176</v>
      </c>
    </row>
    <row r="2539" customFormat="false" ht="12" hidden="false" customHeight="true" outlineLevel="0" collapsed="false">
      <c r="B2539" s="1" t="s">
        <v>1173</v>
      </c>
      <c r="C2539" s="1" t="s">
        <v>1174</v>
      </c>
      <c r="D2539" s="1" t="s">
        <v>513</v>
      </c>
      <c r="E2539" s="1" t="s">
        <v>1175</v>
      </c>
      <c r="F2539" s="1" t="s">
        <v>566</v>
      </c>
      <c r="G2539" s="1" t="s">
        <v>567</v>
      </c>
      <c r="H2539" s="1" t="n">
        <v>29.25</v>
      </c>
      <c r="I2539" s="1" t="str">
        <f aca="false">B2539&amp;"|"&amp;F2539&amp;"|"&amp;G2539</f>
        <v>Hog Barns – Farrowing|DPOLE|Cheap</v>
      </c>
      <c r="J2539" s="1" t="s">
        <v>1176</v>
      </c>
    </row>
    <row r="2540" customFormat="false" ht="12" hidden="false" customHeight="true" outlineLevel="0" collapsed="false">
      <c r="B2540" s="1" t="s">
        <v>1173</v>
      </c>
      <c r="C2540" s="1" t="s">
        <v>1174</v>
      </c>
      <c r="D2540" s="1" t="s">
        <v>513</v>
      </c>
      <c r="E2540" s="1" t="s">
        <v>1175</v>
      </c>
      <c r="F2540" s="1" t="s">
        <v>473</v>
      </c>
      <c r="G2540" s="1" t="s">
        <v>483</v>
      </c>
      <c r="H2540" s="1" t="n">
        <v>57</v>
      </c>
      <c r="I2540" s="1" t="str">
        <f aca="false">B2540&amp;"|"&amp;F2540&amp;"|"&amp;G2540</f>
        <v>Hog Barns – Farrowing|S|Good</v>
      </c>
      <c r="J2540" s="1" t="s">
        <v>1176</v>
      </c>
    </row>
    <row r="2541" customFormat="false" ht="12" hidden="false" customHeight="true" outlineLevel="0" collapsed="false">
      <c r="B2541" s="1" t="s">
        <v>1173</v>
      </c>
      <c r="C2541" s="1" t="s">
        <v>1174</v>
      </c>
      <c r="D2541" s="1" t="s">
        <v>513</v>
      </c>
      <c r="E2541" s="1" t="s">
        <v>1175</v>
      </c>
      <c r="F2541" s="1" t="s">
        <v>473</v>
      </c>
      <c r="G2541" s="1" t="s">
        <v>279</v>
      </c>
      <c r="H2541" s="1" t="n">
        <v>44.75</v>
      </c>
      <c r="I2541" s="1" t="str">
        <f aca="false">B2541&amp;"|"&amp;F2541&amp;"|"&amp;G2541</f>
        <v>Hog Barns – Farrowing|S|Average</v>
      </c>
      <c r="J2541" s="1" t="s">
        <v>1176</v>
      </c>
    </row>
    <row r="2542" customFormat="false" ht="12" hidden="false" customHeight="true" outlineLevel="0" collapsed="false">
      <c r="B2542" s="1" t="s">
        <v>1173</v>
      </c>
      <c r="C2542" s="1" t="s">
        <v>1174</v>
      </c>
      <c r="D2542" s="1" t="s">
        <v>513</v>
      </c>
      <c r="E2542" s="1" t="s">
        <v>1175</v>
      </c>
      <c r="F2542" s="1" t="s">
        <v>473</v>
      </c>
      <c r="G2542" s="1" t="s">
        <v>480</v>
      </c>
      <c r="H2542" s="1" t="n">
        <v>35</v>
      </c>
      <c r="I2542" s="1" t="str">
        <f aca="false">B2542&amp;"|"&amp;F2542&amp;"|"&amp;G2542</f>
        <v>Hog Barns – Farrowing|S|Low Cost</v>
      </c>
      <c r="J2542" s="1" t="s">
        <v>1176</v>
      </c>
    </row>
    <row r="2543" customFormat="false" ht="12" hidden="false" customHeight="true" outlineLevel="0" collapsed="false">
      <c r="B2543" s="1" t="s">
        <v>1173</v>
      </c>
      <c r="C2543" s="1" t="s">
        <v>1174</v>
      </c>
      <c r="D2543" s="1" t="s">
        <v>513</v>
      </c>
      <c r="E2543" s="1" t="s">
        <v>1175</v>
      </c>
      <c r="F2543" s="1" t="s">
        <v>473</v>
      </c>
      <c r="G2543" s="1" t="s">
        <v>567</v>
      </c>
      <c r="H2543" s="1" t="n">
        <v>30.75</v>
      </c>
      <c r="I2543" s="1" t="str">
        <f aca="false">B2543&amp;"|"&amp;F2543&amp;"|"&amp;G2543</f>
        <v>Hog Barns – Farrowing|S|Cheap</v>
      </c>
      <c r="J2543" s="1" t="s">
        <v>1176</v>
      </c>
    </row>
    <row r="2544" customFormat="false" ht="12" hidden="false" customHeight="true" outlineLevel="0" collapsed="false">
      <c r="B2544" s="1" t="s">
        <v>1177</v>
      </c>
      <c r="C2544" s="1" t="s">
        <v>1178</v>
      </c>
      <c r="D2544" s="1" t="s">
        <v>513</v>
      </c>
      <c r="E2544" s="1" t="s">
        <v>1175</v>
      </c>
      <c r="F2544" s="1" t="s">
        <v>463</v>
      </c>
      <c r="G2544" s="1" t="s">
        <v>279</v>
      </c>
      <c r="H2544" s="1" t="n">
        <v>39.25</v>
      </c>
      <c r="I2544" s="1" t="str">
        <f aca="false">B2544&amp;"|"&amp;F2544&amp;"|"&amp;G2544</f>
        <v>Hog Barns – Finishing|C|Average</v>
      </c>
      <c r="J2544" s="1" t="s">
        <v>1176</v>
      </c>
    </row>
    <row r="2545" customFormat="false" ht="12" hidden="false" customHeight="true" outlineLevel="0" collapsed="false">
      <c r="B2545" s="1" t="s">
        <v>1177</v>
      </c>
      <c r="C2545" s="1" t="s">
        <v>1178</v>
      </c>
      <c r="D2545" s="1" t="s">
        <v>513</v>
      </c>
      <c r="E2545" s="1" t="s">
        <v>1175</v>
      </c>
      <c r="F2545" s="1" t="s">
        <v>463</v>
      </c>
      <c r="G2545" s="1" t="s">
        <v>480</v>
      </c>
      <c r="H2545" s="1" t="n">
        <v>35</v>
      </c>
      <c r="I2545" s="1" t="str">
        <f aca="false">B2545&amp;"|"&amp;F2545&amp;"|"&amp;G2545</f>
        <v>Hog Barns – Finishing|C|Low Cost</v>
      </c>
      <c r="J2545" s="1" t="s">
        <v>1176</v>
      </c>
    </row>
    <row r="2546" customFormat="false" ht="12" hidden="false" customHeight="true" outlineLevel="0" collapsed="false">
      <c r="B2546" s="1" t="s">
        <v>1177</v>
      </c>
      <c r="C2546" s="1" t="s">
        <v>1178</v>
      </c>
      <c r="D2546" s="1" t="s">
        <v>513</v>
      </c>
      <c r="E2546" s="1" t="s">
        <v>1175</v>
      </c>
      <c r="F2546" s="1" t="s">
        <v>463</v>
      </c>
      <c r="G2546" s="1" t="s">
        <v>567</v>
      </c>
      <c r="H2546" s="1" t="n">
        <v>22.35</v>
      </c>
      <c r="I2546" s="1" t="str">
        <f aca="false">B2546&amp;"|"&amp;F2546&amp;"|"&amp;G2546</f>
        <v>Hog Barns – Finishing|C|Cheap</v>
      </c>
      <c r="J2546" s="1" t="s">
        <v>1176</v>
      </c>
    </row>
    <row r="2547" customFormat="false" ht="12" hidden="false" customHeight="true" outlineLevel="0" collapsed="false">
      <c r="B2547" s="1" t="s">
        <v>1177</v>
      </c>
      <c r="C2547" s="1" t="s">
        <v>1178</v>
      </c>
      <c r="D2547" s="1" t="s">
        <v>513</v>
      </c>
      <c r="E2547" s="1" t="s">
        <v>1175</v>
      </c>
      <c r="F2547" s="1" t="s">
        <v>468</v>
      </c>
      <c r="G2547" s="1" t="s">
        <v>279</v>
      </c>
      <c r="H2547" s="1" t="n">
        <v>33</v>
      </c>
      <c r="I2547" s="1" t="str">
        <f aca="false">B2547&amp;"|"&amp;F2547&amp;"|"&amp;G2547</f>
        <v>Hog Barns – Finishing|D|Average</v>
      </c>
      <c r="J2547" s="1" t="s">
        <v>1176</v>
      </c>
    </row>
    <row r="2548" customFormat="false" ht="12" hidden="false" customHeight="true" outlineLevel="0" collapsed="false">
      <c r="B2548" s="1" t="s">
        <v>1177</v>
      </c>
      <c r="C2548" s="1" t="s">
        <v>1178</v>
      </c>
      <c r="D2548" s="1" t="s">
        <v>513</v>
      </c>
      <c r="E2548" s="1" t="s">
        <v>1175</v>
      </c>
      <c r="F2548" s="1" t="s">
        <v>468</v>
      </c>
      <c r="G2548" s="1" t="s">
        <v>480</v>
      </c>
      <c r="H2548" s="1" t="n">
        <v>28.5</v>
      </c>
      <c r="I2548" s="1" t="str">
        <f aca="false">B2548&amp;"|"&amp;F2548&amp;"|"&amp;G2548</f>
        <v>Hog Barns – Finishing|D|Low Cost</v>
      </c>
      <c r="J2548" s="1" t="s">
        <v>1176</v>
      </c>
    </row>
    <row r="2549" customFormat="false" ht="12" hidden="false" customHeight="true" outlineLevel="0" collapsed="false">
      <c r="B2549" s="1" t="s">
        <v>1177</v>
      </c>
      <c r="C2549" s="1" t="s">
        <v>1178</v>
      </c>
      <c r="D2549" s="1" t="s">
        <v>513</v>
      </c>
      <c r="E2549" s="1" t="s">
        <v>1175</v>
      </c>
      <c r="F2549" s="1" t="s">
        <v>468</v>
      </c>
      <c r="G2549" s="1" t="s">
        <v>567</v>
      </c>
      <c r="H2549" s="1" t="n">
        <v>17.45</v>
      </c>
      <c r="I2549" s="1" t="str">
        <f aca="false">B2549&amp;"|"&amp;F2549&amp;"|"&amp;G2549</f>
        <v>Hog Barns – Finishing|D|Cheap</v>
      </c>
      <c r="J2549" s="1" t="s">
        <v>1176</v>
      </c>
    </row>
    <row r="2550" customFormat="false" ht="12" hidden="false" customHeight="true" outlineLevel="0" collapsed="false">
      <c r="B2550" s="1" t="s">
        <v>1177</v>
      </c>
      <c r="C2550" s="1" t="s">
        <v>1178</v>
      </c>
      <c r="D2550" s="1" t="s">
        <v>513</v>
      </c>
      <c r="E2550" s="1" t="s">
        <v>1175</v>
      </c>
      <c r="F2550" s="1" t="s">
        <v>566</v>
      </c>
      <c r="G2550" s="1" t="s">
        <v>279</v>
      </c>
      <c r="H2550" s="1" t="n">
        <v>31.25</v>
      </c>
      <c r="I2550" s="1" t="str">
        <f aca="false">B2550&amp;"|"&amp;F2550&amp;"|"&amp;G2550</f>
        <v>Hog Barns – Finishing|DPOLE|Average</v>
      </c>
      <c r="J2550" s="1" t="s">
        <v>1176</v>
      </c>
    </row>
    <row r="2551" customFormat="false" ht="12" hidden="false" customHeight="true" outlineLevel="0" collapsed="false">
      <c r="B2551" s="1" t="s">
        <v>1177</v>
      </c>
      <c r="C2551" s="1" t="s">
        <v>1178</v>
      </c>
      <c r="D2551" s="1" t="s">
        <v>513</v>
      </c>
      <c r="E2551" s="1" t="s">
        <v>1175</v>
      </c>
      <c r="F2551" s="1" t="s">
        <v>566</v>
      </c>
      <c r="G2551" s="1" t="s">
        <v>480</v>
      </c>
      <c r="H2551" s="1" t="n">
        <v>27.25</v>
      </c>
      <c r="I2551" s="1" t="str">
        <f aca="false">B2551&amp;"|"&amp;F2551&amp;"|"&amp;G2551</f>
        <v>Hog Barns – Finishing|DPOLE|Low Cost</v>
      </c>
      <c r="J2551" s="1" t="s">
        <v>1176</v>
      </c>
    </row>
    <row r="2552" customFormat="false" ht="12" hidden="false" customHeight="true" outlineLevel="0" collapsed="false">
      <c r="B2552" s="1" t="s">
        <v>1177</v>
      </c>
      <c r="C2552" s="1" t="s">
        <v>1178</v>
      </c>
      <c r="D2552" s="1" t="s">
        <v>513</v>
      </c>
      <c r="E2552" s="1" t="s">
        <v>1175</v>
      </c>
      <c r="F2552" s="1" t="s">
        <v>566</v>
      </c>
      <c r="G2552" s="1" t="s">
        <v>567</v>
      </c>
      <c r="H2552" s="1" t="n">
        <v>16</v>
      </c>
      <c r="I2552" s="1" t="str">
        <f aca="false">B2552&amp;"|"&amp;F2552&amp;"|"&amp;G2552</f>
        <v>Hog Barns – Finishing|DPOLE|Cheap</v>
      </c>
      <c r="J2552" s="1" t="s">
        <v>1176</v>
      </c>
    </row>
    <row r="2553" customFormat="false" ht="12" hidden="false" customHeight="true" outlineLevel="0" collapsed="false">
      <c r="B2553" s="1" t="s">
        <v>1177</v>
      </c>
      <c r="C2553" s="1" t="s">
        <v>1178</v>
      </c>
      <c r="D2553" s="1" t="s">
        <v>513</v>
      </c>
      <c r="E2553" s="1" t="s">
        <v>1175</v>
      </c>
      <c r="F2553" s="1" t="s">
        <v>473</v>
      </c>
      <c r="G2553" s="1" t="s">
        <v>279</v>
      </c>
      <c r="H2553" s="1" t="n">
        <v>33</v>
      </c>
      <c r="I2553" s="1" t="str">
        <f aca="false">B2553&amp;"|"&amp;F2553&amp;"|"&amp;G2553</f>
        <v>Hog Barns – Finishing|S|Average</v>
      </c>
      <c r="J2553" s="1" t="s">
        <v>1176</v>
      </c>
    </row>
    <row r="2554" customFormat="false" ht="12" hidden="false" customHeight="true" outlineLevel="0" collapsed="false">
      <c r="B2554" s="1" t="s">
        <v>1177</v>
      </c>
      <c r="C2554" s="1" t="s">
        <v>1178</v>
      </c>
      <c r="D2554" s="1" t="s">
        <v>513</v>
      </c>
      <c r="E2554" s="1" t="s">
        <v>1175</v>
      </c>
      <c r="F2554" s="1" t="s">
        <v>473</v>
      </c>
      <c r="G2554" s="1" t="s">
        <v>480</v>
      </c>
      <c r="H2554" s="1" t="n">
        <v>28.75</v>
      </c>
      <c r="I2554" s="1" t="str">
        <f aca="false">B2554&amp;"|"&amp;F2554&amp;"|"&amp;G2554</f>
        <v>Hog Barns – Finishing|S|Low Cost</v>
      </c>
      <c r="J2554" s="1" t="s">
        <v>1176</v>
      </c>
    </row>
    <row r="2555" customFormat="false" ht="12" hidden="false" customHeight="true" outlineLevel="0" collapsed="false">
      <c r="B2555" s="1" t="s">
        <v>1177</v>
      </c>
      <c r="C2555" s="1" t="s">
        <v>1178</v>
      </c>
      <c r="D2555" s="1" t="s">
        <v>513</v>
      </c>
      <c r="E2555" s="1" t="s">
        <v>1175</v>
      </c>
      <c r="F2555" s="1" t="s">
        <v>473</v>
      </c>
      <c r="G2555" s="1" t="s">
        <v>567</v>
      </c>
      <c r="H2555" s="1" t="n">
        <v>18</v>
      </c>
      <c r="I2555" s="1" t="str">
        <f aca="false">B2555&amp;"|"&amp;F2555&amp;"|"&amp;G2555</f>
        <v>Hog Barns – Finishing|S|Cheap</v>
      </c>
      <c r="J2555" s="1" t="s">
        <v>1176</v>
      </c>
    </row>
    <row r="2556" customFormat="false" ht="12" hidden="false" customHeight="true" outlineLevel="0" collapsed="false">
      <c r="B2556" s="1" t="s">
        <v>1179</v>
      </c>
      <c r="C2556" s="1" t="s">
        <v>1180</v>
      </c>
      <c r="D2556" s="1" t="s">
        <v>513</v>
      </c>
      <c r="E2556" s="1" t="s">
        <v>1181</v>
      </c>
      <c r="F2556" s="1" t="s">
        <v>463</v>
      </c>
      <c r="G2556" s="1" t="s">
        <v>279</v>
      </c>
      <c r="H2556" s="1" t="n">
        <v>38.75</v>
      </c>
      <c r="I2556" s="1" t="str">
        <f aca="false">B2556&amp;"|"&amp;F2556&amp;"|"&amp;G2556</f>
        <v>Modified Hog Sheds|C|Average</v>
      </c>
      <c r="J2556" s="1" t="s">
        <v>1182</v>
      </c>
    </row>
    <row r="2557" customFormat="false" ht="12" hidden="false" customHeight="true" outlineLevel="0" collapsed="false">
      <c r="B2557" s="1" t="s">
        <v>1179</v>
      </c>
      <c r="C2557" s="1" t="s">
        <v>1180</v>
      </c>
      <c r="D2557" s="1" t="s">
        <v>513</v>
      </c>
      <c r="E2557" s="1" t="s">
        <v>1181</v>
      </c>
      <c r="F2557" s="1" t="s">
        <v>463</v>
      </c>
      <c r="G2557" s="1" t="s">
        <v>480</v>
      </c>
      <c r="H2557" s="1" t="n">
        <v>34.25</v>
      </c>
      <c r="I2557" s="1" t="str">
        <f aca="false">B2557&amp;"|"&amp;F2557&amp;"|"&amp;G2557</f>
        <v>Modified Hog Sheds|C|Low Cost</v>
      </c>
      <c r="J2557" s="1" t="s">
        <v>1182</v>
      </c>
    </row>
    <row r="2558" customFormat="false" ht="12" hidden="false" customHeight="true" outlineLevel="0" collapsed="false">
      <c r="B2558" s="1" t="s">
        <v>1179</v>
      </c>
      <c r="C2558" s="1" t="s">
        <v>1180</v>
      </c>
      <c r="D2558" s="1" t="s">
        <v>513</v>
      </c>
      <c r="E2558" s="1" t="s">
        <v>1181</v>
      </c>
      <c r="F2558" s="1" t="s">
        <v>468</v>
      </c>
      <c r="G2558" s="1" t="s">
        <v>279</v>
      </c>
      <c r="H2558" s="1" t="n">
        <v>32.25</v>
      </c>
      <c r="I2558" s="1" t="str">
        <f aca="false">B2558&amp;"|"&amp;F2558&amp;"|"&amp;G2558</f>
        <v>Modified Hog Sheds|D|Average</v>
      </c>
      <c r="J2558" s="1" t="s">
        <v>1182</v>
      </c>
    </row>
    <row r="2559" customFormat="false" ht="12" hidden="false" customHeight="true" outlineLevel="0" collapsed="false">
      <c r="B2559" s="1" t="s">
        <v>1179</v>
      </c>
      <c r="C2559" s="1" t="s">
        <v>1180</v>
      </c>
      <c r="D2559" s="1" t="s">
        <v>513</v>
      </c>
      <c r="E2559" s="1" t="s">
        <v>1181</v>
      </c>
      <c r="F2559" s="1" t="s">
        <v>468</v>
      </c>
      <c r="G2559" s="1" t="s">
        <v>480</v>
      </c>
      <c r="H2559" s="1" t="n">
        <v>28</v>
      </c>
      <c r="I2559" s="1" t="str">
        <f aca="false">B2559&amp;"|"&amp;F2559&amp;"|"&amp;G2559</f>
        <v>Modified Hog Sheds|D|Low Cost</v>
      </c>
      <c r="J2559" s="1" t="s">
        <v>1182</v>
      </c>
    </row>
    <row r="2560" customFormat="false" ht="12" hidden="false" customHeight="true" outlineLevel="0" collapsed="false">
      <c r="B2560" s="1" t="s">
        <v>1179</v>
      </c>
      <c r="C2560" s="1" t="s">
        <v>1180</v>
      </c>
      <c r="D2560" s="1" t="s">
        <v>513</v>
      </c>
      <c r="E2560" s="1" t="s">
        <v>1181</v>
      </c>
      <c r="F2560" s="1" t="s">
        <v>566</v>
      </c>
      <c r="G2560" s="1" t="s">
        <v>279</v>
      </c>
      <c r="H2560" s="1" t="n">
        <v>30.25</v>
      </c>
      <c r="I2560" s="1" t="str">
        <f aca="false">B2560&amp;"|"&amp;F2560&amp;"|"&amp;G2560</f>
        <v>Modified Hog Sheds|DPOLE|Average</v>
      </c>
      <c r="J2560" s="1" t="s">
        <v>1182</v>
      </c>
    </row>
    <row r="2561" customFormat="false" ht="12" hidden="false" customHeight="true" outlineLevel="0" collapsed="false">
      <c r="B2561" s="1" t="s">
        <v>1179</v>
      </c>
      <c r="C2561" s="1" t="s">
        <v>1180</v>
      </c>
      <c r="D2561" s="1" t="s">
        <v>513</v>
      </c>
      <c r="E2561" s="1" t="s">
        <v>1181</v>
      </c>
      <c r="F2561" s="1" t="s">
        <v>566</v>
      </c>
      <c r="G2561" s="1" t="s">
        <v>480</v>
      </c>
      <c r="H2561" s="1" t="n">
        <v>27</v>
      </c>
      <c r="I2561" s="1" t="str">
        <f aca="false">B2561&amp;"|"&amp;F2561&amp;"|"&amp;G2561</f>
        <v>Modified Hog Sheds|DPOLE|Low Cost</v>
      </c>
      <c r="J2561" s="1" t="s">
        <v>1182</v>
      </c>
    </row>
    <row r="2562" customFormat="false" ht="12" hidden="false" customHeight="true" outlineLevel="0" collapsed="false">
      <c r="B2562" s="1" t="s">
        <v>1179</v>
      </c>
      <c r="C2562" s="1" t="s">
        <v>1180</v>
      </c>
      <c r="D2562" s="1" t="s">
        <v>513</v>
      </c>
      <c r="E2562" s="1" t="s">
        <v>1181</v>
      </c>
      <c r="F2562" s="1" t="s">
        <v>473</v>
      </c>
      <c r="G2562" s="1" t="s">
        <v>279</v>
      </c>
      <c r="H2562" s="1" t="n">
        <v>32.5</v>
      </c>
      <c r="I2562" s="1" t="str">
        <f aca="false">B2562&amp;"|"&amp;F2562&amp;"|"&amp;G2562</f>
        <v>Modified Hog Sheds|S|Average</v>
      </c>
      <c r="J2562" s="1" t="s">
        <v>1182</v>
      </c>
    </row>
    <row r="2563" customFormat="false" ht="12" hidden="false" customHeight="true" outlineLevel="0" collapsed="false">
      <c r="B2563" s="1" t="s">
        <v>1179</v>
      </c>
      <c r="C2563" s="1" t="s">
        <v>1180</v>
      </c>
      <c r="D2563" s="1" t="s">
        <v>513</v>
      </c>
      <c r="E2563" s="1" t="s">
        <v>1181</v>
      </c>
      <c r="F2563" s="1" t="s">
        <v>473</v>
      </c>
      <c r="G2563" s="1" t="s">
        <v>480</v>
      </c>
      <c r="H2563" s="1" t="n">
        <v>28.5</v>
      </c>
      <c r="I2563" s="1" t="str">
        <f aca="false">B2563&amp;"|"&amp;F2563&amp;"|"&amp;G2563</f>
        <v>Modified Hog Sheds|S|Low Cost</v>
      </c>
      <c r="J2563" s="1" t="s">
        <v>1182</v>
      </c>
    </row>
    <row r="2564" customFormat="false" ht="12" hidden="false" customHeight="true" outlineLevel="0" collapsed="false">
      <c r="B2564" s="1" t="s">
        <v>1183</v>
      </c>
      <c r="C2564" s="1" t="s">
        <v>1184</v>
      </c>
      <c r="D2564" s="1" t="s">
        <v>513</v>
      </c>
      <c r="E2564" s="1" t="s">
        <v>1181</v>
      </c>
      <c r="F2564" s="1" t="s">
        <v>468</v>
      </c>
      <c r="G2564" s="1" t="s">
        <v>279</v>
      </c>
      <c r="H2564" s="1" t="n">
        <v>25.5</v>
      </c>
      <c r="I2564" s="1" t="str">
        <f aca="false">B2564&amp;"|"&amp;F2564&amp;"|"&amp;G2564</f>
        <v>Hog Sheds|D|Average</v>
      </c>
      <c r="J2564" s="1" t="s">
        <v>1182</v>
      </c>
    </row>
    <row r="2565" customFormat="false" ht="12" hidden="false" customHeight="true" outlineLevel="0" collapsed="false">
      <c r="B2565" s="1" t="s">
        <v>1183</v>
      </c>
      <c r="C2565" s="1" t="s">
        <v>1184</v>
      </c>
      <c r="D2565" s="1" t="s">
        <v>513</v>
      </c>
      <c r="E2565" s="1" t="s">
        <v>1181</v>
      </c>
      <c r="F2565" s="1" t="s">
        <v>468</v>
      </c>
      <c r="G2565" s="1" t="s">
        <v>480</v>
      </c>
      <c r="H2565" s="1" t="n">
        <v>22</v>
      </c>
      <c r="I2565" s="1" t="str">
        <f aca="false">B2565&amp;"|"&amp;F2565&amp;"|"&amp;G2565</f>
        <v>Hog Sheds|D|Low Cost</v>
      </c>
      <c r="J2565" s="1" t="s">
        <v>1182</v>
      </c>
    </row>
    <row r="2566" customFormat="false" ht="12" hidden="false" customHeight="true" outlineLevel="0" collapsed="false">
      <c r="B2566" s="1" t="s">
        <v>1183</v>
      </c>
      <c r="C2566" s="1" t="s">
        <v>1184</v>
      </c>
      <c r="D2566" s="1" t="s">
        <v>513</v>
      </c>
      <c r="E2566" s="1" t="s">
        <v>1181</v>
      </c>
      <c r="F2566" s="1" t="s">
        <v>468</v>
      </c>
      <c r="G2566" s="1" t="s">
        <v>567</v>
      </c>
      <c r="H2566" s="1" t="n">
        <v>16.25</v>
      </c>
      <c r="I2566" s="1" t="str">
        <f aca="false">B2566&amp;"|"&amp;F2566&amp;"|"&amp;G2566</f>
        <v>Hog Sheds|D|Cheap</v>
      </c>
      <c r="J2566" s="1" t="s">
        <v>1182</v>
      </c>
    </row>
    <row r="2567" customFormat="false" ht="12" hidden="false" customHeight="true" outlineLevel="0" collapsed="false">
      <c r="B2567" s="1" t="s">
        <v>1183</v>
      </c>
      <c r="C2567" s="1" t="s">
        <v>1184</v>
      </c>
      <c r="D2567" s="1" t="s">
        <v>513</v>
      </c>
      <c r="E2567" s="1" t="s">
        <v>1181</v>
      </c>
      <c r="F2567" s="1" t="s">
        <v>566</v>
      </c>
      <c r="G2567" s="1" t="s">
        <v>279</v>
      </c>
      <c r="H2567" s="1" t="n">
        <v>23.6</v>
      </c>
      <c r="I2567" s="1" t="str">
        <f aca="false">B2567&amp;"|"&amp;F2567&amp;"|"&amp;G2567</f>
        <v>Hog Sheds|DPOLE|Average</v>
      </c>
      <c r="J2567" s="1" t="s">
        <v>1182</v>
      </c>
    </row>
    <row r="2568" customFormat="false" ht="12" hidden="false" customHeight="true" outlineLevel="0" collapsed="false">
      <c r="B2568" s="1" t="s">
        <v>1183</v>
      </c>
      <c r="C2568" s="1" t="s">
        <v>1184</v>
      </c>
      <c r="D2568" s="1" t="s">
        <v>513</v>
      </c>
      <c r="E2568" s="1" t="s">
        <v>1181</v>
      </c>
      <c r="F2568" s="1" t="s">
        <v>566</v>
      </c>
      <c r="G2568" s="1" t="s">
        <v>480</v>
      </c>
      <c r="H2568" s="1" t="n">
        <v>20.3</v>
      </c>
      <c r="I2568" s="1" t="str">
        <f aca="false">B2568&amp;"|"&amp;F2568&amp;"|"&amp;G2568</f>
        <v>Hog Sheds|DPOLE|Low Cost</v>
      </c>
      <c r="J2568" s="1" t="s">
        <v>1182</v>
      </c>
    </row>
    <row r="2569" customFormat="false" ht="12" hidden="false" customHeight="true" outlineLevel="0" collapsed="false">
      <c r="B2569" s="1" t="s">
        <v>1183</v>
      </c>
      <c r="C2569" s="1" t="s">
        <v>1184</v>
      </c>
      <c r="D2569" s="1" t="s">
        <v>513</v>
      </c>
      <c r="E2569" s="1" t="s">
        <v>1181</v>
      </c>
      <c r="F2569" s="1" t="s">
        <v>566</v>
      </c>
      <c r="G2569" s="1" t="s">
        <v>567</v>
      </c>
      <c r="H2569" s="1" t="n">
        <v>14.75</v>
      </c>
      <c r="I2569" s="1" t="str">
        <f aca="false">B2569&amp;"|"&amp;F2569&amp;"|"&amp;G2569</f>
        <v>Hog Sheds|DPOLE|Cheap</v>
      </c>
      <c r="J2569" s="1" t="s">
        <v>1182</v>
      </c>
    </row>
    <row r="2570" customFormat="false" ht="12" hidden="false" customHeight="true" outlineLevel="0" collapsed="false">
      <c r="B2570" s="1" t="s">
        <v>1183</v>
      </c>
      <c r="C2570" s="1" t="s">
        <v>1184</v>
      </c>
      <c r="D2570" s="1" t="s">
        <v>513</v>
      </c>
      <c r="E2570" s="1" t="s">
        <v>1181</v>
      </c>
      <c r="F2570" s="1" t="s">
        <v>1090</v>
      </c>
      <c r="G2570" s="1" t="s">
        <v>279</v>
      </c>
      <c r="H2570" s="1" t="n">
        <v>15.25</v>
      </c>
      <c r="I2570" s="1" t="str">
        <f aca="false">B2570&amp;"|"&amp;F2570&amp;"|"&amp;G2570</f>
        <v>Hog Sheds|DHOOP|Average</v>
      </c>
      <c r="J2570" s="1" t="s">
        <v>1182</v>
      </c>
    </row>
    <row r="2571" customFormat="false" ht="12" hidden="false" customHeight="true" outlineLevel="0" collapsed="false">
      <c r="B2571" s="1" t="s">
        <v>1183</v>
      </c>
      <c r="C2571" s="1" t="s">
        <v>1184</v>
      </c>
      <c r="D2571" s="1" t="s">
        <v>513</v>
      </c>
      <c r="E2571" s="1" t="s">
        <v>1181</v>
      </c>
      <c r="F2571" s="1" t="s">
        <v>1090</v>
      </c>
      <c r="G2571" s="1" t="s">
        <v>480</v>
      </c>
      <c r="H2571" s="1" t="n">
        <v>12.4</v>
      </c>
      <c r="I2571" s="1" t="str">
        <f aca="false">B2571&amp;"|"&amp;F2571&amp;"|"&amp;G2571</f>
        <v>Hog Sheds|DHOOP|Low Cost</v>
      </c>
      <c r="J2571" s="1" t="s">
        <v>1182</v>
      </c>
    </row>
    <row r="2572" customFormat="false" ht="12" hidden="false" customHeight="true" outlineLevel="0" collapsed="false">
      <c r="B2572" s="1" t="s">
        <v>1183</v>
      </c>
      <c r="C2572" s="1" t="s">
        <v>1184</v>
      </c>
      <c r="D2572" s="1" t="s">
        <v>513</v>
      </c>
      <c r="E2572" s="1" t="s">
        <v>1181</v>
      </c>
      <c r="F2572" s="1" t="s">
        <v>1090</v>
      </c>
      <c r="G2572" s="1" t="s">
        <v>567</v>
      </c>
      <c r="H2572" s="1" t="n">
        <v>11.15</v>
      </c>
      <c r="I2572" s="1" t="str">
        <f aca="false">B2572&amp;"|"&amp;F2572&amp;"|"&amp;G2572</f>
        <v>Hog Sheds|DHOOP|Cheap</v>
      </c>
      <c r="J2572" s="1" t="s">
        <v>1182</v>
      </c>
    </row>
    <row r="2573" customFormat="false" ht="12" hidden="false" customHeight="true" outlineLevel="0" collapsed="false">
      <c r="B2573" s="1" t="s">
        <v>1183</v>
      </c>
      <c r="C2573" s="1" t="s">
        <v>1184</v>
      </c>
      <c r="D2573" s="1" t="s">
        <v>513</v>
      </c>
      <c r="E2573" s="1" t="s">
        <v>1181</v>
      </c>
      <c r="F2573" s="1" t="s">
        <v>473</v>
      </c>
      <c r="G2573" s="1" t="s">
        <v>279</v>
      </c>
      <c r="H2573" s="1" t="n">
        <v>25.75</v>
      </c>
      <c r="I2573" s="1" t="str">
        <f aca="false">B2573&amp;"|"&amp;F2573&amp;"|"&amp;G2573</f>
        <v>Hog Sheds|S|Average</v>
      </c>
      <c r="J2573" s="1" t="s">
        <v>1182</v>
      </c>
    </row>
    <row r="2574" customFormat="false" ht="12" hidden="false" customHeight="true" outlineLevel="0" collapsed="false">
      <c r="B2574" s="1" t="s">
        <v>1183</v>
      </c>
      <c r="C2574" s="1" t="s">
        <v>1184</v>
      </c>
      <c r="D2574" s="1" t="s">
        <v>513</v>
      </c>
      <c r="E2574" s="1" t="s">
        <v>1181</v>
      </c>
      <c r="F2574" s="1" t="s">
        <v>473</v>
      </c>
      <c r="G2574" s="1" t="s">
        <v>480</v>
      </c>
      <c r="H2574" s="1" t="n">
        <v>22.05</v>
      </c>
      <c r="I2574" s="1" t="str">
        <f aca="false">B2574&amp;"|"&amp;F2574&amp;"|"&amp;G2574</f>
        <v>Hog Sheds|S|Low Cost</v>
      </c>
      <c r="J2574" s="1" t="s">
        <v>1182</v>
      </c>
    </row>
    <row r="2575" customFormat="false" ht="12" hidden="false" customHeight="true" outlineLevel="0" collapsed="false">
      <c r="B2575" s="1" t="s">
        <v>1183</v>
      </c>
      <c r="C2575" s="1" t="s">
        <v>1184</v>
      </c>
      <c r="D2575" s="1" t="s">
        <v>513</v>
      </c>
      <c r="E2575" s="1" t="s">
        <v>1181</v>
      </c>
      <c r="F2575" s="1" t="s">
        <v>473</v>
      </c>
      <c r="G2575" s="1" t="s">
        <v>567</v>
      </c>
      <c r="H2575" s="1" t="n">
        <v>16.5</v>
      </c>
      <c r="I2575" s="1" t="str">
        <f aca="false">B2575&amp;"|"&amp;F2575&amp;"|"&amp;G2575</f>
        <v>Hog Sheds|S|Cheap</v>
      </c>
      <c r="J2575" s="1" t="s">
        <v>1182</v>
      </c>
    </row>
    <row r="2576" customFormat="false" ht="12" hidden="false" customHeight="true" outlineLevel="0" collapsed="false">
      <c r="B2576" s="1" t="s">
        <v>1183</v>
      </c>
      <c r="C2576" s="1" t="s">
        <v>1184</v>
      </c>
      <c r="D2576" s="1" t="s">
        <v>513</v>
      </c>
      <c r="E2576" s="1" t="s">
        <v>1181</v>
      </c>
      <c r="F2576" s="1" t="s">
        <v>988</v>
      </c>
      <c r="G2576" s="1" t="s">
        <v>480</v>
      </c>
      <c r="H2576" s="1" t="n">
        <v>20.6</v>
      </c>
      <c r="I2576" s="1" t="str">
        <f aca="false">B2576&amp;"|"&amp;F2576&amp;"|"&amp;G2576</f>
        <v>Hog Sheds|SSLANT|Low Cost</v>
      </c>
      <c r="J2576" s="1" t="s">
        <v>1182</v>
      </c>
    </row>
    <row r="2577" customFormat="false" ht="12" hidden="false" customHeight="true" outlineLevel="0" collapsed="false">
      <c r="B2577" s="1" t="s">
        <v>1183</v>
      </c>
      <c r="C2577" s="1" t="s">
        <v>1184</v>
      </c>
      <c r="D2577" s="1" t="s">
        <v>513</v>
      </c>
      <c r="E2577" s="1" t="s">
        <v>1181</v>
      </c>
      <c r="F2577" s="1" t="s">
        <v>988</v>
      </c>
      <c r="G2577" s="1" t="s">
        <v>567</v>
      </c>
      <c r="H2577" s="1" t="n">
        <v>15.4</v>
      </c>
      <c r="I2577" s="1" t="str">
        <f aca="false">B2577&amp;"|"&amp;F2577&amp;"|"&amp;G2577</f>
        <v>Hog Sheds|SSLANT|Cheap</v>
      </c>
      <c r="J2577" s="1" t="s">
        <v>1182</v>
      </c>
    </row>
    <row r="2578" customFormat="false" ht="12" hidden="false" customHeight="true" outlineLevel="0" collapsed="false">
      <c r="B2578" s="1" t="s">
        <v>1185</v>
      </c>
      <c r="C2578" s="1" t="s">
        <v>1186</v>
      </c>
      <c r="D2578" s="1" t="s">
        <v>513</v>
      </c>
      <c r="E2578" s="1" t="s">
        <v>1187</v>
      </c>
      <c r="F2578" s="1" t="s">
        <v>468</v>
      </c>
      <c r="G2578" s="1" t="s">
        <v>483</v>
      </c>
      <c r="H2578" s="1" t="n">
        <v>42.5</v>
      </c>
      <c r="I2578" s="1" t="str">
        <f aca="false">B2578&amp;"|"&amp;F2578&amp;"|"&amp;G2578</f>
        <v>Sheep Barns|D|Good</v>
      </c>
      <c r="J2578" s="1" t="s">
        <v>1188</v>
      </c>
    </row>
    <row r="2579" customFormat="false" ht="12" hidden="false" customHeight="true" outlineLevel="0" collapsed="false">
      <c r="B2579" s="1" t="s">
        <v>1185</v>
      </c>
      <c r="C2579" s="1" t="s">
        <v>1186</v>
      </c>
      <c r="D2579" s="1" t="s">
        <v>513</v>
      </c>
      <c r="E2579" s="1" t="s">
        <v>1187</v>
      </c>
      <c r="F2579" s="1" t="s">
        <v>468</v>
      </c>
      <c r="G2579" s="1" t="s">
        <v>279</v>
      </c>
      <c r="H2579" s="1" t="n">
        <v>33.25</v>
      </c>
      <c r="I2579" s="1" t="str">
        <f aca="false">B2579&amp;"|"&amp;F2579&amp;"|"&amp;G2579</f>
        <v>Sheep Barns|D|Average</v>
      </c>
      <c r="J2579" s="1" t="s">
        <v>1188</v>
      </c>
    </row>
    <row r="2580" customFormat="false" ht="12" hidden="false" customHeight="true" outlineLevel="0" collapsed="false">
      <c r="B2580" s="1" t="s">
        <v>1185</v>
      </c>
      <c r="C2580" s="1" t="s">
        <v>1186</v>
      </c>
      <c r="D2580" s="1" t="s">
        <v>513</v>
      </c>
      <c r="E2580" s="1" t="s">
        <v>1187</v>
      </c>
      <c r="F2580" s="1" t="s">
        <v>566</v>
      </c>
      <c r="G2580" s="1" t="s">
        <v>483</v>
      </c>
      <c r="H2580" s="1" t="n">
        <v>37</v>
      </c>
      <c r="I2580" s="1" t="str">
        <f aca="false">B2580&amp;"|"&amp;F2580&amp;"|"&amp;G2580</f>
        <v>Sheep Barns|DPOLE|Good</v>
      </c>
      <c r="J2580" s="1" t="s">
        <v>1188</v>
      </c>
    </row>
    <row r="2581" customFormat="false" ht="12" hidden="false" customHeight="true" outlineLevel="0" collapsed="false">
      <c r="B2581" s="1" t="s">
        <v>1185</v>
      </c>
      <c r="C2581" s="1" t="s">
        <v>1186</v>
      </c>
      <c r="D2581" s="1" t="s">
        <v>513</v>
      </c>
      <c r="E2581" s="1" t="s">
        <v>1187</v>
      </c>
      <c r="F2581" s="1" t="s">
        <v>566</v>
      </c>
      <c r="G2581" s="1" t="s">
        <v>279</v>
      </c>
      <c r="H2581" s="1" t="n">
        <v>29</v>
      </c>
      <c r="I2581" s="1" t="str">
        <f aca="false">B2581&amp;"|"&amp;F2581&amp;"|"&amp;G2581</f>
        <v>Sheep Barns|DPOLE|Average</v>
      </c>
      <c r="J2581" s="1" t="s">
        <v>1188</v>
      </c>
    </row>
    <row r="2582" customFormat="false" ht="12" hidden="false" customHeight="true" outlineLevel="0" collapsed="false">
      <c r="B2582" s="1" t="s">
        <v>1185</v>
      </c>
      <c r="C2582" s="1" t="s">
        <v>1186</v>
      </c>
      <c r="D2582" s="1" t="s">
        <v>513</v>
      </c>
      <c r="E2582" s="1" t="s">
        <v>1187</v>
      </c>
      <c r="F2582" s="1" t="s">
        <v>473</v>
      </c>
      <c r="G2582" s="1" t="s">
        <v>483</v>
      </c>
      <c r="H2582" s="1" t="n">
        <v>40.25</v>
      </c>
      <c r="I2582" s="1" t="str">
        <f aca="false">B2582&amp;"|"&amp;F2582&amp;"|"&amp;G2582</f>
        <v>Sheep Barns|S|Good</v>
      </c>
      <c r="J2582" s="1" t="s">
        <v>1188</v>
      </c>
    </row>
    <row r="2583" customFormat="false" ht="12" hidden="false" customHeight="true" outlineLevel="0" collapsed="false">
      <c r="B2583" s="1" t="s">
        <v>1185</v>
      </c>
      <c r="C2583" s="1" t="s">
        <v>1186</v>
      </c>
      <c r="D2583" s="1" t="s">
        <v>513</v>
      </c>
      <c r="E2583" s="1" t="s">
        <v>1187</v>
      </c>
      <c r="F2583" s="1" t="s">
        <v>473</v>
      </c>
      <c r="G2583" s="1" t="s">
        <v>279</v>
      </c>
      <c r="H2583" s="1" t="n">
        <v>32.5</v>
      </c>
      <c r="I2583" s="1" t="str">
        <f aca="false">B2583&amp;"|"&amp;F2583&amp;"|"&amp;G2583</f>
        <v>Sheep Barns|S|Average</v>
      </c>
      <c r="J2583" s="1" t="s">
        <v>1188</v>
      </c>
    </row>
    <row r="2584" customFormat="false" ht="12" hidden="false" customHeight="true" outlineLevel="0" collapsed="false">
      <c r="B2584" s="1" t="s">
        <v>1189</v>
      </c>
      <c r="C2584" s="1" t="s">
        <v>1190</v>
      </c>
      <c r="D2584" s="1" t="s">
        <v>513</v>
      </c>
      <c r="E2584" s="1" t="s">
        <v>1187</v>
      </c>
      <c r="F2584" s="1" t="s">
        <v>468</v>
      </c>
      <c r="G2584" s="1" t="s">
        <v>483</v>
      </c>
      <c r="H2584" s="1" t="n">
        <v>22.9</v>
      </c>
      <c r="I2584" s="1" t="str">
        <f aca="false">B2584&amp;"|"&amp;F2584&amp;"|"&amp;G2584</f>
        <v>Sheep Sheds|D|Good</v>
      </c>
      <c r="J2584" s="1" t="s">
        <v>1188</v>
      </c>
    </row>
    <row r="2585" customFormat="false" ht="12" hidden="false" customHeight="true" outlineLevel="0" collapsed="false">
      <c r="B2585" s="1" t="s">
        <v>1189</v>
      </c>
      <c r="C2585" s="1" t="s">
        <v>1190</v>
      </c>
      <c r="D2585" s="1" t="s">
        <v>513</v>
      </c>
      <c r="E2585" s="1" t="s">
        <v>1187</v>
      </c>
      <c r="F2585" s="1" t="s">
        <v>468</v>
      </c>
      <c r="G2585" s="1" t="s">
        <v>279</v>
      </c>
      <c r="H2585" s="1" t="n">
        <v>18.3</v>
      </c>
      <c r="I2585" s="1" t="str">
        <f aca="false">B2585&amp;"|"&amp;F2585&amp;"|"&amp;G2585</f>
        <v>Sheep Sheds|D|Average</v>
      </c>
      <c r="J2585" s="1" t="s">
        <v>1188</v>
      </c>
    </row>
    <row r="2586" customFormat="false" ht="12" hidden="false" customHeight="true" outlineLevel="0" collapsed="false">
      <c r="B2586" s="1" t="s">
        <v>1189</v>
      </c>
      <c r="C2586" s="1" t="s">
        <v>1190</v>
      </c>
      <c r="D2586" s="1" t="s">
        <v>513</v>
      </c>
      <c r="E2586" s="1" t="s">
        <v>1187</v>
      </c>
      <c r="F2586" s="1" t="s">
        <v>468</v>
      </c>
      <c r="G2586" s="1" t="s">
        <v>480</v>
      </c>
      <c r="H2586" s="1" t="n">
        <v>14.6</v>
      </c>
      <c r="I2586" s="1" t="str">
        <f aca="false">B2586&amp;"|"&amp;F2586&amp;"|"&amp;G2586</f>
        <v>Sheep Sheds|D|Low Cost</v>
      </c>
      <c r="J2586" s="1" t="s">
        <v>1188</v>
      </c>
    </row>
    <row r="2587" customFormat="false" ht="12" hidden="false" customHeight="true" outlineLevel="0" collapsed="false">
      <c r="B2587" s="1" t="s">
        <v>1189</v>
      </c>
      <c r="C2587" s="1" t="s">
        <v>1190</v>
      </c>
      <c r="D2587" s="1" t="s">
        <v>513</v>
      </c>
      <c r="E2587" s="1" t="s">
        <v>1187</v>
      </c>
      <c r="F2587" s="1" t="s">
        <v>468</v>
      </c>
      <c r="G2587" s="1" t="s">
        <v>567</v>
      </c>
      <c r="H2587" s="1" t="n">
        <v>13.1</v>
      </c>
      <c r="I2587" s="1" t="str">
        <f aca="false">B2587&amp;"|"&amp;F2587&amp;"|"&amp;G2587</f>
        <v>Sheep Sheds|D|Cheap</v>
      </c>
      <c r="J2587" s="1" t="s">
        <v>1188</v>
      </c>
    </row>
    <row r="2588" customFormat="false" ht="12" hidden="false" customHeight="true" outlineLevel="0" collapsed="false">
      <c r="B2588" s="1" t="s">
        <v>1189</v>
      </c>
      <c r="C2588" s="1" t="s">
        <v>1190</v>
      </c>
      <c r="D2588" s="1" t="s">
        <v>513</v>
      </c>
      <c r="E2588" s="1" t="s">
        <v>1187</v>
      </c>
      <c r="F2588" s="1" t="s">
        <v>566</v>
      </c>
      <c r="G2588" s="1" t="s">
        <v>483</v>
      </c>
      <c r="H2588" s="1" t="n">
        <v>20.85</v>
      </c>
      <c r="I2588" s="1" t="str">
        <f aca="false">B2588&amp;"|"&amp;F2588&amp;"|"&amp;G2588</f>
        <v>Sheep Sheds|DPOLE|Good</v>
      </c>
      <c r="J2588" s="1" t="s">
        <v>1188</v>
      </c>
    </row>
    <row r="2589" customFormat="false" ht="12" hidden="false" customHeight="true" outlineLevel="0" collapsed="false">
      <c r="B2589" s="1" t="s">
        <v>1189</v>
      </c>
      <c r="C2589" s="1" t="s">
        <v>1190</v>
      </c>
      <c r="D2589" s="1" t="s">
        <v>513</v>
      </c>
      <c r="E2589" s="1" t="s">
        <v>1187</v>
      </c>
      <c r="F2589" s="1" t="s">
        <v>566</v>
      </c>
      <c r="G2589" s="1" t="s">
        <v>279</v>
      </c>
      <c r="H2589" s="1" t="n">
        <v>16.35</v>
      </c>
      <c r="I2589" s="1" t="str">
        <f aca="false">B2589&amp;"|"&amp;F2589&amp;"|"&amp;G2589</f>
        <v>Sheep Sheds|DPOLE|Average</v>
      </c>
      <c r="J2589" s="1" t="s">
        <v>1188</v>
      </c>
    </row>
    <row r="2590" customFormat="false" ht="12" hidden="false" customHeight="true" outlineLevel="0" collapsed="false">
      <c r="B2590" s="1" t="s">
        <v>1189</v>
      </c>
      <c r="C2590" s="1" t="s">
        <v>1190</v>
      </c>
      <c r="D2590" s="1" t="s">
        <v>513</v>
      </c>
      <c r="E2590" s="1" t="s">
        <v>1187</v>
      </c>
      <c r="F2590" s="1" t="s">
        <v>566</v>
      </c>
      <c r="G2590" s="1" t="s">
        <v>480</v>
      </c>
      <c r="H2590" s="1" t="n">
        <v>12.85</v>
      </c>
      <c r="I2590" s="1" t="str">
        <f aca="false">B2590&amp;"|"&amp;F2590&amp;"|"&amp;G2590</f>
        <v>Sheep Sheds|DPOLE|Low Cost</v>
      </c>
      <c r="J2590" s="1" t="s">
        <v>1188</v>
      </c>
    </row>
    <row r="2591" customFormat="false" ht="12" hidden="false" customHeight="true" outlineLevel="0" collapsed="false">
      <c r="B2591" s="1" t="s">
        <v>1189</v>
      </c>
      <c r="C2591" s="1" t="s">
        <v>1190</v>
      </c>
      <c r="D2591" s="1" t="s">
        <v>513</v>
      </c>
      <c r="E2591" s="1" t="s">
        <v>1187</v>
      </c>
      <c r="F2591" s="1" t="s">
        <v>566</v>
      </c>
      <c r="G2591" s="1" t="s">
        <v>567</v>
      </c>
      <c r="H2591" s="1" t="n">
        <v>11.25</v>
      </c>
      <c r="I2591" s="1" t="str">
        <f aca="false">B2591&amp;"|"&amp;F2591&amp;"|"&amp;G2591</f>
        <v>Sheep Sheds|DPOLE|Cheap</v>
      </c>
      <c r="J2591" s="1" t="s">
        <v>1188</v>
      </c>
    </row>
    <row r="2592" customFormat="false" ht="12" hidden="false" customHeight="true" outlineLevel="0" collapsed="false">
      <c r="B2592" s="1" t="s">
        <v>1189</v>
      </c>
      <c r="C2592" s="1" t="s">
        <v>1190</v>
      </c>
      <c r="D2592" s="1" t="s">
        <v>513</v>
      </c>
      <c r="E2592" s="1" t="s">
        <v>1187</v>
      </c>
      <c r="F2592" s="1" t="s">
        <v>1090</v>
      </c>
      <c r="G2592" s="1" t="s">
        <v>483</v>
      </c>
      <c r="H2592" s="1" t="n">
        <v>13.35</v>
      </c>
      <c r="I2592" s="1" t="str">
        <f aca="false">B2592&amp;"|"&amp;F2592&amp;"|"&amp;G2592</f>
        <v>Sheep Sheds|DHOOP|Good</v>
      </c>
      <c r="J2592" s="1" t="s">
        <v>1188</v>
      </c>
    </row>
    <row r="2593" customFormat="false" ht="12" hidden="false" customHeight="true" outlineLevel="0" collapsed="false">
      <c r="B2593" s="1" t="s">
        <v>1189</v>
      </c>
      <c r="C2593" s="1" t="s">
        <v>1190</v>
      </c>
      <c r="D2593" s="1" t="s">
        <v>513</v>
      </c>
      <c r="E2593" s="1" t="s">
        <v>1187</v>
      </c>
      <c r="F2593" s="1" t="s">
        <v>1090</v>
      </c>
      <c r="G2593" s="1" t="s">
        <v>480</v>
      </c>
      <c r="H2593" s="1" t="n">
        <v>8.38</v>
      </c>
      <c r="I2593" s="1" t="str">
        <f aca="false">B2593&amp;"|"&amp;F2593&amp;"|"&amp;G2593</f>
        <v>Sheep Sheds|DHOOP|Low Cost</v>
      </c>
      <c r="J2593" s="1" t="s">
        <v>1188</v>
      </c>
    </row>
    <row r="2594" customFormat="false" ht="12" hidden="false" customHeight="true" outlineLevel="0" collapsed="false">
      <c r="B2594" s="1" t="s">
        <v>1189</v>
      </c>
      <c r="C2594" s="1" t="s">
        <v>1190</v>
      </c>
      <c r="D2594" s="1" t="s">
        <v>513</v>
      </c>
      <c r="E2594" s="1" t="s">
        <v>1187</v>
      </c>
      <c r="F2594" s="1" t="s">
        <v>473</v>
      </c>
      <c r="G2594" s="1" t="s">
        <v>483</v>
      </c>
      <c r="H2594" s="1" t="n">
        <v>23.05</v>
      </c>
      <c r="I2594" s="1" t="str">
        <f aca="false">B2594&amp;"|"&amp;F2594&amp;"|"&amp;G2594</f>
        <v>Sheep Sheds|S|Good</v>
      </c>
      <c r="J2594" s="1" t="s">
        <v>1188</v>
      </c>
    </row>
    <row r="2595" customFormat="false" ht="12" hidden="false" customHeight="true" outlineLevel="0" collapsed="false">
      <c r="B2595" s="1" t="s">
        <v>1189</v>
      </c>
      <c r="C2595" s="1" t="s">
        <v>1190</v>
      </c>
      <c r="D2595" s="1" t="s">
        <v>513</v>
      </c>
      <c r="E2595" s="1" t="s">
        <v>1187</v>
      </c>
      <c r="F2595" s="1" t="s">
        <v>473</v>
      </c>
      <c r="G2595" s="1" t="s">
        <v>279</v>
      </c>
      <c r="H2595" s="1" t="n">
        <v>18.55</v>
      </c>
      <c r="I2595" s="1" t="str">
        <f aca="false">B2595&amp;"|"&amp;F2595&amp;"|"&amp;G2595</f>
        <v>Sheep Sheds|S|Average</v>
      </c>
      <c r="J2595" s="1" t="s">
        <v>1188</v>
      </c>
    </row>
    <row r="2596" customFormat="false" ht="12" hidden="false" customHeight="true" outlineLevel="0" collapsed="false">
      <c r="B2596" s="1" t="s">
        <v>1189</v>
      </c>
      <c r="C2596" s="1" t="s">
        <v>1190</v>
      </c>
      <c r="D2596" s="1" t="s">
        <v>513</v>
      </c>
      <c r="E2596" s="1" t="s">
        <v>1187</v>
      </c>
      <c r="F2596" s="1" t="s">
        <v>473</v>
      </c>
      <c r="G2596" s="1" t="s">
        <v>480</v>
      </c>
      <c r="H2596" s="1" t="n">
        <v>14.95</v>
      </c>
      <c r="I2596" s="1" t="str">
        <f aca="false">B2596&amp;"|"&amp;F2596&amp;"|"&amp;G2596</f>
        <v>Sheep Sheds|S|Low Cost</v>
      </c>
      <c r="J2596" s="1" t="s">
        <v>1188</v>
      </c>
    </row>
    <row r="2597" customFormat="false" ht="12" hidden="false" customHeight="true" outlineLevel="0" collapsed="false">
      <c r="B2597" s="1" t="s">
        <v>1189</v>
      </c>
      <c r="C2597" s="1" t="s">
        <v>1190</v>
      </c>
      <c r="D2597" s="1" t="s">
        <v>513</v>
      </c>
      <c r="E2597" s="1" t="s">
        <v>1187</v>
      </c>
      <c r="F2597" s="1" t="s">
        <v>473</v>
      </c>
      <c r="G2597" s="1" t="s">
        <v>567</v>
      </c>
      <c r="H2597" s="1" t="n">
        <v>13.6</v>
      </c>
      <c r="I2597" s="1" t="str">
        <f aca="false">B2597&amp;"|"&amp;F2597&amp;"|"&amp;G2597</f>
        <v>Sheep Sheds|S|Cheap</v>
      </c>
      <c r="J2597" s="1" t="s">
        <v>1188</v>
      </c>
    </row>
    <row r="2598" customFormat="false" ht="12" hidden="false" customHeight="true" outlineLevel="0" collapsed="false">
      <c r="B2598" s="1" t="s">
        <v>1189</v>
      </c>
      <c r="C2598" s="1" t="s">
        <v>1190</v>
      </c>
      <c r="D2598" s="1" t="s">
        <v>513</v>
      </c>
      <c r="E2598" s="1" t="s">
        <v>1187</v>
      </c>
      <c r="F2598" s="1" t="s">
        <v>988</v>
      </c>
      <c r="G2598" s="1" t="s">
        <v>279</v>
      </c>
      <c r="H2598" s="1" t="n">
        <v>17.3</v>
      </c>
      <c r="I2598" s="1" t="str">
        <f aca="false">B2598&amp;"|"&amp;F2598&amp;"|"&amp;G2598</f>
        <v>Sheep Sheds|SSLANT|Average</v>
      </c>
      <c r="J2598" s="1" t="s">
        <v>1188</v>
      </c>
    </row>
    <row r="2599" customFormat="false" ht="12" hidden="false" customHeight="true" outlineLevel="0" collapsed="false">
      <c r="B2599" s="1" t="s">
        <v>1189</v>
      </c>
      <c r="C2599" s="1" t="s">
        <v>1190</v>
      </c>
      <c r="D2599" s="1" t="s">
        <v>513</v>
      </c>
      <c r="E2599" s="1" t="s">
        <v>1187</v>
      </c>
      <c r="F2599" s="1" t="s">
        <v>988</v>
      </c>
      <c r="G2599" s="1" t="s">
        <v>480</v>
      </c>
      <c r="H2599" s="1" t="n">
        <v>13.75</v>
      </c>
      <c r="I2599" s="1" t="str">
        <f aca="false">B2599&amp;"|"&amp;F2599&amp;"|"&amp;G2599</f>
        <v>Sheep Sheds|SSLANT|Low Cost</v>
      </c>
      <c r="J2599" s="1" t="s">
        <v>1188</v>
      </c>
    </row>
    <row r="2600" customFormat="false" ht="12" hidden="false" customHeight="true" outlineLevel="0" collapsed="false">
      <c r="B2600" s="1" t="s">
        <v>1191</v>
      </c>
      <c r="C2600" s="1" t="s">
        <v>1192</v>
      </c>
      <c r="D2600" s="1" t="s">
        <v>513</v>
      </c>
      <c r="E2600" s="1" t="s">
        <v>1193</v>
      </c>
      <c r="F2600" s="1" t="s">
        <v>463</v>
      </c>
      <c r="G2600" s="1" t="s">
        <v>483</v>
      </c>
      <c r="H2600" s="1" t="n">
        <v>31</v>
      </c>
      <c r="I2600" s="1" t="str">
        <f aca="false">B2600&amp;"|"&amp;F2600&amp;"|"&amp;G2600</f>
        <v>Poultry Floor Operation – Breeder Houses|C|Good</v>
      </c>
      <c r="J2600" s="1" t="s">
        <v>1194</v>
      </c>
    </row>
    <row r="2601" customFormat="false" ht="12" hidden="false" customHeight="true" outlineLevel="0" collapsed="false">
      <c r="B2601" s="1" t="s">
        <v>1191</v>
      </c>
      <c r="C2601" s="1" t="s">
        <v>1192</v>
      </c>
      <c r="D2601" s="1" t="s">
        <v>513</v>
      </c>
      <c r="E2601" s="1" t="s">
        <v>1193</v>
      </c>
      <c r="F2601" s="1" t="s">
        <v>463</v>
      </c>
      <c r="G2601" s="1" t="s">
        <v>279</v>
      </c>
      <c r="H2601" s="1" t="n">
        <v>24.05</v>
      </c>
      <c r="I2601" s="1" t="str">
        <f aca="false">B2601&amp;"|"&amp;F2601&amp;"|"&amp;G2601</f>
        <v>Poultry Floor Operation – Breeder Houses|C|Average</v>
      </c>
      <c r="J2601" s="1" t="s">
        <v>1194</v>
      </c>
    </row>
    <row r="2602" customFormat="false" ht="12" hidden="false" customHeight="true" outlineLevel="0" collapsed="false">
      <c r="B2602" s="1" t="s">
        <v>1191</v>
      </c>
      <c r="C2602" s="1" t="s">
        <v>1192</v>
      </c>
      <c r="D2602" s="1" t="s">
        <v>513</v>
      </c>
      <c r="E2602" s="1" t="s">
        <v>1193</v>
      </c>
      <c r="F2602" s="1" t="s">
        <v>468</v>
      </c>
      <c r="G2602" s="1" t="s">
        <v>483</v>
      </c>
      <c r="H2602" s="1" t="n">
        <v>26</v>
      </c>
      <c r="I2602" s="1" t="str">
        <f aca="false">B2602&amp;"|"&amp;F2602&amp;"|"&amp;G2602</f>
        <v>Poultry Floor Operation – Breeder Houses|D|Good</v>
      </c>
      <c r="J2602" s="1" t="s">
        <v>1194</v>
      </c>
    </row>
    <row r="2603" customFormat="false" ht="12" hidden="false" customHeight="true" outlineLevel="0" collapsed="false">
      <c r="B2603" s="1" t="s">
        <v>1191</v>
      </c>
      <c r="C2603" s="1" t="s">
        <v>1192</v>
      </c>
      <c r="D2603" s="1" t="s">
        <v>513</v>
      </c>
      <c r="E2603" s="1" t="s">
        <v>1193</v>
      </c>
      <c r="F2603" s="1" t="s">
        <v>468</v>
      </c>
      <c r="G2603" s="1" t="s">
        <v>279</v>
      </c>
      <c r="H2603" s="1" t="n">
        <v>19.65</v>
      </c>
      <c r="I2603" s="1" t="str">
        <f aca="false">B2603&amp;"|"&amp;F2603&amp;"|"&amp;G2603</f>
        <v>Poultry Floor Operation – Breeder Houses|D|Average</v>
      </c>
      <c r="J2603" s="1" t="s">
        <v>1194</v>
      </c>
    </row>
    <row r="2604" customFormat="false" ht="12" hidden="false" customHeight="true" outlineLevel="0" collapsed="false">
      <c r="B2604" s="1" t="s">
        <v>1191</v>
      </c>
      <c r="C2604" s="1" t="s">
        <v>1192</v>
      </c>
      <c r="D2604" s="1" t="s">
        <v>513</v>
      </c>
      <c r="E2604" s="1" t="s">
        <v>1193</v>
      </c>
      <c r="F2604" s="1" t="s">
        <v>566</v>
      </c>
      <c r="G2604" s="1" t="s">
        <v>483</v>
      </c>
      <c r="H2604" s="1" t="n">
        <v>20.95</v>
      </c>
      <c r="I2604" s="1" t="str">
        <f aca="false">B2604&amp;"|"&amp;F2604&amp;"|"&amp;G2604</f>
        <v>Poultry Floor Operation – Breeder Houses|DPOLE|Good</v>
      </c>
      <c r="J2604" s="1" t="s">
        <v>1194</v>
      </c>
    </row>
    <row r="2605" customFormat="false" ht="12" hidden="false" customHeight="true" outlineLevel="0" collapsed="false">
      <c r="B2605" s="1" t="s">
        <v>1191</v>
      </c>
      <c r="C2605" s="1" t="s">
        <v>1192</v>
      </c>
      <c r="D2605" s="1" t="s">
        <v>513</v>
      </c>
      <c r="E2605" s="1" t="s">
        <v>1193</v>
      </c>
      <c r="F2605" s="1" t="s">
        <v>566</v>
      </c>
      <c r="G2605" s="1" t="s">
        <v>279</v>
      </c>
      <c r="H2605" s="1" t="n">
        <v>17.8</v>
      </c>
      <c r="I2605" s="1" t="str">
        <f aca="false">B2605&amp;"|"&amp;F2605&amp;"|"&amp;G2605</f>
        <v>Poultry Floor Operation – Breeder Houses|DPOLE|Average</v>
      </c>
      <c r="J2605" s="1" t="s">
        <v>1194</v>
      </c>
    </row>
    <row r="2606" customFormat="false" ht="12" hidden="false" customHeight="true" outlineLevel="0" collapsed="false">
      <c r="B2606" s="1" t="s">
        <v>1191</v>
      </c>
      <c r="C2606" s="1" t="s">
        <v>1192</v>
      </c>
      <c r="D2606" s="1" t="s">
        <v>513</v>
      </c>
      <c r="E2606" s="1" t="s">
        <v>1193</v>
      </c>
      <c r="F2606" s="1" t="s">
        <v>566</v>
      </c>
      <c r="G2606" s="1" t="s">
        <v>555</v>
      </c>
      <c r="H2606" s="1" t="n">
        <v>16.4</v>
      </c>
      <c r="I2606" s="1" t="str">
        <f aca="false">B2606&amp;"|"&amp;F2606&amp;"|"&amp;G2606</f>
        <v>Poultry Floor Operation – Breeder Houses|DPOLE|Fair</v>
      </c>
      <c r="J2606" s="1" t="s">
        <v>1194</v>
      </c>
    </row>
    <row r="2607" customFormat="false" ht="12" hidden="false" customHeight="true" outlineLevel="0" collapsed="false">
      <c r="B2607" s="1" t="s">
        <v>1191</v>
      </c>
      <c r="C2607" s="1" t="s">
        <v>1192</v>
      </c>
      <c r="D2607" s="1" t="s">
        <v>513</v>
      </c>
      <c r="E2607" s="1" t="s">
        <v>1193</v>
      </c>
      <c r="F2607" s="1" t="s">
        <v>566</v>
      </c>
      <c r="G2607" s="1" t="s">
        <v>480</v>
      </c>
      <c r="H2607" s="1" t="n">
        <v>15.15</v>
      </c>
      <c r="I2607" s="1" t="str">
        <f aca="false">B2607&amp;"|"&amp;F2607&amp;"|"&amp;G2607</f>
        <v>Poultry Floor Operation – Breeder Houses|DPOLE|Low Cost</v>
      </c>
      <c r="J2607" s="1" t="s">
        <v>1194</v>
      </c>
    </row>
    <row r="2608" customFormat="false" ht="12" hidden="false" customHeight="true" outlineLevel="0" collapsed="false">
      <c r="B2608" s="1" t="s">
        <v>1191</v>
      </c>
      <c r="C2608" s="1" t="s">
        <v>1192</v>
      </c>
      <c r="D2608" s="1" t="s">
        <v>513</v>
      </c>
      <c r="E2608" s="1" t="s">
        <v>1193</v>
      </c>
      <c r="F2608" s="1" t="s">
        <v>566</v>
      </c>
      <c r="G2608" s="1" t="s">
        <v>567</v>
      </c>
      <c r="H2608" s="1" t="n">
        <v>10.1</v>
      </c>
      <c r="I2608" s="1" t="str">
        <f aca="false">B2608&amp;"|"&amp;F2608&amp;"|"&amp;G2608</f>
        <v>Poultry Floor Operation – Breeder Houses|DPOLE|Cheap</v>
      </c>
      <c r="J2608" s="1" t="s">
        <v>1194</v>
      </c>
    </row>
    <row r="2609" customFormat="false" ht="12" hidden="false" customHeight="true" outlineLevel="0" collapsed="false">
      <c r="B2609" s="1" t="s">
        <v>1191</v>
      </c>
      <c r="C2609" s="1" t="s">
        <v>1192</v>
      </c>
      <c r="D2609" s="1" t="s">
        <v>513</v>
      </c>
      <c r="E2609" s="1" t="s">
        <v>1193</v>
      </c>
      <c r="F2609" s="1" t="s">
        <v>473</v>
      </c>
      <c r="G2609" s="1" t="s">
        <v>483</v>
      </c>
      <c r="H2609" s="1" t="n">
        <v>22.6</v>
      </c>
      <c r="I2609" s="1" t="str">
        <f aca="false">B2609&amp;"|"&amp;F2609&amp;"|"&amp;G2609</f>
        <v>Poultry Floor Operation – Breeder Houses|S|Good</v>
      </c>
      <c r="J2609" s="1" t="s">
        <v>1194</v>
      </c>
    </row>
    <row r="2610" customFormat="false" ht="12" hidden="false" customHeight="true" outlineLevel="0" collapsed="false">
      <c r="B2610" s="1" t="s">
        <v>1191</v>
      </c>
      <c r="C2610" s="1" t="s">
        <v>1192</v>
      </c>
      <c r="D2610" s="1" t="s">
        <v>513</v>
      </c>
      <c r="E2610" s="1" t="s">
        <v>1193</v>
      </c>
      <c r="F2610" s="1" t="s">
        <v>473</v>
      </c>
      <c r="G2610" s="1" t="s">
        <v>279</v>
      </c>
      <c r="H2610" s="1" t="n">
        <v>19.55</v>
      </c>
      <c r="I2610" s="1" t="str">
        <f aca="false">B2610&amp;"|"&amp;F2610&amp;"|"&amp;G2610</f>
        <v>Poultry Floor Operation – Breeder Houses|S|Average</v>
      </c>
      <c r="J2610" s="1" t="s">
        <v>1194</v>
      </c>
    </row>
    <row r="2611" customFormat="false" ht="12" hidden="false" customHeight="true" outlineLevel="0" collapsed="false">
      <c r="B2611" s="1" t="s">
        <v>1191</v>
      </c>
      <c r="C2611" s="1" t="s">
        <v>1192</v>
      </c>
      <c r="D2611" s="1" t="s">
        <v>513</v>
      </c>
      <c r="E2611" s="1" t="s">
        <v>1193</v>
      </c>
      <c r="F2611" s="1" t="s">
        <v>473</v>
      </c>
      <c r="G2611" s="1" t="s">
        <v>555</v>
      </c>
      <c r="H2611" s="1" t="n">
        <v>18.25</v>
      </c>
      <c r="I2611" s="1" t="str">
        <f aca="false">B2611&amp;"|"&amp;F2611&amp;"|"&amp;G2611</f>
        <v>Poultry Floor Operation – Breeder Houses|S|Fair</v>
      </c>
      <c r="J2611" s="1" t="s">
        <v>1194</v>
      </c>
    </row>
    <row r="2612" customFormat="false" ht="12" hidden="false" customHeight="true" outlineLevel="0" collapsed="false">
      <c r="B2612" s="1" t="s">
        <v>1191</v>
      </c>
      <c r="C2612" s="1" t="s">
        <v>1192</v>
      </c>
      <c r="D2612" s="1" t="s">
        <v>513</v>
      </c>
      <c r="E2612" s="1" t="s">
        <v>1193</v>
      </c>
      <c r="F2612" s="1" t="s">
        <v>473</v>
      </c>
      <c r="G2612" s="1" t="s">
        <v>480</v>
      </c>
      <c r="H2612" s="1" t="n">
        <v>16.95</v>
      </c>
      <c r="I2612" s="1" t="str">
        <f aca="false">B2612&amp;"|"&amp;F2612&amp;"|"&amp;G2612</f>
        <v>Poultry Floor Operation – Breeder Houses|S|Low Cost</v>
      </c>
      <c r="J2612" s="1" t="s">
        <v>1194</v>
      </c>
    </row>
    <row r="2613" customFormat="false" ht="12" hidden="false" customHeight="true" outlineLevel="0" collapsed="false">
      <c r="B2613" s="1" t="s">
        <v>1191</v>
      </c>
      <c r="C2613" s="1" t="s">
        <v>1192</v>
      </c>
      <c r="D2613" s="1" t="s">
        <v>513</v>
      </c>
      <c r="E2613" s="1" t="s">
        <v>1193</v>
      </c>
      <c r="F2613" s="1" t="s">
        <v>473</v>
      </c>
      <c r="G2613" s="1" t="s">
        <v>567</v>
      </c>
      <c r="H2613" s="1" t="n">
        <v>10.8</v>
      </c>
      <c r="I2613" s="1" t="str">
        <f aca="false">B2613&amp;"|"&amp;F2613&amp;"|"&amp;G2613</f>
        <v>Poultry Floor Operation – Breeder Houses|S|Cheap</v>
      </c>
      <c r="J2613" s="1" t="s">
        <v>1194</v>
      </c>
    </row>
    <row r="2614" customFormat="false" ht="12" hidden="false" customHeight="true" outlineLevel="0" collapsed="false">
      <c r="B2614" s="1" t="s">
        <v>1195</v>
      </c>
      <c r="C2614" s="1" t="s">
        <v>1196</v>
      </c>
      <c r="D2614" s="1" t="s">
        <v>513</v>
      </c>
      <c r="E2614" s="1" t="s">
        <v>1193</v>
      </c>
      <c r="F2614" s="1" t="s">
        <v>566</v>
      </c>
      <c r="G2614" s="1" t="s">
        <v>483</v>
      </c>
      <c r="H2614" s="1" t="n">
        <v>19.25</v>
      </c>
      <c r="I2614" s="1" t="str">
        <f aca="false">B2614&amp;"|"&amp;F2614&amp;"|"&amp;G2614</f>
        <v>Poultry Floor Operation – Broiler Houses|DPOLE|Good</v>
      </c>
      <c r="J2614" s="1" t="s">
        <v>1194</v>
      </c>
    </row>
    <row r="2615" customFormat="false" ht="12" hidden="false" customHeight="true" outlineLevel="0" collapsed="false">
      <c r="B2615" s="1" t="s">
        <v>1195</v>
      </c>
      <c r="C2615" s="1" t="s">
        <v>1196</v>
      </c>
      <c r="D2615" s="1" t="s">
        <v>513</v>
      </c>
      <c r="E2615" s="1" t="s">
        <v>1193</v>
      </c>
      <c r="F2615" s="1" t="s">
        <v>566</v>
      </c>
      <c r="G2615" s="1" t="s">
        <v>279</v>
      </c>
      <c r="H2615" s="1" t="n">
        <v>16.1</v>
      </c>
      <c r="I2615" s="1" t="str">
        <f aca="false">B2615&amp;"|"&amp;F2615&amp;"|"&amp;G2615</f>
        <v>Poultry Floor Operation – Broiler Houses|DPOLE|Average</v>
      </c>
      <c r="J2615" s="1" t="s">
        <v>1194</v>
      </c>
    </row>
    <row r="2616" customFormat="false" ht="12" hidden="false" customHeight="true" outlineLevel="0" collapsed="false">
      <c r="B2616" s="1" t="s">
        <v>1195</v>
      </c>
      <c r="C2616" s="1" t="s">
        <v>1196</v>
      </c>
      <c r="D2616" s="1" t="s">
        <v>513</v>
      </c>
      <c r="E2616" s="1" t="s">
        <v>1193</v>
      </c>
      <c r="F2616" s="1" t="s">
        <v>566</v>
      </c>
      <c r="G2616" s="1" t="s">
        <v>555</v>
      </c>
      <c r="H2616" s="1" t="n">
        <v>14.7</v>
      </c>
      <c r="I2616" s="1" t="str">
        <f aca="false">B2616&amp;"|"&amp;F2616&amp;"|"&amp;G2616</f>
        <v>Poultry Floor Operation – Broiler Houses|DPOLE|Fair</v>
      </c>
      <c r="J2616" s="1" t="s">
        <v>1194</v>
      </c>
    </row>
    <row r="2617" customFormat="false" ht="12" hidden="false" customHeight="true" outlineLevel="0" collapsed="false">
      <c r="B2617" s="1" t="s">
        <v>1195</v>
      </c>
      <c r="C2617" s="1" t="s">
        <v>1196</v>
      </c>
      <c r="D2617" s="1" t="s">
        <v>513</v>
      </c>
      <c r="E2617" s="1" t="s">
        <v>1193</v>
      </c>
      <c r="F2617" s="1" t="s">
        <v>566</v>
      </c>
      <c r="G2617" s="1" t="s">
        <v>480</v>
      </c>
      <c r="H2617" s="1" t="n">
        <v>13.45</v>
      </c>
      <c r="I2617" s="1" t="str">
        <f aca="false">B2617&amp;"|"&amp;F2617&amp;"|"&amp;G2617</f>
        <v>Poultry Floor Operation – Broiler Houses|DPOLE|Low Cost</v>
      </c>
      <c r="J2617" s="1" t="s">
        <v>1194</v>
      </c>
    </row>
    <row r="2618" customFormat="false" ht="12" hidden="false" customHeight="true" outlineLevel="0" collapsed="false">
      <c r="B2618" s="1" t="s">
        <v>1195</v>
      </c>
      <c r="C2618" s="1" t="s">
        <v>1196</v>
      </c>
      <c r="D2618" s="1" t="s">
        <v>513</v>
      </c>
      <c r="E2618" s="1" t="s">
        <v>1193</v>
      </c>
      <c r="F2618" s="1" t="s">
        <v>566</v>
      </c>
      <c r="G2618" s="1" t="s">
        <v>567</v>
      </c>
      <c r="H2618" s="1" t="n">
        <v>8.47</v>
      </c>
      <c r="I2618" s="1" t="str">
        <f aca="false">B2618&amp;"|"&amp;F2618&amp;"|"&amp;G2618</f>
        <v>Poultry Floor Operation – Broiler Houses|DPOLE|Cheap</v>
      </c>
      <c r="J2618" s="1" t="s">
        <v>1194</v>
      </c>
    </row>
    <row r="2619" customFormat="false" ht="12" hidden="false" customHeight="true" outlineLevel="0" collapsed="false">
      <c r="B2619" s="1" t="s">
        <v>1195</v>
      </c>
      <c r="C2619" s="1" t="s">
        <v>1196</v>
      </c>
      <c r="D2619" s="1" t="s">
        <v>513</v>
      </c>
      <c r="E2619" s="1" t="s">
        <v>1193</v>
      </c>
      <c r="F2619" s="1" t="s">
        <v>473</v>
      </c>
      <c r="G2619" s="1" t="s">
        <v>483</v>
      </c>
      <c r="H2619" s="1" t="n">
        <v>20.9</v>
      </c>
      <c r="I2619" s="1" t="str">
        <f aca="false">B2619&amp;"|"&amp;F2619&amp;"|"&amp;G2619</f>
        <v>Poultry Floor Operation – Broiler Houses|S|Good</v>
      </c>
      <c r="J2619" s="1" t="s">
        <v>1194</v>
      </c>
    </row>
    <row r="2620" customFormat="false" ht="12" hidden="false" customHeight="true" outlineLevel="0" collapsed="false">
      <c r="B2620" s="1" t="s">
        <v>1195</v>
      </c>
      <c r="C2620" s="1" t="s">
        <v>1196</v>
      </c>
      <c r="D2620" s="1" t="s">
        <v>513</v>
      </c>
      <c r="E2620" s="1" t="s">
        <v>1193</v>
      </c>
      <c r="F2620" s="1" t="s">
        <v>473</v>
      </c>
      <c r="G2620" s="1" t="s">
        <v>279</v>
      </c>
      <c r="H2620" s="1" t="n">
        <v>17.8</v>
      </c>
      <c r="I2620" s="1" t="str">
        <f aca="false">B2620&amp;"|"&amp;F2620&amp;"|"&amp;G2620</f>
        <v>Poultry Floor Operation – Broiler Houses|S|Average</v>
      </c>
      <c r="J2620" s="1" t="s">
        <v>1194</v>
      </c>
    </row>
    <row r="2621" customFormat="false" ht="12" hidden="false" customHeight="true" outlineLevel="0" collapsed="false">
      <c r="B2621" s="1" t="s">
        <v>1195</v>
      </c>
      <c r="C2621" s="1" t="s">
        <v>1196</v>
      </c>
      <c r="D2621" s="1" t="s">
        <v>513</v>
      </c>
      <c r="E2621" s="1" t="s">
        <v>1193</v>
      </c>
      <c r="F2621" s="1" t="s">
        <v>473</v>
      </c>
      <c r="G2621" s="1" t="s">
        <v>555</v>
      </c>
      <c r="H2621" s="1" t="n">
        <v>16.5</v>
      </c>
      <c r="I2621" s="1" t="str">
        <f aca="false">B2621&amp;"|"&amp;F2621&amp;"|"&amp;G2621</f>
        <v>Poultry Floor Operation – Broiler Houses|S|Fair</v>
      </c>
      <c r="J2621" s="1" t="s">
        <v>1194</v>
      </c>
    </row>
    <row r="2622" customFormat="false" ht="12" hidden="false" customHeight="true" outlineLevel="0" collapsed="false">
      <c r="B2622" s="1" t="s">
        <v>1195</v>
      </c>
      <c r="C2622" s="1" t="s">
        <v>1196</v>
      </c>
      <c r="D2622" s="1" t="s">
        <v>513</v>
      </c>
      <c r="E2622" s="1" t="s">
        <v>1193</v>
      </c>
      <c r="F2622" s="1" t="s">
        <v>473</v>
      </c>
      <c r="G2622" s="1" t="s">
        <v>480</v>
      </c>
      <c r="H2622" s="1" t="n">
        <v>15.2</v>
      </c>
      <c r="I2622" s="1" t="str">
        <f aca="false">B2622&amp;"|"&amp;F2622&amp;"|"&amp;G2622</f>
        <v>Poultry Floor Operation – Broiler Houses|S|Low Cost</v>
      </c>
      <c r="J2622" s="1" t="s">
        <v>1194</v>
      </c>
    </row>
    <row r="2623" customFormat="false" ht="12" hidden="false" customHeight="true" outlineLevel="0" collapsed="false">
      <c r="B2623" s="1" t="s">
        <v>1197</v>
      </c>
      <c r="C2623" s="1" t="s">
        <v>1198</v>
      </c>
      <c r="D2623" s="1" t="s">
        <v>513</v>
      </c>
      <c r="E2623" s="1" t="s">
        <v>1199</v>
      </c>
      <c r="F2623" s="1" t="s">
        <v>463</v>
      </c>
      <c r="G2623" s="1" t="s">
        <v>483</v>
      </c>
      <c r="H2623" s="1" t="n">
        <v>50.5</v>
      </c>
      <c r="I2623" s="1" t="str">
        <f aca="false">B2623&amp;"|"&amp;F2623&amp;"|"&amp;G2623</f>
        <v>Poultry Cage Operation – Enclosed Houses|C|Good</v>
      </c>
      <c r="J2623" s="1" t="s">
        <v>1200</v>
      </c>
    </row>
    <row r="2624" customFormat="false" ht="12" hidden="false" customHeight="true" outlineLevel="0" collapsed="false">
      <c r="B2624" s="1" t="s">
        <v>1197</v>
      </c>
      <c r="C2624" s="1" t="s">
        <v>1198</v>
      </c>
      <c r="D2624" s="1" t="s">
        <v>513</v>
      </c>
      <c r="E2624" s="1" t="s">
        <v>1199</v>
      </c>
      <c r="F2624" s="1" t="s">
        <v>463</v>
      </c>
      <c r="G2624" s="1" t="s">
        <v>279</v>
      </c>
      <c r="H2624" s="1" t="n">
        <v>36.5</v>
      </c>
      <c r="I2624" s="1" t="str">
        <f aca="false">B2624&amp;"|"&amp;F2624&amp;"|"&amp;G2624</f>
        <v>Poultry Cage Operation – Enclosed Houses|C|Average</v>
      </c>
      <c r="J2624" s="1" t="s">
        <v>1200</v>
      </c>
    </row>
    <row r="2625" customFormat="false" ht="12" hidden="false" customHeight="true" outlineLevel="0" collapsed="false">
      <c r="B2625" s="1" t="s">
        <v>1197</v>
      </c>
      <c r="C2625" s="1" t="s">
        <v>1198</v>
      </c>
      <c r="D2625" s="1" t="s">
        <v>513</v>
      </c>
      <c r="E2625" s="1" t="s">
        <v>1199</v>
      </c>
      <c r="F2625" s="1" t="s">
        <v>463</v>
      </c>
      <c r="G2625" s="1" t="s">
        <v>480</v>
      </c>
      <c r="H2625" s="1" t="n">
        <v>26.5</v>
      </c>
      <c r="I2625" s="1" t="str">
        <f aca="false">B2625&amp;"|"&amp;F2625&amp;"|"&amp;G2625</f>
        <v>Poultry Cage Operation – Enclosed Houses|C|Low Cost</v>
      </c>
      <c r="J2625" s="1" t="s">
        <v>1200</v>
      </c>
    </row>
    <row r="2626" customFormat="false" ht="12" hidden="false" customHeight="true" outlineLevel="0" collapsed="false">
      <c r="B2626" s="1" t="s">
        <v>1197</v>
      </c>
      <c r="C2626" s="1" t="s">
        <v>1198</v>
      </c>
      <c r="D2626" s="1" t="s">
        <v>513</v>
      </c>
      <c r="E2626" s="1" t="s">
        <v>1199</v>
      </c>
      <c r="F2626" s="1" t="s">
        <v>468</v>
      </c>
      <c r="G2626" s="1" t="s">
        <v>483</v>
      </c>
      <c r="H2626" s="1" t="n">
        <v>44</v>
      </c>
      <c r="I2626" s="1" t="str">
        <f aca="false">B2626&amp;"|"&amp;F2626&amp;"|"&amp;G2626</f>
        <v>Poultry Cage Operation – Enclosed Houses|D|Good</v>
      </c>
      <c r="J2626" s="1" t="s">
        <v>1200</v>
      </c>
    </row>
    <row r="2627" customFormat="false" ht="12" hidden="false" customHeight="true" outlineLevel="0" collapsed="false">
      <c r="B2627" s="1" t="s">
        <v>1197</v>
      </c>
      <c r="C2627" s="1" t="s">
        <v>1198</v>
      </c>
      <c r="D2627" s="1" t="s">
        <v>513</v>
      </c>
      <c r="E2627" s="1" t="s">
        <v>1199</v>
      </c>
      <c r="F2627" s="1" t="s">
        <v>468</v>
      </c>
      <c r="G2627" s="1" t="s">
        <v>279</v>
      </c>
      <c r="H2627" s="1" t="n">
        <v>30.75</v>
      </c>
      <c r="I2627" s="1" t="str">
        <f aca="false">B2627&amp;"|"&amp;F2627&amp;"|"&amp;G2627</f>
        <v>Poultry Cage Operation – Enclosed Houses|D|Average</v>
      </c>
      <c r="J2627" s="1" t="s">
        <v>1200</v>
      </c>
    </row>
    <row r="2628" customFormat="false" ht="12" hidden="false" customHeight="true" outlineLevel="0" collapsed="false">
      <c r="B2628" s="1" t="s">
        <v>1197</v>
      </c>
      <c r="C2628" s="1" t="s">
        <v>1198</v>
      </c>
      <c r="D2628" s="1" t="s">
        <v>513</v>
      </c>
      <c r="E2628" s="1" t="s">
        <v>1199</v>
      </c>
      <c r="F2628" s="1" t="s">
        <v>468</v>
      </c>
      <c r="G2628" s="1" t="s">
        <v>480</v>
      </c>
      <c r="H2628" s="1" t="n">
        <v>21.6</v>
      </c>
      <c r="I2628" s="1" t="str">
        <f aca="false">B2628&amp;"|"&amp;F2628&amp;"|"&amp;G2628</f>
        <v>Poultry Cage Operation – Enclosed Houses|D|Low Cost</v>
      </c>
      <c r="J2628" s="1" t="s">
        <v>1200</v>
      </c>
    </row>
    <row r="2629" customFormat="false" ht="12" hidden="false" customHeight="true" outlineLevel="0" collapsed="false">
      <c r="B2629" s="1" t="s">
        <v>1197</v>
      </c>
      <c r="C2629" s="1" t="s">
        <v>1198</v>
      </c>
      <c r="D2629" s="1" t="s">
        <v>513</v>
      </c>
      <c r="E2629" s="1" t="s">
        <v>1199</v>
      </c>
      <c r="F2629" s="1" t="s">
        <v>566</v>
      </c>
      <c r="G2629" s="1" t="s">
        <v>483</v>
      </c>
      <c r="H2629" s="1" t="n">
        <v>40.75</v>
      </c>
      <c r="I2629" s="1" t="str">
        <f aca="false">B2629&amp;"|"&amp;F2629&amp;"|"&amp;G2629</f>
        <v>Poultry Cage Operation – Enclosed Houses|DPOLE|Good</v>
      </c>
      <c r="J2629" s="1" t="s">
        <v>1200</v>
      </c>
    </row>
    <row r="2630" customFormat="false" ht="12" hidden="false" customHeight="true" outlineLevel="0" collapsed="false">
      <c r="B2630" s="1" t="s">
        <v>1197</v>
      </c>
      <c r="C2630" s="1" t="s">
        <v>1198</v>
      </c>
      <c r="D2630" s="1" t="s">
        <v>513</v>
      </c>
      <c r="E2630" s="1" t="s">
        <v>1199</v>
      </c>
      <c r="F2630" s="1" t="s">
        <v>566</v>
      </c>
      <c r="G2630" s="1" t="s">
        <v>279</v>
      </c>
      <c r="H2630" s="1" t="n">
        <v>28.25</v>
      </c>
      <c r="I2630" s="1" t="str">
        <f aca="false">B2630&amp;"|"&amp;F2630&amp;"|"&amp;G2630</f>
        <v>Poultry Cage Operation – Enclosed Houses|DPOLE|Average</v>
      </c>
      <c r="J2630" s="1" t="s">
        <v>1200</v>
      </c>
    </row>
    <row r="2631" customFormat="false" ht="12" hidden="false" customHeight="true" outlineLevel="0" collapsed="false">
      <c r="B2631" s="1" t="s">
        <v>1197</v>
      </c>
      <c r="C2631" s="1" t="s">
        <v>1198</v>
      </c>
      <c r="D2631" s="1" t="s">
        <v>513</v>
      </c>
      <c r="E2631" s="1" t="s">
        <v>1199</v>
      </c>
      <c r="F2631" s="1" t="s">
        <v>566</v>
      </c>
      <c r="G2631" s="1" t="s">
        <v>480</v>
      </c>
      <c r="H2631" s="1" t="n">
        <v>19.45</v>
      </c>
      <c r="I2631" s="1" t="str">
        <f aca="false">B2631&amp;"|"&amp;F2631&amp;"|"&amp;G2631</f>
        <v>Poultry Cage Operation – Enclosed Houses|DPOLE|Low Cost</v>
      </c>
      <c r="J2631" s="1" t="s">
        <v>1200</v>
      </c>
    </row>
    <row r="2632" customFormat="false" ht="12" hidden="false" customHeight="true" outlineLevel="0" collapsed="false">
      <c r="B2632" s="1" t="s">
        <v>1197</v>
      </c>
      <c r="C2632" s="1" t="s">
        <v>1198</v>
      </c>
      <c r="D2632" s="1" t="s">
        <v>513</v>
      </c>
      <c r="E2632" s="1" t="s">
        <v>1199</v>
      </c>
      <c r="F2632" s="1" t="s">
        <v>566</v>
      </c>
      <c r="G2632" s="1" t="s">
        <v>567</v>
      </c>
      <c r="H2632" s="1" t="n">
        <v>15.95</v>
      </c>
      <c r="I2632" s="1" t="str">
        <f aca="false">B2632&amp;"|"&amp;F2632&amp;"|"&amp;G2632</f>
        <v>Poultry Cage Operation – Enclosed Houses|DPOLE|Cheap</v>
      </c>
      <c r="J2632" s="1" t="s">
        <v>1200</v>
      </c>
    </row>
    <row r="2633" customFormat="false" ht="12" hidden="false" customHeight="true" outlineLevel="0" collapsed="false">
      <c r="B2633" s="1" t="s">
        <v>1197</v>
      </c>
      <c r="C2633" s="1" t="s">
        <v>1198</v>
      </c>
      <c r="D2633" s="1" t="s">
        <v>513</v>
      </c>
      <c r="E2633" s="1" t="s">
        <v>1199</v>
      </c>
      <c r="F2633" s="1" t="s">
        <v>473</v>
      </c>
      <c r="G2633" s="1" t="s">
        <v>483</v>
      </c>
      <c r="H2633" s="1" t="n">
        <v>43.5</v>
      </c>
      <c r="I2633" s="1" t="str">
        <f aca="false">B2633&amp;"|"&amp;F2633&amp;"|"&amp;G2633</f>
        <v>Poultry Cage Operation – Enclosed Houses|S|Good</v>
      </c>
      <c r="J2633" s="1" t="s">
        <v>1200</v>
      </c>
    </row>
    <row r="2634" customFormat="false" ht="12" hidden="false" customHeight="true" outlineLevel="0" collapsed="false">
      <c r="B2634" s="1" t="s">
        <v>1197</v>
      </c>
      <c r="C2634" s="1" t="s">
        <v>1198</v>
      </c>
      <c r="D2634" s="1" t="s">
        <v>513</v>
      </c>
      <c r="E2634" s="1" t="s">
        <v>1199</v>
      </c>
      <c r="F2634" s="1" t="s">
        <v>473</v>
      </c>
      <c r="G2634" s="1" t="s">
        <v>279</v>
      </c>
      <c r="H2634" s="1" t="n">
        <v>30.5</v>
      </c>
      <c r="I2634" s="1" t="str">
        <f aca="false">B2634&amp;"|"&amp;F2634&amp;"|"&amp;G2634</f>
        <v>Poultry Cage Operation – Enclosed Houses|S|Average</v>
      </c>
      <c r="J2634" s="1" t="s">
        <v>1200</v>
      </c>
    </row>
    <row r="2635" customFormat="false" ht="12" hidden="false" customHeight="true" outlineLevel="0" collapsed="false">
      <c r="B2635" s="1" t="s">
        <v>1197</v>
      </c>
      <c r="C2635" s="1" t="s">
        <v>1198</v>
      </c>
      <c r="D2635" s="1" t="s">
        <v>513</v>
      </c>
      <c r="E2635" s="1" t="s">
        <v>1199</v>
      </c>
      <c r="F2635" s="1" t="s">
        <v>473</v>
      </c>
      <c r="G2635" s="1" t="s">
        <v>480</v>
      </c>
      <c r="H2635" s="1" t="n">
        <v>21.3</v>
      </c>
      <c r="I2635" s="1" t="str">
        <f aca="false">B2635&amp;"|"&amp;F2635&amp;"|"&amp;G2635</f>
        <v>Poultry Cage Operation – Enclosed Houses|S|Low Cost</v>
      </c>
      <c r="J2635" s="1" t="s">
        <v>1200</v>
      </c>
    </row>
    <row r="2636" customFormat="false" ht="12" hidden="false" customHeight="true" outlineLevel="0" collapsed="false">
      <c r="B2636" s="1" t="s">
        <v>1197</v>
      </c>
      <c r="C2636" s="1" t="s">
        <v>1198</v>
      </c>
      <c r="D2636" s="1" t="s">
        <v>513</v>
      </c>
      <c r="E2636" s="1" t="s">
        <v>1199</v>
      </c>
      <c r="F2636" s="1" t="s">
        <v>473</v>
      </c>
      <c r="G2636" s="1" t="s">
        <v>567</v>
      </c>
      <c r="H2636" s="1" t="n">
        <v>17.8</v>
      </c>
      <c r="I2636" s="1" t="str">
        <f aca="false">B2636&amp;"|"&amp;F2636&amp;"|"&amp;G2636</f>
        <v>Poultry Cage Operation – Enclosed Houses|S|Cheap</v>
      </c>
      <c r="J2636" s="1" t="s">
        <v>1200</v>
      </c>
    </row>
    <row r="2637" customFormat="false" ht="12" hidden="false" customHeight="true" outlineLevel="0" collapsed="false">
      <c r="B2637" s="1" t="s">
        <v>1201</v>
      </c>
      <c r="C2637" s="1" t="s">
        <v>1202</v>
      </c>
      <c r="D2637" s="1" t="s">
        <v>513</v>
      </c>
      <c r="E2637" s="1" t="s">
        <v>1199</v>
      </c>
      <c r="F2637" s="1" t="s">
        <v>566</v>
      </c>
      <c r="G2637" s="1" t="s">
        <v>279</v>
      </c>
      <c r="H2637" s="1" t="n">
        <v>20.05</v>
      </c>
      <c r="I2637" s="1" t="str">
        <f aca="false">B2637&amp;"|"&amp;F2637&amp;"|"&amp;G2637</f>
        <v>Poultry Cage Operation – Screened Houses|DPOLE|Average</v>
      </c>
      <c r="J2637" s="1" t="s">
        <v>1200</v>
      </c>
    </row>
    <row r="2638" customFormat="false" ht="12" hidden="false" customHeight="true" outlineLevel="0" collapsed="false">
      <c r="B2638" s="1" t="s">
        <v>1201</v>
      </c>
      <c r="C2638" s="1" t="s">
        <v>1202</v>
      </c>
      <c r="D2638" s="1" t="s">
        <v>513</v>
      </c>
      <c r="E2638" s="1" t="s">
        <v>1199</v>
      </c>
      <c r="F2638" s="1" t="s">
        <v>566</v>
      </c>
      <c r="G2638" s="1" t="s">
        <v>555</v>
      </c>
      <c r="H2638" s="1" t="n">
        <v>18.4</v>
      </c>
      <c r="I2638" s="1" t="str">
        <f aca="false">B2638&amp;"|"&amp;F2638&amp;"|"&amp;G2638</f>
        <v>Poultry Cage Operation – Screened Houses|DPOLE|Fair</v>
      </c>
      <c r="J2638" s="1" t="s">
        <v>1200</v>
      </c>
    </row>
    <row r="2639" customFormat="false" ht="12" hidden="false" customHeight="true" outlineLevel="0" collapsed="false">
      <c r="B2639" s="1" t="s">
        <v>1201</v>
      </c>
      <c r="C2639" s="1" t="s">
        <v>1202</v>
      </c>
      <c r="D2639" s="1" t="s">
        <v>513</v>
      </c>
      <c r="E2639" s="1" t="s">
        <v>1199</v>
      </c>
      <c r="F2639" s="1" t="s">
        <v>566</v>
      </c>
      <c r="G2639" s="1" t="s">
        <v>480</v>
      </c>
      <c r="H2639" s="1" t="n">
        <v>16.9</v>
      </c>
      <c r="I2639" s="1" t="str">
        <f aca="false">B2639&amp;"|"&amp;F2639&amp;"|"&amp;G2639</f>
        <v>Poultry Cage Operation – Screened Houses|DPOLE|Low Cost</v>
      </c>
      <c r="J2639" s="1" t="s">
        <v>1200</v>
      </c>
    </row>
    <row r="2640" customFormat="false" ht="12" hidden="false" customHeight="true" outlineLevel="0" collapsed="false">
      <c r="B2640" s="1" t="s">
        <v>1201</v>
      </c>
      <c r="C2640" s="1" t="s">
        <v>1202</v>
      </c>
      <c r="D2640" s="1" t="s">
        <v>513</v>
      </c>
      <c r="E2640" s="1" t="s">
        <v>1199</v>
      </c>
      <c r="F2640" s="1" t="s">
        <v>566</v>
      </c>
      <c r="G2640" s="1" t="s">
        <v>567</v>
      </c>
      <c r="H2640" s="1" t="n">
        <v>11.1</v>
      </c>
      <c r="I2640" s="1" t="str">
        <f aca="false">B2640&amp;"|"&amp;F2640&amp;"|"&amp;G2640</f>
        <v>Poultry Cage Operation – Screened Houses|DPOLE|Cheap</v>
      </c>
      <c r="J2640" s="1" t="s">
        <v>1200</v>
      </c>
    </row>
    <row r="2641" customFormat="false" ht="12" hidden="false" customHeight="true" outlineLevel="0" collapsed="false">
      <c r="B2641" s="1" t="s">
        <v>1201</v>
      </c>
      <c r="C2641" s="1" t="s">
        <v>1202</v>
      </c>
      <c r="D2641" s="1" t="s">
        <v>513</v>
      </c>
      <c r="E2641" s="1" t="s">
        <v>1199</v>
      </c>
      <c r="F2641" s="1" t="s">
        <v>473</v>
      </c>
      <c r="G2641" s="1" t="s">
        <v>279</v>
      </c>
      <c r="H2641" s="1" t="n">
        <v>21.85</v>
      </c>
      <c r="I2641" s="1" t="str">
        <f aca="false">B2641&amp;"|"&amp;F2641&amp;"|"&amp;G2641</f>
        <v>Poultry Cage Operation – Screened Houses|S|Average</v>
      </c>
      <c r="J2641" s="1" t="s">
        <v>1200</v>
      </c>
    </row>
    <row r="2642" customFormat="false" ht="12" hidden="false" customHeight="true" outlineLevel="0" collapsed="false">
      <c r="B2642" s="1" t="s">
        <v>1201</v>
      </c>
      <c r="C2642" s="1" t="s">
        <v>1202</v>
      </c>
      <c r="D2642" s="1" t="s">
        <v>513</v>
      </c>
      <c r="E2642" s="1" t="s">
        <v>1199</v>
      </c>
      <c r="F2642" s="1" t="s">
        <v>473</v>
      </c>
      <c r="G2642" s="1" t="s">
        <v>555</v>
      </c>
      <c r="H2642" s="1" t="n">
        <v>20.2</v>
      </c>
      <c r="I2642" s="1" t="str">
        <f aca="false">B2642&amp;"|"&amp;F2642&amp;"|"&amp;G2642</f>
        <v>Poultry Cage Operation – Screened Houses|S|Fair</v>
      </c>
      <c r="J2642" s="1" t="s">
        <v>1200</v>
      </c>
    </row>
    <row r="2643" customFormat="false" ht="12" hidden="false" customHeight="true" outlineLevel="0" collapsed="false">
      <c r="B2643" s="1" t="s">
        <v>1201</v>
      </c>
      <c r="C2643" s="1" t="s">
        <v>1202</v>
      </c>
      <c r="D2643" s="1" t="s">
        <v>513</v>
      </c>
      <c r="E2643" s="1" t="s">
        <v>1199</v>
      </c>
      <c r="F2643" s="1" t="s">
        <v>473</v>
      </c>
      <c r="G2643" s="1" t="s">
        <v>480</v>
      </c>
      <c r="H2643" s="1" t="n">
        <v>18.75</v>
      </c>
      <c r="I2643" s="1" t="str">
        <f aca="false">B2643&amp;"|"&amp;F2643&amp;"|"&amp;G2643</f>
        <v>Poultry Cage Operation – Screened Houses|S|Low Cost</v>
      </c>
      <c r="J2643" s="1" t="s">
        <v>1200</v>
      </c>
    </row>
    <row r="2644" customFormat="false" ht="12" hidden="false" customHeight="true" outlineLevel="0" collapsed="false">
      <c r="B2644" s="1" t="s">
        <v>1201</v>
      </c>
      <c r="C2644" s="1" t="s">
        <v>1202</v>
      </c>
      <c r="D2644" s="1" t="s">
        <v>513</v>
      </c>
      <c r="E2644" s="1" t="s">
        <v>1199</v>
      </c>
      <c r="F2644" s="1" t="s">
        <v>473</v>
      </c>
      <c r="G2644" s="1" t="s">
        <v>567</v>
      </c>
      <c r="H2644" s="1" t="n">
        <v>11.8</v>
      </c>
      <c r="I2644" s="1" t="str">
        <f aca="false">B2644&amp;"|"&amp;F2644&amp;"|"&amp;G2644</f>
        <v>Poultry Cage Operation – Screened Houses|S|Cheap</v>
      </c>
      <c r="J2644" s="1" t="s">
        <v>1200</v>
      </c>
    </row>
    <row r="2645" customFormat="false" ht="12" hidden="false" customHeight="true" outlineLevel="0" collapsed="false">
      <c r="B2645" s="1" t="s">
        <v>1203</v>
      </c>
      <c r="C2645" s="1" t="s">
        <v>1204</v>
      </c>
      <c r="D2645" s="1" t="s">
        <v>513</v>
      </c>
      <c r="E2645" s="1" t="s">
        <v>1205</v>
      </c>
      <c r="F2645" s="1" t="s">
        <v>463</v>
      </c>
      <c r="G2645" s="1" t="s">
        <v>483</v>
      </c>
      <c r="H2645" s="1" t="n">
        <v>70.5</v>
      </c>
      <c r="I2645" s="1" t="str">
        <f aca="false">B2645&amp;"|"&amp;F2645&amp;"|"&amp;G2645</f>
        <v>Farm Labor Housing – Dormitories|C|Good</v>
      </c>
      <c r="J2645" s="1" t="s">
        <v>1206</v>
      </c>
    </row>
    <row r="2646" customFormat="false" ht="12" hidden="false" customHeight="true" outlineLevel="0" collapsed="false">
      <c r="B2646" s="1" t="s">
        <v>1203</v>
      </c>
      <c r="C2646" s="1" t="s">
        <v>1204</v>
      </c>
      <c r="D2646" s="1" t="s">
        <v>513</v>
      </c>
      <c r="E2646" s="1" t="s">
        <v>1205</v>
      </c>
      <c r="F2646" s="1" t="s">
        <v>463</v>
      </c>
      <c r="G2646" s="1" t="s">
        <v>279</v>
      </c>
      <c r="H2646" s="1" t="n">
        <v>55</v>
      </c>
      <c r="I2646" s="1" t="str">
        <f aca="false">B2646&amp;"|"&amp;F2646&amp;"|"&amp;G2646</f>
        <v>Farm Labor Housing – Dormitories|C|Average</v>
      </c>
      <c r="J2646" s="1" t="s">
        <v>1206</v>
      </c>
    </row>
    <row r="2647" customFormat="false" ht="12" hidden="false" customHeight="true" outlineLevel="0" collapsed="false">
      <c r="B2647" s="1" t="s">
        <v>1203</v>
      </c>
      <c r="C2647" s="1" t="s">
        <v>1204</v>
      </c>
      <c r="D2647" s="1" t="s">
        <v>513</v>
      </c>
      <c r="E2647" s="1" t="s">
        <v>1205</v>
      </c>
      <c r="F2647" s="1" t="s">
        <v>463</v>
      </c>
      <c r="G2647" s="1" t="s">
        <v>480</v>
      </c>
      <c r="H2647" s="1" t="n">
        <v>43</v>
      </c>
      <c r="I2647" s="1" t="str">
        <f aca="false">B2647&amp;"|"&amp;F2647&amp;"|"&amp;G2647</f>
        <v>Farm Labor Housing – Dormitories|C|Low Cost</v>
      </c>
      <c r="J2647" s="1" t="s">
        <v>1206</v>
      </c>
    </row>
    <row r="2648" customFormat="false" ht="12" hidden="false" customHeight="true" outlineLevel="0" collapsed="false">
      <c r="B2648" s="1" t="s">
        <v>1203</v>
      </c>
      <c r="C2648" s="1" t="s">
        <v>1204</v>
      </c>
      <c r="D2648" s="1" t="s">
        <v>513</v>
      </c>
      <c r="E2648" s="1" t="s">
        <v>1205</v>
      </c>
      <c r="F2648" s="1" t="s">
        <v>468</v>
      </c>
      <c r="G2648" s="1" t="s">
        <v>483</v>
      </c>
      <c r="H2648" s="1" t="n">
        <v>66</v>
      </c>
      <c r="I2648" s="1" t="str">
        <f aca="false">B2648&amp;"|"&amp;F2648&amp;"|"&amp;G2648</f>
        <v>Farm Labor Housing – Dormitories|D|Good</v>
      </c>
      <c r="J2648" s="1" t="s">
        <v>1206</v>
      </c>
    </row>
    <row r="2649" customFormat="false" ht="12" hidden="false" customHeight="true" outlineLevel="0" collapsed="false">
      <c r="B2649" s="1" t="s">
        <v>1203</v>
      </c>
      <c r="C2649" s="1" t="s">
        <v>1204</v>
      </c>
      <c r="D2649" s="1" t="s">
        <v>513</v>
      </c>
      <c r="E2649" s="1" t="s">
        <v>1205</v>
      </c>
      <c r="F2649" s="1" t="s">
        <v>468</v>
      </c>
      <c r="G2649" s="1" t="s">
        <v>279</v>
      </c>
      <c r="H2649" s="1" t="n">
        <v>49</v>
      </c>
      <c r="I2649" s="1" t="str">
        <f aca="false">B2649&amp;"|"&amp;F2649&amp;"|"&amp;G2649</f>
        <v>Farm Labor Housing – Dormitories|D|Average</v>
      </c>
      <c r="J2649" s="1" t="s">
        <v>1206</v>
      </c>
    </row>
    <row r="2650" customFormat="false" ht="12" hidden="false" customHeight="true" outlineLevel="0" collapsed="false">
      <c r="B2650" s="1" t="s">
        <v>1203</v>
      </c>
      <c r="C2650" s="1" t="s">
        <v>1204</v>
      </c>
      <c r="D2650" s="1" t="s">
        <v>513</v>
      </c>
      <c r="E2650" s="1" t="s">
        <v>1205</v>
      </c>
      <c r="F2650" s="1" t="s">
        <v>468</v>
      </c>
      <c r="G2650" s="1" t="s">
        <v>480</v>
      </c>
      <c r="H2650" s="1" t="n">
        <v>36.25</v>
      </c>
      <c r="I2650" s="1" t="str">
        <f aca="false">B2650&amp;"|"&amp;F2650&amp;"|"&amp;G2650</f>
        <v>Farm Labor Housing – Dormitories|D|Low Cost</v>
      </c>
      <c r="J2650" s="1" t="s">
        <v>1206</v>
      </c>
    </row>
    <row r="2651" customFormat="false" ht="12" hidden="false" customHeight="true" outlineLevel="0" collapsed="false">
      <c r="B2651" s="1" t="s">
        <v>1203</v>
      </c>
      <c r="C2651" s="1" t="s">
        <v>1204</v>
      </c>
      <c r="D2651" s="1" t="s">
        <v>513</v>
      </c>
      <c r="E2651" s="1" t="s">
        <v>1205</v>
      </c>
      <c r="F2651" s="1" t="s">
        <v>473</v>
      </c>
      <c r="G2651" s="1" t="s">
        <v>483</v>
      </c>
      <c r="H2651" s="1" t="n">
        <v>67</v>
      </c>
      <c r="I2651" s="1" t="str">
        <f aca="false">B2651&amp;"|"&amp;F2651&amp;"|"&amp;G2651</f>
        <v>Farm Labor Housing – Dormitories|S|Good</v>
      </c>
      <c r="J2651" s="1" t="s">
        <v>1206</v>
      </c>
    </row>
    <row r="2652" customFormat="false" ht="12" hidden="false" customHeight="true" outlineLevel="0" collapsed="false">
      <c r="B2652" s="1" t="s">
        <v>1203</v>
      </c>
      <c r="C2652" s="1" t="s">
        <v>1204</v>
      </c>
      <c r="D2652" s="1" t="s">
        <v>513</v>
      </c>
      <c r="E2652" s="1" t="s">
        <v>1205</v>
      </c>
      <c r="F2652" s="1" t="s">
        <v>473</v>
      </c>
      <c r="G2652" s="1" t="s">
        <v>279</v>
      </c>
      <c r="H2652" s="1" t="n">
        <v>50.5</v>
      </c>
      <c r="I2652" s="1" t="str">
        <f aca="false">B2652&amp;"|"&amp;F2652&amp;"|"&amp;G2652</f>
        <v>Farm Labor Housing – Dormitories|S|Average</v>
      </c>
      <c r="J2652" s="1" t="s">
        <v>1206</v>
      </c>
    </row>
    <row r="2653" customFormat="false" ht="12" hidden="false" customHeight="true" outlineLevel="0" collapsed="false">
      <c r="B2653" s="1" t="s">
        <v>1207</v>
      </c>
      <c r="C2653" s="1" t="s">
        <v>1208</v>
      </c>
      <c r="D2653" s="1" t="s">
        <v>513</v>
      </c>
      <c r="E2653" s="1" t="s">
        <v>1205</v>
      </c>
      <c r="F2653" s="1" t="s">
        <v>468</v>
      </c>
      <c r="G2653" s="1" t="s">
        <v>279</v>
      </c>
      <c r="H2653" s="1" t="n">
        <v>45.75</v>
      </c>
      <c r="I2653" s="1" t="str">
        <f aca="false">B2653&amp;"|"&amp;F2653&amp;"|"&amp;G2653</f>
        <v>Transient Labor Cabins|D|Average</v>
      </c>
      <c r="J2653" s="1" t="s">
        <v>1206</v>
      </c>
    </row>
    <row r="2654" customFormat="false" ht="12" hidden="false" customHeight="true" outlineLevel="0" collapsed="false">
      <c r="B2654" s="1" t="s">
        <v>1209</v>
      </c>
      <c r="C2654" s="1" t="s">
        <v>1210</v>
      </c>
      <c r="D2654" s="1" t="s">
        <v>513</v>
      </c>
      <c r="E2654" s="1" t="s">
        <v>1205</v>
      </c>
      <c r="F2654" s="1" t="s">
        <v>468</v>
      </c>
      <c r="G2654" s="1" t="s">
        <v>483</v>
      </c>
      <c r="H2654" s="1" t="n">
        <v>30.5</v>
      </c>
      <c r="I2654" s="1" t="str">
        <f aca="false">B2654&amp;"|"&amp;F2654&amp;"|"&amp;G2654</f>
        <v>Hunting Shelters|D|Good</v>
      </c>
      <c r="J2654" s="1" t="s">
        <v>1206</v>
      </c>
    </row>
    <row r="2655" customFormat="false" ht="12" hidden="false" customHeight="true" outlineLevel="0" collapsed="false">
      <c r="B2655" s="1" t="s">
        <v>1209</v>
      </c>
      <c r="C2655" s="1" t="s">
        <v>1210</v>
      </c>
      <c r="D2655" s="1" t="s">
        <v>513</v>
      </c>
      <c r="E2655" s="1" t="s">
        <v>1205</v>
      </c>
      <c r="F2655" s="1" t="s">
        <v>468</v>
      </c>
      <c r="G2655" s="1" t="s">
        <v>279</v>
      </c>
      <c r="H2655" s="1" t="n">
        <v>22.55</v>
      </c>
      <c r="I2655" s="1" t="str">
        <f aca="false">B2655&amp;"|"&amp;F2655&amp;"|"&amp;G2655</f>
        <v>Hunting Shelters|D|Average</v>
      </c>
      <c r="J2655" s="1" t="s">
        <v>1206</v>
      </c>
    </row>
    <row r="2656" customFormat="false" ht="12" hidden="false" customHeight="true" outlineLevel="0" collapsed="false">
      <c r="B2656" s="1" t="s">
        <v>1209</v>
      </c>
      <c r="C2656" s="1" t="s">
        <v>1210</v>
      </c>
      <c r="D2656" s="1" t="s">
        <v>513</v>
      </c>
      <c r="E2656" s="1" t="s">
        <v>1205</v>
      </c>
      <c r="F2656" s="1" t="s">
        <v>468</v>
      </c>
      <c r="G2656" s="1" t="s">
        <v>480</v>
      </c>
      <c r="H2656" s="1" t="n">
        <v>16.65</v>
      </c>
      <c r="I2656" s="1" t="str">
        <f aca="false">B2656&amp;"|"&amp;F2656&amp;"|"&amp;G2656</f>
        <v>Hunting Shelters|D|Low Cost</v>
      </c>
      <c r="J2656" s="1" t="s">
        <v>1206</v>
      </c>
    </row>
    <row r="2657" customFormat="false" ht="12" hidden="false" customHeight="true" outlineLevel="0" collapsed="false">
      <c r="B2657" s="1" t="s">
        <v>1209</v>
      </c>
      <c r="C2657" s="1" t="s">
        <v>1210</v>
      </c>
      <c r="D2657" s="1" t="s">
        <v>513</v>
      </c>
      <c r="E2657" s="1" t="s">
        <v>1205</v>
      </c>
      <c r="F2657" s="1" t="s">
        <v>468</v>
      </c>
      <c r="G2657" s="1" t="s">
        <v>567</v>
      </c>
      <c r="H2657" s="1" t="n">
        <v>12.3</v>
      </c>
      <c r="I2657" s="1" t="str">
        <f aca="false">B2657&amp;"|"&amp;F2657&amp;"|"&amp;G2657</f>
        <v>Hunting Shelters|D|Cheap</v>
      </c>
      <c r="J2657" s="1" t="s">
        <v>1206</v>
      </c>
    </row>
    <row r="2658" customFormat="false" ht="12" hidden="false" customHeight="true" outlineLevel="0" collapsed="false">
      <c r="B2658" s="1" t="s">
        <v>1211</v>
      </c>
      <c r="C2658" s="1" t="s">
        <v>1212</v>
      </c>
      <c r="D2658" s="1" t="s">
        <v>517</v>
      </c>
      <c r="E2658" s="1" t="s">
        <v>591</v>
      </c>
      <c r="F2658" s="1" t="s">
        <v>456</v>
      </c>
      <c r="G2658" s="1" t="s">
        <v>485</v>
      </c>
      <c r="H2658" s="1" t="n">
        <v>407</v>
      </c>
      <c r="I2658" s="1" t="str">
        <f aca="false">B2658&amp;"|"&amp;F2658&amp;"|"&amp;G2658</f>
        <v>High Schools|A|Excellent</v>
      </c>
      <c r="J2658" s="1" t="s">
        <v>1213</v>
      </c>
    </row>
    <row r="2659" customFormat="false" ht="12" hidden="false" customHeight="true" outlineLevel="0" collapsed="false">
      <c r="B2659" s="1" t="s">
        <v>1211</v>
      </c>
      <c r="C2659" s="1" t="s">
        <v>1212</v>
      </c>
      <c r="D2659" s="1" t="s">
        <v>517</v>
      </c>
      <c r="E2659" s="1" t="s">
        <v>591</v>
      </c>
      <c r="F2659" s="1" t="s">
        <v>456</v>
      </c>
      <c r="G2659" s="1" t="s">
        <v>483</v>
      </c>
      <c r="H2659" s="1" t="n">
        <v>334</v>
      </c>
      <c r="I2659" s="1" t="str">
        <f aca="false">B2659&amp;"|"&amp;F2659&amp;"|"&amp;G2659</f>
        <v>High Schools|A|Good</v>
      </c>
      <c r="J2659" s="1" t="s">
        <v>1213</v>
      </c>
    </row>
    <row r="2660" customFormat="false" ht="12" hidden="false" customHeight="true" outlineLevel="0" collapsed="false">
      <c r="B2660" s="1" t="s">
        <v>1211</v>
      </c>
      <c r="C2660" s="1" t="s">
        <v>1212</v>
      </c>
      <c r="D2660" s="1" t="s">
        <v>517</v>
      </c>
      <c r="E2660" s="1" t="s">
        <v>591</v>
      </c>
      <c r="F2660" s="1" t="s">
        <v>456</v>
      </c>
      <c r="G2660" s="1" t="s">
        <v>279</v>
      </c>
      <c r="H2660" s="1" t="n">
        <v>261</v>
      </c>
      <c r="I2660" s="1" t="str">
        <f aca="false">B2660&amp;"|"&amp;F2660&amp;"|"&amp;G2660</f>
        <v>High Schools|A|Average</v>
      </c>
      <c r="J2660" s="1" t="s">
        <v>1213</v>
      </c>
    </row>
    <row r="2661" customFormat="false" ht="12" hidden="false" customHeight="true" outlineLevel="0" collapsed="false">
      <c r="B2661" s="1" t="s">
        <v>1211</v>
      </c>
      <c r="C2661" s="1" t="s">
        <v>1212</v>
      </c>
      <c r="D2661" s="1" t="s">
        <v>517</v>
      </c>
      <c r="E2661" s="1" t="s">
        <v>591</v>
      </c>
      <c r="F2661" s="1" t="s">
        <v>461</v>
      </c>
      <c r="G2661" s="1" t="s">
        <v>485</v>
      </c>
      <c r="H2661" s="1" t="n">
        <v>372</v>
      </c>
      <c r="I2661" s="1" t="str">
        <f aca="false">B2661&amp;"|"&amp;F2661&amp;"|"&amp;G2661</f>
        <v>High Schools|B|Excellent</v>
      </c>
      <c r="J2661" s="1" t="s">
        <v>1213</v>
      </c>
    </row>
    <row r="2662" customFormat="false" ht="12" hidden="false" customHeight="true" outlineLevel="0" collapsed="false">
      <c r="B2662" s="1" t="s">
        <v>1211</v>
      </c>
      <c r="C2662" s="1" t="s">
        <v>1212</v>
      </c>
      <c r="D2662" s="1" t="s">
        <v>517</v>
      </c>
      <c r="E2662" s="1" t="s">
        <v>591</v>
      </c>
      <c r="F2662" s="1" t="s">
        <v>461</v>
      </c>
      <c r="G2662" s="1" t="s">
        <v>483</v>
      </c>
      <c r="H2662" s="1" t="n">
        <v>307</v>
      </c>
      <c r="I2662" s="1" t="str">
        <f aca="false">B2662&amp;"|"&amp;F2662&amp;"|"&amp;G2662</f>
        <v>High Schools|B|Good</v>
      </c>
      <c r="J2662" s="1" t="s">
        <v>1213</v>
      </c>
    </row>
    <row r="2663" customFormat="false" ht="12" hidden="false" customHeight="true" outlineLevel="0" collapsed="false">
      <c r="B2663" s="1" t="s">
        <v>1211</v>
      </c>
      <c r="C2663" s="1" t="s">
        <v>1212</v>
      </c>
      <c r="D2663" s="1" t="s">
        <v>517</v>
      </c>
      <c r="E2663" s="1" t="s">
        <v>591</v>
      </c>
      <c r="F2663" s="1" t="s">
        <v>461</v>
      </c>
      <c r="G2663" s="1" t="s">
        <v>279</v>
      </c>
      <c r="H2663" s="1" t="n">
        <v>241</v>
      </c>
      <c r="I2663" s="1" t="str">
        <f aca="false">B2663&amp;"|"&amp;F2663&amp;"|"&amp;G2663</f>
        <v>High Schools|B|Average</v>
      </c>
      <c r="J2663" s="1" t="s">
        <v>1213</v>
      </c>
    </row>
    <row r="2664" customFormat="false" ht="12" hidden="false" customHeight="true" outlineLevel="0" collapsed="false">
      <c r="B2664" s="1" t="s">
        <v>1211</v>
      </c>
      <c r="C2664" s="1" t="s">
        <v>1212</v>
      </c>
      <c r="D2664" s="1" t="s">
        <v>517</v>
      </c>
      <c r="E2664" s="1" t="s">
        <v>591</v>
      </c>
      <c r="F2664" s="1" t="s">
        <v>463</v>
      </c>
      <c r="G2664" s="1" t="s">
        <v>485</v>
      </c>
      <c r="H2664" s="1" t="n">
        <v>308</v>
      </c>
      <c r="I2664" s="1" t="str">
        <f aca="false">B2664&amp;"|"&amp;F2664&amp;"|"&amp;G2664</f>
        <v>High Schools|C|Excellent</v>
      </c>
      <c r="J2664" s="1" t="s">
        <v>1213</v>
      </c>
    </row>
    <row r="2665" customFormat="false" ht="12" hidden="false" customHeight="true" outlineLevel="0" collapsed="false">
      <c r="B2665" s="1" t="s">
        <v>1211</v>
      </c>
      <c r="C2665" s="1" t="s">
        <v>1212</v>
      </c>
      <c r="D2665" s="1" t="s">
        <v>517</v>
      </c>
      <c r="E2665" s="1" t="s">
        <v>591</v>
      </c>
      <c r="F2665" s="1" t="s">
        <v>463</v>
      </c>
      <c r="G2665" s="1" t="s">
        <v>483</v>
      </c>
      <c r="H2665" s="1" t="n">
        <v>242</v>
      </c>
      <c r="I2665" s="1" t="str">
        <f aca="false">B2665&amp;"|"&amp;F2665&amp;"|"&amp;G2665</f>
        <v>High Schools|C|Good</v>
      </c>
      <c r="J2665" s="1" t="s">
        <v>1213</v>
      </c>
    </row>
    <row r="2666" customFormat="false" ht="12" hidden="false" customHeight="true" outlineLevel="0" collapsed="false">
      <c r="B2666" s="1" t="s">
        <v>1211</v>
      </c>
      <c r="C2666" s="1" t="s">
        <v>1212</v>
      </c>
      <c r="D2666" s="1" t="s">
        <v>517</v>
      </c>
      <c r="E2666" s="1" t="s">
        <v>591</v>
      </c>
      <c r="F2666" s="1" t="s">
        <v>463</v>
      </c>
      <c r="G2666" s="1" t="s">
        <v>279</v>
      </c>
      <c r="H2666" s="1" t="n">
        <v>196</v>
      </c>
      <c r="I2666" s="1" t="str">
        <f aca="false">B2666&amp;"|"&amp;F2666&amp;"|"&amp;G2666</f>
        <v>High Schools|C|Average</v>
      </c>
      <c r="J2666" s="1" t="s">
        <v>1213</v>
      </c>
    </row>
    <row r="2667" customFormat="false" ht="12" hidden="false" customHeight="true" outlineLevel="0" collapsed="false">
      <c r="B2667" s="1" t="s">
        <v>1211</v>
      </c>
      <c r="C2667" s="1" t="s">
        <v>1212</v>
      </c>
      <c r="D2667" s="1" t="s">
        <v>517</v>
      </c>
      <c r="E2667" s="1" t="s">
        <v>591</v>
      </c>
      <c r="F2667" s="1" t="s">
        <v>463</v>
      </c>
      <c r="G2667" s="1" t="s">
        <v>480</v>
      </c>
      <c r="H2667" s="1" t="n">
        <v>157</v>
      </c>
      <c r="I2667" s="1" t="str">
        <f aca="false">B2667&amp;"|"&amp;F2667&amp;"|"&amp;G2667</f>
        <v>High Schools|C|Low Cost</v>
      </c>
      <c r="J2667" s="1" t="s">
        <v>1213</v>
      </c>
    </row>
    <row r="2668" customFormat="false" ht="12" hidden="false" customHeight="true" outlineLevel="0" collapsed="false">
      <c r="B2668" s="1" t="s">
        <v>1211</v>
      </c>
      <c r="C2668" s="1" t="s">
        <v>1212</v>
      </c>
      <c r="D2668" s="1" t="s">
        <v>517</v>
      </c>
      <c r="E2668" s="1" t="s">
        <v>591</v>
      </c>
      <c r="F2668" s="1" t="s">
        <v>468</v>
      </c>
      <c r="G2668" s="1" t="s">
        <v>485</v>
      </c>
      <c r="H2668" s="1" t="n">
        <v>303</v>
      </c>
      <c r="I2668" s="1" t="str">
        <f aca="false">B2668&amp;"|"&amp;F2668&amp;"|"&amp;G2668</f>
        <v>High Schools|D|Excellent</v>
      </c>
      <c r="J2668" s="1" t="s">
        <v>1213</v>
      </c>
    </row>
    <row r="2669" customFormat="false" ht="12" hidden="false" customHeight="true" outlineLevel="0" collapsed="false">
      <c r="B2669" s="1" t="s">
        <v>1211</v>
      </c>
      <c r="C2669" s="1" t="s">
        <v>1212</v>
      </c>
      <c r="D2669" s="1" t="s">
        <v>517</v>
      </c>
      <c r="E2669" s="1" t="s">
        <v>591</v>
      </c>
      <c r="F2669" s="1" t="s">
        <v>468</v>
      </c>
      <c r="G2669" s="1" t="s">
        <v>483</v>
      </c>
      <c r="H2669" s="1" t="n">
        <v>237</v>
      </c>
      <c r="I2669" s="1" t="str">
        <f aca="false">B2669&amp;"|"&amp;F2669&amp;"|"&amp;G2669</f>
        <v>High Schools|D|Good</v>
      </c>
      <c r="J2669" s="1" t="s">
        <v>1213</v>
      </c>
    </row>
    <row r="2670" customFormat="false" ht="12" hidden="false" customHeight="true" outlineLevel="0" collapsed="false">
      <c r="B2670" s="1" t="s">
        <v>1211</v>
      </c>
      <c r="C2670" s="1" t="s">
        <v>1212</v>
      </c>
      <c r="D2670" s="1" t="s">
        <v>517</v>
      </c>
      <c r="E2670" s="1" t="s">
        <v>591</v>
      </c>
      <c r="F2670" s="1" t="s">
        <v>468</v>
      </c>
      <c r="G2670" s="1" t="s">
        <v>279</v>
      </c>
      <c r="H2670" s="1" t="n">
        <v>190</v>
      </c>
      <c r="I2670" s="1" t="str">
        <f aca="false">B2670&amp;"|"&amp;F2670&amp;"|"&amp;G2670</f>
        <v>High Schools|D|Average</v>
      </c>
      <c r="J2670" s="1" t="s">
        <v>1213</v>
      </c>
    </row>
    <row r="2671" customFormat="false" ht="12" hidden="false" customHeight="true" outlineLevel="0" collapsed="false">
      <c r="B2671" s="1" t="s">
        <v>1211</v>
      </c>
      <c r="C2671" s="1" t="s">
        <v>1212</v>
      </c>
      <c r="D2671" s="1" t="s">
        <v>517</v>
      </c>
      <c r="E2671" s="1" t="s">
        <v>591</v>
      </c>
      <c r="F2671" s="1" t="s">
        <v>468</v>
      </c>
      <c r="G2671" s="1" t="s">
        <v>480</v>
      </c>
      <c r="H2671" s="1" t="n">
        <v>151</v>
      </c>
      <c r="I2671" s="1" t="str">
        <f aca="false">B2671&amp;"|"&amp;F2671&amp;"|"&amp;G2671</f>
        <v>High Schools|D|Low Cost</v>
      </c>
      <c r="J2671" s="1" t="s">
        <v>1213</v>
      </c>
    </row>
    <row r="2672" customFormat="false" ht="12" hidden="false" customHeight="true" outlineLevel="0" collapsed="false">
      <c r="B2672" s="1" t="s">
        <v>1211</v>
      </c>
      <c r="C2672" s="1" t="s">
        <v>1212</v>
      </c>
      <c r="D2672" s="1" t="s">
        <v>517</v>
      </c>
      <c r="E2672" s="1" t="s">
        <v>591</v>
      </c>
      <c r="F2672" s="1" t="s">
        <v>566</v>
      </c>
      <c r="G2672" s="1" t="s">
        <v>279</v>
      </c>
      <c r="H2672" s="1" t="n">
        <v>183</v>
      </c>
      <c r="I2672" s="1" t="str">
        <f aca="false">B2672&amp;"|"&amp;F2672&amp;"|"&amp;G2672</f>
        <v>High Schools|DPOLE|Average</v>
      </c>
      <c r="J2672" s="1" t="s">
        <v>1213</v>
      </c>
    </row>
    <row r="2673" customFormat="false" ht="12" hidden="false" customHeight="true" outlineLevel="0" collapsed="false">
      <c r="B2673" s="1" t="s">
        <v>1211</v>
      </c>
      <c r="C2673" s="1" t="s">
        <v>1212</v>
      </c>
      <c r="D2673" s="1" t="s">
        <v>517</v>
      </c>
      <c r="E2673" s="1" t="s">
        <v>591</v>
      </c>
      <c r="F2673" s="1" t="s">
        <v>566</v>
      </c>
      <c r="G2673" s="1" t="s">
        <v>480</v>
      </c>
      <c r="H2673" s="1" t="n">
        <v>145</v>
      </c>
      <c r="I2673" s="1" t="str">
        <f aca="false">B2673&amp;"|"&amp;F2673&amp;"|"&amp;G2673</f>
        <v>High Schools|DPOLE|Low Cost</v>
      </c>
      <c r="J2673" s="1" t="s">
        <v>1213</v>
      </c>
    </row>
    <row r="2674" customFormat="false" ht="12" hidden="false" customHeight="true" outlineLevel="0" collapsed="false">
      <c r="B2674" s="1" t="s">
        <v>1211</v>
      </c>
      <c r="C2674" s="1" t="s">
        <v>1212</v>
      </c>
      <c r="D2674" s="1" t="s">
        <v>517</v>
      </c>
      <c r="E2674" s="1" t="s">
        <v>591</v>
      </c>
      <c r="F2674" s="1" t="s">
        <v>473</v>
      </c>
      <c r="G2674" s="1" t="s">
        <v>483</v>
      </c>
      <c r="H2674" s="1" t="n">
        <v>232</v>
      </c>
      <c r="I2674" s="1" t="str">
        <f aca="false">B2674&amp;"|"&amp;F2674&amp;"|"&amp;G2674</f>
        <v>High Schools|S|Good</v>
      </c>
      <c r="J2674" s="1" t="s">
        <v>1213</v>
      </c>
    </row>
    <row r="2675" customFormat="false" ht="12" hidden="false" customHeight="true" outlineLevel="0" collapsed="false">
      <c r="B2675" s="1" t="s">
        <v>1211</v>
      </c>
      <c r="C2675" s="1" t="s">
        <v>1212</v>
      </c>
      <c r="D2675" s="1" t="s">
        <v>517</v>
      </c>
      <c r="E2675" s="1" t="s">
        <v>591</v>
      </c>
      <c r="F2675" s="1" t="s">
        <v>473</v>
      </c>
      <c r="G2675" s="1" t="s">
        <v>279</v>
      </c>
      <c r="H2675" s="1" t="n">
        <v>185</v>
      </c>
      <c r="I2675" s="1" t="str">
        <f aca="false">B2675&amp;"|"&amp;F2675&amp;"|"&amp;G2675</f>
        <v>High Schools|S|Average</v>
      </c>
      <c r="J2675" s="1" t="s">
        <v>1213</v>
      </c>
    </row>
    <row r="2676" customFormat="false" ht="12" hidden="false" customHeight="true" outlineLevel="0" collapsed="false">
      <c r="B2676" s="1" t="s">
        <v>1211</v>
      </c>
      <c r="C2676" s="1" t="s">
        <v>1212</v>
      </c>
      <c r="D2676" s="1" t="s">
        <v>517</v>
      </c>
      <c r="E2676" s="1" t="s">
        <v>591</v>
      </c>
      <c r="F2676" s="1" t="s">
        <v>473</v>
      </c>
      <c r="G2676" s="1" t="s">
        <v>480</v>
      </c>
      <c r="H2676" s="1" t="n">
        <v>146</v>
      </c>
      <c r="I2676" s="1" t="str">
        <f aca="false">B2676&amp;"|"&amp;F2676&amp;"|"&amp;G2676</f>
        <v>High Schools|S|Low Cost</v>
      </c>
      <c r="J2676" s="1" t="s">
        <v>1213</v>
      </c>
    </row>
    <row r="2677" customFormat="false" ht="12" hidden="false" customHeight="true" outlineLevel="0" collapsed="false">
      <c r="B2677" s="1" t="s">
        <v>1214</v>
      </c>
      <c r="C2677" s="1" t="s">
        <v>1215</v>
      </c>
      <c r="D2677" s="1" t="s">
        <v>517</v>
      </c>
      <c r="E2677" s="1" t="s">
        <v>595</v>
      </c>
      <c r="F2677" s="1" t="s">
        <v>456</v>
      </c>
      <c r="G2677" s="1" t="s">
        <v>485</v>
      </c>
      <c r="H2677" s="1" t="n">
        <v>380</v>
      </c>
      <c r="I2677" s="1" t="str">
        <f aca="false">B2677&amp;"|"&amp;F2677&amp;"|"&amp;G2677</f>
        <v>Middle (Junior High) Schools|A|Excellent</v>
      </c>
      <c r="J2677" s="1" t="s">
        <v>1216</v>
      </c>
    </row>
    <row r="2678" customFormat="false" ht="12" hidden="false" customHeight="true" outlineLevel="0" collapsed="false">
      <c r="B2678" s="1" t="s">
        <v>1214</v>
      </c>
      <c r="C2678" s="1" t="s">
        <v>1215</v>
      </c>
      <c r="D2678" s="1" t="s">
        <v>517</v>
      </c>
      <c r="E2678" s="1" t="s">
        <v>595</v>
      </c>
      <c r="F2678" s="1" t="s">
        <v>456</v>
      </c>
      <c r="G2678" s="1" t="s">
        <v>483</v>
      </c>
      <c r="H2678" s="1" t="n">
        <v>316</v>
      </c>
      <c r="I2678" s="1" t="str">
        <f aca="false">B2678&amp;"|"&amp;F2678&amp;"|"&amp;G2678</f>
        <v>Middle (Junior High) Schools|A|Good</v>
      </c>
      <c r="J2678" s="1" t="s">
        <v>1216</v>
      </c>
    </row>
    <row r="2679" customFormat="false" ht="12" hidden="false" customHeight="true" outlineLevel="0" collapsed="false">
      <c r="B2679" s="1" t="s">
        <v>1214</v>
      </c>
      <c r="C2679" s="1" t="s">
        <v>1215</v>
      </c>
      <c r="D2679" s="1" t="s">
        <v>517</v>
      </c>
      <c r="E2679" s="1" t="s">
        <v>595</v>
      </c>
      <c r="F2679" s="1" t="s">
        <v>456</v>
      </c>
      <c r="G2679" s="1" t="s">
        <v>279</v>
      </c>
      <c r="H2679" s="1" t="n">
        <v>249</v>
      </c>
      <c r="I2679" s="1" t="str">
        <f aca="false">B2679&amp;"|"&amp;F2679&amp;"|"&amp;G2679</f>
        <v>Middle (Junior High) Schools|A|Average</v>
      </c>
      <c r="J2679" s="1" t="s">
        <v>1216</v>
      </c>
    </row>
    <row r="2680" customFormat="false" ht="12" hidden="false" customHeight="true" outlineLevel="0" collapsed="false">
      <c r="B2680" s="1" t="s">
        <v>1214</v>
      </c>
      <c r="C2680" s="1" t="s">
        <v>1215</v>
      </c>
      <c r="D2680" s="1" t="s">
        <v>517</v>
      </c>
      <c r="E2680" s="1" t="s">
        <v>595</v>
      </c>
      <c r="F2680" s="1" t="s">
        <v>461</v>
      </c>
      <c r="G2680" s="1" t="s">
        <v>485</v>
      </c>
      <c r="H2680" s="1" t="n">
        <v>347</v>
      </c>
      <c r="I2680" s="1" t="str">
        <f aca="false">B2680&amp;"|"&amp;F2680&amp;"|"&amp;G2680</f>
        <v>Middle (Junior High) Schools|B|Excellent</v>
      </c>
      <c r="J2680" s="1" t="s">
        <v>1216</v>
      </c>
    </row>
    <row r="2681" customFormat="false" ht="12" hidden="false" customHeight="true" outlineLevel="0" collapsed="false">
      <c r="B2681" s="1" t="s">
        <v>1214</v>
      </c>
      <c r="C2681" s="1" t="s">
        <v>1215</v>
      </c>
      <c r="D2681" s="1" t="s">
        <v>517</v>
      </c>
      <c r="E2681" s="1" t="s">
        <v>595</v>
      </c>
      <c r="F2681" s="1" t="s">
        <v>461</v>
      </c>
      <c r="G2681" s="1" t="s">
        <v>483</v>
      </c>
      <c r="H2681" s="1" t="n">
        <v>290</v>
      </c>
      <c r="I2681" s="1" t="str">
        <f aca="false">B2681&amp;"|"&amp;F2681&amp;"|"&amp;G2681</f>
        <v>Middle (Junior High) Schools|B|Good</v>
      </c>
      <c r="J2681" s="1" t="s">
        <v>1216</v>
      </c>
    </row>
    <row r="2682" customFormat="false" ht="12" hidden="false" customHeight="true" outlineLevel="0" collapsed="false">
      <c r="B2682" s="1" t="s">
        <v>1214</v>
      </c>
      <c r="C2682" s="1" t="s">
        <v>1215</v>
      </c>
      <c r="D2682" s="1" t="s">
        <v>517</v>
      </c>
      <c r="E2682" s="1" t="s">
        <v>595</v>
      </c>
      <c r="F2682" s="1" t="s">
        <v>461</v>
      </c>
      <c r="G2682" s="1" t="s">
        <v>279</v>
      </c>
      <c r="H2682" s="1" t="n">
        <v>230</v>
      </c>
      <c r="I2682" s="1" t="str">
        <f aca="false">B2682&amp;"|"&amp;F2682&amp;"|"&amp;G2682</f>
        <v>Middle (Junior High) Schools|B|Average</v>
      </c>
      <c r="J2682" s="1" t="s">
        <v>1216</v>
      </c>
    </row>
    <row r="2683" customFormat="false" ht="12" hidden="false" customHeight="true" outlineLevel="0" collapsed="false">
      <c r="B2683" s="1" t="s">
        <v>1214</v>
      </c>
      <c r="C2683" s="1" t="s">
        <v>1215</v>
      </c>
      <c r="D2683" s="1" t="s">
        <v>517</v>
      </c>
      <c r="E2683" s="1" t="s">
        <v>595</v>
      </c>
      <c r="F2683" s="1" t="s">
        <v>463</v>
      </c>
      <c r="G2683" s="1" t="s">
        <v>485</v>
      </c>
      <c r="H2683" s="1" t="n">
        <v>291</v>
      </c>
      <c r="I2683" s="1" t="str">
        <f aca="false">B2683&amp;"|"&amp;F2683&amp;"|"&amp;G2683</f>
        <v>Middle (Junior High) Schools|C|Excellent</v>
      </c>
      <c r="J2683" s="1" t="s">
        <v>1216</v>
      </c>
    </row>
    <row r="2684" customFormat="false" ht="12" hidden="false" customHeight="true" outlineLevel="0" collapsed="false">
      <c r="B2684" s="1" t="s">
        <v>1214</v>
      </c>
      <c r="C2684" s="1" t="s">
        <v>1215</v>
      </c>
      <c r="D2684" s="1" t="s">
        <v>517</v>
      </c>
      <c r="E2684" s="1" t="s">
        <v>595</v>
      </c>
      <c r="F2684" s="1" t="s">
        <v>463</v>
      </c>
      <c r="G2684" s="1" t="s">
        <v>483</v>
      </c>
      <c r="H2684" s="1" t="n">
        <v>232</v>
      </c>
      <c r="I2684" s="1" t="str">
        <f aca="false">B2684&amp;"|"&amp;F2684&amp;"|"&amp;G2684</f>
        <v>Middle (Junior High) Schools|C|Good</v>
      </c>
      <c r="J2684" s="1" t="s">
        <v>1216</v>
      </c>
    </row>
    <row r="2685" customFormat="false" ht="12" hidden="false" customHeight="true" outlineLevel="0" collapsed="false">
      <c r="B2685" s="1" t="s">
        <v>1214</v>
      </c>
      <c r="C2685" s="1" t="s">
        <v>1215</v>
      </c>
      <c r="D2685" s="1" t="s">
        <v>517</v>
      </c>
      <c r="E2685" s="1" t="s">
        <v>595</v>
      </c>
      <c r="F2685" s="1" t="s">
        <v>463</v>
      </c>
      <c r="G2685" s="1" t="s">
        <v>279</v>
      </c>
      <c r="H2685" s="1" t="n">
        <v>190</v>
      </c>
      <c r="I2685" s="1" t="str">
        <f aca="false">B2685&amp;"|"&amp;F2685&amp;"|"&amp;G2685</f>
        <v>Middle (Junior High) Schools|C|Average</v>
      </c>
      <c r="J2685" s="1" t="s">
        <v>1216</v>
      </c>
    </row>
    <row r="2686" customFormat="false" ht="12" hidden="false" customHeight="true" outlineLevel="0" collapsed="false">
      <c r="B2686" s="1" t="s">
        <v>1214</v>
      </c>
      <c r="C2686" s="1" t="s">
        <v>1215</v>
      </c>
      <c r="D2686" s="1" t="s">
        <v>517</v>
      </c>
      <c r="E2686" s="1" t="s">
        <v>595</v>
      </c>
      <c r="F2686" s="1" t="s">
        <v>463</v>
      </c>
      <c r="G2686" s="1" t="s">
        <v>480</v>
      </c>
      <c r="H2686" s="1" t="n">
        <v>154</v>
      </c>
      <c r="I2686" s="1" t="str">
        <f aca="false">B2686&amp;"|"&amp;F2686&amp;"|"&amp;G2686</f>
        <v>Middle (Junior High) Schools|C|Low Cost</v>
      </c>
      <c r="J2686" s="1" t="s">
        <v>1216</v>
      </c>
    </row>
    <row r="2687" customFormat="false" ht="12" hidden="false" customHeight="true" outlineLevel="0" collapsed="false">
      <c r="B2687" s="1" t="s">
        <v>1214</v>
      </c>
      <c r="C2687" s="1" t="s">
        <v>1215</v>
      </c>
      <c r="D2687" s="1" t="s">
        <v>517</v>
      </c>
      <c r="E2687" s="1" t="s">
        <v>595</v>
      </c>
      <c r="F2687" s="1" t="s">
        <v>468</v>
      </c>
      <c r="G2687" s="1" t="s">
        <v>485</v>
      </c>
      <c r="H2687" s="1" t="n">
        <v>285</v>
      </c>
      <c r="I2687" s="1" t="str">
        <f aca="false">B2687&amp;"|"&amp;F2687&amp;"|"&amp;G2687</f>
        <v>Middle (Junior High) Schools|D|Excellent</v>
      </c>
      <c r="J2687" s="1" t="s">
        <v>1216</v>
      </c>
    </row>
    <row r="2688" customFormat="false" ht="12" hidden="false" customHeight="true" outlineLevel="0" collapsed="false">
      <c r="B2688" s="1" t="s">
        <v>1214</v>
      </c>
      <c r="C2688" s="1" t="s">
        <v>1215</v>
      </c>
      <c r="D2688" s="1" t="s">
        <v>517</v>
      </c>
      <c r="E2688" s="1" t="s">
        <v>595</v>
      </c>
      <c r="F2688" s="1" t="s">
        <v>468</v>
      </c>
      <c r="G2688" s="1" t="s">
        <v>483</v>
      </c>
      <c r="H2688" s="1" t="n">
        <v>226</v>
      </c>
      <c r="I2688" s="1" t="str">
        <f aca="false">B2688&amp;"|"&amp;F2688&amp;"|"&amp;G2688</f>
        <v>Middle (Junior High) Schools|D|Good</v>
      </c>
      <c r="J2688" s="1" t="s">
        <v>1216</v>
      </c>
    </row>
    <row r="2689" customFormat="false" ht="12" hidden="false" customHeight="true" outlineLevel="0" collapsed="false">
      <c r="B2689" s="1" t="s">
        <v>1214</v>
      </c>
      <c r="C2689" s="1" t="s">
        <v>1215</v>
      </c>
      <c r="D2689" s="1" t="s">
        <v>517</v>
      </c>
      <c r="E2689" s="1" t="s">
        <v>595</v>
      </c>
      <c r="F2689" s="1" t="s">
        <v>468</v>
      </c>
      <c r="G2689" s="1" t="s">
        <v>279</v>
      </c>
      <c r="H2689" s="1" t="n">
        <v>184</v>
      </c>
      <c r="I2689" s="1" t="str">
        <f aca="false">B2689&amp;"|"&amp;F2689&amp;"|"&amp;G2689</f>
        <v>Middle (Junior High) Schools|D|Average</v>
      </c>
      <c r="J2689" s="1" t="s">
        <v>1216</v>
      </c>
    </row>
    <row r="2690" customFormat="false" ht="12" hidden="false" customHeight="true" outlineLevel="0" collapsed="false">
      <c r="B2690" s="1" t="s">
        <v>1214</v>
      </c>
      <c r="C2690" s="1" t="s">
        <v>1215</v>
      </c>
      <c r="D2690" s="1" t="s">
        <v>517</v>
      </c>
      <c r="E2690" s="1" t="s">
        <v>595</v>
      </c>
      <c r="F2690" s="1" t="s">
        <v>468</v>
      </c>
      <c r="G2690" s="1" t="s">
        <v>480</v>
      </c>
      <c r="H2690" s="1" t="n">
        <v>149</v>
      </c>
      <c r="I2690" s="1" t="str">
        <f aca="false">B2690&amp;"|"&amp;F2690&amp;"|"&amp;G2690</f>
        <v>Middle (Junior High) Schools|D|Low Cost</v>
      </c>
      <c r="J2690" s="1" t="s">
        <v>1216</v>
      </c>
    </row>
    <row r="2691" customFormat="false" ht="12" hidden="false" customHeight="true" outlineLevel="0" collapsed="false">
      <c r="B2691" s="1" t="s">
        <v>1214</v>
      </c>
      <c r="C2691" s="1" t="s">
        <v>1215</v>
      </c>
      <c r="D2691" s="1" t="s">
        <v>517</v>
      </c>
      <c r="E2691" s="1" t="s">
        <v>595</v>
      </c>
      <c r="F2691" s="1" t="s">
        <v>566</v>
      </c>
      <c r="G2691" s="1" t="s">
        <v>279</v>
      </c>
      <c r="H2691" s="1" t="n">
        <v>178</v>
      </c>
      <c r="I2691" s="1" t="str">
        <f aca="false">B2691&amp;"|"&amp;F2691&amp;"|"&amp;G2691</f>
        <v>Middle (Junior High) Schools|DPOLE|Average</v>
      </c>
      <c r="J2691" s="1" t="s">
        <v>1216</v>
      </c>
    </row>
    <row r="2692" customFormat="false" ht="12" hidden="false" customHeight="true" outlineLevel="0" collapsed="false">
      <c r="B2692" s="1" t="s">
        <v>1214</v>
      </c>
      <c r="C2692" s="1" t="s">
        <v>1215</v>
      </c>
      <c r="D2692" s="1" t="s">
        <v>517</v>
      </c>
      <c r="E2692" s="1" t="s">
        <v>595</v>
      </c>
      <c r="F2692" s="1" t="s">
        <v>566</v>
      </c>
      <c r="G2692" s="1" t="s">
        <v>480</v>
      </c>
      <c r="H2692" s="1" t="n">
        <v>143</v>
      </c>
      <c r="I2692" s="1" t="str">
        <f aca="false">B2692&amp;"|"&amp;F2692&amp;"|"&amp;G2692</f>
        <v>Middle (Junior High) Schools|DPOLE|Low Cost</v>
      </c>
      <c r="J2692" s="1" t="s">
        <v>1216</v>
      </c>
    </row>
    <row r="2693" customFormat="false" ht="12" hidden="false" customHeight="true" outlineLevel="0" collapsed="false">
      <c r="B2693" s="1" t="s">
        <v>1214</v>
      </c>
      <c r="C2693" s="1" t="s">
        <v>1215</v>
      </c>
      <c r="D2693" s="1" t="s">
        <v>517</v>
      </c>
      <c r="E2693" s="1" t="s">
        <v>595</v>
      </c>
      <c r="F2693" s="1" t="s">
        <v>473</v>
      </c>
      <c r="G2693" s="1" t="s">
        <v>483</v>
      </c>
      <c r="H2693" s="1" t="n">
        <v>223</v>
      </c>
      <c r="I2693" s="1" t="str">
        <f aca="false">B2693&amp;"|"&amp;F2693&amp;"|"&amp;G2693</f>
        <v>Middle (Junior High) Schools|S|Good</v>
      </c>
      <c r="J2693" s="1" t="s">
        <v>1216</v>
      </c>
    </row>
    <row r="2694" customFormat="false" ht="12" hidden="false" customHeight="true" outlineLevel="0" collapsed="false">
      <c r="B2694" s="1" t="s">
        <v>1214</v>
      </c>
      <c r="C2694" s="1" t="s">
        <v>1215</v>
      </c>
      <c r="D2694" s="1" t="s">
        <v>517</v>
      </c>
      <c r="E2694" s="1" t="s">
        <v>595</v>
      </c>
      <c r="F2694" s="1" t="s">
        <v>473</v>
      </c>
      <c r="G2694" s="1" t="s">
        <v>279</v>
      </c>
      <c r="H2694" s="1" t="n">
        <v>180</v>
      </c>
      <c r="I2694" s="1" t="str">
        <f aca="false">B2694&amp;"|"&amp;F2694&amp;"|"&amp;G2694</f>
        <v>Middle (Junior High) Schools|S|Average</v>
      </c>
      <c r="J2694" s="1" t="s">
        <v>1216</v>
      </c>
    </row>
    <row r="2695" customFormat="false" ht="12" hidden="false" customHeight="true" outlineLevel="0" collapsed="false">
      <c r="B2695" s="1" t="s">
        <v>1214</v>
      </c>
      <c r="C2695" s="1" t="s">
        <v>1215</v>
      </c>
      <c r="D2695" s="1" t="s">
        <v>517</v>
      </c>
      <c r="E2695" s="1" t="s">
        <v>595</v>
      </c>
      <c r="F2695" s="1" t="s">
        <v>473</v>
      </c>
      <c r="G2695" s="1" t="s">
        <v>480</v>
      </c>
      <c r="H2695" s="1" t="n">
        <v>144</v>
      </c>
      <c r="I2695" s="1" t="str">
        <f aca="false">B2695&amp;"|"&amp;F2695&amp;"|"&amp;G2695</f>
        <v>Middle (Junior High) Schools|S|Low Cost</v>
      </c>
      <c r="J2695" s="1" t="s">
        <v>1216</v>
      </c>
    </row>
    <row r="2696" customFormat="false" ht="12" hidden="false" customHeight="true" outlineLevel="0" collapsed="false">
      <c r="B2696" s="1" t="s">
        <v>1217</v>
      </c>
      <c r="C2696" s="1" t="s">
        <v>1218</v>
      </c>
      <c r="D2696" s="1" t="s">
        <v>517</v>
      </c>
      <c r="E2696" s="1" t="s">
        <v>496</v>
      </c>
      <c r="F2696" s="1" t="s">
        <v>523</v>
      </c>
      <c r="G2696" s="1" t="s">
        <v>485</v>
      </c>
      <c r="H2696" s="1" t="n">
        <v>391</v>
      </c>
      <c r="I2696" s="1" t="str">
        <f aca="false">B2696&amp;"|"&amp;F2696&amp;"|"&amp;G2696</f>
        <v>Elementary Schools|A-B|Excellent</v>
      </c>
      <c r="J2696" s="1" t="s">
        <v>1219</v>
      </c>
    </row>
    <row r="2697" customFormat="false" ht="12" hidden="false" customHeight="true" outlineLevel="0" collapsed="false">
      <c r="B2697" s="1" t="s">
        <v>1217</v>
      </c>
      <c r="C2697" s="1" t="s">
        <v>1218</v>
      </c>
      <c r="D2697" s="1" t="s">
        <v>517</v>
      </c>
      <c r="E2697" s="1" t="s">
        <v>496</v>
      </c>
      <c r="F2697" s="1" t="s">
        <v>523</v>
      </c>
      <c r="G2697" s="1" t="s">
        <v>483</v>
      </c>
      <c r="H2697" s="1" t="n">
        <v>309</v>
      </c>
      <c r="I2697" s="1" t="str">
        <f aca="false">B2697&amp;"|"&amp;F2697&amp;"|"&amp;G2697</f>
        <v>Elementary Schools|A-B|Good</v>
      </c>
      <c r="J2697" s="1" t="s">
        <v>1219</v>
      </c>
    </row>
    <row r="2698" customFormat="false" ht="12" hidden="false" customHeight="true" outlineLevel="0" collapsed="false">
      <c r="B2698" s="1" t="s">
        <v>1217</v>
      </c>
      <c r="C2698" s="1" t="s">
        <v>1218</v>
      </c>
      <c r="D2698" s="1" t="s">
        <v>517</v>
      </c>
      <c r="E2698" s="1" t="s">
        <v>496</v>
      </c>
      <c r="F2698" s="1" t="s">
        <v>523</v>
      </c>
      <c r="G2698" s="1" t="s">
        <v>279</v>
      </c>
      <c r="H2698" s="1" t="n">
        <v>255</v>
      </c>
      <c r="I2698" s="1" t="str">
        <f aca="false">B2698&amp;"|"&amp;F2698&amp;"|"&amp;G2698</f>
        <v>Elementary Schools|A-B|Average</v>
      </c>
      <c r="J2698" s="1" t="s">
        <v>1219</v>
      </c>
    </row>
    <row r="2699" customFormat="false" ht="12" hidden="false" customHeight="true" outlineLevel="0" collapsed="false">
      <c r="B2699" s="1" t="s">
        <v>1217</v>
      </c>
      <c r="C2699" s="1" t="s">
        <v>1218</v>
      </c>
      <c r="D2699" s="1" t="s">
        <v>517</v>
      </c>
      <c r="E2699" s="1" t="s">
        <v>496</v>
      </c>
      <c r="F2699" s="1" t="s">
        <v>463</v>
      </c>
      <c r="G2699" s="1" t="s">
        <v>485</v>
      </c>
      <c r="H2699" s="1" t="n">
        <v>329</v>
      </c>
      <c r="I2699" s="1" t="str">
        <f aca="false">B2699&amp;"|"&amp;F2699&amp;"|"&amp;G2699</f>
        <v>Elementary Schools|C|Excellent</v>
      </c>
      <c r="J2699" s="1" t="s">
        <v>1219</v>
      </c>
    </row>
    <row r="2700" customFormat="false" ht="12" hidden="false" customHeight="true" outlineLevel="0" collapsed="false">
      <c r="B2700" s="1" t="s">
        <v>1217</v>
      </c>
      <c r="C2700" s="1" t="s">
        <v>1218</v>
      </c>
      <c r="D2700" s="1" t="s">
        <v>517</v>
      </c>
      <c r="E2700" s="1" t="s">
        <v>496</v>
      </c>
      <c r="F2700" s="1" t="s">
        <v>463</v>
      </c>
      <c r="G2700" s="1" t="s">
        <v>483</v>
      </c>
      <c r="H2700" s="1" t="n">
        <v>256</v>
      </c>
      <c r="I2700" s="1" t="str">
        <f aca="false">B2700&amp;"|"&amp;F2700&amp;"|"&amp;G2700</f>
        <v>Elementary Schools|C|Good</v>
      </c>
      <c r="J2700" s="1" t="s">
        <v>1219</v>
      </c>
    </row>
    <row r="2701" customFormat="false" ht="12" hidden="false" customHeight="true" outlineLevel="0" collapsed="false">
      <c r="B2701" s="1" t="s">
        <v>1217</v>
      </c>
      <c r="C2701" s="1" t="s">
        <v>1218</v>
      </c>
      <c r="D2701" s="1" t="s">
        <v>517</v>
      </c>
      <c r="E2701" s="1" t="s">
        <v>496</v>
      </c>
      <c r="F2701" s="1" t="s">
        <v>463</v>
      </c>
      <c r="G2701" s="1" t="s">
        <v>279</v>
      </c>
      <c r="H2701" s="1" t="n">
        <v>199</v>
      </c>
      <c r="I2701" s="1" t="str">
        <f aca="false">B2701&amp;"|"&amp;F2701&amp;"|"&amp;G2701</f>
        <v>Elementary Schools|C|Average</v>
      </c>
      <c r="J2701" s="1" t="s">
        <v>1219</v>
      </c>
    </row>
    <row r="2702" customFormat="false" ht="12" hidden="false" customHeight="true" outlineLevel="0" collapsed="false">
      <c r="B2702" s="1" t="s">
        <v>1217</v>
      </c>
      <c r="C2702" s="1" t="s">
        <v>1218</v>
      </c>
      <c r="D2702" s="1" t="s">
        <v>517</v>
      </c>
      <c r="E2702" s="1" t="s">
        <v>496</v>
      </c>
      <c r="F2702" s="1" t="s">
        <v>463</v>
      </c>
      <c r="G2702" s="1" t="s">
        <v>480</v>
      </c>
      <c r="H2702" s="1" t="n">
        <v>158</v>
      </c>
      <c r="I2702" s="1" t="str">
        <f aca="false">B2702&amp;"|"&amp;F2702&amp;"|"&amp;G2702</f>
        <v>Elementary Schools|C|Low Cost</v>
      </c>
      <c r="J2702" s="1" t="s">
        <v>1219</v>
      </c>
    </row>
    <row r="2703" customFormat="false" ht="12" hidden="false" customHeight="true" outlineLevel="0" collapsed="false">
      <c r="B2703" s="1" t="s">
        <v>1217</v>
      </c>
      <c r="C2703" s="1" t="s">
        <v>1218</v>
      </c>
      <c r="D2703" s="1" t="s">
        <v>517</v>
      </c>
      <c r="E2703" s="1" t="s">
        <v>496</v>
      </c>
      <c r="F2703" s="1" t="s">
        <v>468</v>
      </c>
      <c r="G2703" s="1" t="s">
        <v>485</v>
      </c>
      <c r="H2703" s="1" t="n">
        <v>323</v>
      </c>
      <c r="I2703" s="1" t="str">
        <f aca="false">B2703&amp;"|"&amp;F2703&amp;"|"&amp;G2703</f>
        <v>Elementary Schools|D|Excellent</v>
      </c>
      <c r="J2703" s="1" t="s">
        <v>1219</v>
      </c>
    </row>
    <row r="2704" customFormat="false" ht="12" hidden="false" customHeight="true" outlineLevel="0" collapsed="false">
      <c r="B2704" s="1" t="s">
        <v>1217</v>
      </c>
      <c r="C2704" s="1" t="s">
        <v>1218</v>
      </c>
      <c r="D2704" s="1" t="s">
        <v>517</v>
      </c>
      <c r="E2704" s="1" t="s">
        <v>496</v>
      </c>
      <c r="F2704" s="1" t="s">
        <v>468</v>
      </c>
      <c r="G2704" s="1" t="s">
        <v>483</v>
      </c>
      <c r="H2704" s="1" t="n">
        <v>250</v>
      </c>
      <c r="I2704" s="1" t="str">
        <f aca="false">B2704&amp;"|"&amp;F2704&amp;"|"&amp;G2704</f>
        <v>Elementary Schools|D|Good</v>
      </c>
      <c r="J2704" s="1" t="s">
        <v>1219</v>
      </c>
    </row>
    <row r="2705" customFormat="false" ht="12" hidden="false" customHeight="true" outlineLevel="0" collapsed="false">
      <c r="B2705" s="1" t="s">
        <v>1217</v>
      </c>
      <c r="C2705" s="1" t="s">
        <v>1218</v>
      </c>
      <c r="D2705" s="1" t="s">
        <v>517</v>
      </c>
      <c r="E2705" s="1" t="s">
        <v>496</v>
      </c>
      <c r="F2705" s="1" t="s">
        <v>468</v>
      </c>
      <c r="G2705" s="1" t="s">
        <v>279</v>
      </c>
      <c r="H2705" s="1" t="n">
        <v>193</v>
      </c>
      <c r="I2705" s="1" t="str">
        <f aca="false">B2705&amp;"|"&amp;F2705&amp;"|"&amp;G2705</f>
        <v>Elementary Schools|D|Average</v>
      </c>
      <c r="J2705" s="1" t="s">
        <v>1219</v>
      </c>
    </row>
    <row r="2706" customFormat="false" ht="12" hidden="false" customHeight="true" outlineLevel="0" collapsed="false">
      <c r="B2706" s="1" t="s">
        <v>1217</v>
      </c>
      <c r="C2706" s="1" t="s">
        <v>1218</v>
      </c>
      <c r="D2706" s="1" t="s">
        <v>517</v>
      </c>
      <c r="E2706" s="1" t="s">
        <v>496</v>
      </c>
      <c r="F2706" s="1" t="s">
        <v>468</v>
      </c>
      <c r="G2706" s="1" t="s">
        <v>480</v>
      </c>
      <c r="H2706" s="1" t="n">
        <v>152</v>
      </c>
      <c r="I2706" s="1" t="str">
        <f aca="false">B2706&amp;"|"&amp;F2706&amp;"|"&amp;G2706</f>
        <v>Elementary Schools|D|Low Cost</v>
      </c>
      <c r="J2706" s="1" t="s">
        <v>1219</v>
      </c>
    </row>
    <row r="2707" customFormat="false" ht="12" hidden="false" customHeight="true" outlineLevel="0" collapsed="false">
      <c r="B2707" s="1" t="s">
        <v>1217</v>
      </c>
      <c r="C2707" s="1" t="s">
        <v>1218</v>
      </c>
      <c r="D2707" s="1" t="s">
        <v>517</v>
      </c>
      <c r="E2707" s="1" t="s">
        <v>496</v>
      </c>
      <c r="F2707" s="1" t="s">
        <v>566</v>
      </c>
      <c r="G2707" s="1" t="s">
        <v>279</v>
      </c>
      <c r="H2707" s="1" t="n">
        <v>186</v>
      </c>
      <c r="I2707" s="1" t="str">
        <f aca="false">B2707&amp;"|"&amp;F2707&amp;"|"&amp;G2707</f>
        <v>Elementary Schools|DPOLE|Average</v>
      </c>
      <c r="J2707" s="1" t="s">
        <v>1219</v>
      </c>
    </row>
    <row r="2708" customFormat="false" ht="12" hidden="false" customHeight="true" outlineLevel="0" collapsed="false">
      <c r="B2708" s="1" t="s">
        <v>1217</v>
      </c>
      <c r="C2708" s="1" t="s">
        <v>1218</v>
      </c>
      <c r="D2708" s="1" t="s">
        <v>517</v>
      </c>
      <c r="E2708" s="1" t="s">
        <v>496</v>
      </c>
      <c r="F2708" s="1" t="s">
        <v>566</v>
      </c>
      <c r="G2708" s="1" t="s">
        <v>480</v>
      </c>
      <c r="H2708" s="1" t="n">
        <v>146</v>
      </c>
      <c r="I2708" s="1" t="str">
        <f aca="false">B2708&amp;"|"&amp;F2708&amp;"|"&amp;G2708</f>
        <v>Elementary Schools|DPOLE|Low Cost</v>
      </c>
      <c r="J2708" s="1" t="s">
        <v>1219</v>
      </c>
    </row>
    <row r="2709" customFormat="false" ht="12" hidden="false" customHeight="true" outlineLevel="0" collapsed="false">
      <c r="B2709" s="1" t="s">
        <v>1217</v>
      </c>
      <c r="C2709" s="1" t="s">
        <v>1218</v>
      </c>
      <c r="D2709" s="1" t="s">
        <v>517</v>
      </c>
      <c r="E2709" s="1" t="s">
        <v>496</v>
      </c>
      <c r="F2709" s="1" t="s">
        <v>473</v>
      </c>
      <c r="G2709" s="1" t="s">
        <v>483</v>
      </c>
      <c r="H2709" s="1" t="n">
        <v>246</v>
      </c>
      <c r="I2709" s="1" t="str">
        <f aca="false">B2709&amp;"|"&amp;F2709&amp;"|"&amp;G2709</f>
        <v>Elementary Schools|S|Good</v>
      </c>
      <c r="J2709" s="1" t="s">
        <v>1219</v>
      </c>
    </row>
    <row r="2710" customFormat="false" ht="12" hidden="false" customHeight="true" outlineLevel="0" collapsed="false">
      <c r="B2710" s="1" t="s">
        <v>1217</v>
      </c>
      <c r="C2710" s="1" t="s">
        <v>1218</v>
      </c>
      <c r="D2710" s="1" t="s">
        <v>517</v>
      </c>
      <c r="E2710" s="1" t="s">
        <v>496</v>
      </c>
      <c r="F2710" s="1" t="s">
        <v>473</v>
      </c>
      <c r="G2710" s="1" t="s">
        <v>279</v>
      </c>
      <c r="H2710" s="1" t="n">
        <v>187</v>
      </c>
      <c r="I2710" s="1" t="str">
        <f aca="false">B2710&amp;"|"&amp;F2710&amp;"|"&amp;G2710</f>
        <v>Elementary Schools|S|Average</v>
      </c>
      <c r="J2710" s="1" t="s">
        <v>1219</v>
      </c>
    </row>
    <row r="2711" customFormat="false" ht="12" hidden="false" customHeight="true" outlineLevel="0" collapsed="false">
      <c r="B2711" s="1" t="s">
        <v>1217</v>
      </c>
      <c r="C2711" s="1" t="s">
        <v>1218</v>
      </c>
      <c r="D2711" s="1" t="s">
        <v>517</v>
      </c>
      <c r="E2711" s="1" t="s">
        <v>496</v>
      </c>
      <c r="F2711" s="1" t="s">
        <v>473</v>
      </c>
      <c r="G2711" s="1" t="s">
        <v>480</v>
      </c>
      <c r="H2711" s="1" t="n">
        <v>147</v>
      </c>
      <c r="I2711" s="1" t="str">
        <f aca="false">B2711&amp;"|"&amp;F2711&amp;"|"&amp;G2711</f>
        <v>Elementary Schools|S|Low Cost</v>
      </c>
      <c r="J2711" s="1" t="s">
        <v>1219</v>
      </c>
    </row>
    <row r="2712" customFormat="false" ht="12" hidden="false" customHeight="true" outlineLevel="0" collapsed="false">
      <c r="B2712" s="1" t="s">
        <v>1220</v>
      </c>
      <c r="C2712" s="1" t="s">
        <v>1221</v>
      </c>
      <c r="D2712" s="1" t="s">
        <v>517</v>
      </c>
      <c r="E2712" s="1" t="s">
        <v>590</v>
      </c>
      <c r="F2712" s="1" t="s">
        <v>456</v>
      </c>
      <c r="G2712" s="1" t="s">
        <v>483</v>
      </c>
      <c r="H2712" s="1" t="n">
        <v>320</v>
      </c>
      <c r="I2712" s="1" t="str">
        <f aca="false">B2712&amp;"|"&amp;F2712&amp;"|"&amp;G2712</f>
        <v>Vocational Schools|A|Good</v>
      </c>
      <c r="J2712" s="1" t="s">
        <v>1222</v>
      </c>
    </row>
    <row r="2713" customFormat="false" ht="12" hidden="false" customHeight="true" outlineLevel="0" collapsed="false">
      <c r="B2713" s="1" t="s">
        <v>1220</v>
      </c>
      <c r="C2713" s="1" t="s">
        <v>1221</v>
      </c>
      <c r="D2713" s="1" t="s">
        <v>517</v>
      </c>
      <c r="E2713" s="1" t="s">
        <v>590</v>
      </c>
      <c r="F2713" s="1" t="s">
        <v>456</v>
      </c>
      <c r="G2713" s="1" t="s">
        <v>279</v>
      </c>
      <c r="H2713" s="1" t="n">
        <v>242</v>
      </c>
      <c r="I2713" s="1" t="str">
        <f aca="false">B2713&amp;"|"&amp;F2713&amp;"|"&amp;G2713</f>
        <v>Vocational Schools|A|Average</v>
      </c>
      <c r="J2713" s="1" t="s">
        <v>1222</v>
      </c>
    </row>
    <row r="2714" customFormat="false" ht="12" hidden="false" customHeight="true" outlineLevel="0" collapsed="false">
      <c r="B2714" s="1" t="s">
        <v>1220</v>
      </c>
      <c r="C2714" s="1" t="s">
        <v>1221</v>
      </c>
      <c r="D2714" s="1" t="s">
        <v>517</v>
      </c>
      <c r="E2714" s="1" t="s">
        <v>590</v>
      </c>
      <c r="F2714" s="1" t="s">
        <v>461</v>
      </c>
      <c r="G2714" s="1" t="s">
        <v>483</v>
      </c>
      <c r="H2714" s="1" t="n">
        <v>293</v>
      </c>
      <c r="I2714" s="1" t="str">
        <f aca="false">B2714&amp;"|"&amp;F2714&amp;"|"&amp;G2714</f>
        <v>Vocational Schools|B|Good</v>
      </c>
      <c r="J2714" s="1" t="s">
        <v>1222</v>
      </c>
    </row>
    <row r="2715" customFormat="false" ht="12" hidden="false" customHeight="true" outlineLevel="0" collapsed="false">
      <c r="B2715" s="1" t="s">
        <v>1220</v>
      </c>
      <c r="C2715" s="1" t="s">
        <v>1221</v>
      </c>
      <c r="D2715" s="1" t="s">
        <v>517</v>
      </c>
      <c r="E2715" s="1" t="s">
        <v>590</v>
      </c>
      <c r="F2715" s="1" t="s">
        <v>461</v>
      </c>
      <c r="G2715" s="1" t="s">
        <v>279</v>
      </c>
      <c r="H2715" s="1" t="n">
        <v>222</v>
      </c>
      <c r="I2715" s="1" t="str">
        <f aca="false">B2715&amp;"|"&amp;F2715&amp;"|"&amp;G2715</f>
        <v>Vocational Schools|B|Average</v>
      </c>
      <c r="J2715" s="1" t="s">
        <v>1222</v>
      </c>
    </row>
    <row r="2716" customFormat="false" ht="12" hidden="false" customHeight="true" outlineLevel="0" collapsed="false">
      <c r="B2716" s="1" t="s">
        <v>1220</v>
      </c>
      <c r="C2716" s="1" t="s">
        <v>1221</v>
      </c>
      <c r="D2716" s="1" t="s">
        <v>517</v>
      </c>
      <c r="E2716" s="1" t="s">
        <v>590</v>
      </c>
      <c r="F2716" s="1" t="s">
        <v>463</v>
      </c>
      <c r="G2716" s="1" t="s">
        <v>485</v>
      </c>
      <c r="H2716" s="1" t="n">
        <v>304</v>
      </c>
      <c r="I2716" s="1" t="str">
        <f aca="false">B2716&amp;"|"&amp;F2716&amp;"|"&amp;G2716</f>
        <v>Vocational Schools|C|Excellent</v>
      </c>
      <c r="J2716" s="1" t="s">
        <v>1222</v>
      </c>
    </row>
    <row r="2717" customFormat="false" ht="12" hidden="false" customHeight="true" outlineLevel="0" collapsed="false">
      <c r="B2717" s="1" t="s">
        <v>1220</v>
      </c>
      <c r="C2717" s="1" t="s">
        <v>1221</v>
      </c>
      <c r="D2717" s="1" t="s">
        <v>517</v>
      </c>
      <c r="E2717" s="1" t="s">
        <v>590</v>
      </c>
      <c r="F2717" s="1" t="s">
        <v>463</v>
      </c>
      <c r="G2717" s="1" t="s">
        <v>483</v>
      </c>
      <c r="H2717" s="1" t="n">
        <v>228</v>
      </c>
      <c r="I2717" s="1" t="str">
        <f aca="false">B2717&amp;"|"&amp;F2717&amp;"|"&amp;G2717</f>
        <v>Vocational Schools|C|Good</v>
      </c>
      <c r="J2717" s="1" t="s">
        <v>1222</v>
      </c>
    </row>
    <row r="2718" customFormat="false" ht="12" hidden="false" customHeight="true" outlineLevel="0" collapsed="false">
      <c r="B2718" s="1" t="s">
        <v>1220</v>
      </c>
      <c r="C2718" s="1" t="s">
        <v>1221</v>
      </c>
      <c r="D2718" s="1" t="s">
        <v>517</v>
      </c>
      <c r="E2718" s="1" t="s">
        <v>590</v>
      </c>
      <c r="F2718" s="1" t="s">
        <v>463</v>
      </c>
      <c r="G2718" s="1" t="s">
        <v>279</v>
      </c>
      <c r="H2718" s="1" t="n">
        <v>170</v>
      </c>
      <c r="I2718" s="1" t="str">
        <f aca="false">B2718&amp;"|"&amp;F2718&amp;"|"&amp;G2718</f>
        <v>Vocational Schools|C|Average</v>
      </c>
      <c r="J2718" s="1" t="s">
        <v>1222</v>
      </c>
    </row>
    <row r="2719" customFormat="false" ht="12" hidden="false" customHeight="true" outlineLevel="0" collapsed="false">
      <c r="B2719" s="1" t="s">
        <v>1220</v>
      </c>
      <c r="C2719" s="1" t="s">
        <v>1221</v>
      </c>
      <c r="D2719" s="1" t="s">
        <v>517</v>
      </c>
      <c r="E2719" s="1" t="s">
        <v>590</v>
      </c>
      <c r="F2719" s="1" t="s">
        <v>463</v>
      </c>
      <c r="G2719" s="1" t="s">
        <v>480</v>
      </c>
      <c r="H2719" s="1" t="n">
        <v>131</v>
      </c>
      <c r="I2719" s="1" t="str">
        <f aca="false">B2719&amp;"|"&amp;F2719&amp;"|"&amp;G2719</f>
        <v>Vocational Schools|C|Low Cost</v>
      </c>
      <c r="J2719" s="1" t="s">
        <v>1222</v>
      </c>
    </row>
    <row r="2720" customFormat="false" ht="12" hidden="false" customHeight="true" outlineLevel="0" collapsed="false">
      <c r="B2720" s="1" t="s">
        <v>1220</v>
      </c>
      <c r="C2720" s="1" t="s">
        <v>1221</v>
      </c>
      <c r="D2720" s="1" t="s">
        <v>517</v>
      </c>
      <c r="E2720" s="1" t="s">
        <v>590</v>
      </c>
      <c r="F2720" s="1" t="s">
        <v>468</v>
      </c>
      <c r="G2720" s="1" t="s">
        <v>485</v>
      </c>
      <c r="H2720" s="1" t="n">
        <v>300</v>
      </c>
      <c r="I2720" s="1" t="str">
        <f aca="false">B2720&amp;"|"&amp;F2720&amp;"|"&amp;G2720</f>
        <v>Vocational Schools|D|Excellent</v>
      </c>
      <c r="J2720" s="1" t="s">
        <v>1222</v>
      </c>
    </row>
    <row r="2721" customFormat="false" ht="12" hidden="false" customHeight="true" outlineLevel="0" collapsed="false">
      <c r="B2721" s="1" t="s">
        <v>1220</v>
      </c>
      <c r="C2721" s="1" t="s">
        <v>1221</v>
      </c>
      <c r="D2721" s="1" t="s">
        <v>517</v>
      </c>
      <c r="E2721" s="1" t="s">
        <v>590</v>
      </c>
      <c r="F2721" s="1" t="s">
        <v>468</v>
      </c>
      <c r="G2721" s="1" t="s">
        <v>483</v>
      </c>
      <c r="H2721" s="1" t="n">
        <v>223</v>
      </c>
      <c r="I2721" s="1" t="str">
        <f aca="false">B2721&amp;"|"&amp;F2721&amp;"|"&amp;G2721</f>
        <v>Vocational Schools|D|Good</v>
      </c>
      <c r="J2721" s="1" t="s">
        <v>1222</v>
      </c>
    </row>
    <row r="2722" customFormat="false" ht="12" hidden="false" customHeight="true" outlineLevel="0" collapsed="false">
      <c r="B2722" s="1" t="s">
        <v>1220</v>
      </c>
      <c r="C2722" s="1" t="s">
        <v>1221</v>
      </c>
      <c r="D2722" s="1" t="s">
        <v>517</v>
      </c>
      <c r="E2722" s="1" t="s">
        <v>590</v>
      </c>
      <c r="F2722" s="1" t="s">
        <v>468</v>
      </c>
      <c r="G2722" s="1" t="s">
        <v>279</v>
      </c>
      <c r="H2722" s="1" t="n">
        <v>165</v>
      </c>
      <c r="I2722" s="1" t="str">
        <f aca="false">B2722&amp;"|"&amp;F2722&amp;"|"&amp;G2722</f>
        <v>Vocational Schools|D|Average</v>
      </c>
      <c r="J2722" s="1" t="s">
        <v>1222</v>
      </c>
    </row>
    <row r="2723" customFormat="false" ht="12" hidden="false" customHeight="true" outlineLevel="0" collapsed="false">
      <c r="B2723" s="1" t="s">
        <v>1220</v>
      </c>
      <c r="C2723" s="1" t="s">
        <v>1221</v>
      </c>
      <c r="D2723" s="1" t="s">
        <v>517</v>
      </c>
      <c r="E2723" s="1" t="s">
        <v>590</v>
      </c>
      <c r="F2723" s="1" t="s">
        <v>468</v>
      </c>
      <c r="G2723" s="1" t="s">
        <v>480</v>
      </c>
      <c r="H2723" s="1" t="n">
        <v>126</v>
      </c>
      <c r="I2723" s="1" t="str">
        <f aca="false">B2723&amp;"|"&amp;F2723&amp;"|"&amp;G2723</f>
        <v>Vocational Schools|D|Low Cost</v>
      </c>
      <c r="J2723" s="1" t="s">
        <v>1222</v>
      </c>
    </row>
    <row r="2724" customFormat="false" ht="12" hidden="false" customHeight="true" outlineLevel="0" collapsed="false">
      <c r="B2724" s="1" t="s">
        <v>1220</v>
      </c>
      <c r="C2724" s="1" t="s">
        <v>1221</v>
      </c>
      <c r="D2724" s="1" t="s">
        <v>517</v>
      </c>
      <c r="E2724" s="1" t="s">
        <v>590</v>
      </c>
      <c r="F2724" s="1" t="s">
        <v>566</v>
      </c>
      <c r="G2724" s="1" t="s">
        <v>483</v>
      </c>
      <c r="H2724" s="1" t="n">
        <v>214</v>
      </c>
      <c r="I2724" s="1" t="str">
        <f aca="false">B2724&amp;"|"&amp;F2724&amp;"|"&amp;G2724</f>
        <v>Vocational Schools|DPOLE|Good</v>
      </c>
      <c r="J2724" s="1" t="s">
        <v>1222</v>
      </c>
    </row>
    <row r="2725" customFormat="false" ht="12" hidden="false" customHeight="true" outlineLevel="0" collapsed="false">
      <c r="B2725" s="1" t="s">
        <v>1220</v>
      </c>
      <c r="C2725" s="1" t="s">
        <v>1221</v>
      </c>
      <c r="D2725" s="1" t="s">
        <v>517</v>
      </c>
      <c r="E2725" s="1" t="s">
        <v>590</v>
      </c>
      <c r="F2725" s="1" t="s">
        <v>566</v>
      </c>
      <c r="G2725" s="1" t="s">
        <v>279</v>
      </c>
      <c r="H2725" s="1" t="n">
        <v>157</v>
      </c>
      <c r="I2725" s="1" t="str">
        <f aca="false">B2725&amp;"|"&amp;F2725&amp;"|"&amp;G2725</f>
        <v>Vocational Schools|DPOLE|Average</v>
      </c>
      <c r="J2725" s="1" t="s">
        <v>1222</v>
      </c>
    </row>
    <row r="2726" customFormat="false" ht="12" hidden="false" customHeight="true" outlineLevel="0" collapsed="false">
      <c r="B2726" s="1" t="s">
        <v>1220</v>
      </c>
      <c r="C2726" s="1" t="s">
        <v>1221</v>
      </c>
      <c r="D2726" s="1" t="s">
        <v>517</v>
      </c>
      <c r="E2726" s="1" t="s">
        <v>590</v>
      </c>
      <c r="F2726" s="1" t="s">
        <v>566</v>
      </c>
      <c r="G2726" s="1" t="s">
        <v>480</v>
      </c>
      <c r="H2726" s="1" t="n">
        <v>119</v>
      </c>
      <c r="I2726" s="1" t="str">
        <f aca="false">B2726&amp;"|"&amp;F2726&amp;"|"&amp;G2726</f>
        <v>Vocational Schools|DPOLE|Low Cost</v>
      </c>
      <c r="J2726" s="1" t="s">
        <v>1222</v>
      </c>
    </row>
    <row r="2727" customFormat="false" ht="12" hidden="false" customHeight="true" outlineLevel="0" collapsed="false">
      <c r="B2727" s="1" t="s">
        <v>1220</v>
      </c>
      <c r="C2727" s="1" t="s">
        <v>1221</v>
      </c>
      <c r="D2727" s="1" t="s">
        <v>517</v>
      </c>
      <c r="E2727" s="1" t="s">
        <v>590</v>
      </c>
      <c r="F2727" s="1" t="s">
        <v>473</v>
      </c>
      <c r="G2727" s="1" t="s">
        <v>483</v>
      </c>
      <c r="H2727" s="1" t="n">
        <v>217</v>
      </c>
      <c r="I2727" s="1" t="str">
        <f aca="false">B2727&amp;"|"&amp;F2727&amp;"|"&amp;G2727</f>
        <v>Vocational Schools|S|Good</v>
      </c>
      <c r="J2727" s="1" t="s">
        <v>1222</v>
      </c>
    </row>
    <row r="2728" customFormat="false" ht="12" hidden="false" customHeight="true" outlineLevel="0" collapsed="false">
      <c r="B2728" s="1" t="s">
        <v>1220</v>
      </c>
      <c r="C2728" s="1" t="s">
        <v>1221</v>
      </c>
      <c r="D2728" s="1" t="s">
        <v>517</v>
      </c>
      <c r="E2728" s="1" t="s">
        <v>590</v>
      </c>
      <c r="F2728" s="1" t="s">
        <v>473</v>
      </c>
      <c r="G2728" s="1" t="s">
        <v>279</v>
      </c>
      <c r="H2728" s="1" t="n">
        <v>159</v>
      </c>
      <c r="I2728" s="1" t="str">
        <f aca="false">B2728&amp;"|"&amp;F2728&amp;"|"&amp;G2728</f>
        <v>Vocational Schools|S|Average</v>
      </c>
      <c r="J2728" s="1" t="s">
        <v>1222</v>
      </c>
    </row>
    <row r="2729" customFormat="false" ht="12" hidden="false" customHeight="true" outlineLevel="0" collapsed="false">
      <c r="B2729" s="1" t="s">
        <v>1220</v>
      </c>
      <c r="C2729" s="1" t="s">
        <v>1221</v>
      </c>
      <c r="D2729" s="1" t="s">
        <v>517</v>
      </c>
      <c r="E2729" s="1" t="s">
        <v>590</v>
      </c>
      <c r="F2729" s="1" t="s">
        <v>473</v>
      </c>
      <c r="G2729" s="1" t="s">
        <v>480</v>
      </c>
      <c r="H2729" s="1" t="n">
        <v>121</v>
      </c>
      <c r="I2729" s="1" t="str">
        <f aca="false">B2729&amp;"|"&amp;F2729&amp;"|"&amp;G2729</f>
        <v>Vocational Schools|S|Low Cost</v>
      </c>
      <c r="J2729" s="1" t="s">
        <v>1222</v>
      </c>
    </row>
    <row r="2730" customFormat="false" ht="12" hidden="false" customHeight="true" outlineLevel="0" collapsed="false">
      <c r="B2730" s="1" t="s">
        <v>1223</v>
      </c>
      <c r="C2730" s="1" t="s">
        <v>1224</v>
      </c>
      <c r="D2730" s="1" t="s">
        <v>517</v>
      </c>
      <c r="E2730" s="1" t="s">
        <v>497</v>
      </c>
      <c r="F2730" s="1" t="s">
        <v>523</v>
      </c>
      <c r="G2730" s="1" t="s">
        <v>279</v>
      </c>
      <c r="H2730" s="1" t="n">
        <v>255</v>
      </c>
      <c r="I2730" s="1" t="str">
        <f aca="false">B2730&amp;"|"&amp;F2730&amp;"|"&amp;G2730</f>
        <v>Alternative (High) Schools|A-B|Average</v>
      </c>
      <c r="J2730" s="1" t="s">
        <v>1225</v>
      </c>
    </row>
    <row r="2731" customFormat="false" ht="12" hidden="false" customHeight="true" outlineLevel="0" collapsed="false">
      <c r="B2731" s="1" t="s">
        <v>1223</v>
      </c>
      <c r="C2731" s="1" t="s">
        <v>1224</v>
      </c>
      <c r="D2731" s="1" t="s">
        <v>517</v>
      </c>
      <c r="E2731" s="1" t="s">
        <v>497</v>
      </c>
      <c r="F2731" s="1" t="s">
        <v>463</v>
      </c>
      <c r="G2731" s="1" t="s">
        <v>485</v>
      </c>
      <c r="H2731" s="1" t="n">
        <v>313</v>
      </c>
      <c r="I2731" s="1" t="str">
        <f aca="false">B2731&amp;"|"&amp;F2731&amp;"|"&amp;G2731</f>
        <v>Alternative (High) Schools|C|Excellent</v>
      </c>
      <c r="J2731" s="1" t="s">
        <v>1225</v>
      </c>
    </row>
    <row r="2732" customFormat="false" ht="12" hidden="false" customHeight="true" outlineLevel="0" collapsed="false">
      <c r="B2732" s="1" t="s">
        <v>1223</v>
      </c>
      <c r="C2732" s="1" t="s">
        <v>1224</v>
      </c>
      <c r="D2732" s="1" t="s">
        <v>517</v>
      </c>
      <c r="E2732" s="1" t="s">
        <v>497</v>
      </c>
      <c r="F2732" s="1" t="s">
        <v>463</v>
      </c>
      <c r="G2732" s="1" t="s">
        <v>483</v>
      </c>
      <c r="H2732" s="1" t="n">
        <v>248</v>
      </c>
      <c r="I2732" s="1" t="str">
        <f aca="false">B2732&amp;"|"&amp;F2732&amp;"|"&amp;G2732</f>
        <v>Alternative (High) Schools|C|Good</v>
      </c>
      <c r="J2732" s="1" t="s">
        <v>1225</v>
      </c>
    </row>
    <row r="2733" customFormat="false" ht="12" hidden="false" customHeight="true" outlineLevel="0" collapsed="false">
      <c r="B2733" s="1" t="s">
        <v>1223</v>
      </c>
      <c r="C2733" s="1" t="s">
        <v>1224</v>
      </c>
      <c r="D2733" s="1" t="s">
        <v>517</v>
      </c>
      <c r="E2733" s="1" t="s">
        <v>497</v>
      </c>
      <c r="F2733" s="1" t="s">
        <v>463</v>
      </c>
      <c r="G2733" s="1" t="s">
        <v>279</v>
      </c>
      <c r="H2733" s="1" t="n">
        <v>195</v>
      </c>
      <c r="I2733" s="1" t="str">
        <f aca="false">B2733&amp;"|"&amp;F2733&amp;"|"&amp;G2733</f>
        <v>Alternative (High) Schools|C|Average</v>
      </c>
      <c r="J2733" s="1" t="s">
        <v>1225</v>
      </c>
    </row>
    <row r="2734" customFormat="false" ht="12" hidden="false" customHeight="true" outlineLevel="0" collapsed="false">
      <c r="B2734" s="1" t="s">
        <v>1223</v>
      </c>
      <c r="C2734" s="1" t="s">
        <v>1224</v>
      </c>
      <c r="D2734" s="1" t="s">
        <v>517</v>
      </c>
      <c r="E2734" s="1" t="s">
        <v>497</v>
      </c>
      <c r="F2734" s="1" t="s">
        <v>468</v>
      </c>
      <c r="G2734" s="1" t="s">
        <v>485</v>
      </c>
      <c r="H2734" s="1" t="n">
        <v>308</v>
      </c>
      <c r="I2734" s="1" t="str">
        <f aca="false">B2734&amp;"|"&amp;F2734&amp;"|"&amp;G2734</f>
        <v>Alternative (High) Schools|D|Excellent</v>
      </c>
      <c r="J2734" s="1" t="s">
        <v>1225</v>
      </c>
    </row>
    <row r="2735" customFormat="false" ht="12" hidden="false" customHeight="true" outlineLevel="0" collapsed="false">
      <c r="B2735" s="1" t="s">
        <v>1223</v>
      </c>
      <c r="C2735" s="1" t="s">
        <v>1224</v>
      </c>
      <c r="D2735" s="1" t="s">
        <v>517</v>
      </c>
      <c r="E2735" s="1" t="s">
        <v>497</v>
      </c>
      <c r="F2735" s="1" t="s">
        <v>468</v>
      </c>
      <c r="G2735" s="1" t="s">
        <v>483</v>
      </c>
      <c r="H2735" s="1" t="n">
        <v>242</v>
      </c>
      <c r="I2735" s="1" t="str">
        <f aca="false">B2735&amp;"|"&amp;F2735&amp;"|"&amp;G2735</f>
        <v>Alternative (High) Schools|D|Good</v>
      </c>
      <c r="J2735" s="1" t="s">
        <v>1225</v>
      </c>
    </row>
    <row r="2736" customFormat="false" ht="12" hidden="false" customHeight="true" outlineLevel="0" collapsed="false">
      <c r="B2736" s="1" t="s">
        <v>1223</v>
      </c>
      <c r="C2736" s="1" t="s">
        <v>1224</v>
      </c>
      <c r="D2736" s="1" t="s">
        <v>517</v>
      </c>
      <c r="E2736" s="1" t="s">
        <v>497</v>
      </c>
      <c r="F2736" s="1" t="s">
        <v>468</v>
      </c>
      <c r="G2736" s="1" t="s">
        <v>279</v>
      </c>
      <c r="H2736" s="1" t="n">
        <v>189</v>
      </c>
      <c r="I2736" s="1" t="str">
        <f aca="false">B2736&amp;"|"&amp;F2736&amp;"|"&amp;G2736</f>
        <v>Alternative (High) Schools|D|Average</v>
      </c>
      <c r="J2736" s="1" t="s">
        <v>1225</v>
      </c>
    </row>
    <row r="2737" customFormat="false" ht="12" hidden="false" customHeight="true" outlineLevel="0" collapsed="false">
      <c r="B2737" s="1" t="s">
        <v>1223</v>
      </c>
      <c r="C2737" s="1" t="s">
        <v>1224</v>
      </c>
      <c r="D2737" s="1" t="s">
        <v>517</v>
      </c>
      <c r="E2737" s="1" t="s">
        <v>497</v>
      </c>
      <c r="F2737" s="1" t="s">
        <v>566</v>
      </c>
      <c r="G2737" s="1" t="s">
        <v>279</v>
      </c>
      <c r="H2737" s="1" t="n">
        <v>183</v>
      </c>
      <c r="I2737" s="1" t="str">
        <f aca="false">B2737&amp;"|"&amp;F2737&amp;"|"&amp;G2737</f>
        <v>Alternative (High) Schools|DPOLE|Average</v>
      </c>
      <c r="J2737" s="1" t="s">
        <v>1225</v>
      </c>
    </row>
    <row r="2738" customFormat="false" ht="12" hidden="false" customHeight="true" outlineLevel="0" collapsed="false">
      <c r="B2738" s="1" t="s">
        <v>1223</v>
      </c>
      <c r="C2738" s="1" t="s">
        <v>1224</v>
      </c>
      <c r="D2738" s="1" t="s">
        <v>517</v>
      </c>
      <c r="E2738" s="1" t="s">
        <v>497</v>
      </c>
      <c r="F2738" s="1" t="s">
        <v>473</v>
      </c>
      <c r="G2738" s="1" t="s">
        <v>483</v>
      </c>
      <c r="H2738" s="1" t="n">
        <v>238</v>
      </c>
      <c r="I2738" s="1" t="str">
        <f aca="false">B2738&amp;"|"&amp;F2738&amp;"|"&amp;G2738</f>
        <v>Alternative (High) Schools|S|Good</v>
      </c>
      <c r="J2738" s="1" t="s">
        <v>1225</v>
      </c>
    </row>
    <row r="2739" customFormat="false" ht="12" hidden="false" customHeight="true" outlineLevel="0" collapsed="false">
      <c r="B2739" s="1" t="s">
        <v>1223</v>
      </c>
      <c r="C2739" s="1" t="s">
        <v>1224</v>
      </c>
      <c r="D2739" s="1" t="s">
        <v>517</v>
      </c>
      <c r="E2739" s="1" t="s">
        <v>497</v>
      </c>
      <c r="F2739" s="1" t="s">
        <v>473</v>
      </c>
      <c r="G2739" s="1" t="s">
        <v>279</v>
      </c>
      <c r="H2739" s="1" t="n">
        <v>184</v>
      </c>
      <c r="I2739" s="1" t="str">
        <f aca="false">B2739&amp;"|"&amp;F2739&amp;"|"&amp;G2739</f>
        <v>Alternative (High) Schools|S|Average</v>
      </c>
      <c r="J2739" s="1" t="s">
        <v>1225</v>
      </c>
    </row>
    <row r="2740" customFormat="false" ht="12" hidden="false" customHeight="true" outlineLevel="0" collapsed="false">
      <c r="B2740" s="1" t="s">
        <v>1226</v>
      </c>
      <c r="C2740" s="1" t="s">
        <v>1227</v>
      </c>
      <c r="D2740" s="1" t="s">
        <v>517</v>
      </c>
      <c r="E2740" s="1" t="s">
        <v>497</v>
      </c>
      <c r="F2740" s="1" t="s">
        <v>523</v>
      </c>
      <c r="G2740" s="1" t="s">
        <v>279</v>
      </c>
      <c r="H2740" s="1" t="n">
        <v>229</v>
      </c>
      <c r="I2740" s="1" t="str">
        <f aca="false">B2740&amp;"|"&amp;F2740&amp;"|"&amp;G2740</f>
        <v>Day Care Centers|A-B|Average</v>
      </c>
      <c r="J2740" s="1" t="s">
        <v>1225</v>
      </c>
    </row>
    <row r="2741" customFormat="false" ht="12" hidden="false" customHeight="true" outlineLevel="0" collapsed="false">
      <c r="B2741" s="1" t="s">
        <v>1226</v>
      </c>
      <c r="C2741" s="1" t="s">
        <v>1227</v>
      </c>
      <c r="D2741" s="1" t="s">
        <v>517</v>
      </c>
      <c r="E2741" s="1" t="s">
        <v>497</v>
      </c>
      <c r="F2741" s="1" t="s">
        <v>463</v>
      </c>
      <c r="G2741" s="1" t="s">
        <v>485</v>
      </c>
      <c r="H2741" s="1" t="n">
        <v>294</v>
      </c>
      <c r="I2741" s="1" t="str">
        <f aca="false">B2741&amp;"|"&amp;F2741&amp;"|"&amp;G2741</f>
        <v>Day Care Centers|C|Excellent</v>
      </c>
      <c r="J2741" s="1" t="s">
        <v>1225</v>
      </c>
    </row>
    <row r="2742" customFormat="false" ht="12" hidden="false" customHeight="true" outlineLevel="0" collapsed="false">
      <c r="B2742" s="1" t="s">
        <v>1226</v>
      </c>
      <c r="C2742" s="1" t="s">
        <v>1227</v>
      </c>
      <c r="D2742" s="1" t="s">
        <v>517</v>
      </c>
      <c r="E2742" s="1" t="s">
        <v>497</v>
      </c>
      <c r="F2742" s="1" t="s">
        <v>463</v>
      </c>
      <c r="G2742" s="1" t="s">
        <v>483</v>
      </c>
      <c r="H2742" s="1" t="n">
        <v>225</v>
      </c>
      <c r="I2742" s="1" t="str">
        <f aca="false">B2742&amp;"|"&amp;F2742&amp;"|"&amp;G2742</f>
        <v>Day Care Centers|C|Good</v>
      </c>
      <c r="J2742" s="1" t="s">
        <v>1225</v>
      </c>
    </row>
    <row r="2743" customFormat="false" ht="12" hidden="false" customHeight="true" outlineLevel="0" collapsed="false">
      <c r="B2743" s="1" t="s">
        <v>1226</v>
      </c>
      <c r="C2743" s="1" t="s">
        <v>1227</v>
      </c>
      <c r="D2743" s="1" t="s">
        <v>517</v>
      </c>
      <c r="E2743" s="1" t="s">
        <v>497</v>
      </c>
      <c r="F2743" s="1" t="s">
        <v>463</v>
      </c>
      <c r="G2743" s="1" t="s">
        <v>279</v>
      </c>
      <c r="H2743" s="1" t="n">
        <v>173</v>
      </c>
      <c r="I2743" s="1" t="str">
        <f aca="false">B2743&amp;"|"&amp;F2743&amp;"|"&amp;G2743</f>
        <v>Day Care Centers|C|Average</v>
      </c>
      <c r="J2743" s="1" t="s">
        <v>1225</v>
      </c>
    </row>
    <row r="2744" customFormat="false" ht="12" hidden="false" customHeight="true" outlineLevel="0" collapsed="false">
      <c r="B2744" s="1" t="s">
        <v>1226</v>
      </c>
      <c r="C2744" s="1" t="s">
        <v>1227</v>
      </c>
      <c r="D2744" s="1" t="s">
        <v>517</v>
      </c>
      <c r="E2744" s="1" t="s">
        <v>497</v>
      </c>
      <c r="F2744" s="1" t="s">
        <v>463</v>
      </c>
      <c r="G2744" s="1" t="s">
        <v>480</v>
      </c>
      <c r="H2744" s="1" t="n">
        <v>128</v>
      </c>
      <c r="I2744" s="1" t="str">
        <f aca="false">B2744&amp;"|"&amp;F2744&amp;"|"&amp;G2744</f>
        <v>Day Care Centers|C|Low Cost</v>
      </c>
      <c r="J2744" s="1" t="s">
        <v>1225</v>
      </c>
    </row>
    <row r="2745" customFormat="false" ht="12" hidden="false" customHeight="true" outlineLevel="0" collapsed="false">
      <c r="B2745" s="1" t="s">
        <v>1226</v>
      </c>
      <c r="C2745" s="1" t="s">
        <v>1227</v>
      </c>
      <c r="D2745" s="1" t="s">
        <v>517</v>
      </c>
      <c r="E2745" s="1" t="s">
        <v>497</v>
      </c>
      <c r="F2745" s="1" t="s">
        <v>468</v>
      </c>
      <c r="G2745" s="1" t="s">
        <v>485</v>
      </c>
      <c r="H2745" s="1" t="n">
        <v>290</v>
      </c>
      <c r="I2745" s="1" t="str">
        <f aca="false">B2745&amp;"|"&amp;F2745&amp;"|"&amp;G2745</f>
        <v>Day Care Centers|D|Excellent</v>
      </c>
      <c r="J2745" s="1" t="s">
        <v>1225</v>
      </c>
    </row>
    <row r="2746" customFormat="false" ht="12" hidden="false" customHeight="true" outlineLevel="0" collapsed="false">
      <c r="B2746" s="1" t="s">
        <v>1226</v>
      </c>
      <c r="C2746" s="1" t="s">
        <v>1227</v>
      </c>
      <c r="D2746" s="1" t="s">
        <v>517</v>
      </c>
      <c r="E2746" s="1" t="s">
        <v>497</v>
      </c>
      <c r="F2746" s="1" t="s">
        <v>468</v>
      </c>
      <c r="G2746" s="1" t="s">
        <v>483</v>
      </c>
      <c r="H2746" s="1" t="n">
        <v>220</v>
      </c>
      <c r="I2746" s="1" t="str">
        <f aca="false">B2746&amp;"|"&amp;F2746&amp;"|"&amp;G2746</f>
        <v>Day Care Centers|D|Good</v>
      </c>
      <c r="J2746" s="1" t="s">
        <v>1225</v>
      </c>
    </row>
    <row r="2747" customFormat="false" ht="12" hidden="false" customHeight="true" outlineLevel="0" collapsed="false">
      <c r="B2747" s="1" t="s">
        <v>1226</v>
      </c>
      <c r="C2747" s="1" t="s">
        <v>1227</v>
      </c>
      <c r="D2747" s="1" t="s">
        <v>517</v>
      </c>
      <c r="E2747" s="1" t="s">
        <v>497</v>
      </c>
      <c r="F2747" s="1" t="s">
        <v>468</v>
      </c>
      <c r="G2747" s="1" t="s">
        <v>279</v>
      </c>
      <c r="H2747" s="1" t="n">
        <v>168</v>
      </c>
      <c r="I2747" s="1" t="str">
        <f aca="false">B2747&amp;"|"&amp;F2747&amp;"|"&amp;G2747</f>
        <v>Day Care Centers|D|Average</v>
      </c>
      <c r="J2747" s="1" t="s">
        <v>1225</v>
      </c>
    </row>
    <row r="2748" customFormat="false" ht="12" hidden="false" customHeight="true" outlineLevel="0" collapsed="false">
      <c r="B2748" s="1" t="s">
        <v>1226</v>
      </c>
      <c r="C2748" s="1" t="s">
        <v>1227</v>
      </c>
      <c r="D2748" s="1" t="s">
        <v>517</v>
      </c>
      <c r="E2748" s="1" t="s">
        <v>497</v>
      </c>
      <c r="F2748" s="1" t="s">
        <v>468</v>
      </c>
      <c r="G2748" s="1" t="s">
        <v>480</v>
      </c>
      <c r="H2748" s="1" t="n">
        <v>122</v>
      </c>
      <c r="I2748" s="1" t="str">
        <f aca="false">B2748&amp;"|"&amp;F2748&amp;"|"&amp;G2748</f>
        <v>Day Care Centers|D|Low Cost</v>
      </c>
      <c r="J2748" s="1" t="s">
        <v>1225</v>
      </c>
    </row>
    <row r="2749" customFormat="false" ht="12" hidden="false" customHeight="true" outlineLevel="0" collapsed="false">
      <c r="B2749" s="1" t="s">
        <v>1226</v>
      </c>
      <c r="C2749" s="1" t="s">
        <v>1227</v>
      </c>
      <c r="D2749" s="1" t="s">
        <v>517</v>
      </c>
      <c r="E2749" s="1" t="s">
        <v>497</v>
      </c>
      <c r="F2749" s="1" t="s">
        <v>566</v>
      </c>
      <c r="G2749" s="1" t="s">
        <v>279</v>
      </c>
      <c r="H2749" s="1" t="n">
        <v>160</v>
      </c>
      <c r="I2749" s="1" t="str">
        <f aca="false">B2749&amp;"|"&amp;F2749&amp;"|"&amp;G2749</f>
        <v>Day Care Centers|DPOLE|Average</v>
      </c>
      <c r="J2749" s="1" t="s">
        <v>1225</v>
      </c>
    </row>
    <row r="2750" customFormat="false" ht="12" hidden="false" customHeight="true" outlineLevel="0" collapsed="false">
      <c r="B2750" s="1" t="s">
        <v>1226</v>
      </c>
      <c r="C2750" s="1" t="s">
        <v>1227</v>
      </c>
      <c r="D2750" s="1" t="s">
        <v>517</v>
      </c>
      <c r="E2750" s="1" t="s">
        <v>497</v>
      </c>
      <c r="F2750" s="1" t="s">
        <v>566</v>
      </c>
      <c r="G2750" s="1" t="s">
        <v>480</v>
      </c>
      <c r="H2750" s="1" t="n">
        <v>116</v>
      </c>
      <c r="I2750" s="1" t="str">
        <f aca="false">B2750&amp;"|"&amp;F2750&amp;"|"&amp;G2750</f>
        <v>Day Care Centers|DPOLE|Low Cost</v>
      </c>
      <c r="J2750" s="1" t="s">
        <v>1225</v>
      </c>
    </row>
    <row r="2751" customFormat="false" ht="12" hidden="false" customHeight="true" outlineLevel="0" collapsed="false">
      <c r="B2751" s="1" t="s">
        <v>1226</v>
      </c>
      <c r="C2751" s="1" t="s">
        <v>1227</v>
      </c>
      <c r="D2751" s="1" t="s">
        <v>517</v>
      </c>
      <c r="E2751" s="1" t="s">
        <v>497</v>
      </c>
      <c r="F2751" s="1" t="s">
        <v>473</v>
      </c>
      <c r="G2751" s="1" t="s">
        <v>279</v>
      </c>
      <c r="H2751" s="1" t="n">
        <v>162</v>
      </c>
      <c r="I2751" s="1" t="str">
        <f aca="false">B2751&amp;"|"&amp;F2751&amp;"|"&amp;G2751</f>
        <v>Day Care Centers|S|Average</v>
      </c>
      <c r="J2751" s="1" t="s">
        <v>1225</v>
      </c>
    </row>
    <row r="2752" customFormat="false" ht="12" hidden="false" customHeight="true" outlineLevel="0" collapsed="false">
      <c r="B2752" s="1" t="s">
        <v>1226</v>
      </c>
      <c r="C2752" s="1" t="s">
        <v>1227</v>
      </c>
      <c r="D2752" s="1" t="s">
        <v>517</v>
      </c>
      <c r="E2752" s="1" t="s">
        <v>497</v>
      </c>
      <c r="F2752" s="1" t="s">
        <v>473</v>
      </c>
      <c r="G2752" s="1" t="s">
        <v>480</v>
      </c>
      <c r="H2752" s="1" t="n">
        <v>118</v>
      </c>
      <c r="I2752" s="1" t="str">
        <f aca="false">B2752&amp;"|"&amp;F2752&amp;"|"&amp;G2752</f>
        <v>Day Care Centers|S|Low Cost</v>
      </c>
      <c r="J2752" s="1" t="s">
        <v>1225</v>
      </c>
    </row>
    <row r="2753" customFormat="false" ht="12" hidden="false" customHeight="true" outlineLevel="0" collapsed="false">
      <c r="B2753" s="1" t="s">
        <v>1228</v>
      </c>
      <c r="C2753" s="1" t="s">
        <v>1229</v>
      </c>
      <c r="D2753" s="1" t="s">
        <v>517</v>
      </c>
      <c r="E2753" s="1" t="s">
        <v>501</v>
      </c>
      <c r="F2753" s="1" t="s">
        <v>523</v>
      </c>
      <c r="G2753" s="1" t="s">
        <v>485</v>
      </c>
      <c r="H2753" s="1" t="n">
        <v>357</v>
      </c>
      <c r="I2753" s="1" t="str">
        <f aca="false">B2753&amp;"|"&amp;F2753&amp;"|"&amp;G2753</f>
        <v>Classrooms|A-B|Excellent</v>
      </c>
      <c r="J2753" s="1" t="s">
        <v>1230</v>
      </c>
    </row>
    <row r="2754" customFormat="false" ht="12" hidden="false" customHeight="true" outlineLevel="0" collapsed="false">
      <c r="B2754" s="1" t="s">
        <v>1228</v>
      </c>
      <c r="C2754" s="1" t="s">
        <v>1229</v>
      </c>
      <c r="D2754" s="1" t="s">
        <v>517</v>
      </c>
      <c r="E2754" s="1" t="s">
        <v>501</v>
      </c>
      <c r="F2754" s="1" t="s">
        <v>523</v>
      </c>
      <c r="G2754" s="1" t="s">
        <v>483</v>
      </c>
      <c r="H2754" s="1" t="n">
        <v>291</v>
      </c>
      <c r="I2754" s="1" t="str">
        <f aca="false">B2754&amp;"|"&amp;F2754&amp;"|"&amp;G2754</f>
        <v>Classrooms|A-B|Good</v>
      </c>
      <c r="J2754" s="1" t="s">
        <v>1230</v>
      </c>
    </row>
    <row r="2755" customFormat="false" ht="12" hidden="false" customHeight="true" outlineLevel="0" collapsed="false">
      <c r="B2755" s="1" t="s">
        <v>1228</v>
      </c>
      <c r="C2755" s="1" t="s">
        <v>1229</v>
      </c>
      <c r="D2755" s="1" t="s">
        <v>517</v>
      </c>
      <c r="E2755" s="1" t="s">
        <v>501</v>
      </c>
      <c r="F2755" s="1" t="s">
        <v>523</v>
      </c>
      <c r="G2755" s="1" t="s">
        <v>279</v>
      </c>
      <c r="H2755" s="1" t="n">
        <v>224</v>
      </c>
      <c r="I2755" s="1" t="str">
        <f aca="false">B2755&amp;"|"&amp;F2755&amp;"|"&amp;G2755</f>
        <v>Classrooms|A-B|Average</v>
      </c>
      <c r="J2755" s="1" t="s">
        <v>1230</v>
      </c>
    </row>
    <row r="2756" customFormat="false" ht="12" hidden="false" customHeight="true" outlineLevel="0" collapsed="false">
      <c r="B2756" s="1" t="s">
        <v>1228</v>
      </c>
      <c r="C2756" s="1" t="s">
        <v>1229</v>
      </c>
      <c r="D2756" s="1" t="s">
        <v>517</v>
      </c>
      <c r="E2756" s="1" t="s">
        <v>501</v>
      </c>
      <c r="F2756" s="1" t="s">
        <v>523</v>
      </c>
      <c r="G2756" s="1" t="s">
        <v>480</v>
      </c>
      <c r="H2756" s="1" t="n">
        <v>172</v>
      </c>
      <c r="I2756" s="1" t="str">
        <f aca="false">B2756&amp;"|"&amp;F2756&amp;"|"&amp;G2756</f>
        <v>Classrooms|A-B|Low Cost</v>
      </c>
      <c r="J2756" s="1" t="s">
        <v>1230</v>
      </c>
    </row>
    <row r="2757" customFormat="false" ht="12" hidden="false" customHeight="true" outlineLevel="0" collapsed="false">
      <c r="B2757" s="1" t="s">
        <v>1228</v>
      </c>
      <c r="C2757" s="1" t="s">
        <v>1229</v>
      </c>
      <c r="D2757" s="1" t="s">
        <v>517</v>
      </c>
      <c r="E2757" s="1" t="s">
        <v>501</v>
      </c>
      <c r="F2757" s="1" t="s">
        <v>463</v>
      </c>
      <c r="G2757" s="1" t="s">
        <v>485</v>
      </c>
      <c r="H2757" s="1" t="n">
        <v>288</v>
      </c>
      <c r="I2757" s="1" t="str">
        <f aca="false">B2757&amp;"|"&amp;F2757&amp;"|"&amp;G2757</f>
        <v>Classrooms|C|Excellent</v>
      </c>
      <c r="J2757" s="1" t="s">
        <v>1230</v>
      </c>
    </row>
    <row r="2758" customFormat="false" ht="12" hidden="false" customHeight="true" outlineLevel="0" collapsed="false">
      <c r="B2758" s="1" t="s">
        <v>1228</v>
      </c>
      <c r="C2758" s="1" t="s">
        <v>1229</v>
      </c>
      <c r="D2758" s="1" t="s">
        <v>517</v>
      </c>
      <c r="E2758" s="1" t="s">
        <v>501</v>
      </c>
      <c r="F2758" s="1" t="s">
        <v>463</v>
      </c>
      <c r="G2758" s="1" t="s">
        <v>483</v>
      </c>
      <c r="H2758" s="1" t="n">
        <v>223</v>
      </c>
      <c r="I2758" s="1" t="str">
        <f aca="false">B2758&amp;"|"&amp;F2758&amp;"|"&amp;G2758</f>
        <v>Classrooms|C|Good</v>
      </c>
      <c r="J2758" s="1" t="s">
        <v>1230</v>
      </c>
    </row>
    <row r="2759" customFormat="false" ht="12" hidden="false" customHeight="true" outlineLevel="0" collapsed="false">
      <c r="B2759" s="1" t="s">
        <v>1228</v>
      </c>
      <c r="C2759" s="1" t="s">
        <v>1229</v>
      </c>
      <c r="D2759" s="1" t="s">
        <v>517</v>
      </c>
      <c r="E2759" s="1" t="s">
        <v>501</v>
      </c>
      <c r="F2759" s="1" t="s">
        <v>463</v>
      </c>
      <c r="G2759" s="1" t="s">
        <v>279</v>
      </c>
      <c r="H2759" s="1" t="n">
        <v>171</v>
      </c>
      <c r="I2759" s="1" t="str">
        <f aca="false">B2759&amp;"|"&amp;F2759&amp;"|"&amp;G2759</f>
        <v>Classrooms|C|Average</v>
      </c>
      <c r="J2759" s="1" t="s">
        <v>1230</v>
      </c>
    </row>
    <row r="2760" customFormat="false" ht="12" hidden="false" customHeight="true" outlineLevel="0" collapsed="false">
      <c r="B2760" s="1" t="s">
        <v>1228</v>
      </c>
      <c r="C2760" s="1" t="s">
        <v>1229</v>
      </c>
      <c r="D2760" s="1" t="s">
        <v>517</v>
      </c>
      <c r="E2760" s="1" t="s">
        <v>501</v>
      </c>
      <c r="F2760" s="1" t="s">
        <v>463</v>
      </c>
      <c r="G2760" s="1" t="s">
        <v>480</v>
      </c>
      <c r="H2760" s="1" t="n">
        <v>136</v>
      </c>
      <c r="I2760" s="1" t="str">
        <f aca="false">B2760&amp;"|"&amp;F2760&amp;"|"&amp;G2760</f>
        <v>Classrooms|C|Low Cost</v>
      </c>
      <c r="J2760" s="1" t="s">
        <v>1230</v>
      </c>
    </row>
    <row r="2761" customFormat="false" ht="12" hidden="false" customHeight="true" outlineLevel="0" collapsed="false">
      <c r="B2761" s="1" t="s">
        <v>1228</v>
      </c>
      <c r="C2761" s="1" t="s">
        <v>1229</v>
      </c>
      <c r="D2761" s="1" t="s">
        <v>517</v>
      </c>
      <c r="E2761" s="1" t="s">
        <v>501</v>
      </c>
      <c r="F2761" s="1" t="s">
        <v>463</v>
      </c>
      <c r="G2761" s="1" t="s">
        <v>567</v>
      </c>
      <c r="H2761" s="1" t="n">
        <v>98</v>
      </c>
      <c r="I2761" s="1" t="str">
        <f aca="false">B2761&amp;"|"&amp;F2761&amp;"|"&amp;G2761</f>
        <v>Classrooms|C|Cheap</v>
      </c>
      <c r="J2761" s="1" t="s">
        <v>1230</v>
      </c>
    </row>
    <row r="2762" customFormat="false" ht="12" hidden="false" customHeight="true" outlineLevel="0" collapsed="false">
      <c r="B2762" s="1" t="s">
        <v>1228</v>
      </c>
      <c r="C2762" s="1" t="s">
        <v>1229</v>
      </c>
      <c r="D2762" s="1" t="s">
        <v>517</v>
      </c>
      <c r="E2762" s="1" t="s">
        <v>501</v>
      </c>
      <c r="F2762" s="1" t="s">
        <v>468</v>
      </c>
      <c r="G2762" s="1" t="s">
        <v>485</v>
      </c>
      <c r="H2762" s="1" t="n">
        <v>283</v>
      </c>
      <c r="I2762" s="1" t="str">
        <f aca="false">B2762&amp;"|"&amp;F2762&amp;"|"&amp;G2762</f>
        <v>Classrooms|D|Excellent</v>
      </c>
      <c r="J2762" s="1" t="s">
        <v>1230</v>
      </c>
    </row>
    <row r="2763" customFormat="false" ht="12" hidden="false" customHeight="true" outlineLevel="0" collapsed="false">
      <c r="B2763" s="1" t="s">
        <v>1228</v>
      </c>
      <c r="C2763" s="1" t="s">
        <v>1229</v>
      </c>
      <c r="D2763" s="1" t="s">
        <v>517</v>
      </c>
      <c r="E2763" s="1" t="s">
        <v>501</v>
      </c>
      <c r="F2763" s="1" t="s">
        <v>468</v>
      </c>
      <c r="G2763" s="1" t="s">
        <v>483</v>
      </c>
      <c r="H2763" s="1" t="n">
        <v>217</v>
      </c>
      <c r="I2763" s="1" t="str">
        <f aca="false">B2763&amp;"|"&amp;F2763&amp;"|"&amp;G2763</f>
        <v>Classrooms|D|Good</v>
      </c>
      <c r="J2763" s="1" t="s">
        <v>1230</v>
      </c>
    </row>
    <row r="2764" customFormat="false" ht="12" hidden="false" customHeight="true" outlineLevel="0" collapsed="false">
      <c r="B2764" s="1" t="s">
        <v>1228</v>
      </c>
      <c r="C2764" s="1" t="s">
        <v>1229</v>
      </c>
      <c r="D2764" s="1" t="s">
        <v>517</v>
      </c>
      <c r="E2764" s="1" t="s">
        <v>501</v>
      </c>
      <c r="F2764" s="1" t="s">
        <v>468</v>
      </c>
      <c r="G2764" s="1" t="s">
        <v>279</v>
      </c>
      <c r="H2764" s="1" t="n">
        <v>166</v>
      </c>
      <c r="I2764" s="1" t="str">
        <f aca="false">B2764&amp;"|"&amp;F2764&amp;"|"&amp;G2764</f>
        <v>Classrooms|D|Average</v>
      </c>
      <c r="J2764" s="1" t="s">
        <v>1230</v>
      </c>
    </row>
    <row r="2765" customFormat="false" ht="12" hidden="false" customHeight="true" outlineLevel="0" collapsed="false">
      <c r="B2765" s="1" t="s">
        <v>1228</v>
      </c>
      <c r="C2765" s="1" t="s">
        <v>1229</v>
      </c>
      <c r="D2765" s="1" t="s">
        <v>517</v>
      </c>
      <c r="E2765" s="1" t="s">
        <v>501</v>
      </c>
      <c r="F2765" s="1" t="s">
        <v>468</v>
      </c>
      <c r="G2765" s="1" t="s">
        <v>480</v>
      </c>
      <c r="H2765" s="1" t="n">
        <v>130</v>
      </c>
      <c r="I2765" s="1" t="str">
        <f aca="false">B2765&amp;"|"&amp;F2765&amp;"|"&amp;G2765</f>
        <v>Classrooms|D|Low Cost</v>
      </c>
      <c r="J2765" s="1" t="s">
        <v>1230</v>
      </c>
    </row>
    <row r="2766" customFormat="false" ht="12" hidden="false" customHeight="true" outlineLevel="0" collapsed="false">
      <c r="B2766" s="1" t="s">
        <v>1228</v>
      </c>
      <c r="C2766" s="1" t="s">
        <v>1229</v>
      </c>
      <c r="D2766" s="1" t="s">
        <v>517</v>
      </c>
      <c r="E2766" s="1" t="s">
        <v>501</v>
      </c>
      <c r="F2766" s="1" t="s">
        <v>468</v>
      </c>
      <c r="G2766" s="1" t="s">
        <v>567</v>
      </c>
      <c r="H2766" s="1" t="n">
        <v>93</v>
      </c>
      <c r="I2766" s="1" t="str">
        <f aca="false">B2766&amp;"|"&amp;F2766&amp;"|"&amp;G2766</f>
        <v>Classrooms|D|Cheap</v>
      </c>
      <c r="J2766" s="1" t="s">
        <v>1230</v>
      </c>
    </row>
    <row r="2767" customFormat="false" ht="12" hidden="false" customHeight="true" outlineLevel="0" collapsed="false">
      <c r="B2767" s="1" t="s">
        <v>1228</v>
      </c>
      <c r="C2767" s="1" t="s">
        <v>1229</v>
      </c>
      <c r="D2767" s="1" t="s">
        <v>517</v>
      </c>
      <c r="E2767" s="1" t="s">
        <v>501</v>
      </c>
      <c r="F2767" s="1" t="s">
        <v>566</v>
      </c>
      <c r="G2767" s="1" t="s">
        <v>483</v>
      </c>
      <c r="H2767" s="1" t="n">
        <v>210</v>
      </c>
      <c r="I2767" s="1" t="str">
        <f aca="false">B2767&amp;"|"&amp;F2767&amp;"|"&amp;G2767</f>
        <v>Classrooms|DPOLE|Good</v>
      </c>
      <c r="J2767" s="1" t="s">
        <v>1230</v>
      </c>
    </row>
    <row r="2768" customFormat="false" ht="12" hidden="false" customHeight="true" outlineLevel="0" collapsed="false">
      <c r="B2768" s="1" t="s">
        <v>1228</v>
      </c>
      <c r="C2768" s="1" t="s">
        <v>1229</v>
      </c>
      <c r="D2768" s="1" t="s">
        <v>517</v>
      </c>
      <c r="E2768" s="1" t="s">
        <v>501</v>
      </c>
      <c r="F2768" s="1" t="s">
        <v>566</v>
      </c>
      <c r="G2768" s="1" t="s">
        <v>279</v>
      </c>
      <c r="H2768" s="1" t="n">
        <v>159</v>
      </c>
      <c r="I2768" s="1" t="str">
        <f aca="false">B2768&amp;"|"&amp;F2768&amp;"|"&amp;G2768</f>
        <v>Classrooms|DPOLE|Average</v>
      </c>
      <c r="J2768" s="1" t="s">
        <v>1230</v>
      </c>
    </row>
    <row r="2769" customFormat="false" ht="12" hidden="false" customHeight="true" outlineLevel="0" collapsed="false">
      <c r="B2769" s="1" t="s">
        <v>1228</v>
      </c>
      <c r="C2769" s="1" t="s">
        <v>1229</v>
      </c>
      <c r="D2769" s="1" t="s">
        <v>517</v>
      </c>
      <c r="E2769" s="1" t="s">
        <v>501</v>
      </c>
      <c r="F2769" s="1" t="s">
        <v>566</v>
      </c>
      <c r="G2769" s="1" t="s">
        <v>480</v>
      </c>
      <c r="H2769" s="1" t="n">
        <v>124</v>
      </c>
      <c r="I2769" s="1" t="str">
        <f aca="false">B2769&amp;"|"&amp;F2769&amp;"|"&amp;G2769</f>
        <v>Classrooms|DPOLE|Low Cost</v>
      </c>
      <c r="J2769" s="1" t="s">
        <v>1230</v>
      </c>
    </row>
    <row r="2770" customFormat="false" ht="12" hidden="false" customHeight="true" outlineLevel="0" collapsed="false">
      <c r="B2770" s="1" t="s">
        <v>1228</v>
      </c>
      <c r="C2770" s="1" t="s">
        <v>1229</v>
      </c>
      <c r="D2770" s="1" t="s">
        <v>517</v>
      </c>
      <c r="E2770" s="1" t="s">
        <v>501</v>
      </c>
      <c r="F2770" s="1" t="s">
        <v>566</v>
      </c>
      <c r="G2770" s="1" t="s">
        <v>567</v>
      </c>
      <c r="H2770" s="1" t="n">
        <v>87.5</v>
      </c>
      <c r="I2770" s="1" t="str">
        <f aca="false">B2770&amp;"|"&amp;F2770&amp;"|"&amp;G2770</f>
        <v>Classrooms|DPOLE|Cheap</v>
      </c>
      <c r="J2770" s="1" t="s">
        <v>1230</v>
      </c>
    </row>
    <row r="2771" customFormat="false" ht="12" hidden="false" customHeight="true" outlineLevel="0" collapsed="false">
      <c r="B2771" s="1" t="s">
        <v>1228</v>
      </c>
      <c r="C2771" s="1" t="s">
        <v>1229</v>
      </c>
      <c r="D2771" s="1" t="s">
        <v>517</v>
      </c>
      <c r="E2771" s="1" t="s">
        <v>501</v>
      </c>
      <c r="F2771" s="1" t="s">
        <v>473</v>
      </c>
      <c r="G2771" s="1" t="s">
        <v>483</v>
      </c>
      <c r="H2771" s="1" t="n">
        <v>212</v>
      </c>
      <c r="I2771" s="1" t="str">
        <f aca="false">B2771&amp;"|"&amp;F2771&amp;"|"&amp;G2771</f>
        <v>Classrooms|S|Good</v>
      </c>
      <c r="J2771" s="1" t="s">
        <v>1230</v>
      </c>
    </row>
    <row r="2772" customFormat="false" ht="12" hidden="false" customHeight="true" outlineLevel="0" collapsed="false">
      <c r="B2772" s="1" t="s">
        <v>1228</v>
      </c>
      <c r="C2772" s="1" t="s">
        <v>1229</v>
      </c>
      <c r="D2772" s="1" t="s">
        <v>517</v>
      </c>
      <c r="E2772" s="1" t="s">
        <v>501</v>
      </c>
      <c r="F2772" s="1" t="s">
        <v>473</v>
      </c>
      <c r="G2772" s="1" t="s">
        <v>279</v>
      </c>
      <c r="H2772" s="1" t="n">
        <v>160</v>
      </c>
      <c r="I2772" s="1" t="str">
        <f aca="false">B2772&amp;"|"&amp;F2772&amp;"|"&amp;G2772</f>
        <v>Classrooms|S|Average</v>
      </c>
      <c r="J2772" s="1" t="s">
        <v>1230</v>
      </c>
    </row>
    <row r="2773" customFormat="false" ht="12" hidden="false" customHeight="true" outlineLevel="0" collapsed="false">
      <c r="B2773" s="1" t="s">
        <v>1228</v>
      </c>
      <c r="C2773" s="1" t="s">
        <v>1229</v>
      </c>
      <c r="D2773" s="1" t="s">
        <v>517</v>
      </c>
      <c r="E2773" s="1" t="s">
        <v>501</v>
      </c>
      <c r="F2773" s="1" t="s">
        <v>473</v>
      </c>
      <c r="G2773" s="1" t="s">
        <v>480</v>
      </c>
      <c r="H2773" s="1" t="n">
        <v>125</v>
      </c>
      <c r="I2773" s="1" t="str">
        <f aca="false">B2773&amp;"|"&amp;F2773&amp;"|"&amp;G2773</f>
        <v>Classrooms|S|Low Cost</v>
      </c>
      <c r="J2773" s="1" t="s">
        <v>1230</v>
      </c>
    </row>
    <row r="2774" customFormat="false" ht="12" hidden="false" customHeight="true" outlineLevel="0" collapsed="false">
      <c r="B2774" s="1" t="s">
        <v>1228</v>
      </c>
      <c r="C2774" s="1" t="s">
        <v>1229</v>
      </c>
      <c r="D2774" s="1" t="s">
        <v>517</v>
      </c>
      <c r="E2774" s="1" t="s">
        <v>501</v>
      </c>
      <c r="F2774" s="1" t="s">
        <v>473</v>
      </c>
      <c r="G2774" s="1" t="s">
        <v>567</v>
      </c>
      <c r="H2774" s="1" t="n">
        <v>88</v>
      </c>
      <c r="I2774" s="1" t="str">
        <f aca="false">B2774&amp;"|"&amp;F2774&amp;"|"&amp;G2774</f>
        <v>Classrooms|S|Cheap</v>
      </c>
      <c r="J2774" s="1" t="s">
        <v>1230</v>
      </c>
    </row>
    <row r="2775" customFormat="false" ht="12" hidden="false" customHeight="true" outlineLevel="0" collapsed="false">
      <c r="B2775" s="1" t="s">
        <v>1231</v>
      </c>
      <c r="C2775" s="1" t="s">
        <v>1232</v>
      </c>
      <c r="D2775" s="1" t="s">
        <v>517</v>
      </c>
      <c r="E2775" s="1" t="s">
        <v>506</v>
      </c>
      <c r="F2775" s="1" t="s">
        <v>523</v>
      </c>
      <c r="G2775" s="1" t="s">
        <v>483</v>
      </c>
      <c r="H2775" s="1" t="n">
        <v>324</v>
      </c>
      <c r="I2775" s="1" t="str">
        <f aca="false">B2775&amp;"|"&amp;F2775&amp;"|"&amp;G2775</f>
        <v>Special Education Classrooms|A-B|Good</v>
      </c>
      <c r="J2775" s="1" t="s">
        <v>1233</v>
      </c>
    </row>
    <row r="2776" customFormat="false" ht="12" hidden="false" customHeight="true" outlineLevel="0" collapsed="false">
      <c r="B2776" s="1" t="s">
        <v>1231</v>
      </c>
      <c r="C2776" s="1" t="s">
        <v>1232</v>
      </c>
      <c r="D2776" s="1" t="s">
        <v>517</v>
      </c>
      <c r="E2776" s="1" t="s">
        <v>506</v>
      </c>
      <c r="F2776" s="1" t="s">
        <v>523</v>
      </c>
      <c r="G2776" s="1" t="s">
        <v>279</v>
      </c>
      <c r="H2776" s="1" t="n">
        <v>242</v>
      </c>
      <c r="I2776" s="1" t="str">
        <f aca="false">B2776&amp;"|"&amp;F2776&amp;"|"&amp;G2776</f>
        <v>Special Education Classrooms|A-B|Average</v>
      </c>
      <c r="J2776" s="1" t="s">
        <v>1233</v>
      </c>
    </row>
    <row r="2777" customFormat="false" ht="12" hidden="false" customHeight="true" outlineLevel="0" collapsed="false">
      <c r="B2777" s="1" t="s">
        <v>1231</v>
      </c>
      <c r="C2777" s="1" t="s">
        <v>1232</v>
      </c>
      <c r="D2777" s="1" t="s">
        <v>517</v>
      </c>
      <c r="E2777" s="1" t="s">
        <v>506</v>
      </c>
      <c r="F2777" s="1" t="s">
        <v>463</v>
      </c>
      <c r="G2777" s="1" t="s">
        <v>485</v>
      </c>
      <c r="H2777" s="1" t="n">
        <v>321</v>
      </c>
      <c r="I2777" s="1" t="str">
        <f aca="false">B2777&amp;"|"&amp;F2777&amp;"|"&amp;G2777</f>
        <v>Special Education Classrooms|C|Excellent</v>
      </c>
      <c r="J2777" s="1" t="s">
        <v>1233</v>
      </c>
    </row>
    <row r="2778" customFormat="false" ht="12" hidden="false" customHeight="true" outlineLevel="0" collapsed="false">
      <c r="B2778" s="1" t="s">
        <v>1231</v>
      </c>
      <c r="C2778" s="1" t="s">
        <v>1232</v>
      </c>
      <c r="D2778" s="1" t="s">
        <v>517</v>
      </c>
      <c r="E2778" s="1" t="s">
        <v>506</v>
      </c>
      <c r="F2778" s="1" t="s">
        <v>463</v>
      </c>
      <c r="G2778" s="1" t="s">
        <v>483</v>
      </c>
      <c r="H2778" s="1" t="n">
        <v>242</v>
      </c>
      <c r="I2778" s="1" t="str">
        <f aca="false">B2778&amp;"|"&amp;F2778&amp;"|"&amp;G2778</f>
        <v>Special Education Classrooms|C|Good</v>
      </c>
      <c r="J2778" s="1" t="s">
        <v>1233</v>
      </c>
    </row>
    <row r="2779" customFormat="false" ht="12" hidden="false" customHeight="true" outlineLevel="0" collapsed="false">
      <c r="B2779" s="1" t="s">
        <v>1231</v>
      </c>
      <c r="C2779" s="1" t="s">
        <v>1232</v>
      </c>
      <c r="D2779" s="1" t="s">
        <v>517</v>
      </c>
      <c r="E2779" s="1" t="s">
        <v>506</v>
      </c>
      <c r="F2779" s="1" t="s">
        <v>463</v>
      </c>
      <c r="G2779" s="1" t="s">
        <v>279</v>
      </c>
      <c r="H2779" s="1" t="n">
        <v>181</v>
      </c>
      <c r="I2779" s="1" t="str">
        <f aca="false">B2779&amp;"|"&amp;F2779&amp;"|"&amp;G2779</f>
        <v>Special Education Classrooms|C|Average</v>
      </c>
      <c r="J2779" s="1" t="s">
        <v>1233</v>
      </c>
    </row>
    <row r="2780" customFormat="false" ht="12" hidden="false" customHeight="true" outlineLevel="0" collapsed="false">
      <c r="B2780" s="1" t="s">
        <v>1231</v>
      </c>
      <c r="C2780" s="1" t="s">
        <v>1232</v>
      </c>
      <c r="D2780" s="1" t="s">
        <v>517</v>
      </c>
      <c r="E2780" s="1" t="s">
        <v>506</v>
      </c>
      <c r="F2780" s="1" t="s">
        <v>468</v>
      </c>
      <c r="G2780" s="1" t="s">
        <v>485</v>
      </c>
      <c r="H2780" s="1" t="n">
        <v>317</v>
      </c>
      <c r="I2780" s="1" t="str">
        <f aca="false">B2780&amp;"|"&amp;F2780&amp;"|"&amp;G2780</f>
        <v>Special Education Classrooms|D|Excellent</v>
      </c>
      <c r="J2780" s="1" t="s">
        <v>1233</v>
      </c>
    </row>
    <row r="2781" customFormat="false" ht="12" hidden="false" customHeight="true" outlineLevel="0" collapsed="false">
      <c r="B2781" s="1" t="s">
        <v>1231</v>
      </c>
      <c r="C2781" s="1" t="s">
        <v>1232</v>
      </c>
      <c r="D2781" s="1" t="s">
        <v>517</v>
      </c>
      <c r="E2781" s="1" t="s">
        <v>506</v>
      </c>
      <c r="F2781" s="1" t="s">
        <v>468</v>
      </c>
      <c r="G2781" s="1" t="s">
        <v>483</v>
      </c>
      <c r="H2781" s="1" t="n">
        <v>237</v>
      </c>
      <c r="I2781" s="1" t="str">
        <f aca="false">B2781&amp;"|"&amp;F2781&amp;"|"&amp;G2781</f>
        <v>Special Education Classrooms|D|Good</v>
      </c>
      <c r="J2781" s="1" t="s">
        <v>1233</v>
      </c>
    </row>
    <row r="2782" customFormat="false" ht="12" hidden="false" customHeight="true" outlineLevel="0" collapsed="false">
      <c r="B2782" s="1" t="s">
        <v>1231</v>
      </c>
      <c r="C2782" s="1" t="s">
        <v>1232</v>
      </c>
      <c r="D2782" s="1" t="s">
        <v>517</v>
      </c>
      <c r="E2782" s="1" t="s">
        <v>506</v>
      </c>
      <c r="F2782" s="1" t="s">
        <v>468</v>
      </c>
      <c r="G2782" s="1" t="s">
        <v>279</v>
      </c>
      <c r="H2782" s="1" t="n">
        <v>176</v>
      </c>
      <c r="I2782" s="1" t="str">
        <f aca="false">B2782&amp;"|"&amp;F2782&amp;"|"&amp;G2782</f>
        <v>Special Education Classrooms|D|Average</v>
      </c>
      <c r="J2782" s="1" t="s">
        <v>1233</v>
      </c>
    </row>
    <row r="2783" customFormat="false" ht="12" hidden="false" customHeight="true" outlineLevel="0" collapsed="false">
      <c r="B2783" s="1" t="s">
        <v>1231</v>
      </c>
      <c r="C2783" s="1" t="s">
        <v>1232</v>
      </c>
      <c r="D2783" s="1" t="s">
        <v>517</v>
      </c>
      <c r="E2783" s="1" t="s">
        <v>506</v>
      </c>
      <c r="F2783" s="1" t="s">
        <v>566</v>
      </c>
      <c r="G2783" s="1" t="s">
        <v>483</v>
      </c>
      <c r="H2783" s="1" t="n">
        <v>230</v>
      </c>
      <c r="I2783" s="1" t="str">
        <f aca="false">B2783&amp;"|"&amp;F2783&amp;"|"&amp;G2783</f>
        <v>Special Education Classrooms|DPOLE|Good</v>
      </c>
      <c r="J2783" s="1" t="s">
        <v>1233</v>
      </c>
    </row>
    <row r="2784" customFormat="false" ht="12" hidden="false" customHeight="true" outlineLevel="0" collapsed="false">
      <c r="B2784" s="1" t="s">
        <v>1231</v>
      </c>
      <c r="C2784" s="1" t="s">
        <v>1232</v>
      </c>
      <c r="D2784" s="1" t="s">
        <v>517</v>
      </c>
      <c r="E2784" s="1" t="s">
        <v>506</v>
      </c>
      <c r="F2784" s="1" t="s">
        <v>566</v>
      </c>
      <c r="G2784" s="1" t="s">
        <v>279</v>
      </c>
      <c r="H2784" s="1" t="n">
        <v>169</v>
      </c>
      <c r="I2784" s="1" t="str">
        <f aca="false">B2784&amp;"|"&amp;F2784&amp;"|"&amp;G2784</f>
        <v>Special Education Classrooms|DPOLE|Average</v>
      </c>
      <c r="J2784" s="1" t="s">
        <v>1233</v>
      </c>
    </row>
    <row r="2785" customFormat="false" ht="12" hidden="false" customHeight="true" outlineLevel="0" collapsed="false">
      <c r="B2785" s="1" t="s">
        <v>1231</v>
      </c>
      <c r="C2785" s="1" t="s">
        <v>1232</v>
      </c>
      <c r="D2785" s="1" t="s">
        <v>517</v>
      </c>
      <c r="E2785" s="1" t="s">
        <v>506</v>
      </c>
      <c r="F2785" s="1" t="s">
        <v>473</v>
      </c>
      <c r="G2785" s="1" t="s">
        <v>483</v>
      </c>
      <c r="H2785" s="1" t="n">
        <v>232</v>
      </c>
      <c r="I2785" s="1" t="str">
        <f aca="false">B2785&amp;"|"&amp;F2785&amp;"|"&amp;G2785</f>
        <v>Special Education Classrooms|S|Good</v>
      </c>
      <c r="J2785" s="1" t="s">
        <v>1233</v>
      </c>
    </row>
    <row r="2786" customFormat="false" ht="12" hidden="false" customHeight="true" outlineLevel="0" collapsed="false">
      <c r="B2786" s="1" t="s">
        <v>1231</v>
      </c>
      <c r="C2786" s="1" t="s">
        <v>1232</v>
      </c>
      <c r="D2786" s="1" t="s">
        <v>517</v>
      </c>
      <c r="E2786" s="1" t="s">
        <v>506</v>
      </c>
      <c r="F2786" s="1" t="s">
        <v>473</v>
      </c>
      <c r="G2786" s="1" t="s">
        <v>279</v>
      </c>
      <c r="H2786" s="1" t="n">
        <v>171</v>
      </c>
      <c r="I2786" s="1" t="str">
        <f aca="false">B2786&amp;"|"&amp;F2786&amp;"|"&amp;G2786</f>
        <v>Special Education Classrooms|S|Average</v>
      </c>
      <c r="J2786" s="1" t="s">
        <v>1233</v>
      </c>
    </row>
    <row r="2787" customFormat="false" ht="12" hidden="false" customHeight="true" outlineLevel="0" collapsed="false">
      <c r="B2787" s="1" t="s">
        <v>1234</v>
      </c>
      <c r="C2787" s="1" t="s">
        <v>1235</v>
      </c>
      <c r="D2787" s="1" t="s">
        <v>517</v>
      </c>
      <c r="E2787" s="1" t="s">
        <v>506</v>
      </c>
      <c r="F2787" s="1" t="s">
        <v>468</v>
      </c>
      <c r="G2787" s="1" t="s">
        <v>485</v>
      </c>
      <c r="H2787" s="1" t="n">
        <v>198</v>
      </c>
      <c r="I2787" s="1" t="str">
        <f aca="false">B2787&amp;"|"&amp;F2787&amp;"|"&amp;G2787</f>
        <v>Relocatable Classrooms|D|Excellent</v>
      </c>
      <c r="J2787" s="1" t="s">
        <v>1233</v>
      </c>
    </row>
    <row r="2788" customFormat="false" ht="12" hidden="false" customHeight="true" outlineLevel="0" collapsed="false">
      <c r="B2788" s="1" t="s">
        <v>1234</v>
      </c>
      <c r="C2788" s="1" t="s">
        <v>1235</v>
      </c>
      <c r="D2788" s="1" t="s">
        <v>517</v>
      </c>
      <c r="E2788" s="1" t="s">
        <v>506</v>
      </c>
      <c r="F2788" s="1" t="s">
        <v>468</v>
      </c>
      <c r="G2788" s="1" t="s">
        <v>483</v>
      </c>
      <c r="H2788" s="1" t="n">
        <v>158</v>
      </c>
      <c r="I2788" s="1" t="str">
        <f aca="false">B2788&amp;"|"&amp;F2788&amp;"|"&amp;G2788</f>
        <v>Relocatable Classrooms|D|Good</v>
      </c>
      <c r="J2788" s="1" t="s">
        <v>1233</v>
      </c>
    </row>
    <row r="2789" customFormat="false" ht="12" hidden="false" customHeight="true" outlineLevel="0" collapsed="false">
      <c r="B2789" s="1" t="s">
        <v>1234</v>
      </c>
      <c r="C2789" s="1" t="s">
        <v>1235</v>
      </c>
      <c r="D2789" s="1" t="s">
        <v>517</v>
      </c>
      <c r="E2789" s="1" t="s">
        <v>506</v>
      </c>
      <c r="F2789" s="1" t="s">
        <v>468</v>
      </c>
      <c r="G2789" s="1" t="s">
        <v>279</v>
      </c>
      <c r="H2789" s="1" t="n">
        <v>131</v>
      </c>
      <c r="I2789" s="1" t="str">
        <f aca="false">B2789&amp;"|"&amp;F2789&amp;"|"&amp;G2789</f>
        <v>Relocatable Classrooms|D|Average</v>
      </c>
      <c r="J2789" s="1" t="s">
        <v>1233</v>
      </c>
    </row>
    <row r="2790" customFormat="false" ht="12" hidden="false" customHeight="true" outlineLevel="0" collapsed="false">
      <c r="B2790" s="1" t="s">
        <v>1234</v>
      </c>
      <c r="C2790" s="1" t="s">
        <v>1235</v>
      </c>
      <c r="D2790" s="1" t="s">
        <v>517</v>
      </c>
      <c r="E2790" s="1" t="s">
        <v>506</v>
      </c>
      <c r="F2790" s="1" t="s">
        <v>468</v>
      </c>
      <c r="G2790" s="1" t="s">
        <v>480</v>
      </c>
      <c r="H2790" s="1" t="n">
        <v>109</v>
      </c>
      <c r="I2790" s="1" t="str">
        <f aca="false">B2790&amp;"|"&amp;F2790&amp;"|"&amp;G2790</f>
        <v>Relocatable Classrooms|D|Low Cost</v>
      </c>
      <c r="J2790" s="1" t="s">
        <v>1233</v>
      </c>
    </row>
    <row r="2791" customFormat="false" ht="12" hidden="false" customHeight="true" outlineLevel="0" collapsed="false">
      <c r="B2791" s="1" t="s">
        <v>1234</v>
      </c>
      <c r="C2791" s="1" t="s">
        <v>1235</v>
      </c>
      <c r="D2791" s="1" t="s">
        <v>517</v>
      </c>
      <c r="E2791" s="1" t="s">
        <v>506</v>
      </c>
      <c r="F2791" s="1" t="s">
        <v>468</v>
      </c>
      <c r="G2791" s="1" t="s">
        <v>567</v>
      </c>
      <c r="H2791" s="1" t="n">
        <v>82</v>
      </c>
      <c r="I2791" s="1" t="str">
        <f aca="false">B2791&amp;"|"&amp;F2791&amp;"|"&amp;G2791</f>
        <v>Relocatable Classrooms|D|Cheap</v>
      </c>
      <c r="J2791" s="1" t="s">
        <v>1233</v>
      </c>
    </row>
    <row r="2792" customFormat="false" ht="12" hidden="false" customHeight="true" outlineLevel="0" collapsed="false">
      <c r="B2792" s="1" t="s">
        <v>1236</v>
      </c>
      <c r="C2792" s="1" t="s">
        <v>1237</v>
      </c>
      <c r="D2792" s="1" t="s">
        <v>517</v>
      </c>
      <c r="E2792" s="1" t="s">
        <v>511</v>
      </c>
      <c r="F2792" s="1" t="s">
        <v>523</v>
      </c>
      <c r="G2792" s="1" t="s">
        <v>279</v>
      </c>
      <c r="H2792" s="1" t="n">
        <v>204</v>
      </c>
      <c r="I2792" s="1" t="str">
        <f aca="false">B2792&amp;"|"&amp;F2792&amp;"|"&amp;G2792</f>
        <v>Manual Arts (Shop) Buildings|A-B|Average</v>
      </c>
      <c r="J2792" s="1" t="s">
        <v>1238</v>
      </c>
    </row>
    <row r="2793" customFormat="false" ht="12" hidden="false" customHeight="true" outlineLevel="0" collapsed="false">
      <c r="B2793" s="1" t="s">
        <v>1236</v>
      </c>
      <c r="C2793" s="1" t="s">
        <v>1237</v>
      </c>
      <c r="D2793" s="1" t="s">
        <v>517</v>
      </c>
      <c r="E2793" s="1" t="s">
        <v>511</v>
      </c>
      <c r="F2793" s="1" t="s">
        <v>523</v>
      </c>
      <c r="G2793" s="1" t="s">
        <v>480</v>
      </c>
      <c r="H2793" s="1" t="n">
        <v>153</v>
      </c>
      <c r="I2793" s="1" t="str">
        <f aca="false">B2793&amp;"|"&amp;F2793&amp;"|"&amp;G2793</f>
        <v>Manual Arts (Shop) Buildings|A-B|Low Cost</v>
      </c>
      <c r="J2793" s="1" t="s">
        <v>1238</v>
      </c>
    </row>
    <row r="2794" customFormat="false" ht="12" hidden="false" customHeight="true" outlineLevel="0" collapsed="false">
      <c r="B2794" s="1" t="s">
        <v>1236</v>
      </c>
      <c r="C2794" s="1" t="s">
        <v>1237</v>
      </c>
      <c r="D2794" s="1" t="s">
        <v>517</v>
      </c>
      <c r="E2794" s="1" t="s">
        <v>511</v>
      </c>
      <c r="F2794" s="1" t="s">
        <v>463</v>
      </c>
      <c r="G2794" s="1" t="s">
        <v>483</v>
      </c>
      <c r="H2794" s="1" t="n">
        <v>207</v>
      </c>
      <c r="I2794" s="1" t="str">
        <f aca="false">B2794&amp;"|"&amp;F2794&amp;"|"&amp;G2794</f>
        <v>Manual Arts (Shop) Buildings|C|Good</v>
      </c>
      <c r="J2794" s="1" t="s">
        <v>1238</v>
      </c>
    </row>
    <row r="2795" customFormat="false" ht="12" hidden="false" customHeight="true" outlineLevel="0" collapsed="false">
      <c r="B2795" s="1" t="s">
        <v>1236</v>
      </c>
      <c r="C2795" s="1" t="s">
        <v>1237</v>
      </c>
      <c r="D2795" s="1" t="s">
        <v>517</v>
      </c>
      <c r="E2795" s="1" t="s">
        <v>511</v>
      </c>
      <c r="F2795" s="1" t="s">
        <v>463</v>
      </c>
      <c r="G2795" s="1" t="s">
        <v>279</v>
      </c>
      <c r="H2795" s="1" t="n">
        <v>155</v>
      </c>
      <c r="I2795" s="1" t="str">
        <f aca="false">B2795&amp;"|"&amp;F2795&amp;"|"&amp;G2795</f>
        <v>Manual Arts (Shop) Buildings|C|Average</v>
      </c>
      <c r="J2795" s="1" t="s">
        <v>1238</v>
      </c>
    </row>
    <row r="2796" customFormat="false" ht="12" hidden="false" customHeight="true" outlineLevel="0" collapsed="false">
      <c r="B2796" s="1" t="s">
        <v>1236</v>
      </c>
      <c r="C2796" s="1" t="s">
        <v>1237</v>
      </c>
      <c r="D2796" s="1" t="s">
        <v>517</v>
      </c>
      <c r="E2796" s="1" t="s">
        <v>511</v>
      </c>
      <c r="F2796" s="1" t="s">
        <v>463</v>
      </c>
      <c r="G2796" s="1" t="s">
        <v>480</v>
      </c>
      <c r="H2796" s="1" t="n">
        <v>110</v>
      </c>
      <c r="I2796" s="1" t="str">
        <f aca="false">B2796&amp;"|"&amp;F2796&amp;"|"&amp;G2796</f>
        <v>Manual Arts (Shop) Buildings|C|Low Cost</v>
      </c>
      <c r="J2796" s="1" t="s">
        <v>1238</v>
      </c>
    </row>
    <row r="2797" customFormat="false" ht="12" hidden="false" customHeight="true" outlineLevel="0" collapsed="false">
      <c r="B2797" s="1" t="s">
        <v>1236</v>
      </c>
      <c r="C2797" s="1" t="s">
        <v>1237</v>
      </c>
      <c r="D2797" s="1" t="s">
        <v>517</v>
      </c>
      <c r="E2797" s="1" t="s">
        <v>511</v>
      </c>
      <c r="F2797" s="1" t="s">
        <v>468</v>
      </c>
      <c r="G2797" s="1" t="s">
        <v>483</v>
      </c>
      <c r="H2797" s="1" t="n">
        <v>200</v>
      </c>
      <c r="I2797" s="1" t="str">
        <f aca="false">B2797&amp;"|"&amp;F2797&amp;"|"&amp;G2797</f>
        <v>Manual Arts (Shop) Buildings|D|Good</v>
      </c>
      <c r="J2797" s="1" t="s">
        <v>1238</v>
      </c>
    </row>
    <row r="2798" customFormat="false" ht="12" hidden="false" customHeight="true" outlineLevel="0" collapsed="false">
      <c r="B2798" s="1" t="s">
        <v>1236</v>
      </c>
      <c r="C2798" s="1" t="s">
        <v>1237</v>
      </c>
      <c r="D2798" s="1" t="s">
        <v>517</v>
      </c>
      <c r="E2798" s="1" t="s">
        <v>511</v>
      </c>
      <c r="F2798" s="1" t="s">
        <v>468</v>
      </c>
      <c r="G2798" s="1" t="s">
        <v>279</v>
      </c>
      <c r="H2798" s="1" t="n">
        <v>149</v>
      </c>
      <c r="I2798" s="1" t="str">
        <f aca="false">B2798&amp;"|"&amp;F2798&amp;"|"&amp;G2798</f>
        <v>Manual Arts (Shop) Buildings|D|Average</v>
      </c>
      <c r="J2798" s="1" t="s">
        <v>1238</v>
      </c>
    </row>
    <row r="2799" customFormat="false" ht="12" hidden="false" customHeight="true" outlineLevel="0" collapsed="false">
      <c r="B2799" s="1" t="s">
        <v>1236</v>
      </c>
      <c r="C2799" s="1" t="s">
        <v>1237</v>
      </c>
      <c r="D2799" s="1" t="s">
        <v>517</v>
      </c>
      <c r="E2799" s="1" t="s">
        <v>511</v>
      </c>
      <c r="F2799" s="1" t="s">
        <v>468</v>
      </c>
      <c r="G2799" s="1" t="s">
        <v>480</v>
      </c>
      <c r="H2799" s="1" t="n">
        <v>104</v>
      </c>
      <c r="I2799" s="1" t="str">
        <f aca="false">B2799&amp;"|"&amp;F2799&amp;"|"&amp;G2799</f>
        <v>Manual Arts (Shop) Buildings|D|Low Cost</v>
      </c>
      <c r="J2799" s="1" t="s">
        <v>1238</v>
      </c>
    </row>
    <row r="2800" customFormat="false" ht="12" hidden="false" customHeight="true" outlineLevel="0" collapsed="false">
      <c r="B2800" s="1" t="s">
        <v>1236</v>
      </c>
      <c r="C2800" s="1" t="s">
        <v>1237</v>
      </c>
      <c r="D2800" s="1" t="s">
        <v>517</v>
      </c>
      <c r="E2800" s="1" t="s">
        <v>511</v>
      </c>
      <c r="F2800" s="1" t="s">
        <v>566</v>
      </c>
      <c r="G2800" s="1" t="s">
        <v>279</v>
      </c>
      <c r="H2800" s="1" t="n">
        <v>129</v>
      </c>
      <c r="I2800" s="1" t="str">
        <f aca="false">B2800&amp;"|"&amp;F2800&amp;"|"&amp;G2800</f>
        <v>Manual Arts (Shop) Buildings|DPOLE|Average</v>
      </c>
      <c r="J2800" s="1" t="s">
        <v>1238</v>
      </c>
    </row>
    <row r="2801" customFormat="false" ht="12" hidden="false" customHeight="true" outlineLevel="0" collapsed="false">
      <c r="B2801" s="1" t="s">
        <v>1236</v>
      </c>
      <c r="C2801" s="1" t="s">
        <v>1237</v>
      </c>
      <c r="D2801" s="1" t="s">
        <v>517</v>
      </c>
      <c r="E2801" s="1" t="s">
        <v>511</v>
      </c>
      <c r="F2801" s="1" t="s">
        <v>566</v>
      </c>
      <c r="G2801" s="1" t="s">
        <v>480</v>
      </c>
      <c r="H2801" s="1" t="n">
        <v>89</v>
      </c>
      <c r="I2801" s="1" t="str">
        <f aca="false">B2801&amp;"|"&amp;F2801&amp;"|"&amp;G2801</f>
        <v>Manual Arts (Shop) Buildings|DPOLE|Low Cost</v>
      </c>
      <c r="J2801" s="1" t="s">
        <v>1238</v>
      </c>
    </row>
    <row r="2802" customFormat="false" ht="12" hidden="false" customHeight="true" outlineLevel="0" collapsed="false">
      <c r="B2802" s="1" t="s">
        <v>1236</v>
      </c>
      <c r="C2802" s="1" t="s">
        <v>1237</v>
      </c>
      <c r="D2802" s="1" t="s">
        <v>517</v>
      </c>
      <c r="E2802" s="1" t="s">
        <v>511</v>
      </c>
      <c r="F2802" s="1" t="s">
        <v>473</v>
      </c>
      <c r="G2802" s="1" t="s">
        <v>279</v>
      </c>
      <c r="H2802" s="1" t="n">
        <v>131</v>
      </c>
      <c r="I2802" s="1" t="str">
        <f aca="false">B2802&amp;"|"&amp;F2802&amp;"|"&amp;G2802</f>
        <v>Manual Arts (Shop) Buildings|S|Average</v>
      </c>
      <c r="J2802" s="1" t="s">
        <v>1238</v>
      </c>
    </row>
    <row r="2803" customFormat="false" ht="12" hidden="false" customHeight="true" outlineLevel="0" collapsed="false">
      <c r="B2803" s="1" t="s">
        <v>1236</v>
      </c>
      <c r="C2803" s="1" t="s">
        <v>1237</v>
      </c>
      <c r="D2803" s="1" t="s">
        <v>517</v>
      </c>
      <c r="E2803" s="1" t="s">
        <v>511</v>
      </c>
      <c r="F2803" s="1" t="s">
        <v>473</v>
      </c>
      <c r="G2803" s="1" t="s">
        <v>480</v>
      </c>
      <c r="H2803" s="1" t="n">
        <v>90.5</v>
      </c>
      <c r="I2803" s="1" t="str">
        <f aca="false">B2803&amp;"|"&amp;F2803&amp;"|"&amp;G2803</f>
        <v>Manual Arts (Shop) Buildings|S|Low Cost</v>
      </c>
      <c r="J2803" s="1" t="s">
        <v>1238</v>
      </c>
    </row>
    <row r="2804" customFormat="false" ht="12" hidden="false" customHeight="true" outlineLevel="0" collapsed="false">
      <c r="B2804" s="1" t="s">
        <v>1239</v>
      </c>
      <c r="C2804" s="1" t="s">
        <v>1240</v>
      </c>
      <c r="D2804" s="1" t="s">
        <v>517</v>
      </c>
      <c r="E2804" s="1" t="s">
        <v>511</v>
      </c>
      <c r="F2804" s="1" t="s">
        <v>523</v>
      </c>
      <c r="G2804" s="1" t="s">
        <v>279</v>
      </c>
      <c r="H2804" s="1" t="n">
        <v>247</v>
      </c>
      <c r="I2804" s="1" t="str">
        <f aca="false">B2804&amp;"|"&amp;F2804&amp;"|"&amp;G2804</f>
        <v>Lecture Classrooms|A-B|Average</v>
      </c>
      <c r="J2804" s="1" t="s">
        <v>1238</v>
      </c>
    </row>
    <row r="2805" customFormat="false" ht="12" hidden="false" customHeight="true" outlineLevel="0" collapsed="false">
      <c r="B2805" s="1" t="s">
        <v>1239</v>
      </c>
      <c r="C2805" s="1" t="s">
        <v>1240</v>
      </c>
      <c r="D2805" s="1" t="s">
        <v>517</v>
      </c>
      <c r="E2805" s="1" t="s">
        <v>511</v>
      </c>
      <c r="F2805" s="1" t="s">
        <v>463</v>
      </c>
      <c r="G2805" s="1" t="s">
        <v>483</v>
      </c>
      <c r="H2805" s="1" t="n">
        <v>262</v>
      </c>
      <c r="I2805" s="1" t="str">
        <f aca="false">B2805&amp;"|"&amp;F2805&amp;"|"&amp;G2805</f>
        <v>Lecture Classrooms|C|Good</v>
      </c>
      <c r="J2805" s="1" t="s">
        <v>1238</v>
      </c>
    </row>
    <row r="2806" customFormat="false" ht="12" hidden="false" customHeight="true" outlineLevel="0" collapsed="false">
      <c r="B2806" s="1" t="s">
        <v>1239</v>
      </c>
      <c r="C2806" s="1" t="s">
        <v>1240</v>
      </c>
      <c r="D2806" s="1" t="s">
        <v>517</v>
      </c>
      <c r="E2806" s="1" t="s">
        <v>511</v>
      </c>
      <c r="F2806" s="1" t="s">
        <v>463</v>
      </c>
      <c r="G2806" s="1" t="s">
        <v>279</v>
      </c>
      <c r="H2806" s="1" t="n">
        <v>188</v>
      </c>
      <c r="I2806" s="1" t="str">
        <f aca="false">B2806&amp;"|"&amp;F2806&amp;"|"&amp;G2806</f>
        <v>Lecture Classrooms|C|Average</v>
      </c>
      <c r="J2806" s="1" t="s">
        <v>1238</v>
      </c>
    </row>
    <row r="2807" customFormat="false" ht="12" hidden="false" customHeight="true" outlineLevel="0" collapsed="false">
      <c r="B2807" s="1" t="s">
        <v>1239</v>
      </c>
      <c r="C2807" s="1" t="s">
        <v>1240</v>
      </c>
      <c r="D2807" s="1" t="s">
        <v>517</v>
      </c>
      <c r="E2807" s="1" t="s">
        <v>511</v>
      </c>
      <c r="F2807" s="1" t="s">
        <v>468</v>
      </c>
      <c r="G2807" s="1" t="s">
        <v>483</v>
      </c>
      <c r="H2807" s="1" t="n">
        <v>233</v>
      </c>
      <c r="I2807" s="1" t="str">
        <f aca="false">B2807&amp;"|"&amp;F2807&amp;"|"&amp;G2807</f>
        <v>Lecture Classrooms|D|Good</v>
      </c>
      <c r="J2807" s="1" t="s">
        <v>1238</v>
      </c>
    </row>
    <row r="2808" customFormat="false" ht="12" hidden="false" customHeight="true" outlineLevel="0" collapsed="false">
      <c r="B2808" s="1" t="s">
        <v>1239</v>
      </c>
      <c r="C2808" s="1" t="s">
        <v>1240</v>
      </c>
      <c r="D2808" s="1" t="s">
        <v>517</v>
      </c>
      <c r="E2808" s="1" t="s">
        <v>511</v>
      </c>
      <c r="F2808" s="1" t="s">
        <v>468</v>
      </c>
      <c r="G2808" s="1" t="s">
        <v>279</v>
      </c>
      <c r="H2808" s="1" t="n">
        <v>173</v>
      </c>
      <c r="I2808" s="1" t="str">
        <f aca="false">B2808&amp;"|"&amp;F2808&amp;"|"&amp;G2808</f>
        <v>Lecture Classrooms|D|Average</v>
      </c>
      <c r="J2808" s="1" t="s">
        <v>1238</v>
      </c>
    </row>
    <row r="2809" customFormat="false" ht="12" hidden="false" customHeight="true" outlineLevel="0" collapsed="false">
      <c r="B2809" s="1" t="s">
        <v>1239</v>
      </c>
      <c r="C2809" s="1" t="s">
        <v>1240</v>
      </c>
      <c r="D2809" s="1" t="s">
        <v>517</v>
      </c>
      <c r="E2809" s="1" t="s">
        <v>511</v>
      </c>
      <c r="F2809" s="1" t="s">
        <v>473</v>
      </c>
      <c r="G2809" s="1" t="s">
        <v>279</v>
      </c>
      <c r="H2809" s="1" t="n">
        <v>168</v>
      </c>
      <c r="I2809" s="1" t="str">
        <f aca="false">B2809&amp;"|"&amp;F2809&amp;"|"&amp;G2809</f>
        <v>Lecture Classrooms|S|Average</v>
      </c>
      <c r="J2809" s="1" t="s">
        <v>1238</v>
      </c>
    </row>
    <row r="2810" customFormat="false" ht="12" hidden="false" customHeight="true" outlineLevel="0" collapsed="false">
      <c r="B2810" s="1" t="s">
        <v>1241</v>
      </c>
      <c r="C2810" s="1" t="s">
        <v>1242</v>
      </c>
      <c r="D2810" s="1" t="s">
        <v>517</v>
      </c>
      <c r="E2810" s="1" t="s">
        <v>513</v>
      </c>
      <c r="F2810" s="1" t="s">
        <v>523</v>
      </c>
      <c r="G2810" s="1" t="s">
        <v>483</v>
      </c>
      <c r="H2810" s="1" t="n">
        <v>316</v>
      </c>
      <c r="I2810" s="1" t="str">
        <f aca="false">B2810&amp;"|"&amp;F2810&amp;"|"&amp;G2810</f>
        <v>Multipurpose Buildings|A-B|Good</v>
      </c>
      <c r="J2810" s="1" t="s">
        <v>1243</v>
      </c>
    </row>
    <row r="2811" customFormat="false" ht="12" hidden="false" customHeight="true" outlineLevel="0" collapsed="false">
      <c r="B2811" s="1" t="s">
        <v>1241</v>
      </c>
      <c r="C2811" s="1" t="s">
        <v>1242</v>
      </c>
      <c r="D2811" s="1" t="s">
        <v>517</v>
      </c>
      <c r="E2811" s="1" t="s">
        <v>513</v>
      </c>
      <c r="F2811" s="1" t="s">
        <v>523</v>
      </c>
      <c r="G2811" s="1" t="s">
        <v>279</v>
      </c>
      <c r="H2811" s="1" t="n">
        <v>237</v>
      </c>
      <c r="I2811" s="1" t="str">
        <f aca="false">B2811&amp;"|"&amp;F2811&amp;"|"&amp;G2811</f>
        <v>Multipurpose Buildings|A-B|Average</v>
      </c>
      <c r="J2811" s="1" t="s">
        <v>1243</v>
      </c>
    </row>
    <row r="2812" customFormat="false" ht="12" hidden="false" customHeight="true" outlineLevel="0" collapsed="false">
      <c r="B2812" s="1" t="s">
        <v>1241</v>
      </c>
      <c r="C2812" s="1" t="s">
        <v>1242</v>
      </c>
      <c r="D2812" s="1" t="s">
        <v>517</v>
      </c>
      <c r="E2812" s="1" t="s">
        <v>513</v>
      </c>
      <c r="F2812" s="1" t="s">
        <v>463</v>
      </c>
      <c r="G2812" s="1" t="s">
        <v>485</v>
      </c>
      <c r="H2812" s="1" t="n">
        <v>317</v>
      </c>
      <c r="I2812" s="1" t="str">
        <f aca="false">B2812&amp;"|"&amp;F2812&amp;"|"&amp;G2812</f>
        <v>Multipurpose Buildings|C|Excellent</v>
      </c>
      <c r="J2812" s="1" t="s">
        <v>1243</v>
      </c>
    </row>
    <row r="2813" customFormat="false" ht="12" hidden="false" customHeight="true" outlineLevel="0" collapsed="false">
      <c r="B2813" s="1" t="s">
        <v>1241</v>
      </c>
      <c r="C2813" s="1" t="s">
        <v>1242</v>
      </c>
      <c r="D2813" s="1" t="s">
        <v>517</v>
      </c>
      <c r="E2813" s="1" t="s">
        <v>513</v>
      </c>
      <c r="F2813" s="1" t="s">
        <v>463</v>
      </c>
      <c r="G2813" s="1" t="s">
        <v>483</v>
      </c>
      <c r="H2813" s="1" t="n">
        <v>233</v>
      </c>
      <c r="I2813" s="1" t="str">
        <f aca="false">B2813&amp;"|"&amp;F2813&amp;"|"&amp;G2813</f>
        <v>Multipurpose Buildings|C|Good</v>
      </c>
      <c r="J2813" s="1" t="s">
        <v>1243</v>
      </c>
    </row>
    <row r="2814" customFormat="false" ht="12" hidden="false" customHeight="true" outlineLevel="0" collapsed="false">
      <c r="B2814" s="1" t="s">
        <v>1241</v>
      </c>
      <c r="C2814" s="1" t="s">
        <v>1242</v>
      </c>
      <c r="D2814" s="1" t="s">
        <v>517</v>
      </c>
      <c r="E2814" s="1" t="s">
        <v>513</v>
      </c>
      <c r="F2814" s="1" t="s">
        <v>463</v>
      </c>
      <c r="G2814" s="1" t="s">
        <v>279</v>
      </c>
      <c r="H2814" s="1" t="n">
        <v>175</v>
      </c>
      <c r="I2814" s="1" t="str">
        <f aca="false">B2814&amp;"|"&amp;F2814&amp;"|"&amp;G2814</f>
        <v>Multipurpose Buildings|C|Average</v>
      </c>
      <c r="J2814" s="1" t="s">
        <v>1243</v>
      </c>
    </row>
    <row r="2815" customFormat="false" ht="12" hidden="false" customHeight="true" outlineLevel="0" collapsed="false">
      <c r="B2815" s="1" t="s">
        <v>1241</v>
      </c>
      <c r="C2815" s="1" t="s">
        <v>1242</v>
      </c>
      <c r="D2815" s="1" t="s">
        <v>517</v>
      </c>
      <c r="E2815" s="1" t="s">
        <v>513</v>
      </c>
      <c r="F2815" s="1" t="s">
        <v>463</v>
      </c>
      <c r="G2815" s="1" t="s">
        <v>480</v>
      </c>
      <c r="H2815" s="1" t="n">
        <v>126</v>
      </c>
      <c r="I2815" s="1" t="str">
        <f aca="false">B2815&amp;"|"&amp;F2815&amp;"|"&amp;G2815</f>
        <v>Multipurpose Buildings|C|Low Cost</v>
      </c>
      <c r="J2815" s="1" t="s">
        <v>1243</v>
      </c>
    </row>
    <row r="2816" customFormat="false" ht="12" hidden="false" customHeight="true" outlineLevel="0" collapsed="false">
      <c r="B2816" s="1" t="s">
        <v>1241</v>
      </c>
      <c r="C2816" s="1" t="s">
        <v>1242</v>
      </c>
      <c r="D2816" s="1" t="s">
        <v>517</v>
      </c>
      <c r="E2816" s="1" t="s">
        <v>513</v>
      </c>
      <c r="F2816" s="1" t="s">
        <v>468</v>
      </c>
      <c r="G2816" s="1" t="s">
        <v>483</v>
      </c>
      <c r="H2816" s="1" t="n">
        <v>228</v>
      </c>
      <c r="I2816" s="1" t="str">
        <f aca="false">B2816&amp;"|"&amp;F2816&amp;"|"&amp;G2816</f>
        <v>Multipurpose Buildings|D|Good</v>
      </c>
      <c r="J2816" s="1" t="s">
        <v>1243</v>
      </c>
    </row>
    <row r="2817" customFormat="false" ht="12" hidden="false" customHeight="true" outlineLevel="0" collapsed="false">
      <c r="B2817" s="1" t="s">
        <v>1241</v>
      </c>
      <c r="C2817" s="1" t="s">
        <v>1242</v>
      </c>
      <c r="D2817" s="1" t="s">
        <v>517</v>
      </c>
      <c r="E2817" s="1" t="s">
        <v>513</v>
      </c>
      <c r="F2817" s="1" t="s">
        <v>468</v>
      </c>
      <c r="G2817" s="1" t="s">
        <v>279</v>
      </c>
      <c r="H2817" s="1" t="n">
        <v>170</v>
      </c>
      <c r="I2817" s="1" t="str">
        <f aca="false">B2817&amp;"|"&amp;F2817&amp;"|"&amp;G2817</f>
        <v>Multipurpose Buildings|D|Average</v>
      </c>
      <c r="J2817" s="1" t="s">
        <v>1243</v>
      </c>
    </row>
    <row r="2818" customFormat="false" ht="12" hidden="false" customHeight="true" outlineLevel="0" collapsed="false">
      <c r="B2818" s="1" t="s">
        <v>1241</v>
      </c>
      <c r="C2818" s="1" t="s">
        <v>1242</v>
      </c>
      <c r="D2818" s="1" t="s">
        <v>517</v>
      </c>
      <c r="E2818" s="1" t="s">
        <v>513</v>
      </c>
      <c r="F2818" s="1" t="s">
        <v>468</v>
      </c>
      <c r="G2818" s="1" t="s">
        <v>480</v>
      </c>
      <c r="H2818" s="1" t="n">
        <v>121</v>
      </c>
      <c r="I2818" s="1" t="str">
        <f aca="false">B2818&amp;"|"&amp;F2818&amp;"|"&amp;G2818</f>
        <v>Multipurpose Buildings|D|Low Cost</v>
      </c>
      <c r="J2818" s="1" t="s">
        <v>1243</v>
      </c>
    </row>
    <row r="2819" customFormat="false" ht="12" hidden="false" customHeight="true" outlineLevel="0" collapsed="false">
      <c r="B2819" s="1" t="s">
        <v>1241</v>
      </c>
      <c r="C2819" s="1" t="s">
        <v>1242</v>
      </c>
      <c r="D2819" s="1" t="s">
        <v>517</v>
      </c>
      <c r="E2819" s="1" t="s">
        <v>513</v>
      </c>
      <c r="F2819" s="1" t="s">
        <v>566</v>
      </c>
      <c r="G2819" s="1" t="s">
        <v>279</v>
      </c>
      <c r="H2819" s="1" t="n">
        <v>163</v>
      </c>
      <c r="I2819" s="1" t="str">
        <f aca="false">B2819&amp;"|"&amp;F2819&amp;"|"&amp;G2819</f>
        <v>Multipurpose Buildings|DPOLE|Average</v>
      </c>
      <c r="J2819" s="1" t="s">
        <v>1243</v>
      </c>
    </row>
    <row r="2820" customFormat="false" ht="12" hidden="false" customHeight="true" outlineLevel="0" collapsed="false">
      <c r="B2820" s="1" t="s">
        <v>1241</v>
      </c>
      <c r="C2820" s="1" t="s">
        <v>1242</v>
      </c>
      <c r="D2820" s="1" t="s">
        <v>517</v>
      </c>
      <c r="E2820" s="1" t="s">
        <v>513</v>
      </c>
      <c r="F2820" s="1" t="s">
        <v>566</v>
      </c>
      <c r="G2820" s="1" t="s">
        <v>480</v>
      </c>
      <c r="H2820" s="1" t="n">
        <v>115</v>
      </c>
      <c r="I2820" s="1" t="str">
        <f aca="false">B2820&amp;"|"&amp;F2820&amp;"|"&amp;G2820</f>
        <v>Multipurpose Buildings|DPOLE|Low Cost</v>
      </c>
      <c r="J2820" s="1" t="s">
        <v>1243</v>
      </c>
    </row>
    <row r="2821" customFormat="false" ht="12" hidden="false" customHeight="true" outlineLevel="0" collapsed="false">
      <c r="B2821" s="1" t="s">
        <v>1241</v>
      </c>
      <c r="C2821" s="1" t="s">
        <v>1242</v>
      </c>
      <c r="D2821" s="1" t="s">
        <v>517</v>
      </c>
      <c r="E2821" s="1" t="s">
        <v>513</v>
      </c>
      <c r="F2821" s="1" t="s">
        <v>473</v>
      </c>
      <c r="G2821" s="1" t="s">
        <v>279</v>
      </c>
      <c r="H2821" s="1" t="n">
        <v>164</v>
      </c>
      <c r="I2821" s="1" t="str">
        <f aca="false">B2821&amp;"|"&amp;F2821&amp;"|"&amp;G2821</f>
        <v>Multipurpose Buildings|S|Average</v>
      </c>
      <c r="J2821" s="1" t="s">
        <v>1243</v>
      </c>
    </row>
    <row r="2822" customFormat="false" ht="12" hidden="false" customHeight="true" outlineLevel="0" collapsed="false">
      <c r="B2822" s="1" t="s">
        <v>1241</v>
      </c>
      <c r="C2822" s="1" t="s">
        <v>1242</v>
      </c>
      <c r="D2822" s="1" t="s">
        <v>517</v>
      </c>
      <c r="E2822" s="1" t="s">
        <v>513</v>
      </c>
      <c r="F2822" s="1" t="s">
        <v>473</v>
      </c>
      <c r="G2822" s="1" t="s">
        <v>480</v>
      </c>
      <c r="H2822" s="1" t="n">
        <v>116</v>
      </c>
      <c r="I2822" s="1" t="str">
        <f aca="false">B2822&amp;"|"&amp;F2822&amp;"|"&amp;G2822</f>
        <v>Multipurpose Buildings|S|Low Cost</v>
      </c>
      <c r="J2822" s="1" t="s">
        <v>1243</v>
      </c>
    </row>
    <row r="2823" customFormat="false" ht="12" hidden="false" customHeight="true" outlineLevel="0" collapsed="false">
      <c r="B2823" s="1" t="s">
        <v>1244</v>
      </c>
      <c r="C2823" s="1" t="s">
        <v>1245</v>
      </c>
      <c r="D2823" s="1" t="s">
        <v>517</v>
      </c>
      <c r="E2823" s="1" t="s">
        <v>513</v>
      </c>
      <c r="F2823" s="1" t="s">
        <v>523</v>
      </c>
      <c r="G2823" s="1" t="s">
        <v>483</v>
      </c>
      <c r="H2823" s="1" t="n">
        <v>328</v>
      </c>
      <c r="I2823" s="1" t="str">
        <f aca="false">B2823&amp;"|"&amp;F2823&amp;"|"&amp;G2823</f>
        <v>Laboratory Classrooms|A-B|Good</v>
      </c>
      <c r="J2823" s="1" t="s">
        <v>1243</v>
      </c>
    </row>
    <row r="2824" customFormat="false" ht="12" hidden="false" customHeight="true" outlineLevel="0" collapsed="false">
      <c r="B2824" s="1" t="s">
        <v>1244</v>
      </c>
      <c r="C2824" s="1" t="s">
        <v>1245</v>
      </c>
      <c r="D2824" s="1" t="s">
        <v>517</v>
      </c>
      <c r="E2824" s="1" t="s">
        <v>513</v>
      </c>
      <c r="F2824" s="1" t="s">
        <v>523</v>
      </c>
      <c r="G2824" s="1" t="s">
        <v>279</v>
      </c>
      <c r="H2824" s="1" t="n">
        <v>246</v>
      </c>
      <c r="I2824" s="1" t="str">
        <f aca="false">B2824&amp;"|"&amp;F2824&amp;"|"&amp;G2824</f>
        <v>Laboratory Classrooms|A-B|Average</v>
      </c>
      <c r="J2824" s="1" t="s">
        <v>1243</v>
      </c>
    </row>
    <row r="2825" customFormat="false" ht="12" hidden="false" customHeight="true" outlineLevel="0" collapsed="false">
      <c r="B2825" s="1" t="s">
        <v>1244</v>
      </c>
      <c r="C2825" s="1" t="s">
        <v>1245</v>
      </c>
      <c r="D2825" s="1" t="s">
        <v>517</v>
      </c>
      <c r="E2825" s="1" t="s">
        <v>513</v>
      </c>
      <c r="F2825" s="1" t="s">
        <v>463</v>
      </c>
      <c r="G2825" s="1" t="s">
        <v>485</v>
      </c>
      <c r="H2825" s="1" t="n">
        <v>312</v>
      </c>
      <c r="I2825" s="1" t="str">
        <f aca="false">B2825&amp;"|"&amp;F2825&amp;"|"&amp;G2825</f>
        <v>Laboratory Classrooms|C|Excellent</v>
      </c>
      <c r="J2825" s="1" t="s">
        <v>1243</v>
      </c>
    </row>
    <row r="2826" customFormat="false" ht="12" hidden="false" customHeight="true" outlineLevel="0" collapsed="false">
      <c r="B2826" s="1" t="s">
        <v>1244</v>
      </c>
      <c r="C2826" s="1" t="s">
        <v>1245</v>
      </c>
      <c r="D2826" s="1" t="s">
        <v>517</v>
      </c>
      <c r="E2826" s="1" t="s">
        <v>513</v>
      </c>
      <c r="F2826" s="1" t="s">
        <v>463</v>
      </c>
      <c r="G2826" s="1" t="s">
        <v>483</v>
      </c>
      <c r="H2826" s="1" t="n">
        <v>246</v>
      </c>
      <c r="I2826" s="1" t="str">
        <f aca="false">B2826&amp;"|"&amp;F2826&amp;"|"&amp;G2826</f>
        <v>Laboratory Classrooms|C|Good</v>
      </c>
      <c r="J2826" s="1" t="s">
        <v>1243</v>
      </c>
    </row>
    <row r="2827" customFormat="false" ht="12" hidden="false" customHeight="true" outlineLevel="0" collapsed="false">
      <c r="B2827" s="1" t="s">
        <v>1244</v>
      </c>
      <c r="C2827" s="1" t="s">
        <v>1245</v>
      </c>
      <c r="D2827" s="1" t="s">
        <v>517</v>
      </c>
      <c r="E2827" s="1" t="s">
        <v>513</v>
      </c>
      <c r="F2827" s="1" t="s">
        <v>463</v>
      </c>
      <c r="G2827" s="1" t="s">
        <v>279</v>
      </c>
      <c r="H2827" s="1" t="n">
        <v>184</v>
      </c>
      <c r="I2827" s="1" t="str">
        <f aca="false">B2827&amp;"|"&amp;F2827&amp;"|"&amp;G2827</f>
        <v>Laboratory Classrooms|C|Average</v>
      </c>
      <c r="J2827" s="1" t="s">
        <v>1243</v>
      </c>
    </row>
    <row r="2828" customFormat="false" ht="12" hidden="false" customHeight="true" outlineLevel="0" collapsed="false">
      <c r="B2828" s="1" t="s">
        <v>1244</v>
      </c>
      <c r="C2828" s="1" t="s">
        <v>1245</v>
      </c>
      <c r="D2828" s="1" t="s">
        <v>517</v>
      </c>
      <c r="E2828" s="1" t="s">
        <v>513</v>
      </c>
      <c r="F2828" s="1" t="s">
        <v>468</v>
      </c>
      <c r="G2828" s="1" t="s">
        <v>485</v>
      </c>
      <c r="H2828" s="1" t="n">
        <v>308</v>
      </c>
      <c r="I2828" s="1" t="str">
        <f aca="false">B2828&amp;"|"&amp;F2828&amp;"|"&amp;G2828</f>
        <v>Laboratory Classrooms|D|Excellent</v>
      </c>
      <c r="J2828" s="1" t="s">
        <v>1243</v>
      </c>
    </row>
    <row r="2829" customFormat="false" ht="12" hidden="false" customHeight="true" outlineLevel="0" collapsed="false">
      <c r="B2829" s="1" t="s">
        <v>1244</v>
      </c>
      <c r="C2829" s="1" t="s">
        <v>1245</v>
      </c>
      <c r="D2829" s="1" t="s">
        <v>517</v>
      </c>
      <c r="E2829" s="1" t="s">
        <v>513</v>
      </c>
      <c r="F2829" s="1" t="s">
        <v>468</v>
      </c>
      <c r="G2829" s="1" t="s">
        <v>483</v>
      </c>
      <c r="H2829" s="1" t="n">
        <v>240</v>
      </c>
      <c r="I2829" s="1" t="str">
        <f aca="false">B2829&amp;"|"&amp;F2829&amp;"|"&amp;G2829</f>
        <v>Laboratory Classrooms|D|Good</v>
      </c>
      <c r="J2829" s="1" t="s">
        <v>1243</v>
      </c>
    </row>
    <row r="2830" customFormat="false" ht="12" hidden="false" customHeight="true" outlineLevel="0" collapsed="false">
      <c r="B2830" s="1" t="s">
        <v>1244</v>
      </c>
      <c r="C2830" s="1" t="s">
        <v>1245</v>
      </c>
      <c r="D2830" s="1" t="s">
        <v>517</v>
      </c>
      <c r="E2830" s="1" t="s">
        <v>513</v>
      </c>
      <c r="F2830" s="1" t="s">
        <v>468</v>
      </c>
      <c r="G2830" s="1" t="s">
        <v>279</v>
      </c>
      <c r="H2830" s="1" t="n">
        <v>178</v>
      </c>
      <c r="I2830" s="1" t="str">
        <f aca="false">B2830&amp;"|"&amp;F2830&amp;"|"&amp;G2830</f>
        <v>Laboratory Classrooms|D|Average</v>
      </c>
      <c r="J2830" s="1" t="s">
        <v>1243</v>
      </c>
    </row>
    <row r="2831" customFormat="false" ht="12" hidden="false" customHeight="true" outlineLevel="0" collapsed="false">
      <c r="B2831" s="1" t="s">
        <v>1244</v>
      </c>
      <c r="C2831" s="1" t="s">
        <v>1245</v>
      </c>
      <c r="D2831" s="1" t="s">
        <v>517</v>
      </c>
      <c r="E2831" s="1" t="s">
        <v>513</v>
      </c>
      <c r="F2831" s="1" t="s">
        <v>566</v>
      </c>
      <c r="G2831" s="1" t="s">
        <v>279</v>
      </c>
      <c r="H2831" s="1" t="n">
        <v>172</v>
      </c>
      <c r="I2831" s="1" t="str">
        <f aca="false">B2831&amp;"|"&amp;F2831&amp;"|"&amp;G2831</f>
        <v>Laboratory Classrooms|DPOLE|Average</v>
      </c>
      <c r="J2831" s="1" t="s">
        <v>1243</v>
      </c>
    </row>
    <row r="2832" customFormat="false" ht="12" hidden="false" customHeight="true" outlineLevel="0" collapsed="false">
      <c r="B2832" s="1" t="s">
        <v>1244</v>
      </c>
      <c r="C2832" s="1" t="s">
        <v>1245</v>
      </c>
      <c r="D2832" s="1" t="s">
        <v>517</v>
      </c>
      <c r="E2832" s="1" t="s">
        <v>513</v>
      </c>
      <c r="F2832" s="1" t="s">
        <v>473</v>
      </c>
      <c r="G2832" s="1" t="s">
        <v>483</v>
      </c>
      <c r="H2832" s="1" t="n">
        <v>235</v>
      </c>
      <c r="I2832" s="1" t="str">
        <f aca="false">B2832&amp;"|"&amp;F2832&amp;"|"&amp;G2832</f>
        <v>Laboratory Classrooms|S|Good</v>
      </c>
      <c r="J2832" s="1" t="s">
        <v>1243</v>
      </c>
    </row>
    <row r="2833" customFormat="false" ht="12" hidden="false" customHeight="true" outlineLevel="0" collapsed="false">
      <c r="B2833" s="1" t="s">
        <v>1244</v>
      </c>
      <c r="C2833" s="1" t="s">
        <v>1245</v>
      </c>
      <c r="D2833" s="1" t="s">
        <v>517</v>
      </c>
      <c r="E2833" s="1" t="s">
        <v>513</v>
      </c>
      <c r="F2833" s="1" t="s">
        <v>473</v>
      </c>
      <c r="G2833" s="1" t="s">
        <v>279</v>
      </c>
      <c r="H2833" s="1" t="n">
        <v>173</v>
      </c>
      <c r="I2833" s="1" t="str">
        <f aca="false">B2833&amp;"|"&amp;F2833&amp;"|"&amp;G2833</f>
        <v>Laboratory Classrooms|S|Average</v>
      </c>
      <c r="J2833" s="1" t="s">
        <v>1243</v>
      </c>
    </row>
    <row r="2834" customFormat="false" ht="12" hidden="false" customHeight="true" outlineLevel="0" collapsed="false">
      <c r="B2834" s="1" t="s">
        <v>1246</v>
      </c>
      <c r="C2834" s="1" t="s">
        <v>1247</v>
      </c>
      <c r="D2834" s="1" t="s">
        <v>517</v>
      </c>
      <c r="E2834" s="1" t="s">
        <v>517</v>
      </c>
      <c r="F2834" s="1" t="s">
        <v>523</v>
      </c>
      <c r="G2834" s="1" t="s">
        <v>483</v>
      </c>
      <c r="H2834" s="1" t="n">
        <v>322</v>
      </c>
      <c r="I2834" s="1" t="str">
        <f aca="false">B2834&amp;"|"&amp;F2834&amp;"|"&amp;G2834</f>
        <v>Elementary and Secondary Media Centers (Libraries)|A-B|Good</v>
      </c>
      <c r="J2834" s="1" t="s">
        <v>1248</v>
      </c>
    </row>
    <row r="2835" customFormat="false" ht="12" hidden="false" customHeight="true" outlineLevel="0" collapsed="false">
      <c r="B2835" s="1" t="s">
        <v>1246</v>
      </c>
      <c r="C2835" s="1" t="s">
        <v>1247</v>
      </c>
      <c r="D2835" s="1" t="s">
        <v>517</v>
      </c>
      <c r="E2835" s="1" t="s">
        <v>517</v>
      </c>
      <c r="F2835" s="1" t="s">
        <v>523</v>
      </c>
      <c r="G2835" s="1" t="s">
        <v>279</v>
      </c>
      <c r="H2835" s="1" t="n">
        <v>240</v>
      </c>
      <c r="I2835" s="1" t="str">
        <f aca="false">B2835&amp;"|"&amp;F2835&amp;"|"&amp;G2835</f>
        <v>Elementary and Secondary Media Centers (Libraries)|A-B|Average</v>
      </c>
      <c r="J2835" s="1" t="s">
        <v>1248</v>
      </c>
    </row>
    <row r="2836" customFormat="false" ht="12" hidden="false" customHeight="true" outlineLevel="0" collapsed="false">
      <c r="B2836" s="1" t="s">
        <v>1246</v>
      </c>
      <c r="C2836" s="1" t="s">
        <v>1247</v>
      </c>
      <c r="D2836" s="1" t="s">
        <v>517</v>
      </c>
      <c r="E2836" s="1" t="s">
        <v>517</v>
      </c>
      <c r="F2836" s="1" t="s">
        <v>523</v>
      </c>
      <c r="G2836" s="1" t="s">
        <v>480</v>
      </c>
      <c r="H2836" s="1" t="n">
        <v>184</v>
      </c>
      <c r="I2836" s="1" t="str">
        <f aca="false">B2836&amp;"|"&amp;F2836&amp;"|"&amp;G2836</f>
        <v>Elementary and Secondary Media Centers (Libraries)|A-B|Low Cost</v>
      </c>
      <c r="J2836" s="1" t="s">
        <v>1248</v>
      </c>
    </row>
    <row r="2837" customFormat="false" ht="12" hidden="false" customHeight="true" outlineLevel="0" collapsed="false">
      <c r="B2837" s="1" t="s">
        <v>1246</v>
      </c>
      <c r="C2837" s="1" t="s">
        <v>1247</v>
      </c>
      <c r="D2837" s="1" t="s">
        <v>517</v>
      </c>
      <c r="E2837" s="1" t="s">
        <v>517</v>
      </c>
      <c r="F2837" s="1" t="s">
        <v>463</v>
      </c>
      <c r="G2837" s="1" t="s">
        <v>485</v>
      </c>
      <c r="H2837" s="1" t="n">
        <v>315</v>
      </c>
      <c r="I2837" s="1" t="str">
        <f aca="false">B2837&amp;"|"&amp;F2837&amp;"|"&amp;G2837</f>
        <v>Elementary and Secondary Media Centers (Libraries)|C|Excellent</v>
      </c>
      <c r="J2837" s="1" t="s">
        <v>1248</v>
      </c>
    </row>
    <row r="2838" customFormat="false" ht="12" hidden="false" customHeight="true" outlineLevel="0" collapsed="false">
      <c r="B2838" s="1" t="s">
        <v>1246</v>
      </c>
      <c r="C2838" s="1" t="s">
        <v>1247</v>
      </c>
      <c r="D2838" s="1" t="s">
        <v>517</v>
      </c>
      <c r="E2838" s="1" t="s">
        <v>517</v>
      </c>
      <c r="F2838" s="1" t="s">
        <v>463</v>
      </c>
      <c r="G2838" s="1" t="s">
        <v>483</v>
      </c>
      <c r="H2838" s="1" t="n">
        <v>241</v>
      </c>
      <c r="I2838" s="1" t="str">
        <f aca="false">B2838&amp;"|"&amp;F2838&amp;"|"&amp;G2838</f>
        <v>Elementary and Secondary Media Centers (Libraries)|C|Good</v>
      </c>
      <c r="J2838" s="1" t="s">
        <v>1248</v>
      </c>
    </row>
    <row r="2839" customFormat="false" ht="12" hidden="false" customHeight="true" outlineLevel="0" collapsed="false">
      <c r="B2839" s="1" t="s">
        <v>1246</v>
      </c>
      <c r="C2839" s="1" t="s">
        <v>1247</v>
      </c>
      <c r="D2839" s="1" t="s">
        <v>517</v>
      </c>
      <c r="E2839" s="1" t="s">
        <v>517</v>
      </c>
      <c r="F2839" s="1" t="s">
        <v>463</v>
      </c>
      <c r="G2839" s="1" t="s">
        <v>279</v>
      </c>
      <c r="H2839" s="1" t="n">
        <v>182</v>
      </c>
      <c r="I2839" s="1" t="str">
        <f aca="false">B2839&amp;"|"&amp;F2839&amp;"|"&amp;G2839</f>
        <v>Elementary and Secondary Media Centers (Libraries)|C|Average</v>
      </c>
      <c r="J2839" s="1" t="s">
        <v>1248</v>
      </c>
    </row>
    <row r="2840" customFormat="false" ht="12" hidden="false" customHeight="true" outlineLevel="0" collapsed="false">
      <c r="B2840" s="1" t="s">
        <v>1246</v>
      </c>
      <c r="C2840" s="1" t="s">
        <v>1247</v>
      </c>
      <c r="D2840" s="1" t="s">
        <v>517</v>
      </c>
      <c r="E2840" s="1" t="s">
        <v>517</v>
      </c>
      <c r="F2840" s="1" t="s">
        <v>463</v>
      </c>
      <c r="G2840" s="1" t="s">
        <v>480</v>
      </c>
      <c r="H2840" s="1" t="n">
        <v>138</v>
      </c>
      <c r="I2840" s="1" t="str">
        <f aca="false">B2840&amp;"|"&amp;F2840&amp;"|"&amp;G2840</f>
        <v>Elementary and Secondary Media Centers (Libraries)|C|Low Cost</v>
      </c>
      <c r="J2840" s="1" t="s">
        <v>1248</v>
      </c>
    </row>
    <row r="2841" customFormat="false" ht="12" hidden="false" customHeight="true" outlineLevel="0" collapsed="false">
      <c r="B2841" s="1" t="s">
        <v>1246</v>
      </c>
      <c r="C2841" s="1" t="s">
        <v>1247</v>
      </c>
      <c r="D2841" s="1" t="s">
        <v>517</v>
      </c>
      <c r="E2841" s="1" t="s">
        <v>517</v>
      </c>
      <c r="F2841" s="1" t="s">
        <v>468</v>
      </c>
      <c r="G2841" s="1" t="s">
        <v>485</v>
      </c>
      <c r="H2841" s="1" t="n">
        <v>313</v>
      </c>
      <c r="I2841" s="1" t="str">
        <f aca="false">B2841&amp;"|"&amp;F2841&amp;"|"&amp;G2841</f>
        <v>Elementary and Secondary Media Centers (Libraries)|D|Excellent</v>
      </c>
      <c r="J2841" s="1" t="s">
        <v>1248</v>
      </c>
    </row>
    <row r="2842" customFormat="false" ht="12" hidden="false" customHeight="true" outlineLevel="0" collapsed="false">
      <c r="B2842" s="1" t="s">
        <v>1246</v>
      </c>
      <c r="C2842" s="1" t="s">
        <v>1247</v>
      </c>
      <c r="D2842" s="1" t="s">
        <v>517</v>
      </c>
      <c r="E2842" s="1" t="s">
        <v>517</v>
      </c>
      <c r="F2842" s="1" t="s">
        <v>468</v>
      </c>
      <c r="G2842" s="1" t="s">
        <v>483</v>
      </c>
      <c r="H2842" s="1" t="n">
        <v>236</v>
      </c>
      <c r="I2842" s="1" t="str">
        <f aca="false">B2842&amp;"|"&amp;F2842&amp;"|"&amp;G2842</f>
        <v>Elementary and Secondary Media Centers (Libraries)|D|Good</v>
      </c>
      <c r="J2842" s="1" t="s">
        <v>1248</v>
      </c>
    </row>
    <row r="2843" customFormat="false" ht="12" hidden="false" customHeight="true" outlineLevel="0" collapsed="false">
      <c r="B2843" s="1" t="s">
        <v>1246</v>
      </c>
      <c r="C2843" s="1" t="s">
        <v>1247</v>
      </c>
      <c r="D2843" s="1" t="s">
        <v>517</v>
      </c>
      <c r="E2843" s="1" t="s">
        <v>517</v>
      </c>
      <c r="F2843" s="1" t="s">
        <v>468</v>
      </c>
      <c r="G2843" s="1" t="s">
        <v>279</v>
      </c>
      <c r="H2843" s="1" t="n">
        <v>176</v>
      </c>
      <c r="I2843" s="1" t="str">
        <f aca="false">B2843&amp;"|"&amp;F2843&amp;"|"&amp;G2843</f>
        <v>Elementary and Secondary Media Centers (Libraries)|D|Average</v>
      </c>
      <c r="J2843" s="1" t="s">
        <v>1248</v>
      </c>
    </row>
    <row r="2844" customFormat="false" ht="12" hidden="false" customHeight="true" outlineLevel="0" collapsed="false">
      <c r="B2844" s="1" t="s">
        <v>1246</v>
      </c>
      <c r="C2844" s="1" t="s">
        <v>1247</v>
      </c>
      <c r="D2844" s="1" t="s">
        <v>517</v>
      </c>
      <c r="E2844" s="1" t="s">
        <v>517</v>
      </c>
      <c r="F2844" s="1" t="s">
        <v>468</v>
      </c>
      <c r="G2844" s="1" t="s">
        <v>480</v>
      </c>
      <c r="H2844" s="1" t="n">
        <v>133</v>
      </c>
      <c r="I2844" s="1" t="str">
        <f aca="false">B2844&amp;"|"&amp;F2844&amp;"|"&amp;G2844</f>
        <v>Elementary and Secondary Media Centers (Libraries)|D|Low Cost</v>
      </c>
      <c r="J2844" s="1" t="s">
        <v>1248</v>
      </c>
    </row>
    <row r="2845" customFormat="false" ht="12" hidden="false" customHeight="true" outlineLevel="0" collapsed="false">
      <c r="B2845" s="1" t="s">
        <v>1246</v>
      </c>
      <c r="C2845" s="1" t="s">
        <v>1247</v>
      </c>
      <c r="D2845" s="1" t="s">
        <v>517</v>
      </c>
      <c r="E2845" s="1" t="s">
        <v>517</v>
      </c>
      <c r="F2845" s="1" t="s">
        <v>566</v>
      </c>
      <c r="G2845" s="1" t="s">
        <v>279</v>
      </c>
      <c r="H2845" s="1" t="n">
        <v>169</v>
      </c>
      <c r="I2845" s="1" t="str">
        <f aca="false">B2845&amp;"|"&amp;F2845&amp;"|"&amp;G2845</f>
        <v>Elementary and Secondary Media Centers (Libraries)|DPOLE|Average</v>
      </c>
      <c r="J2845" s="1" t="s">
        <v>1248</v>
      </c>
    </row>
    <row r="2846" customFormat="false" ht="12" hidden="false" customHeight="true" outlineLevel="0" collapsed="false">
      <c r="B2846" s="1" t="s">
        <v>1246</v>
      </c>
      <c r="C2846" s="1" t="s">
        <v>1247</v>
      </c>
      <c r="D2846" s="1" t="s">
        <v>517</v>
      </c>
      <c r="E2846" s="1" t="s">
        <v>517</v>
      </c>
      <c r="F2846" s="1" t="s">
        <v>566</v>
      </c>
      <c r="G2846" s="1" t="s">
        <v>480</v>
      </c>
      <c r="H2846" s="1" t="n">
        <v>127</v>
      </c>
      <c r="I2846" s="1" t="str">
        <f aca="false">B2846&amp;"|"&amp;F2846&amp;"|"&amp;G2846</f>
        <v>Elementary and Secondary Media Centers (Libraries)|DPOLE|Low Cost</v>
      </c>
      <c r="J2846" s="1" t="s">
        <v>1248</v>
      </c>
    </row>
    <row r="2847" customFormat="false" ht="12" hidden="false" customHeight="true" outlineLevel="0" collapsed="false">
      <c r="B2847" s="1" t="s">
        <v>1246</v>
      </c>
      <c r="C2847" s="1" t="s">
        <v>1247</v>
      </c>
      <c r="D2847" s="1" t="s">
        <v>517</v>
      </c>
      <c r="E2847" s="1" t="s">
        <v>517</v>
      </c>
      <c r="F2847" s="1" t="s">
        <v>473</v>
      </c>
      <c r="G2847" s="1" t="s">
        <v>483</v>
      </c>
      <c r="H2847" s="1" t="n">
        <v>231</v>
      </c>
      <c r="I2847" s="1" t="str">
        <f aca="false">B2847&amp;"|"&amp;F2847&amp;"|"&amp;G2847</f>
        <v>Elementary and Secondary Media Centers (Libraries)|S|Good</v>
      </c>
      <c r="J2847" s="1" t="s">
        <v>1248</v>
      </c>
    </row>
    <row r="2848" customFormat="false" ht="12" hidden="false" customHeight="true" outlineLevel="0" collapsed="false">
      <c r="B2848" s="1" t="s">
        <v>1246</v>
      </c>
      <c r="C2848" s="1" t="s">
        <v>1247</v>
      </c>
      <c r="D2848" s="1" t="s">
        <v>517</v>
      </c>
      <c r="E2848" s="1" t="s">
        <v>517</v>
      </c>
      <c r="F2848" s="1" t="s">
        <v>473</v>
      </c>
      <c r="G2848" s="1" t="s">
        <v>279</v>
      </c>
      <c r="H2848" s="1" t="n">
        <v>171</v>
      </c>
      <c r="I2848" s="1" t="str">
        <f aca="false">B2848&amp;"|"&amp;F2848&amp;"|"&amp;G2848</f>
        <v>Elementary and Secondary Media Centers (Libraries)|S|Average</v>
      </c>
      <c r="J2848" s="1" t="s">
        <v>1248</v>
      </c>
    </row>
    <row r="2849" customFormat="false" ht="12" hidden="false" customHeight="true" outlineLevel="0" collapsed="false">
      <c r="B2849" s="1" t="s">
        <v>1246</v>
      </c>
      <c r="C2849" s="1" t="s">
        <v>1247</v>
      </c>
      <c r="D2849" s="1" t="s">
        <v>517</v>
      </c>
      <c r="E2849" s="1" t="s">
        <v>517</v>
      </c>
      <c r="F2849" s="1" t="s">
        <v>473</v>
      </c>
      <c r="G2849" s="1" t="s">
        <v>480</v>
      </c>
      <c r="H2849" s="1" t="n">
        <v>128</v>
      </c>
      <c r="I2849" s="1" t="str">
        <f aca="false">B2849&amp;"|"&amp;F2849&amp;"|"&amp;G2849</f>
        <v>Elementary and Secondary Media Centers (Libraries)|S|Low Cost</v>
      </c>
      <c r="J2849" s="1" t="s">
        <v>1248</v>
      </c>
    </row>
    <row r="2850" customFormat="false" ht="12" hidden="false" customHeight="true" outlineLevel="0" collapsed="false">
      <c r="B2850" s="1" t="s">
        <v>1249</v>
      </c>
      <c r="C2850" s="1" t="s">
        <v>1250</v>
      </c>
      <c r="D2850" s="1" t="s">
        <v>517</v>
      </c>
      <c r="E2850" s="1" t="s">
        <v>522</v>
      </c>
      <c r="F2850" s="1" t="s">
        <v>523</v>
      </c>
      <c r="G2850" s="1" t="s">
        <v>485</v>
      </c>
      <c r="H2850" s="1" t="n">
        <v>456</v>
      </c>
      <c r="I2850" s="1" t="str">
        <f aca="false">B2850&amp;"|"&amp;F2850&amp;"|"&amp;G2850</f>
        <v>Academic (College) Libraries|A-B|Excellent</v>
      </c>
      <c r="J2850" s="1" t="s">
        <v>1251</v>
      </c>
    </row>
    <row r="2851" customFormat="false" ht="12" hidden="false" customHeight="true" outlineLevel="0" collapsed="false">
      <c r="B2851" s="1" t="s">
        <v>1249</v>
      </c>
      <c r="C2851" s="1" t="s">
        <v>1250</v>
      </c>
      <c r="D2851" s="1" t="s">
        <v>517</v>
      </c>
      <c r="E2851" s="1" t="s">
        <v>522</v>
      </c>
      <c r="F2851" s="1" t="s">
        <v>523</v>
      </c>
      <c r="G2851" s="1" t="s">
        <v>483</v>
      </c>
      <c r="H2851" s="1" t="n">
        <v>354</v>
      </c>
      <c r="I2851" s="1" t="str">
        <f aca="false">B2851&amp;"|"&amp;F2851&amp;"|"&amp;G2851</f>
        <v>Academic (College) Libraries|A-B|Good</v>
      </c>
      <c r="J2851" s="1" t="s">
        <v>1251</v>
      </c>
    </row>
    <row r="2852" customFormat="false" ht="12" hidden="false" customHeight="true" outlineLevel="0" collapsed="false">
      <c r="B2852" s="1" t="s">
        <v>1249</v>
      </c>
      <c r="C2852" s="1" t="s">
        <v>1250</v>
      </c>
      <c r="D2852" s="1" t="s">
        <v>517</v>
      </c>
      <c r="E2852" s="1" t="s">
        <v>522</v>
      </c>
      <c r="F2852" s="1" t="s">
        <v>523</v>
      </c>
      <c r="G2852" s="1" t="s">
        <v>279</v>
      </c>
      <c r="H2852" s="1" t="n">
        <v>262</v>
      </c>
      <c r="I2852" s="1" t="str">
        <f aca="false">B2852&amp;"|"&amp;F2852&amp;"|"&amp;G2852</f>
        <v>Academic (College) Libraries|A-B|Average</v>
      </c>
      <c r="J2852" s="1" t="s">
        <v>1251</v>
      </c>
    </row>
    <row r="2853" customFormat="false" ht="12" hidden="false" customHeight="true" outlineLevel="0" collapsed="false">
      <c r="B2853" s="1" t="s">
        <v>1249</v>
      </c>
      <c r="C2853" s="1" t="s">
        <v>1250</v>
      </c>
      <c r="D2853" s="1" t="s">
        <v>517</v>
      </c>
      <c r="E2853" s="1" t="s">
        <v>522</v>
      </c>
      <c r="F2853" s="1" t="s">
        <v>523</v>
      </c>
      <c r="G2853" s="1" t="s">
        <v>480</v>
      </c>
      <c r="H2853" s="1" t="n">
        <v>202</v>
      </c>
      <c r="I2853" s="1" t="str">
        <f aca="false">B2853&amp;"|"&amp;F2853&amp;"|"&amp;G2853</f>
        <v>Academic (College) Libraries|A-B|Low Cost</v>
      </c>
      <c r="J2853" s="1" t="s">
        <v>1251</v>
      </c>
    </row>
    <row r="2854" customFormat="false" ht="12" hidden="false" customHeight="true" outlineLevel="0" collapsed="false">
      <c r="B2854" s="1" t="s">
        <v>1249</v>
      </c>
      <c r="C2854" s="1" t="s">
        <v>1250</v>
      </c>
      <c r="D2854" s="1" t="s">
        <v>517</v>
      </c>
      <c r="E2854" s="1" t="s">
        <v>522</v>
      </c>
      <c r="F2854" s="1" t="s">
        <v>463</v>
      </c>
      <c r="G2854" s="1" t="s">
        <v>485</v>
      </c>
      <c r="H2854" s="1" t="n">
        <v>354</v>
      </c>
      <c r="I2854" s="1" t="str">
        <f aca="false">B2854&amp;"|"&amp;F2854&amp;"|"&amp;G2854</f>
        <v>Academic (College) Libraries|C|Excellent</v>
      </c>
      <c r="J2854" s="1" t="s">
        <v>1251</v>
      </c>
    </row>
    <row r="2855" customFormat="false" ht="12" hidden="false" customHeight="true" outlineLevel="0" collapsed="false">
      <c r="B2855" s="1" t="s">
        <v>1249</v>
      </c>
      <c r="C2855" s="1" t="s">
        <v>1250</v>
      </c>
      <c r="D2855" s="1" t="s">
        <v>517</v>
      </c>
      <c r="E2855" s="1" t="s">
        <v>522</v>
      </c>
      <c r="F2855" s="1" t="s">
        <v>463</v>
      </c>
      <c r="G2855" s="1" t="s">
        <v>483</v>
      </c>
      <c r="H2855" s="1" t="n">
        <v>261</v>
      </c>
      <c r="I2855" s="1" t="str">
        <f aca="false">B2855&amp;"|"&amp;F2855&amp;"|"&amp;G2855</f>
        <v>Academic (College) Libraries|C|Good</v>
      </c>
      <c r="J2855" s="1" t="s">
        <v>1251</v>
      </c>
    </row>
    <row r="2856" customFormat="false" ht="12" hidden="false" customHeight="true" outlineLevel="0" collapsed="false">
      <c r="B2856" s="1" t="s">
        <v>1249</v>
      </c>
      <c r="C2856" s="1" t="s">
        <v>1250</v>
      </c>
      <c r="D2856" s="1" t="s">
        <v>517</v>
      </c>
      <c r="E2856" s="1" t="s">
        <v>522</v>
      </c>
      <c r="F2856" s="1" t="s">
        <v>463</v>
      </c>
      <c r="G2856" s="1" t="s">
        <v>279</v>
      </c>
      <c r="H2856" s="1" t="n">
        <v>197</v>
      </c>
      <c r="I2856" s="1" t="str">
        <f aca="false">B2856&amp;"|"&amp;F2856&amp;"|"&amp;G2856</f>
        <v>Academic (College) Libraries|C|Average</v>
      </c>
      <c r="J2856" s="1" t="s">
        <v>1251</v>
      </c>
    </row>
    <row r="2857" customFormat="false" ht="12" hidden="false" customHeight="true" outlineLevel="0" collapsed="false">
      <c r="B2857" s="1" t="s">
        <v>1249</v>
      </c>
      <c r="C2857" s="1" t="s">
        <v>1250</v>
      </c>
      <c r="D2857" s="1" t="s">
        <v>517</v>
      </c>
      <c r="E2857" s="1" t="s">
        <v>522</v>
      </c>
      <c r="F2857" s="1" t="s">
        <v>463</v>
      </c>
      <c r="G2857" s="1" t="s">
        <v>480</v>
      </c>
      <c r="H2857" s="1" t="n">
        <v>147</v>
      </c>
      <c r="I2857" s="1" t="str">
        <f aca="false">B2857&amp;"|"&amp;F2857&amp;"|"&amp;G2857</f>
        <v>Academic (College) Libraries|C|Low Cost</v>
      </c>
      <c r="J2857" s="1" t="s">
        <v>1251</v>
      </c>
    </row>
    <row r="2858" customFormat="false" ht="12" hidden="false" customHeight="true" outlineLevel="0" collapsed="false">
      <c r="B2858" s="1" t="s">
        <v>1249</v>
      </c>
      <c r="C2858" s="1" t="s">
        <v>1250</v>
      </c>
      <c r="D2858" s="1" t="s">
        <v>517</v>
      </c>
      <c r="E2858" s="1" t="s">
        <v>522</v>
      </c>
      <c r="F2858" s="1" t="s">
        <v>468</v>
      </c>
      <c r="G2858" s="1" t="s">
        <v>485</v>
      </c>
      <c r="H2858" s="1" t="n">
        <v>349</v>
      </c>
      <c r="I2858" s="1" t="str">
        <f aca="false">B2858&amp;"|"&amp;F2858&amp;"|"&amp;G2858</f>
        <v>Academic (College) Libraries|D|Excellent</v>
      </c>
      <c r="J2858" s="1" t="s">
        <v>1251</v>
      </c>
    </row>
    <row r="2859" customFormat="false" ht="12" hidden="false" customHeight="true" outlineLevel="0" collapsed="false">
      <c r="B2859" s="1" t="s">
        <v>1249</v>
      </c>
      <c r="C2859" s="1" t="s">
        <v>1250</v>
      </c>
      <c r="D2859" s="1" t="s">
        <v>517</v>
      </c>
      <c r="E2859" s="1" t="s">
        <v>522</v>
      </c>
      <c r="F2859" s="1" t="s">
        <v>468</v>
      </c>
      <c r="G2859" s="1" t="s">
        <v>483</v>
      </c>
      <c r="H2859" s="1" t="n">
        <v>256</v>
      </c>
      <c r="I2859" s="1" t="str">
        <f aca="false">B2859&amp;"|"&amp;F2859&amp;"|"&amp;G2859</f>
        <v>Academic (College) Libraries|D|Good</v>
      </c>
      <c r="J2859" s="1" t="s">
        <v>1251</v>
      </c>
    </row>
    <row r="2860" customFormat="false" ht="12" hidden="false" customHeight="true" outlineLevel="0" collapsed="false">
      <c r="B2860" s="1" t="s">
        <v>1249</v>
      </c>
      <c r="C2860" s="1" t="s">
        <v>1250</v>
      </c>
      <c r="D2860" s="1" t="s">
        <v>517</v>
      </c>
      <c r="E2860" s="1" t="s">
        <v>522</v>
      </c>
      <c r="F2860" s="1" t="s">
        <v>468</v>
      </c>
      <c r="G2860" s="1" t="s">
        <v>279</v>
      </c>
      <c r="H2860" s="1" t="n">
        <v>191</v>
      </c>
      <c r="I2860" s="1" t="str">
        <f aca="false">B2860&amp;"|"&amp;F2860&amp;"|"&amp;G2860</f>
        <v>Academic (College) Libraries|D|Average</v>
      </c>
      <c r="J2860" s="1" t="s">
        <v>1251</v>
      </c>
    </row>
    <row r="2861" customFormat="false" ht="12" hidden="false" customHeight="true" outlineLevel="0" collapsed="false">
      <c r="B2861" s="1" t="s">
        <v>1249</v>
      </c>
      <c r="C2861" s="1" t="s">
        <v>1250</v>
      </c>
      <c r="D2861" s="1" t="s">
        <v>517</v>
      </c>
      <c r="E2861" s="1" t="s">
        <v>522</v>
      </c>
      <c r="F2861" s="1" t="s">
        <v>468</v>
      </c>
      <c r="G2861" s="1" t="s">
        <v>480</v>
      </c>
      <c r="H2861" s="1" t="n">
        <v>142</v>
      </c>
      <c r="I2861" s="1" t="str">
        <f aca="false">B2861&amp;"|"&amp;F2861&amp;"|"&amp;G2861</f>
        <v>Academic (College) Libraries|D|Low Cost</v>
      </c>
      <c r="J2861" s="1" t="s">
        <v>1251</v>
      </c>
    </row>
    <row r="2862" customFormat="false" ht="12" hidden="false" customHeight="true" outlineLevel="0" collapsed="false">
      <c r="B2862" s="1" t="s">
        <v>1249</v>
      </c>
      <c r="C2862" s="1" t="s">
        <v>1250</v>
      </c>
      <c r="D2862" s="1" t="s">
        <v>517</v>
      </c>
      <c r="E2862" s="1" t="s">
        <v>522</v>
      </c>
      <c r="F2862" s="1" t="s">
        <v>473</v>
      </c>
      <c r="G2862" s="1" t="s">
        <v>483</v>
      </c>
      <c r="H2862" s="1" t="n">
        <v>248</v>
      </c>
      <c r="I2862" s="1" t="str">
        <f aca="false">B2862&amp;"|"&amp;F2862&amp;"|"&amp;G2862</f>
        <v>Academic (College) Libraries|S|Good</v>
      </c>
      <c r="J2862" s="1" t="s">
        <v>1251</v>
      </c>
    </row>
    <row r="2863" customFormat="false" ht="12" hidden="false" customHeight="true" outlineLevel="0" collapsed="false">
      <c r="B2863" s="1" t="s">
        <v>1249</v>
      </c>
      <c r="C2863" s="1" t="s">
        <v>1250</v>
      </c>
      <c r="D2863" s="1" t="s">
        <v>517</v>
      </c>
      <c r="E2863" s="1" t="s">
        <v>522</v>
      </c>
      <c r="F2863" s="1" t="s">
        <v>473</v>
      </c>
      <c r="G2863" s="1" t="s">
        <v>279</v>
      </c>
      <c r="H2863" s="1" t="n">
        <v>184</v>
      </c>
      <c r="I2863" s="1" t="str">
        <f aca="false">B2863&amp;"|"&amp;F2863&amp;"|"&amp;G2863</f>
        <v>Academic (College) Libraries|S|Average</v>
      </c>
      <c r="J2863" s="1" t="s">
        <v>1251</v>
      </c>
    </row>
    <row r="2864" customFormat="false" ht="12" hidden="false" customHeight="true" outlineLevel="0" collapsed="false">
      <c r="B2864" s="1" t="s">
        <v>1249</v>
      </c>
      <c r="C2864" s="1" t="s">
        <v>1250</v>
      </c>
      <c r="D2864" s="1" t="s">
        <v>517</v>
      </c>
      <c r="E2864" s="1" t="s">
        <v>522</v>
      </c>
      <c r="F2864" s="1" t="s">
        <v>473</v>
      </c>
      <c r="G2864" s="1" t="s">
        <v>480</v>
      </c>
      <c r="H2864" s="1" t="n">
        <v>136</v>
      </c>
      <c r="I2864" s="1" t="str">
        <f aca="false">B2864&amp;"|"&amp;F2864&amp;"|"&amp;G2864</f>
        <v>Academic (College) Libraries|S|Low Cost</v>
      </c>
      <c r="J2864" s="1" t="s">
        <v>1251</v>
      </c>
    </row>
    <row r="2865" customFormat="false" ht="12" hidden="false" customHeight="true" outlineLevel="0" collapsed="false">
      <c r="B2865" s="1" t="s">
        <v>1252</v>
      </c>
      <c r="C2865" s="1" t="s">
        <v>1253</v>
      </c>
      <c r="D2865" s="1" t="s">
        <v>517</v>
      </c>
      <c r="E2865" s="1" t="s">
        <v>527</v>
      </c>
      <c r="F2865" s="1" t="s">
        <v>523</v>
      </c>
      <c r="G2865" s="1" t="s">
        <v>483</v>
      </c>
      <c r="H2865" s="1" t="n">
        <v>340</v>
      </c>
      <c r="I2865" s="1" t="str">
        <f aca="false">B2865&amp;"|"&amp;F2865&amp;"|"&amp;G2865</f>
        <v>Fine Arts Buildings|A-B|Good</v>
      </c>
      <c r="J2865" s="1" t="s">
        <v>1254</v>
      </c>
    </row>
    <row r="2866" customFormat="false" ht="12" hidden="false" customHeight="true" outlineLevel="0" collapsed="false">
      <c r="B2866" s="1" t="s">
        <v>1252</v>
      </c>
      <c r="C2866" s="1" t="s">
        <v>1253</v>
      </c>
      <c r="D2866" s="1" t="s">
        <v>517</v>
      </c>
      <c r="E2866" s="1" t="s">
        <v>527</v>
      </c>
      <c r="F2866" s="1" t="s">
        <v>523</v>
      </c>
      <c r="G2866" s="1" t="s">
        <v>279</v>
      </c>
      <c r="H2866" s="1" t="n">
        <v>250</v>
      </c>
      <c r="I2866" s="1" t="str">
        <f aca="false">B2866&amp;"|"&amp;F2866&amp;"|"&amp;G2866</f>
        <v>Fine Arts Buildings|A-B|Average</v>
      </c>
      <c r="J2866" s="1" t="s">
        <v>1254</v>
      </c>
    </row>
    <row r="2867" customFormat="false" ht="12" hidden="false" customHeight="true" outlineLevel="0" collapsed="false">
      <c r="B2867" s="1" t="s">
        <v>1252</v>
      </c>
      <c r="C2867" s="1" t="s">
        <v>1253</v>
      </c>
      <c r="D2867" s="1" t="s">
        <v>517</v>
      </c>
      <c r="E2867" s="1" t="s">
        <v>527</v>
      </c>
      <c r="F2867" s="1" t="s">
        <v>463</v>
      </c>
      <c r="G2867" s="1" t="s">
        <v>485</v>
      </c>
      <c r="H2867" s="1" t="n">
        <v>342</v>
      </c>
      <c r="I2867" s="1" t="str">
        <f aca="false">B2867&amp;"|"&amp;F2867&amp;"|"&amp;G2867</f>
        <v>Fine Arts Buildings|C|Excellent</v>
      </c>
      <c r="J2867" s="1" t="s">
        <v>1254</v>
      </c>
    </row>
    <row r="2868" customFormat="false" ht="12" hidden="false" customHeight="true" outlineLevel="0" collapsed="false">
      <c r="B2868" s="1" t="s">
        <v>1252</v>
      </c>
      <c r="C2868" s="1" t="s">
        <v>1253</v>
      </c>
      <c r="D2868" s="1" t="s">
        <v>517</v>
      </c>
      <c r="E2868" s="1" t="s">
        <v>527</v>
      </c>
      <c r="F2868" s="1" t="s">
        <v>463</v>
      </c>
      <c r="G2868" s="1" t="s">
        <v>483</v>
      </c>
      <c r="H2868" s="1" t="n">
        <v>252</v>
      </c>
      <c r="I2868" s="1" t="str">
        <f aca="false">B2868&amp;"|"&amp;F2868&amp;"|"&amp;G2868</f>
        <v>Fine Arts Buildings|C|Good</v>
      </c>
      <c r="J2868" s="1" t="s">
        <v>1254</v>
      </c>
    </row>
    <row r="2869" customFormat="false" ht="12" hidden="false" customHeight="true" outlineLevel="0" collapsed="false">
      <c r="B2869" s="1" t="s">
        <v>1252</v>
      </c>
      <c r="C2869" s="1" t="s">
        <v>1253</v>
      </c>
      <c r="D2869" s="1" t="s">
        <v>517</v>
      </c>
      <c r="E2869" s="1" t="s">
        <v>527</v>
      </c>
      <c r="F2869" s="1" t="s">
        <v>463</v>
      </c>
      <c r="G2869" s="1" t="s">
        <v>279</v>
      </c>
      <c r="H2869" s="1" t="n">
        <v>191</v>
      </c>
      <c r="I2869" s="1" t="str">
        <f aca="false">B2869&amp;"|"&amp;F2869&amp;"|"&amp;G2869</f>
        <v>Fine Arts Buildings|C|Average</v>
      </c>
      <c r="J2869" s="1" t="s">
        <v>1254</v>
      </c>
    </row>
    <row r="2870" customFormat="false" ht="12" hidden="false" customHeight="true" outlineLevel="0" collapsed="false">
      <c r="B2870" s="1" t="s">
        <v>1252</v>
      </c>
      <c r="C2870" s="1" t="s">
        <v>1253</v>
      </c>
      <c r="D2870" s="1" t="s">
        <v>517</v>
      </c>
      <c r="E2870" s="1" t="s">
        <v>527</v>
      </c>
      <c r="F2870" s="1" t="s">
        <v>463</v>
      </c>
      <c r="G2870" s="1" t="s">
        <v>480</v>
      </c>
      <c r="H2870" s="1" t="n">
        <v>143</v>
      </c>
      <c r="I2870" s="1" t="str">
        <f aca="false">B2870&amp;"|"&amp;F2870&amp;"|"&amp;G2870</f>
        <v>Fine Arts Buildings|C|Low Cost</v>
      </c>
      <c r="J2870" s="1" t="s">
        <v>1254</v>
      </c>
    </row>
    <row r="2871" customFormat="false" ht="12" hidden="false" customHeight="true" outlineLevel="0" collapsed="false">
      <c r="B2871" s="1" t="s">
        <v>1252</v>
      </c>
      <c r="C2871" s="1" t="s">
        <v>1253</v>
      </c>
      <c r="D2871" s="1" t="s">
        <v>517</v>
      </c>
      <c r="E2871" s="1" t="s">
        <v>527</v>
      </c>
      <c r="F2871" s="1" t="s">
        <v>468</v>
      </c>
      <c r="G2871" s="1" t="s">
        <v>483</v>
      </c>
      <c r="H2871" s="1" t="n">
        <v>247</v>
      </c>
      <c r="I2871" s="1" t="str">
        <f aca="false">B2871&amp;"|"&amp;F2871&amp;"|"&amp;G2871</f>
        <v>Fine Arts Buildings|D|Good</v>
      </c>
      <c r="J2871" s="1" t="s">
        <v>1254</v>
      </c>
    </row>
    <row r="2872" customFormat="false" ht="12" hidden="false" customHeight="true" outlineLevel="0" collapsed="false">
      <c r="B2872" s="1" t="s">
        <v>1252</v>
      </c>
      <c r="C2872" s="1" t="s">
        <v>1253</v>
      </c>
      <c r="D2872" s="1" t="s">
        <v>517</v>
      </c>
      <c r="E2872" s="1" t="s">
        <v>527</v>
      </c>
      <c r="F2872" s="1" t="s">
        <v>468</v>
      </c>
      <c r="G2872" s="1" t="s">
        <v>279</v>
      </c>
      <c r="H2872" s="1" t="n">
        <v>185</v>
      </c>
      <c r="I2872" s="1" t="str">
        <f aca="false">B2872&amp;"|"&amp;F2872&amp;"|"&amp;G2872</f>
        <v>Fine Arts Buildings|D|Average</v>
      </c>
      <c r="J2872" s="1" t="s">
        <v>1254</v>
      </c>
    </row>
    <row r="2873" customFormat="false" ht="12" hidden="false" customHeight="true" outlineLevel="0" collapsed="false">
      <c r="B2873" s="1" t="s">
        <v>1252</v>
      </c>
      <c r="C2873" s="1" t="s">
        <v>1253</v>
      </c>
      <c r="D2873" s="1" t="s">
        <v>517</v>
      </c>
      <c r="E2873" s="1" t="s">
        <v>527</v>
      </c>
      <c r="F2873" s="1" t="s">
        <v>468</v>
      </c>
      <c r="G2873" s="1" t="s">
        <v>480</v>
      </c>
      <c r="H2873" s="1" t="n">
        <v>137</v>
      </c>
      <c r="I2873" s="1" t="str">
        <f aca="false">B2873&amp;"|"&amp;F2873&amp;"|"&amp;G2873</f>
        <v>Fine Arts Buildings|D|Low Cost</v>
      </c>
      <c r="J2873" s="1" t="s">
        <v>1254</v>
      </c>
    </row>
    <row r="2874" customFormat="false" ht="12" hidden="false" customHeight="true" outlineLevel="0" collapsed="false">
      <c r="B2874" s="1" t="s">
        <v>1252</v>
      </c>
      <c r="C2874" s="1" t="s">
        <v>1253</v>
      </c>
      <c r="D2874" s="1" t="s">
        <v>517</v>
      </c>
      <c r="E2874" s="1" t="s">
        <v>527</v>
      </c>
      <c r="F2874" s="1" t="s">
        <v>566</v>
      </c>
      <c r="G2874" s="1" t="s">
        <v>279</v>
      </c>
      <c r="H2874" s="1" t="n">
        <v>178</v>
      </c>
      <c r="I2874" s="1" t="str">
        <f aca="false">B2874&amp;"|"&amp;F2874&amp;"|"&amp;G2874</f>
        <v>Fine Arts Buildings|DPOLE|Average</v>
      </c>
      <c r="J2874" s="1" t="s">
        <v>1254</v>
      </c>
    </row>
    <row r="2875" customFormat="false" ht="12" hidden="false" customHeight="true" outlineLevel="0" collapsed="false">
      <c r="B2875" s="1" t="s">
        <v>1252</v>
      </c>
      <c r="C2875" s="1" t="s">
        <v>1253</v>
      </c>
      <c r="D2875" s="1" t="s">
        <v>517</v>
      </c>
      <c r="E2875" s="1" t="s">
        <v>527</v>
      </c>
      <c r="F2875" s="1" t="s">
        <v>566</v>
      </c>
      <c r="G2875" s="1" t="s">
        <v>480</v>
      </c>
      <c r="H2875" s="1" t="n">
        <v>131</v>
      </c>
      <c r="I2875" s="1" t="str">
        <f aca="false">B2875&amp;"|"&amp;F2875&amp;"|"&amp;G2875</f>
        <v>Fine Arts Buildings|DPOLE|Low Cost</v>
      </c>
      <c r="J2875" s="1" t="s">
        <v>1254</v>
      </c>
    </row>
    <row r="2876" customFormat="false" ht="12" hidden="false" customHeight="true" outlineLevel="0" collapsed="false">
      <c r="B2876" s="1" t="s">
        <v>1252</v>
      </c>
      <c r="C2876" s="1" t="s">
        <v>1253</v>
      </c>
      <c r="D2876" s="1" t="s">
        <v>517</v>
      </c>
      <c r="E2876" s="1" t="s">
        <v>527</v>
      </c>
      <c r="F2876" s="1" t="s">
        <v>473</v>
      </c>
      <c r="G2876" s="1" t="s">
        <v>483</v>
      </c>
      <c r="H2876" s="1" t="n">
        <v>243</v>
      </c>
      <c r="I2876" s="1" t="str">
        <f aca="false">B2876&amp;"|"&amp;F2876&amp;"|"&amp;G2876</f>
        <v>Fine Arts Buildings|S|Good</v>
      </c>
      <c r="J2876" s="1" t="s">
        <v>1254</v>
      </c>
    </row>
    <row r="2877" customFormat="false" ht="12" hidden="false" customHeight="true" outlineLevel="0" collapsed="false">
      <c r="B2877" s="1" t="s">
        <v>1252</v>
      </c>
      <c r="C2877" s="1" t="s">
        <v>1253</v>
      </c>
      <c r="D2877" s="1" t="s">
        <v>517</v>
      </c>
      <c r="E2877" s="1" t="s">
        <v>527</v>
      </c>
      <c r="F2877" s="1" t="s">
        <v>473</v>
      </c>
      <c r="G2877" s="1" t="s">
        <v>279</v>
      </c>
      <c r="H2877" s="1" t="n">
        <v>181</v>
      </c>
      <c r="I2877" s="1" t="str">
        <f aca="false">B2877&amp;"|"&amp;F2877&amp;"|"&amp;G2877</f>
        <v>Fine Arts Buildings|S|Average</v>
      </c>
      <c r="J2877" s="1" t="s">
        <v>1254</v>
      </c>
    </row>
    <row r="2878" customFormat="false" ht="12" hidden="false" customHeight="true" outlineLevel="0" collapsed="false">
      <c r="B2878" s="1" t="s">
        <v>1252</v>
      </c>
      <c r="C2878" s="1" t="s">
        <v>1253</v>
      </c>
      <c r="D2878" s="1" t="s">
        <v>517</v>
      </c>
      <c r="E2878" s="1" t="s">
        <v>527</v>
      </c>
      <c r="F2878" s="1" t="s">
        <v>473</v>
      </c>
      <c r="G2878" s="1" t="s">
        <v>480</v>
      </c>
      <c r="H2878" s="1" t="n">
        <v>133</v>
      </c>
      <c r="I2878" s="1" t="str">
        <f aca="false">B2878&amp;"|"&amp;F2878&amp;"|"&amp;G2878</f>
        <v>Fine Arts Buildings|S|Low Cost</v>
      </c>
      <c r="J2878" s="1" t="s">
        <v>1254</v>
      </c>
    </row>
    <row r="2879" customFormat="false" ht="12" hidden="false" customHeight="true" outlineLevel="0" collapsed="false">
      <c r="B2879" s="1" t="s">
        <v>1255</v>
      </c>
      <c r="C2879" s="1" t="s">
        <v>1256</v>
      </c>
      <c r="D2879" s="1" t="s">
        <v>517</v>
      </c>
      <c r="E2879" s="1" t="s">
        <v>527</v>
      </c>
      <c r="F2879" s="1" t="s">
        <v>523</v>
      </c>
      <c r="G2879" s="1" t="s">
        <v>279</v>
      </c>
      <c r="H2879" s="1" t="n">
        <v>168</v>
      </c>
      <c r="I2879" s="1" t="str">
        <f aca="false">B2879&amp;"|"&amp;F2879&amp;"|"&amp;G2879</f>
        <v>Book Stores|A-B|Average</v>
      </c>
      <c r="J2879" s="1" t="s">
        <v>1254</v>
      </c>
    </row>
    <row r="2880" customFormat="false" ht="12" hidden="false" customHeight="true" outlineLevel="0" collapsed="false">
      <c r="B2880" s="1" t="s">
        <v>1255</v>
      </c>
      <c r="C2880" s="1" t="s">
        <v>1256</v>
      </c>
      <c r="D2880" s="1" t="s">
        <v>517</v>
      </c>
      <c r="E2880" s="1" t="s">
        <v>527</v>
      </c>
      <c r="F2880" s="1" t="s">
        <v>523</v>
      </c>
      <c r="G2880" s="1" t="s">
        <v>480</v>
      </c>
      <c r="H2880" s="1" t="n">
        <v>130</v>
      </c>
      <c r="I2880" s="1" t="str">
        <f aca="false">B2880&amp;"|"&amp;F2880&amp;"|"&amp;G2880</f>
        <v>Book Stores|A-B|Low Cost</v>
      </c>
      <c r="J2880" s="1" t="s">
        <v>1254</v>
      </c>
    </row>
    <row r="2881" customFormat="false" ht="12" hidden="false" customHeight="true" outlineLevel="0" collapsed="false">
      <c r="B2881" s="1" t="s">
        <v>1255</v>
      </c>
      <c r="C2881" s="1" t="s">
        <v>1256</v>
      </c>
      <c r="D2881" s="1" t="s">
        <v>517</v>
      </c>
      <c r="E2881" s="1" t="s">
        <v>527</v>
      </c>
      <c r="F2881" s="1" t="s">
        <v>463</v>
      </c>
      <c r="G2881" s="1" t="s">
        <v>483</v>
      </c>
      <c r="H2881" s="1" t="n">
        <v>172</v>
      </c>
      <c r="I2881" s="1" t="str">
        <f aca="false">B2881&amp;"|"&amp;F2881&amp;"|"&amp;G2881</f>
        <v>Book Stores|C|Good</v>
      </c>
      <c r="J2881" s="1" t="s">
        <v>1254</v>
      </c>
    </row>
    <row r="2882" customFormat="false" ht="12" hidden="false" customHeight="true" outlineLevel="0" collapsed="false">
      <c r="B2882" s="1" t="s">
        <v>1255</v>
      </c>
      <c r="C2882" s="1" t="s">
        <v>1256</v>
      </c>
      <c r="D2882" s="1" t="s">
        <v>517</v>
      </c>
      <c r="E2882" s="1" t="s">
        <v>527</v>
      </c>
      <c r="F2882" s="1" t="s">
        <v>463</v>
      </c>
      <c r="G2882" s="1" t="s">
        <v>279</v>
      </c>
      <c r="H2882" s="1" t="n">
        <v>132</v>
      </c>
      <c r="I2882" s="1" t="str">
        <f aca="false">B2882&amp;"|"&amp;F2882&amp;"|"&amp;G2882</f>
        <v>Book Stores|C|Average</v>
      </c>
      <c r="J2882" s="1" t="s">
        <v>1254</v>
      </c>
    </row>
    <row r="2883" customFormat="false" ht="12" hidden="false" customHeight="true" outlineLevel="0" collapsed="false">
      <c r="B2883" s="1" t="s">
        <v>1255</v>
      </c>
      <c r="C2883" s="1" t="s">
        <v>1256</v>
      </c>
      <c r="D2883" s="1" t="s">
        <v>517</v>
      </c>
      <c r="E2883" s="1" t="s">
        <v>527</v>
      </c>
      <c r="F2883" s="1" t="s">
        <v>463</v>
      </c>
      <c r="G2883" s="1" t="s">
        <v>480</v>
      </c>
      <c r="H2883" s="1" t="n">
        <v>102</v>
      </c>
      <c r="I2883" s="1" t="str">
        <f aca="false">B2883&amp;"|"&amp;F2883&amp;"|"&amp;G2883</f>
        <v>Book Stores|C|Low Cost</v>
      </c>
      <c r="J2883" s="1" t="s">
        <v>1254</v>
      </c>
    </row>
    <row r="2884" customFormat="false" ht="12" hidden="false" customHeight="true" outlineLevel="0" collapsed="false">
      <c r="B2884" s="1" t="s">
        <v>1255</v>
      </c>
      <c r="C2884" s="1" t="s">
        <v>1256</v>
      </c>
      <c r="D2884" s="1" t="s">
        <v>517</v>
      </c>
      <c r="E2884" s="1" t="s">
        <v>527</v>
      </c>
      <c r="F2884" s="1" t="s">
        <v>468</v>
      </c>
      <c r="G2884" s="1" t="s">
        <v>483</v>
      </c>
      <c r="H2884" s="1" t="n">
        <v>168</v>
      </c>
      <c r="I2884" s="1" t="str">
        <f aca="false">B2884&amp;"|"&amp;F2884&amp;"|"&amp;G2884</f>
        <v>Book Stores|D|Good</v>
      </c>
      <c r="J2884" s="1" t="s">
        <v>1254</v>
      </c>
    </row>
    <row r="2885" customFormat="false" ht="12" hidden="false" customHeight="true" outlineLevel="0" collapsed="false">
      <c r="B2885" s="1" t="s">
        <v>1255</v>
      </c>
      <c r="C2885" s="1" t="s">
        <v>1256</v>
      </c>
      <c r="D2885" s="1" t="s">
        <v>517</v>
      </c>
      <c r="E2885" s="1" t="s">
        <v>527</v>
      </c>
      <c r="F2885" s="1" t="s">
        <v>468</v>
      </c>
      <c r="G2885" s="1" t="s">
        <v>279</v>
      </c>
      <c r="H2885" s="1" t="n">
        <v>127</v>
      </c>
      <c r="I2885" s="1" t="str">
        <f aca="false">B2885&amp;"|"&amp;F2885&amp;"|"&amp;G2885</f>
        <v>Book Stores|D|Average</v>
      </c>
      <c r="J2885" s="1" t="s">
        <v>1254</v>
      </c>
    </row>
    <row r="2886" customFormat="false" ht="12" hidden="false" customHeight="true" outlineLevel="0" collapsed="false">
      <c r="B2886" s="1" t="s">
        <v>1255</v>
      </c>
      <c r="C2886" s="1" t="s">
        <v>1256</v>
      </c>
      <c r="D2886" s="1" t="s">
        <v>517</v>
      </c>
      <c r="E2886" s="1" t="s">
        <v>527</v>
      </c>
      <c r="F2886" s="1" t="s">
        <v>468</v>
      </c>
      <c r="G2886" s="1" t="s">
        <v>480</v>
      </c>
      <c r="H2886" s="1" t="n">
        <v>97</v>
      </c>
      <c r="I2886" s="1" t="str">
        <f aca="false">B2886&amp;"|"&amp;F2886&amp;"|"&amp;G2886</f>
        <v>Book Stores|D|Low Cost</v>
      </c>
      <c r="J2886" s="1" t="s">
        <v>1254</v>
      </c>
    </row>
    <row r="2887" customFormat="false" ht="12" hidden="false" customHeight="true" outlineLevel="0" collapsed="false">
      <c r="B2887" s="1" t="s">
        <v>1255</v>
      </c>
      <c r="C2887" s="1" t="s">
        <v>1256</v>
      </c>
      <c r="D2887" s="1" t="s">
        <v>517</v>
      </c>
      <c r="E2887" s="1" t="s">
        <v>527</v>
      </c>
      <c r="F2887" s="1" t="s">
        <v>566</v>
      </c>
      <c r="G2887" s="1" t="s">
        <v>480</v>
      </c>
      <c r="H2887" s="1" t="n">
        <v>89</v>
      </c>
      <c r="I2887" s="1" t="str">
        <f aca="false">B2887&amp;"|"&amp;F2887&amp;"|"&amp;G2887</f>
        <v>Book Stores|DPOLE|Low Cost</v>
      </c>
      <c r="J2887" s="1" t="s">
        <v>1254</v>
      </c>
    </row>
    <row r="2888" customFormat="false" ht="12" hidden="false" customHeight="true" outlineLevel="0" collapsed="false">
      <c r="B2888" s="1" t="s">
        <v>1255</v>
      </c>
      <c r="C2888" s="1" t="s">
        <v>1256</v>
      </c>
      <c r="D2888" s="1" t="s">
        <v>517</v>
      </c>
      <c r="E2888" s="1" t="s">
        <v>527</v>
      </c>
      <c r="F2888" s="1" t="s">
        <v>473</v>
      </c>
      <c r="G2888" s="1" t="s">
        <v>480</v>
      </c>
      <c r="H2888" s="1" t="n">
        <v>90.5</v>
      </c>
      <c r="I2888" s="1" t="str">
        <f aca="false">B2888&amp;"|"&amp;F2888&amp;"|"&amp;G2888</f>
        <v>Book Stores|S|Low Cost</v>
      </c>
      <c r="J2888" s="1" t="s">
        <v>1254</v>
      </c>
    </row>
    <row r="2889" customFormat="false" ht="12" hidden="false" customHeight="true" outlineLevel="0" collapsed="false">
      <c r="B2889" s="1" t="s">
        <v>1257</v>
      </c>
      <c r="C2889" s="1" t="s">
        <v>1258</v>
      </c>
      <c r="D2889" s="1" t="s">
        <v>517</v>
      </c>
      <c r="E2889" s="1" t="s">
        <v>529</v>
      </c>
      <c r="F2889" s="1" t="s">
        <v>523</v>
      </c>
      <c r="G2889" s="1" t="s">
        <v>279</v>
      </c>
      <c r="H2889" s="1" t="n">
        <v>270</v>
      </c>
      <c r="I2889" s="1" t="str">
        <f aca="false">B2889&amp;"|"&amp;F2889&amp;"|"&amp;G2889</f>
        <v>Restroom Buildings|A-B|Average</v>
      </c>
      <c r="J2889" s="1" t="s">
        <v>1259</v>
      </c>
    </row>
    <row r="2890" customFormat="false" ht="12" hidden="false" customHeight="true" outlineLevel="0" collapsed="false">
      <c r="B2890" s="1" t="s">
        <v>1257</v>
      </c>
      <c r="C2890" s="1" t="s">
        <v>1258</v>
      </c>
      <c r="D2890" s="1" t="s">
        <v>517</v>
      </c>
      <c r="E2890" s="1" t="s">
        <v>529</v>
      </c>
      <c r="F2890" s="1" t="s">
        <v>463</v>
      </c>
      <c r="G2890" s="1" t="s">
        <v>485</v>
      </c>
      <c r="H2890" s="1" t="n">
        <v>392</v>
      </c>
      <c r="I2890" s="1" t="str">
        <f aca="false">B2890&amp;"|"&amp;F2890&amp;"|"&amp;G2890</f>
        <v>Restroom Buildings|C|Excellent</v>
      </c>
      <c r="J2890" s="1" t="s">
        <v>1259</v>
      </c>
    </row>
    <row r="2891" customFormat="false" ht="12" hidden="false" customHeight="true" outlineLevel="0" collapsed="false">
      <c r="B2891" s="1" t="s">
        <v>1257</v>
      </c>
      <c r="C2891" s="1" t="s">
        <v>1258</v>
      </c>
      <c r="D2891" s="1" t="s">
        <v>517</v>
      </c>
      <c r="E2891" s="1" t="s">
        <v>529</v>
      </c>
      <c r="F2891" s="1" t="s">
        <v>463</v>
      </c>
      <c r="G2891" s="1" t="s">
        <v>483</v>
      </c>
      <c r="H2891" s="1" t="n">
        <v>286</v>
      </c>
      <c r="I2891" s="1" t="str">
        <f aca="false">B2891&amp;"|"&amp;F2891&amp;"|"&amp;G2891</f>
        <v>Restroom Buildings|C|Good</v>
      </c>
      <c r="J2891" s="1" t="s">
        <v>1259</v>
      </c>
    </row>
    <row r="2892" customFormat="false" ht="12" hidden="false" customHeight="true" outlineLevel="0" collapsed="false">
      <c r="B2892" s="1" t="s">
        <v>1257</v>
      </c>
      <c r="C2892" s="1" t="s">
        <v>1258</v>
      </c>
      <c r="D2892" s="1" t="s">
        <v>517</v>
      </c>
      <c r="E2892" s="1" t="s">
        <v>529</v>
      </c>
      <c r="F2892" s="1" t="s">
        <v>463</v>
      </c>
      <c r="G2892" s="1" t="s">
        <v>279</v>
      </c>
      <c r="H2892" s="1" t="n">
        <v>209</v>
      </c>
      <c r="I2892" s="1" t="str">
        <f aca="false">B2892&amp;"|"&amp;F2892&amp;"|"&amp;G2892</f>
        <v>Restroom Buildings|C|Average</v>
      </c>
      <c r="J2892" s="1" t="s">
        <v>1259</v>
      </c>
    </row>
    <row r="2893" customFormat="false" ht="12" hidden="false" customHeight="true" outlineLevel="0" collapsed="false">
      <c r="B2893" s="1" t="s">
        <v>1257</v>
      </c>
      <c r="C2893" s="1" t="s">
        <v>1258</v>
      </c>
      <c r="D2893" s="1" t="s">
        <v>517</v>
      </c>
      <c r="E2893" s="1" t="s">
        <v>529</v>
      </c>
      <c r="F2893" s="1" t="s">
        <v>463</v>
      </c>
      <c r="G2893" s="1" t="s">
        <v>480</v>
      </c>
      <c r="H2893" s="1" t="n">
        <v>153</v>
      </c>
      <c r="I2893" s="1" t="str">
        <f aca="false">B2893&amp;"|"&amp;F2893&amp;"|"&amp;G2893</f>
        <v>Restroom Buildings|C|Low Cost</v>
      </c>
      <c r="J2893" s="1" t="s">
        <v>1259</v>
      </c>
    </row>
    <row r="2894" customFormat="false" ht="12" hidden="false" customHeight="true" outlineLevel="0" collapsed="false">
      <c r="B2894" s="1" t="s">
        <v>1257</v>
      </c>
      <c r="C2894" s="1" t="s">
        <v>1258</v>
      </c>
      <c r="D2894" s="1" t="s">
        <v>517</v>
      </c>
      <c r="E2894" s="1" t="s">
        <v>529</v>
      </c>
      <c r="F2894" s="1" t="s">
        <v>463</v>
      </c>
      <c r="G2894" s="1" t="s">
        <v>567</v>
      </c>
      <c r="H2894" s="1" t="n">
        <v>109</v>
      </c>
      <c r="I2894" s="1" t="str">
        <f aca="false">B2894&amp;"|"&amp;F2894&amp;"|"&amp;G2894</f>
        <v>Restroom Buildings|C|Cheap</v>
      </c>
      <c r="J2894" s="1" t="s">
        <v>1259</v>
      </c>
    </row>
    <row r="2895" customFormat="false" ht="12" hidden="false" customHeight="true" outlineLevel="0" collapsed="false">
      <c r="B2895" s="1" t="s">
        <v>1257</v>
      </c>
      <c r="C2895" s="1" t="s">
        <v>1258</v>
      </c>
      <c r="D2895" s="1" t="s">
        <v>517</v>
      </c>
      <c r="E2895" s="1" t="s">
        <v>529</v>
      </c>
      <c r="F2895" s="1" t="s">
        <v>468</v>
      </c>
      <c r="G2895" s="1" t="s">
        <v>485</v>
      </c>
      <c r="H2895" s="1" t="n">
        <v>364</v>
      </c>
      <c r="I2895" s="1" t="str">
        <f aca="false">B2895&amp;"|"&amp;F2895&amp;"|"&amp;G2895</f>
        <v>Restroom Buildings|D|Excellent</v>
      </c>
      <c r="J2895" s="1" t="s">
        <v>1259</v>
      </c>
    </row>
    <row r="2896" customFormat="false" ht="12" hidden="false" customHeight="true" outlineLevel="0" collapsed="false">
      <c r="B2896" s="1" t="s">
        <v>1257</v>
      </c>
      <c r="C2896" s="1" t="s">
        <v>1258</v>
      </c>
      <c r="D2896" s="1" t="s">
        <v>517</v>
      </c>
      <c r="E2896" s="1" t="s">
        <v>529</v>
      </c>
      <c r="F2896" s="1" t="s">
        <v>468</v>
      </c>
      <c r="G2896" s="1" t="s">
        <v>483</v>
      </c>
      <c r="H2896" s="1" t="n">
        <v>269</v>
      </c>
      <c r="I2896" s="1" t="str">
        <f aca="false">B2896&amp;"|"&amp;F2896&amp;"|"&amp;G2896</f>
        <v>Restroom Buildings|D|Good</v>
      </c>
      <c r="J2896" s="1" t="s">
        <v>1259</v>
      </c>
    </row>
    <row r="2897" customFormat="false" ht="12" hidden="false" customHeight="true" outlineLevel="0" collapsed="false">
      <c r="B2897" s="1" t="s">
        <v>1257</v>
      </c>
      <c r="C2897" s="1" t="s">
        <v>1258</v>
      </c>
      <c r="D2897" s="1" t="s">
        <v>517</v>
      </c>
      <c r="E2897" s="1" t="s">
        <v>529</v>
      </c>
      <c r="F2897" s="1" t="s">
        <v>468</v>
      </c>
      <c r="G2897" s="1" t="s">
        <v>279</v>
      </c>
      <c r="H2897" s="1" t="n">
        <v>198</v>
      </c>
      <c r="I2897" s="1" t="str">
        <f aca="false">B2897&amp;"|"&amp;F2897&amp;"|"&amp;G2897</f>
        <v>Restroom Buildings|D|Average</v>
      </c>
      <c r="J2897" s="1" t="s">
        <v>1259</v>
      </c>
    </row>
    <row r="2898" customFormat="false" ht="12" hidden="false" customHeight="true" outlineLevel="0" collapsed="false">
      <c r="B2898" s="1" t="s">
        <v>1257</v>
      </c>
      <c r="C2898" s="1" t="s">
        <v>1258</v>
      </c>
      <c r="D2898" s="1" t="s">
        <v>517</v>
      </c>
      <c r="E2898" s="1" t="s">
        <v>529</v>
      </c>
      <c r="F2898" s="1" t="s">
        <v>468</v>
      </c>
      <c r="G2898" s="1" t="s">
        <v>480</v>
      </c>
      <c r="H2898" s="1" t="n">
        <v>146</v>
      </c>
      <c r="I2898" s="1" t="str">
        <f aca="false">B2898&amp;"|"&amp;F2898&amp;"|"&amp;G2898</f>
        <v>Restroom Buildings|D|Low Cost</v>
      </c>
      <c r="J2898" s="1" t="s">
        <v>1259</v>
      </c>
    </row>
    <row r="2899" customFormat="false" ht="12" hidden="false" customHeight="true" outlineLevel="0" collapsed="false">
      <c r="B2899" s="1" t="s">
        <v>1257</v>
      </c>
      <c r="C2899" s="1" t="s">
        <v>1258</v>
      </c>
      <c r="D2899" s="1" t="s">
        <v>517</v>
      </c>
      <c r="E2899" s="1" t="s">
        <v>529</v>
      </c>
      <c r="F2899" s="1" t="s">
        <v>468</v>
      </c>
      <c r="G2899" s="1" t="s">
        <v>567</v>
      </c>
      <c r="H2899" s="1" t="n">
        <v>105</v>
      </c>
      <c r="I2899" s="1" t="str">
        <f aca="false">B2899&amp;"|"&amp;F2899&amp;"|"&amp;G2899</f>
        <v>Restroom Buildings|D|Cheap</v>
      </c>
      <c r="J2899" s="1" t="s">
        <v>1259</v>
      </c>
    </row>
    <row r="2900" customFormat="false" ht="12" hidden="false" customHeight="true" outlineLevel="0" collapsed="false">
      <c r="B2900" s="1" t="s">
        <v>1257</v>
      </c>
      <c r="C2900" s="1" t="s">
        <v>1258</v>
      </c>
      <c r="D2900" s="1" t="s">
        <v>517</v>
      </c>
      <c r="E2900" s="1" t="s">
        <v>529</v>
      </c>
      <c r="F2900" s="1" t="s">
        <v>566</v>
      </c>
      <c r="G2900" s="1" t="s">
        <v>480</v>
      </c>
      <c r="H2900" s="1" t="n">
        <v>139</v>
      </c>
      <c r="I2900" s="1" t="str">
        <f aca="false">B2900&amp;"|"&amp;F2900&amp;"|"&amp;G2900</f>
        <v>Restroom Buildings|DPOLE|Low Cost</v>
      </c>
      <c r="J2900" s="1" t="s">
        <v>1259</v>
      </c>
    </row>
    <row r="2901" customFormat="false" ht="12" hidden="false" customHeight="true" outlineLevel="0" collapsed="false">
      <c r="B2901" s="1" t="s">
        <v>1257</v>
      </c>
      <c r="C2901" s="1" t="s">
        <v>1258</v>
      </c>
      <c r="D2901" s="1" t="s">
        <v>517</v>
      </c>
      <c r="E2901" s="1" t="s">
        <v>529</v>
      </c>
      <c r="F2901" s="1" t="s">
        <v>566</v>
      </c>
      <c r="G2901" s="1" t="s">
        <v>567</v>
      </c>
      <c r="H2901" s="1" t="n">
        <v>107</v>
      </c>
      <c r="I2901" s="1" t="str">
        <f aca="false">B2901&amp;"|"&amp;F2901&amp;"|"&amp;G2901</f>
        <v>Restroom Buildings|DPOLE|Cheap</v>
      </c>
      <c r="J2901" s="1" t="s">
        <v>1259</v>
      </c>
    </row>
    <row r="2902" customFormat="false" ht="12" hidden="false" customHeight="true" outlineLevel="0" collapsed="false">
      <c r="B2902" s="1" t="s">
        <v>1257</v>
      </c>
      <c r="C2902" s="1" t="s">
        <v>1258</v>
      </c>
      <c r="D2902" s="1" t="s">
        <v>517</v>
      </c>
      <c r="E2902" s="1" t="s">
        <v>529</v>
      </c>
      <c r="F2902" s="1" t="s">
        <v>473</v>
      </c>
      <c r="G2902" s="1" t="s">
        <v>480</v>
      </c>
      <c r="H2902" s="1" t="n">
        <v>139</v>
      </c>
      <c r="I2902" s="1" t="str">
        <f aca="false">B2902&amp;"|"&amp;F2902&amp;"|"&amp;G2902</f>
        <v>Restroom Buildings|S|Low Cost</v>
      </c>
      <c r="J2902" s="1" t="s">
        <v>1259</v>
      </c>
    </row>
    <row r="2903" customFormat="false" ht="12" hidden="false" customHeight="true" outlineLevel="0" collapsed="false">
      <c r="B2903" s="1" t="s">
        <v>1257</v>
      </c>
      <c r="C2903" s="1" t="s">
        <v>1258</v>
      </c>
      <c r="D2903" s="1" t="s">
        <v>517</v>
      </c>
      <c r="E2903" s="1" t="s">
        <v>529</v>
      </c>
      <c r="F2903" s="1" t="s">
        <v>473</v>
      </c>
      <c r="G2903" s="1" t="s">
        <v>567</v>
      </c>
      <c r="H2903" s="1" t="n">
        <v>106</v>
      </c>
      <c r="I2903" s="1" t="str">
        <f aca="false">B2903&amp;"|"&amp;F2903&amp;"|"&amp;G2903</f>
        <v>Restroom Buildings|S|Cheap</v>
      </c>
      <c r="J2903" s="1" t="s">
        <v>1259</v>
      </c>
    </row>
    <row r="2904" customFormat="false" ht="12" hidden="false" customHeight="true" outlineLevel="0" collapsed="false">
      <c r="B2904" s="1" t="s">
        <v>1260</v>
      </c>
      <c r="C2904" s="1" t="s">
        <v>1261</v>
      </c>
      <c r="D2904" s="1" t="s">
        <v>517</v>
      </c>
      <c r="E2904" s="1" t="s">
        <v>529</v>
      </c>
      <c r="F2904" s="1" t="s">
        <v>463</v>
      </c>
      <c r="G2904" s="1" t="s">
        <v>483</v>
      </c>
      <c r="H2904" s="1" t="n">
        <v>109</v>
      </c>
      <c r="I2904" s="1" t="str">
        <f aca="false">B2904&amp;"|"&amp;F2904&amp;"|"&amp;G2904</f>
        <v>Maintenance (Storage) Buildings|C|Good</v>
      </c>
      <c r="J2904" s="1" t="s">
        <v>1259</v>
      </c>
    </row>
    <row r="2905" customFormat="false" ht="12" hidden="false" customHeight="true" outlineLevel="0" collapsed="false">
      <c r="B2905" s="1" t="s">
        <v>1260</v>
      </c>
      <c r="C2905" s="1" t="s">
        <v>1261</v>
      </c>
      <c r="D2905" s="1" t="s">
        <v>517</v>
      </c>
      <c r="E2905" s="1" t="s">
        <v>529</v>
      </c>
      <c r="F2905" s="1" t="s">
        <v>463</v>
      </c>
      <c r="G2905" s="1" t="s">
        <v>279</v>
      </c>
      <c r="H2905" s="1" t="n">
        <v>75.5</v>
      </c>
      <c r="I2905" s="1" t="str">
        <f aca="false">B2905&amp;"|"&amp;F2905&amp;"|"&amp;G2905</f>
        <v>Maintenance (Storage) Buildings|C|Average</v>
      </c>
      <c r="J2905" s="1" t="s">
        <v>1259</v>
      </c>
    </row>
    <row r="2906" customFormat="false" ht="12" hidden="false" customHeight="true" outlineLevel="0" collapsed="false">
      <c r="B2906" s="1" t="s">
        <v>1260</v>
      </c>
      <c r="C2906" s="1" t="s">
        <v>1261</v>
      </c>
      <c r="D2906" s="1" t="s">
        <v>517</v>
      </c>
      <c r="E2906" s="1" t="s">
        <v>529</v>
      </c>
      <c r="F2906" s="1" t="s">
        <v>468</v>
      </c>
      <c r="G2906" s="1" t="s">
        <v>483</v>
      </c>
      <c r="H2906" s="1" t="n">
        <v>100</v>
      </c>
      <c r="I2906" s="1" t="str">
        <f aca="false">B2906&amp;"|"&amp;F2906&amp;"|"&amp;G2906</f>
        <v>Maintenance (Storage) Buildings|D|Good</v>
      </c>
      <c r="J2906" s="1" t="s">
        <v>1259</v>
      </c>
    </row>
    <row r="2907" customFormat="false" ht="12" hidden="false" customHeight="true" outlineLevel="0" collapsed="false">
      <c r="B2907" s="1" t="s">
        <v>1260</v>
      </c>
      <c r="C2907" s="1" t="s">
        <v>1261</v>
      </c>
      <c r="D2907" s="1" t="s">
        <v>517</v>
      </c>
      <c r="E2907" s="1" t="s">
        <v>529</v>
      </c>
      <c r="F2907" s="1" t="s">
        <v>468</v>
      </c>
      <c r="G2907" s="1" t="s">
        <v>279</v>
      </c>
      <c r="H2907" s="1" t="n">
        <v>66</v>
      </c>
      <c r="I2907" s="1" t="str">
        <f aca="false">B2907&amp;"|"&amp;F2907&amp;"|"&amp;G2907</f>
        <v>Maintenance (Storage) Buildings|D|Average</v>
      </c>
      <c r="J2907" s="1" t="s">
        <v>1259</v>
      </c>
    </row>
    <row r="2908" customFormat="false" ht="12" hidden="false" customHeight="true" outlineLevel="0" collapsed="false">
      <c r="B2908" s="1" t="s">
        <v>1260</v>
      </c>
      <c r="C2908" s="1" t="s">
        <v>1261</v>
      </c>
      <c r="D2908" s="1" t="s">
        <v>517</v>
      </c>
      <c r="E2908" s="1" t="s">
        <v>529</v>
      </c>
      <c r="F2908" s="1" t="s">
        <v>566</v>
      </c>
      <c r="G2908" s="1" t="s">
        <v>483</v>
      </c>
      <c r="H2908" s="1" t="n">
        <v>89</v>
      </c>
      <c r="I2908" s="1" t="str">
        <f aca="false">B2908&amp;"|"&amp;F2908&amp;"|"&amp;G2908</f>
        <v>Maintenance (Storage) Buildings|DPOLE|Good</v>
      </c>
      <c r="J2908" s="1" t="s">
        <v>1259</v>
      </c>
    </row>
    <row r="2909" customFormat="false" ht="12" hidden="false" customHeight="true" outlineLevel="0" collapsed="false">
      <c r="B2909" s="1" t="s">
        <v>1260</v>
      </c>
      <c r="C2909" s="1" t="s">
        <v>1261</v>
      </c>
      <c r="D2909" s="1" t="s">
        <v>517</v>
      </c>
      <c r="E2909" s="1" t="s">
        <v>529</v>
      </c>
      <c r="F2909" s="1" t="s">
        <v>566</v>
      </c>
      <c r="G2909" s="1" t="s">
        <v>279</v>
      </c>
      <c r="H2909" s="1" t="n">
        <v>57.5</v>
      </c>
      <c r="I2909" s="1" t="str">
        <f aca="false">B2909&amp;"|"&amp;F2909&amp;"|"&amp;G2909</f>
        <v>Maintenance (Storage) Buildings|DPOLE|Average</v>
      </c>
      <c r="J2909" s="1" t="s">
        <v>1259</v>
      </c>
    </row>
    <row r="2910" customFormat="false" ht="12" hidden="false" customHeight="true" outlineLevel="0" collapsed="false">
      <c r="B2910" s="1" t="s">
        <v>1260</v>
      </c>
      <c r="C2910" s="1" t="s">
        <v>1261</v>
      </c>
      <c r="D2910" s="1" t="s">
        <v>517</v>
      </c>
      <c r="E2910" s="1" t="s">
        <v>529</v>
      </c>
      <c r="F2910" s="1" t="s">
        <v>473</v>
      </c>
      <c r="G2910" s="1" t="s">
        <v>483</v>
      </c>
      <c r="H2910" s="1" t="n">
        <v>93</v>
      </c>
      <c r="I2910" s="1" t="str">
        <f aca="false">B2910&amp;"|"&amp;F2910&amp;"|"&amp;G2910</f>
        <v>Maintenance (Storage) Buildings|S|Good</v>
      </c>
      <c r="J2910" s="1" t="s">
        <v>1259</v>
      </c>
    </row>
    <row r="2911" customFormat="false" ht="12" hidden="false" customHeight="true" outlineLevel="0" collapsed="false">
      <c r="B2911" s="1" t="s">
        <v>1260</v>
      </c>
      <c r="C2911" s="1" t="s">
        <v>1261</v>
      </c>
      <c r="D2911" s="1" t="s">
        <v>517</v>
      </c>
      <c r="E2911" s="1" t="s">
        <v>529</v>
      </c>
      <c r="F2911" s="1" t="s">
        <v>473</v>
      </c>
      <c r="G2911" s="1" t="s">
        <v>279</v>
      </c>
      <c r="H2911" s="1" t="n">
        <v>61.5</v>
      </c>
      <c r="I2911" s="1" t="str">
        <f aca="false">B2911&amp;"|"&amp;F2911&amp;"|"&amp;G2911</f>
        <v>Maintenance (Storage) Buildings|S|Average</v>
      </c>
      <c r="J2911" s="1" t="s">
        <v>1259</v>
      </c>
    </row>
    <row r="2912" customFormat="false" ht="12" hidden="false" customHeight="true" outlineLevel="0" collapsed="false">
      <c r="B2912" s="1" t="s">
        <v>1262</v>
      </c>
      <c r="C2912" s="1" t="s">
        <v>1263</v>
      </c>
      <c r="D2912" s="1" t="s">
        <v>517</v>
      </c>
      <c r="E2912" s="1" t="s">
        <v>533</v>
      </c>
      <c r="F2912" s="1" t="s">
        <v>523</v>
      </c>
      <c r="G2912" s="1" t="s">
        <v>483</v>
      </c>
      <c r="H2912" s="1" t="n">
        <v>319</v>
      </c>
      <c r="I2912" s="1" t="str">
        <f aca="false">B2912&amp;"|"&amp;F2912&amp;"|"&amp;G2912</f>
        <v>Natatoriums|A-B|Good</v>
      </c>
      <c r="J2912" s="1" t="s">
        <v>1264</v>
      </c>
    </row>
    <row r="2913" customFormat="false" ht="12" hidden="false" customHeight="true" outlineLevel="0" collapsed="false">
      <c r="B2913" s="1" t="s">
        <v>1262</v>
      </c>
      <c r="C2913" s="1" t="s">
        <v>1263</v>
      </c>
      <c r="D2913" s="1" t="s">
        <v>517</v>
      </c>
      <c r="E2913" s="1" t="s">
        <v>533</v>
      </c>
      <c r="F2913" s="1" t="s">
        <v>523</v>
      </c>
      <c r="G2913" s="1" t="s">
        <v>279</v>
      </c>
      <c r="H2913" s="1" t="n">
        <v>234</v>
      </c>
      <c r="I2913" s="1" t="str">
        <f aca="false">B2913&amp;"|"&amp;F2913&amp;"|"&amp;G2913</f>
        <v>Natatoriums|A-B|Average</v>
      </c>
      <c r="J2913" s="1" t="s">
        <v>1264</v>
      </c>
    </row>
    <row r="2914" customFormat="false" ht="12" hidden="false" customHeight="true" outlineLevel="0" collapsed="false">
      <c r="B2914" s="1" t="s">
        <v>1262</v>
      </c>
      <c r="C2914" s="1" t="s">
        <v>1263</v>
      </c>
      <c r="D2914" s="1" t="s">
        <v>517</v>
      </c>
      <c r="E2914" s="1" t="s">
        <v>533</v>
      </c>
      <c r="F2914" s="1" t="s">
        <v>463</v>
      </c>
      <c r="G2914" s="1" t="s">
        <v>483</v>
      </c>
      <c r="H2914" s="1" t="n">
        <v>236</v>
      </c>
      <c r="I2914" s="1" t="str">
        <f aca="false">B2914&amp;"|"&amp;F2914&amp;"|"&amp;G2914</f>
        <v>Natatoriums|C|Good</v>
      </c>
      <c r="J2914" s="1" t="s">
        <v>1264</v>
      </c>
    </row>
    <row r="2915" customFormat="false" ht="12" hidden="false" customHeight="true" outlineLevel="0" collapsed="false">
      <c r="B2915" s="1" t="s">
        <v>1262</v>
      </c>
      <c r="C2915" s="1" t="s">
        <v>1263</v>
      </c>
      <c r="D2915" s="1" t="s">
        <v>517</v>
      </c>
      <c r="E2915" s="1" t="s">
        <v>533</v>
      </c>
      <c r="F2915" s="1" t="s">
        <v>463</v>
      </c>
      <c r="G2915" s="1" t="s">
        <v>279</v>
      </c>
      <c r="H2915" s="1" t="n">
        <v>170</v>
      </c>
      <c r="I2915" s="1" t="str">
        <f aca="false">B2915&amp;"|"&amp;F2915&amp;"|"&amp;G2915</f>
        <v>Natatoriums|C|Average</v>
      </c>
      <c r="J2915" s="1" t="s">
        <v>1264</v>
      </c>
    </row>
    <row r="2916" customFormat="false" ht="12" hidden="false" customHeight="true" outlineLevel="0" collapsed="false">
      <c r="B2916" s="1" t="s">
        <v>1262</v>
      </c>
      <c r="C2916" s="1" t="s">
        <v>1263</v>
      </c>
      <c r="D2916" s="1" t="s">
        <v>517</v>
      </c>
      <c r="E2916" s="1" t="s">
        <v>533</v>
      </c>
      <c r="F2916" s="1" t="s">
        <v>463</v>
      </c>
      <c r="G2916" s="1" t="s">
        <v>480</v>
      </c>
      <c r="H2916" s="1" t="n">
        <v>124</v>
      </c>
      <c r="I2916" s="1" t="str">
        <f aca="false">B2916&amp;"|"&amp;F2916&amp;"|"&amp;G2916</f>
        <v>Natatoriums|C|Low Cost</v>
      </c>
      <c r="J2916" s="1" t="s">
        <v>1264</v>
      </c>
    </row>
    <row r="2917" customFormat="false" ht="12" hidden="false" customHeight="true" outlineLevel="0" collapsed="false">
      <c r="B2917" s="1" t="s">
        <v>1262</v>
      </c>
      <c r="C2917" s="1" t="s">
        <v>1263</v>
      </c>
      <c r="D2917" s="1" t="s">
        <v>517</v>
      </c>
      <c r="E2917" s="1" t="s">
        <v>533</v>
      </c>
      <c r="F2917" s="1" t="s">
        <v>468</v>
      </c>
      <c r="G2917" s="1" t="s">
        <v>483</v>
      </c>
      <c r="H2917" s="1" t="n">
        <v>231</v>
      </c>
      <c r="I2917" s="1" t="str">
        <f aca="false">B2917&amp;"|"&amp;F2917&amp;"|"&amp;G2917</f>
        <v>Natatoriums|D|Good</v>
      </c>
      <c r="J2917" s="1" t="s">
        <v>1264</v>
      </c>
    </row>
    <row r="2918" customFormat="false" ht="12" hidden="false" customHeight="true" outlineLevel="0" collapsed="false">
      <c r="B2918" s="1" t="s">
        <v>1262</v>
      </c>
      <c r="C2918" s="1" t="s">
        <v>1263</v>
      </c>
      <c r="D2918" s="1" t="s">
        <v>517</v>
      </c>
      <c r="E2918" s="1" t="s">
        <v>533</v>
      </c>
      <c r="F2918" s="1" t="s">
        <v>468</v>
      </c>
      <c r="G2918" s="1" t="s">
        <v>279</v>
      </c>
      <c r="H2918" s="1" t="n">
        <v>165</v>
      </c>
      <c r="I2918" s="1" t="str">
        <f aca="false">B2918&amp;"|"&amp;F2918&amp;"|"&amp;G2918</f>
        <v>Natatoriums|D|Average</v>
      </c>
      <c r="J2918" s="1" t="s">
        <v>1264</v>
      </c>
    </row>
    <row r="2919" customFormat="false" ht="12" hidden="false" customHeight="true" outlineLevel="0" collapsed="false">
      <c r="B2919" s="1" t="s">
        <v>1262</v>
      </c>
      <c r="C2919" s="1" t="s">
        <v>1263</v>
      </c>
      <c r="D2919" s="1" t="s">
        <v>517</v>
      </c>
      <c r="E2919" s="1" t="s">
        <v>533</v>
      </c>
      <c r="F2919" s="1" t="s">
        <v>468</v>
      </c>
      <c r="G2919" s="1" t="s">
        <v>480</v>
      </c>
      <c r="H2919" s="1" t="n">
        <v>119</v>
      </c>
      <c r="I2919" s="1" t="str">
        <f aca="false">B2919&amp;"|"&amp;F2919&amp;"|"&amp;G2919</f>
        <v>Natatoriums|D|Low Cost</v>
      </c>
      <c r="J2919" s="1" t="s">
        <v>1264</v>
      </c>
    </row>
    <row r="2920" customFormat="false" ht="12" hidden="false" customHeight="true" outlineLevel="0" collapsed="false">
      <c r="B2920" s="1" t="s">
        <v>1262</v>
      </c>
      <c r="C2920" s="1" t="s">
        <v>1263</v>
      </c>
      <c r="D2920" s="1" t="s">
        <v>517</v>
      </c>
      <c r="E2920" s="1" t="s">
        <v>533</v>
      </c>
      <c r="F2920" s="1" t="s">
        <v>566</v>
      </c>
      <c r="G2920" s="1" t="s">
        <v>480</v>
      </c>
      <c r="H2920" s="1" t="n">
        <v>112</v>
      </c>
      <c r="I2920" s="1" t="str">
        <f aca="false">B2920&amp;"|"&amp;F2920&amp;"|"&amp;G2920</f>
        <v>Natatoriums|DPOLE|Low Cost</v>
      </c>
      <c r="J2920" s="1" t="s">
        <v>1264</v>
      </c>
    </row>
    <row r="2921" customFormat="false" ht="12" hidden="false" customHeight="true" outlineLevel="0" collapsed="false">
      <c r="B2921" s="1" t="s">
        <v>1262</v>
      </c>
      <c r="C2921" s="1" t="s">
        <v>1263</v>
      </c>
      <c r="D2921" s="1" t="s">
        <v>517</v>
      </c>
      <c r="E2921" s="1" t="s">
        <v>533</v>
      </c>
      <c r="F2921" s="1" t="s">
        <v>473</v>
      </c>
      <c r="G2921" s="1" t="s">
        <v>279</v>
      </c>
      <c r="H2921" s="1" t="n">
        <v>159</v>
      </c>
      <c r="I2921" s="1" t="str">
        <f aca="false">B2921&amp;"|"&amp;F2921&amp;"|"&amp;G2921</f>
        <v>Natatoriums|S|Average</v>
      </c>
      <c r="J2921" s="1" t="s">
        <v>1264</v>
      </c>
    </row>
    <row r="2922" customFormat="false" ht="12" hidden="false" customHeight="true" outlineLevel="0" collapsed="false">
      <c r="B2922" s="1" t="s">
        <v>1262</v>
      </c>
      <c r="C2922" s="1" t="s">
        <v>1263</v>
      </c>
      <c r="D2922" s="1" t="s">
        <v>517</v>
      </c>
      <c r="E2922" s="1" t="s">
        <v>533</v>
      </c>
      <c r="F2922" s="1" t="s">
        <v>473</v>
      </c>
      <c r="G2922" s="1" t="s">
        <v>480</v>
      </c>
      <c r="H2922" s="1" t="n">
        <v>114</v>
      </c>
      <c r="I2922" s="1" t="str">
        <f aca="false">B2922&amp;"|"&amp;F2922&amp;"|"&amp;G2922</f>
        <v>Natatoriums|S|Low Cost</v>
      </c>
      <c r="J2922" s="1" t="s">
        <v>1264</v>
      </c>
    </row>
    <row r="2923" customFormat="false" ht="12" hidden="false" customHeight="true" outlineLevel="0" collapsed="false">
      <c r="B2923" s="1" t="s">
        <v>1265</v>
      </c>
      <c r="C2923" s="1" t="s">
        <v>1266</v>
      </c>
      <c r="D2923" s="1" t="s">
        <v>517</v>
      </c>
      <c r="E2923" s="1" t="s">
        <v>533</v>
      </c>
      <c r="F2923" s="1" t="s">
        <v>523</v>
      </c>
      <c r="G2923" s="1" t="s">
        <v>279</v>
      </c>
      <c r="H2923" s="1" t="n">
        <v>248</v>
      </c>
      <c r="I2923" s="1" t="str">
        <f aca="false">B2923&amp;"|"&amp;F2923&amp;"|"&amp;G2923</f>
        <v>Shower Room Buildings|A-B|Average</v>
      </c>
      <c r="J2923" s="1" t="s">
        <v>1264</v>
      </c>
    </row>
    <row r="2924" customFormat="false" ht="12" hidden="false" customHeight="true" outlineLevel="0" collapsed="false">
      <c r="B2924" s="1" t="s">
        <v>1265</v>
      </c>
      <c r="C2924" s="1" t="s">
        <v>1266</v>
      </c>
      <c r="D2924" s="1" t="s">
        <v>517</v>
      </c>
      <c r="E2924" s="1" t="s">
        <v>533</v>
      </c>
      <c r="F2924" s="1" t="s">
        <v>463</v>
      </c>
      <c r="G2924" s="1" t="s">
        <v>485</v>
      </c>
      <c r="H2924" s="1" t="n">
        <v>330</v>
      </c>
      <c r="I2924" s="1" t="str">
        <f aca="false">B2924&amp;"|"&amp;F2924&amp;"|"&amp;G2924</f>
        <v>Shower Room Buildings|C|Excellent</v>
      </c>
      <c r="J2924" s="1" t="s">
        <v>1264</v>
      </c>
    </row>
    <row r="2925" customFormat="false" ht="12" hidden="false" customHeight="true" outlineLevel="0" collapsed="false">
      <c r="B2925" s="1" t="s">
        <v>1265</v>
      </c>
      <c r="C2925" s="1" t="s">
        <v>1266</v>
      </c>
      <c r="D2925" s="1" t="s">
        <v>517</v>
      </c>
      <c r="E2925" s="1" t="s">
        <v>533</v>
      </c>
      <c r="F2925" s="1" t="s">
        <v>463</v>
      </c>
      <c r="G2925" s="1" t="s">
        <v>483</v>
      </c>
      <c r="H2925" s="1" t="n">
        <v>248</v>
      </c>
      <c r="I2925" s="1" t="str">
        <f aca="false">B2925&amp;"|"&amp;F2925&amp;"|"&amp;G2925</f>
        <v>Shower Room Buildings|C|Good</v>
      </c>
      <c r="J2925" s="1" t="s">
        <v>1264</v>
      </c>
    </row>
    <row r="2926" customFormat="false" ht="12" hidden="false" customHeight="true" outlineLevel="0" collapsed="false">
      <c r="B2926" s="1" t="s">
        <v>1265</v>
      </c>
      <c r="C2926" s="1" t="s">
        <v>1266</v>
      </c>
      <c r="D2926" s="1" t="s">
        <v>517</v>
      </c>
      <c r="E2926" s="1" t="s">
        <v>533</v>
      </c>
      <c r="F2926" s="1" t="s">
        <v>463</v>
      </c>
      <c r="G2926" s="1" t="s">
        <v>279</v>
      </c>
      <c r="H2926" s="1" t="n">
        <v>191</v>
      </c>
      <c r="I2926" s="1" t="str">
        <f aca="false">B2926&amp;"|"&amp;F2926&amp;"|"&amp;G2926</f>
        <v>Shower Room Buildings|C|Average</v>
      </c>
      <c r="J2926" s="1" t="s">
        <v>1264</v>
      </c>
    </row>
    <row r="2927" customFormat="false" ht="12" hidden="false" customHeight="true" outlineLevel="0" collapsed="false">
      <c r="B2927" s="1" t="s">
        <v>1265</v>
      </c>
      <c r="C2927" s="1" t="s">
        <v>1266</v>
      </c>
      <c r="D2927" s="1" t="s">
        <v>517</v>
      </c>
      <c r="E2927" s="1" t="s">
        <v>533</v>
      </c>
      <c r="F2927" s="1" t="s">
        <v>463</v>
      </c>
      <c r="G2927" s="1" t="s">
        <v>480</v>
      </c>
      <c r="H2927" s="1" t="n">
        <v>147</v>
      </c>
      <c r="I2927" s="1" t="str">
        <f aca="false">B2927&amp;"|"&amp;F2927&amp;"|"&amp;G2927</f>
        <v>Shower Room Buildings|C|Low Cost</v>
      </c>
      <c r="J2927" s="1" t="s">
        <v>1264</v>
      </c>
    </row>
    <row r="2928" customFormat="false" ht="12" hidden="false" customHeight="true" outlineLevel="0" collapsed="false">
      <c r="B2928" s="1" t="s">
        <v>1265</v>
      </c>
      <c r="C2928" s="1" t="s">
        <v>1266</v>
      </c>
      <c r="D2928" s="1" t="s">
        <v>517</v>
      </c>
      <c r="E2928" s="1" t="s">
        <v>533</v>
      </c>
      <c r="F2928" s="1" t="s">
        <v>463</v>
      </c>
      <c r="G2928" s="1" t="s">
        <v>567</v>
      </c>
      <c r="H2928" s="1" t="n">
        <v>105</v>
      </c>
      <c r="I2928" s="1" t="str">
        <f aca="false">B2928&amp;"|"&amp;F2928&amp;"|"&amp;G2928</f>
        <v>Shower Room Buildings|C|Cheap</v>
      </c>
      <c r="J2928" s="1" t="s">
        <v>1264</v>
      </c>
    </row>
    <row r="2929" customFormat="false" ht="12" hidden="false" customHeight="true" outlineLevel="0" collapsed="false">
      <c r="B2929" s="1" t="s">
        <v>1265</v>
      </c>
      <c r="C2929" s="1" t="s">
        <v>1266</v>
      </c>
      <c r="D2929" s="1" t="s">
        <v>517</v>
      </c>
      <c r="E2929" s="1" t="s">
        <v>533</v>
      </c>
      <c r="F2929" s="1" t="s">
        <v>468</v>
      </c>
      <c r="G2929" s="1" t="s">
        <v>483</v>
      </c>
      <c r="H2929" s="1" t="n">
        <v>242</v>
      </c>
      <c r="I2929" s="1" t="str">
        <f aca="false">B2929&amp;"|"&amp;F2929&amp;"|"&amp;G2929</f>
        <v>Shower Room Buildings|D|Good</v>
      </c>
      <c r="J2929" s="1" t="s">
        <v>1264</v>
      </c>
    </row>
    <row r="2930" customFormat="false" ht="12" hidden="false" customHeight="true" outlineLevel="0" collapsed="false">
      <c r="B2930" s="1" t="s">
        <v>1265</v>
      </c>
      <c r="C2930" s="1" t="s">
        <v>1266</v>
      </c>
      <c r="D2930" s="1" t="s">
        <v>517</v>
      </c>
      <c r="E2930" s="1" t="s">
        <v>533</v>
      </c>
      <c r="F2930" s="1" t="s">
        <v>468</v>
      </c>
      <c r="G2930" s="1" t="s">
        <v>279</v>
      </c>
      <c r="H2930" s="1" t="n">
        <v>184</v>
      </c>
      <c r="I2930" s="1" t="str">
        <f aca="false">B2930&amp;"|"&amp;F2930&amp;"|"&amp;G2930</f>
        <v>Shower Room Buildings|D|Average</v>
      </c>
      <c r="J2930" s="1" t="s">
        <v>1264</v>
      </c>
    </row>
    <row r="2931" customFormat="false" ht="12" hidden="false" customHeight="true" outlineLevel="0" collapsed="false">
      <c r="B2931" s="1" t="s">
        <v>1265</v>
      </c>
      <c r="C2931" s="1" t="s">
        <v>1266</v>
      </c>
      <c r="D2931" s="1" t="s">
        <v>517</v>
      </c>
      <c r="E2931" s="1" t="s">
        <v>533</v>
      </c>
      <c r="F2931" s="1" t="s">
        <v>468</v>
      </c>
      <c r="G2931" s="1" t="s">
        <v>480</v>
      </c>
      <c r="H2931" s="1" t="n">
        <v>141</v>
      </c>
      <c r="I2931" s="1" t="str">
        <f aca="false">B2931&amp;"|"&amp;F2931&amp;"|"&amp;G2931</f>
        <v>Shower Room Buildings|D|Low Cost</v>
      </c>
      <c r="J2931" s="1" t="s">
        <v>1264</v>
      </c>
    </row>
    <row r="2932" customFormat="false" ht="12" hidden="false" customHeight="true" outlineLevel="0" collapsed="false">
      <c r="B2932" s="1" t="s">
        <v>1265</v>
      </c>
      <c r="C2932" s="1" t="s">
        <v>1266</v>
      </c>
      <c r="D2932" s="1" t="s">
        <v>517</v>
      </c>
      <c r="E2932" s="1" t="s">
        <v>533</v>
      </c>
      <c r="F2932" s="1" t="s">
        <v>468</v>
      </c>
      <c r="G2932" s="1" t="s">
        <v>567</v>
      </c>
      <c r="H2932" s="1" t="n">
        <v>96</v>
      </c>
      <c r="I2932" s="1" t="str">
        <f aca="false">B2932&amp;"|"&amp;F2932&amp;"|"&amp;G2932</f>
        <v>Shower Room Buildings|D|Cheap</v>
      </c>
      <c r="J2932" s="1" t="s">
        <v>1264</v>
      </c>
    </row>
    <row r="2933" customFormat="false" ht="12" hidden="false" customHeight="true" outlineLevel="0" collapsed="false">
      <c r="B2933" s="1" t="s">
        <v>1265</v>
      </c>
      <c r="C2933" s="1" t="s">
        <v>1266</v>
      </c>
      <c r="D2933" s="1" t="s">
        <v>517</v>
      </c>
      <c r="E2933" s="1" t="s">
        <v>533</v>
      </c>
      <c r="F2933" s="1" t="s">
        <v>566</v>
      </c>
      <c r="G2933" s="1" t="s">
        <v>279</v>
      </c>
      <c r="H2933" s="1" t="n">
        <v>170</v>
      </c>
      <c r="I2933" s="1" t="str">
        <f aca="false">B2933&amp;"|"&amp;F2933&amp;"|"&amp;G2933</f>
        <v>Shower Room Buildings|DPOLE|Average</v>
      </c>
      <c r="J2933" s="1" t="s">
        <v>1264</v>
      </c>
    </row>
    <row r="2934" customFormat="false" ht="12" hidden="false" customHeight="true" outlineLevel="0" collapsed="false">
      <c r="B2934" s="1" t="s">
        <v>1265</v>
      </c>
      <c r="C2934" s="1" t="s">
        <v>1266</v>
      </c>
      <c r="D2934" s="1" t="s">
        <v>517</v>
      </c>
      <c r="E2934" s="1" t="s">
        <v>533</v>
      </c>
      <c r="F2934" s="1" t="s">
        <v>566</v>
      </c>
      <c r="G2934" s="1" t="s">
        <v>480</v>
      </c>
      <c r="H2934" s="1" t="n">
        <v>133</v>
      </c>
      <c r="I2934" s="1" t="str">
        <f aca="false">B2934&amp;"|"&amp;F2934&amp;"|"&amp;G2934</f>
        <v>Shower Room Buildings|DPOLE|Low Cost</v>
      </c>
      <c r="J2934" s="1" t="s">
        <v>1264</v>
      </c>
    </row>
    <row r="2935" customFormat="false" ht="12" hidden="false" customHeight="true" outlineLevel="0" collapsed="false">
      <c r="B2935" s="1" t="s">
        <v>1265</v>
      </c>
      <c r="C2935" s="1" t="s">
        <v>1266</v>
      </c>
      <c r="D2935" s="1" t="s">
        <v>517</v>
      </c>
      <c r="E2935" s="1" t="s">
        <v>533</v>
      </c>
      <c r="F2935" s="1" t="s">
        <v>473</v>
      </c>
      <c r="G2935" s="1" t="s">
        <v>279</v>
      </c>
      <c r="H2935" s="1" t="n">
        <v>171</v>
      </c>
      <c r="I2935" s="1" t="str">
        <f aca="false">B2935&amp;"|"&amp;F2935&amp;"|"&amp;G2935</f>
        <v>Shower Room Buildings|S|Average</v>
      </c>
      <c r="J2935" s="1" t="s">
        <v>1264</v>
      </c>
    </row>
    <row r="2936" customFormat="false" ht="12" hidden="false" customHeight="true" outlineLevel="0" collapsed="false">
      <c r="B2936" s="1" t="s">
        <v>1265</v>
      </c>
      <c r="C2936" s="1" t="s">
        <v>1266</v>
      </c>
      <c r="D2936" s="1" t="s">
        <v>517</v>
      </c>
      <c r="E2936" s="1" t="s">
        <v>533</v>
      </c>
      <c r="F2936" s="1" t="s">
        <v>473</v>
      </c>
      <c r="G2936" s="1" t="s">
        <v>480</v>
      </c>
      <c r="H2936" s="1" t="n">
        <v>134</v>
      </c>
      <c r="I2936" s="1" t="str">
        <f aca="false">B2936&amp;"|"&amp;F2936&amp;"|"&amp;G2936</f>
        <v>Shower Room Buildings|S|Low Cost</v>
      </c>
      <c r="J2936" s="1" t="s">
        <v>1264</v>
      </c>
    </row>
    <row r="2937" customFormat="false" ht="12" hidden="false" customHeight="true" outlineLevel="0" collapsed="false">
      <c r="B2937" s="1" t="s">
        <v>1267</v>
      </c>
      <c r="C2937" s="1" t="s">
        <v>1268</v>
      </c>
      <c r="D2937" s="1" t="s">
        <v>517</v>
      </c>
      <c r="E2937" s="1" t="s">
        <v>537</v>
      </c>
      <c r="F2937" s="1" t="s">
        <v>523</v>
      </c>
      <c r="G2937" s="1" t="s">
        <v>483</v>
      </c>
      <c r="H2937" s="1" t="n">
        <v>332</v>
      </c>
      <c r="I2937" s="1" t="str">
        <f aca="false">B2937&amp;"|"&amp;F2937&amp;"|"&amp;G2937</f>
        <v>Fieldhouses|A-B|Good</v>
      </c>
      <c r="J2937" s="1" t="s">
        <v>1269</v>
      </c>
    </row>
    <row r="2938" customFormat="false" ht="12" hidden="false" customHeight="true" outlineLevel="0" collapsed="false">
      <c r="B2938" s="1" t="s">
        <v>1267</v>
      </c>
      <c r="C2938" s="1" t="s">
        <v>1268</v>
      </c>
      <c r="D2938" s="1" t="s">
        <v>517</v>
      </c>
      <c r="E2938" s="1" t="s">
        <v>537</v>
      </c>
      <c r="F2938" s="1" t="s">
        <v>523</v>
      </c>
      <c r="G2938" s="1" t="s">
        <v>279</v>
      </c>
      <c r="H2938" s="1" t="n">
        <v>218</v>
      </c>
      <c r="I2938" s="1" t="str">
        <f aca="false">B2938&amp;"|"&amp;F2938&amp;"|"&amp;G2938</f>
        <v>Fieldhouses|A-B|Average</v>
      </c>
      <c r="J2938" s="1" t="s">
        <v>1269</v>
      </c>
    </row>
    <row r="2939" customFormat="false" ht="12" hidden="false" customHeight="true" outlineLevel="0" collapsed="false">
      <c r="B2939" s="1" t="s">
        <v>1267</v>
      </c>
      <c r="C2939" s="1" t="s">
        <v>1268</v>
      </c>
      <c r="D2939" s="1" t="s">
        <v>517</v>
      </c>
      <c r="E2939" s="1" t="s">
        <v>537</v>
      </c>
      <c r="F2939" s="1" t="s">
        <v>463</v>
      </c>
      <c r="G2939" s="1" t="s">
        <v>485</v>
      </c>
      <c r="H2939" s="1" t="n">
        <v>327</v>
      </c>
      <c r="I2939" s="1" t="str">
        <f aca="false">B2939&amp;"|"&amp;F2939&amp;"|"&amp;G2939</f>
        <v>Fieldhouses|C|Excellent</v>
      </c>
      <c r="J2939" s="1" t="s">
        <v>1269</v>
      </c>
    </row>
    <row r="2940" customFormat="false" ht="12" hidden="false" customHeight="true" outlineLevel="0" collapsed="false">
      <c r="B2940" s="1" t="s">
        <v>1267</v>
      </c>
      <c r="C2940" s="1" t="s">
        <v>1268</v>
      </c>
      <c r="D2940" s="1" t="s">
        <v>517</v>
      </c>
      <c r="E2940" s="1" t="s">
        <v>537</v>
      </c>
      <c r="F2940" s="1" t="s">
        <v>463</v>
      </c>
      <c r="G2940" s="1" t="s">
        <v>483</v>
      </c>
      <c r="H2940" s="1" t="n">
        <v>214</v>
      </c>
      <c r="I2940" s="1" t="str">
        <f aca="false">B2940&amp;"|"&amp;F2940&amp;"|"&amp;G2940</f>
        <v>Fieldhouses|C|Good</v>
      </c>
      <c r="J2940" s="1" t="s">
        <v>1269</v>
      </c>
    </row>
    <row r="2941" customFormat="false" ht="12" hidden="false" customHeight="true" outlineLevel="0" collapsed="false">
      <c r="B2941" s="1" t="s">
        <v>1267</v>
      </c>
      <c r="C2941" s="1" t="s">
        <v>1268</v>
      </c>
      <c r="D2941" s="1" t="s">
        <v>517</v>
      </c>
      <c r="E2941" s="1" t="s">
        <v>537</v>
      </c>
      <c r="F2941" s="1" t="s">
        <v>463</v>
      </c>
      <c r="G2941" s="1" t="s">
        <v>279</v>
      </c>
      <c r="H2941" s="1" t="n">
        <v>139</v>
      </c>
      <c r="I2941" s="1" t="str">
        <f aca="false">B2941&amp;"|"&amp;F2941&amp;"|"&amp;G2941</f>
        <v>Fieldhouses|C|Average</v>
      </c>
      <c r="J2941" s="1" t="s">
        <v>1269</v>
      </c>
    </row>
    <row r="2942" customFormat="false" ht="12" hidden="false" customHeight="true" outlineLevel="0" collapsed="false">
      <c r="B2942" s="1" t="s">
        <v>1267</v>
      </c>
      <c r="C2942" s="1" t="s">
        <v>1268</v>
      </c>
      <c r="D2942" s="1" t="s">
        <v>517</v>
      </c>
      <c r="E2942" s="1" t="s">
        <v>537</v>
      </c>
      <c r="F2942" s="1" t="s">
        <v>463</v>
      </c>
      <c r="G2942" s="1" t="s">
        <v>480</v>
      </c>
      <c r="H2942" s="1" t="n">
        <v>82.5</v>
      </c>
      <c r="I2942" s="1" t="str">
        <f aca="false">B2942&amp;"|"&amp;F2942&amp;"|"&amp;G2942</f>
        <v>Fieldhouses|C|Low Cost</v>
      </c>
      <c r="J2942" s="1" t="s">
        <v>1269</v>
      </c>
    </row>
    <row r="2943" customFormat="false" ht="12" hidden="false" customHeight="true" outlineLevel="0" collapsed="false">
      <c r="B2943" s="1" t="s">
        <v>1267</v>
      </c>
      <c r="C2943" s="1" t="s">
        <v>1268</v>
      </c>
      <c r="D2943" s="1" t="s">
        <v>517</v>
      </c>
      <c r="E2943" s="1" t="s">
        <v>537</v>
      </c>
      <c r="F2943" s="1" t="s">
        <v>468</v>
      </c>
      <c r="G2943" s="1" t="s">
        <v>485</v>
      </c>
      <c r="H2943" s="1" t="n">
        <v>323</v>
      </c>
      <c r="I2943" s="1" t="str">
        <f aca="false">B2943&amp;"|"&amp;F2943&amp;"|"&amp;G2943</f>
        <v>Fieldhouses|D|Excellent</v>
      </c>
      <c r="J2943" s="1" t="s">
        <v>1269</v>
      </c>
    </row>
    <row r="2944" customFormat="false" ht="12" hidden="false" customHeight="true" outlineLevel="0" collapsed="false">
      <c r="B2944" s="1" t="s">
        <v>1267</v>
      </c>
      <c r="C2944" s="1" t="s">
        <v>1268</v>
      </c>
      <c r="D2944" s="1" t="s">
        <v>517</v>
      </c>
      <c r="E2944" s="1" t="s">
        <v>537</v>
      </c>
      <c r="F2944" s="1" t="s">
        <v>468</v>
      </c>
      <c r="G2944" s="1" t="s">
        <v>483</v>
      </c>
      <c r="H2944" s="1" t="n">
        <v>208</v>
      </c>
      <c r="I2944" s="1" t="str">
        <f aca="false">B2944&amp;"|"&amp;F2944&amp;"|"&amp;G2944</f>
        <v>Fieldhouses|D|Good</v>
      </c>
      <c r="J2944" s="1" t="s">
        <v>1269</v>
      </c>
    </row>
    <row r="2945" customFormat="false" ht="12" hidden="false" customHeight="true" outlineLevel="0" collapsed="false">
      <c r="B2945" s="1" t="s">
        <v>1267</v>
      </c>
      <c r="C2945" s="1" t="s">
        <v>1268</v>
      </c>
      <c r="D2945" s="1" t="s">
        <v>517</v>
      </c>
      <c r="E2945" s="1" t="s">
        <v>537</v>
      </c>
      <c r="F2945" s="1" t="s">
        <v>468</v>
      </c>
      <c r="G2945" s="1" t="s">
        <v>279</v>
      </c>
      <c r="H2945" s="1" t="n">
        <v>133</v>
      </c>
      <c r="I2945" s="1" t="str">
        <f aca="false">B2945&amp;"|"&amp;F2945&amp;"|"&amp;G2945</f>
        <v>Fieldhouses|D|Average</v>
      </c>
      <c r="J2945" s="1" t="s">
        <v>1269</v>
      </c>
    </row>
    <row r="2946" customFormat="false" ht="12" hidden="false" customHeight="true" outlineLevel="0" collapsed="false">
      <c r="B2946" s="1" t="s">
        <v>1267</v>
      </c>
      <c r="C2946" s="1" t="s">
        <v>1268</v>
      </c>
      <c r="D2946" s="1" t="s">
        <v>517</v>
      </c>
      <c r="E2946" s="1" t="s">
        <v>537</v>
      </c>
      <c r="F2946" s="1" t="s">
        <v>468</v>
      </c>
      <c r="G2946" s="1" t="s">
        <v>480</v>
      </c>
      <c r="H2946" s="1" t="n">
        <v>77</v>
      </c>
      <c r="I2946" s="1" t="str">
        <f aca="false">B2946&amp;"|"&amp;F2946&amp;"|"&amp;G2946</f>
        <v>Fieldhouses|D|Low Cost</v>
      </c>
      <c r="J2946" s="1" t="s">
        <v>1269</v>
      </c>
    </row>
    <row r="2947" customFormat="false" ht="12" hidden="false" customHeight="true" outlineLevel="0" collapsed="false">
      <c r="B2947" s="1" t="s">
        <v>1267</v>
      </c>
      <c r="C2947" s="1" t="s">
        <v>1268</v>
      </c>
      <c r="D2947" s="1" t="s">
        <v>517</v>
      </c>
      <c r="E2947" s="1" t="s">
        <v>537</v>
      </c>
      <c r="F2947" s="1" t="s">
        <v>566</v>
      </c>
      <c r="G2947" s="1" t="s">
        <v>279</v>
      </c>
      <c r="H2947" s="1" t="n">
        <v>124</v>
      </c>
      <c r="I2947" s="1" t="str">
        <f aca="false">B2947&amp;"|"&amp;F2947&amp;"|"&amp;G2947</f>
        <v>Fieldhouses|DPOLE|Average</v>
      </c>
      <c r="J2947" s="1" t="s">
        <v>1269</v>
      </c>
    </row>
    <row r="2948" customFormat="false" ht="12" hidden="false" customHeight="true" outlineLevel="0" collapsed="false">
      <c r="B2948" s="1" t="s">
        <v>1267</v>
      </c>
      <c r="C2948" s="1" t="s">
        <v>1268</v>
      </c>
      <c r="D2948" s="1" t="s">
        <v>517</v>
      </c>
      <c r="E2948" s="1" t="s">
        <v>537</v>
      </c>
      <c r="F2948" s="1" t="s">
        <v>566</v>
      </c>
      <c r="G2948" s="1" t="s">
        <v>480</v>
      </c>
      <c r="H2948" s="1" t="n">
        <v>71</v>
      </c>
      <c r="I2948" s="1" t="str">
        <f aca="false">B2948&amp;"|"&amp;F2948&amp;"|"&amp;G2948</f>
        <v>Fieldhouses|DPOLE|Low Cost</v>
      </c>
      <c r="J2948" s="1" t="s">
        <v>1269</v>
      </c>
    </row>
    <row r="2949" customFormat="false" ht="12" hidden="false" customHeight="true" outlineLevel="0" collapsed="false">
      <c r="B2949" s="1" t="s">
        <v>1267</v>
      </c>
      <c r="C2949" s="1" t="s">
        <v>1268</v>
      </c>
      <c r="D2949" s="1" t="s">
        <v>517</v>
      </c>
      <c r="E2949" s="1" t="s">
        <v>537</v>
      </c>
      <c r="F2949" s="1" t="s">
        <v>566</v>
      </c>
      <c r="G2949" s="1" t="s">
        <v>567</v>
      </c>
      <c r="H2949" s="1" t="n">
        <v>55.5</v>
      </c>
      <c r="I2949" s="1" t="str">
        <f aca="false">B2949&amp;"|"&amp;F2949&amp;"|"&amp;G2949</f>
        <v>Fieldhouses|DPOLE|Cheap</v>
      </c>
      <c r="J2949" s="1" t="s">
        <v>1269</v>
      </c>
    </row>
    <row r="2950" customFormat="false" ht="12" hidden="false" customHeight="true" outlineLevel="0" collapsed="false">
      <c r="B2950" s="1" t="s">
        <v>1267</v>
      </c>
      <c r="C2950" s="1" t="s">
        <v>1268</v>
      </c>
      <c r="D2950" s="1" t="s">
        <v>517</v>
      </c>
      <c r="E2950" s="1" t="s">
        <v>537</v>
      </c>
      <c r="F2950" s="1" t="s">
        <v>473</v>
      </c>
      <c r="G2950" s="1" t="s">
        <v>483</v>
      </c>
      <c r="H2950" s="1" t="n">
        <v>202</v>
      </c>
      <c r="I2950" s="1" t="str">
        <f aca="false">B2950&amp;"|"&amp;F2950&amp;"|"&amp;G2950</f>
        <v>Fieldhouses|S|Good</v>
      </c>
      <c r="J2950" s="1" t="s">
        <v>1269</v>
      </c>
    </row>
    <row r="2951" customFormat="false" ht="12" hidden="false" customHeight="true" outlineLevel="0" collapsed="false">
      <c r="B2951" s="1" t="s">
        <v>1267</v>
      </c>
      <c r="C2951" s="1" t="s">
        <v>1268</v>
      </c>
      <c r="D2951" s="1" t="s">
        <v>517</v>
      </c>
      <c r="E2951" s="1" t="s">
        <v>537</v>
      </c>
      <c r="F2951" s="1" t="s">
        <v>473</v>
      </c>
      <c r="G2951" s="1" t="s">
        <v>279</v>
      </c>
      <c r="H2951" s="1" t="n">
        <v>127</v>
      </c>
      <c r="I2951" s="1" t="str">
        <f aca="false">B2951&amp;"|"&amp;F2951&amp;"|"&amp;G2951</f>
        <v>Fieldhouses|S|Average</v>
      </c>
      <c r="J2951" s="1" t="s">
        <v>1269</v>
      </c>
    </row>
    <row r="2952" customFormat="false" ht="12" hidden="false" customHeight="true" outlineLevel="0" collapsed="false">
      <c r="B2952" s="1" t="s">
        <v>1267</v>
      </c>
      <c r="C2952" s="1" t="s">
        <v>1268</v>
      </c>
      <c r="D2952" s="1" t="s">
        <v>517</v>
      </c>
      <c r="E2952" s="1" t="s">
        <v>537</v>
      </c>
      <c r="F2952" s="1" t="s">
        <v>473</v>
      </c>
      <c r="G2952" s="1" t="s">
        <v>480</v>
      </c>
      <c r="H2952" s="1" t="n">
        <v>72.5</v>
      </c>
      <c r="I2952" s="1" t="str">
        <f aca="false">B2952&amp;"|"&amp;F2952&amp;"|"&amp;G2952</f>
        <v>Fieldhouses|S|Low Cost</v>
      </c>
      <c r="J2952" s="1" t="s">
        <v>1269</v>
      </c>
    </row>
    <row r="2953" customFormat="false" ht="12" hidden="false" customHeight="true" outlineLevel="0" collapsed="false">
      <c r="B2953" s="1" t="s">
        <v>1267</v>
      </c>
      <c r="C2953" s="1" t="s">
        <v>1268</v>
      </c>
      <c r="D2953" s="1" t="s">
        <v>517</v>
      </c>
      <c r="E2953" s="1" t="s">
        <v>537</v>
      </c>
      <c r="F2953" s="1" t="s">
        <v>473</v>
      </c>
      <c r="G2953" s="1" t="s">
        <v>567</v>
      </c>
      <c r="H2953" s="1" t="n">
        <v>57</v>
      </c>
      <c r="I2953" s="1" t="str">
        <f aca="false">B2953&amp;"|"&amp;F2953&amp;"|"&amp;G2953</f>
        <v>Fieldhouses|S|Cheap</v>
      </c>
      <c r="J2953" s="1" t="s">
        <v>1269</v>
      </c>
    </row>
    <row r="2954" customFormat="false" ht="12" hidden="false" customHeight="true" outlineLevel="0" collapsed="false">
      <c r="B2954" s="1" t="s">
        <v>1270</v>
      </c>
      <c r="C2954" s="1" t="s">
        <v>1271</v>
      </c>
      <c r="D2954" s="1" t="s">
        <v>517</v>
      </c>
      <c r="E2954" s="1" t="s">
        <v>539</v>
      </c>
      <c r="F2954" s="1" t="s">
        <v>523</v>
      </c>
      <c r="G2954" s="1" t="s">
        <v>483</v>
      </c>
      <c r="H2954" s="1" t="n">
        <v>316</v>
      </c>
      <c r="I2954" s="1" t="str">
        <f aca="false">B2954&amp;"|"&amp;F2954&amp;"|"&amp;G2954</f>
        <v>Physical Education Buildings|A-B|Good</v>
      </c>
      <c r="J2954" s="1" t="s">
        <v>1272</v>
      </c>
    </row>
    <row r="2955" customFormat="false" ht="12" hidden="false" customHeight="true" outlineLevel="0" collapsed="false">
      <c r="B2955" s="1" t="s">
        <v>1270</v>
      </c>
      <c r="C2955" s="1" t="s">
        <v>1271</v>
      </c>
      <c r="D2955" s="1" t="s">
        <v>517</v>
      </c>
      <c r="E2955" s="1" t="s">
        <v>539</v>
      </c>
      <c r="F2955" s="1" t="s">
        <v>523</v>
      </c>
      <c r="G2955" s="1" t="s">
        <v>279</v>
      </c>
      <c r="H2955" s="1" t="n">
        <v>230</v>
      </c>
      <c r="I2955" s="1" t="str">
        <f aca="false">B2955&amp;"|"&amp;F2955&amp;"|"&amp;G2955</f>
        <v>Physical Education Buildings|A-B|Average</v>
      </c>
      <c r="J2955" s="1" t="s">
        <v>1272</v>
      </c>
    </row>
    <row r="2956" customFormat="false" ht="12" hidden="false" customHeight="true" outlineLevel="0" collapsed="false">
      <c r="B2956" s="1" t="s">
        <v>1270</v>
      </c>
      <c r="C2956" s="1" t="s">
        <v>1271</v>
      </c>
      <c r="D2956" s="1" t="s">
        <v>517</v>
      </c>
      <c r="E2956" s="1" t="s">
        <v>539</v>
      </c>
      <c r="F2956" s="1" t="s">
        <v>463</v>
      </c>
      <c r="G2956" s="1" t="s">
        <v>485</v>
      </c>
      <c r="H2956" s="1" t="n">
        <v>313</v>
      </c>
      <c r="I2956" s="1" t="str">
        <f aca="false">B2956&amp;"|"&amp;F2956&amp;"|"&amp;G2956</f>
        <v>Physical Education Buildings|C|Excellent</v>
      </c>
      <c r="J2956" s="1" t="s">
        <v>1272</v>
      </c>
    </row>
    <row r="2957" customFormat="false" ht="12" hidden="false" customHeight="true" outlineLevel="0" collapsed="false">
      <c r="B2957" s="1" t="s">
        <v>1270</v>
      </c>
      <c r="C2957" s="1" t="s">
        <v>1271</v>
      </c>
      <c r="D2957" s="1" t="s">
        <v>517</v>
      </c>
      <c r="E2957" s="1" t="s">
        <v>539</v>
      </c>
      <c r="F2957" s="1" t="s">
        <v>463</v>
      </c>
      <c r="G2957" s="1" t="s">
        <v>483</v>
      </c>
      <c r="H2957" s="1" t="n">
        <v>229</v>
      </c>
      <c r="I2957" s="1" t="str">
        <f aca="false">B2957&amp;"|"&amp;F2957&amp;"|"&amp;G2957</f>
        <v>Physical Education Buildings|C|Good</v>
      </c>
      <c r="J2957" s="1" t="s">
        <v>1272</v>
      </c>
    </row>
    <row r="2958" customFormat="false" ht="12" hidden="false" customHeight="true" outlineLevel="0" collapsed="false">
      <c r="B2958" s="1" t="s">
        <v>1270</v>
      </c>
      <c r="C2958" s="1" t="s">
        <v>1271</v>
      </c>
      <c r="D2958" s="1" t="s">
        <v>517</v>
      </c>
      <c r="E2958" s="1" t="s">
        <v>539</v>
      </c>
      <c r="F2958" s="1" t="s">
        <v>463</v>
      </c>
      <c r="G2958" s="1" t="s">
        <v>279</v>
      </c>
      <c r="H2958" s="1" t="n">
        <v>167</v>
      </c>
      <c r="I2958" s="1" t="str">
        <f aca="false">B2958&amp;"|"&amp;F2958&amp;"|"&amp;G2958</f>
        <v>Physical Education Buildings|C|Average</v>
      </c>
      <c r="J2958" s="1" t="s">
        <v>1272</v>
      </c>
    </row>
    <row r="2959" customFormat="false" ht="12" hidden="false" customHeight="true" outlineLevel="0" collapsed="false">
      <c r="B2959" s="1" t="s">
        <v>1270</v>
      </c>
      <c r="C2959" s="1" t="s">
        <v>1271</v>
      </c>
      <c r="D2959" s="1" t="s">
        <v>517</v>
      </c>
      <c r="E2959" s="1" t="s">
        <v>539</v>
      </c>
      <c r="F2959" s="1" t="s">
        <v>463</v>
      </c>
      <c r="G2959" s="1" t="s">
        <v>480</v>
      </c>
      <c r="H2959" s="1" t="n">
        <v>113</v>
      </c>
      <c r="I2959" s="1" t="str">
        <f aca="false">B2959&amp;"|"&amp;F2959&amp;"|"&amp;G2959</f>
        <v>Physical Education Buildings|C|Low Cost</v>
      </c>
      <c r="J2959" s="1" t="s">
        <v>1272</v>
      </c>
    </row>
    <row r="2960" customFormat="false" ht="12" hidden="false" customHeight="true" outlineLevel="0" collapsed="false">
      <c r="B2960" s="1" t="s">
        <v>1270</v>
      </c>
      <c r="C2960" s="1" t="s">
        <v>1271</v>
      </c>
      <c r="D2960" s="1" t="s">
        <v>517</v>
      </c>
      <c r="E2960" s="1" t="s">
        <v>539</v>
      </c>
      <c r="F2960" s="1" t="s">
        <v>468</v>
      </c>
      <c r="G2960" s="1" t="s">
        <v>485</v>
      </c>
      <c r="H2960" s="1" t="n">
        <v>308</v>
      </c>
      <c r="I2960" s="1" t="str">
        <f aca="false">B2960&amp;"|"&amp;F2960&amp;"|"&amp;G2960</f>
        <v>Physical Education Buildings|D|Excellent</v>
      </c>
      <c r="J2960" s="1" t="s">
        <v>1272</v>
      </c>
    </row>
    <row r="2961" customFormat="false" ht="12" hidden="false" customHeight="true" outlineLevel="0" collapsed="false">
      <c r="B2961" s="1" t="s">
        <v>1270</v>
      </c>
      <c r="C2961" s="1" t="s">
        <v>1271</v>
      </c>
      <c r="D2961" s="1" t="s">
        <v>517</v>
      </c>
      <c r="E2961" s="1" t="s">
        <v>539</v>
      </c>
      <c r="F2961" s="1" t="s">
        <v>468</v>
      </c>
      <c r="G2961" s="1" t="s">
        <v>483</v>
      </c>
      <c r="H2961" s="1" t="n">
        <v>224</v>
      </c>
      <c r="I2961" s="1" t="str">
        <f aca="false">B2961&amp;"|"&amp;F2961&amp;"|"&amp;G2961</f>
        <v>Physical Education Buildings|D|Good</v>
      </c>
      <c r="J2961" s="1" t="s">
        <v>1272</v>
      </c>
    </row>
    <row r="2962" customFormat="false" ht="12" hidden="false" customHeight="true" outlineLevel="0" collapsed="false">
      <c r="B2962" s="1" t="s">
        <v>1270</v>
      </c>
      <c r="C2962" s="1" t="s">
        <v>1271</v>
      </c>
      <c r="D2962" s="1" t="s">
        <v>517</v>
      </c>
      <c r="E2962" s="1" t="s">
        <v>539</v>
      </c>
      <c r="F2962" s="1" t="s">
        <v>468</v>
      </c>
      <c r="G2962" s="1" t="s">
        <v>279</v>
      </c>
      <c r="H2962" s="1" t="n">
        <v>161</v>
      </c>
      <c r="I2962" s="1" t="str">
        <f aca="false">B2962&amp;"|"&amp;F2962&amp;"|"&amp;G2962</f>
        <v>Physical Education Buildings|D|Average</v>
      </c>
      <c r="J2962" s="1" t="s">
        <v>1272</v>
      </c>
    </row>
    <row r="2963" customFormat="false" ht="12" hidden="false" customHeight="true" outlineLevel="0" collapsed="false">
      <c r="B2963" s="1" t="s">
        <v>1270</v>
      </c>
      <c r="C2963" s="1" t="s">
        <v>1271</v>
      </c>
      <c r="D2963" s="1" t="s">
        <v>517</v>
      </c>
      <c r="E2963" s="1" t="s">
        <v>539</v>
      </c>
      <c r="F2963" s="1" t="s">
        <v>468</v>
      </c>
      <c r="G2963" s="1" t="s">
        <v>480</v>
      </c>
      <c r="H2963" s="1" t="n">
        <v>108</v>
      </c>
      <c r="I2963" s="1" t="str">
        <f aca="false">B2963&amp;"|"&amp;F2963&amp;"|"&amp;G2963</f>
        <v>Physical Education Buildings|D|Low Cost</v>
      </c>
      <c r="J2963" s="1" t="s">
        <v>1272</v>
      </c>
    </row>
    <row r="2964" customFormat="false" ht="12" hidden="false" customHeight="true" outlineLevel="0" collapsed="false">
      <c r="B2964" s="1" t="s">
        <v>1270</v>
      </c>
      <c r="C2964" s="1" t="s">
        <v>1271</v>
      </c>
      <c r="D2964" s="1" t="s">
        <v>517</v>
      </c>
      <c r="E2964" s="1" t="s">
        <v>539</v>
      </c>
      <c r="F2964" s="1" t="s">
        <v>566</v>
      </c>
      <c r="G2964" s="1" t="s">
        <v>279</v>
      </c>
      <c r="H2964" s="1" t="n">
        <v>153</v>
      </c>
      <c r="I2964" s="1" t="str">
        <f aca="false">B2964&amp;"|"&amp;F2964&amp;"|"&amp;G2964</f>
        <v>Physical Education Buildings|DPOLE|Average</v>
      </c>
      <c r="J2964" s="1" t="s">
        <v>1272</v>
      </c>
    </row>
    <row r="2965" customFormat="false" ht="12" hidden="false" customHeight="true" outlineLevel="0" collapsed="false">
      <c r="B2965" s="1" t="s">
        <v>1270</v>
      </c>
      <c r="C2965" s="1" t="s">
        <v>1271</v>
      </c>
      <c r="D2965" s="1" t="s">
        <v>517</v>
      </c>
      <c r="E2965" s="1" t="s">
        <v>539</v>
      </c>
      <c r="F2965" s="1" t="s">
        <v>566</v>
      </c>
      <c r="G2965" s="1" t="s">
        <v>480</v>
      </c>
      <c r="H2965" s="1" t="n">
        <v>103</v>
      </c>
      <c r="I2965" s="1" t="str">
        <f aca="false">B2965&amp;"|"&amp;F2965&amp;"|"&amp;G2965</f>
        <v>Physical Education Buildings|DPOLE|Low Cost</v>
      </c>
      <c r="J2965" s="1" t="s">
        <v>1272</v>
      </c>
    </row>
    <row r="2966" customFormat="false" ht="12" hidden="false" customHeight="true" outlineLevel="0" collapsed="false">
      <c r="B2966" s="1" t="s">
        <v>1270</v>
      </c>
      <c r="C2966" s="1" t="s">
        <v>1271</v>
      </c>
      <c r="D2966" s="1" t="s">
        <v>517</v>
      </c>
      <c r="E2966" s="1" t="s">
        <v>539</v>
      </c>
      <c r="F2966" s="1" t="s">
        <v>473</v>
      </c>
      <c r="G2966" s="1" t="s">
        <v>483</v>
      </c>
      <c r="H2966" s="1" t="n">
        <v>218</v>
      </c>
      <c r="I2966" s="1" t="str">
        <f aca="false">B2966&amp;"|"&amp;F2966&amp;"|"&amp;G2966</f>
        <v>Physical Education Buildings|S|Good</v>
      </c>
      <c r="J2966" s="1" t="s">
        <v>1272</v>
      </c>
    </row>
    <row r="2967" customFormat="false" ht="12" hidden="false" customHeight="true" outlineLevel="0" collapsed="false">
      <c r="B2967" s="1" t="s">
        <v>1270</v>
      </c>
      <c r="C2967" s="1" t="s">
        <v>1271</v>
      </c>
      <c r="D2967" s="1" t="s">
        <v>517</v>
      </c>
      <c r="E2967" s="1" t="s">
        <v>539</v>
      </c>
      <c r="F2967" s="1" t="s">
        <v>473</v>
      </c>
      <c r="G2967" s="1" t="s">
        <v>279</v>
      </c>
      <c r="H2967" s="1" t="n">
        <v>156</v>
      </c>
      <c r="I2967" s="1" t="str">
        <f aca="false">B2967&amp;"|"&amp;F2967&amp;"|"&amp;G2967</f>
        <v>Physical Education Buildings|S|Average</v>
      </c>
      <c r="J2967" s="1" t="s">
        <v>1272</v>
      </c>
    </row>
    <row r="2968" customFormat="false" ht="12" hidden="false" customHeight="true" outlineLevel="0" collapsed="false">
      <c r="B2968" s="1" t="s">
        <v>1270</v>
      </c>
      <c r="C2968" s="1" t="s">
        <v>1271</v>
      </c>
      <c r="D2968" s="1" t="s">
        <v>517</v>
      </c>
      <c r="E2968" s="1" t="s">
        <v>539</v>
      </c>
      <c r="F2968" s="1" t="s">
        <v>473</v>
      </c>
      <c r="G2968" s="1" t="s">
        <v>480</v>
      </c>
      <c r="H2968" s="1" t="n">
        <v>104</v>
      </c>
      <c r="I2968" s="1" t="str">
        <f aca="false">B2968&amp;"|"&amp;F2968&amp;"|"&amp;G2968</f>
        <v>Physical Education Buildings|S|Low Cost</v>
      </c>
      <c r="J2968" s="1" t="s">
        <v>1272</v>
      </c>
    </row>
    <row r="2969" customFormat="false" ht="12" hidden="false" customHeight="true" outlineLevel="0" collapsed="false">
      <c r="B2969" s="1" t="s">
        <v>1273</v>
      </c>
      <c r="C2969" s="1" t="s">
        <v>1274</v>
      </c>
      <c r="D2969" s="1" t="s">
        <v>517</v>
      </c>
      <c r="E2969" s="1" t="s">
        <v>543</v>
      </c>
      <c r="F2969" s="1" t="s">
        <v>523</v>
      </c>
      <c r="G2969" s="1" t="s">
        <v>483</v>
      </c>
      <c r="H2969" s="1" t="n">
        <v>290</v>
      </c>
      <c r="I2969" s="1" t="str">
        <f aca="false">B2969&amp;"|"&amp;F2969&amp;"|"&amp;G2969</f>
        <v>Gymnasiums|A-B|Good</v>
      </c>
      <c r="J2969" s="1" t="s">
        <v>1275</v>
      </c>
    </row>
    <row r="2970" customFormat="false" ht="12" hidden="false" customHeight="true" outlineLevel="0" collapsed="false">
      <c r="B2970" s="1" t="s">
        <v>1273</v>
      </c>
      <c r="C2970" s="1" t="s">
        <v>1274</v>
      </c>
      <c r="D2970" s="1" t="s">
        <v>517</v>
      </c>
      <c r="E2970" s="1" t="s">
        <v>543</v>
      </c>
      <c r="F2970" s="1" t="s">
        <v>523</v>
      </c>
      <c r="G2970" s="1" t="s">
        <v>279</v>
      </c>
      <c r="H2970" s="1" t="n">
        <v>213</v>
      </c>
      <c r="I2970" s="1" t="str">
        <f aca="false">B2970&amp;"|"&amp;F2970&amp;"|"&amp;G2970</f>
        <v>Gymnasiums|A-B|Average</v>
      </c>
      <c r="J2970" s="1" t="s">
        <v>1275</v>
      </c>
    </row>
    <row r="2971" customFormat="false" ht="12" hidden="false" customHeight="true" outlineLevel="0" collapsed="false">
      <c r="B2971" s="1" t="s">
        <v>1273</v>
      </c>
      <c r="C2971" s="1" t="s">
        <v>1274</v>
      </c>
      <c r="D2971" s="1" t="s">
        <v>517</v>
      </c>
      <c r="E2971" s="1" t="s">
        <v>543</v>
      </c>
      <c r="F2971" s="1" t="s">
        <v>463</v>
      </c>
      <c r="G2971" s="1" t="s">
        <v>485</v>
      </c>
      <c r="H2971" s="1" t="n">
        <v>288</v>
      </c>
      <c r="I2971" s="1" t="str">
        <f aca="false">B2971&amp;"|"&amp;F2971&amp;"|"&amp;G2971</f>
        <v>Gymnasiums|C|Excellent</v>
      </c>
      <c r="J2971" s="1" t="s">
        <v>1275</v>
      </c>
    </row>
    <row r="2972" customFormat="false" ht="12" hidden="false" customHeight="true" outlineLevel="0" collapsed="false">
      <c r="B2972" s="1" t="s">
        <v>1273</v>
      </c>
      <c r="C2972" s="1" t="s">
        <v>1274</v>
      </c>
      <c r="D2972" s="1" t="s">
        <v>517</v>
      </c>
      <c r="E2972" s="1" t="s">
        <v>543</v>
      </c>
      <c r="F2972" s="1" t="s">
        <v>463</v>
      </c>
      <c r="G2972" s="1" t="s">
        <v>483</v>
      </c>
      <c r="H2972" s="1" t="n">
        <v>212</v>
      </c>
      <c r="I2972" s="1" t="str">
        <f aca="false">B2972&amp;"|"&amp;F2972&amp;"|"&amp;G2972</f>
        <v>Gymnasiums|C|Good</v>
      </c>
      <c r="J2972" s="1" t="s">
        <v>1275</v>
      </c>
    </row>
    <row r="2973" customFormat="false" ht="12" hidden="false" customHeight="true" outlineLevel="0" collapsed="false">
      <c r="B2973" s="1" t="s">
        <v>1273</v>
      </c>
      <c r="C2973" s="1" t="s">
        <v>1274</v>
      </c>
      <c r="D2973" s="1" t="s">
        <v>517</v>
      </c>
      <c r="E2973" s="1" t="s">
        <v>543</v>
      </c>
      <c r="F2973" s="1" t="s">
        <v>463</v>
      </c>
      <c r="G2973" s="1" t="s">
        <v>279</v>
      </c>
      <c r="H2973" s="1" t="n">
        <v>152</v>
      </c>
      <c r="I2973" s="1" t="str">
        <f aca="false">B2973&amp;"|"&amp;F2973&amp;"|"&amp;G2973</f>
        <v>Gymnasiums|C|Average</v>
      </c>
      <c r="J2973" s="1" t="s">
        <v>1275</v>
      </c>
    </row>
    <row r="2974" customFormat="false" ht="12" hidden="false" customHeight="true" outlineLevel="0" collapsed="false">
      <c r="B2974" s="1" t="s">
        <v>1273</v>
      </c>
      <c r="C2974" s="1" t="s">
        <v>1274</v>
      </c>
      <c r="D2974" s="1" t="s">
        <v>517</v>
      </c>
      <c r="E2974" s="1" t="s">
        <v>543</v>
      </c>
      <c r="F2974" s="1" t="s">
        <v>463</v>
      </c>
      <c r="G2974" s="1" t="s">
        <v>480</v>
      </c>
      <c r="H2974" s="1" t="n">
        <v>101</v>
      </c>
      <c r="I2974" s="1" t="str">
        <f aca="false">B2974&amp;"|"&amp;F2974&amp;"|"&amp;G2974</f>
        <v>Gymnasiums|C|Low Cost</v>
      </c>
      <c r="J2974" s="1" t="s">
        <v>1275</v>
      </c>
    </row>
    <row r="2975" customFormat="false" ht="12" hidden="false" customHeight="true" outlineLevel="0" collapsed="false">
      <c r="B2975" s="1" t="s">
        <v>1273</v>
      </c>
      <c r="C2975" s="1" t="s">
        <v>1274</v>
      </c>
      <c r="D2975" s="1" t="s">
        <v>517</v>
      </c>
      <c r="E2975" s="1" t="s">
        <v>543</v>
      </c>
      <c r="F2975" s="1" t="s">
        <v>468</v>
      </c>
      <c r="G2975" s="1" t="s">
        <v>485</v>
      </c>
      <c r="H2975" s="1" t="n">
        <v>281</v>
      </c>
      <c r="I2975" s="1" t="str">
        <f aca="false">B2975&amp;"|"&amp;F2975&amp;"|"&amp;G2975</f>
        <v>Gymnasiums|D|Excellent</v>
      </c>
      <c r="J2975" s="1" t="s">
        <v>1275</v>
      </c>
    </row>
    <row r="2976" customFormat="false" ht="12" hidden="false" customHeight="true" outlineLevel="0" collapsed="false">
      <c r="B2976" s="1" t="s">
        <v>1273</v>
      </c>
      <c r="C2976" s="1" t="s">
        <v>1274</v>
      </c>
      <c r="D2976" s="1" t="s">
        <v>517</v>
      </c>
      <c r="E2976" s="1" t="s">
        <v>543</v>
      </c>
      <c r="F2976" s="1" t="s">
        <v>468</v>
      </c>
      <c r="G2976" s="1" t="s">
        <v>483</v>
      </c>
      <c r="H2976" s="1" t="n">
        <v>205</v>
      </c>
      <c r="I2976" s="1" t="str">
        <f aca="false">B2976&amp;"|"&amp;F2976&amp;"|"&amp;G2976</f>
        <v>Gymnasiums|D|Good</v>
      </c>
      <c r="J2976" s="1" t="s">
        <v>1275</v>
      </c>
    </row>
    <row r="2977" customFormat="false" ht="12" hidden="false" customHeight="true" outlineLevel="0" collapsed="false">
      <c r="B2977" s="1" t="s">
        <v>1273</v>
      </c>
      <c r="C2977" s="1" t="s">
        <v>1274</v>
      </c>
      <c r="D2977" s="1" t="s">
        <v>517</v>
      </c>
      <c r="E2977" s="1" t="s">
        <v>543</v>
      </c>
      <c r="F2977" s="1" t="s">
        <v>468</v>
      </c>
      <c r="G2977" s="1" t="s">
        <v>279</v>
      </c>
      <c r="H2977" s="1" t="n">
        <v>146</v>
      </c>
      <c r="I2977" s="1" t="str">
        <f aca="false">B2977&amp;"|"&amp;F2977&amp;"|"&amp;G2977</f>
        <v>Gymnasiums|D|Average</v>
      </c>
      <c r="J2977" s="1" t="s">
        <v>1275</v>
      </c>
    </row>
    <row r="2978" customFormat="false" ht="12" hidden="false" customHeight="true" outlineLevel="0" collapsed="false">
      <c r="B2978" s="1" t="s">
        <v>1273</v>
      </c>
      <c r="C2978" s="1" t="s">
        <v>1274</v>
      </c>
      <c r="D2978" s="1" t="s">
        <v>517</v>
      </c>
      <c r="E2978" s="1" t="s">
        <v>543</v>
      </c>
      <c r="F2978" s="1" t="s">
        <v>468</v>
      </c>
      <c r="G2978" s="1" t="s">
        <v>480</v>
      </c>
      <c r="H2978" s="1" t="n">
        <v>96</v>
      </c>
      <c r="I2978" s="1" t="str">
        <f aca="false">B2978&amp;"|"&amp;F2978&amp;"|"&amp;G2978</f>
        <v>Gymnasiums|D|Low Cost</v>
      </c>
      <c r="J2978" s="1" t="s">
        <v>1275</v>
      </c>
    </row>
    <row r="2979" customFormat="false" ht="12" hidden="false" customHeight="true" outlineLevel="0" collapsed="false">
      <c r="B2979" s="1" t="s">
        <v>1273</v>
      </c>
      <c r="C2979" s="1" t="s">
        <v>1274</v>
      </c>
      <c r="D2979" s="1" t="s">
        <v>517</v>
      </c>
      <c r="E2979" s="1" t="s">
        <v>543</v>
      </c>
      <c r="F2979" s="1" t="s">
        <v>566</v>
      </c>
      <c r="G2979" s="1" t="s">
        <v>279</v>
      </c>
      <c r="H2979" s="1" t="n">
        <v>137</v>
      </c>
      <c r="I2979" s="1" t="str">
        <f aca="false">B2979&amp;"|"&amp;F2979&amp;"|"&amp;G2979</f>
        <v>Gymnasiums|DPOLE|Average</v>
      </c>
      <c r="J2979" s="1" t="s">
        <v>1275</v>
      </c>
    </row>
    <row r="2980" customFormat="false" ht="12" hidden="false" customHeight="true" outlineLevel="0" collapsed="false">
      <c r="B2980" s="1" t="s">
        <v>1273</v>
      </c>
      <c r="C2980" s="1" t="s">
        <v>1274</v>
      </c>
      <c r="D2980" s="1" t="s">
        <v>517</v>
      </c>
      <c r="E2980" s="1" t="s">
        <v>543</v>
      </c>
      <c r="F2980" s="1" t="s">
        <v>566</v>
      </c>
      <c r="G2980" s="1" t="s">
        <v>480</v>
      </c>
      <c r="H2980" s="1" t="n">
        <v>90</v>
      </c>
      <c r="I2980" s="1" t="str">
        <f aca="false">B2980&amp;"|"&amp;F2980&amp;"|"&amp;G2980</f>
        <v>Gymnasiums|DPOLE|Low Cost</v>
      </c>
      <c r="J2980" s="1" t="s">
        <v>1275</v>
      </c>
    </row>
    <row r="2981" customFormat="false" ht="12" hidden="false" customHeight="true" outlineLevel="0" collapsed="false">
      <c r="B2981" s="1" t="s">
        <v>1273</v>
      </c>
      <c r="C2981" s="1" t="s">
        <v>1274</v>
      </c>
      <c r="D2981" s="1" t="s">
        <v>517</v>
      </c>
      <c r="E2981" s="1" t="s">
        <v>543</v>
      </c>
      <c r="F2981" s="1" t="s">
        <v>566</v>
      </c>
      <c r="G2981" s="1" t="s">
        <v>567</v>
      </c>
      <c r="H2981" s="1" t="n">
        <v>75.5</v>
      </c>
      <c r="I2981" s="1" t="str">
        <f aca="false">B2981&amp;"|"&amp;F2981&amp;"|"&amp;G2981</f>
        <v>Gymnasiums|DPOLE|Cheap</v>
      </c>
      <c r="J2981" s="1" t="s">
        <v>1275</v>
      </c>
    </row>
    <row r="2982" customFormat="false" ht="12" hidden="false" customHeight="true" outlineLevel="0" collapsed="false">
      <c r="B2982" s="1" t="s">
        <v>1273</v>
      </c>
      <c r="C2982" s="1" t="s">
        <v>1274</v>
      </c>
      <c r="D2982" s="1" t="s">
        <v>517</v>
      </c>
      <c r="E2982" s="1" t="s">
        <v>543</v>
      </c>
      <c r="F2982" s="1" t="s">
        <v>473</v>
      </c>
      <c r="G2982" s="1" t="s">
        <v>483</v>
      </c>
      <c r="H2982" s="1" t="n">
        <v>202</v>
      </c>
      <c r="I2982" s="1" t="str">
        <f aca="false">B2982&amp;"|"&amp;F2982&amp;"|"&amp;G2982</f>
        <v>Gymnasiums|S|Good</v>
      </c>
      <c r="J2982" s="1" t="s">
        <v>1275</v>
      </c>
    </row>
    <row r="2983" customFormat="false" ht="12" hidden="false" customHeight="true" outlineLevel="0" collapsed="false">
      <c r="B2983" s="1" t="s">
        <v>1273</v>
      </c>
      <c r="C2983" s="1" t="s">
        <v>1274</v>
      </c>
      <c r="D2983" s="1" t="s">
        <v>517</v>
      </c>
      <c r="E2983" s="1" t="s">
        <v>543</v>
      </c>
      <c r="F2983" s="1" t="s">
        <v>473</v>
      </c>
      <c r="G2983" s="1" t="s">
        <v>279</v>
      </c>
      <c r="H2983" s="1" t="n">
        <v>142</v>
      </c>
      <c r="I2983" s="1" t="str">
        <f aca="false">B2983&amp;"|"&amp;F2983&amp;"|"&amp;G2983</f>
        <v>Gymnasiums|S|Average</v>
      </c>
      <c r="J2983" s="1" t="s">
        <v>1275</v>
      </c>
    </row>
    <row r="2984" customFormat="false" ht="12" hidden="false" customHeight="true" outlineLevel="0" collapsed="false">
      <c r="B2984" s="1" t="s">
        <v>1273</v>
      </c>
      <c r="C2984" s="1" t="s">
        <v>1274</v>
      </c>
      <c r="D2984" s="1" t="s">
        <v>517</v>
      </c>
      <c r="E2984" s="1" t="s">
        <v>543</v>
      </c>
      <c r="F2984" s="1" t="s">
        <v>473</v>
      </c>
      <c r="G2984" s="1" t="s">
        <v>480</v>
      </c>
      <c r="H2984" s="1" t="n">
        <v>91.5</v>
      </c>
      <c r="I2984" s="1" t="str">
        <f aca="false">B2984&amp;"|"&amp;F2984&amp;"|"&amp;G2984</f>
        <v>Gymnasiums|S|Low Cost</v>
      </c>
      <c r="J2984" s="1" t="s">
        <v>1275</v>
      </c>
    </row>
    <row r="2985" customFormat="false" ht="12" hidden="false" customHeight="true" outlineLevel="0" collapsed="false">
      <c r="B2985" s="1" t="s">
        <v>1273</v>
      </c>
      <c r="C2985" s="1" t="s">
        <v>1274</v>
      </c>
      <c r="D2985" s="1" t="s">
        <v>517</v>
      </c>
      <c r="E2985" s="1" t="s">
        <v>543</v>
      </c>
      <c r="F2985" s="1" t="s">
        <v>473</v>
      </c>
      <c r="G2985" s="1" t="s">
        <v>567</v>
      </c>
      <c r="H2985" s="1" t="n">
        <v>76.5</v>
      </c>
      <c r="I2985" s="1" t="str">
        <f aca="false">B2985&amp;"|"&amp;F2985&amp;"|"&amp;G2985</f>
        <v>Gymnasiums|S|Cheap</v>
      </c>
      <c r="J2985" s="1" t="s">
        <v>1275</v>
      </c>
    </row>
    <row r="2986" customFormat="false" ht="12" hidden="false" customHeight="true" outlineLevel="0" collapsed="false">
      <c r="B2986" s="1" t="s">
        <v>1276</v>
      </c>
      <c r="C2986" s="1" t="s">
        <v>1277</v>
      </c>
      <c r="D2986" s="1" t="s">
        <v>517</v>
      </c>
      <c r="E2986" s="1" t="s">
        <v>547</v>
      </c>
      <c r="F2986" s="1" t="s">
        <v>456</v>
      </c>
      <c r="G2986" s="1" t="s">
        <v>485</v>
      </c>
      <c r="H2986" s="1" t="n">
        <v>498</v>
      </c>
      <c r="I2986" s="1" t="str">
        <f aca="false">B2986&amp;"|"&amp;F2986&amp;"|"&amp;G2986</f>
        <v>Colleges|A|Excellent</v>
      </c>
      <c r="J2986" s="1" t="s">
        <v>1278</v>
      </c>
    </row>
    <row r="2987" customFormat="false" ht="12" hidden="false" customHeight="true" outlineLevel="0" collapsed="false">
      <c r="B2987" s="1" t="s">
        <v>1276</v>
      </c>
      <c r="C2987" s="1" t="s">
        <v>1277</v>
      </c>
      <c r="D2987" s="1" t="s">
        <v>517</v>
      </c>
      <c r="E2987" s="1" t="s">
        <v>547</v>
      </c>
      <c r="F2987" s="1" t="s">
        <v>456</v>
      </c>
      <c r="G2987" s="1" t="s">
        <v>483</v>
      </c>
      <c r="H2987" s="1" t="n">
        <v>391</v>
      </c>
      <c r="I2987" s="1" t="str">
        <f aca="false">B2987&amp;"|"&amp;F2987&amp;"|"&amp;G2987</f>
        <v>Colleges|A|Good</v>
      </c>
      <c r="J2987" s="1" t="s">
        <v>1278</v>
      </c>
    </row>
    <row r="2988" customFormat="false" ht="12" hidden="false" customHeight="true" outlineLevel="0" collapsed="false">
      <c r="B2988" s="1" t="s">
        <v>1276</v>
      </c>
      <c r="C2988" s="1" t="s">
        <v>1277</v>
      </c>
      <c r="D2988" s="1" t="s">
        <v>517</v>
      </c>
      <c r="E2988" s="1" t="s">
        <v>547</v>
      </c>
      <c r="F2988" s="1" t="s">
        <v>456</v>
      </c>
      <c r="G2988" s="1" t="s">
        <v>279</v>
      </c>
      <c r="H2988" s="1" t="n">
        <v>308</v>
      </c>
      <c r="I2988" s="1" t="str">
        <f aca="false">B2988&amp;"|"&amp;F2988&amp;"|"&amp;G2988</f>
        <v>Colleges|A|Average</v>
      </c>
      <c r="J2988" s="1" t="s">
        <v>1278</v>
      </c>
    </row>
    <row r="2989" customFormat="false" ht="12" hidden="false" customHeight="true" outlineLevel="0" collapsed="false">
      <c r="B2989" s="1" t="s">
        <v>1276</v>
      </c>
      <c r="C2989" s="1" t="s">
        <v>1277</v>
      </c>
      <c r="D2989" s="1" t="s">
        <v>517</v>
      </c>
      <c r="E2989" s="1" t="s">
        <v>547</v>
      </c>
      <c r="F2989" s="1" t="s">
        <v>456</v>
      </c>
      <c r="G2989" s="1" t="s">
        <v>480</v>
      </c>
      <c r="H2989" s="1" t="n">
        <v>231</v>
      </c>
      <c r="I2989" s="1" t="str">
        <f aca="false">B2989&amp;"|"&amp;F2989&amp;"|"&amp;G2989</f>
        <v>Colleges|A|Low Cost</v>
      </c>
      <c r="J2989" s="1" t="s">
        <v>1278</v>
      </c>
    </row>
    <row r="2990" customFormat="false" ht="12" hidden="false" customHeight="true" outlineLevel="0" collapsed="false">
      <c r="B2990" s="1" t="s">
        <v>1276</v>
      </c>
      <c r="C2990" s="1" t="s">
        <v>1277</v>
      </c>
      <c r="D2990" s="1" t="s">
        <v>517</v>
      </c>
      <c r="E2990" s="1" t="s">
        <v>547</v>
      </c>
      <c r="F2990" s="1" t="s">
        <v>461</v>
      </c>
      <c r="G2990" s="1" t="s">
        <v>485</v>
      </c>
      <c r="H2990" s="1" t="n">
        <v>453</v>
      </c>
      <c r="I2990" s="1" t="str">
        <f aca="false">B2990&amp;"|"&amp;F2990&amp;"|"&amp;G2990</f>
        <v>Colleges|B|Excellent</v>
      </c>
      <c r="J2990" s="1" t="s">
        <v>1278</v>
      </c>
    </row>
    <row r="2991" customFormat="false" ht="12" hidden="false" customHeight="true" outlineLevel="0" collapsed="false">
      <c r="B2991" s="1" t="s">
        <v>1276</v>
      </c>
      <c r="C2991" s="1" t="s">
        <v>1277</v>
      </c>
      <c r="D2991" s="1" t="s">
        <v>517</v>
      </c>
      <c r="E2991" s="1" t="s">
        <v>547</v>
      </c>
      <c r="F2991" s="1" t="s">
        <v>461</v>
      </c>
      <c r="G2991" s="1" t="s">
        <v>483</v>
      </c>
      <c r="H2991" s="1" t="n">
        <v>358</v>
      </c>
      <c r="I2991" s="1" t="str">
        <f aca="false">B2991&amp;"|"&amp;F2991&amp;"|"&amp;G2991</f>
        <v>Colleges|B|Good</v>
      </c>
      <c r="J2991" s="1" t="s">
        <v>1278</v>
      </c>
    </row>
    <row r="2992" customFormat="false" ht="12" hidden="false" customHeight="true" outlineLevel="0" collapsed="false">
      <c r="B2992" s="1" t="s">
        <v>1276</v>
      </c>
      <c r="C2992" s="1" t="s">
        <v>1277</v>
      </c>
      <c r="D2992" s="1" t="s">
        <v>517</v>
      </c>
      <c r="E2992" s="1" t="s">
        <v>547</v>
      </c>
      <c r="F2992" s="1" t="s">
        <v>461</v>
      </c>
      <c r="G2992" s="1" t="s">
        <v>279</v>
      </c>
      <c r="H2992" s="1" t="n">
        <v>284</v>
      </c>
      <c r="I2992" s="1" t="str">
        <f aca="false">B2992&amp;"|"&amp;F2992&amp;"|"&amp;G2992</f>
        <v>Colleges|B|Average</v>
      </c>
      <c r="J2992" s="1" t="s">
        <v>1278</v>
      </c>
    </row>
    <row r="2993" customFormat="false" ht="12" hidden="false" customHeight="true" outlineLevel="0" collapsed="false">
      <c r="B2993" s="1" t="s">
        <v>1276</v>
      </c>
      <c r="C2993" s="1" t="s">
        <v>1277</v>
      </c>
      <c r="D2993" s="1" t="s">
        <v>517</v>
      </c>
      <c r="E2993" s="1" t="s">
        <v>547</v>
      </c>
      <c r="F2993" s="1" t="s">
        <v>461</v>
      </c>
      <c r="G2993" s="1" t="s">
        <v>480</v>
      </c>
      <c r="H2993" s="1" t="n">
        <v>214</v>
      </c>
      <c r="I2993" s="1" t="str">
        <f aca="false">B2993&amp;"|"&amp;F2993&amp;"|"&amp;G2993</f>
        <v>Colleges|B|Low Cost</v>
      </c>
      <c r="J2993" s="1" t="s">
        <v>1278</v>
      </c>
    </row>
    <row r="2994" customFormat="false" ht="12" hidden="false" customHeight="true" outlineLevel="0" collapsed="false">
      <c r="B2994" s="1" t="s">
        <v>1276</v>
      </c>
      <c r="C2994" s="1" t="s">
        <v>1277</v>
      </c>
      <c r="D2994" s="1" t="s">
        <v>517</v>
      </c>
      <c r="E2994" s="1" t="s">
        <v>547</v>
      </c>
      <c r="F2994" s="1" t="s">
        <v>463</v>
      </c>
      <c r="G2994" s="1" t="s">
        <v>485</v>
      </c>
      <c r="H2994" s="1" t="n">
        <v>372</v>
      </c>
      <c r="I2994" s="1" t="str">
        <f aca="false">B2994&amp;"|"&amp;F2994&amp;"|"&amp;G2994</f>
        <v>Colleges|C|Excellent</v>
      </c>
      <c r="J2994" s="1" t="s">
        <v>1278</v>
      </c>
    </row>
    <row r="2995" customFormat="false" ht="12" hidden="false" customHeight="true" outlineLevel="0" collapsed="false">
      <c r="B2995" s="1" t="s">
        <v>1276</v>
      </c>
      <c r="C2995" s="1" t="s">
        <v>1277</v>
      </c>
      <c r="D2995" s="1" t="s">
        <v>517</v>
      </c>
      <c r="E2995" s="1" t="s">
        <v>547</v>
      </c>
      <c r="F2995" s="1" t="s">
        <v>463</v>
      </c>
      <c r="G2995" s="1" t="s">
        <v>483</v>
      </c>
      <c r="H2995" s="1" t="n">
        <v>293</v>
      </c>
      <c r="I2995" s="1" t="str">
        <f aca="false">B2995&amp;"|"&amp;F2995&amp;"|"&amp;G2995</f>
        <v>Colleges|C|Good</v>
      </c>
      <c r="J2995" s="1" t="s">
        <v>1278</v>
      </c>
    </row>
    <row r="2996" customFormat="false" ht="12" hidden="false" customHeight="true" outlineLevel="0" collapsed="false">
      <c r="B2996" s="1" t="s">
        <v>1276</v>
      </c>
      <c r="C2996" s="1" t="s">
        <v>1277</v>
      </c>
      <c r="D2996" s="1" t="s">
        <v>517</v>
      </c>
      <c r="E2996" s="1" t="s">
        <v>547</v>
      </c>
      <c r="F2996" s="1" t="s">
        <v>463</v>
      </c>
      <c r="G2996" s="1" t="s">
        <v>279</v>
      </c>
      <c r="H2996" s="1" t="n">
        <v>218</v>
      </c>
      <c r="I2996" s="1" t="str">
        <f aca="false">B2996&amp;"|"&amp;F2996&amp;"|"&amp;G2996</f>
        <v>Colleges|C|Average</v>
      </c>
      <c r="J2996" s="1" t="s">
        <v>1278</v>
      </c>
    </row>
    <row r="2997" customFormat="false" ht="12" hidden="false" customHeight="true" outlineLevel="0" collapsed="false">
      <c r="B2997" s="1" t="s">
        <v>1276</v>
      </c>
      <c r="C2997" s="1" t="s">
        <v>1277</v>
      </c>
      <c r="D2997" s="1" t="s">
        <v>517</v>
      </c>
      <c r="E2997" s="1" t="s">
        <v>547</v>
      </c>
      <c r="F2997" s="1" t="s">
        <v>463</v>
      </c>
      <c r="G2997" s="1" t="s">
        <v>480</v>
      </c>
      <c r="H2997" s="1" t="n">
        <v>167</v>
      </c>
      <c r="I2997" s="1" t="str">
        <f aca="false">B2997&amp;"|"&amp;F2997&amp;"|"&amp;G2997</f>
        <v>Colleges|C|Low Cost</v>
      </c>
      <c r="J2997" s="1" t="s">
        <v>1278</v>
      </c>
    </row>
    <row r="2998" customFormat="false" ht="12" hidden="false" customHeight="true" outlineLevel="0" collapsed="false">
      <c r="B2998" s="1" t="s">
        <v>1276</v>
      </c>
      <c r="C2998" s="1" t="s">
        <v>1277</v>
      </c>
      <c r="D2998" s="1" t="s">
        <v>517</v>
      </c>
      <c r="E2998" s="1" t="s">
        <v>547</v>
      </c>
      <c r="F2998" s="1" t="s">
        <v>468</v>
      </c>
      <c r="G2998" s="1" t="s">
        <v>485</v>
      </c>
      <c r="H2998" s="1" t="n">
        <v>368</v>
      </c>
      <c r="I2998" s="1" t="str">
        <f aca="false">B2998&amp;"|"&amp;F2998&amp;"|"&amp;G2998</f>
        <v>Colleges|D|Excellent</v>
      </c>
      <c r="J2998" s="1" t="s">
        <v>1278</v>
      </c>
    </row>
    <row r="2999" customFormat="false" ht="12" hidden="false" customHeight="true" outlineLevel="0" collapsed="false">
      <c r="B2999" s="1" t="s">
        <v>1276</v>
      </c>
      <c r="C2999" s="1" t="s">
        <v>1277</v>
      </c>
      <c r="D2999" s="1" t="s">
        <v>517</v>
      </c>
      <c r="E2999" s="1" t="s">
        <v>547</v>
      </c>
      <c r="F2999" s="1" t="s">
        <v>468</v>
      </c>
      <c r="G2999" s="1" t="s">
        <v>483</v>
      </c>
      <c r="H2999" s="1" t="n">
        <v>273</v>
      </c>
      <c r="I2999" s="1" t="str">
        <f aca="false">B2999&amp;"|"&amp;F2999&amp;"|"&amp;G2999</f>
        <v>Colleges|D|Good</v>
      </c>
      <c r="J2999" s="1" t="s">
        <v>1278</v>
      </c>
    </row>
    <row r="3000" customFormat="false" ht="12" hidden="false" customHeight="true" outlineLevel="0" collapsed="false">
      <c r="B3000" s="1" t="s">
        <v>1276</v>
      </c>
      <c r="C3000" s="1" t="s">
        <v>1277</v>
      </c>
      <c r="D3000" s="1" t="s">
        <v>517</v>
      </c>
      <c r="E3000" s="1" t="s">
        <v>547</v>
      </c>
      <c r="F3000" s="1" t="s">
        <v>468</v>
      </c>
      <c r="G3000" s="1" t="s">
        <v>279</v>
      </c>
      <c r="H3000" s="1" t="n">
        <v>207</v>
      </c>
      <c r="I3000" s="1" t="str">
        <f aca="false">B3000&amp;"|"&amp;F3000&amp;"|"&amp;G3000</f>
        <v>Colleges|D|Average</v>
      </c>
      <c r="J3000" s="1" t="s">
        <v>1278</v>
      </c>
    </row>
    <row r="3001" customFormat="false" ht="12" hidden="false" customHeight="true" outlineLevel="0" collapsed="false">
      <c r="B3001" s="1" t="s">
        <v>1276</v>
      </c>
      <c r="C3001" s="1" t="s">
        <v>1277</v>
      </c>
      <c r="D3001" s="1" t="s">
        <v>517</v>
      </c>
      <c r="E3001" s="1" t="s">
        <v>547</v>
      </c>
      <c r="F3001" s="1" t="s">
        <v>468</v>
      </c>
      <c r="G3001" s="1" t="s">
        <v>480</v>
      </c>
      <c r="H3001" s="1" t="n">
        <v>156</v>
      </c>
      <c r="I3001" s="1" t="str">
        <f aca="false">B3001&amp;"|"&amp;F3001&amp;"|"&amp;G3001</f>
        <v>Colleges|D|Low Cost</v>
      </c>
      <c r="J3001" s="1" t="s">
        <v>1278</v>
      </c>
    </row>
    <row r="3002" customFormat="false" ht="12" hidden="false" customHeight="true" outlineLevel="0" collapsed="false">
      <c r="B3002" s="1" t="s">
        <v>1276</v>
      </c>
      <c r="C3002" s="1" t="s">
        <v>1277</v>
      </c>
      <c r="D3002" s="1" t="s">
        <v>517</v>
      </c>
      <c r="E3002" s="1" t="s">
        <v>547</v>
      </c>
      <c r="F3002" s="1" t="s">
        <v>566</v>
      </c>
      <c r="G3002" s="1" t="s">
        <v>279</v>
      </c>
      <c r="H3002" s="1" t="n">
        <v>200</v>
      </c>
      <c r="I3002" s="1" t="str">
        <f aca="false">B3002&amp;"|"&amp;F3002&amp;"|"&amp;G3002</f>
        <v>Colleges|DPOLE|Average</v>
      </c>
      <c r="J3002" s="1" t="s">
        <v>1278</v>
      </c>
    </row>
    <row r="3003" customFormat="false" ht="12" hidden="false" customHeight="true" outlineLevel="0" collapsed="false">
      <c r="B3003" s="1" t="s">
        <v>1276</v>
      </c>
      <c r="C3003" s="1" t="s">
        <v>1277</v>
      </c>
      <c r="D3003" s="1" t="s">
        <v>517</v>
      </c>
      <c r="E3003" s="1" t="s">
        <v>547</v>
      </c>
      <c r="F3003" s="1" t="s">
        <v>566</v>
      </c>
      <c r="G3003" s="1" t="s">
        <v>480</v>
      </c>
      <c r="H3003" s="1" t="n">
        <v>149</v>
      </c>
      <c r="I3003" s="1" t="str">
        <f aca="false">B3003&amp;"|"&amp;F3003&amp;"|"&amp;G3003</f>
        <v>Colleges|DPOLE|Low Cost</v>
      </c>
      <c r="J3003" s="1" t="s">
        <v>1278</v>
      </c>
    </row>
    <row r="3004" customFormat="false" ht="12" hidden="false" customHeight="true" outlineLevel="0" collapsed="false">
      <c r="B3004" s="1" t="s">
        <v>1276</v>
      </c>
      <c r="C3004" s="1" t="s">
        <v>1277</v>
      </c>
      <c r="D3004" s="1" t="s">
        <v>517</v>
      </c>
      <c r="E3004" s="1" t="s">
        <v>547</v>
      </c>
      <c r="F3004" s="1" t="s">
        <v>473</v>
      </c>
      <c r="G3004" s="1" t="s">
        <v>483</v>
      </c>
      <c r="H3004" s="1" t="n">
        <v>266</v>
      </c>
      <c r="I3004" s="1" t="str">
        <f aca="false">B3004&amp;"|"&amp;F3004&amp;"|"&amp;G3004</f>
        <v>Colleges|S|Good</v>
      </c>
      <c r="J3004" s="1" t="s">
        <v>1278</v>
      </c>
    </row>
    <row r="3005" customFormat="false" ht="12" hidden="false" customHeight="true" outlineLevel="0" collapsed="false">
      <c r="B3005" s="1" t="s">
        <v>1276</v>
      </c>
      <c r="C3005" s="1" t="s">
        <v>1277</v>
      </c>
      <c r="D3005" s="1" t="s">
        <v>517</v>
      </c>
      <c r="E3005" s="1" t="s">
        <v>547</v>
      </c>
      <c r="F3005" s="1" t="s">
        <v>473</v>
      </c>
      <c r="G3005" s="1" t="s">
        <v>279</v>
      </c>
      <c r="H3005" s="1" t="n">
        <v>200</v>
      </c>
      <c r="I3005" s="1" t="str">
        <f aca="false">B3005&amp;"|"&amp;F3005&amp;"|"&amp;G3005</f>
        <v>Colleges|S|Average</v>
      </c>
      <c r="J3005" s="1" t="s">
        <v>1278</v>
      </c>
    </row>
    <row r="3006" customFormat="false" ht="12" hidden="false" customHeight="true" outlineLevel="0" collapsed="false">
      <c r="B3006" s="1" t="s">
        <v>1276</v>
      </c>
      <c r="C3006" s="1" t="s">
        <v>1277</v>
      </c>
      <c r="D3006" s="1" t="s">
        <v>517</v>
      </c>
      <c r="E3006" s="1" t="s">
        <v>547</v>
      </c>
      <c r="F3006" s="1" t="s">
        <v>473</v>
      </c>
      <c r="G3006" s="1" t="s">
        <v>480</v>
      </c>
      <c r="H3006" s="1" t="n">
        <v>150</v>
      </c>
      <c r="I3006" s="1" t="str">
        <f aca="false">B3006&amp;"|"&amp;F3006&amp;"|"&amp;G3006</f>
        <v>Colleges|S|Low Cost</v>
      </c>
      <c r="J3006" s="1" t="s">
        <v>1278</v>
      </c>
    </row>
    <row r="3007" customFormat="false" ht="12" hidden="false" customHeight="true" outlineLevel="0" collapsed="false">
      <c r="B3007" s="1" t="s">
        <v>1279</v>
      </c>
      <c r="C3007" s="1" t="s">
        <v>1280</v>
      </c>
      <c r="D3007" s="1" t="s">
        <v>517</v>
      </c>
      <c r="E3007" s="1" t="s">
        <v>549</v>
      </c>
      <c r="F3007" s="1" t="s">
        <v>456</v>
      </c>
      <c r="G3007" s="1" t="s">
        <v>485</v>
      </c>
      <c r="H3007" s="1" t="n">
        <v>430</v>
      </c>
      <c r="I3007" s="1" t="str">
        <f aca="false">B3007&amp;"|"&amp;F3007&amp;"|"&amp;G3007</f>
        <v>College Classrooms|A|Excellent</v>
      </c>
      <c r="J3007" s="1" t="s">
        <v>1281</v>
      </c>
    </row>
    <row r="3008" customFormat="false" ht="12" hidden="false" customHeight="true" outlineLevel="0" collapsed="false">
      <c r="B3008" s="1" t="s">
        <v>1279</v>
      </c>
      <c r="C3008" s="1" t="s">
        <v>1280</v>
      </c>
      <c r="D3008" s="1" t="s">
        <v>517</v>
      </c>
      <c r="E3008" s="1" t="s">
        <v>549</v>
      </c>
      <c r="F3008" s="1" t="s">
        <v>456</v>
      </c>
      <c r="G3008" s="1" t="s">
        <v>483</v>
      </c>
      <c r="H3008" s="1" t="n">
        <v>344</v>
      </c>
      <c r="I3008" s="1" t="str">
        <f aca="false">B3008&amp;"|"&amp;F3008&amp;"|"&amp;G3008</f>
        <v>College Classrooms|A|Good</v>
      </c>
      <c r="J3008" s="1" t="s">
        <v>1281</v>
      </c>
    </row>
    <row r="3009" customFormat="false" ht="12" hidden="false" customHeight="true" outlineLevel="0" collapsed="false">
      <c r="B3009" s="1" t="s">
        <v>1279</v>
      </c>
      <c r="C3009" s="1" t="s">
        <v>1280</v>
      </c>
      <c r="D3009" s="1" t="s">
        <v>517</v>
      </c>
      <c r="E3009" s="1" t="s">
        <v>549</v>
      </c>
      <c r="F3009" s="1" t="s">
        <v>456</v>
      </c>
      <c r="G3009" s="1" t="s">
        <v>279</v>
      </c>
      <c r="H3009" s="1" t="n">
        <v>277</v>
      </c>
      <c r="I3009" s="1" t="str">
        <f aca="false">B3009&amp;"|"&amp;F3009&amp;"|"&amp;G3009</f>
        <v>College Classrooms|A|Average</v>
      </c>
      <c r="J3009" s="1" t="s">
        <v>1281</v>
      </c>
    </row>
    <row r="3010" customFormat="false" ht="12" hidden="false" customHeight="true" outlineLevel="0" collapsed="false">
      <c r="B3010" s="1" t="s">
        <v>1279</v>
      </c>
      <c r="C3010" s="1" t="s">
        <v>1280</v>
      </c>
      <c r="D3010" s="1" t="s">
        <v>517</v>
      </c>
      <c r="E3010" s="1" t="s">
        <v>549</v>
      </c>
      <c r="F3010" s="1" t="s">
        <v>456</v>
      </c>
      <c r="G3010" s="1" t="s">
        <v>480</v>
      </c>
      <c r="H3010" s="1" t="n">
        <v>210</v>
      </c>
      <c r="I3010" s="1" t="str">
        <f aca="false">B3010&amp;"|"&amp;F3010&amp;"|"&amp;G3010</f>
        <v>College Classrooms|A|Low Cost</v>
      </c>
      <c r="J3010" s="1" t="s">
        <v>1281</v>
      </c>
    </row>
    <row r="3011" customFormat="false" ht="12" hidden="false" customHeight="true" outlineLevel="0" collapsed="false">
      <c r="B3011" s="1" t="s">
        <v>1279</v>
      </c>
      <c r="C3011" s="1" t="s">
        <v>1280</v>
      </c>
      <c r="D3011" s="1" t="s">
        <v>517</v>
      </c>
      <c r="E3011" s="1" t="s">
        <v>549</v>
      </c>
      <c r="F3011" s="1" t="s">
        <v>461</v>
      </c>
      <c r="G3011" s="1" t="s">
        <v>485</v>
      </c>
      <c r="H3011" s="1" t="n">
        <v>387</v>
      </c>
      <c r="I3011" s="1" t="str">
        <f aca="false">B3011&amp;"|"&amp;F3011&amp;"|"&amp;G3011</f>
        <v>College Classrooms|B|Excellent</v>
      </c>
      <c r="J3011" s="1" t="s">
        <v>1281</v>
      </c>
    </row>
    <row r="3012" customFormat="false" ht="12" hidden="false" customHeight="true" outlineLevel="0" collapsed="false">
      <c r="B3012" s="1" t="s">
        <v>1279</v>
      </c>
      <c r="C3012" s="1" t="s">
        <v>1280</v>
      </c>
      <c r="D3012" s="1" t="s">
        <v>517</v>
      </c>
      <c r="E3012" s="1" t="s">
        <v>549</v>
      </c>
      <c r="F3012" s="1" t="s">
        <v>461</v>
      </c>
      <c r="G3012" s="1" t="s">
        <v>483</v>
      </c>
      <c r="H3012" s="1" t="n">
        <v>314</v>
      </c>
      <c r="I3012" s="1" t="str">
        <f aca="false">B3012&amp;"|"&amp;F3012&amp;"|"&amp;G3012</f>
        <v>College Classrooms|B|Good</v>
      </c>
      <c r="J3012" s="1" t="s">
        <v>1281</v>
      </c>
    </row>
    <row r="3013" customFormat="false" ht="12" hidden="false" customHeight="true" outlineLevel="0" collapsed="false">
      <c r="B3013" s="1" t="s">
        <v>1279</v>
      </c>
      <c r="C3013" s="1" t="s">
        <v>1280</v>
      </c>
      <c r="D3013" s="1" t="s">
        <v>517</v>
      </c>
      <c r="E3013" s="1" t="s">
        <v>549</v>
      </c>
      <c r="F3013" s="1" t="s">
        <v>461</v>
      </c>
      <c r="G3013" s="1" t="s">
        <v>279</v>
      </c>
      <c r="H3013" s="1" t="n">
        <v>256</v>
      </c>
      <c r="I3013" s="1" t="str">
        <f aca="false">B3013&amp;"|"&amp;F3013&amp;"|"&amp;G3013</f>
        <v>College Classrooms|B|Average</v>
      </c>
      <c r="J3013" s="1" t="s">
        <v>1281</v>
      </c>
    </row>
    <row r="3014" customFormat="false" ht="12" hidden="false" customHeight="true" outlineLevel="0" collapsed="false">
      <c r="B3014" s="1" t="s">
        <v>1279</v>
      </c>
      <c r="C3014" s="1" t="s">
        <v>1280</v>
      </c>
      <c r="D3014" s="1" t="s">
        <v>517</v>
      </c>
      <c r="E3014" s="1" t="s">
        <v>549</v>
      </c>
      <c r="F3014" s="1" t="s">
        <v>461</v>
      </c>
      <c r="G3014" s="1" t="s">
        <v>480</v>
      </c>
      <c r="H3014" s="1" t="n">
        <v>196</v>
      </c>
      <c r="I3014" s="1" t="str">
        <f aca="false">B3014&amp;"|"&amp;F3014&amp;"|"&amp;G3014</f>
        <v>College Classrooms|B|Low Cost</v>
      </c>
      <c r="J3014" s="1" t="s">
        <v>1281</v>
      </c>
    </row>
    <row r="3015" customFormat="false" ht="12" hidden="false" customHeight="true" outlineLevel="0" collapsed="false">
      <c r="B3015" s="1" t="s">
        <v>1279</v>
      </c>
      <c r="C3015" s="1" t="s">
        <v>1280</v>
      </c>
      <c r="D3015" s="1" t="s">
        <v>517</v>
      </c>
      <c r="E3015" s="1" t="s">
        <v>549</v>
      </c>
      <c r="F3015" s="1" t="s">
        <v>463</v>
      </c>
      <c r="G3015" s="1" t="s">
        <v>485</v>
      </c>
      <c r="H3015" s="1" t="n">
        <v>324</v>
      </c>
      <c r="I3015" s="1" t="str">
        <f aca="false">B3015&amp;"|"&amp;F3015&amp;"|"&amp;G3015</f>
        <v>College Classrooms|C|Excellent</v>
      </c>
      <c r="J3015" s="1" t="s">
        <v>1281</v>
      </c>
    </row>
    <row r="3016" customFormat="false" ht="12" hidden="false" customHeight="true" outlineLevel="0" collapsed="false">
      <c r="B3016" s="1" t="s">
        <v>1279</v>
      </c>
      <c r="C3016" s="1" t="s">
        <v>1280</v>
      </c>
      <c r="D3016" s="1" t="s">
        <v>517</v>
      </c>
      <c r="E3016" s="1" t="s">
        <v>549</v>
      </c>
      <c r="F3016" s="1" t="s">
        <v>463</v>
      </c>
      <c r="G3016" s="1" t="s">
        <v>483</v>
      </c>
      <c r="H3016" s="1" t="n">
        <v>263</v>
      </c>
      <c r="I3016" s="1" t="str">
        <f aca="false">B3016&amp;"|"&amp;F3016&amp;"|"&amp;G3016</f>
        <v>College Classrooms|C|Good</v>
      </c>
      <c r="J3016" s="1" t="s">
        <v>1281</v>
      </c>
    </row>
    <row r="3017" customFormat="false" ht="12" hidden="false" customHeight="true" outlineLevel="0" collapsed="false">
      <c r="B3017" s="1" t="s">
        <v>1279</v>
      </c>
      <c r="C3017" s="1" t="s">
        <v>1280</v>
      </c>
      <c r="D3017" s="1" t="s">
        <v>517</v>
      </c>
      <c r="E3017" s="1" t="s">
        <v>549</v>
      </c>
      <c r="F3017" s="1" t="s">
        <v>463</v>
      </c>
      <c r="G3017" s="1" t="s">
        <v>279</v>
      </c>
      <c r="H3017" s="1" t="n">
        <v>200</v>
      </c>
      <c r="I3017" s="1" t="str">
        <f aca="false">B3017&amp;"|"&amp;F3017&amp;"|"&amp;G3017</f>
        <v>College Classrooms|C|Average</v>
      </c>
      <c r="J3017" s="1" t="s">
        <v>1281</v>
      </c>
    </row>
    <row r="3018" customFormat="false" ht="12" hidden="false" customHeight="true" outlineLevel="0" collapsed="false">
      <c r="B3018" s="1" t="s">
        <v>1279</v>
      </c>
      <c r="C3018" s="1" t="s">
        <v>1280</v>
      </c>
      <c r="D3018" s="1" t="s">
        <v>517</v>
      </c>
      <c r="E3018" s="1" t="s">
        <v>549</v>
      </c>
      <c r="F3018" s="1" t="s">
        <v>463</v>
      </c>
      <c r="G3018" s="1" t="s">
        <v>480</v>
      </c>
      <c r="H3018" s="1" t="n">
        <v>152</v>
      </c>
      <c r="I3018" s="1" t="str">
        <f aca="false">B3018&amp;"|"&amp;F3018&amp;"|"&amp;G3018</f>
        <v>College Classrooms|C|Low Cost</v>
      </c>
      <c r="J3018" s="1" t="s">
        <v>1281</v>
      </c>
    </row>
    <row r="3019" customFormat="false" ht="12" hidden="false" customHeight="true" outlineLevel="0" collapsed="false">
      <c r="B3019" s="1" t="s">
        <v>1279</v>
      </c>
      <c r="C3019" s="1" t="s">
        <v>1280</v>
      </c>
      <c r="D3019" s="1" t="s">
        <v>517</v>
      </c>
      <c r="E3019" s="1" t="s">
        <v>549</v>
      </c>
      <c r="F3019" s="1" t="s">
        <v>468</v>
      </c>
      <c r="G3019" s="1" t="s">
        <v>485</v>
      </c>
      <c r="H3019" s="1" t="n">
        <v>320</v>
      </c>
      <c r="I3019" s="1" t="str">
        <f aca="false">B3019&amp;"|"&amp;F3019&amp;"|"&amp;G3019</f>
        <v>College Classrooms|D|Excellent</v>
      </c>
      <c r="J3019" s="1" t="s">
        <v>1281</v>
      </c>
    </row>
    <row r="3020" customFormat="false" ht="12" hidden="false" customHeight="true" outlineLevel="0" collapsed="false">
      <c r="B3020" s="1" t="s">
        <v>1279</v>
      </c>
      <c r="C3020" s="1" t="s">
        <v>1280</v>
      </c>
      <c r="D3020" s="1" t="s">
        <v>517</v>
      </c>
      <c r="E3020" s="1" t="s">
        <v>549</v>
      </c>
      <c r="F3020" s="1" t="s">
        <v>468</v>
      </c>
      <c r="G3020" s="1" t="s">
        <v>483</v>
      </c>
      <c r="H3020" s="1" t="n">
        <v>244</v>
      </c>
      <c r="I3020" s="1" t="str">
        <f aca="false">B3020&amp;"|"&amp;F3020&amp;"|"&amp;G3020</f>
        <v>College Classrooms|D|Good</v>
      </c>
      <c r="J3020" s="1" t="s">
        <v>1281</v>
      </c>
    </row>
    <row r="3021" customFormat="false" ht="12" hidden="false" customHeight="true" outlineLevel="0" collapsed="false">
      <c r="B3021" s="1" t="s">
        <v>1279</v>
      </c>
      <c r="C3021" s="1" t="s">
        <v>1280</v>
      </c>
      <c r="D3021" s="1" t="s">
        <v>517</v>
      </c>
      <c r="E3021" s="1" t="s">
        <v>549</v>
      </c>
      <c r="F3021" s="1" t="s">
        <v>468</v>
      </c>
      <c r="G3021" s="1" t="s">
        <v>279</v>
      </c>
      <c r="H3021" s="1" t="n">
        <v>190</v>
      </c>
      <c r="I3021" s="1" t="str">
        <f aca="false">B3021&amp;"|"&amp;F3021&amp;"|"&amp;G3021</f>
        <v>College Classrooms|D|Average</v>
      </c>
      <c r="J3021" s="1" t="s">
        <v>1281</v>
      </c>
    </row>
    <row r="3022" customFormat="false" ht="12" hidden="false" customHeight="true" outlineLevel="0" collapsed="false">
      <c r="B3022" s="1" t="s">
        <v>1279</v>
      </c>
      <c r="C3022" s="1" t="s">
        <v>1280</v>
      </c>
      <c r="D3022" s="1" t="s">
        <v>517</v>
      </c>
      <c r="E3022" s="1" t="s">
        <v>549</v>
      </c>
      <c r="F3022" s="1" t="s">
        <v>468</v>
      </c>
      <c r="G3022" s="1" t="s">
        <v>480</v>
      </c>
      <c r="H3022" s="1" t="n">
        <v>147</v>
      </c>
      <c r="I3022" s="1" t="str">
        <f aca="false">B3022&amp;"|"&amp;F3022&amp;"|"&amp;G3022</f>
        <v>College Classrooms|D|Low Cost</v>
      </c>
      <c r="J3022" s="1" t="s">
        <v>1281</v>
      </c>
    </row>
    <row r="3023" customFormat="false" ht="12" hidden="false" customHeight="true" outlineLevel="0" collapsed="false">
      <c r="B3023" s="1" t="s">
        <v>1279</v>
      </c>
      <c r="C3023" s="1" t="s">
        <v>1280</v>
      </c>
      <c r="D3023" s="1" t="s">
        <v>517</v>
      </c>
      <c r="E3023" s="1" t="s">
        <v>549</v>
      </c>
      <c r="F3023" s="1" t="s">
        <v>566</v>
      </c>
      <c r="G3023" s="1" t="s">
        <v>279</v>
      </c>
      <c r="H3023" s="1" t="n">
        <v>183</v>
      </c>
      <c r="I3023" s="1" t="str">
        <f aca="false">B3023&amp;"|"&amp;F3023&amp;"|"&amp;G3023</f>
        <v>College Classrooms|DPOLE|Average</v>
      </c>
      <c r="J3023" s="1" t="s">
        <v>1281</v>
      </c>
    </row>
    <row r="3024" customFormat="false" ht="12" hidden="false" customHeight="true" outlineLevel="0" collapsed="false">
      <c r="B3024" s="1" t="s">
        <v>1279</v>
      </c>
      <c r="C3024" s="1" t="s">
        <v>1280</v>
      </c>
      <c r="D3024" s="1" t="s">
        <v>517</v>
      </c>
      <c r="E3024" s="1" t="s">
        <v>549</v>
      </c>
      <c r="F3024" s="1" t="s">
        <v>566</v>
      </c>
      <c r="G3024" s="1" t="s">
        <v>480</v>
      </c>
      <c r="H3024" s="1" t="n">
        <v>140</v>
      </c>
      <c r="I3024" s="1" t="str">
        <f aca="false">B3024&amp;"|"&amp;F3024&amp;"|"&amp;G3024</f>
        <v>College Classrooms|DPOLE|Low Cost</v>
      </c>
      <c r="J3024" s="1" t="s">
        <v>1281</v>
      </c>
    </row>
    <row r="3025" customFormat="false" ht="12" hidden="false" customHeight="true" outlineLevel="0" collapsed="false">
      <c r="B3025" s="1" t="s">
        <v>1279</v>
      </c>
      <c r="C3025" s="1" t="s">
        <v>1280</v>
      </c>
      <c r="D3025" s="1" t="s">
        <v>517</v>
      </c>
      <c r="E3025" s="1" t="s">
        <v>549</v>
      </c>
      <c r="F3025" s="1" t="s">
        <v>473</v>
      </c>
      <c r="G3025" s="1" t="s">
        <v>483</v>
      </c>
      <c r="H3025" s="1" t="n">
        <v>238</v>
      </c>
      <c r="I3025" s="1" t="str">
        <f aca="false">B3025&amp;"|"&amp;F3025&amp;"|"&amp;G3025</f>
        <v>College Classrooms|S|Good</v>
      </c>
      <c r="J3025" s="1" t="s">
        <v>1281</v>
      </c>
    </row>
    <row r="3026" customFormat="false" ht="12" hidden="false" customHeight="true" outlineLevel="0" collapsed="false">
      <c r="B3026" s="1" t="s">
        <v>1279</v>
      </c>
      <c r="C3026" s="1" t="s">
        <v>1280</v>
      </c>
      <c r="D3026" s="1" t="s">
        <v>517</v>
      </c>
      <c r="E3026" s="1" t="s">
        <v>549</v>
      </c>
      <c r="F3026" s="1" t="s">
        <v>473</v>
      </c>
      <c r="G3026" s="1" t="s">
        <v>279</v>
      </c>
      <c r="H3026" s="1" t="n">
        <v>184</v>
      </c>
      <c r="I3026" s="1" t="str">
        <f aca="false">B3026&amp;"|"&amp;F3026&amp;"|"&amp;G3026</f>
        <v>College Classrooms|S|Average</v>
      </c>
      <c r="J3026" s="1" t="s">
        <v>1281</v>
      </c>
    </row>
    <row r="3027" customFormat="false" ht="12" hidden="false" customHeight="true" outlineLevel="0" collapsed="false">
      <c r="B3027" s="1" t="s">
        <v>1279</v>
      </c>
      <c r="C3027" s="1" t="s">
        <v>1280</v>
      </c>
      <c r="D3027" s="1" t="s">
        <v>517</v>
      </c>
      <c r="E3027" s="1" t="s">
        <v>549</v>
      </c>
      <c r="F3027" s="1" t="s">
        <v>473</v>
      </c>
      <c r="G3027" s="1" t="s">
        <v>480</v>
      </c>
      <c r="H3027" s="1" t="n">
        <v>142</v>
      </c>
      <c r="I3027" s="1" t="str">
        <f aca="false">B3027&amp;"|"&amp;F3027&amp;"|"&amp;G3027</f>
        <v>College Classrooms|S|Low Cost</v>
      </c>
      <c r="J3027" s="1" t="s">
        <v>1281</v>
      </c>
    </row>
    <row r="3028" customFormat="false" ht="12" hidden="false" customHeight="true" outlineLevel="0" collapsed="false">
      <c r="B3028" s="1" t="s">
        <v>1282</v>
      </c>
      <c r="C3028" s="1" t="s">
        <v>1283</v>
      </c>
      <c r="D3028" s="1" t="s">
        <v>517</v>
      </c>
      <c r="E3028" s="1" t="s">
        <v>553</v>
      </c>
      <c r="F3028" s="1" t="s">
        <v>523</v>
      </c>
      <c r="G3028" s="1" t="s">
        <v>483</v>
      </c>
      <c r="H3028" s="1" t="n">
        <v>317</v>
      </c>
      <c r="I3028" s="1" t="str">
        <f aca="false">B3028&amp;"|"&amp;F3028&amp;"|"&amp;G3028</f>
        <v>Technical Trades Buildings|A-B|Good</v>
      </c>
      <c r="J3028" s="1" t="s">
        <v>1284</v>
      </c>
    </row>
    <row r="3029" customFormat="false" ht="12" hidden="false" customHeight="true" outlineLevel="0" collapsed="false">
      <c r="B3029" s="1" t="s">
        <v>1282</v>
      </c>
      <c r="C3029" s="1" t="s">
        <v>1283</v>
      </c>
      <c r="D3029" s="1" t="s">
        <v>517</v>
      </c>
      <c r="E3029" s="1" t="s">
        <v>553</v>
      </c>
      <c r="F3029" s="1" t="s">
        <v>523</v>
      </c>
      <c r="G3029" s="1" t="s">
        <v>279</v>
      </c>
      <c r="H3029" s="1" t="n">
        <v>234</v>
      </c>
      <c r="I3029" s="1" t="str">
        <f aca="false">B3029&amp;"|"&amp;F3029&amp;"|"&amp;G3029</f>
        <v>Technical Trades Buildings|A-B|Average</v>
      </c>
      <c r="J3029" s="1" t="s">
        <v>1284</v>
      </c>
    </row>
    <row r="3030" customFormat="false" ht="12" hidden="false" customHeight="true" outlineLevel="0" collapsed="false">
      <c r="B3030" s="1" t="s">
        <v>1282</v>
      </c>
      <c r="C3030" s="1" t="s">
        <v>1283</v>
      </c>
      <c r="D3030" s="1" t="s">
        <v>517</v>
      </c>
      <c r="E3030" s="1" t="s">
        <v>553</v>
      </c>
      <c r="F3030" s="1" t="s">
        <v>523</v>
      </c>
      <c r="G3030" s="1" t="s">
        <v>480</v>
      </c>
      <c r="H3030" s="1" t="n">
        <v>178</v>
      </c>
      <c r="I3030" s="1" t="str">
        <f aca="false">B3030&amp;"|"&amp;F3030&amp;"|"&amp;G3030</f>
        <v>Technical Trades Buildings|A-B|Low Cost</v>
      </c>
      <c r="J3030" s="1" t="s">
        <v>1284</v>
      </c>
    </row>
    <row r="3031" customFormat="false" ht="12" hidden="false" customHeight="true" outlineLevel="0" collapsed="false">
      <c r="B3031" s="1" t="s">
        <v>1282</v>
      </c>
      <c r="C3031" s="1" t="s">
        <v>1283</v>
      </c>
      <c r="D3031" s="1" t="s">
        <v>517</v>
      </c>
      <c r="E3031" s="1" t="s">
        <v>553</v>
      </c>
      <c r="F3031" s="1" t="s">
        <v>463</v>
      </c>
      <c r="G3031" s="1" t="s">
        <v>483</v>
      </c>
      <c r="H3031" s="1" t="n">
        <v>232</v>
      </c>
      <c r="I3031" s="1" t="str">
        <f aca="false">B3031&amp;"|"&amp;F3031&amp;"|"&amp;G3031</f>
        <v>Technical Trades Buildings|C|Good</v>
      </c>
      <c r="J3031" s="1" t="s">
        <v>1284</v>
      </c>
    </row>
    <row r="3032" customFormat="false" ht="12" hidden="false" customHeight="true" outlineLevel="0" collapsed="false">
      <c r="B3032" s="1" t="s">
        <v>1282</v>
      </c>
      <c r="C3032" s="1" t="s">
        <v>1283</v>
      </c>
      <c r="D3032" s="1" t="s">
        <v>517</v>
      </c>
      <c r="E3032" s="1" t="s">
        <v>553</v>
      </c>
      <c r="F3032" s="1" t="s">
        <v>463</v>
      </c>
      <c r="G3032" s="1" t="s">
        <v>279</v>
      </c>
      <c r="H3032" s="1" t="n">
        <v>171</v>
      </c>
      <c r="I3032" s="1" t="str">
        <f aca="false">B3032&amp;"|"&amp;F3032&amp;"|"&amp;G3032</f>
        <v>Technical Trades Buildings|C|Average</v>
      </c>
      <c r="J3032" s="1" t="s">
        <v>1284</v>
      </c>
    </row>
    <row r="3033" customFormat="false" ht="12" hidden="false" customHeight="true" outlineLevel="0" collapsed="false">
      <c r="B3033" s="1" t="s">
        <v>1282</v>
      </c>
      <c r="C3033" s="1" t="s">
        <v>1283</v>
      </c>
      <c r="D3033" s="1" t="s">
        <v>517</v>
      </c>
      <c r="E3033" s="1" t="s">
        <v>553</v>
      </c>
      <c r="F3033" s="1" t="s">
        <v>463</v>
      </c>
      <c r="G3033" s="1" t="s">
        <v>480</v>
      </c>
      <c r="H3033" s="1" t="n">
        <v>133</v>
      </c>
      <c r="I3033" s="1" t="str">
        <f aca="false">B3033&amp;"|"&amp;F3033&amp;"|"&amp;G3033</f>
        <v>Technical Trades Buildings|C|Low Cost</v>
      </c>
      <c r="J3033" s="1" t="s">
        <v>1284</v>
      </c>
    </row>
    <row r="3034" customFormat="false" ht="12" hidden="false" customHeight="true" outlineLevel="0" collapsed="false">
      <c r="B3034" s="1" t="s">
        <v>1282</v>
      </c>
      <c r="C3034" s="1" t="s">
        <v>1283</v>
      </c>
      <c r="D3034" s="1" t="s">
        <v>517</v>
      </c>
      <c r="E3034" s="1" t="s">
        <v>553</v>
      </c>
      <c r="F3034" s="1" t="s">
        <v>468</v>
      </c>
      <c r="G3034" s="1" t="s">
        <v>483</v>
      </c>
      <c r="H3034" s="1" t="n">
        <v>228</v>
      </c>
      <c r="I3034" s="1" t="str">
        <f aca="false">B3034&amp;"|"&amp;F3034&amp;"|"&amp;G3034</f>
        <v>Technical Trades Buildings|D|Good</v>
      </c>
      <c r="J3034" s="1" t="s">
        <v>1284</v>
      </c>
    </row>
    <row r="3035" customFormat="false" ht="12" hidden="false" customHeight="true" outlineLevel="0" collapsed="false">
      <c r="B3035" s="1" t="s">
        <v>1282</v>
      </c>
      <c r="C3035" s="1" t="s">
        <v>1283</v>
      </c>
      <c r="D3035" s="1" t="s">
        <v>517</v>
      </c>
      <c r="E3035" s="1" t="s">
        <v>553</v>
      </c>
      <c r="F3035" s="1" t="s">
        <v>468</v>
      </c>
      <c r="G3035" s="1" t="s">
        <v>279</v>
      </c>
      <c r="H3035" s="1" t="n">
        <v>167</v>
      </c>
      <c r="I3035" s="1" t="str">
        <f aca="false">B3035&amp;"|"&amp;F3035&amp;"|"&amp;G3035</f>
        <v>Technical Trades Buildings|D|Average</v>
      </c>
      <c r="J3035" s="1" t="s">
        <v>1284</v>
      </c>
    </row>
    <row r="3036" customFormat="false" ht="12" hidden="false" customHeight="true" outlineLevel="0" collapsed="false">
      <c r="B3036" s="1" t="s">
        <v>1282</v>
      </c>
      <c r="C3036" s="1" t="s">
        <v>1283</v>
      </c>
      <c r="D3036" s="1" t="s">
        <v>517</v>
      </c>
      <c r="E3036" s="1" t="s">
        <v>553</v>
      </c>
      <c r="F3036" s="1" t="s">
        <v>468</v>
      </c>
      <c r="G3036" s="1" t="s">
        <v>480</v>
      </c>
      <c r="H3036" s="1" t="n">
        <v>129</v>
      </c>
      <c r="I3036" s="1" t="str">
        <f aca="false">B3036&amp;"|"&amp;F3036&amp;"|"&amp;G3036</f>
        <v>Technical Trades Buildings|D|Low Cost</v>
      </c>
      <c r="J3036" s="1" t="s">
        <v>1284</v>
      </c>
    </row>
    <row r="3037" customFormat="false" ht="12" hidden="false" customHeight="true" outlineLevel="0" collapsed="false">
      <c r="B3037" s="1" t="s">
        <v>1282</v>
      </c>
      <c r="C3037" s="1" t="s">
        <v>1283</v>
      </c>
      <c r="D3037" s="1" t="s">
        <v>517</v>
      </c>
      <c r="E3037" s="1" t="s">
        <v>553</v>
      </c>
      <c r="F3037" s="1" t="s">
        <v>566</v>
      </c>
      <c r="G3037" s="1" t="s">
        <v>279</v>
      </c>
      <c r="H3037" s="1" t="n">
        <v>161</v>
      </c>
      <c r="I3037" s="1" t="str">
        <f aca="false">B3037&amp;"|"&amp;F3037&amp;"|"&amp;G3037</f>
        <v>Technical Trades Buildings|DPOLE|Average</v>
      </c>
      <c r="J3037" s="1" t="s">
        <v>1284</v>
      </c>
    </row>
    <row r="3038" customFormat="false" ht="12" hidden="false" customHeight="true" outlineLevel="0" collapsed="false">
      <c r="B3038" s="1" t="s">
        <v>1282</v>
      </c>
      <c r="C3038" s="1" t="s">
        <v>1283</v>
      </c>
      <c r="D3038" s="1" t="s">
        <v>517</v>
      </c>
      <c r="E3038" s="1" t="s">
        <v>553</v>
      </c>
      <c r="F3038" s="1" t="s">
        <v>566</v>
      </c>
      <c r="G3038" s="1" t="s">
        <v>480</v>
      </c>
      <c r="H3038" s="1" t="n">
        <v>124</v>
      </c>
      <c r="I3038" s="1" t="str">
        <f aca="false">B3038&amp;"|"&amp;F3038&amp;"|"&amp;G3038</f>
        <v>Technical Trades Buildings|DPOLE|Low Cost</v>
      </c>
      <c r="J3038" s="1" t="s">
        <v>1284</v>
      </c>
    </row>
    <row r="3039" customFormat="false" ht="12" hidden="false" customHeight="true" outlineLevel="0" collapsed="false">
      <c r="B3039" s="1" t="s">
        <v>1282</v>
      </c>
      <c r="C3039" s="1" t="s">
        <v>1283</v>
      </c>
      <c r="D3039" s="1" t="s">
        <v>517</v>
      </c>
      <c r="E3039" s="1" t="s">
        <v>553</v>
      </c>
      <c r="F3039" s="1" t="s">
        <v>473</v>
      </c>
      <c r="G3039" s="1" t="s">
        <v>279</v>
      </c>
      <c r="H3039" s="1" t="n">
        <v>162</v>
      </c>
      <c r="I3039" s="1" t="str">
        <f aca="false">B3039&amp;"|"&amp;F3039&amp;"|"&amp;G3039</f>
        <v>Technical Trades Buildings|S|Average</v>
      </c>
      <c r="J3039" s="1" t="s">
        <v>1284</v>
      </c>
    </row>
    <row r="3040" customFormat="false" ht="12" hidden="false" customHeight="true" outlineLevel="0" collapsed="false">
      <c r="B3040" s="1" t="s">
        <v>1282</v>
      </c>
      <c r="C3040" s="1" t="s">
        <v>1283</v>
      </c>
      <c r="D3040" s="1" t="s">
        <v>517</v>
      </c>
      <c r="E3040" s="1" t="s">
        <v>553</v>
      </c>
      <c r="F3040" s="1" t="s">
        <v>473</v>
      </c>
      <c r="G3040" s="1" t="s">
        <v>480</v>
      </c>
      <c r="H3040" s="1" t="n">
        <v>125</v>
      </c>
      <c r="I3040" s="1" t="str">
        <f aca="false">B3040&amp;"|"&amp;F3040&amp;"|"&amp;G3040</f>
        <v>Technical Trades Buildings|S|Low Cost</v>
      </c>
      <c r="J3040" s="1" t="s">
        <v>1284</v>
      </c>
    </row>
    <row r="3041" customFormat="false" ht="12" hidden="false" customHeight="true" outlineLevel="0" collapsed="false">
      <c r="B3041" s="1" t="s">
        <v>1285</v>
      </c>
      <c r="C3041" s="1" t="s">
        <v>1286</v>
      </c>
      <c r="D3041" s="1" t="s">
        <v>517</v>
      </c>
      <c r="E3041" s="1" t="s">
        <v>553</v>
      </c>
      <c r="F3041" s="1" t="s">
        <v>523</v>
      </c>
      <c r="G3041" s="1" t="s">
        <v>485</v>
      </c>
      <c r="H3041" s="1" t="n">
        <v>445</v>
      </c>
      <c r="I3041" s="1" t="str">
        <f aca="false">B3041&amp;"|"&amp;F3041&amp;"|"&amp;G3041</f>
        <v>Lecture Hall Buildings|A-B|Excellent</v>
      </c>
      <c r="J3041" s="1" t="s">
        <v>1284</v>
      </c>
    </row>
    <row r="3042" customFormat="false" ht="12" hidden="false" customHeight="true" outlineLevel="0" collapsed="false">
      <c r="B3042" s="1" t="s">
        <v>1285</v>
      </c>
      <c r="C3042" s="1" t="s">
        <v>1286</v>
      </c>
      <c r="D3042" s="1" t="s">
        <v>517</v>
      </c>
      <c r="E3042" s="1" t="s">
        <v>553</v>
      </c>
      <c r="F3042" s="1" t="s">
        <v>523</v>
      </c>
      <c r="G3042" s="1" t="s">
        <v>483</v>
      </c>
      <c r="H3042" s="1" t="n">
        <v>354</v>
      </c>
      <c r="I3042" s="1" t="str">
        <f aca="false">B3042&amp;"|"&amp;F3042&amp;"|"&amp;G3042</f>
        <v>Lecture Hall Buildings|A-B|Good</v>
      </c>
      <c r="J3042" s="1" t="s">
        <v>1284</v>
      </c>
    </row>
    <row r="3043" customFormat="false" ht="12" hidden="false" customHeight="true" outlineLevel="0" collapsed="false">
      <c r="B3043" s="1" t="s">
        <v>1285</v>
      </c>
      <c r="C3043" s="1" t="s">
        <v>1286</v>
      </c>
      <c r="D3043" s="1" t="s">
        <v>517</v>
      </c>
      <c r="E3043" s="1" t="s">
        <v>553</v>
      </c>
      <c r="F3043" s="1" t="s">
        <v>523</v>
      </c>
      <c r="G3043" s="1" t="s">
        <v>279</v>
      </c>
      <c r="H3043" s="1" t="n">
        <v>284</v>
      </c>
      <c r="I3043" s="1" t="str">
        <f aca="false">B3043&amp;"|"&amp;F3043&amp;"|"&amp;G3043</f>
        <v>Lecture Hall Buildings|A-B|Average</v>
      </c>
      <c r="J3043" s="1" t="s">
        <v>1284</v>
      </c>
    </row>
    <row r="3044" customFormat="false" ht="12" hidden="false" customHeight="true" outlineLevel="0" collapsed="false">
      <c r="B3044" s="1" t="s">
        <v>1285</v>
      </c>
      <c r="C3044" s="1" t="s">
        <v>1286</v>
      </c>
      <c r="D3044" s="1" t="s">
        <v>517</v>
      </c>
      <c r="E3044" s="1" t="s">
        <v>553</v>
      </c>
      <c r="F3044" s="1" t="s">
        <v>463</v>
      </c>
      <c r="G3044" s="1" t="s">
        <v>485</v>
      </c>
      <c r="H3044" s="1" t="n">
        <v>363</v>
      </c>
      <c r="I3044" s="1" t="str">
        <f aca="false">B3044&amp;"|"&amp;F3044&amp;"|"&amp;G3044</f>
        <v>Lecture Hall Buildings|C|Excellent</v>
      </c>
      <c r="J3044" s="1" t="s">
        <v>1284</v>
      </c>
    </row>
    <row r="3045" customFormat="false" ht="12" hidden="false" customHeight="true" outlineLevel="0" collapsed="false">
      <c r="B3045" s="1" t="s">
        <v>1285</v>
      </c>
      <c r="C3045" s="1" t="s">
        <v>1286</v>
      </c>
      <c r="D3045" s="1" t="s">
        <v>517</v>
      </c>
      <c r="E3045" s="1" t="s">
        <v>553</v>
      </c>
      <c r="F3045" s="1" t="s">
        <v>463</v>
      </c>
      <c r="G3045" s="1" t="s">
        <v>483</v>
      </c>
      <c r="H3045" s="1" t="n">
        <v>285</v>
      </c>
      <c r="I3045" s="1" t="str">
        <f aca="false">B3045&amp;"|"&amp;F3045&amp;"|"&amp;G3045</f>
        <v>Lecture Hall Buildings|C|Good</v>
      </c>
      <c r="J3045" s="1" t="s">
        <v>1284</v>
      </c>
    </row>
    <row r="3046" customFormat="false" ht="12" hidden="false" customHeight="true" outlineLevel="0" collapsed="false">
      <c r="B3046" s="1" t="s">
        <v>1285</v>
      </c>
      <c r="C3046" s="1" t="s">
        <v>1286</v>
      </c>
      <c r="D3046" s="1" t="s">
        <v>517</v>
      </c>
      <c r="E3046" s="1" t="s">
        <v>553</v>
      </c>
      <c r="F3046" s="1" t="s">
        <v>463</v>
      </c>
      <c r="G3046" s="1" t="s">
        <v>279</v>
      </c>
      <c r="H3046" s="1" t="n">
        <v>212</v>
      </c>
      <c r="I3046" s="1" t="str">
        <f aca="false">B3046&amp;"|"&amp;F3046&amp;"|"&amp;G3046</f>
        <v>Lecture Hall Buildings|C|Average</v>
      </c>
      <c r="J3046" s="1" t="s">
        <v>1284</v>
      </c>
    </row>
    <row r="3047" customFormat="false" ht="12" hidden="false" customHeight="true" outlineLevel="0" collapsed="false">
      <c r="B3047" s="1" t="s">
        <v>1285</v>
      </c>
      <c r="C3047" s="1" t="s">
        <v>1286</v>
      </c>
      <c r="D3047" s="1" t="s">
        <v>517</v>
      </c>
      <c r="E3047" s="1" t="s">
        <v>553</v>
      </c>
      <c r="F3047" s="1" t="s">
        <v>468</v>
      </c>
      <c r="G3047" s="1" t="s">
        <v>483</v>
      </c>
      <c r="H3047" s="1" t="n">
        <v>274</v>
      </c>
      <c r="I3047" s="1" t="str">
        <f aca="false">B3047&amp;"|"&amp;F3047&amp;"|"&amp;G3047</f>
        <v>Lecture Hall Buildings|D|Good</v>
      </c>
      <c r="J3047" s="1" t="s">
        <v>1284</v>
      </c>
    </row>
    <row r="3048" customFormat="false" ht="12" hidden="false" customHeight="true" outlineLevel="0" collapsed="false">
      <c r="B3048" s="1" t="s">
        <v>1285</v>
      </c>
      <c r="C3048" s="1" t="s">
        <v>1286</v>
      </c>
      <c r="D3048" s="1" t="s">
        <v>517</v>
      </c>
      <c r="E3048" s="1" t="s">
        <v>553</v>
      </c>
      <c r="F3048" s="1" t="s">
        <v>468</v>
      </c>
      <c r="G3048" s="1" t="s">
        <v>279</v>
      </c>
      <c r="H3048" s="1" t="n">
        <v>204</v>
      </c>
      <c r="I3048" s="1" t="str">
        <f aca="false">B3048&amp;"|"&amp;F3048&amp;"|"&amp;G3048</f>
        <v>Lecture Hall Buildings|D|Average</v>
      </c>
      <c r="J3048" s="1" t="s">
        <v>1284</v>
      </c>
    </row>
    <row r="3049" customFormat="false" ht="12" hidden="false" customHeight="true" outlineLevel="0" collapsed="false">
      <c r="B3049" s="1" t="s">
        <v>1285</v>
      </c>
      <c r="C3049" s="1" t="s">
        <v>1286</v>
      </c>
      <c r="D3049" s="1" t="s">
        <v>517</v>
      </c>
      <c r="E3049" s="1" t="s">
        <v>553</v>
      </c>
      <c r="F3049" s="1" t="s">
        <v>473</v>
      </c>
      <c r="G3049" s="1" t="s">
        <v>279</v>
      </c>
      <c r="H3049" s="1" t="n">
        <v>196</v>
      </c>
      <c r="I3049" s="1" t="str">
        <f aca="false">B3049&amp;"|"&amp;F3049&amp;"|"&amp;G3049</f>
        <v>Lecture Hall Buildings|S|Average</v>
      </c>
      <c r="J3049" s="1" t="s">
        <v>1284</v>
      </c>
    </row>
    <row r="3050" customFormat="false" ht="12" hidden="false" customHeight="true" outlineLevel="0" collapsed="false">
      <c r="B3050" s="1" t="s">
        <v>1287</v>
      </c>
      <c r="C3050" s="1" t="s">
        <v>1288</v>
      </c>
      <c r="D3050" s="1" t="s">
        <v>517</v>
      </c>
      <c r="E3050" s="1" t="s">
        <v>562</v>
      </c>
      <c r="F3050" s="1" t="s">
        <v>523</v>
      </c>
      <c r="G3050" s="1" t="s">
        <v>485</v>
      </c>
      <c r="H3050" s="1" t="n">
        <v>470</v>
      </c>
      <c r="I3050" s="1" t="str">
        <f aca="false">B3050&amp;"|"&amp;F3050&amp;"|"&amp;G3050</f>
        <v>Arts &amp; Crafts Buildings|A-B|Excellent</v>
      </c>
      <c r="J3050" s="1" t="s">
        <v>1289</v>
      </c>
    </row>
    <row r="3051" customFormat="false" ht="12" hidden="false" customHeight="true" outlineLevel="0" collapsed="false">
      <c r="B3051" s="1" t="s">
        <v>1287</v>
      </c>
      <c r="C3051" s="1" t="s">
        <v>1288</v>
      </c>
      <c r="D3051" s="1" t="s">
        <v>517</v>
      </c>
      <c r="E3051" s="1" t="s">
        <v>562</v>
      </c>
      <c r="F3051" s="1" t="s">
        <v>523</v>
      </c>
      <c r="G3051" s="1" t="s">
        <v>483</v>
      </c>
      <c r="H3051" s="1" t="n">
        <v>359</v>
      </c>
      <c r="I3051" s="1" t="str">
        <f aca="false">B3051&amp;"|"&amp;F3051&amp;"|"&amp;G3051</f>
        <v>Arts &amp; Crafts Buildings|A-B|Good</v>
      </c>
      <c r="J3051" s="1" t="s">
        <v>1289</v>
      </c>
    </row>
    <row r="3052" customFormat="false" ht="12" hidden="false" customHeight="true" outlineLevel="0" collapsed="false">
      <c r="B3052" s="1" t="s">
        <v>1287</v>
      </c>
      <c r="C3052" s="1" t="s">
        <v>1288</v>
      </c>
      <c r="D3052" s="1" t="s">
        <v>517</v>
      </c>
      <c r="E3052" s="1" t="s">
        <v>562</v>
      </c>
      <c r="F3052" s="1" t="s">
        <v>523</v>
      </c>
      <c r="G3052" s="1" t="s">
        <v>279</v>
      </c>
      <c r="H3052" s="1" t="n">
        <v>277</v>
      </c>
      <c r="I3052" s="1" t="str">
        <f aca="false">B3052&amp;"|"&amp;F3052&amp;"|"&amp;G3052</f>
        <v>Arts &amp; Crafts Buildings|A-B|Average</v>
      </c>
      <c r="J3052" s="1" t="s">
        <v>1289</v>
      </c>
    </row>
    <row r="3053" customFormat="false" ht="12" hidden="false" customHeight="true" outlineLevel="0" collapsed="false">
      <c r="B3053" s="1" t="s">
        <v>1287</v>
      </c>
      <c r="C3053" s="1" t="s">
        <v>1288</v>
      </c>
      <c r="D3053" s="1" t="s">
        <v>517</v>
      </c>
      <c r="E3053" s="1" t="s">
        <v>562</v>
      </c>
      <c r="F3053" s="1" t="s">
        <v>523</v>
      </c>
      <c r="G3053" s="1" t="s">
        <v>480</v>
      </c>
      <c r="H3053" s="1" t="n">
        <v>201</v>
      </c>
      <c r="I3053" s="1" t="str">
        <f aca="false">B3053&amp;"|"&amp;F3053&amp;"|"&amp;G3053</f>
        <v>Arts &amp; Crafts Buildings|A-B|Low Cost</v>
      </c>
      <c r="J3053" s="1" t="s">
        <v>1289</v>
      </c>
    </row>
    <row r="3054" customFormat="false" ht="12" hidden="false" customHeight="true" outlineLevel="0" collapsed="false">
      <c r="B3054" s="1" t="s">
        <v>1287</v>
      </c>
      <c r="C3054" s="1" t="s">
        <v>1288</v>
      </c>
      <c r="D3054" s="1" t="s">
        <v>517</v>
      </c>
      <c r="E3054" s="1" t="s">
        <v>562</v>
      </c>
      <c r="F3054" s="1" t="s">
        <v>463</v>
      </c>
      <c r="G3054" s="1" t="s">
        <v>485</v>
      </c>
      <c r="H3054" s="1" t="n">
        <v>366</v>
      </c>
      <c r="I3054" s="1" t="str">
        <f aca="false">B3054&amp;"|"&amp;F3054&amp;"|"&amp;G3054</f>
        <v>Arts &amp; Crafts Buildings|C|Excellent</v>
      </c>
      <c r="J3054" s="1" t="s">
        <v>1289</v>
      </c>
    </row>
    <row r="3055" customFormat="false" ht="12" hidden="false" customHeight="true" outlineLevel="0" collapsed="false">
      <c r="B3055" s="1" t="s">
        <v>1287</v>
      </c>
      <c r="C3055" s="1" t="s">
        <v>1288</v>
      </c>
      <c r="D3055" s="1" t="s">
        <v>517</v>
      </c>
      <c r="E3055" s="1" t="s">
        <v>562</v>
      </c>
      <c r="F3055" s="1" t="s">
        <v>463</v>
      </c>
      <c r="G3055" s="1" t="s">
        <v>483</v>
      </c>
      <c r="H3055" s="1" t="n">
        <v>281</v>
      </c>
      <c r="I3055" s="1" t="str">
        <f aca="false">B3055&amp;"|"&amp;F3055&amp;"|"&amp;G3055</f>
        <v>Arts &amp; Crafts Buildings|C|Good</v>
      </c>
      <c r="J3055" s="1" t="s">
        <v>1289</v>
      </c>
    </row>
    <row r="3056" customFormat="false" ht="12" hidden="false" customHeight="true" outlineLevel="0" collapsed="false">
      <c r="B3056" s="1" t="s">
        <v>1287</v>
      </c>
      <c r="C3056" s="1" t="s">
        <v>1288</v>
      </c>
      <c r="D3056" s="1" t="s">
        <v>517</v>
      </c>
      <c r="E3056" s="1" t="s">
        <v>562</v>
      </c>
      <c r="F3056" s="1" t="s">
        <v>463</v>
      </c>
      <c r="G3056" s="1" t="s">
        <v>279</v>
      </c>
      <c r="H3056" s="1" t="n">
        <v>204</v>
      </c>
      <c r="I3056" s="1" t="str">
        <f aca="false">B3056&amp;"|"&amp;F3056&amp;"|"&amp;G3056</f>
        <v>Arts &amp; Crafts Buildings|C|Average</v>
      </c>
      <c r="J3056" s="1" t="s">
        <v>1289</v>
      </c>
    </row>
    <row r="3057" customFormat="false" ht="12" hidden="false" customHeight="true" outlineLevel="0" collapsed="false">
      <c r="B3057" s="1" t="s">
        <v>1287</v>
      </c>
      <c r="C3057" s="1" t="s">
        <v>1288</v>
      </c>
      <c r="D3057" s="1" t="s">
        <v>517</v>
      </c>
      <c r="E3057" s="1" t="s">
        <v>562</v>
      </c>
      <c r="F3057" s="1" t="s">
        <v>463</v>
      </c>
      <c r="G3057" s="1" t="s">
        <v>480</v>
      </c>
      <c r="H3057" s="1" t="n">
        <v>152</v>
      </c>
      <c r="I3057" s="1" t="str">
        <f aca="false">B3057&amp;"|"&amp;F3057&amp;"|"&amp;G3057</f>
        <v>Arts &amp; Crafts Buildings|C|Low Cost</v>
      </c>
      <c r="J3057" s="1" t="s">
        <v>1289</v>
      </c>
    </row>
    <row r="3058" customFormat="false" ht="12" hidden="false" customHeight="true" outlineLevel="0" collapsed="false">
      <c r="B3058" s="1" t="s">
        <v>1287</v>
      </c>
      <c r="C3058" s="1" t="s">
        <v>1288</v>
      </c>
      <c r="D3058" s="1" t="s">
        <v>517</v>
      </c>
      <c r="E3058" s="1" t="s">
        <v>562</v>
      </c>
      <c r="F3058" s="1" t="s">
        <v>468</v>
      </c>
      <c r="G3058" s="1" t="s">
        <v>483</v>
      </c>
      <c r="H3058" s="1" t="n">
        <v>276</v>
      </c>
      <c r="I3058" s="1" t="str">
        <f aca="false">B3058&amp;"|"&amp;F3058&amp;"|"&amp;G3058</f>
        <v>Arts &amp; Crafts Buildings|D|Good</v>
      </c>
      <c r="J3058" s="1" t="s">
        <v>1289</v>
      </c>
    </row>
    <row r="3059" customFormat="false" ht="12" hidden="false" customHeight="true" outlineLevel="0" collapsed="false">
      <c r="B3059" s="1" t="s">
        <v>1287</v>
      </c>
      <c r="C3059" s="1" t="s">
        <v>1288</v>
      </c>
      <c r="D3059" s="1" t="s">
        <v>517</v>
      </c>
      <c r="E3059" s="1" t="s">
        <v>562</v>
      </c>
      <c r="F3059" s="1" t="s">
        <v>468</v>
      </c>
      <c r="G3059" s="1" t="s">
        <v>279</v>
      </c>
      <c r="H3059" s="1" t="n">
        <v>198</v>
      </c>
      <c r="I3059" s="1" t="str">
        <f aca="false">B3059&amp;"|"&amp;F3059&amp;"|"&amp;G3059</f>
        <v>Arts &amp; Crafts Buildings|D|Average</v>
      </c>
      <c r="J3059" s="1" t="s">
        <v>1289</v>
      </c>
    </row>
    <row r="3060" customFormat="false" ht="12" hidden="false" customHeight="true" outlineLevel="0" collapsed="false">
      <c r="B3060" s="1" t="s">
        <v>1287</v>
      </c>
      <c r="C3060" s="1" t="s">
        <v>1288</v>
      </c>
      <c r="D3060" s="1" t="s">
        <v>517</v>
      </c>
      <c r="E3060" s="1" t="s">
        <v>562</v>
      </c>
      <c r="F3060" s="1" t="s">
        <v>468</v>
      </c>
      <c r="G3060" s="1" t="s">
        <v>480</v>
      </c>
      <c r="H3060" s="1" t="n">
        <v>147</v>
      </c>
      <c r="I3060" s="1" t="str">
        <f aca="false">B3060&amp;"|"&amp;F3060&amp;"|"&amp;G3060</f>
        <v>Arts &amp; Crafts Buildings|D|Low Cost</v>
      </c>
      <c r="J3060" s="1" t="s">
        <v>1289</v>
      </c>
    </row>
    <row r="3061" customFormat="false" ht="12" hidden="false" customHeight="true" outlineLevel="0" collapsed="false">
      <c r="B3061" s="1" t="s">
        <v>1287</v>
      </c>
      <c r="C3061" s="1" t="s">
        <v>1288</v>
      </c>
      <c r="D3061" s="1" t="s">
        <v>517</v>
      </c>
      <c r="E3061" s="1" t="s">
        <v>562</v>
      </c>
      <c r="F3061" s="1" t="s">
        <v>566</v>
      </c>
      <c r="G3061" s="1" t="s">
        <v>279</v>
      </c>
      <c r="H3061" s="1" t="n">
        <v>187</v>
      </c>
      <c r="I3061" s="1" t="str">
        <f aca="false">B3061&amp;"|"&amp;F3061&amp;"|"&amp;G3061</f>
        <v>Arts &amp; Crafts Buildings|DPOLE|Average</v>
      </c>
      <c r="J3061" s="1" t="s">
        <v>1289</v>
      </c>
    </row>
    <row r="3062" customFormat="false" ht="12" hidden="false" customHeight="true" outlineLevel="0" collapsed="false">
      <c r="B3062" s="1" t="s">
        <v>1287</v>
      </c>
      <c r="C3062" s="1" t="s">
        <v>1288</v>
      </c>
      <c r="D3062" s="1" t="s">
        <v>517</v>
      </c>
      <c r="E3062" s="1" t="s">
        <v>562</v>
      </c>
      <c r="F3062" s="1" t="s">
        <v>566</v>
      </c>
      <c r="G3062" s="1" t="s">
        <v>480</v>
      </c>
      <c r="H3062" s="1" t="n">
        <v>137</v>
      </c>
      <c r="I3062" s="1" t="str">
        <f aca="false">B3062&amp;"|"&amp;F3062&amp;"|"&amp;G3062</f>
        <v>Arts &amp; Crafts Buildings|DPOLE|Low Cost</v>
      </c>
      <c r="J3062" s="1" t="s">
        <v>1289</v>
      </c>
    </row>
    <row r="3063" customFormat="false" ht="12" hidden="false" customHeight="true" outlineLevel="0" collapsed="false">
      <c r="B3063" s="1" t="s">
        <v>1287</v>
      </c>
      <c r="C3063" s="1" t="s">
        <v>1288</v>
      </c>
      <c r="D3063" s="1" t="s">
        <v>517</v>
      </c>
      <c r="E3063" s="1" t="s">
        <v>562</v>
      </c>
      <c r="F3063" s="1" t="s">
        <v>473</v>
      </c>
      <c r="G3063" s="1" t="s">
        <v>279</v>
      </c>
      <c r="H3063" s="1" t="n">
        <v>191</v>
      </c>
      <c r="I3063" s="1" t="str">
        <f aca="false">B3063&amp;"|"&amp;F3063&amp;"|"&amp;G3063</f>
        <v>Arts &amp; Crafts Buildings|S|Average</v>
      </c>
      <c r="J3063" s="1" t="s">
        <v>1289</v>
      </c>
    </row>
    <row r="3064" customFormat="false" ht="12" hidden="false" customHeight="true" outlineLevel="0" collapsed="false">
      <c r="B3064" s="1" t="s">
        <v>1287</v>
      </c>
      <c r="C3064" s="1" t="s">
        <v>1288</v>
      </c>
      <c r="D3064" s="1" t="s">
        <v>517</v>
      </c>
      <c r="E3064" s="1" t="s">
        <v>562</v>
      </c>
      <c r="F3064" s="1" t="s">
        <v>473</v>
      </c>
      <c r="G3064" s="1" t="s">
        <v>480</v>
      </c>
      <c r="H3064" s="1" t="n">
        <v>141</v>
      </c>
      <c r="I3064" s="1" t="str">
        <f aca="false">B3064&amp;"|"&amp;F3064&amp;"|"&amp;G3064</f>
        <v>Arts &amp; Crafts Buildings|S|Low Cost</v>
      </c>
      <c r="J3064" s="1" t="s">
        <v>1289</v>
      </c>
    </row>
    <row r="3065" customFormat="false" ht="12" hidden="false" customHeight="true" outlineLevel="0" collapsed="false">
      <c r="B3065" s="1" t="s">
        <v>1290</v>
      </c>
      <c r="C3065" s="1" t="s">
        <v>1291</v>
      </c>
      <c r="D3065" s="1" t="s">
        <v>517</v>
      </c>
      <c r="E3065" s="1" t="s">
        <v>570</v>
      </c>
      <c r="F3065" s="1" t="s">
        <v>523</v>
      </c>
      <c r="G3065" s="1" t="s">
        <v>485</v>
      </c>
      <c r="H3065" s="1" t="n">
        <v>494</v>
      </c>
      <c r="I3065" s="1" t="str">
        <f aca="false">B3065&amp;"|"&amp;F3065&amp;"|"&amp;G3065</f>
        <v>Science Buildings|A-B|Excellent</v>
      </c>
      <c r="J3065" s="1" t="s">
        <v>1292</v>
      </c>
    </row>
    <row r="3066" customFormat="false" ht="12" hidden="false" customHeight="true" outlineLevel="0" collapsed="false">
      <c r="B3066" s="1" t="s">
        <v>1290</v>
      </c>
      <c r="C3066" s="1" t="s">
        <v>1291</v>
      </c>
      <c r="D3066" s="1" t="s">
        <v>517</v>
      </c>
      <c r="E3066" s="1" t="s">
        <v>570</v>
      </c>
      <c r="F3066" s="1" t="s">
        <v>523</v>
      </c>
      <c r="G3066" s="1" t="s">
        <v>483</v>
      </c>
      <c r="H3066" s="1" t="n">
        <v>387</v>
      </c>
      <c r="I3066" s="1" t="str">
        <f aca="false">B3066&amp;"|"&amp;F3066&amp;"|"&amp;G3066</f>
        <v>Science Buildings|A-B|Good</v>
      </c>
      <c r="J3066" s="1" t="s">
        <v>1292</v>
      </c>
    </row>
    <row r="3067" customFormat="false" ht="12" hidden="false" customHeight="true" outlineLevel="0" collapsed="false">
      <c r="B3067" s="1" t="s">
        <v>1290</v>
      </c>
      <c r="C3067" s="1" t="s">
        <v>1291</v>
      </c>
      <c r="D3067" s="1" t="s">
        <v>517</v>
      </c>
      <c r="E3067" s="1" t="s">
        <v>570</v>
      </c>
      <c r="F3067" s="1" t="s">
        <v>523</v>
      </c>
      <c r="G3067" s="1" t="s">
        <v>279</v>
      </c>
      <c r="H3067" s="1" t="n">
        <v>304</v>
      </c>
      <c r="I3067" s="1" t="str">
        <f aca="false">B3067&amp;"|"&amp;F3067&amp;"|"&amp;G3067</f>
        <v>Science Buildings|A-B|Average</v>
      </c>
      <c r="J3067" s="1" t="s">
        <v>1292</v>
      </c>
    </row>
    <row r="3068" customFormat="false" ht="12" hidden="false" customHeight="true" outlineLevel="0" collapsed="false">
      <c r="B3068" s="1" t="s">
        <v>1290</v>
      </c>
      <c r="C3068" s="1" t="s">
        <v>1291</v>
      </c>
      <c r="D3068" s="1" t="s">
        <v>517</v>
      </c>
      <c r="E3068" s="1" t="s">
        <v>570</v>
      </c>
      <c r="F3068" s="1" t="s">
        <v>523</v>
      </c>
      <c r="G3068" s="1" t="s">
        <v>480</v>
      </c>
      <c r="H3068" s="1" t="n">
        <v>238</v>
      </c>
      <c r="I3068" s="1" t="str">
        <f aca="false">B3068&amp;"|"&amp;F3068&amp;"|"&amp;G3068</f>
        <v>Science Buildings|A-B|Low Cost</v>
      </c>
      <c r="J3068" s="1" t="s">
        <v>1292</v>
      </c>
    </row>
    <row r="3069" customFormat="false" ht="12" hidden="false" customHeight="true" outlineLevel="0" collapsed="false">
      <c r="B3069" s="1" t="s">
        <v>1290</v>
      </c>
      <c r="C3069" s="1" t="s">
        <v>1291</v>
      </c>
      <c r="D3069" s="1" t="s">
        <v>517</v>
      </c>
      <c r="E3069" s="1" t="s">
        <v>570</v>
      </c>
      <c r="F3069" s="1" t="s">
        <v>463</v>
      </c>
      <c r="G3069" s="1" t="s">
        <v>485</v>
      </c>
      <c r="H3069" s="1" t="n">
        <v>386</v>
      </c>
      <c r="I3069" s="1" t="str">
        <f aca="false">B3069&amp;"|"&amp;F3069&amp;"|"&amp;G3069</f>
        <v>Science Buildings|C|Excellent</v>
      </c>
      <c r="J3069" s="1" t="s">
        <v>1292</v>
      </c>
    </row>
    <row r="3070" customFormat="false" ht="12" hidden="false" customHeight="true" outlineLevel="0" collapsed="false">
      <c r="B3070" s="1" t="s">
        <v>1290</v>
      </c>
      <c r="C3070" s="1" t="s">
        <v>1291</v>
      </c>
      <c r="D3070" s="1" t="s">
        <v>517</v>
      </c>
      <c r="E3070" s="1" t="s">
        <v>570</v>
      </c>
      <c r="F3070" s="1" t="s">
        <v>463</v>
      </c>
      <c r="G3070" s="1" t="s">
        <v>483</v>
      </c>
      <c r="H3070" s="1" t="n">
        <v>306</v>
      </c>
      <c r="I3070" s="1" t="str">
        <f aca="false">B3070&amp;"|"&amp;F3070&amp;"|"&amp;G3070</f>
        <v>Science Buildings|C|Good</v>
      </c>
      <c r="J3070" s="1" t="s">
        <v>1292</v>
      </c>
    </row>
    <row r="3071" customFormat="false" ht="12" hidden="false" customHeight="true" outlineLevel="0" collapsed="false">
      <c r="B3071" s="1" t="s">
        <v>1290</v>
      </c>
      <c r="C3071" s="1" t="s">
        <v>1291</v>
      </c>
      <c r="D3071" s="1" t="s">
        <v>517</v>
      </c>
      <c r="E3071" s="1" t="s">
        <v>570</v>
      </c>
      <c r="F3071" s="1" t="s">
        <v>463</v>
      </c>
      <c r="G3071" s="1" t="s">
        <v>279</v>
      </c>
      <c r="H3071" s="1" t="n">
        <v>243</v>
      </c>
      <c r="I3071" s="1" t="str">
        <f aca="false">B3071&amp;"|"&amp;F3071&amp;"|"&amp;G3071</f>
        <v>Science Buildings|C|Average</v>
      </c>
      <c r="J3071" s="1" t="s">
        <v>1292</v>
      </c>
    </row>
    <row r="3072" customFormat="false" ht="12" hidden="false" customHeight="true" outlineLevel="0" collapsed="false">
      <c r="B3072" s="1" t="s">
        <v>1290</v>
      </c>
      <c r="C3072" s="1" t="s">
        <v>1291</v>
      </c>
      <c r="D3072" s="1" t="s">
        <v>517</v>
      </c>
      <c r="E3072" s="1" t="s">
        <v>570</v>
      </c>
      <c r="F3072" s="1" t="s">
        <v>463</v>
      </c>
      <c r="G3072" s="1" t="s">
        <v>480</v>
      </c>
      <c r="H3072" s="1" t="n">
        <v>193</v>
      </c>
      <c r="I3072" s="1" t="str">
        <f aca="false">B3072&amp;"|"&amp;F3072&amp;"|"&amp;G3072</f>
        <v>Science Buildings|C|Low Cost</v>
      </c>
      <c r="J3072" s="1" t="s">
        <v>1292</v>
      </c>
    </row>
    <row r="3073" customFormat="false" ht="12" hidden="false" customHeight="true" outlineLevel="0" collapsed="false">
      <c r="B3073" s="1" t="s">
        <v>1290</v>
      </c>
      <c r="C3073" s="1" t="s">
        <v>1291</v>
      </c>
      <c r="D3073" s="1" t="s">
        <v>517</v>
      </c>
      <c r="E3073" s="1" t="s">
        <v>570</v>
      </c>
      <c r="F3073" s="1" t="s">
        <v>468</v>
      </c>
      <c r="G3073" s="1" t="s">
        <v>485</v>
      </c>
      <c r="H3073" s="1" t="n">
        <v>382</v>
      </c>
      <c r="I3073" s="1" t="str">
        <f aca="false">B3073&amp;"|"&amp;F3073&amp;"|"&amp;G3073</f>
        <v>Science Buildings|D|Excellent</v>
      </c>
      <c r="J3073" s="1" t="s">
        <v>1292</v>
      </c>
    </row>
    <row r="3074" customFormat="false" ht="12" hidden="false" customHeight="true" outlineLevel="0" collapsed="false">
      <c r="B3074" s="1" t="s">
        <v>1290</v>
      </c>
      <c r="C3074" s="1" t="s">
        <v>1291</v>
      </c>
      <c r="D3074" s="1" t="s">
        <v>517</v>
      </c>
      <c r="E3074" s="1" t="s">
        <v>570</v>
      </c>
      <c r="F3074" s="1" t="s">
        <v>468</v>
      </c>
      <c r="G3074" s="1" t="s">
        <v>483</v>
      </c>
      <c r="H3074" s="1" t="n">
        <v>301</v>
      </c>
      <c r="I3074" s="1" t="str">
        <f aca="false">B3074&amp;"|"&amp;F3074&amp;"|"&amp;G3074</f>
        <v>Science Buildings|D|Good</v>
      </c>
      <c r="J3074" s="1" t="s">
        <v>1292</v>
      </c>
    </row>
    <row r="3075" customFormat="false" ht="12" hidden="false" customHeight="true" outlineLevel="0" collapsed="false">
      <c r="B3075" s="1" t="s">
        <v>1290</v>
      </c>
      <c r="C3075" s="1" t="s">
        <v>1291</v>
      </c>
      <c r="D3075" s="1" t="s">
        <v>517</v>
      </c>
      <c r="E3075" s="1" t="s">
        <v>570</v>
      </c>
      <c r="F3075" s="1" t="s">
        <v>468</v>
      </c>
      <c r="G3075" s="1" t="s">
        <v>279</v>
      </c>
      <c r="H3075" s="1" t="n">
        <v>237</v>
      </c>
      <c r="I3075" s="1" t="str">
        <f aca="false">B3075&amp;"|"&amp;F3075&amp;"|"&amp;G3075</f>
        <v>Science Buildings|D|Average</v>
      </c>
      <c r="J3075" s="1" t="s">
        <v>1292</v>
      </c>
    </row>
    <row r="3076" customFormat="false" ht="12" hidden="false" customHeight="true" outlineLevel="0" collapsed="false">
      <c r="B3076" s="1" t="s">
        <v>1290</v>
      </c>
      <c r="C3076" s="1" t="s">
        <v>1291</v>
      </c>
      <c r="D3076" s="1" t="s">
        <v>517</v>
      </c>
      <c r="E3076" s="1" t="s">
        <v>570</v>
      </c>
      <c r="F3076" s="1" t="s">
        <v>468</v>
      </c>
      <c r="G3076" s="1" t="s">
        <v>480</v>
      </c>
      <c r="H3076" s="1" t="n">
        <v>188</v>
      </c>
      <c r="I3076" s="1" t="str">
        <f aca="false">B3076&amp;"|"&amp;F3076&amp;"|"&amp;G3076</f>
        <v>Science Buildings|D|Low Cost</v>
      </c>
      <c r="J3076" s="1" t="s">
        <v>1292</v>
      </c>
    </row>
    <row r="3077" customFormat="false" ht="12" hidden="false" customHeight="true" outlineLevel="0" collapsed="false">
      <c r="B3077" s="1" t="s">
        <v>1290</v>
      </c>
      <c r="C3077" s="1" t="s">
        <v>1291</v>
      </c>
      <c r="D3077" s="1" t="s">
        <v>517</v>
      </c>
      <c r="E3077" s="1" t="s">
        <v>570</v>
      </c>
      <c r="F3077" s="1" t="s">
        <v>566</v>
      </c>
      <c r="G3077" s="1" t="s">
        <v>279</v>
      </c>
      <c r="H3077" s="1" t="n">
        <v>230</v>
      </c>
      <c r="I3077" s="1" t="str">
        <f aca="false">B3077&amp;"|"&amp;F3077&amp;"|"&amp;G3077</f>
        <v>Science Buildings|DPOLE|Average</v>
      </c>
      <c r="J3077" s="1" t="s">
        <v>1292</v>
      </c>
    </row>
    <row r="3078" customFormat="false" ht="12" hidden="false" customHeight="true" outlineLevel="0" collapsed="false">
      <c r="B3078" s="1" t="s">
        <v>1290</v>
      </c>
      <c r="C3078" s="1" t="s">
        <v>1291</v>
      </c>
      <c r="D3078" s="1" t="s">
        <v>517</v>
      </c>
      <c r="E3078" s="1" t="s">
        <v>570</v>
      </c>
      <c r="F3078" s="1" t="s">
        <v>566</v>
      </c>
      <c r="G3078" s="1" t="s">
        <v>480</v>
      </c>
      <c r="H3078" s="1" t="n">
        <v>180</v>
      </c>
      <c r="I3078" s="1" t="str">
        <f aca="false">B3078&amp;"|"&amp;F3078&amp;"|"&amp;G3078</f>
        <v>Science Buildings|DPOLE|Low Cost</v>
      </c>
      <c r="J3078" s="1" t="s">
        <v>1292</v>
      </c>
    </row>
    <row r="3079" customFormat="false" ht="12" hidden="false" customHeight="true" outlineLevel="0" collapsed="false">
      <c r="B3079" s="1" t="s">
        <v>1290</v>
      </c>
      <c r="C3079" s="1" t="s">
        <v>1291</v>
      </c>
      <c r="D3079" s="1" t="s">
        <v>517</v>
      </c>
      <c r="E3079" s="1" t="s">
        <v>570</v>
      </c>
      <c r="F3079" s="1" t="s">
        <v>473</v>
      </c>
      <c r="G3079" s="1" t="s">
        <v>483</v>
      </c>
      <c r="H3079" s="1" t="n">
        <v>295</v>
      </c>
      <c r="I3079" s="1" t="str">
        <f aca="false">B3079&amp;"|"&amp;F3079&amp;"|"&amp;G3079</f>
        <v>Science Buildings|S|Good</v>
      </c>
      <c r="J3079" s="1" t="s">
        <v>1292</v>
      </c>
    </row>
    <row r="3080" customFormat="false" ht="12" hidden="false" customHeight="true" outlineLevel="0" collapsed="false">
      <c r="B3080" s="1" t="s">
        <v>1290</v>
      </c>
      <c r="C3080" s="1" t="s">
        <v>1291</v>
      </c>
      <c r="D3080" s="1" t="s">
        <v>517</v>
      </c>
      <c r="E3080" s="1" t="s">
        <v>570</v>
      </c>
      <c r="F3080" s="1" t="s">
        <v>473</v>
      </c>
      <c r="G3080" s="1" t="s">
        <v>279</v>
      </c>
      <c r="H3080" s="1" t="n">
        <v>230</v>
      </c>
      <c r="I3080" s="1" t="str">
        <f aca="false">B3080&amp;"|"&amp;F3080&amp;"|"&amp;G3080</f>
        <v>Science Buildings|S|Average</v>
      </c>
      <c r="J3080" s="1" t="s">
        <v>1292</v>
      </c>
    </row>
    <row r="3081" customFormat="false" ht="12" hidden="false" customHeight="true" outlineLevel="0" collapsed="false">
      <c r="B3081" s="1" t="s">
        <v>1290</v>
      </c>
      <c r="C3081" s="1" t="s">
        <v>1291</v>
      </c>
      <c r="D3081" s="1" t="s">
        <v>517</v>
      </c>
      <c r="E3081" s="1" t="s">
        <v>570</v>
      </c>
      <c r="F3081" s="1" t="s">
        <v>473</v>
      </c>
      <c r="G3081" s="1" t="s">
        <v>480</v>
      </c>
      <c r="H3081" s="1" t="n">
        <v>181</v>
      </c>
      <c r="I3081" s="1" t="str">
        <f aca="false">B3081&amp;"|"&amp;F3081&amp;"|"&amp;G3081</f>
        <v>Science Buildings|S|Low Cost</v>
      </c>
      <c r="J3081" s="1" t="s">
        <v>1292</v>
      </c>
    </row>
    <row r="3082" customFormat="false" ht="12" hidden="false" customHeight="true" outlineLevel="0" collapsed="false">
      <c r="B3082" s="1" t="s">
        <v>1293</v>
      </c>
      <c r="C3082" s="1" t="s">
        <v>1294</v>
      </c>
      <c r="D3082" s="1" t="s">
        <v>517</v>
      </c>
      <c r="E3082" s="1" t="s">
        <v>576</v>
      </c>
      <c r="F3082" s="1" t="s">
        <v>523</v>
      </c>
      <c r="G3082" s="1" t="s">
        <v>485</v>
      </c>
      <c r="H3082" s="1" t="n">
        <v>431</v>
      </c>
      <c r="I3082" s="1" t="str">
        <f aca="false">B3082&amp;"|"&amp;F3082&amp;"|"&amp;G3082</f>
        <v>Commons|A-B|Excellent</v>
      </c>
      <c r="J3082" s="1" t="s">
        <v>1295</v>
      </c>
    </row>
    <row r="3083" customFormat="false" ht="12" hidden="false" customHeight="true" outlineLevel="0" collapsed="false">
      <c r="B3083" s="1" t="s">
        <v>1293</v>
      </c>
      <c r="C3083" s="1" t="s">
        <v>1294</v>
      </c>
      <c r="D3083" s="1" t="s">
        <v>517</v>
      </c>
      <c r="E3083" s="1" t="s">
        <v>576</v>
      </c>
      <c r="F3083" s="1" t="s">
        <v>523</v>
      </c>
      <c r="G3083" s="1" t="s">
        <v>483</v>
      </c>
      <c r="H3083" s="1" t="n">
        <v>349</v>
      </c>
      <c r="I3083" s="1" t="str">
        <f aca="false">B3083&amp;"|"&amp;F3083&amp;"|"&amp;G3083</f>
        <v>Commons|A-B|Good</v>
      </c>
      <c r="J3083" s="1" t="s">
        <v>1295</v>
      </c>
    </row>
    <row r="3084" customFormat="false" ht="12" hidden="false" customHeight="true" outlineLevel="0" collapsed="false">
      <c r="B3084" s="1" t="s">
        <v>1293</v>
      </c>
      <c r="C3084" s="1" t="s">
        <v>1294</v>
      </c>
      <c r="D3084" s="1" t="s">
        <v>517</v>
      </c>
      <c r="E3084" s="1" t="s">
        <v>576</v>
      </c>
      <c r="F3084" s="1" t="s">
        <v>523</v>
      </c>
      <c r="G3084" s="1" t="s">
        <v>279</v>
      </c>
      <c r="H3084" s="1" t="n">
        <v>284</v>
      </c>
      <c r="I3084" s="1" t="str">
        <f aca="false">B3084&amp;"|"&amp;F3084&amp;"|"&amp;G3084</f>
        <v>Commons|A-B|Average</v>
      </c>
      <c r="J3084" s="1" t="s">
        <v>1295</v>
      </c>
    </row>
    <row r="3085" customFormat="false" ht="12" hidden="false" customHeight="true" outlineLevel="0" collapsed="false">
      <c r="B3085" s="1" t="s">
        <v>1293</v>
      </c>
      <c r="C3085" s="1" t="s">
        <v>1294</v>
      </c>
      <c r="D3085" s="1" t="s">
        <v>517</v>
      </c>
      <c r="E3085" s="1" t="s">
        <v>576</v>
      </c>
      <c r="F3085" s="1" t="s">
        <v>463</v>
      </c>
      <c r="G3085" s="1" t="s">
        <v>485</v>
      </c>
      <c r="H3085" s="1" t="n">
        <v>383</v>
      </c>
      <c r="I3085" s="1" t="str">
        <f aca="false">B3085&amp;"|"&amp;F3085&amp;"|"&amp;G3085</f>
        <v>Commons|C|Excellent</v>
      </c>
      <c r="J3085" s="1" t="s">
        <v>1295</v>
      </c>
    </row>
    <row r="3086" customFormat="false" ht="12" hidden="false" customHeight="true" outlineLevel="0" collapsed="false">
      <c r="B3086" s="1" t="s">
        <v>1293</v>
      </c>
      <c r="C3086" s="1" t="s">
        <v>1294</v>
      </c>
      <c r="D3086" s="1" t="s">
        <v>517</v>
      </c>
      <c r="E3086" s="1" t="s">
        <v>576</v>
      </c>
      <c r="F3086" s="1" t="s">
        <v>463</v>
      </c>
      <c r="G3086" s="1" t="s">
        <v>483</v>
      </c>
      <c r="H3086" s="1" t="n">
        <v>302</v>
      </c>
      <c r="I3086" s="1" t="str">
        <f aca="false">B3086&amp;"|"&amp;F3086&amp;"|"&amp;G3086</f>
        <v>Commons|C|Good</v>
      </c>
      <c r="J3086" s="1" t="s">
        <v>1295</v>
      </c>
    </row>
    <row r="3087" customFormat="false" ht="12" hidden="false" customHeight="true" outlineLevel="0" collapsed="false">
      <c r="B3087" s="1" t="s">
        <v>1293</v>
      </c>
      <c r="C3087" s="1" t="s">
        <v>1294</v>
      </c>
      <c r="D3087" s="1" t="s">
        <v>517</v>
      </c>
      <c r="E3087" s="1" t="s">
        <v>576</v>
      </c>
      <c r="F3087" s="1" t="s">
        <v>463</v>
      </c>
      <c r="G3087" s="1" t="s">
        <v>279</v>
      </c>
      <c r="H3087" s="1" t="n">
        <v>226</v>
      </c>
      <c r="I3087" s="1" t="str">
        <f aca="false">B3087&amp;"|"&amp;F3087&amp;"|"&amp;G3087</f>
        <v>Commons|C|Average</v>
      </c>
      <c r="J3087" s="1" t="s">
        <v>1295</v>
      </c>
    </row>
    <row r="3088" customFormat="false" ht="12" hidden="false" customHeight="true" outlineLevel="0" collapsed="false">
      <c r="B3088" s="1" t="s">
        <v>1293</v>
      </c>
      <c r="C3088" s="1" t="s">
        <v>1294</v>
      </c>
      <c r="D3088" s="1" t="s">
        <v>517</v>
      </c>
      <c r="E3088" s="1" t="s">
        <v>576</v>
      </c>
      <c r="F3088" s="1" t="s">
        <v>463</v>
      </c>
      <c r="G3088" s="1" t="s">
        <v>480</v>
      </c>
      <c r="H3088" s="1" t="n">
        <v>174</v>
      </c>
      <c r="I3088" s="1" t="str">
        <f aca="false">B3088&amp;"|"&amp;F3088&amp;"|"&amp;G3088</f>
        <v>Commons|C|Low Cost</v>
      </c>
      <c r="J3088" s="1" t="s">
        <v>1295</v>
      </c>
    </row>
    <row r="3089" customFormat="false" ht="12" hidden="false" customHeight="true" outlineLevel="0" collapsed="false">
      <c r="B3089" s="1" t="s">
        <v>1293</v>
      </c>
      <c r="C3089" s="1" t="s">
        <v>1294</v>
      </c>
      <c r="D3089" s="1" t="s">
        <v>517</v>
      </c>
      <c r="E3089" s="1" t="s">
        <v>576</v>
      </c>
      <c r="F3089" s="1" t="s">
        <v>468</v>
      </c>
      <c r="G3089" s="1" t="s">
        <v>483</v>
      </c>
      <c r="H3089" s="1" t="n">
        <v>297</v>
      </c>
      <c r="I3089" s="1" t="str">
        <f aca="false">B3089&amp;"|"&amp;F3089&amp;"|"&amp;G3089</f>
        <v>Commons|D|Good</v>
      </c>
      <c r="J3089" s="1" t="s">
        <v>1295</v>
      </c>
    </row>
    <row r="3090" customFormat="false" ht="12" hidden="false" customHeight="true" outlineLevel="0" collapsed="false">
      <c r="B3090" s="1" t="s">
        <v>1293</v>
      </c>
      <c r="C3090" s="1" t="s">
        <v>1294</v>
      </c>
      <c r="D3090" s="1" t="s">
        <v>517</v>
      </c>
      <c r="E3090" s="1" t="s">
        <v>576</v>
      </c>
      <c r="F3090" s="1" t="s">
        <v>468</v>
      </c>
      <c r="G3090" s="1" t="s">
        <v>279</v>
      </c>
      <c r="H3090" s="1" t="n">
        <v>221</v>
      </c>
      <c r="I3090" s="1" t="str">
        <f aca="false">B3090&amp;"|"&amp;F3090&amp;"|"&amp;G3090</f>
        <v>Commons|D|Average</v>
      </c>
      <c r="J3090" s="1" t="s">
        <v>1295</v>
      </c>
    </row>
    <row r="3091" customFormat="false" ht="12" hidden="false" customHeight="true" outlineLevel="0" collapsed="false">
      <c r="B3091" s="1" t="s">
        <v>1293</v>
      </c>
      <c r="C3091" s="1" t="s">
        <v>1294</v>
      </c>
      <c r="D3091" s="1" t="s">
        <v>517</v>
      </c>
      <c r="E3091" s="1" t="s">
        <v>576</v>
      </c>
      <c r="F3091" s="1" t="s">
        <v>468</v>
      </c>
      <c r="G3091" s="1" t="s">
        <v>480</v>
      </c>
      <c r="H3091" s="1" t="n">
        <v>169</v>
      </c>
      <c r="I3091" s="1" t="str">
        <f aca="false">B3091&amp;"|"&amp;F3091&amp;"|"&amp;G3091</f>
        <v>Commons|D|Low Cost</v>
      </c>
      <c r="J3091" s="1" t="s">
        <v>1295</v>
      </c>
    </row>
    <row r="3092" customFormat="false" ht="12" hidden="false" customHeight="true" outlineLevel="0" collapsed="false">
      <c r="B3092" s="1" t="s">
        <v>1293</v>
      </c>
      <c r="C3092" s="1" t="s">
        <v>1294</v>
      </c>
      <c r="D3092" s="1" t="s">
        <v>517</v>
      </c>
      <c r="E3092" s="1" t="s">
        <v>576</v>
      </c>
      <c r="F3092" s="1" t="s">
        <v>566</v>
      </c>
      <c r="G3092" s="1" t="s">
        <v>480</v>
      </c>
      <c r="H3092" s="1" t="n">
        <v>163</v>
      </c>
      <c r="I3092" s="1" t="str">
        <f aca="false">B3092&amp;"|"&amp;F3092&amp;"|"&amp;G3092</f>
        <v>Commons|DPOLE|Low Cost</v>
      </c>
      <c r="J3092" s="1" t="s">
        <v>1295</v>
      </c>
    </row>
    <row r="3093" customFormat="false" ht="12" hidden="false" customHeight="true" outlineLevel="0" collapsed="false">
      <c r="B3093" s="1" t="s">
        <v>1293</v>
      </c>
      <c r="C3093" s="1" t="s">
        <v>1294</v>
      </c>
      <c r="D3093" s="1" t="s">
        <v>517</v>
      </c>
      <c r="E3093" s="1" t="s">
        <v>576</v>
      </c>
      <c r="F3093" s="1" t="s">
        <v>473</v>
      </c>
      <c r="G3093" s="1" t="s">
        <v>480</v>
      </c>
      <c r="H3093" s="1" t="n">
        <v>164</v>
      </c>
      <c r="I3093" s="1" t="str">
        <f aca="false">B3093&amp;"|"&amp;F3093&amp;"|"&amp;G3093</f>
        <v>Commons|S|Low Cost</v>
      </c>
      <c r="J3093" s="1" t="s">
        <v>1295</v>
      </c>
    </row>
    <row r="3094" customFormat="false" ht="12" hidden="false" customHeight="true" outlineLevel="0" collapsed="false">
      <c r="B3094" s="1" t="s">
        <v>1296</v>
      </c>
      <c r="C3094" s="1" t="s">
        <v>1297</v>
      </c>
      <c r="D3094" s="1" t="s">
        <v>517</v>
      </c>
      <c r="E3094" s="1" t="s">
        <v>582</v>
      </c>
      <c r="F3094" s="1" t="s">
        <v>523</v>
      </c>
      <c r="G3094" s="1" t="s">
        <v>485</v>
      </c>
      <c r="H3094" s="1" t="n">
        <v>377</v>
      </c>
      <c r="I3094" s="1" t="str">
        <f aca="false">B3094&amp;"|"&amp;F3094&amp;"|"&amp;G3094</f>
        <v>Administration (Office) Buildings|A-B|Excellent</v>
      </c>
      <c r="J3094" s="1" t="s">
        <v>1298</v>
      </c>
    </row>
    <row r="3095" customFormat="false" ht="12" hidden="false" customHeight="true" outlineLevel="0" collapsed="false">
      <c r="B3095" s="1" t="s">
        <v>1296</v>
      </c>
      <c r="C3095" s="1" t="s">
        <v>1297</v>
      </c>
      <c r="D3095" s="1" t="s">
        <v>517</v>
      </c>
      <c r="E3095" s="1" t="s">
        <v>582</v>
      </c>
      <c r="F3095" s="1" t="s">
        <v>523</v>
      </c>
      <c r="G3095" s="1" t="s">
        <v>483</v>
      </c>
      <c r="H3095" s="1" t="n">
        <v>297</v>
      </c>
      <c r="I3095" s="1" t="str">
        <f aca="false">B3095&amp;"|"&amp;F3095&amp;"|"&amp;G3095</f>
        <v>Administration (Office) Buildings|A-B|Good</v>
      </c>
      <c r="J3095" s="1" t="s">
        <v>1298</v>
      </c>
    </row>
    <row r="3096" customFormat="false" ht="12" hidden="false" customHeight="true" outlineLevel="0" collapsed="false">
      <c r="B3096" s="1" t="s">
        <v>1296</v>
      </c>
      <c r="C3096" s="1" t="s">
        <v>1297</v>
      </c>
      <c r="D3096" s="1" t="s">
        <v>517</v>
      </c>
      <c r="E3096" s="1" t="s">
        <v>582</v>
      </c>
      <c r="F3096" s="1" t="s">
        <v>523</v>
      </c>
      <c r="G3096" s="1" t="s">
        <v>279</v>
      </c>
      <c r="H3096" s="1" t="n">
        <v>222</v>
      </c>
      <c r="I3096" s="1" t="str">
        <f aca="false">B3096&amp;"|"&amp;F3096&amp;"|"&amp;G3096</f>
        <v>Administration (Office) Buildings|A-B|Average</v>
      </c>
      <c r="J3096" s="1" t="s">
        <v>1298</v>
      </c>
    </row>
    <row r="3097" customFormat="false" ht="12" hidden="false" customHeight="true" outlineLevel="0" collapsed="false">
      <c r="B3097" s="1" t="s">
        <v>1296</v>
      </c>
      <c r="C3097" s="1" t="s">
        <v>1297</v>
      </c>
      <c r="D3097" s="1" t="s">
        <v>517</v>
      </c>
      <c r="E3097" s="1" t="s">
        <v>582</v>
      </c>
      <c r="F3097" s="1" t="s">
        <v>523</v>
      </c>
      <c r="G3097" s="1" t="s">
        <v>480</v>
      </c>
      <c r="H3097" s="1" t="n">
        <v>176</v>
      </c>
      <c r="I3097" s="1" t="str">
        <f aca="false">B3097&amp;"|"&amp;F3097&amp;"|"&amp;G3097</f>
        <v>Administration (Office) Buildings|A-B|Low Cost</v>
      </c>
      <c r="J3097" s="1" t="s">
        <v>1298</v>
      </c>
    </row>
    <row r="3098" customFormat="false" ht="12" hidden="false" customHeight="true" outlineLevel="0" collapsed="false">
      <c r="B3098" s="1" t="s">
        <v>1296</v>
      </c>
      <c r="C3098" s="1" t="s">
        <v>1297</v>
      </c>
      <c r="D3098" s="1" t="s">
        <v>517</v>
      </c>
      <c r="E3098" s="1" t="s">
        <v>582</v>
      </c>
      <c r="F3098" s="1" t="s">
        <v>463</v>
      </c>
      <c r="G3098" s="1" t="s">
        <v>485</v>
      </c>
      <c r="H3098" s="1" t="n">
        <v>328</v>
      </c>
      <c r="I3098" s="1" t="str">
        <f aca="false">B3098&amp;"|"&amp;F3098&amp;"|"&amp;G3098</f>
        <v>Administration (Office) Buildings|C|Excellent</v>
      </c>
      <c r="J3098" s="1" t="s">
        <v>1298</v>
      </c>
    </row>
    <row r="3099" customFormat="false" ht="12" hidden="false" customHeight="true" outlineLevel="0" collapsed="false">
      <c r="B3099" s="1" t="s">
        <v>1296</v>
      </c>
      <c r="C3099" s="1" t="s">
        <v>1297</v>
      </c>
      <c r="D3099" s="1" t="s">
        <v>517</v>
      </c>
      <c r="E3099" s="1" t="s">
        <v>582</v>
      </c>
      <c r="F3099" s="1" t="s">
        <v>463</v>
      </c>
      <c r="G3099" s="1" t="s">
        <v>483</v>
      </c>
      <c r="H3099" s="1" t="n">
        <v>234</v>
      </c>
      <c r="I3099" s="1" t="str">
        <f aca="false">B3099&amp;"|"&amp;F3099&amp;"|"&amp;G3099</f>
        <v>Administration (Office) Buildings|C|Good</v>
      </c>
      <c r="J3099" s="1" t="s">
        <v>1298</v>
      </c>
    </row>
    <row r="3100" customFormat="false" ht="12" hidden="false" customHeight="true" outlineLevel="0" collapsed="false">
      <c r="B3100" s="1" t="s">
        <v>1296</v>
      </c>
      <c r="C3100" s="1" t="s">
        <v>1297</v>
      </c>
      <c r="D3100" s="1" t="s">
        <v>517</v>
      </c>
      <c r="E3100" s="1" t="s">
        <v>582</v>
      </c>
      <c r="F3100" s="1" t="s">
        <v>463</v>
      </c>
      <c r="G3100" s="1" t="s">
        <v>279</v>
      </c>
      <c r="H3100" s="1" t="n">
        <v>172</v>
      </c>
      <c r="I3100" s="1" t="str">
        <f aca="false">B3100&amp;"|"&amp;F3100&amp;"|"&amp;G3100</f>
        <v>Administration (Office) Buildings|C|Average</v>
      </c>
      <c r="J3100" s="1" t="s">
        <v>1298</v>
      </c>
    </row>
    <row r="3101" customFormat="false" ht="12" hidden="false" customHeight="true" outlineLevel="0" collapsed="false">
      <c r="B3101" s="1" t="s">
        <v>1296</v>
      </c>
      <c r="C3101" s="1" t="s">
        <v>1297</v>
      </c>
      <c r="D3101" s="1" t="s">
        <v>517</v>
      </c>
      <c r="E3101" s="1" t="s">
        <v>582</v>
      </c>
      <c r="F3101" s="1" t="s">
        <v>463</v>
      </c>
      <c r="G3101" s="1" t="s">
        <v>480</v>
      </c>
      <c r="H3101" s="1" t="n">
        <v>125</v>
      </c>
      <c r="I3101" s="1" t="str">
        <f aca="false">B3101&amp;"|"&amp;F3101&amp;"|"&amp;G3101</f>
        <v>Administration (Office) Buildings|C|Low Cost</v>
      </c>
      <c r="J3101" s="1" t="s">
        <v>1298</v>
      </c>
    </row>
    <row r="3102" customFormat="false" ht="12" hidden="false" customHeight="true" outlineLevel="0" collapsed="false">
      <c r="B3102" s="1" t="s">
        <v>1296</v>
      </c>
      <c r="C3102" s="1" t="s">
        <v>1297</v>
      </c>
      <c r="D3102" s="1" t="s">
        <v>517</v>
      </c>
      <c r="E3102" s="1" t="s">
        <v>582</v>
      </c>
      <c r="F3102" s="1" t="s">
        <v>468</v>
      </c>
      <c r="G3102" s="1" t="s">
        <v>485</v>
      </c>
      <c r="H3102" s="1" t="n">
        <v>324</v>
      </c>
      <c r="I3102" s="1" t="str">
        <f aca="false">B3102&amp;"|"&amp;F3102&amp;"|"&amp;G3102</f>
        <v>Administration (Office) Buildings|D|Excellent</v>
      </c>
      <c r="J3102" s="1" t="s">
        <v>1298</v>
      </c>
    </row>
    <row r="3103" customFormat="false" ht="12" hidden="false" customHeight="true" outlineLevel="0" collapsed="false">
      <c r="B3103" s="1" t="s">
        <v>1296</v>
      </c>
      <c r="C3103" s="1" t="s">
        <v>1297</v>
      </c>
      <c r="D3103" s="1" t="s">
        <v>517</v>
      </c>
      <c r="E3103" s="1" t="s">
        <v>582</v>
      </c>
      <c r="F3103" s="1" t="s">
        <v>468</v>
      </c>
      <c r="G3103" s="1" t="s">
        <v>483</v>
      </c>
      <c r="H3103" s="1" t="n">
        <v>229</v>
      </c>
      <c r="I3103" s="1" t="str">
        <f aca="false">B3103&amp;"|"&amp;F3103&amp;"|"&amp;G3103</f>
        <v>Administration (Office) Buildings|D|Good</v>
      </c>
      <c r="J3103" s="1" t="s">
        <v>1298</v>
      </c>
    </row>
    <row r="3104" customFormat="false" ht="12" hidden="false" customHeight="true" outlineLevel="0" collapsed="false">
      <c r="B3104" s="1" t="s">
        <v>1296</v>
      </c>
      <c r="C3104" s="1" t="s">
        <v>1297</v>
      </c>
      <c r="D3104" s="1" t="s">
        <v>517</v>
      </c>
      <c r="E3104" s="1" t="s">
        <v>582</v>
      </c>
      <c r="F3104" s="1" t="s">
        <v>468</v>
      </c>
      <c r="G3104" s="1" t="s">
        <v>279</v>
      </c>
      <c r="H3104" s="1" t="n">
        <v>166</v>
      </c>
      <c r="I3104" s="1" t="str">
        <f aca="false">B3104&amp;"|"&amp;F3104&amp;"|"&amp;G3104</f>
        <v>Administration (Office) Buildings|D|Average</v>
      </c>
      <c r="J3104" s="1" t="s">
        <v>1298</v>
      </c>
    </row>
    <row r="3105" customFormat="false" ht="12" hidden="false" customHeight="true" outlineLevel="0" collapsed="false">
      <c r="B3105" s="1" t="s">
        <v>1296</v>
      </c>
      <c r="C3105" s="1" t="s">
        <v>1297</v>
      </c>
      <c r="D3105" s="1" t="s">
        <v>517</v>
      </c>
      <c r="E3105" s="1" t="s">
        <v>582</v>
      </c>
      <c r="F3105" s="1" t="s">
        <v>468</v>
      </c>
      <c r="G3105" s="1" t="s">
        <v>480</v>
      </c>
      <c r="H3105" s="1" t="n">
        <v>120</v>
      </c>
      <c r="I3105" s="1" t="str">
        <f aca="false">B3105&amp;"|"&amp;F3105&amp;"|"&amp;G3105</f>
        <v>Administration (Office) Buildings|D|Low Cost</v>
      </c>
      <c r="J3105" s="1" t="s">
        <v>1298</v>
      </c>
    </row>
    <row r="3106" customFormat="false" ht="12" hidden="false" customHeight="true" outlineLevel="0" collapsed="false">
      <c r="B3106" s="1" t="s">
        <v>1296</v>
      </c>
      <c r="C3106" s="1" t="s">
        <v>1297</v>
      </c>
      <c r="D3106" s="1" t="s">
        <v>517</v>
      </c>
      <c r="E3106" s="1" t="s">
        <v>582</v>
      </c>
      <c r="F3106" s="1" t="s">
        <v>566</v>
      </c>
      <c r="G3106" s="1" t="s">
        <v>279</v>
      </c>
      <c r="H3106" s="1" t="n">
        <v>157</v>
      </c>
      <c r="I3106" s="1" t="str">
        <f aca="false">B3106&amp;"|"&amp;F3106&amp;"|"&amp;G3106</f>
        <v>Administration (Office) Buildings|DPOLE|Average</v>
      </c>
      <c r="J3106" s="1" t="s">
        <v>1298</v>
      </c>
    </row>
    <row r="3107" customFormat="false" ht="12" hidden="false" customHeight="true" outlineLevel="0" collapsed="false">
      <c r="B3107" s="1" t="s">
        <v>1296</v>
      </c>
      <c r="C3107" s="1" t="s">
        <v>1297</v>
      </c>
      <c r="D3107" s="1" t="s">
        <v>517</v>
      </c>
      <c r="E3107" s="1" t="s">
        <v>582</v>
      </c>
      <c r="F3107" s="1" t="s">
        <v>566</v>
      </c>
      <c r="G3107" s="1" t="s">
        <v>480</v>
      </c>
      <c r="H3107" s="1" t="n">
        <v>113</v>
      </c>
      <c r="I3107" s="1" t="str">
        <f aca="false">B3107&amp;"|"&amp;F3107&amp;"|"&amp;G3107</f>
        <v>Administration (Office) Buildings|DPOLE|Low Cost</v>
      </c>
      <c r="J3107" s="1" t="s">
        <v>1298</v>
      </c>
    </row>
    <row r="3108" customFormat="false" ht="12" hidden="false" customHeight="true" outlineLevel="0" collapsed="false">
      <c r="B3108" s="1" t="s">
        <v>1296</v>
      </c>
      <c r="C3108" s="1" t="s">
        <v>1297</v>
      </c>
      <c r="D3108" s="1" t="s">
        <v>517</v>
      </c>
      <c r="E3108" s="1" t="s">
        <v>582</v>
      </c>
      <c r="F3108" s="1" t="s">
        <v>473</v>
      </c>
      <c r="G3108" s="1" t="s">
        <v>483</v>
      </c>
      <c r="H3108" s="1" t="n">
        <v>218</v>
      </c>
      <c r="I3108" s="1" t="str">
        <f aca="false">B3108&amp;"|"&amp;F3108&amp;"|"&amp;G3108</f>
        <v>Administration (Office) Buildings|S|Good</v>
      </c>
      <c r="J3108" s="1" t="s">
        <v>1298</v>
      </c>
    </row>
    <row r="3109" customFormat="false" ht="12" hidden="false" customHeight="true" outlineLevel="0" collapsed="false">
      <c r="B3109" s="1" t="s">
        <v>1296</v>
      </c>
      <c r="C3109" s="1" t="s">
        <v>1297</v>
      </c>
      <c r="D3109" s="1" t="s">
        <v>517</v>
      </c>
      <c r="E3109" s="1" t="s">
        <v>582</v>
      </c>
      <c r="F3109" s="1" t="s">
        <v>473</v>
      </c>
      <c r="G3109" s="1" t="s">
        <v>279</v>
      </c>
      <c r="H3109" s="1" t="n">
        <v>159</v>
      </c>
      <c r="I3109" s="1" t="str">
        <f aca="false">B3109&amp;"|"&amp;F3109&amp;"|"&amp;G3109</f>
        <v>Administration (Office) Buildings|S|Average</v>
      </c>
      <c r="J3109" s="1" t="s">
        <v>1298</v>
      </c>
    </row>
    <row r="3110" customFormat="false" ht="12" hidden="false" customHeight="true" outlineLevel="0" collapsed="false">
      <c r="B3110" s="1" t="s">
        <v>1296</v>
      </c>
      <c r="C3110" s="1" t="s">
        <v>1297</v>
      </c>
      <c r="D3110" s="1" t="s">
        <v>517</v>
      </c>
      <c r="E3110" s="1" t="s">
        <v>582</v>
      </c>
      <c r="F3110" s="1" t="s">
        <v>473</v>
      </c>
      <c r="G3110" s="1" t="s">
        <v>480</v>
      </c>
      <c r="H3110" s="1" t="n">
        <v>115</v>
      </c>
      <c r="I3110" s="1" t="str">
        <f aca="false">B3110&amp;"|"&amp;F3110&amp;"|"&amp;G3110</f>
        <v>Administration (Office) Buildings|S|Low Cost</v>
      </c>
      <c r="J3110" s="1" t="s">
        <v>1298</v>
      </c>
    </row>
    <row r="3111" customFormat="false" ht="12" hidden="false" customHeight="true" outlineLevel="0" collapsed="false">
      <c r="B3111" s="1" t="s">
        <v>1299</v>
      </c>
      <c r="C3111" s="1" t="s">
        <v>1300</v>
      </c>
      <c r="D3111" s="1" t="s">
        <v>517</v>
      </c>
      <c r="E3111" s="1" t="s">
        <v>586</v>
      </c>
      <c r="F3111" s="1" t="s">
        <v>468</v>
      </c>
      <c r="G3111" s="1" t="s">
        <v>485</v>
      </c>
      <c r="H3111" s="1" t="n">
        <v>179</v>
      </c>
      <c r="I3111" s="1" t="str">
        <f aca="false">B3111&amp;"|"&amp;F3111&amp;"|"&amp;G3111</f>
        <v>Relocatable Offices|D|Excellent</v>
      </c>
      <c r="J3111" s="1" t="s">
        <v>1301</v>
      </c>
    </row>
    <row r="3112" customFormat="false" ht="12" hidden="false" customHeight="true" outlineLevel="0" collapsed="false">
      <c r="B3112" s="1" t="s">
        <v>1299</v>
      </c>
      <c r="C3112" s="1" t="s">
        <v>1300</v>
      </c>
      <c r="D3112" s="1" t="s">
        <v>517</v>
      </c>
      <c r="E3112" s="1" t="s">
        <v>586</v>
      </c>
      <c r="F3112" s="1" t="s">
        <v>468</v>
      </c>
      <c r="G3112" s="1" t="s">
        <v>483</v>
      </c>
      <c r="H3112" s="1" t="n">
        <v>148</v>
      </c>
      <c r="I3112" s="1" t="str">
        <f aca="false">B3112&amp;"|"&amp;F3112&amp;"|"&amp;G3112</f>
        <v>Relocatable Offices|D|Good</v>
      </c>
      <c r="J3112" s="1" t="s">
        <v>1301</v>
      </c>
    </row>
    <row r="3113" customFormat="false" ht="12" hidden="false" customHeight="true" outlineLevel="0" collapsed="false">
      <c r="B3113" s="1" t="s">
        <v>1299</v>
      </c>
      <c r="C3113" s="1" t="s">
        <v>1300</v>
      </c>
      <c r="D3113" s="1" t="s">
        <v>517</v>
      </c>
      <c r="E3113" s="1" t="s">
        <v>586</v>
      </c>
      <c r="F3113" s="1" t="s">
        <v>468</v>
      </c>
      <c r="G3113" s="1" t="s">
        <v>279</v>
      </c>
      <c r="H3113" s="1" t="n">
        <v>120</v>
      </c>
      <c r="I3113" s="1" t="str">
        <f aca="false">B3113&amp;"|"&amp;F3113&amp;"|"&amp;G3113</f>
        <v>Relocatable Offices|D|Average</v>
      </c>
      <c r="J3113" s="1" t="s">
        <v>1301</v>
      </c>
    </row>
    <row r="3114" customFormat="false" ht="12" hidden="false" customHeight="true" outlineLevel="0" collapsed="false">
      <c r="B3114" s="1" t="s">
        <v>1299</v>
      </c>
      <c r="C3114" s="1" t="s">
        <v>1300</v>
      </c>
      <c r="D3114" s="1" t="s">
        <v>517</v>
      </c>
      <c r="E3114" s="1" t="s">
        <v>586</v>
      </c>
      <c r="F3114" s="1" t="s">
        <v>468</v>
      </c>
      <c r="G3114" s="1" t="s">
        <v>480</v>
      </c>
      <c r="H3114" s="1" t="n">
        <v>103</v>
      </c>
      <c r="I3114" s="1" t="str">
        <f aca="false">B3114&amp;"|"&amp;F3114&amp;"|"&amp;G3114</f>
        <v>Relocatable Offices|D|Low Cost</v>
      </c>
      <c r="J3114" s="1" t="s">
        <v>1301</v>
      </c>
    </row>
    <row r="3115" customFormat="false" ht="12" hidden="false" customHeight="true" outlineLevel="0" collapsed="false">
      <c r="B3115" s="1" t="s">
        <v>1299</v>
      </c>
      <c r="C3115" s="1" t="s">
        <v>1300</v>
      </c>
      <c r="D3115" s="1" t="s">
        <v>517</v>
      </c>
      <c r="E3115" s="1" t="s">
        <v>586</v>
      </c>
      <c r="F3115" s="1" t="s">
        <v>468</v>
      </c>
      <c r="G3115" s="1" t="s">
        <v>567</v>
      </c>
      <c r="H3115" s="1" t="n">
        <v>85</v>
      </c>
      <c r="I3115" s="1" t="str">
        <f aca="false">B3115&amp;"|"&amp;F3115&amp;"|"&amp;G3115</f>
        <v>Relocatable Offices|D|Cheap</v>
      </c>
      <c r="J3115" s="1" t="s">
        <v>1301</v>
      </c>
    </row>
    <row r="3116" customFormat="false" ht="12" hidden="false" customHeight="true" outlineLevel="0" collapsed="false">
      <c r="B3116" s="1" t="s">
        <v>1302</v>
      </c>
      <c r="C3116" s="1" t="s">
        <v>1303</v>
      </c>
      <c r="D3116" s="1" t="s">
        <v>517</v>
      </c>
      <c r="E3116" s="1" t="s">
        <v>660</v>
      </c>
      <c r="F3116" s="1" t="s">
        <v>468</v>
      </c>
      <c r="G3116" s="1" t="s">
        <v>555</v>
      </c>
      <c r="H3116" s="1" t="n">
        <v>69.5</v>
      </c>
      <c r="I3116" s="1" t="str">
        <f aca="false">B3116&amp;"|"&amp;F3116&amp;"|"&amp;G3116</f>
        <v>Commercial (Institutional) Greenhouses|D|Fair</v>
      </c>
      <c r="J3116" s="1" t="s">
        <v>1304</v>
      </c>
    </row>
    <row r="3117" customFormat="false" ht="12" hidden="false" customHeight="true" outlineLevel="0" collapsed="false">
      <c r="B3117" s="1" t="s">
        <v>1302</v>
      </c>
      <c r="C3117" s="1" t="s">
        <v>1303</v>
      </c>
      <c r="D3117" s="1" t="s">
        <v>517</v>
      </c>
      <c r="E3117" s="1" t="s">
        <v>660</v>
      </c>
      <c r="F3117" s="1" t="s">
        <v>468</v>
      </c>
      <c r="G3117" s="1" t="s">
        <v>480</v>
      </c>
      <c r="H3117" s="1" t="n">
        <v>55.5</v>
      </c>
      <c r="I3117" s="1" t="str">
        <f aca="false">B3117&amp;"|"&amp;F3117&amp;"|"&amp;G3117</f>
        <v>Commercial (Institutional) Greenhouses|D|Low Cost</v>
      </c>
      <c r="J3117" s="1" t="s">
        <v>1304</v>
      </c>
    </row>
    <row r="3118" customFormat="false" ht="12" hidden="false" customHeight="true" outlineLevel="0" collapsed="false">
      <c r="B3118" s="1" t="s">
        <v>1302</v>
      </c>
      <c r="C3118" s="1" t="s">
        <v>1303</v>
      </c>
      <c r="D3118" s="1" t="s">
        <v>517</v>
      </c>
      <c r="E3118" s="1" t="s">
        <v>660</v>
      </c>
      <c r="F3118" s="1" t="s">
        <v>473</v>
      </c>
      <c r="G3118" s="1" t="s">
        <v>485</v>
      </c>
      <c r="H3118" s="1" t="n">
        <v>200</v>
      </c>
      <c r="I3118" s="1" t="str">
        <f aca="false">B3118&amp;"|"&amp;F3118&amp;"|"&amp;G3118</f>
        <v>Commercial (Institutional) Greenhouses|S|Excellent</v>
      </c>
      <c r="J3118" s="1" t="s">
        <v>1304</v>
      </c>
    </row>
    <row r="3119" customFormat="false" ht="12" hidden="false" customHeight="true" outlineLevel="0" collapsed="false">
      <c r="B3119" s="1" t="s">
        <v>1302</v>
      </c>
      <c r="C3119" s="1" t="s">
        <v>1303</v>
      </c>
      <c r="D3119" s="1" t="s">
        <v>517</v>
      </c>
      <c r="E3119" s="1" t="s">
        <v>660</v>
      </c>
      <c r="F3119" s="1" t="s">
        <v>473</v>
      </c>
      <c r="G3119" s="1" t="s">
        <v>503</v>
      </c>
      <c r="H3119" s="1" t="n">
        <v>163</v>
      </c>
      <c r="I3119" s="1" t="str">
        <f aca="false">B3119&amp;"|"&amp;F3119&amp;"|"&amp;G3119</f>
        <v>Commercial (Institutional) Greenhouses|S|Very Good</v>
      </c>
      <c r="J3119" s="1" t="s">
        <v>1304</v>
      </c>
    </row>
    <row r="3120" customFormat="false" ht="12" hidden="false" customHeight="true" outlineLevel="0" collapsed="false">
      <c r="B3120" s="1" t="s">
        <v>1302</v>
      </c>
      <c r="C3120" s="1" t="s">
        <v>1303</v>
      </c>
      <c r="D3120" s="1" t="s">
        <v>517</v>
      </c>
      <c r="E3120" s="1" t="s">
        <v>660</v>
      </c>
      <c r="F3120" s="1" t="s">
        <v>473</v>
      </c>
      <c r="G3120" s="1" t="s">
        <v>483</v>
      </c>
      <c r="H3120" s="1" t="n">
        <v>132</v>
      </c>
      <c r="I3120" s="1" t="str">
        <f aca="false">B3120&amp;"|"&amp;F3120&amp;"|"&amp;G3120</f>
        <v>Commercial (Institutional) Greenhouses|S|Good</v>
      </c>
      <c r="J3120" s="1" t="s">
        <v>1304</v>
      </c>
    </row>
    <row r="3121" customFormat="false" ht="12" hidden="false" customHeight="true" outlineLevel="0" collapsed="false">
      <c r="B3121" s="1" t="s">
        <v>1302</v>
      </c>
      <c r="C3121" s="1" t="s">
        <v>1303</v>
      </c>
      <c r="D3121" s="1" t="s">
        <v>517</v>
      </c>
      <c r="E3121" s="1" t="s">
        <v>660</v>
      </c>
      <c r="F3121" s="1" t="s">
        <v>473</v>
      </c>
      <c r="G3121" s="1" t="s">
        <v>279</v>
      </c>
      <c r="H3121" s="1" t="n">
        <v>87.5</v>
      </c>
      <c r="I3121" s="1" t="str">
        <f aca="false">B3121&amp;"|"&amp;F3121&amp;"|"&amp;G3121</f>
        <v>Commercial (Institutional) Greenhouses|S|Average</v>
      </c>
      <c r="J3121" s="1" t="s">
        <v>1304</v>
      </c>
    </row>
    <row r="3122" customFormat="false" ht="12" hidden="false" customHeight="true" outlineLevel="0" collapsed="false">
      <c r="B3122" s="1" t="s">
        <v>1302</v>
      </c>
      <c r="C3122" s="1" t="s">
        <v>1303</v>
      </c>
      <c r="D3122" s="1" t="s">
        <v>517</v>
      </c>
      <c r="E3122" s="1" t="s">
        <v>660</v>
      </c>
      <c r="F3122" s="1" t="s">
        <v>473</v>
      </c>
      <c r="G3122" s="1" t="s">
        <v>555</v>
      </c>
      <c r="H3122" s="1" t="n">
        <v>71</v>
      </c>
      <c r="I3122" s="1" t="str">
        <f aca="false">B3122&amp;"|"&amp;F3122&amp;"|"&amp;G3122</f>
        <v>Commercial (Institutional) Greenhouses|S|Fair</v>
      </c>
      <c r="J3122" s="1" t="s">
        <v>1304</v>
      </c>
    </row>
    <row r="3123" customFormat="false" ht="12" hidden="false" customHeight="true" outlineLevel="0" collapsed="false">
      <c r="B3123" s="1" t="s">
        <v>1302</v>
      </c>
      <c r="C3123" s="1" t="s">
        <v>1303</v>
      </c>
      <c r="D3123" s="1" t="s">
        <v>517</v>
      </c>
      <c r="E3123" s="1" t="s">
        <v>660</v>
      </c>
      <c r="F3123" s="1" t="s">
        <v>473</v>
      </c>
      <c r="G3123" s="1" t="s">
        <v>567</v>
      </c>
      <c r="H3123" s="1" t="n">
        <v>58</v>
      </c>
      <c r="I3123" s="1" t="str">
        <f aca="false">B3123&amp;"|"&amp;F3123&amp;"|"&amp;G3123</f>
        <v>Commercial (Institutional) Greenhouses|S|Cheap</v>
      </c>
      <c r="J3123" s="1" t="s">
        <v>1304</v>
      </c>
    </row>
    <row r="3126" customFormat="false" ht="12" hidden="false" customHeight="true" outlineLevel="0" collapsed="false">
      <c r="B3126" s="241" t="s">
        <v>1305</v>
      </c>
    </row>
    <row r="3127" customFormat="false" ht="12" hidden="false" customHeight="true" outlineLevel="0" collapsed="false">
      <c r="B3127" s="242" t="s">
        <v>488</v>
      </c>
      <c r="C3127" s="242" t="s">
        <v>489</v>
      </c>
      <c r="D3127" s="242" t="s">
        <v>490</v>
      </c>
      <c r="E3127" s="242" t="s">
        <v>491</v>
      </c>
      <c r="F3127" s="242" t="s">
        <v>1306</v>
      </c>
      <c r="G3127" s="242" t="s">
        <v>1307</v>
      </c>
      <c r="H3127" s="242" t="s">
        <v>1308</v>
      </c>
    </row>
    <row r="3128" customFormat="false" ht="12" hidden="false" customHeight="true" outlineLevel="0" collapsed="false">
      <c r="B3128" s="1" t="s">
        <v>494</v>
      </c>
      <c r="C3128" s="1" t="s">
        <v>495</v>
      </c>
      <c r="D3128" s="1" t="s">
        <v>496</v>
      </c>
      <c r="E3128" s="1" t="s">
        <v>497</v>
      </c>
      <c r="F3128" s="1" t="s">
        <v>496</v>
      </c>
      <c r="G3128" s="1" t="s">
        <v>496</v>
      </c>
      <c r="H3128" s="1" t="s">
        <v>463</v>
      </c>
    </row>
    <row r="3129" customFormat="false" ht="12" hidden="false" customHeight="true" outlineLevel="0" collapsed="false">
      <c r="B3129" s="1" t="s">
        <v>499</v>
      </c>
      <c r="C3129" s="1" t="s">
        <v>500</v>
      </c>
      <c r="D3129" s="1" t="s">
        <v>496</v>
      </c>
      <c r="E3129" s="1" t="s">
        <v>501</v>
      </c>
      <c r="F3129" s="1" t="s">
        <v>496</v>
      </c>
      <c r="G3129" s="1" t="s">
        <v>496</v>
      </c>
      <c r="H3129" s="1" t="s">
        <v>1309</v>
      </c>
    </row>
    <row r="3130" customFormat="false" ht="12" hidden="false" customHeight="true" outlineLevel="0" collapsed="false">
      <c r="B3130" s="1" t="s">
        <v>504</v>
      </c>
      <c r="C3130" s="1" t="s">
        <v>505</v>
      </c>
      <c r="D3130" s="1" t="s">
        <v>496</v>
      </c>
      <c r="E3130" s="1" t="s">
        <v>506</v>
      </c>
      <c r="F3130" s="1" t="s">
        <v>496</v>
      </c>
      <c r="G3130" s="1" t="s">
        <v>496</v>
      </c>
      <c r="H3130" s="1" t="s">
        <v>463</v>
      </c>
    </row>
    <row r="3131" customFormat="false" ht="12" hidden="false" customHeight="true" outlineLevel="0" collapsed="false">
      <c r="B3131" s="1" t="s">
        <v>509</v>
      </c>
      <c r="C3131" s="1" t="s">
        <v>510</v>
      </c>
      <c r="D3131" s="1" t="s">
        <v>496</v>
      </c>
      <c r="E3131" s="1" t="s">
        <v>511</v>
      </c>
      <c r="F3131" s="1" t="s">
        <v>496</v>
      </c>
      <c r="G3131" s="1" t="s">
        <v>496</v>
      </c>
      <c r="H3131" s="1" t="s">
        <v>463</v>
      </c>
    </row>
    <row r="3132" customFormat="false" ht="12" hidden="false" customHeight="true" outlineLevel="0" collapsed="false">
      <c r="B3132" s="1" t="s">
        <v>515</v>
      </c>
      <c r="C3132" s="1" t="s">
        <v>516</v>
      </c>
      <c r="D3132" s="1" t="s">
        <v>496</v>
      </c>
      <c r="E3132" s="1" t="s">
        <v>517</v>
      </c>
      <c r="F3132" s="1" t="s">
        <v>496</v>
      </c>
      <c r="G3132" s="1" t="s">
        <v>496</v>
      </c>
      <c r="H3132" s="1" t="s">
        <v>463</v>
      </c>
    </row>
    <row r="3133" customFormat="false" ht="12" hidden="false" customHeight="true" outlineLevel="0" collapsed="false">
      <c r="B3133" s="1" t="s">
        <v>520</v>
      </c>
      <c r="C3133" s="1" t="s">
        <v>521</v>
      </c>
      <c r="D3133" s="1" t="s">
        <v>496</v>
      </c>
      <c r="E3133" s="1" t="s">
        <v>522</v>
      </c>
      <c r="F3133" s="1" t="s">
        <v>496</v>
      </c>
      <c r="G3133" s="1" t="s">
        <v>496</v>
      </c>
      <c r="H3133" s="1" t="s">
        <v>1309</v>
      </c>
    </row>
    <row r="3134" customFormat="false" ht="12" hidden="false" customHeight="true" outlineLevel="0" collapsed="false">
      <c r="B3134" s="1" t="s">
        <v>525</v>
      </c>
      <c r="C3134" s="1" t="s">
        <v>526</v>
      </c>
      <c r="D3134" s="1" t="s">
        <v>496</v>
      </c>
      <c r="E3134" s="1" t="s">
        <v>527</v>
      </c>
      <c r="F3134" s="1" t="s">
        <v>496</v>
      </c>
      <c r="G3134" s="1" t="s">
        <v>496</v>
      </c>
      <c r="H3134" s="1" t="s">
        <v>463</v>
      </c>
    </row>
    <row r="3135" customFormat="false" ht="12" hidden="false" customHeight="true" outlineLevel="0" collapsed="false">
      <c r="B3135" s="1" t="s">
        <v>531</v>
      </c>
      <c r="C3135" s="1" t="s">
        <v>532</v>
      </c>
      <c r="D3135" s="1" t="s">
        <v>496</v>
      </c>
      <c r="E3135" s="1" t="s">
        <v>533</v>
      </c>
      <c r="F3135" s="1" t="s">
        <v>496</v>
      </c>
      <c r="G3135" s="1" t="s">
        <v>496</v>
      </c>
      <c r="H3135" s="1" t="s">
        <v>463</v>
      </c>
    </row>
    <row r="3136" customFormat="false" ht="12" hidden="false" customHeight="true" outlineLevel="0" collapsed="false">
      <c r="B3136" s="1" t="s">
        <v>535</v>
      </c>
      <c r="C3136" s="1" t="s">
        <v>536</v>
      </c>
      <c r="D3136" s="1" t="s">
        <v>496</v>
      </c>
      <c r="E3136" s="1" t="s">
        <v>537</v>
      </c>
      <c r="F3136" s="1" t="s">
        <v>496</v>
      </c>
      <c r="G3136" s="1" t="s">
        <v>496</v>
      </c>
      <c r="H3136" s="1" t="s">
        <v>463</v>
      </c>
    </row>
    <row r="3137" customFormat="false" ht="12" hidden="false" customHeight="true" outlineLevel="0" collapsed="false">
      <c r="B3137" s="1" t="s">
        <v>541</v>
      </c>
      <c r="C3137" s="1" t="s">
        <v>542</v>
      </c>
      <c r="D3137" s="1" t="s">
        <v>496</v>
      </c>
      <c r="E3137" s="1" t="s">
        <v>543</v>
      </c>
      <c r="F3137" s="1" t="s">
        <v>496</v>
      </c>
      <c r="G3137" s="1" t="s">
        <v>496</v>
      </c>
      <c r="H3137" s="1" t="s">
        <v>463</v>
      </c>
    </row>
    <row r="3138" customFormat="false" ht="12" hidden="false" customHeight="true" outlineLevel="0" collapsed="false">
      <c r="B3138" s="1" t="s">
        <v>545</v>
      </c>
      <c r="C3138" s="1" t="s">
        <v>546</v>
      </c>
      <c r="D3138" s="1" t="s">
        <v>496</v>
      </c>
      <c r="E3138" s="1" t="s">
        <v>547</v>
      </c>
      <c r="F3138" s="1" t="s">
        <v>496</v>
      </c>
      <c r="G3138" s="1" t="s">
        <v>496</v>
      </c>
      <c r="H3138" s="1" t="s">
        <v>463</v>
      </c>
    </row>
    <row r="3139" customFormat="false" ht="12" hidden="false" customHeight="true" outlineLevel="0" collapsed="false">
      <c r="B3139" s="1" t="s">
        <v>551</v>
      </c>
      <c r="C3139" s="1" t="s">
        <v>552</v>
      </c>
      <c r="D3139" s="1" t="s">
        <v>496</v>
      </c>
      <c r="E3139" s="1" t="s">
        <v>553</v>
      </c>
      <c r="F3139" s="1" t="s">
        <v>496</v>
      </c>
      <c r="G3139" s="1" t="s">
        <v>496</v>
      </c>
      <c r="H3139" s="1" t="s">
        <v>1309</v>
      </c>
    </row>
    <row r="3140" customFormat="false" ht="12" hidden="false" customHeight="true" outlineLevel="0" collapsed="false">
      <c r="B3140" s="1" t="s">
        <v>556</v>
      </c>
      <c r="C3140" s="1" t="s">
        <v>557</v>
      </c>
      <c r="D3140" s="1" t="s">
        <v>496</v>
      </c>
      <c r="E3140" s="1" t="s">
        <v>553</v>
      </c>
      <c r="F3140" s="1" t="s">
        <v>496</v>
      </c>
      <c r="G3140" s="1" t="s">
        <v>496</v>
      </c>
      <c r="H3140" s="1" t="s">
        <v>1309</v>
      </c>
    </row>
    <row r="3141" customFormat="false" ht="12" hidden="false" customHeight="true" outlineLevel="0" collapsed="false">
      <c r="B3141" s="1" t="s">
        <v>558</v>
      </c>
      <c r="C3141" s="1" t="s">
        <v>559</v>
      </c>
      <c r="D3141" s="1" t="s">
        <v>496</v>
      </c>
      <c r="E3141" s="1" t="s">
        <v>553</v>
      </c>
      <c r="F3141" s="1" t="s">
        <v>496</v>
      </c>
      <c r="G3141" s="1" t="s">
        <v>496</v>
      </c>
      <c r="H3141" s="1" t="s">
        <v>1309</v>
      </c>
    </row>
    <row r="3142" customFormat="false" ht="12" hidden="false" customHeight="true" outlineLevel="0" collapsed="false">
      <c r="B3142" s="1" t="s">
        <v>560</v>
      </c>
      <c r="C3142" s="1" t="s">
        <v>561</v>
      </c>
      <c r="D3142" s="1" t="s">
        <v>496</v>
      </c>
      <c r="E3142" s="1" t="s">
        <v>562</v>
      </c>
      <c r="F3142" s="1" t="s">
        <v>496</v>
      </c>
      <c r="G3142" s="1" t="s">
        <v>496</v>
      </c>
      <c r="H3142" s="1" t="s">
        <v>1309</v>
      </c>
    </row>
    <row r="3143" customFormat="false" ht="12" hidden="false" customHeight="true" outlineLevel="0" collapsed="false">
      <c r="B3143" s="1" t="s">
        <v>564</v>
      </c>
      <c r="C3143" s="1" t="s">
        <v>565</v>
      </c>
      <c r="D3143" s="1" t="s">
        <v>496</v>
      </c>
      <c r="E3143" s="1" t="s">
        <v>562</v>
      </c>
      <c r="F3143" s="1" t="s">
        <v>496</v>
      </c>
      <c r="G3143" s="1" t="s">
        <v>496</v>
      </c>
      <c r="H3143" s="1" t="s">
        <v>1309</v>
      </c>
    </row>
    <row r="3144" customFormat="false" ht="12" hidden="false" customHeight="true" outlineLevel="0" collapsed="false">
      <c r="B3144" s="1" t="s">
        <v>568</v>
      </c>
      <c r="C3144" s="1" t="s">
        <v>569</v>
      </c>
      <c r="D3144" s="1" t="s">
        <v>496</v>
      </c>
      <c r="E3144" s="1" t="s">
        <v>570</v>
      </c>
      <c r="F3144" s="1" t="s">
        <v>496</v>
      </c>
      <c r="G3144" s="1" t="s">
        <v>496</v>
      </c>
      <c r="H3144" s="1" t="s">
        <v>1309</v>
      </c>
    </row>
    <row r="3145" customFormat="false" ht="12" hidden="false" customHeight="true" outlineLevel="0" collapsed="false">
      <c r="B3145" s="1" t="s">
        <v>572</v>
      </c>
      <c r="C3145" s="1" t="s">
        <v>573</v>
      </c>
      <c r="D3145" s="1" t="s">
        <v>496</v>
      </c>
      <c r="E3145" s="1" t="s">
        <v>570</v>
      </c>
      <c r="F3145" s="1" t="s">
        <v>496</v>
      </c>
      <c r="G3145" s="1" t="s">
        <v>496</v>
      </c>
      <c r="H3145" s="1" t="s">
        <v>1309</v>
      </c>
    </row>
    <row r="3146" customFormat="false" ht="12" hidden="false" customHeight="true" outlineLevel="0" collapsed="false">
      <c r="B3146" s="1" t="s">
        <v>574</v>
      </c>
      <c r="C3146" s="1" t="s">
        <v>575</v>
      </c>
      <c r="D3146" s="1" t="s">
        <v>496</v>
      </c>
      <c r="E3146" s="1" t="s">
        <v>576</v>
      </c>
      <c r="F3146" s="1" t="s">
        <v>496</v>
      </c>
      <c r="G3146" s="1" t="s">
        <v>496</v>
      </c>
      <c r="H3146" s="1" t="s">
        <v>1309</v>
      </c>
    </row>
    <row r="3147" customFormat="false" ht="12" hidden="false" customHeight="true" outlineLevel="0" collapsed="false">
      <c r="B3147" s="1" t="s">
        <v>578</v>
      </c>
      <c r="C3147" s="1" t="s">
        <v>579</v>
      </c>
      <c r="D3147" s="1" t="s">
        <v>496</v>
      </c>
      <c r="E3147" s="1" t="s">
        <v>576</v>
      </c>
      <c r="F3147" s="1" t="s">
        <v>496</v>
      </c>
      <c r="G3147" s="1" t="s">
        <v>496</v>
      </c>
      <c r="H3147" s="1" t="s">
        <v>1309</v>
      </c>
    </row>
    <row r="3148" customFormat="false" ht="12" hidden="false" customHeight="true" outlineLevel="0" collapsed="false">
      <c r="B3148" s="1" t="s">
        <v>580</v>
      </c>
      <c r="C3148" s="1" t="s">
        <v>581</v>
      </c>
      <c r="D3148" s="1" t="s">
        <v>496</v>
      </c>
      <c r="E3148" s="1" t="s">
        <v>582</v>
      </c>
      <c r="F3148" s="1" t="s">
        <v>496</v>
      </c>
      <c r="G3148" s="1" t="s">
        <v>496</v>
      </c>
      <c r="H3148" s="1" t="s">
        <v>1309</v>
      </c>
    </row>
    <row r="3149" customFormat="false" ht="12" hidden="false" customHeight="true" outlineLevel="0" collapsed="false">
      <c r="B3149" s="1" t="s">
        <v>584</v>
      </c>
      <c r="C3149" s="1" t="s">
        <v>585</v>
      </c>
      <c r="D3149" s="1" t="s">
        <v>496</v>
      </c>
      <c r="E3149" s="1" t="s">
        <v>586</v>
      </c>
      <c r="F3149" s="1" t="s">
        <v>496</v>
      </c>
      <c r="G3149" s="1" t="s">
        <v>496</v>
      </c>
      <c r="H3149" s="1" t="s">
        <v>1309</v>
      </c>
    </row>
    <row r="3150" customFormat="false" ht="12" hidden="false" customHeight="true" outlineLevel="0" collapsed="false">
      <c r="B3150" s="1" t="s">
        <v>588</v>
      </c>
      <c r="C3150" s="1" t="s">
        <v>589</v>
      </c>
      <c r="D3150" s="1" t="s">
        <v>590</v>
      </c>
      <c r="E3150" s="1" t="s">
        <v>591</v>
      </c>
      <c r="F3150" s="1" t="s">
        <v>1310</v>
      </c>
      <c r="G3150" s="1" t="s">
        <v>590</v>
      </c>
      <c r="H3150" s="1" t="s">
        <v>463</v>
      </c>
    </row>
    <row r="3151" customFormat="false" ht="12" hidden="false" customHeight="true" outlineLevel="0" collapsed="false">
      <c r="B3151" s="1" t="s">
        <v>593</v>
      </c>
      <c r="C3151" s="1" t="s">
        <v>594</v>
      </c>
      <c r="D3151" s="1" t="s">
        <v>590</v>
      </c>
      <c r="E3151" s="1" t="s">
        <v>595</v>
      </c>
      <c r="F3151" s="1" t="s">
        <v>1310</v>
      </c>
      <c r="G3151" s="1" t="s">
        <v>590</v>
      </c>
      <c r="H3151" s="1" t="s">
        <v>463</v>
      </c>
    </row>
    <row r="3152" customFormat="false" ht="12" hidden="false" customHeight="true" outlineLevel="0" collapsed="false">
      <c r="B3152" s="1" t="s">
        <v>597</v>
      </c>
      <c r="C3152" s="1" t="s">
        <v>598</v>
      </c>
      <c r="D3152" s="1" t="s">
        <v>590</v>
      </c>
      <c r="E3152" s="1" t="s">
        <v>496</v>
      </c>
      <c r="F3152" s="1" t="s">
        <v>1310</v>
      </c>
      <c r="G3152" s="1" t="s">
        <v>590</v>
      </c>
      <c r="H3152" s="1" t="s">
        <v>463</v>
      </c>
    </row>
    <row r="3153" customFormat="false" ht="12" hidden="false" customHeight="true" outlineLevel="0" collapsed="false">
      <c r="B3153" s="1" t="s">
        <v>600</v>
      </c>
      <c r="C3153" s="1" t="s">
        <v>601</v>
      </c>
      <c r="D3153" s="1" t="s">
        <v>590</v>
      </c>
      <c r="E3153" s="1" t="s">
        <v>590</v>
      </c>
      <c r="F3153" s="1" t="s">
        <v>1310</v>
      </c>
      <c r="G3153" s="1" t="s">
        <v>590</v>
      </c>
      <c r="H3153" s="1" t="s">
        <v>463</v>
      </c>
    </row>
    <row r="3154" customFormat="false" ht="12" hidden="false" customHeight="true" outlineLevel="0" collapsed="false">
      <c r="B3154" s="1" t="s">
        <v>603</v>
      </c>
      <c r="C3154" s="1" t="s">
        <v>604</v>
      </c>
      <c r="D3154" s="1" t="s">
        <v>590</v>
      </c>
      <c r="E3154" s="1" t="s">
        <v>497</v>
      </c>
      <c r="F3154" s="1" t="s">
        <v>1310</v>
      </c>
      <c r="G3154" s="1" t="s">
        <v>590</v>
      </c>
      <c r="H3154" s="1" t="s">
        <v>1309</v>
      </c>
    </row>
    <row r="3155" customFormat="false" ht="12" hidden="false" customHeight="true" outlineLevel="0" collapsed="false">
      <c r="B3155" s="1" t="s">
        <v>606</v>
      </c>
      <c r="C3155" s="1" t="s">
        <v>607</v>
      </c>
      <c r="D3155" s="1" t="s">
        <v>590</v>
      </c>
      <c r="E3155" s="1" t="s">
        <v>497</v>
      </c>
      <c r="F3155" s="1" t="s">
        <v>1310</v>
      </c>
      <c r="G3155" s="1" t="s">
        <v>590</v>
      </c>
      <c r="H3155" s="1" t="s">
        <v>463</v>
      </c>
    </row>
    <row r="3156" customFormat="false" ht="12" hidden="false" customHeight="true" outlineLevel="0" collapsed="false">
      <c r="B3156" s="1" t="s">
        <v>608</v>
      </c>
      <c r="C3156" s="1" t="s">
        <v>609</v>
      </c>
      <c r="D3156" s="1" t="s">
        <v>590</v>
      </c>
      <c r="E3156" s="1" t="s">
        <v>501</v>
      </c>
      <c r="F3156" s="1" t="s">
        <v>1310</v>
      </c>
      <c r="G3156" s="1" t="s">
        <v>590</v>
      </c>
      <c r="H3156" s="1" t="s">
        <v>463</v>
      </c>
    </row>
    <row r="3157" customFormat="false" ht="12" hidden="false" customHeight="true" outlineLevel="0" collapsed="false">
      <c r="B3157" s="1" t="s">
        <v>611</v>
      </c>
      <c r="C3157" s="1" t="s">
        <v>612</v>
      </c>
      <c r="D3157" s="1" t="s">
        <v>590</v>
      </c>
      <c r="E3157" s="1" t="s">
        <v>506</v>
      </c>
      <c r="F3157" s="1" t="s">
        <v>1310</v>
      </c>
      <c r="G3157" s="1" t="s">
        <v>590</v>
      </c>
      <c r="H3157" s="1" t="s">
        <v>1309</v>
      </c>
    </row>
    <row r="3158" customFormat="false" ht="12" hidden="false" customHeight="true" outlineLevel="0" collapsed="false">
      <c r="B3158" s="1" t="s">
        <v>615</v>
      </c>
      <c r="C3158" s="1" t="s">
        <v>616</v>
      </c>
      <c r="D3158" s="1" t="s">
        <v>590</v>
      </c>
      <c r="E3158" s="1" t="s">
        <v>506</v>
      </c>
      <c r="F3158" s="1" t="s">
        <v>1310</v>
      </c>
      <c r="G3158" s="1" t="s">
        <v>590</v>
      </c>
      <c r="H3158" s="1" t="s">
        <v>1309</v>
      </c>
    </row>
    <row r="3159" customFormat="false" ht="12" hidden="false" customHeight="true" outlineLevel="0" collapsed="false">
      <c r="B3159" s="1" t="s">
        <v>617</v>
      </c>
      <c r="C3159" s="1" t="s">
        <v>618</v>
      </c>
      <c r="D3159" s="1" t="s">
        <v>590</v>
      </c>
      <c r="E3159" s="1" t="s">
        <v>511</v>
      </c>
      <c r="F3159" s="1" t="s">
        <v>1310</v>
      </c>
      <c r="G3159" s="1" t="s">
        <v>590</v>
      </c>
      <c r="H3159" s="1" t="s">
        <v>463</v>
      </c>
    </row>
    <row r="3160" customFormat="false" ht="12" hidden="false" customHeight="true" outlineLevel="0" collapsed="false">
      <c r="B3160" s="1" t="s">
        <v>620</v>
      </c>
      <c r="C3160" s="1" t="s">
        <v>621</v>
      </c>
      <c r="D3160" s="1" t="s">
        <v>590</v>
      </c>
      <c r="E3160" s="1" t="s">
        <v>513</v>
      </c>
      <c r="F3160" s="1" t="s">
        <v>1310</v>
      </c>
      <c r="G3160" s="1" t="s">
        <v>590</v>
      </c>
      <c r="H3160" s="1" t="s">
        <v>463</v>
      </c>
    </row>
    <row r="3161" customFormat="false" ht="12" hidden="false" customHeight="true" outlineLevel="0" collapsed="false">
      <c r="B3161" s="1" t="s">
        <v>623</v>
      </c>
      <c r="C3161" s="1" t="s">
        <v>624</v>
      </c>
      <c r="D3161" s="1" t="s">
        <v>590</v>
      </c>
      <c r="E3161" s="1" t="s">
        <v>517</v>
      </c>
      <c r="F3161" s="1" t="s">
        <v>1310</v>
      </c>
      <c r="G3161" s="1" t="s">
        <v>590</v>
      </c>
      <c r="H3161" s="1" t="s">
        <v>463</v>
      </c>
    </row>
    <row r="3162" customFormat="false" ht="12" hidden="false" customHeight="true" outlineLevel="0" collapsed="false">
      <c r="B3162" s="1" t="s">
        <v>626</v>
      </c>
      <c r="C3162" s="1" t="s">
        <v>627</v>
      </c>
      <c r="D3162" s="1" t="s">
        <v>590</v>
      </c>
      <c r="E3162" s="1" t="s">
        <v>522</v>
      </c>
      <c r="F3162" s="1" t="s">
        <v>1310</v>
      </c>
      <c r="G3162" s="1" t="s">
        <v>590</v>
      </c>
      <c r="H3162" s="1" t="s">
        <v>463</v>
      </c>
    </row>
    <row r="3163" customFormat="false" ht="12" hidden="false" customHeight="true" outlineLevel="0" collapsed="false">
      <c r="B3163" s="1" t="s">
        <v>629</v>
      </c>
      <c r="C3163" s="1" t="s">
        <v>630</v>
      </c>
      <c r="D3163" s="1" t="s">
        <v>590</v>
      </c>
      <c r="E3163" s="1" t="s">
        <v>527</v>
      </c>
      <c r="F3163" s="1" t="s">
        <v>1310</v>
      </c>
      <c r="G3163" s="1" t="s">
        <v>590</v>
      </c>
      <c r="H3163" s="1" t="s">
        <v>463</v>
      </c>
    </row>
    <row r="3164" customFormat="false" ht="12" hidden="false" customHeight="true" outlineLevel="0" collapsed="false">
      <c r="B3164" s="1" t="s">
        <v>632</v>
      </c>
      <c r="C3164" s="1" t="s">
        <v>633</v>
      </c>
      <c r="D3164" s="1" t="s">
        <v>590</v>
      </c>
      <c r="E3164" s="1" t="s">
        <v>529</v>
      </c>
      <c r="F3164" s="1" t="s">
        <v>1310</v>
      </c>
      <c r="G3164" s="1" t="s">
        <v>590</v>
      </c>
      <c r="H3164" s="1" t="s">
        <v>463</v>
      </c>
    </row>
    <row r="3165" customFormat="false" ht="12" hidden="false" customHeight="true" outlineLevel="0" collapsed="false">
      <c r="B3165" s="1" t="s">
        <v>635</v>
      </c>
      <c r="C3165" s="1" t="s">
        <v>636</v>
      </c>
      <c r="D3165" s="1" t="s">
        <v>590</v>
      </c>
      <c r="E3165" s="1" t="s">
        <v>533</v>
      </c>
      <c r="F3165" s="1" t="s">
        <v>1310</v>
      </c>
      <c r="G3165" s="1" t="s">
        <v>590</v>
      </c>
      <c r="H3165" s="1" t="s">
        <v>463</v>
      </c>
    </row>
    <row r="3166" customFormat="false" ht="12" hidden="false" customHeight="true" outlineLevel="0" collapsed="false">
      <c r="B3166" s="1" t="s">
        <v>638</v>
      </c>
      <c r="C3166" s="1" t="s">
        <v>639</v>
      </c>
      <c r="D3166" s="1" t="s">
        <v>590</v>
      </c>
      <c r="E3166" s="1" t="s">
        <v>537</v>
      </c>
      <c r="F3166" s="1" t="s">
        <v>1310</v>
      </c>
      <c r="G3166" s="1" t="s">
        <v>590</v>
      </c>
      <c r="H3166" s="1" t="s">
        <v>463</v>
      </c>
    </row>
    <row r="3167" customFormat="false" ht="12" hidden="false" customHeight="true" outlineLevel="0" collapsed="false">
      <c r="B3167" s="1" t="s">
        <v>641</v>
      </c>
      <c r="C3167" s="1" t="s">
        <v>642</v>
      </c>
      <c r="D3167" s="1" t="s">
        <v>590</v>
      </c>
      <c r="E3167" s="1" t="s">
        <v>543</v>
      </c>
      <c r="F3167" s="1" t="s">
        <v>1310</v>
      </c>
      <c r="G3167" s="1" t="s">
        <v>590</v>
      </c>
      <c r="H3167" s="1" t="s">
        <v>1309</v>
      </c>
    </row>
    <row r="3168" customFormat="false" ht="12" hidden="false" customHeight="true" outlineLevel="0" collapsed="false">
      <c r="B3168" s="1" t="s">
        <v>644</v>
      </c>
      <c r="D3168" s="1" t="s">
        <v>590</v>
      </c>
      <c r="E3168" s="1" t="s">
        <v>562</v>
      </c>
      <c r="F3168" s="1" t="s">
        <v>1310</v>
      </c>
      <c r="G3168" s="1" t="s">
        <v>590</v>
      </c>
      <c r="H3168" s="1" t="s">
        <v>1309</v>
      </c>
    </row>
    <row r="3169" customFormat="false" ht="12" hidden="false" customHeight="true" outlineLevel="0" collapsed="false">
      <c r="B3169" s="1" t="s">
        <v>646</v>
      </c>
      <c r="C3169" s="1" t="s">
        <v>647</v>
      </c>
      <c r="D3169" s="1" t="s">
        <v>590</v>
      </c>
      <c r="E3169" s="1" t="s">
        <v>570</v>
      </c>
      <c r="F3169" s="1" t="s">
        <v>1310</v>
      </c>
      <c r="G3169" s="1" t="s">
        <v>590</v>
      </c>
      <c r="H3169" s="1" t="s">
        <v>1309</v>
      </c>
    </row>
    <row r="3170" customFormat="false" ht="12" hidden="false" customHeight="true" outlineLevel="0" collapsed="false">
      <c r="B3170" s="1" t="s">
        <v>649</v>
      </c>
      <c r="C3170" s="1" t="s">
        <v>650</v>
      </c>
      <c r="D3170" s="1" t="s">
        <v>590</v>
      </c>
      <c r="E3170" s="1" t="s">
        <v>576</v>
      </c>
      <c r="F3170" s="1" t="s">
        <v>1310</v>
      </c>
      <c r="G3170" s="1" t="s">
        <v>590</v>
      </c>
      <c r="H3170" s="1" t="s">
        <v>1309</v>
      </c>
    </row>
    <row r="3171" customFormat="false" ht="12" hidden="false" customHeight="true" outlineLevel="0" collapsed="false">
      <c r="B3171" s="1" t="s">
        <v>652</v>
      </c>
      <c r="C3171" s="1" t="s">
        <v>653</v>
      </c>
      <c r="D3171" s="1" t="s">
        <v>590</v>
      </c>
      <c r="E3171" s="1" t="s">
        <v>582</v>
      </c>
      <c r="F3171" s="1" t="s">
        <v>1310</v>
      </c>
      <c r="G3171" s="1" t="s">
        <v>590</v>
      </c>
      <c r="H3171" s="1" t="s">
        <v>1309</v>
      </c>
    </row>
    <row r="3172" customFormat="false" ht="12" hidden="false" customHeight="true" outlineLevel="0" collapsed="false">
      <c r="B3172" s="1" t="s">
        <v>655</v>
      </c>
      <c r="C3172" s="1" t="s">
        <v>656</v>
      </c>
      <c r="D3172" s="1" t="s">
        <v>590</v>
      </c>
      <c r="E3172" s="1" t="s">
        <v>586</v>
      </c>
      <c r="F3172" s="1" t="s">
        <v>1310</v>
      </c>
      <c r="G3172" s="1" t="s">
        <v>590</v>
      </c>
      <c r="H3172" s="1" t="s">
        <v>1309</v>
      </c>
    </row>
    <row r="3173" customFormat="false" ht="12" hidden="false" customHeight="true" outlineLevel="0" collapsed="false">
      <c r="B3173" s="1" t="s">
        <v>658</v>
      </c>
      <c r="C3173" s="1" t="s">
        <v>659</v>
      </c>
      <c r="D3173" s="1" t="s">
        <v>590</v>
      </c>
      <c r="E3173" s="1" t="s">
        <v>660</v>
      </c>
      <c r="F3173" s="1" t="s">
        <v>1310</v>
      </c>
      <c r="G3173" s="1" t="s">
        <v>590</v>
      </c>
      <c r="H3173" s="1" t="s">
        <v>1309</v>
      </c>
    </row>
    <row r="3174" customFormat="false" ht="12" hidden="false" customHeight="true" outlineLevel="0" collapsed="false">
      <c r="B3174" s="1" t="s">
        <v>662</v>
      </c>
      <c r="C3174" s="1" t="s">
        <v>663</v>
      </c>
      <c r="D3174" s="1" t="s">
        <v>497</v>
      </c>
      <c r="E3174" s="1" t="s">
        <v>497</v>
      </c>
      <c r="F3174" s="1" t="s">
        <v>497</v>
      </c>
      <c r="G3174" s="1" t="s">
        <v>497</v>
      </c>
      <c r="H3174" s="1" t="s">
        <v>463</v>
      </c>
    </row>
    <row r="3175" customFormat="false" ht="12" hidden="false" customHeight="true" outlineLevel="0" collapsed="false">
      <c r="B3175" s="1" t="s">
        <v>665</v>
      </c>
      <c r="C3175" s="1" t="s">
        <v>666</v>
      </c>
      <c r="D3175" s="1" t="s">
        <v>497</v>
      </c>
      <c r="E3175" s="1" t="s">
        <v>497</v>
      </c>
      <c r="F3175" s="1" t="s">
        <v>497</v>
      </c>
      <c r="G3175" s="1" t="s">
        <v>497</v>
      </c>
      <c r="H3175" s="1" t="s">
        <v>463</v>
      </c>
    </row>
    <row r="3176" customFormat="false" ht="12" hidden="false" customHeight="true" outlineLevel="0" collapsed="false">
      <c r="B3176" s="1" t="s">
        <v>667</v>
      </c>
      <c r="C3176" s="1" t="s">
        <v>668</v>
      </c>
      <c r="D3176" s="1" t="s">
        <v>497</v>
      </c>
      <c r="E3176" s="1" t="s">
        <v>501</v>
      </c>
      <c r="F3176" s="1" t="s">
        <v>497</v>
      </c>
      <c r="G3176" s="1" t="s">
        <v>497</v>
      </c>
      <c r="H3176" s="1" t="s">
        <v>463</v>
      </c>
    </row>
    <row r="3177" customFormat="false" ht="12" hidden="false" customHeight="true" outlineLevel="0" collapsed="false">
      <c r="B3177" s="1" t="s">
        <v>670</v>
      </c>
      <c r="C3177" s="1" t="s">
        <v>671</v>
      </c>
      <c r="D3177" s="1" t="s">
        <v>497</v>
      </c>
      <c r="E3177" s="1" t="s">
        <v>506</v>
      </c>
      <c r="F3177" s="1" t="s">
        <v>497</v>
      </c>
      <c r="G3177" s="1" t="s">
        <v>497</v>
      </c>
      <c r="H3177" s="1" t="s">
        <v>463</v>
      </c>
    </row>
    <row r="3178" customFormat="false" ht="12" hidden="false" customHeight="true" outlineLevel="0" collapsed="false">
      <c r="B3178" s="1" t="s">
        <v>673</v>
      </c>
      <c r="C3178" s="1" t="s">
        <v>674</v>
      </c>
      <c r="D3178" s="1" t="s">
        <v>497</v>
      </c>
      <c r="E3178" s="1" t="s">
        <v>511</v>
      </c>
      <c r="F3178" s="1" t="s">
        <v>497</v>
      </c>
      <c r="G3178" s="1" t="s">
        <v>497</v>
      </c>
      <c r="H3178" s="1" t="s">
        <v>463</v>
      </c>
    </row>
    <row r="3179" customFormat="false" ht="12" hidden="false" customHeight="true" outlineLevel="0" collapsed="false">
      <c r="B3179" s="1" t="s">
        <v>676</v>
      </c>
      <c r="C3179" s="1" t="s">
        <v>677</v>
      </c>
      <c r="D3179" s="1" t="s">
        <v>497</v>
      </c>
      <c r="E3179" s="1" t="s">
        <v>511</v>
      </c>
      <c r="F3179" s="1" t="s">
        <v>497</v>
      </c>
      <c r="G3179" s="1" t="s">
        <v>497</v>
      </c>
      <c r="H3179" s="1" t="s">
        <v>463</v>
      </c>
    </row>
    <row r="3180" customFormat="false" ht="12" hidden="false" customHeight="true" outlineLevel="0" collapsed="false">
      <c r="B3180" s="1" t="s">
        <v>678</v>
      </c>
      <c r="C3180" s="1" t="s">
        <v>679</v>
      </c>
      <c r="D3180" s="1" t="s">
        <v>497</v>
      </c>
      <c r="E3180" s="1" t="s">
        <v>513</v>
      </c>
      <c r="F3180" s="1" t="s">
        <v>497</v>
      </c>
      <c r="G3180" s="1" t="s">
        <v>497</v>
      </c>
      <c r="H3180" s="1" t="s">
        <v>463</v>
      </c>
    </row>
    <row r="3181" customFormat="false" ht="12" hidden="false" customHeight="true" outlineLevel="0" collapsed="false">
      <c r="B3181" s="1" t="s">
        <v>681</v>
      </c>
      <c r="C3181" s="1" t="s">
        <v>682</v>
      </c>
      <c r="D3181" s="1" t="s">
        <v>497</v>
      </c>
      <c r="E3181" s="1" t="s">
        <v>517</v>
      </c>
      <c r="F3181" s="1" t="s">
        <v>497</v>
      </c>
      <c r="G3181" s="1" t="s">
        <v>497</v>
      </c>
      <c r="H3181" s="1" t="s">
        <v>463</v>
      </c>
    </row>
    <row r="3182" customFormat="false" ht="12" hidden="false" customHeight="true" outlineLevel="0" collapsed="false">
      <c r="B3182" s="1" t="s">
        <v>684</v>
      </c>
      <c r="C3182" s="1" t="s">
        <v>685</v>
      </c>
      <c r="D3182" s="1" t="s">
        <v>497</v>
      </c>
      <c r="E3182" s="1" t="s">
        <v>522</v>
      </c>
      <c r="F3182" s="1" t="s">
        <v>497</v>
      </c>
      <c r="G3182" s="1" t="s">
        <v>497</v>
      </c>
      <c r="H3182" s="1" t="s">
        <v>463</v>
      </c>
    </row>
    <row r="3183" customFormat="false" ht="12" hidden="false" customHeight="true" outlineLevel="0" collapsed="false">
      <c r="B3183" s="1" t="s">
        <v>687</v>
      </c>
      <c r="C3183" s="1" t="s">
        <v>688</v>
      </c>
      <c r="D3183" s="1" t="s">
        <v>497</v>
      </c>
      <c r="E3183" s="1" t="s">
        <v>522</v>
      </c>
      <c r="F3183" s="1" t="s">
        <v>497</v>
      </c>
      <c r="G3183" s="1" t="s">
        <v>497</v>
      </c>
      <c r="H3183" s="1" t="s">
        <v>463</v>
      </c>
    </row>
    <row r="3184" customFormat="false" ht="12" hidden="false" customHeight="true" outlineLevel="0" collapsed="false">
      <c r="B3184" s="1" t="s">
        <v>689</v>
      </c>
      <c r="C3184" s="1" t="s">
        <v>690</v>
      </c>
      <c r="D3184" s="1" t="s">
        <v>497</v>
      </c>
      <c r="E3184" s="1" t="s">
        <v>527</v>
      </c>
      <c r="F3184" s="1" t="s">
        <v>497</v>
      </c>
      <c r="G3184" s="1" t="s">
        <v>497</v>
      </c>
      <c r="H3184" s="1" t="s">
        <v>463</v>
      </c>
    </row>
    <row r="3185" customFormat="false" ht="12" hidden="false" customHeight="true" outlineLevel="0" collapsed="false">
      <c r="B3185" s="1" t="s">
        <v>692</v>
      </c>
      <c r="C3185" s="1" t="s">
        <v>693</v>
      </c>
      <c r="D3185" s="1" t="s">
        <v>497</v>
      </c>
      <c r="E3185" s="1" t="s">
        <v>527</v>
      </c>
      <c r="F3185" s="1" t="s">
        <v>497</v>
      </c>
      <c r="G3185" s="1" t="s">
        <v>497</v>
      </c>
      <c r="H3185" s="1" t="s">
        <v>463</v>
      </c>
    </row>
    <row r="3186" customFormat="false" ht="12" hidden="false" customHeight="true" outlineLevel="0" collapsed="false">
      <c r="B3186" s="1" t="s">
        <v>694</v>
      </c>
      <c r="C3186" s="1" t="s">
        <v>695</v>
      </c>
      <c r="D3186" s="1" t="s">
        <v>497</v>
      </c>
      <c r="E3186" s="1" t="s">
        <v>529</v>
      </c>
      <c r="F3186" s="1" t="s">
        <v>497</v>
      </c>
      <c r="G3186" s="1" t="s">
        <v>497</v>
      </c>
      <c r="H3186" s="1" t="s">
        <v>463</v>
      </c>
    </row>
    <row r="3187" customFormat="false" ht="12" hidden="false" customHeight="true" outlineLevel="0" collapsed="false">
      <c r="B3187" s="1" t="s">
        <v>697</v>
      </c>
      <c r="C3187" s="1" t="s">
        <v>698</v>
      </c>
      <c r="D3187" s="1" t="s">
        <v>497</v>
      </c>
      <c r="E3187" s="1" t="s">
        <v>529</v>
      </c>
      <c r="F3187" s="1" t="s">
        <v>497</v>
      </c>
      <c r="G3187" s="1" t="s">
        <v>497</v>
      </c>
      <c r="H3187" s="1" t="s">
        <v>463</v>
      </c>
    </row>
    <row r="3188" customFormat="false" ht="12" hidden="false" customHeight="true" outlineLevel="0" collapsed="false">
      <c r="B3188" s="1" t="s">
        <v>699</v>
      </c>
      <c r="C3188" s="1" t="s">
        <v>700</v>
      </c>
      <c r="D3188" s="1" t="s">
        <v>497</v>
      </c>
      <c r="E3188" s="1" t="s">
        <v>533</v>
      </c>
      <c r="F3188" s="1" t="s">
        <v>497</v>
      </c>
      <c r="G3188" s="1" t="s">
        <v>497</v>
      </c>
      <c r="H3188" s="1" t="s">
        <v>463</v>
      </c>
    </row>
    <row r="3189" customFormat="false" ht="12" hidden="false" customHeight="true" outlineLevel="0" collapsed="false">
      <c r="B3189" s="1" t="s">
        <v>702</v>
      </c>
      <c r="C3189" s="1" t="s">
        <v>703</v>
      </c>
      <c r="D3189" s="1" t="s">
        <v>497</v>
      </c>
      <c r="E3189" s="1" t="s">
        <v>533</v>
      </c>
      <c r="F3189" s="1" t="s">
        <v>497</v>
      </c>
      <c r="G3189" s="1" t="s">
        <v>497</v>
      </c>
      <c r="H3189" s="1" t="s">
        <v>463</v>
      </c>
    </row>
    <row r="3190" customFormat="false" ht="12" hidden="false" customHeight="true" outlineLevel="0" collapsed="false">
      <c r="B3190" s="1" t="s">
        <v>704</v>
      </c>
      <c r="C3190" s="1" t="s">
        <v>705</v>
      </c>
      <c r="D3190" s="1" t="s">
        <v>497</v>
      </c>
      <c r="E3190" s="1" t="s">
        <v>537</v>
      </c>
      <c r="F3190" s="1" t="s">
        <v>497</v>
      </c>
      <c r="G3190" s="1" t="s">
        <v>497</v>
      </c>
      <c r="H3190" s="1" t="s">
        <v>463</v>
      </c>
    </row>
    <row r="3191" customFormat="false" ht="12" hidden="false" customHeight="true" outlineLevel="0" collapsed="false">
      <c r="B3191" s="1" t="s">
        <v>707</v>
      </c>
      <c r="C3191" s="1" t="s">
        <v>708</v>
      </c>
      <c r="D3191" s="1" t="s">
        <v>497</v>
      </c>
      <c r="E3191" s="1" t="s">
        <v>539</v>
      </c>
      <c r="F3191" s="1" t="s">
        <v>497</v>
      </c>
      <c r="G3191" s="1" t="s">
        <v>497</v>
      </c>
      <c r="H3191" s="1" t="s">
        <v>463</v>
      </c>
    </row>
    <row r="3192" customFormat="false" ht="12" hidden="false" customHeight="true" outlineLevel="0" collapsed="false">
      <c r="B3192" s="1" t="s">
        <v>710</v>
      </c>
      <c r="C3192" s="1" t="s">
        <v>711</v>
      </c>
      <c r="D3192" s="1" t="s">
        <v>497</v>
      </c>
      <c r="E3192" s="1" t="s">
        <v>539</v>
      </c>
      <c r="F3192" s="1" t="s">
        <v>497</v>
      </c>
      <c r="G3192" s="1" t="s">
        <v>497</v>
      </c>
      <c r="H3192" s="1" t="s">
        <v>463</v>
      </c>
    </row>
    <row r="3193" customFormat="false" ht="12" hidden="false" customHeight="true" outlineLevel="0" collapsed="false">
      <c r="B3193" s="1" t="s">
        <v>712</v>
      </c>
      <c r="C3193" s="1" t="s">
        <v>713</v>
      </c>
      <c r="D3193" s="1" t="s">
        <v>497</v>
      </c>
      <c r="E3193" s="1" t="s">
        <v>543</v>
      </c>
      <c r="F3193" s="1" t="s">
        <v>497</v>
      </c>
      <c r="G3193" s="1" t="s">
        <v>497</v>
      </c>
      <c r="H3193" s="1" t="s">
        <v>463</v>
      </c>
    </row>
    <row r="3194" customFormat="false" ht="12" hidden="false" customHeight="true" outlineLevel="0" collapsed="false">
      <c r="B3194" s="1" t="s">
        <v>715</v>
      </c>
      <c r="C3194" s="1" t="s">
        <v>716</v>
      </c>
      <c r="D3194" s="1" t="s">
        <v>497</v>
      </c>
      <c r="E3194" s="1" t="s">
        <v>543</v>
      </c>
      <c r="F3194" s="1" t="s">
        <v>497</v>
      </c>
      <c r="G3194" s="1" t="s">
        <v>497</v>
      </c>
      <c r="H3194" s="1" t="s">
        <v>463</v>
      </c>
    </row>
    <row r="3195" customFormat="false" ht="12" hidden="false" customHeight="true" outlineLevel="0" collapsed="false">
      <c r="B3195" s="1" t="s">
        <v>717</v>
      </c>
      <c r="C3195" s="1" t="s">
        <v>718</v>
      </c>
      <c r="D3195" s="1" t="s">
        <v>497</v>
      </c>
      <c r="E3195" s="1" t="s">
        <v>543</v>
      </c>
      <c r="F3195" s="1" t="s">
        <v>497</v>
      </c>
      <c r="G3195" s="1" t="s">
        <v>497</v>
      </c>
      <c r="H3195" s="1" t="s">
        <v>463</v>
      </c>
    </row>
    <row r="3196" customFormat="false" ht="12" hidden="false" customHeight="true" outlineLevel="0" collapsed="false">
      <c r="B3196" s="1" t="s">
        <v>719</v>
      </c>
      <c r="C3196" s="1" t="s">
        <v>720</v>
      </c>
      <c r="D3196" s="1" t="s">
        <v>497</v>
      </c>
      <c r="E3196" s="1" t="s">
        <v>543</v>
      </c>
      <c r="F3196" s="1" t="s">
        <v>497</v>
      </c>
      <c r="G3196" s="1" t="s">
        <v>497</v>
      </c>
      <c r="H3196" s="1" t="s">
        <v>463</v>
      </c>
    </row>
    <row r="3197" customFormat="false" ht="12" hidden="false" customHeight="true" outlineLevel="0" collapsed="false">
      <c r="B3197" s="1" t="s">
        <v>721</v>
      </c>
      <c r="C3197" s="1" t="s">
        <v>722</v>
      </c>
      <c r="D3197" s="1" t="s">
        <v>497</v>
      </c>
      <c r="E3197" s="1" t="s">
        <v>547</v>
      </c>
      <c r="F3197" s="1" t="s">
        <v>497</v>
      </c>
      <c r="G3197" s="1" t="s">
        <v>497</v>
      </c>
      <c r="H3197" s="1" t="s">
        <v>463</v>
      </c>
    </row>
    <row r="3198" customFormat="false" ht="12" hidden="false" customHeight="true" outlineLevel="0" collapsed="false">
      <c r="B3198" s="1" t="s">
        <v>724</v>
      </c>
      <c r="C3198" s="1" t="s">
        <v>725</v>
      </c>
      <c r="D3198" s="1" t="s">
        <v>497</v>
      </c>
      <c r="E3198" s="1" t="s">
        <v>549</v>
      </c>
      <c r="F3198" s="1" t="s">
        <v>497</v>
      </c>
      <c r="G3198" s="1" t="s">
        <v>497</v>
      </c>
      <c r="H3198" s="1" t="s">
        <v>463</v>
      </c>
    </row>
    <row r="3199" customFormat="false" ht="12" hidden="false" customHeight="true" outlineLevel="0" collapsed="false">
      <c r="B3199" s="1" t="s">
        <v>727</v>
      </c>
      <c r="C3199" s="1" t="s">
        <v>728</v>
      </c>
      <c r="D3199" s="1" t="s">
        <v>497</v>
      </c>
      <c r="E3199" s="1" t="s">
        <v>549</v>
      </c>
      <c r="F3199" s="1" t="s">
        <v>497</v>
      </c>
      <c r="G3199" s="1" t="s">
        <v>497</v>
      </c>
      <c r="H3199" s="1" t="s">
        <v>463</v>
      </c>
    </row>
    <row r="3200" customFormat="false" ht="12" hidden="false" customHeight="true" outlineLevel="0" collapsed="false">
      <c r="B3200" s="1" t="s">
        <v>729</v>
      </c>
      <c r="C3200" s="1" t="s">
        <v>730</v>
      </c>
      <c r="D3200" s="1" t="s">
        <v>497</v>
      </c>
      <c r="E3200" s="1" t="s">
        <v>553</v>
      </c>
      <c r="F3200" s="1" t="s">
        <v>497</v>
      </c>
      <c r="G3200" s="1" t="s">
        <v>497</v>
      </c>
      <c r="H3200" s="1" t="s">
        <v>463</v>
      </c>
    </row>
    <row r="3201" customFormat="false" ht="12" hidden="false" customHeight="true" outlineLevel="0" collapsed="false">
      <c r="B3201" s="1" t="s">
        <v>732</v>
      </c>
      <c r="C3201" s="1" t="s">
        <v>733</v>
      </c>
      <c r="D3201" s="1" t="s">
        <v>497</v>
      </c>
      <c r="E3201" s="1" t="s">
        <v>553</v>
      </c>
      <c r="F3201" s="1" t="s">
        <v>497</v>
      </c>
      <c r="G3201" s="1" t="s">
        <v>497</v>
      </c>
      <c r="H3201" s="1" t="s">
        <v>463</v>
      </c>
    </row>
    <row r="3202" customFormat="false" ht="12" hidden="false" customHeight="true" outlineLevel="0" collapsed="false">
      <c r="B3202" s="1" t="s">
        <v>734</v>
      </c>
      <c r="C3202" s="1" t="s">
        <v>735</v>
      </c>
      <c r="D3202" s="1" t="s">
        <v>497</v>
      </c>
      <c r="E3202" s="1" t="s">
        <v>562</v>
      </c>
      <c r="F3202" s="1" t="s">
        <v>497</v>
      </c>
      <c r="G3202" s="1" t="s">
        <v>497</v>
      </c>
      <c r="H3202" s="1" t="s">
        <v>463</v>
      </c>
    </row>
    <row r="3203" customFormat="false" ht="12" hidden="false" customHeight="true" outlineLevel="0" collapsed="false">
      <c r="B3203" s="1" t="s">
        <v>737</v>
      </c>
      <c r="C3203" s="1" t="s">
        <v>738</v>
      </c>
      <c r="D3203" s="1" t="s">
        <v>497</v>
      </c>
      <c r="E3203" s="1" t="s">
        <v>562</v>
      </c>
      <c r="F3203" s="1" t="s">
        <v>497</v>
      </c>
      <c r="G3203" s="1" t="s">
        <v>497</v>
      </c>
      <c r="H3203" s="1" t="s">
        <v>463</v>
      </c>
    </row>
    <row r="3204" customFormat="false" ht="12" hidden="false" customHeight="true" outlineLevel="0" collapsed="false">
      <c r="B3204" s="1" t="s">
        <v>739</v>
      </c>
      <c r="C3204" s="1" t="s">
        <v>740</v>
      </c>
      <c r="D3204" s="1" t="s">
        <v>497</v>
      </c>
      <c r="E3204" s="1" t="s">
        <v>570</v>
      </c>
      <c r="F3204" s="1" t="s">
        <v>497</v>
      </c>
      <c r="G3204" s="1" t="s">
        <v>497</v>
      </c>
      <c r="H3204" s="1" t="s">
        <v>463</v>
      </c>
    </row>
    <row r="3205" customFormat="false" ht="12" hidden="false" customHeight="true" outlineLevel="0" collapsed="false">
      <c r="B3205" s="1" t="s">
        <v>742</v>
      </c>
      <c r="C3205" s="1" t="s">
        <v>743</v>
      </c>
      <c r="D3205" s="1" t="s">
        <v>497</v>
      </c>
      <c r="E3205" s="1" t="s">
        <v>586</v>
      </c>
      <c r="F3205" s="1" t="s">
        <v>497</v>
      </c>
      <c r="G3205" s="1" t="s">
        <v>497</v>
      </c>
      <c r="H3205" s="1" t="s">
        <v>463</v>
      </c>
    </row>
    <row r="3206" customFormat="false" ht="12" hidden="false" customHeight="true" outlineLevel="0" collapsed="false">
      <c r="B3206" s="1" t="s">
        <v>745</v>
      </c>
      <c r="C3206" s="1" t="s">
        <v>746</v>
      </c>
      <c r="D3206" s="1" t="s">
        <v>497</v>
      </c>
      <c r="E3206" s="1" t="s">
        <v>586</v>
      </c>
      <c r="F3206" s="1" t="s">
        <v>497</v>
      </c>
      <c r="G3206" s="1" t="s">
        <v>497</v>
      </c>
      <c r="H3206" s="1" t="s">
        <v>463</v>
      </c>
    </row>
    <row r="3207" customFormat="false" ht="12" hidden="false" customHeight="true" outlineLevel="0" collapsed="false">
      <c r="B3207" s="1" t="s">
        <v>747</v>
      </c>
      <c r="C3207" s="1" t="s">
        <v>748</v>
      </c>
      <c r="D3207" s="1" t="s">
        <v>497</v>
      </c>
      <c r="E3207" s="1" t="s">
        <v>660</v>
      </c>
      <c r="F3207" s="1" t="s">
        <v>497</v>
      </c>
      <c r="G3207" s="1" t="s">
        <v>497</v>
      </c>
      <c r="H3207" s="1" t="s">
        <v>463</v>
      </c>
    </row>
    <row r="3208" customFormat="false" ht="12" hidden="false" customHeight="true" outlineLevel="0" collapsed="false">
      <c r="B3208" s="1" t="s">
        <v>750</v>
      </c>
      <c r="C3208" s="1" t="s">
        <v>751</v>
      </c>
      <c r="D3208" s="1" t="s">
        <v>497</v>
      </c>
      <c r="E3208" s="1" t="s">
        <v>660</v>
      </c>
      <c r="F3208" s="1" t="s">
        <v>497</v>
      </c>
      <c r="G3208" s="1" t="s">
        <v>497</v>
      </c>
      <c r="H3208" s="1" t="s">
        <v>463</v>
      </c>
    </row>
    <row r="3209" customFormat="false" ht="12" hidden="false" customHeight="true" outlineLevel="0" collapsed="false">
      <c r="B3209" s="1" t="s">
        <v>752</v>
      </c>
      <c r="C3209" s="1" t="s">
        <v>753</v>
      </c>
      <c r="D3209" s="1" t="s">
        <v>497</v>
      </c>
      <c r="E3209" s="1" t="s">
        <v>754</v>
      </c>
      <c r="F3209" s="1" t="s">
        <v>497</v>
      </c>
      <c r="G3209" s="1" t="s">
        <v>497</v>
      </c>
      <c r="H3209" s="1" t="s">
        <v>463</v>
      </c>
    </row>
    <row r="3210" customFormat="false" ht="12" hidden="false" customHeight="true" outlineLevel="0" collapsed="false">
      <c r="B3210" s="1" t="s">
        <v>756</v>
      </c>
      <c r="C3210" s="1" t="s">
        <v>757</v>
      </c>
      <c r="D3210" s="1" t="s">
        <v>497</v>
      </c>
      <c r="E3210" s="1" t="s">
        <v>754</v>
      </c>
      <c r="F3210" s="1" t="s">
        <v>497</v>
      </c>
      <c r="G3210" s="1" t="s">
        <v>497</v>
      </c>
      <c r="H3210" s="1" t="s">
        <v>463</v>
      </c>
    </row>
    <row r="3211" customFormat="false" ht="12" hidden="false" customHeight="true" outlineLevel="0" collapsed="false">
      <c r="B3211" s="1" t="s">
        <v>758</v>
      </c>
      <c r="C3211" s="1" t="s">
        <v>759</v>
      </c>
      <c r="D3211" s="1" t="s">
        <v>497</v>
      </c>
      <c r="E3211" s="1" t="s">
        <v>760</v>
      </c>
      <c r="F3211" s="1" t="s">
        <v>497</v>
      </c>
      <c r="G3211" s="1" t="s">
        <v>497</v>
      </c>
      <c r="H3211" s="1" t="s">
        <v>463</v>
      </c>
    </row>
    <row r="3212" customFormat="false" ht="12" hidden="false" customHeight="true" outlineLevel="0" collapsed="false">
      <c r="B3212" s="1" t="s">
        <v>762</v>
      </c>
      <c r="C3212" s="1" t="s">
        <v>763</v>
      </c>
      <c r="D3212" s="1" t="s">
        <v>497</v>
      </c>
      <c r="E3212" s="1" t="s">
        <v>760</v>
      </c>
      <c r="F3212" s="1" t="s">
        <v>497</v>
      </c>
      <c r="G3212" s="1" t="s">
        <v>497</v>
      </c>
      <c r="H3212" s="1" t="s">
        <v>463</v>
      </c>
    </row>
    <row r="3213" customFormat="false" ht="12" hidden="false" customHeight="true" outlineLevel="0" collapsed="false">
      <c r="B3213" s="1" t="s">
        <v>764</v>
      </c>
      <c r="C3213" s="1" t="s">
        <v>765</v>
      </c>
      <c r="D3213" s="1" t="s">
        <v>497</v>
      </c>
      <c r="E3213" s="1" t="s">
        <v>766</v>
      </c>
      <c r="F3213" s="1" t="s">
        <v>497</v>
      </c>
      <c r="G3213" s="1" t="s">
        <v>497</v>
      </c>
      <c r="H3213" s="1" t="s">
        <v>463</v>
      </c>
    </row>
    <row r="3214" customFormat="false" ht="12" hidden="false" customHeight="true" outlineLevel="0" collapsed="false">
      <c r="B3214" s="1" t="s">
        <v>768</v>
      </c>
      <c r="C3214" s="1" t="s">
        <v>769</v>
      </c>
      <c r="D3214" s="1" t="s">
        <v>501</v>
      </c>
      <c r="E3214" s="1" t="s">
        <v>497</v>
      </c>
      <c r="F3214" s="1" t="s">
        <v>501</v>
      </c>
      <c r="G3214" s="1" t="s">
        <v>501</v>
      </c>
      <c r="H3214" s="1" t="s">
        <v>463</v>
      </c>
    </row>
    <row r="3215" customFormat="false" ht="12" hidden="false" customHeight="true" outlineLevel="0" collapsed="false">
      <c r="B3215" s="1" t="s">
        <v>771</v>
      </c>
      <c r="C3215" s="1" t="s">
        <v>772</v>
      </c>
      <c r="D3215" s="1" t="s">
        <v>501</v>
      </c>
      <c r="E3215" s="1" t="s">
        <v>497</v>
      </c>
      <c r="F3215" s="1" t="s">
        <v>501</v>
      </c>
      <c r="G3215" s="1" t="s">
        <v>501</v>
      </c>
      <c r="H3215" s="1" t="s">
        <v>463</v>
      </c>
    </row>
    <row r="3216" customFormat="false" ht="12" hidden="false" customHeight="true" outlineLevel="0" collapsed="false">
      <c r="B3216" s="1" t="s">
        <v>773</v>
      </c>
      <c r="C3216" s="1" t="s">
        <v>774</v>
      </c>
      <c r="D3216" s="1" t="s">
        <v>501</v>
      </c>
      <c r="E3216" s="1" t="s">
        <v>501</v>
      </c>
      <c r="F3216" s="1" t="s">
        <v>501</v>
      </c>
      <c r="G3216" s="1" t="s">
        <v>501</v>
      </c>
      <c r="H3216" s="1" t="s">
        <v>463</v>
      </c>
    </row>
    <row r="3217" customFormat="false" ht="12" hidden="false" customHeight="true" outlineLevel="0" collapsed="false">
      <c r="B3217" s="1" t="s">
        <v>776</v>
      </c>
      <c r="C3217" s="1" t="s">
        <v>777</v>
      </c>
      <c r="D3217" s="1" t="s">
        <v>501</v>
      </c>
      <c r="E3217" s="1" t="s">
        <v>506</v>
      </c>
      <c r="F3217" s="1" t="s">
        <v>501</v>
      </c>
      <c r="G3217" s="1" t="s">
        <v>501</v>
      </c>
      <c r="H3217" s="1" t="s">
        <v>463</v>
      </c>
    </row>
    <row r="3218" customFormat="false" ht="12" hidden="false" customHeight="true" outlineLevel="0" collapsed="false">
      <c r="B3218" s="1" t="s">
        <v>779</v>
      </c>
      <c r="C3218" s="1" t="s">
        <v>780</v>
      </c>
      <c r="D3218" s="1" t="s">
        <v>501</v>
      </c>
      <c r="E3218" s="1" t="s">
        <v>511</v>
      </c>
      <c r="F3218" s="1" t="s">
        <v>501</v>
      </c>
      <c r="G3218" s="1" t="s">
        <v>501</v>
      </c>
      <c r="H3218" s="1" t="s">
        <v>463</v>
      </c>
    </row>
    <row r="3219" customFormat="false" ht="12" hidden="false" customHeight="true" outlineLevel="0" collapsed="false">
      <c r="B3219" s="1" t="s">
        <v>782</v>
      </c>
      <c r="C3219" s="1" t="s">
        <v>783</v>
      </c>
      <c r="D3219" s="1" t="s">
        <v>501</v>
      </c>
      <c r="E3219" s="1" t="s">
        <v>513</v>
      </c>
      <c r="F3219" s="1" t="s">
        <v>501</v>
      </c>
      <c r="G3219" s="1" t="s">
        <v>501</v>
      </c>
      <c r="H3219" s="1" t="s">
        <v>463</v>
      </c>
    </row>
    <row r="3220" customFormat="false" ht="12" hidden="false" customHeight="true" outlineLevel="0" collapsed="false">
      <c r="B3220" s="1" t="s">
        <v>785</v>
      </c>
      <c r="C3220" s="1" t="s">
        <v>786</v>
      </c>
      <c r="D3220" s="1" t="s">
        <v>501</v>
      </c>
      <c r="E3220" s="1" t="s">
        <v>517</v>
      </c>
      <c r="F3220" s="1" t="s">
        <v>501</v>
      </c>
      <c r="G3220" s="1" t="s">
        <v>501</v>
      </c>
      <c r="H3220" s="1" t="s">
        <v>463</v>
      </c>
    </row>
    <row r="3221" customFormat="false" ht="12" hidden="false" customHeight="true" outlineLevel="0" collapsed="false">
      <c r="B3221" s="1" t="s">
        <v>788</v>
      </c>
      <c r="C3221" s="1" t="s">
        <v>789</v>
      </c>
      <c r="D3221" s="1" t="s">
        <v>501</v>
      </c>
      <c r="E3221" s="1" t="s">
        <v>522</v>
      </c>
      <c r="F3221" s="1" t="s">
        <v>501</v>
      </c>
      <c r="G3221" s="1" t="s">
        <v>501</v>
      </c>
      <c r="H3221" s="1" t="s">
        <v>463</v>
      </c>
    </row>
    <row r="3222" customFormat="false" ht="12" hidden="false" customHeight="true" outlineLevel="0" collapsed="false">
      <c r="B3222" s="1" t="s">
        <v>791</v>
      </c>
      <c r="C3222" s="1" t="s">
        <v>792</v>
      </c>
      <c r="D3222" s="1" t="s">
        <v>501</v>
      </c>
      <c r="E3222" s="1" t="s">
        <v>527</v>
      </c>
      <c r="F3222" s="1" t="s">
        <v>501</v>
      </c>
      <c r="G3222" s="1" t="s">
        <v>501</v>
      </c>
      <c r="H3222" s="1" t="s">
        <v>463</v>
      </c>
    </row>
    <row r="3223" customFormat="false" ht="12" hidden="false" customHeight="true" outlineLevel="0" collapsed="false">
      <c r="B3223" s="1" t="s">
        <v>794</v>
      </c>
      <c r="C3223" s="1" t="s">
        <v>795</v>
      </c>
      <c r="D3223" s="1" t="s">
        <v>501</v>
      </c>
      <c r="E3223" s="1" t="s">
        <v>529</v>
      </c>
      <c r="F3223" s="1" t="s">
        <v>501</v>
      </c>
      <c r="G3223" s="1" t="s">
        <v>501</v>
      </c>
      <c r="H3223" s="1" t="s">
        <v>463</v>
      </c>
    </row>
    <row r="3224" customFormat="false" ht="12" hidden="false" customHeight="true" outlineLevel="0" collapsed="false">
      <c r="B3224" s="1" t="s">
        <v>797</v>
      </c>
      <c r="C3224" s="1" t="s">
        <v>798</v>
      </c>
      <c r="D3224" s="1" t="s">
        <v>501</v>
      </c>
      <c r="E3224" s="1" t="s">
        <v>529</v>
      </c>
      <c r="F3224" s="1" t="s">
        <v>501</v>
      </c>
      <c r="G3224" s="1" t="s">
        <v>501</v>
      </c>
      <c r="H3224" s="1" t="s">
        <v>463</v>
      </c>
    </row>
    <row r="3225" customFormat="false" ht="12" hidden="false" customHeight="true" outlineLevel="0" collapsed="false">
      <c r="B3225" s="1" t="s">
        <v>799</v>
      </c>
      <c r="C3225" s="1" t="s">
        <v>800</v>
      </c>
      <c r="D3225" s="1" t="s">
        <v>501</v>
      </c>
      <c r="E3225" s="1" t="s">
        <v>533</v>
      </c>
      <c r="F3225" s="1" t="s">
        <v>501</v>
      </c>
      <c r="G3225" s="1" t="s">
        <v>501</v>
      </c>
      <c r="H3225" s="1" t="s">
        <v>463</v>
      </c>
    </row>
    <row r="3226" customFormat="false" ht="12" hidden="false" customHeight="true" outlineLevel="0" collapsed="false">
      <c r="B3226" s="1" t="s">
        <v>802</v>
      </c>
      <c r="C3226" s="1" t="s">
        <v>803</v>
      </c>
      <c r="D3226" s="1" t="s">
        <v>501</v>
      </c>
      <c r="E3226" s="1" t="s">
        <v>533</v>
      </c>
      <c r="F3226" s="1" t="s">
        <v>501</v>
      </c>
      <c r="G3226" s="1" t="s">
        <v>501</v>
      </c>
      <c r="H3226" s="1" t="s">
        <v>463</v>
      </c>
    </row>
    <row r="3227" customFormat="false" ht="12" hidden="false" customHeight="true" outlineLevel="0" collapsed="false">
      <c r="B3227" s="1" t="s">
        <v>805</v>
      </c>
      <c r="C3227" s="1" t="s">
        <v>806</v>
      </c>
      <c r="D3227" s="1" t="s">
        <v>501</v>
      </c>
      <c r="E3227" s="1" t="s">
        <v>537</v>
      </c>
      <c r="F3227" s="1" t="s">
        <v>501</v>
      </c>
      <c r="G3227" s="1" t="s">
        <v>501</v>
      </c>
      <c r="H3227" s="1" t="s">
        <v>463</v>
      </c>
    </row>
    <row r="3228" customFormat="false" ht="12" hidden="false" customHeight="true" outlineLevel="0" collapsed="false">
      <c r="B3228" s="1" t="s">
        <v>808</v>
      </c>
      <c r="C3228" s="1" t="s">
        <v>809</v>
      </c>
      <c r="D3228" s="1" t="s">
        <v>501</v>
      </c>
      <c r="E3228" s="1" t="s">
        <v>537</v>
      </c>
      <c r="F3228" s="1" t="s">
        <v>501</v>
      </c>
      <c r="G3228" s="1" t="s">
        <v>501</v>
      </c>
      <c r="H3228" s="1" t="s">
        <v>463</v>
      </c>
    </row>
    <row r="3229" customFormat="false" ht="12" hidden="false" customHeight="true" outlineLevel="0" collapsed="false">
      <c r="B3229" s="1" t="s">
        <v>810</v>
      </c>
      <c r="C3229" s="1" t="s">
        <v>811</v>
      </c>
      <c r="D3229" s="1" t="s">
        <v>501</v>
      </c>
      <c r="E3229" s="1" t="s">
        <v>539</v>
      </c>
      <c r="F3229" s="1" t="s">
        <v>501</v>
      </c>
      <c r="G3229" s="1" t="s">
        <v>501</v>
      </c>
      <c r="H3229" s="1" t="s">
        <v>463</v>
      </c>
    </row>
    <row r="3230" customFormat="false" ht="12" hidden="false" customHeight="true" outlineLevel="0" collapsed="false">
      <c r="B3230" s="1" t="s">
        <v>813</v>
      </c>
      <c r="C3230" s="1" t="s">
        <v>814</v>
      </c>
      <c r="D3230" s="1" t="s">
        <v>501</v>
      </c>
      <c r="E3230" s="1" t="s">
        <v>543</v>
      </c>
      <c r="F3230" s="1" t="s">
        <v>501</v>
      </c>
      <c r="G3230" s="1" t="s">
        <v>501</v>
      </c>
      <c r="H3230" s="1" t="s">
        <v>463</v>
      </c>
    </row>
    <row r="3231" customFormat="false" ht="12" hidden="false" customHeight="true" outlineLevel="0" collapsed="false">
      <c r="B3231" s="1" t="s">
        <v>816</v>
      </c>
      <c r="C3231" s="1" t="s">
        <v>817</v>
      </c>
      <c r="D3231" s="1" t="s">
        <v>501</v>
      </c>
      <c r="E3231" s="1" t="s">
        <v>543</v>
      </c>
      <c r="F3231" s="1" t="s">
        <v>501</v>
      </c>
      <c r="G3231" s="1" t="s">
        <v>501</v>
      </c>
      <c r="H3231" s="1" t="s">
        <v>463</v>
      </c>
    </row>
    <row r="3232" customFormat="false" ht="12" hidden="false" customHeight="true" outlineLevel="0" collapsed="false">
      <c r="B3232" s="1" t="s">
        <v>818</v>
      </c>
      <c r="C3232" s="1" t="s">
        <v>819</v>
      </c>
      <c r="D3232" s="1" t="s">
        <v>501</v>
      </c>
      <c r="E3232" s="1" t="s">
        <v>547</v>
      </c>
      <c r="F3232" s="1" t="s">
        <v>501</v>
      </c>
      <c r="G3232" s="1" t="s">
        <v>501</v>
      </c>
      <c r="H3232" s="1" t="s">
        <v>463</v>
      </c>
    </row>
    <row r="3233" customFormat="false" ht="12" hidden="false" customHeight="true" outlineLevel="0" collapsed="false">
      <c r="B3233" s="1" t="s">
        <v>821</v>
      </c>
      <c r="C3233" s="1" t="s">
        <v>822</v>
      </c>
      <c r="D3233" s="1" t="s">
        <v>501</v>
      </c>
      <c r="E3233" s="1" t="s">
        <v>553</v>
      </c>
      <c r="F3233" s="1" t="s">
        <v>501</v>
      </c>
      <c r="G3233" s="1" t="s">
        <v>501</v>
      </c>
      <c r="H3233" s="1" t="s">
        <v>463</v>
      </c>
    </row>
    <row r="3234" customFormat="false" ht="12" hidden="false" customHeight="true" outlineLevel="0" collapsed="false">
      <c r="B3234" s="1" t="s">
        <v>824</v>
      </c>
      <c r="C3234" s="1" t="s">
        <v>825</v>
      </c>
      <c r="D3234" s="1" t="s">
        <v>501</v>
      </c>
      <c r="E3234" s="1" t="s">
        <v>553</v>
      </c>
      <c r="F3234" s="1" t="s">
        <v>501</v>
      </c>
      <c r="G3234" s="1" t="s">
        <v>501</v>
      </c>
      <c r="H3234" s="1" t="s">
        <v>463</v>
      </c>
    </row>
    <row r="3235" customFormat="false" ht="12" hidden="false" customHeight="true" outlineLevel="0" collapsed="false">
      <c r="B3235" s="1" t="s">
        <v>826</v>
      </c>
      <c r="C3235" s="1" t="s">
        <v>827</v>
      </c>
      <c r="D3235" s="1" t="s">
        <v>501</v>
      </c>
      <c r="E3235" s="1" t="s">
        <v>562</v>
      </c>
      <c r="F3235" s="1" t="s">
        <v>501</v>
      </c>
      <c r="G3235" s="1" t="s">
        <v>501</v>
      </c>
      <c r="H3235" s="1" t="s">
        <v>463</v>
      </c>
    </row>
    <row r="3236" customFormat="false" ht="12" hidden="false" customHeight="true" outlineLevel="0" collapsed="false">
      <c r="B3236" s="1" t="s">
        <v>829</v>
      </c>
      <c r="C3236" s="1" t="s">
        <v>830</v>
      </c>
      <c r="D3236" s="1" t="s">
        <v>501</v>
      </c>
      <c r="E3236" s="1" t="s">
        <v>562</v>
      </c>
      <c r="F3236" s="1" t="s">
        <v>501</v>
      </c>
      <c r="G3236" s="1" t="s">
        <v>501</v>
      </c>
      <c r="H3236" s="1" t="s">
        <v>463</v>
      </c>
    </row>
    <row r="3237" customFormat="false" ht="12" hidden="false" customHeight="true" outlineLevel="0" collapsed="false">
      <c r="B3237" s="1" t="s">
        <v>831</v>
      </c>
      <c r="C3237" s="1" t="s">
        <v>832</v>
      </c>
      <c r="D3237" s="1" t="s">
        <v>501</v>
      </c>
      <c r="E3237" s="1" t="s">
        <v>570</v>
      </c>
      <c r="F3237" s="1" t="s">
        <v>501</v>
      </c>
      <c r="G3237" s="1" t="s">
        <v>501</v>
      </c>
      <c r="H3237" s="1" t="s">
        <v>463</v>
      </c>
    </row>
    <row r="3238" customFormat="false" ht="12" hidden="false" customHeight="true" outlineLevel="0" collapsed="false">
      <c r="B3238" s="1" t="s">
        <v>834</v>
      </c>
      <c r="C3238" s="1" t="s">
        <v>835</v>
      </c>
      <c r="D3238" s="1" t="s">
        <v>501</v>
      </c>
      <c r="E3238" s="1" t="s">
        <v>570</v>
      </c>
      <c r="F3238" s="1" t="s">
        <v>501</v>
      </c>
      <c r="G3238" s="1" t="s">
        <v>501</v>
      </c>
      <c r="H3238" s="1" t="s">
        <v>463</v>
      </c>
    </row>
    <row r="3239" customFormat="false" ht="12" hidden="false" customHeight="true" outlineLevel="0" collapsed="false">
      <c r="B3239" s="1" t="s">
        <v>836</v>
      </c>
      <c r="C3239" s="1" t="s">
        <v>837</v>
      </c>
      <c r="D3239" s="1" t="s">
        <v>501</v>
      </c>
      <c r="E3239" s="1" t="s">
        <v>576</v>
      </c>
      <c r="F3239" s="1" t="s">
        <v>501</v>
      </c>
      <c r="G3239" s="1" t="s">
        <v>501</v>
      </c>
      <c r="H3239" s="1" t="s">
        <v>463</v>
      </c>
    </row>
    <row r="3240" customFormat="false" ht="12" hidden="false" customHeight="true" outlineLevel="0" collapsed="false">
      <c r="B3240" s="1" t="s">
        <v>839</v>
      </c>
      <c r="C3240" s="1" t="s">
        <v>840</v>
      </c>
      <c r="D3240" s="1" t="s">
        <v>501</v>
      </c>
      <c r="E3240" s="1" t="s">
        <v>576</v>
      </c>
      <c r="F3240" s="1" t="s">
        <v>501</v>
      </c>
      <c r="G3240" s="1" t="s">
        <v>501</v>
      </c>
      <c r="H3240" s="1" t="s">
        <v>463</v>
      </c>
    </row>
    <row r="3241" customFormat="false" ht="12" hidden="false" customHeight="true" outlineLevel="0" collapsed="false">
      <c r="B3241" s="1" t="s">
        <v>841</v>
      </c>
      <c r="C3241" s="1" t="s">
        <v>842</v>
      </c>
      <c r="D3241" s="1" t="s">
        <v>501</v>
      </c>
      <c r="E3241" s="1" t="s">
        <v>582</v>
      </c>
      <c r="F3241" s="1" t="s">
        <v>501</v>
      </c>
      <c r="G3241" s="1" t="s">
        <v>501</v>
      </c>
      <c r="H3241" s="1" t="s">
        <v>463</v>
      </c>
    </row>
    <row r="3242" customFormat="false" ht="12" hidden="false" customHeight="true" outlineLevel="0" collapsed="false">
      <c r="B3242" s="1" t="s">
        <v>844</v>
      </c>
      <c r="C3242" s="1" t="s">
        <v>845</v>
      </c>
      <c r="D3242" s="1" t="s">
        <v>501</v>
      </c>
      <c r="E3242" s="1" t="s">
        <v>582</v>
      </c>
      <c r="F3242" s="1" t="s">
        <v>501</v>
      </c>
      <c r="G3242" s="1" t="s">
        <v>501</v>
      </c>
      <c r="H3242" s="1" t="s">
        <v>463</v>
      </c>
    </row>
    <row r="3243" customFormat="false" ht="12" hidden="false" customHeight="true" outlineLevel="0" collapsed="false">
      <c r="B3243" s="1" t="s">
        <v>846</v>
      </c>
      <c r="C3243" s="1" t="s">
        <v>847</v>
      </c>
      <c r="D3243" s="1" t="s">
        <v>501</v>
      </c>
      <c r="E3243" s="1" t="s">
        <v>586</v>
      </c>
      <c r="F3243" s="1" t="s">
        <v>501</v>
      </c>
      <c r="G3243" s="1" t="s">
        <v>501</v>
      </c>
      <c r="H3243" s="1" t="s">
        <v>463</v>
      </c>
    </row>
    <row r="3244" customFormat="false" ht="12" hidden="false" customHeight="true" outlineLevel="0" collapsed="false">
      <c r="B3244" s="1" t="s">
        <v>849</v>
      </c>
      <c r="C3244" s="1" t="s">
        <v>850</v>
      </c>
      <c r="D3244" s="1" t="s">
        <v>501</v>
      </c>
      <c r="E3244" s="1" t="s">
        <v>586</v>
      </c>
      <c r="F3244" s="1" t="s">
        <v>501</v>
      </c>
      <c r="G3244" s="1" t="s">
        <v>501</v>
      </c>
      <c r="H3244" s="1" t="s">
        <v>463</v>
      </c>
    </row>
    <row r="3245" customFormat="false" ht="12" hidden="false" customHeight="true" outlineLevel="0" collapsed="false">
      <c r="B3245" s="1" t="s">
        <v>851</v>
      </c>
      <c r="C3245" s="1" t="s">
        <v>852</v>
      </c>
      <c r="D3245" s="1" t="s">
        <v>501</v>
      </c>
      <c r="E3245" s="1" t="s">
        <v>660</v>
      </c>
      <c r="F3245" s="1" t="s">
        <v>501</v>
      </c>
      <c r="G3245" s="1" t="s">
        <v>501</v>
      </c>
      <c r="H3245" s="1" t="s">
        <v>463</v>
      </c>
    </row>
    <row r="3246" customFormat="false" ht="12" hidden="false" customHeight="true" outlineLevel="0" collapsed="false">
      <c r="B3246" s="1" t="s">
        <v>854</v>
      </c>
      <c r="C3246" s="1" t="s">
        <v>855</v>
      </c>
      <c r="D3246" s="1" t="s">
        <v>501</v>
      </c>
      <c r="E3246" s="1" t="s">
        <v>660</v>
      </c>
      <c r="F3246" s="1" t="s">
        <v>501</v>
      </c>
      <c r="G3246" s="1" t="s">
        <v>501</v>
      </c>
      <c r="H3246" s="1" t="s">
        <v>463</v>
      </c>
    </row>
    <row r="3247" customFormat="false" ht="12" hidden="false" customHeight="true" outlineLevel="0" collapsed="false">
      <c r="B3247" s="1" t="s">
        <v>856</v>
      </c>
      <c r="C3247" s="1" t="s">
        <v>857</v>
      </c>
      <c r="D3247" s="1" t="s">
        <v>501</v>
      </c>
      <c r="E3247" s="1" t="s">
        <v>754</v>
      </c>
      <c r="F3247" s="1" t="s">
        <v>501</v>
      </c>
      <c r="G3247" s="1" t="s">
        <v>501</v>
      </c>
      <c r="H3247" s="1" t="s">
        <v>463</v>
      </c>
    </row>
    <row r="3248" customFormat="false" ht="12" hidden="false" customHeight="true" outlineLevel="0" collapsed="false">
      <c r="B3248" s="1" t="s">
        <v>859</v>
      </c>
      <c r="C3248" s="1" t="s">
        <v>860</v>
      </c>
      <c r="D3248" s="1" t="s">
        <v>506</v>
      </c>
      <c r="E3248" s="1" t="s">
        <v>513</v>
      </c>
      <c r="F3248" s="1" t="s">
        <v>506</v>
      </c>
      <c r="G3248" s="1" t="s">
        <v>506</v>
      </c>
      <c r="H3248" s="1" t="s">
        <v>463</v>
      </c>
    </row>
    <row r="3249" customFormat="false" ht="12" hidden="false" customHeight="true" outlineLevel="0" collapsed="false">
      <c r="B3249" s="1" t="s">
        <v>862</v>
      </c>
      <c r="C3249" s="1" t="s">
        <v>863</v>
      </c>
      <c r="D3249" s="1" t="s">
        <v>506</v>
      </c>
      <c r="E3249" s="1" t="s">
        <v>517</v>
      </c>
      <c r="F3249" s="1" t="s">
        <v>506</v>
      </c>
      <c r="G3249" s="1" t="s">
        <v>506</v>
      </c>
      <c r="H3249" s="1" t="s">
        <v>463</v>
      </c>
    </row>
    <row r="3250" customFormat="false" ht="12" hidden="false" customHeight="true" outlineLevel="0" collapsed="false">
      <c r="B3250" s="1" t="s">
        <v>865</v>
      </c>
      <c r="C3250" s="1" t="s">
        <v>866</v>
      </c>
      <c r="D3250" s="1" t="s">
        <v>506</v>
      </c>
      <c r="E3250" s="1" t="s">
        <v>517</v>
      </c>
      <c r="F3250" s="1" t="s">
        <v>506</v>
      </c>
      <c r="G3250" s="1" t="s">
        <v>506</v>
      </c>
      <c r="H3250" s="1" t="s">
        <v>463</v>
      </c>
    </row>
    <row r="3251" customFormat="false" ht="12" hidden="false" customHeight="true" outlineLevel="0" collapsed="false">
      <c r="B3251" s="1" t="s">
        <v>867</v>
      </c>
      <c r="C3251" s="1" t="s">
        <v>868</v>
      </c>
      <c r="D3251" s="1" t="s">
        <v>506</v>
      </c>
      <c r="E3251" s="1" t="s">
        <v>522</v>
      </c>
      <c r="F3251" s="1" t="s">
        <v>506</v>
      </c>
      <c r="G3251" s="1" t="s">
        <v>506</v>
      </c>
      <c r="H3251" s="1" t="s">
        <v>463</v>
      </c>
    </row>
    <row r="3252" customFormat="false" ht="12" hidden="false" customHeight="true" outlineLevel="0" collapsed="false">
      <c r="B3252" s="1" t="s">
        <v>870</v>
      </c>
      <c r="C3252" s="1" t="s">
        <v>871</v>
      </c>
      <c r="D3252" s="1" t="s">
        <v>506</v>
      </c>
      <c r="E3252" s="1" t="s">
        <v>527</v>
      </c>
      <c r="F3252" s="1" t="s">
        <v>506</v>
      </c>
      <c r="G3252" s="1" t="s">
        <v>506</v>
      </c>
      <c r="H3252" s="1" t="s">
        <v>463</v>
      </c>
    </row>
    <row r="3253" customFormat="false" ht="12" hidden="false" customHeight="true" outlineLevel="0" collapsed="false">
      <c r="B3253" s="1" t="s">
        <v>873</v>
      </c>
      <c r="C3253" s="1" t="s">
        <v>874</v>
      </c>
      <c r="D3253" s="1" t="s">
        <v>506</v>
      </c>
      <c r="E3253" s="1" t="s">
        <v>527</v>
      </c>
      <c r="F3253" s="1" t="s">
        <v>506</v>
      </c>
      <c r="G3253" s="1" t="s">
        <v>506</v>
      </c>
      <c r="H3253" s="1" t="s">
        <v>463</v>
      </c>
    </row>
    <row r="3254" customFormat="false" ht="12" hidden="false" customHeight="true" outlineLevel="0" collapsed="false">
      <c r="B3254" s="1" t="s">
        <v>875</v>
      </c>
      <c r="C3254" s="1" t="s">
        <v>876</v>
      </c>
      <c r="D3254" s="1" t="s">
        <v>506</v>
      </c>
      <c r="E3254" s="1" t="s">
        <v>529</v>
      </c>
      <c r="F3254" s="1" t="s">
        <v>506</v>
      </c>
      <c r="G3254" s="1" t="s">
        <v>506</v>
      </c>
      <c r="H3254" s="1" t="s">
        <v>463</v>
      </c>
    </row>
    <row r="3255" customFormat="false" ht="12" hidden="false" customHeight="true" outlineLevel="0" collapsed="false">
      <c r="B3255" s="1" t="s">
        <v>878</v>
      </c>
      <c r="C3255" s="1" t="s">
        <v>879</v>
      </c>
      <c r="D3255" s="1" t="s">
        <v>506</v>
      </c>
      <c r="E3255" s="1" t="s">
        <v>533</v>
      </c>
      <c r="F3255" s="1" t="s">
        <v>506</v>
      </c>
      <c r="G3255" s="1" t="s">
        <v>506</v>
      </c>
      <c r="H3255" s="1" t="s">
        <v>463</v>
      </c>
    </row>
    <row r="3256" customFormat="false" ht="12" hidden="false" customHeight="true" outlineLevel="0" collapsed="false">
      <c r="B3256" s="1" t="s">
        <v>881</v>
      </c>
      <c r="C3256" s="1" t="s">
        <v>882</v>
      </c>
      <c r="D3256" s="1" t="s">
        <v>506</v>
      </c>
      <c r="E3256" s="1" t="s">
        <v>537</v>
      </c>
      <c r="F3256" s="1" t="s">
        <v>506</v>
      </c>
      <c r="G3256" s="1" t="s">
        <v>506</v>
      </c>
      <c r="H3256" s="1" t="s">
        <v>463</v>
      </c>
    </row>
    <row r="3257" customFormat="false" ht="12" hidden="false" customHeight="true" outlineLevel="0" collapsed="false">
      <c r="B3257" s="1" t="s">
        <v>884</v>
      </c>
      <c r="C3257" s="1" t="s">
        <v>885</v>
      </c>
      <c r="D3257" s="1" t="s">
        <v>506</v>
      </c>
      <c r="E3257" s="1" t="s">
        <v>537</v>
      </c>
      <c r="F3257" s="1" t="s">
        <v>506</v>
      </c>
      <c r="G3257" s="1" t="s">
        <v>506</v>
      </c>
      <c r="H3257" s="1" t="s">
        <v>463</v>
      </c>
    </row>
    <row r="3258" customFormat="false" ht="12" hidden="false" customHeight="true" outlineLevel="0" collapsed="false">
      <c r="B3258" s="1" t="s">
        <v>886</v>
      </c>
      <c r="C3258" s="1" t="s">
        <v>887</v>
      </c>
      <c r="D3258" s="1" t="s">
        <v>506</v>
      </c>
      <c r="E3258" s="1" t="s">
        <v>539</v>
      </c>
      <c r="F3258" s="1" t="s">
        <v>506</v>
      </c>
      <c r="G3258" s="1" t="s">
        <v>506</v>
      </c>
      <c r="H3258" s="1" t="s">
        <v>463</v>
      </c>
    </row>
    <row r="3259" customFormat="false" ht="12" hidden="false" customHeight="true" outlineLevel="0" collapsed="false">
      <c r="B3259" s="1" t="s">
        <v>889</v>
      </c>
      <c r="C3259" s="1" t="s">
        <v>890</v>
      </c>
      <c r="D3259" s="1" t="s">
        <v>506</v>
      </c>
      <c r="E3259" s="1" t="s">
        <v>543</v>
      </c>
      <c r="F3259" s="1" t="s">
        <v>506</v>
      </c>
      <c r="G3259" s="1" t="s">
        <v>506</v>
      </c>
      <c r="H3259" s="1" t="s">
        <v>463</v>
      </c>
    </row>
    <row r="3260" customFormat="false" ht="12" hidden="false" customHeight="true" outlineLevel="0" collapsed="false">
      <c r="B3260" s="1" t="s">
        <v>892</v>
      </c>
      <c r="C3260" s="1" t="s">
        <v>893</v>
      </c>
      <c r="D3260" s="1" t="s">
        <v>506</v>
      </c>
      <c r="E3260" s="1" t="s">
        <v>547</v>
      </c>
      <c r="F3260" s="1" t="s">
        <v>506</v>
      </c>
      <c r="G3260" s="1" t="s">
        <v>506</v>
      </c>
      <c r="H3260" s="1" t="s">
        <v>463</v>
      </c>
    </row>
    <row r="3261" customFormat="false" ht="12" hidden="false" customHeight="true" outlineLevel="0" collapsed="false">
      <c r="B3261" s="1" t="s">
        <v>895</v>
      </c>
      <c r="C3261" s="1" t="s">
        <v>896</v>
      </c>
      <c r="D3261" s="1" t="s">
        <v>506</v>
      </c>
      <c r="E3261" s="1" t="s">
        <v>549</v>
      </c>
      <c r="F3261" s="1" t="s">
        <v>506</v>
      </c>
      <c r="G3261" s="1" t="s">
        <v>506</v>
      </c>
      <c r="H3261" s="1" t="s">
        <v>463</v>
      </c>
    </row>
    <row r="3262" customFormat="false" ht="12" hidden="false" customHeight="true" outlineLevel="0" collapsed="false">
      <c r="B3262" s="1" t="s">
        <v>898</v>
      </c>
      <c r="C3262" s="1" t="s">
        <v>899</v>
      </c>
      <c r="D3262" s="1" t="s">
        <v>506</v>
      </c>
      <c r="E3262" s="1" t="s">
        <v>553</v>
      </c>
      <c r="F3262" s="1" t="s">
        <v>506</v>
      </c>
      <c r="G3262" s="1" t="s">
        <v>506</v>
      </c>
      <c r="H3262" s="1" t="s">
        <v>463</v>
      </c>
    </row>
    <row r="3263" customFormat="false" ht="12" hidden="false" customHeight="true" outlineLevel="0" collapsed="false">
      <c r="B3263" s="1" t="s">
        <v>901</v>
      </c>
      <c r="C3263" s="1" t="s">
        <v>902</v>
      </c>
      <c r="D3263" s="1" t="s">
        <v>506</v>
      </c>
      <c r="E3263" s="1" t="s">
        <v>553</v>
      </c>
      <c r="F3263" s="1" t="s">
        <v>506</v>
      </c>
      <c r="G3263" s="1" t="s">
        <v>506</v>
      </c>
      <c r="H3263" s="1" t="s">
        <v>463</v>
      </c>
    </row>
    <row r="3264" customFormat="false" ht="12" hidden="false" customHeight="true" outlineLevel="0" collapsed="false">
      <c r="B3264" s="1" t="s">
        <v>903</v>
      </c>
      <c r="C3264" s="1" t="s">
        <v>904</v>
      </c>
      <c r="D3264" s="1" t="s">
        <v>506</v>
      </c>
      <c r="E3264" s="1" t="s">
        <v>562</v>
      </c>
      <c r="F3264" s="1" t="s">
        <v>506</v>
      </c>
      <c r="G3264" s="1" t="s">
        <v>506</v>
      </c>
      <c r="H3264" s="1" t="s">
        <v>463</v>
      </c>
    </row>
    <row r="3265" customFormat="false" ht="12" hidden="false" customHeight="true" outlineLevel="0" collapsed="false">
      <c r="B3265" s="1" t="s">
        <v>906</v>
      </c>
      <c r="C3265" s="1" t="s">
        <v>907</v>
      </c>
      <c r="D3265" s="1" t="s">
        <v>506</v>
      </c>
      <c r="E3265" s="1" t="s">
        <v>570</v>
      </c>
      <c r="F3265" s="1" t="s">
        <v>506</v>
      </c>
      <c r="G3265" s="1" t="s">
        <v>506</v>
      </c>
      <c r="H3265" s="1" t="s">
        <v>463</v>
      </c>
    </row>
    <row r="3266" customFormat="false" ht="12" hidden="false" customHeight="true" outlineLevel="0" collapsed="false">
      <c r="B3266" s="1" t="s">
        <v>909</v>
      </c>
      <c r="C3266" s="1" t="s">
        <v>910</v>
      </c>
      <c r="D3266" s="1" t="s">
        <v>506</v>
      </c>
      <c r="E3266" s="1" t="s">
        <v>576</v>
      </c>
      <c r="F3266" s="1" t="s">
        <v>506</v>
      </c>
      <c r="G3266" s="1" t="s">
        <v>506</v>
      </c>
      <c r="H3266" s="1" t="s">
        <v>463</v>
      </c>
    </row>
    <row r="3267" customFormat="false" ht="12" hidden="false" customHeight="true" outlineLevel="0" collapsed="false">
      <c r="B3267" s="1" t="s">
        <v>912</v>
      </c>
      <c r="C3267" s="1" t="s">
        <v>913</v>
      </c>
      <c r="D3267" s="1" t="s">
        <v>506</v>
      </c>
      <c r="E3267" s="1" t="s">
        <v>582</v>
      </c>
      <c r="F3267" s="1" t="s">
        <v>506</v>
      </c>
      <c r="G3267" s="1" t="s">
        <v>506</v>
      </c>
      <c r="H3267" s="1" t="s">
        <v>1309</v>
      </c>
    </row>
    <row r="3268" customFormat="false" ht="12" hidden="false" customHeight="true" outlineLevel="0" collapsed="false">
      <c r="B3268" s="1" t="s">
        <v>915</v>
      </c>
      <c r="C3268" s="1" t="s">
        <v>916</v>
      </c>
      <c r="D3268" s="1" t="s">
        <v>506</v>
      </c>
      <c r="E3268" s="1" t="s">
        <v>586</v>
      </c>
      <c r="F3268" s="1" t="s">
        <v>506</v>
      </c>
      <c r="G3268" s="1" t="s">
        <v>506</v>
      </c>
      <c r="H3268" s="1" t="s">
        <v>463</v>
      </c>
    </row>
    <row r="3269" customFormat="false" ht="12" hidden="false" customHeight="true" outlineLevel="0" collapsed="false">
      <c r="B3269" s="1" t="s">
        <v>918</v>
      </c>
      <c r="C3269" s="1" t="s">
        <v>919</v>
      </c>
      <c r="D3269" s="1" t="s">
        <v>506</v>
      </c>
      <c r="E3269" s="1" t="s">
        <v>586</v>
      </c>
      <c r="F3269" s="1" t="s">
        <v>506</v>
      </c>
      <c r="G3269" s="1" t="s">
        <v>506</v>
      </c>
      <c r="H3269" s="1" t="s">
        <v>463</v>
      </c>
    </row>
    <row r="3270" customFormat="false" ht="12" hidden="false" customHeight="true" outlineLevel="0" collapsed="false">
      <c r="B3270" s="1" t="s">
        <v>920</v>
      </c>
      <c r="C3270" s="1" t="s">
        <v>921</v>
      </c>
      <c r="D3270" s="1" t="s">
        <v>506</v>
      </c>
      <c r="E3270" s="1" t="s">
        <v>660</v>
      </c>
      <c r="F3270" s="1" t="s">
        <v>506</v>
      </c>
      <c r="G3270" s="1" t="s">
        <v>506</v>
      </c>
      <c r="H3270" s="1" t="s">
        <v>463</v>
      </c>
    </row>
    <row r="3271" customFormat="false" ht="12" hidden="false" customHeight="true" outlineLevel="0" collapsed="false">
      <c r="B3271" s="1" t="s">
        <v>924</v>
      </c>
      <c r="C3271" s="1" t="s">
        <v>925</v>
      </c>
      <c r="D3271" s="1" t="s">
        <v>511</v>
      </c>
      <c r="E3271" s="1" t="s">
        <v>926</v>
      </c>
      <c r="F3271" s="1" t="s">
        <v>511</v>
      </c>
      <c r="G3271" s="1" t="s">
        <v>511</v>
      </c>
      <c r="H3271" s="1" t="s">
        <v>1309</v>
      </c>
    </row>
    <row r="3272" customFormat="false" ht="12" hidden="false" customHeight="true" outlineLevel="0" collapsed="false">
      <c r="B3272" s="1" t="s">
        <v>928</v>
      </c>
      <c r="C3272" s="1" t="s">
        <v>929</v>
      </c>
      <c r="D3272" s="1" t="s">
        <v>511</v>
      </c>
      <c r="E3272" s="1" t="s">
        <v>591</v>
      </c>
      <c r="F3272" s="1" t="s">
        <v>511</v>
      </c>
      <c r="G3272" s="1" t="s">
        <v>511</v>
      </c>
      <c r="H3272" s="1" t="s">
        <v>1309</v>
      </c>
    </row>
    <row r="3273" customFormat="false" ht="12" hidden="false" customHeight="true" outlineLevel="0" collapsed="false">
      <c r="B3273" s="1" t="s">
        <v>931</v>
      </c>
      <c r="C3273" s="1" t="s">
        <v>932</v>
      </c>
      <c r="D3273" s="1" t="s">
        <v>511</v>
      </c>
      <c r="E3273" s="1" t="s">
        <v>595</v>
      </c>
      <c r="F3273" s="1" t="s">
        <v>511</v>
      </c>
      <c r="G3273" s="1" t="s">
        <v>511</v>
      </c>
      <c r="H3273" s="1" t="s">
        <v>1309</v>
      </c>
    </row>
    <row r="3274" customFormat="false" ht="12" hidden="false" customHeight="true" outlineLevel="0" collapsed="false">
      <c r="B3274" s="1" t="s">
        <v>934</v>
      </c>
      <c r="C3274" s="1" t="s">
        <v>935</v>
      </c>
      <c r="D3274" s="1" t="s">
        <v>511</v>
      </c>
      <c r="E3274" s="1" t="s">
        <v>595</v>
      </c>
      <c r="F3274" s="1" t="s">
        <v>511</v>
      </c>
      <c r="G3274" s="1" t="s">
        <v>511</v>
      </c>
      <c r="H3274" s="1" t="s">
        <v>1309</v>
      </c>
    </row>
    <row r="3275" customFormat="false" ht="12" hidden="false" customHeight="true" outlineLevel="0" collapsed="false">
      <c r="B3275" s="1" t="s">
        <v>936</v>
      </c>
      <c r="C3275" s="1" t="s">
        <v>937</v>
      </c>
      <c r="D3275" s="1" t="s">
        <v>511</v>
      </c>
      <c r="E3275" s="1" t="s">
        <v>496</v>
      </c>
      <c r="F3275" s="1" t="s">
        <v>511</v>
      </c>
      <c r="G3275" s="1" t="s">
        <v>511</v>
      </c>
      <c r="H3275" s="1" t="s">
        <v>1309</v>
      </c>
    </row>
    <row r="3276" customFormat="false" ht="12" hidden="false" customHeight="true" outlineLevel="0" collapsed="false">
      <c r="B3276" s="1" t="s">
        <v>939</v>
      </c>
      <c r="C3276" s="1" t="s">
        <v>940</v>
      </c>
      <c r="D3276" s="1" t="s">
        <v>511</v>
      </c>
      <c r="E3276" s="1" t="s">
        <v>590</v>
      </c>
      <c r="F3276" s="1" t="s">
        <v>511</v>
      </c>
      <c r="G3276" s="1" t="s">
        <v>511</v>
      </c>
      <c r="H3276" s="1" t="s">
        <v>463</v>
      </c>
    </row>
    <row r="3277" customFormat="false" ht="12" hidden="false" customHeight="true" outlineLevel="0" collapsed="false">
      <c r="B3277" s="1" t="s">
        <v>942</v>
      </c>
      <c r="C3277" s="1" t="s">
        <v>943</v>
      </c>
      <c r="D3277" s="1" t="s">
        <v>511</v>
      </c>
      <c r="E3277" s="1" t="s">
        <v>497</v>
      </c>
      <c r="F3277" s="1" t="s">
        <v>511</v>
      </c>
      <c r="G3277" s="1" t="s">
        <v>511</v>
      </c>
      <c r="H3277" s="1" t="s">
        <v>463</v>
      </c>
    </row>
    <row r="3278" customFormat="false" ht="12" hidden="false" customHeight="true" outlineLevel="0" collapsed="false">
      <c r="B3278" s="1" t="s">
        <v>945</v>
      </c>
      <c r="C3278" s="1" t="s">
        <v>946</v>
      </c>
      <c r="D3278" s="1" t="s">
        <v>511</v>
      </c>
      <c r="E3278" s="1" t="s">
        <v>501</v>
      </c>
      <c r="F3278" s="1" t="s">
        <v>511</v>
      </c>
      <c r="G3278" s="1" t="s">
        <v>511</v>
      </c>
      <c r="H3278" s="1" t="s">
        <v>463</v>
      </c>
    </row>
    <row r="3279" customFormat="false" ht="12" hidden="false" customHeight="true" outlineLevel="0" collapsed="false">
      <c r="B3279" s="1" t="s">
        <v>948</v>
      </c>
      <c r="C3279" s="1" t="s">
        <v>949</v>
      </c>
      <c r="D3279" s="1" t="s">
        <v>511</v>
      </c>
      <c r="E3279" s="1" t="s">
        <v>506</v>
      </c>
      <c r="F3279" s="1" t="s">
        <v>511</v>
      </c>
      <c r="G3279" s="1" t="s">
        <v>511</v>
      </c>
      <c r="H3279" s="1" t="s">
        <v>1309</v>
      </c>
    </row>
    <row r="3280" customFormat="false" ht="12" hidden="false" customHeight="true" outlineLevel="0" collapsed="false">
      <c r="B3280" s="1" t="s">
        <v>951</v>
      </c>
      <c r="C3280" s="1" t="s">
        <v>952</v>
      </c>
      <c r="D3280" s="1" t="s">
        <v>511</v>
      </c>
      <c r="E3280" s="1" t="s">
        <v>506</v>
      </c>
      <c r="F3280" s="1" t="s">
        <v>511</v>
      </c>
      <c r="G3280" s="1" t="s">
        <v>511</v>
      </c>
      <c r="H3280" s="1" t="s">
        <v>463</v>
      </c>
    </row>
    <row r="3281" customFormat="false" ht="12" hidden="false" customHeight="true" outlineLevel="0" collapsed="false">
      <c r="B3281" s="1" t="s">
        <v>953</v>
      </c>
      <c r="C3281" s="1" t="s">
        <v>954</v>
      </c>
      <c r="D3281" s="1" t="s">
        <v>511</v>
      </c>
      <c r="E3281" s="1" t="s">
        <v>511</v>
      </c>
      <c r="F3281" s="1" t="s">
        <v>511</v>
      </c>
      <c r="G3281" s="1" t="s">
        <v>511</v>
      </c>
      <c r="H3281" s="1" t="s">
        <v>463</v>
      </c>
    </row>
    <row r="3282" customFormat="false" ht="12" hidden="false" customHeight="true" outlineLevel="0" collapsed="false">
      <c r="B3282" s="1" t="s">
        <v>956</v>
      </c>
      <c r="C3282" s="1" t="s">
        <v>957</v>
      </c>
      <c r="D3282" s="1" t="s">
        <v>511</v>
      </c>
      <c r="E3282" s="1" t="s">
        <v>513</v>
      </c>
      <c r="F3282" s="1" t="s">
        <v>511</v>
      </c>
      <c r="G3282" s="1" t="s">
        <v>511</v>
      </c>
      <c r="H3282" s="1" t="s">
        <v>463</v>
      </c>
    </row>
    <row r="3283" customFormat="false" ht="12" hidden="false" customHeight="true" outlineLevel="0" collapsed="false">
      <c r="B3283" s="1" t="s">
        <v>959</v>
      </c>
      <c r="C3283" s="1" t="s">
        <v>960</v>
      </c>
      <c r="D3283" s="1" t="s">
        <v>511</v>
      </c>
      <c r="E3283" s="1" t="s">
        <v>517</v>
      </c>
      <c r="F3283" s="1" t="s">
        <v>511</v>
      </c>
      <c r="G3283" s="1" t="s">
        <v>511</v>
      </c>
      <c r="H3283" s="1" t="s">
        <v>463</v>
      </c>
    </row>
    <row r="3284" customFormat="false" ht="12" hidden="false" customHeight="true" outlineLevel="0" collapsed="false">
      <c r="B3284" s="1" t="s">
        <v>962</v>
      </c>
      <c r="C3284" s="1" t="s">
        <v>963</v>
      </c>
      <c r="D3284" s="1" t="s">
        <v>511</v>
      </c>
      <c r="E3284" s="1" t="s">
        <v>517</v>
      </c>
      <c r="F3284" s="1" t="s">
        <v>511</v>
      </c>
      <c r="G3284" s="1" t="s">
        <v>511</v>
      </c>
      <c r="H3284" s="1" t="s">
        <v>463</v>
      </c>
    </row>
    <row r="3285" customFormat="false" ht="12" hidden="false" customHeight="true" outlineLevel="0" collapsed="false">
      <c r="B3285" s="1" t="s">
        <v>964</v>
      </c>
      <c r="C3285" s="1" t="s">
        <v>965</v>
      </c>
      <c r="D3285" s="1" t="s">
        <v>511</v>
      </c>
      <c r="E3285" s="1" t="s">
        <v>522</v>
      </c>
      <c r="F3285" s="1" t="s">
        <v>511</v>
      </c>
      <c r="G3285" s="1" t="s">
        <v>511</v>
      </c>
      <c r="H3285" s="1" t="s">
        <v>463</v>
      </c>
    </row>
    <row r="3286" customFormat="false" ht="12" hidden="false" customHeight="true" outlineLevel="0" collapsed="false">
      <c r="B3286" s="1" t="s">
        <v>967</v>
      </c>
      <c r="C3286" s="1" t="s">
        <v>968</v>
      </c>
      <c r="D3286" s="1" t="s">
        <v>511</v>
      </c>
      <c r="E3286" s="1" t="s">
        <v>527</v>
      </c>
      <c r="F3286" s="1" t="s">
        <v>511</v>
      </c>
      <c r="G3286" s="1" t="s">
        <v>511</v>
      </c>
      <c r="H3286" s="1" t="s">
        <v>463</v>
      </c>
    </row>
    <row r="3287" customFormat="false" ht="12" hidden="false" customHeight="true" outlineLevel="0" collapsed="false">
      <c r="B3287" s="1" t="s">
        <v>970</v>
      </c>
      <c r="C3287" s="1" t="s">
        <v>971</v>
      </c>
      <c r="D3287" s="1" t="s">
        <v>511</v>
      </c>
      <c r="E3287" s="1" t="s">
        <v>529</v>
      </c>
      <c r="F3287" s="1" t="s">
        <v>511</v>
      </c>
      <c r="G3287" s="1" t="s">
        <v>511</v>
      </c>
      <c r="H3287" s="1" t="s">
        <v>463</v>
      </c>
    </row>
    <row r="3288" customFormat="false" ht="12" hidden="false" customHeight="true" outlineLevel="0" collapsed="false">
      <c r="B3288" s="1" t="s">
        <v>973</v>
      </c>
      <c r="C3288" s="1" t="s">
        <v>974</v>
      </c>
      <c r="D3288" s="1" t="s">
        <v>511</v>
      </c>
      <c r="E3288" s="1" t="s">
        <v>529</v>
      </c>
      <c r="F3288" s="1" t="s">
        <v>511</v>
      </c>
      <c r="G3288" s="1" t="s">
        <v>511</v>
      </c>
      <c r="H3288" s="1" t="s">
        <v>463</v>
      </c>
    </row>
    <row r="3289" customFormat="false" ht="12" hidden="false" customHeight="true" outlineLevel="0" collapsed="false">
      <c r="B3289" s="1" t="s">
        <v>975</v>
      </c>
      <c r="C3289" s="1" t="s">
        <v>976</v>
      </c>
      <c r="D3289" s="1" t="s">
        <v>511</v>
      </c>
      <c r="E3289" s="1" t="s">
        <v>529</v>
      </c>
      <c r="F3289" s="1" t="s">
        <v>511</v>
      </c>
      <c r="G3289" s="1" t="s">
        <v>511</v>
      </c>
      <c r="H3289" s="1" t="s">
        <v>463</v>
      </c>
    </row>
    <row r="3290" customFormat="false" ht="12" hidden="false" customHeight="true" outlineLevel="0" collapsed="false">
      <c r="B3290" s="1" t="s">
        <v>977</v>
      </c>
      <c r="C3290" s="1" t="s">
        <v>978</v>
      </c>
      <c r="D3290" s="1" t="s">
        <v>511</v>
      </c>
      <c r="E3290" s="1" t="s">
        <v>533</v>
      </c>
      <c r="F3290" s="1" t="s">
        <v>511</v>
      </c>
      <c r="G3290" s="1" t="s">
        <v>511</v>
      </c>
      <c r="H3290" s="1" t="s">
        <v>463</v>
      </c>
    </row>
    <row r="3291" customFormat="false" ht="12" hidden="false" customHeight="true" outlineLevel="0" collapsed="false">
      <c r="B3291" s="1" t="s">
        <v>980</v>
      </c>
      <c r="C3291" s="1" t="s">
        <v>981</v>
      </c>
      <c r="D3291" s="1" t="s">
        <v>511</v>
      </c>
      <c r="E3291" s="1" t="s">
        <v>533</v>
      </c>
      <c r="F3291" s="1" t="s">
        <v>511</v>
      </c>
      <c r="G3291" s="1" t="s">
        <v>511</v>
      </c>
      <c r="H3291" s="1" t="s">
        <v>463</v>
      </c>
    </row>
    <row r="3292" customFormat="false" ht="12" hidden="false" customHeight="true" outlineLevel="0" collapsed="false">
      <c r="B3292" s="1" t="s">
        <v>982</v>
      </c>
      <c r="C3292" s="1" t="s">
        <v>983</v>
      </c>
      <c r="D3292" s="1" t="s">
        <v>511</v>
      </c>
      <c r="E3292" s="1" t="s">
        <v>537</v>
      </c>
      <c r="F3292" s="1" t="s">
        <v>511</v>
      </c>
      <c r="G3292" s="1" t="s">
        <v>511</v>
      </c>
      <c r="H3292" s="1" t="s">
        <v>463</v>
      </c>
    </row>
    <row r="3293" customFormat="false" ht="12" hidden="false" customHeight="true" outlineLevel="0" collapsed="false">
      <c r="B3293" s="1" t="s">
        <v>985</v>
      </c>
      <c r="C3293" s="1" t="s">
        <v>986</v>
      </c>
      <c r="D3293" s="1" t="s">
        <v>513</v>
      </c>
      <c r="E3293" s="1" t="s">
        <v>496</v>
      </c>
      <c r="F3293" s="1" t="s">
        <v>1310</v>
      </c>
      <c r="G3293" s="1" t="s">
        <v>1310</v>
      </c>
      <c r="H3293" s="1" t="s">
        <v>463</v>
      </c>
    </row>
    <row r="3294" customFormat="false" ht="12" hidden="false" customHeight="true" outlineLevel="0" collapsed="false">
      <c r="B3294" s="1" t="s">
        <v>989</v>
      </c>
      <c r="C3294" s="1" t="s">
        <v>990</v>
      </c>
      <c r="D3294" s="1" t="s">
        <v>513</v>
      </c>
      <c r="E3294" s="1" t="s">
        <v>496</v>
      </c>
      <c r="F3294" s="1" t="s">
        <v>1310</v>
      </c>
      <c r="G3294" s="1" t="s">
        <v>1310</v>
      </c>
      <c r="H3294" s="1" t="s">
        <v>463</v>
      </c>
    </row>
    <row r="3295" customFormat="false" ht="12" hidden="false" customHeight="true" outlineLevel="0" collapsed="false">
      <c r="B3295" s="1" t="s">
        <v>991</v>
      </c>
      <c r="C3295" s="1" t="s">
        <v>992</v>
      </c>
      <c r="D3295" s="1" t="s">
        <v>513</v>
      </c>
      <c r="E3295" s="1" t="s">
        <v>496</v>
      </c>
      <c r="F3295" s="1" t="s">
        <v>1310</v>
      </c>
      <c r="G3295" s="1" t="s">
        <v>1310</v>
      </c>
      <c r="H3295" s="1" t="s">
        <v>463</v>
      </c>
    </row>
    <row r="3296" customFormat="false" ht="12" hidden="false" customHeight="true" outlineLevel="0" collapsed="false">
      <c r="B3296" s="1" t="s">
        <v>999</v>
      </c>
      <c r="C3296" s="1" t="s">
        <v>1000</v>
      </c>
      <c r="D3296" s="1" t="s">
        <v>513</v>
      </c>
      <c r="E3296" s="1" t="s">
        <v>590</v>
      </c>
      <c r="F3296" s="1" t="s">
        <v>1310</v>
      </c>
      <c r="G3296" s="1" t="s">
        <v>1310</v>
      </c>
      <c r="H3296" s="1" t="s">
        <v>463</v>
      </c>
    </row>
    <row r="3297" customFormat="false" ht="12" hidden="false" customHeight="true" outlineLevel="0" collapsed="false">
      <c r="B3297" s="1" t="s">
        <v>1002</v>
      </c>
      <c r="C3297" s="1" t="s">
        <v>1003</v>
      </c>
      <c r="D3297" s="1" t="s">
        <v>513</v>
      </c>
      <c r="E3297" s="1" t="s">
        <v>590</v>
      </c>
      <c r="F3297" s="1" t="s">
        <v>1310</v>
      </c>
      <c r="G3297" s="1" t="s">
        <v>1310</v>
      </c>
      <c r="H3297" s="1" t="s">
        <v>463</v>
      </c>
    </row>
    <row r="3298" customFormat="false" ht="12" hidden="false" customHeight="true" outlineLevel="0" collapsed="false">
      <c r="B3298" s="1" t="s">
        <v>1004</v>
      </c>
      <c r="C3298" s="1" t="s">
        <v>1005</v>
      </c>
      <c r="D3298" s="1" t="s">
        <v>513</v>
      </c>
      <c r="E3298" s="1" t="s">
        <v>497</v>
      </c>
      <c r="F3298" s="1" t="s">
        <v>1310</v>
      </c>
      <c r="G3298" s="1" t="s">
        <v>1310</v>
      </c>
      <c r="H3298" s="1" t="s">
        <v>463</v>
      </c>
    </row>
    <row r="3299" customFormat="false" ht="12" hidden="false" customHeight="true" outlineLevel="0" collapsed="false">
      <c r="B3299" s="1" t="s">
        <v>1007</v>
      </c>
      <c r="C3299" s="1" t="s">
        <v>1008</v>
      </c>
      <c r="D3299" s="1" t="s">
        <v>513</v>
      </c>
      <c r="E3299" s="1" t="s">
        <v>497</v>
      </c>
      <c r="F3299" s="1" t="s">
        <v>1310</v>
      </c>
      <c r="G3299" s="1" t="s">
        <v>1310</v>
      </c>
      <c r="H3299" s="1" t="s">
        <v>463</v>
      </c>
    </row>
    <row r="3300" customFormat="false" ht="12" hidden="false" customHeight="true" outlineLevel="0" collapsed="false">
      <c r="B3300" s="1" t="s">
        <v>1009</v>
      </c>
      <c r="C3300" s="1" t="s">
        <v>1010</v>
      </c>
      <c r="D3300" s="1" t="s">
        <v>513</v>
      </c>
      <c r="E3300" s="1" t="s">
        <v>501</v>
      </c>
      <c r="F3300" s="1" t="s">
        <v>1310</v>
      </c>
      <c r="G3300" s="1" t="s">
        <v>1310</v>
      </c>
      <c r="H3300" s="1" t="s">
        <v>463</v>
      </c>
    </row>
    <row r="3301" customFormat="false" ht="12" hidden="false" customHeight="true" outlineLevel="0" collapsed="false">
      <c r="B3301" s="1" t="s">
        <v>1012</v>
      </c>
      <c r="C3301" s="1" t="s">
        <v>1013</v>
      </c>
      <c r="D3301" s="1" t="s">
        <v>513</v>
      </c>
      <c r="E3301" s="1" t="s">
        <v>501</v>
      </c>
      <c r="F3301" s="1" t="s">
        <v>1310</v>
      </c>
      <c r="G3301" s="1" t="s">
        <v>1310</v>
      </c>
      <c r="H3301" s="1" t="s">
        <v>463</v>
      </c>
    </row>
    <row r="3302" customFormat="false" ht="12" hidden="false" customHeight="true" outlineLevel="0" collapsed="false">
      <c r="B3302" s="1" t="s">
        <v>1014</v>
      </c>
      <c r="C3302" s="1" t="s">
        <v>1015</v>
      </c>
      <c r="D3302" s="1" t="s">
        <v>513</v>
      </c>
      <c r="E3302" s="1" t="s">
        <v>506</v>
      </c>
      <c r="F3302" s="1" t="s">
        <v>1310</v>
      </c>
      <c r="G3302" s="1" t="s">
        <v>1310</v>
      </c>
      <c r="H3302" s="1" t="s">
        <v>463</v>
      </c>
    </row>
    <row r="3303" customFormat="false" ht="12" hidden="false" customHeight="true" outlineLevel="0" collapsed="false">
      <c r="B3303" s="1" t="s">
        <v>1017</v>
      </c>
      <c r="C3303" s="1" t="s">
        <v>1018</v>
      </c>
      <c r="D3303" s="1" t="s">
        <v>513</v>
      </c>
      <c r="E3303" s="1" t="s">
        <v>506</v>
      </c>
      <c r="F3303" s="1" t="s">
        <v>1310</v>
      </c>
      <c r="G3303" s="1" t="s">
        <v>1310</v>
      </c>
      <c r="H3303" s="1" t="s">
        <v>463</v>
      </c>
    </row>
    <row r="3304" customFormat="false" ht="12" hidden="false" customHeight="true" outlineLevel="0" collapsed="false">
      <c r="B3304" s="1" t="s">
        <v>1019</v>
      </c>
      <c r="C3304" s="1" t="s">
        <v>1020</v>
      </c>
      <c r="D3304" s="1" t="s">
        <v>513</v>
      </c>
      <c r="E3304" s="1" t="s">
        <v>511</v>
      </c>
      <c r="F3304" s="1" t="s">
        <v>1310</v>
      </c>
      <c r="G3304" s="1" t="s">
        <v>1310</v>
      </c>
      <c r="H3304" s="1" t="s">
        <v>463</v>
      </c>
    </row>
    <row r="3305" customFormat="false" ht="12" hidden="false" customHeight="true" outlineLevel="0" collapsed="false">
      <c r="B3305" s="1" t="s">
        <v>1022</v>
      </c>
      <c r="C3305" s="1" t="s">
        <v>1023</v>
      </c>
      <c r="D3305" s="1" t="s">
        <v>513</v>
      </c>
      <c r="E3305" s="1" t="s">
        <v>511</v>
      </c>
      <c r="F3305" s="1" t="s">
        <v>1310</v>
      </c>
      <c r="G3305" s="1" t="s">
        <v>1310</v>
      </c>
      <c r="H3305" s="1" t="s">
        <v>463</v>
      </c>
    </row>
    <row r="3306" customFormat="false" ht="12" hidden="false" customHeight="true" outlineLevel="0" collapsed="false">
      <c r="B3306" s="1" t="s">
        <v>1024</v>
      </c>
      <c r="C3306" s="1" t="s">
        <v>1025</v>
      </c>
      <c r="D3306" s="1" t="s">
        <v>513</v>
      </c>
      <c r="E3306" s="1" t="s">
        <v>511</v>
      </c>
      <c r="F3306" s="1" t="s">
        <v>1310</v>
      </c>
      <c r="G3306" s="1" t="s">
        <v>1310</v>
      </c>
      <c r="H3306" s="1" t="s">
        <v>463</v>
      </c>
    </row>
    <row r="3307" customFormat="false" ht="12" hidden="false" customHeight="true" outlineLevel="0" collapsed="false">
      <c r="B3307" s="1" t="s">
        <v>1026</v>
      </c>
      <c r="C3307" s="1" t="s">
        <v>1027</v>
      </c>
      <c r="D3307" s="1" t="s">
        <v>513</v>
      </c>
      <c r="E3307" s="1" t="s">
        <v>513</v>
      </c>
      <c r="F3307" s="1" t="s">
        <v>1310</v>
      </c>
      <c r="G3307" s="1" t="s">
        <v>1310</v>
      </c>
      <c r="H3307" s="1" t="s">
        <v>463</v>
      </c>
    </row>
    <row r="3308" customFormat="false" ht="12" hidden="false" customHeight="true" outlineLevel="0" collapsed="false">
      <c r="B3308" s="1" t="s">
        <v>1029</v>
      </c>
      <c r="C3308" s="1" t="s">
        <v>1030</v>
      </c>
      <c r="D3308" s="1" t="s">
        <v>513</v>
      </c>
      <c r="E3308" s="1" t="s">
        <v>513</v>
      </c>
      <c r="F3308" s="1" t="s">
        <v>1310</v>
      </c>
      <c r="G3308" s="1" t="s">
        <v>1310</v>
      </c>
      <c r="H3308" s="1" t="s">
        <v>463</v>
      </c>
    </row>
    <row r="3309" customFormat="false" ht="12" hidden="false" customHeight="true" outlineLevel="0" collapsed="false">
      <c r="B3309" s="1" t="s">
        <v>1031</v>
      </c>
      <c r="C3309" s="1" t="s">
        <v>1032</v>
      </c>
      <c r="D3309" s="1" t="s">
        <v>513</v>
      </c>
      <c r="E3309" s="1" t="s">
        <v>517</v>
      </c>
      <c r="F3309" s="1" t="s">
        <v>1310</v>
      </c>
      <c r="G3309" s="1" t="s">
        <v>1310</v>
      </c>
      <c r="H3309" s="1" t="s">
        <v>463</v>
      </c>
    </row>
    <row r="3310" customFormat="false" ht="12" hidden="false" customHeight="true" outlineLevel="0" collapsed="false">
      <c r="B3310" s="1" t="s">
        <v>1034</v>
      </c>
      <c r="C3310" s="1" t="s">
        <v>1035</v>
      </c>
      <c r="D3310" s="1" t="s">
        <v>513</v>
      </c>
      <c r="E3310" s="1" t="s">
        <v>517</v>
      </c>
      <c r="F3310" s="1" t="s">
        <v>1310</v>
      </c>
      <c r="G3310" s="1" t="s">
        <v>1310</v>
      </c>
      <c r="H3310" s="1" t="s">
        <v>463</v>
      </c>
    </row>
    <row r="3311" customFormat="false" ht="12" hidden="false" customHeight="true" outlineLevel="0" collapsed="false">
      <c r="B3311" s="1" t="s">
        <v>1036</v>
      </c>
      <c r="C3311" s="1" t="s">
        <v>1037</v>
      </c>
      <c r="D3311" s="1" t="s">
        <v>513</v>
      </c>
      <c r="E3311" s="1" t="s">
        <v>522</v>
      </c>
      <c r="F3311" s="1" t="s">
        <v>1310</v>
      </c>
      <c r="G3311" s="1" t="s">
        <v>1310</v>
      </c>
      <c r="H3311" s="1" t="s">
        <v>463</v>
      </c>
    </row>
    <row r="3312" customFormat="false" ht="12" hidden="false" customHeight="true" outlineLevel="0" collapsed="false">
      <c r="B3312" s="1" t="s">
        <v>1039</v>
      </c>
      <c r="C3312" s="1" t="s">
        <v>1040</v>
      </c>
      <c r="D3312" s="1" t="s">
        <v>513</v>
      </c>
      <c r="E3312" s="1" t="s">
        <v>522</v>
      </c>
      <c r="F3312" s="1" t="s">
        <v>1310</v>
      </c>
      <c r="G3312" s="1" t="s">
        <v>1310</v>
      </c>
      <c r="H3312" s="1" t="s">
        <v>463</v>
      </c>
    </row>
    <row r="3313" customFormat="false" ht="12" hidden="false" customHeight="true" outlineLevel="0" collapsed="false">
      <c r="B3313" s="1" t="s">
        <v>1041</v>
      </c>
      <c r="C3313" s="1" t="s">
        <v>1042</v>
      </c>
      <c r="D3313" s="1" t="s">
        <v>513</v>
      </c>
      <c r="E3313" s="1" t="s">
        <v>522</v>
      </c>
      <c r="F3313" s="1" t="s">
        <v>1310</v>
      </c>
      <c r="G3313" s="1" t="s">
        <v>1310</v>
      </c>
      <c r="H3313" s="1" t="s">
        <v>463</v>
      </c>
    </row>
    <row r="3314" customFormat="false" ht="12" hidden="false" customHeight="true" outlineLevel="0" collapsed="false">
      <c r="B3314" s="1" t="s">
        <v>1043</v>
      </c>
      <c r="C3314" s="1" t="s">
        <v>1044</v>
      </c>
      <c r="D3314" s="1" t="s">
        <v>513</v>
      </c>
      <c r="E3314" s="1" t="s">
        <v>522</v>
      </c>
      <c r="F3314" s="1" t="s">
        <v>1310</v>
      </c>
      <c r="G3314" s="1" t="s">
        <v>1310</v>
      </c>
      <c r="H3314" s="1" t="s">
        <v>463</v>
      </c>
    </row>
    <row r="3315" customFormat="false" ht="12" hidden="false" customHeight="true" outlineLevel="0" collapsed="false">
      <c r="B3315" s="1" t="s">
        <v>1045</v>
      </c>
      <c r="C3315" s="1" t="s">
        <v>1046</v>
      </c>
      <c r="D3315" s="1" t="s">
        <v>513</v>
      </c>
      <c r="E3315" s="1" t="s">
        <v>522</v>
      </c>
      <c r="F3315" s="1" t="s">
        <v>1310</v>
      </c>
      <c r="G3315" s="1" t="s">
        <v>1310</v>
      </c>
      <c r="H3315" s="1" t="s">
        <v>463</v>
      </c>
    </row>
    <row r="3316" customFormat="false" ht="12" hidden="false" customHeight="true" outlineLevel="0" collapsed="false">
      <c r="B3316" s="1" t="s">
        <v>1047</v>
      </c>
      <c r="C3316" s="1" t="s">
        <v>1048</v>
      </c>
      <c r="D3316" s="1" t="s">
        <v>513</v>
      </c>
      <c r="E3316" s="1" t="s">
        <v>527</v>
      </c>
      <c r="F3316" s="1" t="s">
        <v>1310</v>
      </c>
      <c r="G3316" s="1" t="s">
        <v>1310</v>
      </c>
      <c r="H3316" s="1" t="s">
        <v>463</v>
      </c>
    </row>
    <row r="3317" customFormat="false" ht="12" hidden="false" customHeight="true" outlineLevel="0" collapsed="false">
      <c r="B3317" s="1" t="s">
        <v>1050</v>
      </c>
      <c r="C3317" s="1" t="s">
        <v>1051</v>
      </c>
      <c r="D3317" s="1" t="s">
        <v>513</v>
      </c>
      <c r="E3317" s="1" t="s">
        <v>527</v>
      </c>
      <c r="F3317" s="1" t="s">
        <v>1310</v>
      </c>
      <c r="G3317" s="1" t="s">
        <v>1310</v>
      </c>
      <c r="H3317" s="1" t="s">
        <v>463</v>
      </c>
    </row>
    <row r="3318" customFormat="false" ht="12" hidden="false" customHeight="true" outlineLevel="0" collapsed="false">
      <c r="B3318" s="1" t="s">
        <v>1052</v>
      </c>
      <c r="C3318" s="1" t="s">
        <v>1053</v>
      </c>
      <c r="D3318" s="1" t="s">
        <v>513</v>
      </c>
      <c r="E3318" s="1" t="s">
        <v>529</v>
      </c>
      <c r="F3318" s="1" t="s">
        <v>1310</v>
      </c>
      <c r="G3318" s="1" t="s">
        <v>1310</v>
      </c>
      <c r="H3318" s="1" t="s">
        <v>463</v>
      </c>
    </row>
    <row r="3319" customFormat="false" ht="12" hidden="false" customHeight="true" outlineLevel="0" collapsed="false">
      <c r="B3319" s="1" t="s">
        <v>1055</v>
      </c>
      <c r="C3319" s="1" t="s">
        <v>1056</v>
      </c>
      <c r="D3319" s="1" t="s">
        <v>513</v>
      </c>
      <c r="E3319" s="1" t="s">
        <v>529</v>
      </c>
      <c r="F3319" s="1" t="s">
        <v>1310</v>
      </c>
      <c r="G3319" s="1" t="s">
        <v>1310</v>
      </c>
      <c r="H3319" s="1" t="s">
        <v>463</v>
      </c>
    </row>
    <row r="3320" customFormat="false" ht="12" hidden="false" customHeight="true" outlineLevel="0" collapsed="false">
      <c r="B3320" s="1" t="s">
        <v>1057</v>
      </c>
      <c r="C3320" s="1" t="s">
        <v>1058</v>
      </c>
      <c r="D3320" s="1" t="s">
        <v>513</v>
      </c>
      <c r="E3320" s="1" t="s">
        <v>529</v>
      </c>
      <c r="F3320" s="1" t="s">
        <v>1310</v>
      </c>
      <c r="G3320" s="1" t="s">
        <v>1310</v>
      </c>
      <c r="H3320" s="1" t="s">
        <v>463</v>
      </c>
    </row>
    <row r="3321" customFormat="false" ht="12" hidden="false" customHeight="true" outlineLevel="0" collapsed="false">
      <c r="B3321" s="1" t="s">
        <v>1059</v>
      </c>
      <c r="C3321" s="1" t="s">
        <v>1060</v>
      </c>
      <c r="D3321" s="1" t="s">
        <v>513</v>
      </c>
      <c r="E3321" s="1" t="s">
        <v>533</v>
      </c>
      <c r="F3321" s="1" t="s">
        <v>1310</v>
      </c>
      <c r="G3321" s="1" t="s">
        <v>1310</v>
      </c>
      <c r="H3321" s="1" t="s">
        <v>463</v>
      </c>
    </row>
    <row r="3322" customFormat="false" ht="12" hidden="false" customHeight="true" outlineLevel="0" collapsed="false">
      <c r="B3322" s="1" t="s">
        <v>1062</v>
      </c>
      <c r="C3322" s="1" t="s">
        <v>1063</v>
      </c>
      <c r="D3322" s="1" t="s">
        <v>513</v>
      </c>
      <c r="E3322" s="1" t="s">
        <v>533</v>
      </c>
      <c r="F3322" s="1" t="s">
        <v>1310</v>
      </c>
      <c r="G3322" s="1" t="s">
        <v>1310</v>
      </c>
      <c r="H3322" s="1" t="s">
        <v>463</v>
      </c>
    </row>
    <row r="3323" customFormat="false" ht="12" hidden="false" customHeight="true" outlineLevel="0" collapsed="false">
      <c r="B3323" s="1" t="s">
        <v>1064</v>
      </c>
      <c r="C3323" s="1" t="s">
        <v>1065</v>
      </c>
      <c r="D3323" s="1" t="s">
        <v>513</v>
      </c>
      <c r="E3323" s="1" t="s">
        <v>537</v>
      </c>
      <c r="F3323" s="1" t="s">
        <v>1310</v>
      </c>
      <c r="G3323" s="1" t="s">
        <v>1310</v>
      </c>
      <c r="H3323" s="1" t="s">
        <v>463</v>
      </c>
    </row>
    <row r="3324" customFormat="false" ht="12" hidden="false" customHeight="true" outlineLevel="0" collapsed="false">
      <c r="B3324" s="1" t="s">
        <v>1067</v>
      </c>
      <c r="C3324" s="1" t="s">
        <v>1068</v>
      </c>
      <c r="D3324" s="1" t="s">
        <v>513</v>
      </c>
      <c r="E3324" s="1" t="s">
        <v>537</v>
      </c>
      <c r="F3324" s="1" t="s">
        <v>1310</v>
      </c>
      <c r="G3324" s="1" t="s">
        <v>1310</v>
      </c>
      <c r="H3324" s="1" t="s">
        <v>463</v>
      </c>
    </row>
    <row r="3325" customFormat="false" ht="12" hidden="false" customHeight="true" outlineLevel="0" collapsed="false">
      <c r="B3325" s="1" t="s">
        <v>1069</v>
      </c>
      <c r="C3325" s="1" t="s">
        <v>1070</v>
      </c>
      <c r="D3325" s="1" t="s">
        <v>513</v>
      </c>
      <c r="E3325" s="1" t="s">
        <v>539</v>
      </c>
      <c r="F3325" s="1" t="s">
        <v>1310</v>
      </c>
      <c r="G3325" s="1" t="s">
        <v>1310</v>
      </c>
      <c r="H3325" s="1" t="s">
        <v>463</v>
      </c>
    </row>
    <row r="3326" customFormat="false" ht="12" hidden="false" customHeight="true" outlineLevel="0" collapsed="false">
      <c r="B3326" s="1" t="s">
        <v>1072</v>
      </c>
      <c r="C3326" s="1" t="s">
        <v>1073</v>
      </c>
      <c r="D3326" s="1" t="s">
        <v>513</v>
      </c>
      <c r="E3326" s="1" t="s">
        <v>539</v>
      </c>
      <c r="F3326" s="1" t="s">
        <v>1310</v>
      </c>
      <c r="G3326" s="1" t="s">
        <v>1310</v>
      </c>
      <c r="H3326" s="1" t="s">
        <v>463</v>
      </c>
    </row>
    <row r="3327" customFormat="false" ht="12" hidden="false" customHeight="true" outlineLevel="0" collapsed="false">
      <c r="B3327" s="1" t="s">
        <v>1074</v>
      </c>
      <c r="C3327" s="1" t="s">
        <v>1075</v>
      </c>
      <c r="D3327" s="1" t="s">
        <v>513</v>
      </c>
      <c r="E3327" s="1" t="s">
        <v>539</v>
      </c>
      <c r="F3327" s="1" t="s">
        <v>1310</v>
      </c>
      <c r="G3327" s="1" t="s">
        <v>1310</v>
      </c>
      <c r="H3327" s="1" t="s">
        <v>463</v>
      </c>
    </row>
    <row r="3328" customFormat="false" ht="12" hidden="false" customHeight="true" outlineLevel="0" collapsed="false">
      <c r="B3328" s="1" t="s">
        <v>1076</v>
      </c>
      <c r="C3328" s="1" t="s">
        <v>1077</v>
      </c>
      <c r="D3328" s="1" t="s">
        <v>513</v>
      </c>
      <c r="E3328" s="1" t="s">
        <v>539</v>
      </c>
      <c r="F3328" s="1" t="s">
        <v>1310</v>
      </c>
      <c r="G3328" s="1" t="s">
        <v>1310</v>
      </c>
      <c r="H3328" s="1" t="s">
        <v>463</v>
      </c>
    </row>
    <row r="3329" customFormat="false" ht="12" hidden="false" customHeight="true" outlineLevel="0" collapsed="false">
      <c r="B3329" s="1" t="s">
        <v>1078</v>
      </c>
      <c r="C3329" s="1" t="s">
        <v>1079</v>
      </c>
      <c r="D3329" s="1" t="s">
        <v>513</v>
      </c>
      <c r="E3329" s="1" t="s">
        <v>543</v>
      </c>
      <c r="F3329" s="1" t="s">
        <v>1310</v>
      </c>
      <c r="G3329" s="1" t="s">
        <v>1310</v>
      </c>
      <c r="H3329" s="1" t="s">
        <v>463</v>
      </c>
    </row>
    <row r="3330" customFormat="false" ht="12" hidden="false" customHeight="true" outlineLevel="0" collapsed="false">
      <c r="B3330" s="1" t="s">
        <v>1081</v>
      </c>
      <c r="C3330" s="1" t="s">
        <v>1082</v>
      </c>
      <c r="D3330" s="1" t="s">
        <v>513</v>
      </c>
      <c r="E3330" s="1" t="s">
        <v>543</v>
      </c>
      <c r="F3330" s="1" t="s">
        <v>1310</v>
      </c>
      <c r="G3330" s="1" t="s">
        <v>1310</v>
      </c>
      <c r="H3330" s="1" t="s">
        <v>463</v>
      </c>
    </row>
    <row r="3331" customFormat="false" ht="12" hidden="false" customHeight="true" outlineLevel="0" collapsed="false">
      <c r="B3331" s="1" t="s">
        <v>1083</v>
      </c>
      <c r="C3331" s="1" t="s">
        <v>1084</v>
      </c>
      <c r="D3331" s="1" t="s">
        <v>513</v>
      </c>
      <c r="E3331" s="1" t="s">
        <v>543</v>
      </c>
      <c r="F3331" s="1" t="s">
        <v>1310</v>
      </c>
      <c r="G3331" s="1" t="s">
        <v>1310</v>
      </c>
      <c r="H3331" s="1" t="s">
        <v>463</v>
      </c>
    </row>
    <row r="3332" customFormat="false" ht="12" hidden="false" customHeight="true" outlineLevel="0" collapsed="false">
      <c r="B3332" s="1" t="s">
        <v>1085</v>
      </c>
      <c r="C3332" s="1" t="s">
        <v>1086</v>
      </c>
      <c r="D3332" s="1" t="s">
        <v>513</v>
      </c>
      <c r="E3332" s="1" t="s">
        <v>547</v>
      </c>
      <c r="F3332" s="1" t="s">
        <v>1310</v>
      </c>
      <c r="G3332" s="1" t="s">
        <v>1310</v>
      </c>
      <c r="H3332" s="1" t="s">
        <v>1309</v>
      </c>
    </row>
    <row r="3333" customFormat="false" ht="12" hidden="false" customHeight="true" outlineLevel="0" collapsed="false">
      <c r="B3333" s="1" t="s">
        <v>1088</v>
      </c>
      <c r="C3333" s="1" t="s">
        <v>1089</v>
      </c>
      <c r="D3333" s="1" t="s">
        <v>513</v>
      </c>
      <c r="E3333" s="1" t="s">
        <v>547</v>
      </c>
      <c r="F3333" s="1" t="s">
        <v>1310</v>
      </c>
      <c r="G3333" s="1" t="s">
        <v>1310</v>
      </c>
      <c r="H3333" s="1" t="s">
        <v>1309</v>
      </c>
    </row>
    <row r="3334" customFormat="false" ht="12" hidden="false" customHeight="true" outlineLevel="0" collapsed="false">
      <c r="B3334" s="1" t="s">
        <v>1091</v>
      </c>
      <c r="C3334" s="1" t="s">
        <v>1092</v>
      </c>
      <c r="D3334" s="1" t="s">
        <v>513</v>
      </c>
      <c r="E3334" s="1" t="s">
        <v>549</v>
      </c>
      <c r="F3334" s="1" t="s">
        <v>1310</v>
      </c>
      <c r="G3334" s="1" t="s">
        <v>1310</v>
      </c>
      <c r="H3334" s="1" t="s">
        <v>1309</v>
      </c>
    </row>
    <row r="3335" customFormat="false" ht="12" hidden="false" customHeight="true" outlineLevel="0" collapsed="false">
      <c r="B3335" s="1" t="s">
        <v>1094</v>
      </c>
      <c r="C3335" s="1" t="s">
        <v>1095</v>
      </c>
      <c r="D3335" s="1" t="s">
        <v>513</v>
      </c>
      <c r="E3335" s="1" t="s">
        <v>549</v>
      </c>
      <c r="F3335" s="1" t="s">
        <v>1310</v>
      </c>
      <c r="G3335" s="1" t="s">
        <v>1310</v>
      </c>
      <c r="H3335" s="1" t="s">
        <v>1309</v>
      </c>
    </row>
    <row r="3336" customFormat="false" ht="12" hidden="false" customHeight="true" outlineLevel="0" collapsed="false">
      <c r="B3336" s="1" t="s">
        <v>1096</v>
      </c>
      <c r="C3336" s="1" t="s">
        <v>1097</v>
      </c>
      <c r="D3336" s="1" t="s">
        <v>513</v>
      </c>
      <c r="E3336" s="1" t="s">
        <v>549</v>
      </c>
      <c r="F3336" s="1" t="s">
        <v>1310</v>
      </c>
      <c r="G3336" s="1" t="s">
        <v>1310</v>
      </c>
      <c r="H3336" s="1" t="s">
        <v>1309</v>
      </c>
    </row>
    <row r="3337" customFormat="false" ht="12" hidden="false" customHeight="true" outlineLevel="0" collapsed="false">
      <c r="B3337" s="1" t="s">
        <v>1098</v>
      </c>
      <c r="C3337" s="1" t="s">
        <v>1099</v>
      </c>
      <c r="D3337" s="1" t="s">
        <v>513</v>
      </c>
      <c r="E3337" s="1" t="s">
        <v>553</v>
      </c>
      <c r="F3337" s="1" t="s">
        <v>1310</v>
      </c>
      <c r="G3337" s="1" t="s">
        <v>1310</v>
      </c>
      <c r="H3337" s="1" t="s">
        <v>1309</v>
      </c>
    </row>
    <row r="3338" customFormat="false" ht="12" hidden="false" customHeight="true" outlineLevel="0" collapsed="false">
      <c r="B3338" s="1" t="s">
        <v>1101</v>
      </c>
      <c r="C3338" s="1" t="s">
        <v>1102</v>
      </c>
      <c r="D3338" s="1" t="s">
        <v>513</v>
      </c>
      <c r="E3338" s="1" t="s">
        <v>553</v>
      </c>
      <c r="F3338" s="1" t="s">
        <v>1310</v>
      </c>
      <c r="G3338" s="1" t="s">
        <v>1310</v>
      </c>
      <c r="H3338" s="1" t="s">
        <v>1309</v>
      </c>
    </row>
    <row r="3339" customFormat="false" ht="12" hidden="false" customHeight="true" outlineLevel="0" collapsed="false">
      <c r="B3339" s="1" t="s">
        <v>1103</v>
      </c>
      <c r="C3339" s="1" t="s">
        <v>1104</v>
      </c>
      <c r="D3339" s="1" t="s">
        <v>513</v>
      </c>
      <c r="E3339" s="1" t="s">
        <v>553</v>
      </c>
      <c r="F3339" s="1" t="s">
        <v>1310</v>
      </c>
      <c r="G3339" s="1" t="s">
        <v>1310</v>
      </c>
      <c r="H3339" s="1" t="s">
        <v>1309</v>
      </c>
    </row>
    <row r="3340" customFormat="false" ht="12" hidden="false" customHeight="true" outlineLevel="0" collapsed="false">
      <c r="B3340" s="1" t="s">
        <v>1105</v>
      </c>
      <c r="C3340" s="1" t="s">
        <v>1106</v>
      </c>
      <c r="D3340" s="1" t="s">
        <v>513</v>
      </c>
      <c r="E3340" s="1" t="s">
        <v>553</v>
      </c>
      <c r="F3340" s="1" t="s">
        <v>1310</v>
      </c>
      <c r="G3340" s="1" t="s">
        <v>1310</v>
      </c>
      <c r="H3340" s="1" t="s">
        <v>1309</v>
      </c>
    </row>
    <row r="3341" customFormat="false" ht="12" hidden="false" customHeight="true" outlineLevel="0" collapsed="false">
      <c r="B3341" s="1" t="s">
        <v>1107</v>
      </c>
      <c r="C3341" s="1" t="s">
        <v>1108</v>
      </c>
      <c r="D3341" s="1" t="s">
        <v>513</v>
      </c>
      <c r="E3341" s="1" t="s">
        <v>562</v>
      </c>
      <c r="F3341" s="1" t="s">
        <v>1310</v>
      </c>
      <c r="G3341" s="1" t="s">
        <v>1310</v>
      </c>
      <c r="H3341" s="1" t="s">
        <v>1309</v>
      </c>
    </row>
    <row r="3342" customFormat="false" ht="12" hidden="false" customHeight="true" outlineLevel="0" collapsed="false">
      <c r="B3342" s="1" t="s">
        <v>1110</v>
      </c>
      <c r="C3342" s="1" t="s">
        <v>1111</v>
      </c>
      <c r="D3342" s="1" t="s">
        <v>513</v>
      </c>
      <c r="E3342" s="1" t="s">
        <v>562</v>
      </c>
      <c r="F3342" s="1" t="s">
        <v>1310</v>
      </c>
      <c r="G3342" s="1" t="s">
        <v>1310</v>
      </c>
      <c r="H3342" s="1" t="s">
        <v>1309</v>
      </c>
    </row>
    <row r="3343" customFormat="false" ht="12" hidden="false" customHeight="true" outlineLevel="0" collapsed="false">
      <c r="B3343" s="1" t="s">
        <v>1112</v>
      </c>
      <c r="C3343" s="1" t="s">
        <v>1113</v>
      </c>
      <c r="D3343" s="1" t="s">
        <v>513</v>
      </c>
      <c r="E3343" s="1" t="s">
        <v>570</v>
      </c>
      <c r="F3343" s="1" t="s">
        <v>1310</v>
      </c>
      <c r="G3343" s="1" t="s">
        <v>1310</v>
      </c>
      <c r="H3343" s="1" t="s">
        <v>1309</v>
      </c>
    </row>
    <row r="3344" customFormat="false" ht="12" hidden="false" customHeight="true" outlineLevel="0" collapsed="false">
      <c r="B3344" s="1" t="s">
        <v>1115</v>
      </c>
      <c r="C3344" s="1" t="s">
        <v>1116</v>
      </c>
      <c r="D3344" s="1" t="s">
        <v>513</v>
      </c>
      <c r="E3344" s="1" t="s">
        <v>570</v>
      </c>
      <c r="F3344" s="1" t="s">
        <v>1310</v>
      </c>
      <c r="G3344" s="1" t="s">
        <v>1310</v>
      </c>
      <c r="H3344" s="1" t="s">
        <v>1309</v>
      </c>
    </row>
    <row r="3345" customFormat="false" ht="12" hidden="false" customHeight="true" outlineLevel="0" collapsed="false">
      <c r="B3345" s="1" t="s">
        <v>1117</v>
      </c>
      <c r="C3345" s="1" t="s">
        <v>1118</v>
      </c>
      <c r="D3345" s="1" t="s">
        <v>513</v>
      </c>
      <c r="E3345" s="1" t="s">
        <v>576</v>
      </c>
      <c r="F3345" s="1" t="s">
        <v>1310</v>
      </c>
      <c r="G3345" s="1" t="s">
        <v>1310</v>
      </c>
      <c r="H3345" s="1" t="s">
        <v>1309</v>
      </c>
    </row>
    <row r="3346" customFormat="false" ht="12" hidden="false" customHeight="true" outlineLevel="0" collapsed="false">
      <c r="B3346" s="1" t="s">
        <v>1120</v>
      </c>
      <c r="C3346" s="1" t="s">
        <v>1121</v>
      </c>
      <c r="D3346" s="1" t="s">
        <v>513</v>
      </c>
      <c r="E3346" s="1" t="s">
        <v>576</v>
      </c>
      <c r="F3346" s="1" t="s">
        <v>1310</v>
      </c>
      <c r="G3346" s="1" t="s">
        <v>1310</v>
      </c>
      <c r="H3346" s="1" t="s">
        <v>1309</v>
      </c>
    </row>
    <row r="3347" customFormat="false" ht="12" hidden="false" customHeight="true" outlineLevel="0" collapsed="false">
      <c r="B3347" s="1" t="s">
        <v>1122</v>
      </c>
      <c r="C3347" s="1" t="s">
        <v>1123</v>
      </c>
      <c r="D3347" s="1" t="s">
        <v>513</v>
      </c>
      <c r="E3347" s="1" t="s">
        <v>582</v>
      </c>
      <c r="F3347" s="1" t="s">
        <v>1310</v>
      </c>
      <c r="G3347" s="1" t="s">
        <v>1310</v>
      </c>
      <c r="H3347" s="1" t="s">
        <v>1309</v>
      </c>
    </row>
    <row r="3348" customFormat="false" ht="12" hidden="false" customHeight="true" outlineLevel="0" collapsed="false">
      <c r="B3348" s="1" t="s">
        <v>1125</v>
      </c>
      <c r="C3348" s="1" t="s">
        <v>1126</v>
      </c>
      <c r="D3348" s="1" t="s">
        <v>513</v>
      </c>
      <c r="E3348" s="1" t="s">
        <v>582</v>
      </c>
      <c r="F3348" s="1" t="s">
        <v>1310</v>
      </c>
      <c r="G3348" s="1" t="s">
        <v>1310</v>
      </c>
      <c r="H3348" s="1" t="s">
        <v>1309</v>
      </c>
    </row>
    <row r="3349" customFormat="false" ht="12" hidden="false" customHeight="true" outlineLevel="0" collapsed="false">
      <c r="B3349" s="1" t="s">
        <v>1127</v>
      </c>
      <c r="C3349" s="1" t="s">
        <v>1128</v>
      </c>
      <c r="D3349" s="1" t="s">
        <v>513</v>
      </c>
      <c r="E3349" s="1" t="s">
        <v>586</v>
      </c>
      <c r="F3349" s="1" t="s">
        <v>1310</v>
      </c>
      <c r="G3349" s="1" t="s">
        <v>1310</v>
      </c>
      <c r="H3349" s="1" t="s">
        <v>1309</v>
      </c>
    </row>
    <row r="3350" customFormat="false" ht="12" hidden="false" customHeight="true" outlineLevel="0" collapsed="false">
      <c r="B3350" s="1" t="s">
        <v>1130</v>
      </c>
      <c r="C3350" s="1" t="s">
        <v>1131</v>
      </c>
      <c r="D3350" s="1" t="s">
        <v>513</v>
      </c>
      <c r="E3350" s="1" t="s">
        <v>586</v>
      </c>
      <c r="F3350" s="1" t="s">
        <v>1310</v>
      </c>
      <c r="G3350" s="1" t="s">
        <v>1310</v>
      </c>
      <c r="H3350" s="1" t="s">
        <v>1309</v>
      </c>
    </row>
    <row r="3351" customFormat="false" ht="12" hidden="false" customHeight="true" outlineLevel="0" collapsed="false">
      <c r="B3351" s="1" t="s">
        <v>1132</v>
      </c>
      <c r="C3351" s="1" t="s">
        <v>1133</v>
      </c>
      <c r="D3351" s="1" t="s">
        <v>513</v>
      </c>
      <c r="E3351" s="1" t="s">
        <v>586</v>
      </c>
      <c r="F3351" s="1" t="s">
        <v>1310</v>
      </c>
      <c r="G3351" s="1" t="s">
        <v>1310</v>
      </c>
      <c r="H3351" s="1" t="s">
        <v>1309</v>
      </c>
    </row>
    <row r="3352" customFormat="false" ht="12" hidden="false" customHeight="true" outlineLevel="0" collapsed="false">
      <c r="B3352" s="1" t="s">
        <v>1138</v>
      </c>
      <c r="C3352" s="1" t="s">
        <v>1139</v>
      </c>
      <c r="D3352" s="1" t="s">
        <v>513</v>
      </c>
      <c r="E3352" s="1" t="s">
        <v>660</v>
      </c>
      <c r="F3352" s="1" t="s">
        <v>1310</v>
      </c>
      <c r="G3352" s="1" t="s">
        <v>1310</v>
      </c>
      <c r="H3352" s="1" t="s">
        <v>1309</v>
      </c>
    </row>
    <row r="3353" customFormat="false" ht="12" hidden="false" customHeight="true" outlineLevel="0" collapsed="false">
      <c r="B3353" s="1" t="s">
        <v>1141</v>
      </c>
      <c r="C3353" s="1" t="s">
        <v>1142</v>
      </c>
      <c r="D3353" s="1" t="s">
        <v>513</v>
      </c>
      <c r="E3353" s="1" t="s">
        <v>660</v>
      </c>
      <c r="F3353" s="1" t="s">
        <v>1310</v>
      </c>
      <c r="G3353" s="1" t="s">
        <v>1310</v>
      </c>
      <c r="H3353" s="1" t="s">
        <v>1309</v>
      </c>
    </row>
    <row r="3354" customFormat="false" ht="12" hidden="false" customHeight="true" outlineLevel="0" collapsed="false">
      <c r="B3354" s="1" t="s">
        <v>1143</v>
      </c>
      <c r="C3354" s="1" t="s">
        <v>1144</v>
      </c>
      <c r="D3354" s="1" t="s">
        <v>513</v>
      </c>
      <c r="E3354" s="1" t="s">
        <v>660</v>
      </c>
      <c r="F3354" s="1" t="s">
        <v>1310</v>
      </c>
      <c r="G3354" s="1" t="s">
        <v>1310</v>
      </c>
      <c r="H3354" s="1" t="s">
        <v>1309</v>
      </c>
    </row>
    <row r="3355" customFormat="false" ht="12" hidden="false" customHeight="true" outlineLevel="0" collapsed="false">
      <c r="B3355" s="1" t="s">
        <v>1149</v>
      </c>
      <c r="C3355" s="1" t="s">
        <v>1150</v>
      </c>
      <c r="D3355" s="1" t="s">
        <v>513</v>
      </c>
      <c r="E3355" s="1" t="s">
        <v>754</v>
      </c>
      <c r="F3355" s="1" t="s">
        <v>1310</v>
      </c>
      <c r="G3355" s="1" t="s">
        <v>1310</v>
      </c>
      <c r="H3355" s="1" t="s">
        <v>1309</v>
      </c>
    </row>
    <row r="3356" customFormat="false" ht="12" hidden="false" customHeight="true" outlineLevel="0" collapsed="false">
      <c r="B3356" s="1" t="s">
        <v>1152</v>
      </c>
      <c r="C3356" s="1" t="s">
        <v>1153</v>
      </c>
      <c r="D3356" s="1" t="s">
        <v>513</v>
      </c>
      <c r="E3356" s="1" t="s">
        <v>754</v>
      </c>
      <c r="F3356" s="1" t="s">
        <v>1310</v>
      </c>
      <c r="G3356" s="1" t="s">
        <v>1310</v>
      </c>
      <c r="H3356" s="1" t="s">
        <v>1309</v>
      </c>
    </row>
    <row r="3357" customFormat="false" ht="12" hidden="false" customHeight="true" outlineLevel="0" collapsed="false">
      <c r="B3357" s="1" t="s">
        <v>1154</v>
      </c>
      <c r="C3357" s="1" t="s">
        <v>1155</v>
      </c>
      <c r="D3357" s="1" t="s">
        <v>513</v>
      </c>
      <c r="E3357" s="1" t="s">
        <v>1156</v>
      </c>
      <c r="F3357" s="1" t="s">
        <v>1310</v>
      </c>
      <c r="G3357" s="1" t="s">
        <v>1310</v>
      </c>
      <c r="H3357" s="1" t="s">
        <v>1309</v>
      </c>
    </row>
    <row r="3358" customFormat="false" ht="12" hidden="false" customHeight="true" outlineLevel="0" collapsed="false">
      <c r="B3358" s="1" t="s">
        <v>1158</v>
      </c>
      <c r="C3358" s="1" t="s">
        <v>1159</v>
      </c>
      <c r="D3358" s="1" t="s">
        <v>513</v>
      </c>
      <c r="E3358" s="1" t="s">
        <v>1156</v>
      </c>
      <c r="F3358" s="1" t="s">
        <v>1310</v>
      </c>
      <c r="G3358" s="1" t="s">
        <v>1310</v>
      </c>
      <c r="H3358" s="1" t="s">
        <v>1309</v>
      </c>
    </row>
    <row r="3359" customFormat="false" ht="12" hidden="false" customHeight="true" outlineLevel="0" collapsed="false">
      <c r="B3359" s="1" t="s">
        <v>1160</v>
      </c>
      <c r="C3359" s="1" t="s">
        <v>1161</v>
      </c>
      <c r="D3359" s="1" t="s">
        <v>513</v>
      </c>
      <c r="E3359" s="1" t="s">
        <v>766</v>
      </c>
      <c r="F3359" s="1" t="s">
        <v>1310</v>
      </c>
      <c r="G3359" s="1" t="s">
        <v>1310</v>
      </c>
      <c r="H3359" s="1" t="s">
        <v>1309</v>
      </c>
    </row>
    <row r="3360" customFormat="false" ht="12" hidden="false" customHeight="true" outlineLevel="0" collapsed="false">
      <c r="B3360" s="1" t="s">
        <v>1163</v>
      </c>
      <c r="C3360" s="1" t="s">
        <v>1164</v>
      </c>
      <c r="D3360" s="1" t="s">
        <v>513</v>
      </c>
      <c r="E3360" s="1" t="s">
        <v>766</v>
      </c>
      <c r="F3360" s="1" t="s">
        <v>1310</v>
      </c>
      <c r="G3360" s="1" t="s">
        <v>1310</v>
      </c>
      <c r="H3360" s="1" t="s">
        <v>1309</v>
      </c>
    </row>
    <row r="3361" customFormat="false" ht="12" hidden="false" customHeight="true" outlineLevel="0" collapsed="false">
      <c r="B3361" s="1" t="s">
        <v>1165</v>
      </c>
      <c r="C3361" s="1" t="s">
        <v>1166</v>
      </c>
      <c r="D3361" s="1" t="s">
        <v>513</v>
      </c>
      <c r="E3361" s="1" t="s">
        <v>766</v>
      </c>
      <c r="F3361" s="1" t="s">
        <v>1310</v>
      </c>
      <c r="G3361" s="1" t="s">
        <v>1310</v>
      </c>
      <c r="H3361" s="1" t="s">
        <v>1309</v>
      </c>
    </row>
    <row r="3362" customFormat="false" ht="12" hidden="false" customHeight="true" outlineLevel="0" collapsed="false">
      <c r="B3362" s="1" t="s">
        <v>1167</v>
      </c>
      <c r="C3362" s="1" t="s">
        <v>1168</v>
      </c>
      <c r="D3362" s="1" t="s">
        <v>513</v>
      </c>
      <c r="E3362" s="1" t="s">
        <v>1169</v>
      </c>
      <c r="F3362" s="1" t="s">
        <v>1310</v>
      </c>
      <c r="G3362" s="1" t="s">
        <v>1310</v>
      </c>
      <c r="H3362" s="1" t="s">
        <v>1309</v>
      </c>
    </row>
    <row r="3363" customFormat="false" ht="12" hidden="false" customHeight="true" outlineLevel="0" collapsed="false">
      <c r="B3363" s="1" t="s">
        <v>1171</v>
      </c>
      <c r="C3363" s="1" t="s">
        <v>1172</v>
      </c>
      <c r="D3363" s="1" t="s">
        <v>513</v>
      </c>
      <c r="E3363" s="1" t="s">
        <v>1169</v>
      </c>
      <c r="F3363" s="1" t="s">
        <v>1310</v>
      </c>
      <c r="G3363" s="1" t="s">
        <v>1310</v>
      </c>
      <c r="H3363" s="1" t="s">
        <v>1309</v>
      </c>
    </row>
    <row r="3364" customFormat="false" ht="12" hidden="false" customHeight="true" outlineLevel="0" collapsed="false">
      <c r="B3364" s="1" t="s">
        <v>1173</v>
      </c>
      <c r="C3364" s="1" t="s">
        <v>1174</v>
      </c>
      <c r="D3364" s="1" t="s">
        <v>513</v>
      </c>
      <c r="E3364" s="1" t="s">
        <v>1175</v>
      </c>
      <c r="F3364" s="1" t="s">
        <v>1310</v>
      </c>
      <c r="G3364" s="1" t="s">
        <v>1310</v>
      </c>
      <c r="H3364" s="1" t="s">
        <v>1309</v>
      </c>
    </row>
    <row r="3365" customFormat="false" ht="12" hidden="false" customHeight="true" outlineLevel="0" collapsed="false">
      <c r="B3365" s="1" t="s">
        <v>1177</v>
      </c>
      <c r="C3365" s="1" t="s">
        <v>1178</v>
      </c>
      <c r="D3365" s="1" t="s">
        <v>513</v>
      </c>
      <c r="E3365" s="1" t="s">
        <v>1175</v>
      </c>
      <c r="F3365" s="1" t="s">
        <v>1310</v>
      </c>
      <c r="G3365" s="1" t="s">
        <v>1310</v>
      </c>
      <c r="H3365" s="1" t="s">
        <v>1309</v>
      </c>
    </row>
    <row r="3366" customFormat="false" ht="12" hidden="false" customHeight="true" outlineLevel="0" collapsed="false">
      <c r="B3366" s="1" t="s">
        <v>1179</v>
      </c>
      <c r="C3366" s="1" t="s">
        <v>1180</v>
      </c>
      <c r="D3366" s="1" t="s">
        <v>513</v>
      </c>
      <c r="E3366" s="1" t="s">
        <v>1181</v>
      </c>
      <c r="F3366" s="1" t="s">
        <v>1310</v>
      </c>
      <c r="G3366" s="1" t="s">
        <v>1310</v>
      </c>
      <c r="H3366" s="1" t="s">
        <v>1309</v>
      </c>
    </row>
    <row r="3367" customFormat="false" ht="12" hidden="false" customHeight="true" outlineLevel="0" collapsed="false">
      <c r="B3367" s="1" t="s">
        <v>1183</v>
      </c>
      <c r="C3367" s="1" t="s">
        <v>1184</v>
      </c>
      <c r="D3367" s="1" t="s">
        <v>513</v>
      </c>
      <c r="E3367" s="1" t="s">
        <v>1181</v>
      </c>
      <c r="F3367" s="1" t="s">
        <v>1310</v>
      </c>
      <c r="G3367" s="1" t="s">
        <v>1310</v>
      </c>
      <c r="H3367" s="1" t="s">
        <v>1309</v>
      </c>
    </row>
    <row r="3368" customFormat="false" ht="12" hidden="false" customHeight="true" outlineLevel="0" collapsed="false">
      <c r="B3368" s="1" t="s">
        <v>1185</v>
      </c>
      <c r="C3368" s="1" t="s">
        <v>1186</v>
      </c>
      <c r="D3368" s="1" t="s">
        <v>513</v>
      </c>
      <c r="E3368" s="1" t="s">
        <v>1187</v>
      </c>
      <c r="F3368" s="1" t="s">
        <v>1310</v>
      </c>
      <c r="G3368" s="1" t="s">
        <v>1310</v>
      </c>
      <c r="H3368" s="1" t="s">
        <v>1309</v>
      </c>
    </row>
    <row r="3369" customFormat="false" ht="12" hidden="false" customHeight="true" outlineLevel="0" collapsed="false">
      <c r="B3369" s="1" t="s">
        <v>1189</v>
      </c>
      <c r="C3369" s="1" t="s">
        <v>1190</v>
      </c>
      <c r="D3369" s="1" t="s">
        <v>513</v>
      </c>
      <c r="E3369" s="1" t="s">
        <v>1187</v>
      </c>
      <c r="F3369" s="1" t="s">
        <v>1310</v>
      </c>
      <c r="G3369" s="1" t="s">
        <v>1310</v>
      </c>
      <c r="H3369" s="1" t="s">
        <v>1309</v>
      </c>
    </row>
    <row r="3370" customFormat="false" ht="12" hidden="false" customHeight="true" outlineLevel="0" collapsed="false">
      <c r="B3370" s="1" t="s">
        <v>1191</v>
      </c>
      <c r="C3370" s="1" t="s">
        <v>1192</v>
      </c>
      <c r="D3370" s="1" t="s">
        <v>513</v>
      </c>
      <c r="E3370" s="1" t="s">
        <v>1193</v>
      </c>
      <c r="F3370" s="1" t="s">
        <v>1310</v>
      </c>
      <c r="G3370" s="1" t="s">
        <v>1310</v>
      </c>
      <c r="H3370" s="1" t="s">
        <v>1309</v>
      </c>
    </row>
    <row r="3371" customFormat="false" ht="12" hidden="false" customHeight="true" outlineLevel="0" collapsed="false">
      <c r="B3371" s="1" t="s">
        <v>1195</v>
      </c>
      <c r="C3371" s="1" t="s">
        <v>1196</v>
      </c>
      <c r="D3371" s="1" t="s">
        <v>513</v>
      </c>
      <c r="E3371" s="1" t="s">
        <v>1193</v>
      </c>
      <c r="F3371" s="1" t="s">
        <v>1310</v>
      </c>
      <c r="G3371" s="1" t="s">
        <v>1310</v>
      </c>
      <c r="H3371" s="1" t="s">
        <v>1309</v>
      </c>
    </row>
    <row r="3372" customFormat="false" ht="12" hidden="false" customHeight="true" outlineLevel="0" collapsed="false">
      <c r="B3372" s="1" t="s">
        <v>1197</v>
      </c>
      <c r="C3372" s="1" t="s">
        <v>1198</v>
      </c>
      <c r="D3372" s="1" t="s">
        <v>513</v>
      </c>
      <c r="E3372" s="1" t="s">
        <v>1199</v>
      </c>
      <c r="F3372" s="1" t="s">
        <v>1310</v>
      </c>
      <c r="G3372" s="1" t="s">
        <v>1310</v>
      </c>
      <c r="H3372" s="1" t="s">
        <v>1309</v>
      </c>
    </row>
    <row r="3373" customFormat="false" ht="12" hidden="false" customHeight="true" outlineLevel="0" collapsed="false">
      <c r="B3373" s="1" t="s">
        <v>1201</v>
      </c>
      <c r="C3373" s="1" t="s">
        <v>1202</v>
      </c>
      <c r="D3373" s="1" t="s">
        <v>513</v>
      </c>
      <c r="E3373" s="1" t="s">
        <v>1199</v>
      </c>
      <c r="F3373" s="1" t="s">
        <v>1310</v>
      </c>
      <c r="G3373" s="1" t="s">
        <v>1310</v>
      </c>
      <c r="H3373" s="1" t="s">
        <v>1309</v>
      </c>
    </row>
    <row r="3374" customFormat="false" ht="12" hidden="false" customHeight="true" outlineLevel="0" collapsed="false">
      <c r="B3374" s="1" t="s">
        <v>1203</v>
      </c>
      <c r="C3374" s="1" t="s">
        <v>1204</v>
      </c>
      <c r="D3374" s="1" t="s">
        <v>513</v>
      </c>
      <c r="E3374" s="1" t="s">
        <v>1205</v>
      </c>
      <c r="F3374" s="1" t="s">
        <v>1310</v>
      </c>
      <c r="G3374" s="1" t="s">
        <v>1310</v>
      </c>
      <c r="H3374" s="1" t="s">
        <v>1309</v>
      </c>
    </row>
    <row r="3375" customFormat="false" ht="12" hidden="false" customHeight="true" outlineLevel="0" collapsed="false">
      <c r="B3375" s="1" t="s">
        <v>1207</v>
      </c>
      <c r="C3375" s="1" t="s">
        <v>1208</v>
      </c>
      <c r="D3375" s="1" t="s">
        <v>513</v>
      </c>
      <c r="E3375" s="1" t="s">
        <v>1205</v>
      </c>
      <c r="F3375" s="1" t="s">
        <v>1310</v>
      </c>
      <c r="G3375" s="1" t="s">
        <v>1310</v>
      </c>
      <c r="H3375" s="1" t="s">
        <v>1309</v>
      </c>
    </row>
    <row r="3376" customFormat="false" ht="12" hidden="false" customHeight="true" outlineLevel="0" collapsed="false">
      <c r="B3376" s="1" t="s">
        <v>1209</v>
      </c>
      <c r="C3376" s="1" t="s">
        <v>1210</v>
      </c>
      <c r="D3376" s="1" t="s">
        <v>513</v>
      </c>
      <c r="E3376" s="1" t="s">
        <v>1205</v>
      </c>
      <c r="F3376" s="1" t="s">
        <v>1310</v>
      </c>
      <c r="G3376" s="1" t="s">
        <v>1310</v>
      </c>
      <c r="H3376" s="1" t="s">
        <v>1309</v>
      </c>
    </row>
    <row r="3377" customFormat="false" ht="12" hidden="false" customHeight="true" outlineLevel="0" collapsed="false">
      <c r="B3377" s="1" t="s">
        <v>1211</v>
      </c>
      <c r="C3377" s="1" t="s">
        <v>1212</v>
      </c>
      <c r="D3377" s="1" t="s">
        <v>517</v>
      </c>
      <c r="E3377" s="1" t="s">
        <v>591</v>
      </c>
      <c r="F3377" s="1" t="s">
        <v>517</v>
      </c>
      <c r="G3377" s="1" t="s">
        <v>517</v>
      </c>
      <c r="H3377" s="1" t="s">
        <v>1309</v>
      </c>
    </row>
    <row r="3378" customFormat="false" ht="12" hidden="false" customHeight="true" outlineLevel="0" collapsed="false">
      <c r="B3378" s="1" t="s">
        <v>1214</v>
      </c>
      <c r="C3378" s="1" t="s">
        <v>1215</v>
      </c>
      <c r="D3378" s="1" t="s">
        <v>517</v>
      </c>
      <c r="E3378" s="1" t="s">
        <v>595</v>
      </c>
      <c r="F3378" s="1" t="s">
        <v>517</v>
      </c>
      <c r="G3378" s="1" t="s">
        <v>517</v>
      </c>
      <c r="H3378" s="1" t="s">
        <v>1309</v>
      </c>
    </row>
    <row r="3379" customFormat="false" ht="12" hidden="false" customHeight="true" outlineLevel="0" collapsed="false">
      <c r="B3379" s="1" t="s">
        <v>1217</v>
      </c>
      <c r="C3379" s="1" t="s">
        <v>1218</v>
      </c>
      <c r="D3379" s="1" t="s">
        <v>517</v>
      </c>
      <c r="E3379" s="1" t="s">
        <v>496</v>
      </c>
      <c r="F3379" s="1" t="s">
        <v>517</v>
      </c>
      <c r="G3379" s="1" t="s">
        <v>517</v>
      </c>
      <c r="H3379" s="1" t="s">
        <v>1309</v>
      </c>
    </row>
    <row r="3380" customFormat="false" ht="12" hidden="false" customHeight="true" outlineLevel="0" collapsed="false">
      <c r="B3380" s="1" t="s">
        <v>1220</v>
      </c>
      <c r="C3380" s="1" t="s">
        <v>1221</v>
      </c>
      <c r="D3380" s="1" t="s">
        <v>517</v>
      </c>
      <c r="E3380" s="1" t="s">
        <v>590</v>
      </c>
      <c r="F3380" s="1" t="s">
        <v>517</v>
      </c>
      <c r="G3380" s="1" t="s">
        <v>517</v>
      </c>
      <c r="H3380" s="1" t="s">
        <v>1309</v>
      </c>
    </row>
    <row r="3381" customFormat="false" ht="12" hidden="false" customHeight="true" outlineLevel="0" collapsed="false">
      <c r="B3381" s="1" t="s">
        <v>1223</v>
      </c>
      <c r="C3381" s="1" t="s">
        <v>1224</v>
      </c>
      <c r="D3381" s="1" t="s">
        <v>517</v>
      </c>
      <c r="E3381" s="1" t="s">
        <v>497</v>
      </c>
      <c r="F3381" s="1" t="s">
        <v>517</v>
      </c>
      <c r="G3381" s="1" t="s">
        <v>517</v>
      </c>
      <c r="H3381" s="1" t="s">
        <v>1309</v>
      </c>
    </row>
    <row r="3382" customFormat="false" ht="12" hidden="false" customHeight="true" outlineLevel="0" collapsed="false">
      <c r="B3382" s="1" t="s">
        <v>1226</v>
      </c>
      <c r="C3382" s="1" t="s">
        <v>1227</v>
      </c>
      <c r="D3382" s="1" t="s">
        <v>517</v>
      </c>
      <c r="E3382" s="1" t="s">
        <v>497</v>
      </c>
      <c r="F3382" s="1" t="s">
        <v>517</v>
      </c>
      <c r="G3382" s="1" t="s">
        <v>517</v>
      </c>
      <c r="H3382" s="1" t="s">
        <v>1309</v>
      </c>
    </row>
    <row r="3383" customFormat="false" ht="12" hidden="false" customHeight="true" outlineLevel="0" collapsed="false">
      <c r="B3383" s="1" t="s">
        <v>1228</v>
      </c>
      <c r="C3383" s="1" t="s">
        <v>1229</v>
      </c>
      <c r="D3383" s="1" t="s">
        <v>517</v>
      </c>
      <c r="E3383" s="1" t="s">
        <v>501</v>
      </c>
      <c r="F3383" s="1" t="s">
        <v>517</v>
      </c>
      <c r="G3383" s="1" t="s">
        <v>517</v>
      </c>
      <c r="H3383" s="1" t="s">
        <v>1309</v>
      </c>
    </row>
    <row r="3384" customFormat="false" ht="12" hidden="false" customHeight="true" outlineLevel="0" collapsed="false">
      <c r="B3384" s="1" t="s">
        <v>1231</v>
      </c>
      <c r="C3384" s="1" t="s">
        <v>1232</v>
      </c>
      <c r="D3384" s="1" t="s">
        <v>517</v>
      </c>
      <c r="E3384" s="1" t="s">
        <v>506</v>
      </c>
      <c r="F3384" s="1" t="s">
        <v>517</v>
      </c>
      <c r="G3384" s="1" t="s">
        <v>517</v>
      </c>
      <c r="H3384" s="1" t="s">
        <v>1309</v>
      </c>
    </row>
    <row r="3385" customFormat="false" ht="12" hidden="false" customHeight="true" outlineLevel="0" collapsed="false">
      <c r="B3385" s="1" t="s">
        <v>1234</v>
      </c>
      <c r="C3385" s="1" t="s">
        <v>1235</v>
      </c>
      <c r="D3385" s="1" t="s">
        <v>517</v>
      </c>
      <c r="E3385" s="1" t="s">
        <v>506</v>
      </c>
      <c r="F3385" s="1" t="s">
        <v>517</v>
      </c>
      <c r="G3385" s="1" t="s">
        <v>517</v>
      </c>
      <c r="H3385" s="1" t="s">
        <v>1309</v>
      </c>
    </row>
    <row r="3386" customFormat="false" ht="12" hidden="false" customHeight="true" outlineLevel="0" collapsed="false">
      <c r="B3386" s="1" t="s">
        <v>1236</v>
      </c>
      <c r="C3386" s="1" t="s">
        <v>1237</v>
      </c>
      <c r="D3386" s="1" t="s">
        <v>517</v>
      </c>
      <c r="E3386" s="1" t="s">
        <v>511</v>
      </c>
      <c r="F3386" s="1" t="s">
        <v>517</v>
      </c>
      <c r="G3386" s="1" t="s">
        <v>517</v>
      </c>
      <c r="H3386" s="1" t="s">
        <v>1309</v>
      </c>
    </row>
    <row r="3387" customFormat="false" ht="12" hidden="false" customHeight="true" outlineLevel="0" collapsed="false">
      <c r="B3387" s="1" t="s">
        <v>1239</v>
      </c>
      <c r="C3387" s="1" t="s">
        <v>1240</v>
      </c>
      <c r="D3387" s="1" t="s">
        <v>517</v>
      </c>
      <c r="E3387" s="1" t="s">
        <v>511</v>
      </c>
      <c r="F3387" s="1" t="s">
        <v>517</v>
      </c>
      <c r="G3387" s="1" t="s">
        <v>517</v>
      </c>
      <c r="H3387" s="1" t="s">
        <v>1309</v>
      </c>
    </row>
    <row r="3388" customFormat="false" ht="12" hidden="false" customHeight="true" outlineLevel="0" collapsed="false">
      <c r="B3388" s="1" t="s">
        <v>1241</v>
      </c>
      <c r="C3388" s="1" t="s">
        <v>1242</v>
      </c>
      <c r="D3388" s="1" t="s">
        <v>517</v>
      </c>
      <c r="E3388" s="1" t="s">
        <v>513</v>
      </c>
      <c r="F3388" s="1" t="s">
        <v>517</v>
      </c>
      <c r="G3388" s="1" t="s">
        <v>517</v>
      </c>
      <c r="H3388" s="1" t="s">
        <v>1309</v>
      </c>
    </row>
    <row r="3389" customFormat="false" ht="12" hidden="false" customHeight="true" outlineLevel="0" collapsed="false">
      <c r="B3389" s="1" t="s">
        <v>1244</v>
      </c>
      <c r="C3389" s="1" t="s">
        <v>1245</v>
      </c>
      <c r="D3389" s="1" t="s">
        <v>517</v>
      </c>
      <c r="E3389" s="1" t="s">
        <v>513</v>
      </c>
      <c r="F3389" s="1" t="s">
        <v>517</v>
      </c>
      <c r="G3389" s="1" t="s">
        <v>517</v>
      </c>
      <c r="H3389" s="1" t="s">
        <v>1309</v>
      </c>
    </row>
    <row r="3390" customFormat="false" ht="12" hidden="false" customHeight="true" outlineLevel="0" collapsed="false">
      <c r="B3390" s="1" t="s">
        <v>1246</v>
      </c>
      <c r="C3390" s="1" t="s">
        <v>1247</v>
      </c>
      <c r="D3390" s="1" t="s">
        <v>517</v>
      </c>
      <c r="E3390" s="1" t="s">
        <v>517</v>
      </c>
      <c r="F3390" s="1" t="s">
        <v>517</v>
      </c>
      <c r="G3390" s="1" t="s">
        <v>517</v>
      </c>
      <c r="H3390" s="1" t="s">
        <v>1309</v>
      </c>
    </row>
    <row r="3391" customFormat="false" ht="12" hidden="false" customHeight="true" outlineLevel="0" collapsed="false">
      <c r="B3391" s="1" t="s">
        <v>1249</v>
      </c>
      <c r="C3391" s="1" t="s">
        <v>1250</v>
      </c>
      <c r="D3391" s="1" t="s">
        <v>517</v>
      </c>
      <c r="E3391" s="1" t="s">
        <v>522</v>
      </c>
      <c r="F3391" s="1" t="s">
        <v>517</v>
      </c>
      <c r="G3391" s="1" t="s">
        <v>517</v>
      </c>
      <c r="H3391" s="1" t="s">
        <v>1309</v>
      </c>
    </row>
    <row r="3392" customFormat="false" ht="12" hidden="false" customHeight="true" outlineLevel="0" collapsed="false">
      <c r="B3392" s="1" t="s">
        <v>1252</v>
      </c>
      <c r="C3392" s="1" t="s">
        <v>1253</v>
      </c>
      <c r="D3392" s="1" t="s">
        <v>517</v>
      </c>
      <c r="E3392" s="1" t="s">
        <v>527</v>
      </c>
      <c r="F3392" s="1" t="s">
        <v>517</v>
      </c>
      <c r="G3392" s="1" t="s">
        <v>517</v>
      </c>
      <c r="H3392" s="1" t="s">
        <v>1309</v>
      </c>
    </row>
    <row r="3393" customFormat="false" ht="12" hidden="false" customHeight="true" outlineLevel="0" collapsed="false">
      <c r="B3393" s="1" t="s">
        <v>1255</v>
      </c>
      <c r="C3393" s="1" t="s">
        <v>1256</v>
      </c>
      <c r="D3393" s="1" t="s">
        <v>517</v>
      </c>
      <c r="E3393" s="1" t="s">
        <v>527</v>
      </c>
      <c r="F3393" s="1" t="s">
        <v>517</v>
      </c>
      <c r="G3393" s="1" t="s">
        <v>517</v>
      </c>
      <c r="H3393" s="1" t="s">
        <v>1309</v>
      </c>
    </row>
    <row r="3394" customFormat="false" ht="12" hidden="false" customHeight="true" outlineLevel="0" collapsed="false">
      <c r="B3394" s="1" t="s">
        <v>1257</v>
      </c>
      <c r="C3394" s="1" t="s">
        <v>1258</v>
      </c>
      <c r="D3394" s="1" t="s">
        <v>517</v>
      </c>
      <c r="E3394" s="1" t="s">
        <v>529</v>
      </c>
      <c r="F3394" s="1" t="s">
        <v>517</v>
      </c>
      <c r="G3394" s="1" t="s">
        <v>517</v>
      </c>
      <c r="H3394" s="1" t="s">
        <v>1309</v>
      </c>
    </row>
    <row r="3395" customFormat="false" ht="12" hidden="false" customHeight="true" outlineLevel="0" collapsed="false">
      <c r="B3395" s="1" t="s">
        <v>1260</v>
      </c>
      <c r="C3395" s="1" t="s">
        <v>1261</v>
      </c>
      <c r="D3395" s="1" t="s">
        <v>517</v>
      </c>
      <c r="E3395" s="1" t="s">
        <v>529</v>
      </c>
      <c r="F3395" s="1" t="s">
        <v>517</v>
      </c>
      <c r="G3395" s="1" t="s">
        <v>517</v>
      </c>
      <c r="H3395" s="1" t="s">
        <v>1309</v>
      </c>
    </row>
    <row r="3396" customFormat="false" ht="12" hidden="false" customHeight="true" outlineLevel="0" collapsed="false">
      <c r="B3396" s="1" t="s">
        <v>1262</v>
      </c>
      <c r="C3396" s="1" t="s">
        <v>1263</v>
      </c>
      <c r="D3396" s="1" t="s">
        <v>517</v>
      </c>
      <c r="E3396" s="1" t="s">
        <v>533</v>
      </c>
      <c r="F3396" s="1" t="s">
        <v>517</v>
      </c>
      <c r="G3396" s="1" t="s">
        <v>517</v>
      </c>
      <c r="H3396" s="1" t="s">
        <v>1309</v>
      </c>
    </row>
    <row r="3397" customFormat="false" ht="12" hidden="false" customHeight="true" outlineLevel="0" collapsed="false">
      <c r="B3397" s="1" t="s">
        <v>1265</v>
      </c>
      <c r="C3397" s="1" t="s">
        <v>1266</v>
      </c>
      <c r="D3397" s="1" t="s">
        <v>517</v>
      </c>
      <c r="E3397" s="1" t="s">
        <v>533</v>
      </c>
      <c r="F3397" s="1" t="s">
        <v>517</v>
      </c>
      <c r="G3397" s="1" t="s">
        <v>517</v>
      </c>
      <c r="H3397" s="1" t="s">
        <v>1309</v>
      </c>
    </row>
    <row r="3398" customFormat="false" ht="12" hidden="false" customHeight="true" outlineLevel="0" collapsed="false">
      <c r="B3398" s="1" t="s">
        <v>1267</v>
      </c>
      <c r="C3398" s="1" t="s">
        <v>1268</v>
      </c>
      <c r="D3398" s="1" t="s">
        <v>517</v>
      </c>
      <c r="E3398" s="1" t="s">
        <v>537</v>
      </c>
      <c r="F3398" s="1" t="s">
        <v>517</v>
      </c>
      <c r="G3398" s="1" t="s">
        <v>517</v>
      </c>
      <c r="H3398" s="1" t="s">
        <v>1309</v>
      </c>
    </row>
    <row r="3399" customFormat="false" ht="12" hidden="false" customHeight="true" outlineLevel="0" collapsed="false">
      <c r="B3399" s="1" t="s">
        <v>1270</v>
      </c>
      <c r="C3399" s="1" t="s">
        <v>1271</v>
      </c>
      <c r="D3399" s="1" t="s">
        <v>517</v>
      </c>
      <c r="E3399" s="1" t="s">
        <v>539</v>
      </c>
      <c r="F3399" s="1" t="s">
        <v>517</v>
      </c>
      <c r="G3399" s="1" t="s">
        <v>517</v>
      </c>
      <c r="H3399" s="1" t="s">
        <v>1309</v>
      </c>
    </row>
    <row r="3400" customFormat="false" ht="12" hidden="false" customHeight="true" outlineLevel="0" collapsed="false">
      <c r="B3400" s="1" t="s">
        <v>1273</v>
      </c>
      <c r="C3400" s="1" t="s">
        <v>1274</v>
      </c>
      <c r="D3400" s="1" t="s">
        <v>517</v>
      </c>
      <c r="E3400" s="1" t="s">
        <v>543</v>
      </c>
      <c r="F3400" s="1" t="s">
        <v>517</v>
      </c>
      <c r="G3400" s="1" t="s">
        <v>517</v>
      </c>
      <c r="H3400" s="1" t="s">
        <v>1309</v>
      </c>
    </row>
    <row r="3401" customFormat="false" ht="12" hidden="false" customHeight="true" outlineLevel="0" collapsed="false">
      <c r="B3401" s="1" t="s">
        <v>1276</v>
      </c>
      <c r="C3401" s="1" t="s">
        <v>1277</v>
      </c>
      <c r="D3401" s="1" t="s">
        <v>517</v>
      </c>
      <c r="E3401" s="1" t="s">
        <v>547</v>
      </c>
      <c r="F3401" s="1" t="s">
        <v>517</v>
      </c>
      <c r="G3401" s="1" t="s">
        <v>517</v>
      </c>
      <c r="H3401" s="1" t="s">
        <v>1309</v>
      </c>
    </row>
    <row r="3402" customFormat="false" ht="12" hidden="false" customHeight="true" outlineLevel="0" collapsed="false">
      <c r="B3402" s="1" t="s">
        <v>1279</v>
      </c>
      <c r="C3402" s="1" t="s">
        <v>1280</v>
      </c>
      <c r="D3402" s="1" t="s">
        <v>517</v>
      </c>
      <c r="E3402" s="1" t="s">
        <v>549</v>
      </c>
      <c r="F3402" s="1" t="s">
        <v>517</v>
      </c>
      <c r="G3402" s="1" t="s">
        <v>517</v>
      </c>
      <c r="H3402" s="1" t="s">
        <v>1309</v>
      </c>
    </row>
    <row r="3403" customFormat="false" ht="12" hidden="false" customHeight="true" outlineLevel="0" collapsed="false">
      <c r="B3403" s="1" t="s">
        <v>1282</v>
      </c>
      <c r="C3403" s="1" t="s">
        <v>1283</v>
      </c>
      <c r="D3403" s="1" t="s">
        <v>517</v>
      </c>
      <c r="E3403" s="1" t="s">
        <v>553</v>
      </c>
      <c r="F3403" s="1" t="s">
        <v>517</v>
      </c>
      <c r="G3403" s="1" t="s">
        <v>517</v>
      </c>
      <c r="H3403" s="1" t="s">
        <v>1309</v>
      </c>
    </row>
    <row r="3404" customFormat="false" ht="12" hidden="false" customHeight="true" outlineLevel="0" collapsed="false">
      <c r="B3404" s="1" t="s">
        <v>1285</v>
      </c>
      <c r="C3404" s="1" t="s">
        <v>1286</v>
      </c>
      <c r="D3404" s="1" t="s">
        <v>517</v>
      </c>
      <c r="E3404" s="1" t="s">
        <v>553</v>
      </c>
      <c r="F3404" s="1" t="s">
        <v>517</v>
      </c>
      <c r="G3404" s="1" t="s">
        <v>517</v>
      </c>
      <c r="H3404" s="1" t="s">
        <v>1309</v>
      </c>
    </row>
    <row r="3405" customFormat="false" ht="12" hidden="false" customHeight="true" outlineLevel="0" collapsed="false">
      <c r="B3405" s="1" t="s">
        <v>1287</v>
      </c>
      <c r="C3405" s="1" t="s">
        <v>1288</v>
      </c>
      <c r="D3405" s="1" t="s">
        <v>517</v>
      </c>
      <c r="E3405" s="1" t="s">
        <v>562</v>
      </c>
      <c r="F3405" s="1" t="s">
        <v>517</v>
      </c>
      <c r="G3405" s="1" t="s">
        <v>517</v>
      </c>
      <c r="H3405" s="1" t="s">
        <v>1309</v>
      </c>
    </row>
    <row r="3406" customFormat="false" ht="12" hidden="false" customHeight="true" outlineLevel="0" collapsed="false">
      <c r="B3406" s="1" t="s">
        <v>1290</v>
      </c>
      <c r="C3406" s="1" t="s">
        <v>1291</v>
      </c>
      <c r="D3406" s="1" t="s">
        <v>517</v>
      </c>
      <c r="E3406" s="1" t="s">
        <v>570</v>
      </c>
      <c r="F3406" s="1" t="s">
        <v>517</v>
      </c>
      <c r="G3406" s="1" t="s">
        <v>517</v>
      </c>
      <c r="H3406" s="1" t="s">
        <v>1309</v>
      </c>
    </row>
    <row r="3407" customFormat="false" ht="12" hidden="false" customHeight="true" outlineLevel="0" collapsed="false">
      <c r="B3407" s="1" t="s">
        <v>1293</v>
      </c>
      <c r="C3407" s="1" t="s">
        <v>1294</v>
      </c>
      <c r="D3407" s="1" t="s">
        <v>517</v>
      </c>
      <c r="E3407" s="1" t="s">
        <v>576</v>
      </c>
      <c r="F3407" s="1" t="s">
        <v>517</v>
      </c>
      <c r="G3407" s="1" t="s">
        <v>517</v>
      </c>
      <c r="H3407" s="1" t="s">
        <v>1309</v>
      </c>
    </row>
    <row r="3408" customFormat="false" ht="12" hidden="false" customHeight="true" outlineLevel="0" collapsed="false">
      <c r="B3408" s="1" t="s">
        <v>1296</v>
      </c>
      <c r="C3408" s="1" t="s">
        <v>1297</v>
      </c>
      <c r="D3408" s="1" t="s">
        <v>517</v>
      </c>
      <c r="E3408" s="1" t="s">
        <v>582</v>
      </c>
      <c r="F3408" s="1" t="s">
        <v>517</v>
      </c>
      <c r="G3408" s="1" t="s">
        <v>517</v>
      </c>
      <c r="H3408" s="1" t="s">
        <v>1309</v>
      </c>
    </row>
    <row r="3409" customFormat="false" ht="12" hidden="false" customHeight="true" outlineLevel="0" collapsed="false">
      <c r="B3409" s="1" t="s">
        <v>1299</v>
      </c>
      <c r="C3409" s="1" t="s">
        <v>1300</v>
      </c>
      <c r="D3409" s="1" t="s">
        <v>517</v>
      </c>
      <c r="E3409" s="1" t="s">
        <v>586</v>
      </c>
      <c r="F3409" s="1" t="s">
        <v>517</v>
      </c>
      <c r="G3409" s="1" t="s">
        <v>517</v>
      </c>
      <c r="H3409" s="1" t="s">
        <v>1309</v>
      </c>
    </row>
    <row r="3410" customFormat="false" ht="12" hidden="false" customHeight="true" outlineLevel="0" collapsed="false">
      <c r="B3410" s="1" t="s">
        <v>1302</v>
      </c>
      <c r="C3410" s="1" t="s">
        <v>1303</v>
      </c>
      <c r="D3410" s="1" t="s">
        <v>517</v>
      </c>
      <c r="E3410" s="1" t="s">
        <v>660</v>
      </c>
      <c r="F3410" s="1" t="s">
        <v>517</v>
      </c>
      <c r="G3410" s="1" t="s">
        <v>517</v>
      </c>
      <c r="H3410" s="1" t="s">
        <v>1309</v>
      </c>
    </row>
    <row r="3413" customFormat="false" ht="12" hidden="false" customHeight="true" outlineLevel="0" collapsed="false">
      <c r="B3413" s="241" t="s">
        <v>1311</v>
      </c>
    </row>
    <row r="3414" customFormat="false" ht="12" hidden="false" customHeight="true" outlineLevel="0" collapsed="false">
      <c r="B3414" s="242" t="s">
        <v>1312</v>
      </c>
      <c r="C3414" s="242" t="s">
        <v>1313</v>
      </c>
      <c r="D3414" s="242" t="s">
        <v>1314</v>
      </c>
    </row>
    <row r="3415" customFormat="false" ht="12" hidden="false" customHeight="true" outlineLevel="0" collapsed="false">
      <c r="B3415" s="1" t="n">
        <v>26</v>
      </c>
      <c r="C3415" s="1" t="s">
        <v>1315</v>
      </c>
      <c r="D3415" s="1" t="s">
        <v>768</v>
      </c>
    </row>
    <row r="3416" customFormat="false" ht="12" hidden="false" customHeight="true" outlineLevel="0" collapsed="false">
      <c r="B3416" s="1" t="n">
        <v>100</v>
      </c>
      <c r="C3416" s="1" t="s">
        <v>1316</v>
      </c>
      <c r="D3416" s="1" t="s">
        <v>641</v>
      </c>
    </row>
    <row r="3417" customFormat="false" ht="12" hidden="false" customHeight="true" outlineLevel="0" collapsed="false">
      <c r="B3417" s="1" t="n">
        <v>101</v>
      </c>
      <c r="C3417" s="1" t="s">
        <v>1317</v>
      </c>
      <c r="D3417" s="1" t="s">
        <v>641</v>
      </c>
    </row>
    <row r="3418" customFormat="false" ht="12" hidden="false" customHeight="true" outlineLevel="0" collapsed="false">
      <c r="B3418" s="1" t="n">
        <v>102</v>
      </c>
      <c r="C3418" s="1" t="s">
        <v>1318</v>
      </c>
      <c r="D3418" s="1" t="s">
        <v>617</v>
      </c>
    </row>
    <row r="3419" customFormat="false" ht="12" hidden="false" customHeight="true" outlineLevel="0" collapsed="false">
      <c r="B3419" s="1" t="n">
        <v>105</v>
      </c>
      <c r="C3419" s="1" t="s">
        <v>1319</v>
      </c>
      <c r="D3419" s="1" t="s">
        <v>649</v>
      </c>
    </row>
    <row r="3420" customFormat="false" ht="12" hidden="false" customHeight="true" outlineLevel="0" collapsed="false">
      <c r="B3420" s="1" t="n">
        <v>116</v>
      </c>
      <c r="C3420" s="1" t="s">
        <v>1320</v>
      </c>
      <c r="D3420" s="1" t="s">
        <v>617</v>
      </c>
    </row>
    <row r="3421" customFormat="false" ht="12" hidden="false" customHeight="true" outlineLevel="0" collapsed="false">
      <c r="B3421" s="1" t="n">
        <v>118</v>
      </c>
      <c r="C3421" s="1" t="s">
        <v>1321</v>
      </c>
      <c r="D3421" s="1" t="s">
        <v>617</v>
      </c>
    </row>
    <row r="3422" customFormat="false" ht="12" hidden="false" customHeight="true" outlineLevel="0" collapsed="false">
      <c r="B3422" s="1" t="n">
        <v>186</v>
      </c>
      <c r="C3422" s="1" t="s">
        <v>1322</v>
      </c>
      <c r="D3422" s="1" t="s">
        <v>989</v>
      </c>
    </row>
    <row r="3423" customFormat="false" ht="12" hidden="false" customHeight="true" outlineLevel="0" collapsed="false">
      <c r="B3423" s="1" t="n">
        <v>204</v>
      </c>
      <c r="C3423" s="1" t="s">
        <v>1323</v>
      </c>
      <c r="D3423" s="1" t="s">
        <v>785</v>
      </c>
    </row>
    <row r="3424" customFormat="false" ht="12" hidden="false" customHeight="true" outlineLevel="0" collapsed="false">
      <c r="B3424" s="1" t="n">
        <v>209</v>
      </c>
      <c r="C3424" s="1" t="s">
        <v>1324</v>
      </c>
      <c r="D3424" s="1" t="s">
        <v>1059</v>
      </c>
    </row>
    <row r="3425" customFormat="false" ht="12" hidden="false" customHeight="true" outlineLevel="0" collapsed="false">
      <c r="B3425" s="1" t="n">
        <v>210</v>
      </c>
      <c r="C3425" s="1" t="s">
        <v>1325</v>
      </c>
      <c r="D3425" s="1" t="s">
        <v>771</v>
      </c>
    </row>
    <row r="3426" customFormat="false" ht="12" hidden="false" customHeight="true" outlineLevel="0" collapsed="false">
      <c r="B3426" s="1" t="n">
        <v>212</v>
      </c>
      <c r="C3426" s="1" t="s">
        <v>1326</v>
      </c>
      <c r="D3426" s="1" t="s">
        <v>782</v>
      </c>
    </row>
    <row r="3427" customFormat="false" ht="12" hidden="false" customHeight="true" outlineLevel="0" collapsed="false">
      <c r="B3427" s="1" t="n">
        <v>213</v>
      </c>
      <c r="C3427" s="1" t="s">
        <v>1327</v>
      </c>
      <c r="D3427" s="1" t="s">
        <v>856</v>
      </c>
    </row>
    <row r="3428" customFormat="false" ht="12" hidden="false" customHeight="true" outlineLevel="0" collapsed="false">
      <c r="B3428" s="1" t="n">
        <v>220</v>
      </c>
      <c r="C3428" s="1" t="s">
        <v>1328</v>
      </c>
      <c r="D3428" s="1" t="s">
        <v>564</v>
      </c>
    </row>
    <row r="3429" customFormat="false" ht="12" hidden="false" customHeight="true" outlineLevel="0" collapsed="false">
      <c r="B3429" s="1" t="n">
        <v>227</v>
      </c>
      <c r="C3429" s="1" t="s">
        <v>1329</v>
      </c>
      <c r="D3429" s="1" t="s">
        <v>834</v>
      </c>
    </row>
    <row r="3430" customFormat="false" ht="12" hidden="false" customHeight="true" outlineLevel="0" collapsed="false">
      <c r="B3430" s="1" t="n">
        <v>228</v>
      </c>
      <c r="C3430" s="1" t="s">
        <v>1330</v>
      </c>
      <c r="D3430" s="1" t="s">
        <v>895</v>
      </c>
    </row>
    <row r="3431" customFormat="false" ht="12" hidden="false" customHeight="true" outlineLevel="0" collapsed="false">
      <c r="B3431" s="1" t="n">
        <v>300</v>
      </c>
      <c r="C3431" s="1" t="s">
        <v>1331</v>
      </c>
      <c r="D3431" s="1" t="s">
        <v>515</v>
      </c>
    </row>
    <row r="3432" customFormat="false" ht="12" hidden="false" customHeight="true" outlineLevel="0" collapsed="false">
      <c r="B3432" s="1" t="n">
        <v>302</v>
      </c>
      <c r="C3432" s="1" t="s">
        <v>1332</v>
      </c>
      <c r="D3432" s="1" t="s">
        <v>945</v>
      </c>
    </row>
    <row r="3433" customFormat="false" ht="12" hidden="false" customHeight="true" outlineLevel="0" collapsed="false">
      <c r="B3433" s="1" t="n">
        <v>303</v>
      </c>
      <c r="C3433" s="1" t="s">
        <v>1333</v>
      </c>
      <c r="D3433" s="1" t="s">
        <v>839</v>
      </c>
    </row>
    <row r="3434" customFormat="false" ht="12" hidden="false" customHeight="true" outlineLevel="0" collapsed="false">
      <c r="B3434" s="1" t="n">
        <v>304</v>
      </c>
      <c r="C3434" s="1" t="s">
        <v>1334</v>
      </c>
      <c r="D3434" s="1" t="s">
        <v>875</v>
      </c>
    </row>
    <row r="3435" customFormat="false" ht="12" hidden="false" customHeight="true" outlineLevel="0" collapsed="false">
      <c r="B3435" s="1" t="n">
        <v>305</v>
      </c>
      <c r="C3435" s="1" t="s">
        <v>1335</v>
      </c>
      <c r="D3435" s="1" t="s">
        <v>873</v>
      </c>
    </row>
    <row r="3436" customFormat="false" ht="12" hidden="false" customHeight="true" outlineLevel="0" collapsed="false">
      <c r="B3436" s="1" t="n">
        <v>306</v>
      </c>
      <c r="C3436" s="1" t="s">
        <v>1336</v>
      </c>
      <c r="D3436" s="1" t="s">
        <v>977</v>
      </c>
    </row>
    <row r="3437" customFormat="false" ht="12" hidden="false" customHeight="true" outlineLevel="0" collapsed="false">
      <c r="B3437" s="1" t="n">
        <v>309</v>
      </c>
      <c r="C3437" s="1" t="s">
        <v>1337</v>
      </c>
      <c r="D3437" s="1" t="s">
        <v>928</v>
      </c>
    </row>
    <row r="3438" customFormat="false" ht="12" hidden="false" customHeight="true" outlineLevel="0" collapsed="false">
      <c r="B3438" s="1" t="n">
        <v>310</v>
      </c>
      <c r="C3438" s="1" t="s">
        <v>1338</v>
      </c>
      <c r="D3438" s="1" t="s">
        <v>520</v>
      </c>
    </row>
    <row r="3439" customFormat="false" ht="12" hidden="false" customHeight="true" outlineLevel="0" collapsed="false">
      <c r="B3439" s="1" t="n">
        <v>311</v>
      </c>
      <c r="C3439" s="1" t="s">
        <v>1339</v>
      </c>
      <c r="D3439" s="1" t="s">
        <v>568</v>
      </c>
    </row>
    <row r="3440" customFormat="false" ht="12" hidden="false" customHeight="true" outlineLevel="0" collapsed="false">
      <c r="B3440" s="1" t="n">
        <v>313</v>
      </c>
      <c r="C3440" s="1" t="s">
        <v>1340</v>
      </c>
      <c r="D3440" s="1" t="s">
        <v>892</v>
      </c>
    </row>
    <row r="3441" customFormat="false" ht="12" hidden="false" customHeight="true" outlineLevel="0" collapsed="false">
      <c r="B3441" s="1" t="n">
        <v>314</v>
      </c>
      <c r="C3441" s="1" t="s">
        <v>1341</v>
      </c>
      <c r="D3441" s="1" t="s">
        <v>574</v>
      </c>
    </row>
    <row r="3442" customFormat="false" ht="12" hidden="false" customHeight="true" outlineLevel="0" collapsed="false">
      <c r="B3442" s="1" t="n">
        <v>318</v>
      </c>
      <c r="C3442" s="1" t="s">
        <v>1342</v>
      </c>
      <c r="D3442" s="1" t="s">
        <v>724</v>
      </c>
    </row>
    <row r="3443" customFormat="false" ht="12" hidden="false" customHeight="true" outlineLevel="0" collapsed="false">
      <c r="B3443" s="1" t="n">
        <v>319</v>
      </c>
      <c r="C3443" s="1" t="s">
        <v>1343</v>
      </c>
      <c r="D3443" s="1" t="s">
        <v>729</v>
      </c>
    </row>
    <row r="3444" customFormat="false" ht="12" hidden="false" customHeight="true" outlineLevel="0" collapsed="false">
      <c r="B3444" s="1" t="n">
        <v>320</v>
      </c>
      <c r="C3444" s="1" t="s">
        <v>1344</v>
      </c>
      <c r="D3444" s="1" t="s">
        <v>884</v>
      </c>
    </row>
    <row r="3445" customFormat="false" ht="12" hidden="false" customHeight="true" outlineLevel="0" collapsed="false">
      <c r="B3445" s="1" t="n">
        <v>321</v>
      </c>
      <c r="C3445" s="1" t="s">
        <v>1345</v>
      </c>
      <c r="D3445" s="1" t="s">
        <v>499</v>
      </c>
    </row>
    <row r="3446" customFormat="false" ht="12" hidden="false" customHeight="true" outlineLevel="0" collapsed="false">
      <c r="B3446" s="1" t="n">
        <v>323</v>
      </c>
      <c r="C3446" s="1" t="s">
        <v>1346</v>
      </c>
      <c r="D3446" s="1" t="s">
        <v>948</v>
      </c>
    </row>
    <row r="3447" customFormat="false" ht="12" hidden="false" customHeight="true" outlineLevel="0" collapsed="false">
      <c r="B3447" s="1" t="n">
        <v>325</v>
      </c>
      <c r="C3447" s="1" t="s">
        <v>1347</v>
      </c>
      <c r="D3447" s="1" t="s">
        <v>841</v>
      </c>
    </row>
    <row r="3448" customFormat="false" ht="12" hidden="false" customHeight="true" outlineLevel="0" collapsed="false">
      <c r="B3448" s="1" t="n">
        <v>326</v>
      </c>
      <c r="C3448" s="1" t="s">
        <v>1348</v>
      </c>
      <c r="D3448" s="1" t="s">
        <v>854</v>
      </c>
    </row>
    <row r="3449" customFormat="false" ht="12" hidden="false" customHeight="true" outlineLevel="0" collapsed="false">
      <c r="B3449" s="1" t="n">
        <v>328</v>
      </c>
      <c r="C3449" s="1" t="s">
        <v>1349</v>
      </c>
      <c r="D3449" s="1" t="s">
        <v>829</v>
      </c>
    </row>
    <row r="3450" customFormat="false" ht="12" hidden="false" customHeight="true" outlineLevel="0" collapsed="false">
      <c r="B3450" s="1" t="n">
        <v>331</v>
      </c>
      <c r="C3450" s="1" t="s">
        <v>1350</v>
      </c>
      <c r="D3450" s="1" t="s">
        <v>886</v>
      </c>
    </row>
    <row r="3451" customFormat="false" ht="12" hidden="false" customHeight="true" outlineLevel="0" collapsed="false">
      <c r="B3451" s="1" t="n">
        <v>332</v>
      </c>
      <c r="C3451" s="1" t="s">
        <v>1351</v>
      </c>
      <c r="D3451" s="1" t="s">
        <v>541</v>
      </c>
    </row>
    <row r="3452" customFormat="false" ht="12" hidden="false" customHeight="true" outlineLevel="0" collapsed="false">
      <c r="B3452" s="1" t="n">
        <v>333</v>
      </c>
      <c r="C3452" s="1" t="s">
        <v>1352</v>
      </c>
      <c r="D3452" s="1" t="s">
        <v>776</v>
      </c>
    </row>
    <row r="3453" customFormat="false" ht="12" hidden="false" customHeight="true" outlineLevel="0" collapsed="false">
      <c r="B3453" s="1" t="n">
        <v>334</v>
      </c>
      <c r="C3453" s="1" t="s">
        <v>1353</v>
      </c>
      <c r="D3453" s="1" t="s">
        <v>773</v>
      </c>
    </row>
    <row r="3454" customFormat="false" ht="12" hidden="false" customHeight="true" outlineLevel="0" collapsed="false">
      <c r="B3454" s="1" t="n">
        <v>335</v>
      </c>
      <c r="C3454" s="1" t="s">
        <v>1354</v>
      </c>
      <c r="D3454" s="1" t="s">
        <v>915</v>
      </c>
    </row>
    <row r="3455" customFormat="false" ht="12" hidden="false" customHeight="true" outlineLevel="0" collapsed="false">
      <c r="B3455" s="1" t="n">
        <v>336</v>
      </c>
      <c r="C3455" s="1" t="s">
        <v>1355</v>
      </c>
      <c r="D3455" s="1" t="s">
        <v>715</v>
      </c>
    </row>
    <row r="3456" customFormat="false" ht="12" hidden="false" customHeight="true" outlineLevel="0" collapsed="false">
      <c r="B3456" s="1" t="n">
        <v>339</v>
      </c>
      <c r="C3456" s="1" t="s">
        <v>1356</v>
      </c>
      <c r="D3456" s="1" t="s">
        <v>1029</v>
      </c>
    </row>
    <row r="3457" customFormat="false" ht="12" hidden="false" customHeight="true" outlineLevel="0" collapsed="false">
      <c r="B3457" s="1" t="n">
        <v>340</v>
      </c>
      <c r="C3457" s="1" t="s">
        <v>1357</v>
      </c>
      <c r="D3457" s="1" t="s">
        <v>694</v>
      </c>
    </row>
    <row r="3458" customFormat="false" ht="12" hidden="false" customHeight="true" outlineLevel="0" collapsed="false">
      <c r="B3458" s="1" t="n">
        <v>341</v>
      </c>
      <c r="C3458" s="1" t="s">
        <v>1358</v>
      </c>
      <c r="D3458" s="1" t="s">
        <v>878</v>
      </c>
    </row>
    <row r="3459" customFormat="false" ht="12" hidden="false" customHeight="true" outlineLevel="0" collapsed="false">
      <c r="B3459" s="1" t="n">
        <v>342</v>
      </c>
      <c r="C3459" s="1" t="s">
        <v>1359</v>
      </c>
      <c r="D3459" s="1" t="s">
        <v>580</v>
      </c>
    </row>
    <row r="3460" customFormat="false" ht="12" hidden="false" customHeight="true" outlineLevel="0" collapsed="false">
      <c r="B3460" s="1" t="n">
        <v>343</v>
      </c>
      <c r="C3460" s="1" t="s">
        <v>1360</v>
      </c>
      <c r="D3460" s="1" t="s">
        <v>588</v>
      </c>
    </row>
    <row r="3461" customFormat="false" ht="12" hidden="false" customHeight="true" outlineLevel="0" collapsed="false">
      <c r="B3461" s="1" t="n">
        <v>344</v>
      </c>
      <c r="C3461" s="1" t="s">
        <v>1361</v>
      </c>
      <c r="D3461" s="1" t="s">
        <v>859</v>
      </c>
    </row>
    <row r="3462" customFormat="false" ht="12" hidden="false" customHeight="true" outlineLevel="0" collapsed="false">
      <c r="B3462" s="1" t="n">
        <v>345</v>
      </c>
      <c r="C3462" s="1" t="s">
        <v>1362</v>
      </c>
      <c r="D3462" s="1" t="s">
        <v>851</v>
      </c>
    </row>
    <row r="3463" customFormat="false" ht="12" hidden="false" customHeight="true" outlineLevel="0" collapsed="false">
      <c r="B3463" s="1" t="n">
        <v>346</v>
      </c>
      <c r="C3463" s="1" t="s">
        <v>1363</v>
      </c>
      <c r="D3463" s="1" t="s">
        <v>794</v>
      </c>
    </row>
    <row r="3464" customFormat="false" ht="12" hidden="false" customHeight="true" outlineLevel="0" collapsed="false">
      <c r="B3464" s="1" t="n">
        <v>349</v>
      </c>
      <c r="C3464" s="1" t="s">
        <v>1364</v>
      </c>
      <c r="D3464" s="1" t="s">
        <v>678</v>
      </c>
    </row>
    <row r="3465" customFormat="false" ht="12" hidden="false" customHeight="true" outlineLevel="0" collapsed="false">
      <c r="B3465" s="1" t="n">
        <v>350</v>
      </c>
      <c r="C3465" s="1" t="s">
        <v>1365</v>
      </c>
      <c r="D3465" s="1" t="s">
        <v>667</v>
      </c>
    </row>
    <row r="3466" customFormat="false" ht="12" hidden="false" customHeight="true" outlineLevel="0" collapsed="false">
      <c r="B3466" s="1" t="n">
        <v>352</v>
      </c>
      <c r="C3466" s="1" t="s">
        <v>1366</v>
      </c>
      <c r="D3466" s="1" t="s">
        <v>617</v>
      </c>
    </row>
    <row r="3467" customFormat="false" ht="12" hidden="false" customHeight="true" outlineLevel="0" collapsed="false">
      <c r="B3467" s="1" t="n">
        <v>353</v>
      </c>
      <c r="C3467" s="1" t="s">
        <v>1367</v>
      </c>
      <c r="D3467" s="1" t="s">
        <v>721</v>
      </c>
    </row>
    <row r="3468" customFormat="false" ht="12" hidden="false" customHeight="true" outlineLevel="0" collapsed="false">
      <c r="B3468" s="1" t="n">
        <v>356</v>
      </c>
      <c r="C3468" s="1" t="s">
        <v>1368</v>
      </c>
      <c r="D3468" s="1" t="s">
        <v>1228</v>
      </c>
    </row>
    <row r="3469" customFormat="false" ht="12" hidden="false" customHeight="true" outlineLevel="0" collapsed="false">
      <c r="B3469" s="1" t="n">
        <v>358</v>
      </c>
      <c r="C3469" s="1" t="s">
        <v>1369</v>
      </c>
      <c r="D3469" s="1" t="s">
        <v>1273</v>
      </c>
    </row>
    <row r="3470" customFormat="false" ht="12" hidden="false" customHeight="true" outlineLevel="0" collapsed="false">
      <c r="B3470" s="1" t="n">
        <v>359</v>
      </c>
      <c r="C3470" s="1" t="s">
        <v>1370</v>
      </c>
      <c r="D3470" s="1" t="s">
        <v>1239</v>
      </c>
    </row>
    <row r="3471" customFormat="false" ht="12" hidden="false" customHeight="true" outlineLevel="0" collapsed="false">
      <c r="B3471" s="1" t="n">
        <v>361</v>
      </c>
      <c r="C3471" s="1" t="s">
        <v>1371</v>
      </c>
      <c r="D3471" s="1" t="s">
        <v>1236</v>
      </c>
    </row>
    <row r="3472" customFormat="false" ht="12" hidden="false" customHeight="true" outlineLevel="0" collapsed="false">
      <c r="B3472" s="1" t="n">
        <v>368</v>
      </c>
      <c r="C3472" s="1" t="s">
        <v>1372</v>
      </c>
      <c r="D3472" s="1" t="s">
        <v>1279</v>
      </c>
    </row>
    <row r="3473" customFormat="false" ht="12" hidden="false" customHeight="true" outlineLevel="0" collapsed="false">
      <c r="B3473" s="1" t="n">
        <v>378</v>
      </c>
      <c r="C3473" s="1" t="s">
        <v>1373</v>
      </c>
      <c r="D3473" s="1" t="s">
        <v>1154</v>
      </c>
    </row>
    <row r="3474" customFormat="false" ht="12" hidden="false" customHeight="true" outlineLevel="0" collapsed="false">
      <c r="B3474" s="1" t="n">
        <v>380</v>
      </c>
      <c r="C3474" s="1" t="s">
        <v>1374</v>
      </c>
      <c r="D3474" s="1" t="s">
        <v>942</v>
      </c>
    </row>
    <row r="3475" customFormat="false" ht="12" hidden="false" customHeight="true" outlineLevel="0" collapsed="false">
      <c r="B3475" s="1" t="n">
        <v>381</v>
      </c>
      <c r="C3475" s="1" t="s">
        <v>1375</v>
      </c>
      <c r="D3475" s="1" t="s">
        <v>898</v>
      </c>
    </row>
    <row r="3476" customFormat="false" ht="12" hidden="false" customHeight="true" outlineLevel="0" collapsed="false">
      <c r="B3476" s="1" t="n">
        <v>382</v>
      </c>
      <c r="C3476" s="1" t="s">
        <v>878</v>
      </c>
      <c r="D3476" s="1" t="s">
        <v>878</v>
      </c>
    </row>
    <row r="3477" customFormat="false" ht="12" hidden="false" customHeight="true" outlineLevel="0" collapsed="false">
      <c r="B3477" s="1" t="n">
        <v>384</v>
      </c>
      <c r="C3477" s="1" t="s">
        <v>1376</v>
      </c>
      <c r="D3477" s="1" t="s">
        <v>712</v>
      </c>
    </row>
    <row r="3478" customFormat="false" ht="12" hidden="false" customHeight="true" outlineLevel="0" collapsed="false">
      <c r="B3478" s="1" t="n">
        <v>386</v>
      </c>
      <c r="C3478" s="1" t="s">
        <v>1377</v>
      </c>
      <c r="D3478" s="1" t="s">
        <v>821</v>
      </c>
    </row>
    <row r="3479" customFormat="false" ht="12" hidden="false" customHeight="true" outlineLevel="0" collapsed="false">
      <c r="B3479" s="1" t="n">
        <v>387</v>
      </c>
      <c r="C3479" s="1" t="s">
        <v>1378</v>
      </c>
      <c r="D3479" s="1" t="s">
        <v>808</v>
      </c>
    </row>
    <row r="3480" customFormat="false" ht="12" hidden="false" customHeight="true" outlineLevel="0" collapsed="false">
      <c r="B3480" s="1" t="n">
        <v>389</v>
      </c>
      <c r="C3480" s="1" t="s">
        <v>1379</v>
      </c>
      <c r="D3480" s="1" t="s">
        <v>1105</v>
      </c>
    </row>
    <row r="3481" customFormat="false" ht="12" hidden="false" customHeight="true" outlineLevel="0" collapsed="false">
      <c r="B3481" s="1" t="n">
        <v>390</v>
      </c>
      <c r="C3481" s="1" t="s">
        <v>1380</v>
      </c>
      <c r="D3481" s="1" t="s">
        <v>1026</v>
      </c>
    </row>
    <row r="3482" customFormat="false" ht="12" hidden="false" customHeight="true" outlineLevel="0" collapsed="false">
      <c r="B3482" s="1" t="n">
        <v>391</v>
      </c>
      <c r="C3482" s="1" t="s">
        <v>1381</v>
      </c>
      <c r="D3482" s="1" t="s">
        <v>1019</v>
      </c>
    </row>
    <row r="3483" customFormat="false" ht="12" hidden="false" customHeight="true" outlineLevel="0" collapsed="false">
      <c r="B3483" s="1" t="n">
        <v>392</v>
      </c>
      <c r="C3483" s="1" t="s">
        <v>1382</v>
      </c>
      <c r="D3483" s="1" t="s">
        <v>779</v>
      </c>
    </row>
    <row r="3484" customFormat="false" ht="12" hidden="false" customHeight="true" outlineLevel="0" collapsed="false">
      <c r="B3484" s="1" t="n">
        <v>397</v>
      </c>
      <c r="C3484" s="1" t="s">
        <v>1383</v>
      </c>
      <c r="D3484" s="1" t="s">
        <v>1112</v>
      </c>
    </row>
    <row r="3485" customFormat="false" ht="12" hidden="false" customHeight="true" outlineLevel="0" collapsed="false">
      <c r="B3485" s="1" t="n">
        <v>401</v>
      </c>
      <c r="C3485" s="1" t="s">
        <v>1384</v>
      </c>
      <c r="D3485" s="1" t="s">
        <v>1009</v>
      </c>
    </row>
    <row r="3486" customFormat="false" ht="12" hidden="false" customHeight="true" outlineLevel="0" collapsed="false">
      <c r="B3486" s="1" t="n">
        <v>403</v>
      </c>
      <c r="C3486" s="1" t="s">
        <v>1385</v>
      </c>
      <c r="D3486" s="1" t="s">
        <v>1265</v>
      </c>
    </row>
    <row r="3487" customFormat="false" ht="12" hidden="false" customHeight="true" outlineLevel="0" collapsed="false">
      <c r="B3487" s="1" t="n">
        <v>404</v>
      </c>
      <c r="C3487" s="1" t="s">
        <v>1386</v>
      </c>
      <c r="D3487" s="1" t="s">
        <v>1085</v>
      </c>
    </row>
    <row r="3488" customFormat="false" ht="12" hidden="false" customHeight="true" outlineLevel="0" collapsed="false">
      <c r="B3488" s="1" t="n">
        <v>405</v>
      </c>
      <c r="C3488" s="1" t="s">
        <v>1387</v>
      </c>
      <c r="D3488" s="1" t="s">
        <v>967</v>
      </c>
    </row>
    <row r="3489" customFormat="false" ht="12" hidden="false" customHeight="true" outlineLevel="0" collapsed="false">
      <c r="B3489" s="1" t="n">
        <v>406</v>
      </c>
      <c r="C3489" s="1" t="s">
        <v>1388</v>
      </c>
      <c r="D3489" s="1" t="s">
        <v>818</v>
      </c>
    </row>
    <row r="3490" customFormat="false" ht="12" hidden="false" customHeight="true" outlineLevel="0" collapsed="false">
      <c r="B3490" s="1" t="n">
        <v>407</v>
      </c>
      <c r="C3490" s="1" t="s">
        <v>1389</v>
      </c>
      <c r="D3490" s="1" t="s">
        <v>805</v>
      </c>
    </row>
    <row r="3491" customFormat="false" ht="12" hidden="false" customHeight="true" outlineLevel="0" collapsed="false">
      <c r="B3491" s="1" t="n">
        <v>409</v>
      </c>
      <c r="C3491" s="1" t="s">
        <v>1390</v>
      </c>
      <c r="D3491" s="1" t="s">
        <v>831</v>
      </c>
    </row>
    <row r="3492" customFormat="false" ht="12" hidden="false" customHeight="true" outlineLevel="0" collapsed="false">
      <c r="B3492" s="1" t="n">
        <v>410</v>
      </c>
      <c r="C3492" s="1" t="s">
        <v>1391</v>
      </c>
      <c r="D3492" s="1" t="s">
        <v>836</v>
      </c>
    </row>
    <row r="3493" customFormat="false" ht="12" hidden="false" customHeight="true" outlineLevel="0" collapsed="false">
      <c r="B3493" s="1" t="n">
        <v>412</v>
      </c>
      <c r="C3493" s="1" t="s">
        <v>1392</v>
      </c>
      <c r="D3493" s="1" t="s">
        <v>742</v>
      </c>
    </row>
    <row r="3494" customFormat="false" ht="12" hidden="false" customHeight="true" outlineLevel="0" collapsed="false">
      <c r="B3494" s="1" t="n">
        <v>413</v>
      </c>
      <c r="C3494" s="1" t="s">
        <v>1393</v>
      </c>
      <c r="D3494" s="1" t="s">
        <v>750</v>
      </c>
    </row>
    <row r="3495" customFormat="false" ht="12" hidden="false" customHeight="true" outlineLevel="0" collapsed="false">
      <c r="B3495" s="1" t="n">
        <v>414</v>
      </c>
      <c r="C3495" s="1" t="s">
        <v>1394</v>
      </c>
      <c r="D3495" s="1" t="s">
        <v>756</v>
      </c>
    </row>
    <row r="3496" customFormat="false" ht="12" hidden="false" customHeight="true" outlineLevel="0" collapsed="false">
      <c r="B3496" s="1" t="n">
        <v>418</v>
      </c>
      <c r="C3496" s="1" t="s">
        <v>1395</v>
      </c>
      <c r="D3496" s="1" t="s">
        <v>578</v>
      </c>
    </row>
    <row r="3497" customFormat="false" ht="12" hidden="false" customHeight="true" outlineLevel="0" collapsed="false">
      <c r="B3497" s="1" t="n">
        <v>419</v>
      </c>
      <c r="C3497" s="1" t="s">
        <v>1396</v>
      </c>
      <c r="D3497" s="1" t="s">
        <v>699</v>
      </c>
    </row>
    <row r="3498" customFormat="false" ht="12" hidden="false" customHeight="true" outlineLevel="0" collapsed="false">
      <c r="B3498" s="1" t="n">
        <v>421</v>
      </c>
      <c r="C3498" s="1" t="s">
        <v>1397</v>
      </c>
      <c r="D3498" s="1" t="s">
        <v>1002</v>
      </c>
    </row>
    <row r="3499" customFormat="false" ht="12" hidden="false" customHeight="true" outlineLevel="0" collapsed="false">
      <c r="B3499" s="1" t="n">
        <v>423</v>
      </c>
      <c r="C3499" s="1" t="s">
        <v>1398</v>
      </c>
      <c r="D3499" s="1" t="s">
        <v>849</v>
      </c>
    </row>
    <row r="3500" customFormat="false" ht="12" hidden="false" customHeight="true" outlineLevel="0" collapsed="false">
      <c r="B3500" s="1" t="n">
        <v>425</v>
      </c>
      <c r="C3500" s="1" t="s">
        <v>1399</v>
      </c>
      <c r="D3500" s="1" t="s">
        <v>818</v>
      </c>
    </row>
    <row r="3501" customFormat="false" ht="12" hidden="false" customHeight="true" outlineLevel="0" collapsed="false">
      <c r="B3501" s="1" t="n">
        <v>426</v>
      </c>
      <c r="C3501" s="1" t="s">
        <v>1400</v>
      </c>
      <c r="D3501" s="1" t="s">
        <v>1226</v>
      </c>
    </row>
    <row r="3502" customFormat="false" ht="12" hidden="false" customHeight="true" outlineLevel="0" collapsed="false">
      <c r="B3502" s="1" t="n">
        <v>430</v>
      </c>
      <c r="C3502" s="1" t="s">
        <v>1401</v>
      </c>
      <c r="D3502" s="1" t="s">
        <v>1091</v>
      </c>
    </row>
    <row r="3503" customFormat="false" ht="12" hidden="false" customHeight="true" outlineLevel="0" collapsed="false">
      <c r="B3503" s="1" t="n">
        <v>431</v>
      </c>
      <c r="C3503" s="1" t="s">
        <v>1402</v>
      </c>
      <c r="D3503" s="1" t="s">
        <v>889</v>
      </c>
    </row>
    <row r="3504" customFormat="false" ht="12" hidden="false" customHeight="true" outlineLevel="0" collapsed="false">
      <c r="B3504" s="1" t="n">
        <v>432</v>
      </c>
      <c r="C3504" s="1" t="s">
        <v>1403</v>
      </c>
      <c r="D3504" s="1" t="s">
        <v>1257</v>
      </c>
    </row>
    <row r="3505" customFormat="false" ht="12" hidden="false" customHeight="true" outlineLevel="0" collapsed="false">
      <c r="B3505" s="1" t="n">
        <v>441</v>
      </c>
      <c r="C3505" s="1" t="s">
        <v>1404</v>
      </c>
      <c r="D3505" s="1" t="s">
        <v>665</v>
      </c>
    </row>
    <row r="3506" customFormat="false" ht="12" hidden="false" customHeight="true" outlineLevel="0" collapsed="false">
      <c r="B3506" s="1" t="n">
        <v>442</v>
      </c>
      <c r="C3506" s="1" t="s">
        <v>1405</v>
      </c>
      <c r="D3506" s="1" t="s">
        <v>662</v>
      </c>
    </row>
    <row r="3507" customFormat="false" ht="12" hidden="false" customHeight="true" outlineLevel="0" collapsed="false">
      <c r="B3507" s="1" t="n">
        <v>444</v>
      </c>
      <c r="C3507" s="1" t="s">
        <v>1406</v>
      </c>
      <c r="D3507" s="1" t="s">
        <v>881</v>
      </c>
    </row>
    <row r="3508" customFormat="false" ht="12" hidden="false" customHeight="true" outlineLevel="0" collapsed="false">
      <c r="B3508" s="1" t="n">
        <v>446</v>
      </c>
      <c r="C3508" s="1" t="s">
        <v>1407</v>
      </c>
      <c r="D3508" s="1" t="s">
        <v>689</v>
      </c>
    </row>
    <row r="3509" customFormat="false" ht="12" hidden="false" customHeight="true" outlineLevel="0" collapsed="false">
      <c r="B3509" s="1" t="n">
        <v>447</v>
      </c>
      <c r="C3509" s="1" t="s">
        <v>1408</v>
      </c>
      <c r="D3509" s="1" t="s">
        <v>810</v>
      </c>
    </row>
    <row r="3510" customFormat="false" ht="12" hidden="false" customHeight="true" outlineLevel="0" collapsed="false">
      <c r="B3510" s="1" t="n">
        <v>468</v>
      </c>
      <c r="C3510" s="1" t="s">
        <v>1409</v>
      </c>
      <c r="D3510" s="1" t="s">
        <v>1012</v>
      </c>
    </row>
    <row r="3511" customFormat="false" ht="12" hidden="false" customHeight="true" outlineLevel="0" collapsed="false">
      <c r="B3511" s="1" t="n">
        <v>473</v>
      </c>
      <c r="C3511" s="1" t="s">
        <v>1410</v>
      </c>
      <c r="D3511" s="1" t="s">
        <v>1007</v>
      </c>
    </row>
    <row r="3512" customFormat="false" ht="12" hidden="false" customHeight="true" outlineLevel="0" collapsed="false">
      <c r="B3512" s="1" t="n">
        <v>474</v>
      </c>
      <c r="C3512" s="1" t="s">
        <v>1411</v>
      </c>
      <c r="D3512" s="1" t="s">
        <v>1299</v>
      </c>
    </row>
    <row r="3513" customFormat="false" ht="12" hidden="false" customHeight="true" outlineLevel="0" collapsed="false">
      <c r="B3513" s="1" t="n">
        <v>480</v>
      </c>
      <c r="C3513" s="1" t="s">
        <v>1412</v>
      </c>
      <c r="D3513" s="1" t="s">
        <v>1055</v>
      </c>
    </row>
    <row r="3514" customFormat="false" ht="12" hidden="false" customHeight="true" outlineLevel="0" collapsed="false">
      <c r="B3514" s="1" t="n">
        <v>482</v>
      </c>
      <c r="C3514" s="1" t="s">
        <v>1413</v>
      </c>
      <c r="D3514" s="1" t="s">
        <v>953</v>
      </c>
    </row>
    <row r="3515" customFormat="false" ht="12" hidden="false" customHeight="true" outlineLevel="0" collapsed="false">
      <c r="B3515" s="1" t="n">
        <v>483</v>
      </c>
      <c r="C3515" s="1" t="s">
        <v>1414</v>
      </c>
      <c r="D3515" s="1" t="s">
        <v>975</v>
      </c>
    </row>
    <row r="3516" customFormat="false" ht="12" hidden="false" customHeight="true" outlineLevel="0" collapsed="false">
      <c r="B3516" s="1" t="n">
        <v>501</v>
      </c>
      <c r="C3516" s="1" t="s">
        <v>702</v>
      </c>
      <c r="D3516" s="1" t="s">
        <v>702</v>
      </c>
    </row>
    <row r="3517" customFormat="false" ht="12" hidden="false" customHeight="true" outlineLevel="0" collapsed="false">
      <c r="B3517" s="1" t="n">
        <v>519</v>
      </c>
      <c r="C3517" s="1" t="s">
        <v>1064</v>
      </c>
      <c r="D3517" s="1" t="s">
        <v>1064</v>
      </c>
    </row>
    <row r="3518" customFormat="false" ht="12" hidden="false" customHeight="true" outlineLevel="0" collapsed="false">
      <c r="B3518" s="1" t="n">
        <v>523</v>
      </c>
      <c r="C3518" s="1" t="s">
        <v>1415</v>
      </c>
      <c r="D3518" s="1" t="s">
        <v>1014</v>
      </c>
    </row>
    <row r="3519" customFormat="false" ht="12" hidden="false" customHeight="true" outlineLevel="0" collapsed="false">
      <c r="B3519" s="1" t="n">
        <v>525</v>
      </c>
      <c r="C3519" s="1" t="s">
        <v>1416</v>
      </c>
      <c r="D3519" s="1" t="s">
        <v>824</v>
      </c>
    </row>
    <row r="3520" customFormat="false" ht="12" hidden="false" customHeight="true" outlineLevel="0" collapsed="false">
      <c r="B3520" s="1" t="n">
        <v>526</v>
      </c>
      <c r="C3520" s="1" t="s">
        <v>844</v>
      </c>
      <c r="D3520" s="1" t="s">
        <v>844</v>
      </c>
    </row>
    <row r="3521" customFormat="false" ht="12" hidden="false" customHeight="true" outlineLevel="0" collapsed="false">
      <c r="B3521" s="1" t="n">
        <v>529</v>
      </c>
      <c r="C3521" s="1" t="s">
        <v>1417</v>
      </c>
      <c r="D3521" s="1" t="s">
        <v>681</v>
      </c>
    </row>
    <row r="3522" customFormat="false" ht="12" hidden="false" customHeight="true" outlineLevel="0" collapsed="false">
      <c r="B3522" s="1" t="n">
        <v>533</v>
      </c>
      <c r="C3522" s="1" t="s">
        <v>1418</v>
      </c>
      <c r="D3522" s="1" t="s">
        <v>737</v>
      </c>
    </row>
    <row r="3523" customFormat="false" ht="12" hidden="false" customHeight="true" outlineLevel="0" collapsed="false">
      <c r="B3523" s="1" t="n">
        <v>534</v>
      </c>
      <c r="C3523" s="1" t="s">
        <v>1419</v>
      </c>
      <c r="D3523" s="1" t="s">
        <v>734</v>
      </c>
    </row>
    <row r="3524" customFormat="false" ht="12" hidden="false" customHeight="true" outlineLevel="0" collapsed="false">
      <c r="B3524" s="1" t="n">
        <v>540</v>
      </c>
      <c r="C3524" s="1" t="s">
        <v>606</v>
      </c>
      <c r="D3524" s="1" t="s">
        <v>606</v>
      </c>
    </row>
    <row r="3525" customFormat="false" ht="12" hidden="false" customHeight="true" outlineLevel="0" collapsed="false">
      <c r="B3525" s="1" t="n">
        <v>544</v>
      </c>
      <c r="C3525" s="1" t="s">
        <v>1420</v>
      </c>
      <c r="D3525" s="1" t="s">
        <v>603</v>
      </c>
    </row>
    <row r="3526" customFormat="false" ht="12" hidden="false" customHeight="true" outlineLevel="0" collapsed="false">
      <c r="B3526" s="1" t="n">
        <v>557</v>
      </c>
      <c r="C3526" s="1" t="s">
        <v>1421</v>
      </c>
      <c r="D3526" s="1" t="s">
        <v>1088</v>
      </c>
    </row>
    <row r="3527" customFormat="false" ht="12" hidden="false" customHeight="true" outlineLevel="0" collapsed="false">
      <c r="B3527" s="1" t="n">
        <v>558</v>
      </c>
      <c r="C3527" s="1" t="s">
        <v>1422</v>
      </c>
      <c r="D3527" s="1" t="s">
        <v>1107</v>
      </c>
    </row>
    <row r="3528" customFormat="false" ht="12" hidden="false" customHeight="true" outlineLevel="0" collapsed="false">
      <c r="B3528" s="1" t="n">
        <v>573</v>
      </c>
      <c r="C3528" s="1" t="s">
        <v>1423</v>
      </c>
      <c r="D3528" s="1" t="s">
        <v>962</v>
      </c>
    </row>
    <row r="3529" customFormat="false" ht="12" hidden="false" customHeight="true" outlineLevel="0" collapsed="false">
      <c r="B3529" s="1" t="n">
        <v>580</v>
      </c>
      <c r="C3529" s="1" t="s">
        <v>1424</v>
      </c>
      <c r="D3529" s="1" t="s">
        <v>673</v>
      </c>
    </row>
    <row r="3530" customFormat="false" ht="12" hidden="false" customHeight="true" outlineLevel="0" collapsed="false">
      <c r="B3530" s="1" t="n">
        <v>582</v>
      </c>
      <c r="C3530" s="1" t="s">
        <v>1425</v>
      </c>
      <c r="D3530" s="1" t="s">
        <v>799</v>
      </c>
    </row>
    <row r="3531" customFormat="false" ht="12" hidden="false" customHeight="true" outlineLevel="0" collapsed="false">
      <c r="B3531" s="1" t="n">
        <v>584</v>
      </c>
      <c r="C3531" s="1" t="s">
        <v>1426</v>
      </c>
      <c r="D3531" s="1" t="s">
        <v>816</v>
      </c>
    </row>
    <row r="3532" customFormat="false" ht="12" hidden="false" customHeight="true" outlineLevel="0" collapsed="false">
      <c r="B3532" s="1" t="n">
        <v>718</v>
      </c>
      <c r="C3532" s="1" t="s">
        <v>684</v>
      </c>
      <c r="D3532" s="1" t="s">
        <v>684</v>
      </c>
    </row>
    <row r="3533" customFormat="false" ht="12" hidden="false" customHeight="true" outlineLevel="0" collapsed="false">
      <c r="B3533" s="1" t="n">
        <v>1104</v>
      </c>
      <c r="C3533" s="1" t="s">
        <v>1427</v>
      </c>
      <c r="D3533" s="1" t="s">
        <v>985</v>
      </c>
    </row>
    <row r="3534" customFormat="false" ht="12" hidden="false" customHeight="true" outlineLevel="0" collapsed="false">
      <c r="B3534" s="1" t="n">
        <v>1157</v>
      </c>
      <c r="C3534" s="1" t="s">
        <v>1260</v>
      </c>
      <c r="D3534" s="1" t="s">
        <v>1260</v>
      </c>
    </row>
    <row r="3535" customFormat="false" ht="12" hidden="false" customHeight="true" outlineLevel="0" collapsed="false">
      <c r="B3535" s="1" t="n">
        <v>1332</v>
      </c>
      <c r="C3535" s="1" t="s">
        <v>1428</v>
      </c>
      <c r="D3535" s="1" t="s">
        <v>531</v>
      </c>
    </row>
    <row r="3536" customFormat="false" ht="12" hidden="false" customHeight="true" outlineLevel="0" collapsed="false">
      <c r="B3536" s="1" t="n">
        <v>1343</v>
      </c>
      <c r="C3536" s="1" t="s">
        <v>1429</v>
      </c>
      <c r="D3536" s="1" t="s">
        <v>597</v>
      </c>
    </row>
    <row r="3537" customFormat="false" ht="12" hidden="false" customHeight="true" outlineLevel="0" collapsed="false">
      <c r="B3537" s="1" t="n">
        <v>1344</v>
      </c>
      <c r="C3537" s="1" t="s">
        <v>1430</v>
      </c>
      <c r="D3537" s="1" t="s">
        <v>859</v>
      </c>
    </row>
    <row r="3538" customFormat="false" ht="12" hidden="false" customHeight="true" outlineLevel="0" collapsed="false">
      <c r="B3538" s="1" t="n">
        <v>1353</v>
      </c>
      <c r="C3538" s="1" t="s">
        <v>1431</v>
      </c>
      <c r="D3538" s="1" t="s">
        <v>721</v>
      </c>
    </row>
    <row r="3539" customFormat="false" ht="12" hidden="false" customHeight="true" outlineLevel="0" collapsed="false">
      <c r="B3539" s="1" t="n">
        <v>1458</v>
      </c>
      <c r="C3539" s="1" t="s">
        <v>1432</v>
      </c>
      <c r="D3539" s="1" t="s">
        <v>732</v>
      </c>
    </row>
    <row r="3540" customFormat="false" ht="12" hidden="false" customHeight="true" outlineLevel="0" collapsed="false">
      <c r="B3540" s="1" t="n">
        <v>1467</v>
      </c>
      <c r="C3540" s="1" t="s">
        <v>1031</v>
      </c>
      <c r="D3540" s="1" t="s">
        <v>1031</v>
      </c>
    </row>
    <row r="3541" customFormat="false" ht="12" hidden="false" customHeight="true" outlineLevel="0" collapsed="false">
      <c r="B3541" s="1" t="n">
        <v>1468</v>
      </c>
      <c r="C3541" s="1" t="s">
        <v>1022</v>
      </c>
      <c r="D3541" s="1" t="s">
        <v>1022</v>
      </c>
    </row>
    <row r="3542" customFormat="false" ht="12" hidden="false" customHeight="true" outlineLevel="0" collapsed="false">
      <c r="B3542" s="1" t="n">
        <v>1471</v>
      </c>
      <c r="C3542" s="1" t="s">
        <v>1433</v>
      </c>
      <c r="D3542" s="1" t="s">
        <v>999</v>
      </c>
    </row>
    <row r="3543" customFormat="false" ht="12" hidden="false" customHeight="true" outlineLevel="0" collapsed="false">
      <c r="B3543" s="1" t="n">
        <v>1473</v>
      </c>
      <c r="C3543" s="1" t="s">
        <v>1434</v>
      </c>
      <c r="D3543" s="1" t="s">
        <v>991</v>
      </c>
    </row>
    <row r="3544" customFormat="false" ht="12" hidden="false" customHeight="true" outlineLevel="0" collapsed="false">
      <c r="B3544" s="1" t="n">
        <v>1513</v>
      </c>
      <c r="C3544" s="1" t="s">
        <v>752</v>
      </c>
      <c r="D3544" s="1" t="s">
        <v>752</v>
      </c>
    </row>
    <row r="3545" customFormat="false" ht="12" hidden="false" customHeight="true" outlineLevel="0" collapsed="false">
      <c r="B3545" s="1" t="n">
        <v>3441</v>
      </c>
      <c r="C3545" s="1" t="s">
        <v>1435</v>
      </c>
      <c r="D3545" s="1" t="s">
        <v>859</v>
      </c>
    </row>
    <row r="3546" customFormat="false" ht="12" hidden="false" customHeight="true" outlineLevel="0" collapsed="false">
      <c r="B3546" s="83" t="s">
        <v>1436</v>
      </c>
    </row>
    <row r="3547" customFormat="false" ht="12" hidden="false" customHeight="true" outlineLevel="0" collapsed="false">
      <c r="B3547" s="1" t="n">
        <v>90</v>
      </c>
      <c r="C3547" s="1" t="s">
        <v>1437</v>
      </c>
      <c r="D3547" s="1" t="s">
        <v>1438</v>
      </c>
    </row>
    <row r="3548" customFormat="false" ht="12" hidden="false" customHeight="true" outlineLevel="0" collapsed="false">
      <c r="B3548" s="1" t="n">
        <v>99</v>
      </c>
      <c r="C3548" s="1" t="s">
        <v>1439</v>
      </c>
      <c r="D3548" s="1" t="s">
        <v>1440</v>
      </c>
    </row>
    <row r="3549" customFormat="false" ht="12" hidden="false" customHeight="true" outlineLevel="0" collapsed="false">
      <c r="B3549" s="1" t="n">
        <v>140</v>
      </c>
      <c r="C3549" s="1" t="s">
        <v>1441</v>
      </c>
      <c r="D3549" s="1" t="s">
        <v>1442</v>
      </c>
    </row>
    <row r="3550" customFormat="false" ht="12" hidden="false" customHeight="true" outlineLevel="0" collapsed="false">
      <c r="B3550" s="1" t="n">
        <v>207</v>
      </c>
      <c r="C3550" s="1" t="s">
        <v>1443</v>
      </c>
      <c r="D3550" s="1" t="s">
        <v>1444</v>
      </c>
    </row>
    <row r="3551" customFormat="false" ht="12" hidden="false" customHeight="true" outlineLevel="0" collapsed="false">
      <c r="B3551" s="1" t="n">
        <v>208</v>
      </c>
      <c r="C3551" s="1" t="s">
        <v>1445</v>
      </c>
      <c r="D3551" s="1" t="s">
        <v>1446</v>
      </c>
    </row>
    <row r="3552" customFormat="false" ht="12" hidden="false" customHeight="true" outlineLevel="0" collapsed="false">
      <c r="B3552" s="1" t="n">
        <v>211</v>
      </c>
      <c r="C3552" s="1" t="s">
        <v>1447</v>
      </c>
      <c r="D3552" s="1" t="s">
        <v>1448</v>
      </c>
    </row>
    <row r="3553" customFormat="false" ht="12" hidden="false" customHeight="true" outlineLevel="0" collapsed="false">
      <c r="B3553" s="1" t="n">
        <v>217</v>
      </c>
      <c r="C3553" s="1" t="s">
        <v>1449</v>
      </c>
      <c r="D3553" s="1" t="s">
        <v>1450</v>
      </c>
    </row>
    <row r="3554" customFormat="false" ht="12" hidden="false" customHeight="true" outlineLevel="0" collapsed="false">
      <c r="B3554" s="1" t="n">
        <v>408</v>
      </c>
      <c r="C3554" s="1" t="s">
        <v>1451</v>
      </c>
      <c r="D3554" s="1" t="s">
        <v>1452</v>
      </c>
    </row>
    <row r="3555" customFormat="false" ht="12" hidden="false" customHeight="true" outlineLevel="0" collapsed="false">
      <c r="B3555" s="1" t="n">
        <v>415</v>
      </c>
      <c r="C3555" s="1" t="s">
        <v>1453</v>
      </c>
      <c r="D3555" s="1" t="s">
        <v>1454</v>
      </c>
    </row>
    <row r="3556" customFormat="false" ht="12" hidden="false" customHeight="true" outlineLevel="0" collapsed="false">
      <c r="B3556" s="1" t="n">
        <v>434</v>
      </c>
      <c r="C3556" s="1" t="s">
        <v>1455</v>
      </c>
      <c r="D3556" s="1" t="s">
        <v>1456</v>
      </c>
    </row>
    <row r="3557" customFormat="false" ht="12" hidden="false" customHeight="true" outlineLevel="0" collapsed="false">
      <c r="B3557" s="1" t="n">
        <v>435</v>
      </c>
      <c r="C3557" s="1" t="s">
        <v>1457</v>
      </c>
      <c r="D3557" s="1" t="s">
        <v>1458</v>
      </c>
    </row>
    <row r="3558" customFormat="false" ht="12" hidden="false" customHeight="true" outlineLevel="0" collapsed="false">
      <c r="B3558" s="1" t="n">
        <v>436</v>
      </c>
      <c r="C3558" s="1" t="s">
        <v>1459</v>
      </c>
      <c r="D3558" s="1" t="s">
        <v>1460</v>
      </c>
    </row>
    <row r="3559" customFormat="false" ht="12" hidden="false" customHeight="true" outlineLevel="0" collapsed="false">
      <c r="B3559" s="1" t="n">
        <v>438</v>
      </c>
      <c r="C3559" s="1" t="s">
        <v>1461</v>
      </c>
      <c r="D3559" s="1" t="s">
        <v>1462</v>
      </c>
    </row>
    <row r="3560" customFormat="false" ht="12" hidden="false" customHeight="true" outlineLevel="0" collapsed="false">
      <c r="B3560" s="1" t="n">
        <v>448</v>
      </c>
      <c r="C3560" s="1" t="s">
        <v>1463</v>
      </c>
      <c r="D3560" s="1" t="s">
        <v>1464</v>
      </c>
    </row>
    <row r="3561" customFormat="false" ht="12" hidden="false" customHeight="true" outlineLevel="0" collapsed="false">
      <c r="B3561" s="1" t="n">
        <v>451</v>
      </c>
      <c r="C3561" s="1" t="s">
        <v>1465</v>
      </c>
      <c r="D3561" s="1" t="s">
        <v>1466</v>
      </c>
    </row>
    <row r="3562" customFormat="false" ht="12" hidden="false" customHeight="true" outlineLevel="0" collapsed="false">
      <c r="B3562" s="1" t="n">
        <v>452</v>
      </c>
      <c r="C3562" s="1" t="s">
        <v>1467</v>
      </c>
      <c r="D3562" s="1" t="s">
        <v>1468</v>
      </c>
    </row>
    <row r="3563" customFormat="false" ht="12" hidden="false" customHeight="true" outlineLevel="0" collapsed="false">
      <c r="B3563" s="1" t="n">
        <v>464</v>
      </c>
      <c r="C3563" s="1" t="s">
        <v>1469</v>
      </c>
      <c r="D3563" s="1" t="s">
        <v>1470</v>
      </c>
    </row>
    <row r="3564" customFormat="false" ht="12" hidden="false" customHeight="true" outlineLevel="0" collapsed="false">
      <c r="B3564" s="1" t="n">
        <v>465</v>
      </c>
      <c r="C3564" s="1" t="s">
        <v>1471</v>
      </c>
      <c r="D3564" s="1" t="s">
        <v>1472</v>
      </c>
    </row>
    <row r="3565" customFormat="false" ht="12" hidden="false" customHeight="true" outlineLevel="0" collapsed="false">
      <c r="B3565" s="1" t="n">
        <v>499</v>
      </c>
      <c r="C3565" s="1" t="s">
        <v>1473</v>
      </c>
      <c r="D3565" s="1" t="s">
        <v>1474</v>
      </c>
    </row>
    <row r="3566" customFormat="false" ht="12" hidden="false" customHeight="true" outlineLevel="0" collapsed="false">
      <c r="B3566" s="1" t="n">
        <v>500</v>
      </c>
      <c r="C3566" s="1" t="s">
        <v>1475</v>
      </c>
      <c r="D3566" s="1" t="s">
        <v>1476</v>
      </c>
    </row>
    <row r="3567" customFormat="false" ht="12" hidden="false" customHeight="true" outlineLevel="0" collapsed="false">
      <c r="B3567" s="1" t="n">
        <v>531</v>
      </c>
      <c r="C3567" s="1" t="s">
        <v>1477</v>
      </c>
      <c r="D3567" s="1" t="s">
        <v>1478</v>
      </c>
    </row>
    <row r="3568" customFormat="false" ht="12" hidden="false" customHeight="true" outlineLevel="0" collapsed="false">
      <c r="B3568" s="1" t="n">
        <v>1111</v>
      </c>
      <c r="C3568" s="1" t="s">
        <v>1441</v>
      </c>
      <c r="D3568" s="1" t="s">
        <v>1479</v>
      </c>
    </row>
    <row r="3569" customFormat="false" ht="12" hidden="false" customHeight="true" outlineLevel="0" collapsed="false">
      <c r="B3569" s="1" t="n">
        <v>1112</v>
      </c>
      <c r="C3569" s="1" t="s">
        <v>1480</v>
      </c>
      <c r="D3569" s="1" t="s">
        <v>1481</v>
      </c>
    </row>
    <row r="3572" customFormat="false" ht="12" hidden="false" customHeight="true" outlineLevel="0" collapsed="false">
      <c r="B3572" s="241" t="s">
        <v>1482</v>
      </c>
    </row>
    <row r="3573" customFormat="false" ht="12" hidden="false" customHeight="true" outlineLevel="0" collapsed="false">
      <c r="B3573" s="83" t="s">
        <v>1483</v>
      </c>
      <c r="C3573" s="242" t="s">
        <v>1484</v>
      </c>
      <c r="D3573" s="242" t="s">
        <v>1485</v>
      </c>
    </row>
    <row r="3574" customFormat="false" ht="12" hidden="false" customHeight="true" outlineLevel="0" collapsed="false">
      <c r="C3574" s="1" t="n">
        <v>7</v>
      </c>
      <c r="D3574" s="1" t="n">
        <v>0.922</v>
      </c>
    </row>
    <row r="3575" customFormat="false" ht="12" hidden="false" customHeight="true" outlineLevel="0" collapsed="false">
      <c r="C3575" s="1" t="n">
        <v>8</v>
      </c>
      <c r="D3575" s="1" t="n">
        <v>0.947</v>
      </c>
    </row>
    <row r="3576" customFormat="false" ht="12" hidden="false" customHeight="true" outlineLevel="0" collapsed="false">
      <c r="C3576" s="1" t="n">
        <v>9</v>
      </c>
      <c r="D3576" s="1" t="n">
        <v>0.973</v>
      </c>
    </row>
    <row r="3577" customFormat="false" ht="12" hidden="false" customHeight="true" outlineLevel="0" collapsed="false">
      <c r="C3577" s="1" t="n">
        <v>10</v>
      </c>
      <c r="D3577" s="1" t="n">
        <v>1</v>
      </c>
    </row>
    <row r="3578" customFormat="false" ht="12" hidden="false" customHeight="true" outlineLevel="0" collapsed="false">
      <c r="C3578" s="1" t="n">
        <v>11</v>
      </c>
      <c r="D3578" s="1" t="n">
        <v>1.027</v>
      </c>
    </row>
    <row r="3579" customFormat="false" ht="12" hidden="false" customHeight="true" outlineLevel="0" collapsed="false">
      <c r="C3579" s="1" t="n">
        <v>12</v>
      </c>
      <c r="D3579" s="1" t="n">
        <v>1.055</v>
      </c>
    </row>
    <row r="3580" customFormat="false" ht="12" hidden="false" customHeight="true" outlineLevel="0" collapsed="false">
      <c r="C3580" s="1" t="n">
        <v>13</v>
      </c>
      <c r="D3580" s="1" t="n">
        <v>1.084</v>
      </c>
    </row>
    <row r="3581" customFormat="false" ht="12" hidden="false" customHeight="true" outlineLevel="0" collapsed="false">
      <c r="C3581" s="1" t="n">
        <v>14</v>
      </c>
      <c r="D3581" s="1" t="n">
        <v>1.114</v>
      </c>
    </row>
    <row r="3582" customFormat="false" ht="12" hidden="false" customHeight="true" outlineLevel="0" collapsed="false">
      <c r="C3582" s="1" t="n">
        <v>15</v>
      </c>
      <c r="D3582" s="1" t="n">
        <v>1.144</v>
      </c>
    </row>
    <row r="3583" customFormat="false" ht="12" hidden="false" customHeight="true" outlineLevel="0" collapsed="false">
      <c r="C3583" s="1" t="n">
        <v>16</v>
      </c>
      <c r="D3583" s="1" t="n">
        <v>1.175</v>
      </c>
    </row>
    <row r="3584" customFormat="false" ht="12" hidden="false" customHeight="true" outlineLevel="0" collapsed="false">
      <c r="C3584" s="1" t="n">
        <v>17</v>
      </c>
      <c r="D3584" s="1" t="n">
        <v>1.207</v>
      </c>
    </row>
    <row r="3585" customFormat="false" ht="12" hidden="false" customHeight="true" outlineLevel="0" collapsed="false">
      <c r="C3585" s="1" t="n">
        <v>18</v>
      </c>
      <c r="D3585" s="1" t="n">
        <v>1.24</v>
      </c>
    </row>
    <row r="3586" customFormat="false" ht="12" hidden="false" customHeight="true" outlineLevel="0" collapsed="false">
      <c r="C3586" s="1" t="n">
        <v>19</v>
      </c>
      <c r="D3586" s="1" t="n">
        <v>1.274</v>
      </c>
    </row>
    <row r="3587" customFormat="false" ht="12" hidden="false" customHeight="true" outlineLevel="0" collapsed="false">
      <c r="C3587" s="1" t="n">
        <v>20</v>
      </c>
      <c r="D3587" s="1" t="n">
        <v>1.309</v>
      </c>
    </row>
    <row r="3588" customFormat="false" ht="12" hidden="false" customHeight="true" outlineLevel="0" collapsed="false">
      <c r="C3588" s="1" t="n">
        <v>22</v>
      </c>
      <c r="D3588" s="1" t="n">
        <v>1.381</v>
      </c>
    </row>
    <row r="3589" customFormat="false" ht="12" hidden="false" customHeight="true" outlineLevel="0" collapsed="false">
      <c r="C3589" s="1" t="n">
        <v>24</v>
      </c>
      <c r="D3589" s="1" t="n">
        <v>1.458</v>
      </c>
    </row>
    <row r="3591" customFormat="false" ht="12" hidden="false" customHeight="true" outlineLevel="0" collapsed="false">
      <c r="B3591" s="83" t="s">
        <v>1486</v>
      </c>
      <c r="C3591" s="242" t="s">
        <v>1484</v>
      </c>
      <c r="D3591" s="242" t="s">
        <v>1485</v>
      </c>
    </row>
    <row r="3592" customFormat="false" ht="12" hidden="false" customHeight="true" outlineLevel="0" collapsed="false">
      <c r="C3592" s="1" t="n">
        <v>8</v>
      </c>
      <c r="D3592" s="1" t="n">
        <v>0.915</v>
      </c>
    </row>
    <row r="3593" customFormat="false" ht="12" hidden="false" customHeight="true" outlineLevel="0" collapsed="false">
      <c r="C3593" s="1" t="n">
        <v>9</v>
      </c>
      <c r="D3593" s="1" t="n">
        <v>0.936</v>
      </c>
    </row>
    <row r="3594" customFormat="false" ht="12" hidden="false" customHeight="true" outlineLevel="0" collapsed="false">
      <c r="C3594" s="1" t="n">
        <v>10</v>
      </c>
      <c r="D3594" s="1" t="n">
        <v>0.957</v>
      </c>
    </row>
    <row r="3595" customFormat="false" ht="12" hidden="false" customHeight="true" outlineLevel="0" collapsed="false">
      <c r="C3595" s="1" t="n">
        <v>11</v>
      </c>
      <c r="D3595" s="1" t="n">
        <v>0.979</v>
      </c>
    </row>
    <row r="3596" customFormat="false" ht="12" hidden="false" customHeight="true" outlineLevel="0" collapsed="false">
      <c r="C3596" s="1" t="n">
        <v>12</v>
      </c>
      <c r="D3596" s="1" t="n">
        <v>1</v>
      </c>
    </row>
    <row r="3597" customFormat="false" ht="12" hidden="false" customHeight="true" outlineLevel="0" collapsed="false">
      <c r="C3597" s="1" t="n">
        <v>13</v>
      </c>
      <c r="D3597" s="1" t="n">
        <v>1.021</v>
      </c>
    </row>
    <row r="3598" customFormat="false" ht="12" hidden="false" customHeight="true" outlineLevel="0" collapsed="false">
      <c r="C3598" s="1" t="n">
        <v>14</v>
      </c>
      <c r="D3598" s="1" t="n">
        <v>1.042</v>
      </c>
    </row>
    <row r="3599" customFormat="false" ht="12" hidden="false" customHeight="true" outlineLevel="0" collapsed="false">
      <c r="C3599" s="1" t="n">
        <v>15</v>
      </c>
      <c r="D3599" s="1" t="n">
        <v>1.064</v>
      </c>
    </row>
    <row r="3600" customFormat="false" ht="12" hidden="false" customHeight="true" outlineLevel="0" collapsed="false">
      <c r="C3600" s="1" t="n">
        <v>16</v>
      </c>
      <c r="D3600" s="1" t="n">
        <v>1.085</v>
      </c>
    </row>
    <row r="3601" customFormat="false" ht="12" hidden="false" customHeight="true" outlineLevel="0" collapsed="false">
      <c r="C3601" s="1" t="n">
        <v>18</v>
      </c>
      <c r="D3601" s="1" t="n">
        <v>1.127</v>
      </c>
    </row>
    <row r="3602" customFormat="false" ht="12" hidden="false" customHeight="true" outlineLevel="0" collapsed="false">
      <c r="C3602" s="1" t="n">
        <v>20</v>
      </c>
      <c r="D3602" s="1" t="n">
        <v>1.17</v>
      </c>
    </row>
    <row r="3603" customFormat="false" ht="12" hidden="false" customHeight="true" outlineLevel="0" collapsed="false">
      <c r="C3603" s="1" t="n">
        <v>22</v>
      </c>
      <c r="D3603" s="1" t="n">
        <v>1.213</v>
      </c>
    </row>
    <row r="3604" customFormat="false" ht="12" hidden="false" customHeight="true" outlineLevel="0" collapsed="false">
      <c r="C3604" s="1" t="n">
        <v>24</v>
      </c>
      <c r="D3604" s="1" t="n">
        <v>1.255</v>
      </c>
    </row>
    <row r="3605" customFormat="false" ht="12" hidden="false" customHeight="true" outlineLevel="0" collapsed="false">
      <c r="C3605" s="1" t="n">
        <v>26</v>
      </c>
      <c r="D3605" s="1" t="n">
        <v>1.298</v>
      </c>
    </row>
    <row r="3606" customFormat="false" ht="12" hidden="false" customHeight="true" outlineLevel="0" collapsed="false">
      <c r="C3606" s="1" t="n">
        <v>28</v>
      </c>
      <c r="D3606" s="1" t="n">
        <v>1.34</v>
      </c>
    </row>
    <row r="3607" customFormat="false" ht="12" hidden="false" customHeight="true" outlineLevel="0" collapsed="false">
      <c r="C3607" s="1" t="n">
        <v>30</v>
      </c>
      <c r="D3607" s="1" t="n">
        <v>1.383</v>
      </c>
    </row>
    <row r="3608" customFormat="false" ht="12" hidden="false" customHeight="true" outlineLevel="0" collapsed="false">
      <c r="C3608" s="1" t="n">
        <v>32</v>
      </c>
      <c r="D3608" s="1" t="n">
        <v>1.425</v>
      </c>
    </row>
    <row r="3609" customFormat="false" ht="12" hidden="false" customHeight="true" outlineLevel="0" collapsed="false">
      <c r="C3609" s="1" t="n">
        <v>34</v>
      </c>
      <c r="D3609" s="1" t="n">
        <v>1.468</v>
      </c>
    </row>
    <row r="3611" customFormat="false" ht="12" hidden="false" customHeight="true" outlineLevel="0" collapsed="false">
      <c r="B3611" s="83" t="s">
        <v>1487</v>
      </c>
      <c r="C3611" s="242" t="s">
        <v>1484</v>
      </c>
      <c r="D3611" s="242" t="s">
        <v>1485</v>
      </c>
    </row>
    <row r="3612" customFormat="false" ht="12" hidden="false" customHeight="true" outlineLevel="0" collapsed="false">
      <c r="C3612" s="1" t="n">
        <v>8</v>
      </c>
      <c r="D3612" s="1" t="n">
        <v>0.885</v>
      </c>
    </row>
    <row r="3613" customFormat="false" ht="12" hidden="false" customHeight="true" outlineLevel="0" collapsed="false">
      <c r="C3613" s="1" t="n">
        <v>10</v>
      </c>
      <c r="D3613" s="1" t="n">
        <v>0.921</v>
      </c>
    </row>
    <row r="3614" customFormat="false" ht="12" hidden="false" customHeight="true" outlineLevel="0" collapsed="false">
      <c r="C3614" s="1" t="n">
        <v>12</v>
      </c>
      <c r="D3614" s="1" t="n">
        <v>0.96</v>
      </c>
    </row>
    <row r="3615" customFormat="false" ht="12" hidden="false" customHeight="true" outlineLevel="0" collapsed="false">
      <c r="C3615" s="1" t="n">
        <v>14</v>
      </c>
      <c r="D3615" s="1" t="n">
        <v>1</v>
      </c>
    </row>
    <row r="3616" customFormat="false" ht="12" hidden="false" customHeight="true" outlineLevel="0" collapsed="false">
      <c r="C3616" s="1" t="n">
        <v>16</v>
      </c>
      <c r="D3616" s="1" t="n">
        <v>1.041</v>
      </c>
    </row>
    <row r="3617" customFormat="false" ht="12" hidden="false" customHeight="true" outlineLevel="0" collapsed="false">
      <c r="C3617" s="1" t="n">
        <v>18</v>
      </c>
      <c r="D3617" s="1" t="n">
        <v>1.086</v>
      </c>
    </row>
    <row r="3618" customFormat="false" ht="12" hidden="false" customHeight="true" outlineLevel="0" collapsed="false">
      <c r="C3618" s="1" t="n">
        <v>20</v>
      </c>
      <c r="D3618" s="1" t="n">
        <v>1.133</v>
      </c>
    </row>
    <row r="3619" customFormat="false" ht="12" hidden="false" customHeight="true" outlineLevel="0" collapsed="false">
      <c r="C3619" s="1" t="n">
        <v>22</v>
      </c>
      <c r="D3619" s="1" t="n">
        <v>1.181</v>
      </c>
    </row>
    <row r="3620" customFormat="false" ht="12" hidden="false" customHeight="true" outlineLevel="0" collapsed="false">
      <c r="C3620" s="1" t="n">
        <v>24</v>
      </c>
      <c r="D3620" s="1" t="n">
        <v>1.231</v>
      </c>
    </row>
    <row r="3621" customFormat="false" ht="12" hidden="false" customHeight="true" outlineLevel="0" collapsed="false">
      <c r="C3621" s="1" t="n">
        <v>26</v>
      </c>
      <c r="D3621" s="1" t="n">
        <v>1.281</v>
      </c>
    </row>
    <row r="3622" customFormat="false" ht="12" hidden="false" customHeight="true" outlineLevel="0" collapsed="false">
      <c r="C3622" s="1" t="n">
        <v>28</v>
      </c>
      <c r="D3622" s="1" t="n">
        <v>1.331</v>
      </c>
    </row>
    <row r="3623" customFormat="false" ht="12" hidden="false" customHeight="true" outlineLevel="0" collapsed="false">
      <c r="C3623" s="1" t="n">
        <v>30</v>
      </c>
      <c r="D3623" s="1" t="n">
        <v>1.382</v>
      </c>
    </row>
    <row r="3624" customFormat="false" ht="12" hidden="false" customHeight="true" outlineLevel="0" collapsed="false">
      <c r="C3624" s="1" t="n">
        <v>35</v>
      </c>
      <c r="D3624" s="1" t="n">
        <v>1.515</v>
      </c>
    </row>
    <row r="3625" customFormat="false" ht="12" hidden="false" customHeight="true" outlineLevel="0" collapsed="false">
      <c r="C3625" s="1" t="n">
        <v>40</v>
      </c>
      <c r="D3625" s="1" t="n">
        <v>1.65</v>
      </c>
    </row>
    <row r="3626" customFormat="false" ht="12" hidden="false" customHeight="true" outlineLevel="0" collapsed="false">
      <c r="C3626" s="1" t="n">
        <v>45</v>
      </c>
      <c r="D3626" s="1" t="n">
        <v>1.788</v>
      </c>
    </row>
    <row r="3627" customFormat="false" ht="12" hidden="false" customHeight="true" outlineLevel="0" collapsed="false">
      <c r="C3627" s="1" t="n">
        <v>50</v>
      </c>
      <c r="D3627" s="1" t="n">
        <v>1.93</v>
      </c>
    </row>
    <row r="3628" customFormat="false" ht="12" hidden="false" customHeight="true" outlineLevel="0" collapsed="false">
      <c r="C3628" s="1" t="n">
        <v>55</v>
      </c>
      <c r="D3628" s="1" t="n">
        <v>2.075</v>
      </c>
    </row>
    <row r="3629" customFormat="false" ht="12" hidden="false" customHeight="true" outlineLevel="0" collapsed="false">
      <c r="C3629" s="1" t="n">
        <v>60</v>
      </c>
      <c r="D3629" s="1" t="n">
        <v>2.225</v>
      </c>
    </row>
    <row r="3630" customFormat="false" ht="12" hidden="false" customHeight="true" outlineLevel="0" collapsed="false">
      <c r="C3630" s="1" t="n">
        <v>70</v>
      </c>
      <c r="D3630" s="1" t="n">
        <v>2.53</v>
      </c>
    </row>
    <row r="3631" customFormat="false" ht="12" hidden="false" customHeight="true" outlineLevel="0" collapsed="false">
      <c r="C3631" s="1" t="n">
        <v>80</v>
      </c>
      <c r="D3631" s="1" t="n">
        <v>2.845</v>
      </c>
    </row>
    <row r="3632" customFormat="false" ht="12" hidden="false" customHeight="true" outlineLevel="0" collapsed="false">
      <c r="C3632" s="1" t="n">
        <v>90</v>
      </c>
      <c r="D3632" s="1" t="n">
        <v>3.161</v>
      </c>
    </row>
    <row r="3633" customFormat="false" ht="12" hidden="false" customHeight="true" outlineLevel="0" collapsed="false">
      <c r="C3633" s="1" t="n">
        <v>100</v>
      </c>
      <c r="D3633" s="1" t="n">
        <v>3.461</v>
      </c>
    </row>
    <row r="3634" customFormat="false" ht="12" hidden="false" customHeight="true" outlineLevel="0" collapsed="false">
      <c r="C3634" s="1" t="n">
        <v>110</v>
      </c>
      <c r="D3634" s="1" t="n">
        <v>3.738</v>
      </c>
    </row>
    <row r="3635" customFormat="false" ht="12" hidden="false" customHeight="true" outlineLevel="0" collapsed="false">
      <c r="C3635" s="1" t="n">
        <v>120</v>
      </c>
      <c r="D3635" s="1" t="n">
        <v>3.977</v>
      </c>
    </row>
    <row r="3637" customFormat="false" ht="12" hidden="false" customHeight="true" outlineLevel="0" collapsed="false">
      <c r="B3637" s="83" t="s">
        <v>1488</v>
      </c>
      <c r="C3637" s="242" t="s">
        <v>1484</v>
      </c>
      <c r="D3637" s="242" t="s">
        <v>1485</v>
      </c>
    </row>
    <row r="3638" customFormat="false" ht="12" hidden="false" customHeight="true" outlineLevel="0" collapsed="false">
      <c r="C3638" s="1" t="n">
        <v>8</v>
      </c>
      <c r="D3638" s="1" t="n">
        <v>0.9</v>
      </c>
    </row>
    <row r="3639" customFormat="false" ht="12" hidden="false" customHeight="true" outlineLevel="0" collapsed="false">
      <c r="C3639" s="1" t="n">
        <v>9</v>
      </c>
      <c r="D3639" s="1" t="n">
        <v>0.928</v>
      </c>
    </row>
    <row r="3640" customFormat="false" ht="12" hidden="false" customHeight="true" outlineLevel="0" collapsed="false">
      <c r="C3640" s="1" t="n">
        <v>10</v>
      </c>
      <c r="D3640" s="1" t="n">
        <v>0.953</v>
      </c>
    </row>
    <row r="3641" customFormat="false" ht="12" hidden="false" customHeight="true" outlineLevel="0" collapsed="false">
      <c r="C3641" s="1" t="n">
        <v>11</v>
      </c>
      <c r="D3641" s="1" t="n">
        <v>0.977</v>
      </c>
    </row>
    <row r="3642" customFormat="false" ht="12" hidden="false" customHeight="true" outlineLevel="0" collapsed="false">
      <c r="C3642" s="1" t="n">
        <v>12</v>
      </c>
      <c r="D3642" s="1" t="n">
        <v>1</v>
      </c>
    </row>
    <row r="3643" customFormat="false" ht="12" hidden="false" customHeight="true" outlineLevel="0" collapsed="false">
      <c r="C3643" s="1" t="n">
        <v>13</v>
      </c>
      <c r="D3643" s="1" t="n">
        <v>1.023</v>
      </c>
    </row>
    <row r="3644" customFormat="false" ht="12" hidden="false" customHeight="true" outlineLevel="0" collapsed="false">
      <c r="C3644" s="1" t="n">
        <v>14</v>
      </c>
      <c r="D3644" s="1" t="n">
        <v>1.046</v>
      </c>
    </row>
    <row r="3645" customFormat="false" ht="12" hidden="false" customHeight="true" outlineLevel="0" collapsed="false">
      <c r="C3645" s="1" t="n">
        <v>15</v>
      </c>
      <c r="D3645" s="1" t="n">
        <v>1.069</v>
      </c>
    </row>
    <row r="3646" customFormat="false" ht="12" hidden="false" customHeight="true" outlineLevel="0" collapsed="false">
      <c r="C3646" s="1" t="n">
        <v>16</v>
      </c>
      <c r="D3646" s="1" t="n">
        <v>1.092</v>
      </c>
    </row>
    <row r="3647" customFormat="false" ht="12" hidden="false" customHeight="true" outlineLevel="0" collapsed="false">
      <c r="C3647" s="1" t="n">
        <v>18</v>
      </c>
      <c r="D3647" s="1" t="n">
        <v>1.138</v>
      </c>
    </row>
    <row r="3648" customFormat="false" ht="12" hidden="false" customHeight="true" outlineLevel="0" collapsed="false">
      <c r="C3648" s="1" t="n">
        <v>20</v>
      </c>
      <c r="D3648" s="1" t="n">
        <v>1.184</v>
      </c>
    </row>
    <row r="3649" customFormat="false" ht="12" hidden="false" customHeight="true" outlineLevel="0" collapsed="false">
      <c r="C3649" s="1" t="n">
        <v>24</v>
      </c>
      <c r="D3649" s="1" t="n">
        <v>1.276</v>
      </c>
    </row>
    <row r="3650" customFormat="false" ht="12" hidden="false" customHeight="true" outlineLevel="0" collapsed="false">
      <c r="C3650" s="1" t="n">
        <v>28</v>
      </c>
      <c r="D3650" s="1" t="n">
        <v>1.367</v>
      </c>
    </row>
    <row r="3651" customFormat="false" ht="12" hidden="false" customHeight="true" outlineLevel="0" collapsed="false">
      <c r="C3651" s="1" t="n">
        <v>32</v>
      </c>
      <c r="D3651" s="1" t="n">
        <v>1.459</v>
      </c>
    </row>
    <row r="3652" customFormat="false" ht="12" hidden="false" customHeight="true" outlineLevel="0" collapsed="false">
      <c r="C3652" s="1" t="n">
        <v>36</v>
      </c>
      <c r="D3652" s="1" t="n">
        <v>1.552</v>
      </c>
    </row>
    <row r="3654" customFormat="false" ht="12" hidden="false" customHeight="true" outlineLevel="0" collapsed="false">
      <c r="B3654" s="83" t="s">
        <v>1489</v>
      </c>
      <c r="C3654" s="242" t="s">
        <v>1484</v>
      </c>
      <c r="D3654" s="242" t="s">
        <v>1485</v>
      </c>
    </row>
    <row r="3655" customFormat="false" ht="12" hidden="false" customHeight="true" outlineLevel="0" collapsed="false">
      <c r="C3655" s="1" t="n">
        <v>8</v>
      </c>
      <c r="D3655" s="1" t="n">
        <v>0.776</v>
      </c>
    </row>
    <row r="3656" customFormat="false" ht="12" hidden="false" customHeight="true" outlineLevel="0" collapsed="false">
      <c r="C3656" s="1" t="n">
        <v>10</v>
      </c>
      <c r="D3656" s="1" t="n">
        <v>0.833</v>
      </c>
    </row>
    <row r="3657" customFormat="false" ht="12" hidden="false" customHeight="true" outlineLevel="0" collapsed="false">
      <c r="C3657" s="1" t="n">
        <v>12</v>
      </c>
      <c r="D3657" s="1" t="n">
        <v>0.889</v>
      </c>
    </row>
    <row r="3658" customFormat="false" ht="12" hidden="false" customHeight="true" outlineLevel="0" collapsed="false">
      <c r="C3658" s="1" t="n">
        <v>14</v>
      </c>
      <c r="D3658" s="1" t="n">
        <v>0.945</v>
      </c>
    </row>
    <row r="3659" customFormat="false" ht="12" hidden="false" customHeight="true" outlineLevel="0" collapsed="false">
      <c r="C3659" s="1" t="n">
        <v>16</v>
      </c>
      <c r="D3659" s="1" t="n">
        <v>1</v>
      </c>
    </row>
    <row r="3660" customFormat="false" ht="12" hidden="false" customHeight="true" outlineLevel="0" collapsed="false">
      <c r="C3660" s="1" t="n">
        <v>18</v>
      </c>
      <c r="D3660" s="1" t="n">
        <v>1.054</v>
      </c>
    </row>
    <row r="3661" customFormat="false" ht="12" hidden="false" customHeight="true" outlineLevel="0" collapsed="false">
      <c r="C3661" s="1" t="n">
        <v>20</v>
      </c>
      <c r="D3661" s="1" t="n">
        <v>1.106</v>
      </c>
    </row>
    <row r="3662" customFormat="false" ht="12" hidden="false" customHeight="true" outlineLevel="0" collapsed="false">
      <c r="C3662" s="1" t="n">
        <v>22</v>
      </c>
      <c r="D3662" s="1" t="n">
        <v>1.158</v>
      </c>
    </row>
    <row r="3663" customFormat="false" ht="12" hidden="false" customHeight="true" outlineLevel="0" collapsed="false">
      <c r="C3663" s="1" t="n">
        <v>24</v>
      </c>
      <c r="D3663" s="1" t="n">
        <v>1.21</v>
      </c>
    </row>
    <row r="3664" customFormat="false" ht="12" hidden="false" customHeight="true" outlineLevel="0" collapsed="false">
      <c r="C3664" s="1" t="n">
        <v>26</v>
      </c>
      <c r="D3664" s="1" t="n">
        <v>1.262</v>
      </c>
    </row>
    <row r="3665" customFormat="false" ht="12" hidden="false" customHeight="true" outlineLevel="0" collapsed="false">
      <c r="C3665" s="1" t="n">
        <v>28</v>
      </c>
      <c r="D3665" s="1" t="n">
        <v>1.313</v>
      </c>
    </row>
    <row r="3666" customFormat="false" ht="12" hidden="false" customHeight="true" outlineLevel="0" collapsed="false">
      <c r="C3666" s="1" t="n">
        <v>30</v>
      </c>
      <c r="D3666" s="1" t="n">
        <v>1.364</v>
      </c>
    </row>
    <row r="3667" customFormat="false" ht="12" hidden="false" customHeight="true" outlineLevel="0" collapsed="false">
      <c r="C3667" s="1" t="n">
        <v>34</v>
      </c>
      <c r="D3667" s="1" t="n">
        <v>1.463</v>
      </c>
    </row>
    <row r="3668" customFormat="false" ht="12" hidden="false" customHeight="true" outlineLevel="0" collapsed="false">
      <c r="C3668" s="1" t="n">
        <v>38</v>
      </c>
      <c r="D3668" s="1" t="n">
        <v>1.561</v>
      </c>
    </row>
    <row r="3669" customFormat="false" ht="12" hidden="false" customHeight="true" outlineLevel="0" collapsed="false">
      <c r="C3669" s="1" t="n">
        <v>42</v>
      </c>
      <c r="D3669" s="1" t="n">
        <v>1.658</v>
      </c>
    </row>
    <row r="3670" customFormat="false" ht="12" hidden="false" customHeight="true" outlineLevel="0" collapsed="false">
      <c r="C3670" s="1" t="n">
        <v>46</v>
      </c>
      <c r="D3670" s="1" t="n">
        <v>1.754</v>
      </c>
    </row>
    <row r="3671" customFormat="false" ht="12" hidden="false" customHeight="true" outlineLevel="0" collapsed="false">
      <c r="C3671" s="1" t="n">
        <v>50</v>
      </c>
      <c r="D3671" s="1" t="n">
        <v>1.849</v>
      </c>
    </row>
    <row r="3672" customFormat="false" ht="12" hidden="false" customHeight="true" outlineLevel="0" collapsed="false">
      <c r="C3672" s="1" t="n">
        <v>54</v>
      </c>
      <c r="D3672" s="1" t="n">
        <v>1.943</v>
      </c>
    </row>
    <row r="3673" customFormat="false" ht="12" hidden="false" customHeight="true" outlineLevel="0" collapsed="false">
      <c r="C3673" s="1" t="n">
        <v>58</v>
      </c>
      <c r="D3673" s="1" t="n">
        <v>2.036</v>
      </c>
    </row>
    <row r="3674" customFormat="false" ht="12" hidden="false" customHeight="true" outlineLevel="0" collapsed="false">
      <c r="C3674" s="1" t="n">
        <v>62</v>
      </c>
      <c r="D3674" s="1" t="n">
        <v>2.128</v>
      </c>
    </row>
    <row r="3675" customFormat="false" ht="12" hidden="false" customHeight="true" outlineLevel="0" collapsed="false">
      <c r="C3675" s="1" t="n">
        <v>66</v>
      </c>
      <c r="D3675" s="1" t="n">
        <v>2.219</v>
      </c>
    </row>
    <row r="3676" customFormat="false" ht="12" hidden="false" customHeight="true" outlineLevel="0" collapsed="false">
      <c r="C3676" s="1" t="n">
        <v>70</v>
      </c>
      <c r="D3676" s="1" t="n">
        <v>2.309</v>
      </c>
    </row>
    <row r="3677" customFormat="false" ht="12" hidden="false" customHeight="true" outlineLevel="0" collapsed="false">
      <c r="C3677" s="1" t="n">
        <v>74</v>
      </c>
      <c r="D3677" s="1" t="n">
        <v>2.398</v>
      </c>
    </row>
    <row r="3678" customFormat="false" ht="12" hidden="false" customHeight="true" outlineLevel="0" collapsed="false">
      <c r="C3678" s="1" t="n">
        <v>78</v>
      </c>
      <c r="D3678" s="1" t="n">
        <v>2.486</v>
      </c>
    </row>
    <row r="3679" customFormat="false" ht="12" hidden="false" customHeight="true" outlineLevel="0" collapsed="false">
      <c r="C3679" s="1" t="n">
        <v>82</v>
      </c>
      <c r="D3679" s="1" t="n">
        <v>2.573</v>
      </c>
    </row>
    <row r="3680" customFormat="false" ht="12" hidden="false" customHeight="true" outlineLevel="0" collapsed="false">
      <c r="C3680" s="1" t="n">
        <v>86</v>
      </c>
      <c r="D3680" s="1" t="n">
        <v>2.659</v>
      </c>
    </row>
    <row r="3681" customFormat="false" ht="12" hidden="false" customHeight="true" outlineLevel="0" collapsed="false">
      <c r="C3681" s="1" t="n">
        <v>90</v>
      </c>
      <c r="D3681" s="1" t="n">
        <v>2.744</v>
      </c>
    </row>
    <row r="3682" customFormat="false" ht="12" hidden="false" customHeight="true" outlineLevel="0" collapsed="false">
      <c r="C3682" s="1" t="n">
        <v>100</v>
      </c>
      <c r="D3682" s="1" t="n">
        <v>2.952</v>
      </c>
    </row>
    <row r="3683" customFormat="false" ht="12" hidden="false" customHeight="true" outlineLevel="0" collapsed="false">
      <c r="C3683" s="1" t="n">
        <v>110</v>
      </c>
      <c r="D3683" s="1" t="n">
        <v>3.154</v>
      </c>
    </row>
    <row r="3684" customFormat="false" ht="12" hidden="false" customHeight="true" outlineLevel="0" collapsed="false">
      <c r="C3684" s="1" t="n">
        <v>120</v>
      </c>
      <c r="D3684" s="1" t="n">
        <v>3.35</v>
      </c>
    </row>
    <row r="3686" customFormat="false" ht="12" hidden="false" customHeight="true" outlineLevel="0" collapsed="false">
      <c r="B3686" s="83" t="s">
        <v>1490</v>
      </c>
      <c r="C3686" s="242" t="s">
        <v>1484</v>
      </c>
      <c r="D3686" s="242" t="s">
        <v>1485</v>
      </c>
    </row>
    <row r="3687" customFormat="false" ht="12" hidden="false" customHeight="true" outlineLevel="0" collapsed="false">
      <c r="C3687" s="1" t="n">
        <v>8</v>
      </c>
      <c r="D3687" s="1" t="n">
        <v>0.963</v>
      </c>
    </row>
    <row r="3688" customFormat="false" ht="12" hidden="false" customHeight="true" outlineLevel="0" collapsed="false">
      <c r="C3688" s="1" t="n">
        <v>9</v>
      </c>
      <c r="D3688" s="1" t="n">
        <v>0.981</v>
      </c>
    </row>
    <row r="3689" customFormat="false" ht="12" hidden="false" customHeight="true" outlineLevel="0" collapsed="false">
      <c r="C3689" s="1" t="n">
        <v>10</v>
      </c>
      <c r="D3689" s="1" t="n">
        <v>1</v>
      </c>
    </row>
    <row r="3690" customFormat="false" ht="12" hidden="false" customHeight="true" outlineLevel="0" collapsed="false">
      <c r="C3690" s="1" t="n">
        <v>11</v>
      </c>
      <c r="D3690" s="1" t="n">
        <v>1.018</v>
      </c>
    </row>
    <row r="3691" customFormat="false" ht="12" hidden="false" customHeight="true" outlineLevel="0" collapsed="false">
      <c r="C3691" s="1" t="n">
        <v>12</v>
      </c>
      <c r="D3691" s="1" t="n">
        <v>1.037</v>
      </c>
    </row>
    <row r="3692" customFormat="false" ht="12" hidden="false" customHeight="true" outlineLevel="0" collapsed="false">
      <c r="C3692" s="1" t="n">
        <v>13</v>
      </c>
      <c r="D3692" s="1" t="n">
        <v>1.055</v>
      </c>
    </row>
    <row r="3693" customFormat="false" ht="12" hidden="false" customHeight="true" outlineLevel="0" collapsed="false">
      <c r="C3693" s="1" t="n">
        <v>14</v>
      </c>
      <c r="D3693" s="1" t="n">
        <v>1.073</v>
      </c>
    </row>
    <row r="3694" customFormat="false" ht="12" hidden="false" customHeight="true" outlineLevel="0" collapsed="false">
      <c r="C3694" s="1" t="n">
        <v>15</v>
      </c>
      <c r="D3694" s="1" t="n">
        <v>1.092</v>
      </c>
    </row>
    <row r="3695" customFormat="false" ht="12" hidden="false" customHeight="true" outlineLevel="0" collapsed="false">
      <c r="C3695" s="1" t="n">
        <v>16</v>
      </c>
      <c r="D3695" s="1" t="n">
        <v>1.11</v>
      </c>
    </row>
    <row r="3696" customFormat="false" ht="12" hidden="false" customHeight="true" outlineLevel="0" collapsed="false">
      <c r="C3696" s="1" t="n">
        <v>18</v>
      </c>
      <c r="D3696" s="1" t="n">
        <v>1.147</v>
      </c>
    </row>
    <row r="3697" customFormat="false" ht="12" hidden="false" customHeight="true" outlineLevel="0" collapsed="false">
      <c r="C3697" s="1" t="n">
        <v>20</v>
      </c>
      <c r="D3697" s="1" t="n">
        <v>1.183</v>
      </c>
    </row>
    <row r="3698" customFormat="false" ht="12" hidden="false" customHeight="true" outlineLevel="0" collapsed="false">
      <c r="C3698" s="1" t="n">
        <v>22</v>
      </c>
      <c r="D3698" s="1" t="n">
        <v>1.22</v>
      </c>
    </row>
    <row r="3699" customFormat="false" ht="12" hidden="false" customHeight="true" outlineLevel="0" collapsed="false">
      <c r="C3699" s="1" t="n">
        <v>24</v>
      </c>
      <c r="D3699" s="1" t="n">
        <v>1.257</v>
      </c>
    </row>
    <row r="3700" customFormat="false" ht="12" hidden="false" customHeight="true" outlineLevel="0" collapsed="false">
      <c r="C3700" s="1" t="n">
        <v>30</v>
      </c>
      <c r="D3700" s="1" t="n">
        <v>1.367</v>
      </c>
    </row>
    <row r="3701" customFormat="false" ht="12" hidden="false" customHeight="true" outlineLevel="0" collapsed="false">
      <c r="C3701" s="1" t="n">
        <v>36</v>
      </c>
      <c r="D3701" s="1" t="n">
        <v>1.476</v>
      </c>
    </row>
    <row r="3704" customFormat="false" ht="12" hidden="false" customHeight="true" outlineLevel="0" collapsed="false">
      <c r="B3704" s="241" t="s">
        <v>1491</v>
      </c>
    </row>
    <row r="3705" customFormat="false" ht="12" hidden="false" customHeight="true" outlineLevel="0" collapsed="false">
      <c r="B3705" s="1" t="s">
        <v>1492</v>
      </c>
      <c r="C3705" s="242" t="s">
        <v>480</v>
      </c>
      <c r="D3705" s="242" t="s">
        <v>279</v>
      </c>
      <c r="E3705" s="242" t="s">
        <v>483</v>
      </c>
      <c r="F3705" s="242" t="s">
        <v>485</v>
      </c>
    </row>
    <row r="3706" customFormat="false" ht="12" hidden="false" customHeight="true" outlineLevel="0" collapsed="false">
      <c r="B3706" s="83" t="s">
        <v>1493</v>
      </c>
      <c r="C3706" s="242" t="s">
        <v>1494</v>
      </c>
      <c r="D3706" s="242" t="s">
        <v>1495</v>
      </c>
      <c r="E3706" s="242" t="s">
        <v>1496</v>
      </c>
      <c r="F3706" s="242" t="s">
        <v>1497</v>
      </c>
      <c r="G3706" s="242" t="s">
        <v>1498</v>
      </c>
      <c r="H3706" s="242" t="s">
        <v>1499</v>
      </c>
      <c r="I3706" s="242" t="s">
        <v>1500</v>
      </c>
      <c r="J3706" s="242" t="s">
        <v>1501</v>
      </c>
      <c r="K3706" s="242" t="s">
        <v>1502</v>
      </c>
    </row>
    <row r="3707" customFormat="false" ht="12" hidden="false" customHeight="true" outlineLevel="0" collapsed="false">
      <c r="C3707" s="1" t="n">
        <v>1500</v>
      </c>
      <c r="D3707" s="1" t="n">
        <v>5.81</v>
      </c>
      <c r="E3707" s="1" t="n">
        <v>6.91</v>
      </c>
      <c r="F3707" s="1" t="n">
        <v>8.22</v>
      </c>
      <c r="G3707" s="1" t="n">
        <v>9.77</v>
      </c>
      <c r="H3707" s="1" t="n">
        <v>7.55</v>
      </c>
      <c r="I3707" s="1" t="n">
        <v>8.98</v>
      </c>
      <c r="J3707" s="1" t="n">
        <v>10.7</v>
      </c>
      <c r="K3707" s="1" t="n">
        <v>12.7</v>
      </c>
    </row>
    <row r="3708" customFormat="false" ht="12" hidden="false" customHeight="true" outlineLevel="0" collapsed="false">
      <c r="C3708" s="1" t="n">
        <v>3000</v>
      </c>
      <c r="D3708" s="1" t="n">
        <v>5.22</v>
      </c>
      <c r="E3708" s="1" t="n">
        <v>6.18</v>
      </c>
      <c r="F3708" s="1" t="n">
        <v>7.33</v>
      </c>
      <c r="G3708" s="1" t="n">
        <v>8.68</v>
      </c>
      <c r="H3708" s="1" t="n">
        <v>6.73</v>
      </c>
      <c r="I3708" s="1" t="n">
        <v>7.98</v>
      </c>
      <c r="J3708" s="1" t="n">
        <v>9.45</v>
      </c>
      <c r="K3708" s="1" t="n">
        <v>11.2</v>
      </c>
    </row>
    <row r="3709" customFormat="false" ht="12" hidden="false" customHeight="true" outlineLevel="0" collapsed="false">
      <c r="C3709" s="1" t="n">
        <v>5000</v>
      </c>
      <c r="D3709" s="1" t="n">
        <v>4.83</v>
      </c>
      <c r="E3709" s="1" t="n">
        <v>5.7</v>
      </c>
      <c r="F3709" s="1" t="n">
        <v>6.72</v>
      </c>
      <c r="G3709" s="1" t="n">
        <v>7.92</v>
      </c>
      <c r="H3709" s="1" t="n">
        <v>6.18</v>
      </c>
      <c r="I3709" s="1" t="n">
        <v>7.29</v>
      </c>
      <c r="J3709" s="1" t="n">
        <v>8.6</v>
      </c>
      <c r="K3709" s="1" t="n">
        <v>10.15</v>
      </c>
    </row>
    <row r="3710" customFormat="false" ht="12" hidden="false" customHeight="true" outlineLevel="0" collapsed="false">
      <c r="C3710" s="1" t="n">
        <v>10000</v>
      </c>
      <c r="D3710" s="1" t="n">
        <v>4.35</v>
      </c>
      <c r="E3710" s="1" t="n">
        <v>5.1</v>
      </c>
      <c r="F3710" s="1" t="n">
        <v>5.98</v>
      </c>
      <c r="G3710" s="1" t="n">
        <v>7.02</v>
      </c>
      <c r="H3710" s="1" t="n">
        <v>5.52</v>
      </c>
      <c r="I3710" s="1" t="n">
        <v>6.47</v>
      </c>
      <c r="J3710" s="1" t="n">
        <v>7.59</v>
      </c>
      <c r="K3710" s="1" t="n">
        <v>8.9</v>
      </c>
    </row>
    <row r="3711" customFormat="false" ht="12" hidden="false" customHeight="true" outlineLevel="0" collapsed="false">
      <c r="C3711" s="1" t="n">
        <v>15000</v>
      </c>
      <c r="D3711" s="1" t="n">
        <v>4.09</v>
      </c>
      <c r="E3711" s="1" t="n">
        <v>4.78</v>
      </c>
      <c r="F3711" s="1" t="n">
        <v>5.59</v>
      </c>
      <c r="G3711" s="1" t="n">
        <v>6.54</v>
      </c>
      <c r="H3711" s="1" t="n">
        <v>5.17</v>
      </c>
      <c r="I3711" s="1" t="n">
        <v>6.05</v>
      </c>
      <c r="J3711" s="1" t="n">
        <v>7.08</v>
      </c>
      <c r="K3711" s="1" t="n">
        <v>8.28</v>
      </c>
    </row>
    <row r="3712" customFormat="false" ht="12" hidden="false" customHeight="true" outlineLevel="0" collapsed="false">
      <c r="C3712" s="1" t="n">
        <v>20000</v>
      </c>
      <c r="D3712" s="1" t="n">
        <v>3.93</v>
      </c>
      <c r="E3712" s="1" t="n">
        <v>4.58</v>
      </c>
      <c r="F3712" s="1" t="n">
        <v>5.33</v>
      </c>
      <c r="G3712" s="1" t="n">
        <v>6.2</v>
      </c>
      <c r="H3712" s="1" t="n">
        <v>4.94</v>
      </c>
      <c r="I3712" s="1" t="n">
        <v>5.75</v>
      </c>
      <c r="J3712" s="1" t="n">
        <v>6.7</v>
      </c>
      <c r="K3712" s="1" t="n">
        <v>7.81</v>
      </c>
    </row>
    <row r="3713" customFormat="false" ht="12" hidden="false" customHeight="true" outlineLevel="0" collapsed="false">
      <c r="C3713" s="1" t="n">
        <v>30000</v>
      </c>
      <c r="D3713" s="1" t="n">
        <v>3.64</v>
      </c>
      <c r="E3713" s="1" t="n">
        <v>4.24</v>
      </c>
      <c r="F3713" s="1" t="n">
        <v>4.94</v>
      </c>
      <c r="G3713" s="1" t="n">
        <v>5.76</v>
      </c>
      <c r="H3713" s="1" t="n">
        <v>4.59</v>
      </c>
      <c r="I3713" s="1" t="n">
        <v>5.35</v>
      </c>
      <c r="J3713" s="1" t="n">
        <v>6.23</v>
      </c>
      <c r="K3713" s="1" t="n">
        <v>7.26</v>
      </c>
    </row>
    <row r="3714" customFormat="false" ht="12" hidden="false" customHeight="true" outlineLevel="0" collapsed="false">
      <c r="C3714" s="1" t="n">
        <v>40000</v>
      </c>
      <c r="D3714" s="1" t="n">
        <v>3.53</v>
      </c>
      <c r="E3714" s="1" t="n">
        <v>4.09</v>
      </c>
      <c r="F3714" s="1" t="n">
        <v>4.75</v>
      </c>
      <c r="G3714" s="1" t="n">
        <v>5.51</v>
      </c>
      <c r="H3714" s="1" t="n">
        <v>4.4</v>
      </c>
      <c r="I3714" s="1" t="n">
        <v>5.11</v>
      </c>
      <c r="J3714" s="1" t="n">
        <v>5.93</v>
      </c>
      <c r="K3714" s="1" t="n">
        <v>6.88</v>
      </c>
    </row>
    <row r="3715" customFormat="false" ht="12" hidden="false" customHeight="true" outlineLevel="0" collapsed="false">
      <c r="C3715" s="1" t="n">
        <v>50000</v>
      </c>
      <c r="D3715" s="1" t="n">
        <v>3.41</v>
      </c>
      <c r="E3715" s="1" t="n">
        <v>3.95</v>
      </c>
      <c r="F3715" s="1" t="n">
        <v>4.58</v>
      </c>
      <c r="G3715" s="1" t="n">
        <v>5.31</v>
      </c>
      <c r="H3715" s="1" t="n">
        <v>4.27</v>
      </c>
      <c r="I3715" s="1" t="n">
        <v>4.94</v>
      </c>
      <c r="J3715" s="1" t="n">
        <v>5.71</v>
      </c>
      <c r="K3715" s="1" t="n">
        <v>6.6</v>
      </c>
    </row>
    <row r="3716" customFormat="false" ht="12" hidden="false" customHeight="true" outlineLevel="0" collapsed="false">
      <c r="C3716" s="1" t="n">
        <v>75000</v>
      </c>
      <c r="D3716" s="1" t="n">
        <v>3.19</v>
      </c>
      <c r="E3716" s="1" t="n">
        <v>3.69</v>
      </c>
      <c r="F3716" s="1" t="n">
        <v>4.26</v>
      </c>
      <c r="G3716" s="1" t="n">
        <v>4.93</v>
      </c>
      <c r="H3716" s="1" t="n">
        <v>3.96</v>
      </c>
      <c r="I3716" s="1" t="n">
        <v>4.58</v>
      </c>
      <c r="J3716" s="1" t="n">
        <v>5.29</v>
      </c>
      <c r="K3716" s="1" t="n">
        <v>6.12</v>
      </c>
    </row>
    <row r="3717" customFormat="false" ht="12" hidden="false" customHeight="true" outlineLevel="0" collapsed="false">
      <c r="C3717" s="1" t="n">
        <v>100000</v>
      </c>
      <c r="D3717" s="1" t="n">
        <v>3.04</v>
      </c>
      <c r="E3717" s="1" t="n">
        <v>3.51</v>
      </c>
      <c r="F3717" s="1" t="n">
        <v>4.05</v>
      </c>
      <c r="G3717" s="1" t="n">
        <v>4.67</v>
      </c>
      <c r="H3717" s="1" t="n">
        <v>3.78</v>
      </c>
      <c r="I3717" s="1" t="n">
        <v>4.36</v>
      </c>
      <c r="J3717" s="1" t="n">
        <v>5.03</v>
      </c>
      <c r="K3717" s="1" t="n">
        <v>5.8</v>
      </c>
    </row>
    <row r="3718" customFormat="false" ht="12" hidden="false" customHeight="true" outlineLevel="0" collapsed="false">
      <c r="C3718" s="1" t="n">
        <v>125000</v>
      </c>
      <c r="D3718" s="1" t="n">
        <v>2.96</v>
      </c>
      <c r="E3718" s="1" t="n">
        <v>3.4</v>
      </c>
      <c r="F3718" s="1" t="n">
        <v>3.91</v>
      </c>
      <c r="G3718" s="1" t="n">
        <v>4.49</v>
      </c>
      <c r="H3718" s="1" t="n">
        <v>3.64</v>
      </c>
      <c r="I3718" s="1" t="n">
        <v>4.19</v>
      </c>
      <c r="J3718" s="1" t="n">
        <v>4.82</v>
      </c>
      <c r="K3718" s="1" t="n">
        <v>5.54</v>
      </c>
    </row>
    <row r="3719" customFormat="false" ht="12" hidden="false" customHeight="true" outlineLevel="0" collapsed="false">
      <c r="C3719" s="1" t="n">
        <v>150000</v>
      </c>
      <c r="D3719" s="1" t="n">
        <v>2.87</v>
      </c>
      <c r="E3719" s="1" t="n">
        <v>3.3</v>
      </c>
      <c r="F3719" s="1" t="n">
        <v>3.79</v>
      </c>
      <c r="G3719" s="1" t="n">
        <v>4.35</v>
      </c>
      <c r="H3719" s="1" t="n">
        <v>3.53</v>
      </c>
      <c r="I3719" s="1" t="n">
        <v>4.06</v>
      </c>
      <c r="J3719" s="1" t="n">
        <v>4.66</v>
      </c>
      <c r="K3719" s="1" t="n">
        <v>5.36</v>
      </c>
    </row>
    <row r="3720" customFormat="false" ht="12" hidden="false" customHeight="true" outlineLevel="0" collapsed="false">
      <c r="C3720" s="1" t="n">
        <v>200000</v>
      </c>
      <c r="D3720" s="1" t="n">
        <v>2.74</v>
      </c>
      <c r="E3720" s="1" t="n">
        <v>3.14</v>
      </c>
      <c r="F3720" s="1" t="n">
        <v>3.6</v>
      </c>
      <c r="G3720" s="1" t="n">
        <v>4.12</v>
      </c>
      <c r="H3720" s="1" t="n">
        <v>3.35</v>
      </c>
      <c r="I3720" s="1" t="n">
        <v>3.85</v>
      </c>
      <c r="J3720" s="1" t="n">
        <v>4.43</v>
      </c>
      <c r="K3720" s="1" t="n">
        <v>5.09</v>
      </c>
    </row>
    <row r="3721" customFormat="false" ht="12" hidden="false" customHeight="true" outlineLevel="0" collapsed="false">
      <c r="C3721" s="1" t="n">
        <v>300000</v>
      </c>
      <c r="D3721" s="1" t="n">
        <v>2.59</v>
      </c>
      <c r="E3721" s="1" t="n">
        <v>2.97</v>
      </c>
      <c r="F3721" s="1" t="n">
        <v>3.4</v>
      </c>
      <c r="G3721" s="1" t="n">
        <v>3.9</v>
      </c>
      <c r="H3721" s="1" t="n">
        <v>3.19</v>
      </c>
      <c r="I3721" s="1" t="n">
        <v>3.64</v>
      </c>
      <c r="J3721" s="1" t="n">
        <v>4.15</v>
      </c>
      <c r="K3721" s="1" t="n">
        <v>4.73</v>
      </c>
    </row>
    <row r="3722" customFormat="false" ht="12" hidden="false" customHeight="true" outlineLevel="0" collapsed="false">
      <c r="C3722" s="1" t="n">
        <v>400000</v>
      </c>
      <c r="D3722" s="1" t="n">
        <v>2.46</v>
      </c>
      <c r="E3722" s="1" t="n">
        <v>2.81</v>
      </c>
      <c r="F3722" s="1" t="n">
        <v>3.21</v>
      </c>
      <c r="G3722" s="1" t="n">
        <v>3.67</v>
      </c>
      <c r="H3722" s="1" t="n">
        <v>3.01</v>
      </c>
      <c r="I3722" s="1" t="n">
        <v>3.44</v>
      </c>
      <c r="J3722" s="1" t="n">
        <v>3.93</v>
      </c>
      <c r="K3722" s="1" t="n">
        <v>4.49</v>
      </c>
    </row>
    <row r="3723" customFormat="false" ht="12" hidden="false" customHeight="true" outlineLevel="0" collapsed="false">
      <c r="C3723" s="1" t="n">
        <v>500000</v>
      </c>
      <c r="D3723" s="1" t="n">
        <v>2.38</v>
      </c>
      <c r="E3723" s="1" t="n">
        <v>2.71</v>
      </c>
      <c r="F3723" s="1" t="n">
        <v>3.1</v>
      </c>
      <c r="G3723" s="1" t="n">
        <v>3.53</v>
      </c>
      <c r="H3723" s="1" t="n">
        <v>2.9</v>
      </c>
      <c r="I3723" s="1" t="n">
        <v>3.31</v>
      </c>
      <c r="J3723" s="1" t="n">
        <v>3.77</v>
      </c>
      <c r="K3723" s="1" t="n">
        <v>4.3</v>
      </c>
    </row>
    <row r="3725" customFormat="false" ht="12" hidden="false" customHeight="true" outlineLevel="0" collapsed="false">
      <c r="B3725" s="83" t="s">
        <v>1503</v>
      </c>
      <c r="C3725" s="242" t="s">
        <v>1494</v>
      </c>
      <c r="D3725" s="242" t="s">
        <v>1495</v>
      </c>
      <c r="E3725" s="242" t="s">
        <v>1496</v>
      </c>
      <c r="F3725" s="242" t="s">
        <v>1497</v>
      </c>
      <c r="G3725" s="242" t="s">
        <v>1498</v>
      </c>
      <c r="H3725" s="242" t="s">
        <v>1499</v>
      </c>
      <c r="I3725" s="242" t="s">
        <v>1500</v>
      </c>
      <c r="J3725" s="242" t="s">
        <v>1501</v>
      </c>
      <c r="K3725" s="242" t="s">
        <v>1502</v>
      </c>
    </row>
    <row r="3726" customFormat="false" ht="12" hidden="false" customHeight="true" outlineLevel="0" collapsed="false">
      <c r="C3726" s="1" t="n">
        <v>1500</v>
      </c>
      <c r="D3726" s="1" t="n">
        <v>5.02</v>
      </c>
      <c r="E3726" s="1" t="n">
        <v>5.94</v>
      </c>
      <c r="F3726" s="1" t="n">
        <v>7.04</v>
      </c>
      <c r="G3726" s="1" t="n">
        <v>8.33</v>
      </c>
      <c r="H3726" s="1" t="n">
        <v>6.47</v>
      </c>
      <c r="I3726" s="1" t="n">
        <v>7.65</v>
      </c>
      <c r="J3726" s="1" t="n">
        <v>9.05</v>
      </c>
      <c r="K3726" s="1" t="n">
        <v>10.7</v>
      </c>
    </row>
    <row r="3727" customFormat="false" ht="12" hidden="false" customHeight="true" outlineLevel="0" collapsed="false">
      <c r="C3727" s="1" t="n">
        <v>3000</v>
      </c>
      <c r="D3727" s="1" t="n">
        <v>4.51</v>
      </c>
      <c r="E3727" s="1" t="n">
        <v>5.31</v>
      </c>
      <c r="F3727" s="1" t="n">
        <v>6.26</v>
      </c>
      <c r="G3727" s="1" t="n">
        <v>7.38</v>
      </c>
      <c r="H3727" s="1" t="n">
        <v>5.78</v>
      </c>
      <c r="I3727" s="1" t="n">
        <v>6.8</v>
      </c>
      <c r="J3727" s="1" t="n">
        <v>8</v>
      </c>
      <c r="K3727" s="1" t="n">
        <v>9.42</v>
      </c>
    </row>
    <row r="3728" customFormat="false" ht="12" hidden="false" customHeight="true" outlineLevel="0" collapsed="false">
      <c r="C3728" s="1" t="n">
        <v>5000</v>
      </c>
      <c r="D3728" s="1" t="n">
        <v>4.21</v>
      </c>
      <c r="E3728" s="1" t="n">
        <v>4.93</v>
      </c>
      <c r="F3728" s="1" t="n">
        <v>5.78</v>
      </c>
      <c r="G3728" s="1" t="n">
        <v>6.77</v>
      </c>
      <c r="H3728" s="1" t="n">
        <v>5.34</v>
      </c>
      <c r="I3728" s="1" t="n">
        <v>6.25</v>
      </c>
      <c r="J3728" s="1" t="n">
        <v>7.31</v>
      </c>
      <c r="K3728" s="1" t="n">
        <v>8.55</v>
      </c>
    </row>
    <row r="3729" customFormat="false" ht="12" hidden="false" customHeight="true" outlineLevel="0" collapsed="false">
      <c r="C3729" s="1" t="n">
        <v>10000</v>
      </c>
      <c r="D3729" s="1" t="n">
        <v>3.77</v>
      </c>
      <c r="E3729" s="1" t="n">
        <v>4.4</v>
      </c>
      <c r="F3729" s="1" t="n">
        <v>5.13</v>
      </c>
      <c r="G3729" s="1" t="n">
        <v>5.98</v>
      </c>
      <c r="H3729" s="1" t="n">
        <v>4.74</v>
      </c>
      <c r="I3729" s="1" t="n">
        <v>5.54</v>
      </c>
      <c r="J3729" s="1" t="n">
        <v>6.46</v>
      </c>
      <c r="K3729" s="1" t="n">
        <v>7.55</v>
      </c>
    </row>
    <row r="3730" customFormat="false" ht="12" hidden="false" customHeight="true" outlineLevel="0" collapsed="false">
      <c r="C3730" s="1" t="n">
        <v>15000</v>
      </c>
      <c r="D3730" s="1" t="n">
        <v>3.55</v>
      </c>
      <c r="E3730" s="1" t="n">
        <v>4.13</v>
      </c>
      <c r="F3730" s="1" t="n">
        <v>4.8</v>
      </c>
      <c r="G3730" s="1" t="n">
        <v>5.58</v>
      </c>
      <c r="H3730" s="1" t="n">
        <v>4.45</v>
      </c>
      <c r="I3730" s="1" t="n">
        <v>5.18</v>
      </c>
      <c r="J3730" s="1" t="n">
        <v>6.02</v>
      </c>
      <c r="K3730" s="1" t="n">
        <v>7</v>
      </c>
    </row>
    <row r="3731" customFormat="false" ht="12" hidden="false" customHeight="true" outlineLevel="0" collapsed="false">
      <c r="C3731" s="1" t="n">
        <v>20000</v>
      </c>
      <c r="D3731" s="1" t="n">
        <v>3.39</v>
      </c>
      <c r="E3731" s="1" t="n">
        <v>3.93</v>
      </c>
      <c r="F3731" s="1" t="n">
        <v>4.56</v>
      </c>
      <c r="G3731" s="1" t="n">
        <v>5.29</v>
      </c>
      <c r="H3731" s="1" t="n">
        <v>4.24</v>
      </c>
      <c r="I3731" s="1" t="n">
        <v>4.92</v>
      </c>
      <c r="J3731" s="1" t="n">
        <v>5.71</v>
      </c>
      <c r="K3731" s="1" t="n">
        <v>6.62</v>
      </c>
    </row>
    <row r="3732" customFormat="false" ht="12" hidden="false" customHeight="true" outlineLevel="0" collapsed="false">
      <c r="C3732" s="1" t="n">
        <v>40000</v>
      </c>
      <c r="D3732" s="1" t="n">
        <v>3.08</v>
      </c>
      <c r="E3732" s="1" t="n">
        <v>3.55</v>
      </c>
      <c r="F3732" s="1" t="n">
        <v>4.09</v>
      </c>
      <c r="G3732" s="1" t="n">
        <v>4.71</v>
      </c>
      <c r="H3732" s="1" t="n">
        <v>3.81</v>
      </c>
      <c r="I3732" s="1" t="n">
        <v>4.39</v>
      </c>
      <c r="J3732" s="1" t="n">
        <v>5.07</v>
      </c>
      <c r="K3732" s="1" t="n">
        <v>5.84</v>
      </c>
    </row>
    <row r="3733" customFormat="false" ht="12" hidden="false" customHeight="true" outlineLevel="0" collapsed="false">
      <c r="C3733" s="1" t="n">
        <v>50000</v>
      </c>
      <c r="D3733" s="1" t="n">
        <v>2.94</v>
      </c>
      <c r="E3733" s="1" t="n">
        <v>3.4</v>
      </c>
      <c r="F3733" s="1" t="n">
        <v>3.92</v>
      </c>
      <c r="G3733" s="1" t="n">
        <v>4.53</v>
      </c>
      <c r="H3733" s="1" t="n">
        <v>3.66</v>
      </c>
      <c r="I3733" s="1" t="n">
        <v>4.22</v>
      </c>
      <c r="J3733" s="1" t="n">
        <v>4.87</v>
      </c>
      <c r="K3733" s="1" t="n">
        <v>5.61</v>
      </c>
    </row>
    <row r="3734" customFormat="false" ht="12" hidden="false" customHeight="true" outlineLevel="0" collapsed="false">
      <c r="C3734" s="1" t="n">
        <v>100000</v>
      </c>
      <c r="D3734" s="1" t="n">
        <v>2.65</v>
      </c>
      <c r="E3734" s="1" t="n">
        <v>3.04</v>
      </c>
      <c r="F3734" s="1" t="n">
        <v>3.49</v>
      </c>
      <c r="G3734" s="1" t="n">
        <v>4.01</v>
      </c>
      <c r="H3734" s="1" t="n">
        <v>3.26</v>
      </c>
      <c r="I3734" s="1" t="n">
        <v>3.74</v>
      </c>
      <c r="J3734" s="1" t="n">
        <v>4.3</v>
      </c>
      <c r="K3734" s="1" t="n">
        <v>4.94</v>
      </c>
    </row>
    <row r="3735" customFormat="false" ht="12" hidden="false" customHeight="true" outlineLevel="0" collapsed="false">
      <c r="C3735" s="1" t="n">
        <v>150000</v>
      </c>
      <c r="D3735" s="1" t="n">
        <v>2.55</v>
      </c>
      <c r="E3735" s="1" t="n">
        <v>2.9</v>
      </c>
      <c r="F3735" s="1" t="n">
        <v>3.3</v>
      </c>
      <c r="G3735" s="1" t="n">
        <v>3.75</v>
      </c>
      <c r="H3735" s="1" t="n">
        <v>3.08</v>
      </c>
      <c r="I3735" s="1" t="n">
        <v>3.51</v>
      </c>
      <c r="J3735" s="1" t="n">
        <v>3.99</v>
      </c>
      <c r="K3735" s="1" t="n">
        <v>4.54</v>
      </c>
    </row>
    <row r="3736" customFormat="false" ht="12" hidden="false" customHeight="true" outlineLevel="0" collapsed="false">
      <c r="C3736" s="1" t="n">
        <v>200000</v>
      </c>
      <c r="D3736" s="1" t="n">
        <v>2.41</v>
      </c>
      <c r="E3736" s="1" t="n">
        <v>2.74</v>
      </c>
      <c r="F3736" s="1" t="n">
        <v>3.12</v>
      </c>
      <c r="G3736" s="1" t="n">
        <v>3.55</v>
      </c>
      <c r="H3736" s="1" t="n">
        <v>2.91</v>
      </c>
      <c r="I3736" s="1" t="n">
        <v>3.31</v>
      </c>
      <c r="J3736" s="1" t="n">
        <v>3.78</v>
      </c>
      <c r="K3736" s="1" t="n">
        <v>4.3</v>
      </c>
    </row>
    <row r="3738" customFormat="false" ht="12" hidden="false" customHeight="true" outlineLevel="0" collapsed="false">
      <c r="B3738" s="83" t="s">
        <v>1504</v>
      </c>
      <c r="C3738" s="242" t="s">
        <v>1494</v>
      </c>
      <c r="D3738" s="242" t="s">
        <v>1495</v>
      </c>
      <c r="E3738" s="242" t="s">
        <v>1496</v>
      </c>
      <c r="F3738" s="242" t="s">
        <v>1497</v>
      </c>
      <c r="G3738" s="242" t="s">
        <v>1498</v>
      </c>
      <c r="H3738" s="242" t="s">
        <v>1499</v>
      </c>
      <c r="I3738" s="242" t="s">
        <v>1500</v>
      </c>
      <c r="J3738" s="242" t="s">
        <v>1501</v>
      </c>
      <c r="K3738" s="242" t="s">
        <v>1502</v>
      </c>
    </row>
    <row r="3739" customFormat="false" ht="12" hidden="false" customHeight="true" outlineLevel="0" collapsed="false">
      <c r="C3739" s="1" t="n">
        <v>1000</v>
      </c>
      <c r="D3739" s="1" t="n">
        <v>6.05</v>
      </c>
      <c r="E3739" s="1" t="n">
        <v>7.18</v>
      </c>
      <c r="F3739" s="1" t="n">
        <v>8.51</v>
      </c>
      <c r="G3739" s="1" t="n">
        <v>10.1</v>
      </c>
      <c r="H3739" s="1" t="n">
        <v>7.83</v>
      </c>
      <c r="I3739" s="1" t="n">
        <v>9.3</v>
      </c>
      <c r="J3739" s="1" t="n">
        <v>11.05</v>
      </c>
      <c r="K3739" s="1" t="n">
        <v>13.1</v>
      </c>
    </row>
    <row r="3740" customFormat="false" ht="12" hidden="false" customHeight="true" outlineLevel="0" collapsed="false">
      <c r="C3740" s="1" t="n">
        <v>2000</v>
      </c>
      <c r="D3740" s="1" t="n">
        <v>5.46</v>
      </c>
      <c r="E3740" s="1" t="n">
        <v>6.43</v>
      </c>
      <c r="F3740" s="1" t="n">
        <v>7.57</v>
      </c>
      <c r="G3740" s="1" t="n">
        <v>8.92</v>
      </c>
      <c r="H3740" s="1" t="n">
        <v>6.99</v>
      </c>
      <c r="I3740" s="1" t="n">
        <v>8.24</v>
      </c>
      <c r="J3740" s="1" t="n">
        <v>9.71</v>
      </c>
      <c r="K3740" s="1" t="n">
        <v>11.45</v>
      </c>
    </row>
    <row r="3741" customFormat="false" ht="12" hidden="false" customHeight="true" outlineLevel="0" collapsed="false">
      <c r="C3741" s="1" t="n">
        <v>3000</v>
      </c>
      <c r="D3741" s="1" t="n">
        <v>5.13</v>
      </c>
      <c r="E3741" s="1" t="n">
        <v>6.03</v>
      </c>
      <c r="F3741" s="1" t="n">
        <v>7.08</v>
      </c>
      <c r="G3741" s="1" t="n">
        <v>8.32</v>
      </c>
      <c r="H3741" s="1" t="n">
        <v>6.53</v>
      </c>
      <c r="I3741" s="1" t="n">
        <v>7.67</v>
      </c>
      <c r="J3741" s="1" t="n">
        <v>9.02</v>
      </c>
      <c r="K3741" s="1" t="n">
        <v>10.6</v>
      </c>
    </row>
    <row r="3742" customFormat="false" ht="12" hidden="false" customHeight="true" outlineLevel="0" collapsed="false">
      <c r="C3742" s="1" t="n">
        <v>5000</v>
      </c>
      <c r="D3742" s="1" t="n">
        <v>4.73</v>
      </c>
      <c r="E3742" s="1" t="n">
        <v>5.54</v>
      </c>
      <c r="F3742" s="1" t="n">
        <v>6.5</v>
      </c>
      <c r="G3742" s="1" t="n">
        <v>7.62</v>
      </c>
      <c r="H3742" s="1" t="n">
        <v>6.02</v>
      </c>
      <c r="I3742" s="1" t="n">
        <v>7.05</v>
      </c>
      <c r="J3742" s="1" t="n">
        <v>8.26</v>
      </c>
      <c r="K3742" s="1" t="n">
        <v>9.67</v>
      </c>
    </row>
    <row r="3743" customFormat="false" ht="12" hidden="false" customHeight="true" outlineLevel="0" collapsed="false">
      <c r="C3743" s="1" t="n">
        <v>10000</v>
      </c>
      <c r="D3743" s="1" t="n">
        <v>4.26</v>
      </c>
      <c r="E3743" s="1" t="n">
        <v>4.96</v>
      </c>
      <c r="F3743" s="1" t="n">
        <v>5.77</v>
      </c>
      <c r="G3743" s="1" t="n">
        <v>6.72</v>
      </c>
      <c r="H3743" s="1" t="n">
        <v>5.35</v>
      </c>
      <c r="I3743" s="1" t="n">
        <v>6.23</v>
      </c>
      <c r="J3743" s="1" t="n">
        <v>7.26</v>
      </c>
      <c r="K3743" s="1" t="n">
        <v>8.45</v>
      </c>
    </row>
    <row r="3744" customFormat="false" ht="12" hidden="false" customHeight="true" outlineLevel="0" collapsed="false">
      <c r="C3744" s="1" t="n">
        <v>15000</v>
      </c>
      <c r="D3744" s="1" t="n">
        <v>3.99</v>
      </c>
      <c r="E3744" s="1" t="n">
        <v>4.64</v>
      </c>
      <c r="F3744" s="1" t="n">
        <v>5.39</v>
      </c>
      <c r="G3744" s="1" t="n">
        <v>6.26</v>
      </c>
      <c r="H3744" s="1" t="n">
        <v>5</v>
      </c>
      <c r="I3744" s="1" t="n">
        <v>5.81</v>
      </c>
      <c r="J3744" s="1" t="n">
        <v>6.74</v>
      </c>
      <c r="K3744" s="1" t="n">
        <v>7.83</v>
      </c>
    </row>
    <row r="3745" customFormat="false" ht="12" hidden="false" customHeight="true" outlineLevel="0" collapsed="false">
      <c r="C3745" s="1" t="n">
        <v>20000</v>
      </c>
      <c r="D3745" s="1" t="n">
        <v>3.83</v>
      </c>
      <c r="E3745" s="1" t="n">
        <v>4.44</v>
      </c>
      <c r="F3745" s="1" t="n">
        <v>5.15</v>
      </c>
      <c r="G3745" s="1" t="n">
        <v>5.97</v>
      </c>
      <c r="H3745" s="1" t="n">
        <v>4.78</v>
      </c>
      <c r="I3745" s="1" t="n">
        <v>5.54</v>
      </c>
      <c r="J3745" s="1" t="n">
        <v>6.41</v>
      </c>
      <c r="K3745" s="1" t="n">
        <v>7.43</v>
      </c>
    </row>
    <row r="3746" customFormat="false" ht="12" hidden="false" customHeight="true" outlineLevel="0" collapsed="false">
      <c r="C3746" s="1" t="n">
        <v>30000</v>
      </c>
      <c r="D3746" s="1" t="n">
        <v>3.6</v>
      </c>
      <c r="E3746" s="1" t="n">
        <v>4.16</v>
      </c>
      <c r="F3746" s="1" t="n">
        <v>4.8</v>
      </c>
      <c r="G3746" s="1" t="n">
        <v>5.54</v>
      </c>
      <c r="H3746" s="1" t="n">
        <v>4.48</v>
      </c>
      <c r="I3746" s="1" t="n">
        <v>5.17</v>
      </c>
      <c r="J3746" s="1" t="n">
        <v>5.97</v>
      </c>
      <c r="K3746" s="1" t="n">
        <v>6.89</v>
      </c>
    </row>
    <row r="3747" customFormat="false" ht="12" hidden="false" customHeight="true" outlineLevel="0" collapsed="false">
      <c r="C3747" s="1" t="n">
        <v>50000</v>
      </c>
      <c r="D3747" s="1" t="n">
        <v>3.35</v>
      </c>
      <c r="E3747" s="1" t="n">
        <v>3.85</v>
      </c>
      <c r="F3747" s="1" t="n">
        <v>4.42</v>
      </c>
      <c r="G3747" s="1" t="n">
        <v>5.07</v>
      </c>
      <c r="H3747" s="1" t="n">
        <v>4.13</v>
      </c>
      <c r="I3747" s="1" t="n">
        <v>4.73</v>
      </c>
      <c r="J3747" s="1" t="n">
        <v>5.43</v>
      </c>
      <c r="K3747" s="1" t="n">
        <v>6.22</v>
      </c>
    </row>
    <row r="3748" customFormat="false" ht="12" hidden="false" customHeight="true" outlineLevel="0" collapsed="false">
      <c r="C3748" s="1" t="n">
        <v>75000</v>
      </c>
      <c r="D3748" s="1" t="n">
        <v>3.11</v>
      </c>
      <c r="E3748" s="1" t="n">
        <v>3.57</v>
      </c>
      <c r="F3748" s="1" t="n">
        <v>4.1</v>
      </c>
      <c r="G3748" s="1" t="n">
        <v>4.7</v>
      </c>
      <c r="H3748" s="1" t="n">
        <v>3.83</v>
      </c>
      <c r="I3748" s="1" t="n">
        <v>4.39</v>
      </c>
      <c r="J3748" s="1" t="n">
        <v>5.03</v>
      </c>
      <c r="K3748" s="1" t="n">
        <v>5.76</v>
      </c>
    </row>
    <row r="3749" customFormat="false" ht="12" hidden="false" customHeight="true" outlineLevel="0" collapsed="false">
      <c r="C3749" s="1" t="n">
        <v>100000</v>
      </c>
      <c r="D3749" s="1" t="n">
        <v>2.97</v>
      </c>
      <c r="E3749" s="1" t="n">
        <v>3.41</v>
      </c>
      <c r="F3749" s="1" t="n">
        <v>3.91</v>
      </c>
      <c r="G3749" s="1" t="n">
        <v>4.48</v>
      </c>
      <c r="H3749" s="1" t="n">
        <v>3.65</v>
      </c>
      <c r="I3749" s="1" t="n">
        <v>4.18</v>
      </c>
      <c r="J3749" s="1" t="n">
        <v>4.79</v>
      </c>
      <c r="K3749" s="1" t="n">
        <v>5.49</v>
      </c>
    </row>
    <row r="3750" customFormat="false" ht="12" hidden="false" customHeight="true" outlineLevel="0" collapsed="false">
      <c r="C3750" s="1" t="n">
        <v>150000</v>
      </c>
      <c r="D3750" s="1" t="n">
        <v>2.79</v>
      </c>
      <c r="E3750" s="1" t="n">
        <v>3.2</v>
      </c>
      <c r="F3750" s="1" t="n">
        <v>3.66</v>
      </c>
      <c r="G3750" s="1" t="n">
        <v>4.19</v>
      </c>
      <c r="H3750" s="1" t="n">
        <v>3.43</v>
      </c>
      <c r="I3750" s="1" t="n">
        <v>3.92</v>
      </c>
      <c r="J3750" s="1" t="n">
        <v>4.49</v>
      </c>
      <c r="K3750" s="1" t="n">
        <v>5.13</v>
      </c>
    </row>
    <row r="3751" customFormat="false" ht="12" hidden="false" customHeight="true" outlineLevel="0" collapsed="false">
      <c r="C3751" s="1" t="n">
        <v>200000</v>
      </c>
      <c r="D3751" s="1" t="n">
        <v>2.7</v>
      </c>
      <c r="E3751" s="1" t="n">
        <v>3.07</v>
      </c>
      <c r="F3751" s="1" t="n">
        <v>3.49</v>
      </c>
      <c r="G3751" s="1" t="n">
        <v>3.97</v>
      </c>
      <c r="H3751" s="1" t="n">
        <v>3.29</v>
      </c>
      <c r="I3751" s="1" t="n">
        <v>3.73</v>
      </c>
      <c r="J3751" s="1" t="n">
        <v>4.24</v>
      </c>
      <c r="K3751" s="1" t="n">
        <v>4.81</v>
      </c>
    </row>
    <row r="3752" customFormat="false" ht="12" hidden="false" customHeight="true" outlineLevel="0" collapsed="false">
      <c r="C3752" s="1" t="n">
        <v>300000</v>
      </c>
      <c r="D3752" s="1" t="n">
        <v>2.52</v>
      </c>
      <c r="E3752" s="1" t="n">
        <v>2.86</v>
      </c>
      <c r="F3752" s="1" t="n">
        <v>3.24</v>
      </c>
      <c r="G3752" s="1" t="n">
        <v>3.68</v>
      </c>
      <c r="H3752" s="1" t="n">
        <v>3.05</v>
      </c>
      <c r="I3752" s="1" t="n">
        <v>3.46</v>
      </c>
      <c r="J3752" s="1" t="n">
        <v>3.93</v>
      </c>
      <c r="K3752" s="1" t="n">
        <v>4.46</v>
      </c>
    </row>
    <row r="3753" customFormat="false" ht="12" hidden="false" customHeight="true" outlineLevel="0" collapsed="false">
      <c r="C3753" s="1" t="n">
        <v>400000</v>
      </c>
      <c r="D3753" s="1" t="n">
        <v>2.43</v>
      </c>
      <c r="E3753" s="1" t="n">
        <v>2.74</v>
      </c>
      <c r="F3753" s="1" t="n">
        <v>3.09</v>
      </c>
      <c r="G3753" s="1" t="n">
        <v>3.49</v>
      </c>
      <c r="H3753" s="1" t="n">
        <v>2.91</v>
      </c>
      <c r="I3753" s="1" t="n">
        <v>3.29</v>
      </c>
      <c r="J3753" s="1" t="n">
        <v>3.71</v>
      </c>
      <c r="K3753" s="1" t="n">
        <v>4.19</v>
      </c>
    </row>
    <row r="3754" customFormat="false" ht="12" hidden="false" customHeight="true" outlineLevel="0" collapsed="false">
      <c r="C3754" s="1" t="n">
        <v>600000</v>
      </c>
      <c r="D3754" s="1" t="n">
        <v>2.27</v>
      </c>
      <c r="E3754" s="1" t="n">
        <v>2.56</v>
      </c>
      <c r="F3754" s="1" t="n">
        <v>2.9</v>
      </c>
      <c r="G3754" s="1" t="n">
        <v>3.27</v>
      </c>
      <c r="H3754" s="1" t="n">
        <v>2.72</v>
      </c>
      <c r="I3754" s="1" t="n">
        <v>3.07</v>
      </c>
      <c r="J3754" s="1" t="n">
        <v>3.46</v>
      </c>
      <c r="K3754" s="1" t="n">
        <v>3.91</v>
      </c>
    </row>
    <row r="3755" customFormat="false" ht="12" hidden="false" customHeight="true" outlineLevel="0" collapsed="false">
      <c r="C3755" s="1" t="n">
        <v>800000</v>
      </c>
      <c r="D3755" s="1" t="n">
        <v>2.19</v>
      </c>
      <c r="E3755" s="1" t="n">
        <v>2.46</v>
      </c>
      <c r="F3755" s="1" t="n">
        <v>2.77</v>
      </c>
      <c r="G3755" s="1" t="n">
        <v>3.11</v>
      </c>
      <c r="H3755" s="1" t="n">
        <v>2.62</v>
      </c>
      <c r="I3755" s="1" t="n">
        <v>2.94</v>
      </c>
      <c r="J3755" s="1" t="n">
        <v>3.31</v>
      </c>
      <c r="K3755" s="1" t="n">
        <v>3.72</v>
      </c>
    </row>
    <row r="3756" customFormat="false" ht="12" hidden="false" customHeight="true" outlineLevel="0" collapsed="false">
      <c r="C3756" s="1" t="n">
        <v>1000000</v>
      </c>
      <c r="D3756" s="1" t="n">
        <v>2.11</v>
      </c>
      <c r="E3756" s="1" t="n">
        <v>2.37</v>
      </c>
      <c r="F3756" s="1" t="n">
        <v>2.66</v>
      </c>
      <c r="G3756" s="1" t="n">
        <v>2.99</v>
      </c>
      <c r="H3756" s="1" t="n">
        <v>2.52</v>
      </c>
      <c r="I3756" s="1" t="n">
        <v>2.83</v>
      </c>
      <c r="J3756" s="1" t="n">
        <v>3.17</v>
      </c>
      <c r="K3756" s="1" t="n">
        <v>3.56</v>
      </c>
    </row>
    <row r="3758" customFormat="false" ht="12" hidden="false" customHeight="true" outlineLevel="0" collapsed="false">
      <c r="B3758" s="83" t="s">
        <v>1505</v>
      </c>
      <c r="C3758" s="242" t="s">
        <v>1494</v>
      </c>
      <c r="D3758" s="242" t="s">
        <v>1495</v>
      </c>
      <c r="E3758" s="242" t="s">
        <v>1496</v>
      </c>
      <c r="F3758" s="242" t="s">
        <v>1497</v>
      </c>
      <c r="G3758" s="242" t="s">
        <v>1498</v>
      </c>
      <c r="H3758" s="242" t="s">
        <v>1499</v>
      </c>
      <c r="I3758" s="242" t="s">
        <v>1500</v>
      </c>
      <c r="J3758" s="242" t="s">
        <v>1501</v>
      </c>
      <c r="K3758" s="242" t="s">
        <v>1502</v>
      </c>
    </row>
    <row r="3759" customFormat="false" ht="12" hidden="false" customHeight="true" outlineLevel="0" collapsed="false">
      <c r="C3759" s="1" t="n">
        <v>2500</v>
      </c>
      <c r="D3759" s="1" t="n">
        <v>4.64</v>
      </c>
      <c r="E3759" s="1" t="n">
        <v>5.62</v>
      </c>
      <c r="F3759" s="1" t="n">
        <v>6.8</v>
      </c>
      <c r="G3759" s="1" t="n">
        <v>8.24</v>
      </c>
      <c r="H3759" s="1" t="n">
        <v>6.17</v>
      </c>
      <c r="I3759" s="1" t="n">
        <v>7.47</v>
      </c>
      <c r="J3759" s="1" t="n">
        <v>9.04</v>
      </c>
      <c r="K3759" s="1" t="n">
        <v>10.95</v>
      </c>
    </row>
    <row r="3760" customFormat="false" ht="12" hidden="false" customHeight="true" outlineLevel="0" collapsed="false">
      <c r="C3760" s="1" t="n">
        <v>5000</v>
      </c>
      <c r="D3760" s="1" t="n">
        <v>4.17</v>
      </c>
      <c r="E3760" s="1" t="n">
        <v>5.02</v>
      </c>
      <c r="F3760" s="1" t="n">
        <v>6.05</v>
      </c>
      <c r="G3760" s="1" t="n">
        <v>7.28</v>
      </c>
      <c r="H3760" s="1" t="n">
        <v>5.51</v>
      </c>
      <c r="I3760" s="1" t="n">
        <v>6.64</v>
      </c>
      <c r="J3760" s="1" t="n">
        <v>7.99</v>
      </c>
      <c r="K3760" s="1" t="n">
        <v>9.63</v>
      </c>
    </row>
    <row r="3761" customFormat="false" ht="12" hidden="false" customHeight="true" outlineLevel="0" collapsed="false">
      <c r="C3761" s="1" t="n">
        <v>10000</v>
      </c>
      <c r="D3761" s="1" t="n">
        <v>3.77</v>
      </c>
      <c r="E3761" s="1" t="n">
        <v>4.52</v>
      </c>
      <c r="F3761" s="1" t="n">
        <v>5.41</v>
      </c>
      <c r="G3761" s="1" t="n">
        <v>6.48</v>
      </c>
      <c r="H3761" s="1" t="n">
        <v>4.95</v>
      </c>
      <c r="I3761" s="1" t="n">
        <v>5.93</v>
      </c>
      <c r="J3761" s="1" t="n">
        <v>7.09</v>
      </c>
      <c r="K3761" s="1" t="n">
        <v>8.49</v>
      </c>
    </row>
    <row r="3762" customFormat="false" ht="12" hidden="false" customHeight="true" outlineLevel="0" collapsed="false">
      <c r="C3762" s="1" t="n">
        <v>15000</v>
      </c>
      <c r="D3762" s="1" t="n">
        <v>3.54</v>
      </c>
      <c r="E3762" s="1" t="n">
        <v>4.23</v>
      </c>
      <c r="F3762" s="1" t="n">
        <v>5.05</v>
      </c>
      <c r="G3762" s="1" t="n">
        <v>6.03</v>
      </c>
      <c r="H3762" s="1" t="n">
        <v>4.62</v>
      </c>
      <c r="I3762" s="1" t="n">
        <v>5.52</v>
      </c>
      <c r="J3762" s="1" t="n">
        <v>6.6</v>
      </c>
      <c r="K3762" s="1" t="n">
        <v>7.88</v>
      </c>
    </row>
    <row r="3763" customFormat="false" ht="12" hidden="false" customHeight="true" outlineLevel="0" collapsed="false">
      <c r="C3763" s="1" t="n">
        <v>20000</v>
      </c>
      <c r="D3763" s="1" t="n">
        <v>3.37</v>
      </c>
      <c r="E3763" s="1" t="n">
        <v>4.02</v>
      </c>
      <c r="F3763" s="1" t="n">
        <v>4.78</v>
      </c>
      <c r="G3763" s="1" t="n">
        <v>5.7</v>
      </c>
      <c r="H3763" s="1" t="n">
        <v>4.37</v>
      </c>
      <c r="I3763" s="1" t="n">
        <v>5.21</v>
      </c>
      <c r="J3763" s="1" t="n">
        <v>6.22</v>
      </c>
      <c r="K3763" s="1" t="n">
        <v>7.42</v>
      </c>
    </row>
    <row r="3764" customFormat="false" ht="12" hidden="false" customHeight="true" outlineLevel="0" collapsed="false">
      <c r="C3764" s="1" t="n">
        <v>30000</v>
      </c>
      <c r="D3764" s="1" t="n">
        <v>3.18</v>
      </c>
      <c r="E3764" s="1" t="n">
        <v>3.78</v>
      </c>
      <c r="F3764" s="1" t="n">
        <v>4.49</v>
      </c>
      <c r="G3764" s="1" t="n">
        <v>5.34</v>
      </c>
      <c r="H3764" s="1" t="n">
        <v>4.12</v>
      </c>
      <c r="I3764" s="1" t="n">
        <v>4.89</v>
      </c>
      <c r="J3764" s="1" t="n">
        <v>5.8</v>
      </c>
      <c r="K3764" s="1" t="n">
        <v>6.89</v>
      </c>
    </row>
    <row r="3765" customFormat="false" ht="12" hidden="false" customHeight="true" outlineLevel="0" collapsed="false">
      <c r="C3765" s="1" t="n">
        <v>40000</v>
      </c>
      <c r="D3765" s="1" t="n">
        <v>3.04</v>
      </c>
      <c r="E3765" s="1" t="n">
        <v>3.6</v>
      </c>
      <c r="F3765" s="1" t="n">
        <v>4.27</v>
      </c>
      <c r="G3765" s="1" t="n">
        <v>5.06</v>
      </c>
      <c r="H3765" s="1" t="n">
        <v>3.93</v>
      </c>
      <c r="I3765" s="1" t="n">
        <v>4.65</v>
      </c>
      <c r="J3765" s="1" t="n">
        <v>5.51</v>
      </c>
      <c r="K3765" s="1" t="n">
        <v>6.53</v>
      </c>
    </row>
    <row r="3766" customFormat="false" ht="12" hidden="false" customHeight="true" outlineLevel="0" collapsed="false">
      <c r="C3766" s="1" t="n">
        <v>50000</v>
      </c>
      <c r="D3766" s="1" t="n">
        <v>2.96</v>
      </c>
      <c r="E3766" s="1" t="n">
        <v>3.5</v>
      </c>
      <c r="F3766" s="1" t="n">
        <v>4.14</v>
      </c>
      <c r="G3766" s="1" t="n">
        <v>4.89</v>
      </c>
      <c r="H3766" s="1" t="n">
        <v>3.79</v>
      </c>
      <c r="I3766" s="1" t="n">
        <v>4.48</v>
      </c>
      <c r="J3766" s="1" t="n">
        <v>5.3</v>
      </c>
      <c r="K3766" s="1" t="n">
        <v>6.27</v>
      </c>
    </row>
    <row r="3767" customFormat="false" ht="12" hidden="false" customHeight="true" outlineLevel="0" collapsed="false">
      <c r="C3767" s="1" t="n">
        <v>60000</v>
      </c>
      <c r="D3767" s="1" t="n">
        <v>2.87</v>
      </c>
      <c r="E3767" s="1" t="n">
        <v>3.39</v>
      </c>
      <c r="F3767" s="1" t="n">
        <v>3.99</v>
      </c>
      <c r="G3767" s="1" t="n">
        <v>4.71</v>
      </c>
      <c r="H3767" s="1" t="n">
        <v>3.67</v>
      </c>
      <c r="I3767" s="1" t="n">
        <v>4.33</v>
      </c>
      <c r="J3767" s="1" t="n">
        <v>5.11</v>
      </c>
      <c r="K3767" s="1" t="n">
        <v>6.03</v>
      </c>
    </row>
    <row r="3768" customFormat="false" ht="12" hidden="false" customHeight="true" outlineLevel="0" collapsed="false">
      <c r="C3768" s="1" t="n">
        <v>80000</v>
      </c>
      <c r="D3768" s="1" t="n">
        <v>2.74</v>
      </c>
      <c r="E3768" s="1" t="n">
        <v>3.22</v>
      </c>
      <c r="F3768" s="1" t="n">
        <v>3.79</v>
      </c>
      <c r="G3768" s="1" t="n">
        <v>4.46</v>
      </c>
      <c r="H3768" s="1" t="n">
        <v>3.49</v>
      </c>
      <c r="I3768" s="1" t="n">
        <v>4.11</v>
      </c>
      <c r="J3768" s="1" t="n">
        <v>4.85</v>
      </c>
      <c r="K3768" s="1" t="n">
        <v>5.72</v>
      </c>
    </row>
    <row r="3769" customFormat="false" ht="12" hidden="false" customHeight="true" outlineLevel="0" collapsed="false">
      <c r="C3769" s="1" t="n">
        <v>100000</v>
      </c>
      <c r="D3769" s="1" t="n">
        <v>2.66</v>
      </c>
      <c r="E3769" s="1" t="n">
        <v>3.13</v>
      </c>
      <c r="F3769" s="1" t="n">
        <v>3.68</v>
      </c>
      <c r="G3769" s="1" t="n">
        <v>4.32</v>
      </c>
      <c r="H3769" s="1" t="n">
        <v>3.4</v>
      </c>
      <c r="I3769" s="1" t="n">
        <v>3.99</v>
      </c>
      <c r="J3769" s="1" t="n">
        <v>4.69</v>
      </c>
      <c r="K3769" s="1" t="n">
        <v>5.51</v>
      </c>
    </row>
    <row r="3770" customFormat="false" ht="12" hidden="false" customHeight="true" outlineLevel="0" collapsed="false">
      <c r="C3770" s="1" t="n">
        <v>125000</v>
      </c>
      <c r="D3770" s="1" t="n">
        <v>2.57</v>
      </c>
      <c r="E3770" s="1" t="n">
        <v>3.02</v>
      </c>
      <c r="F3770" s="1" t="n">
        <v>3.54</v>
      </c>
      <c r="G3770" s="1" t="n">
        <v>4.15</v>
      </c>
      <c r="H3770" s="1" t="n">
        <v>3.26</v>
      </c>
      <c r="I3770" s="1" t="n">
        <v>3.83</v>
      </c>
      <c r="J3770" s="1" t="n">
        <v>4.5</v>
      </c>
      <c r="K3770" s="1" t="n">
        <v>5.28</v>
      </c>
    </row>
    <row r="3771" customFormat="false" ht="12" hidden="false" customHeight="true" outlineLevel="0" collapsed="false">
      <c r="C3771" s="1" t="n">
        <v>150000</v>
      </c>
      <c r="D3771" s="1" t="n">
        <v>2.49</v>
      </c>
      <c r="E3771" s="1" t="n">
        <v>2.92</v>
      </c>
      <c r="F3771" s="1" t="n">
        <v>3.43</v>
      </c>
      <c r="G3771" s="1" t="n">
        <v>4.03</v>
      </c>
      <c r="H3771" s="1" t="n">
        <v>3.16</v>
      </c>
      <c r="I3771" s="1" t="n">
        <v>3.71</v>
      </c>
      <c r="J3771" s="1" t="n">
        <v>4.35</v>
      </c>
      <c r="K3771" s="1" t="n">
        <v>5.11</v>
      </c>
    </row>
    <row r="3772" customFormat="false" ht="12" hidden="false" customHeight="true" outlineLevel="0" collapsed="false">
      <c r="C3772" s="1" t="n">
        <v>200000</v>
      </c>
      <c r="D3772" s="1" t="n">
        <v>2.4</v>
      </c>
      <c r="E3772" s="1" t="n">
        <v>2.81</v>
      </c>
      <c r="F3772" s="1" t="n">
        <v>3.28</v>
      </c>
      <c r="G3772" s="1" t="n">
        <v>3.84</v>
      </c>
      <c r="H3772" s="1" t="n">
        <v>3.04</v>
      </c>
      <c r="I3772" s="1" t="n">
        <v>3.55</v>
      </c>
      <c r="J3772" s="1" t="n">
        <v>4.16</v>
      </c>
      <c r="K3772" s="1" t="n">
        <v>4.86</v>
      </c>
    </row>
    <row r="3773" customFormat="false" ht="12" hidden="false" customHeight="true" outlineLevel="0" collapsed="false">
      <c r="C3773" s="1" t="n">
        <v>250000</v>
      </c>
      <c r="D3773" s="1" t="n">
        <v>2.32</v>
      </c>
      <c r="E3773" s="1" t="n">
        <v>2.71</v>
      </c>
      <c r="F3773" s="1" t="n">
        <v>3.16</v>
      </c>
      <c r="G3773" s="1" t="n">
        <v>3.68</v>
      </c>
      <c r="H3773" s="1" t="n">
        <v>2.91</v>
      </c>
      <c r="I3773" s="1" t="n">
        <v>3.4</v>
      </c>
      <c r="J3773" s="1" t="n">
        <v>3.97</v>
      </c>
      <c r="K3773" s="1" t="n">
        <v>4.64</v>
      </c>
    </row>
    <row r="3774" customFormat="false" ht="12" hidden="false" customHeight="true" outlineLevel="0" collapsed="false">
      <c r="C3774" s="1" t="n">
        <v>300000</v>
      </c>
      <c r="D3774" s="1" t="n">
        <v>2.26</v>
      </c>
      <c r="E3774" s="1" t="n">
        <v>2.63</v>
      </c>
      <c r="F3774" s="1" t="n">
        <v>3.06</v>
      </c>
      <c r="G3774" s="1" t="n">
        <v>3.56</v>
      </c>
      <c r="H3774" s="1" t="n">
        <v>2.83</v>
      </c>
      <c r="I3774" s="1" t="n">
        <v>3.29</v>
      </c>
      <c r="J3774" s="1" t="n">
        <v>3.83</v>
      </c>
      <c r="K3774" s="1" t="n">
        <v>4.45</v>
      </c>
    </row>
    <row r="3775" customFormat="false" ht="12" hidden="false" customHeight="true" outlineLevel="0" collapsed="false">
      <c r="C3775" s="1" t="n">
        <v>400000</v>
      </c>
      <c r="D3775" s="1" t="n">
        <v>2.18</v>
      </c>
      <c r="E3775" s="1" t="n">
        <v>2.53</v>
      </c>
      <c r="F3775" s="1" t="n">
        <v>2.93</v>
      </c>
      <c r="G3775" s="1" t="n">
        <v>3.4</v>
      </c>
      <c r="H3775" s="1" t="n">
        <v>2.73</v>
      </c>
      <c r="I3775" s="1" t="n">
        <v>3.16</v>
      </c>
      <c r="J3775" s="1" t="n">
        <v>3.66</v>
      </c>
      <c r="K3775" s="1" t="n">
        <v>4.23</v>
      </c>
    </row>
    <row r="3776" customFormat="false" ht="12" hidden="false" customHeight="true" outlineLevel="0" collapsed="false">
      <c r="C3776" s="1" t="n">
        <v>600000</v>
      </c>
      <c r="D3776" s="1" t="n">
        <v>2.02</v>
      </c>
      <c r="E3776" s="1" t="n">
        <v>2.34</v>
      </c>
      <c r="F3776" s="1" t="n">
        <v>2.72</v>
      </c>
      <c r="G3776" s="1" t="n">
        <v>3.15</v>
      </c>
      <c r="H3776" s="1" t="n">
        <v>2.52</v>
      </c>
      <c r="I3776" s="1" t="n">
        <v>2.93</v>
      </c>
      <c r="J3776" s="1" t="n">
        <v>3.4</v>
      </c>
      <c r="K3776" s="1" t="n">
        <v>3.95</v>
      </c>
    </row>
    <row r="3777" customFormat="false" ht="12" hidden="false" customHeight="true" outlineLevel="0" collapsed="false">
      <c r="C3777" s="1" t="n">
        <v>800000</v>
      </c>
      <c r="D3777" s="1" t="n">
        <v>1.94</v>
      </c>
      <c r="E3777" s="1" t="n">
        <v>2.25</v>
      </c>
      <c r="F3777" s="1" t="n">
        <v>2.61</v>
      </c>
      <c r="G3777" s="1" t="n">
        <v>3.02</v>
      </c>
      <c r="H3777" s="1" t="n">
        <v>2.43</v>
      </c>
      <c r="I3777" s="1" t="n">
        <v>2.81</v>
      </c>
      <c r="J3777" s="1" t="n">
        <v>3.25</v>
      </c>
      <c r="K3777" s="1" t="n">
        <v>3.76</v>
      </c>
    </row>
    <row r="3778" customFormat="false" ht="12" hidden="false" customHeight="true" outlineLevel="0" collapsed="false">
      <c r="C3778" s="1" t="n">
        <v>1000000</v>
      </c>
      <c r="D3778" s="1" t="n">
        <v>1.86</v>
      </c>
      <c r="E3778" s="1" t="n">
        <v>2.15</v>
      </c>
      <c r="F3778" s="1" t="n">
        <v>2.49</v>
      </c>
      <c r="G3778" s="1" t="n">
        <v>2.88</v>
      </c>
      <c r="H3778" s="1" t="n">
        <v>2.32</v>
      </c>
      <c r="I3778" s="1" t="n">
        <v>2.68</v>
      </c>
      <c r="J3778" s="1" t="n">
        <v>3.1</v>
      </c>
      <c r="K3778" s="1" t="n">
        <v>3.59</v>
      </c>
    </row>
    <row r="3780" customFormat="false" ht="12" hidden="false" customHeight="true" outlineLevel="0" collapsed="false">
      <c r="B3780" s="83" t="s">
        <v>1506</v>
      </c>
      <c r="C3780" s="242" t="s">
        <v>1494</v>
      </c>
      <c r="D3780" s="242" t="s">
        <v>1495</v>
      </c>
      <c r="E3780" s="242" t="s">
        <v>1496</v>
      </c>
      <c r="F3780" s="242" t="s">
        <v>1497</v>
      </c>
      <c r="G3780" s="242" t="s">
        <v>1498</v>
      </c>
      <c r="H3780" s="242" t="s">
        <v>1499</v>
      </c>
      <c r="I3780" s="242" t="s">
        <v>1500</v>
      </c>
      <c r="J3780" s="242" t="s">
        <v>1501</v>
      </c>
      <c r="K3780" s="242" t="s">
        <v>1502</v>
      </c>
    </row>
    <row r="3781" customFormat="false" ht="12" hidden="false" customHeight="true" outlineLevel="0" collapsed="false">
      <c r="C3781" s="1" t="n">
        <v>1500</v>
      </c>
      <c r="D3781" s="1" t="n">
        <v>6.24</v>
      </c>
      <c r="E3781" s="1" t="n">
        <v>7.41</v>
      </c>
      <c r="F3781" s="1" t="n">
        <v>8.8</v>
      </c>
      <c r="G3781" s="1" t="n">
        <v>10.45</v>
      </c>
      <c r="H3781" s="1" t="n">
        <v>8.08</v>
      </c>
      <c r="I3781" s="1" t="n">
        <v>9.6</v>
      </c>
      <c r="J3781" s="1" t="n">
        <v>11.4</v>
      </c>
      <c r="K3781" s="1" t="n">
        <v>13.55</v>
      </c>
    </row>
    <row r="3782" customFormat="false" ht="12" hidden="false" customHeight="true" outlineLevel="0" collapsed="false">
      <c r="C3782" s="1" t="n">
        <v>5000</v>
      </c>
      <c r="D3782" s="1" t="n">
        <v>5.17</v>
      </c>
      <c r="E3782" s="1" t="n">
        <v>6.09</v>
      </c>
      <c r="F3782" s="1" t="n">
        <v>7.16</v>
      </c>
      <c r="G3782" s="1" t="n">
        <v>8.43</v>
      </c>
      <c r="H3782" s="1" t="n">
        <v>6.58</v>
      </c>
      <c r="I3782" s="1" t="n">
        <v>7.75</v>
      </c>
      <c r="J3782" s="1" t="n">
        <v>9.13</v>
      </c>
      <c r="K3782" s="1" t="n">
        <v>10.75</v>
      </c>
    </row>
    <row r="3783" customFormat="false" ht="12" hidden="false" customHeight="true" outlineLevel="0" collapsed="false">
      <c r="C3783" s="1" t="n">
        <v>10000</v>
      </c>
      <c r="D3783" s="1" t="n">
        <v>4.65</v>
      </c>
      <c r="E3783" s="1" t="n">
        <v>5.45</v>
      </c>
      <c r="F3783" s="1" t="n">
        <v>6.38</v>
      </c>
      <c r="G3783" s="1" t="n">
        <v>7.47</v>
      </c>
      <c r="H3783" s="1" t="n">
        <v>5.89</v>
      </c>
      <c r="I3783" s="1" t="n">
        <v>6.9</v>
      </c>
      <c r="J3783" s="1" t="n">
        <v>8.07</v>
      </c>
      <c r="K3783" s="1" t="n">
        <v>9.45</v>
      </c>
    </row>
    <row r="3784" customFormat="false" ht="12" hidden="false" customHeight="true" outlineLevel="0" collapsed="false">
      <c r="C3784" s="1" t="n">
        <v>20000</v>
      </c>
      <c r="D3784" s="1" t="n">
        <v>4.14</v>
      </c>
      <c r="E3784" s="1" t="n">
        <v>4.83</v>
      </c>
      <c r="F3784" s="1" t="n">
        <v>5.64</v>
      </c>
      <c r="G3784" s="1" t="n">
        <v>6.58</v>
      </c>
      <c r="H3784" s="1" t="n">
        <v>5.23</v>
      </c>
      <c r="I3784" s="1" t="n">
        <v>6.1</v>
      </c>
      <c r="J3784" s="1" t="n">
        <v>7.12</v>
      </c>
      <c r="K3784" s="1" t="n">
        <v>8.3</v>
      </c>
    </row>
    <row r="3785" customFormat="false" ht="12" hidden="false" customHeight="true" outlineLevel="0" collapsed="false">
      <c r="C3785" s="1" t="n">
        <v>50000</v>
      </c>
      <c r="D3785" s="1" t="n">
        <v>3.61</v>
      </c>
      <c r="E3785" s="1" t="n">
        <v>4.17</v>
      </c>
      <c r="F3785" s="1" t="n">
        <v>4.83</v>
      </c>
      <c r="G3785" s="1" t="n">
        <v>5.58</v>
      </c>
      <c r="H3785" s="1" t="n">
        <v>4.47</v>
      </c>
      <c r="I3785" s="1" t="n">
        <v>5.18</v>
      </c>
      <c r="J3785" s="1" t="n">
        <v>6</v>
      </c>
      <c r="K3785" s="1" t="n">
        <v>6.96</v>
      </c>
    </row>
    <row r="3786" customFormat="false" ht="12" hidden="false" customHeight="true" outlineLevel="0" collapsed="false">
      <c r="C3786" s="1" t="n">
        <v>100000</v>
      </c>
      <c r="D3786" s="1" t="n">
        <v>3.26</v>
      </c>
      <c r="E3786" s="1" t="n">
        <v>3.75</v>
      </c>
      <c r="F3786" s="1" t="n">
        <v>4.31</v>
      </c>
      <c r="G3786" s="1" t="n">
        <v>4.95</v>
      </c>
      <c r="H3786" s="1" t="n">
        <v>4</v>
      </c>
      <c r="I3786" s="1" t="n">
        <v>4.61</v>
      </c>
      <c r="J3786" s="1" t="n">
        <v>5.31</v>
      </c>
      <c r="K3786" s="1" t="n">
        <v>6.11</v>
      </c>
    </row>
    <row r="3787" customFormat="false" ht="12" hidden="false" customHeight="true" outlineLevel="0" collapsed="false">
      <c r="C3787" s="1" t="n">
        <v>250000</v>
      </c>
      <c r="D3787" s="1" t="n">
        <v>2.8</v>
      </c>
      <c r="E3787" s="1" t="n">
        <v>3.21</v>
      </c>
      <c r="F3787" s="1" t="n">
        <v>3.67</v>
      </c>
      <c r="G3787" s="1" t="n">
        <v>4.21</v>
      </c>
      <c r="H3787" s="1" t="n">
        <v>3.43</v>
      </c>
      <c r="I3787" s="1" t="n">
        <v>3.93</v>
      </c>
      <c r="J3787" s="1" t="n">
        <v>4.5</v>
      </c>
      <c r="K3787" s="1" t="n">
        <v>5.15</v>
      </c>
    </row>
    <row r="3788" customFormat="false" ht="12" hidden="false" customHeight="true" outlineLevel="0" collapsed="false">
      <c r="C3788" s="1" t="n">
        <v>500000</v>
      </c>
      <c r="D3788" s="1" t="n">
        <v>2.52</v>
      </c>
      <c r="E3788" s="1" t="n">
        <v>2.87</v>
      </c>
      <c r="F3788" s="1" t="n">
        <v>3.27</v>
      </c>
      <c r="G3788" s="1" t="n">
        <v>3.72</v>
      </c>
      <c r="H3788" s="1" t="n">
        <v>3.06</v>
      </c>
      <c r="I3788" s="1" t="n">
        <v>3.48</v>
      </c>
      <c r="J3788" s="1" t="n">
        <v>3.95</v>
      </c>
      <c r="K3788" s="1" t="n">
        <v>4.49</v>
      </c>
    </row>
    <row r="3790" customFormat="false" ht="12" hidden="false" customHeight="true" outlineLevel="0" collapsed="false">
      <c r="B3790" s="83" t="s">
        <v>1507</v>
      </c>
      <c r="C3790" s="242" t="s">
        <v>1494</v>
      </c>
      <c r="D3790" s="242" t="s">
        <v>1495</v>
      </c>
      <c r="E3790" s="242" t="s">
        <v>1496</v>
      </c>
      <c r="F3790" s="242" t="s">
        <v>1497</v>
      </c>
      <c r="G3790" s="242" t="s">
        <v>1498</v>
      </c>
      <c r="H3790" s="242" t="s">
        <v>1499</v>
      </c>
      <c r="I3790" s="242" t="s">
        <v>1500</v>
      </c>
      <c r="J3790" s="242" t="s">
        <v>1501</v>
      </c>
      <c r="K3790" s="242" t="s">
        <v>1502</v>
      </c>
    </row>
    <row r="3791" customFormat="false" ht="12" hidden="false" customHeight="true" outlineLevel="0" collapsed="false">
      <c r="C3791" s="1" t="n">
        <v>3000</v>
      </c>
      <c r="D3791" s="1" t="n">
        <v>5.55</v>
      </c>
      <c r="E3791" s="1" t="n">
        <v>6.53</v>
      </c>
      <c r="F3791" s="1" t="n">
        <v>7.67</v>
      </c>
      <c r="G3791" s="1" t="n">
        <v>9.02</v>
      </c>
      <c r="H3791" s="1" t="n">
        <v>7.09</v>
      </c>
      <c r="I3791" s="1" t="n">
        <v>8.33</v>
      </c>
      <c r="J3791" s="1" t="n">
        <v>9.79</v>
      </c>
      <c r="K3791" s="1" t="n">
        <v>11.5</v>
      </c>
    </row>
    <row r="3792" customFormat="false" ht="12" hidden="false" customHeight="true" outlineLevel="0" collapsed="false">
      <c r="C3792" s="1" t="n">
        <v>5000</v>
      </c>
      <c r="D3792" s="1" t="n">
        <v>5.15</v>
      </c>
      <c r="E3792" s="1" t="n">
        <v>6.02</v>
      </c>
      <c r="F3792" s="1" t="n">
        <v>7.05</v>
      </c>
      <c r="G3792" s="1" t="n">
        <v>8.24</v>
      </c>
      <c r="H3792" s="1" t="n">
        <v>6.51</v>
      </c>
      <c r="I3792" s="1" t="n">
        <v>7.61</v>
      </c>
      <c r="J3792" s="1" t="n">
        <v>8.9</v>
      </c>
      <c r="K3792" s="1" t="n">
        <v>10.4</v>
      </c>
    </row>
    <row r="3793" customFormat="false" ht="12" hidden="false" customHeight="true" outlineLevel="0" collapsed="false">
      <c r="C3793" s="1" t="n">
        <v>10000</v>
      </c>
      <c r="D3793" s="1" t="n">
        <v>4.64</v>
      </c>
      <c r="E3793" s="1" t="n">
        <v>5.39</v>
      </c>
      <c r="F3793" s="1" t="n">
        <v>6.27</v>
      </c>
      <c r="G3793" s="1" t="n">
        <v>7.28</v>
      </c>
      <c r="H3793" s="1" t="n">
        <v>5.8</v>
      </c>
      <c r="I3793" s="1" t="n">
        <v>6.73</v>
      </c>
      <c r="J3793" s="1" t="n">
        <v>7.82</v>
      </c>
      <c r="K3793" s="1" t="n">
        <v>9.08</v>
      </c>
    </row>
    <row r="3794" customFormat="false" ht="12" hidden="false" customHeight="true" outlineLevel="0" collapsed="false">
      <c r="C3794" s="1" t="n">
        <v>15000</v>
      </c>
      <c r="D3794" s="1" t="n">
        <v>4.33</v>
      </c>
      <c r="E3794" s="1" t="n">
        <v>5.03</v>
      </c>
      <c r="F3794" s="1" t="n">
        <v>5.84</v>
      </c>
      <c r="G3794" s="1" t="n">
        <v>6.78</v>
      </c>
      <c r="H3794" s="1" t="n">
        <v>5.41</v>
      </c>
      <c r="I3794" s="1" t="n">
        <v>6.28</v>
      </c>
      <c r="J3794" s="1" t="n">
        <v>7.3</v>
      </c>
      <c r="K3794" s="1" t="n">
        <v>8.48</v>
      </c>
    </row>
    <row r="3795" customFormat="false" ht="12" hidden="false" customHeight="true" outlineLevel="0" collapsed="false">
      <c r="C3795" s="1" t="n">
        <v>20000</v>
      </c>
      <c r="D3795" s="1" t="n">
        <v>4.15</v>
      </c>
      <c r="E3795" s="1" t="n">
        <v>4.81</v>
      </c>
      <c r="F3795" s="1" t="n">
        <v>5.57</v>
      </c>
      <c r="G3795" s="1" t="n">
        <v>6.45</v>
      </c>
      <c r="H3795" s="1" t="n">
        <v>5.17</v>
      </c>
      <c r="I3795" s="1" t="n">
        <v>5.98</v>
      </c>
      <c r="J3795" s="1" t="n">
        <v>6.93</v>
      </c>
      <c r="K3795" s="1" t="n">
        <v>8.02</v>
      </c>
    </row>
    <row r="3796" customFormat="false" ht="12" hidden="false" customHeight="true" outlineLevel="0" collapsed="false">
      <c r="C3796" s="1" t="n">
        <v>30000</v>
      </c>
      <c r="D3796" s="1" t="n">
        <v>3.88</v>
      </c>
      <c r="E3796" s="1" t="n">
        <v>4.49</v>
      </c>
      <c r="F3796" s="1" t="n">
        <v>5.19</v>
      </c>
      <c r="G3796" s="1" t="n">
        <v>6.01</v>
      </c>
      <c r="H3796" s="1" t="n">
        <v>4.83</v>
      </c>
      <c r="I3796" s="1" t="n">
        <v>5.59</v>
      </c>
      <c r="J3796" s="1" t="n">
        <v>6.46</v>
      </c>
      <c r="K3796" s="1" t="n">
        <v>7.47</v>
      </c>
    </row>
    <row r="3797" customFormat="false" ht="12" hidden="false" customHeight="true" outlineLevel="0" collapsed="false">
      <c r="C3797" s="1" t="n">
        <v>40000</v>
      </c>
      <c r="D3797" s="1" t="n">
        <v>3.73</v>
      </c>
      <c r="E3797" s="1" t="n">
        <v>4.3</v>
      </c>
      <c r="F3797" s="1" t="n">
        <v>4.95</v>
      </c>
      <c r="G3797" s="1" t="n">
        <v>5.71</v>
      </c>
      <c r="H3797" s="1" t="n">
        <v>4.61</v>
      </c>
      <c r="I3797" s="1" t="n">
        <v>5.31</v>
      </c>
      <c r="J3797" s="1" t="n">
        <v>6.12</v>
      </c>
      <c r="K3797" s="1" t="n">
        <v>7.05</v>
      </c>
    </row>
    <row r="3798" customFormat="false" ht="12" hidden="false" customHeight="true" outlineLevel="0" collapsed="false">
      <c r="C3798" s="1" t="n">
        <v>60000</v>
      </c>
      <c r="D3798" s="1" t="n">
        <v>3.52</v>
      </c>
      <c r="E3798" s="1" t="n">
        <v>4.03</v>
      </c>
      <c r="F3798" s="1" t="n">
        <v>4.62</v>
      </c>
      <c r="G3798" s="1" t="n">
        <v>5.29</v>
      </c>
      <c r="H3798" s="1" t="n">
        <v>4.31</v>
      </c>
      <c r="I3798" s="1" t="n">
        <v>4.95</v>
      </c>
      <c r="J3798" s="1" t="n">
        <v>5.67</v>
      </c>
      <c r="K3798" s="1" t="n">
        <v>6.51</v>
      </c>
    </row>
    <row r="3799" customFormat="false" ht="12" hidden="false" customHeight="true" outlineLevel="0" collapsed="false">
      <c r="C3799" s="1" t="n">
        <v>80000</v>
      </c>
      <c r="D3799" s="1" t="n">
        <v>3.36</v>
      </c>
      <c r="E3799" s="1" t="n">
        <v>3.85</v>
      </c>
      <c r="F3799" s="1" t="n">
        <v>4.4</v>
      </c>
      <c r="G3799" s="1" t="n">
        <v>5.04</v>
      </c>
      <c r="H3799" s="1" t="n">
        <v>4.12</v>
      </c>
      <c r="I3799" s="1" t="n">
        <v>4.72</v>
      </c>
      <c r="J3799" s="1" t="n">
        <v>5.4</v>
      </c>
      <c r="K3799" s="1" t="n">
        <v>6.18</v>
      </c>
    </row>
    <row r="3800" customFormat="false" ht="12" hidden="false" customHeight="true" outlineLevel="0" collapsed="false">
      <c r="C3800" s="1" t="n">
        <v>100000</v>
      </c>
      <c r="D3800" s="1" t="n">
        <v>3.23</v>
      </c>
      <c r="E3800" s="1" t="n">
        <v>3.69</v>
      </c>
      <c r="F3800" s="1" t="n">
        <v>4.22</v>
      </c>
      <c r="G3800" s="1" t="n">
        <v>4.83</v>
      </c>
      <c r="H3800" s="1" t="n">
        <v>3.96</v>
      </c>
      <c r="I3800" s="1" t="n">
        <v>4.53</v>
      </c>
      <c r="J3800" s="1" t="n">
        <v>5.17</v>
      </c>
      <c r="K3800" s="1" t="n">
        <v>5.91</v>
      </c>
    </row>
    <row r="3801" customFormat="false" ht="12" hidden="false" customHeight="true" outlineLevel="0" collapsed="false">
      <c r="C3801" s="1" t="n">
        <v>125000</v>
      </c>
      <c r="D3801" s="1" t="n">
        <v>3.15</v>
      </c>
      <c r="E3801" s="1" t="n">
        <v>3.59</v>
      </c>
      <c r="F3801" s="1" t="n">
        <v>4.09</v>
      </c>
      <c r="G3801" s="1" t="n">
        <v>4.66</v>
      </c>
      <c r="H3801" s="1" t="n">
        <v>3.84</v>
      </c>
      <c r="I3801" s="1" t="n">
        <v>4.37</v>
      </c>
      <c r="J3801" s="1" t="n">
        <v>4.98</v>
      </c>
      <c r="K3801" s="1" t="n">
        <v>5.67</v>
      </c>
    </row>
    <row r="3802" customFormat="false" ht="12" hidden="false" customHeight="true" outlineLevel="0" collapsed="false">
      <c r="C3802" s="1" t="n">
        <v>150000</v>
      </c>
      <c r="D3802" s="1" t="n">
        <v>3.03</v>
      </c>
      <c r="E3802" s="1" t="n">
        <v>3.45</v>
      </c>
      <c r="F3802" s="1" t="n">
        <v>3.93</v>
      </c>
      <c r="G3802" s="1" t="n">
        <v>4.47</v>
      </c>
      <c r="H3802" s="1" t="n">
        <v>3.68</v>
      </c>
      <c r="I3802" s="1" t="n">
        <v>4.19</v>
      </c>
      <c r="J3802" s="1" t="n">
        <v>4.78</v>
      </c>
      <c r="K3802" s="1" t="n">
        <v>5.45</v>
      </c>
    </row>
    <row r="3803" customFormat="false" ht="12" hidden="false" customHeight="true" outlineLevel="0" collapsed="false">
      <c r="C3803" s="1" t="n">
        <v>200000</v>
      </c>
      <c r="D3803" s="1" t="n">
        <v>2.92</v>
      </c>
      <c r="E3803" s="1" t="n">
        <v>3.32</v>
      </c>
      <c r="F3803" s="1" t="n">
        <v>3.77</v>
      </c>
      <c r="G3803" s="1" t="n">
        <v>4.28</v>
      </c>
      <c r="H3803" s="1" t="n">
        <v>3.53</v>
      </c>
      <c r="I3803" s="1" t="n">
        <v>4.01</v>
      </c>
      <c r="J3803" s="1" t="n">
        <v>4.56</v>
      </c>
      <c r="K3803" s="1" t="n">
        <v>5.18</v>
      </c>
    </row>
    <row r="3804" customFormat="false" ht="12" hidden="false" customHeight="true" outlineLevel="0" collapsed="false">
      <c r="C3804" s="1" t="n">
        <v>250000</v>
      </c>
      <c r="D3804" s="1" t="n">
        <v>2.81</v>
      </c>
      <c r="E3804" s="1" t="n">
        <v>3.19</v>
      </c>
      <c r="F3804" s="1" t="n">
        <v>3.63</v>
      </c>
      <c r="G3804" s="1" t="n">
        <v>4.12</v>
      </c>
      <c r="H3804" s="1" t="n">
        <v>3.39</v>
      </c>
      <c r="I3804" s="1" t="n">
        <v>3.85</v>
      </c>
      <c r="J3804" s="1" t="n">
        <v>4.38</v>
      </c>
      <c r="K3804" s="1" t="n">
        <v>4.98</v>
      </c>
    </row>
    <row r="3805" customFormat="false" ht="12" hidden="false" customHeight="true" outlineLevel="0" collapsed="false">
      <c r="C3805" s="1" t="n">
        <v>300000</v>
      </c>
      <c r="D3805" s="1" t="n">
        <v>2.74</v>
      </c>
      <c r="E3805" s="1" t="n">
        <v>3.1</v>
      </c>
      <c r="F3805" s="1" t="n">
        <v>3.51</v>
      </c>
      <c r="G3805" s="1" t="n">
        <v>3.98</v>
      </c>
      <c r="H3805" s="1" t="n">
        <v>3.3</v>
      </c>
      <c r="I3805" s="1" t="n">
        <v>3.74</v>
      </c>
      <c r="J3805" s="1" t="n">
        <v>4.23</v>
      </c>
      <c r="K3805" s="1" t="n">
        <v>4.79</v>
      </c>
    </row>
    <row r="3806" customFormat="false" ht="12" hidden="false" customHeight="true" outlineLevel="0" collapsed="false">
      <c r="C3806" s="1" t="n">
        <v>400000</v>
      </c>
      <c r="D3806" s="1" t="n">
        <v>2.62</v>
      </c>
      <c r="E3806" s="1" t="n">
        <v>2.96</v>
      </c>
      <c r="F3806" s="1" t="n">
        <v>3.35</v>
      </c>
      <c r="G3806" s="1" t="n">
        <v>3.79</v>
      </c>
      <c r="H3806" s="1" t="n">
        <v>3.15</v>
      </c>
      <c r="I3806" s="1" t="n">
        <v>3.57</v>
      </c>
      <c r="J3806" s="1" t="n">
        <v>4.04</v>
      </c>
      <c r="K3806" s="1" t="n">
        <v>4.57</v>
      </c>
    </row>
    <row r="3807" customFormat="false" ht="12" hidden="false" customHeight="true" outlineLevel="0" collapsed="false">
      <c r="C3807" s="1" t="n">
        <v>500000</v>
      </c>
      <c r="D3807" s="1" t="n">
        <v>2.55</v>
      </c>
      <c r="E3807" s="1" t="n">
        <v>2.87</v>
      </c>
      <c r="F3807" s="1" t="n">
        <v>3.24</v>
      </c>
      <c r="G3807" s="1" t="n">
        <v>3.65</v>
      </c>
      <c r="H3807" s="1" t="n">
        <v>3.04</v>
      </c>
      <c r="I3807" s="1" t="n">
        <v>3.42</v>
      </c>
      <c r="J3807" s="1" t="n">
        <v>3.85</v>
      </c>
      <c r="K3807" s="1" t="n">
        <v>4.34</v>
      </c>
    </row>
    <row r="3809" customFormat="false" ht="12" hidden="false" customHeight="true" outlineLevel="0" collapsed="false">
      <c r="B3809" s="83" t="s">
        <v>1508</v>
      </c>
      <c r="C3809" s="242" t="s">
        <v>1494</v>
      </c>
      <c r="D3809" s="242" t="s">
        <v>1495</v>
      </c>
      <c r="E3809" s="242" t="s">
        <v>1496</v>
      </c>
      <c r="F3809" s="242" t="s">
        <v>1497</v>
      </c>
      <c r="G3809" s="242" t="s">
        <v>1498</v>
      </c>
      <c r="H3809" s="242" t="s">
        <v>1499</v>
      </c>
      <c r="I3809" s="242" t="s">
        <v>1500</v>
      </c>
      <c r="J3809" s="242" t="s">
        <v>1501</v>
      </c>
      <c r="K3809" s="242" t="s">
        <v>1502</v>
      </c>
    </row>
    <row r="3810" customFormat="false" ht="12" hidden="false" customHeight="true" outlineLevel="0" collapsed="false">
      <c r="C3810" s="1" t="n">
        <v>3000</v>
      </c>
      <c r="D3810" s="1" t="n">
        <v>5.58</v>
      </c>
      <c r="E3810" s="1" t="n">
        <v>6.58</v>
      </c>
      <c r="F3810" s="1" t="n">
        <v>7.76</v>
      </c>
      <c r="G3810" s="1" t="n">
        <v>9.15</v>
      </c>
      <c r="H3810" s="1" t="n">
        <v>7.16</v>
      </c>
      <c r="I3810" s="1" t="n">
        <v>8.43</v>
      </c>
      <c r="J3810" s="1" t="n">
        <v>9.93</v>
      </c>
      <c r="K3810" s="1" t="n">
        <v>11.7</v>
      </c>
    </row>
    <row r="3811" customFormat="false" ht="12" hidden="false" customHeight="true" outlineLevel="0" collapsed="false">
      <c r="C3811" s="1" t="n">
        <v>5000</v>
      </c>
      <c r="D3811" s="1" t="n">
        <v>5.19</v>
      </c>
      <c r="E3811" s="1" t="n">
        <v>6.09</v>
      </c>
      <c r="F3811" s="1" t="n">
        <v>7.14</v>
      </c>
      <c r="G3811" s="1" t="n">
        <v>8.37</v>
      </c>
      <c r="H3811" s="1" t="n">
        <v>6.59</v>
      </c>
      <c r="I3811" s="1" t="n">
        <v>7.73</v>
      </c>
      <c r="J3811" s="1" t="n">
        <v>9.08</v>
      </c>
      <c r="K3811" s="1" t="n">
        <v>10.65</v>
      </c>
    </row>
    <row r="3812" customFormat="false" ht="12" hidden="false" customHeight="true" outlineLevel="0" collapsed="false">
      <c r="C3812" s="1" t="n">
        <v>10000</v>
      </c>
      <c r="D3812" s="1" t="n">
        <v>4.67</v>
      </c>
      <c r="E3812" s="1" t="n">
        <v>5.45</v>
      </c>
      <c r="F3812" s="1" t="n">
        <v>6.35</v>
      </c>
      <c r="G3812" s="1" t="n">
        <v>7.41</v>
      </c>
      <c r="H3812" s="1" t="n">
        <v>5.87</v>
      </c>
      <c r="I3812" s="1" t="n">
        <v>6.85</v>
      </c>
      <c r="J3812" s="1" t="n">
        <v>7.98</v>
      </c>
      <c r="K3812" s="1" t="n">
        <v>9.31</v>
      </c>
    </row>
    <row r="3813" customFormat="false" ht="12" hidden="false" customHeight="true" outlineLevel="0" collapsed="false">
      <c r="C3813" s="1" t="n">
        <v>15000</v>
      </c>
      <c r="D3813" s="1" t="n">
        <v>4.38</v>
      </c>
      <c r="E3813" s="1" t="n">
        <v>5.09</v>
      </c>
      <c r="F3813" s="1" t="n">
        <v>5.92</v>
      </c>
      <c r="G3813" s="1" t="n">
        <v>6.88</v>
      </c>
      <c r="H3813" s="1" t="n">
        <v>5.49</v>
      </c>
      <c r="I3813" s="1" t="n">
        <v>6.38</v>
      </c>
      <c r="J3813" s="1" t="n">
        <v>7.41</v>
      </c>
      <c r="K3813" s="1" t="n">
        <v>8.61</v>
      </c>
    </row>
    <row r="3814" customFormat="false" ht="12" hidden="false" customHeight="true" outlineLevel="0" collapsed="false">
      <c r="C3814" s="1" t="n">
        <v>20000</v>
      </c>
      <c r="D3814" s="1" t="n">
        <v>4.16</v>
      </c>
      <c r="E3814" s="1" t="n">
        <v>4.83</v>
      </c>
      <c r="F3814" s="1" t="n">
        <v>5.61</v>
      </c>
      <c r="G3814" s="1" t="n">
        <v>6.51</v>
      </c>
      <c r="H3814" s="1" t="n">
        <v>5.2</v>
      </c>
      <c r="I3814" s="1" t="n">
        <v>6.04</v>
      </c>
      <c r="J3814" s="1" t="n">
        <v>7.02</v>
      </c>
      <c r="K3814" s="1" t="n">
        <v>8.15</v>
      </c>
    </row>
    <row r="3815" customFormat="false" ht="12" hidden="false" customHeight="true" outlineLevel="0" collapsed="false">
      <c r="C3815" s="1" t="n">
        <v>30000</v>
      </c>
      <c r="D3815" s="1" t="n">
        <v>3.93</v>
      </c>
      <c r="E3815" s="1" t="n">
        <v>4.55</v>
      </c>
      <c r="F3815" s="1" t="n">
        <v>5.26</v>
      </c>
      <c r="G3815" s="1" t="n">
        <v>6.09</v>
      </c>
      <c r="H3815" s="1" t="n">
        <v>4.89</v>
      </c>
      <c r="I3815" s="1" t="n">
        <v>5.65</v>
      </c>
      <c r="J3815" s="1" t="n">
        <v>6.53</v>
      </c>
      <c r="K3815" s="1" t="n">
        <v>7.55</v>
      </c>
    </row>
    <row r="3816" customFormat="false" ht="12" hidden="false" customHeight="true" outlineLevel="0" collapsed="false">
      <c r="C3816" s="1" t="n">
        <v>50000</v>
      </c>
      <c r="D3816" s="1" t="n">
        <v>3.64</v>
      </c>
      <c r="E3816" s="1" t="n">
        <v>4.19</v>
      </c>
      <c r="F3816" s="1" t="n">
        <v>4.82</v>
      </c>
      <c r="G3816" s="1" t="n">
        <v>5.55</v>
      </c>
      <c r="H3816" s="1" t="n">
        <v>4.49</v>
      </c>
      <c r="I3816" s="1" t="n">
        <v>5.17</v>
      </c>
      <c r="J3816" s="1" t="n">
        <v>5.96</v>
      </c>
      <c r="K3816" s="1" t="n">
        <v>6.86</v>
      </c>
    </row>
    <row r="3817" customFormat="false" ht="12" hidden="false" customHeight="true" outlineLevel="0" collapsed="false">
      <c r="C3817" s="1" t="n">
        <v>75000</v>
      </c>
      <c r="D3817" s="1" t="n">
        <v>3.45</v>
      </c>
      <c r="E3817" s="1" t="n">
        <v>3.95</v>
      </c>
      <c r="F3817" s="1" t="n">
        <v>4.53</v>
      </c>
      <c r="G3817" s="1" t="n">
        <v>5.19</v>
      </c>
      <c r="H3817" s="1" t="n">
        <v>4.23</v>
      </c>
      <c r="I3817" s="1" t="n">
        <v>4.85</v>
      </c>
      <c r="J3817" s="1" t="n">
        <v>5.55</v>
      </c>
      <c r="K3817" s="1" t="n">
        <v>6.36</v>
      </c>
    </row>
    <row r="3818" customFormat="false" ht="12" hidden="false" customHeight="true" outlineLevel="0" collapsed="false">
      <c r="C3818" s="1" t="n">
        <v>100000</v>
      </c>
      <c r="D3818" s="1" t="n">
        <v>3.3</v>
      </c>
      <c r="E3818" s="1" t="n">
        <v>3.76</v>
      </c>
      <c r="F3818" s="1" t="n">
        <v>4.3</v>
      </c>
      <c r="G3818" s="1" t="n">
        <v>4.9</v>
      </c>
      <c r="H3818" s="1" t="n">
        <v>4.02</v>
      </c>
      <c r="I3818" s="1" t="n">
        <v>4.59</v>
      </c>
      <c r="J3818" s="1" t="n">
        <v>5.24</v>
      </c>
      <c r="K3818" s="1" t="n">
        <v>5.99</v>
      </c>
    </row>
    <row r="3819" customFormat="false" ht="12" hidden="false" customHeight="true" outlineLevel="0" collapsed="false">
      <c r="C3819" s="1" t="n">
        <v>125000</v>
      </c>
      <c r="D3819" s="1" t="n">
        <v>3.17</v>
      </c>
      <c r="E3819" s="1" t="n">
        <v>3.62</v>
      </c>
      <c r="F3819" s="1" t="n">
        <v>4.14</v>
      </c>
      <c r="G3819" s="1" t="n">
        <v>4.73</v>
      </c>
      <c r="H3819" s="1" t="n">
        <v>3.86</v>
      </c>
      <c r="I3819" s="1" t="n">
        <v>4.41</v>
      </c>
      <c r="J3819" s="1" t="n">
        <v>5.05</v>
      </c>
      <c r="K3819" s="1" t="n">
        <v>5.77</v>
      </c>
    </row>
    <row r="3820" customFormat="false" ht="12" hidden="false" customHeight="true" outlineLevel="0" collapsed="false">
      <c r="C3820" s="1" t="n">
        <v>150000</v>
      </c>
      <c r="D3820" s="1" t="n">
        <v>3.11</v>
      </c>
      <c r="E3820" s="1" t="n">
        <v>3.54</v>
      </c>
      <c r="F3820" s="1" t="n">
        <v>4.02</v>
      </c>
      <c r="G3820" s="1" t="n">
        <v>4.57</v>
      </c>
      <c r="H3820" s="1" t="n">
        <v>3.77</v>
      </c>
      <c r="I3820" s="1" t="n">
        <v>4.29</v>
      </c>
      <c r="J3820" s="1" t="n">
        <v>4.88</v>
      </c>
      <c r="K3820" s="1" t="n">
        <v>5.55</v>
      </c>
    </row>
    <row r="3821" customFormat="false" ht="12" hidden="false" customHeight="true" outlineLevel="0" collapsed="false">
      <c r="C3821" s="1" t="n">
        <v>200000</v>
      </c>
      <c r="D3821" s="1" t="n">
        <v>2.98</v>
      </c>
      <c r="E3821" s="1" t="n">
        <v>3.38</v>
      </c>
      <c r="F3821" s="1" t="n">
        <v>3.83</v>
      </c>
      <c r="G3821" s="1" t="n">
        <v>4.35</v>
      </c>
      <c r="H3821" s="1" t="n">
        <v>3.6</v>
      </c>
      <c r="I3821" s="1" t="n">
        <v>4.08</v>
      </c>
      <c r="J3821" s="1" t="n">
        <v>4.63</v>
      </c>
      <c r="K3821" s="1" t="n">
        <v>5.25</v>
      </c>
    </row>
    <row r="3822" customFormat="false" ht="12" hidden="false" customHeight="true" outlineLevel="0" collapsed="false">
      <c r="C3822" s="1" t="n">
        <v>250000</v>
      </c>
      <c r="D3822" s="1" t="n">
        <v>2.87</v>
      </c>
      <c r="E3822" s="1" t="n">
        <v>3.25</v>
      </c>
      <c r="F3822" s="1" t="n">
        <v>3.69</v>
      </c>
      <c r="G3822" s="1" t="n">
        <v>4.18</v>
      </c>
      <c r="H3822" s="1" t="n">
        <v>3.47</v>
      </c>
      <c r="I3822" s="1" t="n">
        <v>3.93</v>
      </c>
      <c r="J3822" s="1" t="n">
        <v>4.46</v>
      </c>
      <c r="K3822" s="1" t="n">
        <v>5.05</v>
      </c>
    </row>
    <row r="3823" customFormat="false" ht="12" hidden="false" customHeight="true" outlineLevel="0" collapsed="false">
      <c r="C3823" s="1" t="n">
        <v>300000</v>
      </c>
      <c r="D3823" s="1" t="n">
        <v>2.78</v>
      </c>
      <c r="E3823" s="1" t="n">
        <v>3.15</v>
      </c>
      <c r="F3823" s="1" t="n">
        <v>3.57</v>
      </c>
      <c r="G3823" s="1" t="n">
        <v>4.04</v>
      </c>
      <c r="H3823" s="1" t="n">
        <v>3.34</v>
      </c>
      <c r="I3823" s="1" t="n">
        <v>3.78</v>
      </c>
      <c r="J3823" s="1" t="n">
        <v>4.29</v>
      </c>
      <c r="K3823" s="1" t="n">
        <v>4.86</v>
      </c>
    </row>
    <row r="3824" customFormat="false" ht="12" hidden="false" customHeight="true" outlineLevel="0" collapsed="false">
      <c r="C3824" s="1" t="n">
        <v>400000</v>
      </c>
      <c r="D3824" s="1" t="n">
        <v>2.67</v>
      </c>
      <c r="E3824" s="1" t="n">
        <v>3.01</v>
      </c>
      <c r="F3824" s="1" t="n">
        <v>3.4</v>
      </c>
      <c r="G3824" s="1" t="n">
        <v>3.83</v>
      </c>
      <c r="H3824" s="1" t="n">
        <v>3.19</v>
      </c>
      <c r="I3824" s="1" t="n">
        <v>3.61</v>
      </c>
      <c r="J3824" s="1" t="n">
        <v>4.08</v>
      </c>
      <c r="K3824" s="1" t="n">
        <v>4.61</v>
      </c>
    </row>
    <row r="3825" customFormat="false" ht="12" hidden="false" customHeight="true" outlineLevel="0" collapsed="false">
      <c r="C3825" s="1" t="n">
        <v>500000</v>
      </c>
      <c r="D3825" s="1" t="n">
        <v>2.57</v>
      </c>
      <c r="E3825" s="1" t="n">
        <v>2.9</v>
      </c>
      <c r="F3825" s="1" t="n">
        <v>3.27</v>
      </c>
      <c r="G3825" s="1" t="n">
        <v>3.69</v>
      </c>
      <c r="H3825" s="1" t="n">
        <v>3.09</v>
      </c>
      <c r="I3825" s="1" t="n">
        <v>3.48</v>
      </c>
      <c r="J3825" s="1" t="n">
        <v>3.92</v>
      </c>
      <c r="K3825" s="1" t="n">
        <v>4.42</v>
      </c>
    </row>
    <row r="3828" customFormat="false" ht="12" hidden="false" customHeight="true" outlineLevel="0" collapsed="false">
      <c r="B3828" s="241" t="s">
        <v>1509</v>
      </c>
    </row>
    <row r="3829" customFormat="false" ht="12" hidden="false" customHeight="true" outlineLevel="0" collapsed="false">
      <c r="B3829" s="83" t="s">
        <v>1493</v>
      </c>
      <c r="C3829" s="242" t="s">
        <v>1510</v>
      </c>
      <c r="D3829" s="242" t="s">
        <v>1511</v>
      </c>
      <c r="E3829" s="242" t="s">
        <v>279</v>
      </c>
      <c r="F3829" s="242" t="s">
        <v>483</v>
      </c>
      <c r="G3829" s="242" t="s">
        <v>485</v>
      </c>
    </row>
    <row r="3830" customFormat="false" ht="12" hidden="false" customHeight="true" outlineLevel="0" collapsed="false">
      <c r="C3830" s="1" t="s">
        <v>1512</v>
      </c>
      <c r="D3830" s="1" t="n">
        <v>67500</v>
      </c>
      <c r="E3830" s="1" t="n">
        <v>79500</v>
      </c>
      <c r="F3830" s="1" t="n">
        <v>93750</v>
      </c>
      <c r="G3830" s="1" t="n">
        <v>110000</v>
      </c>
    </row>
    <row r="3831" customFormat="false" ht="12" hidden="false" customHeight="true" outlineLevel="0" collapsed="false">
      <c r="C3831" s="1" t="s">
        <v>1513</v>
      </c>
      <c r="D3831" s="1" t="n">
        <v>117000</v>
      </c>
      <c r="E3831" s="1" t="n">
        <v>135000</v>
      </c>
      <c r="F3831" s="1" t="n">
        <v>154000</v>
      </c>
      <c r="G3831" s="1" t="n">
        <v>177000</v>
      </c>
    </row>
    <row r="3832" customFormat="false" ht="12" hidden="false" customHeight="true" outlineLevel="0" collapsed="false">
      <c r="C3832" s="1" t="s">
        <v>1514</v>
      </c>
      <c r="D3832" s="1" t="n">
        <v>180000</v>
      </c>
      <c r="E3832" s="1" t="n">
        <v>228000</v>
      </c>
      <c r="F3832" s="1" t="n">
        <v>287000</v>
      </c>
      <c r="G3832" s="1" t="n">
        <v>363000</v>
      </c>
    </row>
    <row r="3833" customFormat="false" ht="12" hidden="false" customHeight="true" outlineLevel="0" collapsed="false">
      <c r="C3833" s="1" t="s">
        <v>1515</v>
      </c>
      <c r="D3833" s="1" t="n">
        <v>9700</v>
      </c>
      <c r="E3833" s="1" t="n">
        <v>11100</v>
      </c>
      <c r="F3833" s="1" t="n">
        <v>12800</v>
      </c>
      <c r="G3833" s="1" t="n">
        <v>14700</v>
      </c>
    </row>
    <row r="3834" customFormat="false" ht="12" hidden="false" customHeight="true" outlineLevel="0" collapsed="false">
      <c r="C3834" s="1" t="s">
        <v>1516</v>
      </c>
      <c r="D3834" s="1" t="n">
        <v>51000</v>
      </c>
      <c r="E3834" s="1" t="n">
        <v>67500</v>
      </c>
      <c r="F3834" s="1" t="n">
        <v>89000</v>
      </c>
      <c r="G3834" s="1" t="n">
        <v>118000</v>
      </c>
    </row>
    <row r="3835" customFormat="false" ht="12" hidden="false" customHeight="true" outlineLevel="0" collapsed="false">
      <c r="C3835" s="1" t="s">
        <v>1517</v>
      </c>
      <c r="D3835" s="1" t="n">
        <v>100000</v>
      </c>
      <c r="E3835" s="1" t="n">
        <v>126000</v>
      </c>
      <c r="F3835" s="1" t="n">
        <v>160000</v>
      </c>
      <c r="G3835" s="1" t="n">
        <v>202000</v>
      </c>
    </row>
    <row r="3836" customFormat="false" ht="12" hidden="false" customHeight="true" outlineLevel="0" collapsed="false">
      <c r="C3836" s="1" t="s">
        <v>1518</v>
      </c>
      <c r="D3836" s="1" t="n">
        <v>12900</v>
      </c>
      <c r="E3836" s="1" t="n">
        <v>14100</v>
      </c>
      <c r="F3836" s="1" t="n">
        <v>15300</v>
      </c>
      <c r="G3836" s="1" t="n">
        <v>16700</v>
      </c>
    </row>
    <row r="3837" customFormat="false" ht="12" hidden="false" customHeight="true" outlineLevel="0" collapsed="false">
      <c r="C3837" s="1" t="s">
        <v>1519</v>
      </c>
      <c r="D3837" s="1" t="n">
        <v>22400</v>
      </c>
      <c r="E3837" s="1" t="n">
        <v>24400</v>
      </c>
      <c r="F3837" s="1" t="n">
        <v>26600</v>
      </c>
      <c r="G3837" s="1" t="n">
        <v>29000</v>
      </c>
    </row>
    <row r="3838" customFormat="false" ht="12" hidden="false" customHeight="true" outlineLevel="0" collapsed="false">
      <c r="C3838" s="1" t="s">
        <v>1520</v>
      </c>
      <c r="D3838" s="1" t="n">
        <v>260000</v>
      </c>
      <c r="E3838" s="1" t="n">
        <v>276000</v>
      </c>
      <c r="F3838" s="1" t="n">
        <v>294000</v>
      </c>
      <c r="G3838" s="1" t="n">
        <v>312000</v>
      </c>
    </row>
    <row r="3839" customFormat="false" ht="12" hidden="false" customHeight="true" outlineLevel="0" collapsed="false">
      <c r="C3839" s="1" t="s">
        <v>1521</v>
      </c>
      <c r="D3839" s="1" t="n">
        <v>17200</v>
      </c>
      <c r="E3839" s="1" t="n">
        <v>22300</v>
      </c>
      <c r="F3839" s="1" t="n">
        <v>29000</v>
      </c>
      <c r="G3839" s="1" t="n">
        <v>37600</v>
      </c>
    </row>
    <row r="3841" customFormat="false" ht="12" hidden="false" customHeight="true" outlineLevel="0" collapsed="false">
      <c r="B3841" s="83" t="s">
        <v>1522</v>
      </c>
      <c r="C3841" s="242" t="s">
        <v>1510</v>
      </c>
      <c r="D3841" s="242" t="s">
        <v>1511</v>
      </c>
      <c r="E3841" s="242" t="s">
        <v>279</v>
      </c>
      <c r="F3841" s="242" t="s">
        <v>483</v>
      </c>
      <c r="G3841" s="242" t="s">
        <v>485</v>
      </c>
    </row>
    <row r="3842" customFormat="false" ht="12" hidden="false" customHeight="true" outlineLevel="0" collapsed="false">
      <c r="C3842" s="1" t="s">
        <v>1512</v>
      </c>
      <c r="D3842" s="1" t="n">
        <v>61500</v>
      </c>
      <c r="E3842" s="1" t="n">
        <v>71750</v>
      </c>
      <c r="F3842" s="1" t="n">
        <v>84000</v>
      </c>
      <c r="G3842" s="1" t="n">
        <v>99000</v>
      </c>
    </row>
    <row r="3843" customFormat="false" ht="12" hidden="false" customHeight="true" outlineLevel="0" collapsed="false">
      <c r="C3843" s="1" t="s">
        <v>1515</v>
      </c>
      <c r="D3843" s="1" t="n">
        <v>8550</v>
      </c>
      <c r="E3843" s="1" t="n">
        <v>9950</v>
      </c>
      <c r="F3843" s="1" t="n">
        <v>11700</v>
      </c>
      <c r="G3843" s="1" t="n">
        <v>13700</v>
      </c>
    </row>
    <row r="3844" customFormat="false" ht="12" hidden="false" customHeight="true" outlineLevel="0" collapsed="false">
      <c r="C3844" s="1" t="s">
        <v>1521</v>
      </c>
      <c r="D3844" s="1" t="n">
        <v>14800</v>
      </c>
      <c r="E3844" s="1" t="n">
        <v>19000</v>
      </c>
      <c r="F3844" s="1" t="n">
        <v>24500</v>
      </c>
      <c r="G3844" s="1" t="n">
        <v>31400</v>
      </c>
    </row>
    <row r="3846" customFormat="false" ht="12" hidden="false" customHeight="true" outlineLevel="0" collapsed="false">
      <c r="B3846" s="83" t="s">
        <v>1523</v>
      </c>
      <c r="C3846" s="242" t="s">
        <v>1510</v>
      </c>
      <c r="D3846" s="242" t="s">
        <v>1511</v>
      </c>
      <c r="E3846" s="242" t="s">
        <v>279</v>
      </c>
      <c r="F3846" s="242" t="s">
        <v>483</v>
      </c>
      <c r="G3846" s="242" t="s">
        <v>485</v>
      </c>
    </row>
    <row r="3847" customFormat="false" ht="12" hidden="false" customHeight="true" outlineLevel="0" collapsed="false">
      <c r="C3847" s="1" t="s">
        <v>1524</v>
      </c>
      <c r="D3847" s="1" t="n">
        <v>66250</v>
      </c>
      <c r="E3847" s="1" t="n">
        <v>78000</v>
      </c>
      <c r="F3847" s="1" t="n">
        <v>92000</v>
      </c>
      <c r="G3847" s="1" t="n">
        <v>108000</v>
      </c>
    </row>
    <row r="3848" customFormat="false" ht="12" hidden="false" customHeight="true" outlineLevel="0" collapsed="false">
      <c r="C3848" s="1" t="s">
        <v>1525</v>
      </c>
      <c r="D3848" s="1" t="n">
        <v>9650</v>
      </c>
      <c r="E3848" s="1" t="n">
        <v>11100</v>
      </c>
      <c r="F3848" s="1" t="n">
        <v>12700</v>
      </c>
      <c r="G3848" s="1" t="n">
        <v>14600</v>
      </c>
    </row>
    <row r="3850" customFormat="false" ht="12" hidden="false" customHeight="true" outlineLevel="0" collapsed="false">
      <c r="B3850" s="83" t="s">
        <v>1526</v>
      </c>
      <c r="C3850" s="242" t="s">
        <v>1510</v>
      </c>
      <c r="D3850" s="242" t="s">
        <v>1511</v>
      </c>
      <c r="E3850" s="242" t="s">
        <v>279</v>
      </c>
      <c r="F3850" s="242" t="s">
        <v>483</v>
      </c>
      <c r="G3850" s="242" t="s">
        <v>485</v>
      </c>
    </row>
    <row r="3851" customFormat="false" ht="12" hidden="false" customHeight="true" outlineLevel="0" collapsed="false">
      <c r="C3851" s="1" t="s">
        <v>1512</v>
      </c>
      <c r="D3851" s="1" t="n">
        <v>66250</v>
      </c>
      <c r="E3851" s="1" t="n">
        <v>78000</v>
      </c>
      <c r="F3851" s="1" t="n">
        <v>92000</v>
      </c>
      <c r="G3851" s="1" t="n">
        <v>108000</v>
      </c>
    </row>
    <row r="3852" customFormat="false" ht="12" hidden="false" customHeight="true" outlineLevel="0" collapsed="false">
      <c r="C3852" s="1" t="s">
        <v>1527</v>
      </c>
      <c r="D3852" s="1" t="n">
        <v>116000</v>
      </c>
      <c r="E3852" s="1" t="n">
        <v>133000</v>
      </c>
      <c r="F3852" s="1" t="n">
        <v>152000</v>
      </c>
      <c r="G3852" s="1" t="n">
        <v>175000</v>
      </c>
    </row>
    <row r="3853" customFormat="false" ht="12" hidden="false" customHeight="true" outlineLevel="0" collapsed="false">
      <c r="C3853" s="1" t="s">
        <v>1515</v>
      </c>
      <c r="D3853" s="1" t="n">
        <v>9650</v>
      </c>
      <c r="E3853" s="1" t="n">
        <v>11100</v>
      </c>
      <c r="F3853" s="1" t="n">
        <v>12700</v>
      </c>
      <c r="G3853" s="1" t="n">
        <v>14600</v>
      </c>
    </row>
    <row r="3854" customFormat="false" ht="12" hidden="false" customHeight="true" outlineLevel="0" collapsed="false">
      <c r="C3854" s="1" t="s">
        <v>1516</v>
      </c>
      <c r="D3854" s="1" t="n">
        <v>51250</v>
      </c>
      <c r="E3854" s="1" t="n">
        <v>67750</v>
      </c>
      <c r="F3854" s="1" t="n">
        <v>89500</v>
      </c>
      <c r="G3854" s="1" t="n">
        <v>118000</v>
      </c>
    </row>
    <row r="3855" customFormat="false" ht="12" hidden="false" customHeight="true" outlineLevel="0" collapsed="false">
      <c r="C3855" s="1" t="s">
        <v>1517</v>
      </c>
      <c r="D3855" s="1" t="n">
        <v>101000</v>
      </c>
      <c r="E3855" s="1" t="n">
        <v>127000</v>
      </c>
      <c r="F3855" s="1" t="n">
        <v>160000</v>
      </c>
      <c r="G3855" s="1" t="n">
        <v>203000</v>
      </c>
    </row>
    <row r="3856" customFormat="false" ht="12" hidden="false" customHeight="true" outlineLevel="0" collapsed="false">
      <c r="C3856" s="1" t="s">
        <v>1518</v>
      </c>
      <c r="D3856" s="1" t="n">
        <v>13000</v>
      </c>
      <c r="E3856" s="1" t="n">
        <v>14100</v>
      </c>
      <c r="F3856" s="1" t="n">
        <v>15400</v>
      </c>
      <c r="G3856" s="1" t="n">
        <v>16700</v>
      </c>
    </row>
    <row r="3857" customFormat="false" ht="12" hidden="false" customHeight="true" outlineLevel="0" collapsed="false">
      <c r="C3857" s="1" t="s">
        <v>1519</v>
      </c>
      <c r="D3857" s="1" t="n">
        <v>22600</v>
      </c>
      <c r="E3857" s="1" t="n">
        <v>24600</v>
      </c>
      <c r="F3857" s="1" t="n">
        <v>26900</v>
      </c>
      <c r="G3857" s="1" t="n">
        <v>29300</v>
      </c>
    </row>
    <row r="3858" customFormat="false" ht="12" hidden="false" customHeight="true" outlineLevel="0" collapsed="false">
      <c r="C3858" s="1" t="s">
        <v>1520</v>
      </c>
      <c r="D3858" s="1" t="n">
        <v>270000</v>
      </c>
      <c r="E3858" s="1" t="n">
        <v>289000</v>
      </c>
      <c r="F3858" s="1" t="n">
        <v>309000</v>
      </c>
      <c r="G3858" s="1" t="n">
        <v>330000</v>
      </c>
    </row>
    <row r="3859" customFormat="false" ht="12" hidden="false" customHeight="true" outlineLevel="0" collapsed="false">
      <c r="C3859" s="1" t="s">
        <v>1521</v>
      </c>
      <c r="D3859" s="1" t="n">
        <v>17500</v>
      </c>
      <c r="E3859" s="1" t="n">
        <v>22200</v>
      </c>
      <c r="F3859" s="1" t="n">
        <v>28300</v>
      </c>
      <c r="G3859" s="1" t="n">
        <v>36000</v>
      </c>
    </row>
    <row r="3861" customFormat="false" ht="12" hidden="false" customHeight="true" outlineLevel="0" collapsed="false">
      <c r="B3861" s="83" t="s">
        <v>1528</v>
      </c>
      <c r="C3861" s="242" t="s">
        <v>1510</v>
      </c>
      <c r="D3861" s="242" t="s">
        <v>1511</v>
      </c>
      <c r="E3861" s="242" t="s">
        <v>279</v>
      </c>
      <c r="F3861" s="242" t="s">
        <v>483</v>
      </c>
      <c r="G3861" s="242" t="s">
        <v>485</v>
      </c>
    </row>
    <row r="3862" customFormat="false" ht="12" hidden="false" customHeight="true" outlineLevel="0" collapsed="false">
      <c r="C3862" s="1" t="s">
        <v>1512</v>
      </c>
      <c r="D3862" s="1" t="n">
        <v>67500</v>
      </c>
      <c r="E3862" s="1" t="n">
        <v>80000</v>
      </c>
      <c r="F3862" s="1" t="n">
        <v>94250</v>
      </c>
      <c r="G3862" s="1" t="n">
        <v>111000</v>
      </c>
    </row>
    <row r="3863" customFormat="false" ht="12" hidden="false" customHeight="true" outlineLevel="0" collapsed="false">
      <c r="C3863" s="1" t="s">
        <v>1513</v>
      </c>
      <c r="D3863" s="1" t="n">
        <v>117000</v>
      </c>
      <c r="E3863" s="1" t="n">
        <v>134000</v>
      </c>
      <c r="F3863" s="1" t="n">
        <v>154000</v>
      </c>
      <c r="G3863" s="1" t="n">
        <v>176000</v>
      </c>
    </row>
    <row r="3864" customFormat="false" ht="12" hidden="false" customHeight="true" outlineLevel="0" collapsed="false">
      <c r="C3864" s="1" t="s">
        <v>1514</v>
      </c>
      <c r="D3864" s="1" t="n">
        <v>179000</v>
      </c>
      <c r="E3864" s="1" t="n">
        <v>227000</v>
      </c>
      <c r="F3864" s="1" t="n">
        <v>285000</v>
      </c>
      <c r="G3864" s="1" t="n">
        <v>362000</v>
      </c>
    </row>
    <row r="3865" customFormat="false" ht="12" hidden="false" customHeight="true" outlineLevel="0" collapsed="false">
      <c r="C3865" s="1" t="s">
        <v>1515</v>
      </c>
      <c r="D3865" s="1" t="n">
        <v>9350</v>
      </c>
      <c r="E3865" s="1" t="n">
        <v>10800</v>
      </c>
      <c r="F3865" s="1" t="n">
        <v>12500</v>
      </c>
      <c r="G3865" s="1" t="n">
        <v>14300</v>
      </c>
    </row>
    <row r="3866" customFormat="false" ht="12" hidden="false" customHeight="true" outlineLevel="0" collapsed="false">
      <c r="C3866" s="1" t="s">
        <v>1516</v>
      </c>
      <c r="D3866" s="1" t="n">
        <v>49800</v>
      </c>
      <c r="E3866" s="1" t="n">
        <v>66000</v>
      </c>
      <c r="F3866" s="1" t="n">
        <v>87500</v>
      </c>
      <c r="G3866" s="1" t="n">
        <v>115000</v>
      </c>
    </row>
    <row r="3867" customFormat="false" ht="12" hidden="false" customHeight="true" outlineLevel="0" collapsed="false">
      <c r="C3867" s="1" t="s">
        <v>1517</v>
      </c>
      <c r="D3867" s="1" t="n">
        <v>97500</v>
      </c>
      <c r="E3867" s="1" t="n">
        <v>123000</v>
      </c>
      <c r="F3867" s="1" t="n">
        <v>157000</v>
      </c>
      <c r="G3867" s="1" t="n">
        <v>199000</v>
      </c>
    </row>
    <row r="3868" customFormat="false" ht="12" hidden="false" customHeight="true" outlineLevel="0" collapsed="false">
      <c r="C3868" s="1" t="s">
        <v>1518</v>
      </c>
      <c r="D3868" s="1" t="n">
        <v>12600</v>
      </c>
      <c r="E3868" s="1" t="n">
        <v>13700</v>
      </c>
      <c r="F3868" s="1" t="n">
        <v>15100</v>
      </c>
      <c r="G3868" s="1" t="n">
        <v>16400</v>
      </c>
    </row>
    <row r="3869" customFormat="false" ht="12" hidden="false" customHeight="true" outlineLevel="0" collapsed="false">
      <c r="C3869" s="1" t="s">
        <v>1519</v>
      </c>
      <c r="D3869" s="1" t="n">
        <v>22000</v>
      </c>
      <c r="E3869" s="1" t="n">
        <v>23900</v>
      </c>
      <c r="F3869" s="1" t="n">
        <v>26200</v>
      </c>
      <c r="G3869" s="1" t="n">
        <v>28400</v>
      </c>
    </row>
    <row r="3870" customFormat="false" ht="12" hidden="false" customHeight="true" outlineLevel="0" collapsed="false">
      <c r="C3870" s="1" t="s">
        <v>1520</v>
      </c>
      <c r="D3870" s="1" t="n">
        <v>262000</v>
      </c>
      <c r="E3870" s="1" t="n">
        <v>278000</v>
      </c>
      <c r="F3870" s="1" t="n">
        <v>296000</v>
      </c>
      <c r="G3870" s="1" t="n">
        <v>315000</v>
      </c>
    </row>
    <row r="3871" customFormat="false" ht="12" hidden="false" customHeight="true" outlineLevel="0" collapsed="false">
      <c r="C3871" s="1" t="s">
        <v>1521</v>
      </c>
      <c r="D3871" s="1" t="n">
        <v>18100</v>
      </c>
      <c r="E3871" s="1" t="n">
        <v>23300</v>
      </c>
      <c r="F3871" s="1" t="n">
        <v>30300</v>
      </c>
      <c r="G3871" s="1" t="n">
        <v>39000</v>
      </c>
    </row>
    <row r="3873" customFormat="false" ht="12" hidden="false" customHeight="true" outlineLevel="0" collapsed="false">
      <c r="B3873" s="83" t="s">
        <v>1529</v>
      </c>
      <c r="C3873" s="242" t="s">
        <v>1510</v>
      </c>
      <c r="D3873" s="242" t="s">
        <v>1511</v>
      </c>
      <c r="E3873" s="242" t="s">
        <v>279</v>
      </c>
      <c r="F3873" s="242" t="s">
        <v>483</v>
      </c>
      <c r="G3873" s="242" t="s">
        <v>485</v>
      </c>
    </row>
    <row r="3874" customFormat="false" ht="12" hidden="false" customHeight="true" outlineLevel="0" collapsed="false">
      <c r="C3874" s="1" t="s">
        <v>1512</v>
      </c>
      <c r="D3874" s="1" t="n">
        <v>64250</v>
      </c>
      <c r="E3874" s="1" t="n">
        <v>76000</v>
      </c>
      <c r="F3874" s="1" t="n">
        <v>89000</v>
      </c>
      <c r="G3874" s="1" t="n">
        <v>105000</v>
      </c>
    </row>
    <row r="3875" customFormat="false" ht="12" hidden="false" customHeight="true" outlineLevel="0" collapsed="false">
      <c r="C3875" s="1" t="s">
        <v>1527</v>
      </c>
      <c r="D3875" s="1" t="n">
        <v>110000</v>
      </c>
      <c r="E3875" s="1" t="n">
        <v>127000</v>
      </c>
      <c r="F3875" s="1" t="n">
        <v>145000</v>
      </c>
      <c r="G3875" s="1" t="n">
        <v>167000</v>
      </c>
    </row>
    <row r="3876" customFormat="false" ht="12" hidden="false" customHeight="true" outlineLevel="0" collapsed="false">
      <c r="C3876" s="1" t="s">
        <v>1515</v>
      </c>
      <c r="D3876" s="1" t="n">
        <v>8850</v>
      </c>
      <c r="E3876" s="1" t="n">
        <v>10200</v>
      </c>
      <c r="F3876" s="1" t="n">
        <v>11800</v>
      </c>
      <c r="G3876" s="1" t="n">
        <v>13500</v>
      </c>
    </row>
    <row r="3877" customFormat="false" ht="12" hidden="false" customHeight="true" outlineLevel="0" collapsed="false">
      <c r="C3877" s="1" t="s">
        <v>1516</v>
      </c>
      <c r="D3877" s="1" t="n">
        <v>46400</v>
      </c>
      <c r="E3877" s="1" t="n">
        <v>61250</v>
      </c>
      <c r="F3877" s="1" t="n">
        <v>81000</v>
      </c>
      <c r="G3877" s="1" t="n">
        <v>107000</v>
      </c>
    </row>
    <row r="3878" customFormat="false" ht="12" hidden="false" customHeight="true" outlineLevel="0" collapsed="false">
      <c r="C3878" s="1" t="s">
        <v>1517</v>
      </c>
      <c r="D3878" s="1" t="n">
        <v>91250</v>
      </c>
      <c r="E3878" s="1" t="n">
        <v>115000</v>
      </c>
      <c r="F3878" s="1" t="n">
        <v>145000</v>
      </c>
      <c r="G3878" s="1" t="n">
        <v>183000</v>
      </c>
    </row>
    <row r="3879" customFormat="false" ht="12" hidden="false" customHeight="true" outlineLevel="0" collapsed="false">
      <c r="C3879" s="1" t="s">
        <v>1518</v>
      </c>
      <c r="D3879" s="1" t="n">
        <v>11800</v>
      </c>
      <c r="E3879" s="1" t="n">
        <v>12800</v>
      </c>
      <c r="F3879" s="1" t="n">
        <v>13900</v>
      </c>
      <c r="G3879" s="1" t="n">
        <v>15200</v>
      </c>
    </row>
    <row r="3880" customFormat="false" ht="12" hidden="false" customHeight="true" outlineLevel="0" collapsed="false">
      <c r="C3880" s="1" t="s">
        <v>1519</v>
      </c>
      <c r="D3880" s="1" t="n">
        <v>20400</v>
      </c>
      <c r="E3880" s="1" t="n">
        <v>22200</v>
      </c>
      <c r="F3880" s="1" t="n">
        <v>24300</v>
      </c>
      <c r="G3880" s="1" t="n">
        <v>26300</v>
      </c>
    </row>
    <row r="3881" customFormat="false" ht="12" hidden="false" customHeight="true" outlineLevel="0" collapsed="false">
      <c r="C3881" s="1" t="s">
        <v>1530</v>
      </c>
      <c r="D3881" s="1" t="n">
        <v>155000</v>
      </c>
      <c r="E3881" s="1" t="n">
        <v>193000</v>
      </c>
      <c r="F3881" s="1" t="n">
        <v>243000</v>
      </c>
      <c r="G3881" s="1" t="n">
        <v>301000</v>
      </c>
    </row>
    <row r="3882" customFormat="false" ht="12" hidden="false" customHeight="true" outlineLevel="0" collapsed="false">
      <c r="C3882" s="1" t="s">
        <v>1520</v>
      </c>
      <c r="D3882" s="1" t="n">
        <v>256000</v>
      </c>
      <c r="E3882" s="1" t="n">
        <v>274000</v>
      </c>
      <c r="F3882" s="1" t="n">
        <v>293000</v>
      </c>
      <c r="G3882" s="1" t="n">
        <v>314000</v>
      </c>
    </row>
    <row r="3883" customFormat="false" ht="12" hidden="false" customHeight="true" outlineLevel="0" collapsed="false">
      <c r="C3883" s="1" t="s">
        <v>1521</v>
      </c>
      <c r="D3883" s="1" t="n">
        <v>17100</v>
      </c>
      <c r="E3883" s="1" t="n">
        <v>21600</v>
      </c>
      <c r="F3883" s="1" t="n">
        <v>27200</v>
      </c>
      <c r="G3883" s="1" t="n">
        <v>34400</v>
      </c>
    </row>
    <row r="3885" customFormat="false" ht="12" hidden="false" customHeight="true" outlineLevel="0" collapsed="false">
      <c r="B3885" s="83" t="s">
        <v>1531</v>
      </c>
      <c r="C3885" s="242" t="s">
        <v>1510</v>
      </c>
      <c r="D3885" s="242" t="s">
        <v>1511</v>
      </c>
      <c r="E3885" s="242" t="s">
        <v>279</v>
      </c>
      <c r="F3885" s="242" t="s">
        <v>483</v>
      </c>
      <c r="G3885" s="242" t="s">
        <v>485</v>
      </c>
    </row>
    <row r="3886" customFormat="false" ht="12" hidden="false" customHeight="true" outlineLevel="0" collapsed="false">
      <c r="C3886" s="1" t="s">
        <v>1512</v>
      </c>
      <c r="D3886" s="1" t="n">
        <v>68750</v>
      </c>
      <c r="E3886" s="1" t="n">
        <v>81500</v>
      </c>
      <c r="F3886" s="1" t="n">
        <v>95500</v>
      </c>
      <c r="G3886" s="1" t="n">
        <v>113000</v>
      </c>
    </row>
    <row r="3887" customFormat="false" ht="12" hidden="false" customHeight="true" outlineLevel="0" collapsed="false">
      <c r="C3887" s="1" t="s">
        <v>1513</v>
      </c>
      <c r="D3887" s="1" t="n">
        <v>119000</v>
      </c>
      <c r="E3887" s="1" t="n">
        <v>137000</v>
      </c>
      <c r="F3887" s="1" t="n">
        <v>158000</v>
      </c>
      <c r="G3887" s="1" t="n">
        <v>181000</v>
      </c>
    </row>
    <row r="3888" customFormat="false" ht="12" hidden="false" customHeight="true" outlineLevel="0" collapsed="false">
      <c r="C3888" s="1" t="s">
        <v>1514</v>
      </c>
      <c r="D3888" s="1" t="n">
        <v>183000</v>
      </c>
      <c r="E3888" s="1" t="n">
        <v>228000</v>
      </c>
      <c r="F3888" s="1" t="n">
        <v>286000</v>
      </c>
      <c r="G3888" s="1" t="n">
        <v>361000</v>
      </c>
    </row>
    <row r="3889" customFormat="false" ht="12" hidden="false" customHeight="true" outlineLevel="0" collapsed="false">
      <c r="C3889" s="1" t="s">
        <v>1515</v>
      </c>
      <c r="D3889" s="1" t="n">
        <v>9650</v>
      </c>
      <c r="E3889" s="1" t="n">
        <v>11000</v>
      </c>
      <c r="F3889" s="1" t="n">
        <v>12500</v>
      </c>
      <c r="G3889" s="1" t="n">
        <v>14300</v>
      </c>
    </row>
    <row r="3890" customFormat="false" ht="12" hidden="false" customHeight="true" outlineLevel="0" collapsed="false">
      <c r="C3890" s="1" t="s">
        <v>1516</v>
      </c>
      <c r="D3890" s="1" t="n">
        <v>49700</v>
      </c>
      <c r="E3890" s="1" t="n">
        <v>65500</v>
      </c>
      <c r="F3890" s="1" t="n">
        <v>86500</v>
      </c>
      <c r="G3890" s="1" t="n">
        <v>114000</v>
      </c>
    </row>
    <row r="3891" customFormat="false" ht="12" hidden="false" customHeight="true" outlineLevel="0" collapsed="false">
      <c r="C3891" s="1" t="s">
        <v>1517</v>
      </c>
      <c r="D3891" s="1" t="n">
        <v>97000</v>
      </c>
      <c r="E3891" s="1" t="n">
        <v>123000</v>
      </c>
      <c r="F3891" s="1" t="n">
        <v>157000</v>
      </c>
      <c r="G3891" s="1" t="n">
        <v>198000</v>
      </c>
    </row>
    <row r="3892" customFormat="false" ht="12" hidden="false" customHeight="true" outlineLevel="0" collapsed="false">
      <c r="C3892" s="1" t="s">
        <v>1518</v>
      </c>
      <c r="D3892" s="1" t="n">
        <v>12400</v>
      </c>
      <c r="E3892" s="1" t="n">
        <v>13600</v>
      </c>
      <c r="F3892" s="1" t="n">
        <v>14900</v>
      </c>
      <c r="G3892" s="1" t="n">
        <v>16300</v>
      </c>
    </row>
    <row r="3893" customFormat="false" ht="12" hidden="false" customHeight="true" outlineLevel="0" collapsed="false">
      <c r="C3893" s="1" t="s">
        <v>1519</v>
      </c>
      <c r="D3893" s="1" t="n">
        <v>21900</v>
      </c>
      <c r="E3893" s="1" t="n">
        <v>24200</v>
      </c>
      <c r="F3893" s="1" t="n">
        <v>27000</v>
      </c>
      <c r="G3893" s="1" t="n">
        <v>29900</v>
      </c>
    </row>
    <row r="3894" customFormat="false" ht="12" hidden="false" customHeight="true" outlineLevel="0" collapsed="false">
      <c r="C3894" s="1" t="s">
        <v>1520</v>
      </c>
      <c r="D3894" s="1" t="n">
        <v>256000</v>
      </c>
      <c r="E3894" s="1" t="n">
        <v>271000</v>
      </c>
      <c r="F3894" s="1" t="n">
        <v>286000</v>
      </c>
      <c r="G3894" s="1" t="n">
        <v>305000</v>
      </c>
    </row>
    <row r="3895" customFormat="false" ht="12" hidden="false" customHeight="true" outlineLevel="0" collapsed="false">
      <c r="C3895" s="1" t="s">
        <v>1530</v>
      </c>
      <c r="D3895" s="1" t="n">
        <v>169000</v>
      </c>
      <c r="E3895" s="1" t="n">
        <v>210000</v>
      </c>
      <c r="F3895" s="1" t="n">
        <v>260000</v>
      </c>
      <c r="G3895" s="1" t="n">
        <v>326000</v>
      </c>
    </row>
    <row r="3896" customFormat="false" ht="12" hidden="false" customHeight="true" outlineLevel="0" collapsed="false">
      <c r="C3896" s="1" t="s">
        <v>1521</v>
      </c>
      <c r="D3896" s="1" t="n">
        <v>18600</v>
      </c>
      <c r="E3896" s="1" t="n">
        <v>23200</v>
      </c>
      <c r="F3896" s="1" t="n">
        <v>28800</v>
      </c>
      <c r="G3896" s="1" t="n">
        <v>36100</v>
      </c>
    </row>
    <row r="3898" customFormat="false" ht="12" hidden="false" customHeight="true" outlineLevel="0" collapsed="false">
      <c r="B3898" s="241" t="s">
        <v>1532</v>
      </c>
    </row>
    <row r="3899" customFormat="false" ht="12" hidden="false" customHeight="true" outlineLevel="0" collapsed="false">
      <c r="B3899" s="1" t="s">
        <v>1533</v>
      </c>
      <c r="C3899" s="1" t="s">
        <v>451</v>
      </c>
      <c r="D3899" s="1" t="s">
        <v>1534</v>
      </c>
      <c r="E3899" s="1" t="s">
        <v>1535</v>
      </c>
      <c r="F3899" s="1" t="s">
        <v>1536</v>
      </c>
      <c r="G3899" s="1" t="s">
        <v>1537</v>
      </c>
      <c r="H3899" s="1" t="s">
        <v>1538</v>
      </c>
      <c r="I3899" s="1" t="s">
        <v>1539</v>
      </c>
      <c r="J3899" s="1" t="s">
        <v>1540</v>
      </c>
      <c r="K3899" s="1" t="s">
        <v>1541</v>
      </c>
    </row>
    <row r="3900" customFormat="false" ht="12" hidden="false" customHeight="true" outlineLevel="0" collapsed="false">
      <c r="B3900" s="1" t="s">
        <v>1542</v>
      </c>
      <c r="C3900" s="1" t="s">
        <v>456</v>
      </c>
      <c r="D3900" s="1" t="n">
        <v>1.04</v>
      </c>
      <c r="E3900" s="1" t="n">
        <v>1.04</v>
      </c>
      <c r="F3900" s="1" t="n">
        <v>1.04</v>
      </c>
      <c r="G3900" s="1" t="n">
        <v>1.02</v>
      </c>
      <c r="H3900" s="1" t="n">
        <v>1.04</v>
      </c>
      <c r="I3900" s="1" t="n">
        <v>1.06</v>
      </c>
      <c r="J3900" s="1" t="n">
        <v>1.08</v>
      </c>
      <c r="K3900" s="1" t="n">
        <v>1.1</v>
      </c>
    </row>
    <row r="3901" customFormat="false" ht="12" hidden="false" customHeight="true" outlineLevel="0" collapsed="false">
      <c r="B3901" s="1" t="s">
        <v>1542</v>
      </c>
      <c r="C3901" s="1" t="s">
        <v>461</v>
      </c>
      <c r="D3901" s="1" t="n">
        <v>1.04</v>
      </c>
      <c r="E3901" s="1" t="n">
        <v>1.05</v>
      </c>
      <c r="F3901" s="1" t="n">
        <v>1.02</v>
      </c>
      <c r="G3901" s="1" t="n">
        <v>1.04</v>
      </c>
      <c r="H3901" s="1" t="n">
        <v>1.01</v>
      </c>
      <c r="I3901" s="1" t="n">
        <v>1.02</v>
      </c>
      <c r="J3901" s="1" t="n">
        <v>1.05</v>
      </c>
      <c r="K3901" s="1" t="n">
        <v>1.07</v>
      </c>
    </row>
    <row r="3902" customFormat="false" ht="12" hidden="false" customHeight="true" outlineLevel="0" collapsed="false">
      <c r="B3902" s="1" t="s">
        <v>1542</v>
      </c>
      <c r="C3902" s="1" t="s">
        <v>463</v>
      </c>
      <c r="D3902" s="1" t="n">
        <v>1.02</v>
      </c>
      <c r="E3902" s="1" t="n">
        <v>1.01</v>
      </c>
      <c r="F3902" s="1" t="n">
        <v>1.03</v>
      </c>
      <c r="G3902" s="1" t="n">
        <v>1.03</v>
      </c>
      <c r="H3902" s="1" t="n">
        <v>1.04</v>
      </c>
      <c r="I3902" s="1" t="n">
        <v>1.05</v>
      </c>
      <c r="J3902" s="1" t="n">
        <v>1.06</v>
      </c>
      <c r="K3902" s="1" t="n">
        <v>1.01</v>
      </c>
    </row>
    <row r="3903" customFormat="false" ht="12" hidden="false" customHeight="true" outlineLevel="0" collapsed="false">
      <c r="B3903" s="1" t="s">
        <v>1542</v>
      </c>
      <c r="C3903" s="1" t="s">
        <v>468</v>
      </c>
      <c r="D3903" s="1" t="n">
        <v>1.01</v>
      </c>
      <c r="E3903" s="1" t="n">
        <v>1.02</v>
      </c>
      <c r="F3903" s="1" t="n">
        <v>1.02</v>
      </c>
      <c r="G3903" s="1" t="n">
        <v>1.01</v>
      </c>
      <c r="H3903" s="1" t="n">
        <v>1.01</v>
      </c>
      <c r="I3903" s="1" t="n">
        <v>1.02</v>
      </c>
      <c r="J3903" s="1" t="n">
        <v>1</v>
      </c>
      <c r="K3903" s="1" t="n">
        <v>0.99</v>
      </c>
    </row>
    <row r="3904" customFormat="false" ht="12" hidden="false" customHeight="true" outlineLevel="0" collapsed="false">
      <c r="B3904" s="1" t="s">
        <v>1542</v>
      </c>
      <c r="C3904" s="1" t="s">
        <v>473</v>
      </c>
      <c r="D3904" s="1" t="n">
        <v>1.07</v>
      </c>
      <c r="E3904" s="1" t="n">
        <v>1.06</v>
      </c>
      <c r="F3904" s="1" t="n">
        <v>1.04</v>
      </c>
      <c r="G3904" s="1" t="n">
        <v>1.03</v>
      </c>
      <c r="H3904" s="1" t="n">
        <v>1.05</v>
      </c>
      <c r="I3904" s="1" t="n">
        <v>1.02</v>
      </c>
      <c r="J3904" s="1" t="n">
        <v>1.01</v>
      </c>
      <c r="K3904" s="1" t="n">
        <v>1.05</v>
      </c>
    </row>
    <row r="3905" customFormat="false" ht="12" hidden="false" customHeight="true" outlineLevel="0" collapsed="false">
      <c r="B3905" s="1" t="s">
        <v>1543</v>
      </c>
      <c r="C3905" s="1" t="s">
        <v>456</v>
      </c>
      <c r="D3905" s="1" t="n">
        <v>0.99</v>
      </c>
      <c r="E3905" s="1" t="n">
        <v>0.98</v>
      </c>
      <c r="F3905" s="1" t="n">
        <v>0.98</v>
      </c>
      <c r="G3905" s="1" t="n">
        <v>1</v>
      </c>
      <c r="H3905" s="1" t="n">
        <v>1</v>
      </c>
      <c r="I3905" s="1" t="n">
        <v>1.02</v>
      </c>
      <c r="J3905" s="1" t="n">
        <v>1.02</v>
      </c>
      <c r="K3905" s="1" t="n">
        <v>1.02</v>
      </c>
    </row>
    <row r="3906" customFormat="false" ht="12" hidden="false" customHeight="true" outlineLevel="0" collapsed="false">
      <c r="B3906" s="1" t="s">
        <v>1543</v>
      </c>
      <c r="C3906" s="1" t="s">
        <v>461</v>
      </c>
      <c r="D3906" s="1" t="n">
        <v>0.98</v>
      </c>
      <c r="E3906" s="1" t="n">
        <v>0.99</v>
      </c>
      <c r="F3906" s="1" t="n">
        <v>0.98</v>
      </c>
      <c r="G3906" s="1" t="n">
        <v>0.99</v>
      </c>
      <c r="H3906" s="1" t="n">
        <v>1.01</v>
      </c>
      <c r="I3906" s="1" t="n">
        <v>0.99</v>
      </c>
      <c r="J3906" s="1" t="n">
        <v>0.98</v>
      </c>
      <c r="K3906" s="1" t="n">
        <v>0.99</v>
      </c>
    </row>
    <row r="3907" customFormat="false" ht="12" hidden="false" customHeight="true" outlineLevel="0" collapsed="false">
      <c r="B3907" s="1" t="s">
        <v>1543</v>
      </c>
      <c r="C3907" s="1" t="s">
        <v>463</v>
      </c>
      <c r="D3907" s="1" t="n">
        <v>0.99</v>
      </c>
      <c r="E3907" s="1" t="n">
        <v>0.99</v>
      </c>
      <c r="F3907" s="1" t="n">
        <v>1</v>
      </c>
      <c r="G3907" s="1" t="n">
        <v>0.99</v>
      </c>
      <c r="H3907" s="1" t="n">
        <v>1</v>
      </c>
      <c r="I3907" s="1" t="n">
        <v>0.98</v>
      </c>
      <c r="J3907" s="1" t="n">
        <v>0.99</v>
      </c>
      <c r="K3907" s="1" t="n">
        <v>0.98</v>
      </c>
    </row>
    <row r="3908" customFormat="false" ht="12" hidden="false" customHeight="true" outlineLevel="0" collapsed="false">
      <c r="B3908" s="1" t="s">
        <v>1543</v>
      </c>
      <c r="C3908" s="1" t="s">
        <v>468</v>
      </c>
      <c r="D3908" s="1" t="n">
        <v>0.97</v>
      </c>
      <c r="E3908" s="1" t="n">
        <v>0.99</v>
      </c>
      <c r="F3908" s="1" t="n">
        <v>0.99</v>
      </c>
      <c r="G3908" s="1" t="n">
        <v>0.99</v>
      </c>
      <c r="H3908" s="1" t="n">
        <v>1.02</v>
      </c>
      <c r="I3908" s="1" t="n">
        <v>1.02</v>
      </c>
      <c r="J3908" s="1" t="n">
        <v>0.97</v>
      </c>
      <c r="K3908" s="1" t="n">
        <v>0.97</v>
      </c>
    </row>
    <row r="3909" customFormat="false" ht="12" hidden="false" customHeight="true" outlineLevel="0" collapsed="false">
      <c r="B3909" s="1" t="s">
        <v>1543</v>
      </c>
      <c r="C3909" s="1" t="s">
        <v>473</v>
      </c>
      <c r="D3909" s="1" t="n">
        <v>0.95</v>
      </c>
      <c r="E3909" s="1" t="n">
        <v>0.98</v>
      </c>
      <c r="F3909" s="1" t="n">
        <v>0.95</v>
      </c>
      <c r="G3909" s="1" t="n">
        <v>0.99</v>
      </c>
      <c r="H3909" s="1" t="n">
        <v>0.99</v>
      </c>
      <c r="I3909" s="1" t="n">
        <v>0.97</v>
      </c>
      <c r="J3909" s="1" t="n">
        <v>1</v>
      </c>
      <c r="K3909" s="1" t="n">
        <v>0.97</v>
      </c>
    </row>
    <row r="3910" customFormat="false" ht="12" hidden="false" customHeight="true" outlineLevel="0" collapsed="false">
      <c r="B3910" s="1" t="s">
        <v>1544</v>
      </c>
      <c r="C3910" s="1" t="s">
        <v>456</v>
      </c>
      <c r="D3910" s="1" t="n">
        <v>0.99</v>
      </c>
      <c r="E3910" s="1" t="n">
        <v>1.03</v>
      </c>
      <c r="F3910" s="1" t="n">
        <v>1.05</v>
      </c>
      <c r="G3910" s="1" t="n">
        <v>1.07</v>
      </c>
      <c r="H3910" s="1" t="n">
        <v>1.06</v>
      </c>
      <c r="I3910" s="1" t="n">
        <v>1.05</v>
      </c>
      <c r="J3910" s="1" t="n">
        <v>1.05</v>
      </c>
      <c r="K3910" s="1" t="n">
        <v>1.01</v>
      </c>
    </row>
    <row r="3911" customFormat="false" ht="12" hidden="false" customHeight="true" outlineLevel="0" collapsed="false">
      <c r="B3911" s="1" t="s">
        <v>1544</v>
      </c>
      <c r="C3911" s="1" t="s">
        <v>461</v>
      </c>
      <c r="D3911" s="1" t="n">
        <v>0.99</v>
      </c>
      <c r="E3911" s="1" t="n">
        <v>1</v>
      </c>
      <c r="F3911" s="1" t="n">
        <v>1.06</v>
      </c>
      <c r="G3911" s="1" t="n">
        <v>1.04</v>
      </c>
      <c r="H3911" s="1" t="n">
        <v>1.05</v>
      </c>
      <c r="I3911" s="1" t="n">
        <v>1.06</v>
      </c>
      <c r="J3911" s="1" t="n">
        <v>1.05</v>
      </c>
      <c r="K3911" s="1" t="n">
        <v>1.02</v>
      </c>
    </row>
    <row r="3912" customFormat="false" ht="12" hidden="false" customHeight="true" outlineLevel="0" collapsed="false">
      <c r="B3912" s="1" t="s">
        <v>1544</v>
      </c>
      <c r="C3912" s="1" t="s">
        <v>463</v>
      </c>
      <c r="D3912" s="1" t="n">
        <v>1</v>
      </c>
      <c r="E3912" s="1" t="n">
        <v>1.03</v>
      </c>
      <c r="F3912" s="1" t="n">
        <v>1.02</v>
      </c>
      <c r="G3912" s="1" t="n">
        <v>1.06</v>
      </c>
      <c r="H3912" s="1" t="n">
        <v>1.04</v>
      </c>
      <c r="I3912" s="1" t="n">
        <v>1.05</v>
      </c>
      <c r="J3912" s="1" t="n">
        <v>1.03</v>
      </c>
      <c r="K3912" s="1" t="n">
        <v>1.04</v>
      </c>
    </row>
    <row r="3913" customFormat="false" ht="12" hidden="false" customHeight="true" outlineLevel="0" collapsed="false">
      <c r="B3913" s="1" t="s">
        <v>1544</v>
      </c>
      <c r="C3913" s="1" t="s">
        <v>468</v>
      </c>
      <c r="D3913" s="1" t="n">
        <v>1.03</v>
      </c>
      <c r="E3913" s="1" t="n">
        <v>1.02</v>
      </c>
      <c r="F3913" s="1" t="n">
        <v>1.03</v>
      </c>
      <c r="G3913" s="1" t="n">
        <v>1.05</v>
      </c>
      <c r="H3913" s="1" t="n">
        <v>1.02</v>
      </c>
      <c r="I3913" s="1" t="n">
        <v>1.01</v>
      </c>
      <c r="J3913" s="1" t="n">
        <v>1.05</v>
      </c>
      <c r="K3913" s="1" t="n">
        <v>1.01</v>
      </c>
    </row>
    <row r="3914" customFormat="false" ht="12" hidden="false" customHeight="true" outlineLevel="0" collapsed="false">
      <c r="B3914" s="1" t="s">
        <v>1544</v>
      </c>
      <c r="C3914" s="1" t="s">
        <v>473</v>
      </c>
      <c r="D3914" s="1" t="n">
        <v>1</v>
      </c>
      <c r="E3914" s="1" t="n">
        <v>1</v>
      </c>
      <c r="F3914" s="1" t="n">
        <v>1.05</v>
      </c>
      <c r="G3914" s="1" t="n">
        <v>1.04</v>
      </c>
      <c r="H3914" s="1" t="n">
        <v>1.02</v>
      </c>
      <c r="I3914" s="1" t="n">
        <v>1.07</v>
      </c>
      <c r="J3914" s="1" t="n">
        <v>1.04</v>
      </c>
      <c r="K3914" s="1" t="n">
        <v>0.98</v>
      </c>
    </row>
    <row r="3916" customFormat="false" ht="12" hidden="false" customHeight="true" outlineLevel="0" collapsed="false">
      <c r="B3916" s="241" t="s">
        <v>1545</v>
      </c>
    </row>
    <row r="3917" customFormat="false" ht="12" hidden="false" customHeight="true" outlineLevel="0" collapsed="false">
      <c r="B3917" s="1" t="s">
        <v>1546</v>
      </c>
      <c r="C3917" s="1" t="s">
        <v>1547</v>
      </c>
      <c r="D3917" s="1" t="s">
        <v>1548</v>
      </c>
      <c r="E3917" s="1" t="s">
        <v>1549</v>
      </c>
      <c r="F3917" s="1" t="s">
        <v>1550</v>
      </c>
      <c r="G3917" s="1" t="s">
        <v>1551</v>
      </c>
    </row>
    <row r="3918" customFormat="false" ht="12" hidden="false" customHeight="true" outlineLevel="0" collapsed="false">
      <c r="B3918" s="1" t="s">
        <v>1552</v>
      </c>
      <c r="C3918" s="1" t="n">
        <v>1</v>
      </c>
      <c r="D3918" s="1" t="n">
        <v>1.02</v>
      </c>
      <c r="E3918" s="1" t="n">
        <v>1.02</v>
      </c>
      <c r="F3918" s="1" t="n">
        <v>1.01</v>
      </c>
      <c r="G3918" s="1" t="n">
        <v>1.02</v>
      </c>
    </row>
    <row r="3919" customFormat="false" ht="12" hidden="false" customHeight="true" outlineLevel="0" collapsed="false">
      <c r="B3919" s="1" t="s">
        <v>1553</v>
      </c>
      <c r="C3919" s="1" t="n">
        <v>1.08</v>
      </c>
      <c r="D3919" s="1" t="n">
        <v>1.13</v>
      </c>
      <c r="E3919" s="1" t="n">
        <v>1.11</v>
      </c>
      <c r="F3919" s="1" t="n">
        <v>1.11</v>
      </c>
      <c r="G3919" s="1" t="n">
        <v>1.1</v>
      </c>
    </row>
    <row r="3920" customFormat="false" ht="12" hidden="false" customHeight="true" outlineLevel="0" collapsed="false">
      <c r="B3920" s="1" t="s">
        <v>1554</v>
      </c>
      <c r="C3920" s="1" t="n">
        <v>0.98</v>
      </c>
      <c r="D3920" s="1" t="n">
        <v>0.98</v>
      </c>
      <c r="E3920" s="1" t="n">
        <v>0.98</v>
      </c>
      <c r="F3920" s="1" t="n">
        <v>0.97</v>
      </c>
      <c r="G3920" s="1" t="n">
        <v>0.99</v>
      </c>
    </row>
    <row r="3921" customFormat="false" ht="12" hidden="false" customHeight="true" outlineLevel="0" collapsed="false">
      <c r="B3921" s="1" t="s">
        <v>1555</v>
      </c>
      <c r="C3921" s="1" t="n">
        <v>0.98</v>
      </c>
      <c r="D3921" s="1" t="n">
        <v>0.99</v>
      </c>
      <c r="E3921" s="1" t="n">
        <v>0.96</v>
      </c>
      <c r="F3921" s="1" t="n">
        <v>0.98</v>
      </c>
      <c r="G3921" s="1" t="n">
        <v>1</v>
      </c>
    </row>
    <row r="3922" customFormat="false" ht="12" hidden="false" customHeight="true" outlineLevel="0" collapsed="false">
      <c r="B3922" s="1" t="s">
        <v>1556</v>
      </c>
      <c r="C3922" s="1" t="n">
        <v>0.86</v>
      </c>
      <c r="D3922" s="1" t="n">
        <v>0.88</v>
      </c>
      <c r="E3922" s="1" t="n">
        <v>0.88</v>
      </c>
      <c r="F3922" s="1" t="n">
        <v>0.87</v>
      </c>
      <c r="G3922" s="1" t="n">
        <v>0.89</v>
      </c>
    </row>
    <row r="3923" customFormat="false" ht="12" hidden="false" customHeight="true" outlineLevel="0" collapsed="false">
      <c r="B3923" s="1" t="s">
        <v>1557</v>
      </c>
      <c r="C3923" s="1" t="n">
        <v>1.01</v>
      </c>
      <c r="D3923" s="1" t="n">
        <v>1</v>
      </c>
      <c r="E3923" s="1" t="n">
        <v>1</v>
      </c>
      <c r="F3923" s="1" t="n">
        <v>1</v>
      </c>
      <c r="G3923" s="1" t="n">
        <v>1.03</v>
      </c>
    </row>
    <row r="3924" customFormat="false" ht="12" hidden="false" customHeight="true" outlineLevel="0" collapsed="false">
      <c r="B3924" s="1" t="s">
        <v>1558</v>
      </c>
      <c r="C3924" s="1" t="n">
        <v>0.9</v>
      </c>
      <c r="D3924" s="1" t="n">
        <v>0.92</v>
      </c>
      <c r="E3924" s="1" t="n">
        <v>0.93</v>
      </c>
      <c r="F3924" s="1" t="n">
        <v>0.91</v>
      </c>
      <c r="G3924" s="1" t="n">
        <v>0.94</v>
      </c>
    </row>
    <row r="3925" customFormat="false" ht="12" hidden="false" customHeight="true" outlineLevel="0" collapsed="false">
      <c r="B3925" s="1" t="s">
        <v>1559</v>
      </c>
      <c r="C3925" s="1" t="n">
        <v>0.94</v>
      </c>
      <c r="D3925" s="1" t="n">
        <v>0.95</v>
      </c>
      <c r="E3925" s="1" t="n">
        <v>0.94</v>
      </c>
      <c r="F3925" s="1" t="n">
        <v>0.94</v>
      </c>
      <c r="G3925" s="1" t="n">
        <v>0.95</v>
      </c>
    </row>
    <row r="3926" customFormat="false" ht="12" hidden="false" customHeight="true" outlineLevel="0" collapsed="false">
      <c r="B3926" s="1" t="s">
        <v>1560</v>
      </c>
      <c r="C3926" s="1" t="n">
        <v>0.98</v>
      </c>
      <c r="D3926" s="1" t="n">
        <v>1</v>
      </c>
      <c r="E3926" s="1" t="n">
        <v>1.01</v>
      </c>
      <c r="F3926" s="1" t="n">
        <v>0.99</v>
      </c>
      <c r="G3926" s="1" t="n">
        <v>1.01</v>
      </c>
    </row>
    <row r="3927" customFormat="false" ht="12" hidden="false" customHeight="true" outlineLevel="0" collapsed="false">
      <c r="B3927" s="1" t="s">
        <v>1561</v>
      </c>
      <c r="C3927" s="1" t="n">
        <v>0.98</v>
      </c>
      <c r="D3927" s="1" t="n">
        <v>0.99</v>
      </c>
      <c r="E3927" s="1" t="n">
        <v>1</v>
      </c>
      <c r="F3927" s="1" t="n">
        <v>1</v>
      </c>
      <c r="G3927" s="1" t="n">
        <v>1.02</v>
      </c>
    </row>
    <row r="3928" customFormat="false" ht="12" hidden="false" customHeight="true" outlineLevel="0" collapsed="false">
      <c r="B3928" s="1" t="s">
        <v>1562</v>
      </c>
      <c r="C3928" s="1" t="n">
        <v>0.98</v>
      </c>
      <c r="D3928" s="1" t="n">
        <v>1</v>
      </c>
      <c r="E3928" s="1" t="n">
        <v>1.01</v>
      </c>
      <c r="F3928" s="1" t="n">
        <v>0.99</v>
      </c>
      <c r="G3928" s="1" t="n">
        <v>0.99</v>
      </c>
    </row>
    <row r="3929" customFormat="false" ht="12" hidden="false" customHeight="true" outlineLevel="0" collapsed="false">
      <c r="B3929" s="1" t="s">
        <v>1563</v>
      </c>
      <c r="C3929" s="1" t="n">
        <v>0.93</v>
      </c>
      <c r="D3929" s="1" t="n">
        <v>0.99</v>
      </c>
      <c r="E3929" s="1" t="n">
        <v>0.97</v>
      </c>
      <c r="F3929" s="1" t="n">
        <v>0.96</v>
      </c>
      <c r="G3929" s="1" t="n">
        <v>0.97</v>
      </c>
    </row>
    <row r="3930" customFormat="false" ht="12" hidden="false" customHeight="true" outlineLevel="0" collapsed="false">
      <c r="B3930" s="1" t="s">
        <v>1564</v>
      </c>
      <c r="C3930" s="1" t="n">
        <v>0.89</v>
      </c>
      <c r="D3930" s="1" t="n">
        <v>0.89</v>
      </c>
      <c r="E3930" s="1" t="n">
        <v>0.9</v>
      </c>
      <c r="F3930" s="1" t="n">
        <v>0.89</v>
      </c>
      <c r="G3930" s="1" t="n">
        <v>0.91</v>
      </c>
    </row>
    <row r="3931" customFormat="false" ht="12" hidden="false" customHeight="true" outlineLevel="0" collapsed="false">
      <c r="B3931" s="1" t="s">
        <v>1565</v>
      </c>
      <c r="C3931" s="1" t="n">
        <v>0.91</v>
      </c>
      <c r="D3931" s="1" t="n">
        <v>0.91</v>
      </c>
      <c r="E3931" s="1" t="n">
        <v>0.92</v>
      </c>
      <c r="F3931" s="1" t="n">
        <v>0.9</v>
      </c>
      <c r="G3931" s="1" t="n">
        <v>0.92</v>
      </c>
    </row>
    <row r="3932" customFormat="false" ht="12" hidden="false" customHeight="true" outlineLevel="0" collapsed="false">
      <c r="B3932" s="1" t="s">
        <v>1566</v>
      </c>
      <c r="C3932" s="1" t="n">
        <v>0.97</v>
      </c>
      <c r="D3932" s="1" t="n">
        <v>0.97</v>
      </c>
      <c r="E3932" s="1" t="n">
        <v>1</v>
      </c>
      <c r="F3932" s="1" t="n">
        <v>0.98</v>
      </c>
      <c r="G3932" s="1" t="n">
        <v>1</v>
      </c>
    </row>
    <row r="3933" customFormat="false" ht="12" hidden="false" customHeight="true" outlineLevel="0" collapsed="false">
      <c r="B3933" s="1" t="s">
        <v>1567</v>
      </c>
      <c r="C3933" s="1" t="n">
        <v>0.96</v>
      </c>
      <c r="D3933" s="1" t="n">
        <v>0.98</v>
      </c>
      <c r="E3933" s="1" t="n">
        <v>1.01</v>
      </c>
      <c r="F3933" s="1" t="n">
        <v>0.99</v>
      </c>
      <c r="G3933" s="1" t="n">
        <v>0.99</v>
      </c>
    </row>
    <row r="3934" customFormat="false" ht="12" hidden="false" customHeight="true" outlineLevel="0" collapsed="false">
      <c r="B3934" s="1" t="s">
        <v>1568</v>
      </c>
      <c r="C3934" s="1" t="n">
        <v>0.9</v>
      </c>
      <c r="D3934" s="1" t="n">
        <v>0.93</v>
      </c>
      <c r="E3934" s="1" t="n">
        <v>0.91</v>
      </c>
      <c r="F3934" s="1" t="n">
        <v>0.92</v>
      </c>
      <c r="G3934" s="1" t="n">
        <v>0.93</v>
      </c>
    </row>
    <row r="3935" customFormat="false" ht="12" hidden="false" customHeight="true" outlineLevel="0" collapsed="false">
      <c r="B3935" s="1" t="s">
        <v>1569</v>
      </c>
      <c r="C3935" s="1" t="n">
        <v>0.9</v>
      </c>
      <c r="D3935" s="1" t="n">
        <v>0.92</v>
      </c>
      <c r="E3935" s="1" t="n">
        <v>0.93</v>
      </c>
      <c r="F3935" s="1" t="n">
        <v>0.9</v>
      </c>
      <c r="G3935" s="1" t="n">
        <v>0.92</v>
      </c>
    </row>
    <row r="3936" customFormat="false" ht="12" hidden="false" customHeight="true" outlineLevel="0" collapsed="false">
      <c r="B3936" s="1" t="s">
        <v>1570</v>
      </c>
      <c r="C3936" s="1" t="n">
        <v>0.9</v>
      </c>
      <c r="D3936" s="1" t="n">
        <v>0.92</v>
      </c>
      <c r="E3936" s="1" t="n">
        <v>0.91</v>
      </c>
      <c r="F3936" s="1" t="n">
        <v>0.91</v>
      </c>
      <c r="G3936" s="1" t="n">
        <v>0.91</v>
      </c>
    </row>
    <row r="3937" customFormat="false" ht="12" hidden="false" customHeight="true" outlineLevel="0" collapsed="false">
      <c r="B3937" s="1" t="s">
        <v>1571</v>
      </c>
      <c r="C3937" s="1" t="n">
        <v>0.95</v>
      </c>
      <c r="D3937" s="1" t="n">
        <v>0.95</v>
      </c>
      <c r="E3937" s="1" t="n">
        <v>0.95</v>
      </c>
      <c r="F3937" s="1" t="n">
        <v>0.95</v>
      </c>
      <c r="G3937" s="1" t="n">
        <v>0.95</v>
      </c>
    </row>
    <row r="3938" customFormat="false" ht="12" hidden="false" customHeight="true" outlineLevel="0" collapsed="false">
      <c r="B3938" s="1" t="s">
        <v>1572</v>
      </c>
      <c r="C3938" s="1" t="n">
        <v>1.15</v>
      </c>
      <c r="D3938" s="1" t="n">
        <v>1.17</v>
      </c>
      <c r="E3938" s="1" t="n">
        <v>1.16</v>
      </c>
      <c r="F3938" s="1" t="n">
        <v>1.14</v>
      </c>
      <c r="G3938" s="1" t="n">
        <v>1.14</v>
      </c>
    </row>
    <row r="3939" customFormat="false" ht="12" hidden="false" customHeight="true" outlineLevel="0" collapsed="false">
      <c r="B3939" s="1" t="s">
        <v>1573</v>
      </c>
      <c r="C3939" s="1" t="n">
        <v>1.13</v>
      </c>
      <c r="D3939" s="1" t="n">
        <v>1.16</v>
      </c>
      <c r="E3939" s="1" t="n">
        <v>1.14</v>
      </c>
      <c r="F3939" s="1" t="n">
        <v>1.13</v>
      </c>
      <c r="G3939" s="1" t="n">
        <v>1.13</v>
      </c>
    </row>
    <row r="3941" customFormat="false" ht="12" hidden="false" customHeight="true" outlineLevel="0" collapsed="false">
      <c r="B3941" s="241" t="s">
        <v>1574</v>
      </c>
    </row>
    <row r="3942" customFormat="false" ht="12" hidden="false" customHeight="true" outlineLevel="0" collapsed="false">
      <c r="B3942" s="1" t="s">
        <v>1575</v>
      </c>
    </row>
    <row r="3943" customFormat="false" ht="12" hidden="false" customHeight="true" outlineLevel="0" collapsed="false">
      <c r="B3943" s="1" t="s">
        <v>1576</v>
      </c>
      <c r="C3943" s="1" t="s">
        <v>1547</v>
      </c>
      <c r="D3943" s="1" t="s">
        <v>1548</v>
      </c>
      <c r="E3943" s="1" t="s">
        <v>1549</v>
      </c>
      <c r="F3943" s="1" t="s">
        <v>1550</v>
      </c>
      <c r="G3943" s="1" t="s">
        <v>1551</v>
      </c>
    </row>
    <row r="3944" customFormat="false" ht="12" hidden="false" customHeight="true" outlineLevel="0" collapsed="false">
      <c r="B3944" s="1" t="s">
        <v>1577</v>
      </c>
      <c r="C3944" s="1" t="n">
        <v>1</v>
      </c>
      <c r="D3944" s="1" t="n">
        <v>1</v>
      </c>
      <c r="E3944" s="1" t="n">
        <v>1</v>
      </c>
      <c r="F3944" s="1" t="n">
        <v>1</v>
      </c>
      <c r="G3944" s="1" t="n">
        <v>1</v>
      </c>
    </row>
    <row r="3945" customFormat="false" ht="12" hidden="false" customHeight="true" outlineLevel="0" collapsed="false">
      <c r="B3945" s="1" t="s">
        <v>1578</v>
      </c>
      <c r="C3945" s="1" t="n">
        <v>1.016</v>
      </c>
      <c r="D3945" s="1" t="n">
        <v>1.008</v>
      </c>
      <c r="E3945" s="1" t="n">
        <v>0.999</v>
      </c>
      <c r="F3945" s="1" t="n">
        <v>1.006</v>
      </c>
      <c r="G3945" s="1" t="n">
        <v>1.01</v>
      </c>
    </row>
    <row r="3946" customFormat="false" ht="12" hidden="false" customHeight="true" outlineLevel="0" collapsed="false">
      <c r="B3946" s="1" t="s">
        <v>1579</v>
      </c>
      <c r="C3946" s="1" t="n">
        <v>1.017</v>
      </c>
      <c r="D3946" s="1" t="n">
        <v>1.014</v>
      </c>
      <c r="E3946" s="1" t="n">
        <v>1.004</v>
      </c>
      <c r="F3946" s="1" t="n">
        <v>1.008</v>
      </c>
      <c r="G3946" s="1" t="n">
        <v>1.014</v>
      </c>
    </row>
    <row r="3947" customFormat="false" ht="12" hidden="false" customHeight="true" outlineLevel="0" collapsed="false">
      <c r="B3947" s="1" t="s">
        <v>1580</v>
      </c>
      <c r="C3947" s="1" t="n">
        <v>1.034</v>
      </c>
      <c r="D3947" s="1" t="n">
        <v>1.027</v>
      </c>
      <c r="E3947" s="1" t="n">
        <v>1.012</v>
      </c>
      <c r="F3947" s="1" t="n">
        <v>1.016</v>
      </c>
      <c r="G3947" s="1" t="n">
        <v>1.024</v>
      </c>
    </row>
    <row r="3948" customFormat="false" ht="12" hidden="false" customHeight="true" outlineLevel="0" collapsed="false">
      <c r="B3948" s="1" t="s">
        <v>1581</v>
      </c>
      <c r="C3948" s="1" t="n">
        <v>1.037</v>
      </c>
      <c r="D3948" s="1" t="n">
        <v>1.027</v>
      </c>
      <c r="E3948" s="1" t="n">
        <v>1.02</v>
      </c>
      <c r="F3948" s="1" t="n">
        <v>1.015</v>
      </c>
      <c r="G3948" s="1" t="n">
        <v>1.026</v>
      </c>
    </row>
    <row r="3949" customFormat="false" ht="12" hidden="false" customHeight="true" outlineLevel="0" collapsed="false">
      <c r="B3949" s="1" t="s">
        <v>1582</v>
      </c>
      <c r="C3949" s="1" t="n">
        <v>1.046</v>
      </c>
      <c r="D3949" s="1" t="n">
        <v>1.025</v>
      </c>
      <c r="E3949" s="1" t="n">
        <v>1.021</v>
      </c>
      <c r="F3949" s="1" t="n">
        <v>1.015</v>
      </c>
      <c r="G3949" s="1" t="n">
        <v>1.029</v>
      </c>
    </row>
    <row r="3950" customFormat="false" ht="12" hidden="false" customHeight="true" outlineLevel="0" collapsed="false">
      <c r="B3950" s="1" t="s">
        <v>1583</v>
      </c>
      <c r="C3950" s="1" t="n">
        <v>1.064</v>
      </c>
      <c r="D3950" s="1" t="n">
        <v>1.029</v>
      </c>
      <c r="E3950" s="1" t="n">
        <v>1.022</v>
      </c>
      <c r="F3950" s="1" t="n">
        <v>1.014</v>
      </c>
      <c r="G3950" s="1" t="n">
        <v>1.034</v>
      </c>
    </row>
    <row r="3951" customFormat="false" ht="12" hidden="false" customHeight="true" outlineLevel="0" collapsed="false">
      <c r="B3951" s="1" t="s">
        <v>1584</v>
      </c>
      <c r="C3951" s="1" t="n">
        <v>1.078</v>
      </c>
      <c r="D3951" s="1" t="n">
        <v>1.034</v>
      </c>
      <c r="E3951" s="1" t="n">
        <v>1.017</v>
      </c>
      <c r="F3951" s="1" t="n">
        <v>1.007</v>
      </c>
      <c r="G3951" s="1" t="n">
        <v>1.03</v>
      </c>
    </row>
    <row r="3952" customFormat="false" ht="12" hidden="false" customHeight="true" outlineLevel="0" collapsed="false">
      <c r="B3952" s="1" t="s">
        <v>1585</v>
      </c>
      <c r="C3952" s="1" t="n">
        <v>1.076</v>
      </c>
      <c r="D3952" s="1" t="n">
        <v>1.033</v>
      </c>
      <c r="E3952" s="1" t="n">
        <v>1.011</v>
      </c>
      <c r="F3952" s="1" t="n">
        <v>0.998</v>
      </c>
      <c r="G3952" s="1" t="n">
        <v>1.023</v>
      </c>
    </row>
    <row r="3953" customFormat="false" ht="12" hidden="false" customHeight="true" outlineLevel="0" collapsed="false">
      <c r="B3953" s="1" t="s">
        <v>1586</v>
      </c>
      <c r="C3953" s="1" t="n">
        <v>1.077</v>
      </c>
      <c r="D3953" s="1" t="n">
        <v>1.032</v>
      </c>
      <c r="E3953" s="1" t="n">
        <v>1.005</v>
      </c>
      <c r="F3953" s="1" t="n">
        <v>0.987</v>
      </c>
      <c r="G3953" s="1" t="n">
        <v>1.005</v>
      </c>
    </row>
    <row r="3954" customFormat="false" ht="12" hidden="false" customHeight="true" outlineLevel="0" collapsed="false">
      <c r="B3954" s="1" t="s">
        <v>1587</v>
      </c>
      <c r="C3954" s="1" t="n">
        <v>1.091</v>
      </c>
      <c r="D3954" s="1" t="n">
        <v>1.046</v>
      </c>
      <c r="E3954" s="1" t="n">
        <v>1.011</v>
      </c>
      <c r="F3954" s="1" t="n">
        <v>0.985</v>
      </c>
      <c r="G3954" s="1" t="n">
        <v>1.006</v>
      </c>
    </row>
    <row r="3955" customFormat="false" ht="12" hidden="false" customHeight="true" outlineLevel="0" collapsed="false">
      <c r="B3955" s="1" t="s">
        <v>1588</v>
      </c>
      <c r="C3955" s="1" t="n">
        <v>1.156</v>
      </c>
      <c r="D3955" s="1" t="n">
        <v>1.134</v>
      </c>
      <c r="E3955" s="1" t="n">
        <v>1.103</v>
      </c>
      <c r="F3955" s="1" t="n">
        <v>1.089</v>
      </c>
      <c r="G3955" s="1" t="n">
        <v>1.108</v>
      </c>
    </row>
    <row r="3956" customFormat="false" ht="12" hidden="false" customHeight="true" outlineLevel="0" collapsed="false">
      <c r="B3956" s="1" t="s">
        <v>1589</v>
      </c>
      <c r="C3956" s="1" t="n">
        <v>1.229</v>
      </c>
      <c r="D3956" s="1" t="n">
        <v>1.179</v>
      </c>
      <c r="E3956" s="1" t="n">
        <v>1.148</v>
      </c>
      <c r="F3956" s="1" t="n">
        <v>1.123</v>
      </c>
      <c r="G3956" s="1" t="n">
        <v>1.158</v>
      </c>
    </row>
    <row r="3958" customFormat="false" ht="12" hidden="false" customHeight="true" outlineLevel="0" collapsed="false">
      <c r="B3958" s="241" t="s">
        <v>1590</v>
      </c>
    </row>
    <row r="3959" customFormat="false" ht="12" hidden="false" customHeight="true" outlineLevel="0" collapsed="false">
      <c r="B3959" s="242" t="s">
        <v>488</v>
      </c>
      <c r="C3959" s="242" t="s">
        <v>68</v>
      </c>
      <c r="D3959" s="242" t="s">
        <v>1547</v>
      </c>
      <c r="E3959" s="242" t="s">
        <v>1548</v>
      </c>
      <c r="F3959" s="242" t="s">
        <v>1549</v>
      </c>
      <c r="G3959" s="242" t="s">
        <v>1550</v>
      </c>
      <c r="H3959" s="242" t="s">
        <v>1551</v>
      </c>
      <c r="I3959" s="242" t="s">
        <v>1591</v>
      </c>
      <c r="J3959" s="242" t="s">
        <v>1592</v>
      </c>
    </row>
    <row r="3960" customFormat="false" ht="12" hidden="false" customHeight="true" outlineLevel="0" collapsed="false">
      <c r="B3960" s="1" t="s">
        <v>494</v>
      </c>
      <c r="C3960" s="1" t="s">
        <v>483</v>
      </c>
      <c r="D3960" s="1" t="n">
        <v>60</v>
      </c>
      <c r="E3960" s="1" t="n">
        <v>60</v>
      </c>
      <c r="F3960" s="1" t="n">
        <v>50</v>
      </c>
      <c r="G3960" s="1" t="n">
        <v>45</v>
      </c>
      <c r="H3960" s="1" t="n">
        <v>45</v>
      </c>
      <c r="I3960" s="1" t="str">
        <f aca="false">B3960&amp;"|"&amp;C3960</f>
        <v>Homes For the Elderly|Good</v>
      </c>
      <c r="J3960" s="1" t="s">
        <v>1593</v>
      </c>
    </row>
    <row r="3961" customFormat="false" ht="12" hidden="false" customHeight="true" outlineLevel="0" collapsed="false">
      <c r="B3961" s="1" t="s">
        <v>494</v>
      </c>
      <c r="C3961" s="1" t="s">
        <v>279</v>
      </c>
      <c r="D3961" s="1" t="n">
        <v>50</v>
      </c>
      <c r="E3961" s="1" t="n">
        <v>50</v>
      </c>
      <c r="F3961" s="1" t="n">
        <v>45</v>
      </c>
      <c r="G3961" s="1" t="n">
        <v>40</v>
      </c>
      <c r="H3961" s="1" t="n">
        <v>40</v>
      </c>
      <c r="I3961" s="1" t="str">
        <f aca="false">B3961&amp;"|"&amp;C3961</f>
        <v>Homes For the Elderly|Average</v>
      </c>
      <c r="J3961" s="1" t="s">
        <v>1594</v>
      </c>
    </row>
    <row r="3962" customFormat="false" ht="12" hidden="false" customHeight="true" outlineLevel="0" collapsed="false">
      <c r="B3962" s="1" t="s">
        <v>494</v>
      </c>
      <c r="C3962" s="1" t="s">
        <v>480</v>
      </c>
      <c r="D3962" s="1" t="n">
        <v>50</v>
      </c>
      <c r="E3962" s="1" t="n">
        <v>50</v>
      </c>
      <c r="F3962" s="1" t="n">
        <v>45</v>
      </c>
      <c r="G3962" s="1" t="n">
        <v>40</v>
      </c>
      <c r="H3962" s="1" t="n">
        <v>40</v>
      </c>
      <c r="I3962" s="1" t="str">
        <f aca="false">B3962&amp;"|"&amp;C3962</f>
        <v>Homes For the Elderly|Low Cost</v>
      </c>
      <c r="J3962" s="1" t="s">
        <v>1594</v>
      </c>
    </row>
    <row r="3963" customFormat="false" ht="12" hidden="false" customHeight="true" outlineLevel="0" collapsed="false">
      <c r="B3963" s="1" t="s">
        <v>499</v>
      </c>
      <c r="C3963" s="1" t="s">
        <v>485</v>
      </c>
      <c r="D3963" s="1" t="n">
        <v>60</v>
      </c>
      <c r="E3963" s="1" t="n">
        <v>60</v>
      </c>
      <c r="F3963" s="1" t="n">
        <v>55</v>
      </c>
      <c r="G3963" s="1" t="n">
        <v>50</v>
      </c>
      <c r="I3963" s="1" t="str">
        <f aca="false">B3963&amp;"|"&amp;C3963</f>
        <v>Dormitories|Excellent</v>
      </c>
      <c r="J3963" s="1" t="s">
        <v>1595</v>
      </c>
    </row>
    <row r="3964" customFormat="false" ht="12" hidden="false" customHeight="true" outlineLevel="0" collapsed="false">
      <c r="B3964" s="1" t="s">
        <v>499</v>
      </c>
      <c r="C3964" s="1" t="s">
        <v>503</v>
      </c>
      <c r="D3964" s="1" t="n">
        <v>60</v>
      </c>
      <c r="E3964" s="1" t="n">
        <v>60</v>
      </c>
      <c r="F3964" s="1" t="n">
        <v>55</v>
      </c>
      <c r="G3964" s="1" t="n">
        <v>50</v>
      </c>
      <c r="I3964" s="1" t="str">
        <f aca="false">B3964&amp;"|"&amp;C3964</f>
        <v>Dormitories|Very Good</v>
      </c>
      <c r="J3964" s="1" t="s">
        <v>1595</v>
      </c>
    </row>
    <row r="3965" customFormat="false" ht="12" hidden="false" customHeight="true" outlineLevel="0" collapsed="false">
      <c r="B3965" s="1" t="s">
        <v>499</v>
      </c>
      <c r="C3965" s="1" t="s">
        <v>483</v>
      </c>
      <c r="D3965" s="1" t="n">
        <v>60</v>
      </c>
      <c r="E3965" s="1" t="n">
        <v>60</v>
      </c>
      <c r="F3965" s="1" t="n">
        <v>55</v>
      </c>
      <c r="G3965" s="1" t="n">
        <v>50</v>
      </c>
      <c r="I3965" s="1" t="str">
        <f aca="false">B3965&amp;"|"&amp;C3965</f>
        <v>Dormitories|Good</v>
      </c>
      <c r="J3965" s="1" t="s">
        <v>1595</v>
      </c>
    </row>
    <row r="3966" customFormat="false" ht="12" hidden="false" customHeight="true" outlineLevel="0" collapsed="false">
      <c r="B3966" s="1" t="s">
        <v>499</v>
      </c>
      <c r="C3966" s="1" t="s">
        <v>279</v>
      </c>
      <c r="D3966" s="1" t="n">
        <v>50</v>
      </c>
      <c r="E3966" s="1" t="n">
        <v>50</v>
      </c>
      <c r="F3966" s="1" t="n">
        <v>45</v>
      </c>
      <c r="G3966" s="1" t="n">
        <v>40</v>
      </c>
      <c r="H3966" s="1" t="n">
        <v>40</v>
      </c>
      <c r="I3966" s="1" t="str">
        <f aca="false">B3966&amp;"|"&amp;C3966</f>
        <v>Dormitories|Average</v>
      </c>
      <c r="J3966" s="1" t="s">
        <v>1594</v>
      </c>
    </row>
    <row r="3967" customFormat="false" ht="12" hidden="false" customHeight="true" outlineLevel="0" collapsed="false">
      <c r="B3967" s="1" t="s">
        <v>499</v>
      </c>
      <c r="C3967" s="1" t="s">
        <v>480</v>
      </c>
      <c r="D3967" s="1" t="n">
        <v>50</v>
      </c>
      <c r="E3967" s="1" t="n">
        <v>50</v>
      </c>
      <c r="F3967" s="1" t="n">
        <v>45</v>
      </c>
      <c r="G3967" s="1" t="n">
        <v>40</v>
      </c>
      <c r="H3967" s="1" t="n">
        <v>40</v>
      </c>
      <c r="I3967" s="1" t="str">
        <f aca="false">B3967&amp;"|"&amp;C3967</f>
        <v>Dormitories|Low Cost</v>
      </c>
      <c r="J3967" s="1" t="s">
        <v>1594</v>
      </c>
    </row>
    <row r="3968" customFormat="false" ht="12" hidden="false" customHeight="true" outlineLevel="0" collapsed="false">
      <c r="B3968" s="1" t="s">
        <v>504</v>
      </c>
      <c r="C3968" s="1" t="s">
        <v>483</v>
      </c>
      <c r="D3968" s="1" t="n">
        <v>60</v>
      </c>
      <c r="E3968" s="1" t="n">
        <v>60</v>
      </c>
      <c r="F3968" s="1" t="n">
        <v>55</v>
      </c>
      <c r="G3968" s="1" t="n">
        <v>50</v>
      </c>
      <c r="H3968" s="1" t="n">
        <v>50</v>
      </c>
      <c r="I3968" s="1" t="str">
        <f aca="false">B3968&amp;"|"&amp;C3968</f>
        <v>Luxury Apartments (High-Rise)|Good</v>
      </c>
      <c r="J3968" s="1" t="s">
        <v>1596</v>
      </c>
    </row>
    <row r="3969" customFormat="false" ht="12" hidden="false" customHeight="true" outlineLevel="0" collapsed="false">
      <c r="B3969" s="1" t="s">
        <v>504</v>
      </c>
      <c r="C3969" s="1" t="s">
        <v>279</v>
      </c>
      <c r="D3969" s="1" t="n">
        <v>55</v>
      </c>
      <c r="E3969" s="1" t="n">
        <v>55</v>
      </c>
      <c r="F3969" s="1" t="n">
        <v>50</v>
      </c>
      <c r="G3969" s="1" t="n">
        <v>45</v>
      </c>
      <c r="H3969" s="1" t="n">
        <v>45</v>
      </c>
      <c r="I3969" s="1" t="str">
        <f aca="false">B3969&amp;"|"&amp;C3969</f>
        <v>Luxury Apartments (High-Rise)|Average</v>
      </c>
      <c r="J3969" s="1" t="s">
        <v>1594</v>
      </c>
    </row>
    <row r="3970" customFormat="false" ht="12" hidden="false" customHeight="true" outlineLevel="0" collapsed="false">
      <c r="B3970" s="1" t="s">
        <v>504</v>
      </c>
      <c r="C3970" s="1" t="s">
        <v>485</v>
      </c>
      <c r="D3970" s="1" t="n">
        <v>60</v>
      </c>
      <c r="E3970" s="1" t="n">
        <v>60</v>
      </c>
      <c r="F3970" s="1" t="n">
        <v>55</v>
      </c>
      <c r="G3970" s="1" t="n">
        <v>50</v>
      </c>
      <c r="H3970" s="1" t="n">
        <v>50</v>
      </c>
      <c r="I3970" s="1" t="str">
        <f aca="false">B3970&amp;"|"&amp;C3970</f>
        <v>Luxury Apartments (High-Rise)|Excellent</v>
      </c>
      <c r="J3970" s="1" t="s">
        <v>1596</v>
      </c>
    </row>
    <row r="3971" customFormat="false" ht="12" hidden="false" customHeight="true" outlineLevel="0" collapsed="false">
      <c r="B3971" s="1" t="s">
        <v>509</v>
      </c>
      <c r="C3971" s="1" t="s">
        <v>483</v>
      </c>
      <c r="D3971" s="1" t="n">
        <v>60</v>
      </c>
      <c r="E3971" s="1" t="n">
        <v>60</v>
      </c>
      <c r="F3971" s="1" t="n">
        <v>55</v>
      </c>
      <c r="G3971" s="1" t="n">
        <v>50</v>
      </c>
      <c r="H3971" s="1" t="n">
        <v>50</v>
      </c>
      <c r="I3971" s="1" t="str">
        <f aca="false">B3971&amp;"|"&amp;C3971</f>
        <v>Shell Luxury Apartment Buildings|Good</v>
      </c>
      <c r="J3971" s="1" t="s">
        <v>1596</v>
      </c>
    </row>
    <row r="3972" customFormat="false" ht="12" hidden="false" customHeight="true" outlineLevel="0" collapsed="false">
      <c r="B3972" s="1" t="s">
        <v>509</v>
      </c>
      <c r="C3972" s="1" t="s">
        <v>279</v>
      </c>
      <c r="D3972" s="1" t="n">
        <v>55</v>
      </c>
      <c r="E3972" s="1" t="n">
        <v>55</v>
      </c>
      <c r="F3972" s="1" t="n">
        <v>50</v>
      </c>
      <c r="G3972" s="1" t="n">
        <v>45</v>
      </c>
      <c r="H3972" s="1" t="n">
        <v>45</v>
      </c>
      <c r="I3972" s="1" t="str">
        <f aca="false">B3972&amp;"|"&amp;C3972</f>
        <v>Shell Luxury Apartment Buildings|Average</v>
      </c>
      <c r="J3972" s="1" t="s">
        <v>1594</v>
      </c>
    </row>
    <row r="3973" customFormat="false" ht="12" hidden="false" customHeight="true" outlineLevel="0" collapsed="false">
      <c r="B3973" s="1" t="s">
        <v>509</v>
      </c>
      <c r="C3973" s="1" t="s">
        <v>485</v>
      </c>
      <c r="D3973" s="1" t="n">
        <v>60</v>
      </c>
      <c r="E3973" s="1" t="n">
        <v>60</v>
      </c>
      <c r="F3973" s="1" t="n">
        <v>55</v>
      </c>
      <c r="G3973" s="1" t="n">
        <v>50</v>
      </c>
      <c r="H3973" s="1" t="n">
        <v>50</v>
      </c>
      <c r="I3973" s="1" t="str">
        <f aca="false">B3973&amp;"|"&amp;C3973</f>
        <v>Shell Luxury Apartment Buildings|Excellent</v>
      </c>
      <c r="J3973" s="1" t="s">
        <v>1596</v>
      </c>
    </row>
    <row r="3974" customFormat="false" ht="12" hidden="false" customHeight="true" outlineLevel="0" collapsed="false">
      <c r="B3974" s="1" t="s">
        <v>515</v>
      </c>
      <c r="C3974" s="1" t="s">
        <v>483</v>
      </c>
      <c r="D3974" s="1" t="n">
        <v>60</v>
      </c>
      <c r="E3974" s="1" t="n">
        <v>60</v>
      </c>
      <c r="F3974" s="1" t="n">
        <v>55</v>
      </c>
      <c r="G3974" s="1" t="n">
        <v>50</v>
      </c>
      <c r="H3974" s="1" t="n">
        <v>50</v>
      </c>
      <c r="I3974" s="1" t="str">
        <f aca="false">B3974&amp;"|"&amp;C3974</f>
        <v>Apartments (High-Rise)|Good</v>
      </c>
      <c r="J3974" s="1" t="s">
        <v>1596</v>
      </c>
    </row>
    <row r="3975" customFormat="false" ht="12" hidden="false" customHeight="true" outlineLevel="0" collapsed="false">
      <c r="B3975" s="1" t="s">
        <v>515</v>
      </c>
      <c r="C3975" s="1" t="s">
        <v>279</v>
      </c>
      <c r="D3975" s="1" t="n">
        <v>55</v>
      </c>
      <c r="E3975" s="1" t="n">
        <v>55</v>
      </c>
      <c r="F3975" s="1" t="n">
        <v>50</v>
      </c>
      <c r="G3975" s="1" t="n">
        <v>45</v>
      </c>
      <c r="H3975" s="1" t="n">
        <v>45</v>
      </c>
      <c r="I3975" s="1" t="str">
        <f aca="false">B3975&amp;"|"&amp;C3975</f>
        <v>Apartments (High-Rise)|Average</v>
      </c>
      <c r="J3975" s="1" t="s">
        <v>1594</v>
      </c>
    </row>
    <row r="3976" customFormat="false" ht="12" hidden="false" customHeight="true" outlineLevel="0" collapsed="false">
      <c r="B3976" s="1" t="s">
        <v>515</v>
      </c>
      <c r="C3976" s="1" t="s">
        <v>480</v>
      </c>
      <c r="D3976" s="1" t="n">
        <v>55</v>
      </c>
      <c r="E3976" s="1" t="n">
        <v>55</v>
      </c>
      <c r="F3976" s="1" t="n">
        <v>50</v>
      </c>
      <c r="G3976" s="1" t="n">
        <v>45</v>
      </c>
      <c r="H3976" s="1" t="n">
        <v>45</v>
      </c>
      <c r="I3976" s="1" t="str">
        <f aca="false">B3976&amp;"|"&amp;C3976</f>
        <v>Apartments (High-Rise)|Low Cost</v>
      </c>
      <c r="J3976" s="1" t="s">
        <v>1594</v>
      </c>
    </row>
    <row r="3977" customFormat="false" ht="12" hidden="false" customHeight="true" outlineLevel="0" collapsed="false">
      <c r="B3977" s="1" t="s">
        <v>520</v>
      </c>
      <c r="C3977" s="1" t="s">
        <v>483</v>
      </c>
      <c r="D3977" s="1" t="n">
        <v>60</v>
      </c>
      <c r="E3977" s="1" t="n">
        <v>60</v>
      </c>
      <c r="F3977" s="1" t="n">
        <v>50</v>
      </c>
      <c r="I3977" s="1" t="str">
        <f aca="false">B3977&amp;"|"&amp;C3977</f>
        <v>City Clubs|Good</v>
      </c>
      <c r="J3977" s="1" t="s">
        <v>1597</v>
      </c>
    </row>
    <row r="3978" customFormat="false" ht="12" hidden="false" customHeight="true" outlineLevel="0" collapsed="false">
      <c r="B3978" s="1" t="s">
        <v>520</v>
      </c>
      <c r="C3978" s="1" t="s">
        <v>279</v>
      </c>
      <c r="D3978" s="1" t="n">
        <v>50</v>
      </c>
      <c r="E3978" s="1" t="n">
        <v>50</v>
      </c>
      <c r="F3978" s="1" t="n">
        <v>45</v>
      </c>
      <c r="I3978" s="1" t="str">
        <f aca="false">B3978&amp;"|"&amp;C3978</f>
        <v>City Clubs|Average</v>
      </c>
      <c r="J3978" s="1" t="s">
        <v>1598</v>
      </c>
    </row>
    <row r="3979" customFormat="false" ht="12" hidden="false" customHeight="true" outlineLevel="0" collapsed="false">
      <c r="B3979" s="1" t="s">
        <v>525</v>
      </c>
      <c r="C3979" s="1" t="s">
        <v>483</v>
      </c>
      <c r="D3979" s="1" t="n">
        <v>60</v>
      </c>
      <c r="E3979" s="1" t="n">
        <v>60</v>
      </c>
      <c r="F3979" s="1" t="n">
        <v>55</v>
      </c>
      <c r="G3979" s="1" t="n">
        <v>50</v>
      </c>
      <c r="H3979" s="1" t="n">
        <v>50</v>
      </c>
      <c r="I3979" s="1" t="str">
        <f aca="false">B3979&amp;"|"&amp;C3979</f>
        <v>Shell Apartment Buildings|Good</v>
      </c>
      <c r="J3979" s="1" t="s">
        <v>1596</v>
      </c>
    </row>
    <row r="3980" customFormat="false" ht="12" hidden="false" customHeight="true" outlineLevel="0" collapsed="false">
      <c r="B3980" s="1" t="s">
        <v>525</v>
      </c>
      <c r="C3980" s="1" t="s">
        <v>279</v>
      </c>
      <c r="D3980" s="1" t="n">
        <v>55</v>
      </c>
      <c r="E3980" s="1" t="n">
        <v>55</v>
      </c>
      <c r="F3980" s="1" t="n">
        <v>50</v>
      </c>
      <c r="G3980" s="1" t="n">
        <v>45</v>
      </c>
      <c r="H3980" s="1" t="n">
        <v>45</v>
      </c>
      <c r="I3980" s="1" t="str">
        <f aca="false">B3980&amp;"|"&amp;C3980</f>
        <v>Shell Apartment Buildings|Average</v>
      </c>
      <c r="J3980" s="1" t="s">
        <v>1594</v>
      </c>
    </row>
    <row r="3981" customFormat="false" ht="12" hidden="false" customHeight="true" outlineLevel="0" collapsed="false">
      <c r="B3981" s="1" t="s">
        <v>525</v>
      </c>
      <c r="C3981" s="1" t="s">
        <v>480</v>
      </c>
      <c r="D3981" s="1" t="n">
        <v>55</v>
      </c>
      <c r="E3981" s="1" t="n">
        <v>55</v>
      </c>
      <c r="F3981" s="1" t="n">
        <v>50</v>
      </c>
      <c r="G3981" s="1" t="n">
        <v>45</v>
      </c>
      <c r="H3981" s="1" t="n">
        <v>45</v>
      </c>
      <c r="I3981" s="1" t="str">
        <f aca="false">B3981&amp;"|"&amp;C3981</f>
        <v>Shell Apartment Buildings|Low Cost</v>
      </c>
      <c r="J3981" s="1" t="s">
        <v>1594</v>
      </c>
    </row>
    <row r="3982" customFormat="false" ht="12" hidden="false" customHeight="true" outlineLevel="0" collapsed="false">
      <c r="B3982" s="1" t="s">
        <v>531</v>
      </c>
      <c r="C3982" s="1" t="s">
        <v>485</v>
      </c>
      <c r="D3982" s="1" t="n">
        <v>60</v>
      </c>
      <c r="E3982" s="1" t="n">
        <v>60</v>
      </c>
      <c r="F3982" s="1" t="n">
        <v>50</v>
      </c>
      <c r="I3982" s="1" t="str">
        <f aca="false">B3982&amp;"|"&amp;C3982</f>
        <v>Hotels, Limited Service|Excellent</v>
      </c>
      <c r="J3982" s="1" t="s">
        <v>1599</v>
      </c>
    </row>
    <row r="3983" customFormat="false" ht="12" hidden="false" customHeight="true" outlineLevel="0" collapsed="false">
      <c r="B3983" s="1" t="s">
        <v>531</v>
      </c>
      <c r="C3983" s="1" t="s">
        <v>483</v>
      </c>
      <c r="D3983" s="1" t="n">
        <v>55</v>
      </c>
      <c r="E3983" s="1" t="n">
        <v>55</v>
      </c>
      <c r="F3983" s="1" t="n">
        <v>50</v>
      </c>
      <c r="G3983" s="1" t="n">
        <v>45</v>
      </c>
      <c r="I3983" s="1" t="str">
        <f aca="false">B3983&amp;"|"&amp;C3983</f>
        <v>Hotels, Limited Service|Good</v>
      </c>
      <c r="J3983" s="1" t="s">
        <v>1600</v>
      </c>
    </row>
    <row r="3984" customFormat="false" ht="12" hidden="false" customHeight="true" outlineLevel="0" collapsed="false">
      <c r="B3984" s="1" t="s">
        <v>531</v>
      </c>
      <c r="C3984" s="1" t="s">
        <v>279</v>
      </c>
      <c r="D3984" s="1" t="n">
        <v>50</v>
      </c>
      <c r="E3984" s="1" t="n">
        <v>50</v>
      </c>
      <c r="F3984" s="1" t="n">
        <v>45</v>
      </c>
      <c r="G3984" s="1" t="n">
        <v>40</v>
      </c>
      <c r="H3984" s="1" t="n">
        <v>40</v>
      </c>
      <c r="I3984" s="1" t="str">
        <f aca="false">B3984&amp;"|"&amp;C3984</f>
        <v>Hotels, Limited Service|Average</v>
      </c>
      <c r="J3984" s="1" t="s">
        <v>1594</v>
      </c>
    </row>
    <row r="3985" customFormat="false" ht="12" hidden="false" customHeight="true" outlineLevel="0" collapsed="false">
      <c r="B3985" s="1" t="s">
        <v>531</v>
      </c>
      <c r="C3985" s="1" t="s">
        <v>480</v>
      </c>
      <c r="D3985" s="1" t="n">
        <v>50</v>
      </c>
      <c r="E3985" s="1" t="n">
        <v>50</v>
      </c>
      <c r="F3985" s="1" t="n">
        <v>45</v>
      </c>
      <c r="G3985" s="1" t="n">
        <v>40</v>
      </c>
      <c r="H3985" s="1" t="n">
        <v>40</v>
      </c>
      <c r="I3985" s="1" t="str">
        <f aca="false">B3985&amp;"|"&amp;C3985</f>
        <v>Hotels, Limited Service|Low Cost</v>
      </c>
      <c r="J3985" s="1" t="s">
        <v>1594</v>
      </c>
    </row>
    <row r="3986" customFormat="false" ht="12" hidden="false" customHeight="true" outlineLevel="0" collapsed="false">
      <c r="B3986" s="1" t="s">
        <v>535</v>
      </c>
      <c r="C3986" s="1" t="s">
        <v>485</v>
      </c>
      <c r="D3986" s="1" t="n">
        <v>60</v>
      </c>
      <c r="E3986" s="1" t="n">
        <v>60</v>
      </c>
      <c r="F3986" s="1" t="n">
        <v>50</v>
      </c>
      <c r="I3986" s="1" t="str">
        <f aca="false">B3986&amp;"|"&amp;C3986</f>
        <v>Shell Hotels: Limited Service Buildings|Excellent</v>
      </c>
      <c r="J3986" s="1" t="s">
        <v>1599</v>
      </c>
    </row>
    <row r="3987" customFormat="false" ht="12" hidden="false" customHeight="true" outlineLevel="0" collapsed="false">
      <c r="B3987" s="1" t="s">
        <v>535</v>
      </c>
      <c r="C3987" s="1" t="s">
        <v>483</v>
      </c>
      <c r="D3987" s="1" t="n">
        <v>55</v>
      </c>
      <c r="E3987" s="1" t="n">
        <v>55</v>
      </c>
      <c r="F3987" s="1" t="n">
        <v>50</v>
      </c>
      <c r="G3987" s="1" t="n">
        <v>45</v>
      </c>
      <c r="I3987" s="1" t="str">
        <f aca="false">B3987&amp;"|"&amp;C3987</f>
        <v>Shell Hotels: Limited Service Buildings|Good</v>
      </c>
      <c r="J3987" s="1" t="s">
        <v>1600</v>
      </c>
    </row>
    <row r="3988" customFormat="false" ht="12" hidden="false" customHeight="true" outlineLevel="0" collapsed="false">
      <c r="B3988" s="1" t="s">
        <v>535</v>
      </c>
      <c r="C3988" s="1" t="s">
        <v>279</v>
      </c>
      <c r="D3988" s="1" t="n">
        <v>50</v>
      </c>
      <c r="E3988" s="1" t="n">
        <v>50</v>
      </c>
      <c r="F3988" s="1" t="n">
        <v>45</v>
      </c>
      <c r="G3988" s="1" t="n">
        <v>40</v>
      </c>
      <c r="H3988" s="1" t="n">
        <v>40</v>
      </c>
      <c r="I3988" s="1" t="str">
        <f aca="false">B3988&amp;"|"&amp;C3988</f>
        <v>Shell Hotels: Limited Service Buildings|Average</v>
      </c>
      <c r="J3988" s="1" t="s">
        <v>1594</v>
      </c>
    </row>
    <row r="3989" customFormat="false" ht="12" hidden="false" customHeight="true" outlineLevel="0" collapsed="false">
      <c r="B3989" s="1" t="s">
        <v>535</v>
      </c>
      <c r="C3989" s="1" t="s">
        <v>480</v>
      </c>
      <c r="D3989" s="1" t="n">
        <v>50</v>
      </c>
      <c r="E3989" s="1" t="n">
        <v>50</v>
      </c>
      <c r="F3989" s="1" t="n">
        <v>45</v>
      </c>
      <c r="G3989" s="1" t="n">
        <v>40</v>
      </c>
      <c r="H3989" s="1" t="n">
        <v>40</v>
      </c>
      <c r="I3989" s="1" t="str">
        <f aca="false">B3989&amp;"|"&amp;C3989</f>
        <v>Shell Hotels: Limited Service Buildings|Low Cost</v>
      </c>
      <c r="J3989" s="1" t="s">
        <v>1594</v>
      </c>
    </row>
    <row r="3990" customFormat="false" ht="12" hidden="false" customHeight="true" outlineLevel="0" collapsed="false">
      <c r="B3990" s="1" t="s">
        <v>541</v>
      </c>
      <c r="C3990" s="1" t="s">
        <v>485</v>
      </c>
      <c r="D3990" s="1" t="n">
        <v>60</v>
      </c>
      <c r="E3990" s="1" t="n">
        <v>60</v>
      </c>
      <c r="F3990" s="1" t="n">
        <v>50</v>
      </c>
      <c r="G3990" s="1" t="n">
        <v>45</v>
      </c>
      <c r="I3990" s="1" t="str">
        <f aca="false">B3990&amp;"|"&amp;C3990</f>
        <v>Hotels, Full Service|Excellent</v>
      </c>
      <c r="J3990" s="1" t="s">
        <v>1601</v>
      </c>
    </row>
    <row r="3991" customFormat="false" ht="12" hidden="false" customHeight="true" outlineLevel="0" collapsed="false">
      <c r="B3991" s="1" t="s">
        <v>541</v>
      </c>
      <c r="C3991" s="1" t="s">
        <v>483</v>
      </c>
      <c r="D3991" s="1" t="n">
        <v>60</v>
      </c>
      <c r="E3991" s="1" t="n">
        <v>60</v>
      </c>
      <c r="F3991" s="1" t="n">
        <v>50</v>
      </c>
      <c r="G3991" s="1" t="n">
        <v>45</v>
      </c>
      <c r="I3991" s="1" t="str">
        <f aca="false">B3991&amp;"|"&amp;C3991</f>
        <v>Hotels, Full Service|Good</v>
      </c>
      <c r="J3991" s="1" t="s">
        <v>1601</v>
      </c>
    </row>
    <row r="3992" customFormat="false" ht="12" hidden="false" customHeight="true" outlineLevel="0" collapsed="false">
      <c r="B3992" s="1" t="s">
        <v>541</v>
      </c>
      <c r="C3992" s="1" t="s">
        <v>279</v>
      </c>
      <c r="D3992" s="1" t="n">
        <v>55</v>
      </c>
      <c r="E3992" s="1" t="n">
        <v>55</v>
      </c>
      <c r="F3992" s="1" t="n">
        <v>50</v>
      </c>
      <c r="G3992" s="1" t="n">
        <v>45</v>
      </c>
      <c r="I3992" s="1" t="str">
        <f aca="false">B3992&amp;"|"&amp;C3992</f>
        <v>Hotels, Full Service|Average</v>
      </c>
      <c r="J3992" s="1" t="s">
        <v>1598</v>
      </c>
    </row>
    <row r="3993" customFormat="false" ht="12" hidden="false" customHeight="true" outlineLevel="0" collapsed="false">
      <c r="B3993" s="1" t="s">
        <v>541</v>
      </c>
      <c r="C3993" s="1" t="s">
        <v>480</v>
      </c>
      <c r="D3993" s="1" t="n">
        <v>50</v>
      </c>
      <c r="E3993" s="1" t="n">
        <v>50</v>
      </c>
      <c r="F3993" s="1" t="n">
        <v>45</v>
      </c>
      <c r="G3993" s="1" t="n">
        <v>40</v>
      </c>
      <c r="I3993" s="1" t="str">
        <f aca="false">B3993&amp;"|"&amp;C3993</f>
        <v>Hotels, Full Service|Low Cost</v>
      </c>
      <c r="J3993" s="1" t="s">
        <v>1602</v>
      </c>
    </row>
    <row r="3994" customFormat="false" ht="12" hidden="false" customHeight="true" outlineLevel="0" collapsed="false">
      <c r="B3994" s="1" t="s">
        <v>545</v>
      </c>
      <c r="C3994" s="1" t="s">
        <v>485</v>
      </c>
      <c r="D3994" s="1" t="n">
        <v>60</v>
      </c>
      <c r="E3994" s="1" t="n">
        <v>60</v>
      </c>
      <c r="F3994" s="1" t="n">
        <v>50</v>
      </c>
      <c r="G3994" s="1" t="n">
        <v>45</v>
      </c>
      <c r="I3994" s="1" t="str">
        <f aca="false">B3994&amp;"|"&amp;C3994</f>
        <v>Shell Hotels: Full Service Buildings|Excellent</v>
      </c>
      <c r="J3994" s="1" t="s">
        <v>1601</v>
      </c>
    </row>
    <row r="3995" customFormat="false" ht="12" hidden="false" customHeight="true" outlineLevel="0" collapsed="false">
      <c r="B3995" s="1" t="s">
        <v>545</v>
      </c>
      <c r="C3995" s="1" t="s">
        <v>483</v>
      </c>
      <c r="D3995" s="1" t="n">
        <v>60</v>
      </c>
      <c r="E3995" s="1" t="n">
        <v>60</v>
      </c>
      <c r="F3995" s="1" t="n">
        <v>50</v>
      </c>
      <c r="G3995" s="1" t="n">
        <v>45</v>
      </c>
      <c r="I3995" s="1" t="str">
        <f aca="false">B3995&amp;"|"&amp;C3995</f>
        <v>Shell Hotels: Full Service Buildings|Good</v>
      </c>
      <c r="J3995" s="1" t="s">
        <v>1601</v>
      </c>
    </row>
    <row r="3996" customFormat="false" ht="12" hidden="false" customHeight="true" outlineLevel="0" collapsed="false">
      <c r="B3996" s="1" t="s">
        <v>545</v>
      </c>
      <c r="C3996" s="1" t="s">
        <v>279</v>
      </c>
      <c r="D3996" s="1" t="n">
        <v>55</v>
      </c>
      <c r="E3996" s="1" t="n">
        <v>55</v>
      </c>
      <c r="F3996" s="1" t="n">
        <v>50</v>
      </c>
      <c r="G3996" s="1" t="n">
        <v>45</v>
      </c>
      <c r="I3996" s="1" t="str">
        <f aca="false">B3996&amp;"|"&amp;C3996</f>
        <v>Shell Hotels: Full Service Buildings|Average</v>
      </c>
      <c r="J3996" s="1" t="s">
        <v>1598</v>
      </c>
    </row>
    <row r="3997" customFormat="false" ht="12" hidden="false" customHeight="true" outlineLevel="0" collapsed="false">
      <c r="B3997" s="1" t="s">
        <v>545</v>
      </c>
      <c r="C3997" s="1" t="s">
        <v>480</v>
      </c>
      <c r="D3997" s="1" t="n">
        <v>50</v>
      </c>
      <c r="E3997" s="1" t="n">
        <v>50</v>
      </c>
      <c r="F3997" s="1" t="n">
        <v>45</v>
      </c>
      <c r="G3997" s="1" t="n">
        <v>40</v>
      </c>
      <c r="I3997" s="1" t="str">
        <f aca="false">B3997&amp;"|"&amp;C3997</f>
        <v>Shell Hotels: Full Service Buildings|Low Cost</v>
      </c>
      <c r="J3997" s="1" t="s">
        <v>1602</v>
      </c>
    </row>
    <row r="3998" customFormat="false" ht="12" hidden="false" customHeight="true" outlineLevel="0" collapsed="false">
      <c r="B3998" s="1" t="s">
        <v>551</v>
      </c>
      <c r="C3998" s="1" t="s">
        <v>483</v>
      </c>
      <c r="F3998" s="1" t="n">
        <v>55</v>
      </c>
      <c r="G3998" s="1" t="n">
        <v>50</v>
      </c>
      <c r="I3998" s="1" t="str">
        <f aca="false">B3998&amp;"|"&amp;C3998</f>
        <v>Rooming Houses|Good</v>
      </c>
      <c r="J3998" s="1" t="s">
        <v>1603</v>
      </c>
    </row>
    <row r="3999" customFormat="false" ht="12" hidden="false" customHeight="true" outlineLevel="0" collapsed="false">
      <c r="B3999" s="1" t="s">
        <v>551</v>
      </c>
      <c r="C3999" s="1" t="s">
        <v>279</v>
      </c>
      <c r="F3999" s="1" t="n">
        <v>50</v>
      </c>
      <c r="G3999" s="1" t="n">
        <v>45</v>
      </c>
      <c r="I3999" s="1" t="str">
        <f aca="false">B3999&amp;"|"&amp;C3999</f>
        <v>Rooming Houses|Average</v>
      </c>
      <c r="J3999" s="1" t="s">
        <v>1598</v>
      </c>
    </row>
    <row r="4000" customFormat="false" ht="12" hidden="false" customHeight="true" outlineLevel="0" collapsed="false">
      <c r="B4000" s="1" t="s">
        <v>551</v>
      </c>
      <c r="C4000" s="1" t="s">
        <v>555</v>
      </c>
      <c r="F4000" s="1" t="n">
        <v>45</v>
      </c>
      <c r="G4000" s="1" t="n">
        <v>40</v>
      </c>
      <c r="I4000" s="1" t="str">
        <f aca="false">B4000&amp;"|"&amp;C4000</f>
        <v>Rooming Houses|Fair</v>
      </c>
      <c r="J4000" s="1" t="s">
        <v>1604</v>
      </c>
    </row>
    <row r="4001" customFormat="false" ht="12" hidden="false" customHeight="true" outlineLevel="0" collapsed="false">
      <c r="B4001" s="1" t="s">
        <v>551</v>
      </c>
      <c r="C4001" s="1" t="s">
        <v>480</v>
      </c>
      <c r="F4001" s="1" t="n">
        <v>45</v>
      </c>
      <c r="G4001" s="1" t="n">
        <v>40</v>
      </c>
      <c r="I4001" s="1" t="str">
        <f aca="false">B4001&amp;"|"&amp;C4001</f>
        <v>Rooming Houses|Low Cost</v>
      </c>
      <c r="J4001" s="1" t="s">
        <v>1604</v>
      </c>
    </row>
    <row r="4002" customFormat="false" ht="12" hidden="false" customHeight="true" outlineLevel="0" collapsed="false">
      <c r="B4002" s="1" t="s">
        <v>556</v>
      </c>
      <c r="C4002" s="1" t="s">
        <v>485</v>
      </c>
      <c r="F4002" s="1" t="n">
        <v>55</v>
      </c>
      <c r="G4002" s="1" t="n">
        <v>50</v>
      </c>
      <c r="I4002" s="1" t="str">
        <f aca="false">B4002&amp;"|"&amp;C4002</f>
        <v>Rectories|Excellent</v>
      </c>
      <c r="J4002" s="1" t="s">
        <v>1605</v>
      </c>
    </row>
    <row r="4003" customFormat="false" ht="12" hidden="false" customHeight="true" outlineLevel="0" collapsed="false">
      <c r="B4003" s="1" t="s">
        <v>556</v>
      </c>
      <c r="C4003" s="1" t="s">
        <v>483</v>
      </c>
      <c r="F4003" s="1" t="n">
        <v>55</v>
      </c>
      <c r="G4003" s="1" t="n">
        <v>50</v>
      </c>
      <c r="I4003" s="1" t="str">
        <f aca="false">B4003&amp;"|"&amp;C4003</f>
        <v>Rectories|Good</v>
      </c>
      <c r="J4003" s="1" t="s">
        <v>1605</v>
      </c>
    </row>
    <row r="4004" customFormat="false" ht="12" hidden="false" customHeight="true" outlineLevel="0" collapsed="false">
      <c r="B4004" s="1" t="s">
        <v>556</v>
      </c>
      <c r="C4004" s="1" t="s">
        <v>279</v>
      </c>
      <c r="F4004" s="1" t="n">
        <v>50</v>
      </c>
      <c r="G4004" s="1" t="n">
        <v>45</v>
      </c>
      <c r="I4004" s="1" t="str">
        <f aca="false">B4004&amp;"|"&amp;C4004</f>
        <v>Rectories|Average</v>
      </c>
      <c r="J4004" s="1" t="s">
        <v>1598</v>
      </c>
    </row>
    <row r="4005" customFormat="false" ht="12" hidden="false" customHeight="true" outlineLevel="0" collapsed="false">
      <c r="B4005" s="1" t="s">
        <v>556</v>
      </c>
      <c r="C4005" s="1" t="s">
        <v>480</v>
      </c>
      <c r="F4005" s="1" t="n">
        <v>45</v>
      </c>
      <c r="G4005" s="1" t="n">
        <v>40</v>
      </c>
      <c r="I4005" s="1" t="str">
        <f aca="false">B4005&amp;"|"&amp;C4005</f>
        <v>Rectories|Low Cost</v>
      </c>
      <c r="J4005" s="1" t="s">
        <v>1602</v>
      </c>
    </row>
    <row r="4006" customFormat="false" ht="12" hidden="false" customHeight="true" outlineLevel="0" collapsed="false">
      <c r="B4006" s="1" t="s">
        <v>558</v>
      </c>
      <c r="C4006" s="1" t="s">
        <v>485</v>
      </c>
      <c r="F4006" s="1" t="n">
        <v>55</v>
      </c>
      <c r="G4006" s="1" t="n">
        <v>50</v>
      </c>
      <c r="I4006" s="1" t="str">
        <f aca="false">B4006&amp;"|"&amp;C4006</f>
        <v>Fraternity Housing|Excellent</v>
      </c>
      <c r="J4006" s="1" t="s">
        <v>1606</v>
      </c>
    </row>
    <row r="4007" customFormat="false" ht="12" hidden="false" customHeight="true" outlineLevel="0" collapsed="false">
      <c r="B4007" s="1" t="s">
        <v>558</v>
      </c>
      <c r="C4007" s="1" t="s">
        <v>483</v>
      </c>
      <c r="F4007" s="1" t="n">
        <v>55</v>
      </c>
      <c r="G4007" s="1" t="n">
        <v>50</v>
      </c>
      <c r="I4007" s="1" t="str">
        <f aca="false">B4007&amp;"|"&amp;C4007</f>
        <v>Fraternity Housing|Good</v>
      </c>
      <c r="J4007" s="1" t="s">
        <v>1606</v>
      </c>
    </row>
    <row r="4008" customFormat="false" ht="12" hidden="false" customHeight="true" outlineLevel="0" collapsed="false">
      <c r="B4008" s="1" t="s">
        <v>558</v>
      </c>
      <c r="C4008" s="1" t="s">
        <v>279</v>
      </c>
      <c r="F4008" s="1" t="n">
        <v>50</v>
      </c>
      <c r="G4008" s="1" t="n">
        <v>45</v>
      </c>
      <c r="I4008" s="1" t="str">
        <f aca="false">B4008&amp;"|"&amp;C4008</f>
        <v>Fraternity Housing|Average</v>
      </c>
      <c r="J4008" s="1" t="s">
        <v>1598</v>
      </c>
    </row>
    <row r="4009" customFormat="false" ht="12" hidden="false" customHeight="true" outlineLevel="0" collapsed="false">
      <c r="B4009" s="1" t="s">
        <v>560</v>
      </c>
      <c r="C4009" s="1" t="s">
        <v>485</v>
      </c>
      <c r="F4009" s="1" t="n">
        <v>55</v>
      </c>
      <c r="G4009" s="1" t="n">
        <v>50</v>
      </c>
      <c r="I4009" s="1" t="str">
        <f aca="false">B4009&amp;"|"&amp;C4009</f>
        <v>Group Care Homes|Excellent</v>
      </c>
      <c r="J4009" s="1" t="s">
        <v>1607</v>
      </c>
    </row>
    <row r="4010" customFormat="false" ht="12" hidden="false" customHeight="true" outlineLevel="0" collapsed="false">
      <c r="B4010" s="1" t="s">
        <v>560</v>
      </c>
      <c r="C4010" s="1" t="s">
        <v>503</v>
      </c>
      <c r="F4010" s="1" t="n">
        <v>55</v>
      </c>
      <c r="G4010" s="1" t="n">
        <v>50</v>
      </c>
      <c r="I4010" s="1" t="str">
        <f aca="false">B4010&amp;"|"&amp;C4010</f>
        <v>Group Care Homes|Very Good</v>
      </c>
      <c r="J4010" s="1" t="s">
        <v>1607</v>
      </c>
    </row>
    <row r="4011" customFormat="false" ht="12" hidden="false" customHeight="true" outlineLevel="0" collapsed="false">
      <c r="B4011" s="1" t="s">
        <v>560</v>
      </c>
      <c r="C4011" s="1" t="s">
        <v>483</v>
      </c>
      <c r="F4011" s="1" t="n">
        <v>55</v>
      </c>
      <c r="G4011" s="1" t="n">
        <v>50</v>
      </c>
      <c r="I4011" s="1" t="str">
        <f aca="false">B4011&amp;"|"&amp;C4011</f>
        <v>Group Care Homes|Good</v>
      </c>
      <c r="J4011" s="1" t="s">
        <v>1607</v>
      </c>
    </row>
    <row r="4012" customFormat="false" ht="12" hidden="false" customHeight="true" outlineLevel="0" collapsed="false">
      <c r="B4012" s="1" t="s">
        <v>560</v>
      </c>
      <c r="C4012" s="1" t="s">
        <v>279</v>
      </c>
      <c r="F4012" s="1" t="n">
        <v>50</v>
      </c>
      <c r="G4012" s="1" t="n">
        <v>45</v>
      </c>
      <c r="I4012" s="1" t="str">
        <f aca="false">B4012&amp;"|"&amp;C4012</f>
        <v>Group Care Homes|Average</v>
      </c>
      <c r="J4012" s="1" t="s">
        <v>1598</v>
      </c>
    </row>
    <row r="4013" customFormat="false" ht="12" hidden="false" customHeight="true" outlineLevel="0" collapsed="false">
      <c r="B4013" s="1" t="s">
        <v>560</v>
      </c>
      <c r="C4013" s="1" t="s">
        <v>480</v>
      </c>
      <c r="F4013" s="1" t="n">
        <v>45</v>
      </c>
      <c r="G4013" s="1" t="n">
        <v>40</v>
      </c>
      <c r="I4013" s="1" t="str">
        <f aca="false">B4013&amp;"|"&amp;C4013</f>
        <v>Group Care Homes|Low Cost</v>
      </c>
      <c r="J4013" s="1" t="s">
        <v>1602</v>
      </c>
    </row>
    <row r="4014" customFormat="false" ht="12" hidden="false" customHeight="true" outlineLevel="0" collapsed="false">
      <c r="B4014" s="1" t="s">
        <v>564</v>
      </c>
      <c r="C4014" s="1" t="s">
        <v>483</v>
      </c>
      <c r="F4014" s="1" t="n">
        <v>45</v>
      </c>
      <c r="G4014" s="1" t="n">
        <v>40</v>
      </c>
      <c r="H4014" s="1" t="n">
        <v>40</v>
      </c>
      <c r="I4014" s="1" t="str">
        <f aca="false">B4014&amp;"|"&amp;C4014</f>
        <v>Recreational (Pool) Enclosures|Good</v>
      </c>
      <c r="J4014" s="1" t="s">
        <v>1608</v>
      </c>
    </row>
    <row r="4015" customFormat="false" ht="12" hidden="false" customHeight="true" outlineLevel="0" collapsed="false">
      <c r="B4015" s="1" t="s">
        <v>564</v>
      </c>
      <c r="C4015" s="1" t="s">
        <v>279</v>
      </c>
      <c r="F4015" s="1" t="n">
        <v>40</v>
      </c>
      <c r="G4015" s="1" t="n">
        <v>35</v>
      </c>
      <c r="H4015" s="1" t="n">
        <v>35</v>
      </c>
      <c r="I4015" s="1" t="str">
        <f aca="false">B4015&amp;"|"&amp;C4015</f>
        <v>Recreational (Pool) Enclosures|Average</v>
      </c>
      <c r="J4015" s="1" t="s">
        <v>1598</v>
      </c>
    </row>
    <row r="4016" customFormat="false" ht="12" hidden="false" customHeight="true" outlineLevel="0" collapsed="false">
      <c r="B4016" s="1" t="s">
        <v>564</v>
      </c>
      <c r="C4016" s="1" t="s">
        <v>480</v>
      </c>
      <c r="F4016" s="1" t="n">
        <v>35</v>
      </c>
      <c r="G4016" s="1" t="n">
        <v>25</v>
      </c>
      <c r="H4016" s="1" t="n">
        <v>20</v>
      </c>
      <c r="I4016" s="1" t="str">
        <f aca="false">B4016&amp;"|"&amp;C4016</f>
        <v>Recreational (Pool) Enclosures|Low Cost</v>
      </c>
      <c r="J4016" s="1" t="s">
        <v>1602</v>
      </c>
    </row>
    <row r="4017" customFormat="false" ht="12" hidden="false" customHeight="true" outlineLevel="0" collapsed="false">
      <c r="B4017" s="1" t="s">
        <v>564</v>
      </c>
      <c r="C4017" s="1" t="s">
        <v>567</v>
      </c>
      <c r="H4017" s="1" t="n">
        <v>10</v>
      </c>
      <c r="I4017" s="1" t="str">
        <f aca="false">B4017&amp;"|"&amp;C4017</f>
        <v>Recreational (Pool) Enclosures|Cheap</v>
      </c>
      <c r="J4017" s="1" t="s">
        <v>1609</v>
      </c>
    </row>
    <row r="4018" customFormat="false" ht="12" hidden="false" customHeight="true" outlineLevel="0" collapsed="false">
      <c r="B4018" s="1" t="s">
        <v>568</v>
      </c>
      <c r="C4018" s="1" t="s">
        <v>485</v>
      </c>
      <c r="F4018" s="1" t="n">
        <v>45</v>
      </c>
      <c r="G4018" s="1" t="n">
        <v>40</v>
      </c>
      <c r="H4018" s="1" t="n">
        <v>40</v>
      </c>
      <c r="I4018" s="1" t="str">
        <f aca="false">B4018&amp;"|"&amp;C4018</f>
        <v>Clubhouses|Excellent</v>
      </c>
      <c r="J4018" s="1" t="s">
        <v>1610</v>
      </c>
    </row>
    <row r="4019" customFormat="false" ht="12" hidden="false" customHeight="true" outlineLevel="0" collapsed="false">
      <c r="B4019" s="1" t="s">
        <v>568</v>
      </c>
      <c r="C4019" s="1" t="s">
        <v>483</v>
      </c>
      <c r="F4019" s="1" t="n">
        <v>45</v>
      </c>
      <c r="G4019" s="1" t="n">
        <v>40</v>
      </c>
      <c r="H4019" s="1" t="n">
        <v>40</v>
      </c>
      <c r="I4019" s="1" t="str">
        <f aca="false">B4019&amp;"|"&amp;C4019</f>
        <v>Clubhouses|Good</v>
      </c>
      <c r="J4019" s="1" t="s">
        <v>1610</v>
      </c>
    </row>
    <row r="4020" customFormat="false" ht="12" hidden="false" customHeight="true" outlineLevel="0" collapsed="false">
      <c r="B4020" s="1" t="s">
        <v>568</v>
      </c>
      <c r="C4020" s="1" t="s">
        <v>279</v>
      </c>
      <c r="F4020" s="1" t="n">
        <v>40</v>
      </c>
      <c r="G4020" s="1" t="n">
        <v>35</v>
      </c>
      <c r="H4020" s="1" t="n">
        <v>35</v>
      </c>
      <c r="I4020" s="1" t="str">
        <f aca="false">B4020&amp;"|"&amp;C4020</f>
        <v>Clubhouses|Average</v>
      </c>
      <c r="J4020" s="1" t="s">
        <v>1594</v>
      </c>
    </row>
    <row r="4021" customFormat="false" ht="12" hidden="false" customHeight="true" outlineLevel="0" collapsed="false">
      <c r="B4021" s="1" t="s">
        <v>568</v>
      </c>
      <c r="C4021" s="1" t="s">
        <v>480</v>
      </c>
      <c r="F4021" s="1" t="n">
        <v>40</v>
      </c>
      <c r="G4021" s="1" t="n">
        <v>35</v>
      </c>
      <c r="H4021" s="1" t="n">
        <v>35</v>
      </c>
      <c r="I4021" s="1" t="str">
        <f aca="false">B4021&amp;"|"&amp;C4021</f>
        <v>Clubhouses|Low Cost</v>
      </c>
      <c r="J4021" s="1" t="s">
        <v>1594</v>
      </c>
    </row>
    <row r="4022" customFormat="false" ht="12" hidden="false" customHeight="true" outlineLevel="0" collapsed="false">
      <c r="B4022" s="1" t="s">
        <v>572</v>
      </c>
      <c r="C4022" s="1" t="s">
        <v>485</v>
      </c>
      <c r="F4022" s="1" t="n">
        <v>45</v>
      </c>
      <c r="G4022" s="1" t="n">
        <v>40</v>
      </c>
      <c r="H4022" s="1" t="n">
        <v>40</v>
      </c>
      <c r="I4022" s="1" t="str">
        <f aca="false">B4022&amp;"|"&amp;C4022</f>
        <v>Senior (Clubhouse) Centers|Excellent</v>
      </c>
      <c r="J4022" s="1" t="s">
        <v>1610</v>
      </c>
    </row>
    <row r="4023" customFormat="false" ht="12" hidden="false" customHeight="true" outlineLevel="0" collapsed="false">
      <c r="B4023" s="1" t="s">
        <v>572</v>
      </c>
      <c r="C4023" s="1" t="s">
        <v>483</v>
      </c>
      <c r="F4023" s="1" t="n">
        <v>45</v>
      </c>
      <c r="G4023" s="1" t="n">
        <v>40</v>
      </c>
      <c r="H4023" s="1" t="n">
        <v>40</v>
      </c>
      <c r="I4023" s="1" t="str">
        <f aca="false">B4023&amp;"|"&amp;C4023</f>
        <v>Senior (Clubhouse) Centers|Good</v>
      </c>
      <c r="J4023" s="1" t="s">
        <v>1610</v>
      </c>
    </row>
    <row r="4024" customFormat="false" ht="12" hidden="false" customHeight="true" outlineLevel="0" collapsed="false">
      <c r="B4024" s="1" t="s">
        <v>572</v>
      </c>
      <c r="C4024" s="1" t="s">
        <v>279</v>
      </c>
      <c r="F4024" s="1" t="n">
        <v>40</v>
      </c>
      <c r="G4024" s="1" t="n">
        <v>35</v>
      </c>
      <c r="H4024" s="1" t="n">
        <v>35</v>
      </c>
      <c r="I4024" s="1" t="str">
        <f aca="false">B4024&amp;"|"&amp;C4024</f>
        <v>Senior (Clubhouse) Centers|Average</v>
      </c>
      <c r="J4024" s="1" t="s">
        <v>1594</v>
      </c>
    </row>
    <row r="4025" customFormat="false" ht="12" hidden="false" customHeight="true" outlineLevel="0" collapsed="false">
      <c r="B4025" s="1" t="s">
        <v>572</v>
      </c>
      <c r="C4025" s="1" t="s">
        <v>480</v>
      </c>
      <c r="F4025" s="1" t="n">
        <v>40</v>
      </c>
      <c r="G4025" s="1" t="n">
        <v>35</v>
      </c>
      <c r="H4025" s="1" t="n">
        <v>35</v>
      </c>
      <c r="I4025" s="1" t="str">
        <f aca="false">B4025&amp;"|"&amp;C4025</f>
        <v>Senior (Clubhouse) Centers|Low Cost</v>
      </c>
      <c r="J4025" s="1" t="s">
        <v>1594</v>
      </c>
    </row>
    <row r="4026" customFormat="false" ht="12" hidden="false" customHeight="true" outlineLevel="0" collapsed="false">
      <c r="B4026" s="1" t="s">
        <v>574</v>
      </c>
      <c r="C4026" s="1" t="s">
        <v>485</v>
      </c>
      <c r="F4026" s="1" t="n">
        <v>50</v>
      </c>
      <c r="G4026" s="1" t="n">
        <v>45</v>
      </c>
      <c r="I4026" s="1" t="str">
        <f aca="false">B4026&amp;"|"&amp;C4026</f>
        <v>Country Clubs|Excellent</v>
      </c>
      <c r="J4026" s="1" t="s">
        <v>1611</v>
      </c>
    </row>
    <row r="4027" customFormat="false" ht="12" hidden="false" customHeight="true" outlineLevel="0" collapsed="false">
      <c r="B4027" s="1" t="s">
        <v>574</v>
      </c>
      <c r="C4027" s="1" t="s">
        <v>483</v>
      </c>
      <c r="F4027" s="1" t="n">
        <v>50</v>
      </c>
      <c r="G4027" s="1" t="n">
        <v>45</v>
      </c>
      <c r="I4027" s="1" t="str">
        <f aca="false">B4027&amp;"|"&amp;C4027</f>
        <v>Country Clubs|Good</v>
      </c>
      <c r="J4027" s="1" t="s">
        <v>1611</v>
      </c>
    </row>
    <row r="4028" customFormat="false" ht="12" hidden="false" customHeight="true" outlineLevel="0" collapsed="false">
      <c r="B4028" s="1" t="s">
        <v>574</v>
      </c>
      <c r="C4028" s="1" t="s">
        <v>279</v>
      </c>
      <c r="F4028" s="1" t="n">
        <v>45</v>
      </c>
      <c r="G4028" s="1" t="n">
        <v>40</v>
      </c>
      <c r="H4028" s="1" t="n">
        <v>40</v>
      </c>
      <c r="I4028" s="1" t="str">
        <f aca="false">B4028&amp;"|"&amp;C4028</f>
        <v>Country Clubs|Average</v>
      </c>
      <c r="J4028" s="1" t="s">
        <v>1594</v>
      </c>
    </row>
    <row r="4029" customFormat="false" ht="12" hidden="false" customHeight="true" outlineLevel="0" collapsed="false">
      <c r="B4029" s="1" t="s">
        <v>574</v>
      </c>
      <c r="C4029" s="1" t="s">
        <v>480</v>
      </c>
      <c r="F4029" s="1" t="n">
        <v>45</v>
      </c>
      <c r="G4029" s="1" t="n">
        <v>40</v>
      </c>
      <c r="H4029" s="1" t="n">
        <v>40</v>
      </c>
      <c r="I4029" s="1" t="str">
        <f aca="false">B4029&amp;"|"&amp;C4029</f>
        <v>Country Clubs|Low Cost</v>
      </c>
      <c r="J4029" s="1" t="s">
        <v>1594</v>
      </c>
    </row>
    <row r="4030" customFormat="false" ht="12" hidden="false" customHeight="true" outlineLevel="0" collapsed="false">
      <c r="B4030" s="1" t="s">
        <v>578</v>
      </c>
      <c r="C4030" s="1" t="s">
        <v>483</v>
      </c>
      <c r="F4030" s="1" t="n">
        <v>45</v>
      </c>
      <c r="G4030" s="1" t="n">
        <v>40</v>
      </c>
      <c r="H4030" s="1" t="n">
        <v>40</v>
      </c>
      <c r="I4030" s="1" t="str">
        <f aca="false">B4030&amp;"|"&amp;C4030</f>
        <v>Health Clubs (Spas)|Good</v>
      </c>
      <c r="J4030" s="1" t="s">
        <v>1612</v>
      </c>
    </row>
    <row r="4031" customFormat="false" ht="12" hidden="false" customHeight="true" outlineLevel="0" collapsed="false">
      <c r="B4031" s="1" t="s">
        <v>578</v>
      </c>
      <c r="C4031" s="1" t="s">
        <v>279</v>
      </c>
      <c r="F4031" s="1" t="n">
        <v>40</v>
      </c>
      <c r="G4031" s="1" t="n">
        <v>35</v>
      </c>
      <c r="H4031" s="1" t="n">
        <v>35</v>
      </c>
      <c r="I4031" s="1" t="str">
        <f aca="false">B4031&amp;"|"&amp;C4031</f>
        <v>Health Clubs (Spas)|Average</v>
      </c>
      <c r="J4031" s="1" t="s">
        <v>1594</v>
      </c>
    </row>
    <row r="4032" customFormat="false" ht="12" hidden="false" customHeight="true" outlineLevel="0" collapsed="false">
      <c r="B4032" s="1" t="s">
        <v>578</v>
      </c>
      <c r="C4032" s="1" t="s">
        <v>480</v>
      </c>
      <c r="F4032" s="1" t="n">
        <v>40</v>
      </c>
      <c r="G4032" s="1" t="n">
        <v>35</v>
      </c>
      <c r="H4032" s="1" t="n">
        <v>35</v>
      </c>
      <c r="I4032" s="1" t="str">
        <f aca="false">B4032&amp;"|"&amp;C4032</f>
        <v>Health Clubs (Spas)|Low Cost</v>
      </c>
      <c r="J4032" s="1" t="s">
        <v>1594</v>
      </c>
    </row>
    <row r="4033" customFormat="false" ht="12" hidden="false" customHeight="true" outlineLevel="0" collapsed="false">
      <c r="B4033" s="1" t="s">
        <v>580</v>
      </c>
      <c r="C4033" s="1" t="s">
        <v>483</v>
      </c>
      <c r="D4033" s="1" t="n">
        <v>50</v>
      </c>
      <c r="E4033" s="1" t="n">
        <v>50</v>
      </c>
      <c r="F4033" s="1" t="n">
        <v>45</v>
      </c>
      <c r="G4033" s="1" t="n">
        <v>45</v>
      </c>
      <c r="H4033" s="1" t="n">
        <v>45</v>
      </c>
      <c r="I4033" s="1" t="str">
        <f aca="false">B4033&amp;"|"&amp;C4033</f>
        <v>Mortuaries / Funeral Homes|Good</v>
      </c>
      <c r="J4033" s="1" t="s">
        <v>1613</v>
      </c>
    </row>
    <row r="4034" customFormat="false" ht="12" hidden="false" customHeight="true" outlineLevel="0" collapsed="false">
      <c r="B4034" s="1" t="s">
        <v>580</v>
      </c>
      <c r="C4034" s="1" t="s">
        <v>279</v>
      </c>
      <c r="D4034" s="1" t="n">
        <v>50</v>
      </c>
      <c r="E4034" s="1" t="n">
        <v>50</v>
      </c>
      <c r="F4034" s="1" t="n">
        <v>45</v>
      </c>
      <c r="G4034" s="1" t="n">
        <v>45</v>
      </c>
      <c r="H4034" s="1" t="n">
        <v>45</v>
      </c>
      <c r="I4034" s="1" t="str">
        <f aca="false">B4034&amp;"|"&amp;C4034</f>
        <v>Mortuaries / Funeral Homes|Average</v>
      </c>
      <c r="J4034" s="1" t="s">
        <v>1613</v>
      </c>
    </row>
    <row r="4035" customFormat="false" ht="12" hidden="false" customHeight="true" outlineLevel="0" collapsed="false">
      <c r="B4035" s="1" t="s">
        <v>580</v>
      </c>
      <c r="C4035" s="1" t="s">
        <v>485</v>
      </c>
      <c r="F4035" s="1" t="n">
        <v>50</v>
      </c>
      <c r="G4035" s="1" t="n">
        <v>50</v>
      </c>
      <c r="I4035" s="1" t="str">
        <f aca="false">B4035&amp;"|"&amp;C4035</f>
        <v>Mortuaries / Funeral Homes|Excellent</v>
      </c>
      <c r="J4035" s="1" t="s">
        <v>1614</v>
      </c>
    </row>
    <row r="4036" customFormat="false" ht="12" hidden="false" customHeight="true" outlineLevel="0" collapsed="false">
      <c r="B4036" s="1" t="s">
        <v>580</v>
      </c>
      <c r="C4036" s="1" t="s">
        <v>480</v>
      </c>
      <c r="F4036" s="1" t="n">
        <v>40</v>
      </c>
      <c r="G4036" s="1" t="n">
        <v>35</v>
      </c>
      <c r="H4036" s="1" t="n">
        <v>35</v>
      </c>
      <c r="I4036" s="1" t="str">
        <f aca="false">B4036&amp;"|"&amp;C4036</f>
        <v>Mortuaries / Funeral Homes|Low Cost</v>
      </c>
      <c r="J4036" s="1" t="s">
        <v>1602</v>
      </c>
    </row>
    <row r="4037" customFormat="false" ht="12" hidden="false" customHeight="true" outlineLevel="0" collapsed="false">
      <c r="B4037" s="1" t="s">
        <v>584</v>
      </c>
      <c r="C4037" s="1" t="s">
        <v>485</v>
      </c>
      <c r="F4037" s="1" t="n">
        <v>60</v>
      </c>
      <c r="G4037" s="1" t="n">
        <v>55</v>
      </c>
      <c r="I4037" s="1" t="str">
        <f aca="false">B4037&amp;"|"&amp;C4037</f>
        <v>High-Rise Row (Town) Houses|Excellent</v>
      </c>
      <c r="J4037" s="1" t="s">
        <v>1615</v>
      </c>
    </row>
    <row r="4038" customFormat="false" ht="12" hidden="false" customHeight="true" outlineLevel="0" collapsed="false">
      <c r="B4038" s="1" t="s">
        <v>584</v>
      </c>
      <c r="C4038" s="1" t="s">
        <v>483</v>
      </c>
      <c r="F4038" s="1" t="n">
        <v>60</v>
      </c>
      <c r="G4038" s="1" t="n">
        <v>55</v>
      </c>
      <c r="I4038" s="1" t="str">
        <f aca="false">B4038&amp;"|"&amp;C4038</f>
        <v>High-Rise Row (Town) Houses|Good</v>
      </c>
      <c r="J4038" s="1" t="s">
        <v>1615</v>
      </c>
    </row>
    <row r="4039" customFormat="false" ht="12" hidden="false" customHeight="true" outlineLevel="0" collapsed="false">
      <c r="B4039" s="1" t="s">
        <v>584</v>
      </c>
      <c r="C4039" s="1" t="s">
        <v>279</v>
      </c>
      <c r="F4039" s="1" t="n">
        <v>55</v>
      </c>
      <c r="G4039" s="1" t="n">
        <v>50</v>
      </c>
      <c r="I4039" s="1" t="str">
        <f aca="false">B4039&amp;"|"&amp;C4039</f>
        <v>High-Rise Row (Town) Houses|Average</v>
      </c>
      <c r="J4039" s="1" t="s">
        <v>1594</v>
      </c>
    </row>
    <row r="4040" customFormat="false" ht="12" hidden="false" customHeight="true" outlineLevel="0" collapsed="false">
      <c r="B4040" s="1" t="s">
        <v>588</v>
      </c>
      <c r="C4040" s="1" t="s">
        <v>485</v>
      </c>
      <c r="F4040" s="1" t="n">
        <v>45</v>
      </c>
      <c r="G4040" s="1" t="n">
        <v>40</v>
      </c>
      <c r="I4040" s="1" t="str">
        <f aca="false">B4040&amp;"|"&amp;C4040</f>
        <v>Motels|Excellent</v>
      </c>
      <c r="J4040" s="1" t="s">
        <v>1616</v>
      </c>
    </row>
    <row r="4041" customFormat="false" ht="12" hidden="false" customHeight="true" outlineLevel="0" collapsed="false">
      <c r="B4041" s="1" t="s">
        <v>588</v>
      </c>
      <c r="C4041" s="1" t="s">
        <v>483</v>
      </c>
      <c r="F4041" s="1" t="n">
        <v>45</v>
      </c>
      <c r="G4041" s="1" t="n">
        <v>40</v>
      </c>
      <c r="I4041" s="1" t="str">
        <f aca="false">B4041&amp;"|"&amp;C4041</f>
        <v>Motels|Good</v>
      </c>
      <c r="J4041" s="1" t="s">
        <v>1616</v>
      </c>
    </row>
    <row r="4042" customFormat="false" ht="12" hidden="false" customHeight="true" outlineLevel="0" collapsed="false">
      <c r="B4042" s="1" t="s">
        <v>588</v>
      </c>
      <c r="C4042" s="1" t="s">
        <v>279</v>
      </c>
      <c r="F4042" s="1" t="n">
        <v>40</v>
      </c>
      <c r="G4042" s="1" t="n">
        <v>35</v>
      </c>
      <c r="H4042" s="1" t="n">
        <v>35</v>
      </c>
      <c r="I4042" s="1" t="str">
        <f aca="false">B4042&amp;"|"&amp;C4042</f>
        <v>Motels|Average</v>
      </c>
      <c r="J4042" s="1" t="s">
        <v>1598</v>
      </c>
    </row>
    <row r="4043" customFormat="false" ht="12" hidden="false" customHeight="true" outlineLevel="0" collapsed="false">
      <c r="B4043" s="1" t="s">
        <v>588</v>
      </c>
      <c r="C4043" s="1" t="s">
        <v>555</v>
      </c>
      <c r="F4043" s="1" t="n">
        <v>35</v>
      </c>
      <c r="G4043" s="1" t="n">
        <v>30</v>
      </c>
      <c r="I4043" s="1" t="str">
        <f aca="false">B4043&amp;"|"&amp;C4043</f>
        <v>Motels|Fair</v>
      </c>
      <c r="J4043" s="1" t="s">
        <v>1617</v>
      </c>
    </row>
    <row r="4044" customFormat="false" ht="12" hidden="false" customHeight="true" outlineLevel="0" collapsed="false">
      <c r="B4044" s="1" t="s">
        <v>588</v>
      </c>
      <c r="C4044" s="1" t="s">
        <v>480</v>
      </c>
      <c r="F4044" s="1" t="n">
        <v>35</v>
      </c>
      <c r="G4044" s="1" t="n">
        <v>30</v>
      </c>
      <c r="I4044" s="1" t="str">
        <f aca="false">B4044&amp;"|"&amp;C4044</f>
        <v>Motels|Low Cost</v>
      </c>
      <c r="J4044" s="1" t="s">
        <v>1617</v>
      </c>
    </row>
    <row r="4045" customFormat="false" ht="12" hidden="false" customHeight="true" outlineLevel="0" collapsed="false">
      <c r="B4045" s="1" t="s">
        <v>588</v>
      </c>
      <c r="C4045" s="1" t="s">
        <v>567</v>
      </c>
      <c r="F4045" s="1" t="n">
        <v>35</v>
      </c>
      <c r="G4045" s="1" t="n">
        <v>30</v>
      </c>
      <c r="I4045" s="1" t="str">
        <f aca="false">B4045&amp;"|"&amp;C4045</f>
        <v>Motels|Cheap</v>
      </c>
      <c r="J4045" s="1" t="s">
        <v>1617</v>
      </c>
    </row>
    <row r="4046" customFormat="false" ht="12" hidden="false" customHeight="true" outlineLevel="0" collapsed="false">
      <c r="B4046" s="1" t="s">
        <v>593</v>
      </c>
      <c r="C4046" s="1" t="s">
        <v>485</v>
      </c>
      <c r="F4046" s="1" t="n">
        <v>45</v>
      </c>
      <c r="G4046" s="1" t="n">
        <v>40</v>
      </c>
      <c r="I4046" s="1" t="str">
        <f aca="false">B4046&amp;"|"&amp;C4046</f>
        <v>Shell Motels|Excellent</v>
      </c>
      <c r="J4046" s="1" t="s">
        <v>1616</v>
      </c>
    </row>
    <row r="4047" customFormat="false" ht="12" hidden="false" customHeight="true" outlineLevel="0" collapsed="false">
      <c r="B4047" s="1" t="s">
        <v>593</v>
      </c>
      <c r="C4047" s="1" t="s">
        <v>483</v>
      </c>
      <c r="F4047" s="1" t="n">
        <v>45</v>
      </c>
      <c r="G4047" s="1" t="n">
        <v>40</v>
      </c>
      <c r="I4047" s="1" t="str">
        <f aca="false">B4047&amp;"|"&amp;C4047</f>
        <v>Shell Motels|Good</v>
      </c>
      <c r="J4047" s="1" t="s">
        <v>1616</v>
      </c>
    </row>
    <row r="4048" customFormat="false" ht="12" hidden="false" customHeight="true" outlineLevel="0" collapsed="false">
      <c r="B4048" s="1" t="s">
        <v>593</v>
      </c>
      <c r="C4048" s="1" t="s">
        <v>279</v>
      </c>
      <c r="F4048" s="1" t="n">
        <v>40</v>
      </c>
      <c r="G4048" s="1" t="n">
        <v>35</v>
      </c>
      <c r="H4048" s="1" t="n">
        <v>35</v>
      </c>
      <c r="I4048" s="1" t="str">
        <f aca="false">B4048&amp;"|"&amp;C4048</f>
        <v>Shell Motels|Average</v>
      </c>
      <c r="J4048" s="1" t="s">
        <v>1598</v>
      </c>
    </row>
    <row r="4049" customFormat="false" ht="12" hidden="false" customHeight="true" outlineLevel="0" collapsed="false">
      <c r="B4049" s="1" t="s">
        <v>593</v>
      </c>
      <c r="C4049" s="1" t="s">
        <v>555</v>
      </c>
      <c r="F4049" s="1" t="n">
        <v>35</v>
      </c>
      <c r="G4049" s="1" t="n">
        <v>30</v>
      </c>
      <c r="I4049" s="1" t="str">
        <f aca="false">B4049&amp;"|"&amp;C4049</f>
        <v>Shell Motels|Fair</v>
      </c>
      <c r="J4049" s="1" t="s">
        <v>1617</v>
      </c>
    </row>
    <row r="4050" customFormat="false" ht="12" hidden="false" customHeight="true" outlineLevel="0" collapsed="false">
      <c r="B4050" s="1" t="s">
        <v>593</v>
      </c>
      <c r="C4050" s="1" t="s">
        <v>480</v>
      </c>
      <c r="F4050" s="1" t="n">
        <v>35</v>
      </c>
      <c r="G4050" s="1" t="n">
        <v>30</v>
      </c>
      <c r="I4050" s="1" t="str">
        <f aca="false">B4050&amp;"|"&amp;C4050</f>
        <v>Shell Motels|Low Cost</v>
      </c>
      <c r="J4050" s="1" t="s">
        <v>1617</v>
      </c>
    </row>
    <row r="4051" customFormat="false" ht="12" hidden="false" customHeight="true" outlineLevel="0" collapsed="false">
      <c r="B4051" s="1" t="s">
        <v>593</v>
      </c>
      <c r="C4051" s="1" t="s">
        <v>567</v>
      </c>
      <c r="F4051" s="1" t="n">
        <v>35</v>
      </c>
      <c r="G4051" s="1" t="n">
        <v>30</v>
      </c>
      <c r="I4051" s="1" t="str">
        <f aca="false">B4051&amp;"|"&amp;C4051</f>
        <v>Shell Motels|Cheap</v>
      </c>
      <c r="J4051" s="1" t="s">
        <v>1617</v>
      </c>
    </row>
    <row r="4052" customFormat="false" ht="12" hidden="false" customHeight="true" outlineLevel="0" collapsed="false">
      <c r="B4052" s="1" t="s">
        <v>597</v>
      </c>
      <c r="C4052" s="1" t="s">
        <v>485</v>
      </c>
      <c r="F4052" s="1" t="n">
        <v>45</v>
      </c>
      <c r="G4052" s="1" t="n">
        <v>40</v>
      </c>
      <c r="I4052" s="1" t="str">
        <f aca="false">B4052&amp;"|"&amp;C4052</f>
        <v>Extended-Stay Motels|Excellent</v>
      </c>
      <c r="J4052" s="1" t="s">
        <v>1616</v>
      </c>
    </row>
    <row r="4053" customFormat="false" ht="12" hidden="false" customHeight="true" outlineLevel="0" collapsed="false">
      <c r="B4053" s="1" t="s">
        <v>597</v>
      </c>
      <c r="C4053" s="1" t="s">
        <v>483</v>
      </c>
      <c r="F4053" s="1" t="n">
        <v>45</v>
      </c>
      <c r="G4053" s="1" t="n">
        <v>40</v>
      </c>
      <c r="I4053" s="1" t="str">
        <f aca="false">B4053&amp;"|"&amp;C4053</f>
        <v>Extended-Stay Motels|Good</v>
      </c>
      <c r="J4053" s="1" t="s">
        <v>1616</v>
      </c>
    </row>
    <row r="4054" customFormat="false" ht="12" hidden="false" customHeight="true" outlineLevel="0" collapsed="false">
      <c r="B4054" s="1" t="s">
        <v>597</v>
      </c>
      <c r="C4054" s="1" t="s">
        <v>279</v>
      </c>
      <c r="F4054" s="1" t="n">
        <v>40</v>
      </c>
      <c r="G4054" s="1" t="n">
        <v>35</v>
      </c>
      <c r="H4054" s="1" t="n">
        <v>35</v>
      </c>
      <c r="I4054" s="1" t="str">
        <f aca="false">B4054&amp;"|"&amp;C4054</f>
        <v>Extended-Stay Motels|Average</v>
      </c>
      <c r="J4054" s="1" t="s">
        <v>1598</v>
      </c>
    </row>
    <row r="4055" customFormat="false" ht="12" hidden="false" customHeight="true" outlineLevel="0" collapsed="false">
      <c r="B4055" s="1" t="s">
        <v>597</v>
      </c>
      <c r="C4055" s="1" t="s">
        <v>555</v>
      </c>
      <c r="F4055" s="1" t="n">
        <v>35</v>
      </c>
      <c r="G4055" s="1" t="n">
        <v>30</v>
      </c>
      <c r="I4055" s="1" t="str">
        <f aca="false">B4055&amp;"|"&amp;C4055</f>
        <v>Extended-Stay Motels|Fair</v>
      </c>
      <c r="J4055" s="1" t="s">
        <v>1617</v>
      </c>
    </row>
    <row r="4056" customFormat="false" ht="12" hidden="false" customHeight="true" outlineLevel="0" collapsed="false">
      <c r="B4056" s="1" t="s">
        <v>597</v>
      </c>
      <c r="C4056" s="1" t="s">
        <v>480</v>
      </c>
      <c r="F4056" s="1" t="n">
        <v>35</v>
      </c>
      <c r="G4056" s="1" t="n">
        <v>30</v>
      </c>
      <c r="I4056" s="1" t="str">
        <f aca="false">B4056&amp;"|"&amp;C4056</f>
        <v>Extended-Stay Motels|Low Cost</v>
      </c>
      <c r="J4056" s="1" t="s">
        <v>1617</v>
      </c>
    </row>
    <row r="4057" customFormat="false" ht="12" hidden="false" customHeight="true" outlineLevel="0" collapsed="false">
      <c r="B4057" s="1" t="s">
        <v>600</v>
      </c>
      <c r="C4057" s="1" t="s">
        <v>485</v>
      </c>
      <c r="F4057" s="1" t="n">
        <v>45</v>
      </c>
      <c r="G4057" s="1" t="n">
        <v>40</v>
      </c>
      <c r="I4057" s="1" t="str">
        <f aca="false">B4057&amp;"|"&amp;C4057</f>
        <v>Shell Extended Stay - Motels|Excellent</v>
      </c>
      <c r="J4057" s="1" t="s">
        <v>1616</v>
      </c>
    </row>
    <row r="4058" customFormat="false" ht="12" hidden="false" customHeight="true" outlineLevel="0" collapsed="false">
      <c r="B4058" s="1" t="s">
        <v>600</v>
      </c>
      <c r="C4058" s="1" t="s">
        <v>483</v>
      </c>
      <c r="F4058" s="1" t="n">
        <v>45</v>
      </c>
      <c r="G4058" s="1" t="n">
        <v>40</v>
      </c>
      <c r="I4058" s="1" t="str">
        <f aca="false">B4058&amp;"|"&amp;C4058</f>
        <v>Shell Extended Stay - Motels|Good</v>
      </c>
      <c r="J4058" s="1" t="s">
        <v>1616</v>
      </c>
    </row>
    <row r="4059" customFormat="false" ht="12" hidden="false" customHeight="true" outlineLevel="0" collapsed="false">
      <c r="B4059" s="1" t="s">
        <v>600</v>
      </c>
      <c r="C4059" s="1" t="s">
        <v>279</v>
      </c>
      <c r="F4059" s="1" t="n">
        <v>40</v>
      </c>
      <c r="G4059" s="1" t="n">
        <v>35</v>
      </c>
      <c r="H4059" s="1" t="n">
        <v>35</v>
      </c>
      <c r="I4059" s="1" t="str">
        <f aca="false">B4059&amp;"|"&amp;C4059</f>
        <v>Shell Extended Stay - Motels|Average</v>
      </c>
      <c r="J4059" s="1" t="s">
        <v>1598</v>
      </c>
    </row>
    <row r="4060" customFormat="false" ht="12" hidden="false" customHeight="true" outlineLevel="0" collapsed="false">
      <c r="B4060" s="1" t="s">
        <v>600</v>
      </c>
      <c r="C4060" s="1" t="s">
        <v>555</v>
      </c>
      <c r="F4060" s="1" t="n">
        <v>35</v>
      </c>
      <c r="G4060" s="1" t="n">
        <v>30</v>
      </c>
      <c r="I4060" s="1" t="str">
        <f aca="false">B4060&amp;"|"&amp;C4060</f>
        <v>Shell Extended Stay - Motels|Fair</v>
      </c>
      <c r="J4060" s="1" t="s">
        <v>1617</v>
      </c>
    </row>
    <row r="4061" customFormat="false" ht="12" hidden="false" customHeight="true" outlineLevel="0" collapsed="false">
      <c r="B4061" s="1" t="s">
        <v>600</v>
      </c>
      <c r="C4061" s="1" t="s">
        <v>480</v>
      </c>
      <c r="F4061" s="1" t="n">
        <v>35</v>
      </c>
      <c r="G4061" s="1" t="n">
        <v>30</v>
      </c>
      <c r="I4061" s="1" t="str">
        <f aca="false">B4061&amp;"|"&amp;C4061</f>
        <v>Shell Extended Stay - Motels|Low Cost</v>
      </c>
      <c r="J4061" s="1" t="s">
        <v>1617</v>
      </c>
    </row>
    <row r="4062" customFormat="false" ht="12" hidden="false" customHeight="true" outlineLevel="0" collapsed="false">
      <c r="B4062" s="1" t="s">
        <v>603</v>
      </c>
      <c r="C4062" s="1" t="s">
        <v>485</v>
      </c>
      <c r="F4062" s="1" t="n">
        <v>45</v>
      </c>
      <c r="G4062" s="1" t="n">
        <v>40</v>
      </c>
      <c r="I4062" s="1" t="str">
        <f aca="false">B4062&amp;"|"&amp;C4062</f>
        <v>Office-Apartments|Excellent</v>
      </c>
      <c r="J4062" s="1" t="s">
        <v>1618</v>
      </c>
    </row>
    <row r="4063" customFormat="false" ht="12" hidden="false" customHeight="true" outlineLevel="0" collapsed="false">
      <c r="B4063" s="1" t="s">
        <v>603</v>
      </c>
      <c r="C4063" s="1" t="s">
        <v>483</v>
      </c>
      <c r="F4063" s="1" t="n">
        <v>45</v>
      </c>
      <c r="G4063" s="1" t="n">
        <v>40</v>
      </c>
      <c r="I4063" s="1" t="str">
        <f aca="false">B4063&amp;"|"&amp;C4063</f>
        <v>Office-Apartments|Good</v>
      </c>
      <c r="J4063" s="1" t="s">
        <v>1618</v>
      </c>
    </row>
    <row r="4064" customFormat="false" ht="12" hidden="false" customHeight="true" outlineLevel="0" collapsed="false">
      <c r="B4064" s="1" t="s">
        <v>603</v>
      </c>
      <c r="C4064" s="1" t="s">
        <v>279</v>
      </c>
      <c r="F4064" s="1" t="n">
        <v>40</v>
      </c>
      <c r="G4064" s="1" t="n">
        <v>35</v>
      </c>
      <c r="H4064" s="1" t="n">
        <v>35</v>
      </c>
      <c r="I4064" s="1" t="str">
        <f aca="false">B4064&amp;"|"&amp;C4064</f>
        <v>Office-Apartments|Average</v>
      </c>
      <c r="J4064" s="1" t="s">
        <v>1598</v>
      </c>
    </row>
    <row r="4065" customFormat="false" ht="12" hidden="false" customHeight="true" outlineLevel="0" collapsed="false">
      <c r="B4065" s="1" t="s">
        <v>603</v>
      </c>
      <c r="C4065" s="1" t="s">
        <v>480</v>
      </c>
      <c r="F4065" s="1" t="n">
        <v>35</v>
      </c>
      <c r="G4065" s="1" t="n">
        <v>30</v>
      </c>
      <c r="I4065" s="1" t="str">
        <f aca="false">B4065&amp;"|"&amp;C4065</f>
        <v>Office-Apartments|Low Cost</v>
      </c>
      <c r="J4065" s="1" t="s">
        <v>1602</v>
      </c>
    </row>
    <row r="4066" customFormat="false" ht="12" hidden="false" customHeight="true" outlineLevel="0" collapsed="false">
      <c r="B4066" s="1" t="s">
        <v>603</v>
      </c>
      <c r="C4066" s="1" t="s">
        <v>567</v>
      </c>
      <c r="F4066" s="1" t="n">
        <v>35</v>
      </c>
      <c r="G4066" s="1" t="n">
        <v>30</v>
      </c>
      <c r="I4066" s="1" t="str">
        <f aca="false">B4066&amp;"|"&amp;C4066</f>
        <v>Office-Apartments|Cheap</v>
      </c>
      <c r="J4066" s="1" t="s">
        <v>1609</v>
      </c>
    </row>
    <row r="4067" customFormat="false" ht="12" hidden="false" customHeight="true" outlineLevel="0" collapsed="false">
      <c r="B4067" s="1" t="s">
        <v>606</v>
      </c>
      <c r="C4067" s="1" t="s">
        <v>485</v>
      </c>
      <c r="F4067" s="1" t="n">
        <v>45</v>
      </c>
      <c r="G4067" s="1" t="n">
        <v>40</v>
      </c>
      <c r="I4067" s="1" t="str">
        <f aca="false">B4067&amp;"|"&amp;C4067</f>
        <v>Motel Guest Rooms|Excellent</v>
      </c>
      <c r="J4067" s="1" t="s">
        <v>1616</v>
      </c>
    </row>
    <row r="4068" customFormat="false" ht="12" hidden="false" customHeight="true" outlineLevel="0" collapsed="false">
      <c r="B4068" s="1" t="s">
        <v>606</v>
      </c>
      <c r="C4068" s="1" t="s">
        <v>483</v>
      </c>
      <c r="F4068" s="1" t="n">
        <v>45</v>
      </c>
      <c r="G4068" s="1" t="n">
        <v>40</v>
      </c>
      <c r="I4068" s="1" t="str">
        <f aca="false">B4068&amp;"|"&amp;C4068</f>
        <v>Motel Guest Rooms|Good</v>
      </c>
      <c r="J4068" s="1" t="s">
        <v>1616</v>
      </c>
    </row>
    <row r="4069" customFormat="false" ht="12" hidden="false" customHeight="true" outlineLevel="0" collapsed="false">
      <c r="B4069" s="1" t="s">
        <v>606</v>
      </c>
      <c r="C4069" s="1" t="s">
        <v>279</v>
      </c>
      <c r="F4069" s="1" t="n">
        <v>40</v>
      </c>
      <c r="G4069" s="1" t="n">
        <v>35</v>
      </c>
      <c r="H4069" s="1" t="n">
        <v>35</v>
      </c>
      <c r="I4069" s="1" t="str">
        <f aca="false">B4069&amp;"|"&amp;C4069</f>
        <v>Motel Guest Rooms|Average</v>
      </c>
      <c r="J4069" s="1" t="s">
        <v>1598</v>
      </c>
    </row>
    <row r="4070" customFormat="false" ht="12" hidden="false" customHeight="true" outlineLevel="0" collapsed="false">
      <c r="B4070" s="1" t="s">
        <v>606</v>
      </c>
      <c r="C4070" s="1" t="s">
        <v>480</v>
      </c>
      <c r="F4070" s="1" t="n">
        <v>35</v>
      </c>
      <c r="G4070" s="1" t="n">
        <v>30</v>
      </c>
      <c r="I4070" s="1" t="str">
        <f aca="false">B4070&amp;"|"&amp;C4070</f>
        <v>Motel Guest Rooms|Low Cost</v>
      </c>
      <c r="J4070" s="1" t="s">
        <v>1617</v>
      </c>
    </row>
    <row r="4071" customFormat="false" ht="12" hidden="false" customHeight="true" outlineLevel="0" collapsed="false">
      <c r="B4071" s="1" t="s">
        <v>606</v>
      </c>
      <c r="C4071" s="1" t="s">
        <v>567</v>
      </c>
      <c r="F4071" s="1" t="n">
        <v>35</v>
      </c>
      <c r="G4071" s="1" t="n">
        <v>30</v>
      </c>
      <c r="I4071" s="1" t="str">
        <f aca="false">B4071&amp;"|"&amp;C4071</f>
        <v>Motel Guest Rooms|Cheap</v>
      </c>
      <c r="J4071" s="1" t="s">
        <v>1617</v>
      </c>
    </row>
    <row r="4072" customFormat="false" ht="12" hidden="false" customHeight="true" outlineLevel="0" collapsed="false">
      <c r="B4072" s="1" t="s">
        <v>608</v>
      </c>
      <c r="C4072" s="1" t="s">
        <v>485</v>
      </c>
      <c r="F4072" s="1" t="n">
        <v>50</v>
      </c>
      <c r="G4072" s="1" t="n">
        <v>45</v>
      </c>
      <c r="I4072" s="1" t="str">
        <f aca="false">B4072&amp;"|"&amp;C4072</f>
        <v>Lodges|Excellent</v>
      </c>
      <c r="J4072" s="1" t="s">
        <v>1619</v>
      </c>
    </row>
    <row r="4073" customFormat="false" ht="12" hidden="false" customHeight="true" outlineLevel="0" collapsed="false">
      <c r="B4073" s="1" t="s">
        <v>608</v>
      </c>
      <c r="C4073" s="1" t="s">
        <v>503</v>
      </c>
      <c r="F4073" s="1" t="n">
        <v>50</v>
      </c>
      <c r="G4073" s="1" t="n">
        <v>45</v>
      </c>
      <c r="I4073" s="1" t="str">
        <f aca="false">B4073&amp;"|"&amp;C4073</f>
        <v>Lodges|Very Good</v>
      </c>
      <c r="J4073" s="1" t="s">
        <v>1619</v>
      </c>
    </row>
    <row r="4074" customFormat="false" ht="12" hidden="false" customHeight="true" outlineLevel="0" collapsed="false">
      <c r="B4074" s="1" t="s">
        <v>608</v>
      </c>
      <c r="C4074" s="1" t="s">
        <v>483</v>
      </c>
      <c r="F4074" s="1" t="n">
        <v>45</v>
      </c>
      <c r="G4074" s="1" t="n">
        <v>40</v>
      </c>
      <c r="I4074" s="1" t="str">
        <f aca="false">B4074&amp;"|"&amp;C4074</f>
        <v>Lodges|Good</v>
      </c>
      <c r="J4074" s="1" t="s">
        <v>1600</v>
      </c>
    </row>
    <row r="4075" customFormat="false" ht="12" hidden="false" customHeight="true" outlineLevel="0" collapsed="false">
      <c r="B4075" s="1" t="s">
        <v>608</v>
      </c>
      <c r="C4075" s="1" t="s">
        <v>279</v>
      </c>
      <c r="F4075" s="1" t="n">
        <v>40</v>
      </c>
      <c r="G4075" s="1" t="n">
        <v>35</v>
      </c>
      <c r="I4075" s="1" t="str">
        <f aca="false">B4075&amp;"|"&amp;C4075</f>
        <v>Lodges|Average</v>
      </c>
      <c r="J4075" s="1" t="s">
        <v>1598</v>
      </c>
    </row>
    <row r="4076" customFormat="false" ht="12" hidden="false" customHeight="true" outlineLevel="0" collapsed="false">
      <c r="B4076" s="1" t="s">
        <v>608</v>
      </c>
      <c r="C4076" s="1" t="s">
        <v>555</v>
      </c>
      <c r="F4076" s="1" t="n">
        <v>35</v>
      </c>
      <c r="G4076" s="1" t="n">
        <v>30</v>
      </c>
      <c r="I4076" s="1" t="str">
        <f aca="false">B4076&amp;"|"&amp;C4076</f>
        <v>Lodges|Fair</v>
      </c>
      <c r="J4076" s="1" t="s">
        <v>1604</v>
      </c>
    </row>
    <row r="4077" customFormat="false" ht="12" hidden="false" customHeight="true" outlineLevel="0" collapsed="false">
      <c r="B4077" s="1" t="s">
        <v>608</v>
      </c>
      <c r="C4077" s="1" t="s">
        <v>480</v>
      </c>
      <c r="F4077" s="1" t="n">
        <v>35</v>
      </c>
      <c r="G4077" s="1" t="n">
        <v>30</v>
      </c>
      <c r="I4077" s="1" t="str">
        <f aca="false">B4077&amp;"|"&amp;C4077</f>
        <v>Lodges|Low Cost</v>
      </c>
      <c r="J4077" s="1" t="s">
        <v>1604</v>
      </c>
    </row>
    <row r="4078" customFormat="false" ht="12" hidden="false" customHeight="true" outlineLevel="0" collapsed="false">
      <c r="B4078" s="1" t="s">
        <v>608</v>
      </c>
      <c r="C4078" s="1" t="s">
        <v>567</v>
      </c>
      <c r="F4078" s="1" t="n">
        <v>35</v>
      </c>
      <c r="G4078" s="1" t="n">
        <v>30</v>
      </c>
      <c r="I4078" s="1" t="str">
        <f aca="false">B4078&amp;"|"&amp;C4078</f>
        <v>Lodges|Cheap</v>
      </c>
      <c r="J4078" s="1" t="s">
        <v>1609</v>
      </c>
    </row>
    <row r="4079" customFormat="false" ht="12" hidden="false" customHeight="true" outlineLevel="0" collapsed="false">
      <c r="B4079" s="1" t="s">
        <v>611</v>
      </c>
      <c r="C4079" s="1" t="s">
        <v>485</v>
      </c>
      <c r="F4079" s="1" t="n">
        <v>50</v>
      </c>
      <c r="G4079" s="1" t="n">
        <v>45</v>
      </c>
      <c r="I4079" s="1" t="str">
        <f aca="false">B4079&amp;"|"&amp;C4079</f>
        <v>Guest Cottages|Excellent</v>
      </c>
      <c r="J4079" s="1" t="s">
        <v>1620</v>
      </c>
    </row>
    <row r="4080" customFormat="false" ht="12" hidden="false" customHeight="true" outlineLevel="0" collapsed="false">
      <c r="B4080" s="1" t="s">
        <v>611</v>
      </c>
      <c r="C4080" s="1" t="s">
        <v>483</v>
      </c>
      <c r="F4080" s="1" t="n">
        <v>45</v>
      </c>
      <c r="G4080" s="1" t="n">
        <v>40</v>
      </c>
      <c r="I4080" s="1" t="str">
        <f aca="false">B4080&amp;"|"&amp;C4080</f>
        <v>Guest Cottages|Good</v>
      </c>
      <c r="J4080" s="1" t="s">
        <v>1600</v>
      </c>
    </row>
    <row r="4081" customFormat="false" ht="12" hidden="false" customHeight="true" outlineLevel="0" collapsed="false">
      <c r="B4081" s="1" t="s">
        <v>611</v>
      </c>
      <c r="C4081" s="1" t="s">
        <v>279</v>
      </c>
      <c r="F4081" s="1" t="n">
        <v>40</v>
      </c>
      <c r="G4081" s="1" t="n">
        <v>35</v>
      </c>
      <c r="I4081" s="1" t="str">
        <f aca="false">B4081&amp;"|"&amp;C4081</f>
        <v>Guest Cottages|Average</v>
      </c>
      <c r="J4081" s="1" t="s">
        <v>1598</v>
      </c>
    </row>
    <row r="4082" customFormat="false" ht="12" hidden="false" customHeight="true" outlineLevel="0" collapsed="false">
      <c r="B4082" s="1" t="s">
        <v>611</v>
      </c>
      <c r="C4082" s="1" t="s">
        <v>555</v>
      </c>
      <c r="F4082" s="1" t="n">
        <v>35</v>
      </c>
      <c r="G4082" s="1" t="n">
        <v>30</v>
      </c>
      <c r="I4082" s="1" t="str">
        <f aca="false">B4082&amp;"|"&amp;C4082</f>
        <v>Guest Cottages|Fair</v>
      </c>
      <c r="J4082" s="1" t="s">
        <v>1604</v>
      </c>
    </row>
    <row r="4083" customFormat="false" ht="12" hidden="false" customHeight="true" outlineLevel="0" collapsed="false">
      <c r="B4083" s="1" t="s">
        <v>611</v>
      </c>
      <c r="C4083" s="1" t="s">
        <v>480</v>
      </c>
      <c r="F4083" s="1" t="n">
        <v>35</v>
      </c>
      <c r="G4083" s="1" t="n">
        <v>30</v>
      </c>
      <c r="I4083" s="1" t="str">
        <f aca="false">B4083&amp;"|"&amp;C4083</f>
        <v>Guest Cottages|Low Cost</v>
      </c>
      <c r="J4083" s="1" t="s">
        <v>1604</v>
      </c>
    </row>
    <row r="4084" customFormat="false" ht="12" hidden="false" customHeight="true" outlineLevel="0" collapsed="false">
      <c r="B4084" s="1" t="s">
        <v>611</v>
      </c>
      <c r="C4084" s="1" t="s">
        <v>567</v>
      </c>
      <c r="G4084" s="1" t="n">
        <v>25</v>
      </c>
      <c r="I4084" s="1" t="str">
        <f aca="false">B4084&amp;"|"&amp;C4084</f>
        <v>Guest Cottages|Cheap</v>
      </c>
      <c r="J4084" s="1" t="s">
        <v>1609</v>
      </c>
    </row>
    <row r="4085" customFormat="false" ht="12" hidden="false" customHeight="true" outlineLevel="0" collapsed="false">
      <c r="B4085" s="1" t="s">
        <v>615</v>
      </c>
      <c r="C4085" s="1" t="s">
        <v>485</v>
      </c>
      <c r="F4085" s="1" t="n">
        <v>65</v>
      </c>
      <c r="G4085" s="1" t="n">
        <v>60</v>
      </c>
      <c r="I4085" s="1" t="str">
        <f aca="false">B4085&amp;"|"&amp;C4085</f>
        <v>Bed and Breakfast Inns|Excellent</v>
      </c>
      <c r="J4085" s="1" t="s">
        <v>1621</v>
      </c>
    </row>
    <row r="4086" customFormat="false" ht="12" hidden="false" customHeight="true" outlineLevel="0" collapsed="false">
      <c r="B4086" s="1" t="s">
        <v>615</v>
      </c>
      <c r="C4086" s="1" t="s">
        <v>483</v>
      </c>
      <c r="F4086" s="1" t="n">
        <v>60</v>
      </c>
      <c r="G4086" s="1" t="n">
        <v>55</v>
      </c>
      <c r="I4086" s="1" t="str">
        <f aca="false">B4086&amp;"|"&amp;C4086</f>
        <v>Bed and Breakfast Inns|Good</v>
      </c>
      <c r="J4086" s="1" t="s">
        <v>1600</v>
      </c>
    </row>
    <row r="4087" customFormat="false" ht="12" hidden="false" customHeight="true" outlineLevel="0" collapsed="false">
      <c r="B4087" s="1" t="s">
        <v>615</v>
      </c>
      <c r="C4087" s="1" t="s">
        <v>279</v>
      </c>
      <c r="F4087" s="1" t="n">
        <v>55</v>
      </c>
      <c r="G4087" s="1" t="n">
        <v>50</v>
      </c>
      <c r="I4087" s="1" t="str">
        <f aca="false">B4087&amp;"|"&amp;C4087</f>
        <v>Bed and Breakfast Inns|Average</v>
      </c>
      <c r="J4087" s="1" t="s">
        <v>1598</v>
      </c>
    </row>
    <row r="4088" customFormat="false" ht="12" hidden="false" customHeight="true" outlineLevel="0" collapsed="false">
      <c r="B4088" s="1" t="s">
        <v>615</v>
      </c>
      <c r="C4088" s="1" t="s">
        <v>480</v>
      </c>
      <c r="F4088" s="1" t="n">
        <v>50</v>
      </c>
      <c r="G4088" s="1" t="n">
        <v>45</v>
      </c>
      <c r="I4088" s="1" t="str">
        <f aca="false">B4088&amp;"|"&amp;C4088</f>
        <v>Bed and Breakfast Inns|Low Cost</v>
      </c>
      <c r="J4088" s="1" t="s">
        <v>1602</v>
      </c>
    </row>
    <row r="4089" customFormat="false" ht="12" hidden="false" customHeight="true" outlineLevel="0" collapsed="false">
      <c r="B4089" s="1" t="s">
        <v>617</v>
      </c>
      <c r="C4089" s="1" t="s">
        <v>485</v>
      </c>
      <c r="F4089" s="1" t="n">
        <v>60</v>
      </c>
      <c r="G4089" s="1" t="n">
        <v>55</v>
      </c>
      <c r="I4089" s="1" t="str">
        <f aca="false">B4089&amp;"|"&amp;C4089</f>
        <v>Multiple Residences|Excellent</v>
      </c>
      <c r="J4089" s="1" t="s">
        <v>1622</v>
      </c>
    </row>
    <row r="4090" customFormat="false" ht="12" hidden="false" customHeight="true" outlineLevel="0" collapsed="false">
      <c r="B4090" s="1" t="s">
        <v>617</v>
      </c>
      <c r="C4090" s="1" t="s">
        <v>483</v>
      </c>
      <c r="F4090" s="1" t="n">
        <v>55</v>
      </c>
      <c r="G4090" s="1" t="n">
        <v>50</v>
      </c>
      <c r="H4090" s="1" t="n">
        <v>50</v>
      </c>
      <c r="I4090" s="1" t="str">
        <f aca="false">B4090&amp;"|"&amp;C4090</f>
        <v>Multiple Residences|Good</v>
      </c>
      <c r="J4090" s="1" t="s">
        <v>1600</v>
      </c>
    </row>
    <row r="4091" customFormat="false" ht="12" hidden="false" customHeight="true" outlineLevel="0" collapsed="false">
      <c r="B4091" s="1" t="s">
        <v>617</v>
      </c>
      <c r="C4091" s="1" t="s">
        <v>279</v>
      </c>
      <c r="F4091" s="1" t="n">
        <v>55</v>
      </c>
      <c r="G4091" s="1" t="n">
        <v>50</v>
      </c>
      <c r="H4091" s="1" t="n">
        <v>50</v>
      </c>
      <c r="I4091" s="1" t="str">
        <f aca="false">B4091&amp;"|"&amp;C4091</f>
        <v>Multiple Residences|Average</v>
      </c>
      <c r="J4091" s="1" t="s">
        <v>1598</v>
      </c>
    </row>
    <row r="4092" customFormat="false" ht="12" hidden="false" customHeight="true" outlineLevel="0" collapsed="false">
      <c r="B4092" s="1" t="s">
        <v>617</v>
      </c>
      <c r="C4092" s="1" t="s">
        <v>555</v>
      </c>
      <c r="F4092" s="1" t="n">
        <v>50</v>
      </c>
      <c r="G4092" s="1" t="n">
        <v>45</v>
      </c>
      <c r="I4092" s="1" t="str">
        <f aca="false">B4092&amp;"|"&amp;C4092</f>
        <v>Multiple Residences|Fair</v>
      </c>
      <c r="J4092" s="1" t="s">
        <v>1604</v>
      </c>
    </row>
    <row r="4093" customFormat="false" ht="12" hidden="false" customHeight="true" outlineLevel="0" collapsed="false">
      <c r="B4093" s="1" t="s">
        <v>617</v>
      </c>
      <c r="C4093" s="1" t="s">
        <v>480</v>
      </c>
      <c r="F4093" s="1" t="n">
        <v>50</v>
      </c>
      <c r="G4093" s="1" t="n">
        <v>45</v>
      </c>
      <c r="I4093" s="1" t="str">
        <f aca="false">B4093&amp;"|"&amp;C4093</f>
        <v>Multiple Residences|Low Cost</v>
      </c>
      <c r="J4093" s="1" t="s">
        <v>1604</v>
      </c>
    </row>
    <row r="4094" customFormat="false" ht="12" hidden="false" customHeight="true" outlineLevel="0" collapsed="false">
      <c r="B4094" s="1" t="s">
        <v>620</v>
      </c>
      <c r="C4094" s="1" t="s">
        <v>485</v>
      </c>
      <c r="F4094" s="1" t="n">
        <v>60</v>
      </c>
      <c r="G4094" s="1" t="n">
        <v>55</v>
      </c>
      <c r="I4094" s="1" t="str">
        <f aca="false">B4094&amp;"|"&amp;C4094</f>
        <v>Shell Multiple Residence Buildings|Excellent</v>
      </c>
      <c r="J4094" s="1" t="s">
        <v>1622</v>
      </c>
    </row>
    <row r="4095" customFormat="false" ht="12" hidden="false" customHeight="true" outlineLevel="0" collapsed="false">
      <c r="B4095" s="1" t="s">
        <v>620</v>
      </c>
      <c r="C4095" s="1" t="s">
        <v>483</v>
      </c>
      <c r="F4095" s="1" t="n">
        <v>55</v>
      </c>
      <c r="G4095" s="1" t="n">
        <v>50</v>
      </c>
      <c r="H4095" s="1" t="n">
        <v>50</v>
      </c>
      <c r="I4095" s="1" t="str">
        <f aca="false">B4095&amp;"|"&amp;C4095</f>
        <v>Shell Multiple Residence Buildings|Good</v>
      </c>
      <c r="J4095" s="1" t="s">
        <v>1600</v>
      </c>
    </row>
    <row r="4096" customFormat="false" ht="12" hidden="false" customHeight="true" outlineLevel="0" collapsed="false">
      <c r="B4096" s="1" t="s">
        <v>620</v>
      </c>
      <c r="C4096" s="1" t="s">
        <v>279</v>
      </c>
      <c r="F4096" s="1" t="n">
        <v>55</v>
      </c>
      <c r="G4096" s="1" t="n">
        <v>50</v>
      </c>
      <c r="H4096" s="1" t="n">
        <v>50</v>
      </c>
      <c r="I4096" s="1" t="str">
        <f aca="false">B4096&amp;"|"&amp;C4096</f>
        <v>Shell Multiple Residence Buildings|Average</v>
      </c>
      <c r="J4096" s="1" t="s">
        <v>1598</v>
      </c>
    </row>
    <row r="4097" customFormat="false" ht="12" hidden="false" customHeight="true" outlineLevel="0" collapsed="false">
      <c r="B4097" s="1" t="s">
        <v>620</v>
      </c>
      <c r="C4097" s="1" t="s">
        <v>555</v>
      </c>
      <c r="F4097" s="1" t="n">
        <v>50</v>
      </c>
      <c r="G4097" s="1" t="n">
        <v>45</v>
      </c>
      <c r="I4097" s="1" t="str">
        <f aca="false">B4097&amp;"|"&amp;C4097</f>
        <v>Shell Multiple Residence Buildings|Fair</v>
      </c>
      <c r="J4097" s="1" t="s">
        <v>1604</v>
      </c>
    </row>
    <row r="4098" customFormat="false" ht="12" hidden="false" customHeight="true" outlineLevel="0" collapsed="false">
      <c r="B4098" s="1" t="s">
        <v>623</v>
      </c>
      <c r="C4098" s="1" t="s">
        <v>485</v>
      </c>
      <c r="F4098" s="1" t="n">
        <v>60</v>
      </c>
      <c r="G4098" s="1" t="n">
        <v>55</v>
      </c>
      <c r="I4098" s="1" t="str">
        <f aca="false">B4098&amp;"|"&amp;C4098</f>
        <v>Multiple Residences – Senior Citizen|Excellent</v>
      </c>
      <c r="J4098" s="1" t="s">
        <v>1622</v>
      </c>
    </row>
    <row r="4099" customFormat="false" ht="12" hidden="false" customHeight="true" outlineLevel="0" collapsed="false">
      <c r="B4099" s="1" t="s">
        <v>623</v>
      </c>
      <c r="C4099" s="1" t="s">
        <v>483</v>
      </c>
      <c r="F4099" s="1" t="n">
        <v>55</v>
      </c>
      <c r="G4099" s="1" t="n">
        <v>50</v>
      </c>
      <c r="H4099" s="1" t="n">
        <v>50</v>
      </c>
      <c r="I4099" s="1" t="str">
        <f aca="false">B4099&amp;"|"&amp;C4099</f>
        <v>Multiple Residences – Senior Citizen|Good</v>
      </c>
      <c r="J4099" s="1" t="s">
        <v>1600</v>
      </c>
    </row>
    <row r="4100" customFormat="false" ht="12" hidden="false" customHeight="true" outlineLevel="0" collapsed="false">
      <c r="B4100" s="1" t="s">
        <v>623</v>
      </c>
      <c r="C4100" s="1" t="s">
        <v>279</v>
      </c>
      <c r="F4100" s="1" t="n">
        <v>55</v>
      </c>
      <c r="G4100" s="1" t="n">
        <v>50</v>
      </c>
      <c r="H4100" s="1" t="n">
        <v>50</v>
      </c>
      <c r="I4100" s="1" t="str">
        <f aca="false">B4100&amp;"|"&amp;C4100</f>
        <v>Multiple Residences – Senior Citizen|Average</v>
      </c>
      <c r="J4100" s="1" t="s">
        <v>1598</v>
      </c>
    </row>
    <row r="4101" customFormat="false" ht="12" hidden="false" customHeight="true" outlineLevel="0" collapsed="false">
      <c r="B4101" s="1" t="s">
        <v>623</v>
      </c>
      <c r="C4101" s="1" t="s">
        <v>555</v>
      </c>
      <c r="F4101" s="1" t="n">
        <v>50</v>
      </c>
      <c r="G4101" s="1" t="n">
        <v>45</v>
      </c>
      <c r="I4101" s="1" t="str">
        <f aca="false">B4101&amp;"|"&amp;C4101</f>
        <v>Multiple Residences – Senior Citizen|Fair</v>
      </c>
      <c r="J4101" s="1" t="s">
        <v>1604</v>
      </c>
    </row>
    <row r="4102" customFormat="false" ht="12" hidden="false" customHeight="true" outlineLevel="0" collapsed="false">
      <c r="B4102" s="1" t="s">
        <v>623</v>
      </c>
      <c r="C4102" s="1" t="s">
        <v>480</v>
      </c>
      <c r="F4102" s="1" t="n">
        <v>50</v>
      </c>
      <c r="G4102" s="1" t="n">
        <v>45</v>
      </c>
      <c r="I4102" s="1" t="str">
        <f aca="false">B4102&amp;"|"&amp;C4102</f>
        <v>Multiple Residences – Senior Citizen|Low Cost</v>
      </c>
      <c r="J4102" s="1" t="s">
        <v>1604</v>
      </c>
    </row>
    <row r="4103" customFormat="false" ht="12" hidden="false" customHeight="true" outlineLevel="0" collapsed="false">
      <c r="B4103" s="1" t="s">
        <v>626</v>
      </c>
      <c r="C4103" s="1" t="s">
        <v>485</v>
      </c>
      <c r="F4103" s="1" t="n">
        <v>60</v>
      </c>
      <c r="G4103" s="1" t="n">
        <v>55</v>
      </c>
      <c r="I4103" s="1" t="str">
        <f aca="false">B4103&amp;"|"&amp;C4103</f>
        <v>Shell Multiple Residences - Senior Citizen|Excellent</v>
      </c>
      <c r="J4103" s="1" t="s">
        <v>1622</v>
      </c>
    </row>
    <row r="4104" customFormat="false" ht="12" hidden="false" customHeight="true" outlineLevel="0" collapsed="false">
      <c r="B4104" s="1" t="s">
        <v>626</v>
      </c>
      <c r="C4104" s="1" t="s">
        <v>483</v>
      </c>
      <c r="F4104" s="1" t="n">
        <v>55</v>
      </c>
      <c r="G4104" s="1" t="n">
        <v>50</v>
      </c>
      <c r="H4104" s="1" t="n">
        <v>50</v>
      </c>
      <c r="I4104" s="1" t="str">
        <f aca="false">B4104&amp;"|"&amp;C4104</f>
        <v>Shell Multiple Residences - Senior Citizen|Good</v>
      </c>
      <c r="J4104" s="1" t="s">
        <v>1600</v>
      </c>
    </row>
    <row r="4105" customFormat="false" ht="12" hidden="false" customHeight="true" outlineLevel="0" collapsed="false">
      <c r="B4105" s="1" t="s">
        <v>626</v>
      </c>
      <c r="C4105" s="1" t="s">
        <v>279</v>
      </c>
      <c r="F4105" s="1" t="n">
        <v>55</v>
      </c>
      <c r="G4105" s="1" t="n">
        <v>50</v>
      </c>
      <c r="H4105" s="1" t="n">
        <v>50</v>
      </c>
      <c r="I4105" s="1" t="str">
        <f aca="false">B4105&amp;"|"&amp;C4105</f>
        <v>Shell Multiple Residences - Senior Citizen|Average</v>
      </c>
      <c r="J4105" s="1" t="s">
        <v>1598</v>
      </c>
    </row>
    <row r="4106" customFormat="false" ht="12" hidden="false" customHeight="true" outlineLevel="0" collapsed="false">
      <c r="B4106" s="1" t="s">
        <v>626</v>
      </c>
      <c r="C4106" s="1" t="s">
        <v>555</v>
      </c>
      <c r="F4106" s="1" t="n">
        <v>50</v>
      </c>
      <c r="G4106" s="1" t="n">
        <v>45</v>
      </c>
      <c r="I4106" s="1" t="str">
        <f aca="false">B4106&amp;"|"&amp;C4106</f>
        <v>Shell Multiple Residences - Senior Citizen|Fair</v>
      </c>
      <c r="J4106" s="1" t="s">
        <v>1604</v>
      </c>
    </row>
    <row r="4107" customFormat="false" ht="12" hidden="false" customHeight="true" outlineLevel="0" collapsed="false">
      <c r="B4107" s="1" t="s">
        <v>626</v>
      </c>
      <c r="C4107" s="1" t="s">
        <v>480</v>
      </c>
      <c r="F4107" s="1" t="n">
        <v>50</v>
      </c>
      <c r="G4107" s="1" t="n">
        <v>45</v>
      </c>
      <c r="I4107" s="1" t="str">
        <f aca="false">B4107&amp;"|"&amp;C4107</f>
        <v>Shell Multiple Residences - Senior Citizen|Low Cost</v>
      </c>
      <c r="J4107" s="1" t="s">
        <v>1604</v>
      </c>
    </row>
    <row r="4108" customFormat="false" ht="12" hidden="false" customHeight="true" outlineLevel="0" collapsed="false">
      <c r="B4108" s="1" t="s">
        <v>629</v>
      </c>
      <c r="C4108" s="1" t="s">
        <v>485</v>
      </c>
      <c r="F4108" s="1" t="n">
        <v>60</v>
      </c>
      <c r="G4108" s="1" t="n">
        <v>55</v>
      </c>
      <c r="I4108" s="1" t="str">
        <f aca="false">B4108&amp;"|"&amp;C4108</f>
        <v>Multiple Residences – Elderly Assisted Living|Excellent</v>
      </c>
      <c r="J4108" s="1" t="s">
        <v>1623</v>
      </c>
    </row>
    <row r="4109" customFormat="false" ht="12" hidden="false" customHeight="true" outlineLevel="0" collapsed="false">
      <c r="B4109" s="1" t="s">
        <v>629</v>
      </c>
      <c r="C4109" s="1" t="s">
        <v>483</v>
      </c>
      <c r="F4109" s="1" t="n">
        <v>55</v>
      </c>
      <c r="G4109" s="1" t="n">
        <v>50</v>
      </c>
      <c r="H4109" s="1" t="n">
        <v>50</v>
      </c>
      <c r="I4109" s="1" t="str">
        <f aca="false">B4109&amp;"|"&amp;C4109</f>
        <v>Multiple Residences – Elderly Assisted Living|Good</v>
      </c>
      <c r="J4109" s="1" t="s">
        <v>1613</v>
      </c>
    </row>
    <row r="4110" customFormat="false" ht="12" hidden="false" customHeight="true" outlineLevel="0" collapsed="false">
      <c r="B4110" s="1" t="s">
        <v>629</v>
      </c>
      <c r="C4110" s="1" t="s">
        <v>279</v>
      </c>
      <c r="F4110" s="1" t="n">
        <v>55</v>
      </c>
      <c r="G4110" s="1" t="n">
        <v>50</v>
      </c>
      <c r="H4110" s="1" t="n">
        <v>50</v>
      </c>
      <c r="I4110" s="1" t="str">
        <f aca="false">B4110&amp;"|"&amp;C4110</f>
        <v>Multiple Residences – Elderly Assisted Living|Average</v>
      </c>
      <c r="J4110" s="1" t="s">
        <v>1613</v>
      </c>
    </row>
    <row r="4111" customFormat="false" ht="12" hidden="false" customHeight="true" outlineLevel="0" collapsed="false">
      <c r="B4111" s="1" t="s">
        <v>629</v>
      </c>
      <c r="C4111" s="1" t="s">
        <v>555</v>
      </c>
      <c r="F4111" s="1" t="n">
        <v>50</v>
      </c>
      <c r="G4111" s="1" t="n">
        <v>45</v>
      </c>
      <c r="H4111" s="1" t="n">
        <v>45</v>
      </c>
      <c r="I4111" s="1" t="str">
        <f aca="false">B4111&amp;"|"&amp;C4111</f>
        <v>Multiple Residences – Elderly Assisted Living|Fair</v>
      </c>
      <c r="J4111" s="1" t="s">
        <v>1604</v>
      </c>
    </row>
    <row r="4112" customFormat="false" ht="12" hidden="false" customHeight="true" outlineLevel="0" collapsed="false">
      <c r="B4112" s="1" t="s">
        <v>629</v>
      </c>
      <c r="C4112" s="1" t="s">
        <v>480</v>
      </c>
      <c r="F4112" s="1" t="n">
        <v>50</v>
      </c>
      <c r="G4112" s="1" t="n">
        <v>45</v>
      </c>
      <c r="H4112" s="1" t="n">
        <v>45</v>
      </c>
      <c r="I4112" s="1" t="str">
        <f aca="false">B4112&amp;"|"&amp;C4112</f>
        <v>Multiple Residences – Elderly Assisted Living|Low Cost</v>
      </c>
      <c r="J4112" s="1" t="s">
        <v>1604</v>
      </c>
    </row>
    <row r="4113" customFormat="false" ht="12" hidden="false" customHeight="true" outlineLevel="0" collapsed="false">
      <c r="B4113" s="1" t="s">
        <v>632</v>
      </c>
      <c r="C4113" s="1" t="s">
        <v>485</v>
      </c>
      <c r="F4113" s="1" t="n">
        <v>60</v>
      </c>
      <c r="G4113" s="1" t="n">
        <v>55</v>
      </c>
      <c r="I4113" s="1" t="str">
        <f aca="false">B4113&amp;"|"&amp;C4113</f>
        <v>Shell Multiple Residences - Elderly Assisted Living|Excellent</v>
      </c>
      <c r="J4113" s="1" t="s">
        <v>1623</v>
      </c>
    </row>
    <row r="4114" customFormat="false" ht="12" hidden="false" customHeight="true" outlineLevel="0" collapsed="false">
      <c r="B4114" s="1" t="s">
        <v>632</v>
      </c>
      <c r="C4114" s="1" t="s">
        <v>483</v>
      </c>
      <c r="F4114" s="1" t="n">
        <v>55</v>
      </c>
      <c r="G4114" s="1" t="n">
        <v>50</v>
      </c>
      <c r="H4114" s="1" t="n">
        <v>50</v>
      </c>
      <c r="I4114" s="1" t="str">
        <f aca="false">B4114&amp;"|"&amp;C4114</f>
        <v>Shell Multiple Residences - Elderly Assisted Living|Good</v>
      </c>
      <c r="J4114" s="1" t="s">
        <v>1613</v>
      </c>
    </row>
    <row r="4115" customFormat="false" ht="12" hidden="false" customHeight="true" outlineLevel="0" collapsed="false">
      <c r="B4115" s="1" t="s">
        <v>632</v>
      </c>
      <c r="C4115" s="1" t="s">
        <v>279</v>
      </c>
      <c r="F4115" s="1" t="n">
        <v>55</v>
      </c>
      <c r="G4115" s="1" t="n">
        <v>50</v>
      </c>
      <c r="H4115" s="1" t="n">
        <v>50</v>
      </c>
      <c r="I4115" s="1" t="str">
        <f aca="false">B4115&amp;"|"&amp;C4115</f>
        <v>Shell Multiple Residences - Elderly Assisted Living|Average</v>
      </c>
      <c r="J4115" s="1" t="s">
        <v>1613</v>
      </c>
    </row>
    <row r="4116" customFormat="false" ht="12" hidden="false" customHeight="true" outlineLevel="0" collapsed="false">
      <c r="B4116" s="1" t="s">
        <v>632</v>
      </c>
      <c r="C4116" s="1" t="s">
        <v>555</v>
      </c>
      <c r="F4116" s="1" t="n">
        <v>50</v>
      </c>
      <c r="G4116" s="1" t="n">
        <v>45</v>
      </c>
      <c r="H4116" s="1" t="n">
        <v>45</v>
      </c>
      <c r="I4116" s="1" t="str">
        <f aca="false">B4116&amp;"|"&amp;C4116</f>
        <v>Shell Multiple Residences - Elderly Assisted Living|Fair</v>
      </c>
      <c r="J4116" s="1" t="s">
        <v>1604</v>
      </c>
    </row>
    <row r="4117" customFormat="false" ht="12" hidden="false" customHeight="true" outlineLevel="0" collapsed="false">
      <c r="B4117" s="1" t="s">
        <v>632</v>
      </c>
      <c r="C4117" s="1" t="s">
        <v>480</v>
      </c>
      <c r="F4117" s="1" t="n">
        <v>50</v>
      </c>
      <c r="G4117" s="1" t="n">
        <v>45</v>
      </c>
      <c r="H4117" s="1" t="n">
        <v>45</v>
      </c>
      <c r="I4117" s="1" t="str">
        <f aca="false">B4117&amp;"|"&amp;C4117</f>
        <v>Shell Multiple Residences - Elderly Assisted Living|Low Cost</v>
      </c>
      <c r="J4117" s="1" t="s">
        <v>1604</v>
      </c>
    </row>
    <row r="4118" customFormat="false" ht="12" hidden="false" customHeight="true" outlineLevel="0" collapsed="false">
      <c r="B4118" s="1" t="s">
        <v>635</v>
      </c>
      <c r="C4118" s="1" t="s">
        <v>483</v>
      </c>
      <c r="F4118" s="1" t="n">
        <v>55</v>
      </c>
      <c r="G4118" s="1" t="n">
        <v>50</v>
      </c>
      <c r="H4118" s="1" t="n">
        <v>50</v>
      </c>
      <c r="I4118" s="1" t="str">
        <f aca="false">B4118&amp;"|"&amp;C4118</f>
        <v>Multiple Residences – Retirement Community Complex|Good</v>
      </c>
      <c r="J4118" s="1" t="s">
        <v>1613</v>
      </c>
    </row>
    <row r="4119" customFormat="false" ht="12" hidden="false" customHeight="true" outlineLevel="0" collapsed="false">
      <c r="B4119" s="1" t="s">
        <v>635</v>
      </c>
      <c r="C4119" s="1" t="s">
        <v>279</v>
      </c>
      <c r="F4119" s="1" t="n">
        <v>55</v>
      </c>
      <c r="G4119" s="1" t="n">
        <v>50</v>
      </c>
      <c r="H4119" s="1" t="n">
        <v>50</v>
      </c>
      <c r="I4119" s="1" t="str">
        <f aca="false">B4119&amp;"|"&amp;C4119</f>
        <v>Multiple Residences – Retirement Community Complex|Average</v>
      </c>
      <c r="J4119" s="1" t="s">
        <v>1613</v>
      </c>
    </row>
    <row r="4120" customFormat="false" ht="12" hidden="false" customHeight="true" outlineLevel="0" collapsed="false">
      <c r="B4120" s="1" t="s">
        <v>635</v>
      </c>
      <c r="C4120" s="1" t="s">
        <v>555</v>
      </c>
      <c r="F4120" s="1" t="n">
        <v>50</v>
      </c>
      <c r="G4120" s="1" t="n">
        <v>45</v>
      </c>
      <c r="H4120" s="1" t="n">
        <v>45</v>
      </c>
      <c r="I4120" s="1" t="str">
        <f aca="false">B4120&amp;"|"&amp;C4120</f>
        <v>Multiple Residences – Retirement Community Complex|Fair</v>
      </c>
      <c r="J4120" s="1" t="s">
        <v>1604</v>
      </c>
    </row>
    <row r="4121" customFormat="false" ht="12" hidden="false" customHeight="true" outlineLevel="0" collapsed="false">
      <c r="B4121" s="1" t="s">
        <v>635</v>
      </c>
      <c r="C4121" s="1" t="s">
        <v>480</v>
      </c>
      <c r="F4121" s="1" t="n">
        <v>50</v>
      </c>
      <c r="G4121" s="1" t="n">
        <v>45</v>
      </c>
      <c r="H4121" s="1" t="n">
        <v>45</v>
      </c>
      <c r="I4121" s="1" t="str">
        <f aca="false">B4121&amp;"|"&amp;C4121</f>
        <v>Multiple Residences – Retirement Community Complex|Low Cost</v>
      </c>
      <c r="J4121" s="1" t="s">
        <v>1604</v>
      </c>
    </row>
    <row r="4122" customFormat="false" ht="12" hidden="false" customHeight="true" outlineLevel="0" collapsed="false">
      <c r="B4122" s="1" t="s">
        <v>638</v>
      </c>
      <c r="C4122" s="1" t="s">
        <v>483</v>
      </c>
      <c r="F4122" s="1" t="n">
        <v>55</v>
      </c>
      <c r="G4122" s="1" t="n">
        <v>50</v>
      </c>
      <c r="H4122" s="1" t="n">
        <v>50</v>
      </c>
      <c r="I4122" s="1" t="str">
        <f aca="false">B4122&amp;"|"&amp;C4122</f>
        <v>Shell Multiple Residences - Retirement Community Complex|Good</v>
      </c>
      <c r="J4122" s="1" t="s">
        <v>1613</v>
      </c>
    </row>
    <row r="4123" customFormat="false" ht="12" hidden="false" customHeight="true" outlineLevel="0" collapsed="false">
      <c r="B4123" s="1" t="s">
        <v>638</v>
      </c>
      <c r="C4123" s="1" t="s">
        <v>279</v>
      </c>
      <c r="F4123" s="1" t="n">
        <v>55</v>
      </c>
      <c r="G4123" s="1" t="n">
        <v>50</v>
      </c>
      <c r="H4123" s="1" t="n">
        <v>50</v>
      </c>
      <c r="I4123" s="1" t="str">
        <f aca="false">B4123&amp;"|"&amp;C4123</f>
        <v>Shell Multiple Residences - Retirement Community Complex|Average</v>
      </c>
      <c r="J4123" s="1" t="s">
        <v>1613</v>
      </c>
    </row>
    <row r="4124" customFormat="false" ht="12" hidden="false" customHeight="true" outlineLevel="0" collapsed="false">
      <c r="B4124" s="1" t="s">
        <v>638</v>
      </c>
      <c r="C4124" s="1" t="s">
        <v>555</v>
      </c>
      <c r="F4124" s="1" t="n">
        <v>50</v>
      </c>
      <c r="G4124" s="1" t="n">
        <v>45</v>
      </c>
      <c r="H4124" s="1" t="n">
        <v>45</v>
      </c>
      <c r="I4124" s="1" t="str">
        <f aca="false">B4124&amp;"|"&amp;C4124</f>
        <v>Shell Multiple Residences - Retirement Community Complex|Fair</v>
      </c>
      <c r="J4124" s="1" t="s">
        <v>1604</v>
      </c>
    </row>
    <row r="4125" customFormat="false" ht="12" hidden="false" customHeight="true" outlineLevel="0" collapsed="false">
      <c r="B4125" s="1" t="s">
        <v>638</v>
      </c>
      <c r="C4125" s="1" t="s">
        <v>480</v>
      </c>
      <c r="F4125" s="1" t="n">
        <v>50</v>
      </c>
      <c r="G4125" s="1" t="n">
        <v>45</v>
      </c>
      <c r="H4125" s="1" t="n">
        <v>45</v>
      </c>
      <c r="I4125" s="1" t="str">
        <f aca="false">B4125&amp;"|"&amp;C4125</f>
        <v>Shell Multiple Residences - Retirement Community Complex|Low Cost</v>
      </c>
      <c r="J4125" s="1" t="s">
        <v>1604</v>
      </c>
    </row>
    <row r="4126" customFormat="false" ht="12" hidden="false" customHeight="true" outlineLevel="0" collapsed="false">
      <c r="B4126" s="1" t="s">
        <v>641</v>
      </c>
      <c r="C4126" s="1" t="s">
        <v>485</v>
      </c>
      <c r="F4126" s="1" t="n">
        <v>65</v>
      </c>
      <c r="G4126" s="1" t="n">
        <v>60</v>
      </c>
      <c r="I4126" s="1" t="str">
        <f aca="false">B4126&amp;"|"&amp;C4126</f>
        <v>Single-Family Residences|Excellent</v>
      </c>
      <c r="J4126" s="1" t="s">
        <v>1624</v>
      </c>
    </row>
    <row r="4127" customFormat="false" ht="12" hidden="false" customHeight="true" outlineLevel="0" collapsed="false">
      <c r="B4127" s="1" t="s">
        <v>641</v>
      </c>
      <c r="C4127" s="1" t="s">
        <v>503</v>
      </c>
      <c r="F4127" s="1" t="n">
        <v>60</v>
      </c>
      <c r="G4127" s="1" t="n">
        <v>55</v>
      </c>
      <c r="H4127" s="1" t="n">
        <v>55</v>
      </c>
      <c r="I4127" s="1" t="str">
        <f aca="false">B4127&amp;"|"&amp;C4127</f>
        <v>Single-Family Residences|Very Good</v>
      </c>
      <c r="J4127" s="1" t="s">
        <v>1625</v>
      </c>
    </row>
    <row r="4128" customFormat="false" ht="12" hidden="false" customHeight="true" outlineLevel="0" collapsed="false">
      <c r="B4128" s="1" t="s">
        <v>641</v>
      </c>
      <c r="C4128" s="1" t="s">
        <v>483</v>
      </c>
      <c r="F4128" s="1" t="n">
        <v>60</v>
      </c>
      <c r="G4128" s="1" t="n">
        <v>55</v>
      </c>
      <c r="H4128" s="1" t="n">
        <v>55</v>
      </c>
      <c r="I4128" s="1" t="str">
        <f aca="false">B4128&amp;"|"&amp;C4128</f>
        <v>Single-Family Residences|Good</v>
      </c>
      <c r="J4128" s="1" t="s">
        <v>1625</v>
      </c>
    </row>
    <row r="4129" customFormat="false" ht="12" hidden="false" customHeight="true" outlineLevel="0" collapsed="false">
      <c r="B4129" s="1" t="s">
        <v>641</v>
      </c>
      <c r="C4129" s="1" t="s">
        <v>279</v>
      </c>
      <c r="F4129" s="1" t="n">
        <v>60</v>
      </c>
      <c r="G4129" s="1" t="n">
        <v>55</v>
      </c>
      <c r="H4129" s="1" t="n">
        <v>55</v>
      </c>
      <c r="I4129" s="1" t="str">
        <f aca="false">B4129&amp;"|"&amp;C4129</f>
        <v>Single-Family Residences|Average</v>
      </c>
      <c r="J4129" s="1" t="s">
        <v>1625</v>
      </c>
    </row>
    <row r="4130" customFormat="false" ht="12" hidden="false" customHeight="true" outlineLevel="0" collapsed="false">
      <c r="B4130" s="1" t="s">
        <v>641</v>
      </c>
      <c r="C4130" s="1" t="s">
        <v>555</v>
      </c>
      <c r="F4130" s="1" t="n">
        <v>55</v>
      </c>
      <c r="G4130" s="1" t="n">
        <v>50</v>
      </c>
      <c r="I4130" s="1" t="str">
        <f aca="false">B4130&amp;"|"&amp;C4130</f>
        <v>Single-Family Residences|Fair</v>
      </c>
      <c r="J4130" s="1" t="s">
        <v>1626</v>
      </c>
    </row>
    <row r="4131" customFormat="false" ht="12" hidden="false" customHeight="true" outlineLevel="0" collapsed="false">
      <c r="B4131" s="1" t="s">
        <v>641</v>
      </c>
      <c r="C4131" s="1" t="s">
        <v>480</v>
      </c>
      <c r="F4131" s="1" t="n">
        <v>50</v>
      </c>
      <c r="G4131" s="1" t="n">
        <v>45</v>
      </c>
      <c r="I4131" s="1" t="str">
        <f aca="false">B4131&amp;"|"&amp;C4131</f>
        <v>Single-Family Residences|Low Cost</v>
      </c>
      <c r="J4131" s="1" t="s">
        <v>1602</v>
      </c>
    </row>
    <row r="4132" customFormat="false" ht="12" hidden="false" customHeight="true" outlineLevel="0" collapsed="false">
      <c r="B4132" s="1" t="s">
        <v>641</v>
      </c>
      <c r="C4132" s="1" t="s">
        <v>567</v>
      </c>
      <c r="F4132" s="1" t="n">
        <v>35</v>
      </c>
      <c r="G4132" s="1" t="n">
        <v>30</v>
      </c>
      <c r="I4132" s="1" t="str">
        <f aca="false">B4132&amp;"|"&amp;C4132</f>
        <v>Single-Family Residences|Cheap</v>
      </c>
      <c r="J4132" s="1" t="s">
        <v>1627</v>
      </c>
    </row>
    <row r="4133" customFormat="false" ht="12" hidden="false" customHeight="true" outlineLevel="0" collapsed="false">
      <c r="B4133" s="1" t="s">
        <v>644</v>
      </c>
      <c r="C4133" s="1" t="s">
        <v>485</v>
      </c>
      <c r="F4133" s="1" t="n">
        <v>65</v>
      </c>
      <c r="G4133" s="1" t="n">
        <v>60</v>
      </c>
      <c r="I4133" s="1" t="str">
        <f aca="false">B4133&amp;"|"&amp;C4133</f>
        <v>Guest Houses|Excellent</v>
      </c>
      <c r="J4133" s="1" t="s">
        <v>1624</v>
      </c>
    </row>
    <row r="4134" customFormat="false" ht="12" hidden="false" customHeight="true" outlineLevel="0" collapsed="false">
      <c r="B4134" s="1" t="s">
        <v>644</v>
      </c>
      <c r="C4134" s="1" t="s">
        <v>503</v>
      </c>
      <c r="F4134" s="1" t="n">
        <v>60</v>
      </c>
      <c r="G4134" s="1" t="n">
        <v>55</v>
      </c>
      <c r="H4134" s="1" t="n">
        <v>55</v>
      </c>
      <c r="I4134" s="1" t="str">
        <f aca="false">B4134&amp;"|"&amp;C4134</f>
        <v>Guest Houses|Very Good</v>
      </c>
      <c r="J4134" s="1" t="s">
        <v>1625</v>
      </c>
    </row>
    <row r="4135" customFormat="false" ht="12" hidden="false" customHeight="true" outlineLevel="0" collapsed="false">
      <c r="B4135" s="1" t="s">
        <v>644</v>
      </c>
      <c r="C4135" s="1" t="s">
        <v>483</v>
      </c>
      <c r="F4135" s="1" t="n">
        <v>60</v>
      </c>
      <c r="G4135" s="1" t="n">
        <v>55</v>
      </c>
      <c r="H4135" s="1" t="n">
        <v>55</v>
      </c>
      <c r="I4135" s="1" t="str">
        <f aca="false">B4135&amp;"|"&amp;C4135</f>
        <v>Guest Houses|Good</v>
      </c>
      <c r="J4135" s="1" t="s">
        <v>1625</v>
      </c>
    </row>
    <row r="4136" customFormat="false" ht="12" hidden="false" customHeight="true" outlineLevel="0" collapsed="false">
      <c r="B4136" s="1" t="s">
        <v>644</v>
      </c>
      <c r="C4136" s="1" t="s">
        <v>279</v>
      </c>
      <c r="F4136" s="1" t="n">
        <v>60</v>
      </c>
      <c r="G4136" s="1" t="n">
        <v>55</v>
      </c>
      <c r="H4136" s="1" t="n">
        <v>55</v>
      </c>
      <c r="I4136" s="1" t="str">
        <f aca="false">B4136&amp;"|"&amp;C4136</f>
        <v>Guest Houses|Average</v>
      </c>
      <c r="J4136" s="1" t="s">
        <v>1625</v>
      </c>
    </row>
    <row r="4137" customFormat="false" ht="12" hidden="false" customHeight="true" outlineLevel="0" collapsed="false">
      <c r="B4137" s="1" t="s">
        <v>644</v>
      </c>
      <c r="C4137" s="1" t="s">
        <v>480</v>
      </c>
      <c r="F4137" s="1" t="n">
        <v>50</v>
      </c>
      <c r="G4137" s="1" t="n">
        <v>45</v>
      </c>
      <c r="I4137" s="1" t="str">
        <f aca="false">B4137&amp;"|"&amp;C4137</f>
        <v>Guest Houses|Low Cost</v>
      </c>
      <c r="J4137" s="1" t="s">
        <v>1602</v>
      </c>
    </row>
    <row r="4138" customFormat="false" ht="12" hidden="false" customHeight="true" outlineLevel="0" collapsed="false">
      <c r="B4138" s="1" t="s">
        <v>644</v>
      </c>
      <c r="C4138" s="1" t="s">
        <v>567</v>
      </c>
      <c r="F4138" s="1" t="n">
        <v>35</v>
      </c>
      <c r="G4138" s="1" t="n">
        <v>30</v>
      </c>
      <c r="I4138" s="1" t="str">
        <f aca="false">B4138&amp;"|"&amp;C4138</f>
        <v>Guest Houses|Cheap</v>
      </c>
      <c r="J4138" s="1" t="s">
        <v>1627</v>
      </c>
    </row>
    <row r="4139" customFormat="false" ht="12" hidden="false" customHeight="true" outlineLevel="0" collapsed="false">
      <c r="B4139" s="1" t="s">
        <v>646</v>
      </c>
      <c r="C4139" s="1" t="s">
        <v>485</v>
      </c>
      <c r="G4139" s="1" t="n">
        <v>55</v>
      </c>
      <c r="I4139" s="1" t="str">
        <f aca="false">B4139&amp;"|"&amp;C4139</f>
        <v>Log Homes|Excellent</v>
      </c>
      <c r="J4139" s="1" t="s">
        <v>1628</v>
      </c>
    </row>
    <row r="4140" customFormat="false" ht="12" hidden="false" customHeight="true" outlineLevel="0" collapsed="false">
      <c r="B4140" s="1" t="s">
        <v>646</v>
      </c>
      <c r="C4140" s="1" t="s">
        <v>483</v>
      </c>
      <c r="G4140" s="1" t="n">
        <v>50</v>
      </c>
      <c r="I4140" s="1" t="str">
        <f aca="false">B4140&amp;"|"&amp;C4140</f>
        <v>Log Homes|Good</v>
      </c>
      <c r="J4140" s="1" t="s">
        <v>1613</v>
      </c>
    </row>
    <row r="4141" customFormat="false" ht="12" hidden="false" customHeight="true" outlineLevel="0" collapsed="false">
      <c r="B4141" s="1" t="s">
        <v>646</v>
      </c>
      <c r="C4141" s="1" t="s">
        <v>279</v>
      </c>
      <c r="G4141" s="1" t="n">
        <v>50</v>
      </c>
      <c r="I4141" s="1" t="str">
        <f aca="false">B4141&amp;"|"&amp;C4141</f>
        <v>Log Homes|Average</v>
      </c>
      <c r="J4141" s="1" t="s">
        <v>1613</v>
      </c>
    </row>
    <row r="4142" customFormat="false" ht="12" hidden="false" customHeight="true" outlineLevel="0" collapsed="false">
      <c r="B4142" s="1" t="s">
        <v>646</v>
      </c>
      <c r="C4142" s="1" t="s">
        <v>480</v>
      </c>
      <c r="G4142" s="1" t="n">
        <v>45</v>
      </c>
      <c r="I4142" s="1" t="str">
        <f aca="false">B4142&amp;"|"&amp;C4142</f>
        <v>Log Homes|Low Cost</v>
      </c>
      <c r="J4142" s="1" t="s">
        <v>1602</v>
      </c>
    </row>
    <row r="4143" customFormat="false" ht="12" hidden="false" customHeight="true" outlineLevel="0" collapsed="false">
      <c r="B4143" s="1" t="s">
        <v>649</v>
      </c>
      <c r="C4143" s="1" t="s">
        <v>485</v>
      </c>
      <c r="F4143" s="1" t="n">
        <v>60</v>
      </c>
      <c r="G4143" s="1" t="n">
        <v>55</v>
      </c>
      <c r="I4143" s="1" t="str">
        <f aca="false">B4143&amp;"|"&amp;C4143</f>
        <v>Town Houses|Excellent</v>
      </c>
      <c r="J4143" s="1" t="s">
        <v>1629</v>
      </c>
    </row>
    <row r="4144" customFormat="false" ht="12" hidden="false" customHeight="true" outlineLevel="0" collapsed="false">
      <c r="B4144" s="1" t="s">
        <v>649</v>
      </c>
      <c r="C4144" s="1" t="s">
        <v>483</v>
      </c>
      <c r="F4144" s="1" t="n">
        <v>55</v>
      </c>
      <c r="G4144" s="1" t="n">
        <v>50</v>
      </c>
      <c r="H4144" s="1" t="n">
        <v>50</v>
      </c>
      <c r="I4144" s="1" t="str">
        <f aca="false">B4144&amp;"|"&amp;C4144</f>
        <v>Town Houses|Good</v>
      </c>
      <c r="J4144" s="1" t="s">
        <v>1600</v>
      </c>
    </row>
    <row r="4145" customFormat="false" ht="12" hidden="false" customHeight="true" outlineLevel="0" collapsed="false">
      <c r="B4145" s="1" t="s">
        <v>649</v>
      </c>
      <c r="C4145" s="1" t="s">
        <v>279</v>
      </c>
      <c r="F4145" s="1" t="n">
        <v>55</v>
      </c>
      <c r="G4145" s="1" t="n">
        <v>50</v>
      </c>
      <c r="H4145" s="1" t="n">
        <v>50</v>
      </c>
      <c r="I4145" s="1" t="str">
        <f aca="false">B4145&amp;"|"&amp;C4145</f>
        <v>Town Houses|Average</v>
      </c>
      <c r="J4145" s="1" t="s">
        <v>1598</v>
      </c>
    </row>
    <row r="4146" customFormat="false" ht="12" hidden="false" customHeight="true" outlineLevel="0" collapsed="false">
      <c r="B4146" s="1" t="s">
        <v>649</v>
      </c>
      <c r="C4146" s="1" t="s">
        <v>555</v>
      </c>
      <c r="F4146" s="1" t="n">
        <v>50</v>
      </c>
      <c r="G4146" s="1" t="n">
        <v>45</v>
      </c>
      <c r="I4146" s="1" t="str">
        <f aca="false">B4146&amp;"|"&amp;C4146</f>
        <v>Town Houses|Fair</v>
      </c>
      <c r="J4146" s="1" t="s">
        <v>1604</v>
      </c>
    </row>
    <row r="4147" customFormat="false" ht="12" hidden="false" customHeight="true" outlineLevel="0" collapsed="false">
      <c r="B4147" s="1" t="s">
        <v>649</v>
      </c>
      <c r="C4147" s="1" t="s">
        <v>480</v>
      </c>
      <c r="F4147" s="1" t="n">
        <v>50</v>
      </c>
      <c r="G4147" s="1" t="n">
        <v>45</v>
      </c>
      <c r="I4147" s="1" t="str">
        <f aca="false">B4147&amp;"|"&amp;C4147</f>
        <v>Town Houses|Low Cost</v>
      </c>
      <c r="J4147" s="1" t="s">
        <v>1604</v>
      </c>
    </row>
    <row r="4148" customFormat="false" ht="12" hidden="false" customHeight="true" outlineLevel="0" collapsed="false">
      <c r="B4148" s="1" t="s">
        <v>652</v>
      </c>
      <c r="C4148" s="1" t="s">
        <v>485</v>
      </c>
      <c r="F4148" s="1" t="n">
        <v>60</v>
      </c>
      <c r="G4148" s="1" t="n">
        <v>55</v>
      </c>
      <c r="I4148" s="1" t="str">
        <f aca="false">B4148&amp;"|"&amp;C4148</f>
        <v>Senior Citizen Town Houses|Excellent</v>
      </c>
      <c r="J4148" s="1" t="s">
        <v>1629</v>
      </c>
    </row>
    <row r="4149" customFormat="false" ht="12" hidden="false" customHeight="true" outlineLevel="0" collapsed="false">
      <c r="B4149" s="1" t="s">
        <v>652</v>
      </c>
      <c r="C4149" s="1" t="s">
        <v>483</v>
      </c>
      <c r="F4149" s="1" t="n">
        <v>55</v>
      </c>
      <c r="G4149" s="1" t="n">
        <v>50</v>
      </c>
      <c r="H4149" s="1" t="n">
        <v>50</v>
      </c>
      <c r="I4149" s="1" t="str">
        <f aca="false">B4149&amp;"|"&amp;C4149</f>
        <v>Senior Citizen Town Houses|Good</v>
      </c>
      <c r="J4149" s="1" t="s">
        <v>1600</v>
      </c>
    </row>
    <row r="4150" customFormat="false" ht="12" hidden="false" customHeight="true" outlineLevel="0" collapsed="false">
      <c r="B4150" s="1" t="s">
        <v>652</v>
      </c>
      <c r="C4150" s="1" t="s">
        <v>279</v>
      </c>
      <c r="F4150" s="1" t="n">
        <v>55</v>
      </c>
      <c r="G4150" s="1" t="n">
        <v>50</v>
      </c>
      <c r="H4150" s="1" t="n">
        <v>50</v>
      </c>
      <c r="I4150" s="1" t="str">
        <f aca="false">B4150&amp;"|"&amp;C4150</f>
        <v>Senior Citizen Town Houses|Average</v>
      </c>
      <c r="J4150" s="1" t="s">
        <v>1598</v>
      </c>
    </row>
    <row r="4151" customFormat="false" ht="12" hidden="false" customHeight="true" outlineLevel="0" collapsed="false">
      <c r="B4151" s="1" t="s">
        <v>652</v>
      </c>
      <c r="C4151" s="1" t="s">
        <v>555</v>
      </c>
      <c r="F4151" s="1" t="n">
        <v>50</v>
      </c>
      <c r="G4151" s="1" t="n">
        <v>45</v>
      </c>
      <c r="I4151" s="1" t="str">
        <f aca="false">B4151&amp;"|"&amp;C4151</f>
        <v>Senior Citizen Town Houses|Fair</v>
      </c>
      <c r="J4151" s="1" t="s">
        <v>1604</v>
      </c>
    </row>
    <row r="4152" customFormat="false" ht="12" hidden="false" customHeight="true" outlineLevel="0" collapsed="false">
      <c r="B4152" s="1" t="s">
        <v>655</v>
      </c>
      <c r="C4152" s="1" t="s">
        <v>485</v>
      </c>
      <c r="F4152" s="1" t="n">
        <v>60</v>
      </c>
      <c r="G4152" s="1" t="n">
        <v>55</v>
      </c>
      <c r="I4152" s="1" t="str">
        <f aca="false">B4152&amp;"|"&amp;C4152</f>
        <v>Urban Row (Town) Houses|Excellent</v>
      </c>
      <c r="J4152" s="1" t="s">
        <v>1629</v>
      </c>
    </row>
    <row r="4153" customFormat="false" ht="12" hidden="false" customHeight="true" outlineLevel="0" collapsed="false">
      <c r="B4153" s="1" t="s">
        <v>655</v>
      </c>
      <c r="C4153" s="1" t="s">
        <v>483</v>
      </c>
      <c r="F4153" s="1" t="n">
        <v>55</v>
      </c>
      <c r="G4153" s="1" t="n">
        <v>50</v>
      </c>
      <c r="H4153" s="1" t="n">
        <v>50</v>
      </c>
      <c r="I4153" s="1" t="str">
        <f aca="false">B4153&amp;"|"&amp;C4153</f>
        <v>Urban Row (Town) Houses|Good</v>
      </c>
      <c r="J4153" s="1" t="s">
        <v>1600</v>
      </c>
    </row>
    <row r="4154" customFormat="false" ht="12" hidden="false" customHeight="true" outlineLevel="0" collapsed="false">
      <c r="B4154" s="1" t="s">
        <v>655</v>
      </c>
      <c r="C4154" s="1" t="s">
        <v>279</v>
      </c>
      <c r="F4154" s="1" t="n">
        <v>55</v>
      </c>
      <c r="G4154" s="1" t="n">
        <v>50</v>
      </c>
      <c r="H4154" s="1" t="n">
        <v>50</v>
      </c>
      <c r="I4154" s="1" t="str">
        <f aca="false">B4154&amp;"|"&amp;C4154</f>
        <v>Urban Row (Town) Houses|Average</v>
      </c>
      <c r="J4154" s="1" t="s">
        <v>1598</v>
      </c>
    </row>
    <row r="4155" customFormat="false" ht="12" hidden="false" customHeight="true" outlineLevel="0" collapsed="false">
      <c r="B4155" s="1" t="s">
        <v>655</v>
      </c>
      <c r="C4155" s="1" t="s">
        <v>555</v>
      </c>
      <c r="F4155" s="1" t="n">
        <v>50</v>
      </c>
      <c r="G4155" s="1" t="n">
        <v>45</v>
      </c>
      <c r="I4155" s="1" t="str">
        <f aca="false">B4155&amp;"|"&amp;C4155</f>
        <v>Urban Row (Town) Houses|Fair</v>
      </c>
      <c r="J4155" s="1" t="s">
        <v>1604</v>
      </c>
    </row>
    <row r="4156" customFormat="false" ht="12" hidden="false" customHeight="true" outlineLevel="0" collapsed="false">
      <c r="B4156" s="1" t="s">
        <v>658</v>
      </c>
      <c r="C4156" s="1" t="s">
        <v>485</v>
      </c>
      <c r="F4156" s="1" t="n">
        <v>60</v>
      </c>
      <c r="G4156" s="1" t="n">
        <v>55</v>
      </c>
      <c r="I4156" s="1" t="str">
        <f aca="false">B4156&amp;"|"&amp;C4156</f>
        <v>Shell Town House Buildings|Excellent</v>
      </c>
      <c r="J4156" s="1" t="s">
        <v>1629</v>
      </c>
    </row>
    <row r="4157" customFormat="false" ht="12" hidden="false" customHeight="true" outlineLevel="0" collapsed="false">
      <c r="B4157" s="1" t="s">
        <v>658</v>
      </c>
      <c r="C4157" s="1" t="s">
        <v>483</v>
      </c>
      <c r="F4157" s="1" t="n">
        <v>55</v>
      </c>
      <c r="G4157" s="1" t="n">
        <v>50</v>
      </c>
      <c r="H4157" s="1" t="n">
        <v>50</v>
      </c>
      <c r="I4157" s="1" t="str">
        <f aca="false">B4157&amp;"|"&amp;C4157</f>
        <v>Shell Town House Buildings|Good</v>
      </c>
      <c r="J4157" s="1" t="s">
        <v>1600</v>
      </c>
    </row>
    <row r="4158" customFormat="false" ht="12" hidden="false" customHeight="true" outlineLevel="0" collapsed="false">
      <c r="B4158" s="1" t="s">
        <v>658</v>
      </c>
      <c r="C4158" s="1" t="s">
        <v>279</v>
      </c>
      <c r="F4158" s="1" t="n">
        <v>55</v>
      </c>
      <c r="G4158" s="1" t="n">
        <v>50</v>
      </c>
      <c r="H4158" s="1" t="n">
        <v>50</v>
      </c>
      <c r="I4158" s="1" t="str">
        <f aca="false">B4158&amp;"|"&amp;C4158</f>
        <v>Shell Town House Buildings|Average</v>
      </c>
      <c r="J4158" s="1" t="s">
        <v>1598</v>
      </c>
    </row>
    <row r="4159" customFormat="false" ht="12" hidden="false" customHeight="true" outlineLevel="0" collapsed="false">
      <c r="B4159" s="1" t="s">
        <v>658</v>
      </c>
      <c r="C4159" s="1" t="s">
        <v>555</v>
      </c>
      <c r="F4159" s="1" t="n">
        <v>50</v>
      </c>
      <c r="G4159" s="1" t="n">
        <v>45</v>
      </c>
      <c r="I4159" s="1" t="str">
        <f aca="false">B4159&amp;"|"&amp;C4159</f>
        <v>Shell Town House Buildings|Fair</v>
      </c>
      <c r="J4159" s="1" t="s">
        <v>1604</v>
      </c>
    </row>
    <row r="4160" customFormat="false" ht="12" hidden="false" customHeight="true" outlineLevel="0" collapsed="false">
      <c r="B4160" s="1" t="s">
        <v>662</v>
      </c>
      <c r="C4160" s="1" t="s">
        <v>279</v>
      </c>
      <c r="D4160" s="1" t="n">
        <v>45</v>
      </c>
      <c r="E4160" s="1" t="n">
        <v>45</v>
      </c>
      <c r="F4160" s="1" t="n">
        <v>40</v>
      </c>
      <c r="G4160" s="1" t="n">
        <v>40</v>
      </c>
      <c r="H4160" s="1" t="n">
        <v>40</v>
      </c>
      <c r="I4160" s="1" t="str">
        <f aca="false">B4160&amp;"|"&amp;C4160</f>
        <v>Bars/Taverns|Average</v>
      </c>
      <c r="J4160" s="1" t="s">
        <v>1598</v>
      </c>
    </row>
    <row r="4161" customFormat="false" ht="12" hidden="false" customHeight="true" outlineLevel="0" collapsed="false">
      <c r="B4161" s="1" t="s">
        <v>662</v>
      </c>
      <c r="C4161" s="1" t="s">
        <v>483</v>
      </c>
      <c r="F4161" s="1" t="n">
        <v>45</v>
      </c>
      <c r="G4161" s="1" t="n">
        <v>40</v>
      </c>
      <c r="I4161" s="1" t="str">
        <f aca="false">B4161&amp;"|"&amp;C4161</f>
        <v>Bars/Taverns|Good</v>
      </c>
      <c r="J4161" s="1" t="s">
        <v>1630</v>
      </c>
    </row>
    <row r="4162" customFormat="false" ht="12" hidden="false" customHeight="true" outlineLevel="0" collapsed="false">
      <c r="B4162" s="1" t="s">
        <v>662</v>
      </c>
      <c r="C4162" s="1" t="s">
        <v>480</v>
      </c>
      <c r="F4162" s="1" t="n">
        <v>40</v>
      </c>
      <c r="G4162" s="1" t="n">
        <v>35</v>
      </c>
      <c r="H4162" s="1" t="n">
        <v>35</v>
      </c>
      <c r="I4162" s="1" t="str">
        <f aca="false">B4162&amp;"|"&amp;C4162</f>
        <v>Bars/Taverns|Low Cost</v>
      </c>
      <c r="J4162" s="1" t="s">
        <v>1602</v>
      </c>
    </row>
    <row r="4163" customFormat="false" ht="12" hidden="false" customHeight="true" outlineLevel="0" collapsed="false">
      <c r="B4163" s="1" t="s">
        <v>665</v>
      </c>
      <c r="C4163" s="1" t="s">
        <v>483</v>
      </c>
      <c r="D4163" s="1" t="n">
        <v>45</v>
      </c>
      <c r="E4163" s="1" t="n">
        <v>45</v>
      </c>
      <c r="F4163" s="1" t="n">
        <v>40</v>
      </c>
      <c r="G4163" s="1" t="n">
        <v>40</v>
      </c>
      <c r="H4163" s="1" t="n">
        <v>40</v>
      </c>
      <c r="I4163" s="1" t="str">
        <f aca="false">B4163&amp;"|"&amp;C4163</f>
        <v>Cocktail Lounges|Good</v>
      </c>
      <c r="J4163" s="1" t="s">
        <v>1631</v>
      </c>
    </row>
    <row r="4164" customFormat="false" ht="12" hidden="false" customHeight="true" outlineLevel="0" collapsed="false">
      <c r="B4164" s="1" t="s">
        <v>665</v>
      </c>
      <c r="C4164" s="1" t="s">
        <v>279</v>
      </c>
      <c r="D4164" s="1" t="n">
        <v>40</v>
      </c>
      <c r="E4164" s="1" t="n">
        <v>40</v>
      </c>
      <c r="F4164" s="1" t="n">
        <v>40</v>
      </c>
      <c r="G4164" s="1" t="n">
        <v>35</v>
      </c>
      <c r="H4164" s="1" t="n">
        <v>35</v>
      </c>
      <c r="I4164" s="1" t="str">
        <f aca="false">B4164&amp;"|"&amp;C4164</f>
        <v>Cocktail Lounges|Average</v>
      </c>
      <c r="J4164" s="1" t="s">
        <v>1598</v>
      </c>
    </row>
    <row r="4165" customFormat="false" ht="12" hidden="false" customHeight="true" outlineLevel="0" collapsed="false">
      <c r="B4165" s="1" t="s">
        <v>665</v>
      </c>
      <c r="C4165" s="1" t="s">
        <v>485</v>
      </c>
      <c r="D4165" s="1" t="n">
        <v>45</v>
      </c>
      <c r="E4165" s="1" t="n">
        <v>45</v>
      </c>
      <c r="F4165" s="1" t="n">
        <v>40</v>
      </c>
      <c r="G4165" s="1" t="n">
        <v>40</v>
      </c>
      <c r="H4165" s="1" t="n">
        <v>40</v>
      </c>
      <c r="I4165" s="1" t="str">
        <f aca="false">B4165&amp;"|"&amp;C4165</f>
        <v>Cocktail Lounges|Excellent</v>
      </c>
      <c r="J4165" s="1" t="s">
        <v>1631</v>
      </c>
    </row>
    <row r="4166" customFormat="false" ht="12" hidden="false" customHeight="true" outlineLevel="0" collapsed="false">
      <c r="B4166" s="1" t="s">
        <v>665</v>
      </c>
      <c r="C4166" s="1" t="s">
        <v>480</v>
      </c>
      <c r="F4166" s="1" t="n">
        <v>35</v>
      </c>
      <c r="G4166" s="1" t="n">
        <v>35</v>
      </c>
      <c r="H4166" s="1" t="n">
        <v>35</v>
      </c>
      <c r="I4166" s="1" t="str">
        <f aca="false">B4166&amp;"|"&amp;C4166</f>
        <v>Cocktail Lounges|Low Cost</v>
      </c>
      <c r="J4166" s="1" t="s">
        <v>1602</v>
      </c>
    </row>
    <row r="4167" customFormat="false" ht="12" hidden="false" customHeight="true" outlineLevel="0" collapsed="false">
      <c r="B4167" s="1" t="s">
        <v>667</v>
      </c>
      <c r="C4167" s="1" t="s">
        <v>485</v>
      </c>
      <c r="D4167" s="1" t="n">
        <v>45</v>
      </c>
      <c r="E4167" s="1" t="n">
        <v>45</v>
      </c>
      <c r="F4167" s="1" t="n">
        <v>40</v>
      </c>
      <c r="G4167" s="1" t="n">
        <v>40</v>
      </c>
      <c r="H4167" s="1" t="n">
        <v>40</v>
      </c>
      <c r="I4167" s="1" t="str">
        <f aca="false">B4167&amp;"|"&amp;C4167</f>
        <v>Restaurants|Excellent</v>
      </c>
      <c r="J4167" s="1" t="s">
        <v>1632</v>
      </c>
    </row>
    <row r="4168" customFormat="false" ht="12" hidden="false" customHeight="true" outlineLevel="0" collapsed="false">
      <c r="B4168" s="1" t="s">
        <v>667</v>
      </c>
      <c r="C4168" s="1" t="s">
        <v>483</v>
      </c>
      <c r="D4168" s="1" t="n">
        <v>40</v>
      </c>
      <c r="E4168" s="1" t="n">
        <v>40</v>
      </c>
      <c r="F4168" s="1" t="n">
        <v>35</v>
      </c>
      <c r="G4168" s="1" t="n">
        <v>35</v>
      </c>
      <c r="H4168" s="1" t="n">
        <v>35</v>
      </c>
      <c r="I4168" s="1" t="str">
        <f aca="false">B4168&amp;"|"&amp;C4168</f>
        <v>Restaurants|Good</v>
      </c>
      <c r="J4168" s="1" t="s">
        <v>1613</v>
      </c>
    </row>
    <row r="4169" customFormat="false" ht="12" hidden="false" customHeight="true" outlineLevel="0" collapsed="false">
      <c r="B4169" s="1" t="s">
        <v>667</v>
      </c>
      <c r="C4169" s="1" t="s">
        <v>279</v>
      </c>
      <c r="D4169" s="1" t="n">
        <v>40</v>
      </c>
      <c r="E4169" s="1" t="n">
        <v>40</v>
      </c>
      <c r="F4169" s="1" t="n">
        <v>35</v>
      </c>
      <c r="G4169" s="1" t="n">
        <v>35</v>
      </c>
      <c r="H4169" s="1" t="n">
        <v>35</v>
      </c>
      <c r="I4169" s="1" t="str">
        <f aca="false">B4169&amp;"|"&amp;C4169</f>
        <v>Restaurants|Average</v>
      </c>
      <c r="J4169" s="1" t="s">
        <v>1613</v>
      </c>
    </row>
    <row r="4170" customFormat="false" ht="12" hidden="false" customHeight="true" outlineLevel="0" collapsed="false">
      <c r="B4170" s="1" t="s">
        <v>667</v>
      </c>
      <c r="C4170" s="1" t="s">
        <v>503</v>
      </c>
      <c r="D4170" s="1" t="n">
        <v>45</v>
      </c>
      <c r="E4170" s="1" t="n">
        <v>45</v>
      </c>
      <c r="F4170" s="1" t="n">
        <v>40</v>
      </c>
      <c r="G4170" s="1" t="n">
        <v>40</v>
      </c>
      <c r="H4170" s="1" t="n">
        <v>40</v>
      </c>
      <c r="I4170" s="1" t="str">
        <f aca="false">B4170&amp;"|"&amp;C4170</f>
        <v>Restaurants|Very Good</v>
      </c>
      <c r="J4170" s="1" t="s">
        <v>1632</v>
      </c>
    </row>
    <row r="4171" customFormat="false" ht="12" hidden="false" customHeight="true" outlineLevel="0" collapsed="false">
      <c r="B4171" s="1" t="s">
        <v>667</v>
      </c>
      <c r="C4171" s="1" t="s">
        <v>480</v>
      </c>
      <c r="F4171" s="1" t="n">
        <v>30</v>
      </c>
      <c r="G4171" s="1" t="n">
        <v>30</v>
      </c>
      <c r="H4171" s="1" t="n">
        <v>30</v>
      </c>
      <c r="I4171" s="1" t="str">
        <f aca="false">B4171&amp;"|"&amp;C4171</f>
        <v>Restaurants|Low Cost</v>
      </c>
      <c r="J4171" s="1" t="s">
        <v>1602</v>
      </c>
    </row>
    <row r="4172" customFormat="false" ht="12" hidden="false" customHeight="true" outlineLevel="0" collapsed="false">
      <c r="B4172" s="1" t="s">
        <v>670</v>
      </c>
      <c r="C4172" s="1" t="s">
        <v>483</v>
      </c>
      <c r="D4172" s="1" t="n">
        <v>45</v>
      </c>
      <c r="E4172" s="1" t="n">
        <v>45</v>
      </c>
      <c r="F4172" s="1" t="n">
        <v>35</v>
      </c>
      <c r="G4172" s="1" t="n">
        <v>35</v>
      </c>
      <c r="H4172" s="1" t="n">
        <v>35</v>
      </c>
      <c r="I4172" s="1" t="str">
        <f aca="false">B4172&amp;"|"&amp;C4172</f>
        <v>Restaurants – Cafeterias|Good</v>
      </c>
      <c r="J4172" s="1" t="s">
        <v>1600</v>
      </c>
    </row>
    <row r="4173" customFormat="false" ht="12" hidden="false" customHeight="true" outlineLevel="0" collapsed="false">
      <c r="B4173" s="1" t="s">
        <v>670</v>
      </c>
      <c r="C4173" s="1" t="s">
        <v>279</v>
      </c>
      <c r="D4173" s="1" t="n">
        <v>40</v>
      </c>
      <c r="E4173" s="1" t="n">
        <v>40</v>
      </c>
      <c r="F4173" s="1" t="n">
        <v>35</v>
      </c>
      <c r="G4173" s="1" t="n">
        <v>30</v>
      </c>
      <c r="H4173" s="1" t="n">
        <v>30</v>
      </c>
      <c r="I4173" s="1" t="str">
        <f aca="false">B4173&amp;"|"&amp;C4173</f>
        <v>Restaurants – Cafeterias|Average</v>
      </c>
      <c r="J4173" s="1" t="s">
        <v>1594</v>
      </c>
    </row>
    <row r="4174" customFormat="false" ht="12" hidden="false" customHeight="true" outlineLevel="0" collapsed="false">
      <c r="B4174" s="1" t="s">
        <v>670</v>
      </c>
      <c r="C4174" s="1" t="s">
        <v>485</v>
      </c>
      <c r="F4174" s="1" t="n">
        <v>45</v>
      </c>
      <c r="G4174" s="1" t="n">
        <v>40</v>
      </c>
      <c r="I4174" s="1" t="str">
        <f aca="false">B4174&amp;"|"&amp;C4174</f>
        <v>Restaurants – Cafeterias|Excellent</v>
      </c>
      <c r="J4174" s="1" t="s">
        <v>1633</v>
      </c>
    </row>
    <row r="4175" customFormat="false" ht="12" hidden="false" customHeight="true" outlineLevel="0" collapsed="false">
      <c r="B4175" s="1" t="s">
        <v>670</v>
      </c>
      <c r="C4175" s="1" t="s">
        <v>480</v>
      </c>
      <c r="D4175" s="1" t="n">
        <v>40</v>
      </c>
      <c r="E4175" s="1" t="n">
        <v>40</v>
      </c>
      <c r="F4175" s="1" t="n">
        <v>35</v>
      </c>
      <c r="G4175" s="1" t="n">
        <v>30</v>
      </c>
      <c r="H4175" s="1" t="n">
        <v>30</v>
      </c>
      <c r="I4175" s="1" t="str">
        <f aca="false">B4175&amp;"|"&amp;C4175</f>
        <v>Restaurants – Cafeterias|Low Cost</v>
      </c>
      <c r="J4175" s="1" t="s">
        <v>1594</v>
      </c>
    </row>
    <row r="4176" customFormat="false" ht="12" hidden="false" customHeight="true" outlineLevel="0" collapsed="false">
      <c r="B4176" s="1" t="s">
        <v>673</v>
      </c>
      <c r="C4176" s="1" t="s">
        <v>485</v>
      </c>
      <c r="F4176" s="1" t="n">
        <v>35</v>
      </c>
      <c r="G4176" s="1" t="n">
        <v>35</v>
      </c>
      <c r="H4176" s="1" t="n">
        <v>35</v>
      </c>
      <c r="I4176" s="1" t="str">
        <f aca="false">B4176&amp;"|"&amp;C4176</f>
        <v>Truck Stop Restaurants|Excellent</v>
      </c>
      <c r="J4176" s="1" t="s">
        <v>1634</v>
      </c>
    </row>
    <row r="4177" customFormat="false" ht="12" hidden="false" customHeight="true" outlineLevel="0" collapsed="false">
      <c r="B4177" s="1" t="s">
        <v>673</v>
      </c>
      <c r="C4177" s="1" t="s">
        <v>483</v>
      </c>
      <c r="F4177" s="1" t="n">
        <v>35</v>
      </c>
      <c r="G4177" s="1" t="n">
        <v>35</v>
      </c>
      <c r="H4177" s="1" t="n">
        <v>35</v>
      </c>
      <c r="I4177" s="1" t="str">
        <f aca="false">B4177&amp;"|"&amp;C4177</f>
        <v>Truck Stop Restaurants|Good</v>
      </c>
      <c r="J4177" s="1" t="s">
        <v>1634</v>
      </c>
    </row>
    <row r="4178" customFormat="false" ht="12" hidden="false" customHeight="true" outlineLevel="0" collapsed="false">
      <c r="B4178" s="1" t="s">
        <v>673</v>
      </c>
      <c r="C4178" s="1" t="s">
        <v>279</v>
      </c>
      <c r="F4178" s="1" t="n">
        <v>30</v>
      </c>
      <c r="G4178" s="1" t="n">
        <v>30</v>
      </c>
      <c r="H4178" s="1" t="n">
        <v>30</v>
      </c>
      <c r="I4178" s="1" t="str">
        <f aca="false">B4178&amp;"|"&amp;C4178</f>
        <v>Truck Stop Restaurants|Average</v>
      </c>
      <c r="J4178" s="1" t="s">
        <v>1598</v>
      </c>
    </row>
    <row r="4179" customFormat="false" ht="12" hidden="false" customHeight="true" outlineLevel="0" collapsed="false">
      <c r="B4179" s="1" t="s">
        <v>676</v>
      </c>
      <c r="C4179" s="1" t="s">
        <v>483</v>
      </c>
      <c r="F4179" s="1" t="n">
        <v>35</v>
      </c>
      <c r="G4179" s="1" t="n">
        <v>35</v>
      </c>
      <c r="H4179" s="1" t="n">
        <v>35</v>
      </c>
      <c r="I4179" s="1" t="str">
        <f aca="false">B4179&amp;"|"&amp;C4179</f>
        <v>Dining Atriums/Play Rooms|Good</v>
      </c>
      <c r="J4179" s="1" t="s">
        <v>1635</v>
      </c>
    </row>
    <row r="4180" customFormat="false" ht="12" hidden="false" customHeight="true" outlineLevel="0" collapsed="false">
      <c r="B4180" s="1" t="s">
        <v>676</v>
      </c>
      <c r="C4180" s="1" t="s">
        <v>279</v>
      </c>
      <c r="F4180" s="1" t="n">
        <v>30</v>
      </c>
      <c r="G4180" s="1" t="n">
        <v>30</v>
      </c>
      <c r="H4180" s="1" t="n">
        <v>30</v>
      </c>
      <c r="I4180" s="1" t="str">
        <f aca="false">B4180&amp;"|"&amp;C4180</f>
        <v>Dining Atriums/Play Rooms|Average</v>
      </c>
      <c r="J4180" s="1" t="s">
        <v>1594</v>
      </c>
    </row>
    <row r="4181" customFormat="false" ht="12" hidden="false" customHeight="true" outlineLevel="0" collapsed="false">
      <c r="B4181" s="1" t="s">
        <v>676</v>
      </c>
      <c r="C4181" s="1" t="s">
        <v>480</v>
      </c>
      <c r="F4181" s="1" t="n">
        <v>30</v>
      </c>
      <c r="G4181" s="1" t="n">
        <v>30</v>
      </c>
      <c r="H4181" s="1" t="n">
        <v>30</v>
      </c>
      <c r="I4181" s="1" t="str">
        <f aca="false">B4181&amp;"|"&amp;C4181</f>
        <v>Dining Atriums/Play Rooms|Low Cost</v>
      </c>
      <c r="J4181" s="1" t="s">
        <v>1594</v>
      </c>
    </row>
    <row r="4182" customFormat="false" ht="12" hidden="false" customHeight="true" outlineLevel="0" collapsed="false">
      <c r="B4182" s="1" t="s">
        <v>676</v>
      </c>
      <c r="C4182" s="1" t="s">
        <v>485</v>
      </c>
      <c r="F4182" s="1" t="n">
        <v>35</v>
      </c>
      <c r="G4182" s="1" t="n">
        <v>35</v>
      </c>
      <c r="H4182" s="1" t="n">
        <v>35</v>
      </c>
      <c r="I4182" s="1" t="str">
        <f aca="false">B4182&amp;"|"&amp;C4182</f>
        <v>Dining Atriums/Play Rooms|Excellent</v>
      </c>
      <c r="J4182" s="1" t="s">
        <v>1635</v>
      </c>
    </row>
    <row r="4183" customFormat="false" ht="12" hidden="false" customHeight="true" outlineLevel="0" collapsed="false">
      <c r="B4183" s="1" t="s">
        <v>676</v>
      </c>
      <c r="C4183" s="1" t="s">
        <v>503</v>
      </c>
      <c r="F4183" s="1" t="n">
        <v>35</v>
      </c>
      <c r="G4183" s="1" t="n">
        <v>35</v>
      </c>
      <c r="H4183" s="1" t="n">
        <v>35</v>
      </c>
      <c r="I4183" s="1" t="str">
        <f aca="false">B4183&amp;"|"&amp;C4183</f>
        <v>Dining Atriums/Play Rooms|Very Good</v>
      </c>
      <c r="J4183" s="1" t="s">
        <v>1635</v>
      </c>
    </row>
    <row r="4184" customFormat="false" ht="12" hidden="false" customHeight="true" outlineLevel="0" collapsed="false">
      <c r="B4184" s="1" t="s">
        <v>676</v>
      </c>
      <c r="C4184" s="1" t="s">
        <v>567</v>
      </c>
      <c r="H4184" s="1" t="n">
        <v>10</v>
      </c>
      <c r="I4184" s="1" t="str">
        <f aca="false">B4184&amp;"|"&amp;C4184</f>
        <v>Dining Atriums/Play Rooms|Cheap</v>
      </c>
      <c r="J4184" s="1" t="s">
        <v>1609</v>
      </c>
    </row>
    <row r="4185" customFormat="false" ht="12" hidden="false" customHeight="true" outlineLevel="0" collapsed="false">
      <c r="B4185" s="1" t="s">
        <v>678</v>
      </c>
      <c r="C4185" s="1" t="s">
        <v>483</v>
      </c>
      <c r="D4185" s="1" t="n">
        <v>35</v>
      </c>
      <c r="E4185" s="1" t="n">
        <v>35</v>
      </c>
      <c r="F4185" s="1" t="n">
        <v>30</v>
      </c>
      <c r="G4185" s="1" t="n">
        <v>30</v>
      </c>
      <c r="H4185" s="1" t="n">
        <v>30</v>
      </c>
      <c r="I4185" s="1" t="str">
        <f aca="false">B4185&amp;"|"&amp;C4185</f>
        <v>Restaurants – Fast Food|Good</v>
      </c>
      <c r="J4185" s="1" t="s">
        <v>1636</v>
      </c>
    </row>
    <row r="4186" customFormat="false" ht="12" hidden="false" customHeight="true" outlineLevel="0" collapsed="false">
      <c r="B4186" s="1" t="s">
        <v>678</v>
      </c>
      <c r="C4186" s="1" t="s">
        <v>279</v>
      </c>
      <c r="D4186" s="1" t="n">
        <v>35</v>
      </c>
      <c r="E4186" s="1" t="n">
        <v>35</v>
      </c>
      <c r="F4186" s="1" t="n">
        <v>30</v>
      </c>
      <c r="G4186" s="1" t="n">
        <v>30</v>
      </c>
      <c r="H4186" s="1" t="n">
        <v>30</v>
      </c>
      <c r="I4186" s="1" t="str">
        <f aca="false">B4186&amp;"|"&amp;C4186</f>
        <v>Restaurants – Fast Food|Average</v>
      </c>
      <c r="J4186" s="1" t="s">
        <v>1636</v>
      </c>
    </row>
    <row r="4187" customFormat="false" ht="12" hidden="false" customHeight="true" outlineLevel="0" collapsed="false">
      <c r="B4187" s="1" t="s">
        <v>678</v>
      </c>
      <c r="C4187" s="1" t="s">
        <v>485</v>
      </c>
      <c r="D4187" s="1" t="n">
        <v>40</v>
      </c>
      <c r="E4187" s="1" t="n">
        <v>40</v>
      </c>
      <c r="F4187" s="1" t="n">
        <v>35</v>
      </c>
      <c r="G4187" s="1" t="n">
        <v>35</v>
      </c>
      <c r="H4187" s="1" t="n">
        <v>35</v>
      </c>
      <c r="I4187" s="1" t="str">
        <f aca="false">B4187&amp;"|"&amp;C4187</f>
        <v>Restaurants – Fast Food|Excellent</v>
      </c>
      <c r="J4187" s="1" t="s">
        <v>1637</v>
      </c>
    </row>
    <row r="4188" customFormat="false" ht="12" hidden="false" customHeight="true" outlineLevel="0" collapsed="false">
      <c r="B4188" s="1" t="s">
        <v>678</v>
      </c>
      <c r="C4188" s="1" t="s">
        <v>503</v>
      </c>
      <c r="D4188" s="1" t="n">
        <v>40</v>
      </c>
      <c r="E4188" s="1" t="n">
        <v>40</v>
      </c>
      <c r="F4188" s="1" t="n">
        <v>35</v>
      </c>
      <c r="G4188" s="1" t="n">
        <v>35</v>
      </c>
      <c r="H4188" s="1" t="n">
        <v>35</v>
      </c>
      <c r="I4188" s="1" t="str">
        <f aca="false">B4188&amp;"|"&amp;C4188</f>
        <v>Restaurants – Fast Food|Very Good</v>
      </c>
      <c r="J4188" s="1" t="s">
        <v>1637</v>
      </c>
    </row>
    <row r="4189" customFormat="false" ht="12" hidden="false" customHeight="true" outlineLevel="0" collapsed="false">
      <c r="B4189" s="1" t="s">
        <v>678</v>
      </c>
      <c r="C4189" s="1" t="s">
        <v>480</v>
      </c>
      <c r="D4189" s="1" t="n">
        <v>35</v>
      </c>
      <c r="E4189" s="1" t="n">
        <v>35</v>
      </c>
      <c r="F4189" s="1" t="n">
        <v>30</v>
      </c>
      <c r="G4189" s="1" t="n">
        <v>30</v>
      </c>
      <c r="H4189" s="1" t="n">
        <v>30</v>
      </c>
      <c r="I4189" s="1" t="str">
        <f aca="false">B4189&amp;"|"&amp;C4189</f>
        <v>Restaurants – Fast Food|Low Cost</v>
      </c>
      <c r="J4189" s="1" t="s">
        <v>1636</v>
      </c>
    </row>
    <row r="4190" customFormat="false" ht="12" hidden="false" customHeight="true" outlineLevel="0" collapsed="false">
      <c r="B4190" s="1" t="s">
        <v>681</v>
      </c>
      <c r="C4190" s="1" t="s">
        <v>485</v>
      </c>
      <c r="F4190" s="1" t="n">
        <v>35</v>
      </c>
      <c r="G4190" s="1" t="n">
        <v>35</v>
      </c>
      <c r="I4190" s="1" t="str">
        <f aca="false">B4190&amp;"|"&amp;C4190</f>
        <v>Snack Bars|Excellent</v>
      </c>
      <c r="J4190" s="1" t="s">
        <v>1638</v>
      </c>
    </row>
    <row r="4191" customFormat="false" ht="12" hidden="false" customHeight="true" outlineLevel="0" collapsed="false">
      <c r="B4191" s="1" t="s">
        <v>681</v>
      </c>
      <c r="C4191" s="1" t="s">
        <v>483</v>
      </c>
      <c r="F4191" s="1" t="n">
        <v>35</v>
      </c>
      <c r="G4191" s="1" t="n">
        <v>30</v>
      </c>
      <c r="I4191" s="1" t="str">
        <f aca="false">B4191&amp;"|"&amp;C4191</f>
        <v>Snack Bars|Good</v>
      </c>
      <c r="J4191" s="1" t="s">
        <v>1600</v>
      </c>
    </row>
    <row r="4192" customFormat="false" ht="12" hidden="false" customHeight="true" outlineLevel="0" collapsed="false">
      <c r="B4192" s="1" t="s">
        <v>681</v>
      </c>
      <c r="C4192" s="1" t="s">
        <v>279</v>
      </c>
      <c r="F4192" s="1" t="n">
        <v>30</v>
      </c>
      <c r="G4192" s="1" t="n">
        <v>25</v>
      </c>
      <c r="H4192" s="1" t="n">
        <v>25</v>
      </c>
      <c r="I4192" s="1" t="str">
        <f aca="false">B4192&amp;"|"&amp;C4192</f>
        <v>Snack Bars|Average</v>
      </c>
      <c r="J4192" s="1" t="s">
        <v>1598</v>
      </c>
    </row>
    <row r="4193" customFormat="false" ht="12" hidden="false" customHeight="true" outlineLevel="0" collapsed="false">
      <c r="B4193" s="1" t="s">
        <v>681</v>
      </c>
      <c r="C4193" s="1" t="s">
        <v>480</v>
      </c>
      <c r="F4193" s="1" t="n">
        <v>25</v>
      </c>
      <c r="G4193" s="1" t="n">
        <v>20</v>
      </c>
      <c r="H4193" s="1" t="n">
        <v>20</v>
      </c>
      <c r="I4193" s="1" t="str">
        <f aca="false">B4193&amp;"|"&amp;C4193</f>
        <v>Snack Bars|Low Cost</v>
      </c>
      <c r="J4193" s="1" t="s">
        <v>1602</v>
      </c>
    </row>
    <row r="4194" customFormat="false" ht="12" hidden="false" customHeight="true" outlineLevel="0" collapsed="false">
      <c r="B4194" s="1" t="s">
        <v>681</v>
      </c>
      <c r="C4194" s="1" t="s">
        <v>567</v>
      </c>
      <c r="F4194" s="1" t="n">
        <v>20</v>
      </c>
      <c r="G4194" s="1" t="n">
        <v>15</v>
      </c>
      <c r="H4194" s="1" t="n">
        <v>15</v>
      </c>
      <c r="I4194" s="1" t="str">
        <f aca="false">B4194&amp;"|"&amp;C4194</f>
        <v>Snack Bars|Cheap</v>
      </c>
      <c r="J4194" s="1" t="s">
        <v>1609</v>
      </c>
    </row>
    <row r="4195" customFormat="false" ht="12" hidden="false" customHeight="true" outlineLevel="0" collapsed="false">
      <c r="B4195" s="1" t="s">
        <v>684</v>
      </c>
      <c r="C4195" s="1" t="s">
        <v>485</v>
      </c>
      <c r="F4195" s="1" t="n">
        <v>50</v>
      </c>
      <c r="G4195" s="1" t="n">
        <v>45</v>
      </c>
      <c r="I4195" s="1" t="str">
        <f aca="false">B4195&amp;"|"&amp;C4195</f>
        <v>Banquet Halls|Excellent</v>
      </c>
      <c r="J4195" s="1" t="s">
        <v>1639</v>
      </c>
    </row>
    <row r="4196" customFormat="false" ht="12" hidden="false" customHeight="true" outlineLevel="0" collapsed="false">
      <c r="B4196" s="1" t="s">
        <v>684</v>
      </c>
      <c r="C4196" s="1" t="s">
        <v>483</v>
      </c>
      <c r="F4196" s="1" t="n">
        <v>45</v>
      </c>
      <c r="G4196" s="1" t="n">
        <v>40</v>
      </c>
      <c r="H4196" s="1" t="n">
        <v>40</v>
      </c>
      <c r="I4196" s="1" t="str">
        <f aca="false">B4196&amp;"|"&amp;C4196</f>
        <v>Banquet Halls|Good</v>
      </c>
      <c r="J4196" s="1" t="s">
        <v>1600</v>
      </c>
    </row>
    <row r="4197" customFormat="false" ht="12" hidden="false" customHeight="true" outlineLevel="0" collapsed="false">
      <c r="B4197" s="1" t="s">
        <v>684</v>
      </c>
      <c r="C4197" s="1" t="s">
        <v>279</v>
      </c>
      <c r="F4197" s="1" t="n">
        <v>40</v>
      </c>
      <c r="G4197" s="1" t="n">
        <v>35</v>
      </c>
      <c r="H4197" s="1" t="n">
        <v>35</v>
      </c>
      <c r="I4197" s="1" t="str">
        <f aca="false">B4197&amp;"|"&amp;C4197</f>
        <v>Banquet Halls|Average</v>
      </c>
      <c r="J4197" s="1" t="s">
        <v>1598</v>
      </c>
    </row>
    <row r="4198" customFormat="false" ht="12" hidden="false" customHeight="true" outlineLevel="0" collapsed="false">
      <c r="B4198" s="1" t="s">
        <v>684</v>
      </c>
      <c r="C4198" s="1" t="s">
        <v>480</v>
      </c>
      <c r="F4198" s="1" t="n">
        <v>35</v>
      </c>
      <c r="G4198" s="1" t="n">
        <v>30</v>
      </c>
      <c r="H4198" s="1" t="n">
        <v>30</v>
      </c>
      <c r="I4198" s="1" t="str">
        <f aca="false">B4198&amp;"|"&amp;C4198</f>
        <v>Banquet Halls|Low Cost</v>
      </c>
      <c r="J4198" s="1" t="s">
        <v>1602</v>
      </c>
    </row>
    <row r="4199" customFormat="false" ht="12" hidden="false" customHeight="true" outlineLevel="0" collapsed="false">
      <c r="B4199" s="1" t="s">
        <v>687</v>
      </c>
      <c r="C4199" s="1" t="s">
        <v>485</v>
      </c>
      <c r="H4199" s="1" t="n">
        <v>35</v>
      </c>
      <c r="I4199" s="1" t="str">
        <f aca="false">B4199&amp;"|"&amp;C4199</f>
        <v>Modular Restaurants – Diners|Excellent</v>
      </c>
      <c r="J4199" s="1" t="s">
        <v>1640</v>
      </c>
    </row>
    <row r="4200" customFormat="false" ht="12" hidden="false" customHeight="true" outlineLevel="0" collapsed="false">
      <c r="B4200" s="1" t="s">
        <v>687</v>
      </c>
      <c r="C4200" s="1" t="s">
        <v>483</v>
      </c>
      <c r="H4200" s="1" t="n">
        <v>30</v>
      </c>
      <c r="I4200" s="1" t="str">
        <f aca="false">B4200&amp;"|"&amp;C4200</f>
        <v>Modular Restaurants – Diners|Good</v>
      </c>
      <c r="J4200" s="1" t="s">
        <v>1636</v>
      </c>
    </row>
    <row r="4201" customFormat="false" ht="12" hidden="false" customHeight="true" outlineLevel="0" collapsed="false">
      <c r="B4201" s="1" t="s">
        <v>687</v>
      </c>
      <c r="C4201" s="1" t="s">
        <v>279</v>
      </c>
      <c r="H4201" s="1" t="n">
        <v>30</v>
      </c>
      <c r="I4201" s="1" t="str">
        <f aca="false">B4201&amp;"|"&amp;C4201</f>
        <v>Modular Restaurants – Diners|Average</v>
      </c>
      <c r="J4201" s="1" t="s">
        <v>1636</v>
      </c>
    </row>
    <row r="4202" customFormat="false" ht="12" hidden="false" customHeight="true" outlineLevel="0" collapsed="false">
      <c r="B4202" s="1" t="s">
        <v>687</v>
      </c>
      <c r="C4202" s="1" t="s">
        <v>480</v>
      </c>
      <c r="H4202" s="1" t="n">
        <v>30</v>
      </c>
      <c r="I4202" s="1" t="str">
        <f aca="false">B4202&amp;"|"&amp;C4202</f>
        <v>Modular Restaurants – Diners|Low Cost</v>
      </c>
      <c r="J4202" s="1" t="s">
        <v>1636</v>
      </c>
    </row>
    <row r="4203" customFormat="false" ht="12" hidden="false" customHeight="true" outlineLevel="0" collapsed="false">
      <c r="B4203" s="1" t="s">
        <v>689</v>
      </c>
      <c r="C4203" s="1" t="s">
        <v>483</v>
      </c>
      <c r="D4203" s="1" t="n">
        <v>40</v>
      </c>
      <c r="E4203" s="1" t="n">
        <v>40</v>
      </c>
      <c r="F4203" s="1" t="n">
        <v>40</v>
      </c>
      <c r="G4203" s="1" t="n">
        <v>35</v>
      </c>
      <c r="H4203" s="1" t="n">
        <v>35</v>
      </c>
      <c r="I4203" s="1" t="str">
        <f aca="false">B4203&amp;"|"&amp;C4203</f>
        <v>Supermarkets|Good</v>
      </c>
      <c r="J4203" s="1" t="s">
        <v>1613</v>
      </c>
    </row>
    <row r="4204" customFormat="false" ht="12" hidden="false" customHeight="true" outlineLevel="0" collapsed="false">
      <c r="B4204" s="1" t="s">
        <v>689</v>
      </c>
      <c r="C4204" s="1" t="s">
        <v>279</v>
      </c>
      <c r="D4204" s="1" t="n">
        <v>40</v>
      </c>
      <c r="E4204" s="1" t="n">
        <v>40</v>
      </c>
      <c r="F4204" s="1" t="n">
        <v>40</v>
      </c>
      <c r="G4204" s="1" t="n">
        <v>35</v>
      </c>
      <c r="H4204" s="1" t="n">
        <v>35</v>
      </c>
      <c r="I4204" s="1" t="str">
        <f aca="false">B4204&amp;"|"&amp;C4204</f>
        <v>Supermarkets|Average</v>
      </c>
      <c r="J4204" s="1" t="s">
        <v>1613</v>
      </c>
    </row>
    <row r="4205" customFormat="false" ht="12" hidden="false" customHeight="true" outlineLevel="0" collapsed="false">
      <c r="B4205" s="1" t="s">
        <v>689</v>
      </c>
      <c r="C4205" s="1" t="s">
        <v>485</v>
      </c>
      <c r="F4205" s="1" t="n">
        <v>45</v>
      </c>
      <c r="G4205" s="1" t="n">
        <v>40</v>
      </c>
      <c r="H4205" s="1" t="n">
        <v>40</v>
      </c>
      <c r="I4205" s="1" t="str">
        <f aca="false">B4205&amp;"|"&amp;C4205</f>
        <v>Supermarkets|Excellent</v>
      </c>
      <c r="J4205" s="1" t="s">
        <v>1641</v>
      </c>
    </row>
    <row r="4206" customFormat="false" ht="12" hidden="false" customHeight="true" outlineLevel="0" collapsed="false">
      <c r="B4206" s="1" t="s">
        <v>689</v>
      </c>
      <c r="C4206" s="1" t="s">
        <v>480</v>
      </c>
      <c r="F4206" s="1" t="n">
        <v>35</v>
      </c>
      <c r="G4206" s="1" t="n">
        <v>30</v>
      </c>
      <c r="H4206" s="1" t="n">
        <v>30</v>
      </c>
      <c r="I4206" s="1" t="str">
        <f aca="false">B4206&amp;"|"&amp;C4206</f>
        <v>Supermarkets|Low Cost</v>
      </c>
      <c r="J4206" s="1" t="s">
        <v>1602</v>
      </c>
    </row>
    <row r="4207" customFormat="false" ht="12" hidden="false" customHeight="true" outlineLevel="0" collapsed="false">
      <c r="B4207" s="1" t="s">
        <v>692</v>
      </c>
      <c r="C4207" s="1" t="s">
        <v>279</v>
      </c>
      <c r="D4207" s="1" t="n">
        <v>45</v>
      </c>
      <c r="E4207" s="1" t="n">
        <v>45</v>
      </c>
      <c r="F4207" s="1" t="n">
        <v>40</v>
      </c>
      <c r="G4207" s="1" t="n">
        <v>35</v>
      </c>
      <c r="I4207" s="1" t="str">
        <f aca="false">B4207&amp;"|"&amp;C4207</f>
        <v>Drug Stores|Average</v>
      </c>
      <c r="J4207" s="1" t="s">
        <v>1613</v>
      </c>
    </row>
    <row r="4208" customFormat="false" ht="12" hidden="false" customHeight="true" outlineLevel="0" collapsed="false">
      <c r="B4208" s="1" t="s">
        <v>692</v>
      </c>
      <c r="C4208" s="1" t="s">
        <v>485</v>
      </c>
      <c r="F4208" s="1" t="n">
        <v>45</v>
      </c>
      <c r="G4208" s="1" t="n">
        <v>40</v>
      </c>
      <c r="I4208" s="1" t="str">
        <f aca="false">B4208&amp;"|"&amp;C4208</f>
        <v>Drug Stores|Excellent</v>
      </c>
      <c r="J4208" s="1" t="s">
        <v>1642</v>
      </c>
    </row>
    <row r="4209" customFormat="false" ht="12" hidden="false" customHeight="true" outlineLevel="0" collapsed="false">
      <c r="B4209" s="1" t="s">
        <v>692</v>
      </c>
      <c r="C4209" s="1" t="s">
        <v>483</v>
      </c>
      <c r="D4209" s="1" t="n">
        <v>45</v>
      </c>
      <c r="E4209" s="1" t="n">
        <v>45</v>
      </c>
      <c r="F4209" s="1" t="n">
        <v>40</v>
      </c>
      <c r="G4209" s="1" t="n">
        <v>35</v>
      </c>
      <c r="I4209" s="1" t="str">
        <f aca="false">B4209&amp;"|"&amp;C4209</f>
        <v>Drug Stores|Good</v>
      </c>
      <c r="J4209" s="1" t="s">
        <v>1613</v>
      </c>
    </row>
    <row r="4210" customFormat="false" ht="12" hidden="false" customHeight="true" outlineLevel="0" collapsed="false">
      <c r="B4210" s="1" t="s">
        <v>692</v>
      </c>
      <c r="C4210" s="1" t="s">
        <v>480</v>
      </c>
      <c r="F4210" s="1" t="n">
        <v>35</v>
      </c>
      <c r="G4210" s="1" t="n">
        <v>30</v>
      </c>
      <c r="H4210" s="1" t="n">
        <v>30</v>
      </c>
      <c r="I4210" s="1" t="str">
        <f aca="false">B4210&amp;"|"&amp;C4210</f>
        <v>Drug Stores|Low Cost</v>
      </c>
      <c r="J4210" s="1" t="s">
        <v>1602</v>
      </c>
    </row>
    <row r="4211" customFormat="false" ht="12" hidden="false" customHeight="true" outlineLevel="0" collapsed="false">
      <c r="B4211" s="1" t="s">
        <v>694</v>
      </c>
      <c r="C4211" s="1" t="s">
        <v>279</v>
      </c>
      <c r="D4211" s="1" t="n">
        <v>40</v>
      </c>
      <c r="E4211" s="1" t="n">
        <v>40</v>
      </c>
      <c r="F4211" s="1" t="n">
        <v>40</v>
      </c>
      <c r="G4211" s="1" t="n">
        <v>35</v>
      </c>
      <c r="H4211" s="1" t="n">
        <v>35</v>
      </c>
      <c r="I4211" s="1" t="str">
        <f aca="false">B4211&amp;"|"&amp;C4211</f>
        <v>Markets|Average</v>
      </c>
      <c r="J4211" s="1" t="s">
        <v>1613</v>
      </c>
    </row>
    <row r="4212" customFormat="false" ht="12" hidden="false" customHeight="true" outlineLevel="0" collapsed="false">
      <c r="B4212" s="1" t="s">
        <v>694</v>
      </c>
      <c r="C4212" s="1" t="s">
        <v>485</v>
      </c>
      <c r="F4212" s="1" t="n">
        <v>45</v>
      </c>
      <c r="G4212" s="1" t="n">
        <v>40</v>
      </c>
      <c r="H4212" s="1" t="n">
        <v>40</v>
      </c>
      <c r="I4212" s="1" t="str">
        <f aca="false">B4212&amp;"|"&amp;C4212</f>
        <v>Markets|Excellent</v>
      </c>
      <c r="J4212" s="1" t="s">
        <v>1641</v>
      </c>
    </row>
    <row r="4213" customFormat="false" ht="12" hidden="false" customHeight="true" outlineLevel="0" collapsed="false">
      <c r="B4213" s="1" t="s">
        <v>694</v>
      </c>
      <c r="C4213" s="1" t="s">
        <v>483</v>
      </c>
      <c r="D4213" s="1" t="n">
        <v>40</v>
      </c>
      <c r="E4213" s="1" t="n">
        <v>40</v>
      </c>
      <c r="F4213" s="1" t="n">
        <v>40</v>
      </c>
      <c r="G4213" s="1" t="n">
        <v>35</v>
      </c>
      <c r="H4213" s="1" t="n">
        <v>35</v>
      </c>
      <c r="I4213" s="1" t="str">
        <f aca="false">B4213&amp;"|"&amp;C4213</f>
        <v>Markets|Good</v>
      </c>
      <c r="J4213" s="1" t="s">
        <v>1613</v>
      </c>
    </row>
    <row r="4214" customFormat="false" ht="12" hidden="false" customHeight="true" outlineLevel="0" collapsed="false">
      <c r="B4214" s="1" t="s">
        <v>694</v>
      </c>
      <c r="C4214" s="1" t="s">
        <v>480</v>
      </c>
      <c r="F4214" s="1" t="n">
        <v>35</v>
      </c>
      <c r="G4214" s="1" t="n">
        <v>30</v>
      </c>
      <c r="H4214" s="1" t="n">
        <v>30</v>
      </c>
      <c r="I4214" s="1" t="str">
        <f aca="false">B4214&amp;"|"&amp;C4214</f>
        <v>Markets|Low Cost</v>
      </c>
      <c r="J4214" s="1" t="s">
        <v>1602</v>
      </c>
    </row>
    <row r="4215" customFormat="false" ht="12" hidden="false" customHeight="true" outlineLevel="0" collapsed="false">
      <c r="B4215" s="1" t="s">
        <v>697</v>
      </c>
      <c r="C4215" s="1" t="s">
        <v>279</v>
      </c>
      <c r="D4215" s="1" t="n">
        <v>50</v>
      </c>
      <c r="E4215" s="1" t="n">
        <v>50</v>
      </c>
      <c r="F4215" s="1" t="n">
        <v>40</v>
      </c>
      <c r="G4215" s="1" t="n">
        <v>35</v>
      </c>
      <c r="H4215" s="1" t="n">
        <v>35</v>
      </c>
      <c r="I4215" s="1" t="str">
        <f aca="false">B4215&amp;"|"&amp;C4215</f>
        <v>Florist Shops|Average</v>
      </c>
      <c r="J4215" s="1" t="s">
        <v>1613</v>
      </c>
    </row>
    <row r="4216" customFormat="false" ht="12" hidden="false" customHeight="true" outlineLevel="0" collapsed="false">
      <c r="B4216" s="1" t="s">
        <v>697</v>
      </c>
      <c r="C4216" s="1" t="s">
        <v>485</v>
      </c>
      <c r="F4216" s="1" t="n">
        <v>45</v>
      </c>
      <c r="G4216" s="1" t="n">
        <v>40</v>
      </c>
      <c r="H4216" s="1" t="n">
        <v>40</v>
      </c>
      <c r="I4216" s="1" t="str">
        <f aca="false">B4216&amp;"|"&amp;C4216</f>
        <v>Florist Shops|Excellent</v>
      </c>
      <c r="J4216" s="1" t="s">
        <v>1643</v>
      </c>
    </row>
    <row r="4217" customFormat="false" ht="12" hidden="false" customHeight="true" outlineLevel="0" collapsed="false">
      <c r="B4217" s="1" t="s">
        <v>697</v>
      </c>
      <c r="C4217" s="1" t="s">
        <v>483</v>
      </c>
      <c r="D4217" s="1" t="n">
        <v>50</v>
      </c>
      <c r="E4217" s="1" t="n">
        <v>50</v>
      </c>
      <c r="F4217" s="1" t="n">
        <v>40</v>
      </c>
      <c r="G4217" s="1" t="n">
        <v>35</v>
      </c>
      <c r="H4217" s="1" t="n">
        <v>35</v>
      </c>
      <c r="I4217" s="1" t="str">
        <f aca="false">B4217&amp;"|"&amp;C4217</f>
        <v>Florist Shops|Good</v>
      </c>
      <c r="J4217" s="1" t="s">
        <v>1613</v>
      </c>
    </row>
    <row r="4218" customFormat="false" ht="12" hidden="false" customHeight="true" outlineLevel="0" collapsed="false">
      <c r="B4218" s="1" t="s">
        <v>697</v>
      </c>
      <c r="C4218" s="1" t="s">
        <v>480</v>
      </c>
      <c r="F4218" s="1" t="n">
        <v>35</v>
      </c>
      <c r="G4218" s="1" t="n">
        <v>30</v>
      </c>
      <c r="H4218" s="1" t="n">
        <v>30</v>
      </c>
      <c r="I4218" s="1" t="str">
        <f aca="false">B4218&amp;"|"&amp;C4218</f>
        <v>Florist Shops|Low Cost</v>
      </c>
      <c r="J4218" s="1" t="s">
        <v>1602</v>
      </c>
    </row>
    <row r="4219" customFormat="false" ht="12" hidden="false" customHeight="true" outlineLevel="0" collapsed="false">
      <c r="B4219" s="1" t="s">
        <v>699</v>
      </c>
      <c r="C4219" s="1" t="s">
        <v>279</v>
      </c>
      <c r="D4219" s="1" t="n">
        <v>45</v>
      </c>
      <c r="E4219" s="1" t="n">
        <v>45</v>
      </c>
      <c r="F4219" s="1" t="n">
        <v>40</v>
      </c>
      <c r="G4219" s="1" t="n">
        <v>35</v>
      </c>
      <c r="H4219" s="1" t="n">
        <v>35</v>
      </c>
      <c r="I4219" s="1" t="str">
        <f aca="false">B4219&amp;"|"&amp;C4219</f>
        <v>Convenience Stores|Average</v>
      </c>
      <c r="J4219" s="1" t="s">
        <v>1613</v>
      </c>
    </row>
    <row r="4220" customFormat="false" ht="12" hidden="false" customHeight="true" outlineLevel="0" collapsed="false">
      <c r="B4220" s="1" t="s">
        <v>699</v>
      </c>
      <c r="C4220" s="1" t="s">
        <v>485</v>
      </c>
      <c r="F4220" s="1" t="n">
        <v>45</v>
      </c>
      <c r="G4220" s="1" t="n">
        <v>40</v>
      </c>
      <c r="H4220" s="1" t="n">
        <v>40</v>
      </c>
      <c r="I4220" s="1" t="str">
        <f aca="false">B4220&amp;"|"&amp;C4220</f>
        <v>Convenience Stores|Excellent</v>
      </c>
      <c r="J4220" s="1" t="s">
        <v>1644</v>
      </c>
    </row>
    <row r="4221" customFormat="false" ht="12" hidden="false" customHeight="true" outlineLevel="0" collapsed="false">
      <c r="B4221" s="1" t="s">
        <v>699</v>
      </c>
      <c r="C4221" s="1" t="s">
        <v>483</v>
      </c>
      <c r="D4221" s="1" t="n">
        <v>45</v>
      </c>
      <c r="E4221" s="1" t="n">
        <v>45</v>
      </c>
      <c r="F4221" s="1" t="n">
        <v>40</v>
      </c>
      <c r="G4221" s="1" t="n">
        <v>35</v>
      </c>
      <c r="H4221" s="1" t="n">
        <v>35</v>
      </c>
      <c r="I4221" s="1" t="str">
        <f aca="false">B4221&amp;"|"&amp;C4221</f>
        <v>Convenience Stores|Good</v>
      </c>
      <c r="J4221" s="1" t="s">
        <v>1613</v>
      </c>
    </row>
    <row r="4222" customFormat="false" ht="12" hidden="false" customHeight="true" outlineLevel="0" collapsed="false">
      <c r="B4222" s="1" t="s">
        <v>699</v>
      </c>
      <c r="C4222" s="1" t="s">
        <v>480</v>
      </c>
      <c r="F4222" s="1" t="n">
        <v>35</v>
      </c>
      <c r="G4222" s="1" t="n">
        <v>30</v>
      </c>
      <c r="H4222" s="1" t="n">
        <v>30</v>
      </c>
      <c r="I4222" s="1" t="str">
        <f aca="false">B4222&amp;"|"&amp;C4222</f>
        <v>Convenience Stores|Low Cost</v>
      </c>
      <c r="J4222" s="1" t="s">
        <v>1602</v>
      </c>
    </row>
    <row r="4223" customFormat="false" ht="12" hidden="false" customHeight="true" outlineLevel="0" collapsed="false">
      <c r="B4223" s="1" t="s">
        <v>702</v>
      </c>
      <c r="C4223" s="1" t="s">
        <v>485</v>
      </c>
      <c r="F4223" s="1" t="n">
        <v>40</v>
      </c>
      <c r="G4223" s="1" t="n">
        <v>35</v>
      </c>
      <c r="H4223" s="1" t="n">
        <v>30</v>
      </c>
      <c r="I4223" s="1" t="str">
        <f aca="false">B4223&amp;"|"&amp;C4223</f>
        <v>Mini-Mart Convenience Stores|Excellent</v>
      </c>
      <c r="J4223" s="1" t="s">
        <v>1645</v>
      </c>
    </row>
    <row r="4224" customFormat="false" ht="12" hidden="false" customHeight="true" outlineLevel="0" collapsed="false">
      <c r="B4224" s="1" t="s">
        <v>702</v>
      </c>
      <c r="C4224" s="1" t="s">
        <v>483</v>
      </c>
      <c r="F4224" s="1" t="n">
        <v>40</v>
      </c>
      <c r="G4224" s="1" t="n">
        <v>35</v>
      </c>
      <c r="H4224" s="1" t="n">
        <v>30</v>
      </c>
      <c r="I4224" s="1" t="str">
        <f aca="false">B4224&amp;"|"&amp;C4224</f>
        <v>Mini-Mart Convenience Stores|Good</v>
      </c>
      <c r="J4224" s="1" t="s">
        <v>1645</v>
      </c>
    </row>
    <row r="4225" customFormat="false" ht="12" hidden="false" customHeight="true" outlineLevel="0" collapsed="false">
      <c r="B4225" s="1" t="s">
        <v>702</v>
      </c>
      <c r="C4225" s="1" t="s">
        <v>279</v>
      </c>
      <c r="F4225" s="1" t="n">
        <v>35</v>
      </c>
      <c r="G4225" s="1" t="n">
        <v>30</v>
      </c>
      <c r="H4225" s="1" t="n">
        <v>25</v>
      </c>
      <c r="I4225" s="1" t="str">
        <f aca="false">B4225&amp;"|"&amp;C4225</f>
        <v>Mini-Mart Convenience Stores|Average</v>
      </c>
      <c r="J4225" s="1" t="s">
        <v>1594</v>
      </c>
    </row>
    <row r="4226" customFormat="false" ht="12" hidden="false" customHeight="true" outlineLevel="0" collapsed="false">
      <c r="B4226" s="1" t="s">
        <v>702</v>
      </c>
      <c r="C4226" s="1" t="s">
        <v>480</v>
      </c>
      <c r="F4226" s="1" t="n">
        <v>35</v>
      </c>
      <c r="G4226" s="1" t="n">
        <v>30</v>
      </c>
      <c r="H4226" s="1" t="n">
        <v>25</v>
      </c>
      <c r="I4226" s="1" t="str">
        <f aca="false">B4226&amp;"|"&amp;C4226</f>
        <v>Mini-Mart Convenience Stores|Low Cost</v>
      </c>
      <c r="J4226" s="1" t="s">
        <v>1594</v>
      </c>
    </row>
    <row r="4227" customFormat="false" ht="12" hidden="false" customHeight="true" outlineLevel="0" collapsed="false">
      <c r="B4227" s="1" t="s">
        <v>704</v>
      </c>
      <c r="C4227" s="1" t="s">
        <v>485</v>
      </c>
      <c r="F4227" s="1" t="n">
        <v>40</v>
      </c>
      <c r="G4227" s="1" t="n">
        <v>35</v>
      </c>
      <c r="H4227" s="1" t="n">
        <v>35</v>
      </c>
      <c r="I4227" s="1" t="str">
        <f aca="false">B4227&amp;"|"&amp;C4227</f>
        <v>Roadside Markets|Excellent</v>
      </c>
      <c r="J4227" s="1" t="s">
        <v>1646</v>
      </c>
    </row>
    <row r="4228" customFormat="false" ht="12" hidden="false" customHeight="true" outlineLevel="0" collapsed="false">
      <c r="B4228" s="1" t="s">
        <v>704</v>
      </c>
      <c r="C4228" s="1" t="s">
        <v>483</v>
      </c>
      <c r="F4228" s="1" t="n">
        <v>35</v>
      </c>
      <c r="G4228" s="1" t="n">
        <v>30</v>
      </c>
      <c r="H4228" s="1" t="n">
        <v>30</v>
      </c>
      <c r="I4228" s="1" t="str">
        <f aca="false">B4228&amp;"|"&amp;C4228</f>
        <v>Roadside Markets|Good</v>
      </c>
      <c r="J4228" s="1" t="s">
        <v>1600</v>
      </c>
    </row>
    <row r="4229" customFormat="false" ht="12" hidden="false" customHeight="true" outlineLevel="0" collapsed="false">
      <c r="B4229" s="1" t="s">
        <v>704</v>
      </c>
      <c r="C4229" s="1" t="s">
        <v>279</v>
      </c>
      <c r="F4229" s="1" t="n">
        <v>30</v>
      </c>
      <c r="G4229" s="1" t="n">
        <v>25</v>
      </c>
      <c r="H4229" s="1" t="n">
        <v>25</v>
      </c>
      <c r="I4229" s="1" t="str">
        <f aca="false">B4229&amp;"|"&amp;C4229</f>
        <v>Roadside Markets|Average</v>
      </c>
      <c r="J4229" s="1" t="s">
        <v>1598</v>
      </c>
    </row>
    <row r="4230" customFormat="false" ht="12" hidden="false" customHeight="true" outlineLevel="0" collapsed="false">
      <c r="B4230" s="1" t="s">
        <v>704</v>
      </c>
      <c r="C4230" s="1" t="s">
        <v>480</v>
      </c>
      <c r="G4230" s="1" t="n">
        <v>20</v>
      </c>
      <c r="H4230" s="1" t="n">
        <v>20</v>
      </c>
      <c r="I4230" s="1" t="str">
        <f aca="false">B4230&amp;"|"&amp;C4230</f>
        <v>Roadside Markets|Low Cost</v>
      </c>
      <c r="J4230" s="1" t="s">
        <v>1602</v>
      </c>
    </row>
    <row r="4231" customFormat="false" ht="12" hidden="false" customHeight="true" outlineLevel="0" collapsed="false">
      <c r="B4231" s="1" t="s">
        <v>704</v>
      </c>
      <c r="C4231" s="1" t="s">
        <v>567</v>
      </c>
      <c r="G4231" s="1" t="n">
        <v>15</v>
      </c>
      <c r="I4231" s="1" t="str">
        <f aca="false">B4231&amp;"|"&amp;C4231</f>
        <v>Roadside Markets|Cheap</v>
      </c>
      <c r="J4231" s="1" t="s">
        <v>1609</v>
      </c>
    </row>
    <row r="4232" customFormat="false" ht="12" hidden="false" customHeight="true" outlineLevel="0" collapsed="false">
      <c r="B4232" s="1" t="s">
        <v>707</v>
      </c>
      <c r="C4232" s="1" t="s">
        <v>483</v>
      </c>
      <c r="D4232" s="1" t="n">
        <v>60</v>
      </c>
      <c r="E4232" s="1" t="n">
        <v>60</v>
      </c>
      <c r="F4232" s="1" t="n">
        <v>55</v>
      </c>
      <c r="G4232" s="1" t="n">
        <v>50</v>
      </c>
      <c r="I4232" s="1" t="str">
        <f aca="false">B4232&amp;"|"&amp;C4232</f>
        <v>Luxury Boutiques|Good</v>
      </c>
      <c r="J4232" s="1" t="s">
        <v>1647</v>
      </c>
    </row>
    <row r="4233" customFormat="false" ht="12" hidden="false" customHeight="true" outlineLevel="0" collapsed="false">
      <c r="B4233" s="1" t="s">
        <v>707</v>
      </c>
      <c r="C4233" s="1" t="s">
        <v>279</v>
      </c>
      <c r="D4233" s="1" t="n">
        <v>55</v>
      </c>
      <c r="E4233" s="1" t="n">
        <v>55</v>
      </c>
      <c r="F4233" s="1" t="n">
        <v>50</v>
      </c>
      <c r="G4233" s="1" t="n">
        <v>45</v>
      </c>
      <c r="I4233" s="1" t="str">
        <f aca="false">B4233&amp;"|"&amp;C4233</f>
        <v>Luxury Boutiques|Average</v>
      </c>
      <c r="J4233" s="1" t="s">
        <v>1594</v>
      </c>
    </row>
    <row r="4234" customFormat="false" ht="12" hidden="false" customHeight="true" outlineLevel="0" collapsed="false">
      <c r="B4234" s="1" t="s">
        <v>707</v>
      </c>
      <c r="C4234" s="1" t="s">
        <v>480</v>
      </c>
      <c r="D4234" s="1" t="n">
        <v>55</v>
      </c>
      <c r="E4234" s="1" t="n">
        <v>55</v>
      </c>
      <c r="F4234" s="1" t="n">
        <v>50</v>
      </c>
      <c r="G4234" s="1" t="n">
        <v>45</v>
      </c>
      <c r="I4234" s="1" t="str">
        <f aca="false">B4234&amp;"|"&amp;C4234</f>
        <v>Luxury Boutiques|Low Cost</v>
      </c>
      <c r="J4234" s="1" t="s">
        <v>1594</v>
      </c>
    </row>
    <row r="4235" customFormat="false" ht="12" hidden="false" customHeight="true" outlineLevel="0" collapsed="false">
      <c r="B4235" s="1" t="s">
        <v>710</v>
      </c>
      <c r="C4235" s="1" t="s">
        <v>485</v>
      </c>
      <c r="F4235" s="1" t="n">
        <v>50</v>
      </c>
      <c r="G4235" s="1" t="n">
        <v>45</v>
      </c>
      <c r="I4235" s="1" t="str">
        <f aca="false">B4235&amp;"|"&amp;C4235</f>
        <v>Winery (Tasting – Display) Shops|Excellent</v>
      </c>
      <c r="J4235" s="1" t="s">
        <v>1648</v>
      </c>
    </row>
    <row r="4236" customFormat="false" ht="12" hidden="false" customHeight="true" outlineLevel="0" collapsed="false">
      <c r="B4236" s="1" t="s">
        <v>710</v>
      </c>
      <c r="C4236" s="1" t="s">
        <v>483</v>
      </c>
      <c r="F4236" s="1" t="n">
        <v>45</v>
      </c>
      <c r="G4236" s="1" t="n">
        <v>40</v>
      </c>
      <c r="I4236" s="1" t="str">
        <f aca="false">B4236&amp;"|"&amp;C4236</f>
        <v>Winery (Tasting – Display) Shops|Good</v>
      </c>
      <c r="J4236" s="1" t="s">
        <v>1600</v>
      </c>
    </row>
    <row r="4237" customFormat="false" ht="12" hidden="false" customHeight="true" outlineLevel="0" collapsed="false">
      <c r="B4237" s="1" t="s">
        <v>710</v>
      </c>
      <c r="C4237" s="1" t="s">
        <v>279</v>
      </c>
      <c r="F4237" s="1" t="n">
        <v>40</v>
      </c>
      <c r="G4237" s="1" t="n">
        <v>35</v>
      </c>
      <c r="H4237" s="1" t="n">
        <v>35</v>
      </c>
      <c r="I4237" s="1" t="str">
        <f aca="false">B4237&amp;"|"&amp;C4237</f>
        <v>Winery (Tasting – Display) Shops|Average</v>
      </c>
      <c r="J4237" s="1" t="s">
        <v>1598</v>
      </c>
    </row>
    <row r="4238" customFormat="false" ht="12" hidden="false" customHeight="true" outlineLevel="0" collapsed="false">
      <c r="B4238" s="1" t="s">
        <v>710</v>
      </c>
      <c r="C4238" s="1" t="s">
        <v>480</v>
      </c>
      <c r="F4238" s="1" t="n">
        <v>35</v>
      </c>
      <c r="G4238" s="1" t="n">
        <v>30</v>
      </c>
      <c r="H4238" s="1" t="n">
        <v>30</v>
      </c>
      <c r="I4238" s="1" t="str">
        <f aca="false">B4238&amp;"|"&amp;C4238</f>
        <v>Winery (Tasting – Display) Shops|Low Cost</v>
      </c>
      <c r="J4238" s="1" t="s">
        <v>1602</v>
      </c>
    </row>
    <row r="4239" customFormat="false" ht="12" hidden="false" customHeight="true" outlineLevel="0" collapsed="false">
      <c r="B4239" s="1" t="s">
        <v>712</v>
      </c>
      <c r="C4239" s="1" t="s">
        <v>279</v>
      </c>
      <c r="D4239" s="1" t="n">
        <v>40</v>
      </c>
      <c r="E4239" s="1" t="n">
        <v>40</v>
      </c>
      <c r="F4239" s="1" t="n">
        <v>35</v>
      </c>
      <c r="G4239" s="1" t="n">
        <v>30</v>
      </c>
      <c r="H4239" s="1" t="n">
        <v>30</v>
      </c>
      <c r="I4239" s="1" t="str">
        <f aca="false">B4239&amp;"|"&amp;C4239</f>
        <v>Barber Shops/Beauty Salons|Average</v>
      </c>
      <c r="J4239" s="1" t="s">
        <v>1594</v>
      </c>
    </row>
    <row r="4240" customFormat="false" ht="12" hidden="false" customHeight="true" outlineLevel="0" collapsed="false">
      <c r="B4240" s="1" t="s">
        <v>712</v>
      </c>
      <c r="C4240" s="1" t="s">
        <v>483</v>
      </c>
      <c r="D4240" s="1" t="n">
        <v>45</v>
      </c>
      <c r="E4240" s="1" t="n">
        <v>45</v>
      </c>
      <c r="F4240" s="1" t="n">
        <v>40</v>
      </c>
      <c r="G4240" s="1" t="n">
        <v>35</v>
      </c>
      <c r="H4240" s="1" t="n">
        <v>35</v>
      </c>
      <c r="I4240" s="1" t="str">
        <f aca="false">B4240&amp;"|"&amp;C4240</f>
        <v>Barber Shops/Beauty Salons|Good</v>
      </c>
      <c r="J4240" s="1" t="s">
        <v>1649</v>
      </c>
    </row>
    <row r="4241" customFormat="false" ht="12" hidden="false" customHeight="true" outlineLevel="0" collapsed="false">
      <c r="B4241" s="1" t="s">
        <v>715</v>
      </c>
      <c r="C4241" s="1" t="s">
        <v>279</v>
      </c>
      <c r="F4241" s="1" t="n">
        <v>35</v>
      </c>
      <c r="G4241" s="1" t="n">
        <v>30</v>
      </c>
      <c r="H4241" s="1" t="n">
        <v>30</v>
      </c>
      <c r="I4241" s="1" t="str">
        <f aca="false">B4241&amp;"|"&amp;C4241</f>
        <v>Laundromats|Average</v>
      </c>
      <c r="J4241" s="1" t="s">
        <v>1650</v>
      </c>
    </row>
    <row r="4242" customFormat="false" ht="12" hidden="false" customHeight="true" outlineLevel="0" collapsed="false">
      <c r="B4242" s="1" t="s">
        <v>717</v>
      </c>
      <c r="C4242" s="1" t="s">
        <v>483</v>
      </c>
      <c r="F4242" s="1" t="n">
        <v>45</v>
      </c>
      <c r="G4242" s="1" t="n">
        <v>40</v>
      </c>
      <c r="H4242" s="1" t="n">
        <v>40</v>
      </c>
      <c r="I4242" s="1" t="str">
        <f aca="false">B4242&amp;"|"&amp;C4242</f>
        <v>Laundry/Dry Cleaning|Good</v>
      </c>
      <c r="J4242" s="1" t="s">
        <v>1651</v>
      </c>
    </row>
    <row r="4243" customFormat="false" ht="12" hidden="false" customHeight="true" outlineLevel="0" collapsed="false">
      <c r="B4243" s="1" t="s">
        <v>717</v>
      </c>
      <c r="C4243" s="1" t="s">
        <v>279</v>
      </c>
      <c r="F4243" s="1" t="n">
        <v>40</v>
      </c>
      <c r="G4243" s="1" t="n">
        <v>35</v>
      </c>
      <c r="H4243" s="1" t="n">
        <v>35</v>
      </c>
      <c r="I4243" s="1" t="str">
        <f aca="false">B4243&amp;"|"&amp;C4243</f>
        <v>Laundry/Dry Cleaning|Average</v>
      </c>
      <c r="J4243" s="1" t="s">
        <v>1598</v>
      </c>
    </row>
    <row r="4244" customFormat="false" ht="12" hidden="false" customHeight="true" outlineLevel="0" collapsed="false">
      <c r="B4244" s="1" t="s">
        <v>719</v>
      </c>
      <c r="C4244" s="1" t="s">
        <v>279</v>
      </c>
      <c r="F4244" s="1" t="n">
        <v>35</v>
      </c>
      <c r="G4244" s="1" t="n">
        <v>30</v>
      </c>
      <c r="H4244" s="1" t="n">
        <v>30</v>
      </c>
      <c r="I4244" s="1" t="str">
        <f aca="false">B4244&amp;"|"&amp;C4244</f>
        <v>Dairy Sales|Average</v>
      </c>
      <c r="J4244" s="1" t="s">
        <v>1652</v>
      </c>
    </row>
    <row r="4245" customFormat="false" ht="12" hidden="false" customHeight="true" outlineLevel="0" collapsed="false">
      <c r="B4245" s="1" t="s">
        <v>721</v>
      </c>
      <c r="C4245" s="1" t="s">
        <v>485</v>
      </c>
      <c r="D4245" s="1" t="n">
        <v>55</v>
      </c>
      <c r="E4245" s="1" t="n">
        <v>55</v>
      </c>
      <c r="F4245" s="1" t="n">
        <v>50</v>
      </c>
      <c r="G4245" s="1" t="n">
        <v>45</v>
      </c>
      <c r="H4245" s="1" t="n">
        <v>45</v>
      </c>
      <c r="I4245" s="1" t="str">
        <f aca="false">B4245&amp;"|"&amp;C4245</f>
        <v>Retail Stores|Excellent</v>
      </c>
      <c r="J4245" s="1" t="s">
        <v>1653</v>
      </c>
    </row>
    <row r="4246" customFormat="false" ht="12" hidden="false" customHeight="true" outlineLevel="0" collapsed="false">
      <c r="B4246" s="1" t="s">
        <v>721</v>
      </c>
      <c r="C4246" s="1" t="s">
        <v>483</v>
      </c>
      <c r="D4246" s="1" t="n">
        <v>55</v>
      </c>
      <c r="E4246" s="1" t="n">
        <v>55</v>
      </c>
      <c r="F4246" s="1" t="n">
        <v>50</v>
      </c>
      <c r="G4246" s="1" t="n">
        <v>45</v>
      </c>
      <c r="H4246" s="1" t="n">
        <v>45</v>
      </c>
      <c r="I4246" s="1" t="str">
        <f aca="false">B4246&amp;"|"&amp;C4246</f>
        <v>Retail Stores|Good</v>
      </c>
      <c r="J4246" s="1" t="s">
        <v>1653</v>
      </c>
    </row>
    <row r="4247" customFormat="false" ht="12" hidden="false" customHeight="true" outlineLevel="0" collapsed="false">
      <c r="B4247" s="1" t="s">
        <v>721</v>
      </c>
      <c r="C4247" s="1" t="s">
        <v>279</v>
      </c>
      <c r="D4247" s="1" t="n">
        <v>50</v>
      </c>
      <c r="E4247" s="1" t="n">
        <v>50</v>
      </c>
      <c r="F4247" s="1" t="n">
        <v>45</v>
      </c>
      <c r="G4247" s="1" t="n">
        <v>40</v>
      </c>
      <c r="H4247" s="1" t="n">
        <v>40</v>
      </c>
      <c r="I4247" s="1" t="str">
        <f aca="false">B4247&amp;"|"&amp;C4247</f>
        <v>Retail Stores|Average</v>
      </c>
      <c r="J4247" s="1" t="s">
        <v>1598</v>
      </c>
    </row>
    <row r="4248" customFormat="false" ht="12" hidden="false" customHeight="true" outlineLevel="0" collapsed="false">
      <c r="B4248" s="1" t="s">
        <v>721</v>
      </c>
      <c r="C4248" s="1" t="s">
        <v>480</v>
      </c>
      <c r="D4248" s="1" t="n">
        <v>45</v>
      </c>
      <c r="E4248" s="1" t="n">
        <v>45</v>
      </c>
      <c r="F4248" s="1" t="n">
        <v>40</v>
      </c>
      <c r="G4248" s="1" t="n">
        <v>40</v>
      </c>
      <c r="H4248" s="1" t="n">
        <v>40</v>
      </c>
      <c r="I4248" s="1" t="str">
        <f aca="false">B4248&amp;"|"&amp;C4248</f>
        <v>Retail Stores|Low Cost</v>
      </c>
      <c r="J4248" s="1" t="s">
        <v>1602</v>
      </c>
    </row>
    <row r="4249" customFormat="false" ht="12" hidden="false" customHeight="true" outlineLevel="0" collapsed="false">
      <c r="B4249" s="1" t="s">
        <v>724</v>
      </c>
      <c r="C4249" s="1" t="s">
        <v>485</v>
      </c>
      <c r="D4249" s="1" t="n">
        <v>55</v>
      </c>
      <c r="E4249" s="1" t="n">
        <v>55</v>
      </c>
      <c r="F4249" s="1" t="n">
        <v>50</v>
      </c>
      <c r="I4249" s="1" t="str">
        <f aca="false">B4249&amp;"|"&amp;C4249</f>
        <v>Department Stores|Excellent</v>
      </c>
      <c r="J4249" s="1" t="s">
        <v>1654</v>
      </c>
    </row>
    <row r="4250" customFormat="false" ht="12" hidden="false" customHeight="true" outlineLevel="0" collapsed="false">
      <c r="B4250" s="1" t="s">
        <v>724</v>
      </c>
      <c r="C4250" s="1" t="s">
        <v>483</v>
      </c>
      <c r="D4250" s="1" t="n">
        <v>55</v>
      </c>
      <c r="E4250" s="1" t="n">
        <v>55</v>
      </c>
      <c r="F4250" s="1" t="n">
        <v>50</v>
      </c>
      <c r="I4250" s="1" t="str">
        <f aca="false">B4250&amp;"|"&amp;C4250</f>
        <v>Department Stores|Good</v>
      </c>
      <c r="J4250" s="1" t="s">
        <v>1654</v>
      </c>
    </row>
    <row r="4251" customFormat="false" ht="12" hidden="false" customHeight="true" outlineLevel="0" collapsed="false">
      <c r="B4251" s="1" t="s">
        <v>724</v>
      </c>
      <c r="C4251" s="1" t="s">
        <v>279</v>
      </c>
      <c r="D4251" s="1" t="n">
        <v>50</v>
      </c>
      <c r="E4251" s="1" t="n">
        <v>50</v>
      </c>
      <c r="F4251" s="1" t="n">
        <v>45</v>
      </c>
      <c r="I4251" s="1" t="str">
        <f aca="false">B4251&amp;"|"&amp;C4251</f>
        <v>Department Stores|Average</v>
      </c>
      <c r="J4251" s="1" t="s">
        <v>1594</v>
      </c>
    </row>
    <row r="4252" customFormat="false" ht="12" hidden="false" customHeight="true" outlineLevel="0" collapsed="false">
      <c r="B4252" s="1" t="s">
        <v>727</v>
      </c>
      <c r="C4252" s="1" t="s">
        <v>483</v>
      </c>
      <c r="D4252" s="1" t="n">
        <v>50</v>
      </c>
      <c r="E4252" s="1" t="n">
        <v>50</v>
      </c>
      <c r="F4252" s="1" t="n">
        <v>45</v>
      </c>
      <c r="G4252" s="1" t="n">
        <v>40</v>
      </c>
      <c r="I4252" s="1" t="str">
        <f aca="false">B4252&amp;"|"&amp;C4252</f>
        <v>Mall Anchor (Department/Big Box) Stores|Good</v>
      </c>
      <c r="J4252" s="1" t="s">
        <v>1655</v>
      </c>
    </row>
    <row r="4253" customFormat="false" ht="12" hidden="false" customHeight="true" outlineLevel="0" collapsed="false">
      <c r="B4253" s="1" t="s">
        <v>727</v>
      </c>
      <c r="C4253" s="1" t="s">
        <v>279</v>
      </c>
      <c r="D4253" s="1" t="n">
        <v>50</v>
      </c>
      <c r="E4253" s="1" t="n">
        <v>50</v>
      </c>
      <c r="F4253" s="1" t="n">
        <v>45</v>
      </c>
      <c r="G4253" s="1" t="n">
        <v>40</v>
      </c>
      <c r="I4253" s="1" t="str">
        <f aca="false">B4253&amp;"|"&amp;C4253</f>
        <v>Mall Anchor (Department/Big Box) Stores|Average</v>
      </c>
      <c r="J4253" s="1" t="s">
        <v>1655</v>
      </c>
    </row>
    <row r="4254" customFormat="false" ht="12" hidden="false" customHeight="true" outlineLevel="0" collapsed="false">
      <c r="B4254" s="1" t="s">
        <v>727</v>
      </c>
      <c r="C4254" s="1" t="s">
        <v>480</v>
      </c>
      <c r="D4254" s="1" t="n">
        <v>45</v>
      </c>
      <c r="E4254" s="1" t="n">
        <v>45</v>
      </c>
      <c r="F4254" s="1" t="n">
        <v>40</v>
      </c>
      <c r="G4254" s="1" t="n">
        <v>35</v>
      </c>
      <c r="H4254" s="1" t="n">
        <v>35</v>
      </c>
      <c r="I4254" s="1" t="str">
        <f aca="false">B4254&amp;"|"&amp;C4254</f>
        <v>Mall Anchor (Department/Big Box) Stores|Low Cost</v>
      </c>
      <c r="J4254" s="1" t="s">
        <v>1602</v>
      </c>
    </row>
    <row r="4255" customFormat="false" ht="12" hidden="false" customHeight="true" outlineLevel="0" collapsed="false">
      <c r="B4255" s="1" t="s">
        <v>729</v>
      </c>
      <c r="C4255" s="1" t="s">
        <v>279</v>
      </c>
      <c r="D4255" s="1" t="n">
        <v>40</v>
      </c>
      <c r="E4255" s="1" t="n">
        <v>40</v>
      </c>
      <c r="F4255" s="1" t="n">
        <v>35</v>
      </c>
      <c r="G4255" s="1" t="n">
        <v>30</v>
      </c>
      <c r="H4255" s="1" t="n">
        <v>30</v>
      </c>
      <c r="I4255" s="1" t="str">
        <f aca="false">B4255&amp;"|"&amp;C4255</f>
        <v>Discount Stores|Average</v>
      </c>
      <c r="J4255" s="1" t="s">
        <v>1594</v>
      </c>
    </row>
    <row r="4256" customFormat="false" ht="12" hidden="false" customHeight="true" outlineLevel="0" collapsed="false">
      <c r="B4256" s="1" t="s">
        <v>729</v>
      </c>
      <c r="C4256" s="1" t="s">
        <v>483</v>
      </c>
      <c r="F4256" s="1" t="n">
        <v>40</v>
      </c>
      <c r="G4256" s="1" t="n">
        <v>35</v>
      </c>
      <c r="H4256" s="1" t="n">
        <v>35</v>
      </c>
      <c r="I4256" s="1" t="str">
        <f aca="false">B4256&amp;"|"&amp;C4256</f>
        <v>Discount Stores|Good</v>
      </c>
      <c r="J4256" s="1" t="s">
        <v>1656</v>
      </c>
    </row>
    <row r="4257" customFormat="false" ht="12" hidden="false" customHeight="true" outlineLevel="0" collapsed="false">
      <c r="B4257" s="1" t="s">
        <v>729</v>
      </c>
      <c r="C4257" s="1" t="s">
        <v>480</v>
      </c>
      <c r="D4257" s="1" t="n">
        <v>40</v>
      </c>
      <c r="E4257" s="1" t="n">
        <v>40</v>
      </c>
      <c r="F4257" s="1" t="n">
        <v>35</v>
      </c>
      <c r="G4257" s="1" t="n">
        <v>30</v>
      </c>
      <c r="H4257" s="1" t="n">
        <v>30</v>
      </c>
      <c r="I4257" s="1" t="str">
        <f aca="false">B4257&amp;"|"&amp;C4257</f>
        <v>Discount Stores|Low Cost</v>
      </c>
      <c r="J4257" s="1" t="s">
        <v>1594</v>
      </c>
    </row>
    <row r="4258" customFormat="false" ht="12" hidden="false" customHeight="true" outlineLevel="0" collapsed="false">
      <c r="B4258" s="1" t="s">
        <v>732</v>
      </c>
      <c r="C4258" s="1" t="s">
        <v>483</v>
      </c>
      <c r="F4258" s="1" t="n">
        <v>35</v>
      </c>
      <c r="G4258" s="1" t="n">
        <v>30</v>
      </c>
      <c r="H4258" s="1" t="n">
        <v>30</v>
      </c>
      <c r="I4258" s="1" t="str">
        <f aca="false">B4258&amp;"|"&amp;C4258</f>
        <v>Warehouse Discount Stores|Good</v>
      </c>
      <c r="J4258" s="1" t="s">
        <v>1657</v>
      </c>
    </row>
    <row r="4259" customFormat="false" ht="12" hidden="false" customHeight="true" outlineLevel="0" collapsed="false">
      <c r="B4259" s="1" t="s">
        <v>732</v>
      </c>
      <c r="C4259" s="1" t="s">
        <v>279</v>
      </c>
      <c r="F4259" s="1" t="n">
        <v>30</v>
      </c>
      <c r="G4259" s="1" t="n">
        <v>30</v>
      </c>
      <c r="H4259" s="1" t="n">
        <v>30</v>
      </c>
      <c r="I4259" s="1" t="str">
        <f aca="false">B4259&amp;"|"&amp;C4259</f>
        <v>Warehouse Discount Stores|Average</v>
      </c>
      <c r="J4259" s="1" t="s">
        <v>1594</v>
      </c>
    </row>
    <row r="4260" customFormat="false" ht="12" hidden="false" customHeight="true" outlineLevel="0" collapsed="false">
      <c r="B4260" s="1" t="s">
        <v>732</v>
      </c>
      <c r="C4260" s="1" t="s">
        <v>480</v>
      </c>
      <c r="F4260" s="1" t="n">
        <v>30</v>
      </c>
      <c r="G4260" s="1" t="n">
        <v>30</v>
      </c>
      <c r="H4260" s="1" t="n">
        <v>30</v>
      </c>
      <c r="I4260" s="1" t="str">
        <f aca="false">B4260&amp;"|"&amp;C4260</f>
        <v>Warehouse Discount Stores|Low Cost</v>
      </c>
      <c r="J4260" s="1" t="s">
        <v>1594</v>
      </c>
    </row>
    <row r="4261" customFormat="false" ht="12" hidden="false" customHeight="true" outlineLevel="0" collapsed="false">
      <c r="B4261" s="1" t="s">
        <v>734</v>
      </c>
      <c r="C4261" s="1" t="s">
        <v>483</v>
      </c>
      <c r="F4261" s="1" t="n">
        <v>40</v>
      </c>
      <c r="G4261" s="1" t="n">
        <v>35</v>
      </c>
      <c r="H4261" s="1" t="n">
        <v>35</v>
      </c>
      <c r="I4261" s="1" t="str">
        <f aca="false">B4261&amp;"|"&amp;C4261</f>
        <v>Warehouse Showroom Stores|Good</v>
      </c>
      <c r="J4261" s="1" t="s">
        <v>1658</v>
      </c>
    </row>
    <row r="4262" customFormat="false" ht="12" hidden="false" customHeight="true" outlineLevel="0" collapsed="false">
      <c r="B4262" s="1" t="s">
        <v>734</v>
      </c>
      <c r="C4262" s="1" t="s">
        <v>279</v>
      </c>
      <c r="F4262" s="1" t="n">
        <v>35</v>
      </c>
      <c r="G4262" s="1" t="n">
        <v>30</v>
      </c>
      <c r="H4262" s="1" t="n">
        <v>30</v>
      </c>
      <c r="I4262" s="1" t="str">
        <f aca="false">B4262&amp;"|"&amp;C4262</f>
        <v>Warehouse Showroom Stores|Average</v>
      </c>
      <c r="J4262" s="1" t="s">
        <v>1594</v>
      </c>
    </row>
    <row r="4263" customFormat="false" ht="12" hidden="false" customHeight="true" outlineLevel="0" collapsed="false">
      <c r="B4263" s="1" t="s">
        <v>734</v>
      </c>
      <c r="C4263" s="1" t="s">
        <v>480</v>
      </c>
      <c r="F4263" s="1" t="n">
        <v>35</v>
      </c>
      <c r="G4263" s="1" t="n">
        <v>30</v>
      </c>
      <c r="H4263" s="1" t="n">
        <v>30</v>
      </c>
      <c r="I4263" s="1" t="str">
        <f aca="false">B4263&amp;"|"&amp;C4263</f>
        <v>Warehouse Showroom Stores|Low Cost</v>
      </c>
      <c r="J4263" s="1" t="s">
        <v>1594</v>
      </c>
    </row>
    <row r="4264" customFormat="false" ht="12" hidden="false" customHeight="true" outlineLevel="0" collapsed="false">
      <c r="B4264" s="1" t="s">
        <v>737</v>
      </c>
      <c r="C4264" s="1" t="s">
        <v>483</v>
      </c>
      <c r="F4264" s="1" t="n">
        <v>40</v>
      </c>
      <c r="G4264" s="1" t="n">
        <v>35</v>
      </c>
      <c r="H4264" s="1" t="n">
        <v>35</v>
      </c>
      <c r="I4264" s="1" t="str">
        <f aca="false">B4264&amp;"|"&amp;C4264</f>
        <v>Warehouse Food Stores|Good</v>
      </c>
      <c r="J4264" s="1" t="s">
        <v>1659</v>
      </c>
    </row>
    <row r="4265" customFormat="false" ht="12" hidden="false" customHeight="true" outlineLevel="0" collapsed="false">
      <c r="B4265" s="1" t="s">
        <v>737</v>
      </c>
      <c r="C4265" s="1" t="s">
        <v>279</v>
      </c>
      <c r="F4265" s="1" t="n">
        <v>35</v>
      </c>
      <c r="G4265" s="1" t="n">
        <v>30</v>
      </c>
      <c r="H4265" s="1" t="n">
        <v>30</v>
      </c>
      <c r="I4265" s="1" t="str">
        <f aca="false">B4265&amp;"|"&amp;C4265</f>
        <v>Warehouse Food Stores|Average</v>
      </c>
      <c r="J4265" s="1" t="s">
        <v>1598</v>
      </c>
    </row>
    <row r="4266" customFormat="false" ht="12" hidden="false" customHeight="true" outlineLevel="0" collapsed="false">
      <c r="B4266" s="1" t="s">
        <v>737</v>
      </c>
      <c r="C4266" s="1" t="s">
        <v>480</v>
      </c>
      <c r="F4266" s="1" t="n">
        <v>30</v>
      </c>
      <c r="G4266" s="1" t="n">
        <v>30</v>
      </c>
      <c r="H4266" s="1" t="n">
        <v>30</v>
      </c>
      <c r="I4266" s="1" t="str">
        <f aca="false">B4266&amp;"|"&amp;C4266</f>
        <v>Warehouse Food Stores|Low Cost</v>
      </c>
      <c r="J4266" s="1" t="s">
        <v>1602</v>
      </c>
    </row>
    <row r="4267" customFormat="false" ht="12" hidden="false" customHeight="true" outlineLevel="0" collapsed="false">
      <c r="B4267" s="1" t="s">
        <v>739</v>
      </c>
      <c r="C4267" s="1" t="s">
        <v>483</v>
      </c>
      <c r="F4267" s="1" t="n">
        <v>35</v>
      </c>
      <c r="H4267" s="1" t="n">
        <v>30</v>
      </c>
      <c r="I4267" s="1" t="str">
        <f aca="false">B4267&amp;"|"&amp;C4267</f>
        <v>Mega Warehouse Stores|Good</v>
      </c>
      <c r="J4267" s="1" t="s">
        <v>1660</v>
      </c>
    </row>
    <row r="4268" customFormat="false" ht="12" hidden="false" customHeight="true" outlineLevel="0" collapsed="false">
      <c r="B4268" s="1" t="s">
        <v>739</v>
      </c>
      <c r="C4268" s="1" t="s">
        <v>279</v>
      </c>
      <c r="F4268" s="1" t="n">
        <v>35</v>
      </c>
      <c r="H4268" s="1" t="n">
        <v>30</v>
      </c>
      <c r="I4268" s="1" t="str">
        <f aca="false">B4268&amp;"|"&amp;C4268</f>
        <v>Mega Warehouse Stores|Average</v>
      </c>
      <c r="J4268" s="1" t="s">
        <v>1660</v>
      </c>
    </row>
    <row r="4269" customFormat="false" ht="12" hidden="false" customHeight="true" outlineLevel="0" collapsed="false">
      <c r="B4269" s="1" t="s">
        <v>739</v>
      </c>
      <c r="C4269" s="1" t="s">
        <v>480</v>
      </c>
      <c r="F4269" s="1" t="n">
        <v>30</v>
      </c>
      <c r="H4269" s="1" t="n">
        <v>30</v>
      </c>
      <c r="I4269" s="1" t="str">
        <f aca="false">B4269&amp;"|"&amp;C4269</f>
        <v>Mega Warehouse Stores|Low Cost</v>
      </c>
      <c r="J4269" s="1" t="s">
        <v>1602</v>
      </c>
    </row>
    <row r="4270" customFormat="false" ht="12" hidden="false" customHeight="true" outlineLevel="0" collapsed="false">
      <c r="B4270" s="1" t="s">
        <v>742</v>
      </c>
      <c r="C4270" s="1" t="s">
        <v>483</v>
      </c>
      <c r="F4270" s="1" t="n">
        <v>45</v>
      </c>
      <c r="G4270" s="1" t="n">
        <v>40</v>
      </c>
      <c r="I4270" s="1" t="str">
        <f aca="false">B4270&amp;"|"&amp;C4270</f>
        <v>Neighborhood Shopping Centers|Good</v>
      </c>
      <c r="J4270" s="1" t="s">
        <v>1661</v>
      </c>
    </row>
    <row r="4271" customFormat="false" ht="12" hidden="false" customHeight="true" outlineLevel="0" collapsed="false">
      <c r="B4271" s="1" t="s">
        <v>742</v>
      </c>
      <c r="C4271" s="1" t="s">
        <v>279</v>
      </c>
      <c r="F4271" s="1" t="n">
        <v>40</v>
      </c>
      <c r="G4271" s="1" t="n">
        <v>35</v>
      </c>
      <c r="H4271" s="1" t="n">
        <v>35</v>
      </c>
      <c r="I4271" s="1" t="str">
        <f aca="false">B4271&amp;"|"&amp;C4271</f>
        <v>Neighborhood Shopping Centers|Average</v>
      </c>
      <c r="J4271" s="1" t="s">
        <v>1598</v>
      </c>
    </row>
    <row r="4272" customFormat="false" ht="12" hidden="false" customHeight="true" outlineLevel="0" collapsed="false">
      <c r="B4272" s="1" t="s">
        <v>742</v>
      </c>
      <c r="C4272" s="1" t="s">
        <v>480</v>
      </c>
      <c r="F4272" s="1" t="n">
        <v>35</v>
      </c>
      <c r="G4272" s="1" t="n">
        <v>30</v>
      </c>
      <c r="H4272" s="1" t="n">
        <v>30</v>
      </c>
      <c r="I4272" s="1" t="str">
        <f aca="false">B4272&amp;"|"&amp;C4272</f>
        <v>Neighborhood Shopping Centers|Low Cost</v>
      </c>
      <c r="J4272" s="1" t="s">
        <v>1602</v>
      </c>
    </row>
    <row r="4273" customFormat="false" ht="12" hidden="false" customHeight="true" outlineLevel="0" collapsed="false">
      <c r="B4273" s="1" t="s">
        <v>745</v>
      </c>
      <c r="C4273" s="1" t="s">
        <v>483</v>
      </c>
      <c r="F4273" s="1" t="n">
        <v>50</v>
      </c>
      <c r="G4273" s="1" t="n">
        <v>45</v>
      </c>
      <c r="I4273" s="1" t="str">
        <f aca="false">B4273&amp;"|"&amp;C4273</f>
        <v>Mixed Retail Centers with Residential Units|Good</v>
      </c>
      <c r="J4273" s="1" t="s">
        <v>1662</v>
      </c>
    </row>
    <row r="4274" customFormat="false" ht="12" hidden="false" customHeight="true" outlineLevel="0" collapsed="false">
      <c r="B4274" s="1" t="s">
        <v>745</v>
      </c>
      <c r="C4274" s="1" t="s">
        <v>279</v>
      </c>
      <c r="F4274" s="1" t="n">
        <v>45</v>
      </c>
      <c r="G4274" s="1" t="n">
        <v>40</v>
      </c>
      <c r="I4274" s="1" t="str">
        <f aca="false">B4274&amp;"|"&amp;C4274</f>
        <v>Mixed Retail Centers with Residential Units|Average</v>
      </c>
      <c r="J4274" s="1" t="s">
        <v>1594</v>
      </c>
    </row>
    <row r="4275" customFormat="false" ht="12" hidden="false" customHeight="true" outlineLevel="0" collapsed="false">
      <c r="B4275" s="1" t="s">
        <v>745</v>
      </c>
      <c r="C4275" s="1" t="s">
        <v>480</v>
      </c>
      <c r="F4275" s="1" t="n">
        <v>45</v>
      </c>
      <c r="G4275" s="1" t="n">
        <v>40</v>
      </c>
      <c r="I4275" s="1" t="str">
        <f aca="false">B4275&amp;"|"&amp;C4275</f>
        <v>Mixed Retail Centers with Residential Units|Low Cost</v>
      </c>
      <c r="J4275" s="1" t="s">
        <v>1594</v>
      </c>
    </row>
    <row r="4276" customFormat="false" ht="12" hidden="false" customHeight="true" outlineLevel="0" collapsed="false">
      <c r="B4276" s="1" t="s">
        <v>747</v>
      </c>
      <c r="C4276" s="1" t="s">
        <v>483</v>
      </c>
      <c r="F4276" s="1" t="n">
        <v>50</v>
      </c>
      <c r="G4276" s="1" t="n">
        <v>45</v>
      </c>
      <c r="I4276" s="1" t="str">
        <f aca="false">B4276&amp;"|"&amp;C4276</f>
        <v>Mixed Retail Centers with Office Units|Good</v>
      </c>
      <c r="J4276" s="1" t="s">
        <v>1662</v>
      </c>
    </row>
    <row r="4277" customFormat="false" ht="12" hidden="false" customHeight="true" outlineLevel="0" collapsed="false">
      <c r="B4277" s="1" t="s">
        <v>747</v>
      </c>
      <c r="C4277" s="1" t="s">
        <v>279</v>
      </c>
      <c r="F4277" s="1" t="n">
        <v>45</v>
      </c>
      <c r="G4277" s="1" t="n">
        <v>40</v>
      </c>
      <c r="I4277" s="1" t="str">
        <f aca="false">B4277&amp;"|"&amp;C4277</f>
        <v>Mixed Retail Centers with Office Units|Average</v>
      </c>
      <c r="J4277" s="1" t="s">
        <v>1594</v>
      </c>
    </row>
    <row r="4278" customFormat="false" ht="12" hidden="false" customHeight="true" outlineLevel="0" collapsed="false">
      <c r="B4278" s="1" t="s">
        <v>747</v>
      </c>
      <c r="C4278" s="1" t="s">
        <v>480</v>
      </c>
      <c r="F4278" s="1" t="n">
        <v>45</v>
      </c>
      <c r="G4278" s="1" t="n">
        <v>40</v>
      </c>
      <c r="I4278" s="1" t="str">
        <f aca="false">B4278&amp;"|"&amp;C4278</f>
        <v>Mixed Retail Centers with Office Units|Low Cost</v>
      </c>
      <c r="J4278" s="1" t="s">
        <v>1594</v>
      </c>
    </row>
    <row r="4279" customFormat="false" ht="12" hidden="false" customHeight="true" outlineLevel="0" collapsed="false">
      <c r="B4279" s="1" t="s">
        <v>750</v>
      </c>
      <c r="C4279" s="1" t="s">
        <v>485</v>
      </c>
      <c r="F4279" s="1" t="n">
        <v>50</v>
      </c>
      <c r="G4279" s="1" t="n">
        <v>45</v>
      </c>
      <c r="H4279" s="1" t="n">
        <v>45</v>
      </c>
      <c r="I4279" s="1" t="str">
        <f aca="false">B4279&amp;"|"&amp;C4279</f>
        <v>Community Shopping Centers|Excellent</v>
      </c>
      <c r="J4279" s="1" t="s">
        <v>1663</v>
      </c>
    </row>
    <row r="4280" customFormat="false" ht="12" hidden="false" customHeight="true" outlineLevel="0" collapsed="false">
      <c r="B4280" s="1" t="s">
        <v>750</v>
      </c>
      <c r="C4280" s="1" t="s">
        <v>483</v>
      </c>
      <c r="F4280" s="1" t="n">
        <v>50</v>
      </c>
      <c r="G4280" s="1" t="n">
        <v>45</v>
      </c>
      <c r="H4280" s="1" t="n">
        <v>45</v>
      </c>
      <c r="I4280" s="1" t="str">
        <f aca="false">B4280&amp;"|"&amp;C4280</f>
        <v>Community Shopping Centers|Good</v>
      </c>
      <c r="J4280" s="1" t="s">
        <v>1663</v>
      </c>
    </row>
    <row r="4281" customFormat="false" ht="12" hidden="false" customHeight="true" outlineLevel="0" collapsed="false">
      <c r="B4281" s="1" t="s">
        <v>750</v>
      </c>
      <c r="C4281" s="1" t="s">
        <v>279</v>
      </c>
      <c r="F4281" s="1" t="n">
        <v>45</v>
      </c>
      <c r="G4281" s="1" t="n">
        <v>40</v>
      </c>
      <c r="H4281" s="1" t="n">
        <v>40</v>
      </c>
      <c r="I4281" s="1" t="str">
        <f aca="false">B4281&amp;"|"&amp;C4281</f>
        <v>Community Shopping Centers|Average</v>
      </c>
      <c r="J4281" s="1" t="s">
        <v>1598</v>
      </c>
    </row>
    <row r="4282" customFormat="false" ht="12" hidden="false" customHeight="true" outlineLevel="0" collapsed="false">
      <c r="B4282" s="1" t="s">
        <v>750</v>
      </c>
      <c r="C4282" s="1" t="s">
        <v>480</v>
      </c>
      <c r="F4282" s="1" t="n">
        <v>45</v>
      </c>
      <c r="G4282" s="1" t="n">
        <v>40</v>
      </c>
      <c r="H4282" s="1" t="n">
        <v>40</v>
      </c>
      <c r="I4282" s="1" t="str">
        <f aca="false">B4282&amp;"|"&amp;C4282</f>
        <v>Community Shopping Centers|Low Cost</v>
      </c>
      <c r="J4282" s="1" t="s">
        <v>1598</v>
      </c>
    </row>
    <row r="4283" customFormat="false" ht="12" hidden="false" customHeight="true" outlineLevel="0" collapsed="false">
      <c r="B4283" s="1" t="s">
        <v>752</v>
      </c>
      <c r="C4283" s="1" t="s">
        <v>483</v>
      </c>
      <c r="D4283" s="1" t="n">
        <v>50</v>
      </c>
      <c r="E4283" s="1" t="n">
        <v>50</v>
      </c>
      <c r="F4283" s="1" t="n">
        <v>50</v>
      </c>
      <c r="G4283" s="1" t="n">
        <v>45</v>
      </c>
      <c r="I4283" s="1" t="str">
        <f aca="false">B4283&amp;"|"&amp;C4283</f>
        <v>Regional Discount Shopping Centers|Good</v>
      </c>
      <c r="J4283" s="1" t="s">
        <v>1664</v>
      </c>
    </row>
    <row r="4284" customFormat="false" ht="12" hidden="false" customHeight="true" outlineLevel="0" collapsed="false">
      <c r="B4284" s="1" t="s">
        <v>752</v>
      </c>
      <c r="C4284" s="1" t="s">
        <v>279</v>
      </c>
      <c r="D4284" s="1" t="n">
        <v>45</v>
      </c>
      <c r="E4284" s="1" t="n">
        <v>45</v>
      </c>
      <c r="F4284" s="1" t="n">
        <v>45</v>
      </c>
      <c r="G4284" s="1" t="n">
        <v>40</v>
      </c>
      <c r="H4284" s="1" t="n">
        <v>40</v>
      </c>
      <c r="I4284" s="1" t="str">
        <f aca="false">B4284&amp;"|"&amp;C4284</f>
        <v>Regional Discount Shopping Centers|Average</v>
      </c>
      <c r="J4284" s="1" t="s">
        <v>1598</v>
      </c>
    </row>
    <row r="4285" customFormat="false" ht="12" hidden="false" customHeight="true" outlineLevel="0" collapsed="false">
      <c r="B4285" s="1" t="s">
        <v>752</v>
      </c>
      <c r="C4285" s="1" t="s">
        <v>485</v>
      </c>
      <c r="D4285" s="1" t="n">
        <v>50</v>
      </c>
      <c r="E4285" s="1" t="n">
        <v>50</v>
      </c>
      <c r="F4285" s="1" t="n">
        <v>50</v>
      </c>
      <c r="G4285" s="1" t="n">
        <v>45</v>
      </c>
      <c r="I4285" s="1" t="str">
        <f aca="false">B4285&amp;"|"&amp;C4285</f>
        <v>Regional Discount Shopping Centers|Excellent</v>
      </c>
      <c r="J4285" s="1" t="s">
        <v>1664</v>
      </c>
    </row>
    <row r="4286" customFormat="false" ht="12" hidden="false" customHeight="true" outlineLevel="0" collapsed="false">
      <c r="B4286" s="1" t="s">
        <v>756</v>
      </c>
      <c r="C4286" s="1" t="s">
        <v>485</v>
      </c>
      <c r="D4286" s="1" t="n">
        <v>55</v>
      </c>
      <c r="E4286" s="1" t="n">
        <v>55</v>
      </c>
      <c r="F4286" s="1" t="n">
        <v>55</v>
      </c>
      <c r="G4286" s="1" t="n">
        <v>50</v>
      </c>
      <c r="I4286" s="1" t="str">
        <f aca="false">B4286&amp;"|"&amp;C4286</f>
        <v>Regional Shopping Centers|Excellent</v>
      </c>
      <c r="J4286" s="1" t="s">
        <v>1665</v>
      </c>
    </row>
    <row r="4287" customFormat="false" ht="12" hidden="false" customHeight="true" outlineLevel="0" collapsed="false">
      <c r="B4287" s="1" t="s">
        <v>756</v>
      </c>
      <c r="C4287" s="1" t="s">
        <v>483</v>
      </c>
      <c r="D4287" s="1" t="n">
        <v>55</v>
      </c>
      <c r="E4287" s="1" t="n">
        <v>55</v>
      </c>
      <c r="F4287" s="1" t="n">
        <v>55</v>
      </c>
      <c r="G4287" s="1" t="n">
        <v>50</v>
      </c>
      <c r="I4287" s="1" t="str">
        <f aca="false">B4287&amp;"|"&amp;C4287</f>
        <v>Regional Shopping Centers|Good</v>
      </c>
      <c r="J4287" s="1" t="s">
        <v>1665</v>
      </c>
    </row>
    <row r="4288" customFormat="false" ht="12" hidden="false" customHeight="true" outlineLevel="0" collapsed="false">
      <c r="B4288" s="1" t="s">
        <v>756</v>
      </c>
      <c r="C4288" s="1" t="s">
        <v>279</v>
      </c>
      <c r="F4288" s="1" t="n">
        <v>50</v>
      </c>
      <c r="G4288" s="1" t="n">
        <v>45</v>
      </c>
      <c r="H4288" s="1" t="n">
        <v>45</v>
      </c>
      <c r="I4288" s="1" t="str">
        <f aca="false">B4288&amp;"|"&amp;C4288</f>
        <v>Regional Shopping Centers|Average</v>
      </c>
      <c r="J4288" s="1" t="s">
        <v>1598</v>
      </c>
    </row>
    <row r="4289" customFormat="false" ht="12" hidden="false" customHeight="true" outlineLevel="0" collapsed="false">
      <c r="B4289" s="1" t="s">
        <v>758</v>
      </c>
      <c r="C4289" s="1" t="s">
        <v>485</v>
      </c>
      <c r="D4289" s="1" t="n">
        <v>55</v>
      </c>
      <c r="E4289" s="1" t="n">
        <v>55</v>
      </c>
      <c r="F4289" s="1" t="n">
        <v>55</v>
      </c>
      <c r="G4289" s="1" t="n">
        <v>50</v>
      </c>
      <c r="I4289" s="1" t="str">
        <f aca="false">B4289&amp;"|"&amp;C4289</f>
        <v>Regional Shopping Center Shell Buildings|Excellent</v>
      </c>
      <c r="J4289" s="1" t="s">
        <v>1665</v>
      </c>
    </row>
    <row r="4290" customFormat="false" ht="12" hidden="false" customHeight="true" outlineLevel="0" collapsed="false">
      <c r="B4290" s="1" t="s">
        <v>758</v>
      </c>
      <c r="C4290" s="1" t="s">
        <v>483</v>
      </c>
      <c r="D4290" s="1" t="n">
        <v>55</v>
      </c>
      <c r="E4290" s="1" t="n">
        <v>55</v>
      </c>
      <c r="F4290" s="1" t="n">
        <v>55</v>
      </c>
      <c r="G4290" s="1" t="n">
        <v>50</v>
      </c>
      <c r="I4290" s="1" t="str">
        <f aca="false">B4290&amp;"|"&amp;C4290</f>
        <v>Regional Shopping Center Shell Buildings|Good</v>
      </c>
      <c r="J4290" s="1" t="s">
        <v>1665</v>
      </c>
    </row>
    <row r="4291" customFormat="false" ht="12" hidden="false" customHeight="true" outlineLevel="0" collapsed="false">
      <c r="B4291" s="1" t="s">
        <v>758</v>
      </c>
      <c r="C4291" s="1" t="s">
        <v>279</v>
      </c>
      <c r="F4291" s="1" t="n">
        <v>50</v>
      </c>
      <c r="G4291" s="1" t="n">
        <v>45</v>
      </c>
      <c r="H4291" s="1" t="n">
        <v>45</v>
      </c>
      <c r="I4291" s="1" t="str">
        <f aca="false">B4291&amp;"|"&amp;C4291</f>
        <v>Regional Shopping Center Shell Buildings|Average</v>
      </c>
      <c r="J4291" s="1" t="s">
        <v>1598</v>
      </c>
    </row>
    <row r="4292" customFormat="false" ht="12" hidden="false" customHeight="true" outlineLevel="0" collapsed="false">
      <c r="B4292" s="1" t="s">
        <v>762</v>
      </c>
      <c r="C4292" s="1" t="s">
        <v>485</v>
      </c>
      <c r="F4292" s="1" t="n">
        <v>50</v>
      </c>
      <c r="G4292" s="1" t="n">
        <v>45</v>
      </c>
      <c r="H4292" s="1" t="n">
        <v>45</v>
      </c>
      <c r="I4292" s="1" t="str">
        <f aca="false">B4292&amp;"|"&amp;C4292</f>
        <v>Community Shopping Center Shell Buildings|Excellent</v>
      </c>
      <c r="J4292" s="1" t="s">
        <v>1663</v>
      </c>
    </row>
    <row r="4293" customFormat="false" ht="12" hidden="false" customHeight="true" outlineLevel="0" collapsed="false">
      <c r="B4293" s="1" t="s">
        <v>762</v>
      </c>
      <c r="C4293" s="1" t="s">
        <v>483</v>
      </c>
      <c r="F4293" s="1" t="n">
        <v>50</v>
      </c>
      <c r="G4293" s="1" t="n">
        <v>45</v>
      </c>
      <c r="H4293" s="1" t="n">
        <v>45</v>
      </c>
      <c r="I4293" s="1" t="str">
        <f aca="false">B4293&amp;"|"&amp;C4293</f>
        <v>Community Shopping Center Shell Buildings|Good</v>
      </c>
      <c r="J4293" s="1" t="s">
        <v>1663</v>
      </c>
    </row>
    <row r="4294" customFormat="false" ht="12" hidden="false" customHeight="true" outlineLevel="0" collapsed="false">
      <c r="B4294" s="1" t="s">
        <v>762</v>
      </c>
      <c r="C4294" s="1" t="s">
        <v>279</v>
      </c>
      <c r="F4294" s="1" t="n">
        <v>45</v>
      </c>
      <c r="G4294" s="1" t="n">
        <v>40</v>
      </c>
      <c r="H4294" s="1" t="n">
        <v>40</v>
      </c>
      <c r="I4294" s="1" t="str">
        <f aca="false">B4294&amp;"|"&amp;C4294</f>
        <v>Community Shopping Center Shell Buildings|Average</v>
      </c>
      <c r="J4294" s="1" t="s">
        <v>1598</v>
      </c>
    </row>
    <row r="4295" customFormat="false" ht="12" hidden="false" customHeight="true" outlineLevel="0" collapsed="false">
      <c r="B4295" s="1" t="s">
        <v>764</v>
      </c>
      <c r="C4295" s="1" t="s">
        <v>483</v>
      </c>
      <c r="F4295" s="1" t="n">
        <v>45</v>
      </c>
      <c r="G4295" s="1" t="n">
        <v>40</v>
      </c>
      <c r="I4295" s="1" t="str">
        <f aca="false">B4295&amp;"|"&amp;C4295</f>
        <v>Neighborhood Shopping Center Shell Buildings|Good</v>
      </c>
      <c r="J4295" s="1" t="s">
        <v>1661</v>
      </c>
    </row>
    <row r="4296" customFormat="false" ht="12" hidden="false" customHeight="true" outlineLevel="0" collapsed="false">
      <c r="B4296" s="1" t="s">
        <v>764</v>
      </c>
      <c r="C4296" s="1" t="s">
        <v>279</v>
      </c>
      <c r="F4296" s="1" t="n">
        <v>40</v>
      </c>
      <c r="G4296" s="1" t="n">
        <v>35</v>
      </c>
      <c r="H4296" s="1" t="n">
        <v>35</v>
      </c>
      <c r="I4296" s="1" t="str">
        <f aca="false">B4296&amp;"|"&amp;C4296</f>
        <v>Neighborhood Shopping Center Shell Buildings|Average</v>
      </c>
      <c r="J4296" s="1" t="s">
        <v>1598</v>
      </c>
    </row>
    <row r="4297" customFormat="false" ht="12" hidden="false" customHeight="true" outlineLevel="0" collapsed="false">
      <c r="B4297" s="1" t="s">
        <v>764</v>
      </c>
      <c r="C4297" s="1" t="s">
        <v>480</v>
      </c>
      <c r="F4297" s="1" t="n">
        <v>35</v>
      </c>
      <c r="G4297" s="1" t="n">
        <v>30</v>
      </c>
      <c r="H4297" s="1" t="n">
        <v>30</v>
      </c>
      <c r="I4297" s="1" t="str">
        <f aca="false">B4297&amp;"|"&amp;C4297</f>
        <v>Neighborhood Shopping Center Shell Buildings|Low Cost</v>
      </c>
      <c r="J4297" s="1" t="s">
        <v>1602</v>
      </c>
    </row>
    <row r="4298" customFormat="false" ht="12" hidden="false" customHeight="true" outlineLevel="0" collapsed="false">
      <c r="B4298" s="1" t="s">
        <v>764</v>
      </c>
      <c r="C4298" s="1" t="s">
        <v>567</v>
      </c>
      <c r="F4298" s="1" t="n">
        <v>35</v>
      </c>
      <c r="G4298" s="1" t="n">
        <v>30</v>
      </c>
      <c r="H4298" s="1" t="n">
        <v>30</v>
      </c>
      <c r="I4298" s="1" t="str">
        <f aca="false">B4298&amp;"|"&amp;C4298</f>
        <v>Neighborhood Shopping Center Shell Buildings|Cheap</v>
      </c>
      <c r="J4298" s="1" t="s">
        <v>1602</v>
      </c>
    </row>
    <row r="4299" customFormat="false" ht="12" hidden="false" customHeight="true" outlineLevel="0" collapsed="false">
      <c r="B4299" s="1" t="s">
        <v>768</v>
      </c>
      <c r="C4299" s="1" t="s">
        <v>485</v>
      </c>
      <c r="D4299" s="1" t="n">
        <v>60</v>
      </c>
      <c r="E4299" s="1" t="n">
        <v>60</v>
      </c>
      <c r="I4299" s="1" t="str">
        <f aca="false">B4299&amp;"|"&amp;C4299</f>
        <v>Lofts|Excellent</v>
      </c>
      <c r="J4299" s="1" t="s">
        <v>1666</v>
      </c>
    </row>
    <row r="4300" customFormat="false" ht="12" hidden="false" customHeight="true" outlineLevel="0" collapsed="false">
      <c r="B4300" s="1" t="s">
        <v>768</v>
      </c>
      <c r="C4300" s="1" t="s">
        <v>483</v>
      </c>
      <c r="D4300" s="1" t="n">
        <v>55</v>
      </c>
      <c r="E4300" s="1" t="n">
        <v>55</v>
      </c>
      <c r="F4300" s="1" t="n">
        <v>50</v>
      </c>
      <c r="G4300" s="1" t="n">
        <v>40</v>
      </c>
      <c r="H4300" s="1" t="n">
        <v>40</v>
      </c>
      <c r="I4300" s="1" t="str">
        <f aca="false">B4300&amp;"|"&amp;C4300</f>
        <v>Lofts|Good</v>
      </c>
      <c r="J4300" s="1" t="s">
        <v>1613</v>
      </c>
    </row>
    <row r="4301" customFormat="false" ht="12" hidden="false" customHeight="true" outlineLevel="0" collapsed="false">
      <c r="B4301" s="1" t="s">
        <v>768</v>
      </c>
      <c r="C4301" s="1" t="s">
        <v>279</v>
      </c>
      <c r="D4301" s="1" t="n">
        <v>55</v>
      </c>
      <c r="E4301" s="1" t="n">
        <v>55</v>
      </c>
      <c r="F4301" s="1" t="n">
        <v>50</v>
      </c>
      <c r="G4301" s="1" t="n">
        <v>40</v>
      </c>
      <c r="H4301" s="1" t="n">
        <v>40</v>
      </c>
      <c r="I4301" s="1" t="str">
        <f aca="false">B4301&amp;"|"&amp;C4301</f>
        <v>Lofts|Average</v>
      </c>
      <c r="J4301" s="1" t="s">
        <v>1613</v>
      </c>
    </row>
    <row r="4302" customFormat="false" ht="12" hidden="false" customHeight="true" outlineLevel="0" collapsed="false">
      <c r="B4302" s="1" t="s">
        <v>768</v>
      </c>
      <c r="C4302" s="1" t="s">
        <v>480</v>
      </c>
      <c r="D4302" s="1" t="n">
        <v>50</v>
      </c>
      <c r="E4302" s="1" t="n">
        <v>50</v>
      </c>
      <c r="F4302" s="1" t="n">
        <v>40</v>
      </c>
      <c r="G4302" s="1" t="n">
        <v>35</v>
      </c>
      <c r="I4302" s="1" t="str">
        <f aca="false">B4302&amp;"|"&amp;C4302</f>
        <v>Lofts|Low Cost</v>
      </c>
      <c r="J4302" s="1" t="s">
        <v>1602</v>
      </c>
    </row>
    <row r="4303" customFormat="false" ht="12" hidden="false" customHeight="true" outlineLevel="0" collapsed="false">
      <c r="B4303" s="1" t="s">
        <v>771</v>
      </c>
      <c r="C4303" s="1" t="s">
        <v>483</v>
      </c>
      <c r="F4303" s="1" t="n">
        <v>50</v>
      </c>
      <c r="G4303" s="1" t="n">
        <v>40</v>
      </c>
      <c r="H4303" s="1" t="n">
        <v>40</v>
      </c>
      <c r="I4303" s="1" t="str">
        <f aca="false">B4303&amp;"|"&amp;C4303</f>
        <v>Industrial Flex (Mall) Buildings|Good</v>
      </c>
      <c r="J4303" s="1" t="s">
        <v>1667</v>
      </c>
    </row>
    <row r="4304" customFormat="false" ht="12" hidden="false" customHeight="true" outlineLevel="0" collapsed="false">
      <c r="B4304" s="1" t="s">
        <v>771</v>
      </c>
      <c r="C4304" s="1" t="s">
        <v>279</v>
      </c>
      <c r="F4304" s="1" t="n">
        <v>50</v>
      </c>
      <c r="G4304" s="1" t="n">
        <v>40</v>
      </c>
      <c r="H4304" s="1" t="n">
        <v>40</v>
      </c>
      <c r="I4304" s="1" t="str">
        <f aca="false">B4304&amp;"|"&amp;C4304</f>
        <v>Industrial Flex (Mall) Buildings|Average</v>
      </c>
      <c r="J4304" s="1" t="s">
        <v>1667</v>
      </c>
    </row>
    <row r="4305" customFormat="false" ht="12" hidden="false" customHeight="true" outlineLevel="0" collapsed="false">
      <c r="B4305" s="1" t="s">
        <v>771</v>
      </c>
      <c r="C4305" s="1" t="s">
        <v>480</v>
      </c>
      <c r="F4305" s="1" t="n">
        <v>40</v>
      </c>
      <c r="G4305" s="1" t="n">
        <v>35</v>
      </c>
      <c r="H4305" s="1" t="n">
        <v>35</v>
      </c>
      <c r="I4305" s="1" t="str">
        <f aca="false">B4305&amp;"|"&amp;C4305</f>
        <v>Industrial Flex (Mall) Buildings|Low Cost</v>
      </c>
      <c r="J4305" s="1" t="s">
        <v>1602</v>
      </c>
    </row>
    <row r="4306" customFormat="false" ht="12" hidden="false" customHeight="true" outlineLevel="0" collapsed="false">
      <c r="B4306" s="1" t="s">
        <v>773</v>
      </c>
      <c r="C4306" s="1" t="s">
        <v>279</v>
      </c>
      <c r="D4306" s="1" t="n">
        <v>50</v>
      </c>
      <c r="E4306" s="1" t="n">
        <v>50</v>
      </c>
      <c r="F4306" s="1" t="n">
        <v>40</v>
      </c>
      <c r="G4306" s="1" t="n">
        <v>35</v>
      </c>
      <c r="H4306" s="1" t="n">
        <v>35</v>
      </c>
      <c r="I4306" s="1" t="str">
        <f aca="false">B4306&amp;"|"&amp;C4306</f>
        <v>Industrials, Light Manufacturing|Average</v>
      </c>
      <c r="J4306" s="1" t="s">
        <v>1598</v>
      </c>
    </row>
    <row r="4307" customFormat="false" ht="12" hidden="false" customHeight="true" outlineLevel="0" collapsed="false">
      <c r="B4307" s="1" t="s">
        <v>773</v>
      </c>
      <c r="C4307" s="1" t="s">
        <v>480</v>
      </c>
      <c r="D4307" s="1" t="n">
        <v>45</v>
      </c>
      <c r="E4307" s="1" t="n">
        <v>45</v>
      </c>
      <c r="F4307" s="1" t="n">
        <v>40</v>
      </c>
      <c r="G4307" s="1" t="n">
        <v>35</v>
      </c>
      <c r="H4307" s="1" t="n">
        <v>35</v>
      </c>
      <c r="I4307" s="1" t="str">
        <f aca="false">B4307&amp;"|"&amp;C4307</f>
        <v>Industrials, Light Manufacturing|Low Cost</v>
      </c>
      <c r="J4307" s="1" t="s">
        <v>1602</v>
      </c>
    </row>
    <row r="4308" customFormat="false" ht="12" hidden="false" customHeight="true" outlineLevel="0" collapsed="false">
      <c r="B4308" s="1" t="s">
        <v>773</v>
      </c>
      <c r="C4308" s="1" t="s">
        <v>483</v>
      </c>
      <c r="D4308" s="1" t="n">
        <v>50</v>
      </c>
      <c r="E4308" s="1" t="n">
        <v>50</v>
      </c>
      <c r="F4308" s="1" t="n">
        <v>45</v>
      </c>
      <c r="G4308" s="1" t="n">
        <v>40</v>
      </c>
      <c r="H4308" s="1" t="n">
        <v>40</v>
      </c>
      <c r="I4308" s="1" t="str">
        <f aca="false">B4308&amp;"|"&amp;C4308</f>
        <v>Industrials, Light Manufacturing|Good</v>
      </c>
      <c r="J4308" s="1" t="s">
        <v>1668</v>
      </c>
    </row>
    <row r="4309" customFormat="false" ht="12" hidden="false" customHeight="true" outlineLevel="0" collapsed="false">
      <c r="B4309" s="1" t="s">
        <v>776</v>
      </c>
      <c r="C4309" s="1" t="s">
        <v>485</v>
      </c>
      <c r="D4309" s="1" t="n">
        <v>60</v>
      </c>
      <c r="E4309" s="1" t="n">
        <v>60</v>
      </c>
      <c r="F4309" s="1" t="n">
        <v>55</v>
      </c>
      <c r="H4309" s="1" t="n">
        <v>50</v>
      </c>
      <c r="I4309" s="1" t="str">
        <f aca="false">B4309&amp;"|"&amp;C4309</f>
        <v>Industrials, Heavy (Process) Manufacturing|Excellent</v>
      </c>
      <c r="J4309" s="1" t="s">
        <v>1669</v>
      </c>
    </row>
    <row r="4310" customFormat="false" ht="12" hidden="false" customHeight="true" outlineLevel="0" collapsed="false">
      <c r="B4310" s="1" t="s">
        <v>776</v>
      </c>
      <c r="C4310" s="1" t="s">
        <v>483</v>
      </c>
      <c r="D4310" s="1" t="n">
        <v>60</v>
      </c>
      <c r="E4310" s="1" t="n">
        <v>60</v>
      </c>
      <c r="F4310" s="1" t="n">
        <v>55</v>
      </c>
      <c r="H4310" s="1" t="n">
        <v>50</v>
      </c>
      <c r="I4310" s="1" t="str">
        <f aca="false">B4310&amp;"|"&amp;C4310</f>
        <v>Industrials, Heavy (Process) Manufacturing|Good</v>
      </c>
      <c r="J4310" s="1" t="s">
        <v>1669</v>
      </c>
    </row>
    <row r="4311" customFormat="false" ht="12" hidden="false" customHeight="true" outlineLevel="0" collapsed="false">
      <c r="B4311" s="1" t="s">
        <v>776</v>
      </c>
      <c r="C4311" s="1" t="s">
        <v>279</v>
      </c>
      <c r="D4311" s="1" t="n">
        <v>55</v>
      </c>
      <c r="E4311" s="1" t="n">
        <v>55</v>
      </c>
      <c r="F4311" s="1" t="n">
        <v>50</v>
      </c>
      <c r="G4311" s="1" t="n">
        <v>45</v>
      </c>
      <c r="H4311" s="1" t="n">
        <v>45</v>
      </c>
      <c r="I4311" s="1" t="str">
        <f aca="false">B4311&amp;"|"&amp;C4311</f>
        <v>Industrials, Heavy (Process) Manufacturing|Average</v>
      </c>
      <c r="J4311" s="1" t="s">
        <v>1594</v>
      </c>
    </row>
    <row r="4312" customFormat="false" ht="12" hidden="false" customHeight="true" outlineLevel="0" collapsed="false">
      <c r="B4312" s="1" t="s">
        <v>776</v>
      </c>
      <c r="C4312" s="1" t="s">
        <v>480</v>
      </c>
      <c r="D4312" s="1" t="n">
        <v>55</v>
      </c>
      <c r="E4312" s="1" t="n">
        <v>55</v>
      </c>
      <c r="F4312" s="1" t="n">
        <v>50</v>
      </c>
      <c r="G4312" s="1" t="n">
        <v>45</v>
      </c>
      <c r="H4312" s="1" t="n">
        <v>45</v>
      </c>
      <c r="I4312" s="1" t="str">
        <f aca="false">B4312&amp;"|"&amp;C4312</f>
        <v>Industrials, Heavy (Process) Manufacturing|Low Cost</v>
      </c>
      <c r="J4312" s="1" t="s">
        <v>1594</v>
      </c>
    </row>
    <row r="4313" customFormat="false" ht="12" hidden="false" customHeight="true" outlineLevel="0" collapsed="false">
      <c r="B4313" s="1" t="s">
        <v>779</v>
      </c>
      <c r="C4313" s="1" t="s">
        <v>485</v>
      </c>
      <c r="D4313" s="1" t="n">
        <v>55</v>
      </c>
      <c r="E4313" s="1" t="n">
        <v>55</v>
      </c>
      <c r="F4313" s="1" t="n">
        <v>50</v>
      </c>
      <c r="G4313" s="1" t="n">
        <v>45</v>
      </c>
      <c r="H4313" s="1" t="n">
        <v>45</v>
      </c>
      <c r="I4313" s="1" t="str">
        <f aca="false">B4313&amp;"|"&amp;C4313</f>
        <v>Industrial, Engineering (R&amp;D) Buildings|Excellent</v>
      </c>
      <c r="J4313" s="1" t="s">
        <v>1670</v>
      </c>
    </row>
    <row r="4314" customFormat="false" ht="12" hidden="false" customHeight="true" outlineLevel="0" collapsed="false">
      <c r="B4314" s="1" t="s">
        <v>779</v>
      </c>
      <c r="C4314" s="1" t="s">
        <v>483</v>
      </c>
      <c r="D4314" s="1" t="n">
        <v>55</v>
      </c>
      <c r="E4314" s="1" t="n">
        <v>55</v>
      </c>
      <c r="F4314" s="1" t="n">
        <v>50</v>
      </c>
      <c r="G4314" s="1" t="n">
        <v>45</v>
      </c>
      <c r="H4314" s="1" t="n">
        <v>45</v>
      </c>
      <c r="I4314" s="1" t="str">
        <f aca="false">B4314&amp;"|"&amp;C4314</f>
        <v>Industrial, Engineering (R&amp;D) Buildings|Good</v>
      </c>
      <c r="J4314" s="1" t="s">
        <v>1670</v>
      </c>
    </row>
    <row r="4315" customFormat="false" ht="12" hidden="false" customHeight="true" outlineLevel="0" collapsed="false">
      <c r="B4315" s="1" t="s">
        <v>779</v>
      </c>
      <c r="C4315" s="1" t="s">
        <v>279</v>
      </c>
      <c r="D4315" s="1" t="n">
        <v>50</v>
      </c>
      <c r="E4315" s="1" t="n">
        <v>50</v>
      </c>
      <c r="F4315" s="1" t="n">
        <v>45</v>
      </c>
      <c r="G4315" s="1" t="n">
        <v>40</v>
      </c>
      <c r="H4315" s="1" t="n">
        <v>40</v>
      </c>
      <c r="I4315" s="1" t="str">
        <f aca="false">B4315&amp;"|"&amp;C4315</f>
        <v>Industrial, Engineering (R&amp;D) Buildings|Average</v>
      </c>
      <c r="J4315" s="1" t="s">
        <v>1598</v>
      </c>
    </row>
    <row r="4316" customFormat="false" ht="12" hidden="false" customHeight="true" outlineLevel="0" collapsed="false">
      <c r="B4316" s="1" t="s">
        <v>779</v>
      </c>
      <c r="C4316" s="1" t="s">
        <v>480</v>
      </c>
      <c r="D4316" s="1" t="n">
        <v>50</v>
      </c>
      <c r="E4316" s="1" t="n">
        <v>50</v>
      </c>
      <c r="F4316" s="1" t="n">
        <v>40</v>
      </c>
      <c r="G4316" s="1" t="n">
        <v>35</v>
      </c>
      <c r="H4316" s="1" t="n">
        <v>35</v>
      </c>
      <c r="I4316" s="1" t="str">
        <f aca="false">B4316&amp;"|"&amp;C4316</f>
        <v>Industrial, Engineering (R&amp;D) Buildings|Low Cost</v>
      </c>
      <c r="J4316" s="1" t="s">
        <v>1602</v>
      </c>
    </row>
    <row r="4317" customFormat="false" ht="12" hidden="false" customHeight="true" outlineLevel="0" collapsed="false">
      <c r="B4317" s="1" t="s">
        <v>782</v>
      </c>
      <c r="C4317" s="1" t="s">
        <v>485</v>
      </c>
      <c r="D4317" s="1" t="n">
        <v>55</v>
      </c>
      <c r="E4317" s="1" t="n">
        <v>55</v>
      </c>
      <c r="F4317" s="1" t="n">
        <v>50</v>
      </c>
      <c r="G4317" s="1" t="n">
        <v>45</v>
      </c>
      <c r="H4317" s="1" t="n">
        <v>45</v>
      </c>
      <c r="I4317" s="1" t="str">
        <f aca="false">B4317&amp;"|"&amp;C4317</f>
        <v>Laboratory Buildings|Excellent</v>
      </c>
      <c r="J4317" s="1" t="s">
        <v>1671</v>
      </c>
    </row>
    <row r="4318" customFormat="false" ht="12" hidden="false" customHeight="true" outlineLevel="0" collapsed="false">
      <c r="B4318" s="1" t="s">
        <v>782</v>
      </c>
      <c r="C4318" s="1" t="s">
        <v>483</v>
      </c>
      <c r="D4318" s="1" t="n">
        <v>55</v>
      </c>
      <c r="E4318" s="1" t="n">
        <v>55</v>
      </c>
      <c r="F4318" s="1" t="n">
        <v>50</v>
      </c>
      <c r="G4318" s="1" t="n">
        <v>45</v>
      </c>
      <c r="H4318" s="1" t="n">
        <v>45</v>
      </c>
      <c r="I4318" s="1" t="str">
        <f aca="false">B4318&amp;"|"&amp;C4318</f>
        <v>Laboratory Buildings|Good</v>
      </c>
      <c r="J4318" s="1" t="s">
        <v>1671</v>
      </c>
    </row>
    <row r="4319" customFormat="false" ht="12" hidden="false" customHeight="true" outlineLevel="0" collapsed="false">
      <c r="B4319" s="1" t="s">
        <v>782</v>
      </c>
      <c r="C4319" s="1" t="s">
        <v>279</v>
      </c>
      <c r="D4319" s="1" t="n">
        <v>50</v>
      </c>
      <c r="E4319" s="1" t="n">
        <v>50</v>
      </c>
      <c r="F4319" s="1" t="n">
        <v>45</v>
      </c>
      <c r="G4319" s="1" t="n">
        <v>40</v>
      </c>
      <c r="H4319" s="1" t="n">
        <v>40</v>
      </c>
      <c r="I4319" s="1" t="str">
        <f aca="false">B4319&amp;"|"&amp;C4319</f>
        <v>Laboratory Buildings|Average</v>
      </c>
      <c r="J4319" s="1" t="s">
        <v>1594</v>
      </c>
    </row>
    <row r="4320" customFormat="false" ht="12" hidden="false" customHeight="true" outlineLevel="0" collapsed="false">
      <c r="B4320" s="1" t="s">
        <v>782</v>
      </c>
      <c r="C4320" s="1" t="s">
        <v>480</v>
      </c>
      <c r="D4320" s="1" t="n">
        <v>50</v>
      </c>
      <c r="E4320" s="1" t="n">
        <v>50</v>
      </c>
      <c r="F4320" s="1" t="n">
        <v>45</v>
      </c>
      <c r="G4320" s="1" t="n">
        <v>40</v>
      </c>
      <c r="H4320" s="1" t="n">
        <v>40</v>
      </c>
      <c r="I4320" s="1" t="str">
        <f aca="false">B4320&amp;"|"&amp;C4320</f>
        <v>Laboratory Buildings|Low Cost</v>
      </c>
      <c r="J4320" s="1" t="s">
        <v>1594</v>
      </c>
    </row>
    <row r="4321" customFormat="false" ht="12" hidden="false" customHeight="true" outlineLevel="0" collapsed="false">
      <c r="B4321" s="1" t="s">
        <v>785</v>
      </c>
      <c r="C4321" s="1" t="s">
        <v>485</v>
      </c>
      <c r="D4321" s="1" t="n">
        <v>50</v>
      </c>
      <c r="E4321" s="1" t="n">
        <v>50</v>
      </c>
      <c r="F4321" s="1" t="n">
        <v>45</v>
      </c>
      <c r="G4321" s="1" t="n">
        <v>40</v>
      </c>
      <c r="H4321" s="1" t="n">
        <v>40</v>
      </c>
      <c r="I4321" s="1" t="str">
        <f aca="false">B4321&amp;"|"&amp;C4321</f>
        <v>Computer (Data) Centers|Excellent</v>
      </c>
      <c r="J4321" s="1" t="s">
        <v>1672</v>
      </c>
    </row>
    <row r="4322" customFormat="false" ht="12" hidden="false" customHeight="true" outlineLevel="0" collapsed="false">
      <c r="B4322" s="1" t="s">
        <v>785</v>
      </c>
      <c r="C4322" s="1" t="s">
        <v>483</v>
      </c>
      <c r="D4322" s="1" t="n">
        <v>50</v>
      </c>
      <c r="E4322" s="1" t="n">
        <v>50</v>
      </c>
      <c r="F4322" s="1" t="n">
        <v>45</v>
      </c>
      <c r="G4322" s="1" t="n">
        <v>40</v>
      </c>
      <c r="H4322" s="1" t="n">
        <v>40</v>
      </c>
      <c r="I4322" s="1" t="str">
        <f aca="false">B4322&amp;"|"&amp;C4322</f>
        <v>Computer (Data) Centers|Good</v>
      </c>
      <c r="J4322" s="1" t="s">
        <v>1672</v>
      </c>
    </row>
    <row r="4323" customFormat="false" ht="12" hidden="false" customHeight="true" outlineLevel="0" collapsed="false">
      <c r="B4323" s="1" t="s">
        <v>785</v>
      </c>
      <c r="C4323" s="1" t="s">
        <v>279</v>
      </c>
      <c r="D4323" s="1" t="n">
        <v>45</v>
      </c>
      <c r="E4323" s="1" t="n">
        <v>45</v>
      </c>
      <c r="F4323" s="1" t="n">
        <v>40</v>
      </c>
      <c r="G4323" s="1" t="n">
        <v>35</v>
      </c>
      <c r="H4323" s="1" t="n">
        <v>35</v>
      </c>
      <c r="I4323" s="1" t="str">
        <f aca="false">B4323&amp;"|"&amp;C4323</f>
        <v>Computer (Data) Centers|Average</v>
      </c>
      <c r="J4323" s="1" t="s">
        <v>1594</v>
      </c>
    </row>
    <row r="4324" customFormat="false" ht="12" hidden="false" customHeight="true" outlineLevel="0" collapsed="false">
      <c r="B4324" s="1" t="s">
        <v>785</v>
      </c>
      <c r="C4324" s="1" t="s">
        <v>480</v>
      </c>
      <c r="D4324" s="1" t="n">
        <v>45</v>
      </c>
      <c r="E4324" s="1" t="n">
        <v>45</v>
      </c>
      <c r="F4324" s="1" t="n">
        <v>40</v>
      </c>
      <c r="G4324" s="1" t="n">
        <v>35</v>
      </c>
      <c r="H4324" s="1" t="n">
        <v>35</v>
      </c>
      <c r="I4324" s="1" t="str">
        <f aca="false">B4324&amp;"|"&amp;C4324</f>
        <v>Computer (Data) Centers|Low Cost</v>
      </c>
      <c r="J4324" s="1" t="s">
        <v>1594</v>
      </c>
    </row>
    <row r="4325" customFormat="false" ht="12" hidden="false" customHeight="true" outlineLevel="0" collapsed="false">
      <c r="B4325" s="1" t="s">
        <v>788</v>
      </c>
      <c r="C4325" s="1" t="s">
        <v>483</v>
      </c>
      <c r="D4325" s="1" t="n">
        <v>55</v>
      </c>
      <c r="E4325" s="1" t="n">
        <v>55</v>
      </c>
      <c r="F4325" s="1" t="n">
        <v>50</v>
      </c>
      <c r="G4325" s="1" t="n">
        <v>45</v>
      </c>
      <c r="H4325" s="1" t="n">
        <v>45</v>
      </c>
      <c r="I4325" s="1" t="str">
        <f aca="false">B4325&amp;"|"&amp;C4325</f>
        <v>Broadcasting Facilities|Good</v>
      </c>
      <c r="J4325" s="1" t="s">
        <v>1673</v>
      </c>
    </row>
    <row r="4326" customFormat="false" ht="12" hidden="false" customHeight="true" outlineLevel="0" collapsed="false">
      <c r="B4326" s="1" t="s">
        <v>788</v>
      </c>
      <c r="C4326" s="1" t="s">
        <v>279</v>
      </c>
      <c r="D4326" s="1" t="n">
        <v>50</v>
      </c>
      <c r="E4326" s="1" t="n">
        <v>50</v>
      </c>
      <c r="F4326" s="1" t="n">
        <v>45</v>
      </c>
      <c r="G4326" s="1" t="n">
        <v>40</v>
      </c>
      <c r="H4326" s="1" t="n">
        <v>40</v>
      </c>
      <c r="I4326" s="1" t="str">
        <f aca="false">B4326&amp;"|"&amp;C4326</f>
        <v>Broadcasting Facilities|Average</v>
      </c>
      <c r="J4326" s="1" t="s">
        <v>1598</v>
      </c>
    </row>
    <row r="4327" customFormat="false" ht="12" hidden="false" customHeight="true" outlineLevel="0" collapsed="false">
      <c r="B4327" s="1" t="s">
        <v>788</v>
      </c>
      <c r="C4327" s="1" t="s">
        <v>480</v>
      </c>
      <c r="D4327" s="1" t="n">
        <v>45</v>
      </c>
      <c r="E4327" s="1" t="n">
        <v>45</v>
      </c>
      <c r="F4327" s="1" t="n">
        <v>40</v>
      </c>
      <c r="G4327" s="1" t="n">
        <v>35</v>
      </c>
      <c r="H4327" s="1" t="n">
        <v>35</v>
      </c>
      <c r="I4327" s="1" t="str">
        <f aca="false">B4327&amp;"|"&amp;C4327</f>
        <v>Broadcasting Facilities|Low Cost</v>
      </c>
      <c r="J4327" s="1" t="s">
        <v>1602</v>
      </c>
    </row>
    <row r="4328" customFormat="false" ht="12" hidden="false" customHeight="true" outlineLevel="0" collapsed="false">
      <c r="B4328" s="1" t="s">
        <v>788</v>
      </c>
      <c r="C4328" s="1" t="s">
        <v>485</v>
      </c>
      <c r="D4328" s="1" t="n">
        <v>55</v>
      </c>
      <c r="E4328" s="1" t="n">
        <v>55</v>
      </c>
      <c r="F4328" s="1" t="n">
        <v>50</v>
      </c>
      <c r="G4328" s="1" t="n">
        <v>45</v>
      </c>
      <c r="H4328" s="1" t="n">
        <v>45</v>
      </c>
      <c r="I4328" s="1" t="str">
        <f aca="false">B4328&amp;"|"&amp;C4328</f>
        <v>Broadcasting Facilities|Excellent</v>
      </c>
      <c r="J4328" s="1" t="s">
        <v>1673</v>
      </c>
    </row>
    <row r="4329" customFormat="false" ht="12" hidden="false" customHeight="true" outlineLevel="0" collapsed="false">
      <c r="B4329" s="1" t="s">
        <v>791</v>
      </c>
      <c r="C4329" s="1" t="s">
        <v>485</v>
      </c>
      <c r="D4329" s="1" t="n">
        <v>45</v>
      </c>
      <c r="E4329" s="1" t="n">
        <v>45</v>
      </c>
      <c r="F4329" s="1" t="n">
        <v>40</v>
      </c>
      <c r="G4329" s="1" t="n">
        <v>40</v>
      </c>
      <c r="I4329" s="1" t="str">
        <f aca="false">B4329&amp;"|"&amp;C4329</f>
        <v>Passenger Terminals|Excellent</v>
      </c>
      <c r="J4329" s="1" t="s">
        <v>1674</v>
      </c>
    </row>
    <row r="4330" customFormat="false" ht="12" hidden="false" customHeight="true" outlineLevel="0" collapsed="false">
      <c r="B4330" s="1" t="s">
        <v>791</v>
      </c>
      <c r="C4330" s="1" t="s">
        <v>483</v>
      </c>
      <c r="D4330" s="1" t="n">
        <v>40</v>
      </c>
      <c r="E4330" s="1" t="n">
        <v>40</v>
      </c>
      <c r="F4330" s="1" t="n">
        <v>35</v>
      </c>
      <c r="G4330" s="1" t="n">
        <v>35</v>
      </c>
      <c r="H4330" s="1" t="n">
        <v>35</v>
      </c>
      <c r="I4330" s="1" t="str">
        <f aca="false">B4330&amp;"|"&amp;C4330</f>
        <v>Passenger Terminals|Good</v>
      </c>
      <c r="J4330" s="1" t="s">
        <v>1613</v>
      </c>
    </row>
    <row r="4331" customFormat="false" ht="12" hidden="false" customHeight="true" outlineLevel="0" collapsed="false">
      <c r="B4331" s="1" t="s">
        <v>791</v>
      </c>
      <c r="C4331" s="1" t="s">
        <v>279</v>
      </c>
      <c r="D4331" s="1" t="n">
        <v>40</v>
      </c>
      <c r="E4331" s="1" t="n">
        <v>40</v>
      </c>
      <c r="F4331" s="1" t="n">
        <v>35</v>
      </c>
      <c r="G4331" s="1" t="n">
        <v>35</v>
      </c>
      <c r="H4331" s="1" t="n">
        <v>35</v>
      </c>
      <c r="I4331" s="1" t="str">
        <f aca="false">B4331&amp;"|"&amp;C4331</f>
        <v>Passenger Terminals|Average</v>
      </c>
      <c r="J4331" s="1" t="s">
        <v>1613</v>
      </c>
    </row>
    <row r="4332" customFormat="false" ht="12" hidden="false" customHeight="true" outlineLevel="0" collapsed="false">
      <c r="B4332" s="1" t="s">
        <v>791</v>
      </c>
      <c r="C4332" s="1" t="s">
        <v>480</v>
      </c>
      <c r="D4332" s="1" t="n">
        <v>35</v>
      </c>
      <c r="E4332" s="1" t="n">
        <v>35</v>
      </c>
      <c r="F4332" s="1" t="n">
        <v>30</v>
      </c>
      <c r="G4332" s="1" t="n">
        <v>30</v>
      </c>
      <c r="H4332" s="1" t="n">
        <v>30</v>
      </c>
      <c r="I4332" s="1" t="str">
        <f aca="false">B4332&amp;"|"&amp;C4332</f>
        <v>Passenger Terminals|Low Cost</v>
      </c>
      <c r="J4332" s="1" t="s">
        <v>1604</v>
      </c>
    </row>
    <row r="4333" customFormat="false" ht="12" hidden="false" customHeight="true" outlineLevel="0" collapsed="false">
      <c r="B4333" s="1" t="s">
        <v>791</v>
      </c>
      <c r="C4333" s="1" t="s">
        <v>503</v>
      </c>
      <c r="D4333" s="1" t="n">
        <v>45</v>
      </c>
      <c r="E4333" s="1" t="n">
        <v>45</v>
      </c>
      <c r="F4333" s="1" t="n">
        <v>40</v>
      </c>
      <c r="G4333" s="1" t="n">
        <v>40</v>
      </c>
      <c r="I4333" s="1" t="str">
        <f aca="false">B4333&amp;"|"&amp;C4333</f>
        <v>Passenger Terminals|Very Good</v>
      </c>
      <c r="J4333" s="1" t="s">
        <v>1674</v>
      </c>
    </row>
    <row r="4334" customFormat="false" ht="12" hidden="false" customHeight="true" outlineLevel="0" collapsed="false">
      <c r="B4334" s="1" t="s">
        <v>791</v>
      </c>
      <c r="C4334" s="1" t="s">
        <v>555</v>
      </c>
      <c r="D4334" s="1" t="n">
        <v>35</v>
      </c>
      <c r="E4334" s="1" t="n">
        <v>35</v>
      </c>
      <c r="F4334" s="1" t="n">
        <v>30</v>
      </c>
      <c r="G4334" s="1" t="n">
        <v>30</v>
      </c>
      <c r="H4334" s="1" t="n">
        <v>30</v>
      </c>
      <c r="I4334" s="1" t="str">
        <f aca="false">B4334&amp;"|"&amp;C4334</f>
        <v>Passenger Terminals|Fair</v>
      </c>
      <c r="J4334" s="1" t="s">
        <v>1604</v>
      </c>
    </row>
    <row r="4335" customFormat="false" ht="12" hidden="false" customHeight="true" outlineLevel="0" collapsed="false">
      <c r="B4335" s="1" t="s">
        <v>794</v>
      </c>
      <c r="C4335" s="1" t="s">
        <v>483</v>
      </c>
      <c r="D4335" s="1" t="n">
        <v>60</v>
      </c>
      <c r="E4335" s="1" t="n">
        <v>60</v>
      </c>
      <c r="F4335" s="1" t="n">
        <v>55</v>
      </c>
      <c r="G4335" s="1" t="n">
        <v>50</v>
      </c>
      <c r="H4335" s="1" t="n">
        <v>50</v>
      </c>
      <c r="I4335" s="1" t="str">
        <f aca="false">B4335&amp;"|"&amp;C4335</f>
        <v>Main Post Offices|Good</v>
      </c>
      <c r="J4335" s="1" t="s">
        <v>1675</v>
      </c>
    </row>
    <row r="4336" customFormat="false" ht="12" hidden="false" customHeight="true" outlineLevel="0" collapsed="false">
      <c r="B4336" s="1" t="s">
        <v>794</v>
      </c>
      <c r="C4336" s="1" t="s">
        <v>279</v>
      </c>
      <c r="D4336" s="1" t="n">
        <v>55</v>
      </c>
      <c r="E4336" s="1" t="n">
        <v>55</v>
      </c>
      <c r="F4336" s="1" t="n">
        <v>50</v>
      </c>
      <c r="G4336" s="1" t="n">
        <v>45</v>
      </c>
      <c r="H4336" s="1" t="n">
        <v>45</v>
      </c>
      <c r="I4336" s="1" t="str">
        <f aca="false">B4336&amp;"|"&amp;C4336</f>
        <v>Main Post Offices|Average</v>
      </c>
      <c r="J4336" s="1" t="s">
        <v>1594</v>
      </c>
    </row>
    <row r="4337" customFormat="false" ht="12" hidden="false" customHeight="true" outlineLevel="0" collapsed="false">
      <c r="B4337" s="1" t="s">
        <v>794</v>
      </c>
      <c r="C4337" s="1" t="s">
        <v>485</v>
      </c>
      <c r="D4337" s="1" t="n">
        <v>60</v>
      </c>
      <c r="E4337" s="1" t="n">
        <v>60</v>
      </c>
      <c r="F4337" s="1" t="n">
        <v>55</v>
      </c>
      <c r="G4337" s="1" t="n">
        <v>50</v>
      </c>
      <c r="H4337" s="1" t="n">
        <v>50</v>
      </c>
      <c r="I4337" s="1" t="str">
        <f aca="false">B4337&amp;"|"&amp;C4337</f>
        <v>Main Post Offices|Excellent</v>
      </c>
      <c r="J4337" s="1" t="s">
        <v>1675</v>
      </c>
    </row>
    <row r="4338" customFormat="false" ht="12" hidden="false" customHeight="true" outlineLevel="0" collapsed="false">
      <c r="B4338" s="1" t="s">
        <v>794</v>
      </c>
      <c r="C4338" s="1" t="s">
        <v>503</v>
      </c>
      <c r="D4338" s="1" t="n">
        <v>60</v>
      </c>
      <c r="E4338" s="1" t="n">
        <v>60</v>
      </c>
      <c r="F4338" s="1" t="n">
        <v>55</v>
      </c>
      <c r="G4338" s="1" t="n">
        <v>50</v>
      </c>
      <c r="H4338" s="1" t="n">
        <v>50</v>
      </c>
      <c r="I4338" s="1" t="str">
        <f aca="false">B4338&amp;"|"&amp;C4338</f>
        <v>Main Post Offices|Very Good</v>
      </c>
      <c r="J4338" s="1" t="s">
        <v>1675</v>
      </c>
    </row>
    <row r="4339" customFormat="false" ht="12" hidden="false" customHeight="true" outlineLevel="0" collapsed="false">
      <c r="B4339" s="1" t="s">
        <v>797</v>
      </c>
      <c r="C4339" s="1" t="s">
        <v>279</v>
      </c>
      <c r="D4339" s="1" t="n">
        <v>50</v>
      </c>
      <c r="E4339" s="1" t="n">
        <v>50</v>
      </c>
      <c r="F4339" s="1" t="n">
        <v>45</v>
      </c>
      <c r="H4339" s="1" t="n">
        <v>40</v>
      </c>
      <c r="I4339" s="1" t="str">
        <f aca="false">B4339&amp;"|"&amp;C4339</f>
        <v>Mail - Processing Facilities|Average</v>
      </c>
      <c r="J4339" s="1" t="s">
        <v>1598</v>
      </c>
    </row>
    <row r="4340" customFormat="false" ht="12" hidden="false" customHeight="true" outlineLevel="0" collapsed="false">
      <c r="B4340" s="1" t="s">
        <v>797</v>
      </c>
      <c r="C4340" s="1" t="s">
        <v>483</v>
      </c>
      <c r="F4340" s="1" t="n">
        <v>50</v>
      </c>
      <c r="H4340" s="1" t="n">
        <v>45</v>
      </c>
      <c r="I4340" s="1" t="str">
        <f aca="false">B4340&amp;"|"&amp;C4340</f>
        <v>Mail - Processing Facilities|Good</v>
      </c>
      <c r="J4340" s="1" t="s">
        <v>1676</v>
      </c>
    </row>
    <row r="4341" customFormat="false" ht="12" hidden="false" customHeight="true" outlineLevel="0" collapsed="false">
      <c r="B4341" s="1" t="s">
        <v>799</v>
      </c>
      <c r="C4341" s="1" t="s">
        <v>279</v>
      </c>
      <c r="D4341" s="1" t="n">
        <v>55</v>
      </c>
      <c r="E4341" s="1" t="n">
        <v>55</v>
      </c>
      <c r="F4341" s="1" t="n">
        <v>50</v>
      </c>
      <c r="G4341" s="1" t="n">
        <v>45</v>
      </c>
      <c r="H4341" s="1" t="n">
        <v>45</v>
      </c>
      <c r="I4341" s="1" t="str">
        <f aca="false">B4341&amp;"|"&amp;C4341</f>
        <v>Branch Post Offices|Average</v>
      </c>
      <c r="J4341" s="1" t="s">
        <v>1594</v>
      </c>
    </row>
    <row r="4342" customFormat="false" ht="12" hidden="false" customHeight="true" outlineLevel="0" collapsed="false">
      <c r="B4342" s="1" t="s">
        <v>799</v>
      </c>
      <c r="C4342" s="1" t="s">
        <v>485</v>
      </c>
      <c r="D4342" s="1" t="n">
        <v>60</v>
      </c>
      <c r="E4342" s="1" t="n">
        <v>60</v>
      </c>
      <c r="F4342" s="1" t="n">
        <v>55</v>
      </c>
      <c r="G4342" s="1" t="n">
        <v>50</v>
      </c>
      <c r="H4342" s="1" t="n">
        <v>50</v>
      </c>
      <c r="I4342" s="1" t="str">
        <f aca="false">B4342&amp;"|"&amp;C4342</f>
        <v>Branch Post Offices|Excellent</v>
      </c>
      <c r="J4342" s="1" t="s">
        <v>1675</v>
      </c>
    </row>
    <row r="4343" customFormat="false" ht="12" hidden="false" customHeight="true" outlineLevel="0" collapsed="false">
      <c r="B4343" s="1" t="s">
        <v>799</v>
      </c>
      <c r="C4343" s="1" t="s">
        <v>483</v>
      </c>
      <c r="D4343" s="1" t="n">
        <v>60</v>
      </c>
      <c r="E4343" s="1" t="n">
        <v>60</v>
      </c>
      <c r="F4343" s="1" t="n">
        <v>55</v>
      </c>
      <c r="G4343" s="1" t="n">
        <v>50</v>
      </c>
      <c r="H4343" s="1" t="n">
        <v>50</v>
      </c>
      <c r="I4343" s="1" t="str">
        <f aca="false">B4343&amp;"|"&amp;C4343</f>
        <v>Branch Post Offices|Good</v>
      </c>
      <c r="J4343" s="1" t="s">
        <v>1675</v>
      </c>
    </row>
    <row r="4344" customFormat="false" ht="12" hidden="false" customHeight="true" outlineLevel="0" collapsed="false">
      <c r="B4344" s="1" t="s">
        <v>799</v>
      </c>
      <c r="C4344" s="1" t="s">
        <v>480</v>
      </c>
      <c r="D4344" s="1" t="n">
        <v>55</v>
      </c>
      <c r="E4344" s="1" t="n">
        <v>55</v>
      </c>
      <c r="F4344" s="1" t="n">
        <v>50</v>
      </c>
      <c r="G4344" s="1" t="n">
        <v>45</v>
      </c>
      <c r="H4344" s="1" t="n">
        <v>45</v>
      </c>
      <c r="I4344" s="1" t="str">
        <f aca="false">B4344&amp;"|"&amp;C4344</f>
        <v>Branch Post Offices|Low Cost</v>
      </c>
      <c r="J4344" s="1" t="s">
        <v>1594</v>
      </c>
    </row>
    <row r="4345" customFormat="false" ht="12" hidden="false" customHeight="true" outlineLevel="0" collapsed="false">
      <c r="B4345" s="1" t="s">
        <v>802</v>
      </c>
      <c r="C4345" s="1" t="s">
        <v>485</v>
      </c>
      <c r="F4345" s="1" t="n">
        <v>55</v>
      </c>
      <c r="G4345" s="1" t="n">
        <v>50</v>
      </c>
      <c r="I4345" s="1" t="str">
        <f aca="false">B4345&amp;"|"&amp;C4345</f>
        <v>Armories|Excellent</v>
      </c>
      <c r="J4345" s="1" t="s">
        <v>1677</v>
      </c>
    </row>
    <row r="4346" customFormat="false" ht="12" hidden="false" customHeight="true" outlineLevel="0" collapsed="false">
      <c r="B4346" s="1" t="s">
        <v>802</v>
      </c>
      <c r="C4346" s="1" t="s">
        <v>483</v>
      </c>
      <c r="F4346" s="1" t="n">
        <v>55</v>
      </c>
      <c r="G4346" s="1" t="n">
        <v>50</v>
      </c>
      <c r="I4346" s="1" t="str">
        <f aca="false">B4346&amp;"|"&amp;C4346</f>
        <v>Armories|Good</v>
      </c>
      <c r="J4346" s="1" t="s">
        <v>1677</v>
      </c>
    </row>
    <row r="4347" customFormat="false" ht="12" hidden="false" customHeight="true" outlineLevel="0" collapsed="false">
      <c r="B4347" s="1" t="s">
        <v>802</v>
      </c>
      <c r="C4347" s="1" t="s">
        <v>279</v>
      </c>
      <c r="F4347" s="1" t="n">
        <v>50</v>
      </c>
      <c r="G4347" s="1" t="n">
        <v>40</v>
      </c>
      <c r="H4347" s="1" t="n">
        <v>40</v>
      </c>
      <c r="I4347" s="1" t="str">
        <f aca="false">B4347&amp;"|"&amp;C4347</f>
        <v>Armories|Average</v>
      </c>
      <c r="J4347" s="1" t="s">
        <v>1598</v>
      </c>
    </row>
    <row r="4348" customFormat="false" ht="12" hidden="false" customHeight="true" outlineLevel="0" collapsed="false">
      <c r="B4348" s="1" t="s">
        <v>805</v>
      </c>
      <c r="C4348" s="1" t="s">
        <v>483</v>
      </c>
      <c r="D4348" s="1" t="n">
        <v>55</v>
      </c>
      <c r="E4348" s="1" t="n">
        <v>55</v>
      </c>
      <c r="F4348" s="1" t="n">
        <v>50</v>
      </c>
      <c r="G4348" s="1" t="n">
        <v>45</v>
      </c>
      <c r="H4348" s="1" t="n">
        <v>45</v>
      </c>
      <c r="I4348" s="1" t="str">
        <f aca="false">B4348&amp;"|"&amp;C4348</f>
        <v>Distribution Warehouses|Good</v>
      </c>
      <c r="J4348" s="1" t="s">
        <v>1678</v>
      </c>
    </row>
    <row r="4349" customFormat="false" ht="12" hidden="false" customHeight="true" outlineLevel="0" collapsed="false">
      <c r="B4349" s="1" t="s">
        <v>805</v>
      </c>
      <c r="C4349" s="1" t="s">
        <v>279</v>
      </c>
      <c r="D4349" s="1" t="n">
        <v>50</v>
      </c>
      <c r="E4349" s="1" t="n">
        <v>50</v>
      </c>
      <c r="F4349" s="1" t="n">
        <v>45</v>
      </c>
      <c r="G4349" s="1" t="n">
        <v>40</v>
      </c>
      <c r="H4349" s="1" t="n">
        <v>40</v>
      </c>
      <c r="I4349" s="1" t="str">
        <f aca="false">B4349&amp;"|"&amp;C4349</f>
        <v>Distribution Warehouses|Average</v>
      </c>
      <c r="J4349" s="1" t="s">
        <v>1598</v>
      </c>
    </row>
    <row r="4350" customFormat="false" ht="12" hidden="false" customHeight="true" outlineLevel="0" collapsed="false">
      <c r="B4350" s="1" t="s">
        <v>805</v>
      </c>
      <c r="C4350" s="1" t="s">
        <v>485</v>
      </c>
      <c r="D4350" s="1" t="n">
        <v>55</v>
      </c>
      <c r="E4350" s="1" t="n">
        <v>55</v>
      </c>
      <c r="F4350" s="1" t="n">
        <v>50</v>
      </c>
      <c r="G4350" s="1" t="n">
        <v>45</v>
      </c>
      <c r="H4350" s="1" t="n">
        <v>45</v>
      </c>
      <c r="I4350" s="1" t="str">
        <f aca="false">B4350&amp;"|"&amp;C4350</f>
        <v>Distribution Warehouses|Excellent</v>
      </c>
      <c r="J4350" s="1" t="s">
        <v>1678</v>
      </c>
    </row>
    <row r="4351" customFormat="false" ht="12" hidden="false" customHeight="true" outlineLevel="0" collapsed="false">
      <c r="B4351" s="1" t="s">
        <v>805</v>
      </c>
      <c r="C4351" s="1" t="s">
        <v>480</v>
      </c>
      <c r="F4351" s="1" t="n">
        <v>40</v>
      </c>
      <c r="G4351" s="1" t="n">
        <v>35</v>
      </c>
      <c r="H4351" s="1" t="n">
        <v>35</v>
      </c>
      <c r="I4351" s="1" t="str">
        <f aca="false">B4351&amp;"|"&amp;C4351</f>
        <v>Distribution Warehouses|Low Cost</v>
      </c>
      <c r="J4351" s="1" t="s">
        <v>1602</v>
      </c>
    </row>
    <row r="4352" customFormat="false" ht="12" hidden="false" customHeight="true" outlineLevel="0" collapsed="false">
      <c r="B4352" s="1" t="s">
        <v>808</v>
      </c>
      <c r="C4352" s="1" t="s">
        <v>483</v>
      </c>
      <c r="F4352" s="1" t="n">
        <v>45</v>
      </c>
      <c r="G4352" s="1" t="n">
        <v>40</v>
      </c>
      <c r="H4352" s="1" t="n">
        <v>40</v>
      </c>
      <c r="I4352" s="1" t="str">
        <f aca="false">B4352&amp;"|"&amp;C4352</f>
        <v>Transit Warehouses|Good</v>
      </c>
      <c r="J4352" s="1" t="s">
        <v>1679</v>
      </c>
    </row>
    <row r="4353" customFormat="false" ht="12" hidden="false" customHeight="true" outlineLevel="0" collapsed="false">
      <c r="B4353" s="1" t="s">
        <v>808</v>
      </c>
      <c r="C4353" s="1" t="s">
        <v>279</v>
      </c>
      <c r="F4353" s="1" t="n">
        <v>45</v>
      </c>
      <c r="G4353" s="1" t="n">
        <v>40</v>
      </c>
      <c r="H4353" s="1" t="n">
        <v>40</v>
      </c>
      <c r="I4353" s="1" t="str">
        <f aca="false">B4353&amp;"|"&amp;C4353</f>
        <v>Transit Warehouses|Average</v>
      </c>
      <c r="J4353" s="1" t="s">
        <v>1679</v>
      </c>
    </row>
    <row r="4354" customFormat="false" ht="12" hidden="false" customHeight="true" outlineLevel="0" collapsed="false">
      <c r="B4354" s="1" t="s">
        <v>810</v>
      </c>
      <c r="C4354" s="1" t="s">
        <v>483</v>
      </c>
      <c r="D4354" s="1" t="n">
        <v>50</v>
      </c>
      <c r="E4354" s="1" t="n">
        <v>50</v>
      </c>
      <c r="F4354" s="1" t="n">
        <v>45</v>
      </c>
      <c r="G4354" s="1" t="n">
        <v>40</v>
      </c>
      <c r="H4354" s="1" t="n">
        <v>40</v>
      </c>
      <c r="I4354" s="1" t="str">
        <f aca="false">B4354&amp;"|"&amp;C4354</f>
        <v>Cold Storage Facilities|Good</v>
      </c>
      <c r="J4354" s="1" t="s">
        <v>1613</v>
      </c>
    </row>
    <row r="4355" customFormat="false" ht="12" hidden="false" customHeight="true" outlineLevel="0" collapsed="false">
      <c r="B4355" s="1" t="s">
        <v>810</v>
      </c>
      <c r="C4355" s="1" t="s">
        <v>279</v>
      </c>
      <c r="D4355" s="1" t="n">
        <v>50</v>
      </c>
      <c r="E4355" s="1" t="n">
        <v>50</v>
      </c>
      <c r="F4355" s="1" t="n">
        <v>45</v>
      </c>
      <c r="G4355" s="1" t="n">
        <v>40</v>
      </c>
      <c r="H4355" s="1" t="n">
        <v>40</v>
      </c>
      <c r="I4355" s="1" t="str">
        <f aca="false">B4355&amp;"|"&amp;C4355</f>
        <v>Cold Storage Facilities|Average</v>
      </c>
      <c r="J4355" s="1" t="s">
        <v>1613</v>
      </c>
    </row>
    <row r="4356" customFormat="false" ht="12" hidden="false" customHeight="true" outlineLevel="0" collapsed="false">
      <c r="B4356" s="1" t="s">
        <v>810</v>
      </c>
      <c r="C4356" s="1" t="s">
        <v>485</v>
      </c>
      <c r="F4356" s="1" t="n">
        <v>50</v>
      </c>
      <c r="H4356" s="1" t="n">
        <v>45</v>
      </c>
      <c r="I4356" s="1" t="str">
        <f aca="false">B4356&amp;"|"&amp;C4356</f>
        <v>Cold Storage Facilities|Excellent</v>
      </c>
      <c r="J4356" s="1" t="s">
        <v>1680</v>
      </c>
    </row>
    <row r="4357" customFormat="false" ht="12" hidden="false" customHeight="true" outlineLevel="0" collapsed="false">
      <c r="B4357" s="1" t="s">
        <v>810</v>
      </c>
      <c r="C4357" s="1" t="s">
        <v>555</v>
      </c>
      <c r="F4357" s="1" t="n">
        <v>40</v>
      </c>
      <c r="G4357" s="1" t="n">
        <v>35</v>
      </c>
      <c r="H4357" s="1" t="n">
        <v>35</v>
      </c>
      <c r="I4357" s="1" t="str">
        <f aca="false">B4357&amp;"|"&amp;C4357</f>
        <v>Cold Storage Facilities|Fair</v>
      </c>
      <c r="J4357" s="1" t="s">
        <v>1604</v>
      </c>
    </row>
    <row r="4358" customFormat="false" ht="12" hidden="false" customHeight="true" outlineLevel="0" collapsed="false">
      <c r="B4358" s="1" t="s">
        <v>810</v>
      </c>
      <c r="C4358" s="1" t="s">
        <v>480</v>
      </c>
      <c r="F4358" s="1" t="n">
        <v>40</v>
      </c>
      <c r="G4358" s="1" t="n">
        <v>35</v>
      </c>
      <c r="H4358" s="1" t="n">
        <v>35</v>
      </c>
      <c r="I4358" s="1" t="str">
        <f aca="false">B4358&amp;"|"&amp;C4358</f>
        <v>Cold Storage Facilities|Low Cost</v>
      </c>
      <c r="J4358" s="1" t="s">
        <v>1604</v>
      </c>
    </row>
    <row r="4359" customFormat="false" ht="12" hidden="false" customHeight="true" outlineLevel="0" collapsed="false">
      <c r="B4359" s="1" t="s">
        <v>813</v>
      </c>
      <c r="C4359" s="1" t="s">
        <v>279</v>
      </c>
      <c r="D4359" s="1" t="n">
        <v>45</v>
      </c>
      <c r="E4359" s="1" t="n">
        <v>45</v>
      </c>
      <c r="F4359" s="1" t="n">
        <v>35</v>
      </c>
      <c r="G4359" s="1" t="n">
        <v>30</v>
      </c>
      <c r="H4359" s="1" t="n">
        <v>30</v>
      </c>
      <c r="I4359" s="1" t="str">
        <f aca="false">B4359&amp;"|"&amp;C4359</f>
        <v>Creameries|Average</v>
      </c>
      <c r="J4359" s="1" t="s">
        <v>1598</v>
      </c>
    </row>
    <row r="4360" customFormat="false" ht="12" hidden="false" customHeight="true" outlineLevel="0" collapsed="false">
      <c r="B4360" s="1" t="s">
        <v>813</v>
      </c>
      <c r="C4360" s="1" t="s">
        <v>483</v>
      </c>
      <c r="F4360" s="1" t="n">
        <v>45</v>
      </c>
      <c r="G4360" s="1" t="n">
        <v>45</v>
      </c>
      <c r="H4360" s="1" t="n">
        <v>45</v>
      </c>
      <c r="I4360" s="1" t="str">
        <f aca="false">B4360&amp;"|"&amp;C4360</f>
        <v>Creameries|Good</v>
      </c>
      <c r="J4360" s="1" t="s">
        <v>1681</v>
      </c>
    </row>
    <row r="4361" customFormat="false" ht="12" hidden="false" customHeight="true" outlineLevel="0" collapsed="false">
      <c r="B4361" s="1" t="s">
        <v>813</v>
      </c>
      <c r="C4361" s="1" t="s">
        <v>480</v>
      </c>
      <c r="F4361" s="1" t="n">
        <v>25</v>
      </c>
      <c r="G4361" s="1" t="n">
        <v>20</v>
      </c>
      <c r="H4361" s="1" t="n">
        <v>20</v>
      </c>
      <c r="I4361" s="1" t="str">
        <f aca="false">B4361&amp;"|"&amp;C4361</f>
        <v>Creameries|Low Cost</v>
      </c>
      <c r="J4361" s="1" t="s">
        <v>1602</v>
      </c>
    </row>
    <row r="4362" customFormat="false" ht="12" hidden="false" customHeight="true" outlineLevel="0" collapsed="false">
      <c r="B4362" s="1" t="s">
        <v>816</v>
      </c>
      <c r="C4362" s="1" t="s">
        <v>483</v>
      </c>
      <c r="D4362" s="1" t="n">
        <v>50</v>
      </c>
      <c r="E4362" s="1" t="n">
        <v>50</v>
      </c>
      <c r="F4362" s="1" t="n">
        <v>45</v>
      </c>
      <c r="G4362" s="1" t="n">
        <v>40</v>
      </c>
      <c r="H4362" s="1" t="n">
        <v>40</v>
      </c>
      <c r="I4362" s="1" t="str">
        <f aca="false">B4362&amp;"|"&amp;C4362</f>
        <v>Mega (Storage/Distribution) Warehouses|Good</v>
      </c>
      <c r="J4362" s="1" t="s">
        <v>1613</v>
      </c>
    </row>
    <row r="4363" customFormat="false" ht="12" hidden="false" customHeight="true" outlineLevel="0" collapsed="false">
      <c r="B4363" s="1" t="s">
        <v>816</v>
      </c>
      <c r="C4363" s="1" t="s">
        <v>279</v>
      </c>
      <c r="D4363" s="1" t="n">
        <v>50</v>
      </c>
      <c r="E4363" s="1" t="n">
        <v>50</v>
      </c>
      <c r="F4363" s="1" t="n">
        <v>45</v>
      </c>
      <c r="G4363" s="1" t="n">
        <v>40</v>
      </c>
      <c r="H4363" s="1" t="n">
        <v>40</v>
      </c>
      <c r="I4363" s="1" t="str">
        <f aca="false">B4363&amp;"|"&amp;C4363</f>
        <v>Mega (Storage/Distribution) Warehouses|Average</v>
      </c>
      <c r="J4363" s="1" t="s">
        <v>1613</v>
      </c>
    </row>
    <row r="4364" customFormat="false" ht="12" hidden="false" customHeight="true" outlineLevel="0" collapsed="false">
      <c r="B4364" s="1" t="s">
        <v>816</v>
      </c>
      <c r="C4364" s="1" t="s">
        <v>480</v>
      </c>
      <c r="D4364" s="1" t="n">
        <v>45</v>
      </c>
      <c r="E4364" s="1" t="n">
        <v>45</v>
      </c>
      <c r="F4364" s="1" t="n">
        <v>40</v>
      </c>
      <c r="G4364" s="1" t="n">
        <v>35</v>
      </c>
      <c r="H4364" s="1" t="n">
        <v>35</v>
      </c>
      <c r="I4364" s="1" t="str">
        <f aca="false">B4364&amp;"|"&amp;C4364</f>
        <v>Mega (Storage/Distribution) Warehouses|Low Cost</v>
      </c>
      <c r="J4364" s="1" t="s">
        <v>1682</v>
      </c>
    </row>
    <row r="4365" customFormat="false" ht="12" hidden="false" customHeight="true" outlineLevel="0" collapsed="false">
      <c r="B4365" s="1" t="s">
        <v>816</v>
      </c>
      <c r="C4365" s="1" t="s">
        <v>567</v>
      </c>
      <c r="D4365" s="1" t="n">
        <v>45</v>
      </c>
      <c r="E4365" s="1" t="n">
        <v>45</v>
      </c>
      <c r="F4365" s="1" t="n">
        <v>40</v>
      </c>
      <c r="G4365" s="1" t="n">
        <v>35</v>
      </c>
      <c r="H4365" s="1" t="n">
        <v>35</v>
      </c>
      <c r="I4365" s="1" t="str">
        <f aca="false">B4365&amp;"|"&amp;C4365</f>
        <v>Mega (Storage/Distribution) Warehouses|Cheap</v>
      </c>
      <c r="J4365" s="1" t="s">
        <v>1682</v>
      </c>
    </row>
    <row r="4366" customFormat="false" ht="12" hidden="false" customHeight="true" outlineLevel="0" collapsed="false">
      <c r="B4366" s="1" t="s">
        <v>818</v>
      </c>
      <c r="C4366" s="1" t="s">
        <v>483</v>
      </c>
      <c r="D4366" s="1" t="n">
        <v>50</v>
      </c>
      <c r="E4366" s="1" t="n">
        <v>50</v>
      </c>
      <c r="F4366" s="1" t="n">
        <v>45</v>
      </c>
      <c r="G4366" s="1" t="n">
        <v>40</v>
      </c>
      <c r="H4366" s="1" t="n">
        <v>40</v>
      </c>
      <c r="I4366" s="1" t="str">
        <f aca="false">B4366&amp;"|"&amp;C4366</f>
        <v>Storage Warehouses|Good</v>
      </c>
      <c r="J4366" s="1" t="s">
        <v>1613</v>
      </c>
    </row>
    <row r="4367" customFormat="false" ht="12" hidden="false" customHeight="true" outlineLevel="0" collapsed="false">
      <c r="B4367" s="1" t="s">
        <v>818</v>
      </c>
      <c r="C4367" s="1" t="s">
        <v>279</v>
      </c>
      <c r="D4367" s="1" t="n">
        <v>50</v>
      </c>
      <c r="E4367" s="1" t="n">
        <v>50</v>
      </c>
      <c r="F4367" s="1" t="n">
        <v>45</v>
      </c>
      <c r="G4367" s="1" t="n">
        <v>40</v>
      </c>
      <c r="H4367" s="1" t="n">
        <v>40</v>
      </c>
      <c r="I4367" s="1" t="str">
        <f aca="false">B4367&amp;"|"&amp;C4367</f>
        <v>Storage Warehouses|Average</v>
      </c>
      <c r="J4367" s="1" t="s">
        <v>1613</v>
      </c>
    </row>
    <row r="4368" customFormat="false" ht="12" hidden="false" customHeight="true" outlineLevel="0" collapsed="false">
      <c r="B4368" s="1" t="s">
        <v>818</v>
      </c>
      <c r="C4368" s="1" t="s">
        <v>480</v>
      </c>
      <c r="D4368" s="1" t="n">
        <v>45</v>
      </c>
      <c r="E4368" s="1" t="n">
        <v>45</v>
      </c>
      <c r="F4368" s="1" t="n">
        <v>40</v>
      </c>
      <c r="G4368" s="1" t="n">
        <v>35</v>
      </c>
      <c r="H4368" s="1" t="n">
        <v>35</v>
      </c>
      <c r="I4368" s="1" t="str">
        <f aca="false">B4368&amp;"|"&amp;C4368</f>
        <v>Storage Warehouses|Low Cost</v>
      </c>
      <c r="J4368" s="1" t="s">
        <v>1682</v>
      </c>
    </row>
    <row r="4369" customFormat="false" ht="12" hidden="false" customHeight="true" outlineLevel="0" collapsed="false">
      <c r="B4369" s="1" t="s">
        <v>818</v>
      </c>
      <c r="C4369" s="1" t="s">
        <v>485</v>
      </c>
      <c r="F4369" s="1" t="n">
        <v>50</v>
      </c>
      <c r="H4369" s="1" t="n">
        <v>45</v>
      </c>
      <c r="I4369" s="1" t="str">
        <f aca="false">B4369&amp;"|"&amp;C4369</f>
        <v>Storage Warehouses|Excellent</v>
      </c>
      <c r="J4369" s="1" t="s">
        <v>1683</v>
      </c>
    </row>
    <row r="4370" customFormat="false" ht="12" hidden="false" customHeight="true" outlineLevel="0" collapsed="false">
      <c r="B4370" s="1" t="s">
        <v>821</v>
      </c>
      <c r="C4370" s="1" t="s">
        <v>483</v>
      </c>
      <c r="F4370" s="1" t="n">
        <v>45</v>
      </c>
      <c r="G4370" s="1" t="n">
        <v>40</v>
      </c>
      <c r="H4370" s="1" t="n">
        <v>40</v>
      </c>
      <c r="I4370" s="1" t="str">
        <f aca="false">B4370&amp;"|"&amp;C4370</f>
        <v>Mini-Warehouses / Self-Storage|Good</v>
      </c>
      <c r="J4370" s="1" t="s">
        <v>1684</v>
      </c>
    </row>
    <row r="4371" customFormat="false" ht="12" hidden="false" customHeight="true" outlineLevel="0" collapsed="false">
      <c r="B4371" s="1" t="s">
        <v>821</v>
      </c>
      <c r="C4371" s="1" t="s">
        <v>279</v>
      </c>
      <c r="D4371" s="1" t="n">
        <v>45</v>
      </c>
      <c r="E4371" s="1" t="n">
        <v>45</v>
      </c>
      <c r="F4371" s="1" t="n">
        <v>40</v>
      </c>
      <c r="G4371" s="1" t="n">
        <v>35</v>
      </c>
      <c r="H4371" s="1" t="n">
        <v>35</v>
      </c>
      <c r="I4371" s="1" t="str">
        <f aca="false">B4371&amp;"|"&amp;C4371</f>
        <v>Mini-Warehouses / Self-Storage|Average</v>
      </c>
      <c r="J4371" s="1" t="s">
        <v>1598</v>
      </c>
    </row>
    <row r="4372" customFormat="false" ht="12" hidden="false" customHeight="true" outlineLevel="0" collapsed="false">
      <c r="B4372" s="1" t="s">
        <v>821</v>
      </c>
      <c r="C4372" s="1" t="s">
        <v>480</v>
      </c>
      <c r="F4372" s="1" t="n">
        <v>35</v>
      </c>
      <c r="G4372" s="1" t="n">
        <v>30</v>
      </c>
      <c r="H4372" s="1" t="n">
        <v>30</v>
      </c>
      <c r="I4372" s="1" t="str">
        <f aca="false">B4372&amp;"|"&amp;C4372</f>
        <v>Mini-Warehouses / Self-Storage|Low Cost</v>
      </c>
      <c r="J4372" s="1" t="s">
        <v>1602</v>
      </c>
    </row>
    <row r="4373" customFormat="false" ht="12" hidden="false" customHeight="true" outlineLevel="0" collapsed="false">
      <c r="B4373" s="1" t="s">
        <v>821</v>
      </c>
      <c r="C4373" s="1" t="s">
        <v>567</v>
      </c>
      <c r="F4373" s="1" t="n">
        <v>35</v>
      </c>
      <c r="G4373" s="1" t="n">
        <v>30</v>
      </c>
      <c r="H4373" s="1" t="n">
        <v>30</v>
      </c>
      <c r="I4373" s="1" t="str">
        <f aca="false">B4373&amp;"|"&amp;C4373</f>
        <v>Mini-Warehouses / Self-Storage|Cheap</v>
      </c>
      <c r="J4373" s="1" t="s">
        <v>1602</v>
      </c>
    </row>
    <row r="4374" customFormat="false" ht="12" hidden="false" customHeight="true" outlineLevel="0" collapsed="false">
      <c r="B4374" s="1" t="s">
        <v>824</v>
      </c>
      <c r="C4374" s="1" t="s">
        <v>279</v>
      </c>
      <c r="D4374" s="1" t="n">
        <v>45</v>
      </c>
      <c r="E4374" s="1" t="n">
        <v>45</v>
      </c>
      <c r="F4374" s="1" t="n">
        <v>40</v>
      </c>
      <c r="G4374" s="1" t="n">
        <v>35</v>
      </c>
      <c r="H4374" s="1" t="n">
        <v>35</v>
      </c>
      <c r="I4374" s="1" t="str">
        <f aca="false">B4374&amp;"|"&amp;C4374</f>
        <v>Mini-Warehouses, High-Rise|Average</v>
      </c>
      <c r="J4374" s="1" t="s">
        <v>1598</v>
      </c>
    </row>
    <row r="4375" customFormat="false" ht="12" hidden="false" customHeight="true" outlineLevel="0" collapsed="false">
      <c r="B4375" s="1" t="s">
        <v>824</v>
      </c>
      <c r="C4375" s="1" t="s">
        <v>483</v>
      </c>
      <c r="F4375" s="1" t="n">
        <v>45</v>
      </c>
      <c r="G4375" s="1" t="n">
        <v>40</v>
      </c>
      <c r="H4375" s="1" t="n">
        <v>40</v>
      </c>
      <c r="I4375" s="1" t="str">
        <f aca="false">B4375&amp;"|"&amp;C4375</f>
        <v>Mini-Warehouses, High-Rise|Good</v>
      </c>
      <c r="J4375" s="1" t="s">
        <v>1684</v>
      </c>
    </row>
    <row r="4376" customFormat="false" ht="12" hidden="false" customHeight="true" outlineLevel="0" collapsed="false">
      <c r="B4376" s="1" t="s">
        <v>826</v>
      </c>
      <c r="C4376" s="1" t="s">
        <v>485</v>
      </c>
      <c r="F4376" s="1" t="n">
        <v>45</v>
      </c>
      <c r="H4376" s="1" t="n">
        <v>40</v>
      </c>
      <c r="I4376" s="1" t="str">
        <f aca="false">B4376&amp;"|"&amp;C4376</f>
        <v>Maintenance Hangars|Excellent</v>
      </c>
      <c r="J4376" s="1" t="s">
        <v>1685</v>
      </c>
    </row>
    <row r="4377" customFormat="false" ht="12" hidden="false" customHeight="true" outlineLevel="0" collapsed="false">
      <c r="B4377" s="1" t="s">
        <v>826</v>
      </c>
      <c r="C4377" s="1" t="s">
        <v>483</v>
      </c>
      <c r="F4377" s="1" t="n">
        <v>40</v>
      </c>
      <c r="H4377" s="1" t="n">
        <v>40</v>
      </c>
      <c r="I4377" s="1" t="str">
        <f aca="false">B4377&amp;"|"&amp;C4377</f>
        <v>Maintenance Hangars|Good</v>
      </c>
      <c r="J4377" s="1" t="s">
        <v>1600</v>
      </c>
    </row>
    <row r="4378" customFormat="false" ht="12" hidden="false" customHeight="true" outlineLevel="0" collapsed="false">
      <c r="B4378" s="1" t="s">
        <v>826</v>
      </c>
      <c r="C4378" s="1" t="s">
        <v>279</v>
      </c>
      <c r="F4378" s="1" t="n">
        <v>40</v>
      </c>
      <c r="G4378" s="1" t="n">
        <v>35</v>
      </c>
      <c r="H4378" s="1" t="n">
        <v>35</v>
      </c>
      <c r="I4378" s="1" t="str">
        <f aca="false">B4378&amp;"|"&amp;C4378</f>
        <v>Maintenance Hangars|Average</v>
      </c>
      <c r="J4378" s="1" t="s">
        <v>1598</v>
      </c>
    </row>
    <row r="4379" customFormat="false" ht="12" hidden="false" customHeight="true" outlineLevel="0" collapsed="false">
      <c r="B4379" s="1" t="s">
        <v>826</v>
      </c>
      <c r="C4379" s="1" t="s">
        <v>480</v>
      </c>
      <c r="F4379" s="1" t="n">
        <v>35</v>
      </c>
      <c r="G4379" s="1" t="n">
        <v>30</v>
      </c>
      <c r="H4379" s="1" t="n">
        <v>30</v>
      </c>
      <c r="I4379" s="1" t="str">
        <f aca="false">B4379&amp;"|"&amp;C4379</f>
        <v>Maintenance Hangars|Low Cost</v>
      </c>
      <c r="J4379" s="1" t="s">
        <v>1602</v>
      </c>
    </row>
    <row r="4380" customFormat="false" ht="12" hidden="false" customHeight="true" outlineLevel="0" collapsed="false">
      <c r="B4380" s="1" t="s">
        <v>829</v>
      </c>
      <c r="C4380" s="1" t="s">
        <v>485</v>
      </c>
      <c r="F4380" s="1" t="n">
        <v>40</v>
      </c>
      <c r="H4380" s="1" t="n">
        <v>40</v>
      </c>
      <c r="I4380" s="1" t="str">
        <f aca="false">B4380&amp;"|"&amp;C4380</f>
        <v>Storage Hangars|Excellent</v>
      </c>
      <c r="J4380" s="1" t="s">
        <v>1686</v>
      </c>
    </row>
    <row r="4381" customFormat="false" ht="12" hidden="false" customHeight="true" outlineLevel="0" collapsed="false">
      <c r="B4381" s="1" t="s">
        <v>829</v>
      </c>
      <c r="C4381" s="1" t="s">
        <v>483</v>
      </c>
      <c r="F4381" s="1" t="n">
        <v>40</v>
      </c>
      <c r="H4381" s="1" t="n">
        <v>35</v>
      </c>
      <c r="I4381" s="1" t="str">
        <f aca="false">B4381&amp;"|"&amp;C4381</f>
        <v>Storage Hangars|Good</v>
      </c>
      <c r="J4381" s="1" t="s">
        <v>1600</v>
      </c>
    </row>
    <row r="4382" customFormat="false" ht="12" hidden="false" customHeight="true" outlineLevel="0" collapsed="false">
      <c r="B4382" s="1" t="s">
        <v>829</v>
      </c>
      <c r="C4382" s="1" t="s">
        <v>279</v>
      </c>
      <c r="F4382" s="1" t="n">
        <v>35</v>
      </c>
      <c r="G4382" s="1" t="n">
        <v>30</v>
      </c>
      <c r="H4382" s="1" t="n">
        <v>30</v>
      </c>
      <c r="I4382" s="1" t="str">
        <f aca="false">B4382&amp;"|"&amp;C4382</f>
        <v>Storage Hangars|Average</v>
      </c>
      <c r="J4382" s="1" t="s">
        <v>1598</v>
      </c>
    </row>
    <row r="4383" customFormat="false" ht="12" hidden="false" customHeight="true" outlineLevel="0" collapsed="false">
      <c r="B4383" s="1" t="s">
        <v>829</v>
      </c>
      <c r="C4383" s="1" t="s">
        <v>480</v>
      </c>
      <c r="F4383" s="1" t="n">
        <v>30</v>
      </c>
      <c r="G4383" s="1" t="n">
        <v>30</v>
      </c>
      <c r="H4383" s="1" t="n">
        <v>30</v>
      </c>
      <c r="I4383" s="1" t="str">
        <f aca="false">B4383&amp;"|"&amp;C4383</f>
        <v>Storage Hangars|Low Cost</v>
      </c>
      <c r="J4383" s="1" t="s">
        <v>1602</v>
      </c>
    </row>
    <row r="4384" customFormat="false" ht="12" hidden="false" customHeight="true" outlineLevel="0" collapsed="false">
      <c r="B4384" s="1" t="s">
        <v>829</v>
      </c>
      <c r="C4384" s="1" t="s">
        <v>567</v>
      </c>
      <c r="G4384" s="1" t="n">
        <v>20</v>
      </c>
      <c r="H4384" s="1" t="n">
        <v>20</v>
      </c>
      <c r="I4384" s="1" t="str">
        <f aca="false">B4384&amp;"|"&amp;C4384</f>
        <v>Storage Hangars|Cheap</v>
      </c>
      <c r="J4384" s="1" t="s">
        <v>1609</v>
      </c>
    </row>
    <row r="4385" customFormat="false" ht="12" hidden="false" customHeight="true" outlineLevel="0" collapsed="false">
      <c r="B4385" s="1" t="s">
        <v>831</v>
      </c>
      <c r="C4385" s="1" t="s">
        <v>279</v>
      </c>
      <c r="F4385" s="1" t="n">
        <v>30</v>
      </c>
      <c r="H4385" s="1" t="n">
        <v>30</v>
      </c>
      <c r="I4385" s="1" t="str">
        <f aca="false">B4385&amp;"|"&amp;C4385</f>
        <v>T-Hangars|Average</v>
      </c>
      <c r="J4385" s="1" t="s">
        <v>1687</v>
      </c>
    </row>
    <row r="4386" customFormat="false" ht="12" hidden="false" customHeight="true" outlineLevel="0" collapsed="false">
      <c r="B4386" s="1" t="s">
        <v>831</v>
      </c>
      <c r="C4386" s="1" t="s">
        <v>480</v>
      </c>
      <c r="G4386" s="1" t="n">
        <v>20</v>
      </c>
      <c r="H4386" s="1" t="n">
        <v>20</v>
      </c>
      <c r="I4386" s="1" t="str">
        <f aca="false">B4386&amp;"|"&amp;C4386</f>
        <v>T-Hangars|Low Cost</v>
      </c>
      <c r="J4386" s="1" t="s">
        <v>1602</v>
      </c>
    </row>
    <row r="4387" customFormat="false" ht="12" hidden="false" customHeight="true" outlineLevel="0" collapsed="false">
      <c r="B4387" s="1" t="s">
        <v>834</v>
      </c>
      <c r="C4387" s="1" t="s">
        <v>279</v>
      </c>
      <c r="D4387" s="1" t="n">
        <v>45</v>
      </c>
      <c r="E4387" s="1" t="n">
        <v>45</v>
      </c>
      <c r="F4387" s="1" t="n">
        <v>40</v>
      </c>
      <c r="G4387" s="1" t="n">
        <v>35</v>
      </c>
      <c r="H4387" s="1" t="n">
        <v>35</v>
      </c>
      <c r="I4387" s="1" t="str">
        <f aca="false">B4387&amp;"|"&amp;C4387</f>
        <v>Complete Auto Dealerships|Average</v>
      </c>
      <c r="J4387" s="1" t="s">
        <v>1598</v>
      </c>
    </row>
    <row r="4388" customFormat="false" ht="12" hidden="false" customHeight="true" outlineLevel="0" collapsed="false">
      <c r="B4388" s="1" t="s">
        <v>834</v>
      </c>
      <c r="C4388" s="1" t="s">
        <v>485</v>
      </c>
      <c r="D4388" s="1" t="n">
        <v>50</v>
      </c>
      <c r="E4388" s="1" t="n">
        <v>50</v>
      </c>
      <c r="F4388" s="1" t="n">
        <v>45</v>
      </c>
      <c r="G4388" s="1" t="n">
        <v>40</v>
      </c>
      <c r="H4388" s="1" t="n">
        <v>40</v>
      </c>
      <c r="I4388" s="1" t="str">
        <f aca="false">B4388&amp;"|"&amp;C4388</f>
        <v>Complete Auto Dealerships|Excellent</v>
      </c>
      <c r="J4388" s="1" t="s">
        <v>1688</v>
      </c>
    </row>
    <row r="4389" customFormat="false" ht="12" hidden="false" customHeight="true" outlineLevel="0" collapsed="false">
      <c r="B4389" s="1" t="s">
        <v>834</v>
      </c>
      <c r="C4389" s="1" t="s">
        <v>483</v>
      </c>
      <c r="D4389" s="1" t="n">
        <v>50</v>
      </c>
      <c r="E4389" s="1" t="n">
        <v>50</v>
      </c>
      <c r="F4389" s="1" t="n">
        <v>45</v>
      </c>
      <c r="G4389" s="1" t="n">
        <v>40</v>
      </c>
      <c r="H4389" s="1" t="n">
        <v>40</v>
      </c>
      <c r="I4389" s="1" t="str">
        <f aca="false">B4389&amp;"|"&amp;C4389</f>
        <v>Complete Auto Dealerships|Good</v>
      </c>
      <c r="J4389" s="1" t="s">
        <v>1688</v>
      </c>
    </row>
    <row r="4390" customFormat="false" ht="12" hidden="false" customHeight="true" outlineLevel="0" collapsed="false">
      <c r="B4390" s="1" t="s">
        <v>834</v>
      </c>
      <c r="C4390" s="1" t="s">
        <v>480</v>
      </c>
      <c r="F4390" s="1" t="n">
        <v>35</v>
      </c>
      <c r="G4390" s="1" t="n">
        <v>30</v>
      </c>
      <c r="H4390" s="1" t="n">
        <v>30</v>
      </c>
      <c r="I4390" s="1" t="str">
        <f aca="false">B4390&amp;"|"&amp;C4390</f>
        <v>Complete Auto Dealerships|Low Cost</v>
      </c>
      <c r="J4390" s="1" t="s">
        <v>1602</v>
      </c>
    </row>
    <row r="4391" customFormat="false" ht="12" hidden="false" customHeight="true" outlineLevel="0" collapsed="false">
      <c r="B4391" s="1" t="s">
        <v>836</v>
      </c>
      <c r="C4391" s="1" t="s">
        <v>483</v>
      </c>
      <c r="F4391" s="1" t="n">
        <v>45</v>
      </c>
      <c r="G4391" s="1" t="n">
        <v>40</v>
      </c>
      <c r="H4391" s="1" t="n">
        <v>40</v>
      </c>
      <c r="I4391" s="1" t="str">
        <f aca="false">B4391&amp;"|"&amp;C4391</f>
        <v>Automotive Service Centers|Good</v>
      </c>
      <c r="J4391" s="1" t="s">
        <v>1689</v>
      </c>
    </row>
    <row r="4392" customFormat="false" ht="12" hidden="false" customHeight="true" outlineLevel="0" collapsed="false">
      <c r="B4392" s="1" t="s">
        <v>836</v>
      </c>
      <c r="C4392" s="1" t="s">
        <v>279</v>
      </c>
      <c r="F4392" s="1" t="n">
        <v>40</v>
      </c>
      <c r="G4392" s="1" t="n">
        <v>35</v>
      </c>
      <c r="H4392" s="1" t="n">
        <v>35</v>
      </c>
      <c r="I4392" s="1" t="str">
        <f aca="false">B4392&amp;"|"&amp;C4392</f>
        <v>Automotive Service Centers|Average</v>
      </c>
      <c r="J4392" s="1" t="s">
        <v>1598</v>
      </c>
    </row>
    <row r="4393" customFormat="false" ht="12" hidden="false" customHeight="true" outlineLevel="0" collapsed="false">
      <c r="B4393" s="1" t="s">
        <v>836</v>
      </c>
      <c r="C4393" s="1" t="s">
        <v>480</v>
      </c>
      <c r="F4393" s="1" t="n">
        <v>35</v>
      </c>
      <c r="G4393" s="1" t="n">
        <v>30</v>
      </c>
      <c r="H4393" s="1" t="n">
        <v>30</v>
      </c>
      <c r="I4393" s="1" t="str">
        <f aca="false">B4393&amp;"|"&amp;C4393</f>
        <v>Automotive Service Centers|Low Cost</v>
      </c>
      <c r="J4393" s="1" t="s">
        <v>1602</v>
      </c>
    </row>
    <row r="4394" customFormat="false" ht="12" hidden="false" customHeight="true" outlineLevel="0" collapsed="false">
      <c r="B4394" s="1" t="s">
        <v>839</v>
      </c>
      <c r="C4394" s="1" t="s">
        <v>279</v>
      </c>
      <c r="D4394" s="1" t="n">
        <v>45</v>
      </c>
      <c r="E4394" s="1" t="n">
        <v>45</v>
      </c>
      <c r="F4394" s="1" t="n">
        <v>40</v>
      </c>
      <c r="G4394" s="1" t="n">
        <v>35</v>
      </c>
      <c r="H4394" s="1" t="n">
        <v>35</v>
      </c>
      <c r="I4394" s="1" t="str">
        <f aca="false">B4394&amp;"|"&amp;C4394</f>
        <v>Showrooms|Average</v>
      </c>
      <c r="J4394" s="1" t="s">
        <v>1598</v>
      </c>
    </row>
    <row r="4395" customFormat="false" ht="12" hidden="false" customHeight="true" outlineLevel="0" collapsed="false">
      <c r="B4395" s="1" t="s">
        <v>839</v>
      </c>
      <c r="C4395" s="1" t="s">
        <v>485</v>
      </c>
      <c r="D4395" s="1" t="n">
        <v>50</v>
      </c>
      <c r="E4395" s="1" t="n">
        <v>50</v>
      </c>
      <c r="F4395" s="1" t="n">
        <v>45</v>
      </c>
      <c r="G4395" s="1" t="n">
        <v>40</v>
      </c>
      <c r="H4395" s="1" t="n">
        <v>40</v>
      </c>
      <c r="I4395" s="1" t="str">
        <f aca="false">B4395&amp;"|"&amp;C4395</f>
        <v>Showrooms|Excellent</v>
      </c>
      <c r="J4395" s="1" t="s">
        <v>1690</v>
      </c>
    </row>
    <row r="4396" customFormat="false" ht="12" hidden="false" customHeight="true" outlineLevel="0" collapsed="false">
      <c r="B4396" s="1" t="s">
        <v>839</v>
      </c>
      <c r="C4396" s="1" t="s">
        <v>483</v>
      </c>
      <c r="D4396" s="1" t="n">
        <v>50</v>
      </c>
      <c r="E4396" s="1" t="n">
        <v>50</v>
      </c>
      <c r="F4396" s="1" t="n">
        <v>45</v>
      </c>
      <c r="G4396" s="1" t="n">
        <v>40</v>
      </c>
      <c r="H4396" s="1" t="n">
        <v>40</v>
      </c>
      <c r="I4396" s="1" t="str">
        <f aca="false">B4396&amp;"|"&amp;C4396</f>
        <v>Showrooms|Good</v>
      </c>
      <c r="J4396" s="1" t="s">
        <v>1690</v>
      </c>
    </row>
    <row r="4397" customFormat="false" ht="12" hidden="false" customHeight="true" outlineLevel="0" collapsed="false">
      <c r="B4397" s="1" t="s">
        <v>839</v>
      </c>
      <c r="C4397" s="1" t="s">
        <v>480</v>
      </c>
      <c r="F4397" s="1" t="n">
        <v>35</v>
      </c>
      <c r="G4397" s="1" t="n">
        <v>30</v>
      </c>
      <c r="H4397" s="1" t="n">
        <v>30</v>
      </c>
      <c r="I4397" s="1" t="str">
        <f aca="false">B4397&amp;"|"&amp;C4397</f>
        <v>Showrooms|Low Cost</v>
      </c>
      <c r="J4397" s="1" t="s">
        <v>1602</v>
      </c>
    </row>
    <row r="4398" customFormat="false" ht="12" hidden="false" customHeight="true" outlineLevel="0" collapsed="false">
      <c r="B4398" s="1" t="s">
        <v>841</v>
      </c>
      <c r="C4398" s="1" t="s">
        <v>279</v>
      </c>
      <c r="D4398" s="1" t="n">
        <v>40</v>
      </c>
      <c r="E4398" s="1" t="n">
        <v>40</v>
      </c>
      <c r="F4398" s="1" t="n">
        <v>35</v>
      </c>
      <c r="G4398" s="1" t="n">
        <v>30</v>
      </c>
      <c r="H4398" s="1" t="n">
        <v>30</v>
      </c>
      <c r="I4398" s="1" t="str">
        <f aca="false">B4398&amp;"|"&amp;C4398</f>
        <v>Service Garages (Commercial/Repair)|Average</v>
      </c>
      <c r="J4398" s="1" t="s">
        <v>1594</v>
      </c>
    </row>
    <row r="4399" customFormat="false" ht="12" hidden="false" customHeight="true" outlineLevel="0" collapsed="false">
      <c r="B4399" s="1" t="s">
        <v>841</v>
      </c>
      <c r="C4399" s="1" t="s">
        <v>485</v>
      </c>
      <c r="F4399" s="1" t="n">
        <v>40</v>
      </c>
      <c r="G4399" s="1" t="n">
        <v>35</v>
      </c>
      <c r="H4399" s="1" t="n">
        <v>35</v>
      </c>
      <c r="I4399" s="1" t="str">
        <f aca="false">B4399&amp;"|"&amp;C4399</f>
        <v>Service Garages (Commercial/Repair)|Excellent</v>
      </c>
      <c r="J4399" s="1" t="s">
        <v>1691</v>
      </c>
    </row>
    <row r="4400" customFormat="false" ht="12" hidden="false" customHeight="true" outlineLevel="0" collapsed="false">
      <c r="B4400" s="1" t="s">
        <v>841</v>
      </c>
      <c r="C4400" s="1" t="s">
        <v>483</v>
      </c>
      <c r="F4400" s="1" t="n">
        <v>40</v>
      </c>
      <c r="G4400" s="1" t="n">
        <v>35</v>
      </c>
      <c r="H4400" s="1" t="n">
        <v>35</v>
      </c>
      <c r="I4400" s="1" t="str">
        <f aca="false">B4400&amp;"|"&amp;C4400</f>
        <v>Service Garages (Commercial/Repair)|Good</v>
      </c>
      <c r="J4400" s="1" t="s">
        <v>1691</v>
      </c>
    </row>
    <row r="4401" customFormat="false" ht="12" hidden="false" customHeight="true" outlineLevel="0" collapsed="false">
      <c r="B4401" s="1" t="s">
        <v>841</v>
      </c>
      <c r="C4401" s="1" t="s">
        <v>480</v>
      </c>
      <c r="D4401" s="1" t="n">
        <v>40</v>
      </c>
      <c r="E4401" s="1" t="n">
        <v>40</v>
      </c>
      <c r="F4401" s="1" t="n">
        <v>35</v>
      </c>
      <c r="G4401" s="1" t="n">
        <v>30</v>
      </c>
      <c r="H4401" s="1" t="n">
        <v>30</v>
      </c>
      <c r="I4401" s="1" t="str">
        <f aca="false">B4401&amp;"|"&amp;C4401</f>
        <v>Service Garages (Commercial/Repair)|Low Cost</v>
      </c>
      <c r="J4401" s="1" t="s">
        <v>1594</v>
      </c>
    </row>
    <row r="4402" customFormat="false" ht="12" hidden="false" customHeight="true" outlineLevel="0" collapsed="false">
      <c r="B4402" s="1" t="s">
        <v>844</v>
      </c>
      <c r="C4402" s="1" t="s">
        <v>483</v>
      </c>
      <c r="F4402" s="1" t="n">
        <v>35</v>
      </c>
      <c r="G4402" s="1" t="n">
        <v>30</v>
      </c>
      <c r="H4402" s="1" t="n">
        <v>30</v>
      </c>
      <c r="I4402" s="1" t="str">
        <f aca="false">B4402&amp;"|"&amp;C4402</f>
        <v>Service Garage Sheds|Good</v>
      </c>
      <c r="J4402" s="1" t="s">
        <v>1692</v>
      </c>
    </row>
    <row r="4403" customFormat="false" ht="12" hidden="false" customHeight="true" outlineLevel="0" collapsed="false">
      <c r="B4403" s="1" t="s">
        <v>844</v>
      </c>
      <c r="C4403" s="1" t="s">
        <v>279</v>
      </c>
      <c r="F4403" s="1" t="n">
        <v>30</v>
      </c>
      <c r="G4403" s="1" t="n">
        <v>25</v>
      </c>
      <c r="H4403" s="1" t="n">
        <v>25</v>
      </c>
      <c r="I4403" s="1" t="str">
        <f aca="false">B4403&amp;"|"&amp;C4403</f>
        <v>Service Garage Sheds|Average</v>
      </c>
      <c r="J4403" s="1" t="s">
        <v>1594</v>
      </c>
    </row>
    <row r="4404" customFormat="false" ht="12" hidden="false" customHeight="true" outlineLevel="0" collapsed="false">
      <c r="B4404" s="1" t="s">
        <v>844</v>
      </c>
      <c r="C4404" s="1" t="s">
        <v>480</v>
      </c>
      <c r="F4404" s="1" t="n">
        <v>30</v>
      </c>
      <c r="G4404" s="1" t="n">
        <v>25</v>
      </c>
      <c r="H4404" s="1" t="n">
        <v>25</v>
      </c>
      <c r="I4404" s="1" t="str">
        <f aca="false">B4404&amp;"|"&amp;C4404</f>
        <v>Service Garage Sheds|Low Cost</v>
      </c>
      <c r="J4404" s="1" t="s">
        <v>1594</v>
      </c>
    </row>
    <row r="4405" customFormat="false" ht="12" hidden="false" customHeight="true" outlineLevel="0" collapsed="false">
      <c r="B4405" s="1" t="s">
        <v>846</v>
      </c>
      <c r="C4405" s="1" t="s">
        <v>485</v>
      </c>
      <c r="F4405" s="1" t="n">
        <v>45</v>
      </c>
      <c r="H4405" s="1" t="n">
        <v>40</v>
      </c>
      <c r="I4405" s="1" t="str">
        <f aca="false">B4405&amp;"|"&amp;C4405</f>
        <v>Municipal Service Garages|Excellent</v>
      </c>
      <c r="J4405" s="1" t="s">
        <v>1693</v>
      </c>
    </row>
    <row r="4406" customFormat="false" ht="12" hidden="false" customHeight="true" outlineLevel="0" collapsed="false">
      <c r="B4406" s="1" t="s">
        <v>846</v>
      </c>
      <c r="C4406" s="1" t="s">
        <v>483</v>
      </c>
      <c r="F4406" s="1" t="n">
        <v>40</v>
      </c>
      <c r="G4406" s="1" t="n">
        <v>35</v>
      </c>
      <c r="H4406" s="1" t="n">
        <v>35</v>
      </c>
      <c r="I4406" s="1" t="str">
        <f aca="false">B4406&amp;"|"&amp;C4406</f>
        <v>Municipal Service Garages|Good</v>
      </c>
      <c r="J4406" s="1" t="s">
        <v>1613</v>
      </c>
    </row>
    <row r="4407" customFormat="false" ht="12" hidden="false" customHeight="true" outlineLevel="0" collapsed="false">
      <c r="B4407" s="1" t="s">
        <v>846</v>
      </c>
      <c r="C4407" s="1" t="s">
        <v>279</v>
      </c>
      <c r="F4407" s="1" t="n">
        <v>40</v>
      </c>
      <c r="G4407" s="1" t="n">
        <v>35</v>
      </c>
      <c r="H4407" s="1" t="n">
        <v>35</v>
      </c>
      <c r="I4407" s="1" t="str">
        <f aca="false">B4407&amp;"|"&amp;C4407</f>
        <v>Municipal Service Garages|Average</v>
      </c>
      <c r="J4407" s="1" t="s">
        <v>1613</v>
      </c>
    </row>
    <row r="4408" customFormat="false" ht="12" hidden="false" customHeight="true" outlineLevel="0" collapsed="false">
      <c r="B4408" s="1" t="s">
        <v>849</v>
      </c>
      <c r="C4408" s="1" t="s">
        <v>485</v>
      </c>
      <c r="F4408" s="1" t="n">
        <v>40</v>
      </c>
      <c r="G4408" s="1" t="n">
        <v>35</v>
      </c>
      <c r="H4408" s="1" t="n">
        <v>35</v>
      </c>
      <c r="I4408" s="1" t="str">
        <f aca="false">B4408&amp;"|"&amp;C4408</f>
        <v>Mini-Lube Garages|Excellent</v>
      </c>
      <c r="J4408" s="1" t="s">
        <v>1694</v>
      </c>
    </row>
    <row r="4409" customFormat="false" ht="12" hidden="false" customHeight="true" outlineLevel="0" collapsed="false">
      <c r="B4409" s="1" t="s">
        <v>849</v>
      </c>
      <c r="C4409" s="1" t="s">
        <v>483</v>
      </c>
      <c r="F4409" s="1" t="n">
        <v>40</v>
      </c>
      <c r="G4409" s="1" t="n">
        <v>35</v>
      </c>
      <c r="H4409" s="1" t="n">
        <v>35</v>
      </c>
      <c r="I4409" s="1" t="str">
        <f aca="false">B4409&amp;"|"&amp;C4409</f>
        <v>Mini-Lube Garages|Good</v>
      </c>
      <c r="J4409" s="1" t="s">
        <v>1694</v>
      </c>
    </row>
    <row r="4410" customFormat="false" ht="12" hidden="false" customHeight="true" outlineLevel="0" collapsed="false">
      <c r="B4410" s="1" t="s">
        <v>849</v>
      </c>
      <c r="C4410" s="1" t="s">
        <v>279</v>
      </c>
      <c r="F4410" s="1" t="n">
        <v>35</v>
      </c>
      <c r="G4410" s="1" t="n">
        <v>30</v>
      </c>
      <c r="H4410" s="1" t="n">
        <v>30</v>
      </c>
      <c r="I4410" s="1" t="str">
        <f aca="false">B4410&amp;"|"&amp;C4410</f>
        <v>Mini-Lube Garages|Average</v>
      </c>
      <c r="J4410" s="1" t="s">
        <v>1594</v>
      </c>
    </row>
    <row r="4411" customFormat="false" ht="12" hidden="false" customHeight="true" outlineLevel="0" collapsed="false">
      <c r="B4411" s="1" t="s">
        <v>849</v>
      </c>
      <c r="C4411" s="1" t="s">
        <v>480</v>
      </c>
      <c r="F4411" s="1" t="n">
        <v>35</v>
      </c>
      <c r="G4411" s="1" t="n">
        <v>30</v>
      </c>
      <c r="H4411" s="1" t="n">
        <v>30</v>
      </c>
      <c r="I4411" s="1" t="str">
        <f aca="false">B4411&amp;"|"&amp;C4411</f>
        <v>Mini-Lube Garages|Low Cost</v>
      </c>
      <c r="J4411" s="1" t="s">
        <v>1594</v>
      </c>
    </row>
    <row r="4412" customFormat="false" ht="12" hidden="false" customHeight="true" outlineLevel="0" collapsed="false">
      <c r="B4412" s="1" t="s">
        <v>851</v>
      </c>
      <c r="C4412" s="1" t="s">
        <v>483</v>
      </c>
      <c r="D4412" s="1" t="n">
        <v>45</v>
      </c>
      <c r="E4412" s="1" t="n">
        <v>45</v>
      </c>
      <c r="I4412" s="1" t="str">
        <f aca="false">B4412&amp;"|"&amp;C4412</f>
        <v>Parking (Parkade) Structures|Good</v>
      </c>
      <c r="J4412" s="1" t="s">
        <v>1695</v>
      </c>
    </row>
    <row r="4413" customFormat="false" ht="12" hidden="false" customHeight="true" outlineLevel="0" collapsed="false">
      <c r="B4413" s="1" t="s">
        <v>851</v>
      </c>
      <c r="C4413" s="1" t="s">
        <v>279</v>
      </c>
      <c r="D4413" s="1" t="n">
        <v>40</v>
      </c>
      <c r="E4413" s="1" t="n">
        <v>40</v>
      </c>
      <c r="H4413" s="1" t="n">
        <v>35</v>
      </c>
      <c r="I4413" s="1" t="str">
        <f aca="false">B4413&amp;"|"&amp;C4413</f>
        <v>Parking (Parkade) Structures|Average</v>
      </c>
      <c r="J4413" s="1" t="s">
        <v>1594</v>
      </c>
    </row>
    <row r="4414" customFormat="false" ht="12" hidden="false" customHeight="true" outlineLevel="0" collapsed="false">
      <c r="B4414" s="1" t="s">
        <v>851</v>
      </c>
      <c r="C4414" s="1" t="s">
        <v>480</v>
      </c>
      <c r="D4414" s="1" t="n">
        <v>40</v>
      </c>
      <c r="E4414" s="1" t="n">
        <v>40</v>
      </c>
      <c r="H4414" s="1" t="n">
        <v>35</v>
      </c>
      <c r="I4414" s="1" t="str">
        <f aca="false">B4414&amp;"|"&amp;C4414</f>
        <v>Parking (Parkade) Structures|Low Cost</v>
      </c>
      <c r="J4414" s="1" t="s">
        <v>1594</v>
      </c>
    </row>
    <row r="4415" customFormat="false" ht="12" hidden="false" customHeight="true" outlineLevel="0" collapsed="false">
      <c r="B4415" s="1" t="s">
        <v>851</v>
      </c>
      <c r="C4415" s="1" t="s">
        <v>567</v>
      </c>
      <c r="H4415" s="1" t="n">
        <v>30</v>
      </c>
      <c r="I4415" s="1" t="str">
        <f aca="false">B4415&amp;"|"&amp;C4415</f>
        <v>Parking (Parkade) Structures|Cheap</v>
      </c>
      <c r="J4415" s="1" t="s">
        <v>1609</v>
      </c>
    </row>
    <row r="4416" customFormat="false" ht="12" hidden="false" customHeight="true" outlineLevel="0" collapsed="false">
      <c r="B4416" s="1" t="s">
        <v>854</v>
      </c>
      <c r="C4416" s="1" t="s">
        <v>279</v>
      </c>
      <c r="D4416" s="1" t="n">
        <v>45</v>
      </c>
      <c r="E4416" s="1" t="n">
        <v>45</v>
      </c>
      <c r="F4416" s="1" t="n">
        <v>40</v>
      </c>
      <c r="G4416" s="1" t="n">
        <v>35</v>
      </c>
      <c r="H4416" s="1" t="n">
        <v>35</v>
      </c>
      <c r="I4416" s="1" t="str">
        <f aca="false">B4416&amp;"|"&amp;C4416</f>
        <v>Storage Garages|Average</v>
      </c>
      <c r="J4416" s="1" t="s">
        <v>1696</v>
      </c>
    </row>
    <row r="4417" customFormat="false" ht="12" hidden="false" customHeight="true" outlineLevel="0" collapsed="false">
      <c r="B4417" s="1" t="s">
        <v>856</v>
      </c>
      <c r="C4417" s="1" t="s">
        <v>483</v>
      </c>
      <c r="D4417" s="1" t="n">
        <v>50</v>
      </c>
      <c r="E4417" s="1" t="n">
        <v>50</v>
      </c>
      <c r="F4417" s="1" t="n">
        <v>45</v>
      </c>
      <c r="G4417" s="1" t="n">
        <v>40</v>
      </c>
      <c r="H4417" s="1" t="n">
        <v>40</v>
      </c>
      <c r="I4417" s="1" t="str">
        <f aca="false">B4417&amp;"|"&amp;C4417</f>
        <v>Light Industrial/Warehouse Shell Buildings|Good</v>
      </c>
      <c r="J4417" s="1" t="s">
        <v>1668</v>
      </c>
    </row>
    <row r="4418" customFormat="false" ht="12" hidden="false" customHeight="true" outlineLevel="0" collapsed="false">
      <c r="B4418" s="1" t="s">
        <v>856</v>
      </c>
      <c r="C4418" s="1" t="s">
        <v>279</v>
      </c>
      <c r="D4418" s="1" t="n">
        <v>50</v>
      </c>
      <c r="E4418" s="1" t="n">
        <v>50</v>
      </c>
      <c r="F4418" s="1" t="n">
        <v>40</v>
      </c>
      <c r="G4418" s="1" t="n">
        <v>35</v>
      </c>
      <c r="H4418" s="1" t="n">
        <v>35</v>
      </c>
      <c r="I4418" s="1" t="str">
        <f aca="false">B4418&amp;"|"&amp;C4418</f>
        <v>Light Industrial/Warehouse Shell Buildings|Average</v>
      </c>
      <c r="J4418" s="1" t="s">
        <v>1598</v>
      </c>
    </row>
    <row r="4419" customFormat="false" ht="12" hidden="false" customHeight="true" outlineLevel="0" collapsed="false">
      <c r="B4419" s="1" t="s">
        <v>856</v>
      </c>
      <c r="C4419" s="1" t="s">
        <v>480</v>
      </c>
      <c r="D4419" s="1" t="n">
        <v>45</v>
      </c>
      <c r="E4419" s="1" t="n">
        <v>45</v>
      </c>
      <c r="F4419" s="1" t="n">
        <v>40</v>
      </c>
      <c r="G4419" s="1" t="n">
        <v>35</v>
      </c>
      <c r="H4419" s="1" t="n">
        <v>35</v>
      </c>
      <c r="I4419" s="1" t="str">
        <f aca="false">B4419&amp;"|"&amp;C4419</f>
        <v>Light Industrial/Warehouse Shell Buildings|Low Cost</v>
      </c>
      <c r="J4419" s="1" t="s">
        <v>1602</v>
      </c>
    </row>
    <row r="4420" customFormat="false" ht="12" hidden="false" customHeight="true" outlineLevel="0" collapsed="false">
      <c r="B4420" s="1" t="s">
        <v>856</v>
      </c>
      <c r="C4420" s="1" t="s">
        <v>567</v>
      </c>
      <c r="D4420" s="1" t="n">
        <v>45</v>
      </c>
      <c r="E4420" s="1" t="n">
        <v>45</v>
      </c>
      <c r="F4420" s="1" t="n">
        <v>40</v>
      </c>
      <c r="G4420" s="1" t="n">
        <v>35</v>
      </c>
      <c r="H4420" s="1" t="n">
        <v>35</v>
      </c>
      <c r="I4420" s="1" t="str">
        <f aca="false">B4420&amp;"|"&amp;C4420</f>
        <v>Light Industrial/Warehouse Shell Buildings|Cheap</v>
      </c>
      <c r="J4420" s="1" t="s">
        <v>1602</v>
      </c>
    </row>
    <row r="4421" customFormat="false" ht="12" hidden="false" customHeight="true" outlineLevel="0" collapsed="false">
      <c r="B4421" s="1" t="s">
        <v>859</v>
      </c>
      <c r="C4421" s="1" t="s">
        <v>485</v>
      </c>
      <c r="D4421" s="1" t="n">
        <v>60</v>
      </c>
      <c r="E4421" s="1" t="n">
        <v>60</v>
      </c>
      <c r="F4421" s="1" t="n">
        <v>55</v>
      </c>
      <c r="G4421" s="1" t="n">
        <v>50</v>
      </c>
      <c r="H4421" s="1" t="n">
        <v>50</v>
      </c>
      <c r="I4421" s="1" t="str">
        <f aca="false">B4421&amp;"|"&amp;C4421</f>
        <v>Office Buildings|Excellent</v>
      </c>
      <c r="J4421" s="1" t="s">
        <v>1697</v>
      </c>
    </row>
    <row r="4422" customFormat="false" ht="12" hidden="false" customHeight="true" outlineLevel="0" collapsed="false">
      <c r="B4422" s="1" t="s">
        <v>859</v>
      </c>
      <c r="C4422" s="1" t="s">
        <v>483</v>
      </c>
      <c r="D4422" s="1" t="n">
        <v>60</v>
      </c>
      <c r="E4422" s="1" t="n">
        <v>60</v>
      </c>
      <c r="F4422" s="1" t="n">
        <v>55</v>
      </c>
      <c r="G4422" s="1" t="n">
        <v>50</v>
      </c>
      <c r="H4422" s="1" t="n">
        <v>50</v>
      </c>
      <c r="I4422" s="1" t="str">
        <f aca="false">B4422&amp;"|"&amp;C4422</f>
        <v>Office Buildings|Good</v>
      </c>
      <c r="J4422" s="1" t="s">
        <v>1697</v>
      </c>
    </row>
    <row r="4423" customFormat="false" ht="12" hidden="false" customHeight="true" outlineLevel="0" collapsed="false">
      <c r="B4423" s="1" t="s">
        <v>859</v>
      </c>
      <c r="C4423" s="1" t="s">
        <v>279</v>
      </c>
      <c r="D4423" s="1" t="n">
        <v>55</v>
      </c>
      <c r="E4423" s="1" t="n">
        <v>55</v>
      </c>
      <c r="F4423" s="1" t="n">
        <v>50</v>
      </c>
      <c r="G4423" s="1" t="n">
        <v>45</v>
      </c>
      <c r="H4423" s="1" t="n">
        <v>45</v>
      </c>
      <c r="I4423" s="1" t="str">
        <f aca="false">B4423&amp;"|"&amp;C4423</f>
        <v>Office Buildings|Average</v>
      </c>
      <c r="J4423" s="1" t="s">
        <v>1598</v>
      </c>
    </row>
    <row r="4424" customFormat="false" ht="12" hidden="false" customHeight="true" outlineLevel="0" collapsed="false">
      <c r="B4424" s="1" t="s">
        <v>859</v>
      </c>
      <c r="C4424" s="1" t="s">
        <v>480</v>
      </c>
      <c r="D4424" s="1" t="n">
        <v>50</v>
      </c>
      <c r="E4424" s="1" t="n">
        <v>50</v>
      </c>
      <c r="F4424" s="1" t="n">
        <v>45</v>
      </c>
      <c r="G4424" s="1" t="n">
        <v>40</v>
      </c>
      <c r="H4424" s="1" t="n">
        <v>40</v>
      </c>
      <c r="I4424" s="1" t="str">
        <f aca="false">B4424&amp;"|"&amp;C4424</f>
        <v>Office Buildings|Low Cost</v>
      </c>
      <c r="J4424" s="1" t="s">
        <v>1602</v>
      </c>
    </row>
    <row r="4425" customFormat="false" ht="12" hidden="false" customHeight="true" outlineLevel="0" collapsed="false">
      <c r="B4425" s="1" t="s">
        <v>862</v>
      </c>
      <c r="C4425" s="1" t="s">
        <v>485</v>
      </c>
      <c r="D4425" s="1" t="n">
        <v>60</v>
      </c>
      <c r="E4425" s="1" t="n">
        <v>60</v>
      </c>
      <c r="F4425" s="1" t="n">
        <v>55</v>
      </c>
      <c r="G4425" s="1" t="n">
        <v>50</v>
      </c>
      <c r="H4425" s="1" t="n">
        <v>50</v>
      </c>
      <c r="I4425" s="1" t="str">
        <f aca="false">B4425&amp;"|"&amp;C4425</f>
        <v>Atriums/Vestibules|Excellent</v>
      </c>
      <c r="J4425" s="1" t="s">
        <v>1698</v>
      </c>
    </row>
    <row r="4426" customFormat="false" ht="12" hidden="false" customHeight="true" outlineLevel="0" collapsed="false">
      <c r="B4426" s="1" t="s">
        <v>862</v>
      </c>
      <c r="C4426" s="1" t="s">
        <v>483</v>
      </c>
      <c r="D4426" s="1" t="n">
        <v>60</v>
      </c>
      <c r="E4426" s="1" t="n">
        <v>60</v>
      </c>
      <c r="F4426" s="1" t="n">
        <v>55</v>
      </c>
      <c r="G4426" s="1" t="n">
        <v>50</v>
      </c>
      <c r="H4426" s="1" t="n">
        <v>50</v>
      </c>
      <c r="I4426" s="1" t="str">
        <f aca="false">B4426&amp;"|"&amp;C4426</f>
        <v>Atriums/Vestibules|Good</v>
      </c>
      <c r="J4426" s="1" t="s">
        <v>1698</v>
      </c>
    </row>
    <row r="4427" customFormat="false" ht="12" hidden="false" customHeight="true" outlineLevel="0" collapsed="false">
      <c r="B4427" s="1" t="s">
        <v>862</v>
      </c>
      <c r="C4427" s="1" t="s">
        <v>279</v>
      </c>
      <c r="D4427" s="1" t="n">
        <v>55</v>
      </c>
      <c r="E4427" s="1" t="n">
        <v>55</v>
      </c>
      <c r="F4427" s="1" t="n">
        <v>50</v>
      </c>
      <c r="G4427" s="1" t="n">
        <v>45</v>
      </c>
      <c r="H4427" s="1" t="n">
        <v>45</v>
      </c>
      <c r="I4427" s="1" t="str">
        <f aca="false">B4427&amp;"|"&amp;C4427</f>
        <v>Atriums/Vestibules|Average</v>
      </c>
      <c r="J4427" s="1" t="s">
        <v>1598</v>
      </c>
    </row>
    <row r="4428" customFormat="false" ht="12" hidden="false" customHeight="true" outlineLevel="0" collapsed="false">
      <c r="B4428" s="1" t="s">
        <v>862</v>
      </c>
      <c r="C4428" s="1" t="s">
        <v>480</v>
      </c>
      <c r="D4428" s="1" t="n">
        <v>55</v>
      </c>
      <c r="E4428" s="1" t="n">
        <v>55</v>
      </c>
      <c r="F4428" s="1" t="n">
        <v>50</v>
      </c>
      <c r="G4428" s="1" t="n">
        <v>45</v>
      </c>
      <c r="H4428" s="1" t="n">
        <v>45</v>
      </c>
      <c r="I4428" s="1" t="str">
        <f aca="false">B4428&amp;"|"&amp;C4428</f>
        <v>Atriums/Vestibules|Low Cost</v>
      </c>
      <c r="J4428" s="1" t="s">
        <v>1598</v>
      </c>
    </row>
    <row r="4429" customFormat="false" ht="12" hidden="false" customHeight="true" outlineLevel="0" collapsed="false">
      <c r="B4429" s="1" t="s">
        <v>862</v>
      </c>
      <c r="C4429" s="1" t="s">
        <v>567</v>
      </c>
      <c r="D4429" s="1" t="n">
        <v>55</v>
      </c>
      <c r="E4429" s="1" t="n">
        <v>55</v>
      </c>
      <c r="F4429" s="1" t="n">
        <v>50</v>
      </c>
      <c r="G4429" s="1" t="n">
        <v>45</v>
      </c>
      <c r="H4429" s="1" t="n">
        <v>45</v>
      </c>
      <c r="I4429" s="1" t="str">
        <f aca="false">B4429&amp;"|"&amp;C4429</f>
        <v>Atriums/Vestibules|Cheap</v>
      </c>
      <c r="J4429" s="1" t="s">
        <v>1598</v>
      </c>
    </row>
    <row r="4430" customFormat="false" ht="12" hidden="false" customHeight="true" outlineLevel="0" collapsed="false">
      <c r="B4430" s="1" t="s">
        <v>865</v>
      </c>
      <c r="C4430" s="1" t="s">
        <v>485</v>
      </c>
      <c r="D4430" s="1" t="n">
        <v>60</v>
      </c>
      <c r="E4430" s="1" t="n">
        <v>60</v>
      </c>
      <c r="I4430" s="1" t="str">
        <f aca="false">B4430&amp;"|"&amp;C4430</f>
        <v>Parking Levels (Intermediate/Under Building)|Excellent</v>
      </c>
      <c r="J4430" s="1" t="s">
        <v>1699</v>
      </c>
    </row>
    <row r="4431" customFormat="false" ht="12" hidden="false" customHeight="true" outlineLevel="0" collapsed="false">
      <c r="B4431" s="1" t="s">
        <v>865</v>
      </c>
      <c r="C4431" s="1" t="s">
        <v>483</v>
      </c>
      <c r="D4431" s="1" t="n">
        <v>55</v>
      </c>
      <c r="E4431" s="1" t="n">
        <v>55</v>
      </c>
      <c r="F4431" s="1" t="n">
        <v>50</v>
      </c>
      <c r="G4431" s="1" t="n">
        <v>50</v>
      </c>
      <c r="H4431" s="1" t="n">
        <v>50</v>
      </c>
      <c r="I4431" s="1" t="str">
        <f aca="false">B4431&amp;"|"&amp;C4431</f>
        <v>Parking Levels (Intermediate/Under Building)|Good</v>
      </c>
      <c r="J4431" s="1" t="s">
        <v>1600</v>
      </c>
    </row>
    <row r="4432" customFormat="false" ht="12" hidden="false" customHeight="true" outlineLevel="0" collapsed="false">
      <c r="B4432" s="1" t="s">
        <v>865</v>
      </c>
      <c r="C4432" s="1" t="s">
        <v>279</v>
      </c>
      <c r="D4432" s="1" t="n">
        <v>50</v>
      </c>
      <c r="E4432" s="1" t="n">
        <v>50</v>
      </c>
      <c r="F4432" s="1" t="n">
        <v>45</v>
      </c>
      <c r="G4432" s="1" t="n">
        <v>45</v>
      </c>
      <c r="H4432" s="1" t="n">
        <v>45</v>
      </c>
      <c r="I4432" s="1" t="str">
        <f aca="false">B4432&amp;"|"&amp;C4432</f>
        <v>Parking Levels (Intermediate/Under Building)|Average</v>
      </c>
      <c r="J4432" s="1" t="s">
        <v>1598</v>
      </c>
    </row>
    <row r="4433" customFormat="false" ht="12" hidden="false" customHeight="true" outlineLevel="0" collapsed="false">
      <c r="B4433" s="1" t="s">
        <v>865</v>
      </c>
      <c r="C4433" s="1" t="s">
        <v>480</v>
      </c>
      <c r="D4433" s="1" t="n">
        <v>30</v>
      </c>
      <c r="E4433" s="1" t="n">
        <v>30</v>
      </c>
      <c r="F4433" s="1" t="n">
        <v>25</v>
      </c>
      <c r="G4433" s="1" t="n">
        <v>25</v>
      </c>
      <c r="H4433" s="1" t="n">
        <v>25</v>
      </c>
      <c r="I4433" s="1" t="str">
        <f aca="false">B4433&amp;"|"&amp;C4433</f>
        <v>Parking Levels (Intermediate/Under Building)|Low Cost</v>
      </c>
      <c r="J4433" s="1" t="s">
        <v>1602</v>
      </c>
    </row>
    <row r="4434" customFormat="false" ht="12" hidden="false" customHeight="true" outlineLevel="0" collapsed="false">
      <c r="B4434" s="1" t="s">
        <v>865</v>
      </c>
      <c r="C4434" s="1" t="s">
        <v>567</v>
      </c>
      <c r="D4434" s="1" t="n">
        <v>25</v>
      </c>
      <c r="E4434" s="1" t="n">
        <v>25</v>
      </c>
      <c r="F4434" s="1" t="n">
        <v>20</v>
      </c>
      <c r="G4434" s="1" t="n">
        <v>20</v>
      </c>
      <c r="H4434" s="1" t="n">
        <v>20</v>
      </c>
      <c r="I4434" s="1" t="str">
        <f aca="false">B4434&amp;"|"&amp;C4434</f>
        <v>Parking Levels (Intermediate/Under Building)|Cheap</v>
      </c>
      <c r="J4434" s="1" t="s">
        <v>1609</v>
      </c>
    </row>
    <row r="4435" customFormat="false" ht="12" hidden="false" customHeight="true" outlineLevel="0" collapsed="false">
      <c r="B4435" s="1" t="s">
        <v>867</v>
      </c>
      <c r="C4435" s="1" t="s">
        <v>485</v>
      </c>
      <c r="D4435" s="1" t="n">
        <v>60</v>
      </c>
      <c r="E4435" s="1" t="n">
        <v>60</v>
      </c>
      <c r="F4435" s="1" t="n">
        <v>55</v>
      </c>
      <c r="G4435" s="1" t="n">
        <v>50</v>
      </c>
      <c r="H4435" s="1" t="n">
        <v>50</v>
      </c>
      <c r="I4435" s="1" t="str">
        <f aca="false">B4435&amp;"|"&amp;C4435</f>
        <v>Mechanical Penthouses|Excellent</v>
      </c>
      <c r="J4435" s="1" t="s">
        <v>1697</v>
      </c>
    </row>
    <row r="4436" customFormat="false" ht="12" hidden="false" customHeight="true" outlineLevel="0" collapsed="false">
      <c r="B4436" s="1" t="s">
        <v>867</v>
      </c>
      <c r="C4436" s="1" t="s">
        <v>483</v>
      </c>
      <c r="D4436" s="1" t="n">
        <v>60</v>
      </c>
      <c r="E4436" s="1" t="n">
        <v>60</v>
      </c>
      <c r="F4436" s="1" t="n">
        <v>55</v>
      </c>
      <c r="G4436" s="1" t="n">
        <v>50</v>
      </c>
      <c r="H4436" s="1" t="n">
        <v>50</v>
      </c>
      <c r="I4436" s="1" t="str">
        <f aca="false">B4436&amp;"|"&amp;C4436</f>
        <v>Mechanical Penthouses|Good</v>
      </c>
      <c r="J4436" s="1" t="s">
        <v>1697</v>
      </c>
    </row>
    <row r="4437" customFormat="false" ht="12" hidden="false" customHeight="true" outlineLevel="0" collapsed="false">
      <c r="B4437" s="1" t="s">
        <v>867</v>
      </c>
      <c r="C4437" s="1" t="s">
        <v>279</v>
      </c>
      <c r="D4437" s="1" t="n">
        <v>55</v>
      </c>
      <c r="E4437" s="1" t="n">
        <v>55</v>
      </c>
      <c r="F4437" s="1" t="n">
        <v>50</v>
      </c>
      <c r="G4437" s="1" t="n">
        <v>45</v>
      </c>
      <c r="H4437" s="1" t="n">
        <v>45</v>
      </c>
      <c r="I4437" s="1" t="str">
        <f aca="false">B4437&amp;"|"&amp;C4437</f>
        <v>Mechanical Penthouses|Average</v>
      </c>
      <c r="J4437" s="1" t="s">
        <v>1598</v>
      </c>
    </row>
    <row r="4438" customFormat="false" ht="12" hidden="false" customHeight="true" outlineLevel="0" collapsed="false">
      <c r="B4438" s="1" t="s">
        <v>867</v>
      </c>
      <c r="C4438" s="1" t="s">
        <v>480</v>
      </c>
      <c r="D4438" s="1" t="n">
        <v>50</v>
      </c>
      <c r="E4438" s="1" t="n">
        <v>50</v>
      </c>
      <c r="F4438" s="1" t="n">
        <v>45</v>
      </c>
      <c r="G4438" s="1" t="n">
        <v>40</v>
      </c>
      <c r="H4438" s="1" t="n">
        <v>40</v>
      </c>
      <c r="I4438" s="1" t="str">
        <f aca="false">B4438&amp;"|"&amp;C4438</f>
        <v>Mechanical Penthouses|Low Cost</v>
      </c>
      <c r="J4438" s="1" t="s">
        <v>1602</v>
      </c>
    </row>
    <row r="4439" customFormat="false" ht="12" hidden="false" customHeight="true" outlineLevel="0" collapsed="false">
      <c r="B4439" s="1" t="s">
        <v>870</v>
      </c>
      <c r="C4439" s="1" t="s">
        <v>485</v>
      </c>
      <c r="D4439" s="1" t="n">
        <v>60</v>
      </c>
      <c r="E4439" s="1" t="n">
        <v>60</v>
      </c>
      <c r="F4439" s="1" t="n">
        <v>55</v>
      </c>
      <c r="G4439" s="1" t="n">
        <v>50</v>
      </c>
      <c r="H4439" s="1" t="n">
        <v>50</v>
      </c>
      <c r="I4439" s="1" t="str">
        <f aca="false">B4439&amp;"|"&amp;C4439</f>
        <v>Banks – Central Offices|Excellent</v>
      </c>
      <c r="J4439" s="1" t="s">
        <v>1700</v>
      </c>
    </row>
    <row r="4440" customFormat="false" ht="12" hidden="false" customHeight="true" outlineLevel="0" collapsed="false">
      <c r="B4440" s="1" t="s">
        <v>870</v>
      </c>
      <c r="C4440" s="1" t="s">
        <v>483</v>
      </c>
      <c r="D4440" s="1" t="n">
        <v>60</v>
      </c>
      <c r="E4440" s="1" t="n">
        <v>60</v>
      </c>
      <c r="F4440" s="1" t="n">
        <v>55</v>
      </c>
      <c r="G4440" s="1" t="n">
        <v>50</v>
      </c>
      <c r="H4440" s="1" t="n">
        <v>50</v>
      </c>
      <c r="I4440" s="1" t="str">
        <f aca="false">B4440&amp;"|"&amp;C4440</f>
        <v>Banks – Central Offices|Good</v>
      </c>
      <c r="J4440" s="1" t="s">
        <v>1700</v>
      </c>
    </row>
    <row r="4441" customFormat="false" ht="12" hidden="false" customHeight="true" outlineLevel="0" collapsed="false">
      <c r="B4441" s="1" t="s">
        <v>870</v>
      </c>
      <c r="C4441" s="1" t="s">
        <v>279</v>
      </c>
      <c r="D4441" s="1" t="n">
        <v>55</v>
      </c>
      <c r="E4441" s="1" t="n">
        <v>55</v>
      </c>
      <c r="F4441" s="1" t="n">
        <v>50</v>
      </c>
      <c r="G4441" s="1" t="n">
        <v>45</v>
      </c>
      <c r="H4441" s="1" t="n">
        <v>45</v>
      </c>
      <c r="I4441" s="1" t="str">
        <f aca="false">B4441&amp;"|"&amp;C4441</f>
        <v>Banks – Central Offices|Average</v>
      </c>
      <c r="J4441" s="1" t="s">
        <v>1598</v>
      </c>
    </row>
    <row r="4442" customFormat="false" ht="12" hidden="false" customHeight="true" outlineLevel="0" collapsed="false">
      <c r="B4442" s="1" t="s">
        <v>873</v>
      </c>
      <c r="C4442" s="1" t="s">
        <v>483</v>
      </c>
      <c r="D4442" s="1" t="n">
        <v>55</v>
      </c>
      <c r="E4442" s="1" t="n">
        <v>55</v>
      </c>
      <c r="F4442" s="1" t="n">
        <v>50</v>
      </c>
      <c r="G4442" s="1" t="n">
        <v>45</v>
      </c>
      <c r="H4442" s="1" t="n">
        <v>45</v>
      </c>
      <c r="I4442" s="1" t="str">
        <f aca="false">B4442&amp;"|"&amp;C4442</f>
        <v>Mini-Banks (Walk-Up and Drive-Through)|Good</v>
      </c>
      <c r="J4442" s="1" t="s">
        <v>1701</v>
      </c>
    </row>
    <row r="4443" customFormat="false" ht="12" hidden="false" customHeight="true" outlineLevel="0" collapsed="false">
      <c r="B4443" s="1" t="s">
        <v>873</v>
      </c>
      <c r="C4443" s="1" t="s">
        <v>279</v>
      </c>
      <c r="D4443" s="1" t="n">
        <v>50</v>
      </c>
      <c r="E4443" s="1" t="n">
        <v>50</v>
      </c>
      <c r="F4443" s="1" t="n">
        <v>45</v>
      </c>
      <c r="G4443" s="1" t="n">
        <v>40</v>
      </c>
      <c r="H4443" s="1" t="n">
        <v>40</v>
      </c>
      <c r="I4443" s="1" t="str">
        <f aca="false">B4443&amp;"|"&amp;C4443</f>
        <v>Mini-Banks (Walk-Up and Drive-Through)|Average</v>
      </c>
      <c r="J4443" s="1" t="s">
        <v>1594</v>
      </c>
    </row>
    <row r="4444" customFormat="false" ht="12" hidden="false" customHeight="true" outlineLevel="0" collapsed="false">
      <c r="B4444" s="1" t="s">
        <v>873</v>
      </c>
      <c r="C4444" s="1" t="s">
        <v>485</v>
      </c>
      <c r="D4444" s="1" t="n">
        <v>55</v>
      </c>
      <c r="E4444" s="1" t="n">
        <v>55</v>
      </c>
      <c r="F4444" s="1" t="n">
        <v>50</v>
      </c>
      <c r="G4444" s="1" t="n">
        <v>45</v>
      </c>
      <c r="H4444" s="1" t="n">
        <v>45</v>
      </c>
      <c r="I4444" s="1" t="str">
        <f aca="false">B4444&amp;"|"&amp;C4444</f>
        <v>Mini-Banks (Walk-Up and Drive-Through)|Excellent</v>
      </c>
      <c r="J4444" s="1" t="s">
        <v>1701</v>
      </c>
    </row>
    <row r="4445" customFormat="false" ht="12" hidden="false" customHeight="true" outlineLevel="0" collapsed="false">
      <c r="B4445" s="1" t="s">
        <v>873</v>
      </c>
      <c r="C4445" s="1" t="s">
        <v>480</v>
      </c>
      <c r="D4445" s="1" t="n">
        <v>50</v>
      </c>
      <c r="E4445" s="1" t="n">
        <v>50</v>
      </c>
      <c r="F4445" s="1" t="n">
        <v>45</v>
      </c>
      <c r="G4445" s="1" t="n">
        <v>40</v>
      </c>
      <c r="H4445" s="1" t="n">
        <v>40</v>
      </c>
      <c r="I4445" s="1" t="str">
        <f aca="false">B4445&amp;"|"&amp;C4445</f>
        <v>Mini-Banks (Walk-Up and Drive-Through)|Low Cost</v>
      </c>
      <c r="J4445" s="1" t="s">
        <v>1594</v>
      </c>
    </row>
    <row r="4446" customFormat="false" ht="12" hidden="false" customHeight="true" outlineLevel="0" collapsed="false">
      <c r="B4446" s="1" t="s">
        <v>875</v>
      </c>
      <c r="C4446" s="1" t="s">
        <v>483</v>
      </c>
      <c r="D4446" s="1" t="n">
        <v>60</v>
      </c>
      <c r="E4446" s="1" t="n">
        <v>60</v>
      </c>
      <c r="F4446" s="1" t="n">
        <v>55</v>
      </c>
      <c r="G4446" s="1" t="n">
        <v>50</v>
      </c>
      <c r="H4446" s="1" t="n">
        <v>50</v>
      </c>
      <c r="I4446" s="1" t="str">
        <f aca="false">B4446&amp;"|"&amp;C4446</f>
        <v>Banks, Branch|Good</v>
      </c>
      <c r="J4446" s="1" t="s">
        <v>1700</v>
      </c>
    </row>
    <row r="4447" customFormat="false" ht="12" hidden="false" customHeight="true" outlineLevel="0" collapsed="false">
      <c r="B4447" s="1" t="s">
        <v>875</v>
      </c>
      <c r="C4447" s="1" t="s">
        <v>279</v>
      </c>
      <c r="D4447" s="1" t="n">
        <v>55</v>
      </c>
      <c r="E4447" s="1" t="n">
        <v>55</v>
      </c>
      <c r="F4447" s="1" t="n">
        <v>50</v>
      </c>
      <c r="G4447" s="1" t="n">
        <v>45</v>
      </c>
      <c r="H4447" s="1" t="n">
        <v>45</v>
      </c>
      <c r="I4447" s="1" t="str">
        <f aca="false">B4447&amp;"|"&amp;C4447</f>
        <v>Banks, Branch|Average</v>
      </c>
      <c r="J4447" s="1" t="s">
        <v>1598</v>
      </c>
    </row>
    <row r="4448" customFormat="false" ht="12" hidden="false" customHeight="true" outlineLevel="0" collapsed="false">
      <c r="B4448" s="1" t="s">
        <v>875</v>
      </c>
      <c r="C4448" s="1" t="s">
        <v>480</v>
      </c>
      <c r="D4448" s="1" t="n">
        <v>50</v>
      </c>
      <c r="E4448" s="1" t="n">
        <v>50</v>
      </c>
      <c r="F4448" s="1" t="n">
        <v>45</v>
      </c>
      <c r="G4448" s="1" t="n">
        <v>40</v>
      </c>
      <c r="H4448" s="1" t="n">
        <v>40</v>
      </c>
      <c r="I4448" s="1" t="str">
        <f aca="false">B4448&amp;"|"&amp;C4448</f>
        <v>Banks, Branch|Low Cost</v>
      </c>
      <c r="J4448" s="1" t="s">
        <v>1602</v>
      </c>
    </row>
    <row r="4449" customFormat="false" ht="12" hidden="false" customHeight="true" outlineLevel="0" collapsed="false">
      <c r="B4449" s="1" t="s">
        <v>875</v>
      </c>
      <c r="C4449" s="1" t="s">
        <v>485</v>
      </c>
      <c r="D4449" s="1" t="n">
        <v>60</v>
      </c>
      <c r="E4449" s="1" t="n">
        <v>60</v>
      </c>
      <c r="F4449" s="1" t="n">
        <v>55</v>
      </c>
      <c r="G4449" s="1" t="n">
        <v>50</v>
      </c>
      <c r="H4449" s="1" t="n">
        <v>50</v>
      </c>
      <c r="I4449" s="1" t="str">
        <f aca="false">B4449&amp;"|"&amp;C4449</f>
        <v>Banks, Branch|Excellent</v>
      </c>
      <c r="J4449" s="1" t="s">
        <v>1700</v>
      </c>
    </row>
    <row r="4450" customFormat="false" ht="12" hidden="false" customHeight="true" outlineLevel="0" collapsed="false">
      <c r="B4450" s="1" t="s">
        <v>878</v>
      </c>
      <c r="C4450" s="1" t="s">
        <v>485</v>
      </c>
      <c r="D4450" s="1" t="n">
        <v>50</v>
      </c>
      <c r="E4450" s="1" t="n">
        <v>50</v>
      </c>
      <c r="F4450" s="1" t="n">
        <v>45</v>
      </c>
      <c r="G4450" s="1" t="n">
        <v>40</v>
      </c>
      <c r="H4450" s="1" t="n">
        <v>40</v>
      </c>
      <c r="I4450" s="1" t="str">
        <f aca="false">B4450&amp;"|"&amp;C4450</f>
        <v>Medical Office Buildings|Excellent</v>
      </c>
      <c r="J4450" s="1" t="s">
        <v>1702</v>
      </c>
    </row>
    <row r="4451" customFormat="false" ht="12" hidden="false" customHeight="true" outlineLevel="0" collapsed="false">
      <c r="B4451" s="1" t="s">
        <v>878</v>
      </c>
      <c r="C4451" s="1" t="s">
        <v>483</v>
      </c>
      <c r="D4451" s="1" t="n">
        <v>50</v>
      </c>
      <c r="E4451" s="1" t="n">
        <v>50</v>
      </c>
      <c r="F4451" s="1" t="n">
        <v>45</v>
      </c>
      <c r="G4451" s="1" t="n">
        <v>40</v>
      </c>
      <c r="H4451" s="1" t="n">
        <v>40</v>
      </c>
      <c r="I4451" s="1" t="str">
        <f aca="false">B4451&amp;"|"&amp;C4451</f>
        <v>Medical Office Buildings|Good</v>
      </c>
      <c r="J4451" s="1" t="s">
        <v>1702</v>
      </c>
    </row>
    <row r="4452" customFormat="false" ht="12" hidden="false" customHeight="true" outlineLevel="0" collapsed="false">
      <c r="B4452" s="1" t="s">
        <v>878</v>
      </c>
      <c r="C4452" s="1" t="s">
        <v>279</v>
      </c>
      <c r="D4452" s="1" t="n">
        <v>45</v>
      </c>
      <c r="E4452" s="1" t="n">
        <v>45</v>
      </c>
      <c r="F4452" s="1" t="n">
        <v>40</v>
      </c>
      <c r="G4452" s="1" t="n">
        <v>35</v>
      </c>
      <c r="H4452" s="1" t="n">
        <v>35</v>
      </c>
      <c r="I4452" s="1" t="str">
        <f aca="false">B4452&amp;"|"&amp;C4452</f>
        <v>Medical Office Buildings|Average</v>
      </c>
      <c r="J4452" s="1" t="s">
        <v>1594</v>
      </c>
    </row>
    <row r="4453" customFormat="false" ht="12" hidden="false" customHeight="true" outlineLevel="0" collapsed="false">
      <c r="B4453" s="1" t="s">
        <v>878</v>
      </c>
      <c r="C4453" s="1" t="s">
        <v>480</v>
      </c>
      <c r="D4453" s="1" t="n">
        <v>45</v>
      </c>
      <c r="E4453" s="1" t="n">
        <v>45</v>
      </c>
      <c r="F4453" s="1" t="n">
        <v>40</v>
      </c>
      <c r="G4453" s="1" t="n">
        <v>35</v>
      </c>
      <c r="H4453" s="1" t="n">
        <v>35</v>
      </c>
      <c r="I4453" s="1" t="str">
        <f aca="false">B4453&amp;"|"&amp;C4453</f>
        <v>Medical Office Buildings|Low Cost</v>
      </c>
      <c r="J4453" s="1" t="s">
        <v>1594</v>
      </c>
    </row>
    <row r="4454" customFormat="false" ht="12" hidden="false" customHeight="true" outlineLevel="0" collapsed="false">
      <c r="B4454" s="1" t="s">
        <v>881</v>
      </c>
      <c r="C4454" s="1" t="s">
        <v>485</v>
      </c>
      <c r="F4454" s="1" t="n">
        <v>45</v>
      </c>
      <c r="G4454" s="1" t="n">
        <v>40</v>
      </c>
      <c r="H4454" s="1" t="n">
        <v>40</v>
      </c>
      <c r="I4454" s="1" t="str">
        <f aca="false">B4454&amp;"|"&amp;C4454</f>
        <v>Dental Clinics|Excellent</v>
      </c>
      <c r="J4454" s="1" t="s">
        <v>1703</v>
      </c>
    </row>
    <row r="4455" customFormat="false" ht="12" hidden="false" customHeight="true" outlineLevel="0" collapsed="false">
      <c r="B4455" s="1" t="s">
        <v>881</v>
      </c>
      <c r="C4455" s="1" t="s">
        <v>483</v>
      </c>
      <c r="F4455" s="1" t="n">
        <v>45</v>
      </c>
      <c r="G4455" s="1" t="n">
        <v>40</v>
      </c>
      <c r="H4455" s="1" t="n">
        <v>40</v>
      </c>
      <c r="I4455" s="1" t="str">
        <f aca="false">B4455&amp;"|"&amp;C4455</f>
        <v>Dental Clinics|Good</v>
      </c>
      <c r="J4455" s="1" t="s">
        <v>1703</v>
      </c>
    </row>
    <row r="4456" customFormat="false" ht="12" hidden="false" customHeight="true" outlineLevel="0" collapsed="false">
      <c r="B4456" s="1" t="s">
        <v>881</v>
      </c>
      <c r="C4456" s="1" t="s">
        <v>279</v>
      </c>
      <c r="F4456" s="1" t="n">
        <v>40</v>
      </c>
      <c r="G4456" s="1" t="n">
        <v>35</v>
      </c>
      <c r="H4456" s="1" t="n">
        <v>35</v>
      </c>
      <c r="I4456" s="1" t="str">
        <f aca="false">B4456&amp;"|"&amp;C4456</f>
        <v>Dental Clinics|Average</v>
      </c>
      <c r="J4456" s="1" t="s">
        <v>1594</v>
      </c>
    </row>
    <row r="4457" customFormat="false" ht="12" hidden="false" customHeight="true" outlineLevel="0" collapsed="false">
      <c r="B4457" s="1" t="s">
        <v>881</v>
      </c>
      <c r="C4457" s="1" t="s">
        <v>480</v>
      </c>
      <c r="F4457" s="1" t="n">
        <v>40</v>
      </c>
      <c r="G4457" s="1" t="n">
        <v>35</v>
      </c>
      <c r="H4457" s="1" t="n">
        <v>35</v>
      </c>
      <c r="I4457" s="1" t="str">
        <f aca="false">B4457&amp;"|"&amp;C4457</f>
        <v>Dental Clinics|Low Cost</v>
      </c>
      <c r="J4457" s="1" t="s">
        <v>1594</v>
      </c>
    </row>
    <row r="4458" customFormat="false" ht="12" hidden="false" customHeight="true" outlineLevel="0" collapsed="false">
      <c r="B4458" s="1" t="s">
        <v>884</v>
      </c>
      <c r="C4458" s="1" t="s">
        <v>483</v>
      </c>
      <c r="D4458" s="1" t="n">
        <v>50</v>
      </c>
      <c r="E4458" s="1" t="n">
        <v>50</v>
      </c>
      <c r="F4458" s="1" t="n">
        <v>40</v>
      </c>
      <c r="G4458" s="1" t="n">
        <v>35</v>
      </c>
      <c r="H4458" s="1" t="n">
        <v>35</v>
      </c>
      <c r="I4458" s="1" t="str">
        <f aca="false">B4458&amp;"|"&amp;C4458</f>
        <v>Urgent Care Clinics|Good</v>
      </c>
      <c r="J4458" s="1" t="s">
        <v>1704</v>
      </c>
    </row>
    <row r="4459" customFormat="false" ht="12" hidden="false" customHeight="true" outlineLevel="0" collapsed="false">
      <c r="B4459" s="1" t="s">
        <v>884</v>
      </c>
      <c r="C4459" s="1" t="s">
        <v>279</v>
      </c>
      <c r="D4459" s="1" t="n">
        <v>45</v>
      </c>
      <c r="E4459" s="1" t="n">
        <v>45</v>
      </c>
      <c r="F4459" s="1" t="n">
        <v>35</v>
      </c>
      <c r="G4459" s="1" t="n">
        <v>30</v>
      </c>
      <c r="H4459" s="1" t="n">
        <v>30</v>
      </c>
      <c r="I4459" s="1" t="str">
        <f aca="false">B4459&amp;"|"&amp;C4459</f>
        <v>Urgent Care Clinics|Average</v>
      </c>
      <c r="J4459" s="1" t="s">
        <v>1598</v>
      </c>
    </row>
    <row r="4460" customFormat="false" ht="12" hidden="false" customHeight="true" outlineLevel="0" collapsed="false">
      <c r="B4460" s="1" t="s">
        <v>884</v>
      </c>
      <c r="C4460" s="1" t="s">
        <v>485</v>
      </c>
      <c r="D4460" s="1" t="n">
        <v>50</v>
      </c>
      <c r="E4460" s="1" t="n">
        <v>50</v>
      </c>
      <c r="F4460" s="1" t="n">
        <v>40</v>
      </c>
      <c r="G4460" s="1" t="n">
        <v>35</v>
      </c>
      <c r="H4460" s="1" t="n">
        <v>35</v>
      </c>
      <c r="I4460" s="1" t="str">
        <f aca="false">B4460&amp;"|"&amp;C4460</f>
        <v>Urgent Care Clinics|Excellent</v>
      </c>
      <c r="J4460" s="1" t="s">
        <v>1704</v>
      </c>
    </row>
    <row r="4461" customFormat="false" ht="12" hidden="false" customHeight="true" outlineLevel="0" collapsed="false">
      <c r="B4461" s="1" t="s">
        <v>886</v>
      </c>
      <c r="C4461" s="1" t="s">
        <v>485</v>
      </c>
      <c r="D4461" s="1" t="n">
        <v>50</v>
      </c>
      <c r="E4461" s="1" t="n">
        <v>50</v>
      </c>
      <c r="F4461" s="1" t="n">
        <v>45</v>
      </c>
      <c r="G4461" s="1" t="n">
        <v>40</v>
      </c>
      <c r="I4461" s="1" t="str">
        <f aca="false">B4461&amp;"|"&amp;C4461</f>
        <v>General Hospitals|Excellent</v>
      </c>
      <c r="J4461" s="1" t="s">
        <v>1705</v>
      </c>
    </row>
    <row r="4462" customFormat="false" ht="12" hidden="false" customHeight="true" outlineLevel="0" collapsed="false">
      <c r="B4462" s="1" t="s">
        <v>886</v>
      </c>
      <c r="C4462" s="1" t="s">
        <v>483</v>
      </c>
      <c r="D4462" s="1" t="n">
        <v>50</v>
      </c>
      <c r="E4462" s="1" t="n">
        <v>50</v>
      </c>
      <c r="F4462" s="1" t="n">
        <v>45</v>
      </c>
      <c r="G4462" s="1" t="n">
        <v>40</v>
      </c>
      <c r="I4462" s="1" t="str">
        <f aca="false">B4462&amp;"|"&amp;C4462</f>
        <v>General Hospitals|Good</v>
      </c>
      <c r="J4462" s="1" t="s">
        <v>1705</v>
      </c>
    </row>
    <row r="4463" customFormat="false" ht="12" hidden="false" customHeight="true" outlineLevel="0" collapsed="false">
      <c r="B4463" s="1" t="s">
        <v>886</v>
      </c>
      <c r="C4463" s="1" t="s">
        <v>279</v>
      </c>
      <c r="D4463" s="1" t="n">
        <v>45</v>
      </c>
      <c r="E4463" s="1" t="n">
        <v>45</v>
      </c>
      <c r="F4463" s="1" t="n">
        <v>40</v>
      </c>
      <c r="G4463" s="1" t="n">
        <v>35</v>
      </c>
      <c r="H4463" s="1" t="n">
        <v>35</v>
      </c>
      <c r="I4463" s="1" t="str">
        <f aca="false">B4463&amp;"|"&amp;C4463</f>
        <v>General Hospitals|Average</v>
      </c>
      <c r="J4463" s="1" t="s">
        <v>1594</v>
      </c>
    </row>
    <row r="4464" customFormat="false" ht="12" hidden="false" customHeight="true" outlineLevel="0" collapsed="false">
      <c r="B4464" s="1" t="s">
        <v>886</v>
      </c>
      <c r="C4464" s="1" t="s">
        <v>480</v>
      </c>
      <c r="D4464" s="1" t="n">
        <v>45</v>
      </c>
      <c r="E4464" s="1" t="n">
        <v>45</v>
      </c>
      <c r="F4464" s="1" t="n">
        <v>40</v>
      </c>
      <c r="G4464" s="1" t="n">
        <v>35</v>
      </c>
      <c r="H4464" s="1" t="n">
        <v>35</v>
      </c>
      <c r="I4464" s="1" t="str">
        <f aca="false">B4464&amp;"|"&amp;C4464</f>
        <v>General Hospitals|Low Cost</v>
      </c>
      <c r="J4464" s="1" t="s">
        <v>1594</v>
      </c>
    </row>
    <row r="4465" customFormat="false" ht="12" hidden="false" customHeight="true" outlineLevel="0" collapsed="false">
      <c r="B4465" s="1" t="s">
        <v>889</v>
      </c>
      <c r="C4465" s="1" t="s">
        <v>483</v>
      </c>
      <c r="D4465" s="1" t="n">
        <v>50</v>
      </c>
      <c r="E4465" s="1" t="n">
        <v>50</v>
      </c>
      <c r="F4465" s="1" t="n">
        <v>45</v>
      </c>
      <c r="G4465" s="1" t="n">
        <v>40</v>
      </c>
      <c r="I4465" s="1" t="str">
        <f aca="false">B4465&amp;"|"&amp;C4465</f>
        <v>Outpatient (Surgical) Centers|Good</v>
      </c>
      <c r="J4465" s="1" t="s">
        <v>1706</v>
      </c>
    </row>
    <row r="4466" customFormat="false" ht="12" hidden="false" customHeight="true" outlineLevel="0" collapsed="false">
      <c r="B4466" s="1" t="s">
        <v>889</v>
      </c>
      <c r="C4466" s="1" t="s">
        <v>279</v>
      </c>
      <c r="D4466" s="1" t="n">
        <v>45</v>
      </c>
      <c r="E4466" s="1" t="n">
        <v>45</v>
      </c>
      <c r="F4466" s="1" t="n">
        <v>40</v>
      </c>
      <c r="G4466" s="1" t="n">
        <v>35</v>
      </c>
      <c r="H4466" s="1" t="n">
        <v>35</v>
      </c>
      <c r="I4466" s="1" t="str">
        <f aca="false">B4466&amp;"|"&amp;C4466</f>
        <v>Outpatient (Surgical) Centers|Average</v>
      </c>
      <c r="J4466" s="1" t="s">
        <v>1594</v>
      </c>
    </row>
    <row r="4467" customFormat="false" ht="12" hidden="false" customHeight="true" outlineLevel="0" collapsed="false">
      <c r="B4467" s="1" t="s">
        <v>889</v>
      </c>
      <c r="C4467" s="1" t="s">
        <v>485</v>
      </c>
      <c r="D4467" s="1" t="n">
        <v>50</v>
      </c>
      <c r="E4467" s="1" t="n">
        <v>50</v>
      </c>
      <c r="F4467" s="1" t="n">
        <v>45</v>
      </c>
      <c r="G4467" s="1" t="n">
        <v>40</v>
      </c>
      <c r="I4467" s="1" t="str">
        <f aca="false">B4467&amp;"|"&amp;C4467</f>
        <v>Outpatient (Surgical) Centers|Excellent</v>
      </c>
      <c r="J4467" s="1" t="s">
        <v>1706</v>
      </c>
    </row>
    <row r="4468" customFormat="false" ht="12" hidden="false" customHeight="true" outlineLevel="0" collapsed="false">
      <c r="B4468" s="1" t="s">
        <v>889</v>
      </c>
      <c r="C4468" s="1" t="s">
        <v>555</v>
      </c>
      <c r="D4468" s="1" t="n">
        <v>45</v>
      </c>
      <c r="E4468" s="1" t="n">
        <v>45</v>
      </c>
      <c r="F4468" s="1" t="n">
        <v>40</v>
      </c>
      <c r="G4468" s="1" t="n">
        <v>35</v>
      </c>
      <c r="H4468" s="1" t="n">
        <v>35</v>
      </c>
      <c r="I4468" s="1" t="str">
        <f aca="false">B4468&amp;"|"&amp;C4468</f>
        <v>Outpatient (Surgical) Centers|Fair</v>
      </c>
      <c r="J4468" s="1" t="s">
        <v>1594</v>
      </c>
    </row>
    <row r="4469" customFormat="false" ht="12" hidden="false" customHeight="true" outlineLevel="0" collapsed="false">
      <c r="B4469" s="1" t="s">
        <v>889</v>
      </c>
      <c r="C4469" s="1" t="s">
        <v>480</v>
      </c>
      <c r="D4469" s="1" t="n">
        <v>45</v>
      </c>
      <c r="E4469" s="1" t="n">
        <v>45</v>
      </c>
      <c r="F4469" s="1" t="n">
        <v>40</v>
      </c>
      <c r="G4469" s="1" t="n">
        <v>35</v>
      </c>
      <c r="H4469" s="1" t="n">
        <v>35</v>
      </c>
      <c r="I4469" s="1" t="str">
        <f aca="false">B4469&amp;"|"&amp;C4469</f>
        <v>Outpatient (Surgical) Centers|Low Cost</v>
      </c>
      <c r="J4469" s="1" t="s">
        <v>1594</v>
      </c>
    </row>
    <row r="4470" customFormat="false" ht="12" hidden="false" customHeight="true" outlineLevel="0" collapsed="false">
      <c r="B4470" s="1" t="s">
        <v>892</v>
      </c>
      <c r="C4470" s="1" t="s">
        <v>483</v>
      </c>
      <c r="D4470" s="1" t="n">
        <v>50</v>
      </c>
      <c r="E4470" s="1" t="n">
        <v>50</v>
      </c>
      <c r="F4470" s="1" t="n">
        <v>45</v>
      </c>
      <c r="G4470" s="1" t="n">
        <v>40</v>
      </c>
      <c r="I4470" s="1" t="str">
        <f aca="false">B4470&amp;"|"&amp;C4470</f>
        <v>Nursing Homes (Convalescent Hospitals)|Good</v>
      </c>
      <c r="J4470" s="1" t="s">
        <v>1707</v>
      </c>
    </row>
    <row r="4471" customFormat="false" ht="12" hidden="false" customHeight="true" outlineLevel="0" collapsed="false">
      <c r="B4471" s="1" t="s">
        <v>892</v>
      </c>
      <c r="C4471" s="1" t="s">
        <v>279</v>
      </c>
      <c r="D4471" s="1" t="n">
        <v>45</v>
      </c>
      <c r="E4471" s="1" t="n">
        <v>45</v>
      </c>
      <c r="F4471" s="1" t="n">
        <v>40</v>
      </c>
      <c r="G4471" s="1" t="n">
        <v>35</v>
      </c>
      <c r="H4471" s="1" t="n">
        <v>35</v>
      </c>
      <c r="I4471" s="1" t="str">
        <f aca="false">B4471&amp;"|"&amp;C4471</f>
        <v>Nursing Homes (Convalescent Hospitals)|Average</v>
      </c>
      <c r="J4471" s="1" t="s">
        <v>1594</v>
      </c>
    </row>
    <row r="4472" customFormat="false" ht="12" hidden="false" customHeight="true" outlineLevel="0" collapsed="false">
      <c r="B4472" s="1" t="s">
        <v>892</v>
      </c>
      <c r="C4472" s="1" t="s">
        <v>485</v>
      </c>
      <c r="D4472" s="1" t="n">
        <v>50</v>
      </c>
      <c r="E4472" s="1" t="n">
        <v>50</v>
      </c>
      <c r="F4472" s="1" t="n">
        <v>45</v>
      </c>
      <c r="G4472" s="1" t="n">
        <v>40</v>
      </c>
      <c r="I4472" s="1" t="str">
        <f aca="false">B4472&amp;"|"&amp;C4472</f>
        <v>Nursing Homes (Convalescent Hospitals)|Excellent</v>
      </c>
      <c r="J4472" s="1" t="s">
        <v>1707</v>
      </c>
    </row>
    <row r="4473" customFormat="false" ht="12" hidden="false" customHeight="true" outlineLevel="0" collapsed="false">
      <c r="B4473" s="1" t="s">
        <v>892</v>
      </c>
      <c r="C4473" s="1" t="s">
        <v>480</v>
      </c>
      <c r="D4473" s="1" t="n">
        <v>45</v>
      </c>
      <c r="E4473" s="1" t="n">
        <v>45</v>
      </c>
      <c r="F4473" s="1" t="n">
        <v>40</v>
      </c>
      <c r="G4473" s="1" t="n">
        <v>35</v>
      </c>
      <c r="H4473" s="1" t="n">
        <v>35</v>
      </c>
      <c r="I4473" s="1" t="str">
        <f aca="false">B4473&amp;"|"&amp;C4473</f>
        <v>Nursing Homes (Convalescent Hospitals)|Low Cost</v>
      </c>
      <c r="J4473" s="1" t="s">
        <v>1594</v>
      </c>
    </row>
    <row r="4474" customFormat="false" ht="12" hidden="false" customHeight="true" outlineLevel="0" collapsed="false">
      <c r="B4474" s="1" t="s">
        <v>895</v>
      </c>
      <c r="C4474" s="1" t="s">
        <v>485</v>
      </c>
      <c r="F4474" s="1" t="n">
        <v>45</v>
      </c>
      <c r="G4474" s="1" t="n">
        <v>40</v>
      </c>
      <c r="I4474" s="1" t="str">
        <f aca="false">B4474&amp;"|"&amp;C4474</f>
        <v>Kennels|Excellent</v>
      </c>
      <c r="J4474" s="1" t="s">
        <v>1708</v>
      </c>
    </row>
    <row r="4475" customFormat="false" ht="12" hidden="false" customHeight="true" outlineLevel="0" collapsed="false">
      <c r="B4475" s="1" t="s">
        <v>895</v>
      </c>
      <c r="C4475" s="1" t="s">
        <v>503</v>
      </c>
      <c r="F4475" s="1" t="n">
        <v>45</v>
      </c>
      <c r="G4475" s="1" t="n">
        <v>40</v>
      </c>
      <c r="I4475" s="1" t="str">
        <f aca="false">B4475&amp;"|"&amp;C4475</f>
        <v>Kennels|Very Good</v>
      </c>
      <c r="J4475" s="1" t="s">
        <v>1708</v>
      </c>
    </row>
    <row r="4476" customFormat="false" ht="12" hidden="false" customHeight="true" outlineLevel="0" collapsed="false">
      <c r="B4476" s="1" t="s">
        <v>895</v>
      </c>
      <c r="C4476" s="1" t="s">
        <v>483</v>
      </c>
      <c r="F4476" s="1" t="n">
        <v>40</v>
      </c>
      <c r="G4476" s="1" t="n">
        <v>35</v>
      </c>
      <c r="H4476" s="1" t="n">
        <v>35</v>
      </c>
      <c r="I4476" s="1" t="str">
        <f aca="false">B4476&amp;"|"&amp;C4476</f>
        <v>Kennels|Good</v>
      </c>
      <c r="J4476" s="1" t="s">
        <v>1613</v>
      </c>
    </row>
    <row r="4477" customFormat="false" ht="12" hidden="false" customHeight="true" outlineLevel="0" collapsed="false">
      <c r="B4477" s="1" t="s">
        <v>895</v>
      </c>
      <c r="C4477" s="1" t="s">
        <v>279</v>
      </c>
      <c r="F4477" s="1" t="n">
        <v>40</v>
      </c>
      <c r="G4477" s="1" t="n">
        <v>35</v>
      </c>
      <c r="H4477" s="1" t="n">
        <v>35</v>
      </c>
      <c r="I4477" s="1" t="str">
        <f aca="false">B4477&amp;"|"&amp;C4477</f>
        <v>Kennels|Average</v>
      </c>
      <c r="J4477" s="1" t="s">
        <v>1613</v>
      </c>
    </row>
    <row r="4478" customFormat="false" ht="12" hidden="false" customHeight="true" outlineLevel="0" collapsed="false">
      <c r="B4478" s="1" t="s">
        <v>895</v>
      </c>
      <c r="C4478" s="1" t="s">
        <v>480</v>
      </c>
      <c r="F4478" s="1" t="n">
        <v>35</v>
      </c>
      <c r="G4478" s="1" t="n">
        <v>30</v>
      </c>
      <c r="H4478" s="1" t="n">
        <v>30</v>
      </c>
      <c r="I4478" s="1" t="str">
        <f aca="false">B4478&amp;"|"&amp;C4478</f>
        <v>Kennels|Low Cost</v>
      </c>
      <c r="J4478" s="1" t="s">
        <v>1602</v>
      </c>
    </row>
    <row r="4479" customFormat="false" ht="12" hidden="false" customHeight="true" outlineLevel="0" collapsed="false">
      <c r="B4479" s="1" t="s">
        <v>895</v>
      </c>
      <c r="C4479" s="1" t="s">
        <v>567</v>
      </c>
      <c r="F4479" s="1" t="n">
        <v>25</v>
      </c>
      <c r="G4479" s="1" t="n">
        <v>20</v>
      </c>
      <c r="H4479" s="1" t="n">
        <v>20</v>
      </c>
      <c r="I4479" s="1" t="str">
        <f aca="false">B4479&amp;"|"&amp;C4479</f>
        <v>Kennels|Cheap</v>
      </c>
      <c r="J4479" s="1" t="s">
        <v>1609</v>
      </c>
    </row>
    <row r="4480" customFormat="false" ht="12" hidden="false" customHeight="true" outlineLevel="0" collapsed="false">
      <c r="B4480" s="1" t="s">
        <v>898</v>
      </c>
      <c r="C4480" s="1" t="s">
        <v>279</v>
      </c>
      <c r="D4480" s="1" t="n">
        <v>45</v>
      </c>
      <c r="E4480" s="1" t="n">
        <v>45</v>
      </c>
      <c r="F4480" s="1" t="n">
        <v>40</v>
      </c>
      <c r="G4480" s="1" t="n">
        <v>35</v>
      </c>
      <c r="H4480" s="1" t="n">
        <v>35</v>
      </c>
      <c r="I4480" s="1" t="str">
        <f aca="false">B4480&amp;"|"&amp;C4480</f>
        <v>Veterinary Hospitals|Average</v>
      </c>
      <c r="J4480" s="1" t="s">
        <v>1613</v>
      </c>
    </row>
    <row r="4481" customFormat="false" ht="12" hidden="false" customHeight="true" outlineLevel="0" collapsed="false">
      <c r="B4481" s="1" t="s">
        <v>898</v>
      </c>
      <c r="C4481" s="1" t="s">
        <v>485</v>
      </c>
      <c r="F4481" s="1" t="n">
        <v>45</v>
      </c>
      <c r="G4481" s="1" t="n">
        <v>40</v>
      </c>
      <c r="I4481" s="1" t="str">
        <f aca="false">B4481&amp;"|"&amp;C4481</f>
        <v>Veterinary Hospitals|Excellent</v>
      </c>
      <c r="J4481" s="1" t="s">
        <v>1709</v>
      </c>
    </row>
    <row r="4482" customFormat="false" ht="12" hidden="false" customHeight="true" outlineLevel="0" collapsed="false">
      <c r="B4482" s="1" t="s">
        <v>898</v>
      </c>
      <c r="C4482" s="1" t="s">
        <v>483</v>
      </c>
      <c r="D4482" s="1" t="n">
        <v>45</v>
      </c>
      <c r="E4482" s="1" t="n">
        <v>45</v>
      </c>
      <c r="F4482" s="1" t="n">
        <v>40</v>
      </c>
      <c r="G4482" s="1" t="n">
        <v>35</v>
      </c>
      <c r="H4482" s="1" t="n">
        <v>35</v>
      </c>
      <c r="I4482" s="1" t="str">
        <f aca="false">B4482&amp;"|"&amp;C4482</f>
        <v>Veterinary Hospitals|Good</v>
      </c>
      <c r="J4482" s="1" t="s">
        <v>1613</v>
      </c>
    </row>
    <row r="4483" customFormat="false" ht="12" hidden="false" customHeight="true" outlineLevel="0" collapsed="false">
      <c r="B4483" s="1" t="s">
        <v>898</v>
      </c>
      <c r="C4483" s="1" t="s">
        <v>480</v>
      </c>
      <c r="F4483" s="1" t="n">
        <v>35</v>
      </c>
      <c r="G4483" s="1" t="n">
        <v>30</v>
      </c>
      <c r="H4483" s="1" t="n">
        <v>30</v>
      </c>
      <c r="I4483" s="1" t="str">
        <f aca="false">B4483&amp;"|"&amp;C4483</f>
        <v>Veterinary Hospitals|Low Cost</v>
      </c>
      <c r="J4483" s="1" t="s">
        <v>1602</v>
      </c>
    </row>
    <row r="4484" customFormat="false" ht="12" hidden="false" customHeight="true" outlineLevel="0" collapsed="false">
      <c r="B4484" s="1" t="s">
        <v>901</v>
      </c>
      <c r="C4484" s="1" t="s">
        <v>279</v>
      </c>
      <c r="D4484" s="1" t="n">
        <v>40</v>
      </c>
      <c r="E4484" s="1" t="n">
        <v>40</v>
      </c>
      <c r="F4484" s="1" t="n">
        <v>35</v>
      </c>
      <c r="G4484" s="1" t="n">
        <v>30</v>
      </c>
      <c r="H4484" s="1" t="n">
        <v>30</v>
      </c>
      <c r="I4484" s="1" t="str">
        <f aca="false">B4484&amp;"|"&amp;C4484</f>
        <v>Fire Stations – Volunteer|Average</v>
      </c>
      <c r="J4484" s="1" t="s">
        <v>1594</v>
      </c>
    </row>
    <row r="4485" customFormat="false" ht="12" hidden="false" customHeight="true" outlineLevel="0" collapsed="false">
      <c r="B4485" s="1" t="s">
        <v>901</v>
      </c>
      <c r="C4485" s="1" t="s">
        <v>480</v>
      </c>
      <c r="D4485" s="1" t="n">
        <v>40</v>
      </c>
      <c r="E4485" s="1" t="n">
        <v>40</v>
      </c>
      <c r="F4485" s="1" t="n">
        <v>35</v>
      </c>
      <c r="G4485" s="1" t="n">
        <v>30</v>
      </c>
      <c r="H4485" s="1" t="n">
        <v>30</v>
      </c>
      <c r="I4485" s="1" t="str">
        <f aca="false">B4485&amp;"|"&amp;C4485</f>
        <v>Fire Stations – Volunteer|Low Cost</v>
      </c>
      <c r="J4485" s="1" t="s">
        <v>1594</v>
      </c>
    </row>
    <row r="4486" customFormat="false" ht="12" hidden="false" customHeight="true" outlineLevel="0" collapsed="false">
      <c r="B4486" s="1" t="s">
        <v>901</v>
      </c>
      <c r="C4486" s="1" t="s">
        <v>483</v>
      </c>
      <c r="F4486" s="1" t="n">
        <v>40</v>
      </c>
      <c r="G4486" s="1" t="n">
        <v>35</v>
      </c>
      <c r="H4486" s="1" t="n">
        <v>35</v>
      </c>
      <c r="I4486" s="1" t="str">
        <f aca="false">B4486&amp;"|"&amp;C4486</f>
        <v>Fire Stations – Volunteer|Good</v>
      </c>
      <c r="J4486" s="1" t="s">
        <v>1710</v>
      </c>
    </row>
    <row r="4487" customFormat="false" ht="12" hidden="false" customHeight="true" outlineLevel="0" collapsed="false">
      <c r="B4487" s="1" t="s">
        <v>903</v>
      </c>
      <c r="C4487" s="1" t="s">
        <v>483</v>
      </c>
      <c r="D4487" s="1" t="n">
        <v>50</v>
      </c>
      <c r="E4487" s="1" t="n">
        <v>50</v>
      </c>
      <c r="F4487" s="1" t="n">
        <v>45</v>
      </c>
      <c r="G4487" s="1" t="n">
        <v>40</v>
      </c>
      <c r="H4487" s="1" t="n">
        <v>40</v>
      </c>
      <c r="I4487" s="1" t="str">
        <f aca="false">B4487&amp;"|"&amp;C4487</f>
        <v>Fire Stations – Staffed|Good</v>
      </c>
      <c r="J4487" s="1" t="s">
        <v>1711</v>
      </c>
    </row>
    <row r="4488" customFormat="false" ht="12" hidden="false" customHeight="true" outlineLevel="0" collapsed="false">
      <c r="B4488" s="1" t="s">
        <v>903</v>
      </c>
      <c r="C4488" s="1" t="s">
        <v>279</v>
      </c>
      <c r="D4488" s="1" t="n">
        <v>45</v>
      </c>
      <c r="E4488" s="1" t="n">
        <v>45</v>
      </c>
      <c r="F4488" s="1" t="n">
        <v>40</v>
      </c>
      <c r="G4488" s="1" t="n">
        <v>35</v>
      </c>
      <c r="H4488" s="1" t="n">
        <v>35</v>
      </c>
      <c r="I4488" s="1" t="str">
        <f aca="false">B4488&amp;"|"&amp;C4488</f>
        <v>Fire Stations – Staffed|Average</v>
      </c>
      <c r="J4488" s="1" t="s">
        <v>1594</v>
      </c>
    </row>
    <row r="4489" customFormat="false" ht="12" hidden="false" customHeight="true" outlineLevel="0" collapsed="false">
      <c r="B4489" s="1" t="s">
        <v>903</v>
      </c>
      <c r="C4489" s="1" t="s">
        <v>485</v>
      </c>
      <c r="D4489" s="1" t="n">
        <v>50</v>
      </c>
      <c r="E4489" s="1" t="n">
        <v>50</v>
      </c>
      <c r="F4489" s="1" t="n">
        <v>45</v>
      </c>
      <c r="G4489" s="1" t="n">
        <v>40</v>
      </c>
      <c r="H4489" s="1" t="n">
        <v>40</v>
      </c>
      <c r="I4489" s="1" t="str">
        <f aca="false">B4489&amp;"|"&amp;C4489</f>
        <v>Fire Stations – Staffed|Excellent</v>
      </c>
      <c r="J4489" s="1" t="s">
        <v>1711</v>
      </c>
    </row>
    <row r="4490" customFormat="false" ht="12" hidden="false" customHeight="true" outlineLevel="0" collapsed="false">
      <c r="B4490" s="1" t="s">
        <v>903</v>
      </c>
      <c r="C4490" s="1" t="s">
        <v>503</v>
      </c>
      <c r="D4490" s="1" t="n">
        <v>50</v>
      </c>
      <c r="E4490" s="1" t="n">
        <v>50</v>
      </c>
      <c r="F4490" s="1" t="n">
        <v>45</v>
      </c>
      <c r="G4490" s="1" t="n">
        <v>40</v>
      </c>
      <c r="H4490" s="1" t="n">
        <v>40</v>
      </c>
      <c r="I4490" s="1" t="str">
        <f aca="false">B4490&amp;"|"&amp;C4490</f>
        <v>Fire Stations – Staffed|Very Good</v>
      </c>
      <c r="J4490" s="1" t="s">
        <v>1711</v>
      </c>
    </row>
    <row r="4491" customFormat="false" ht="12" hidden="false" customHeight="true" outlineLevel="0" collapsed="false">
      <c r="B4491" s="1" t="s">
        <v>903</v>
      </c>
      <c r="C4491" s="1" t="s">
        <v>480</v>
      </c>
      <c r="D4491" s="1" t="n">
        <v>45</v>
      </c>
      <c r="E4491" s="1" t="n">
        <v>45</v>
      </c>
      <c r="F4491" s="1" t="n">
        <v>40</v>
      </c>
      <c r="G4491" s="1" t="n">
        <v>35</v>
      </c>
      <c r="H4491" s="1" t="n">
        <v>35</v>
      </c>
      <c r="I4491" s="1" t="str">
        <f aca="false">B4491&amp;"|"&amp;C4491</f>
        <v>Fire Stations – Staffed|Low Cost</v>
      </c>
      <c r="J4491" s="1" t="s">
        <v>1594</v>
      </c>
    </row>
    <row r="4492" customFormat="false" ht="12" hidden="false" customHeight="true" outlineLevel="0" collapsed="false">
      <c r="B4492" s="1" t="s">
        <v>906</v>
      </c>
      <c r="C4492" s="1" t="s">
        <v>485</v>
      </c>
      <c r="D4492" s="1" t="n">
        <v>60</v>
      </c>
      <c r="E4492" s="1" t="n">
        <v>60</v>
      </c>
      <c r="F4492" s="1" t="n">
        <v>55</v>
      </c>
      <c r="G4492" s="1" t="n">
        <v>50</v>
      </c>
      <c r="I4492" s="1" t="str">
        <f aca="false">B4492&amp;"|"&amp;C4492</f>
        <v>Governmental Buildings|Excellent</v>
      </c>
      <c r="J4492" s="1" t="s">
        <v>1712</v>
      </c>
    </row>
    <row r="4493" customFormat="false" ht="12" hidden="false" customHeight="true" outlineLevel="0" collapsed="false">
      <c r="B4493" s="1" t="s">
        <v>906</v>
      </c>
      <c r="C4493" s="1" t="s">
        <v>483</v>
      </c>
      <c r="D4493" s="1" t="n">
        <v>60</v>
      </c>
      <c r="E4493" s="1" t="n">
        <v>60</v>
      </c>
      <c r="F4493" s="1" t="n">
        <v>55</v>
      </c>
      <c r="G4493" s="1" t="n">
        <v>50</v>
      </c>
      <c r="I4493" s="1" t="str">
        <f aca="false">B4493&amp;"|"&amp;C4493</f>
        <v>Governmental Buildings|Good</v>
      </c>
      <c r="J4493" s="1" t="s">
        <v>1712</v>
      </c>
    </row>
    <row r="4494" customFormat="false" ht="12" hidden="false" customHeight="true" outlineLevel="0" collapsed="false">
      <c r="B4494" s="1" t="s">
        <v>906</v>
      </c>
      <c r="C4494" s="1" t="s">
        <v>279</v>
      </c>
      <c r="D4494" s="1" t="n">
        <v>55</v>
      </c>
      <c r="E4494" s="1" t="n">
        <v>55</v>
      </c>
      <c r="F4494" s="1" t="n">
        <v>50</v>
      </c>
      <c r="G4494" s="1" t="n">
        <v>40</v>
      </c>
      <c r="H4494" s="1" t="n">
        <v>40</v>
      </c>
      <c r="I4494" s="1" t="str">
        <f aca="false">B4494&amp;"|"&amp;C4494</f>
        <v>Governmental Buildings|Average</v>
      </c>
      <c r="J4494" s="1" t="s">
        <v>1594</v>
      </c>
    </row>
    <row r="4495" customFormat="false" ht="12" hidden="false" customHeight="true" outlineLevel="0" collapsed="false">
      <c r="B4495" s="1" t="s">
        <v>906</v>
      </c>
      <c r="C4495" s="1" t="s">
        <v>480</v>
      </c>
      <c r="D4495" s="1" t="n">
        <v>55</v>
      </c>
      <c r="E4495" s="1" t="n">
        <v>55</v>
      </c>
      <c r="F4495" s="1" t="n">
        <v>50</v>
      </c>
      <c r="G4495" s="1" t="n">
        <v>40</v>
      </c>
      <c r="H4495" s="1" t="n">
        <v>40</v>
      </c>
      <c r="I4495" s="1" t="str">
        <f aca="false">B4495&amp;"|"&amp;C4495</f>
        <v>Governmental Buildings|Low Cost</v>
      </c>
      <c r="J4495" s="1" t="s">
        <v>1594</v>
      </c>
    </row>
    <row r="4496" customFormat="false" ht="12" hidden="false" customHeight="true" outlineLevel="0" collapsed="false">
      <c r="B4496" s="1" t="s">
        <v>909</v>
      </c>
      <c r="C4496" s="1" t="s">
        <v>279</v>
      </c>
      <c r="D4496" s="1" t="n">
        <v>55</v>
      </c>
      <c r="E4496" s="1" t="n">
        <v>55</v>
      </c>
      <c r="F4496" s="1" t="n">
        <v>50</v>
      </c>
      <c r="G4496" s="1" t="n">
        <v>40</v>
      </c>
      <c r="H4496" s="1" t="n">
        <v>40</v>
      </c>
      <c r="I4496" s="1" t="str">
        <f aca="false">B4496&amp;"|"&amp;C4496</f>
        <v>Governmental – Community Service Buildings|Average</v>
      </c>
      <c r="J4496" s="1" t="s">
        <v>1613</v>
      </c>
    </row>
    <row r="4497" customFormat="false" ht="12" hidden="false" customHeight="true" outlineLevel="0" collapsed="false">
      <c r="B4497" s="1" t="s">
        <v>909</v>
      </c>
      <c r="C4497" s="1" t="s">
        <v>480</v>
      </c>
      <c r="D4497" s="1" t="n">
        <v>50</v>
      </c>
      <c r="E4497" s="1" t="n">
        <v>50</v>
      </c>
      <c r="F4497" s="1" t="n">
        <v>45</v>
      </c>
      <c r="G4497" s="1" t="n">
        <v>35</v>
      </c>
      <c r="H4497" s="1" t="n">
        <v>35</v>
      </c>
      <c r="I4497" s="1" t="str">
        <f aca="false">B4497&amp;"|"&amp;C4497</f>
        <v>Governmental – Community Service Buildings|Low Cost</v>
      </c>
      <c r="J4497" s="1" t="s">
        <v>1602</v>
      </c>
    </row>
    <row r="4498" customFormat="false" ht="12" hidden="false" customHeight="true" outlineLevel="0" collapsed="false">
      <c r="B4498" s="1" t="s">
        <v>909</v>
      </c>
      <c r="C4498" s="1" t="s">
        <v>485</v>
      </c>
      <c r="F4498" s="1" t="n">
        <v>55</v>
      </c>
      <c r="G4498" s="1" t="n">
        <v>50</v>
      </c>
      <c r="I4498" s="1" t="str">
        <f aca="false">B4498&amp;"|"&amp;C4498</f>
        <v>Governmental – Community Service Buildings|Excellent</v>
      </c>
      <c r="J4498" s="1" t="s">
        <v>1713</v>
      </c>
    </row>
    <row r="4499" customFormat="false" ht="12" hidden="false" customHeight="true" outlineLevel="0" collapsed="false">
      <c r="B4499" s="1" t="s">
        <v>909</v>
      </c>
      <c r="C4499" s="1" t="s">
        <v>483</v>
      </c>
      <c r="D4499" s="1" t="n">
        <v>55</v>
      </c>
      <c r="E4499" s="1" t="n">
        <v>55</v>
      </c>
      <c r="F4499" s="1" t="n">
        <v>50</v>
      </c>
      <c r="G4499" s="1" t="n">
        <v>40</v>
      </c>
      <c r="H4499" s="1" t="n">
        <v>40</v>
      </c>
      <c r="I4499" s="1" t="str">
        <f aca="false">B4499&amp;"|"&amp;C4499</f>
        <v>Governmental – Community Service Buildings|Good</v>
      </c>
      <c r="J4499" s="1" t="s">
        <v>1613</v>
      </c>
    </row>
    <row r="4500" customFormat="false" ht="12" hidden="false" customHeight="true" outlineLevel="0" collapsed="false">
      <c r="B4500" s="1" t="s">
        <v>912</v>
      </c>
      <c r="C4500" s="1" t="s">
        <v>483</v>
      </c>
      <c r="D4500" s="1" t="n">
        <v>60</v>
      </c>
      <c r="E4500" s="1" t="n">
        <v>60</v>
      </c>
      <c r="F4500" s="1" t="n">
        <v>55</v>
      </c>
      <c r="G4500" s="1" t="n">
        <v>50</v>
      </c>
      <c r="H4500" s="1" t="n">
        <v>50</v>
      </c>
      <c r="I4500" s="1" t="str">
        <f aca="false">B4500&amp;"|"&amp;C4500</f>
        <v>Public Libraries|Good</v>
      </c>
      <c r="J4500" s="1" t="s">
        <v>1714</v>
      </c>
    </row>
    <row r="4501" customFormat="false" ht="12" hidden="false" customHeight="true" outlineLevel="0" collapsed="false">
      <c r="B4501" s="1" t="s">
        <v>912</v>
      </c>
      <c r="C4501" s="1" t="s">
        <v>279</v>
      </c>
      <c r="D4501" s="1" t="n">
        <v>55</v>
      </c>
      <c r="E4501" s="1" t="n">
        <v>55</v>
      </c>
      <c r="F4501" s="1" t="n">
        <v>50</v>
      </c>
      <c r="G4501" s="1" t="n">
        <v>45</v>
      </c>
      <c r="H4501" s="1" t="n">
        <v>45</v>
      </c>
      <c r="I4501" s="1" t="str">
        <f aca="false">B4501&amp;"|"&amp;C4501</f>
        <v>Public Libraries|Average</v>
      </c>
      <c r="J4501" s="1" t="s">
        <v>1598</v>
      </c>
    </row>
    <row r="4502" customFormat="false" ht="12" hidden="false" customHeight="true" outlineLevel="0" collapsed="false">
      <c r="B4502" s="1" t="s">
        <v>912</v>
      </c>
      <c r="C4502" s="1" t="s">
        <v>485</v>
      </c>
      <c r="D4502" s="1" t="n">
        <v>60</v>
      </c>
      <c r="E4502" s="1" t="n">
        <v>60</v>
      </c>
      <c r="F4502" s="1" t="n">
        <v>55</v>
      </c>
      <c r="G4502" s="1" t="n">
        <v>50</v>
      </c>
      <c r="H4502" s="1" t="n">
        <v>50</v>
      </c>
      <c r="I4502" s="1" t="str">
        <f aca="false">B4502&amp;"|"&amp;C4502</f>
        <v>Public Libraries|Excellent</v>
      </c>
      <c r="J4502" s="1" t="s">
        <v>1714</v>
      </c>
    </row>
    <row r="4503" customFormat="false" ht="12" hidden="false" customHeight="true" outlineLevel="0" collapsed="false">
      <c r="B4503" s="1" t="s">
        <v>912</v>
      </c>
      <c r="C4503" s="1" t="s">
        <v>503</v>
      </c>
      <c r="D4503" s="1" t="n">
        <v>60</v>
      </c>
      <c r="E4503" s="1" t="n">
        <v>60</v>
      </c>
      <c r="F4503" s="1" t="n">
        <v>55</v>
      </c>
      <c r="G4503" s="1" t="n">
        <v>50</v>
      </c>
      <c r="H4503" s="1" t="n">
        <v>50</v>
      </c>
      <c r="I4503" s="1" t="str">
        <f aca="false">B4503&amp;"|"&amp;C4503</f>
        <v>Public Libraries|Very Good</v>
      </c>
      <c r="J4503" s="1" t="s">
        <v>1714</v>
      </c>
    </row>
    <row r="4504" customFormat="false" ht="12" hidden="false" customHeight="true" outlineLevel="0" collapsed="false">
      <c r="B4504" s="1" t="s">
        <v>912</v>
      </c>
      <c r="C4504" s="1" t="s">
        <v>480</v>
      </c>
      <c r="F4504" s="1" t="n">
        <v>45</v>
      </c>
      <c r="G4504" s="1" t="n">
        <v>40</v>
      </c>
      <c r="H4504" s="1" t="n">
        <v>40</v>
      </c>
      <c r="I4504" s="1" t="str">
        <f aca="false">B4504&amp;"|"&amp;C4504</f>
        <v>Public Libraries|Low Cost</v>
      </c>
      <c r="J4504" s="1" t="s">
        <v>1602</v>
      </c>
    </row>
    <row r="4505" customFormat="false" ht="12" hidden="false" customHeight="true" outlineLevel="0" collapsed="false">
      <c r="B4505" s="1" t="s">
        <v>915</v>
      </c>
      <c r="C4505" s="1" t="s">
        <v>485</v>
      </c>
      <c r="D4505" s="1" t="n">
        <v>55</v>
      </c>
      <c r="E4505" s="1" t="n">
        <v>55</v>
      </c>
      <c r="F4505" s="1" t="n">
        <v>45</v>
      </c>
      <c r="G4505" s="1" t="n">
        <v>40</v>
      </c>
      <c r="I4505" s="1" t="str">
        <f aca="false">B4505&amp;"|"&amp;C4505</f>
        <v>Jails – Correctional Facilities|Excellent</v>
      </c>
      <c r="J4505" s="1" t="s">
        <v>1715</v>
      </c>
    </row>
    <row r="4506" customFormat="false" ht="12" hidden="false" customHeight="true" outlineLevel="0" collapsed="false">
      <c r="B4506" s="1" t="s">
        <v>915</v>
      </c>
      <c r="C4506" s="1" t="s">
        <v>483</v>
      </c>
      <c r="D4506" s="1" t="n">
        <v>55</v>
      </c>
      <c r="E4506" s="1" t="n">
        <v>55</v>
      </c>
      <c r="F4506" s="1" t="n">
        <v>45</v>
      </c>
      <c r="G4506" s="1" t="n">
        <v>40</v>
      </c>
      <c r="I4506" s="1" t="str">
        <f aca="false">B4506&amp;"|"&amp;C4506</f>
        <v>Jails – Correctional Facilities|Good</v>
      </c>
      <c r="J4506" s="1" t="s">
        <v>1715</v>
      </c>
    </row>
    <row r="4507" customFormat="false" ht="12" hidden="false" customHeight="true" outlineLevel="0" collapsed="false">
      <c r="B4507" s="1" t="s">
        <v>915</v>
      </c>
      <c r="C4507" s="1" t="s">
        <v>279</v>
      </c>
      <c r="D4507" s="1" t="n">
        <v>50</v>
      </c>
      <c r="E4507" s="1" t="n">
        <v>50</v>
      </c>
      <c r="F4507" s="1" t="n">
        <v>40</v>
      </c>
      <c r="G4507" s="1" t="n">
        <v>35</v>
      </c>
      <c r="H4507" s="1" t="n">
        <v>35</v>
      </c>
      <c r="I4507" s="1" t="str">
        <f aca="false">B4507&amp;"|"&amp;C4507</f>
        <v>Jails – Correctional Facilities|Average</v>
      </c>
      <c r="J4507" s="1" t="s">
        <v>1594</v>
      </c>
    </row>
    <row r="4508" customFormat="false" ht="12" hidden="false" customHeight="true" outlineLevel="0" collapsed="false">
      <c r="B4508" s="1" t="s">
        <v>915</v>
      </c>
      <c r="C4508" s="1" t="s">
        <v>480</v>
      </c>
      <c r="D4508" s="1" t="n">
        <v>50</v>
      </c>
      <c r="E4508" s="1" t="n">
        <v>50</v>
      </c>
      <c r="F4508" s="1" t="n">
        <v>40</v>
      </c>
      <c r="G4508" s="1" t="n">
        <v>35</v>
      </c>
      <c r="H4508" s="1" t="n">
        <v>35</v>
      </c>
      <c r="I4508" s="1" t="str">
        <f aca="false">B4508&amp;"|"&amp;C4508</f>
        <v>Jails – Correctional Facilities|Low Cost</v>
      </c>
      <c r="J4508" s="1" t="s">
        <v>1594</v>
      </c>
    </row>
    <row r="4509" customFormat="false" ht="12" hidden="false" customHeight="true" outlineLevel="0" collapsed="false">
      <c r="B4509" s="1" t="s">
        <v>918</v>
      </c>
      <c r="C4509" s="1" t="s">
        <v>485</v>
      </c>
      <c r="D4509" s="1" t="n">
        <v>55</v>
      </c>
      <c r="E4509" s="1" t="n">
        <v>55</v>
      </c>
      <c r="F4509" s="1" t="n">
        <v>50</v>
      </c>
      <c r="G4509" s="1" t="n">
        <v>45</v>
      </c>
      <c r="I4509" s="1" t="str">
        <f aca="false">B4509&amp;"|"&amp;C4509</f>
        <v>Jails – Police Stations|Excellent</v>
      </c>
      <c r="J4509" s="1" t="s">
        <v>1716</v>
      </c>
    </row>
    <row r="4510" customFormat="false" ht="12" hidden="false" customHeight="true" outlineLevel="0" collapsed="false">
      <c r="B4510" s="1" t="s">
        <v>918</v>
      </c>
      <c r="C4510" s="1" t="s">
        <v>483</v>
      </c>
      <c r="D4510" s="1" t="n">
        <v>55</v>
      </c>
      <c r="E4510" s="1" t="n">
        <v>55</v>
      </c>
      <c r="F4510" s="1" t="n">
        <v>50</v>
      </c>
      <c r="G4510" s="1" t="n">
        <v>45</v>
      </c>
      <c r="I4510" s="1" t="str">
        <f aca="false">B4510&amp;"|"&amp;C4510</f>
        <v>Jails – Police Stations|Good</v>
      </c>
      <c r="J4510" s="1" t="s">
        <v>1716</v>
      </c>
    </row>
    <row r="4511" customFormat="false" ht="12" hidden="false" customHeight="true" outlineLevel="0" collapsed="false">
      <c r="B4511" s="1" t="s">
        <v>918</v>
      </c>
      <c r="C4511" s="1" t="s">
        <v>279</v>
      </c>
      <c r="D4511" s="1" t="n">
        <v>50</v>
      </c>
      <c r="E4511" s="1" t="n">
        <v>50</v>
      </c>
      <c r="F4511" s="1" t="n">
        <v>45</v>
      </c>
      <c r="G4511" s="1" t="n">
        <v>40</v>
      </c>
      <c r="I4511" s="1" t="str">
        <f aca="false">B4511&amp;"|"&amp;C4511</f>
        <v>Jails – Police Stations|Average</v>
      </c>
      <c r="J4511" s="1" t="s">
        <v>1598</v>
      </c>
    </row>
    <row r="4512" customFormat="false" ht="12" hidden="false" customHeight="true" outlineLevel="0" collapsed="false">
      <c r="B4512" s="1" t="s">
        <v>918</v>
      </c>
      <c r="C4512" s="1" t="s">
        <v>480</v>
      </c>
      <c r="D4512" s="1" t="n">
        <v>45</v>
      </c>
      <c r="E4512" s="1" t="n">
        <v>45</v>
      </c>
      <c r="F4512" s="1" t="n">
        <v>40</v>
      </c>
      <c r="I4512" s="1" t="str">
        <f aca="false">B4512&amp;"|"&amp;C4512</f>
        <v>Jails – Police Stations|Low Cost</v>
      </c>
      <c r="J4512" s="1" t="s">
        <v>1602</v>
      </c>
    </row>
    <row r="4513" customFormat="false" ht="12" hidden="false" customHeight="true" outlineLevel="0" collapsed="false">
      <c r="B4513" s="1" t="s">
        <v>920</v>
      </c>
      <c r="C4513" s="1" t="s">
        <v>485</v>
      </c>
      <c r="D4513" s="1" t="n">
        <v>60</v>
      </c>
      <c r="E4513" s="1" t="n">
        <v>60</v>
      </c>
      <c r="F4513" s="1" t="n">
        <v>55</v>
      </c>
      <c r="G4513" s="1" t="n">
        <v>50</v>
      </c>
      <c r="H4513" s="1" t="n">
        <v>50</v>
      </c>
      <c r="I4513" s="1" t="str">
        <f aca="false">B4513&amp;"|"&amp;C4513</f>
        <v>Shell Office Buildings|Excellent</v>
      </c>
      <c r="J4513" s="1" t="s">
        <v>1697</v>
      </c>
    </row>
    <row r="4514" customFormat="false" ht="12" hidden="false" customHeight="true" outlineLevel="0" collapsed="false">
      <c r="B4514" s="1" t="s">
        <v>920</v>
      </c>
      <c r="C4514" s="1" t="s">
        <v>483</v>
      </c>
      <c r="D4514" s="1" t="n">
        <v>60</v>
      </c>
      <c r="E4514" s="1" t="n">
        <v>60</v>
      </c>
      <c r="F4514" s="1" t="n">
        <v>55</v>
      </c>
      <c r="G4514" s="1" t="n">
        <v>50</v>
      </c>
      <c r="H4514" s="1" t="n">
        <v>50</v>
      </c>
      <c r="I4514" s="1" t="str">
        <f aca="false">B4514&amp;"|"&amp;C4514</f>
        <v>Shell Office Buildings|Good</v>
      </c>
      <c r="J4514" s="1" t="s">
        <v>1697</v>
      </c>
    </row>
    <row r="4515" customFormat="false" ht="12" hidden="false" customHeight="true" outlineLevel="0" collapsed="false">
      <c r="B4515" s="1" t="s">
        <v>920</v>
      </c>
      <c r="C4515" s="1" t="s">
        <v>279</v>
      </c>
      <c r="D4515" s="1" t="n">
        <v>55</v>
      </c>
      <c r="E4515" s="1" t="n">
        <v>55</v>
      </c>
      <c r="F4515" s="1" t="n">
        <v>50</v>
      </c>
      <c r="G4515" s="1" t="n">
        <v>45</v>
      </c>
      <c r="H4515" s="1" t="n">
        <v>45</v>
      </c>
      <c r="I4515" s="1" t="str">
        <f aca="false">B4515&amp;"|"&amp;C4515</f>
        <v>Shell Office Buildings|Average</v>
      </c>
      <c r="J4515" s="1" t="s">
        <v>1598</v>
      </c>
    </row>
    <row r="4516" customFormat="false" ht="12" hidden="false" customHeight="true" outlineLevel="0" collapsed="false">
      <c r="B4516" s="1" t="s">
        <v>920</v>
      </c>
      <c r="C4516" s="1" t="s">
        <v>480</v>
      </c>
      <c r="D4516" s="1" t="n">
        <v>50</v>
      </c>
      <c r="E4516" s="1" t="n">
        <v>50</v>
      </c>
      <c r="F4516" s="1" t="n">
        <v>45</v>
      </c>
      <c r="G4516" s="1" t="n">
        <v>40</v>
      </c>
      <c r="H4516" s="1" t="n">
        <v>40</v>
      </c>
      <c r="I4516" s="1" t="str">
        <f aca="false">B4516&amp;"|"&amp;C4516</f>
        <v>Shell Office Buildings|Low Cost</v>
      </c>
      <c r="J4516" s="1" t="s">
        <v>1602</v>
      </c>
    </row>
    <row r="4517" customFormat="false" ht="12" hidden="false" customHeight="true" outlineLevel="0" collapsed="false">
      <c r="B4517" s="1" t="s">
        <v>924</v>
      </c>
      <c r="C4517" s="1" t="s">
        <v>483</v>
      </c>
      <c r="D4517" s="1" t="n">
        <v>60</v>
      </c>
      <c r="E4517" s="1" t="n">
        <v>60</v>
      </c>
      <c r="F4517" s="1" t="n">
        <v>50</v>
      </c>
      <c r="G4517" s="1" t="n">
        <v>45</v>
      </c>
      <c r="H4517" s="1" t="n">
        <v>45</v>
      </c>
      <c r="I4517" s="1" t="str">
        <f aca="false">B4517&amp;"|"&amp;C4517</f>
        <v>Churches with Sunday Schools|Good</v>
      </c>
      <c r="J4517" s="1" t="s">
        <v>1600</v>
      </c>
    </row>
    <row r="4518" customFormat="false" ht="12" hidden="false" customHeight="true" outlineLevel="0" collapsed="false">
      <c r="B4518" s="1" t="s">
        <v>924</v>
      </c>
      <c r="C4518" s="1" t="s">
        <v>279</v>
      </c>
      <c r="D4518" s="1" t="n">
        <v>50</v>
      </c>
      <c r="E4518" s="1" t="n">
        <v>50</v>
      </c>
      <c r="F4518" s="1" t="n">
        <v>45</v>
      </c>
      <c r="G4518" s="1" t="n">
        <v>40</v>
      </c>
      <c r="H4518" s="1" t="n">
        <v>40</v>
      </c>
      <c r="I4518" s="1" t="str">
        <f aca="false">B4518&amp;"|"&amp;C4518</f>
        <v>Churches with Sunday Schools|Average</v>
      </c>
      <c r="J4518" s="1" t="s">
        <v>1598</v>
      </c>
    </row>
    <row r="4519" customFormat="false" ht="12" hidden="false" customHeight="true" outlineLevel="0" collapsed="false">
      <c r="B4519" s="1" t="s">
        <v>924</v>
      </c>
      <c r="C4519" s="1" t="s">
        <v>485</v>
      </c>
      <c r="D4519" s="1" t="n">
        <v>60</v>
      </c>
      <c r="E4519" s="1" t="n">
        <v>60</v>
      </c>
      <c r="F4519" s="1" t="n">
        <v>60</v>
      </c>
      <c r="G4519" s="1" t="n">
        <v>50</v>
      </c>
      <c r="I4519" s="1" t="str">
        <f aca="false">B4519&amp;"|"&amp;C4519</f>
        <v>Churches with Sunday Schools|Excellent</v>
      </c>
      <c r="J4519" s="1" t="s">
        <v>1717</v>
      </c>
    </row>
    <row r="4520" customFormat="false" ht="12" hidden="false" customHeight="true" outlineLevel="0" collapsed="false">
      <c r="B4520" s="1" t="s">
        <v>928</v>
      </c>
      <c r="C4520" s="1" t="s">
        <v>485</v>
      </c>
      <c r="D4520" s="1" t="n">
        <v>60</v>
      </c>
      <c r="E4520" s="1" t="n">
        <v>60</v>
      </c>
      <c r="F4520" s="1" t="n">
        <v>60</v>
      </c>
      <c r="G4520" s="1" t="n">
        <v>50</v>
      </c>
      <c r="I4520" s="1" t="str">
        <f aca="false">B4520&amp;"|"&amp;C4520</f>
        <v>Churches – Sanctuaries (Chapels)|Excellent</v>
      </c>
      <c r="J4520" s="1" t="s">
        <v>1717</v>
      </c>
    </row>
    <row r="4521" customFormat="false" ht="12" hidden="false" customHeight="true" outlineLevel="0" collapsed="false">
      <c r="B4521" s="1" t="s">
        <v>928</v>
      </c>
      <c r="C4521" s="1" t="s">
        <v>483</v>
      </c>
      <c r="D4521" s="1" t="n">
        <v>60</v>
      </c>
      <c r="E4521" s="1" t="n">
        <v>60</v>
      </c>
      <c r="F4521" s="1" t="n">
        <v>50</v>
      </c>
      <c r="G4521" s="1" t="n">
        <v>45</v>
      </c>
      <c r="H4521" s="1" t="n">
        <v>45</v>
      </c>
      <c r="I4521" s="1" t="str">
        <f aca="false">B4521&amp;"|"&amp;C4521</f>
        <v>Churches – Sanctuaries (Chapels)|Good</v>
      </c>
      <c r="J4521" s="1" t="s">
        <v>1600</v>
      </c>
    </row>
    <row r="4522" customFormat="false" ht="12" hidden="false" customHeight="true" outlineLevel="0" collapsed="false">
      <c r="B4522" s="1" t="s">
        <v>928</v>
      </c>
      <c r="C4522" s="1" t="s">
        <v>279</v>
      </c>
      <c r="D4522" s="1" t="n">
        <v>50</v>
      </c>
      <c r="E4522" s="1" t="n">
        <v>50</v>
      </c>
      <c r="F4522" s="1" t="n">
        <v>45</v>
      </c>
      <c r="G4522" s="1" t="n">
        <v>40</v>
      </c>
      <c r="H4522" s="1" t="n">
        <v>40</v>
      </c>
      <c r="I4522" s="1" t="str">
        <f aca="false">B4522&amp;"|"&amp;C4522</f>
        <v>Churches – Sanctuaries (Chapels)|Average</v>
      </c>
      <c r="J4522" s="1" t="s">
        <v>1598</v>
      </c>
    </row>
    <row r="4523" customFormat="false" ht="12" hidden="false" customHeight="true" outlineLevel="0" collapsed="false">
      <c r="B4523" s="1" t="s">
        <v>931</v>
      </c>
      <c r="C4523" s="1" t="s">
        <v>483</v>
      </c>
      <c r="D4523" s="1" t="n">
        <v>50</v>
      </c>
      <c r="E4523" s="1" t="n">
        <v>50</v>
      </c>
      <c r="F4523" s="1" t="n">
        <v>45</v>
      </c>
      <c r="G4523" s="1" t="n">
        <v>40</v>
      </c>
      <c r="H4523" s="1" t="n">
        <v>40</v>
      </c>
      <c r="I4523" s="1" t="str">
        <f aca="false">B4523&amp;"|"&amp;C4523</f>
        <v>Fellowship Halls|Good</v>
      </c>
      <c r="J4523" s="1" t="s">
        <v>1718</v>
      </c>
    </row>
    <row r="4524" customFormat="false" ht="12" hidden="false" customHeight="true" outlineLevel="0" collapsed="false">
      <c r="B4524" s="1" t="s">
        <v>931</v>
      </c>
      <c r="C4524" s="1" t="s">
        <v>279</v>
      </c>
      <c r="D4524" s="1" t="n">
        <v>45</v>
      </c>
      <c r="E4524" s="1" t="n">
        <v>45</v>
      </c>
      <c r="F4524" s="1" t="n">
        <v>40</v>
      </c>
      <c r="G4524" s="1" t="n">
        <v>35</v>
      </c>
      <c r="H4524" s="1" t="n">
        <v>35</v>
      </c>
      <c r="I4524" s="1" t="str">
        <f aca="false">B4524&amp;"|"&amp;C4524</f>
        <v>Fellowship Halls|Average</v>
      </c>
      <c r="J4524" s="1" t="s">
        <v>1594</v>
      </c>
    </row>
    <row r="4525" customFormat="false" ht="12" hidden="false" customHeight="true" outlineLevel="0" collapsed="false">
      <c r="B4525" s="1" t="s">
        <v>931</v>
      </c>
      <c r="C4525" s="1" t="s">
        <v>485</v>
      </c>
      <c r="D4525" s="1" t="n">
        <v>50</v>
      </c>
      <c r="E4525" s="1" t="n">
        <v>50</v>
      </c>
      <c r="F4525" s="1" t="n">
        <v>45</v>
      </c>
      <c r="G4525" s="1" t="n">
        <v>40</v>
      </c>
      <c r="H4525" s="1" t="n">
        <v>40</v>
      </c>
      <c r="I4525" s="1" t="str">
        <f aca="false">B4525&amp;"|"&amp;C4525</f>
        <v>Fellowship Halls|Excellent</v>
      </c>
      <c r="J4525" s="1" t="s">
        <v>1718</v>
      </c>
    </row>
    <row r="4526" customFormat="false" ht="12" hidden="false" customHeight="true" outlineLevel="0" collapsed="false">
      <c r="B4526" s="1" t="s">
        <v>931</v>
      </c>
      <c r="C4526" s="1" t="s">
        <v>567</v>
      </c>
      <c r="G4526" s="1" t="n">
        <v>30</v>
      </c>
      <c r="H4526" s="1" t="n">
        <v>30</v>
      </c>
      <c r="I4526" s="1" t="str">
        <f aca="false">B4526&amp;"|"&amp;C4526</f>
        <v>Fellowship Halls|Cheap</v>
      </c>
      <c r="J4526" s="1" t="s">
        <v>1609</v>
      </c>
    </row>
    <row r="4527" customFormat="false" ht="12" hidden="false" customHeight="true" outlineLevel="0" collapsed="false">
      <c r="B4527" s="1" t="s">
        <v>934</v>
      </c>
      <c r="C4527" s="1" t="s">
        <v>485</v>
      </c>
      <c r="D4527" s="1" t="n">
        <v>60</v>
      </c>
      <c r="E4527" s="1" t="n">
        <v>60</v>
      </c>
      <c r="F4527" s="1" t="n">
        <v>60</v>
      </c>
      <c r="G4527" s="1" t="n">
        <v>50</v>
      </c>
      <c r="I4527" s="1" t="str">
        <f aca="false">B4527&amp;"|"&amp;C4527</f>
        <v>Foyers / Narthexes|Excellent</v>
      </c>
      <c r="J4527" s="1" t="s">
        <v>1717</v>
      </c>
    </row>
    <row r="4528" customFormat="false" ht="12" hidden="false" customHeight="true" outlineLevel="0" collapsed="false">
      <c r="B4528" s="1" t="s">
        <v>934</v>
      </c>
      <c r="C4528" s="1" t="s">
        <v>483</v>
      </c>
      <c r="D4528" s="1" t="n">
        <v>60</v>
      </c>
      <c r="E4528" s="1" t="n">
        <v>60</v>
      </c>
      <c r="F4528" s="1" t="n">
        <v>50</v>
      </c>
      <c r="G4528" s="1" t="n">
        <v>45</v>
      </c>
      <c r="H4528" s="1" t="n">
        <v>45</v>
      </c>
      <c r="I4528" s="1" t="str">
        <f aca="false">B4528&amp;"|"&amp;C4528</f>
        <v>Foyers / Narthexes|Good</v>
      </c>
      <c r="J4528" s="1" t="s">
        <v>1600</v>
      </c>
    </row>
    <row r="4529" customFormat="false" ht="12" hidden="false" customHeight="true" outlineLevel="0" collapsed="false">
      <c r="B4529" s="1" t="s">
        <v>934</v>
      </c>
      <c r="C4529" s="1" t="s">
        <v>279</v>
      </c>
      <c r="D4529" s="1" t="n">
        <v>50</v>
      </c>
      <c r="E4529" s="1" t="n">
        <v>50</v>
      </c>
      <c r="F4529" s="1" t="n">
        <v>45</v>
      </c>
      <c r="G4529" s="1" t="n">
        <v>40</v>
      </c>
      <c r="H4529" s="1" t="n">
        <v>40</v>
      </c>
      <c r="I4529" s="1" t="str">
        <f aca="false">B4529&amp;"|"&amp;C4529</f>
        <v>Foyers / Narthexes|Average</v>
      </c>
      <c r="J4529" s="1" t="s">
        <v>1598</v>
      </c>
    </row>
    <row r="4530" customFormat="false" ht="12" hidden="false" customHeight="true" outlineLevel="0" collapsed="false">
      <c r="B4530" s="1" t="s">
        <v>936</v>
      </c>
      <c r="C4530" s="1" t="s">
        <v>483</v>
      </c>
      <c r="D4530" s="1" t="n">
        <v>60</v>
      </c>
      <c r="E4530" s="1" t="n">
        <v>60</v>
      </c>
      <c r="F4530" s="1" t="n">
        <v>50</v>
      </c>
      <c r="G4530" s="1" t="n">
        <v>45</v>
      </c>
      <c r="H4530" s="1" t="n">
        <v>45</v>
      </c>
      <c r="I4530" s="1" t="str">
        <f aca="false">B4530&amp;"|"&amp;C4530</f>
        <v>Church Educational Wings|Good</v>
      </c>
      <c r="J4530" s="1" t="s">
        <v>1600</v>
      </c>
    </row>
    <row r="4531" customFormat="false" ht="12" hidden="false" customHeight="true" outlineLevel="0" collapsed="false">
      <c r="B4531" s="1" t="s">
        <v>936</v>
      </c>
      <c r="C4531" s="1" t="s">
        <v>279</v>
      </c>
      <c r="D4531" s="1" t="n">
        <v>50</v>
      </c>
      <c r="E4531" s="1" t="n">
        <v>50</v>
      </c>
      <c r="F4531" s="1" t="n">
        <v>45</v>
      </c>
      <c r="G4531" s="1" t="n">
        <v>40</v>
      </c>
      <c r="H4531" s="1" t="n">
        <v>40</v>
      </c>
      <c r="I4531" s="1" t="str">
        <f aca="false">B4531&amp;"|"&amp;C4531</f>
        <v>Church Educational Wings|Average</v>
      </c>
      <c r="J4531" s="1" t="s">
        <v>1598</v>
      </c>
    </row>
    <row r="4532" customFormat="false" ht="12" hidden="false" customHeight="true" outlineLevel="0" collapsed="false">
      <c r="B4532" s="1" t="s">
        <v>936</v>
      </c>
      <c r="C4532" s="1" t="s">
        <v>485</v>
      </c>
      <c r="D4532" s="1" t="n">
        <v>60</v>
      </c>
      <c r="E4532" s="1" t="n">
        <v>60</v>
      </c>
      <c r="F4532" s="1" t="n">
        <v>60</v>
      </c>
      <c r="G4532" s="1" t="n">
        <v>50</v>
      </c>
      <c r="I4532" s="1" t="str">
        <f aca="false">B4532&amp;"|"&amp;C4532</f>
        <v>Church Educational Wings|Excellent</v>
      </c>
      <c r="J4532" s="1" t="s">
        <v>1717</v>
      </c>
    </row>
    <row r="4533" customFormat="false" ht="12" hidden="false" customHeight="true" outlineLevel="0" collapsed="false">
      <c r="B4533" s="1" t="s">
        <v>939</v>
      </c>
      <c r="C4533" s="1" t="s">
        <v>485</v>
      </c>
      <c r="D4533" s="1" t="n">
        <v>50</v>
      </c>
      <c r="E4533" s="1" t="n">
        <v>50</v>
      </c>
      <c r="F4533" s="1" t="n">
        <v>45</v>
      </c>
      <c r="G4533" s="1" t="n">
        <v>40</v>
      </c>
      <c r="I4533" s="1" t="str">
        <f aca="false">B4533&amp;"|"&amp;C4533</f>
        <v>Theaters: Live-Stage|Excellent</v>
      </c>
      <c r="J4533" s="1" t="s">
        <v>1719</v>
      </c>
    </row>
    <row r="4534" customFormat="false" ht="12" hidden="false" customHeight="true" outlineLevel="0" collapsed="false">
      <c r="B4534" s="1" t="s">
        <v>939</v>
      </c>
      <c r="C4534" s="1" t="s">
        <v>483</v>
      </c>
      <c r="D4534" s="1" t="n">
        <v>50</v>
      </c>
      <c r="E4534" s="1" t="n">
        <v>50</v>
      </c>
      <c r="F4534" s="1" t="n">
        <v>45</v>
      </c>
      <c r="G4534" s="1" t="n">
        <v>40</v>
      </c>
      <c r="I4534" s="1" t="str">
        <f aca="false">B4534&amp;"|"&amp;C4534</f>
        <v>Theaters: Live-Stage|Good</v>
      </c>
      <c r="J4534" s="1" t="s">
        <v>1719</v>
      </c>
    </row>
    <row r="4535" customFormat="false" ht="12" hidden="false" customHeight="true" outlineLevel="0" collapsed="false">
      <c r="B4535" s="1" t="s">
        <v>939</v>
      </c>
      <c r="C4535" s="1" t="s">
        <v>279</v>
      </c>
      <c r="D4535" s="1" t="n">
        <v>45</v>
      </c>
      <c r="E4535" s="1" t="n">
        <v>45</v>
      </c>
      <c r="F4535" s="1" t="n">
        <v>45</v>
      </c>
      <c r="G4535" s="1" t="n">
        <v>40</v>
      </c>
      <c r="H4535" s="1" t="n">
        <v>40</v>
      </c>
      <c r="I4535" s="1" t="str">
        <f aca="false">B4535&amp;"|"&amp;C4535</f>
        <v>Theaters: Live-Stage|Average</v>
      </c>
      <c r="J4535" s="1" t="s">
        <v>1720</v>
      </c>
    </row>
    <row r="4536" customFormat="false" ht="12" hidden="false" customHeight="true" outlineLevel="0" collapsed="false">
      <c r="B4536" s="1" t="s">
        <v>942</v>
      </c>
      <c r="C4536" s="1" t="s">
        <v>483</v>
      </c>
      <c r="D4536" s="1" t="n">
        <v>45</v>
      </c>
      <c r="E4536" s="1" t="n">
        <v>45</v>
      </c>
      <c r="F4536" s="1" t="n">
        <v>40</v>
      </c>
      <c r="G4536" s="1" t="n">
        <v>35</v>
      </c>
      <c r="H4536" s="1" t="n">
        <v>35</v>
      </c>
      <c r="I4536" s="1" t="str">
        <f aca="false">B4536&amp;"|"&amp;C4536</f>
        <v>Theaters: Cinema|Good</v>
      </c>
      <c r="J4536" s="1" t="s">
        <v>1613</v>
      </c>
    </row>
    <row r="4537" customFormat="false" ht="12" hidden="false" customHeight="true" outlineLevel="0" collapsed="false">
      <c r="B4537" s="1" t="s">
        <v>942</v>
      </c>
      <c r="C4537" s="1" t="s">
        <v>279</v>
      </c>
      <c r="D4537" s="1" t="n">
        <v>45</v>
      </c>
      <c r="E4537" s="1" t="n">
        <v>45</v>
      </c>
      <c r="F4537" s="1" t="n">
        <v>40</v>
      </c>
      <c r="G4537" s="1" t="n">
        <v>35</v>
      </c>
      <c r="H4537" s="1" t="n">
        <v>35</v>
      </c>
      <c r="I4537" s="1" t="str">
        <f aca="false">B4537&amp;"|"&amp;C4537</f>
        <v>Theaters: Cinema|Average</v>
      </c>
      <c r="J4537" s="1" t="s">
        <v>1613</v>
      </c>
    </row>
    <row r="4538" customFormat="false" ht="12" hidden="false" customHeight="true" outlineLevel="0" collapsed="false">
      <c r="B4538" s="1" t="s">
        <v>942</v>
      </c>
      <c r="C4538" s="1" t="s">
        <v>485</v>
      </c>
      <c r="D4538" s="1" t="n">
        <v>50</v>
      </c>
      <c r="E4538" s="1" t="n">
        <v>50</v>
      </c>
      <c r="F4538" s="1" t="n">
        <v>45</v>
      </c>
      <c r="G4538" s="1" t="n">
        <v>40</v>
      </c>
      <c r="I4538" s="1" t="str">
        <f aca="false">B4538&amp;"|"&amp;C4538</f>
        <v>Theaters: Cinema|Excellent</v>
      </c>
      <c r="J4538" s="1" t="s">
        <v>1721</v>
      </c>
    </row>
    <row r="4539" customFormat="false" ht="12" hidden="false" customHeight="true" outlineLevel="0" collapsed="false">
      <c r="B4539" s="1" t="s">
        <v>942</v>
      </c>
      <c r="C4539" s="1" t="s">
        <v>503</v>
      </c>
      <c r="D4539" s="1" t="n">
        <v>50</v>
      </c>
      <c r="E4539" s="1" t="n">
        <v>50</v>
      </c>
      <c r="F4539" s="1" t="n">
        <v>45</v>
      </c>
      <c r="G4539" s="1" t="n">
        <v>40</v>
      </c>
      <c r="I4539" s="1" t="str">
        <f aca="false">B4539&amp;"|"&amp;C4539</f>
        <v>Theaters: Cinema|Very Good</v>
      </c>
      <c r="J4539" s="1" t="s">
        <v>1721</v>
      </c>
    </row>
    <row r="4540" customFormat="false" ht="12" hidden="false" customHeight="true" outlineLevel="0" collapsed="false">
      <c r="B4540" s="1" t="s">
        <v>942</v>
      </c>
      <c r="C4540" s="1" t="s">
        <v>555</v>
      </c>
      <c r="F4540" s="1" t="n">
        <v>35</v>
      </c>
      <c r="G4540" s="1" t="n">
        <v>30</v>
      </c>
      <c r="H4540" s="1" t="n">
        <v>30</v>
      </c>
      <c r="I4540" s="1" t="str">
        <f aca="false">B4540&amp;"|"&amp;C4540</f>
        <v>Theaters: Cinema|Fair</v>
      </c>
      <c r="J4540" s="1" t="s">
        <v>1604</v>
      </c>
    </row>
    <row r="4541" customFormat="false" ht="12" hidden="false" customHeight="true" outlineLevel="0" collapsed="false">
      <c r="B4541" s="1" t="s">
        <v>945</v>
      </c>
      <c r="C4541" s="1" t="s">
        <v>485</v>
      </c>
      <c r="D4541" s="1" t="n">
        <v>55</v>
      </c>
      <c r="E4541" s="1" t="n">
        <v>55</v>
      </c>
      <c r="F4541" s="1" t="n">
        <v>50</v>
      </c>
      <c r="G4541" s="1" t="n">
        <v>45</v>
      </c>
      <c r="I4541" s="1" t="str">
        <f aca="false">B4541&amp;"|"&amp;C4541</f>
        <v>Auditoriums|Excellent</v>
      </c>
      <c r="J4541" s="1" t="s">
        <v>1722</v>
      </c>
    </row>
    <row r="4542" customFormat="false" ht="12" hidden="false" customHeight="true" outlineLevel="0" collapsed="false">
      <c r="B4542" s="1" t="s">
        <v>945</v>
      </c>
      <c r="C4542" s="1" t="s">
        <v>483</v>
      </c>
      <c r="D4542" s="1" t="n">
        <v>50</v>
      </c>
      <c r="E4542" s="1" t="n">
        <v>50</v>
      </c>
      <c r="F4542" s="1" t="n">
        <v>45</v>
      </c>
      <c r="G4542" s="1" t="n">
        <v>40</v>
      </c>
      <c r="H4542" s="1" t="n">
        <v>40</v>
      </c>
      <c r="I4542" s="1" t="str">
        <f aca="false">B4542&amp;"|"&amp;C4542</f>
        <v>Auditoriums|Good</v>
      </c>
      <c r="J4542" s="1" t="s">
        <v>1613</v>
      </c>
    </row>
    <row r="4543" customFormat="false" ht="12" hidden="false" customHeight="true" outlineLevel="0" collapsed="false">
      <c r="B4543" s="1" t="s">
        <v>945</v>
      </c>
      <c r="C4543" s="1" t="s">
        <v>279</v>
      </c>
      <c r="D4543" s="1" t="n">
        <v>50</v>
      </c>
      <c r="E4543" s="1" t="n">
        <v>50</v>
      </c>
      <c r="F4543" s="1" t="n">
        <v>45</v>
      </c>
      <c r="G4543" s="1" t="n">
        <v>40</v>
      </c>
      <c r="H4543" s="1" t="n">
        <v>40</v>
      </c>
      <c r="I4543" s="1" t="str">
        <f aca="false">B4543&amp;"|"&amp;C4543</f>
        <v>Auditoriums|Average</v>
      </c>
      <c r="J4543" s="1" t="s">
        <v>1613</v>
      </c>
    </row>
    <row r="4544" customFormat="false" ht="12" hidden="false" customHeight="true" outlineLevel="0" collapsed="false">
      <c r="B4544" s="1" t="s">
        <v>948</v>
      </c>
      <c r="C4544" s="1" t="s">
        <v>279</v>
      </c>
      <c r="D4544" s="1" t="n">
        <v>45</v>
      </c>
      <c r="E4544" s="1" t="n">
        <v>45</v>
      </c>
      <c r="F4544" s="1" t="n">
        <v>40</v>
      </c>
      <c r="G4544" s="1" t="n">
        <v>35</v>
      </c>
      <c r="H4544" s="1" t="n">
        <v>35</v>
      </c>
      <c r="I4544" s="1" t="str">
        <f aca="false">B4544&amp;"|"&amp;C4544</f>
        <v>Fraternal Buildings|Average</v>
      </c>
      <c r="J4544" s="1" t="s">
        <v>1598</v>
      </c>
    </row>
    <row r="4545" customFormat="false" ht="12" hidden="false" customHeight="true" outlineLevel="0" collapsed="false">
      <c r="B4545" s="1" t="s">
        <v>948</v>
      </c>
      <c r="C4545" s="1" t="s">
        <v>485</v>
      </c>
      <c r="D4545" s="1" t="n">
        <v>55</v>
      </c>
      <c r="E4545" s="1" t="n">
        <v>55</v>
      </c>
      <c r="F4545" s="1" t="n">
        <v>50</v>
      </c>
      <c r="G4545" s="1" t="n">
        <v>45</v>
      </c>
      <c r="I4545" s="1" t="str">
        <f aca="false">B4545&amp;"|"&amp;C4545</f>
        <v>Fraternal Buildings|Excellent</v>
      </c>
      <c r="J4545" s="1" t="s">
        <v>1723</v>
      </c>
    </row>
    <row r="4546" customFormat="false" ht="12" hidden="false" customHeight="true" outlineLevel="0" collapsed="false">
      <c r="B4546" s="1" t="s">
        <v>948</v>
      </c>
      <c r="C4546" s="1" t="s">
        <v>483</v>
      </c>
      <c r="D4546" s="1" t="n">
        <v>50</v>
      </c>
      <c r="E4546" s="1" t="n">
        <v>50</v>
      </c>
      <c r="F4546" s="1" t="n">
        <v>45</v>
      </c>
      <c r="G4546" s="1" t="n">
        <v>40</v>
      </c>
      <c r="I4546" s="1" t="str">
        <f aca="false">B4546&amp;"|"&amp;C4546</f>
        <v>Fraternal Buildings|Good</v>
      </c>
      <c r="J4546" s="1" t="s">
        <v>1600</v>
      </c>
    </row>
    <row r="4547" customFormat="false" ht="12" hidden="false" customHeight="true" outlineLevel="0" collapsed="false">
      <c r="B4547" s="1" t="s">
        <v>951</v>
      </c>
      <c r="C4547" s="1" t="s">
        <v>483</v>
      </c>
      <c r="D4547" s="1" t="n">
        <v>55</v>
      </c>
      <c r="E4547" s="1" t="n">
        <v>55</v>
      </c>
      <c r="F4547" s="1" t="n">
        <v>50</v>
      </c>
      <c r="G4547" s="1" t="n">
        <v>45</v>
      </c>
      <c r="I4547" s="1" t="str">
        <f aca="false">B4547&amp;"|"&amp;C4547</f>
        <v>Visitor Centers|Good</v>
      </c>
      <c r="J4547" s="1" t="s">
        <v>1724</v>
      </c>
    </row>
    <row r="4548" customFormat="false" ht="12" hidden="false" customHeight="true" outlineLevel="0" collapsed="false">
      <c r="B4548" s="1" t="s">
        <v>951</v>
      </c>
      <c r="C4548" s="1" t="s">
        <v>279</v>
      </c>
      <c r="D4548" s="1" t="n">
        <v>50</v>
      </c>
      <c r="E4548" s="1" t="n">
        <v>50</v>
      </c>
      <c r="F4548" s="1" t="n">
        <v>45</v>
      </c>
      <c r="G4548" s="1" t="n">
        <v>40</v>
      </c>
      <c r="H4548" s="1" t="n">
        <v>40</v>
      </c>
      <c r="I4548" s="1" t="str">
        <f aca="false">B4548&amp;"|"&amp;C4548</f>
        <v>Visitor Centers|Average</v>
      </c>
      <c r="J4548" s="1" t="s">
        <v>1598</v>
      </c>
    </row>
    <row r="4549" customFormat="false" ht="12" hidden="false" customHeight="true" outlineLevel="0" collapsed="false">
      <c r="B4549" s="1" t="s">
        <v>951</v>
      </c>
      <c r="C4549" s="1" t="s">
        <v>485</v>
      </c>
      <c r="D4549" s="1" t="n">
        <v>55</v>
      </c>
      <c r="E4549" s="1" t="n">
        <v>55</v>
      </c>
      <c r="F4549" s="1" t="n">
        <v>50</v>
      </c>
      <c r="G4549" s="1" t="n">
        <v>45</v>
      </c>
      <c r="I4549" s="1" t="str">
        <f aca="false">B4549&amp;"|"&amp;C4549</f>
        <v>Visitor Centers|Excellent</v>
      </c>
      <c r="J4549" s="1" t="s">
        <v>1724</v>
      </c>
    </row>
    <row r="4550" customFormat="false" ht="12" hidden="false" customHeight="true" outlineLevel="0" collapsed="false">
      <c r="B4550" s="1" t="s">
        <v>953</v>
      </c>
      <c r="C4550" s="1" t="s">
        <v>483</v>
      </c>
      <c r="D4550" s="1" t="n">
        <v>55</v>
      </c>
      <c r="E4550" s="1" t="n">
        <v>55</v>
      </c>
      <c r="F4550" s="1" t="n">
        <v>50</v>
      </c>
      <c r="G4550" s="1" t="n">
        <v>45</v>
      </c>
      <c r="I4550" s="1" t="str">
        <f aca="false">B4550&amp;"|"&amp;C4550</f>
        <v>Convention Centers|Good</v>
      </c>
      <c r="J4550" s="1" t="s">
        <v>1725</v>
      </c>
    </row>
    <row r="4551" customFormat="false" ht="12" hidden="false" customHeight="true" outlineLevel="0" collapsed="false">
      <c r="B4551" s="1" t="s">
        <v>953</v>
      </c>
      <c r="C4551" s="1" t="s">
        <v>279</v>
      </c>
      <c r="D4551" s="1" t="n">
        <v>50</v>
      </c>
      <c r="E4551" s="1" t="n">
        <v>50</v>
      </c>
      <c r="F4551" s="1" t="n">
        <v>45</v>
      </c>
      <c r="G4551" s="1" t="n">
        <v>40</v>
      </c>
      <c r="H4551" s="1" t="n">
        <v>40</v>
      </c>
      <c r="I4551" s="1" t="str">
        <f aca="false">B4551&amp;"|"&amp;C4551</f>
        <v>Convention Centers|Average</v>
      </c>
      <c r="J4551" s="1" t="s">
        <v>1598</v>
      </c>
    </row>
    <row r="4552" customFormat="false" ht="12" hidden="false" customHeight="true" outlineLevel="0" collapsed="false">
      <c r="B4552" s="1" t="s">
        <v>953</v>
      </c>
      <c r="C4552" s="1" t="s">
        <v>485</v>
      </c>
      <c r="D4552" s="1" t="n">
        <v>55</v>
      </c>
      <c r="E4552" s="1" t="n">
        <v>55</v>
      </c>
      <c r="F4552" s="1" t="n">
        <v>50</v>
      </c>
      <c r="G4552" s="1" t="n">
        <v>45</v>
      </c>
      <c r="I4552" s="1" t="str">
        <f aca="false">B4552&amp;"|"&amp;C4552</f>
        <v>Convention Centers|Excellent</v>
      </c>
      <c r="J4552" s="1" t="s">
        <v>1725</v>
      </c>
    </row>
    <row r="4553" customFormat="false" ht="12" hidden="false" customHeight="true" outlineLevel="0" collapsed="false">
      <c r="B4553" s="1" t="s">
        <v>956</v>
      </c>
      <c r="C4553" s="1" t="s">
        <v>485</v>
      </c>
      <c r="F4553" s="1" t="n">
        <v>50</v>
      </c>
      <c r="I4553" s="1" t="str">
        <f aca="false">B4553&amp;"|"&amp;C4553</f>
        <v>Casinos|Excellent</v>
      </c>
      <c r="J4553" s="1" t="s">
        <v>1726</v>
      </c>
    </row>
    <row r="4554" customFormat="false" ht="12" hidden="false" customHeight="true" outlineLevel="0" collapsed="false">
      <c r="B4554" s="1" t="s">
        <v>956</v>
      </c>
      <c r="C4554" s="1" t="s">
        <v>503</v>
      </c>
      <c r="F4554" s="1" t="n">
        <v>50</v>
      </c>
      <c r="I4554" s="1" t="str">
        <f aca="false">B4554&amp;"|"&amp;C4554</f>
        <v>Casinos|Very Good</v>
      </c>
      <c r="J4554" s="1" t="s">
        <v>1726</v>
      </c>
    </row>
    <row r="4555" customFormat="false" ht="12" hidden="false" customHeight="true" outlineLevel="0" collapsed="false">
      <c r="B4555" s="1" t="s">
        <v>956</v>
      </c>
      <c r="C4555" s="1" t="s">
        <v>483</v>
      </c>
      <c r="F4555" s="1" t="n">
        <v>45</v>
      </c>
      <c r="G4555" s="1" t="n">
        <v>40</v>
      </c>
      <c r="I4555" s="1" t="str">
        <f aca="false">B4555&amp;"|"&amp;C4555</f>
        <v>Casinos|Good</v>
      </c>
      <c r="J4555" s="1" t="s">
        <v>1600</v>
      </c>
    </row>
    <row r="4556" customFormat="false" ht="12" hidden="false" customHeight="true" outlineLevel="0" collapsed="false">
      <c r="B4556" s="1" t="s">
        <v>956</v>
      </c>
      <c r="C4556" s="1" t="s">
        <v>279</v>
      </c>
      <c r="F4556" s="1" t="n">
        <v>40</v>
      </c>
      <c r="G4556" s="1" t="n">
        <v>35</v>
      </c>
      <c r="H4556" s="1" t="n">
        <v>35</v>
      </c>
      <c r="I4556" s="1" t="str">
        <f aca="false">B4556&amp;"|"&amp;C4556</f>
        <v>Casinos|Average</v>
      </c>
      <c r="J4556" s="1" t="s">
        <v>1598</v>
      </c>
    </row>
    <row r="4557" customFormat="false" ht="12" hidden="false" customHeight="true" outlineLevel="0" collapsed="false">
      <c r="B4557" s="1" t="s">
        <v>959</v>
      </c>
      <c r="C4557" s="1" t="s">
        <v>483</v>
      </c>
      <c r="D4557" s="1" t="n">
        <v>50</v>
      </c>
      <c r="E4557" s="1" t="n">
        <v>50</v>
      </c>
      <c r="F4557" s="1" t="n">
        <v>45</v>
      </c>
      <c r="G4557" s="1" t="n">
        <v>40</v>
      </c>
      <c r="H4557" s="1" t="n">
        <v>40</v>
      </c>
      <c r="I4557" s="1" t="str">
        <f aca="false">B4557&amp;"|"&amp;C4557</f>
        <v>Community Recreation Centers|Good</v>
      </c>
      <c r="J4557" s="1" t="s">
        <v>1727</v>
      </c>
    </row>
    <row r="4558" customFormat="false" ht="12" hidden="false" customHeight="true" outlineLevel="0" collapsed="false">
      <c r="B4558" s="1" t="s">
        <v>959</v>
      </c>
      <c r="C4558" s="1" t="s">
        <v>279</v>
      </c>
      <c r="D4558" s="1" t="n">
        <v>45</v>
      </c>
      <c r="E4558" s="1" t="n">
        <v>45</v>
      </c>
      <c r="F4558" s="1" t="n">
        <v>40</v>
      </c>
      <c r="G4558" s="1" t="n">
        <v>35</v>
      </c>
      <c r="H4558" s="1" t="n">
        <v>35</v>
      </c>
      <c r="I4558" s="1" t="str">
        <f aca="false">B4558&amp;"|"&amp;C4558</f>
        <v>Community Recreation Centers|Average</v>
      </c>
      <c r="J4558" s="1" t="s">
        <v>1594</v>
      </c>
    </row>
    <row r="4559" customFormat="false" ht="12" hidden="false" customHeight="true" outlineLevel="0" collapsed="false">
      <c r="B4559" s="1" t="s">
        <v>959</v>
      </c>
      <c r="C4559" s="1" t="s">
        <v>485</v>
      </c>
      <c r="D4559" s="1" t="n">
        <v>50</v>
      </c>
      <c r="E4559" s="1" t="n">
        <v>50</v>
      </c>
      <c r="F4559" s="1" t="n">
        <v>45</v>
      </c>
      <c r="G4559" s="1" t="n">
        <v>40</v>
      </c>
      <c r="H4559" s="1" t="n">
        <v>40</v>
      </c>
      <c r="I4559" s="1" t="str">
        <f aca="false">B4559&amp;"|"&amp;C4559</f>
        <v>Community Recreation Centers|Excellent</v>
      </c>
      <c r="J4559" s="1" t="s">
        <v>1727</v>
      </c>
    </row>
    <row r="4560" customFormat="false" ht="12" hidden="false" customHeight="true" outlineLevel="0" collapsed="false">
      <c r="B4560" s="1" t="s">
        <v>962</v>
      </c>
      <c r="C4560" s="1" t="s">
        <v>485</v>
      </c>
      <c r="F4560" s="1" t="n">
        <v>45</v>
      </c>
      <c r="G4560" s="1" t="n">
        <v>40</v>
      </c>
      <c r="I4560" s="1" t="str">
        <f aca="false">B4560&amp;"|"&amp;C4560</f>
        <v>Arcade Buildings|Excellent</v>
      </c>
      <c r="J4560" s="1" t="s">
        <v>1728</v>
      </c>
    </row>
    <row r="4561" customFormat="false" ht="12" hidden="false" customHeight="true" outlineLevel="0" collapsed="false">
      <c r="B4561" s="1" t="s">
        <v>962</v>
      </c>
      <c r="C4561" s="1" t="s">
        <v>483</v>
      </c>
      <c r="F4561" s="1" t="n">
        <v>45</v>
      </c>
      <c r="G4561" s="1" t="n">
        <v>40</v>
      </c>
      <c r="I4561" s="1" t="str">
        <f aca="false">B4561&amp;"|"&amp;C4561</f>
        <v>Arcade Buildings|Good</v>
      </c>
      <c r="J4561" s="1" t="s">
        <v>1728</v>
      </c>
    </row>
    <row r="4562" customFormat="false" ht="12" hidden="false" customHeight="true" outlineLevel="0" collapsed="false">
      <c r="B4562" s="1" t="s">
        <v>962</v>
      </c>
      <c r="C4562" s="1" t="s">
        <v>279</v>
      </c>
      <c r="F4562" s="1" t="n">
        <v>40</v>
      </c>
      <c r="G4562" s="1" t="n">
        <v>35</v>
      </c>
      <c r="H4562" s="1" t="n">
        <v>35</v>
      </c>
      <c r="I4562" s="1" t="str">
        <f aca="false">B4562&amp;"|"&amp;C4562</f>
        <v>Arcade Buildings|Average</v>
      </c>
      <c r="J4562" s="1" t="s">
        <v>1598</v>
      </c>
    </row>
    <row r="4563" customFormat="false" ht="12" hidden="false" customHeight="true" outlineLevel="0" collapsed="false">
      <c r="B4563" s="1" t="s">
        <v>964</v>
      </c>
      <c r="C4563" s="1" t="s">
        <v>483</v>
      </c>
      <c r="D4563" s="1" t="n">
        <v>60</v>
      </c>
      <c r="E4563" s="1" t="n">
        <v>60</v>
      </c>
      <c r="F4563" s="1" t="n">
        <v>55</v>
      </c>
      <c r="G4563" s="1" t="n">
        <v>50</v>
      </c>
      <c r="I4563" s="1" t="str">
        <f aca="false">B4563&amp;"|"&amp;C4563</f>
        <v>Museums|Good</v>
      </c>
      <c r="J4563" s="1" t="s">
        <v>1729</v>
      </c>
    </row>
    <row r="4564" customFormat="false" ht="12" hidden="false" customHeight="true" outlineLevel="0" collapsed="false">
      <c r="B4564" s="1" t="s">
        <v>964</v>
      </c>
      <c r="C4564" s="1" t="s">
        <v>279</v>
      </c>
      <c r="D4564" s="1" t="n">
        <v>55</v>
      </c>
      <c r="E4564" s="1" t="n">
        <v>55</v>
      </c>
      <c r="F4564" s="1" t="n">
        <v>50</v>
      </c>
      <c r="G4564" s="1" t="n">
        <v>45</v>
      </c>
      <c r="I4564" s="1" t="str">
        <f aca="false">B4564&amp;"|"&amp;C4564</f>
        <v>Museums|Average</v>
      </c>
      <c r="J4564" s="1" t="s">
        <v>1598</v>
      </c>
    </row>
    <row r="4565" customFormat="false" ht="12" hidden="false" customHeight="true" outlineLevel="0" collapsed="false">
      <c r="B4565" s="1" t="s">
        <v>964</v>
      </c>
      <c r="C4565" s="1" t="s">
        <v>485</v>
      </c>
      <c r="D4565" s="1" t="n">
        <v>60</v>
      </c>
      <c r="E4565" s="1" t="n">
        <v>60</v>
      </c>
      <c r="F4565" s="1" t="n">
        <v>55</v>
      </c>
      <c r="G4565" s="1" t="n">
        <v>50</v>
      </c>
      <c r="I4565" s="1" t="str">
        <f aca="false">B4565&amp;"|"&amp;C4565</f>
        <v>Museums|Excellent</v>
      </c>
      <c r="J4565" s="1" t="s">
        <v>1729</v>
      </c>
    </row>
    <row r="4566" customFormat="false" ht="12" hidden="false" customHeight="true" outlineLevel="0" collapsed="false">
      <c r="B4566" s="1" t="s">
        <v>967</v>
      </c>
      <c r="C4566" s="1" t="s">
        <v>483</v>
      </c>
      <c r="D4566" s="1" t="n">
        <v>50</v>
      </c>
      <c r="E4566" s="1" t="n">
        <v>50</v>
      </c>
      <c r="F4566" s="1" t="n">
        <v>45</v>
      </c>
      <c r="G4566" s="1" t="n">
        <v>40</v>
      </c>
      <c r="H4566" s="1" t="n">
        <v>40</v>
      </c>
      <c r="I4566" s="1" t="str">
        <f aca="false">B4566&amp;"|"&amp;C4566</f>
        <v>Ice Skating Rinks|Good</v>
      </c>
      <c r="J4566" s="1" t="s">
        <v>1730</v>
      </c>
    </row>
    <row r="4567" customFormat="false" ht="12" hidden="false" customHeight="true" outlineLevel="0" collapsed="false">
      <c r="B4567" s="1" t="s">
        <v>967</v>
      </c>
      <c r="C4567" s="1" t="s">
        <v>279</v>
      </c>
      <c r="D4567" s="1" t="n">
        <v>45</v>
      </c>
      <c r="E4567" s="1" t="n">
        <v>45</v>
      </c>
      <c r="F4567" s="1" t="n">
        <v>40</v>
      </c>
      <c r="G4567" s="1" t="n">
        <v>35</v>
      </c>
      <c r="H4567" s="1" t="n">
        <v>35</v>
      </c>
      <c r="I4567" s="1" t="str">
        <f aca="false">B4567&amp;"|"&amp;C4567</f>
        <v>Ice Skating Rinks|Average</v>
      </c>
      <c r="J4567" s="1" t="s">
        <v>1598</v>
      </c>
    </row>
    <row r="4568" customFormat="false" ht="12" hidden="false" customHeight="true" outlineLevel="0" collapsed="false">
      <c r="B4568" s="1" t="s">
        <v>967</v>
      </c>
      <c r="C4568" s="1" t="s">
        <v>485</v>
      </c>
      <c r="D4568" s="1" t="n">
        <v>50</v>
      </c>
      <c r="E4568" s="1" t="n">
        <v>50</v>
      </c>
      <c r="F4568" s="1" t="n">
        <v>45</v>
      </c>
      <c r="G4568" s="1" t="n">
        <v>40</v>
      </c>
      <c r="H4568" s="1" t="n">
        <v>40</v>
      </c>
      <c r="I4568" s="1" t="str">
        <f aca="false">B4568&amp;"|"&amp;C4568</f>
        <v>Ice Skating Rinks|Excellent</v>
      </c>
      <c r="J4568" s="1" t="s">
        <v>1730</v>
      </c>
    </row>
    <row r="4569" customFormat="false" ht="12" hidden="false" customHeight="true" outlineLevel="0" collapsed="false">
      <c r="B4569" s="1" t="s">
        <v>970</v>
      </c>
      <c r="C4569" s="1" t="s">
        <v>483</v>
      </c>
      <c r="D4569" s="1" t="n">
        <v>50</v>
      </c>
      <c r="E4569" s="1" t="n">
        <v>50</v>
      </c>
      <c r="F4569" s="1" t="n">
        <v>45</v>
      </c>
      <c r="G4569" s="1" t="n">
        <v>40</v>
      </c>
      <c r="H4569" s="1" t="n">
        <v>40</v>
      </c>
      <c r="I4569" s="1" t="str">
        <f aca="false">B4569&amp;"|"&amp;C4569</f>
        <v>Roller Skating Rinks|Good</v>
      </c>
      <c r="J4569" s="1" t="s">
        <v>1730</v>
      </c>
    </row>
    <row r="4570" customFormat="false" ht="12" hidden="false" customHeight="true" outlineLevel="0" collapsed="false">
      <c r="B4570" s="1" t="s">
        <v>970</v>
      </c>
      <c r="C4570" s="1" t="s">
        <v>279</v>
      </c>
      <c r="D4570" s="1" t="n">
        <v>45</v>
      </c>
      <c r="E4570" s="1" t="n">
        <v>45</v>
      </c>
      <c r="F4570" s="1" t="n">
        <v>40</v>
      </c>
      <c r="G4570" s="1" t="n">
        <v>35</v>
      </c>
      <c r="H4570" s="1" t="n">
        <v>35</v>
      </c>
      <c r="I4570" s="1" t="str">
        <f aca="false">B4570&amp;"|"&amp;C4570</f>
        <v>Roller Skating Rinks|Average</v>
      </c>
      <c r="J4570" s="1" t="s">
        <v>1598</v>
      </c>
    </row>
    <row r="4571" customFormat="false" ht="12" hidden="false" customHeight="true" outlineLevel="0" collapsed="false">
      <c r="B4571" s="1" t="s">
        <v>973</v>
      </c>
      <c r="C4571" s="1" t="s">
        <v>483</v>
      </c>
      <c r="F4571" s="1" t="n">
        <v>45</v>
      </c>
      <c r="G4571" s="1" t="n">
        <v>40</v>
      </c>
      <c r="H4571" s="1" t="n">
        <v>40</v>
      </c>
      <c r="I4571" s="1" t="str">
        <f aca="false">B4571&amp;"|"&amp;C4571</f>
        <v>Handball/Racquetball Clubs|Good</v>
      </c>
      <c r="J4571" s="1" t="s">
        <v>1731</v>
      </c>
    </row>
    <row r="4572" customFormat="false" ht="12" hidden="false" customHeight="true" outlineLevel="0" collapsed="false">
      <c r="B4572" s="1" t="s">
        <v>973</v>
      </c>
      <c r="C4572" s="1" t="s">
        <v>279</v>
      </c>
      <c r="F4572" s="1" t="n">
        <v>40</v>
      </c>
      <c r="G4572" s="1" t="n">
        <v>35</v>
      </c>
      <c r="H4572" s="1" t="n">
        <v>35</v>
      </c>
      <c r="I4572" s="1" t="str">
        <f aca="false">B4572&amp;"|"&amp;C4572</f>
        <v>Handball/Racquetball Clubs|Average</v>
      </c>
      <c r="J4572" s="1" t="s">
        <v>1598</v>
      </c>
    </row>
    <row r="4573" customFormat="false" ht="12" hidden="false" customHeight="true" outlineLevel="0" collapsed="false">
      <c r="B4573" s="1" t="s">
        <v>975</v>
      </c>
      <c r="C4573" s="1" t="s">
        <v>483</v>
      </c>
      <c r="D4573" s="1" t="n">
        <v>50</v>
      </c>
      <c r="E4573" s="1" t="n">
        <v>50</v>
      </c>
      <c r="F4573" s="1" t="n">
        <v>45</v>
      </c>
      <c r="G4573" s="1" t="n">
        <v>40</v>
      </c>
      <c r="H4573" s="1" t="n">
        <v>40</v>
      </c>
      <c r="I4573" s="1" t="str">
        <f aca="false">B4573&amp;"|"&amp;C4573</f>
        <v>Fitness Centers|Good</v>
      </c>
      <c r="J4573" s="1" t="s">
        <v>1732</v>
      </c>
    </row>
    <row r="4574" customFormat="false" ht="12" hidden="false" customHeight="true" outlineLevel="0" collapsed="false">
      <c r="B4574" s="1" t="s">
        <v>975</v>
      </c>
      <c r="C4574" s="1" t="s">
        <v>279</v>
      </c>
      <c r="D4574" s="1" t="n">
        <v>45</v>
      </c>
      <c r="E4574" s="1" t="n">
        <v>45</v>
      </c>
      <c r="F4574" s="1" t="n">
        <v>40</v>
      </c>
      <c r="G4574" s="1" t="n">
        <v>35</v>
      </c>
      <c r="H4574" s="1" t="n">
        <v>35</v>
      </c>
      <c r="I4574" s="1" t="str">
        <f aca="false">B4574&amp;"|"&amp;C4574</f>
        <v>Fitness Centers|Average</v>
      </c>
      <c r="J4574" s="1" t="s">
        <v>1598</v>
      </c>
    </row>
    <row r="4575" customFormat="false" ht="12" hidden="false" customHeight="true" outlineLevel="0" collapsed="false">
      <c r="B4575" s="1" t="s">
        <v>975</v>
      </c>
      <c r="C4575" s="1" t="s">
        <v>485</v>
      </c>
      <c r="D4575" s="1" t="n">
        <v>50</v>
      </c>
      <c r="E4575" s="1" t="n">
        <v>50</v>
      </c>
      <c r="F4575" s="1" t="n">
        <v>45</v>
      </c>
      <c r="G4575" s="1" t="n">
        <v>40</v>
      </c>
      <c r="H4575" s="1" t="n">
        <v>40</v>
      </c>
      <c r="I4575" s="1" t="str">
        <f aca="false">B4575&amp;"|"&amp;C4575</f>
        <v>Fitness Centers|Excellent</v>
      </c>
      <c r="J4575" s="1" t="s">
        <v>1732</v>
      </c>
    </row>
    <row r="4576" customFormat="false" ht="12" hidden="false" customHeight="true" outlineLevel="0" collapsed="false">
      <c r="B4576" s="1" t="s">
        <v>977</v>
      </c>
      <c r="C4576" s="1" t="s">
        <v>485</v>
      </c>
      <c r="F4576" s="1" t="n">
        <v>40</v>
      </c>
      <c r="G4576" s="1" t="n">
        <v>35</v>
      </c>
      <c r="H4576" s="1" t="n">
        <v>35</v>
      </c>
      <c r="I4576" s="1" t="str">
        <f aca="false">B4576&amp;"|"&amp;C4576</f>
        <v>Bowling Centers|Excellent</v>
      </c>
      <c r="J4576" s="1" t="s">
        <v>1733</v>
      </c>
    </row>
    <row r="4577" customFormat="false" ht="12" hidden="false" customHeight="true" outlineLevel="0" collapsed="false">
      <c r="B4577" s="1" t="s">
        <v>977</v>
      </c>
      <c r="C4577" s="1" t="s">
        <v>483</v>
      </c>
      <c r="F4577" s="1" t="n">
        <v>40</v>
      </c>
      <c r="G4577" s="1" t="n">
        <v>35</v>
      </c>
      <c r="H4577" s="1" t="n">
        <v>35</v>
      </c>
      <c r="I4577" s="1" t="str">
        <f aca="false">B4577&amp;"|"&amp;C4577</f>
        <v>Bowling Centers|Good</v>
      </c>
      <c r="J4577" s="1" t="s">
        <v>1733</v>
      </c>
    </row>
    <row r="4578" customFormat="false" ht="12" hidden="false" customHeight="true" outlineLevel="0" collapsed="false">
      <c r="B4578" s="1" t="s">
        <v>977</v>
      </c>
      <c r="C4578" s="1" t="s">
        <v>279</v>
      </c>
      <c r="F4578" s="1" t="n">
        <v>35</v>
      </c>
      <c r="G4578" s="1" t="n">
        <v>30</v>
      </c>
      <c r="H4578" s="1" t="n">
        <v>30</v>
      </c>
      <c r="I4578" s="1" t="str">
        <f aca="false">B4578&amp;"|"&amp;C4578</f>
        <v>Bowling Centers|Average</v>
      </c>
      <c r="J4578" s="1" t="s">
        <v>1594</v>
      </c>
    </row>
    <row r="4579" customFormat="false" ht="12" hidden="false" customHeight="true" outlineLevel="0" collapsed="false">
      <c r="B4579" s="1" t="s">
        <v>980</v>
      </c>
      <c r="C4579" s="1" t="s">
        <v>483</v>
      </c>
      <c r="F4579" s="1" t="n">
        <v>45</v>
      </c>
      <c r="G4579" s="1" t="n">
        <v>40</v>
      </c>
      <c r="H4579" s="1" t="n">
        <v>40</v>
      </c>
      <c r="I4579" s="1" t="str">
        <f aca="false">B4579&amp;"|"&amp;C4579</f>
        <v>Indoor Tennis Clubs|Good</v>
      </c>
      <c r="J4579" s="1" t="s">
        <v>1734</v>
      </c>
    </row>
    <row r="4580" customFormat="false" ht="12" hidden="false" customHeight="true" outlineLevel="0" collapsed="false">
      <c r="B4580" s="1" t="s">
        <v>980</v>
      </c>
      <c r="C4580" s="1" t="s">
        <v>279</v>
      </c>
      <c r="F4580" s="1" t="n">
        <v>40</v>
      </c>
      <c r="G4580" s="1" t="n">
        <v>35</v>
      </c>
      <c r="H4580" s="1" t="n">
        <v>35</v>
      </c>
      <c r="I4580" s="1" t="str">
        <f aca="false">B4580&amp;"|"&amp;C4580</f>
        <v>Indoor Tennis Clubs|Average</v>
      </c>
      <c r="J4580" s="1" t="s">
        <v>1598</v>
      </c>
    </row>
    <row r="4581" customFormat="false" ht="12" hidden="false" customHeight="true" outlineLevel="0" collapsed="false">
      <c r="B4581" s="1" t="s">
        <v>982</v>
      </c>
      <c r="C4581" s="1" t="s">
        <v>485</v>
      </c>
      <c r="F4581" s="1" t="n">
        <v>50</v>
      </c>
      <c r="G4581" s="1" t="n">
        <v>45</v>
      </c>
      <c r="I4581" s="1" t="str">
        <f aca="false">B4581&amp;"|"&amp;C4581</f>
        <v>Pavilions|Excellent</v>
      </c>
      <c r="J4581" s="1" t="s">
        <v>1735</v>
      </c>
    </row>
    <row r="4582" customFormat="false" ht="12" hidden="false" customHeight="true" outlineLevel="0" collapsed="false">
      <c r="B4582" s="1" t="s">
        <v>982</v>
      </c>
      <c r="C4582" s="1" t="s">
        <v>503</v>
      </c>
      <c r="F4582" s="1" t="n">
        <v>45</v>
      </c>
      <c r="G4582" s="1" t="n">
        <v>40</v>
      </c>
      <c r="I4582" s="1" t="str">
        <f aca="false">B4582&amp;"|"&amp;C4582</f>
        <v>Pavilions|Very Good</v>
      </c>
      <c r="J4582" s="1" t="s">
        <v>1736</v>
      </c>
    </row>
    <row r="4583" customFormat="false" ht="12" hidden="false" customHeight="true" outlineLevel="0" collapsed="false">
      <c r="B4583" s="1" t="s">
        <v>982</v>
      </c>
      <c r="C4583" s="1" t="s">
        <v>483</v>
      </c>
      <c r="F4583" s="1" t="n">
        <v>40</v>
      </c>
      <c r="G4583" s="1" t="n">
        <v>35</v>
      </c>
      <c r="I4583" s="1" t="str">
        <f aca="false">B4583&amp;"|"&amp;C4583</f>
        <v>Pavilions|Good</v>
      </c>
      <c r="J4583" s="1" t="s">
        <v>1600</v>
      </c>
    </row>
    <row r="4584" customFormat="false" ht="12" hidden="false" customHeight="true" outlineLevel="0" collapsed="false">
      <c r="B4584" s="1" t="s">
        <v>982</v>
      </c>
      <c r="C4584" s="1" t="s">
        <v>279</v>
      </c>
      <c r="F4584" s="1" t="n">
        <v>35</v>
      </c>
      <c r="G4584" s="1" t="n">
        <v>30</v>
      </c>
      <c r="H4584" s="1" t="n">
        <v>30</v>
      </c>
      <c r="I4584" s="1" t="str">
        <f aca="false">B4584&amp;"|"&amp;C4584</f>
        <v>Pavilions|Average</v>
      </c>
      <c r="J4584" s="1" t="s">
        <v>1737</v>
      </c>
    </row>
    <row r="4585" customFormat="false" ht="12" hidden="false" customHeight="true" outlineLevel="0" collapsed="false">
      <c r="B4585" s="1" t="s">
        <v>982</v>
      </c>
      <c r="C4585" s="1" t="s">
        <v>555</v>
      </c>
      <c r="F4585" s="1" t="n">
        <v>35</v>
      </c>
      <c r="G4585" s="1" t="n">
        <v>30</v>
      </c>
      <c r="H4585" s="1" t="n">
        <v>30</v>
      </c>
      <c r="I4585" s="1" t="str">
        <f aca="false">B4585&amp;"|"&amp;C4585</f>
        <v>Pavilions|Fair</v>
      </c>
      <c r="J4585" s="1" t="s">
        <v>1737</v>
      </c>
    </row>
    <row r="4586" customFormat="false" ht="12" hidden="false" customHeight="true" outlineLevel="0" collapsed="false">
      <c r="B4586" s="1" t="s">
        <v>982</v>
      </c>
      <c r="C4586" s="1" t="s">
        <v>567</v>
      </c>
      <c r="F4586" s="1" t="n">
        <v>25</v>
      </c>
      <c r="G4586" s="1" t="n">
        <v>20</v>
      </c>
      <c r="H4586" s="1" t="n">
        <v>20</v>
      </c>
      <c r="I4586" s="1" t="str">
        <f aca="false">B4586&amp;"|"&amp;C4586</f>
        <v>Pavilions|Cheap</v>
      </c>
      <c r="J4586" s="1" t="s">
        <v>1609</v>
      </c>
    </row>
    <row r="4587" customFormat="false" ht="12" hidden="false" customHeight="true" outlineLevel="0" collapsed="false">
      <c r="B4587" s="1" t="s">
        <v>985</v>
      </c>
      <c r="C4587" s="1" t="s">
        <v>483</v>
      </c>
      <c r="F4587" s="1" t="n">
        <v>35</v>
      </c>
      <c r="G4587" s="1" t="n">
        <v>30</v>
      </c>
      <c r="H4587" s="1" t="n">
        <v>30</v>
      </c>
      <c r="I4587" s="1" t="str">
        <f aca="false">B4587&amp;"|"&amp;C4587</f>
        <v>Light Commercial – Commodity Warehouse|Good</v>
      </c>
      <c r="J4587" s="1" t="s">
        <v>1738</v>
      </c>
    </row>
    <row r="4588" customFormat="false" ht="12" hidden="false" customHeight="true" outlineLevel="0" collapsed="false">
      <c r="B4588" s="1" t="s">
        <v>985</v>
      </c>
      <c r="C4588" s="1" t="s">
        <v>279</v>
      </c>
      <c r="F4588" s="1" t="n">
        <v>30</v>
      </c>
      <c r="G4588" s="1" t="n">
        <v>25</v>
      </c>
      <c r="H4588" s="1" t="n">
        <v>25</v>
      </c>
      <c r="I4588" s="1" t="str">
        <f aca="false">B4588&amp;"|"&amp;C4588</f>
        <v>Light Commercial – Commodity Warehouse|Average</v>
      </c>
      <c r="J4588" s="1" t="s">
        <v>1598</v>
      </c>
    </row>
    <row r="4589" customFormat="false" ht="12" hidden="false" customHeight="true" outlineLevel="0" collapsed="false">
      <c r="B4589" s="1" t="s">
        <v>985</v>
      </c>
      <c r="C4589" s="1" t="s">
        <v>480</v>
      </c>
      <c r="G4589" s="1" t="n">
        <v>20</v>
      </c>
      <c r="H4589" s="1" t="n">
        <v>20</v>
      </c>
      <c r="I4589" s="1" t="str">
        <f aca="false">B4589&amp;"|"&amp;C4589</f>
        <v>Light Commercial – Commodity Warehouse|Low Cost</v>
      </c>
      <c r="J4589" s="1" t="s">
        <v>1602</v>
      </c>
    </row>
    <row r="4590" customFormat="false" ht="12" hidden="false" customHeight="true" outlineLevel="0" collapsed="false">
      <c r="B4590" s="1" t="s">
        <v>989</v>
      </c>
      <c r="C4590" s="1" t="s">
        <v>483</v>
      </c>
      <c r="G4590" s="1" t="n">
        <v>30</v>
      </c>
      <c r="H4590" s="1" t="n">
        <v>35</v>
      </c>
      <c r="I4590" s="1" t="str">
        <f aca="false">B4590&amp;"|"&amp;C4590</f>
        <v>Light Commercial – Manufacturing Utility Buildings|Good</v>
      </c>
      <c r="J4590" s="1" t="s">
        <v>1739</v>
      </c>
    </row>
    <row r="4591" customFormat="false" ht="12" hidden="false" customHeight="true" outlineLevel="0" collapsed="false">
      <c r="B4591" s="1" t="s">
        <v>989</v>
      </c>
      <c r="C4591" s="1" t="s">
        <v>279</v>
      </c>
      <c r="G4591" s="1" t="n">
        <v>25</v>
      </c>
      <c r="H4591" s="1" t="n">
        <v>30</v>
      </c>
      <c r="I4591" s="1" t="str">
        <f aca="false">B4591&amp;"|"&amp;C4591</f>
        <v>Light Commercial – Manufacturing Utility Buildings|Average</v>
      </c>
      <c r="J4591" s="1" t="s">
        <v>1598</v>
      </c>
    </row>
    <row r="4592" customFormat="false" ht="12" hidden="false" customHeight="true" outlineLevel="0" collapsed="false">
      <c r="B4592" s="1" t="s">
        <v>989</v>
      </c>
      <c r="C4592" s="1" t="s">
        <v>480</v>
      </c>
      <c r="G4592" s="1" t="n">
        <v>20</v>
      </c>
      <c r="H4592" s="1" t="n">
        <v>25</v>
      </c>
      <c r="I4592" s="1" t="str">
        <f aca="false">B4592&amp;"|"&amp;C4592</f>
        <v>Light Commercial – Manufacturing Utility Buildings|Low Cost</v>
      </c>
      <c r="J4592" s="1" t="s">
        <v>1602</v>
      </c>
    </row>
    <row r="4593" customFormat="false" ht="12" hidden="false" customHeight="true" outlineLevel="0" collapsed="false">
      <c r="B4593" s="1" t="s">
        <v>991</v>
      </c>
      <c r="C4593" s="1" t="s">
        <v>483</v>
      </c>
      <c r="G4593" s="1" t="n">
        <v>25</v>
      </c>
      <c r="H4593" s="1" t="n">
        <v>30</v>
      </c>
      <c r="I4593" s="1" t="str">
        <f aca="false">B4593&amp;"|"&amp;C4593</f>
        <v>Material – Commodity Shelters|Good</v>
      </c>
      <c r="J4593" s="1" t="s">
        <v>1740</v>
      </c>
    </row>
    <row r="4594" customFormat="false" ht="12" hidden="false" customHeight="true" outlineLevel="0" collapsed="false">
      <c r="B4594" s="1" t="s">
        <v>991</v>
      </c>
      <c r="C4594" s="1" t="s">
        <v>480</v>
      </c>
      <c r="G4594" s="1" t="n">
        <v>15</v>
      </c>
      <c r="H4594" s="1" t="n">
        <v>15</v>
      </c>
      <c r="I4594" s="1" t="str">
        <f aca="false">B4594&amp;"|"&amp;C4594</f>
        <v>Material – Commodity Shelters|Low Cost</v>
      </c>
      <c r="J4594" s="1" t="s">
        <v>1602</v>
      </c>
    </row>
    <row r="4595" customFormat="false" ht="12" hidden="false" customHeight="true" outlineLevel="0" collapsed="false">
      <c r="B4595" s="1" t="s">
        <v>991</v>
      </c>
      <c r="C4595" s="1" t="s">
        <v>503</v>
      </c>
      <c r="G4595" s="1" t="n">
        <v>25</v>
      </c>
      <c r="H4595" s="1" t="n">
        <v>30</v>
      </c>
      <c r="I4595" s="1" t="str">
        <f aca="false">B4595&amp;"|"&amp;C4595</f>
        <v>Material – Commodity Shelters|Very Good</v>
      </c>
      <c r="J4595" s="1" t="s">
        <v>1740</v>
      </c>
    </row>
    <row r="4596" customFormat="false" ht="12" hidden="false" customHeight="true" outlineLevel="0" collapsed="false">
      <c r="B4596" s="1" t="s">
        <v>991</v>
      </c>
      <c r="C4596" s="1" t="s">
        <v>279</v>
      </c>
      <c r="G4596" s="1" t="n">
        <v>20</v>
      </c>
      <c r="H4596" s="1" t="n">
        <v>20</v>
      </c>
      <c r="I4596" s="1" t="str">
        <f aca="false">B4596&amp;"|"&amp;C4596</f>
        <v>Material – Commodity Shelters|Average</v>
      </c>
      <c r="J4596" s="1" t="s">
        <v>1598</v>
      </c>
    </row>
    <row r="4597" customFormat="false" ht="12" hidden="false" customHeight="true" outlineLevel="0" collapsed="false">
      <c r="B4597" s="1" t="s">
        <v>999</v>
      </c>
      <c r="C4597" s="1" t="s">
        <v>483</v>
      </c>
      <c r="F4597" s="1" t="n">
        <v>35</v>
      </c>
      <c r="G4597" s="1" t="n">
        <v>30</v>
      </c>
      <c r="H4597" s="1" t="n">
        <v>30</v>
      </c>
      <c r="I4597" s="1" t="str">
        <f aca="false">B4597&amp;"|"&amp;C4597</f>
        <v>Light Commercial Utility Buildings|Good</v>
      </c>
      <c r="J4597" s="1" t="s">
        <v>1741</v>
      </c>
    </row>
    <row r="4598" customFormat="false" ht="12" hidden="false" customHeight="true" outlineLevel="0" collapsed="false">
      <c r="B4598" s="1" t="s">
        <v>999</v>
      </c>
      <c r="C4598" s="1" t="s">
        <v>279</v>
      </c>
      <c r="F4598" s="1" t="n">
        <v>30</v>
      </c>
      <c r="G4598" s="1" t="n">
        <v>25</v>
      </c>
      <c r="H4598" s="1" t="n">
        <v>25</v>
      </c>
      <c r="I4598" s="1" t="str">
        <f aca="false">B4598&amp;"|"&amp;C4598</f>
        <v>Light Commercial Utility Buildings|Average</v>
      </c>
      <c r="J4598" s="1" t="s">
        <v>1598</v>
      </c>
    </row>
    <row r="4599" customFormat="false" ht="12" hidden="false" customHeight="true" outlineLevel="0" collapsed="false">
      <c r="B4599" s="1" t="s">
        <v>999</v>
      </c>
      <c r="C4599" s="1" t="s">
        <v>480</v>
      </c>
      <c r="G4599" s="1" t="n">
        <v>20</v>
      </c>
      <c r="H4599" s="1" t="n">
        <v>20</v>
      </c>
      <c r="I4599" s="1" t="str">
        <f aca="false">B4599&amp;"|"&amp;C4599</f>
        <v>Light Commercial Utility Buildings|Low Cost</v>
      </c>
      <c r="J4599" s="1" t="s">
        <v>1602</v>
      </c>
    </row>
    <row r="4600" customFormat="false" ht="12" hidden="false" customHeight="true" outlineLevel="0" collapsed="false">
      <c r="B4600" s="1" t="s">
        <v>1002</v>
      </c>
      <c r="C4600" s="1" t="s">
        <v>483</v>
      </c>
      <c r="F4600" s="1" t="n">
        <v>25</v>
      </c>
      <c r="G4600" s="1" t="n">
        <v>20</v>
      </c>
      <c r="I4600" s="1" t="str">
        <f aca="false">B4600&amp;"|"&amp;C4600</f>
        <v>Toolshed Buildings|Good</v>
      </c>
      <c r="J4600" s="1" t="s">
        <v>1742</v>
      </c>
    </row>
    <row r="4601" customFormat="false" ht="12" hidden="false" customHeight="true" outlineLevel="0" collapsed="false">
      <c r="B4601" s="1" t="s">
        <v>1002</v>
      </c>
      <c r="C4601" s="1" t="s">
        <v>279</v>
      </c>
      <c r="G4601" s="1" t="n">
        <v>15</v>
      </c>
      <c r="I4601" s="1" t="str">
        <f aca="false">B4601&amp;"|"&amp;C4601</f>
        <v>Toolshed Buildings|Average</v>
      </c>
      <c r="J4601" s="1" t="s">
        <v>1598</v>
      </c>
    </row>
    <row r="4602" customFormat="false" ht="12" hidden="false" customHeight="true" outlineLevel="0" collapsed="false">
      <c r="B4602" s="1" t="s">
        <v>1002</v>
      </c>
      <c r="C4602" s="1" t="s">
        <v>480</v>
      </c>
      <c r="G4602" s="1" t="n">
        <v>10</v>
      </c>
      <c r="I4602" s="1" t="str">
        <f aca="false">B4602&amp;"|"&amp;C4602</f>
        <v>Toolshed Buildings|Low Cost</v>
      </c>
      <c r="J4602" s="1" t="s">
        <v>1602</v>
      </c>
    </row>
    <row r="4603" customFormat="false" ht="12" hidden="false" customHeight="true" outlineLevel="0" collapsed="false">
      <c r="B4603" s="1" t="s">
        <v>1004</v>
      </c>
      <c r="C4603" s="1" t="s">
        <v>483</v>
      </c>
      <c r="F4603" s="1" t="n">
        <v>35</v>
      </c>
      <c r="G4603" s="1" t="n">
        <v>30</v>
      </c>
      <c r="H4603" s="1" t="n">
        <v>30</v>
      </c>
      <c r="I4603" s="1" t="str">
        <f aca="false">B4603&amp;"|"&amp;C4603</f>
        <v>Light Commercial Arch-Rib (Quonset) Buildings|Good</v>
      </c>
      <c r="J4603" s="1" t="s">
        <v>1741</v>
      </c>
    </row>
    <row r="4604" customFormat="false" ht="12" hidden="false" customHeight="true" outlineLevel="0" collapsed="false">
      <c r="B4604" s="1" t="s">
        <v>1004</v>
      </c>
      <c r="C4604" s="1" t="s">
        <v>279</v>
      </c>
      <c r="F4604" s="1" t="n">
        <v>30</v>
      </c>
      <c r="G4604" s="1" t="n">
        <v>25</v>
      </c>
      <c r="H4604" s="1" t="n">
        <v>25</v>
      </c>
      <c r="I4604" s="1" t="str">
        <f aca="false">B4604&amp;"|"&amp;C4604</f>
        <v>Light Commercial Arch-Rib (Quonset) Buildings|Average</v>
      </c>
      <c r="J4604" s="1" t="s">
        <v>1598</v>
      </c>
    </row>
    <row r="4605" customFormat="false" ht="12" hidden="false" customHeight="true" outlineLevel="0" collapsed="false">
      <c r="B4605" s="1" t="s">
        <v>1004</v>
      </c>
      <c r="C4605" s="1" t="s">
        <v>480</v>
      </c>
      <c r="G4605" s="1" t="n">
        <v>20</v>
      </c>
      <c r="H4605" s="1" t="n">
        <v>20</v>
      </c>
      <c r="I4605" s="1" t="str">
        <f aca="false">B4605&amp;"|"&amp;C4605</f>
        <v>Light Commercial Arch-Rib (Quonset) Buildings|Low Cost</v>
      </c>
      <c r="J4605" s="1" t="s">
        <v>1602</v>
      </c>
    </row>
    <row r="4606" customFormat="false" ht="12" hidden="false" customHeight="true" outlineLevel="0" collapsed="false">
      <c r="B4606" s="1" t="s">
        <v>1007</v>
      </c>
      <c r="C4606" s="1" t="s">
        <v>483</v>
      </c>
      <c r="F4606" s="1" t="n">
        <v>35</v>
      </c>
      <c r="G4606" s="1" t="n">
        <v>30</v>
      </c>
      <c r="H4606" s="1" t="n">
        <v>30</v>
      </c>
      <c r="I4606" s="1" t="str">
        <f aca="false">B4606&amp;"|"&amp;C4606</f>
        <v>Light Commercial Equipment (Shop) Buildings|Good</v>
      </c>
      <c r="J4606" s="1" t="s">
        <v>1743</v>
      </c>
    </row>
    <row r="4607" customFormat="false" ht="12" hidden="false" customHeight="true" outlineLevel="0" collapsed="false">
      <c r="B4607" s="1" t="s">
        <v>1007</v>
      </c>
      <c r="C4607" s="1" t="s">
        <v>279</v>
      </c>
      <c r="F4607" s="1" t="n">
        <v>30</v>
      </c>
      <c r="G4607" s="1" t="n">
        <v>25</v>
      </c>
      <c r="H4607" s="1" t="n">
        <v>25</v>
      </c>
      <c r="I4607" s="1" t="str">
        <f aca="false">B4607&amp;"|"&amp;C4607</f>
        <v>Light Commercial Equipment (Shop) Buildings|Average</v>
      </c>
      <c r="J4607" s="1" t="s">
        <v>1598</v>
      </c>
    </row>
    <row r="4608" customFormat="false" ht="12" hidden="false" customHeight="true" outlineLevel="0" collapsed="false">
      <c r="B4608" s="1" t="s">
        <v>1009</v>
      </c>
      <c r="C4608" s="1" t="s">
        <v>483</v>
      </c>
      <c r="F4608" s="1" t="n">
        <v>30</v>
      </c>
      <c r="G4608" s="1" t="n">
        <v>25</v>
      </c>
      <c r="H4608" s="1" t="n">
        <v>25</v>
      </c>
      <c r="I4608" s="1" t="str">
        <f aca="false">B4608&amp;"|"&amp;C4608</f>
        <v>Light Commercial Equipment Sheds|Good</v>
      </c>
      <c r="J4608" s="1" t="s">
        <v>1744</v>
      </c>
    </row>
    <row r="4609" customFormat="false" ht="12" hidden="false" customHeight="true" outlineLevel="0" collapsed="false">
      <c r="B4609" s="1" t="s">
        <v>1009</v>
      </c>
      <c r="C4609" s="1" t="s">
        <v>279</v>
      </c>
      <c r="F4609" s="1" t="n">
        <v>25</v>
      </c>
      <c r="G4609" s="1" t="n">
        <v>20</v>
      </c>
      <c r="H4609" s="1" t="n">
        <v>20</v>
      </c>
      <c r="I4609" s="1" t="str">
        <f aca="false">B4609&amp;"|"&amp;C4609</f>
        <v>Light Commercial Equipment Sheds|Average</v>
      </c>
      <c r="J4609" s="1" t="s">
        <v>1598</v>
      </c>
    </row>
    <row r="4610" customFormat="false" ht="12" hidden="false" customHeight="true" outlineLevel="0" collapsed="false">
      <c r="B4610" s="1" t="s">
        <v>1012</v>
      </c>
      <c r="C4610" s="1" t="s">
        <v>483</v>
      </c>
      <c r="F4610" s="1" t="n">
        <v>40</v>
      </c>
      <c r="G4610" s="1" t="n">
        <v>35</v>
      </c>
      <c r="H4610" s="1" t="n">
        <v>35</v>
      </c>
      <c r="I4610" s="1" t="str">
        <f aca="false">B4610&amp;"|"&amp;C4610</f>
        <v>Shed Office Structures|Good</v>
      </c>
      <c r="J4610" s="1" t="s">
        <v>1745</v>
      </c>
    </row>
    <row r="4611" customFormat="false" ht="12" hidden="false" customHeight="true" outlineLevel="0" collapsed="false">
      <c r="B4611" s="1" t="s">
        <v>1012</v>
      </c>
      <c r="C4611" s="1" t="s">
        <v>279</v>
      </c>
      <c r="F4611" s="1" t="n">
        <v>35</v>
      </c>
      <c r="G4611" s="1" t="n">
        <v>30</v>
      </c>
      <c r="H4611" s="1" t="n">
        <v>30</v>
      </c>
      <c r="I4611" s="1" t="str">
        <f aca="false">B4611&amp;"|"&amp;C4611</f>
        <v>Shed Office Structures|Average</v>
      </c>
      <c r="J4611" s="1" t="s">
        <v>1598</v>
      </c>
    </row>
    <row r="4612" customFormat="false" ht="12" hidden="false" customHeight="true" outlineLevel="0" collapsed="false">
      <c r="B4612" s="1" t="s">
        <v>1012</v>
      </c>
      <c r="C4612" s="1" t="s">
        <v>480</v>
      </c>
      <c r="G4612" s="1" t="n">
        <v>25</v>
      </c>
      <c r="H4612" s="1" t="n">
        <v>25</v>
      </c>
      <c r="I4612" s="1" t="str">
        <f aca="false">B4612&amp;"|"&amp;C4612</f>
        <v>Shed Office Structures|Low Cost</v>
      </c>
      <c r="J4612" s="1" t="s">
        <v>1602</v>
      </c>
    </row>
    <row r="4613" customFormat="false" ht="12" hidden="false" customHeight="true" outlineLevel="0" collapsed="false">
      <c r="B4613" s="1" t="s">
        <v>1014</v>
      </c>
      <c r="C4613" s="1" t="s">
        <v>485</v>
      </c>
      <c r="G4613" s="1" t="n">
        <v>35</v>
      </c>
      <c r="H4613" s="1" t="n">
        <v>30</v>
      </c>
      <c r="I4613" s="1" t="str">
        <f aca="false">B4613&amp;"|"&amp;C4613</f>
        <v>Golf Cart Storage Buildings|Excellent</v>
      </c>
      <c r="J4613" s="1" t="s">
        <v>1746</v>
      </c>
    </row>
    <row r="4614" customFormat="false" ht="12" hidden="false" customHeight="true" outlineLevel="0" collapsed="false">
      <c r="B4614" s="1" t="s">
        <v>1014</v>
      </c>
      <c r="C4614" s="1" t="s">
        <v>483</v>
      </c>
      <c r="G4614" s="1" t="n">
        <v>35</v>
      </c>
      <c r="H4614" s="1" t="n">
        <v>30</v>
      </c>
      <c r="I4614" s="1" t="str">
        <f aca="false">B4614&amp;"|"&amp;C4614</f>
        <v>Golf Cart Storage Buildings|Good</v>
      </c>
      <c r="J4614" s="1" t="s">
        <v>1746</v>
      </c>
    </row>
    <row r="4615" customFormat="false" ht="12" hidden="false" customHeight="true" outlineLevel="0" collapsed="false">
      <c r="B4615" s="1" t="s">
        <v>1014</v>
      </c>
      <c r="C4615" s="1" t="s">
        <v>279</v>
      </c>
      <c r="G4615" s="1" t="n">
        <v>30</v>
      </c>
      <c r="H4615" s="1" t="n">
        <v>25</v>
      </c>
      <c r="I4615" s="1" t="str">
        <f aca="false">B4615&amp;"|"&amp;C4615</f>
        <v>Golf Cart Storage Buildings|Average</v>
      </c>
      <c r="J4615" s="1" t="s">
        <v>1598</v>
      </c>
    </row>
    <row r="4616" customFormat="false" ht="12" hidden="false" customHeight="true" outlineLevel="0" collapsed="false">
      <c r="B4616" s="1" t="s">
        <v>1017</v>
      </c>
      <c r="C4616" s="1" t="s">
        <v>485</v>
      </c>
      <c r="F4616" s="1" t="n">
        <v>40</v>
      </c>
      <c r="G4616" s="1" t="n">
        <v>35</v>
      </c>
      <c r="I4616" s="1" t="str">
        <f aca="false">B4616&amp;"|"&amp;C4616</f>
        <v>Golf Starter (Guard House) Booths|Excellent</v>
      </c>
      <c r="J4616" s="1" t="s">
        <v>1747</v>
      </c>
    </row>
    <row r="4617" customFormat="false" ht="12" hidden="false" customHeight="true" outlineLevel="0" collapsed="false">
      <c r="B4617" s="1" t="s">
        <v>1017</v>
      </c>
      <c r="C4617" s="1" t="s">
        <v>483</v>
      </c>
      <c r="F4617" s="1" t="n">
        <v>35</v>
      </c>
      <c r="G4617" s="1" t="n">
        <v>30</v>
      </c>
      <c r="H4617" s="1" t="n">
        <v>25</v>
      </c>
      <c r="I4617" s="1" t="str">
        <f aca="false">B4617&amp;"|"&amp;C4617</f>
        <v>Golf Starter (Guard House) Booths|Good</v>
      </c>
      <c r="J4617" s="1" t="s">
        <v>1600</v>
      </c>
    </row>
    <row r="4618" customFormat="false" ht="12" hidden="false" customHeight="true" outlineLevel="0" collapsed="false">
      <c r="B4618" s="1" t="s">
        <v>1017</v>
      </c>
      <c r="C4618" s="1" t="s">
        <v>279</v>
      </c>
      <c r="F4618" s="1" t="n">
        <v>25</v>
      </c>
      <c r="G4618" s="1" t="n">
        <v>20</v>
      </c>
      <c r="H4618" s="1" t="n">
        <v>20</v>
      </c>
      <c r="I4618" s="1" t="str">
        <f aca="false">B4618&amp;"|"&amp;C4618</f>
        <v>Golf Starter (Guard House) Booths|Average</v>
      </c>
      <c r="J4618" s="1" t="s">
        <v>1598</v>
      </c>
    </row>
    <row r="4619" customFormat="false" ht="12" hidden="false" customHeight="true" outlineLevel="0" collapsed="false">
      <c r="B4619" s="1" t="s">
        <v>1017</v>
      </c>
      <c r="C4619" s="1" t="s">
        <v>480</v>
      </c>
      <c r="G4619" s="1" t="n">
        <v>15</v>
      </c>
      <c r="H4619" s="1" t="n">
        <v>10</v>
      </c>
      <c r="I4619" s="1" t="str">
        <f aca="false">B4619&amp;"|"&amp;C4619</f>
        <v>Golf Starter (Guard House) Booths|Low Cost</v>
      </c>
      <c r="J4619" s="1" t="s">
        <v>1602</v>
      </c>
    </row>
    <row r="4620" customFormat="false" ht="12" hidden="false" customHeight="true" outlineLevel="0" collapsed="false">
      <c r="B4620" s="1" t="s">
        <v>1019</v>
      </c>
      <c r="C4620" s="1" t="s">
        <v>503</v>
      </c>
      <c r="F4620" s="1" t="n">
        <v>30</v>
      </c>
      <c r="G4620" s="1" t="n">
        <v>25</v>
      </c>
      <c r="H4620" s="1" t="n">
        <v>25</v>
      </c>
      <c r="I4620" s="1" t="str">
        <f aca="false">B4620&amp;"|"&amp;C4620</f>
        <v>Material Storage Buildings|Very Good</v>
      </c>
      <c r="J4620" s="1" t="s">
        <v>1748</v>
      </c>
    </row>
    <row r="4621" customFormat="false" ht="12" hidden="false" customHeight="true" outlineLevel="0" collapsed="false">
      <c r="B4621" s="1" t="s">
        <v>1019</v>
      </c>
      <c r="C4621" s="1" t="s">
        <v>483</v>
      </c>
      <c r="F4621" s="1" t="n">
        <v>30</v>
      </c>
      <c r="G4621" s="1" t="n">
        <v>25</v>
      </c>
      <c r="H4621" s="1" t="n">
        <v>25</v>
      </c>
      <c r="I4621" s="1" t="str">
        <f aca="false">B4621&amp;"|"&amp;C4621</f>
        <v>Material Storage Buildings|Good</v>
      </c>
      <c r="J4621" s="1" t="s">
        <v>1748</v>
      </c>
    </row>
    <row r="4622" customFormat="false" ht="12" hidden="false" customHeight="true" outlineLevel="0" collapsed="false">
      <c r="B4622" s="1" t="s">
        <v>1019</v>
      </c>
      <c r="C4622" s="1" t="s">
        <v>279</v>
      </c>
      <c r="F4622" s="1" t="n">
        <v>25</v>
      </c>
      <c r="G4622" s="1" t="n">
        <v>20</v>
      </c>
      <c r="H4622" s="1" t="n">
        <v>20</v>
      </c>
      <c r="I4622" s="1" t="str">
        <f aca="false">B4622&amp;"|"&amp;C4622</f>
        <v>Material Storage Buildings|Average</v>
      </c>
      <c r="J4622" s="1" t="s">
        <v>1598</v>
      </c>
    </row>
    <row r="4623" customFormat="false" ht="12" hidden="false" customHeight="true" outlineLevel="0" collapsed="false">
      <c r="B4623" s="1" t="s">
        <v>1022</v>
      </c>
      <c r="C4623" s="1" t="s">
        <v>279</v>
      </c>
      <c r="F4623" s="1" t="n">
        <v>25</v>
      </c>
      <c r="G4623" s="1" t="n">
        <v>20</v>
      </c>
      <c r="H4623" s="1" t="n">
        <v>20</v>
      </c>
      <c r="I4623" s="1" t="str">
        <f aca="false">B4623&amp;"|"&amp;C4623</f>
        <v>Material Storage Sheds|Average</v>
      </c>
      <c r="J4623" s="1" t="s">
        <v>1749</v>
      </c>
    </row>
    <row r="4624" customFormat="false" ht="12" hidden="false" customHeight="true" outlineLevel="0" collapsed="false">
      <c r="B4624" s="1" t="s">
        <v>1022</v>
      </c>
      <c r="C4624" s="1" t="s">
        <v>480</v>
      </c>
      <c r="F4624" s="1" t="n">
        <v>20</v>
      </c>
      <c r="G4624" s="1" t="n">
        <v>15</v>
      </c>
      <c r="H4624" s="1" t="n">
        <v>15</v>
      </c>
      <c r="I4624" s="1" t="str">
        <f aca="false">B4624&amp;"|"&amp;C4624</f>
        <v>Material Storage Sheds|Low Cost</v>
      </c>
      <c r="J4624" s="1" t="s">
        <v>1602</v>
      </c>
    </row>
    <row r="4625" customFormat="false" ht="12" hidden="false" customHeight="true" outlineLevel="0" collapsed="false">
      <c r="B4625" s="1" t="s">
        <v>1024</v>
      </c>
      <c r="C4625" s="1" t="s">
        <v>279</v>
      </c>
      <c r="G4625" s="1" t="n">
        <v>30</v>
      </c>
      <c r="H4625" s="1" t="n">
        <v>30</v>
      </c>
      <c r="I4625" s="1" t="str">
        <f aca="false">B4625&amp;"|"&amp;C4625</f>
        <v>Bulk Oil Storage|Average</v>
      </c>
      <c r="J4625" s="1" t="s">
        <v>1750</v>
      </c>
    </row>
    <row r="4626" customFormat="false" ht="12" hidden="false" customHeight="true" outlineLevel="0" collapsed="false">
      <c r="B4626" s="1" t="s">
        <v>1026</v>
      </c>
      <c r="C4626" s="1" t="s">
        <v>483</v>
      </c>
      <c r="G4626" s="1" t="n">
        <v>25</v>
      </c>
      <c r="H4626" s="1" t="n">
        <v>25</v>
      </c>
      <c r="I4626" s="1" t="str">
        <f aca="false">B4626&amp;"|"&amp;C4626</f>
        <v>Lumber Storage Buildings|Good</v>
      </c>
      <c r="J4626" s="1" t="s">
        <v>1751</v>
      </c>
    </row>
    <row r="4627" customFormat="false" ht="12" hidden="false" customHeight="true" outlineLevel="0" collapsed="false">
      <c r="B4627" s="1" t="s">
        <v>1026</v>
      </c>
      <c r="C4627" s="1" t="s">
        <v>279</v>
      </c>
      <c r="G4627" s="1" t="n">
        <v>20</v>
      </c>
      <c r="H4627" s="1" t="n">
        <v>20</v>
      </c>
      <c r="I4627" s="1" t="str">
        <f aca="false">B4627&amp;"|"&amp;C4627</f>
        <v>Lumber Storage Buildings|Average</v>
      </c>
      <c r="J4627" s="1" t="s">
        <v>1598</v>
      </c>
    </row>
    <row r="4628" customFormat="false" ht="12" hidden="false" customHeight="true" outlineLevel="0" collapsed="false">
      <c r="B4628" s="1" t="s">
        <v>1026</v>
      </c>
      <c r="C4628" s="1" t="s">
        <v>480</v>
      </c>
      <c r="G4628" s="1" t="n">
        <v>15</v>
      </c>
      <c r="H4628" s="1" t="n">
        <v>15</v>
      </c>
      <c r="I4628" s="1" t="str">
        <f aca="false">B4628&amp;"|"&amp;C4628</f>
        <v>Lumber Storage Buildings|Low Cost</v>
      </c>
      <c r="J4628" s="1" t="s">
        <v>1602</v>
      </c>
    </row>
    <row r="4629" customFormat="false" ht="12" hidden="false" customHeight="true" outlineLevel="0" collapsed="false">
      <c r="B4629" s="1" t="s">
        <v>1029</v>
      </c>
      <c r="C4629" s="1" t="s">
        <v>483</v>
      </c>
      <c r="G4629" s="1" t="n">
        <v>25</v>
      </c>
      <c r="H4629" s="1" t="n">
        <v>20</v>
      </c>
      <c r="I4629" s="1" t="str">
        <f aca="false">B4629&amp;"|"&amp;C4629</f>
        <v>Lumber Storage Sheds|Good</v>
      </c>
      <c r="J4629" s="1" t="s">
        <v>1752</v>
      </c>
    </row>
    <row r="4630" customFormat="false" ht="12" hidden="false" customHeight="true" outlineLevel="0" collapsed="false">
      <c r="B4630" s="1" t="s">
        <v>1029</v>
      </c>
      <c r="C4630" s="1" t="s">
        <v>279</v>
      </c>
      <c r="G4630" s="1" t="n">
        <v>15</v>
      </c>
      <c r="H4630" s="1" t="n">
        <v>15</v>
      </c>
      <c r="I4630" s="1" t="str">
        <f aca="false">B4630&amp;"|"&amp;C4630</f>
        <v>Lumber Storage Sheds|Average</v>
      </c>
      <c r="J4630" s="1" t="s">
        <v>1594</v>
      </c>
    </row>
    <row r="4631" customFormat="false" ht="12" hidden="false" customHeight="true" outlineLevel="0" collapsed="false">
      <c r="B4631" s="1" t="s">
        <v>1029</v>
      </c>
      <c r="C4631" s="1" t="s">
        <v>480</v>
      </c>
      <c r="G4631" s="1" t="n">
        <v>15</v>
      </c>
      <c r="H4631" s="1" t="n">
        <v>15</v>
      </c>
      <c r="I4631" s="1" t="str">
        <f aca="false">B4631&amp;"|"&amp;C4631</f>
        <v>Lumber Storage Sheds|Low Cost</v>
      </c>
      <c r="J4631" s="1" t="s">
        <v>1594</v>
      </c>
    </row>
    <row r="4632" customFormat="false" ht="12" hidden="false" customHeight="true" outlineLevel="0" collapsed="false">
      <c r="B4632" s="1" t="s">
        <v>1031</v>
      </c>
      <c r="C4632" s="1" t="s">
        <v>279</v>
      </c>
      <c r="G4632" s="1" t="n">
        <v>25</v>
      </c>
      <c r="H4632" s="1" t="n">
        <v>25</v>
      </c>
      <c r="I4632" s="1" t="str">
        <f aca="false">B4632&amp;"|"&amp;C4632</f>
        <v>Boat Storage Buildings|Average</v>
      </c>
      <c r="J4632" s="1" t="s">
        <v>1598</v>
      </c>
    </row>
    <row r="4633" customFormat="false" ht="12" hidden="false" customHeight="true" outlineLevel="0" collapsed="false">
      <c r="B4633" s="1" t="s">
        <v>1031</v>
      </c>
      <c r="C4633" s="1" t="s">
        <v>480</v>
      </c>
      <c r="G4633" s="1" t="n">
        <v>20</v>
      </c>
      <c r="H4633" s="1" t="n">
        <v>20</v>
      </c>
      <c r="I4633" s="1" t="str">
        <f aca="false">B4633&amp;"|"&amp;C4633</f>
        <v>Boat Storage Buildings|Low Cost</v>
      </c>
      <c r="J4633" s="1" t="s">
        <v>1602</v>
      </c>
    </row>
    <row r="4634" customFormat="false" ht="12" hidden="false" customHeight="true" outlineLevel="0" collapsed="false">
      <c r="B4634" s="1" t="s">
        <v>1031</v>
      </c>
      <c r="C4634" s="1" t="s">
        <v>483</v>
      </c>
      <c r="H4634" s="1" t="n">
        <v>30</v>
      </c>
      <c r="I4634" s="1" t="str">
        <f aca="false">B4634&amp;"|"&amp;C4634</f>
        <v>Boat Storage Buildings|Good</v>
      </c>
      <c r="J4634" s="1" t="s">
        <v>1753</v>
      </c>
    </row>
    <row r="4635" customFormat="false" ht="12" hidden="false" customHeight="true" outlineLevel="0" collapsed="false">
      <c r="B4635" s="1" t="s">
        <v>1034</v>
      </c>
      <c r="C4635" s="1" t="s">
        <v>483</v>
      </c>
      <c r="G4635" s="1" t="n">
        <v>20</v>
      </c>
      <c r="H4635" s="1" t="n">
        <v>20</v>
      </c>
      <c r="I4635" s="1" t="str">
        <f aca="false">B4635&amp;"|"&amp;C4635</f>
        <v>Boat Storage Sheds|Good</v>
      </c>
      <c r="J4635" s="1" t="s">
        <v>1754</v>
      </c>
    </row>
    <row r="4636" customFormat="false" ht="12" hidden="false" customHeight="true" outlineLevel="0" collapsed="false">
      <c r="B4636" s="1" t="s">
        <v>1034</v>
      </c>
      <c r="C4636" s="1" t="s">
        <v>279</v>
      </c>
      <c r="G4636" s="1" t="n">
        <v>15</v>
      </c>
      <c r="H4636" s="1" t="n">
        <v>15</v>
      </c>
      <c r="I4636" s="1" t="str">
        <f aca="false">B4636&amp;"|"&amp;C4636</f>
        <v>Boat Storage Sheds|Average</v>
      </c>
      <c r="J4636" s="1" t="s">
        <v>1594</v>
      </c>
    </row>
    <row r="4637" customFormat="false" ht="12" hidden="false" customHeight="true" outlineLevel="0" collapsed="false">
      <c r="B4637" s="1" t="s">
        <v>1034</v>
      </c>
      <c r="C4637" s="1" t="s">
        <v>480</v>
      </c>
      <c r="G4637" s="1" t="n">
        <v>15</v>
      </c>
      <c r="H4637" s="1" t="n">
        <v>15</v>
      </c>
      <c r="I4637" s="1" t="str">
        <f aca="false">B4637&amp;"|"&amp;C4637</f>
        <v>Boat Storage Sheds|Low Cost</v>
      </c>
      <c r="J4637" s="1" t="s">
        <v>1594</v>
      </c>
    </row>
    <row r="4638" customFormat="false" ht="12" hidden="false" customHeight="true" outlineLevel="0" collapsed="false">
      <c r="B4638" s="1" t="s">
        <v>1036</v>
      </c>
      <c r="C4638" s="1" t="s">
        <v>279</v>
      </c>
      <c r="G4638" s="1" t="n">
        <v>30</v>
      </c>
      <c r="H4638" s="1" t="n">
        <v>30</v>
      </c>
      <c r="I4638" s="1" t="str">
        <f aca="false">B4638&amp;"|"&amp;C4638</f>
        <v>Bag Fertilizer Storage|Average</v>
      </c>
      <c r="J4638" s="1" t="s">
        <v>1755</v>
      </c>
    </row>
    <row r="4639" customFormat="false" ht="12" hidden="false" customHeight="true" outlineLevel="0" collapsed="false">
      <c r="B4639" s="1" t="s">
        <v>1039</v>
      </c>
      <c r="C4639" s="1" t="s">
        <v>279</v>
      </c>
      <c r="F4639" s="1" t="n">
        <v>35</v>
      </c>
      <c r="G4639" s="1" t="n">
        <v>30</v>
      </c>
      <c r="H4639" s="1" t="n">
        <v>30</v>
      </c>
      <c r="I4639" s="1" t="str">
        <f aca="false">B4639&amp;"|"&amp;C4639</f>
        <v>Bulk Fertilizer Storage|Average</v>
      </c>
      <c r="J4639" s="1" t="s">
        <v>1756</v>
      </c>
    </row>
    <row r="4640" customFormat="false" ht="12" hidden="false" customHeight="true" outlineLevel="0" collapsed="false">
      <c r="B4640" s="1" t="s">
        <v>1041</v>
      </c>
      <c r="C4640" s="1" t="s">
        <v>279</v>
      </c>
      <c r="F4640" s="1" t="n">
        <v>25</v>
      </c>
      <c r="G4640" s="1" t="n">
        <v>20</v>
      </c>
      <c r="H4640" s="1" t="n">
        <v>20</v>
      </c>
      <c r="I4640" s="1" t="str">
        <f aca="false">B4640&amp;"|"&amp;C4640</f>
        <v>Tobacco Barns – Flue Curing|Average</v>
      </c>
      <c r="J4640" s="1" t="s">
        <v>1757</v>
      </c>
    </row>
    <row r="4641" customFormat="false" ht="12" hidden="false" customHeight="true" outlineLevel="0" collapsed="false">
      <c r="B4641" s="1" t="s">
        <v>1043</v>
      </c>
      <c r="C4641" s="1" t="s">
        <v>279</v>
      </c>
      <c r="G4641" s="1" t="n">
        <v>25</v>
      </c>
      <c r="I4641" s="1" t="str">
        <f aca="false">B4641&amp;"|"&amp;C4641</f>
        <v>Tobacco Barns – Air Curing|Average</v>
      </c>
      <c r="J4641" s="1" t="s">
        <v>1758</v>
      </c>
    </row>
    <row r="4642" customFormat="false" ht="12" hidden="false" customHeight="true" outlineLevel="0" collapsed="false">
      <c r="B4642" s="1" t="s">
        <v>1043</v>
      </c>
      <c r="C4642" s="1" t="s">
        <v>480</v>
      </c>
      <c r="G4642" s="1" t="n">
        <v>20</v>
      </c>
      <c r="I4642" s="1" t="str">
        <f aca="false">B4642&amp;"|"&amp;C4642</f>
        <v>Tobacco Barns – Air Curing|Low Cost</v>
      </c>
      <c r="J4642" s="1" t="s">
        <v>1602</v>
      </c>
    </row>
    <row r="4643" customFormat="false" ht="12" hidden="false" customHeight="true" outlineLevel="0" collapsed="false">
      <c r="B4643" s="1" t="s">
        <v>1045</v>
      </c>
      <c r="C4643" s="1" t="s">
        <v>279</v>
      </c>
      <c r="F4643" s="1" t="n">
        <v>35</v>
      </c>
      <c r="I4643" s="1" t="str">
        <f aca="false">B4643&amp;"|"&amp;C4643</f>
        <v>Dehydrator Shed Buildings|Average</v>
      </c>
      <c r="J4643" s="1" t="s">
        <v>1759</v>
      </c>
    </row>
    <row r="4644" customFormat="false" ht="12" hidden="false" customHeight="true" outlineLevel="0" collapsed="false">
      <c r="B4644" s="1" t="s">
        <v>1047</v>
      </c>
      <c r="C4644" s="1" t="s">
        <v>483</v>
      </c>
      <c r="F4644" s="1" t="n">
        <v>40</v>
      </c>
      <c r="G4644" s="1" t="n">
        <v>35</v>
      </c>
      <c r="H4644" s="1" t="n">
        <v>35</v>
      </c>
      <c r="I4644" s="1" t="str">
        <f aca="false">B4644&amp;"|"&amp;C4644</f>
        <v>Farm Cold Storage Buildings|Good</v>
      </c>
      <c r="J4644" s="1" t="s">
        <v>1760</v>
      </c>
    </row>
    <row r="4645" customFormat="false" ht="12" hidden="false" customHeight="true" outlineLevel="0" collapsed="false">
      <c r="B4645" s="1" t="s">
        <v>1047</v>
      </c>
      <c r="C4645" s="1" t="s">
        <v>279</v>
      </c>
      <c r="F4645" s="1" t="n">
        <v>35</v>
      </c>
      <c r="G4645" s="1" t="n">
        <v>30</v>
      </c>
      <c r="H4645" s="1" t="n">
        <v>30</v>
      </c>
      <c r="I4645" s="1" t="str">
        <f aca="false">B4645&amp;"|"&amp;C4645</f>
        <v>Farm Cold Storage Buildings|Average</v>
      </c>
      <c r="J4645" s="1" t="s">
        <v>1598</v>
      </c>
    </row>
    <row r="4646" customFormat="false" ht="12" hidden="false" customHeight="true" outlineLevel="0" collapsed="false">
      <c r="B4646" s="1" t="s">
        <v>1047</v>
      </c>
      <c r="C4646" s="1" t="s">
        <v>480</v>
      </c>
      <c r="F4646" s="1" t="n">
        <v>30</v>
      </c>
      <c r="G4646" s="1" t="n">
        <v>25</v>
      </c>
      <c r="H4646" s="1" t="n">
        <v>25</v>
      </c>
      <c r="I4646" s="1" t="str">
        <f aca="false">B4646&amp;"|"&amp;C4646</f>
        <v>Farm Cold Storage Buildings|Low Cost</v>
      </c>
      <c r="J4646" s="1" t="s">
        <v>1602</v>
      </c>
    </row>
    <row r="4647" customFormat="false" ht="12" hidden="false" customHeight="true" outlineLevel="0" collapsed="false">
      <c r="B4647" s="1" t="s">
        <v>1050</v>
      </c>
      <c r="C4647" s="1" t="s">
        <v>279</v>
      </c>
      <c r="F4647" s="1" t="n">
        <v>30</v>
      </c>
      <c r="G4647" s="1" t="n">
        <v>25</v>
      </c>
      <c r="H4647" s="1" t="n">
        <v>25</v>
      </c>
      <c r="I4647" s="1" t="str">
        <f aca="false">B4647&amp;"|"&amp;C4647</f>
        <v>Fruit Packing Barns|Average</v>
      </c>
      <c r="J4647" s="1" t="s">
        <v>1761</v>
      </c>
    </row>
    <row r="4648" customFormat="false" ht="12" hidden="false" customHeight="true" outlineLevel="0" collapsed="false">
      <c r="B4648" s="1" t="s">
        <v>1052</v>
      </c>
      <c r="C4648" s="1" t="s">
        <v>483</v>
      </c>
      <c r="F4648" s="1" t="n">
        <v>30</v>
      </c>
      <c r="G4648" s="1" t="n">
        <v>25</v>
      </c>
      <c r="H4648" s="1" t="n">
        <v>25</v>
      </c>
      <c r="I4648" s="1" t="str">
        <f aca="false">B4648&amp;"|"&amp;C4648</f>
        <v>Potato Storage Buildings|Good</v>
      </c>
      <c r="J4648" s="1" t="s">
        <v>1762</v>
      </c>
    </row>
    <row r="4649" customFormat="false" ht="12" hidden="false" customHeight="true" outlineLevel="0" collapsed="false">
      <c r="B4649" s="1" t="s">
        <v>1052</v>
      </c>
      <c r="C4649" s="1" t="s">
        <v>279</v>
      </c>
      <c r="F4649" s="1" t="n">
        <v>25</v>
      </c>
      <c r="G4649" s="1" t="n">
        <v>20</v>
      </c>
      <c r="H4649" s="1" t="n">
        <v>20</v>
      </c>
      <c r="I4649" s="1" t="str">
        <f aca="false">B4649&amp;"|"&amp;C4649</f>
        <v>Potato Storage Buildings|Average</v>
      </c>
      <c r="J4649" s="1" t="s">
        <v>1598</v>
      </c>
    </row>
    <row r="4650" customFormat="false" ht="12" hidden="false" customHeight="true" outlineLevel="0" collapsed="false">
      <c r="B4650" s="1" t="s">
        <v>1052</v>
      </c>
      <c r="C4650" s="1" t="s">
        <v>480</v>
      </c>
      <c r="F4650" s="1" t="n">
        <v>20</v>
      </c>
      <c r="G4650" s="1" t="n">
        <v>15</v>
      </c>
      <c r="H4650" s="1" t="n">
        <v>15</v>
      </c>
      <c r="I4650" s="1" t="str">
        <f aca="false">B4650&amp;"|"&amp;C4650</f>
        <v>Potato Storage Buildings|Low Cost</v>
      </c>
      <c r="J4650" s="1" t="s">
        <v>1682</v>
      </c>
    </row>
    <row r="4651" customFormat="false" ht="12" hidden="false" customHeight="true" outlineLevel="0" collapsed="false">
      <c r="B4651" s="1" t="s">
        <v>1052</v>
      </c>
      <c r="C4651" s="1" t="s">
        <v>567</v>
      </c>
      <c r="F4651" s="1" t="n">
        <v>20</v>
      </c>
      <c r="G4651" s="1" t="n">
        <v>15</v>
      </c>
      <c r="H4651" s="1" t="n">
        <v>15</v>
      </c>
      <c r="I4651" s="1" t="str">
        <f aca="false">B4651&amp;"|"&amp;C4651</f>
        <v>Potato Storage Buildings|Cheap</v>
      </c>
      <c r="J4651" s="1" t="s">
        <v>1682</v>
      </c>
    </row>
    <row r="4652" customFormat="false" ht="12" hidden="false" customHeight="true" outlineLevel="0" collapsed="false">
      <c r="B4652" s="1" t="s">
        <v>1055</v>
      </c>
      <c r="C4652" s="1" t="s">
        <v>483</v>
      </c>
      <c r="H4652" s="1" t="n">
        <v>35</v>
      </c>
      <c r="I4652" s="1" t="str">
        <f aca="false">B4652&amp;"|"&amp;C4652</f>
        <v>Vegetable Buildings – Environmental|Good</v>
      </c>
      <c r="J4652" s="1" t="s">
        <v>1763</v>
      </c>
    </row>
    <row r="4653" customFormat="false" ht="12" hidden="false" customHeight="true" outlineLevel="0" collapsed="false">
      <c r="B4653" s="1" t="s">
        <v>1055</v>
      </c>
      <c r="C4653" s="1" t="s">
        <v>555</v>
      </c>
      <c r="H4653" s="1" t="n">
        <v>30</v>
      </c>
      <c r="I4653" s="1" t="str">
        <f aca="false">B4653&amp;"|"&amp;C4653</f>
        <v>Vegetable Buildings – Environmental|Fair</v>
      </c>
      <c r="J4653" s="1" t="s">
        <v>1604</v>
      </c>
    </row>
    <row r="4654" customFormat="false" ht="12" hidden="false" customHeight="true" outlineLevel="0" collapsed="false">
      <c r="B4654" s="1" t="s">
        <v>1055</v>
      </c>
      <c r="C4654" s="1" t="s">
        <v>480</v>
      </c>
      <c r="H4654" s="1" t="n">
        <v>30</v>
      </c>
      <c r="I4654" s="1" t="str">
        <f aca="false">B4654&amp;"|"&amp;C4654</f>
        <v>Vegetable Buildings – Environmental|Low Cost</v>
      </c>
      <c r="J4654" s="1" t="s">
        <v>1604</v>
      </c>
    </row>
    <row r="4655" customFormat="false" ht="12" hidden="false" customHeight="true" outlineLevel="0" collapsed="false">
      <c r="B4655" s="1" t="s">
        <v>1057</v>
      </c>
      <c r="C4655" s="1" t="s">
        <v>279</v>
      </c>
      <c r="F4655" s="1" t="n">
        <v>35</v>
      </c>
      <c r="G4655" s="1" t="n">
        <v>30</v>
      </c>
      <c r="H4655" s="1" t="n">
        <v>30</v>
      </c>
      <c r="I4655" s="1" t="str">
        <f aca="false">B4655&amp;"|"&amp;C4655</f>
        <v>Controlled Atmosphere Buildings|Average</v>
      </c>
      <c r="J4655" s="1" t="s">
        <v>1764</v>
      </c>
    </row>
    <row r="4656" customFormat="false" ht="12" hidden="false" customHeight="true" outlineLevel="0" collapsed="false">
      <c r="B4656" s="1" t="s">
        <v>1059</v>
      </c>
      <c r="C4656" s="1" t="s">
        <v>279</v>
      </c>
      <c r="G4656" s="1" t="n">
        <v>20</v>
      </c>
      <c r="H4656" s="1" t="n">
        <v>25</v>
      </c>
      <c r="I4656" s="1" t="str">
        <f aca="false">B4656&amp;"|"&amp;C4656</f>
        <v>Greenhouse – Straight-Wall Structures|Average</v>
      </c>
      <c r="J4656" s="1" t="s">
        <v>1598</v>
      </c>
    </row>
    <row r="4657" customFormat="false" ht="12" hidden="false" customHeight="true" outlineLevel="0" collapsed="false">
      <c r="B4657" s="1" t="s">
        <v>1059</v>
      </c>
      <c r="C4657" s="1" t="s">
        <v>555</v>
      </c>
      <c r="G4657" s="1" t="n">
        <v>15</v>
      </c>
      <c r="H4657" s="1" t="n">
        <v>20</v>
      </c>
      <c r="I4657" s="1" t="str">
        <f aca="false">B4657&amp;"|"&amp;C4657</f>
        <v>Greenhouse – Straight-Wall Structures|Fair</v>
      </c>
      <c r="J4657" s="1" t="s">
        <v>1765</v>
      </c>
    </row>
    <row r="4658" customFormat="false" ht="12" hidden="false" customHeight="true" outlineLevel="0" collapsed="false">
      <c r="B4658" s="1" t="s">
        <v>1059</v>
      </c>
      <c r="C4658" s="1" t="s">
        <v>480</v>
      </c>
      <c r="G4658" s="1" t="n">
        <v>10</v>
      </c>
      <c r="H4658" s="1" t="n">
        <v>15</v>
      </c>
      <c r="I4658" s="1" t="str">
        <f aca="false">B4658&amp;"|"&amp;C4658</f>
        <v>Greenhouse – Straight-Wall Structures|Low Cost</v>
      </c>
      <c r="J4658" s="1" t="s">
        <v>1682</v>
      </c>
    </row>
    <row r="4659" customFormat="false" ht="12" hidden="false" customHeight="true" outlineLevel="0" collapsed="false">
      <c r="B4659" s="1" t="s">
        <v>1059</v>
      </c>
      <c r="C4659" s="1" t="s">
        <v>567</v>
      </c>
      <c r="G4659" s="1" t="n">
        <v>10</v>
      </c>
      <c r="H4659" s="1" t="n">
        <v>15</v>
      </c>
      <c r="I4659" s="1" t="str">
        <f aca="false">B4659&amp;"|"&amp;C4659</f>
        <v>Greenhouse – Straight-Wall Structures|Cheap</v>
      </c>
      <c r="J4659" s="1" t="s">
        <v>1682</v>
      </c>
    </row>
    <row r="4660" customFormat="false" ht="12" hidden="false" customHeight="true" outlineLevel="0" collapsed="false">
      <c r="B4660" s="1" t="s">
        <v>1059</v>
      </c>
      <c r="C4660" s="1" t="s">
        <v>485</v>
      </c>
      <c r="H4660" s="1" t="n">
        <v>40</v>
      </c>
      <c r="I4660" s="1" t="str">
        <f aca="false">B4660&amp;"|"&amp;C4660</f>
        <v>Greenhouse – Straight-Wall Structures|Excellent</v>
      </c>
      <c r="J4660" s="1" t="s">
        <v>1766</v>
      </c>
    </row>
    <row r="4661" customFormat="false" ht="12" hidden="false" customHeight="true" outlineLevel="0" collapsed="false">
      <c r="B4661" s="1" t="s">
        <v>1059</v>
      </c>
      <c r="C4661" s="1" t="s">
        <v>503</v>
      </c>
      <c r="H4661" s="1" t="n">
        <v>40</v>
      </c>
      <c r="I4661" s="1" t="str">
        <f aca="false">B4661&amp;"|"&amp;C4661</f>
        <v>Greenhouse – Straight-Wall Structures|Very Good</v>
      </c>
      <c r="J4661" s="1" t="s">
        <v>1766</v>
      </c>
    </row>
    <row r="4662" customFormat="false" ht="12" hidden="false" customHeight="true" outlineLevel="0" collapsed="false">
      <c r="B4662" s="1" t="s">
        <v>1059</v>
      </c>
      <c r="C4662" s="1" t="s">
        <v>483</v>
      </c>
      <c r="H4662" s="1" t="n">
        <v>35</v>
      </c>
      <c r="I4662" s="1" t="str">
        <f aca="false">B4662&amp;"|"&amp;C4662</f>
        <v>Greenhouse – Straight-Wall Structures|Good</v>
      </c>
      <c r="J4662" s="1" t="s">
        <v>1600</v>
      </c>
    </row>
    <row r="4663" customFormat="false" ht="12" hidden="false" customHeight="true" outlineLevel="0" collapsed="false">
      <c r="B4663" s="1" t="s">
        <v>1062</v>
      </c>
      <c r="C4663" s="1" t="s">
        <v>480</v>
      </c>
      <c r="G4663" s="1" t="n">
        <v>10</v>
      </c>
      <c r="H4663" s="1" t="n">
        <v>10</v>
      </c>
      <c r="I4663" s="1" t="str">
        <f aca="false">B4663&amp;"|"&amp;C4663</f>
        <v>Greenhouse – Hoop (Arch-Rib/Quonset) Structures|Low Cost</v>
      </c>
      <c r="J4663" s="1" t="s">
        <v>1682</v>
      </c>
    </row>
    <row r="4664" customFormat="false" ht="12" hidden="false" customHeight="true" outlineLevel="0" collapsed="false">
      <c r="B4664" s="1" t="s">
        <v>1062</v>
      </c>
      <c r="C4664" s="1" t="s">
        <v>503</v>
      </c>
      <c r="H4664" s="1" t="n">
        <v>35</v>
      </c>
      <c r="I4664" s="1" t="str">
        <f aca="false">B4664&amp;"|"&amp;C4664</f>
        <v>Greenhouse – Hoop (Arch-Rib/Quonset) Structures|Very Good</v>
      </c>
      <c r="J4664" s="1" t="s">
        <v>1767</v>
      </c>
    </row>
    <row r="4665" customFormat="false" ht="12" hidden="false" customHeight="true" outlineLevel="0" collapsed="false">
      <c r="B4665" s="1" t="s">
        <v>1062</v>
      </c>
      <c r="C4665" s="1" t="s">
        <v>483</v>
      </c>
      <c r="H4665" s="1" t="n">
        <v>30</v>
      </c>
      <c r="I4665" s="1" t="str">
        <f aca="false">B4665&amp;"|"&amp;C4665</f>
        <v>Greenhouse – Hoop (Arch-Rib/Quonset) Structures|Good</v>
      </c>
      <c r="J4665" s="1" t="s">
        <v>1600</v>
      </c>
    </row>
    <row r="4666" customFormat="false" ht="12" hidden="false" customHeight="true" outlineLevel="0" collapsed="false">
      <c r="B4666" s="1" t="s">
        <v>1062</v>
      </c>
      <c r="C4666" s="1" t="s">
        <v>279</v>
      </c>
      <c r="H4666" s="1" t="n">
        <v>20</v>
      </c>
      <c r="I4666" s="1" t="str">
        <f aca="false">B4666&amp;"|"&amp;C4666</f>
        <v>Greenhouse – Hoop (Arch-Rib/Quonset) Structures|Average</v>
      </c>
      <c r="J4666" s="1" t="s">
        <v>1598</v>
      </c>
    </row>
    <row r="4667" customFormat="false" ht="12" hidden="false" customHeight="true" outlineLevel="0" collapsed="false">
      <c r="B4667" s="1" t="s">
        <v>1062</v>
      </c>
      <c r="C4667" s="1" t="s">
        <v>555</v>
      </c>
      <c r="H4667" s="1" t="n">
        <v>15</v>
      </c>
      <c r="I4667" s="1" t="str">
        <f aca="false">B4667&amp;"|"&amp;C4667</f>
        <v>Greenhouse – Hoop (Arch-Rib/Quonset) Structures|Fair</v>
      </c>
      <c r="J4667" s="1" t="s">
        <v>1765</v>
      </c>
    </row>
    <row r="4668" customFormat="false" ht="12" hidden="false" customHeight="true" outlineLevel="0" collapsed="false">
      <c r="B4668" s="1" t="s">
        <v>1062</v>
      </c>
      <c r="C4668" s="1" t="s">
        <v>567</v>
      </c>
      <c r="G4668" s="1" t="n">
        <v>10</v>
      </c>
      <c r="H4668" s="1" t="n">
        <v>10</v>
      </c>
      <c r="I4668" s="1" t="str">
        <f aca="false">B4668&amp;"|"&amp;C4668</f>
        <v>Greenhouse – Hoop (Arch-Rib/Quonset) Structures|Cheap</v>
      </c>
      <c r="J4668" s="1" t="s">
        <v>1682</v>
      </c>
    </row>
    <row r="4669" customFormat="false" ht="12" hidden="false" customHeight="true" outlineLevel="0" collapsed="false">
      <c r="B4669" s="1" t="s">
        <v>1064</v>
      </c>
      <c r="C4669" s="1" t="s">
        <v>279</v>
      </c>
      <c r="G4669" s="1" t="n">
        <v>10</v>
      </c>
      <c r="H4669" s="1" t="n">
        <v>10</v>
      </c>
      <c r="I4669" s="1" t="str">
        <f aca="false">B4669&amp;"|"&amp;C4669</f>
        <v>Greenhouse Shade Shelters|Average</v>
      </c>
      <c r="J4669" s="1" t="s">
        <v>1768</v>
      </c>
    </row>
    <row r="4670" customFormat="false" ht="12" hidden="false" customHeight="true" outlineLevel="0" collapsed="false">
      <c r="B4670" s="1" t="s">
        <v>1064</v>
      </c>
      <c r="C4670" s="1" t="s">
        <v>480</v>
      </c>
      <c r="G4670" s="1" t="n">
        <v>10</v>
      </c>
      <c r="H4670" s="1" t="n">
        <v>10</v>
      </c>
      <c r="I4670" s="1" t="str">
        <f aca="false">B4670&amp;"|"&amp;C4670</f>
        <v>Greenhouse Shade Shelters|Low Cost</v>
      </c>
      <c r="J4670" s="1" t="s">
        <v>1768</v>
      </c>
    </row>
    <row r="4671" customFormat="false" ht="12" hidden="false" customHeight="true" outlineLevel="0" collapsed="false">
      <c r="B4671" s="1" t="s">
        <v>1067</v>
      </c>
      <c r="C4671" s="1" t="s">
        <v>279</v>
      </c>
      <c r="G4671" s="1" t="n">
        <v>20</v>
      </c>
      <c r="H4671" s="1" t="n">
        <v>25</v>
      </c>
      <c r="I4671" s="1" t="str">
        <f aca="false">B4671&amp;"|"&amp;C4671</f>
        <v>Lath Shade Houses|Average</v>
      </c>
      <c r="J4671" s="1" t="s">
        <v>1769</v>
      </c>
    </row>
    <row r="4672" customFormat="false" ht="12" hidden="false" customHeight="true" outlineLevel="0" collapsed="false">
      <c r="B4672" s="1" t="s">
        <v>1069</v>
      </c>
      <c r="C4672" s="1" t="s">
        <v>483</v>
      </c>
      <c r="F4672" s="1" t="n">
        <v>45</v>
      </c>
      <c r="G4672" s="1" t="n">
        <v>40</v>
      </c>
      <c r="H4672" s="1" t="n">
        <v>40</v>
      </c>
      <c r="I4672" s="1" t="str">
        <f aca="false">B4672&amp;"|"&amp;C4672</f>
        <v>Flathouse Storage Buildings|Good</v>
      </c>
      <c r="J4672" s="1" t="s">
        <v>1770</v>
      </c>
    </row>
    <row r="4673" customFormat="false" ht="12" hidden="false" customHeight="true" outlineLevel="0" collapsed="false">
      <c r="B4673" s="1" t="s">
        <v>1069</v>
      </c>
      <c r="C4673" s="1" t="s">
        <v>279</v>
      </c>
      <c r="F4673" s="1" t="n">
        <v>35</v>
      </c>
      <c r="G4673" s="1" t="n">
        <v>30</v>
      </c>
      <c r="H4673" s="1" t="n">
        <v>30</v>
      </c>
      <c r="I4673" s="1" t="str">
        <f aca="false">B4673&amp;"|"&amp;C4673</f>
        <v>Flathouse Storage Buildings|Average</v>
      </c>
      <c r="J4673" s="1" t="s">
        <v>1598</v>
      </c>
    </row>
    <row r="4674" customFormat="false" ht="12" hidden="false" customHeight="true" outlineLevel="0" collapsed="false">
      <c r="B4674" s="1" t="s">
        <v>1072</v>
      </c>
      <c r="C4674" s="1" t="s">
        <v>279</v>
      </c>
      <c r="G4674" s="1" t="n">
        <v>20</v>
      </c>
      <c r="H4674" s="1" t="n">
        <v>20</v>
      </c>
      <c r="I4674" s="1" t="str">
        <f aca="false">B4674&amp;"|"&amp;C4674</f>
        <v>Feed Handling and Mixing Shed Building|Average</v>
      </c>
      <c r="J4674" s="1" t="s">
        <v>1771</v>
      </c>
    </row>
    <row r="4675" customFormat="false" ht="12" hidden="false" customHeight="true" outlineLevel="0" collapsed="false">
      <c r="B4675" s="1" t="s">
        <v>1074</v>
      </c>
      <c r="C4675" s="1" t="s">
        <v>279</v>
      </c>
      <c r="H4675" s="1" t="n">
        <v>30</v>
      </c>
      <c r="I4675" s="1" t="str">
        <f aca="false">B4675&amp;"|"&amp;C4675</f>
        <v>Cotton Gins|Average</v>
      </c>
      <c r="J4675" s="1" t="s">
        <v>1772</v>
      </c>
    </row>
    <row r="4676" customFormat="false" ht="12" hidden="false" customHeight="true" outlineLevel="0" collapsed="false">
      <c r="B4676" s="1" t="s">
        <v>1074</v>
      </c>
      <c r="C4676" s="1" t="s">
        <v>480</v>
      </c>
      <c r="H4676" s="1" t="n">
        <v>25</v>
      </c>
      <c r="I4676" s="1" t="str">
        <f aca="false">B4676&amp;"|"&amp;C4676</f>
        <v>Cotton Gins|Low Cost</v>
      </c>
      <c r="J4676" s="1" t="s">
        <v>1602</v>
      </c>
    </row>
    <row r="4677" customFormat="false" ht="12" hidden="false" customHeight="true" outlineLevel="0" collapsed="false">
      <c r="B4677" s="1" t="s">
        <v>1076</v>
      </c>
      <c r="C4677" s="1" t="s">
        <v>279</v>
      </c>
      <c r="G4677" s="1" t="n">
        <v>30</v>
      </c>
      <c r="H4677" s="1" t="n">
        <v>30</v>
      </c>
      <c r="I4677" s="1" t="str">
        <f aca="false">B4677&amp;"|"&amp;C4677</f>
        <v>Seed Processing Storage|Average</v>
      </c>
      <c r="J4677" s="1" t="s">
        <v>1773</v>
      </c>
    </row>
    <row r="4678" customFormat="false" ht="12" hidden="false" customHeight="true" outlineLevel="0" collapsed="false">
      <c r="B4678" s="1" t="s">
        <v>1078</v>
      </c>
      <c r="C4678" s="1" t="s">
        <v>483</v>
      </c>
      <c r="F4678" s="1" t="n">
        <v>25</v>
      </c>
      <c r="H4678" s="1" t="n">
        <v>20</v>
      </c>
      <c r="I4678" s="1" t="str">
        <f aca="false">B4678&amp;"|"&amp;C4678</f>
        <v>Secure Storage Modular Shed Buildings|Good</v>
      </c>
      <c r="J4678" s="1" t="s">
        <v>1774</v>
      </c>
    </row>
    <row r="4679" customFormat="false" ht="12" hidden="false" customHeight="true" outlineLevel="0" collapsed="false">
      <c r="B4679" s="1" t="s">
        <v>1078</v>
      </c>
      <c r="C4679" s="1" t="s">
        <v>279</v>
      </c>
      <c r="F4679" s="1" t="n">
        <v>25</v>
      </c>
      <c r="H4679" s="1" t="n">
        <v>20</v>
      </c>
      <c r="I4679" s="1" t="str">
        <f aca="false">B4679&amp;"|"&amp;C4679</f>
        <v>Secure Storage Modular Shed Buildings|Average</v>
      </c>
      <c r="J4679" s="1" t="s">
        <v>1774</v>
      </c>
    </row>
    <row r="4680" customFormat="false" ht="12" hidden="false" customHeight="true" outlineLevel="0" collapsed="false">
      <c r="B4680" s="1" t="s">
        <v>1078</v>
      </c>
      <c r="C4680" s="1" t="s">
        <v>480</v>
      </c>
      <c r="H4680" s="1" t="n">
        <v>15</v>
      </c>
      <c r="I4680" s="1" t="str">
        <f aca="false">B4680&amp;"|"&amp;C4680</f>
        <v>Secure Storage Modular Shed Buildings|Low Cost</v>
      </c>
      <c r="J4680" s="1" t="s">
        <v>1602</v>
      </c>
    </row>
    <row r="4681" customFormat="false" ht="12" hidden="false" customHeight="true" outlineLevel="0" collapsed="false">
      <c r="B4681" s="1" t="s">
        <v>1081</v>
      </c>
      <c r="C4681" s="1" t="s">
        <v>485</v>
      </c>
      <c r="G4681" s="1" t="n">
        <v>20</v>
      </c>
      <c r="H4681" s="1" t="n">
        <v>20</v>
      </c>
      <c r="I4681" s="1" t="str">
        <f aca="false">B4681&amp;"|"&amp;C4681</f>
        <v>Prefabricated Storage Shed Buildings|Excellent</v>
      </c>
      <c r="J4681" s="1" t="s">
        <v>1775</v>
      </c>
    </row>
    <row r="4682" customFormat="false" ht="12" hidden="false" customHeight="true" outlineLevel="0" collapsed="false">
      <c r="B4682" s="1" t="s">
        <v>1081</v>
      </c>
      <c r="C4682" s="1" t="s">
        <v>483</v>
      </c>
      <c r="G4682" s="1" t="n">
        <v>20</v>
      </c>
      <c r="H4682" s="1" t="n">
        <v>20</v>
      </c>
      <c r="I4682" s="1" t="str">
        <f aca="false">B4682&amp;"|"&amp;C4682</f>
        <v>Prefabricated Storage Shed Buildings|Good</v>
      </c>
      <c r="J4682" s="1" t="s">
        <v>1775</v>
      </c>
    </row>
    <row r="4683" customFormat="false" ht="12" hidden="false" customHeight="true" outlineLevel="0" collapsed="false">
      <c r="B4683" s="1" t="s">
        <v>1081</v>
      </c>
      <c r="C4683" s="1" t="s">
        <v>279</v>
      </c>
      <c r="G4683" s="1" t="n">
        <v>15</v>
      </c>
      <c r="H4683" s="1" t="n">
        <v>15</v>
      </c>
      <c r="I4683" s="1" t="str">
        <f aca="false">B4683&amp;"|"&amp;C4683</f>
        <v>Prefabricated Storage Shed Buildings|Average</v>
      </c>
      <c r="J4683" s="1" t="s">
        <v>1598</v>
      </c>
    </row>
    <row r="4684" customFormat="false" ht="12" hidden="false" customHeight="true" outlineLevel="0" collapsed="false">
      <c r="B4684" s="1" t="s">
        <v>1081</v>
      </c>
      <c r="C4684" s="1" t="s">
        <v>480</v>
      </c>
      <c r="G4684" s="1" t="n">
        <v>10</v>
      </c>
      <c r="H4684" s="1" t="n">
        <v>10</v>
      </c>
      <c r="I4684" s="1" t="str">
        <f aca="false">B4684&amp;"|"&amp;C4684</f>
        <v>Prefabricated Storage Shed Buildings|Low Cost</v>
      </c>
      <c r="J4684" s="1" t="s">
        <v>1602</v>
      </c>
    </row>
    <row r="4685" customFormat="false" ht="12" hidden="false" customHeight="true" outlineLevel="0" collapsed="false">
      <c r="B4685" s="1" t="s">
        <v>1083</v>
      </c>
      <c r="C4685" s="1" t="s">
        <v>485</v>
      </c>
      <c r="G4685" s="1" t="n">
        <v>15</v>
      </c>
      <c r="I4685" s="1" t="str">
        <f aca="false">B4685&amp;"|"&amp;C4685</f>
        <v>Corn Crib Bins|Excellent</v>
      </c>
      <c r="J4685" s="1" t="s">
        <v>1776</v>
      </c>
    </row>
    <row r="4686" customFormat="false" ht="12" hidden="false" customHeight="true" outlineLevel="0" collapsed="false">
      <c r="B4686" s="1" t="s">
        <v>1083</v>
      </c>
      <c r="C4686" s="1" t="s">
        <v>483</v>
      </c>
      <c r="G4686" s="1" t="n">
        <v>15</v>
      </c>
      <c r="I4686" s="1" t="str">
        <f aca="false">B4686&amp;"|"&amp;C4686</f>
        <v>Corn Crib Bins|Good</v>
      </c>
      <c r="J4686" s="1" t="s">
        <v>1776</v>
      </c>
    </row>
    <row r="4687" customFormat="false" ht="12" hidden="false" customHeight="true" outlineLevel="0" collapsed="false">
      <c r="B4687" s="1" t="s">
        <v>1083</v>
      </c>
      <c r="C4687" s="1" t="s">
        <v>279</v>
      </c>
      <c r="G4687" s="1" t="n">
        <v>10</v>
      </c>
      <c r="I4687" s="1" t="str">
        <f aca="false">B4687&amp;"|"&amp;C4687</f>
        <v>Corn Crib Bins|Average</v>
      </c>
      <c r="J4687" s="1" t="s">
        <v>1594</v>
      </c>
    </row>
    <row r="4688" customFormat="false" ht="12" hidden="false" customHeight="true" outlineLevel="0" collapsed="false">
      <c r="B4688" s="1" t="s">
        <v>1083</v>
      </c>
      <c r="C4688" s="1" t="s">
        <v>480</v>
      </c>
      <c r="G4688" s="1" t="n">
        <v>10</v>
      </c>
      <c r="I4688" s="1" t="str">
        <f aca="false">B4688&amp;"|"&amp;C4688</f>
        <v>Corn Crib Bins|Low Cost</v>
      </c>
      <c r="J4688" s="1" t="s">
        <v>1594</v>
      </c>
    </row>
    <row r="4689" customFormat="false" ht="12" hidden="false" customHeight="true" outlineLevel="0" collapsed="false">
      <c r="B4689" s="1" t="s">
        <v>1085</v>
      </c>
      <c r="C4689" s="1" t="s">
        <v>483</v>
      </c>
      <c r="F4689" s="1" t="n">
        <v>25</v>
      </c>
      <c r="G4689" s="1" t="n">
        <v>20</v>
      </c>
      <c r="H4689" s="1" t="n">
        <v>20</v>
      </c>
      <c r="I4689" s="1" t="str">
        <f aca="false">B4689&amp;"|"&amp;C4689</f>
        <v>Farm Utility Buildings|Good</v>
      </c>
      <c r="J4689" s="1" t="s">
        <v>1600</v>
      </c>
    </row>
    <row r="4690" customFormat="false" ht="12" hidden="false" customHeight="true" outlineLevel="0" collapsed="false">
      <c r="B4690" s="1" t="s">
        <v>1085</v>
      </c>
      <c r="C4690" s="1" t="s">
        <v>279</v>
      </c>
      <c r="F4690" s="1" t="n">
        <v>20</v>
      </c>
      <c r="G4690" s="1" t="n">
        <v>15</v>
      </c>
      <c r="H4690" s="1" t="n">
        <v>15</v>
      </c>
      <c r="I4690" s="1" t="str">
        <f aca="false">B4690&amp;"|"&amp;C4690</f>
        <v>Farm Utility Buildings|Average</v>
      </c>
      <c r="J4690" s="1" t="s">
        <v>1594</v>
      </c>
    </row>
    <row r="4691" customFormat="false" ht="12" hidden="false" customHeight="true" outlineLevel="0" collapsed="false">
      <c r="B4691" s="1" t="s">
        <v>1085</v>
      </c>
      <c r="C4691" s="1" t="s">
        <v>480</v>
      </c>
      <c r="F4691" s="1" t="n">
        <v>20</v>
      </c>
      <c r="G4691" s="1" t="n">
        <v>15</v>
      </c>
      <c r="H4691" s="1" t="n">
        <v>15</v>
      </c>
      <c r="I4691" s="1" t="str">
        <f aca="false">B4691&amp;"|"&amp;C4691</f>
        <v>Farm Utility Buildings|Low Cost</v>
      </c>
      <c r="J4691" s="1" t="s">
        <v>1594</v>
      </c>
    </row>
    <row r="4692" customFormat="false" ht="12" hidden="false" customHeight="true" outlineLevel="0" collapsed="false">
      <c r="B4692" s="1" t="s">
        <v>1088</v>
      </c>
      <c r="C4692" s="1" t="s">
        <v>483</v>
      </c>
      <c r="G4692" s="1" t="n">
        <v>25</v>
      </c>
      <c r="H4692" s="1" t="n">
        <v>25</v>
      </c>
      <c r="I4692" s="1" t="str">
        <f aca="false">B4692&amp;"|"&amp;C4692</f>
        <v>Arch-Rib (Quonset) Farm Utility Buildings|Good</v>
      </c>
      <c r="J4692" s="1" t="s">
        <v>1777</v>
      </c>
    </row>
    <row r="4693" customFormat="false" ht="12" hidden="false" customHeight="true" outlineLevel="0" collapsed="false">
      <c r="B4693" s="1" t="s">
        <v>1088</v>
      </c>
      <c r="C4693" s="1" t="s">
        <v>279</v>
      </c>
      <c r="G4693" s="1" t="n">
        <v>20</v>
      </c>
      <c r="H4693" s="1" t="n">
        <v>20</v>
      </c>
      <c r="I4693" s="1" t="str">
        <f aca="false">B4693&amp;"|"&amp;C4693</f>
        <v>Arch-Rib (Quonset) Farm Utility Buildings|Average</v>
      </c>
      <c r="J4693" s="1" t="s">
        <v>1598</v>
      </c>
    </row>
    <row r="4694" customFormat="false" ht="12" hidden="false" customHeight="true" outlineLevel="0" collapsed="false">
      <c r="B4694" s="1" t="s">
        <v>1088</v>
      </c>
      <c r="C4694" s="1" t="s">
        <v>480</v>
      </c>
      <c r="G4694" s="1" t="n">
        <v>15</v>
      </c>
      <c r="H4694" s="1" t="n">
        <v>15</v>
      </c>
      <c r="I4694" s="1" t="str">
        <f aca="false">B4694&amp;"|"&amp;C4694</f>
        <v>Arch-Rib (Quonset) Farm Utility Buildings|Low Cost</v>
      </c>
      <c r="J4694" s="1" t="s">
        <v>1602</v>
      </c>
    </row>
    <row r="4695" customFormat="false" ht="12" hidden="false" customHeight="true" outlineLevel="0" collapsed="false">
      <c r="B4695" s="1" t="s">
        <v>1091</v>
      </c>
      <c r="C4695" s="1" t="s">
        <v>503</v>
      </c>
      <c r="G4695" s="1" t="n">
        <v>25</v>
      </c>
      <c r="I4695" s="1" t="str">
        <f aca="false">B4695&amp;"|"&amp;C4695</f>
        <v>Farm Utility/Grain Storage (Granary) Buildings|Very Good</v>
      </c>
      <c r="J4695" s="1" t="s">
        <v>1778</v>
      </c>
    </row>
    <row r="4696" customFormat="false" ht="12" hidden="false" customHeight="true" outlineLevel="0" collapsed="false">
      <c r="B4696" s="1" t="s">
        <v>1091</v>
      </c>
      <c r="C4696" s="1" t="s">
        <v>483</v>
      </c>
      <c r="F4696" s="1" t="n">
        <v>25</v>
      </c>
      <c r="G4696" s="1" t="n">
        <v>20</v>
      </c>
      <c r="H4696" s="1" t="n">
        <v>20</v>
      </c>
      <c r="I4696" s="1" t="str">
        <f aca="false">B4696&amp;"|"&amp;C4696</f>
        <v>Farm Utility/Grain Storage (Granary) Buildings|Good</v>
      </c>
      <c r="J4696" s="1" t="s">
        <v>1600</v>
      </c>
    </row>
    <row r="4697" customFormat="false" ht="12" hidden="false" customHeight="true" outlineLevel="0" collapsed="false">
      <c r="B4697" s="1" t="s">
        <v>1094</v>
      </c>
      <c r="C4697" s="1" t="s">
        <v>480</v>
      </c>
      <c r="F4697" s="1" t="n">
        <v>15</v>
      </c>
      <c r="G4697" s="1" t="n">
        <v>10</v>
      </c>
      <c r="H4697" s="1" t="n">
        <v>10</v>
      </c>
      <c r="I4697" s="1" t="str">
        <f aca="false">B4697&amp;"|"&amp;C4697</f>
        <v>Farm Utility Storage Sheds|Low Cost</v>
      </c>
      <c r="J4697" s="1" t="s">
        <v>1602</v>
      </c>
    </row>
    <row r="4698" customFormat="false" ht="12" hidden="false" customHeight="true" outlineLevel="0" collapsed="false">
      <c r="B4698" s="1" t="s">
        <v>1094</v>
      </c>
      <c r="C4698" s="1" t="s">
        <v>483</v>
      </c>
      <c r="G4698" s="1" t="n">
        <v>20</v>
      </c>
      <c r="I4698" s="1" t="str">
        <f aca="false">B4698&amp;"|"&amp;C4698</f>
        <v>Farm Utility Storage Sheds|Good</v>
      </c>
      <c r="J4698" s="1" t="s">
        <v>1779</v>
      </c>
    </row>
    <row r="4699" customFormat="false" ht="12" hidden="false" customHeight="true" outlineLevel="0" collapsed="false">
      <c r="B4699" s="1" t="s">
        <v>1094</v>
      </c>
      <c r="C4699" s="1" t="s">
        <v>279</v>
      </c>
      <c r="G4699" s="1" t="n">
        <v>15</v>
      </c>
      <c r="I4699" s="1" t="str">
        <f aca="false">B4699&amp;"|"&amp;C4699</f>
        <v>Farm Utility Storage Sheds|Average</v>
      </c>
      <c r="J4699" s="1" t="s">
        <v>1598</v>
      </c>
    </row>
    <row r="4700" customFormat="false" ht="12" hidden="false" customHeight="true" outlineLevel="0" collapsed="false">
      <c r="B4700" s="1" t="s">
        <v>1096</v>
      </c>
      <c r="C4700" s="1" t="s">
        <v>483</v>
      </c>
      <c r="G4700" s="1" t="n">
        <v>20</v>
      </c>
      <c r="H4700" s="1" t="n">
        <v>20</v>
      </c>
      <c r="I4700" s="1" t="str">
        <f aca="false">B4700&amp;"|"&amp;C4700</f>
        <v>Farm Utility Lean-Tos|Good</v>
      </c>
      <c r="J4700" s="1" t="s">
        <v>1780</v>
      </c>
    </row>
    <row r="4701" customFormat="false" ht="12" hidden="false" customHeight="true" outlineLevel="0" collapsed="false">
      <c r="B4701" s="1" t="s">
        <v>1096</v>
      </c>
      <c r="C4701" s="1" t="s">
        <v>279</v>
      </c>
      <c r="G4701" s="1" t="n">
        <v>15</v>
      </c>
      <c r="H4701" s="1" t="n">
        <v>15</v>
      </c>
      <c r="I4701" s="1" t="str">
        <f aca="false">B4701&amp;"|"&amp;C4701</f>
        <v>Farm Utility Lean-Tos|Average</v>
      </c>
      <c r="J4701" s="1" t="s">
        <v>1594</v>
      </c>
    </row>
    <row r="4702" customFormat="false" ht="12" hidden="false" customHeight="true" outlineLevel="0" collapsed="false">
      <c r="B4702" s="1" t="s">
        <v>1096</v>
      </c>
      <c r="C4702" s="1" t="s">
        <v>480</v>
      </c>
      <c r="G4702" s="1" t="n">
        <v>15</v>
      </c>
      <c r="H4702" s="1" t="n">
        <v>15</v>
      </c>
      <c r="I4702" s="1" t="str">
        <f aca="false">B4702&amp;"|"&amp;C4702</f>
        <v>Farm Utility Lean-Tos|Low Cost</v>
      </c>
      <c r="J4702" s="1" t="s">
        <v>1594</v>
      </c>
    </row>
    <row r="4703" customFormat="false" ht="12" hidden="false" customHeight="true" outlineLevel="0" collapsed="false">
      <c r="B4703" s="1" t="s">
        <v>1098</v>
      </c>
      <c r="C4703" s="1" t="s">
        <v>279</v>
      </c>
      <c r="F4703" s="1" t="n">
        <v>25</v>
      </c>
      <c r="G4703" s="1" t="n">
        <v>20</v>
      </c>
      <c r="H4703" s="1" t="n">
        <v>20</v>
      </c>
      <c r="I4703" s="1" t="str">
        <f aca="false">B4703&amp;"|"&amp;C4703</f>
        <v>Farm Commodity Storage Sheds|Average</v>
      </c>
      <c r="J4703" s="1" t="s">
        <v>1781</v>
      </c>
    </row>
    <row r="4704" customFormat="false" ht="12" hidden="false" customHeight="true" outlineLevel="0" collapsed="false">
      <c r="B4704" s="1" t="s">
        <v>1101</v>
      </c>
      <c r="C4704" s="1" t="s">
        <v>483</v>
      </c>
      <c r="G4704" s="1" t="n">
        <v>20</v>
      </c>
      <c r="I4704" s="1" t="str">
        <f aca="false">B4704&amp;"|"&amp;C4704</f>
        <v>Corn Crib Buildings – Spaced Boards|Good</v>
      </c>
      <c r="J4704" s="1" t="s">
        <v>1782</v>
      </c>
    </row>
    <row r="4705" customFormat="false" ht="12" hidden="false" customHeight="true" outlineLevel="0" collapsed="false">
      <c r="B4705" s="1" t="s">
        <v>1101</v>
      </c>
      <c r="C4705" s="1" t="s">
        <v>279</v>
      </c>
      <c r="G4705" s="1" t="n">
        <v>20</v>
      </c>
      <c r="I4705" s="1" t="str">
        <f aca="false">B4705&amp;"|"&amp;C4705</f>
        <v>Corn Crib Buildings – Spaced Boards|Average</v>
      </c>
      <c r="J4705" s="1" t="s">
        <v>1782</v>
      </c>
    </row>
    <row r="4706" customFormat="false" ht="12" hidden="false" customHeight="true" outlineLevel="0" collapsed="false">
      <c r="B4706" s="1" t="s">
        <v>1103</v>
      </c>
      <c r="C4706" s="1" t="s">
        <v>483</v>
      </c>
      <c r="G4706" s="1" t="n">
        <v>20</v>
      </c>
      <c r="I4706" s="1" t="str">
        <f aca="false">B4706&amp;"|"&amp;C4706</f>
        <v>Corn Crib Buildings – Wire Mesh|Good</v>
      </c>
      <c r="J4706" s="1" t="s">
        <v>1783</v>
      </c>
    </row>
    <row r="4707" customFormat="false" ht="12" hidden="false" customHeight="true" outlineLevel="0" collapsed="false">
      <c r="B4707" s="1" t="s">
        <v>1103</v>
      </c>
      <c r="C4707" s="1" t="s">
        <v>279</v>
      </c>
      <c r="G4707" s="1" t="n">
        <v>15</v>
      </c>
      <c r="I4707" s="1" t="str">
        <f aca="false">B4707&amp;"|"&amp;C4707</f>
        <v>Corn Crib Buildings – Wire Mesh|Average</v>
      </c>
      <c r="J4707" s="1" t="s">
        <v>1598</v>
      </c>
    </row>
    <row r="4708" customFormat="false" ht="12" hidden="false" customHeight="true" outlineLevel="0" collapsed="false">
      <c r="B4708" s="1" t="s">
        <v>1105</v>
      </c>
      <c r="C4708" s="1" t="s">
        <v>483</v>
      </c>
      <c r="F4708" s="1" t="n">
        <v>30</v>
      </c>
      <c r="G4708" s="1" t="n">
        <v>25</v>
      </c>
      <c r="H4708" s="1" t="n">
        <v>25</v>
      </c>
      <c r="I4708" s="1" t="str">
        <f aca="false">B4708&amp;"|"&amp;C4708</f>
        <v>Farm Implement (Equipment Shop) Buildings|Good</v>
      </c>
      <c r="J4708" s="1" t="s">
        <v>1784</v>
      </c>
    </row>
    <row r="4709" customFormat="false" ht="12" hidden="false" customHeight="true" outlineLevel="0" collapsed="false">
      <c r="B4709" s="1" t="s">
        <v>1105</v>
      </c>
      <c r="C4709" s="1" t="s">
        <v>279</v>
      </c>
      <c r="F4709" s="1" t="n">
        <v>25</v>
      </c>
      <c r="G4709" s="1" t="n">
        <v>20</v>
      </c>
      <c r="H4709" s="1" t="n">
        <v>20</v>
      </c>
      <c r="I4709" s="1" t="str">
        <f aca="false">B4709&amp;"|"&amp;C4709</f>
        <v>Farm Implement (Equipment Shop) Buildings|Average</v>
      </c>
      <c r="J4709" s="1" t="s">
        <v>1594</v>
      </c>
    </row>
    <row r="4710" customFormat="false" ht="12" hidden="false" customHeight="true" outlineLevel="0" collapsed="false">
      <c r="B4710" s="1" t="s">
        <v>1105</v>
      </c>
      <c r="C4710" s="1" t="s">
        <v>480</v>
      </c>
      <c r="F4710" s="1" t="n">
        <v>25</v>
      </c>
      <c r="G4710" s="1" t="n">
        <v>20</v>
      </c>
      <c r="H4710" s="1" t="n">
        <v>20</v>
      </c>
      <c r="I4710" s="1" t="str">
        <f aca="false">B4710&amp;"|"&amp;C4710</f>
        <v>Farm Implement (Equipment Shop) Buildings|Low Cost</v>
      </c>
      <c r="J4710" s="1" t="s">
        <v>1594</v>
      </c>
    </row>
    <row r="4711" customFormat="false" ht="12" hidden="false" customHeight="true" outlineLevel="0" collapsed="false">
      <c r="B4711" s="1" t="s">
        <v>1107</v>
      </c>
      <c r="C4711" s="1" t="s">
        <v>483</v>
      </c>
      <c r="G4711" s="1" t="n">
        <v>30</v>
      </c>
      <c r="H4711" s="1" t="n">
        <v>30</v>
      </c>
      <c r="I4711" s="1" t="str">
        <f aca="false">B4711&amp;"|"&amp;C4711</f>
        <v>Arch-Rib (Quonset) Farm Implement Buildings|Good</v>
      </c>
      <c r="J4711" s="1" t="s">
        <v>1785</v>
      </c>
    </row>
    <row r="4712" customFormat="false" ht="12" hidden="false" customHeight="true" outlineLevel="0" collapsed="false">
      <c r="B4712" s="1" t="s">
        <v>1107</v>
      </c>
      <c r="C4712" s="1" t="s">
        <v>279</v>
      </c>
      <c r="G4712" s="1" t="n">
        <v>25</v>
      </c>
      <c r="H4712" s="1" t="n">
        <v>25</v>
      </c>
      <c r="I4712" s="1" t="str">
        <f aca="false">B4712&amp;"|"&amp;C4712</f>
        <v>Arch-Rib (Quonset) Farm Implement Buildings|Average</v>
      </c>
      <c r="J4712" s="1" t="s">
        <v>1598</v>
      </c>
    </row>
    <row r="4713" customFormat="false" ht="12" hidden="false" customHeight="true" outlineLevel="0" collapsed="false">
      <c r="B4713" s="1" t="s">
        <v>1107</v>
      </c>
      <c r="C4713" s="1" t="s">
        <v>480</v>
      </c>
      <c r="G4713" s="1" t="n">
        <v>20</v>
      </c>
      <c r="H4713" s="1" t="n">
        <v>20</v>
      </c>
      <c r="I4713" s="1" t="str">
        <f aca="false">B4713&amp;"|"&amp;C4713</f>
        <v>Arch-Rib (Quonset) Farm Implement Buildings|Low Cost</v>
      </c>
      <c r="J4713" s="1" t="s">
        <v>1602</v>
      </c>
    </row>
    <row r="4714" customFormat="false" ht="12" hidden="false" customHeight="true" outlineLevel="0" collapsed="false">
      <c r="B4714" s="1" t="s">
        <v>1107</v>
      </c>
      <c r="C4714" s="1" t="s">
        <v>567</v>
      </c>
      <c r="G4714" s="1" t="n">
        <v>20</v>
      </c>
      <c r="H4714" s="1" t="n">
        <v>20</v>
      </c>
      <c r="I4714" s="1" t="str">
        <f aca="false">B4714&amp;"|"&amp;C4714</f>
        <v>Arch-Rib (Quonset) Farm Implement Buildings|Cheap</v>
      </c>
      <c r="J4714" s="1" t="s">
        <v>1602</v>
      </c>
    </row>
    <row r="4715" customFormat="false" ht="12" hidden="false" customHeight="true" outlineLevel="0" collapsed="false">
      <c r="B4715" s="1" t="s">
        <v>1110</v>
      </c>
      <c r="C4715" s="1" t="s">
        <v>279</v>
      </c>
      <c r="F4715" s="1" t="n">
        <v>25</v>
      </c>
      <c r="G4715" s="1" t="n">
        <v>20</v>
      </c>
      <c r="H4715" s="1" t="n">
        <v>20</v>
      </c>
      <c r="I4715" s="1" t="str">
        <f aca="false">B4715&amp;"|"&amp;C4715</f>
        <v>Farm Implement – Equipment Sheds|Average</v>
      </c>
      <c r="J4715" s="1" t="s">
        <v>1786</v>
      </c>
    </row>
    <row r="4716" customFormat="false" ht="12" hidden="false" customHeight="true" outlineLevel="0" collapsed="false">
      <c r="B4716" s="1" t="s">
        <v>1110</v>
      </c>
      <c r="C4716" s="1" t="s">
        <v>480</v>
      </c>
      <c r="F4716" s="1" t="n">
        <v>20</v>
      </c>
      <c r="G4716" s="1" t="n">
        <v>15</v>
      </c>
      <c r="H4716" s="1" t="n">
        <v>15</v>
      </c>
      <c r="I4716" s="1" t="str">
        <f aca="false">B4716&amp;"|"&amp;C4716</f>
        <v>Farm Implement – Equipment Sheds|Low Cost</v>
      </c>
      <c r="J4716" s="1" t="s">
        <v>1602</v>
      </c>
    </row>
    <row r="4717" customFormat="false" ht="12" hidden="false" customHeight="true" outlineLevel="0" collapsed="false">
      <c r="B4717" s="1" t="s">
        <v>1112</v>
      </c>
      <c r="C4717" s="1" t="s">
        <v>483</v>
      </c>
      <c r="F4717" s="1" t="n">
        <v>35</v>
      </c>
      <c r="G4717" s="1" t="n">
        <v>30</v>
      </c>
      <c r="H4717" s="1" t="n">
        <v>30</v>
      </c>
      <c r="I4717" s="1" t="str">
        <f aca="false">B4717&amp;"|"&amp;C4717</f>
        <v>Barns – General Purpose|Good</v>
      </c>
      <c r="J4717" s="1" t="s">
        <v>1787</v>
      </c>
    </row>
    <row r="4718" customFormat="false" ht="12" hidden="false" customHeight="true" outlineLevel="0" collapsed="false">
      <c r="B4718" s="1" t="s">
        <v>1112</v>
      </c>
      <c r="C4718" s="1" t="s">
        <v>279</v>
      </c>
      <c r="F4718" s="1" t="n">
        <v>30</v>
      </c>
      <c r="G4718" s="1" t="n">
        <v>25</v>
      </c>
      <c r="H4718" s="1" t="n">
        <v>25</v>
      </c>
      <c r="I4718" s="1" t="str">
        <f aca="false">B4718&amp;"|"&amp;C4718</f>
        <v>Barns – General Purpose|Average</v>
      </c>
      <c r="J4718" s="1" t="s">
        <v>1598</v>
      </c>
    </row>
    <row r="4719" customFormat="false" ht="12" hidden="false" customHeight="true" outlineLevel="0" collapsed="false">
      <c r="B4719" s="1" t="s">
        <v>1112</v>
      </c>
      <c r="C4719" s="1" t="s">
        <v>480</v>
      </c>
      <c r="F4719" s="1" t="n">
        <v>20</v>
      </c>
      <c r="G4719" s="1" t="n">
        <v>15</v>
      </c>
      <c r="H4719" s="1" t="n">
        <v>15</v>
      </c>
      <c r="I4719" s="1" t="str">
        <f aca="false">B4719&amp;"|"&amp;C4719</f>
        <v>Barns – General Purpose|Low Cost</v>
      </c>
      <c r="J4719" s="1" t="s">
        <v>1602</v>
      </c>
    </row>
    <row r="4720" customFormat="false" ht="12" hidden="false" customHeight="true" outlineLevel="0" collapsed="false">
      <c r="B4720" s="1" t="s">
        <v>1115</v>
      </c>
      <c r="C4720" s="1" t="s">
        <v>483</v>
      </c>
      <c r="F4720" s="1" t="n">
        <v>35</v>
      </c>
      <c r="G4720" s="1" t="n">
        <v>30</v>
      </c>
      <c r="H4720" s="1" t="n">
        <v>30</v>
      </c>
      <c r="I4720" s="1" t="str">
        <f aca="false">B4720&amp;"|"&amp;C4720</f>
        <v>Bank Barns (Two-Story) – General Purpose|Good</v>
      </c>
      <c r="J4720" s="1" t="s">
        <v>1787</v>
      </c>
    </row>
    <row r="4721" customFormat="false" ht="12" hidden="false" customHeight="true" outlineLevel="0" collapsed="false">
      <c r="B4721" s="1" t="s">
        <v>1115</v>
      </c>
      <c r="C4721" s="1" t="s">
        <v>279</v>
      </c>
      <c r="F4721" s="1" t="n">
        <v>30</v>
      </c>
      <c r="G4721" s="1" t="n">
        <v>25</v>
      </c>
      <c r="H4721" s="1" t="n">
        <v>25</v>
      </c>
      <c r="I4721" s="1" t="str">
        <f aca="false">B4721&amp;"|"&amp;C4721</f>
        <v>Bank Barns (Two-Story) – General Purpose|Average</v>
      </c>
      <c r="J4721" s="1" t="s">
        <v>1598</v>
      </c>
    </row>
    <row r="4722" customFormat="false" ht="12" hidden="false" customHeight="true" outlineLevel="0" collapsed="false">
      <c r="B4722" s="1" t="s">
        <v>1115</v>
      </c>
      <c r="C4722" s="1" t="s">
        <v>480</v>
      </c>
      <c r="F4722" s="1" t="n">
        <v>20</v>
      </c>
      <c r="G4722" s="1" t="n">
        <v>15</v>
      </c>
      <c r="H4722" s="1" t="n">
        <v>15</v>
      </c>
      <c r="I4722" s="1" t="str">
        <f aca="false">B4722&amp;"|"&amp;C4722</f>
        <v>Bank Barns (Two-Story) – General Purpose|Low Cost</v>
      </c>
      <c r="J4722" s="1" t="s">
        <v>1602</v>
      </c>
    </row>
    <row r="4723" customFormat="false" ht="12" hidden="false" customHeight="true" outlineLevel="0" collapsed="false">
      <c r="B4723" s="1" t="s">
        <v>1117</v>
      </c>
      <c r="C4723" s="1" t="s">
        <v>485</v>
      </c>
      <c r="F4723" s="1" t="n">
        <v>40</v>
      </c>
      <c r="G4723" s="1" t="n">
        <v>35</v>
      </c>
      <c r="I4723" s="1" t="str">
        <f aca="false">B4723&amp;"|"&amp;C4723</f>
        <v>Barns – Special Purpose|Excellent</v>
      </c>
      <c r="J4723" s="1" t="s">
        <v>1788</v>
      </c>
    </row>
    <row r="4724" customFormat="false" ht="12" hidden="false" customHeight="true" outlineLevel="0" collapsed="false">
      <c r="B4724" s="1" t="s">
        <v>1117</v>
      </c>
      <c r="C4724" s="1" t="s">
        <v>483</v>
      </c>
      <c r="F4724" s="1" t="n">
        <v>35</v>
      </c>
      <c r="G4724" s="1" t="n">
        <v>30</v>
      </c>
      <c r="I4724" s="1" t="str">
        <f aca="false">B4724&amp;"|"&amp;C4724</f>
        <v>Barns – Special Purpose|Good</v>
      </c>
      <c r="J4724" s="1" t="s">
        <v>1600</v>
      </c>
    </row>
    <row r="4725" customFormat="false" ht="12" hidden="false" customHeight="true" outlineLevel="0" collapsed="false">
      <c r="B4725" s="1" t="s">
        <v>1117</v>
      </c>
      <c r="C4725" s="1" t="s">
        <v>279</v>
      </c>
      <c r="F4725" s="1" t="n">
        <v>30</v>
      </c>
      <c r="G4725" s="1" t="n">
        <v>25</v>
      </c>
      <c r="I4725" s="1" t="str">
        <f aca="false">B4725&amp;"|"&amp;C4725</f>
        <v>Barns – Special Purpose|Average</v>
      </c>
      <c r="J4725" s="1" t="s">
        <v>1594</v>
      </c>
    </row>
    <row r="4726" customFormat="false" ht="12" hidden="false" customHeight="true" outlineLevel="0" collapsed="false">
      <c r="B4726" s="1" t="s">
        <v>1117</v>
      </c>
      <c r="C4726" s="1" t="s">
        <v>480</v>
      </c>
      <c r="F4726" s="1" t="n">
        <v>30</v>
      </c>
      <c r="G4726" s="1" t="n">
        <v>25</v>
      </c>
      <c r="I4726" s="1" t="str">
        <f aca="false">B4726&amp;"|"&amp;C4726</f>
        <v>Barns – Special Purpose|Low Cost</v>
      </c>
      <c r="J4726" s="1" t="s">
        <v>1594</v>
      </c>
    </row>
    <row r="4727" customFormat="false" ht="12" hidden="false" customHeight="true" outlineLevel="0" collapsed="false">
      <c r="B4727" s="1" t="s">
        <v>1120</v>
      </c>
      <c r="C4727" s="1" t="s">
        <v>485</v>
      </c>
      <c r="F4727" s="1" t="n">
        <v>40</v>
      </c>
      <c r="G4727" s="1" t="n">
        <v>35</v>
      </c>
      <c r="I4727" s="1" t="str">
        <f aca="false">B4727&amp;"|"&amp;C4727</f>
        <v>Bank Barns (Two-Story) – Special Purpose|Excellent</v>
      </c>
      <c r="J4727" s="1" t="s">
        <v>1788</v>
      </c>
    </row>
    <row r="4728" customFormat="false" ht="12" hidden="false" customHeight="true" outlineLevel="0" collapsed="false">
      <c r="B4728" s="1" t="s">
        <v>1120</v>
      </c>
      <c r="C4728" s="1" t="s">
        <v>483</v>
      </c>
      <c r="F4728" s="1" t="n">
        <v>35</v>
      </c>
      <c r="G4728" s="1" t="n">
        <v>30</v>
      </c>
      <c r="I4728" s="1" t="str">
        <f aca="false">B4728&amp;"|"&amp;C4728</f>
        <v>Bank Barns (Two-Story) – Special Purpose|Good</v>
      </c>
      <c r="J4728" s="1" t="s">
        <v>1600</v>
      </c>
    </row>
    <row r="4729" customFormat="false" ht="12" hidden="false" customHeight="true" outlineLevel="0" collapsed="false">
      <c r="B4729" s="1" t="s">
        <v>1120</v>
      </c>
      <c r="C4729" s="1" t="s">
        <v>279</v>
      </c>
      <c r="F4729" s="1" t="n">
        <v>30</v>
      </c>
      <c r="G4729" s="1" t="n">
        <v>25</v>
      </c>
      <c r="I4729" s="1" t="str">
        <f aca="false">B4729&amp;"|"&amp;C4729</f>
        <v>Bank Barns (Two-Story) – Special Purpose|Average</v>
      </c>
      <c r="J4729" s="1" t="s">
        <v>1594</v>
      </c>
    </row>
    <row r="4730" customFormat="false" ht="12" hidden="false" customHeight="true" outlineLevel="0" collapsed="false">
      <c r="B4730" s="1" t="s">
        <v>1120</v>
      </c>
      <c r="C4730" s="1" t="s">
        <v>480</v>
      </c>
      <c r="F4730" s="1" t="n">
        <v>30</v>
      </c>
      <c r="G4730" s="1" t="n">
        <v>25</v>
      </c>
      <c r="I4730" s="1" t="str">
        <f aca="false">B4730&amp;"|"&amp;C4730</f>
        <v>Bank Barns (Two-Story) – Special Purpose|Low Cost</v>
      </c>
      <c r="J4730" s="1" t="s">
        <v>1594</v>
      </c>
    </row>
    <row r="4731" customFormat="false" ht="12" hidden="false" customHeight="true" outlineLevel="0" collapsed="false">
      <c r="B4731" s="1" t="s">
        <v>1122</v>
      </c>
      <c r="C4731" s="1" t="s">
        <v>485</v>
      </c>
      <c r="G4731" s="1" t="n">
        <v>30</v>
      </c>
      <c r="H4731" s="1" t="n">
        <v>30</v>
      </c>
      <c r="I4731" s="1" t="str">
        <f aca="false">B4731&amp;"|"&amp;C4731</f>
        <v>Free-Stall Barns|Excellent</v>
      </c>
      <c r="J4731" s="1" t="s">
        <v>1789</v>
      </c>
    </row>
    <row r="4732" customFormat="false" ht="12" hidden="false" customHeight="true" outlineLevel="0" collapsed="false">
      <c r="B4732" s="1" t="s">
        <v>1122</v>
      </c>
      <c r="C4732" s="1" t="s">
        <v>483</v>
      </c>
      <c r="G4732" s="1" t="n">
        <v>30</v>
      </c>
      <c r="H4732" s="1" t="n">
        <v>30</v>
      </c>
      <c r="I4732" s="1" t="str">
        <f aca="false">B4732&amp;"|"&amp;C4732</f>
        <v>Free-Stall Barns|Good</v>
      </c>
      <c r="J4732" s="1" t="s">
        <v>1789</v>
      </c>
    </row>
    <row r="4733" customFormat="false" ht="12" hidden="false" customHeight="true" outlineLevel="0" collapsed="false">
      <c r="B4733" s="1" t="s">
        <v>1122</v>
      </c>
      <c r="C4733" s="1" t="s">
        <v>279</v>
      </c>
      <c r="G4733" s="1" t="n">
        <v>25</v>
      </c>
      <c r="H4733" s="1" t="n">
        <v>25</v>
      </c>
      <c r="I4733" s="1" t="str">
        <f aca="false">B4733&amp;"|"&amp;C4733</f>
        <v>Free-Stall Barns|Average</v>
      </c>
      <c r="J4733" s="1" t="s">
        <v>1598</v>
      </c>
    </row>
    <row r="4734" customFormat="false" ht="12" hidden="false" customHeight="true" outlineLevel="0" collapsed="false">
      <c r="B4734" s="1" t="s">
        <v>1122</v>
      </c>
      <c r="C4734" s="1" t="s">
        <v>480</v>
      </c>
      <c r="G4734" s="1" t="n">
        <v>15</v>
      </c>
      <c r="H4734" s="1" t="n">
        <v>15</v>
      </c>
      <c r="I4734" s="1" t="str">
        <f aca="false">B4734&amp;"|"&amp;C4734</f>
        <v>Free-Stall Barns|Low Cost</v>
      </c>
      <c r="J4734" s="1" t="s">
        <v>1682</v>
      </c>
    </row>
    <row r="4735" customFormat="false" ht="12" hidden="false" customHeight="true" outlineLevel="0" collapsed="false">
      <c r="B4735" s="1" t="s">
        <v>1122</v>
      </c>
      <c r="C4735" s="1" t="s">
        <v>567</v>
      </c>
      <c r="G4735" s="1" t="n">
        <v>15</v>
      </c>
      <c r="H4735" s="1" t="n">
        <v>15</v>
      </c>
      <c r="I4735" s="1" t="str">
        <f aca="false">B4735&amp;"|"&amp;C4735</f>
        <v>Free-Stall Barns|Cheap</v>
      </c>
      <c r="J4735" s="1" t="s">
        <v>1682</v>
      </c>
    </row>
    <row r="4736" customFormat="false" ht="12" hidden="false" customHeight="true" outlineLevel="0" collapsed="false">
      <c r="B4736" s="1" t="s">
        <v>1125</v>
      </c>
      <c r="C4736" s="1" t="s">
        <v>279</v>
      </c>
      <c r="G4736" s="1" t="n">
        <v>25</v>
      </c>
      <c r="H4736" s="1" t="n">
        <v>25</v>
      </c>
      <c r="I4736" s="1" t="str">
        <f aca="false">B4736&amp;"|"&amp;C4736</f>
        <v>Confinement Barns|Average</v>
      </c>
      <c r="J4736" s="1" t="s">
        <v>1598</v>
      </c>
    </row>
    <row r="4737" customFormat="false" ht="12" hidden="false" customHeight="true" outlineLevel="0" collapsed="false">
      <c r="B4737" s="1" t="s">
        <v>1125</v>
      </c>
      <c r="C4737" s="1" t="s">
        <v>480</v>
      </c>
      <c r="G4737" s="1" t="n">
        <v>15</v>
      </c>
      <c r="H4737" s="1" t="n">
        <v>15</v>
      </c>
      <c r="I4737" s="1" t="str">
        <f aca="false">B4737&amp;"|"&amp;C4737</f>
        <v>Confinement Barns|Low Cost</v>
      </c>
      <c r="J4737" s="1" t="s">
        <v>1682</v>
      </c>
    </row>
    <row r="4738" customFormat="false" ht="12" hidden="false" customHeight="true" outlineLevel="0" collapsed="false">
      <c r="B4738" s="1" t="s">
        <v>1127</v>
      </c>
      <c r="C4738" s="1" t="s">
        <v>483</v>
      </c>
      <c r="G4738" s="1" t="n">
        <v>20</v>
      </c>
      <c r="H4738" s="1" t="n">
        <v>20</v>
      </c>
      <c r="I4738" s="1" t="str">
        <f aca="false">B4738&amp;"|"&amp;C4738</f>
        <v>Feeder Barns – Sheds|Good</v>
      </c>
      <c r="J4738" s="1" t="s">
        <v>1790</v>
      </c>
    </row>
    <row r="4739" customFormat="false" ht="12" hidden="false" customHeight="true" outlineLevel="0" collapsed="false">
      <c r="B4739" s="1" t="s">
        <v>1127</v>
      </c>
      <c r="C4739" s="1" t="s">
        <v>279</v>
      </c>
      <c r="G4739" s="1" t="n">
        <v>15</v>
      </c>
      <c r="H4739" s="1" t="n">
        <v>15</v>
      </c>
      <c r="I4739" s="1" t="str">
        <f aca="false">B4739&amp;"|"&amp;C4739</f>
        <v>Feeder Barns – Sheds|Average</v>
      </c>
      <c r="J4739" s="1" t="s">
        <v>1594</v>
      </c>
    </row>
    <row r="4740" customFormat="false" ht="12" hidden="false" customHeight="true" outlineLevel="0" collapsed="false">
      <c r="B4740" s="1" t="s">
        <v>1127</v>
      </c>
      <c r="C4740" s="1" t="s">
        <v>480</v>
      </c>
      <c r="G4740" s="1" t="n">
        <v>15</v>
      </c>
      <c r="H4740" s="1" t="n">
        <v>15</v>
      </c>
      <c r="I4740" s="1" t="str">
        <f aca="false">B4740&amp;"|"&amp;C4740</f>
        <v>Feeder Barns – Sheds|Low Cost</v>
      </c>
      <c r="J4740" s="1" t="s">
        <v>1594</v>
      </c>
    </row>
    <row r="4741" customFormat="false" ht="12" hidden="false" customHeight="true" outlineLevel="0" collapsed="false">
      <c r="B4741" s="1" t="s">
        <v>1130</v>
      </c>
      <c r="C4741" s="1" t="s">
        <v>483</v>
      </c>
      <c r="G4741" s="1" t="n">
        <v>20</v>
      </c>
      <c r="H4741" s="1" t="n">
        <v>20</v>
      </c>
      <c r="I4741" s="1" t="str">
        <f aca="false">B4741&amp;"|"&amp;C4741</f>
        <v>Loafing Sheds|Good</v>
      </c>
      <c r="J4741" s="1" t="s">
        <v>1790</v>
      </c>
    </row>
    <row r="4742" customFormat="false" ht="12" hidden="false" customHeight="true" outlineLevel="0" collapsed="false">
      <c r="B4742" s="1" t="s">
        <v>1130</v>
      </c>
      <c r="C4742" s="1" t="s">
        <v>279</v>
      </c>
      <c r="G4742" s="1" t="n">
        <v>15</v>
      </c>
      <c r="H4742" s="1" t="n">
        <v>15</v>
      </c>
      <c r="I4742" s="1" t="str">
        <f aca="false">B4742&amp;"|"&amp;C4742</f>
        <v>Loafing Sheds|Average</v>
      </c>
      <c r="J4742" s="1" t="s">
        <v>1594</v>
      </c>
    </row>
    <row r="4743" customFormat="false" ht="12" hidden="false" customHeight="true" outlineLevel="0" collapsed="false">
      <c r="B4743" s="1" t="s">
        <v>1130</v>
      </c>
      <c r="C4743" s="1" t="s">
        <v>480</v>
      </c>
      <c r="G4743" s="1" t="n">
        <v>15</v>
      </c>
      <c r="H4743" s="1" t="n">
        <v>15</v>
      </c>
      <c r="I4743" s="1" t="str">
        <f aca="false">B4743&amp;"|"&amp;C4743</f>
        <v>Loafing Sheds|Low Cost</v>
      </c>
      <c r="J4743" s="1" t="s">
        <v>1594</v>
      </c>
    </row>
    <row r="4744" customFormat="false" ht="12" hidden="false" customHeight="true" outlineLevel="0" collapsed="false">
      <c r="B4744" s="1" t="s">
        <v>1132</v>
      </c>
      <c r="C4744" s="1" t="s">
        <v>483</v>
      </c>
      <c r="G4744" s="1" t="n">
        <v>20</v>
      </c>
      <c r="H4744" s="1" t="n">
        <v>20</v>
      </c>
      <c r="I4744" s="1" t="str">
        <f aca="false">B4744&amp;"|"&amp;C4744</f>
        <v>Farm Utility Shelters (Open Hay Sheds)|Good</v>
      </c>
      <c r="J4744" s="1" t="s">
        <v>1791</v>
      </c>
    </row>
    <row r="4745" customFormat="false" ht="12" hidden="false" customHeight="true" outlineLevel="0" collapsed="false">
      <c r="B4745" s="1" t="s">
        <v>1132</v>
      </c>
      <c r="C4745" s="1" t="s">
        <v>279</v>
      </c>
      <c r="G4745" s="1" t="n">
        <v>15</v>
      </c>
      <c r="H4745" s="1" t="n">
        <v>15</v>
      </c>
      <c r="I4745" s="1" t="str">
        <f aca="false">B4745&amp;"|"&amp;C4745</f>
        <v>Farm Utility Shelters (Open Hay Sheds)|Average</v>
      </c>
      <c r="J4745" s="1" t="s">
        <v>1598</v>
      </c>
    </row>
    <row r="4746" customFormat="false" ht="12" hidden="false" customHeight="true" outlineLevel="0" collapsed="false">
      <c r="B4746" s="1" t="s">
        <v>1138</v>
      </c>
      <c r="C4746" s="1" t="s">
        <v>483</v>
      </c>
      <c r="G4746" s="1" t="n">
        <v>20</v>
      </c>
      <c r="H4746" s="1" t="n">
        <v>20</v>
      </c>
      <c r="I4746" s="1" t="str">
        <f aca="false">B4746&amp;"|"&amp;C4746</f>
        <v>Calving Barns – Sheds|Good</v>
      </c>
      <c r="J4746" s="1" t="s">
        <v>1792</v>
      </c>
    </row>
    <row r="4747" customFormat="false" ht="12" hidden="false" customHeight="true" outlineLevel="0" collapsed="false">
      <c r="B4747" s="1" t="s">
        <v>1138</v>
      </c>
      <c r="C4747" s="1" t="s">
        <v>279</v>
      </c>
      <c r="G4747" s="1" t="n">
        <v>15</v>
      </c>
      <c r="H4747" s="1" t="n">
        <v>15</v>
      </c>
      <c r="I4747" s="1" t="str">
        <f aca="false">B4747&amp;"|"&amp;C4747</f>
        <v>Calving Barns – Sheds|Average</v>
      </c>
      <c r="J4747" s="1" t="s">
        <v>1594</v>
      </c>
    </row>
    <row r="4748" customFormat="false" ht="12" hidden="false" customHeight="true" outlineLevel="0" collapsed="false">
      <c r="B4748" s="1" t="s">
        <v>1138</v>
      </c>
      <c r="C4748" s="1" t="s">
        <v>480</v>
      </c>
      <c r="G4748" s="1" t="n">
        <v>15</v>
      </c>
      <c r="H4748" s="1" t="n">
        <v>15</v>
      </c>
      <c r="I4748" s="1" t="str">
        <f aca="false">B4748&amp;"|"&amp;C4748</f>
        <v>Calving Barns – Sheds|Low Cost</v>
      </c>
      <c r="J4748" s="1" t="s">
        <v>1594</v>
      </c>
    </row>
    <row r="4749" customFormat="false" ht="12" hidden="false" customHeight="true" outlineLevel="0" collapsed="false">
      <c r="B4749" s="1" t="s">
        <v>1141</v>
      </c>
      <c r="C4749" s="1" t="s">
        <v>480</v>
      </c>
      <c r="G4749" s="1" t="n">
        <v>15</v>
      </c>
      <c r="H4749" s="1" t="n">
        <v>15</v>
      </c>
      <c r="I4749" s="1" t="str">
        <f aca="false">B4749&amp;"|"&amp;C4749</f>
        <v>Arena Shelters|Low Cost</v>
      </c>
      <c r="J4749" s="1" t="s">
        <v>1602</v>
      </c>
    </row>
    <row r="4750" customFormat="false" ht="12" hidden="false" customHeight="true" outlineLevel="0" collapsed="false">
      <c r="B4750" s="1" t="s">
        <v>1141</v>
      </c>
      <c r="C4750" s="1" t="s">
        <v>483</v>
      </c>
      <c r="H4750" s="1" t="n">
        <v>25</v>
      </c>
      <c r="I4750" s="1" t="str">
        <f aca="false">B4750&amp;"|"&amp;C4750</f>
        <v>Arena Shelters|Good</v>
      </c>
      <c r="J4750" s="1" t="s">
        <v>1793</v>
      </c>
    </row>
    <row r="4751" customFormat="false" ht="12" hidden="false" customHeight="true" outlineLevel="0" collapsed="false">
      <c r="B4751" s="1" t="s">
        <v>1141</v>
      </c>
      <c r="C4751" s="1" t="s">
        <v>279</v>
      </c>
      <c r="H4751" s="1" t="n">
        <v>20</v>
      </c>
      <c r="I4751" s="1" t="str">
        <f aca="false">B4751&amp;"|"&amp;C4751</f>
        <v>Arena Shelters|Average</v>
      </c>
      <c r="J4751" s="1" t="s">
        <v>1598</v>
      </c>
    </row>
    <row r="4752" customFormat="false" ht="12" hidden="false" customHeight="true" outlineLevel="0" collapsed="false">
      <c r="B4752" s="1" t="s">
        <v>1143</v>
      </c>
      <c r="C4752" s="1" t="s">
        <v>279</v>
      </c>
      <c r="G4752" s="1" t="n">
        <v>10</v>
      </c>
      <c r="I4752" s="1" t="str">
        <f aca="false">B4752&amp;"|"&amp;C4752</f>
        <v>Farm Sun Shelters|Average</v>
      </c>
      <c r="J4752" s="1" t="s">
        <v>1594</v>
      </c>
    </row>
    <row r="4753" customFormat="false" ht="12" hidden="false" customHeight="true" outlineLevel="0" collapsed="false">
      <c r="B4753" s="1" t="s">
        <v>1143</v>
      </c>
      <c r="C4753" s="1" t="s">
        <v>480</v>
      </c>
      <c r="G4753" s="1" t="n">
        <v>10</v>
      </c>
      <c r="I4753" s="1" t="str">
        <f aca="false">B4753&amp;"|"&amp;C4753</f>
        <v>Farm Sun Shelters|Low Cost</v>
      </c>
      <c r="J4753" s="1" t="s">
        <v>1594</v>
      </c>
    </row>
    <row r="4754" customFormat="false" ht="12" hidden="false" customHeight="true" outlineLevel="0" collapsed="false">
      <c r="B4754" s="1" t="s">
        <v>1149</v>
      </c>
      <c r="C4754" s="1" t="s">
        <v>485</v>
      </c>
      <c r="F4754" s="1" t="n">
        <v>40</v>
      </c>
      <c r="G4754" s="1" t="n">
        <v>35</v>
      </c>
      <c r="H4754" s="1" t="n">
        <v>35</v>
      </c>
      <c r="I4754" s="1" t="str">
        <f aca="false">B4754&amp;"|"&amp;C4754</f>
        <v>Arenas|Excellent</v>
      </c>
      <c r="J4754" s="1" t="s">
        <v>1794</v>
      </c>
    </row>
    <row r="4755" customFormat="false" ht="12" hidden="false" customHeight="true" outlineLevel="0" collapsed="false">
      <c r="B4755" s="1" t="s">
        <v>1149</v>
      </c>
      <c r="C4755" s="1" t="s">
        <v>483</v>
      </c>
      <c r="F4755" s="1" t="n">
        <v>35</v>
      </c>
      <c r="G4755" s="1" t="n">
        <v>30</v>
      </c>
      <c r="H4755" s="1" t="n">
        <v>30</v>
      </c>
      <c r="I4755" s="1" t="str">
        <f aca="false">B4755&amp;"|"&amp;C4755</f>
        <v>Arenas|Good</v>
      </c>
      <c r="J4755" s="1" t="s">
        <v>1600</v>
      </c>
    </row>
    <row r="4756" customFormat="false" ht="12" hidden="false" customHeight="true" outlineLevel="0" collapsed="false">
      <c r="B4756" s="1" t="s">
        <v>1149</v>
      </c>
      <c r="C4756" s="1" t="s">
        <v>279</v>
      </c>
      <c r="F4756" s="1" t="n">
        <v>30</v>
      </c>
      <c r="G4756" s="1" t="n">
        <v>25</v>
      </c>
      <c r="H4756" s="1" t="n">
        <v>25</v>
      </c>
      <c r="I4756" s="1" t="str">
        <f aca="false">B4756&amp;"|"&amp;C4756</f>
        <v>Arenas|Average</v>
      </c>
      <c r="J4756" s="1" t="s">
        <v>1598</v>
      </c>
    </row>
    <row r="4757" customFormat="false" ht="12" hidden="false" customHeight="true" outlineLevel="0" collapsed="false">
      <c r="B4757" s="1" t="s">
        <v>1149</v>
      </c>
      <c r="C4757" s="1" t="s">
        <v>480</v>
      </c>
      <c r="F4757" s="1" t="n">
        <v>20</v>
      </c>
      <c r="G4757" s="1" t="n">
        <v>15</v>
      </c>
      <c r="H4757" s="1" t="n">
        <v>15</v>
      </c>
      <c r="I4757" s="1" t="str">
        <f aca="false">B4757&amp;"|"&amp;C4757</f>
        <v>Arenas|Low Cost</v>
      </c>
      <c r="J4757" s="1" t="s">
        <v>1682</v>
      </c>
    </row>
    <row r="4758" customFormat="false" ht="12" hidden="false" customHeight="true" outlineLevel="0" collapsed="false">
      <c r="B4758" s="1" t="s">
        <v>1149</v>
      </c>
      <c r="C4758" s="1" t="s">
        <v>567</v>
      </c>
      <c r="F4758" s="1" t="n">
        <v>20</v>
      </c>
      <c r="G4758" s="1" t="n">
        <v>15</v>
      </c>
      <c r="H4758" s="1" t="n">
        <v>15</v>
      </c>
      <c r="I4758" s="1" t="str">
        <f aca="false">B4758&amp;"|"&amp;C4758</f>
        <v>Arenas|Cheap</v>
      </c>
      <c r="J4758" s="1" t="s">
        <v>1682</v>
      </c>
    </row>
    <row r="4759" customFormat="false" ht="12" hidden="false" customHeight="true" outlineLevel="0" collapsed="false">
      <c r="B4759" s="1" t="s">
        <v>1152</v>
      </c>
      <c r="C4759" s="1" t="s">
        <v>279</v>
      </c>
      <c r="G4759" s="1" t="n">
        <v>25</v>
      </c>
      <c r="H4759" s="1" t="n">
        <v>25</v>
      </c>
      <c r="I4759" s="1" t="str">
        <f aca="false">B4759&amp;"|"&amp;C4759</f>
        <v>Equestrian Lean-Tos|Average</v>
      </c>
      <c r="J4759" s="1" t="s">
        <v>1795</v>
      </c>
    </row>
    <row r="4760" customFormat="false" ht="12" hidden="false" customHeight="true" outlineLevel="0" collapsed="false">
      <c r="B4760" s="1" t="s">
        <v>1152</v>
      </c>
      <c r="C4760" s="1" t="s">
        <v>480</v>
      </c>
      <c r="G4760" s="1" t="n">
        <v>15</v>
      </c>
      <c r="H4760" s="1" t="n">
        <v>15</v>
      </c>
      <c r="I4760" s="1" t="str">
        <f aca="false">B4760&amp;"|"&amp;C4760</f>
        <v>Equestrian Lean-Tos|Low Cost</v>
      </c>
      <c r="J4760" s="1" t="s">
        <v>1602</v>
      </c>
    </row>
    <row r="4761" customFormat="false" ht="12" hidden="false" customHeight="true" outlineLevel="0" collapsed="false">
      <c r="B4761" s="1" t="s">
        <v>1154</v>
      </c>
      <c r="C4761" s="1" t="s">
        <v>483</v>
      </c>
      <c r="F4761" s="1" t="n">
        <v>35</v>
      </c>
      <c r="G4761" s="1" t="n">
        <v>30</v>
      </c>
      <c r="H4761" s="1" t="n">
        <v>30</v>
      </c>
      <c r="I4761" s="1" t="str">
        <f aca="false">B4761&amp;"|"&amp;C4761</f>
        <v>Stables|Good</v>
      </c>
      <c r="J4761" s="1" t="s">
        <v>1796</v>
      </c>
    </row>
    <row r="4762" customFormat="false" ht="12" hidden="false" customHeight="true" outlineLevel="0" collapsed="false">
      <c r="B4762" s="1" t="s">
        <v>1154</v>
      </c>
      <c r="C4762" s="1" t="s">
        <v>279</v>
      </c>
      <c r="F4762" s="1" t="n">
        <v>30</v>
      </c>
      <c r="G4762" s="1" t="n">
        <v>25</v>
      </c>
      <c r="H4762" s="1" t="n">
        <v>25</v>
      </c>
      <c r="I4762" s="1" t="str">
        <f aca="false">B4762&amp;"|"&amp;C4762</f>
        <v>Stables|Average</v>
      </c>
      <c r="J4762" s="1" t="s">
        <v>1598</v>
      </c>
    </row>
    <row r="4763" customFormat="false" ht="12" hidden="false" customHeight="true" outlineLevel="0" collapsed="false">
      <c r="B4763" s="1" t="s">
        <v>1154</v>
      </c>
      <c r="C4763" s="1" t="s">
        <v>480</v>
      </c>
      <c r="F4763" s="1" t="n">
        <v>20</v>
      </c>
      <c r="G4763" s="1" t="n">
        <v>15</v>
      </c>
      <c r="H4763" s="1" t="n">
        <v>15</v>
      </c>
      <c r="I4763" s="1" t="str">
        <f aca="false">B4763&amp;"|"&amp;C4763</f>
        <v>Stables|Low Cost</v>
      </c>
      <c r="J4763" s="1" t="s">
        <v>1602</v>
      </c>
    </row>
    <row r="4764" customFormat="false" ht="12" hidden="false" customHeight="true" outlineLevel="0" collapsed="false">
      <c r="B4764" s="1" t="s">
        <v>1154</v>
      </c>
      <c r="C4764" s="1" t="s">
        <v>567</v>
      </c>
      <c r="F4764" s="1" t="n">
        <v>20</v>
      </c>
      <c r="G4764" s="1" t="n">
        <v>15</v>
      </c>
      <c r="H4764" s="1" t="n">
        <v>15</v>
      </c>
      <c r="I4764" s="1" t="str">
        <f aca="false">B4764&amp;"|"&amp;C4764</f>
        <v>Stables|Cheap</v>
      </c>
      <c r="J4764" s="1" t="s">
        <v>1602</v>
      </c>
    </row>
    <row r="4765" customFormat="false" ht="12" hidden="false" customHeight="true" outlineLevel="0" collapsed="false">
      <c r="B4765" s="1" t="s">
        <v>1158</v>
      </c>
      <c r="C4765" s="1" t="s">
        <v>485</v>
      </c>
      <c r="F4765" s="1" t="n">
        <v>50</v>
      </c>
      <c r="G4765" s="1" t="n">
        <v>45</v>
      </c>
      <c r="I4765" s="1" t="str">
        <f aca="false">B4765&amp;"|"&amp;C4765</f>
        <v>High-Value (Estate) Stables – Horse Barns|Excellent</v>
      </c>
      <c r="J4765" s="1" t="s">
        <v>1797</v>
      </c>
    </row>
    <row r="4766" customFormat="false" ht="12" hidden="false" customHeight="true" outlineLevel="0" collapsed="false">
      <c r="B4766" s="1" t="s">
        <v>1158</v>
      </c>
      <c r="C4766" s="1" t="s">
        <v>483</v>
      </c>
      <c r="F4766" s="1" t="n">
        <v>45</v>
      </c>
      <c r="G4766" s="1" t="n">
        <v>40</v>
      </c>
      <c r="I4766" s="1" t="str">
        <f aca="false">B4766&amp;"|"&amp;C4766</f>
        <v>High-Value (Estate) Stables – Horse Barns|Good</v>
      </c>
      <c r="J4766" s="1" t="s">
        <v>1600</v>
      </c>
    </row>
    <row r="4767" customFormat="false" ht="12" hidden="false" customHeight="true" outlineLevel="0" collapsed="false">
      <c r="B4767" s="1" t="s">
        <v>1158</v>
      </c>
      <c r="C4767" s="1" t="s">
        <v>279</v>
      </c>
      <c r="F4767" s="1" t="n">
        <v>40</v>
      </c>
      <c r="G4767" s="1" t="n">
        <v>35</v>
      </c>
      <c r="H4767" s="1" t="n">
        <v>35</v>
      </c>
      <c r="I4767" s="1" t="str">
        <f aca="false">B4767&amp;"|"&amp;C4767</f>
        <v>High-Value (Estate) Stables – Horse Barns|Average</v>
      </c>
      <c r="J4767" s="1" t="s">
        <v>1798</v>
      </c>
    </row>
    <row r="4768" customFormat="false" ht="12" hidden="false" customHeight="true" outlineLevel="0" collapsed="false">
      <c r="B4768" s="1" t="s">
        <v>1158</v>
      </c>
      <c r="C4768" s="1" t="s">
        <v>480</v>
      </c>
      <c r="F4768" s="1" t="n">
        <v>40</v>
      </c>
      <c r="G4768" s="1" t="n">
        <v>35</v>
      </c>
      <c r="H4768" s="1" t="n">
        <v>35</v>
      </c>
      <c r="I4768" s="1" t="str">
        <f aca="false">B4768&amp;"|"&amp;C4768</f>
        <v>High-Value (Estate) Stables – Horse Barns|Low Cost</v>
      </c>
      <c r="J4768" s="1" t="s">
        <v>1798</v>
      </c>
    </row>
    <row r="4769" customFormat="false" ht="12" hidden="false" customHeight="true" outlineLevel="0" collapsed="false">
      <c r="B4769" s="1" t="s">
        <v>1160</v>
      </c>
      <c r="C4769" s="1" t="s">
        <v>485</v>
      </c>
      <c r="F4769" s="1" t="n">
        <v>35</v>
      </c>
      <c r="G4769" s="1" t="n">
        <v>30</v>
      </c>
      <c r="H4769" s="1" t="n">
        <v>30</v>
      </c>
      <c r="I4769" s="1" t="str">
        <f aca="false">B4769&amp;"|"&amp;C4769</f>
        <v>Dairies (Milking Parlors)|Excellent</v>
      </c>
      <c r="J4769" s="1" t="s">
        <v>1799</v>
      </c>
    </row>
    <row r="4770" customFormat="false" ht="12" hidden="false" customHeight="true" outlineLevel="0" collapsed="false">
      <c r="B4770" s="1" t="s">
        <v>1160</v>
      </c>
      <c r="C4770" s="1" t="s">
        <v>483</v>
      </c>
      <c r="F4770" s="1" t="n">
        <v>35</v>
      </c>
      <c r="G4770" s="1" t="n">
        <v>30</v>
      </c>
      <c r="H4770" s="1" t="n">
        <v>30</v>
      </c>
      <c r="I4770" s="1" t="str">
        <f aca="false">B4770&amp;"|"&amp;C4770</f>
        <v>Dairies (Milking Parlors)|Good</v>
      </c>
      <c r="J4770" s="1" t="s">
        <v>1799</v>
      </c>
    </row>
    <row r="4771" customFormat="false" ht="12" hidden="false" customHeight="true" outlineLevel="0" collapsed="false">
      <c r="B4771" s="1" t="s">
        <v>1160</v>
      </c>
      <c r="C4771" s="1" t="s">
        <v>279</v>
      </c>
      <c r="F4771" s="1" t="n">
        <v>30</v>
      </c>
      <c r="G4771" s="1" t="n">
        <v>25</v>
      </c>
      <c r="H4771" s="1" t="n">
        <v>25</v>
      </c>
      <c r="I4771" s="1" t="str">
        <f aca="false">B4771&amp;"|"&amp;C4771</f>
        <v>Dairies (Milking Parlors)|Average</v>
      </c>
      <c r="J4771" s="1" t="s">
        <v>1598</v>
      </c>
    </row>
    <row r="4772" customFormat="false" ht="12" hidden="false" customHeight="true" outlineLevel="0" collapsed="false">
      <c r="B4772" s="1" t="s">
        <v>1160</v>
      </c>
      <c r="C4772" s="1" t="s">
        <v>480</v>
      </c>
      <c r="F4772" s="1" t="n">
        <v>20</v>
      </c>
      <c r="G4772" s="1" t="n">
        <v>15</v>
      </c>
      <c r="H4772" s="1" t="n">
        <v>15</v>
      </c>
      <c r="I4772" s="1" t="str">
        <f aca="false">B4772&amp;"|"&amp;C4772</f>
        <v>Dairies (Milking Parlors)|Low Cost</v>
      </c>
      <c r="J4772" s="1" t="s">
        <v>1602</v>
      </c>
    </row>
    <row r="4773" customFormat="false" ht="12" hidden="false" customHeight="true" outlineLevel="0" collapsed="false">
      <c r="B4773" s="1" t="s">
        <v>1163</v>
      </c>
      <c r="C4773" s="1" t="s">
        <v>483</v>
      </c>
      <c r="F4773" s="1" t="n">
        <v>35</v>
      </c>
      <c r="G4773" s="1" t="n">
        <v>30</v>
      </c>
      <c r="I4773" s="1" t="str">
        <f aca="false">B4773&amp;"|"&amp;C4773</f>
        <v>Milkhouses|Good</v>
      </c>
      <c r="J4773" s="1" t="s">
        <v>1800</v>
      </c>
    </row>
    <row r="4774" customFormat="false" ht="12" hidden="false" customHeight="true" outlineLevel="0" collapsed="false">
      <c r="B4774" s="1" t="s">
        <v>1163</v>
      </c>
      <c r="C4774" s="1" t="s">
        <v>279</v>
      </c>
      <c r="F4774" s="1" t="n">
        <v>30</v>
      </c>
      <c r="G4774" s="1" t="n">
        <v>25</v>
      </c>
      <c r="I4774" s="1" t="str">
        <f aca="false">B4774&amp;"|"&amp;C4774</f>
        <v>Milkhouses|Average</v>
      </c>
      <c r="J4774" s="1" t="s">
        <v>1598</v>
      </c>
    </row>
    <row r="4775" customFormat="false" ht="12" hidden="false" customHeight="true" outlineLevel="0" collapsed="false">
      <c r="B4775" s="1" t="s">
        <v>1165</v>
      </c>
      <c r="C4775" s="1" t="s">
        <v>483</v>
      </c>
      <c r="F4775" s="1" t="n">
        <v>35</v>
      </c>
      <c r="G4775" s="1" t="n">
        <v>30</v>
      </c>
      <c r="I4775" s="1" t="str">
        <f aca="false">B4775&amp;"|"&amp;C4775</f>
        <v>Milkhouse Sheds|Good</v>
      </c>
      <c r="J4775" s="1" t="s">
        <v>1800</v>
      </c>
    </row>
    <row r="4776" customFormat="false" ht="12" hidden="false" customHeight="true" outlineLevel="0" collapsed="false">
      <c r="B4776" s="1" t="s">
        <v>1165</v>
      </c>
      <c r="C4776" s="1" t="s">
        <v>279</v>
      </c>
      <c r="F4776" s="1" t="n">
        <v>30</v>
      </c>
      <c r="G4776" s="1" t="n">
        <v>25</v>
      </c>
      <c r="I4776" s="1" t="str">
        <f aca="false">B4776&amp;"|"&amp;C4776</f>
        <v>Milkhouse Sheds|Average</v>
      </c>
      <c r="J4776" s="1" t="s">
        <v>1598</v>
      </c>
    </row>
    <row r="4777" customFormat="false" ht="12" hidden="false" customHeight="true" outlineLevel="0" collapsed="false">
      <c r="B4777" s="1" t="s">
        <v>1167</v>
      </c>
      <c r="C4777" s="1" t="s">
        <v>483</v>
      </c>
      <c r="F4777" s="1" t="n">
        <v>35</v>
      </c>
      <c r="G4777" s="1" t="n">
        <v>30</v>
      </c>
      <c r="H4777" s="1" t="n">
        <v>30</v>
      </c>
      <c r="I4777" s="1" t="str">
        <f aca="false">B4777&amp;"|"&amp;C4777</f>
        <v>Hog Barns – Nursery|Good</v>
      </c>
      <c r="J4777" s="1" t="s">
        <v>1801</v>
      </c>
    </row>
    <row r="4778" customFormat="false" ht="12" hidden="false" customHeight="true" outlineLevel="0" collapsed="false">
      <c r="B4778" s="1" t="s">
        <v>1167</v>
      </c>
      <c r="C4778" s="1" t="s">
        <v>279</v>
      </c>
      <c r="F4778" s="1" t="n">
        <v>30</v>
      </c>
      <c r="G4778" s="1" t="n">
        <v>25</v>
      </c>
      <c r="H4778" s="1" t="n">
        <v>25</v>
      </c>
      <c r="I4778" s="1" t="str">
        <f aca="false">B4778&amp;"|"&amp;C4778</f>
        <v>Hog Barns – Nursery|Average</v>
      </c>
      <c r="J4778" s="1" t="s">
        <v>1598</v>
      </c>
    </row>
    <row r="4779" customFormat="false" ht="12" hidden="false" customHeight="true" outlineLevel="0" collapsed="false">
      <c r="B4779" s="1" t="s">
        <v>1171</v>
      </c>
      <c r="C4779" s="1" t="s">
        <v>483</v>
      </c>
      <c r="F4779" s="1" t="n">
        <v>35</v>
      </c>
      <c r="G4779" s="1" t="n">
        <v>30</v>
      </c>
      <c r="H4779" s="1" t="n">
        <v>30</v>
      </c>
      <c r="I4779" s="1" t="str">
        <f aca="false">B4779&amp;"|"&amp;C4779</f>
        <v>Hog Barns – Breeding/Gestation|Good</v>
      </c>
      <c r="J4779" s="1" t="s">
        <v>1802</v>
      </c>
    </row>
    <row r="4780" customFormat="false" ht="12" hidden="false" customHeight="true" outlineLevel="0" collapsed="false">
      <c r="B4780" s="1" t="s">
        <v>1171</v>
      </c>
      <c r="C4780" s="1" t="s">
        <v>279</v>
      </c>
      <c r="F4780" s="1" t="n">
        <v>30</v>
      </c>
      <c r="G4780" s="1" t="n">
        <v>25</v>
      </c>
      <c r="H4780" s="1" t="n">
        <v>25</v>
      </c>
      <c r="I4780" s="1" t="str">
        <f aca="false">B4780&amp;"|"&amp;C4780</f>
        <v>Hog Barns – Breeding/Gestation|Average</v>
      </c>
      <c r="J4780" s="1" t="s">
        <v>1598</v>
      </c>
    </row>
    <row r="4781" customFormat="false" ht="12" hidden="false" customHeight="true" outlineLevel="0" collapsed="false">
      <c r="B4781" s="1" t="s">
        <v>1171</v>
      </c>
      <c r="C4781" s="1" t="s">
        <v>480</v>
      </c>
      <c r="F4781" s="1" t="n">
        <v>20</v>
      </c>
      <c r="G4781" s="1" t="n">
        <v>15</v>
      </c>
      <c r="H4781" s="1" t="n">
        <v>15</v>
      </c>
      <c r="I4781" s="1" t="str">
        <f aca="false">B4781&amp;"|"&amp;C4781</f>
        <v>Hog Barns – Breeding/Gestation|Low Cost</v>
      </c>
      <c r="J4781" s="1" t="s">
        <v>1682</v>
      </c>
    </row>
    <row r="4782" customFormat="false" ht="12" hidden="false" customHeight="true" outlineLevel="0" collapsed="false">
      <c r="B4782" s="1" t="s">
        <v>1171</v>
      </c>
      <c r="C4782" s="1" t="s">
        <v>567</v>
      </c>
      <c r="F4782" s="1" t="n">
        <v>20</v>
      </c>
      <c r="G4782" s="1" t="n">
        <v>15</v>
      </c>
      <c r="H4782" s="1" t="n">
        <v>15</v>
      </c>
      <c r="I4782" s="1" t="str">
        <f aca="false">B4782&amp;"|"&amp;C4782</f>
        <v>Hog Barns – Breeding/Gestation|Cheap</v>
      </c>
      <c r="J4782" s="1" t="s">
        <v>1682</v>
      </c>
    </row>
    <row r="4783" customFormat="false" ht="12" hidden="false" customHeight="true" outlineLevel="0" collapsed="false">
      <c r="B4783" s="1" t="s">
        <v>1173</v>
      </c>
      <c r="C4783" s="1" t="s">
        <v>483</v>
      </c>
      <c r="F4783" s="1" t="n">
        <v>35</v>
      </c>
      <c r="G4783" s="1" t="n">
        <v>30</v>
      </c>
      <c r="H4783" s="1" t="n">
        <v>30</v>
      </c>
      <c r="I4783" s="1" t="str">
        <f aca="false">B4783&amp;"|"&amp;C4783</f>
        <v>Hog Barns – Farrowing|Good</v>
      </c>
      <c r="J4783" s="1" t="s">
        <v>1802</v>
      </c>
    </row>
    <row r="4784" customFormat="false" ht="12" hidden="false" customHeight="true" outlineLevel="0" collapsed="false">
      <c r="B4784" s="1" t="s">
        <v>1173</v>
      </c>
      <c r="C4784" s="1" t="s">
        <v>279</v>
      </c>
      <c r="F4784" s="1" t="n">
        <v>30</v>
      </c>
      <c r="G4784" s="1" t="n">
        <v>25</v>
      </c>
      <c r="H4784" s="1" t="n">
        <v>25</v>
      </c>
      <c r="I4784" s="1" t="str">
        <f aca="false">B4784&amp;"|"&amp;C4784</f>
        <v>Hog Barns – Farrowing|Average</v>
      </c>
      <c r="J4784" s="1" t="s">
        <v>1598</v>
      </c>
    </row>
    <row r="4785" customFormat="false" ht="12" hidden="false" customHeight="true" outlineLevel="0" collapsed="false">
      <c r="B4785" s="1" t="s">
        <v>1173</v>
      </c>
      <c r="C4785" s="1" t="s">
        <v>480</v>
      </c>
      <c r="F4785" s="1" t="n">
        <v>20</v>
      </c>
      <c r="G4785" s="1" t="n">
        <v>15</v>
      </c>
      <c r="H4785" s="1" t="n">
        <v>15</v>
      </c>
      <c r="I4785" s="1" t="str">
        <f aca="false">B4785&amp;"|"&amp;C4785</f>
        <v>Hog Barns – Farrowing|Low Cost</v>
      </c>
      <c r="J4785" s="1" t="s">
        <v>1682</v>
      </c>
    </row>
    <row r="4786" customFormat="false" ht="12" hidden="false" customHeight="true" outlineLevel="0" collapsed="false">
      <c r="B4786" s="1" t="s">
        <v>1173</v>
      </c>
      <c r="C4786" s="1" t="s">
        <v>567</v>
      </c>
      <c r="F4786" s="1" t="n">
        <v>20</v>
      </c>
      <c r="G4786" s="1" t="n">
        <v>15</v>
      </c>
      <c r="H4786" s="1" t="n">
        <v>15</v>
      </c>
      <c r="I4786" s="1" t="str">
        <f aca="false">B4786&amp;"|"&amp;C4786</f>
        <v>Hog Barns – Farrowing|Cheap</v>
      </c>
      <c r="J4786" s="1" t="s">
        <v>1682</v>
      </c>
    </row>
    <row r="4787" customFormat="false" ht="12" hidden="false" customHeight="true" outlineLevel="0" collapsed="false">
      <c r="B4787" s="1" t="s">
        <v>1177</v>
      </c>
      <c r="C4787" s="1" t="s">
        <v>279</v>
      </c>
      <c r="F4787" s="1" t="n">
        <v>25</v>
      </c>
      <c r="G4787" s="1" t="n">
        <v>20</v>
      </c>
      <c r="H4787" s="1" t="n">
        <v>20</v>
      </c>
      <c r="I4787" s="1" t="str">
        <f aca="false">B4787&amp;"|"&amp;C4787</f>
        <v>Hog Barns – Finishing|Average</v>
      </c>
      <c r="J4787" s="1" t="s">
        <v>1803</v>
      </c>
    </row>
    <row r="4788" customFormat="false" ht="12" hidden="false" customHeight="true" outlineLevel="0" collapsed="false">
      <c r="B4788" s="1" t="s">
        <v>1177</v>
      </c>
      <c r="C4788" s="1" t="s">
        <v>480</v>
      </c>
      <c r="F4788" s="1" t="n">
        <v>20</v>
      </c>
      <c r="G4788" s="1" t="n">
        <v>15</v>
      </c>
      <c r="H4788" s="1" t="n">
        <v>15</v>
      </c>
      <c r="I4788" s="1" t="str">
        <f aca="false">B4788&amp;"|"&amp;C4788</f>
        <v>Hog Barns – Finishing|Low Cost</v>
      </c>
      <c r="J4788" s="1" t="s">
        <v>1682</v>
      </c>
    </row>
    <row r="4789" customFormat="false" ht="12" hidden="false" customHeight="true" outlineLevel="0" collapsed="false">
      <c r="B4789" s="1" t="s">
        <v>1177</v>
      </c>
      <c r="C4789" s="1" t="s">
        <v>567</v>
      </c>
      <c r="F4789" s="1" t="n">
        <v>20</v>
      </c>
      <c r="G4789" s="1" t="n">
        <v>15</v>
      </c>
      <c r="H4789" s="1" t="n">
        <v>15</v>
      </c>
      <c r="I4789" s="1" t="str">
        <f aca="false">B4789&amp;"|"&amp;C4789</f>
        <v>Hog Barns – Finishing|Cheap</v>
      </c>
      <c r="J4789" s="1" t="s">
        <v>1682</v>
      </c>
    </row>
    <row r="4790" customFormat="false" ht="12" hidden="false" customHeight="true" outlineLevel="0" collapsed="false">
      <c r="B4790" s="1" t="s">
        <v>1179</v>
      </c>
      <c r="C4790" s="1" t="s">
        <v>279</v>
      </c>
      <c r="F4790" s="1" t="n">
        <v>25</v>
      </c>
      <c r="G4790" s="1" t="n">
        <v>20</v>
      </c>
      <c r="H4790" s="1" t="n">
        <v>20</v>
      </c>
      <c r="I4790" s="1" t="str">
        <f aca="false">B4790&amp;"|"&amp;C4790</f>
        <v>Modified Hog Sheds|Average</v>
      </c>
      <c r="J4790" s="1" t="s">
        <v>1804</v>
      </c>
    </row>
    <row r="4791" customFormat="false" ht="12" hidden="false" customHeight="true" outlineLevel="0" collapsed="false">
      <c r="B4791" s="1" t="s">
        <v>1179</v>
      </c>
      <c r="C4791" s="1" t="s">
        <v>480</v>
      </c>
      <c r="F4791" s="1" t="n">
        <v>20</v>
      </c>
      <c r="G4791" s="1" t="n">
        <v>15</v>
      </c>
      <c r="H4791" s="1" t="n">
        <v>15</v>
      </c>
      <c r="I4791" s="1" t="str">
        <f aca="false">B4791&amp;"|"&amp;C4791</f>
        <v>Modified Hog Sheds|Low Cost</v>
      </c>
      <c r="J4791" s="1" t="s">
        <v>1682</v>
      </c>
    </row>
    <row r="4792" customFormat="false" ht="12" hidden="false" customHeight="true" outlineLevel="0" collapsed="false">
      <c r="B4792" s="1" t="s">
        <v>1183</v>
      </c>
      <c r="C4792" s="1" t="s">
        <v>279</v>
      </c>
      <c r="F4792" s="1" t="n">
        <v>25</v>
      </c>
      <c r="G4792" s="1" t="n">
        <v>20</v>
      </c>
      <c r="H4792" s="1" t="n">
        <v>20</v>
      </c>
      <c r="I4792" s="1" t="str">
        <f aca="false">B4792&amp;"|"&amp;C4792</f>
        <v>Hog Sheds|Average</v>
      </c>
      <c r="J4792" s="1" t="s">
        <v>1804</v>
      </c>
    </row>
    <row r="4793" customFormat="false" ht="12" hidden="false" customHeight="true" outlineLevel="0" collapsed="false">
      <c r="B4793" s="1" t="s">
        <v>1183</v>
      </c>
      <c r="C4793" s="1" t="s">
        <v>480</v>
      </c>
      <c r="F4793" s="1" t="n">
        <v>20</v>
      </c>
      <c r="G4793" s="1" t="n">
        <v>15</v>
      </c>
      <c r="H4793" s="1" t="n">
        <v>15</v>
      </c>
      <c r="I4793" s="1" t="str">
        <f aca="false">B4793&amp;"|"&amp;C4793</f>
        <v>Hog Sheds|Low Cost</v>
      </c>
      <c r="J4793" s="1" t="s">
        <v>1682</v>
      </c>
    </row>
    <row r="4794" customFormat="false" ht="12" hidden="false" customHeight="true" outlineLevel="0" collapsed="false">
      <c r="B4794" s="1" t="s">
        <v>1183</v>
      </c>
      <c r="C4794" s="1" t="s">
        <v>567</v>
      </c>
      <c r="F4794" s="1" t="n">
        <v>20</v>
      </c>
      <c r="G4794" s="1" t="n">
        <v>15</v>
      </c>
      <c r="H4794" s="1" t="n">
        <v>15</v>
      </c>
      <c r="I4794" s="1" t="str">
        <f aca="false">B4794&amp;"|"&amp;C4794</f>
        <v>Hog Sheds|Cheap</v>
      </c>
      <c r="J4794" s="1" t="s">
        <v>1682</v>
      </c>
    </row>
    <row r="4795" customFormat="false" ht="12" hidden="false" customHeight="true" outlineLevel="0" collapsed="false">
      <c r="B4795" s="1" t="s">
        <v>1185</v>
      </c>
      <c r="C4795" s="1" t="s">
        <v>483</v>
      </c>
      <c r="G4795" s="1" t="n">
        <v>25</v>
      </c>
      <c r="H4795" s="1" t="n">
        <v>25</v>
      </c>
      <c r="I4795" s="1" t="str">
        <f aca="false">B4795&amp;"|"&amp;C4795</f>
        <v>Sheep Barns|Good</v>
      </c>
      <c r="J4795" s="1" t="s">
        <v>1805</v>
      </c>
    </row>
    <row r="4796" customFormat="false" ht="12" hidden="false" customHeight="true" outlineLevel="0" collapsed="false">
      <c r="B4796" s="1" t="s">
        <v>1185</v>
      </c>
      <c r="C4796" s="1" t="s">
        <v>279</v>
      </c>
      <c r="G4796" s="1" t="n">
        <v>25</v>
      </c>
      <c r="H4796" s="1" t="n">
        <v>25</v>
      </c>
      <c r="I4796" s="1" t="str">
        <f aca="false">B4796&amp;"|"&amp;C4796</f>
        <v>Sheep Barns|Average</v>
      </c>
      <c r="J4796" s="1" t="s">
        <v>1805</v>
      </c>
    </row>
    <row r="4797" customFormat="false" ht="12" hidden="false" customHeight="true" outlineLevel="0" collapsed="false">
      <c r="B4797" s="1" t="s">
        <v>1189</v>
      </c>
      <c r="C4797" s="1" t="s">
        <v>483</v>
      </c>
      <c r="G4797" s="1" t="n">
        <v>25</v>
      </c>
      <c r="H4797" s="1" t="n">
        <v>25</v>
      </c>
      <c r="I4797" s="1" t="str">
        <f aca="false">B4797&amp;"|"&amp;C4797</f>
        <v>Sheep Sheds|Good</v>
      </c>
      <c r="J4797" s="1" t="s">
        <v>1806</v>
      </c>
    </row>
    <row r="4798" customFormat="false" ht="12" hidden="false" customHeight="true" outlineLevel="0" collapsed="false">
      <c r="B4798" s="1" t="s">
        <v>1189</v>
      </c>
      <c r="C4798" s="1" t="s">
        <v>279</v>
      </c>
      <c r="G4798" s="1" t="n">
        <v>20</v>
      </c>
      <c r="H4798" s="1" t="n">
        <v>20</v>
      </c>
      <c r="I4798" s="1" t="str">
        <f aca="false">B4798&amp;"|"&amp;C4798</f>
        <v>Sheep Sheds|Average</v>
      </c>
      <c r="J4798" s="1" t="s">
        <v>1598</v>
      </c>
    </row>
    <row r="4799" customFormat="false" ht="12" hidden="false" customHeight="true" outlineLevel="0" collapsed="false">
      <c r="B4799" s="1" t="s">
        <v>1189</v>
      </c>
      <c r="C4799" s="1" t="s">
        <v>480</v>
      </c>
      <c r="G4799" s="1" t="n">
        <v>15</v>
      </c>
      <c r="H4799" s="1" t="n">
        <v>15</v>
      </c>
      <c r="I4799" s="1" t="str">
        <f aca="false">B4799&amp;"|"&amp;C4799</f>
        <v>Sheep Sheds|Low Cost</v>
      </c>
      <c r="J4799" s="1" t="s">
        <v>1682</v>
      </c>
    </row>
    <row r="4800" customFormat="false" ht="12" hidden="false" customHeight="true" outlineLevel="0" collapsed="false">
      <c r="B4800" s="1" t="s">
        <v>1189</v>
      </c>
      <c r="C4800" s="1" t="s">
        <v>567</v>
      </c>
      <c r="G4800" s="1" t="n">
        <v>15</v>
      </c>
      <c r="H4800" s="1" t="n">
        <v>15</v>
      </c>
      <c r="I4800" s="1" t="str">
        <f aca="false">B4800&amp;"|"&amp;C4800</f>
        <v>Sheep Sheds|Cheap</v>
      </c>
      <c r="J4800" s="1" t="s">
        <v>1682</v>
      </c>
    </row>
    <row r="4801" customFormat="false" ht="12" hidden="false" customHeight="true" outlineLevel="0" collapsed="false">
      <c r="B4801" s="1" t="s">
        <v>1191</v>
      </c>
      <c r="C4801" s="1" t="s">
        <v>483</v>
      </c>
      <c r="F4801" s="1" t="n">
        <v>25</v>
      </c>
      <c r="G4801" s="1" t="n">
        <v>20</v>
      </c>
      <c r="H4801" s="1" t="n">
        <v>20</v>
      </c>
      <c r="I4801" s="1" t="str">
        <f aca="false">B4801&amp;"|"&amp;C4801</f>
        <v>Poultry Floor Operation – Breeder Houses|Good</v>
      </c>
      <c r="J4801" s="1" t="s">
        <v>1807</v>
      </c>
    </row>
    <row r="4802" customFormat="false" ht="12" hidden="false" customHeight="true" outlineLevel="0" collapsed="false">
      <c r="B4802" s="1" t="s">
        <v>1191</v>
      </c>
      <c r="C4802" s="1" t="s">
        <v>279</v>
      </c>
      <c r="F4802" s="1" t="n">
        <v>20</v>
      </c>
      <c r="G4802" s="1" t="n">
        <v>15</v>
      </c>
      <c r="H4802" s="1" t="n">
        <v>15</v>
      </c>
      <c r="I4802" s="1" t="str">
        <f aca="false">B4802&amp;"|"&amp;C4802</f>
        <v>Poultry Floor Operation – Breeder Houses|Average</v>
      </c>
      <c r="J4802" s="1" t="s">
        <v>1598</v>
      </c>
    </row>
    <row r="4803" customFormat="false" ht="12" hidden="false" customHeight="true" outlineLevel="0" collapsed="false">
      <c r="B4803" s="1" t="s">
        <v>1191</v>
      </c>
      <c r="C4803" s="1" t="s">
        <v>555</v>
      </c>
      <c r="G4803" s="1" t="n">
        <v>15</v>
      </c>
      <c r="H4803" s="1" t="n">
        <v>15</v>
      </c>
      <c r="I4803" s="1" t="str">
        <f aca="false">B4803&amp;"|"&amp;C4803</f>
        <v>Poultry Floor Operation – Breeder Houses|Fair</v>
      </c>
      <c r="J4803" s="1" t="s">
        <v>1808</v>
      </c>
    </row>
    <row r="4804" customFormat="false" ht="12" hidden="false" customHeight="true" outlineLevel="0" collapsed="false">
      <c r="B4804" s="1" t="s">
        <v>1191</v>
      </c>
      <c r="C4804" s="1" t="s">
        <v>480</v>
      </c>
      <c r="G4804" s="1" t="n">
        <v>15</v>
      </c>
      <c r="H4804" s="1" t="n">
        <v>15</v>
      </c>
      <c r="I4804" s="1" t="str">
        <f aca="false">B4804&amp;"|"&amp;C4804</f>
        <v>Poultry Floor Operation – Breeder Houses|Low Cost</v>
      </c>
      <c r="J4804" s="1" t="s">
        <v>1808</v>
      </c>
    </row>
    <row r="4805" customFormat="false" ht="12" hidden="false" customHeight="true" outlineLevel="0" collapsed="false">
      <c r="B4805" s="1" t="s">
        <v>1191</v>
      </c>
      <c r="C4805" s="1" t="s">
        <v>567</v>
      </c>
      <c r="G4805" s="1" t="n">
        <v>15</v>
      </c>
      <c r="H4805" s="1" t="n">
        <v>15</v>
      </c>
      <c r="I4805" s="1" t="str">
        <f aca="false">B4805&amp;"|"&amp;C4805</f>
        <v>Poultry Floor Operation – Breeder Houses|Cheap</v>
      </c>
      <c r="J4805" s="1" t="s">
        <v>1808</v>
      </c>
    </row>
    <row r="4806" customFormat="false" ht="12" hidden="false" customHeight="true" outlineLevel="0" collapsed="false">
      <c r="B4806" s="1" t="s">
        <v>1195</v>
      </c>
      <c r="C4806" s="1" t="s">
        <v>483</v>
      </c>
      <c r="F4806" s="1" t="n">
        <v>25</v>
      </c>
      <c r="G4806" s="1" t="n">
        <v>20</v>
      </c>
      <c r="H4806" s="1" t="n">
        <v>20</v>
      </c>
      <c r="I4806" s="1" t="str">
        <f aca="false">B4806&amp;"|"&amp;C4806</f>
        <v>Poultry Floor Operation – Broiler Houses|Good</v>
      </c>
      <c r="J4806" s="1" t="s">
        <v>1807</v>
      </c>
    </row>
    <row r="4807" customFormat="false" ht="12" hidden="false" customHeight="true" outlineLevel="0" collapsed="false">
      <c r="B4807" s="1" t="s">
        <v>1195</v>
      </c>
      <c r="C4807" s="1" t="s">
        <v>279</v>
      </c>
      <c r="F4807" s="1" t="n">
        <v>20</v>
      </c>
      <c r="G4807" s="1" t="n">
        <v>15</v>
      </c>
      <c r="H4807" s="1" t="n">
        <v>15</v>
      </c>
      <c r="I4807" s="1" t="str">
        <f aca="false">B4807&amp;"|"&amp;C4807</f>
        <v>Poultry Floor Operation – Broiler Houses|Average</v>
      </c>
      <c r="J4807" s="1" t="s">
        <v>1598</v>
      </c>
    </row>
    <row r="4808" customFormat="false" ht="12" hidden="false" customHeight="true" outlineLevel="0" collapsed="false">
      <c r="B4808" s="1" t="s">
        <v>1195</v>
      </c>
      <c r="C4808" s="1" t="s">
        <v>555</v>
      </c>
      <c r="G4808" s="1" t="n">
        <v>15</v>
      </c>
      <c r="H4808" s="1" t="n">
        <v>15</v>
      </c>
      <c r="I4808" s="1" t="str">
        <f aca="false">B4808&amp;"|"&amp;C4808</f>
        <v>Poultry Floor Operation – Broiler Houses|Fair</v>
      </c>
      <c r="J4808" s="1" t="s">
        <v>1808</v>
      </c>
    </row>
    <row r="4809" customFormat="false" ht="12" hidden="false" customHeight="true" outlineLevel="0" collapsed="false">
      <c r="B4809" s="1" t="s">
        <v>1195</v>
      </c>
      <c r="C4809" s="1" t="s">
        <v>480</v>
      </c>
      <c r="G4809" s="1" t="n">
        <v>15</v>
      </c>
      <c r="H4809" s="1" t="n">
        <v>15</v>
      </c>
      <c r="I4809" s="1" t="str">
        <f aca="false">B4809&amp;"|"&amp;C4809</f>
        <v>Poultry Floor Operation – Broiler Houses|Low Cost</v>
      </c>
      <c r="J4809" s="1" t="s">
        <v>1808</v>
      </c>
    </row>
    <row r="4810" customFormat="false" ht="12" hidden="false" customHeight="true" outlineLevel="0" collapsed="false">
      <c r="B4810" s="1" t="s">
        <v>1195</v>
      </c>
      <c r="C4810" s="1" t="s">
        <v>567</v>
      </c>
      <c r="G4810" s="1" t="n">
        <v>15</v>
      </c>
      <c r="H4810" s="1" t="n">
        <v>15</v>
      </c>
      <c r="I4810" s="1" t="str">
        <f aca="false">B4810&amp;"|"&amp;C4810</f>
        <v>Poultry Floor Operation – Broiler Houses|Cheap</v>
      </c>
      <c r="J4810" s="1" t="s">
        <v>1808</v>
      </c>
    </row>
    <row r="4811" customFormat="false" ht="12" hidden="false" customHeight="true" outlineLevel="0" collapsed="false">
      <c r="B4811" s="1" t="s">
        <v>1197</v>
      </c>
      <c r="C4811" s="1" t="s">
        <v>483</v>
      </c>
      <c r="F4811" s="1" t="n">
        <v>30</v>
      </c>
      <c r="G4811" s="1" t="n">
        <v>25</v>
      </c>
      <c r="H4811" s="1" t="n">
        <v>25</v>
      </c>
      <c r="I4811" s="1" t="str">
        <f aca="false">B4811&amp;"|"&amp;C4811</f>
        <v>Poultry Cage Operation – Enclosed Houses|Good</v>
      </c>
      <c r="J4811" s="1" t="s">
        <v>1809</v>
      </c>
    </row>
    <row r="4812" customFormat="false" ht="12" hidden="false" customHeight="true" outlineLevel="0" collapsed="false">
      <c r="B4812" s="1" t="s">
        <v>1197</v>
      </c>
      <c r="C4812" s="1" t="s">
        <v>279</v>
      </c>
      <c r="F4812" s="1" t="n">
        <v>25</v>
      </c>
      <c r="G4812" s="1" t="n">
        <v>20</v>
      </c>
      <c r="H4812" s="1" t="n">
        <v>20</v>
      </c>
      <c r="I4812" s="1" t="str">
        <f aca="false">B4812&amp;"|"&amp;C4812</f>
        <v>Poultry Cage Operation – Enclosed Houses|Average</v>
      </c>
      <c r="J4812" s="1" t="s">
        <v>1598</v>
      </c>
    </row>
    <row r="4813" customFormat="false" ht="12" hidden="false" customHeight="true" outlineLevel="0" collapsed="false">
      <c r="B4813" s="1" t="s">
        <v>1197</v>
      </c>
      <c r="C4813" s="1" t="s">
        <v>480</v>
      </c>
      <c r="F4813" s="1" t="n">
        <v>20</v>
      </c>
      <c r="G4813" s="1" t="n">
        <v>15</v>
      </c>
      <c r="H4813" s="1" t="n">
        <v>15</v>
      </c>
      <c r="I4813" s="1" t="str">
        <f aca="false">B4813&amp;"|"&amp;C4813</f>
        <v>Poultry Cage Operation – Enclosed Houses|Low Cost</v>
      </c>
      <c r="J4813" s="1" t="s">
        <v>1682</v>
      </c>
    </row>
    <row r="4814" customFormat="false" ht="12" hidden="false" customHeight="true" outlineLevel="0" collapsed="false">
      <c r="B4814" s="1" t="s">
        <v>1197</v>
      </c>
      <c r="C4814" s="1" t="s">
        <v>567</v>
      </c>
      <c r="F4814" s="1" t="n">
        <v>20</v>
      </c>
      <c r="G4814" s="1" t="n">
        <v>15</v>
      </c>
      <c r="H4814" s="1" t="n">
        <v>15</v>
      </c>
      <c r="I4814" s="1" t="str">
        <f aca="false">B4814&amp;"|"&amp;C4814</f>
        <v>Poultry Cage Operation – Enclosed Houses|Cheap</v>
      </c>
      <c r="J4814" s="1" t="s">
        <v>1682</v>
      </c>
    </row>
    <row r="4815" customFormat="false" ht="12" hidden="false" customHeight="true" outlineLevel="0" collapsed="false">
      <c r="B4815" s="1" t="s">
        <v>1201</v>
      </c>
      <c r="C4815" s="1" t="s">
        <v>279</v>
      </c>
      <c r="F4815" s="1" t="n">
        <v>25</v>
      </c>
      <c r="G4815" s="1" t="n">
        <v>20</v>
      </c>
      <c r="H4815" s="1" t="n">
        <v>20</v>
      </c>
      <c r="I4815" s="1" t="str">
        <f aca="false">B4815&amp;"|"&amp;C4815</f>
        <v>Poultry Cage Operation – Screened Houses|Average</v>
      </c>
      <c r="J4815" s="1" t="s">
        <v>1598</v>
      </c>
    </row>
    <row r="4816" customFormat="false" ht="12" hidden="false" customHeight="true" outlineLevel="0" collapsed="false">
      <c r="B4816" s="1" t="s">
        <v>1201</v>
      </c>
      <c r="C4816" s="1" t="s">
        <v>555</v>
      </c>
      <c r="F4816" s="1" t="n">
        <v>20</v>
      </c>
      <c r="G4816" s="1" t="n">
        <v>15</v>
      </c>
      <c r="H4816" s="1" t="n">
        <v>15</v>
      </c>
      <c r="I4816" s="1" t="str">
        <f aca="false">B4816&amp;"|"&amp;C4816</f>
        <v>Poultry Cage Operation – Screened Houses|Fair</v>
      </c>
      <c r="J4816" s="1" t="s">
        <v>1682</v>
      </c>
    </row>
    <row r="4817" customFormat="false" ht="12" hidden="false" customHeight="true" outlineLevel="0" collapsed="false">
      <c r="B4817" s="1" t="s">
        <v>1201</v>
      </c>
      <c r="C4817" s="1" t="s">
        <v>480</v>
      </c>
      <c r="F4817" s="1" t="n">
        <v>20</v>
      </c>
      <c r="G4817" s="1" t="n">
        <v>15</v>
      </c>
      <c r="H4817" s="1" t="n">
        <v>15</v>
      </c>
      <c r="I4817" s="1" t="str">
        <f aca="false">B4817&amp;"|"&amp;C4817</f>
        <v>Poultry Cage Operation – Screened Houses|Low Cost</v>
      </c>
      <c r="J4817" s="1" t="s">
        <v>1682</v>
      </c>
    </row>
    <row r="4818" customFormat="false" ht="12" hidden="false" customHeight="true" outlineLevel="0" collapsed="false">
      <c r="B4818" s="1" t="s">
        <v>1201</v>
      </c>
      <c r="C4818" s="1" t="s">
        <v>567</v>
      </c>
      <c r="F4818" s="1" t="n">
        <v>20</v>
      </c>
      <c r="G4818" s="1" t="n">
        <v>15</v>
      </c>
      <c r="H4818" s="1" t="n">
        <v>15</v>
      </c>
      <c r="I4818" s="1" t="str">
        <f aca="false">B4818&amp;"|"&amp;C4818</f>
        <v>Poultry Cage Operation – Screened Houses|Cheap</v>
      </c>
      <c r="J4818" s="1" t="s">
        <v>1682</v>
      </c>
    </row>
    <row r="4819" customFormat="false" ht="12" hidden="false" customHeight="true" outlineLevel="0" collapsed="false">
      <c r="B4819" s="1" t="s">
        <v>1203</v>
      </c>
      <c r="C4819" s="1" t="s">
        <v>483</v>
      </c>
      <c r="F4819" s="1" t="n">
        <v>30</v>
      </c>
      <c r="G4819" s="1" t="n">
        <v>25</v>
      </c>
      <c r="H4819" s="1" t="n">
        <v>25</v>
      </c>
      <c r="I4819" s="1" t="str">
        <f aca="false">B4819&amp;"|"&amp;C4819</f>
        <v>Farm Labor Housing – Dormitories|Good</v>
      </c>
      <c r="J4819" s="1" t="s">
        <v>1810</v>
      </c>
    </row>
    <row r="4820" customFormat="false" ht="12" hidden="false" customHeight="true" outlineLevel="0" collapsed="false">
      <c r="B4820" s="1" t="s">
        <v>1203</v>
      </c>
      <c r="C4820" s="1" t="s">
        <v>279</v>
      </c>
      <c r="F4820" s="1" t="n">
        <v>25</v>
      </c>
      <c r="G4820" s="1" t="n">
        <v>20</v>
      </c>
      <c r="H4820" s="1" t="n">
        <v>20</v>
      </c>
      <c r="I4820" s="1" t="str">
        <f aca="false">B4820&amp;"|"&amp;C4820</f>
        <v>Farm Labor Housing – Dormitories|Average</v>
      </c>
      <c r="J4820" s="1" t="s">
        <v>1598</v>
      </c>
    </row>
    <row r="4821" customFormat="false" ht="12" hidden="false" customHeight="true" outlineLevel="0" collapsed="false">
      <c r="B4821" s="1" t="s">
        <v>1203</v>
      </c>
      <c r="C4821" s="1" t="s">
        <v>480</v>
      </c>
      <c r="F4821" s="1" t="n">
        <v>20</v>
      </c>
      <c r="G4821" s="1" t="n">
        <v>15</v>
      </c>
      <c r="I4821" s="1" t="str">
        <f aca="false">B4821&amp;"|"&amp;C4821</f>
        <v>Farm Labor Housing – Dormitories|Low Cost</v>
      </c>
      <c r="J4821" s="1" t="s">
        <v>1602</v>
      </c>
    </row>
    <row r="4822" customFormat="false" ht="12" hidden="false" customHeight="true" outlineLevel="0" collapsed="false">
      <c r="B4822" s="1" t="s">
        <v>1207</v>
      </c>
      <c r="C4822" s="1" t="s">
        <v>279</v>
      </c>
      <c r="G4822" s="1" t="n">
        <v>15</v>
      </c>
      <c r="I4822" s="1" t="str">
        <f aca="false">B4822&amp;"|"&amp;C4822</f>
        <v>Transient Labor Cabins|Average</v>
      </c>
      <c r="J4822" s="1" t="s">
        <v>1811</v>
      </c>
    </row>
    <row r="4823" customFormat="false" ht="12" hidden="false" customHeight="true" outlineLevel="0" collapsed="false">
      <c r="B4823" s="1" t="s">
        <v>1209</v>
      </c>
      <c r="C4823" s="1" t="s">
        <v>483</v>
      </c>
      <c r="G4823" s="1" t="n">
        <v>15</v>
      </c>
      <c r="I4823" s="1" t="str">
        <f aca="false">B4823&amp;"|"&amp;C4823</f>
        <v>Hunting Shelters|Good</v>
      </c>
      <c r="J4823" s="1" t="s">
        <v>1812</v>
      </c>
    </row>
    <row r="4824" customFormat="false" ht="12" hidden="false" customHeight="true" outlineLevel="0" collapsed="false">
      <c r="B4824" s="1" t="s">
        <v>1209</v>
      </c>
      <c r="C4824" s="1" t="s">
        <v>279</v>
      </c>
      <c r="G4824" s="1" t="n">
        <v>10</v>
      </c>
      <c r="I4824" s="1" t="str">
        <f aca="false">B4824&amp;"|"&amp;C4824</f>
        <v>Hunting Shelters|Average</v>
      </c>
      <c r="J4824" s="1" t="s">
        <v>1813</v>
      </c>
    </row>
    <row r="4825" customFormat="false" ht="12" hidden="false" customHeight="true" outlineLevel="0" collapsed="false">
      <c r="B4825" s="1" t="s">
        <v>1209</v>
      </c>
      <c r="C4825" s="1" t="s">
        <v>480</v>
      </c>
      <c r="G4825" s="1" t="n">
        <v>10</v>
      </c>
      <c r="I4825" s="1" t="str">
        <f aca="false">B4825&amp;"|"&amp;C4825</f>
        <v>Hunting Shelters|Low Cost</v>
      </c>
      <c r="J4825" s="1" t="s">
        <v>1813</v>
      </c>
    </row>
    <row r="4826" customFormat="false" ht="12" hidden="false" customHeight="true" outlineLevel="0" collapsed="false">
      <c r="B4826" s="1" t="s">
        <v>1209</v>
      </c>
      <c r="C4826" s="1" t="s">
        <v>567</v>
      </c>
      <c r="G4826" s="1" t="n">
        <v>10</v>
      </c>
      <c r="I4826" s="1" t="str">
        <f aca="false">B4826&amp;"|"&amp;C4826</f>
        <v>Hunting Shelters|Cheap</v>
      </c>
      <c r="J4826" s="1" t="s">
        <v>1813</v>
      </c>
    </row>
    <row r="4827" customFormat="false" ht="12" hidden="false" customHeight="true" outlineLevel="0" collapsed="false">
      <c r="B4827" s="1" t="s">
        <v>1211</v>
      </c>
      <c r="C4827" s="1" t="s">
        <v>485</v>
      </c>
      <c r="D4827" s="1" t="n">
        <v>50</v>
      </c>
      <c r="E4827" s="1" t="n">
        <v>50</v>
      </c>
      <c r="F4827" s="1" t="n">
        <v>45</v>
      </c>
      <c r="G4827" s="1" t="n">
        <v>40</v>
      </c>
      <c r="H4827" s="1" t="n">
        <v>40</v>
      </c>
      <c r="I4827" s="1" t="str">
        <f aca="false">B4827&amp;"|"&amp;C4827</f>
        <v>High Schools|Excellent</v>
      </c>
      <c r="J4827" s="1" t="s">
        <v>1814</v>
      </c>
    </row>
    <row r="4828" customFormat="false" ht="12" hidden="false" customHeight="true" outlineLevel="0" collapsed="false">
      <c r="B4828" s="1" t="s">
        <v>1211</v>
      </c>
      <c r="C4828" s="1" t="s">
        <v>483</v>
      </c>
      <c r="D4828" s="1" t="n">
        <v>50</v>
      </c>
      <c r="E4828" s="1" t="n">
        <v>50</v>
      </c>
      <c r="F4828" s="1" t="n">
        <v>45</v>
      </c>
      <c r="G4828" s="1" t="n">
        <v>40</v>
      </c>
      <c r="H4828" s="1" t="n">
        <v>40</v>
      </c>
      <c r="I4828" s="1" t="str">
        <f aca="false">B4828&amp;"|"&amp;C4828</f>
        <v>High Schools|Good</v>
      </c>
      <c r="J4828" s="1" t="s">
        <v>1814</v>
      </c>
    </row>
    <row r="4829" customFormat="false" ht="12" hidden="false" customHeight="true" outlineLevel="0" collapsed="false">
      <c r="B4829" s="1" t="s">
        <v>1211</v>
      </c>
      <c r="C4829" s="1" t="s">
        <v>279</v>
      </c>
      <c r="D4829" s="1" t="n">
        <v>45</v>
      </c>
      <c r="E4829" s="1" t="n">
        <v>45</v>
      </c>
      <c r="F4829" s="1" t="n">
        <v>45</v>
      </c>
      <c r="G4829" s="1" t="n">
        <v>40</v>
      </c>
      <c r="H4829" s="1" t="n">
        <v>40</v>
      </c>
      <c r="I4829" s="1" t="str">
        <f aca="false">B4829&amp;"|"&amp;C4829</f>
        <v>High Schools|Average</v>
      </c>
      <c r="J4829" s="1" t="s">
        <v>1598</v>
      </c>
    </row>
    <row r="4830" customFormat="false" ht="12" hidden="false" customHeight="true" outlineLevel="0" collapsed="false">
      <c r="B4830" s="1" t="s">
        <v>1211</v>
      </c>
      <c r="C4830" s="1" t="s">
        <v>480</v>
      </c>
      <c r="F4830" s="1" t="n">
        <v>40</v>
      </c>
      <c r="G4830" s="1" t="n">
        <v>35</v>
      </c>
      <c r="H4830" s="1" t="n">
        <v>35</v>
      </c>
      <c r="I4830" s="1" t="str">
        <f aca="false">B4830&amp;"|"&amp;C4830</f>
        <v>High Schools|Low Cost</v>
      </c>
      <c r="J4830" s="1" t="s">
        <v>1602</v>
      </c>
    </row>
    <row r="4831" customFormat="false" ht="12" hidden="false" customHeight="true" outlineLevel="0" collapsed="false">
      <c r="B4831" s="1" t="s">
        <v>1214</v>
      </c>
      <c r="C4831" s="1" t="s">
        <v>485</v>
      </c>
      <c r="D4831" s="1" t="n">
        <v>50</v>
      </c>
      <c r="E4831" s="1" t="n">
        <v>50</v>
      </c>
      <c r="F4831" s="1" t="n">
        <v>45</v>
      </c>
      <c r="G4831" s="1" t="n">
        <v>40</v>
      </c>
      <c r="H4831" s="1" t="n">
        <v>40</v>
      </c>
      <c r="I4831" s="1" t="str">
        <f aca="false">B4831&amp;"|"&amp;C4831</f>
        <v>Middle (Junior High) Schools|Excellent</v>
      </c>
      <c r="J4831" s="1" t="s">
        <v>1815</v>
      </c>
    </row>
    <row r="4832" customFormat="false" ht="12" hidden="false" customHeight="true" outlineLevel="0" collapsed="false">
      <c r="B4832" s="1" t="s">
        <v>1214</v>
      </c>
      <c r="C4832" s="1" t="s">
        <v>483</v>
      </c>
      <c r="D4832" s="1" t="n">
        <v>50</v>
      </c>
      <c r="E4832" s="1" t="n">
        <v>50</v>
      </c>
      <c r="F4832" s="1" t="n">
        <v>45</v>
      </c>
      <c r="G4832" s="1" t="n">
        <v>40</v>
      </c>
      <c r="H4832" s="1" t="n">
        <v>40</v>
      </c>
      <c r="I4832" s="1" t="str">
        <f aca="false">B4832&amp;"|"&amp;C4832</f>
        <v>Middle (Junior High) Schools|Good</v>
      </c>
      <c r="J4832" s="1" t="s">
        <v>1815</v>
      </c>
    </row>
    <row r="4833" customFormat="false" ht="12" hidden="false" customHeight="true" outlineLevel="0" collapsed="false">
      <c r="B4833" s="1" t="s">
        <v>1214</v>
      </c>
      <c r="C4833" s="1" t="s">
        <v>279</v>
      </c>
      <c r="D4833" s="1" t="n">
        <v>45</v>
      </c>
      <c r="E4833" s="1" t="n">
        <v>45</v>
      </c>
      <c r="F4833" s="1" t="n">
        <v>45</v>
      </c>
      <c r="G4833" s="1" t="n">
        <v>40</v>
      </c>
      <c r="H4833" s="1" t="n">
        <v>40</v>
      </c>
      <c r="I4833" s="1" t="str">
        <f aca="false">B4833&amp;"|"&amp;C4833</f>
        <v>Middle (Junior High) Schools|Average</v>
      </c>
      <c r="J4833" s="1" t="s">
        <v>1598</v>
      </c>
    </row>
    <row r="4834" customFormat="false" ht="12" hidden="false" customHeight="true" outlineLevel="0" collapsed="false">
      <c r="B4834" s="1" t="s">
        <v>1214</v>
      </c>
      <c r="C4834" s="1" t="s">
        <v>480</v>
      </c>
      <c r="F4834" s="1" t="n">
        <v>40</v>
      </c>
      <c r="G4834" s="1" t="n">
        <v>35</v>
      </c>
      <c r="H4834" s="1" t="n">
        <v>35</v>
      </c>
      <c r="I4834" s="1" t="str">
        <f aca="false">B4834&amp;"|"&amp;C4834</f>
        <v>Middle (Junior High) Schools|Low Cost</v>
      </c>
      <c r="J4834" s="1" t="s">
        <v>1602</v>
      </c>
    </row>
    <row r="4835" customFormat="false" ht="12" hidden="false" customHeight="true" outlineLevel="0" collapsed="false">
      <c r="B4835" s="1" t="s">
        <v>1217</v>
      </c>
      <c r="C4835" s="1" t="s">
        <v>485</v>
      </c>
      <c r="D4835" s="1" t="n">
        <v>50</v>
      </c>
      <c r="E4835" s="1" t="n">
        <v>50</v>
      </c>
      <c r="F4835" s="1" t="n">
        <v>45</v>
      </c>
      <c r="G4835" s="1" t="n">
        <v>40</v>
      </c>
      <c r="H4835" s="1" t="n">
        <v>40</v>
      </c>
      <c r="I4835" s="1" t="str">
        <f aca="false">B4835&amp;"|"&amp;C4835</f>
        <v>Elementary Schools|Excellent</v>
      </c>
      <c r="J4835" s="1" t="s">
        <v>1816</v>
      </c>
    </row>
    <row r="4836" customFormat="false" ht="12" hidden="false" customHeight="true" outlineLevel="0" collapsed="false">
      <c r="B4836" s="1" t="s">
        <v>1217</v>
      </c>
      <c r="C4836" s="1" t="s">
        <v>483</v>
      </c>
      <c r="D4836" s="1" t="n">
        <v>50</v>
      </c>
      <c r="E4836" s="1" t="n">
        <v>50</v>
      </c>
      <c r="F4836" s="1" t="n">
        <v>45</v>
      </c>
      <c r="G4836" s="1" t="n">
        <v>40</v>
      </c>
      <c r="H4836" s="1" t="n">
        <v>40</v>
      </c>
      <c r="I4836" s="1" t="str">
        <f aca="false">B4836&amp;"|"&amp;C4836</f>
        <v>Elementary Schools|Good</v>
      </c>
      <c r="J4836" s="1" t="s">
        <v>1816</v>
      </c>
    </row>
    <row r="4837" customFormat="false" ht="12" hidden="false" customHeight="true" outlineLevel="0" collapsed="false">
      <c r="B4837" s="1" t="s">
        <v>1217</v>
      </c>
      <c r="C4837" s="1" t="s">
        <v>279</v>
      </c>
      <c r="D4837" s="1" t="n">
        <v>45</v>
      </c>
      <c r="E4837" s="1" t="n">
        <v>45</v>
      </c>
      <c r="F4837" s="1" t="n">
        <v>45</v>
      </c>
      <c r="G4837" s="1" t="n">
        <v>40</v>
      </c>
      <c r="H4837" s="1" t="n">
        <v>40</v>
      </c>
      <c r="I4837" s="1" t="str">
        <f aca="false">B4837&amp;"|"&amp;C4837</f>
        <v>Elementary Schools|Average</v>
      </c>
      <c r="J4837" s="1" t="s">
        <v>1598</v>
      </c>
    </row>
    <row r="4838" customFormat="false" ht="12" hidden="false" customHeight="true" outlineLevel="0" collapsed="false">
      <c r="B4838" s="1" t="s">
        <v>1217</v>
      </c>
      <c r="C4838" s="1" t="s">
        <v>480</v>
      </c>
      <c r="F4838" s="1" t="n">
        <v>40</v>
      </c>
      <c r="G4838" s="1" t="n">
        <v>35</v>
      </c>
      <c r="H4838" s="1" t="n">
        <v>35</v>
      </c>
      <c r="I4838" s="1" t="str">
        <f aca="false">B4838&amp;"|"&amp;C4838</f>
        <v>Elementary Schools|Low Cost</v>
      </c>
      <c r="J4838" s="1" t="s">
        <v>1602</v>
      </c>
    </row>
    <row r="4839" customFormat="false" ht="12" hidden="false" customHeight="true" outlineLevel="0" collapsed="false">
      <c r="B4839" s="1" t="s">
        <v>1220</v>
      </c>
      <c r="C4839" s="1" t="s">
        <v>483</v>
      </c>
      <c r="D4839" s="1" t="n">
        <v>50</v>
      </c>
      <c r="E4839" s="1" t="n">
        <v>50</v>
      </c>
      <c r="F4839" s="1" t="n">
        <v>45</v>
      </c>
      <c r="G4839" s="1" t="n">
        <v>40</v>
      </c>
      <c r="H4839" s="1" t="n">
        <v>40</v>
      </c>
      <c r="I4839" s="1" t="str">
        <f aca="false">B4839&amp;"|"&amp;C4839</f>
        <v>Vocational Schools|Good</v>
      </c>
      <c r="J4839" s="1" t="s">
        <v>1817</v>
      </c>
    </row>
    <row r="4840" customFormat="false" ht="12" hidden="false" customHeight="true" outlineLevel="0" collapsed="false">
      <c r="B4840" s="1" t="s">
        <v>1220</v>
      </c>
      <c r="C4840" s="1" t="s">
        <v>279</v>
      </c>
      <c r="D4840" s="1" t="n">
        <v>45</v>
      </c>
      <c r="E4840" s="1" t="n">
        <v>45</v>
      </c>
      <c r="F4840" s="1" t="n">
        <v>45</v>
      </c>
      <c r="G4840" s="1" t="n">
        <v>40</v>
      </c>
      <c r="H4840" s="1" t="n">
        <v>40</v>
      </c>
      <c r="I4840" s="1" t="str">
        <f aca="false">B4840&amp;"|"&amp;C4840</f>
        <v>Vocational Schools|Average</v>
      </c>
      <c r="J4840" s="1" t="s">
        <v>1598</v>
      </c>
    </row>
    <row r="4841" customFormat="false" ht="12" hidden="false" customHeight="true" outlineLevel="0" collapsed="false">
      <c r="B4841" s="1" t="s">
        <v>1220</v>
      </c>
      <c r="C4841" s="1" t="s">
        <v>485</v>
      </c>
      <c r="D4841" s="1" t="n">
        <v>50</v>
      </c>
      <c r="E4841" s="1" t="n">
        <v>50</v>
      </c>
      <c r="F4841" s="1" t="n">
        <v>45</v>
      </c>
      <c r="G4841" s="1" t="n">
        <v>40</v>
      </c>
      <c r="H4841" s="1" t="n">
        <v>40</v>
      </c>
      <c r="I4841" s="1" t="str">
        <f aca="false">B4841&amp;"|"&amp;C4841</f>
        <v>Vocational Schools|Excellent</v>
      </c>
      <c r="J4841" s="1" t="s">
        <v>1817</v>
      </c>
    </row>
    <row r="4842" customFormat="false" ht="12" hidden="false" customHeight="true" outlineLevel="0" collapsed="false">
      <c r="B4842" s="1" t="s">
        <v>1220</v>
      </c>
      <c r="C4842" s="1" t="s">
        <v>480</v>
      </c>
      <c r="F4842" s="1" t="n">
        <v>40</v>
      </c>
      <c r="G4842" s="1" t="n">
        <v>35</v>
      </c>
      <c r="H4842" s="1" t="n">
        <v>35</v>
      </c>
      <c r="I4842" s="1" t="str">
        <f aca="false">B4842&amp;"|"&amp;C4842</f>
        <v>Vocational Schools|Low Cost</v>
      </c>
      <c r="J4842" s="1" t="s">
        <v>1602</v>
      </c>
    </row>
    <row r="4843" customFormat="false" ht="12" hidden="false" customHeight="true" outlineLevel="0" collapsed="false">
      <c r="B4843" s="1" t="s">
        <v>1223</v>
      </c>
      <c r="C4843" s="1" t="s">
        <v>279</v>
      </c>
      <c r="D4843" s="1" t="n">
        <v>45</v>
      </c>
      <c r="E4843" s="1" t="n">
        <v>45</v>
      </c>
      <c r="F4843" s="1" t="n">
        <v>45</v>
      </c>
      <c r="G4843" s="1" t="n">
        <v>40</v>
      </c>
      <c r="H4843" s="1" t="n">
        <v>40</v>
      </c>
      <c r="I4843" s="1" t="str">
        <f aca="false">B4843&amp;"|"&amp;C4843</f>
        <v>Alternative (High) Schools|Average</v>
      </c>
      <c r="J4843" s="1" t="s">
        <v>1598</v>
      </c>
    </row>
    <row r="4844" customFormat="false" ht="12" hidden="false" customHeight="true" outlineLevel="0" collapsed="false">
      <c r="B4844" s="1" t="s">
        <v>1223</v>
      </c>
      <c r="C4844" s="1" t="s">
        <v>485</v>
      </c>
      <c r="D4844" s="1" t="n">
        <v>50</v>
      </c>
      <c r="E4844" s="1" t="n">
        <v>50</v>
      </c>
      <c r="F4844" s="1" t="n">
        <v>45</v>
      </c>
      <c r="G4844" s="1" t="n">
        <v>40</v>
      </c>
      <c r="H4844" s="1" t="n">
        <v>40</v>
      </c>
      <c r="I4844" s="1" t="str">
        <f aca="false">B4844&amp;"|"&amp;C4844</f>
        <v>Alternative (High) Schools|Excellent</v>
      </c>
      <c r="J4844" s="1" t="s">
        <v>1814</v>
      </c>
    </row>
    <row r="4845" customFormat="false" ht="12" hidden="false" customHeight="true" outlineLevel="0" collapsed="false">
      <c r="B4845" s="1" t="s">
        <v>1223</v>
      </c>
      <c r="C4845" s="1" t="s">
        <v>483</v>
      </c>
      <c r="D4845" s="1" t="n">
        <v>50</v>
      </c>
      <c r="E4845" s="1" t="n">
        <v>50</v>
      </c>
      <c r="F4845" s="1" t="n">
        <v>45</v>
      </c>
      <c r="G4845" s="1" t="n">
        <v>40</v>
      </c>
      <c r="H4845" s="1" t="n">
        <v>40</v>
      </c>
      <c r="I4845" s="1" t="str">
        <f aca="false">B4845&amp;"|"&amp;C4845</f>
        <v>Alternative (High) Schools|Good</v>
      </c>
      <c r="J4845" s="1" t="s">
        <v>1814</v>
      </c>
    </row>
    <row r="4846" customFormat="false" ht="12" hidden="false" customHeight="true" outlineLevel="0" collapsed="false">
      <c r="B4846" s="1" t="s">
        <v>1226</v>
      </c>
      <c r="C4846" s="1" t="s">
        <v>279</v>
      </c>
      <c r="D4846" s="1" t="n">
        <v>45</v>
      </c>
      <c r="E4846" s="1" t="n">
        <v>45</v>
      </c>
      <c r="F4846" s="1" t="n">
        <v>40</v>
      </c>
      <c r="G4846" s="1" t="n">
        <v>35</v>
      </c>
      <c r="H4846" s="1" t="n">
        <v>35</v>
      </c>
      <c r="I4846" s="1" t="str">
        <f aca="false">B4846&amp;"|"&amp;C4846</f>
        <v>Day Care Centers|Average</v>
      </c>
      <c r="J4846" s="1" t="s">
        <v>1594</v>
      </c>
    </row>
    <row r="4847" customFormat="false" ht="12" hidden="false" customHeight="true" outlineLevel="0" collapsed="false">
      <c r="B4847" s="1" t="s">
        <v>1226</v>
      </c>
      <c r="C4847" s="1" t="s">
        <v>485</v>
      </c>
      <c r="F4847" s="1" t="n">
        <v>45</v>
      </c>
      <c r="G4847" s="1" t="n">
        <v>40</v>
      </c>
      <c r="I4847" s="1" t="str">
        <f aca="false">B4847&amp;"|"&amp;C4847</f>
        <v>Day Care Centers|Excellent</v>
      </c>
      <c r="J4847" s="1" t="s">
        <v>1818</v>
      </c>
    </row>
    <row r="4848" customFormat="false" ht="12" hidden="false" customHeight="true" outlineLevel="0" collapsed="false">
      <c r="B4848" s="1" t="s">
        <v>1226</v>
      </c>
      <c r="C4848" s="1" t="s">
        <v>483</v>
      </c>
      <c r="F4848" s="1" t="n">
        <v>45</v>
      </c>
      <c r="G4848" s="1" t="n">
        <v>40</v>
      </c>
      <c r="I4848" s="1" t="str">
        <f aca="false">B4848&amp;"|"&amp;C4848</f>
        <v>Day Care Centers|Good</v>
      </c>
      <c r="J4848" s="1" t="s">
        <v>1818</v>
      </c>
    </row>
    <row r="4849" customFormat="false" ht="12" hidden="false" customHeight="true" outlineLevel="0" collapsed="false">
      <c r="B4849" s="1" t="s">
        <v>1226</v>
      </c>
      <c r="C4849" s="1" t="s">
        <v>480</v>
      </c>
      <c r="D4849" s="1" t="n">
        <v>45</v>
      </c>
      <c r="E4849" s="1" t="n">
        <v>45</v>
      </c>
      <c r="F4849" s="1" t="n">
        <v>40</v>
      </c>
      <c r="G4849" s="1" t="n">
        <v>35</v>
      </c>
      <c r="H4849" s="1" t="n">
        <v>35</v>
      </c>
      <c r="I4849" s="1" t="str">
        <f aca="false">B4849&amp;"|"&amp;C4849</f>
        <v>Day Care Centers|Low Cost</v>
      </c>
      <c r="J4849" s="1" t="s">
        <v>1594</v>
      </c>
    </row>
    <row r="4850" customFormat="false" ht="12" hidden="false" customHeight="true" outlineLevel="0" collapsed="false">
      <c r="B4850" s="1" t="s">
        <v>1228</v>
      </c>
      <c r="C4850" s="1" t="s">
        <v>485</v>
      </c>
      <c r="D4850" s="1" t="n">
        <v>50</v>
      </c>
      <c r="E4850" s="1" t="n">
        <v>50</v>
      </c>
      <c r="F4850" s="1" t="n">
        <v>45</v>
      </c>
      <c r="G4850" s="1" t="n">
        <v>40</v>
      </c>
      <c r="H4850" s="1" t="n">
        <v>40</v>
      </c>
      <c r="I4850" s="1" t="str">
        <f aca="false">B4850&amp;"|"&amp;C4850</f>
        <v>Classrooms|Excellent</v>
      </c>
      <c r="J4850" s="1" t="s">
        <v>1819</v>
      </c>
    </row>
    <row r="4851" customFormat="false" ht="12" hidden="false" customHeight="true" outlineLevel="0" collapsed="false">
      <c r="B4851" s="1" t="s">
        <v>1228</v>
      </c>
      <c r="C4851" s="1" t="s">
        <v>483</v>
      </c>
      <c r="D4851" s="1" t="n">
        <v>50</v>
      </c>
      <c r="E4851" s="1" t="n">
        <v>50</v>
      </c>
      <c r="F4851" s="1" t="n">
        <v>45</v>
      </c>
      <c r="G4851" s="1" t="n">
        <v>40</v>
      </c>
      <c r="H4851" s="1" t="n">
        <v>40</v>
      </c>
      <c r="I4851" s="1" t="str">
        <f aca="false">B4851&amp;"|"&amp;C4851</f>
        <v>Classrooms|Good</v>
      </c>
      <c r="J4851" s="1" t="s">
        <v>1819</v>
      </c>
    </row>
    <row r="4852" customFormat="false" ht="12" hidden="false" customHeight="true" outlineLevel="0" collapsed="false">
      <c r="B4852" s="1" t="s">
        <v>1228</v>
      </c>
      <c r="C4852" s="1" t="s">
        <v>279</v>
      </c>
      <c r="D4852" s="1" t="n">
        <v>45</v>
      </c>
      <c r="E4852" s="1" t="n">
        <v>45</v>
      </c>
      <c r="F4852" s="1" t="n">
        <v>40</v>
      </c>
      <c r="G4852" s="1" t="n">
        <v>35</v>
      </c>
      <c r="H4852" s="1" t="n">
        <v>35</v>
      </c>
      <c r="I4852" s="1" t="str">
        <f aca="false">B4852&amp;"|"&amp;C4852</f>
        <v>Classrooms|Average</v>
      </c>
      <c r="J4852" s="1" t="s">
        <v>1594</v>
      </c>
    </row>
    <row r="4853" customFormat="false" ht="12" hidden="false" customHeight="true" outlineLevel="0" collapsed="false">
      <c r="B4853" s="1" t="s">
        <v>1228</v>
      </c>
      <c r="C4853" s="1" t="s">
        <v>480</v>
      </c>
      <c r="D4853" s="1" t="n">
        <v>45</v>
      </c>
      <c r="E4853" s="1" t="n">
        <v>45</v>
      </c>
      <c r="F4853" s="1" t="n">
        <v>40</v>
      </c>
      <c r="G4853" s="1" t="n">
        <v>35</v>
      </c>
      <c r="H4853" s="1" t="n">
        <v>35</v>
      </c>
      <c r="I4853" s="1" t="str">
        <f aca="false">B4853&amp;"|"&amp;C4853</f>
        <v>Classrooms|Low Cost</v>
      </c>
      <c r="J4853" s="1" t="s">
        <v>1594</v>
      </c>
    </row>
    <row r="4854" customFormat="false" ht="12" hidden="false" customHeight="true" outlineLevel="0" collapsed="false">
      <c r="B4854" s="1" t="s">
        <v>1228</v>
      </c>
      <c r="C4854" s="1" t="s">
        <v>567</v>
      </c>
      <c r="F4854" s="1" t="n">
        <v>35</v>
      </c>
      <c r="G4854" s="1" t="n">
        <v>30</v>
      </c>
      <c r="H4854" s="1" t="n">
        <v>30</v>
      </c>
      <c r="I4854" s="1" t="str">
        <f aca="false">B4854&amp;"|"&amp;C4854</f>
        <v>Classrooms|Cheap</v>
      </c>
      <c r="J4854" s="1" t="s">
        <v>1609</v>
      </c>
    </row>
    <row r="4855" customFormat="false" ht="12" hidden="false" customHeight="true" outlineLevel="0" collapsed="false">
      <c r="B4855" s="1" t="s">
        <v>1231</v>
      </c>
      <c r="C4855" s="1" t="s">
        <v>483</v>
      </c>
      <c r="D4855" s="1" t="n">
        <v>50</v>
      </c>
      <c r="E4855" s="1" t="n">
        <v>50</v>
      </c>
      <c r="F4855" s="1" t="n">
        <v>45</v>
      </c>
      <c r="G4855" s="1" t="n">
        <v>40</v>
      </c>
      <c r="H4855" s="1" t="n">
        <v>40</v>
      </c>
      <c r="I4855" s="1" t="str">
        <f aca="false">B4855&amp;"|"&amp;C4855</f>
        <v>Special Education Classrooms|Good</v>
      </c>
      <c r="J4855" s="1" t="s">
        <v>1819</v>
      </c>
    </row>
    <row r="4856" customFormat="false" ht="12" hidden="false" customHeight="true" outlineLevel="0" collapsed="false">
      <c r="B4856" s="1" t="s">
        <v>1231</v>
      </c>
      <c r="C4856" s="1" t="s">
        <v>279</v>
      </c>
      <c r="D4856" s="1" t="n">
        <v>45</v>
      </c>
      <c r="E4856" s="1" t="n">
        <v>45</v>
      </c>
      <c r="F4856" s="1" t="n">
        <v>40</v>
      </c>
      <c r="G4856" s="1" t="n">
        <v>35</v>
      </c>
      <c r="H4856" s="1" t="n">
        <v>35</v>
      </c>
      <c r="I4856" s="1" t="str">
        <f aca="false">B4856&amp;"|"&amp;C4856</f>
        <v>Special Education Classrooms|Average</v>
      </c>
      <c r="J4856" s="1" t="s">
        <v>1594</v>
      </c>
    </row>
    <row r="4857" customFormat="false" ht="12" hidden="false" customHeight="true" outlineLevel="0" collapsed="false">
      <c r="B4857" s="1" t="s">
        <v>1231</v>
      </c>
      <c r="C4857" s="1" t="s">
        <v>485</v>
      </c>
      <c r="D4857" s="1" t="n">
        <v>50</v>
      </c>
      <c r="E4857" s="1" t="n">
        <v>50</v>
      </c>
      <c r="F4857" s="1" t="n">
        <v>45</v>
      </c>
      <c r="G4857" s="1" t="n">
        <v>40</v>
      </c>
      <c r="H4857" s="1" t="n">
        <v>40</v>
      </c>
      <c r="I4857" s="1" t="str">
        <f aca="false">B4857&amp;"|"&amp;C4857</f>
        <v>Special Education Classrooms|Excellent</v>
      </c>
      <c r="J4857" s="1" t="s">
        <v>1819</v>
      </c>
    </row>
    <row r="4858" customFormat="false" ht="12" hidden="false" customHeight="true" outlineLevel="0" collapsed="false">
      <c r="B4858" s="1" t="s">
        <v>1234</v>
      </c>
      <c r="C4858" s="1" t="s">
        <v>485</v>
      </c>
      <c r="G4858" s="1" t="n">
        <v>35</v>
      </c>
      <c r="I4858" s="1" t="str">
        <f aca="false">B4858&amp;"|"&amp;C4858</f>
        <v>Relocatable Classrooms|Excellent</v>
      </c>
      <c r="J4858" s="1" t="s">
        <v>1820</v>
      </c>
    </row>
    <row r="4859" customFormat="false" ht="12" hidden="false" customHeight="true" outlineLevel="0" collapsed="false">
      <c r="B4859" s="1" t="s">
        <v>1234</v>
      </c>
      <c r="C4859" s="1" t="s">
        <v>483</v>
      </c>
      <c r="G4859" s="1" t="n">
        <v>30</v>
      </c>
      <c r="I4859" s="1" t="str">
        <f aca="false">B4859&amp;"|"&amp;C4859</f>
        <v>Relocatable Classrooms|Good</v>
      </c>
      <c r="J4859" s="1" t="s">
        <v>1600</v>
      </c>
    </row>
    <row r="4860" customFormat="false" ht="12" hidden="false" customHeight="true" outlineLevel="0" collapsed="false">
      <c r="B4860" s="1" t="s">
        <v>1234</v>
      </c>
      <c r="C4860" s="1" t="s">
        <v>279</v>
      </c>
      <c r="G4860" s="1" t="n">
        <v>25</v>
      </c>
      <c r="I4860" s="1" t="str">
        <f aca="false">B4860&amp;"|"&amp;C4860</f>
        <v>Relocatable Classrooms|Average</v>
      </c>
      <c r="J4860" s="1" t="s">
        <v>1598</v>
      </c>
    </row>
    <row r="4861" customFormat="false" ht="12" hidden="false" customHeight="true" outlineLevel="0" collapsed="false">
      <c r="B4861" s="1" t="s">
        <v>1234</v>
      </c>
      <c r="C4861" s="1" t="s">
        <v>480</v>
      </c>
      <c r="G4861" s="1" t="n">
        <v>20</v>
      </c>
      <c r="I4861" s="1" t="str">
        <f aca="false">B4861&amp;"|"&amp;C4861</f>
        <v>Relocatable Classrooms|Low Cost</v>
      </c>
      <c r="J4861" s="1" t="s">
        <v>1602</v>
      </c>
    </row>
    <row r="4862" customFormat="false" ht="12" hidden="false" customHeight="true" outlineLevel="0" collapsed="false">
      <c r="B4862" s="1" t="s">
        <v>1234</v>
      </c>
      <c r="C4862" s="1" t="s">
        <v>567</v>
      </c>
      <c r="G4862" s="1" t="n">
        <v>10</v>
      </c>
      <c r="I4862" s="1" t="str">
        <f aca="false">B4862&amp;"|"&amp;C4862</f>
        <v>Relocatable Classrooms|Cheap</v>
      </c>
      <c r="J4862" s="1" t="s">
        <v>1609</v>
      </c>
    </row>
    <row r="4863" customFormat="false" ht="12" hidden="false" customHeight="true" outlineLevel="0" collapsed="false">
      <c r="B4863" s="1" t="s">
        <v>1236</v>
      </c>
      <c r="C4863" s="1" t="s">
        <v>279</v>
      </c>
      <c r="D4863" s="1" t="n">
        <v>45</v>
      </c>
      <c r="E4863" s="1" t="n">
        <v>45</v>
      </c>
      <c r="F4863" s="1" t="n">
        <v>40</v>
      </c>
      <c r="G4863" s="1" t="n">
        <v>35</v>
      </c>
      <c r="H4863" s="1" t="n">
        <v>35</v>
      </c>
      <c r="I4863" s="1" t="str">
        <f aca="false">B4863&amp;"|"&amp;C4863</f>
        <v>Manual Arts (Shop) Buildings|Average</v>
      </c>
      <c r="J4863" s="1" t="s">
        <v>1821</v>
      </c>
    </row>
    <row r="4864" customFormat="false" ht="12" hidden="false" customHeight="true" outlineLevel="0" collapsed="false">
      <c r="B4864" s="1" t="s">
        <v>1236</v>
      </c>
      <c r="C4864" s="1" t="s">
        <v>480</v>
      </c>
      <c r="F4864" s="1" t="n">
        <v>35</v>
      </c>
      <c r="G4864" s="1" t="n">
        <v>30</v>
      </c>
      <c r="H4864" s="1" t="n">
        <v>30</v>
      </c>
      <c r="I4864" s="1" t="str">
        <f aca="false">B4864&amp;"|"&amp;C4864</f>
        <v>Manual Arts (Shop) Buildings|Low Cost</v>
      </c>
      <c r="J4864" s="1" t="s">
        <v>1602</v>
      </c>
    </row>
    <row r="4865" customFormat="false" ht="12" hidden="false" customHeight="true" outlineLevel="0" collapsed="false">
      <c r="B4865" s="1" t="s">
        <v>1236</v>
      </c>
      <c r="C4865" s="1" t="s">
        <v>483</v>
      </c>
      <c r="D4865" s="1" t="n">
        <v>45</v>
      </c>
      <c r="E4865" s="1" t="n">
        <v>45</v>
      </c>
      <c r="F4865" s="1" t="n">
        <v>40</v>
      </c>
      <c r="G4865" s="1" t="n">
        <v>35</v>
      </c>
      <c r="H4865" s="1" t="n">
        <v>35</v>
      </c>
      <c r="I4865" s="1" t="str">
        <f aca="false">B4865&amp;"|"&amp;C4865</f>
        <v>Manual Arts (Shop) Buildings|Good</v>
      </c>
      <c r="J4865" s="1" t="s">
        <v>1821</v>
      </c>
    </row>
    <row r="4866" customFormat="false" ht="12" hidden="false" customHeight="true" outlineLevel="0" collapsed="false">
      <c r="B4866" s="1" t="s">
        <v>1239</v>
      </c>
      <c r="C4866" s="1" t="s">
        <v>279</v>
      </c>
      <c r="D4866" s="1" t="n">
        <v>45</v>
      </c>
      <c r="E4866" s="1" t="n">
        <v>45</v>
      </c>
      <c r="F4866" s="1" t="n">
        <v>40</v>
      </c>
      <c r="G4866" s="1" t="n">
        <v>35</v>
      </c>
      <c r="H4866" s="1" t="n">
        <v>35</v>
      </c>
      <c r="I4866" s="1" t="str">
        <f aca="false">B4866&amp;"|"&amp;C4866</f>
        <v>Lecture Classrooms|Average</v>
      </c>
      <c r="J4866" s="1" t="s">
        <v>1594</v>
      </c>
    </row>
    <row r="4867" customFormat="false" ht="12" hidden="false" customHeight="true" outlineLevel="0" collapsed="false">
      <c r="B4867" s="1" t="s">
        <v>1239</v>
      </c>
      <c r="C4867" s="1" t="s">
        <v>483</v>
      </c>
      <c r="D4867" s="1" t="n">
        <v>50</v>
      </c>
      <c r="E4867" s="1" t="n">
        <v>50</v>
      </c>
      <c r="F4867" s="1" t="n">
        <v>45</v>
      </c>
      <c r="G4867" s="1" t="n">
        <v>40</v>
      </c>
      <c r="H4867" s="1" t="n">
        <v>40</v>
      </c>
      <c r="I4867" s="1" t="str">
        <f aca="false">B4867&amp;"|"&amp;C4867</f>
        <v>Lecture Classrooms|Good</v>
      </c>
      <c r="J4867" s="1" t="s">
        <v>1822</v>
      </c>
    </row>
    <row r="4868" customFormat="false" ht="12" hidden="false" customHeight="true" outlineLevel="0" collapsed="false">
      <c r="B4868" s="1" t="s">
        <v>1241</v>
      </c>
      <c r="C4868" s="1" t="s">
        <v>483</v>
      </c>
      <c r="D4868" s="1" t="n">
        <v>45</v>
      </c>
      <c r="E4868" s="1" t="n">
        <v>45</v>
      </c>
      <c r="F4868" s="1" t="n">
        <v>40</v>
      </c>
      <c r="G4868" s="1" t="n">
        <v>35</v>
      </c>
      <c r="H4868" s="1" t="n">
        <v>35</v>
      </c>
      <c r="I4868" s="1" t="str">
        <f aca="false">B4868&amp;"|"&amp;C4868</f>
        <v>Multipurpose Buildings|Good</v>
      </c>
      <c r="J4868" s="1" t="s">
        <v>1613</v>
      </c>
    </row>
    <row r="4869" customFormat="false" ht="12" hidden="false" customHeight="true" outlineLevel="0" collapsed="false">
      <c r="B4869" s="1" t="s">
        <v>1241</v>
      </c>
      <c r="C4869" s="1" t="s">
        <v>279</v>
      </c>
      <c r="D4869" s="1" t="n">
        <v>45</v>
      </c>
      <c r="E4869" s="1" t="n">
        <v>45</v>
      </c>
      <c r="F4869" s="1" t="n">
        <v>40</v>
      </c>
      <c r="G4869" s="1" t="n">
        <v>35</v>
      </c>
      <c r="H4869" s="1" t="n">
        <v>35</v>
      </c>
      <c r="I4869" s="1" t="str">
        <f aca="false">B4869&amp;"|"&amp;C4869</f>
        <v>Multipurpose Buildings|Average</v>
      </c>
      <c r="J4869" s="1" t="s">
        <v>1613</v>
      </c>
    </row>
    <row r="4870" customFormat="false" ht="12" hidden="false" customHeight="true" outlineLevel="0" collapsed="false">
      <c r="B4870" s="1" t="s">
        <v>1241</v>
      </c>
      <c r="C4870" s="1" t="s">
        <v>485</v>
      </c>
      <c r="F4870" s="1" t="n">
        <v>45</v>
      </c>
      <c r="I4870" s="1" t="str">
        <f aca="false">B4870&amp;"|"&amp;C4870</f>
        <v>Multipurpose Buildings|Excellent</v>
      </c>
      <c r="J4870" s="1" t="s">
        <v>1823</v>
      </c>
    </row>
    <row r="4871" customFormat="false" ht="12" hidden="false" customHeight="true" outlineLevel="0" collapsed="false">
      <c r="B4871" s="1" t="s">
        <v>1241</v>
      </c>
      <c r="C4871" s="1" t="s">
        <v>480</v>
      </c>
      <c r="F4871" s="1" t="n">
        <v>35</v>
      </c>
      <c r="G4871" s="1" t="n">
        <v>30</v>
      </c>
      <c r="H4871" s="1" t="n">
        <v>30</v>
      </c>
      <c r="I4871" s="1" t="str">
        <f aca="false">B4871&amp;"|"&amp;C4871</f>
        <v>Multipurpose Buildings|Low Cost</v>
      </c>
      <c r="J4871" s="1" t="s">
        <v>1602</v>
      </c>
    </row>
    <row r="4872" customFormat="false" ht="12" hidden="false" customHeight="true" outlineLevel="0" collapsed="false">
      <c r="B4872" s="1" t="s">
        <v>1244</v>
      </c>
      <c r="C4872" s="1" t="s">
        <v>483</v>
      </c>
      <c r="D4872" s="1" t="n">
        <v>50</v>
      </c>
      <c r="E4872" s="1" t="n">
        <v>50</v>
      </c>
      <c r="F4872" s="1" t="n">
        <v>45</v>
      </c>
      <c r="G4872" s="1" t="n">
        <v>40</v>
      </c>
      <c r="H4872" s="1" t="n">
        <v>40</v>
      </c>
      <c r="I4872" s="1" t="str">
        <f aca="false">B4872&amp;"|"&amp;C4872</f>
        <v>Laboratory Classrooms|Good</v>
      </c>
      <c r="J4872" s="1" t="s">
        <v>1824</v>
      </c>
    </row>
    <row r="4873" customFormat="false" ht="12" hidden="false" customHeight="true" outlineLevel="0" collapsed="false">
      <c r="B4873" s="1" t="s">
        <v>1244</v>
      </c>
      <c r="C4873" s="1" t="s">
        <v>279</v>
      </c>
      <c r="D4873" s="1" t="n">
        <v>45</v>
      </c>
      <c r="E4873" s="1" t="n">
        <v>45</v>
      </c>
      <c r="F4873" s="1" t="n">
        <v>40</v>
      </c>
      <c r="G4873" s="1" t="n">
        <v>35</v>
      </c>
      <c r="H4873" s="1" t="n">
        <v>35</v>
      </c>
      <c r="I4873" s="1" t="str">
        <f aca="false">B4873&amp;"|"&amp;C4873</f>
        <v>Laboratory Classrooms|Average</v>
      </c>
      <c r="J4873" s="1" t="s">
        <v>1594</v>
      </c>
    </row>
    <row r="4874" customFormat="false" ht="12" hidden="false" customHeight="true" outlineLevel="0" collapsed="false">
      <c r="B4874" s="1" t="s">
        <v>1244</v>
      </c>
      <c r="C4874" s="1" t="s">
        <v>485</v>
      </c>
      <c r="D4874" s="1" t="n">
        <v>50</v>
      </c>
      <c r="E4874" s="1" t="n">
        <v>50</v>
      </c>
      <c r="F4874" s="1" t="n">
        <v>45</v>
      </c>
      <c r="G4874" s="1" t="n">
        <v>40</v>
      </c>
      <c r="H4874" s="1" t="n">
        <v>40</v>
      </c>
      <c r="I4874" s="1" t="str">
        <f aca="false">B4874&amp;"|"&amp;C4874</f>
        <v>Laboratory Classrooms|Excellent</v>
      </c>
      <c r="J4874" s="1" t="s">
        <v>1824</v>
      </c>
    </row>
    <row r="4875" customFormat="false" ht="12" hidden="false" customHeight="true" outlineLevel="0" collapsed="false">
      <c r="B4875" s="1" t="s">
        <v>1246</v>
      </c>
      <c r="C4875" s="1" t="s">
        <v>483</v>
      </c>
      <c r="D4875" s="1" t="n">
        <v>60</v>
      </c>
      <c r="E4875" s="1" t="n">
        <v>60</v>
      </c>
      <c r="F4875" s="1" t="n">
        <v>55</v>
      </c>
      <c r="G4875" s="1" t="n">
        <v>50</v>
      </c>
      <c r="H4875" s="1" t="n">
        <v>50</v>
      </c>
      <c r="I4875" s="1" t="str">
        <f aca="false">B4875&amp;"|"&amp;C4875</f>
        <v>Elementary and Secondary Media Centers (Libraries)|Good</v>
      </c>
      <c r="J4875" s="1" t="s">
        <v>1825</v>
      </c>
    </row>
    <row r="4876" customFormat="false" ht="12" hidden="false" customHeight="true" outlineLevel="0" collapsed="false">
      <c r="B4876" s="1" t="s">
        <v>1246</v>
      </c>
      <c r="C4876" s="1" t="s">
        <v>279</v>
      </c>
      <c r="D4876" s="1" t="n">
        <v>55</v>
      </c>
      <c r="E4876" s="1" t="n">
        <v>55</v>
      </c>
      <c r="F4876" s="1" t="n">
        <v>50</v>
      </c>
      <c r="G4876" s="1" t="n">
        <v>45</v>
      </c>
      <c r="H4876" s="1" t="n">
        <v>45</v>
      </c>
      <c r="I4876" s="1" t="str">
        <f aca="false">B4876&amp;"|"&amp;C4876</f>
        <v>Elementary and Secondary Media Centers (Libraries)|Average</v>
      </c>
      <c r="J4876" s="1" t="s">
        <v>1598</v>
      </c>
    </row>
    <row r="4877" customFormat="false" ht="12" hidden="false" customHeight="true" outlineLevel="0" collapsed="false">
      <c r="B4877" s="1" t="s">
        <v>1246</v>
      </c>
      <c r="C4877" s="1" t="s">
        <v>480</v>
      </c>
      <c r="D4877" s="1" t="n">
        <v>50</v>
      </c>
      <c r="E4877" s="1" t="n">
        <v>50</v>
      </c>
      <c r="F4877" s="1" t="n">
        <v>45</v>
      </c>
      <c r="G4877" s="1" t="n">
        <v>40</v>
      </c>
      <c r="H4877" s="1" t="n">
        <v>40</v>
      </c>
      <c r="I4877" s="1" t="str">
        <f aca="false">B4877&amp;"|"&amp;C4877</f>
        <v>Elementary and Secondary Media Centers (Libraries)|Low Cost</v>
      </c>
      <c r="J4877" s="1" t="s">
        <v>1602</v>
      </c>
    </row>
    <row r="4878" customFormat="false" ht="12" hidden="false" customHeight="true" outlineLevel="0" collapsed="false">
      <c r="B4878" s="1" t="s">
        <v>1246</v>
      </c>
      <c r="C4878" s="1" t="s">
        <v>485</v>
      </c>
      <c r="D4878" s="1" t="n">
        <v>60</v>
      </c>
      <c r="E4878" s="1" t="n">
        <v>60</v>
      </c>
      <c r="F4878" s="1" t="n">
        <v>55</v>
      </c>
      <c r="G4878" s="1" t="n">
        <v>50</v>
      </c>
      <c r="H4878" s="1" t="n">
        <v>50</v>
      </c>
      <c r="I4878" s="1" t="str">
        <f aca="false">B4878&amp;"|"&amp;C4878</f>
        <v>Elementary and Secondary Media Centers (Libraries)|Excellent</v>
      </c>
      <c r="J4878" s="1" t="s">
        <v>1825</v>
      </c>
    </row>
    <row r="4879" customFormat="false" ht="12" hidden="false" customHeight="true" outlineLevel="0" collapsed="false">
      <c r="B4879" s="1" t="s">
        <v>1249</v>
      </c>
      <c r="C4879" s="1" t="s">
        <v>485</v>
      </c>
      <c r="D4879" s="1" t="n">
        <v>60</v>
      </c>
      <c r="E4879" s="1" t="n">
        <v>60</v>
      </c>
      <c r="F4879" s="1" t="n">
        <v>55</v>
      </c>
      <c r="G4879" s="1" t="n">
        <v>50</v>
      </c>
      <c r="H4879" s="1" t="n">
        <v>50</v>
      </c>
      <c r="I4879" s="1" t="str">
        <f aca="false">B4879&amp;"|"&amp;C4879</f>
        <v>Academic (College) Libraries|Excellent</v>
      </c>
      <c r="J4879" s="1" t="s">
        <v>1826</v>
      </c>
    </row>
    <row r="4880" customFormat="false" ht="12" hidden="false" customHeight="true" outlineLevel="0" collapsed="false">
      <c r="B4880" s="1" t="s">
        <v>1249</v>
      </c>
      <c r="C4880" s="1" t="s">
        <v>483</v>
      </c>
      <c r="D4880" s="1" t="n">
        <v>60</v>
      </c>
      <c r="E4880" s="1" t="n">
        <v>60</v>
      </c>
      <c r="F4880" s="1" t="n">
        <v>55</v>
      </c>
      <c r="G4880" s="1" t="n">
        <v>50</v>
      </c>
      <c r="H4880" s="1" t="n">
        <v>50</v>
      </c>
      <c r="I4880" s="1" t="str">
        <f aca="false">B4880&amp;"|"&amp;C4880</f>
        <v>Academic (College) Libraries|Good</v>
      </c>
      <c r="J4880" s="1" t="s">
        <v>1826</v>
      </c>
    </row>
    <row r="4881" customFormat="false" ht="12" hidden="false" customHeight="true" outlineLevel="0" collapsed="false">
      <c r="B4881" s="1" t="s">
        <v>1249</v>
      </c>
      <c r="C4881" s="1" t="s">
        <v>279</v>
      </c>
      <c r="D4881" s="1" t="n">
        <v>55</v>
      </c>
      <c r="E4881" s="1" t="n">
        <v>55</v>
      </c>
      <c r="F4881" s="1" t="n">
        <v>50</v>
      </c>
      <c r="G4881" s="1" t="n">
        <v>45</v>
      </c>
      <c r="H4881" s="1" t="n">
        <v>45</v>
      </c>
      <c r="I4881" s="1" t="str">
        <f aca="false">B4881&amp;"|"&amp;C4881</f>
        <v>Academic (College) Libraries|Average</v>
      </c>
      <c r="J4881" s="1" t="s">
        <v>1598</v>
      </c>
    </row>
    <row r="4882" customFormat="false" ht="12" hidden="false" customHeight="true" outlineLevel="0" collapsed="false">
      <c r="B4882" s="1" t="s">
        <v>1249</v>
      </c>
      <c r="C4882" s="1" t="s">
        <v>480</v>
      </c>
      <c r="D4882" s="1" t="n">
        <v>50</v>
      </c>
      <c r="E4882" s="1" t="n">
        <v>50</v>
      </c>
      <c r="F4882" s="1" t="n">
        <v>45</v>
      </c>
      <c r="G4882" s="1" t="n">
        <v>40</v>
      </c>
      <c r="H4882" s="1" t="n">
        <v>40</v>
      </c>
      <c r="I4882" s="1" t="str">
        <f aca="false">B4882&amp;"|"&amp;C4882</f>
        <v>Academic (College) Libraries|Low Cost</v>
      </c>
      <c r="J4882" s="1" t="s">
        <v>1602</v>
      </c>
    </row>
    <row r="4883" customFormat="false" ht="12" hidden="false" customHeight="true" outlineLevel="0" collapsed="false">
      <c r="B4883" s="1" t="s">
        <v>1252</v>
      </c>
      <c r="C4883" s="1" t="s">
        <v>483</v>
      </c>
      <c r="D4883" s="1" t="n">
        <v>45</v>
      </c>
      <c r="E4883" s="1" t="n">
        <v>45</v>
      </c>
      <c r="F4883" s="1" t="n">
        <v>40</v>
      </c>
      <c r="G4883" s="1" t="n">
        <v>35</v>
      </c>
      <c r="H4883" s="1" t="n">
        <v>35</v>
      </c>
      <c r="I4883" s="1" t="str">
        <f aca="false">B4883&amp;"|"&amp;C4883</f>
        <v>Fine Arts Buildings|Good</v>
      </c>
      <c r="J4883" s="1" t="s">
        <v>1613</v>
      </c>
    </row>
    <row r="4884" customFormat="false" ht="12" hidden="false" customHeight="true" outlineLevel="0" collapsed="false">
      <c r="B4884" s="1" t="s">
        <v>1252</v>
      </c>
      <c r="C4884" s="1" t="s">
        <v>279</v>
      </c>
      <c r="D4884" s="1" t="n">
        <v>45</v>
      </c>
      <c r="E4884" s="1" t="n">
        <v>45</v>
      </c>
      <c r="F4884" s="1" t="n">
        <v>40</v>
      </c>
      <c r="G4884" s="1" t="n">
        <v>35</v>
      </c>
      <c r="H4884" s="1" t="n">
        <v>35</v>
      </c>
      <c r="I4884" s="1" t="str">
        <f aca="false">B4884&amp;"|"&amp;C4884</f>
        <v>Fine Arts Buildings|Average</v>
      </c>
      <c r="J4884" s="1" t="s">
        <v>1613</v>
      </c>
    </row>
    <row r="4885" customFormat="false" ht="12" hidden="false" customHeight="true" outlineLevel="0" collapsed="false">
      <c r="B4885" s="1" t="s">
        <v>1252</v>
      </c>
      <c r="C4885" s="1" t="s">
        <v>485</v>
      </c>
      <c r="F4885" s="1" t="n">
        <v>45</v>
      </c>
      <c r="I4885" s="1" t="str">
        <f aca="false">B4885&amp;"|"&amp;C4885</f>
        <v>Fine Arts Buildings|Excellent</v>
      </c>
      <c r="J4885" s="1" t="s">
        <v>1827</v>
      </c>
    </row>
    <row r="4886" customFormat="false" ht="12" hidden="false" customHeight="true" outlineLevel="0" collapsed="false">
      <c r="B4886" s="1" t="s">
        <v>1252</v>
      </c>
      <c r="C4886" s="1" t="s">
        <v>480</v>
      </c>
      <c r="F4886" s="1" t="n">
        <v>35</v>
      </c>
      <c r="G4886" s="1" t="n">
        <v>30</v>
      </c>
      <c r="H4886" s="1" t="n">
        <v>30</v>
      </c>
      <c r="I4886" s="1" t="str">
        <f aca="false">B4886&amp;"|"&amp;C4886</f>
        <v>Fine Arts Buildings|Low Cost</v>
      </c>
      <c r="J4886" s="1" t="s">
        <v>1602</v>
      </c>
    </row>
    <row r="4887" customFormat="false" ht="12" hidden="false" customHeight="true" outlineLevel="0" collapsed="false">
      <c r="B4887" s="1" t="s">
        <v>1255</v>
      </c>
      <c r="C4887" s="1" t="s">
        <v>279</v>
      </c>
      <c r="D4887" s="1" t="n">
        <v>45</v>
      </c>
      <c r="E4887" s="1" t="n">
        <v>45</v>
      </c>
      <c r="F4887" s="1" t="n">
        <v>40</v>
      </c>
      <c r="G4887" s="1" t="n">
        <v>35</v>
      </c>
      <c r="H4887" s="1" t="n">
        <v>35</v>
      </c>
      <c r="I4887" s="1" t="str">
        <f aca="false">B4887&amp;"|"&amp;C4887</f>
        <v>Book Stores|Average</v>
      </c>
      <c r="J4887" s="1" t="s">
        <v>1598</v>
      </c>
    </row>
    <row r="4888" customFormat="false" ht="12" hidden="false" customHeight="true" outlineLevel="0" collapsed="false">
      <c r="B4888" s="1" t="s">
        <v>1255</v>
      </c>
      <c r="C4888" s="1" t="s">
        <v>480</v>
      </c>
      <c r="D4888" s="1" t="n">
        <v>40</v>
      </c>
      <c r="E4888" s="1" t="n">
        <v>40</v>
      </c>
      <c r="F4888" s="1" t="n">
        <v>35</v>
      </c>
      <c r="G4888" s="1" t="n">
        <v>30</v>
      </c>
      <c r="H4888" s="1" t="n">
        <v>30</v>
      </c>
      <c r="I4888" s="1" t="str">
        <f aca="false">B4888&amp;"|"&amp;C4888</f>
        <v>Book Stores|Low Cost</v>
      </c>
      <c r="J4888" s="1" t="s">
        <v>1602</v>
      </c>
    </row>
    <row r="4889" customFormat="false" ht="12" hidden="false" customHeight="true" outlineLevel="0" collapsed="false">
      <c r="B4889" s="1" t="s">
        <v>1255</v>
      </c>
      <c r="C4889" s="1" t="s">
        <v>483</v>
      </c>
      <c r="F4889" s="1" t="n">
        <v>45</v>
      </c>
      <c r="G4889" s="1" t="n">
        <v>40</v>
      </c>
      <c r="I4889" s="1" t="str">
        <f aca="false">B4889&amp;"|"&amp;C4889</f>
        <v>Book Stores|Good</v>
      </c>
      <c r="J4889" s="1" t="s">
        <v>1828</v>
      </c>
    </row>
    <row r="4890" customFormat="false" ht="12" hidden="false" customHeight="true" outlineLevel="0" collapsed="false">
      <c r="B4890" s="1" t="s">
        <v>1257</v>
      </c>
      <c r="C4890" s="1" t="s">
        <v>279</v>
      </c>
      <c r="D4890" s="1" t="n">
        <v>35</v>
      </c>
      <c r="E4890" s="1" t="n">
        <v>35</v>
      </c>
      <c r="F4890" s="1" t="n">
        <v>30</v>
      </c>
      <c r="G4890" s="1" t="n">
        <v>25</v>
      </c>
      <c r="I4890" s="1" t="str">
        <f aca="false">B4890&amp;"|"&amp;C4890</f>
        <v>Restroom Buildings|Average</v>
      </c>
      <c r="J4890" s="1" t="s">
        <v>1598</v>
      </c>
    </row>
    <row r="4891" customFormat="false" ht="12" hidden="false" customHeight="true" outlineLevel="0" collapsed="false">
      <c r="B4891" s="1" t="s">
        <v>1257</v>
      </c>
      <c r="C4891" s="1" t="s">
        <v>485</v>
      </c>
      <c r="F4891" s="1" t="n">
        <v>35</v>
      </c>
      <c r="G4891" s="1" t="n">
        <v>30</v>
      </c>
      <c r="I4891" s="1" t="str">
        <f aca="false">B4891&amp;"|"&amp;C4891</f>
        <v>Restroom Buildings|Excellent</v>
      </c>
      <c r="J4891" s="1" t="s">
        <v>1829</v>
      </c>
    </row>
    <row r="4892" customFormat="false" ht="12" hidden="false" customHeight="true" outlineLevel="0" collapsed="false">
      <c r="B4892" s="1" t="s">
        <v>1257</v>
      </c>
      <c r="C4892" s="1" t="s">
        <v>483</v>
      </c>
      <c r="F4892" s="1" t="n">
        <v>35</v>
      </c>
      <c r="G4892" s="1" t="n">
        <v>30</v>
      </c>
      <c r="I4892" s="1" t="str">
        <f aca="false">B4892&amp;"|"&amp;C4892</f>
        <v>Restroom Buildings|Good</v>
      </c>
      <c r="J4892" s="1" t="s">
        <v>1829</v>
      </c>
    </row>
    <row r="4893" customFormat="false" ht="12" hidden="false" customHeight="true" outlineLevel="0" collapsed="false">
      <c r="B4893" s="1" t="s">
        <v>1257</v>
      </c>
      <c r="C4893" s="1" t="s">
        <v>480</v>
      </c>
      <c r="F4893" s="1" t="n">
        <v>25</v>
      </c>
      <c r="G4893" s="1" t="n">
        <v>20</v>
      </c>
      <c r="H4893" s="1" t="n">
        <v>20</v>
      </c>
      <c r="I4893" s="1" t="str">
        <f aca="false">B4893&amp;"|"&amp;C4893</f>
        <v>Restroom Buildings|Low Cost</v>
      </c>
      <c r="J4893" s="1" t="s">
        <v>1602</v>
      </c>
    </row>
    <row r="4894" customFormat="false" ht="12" hidden="false" customHeight="true" outlineLevel="0" collapsed="false">
      <c r="B4894" s="1" t="s">
        <v>1257</v>
      </c>
      <c r="C4894" s="1" t="s">
        <v>567</v>
      </c>
      <c r="F4894" s="1" t="n">
        <v>20</v>
      </c>
      <c r="G4894" s="1" t="n">
        <v>15</v>
      </c>
      <c r="H4894" s="1" t="n">
        <v>15</v>
      </c>
      <c r="I4894" s="1" t="str">
        <f aca="false">B4894&amp;"|"&amp;C4894</f>
        <v>Restroom Buildings|Cheap</v>
      </c>
      <c r="J4894" s="1" t="s">
        <v>1609</v>
      </c>
    </row>
    <row r="4895" customFormat="false" ht="12" hidden="false" customHeight="true" outlineLevel="0" collapsed="false">
      <c r="B4895" s="1" t="s">
        <v>1260</v>
      </c>
      <c r="C4895" s="1" t="s">
        <v>483</v>
      </c>
      <c r="F4895" s="1" t="n">
        <v>35</v>
      </c>
      <c r="G4895" s="1" t="n">
        <v>30</v>
      </c>
      <c r="H4895" s="1" t="n">
        <v>30</v>
      </c>
      <c r="I4895" s="1" t="str">
        <f aca="false">B4895&amp;"|"&amp;C4895</f>
        <v>Maintenance (Storage) Buildings|Good</v>
      </c>
      <c r="J4895" s="1" t="s">
        <v>1830</v>
      </c>
    </row>
    <row r="4896" customFormat="false" ht="12" hidden="false" customHeight="true" outlineLevel="0" collapsed="false">
      <c r="B4896" s="1" t="s">
        <v>1260</v>
      </c>
      <c r="C4896" s="1" t="s">
        <v>279</v>
      </c>
      <c r="F4896" s="1" t="n">
        <v>30</v>
      </c>
      <c r="G4896" s="1" t="n">
        <v>25</v>
      </c>
      <c r="H4896" s="1" t="n">
        <v>25</v>
      </c>
      <c r="I4896" s="1" t="str">
        <f aca="false">B4896&amp;"|"&amp;C4896</f>
        <v>Maintenance (Storage) Buildings|Average</v>
      </c>
      <c r="J4896" s="1" t="s">
        <v>1598</v>
      </c>
    </row>
    <row r="4897" customFormat="false" ht="12" hidden="false" customHeight="true" outlineLevel="0" collapsed="false">
      <c r="B4897" s="1" t="s">
        <v>1262</v>
      </c>
      <c r="C4897" s="1" t="s">
        <v>483</v>
      </c>
      <c r="D4897" s="1" t="n">
        <v>45</v>
      </c>
      <c r="E4897" s="1" t="n">
        <v>45</v>
      </c>
      <c r="F4897" s="1" t="n">
        <v>40</v>
      </c>
      <c r="G4897" s="1" t="n">
        <v>35</v>
      </c>
      <c r="H4897" s="1" t="n">
        <v>35</v>
      </c>
      <c r="I4897" s="1" t="str">
        <f aca="false">B4897&amp;"|"&amp;C4897</f>
        <v>Natatoriums|Good</v>
      </c>
      <c r="J4897" s="1" t="s">
        <v>1831</v>
      </c>
    </row>
    <row r="4898" customFormat="false" ht="12" hidden="false" customHeight="true" outlineLevel="0" collapsed="false">
      <c r="B4898" s="1" t="s">
        <v>1262</v>
      </c>
      <c r="C4898" s="1" t="s">
        <v>279</v>
      </c>
      <c r="D4898" s="1" t="n">
        <v>45</v>
      </c>
      <c r="E4898" s="1" t="n">
        <v>45</v>
      </c>
      <c r="F4898" s="1" t="n">
        <v>40</v>
      </c>
      <c r="G4898" s="1" t="n">
        <v>35</v>
      </c>
      <c r="H4898" s="1" t="n">
        <v>35</v>
      </c>
      <c r="I4898" s="1" t="str">
        <f aca="false">B4898&amp;"|"&amp;C4898</f>
        <v>Natatoriums|Average</v>
      </c>
      <c r="J4898" s="1" t="s">
        <v>1831</v>
      </c>
    </row>
    <row r="4899" customFormat="false" ht="12" hidden="false" customHeight="true" outlineLevel="0" collapsed="false">
      <c r="B4899" s="1" t="s">
        <v>1262</v>
      </c>
      <c r="C4899" s="1" t="s">
        <v>480</v>
      </c>
      <c r="F4899" s="1" t="n">
        <v>35</v>
      </c>
      <c r="G4899" s="1" t="n">
        <v>30</v>
      </c>
      <c r="H4899" s="1" t="n">
        <v>30</v>
      </c>
      <c r="I4899" s="1" t="str">
        <f aca="false">B4899&amp;"|"&amp;C4899</f>
        <v>Natatoriums|Low Cost</v>
      </c>
      <c r="J4899" s="1" t="s">
        <v>1602</v>
      </c>
    </row>
    <row r="4900" customFormat="false" ht="12" hidden="false" customHeight="true" outlineLevel="0" collapsed="false">
      <c r="B4900" s="1" t="s">
        <v>1265</v>
      </c>
      <c r="C4900" s="1" t="s">
        <v>279</v>
      </c>
      <c r="D4900" s="1" t="n">
        <v>35</v>
      </c>
      <c r="E4900" s="1" t="n">
        <v>35</v>
      </c>
      <c r="F4900" s="1" t="n">
        <v>30</v>
      </c>
      <c r="G4900" s="1" t="n">
        <v>25</v>
      </c>
      <c r="H4900" s="1" t="n">
        <v>25</v>
      </c>
      <c r="I4900" s="1" t="str">
        <f aca="false">B4900&amp;"|"&amp;C4900</f>
        <v>Shower Room Buildings|Average</v>
      </c>
      <c r="J4900" s="1" t="s">
        <v>1598</v>
      </c>
    </row>
    <row r="4901" customFormat="false" ht="12" hidden="false" customHeight="true" outlineLevel="0" collapsed="false">
      <c r="B4901" s="1" t="s">
        <v>1265</v>
      </c>
      <c r="C4901" s="1" t="s">
        <v>485</v>
      </c>
      <c r="F4901" s="1" t="n">
        <v>35</v>
      </c>
      <c r="G4901" s="1" t="n">
        <v>30</v>
      </c>
      <c r="I4901" s="1" t="str">
        <f aca="false">B4901&amp;"|"&amp;C4901</f>
        <v>Shower Room Buildings|Excellent</v>
      </c>
      <c r="J4901" s="1" t="s">
        <v>1832</v>
      </c>
    </row>
    <row r="4902" customFormat="false" ht="12" hidden="false" customHeight="true" outlineLevel="0" collapsed="false">
      <c r="B4902" s="1" t="s">
        <v>1265</v>
      </c>
      <c r="C4902" s="1" t="s">
        <v>483</v>
      </c>
      <c r="F4902" s="1" t="n">
        <v>35</v>
      </c>
      <c r="G4902" s="1" t="n">
        <v>30</v>
      </c>
      <c r="I4902" s="1" t="str">
        <f aca="false">B4902&amp;"|"&amp;C4902</f>
        <v>Shower Room Buildings|Good</v>
      </c>
      <c r="J4902" s="1" t="s">
        <v>1832</v>
      </c>
    </row>
    <row r="4903" customFormat="false" ht="12" hidden="false" customHeight="true" outlineLevel="0" collapsed="false">
      <c r="B4903" s="1" t="s">
        <v>1265</v>
      </c>
      <c r="C4903" s="1" t="s">
        <v>480</v>
      </c>
      <c r="F4903" s="1" t="n">
        <v>25</v>
      </c>
      <c r="G4903" s="1" t="n">
        <v>20</v>
      </c>
      <c r="H4903" s="1" t="n">
        <v>20</v>
      </c>
      <c r="I4903" s="1" t="str">
        <f aca="false">B4903&amp;"|"&amp;C4903</f>
        <v>Shower Room Buildings|Low Cost</v>
      </c>
      <c r="J4903" s="1" t="s">
        <v>1602</v>
      </c>
    </row>
    <row r="4904" customFormat="false" ht="12" hidden="false" customHeight="true" outlineLevel="0" collapsed="false">
      <c r="B4904" s="1" t="s">
        <v>1265</v>
      </c>
      <c r="C4904" s="1" t="s">
        <v>567</v>
      </c>
      <c r="F4904" s="1" t="n">
        <v>20</v>
      </c>
      <c r="G4904" s="1" t="n">
        <v>15</v>
      </c>
      <c r="H4904" s="1" t="n">
        <v>15</v>
      </c>
      <c r="I4904" s="1" t="str">
        <f aca="false">B4904&amp;"|"&amp;C4904</f>
        <v>Shower Room Buildings|Cheap</v>
      </c>
      <c r="J4904" s="1" t="s">
        <v>1609</v>
      </c>
    </row>
    <row r="4905" customFormat="false" ht="12" hidden="false" customHeight="true" outlineLevel="0" collapsed="false">
      <c r="B4905" s="1" t="s">
        <v>1267</v>
      </c>
      <c r="C4905" s="1" t="s">
        <v>483</v>
      </c>
      <c r="D4905" s="1" t="n">
        <v>45</v>
      </c>
      <c r="E4905" s="1" t="n">
        <v>45</v>
      </c>
      <c r="F4905" s="1" t="n">
        <v>40</v>
      </c>
      <c r="G4905" s="1" t="n">
        <v>35</v>
      </c>
      <c r="H4905" s="1" t="n">
        <v>35</v>
      </c>
      <c r="I4905" s="1" t="str">
        <f aca="false">B4905&amp;"|"&amp;C4905</f>
        <v>Fieldhouses|Good</v>
      </c>
      <c r="J4905" s="1" t="s">
        <v>1613</v>
      </c>
    </row>
    <row r="4906" customFormat="false" ht="12" hidden="false" customHeight="true" outlineLevel="0" collapsed="false">
      <c r="B4906" s="1" t="s">
        <v>1267</v>
      </c>
      <c r="C4906" s="1" t="s">
        <v>279</v>
      </c>
      <c r="D4906" s="1" t="n">
        <v>45</v>
      </c>
      <c r="E4906" s="1" t="n">
        <v>45</v>
      </c>
      <c r="F4906" s="1" t="n">
        <v>40</v>
      </c>
      <c r="G4906" s="1" t="n">
        <v>35</v>
      </c>
      <c r="H4906" s="1" t="n">
        <v>35</v>
      </c>
      <c r="I4906" s="1" t="str">
        <f aca="false">B4906&amp;"|"&amp;C4906</f>
        <v>Fieldhouses|Average</v>
      </c>
      <c r="J4906" s="1" t="s">
        <v>1613</v>
      </c>
    </row>
    <row r="4907" customFormat="false" ht="12" hidden="false" customHeight="true" outlineLevel="0" collapsed="false">
      <c r="B4907" s="1" t="s">
        <v>1267</v>
      </c>
      <c r="C4907" s="1" t="s">
        <v>485</v>
      </c>
      <c r="D4907" s="1" t="n">
        <v>50</v>
      </c>
      <c r="E4907" s="1" t="n">
        <v>50</v>
      </c>
      <c r="F4907" s="1" t="n">
        <v>45</v>
      </c>
      <c r="G4907" s="1" t="n">
        <v>40</v>
      </c>
      <c r="H4907" s="1" t="n">
        <v>40</v>
      </c>
      <c r="I4907" s="1" t="str">
        <f aca="false">B4907&amp;"|"&amp;C4907</f>
        <v>Fieldhouses|Excellent</v>
      </c>
      <c r="J4907" s="1" t="s">
        <v>1833</v>
      </c>
    </row>
    <row r="4908" customFormat="false" ht="12" hidden="false" customHeight="true" outlineLevel="0" collapsed="false">
      <c r="B4908" s="1" t="s">
        <v>1267</v>
      </c>
      <c r="C4908" s="1" t="s">
        <v>480</v>
      </c>
      <c r="F4908" s="1" t="n">
        <v>35</v>
      </c>
      <c r="G4908" s="1" t="n">
        <v>30</v>
      </c>
      <c r="H4908" s="1" t="n">
        <v>30</v>
      </c>
      <c r="I4908" s="1" t="str">
        <f aca="false">B4908&amp;"|"&amp;C4908</f>
        <v>Fieldhouses|Low Cost</v>
      </c>
      <c r="J4908" s="1" t="s">
        <v>1602</v>
      </c>
    </row>
    <row r="4909" customFormat="false" ht="12" hidden="false" customHeight="true" outlineLevel="0" collapsed="false">
      <c r="B4909" s="1" t="s">
        <v>1267</v>
      </c>
      <c r="C4909" s="1" t="s">
        <v>567</v>
      </c>
      <c r="G4909" s="1" t="n">
        <v>25</v>
      </c>
      <c r="H4909" s="1" t="n">
        <v>25</v>
      </c>
      <c r="I4909" s="1" t="str">
        <f aca="false">B4909&amp;"|"&amp;C4909</f>
        <v>Fieldhouses|Cheap</v>
      </c>
      <c r="J4909" s="1" t="s">
        <v>1609</v>
      </c>
    </row>
    <row r="4910" customFormat="false" ht="12" hidden="false" customHeight="true" outlineLevel="0" collapsed="false">
      <c r="B4910" s="1" t="s">
        <v>1270</v>
      </c>
      <c r="C4910" s="1" t="s">
        <v>483</v>
      </c>
      <c r="D4910" s="1" t="n">
        <v>45</v>
      </c>
      <c r="E4910" s="1" t="n">
        <v>45</v>
      </c>
      <c r="F4910" s="1" t="n">
        <v>40</v>
      </c>
      <c r="G4910" s="1" t="n">
        <v>35</v>
      </c>
      <c r="H4910" s="1" t="n">
        <v>35</v>
      </c>
      <c r="I4910" s="1" t="str">
        <f aca="false">B4910&amp;"|"&amp;C4910</f>
        <v>Physical Education Buildings|Good</v>
      </c>
      <c r="J4910" s="1" t="s">
        <v>1613</v>
      </c>
    </row>
    <row r="4911" customFormat="false" ht="12" hidden="false" customHeight="true" outlineLevel="0" collapsed="false">
      <c r="B4911" s="1" t="s">
        <v>1270</v>
      </c>
      <c r="C4911" s="1" t="s">
        <v>279</v>
      </c>
      <c r="D4911" s="1" t="n">
        <v>45</v>
      </c>
      <c r="E4911" s="1" t="n">
        <v>45</v>
      </c>
      <c r="F4911" s="1" t="n">
        <v>40</v>
      </c>
      <c r="G4911" s="1" t="n">
        <v>35</v>
      </c>
      <c r="H4911" s="1" t="n">
        <v>35</v>
      </c>
      <c r="I4911" s="1" t="str">
        <f aca="false">B4911&amp;"|"&amp;C4911</f>
        <v>Physical Education Buildings|Average</v>
      </c>
      <c r="J4911" s="1" t="s">
        <v>1613</v>
      </c>
    </row>
    <row r="4912" customFormat="false" ht="12" hidden="false" customHeight="true" outlineLevel="0" collapsed="false">
      <c r="B4912" s="1" t="s">
        <v>1270</v>
      </c>
      <c r="C4912" s="1" t="s">
        <v>485</v>
      </c>
      <c r="F4912" s="1" t="n">
        <v>45</v>
      </c>
      <c r="G4912" s="1" t="n">
        <v>40</v>
      </c>
      <c r="I4912" s="1" t="str">
        <f aca="false">B4912&amp;"|"&amp;C4912</f>
        <v>Physical Education Buildings|Excellent</v>
      </c>
      <c r="J4912" s="1" t="s">
        <v>1834</v>
      </c>
    </row>
    <row r="4913" customFormat="false" ht="12" hidden="false" customHeight="true" outlineLevel="0" collapsed="false">
      <c r="B4913" s="1" t="s">
        <v>1270</v>
      </c>
      <c r="C4913" s="1" t="s">
        <v>480</v>
      </c>
      <c r="F4913" s="1" t="n">
        <v>35</v>
      </c>
      <c r="G4913" s="1" t="n">
        <v>30</v>
      </c>
      <c r="H4913" s="1" t="n">
        <v>30</v>
      </c>
      <c r="I4913" s="1" t="str">
        <f aca="false">B4913&amp;"|"&amp;C4913</f>
        <v>Physical Education Buildings|Low Cost</v>
      </c>
      <c r="J4913" s="1" t="s">
        <v>1602</v>
      </c>
    </row>
    <row r="4914" customFormat="false" ht="12" hidden="false" customHeight="true" outlineLevel="0" collapsed="false">
      <c r="B4914" s="1" t="s">
        <v>1273</v>
      </c>
      <c r="C4914" s="1" t="s">
        <v>483</v>
      </c>
      <c r="D4914" s="1" t="n">
        <v>45</v>
      </c>
      <c r="E4914" s="1" t="n">
        <v>45</v>
      </c>
      <c r="F4914" s="1" t="n">
        <v>40</v>
      </c>
      <c r="G4914" s="1" t="n">
        <v>35</v>
      </c>
      <c r="H4914" s="1" t="n">
        <v>35</v>
      </c>
      <c r="I4914" s="1" t="str">
        <f aca="false">B4914&amp;"|"&amp;C4914</f>
        <v>Gymnasiums|Good</v>
      </c>
      <c r="J4914" s="1" t="s">
        <v>1613</v>
      </c>
    </row>
    <row r="4915" customFormat="false" ht="12" hidden="false" customHeight="true" outlineLevel="0" collapsed="false">
      <c r="B4915" s="1" t="s">
        <v>1273</v>
      </c>
      <c r="C4915" s="1" t="s">
        <v>279</v>
      </c>
      <c r="D4915" s="1" t="n">
        <v>45</v>
      </c>
      <c r="E4915" s="1" t="n">
        <v>45</v>
      </c>
      <c r="F4915" s="1" t="n">
        <v>40</v>
      </c>
      <c r="G4915" s="1" t="n">
        <v>35</v>
      </c>
      <c r="H4915" s="1" t="n">
        <v>35</v>
      </c>
      <c r="I4915" s="1" t="str">
        <f aca="false">B4915&amp;"|"&amp;C4915</f>
        <v>Gymnasiums|Average</v>
      </c>
      <c r="J4915" s="1" t="s">
        <v>1613</v>
      </c>
    </row>
    <row r="4916" customFormat="false" ht="12" hidden="false" customHeight="true" outlineLevel="0" collapsed="false">
      <c r="B4916" s="1" t="s">
        <v>1273</v>
      </c>
      <c r="C4916" s="1" t="s">
        <v>485</v>
      </c>
      <c r="D4916" s="1" t="n">
        <v>50</v>
      </c>
      <c r="E4916" s="1" t="n">
        <v>50</v>
      </c>
      <c r="F4916" s="1" t="n">
        <v>45</v>
      </c>
      <c r="G4916" s="1" t="n">
        <v>40</v>
      </c>
      <c r="I4916" s="1" t="str">
        <f aca="false">B4916&amp;"|"&amp;C4916</f>
        <v>Gymnasiums|Excellent</v>
      </c>
      <c r="J4916" s="1" t="s">
        <v>1835</v>
      </c>
    </row>
    <row r="4917" customFormat="false" ht="12" hidden="false" customHeight="true" outlineLevel="0" collapsed="false">
      <c r="B4917" s="1" t="s">
        <v>1273</v>
      </c>
      <c r="C4917" s="1" t="s">
        <v>480</v>
      </c>
      <c r="F4917" s="1" t="n">
        <v>35</v>
      </c>
      <c r="G4917" s="1" t="n">
        <v>30</v>
      </c>
      <c r="H4917" s="1" t="n">
        <v>30</v>
      </c>
      <c r="I4917" s="1" t="str">
        <f aca="false">B4917&amp;"|"&amp;C4917</f>
        <v>Gymnasiums|Low Cost</v>
      </c>
      <c r="J4917" s="1" t="s">
        <v>1682</v>
      </c>
    </row>
    <row r="4918" customFormat="false" ht="12" hidden="false" customHeight="true" outlineLevel="0" collapsed="false">
      <c r="B4918" s="1" t="s">
        <v>1273</v>
      </c>
      <c r="C4918" s="1" t="s">
        <v>567</v>
      </c>
      <c r="F4918" s="1" t="n">
        <v>35</v>
      </c>
      <c r="G4918" s="1" t="n">
        <v>30</v>
      </c>
      <c r="H4918" s="1" t="n">
        <v>30</v>
      </c>
      <c r="I4918" s="1" t="str">
        <f aca="false">B4918&amp;"|"&amp;C4918</f>
        <v>Gymnasiums|Cheap</v>
      </c>
      <c r="J4918" s="1" t="s">
        <v>1682</v>
      </c>
    </row>
    <row r="4919" customFormat="false" ht="12" hidden="false" customHeight="true" outlineLevel="0" collapsed="false">
      <c r="B4919" s="1" t="s">
        <v>1276</v>
      </c>
      <c r="C4919" s="1" t="s">
        <v>485</v>
      </c>
      <c r="D4919" s="1" t="n">
        <v>60</v>
      </c>
      <c r="E4919" s="1" t="n">
        <v>60</v>
      </c>
      <c r="F4919" s="1" t="n">
        <v>55</v>
      </c>
      <c r="G4919" s="1" t="n">
        <v>50</v>
      </c>
      <c r="I4919" s="1" t="str">
        <f aca="false">B4919&amp;"|"&amp;C4919</f>
        <v>Colleges|Excellent</v>
      </c>
      <c r="J4919" s="1" t="s">
        <v>1836</v>
      </c>
    </row>
    <row r="4920" customFormat="false" ht="12" hidden="false" customHeight="true" outlineLevel="0" collapsed="false">
      <c r="B4920" s="1" t="s">
        <v>1276</v>
      </c>
      <c r="C4920" s="1" t="s">
        <v>483</v>
      </c>
      <c r="D4920" s="1" t="n">
        <v>60</v>
      </c>
      <c r="E4920" s="1" t="n">
        <v>60</v>
      </c>
      <c r="F4920" s="1" t="n">
        <v>50</v>
      </c>
      <c r="G4920" s="1" t="n">
        <v>45</v>
      </c>
      <c r="H4920" s="1" t="n">
        <v>45</v>
      </c>
      <c r="I4920" s="1" t="str">
        <f aca="false">B4920&amp;"|"&amp;C4920</f>
        <v>Colleges|Good</v>
      </c>
      <c r="J4920" s="1" t="s">
        <v>1600</v>
      </c>
    </row>
    <row r="4921" customFormat="false" ht="12" hidden="false" customHeight="true" outlineLevel="0" collapsed="false">
      <c r="B4921" s="1" t="s">
        <v>1276</v>
      </c>
      <c r="C4921" s="1" t="s">
        <v>279</v>
      </c>
      <c r="D4921" s="1" t="n">
        <v>50</v>
      </c>
      <c r="E4921" s="1" t="n">
        <v>50</v>
      </c>
      <c r="F4921" s="1" t="n">
        <v>45</v>
      </c>
      <c r="G4921" s="1" t="n">
        <v>40</v>
      </c>
      <c r="H4921" s="1" t="n">
        <v>40</v>
      </c>
      <c r="I4921" s="1" t="str">
        <f aca="false">B4921&amp;"|"&amp;C4921</f>
        <v>Colleges|Average</v>
      </c>
      <c r="J4921" s="1" t="s">
        <v>1598</v>
      </c>
    </row>
    <row r="4922" customFormat="false" ht="12" hidden="false" customHeight="true" outlineLevel="0" collapsed="false">
      <c r="B4922" s="1" t="s">
        <v>1276</v>
      </c>
      <c r="C4922" s="1" t="s">
        <v>480</v>
      </c>
      <c r="F4922" s="1" t="n">
        <v>40</v>
      </c>
      <c r="G4922" s="1" t="n">
        <v>35</v>
      </c>
      <c r="H4922" s="1" t="n">
        <v>35</v>
      </c>
      <c r="I4922" s="1" t="str">
        <f aca="false">B4922&amp;"|"&amp;C4922</f>
        <v>Colleges|Low Cost</v>
      </c>
      <c r="J4922" s="1" t="s">
        <v>1602</v>
      </c>
    </row>
    <row r="4923" customFormat="false" ht="12" hidden="false" customHeight="true" outlineLevel="0" collapsed="false">
      <c r="B4923" s="1" t="s">
        <v>1279</v>
      </c>
      <c r="C4923" s="1" t="s">
        <v>485</v>
      </c>
      <c r="D4923" s="1" t="n">
        <v>60</v>
      </c>
      <c r="E4923" s="1" t="n">
        <v>60</v>
      </c>
      <c r="F4923" s="1" t="n">
        <v>55</v>
      </c>
      <c r="G4923" s="1" t="n">
        <v>50</v>
      </c>
      <c r="I4923" s="1" t="str">
        <f aca="false">B4923&amp;"|"&amp;C4923</f>
        <v>College Classrooms|Excellent</v>
      </c>
      <c r="J4923" s="1" t="s">
        <v>1837</v>
      </c>
    </row>
    <row r="4924" customFormat="false" ht="12" hidden="false" customHeight="true" outlineLevel="0" collapsed="false">
      <c r="B4924" s="1" t="s">
        <v>1279</v>
      </c>
      <c r="C4924" s="1" t="s">
        <v>483</v>
      </c>
      <c r="D4924" s="1" t="n">
        <v>60</v>
      </c>
      <c r="E4924" s="1" t="n">
        <v>60</v>
      </c>
      <c r="F4924" s="1" t="n">
        <v>50</v>
      </c>
      <c r="G4924" s="1" t="n">
        <v>45</v>
      </c>
      <c r="H4924" s="1" t="n">
        <v>45</v>
      </c>
      <c r="I4924" s="1" t="str">
        <f aca="false">B4924&amp;"|"&amp;C4924</f>
        <v>College Classrooms|Good</v>
      </c>
      <c r="J4924" s="1" t="s">
        <v>1600</v>
      </c>
    </row>
    <row r="4925" customFormat="false" ht="12" hidden="false" customHeight="true" outlineLevel="0" collapsed="false">
      <c r="B4925" s="1" t="s">
        <v>1279</v>
      </c>
      <c r="C4925" s="1" t="s">
        <v>279</v>
      </c>
      <c r="D4925" s="1" t="n">
        <v>50</v>
      </c>
      <c r="E4925" s="1" t="n">
        <v>50</v>
      </c>
      <c r="F4925" s="1" t="n">
        <v>45</v>
      </c>
      <c r="G4925" s="1" t="n">
        <v>40</v>
      </c>
      <c r="H4925" s="1" t="n">
        <v>40</v>
      </c>
      <c r="I4925" s="1" t="str">
        <f aca="false">B4925&amp;"|"&amp;C4925</f>
        <v>College Classrooms|Average</v>
      </c>
      <c r="J4925" s="1" t="s">
        <v>1598</v>
      </c>
    </row>
    <row r="4926" customFormat="false" ht="12" hidden="false" customHeight="true" outlineLevel="0" collapsed="false">
      <c r="B4926" s="1" t="s">
        <v>1279</v>
      </c>
      <c r="C4926" s="1" t="s">
        <v>480</v>
      </c>
      <c r="F4926" s="1" t="n">
        <v>40</v>
      </c>
      <c r="G4926" s="1" t="n">
        <v>35</v>
      </c>
      <c r="H4926" s="1" t="n">
        <v>35</v>
      </c>
      <c r="I4926" s="1" t="str">
        <f aca="false">B4926&amp;"|"&amp;C4926</f>
        <v>College Classrooms|Low Cost</v>
      </c>
      <c r="J4926" s="1" t="s">
        <v>1602</v>
      </c>
    </row>
    <row r="4927" customFormat="false" ht="12" hidden="false" customHeight="true" outlineLevel="0" collapsed="false">
      <c r="B4927" s="1" t="s">
        <v>1282</v>
      </c>
      <c r="C4927" s="1" t="s">
        <v>483</v>
      </c>
      <c r="D4927" s="1" t="n">
        <v>60</v>
      </c>
      <c r="E4927" s="1" t="n">
        <v>60</v>
      </c>
      <c r="F4927" s="1" t="n">
        <v>50</v>
      </c>
      <c r="G4927" s="1" t="n">
        <v>45</v>
      </c>
      <c r="H4927" s="1" t="n">
        <v>45</v>
      </c>
      <c r="I4927" s="1" t="str">
        <f aca="false">B4927&amp;"|"&amp;C4927</f>
        <v>Technical Trades Buildings|Good</v>
      </c>
      <c r="J4927" s="1" t="s">
        <v>1838</v>
      </c>
    </row>
    <row r="4928" customFormat="false" ht="12" hidden="false" customHeight="true" outlineLevel="0" collapsed="false">
      <c r="B4928" s="1" t="s">
        <v>1282</v>
      </c>
      <c r="C4928" s="1" t="s">
        <v>279</v>
      </c>
      <c r="D4928" s="1" t="n">
        <v>50</v>
      </c>
      <c r="E4928" s="1" t="n">
        <v>50</v>
      </c>
      <c r="F4928" s="1" t="n">
        <v>45</v>
      </c>
      <c r="G4928" s="1" t="n">
        <v>40</v>
      </c>
      <c r="H4928" s="1" t="n">
        <v>40</v>
      </c>
      <c r="I4928" s="1" t="str">
        <f aca="false">B4928&amp;"|"&amp;C4928</f>
        <v>Technical Trades Buildings|Average</v>
      </c>
      <c r="J4928" s="1" t="s">
        <v>1598</v>
      </c>
    </row>
    <row r="4929" customFormat="false" ht="12" hidden="false" customHeight="true" outlineLevel="0" collapsed="false">
      <c r="B4929" s="1" t="s">
        <v>1282</v>
      </c>
      <c r="C4929" s="1" t="s">
        <v>480</v>
      </c>
      <c r="F4929" s="1" t="n">
        <v>40</v>
      </c>
      <c r="G4929" s="1" t="n">
        <v>35</v>
      </c>
      <c r="H4929" s="1" t="n">
        <v>35</v>
      </c>
      <c r="I4929" s="1" t="str">
        <f aca="false">B4929&amp;"|"&amp;C4929</f>
        <v>Technical Trades Buildings|Low Cost</v>
      </c>
      <c r="J4929" s="1" t="s">
        <v>1602</v>
      </c>
    </row>
    <row r="4930" customFormat="false" ht="12" hidden="false" customHeight="true" outlineLevel="0" collapsed="false">
      <c r="B4930" s="1" t="s">
        <v>1285</v>
      </c>
      <c r="C4930" s="1" t="s">
        <v>485</v>
      </c>
      <c r="F4930" s="1" t="n">
        <v>55</v>
      </c>
      <c r="I4930" s="1" t="str">
        <f aca="false">B4930&amp;"|"&amp;C4930</f>
        <v>Lecture Hall Buildings|Excellent</v>
      </c>
      <c r="J4930" s="1" t="s">
        <v>1839</v>
      </c>
    </row>
    <row r="4931" customFormat="false" ht="12" hidden="false" customHeight="true" outlineLevel="0" collapsed="false">
      <c r="B4931" s="1" t="s">
        <v>1285</v>
      </c>
      <c r="C4931" s="1" t="s">
        <v>483</v>
      </c>
      <c r="D4931" s="1" t="n">
        <v>60</v>
      </c>
      <c r="E4931" s="1" t="n">
        <v>60</v>
      </c>
      <c r="F4931" s="1" t="n">
        <v>50</v>
      </c>
      <c r="G4931" s="1" t="n">
        <v>45</v>
      </c>
      <c r="H4931" s="1" t="n">
        <v>45</v>
      </c>
      <c r="I4931" s="1" t="str">
        <f aca="false">B4931&amp;"|"&amp;C4931</f>
        <v>Lecture Hall Buildings|Good</v>
      </c>
      <c r="J4931" s="1" t="s">
        <v>1600</v>
      </c>
    </row>
    <row r="4932" customFormat="false" ht="12" hidden="false" customHeight="true" outlineLevel="0" collapsed="false">
      <c r="B4932" s="1" t="s">
        <v>1285</v>
      </c>
      <c r="C4932" s="1" t="s">
        <v>279</v>
      </c>
      <c r="D4932" s="1" t="n">
        <v>50</v>
      </c>
      <c r="E4932" s="1" t="n">
        <v>50</v>
      </c>
      <c r="F4932" s="1" t="n">
        <v>45</v>
      </c>
      <c r="G4932" s="1" t="n">
        <v>40</v>
      </c>
      <c r="H4932" s="1" t="n">
        <v>40</v>
      </c>
      <c r="I4932" s="1" t="str">
        <f aca="false">B4932&amp;"|"&amp;C4932</f>
        <v>Lecture Hall Buildings|Average</v>
      </c>
      <c r="J4932" s="1" t="s">
        <v>1598</v>
      </c>
    </row>
    <row r="4933" customFormat="false" ht="12" hidden="false" customHeight="true" outlineLevel="0" collapsed="false">
      <c r="B4933" s="1" t="s">
        <v>1287</v>
      </c>
      <c r="C4933" s="1" t="s">
        <v>485</v>
      </c>
      <c r="D4933" s="1" t="n">
        <v>60</v>
      </c>
      <c r="E4933" s="1" t="n">
        <v>60</v>
      </c>
      <c r="F4933" s="1" t="n">
        <v>55</v>
      </c>
      <c r="I4933" s="1" t="str">
        <f aca="false">B4933&amp;"|"&amp;C4933</f>
        <v>Arts &amp; Crafts Buildings|Excellent</v>
      </c>
      <c r="J4933" s="1" t="s">
        <v>1840</v>
      </c>
    </row>
    <row r="4934" customFormat="false" ht="12" hidden="false" customHeight="true" outlineLevel="0" collapsed="false">
      <c r="B4934" s="1" t="s">
        <v>1287</v>
      </c>
      <c r="C4934" s="1" t="s">
        <v>483</v>
      </c>
      <c r="D4934" s="1" t="n">
        <v>60</v>
      </c>
      <c r="E4934" s="1" t="n">
        <v>60</v>
      </c>
      <c r="F4934" s="1" t="n">
        <v>50</v>
      </c>
      <c r="G4934" s="1" t="n">
        <v>45</v>
      </c>
      <c r="H4934" s="1" t="n">
        <v>45</v>
      </c>
      <c r="I4934" s="1" t="str">
        <f aca="false">B4934&amp;"|"&amp;C4934</f>
        <v>Arts &amp; Crafts Buildings|Good</v>
      </c>
      <c r="J4934" s="1" t="s">
        <v>1600</v>
      </c>
    </row>
    <row r="4935" customFormat="false" ht="12" hidden="false" customHeight="true" outlineLevel="0" collapsed="false">
      <c r="B4935" s="1" t="s">
        <v>1287</v>
      </c>
      <c r="C4935" s="1" t="s">
        <v>279</v>
      </c>
      <c r="D4935" s="1" t="n">
        <v>50</v>
      </c>
      <c r="E4935" s="1" t="n">
        <v>50</v>
      </c>
      <c r="F4935" s="1" t="n">
        <v>45</v>
      </c>
      <c r="G4935" s="1" t="n">
        <v>40</v>
      </c>
      <c r="H4935" s="1" t="n">
        <v>40</v>
      </c>
      <c r="I4935" s="1" t="str">
        <f aca="false">B4935&amp;"|"&amp;C4935</f>
        <v>Arts &amp; Crafts Buildings|Average</v>
      </c>
      <c r="J4935" s="1" t="s">
        <v>1598</v>
      </c>
    </row>
    <row r="4936" customFormat="false" ht="12" hidden="false" customHeight="true" outlineLevel="0" collapsed="false">
      <c r="B4936" s="1" t="s">
        <v>1287</v>
      </c>
      <c r="C4936" s="1" t="s">
        <v>480</v>
      </c>
      <c r="F4936" s="1" t="n">
        <v>40</v>
      </c>
      <c r="G4936" s="1" t="n">
        <v>35</v>
      </c>
      <c r="H4936" s="1" t="n">
        <v>35</v>
      </c>
      <c r="I4936" s="1" t="str">
        <f aca="false">B4936&amp;"|"&amp;C4936</f>
        <v>Arts &amp; Crafts Buildings|Low Cost</v>
      </c>
      <c r="J4936" s="1" t="s">
        <v>1602</v>
      </c>
    </row>
    <row r="4937" customFormat="false" ht="12" hidden="false" customHeight="true" outlineLevel="0" collapsed="false">
      <c r="B4937" s="1" t="s">
        <v>1290</v>
      </c>
      <c r="C4937" s="1" t="s">
        <v>485</v>
      </c>
      <c r="D4937" s="1" t="n">
        <v>60</v>
      </c>
      <c r="E4937" s="1" t="n">
        <v>60</v>
      </c>
      <c r="F4937" s="1" t="n">
        <v>55</v>
      </c>
      <c r="G4937" s="1" t="n">
        <v>50</v>
      </c>
      <c r="I4937" s="1" t="str">
        <f aca="false">B4937&amp;"|"&amp;C4937</f>
        <v>Science Buildings|Excellent</v>
      </c>
      <c r="J4937" s="1" t="s">
        <v>1841</v>
      </c>
    </row>
    <row r="4938" customFormat="false" ht="12" hidden="false" customHeight="true" outlineLevel="0" collapsed="false">
      <c r="B4938" s="1" t="s">
        <v>1290</v>
      </c>
      <c r="C4938" s="1" t="s">
        <v>483</v>
      </c>
      <c r="D4938" s="1" t="n">
        <v>60</v>
      </c>
      <c r="E4938" s="1" t="n">
        <v>60</v>
      </c>
      <c r="F4938" s="1" t="n">
        <v>50</v>
      </c>
      <c r="G4938" s="1" t="n">
        <v>45</v>
      </c>
      <c r="H4938" s="1" t="n">
        <v>45</v>
      </c>
      <c r="I4938" s="1" t="str">
        <f aca="false">B4938&amp;"|"&amp;C4938</f>
        <v>Science Buildings|Good</v>
      </c>
      <c r="J4938" s="1" t="s">
        <v>1600</v>
      </c>
    </row>
    <row r="4939" customFormat="false" ht="12" hidden="false" customHeight="true" outlineLevel="0" collapsed="false">
      <c r="B4939" s="1" t="s">
        <v>1290</v>
      </c>
      <c r="C4939" s="1" t="s">
        <v>279</v>
      </c>
      <c r="D4939" s="1" t="n">
        <v>50</v>
      </c>
      <c r="E4939" s="1" t="n">
        <v>50</v>
      </c>
      <c r="F4939" s="1" t="n">
        <v>45</v>
      </c>
      <c r="G4939" s="1" t="n">
        <v>40</v>
      </c>
      <c r="H4939" s="1" t="n">
        <v>40</v>
      </c>
      <c r="I4939" s="1" t="str">
        <f aca="false">B4939&amp;"|"&amp;C4939</f>
        <v>Science Buildings|Average</v>
      </c>
      <c r="J4939" s="1" t="s">
        <v>1598</v>
      </c>
    </row>
    <row r="4940" customFormat="false" ht="12" hidden="false" customHeight="true" outlineLevel="0" collapsed="false">
      <c r="B4940" s="1" t="s">
        <v>1290</v>
      </c>
      <c r="C4940" s="1" t="s">
        <v>480</v>
      </c>
      <c r="D4940" s="1" t="n">
        <v>50</v>
      </c>
      <c r="E4940" s="1" t="n">
        <v>50</v>
      </c>
      <c r="F4940" s="1" t="n">
        <v>40</v>
      </c>
      <c r="G4940" s="1" t="n">
        <v>35</v>
      </c>
      <c r="H4940" s="1" t="n">
        <v>35</v>
      </c>
      <c r="I4940" s="1" t="str">
        <f aca="false">B4940&amp;"|"&amp;C4940</f>
        <v>Science Buildings|Low Cost</v>
      </c>
      <c r="J4940" s="1" t="s">
        <v>1602</v>
      </c>
    </row>
    <row r="4941" customFormat="false" ht="12" hidden="false" customHeight="true" outlineLevel="0" collapsed="false">
      <c r="B4941" s="1" t="s">
        <v>1293</v>
      </c>
      <c r="C4941" s="1" t="s">
        <v>485</v>
      </c>
      <c r="D4941" s="1" t="n">
        <v>60</v>
      </c>
      <c r="E4941" s="1" t="n">
        <v>60</v>
      </c>
      <c r="F4941" s="1" t="n">
        <v>55</v>
      </c>
      <c r="G4941" s="1" t="n">
        <v>50</v>
      </c>
      <c r="I4941" s="1" t="str">
        <f aca="false">B4941&amp;"|"&amp;C4941</f>
        <v>Commons|Excellent</v>
      </c>
      <c r="J4941" s="1" t="s">
        <v>1842</v>
      </c>
    </row>
    <row r="4942" customFormat="false" ht="12" hidden="false" customHeight="true" outlineLevel="0" collapsed="false">
      <c r="B4942" s="1" t="s">
        <v>1293</v>
      </c>
      <c r="C4942" s="1" t="s">
        <v>483</v>
      </c>
      <c r="D4942" s="1" t="n">
        <v>60</v>
      </c>
      <c r="E4942" s="1" t="n">
        <v>60</v>
      </c>
      <c r="F4942" s="1" t="n">
        <v>50</v>
      </c>
      <c r="G4942" s="1" t="n">
        <v>45</v>
      </c>
      <c r="H4942" s="1" t="n">
        <v>45</v>
      </c>
      <c r="I4942" s="1" t="str">
        <f aca="false">B4942&amp;"|"&amp;C4942</f>
        <v>Commons|Good</v>
      </c>
      <c r="J4942" s="1" t="s">
        <v>1600</v>
      </c>
    </row>
    <row r="4943" customFormat="false" ht="12" hidden="false" customHeight="true" outlineLevel="0" collapsed="false">
      <c r="B4943" s="1" t="s">
        <v>1293</v>
      </c>
      <c r="C4943" s="1" t="s">
        <v>279</v>
      </c>
      <c r="D4943" s="1" t="n">
        <v>50</v>
      </c>
      <c r="E4943" s="1" t="n">
        <v>50</v>
      </c>
      <c r="F4943" s="1" t="n">
        <v>45</v>
      </c>
      <c r="G4943" s="1" t="n">
        <v>40</v>
      </c>
      <c r="H4943" s="1" t="n">
        <v>40</v>
      </c>
      <c r="I4943" s="1" t="str">
        <f aca="false">B4943&amp;"|"&amp;C4943</f>
        <v>Commons|Average</v>
      </c>
      <c r="J4943" s="1" t="s">
        <v>1598</v>
      </c>
    </row>
    <row r="4944" customFormat="false" ht="12" hidden="false" customHeight="true" outlineLevel="0" collapsed="false">
      <c r="B4944" s="1" t="s">
        <v>1293</v>
      </c>
      <c r="C4944" s="1" t="s">
        <v>480</v>
      </c>
      <c r="F4944" s="1" t="n">
        <v>40</v>
      </c>
      <c r="G4944" s="1" t="n">
        <v>35</v>
      </c>
      <c r="H4944" s="1" t="n">
        <v>35</v>
      </c>
      <c r="I4944" s="1" t="str">
        <f aca="false">B4944&amp;"|"&amp;C4944</f>
        <v>Commons|Low Cost</v>
      </c>
      <c r="J4944" s="1" t="s">
        <v>1602</v>
      </c>
    </row>
    <row r="4945" customFormat="false" ht="12" hidden="false" customHeight="true" outlineLevel="0" collapsed="false">
      <c r="B4945" s="1" t="s">
        <v>1296</v>
      </c>
      <c r="C4945" s="1" t="s">
        <v>485</v>
      </c>
      <c r="D4945" s="1" t="n">
        <v>55</v>
      </c>
      <c r="E4945" s="1" t="n">
        <v>55</v>
      </c>
      <c r="F4945" s="1" t="n">
        <v>50</v>
      </c>
      <c r="G4945" s="1" t="n">
        <v>45</v>
      </c>
      <c r="I4945" s="1" t="str">
        <f aca="false">B4945&amp;"|"&amp;C4945</f>
        <v>Administration (Office) Buildings|Excellent</v>
      </c>
      <c r="J4945" s="1" t="s">
        <v>1843</v>
      </c>
    </row>
    <row r="4946" customFormat="false" ht="12" hidden="false" customHeight="true" outlineLevel="0" collapsed="false">
      <c r="B4946" s="1" t="s">
        <v>1296</v>
      </c>
      <c r="C4946" s="1" t="s">
        <v>483</v>
      </c>
      <c r="D4946" s="1" t="n">
        <v>50</v>
      </c>
      <c r="E4946" s="1" t="n">
        <v>50</v>
      </c>
      <c r="F4946" s="1" t="n">
        <v>45</v>
      </c>
      <c r="G4946" s="1" t="n">
        <v>40</v>
      </c>
      <c r="H4946" s="1" t="n">
        <v>40</v>
      </c>
      <c r="I4946" s="1" t="str">
        <f aca="false">B4946&amp;"|"&amp;C4946</f>
        <v>Administration (Office) Buildings|Good</v>
      </c>
      <c r="J4946" s="1" t="s">
        <v>1600</v>
      </c>
    </row>
    <row r="4947" customFormat="false" ht="12" hidden="false" customHeight="true" outlineLevel="0" collapsed="false">
      <c r="B4947" s="1" t="s">
        <v>1296</v>
      </c>
      <c r="C4947" s="1" t="s">
        <v>279</v>
      </c>
      <c r="D4947" s="1" t="n">
        <v>45</v>
      </c>
      <c r="E4947" s="1" t="n">
        <v>45</v>
      </c>
      <c r="F4947" s="1" t="n">
        <v>45</v>
      </c>
      <c r="G4947" s="1" t="n">
        <v>40</v>
      </c>
      <c r="H4947" s="1" t="n">
        <v>40</v>
      </c>
      <c r="I4947" s="1" t="str">
        <f aca="false">B4947&amp;"|"&amp;C4947</f>
        <v>Administration (Office) Buildings|Average</v>
      </c>
      <c r="J4947" s="1" t="s">
        <v>1598</v>
      </c>
    </row>
    <row r="4948" customFormat="false" ht="12" hidden="false" customHeight="true" outlineLevel="0" collapsed="false">
      <c r="B4948" s="1" t="s">
        <v>1296</v>
      </c>
      <c r="C4948" s="1" t="s">
        <v>480</v>
      </c>
      <c r="D4948" s="1" t="n">
        <v>45</v>
      </c>
      <c r="E4948" s="1" t="n">
        <v>45</v>
      </c>
      <c r="F4948" s="1" t="n">
        <v>40</v>
      </c>
      <c r="G4948" s="1" t="n">
        <v>35</v>
      </c>
      <c r="H4948" s="1" t="n">
        <v>35</v>
      </c>
      <c r="I4948" s="1" t="str">
        <f aca="false">B4948&amp;"|"&amp;C4948</f>
        <v>Administration (Office) Buildings|Low Cost</v>
      </c>
      <c r="J4948" s="1" t="s">
        <v>1602</v>
      </c>
    </row>
    <row r="4949" customFormat="false" ht="12" hidden="false" customHeight="true" outlineLevel="0" collapsed="false">
      <c r="B4949" s="1" t="s">
        <v>1299</v>
      </c>
      <c r="C4949" s="1" t="s">
        <v>485</v>
      </c>
      <c r="G4949" s="1" t="n">
        <v>35</v>
      </c>
      <c r="I4949" s="1" t="str">
        <f aca="false">B4949&amp;"|"&amp;C4949</f>
        <v>Relocatable Offices|Excellent</v>
      </c>
      <c r="J4949" s="1" t="s">
        <v>1820</v>
      </c>
    </row>
    <row r="4950" customFormat="false" ht="12" hidden="false" customHeight="true" outlineLevel="0" collapsed="false">
      <c r="B4950" s="1" t="s">
        <v>1299</v>
      </c>
      <c r="C4950" s="1" t="s">
        <v>483</v>
      </c>
      <c r="G4950" s="1" t="n">
        <v>30</v>
      </c>
      <c r="I4950" s="1" t="str">
        <f aca="false">B4950&amp;"|"&amp;C4950</f>
        <v>Relocatable Offices|Good</v>
      </c>
      <c r="J4950" s="1" t="s">
        <v>1600</v>
      </c>
    </row>
    <row r="4951" customFormat="false" ht="12" hidden="false" customHeight="true" outlineLevel="0" collapsed="false">
      <c r="B4951" s="1" t="s">
        <v>1299</v>
      </c>
      <c r="C4951" s="1" t="s">
        <v>279</v>
      </c>
      <c r="G4951" s="1" t="n">
        <v>25</v>
      </c>
      <c r="I4951" s="1" t="str">
        <f aca="false">B4951&amp;"|"&amp;C4951</f>
        <v>Relocatable Offices|Average</v>
      </c>
      <c r="J4951" s="1" t="s">
        <v>1598</v>
      </c>
    </row>
    <row r="4952" customFormat="false" ht="12" hidden="false" customHeight="true" outlineLevel="0" collapsed="false">
      <c r="B4952" s="1" t="s">
        <v>1299</v>
      </c>
      <c r="C4952" s="1" t="s">
        <v>480</v>
      </c>
      <c r="G4952" s="1" t="n">
        <v>20</v>
      </c>
      <c r="I4952" s="1" t="str">
        <f aca="false">B4952&amp;"|"&amp;C4952</f>
        <v>Relocatable Offices|Low Cost</v>
      </c>
      <c r="J4952" s="1" t="s">
        <v>1602</v>
      </c>
    </row>
    <row r="4953" customFormat="false" ht="12" hidden="false" customHeight="true" outlineLevel="0" collapsed="false">
      <c r="B4953" s="1" t="s">
        <v>1299</v>
      </c>
      <c r="C4953" s="1" t="s">
        <v>567</v>
      </c>
      <c r="G4953" s="1" t="n">
        <v>10</v>
      </c>
      <c r="I4953" s="1" t="str">
        <f aca="false">B4953&amp;"|"&amp;C4953</f>
        <v>Relocatable Offices|Cheap</v>
      </c>
      <c r="J4953" s="1" t="s">
        <v>1609</v>
      </c>
    </row>
    <row r="4954" customFormat="false" ht="12" hidden="false" customHeight="true" outlineLevel="0" collapsed="false">
      <c r="B4954" s="1" t="s">
        <v>1302</v>
      </c>
      <c r="C4954" s="1" t="s">
        <v>555</v>
      </c>
      <c r="G4954" s="1" t="n">
        <v>25</v>
      </c>
      <c r="H4954" s="1" t="n">
        <v>30</v>
      </c>
      <c r="I4954" s="1" t="str">
        <f aca="false">B4954&amp;"|"&amp;C4954</f>
        <v>Commercial (Institutional) Greenhouses|Fair</v>
      </c>
      <c r="J4954" s="1" t="s">
        <v>1720</v>
      </c>
    </row>
    <row r="4955" customFormat="false" ht="12" hidden="false" customHeight="true" outlineLevel="0" collapsed="false">
      <c r="B4955" s="1" t="s">
        <v>1302</v>
      </c>
      <c r="C4955" s="1" t="s">
        <v>480</v>
      </c>
      <c r="G4955" s="1" t="n">
        <v>20</v>
      </c>
      <c r="H4955" s="1" t="n">
        <v>25</v>
      </c>
      <c r="I4955" s="1" t="str">
        <f aca="false">B4955&amp;"|"&amp;C4955</f>
        <v>Commercial (Institutional) Greenhouses|Low Cost</v>
      </c>
      <c r="J4955" s="1" t="s">
        <v>1602</v>
      </c>
    </row>
    <row r="4956" customFormat="false" ht="12" hidden="false" customHeight="true" outlineLevel="0" collapsed="false">
      <c r="B4956" s="1" t="s">
        <v>1302</v>
      </c>
      <c r="C4956" s="1" t="s">
        <v>485</v>
      </c>
      <c r="H4956" s="1" t="n">
        <v>40</v>
      </c>
      <c r="I4956" s="1" t="str">
        <f aca="false">B4956&amp;"|"&amp;C4956</f>
        <v>Commercial (Institutional) Greenhouses|Excellent</v>
      </c>
      <c r="J4956" s="1" t="s">
        <v>1844</v>
      </c>
    </row>
    <row r="4957" customFormat="false" ht="12" hidden="false" customHeight="true" outlineLevel="0" collapsed="false">
      <c r="B4957" s="1" t="s">
        <v>1302</v>
      </c>
      <c r="C4957" s="1" t="s">
        <v>503</v>
      </c>
      <c r="H4957" s="1" t="n">
        <v>40</v>
      </c>
      <c r="I4957" s="1" t="str">
        <f aca="false">B4957&amp;"|"&amp;C4957</f>
        <v>Commercial (Institutional) Greenhouses|Very Good</v>
      </c>
      <c r="J4957" s="1" t="s">
        <v>1844</v>
      </c>
    </row>
    <row r="4958" customFormat="false" ht="12" hidden="false" customHeight="true" outlineLevel="0" collapsed="false">
      <c r="B4958" s="1" t="s">
        <v>1302</v>
      </c>
      <c r="C4958" s="1" t="s">
        <v>483</v>
      </c>
      <c r="H4958" s="1" t="n">
        <v>35</v>
      </c>
      <c r="I4958" s="1" t="str">
        <f aca="false">B4958&amp;"|"&amp;C4958</f>
        <v>Commercial (Institutional) Greenhouses|Good</v>
      </c>
      <c r="J4958" s="1" t="s">
        <v>1600</v>
      </c>
    </row>
    <row r="4959" customFormat="false" ht="12" hidden="false" customHeight="true" outlineLevel="0" collapsed="false">
      <c r="B4959" s="1" t="s">
        <v>1302</v>
      </c>
      <c r="C4959" s="1" t="s">
        <v>279</v>
      </c>
      <c r="G4959" s="1" t="n">
        <v>25</v>
      </c>
      <c r="H4959" s="1" t="n">
        <v>30</v>
      </c>
      <c r="I4959" s="1" t="str">
        <f aca="false">B4959&amp;"|"&amp;C4959</f>
        <v>Commercial (Institutional) Greenhouses|Average</v>
      </c>
      <c r="J4959" s="1" t="s">
        <v>1720</v>
      </c>
    </row>
    <row r="4960" customFormat="false" ht="12" hidden="false" customHeight="true" outlineLevel="0" collapsed="false">
      <c r="B4960" s="1" t="s">
        <v>1302</v>
      </c>
      <c r="C4960" s="1" t="s">
        <v>567</v>
      </c>
      <c r="G4960" s="1" t="n">
        <v>20</v>
      </c>
      <c r="H4960" s="1" t="n">
        <v>25</v>
      </c>
      <c r="I4960" s="1" t="str">
        <f aca="false">B4960&amp;"|"&amp;C4960</f>
        <v>Commercial (Institutional) Greenhouses|Cheap</v>
      </c>
      <c r="J4960" s="1" t="s">
        <v>1602</v>
      </c>
    </row>
    <row r="4963" customFormat="false" ht="12" hidden="false" customHeight="true" outlineLevel="0" collapsed="false">
      <c r="B4963" s="241" t="s">
        <v>1845</v>
      </c>
    </row>
    <row r="4964" customFormat="false" ht="12" hidden="false" customHeight="true" outlineLevel="0" collapsed="false">
      <c r="B4964" s="1" t="s">
        <v>1846</v>
      </c>
    </row>
    <row r="4965" customFormat="false" ht="12" hidden="false" customHeight="true" outlineLevel="0" collapsed="false">
      <c r="B4965" s="1" t="s">
        <v>1847</v>
      </c>
      <c r="C4965" s="1" t="n">
        <v>70</v>
      </c>
      <c r="D4965" s="1" t="n">
        <v>60</v>
      </c>
      <c r="E4965" s="1" t="n">
        <v>55</v>
      </c>
      <c r="F4965" s="1" t="n">
        <v>50</v>
      </c>
      <c r="G4965" s="1" t="n">
        <v>45</v>
      </c>
      <c r="H4965" s="1" t="n">
        <v>40</v>
      </c>
      <c r="I4965" s="1" t="n">
        <v>35</v>
      </c>
      <c r="J4965" s="1" t="n">
        <v>30</v>
      </c>
      <c r="K4965" s="1" t="n">
        <v>25</v>
      </c>
      <c r="L4965" s="1" t="n">
        <v>20</v>
      </c>
    </row>
    <row r="4966" customFormat="false" ht="12" hidden="false" customHeight="true" outlineLevel="0" collapsed="false">
      <c r="B4966" s="1" t="n">
        <v>1</v>
      </c>
      <c r="C4966" s="1" t="n">
        <v>0</v>
      </c>
      <c r="D4966" s="1" t="n">
        <v>0</v>
      </c>
      <c r="E4966" s="1" t="n">
        <v>0</v>
      </c>
      <c r="F4966" s="1" t="n">
        <v>0</v>
      </c>
      <c r="G4966" s="1" t="n">
        <v>1</v>
      </c>
      <c r="H4966" s="1" t="n">
        <v>1</v>
      </c>
      <c r="I4966" s="1" t="n">
        <v>1</v>
      </c>
      <c r="J4966" s="1" t="n">
        <v>2</v>
      </c>
      <c r="K4966" s="1" t="n">
        <v>2</v>
      </c>
      <c r="L4966" s="1" t="n">
        <v>3</v>
      </c>
    </row>
    <row r="4967" customFormat="false" ht="12" hidden="false" customHeight="true" outlineLevel="0" collapsed="false">
      <c r="B4967" s="1" t="n">
        <v>2</v>
      </c>
      <c r="C4967" s="1" t="n">
        <v>0</v>
      </c>
      <c r="D4967" s="1" t="n">
        <v>1</v>
      </c>
      <c r="E4967" s="1" t="n">
        <v>1</v>
      </c>
      <c r="F4967" s="1" t="n">
        <v>1</v>
      </c>
      <c r="G4967" s="1" t="n">
        <v>1</v>
      </c>
      <c r="H4967" s="1" t="n">
        <v>2</v>
      </c>
      <c r="I4967" s="1" t="n">
        <v>2</v>
      </c>
      <c r="J4967" s="1" t="n">
        <v>3</v>
      </c>
      <c r="K4967" s="1" t="n">
        <v>5</v>
      </c>
      <c r="L4967" s="1" t="n">
        <v>7</v>
      </c>
    </row>
    <row r="4968" customFormat="false" ht="12" hidden="false" customHeight="true" outlineLevel="0" collapsed="false">
      <c r="B4968" s="1" t="n">
        <v>3</v>
      </c>
      <c r="C4968" s="1" t="n">
        <v>0</v>
      </c>
      <c r="D4968" s="1" t="n">
        <v>1</v>
      </c>
      <c r="E4968" s="1" t="n">
        <v>1</v>
      </c>
      <c r="F4968" s="1" t="n">
        <v>1</v>
      </c>
      <c r="G4968" s="1" t="n">
        <v>2</v>
      </c>
      <c r="H4968" s="1" t="n">
        <v>3</v>
      </c>
      <c r="I4968" s="1" t="n">
        <v>4</v>
      </c>
      <c r="J4968" s="1" t="n">
        <v>5</v>
      </c>
      <c r="K4968" s="1" t="n">
        <v>7</v>
      </c>
      <c r="L4968" s="1" t="n">
        <v>10</v>
      </c>
    </row>
    <row r="4969" customFormat="false" ht="12" hidden="false" customHeight="true" outlineLevel="0" collapsed="false">
      <c r="B4969" s="1" t="n">
        <v>4</v>
      </c>
      <c r="C4969" s="1" t="n">
        <v>1</v>
      </c>
      <c r="D4969" s="1" t="n">
        <v>1</v>
      </c>
      <c r="E4969" s="1" t="n">
        <v>1</v>
      </c>
      <c r="F4969" s="1" t="n">
        <v>2</v>
      </c>
      <c r="G4969" s="1" t="n">
        <v>3</v>
      </c>
      <c r="H4969" s="1" t="n">
        <v>4</v>
      </c>
      <c r="I4969" s="1" t="n">
        <v>5</v>
      </c>
      <c r="J4969" s="1" t="n">
        <v>7</v>
      </c>
      <c r="K4969" s="1" t="n">
        <v>10</v>
      </c>
      <c r="L4969" s="1" t="n">
        <v>14</v>
      </c>
    </row>
    <row r="4970" customFormat="false" ht="12" hidden="false" customHeight="true" outlineLevel="0" collapsed="false">
      <c r="B4970" s="1" t="n">
        <v>5</v>
      </c>
      <c r="C4970" s="1" t="n">
        <v>1</v>
      </c>
      <c r="D4970" s="1" t="n">
        <v>1</v>
      </c>
      <c r="E4970" s="1" t="n">
        <v>2</v>
      </c>
      <c r="F4970" s="1" t="n">
        <v>3</v>
      </c>
      <c r="G4970" s="1" t="n">
        <v>4</v>
      </c>
      <c r="H4970" s="1" t="n">
        <v>5</v>
      </c>
      <c r="I4970" s="1" t="n">
        <v>6</v>
      </c>
      <c r="J4970" s="1" t="n">
        <v>9</v>
      </c>
      <c r="K4970" s="1" t="n">
        <v>13</v>
      </c>
      <c r="L4970" s="1" t="n">
        <v>18</v>
      </c>
    </row>
    <row r="4971" customFormat="false" ht="12" hidden="false" customHeight="true" outlineLevel="0" collapsed="false">
      <c r="B4971" s="1" t="n">
        <v>6</v>
      </c>
      <c r="C4971" s="1" t="n">
        <v>1</v>
      </c>
      <c r="D4971" s="1" t="n">
        <v>2</v>
      </c>
      <c r="E4971" s="1" t="n">
        <v>2</v>
      </c>
      <c r="F4971" s="1" t="n">
        <v>3</v>
      </c>
      <c r="G4971" s="1" t="n">
        <v>4</v>
      </c>
      <c r="H4971" s="1" t="n">
        <v>6</v>
      </c>
      <c r="I4971" s="1" t="n">
        <v>8</v>
      </c>
      <c r="J4971" s="1" t="n">
        <v>11</v>
      </c>
      <c r="K4971" s="1" t="n">
        <v>16</v>
      </c>
      <c r="L4971" s="1" t="n">
        <v>22</v>
      </c>
    </row>
    <row r="4972" customFormat="false" ht="12" hidden="false" customHeight="true" outlineLevel="0" collapsed="false">
      <c r="B4972" s="1" t="n">
        <v>7</v>
      </c>
      <c r="C4972" s="1" t="n">
        <v>1</v>
      </c>
      <c r="D4972" s="1" t="n">
        <v>2</v>
      </c>
      <c r="E4972" s="1" t="n">
        <v>3</v>
      </c>
      <c r="F4972" s="1" t="n">
        <v>4</v>
      </c>
      <c r="G4972" s="1" t="n">
        <v>5</v>
      </c>
      <c r="H4972" s="1" t="n">
        <v>7</v>
      </c>
      <c r="I4972" s="1" t="n">
        <v>10</v>
      </c>
      <c r="J4972" s="1" t="n">
        <v>14</v>
      </c>
      <c r="K4972" s="1" t="n">
        <v>19</v>
      </c>
      <c r="L4972" s="1" t="n">
        <v>26</v>
      </c>
    </row>
    <row r="4973" customFormat="false" ht="12" hidden="false" customHeight="true" outlineLevel="0" collapsed="false">
      <c r="B4973" s="1" t="n">
        <v>8</v>
      </c>
      <c r="C4973" s="1" t="n">
        <v>1</v>
      </c>
      <c r="D4973" s="1" t="n">
        <v>2</v>
      </c>
      <c r="E4973" s="1" t="n">
        <v>3</v>
      </c>
      <c r="F4973" s="1" t="n">
        <v>5</v>
      </c>
      <c r="G4973" s="1" t="n">
        <v>6</v>
      </c>
      <c r="H4973" s="1" t="n">
        <v>8</v>
      </c>
      <c r="I4973" s="1" t="n">
        <v>11</v>
      </c>
      <c r="J4973" s="1" t="n">
        <v>16</v>
      </c>
      <c r="K4973" s="1" t="n">
        <v>22</v>
      </c>
      <c r="L4973" s="1" t="n">
        <v>30</v>
      </c>
    </row>
    <row r="4974" customFormat="false" ht="12" hidden="false" customHeight="true" outlineLevel="0" collapsed="false">
      <c r="B4974" s="1" t="n">
        <v>9</v>
      </c>
      <c r="C4974" s="1" t="n">
        <v>2</v>
      </c>
      <c r="D4974" s="1" t="n">
        <v>3</v>
      </c>
      <c r="E4974" s="1" t="n">
        <v>4</v>
      </c>
      <c r="F4974" s="1" t="n">
        <v>5</v>
      </c>
      <c r="G4974" s="1" t="n">
        <v>7</v>
      </c>
      <c r="H4974" s="1" t="n">
        <v>10</v>
      </c>
      <c r="I4974" s="1" t="n">
        <v>13</v>
      </c>
      <c r="J4974" s="1" t="n">
        <v>18</v>
      </c>
      <c r="K4974" s="1" t="n">
        <v>25</v>
      </c>
      <c r="L4974" s="1" t="n">
        <v>35</v>
      </c>
    </row>
    <row r="4975" customFormat="false" ht="12" hidden="false" customHeight="true" outlineLevel="0" collapsed="false">
      <c r="B4975" s="1" t="n">
        <v>10</v>
      </c>
      <c r="C4975" s="1" t="n">
        <v>2</v>
      </c>
      <c r="D4975" s="1" t="n">
        <v>3</v>
      </c>
      <c r="E4975" s="1" t="n">
        <v>4</v>
      </c>
      <c r="F4975" s="1" t="n">
        <v>6</v>
      </c>
      <c r="G4975" s="1" t="n">
        <v>8</v>
      </c>
      <c r="H4975" s="1" t="n">
        <v>11</v>
      </c>
      <c r="I4975" s="1" t="n">
        <v>15</v>
      </c>
      <c r="J4975" s="1" t="n">
        <v>21</v>
      </c>
      <c r="K4975" s="1" t="n">
        <v>29</v>
      </c>
      <c r="L4975" s="1" t="n">
        <v>40</v>
      </c>
    </row>
    <row r="4976" customFormat="false" ht="12" hidden="false" customHeight="true" outlineLevel="0" collapsed="false">
      <c r="B4976" s="1" t="n">
        <v>11</v>
      </c>
      <c r="C4976" s="1" t="n">
        <v>2</v>
      </c>
      <c r="D4976" s="1" t="n">
        <v>4</v>
      </c>
      <c r="E4976" s="1" t="n">
        <v>5</v>
      </c>
      <c r="F4976" s="1" t="n">
        <v>7</v>
      </c>
      <c r="G4976" s="1" t="n">
        <v>9</v>
      </c>
      <c r="H4976" s="1" t="n">
        <v>13</v>
      </c>
      <c r="I4976" s="1" t="n">
        <v>17</v>
      </c>
      <c r="J4976" s="1" t="n">
        <v>24</v>
      </c>
      <c r="K4976" s="1" t="n">
        <v>32</v>
      </c>
      <c r="L4976" s="1" t="n">
        <v>45</v>
      </c>
    </row>
    <row r="4977" customFormat="false" ht="12" hidden="false" customHeight="true" outlineLevel="0" collapsed="false">
      <c r="B4977" s="1" t="n">
        <v>12</v>
      </c>
      <c r="C4977" s="1" t="n">
        <v>2</v>
      </c>
      <c r="D4977" s="1" t="n">
        <v>4</v>
      </c>
      <c r="E4977" s="1" t="n">
        <v>6</v>
      </c>
      <c r="F4977" s="1" t="n">
        <v>8</v>
      </c>
      <c r="G4977" s="1" t="n">
        <v>10</v>
      </c>
      <c r="H4977" s="1" t="n">
        <v>14</v>
      </c>
      <c r="I4977" s="1" t="n">
        <v>19</v>
      </c>
      <c r="J4977" s="1" t="n">
        <v>26</v>
      </c>
      <c r="K4977" s="1" t="n">
        <v>36</v>
      </c>
      <c r="L4977" s="1" t="n">
        <v>50</v>
      </c>
    </row>
    <row r="4978" customFormat="false" ht="12" hidden="false" customHeight="true" outlineLevel="0" collapsed="false">
      <c r="B4978" s="1" t="n">
        <v>13</v>
      </c>
      <c r="C4978" s="1" t="n">
        <v>2</v>
      </c>
      <c r="D4978" s="1" t="n">
        <v>5</v>
      </c>
      <c r="E4978" s="1" t="n">
        <v>6</v>
      </c>
      <c r="F4978" s="1" t="n">
        <v>9</v>
      </c>
      <c r="G4978" s="1" t="n">
        <v>12</v>
      </c>
      <c r="H4978" s="1" t="n">
        <v>16</v>
      </c>
      <c r="I4978" s="1" t="n">
        <v>22</v>
      </c>
      <c r="J4978" s="1" t="n">
        <v>29</v>
      </c>
      <c r="K4978" s="1" t="n">
        <v>40</v>
      </c>
      <c r="L4978" s="1" t="n">
        <v>55</v>
      </c>
    </row>
    <row r="4979" customFormat="false" ht="12" hidden="false" customHeight="true" outlineLevel="0" collapsed="false">
      <c r="B4979" s="1" t="n">
        <v>14</v>
      </c>
      <c r="C4979" s="1" t="n">
        <v>3</v>
      </c>
      <c r="D4979" s="1" t="n">
        <v>5</v>
      </c>
      <c r="E4979" s="1" t="n">
        <v>7</v>
      </c>
      <c r="F4979" s="1" t="n">
        <v>10</v>
      </c>
      <c r="G4979" s="1" t="n">
        <v>13</v>
      </c>
      <c r="H4979" s="1" t="n">
        <v>18</v>
      </c>
      <c r="I4979" s="1" t="n">
        <v>24</v>
      </c>
      <c r="J4979" s="1" t="n">
        <v>32</v>
      </c>
      <c r="K4979" s="1" t="n">
        <v>44</v>
      </c>
      <c r="L4979" s="1" t="n">
        <v>60</v>
      </c>
    </row>
    <row r="4980" customFormat="false" ht="12" hidden="false" customHeight="true" outlineLevel="0" collapsed="false">
      <c r="B4980" s="1" t="n">
        <v>15</v>
      </c>
      <c r="C4980" s="1" t="n">
        <v>3</v>
      </c>
      <c r="D4980" s="1" t="n">
        <v>6</v>
      </c>
      <c r="E4980" s="1" t="n">
        <v>8</v>
      </c>
      <c r="F4980" s="1" t="n">
        <v>11</v>
      </c>
      <c r="G4980" s="1" t="n">
        <v>14</v>
      </c>
      <c r="H4980" s="1" t="n">
        <v>20</v>
      </c>
      <c r="I4980" s="1" t="n">
        <v>26</v>
      </c>
      <c r="J4980" s="1" t="n">
        <v>35</v>
      </c>
      <c r="K4980" s="1" t="n">
        <v>48</v>
      </c>
      <c r="L4980" s="1" t="n">
        <v>65</v>
      </c>
    </row>
    <row r="4981" customFormat="false" ht="12" hidden="false" customHeight="true" outlineLevel="0" collapsed="false">
      <c r="B4981" s="1" t="n">
        <v>16</v>
      </c>
      <c r="C4981" s="1" t="n">
        <v>3</v>
      </c>
      <c r="D4981" s="1" t="n">
        <v>7</v>
      </c>
      <c r="E4981" s="1" t="n">
        <v>9</v>
      </c>
      <c r="F4981" s="1" t="n">
        <v>12</v>
      </c>
      <c r="G4981" s="1" t="n">
        <v>16</v>
      </c>
      <c r="H4981" s="1" t="n">
        <v>22</v>
      </c>
      <c r="I4981" s="1" t="n">
        <v>28</v>
      </c>
      <c r="J4981" s="1" t="n">
        <v>39</v>
      </c>
      <c r="K4981" s="1" t="n">
        <v>52</v>
      </c>
      <c r="L4981" s="1" t="n">
        <v>69</v>
      </c>
    </row>
    <row r="4982" customFormat="false" ht="12" hidden="false" customHeight="true" outlineLevel="0" collapsed="false">
      <c r="B4982" s="1" t="n">
        <v>17</v>
      </c>
      <c r="C4982" s="1" t="n">
        <v>4</v>
      </c>
      <c r="D4982" s="1" t="n">
        <v>7</v>
      </c>
      <c r="E4982" s="1" t="n">
        <v>10</v>
      </c>
      <c r="F4982" s="1" t="n">
        <v>13</v>
      </c>
      <c r="G4982" s="1" t="n">
        <v>18</v>
      </c>
      <c r="H4982" s="1" t="n">
        <v>24</v>
      </c>
      <c r="I4982" s="1" t="n">
        <v>31</v>
      </c>
      <c r="J4982" s="1" t="n">
        <v>42</v>
      </c>
      <c r="K4982" s="1" t="n">
        <v>56</v>
      </c>
      <c r="L4982" s="1" t="n">
        <v>73</v>
      </c>
    </row>
    <row r="4983" customFormat="false" ht="12" hidden="false" customHeight="true" outlineLevel="0" collapsed="false">
      <c r="B4983" s="1" t="n">
        <v>18</v>
      </c>
      <c r="C4983" s="1" t="n">
        <v>4</v>
      </c>
      <c r="D4983" s="1" t="n">
        <v>8</v>
      </c>
      <c r="E4983" s="1" t="n">
        <v>11</v>
      </c>
      <c r="F4983" s="1" t="n">
        <v>14</v>
      </c>
      <c r="G4983" s="1" t="n">
        <v>19</v>
      </c>
      <c r="H4983" s="1" t="n">
        <v>26</v>
      </c>
      <c r="I4983" s="1" t="n">
        <v>34</v>
      </c>
      <c r="J4983" s="1" t="n">
        <v>46</v>
      </c>
      <c r="K4983" s="1" t="n">
        <v>60</v>
      </c>
      <c r="L4983" s="1" t="n">
        <v>76</v>
      </c>
    </row>
    <row r="4984" customFormat="false" ht="12" hidden="false" customHeight="true" outlineLevel="0" collapsed="false">
      <c r="B4984" s="1" t="n">
        <v>19</v>
      </c>
      <c r="C4984" s="1" t="n">
        <v>4</v>
      </c>
      <c r="D4984" s="1" t="n">
        <v>9</v>
      </c>
      <c r="E4984" s="1" t="n">
        <v>12</v>
      </c>
      <c r="F4984" s="1" t="n">
        <v>16</v>
      </c>
      <c r="G4984" s="1" t="n">
        <v>21</v>
      </c>
      <c r="H4984" s="1" t="n">
        <v>28</v>
      </c>
      <c r="I4984" s="1" t="n">
        <v>36</v>
      </c>
      <c r="J4984" s="1" t="n">
        <v>49</v>
      </c>
      <c r="K4984" s="1" t="n">
        <v>64</v>
      </c>
      <c r="L4984" s="1" t="n">
        <v>78</v>
      </c>
    </row>
    <row r="4985" customFormat="false" ht="12" hidden="false" customHeight="true" outlineLevel="0" collapsed="false">
      <c r="B4985" s="1" t="n">
        <v>20</v>
      </c>
      <c r="C4985" s="1" t="n">
        <v>5</v>
      </c>
      <c r="D4985" s="1" t="n">
        <v>9</v>
      </c>
      <c r="E4985" s="1" t="n">
        <v>13</v>
      </c>
      <c r="F4985" s="1" t="n">
        <v>17</v>
      </c>
      <c r="G4985" s="1" t="n">
        <v>23</v>
      </c>
      <c r="H4985" s="1" t="n">
        <v>30</v>
      </c>
      <c r="I4985" s="1" t="n">
        <v>39</v>
      </c>
      <c r="J4985" s="1" t="n">
        <v>53</v>
      </c>
      <c r="K4985" s="1" t="n">
        <v>68</v>
      </c>
      <c r="L4985" s="1" t="n">
        <v>79</v>
      </c>
    </row>
    <row r="4986" customFormat="false" ht="12" hidden="false" customHeight="true" outlineLevel="0" collapsed="false">
      <c r="B4986" s="1" t="n">
        <v>21</v>
      </c>
      <c r="C4986" s="1" t="n">
        <v>5</v>
      </c>
      <c r="D4986" s="1" t="n">
        <v>10</v>
      </c>
      <c r="E4986" s="1" t="n">
        <v>14</v>
      </c>
      <c r="F4986" s="1" t="n">
        <v>18</v>
      </c>
      <c r="G4986" s="1" t="n">
        <v>25</v>
      </c>
      <c r="H4986" s="1" t="n">
        <v>32</v>
      </c>
      <c r="I4986" s="1" t="n">
        <v>42</v>
      </c>
      <c r="J4986" s="1" t="n">
        <v>57</v>
      </c>
      <c r="K4986" s="1" t="n">
        <v>71</v>
      </c>
      <c r="L4986" s="1" t="n">
        <v>80</v>
      </c>
    </row>
    <row r="4987" customFormat="false" ht="12" hidden="false" customHeight="true" outlineLevel="0" collapsed="false">
      <c r="B4987" s="1" t="n">
        <v>22</v>
      </c>
      <c r="C4987" s="1" t="n">
        <v>6</v>
      </c>
      <c r="D4987" s="1" t="n">
        <v>11</v>
      </c>
      <c r="E4987" s="1" t="n">
        <v>15</v>
      </c>
      <c r="F4987" s="1" t="n">
        <v>20</v>
      </c>
      <c r="G4987" s="1" t="n">
        <v>27</v>
      </c>
      <c r="H4987" s="1" t="n">
        <v>35</v>
      </c>
      <c r="I4987" s="1" t="n">
        <v>45</v>
      </c>
      <c r="J4987" s="1" t="n">
        <v>60</v>
      </c>
      <c r="K4987" s="1" t="n">
        <v>73</v>
      </c>
      <c r="L4987" t="n">
        <v>80</v>
      </c>
    </row>
    <row r="4988" customFormat="false" ht="12" hidden="false" customHeight="true" outlineLevel="0" collapsed="false">
      <c r="B4988" s="1" t="n">
        <v>23</v>
      </c>
      <c r="C4988" s="1" t="n">
        <v>6</v>
      </c>
      <c r="D4988" s="1" t="n">
        <v>12</v>
      </c>
      <c r="E4988" s="1" t="n">
        <v>16</v>
      </c>
      <c r="F4988" s="1" t="n">
        <v>21</v>
      </c>
      <c r="G4988" s="1" t="n">
        <v>29</v>
      </c>
      <c r="H4988" s="1" t="n">
        <v>37</v>
      </c>
      <c r="I4988" s="1" t="n">
        <v>48</v>
      </c>
      <c r="J4988" s="1" t="n">
        <v>63</v>
      </c>
      <c r="K4988" s="1" t="n">
        <v>75</v>
      </c>
      <c r="L4988" t="n">
        <v>80</v>
      </c>
    </row>
    <row r="4989" customFormat="false" ht="12" hidden="false" customHeight="true" outlineLevel="0" collapsed="false">
      <c r="B4989" s="1" t="n">
        <v>24</v>
      </c>
      <c r="C4989" s="1" t="n">
        <v>7</v>
      </c>
      <c r="D4989" s="1" t="n">
        <v>13</v>
      </c>
      <c r="E4989" s="1" t="n">
        <v>17</v>
      </c>
      <c r="F4989" s="1" t="n">
        <v>23</v>
      </c>
      <c r="G4989" s="1" t="n">
        <v>31</v>
      </c>
      <c r="H4989" s="1" t="n">
        <v>40</v>
      </c>
      <c r="I4989" s="1" t="n">
        <v>52</v>
      </c>
      <c r="J4989" s="1" t="n">
        <v>66</v>
      </c>
      <c r="K4989" s="1" t="n">
        <v>77</v>
      </c>
      <c r="L4989" t="n">
        <v>80</v>
      </c>
    </row>
    <row r="4990" customFormat="false" ht="12" hidden="false" customHeight="true" outlineLevel="0" collapsed="false">
      <c r="B4990" s="1" t="n">
        <v>25</v>
      </c>
      <c r="C4990" s="1" t="n">
        <v>7</v>
      </c>
      <c r="D4990" s="1" t="n">
        <v>14</v>
      </c>
      <c r="E4990" s="1" t="n">
        <v>19</v>
      </c>
      <c r="F4990" s="1" t="n">
        <v>25</v>
      </c>
      <c r="G4990" s="1" t="n">
        <v>33</v>
      </c>
      <c r="H4990" s="1" t="n">
        <v>43</v>
      </c>
      <c r="I4990" s="1" t="n">
        <v>55</v>
      </c>
      <c r="J4990" s="1" t="n">
        <v>69</v>
      </c>
      <c r="K4990" s="1" t="n">
        <v>79</v>
      </c>
      <c r="L4990" t="n">
        <v>80</v>
      </c>
    </row>
    <row r="4991" customFormat="false" ht="12" hidden="false" customHeight="true" outlineLevel="0" collapsed="false">
      <c r="B4991" s="1" t="n">
        <v>26</v>
      </c>
      <c r="C4991" s="1" t="n">
        <v>8</v>
      </c>
      <c r="D4991" s="1" t="n">
        <v>15</v>
      </c>
      <c r="E4991" s="1" t="n">
        <v>20</v>
      </c>
      <c r="F4991" s="1" t="n">
        <v>27</v>
      </c>
      <c r="G4991" s="1" t="n">
        <v>35</v>
      </c>
      <c r="H4991" s="1" t="n">
        <v>46</v>
      </c>
      <c r="I4991" s="1" t="n">
        <v>58</v>
      </c>
      <c r="J4991" s="1" t="n">
        <v>72</v>
      </c>
      <c r="K4991" s="1" t="n">
        <v>80</v>
      </c>
      <c r="L4991" t="n">
        <v>80</v>
      </c>
    </row>
    <row r="4992" customFormat="false" ht="12" hidden="false" customHeight="true" outlineLevel="0" collapsed="false">
      <c r="B4992" s="1" t="n">
        <v>27</v>
      </c>
      <c r="C4992" s="1" t="n">
        <v>9</v>
      </c>
      <c r="D4992" s="1" t="n">
        <v>16</v>
      </c>
      <c r="E4992" s="1" t="n">
        <v>21</v>
      </c>
      <c r="F4992" s="1" t="n">
        <v>28</v>
      </c>
      <c r="G4992" s="1" t="n">
        <v>37</v>
      </c>
      <c r="H4992" s="1" t="n">
        <v>49</v>
      </c>
      <c r="I4992" s="1" t="n">
        <v>61</v>
      </c>
      <c r="J4992" s="1" t="n">
        <v>75</v>
      </c>
      <c r="K4992" t="n">
        <v>80</v>
      </c>
      <c r="L4992" t="n">
        <v>80</v>
      </c>
    </row>
    <row r="4993" customFormat="false" ht="12" hidden="false" customHeight="true" outlineLevel="0" collapsed="false">
      <c r="B4993" s="1" t="n">
        <v>28</v>
      </c>
      <c r="C4993" s="1" t="n">
        <v>9</v>
      </c>
      <c r="D4993" s="1" t="n">
        <v>17</v>
      </c>
      <c r="E4993" s="1" t="n">
        <v>23</v>
      </c>
      <c r="F4993" s="1" t="n">
        <v>30</v>
      </c>
      <c r="G4993" s="1" t="n">
        <v>40</v>
      </c>
      <c r="H4993" s="1" t="n">
        <v>52</v>
      </c>
      <c r="I4993" s="1" t="n">
        <v>64</v>
      </c>
      <c r="J4993" s="1" t="n">
        <v>77</v>
      </c>
      <c r="K4993" t="n">
        <v>80</v>
      </c>
      <c r="L4993" t="n">
        <v>80</v>
      </c>
    </row>
    <row r="4994" customFormat="false" ht="12" hidden="false" customHeight="true" outlineLevel="0" collapsed="false">
      <c r="B4994" s="1" t="n">
        <v>29</v>
      </c>
      <c r="C4994" s="1" t="n">
        <v>10</v>
      </c>
      <c r="D4994" s="1" t="n">
        <v>18</v>
      </c>
      <c r="E4994" s="1" t="n">
        <v>24</v>
      </c>
      <c r="F4994" s="1" t="n">
        <v>32</v>
      </c>
      <c r="G4994" s="1" t="n">
        <v>42</v>
      </c>
      <c r="H4994" s="1" t="n">
        <v>54</v>
      </c>
      <c r="I4994" s="1" t="n">
        <v>68</v>
      </c>
      <c r="J4994" s="1" t="n">
        <v>78</v>
      </c>
      <c r="K4994" t="n">
        <v>80</v>
      </c>
      <c r="L4994" t="n">
        <v>80</v>
      </c>
    </row>
    <row r="4995" customFormat="false" ht="12" hidden="false" customHeight="true" outlineLevel="0" collapsed="false">
      <c r="B4995" s="1" t="n">
        <v>30</v>
      </c>
      <c r="C4995" s="1" t="n">
        <v>11</v>
      </c>
      <c r="D4995" s="1" t="n">
        <v>20</v>
      </c>
      <c r="E4995" s="1" t="n">
        <v>26</v>
      </c>
      <c r="F4995" s="1" t="n">
        <v>34</v>
      </c>
      <c r="G4995" s="1" t="n">
        <v>45</v>
      </c>
      <c r="H4995" s="1" t="n">
        <v>57</v>
      </c>
      <c r="I4995" s="1" t="n">
        <v>72</v>
      </c>
      <c r="J4995" s="1" t="n">
        <v>79</v>
      </c>
      <c r="K4995" t="n">
        <v>80</v>
      </c>
      <c r="L4995" t="n">
        <v>80</v>
      </c>
    </row>
    <row r="4996" customFormat="false" ht="12" hidden="false" customHeight="true" outlineLevel="0" collapsed="false">
      <c r="B4996" s="1" t="n">
        <v>32</v>
      </c>
      <c r="C4996" s="1" t="n">
        <v>13</v>
      </c>
      <c r="D4996" s="1" t="n">
        <v>22</v>
      </c>
      <c r="E4996" s="1" t="n">
        <v>30</v>
      </c>
      <c r="F4996" s="1" t="n">
        <v>38</v>
      </c>
      <c r="G4996" s="1" t="n">
        <v>50</v>
      </c>
      <c r="H4996" s="1" t="n">
        <v>62</v>
      </c>
      <c r="I4996" s="1" t="n">
        <v>75</v>
      </c>
      <c r="J4996" s="1" t="n">
        <v>80</v>
      </c>
      <c r="K4996" t="n">
        <v>80</v>
      </c>
      <c r="L4996" t="n">
        <v>80</v>
      </c>
    </row>
    <row r="4997" customFormat="false" ht="12" hidden="false" customHeight="true" outlineLevel="0" collapsed="false">
      <c r="B4997" s="1" t="n">
        <v>34</v>
      </c>
      <c r="C4997" s="1" t="n">
        <v>15</v>
      </c>
      <c r="D4997" s="1" t="n">
        <v>25</v>
      </c>
      <c r="E4997" s="1" t="n">
        <v>34</v>
      </c>
      <c r="F4997" s="1" t="n">
        <v>43</v>
      </c>
      <c r="G4997" s="1" t="n">
        <v>55</v>
      </c>
      <c r="H4997" s="1" t="n">
        <v>68</v>
      </c>
      <c r="I4997" s="1" t="n">
        <v>77</v>
      </c>
      <c r="J4997" t="n">
        <v>80</v>
      </c>
      <c r="K4997" t="n">
        <v>80</v>
      </c>
      <c r="L4997" t="n">
        <v>80</v>
      </c>
    </row>
    <row r="4998" customFormat="false" ht="12" hidden="false" customHeight="true" outlineLevel="0" collapsed="false">
      <c r="B4998" s="1" t="n">
        <v>36</v>
      </c>
      <c r="C4998" s="1" t="n">
        <v>17</v>
      </c>
      <c r="D4998" s="1" t="n">
        <v>28</v>
      </c>
      <c r="E4998" s="1" t="n">
        <v>38</v>
      </c>
      <c r="F4998" s="1" t="n">
        <v>48</v>
      </c>
      <c r="G4998" s="1" t="n">
        <v>61</v>
      </c>
      <c r="H4998" s="1" t="n">
        <v>73</v>
      </c>
      <c r="I4998" s="1" t="n">
        <v>79</v>
      </c>
      <c r="J4998" t="n">
        <v>80</v>
      </c>
      <c r="K4998" t="n">
        <v>80</v>
      </c>
      <c r="L4998" t="n">
        <v>80</v>
      </c>
    </row>
    <row r="4999" customFormat="false" ht="12" hidden="false" customHeight="true" outlineLevel="0" collapsed="false">
      <c r="B4999" s="1" t="n">
        <v>38</v>
      </c>
      <c r="C4999" s="1" t="n">
        <v>19</v>
      </c>
      <c r="D4999" s="1" t="n">
        <v>32</v>
      </c>
      <c r="E4999" s="1" t="n">
        <v>42</v>
      </c>
      <c r="F4999" s="1" t="n">
        <v>53</v>
      </c>
      <c r="G4999" s="1" t="n">
        <v>67</v>
      </c>
      <c r="H4999" s="1" t="n">
        <v>77</v>
      </c>
      <c r="I4999" s="1" t="n">
        <v>80</v>
      </c>
      <c r="J4999" t="n">
        <v>80</v>
      </c>
      <c r="K4999" t="n">
        <v>80</v>
      </c>
      <c r="L4999" t="n">
        <v>80</v>
      </c>
    </row>
    <row r="5000" customFormat="false" ht="12" hidden="false" customHeight="true" outlineLevel="0" collapsed="false">
      <c r="B5000" s="1" t="n">
        <v>40</v>
      </c>
      <c r="C5000" s="1" t="n">
        <v>21</v>
      </c>
      <c r="D5000" s="1" t="n">
        <v>35</v>
      </c>
      <c r="E5000" s="1" t="n">
        <v>46</v>
      </c>
      <c r="F5000" s="1" t="n">
        <v>59</v>
      </c>
      <c r="G5000" s="1" t="n">
        <v>72</v>
      </c>
      <c r="H5000" s="1" t="n">
        <v>79</v>
      </c>
      <c r="I5000" t="n">
        <v>80</v>
      </c>
      <c r="J5000" t="n">
        <v>80</v>
      </c>
      <c r="K5000" t="n">
        <v>80</v>
      </c>
      <c r="L5000" t="n">
        <v>80</v>
      </c>
    </row>
    <row r="5001" customFormat="false" ht="12" hidden="false" customHeight="true" outlineLevel="0" collapsed="false">
      <c r="B5001" s="1" t="n">
        <v>42</v>
      </c>
      <c r="C5001" s="1" t="n">
        <v>25</v>
      </c>
      <c r="D5001" s="1" t="n">
        <v>39</v>
      </c>
      <c r="E5001" s="1" t="n">
        <v>51</v>
      </c>
      <c r="F5001" s="1" t="n">
        <v>65</v>
      </c>
      <c r="G5001" s="1" t="n">
        <v>75</v>
      </c>
      <c r="H5001" s="1" t="n">
        <v>80</v>
      </c>
      <c r="I5001" t="n">
        <v>80</v>
      </c>
      <c r="J5001" t="n">
        <v>80</v>
      </c>
      <c r="K5001" t="n">
        <v>80</v>
      </c>
      <c r="L5001" t="n">
        <v>80</v>
      </c>
    </row>
    <row r="5002" customFormat="false" ht="12" hidden="false" customHeight="true" outlineLevel="0" collapsed="false">
      <c r="B5002" s="1" t="n">
        <v>44</v>
      </c>
      <c r="C5002" s="1" t="n">
        <v>28</v>
      </c>
      <c r="D5002" s="1" t="n">
        <v>43</v>
      </c>
      <c r="E5002" s="1" t="n">
        <v>56</v>
      </c>
      <c r="F5002" s="1" t="n">
        <v>70</v>
      </c>
      <c r="G5002" s="1" t="n">
        <v>77</v>
      </c>
      <c r="H5002" t="n">
        <v>80</v>
      </c>
      <c r="I5002" t="n">
        <v>80</v>
      </c>
      <c r="J5002" t="n">
        <v>80</v>
      </c>
      <c r="K5002" t="n">
        <v>80</v>
      </c>
      <c r="L5002" t="n">
        <v>80</v>
      </c>
    </row>
    <row r="5003" customFormat="false" ht="12" hidden="false" customHeight="true" outlineLevel="0" collapsed="false">
      <c r="B5003" s="1" t="n">
        <v>46</v>
      </c>
      <c r="C5003" s="1" t="n">
        <v>31</v>
      </c>
      <c r="D5003" s="1" t="n">
        <v>48</v>
      </c>
      <c r="E5003" s="1" t="n">
        <v>60</v>
      </c>
      <c r="F5003" s="1" t="n">
        <v>74</v>
      </c>
      <c r="G5003" s="1" t="n">
        <v>78</v>
      </c>
      <c r="H5003" t="n">
        <v>80</v>
      </c>
      <c r="I5003" t="n">
        <v>80</v>
      </c>
      <c r="J5003" t="n">
        <v>80</v>
      </c>
      <c r="K5003" t="n">
        <v>80</v>
      </c>
      <c r="L5003" t="n">
        <v>80</v>
      </c>
    </row>
    <row r="5004" customFormat="false" ht="12" hidden="false" customHeight="true" outlineLevel="0" collapsed="false">
      <c r="B5004" s="1" t="n">
        <v>48</v>
      </c>
      <c r="C5004" s="1" t="n">
        <v>34</v>
      </c>
      <c r="D5004" s="1" t="n">
        <v>53</v>
      </c>
      <c r="E5004" s="1" t="n">
        <v>64</v>
      </c>
      <c r="F5004" s="1" t="n">
        <v>77</v>
      </c>
      <c r="G5004" s="1" t="n">
        <v>79</v>
      </c>
      <c r="H5004" t="n">
        <v>80</v>
      </c>
      <c r="I5004" t="n">
        <v>80</v>
      </c>
      <c r="J5004" t="n">
        <v>80</v>
      </c>
      <c r="K5004" t="n">
        <v>80</v>
      </c>
      <c r="L5004" t="n">
        <v>80</v>
      </c>
    </row>
    <row r="5005" customFormat="false" ht="12" hidden="false" customHeight="true" outlineLevel="0" collapsed="false">
      <c r="B5005" s="1" t="n">
        <v>50</v>
      </c>
      <c r="C5005" s="1" t="n">
        <v>38</v>
      </c>
      <c r="D5005" s="1" t="n">
        <v>58</v>
      </c>
      <c r="E5005" s="1" t="n">
        <v>68</v>
      </c>
      <c r="F5005" s="1" t="n">
        <v>79</v>
      </c>
      <c r="G5005" s="1" t="n">
        <v>80</v>
      </c>
      <c r="H5005" t="n">
        <v>80</v>
      </c>
      <c r="I5005" t="n">
        <v>80</v>
      </c>
      <c r="J5005" t="n">
        <v>80</v>
      </c>
      <c r="K5005" t="n">
        <v>80</v>
      </c>
      <c r="L5005" t="n">
        <v>80</v>
      </c>
    </row>
    <row r="5006" customFormat="false" ht="12" hidden="false" customHeight="true" outlineLevel="0" collapsed="false">
      <c r="B5006" s="1" t="n">
        <v>55</v>
      </c>
      <c r="C5006" s="1" t="n">
        <v>48</v>
      </c>
      <c r="D5006" s="1" t="n">
        <v>67</v>
      </c>
      <c r="E5006" s="1" t="n">
        <v>75</v>
      </c>
      <c r="F5006" s="1" t="n">
        <v>80</v>
      </c>
      <c r="G5006" t="n">
        <v>80</v>
      </c>
      <c r="H5006" t="n">
        <v>80</v>
      </c>
      <c r="I5006" t="n">
        <v>80</v>
      </c>
      <c r="J5006" t="n">
        <v>80</v>
      </c>
      <c r="K5006" t="n">
        <v>80</v>
      </c>
      <c r="L5006" t="n">
        <v>80</v>
      </c>
    </row>
    <row r="5007" customFormat="false" ht="12" hidden="false" customHeight="true" outlineLevel="0" collapsed="false">
      <c r="B5007" s="1" t="n">
        <v>60</v>
      </c>
      <c r="C5007" s="1" t="n">
        <v>57</v>
      </c>
      <c r="D5007" s="1" t="n">
        <v>74</v>
      </c>
      <c r="E5007" s="1" t="n">
        <v>78</v>
      </c>
      <c r="F5007" t="n">
        <v>80</v>
      </c>
      <c r="G5007" t="n">
        <v>80</v>
      </c>
      <c r="H5007" t="n">
        <v>80</v>
      </c>
      <c r="I5007" t="n">
        <v>80</v>
      </c>
      <c r="J5007" t="n">
        <v>80</v>
      </c>
      <c r="K5007" t="n">
        <v>80</v>
      </c>
      <c r="L5007" t="n">
        <v>80</v>
      </c>
    </row>
    <row r="5008" customFormat="false" ht="12" hidden="false" customHeight="true" outlineLevel="0" collapsed="false">
      <c r="B5008" s="1" t="n">
        <v>65</v>
      </c>
      <c r="C5008" s="1" t="n">
        <v>65</v>
      </c>
      <c r="D5008" s="1" t="n">
        <v>78</v>
      </c>
      <c r="E5008" s="1" t="n">
        <v>80</v>
      </c>
      <c r="F5008" t="n">
        <v>80</v>
      </c>
      <c r="G5008" t="n">
        <v>80</v>
      </c>
      <c r="H5008" t="n">
        <v>80</v>
      </c>
      <c r="I5008" t="n">
        <v>80</v>
      </c>
      <c r="J5008" t="n">
        <v>80</v>
      </c>
      <c r="K5008" t="n">
        <v>80</v>
      </c>
      <c r="L5008" t="n">
        <v>80</v>
      </c>
    </row>
    <row r="5009" customFormat="false" ht="12" hidden="false" customHeight="true" outlineLevel="0" collapsed="false">
      <c r="B5009" s="1" t="n">
        <v>70</v>
      </c>
      <c r="C5009" s="1" t="n">
        <v>71</v>
      </c>
      <c r="D5009" s="1" t="n">
        <v>80</v>
      </c>
      <c r="E5009" t="n">
        <v>80</v>
      </c>
      <c r="F5009" t="n">
        <v>80</v>
      </c>
      <c r="G5009" t="n">
        <v>80</v>
      </c>
      <c r="H5009" t="n">
        <v>80</v>
      </c>
      <c r="I5009" t="n">
        <v>80</v>
      </c>
      <c r="J5009" t="n">
        <v>80</v>
      </c>
      <c r="K5009" t="n">
        <v>80</v>
      </c>
      <c r="L5009" t="n">
        <v>80</v>
      </c>
    </row>
    <row r="5010" customFormat="false" ht="12" hidden="false" customHeight="true" outlineLevel="0" collapsed="false">
      <c r="B5010" s="1" t="n">
        <v>75</v>
      </c>
      <c r="C5010" s="1" t="n">
        <v>75</v>
      </c>
      <c r="D5010" t="n">
        <v>80</v>
      </c>
      <c r="E5010" t="n">
        <v>80</v>
      </c>
      <c r="F5010" t="n">
        <v>80</v>
      </c>
      <c r="G5010" t="n">
        <v>80</v>
      </c>
      <c r="H5010" t="n">
        <v>80</v>
      </c>
      <c r="I5010" t="n">
        <v>80</v>
      </c>
      <c r="J5010" t="n">
        <v>80</v>
      </c>
      <c r="K5010" t="n">
        <v>80</v>
      </c>
      <c r="L5010" t="n">
        <v>80</v>
      </c>
    </row>
    <row r="5011" customFormat="false" ht="12" hidden="false" customHeight="true" outlineLevel="0" collapsed="false">
      <c r="B5011" s="1" t="n">
        <v>80</v>
      </c>
      <c r="C5011" s="1" t="n">
        <v>78</v>
      </c>
      <c r="D5011" t="n">
        <v>80</v>
      </c>
      <c r="E5011" t="n">
        <v>80</v>
      </c>
      <c r="F5011" t="n">
        <v>80</v>
      </c>
      <c r="G5011" t="n">
        <v>80</v>
      </c>
      <c r="H5011" t="n">
        <v>80</v>
      </c>
      <c r="I5011" t="n">
        <v>80</v>
      </c>
      <c r="J5011" t="n">
        <v>80</v>
      </c>
      <c r="K5011" t="n">
        <v>80</v>
      </c>
      <c r="L5011" t="n">
        <v>80</v>
      </c>
    </row>
    <row r="5013" customFormat="false" ht="12" hidden="false" customHeight="true" outlineLevel="0" collapsed="false">
      <c r="B5013" s="241" t="s">
        <v>1848</v>
      </c>
    </row>
    <row r="5014" customFormat="false" ht="12" hidden="false" customHeight="true" outlineLevel="0" collapsed="false">
      <c r="B5014" s="1" t="s">
        <v>1849</v>
      </c>
    </row>
    <row r="5015" customFormat="false" ht="12" hidden="false" customHeight="true" outlineLevel="0" collapsed="false">
      <c r="B5015" s="242" t="s">
        <v>1847</v>
      </c>
      <c r="C5015" s="242" t="n">
        <v>70</v>
      </c>
      <c r="D5015" s="242" t="n">
        <v>65</v>
      </c>
      <c r="E5015" s="242" t="n">
        <v>60</v>
      </c>
      <c r="F5015" s="242" t="n">
        <v>55</v>
      </c>
      <c r="G5015" s="242" t="n">
        <v>50</v>
      </c>
      <c r="H5015" s="242" t="n">
        <v>45</v>
      </c>
      <c r="I5015" s="242" t="n">
        <v>40</v>
      </c>
      <c r="J5015" s="242" t="n">
        <v>35</v>
      </c>
      <c r="K5015" s="242" t="n">
        <v>30</v>
      </c>
      <c r="L5015" s="242" t="n">
        <v>25</v>
      </c>
      <c r="M5015" s="242" t="n">
        <v>20</v>
      </c>
    </row>
    <row r="5016" customFormat="false" ht="12" hidden="false" customHeight="true" outlineLevel="0" collapsed="false">
      <c r="B5016" s="1" t="n">
        <v>1</v>
      </c>
      <c r="C5016" s="1" t="n">
        <v>0</v>
      </c>
      <c r="D5016" s="1" t="n">
        <v>0</v>
      </c>
      <c r="E5016" s="1" t="n">
        <v>0</v>
      </c>
      <c r="F5016" s="1" t="n">
        <v>1</v>
      </c>
      <c r="G5016" s="1" t="n">
        <v>1</v>
      </c>
      <c r="H5016" s="1" t="n">
        <v>1</v>
      </c>
      <c r="I5016" s="1" t="n">
        <v>1</v>
      </c>
      <c r="J5016" s="1" t="n">
        <v>2</v>
      </c>
      <c r="K5016" s="1" t="n">
        <v>2</v>
      </c>
      <c r="L5016" s="1" t="n">
        <v>3</v>
      </c>
      <c r="M5016" s="1" t="n">
        <v>3</v>
      </c>
    </row>
    <row r="5017" customFormat="false" ht="12" hidden="false" customHeight="true" outlineLevel="0" collapsed="false">
      <c r="B5017" s="1" t="n">
        <v>2</v>
      </c>
      <c r="C5017" s="1" t="n">
        <v>1</v>
      </c>
      <c r="D5017" s="1" t="n">
        <v>1</v>
      </c>
      <c r="E5017" s="1" t="n">
        <v>1</v>
      </c>
      <c r="F5017" s="1" t="n">
        <v>2</v>
      </c>
      <c r="G5017" s="1" t="n">
        <v>2</v>
      </c>
      <c r="H5017" s="1" t="n">
        <v>2</v>
      </c>
      <c r="I5017" s="1" t="n">
        <v>3</v>
      </c>
      <c r="J5017" s="1" t="n">
        <v>4</v>
      </c>
      <c r="K5017" s="1" t="n">
        <v>4</v>
      </c>
      <c r="L5017" s="1" t="n">
        <v>6</v>
      </c>
      <c r="M5017" s="1" t="n">
        <v>7</v>
      </c>
    </row>
    <row r="5018" customFormat="false" ht="12" hidden="false" customHeight="true" outlineLevel="0" collapsed="false">
      <c r="B5018" s="1" t="n">
        <v>3</v>
      </c>
      <c r="C5018" s="1" t="n">
        <v>1</v>
      </c>
      <c r="D5018" s="1" t="n">
        <v>2</v>
      </c>
      <c r="E5018" s="1" t="n">
        <v>2</v>
      </c>
      <c r="F5018" s="1" t="n">
        <v>2</v>
      </c>
      <c r="G5018" s="1" t="n">
        <v>3</v>
      </c>
      <c r="H5018" s="1" t="n">
        <v>3</v>
      </c>
      <c r="I5018" s="1" t="n">
        <v>4</v>
      </c>
      <c r="J5018" s="1" t="n">
        <v>5</v>
      </c>
      <c r="K5018" s="1" t="n">
        <v>6</v>
      </c>
      <c r="L5018" s="1" t="n">
        <v>9</v>
      </c>
      <c r="M5018" s="1" t="n">
        <v>11</v>
      </c>
    </row>
    <row r="5019" customFormat="false" ht="12" hidden="false" customHeight="true" outlineLevel="0" collapsed="false">
      <c r="B5019" s="1" t="n">
        <v>4</v>
      </c>
      <c r="C5019" s="1" t="n">
        <v>2</v>
      </c>
      <c r="D5019" s="1" t="n">
        <v>2</v>
      </c>
      <c r="E5019" s="1" t="n">
        <v>3</v>
      </c>
      <c r="F5019" s="1" t="n">
        <v>3</v>
      </c>
      <c r="G5019" s="1" t="n">
        <v>4</v>
      </c>
      <c r="H5019" s="1" t="n">
        <v>4</v>
      </c>
      <c r="I5019" s="1" t="n">
        <v>5</v>
      </c>
      <c r="J5019" s="1" t="n">
        <v>7</v>
      </c>
      <c r="K5019" s="1" t="n">
        <v>9</v>
      </c>
      <c r="L5019" s="1" t="n">
        <v>12</v>
      </c>
      <c r="M5019" s="1" t="n">
        <v>15</v>
      </c>
    </row>
    <row r="5020" customFormat="false" ht="12" hidden="false" customHeight="true" outlineLevel="0" collapsed="false">
      <c r="B5020" s="1" t="n">
        <v>5</v>
      </c>
      <c r="C5020" s="1" t="n">
        <v>2</v>
      </c>
      <c r="D5020" s="1" t="n">
        <v>3</v>
      </c>
      <c r="E5020" s="1" t="n">
        <v>4</v>
      </c>
      <c r="F5020" s="1" t="n">
        <v>4</v>
      </c>
      <c r="G5020" s="1" t="n">
        <v>5</v>
      </c>
      <c r="H5020" s="1" t="n">
        <v>6</v>
      </c>
      <c r="I5020" s="1" t="n">
        <v>7</v>
      </c>
      <c r="J5020" s="1" t="n">
        <v>9</v>
      </c>
      <c r="K5020" s="1" t="n">
        <v>12</v>
      </c>
      <c r="L5020" s="1" t="n">
        <v>15</v>
      </c>
      <c r="M5020" s="1" t="n">
        <v>20</v>
      </c>
    </row>
    <row r="5021" customFormat="false" ht="12" hidden="false" customHeight="true" outlineLevel="0" collapsed="false">
      <c r="B5021" s="1" t="n">
        <v>6</v>
      </c>
      <c r="C5021" s="1" t="n">
        <v>3</v>
      </c>
      <c r="D5021" s="1" t="n">
        <v>4</v>
      </c>
      <c r="E5021" s="1" t="n">
        <v>4</v>
      </c>
      <c r="F5021" s="1" t="n">
        <v>5</v>
      </c>
      <c r="G5021" s="1" t="n">
        <v>6</v>
      </c>
      <c r="H5021" s="1" t="n">
        <v>7</v>
      </c>
      <c r="I5021" s="1" t="n">
        <v>9</v>
      </c>
      <c r="J5021" s="1" t="n">
        <v>11</v>
      </c>
      <c r="K5021" s="1" t="n">
        <v>14</v>
      </c>
      <c r="L5021" s="1" t="n">
        <v>18</v>
      </c>
      <c r="M5021" s="1" t="n">
        <v>24</v>
      </c>
    </row>
    <row r="5022" customFormat="false" ht="12" hidden="false" customHeight="true" outlineLevel="0" collapsed="false">
      <c r="B5022" s="1" t="n">
        <v>7</v>
      </c>
      <c r="C5022" s="1" t="n">
        <v>4</v>
      </c>
      <c r="D5022" s="1" t="n">
        <v>5</v>
      </c>
      <c r="E5022" s="1" t="n">
        <v>5</v>
      </c>
      <c r="F5022" s="1" t="n">
        <v>6</v>
      </c>
      <c r="G5022" s="1" t="n">
        <v>7</v>
      </c>
      <c r="H5022" s="1" t="n">
        <v>8</v>
      </c>
      <c r="I5022" s="1" t="n">
        <v>10</v>
      </c>
      <c r="J5022" s="1" t="n">
        <v>13</v>
      </c>
      <c r="K5022" s="1" t="n">
        <v>17</v>
      </c>
      <c r="L5022" s="1" t="n">
        <v>22</v>
      </c>
      <c r="M5022" s="1" t="n">
        <v>28</v>
      </c>
    </row>
    <row r="5023" customFormat="false" ht="12" hidden="false" customHeight="true" outlineLevel="0" collapsed="false">
      <c r="B5023" s="1" t="n">
        <v>8</v>
      </c>
      <c r="C5023" s="1" t="n">
        <v>4</v>
      </c>
      <c r="D5023" s="1" t="n">
        <v>5</v>
      </c>
      <c r="E5023" s="1" t="n">
        <v>6</v>
      </c>
      <c r="F5023" s="1" t="n">
        <v>7</v>
      </c>
      <c r="G5023" s="1" t="n">
        <v>8</v>
      </c>
      <c r="H5023" s="1" t="n">
        <v>10</v>
      </c>
      <c r="I5023" s="1" t="n">
        <v>12</v>
      </c>
      <c r="J5023" s="1" t="n">
        <v>15</v>
      </c>
      <c r="K5023" s="1" t="n">
        <v>19</v>
      </c>
      <c r="L5023" s="1" t="n">
        <v>25</v>
      </c>
      <c r="M5023" s="1" t="n">
        <v>33</v>
      </c>
    </row>
    <row r="5024" customFormat="false" ht="12" hidden="false" customHeight="true" outlineLevel="0" collapsed="false">
      <c r="B5024" s="1" t="n">
        <v>9</v>
      </c>
      <c r="C5024" s="1" t="n">
        <v>5</v>
      </c>
      <c r="D5024" s="1" t="n">
        <v>6</v>
      </c>
      <c r="E5024" s="1" t="n">
        <v>7</v>
      </c>
      <c r="F5024" s="1" t="n">
        <v>8</v>
      </c>
      <c r="G5024" s="1" t="n">
        <v>10</v>
      </c>
      <c r="H5024" s="1" t="n">
        <v>11</v>
      </c>
      <c r="I5024" s="1" t="n">
        <v>14</v>
      </c>
      <c r="J5024" s="1" t="n">
        <v>17</v>
      </c>
      <c r="K5024" s="1" t="n">
        <v>22</v>
      </c>
      <c r="L5024" s="1" t="n">
        <v>29</v>
      </c>
      <c r="M5024" s="1" t="n">
        <v>38</v>
      </c>
    </row>
    <row r="5025" customFormat="false" ht="12" hidden="false" customHeight="true" outlineLevel="0" collapsed="false">
      <c r="B5025" s="1" t="n">
        <v>10</v>
      </c>
      <c r="C5025" s="1" t="n">
        <v>5</v>
      </c>
      <c r="D5025" s="1" t="n">
        <v>7</v>
      </c>
      <c r="E5025" s="1" t="n">
        <v>8</v>
      </c>
      <c r="F5025" s="1" t="n">
        <v>9</v>
      </c>
      <c r="G5025" s="1" t="n">
        <v>11</v>
      </c>
      <c r="H5025" s="1" t="n">
        <v>13</v>
      </c>
      <c r="I5025" s="1" t="n">
        <v>16</v>
      </c>
      <c r="J5025" s="1" t="n">
        <v>20</v>
      </c>
      <c r="K5025" s="1" t="n">
        <v>25</v>
      </c>
      <c r="L5025" s="1" t="n">
        <v>32</v>
      </c>
      <c r="M5025" s="1" t="n">
        <v>43</v>
      </c>
    </row>
    <row r="5026" customFormat="false" ht="12" hidden="false" customHeight="true" outlineLevel="0" collapsed="false">
      <c r="B5026" s="1" t="n">
        <v>11</v>
      </c>
      <c r="C5026" s="1" t="n">
        <v>6</v>
      </c>
      <c r="D5026" s="1" t="n">
        <v>8</v>
      </c>
      <c r="E5026" s="1" t="n">
        <v>9</v>
      </c>
      <c r="F5026" s="1" t="n">
        <v>10</v>
      </c>
      <c r="G5026" s="1" t="n">
        <v>12</v>
      </c>
      <c r="H5026" s="1" t="n">
        <v>14</v>
      </c>
      <c r="I5026" s="1" t="n">
        <v>18</v>
      </c>
      <c r="J5026" s="1" t="n">
        <v>22</v>
      </c>
      <c r="K5026" s="1" t="n">
        <v>28</v>
      </c>
      <c r="L5026" s="1" t="n">
        <v>36</v>
      </c>
      <c r="M5026" s="1" t="n">
        <v>48</v>
      </c>
    </row>
    <row r="5027" customFormat="false" ht="12" hidden="false" customHeight="true" outlineLevel="0" collapsed="false">
      <c r="B5027" s="1" t="n">
        <v>12</v>
      </c>
      <c r="C5027" s="1" t="n">
        <v>7</v>
      </c>
      <c r="D5027" s="1" t="n">
        <v>9</v>
      </c>
      <c r="E5027" s="1" t="n">
        <v>10</v>
      </c>
      <c r="F5027" s="1" t="n">
        <v>11</v>
      </c>
      <c r="G5027" s="1" t="n">
        <v>13</v>
      </c>
      <c r="H5027" s="1" t="n">
        <v>15</v>
      </c>
      <c r="I5027" s="1" t="n">
        <v>20</v>
      </c>
      <c r="J5027" s="1" t="n">
        <v>24</v>
      </c>
      <c r="K5027" s="1" t="n">
        <v>31</v>
      </c>
      <c r="L5027" s="1" t="n">
        <v>40</v>
      </c>
      <c r="M5027" s="1" t="n">
        <v>53</v>
      </c>
    </row>
    <row r="5028" customFormat="false" ht="12" hidden="false" customHeight="true" outlineLevel="0" collapsed="false">
      <c r="B5028" s="1" t="n">
        <v>13</v>
      </c>
      <c r="C5028" s="1" t="n">
        <v>8</v>
      </c>
      <c r="D5028" s="1" t="n">
        <v>10</v>
      </c>
      <c r="E5028" s="1" t="n">
        <v>11</v>
      </c>
      <c r="F5028" s="1" t="n">
        <v>12</v>
      </c>
      <c r="G5028" s="1" t="n">
        <v>15</v>
      </c>
      <c r="H5028" s="1" t="n">
        <v>17</v>
      </c>
      <c r="I5028" s="1" t="n">
        <v>22</v>
      </c>
      <c r="J5028" s="1" t="n">
        <v>26</v>
      </c>
      <c r="K5028" s="1" t="n">
        <v>34</v>
      </c>
      <c r="L5028" s="1" t="n">
        <v>44</v>
      </c>
      <c r="M5028" s="1" t="n">
        <v>57</v>
      </c>
    </row>
    <row r="5029" customFormat="false" ht="12" hidden="false" customHeight="true" outlineLevel="0" collapsed="false">
      <c r="B5029" s="1" t="n">
        <v>14</v>
      </c>
      <c r="C5029" s="1" t="n">
        <v>8</v>
      </c>
      <c r="D5029" s="1" t="n">
        <v>10</v>
      </c>
      <c r="E5029" s="1" t="n">
        <v>12</v>
      </c>
      <c r="F5029" s="1" t="n">
        <v>13</v>
      </c>
      <c r="G5029" s="1" t="n">
        <v>16</v>
      </c>
      <c r="H5029" s="1" t="n">
        <v>19</v>
      </c>
      <c r="I5029" s="1" t="n">
        <v>24</v>
      </c>
      <c r="J5029" s="1" t="n">
        <v>29</v>
      </c>
      <c r="K5029" s="1" t="n">
        <v>37</v>
      </c>
      <c r="L5029" s="1" t="n">
        <v>48</v>
      </c>
      <c r="M5029" s="1" t="n">
        <v>61</v>
      </c>
    </row>
    <row r="5030" customFormat="false" ht="12" hidden="false" customHeight="true" outlineLevel="0" collapsed="false">
      <c r="B5030" s="1" t="n">
        <v>15</v>
      </c>
      <c r="C5030" s="1" t="n">
        <v>9</v>
      </c>
      <c r="D5030" s="1" t="n">
        <v>11</v>
      </c>
      <c r="E5030" s="1" t="n">
        <v>12</v>
      </c>
      <c r="F5030" s="1" t="n">
        <v>15</v>
      </c>
      <c r="G5030" s="1" t="n">
        <v>17</v>
      </c>
      <c r="H5030" s="1" t="n">
        <v>21</v>
      </c>
      <c r="I5030" s="1" t="n">
        <v>26</v>
      </c>
      <c r="J5030" s="1" t="n">
        <v>32</v>
      </c>
      <c r="K5030" s="1" t="n">
        <v>40</v>
      </c>
      <c r="L5030" s="1" t="n">
        <v>52</v>
      </c>
      <c r="M5030" s="1" t="n">
        <v>66</v>
      </c>
    </row>
    <row r="5031" customFormat="false" ht="12" hidden="false" customHeight="true" outlineLevel="0" collapsed="false">
      <c r="B5031" s="1" t="n">
        <v>16</v>
      </c>
      <c r="C5031" s="1" t="n">
        <v>10</v>
      </c>
      <c r="D5031" s="1" t="n">
        <v>12</v>
      </c>
      <c r="E5031" s="1" t="n">
        <v>13</v>
      </c>
      <c r="F5031" s="1" t="n">
        <v>16</v>
      </c>
      <c r="G5031" s="1" t="n">
        <v>19</v>
      </c>
      <c r="H5031" s="1" t="n">
        <v>23</v>
      </c>
      <c r="I5031" s="1" t="n">
        <v>28</v>
      </c>
      <c r="J5031" s="1" t="n">
        <v>34</v>
      </c>
      <c r="K5031" s="1" t="n">
        <v>43</v>
      </c>
      <c r="L5031" s="1" t="n">
        <v>55</v>
      </c>
      <c r="M5031" s="1" t="n">
        <v>70</v>
      </c>
    </row>
    <row r="5032" customFormat="false" ht="12" hidden="false" customHeight="true" outlineLevel="0" collapsed="false">
      <c r="B5032" s="1" t="n">
        <v>17</v>
      </c>
      <c r="C5032" s="1" t="n">
        <v>10</v>
      </c>
      <c r="D5032" s="1" t="n">
        <v>13</v>
      </c>
      <c r="E5032" s="1" t="n">
        <v>15</v>
      </c>
      <c r="F5032" s="1" t="n">
        <v>17</v>
      </c>
      <c r="G5032" s="1" t="n">
        <v>20</v>
      </c>
      <c r="H5032" s="1" t="n">
        <v>25</v>
      </c>
      <c r="I5032" s="1" t="n">
        <v>30</v>
      </c>
      <c r="J5032" s="1" t="n">
        <v>37</v>
      </c>
      <c r="K5032" s="1" t="n">
        <v>46</v>
      </c>
      <c r="L5032" s="1" t="n">
        <v>59</v>
      </c>
      <c r="M5032" s="1" t="n">
        <v>73</v>
      </c>
    </row>
    <row r="5033" customFormat="false" ht="12" hidden="false" customHeight="true" outlineLevel="0" collapsed="false">
      <c r="B5033" s="1" t="n">
        <v>18</v>
      </c>
      <c r="C5033" s="1" t="n">
        <v>11</v>
      </c>
      <c r="D5033" s="1" t="n">
        <v>14</v>
      </c>
      <c r="E5033" s="1" t="n">
        <v>16</v>
      </c>
      <c r="F5033" s="1" t="n">
        <v>19</v>
      </c>
      <c r="G5033" s="1" t="n">
        <v>22</v>
      </c>
      <c r="H5033" s="1" t="n">
        <v>27</v>
      </c>
      <c r="I5033" s="1" t="n">
        <v>32</v>
      </c>
      <c r="J5033" s="1" t="n">
        <v>40</v>
      </c>
      <c r="K5033" s="1" t="n">
        <v>50</v>
      </c>
      <c r="L5033" s="1" t="n">
        <v>63</v>
      </c>
      <c r="M5033" s="1" t="n">
        <v>76</v>
      </c>
    </row>
    <row r="5034" customFormat="false" ht="12" hidden="false" customHeight="true" outlineLevel="0" collapsed="false">
      <c r="B5034" s="1" t="n">
        <v>19</v>
      </c>
      <c r="C5034" s="1" t="n">
        <v>12</v>
      </c>
      <c r="D5034" s="1" t="n">
        <v>15</v>
      </c>
      <c r="E5034" s="1" t="n">
        <v>17</v>
      </c>
      <c r="F5034" s="1" t="n">
        <v>20</v>
      </c>
      <c r="G5034" s="1" t="n">
        <v>24</v>
      </c>
      <c r="H5034" s="1" t="n">
        <v>28</v>
      </c>
      <c r="I5034" s="1" t="n">
        <v>34</v>
      </c>
      <c r="J5034" s="1" t="n">
        <v>43</v>
      </c>
      <c r="K5034" s="1" t="n">
        <v>53</v>
      </c>
      <c r="L5034" s="1" t="n">
        <v>67</v>
      </c>
      <c r="M5034" s="1" t="n">
        <v>78</v>
      </c>
    </row>
    <row r="5035" customFormat="false" ht="12" hidden="false" customHeight="true" outlineLevel="0" collapsed="false">
      <c r="B5035" s="1" t="n">
        <v>20</v>
      </c>
      <c r="C5035" s="1" t="n">
        <v>13</v>
      </c>
      <c r="D5035" s="1" t="n">
        <v>16</v>
      </c>
      <c r="E5035" s="1" t="n">
        <v>18</v>
      </c>
      <c r="F5035" s="1" t="n">
        <v>21</v>
      </c>
      <c r="G5035" s="1" t="n">
        <v>25</v>
      </c>
      <c r="H5035" s="1" t="n">
        <v>30</v>
      </c>
      <c r="I5035" s="1" t="n">
        <v>37</v>
      </c>
      <c r="J5035" s="1" t="n">
        <v>45</v>
      </c>
      <c r="K5035" s="1" t="n">
        <v>56</v>
      </c>
      <c r="L5035" s="1" t="n">
        <v>71</v>
      </c>
      <c r="M5035" s="1" t="n">
        <v>79</v>
      </c>
    </row>
    <row r="5036" customFormat="false" ht="12" hidden="false" customHeight="true" outlineLevel="0" collapsed="false">
      <c r="B5036" s="1" t="n">
        <v>22</v>
      </c>
      <c r="C5036" s="1" t="n">
        <v>14</v>
      </c>
      <c r="D5036" s="1" t="n">
        <v>17</v>
      </c>
      <c r="E5036" s="1" t="n">
        <v>20</v>
      </c>
      <c r="F5036" s="1" t="n">
        <v>23</v>
      </c>
      <c r="G5036" s="1" t="n">
        <v>28</v>
      </c>
      <c r="H5036" s="1" t="n">
        <v>34</v>
      </c>
      <c r="I5036" s="1" t="n">
        <v>42</v>
      </c>
      <c r="J5036" s="1" t="n">
        <v>51</v>
      </c>
      <c r="K5036" s="1" t="n">
        <v>62</v>
      </c>
      <c r="L5036" s="1" t="n">
        <v>76</v>
      </c>
      <c r="M5036" s="1" t="n">
        <v>80</v>
      </c>
    </row>
    <row r="5037" customFormat="false" ht="12" hidden="false" customHeight="true" outlineLevel="0" collapsed="false">
      <c r="B5037" s="1" t="n">
        <v>24</v>
      </c>
      <c r="C5037" s="1" t="n">
        <v>16</v>
      </c>
      <c r="D5037" s="1" t="n">
        <v>20</v>
      </c>
      <c r="E5037" s="1" t="n">
        <v>23</v>
      </c>
      <c r="F5037" s="1" t="n">
        <v>26</v>
      </c>
      <c r="G5037" s="1" t="n">
        <v>31</v>
      </c>
      <c r="H5037" s="1" t="n">
        <v>38</v>
      </c>
      <c r="I5037" s="1" t="n">
        <v>47</v>
      </c>
      <c r="J5037" s="1" t="n">
        <v>57</v>
      </c>
      <c r="K5037" s="1" t="n">
        <v>68</v>
      </c>
      <c r="L5037" s="1" t="n">
        <v>79</v>
      </c>
      <c r="M5037" t="n">
        <v>80</v>
      </c>
    </row>
    <row r="5038" customFormat="false" ht="12" hidden="false" customHeight="true" outlineLevel="0" collapsed="false">
      <c r="B5038" s="1" t="n">
        <v>26</v>
      </c>
      <c r="C5038" s="1" t="n">
        <v>18</v>
      </c>
      <c r="D5038" s="1" t="n">
        <v>22</v>
      </c>
      <c r="E5038" s="1" t="n">
        <v>25</v>
      </c>
      <c r="F5038" s="1" t="n">
        <v>29</v>
      </c>
      <c r="G5038" s="1" t="n">
        <v>35</v>
      </c>
      <c r="H5038" s="1" t="n">
        <v>43</v>
      </c>
      <c r="I5038" s="1" t="n">
        <v>52</v>
      </c>
      <c r="J5038" s="1" t="n">
        <v>62</v>
      </c>
      <c r="K5038" s="1" t="n">
        <v>74</v>
      </c>
      <c r="L5038" s="1" t="n">
        <v>80</v>
      </c>
      <c r="M5038" t="n">
        <v>80</v>
      </c>
    </row>
    <row r="5039" customFormat="false" ht="12" hidden="false" customHeight="true" outlineLevel="0" collapsed="false">
      <c r="B5039" s="1" t="n">
        <v>28</v>
      </c>
      <c r="C5039" s="1" t="n">
        <v>20</v>
      </c>
      <c r="D5039" s="1" t="n">
        <v>24</v>
      </c>
      <c r="E5039" s="1" t="n">
        <v>28</v>
      </c>
      <c r="F5039" s="1" t="n">
        <v>33</v>
      </c>
      <c r="G5039" s="1" t="n">
        <v>39</v>
      </c>
      <c r="H5039" s="1" t="n">
        <v>47</v>
      </c>
      <c r="I5039" s="1" t="n">
        <v>57</v>
      </c>
      <c r="J5039" s="1" t="n">
        <v>68</v>
      </c>
      <c r="K5039" s="1" t="n">
        <v>77</v>
      </c>
      <c r="L5039" t="n">
        <v>80</v>
      </c>
      <c r="M5039" t="n">
        <v>80</v>
      </c>
    </row>
    <row r="5040" customFormat="false" ht="12" hidden="false" customHeight="true" outlineLevel="0" collapsed="false">
      <c r="B5040" s="1" t="n">
        <v>30</v>
      </c>
      <c r="C5040" s="1" t="n">
        <v>22</v>
      </c>
      <c r="D5040" s="1" t="n">
        <v>27</v>
      </c>
      <c r="E5040" s="1" t="n">
        <v>31</v>
      </c>
      <c r="F5040" s="1" t="n">
        <v>36</v>
      </c>
      <c r="G5040" s="1" t="n">
        <v>44</v>
      </c>
      <c r="H5040" s="1" t="n">
        <v>52</v>
      </c>
      <c r="I5040" s="1" t="n">
        <v>62</v>
      </c>
      <c r="J5040" s="1" t="n">
        <v>71</v>
      </c>
      <c r="K5040" s="1" t="n">
        <v>79</v>
      </c>
      <c r="L5040" t="n">
        <v>80</v>
      </c>
      <c r="M5040" t="n">
        <v>80</v>
      </c>
    </row>
    <row r="5041" customFormat="false" ht="12" hidden="false" customHeight="true" outlineLevel="0" collapsed="false">
      <c r="B5041" s="1" t="n">
        <v>32</v>
      </c>
      <c r="C5041" s="1" t="n">
        <v>24</v>
      </c>
      <c r="D5041" s="1" t="n">
        <v>29</v>
      </c>
      <c r="E5041" s="1" t="n">
        <v>34</v>
      </c>
      <c r="F5041" s="1" t="n">
        <v>40</v>
      </c>
      <c r="G5041" s="1" t="n">
        <v>47</v>
      </c>
      <c r="H5041" s="1" t="n">
        <v>56</v>
      </c>
      <c r="I5041" s="1" t="n">
        <v>67</v>
      </c>
      <c r="J5041" s="1" t="n">
        <v>74</v>
      </c>
      <c r="K5041" s="1" t="n">
        <v>80</v>
      </c>
      <c r="L5041" t="n">
        <v>80</v>
      </c>
      <c r="M5041" t="n">
        <v>80</v>
      </c>
    </row>
    <row r="5042" customFormat="false" ht="12" hidden="false" customHeight="true" outlineLevel="0" collapsed="false">
      <c r="B5042" s="1" t="n">
        <v>34</v>
      </c>
      <c r="C5042" s="1" t="n">
        <v>27</v>
      </c>
      <c r="D5042" s="1" t="n">
        <v>32</v>
      </c>
      <c r="E5042" s="1" t="n">
        <v>37</v>
      </c>
      <c r="F5042" s="1" t="n">
        <v>44</v>
      </c>
      <c r="G5042" s="1" t="n">
        <v>51</v>
      </c>
      <c r="H5042" s="1" t="n">
        <v>60</v>
      </c>
      <c r="I5042" s="1" t="n">
        <v>71</v>
      </c>
      <c r="J5042" s="1" t="n">
        <v>77</v>
      </c>
      <c r="K5042" t="n">
        <v>80</v>
      </c>
      <c r="L5042" t="n">
        <v>80</v>
      </c>
      <c r="M5042" t="n">
        <v>80</v>
      </c>
    </row>
    <row r="5043" customFormat="false" ht="12" hidden="false" customHeight="true" outlineLevel="0" collapsed="false">
      <c r="B5043" s="1" t="n">
        <v>36</v>
      </c>
      <c r="C5043" s="1" t="n">
        <v>29</v>
      </c>
      <c r="D5043" s="1" t="n">
        <v>35</v>
      </c>
      <c r="E5043" s="1" t="n">
        <v>40</v>
      </c>
      <c r="F5043" s="1" t="n">
        <v>47</v>
      </c>
      <c r="G5043" s="1" t="n">
        <v>55</v>
      </c>
      <c r="H5043" s="1" t="n">
        <v>65</v>
      </c>
      <c r="I5043" s="1" t="n">
        <v>74</v>
      </c>
      <c r="J5043" s="1" t="n">
        <v>79</v>
      </c>
      <c r="K5043" t="n">
        <v>80</v>
      </c>
      <c r="L5043" t="n">
        <v>80</v>
      </c>
      <c r="M5043" t="n">
        <v>80</v>
      </c>
    </row>
    <row r="5044" customFormat="false" ht="12" hidden="false" customHeight="true" outlineLevel="0" collapsed="false">
      <c r="B5044" s="1" t="n">
        <v>38</v>
      </c>
      <c r="C5044" s="1" t="n">
        <v>32</v>
      </c>
      <c r="D5044" s="1" t="n">
        <v>38</v>
      </c>
      <c r="E5044" s="1" t="n">
        <v>43</v>
      </c>
      <c r="F5044" s="1" t="n">
        <v>51</v>
      </c>
      <c r="G5044" s="1" t="n">
        <v>59</v>
      </c>
      <c r="H5044" s="1" t="n">
        <v>69</v>
      </c>
      <c r="I5044" s="1" t="n">
        <v>77</v>
      </c>
      <c r="J5044" s="1" t="n">
        <v>80</v>
      </c>
      <c r="K5044" t="n">
        <v>80</v>
      </c>
      <c r="L5044" t="n">
        <v>80</v>
      </c>
      <c r="M5044" t="n">
        <v>80</v>
      </c>
    </row>
    <row r="5045" customFormat="false" ht="12" hidden="false" customHeight="true" outlineLevel="0" collapsed="false">
      <c r="B5045" s="1" t="n">
        <v>40</v>
      </c>
      <c r="C5045" s="1" t="n">
        <v>35</v>
      </c>
      <c r="D5045" s="1" t="n">
        <v>41</v>
      </c>
      <c r="E5045" s="1" t="n">
        <v>47</v>
      </c>
      <c r="F5045" s="1" t="n">
        <v>55</v>
      </c>
      <c r="G5045" s="1" t="n">
        <v>63</v>
      </c>
      <c r="H5045" s="1" t="n">
        <v>72</v>
      </c>
      <c r="I5045" s="1" t="n">
        <v>79</v>
      </c>
      <c r="J5045" t="n">
        <v>80</v>
      </c>
      <c r="K5045" t="n">
        <v>80</v>
      </c>
      <c r="L5045" t="n">
        <v>80</v>
      </c>
      <c r="M5045" t="n">
        <v>80</v>
      </c>
    </row>
    <row r="5046" customFormat="false" ht="12" hidden="false" customHeight="true" outlineLevel="0" collapsed="false">
      <c r="B5046" s="1" t="n">
        <v>42</v>
      </c>
      <c r="C5046" s="1" t="n">
        <v>38</v>
      </c>
      <c r="D5046" s="1" t="n">
        <v>45</v>
      </c>
      <c r="E5046" s="1" t="n">
        <v>51</v>
      </c>
      <c r="F5046" s="1" t="n">
        <v>59</v>
      </c>
      <c r="G5046" s="1" t="n">
        <v>66</v>
      </c>
      <c r="H5046" s="1" t="n">
        <v>75</v>
      </c>
      <c r="I5046" s="1" t="n">
        <v>80</v>
      </c>
      <c r="J5046" t="n">
        <v>80</v>
      </c>
      <c r="K5046" t="n">
        <v>80</v>
      </c>
      <c r="L5046" t="n">
        <v>80</v>
      </c>
      <c r="M5046" t="n">
        <v>80</v>
      </c>
    </row>
    <row r="5047" customFormat="false" ht="12" hidden="false" customHeight="true" outlineLevel="0" collapsed="false">
      <c r="B5047" s="1" t="n">
        <v>44</v>
      </c>
      <c r="C5047" s="1" t="n">
        <v>41</v>
      </c>
      <c r="D5047" s="1" t="n">
        <v>48</v>
      </c>
      <c r="E5047" s="1" t="n">
        <v>54</v>
      </c>
      <c r="F5047" s="1" t="n">
        <v>62</v>
      </c>
      <c r="G5047" s="1" t="n">
        <v>69</v>
      </c>
      <c r="H5047" s="1" t="n">
        <v>77</v>
      </c>
      <c r="I5047" t="n">
        <v>80</v>
      </c>
      <c r="J5047" t="n">
        <v>80</v>
      </c>
      <c r="K5047" t="n">
        <v>80</v>
      </c>
      <c r="L5047" t="n">
        <v>80</v>
      </c>
      <c r="M5047" t="n">
        <v>80</v>
      </c>
    </row>
    <row r="5048" customFormat="false" ht="12" hidden="false" customHeight="true" outlineLevel="0" collapsed="false">
      <c r="B5048" s="1" t="n">
        <v>46</v>
      </c>
      <c r="C5048" s="1" t="n">
        <v>44</v>
      </c>
      <c r="D5048" s="1" t="n">
        <v>51</v>
      </c>
      <c r="E5048" s="1" t="n">
        <v>57</v>
      </c>
      <c r="F5048" s="1" t="n">
        <v>65</v>
      </c>
      <c r="G5048" s="1" t="n">
        <v>72</v>
      </c>
      <c r="H5048" s="1" t="n">
        <v>79</v>
      </c>
      <c r="I5048" t="n">
        <v>80</v>
      </c>
      <c r="J5048" t="n">
        <v>80</v>
      </c>
      <c r="K5048" t="n">
        <v>80</v>
      </c>
      <c r="L5048" t="n">
        <v>80</v>
      </c>
      <c r="M5048" t="n">
        <v>80</v>
      </c>
    </row>
    <row r="5049" customFormat="false" ht="12" hidden="false" customHeight="true" outlineLevel="0" collapsed="false">
      <c r="B5049" s="1" t="n">
        <v>48</v>
      </c>
      <c r="C5049" s="1" t="n">
        <v>46</v>
      </c>
      <c r="D5049" s="1" t="n">
        <v>54</v>
      </c>
      <c r="E5049" s="1" t="n">
        <v>61</v>
      </c>
      <c r="F5049" s="1" t="n">
        <v>68</v>
      </c>
      <c r="G5049" s="1" t="n">
        <v>75</v>
      </c>
      <c r="H5049" s="1" t="n">
        <v>80</v>
      </c>
      <c r="I5049" t="n">
        <v>80</v>
      </c>
      <c r="J5049" t="n">
        <v>80</v>
      </c>
      <c r="K5049" t="n">
        <v>80</v>
      </c>
      <c r="L5049" t="n">
        <v>80</v>
      </c>
      <c r="M5049" t="n">
        <v>80</v>
      </c>
    </row>
    <row r="5050" customFormat="false" ht="12" hidden="false" customHeight="true" outlineLevel="0" collapsed="false">
      <c r="B5050" s="1" t="n">
        <v>50</v>
      </c>
      <c r="C5050" s="1" t="n">
        <v>49</v>
      </c>
      <c r="D5050" s="1" t="n">
        <v>57</v>
      </c>
      <c r="E5050" s="1" t="n">
        <v>64</v>
      </c>
      <c r="F5050" s="1" t="n">
        <v>71</v>
      </c>
      <c r="G5050" s="1" t="n">
        <v>77</v>
      </c>
      <c r="H5050" t="n">
        <v>80</v>
      </c>
      <c r="I5050" t="n">
        <v>80</v>
      </c>
      <c r="J5050" t="n">
        <v>80</v>
      </c>
      <c r="K5050" t="n">
        <v>80</v>
      </c>
      <c r="L5050" t="n">
        <v>80</v>
      </c>
      <c r="M5050" t="n">
        <v>80</v>
      </c>
    </row>
    <row r="5051" customFormat="false" ht="12" hidden="false" customHeight="true" outlineLevel="0" collapsed="false">
      <c r="B5051" s="1" t="n">
        <v>55</v>
      </c>
      <c r="C5051" s="1" t="n">
        <v>57</v>
      </c>
      <c r="D5051" s="1" t="n">
        <v>64</v>
      </c>
      <c r="E5051" s="1" t="n">
        <v>70</v>
      </c>
      <c r="F5051" s="1" t="n">
        <v>77</v>
      </c>
      <c r="G5051" s="1" t="n">
        <v>80</v>
      </c>
      <c r="H5051" t="n">
        <v>80</v>
      </c>
      <c r="I5051" t="n">
        <v>80</v>
      </c>
      <c r="J5051" t="n">
        <v>80</v>
      </c>
      <c r="K5051" t="n">
        <v>80</v>
      </c>
      <c r="L5051" t="n">
        <v>80</v>
      </c>
      <c r="M5051" t="n">
        <v>80</v>
      </c>
    </row>
    <row r="5052" customFormat="false" ht="12" hidden="false" customHeight="true" outlineLevel="0" collapsed="false">
      <c r="B5052" s="1" t="n">
        <v>60</v>
      </c>
      <c r="C5052" s="1" t="n">
        <v>64</v>
      </c>
      <c r="D5052" s="1" t="n">
        <v>69</v>
      </c>
      <c r="E5052" s="1" t="n">
        <v>74</v>
      </c>
      <c r="F5052" s="1" t="n">
        <v>80</v>
      </c>
      <c r="G5052" t="n">
        <v>80</v>
      </c>
      <c r="H5052" t="n">
        <v>80</v>
      </c>
      <c r="I5052" t="n">
        <v>80</v>
      </c>
      <c r="J5052" t="n">
        <v>80</v>
      </c>
      <c r="K5052" t="n">
        <v>80</v>
      </c>
      <c r="L5052" t="n">
        <v>80</v>
      </c>
      <c r="M5052" t="n">
        <v>80</v>
      </c>
    </row>
    <row r="5053" customFormat="false" ht="12" hidden="false" customHeight="true" outlineLevel="0" collapsed="false">
      <c r="B5053" s="1" t="n">
        <v>65</v>
      </c>
      <c r="C5053" s="1" t="n">
        <v>71</v>
      </c>
      <c r="D5053" s="1" t="n">
        <v>74</v>
      </c>
      <c r="E5053" s="1" t="n">
        <v>78</v>
      </c>
      <c r="F5053" t="n">
        <v>80</v>
      </c>
      <c r="G5053" t="n">
        <v>80</v>
      </c>
      <c r="H5053" t="n">
        <v>80</v>
      </c>
      <c r="I5053" t="n">
        <v>80</v>
      </c>
      <c r="J5053" t="n">
        <v>80</v>
      </c>
      <c r="K5053" t="n">
        <v>80</v>
      </c>
      <c r="L5053" t="n">
        <v>80</v>
      </c>
      <c r="M5053" t="n">
        <v>80</v>
      </c>
    </row>
    <row r="5054" customFormat="false" ht="12" hidden="false" customHeight="true" outlineLevel="0" collapsed="false">
      <c r="B5054" s="1" t="n">
        <v>70</v>
      </c>
      <c r="C5054" s="1" t="n">
        <v>76</v>
      </c>
      <c r="D5054" s="1" t="n">
        <v>78</v>
      </c>
      <c r="E5054" s="1" t="n">
        <v>80</v>
      </c>
      <c r="F5054" t="n">
        <v>80</v>
      </c>
      <c r="G5054" t="n">
        <v>80</v>
      </c>
      <c r="H5054" t="n">
        <v>80</v>
      </c>
      <c r="I5054" t="n">
        <v>80</v>
      </c>
      <c r="J5054" t="n">
        <v>80</v>
      </c>
      <c r="K5054" t="n">
        <v>80</v>
      </c>
      <c r="L5054" t="n">
        <v>80</v>
      </c>
      <c r="M5054" t="n">
        <v>80</v>
      </c>
    </row>
    <row r="5055" customFormat="false" ht="12" hidden="false" customHeight="true" outlineLevel="0" collapsed="false">
      <c r="B5055" s="1" t="n">
        <v>75</v>
      </c>
      <c r="C5055" s="1" t="n">
        <v>80</v>
      </c>
      <c r="D5055" s="1" t="n">
        <v>80</v>
      </c>
      <c r="E5055" t="n">
        <v>80</v>
      </c>
      <c r="F5055" t="n">
        <v>80</v>
      </c>
      <c r="G5055" t="n">
        <v>80</v>
      </c>
      <c r="H5055" t="n">
        <v>80</v>
      </c>
      <c r="I5055" t="n">
        <v>80</v>
      </c>
      <c r="J5055" s="1" t="n">
        <v>80</v>
      </c>
      <c r="K5055" t="n">
        <v>80</v>
      </c>
      <c r="L5055" t="n">
        <v>80</v>
      </c>
      <c r="M5055" t="n">
        <v>80</v>
      </c>
    </row>
    <row r="5056" customFormat="false" ht="12" hidden="false" customHeight="true" outlineLevel="0" collapsed="false">
      <c r="B5056" s="1" t="n">
        <v>80</v>
      </c>
      <c r="C5056" t="n">
        <v>80</v>
      </c>
      <c r="D5056" t="n">
        <v>80</v>
      </c>
      <c r="E5056" t="n">
        <v>80</v>
      </c>
      <c r="F5056" t="n">
        <v>80</v>
      </c>
      <c r="G5056" t="n">
        <v>80</v>
      </c>
      <c r="H5056" t="n">
        <v>80</v>
      </c>
      <c r="I5056" t="n">
        <v>80</v>
      </c>
      <c r="J5056" s="1" t="n">
        <v>80</v>
      </c>
      <c r="K5056" t="n">
        <v>80</v>
      </c>
      <c r="L5056" t="n">
        <v>80</v>
      </c>
      <c r="M5056" t="n">
        <v>80</v>
      </c>
    </row>
    <row r="5057" customFormat="false" ht="12" hidden="false" customHeight="true" outlineLevel="0" collapsed="false">
      <c r="B5057" s="1" t="n">
        <v>90</v>
      </c>
      <c r="C5057" t="n">
        <v>80</v>
      </c>
      <c r="D5057" t="n">
        <v>80</v>
      </c>
      <c r="E5057" t="n">
        <v>80</v>
      </c>
      <c r="F5057" t="n">
        <v>80</v>
      </c>
      <c r="G5057" t="n">
        <v>80</v>
      </c>
      <c r="H5057" t="n">
        <v>80</v>
      </c>
      <c r="I5057" t="n">
        <v>80</v>
      </c>
      <c r="J5057" t="n">
        <v>80</v>
      </c>
      <c r="K5057" t="n">
        <v>80</v>
      </c>
      <c r="L5057" s="1" t="n">
        <v>80</v>
      </c>
      <c r="M5057" t="n">
        <v>80</v>
      </c>
    </row>
    <row r="5060" customFormat="false" ht="12" hidden="false" customHeight="true" outlineLevel="0" collapsed="false">
      <c r="B5060" s="241" t="s">
        <v>1850</v>
      </c>
    </row>
    <row r="5061" customFormat="false" ht="12" hidden="false" customHeight="true" outlineLevel="0" collapsed="false">
      <c r="B5061" s="242" t="s">
        <v>1851</v>
      </c>
      <c r="C5061" s="242" t="s">
        <v>490</v>
      </c>
      <c r="D5061" s="242" t="s">
        <v>491</v>
      </c>
      <c r="E5061" s="242" t="s">
        <v>1852</v>
      </c>
    </row>
    <row r="5062" customFormat="false" ht="12" hidden="false" customHeight="true" outlineLevel="0" collapsed="false">
      <c r="B5062" s="1" t="s">
        <v>1853</v>
      </c>
      <c r="C5062" s="1" t="s">
        <v>496</v>
      </c>
      <c r="D5062" s="1" t="s">
        <v>511</v>
      </c>
      <c r="E5062" s="1" t="s">
        <v>1854</v>
      </c>
    </row>
    <row r="5063" customFormat="false" ht="12" hidden="false" customHeight="true" outlineLevel="0" collapsed="false">
      <c r="B5063" s="1" t="s">
        <v>1855</v>
      </c>
      <c r="C5063" s="1" t="s">
        <v>496</v>
      </c>
      <c r="D5063" s="1" t="s">
        <v>513</v>
      </c>
      <c r="E5063" s="1" t="s">
        <v>1854</v>
      </c>
    </row>
    <row r="5064" customFormat="false" ht="12" hidden="false" customHeight="true" outlineLevel="0" collapsed="false">
      <c r="B5064" s="1" t="s">
        <v>1853</v>
      </c>
      <c r="C5064" s="1" t="s">
        <v>496</v>
      </c>
      <c r="D5064" s="1" t="s">
        <v>527</v>
      </c>
      <c r="E5064" s="1" t="s">
        <v>1854</v>
      </c>
    </row>
    <row r="5065" customFormat="false" ht="12" hidden="false" customHeight="true" outlineLevel="0" collapsed="false">
      <c r="B5065" s="1" t="s">
        <v>1856</v>
      </c>
      <c r="C5065" s="1" t="s">
        <v>496</v>
      </c>
      <c r="D5065" s="1" t="s">
        <v>529</v>
      </c>
      <c r="E5065" s="1" t="s">
        <v>1854</v>
      </c>
    </row>
    <row r="5066" customFormat="false" ht="12" hidden="false" customHeight="true" outlineLevel="0" collapsed="false">
      <c r="B5066" s="1" t="s">
        <v>1853</v>
      </c>
      <c r="C5066" s="1" t="s">
        <v>496</v>
      </c>
      <c r="D5066" s="1" t="s">
        <v>537</v>
      </c>
      <c r="E5066" s="1" t="s">
        <v>1854</v>
      </c>
    </row>
    <row r="5067" customFormat="false" ht="12" hidden="false" customHeight="true" outlineLevel="0" collapsed="false">
      <c r="B5067" s="1" t="s">
        <v>1856</v>
      </c>
      <c r="C5067" s="1" t="s">
        <v>496</v>
      </c>
      <c r="D5067" s="1" t="s">
        <v>539</v>
      </c>
      <c r="E5067" s="1" t="s">
        <v>1854</v>
      </c>
    </row>
    <row r="5068" customFormat="false" ht="12" hidden="false" customHeight="true" outlineLevel="0" collapsed="false">
      <c r="B5068" s="1" t="s">
        <v>1853</v>
      </c>
      <c r="C5068" s="1" t="s">
        <v>496</v>
      </c>
      <c r="D5068" s="1" t="s">
        <v>547</v>
      </c>
      <c r="E5068" s="1" t="s">
        <v>1854</v>
      </c>
    </row>
    <row r="5069" customFormat="false" ht="12" hidden="false" customHeight="true" outlineLevel="0" collapsed="false">
      <c r="B5069" s="1" t="s">
        <v>1855</v>
      </c>
      <c r="C5069" s="1" t="s">
        <v>496</v>
      </c>
      <c r="D5069" s="1" t="s">
        <v>549</v>
      </c>
      <c r="E5069" s="1" t="s">
        <v>1854</v>
      </c>
    </row>
    <row r="5070" customFormat="false" ht="12" hidden="false" customHeight="true" outlineLevel="0" collapsed="false">
      <c r="B5070" s="1" t="s">
        <v>1857</v>
      </c>
      <c r="C5070" s="1" t="s">
        <v>590</v>
      </c>
      <c r="D5070" s="1" t="s">
        <v>522</v>
      </c>
      <c r="E5070" s="1" t="s">
        <v>1854</v>
      </c>
    </row>
    <row r="5071" customFormat="false" ht="12" hidden="false" customHeight="true" outlineLevel="0" collapsed="false">
      <c r="B5071" s="1" t="s">
        <v>1857</v>
      </c>
      <c r="C5071" s="1" t="s">
        <v>590</v>
      </c>
      <c r="D5071" s="1" t="s">
        <v>537</v>
      </c>
      <c r="E5071" s="1" t="s">
        <v>1854</v>
      </c>
    </row>
    <row r="5072" customFormat="false" ht="12" hidden="false" customHeight="true" outlineLevel="0" collapsed="false">
      <c r="B5072" s="1" t="s">
        <v>1858</v>
      </c>
      <c r="C5072" s="1" t="s">
        <v>590</v>
      </c>
      <c r="D5072" s="1" t="s">
        <v>549</v>
      </c>
      <c r="E5072" s="1" t="s">
        <v>1859</v>
      </c>
    </row>
    <row r="5073" customFormat="false" ht="12" hidden="false" customHeight="true" outlineLevel="0" collapsed="false">
      <c r="B5073" s="1" t="s">
        <v>1860</v>
      </c>
      <c r="C5073" s="1" t="s">
        <v>590</v>
      </c>
      <c r="D5073" s="1" t="s">
        <v>586</v>
      </c>
      <c r="E5073" s="1" t="s">
        <v>1861</v>
      </c>
    </row>
    <row r="5074" customFormat="false" ht="12" hidden="false" customHeight="true" outlineLevel="0" collapsed="false">
      <c r="B5074" s="1" t="s">
        <v>1862</v>
      </c>
      <c r="C5074" s="1" t="s">
        <v>590</v>
      </c>
      <c r="D5074" s="1" t="s">
        <v>754</v>
      </c>
      <c r="E5074" s="1" t="s">
        <v>1863</v>
      </c>
    </row>
    <row r="5075" customFormat="false" ht="12" hidden="false" customHeight="true" outlineLevel="0" collapsed="false">
      <c r="B5075" s="1" t="s">
        <v>1864</v>
      </c>
      <c r="C5075" s="1" t="s">
        <v>497</v>
      </c>
      <c r="D5075" s="1" t="s">
        <v>1156</v>
      </c>
      <c r="E5075" s="1" t="s">
        <v>1865</v>
      </c>
    </row>
    <row r="5076" customFormat="false" ht="12" hidden="false" customHeight="true" outlineLevel="0" collapsed="false">
      <c r="B5076" s="1" t="s">
        <v>1866</v>
      </c>
      <c r="C5076" s="1" t="s">
        <v>497</v>
      </c>
      <c r="D5076" s="1" t="s">
        <v>766</v>
      </c>
      <c r="E5076" s="1" t="s">
        <v>1854</v>
      </c>
    </row>
    <row r="5077" customFormat="false" ht="12" hidden="false" customHeight="true" outlineLevel="0" collapsed="false">
      <c r="B5077" s="1" t="s">
        <v>1867</v>
      </c>
      <c r="C5077" s="1" t="s">
        <v>501</v>
      </c>
      <c r="D5077" s="1" t="s">
        <v>754</v>
      </c>
      <c r="E5077" s="1" t="s">
        <v>1854</v>
      </c>
    </row>
    <row r="5078" customFormat="false" ht="12" hidden="false" customHeight="true" outlineLevel="0" collapsed="false">
      <c r="B5078" s="1" t="s">
        <v>1868</v>
      </c>
      <c r="C5078" s="1" t="s">
        <v>506</v>
      </c>
      <c r="D5078" s="1" t="s">
        <v>660</v>
      </c>
      <c r="E5078" s="1" t="s">
        <v>1854</v>
      </c>
    </row>
    <row r="5079" customFormat="false" ht="12" hidden="false" customHeight="true" outlineLevel="0" collapsed="false">
      <c r="B5079" s="1" t="s">
        <v>1869</v>
      </c>
      <c r="C5079" s="1" t="s">
        <v>506</v>
      </c>
      <c r="D5079" s="1" t="s">
        <v>754</v>
      </c>
      <c r="E5079" s="1" t="s">
        <v>1854</v>
      </c>
    </row>
    <row r="5080" customFormat="false" ht="12" hidden="false" customHeight="true" outlineLevel="0" collapsed="false">
      <c r="B5080" s="1" t="s">
        <v>1870</v>
      </c>
      <c r="C5080" s="1" t="s">
        <v>1871</v>
      </c>
      <c r="D5080" s="1" t="s">
        <v>1872</v>
      </c>
      <c r="E5080" s="1" t="s">
        <v>1873</v>
      </c>
    </row>
    <row r="5081" customFormat="false" ht="12" hidden="false" customHeight="true" outlineLevel="0" collapsed="false">
      <c r="B5081" s="1" t="s">
        <v>1874</v>
      </c>
      <c r="C5081" s="1" t="s">
        <v>501</v>
      </c>
      <c r="D5081" s="1" t="s">
        <v>549</v>
      </c>
      <c r="E5081" s="1" t="s">
        <v>1875</v>
      </c>
    </row>
    <row r="5082" customFormat="false" ht="12" hidden="false" customHeight="true" outlineLevel="0" collapsed="false">
      <c r="B5082" s="1" t="s">
        <v>1876</v>
      </c>
      <c r="C5082" s="1" t="s">
        <v>506</v>
      </c>
      <c r="D5082" s="1" t="s">
        <v>576</v>
      </c>
      <c r="E5082" s="1" t="s">
        <v>1877</v>
      </c>
    </row>
    <row r="5083" customFormat="false" ht="12" hidden="false" customHeight="true" outlineLevel="0" collapsed="false">
      <c r="B5083" s="1" t="s">
        <v>1878</v>
      </c>
      <c r="C5083" s="1" t="s">
        <v>496</v>
      </c>
      <c r="D5083" s="1" t="s">
        <v>1879</v>
      </c>
      <c r="E5083" s="1" t="s">
        <v>1880</v>
      </c>
    </row>
    <row r="5084" customFormat="false" ht="12" hidden="false" customHeight="true" outlineLevel="0" collapsed="false">
      <c r="B5084" s="1" t="s">
        <v>1881</v>
      </c>
      <c r="C5084" s="1" t="s">
        <v>590</v>
      </c>
      <c r="D5084" s="1" t="s">
        <v>539</v>
      </c>
      <c r="E5084" s="1" t="s">
        <v>1882</v>
      </c>
    </row>
    <row r="5085" customFormat="false" ht="12" hidden="false" customHeight="true" outlineLevel="0" collapsed="false">
      <c r="B5085" s="1" t="s">
        <v>1883</v>
      </c>
      <c r="C5085" s="1" t="s">
        <v>590</v>
      </c>
      <c r="D5085" s="1" t="s">
        <v>760</v>
      </c>
      <c r="E5085" s="1" t="s">
        <v>1884</v>
      </c>
    </row>
    <row r="5086" customFormat="false" ht="12" hidden="false" customHeight="true" outlineLevel="0" collapsed="false">
      <c r="B5086" s="1" t="s">
        <v>1885</v>
      </c>
      <c r="C5086" s="1" t="s">
        <v>590</v>
      </c>
      <c r="D5086" s="1" t="s">
        <v>1181</v>
      </c>
      <c r="E5086" s="1" t="s">
        <v>1886</v>
      </c>
    </row>
    <row r="5087" customFormat="false" ht="12" hidden="false" customHeight="true" outlineLevel="0" collapsed="false">
      <c r="B5087" s="1" t="s">
        <v>1887</v>
      </c>
      <c r="C5087" s="1" t="s">
        <v>590</v>
      </c>
      <c r="D5087" s="1" t="s">
        <v>1888</v>
      </c>
      <c r="E5087" s="1" t="s">
        <v>1889</v>
      </c>
    </row>
    <row r="5088" customFormat="false" ht="12" hidden="false" customHeight="true" outlineLevel="0" collapsed="false">
      <c r="B5088" s="1" t="s">
        <v>1890</v>
      </c>
      <c r="C5088" s="1" t="s">
        <v>590</v>
      </c>
      <c r="D5088" s="1" t="s">
        <v>547</v>
      </c>
      <c r="E5088" s="1" t="s">
        <v>1891</v>
      </c>
    </row>
    <row r="5089" customFormat="false" ht="12" hidden="false" customHeight="true" outlineLevel="0" collapsed="false">
      <c r="B5089" s="1" t="s">
        <v>1892</v>
      </c>
      <c r="C5089" s="1" t="s">
        <v>513</v>
      </c>
      <c r="D5089" s="1" t="s">
        <v>1893</v>
      </c>
      <c r="E5089" s="1" t="s">
        <v>1894</v>
      </c>
    </row>
    <row r="5090" customFormat="false" ht="12" hidden="false" customHeight="true" outlineLevel="0" collapsed="false">
      <c r="B5090" s="1" t="s">
        <v>1895</v>
      </c>
      <c r="C5090" s="1" t="s">
        <v>1896</v>
      </c>
      <c r="D5090" s="1" t="s">
        <v>1897</v>
      </c>
      <c r="E5090" s="1" t="s">
        <v>1898</v>
      </c>
    </row>
    <row r="5091" customFormat="false" ht="12" hidden="false" customHeight="true" outlineLevel="0" collapsed="false">
      <c r="B5091" s="1" t="s">
        <v>1899</v>
      </c>
      <c r="C5091" s="1" t="s">
        <v>1900</v>
      </c>
      <c r="D5091" s="1" t="s">
        <v>1901</v>
      </c>
      <c r="E5091" s="1" t="s">
        <v>1902</v>
      </c>
    </row>
    <row r="5092" customFormat="false" ht="12" hidden="false" customHeight="true" outlineLevel="0" collapsed="false">
      <c r="B5092" s="1" t="s">
        <v>1903</v>
      </c>
      <c r="C5092" s="1" t="s">
        <v>1904</v>
      </c>
      <c r="D5092" s="1" t="s">
        <v>1905</v>
      </c>
      <c r="E5092" s="1" t="s">
        <v>1906</v>
      </c>
    </row>
    <row r="5094" customFormat="false" ht="12" hidden="false" customHeight="true" outlineLevel="0" collapsed="false">
      <c r="B5094" s="241" t="s">
        <v>1907</v>
      </c>
    </row>
    <row r="5095" customFormat="false" ht="12" hidden="false" customHeight="true" outlineLevel="0" collapsed="false">
      <c r="B5095" s="1" t="s">
        <v>1908</v>
      </c>
    </row>
    <row r="5096" customFormat="false" ht="12" hidden="false" customHeight="true" outlineLevel="0" collapsed="false">
      <c r="B5096" s="1" t="s">
        <v>1909</v>
      </c>
    </row>
    <row r="5097" customFormat="false" ht="12" hidden="false" customHeight="true" outlineLevel="0" collapsed="false">
      <c r="B5097" s="1" t="s">
        <v>1910</v>
      </c>
    </row>
    <row r="5098" customFormat="false" ht="12" hidden="false" customHeight="true" outlineLevel="0" collapsed="false">
      <c r="B5098" s="1" t="s">
        <v>1911</v>
      </c>
    </row>
    <row r="5099" customFormat="false" ht="12" hidden="false" customHeight="true" outlineLevel="0" collapsed="false">
      <c r="B5099" s="1" t="s">
        <v>1912</v>
      </c>
    </row>
    <row r="5100" customFormat="false" ht="12" hidden="false" customHeight="true" outlineLevel="0" collapsed="false">
      <c r="B5100" s="1" t="s">
        <v>1913</v>
      </c>
    </row>
    <row r="5101" customFormat="false" ht="12" hidden="false" customHeight="true" outlineLevel="0" collapsed="false">
      <c r="B5101" s="1" t="s">
        <v>1914</v>
      </c>
    </row>
    <row r="5102" customFormat="false" ht="12" hidden="false" customHeight="true" outlineLevel="0" collapsed="false">
      <c r="B5102" s="1" t="s">
        <v>1915</v>
      </c>
    </row>
    <row r="5103" customFormat="false" ht="12" hidden="false" customHeight="true" outlineLevel="0" collapsed="false">
      <c r="B5103" s="1" t="s">
        <v>1916</v>
      </c>
    </row>
    <row r="5104" customFormat="false" ht="12" hidden="false" customHeight="true" outlineLevel="0" collapsed="false">
      <c r="B5104" s="1" t="s">
        <v>1917</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4:N6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6" topLeftCell="C9" activePane="bottomRight" state="frozen"/>
      <selection pane="topLeft" activeCell="A1" activeCellId="0" sqref="A1"/>
      <selection pane="topRight" activeCell="C1" activeCellId="0" sqref="C1"/>
      <selection pane="bottomLeft" activeCell="A9" activeCellId="0" sqref="A9"/>
      <selection pane="bottomRight" activeCell="G62" activeCellId="0" sqref="G62"/>
    </sheetView>
  </sheetViews>
  <sheetFormatPr defaultColWidth="9.86328125" defaultRowHeight="12" zeroHeight="false" outlineLevelRow="0" outlineLevelCol="0"/>
  <cols>
    <col collapsed="false" customWidth="true" hidden="false" outlineLevel="0" max="1" min="1" style="1" width="2.29"/>
    <col collapsed="false" customWidth="true" hidden="false" outlineLevel="0" max="2" min="2" style="1" width="41"/>
    <col collapsed="false" customWidth="true" hidden="false" outlineLevel="0" max="3" min="3" style="1" width="28.43"/>
    <col collapsed="false" customWidth="true" hidden="false" outlineLevel="0" max="4" min="4" style="1" width="10.29"/>
    <col collapsed="false" customWidth="true" hidden="false" outlineLevel="0" max="5" min="5" style="1" width="28.43"/>
    <col collapsed="false" customWidth="true" hidden="false" outlineLevel="0" max="6" min="6" style="1" width="10.29"/>
    <col collapsed="false" customWidth="true" hidden="false" outlineLevel="0" max="7" min="7" style="1" width="28.43"/>
    <col collapsed="false" customWidth="true" hidden="false" outlineLevel="0" max="8" min="8" style="1" width="10.29"/>
    <col collapsed="false" customWidth="true" hidden="false" outlineLevel="0" max="9" min="9" style="1" width="28.43"/>
    <col collapsed="false" customWidth="true" hidden="false" outlineLevel="0" max="10" min="10" style="1" width="10.29"/>
    <col collapsed="false" customWidth="true" hidden="false" outlineLevel="0" max="11" min="11" style="1" width="28.43"/>
    <col collapsed="false" customWidth="true" hidden="false" outlineLevel="0" max="12" min="12" style="1" width="10.29"/>
    <col collapsed="false" customWidth="true" hidden="true" outlineLevel="0" max="13" min="13" style="1" width="28.43"/>
    <col collapsed="false" customWidth="true" hidden="true" outlineLevel="0" max="14" min="14" style="1" width="10.29"/>
  </cols>
  <sheetData>
    <row r="4" customFormat="false" ht="16.5" hidden="false" customHeight="true" outlineLevel="0" collapsed="false">
      <c r="B4" s="243" t="s">
        <v>1918</v>
      </c>
      <c r="C4" s="243"/>
      <c r="D4" s="243"/>
      <c r="E4" s="243"/>
      <c r="F4" s="243"/>
      <c r="G4" s="243"/>
      <c r="H4" s="243"/>
      <c r="I4" s="243"/>
      <c r="J4" s="243"/>
      <c r="K4" s="243"/>
      <c r="L4" s="243"/>
      <c r="M4" s="243"/>
      <c r="N4" s="243"/>
    </row>
    <row r="5" customFormat="false" ht="15.75" hidden="false" customHeight="true" outlineLevel="0" collapsed="false">
      <c r="B5" s="244"/>
      <c r="C5" s="245" t="s">
        <v>1919</v>
      </c>
      <c r="D5" s="245"/>
      <c r="E5" s="245" t="s">
        <v>1920</v>
      </c>
      <c r="F5" s="245"/>
      <c r="G5" s="245" t="s">
        <v>1921</v>
      </c>
      <c r="H5" s="245"/>
      <c r="I5" s="245" t="s">
        <v>1922</v>
      </c>
      <c r="J5" s="245"/>
      <c r="K5" s="245" t="s">
        <v>1923</v>
      </c>
      <c r="L5" s="245"/>
      <c r="M5" s="245" t="s">
        <v>1924</v>
      </c>
      <c r="N5" s="245"/>
    </row>
    <row r="6" customFormat="false" ht="13.5" hidden="false" customHeight="true" outlineLevel="0" collapsed="false">
      <c r="B6" s="246" t="s">
        <v>1851</v>
      </c>
      <c r="C6" s="247" t="s">
        <v>479</v>
      </c>
      <c r="D6" s="247"/>
      <c r="E6" s="247" t="s">
        <v>479</v>
      </c>
      <c r="F6" s="247" t="s">
        <v>378</v>
      </c>
      <c r="G6" s="247" t="s">
        <v>479</v>
      </c>
      <c r="H6" s="247" t="s">
        <v>378</v>
      </c>
      <c r="I6" s="247" t="s">
        <v>479</v>
      </c>
      <c r="J6" s="247" t="s">
        <v>378</v>
      </c>
      <c r="K6" s="247" t="s">
        <v>479</v>
      </c>
      <c r="L6" s="247" t="s">
        <v>378</v>
      </c>
      <c r="M6" s="247" t="s">
        <v>479</v>
      </c>
      <c r="N6" s="247" t="s">
        <v>378</v>
      </c>
    </row>
    <row r="7" customFormat="false" ht="13.5" hidden="false" customHeight="true" outlineLevel="0" collapsed="false">
      <c r="B7" s="248" t="s">
        <v>129</v>
      </c>
      <c r="C7" s="12" t="str">
        <f aca="false">'Property Info'!$C$19</f>
        <v>22600 Interstate 76</v>
      </c>
      <c r="D7" s="12"/>
      <c r="E7" s="8"/>
      <c r="F7" s="8"/>
      <c r="G7" s="8" t="s">
        <v>1925</v>
      </c>
      <c r="H7" s="8"/>
      <c r="I7" s="8" t="s">
        <v>1926</v>
      </c>
      <c r="J7" s="8"/>
      <c r="K7" s="8" t="s">
        <v>1927</v>
      </c>
      <c r="L7" s="249"/>
      <c r="M7" s="8" t="s">
        <v>1928</v>
      </c>
      <c r="N7" s="249"/>
    </row>
    <row r="8" customFormat="false" ht="13.5" hidden="false" customHeight="true" outlineLevel="0" collapsed="false">
      <c r="B8" s="248" t="s">
        <v>130</v>
      </c>
      <c r="C8" s="12" t="str">
        <f aca="false">PROPER('Property Info'!$C$20)&amp;", CO"</f>
        <v>Brighton, CO</v>
      </c>
      <c r="D8" s="12"/>
      <c r="E8" s="8" t="s">
        <v>1929</v>
      </c>
      <c r="F8" s="8"/>
      <c r="G8" s="8" t="s">
        <v>1930</v>
      </c>
      <c r="H8" s="8"/>
      <c r="I8" s="8" t="s">
        <v>1931</v>
      </c>
      <c r="J8" s="8"/>
      <c r="K8" s="8" t="s">
        <v>1932</v>
      </c>
      <c r="L8" s="249"/>
      <c r="M8" s="8" t="s">
        <v>1933</v>
      </c>
      <c r="N8" s="249"/>
    </row>
    <row r="9" customFormat="false" ht="13.5" hidden="false" customHeight="true" outlineLevel="0" collapsed="false">
      <c r="B9" s="248" t="s">
        <v>1934</v>
      </c>
      <c r="C9" s="6" t="n">
        <f aca="false">PI_Parcel</f>
        <v>156901401001</v>
      </c>
      <c r="D9" s="6"/>
      <c r="E9" s="8"/>
      <c r="F9" s="8"/>
      <c r="G9" s="8"/>
      <c r="H9" s="8"/>
      <c r="I9" s="8"/>
      <c r="J9" s="8"/>
      <c r="K9" s="8"/>
      <c r="L9" s="249"/>
      <c r="M9" s="8" t="s">
        <v>1935</v>
      </c>
      <c r="N9" s="249"/>
    </row>
    <row r="10" customFormat="false" ht="13.5" hidden="false" customHeight="true" outlineLevel="0" collapsed="false">
      <c r="B10" s="248" t="s">
        <v>133</v>
      </c>
      <c r="C10" s="12" t="s">
        <v>1936</v>
      </c>
      <c r="D10" s="12"/>
      <c r="E10" s="8" t="s">
        <v>1937</v>
      </c>
      <c r="F10" s="8"/>
      <c r="G10" s="8" t="s">
        <v>1937</v>
      </c>
      <c r="H10" s="8"/>
      <c r="I10" s="8" t="s">
        <v>1937</v>
      </c>
      <c r="J10" s="8"/>
      <c r="K10" s="8" t="s">
        <v>1937</v>
      </c>
      <c r="L10" s="249"/>
      <c r="M10" s="8" t="s">
        <v>1938</v>
      </c>
      <c r="N10" s="249"/>
    </row>
    <row r="11" customFormat="false" ht="13.5" hidden="false" customHeight="true" outlineLevel="0" collapsed="false">
      <c r="B11" s="248" t="s">
        <v>303</v>
      </c>
      <c r="C11" s="12" t="s">
        <v>1939</v>
      </c>
      <c r="D11" s="12"/>
      <c r="E11" s="250" t="n">
        <v>45352</v>
      </c>
      <c r="F11" s="8"/>
      <c r="G11" s="250" t="n">
        <v>45175</v>
      </c>
      <c r="H11" s="8"/>
      <c r="I11" s="250" t="n">
        <v>44659</v>
      </c>
      <c r="J11" s="8"/>
      <c r="K11" s="250" t="n">
        <v>44518</v>
      </c>
      <c r="L11" s="249"/>
      <c r="M11" s="8" t="s">
        <v>1940</v>
      </c>
      <c r="N11" s="249"/>
    </row>
    <row r="12" customFormat="false" ht="13.5" hidden="false" customHeight="true" outlineLevel="0" collapsed="false">
      <c r="B12" s="248" t="s">
        <v>299</v>
      </c>
      <c r="C12" s="17" t="s">
        <v>1939</v>
      </c>
      <c r="D12" s="17"/>
      <c r="E12" s="16" t="n">
        <v>11460000</v>
      </c>
      <c r="F12" s="8"/>
      <c r="G12" s="16" t="n">
        <v>11280000</v>
      </c>
      <c r="H12" s="8"/>
      <c r="I12" s="16" t="n">
        <v>2400000</v>
      </c>
      <c r="J12" s="8"/>
      <c r="K12" s="16" t="n">
        <v>3850000</v>
      </c>
      <c r="L12" s="249"/>
      <c r="M12" s="251" t="s">
        <v>1941</v>
      </c>
      <c r="N12" s="249"/>
    </row>
    <row r="13" customFormat="false" ht="13.5" hidden="false" customHeight="true" outlineLevel="0" collapsed="false">
      <c r="B13" s="248" t="s">
        <v>1942</v>
      </c>
      <c r="C13" s="17" t="s">
        <v>1939</v>
      </c>
      <c r="D13" s="17"/>
      <c r="E13" s="16" t="s">
        <v>1943</v>
      </c>
      <c r="F13" s="8"/>
      <c r="G13" s="16" t="s">
        <v>1943</v>
      </c>
      <c r="H13" s="8"/>
      <c r="I13" s="16" t="s">
        <v>1943</v>
      </c>
      <c r="J13" s="8"/>
      <c r="K13" s="16"/>
      <c r="L13" s="249"/>
      <c r="M13" s="251" t="n">
        <v>500000</v>
      </c>
      <c r="N13" s="249"/>
    </row>
    <row r="14" customFormat="false" ht="13.5" hidden="false" customHeight="true" outlineLevel="0" collapsed="false">
      <c r="B14" s="248" t="s">
        <v>1944</v>
      </c>
      <c r="C14" s="12" t="s">
        <v>1939</v>
      </c>
      <c r="D14" s="12"/>
      <c r="E14" s="8" t="s">
        <v>1943</v>
      </c>
      <c r="F14" s="8"/>
      <c r="G14" s="8" t="s">
        <v>1943</v>
      </c>
      <c r="H14" s="8"/>
      <c r="I14" s="252"/>
      <c r="J14" s="8"/>
      <c r="K14" s="252"/>
      <c r="L14" s="249"/>
      <c r="M14" s="253" t="n">
        <v>725</v>
      </c>
      <c r="N14" s="249"/>
    </row>
    <row r="15" customFormat="false" ht="31.5" hidden="false" customHeight="true" outlineLevel="0" collapsed="false">
      <c r="B15" s="248" t="s">
        <v>1945</v>
      </c>
      <c r="C15" s="254" t="s">
        <v>1946</v>
      </c>
      <c r="D15" s="254"/>
      <c r="E15" s="255" t="s">
        <v>1947</v>
      </c>
      <c r="F15" s="8"/>
      <c r="G15" s="255" t="s">
        <v>1948</v>
      </c>
      <c r="H15" s="8"/>
      <c r="I15" s="255" t="s">
        <v>1949</v>
      </c>
      <c r="J15" s="8"/>
      <c r="K15" s="255" t="s">
        <v>1949</v>
      </c>
      <c r="L15" s="249"/>
      <c r="M15" s="255" t="s">
        <v>1950</v>
      </c>
      <c r="N15" s="249"/>
    </row>
    <row r="16" customFormat="false" ht="13.5" hidden="false" customHeight="true" outlineLevel="0" collapsed="false">
      <c r="B16" s="248" t="s">
        <v>110</v>
      </c>
      <c r="C16" s="12" t="str">
        <f aca="false">PI_Grantor</f>
        <v>76 Commerce Center 4 LLC</v>
      </c>
      <c r="D16" s="12"/>
      <c r="E16" s="8"/>
      <c r="F16" s="8"/>
      <c r="G16" s="8"/>
      <c r="H16" s="8"/>
      <c r="I16" s="8"/>
      <c r="J16" s="8"/>
      <c r="K16" s="8"/>
      <c r="L16" s="249"/>
      <c r="M16" s="256" t="n">
        <v>4950</v>
      </c>
      <c r="N16" s="249"/>
    </row>
    <row r="17" customFormat="false" ht="13.5" hidden="false" customHeight="true" outlineLevel="0" collapsed="false">
      <c r="B17" s="248" t="s">
        <v>113</v>
      </c>
      <c r="C17" s="12" t="str">
        <f aca="false">PI_Grantee</f>
        <v>I-76 CC Building Four LLC</v>
      </c>
      <c r="D17" s="12"/>
      <c r="E17" s="8"/>
      <c r="F17" s="8"/>
      <c r="G17" s="8"/>
      <c r="H17" s="8"/>
      <c r="I17" s="8"/>
      <c r="J17" s="8"/>
      <c r="K17" s="8"/>
      <c r="L17" s="249"/>
      <c r="M17" s="256" t="n">
        <v>4950</v>
      </c>
      <c r="N17" s="249"/>
    </row>
    <row r="18" customFormat="false" ht="13.5" hidden="false" customHeight="true" outlineLevel="0" collapsed="false">
      <c r="B18" s="248" t="s">
        <v>137</v>
      </c>
      <c r="C18" s="13" t="n">
        <f aca="false">'Property Info'!$C$26</f>
        <v>869458</v>
      </c>
      <c r="D18" s="13"/>
      <c r="E18" s="252" t="n">
        <v>1145628</v>
      </c>
      <c r="F18" s="8"/>
      <c r="G18" s="252" t="n">
        <v>1550736</v>
      </c>
      <c r="H18" s="8"/>
      <c r="I18" s="252" t="n">
        <v>435600</v>
      </c>
      <c r="J18" s="8"/>
      <c r="K18" s="252" t="n">
        <v>958320</v>
      </c>
      <c r="L18" s="249"/>
      <c r="M18" s="253" t="n">
        <v>47916</v>
      </c>
      <c r="N18" s="249"/>
    </row>
    <row r="19" customFormat="false" ht="13.5" hidden="false" customHeight="true" outlineLevel="0" collapsed="false">
      <c r="B19" s="248" t="s">
        <v>1951</v>
      </c>
      <c r="C19" s="13" t="str">
        <f aca="false">IFERROR(C18/43560,"")</f>
        <v>19.9600091827365</v>
      </c>
      <c r="D19" s="257"/>
      <c r="E19" s="252" t="n">
        <f aca="false">E18/43560</f>
        <v>26.3</v>
      </c>
      <c r="F19" s="8"/>
      <c r="G19" s="252" t="n">
        <f aca="false">G18/43560</f>
        <v>35.6</v>
      </c>
      <c r="H19" s="8"/>
      <c r="I19" s="252" t="n">
        <f aca="false">I18/43560</f>
        <v>10</v>
      </c>
      <c r="J19" s="8"/>
      <c r="K19" s="252" t="n">
        <f aca="false">K18/43560</f>
        <v>22</v>
      </c>
      <c r="L19" s="249"/>
      <c r="M19" s="253"/>
      <c r="N19" s="249"/>
    </row>
    <row r="20" customFormat="false" ht="13.5" hidden="false" customHeight="true" outlineLevel="0" collapsed="false">
      <c r="B20" s="248" t="s">
        <v>49</v>
      </c>
      <c r="C20" s="12" t="str">
        <f aca="false">'Property Info'!$C$25</f>
        <v>PUD</v>
      </c>
      <c r="D20" s="12"/>
      <c r="E20" s="8" t="s">
        <v>50</v>
      </c>
      <c r="F20" s="8"/>
      <c r="G20" s="8" t="s">
        <v>1952</v>
      </c>
      <c r="H20" s="8"/>
      <c r="I20" s="8" t="s">
        <v>1953</v>
      </c>
      <c r="J20" s="8"/>
      <c r="K20" s="8" t="s">
        <v>1954</v>
      </c>
      <c r="L20" s="249"/>
      <c r="M20" s="8" t="s">
        <v>1955</v>
      </c>
      <c r="N20" s="249"/>
    </row>
    <row r="21" customFormat="false" ht="48" hidden="false" customHeight="true" outlineLevel="0" collapsed="false">
      <c r="B21" s="248" t="s">
        <v>367</v>
      </c>
      <c r="C21" s="254" t="s">
        <v>1956</v>
      </c>
      <c r="D21" s="254"/>
      <c r="E21" s="255" t="s">
        <v>1957</v>
      </c>
      <c r="F21" s="8"/>
      <c r="G21" s="255" t="s">
        <v>1958</v>
      </c>
      <c r="H21" s="8"/>
      <c r="I21" s="255"/>
      <c r="J21" s="8"/>
      <c r="K21" s="255" t="s">
        <v>1958</v>
      </c>
      <c r="L21" s="249"/>
      <c r="M21" s="255" t="s">
        <v>1959</v>
      </c>
      <c r="N21" s="249"/>
    </row>
    <row r="22" customFormat="false" ht="12" hidden="false" customHeight="true" outlineLevel="0" collapsed="false">
      <c r="B22" s="258" t="s">
        <v>1960</v>
      </c>
      <c r="C22" s="259" t="s">
        <v>1939</v>
      </c>
      <c r="D22" s="259"/>
      <c r="E22" s="260" t="n">
        <f aca="false">E12/E19</f>
        <v>435741.44486692</v>
      </c>
      <c r="F22" s="260"/>
      <c r="G22" s="260" t="n">
        <f aca="false">G12/G19</f>
        <v>316853.93258427</v>
      </c>
      <c r="H22" s="260"/>
      <c r="I22" s="260" t="n">
        <f aca="false">I12/I19</f>
        <v>240000</v>
      </c>
      <c r="J22" s="260"/>
      <c r="K22" s="260" t="n">
        <f aca="false">K12/K19</f>
        <v>175000</v>
      </c>
      <c r="L22" s="260"/>
      <c r="M22" s="260" t="n">
        <f aca="false">IFERROR(IF(ISNUMBER(M12),M12/M18,IF(ISNUMBER(M13),M13/M18,"")),"")</f>
        <v>10.4349277902997</v>
      </c>
      <c r="N22" s="260"/>
    </row>
    <row r="23" customFormat="false" ht="15" hidden="false" customHeight="true" outlineLevel="0" collapsed="false">
      <c r="B23" s="261" t="s">
        <v>1961</v>
      </c>
      <c r="C23" s="261"/>
      <c r="D23" s="261"/>
      <c r="E23" s="261"/>
      <c r="F23" s="261"/>
      <c r="G23" s="261"/>
      <c r="H23" s="261"/>
      <c r="I23" s="261"/>
      <c r="J23" s="261"/>
      <c r="K23" s="261"/>
      <c r="L23" s="261"/>
      <c r="M23" s="261"/>
      <c r="N23" s="261"/>
    </row>
    <row r="24" customFormat="false" ht="13.5" hidden="false" customHeight="true" outlineLevel="0" collapsed="false">
      <c r="B24" s="262" t="s">
        <v>1962</v>
      </c>
      <c r="C24" s="12" t="s">
        <v>139</v>
      </c>
      <c r="D24" s="12"/>
      <c r="E24" s="8" t="s">
        <v>139</v>
      </c>
      <c r="F24" s="263" t="n">
        <v>0</v>
      </c>
      <c r="G24" s="8" t="s">
        <v>139</v>
      </c>
      <c r="H24" s="263" t="n">
        <v>0</v>
      </c>
      <c r="I24" s="8" t="s">
        <v>139</v>
      </c>
      <c r="J24" s="263" t="n">
        <v>0</v>
      </c>
      <c r="K24" s="8" t="s">
        <v>139</v>
      </c>
      <c r="L24" s="263" t="n">
        <v>0</v>
      </c>
      <c r="M24" s="8" t="s">
        <v>139</v>
      </c>
      <c r="N24" s="263" t="n">
        <v>0</v>
      </c>
    </row>
    <row r="25" customFormat="false" ht="13.5" hidden="false" customHeight="true" outlineLevel="0" collapsed="false">
      <c r="B25" s="262" t="s">
        <v>1963</v>
      </c>
      <c r="C25" s="12" t="s">
        <v>1939</v>
      </c>
      <c r="D25" s="12"/>
      <c r="E25" s="8" t="s">
        <v>1964</v>
      </c>
      <c r="F25" s="263" t="n">
        <v>0</v>
      </c>
      <c r="G25" s="8" t="s">
        <v>1964</v>
      </c>
      <c r="H25" s="263" t="n">
        <v>0</v>
      </c>
      <c r="I25" s="8" t="s">
        <v>1964</v>
      </c>
      <c r="J25" s="263" t="n">
        <v>0</v>
      </c>
      <c r="K25" s="8" t="s">
        <v>1964</v>
      </c>
      <c r="L25" s="263" t="n">
        <v>0</v>
      </c>
      <c r="M25" s="8" t="s">
        <v>1964</v>
      </c>
      <c r="N25" s="263" t="n">
        <v>0</v>
      </c>
    </row>
    <row r="26" customFormat="false" ht="13.5" hidden="false" customHeight="true" outlineLevel="0" collapsed="false">
      <c r="B26" s="262" t="s">
        <v>1965</v>
      </c>
      <c r="C26" s="12" t="s">
        <v>1939</v>
      </c>
      <c r="D26" s="12"/>
      <c r="E26" s="8" t="s">
        <v>1966</v>
      </c>
      <c r="F26" s="263" t="n">
        <v>0</v>
      </c>
      <c r="G26" s="8" t="s">
        <v>1966</v>
      </c>
      <c r="H26" s="263" t="n">
        <v>0</v>
      </c>
      <c r="I26" s="8" t="s">
        <v>1966</v>
      </c>
      <c r="J26" s="263" t="n">
        <v>0</v>
      </c>
      <c r="K26" s="8" t="s">
        <v>1966</v>
      </c>
      <c r="L26" s="263" t="n">
        <v>0</v>
      </c>
      <c r="M26" s="8" t="s">
        <v>1966</v>
      </c>
      <c r="N26" s="263" t="n">
        <v>0</v>
      </c>
    </row>
    <row r="27" customFormat="false" ht="13.5" hidden="false" customHeight="true" outlineLevel="0" collapsed="false">
      <c r="B27" s="262" t="s">
        <v>1967</v>
      </c>
      <c r="C27" s="12" t="s">
        <v>1939</v>
      </c>
      <c r="D27" s="12"/>
      <c r="E27" s="8" t="s">
        <v>1966</v>
      </c>
      <c r="F27" s="263" t="n">
        <v>0</v>
      </c>
      <c r="G27" s="8" t="s">
        <v>1966</v>
      </c>
      <c r="H27" s="263" t="n">
        <v>0</v>
      </c>
      <c r="I27" s="8" t="s">
        <v>1966</v>
      </c>
      <c r="J27" s="263" t="n">
        <v>0</v>
      </c>
      <c r="K27" s="8" t="s">
        <v>1966</v>
      </c>
      <c r="L27" s="263" t="n">
        <v>0</v>
      </c>
      <c r="M27" s="8" t="s">
        <v>1966</v>
      </c>
      <c r="N27" s="263" t="n">
        <v>0</v>
      </c>
    </row>
    <row r="28" customFormat="false" ht="13.5" hidden="false" customHeight="true" outlineLevel="0" collapsed="false">
      <c r="B28" s="262" t="s">
        <v>1968</v>
      </c>
      <c r="C28" s="12" t="s">
        <v>1939</v>
      </c>
      <c r="D28" s="12"/>
      <c r="E28" s="264" t="str">
        <f aca="false">IFERROR(TEXT(E11,"mmm-yy"),E11)</f>
        <v>Mar-24</v>
      </c>
      <c r="F28" s="263" t="n">
        <v>0</v>
      </c>
      <c r="G28" s="264" t="str">
        <f aca="false">IFERROR(TEXT(G11,"mmm-yy"),G11)</f>
        <v>Sep-23</v>
      </c>
      <c r="H28" s="263" t="n">
        <v>0</v>
      </c>
      <c r="I28" s="264" t="str">
        <f aca="false">IFERROR(TEXT(I11,"mmm-yy"),I11)</f>
        <v>Apr-22</v>
      </c>
      <c r="J28" s="263" t="n">
        <v>0</v>
      </c>
      <c r="K28" s="264" t="str">
        <f aca="false">IFERROR(TEXT(K11,"mmm-yy"),K11)</f>
        <v>Nov-21</v>
      </c>
      <c r="L28" s="263" t="n">
        <v>0</v>
      </c>
      <c r="M28" s="256" t="str">
        <f aca="false">IFERROR(TEXT(M11,"mmm-yy"),M11)</f>
        <v>Under Contract</v>
      </c>
      <c r="N28" s="263" t="n">
        <v>0</v>
      </c>
    </row>
    <row r="29" customFormat="false" ht="15" hidden="false" customHeight="true" outlineLevel="0" collapsed="false">
      <c r="B29" s="258" t="s">
        <v>1969</v>
      </c>
      <c r="C29" s="259" t="s">
        <v>1939</v>
      </c>
      <c r="D29" s="259"/>
      <c r="E29" s="265" t="n">
        <f aca="false">SUM(F24:F28)</f>
        <v>0</v>
      </c>
      <c r="F29" s="265"/>
      <c r="G29" s="265" t="n">
        <f aca="false">SUM(H24:H28)</f>
        <v>0</v>
      </c>
      <c r="H29" s="265"/>
      <c r="I29" s="265" t="n">
        <f aca="false">SUM(J24:J28)</f>
        <v>0</v>
      </c>
      <c r="J29" s="265"/>
      <c r="K29" s="265" t="n">
        <f aca="false">SUM(L24:L28)</f>
        <v>0</v>
      </c>
      <c r="L29" s="265"/>
      <c r="M29" s="265" t="n">
        <f aca="false">SUM(N24:N28)</f>
        <v>0</v>
      </c>
      <c r="N29" s="265"/>
    </row>
    <row r="30" customFormat="false" ht="15" hidden="false" customHeight="true" outlineLevel="0" collapsed="false">
      <c r="B30" s="258" t="inlineStr">
        <is>
          <t xml:space="preserve">Quantitatively Adjusted Price ($/AC)</t>
        </is>
      </c>
      <c r="C30" s="259" t="s">
        <v>1939</v>
      </c>
      <c r="D30" s="259"/>
      <c r="E30" s="260" t="n">
        <f aca="false">IFERROR(E22*(1+E29),"")</f>
        <v>435741.44486692</v>
      </c>
      <c r="F30" s="260"/>
      <c r="G30" s="260" t="n">
        <f aca="false">IFERROR(G22*(1+G29),"")</f>
        <v>316853.93258427</v>
      </c>
      <c r="H30" s="260"/>
      <c r="I30" s="260" t="n">
        <f aca="false">IFERROR(I22*(1+I29),"")</f>
        <v>240000</v>
      </c>
      <c r="J30" s="260"/>
      <c r="K30" s="260" t="n">
        <f aca="false">IFERROR(K22*(1+K29),"")</f>
        <v>175000</v>
      </c>
      <c r="L30" s="260"/>
      <c r="M30" s="260" t="n">
        <f aca="false">IFERROR(M22*(1+M29),"")</f>
        <v>10.4349277902997</v>
      </c>
      <c r="N30" s="260"/>
    </row>
    <row r="31" customFormat="false" ht="15" hidden="false" customHeight="true" outlineLevel="0" collapsed="false">
      <c r="B31" s="261" t="s">
        <v>1971</v>
      </c>
      <c r="C31" s="261"/>
      <c r="D31" s="261"/>
      <c r="E31" s="261"/>
      <c r="F31" s="261"/>
      <c r="G31" s="261"/>
      <c r="H31" s="261"/>
      <c r="I31" s="261"/>
      <c r="J31" s="261"/>
      <c r="K31" s="261"/>
      <c r="L31" s="261"/>
      <c r="M31" s="261"/>
      <c r="N31" s="261"/>
    </row>
    <row r="32" customFormat="false" ht="13.5" hidden="false" customHeight="true" outlineLevel="0" collapsed="false">
      <c r="B32" s="262" t="s">
        <v>218</v>
      </c>
      <c r="C32" s="8" t="s">
        <v>279</v>
      </c>
      <c r="D32" s="8"/>
      <c r="E32" s="8" t="s">
        <v>279</v>
      </c>
      <c r="F32" s="263" t="n">
        <v>0</v>
      </c>
      <c r="G32" s="8" t="s">
        <v>279</v>
      </c>
      <c r="H32" s="263" t="n">
        <v>0</v>
      </c>
      <c r="I32" s="8" t="s">
        <v>279</v>
      </c>
      <c r="J32" s="263" t="n">
        <v>0</v>
      </c>
      <c r="K32" s="8" t="s">
        <v>555</v>
      </c>
      <c r="L32" s="263" t="n">
        <v>0</v>
      </c>
      <c r="M32" s="8" t="s">
        <v>1972</v>
      </c>
      <c r="N32" s="263" t="n">
        <v>0.05</v>
      </c>
    </row>
    <row r="33" customFormat="false" ht="13.5" hidden="true" customHeight="true" outlineLevel="0" collapsed="false">
      <c r="B33" s="248" t="s">
        <v>1973</v>
      </c>
      <c r="C33" s="12" t="s">
        <v>1939</v>
      </c>
      <c r="D33" s="12"/>
      <c r="E33" s="8" t="s">
        <v>1974</v>
      </c>
      <c r="F33" s="249"/>
      <c r="G33" s="8" t="s">
        <v>1974</v>
      </c>
      <c r="H33" s="249"/>
      <c r="I33" s="8" t="s">
        <v>1974</v>
      </c>
      <c r="J33" s="249"/>
      <c r="K33" s="8" t="s">
        <v>1975</v>
      </c>
      <c r="L33" s="249"/>
      <c r="M33" s="8" t="s">
        <v>1976</v>
      </c>
      <c r="N33" s="249"/>
    </row>
    <row r="34" customFormat="false" ht="48" hidden="true" customHeight="true" outlineLevel="0" collapsed="false">
      <c r="B34" s="248" t="s">
        <v>1977</v>
      </c>
      <c r="C34" s="254" t="s">
        <v>1978</v>
      </c>
      <c r="D34" s="254"/>
      <c r="E34" s="255" t="s">
        <v>1979</v>
      </c>
      <c r="F34" s="249"/>
      <c r="G34" s="255" t="s">
        <v>1979</v>
      </c>
      <c r="H34" s="249"/>
      <c r="I34" s="255" t="s">
        <v>1979</v>
      </c>
      <c r="J34" s="249"/>
      <c r="K34" s="255" t="s">
        <v>1980</v>
      </c>
      <c r="L34" s="249"/>
      <c r="M34" s="255" t="s">
        <v>1979</v>
      </c>
      <c r="N34" s="249"/>
    </row>
    <row r="35" customFormat="false" ht="48" hidden="true" customHeight="true" outlineLevel="0" collapsed="false">
      <c r="B35" s="248" t="s">
        <v>1981</v>
      </c>
      <c r="C35" s="254" t="s">
        <v>1982</v>
      </c>
      <c r="D35" s="254"/>
      <c r="E35" s="255" t="s">
        <v>1982</v>
      </c>
      <c r="F35" s="249"/>
      <c r="G35" s="255" t="s">
        <v>1982</v>
      </c>
      <c r="H35" s="249"/>
      <c r="I35" s="255" t="s">
        <v>1982</v>
      </c>
      <c r="J35" s="249"/>
      <c r="K35" s="255" t="s">
        <v>1983</v>
      </c>
      <c r="L35" s="249"/>
      <c r="M35" s="255" t="s">
        <v>1983</v>
      </c>
      <c r="N35" s="249"/>
    </row>
    <row r="36" customFormat="false" ht="13.5" hidden="true" customHeight="true" outlineLevel="0" collapsed="false">
      <c r="B36" s="248" t="s">
        <v>1984</v>
      </c>
      <c r="C36" s="12" t="s">
        <v>483</v>
      </c>
      <c r="D36" s="12"/>
      <c r="E36" s="8" t="s">
        <v>483</v>
      </c>
      <c r="F36" s="249"/>
      <c r="G36" s="8" t="s">
        <v>483</v>
      </c>
      <c r="H36" s="249"/>
      <c r="I36" s="8" t="s">
        <v>483</v>
      </c>
      <c r="J36" s="249"/>
      <c r="K36" s="8" t="s">
        <v>483</v>
      </c>
      <c r="L36" s="249"/>
      <c r="M36" s="8" t="s">
        <v>483</v>
      </c>
      <c r="N36" s="249"/>
    </row>
    <row r="37" customFormat="false" ht="48" hidden="true" customHeight="true" outlineLevel="0" collapsed="false">
      <c r="B37" s="248" t="s">
        <v>1985</v>
      </c>
      <c r="C37" s="254" t="s">
        <v>1986</v>
      </c>
      <c r="D37" s="254"/>
      <c r="E37" s="255" t="s">
        <v>1987</v>
      </c>
      <c r="F37" s="249"/>
      <c r="G37" s="255" t="s">
        <v>1987</v>
      </c>
      <c r="H37" s="249"/>
      <c r="I37" s="255" t="s">
        <v>1987</v>
      </c>
      <c r="J37" s="249"/>
      <c r="K37" s="255" t="s">
        <v>1988</v>
      </c>
      <c r="L37" s="249"/>
      <c r="M37" s="255" t="s">
        <v>1989</v>
      </c>
      <c r="N37" s="249"/>
    </row>
    <row r="38" customFormat="false" ht="48" hidden="true" customHeight="true" outlineLevel="0" collapsed="false">
      <c r="B38" s="248" t="s">
        <v>479</v>
      </c>
      <c r="C38" s="254" t="s">
        <v>1990</v>
      </c>
      <c r="D38" s="254"/>
      <c r="E38" s="255" t="s">
        <v>1991</v>
      </c>
      <c r="F38" s="249"/>
      <c r="G38" s="255" t="s">
        <v>1991</v>
      </c>
      <c r="H38" s="249"/>
      <c r="I38" s="255" t="s">
        <v>1991</v>
      </c>
      <c r="J38" s="249"/>
      <c r="K38" s="255" t="s">
        <v>1992</v>
      </c>
      <c r="L38" s="249"/>
      <c r="M38" s="255" t="s">
        <v>1993</v>
      </c>
      <c r="N38" s="249"/>
    </row>
    <row r="39" customFormat="false" ht="13.5" hidden="false" customHeight="true" outlineLevel="0" collapsed="false">
      <c r="B39" s="262" t="s">
        <v>137</v>
      </c>
      <c r="C39" s="266" t="n">
        <f aca="false">IFERROR(C18,"")</f>
        <v>869458</v>
      </c>
      <c r="D39" s="266"/>
      <c r="E39" s="253" t="n">
        <f aca="false">E18</f>
        <v>1145628</v>
      </c>
      <c r="F39" s="263" t="n">
        <v>0</v>
      </c>
      <c r="G39" s="253" t="n">
        <f aca="false">G18</f>
        <v>1550736</v>
      </c>
      <c r="H39" s="263" t="n">
        <v>0</v>
      </c>
      <c r="I39" s="253" t="n">
        <f aca="false">I18</f>
        <v>435600</v>
      </c>
      <c r="J39" s="263" t="n">
        <v>0</v>
      </c>
      <c r="K39" s="253" t="n">
        <f aca="false">K18</f>
        <v>958320</v>
      </c>
      <c r="L39" s="263" t="n">
        <v>0</v>
      </c>
      <c r="M39" s="253" t="n">
        <f aca="false">M18</f>
        <v>47916</v>
      </c>
      <c r="N39" s="263" t="n">
        <v>-0.05</v>
      </c>
    </row>
    <row r="40" customFormat="false" ht="13.5" hidden="false" customHeight="true" outlineLevel="0" collapsed="false">
      <c r="B40" s="262" t="s">
        <v>49</v>
      </c>
      <c r="C40" s="267" t="str">
        <f aca="false">IFERROR(C20,"")</f>
        <v>PUD</v>
      </c>
      <c r="D40" s="267"/>
      <c r="E40" s="256" t="str">
        <f aca="false">E20</f>
        <v>PUD</v>
      </c>
      <c r="F40" s="263" t="n">
        <v>0</v>
      </c>
      <c r="G40" s="256" t="str">
        <f aca="false">G20</f>
        <v>Business Park</v>
      </c>
      <c r="H40" s="263" t="n">
        <v>0</v>
      </c>
      <c r="I40" s="256" t="str">
        <f aca="false">I20</f>
        <v>A-3</v>
      </c>
      <c r="J40" s="263" t="n">
        <v>0</v>
      </c>
      <c r="K40" s="256" t="str">
        <f aca="false">K20</f>
        <v>I-3</v>
      </c>
      <c r="L40" s="263" t="n">
        <v>0</v>
      </c>
      <c r="M40" s="8" t="str">
        <f aca="false">M20</f>
        <v>B-2</v>
      </c>
      <c r="N40" s="263" t="n">
        <v>0</v>
      </c>
    </row>
    <row r="41" customFormat="false" ht="13.5" hidden="false" customHeight="true" outlineLevel="0" collapsed="false">
      <c r="B41" s="262" t="s">
        <v>1994</v>
      </c>
      <c r="C41" s="12" t="s">
        <v>279</v>
      </c>
      <c r="D41" s="12"/>
      <c r="E41" s="8" t="s">
        <v>279</v>
      </c>
      <c r="F41" s="263" t="n">
        <v>0</v>
      </c>
      <c r="G41" s="8" t="s">
        <v>279</v>
      </c>
      <c r="H41" s="263" t="n">
        <v>0</v>
      </c>
      <c r="I41" s="8" t="s">
        <v>279</v>
      </c>
      <c r="J41" s="263" t="n">
        <v>0</v>
      </c>
      <c r="K41" s="8" t="s">
        <v>279</v>
      </c>
      <c r="L41" s="263" t="n">
        <v>0</v>
      </c>
      <c r="M41" s="8" t="s">
        <v>279</v>
      </c>
      <c r="N41" s="263" t="n">
        <v>0</v>
      </c>
    </row>
    <row r="42" customFormat="false" ht="48" hidden="true" customHeight="true" outlineLevel="0" collapsed="false">
      <c r="B42" s="248" t="s">
        <v>1995</v>
      </c>
      <c r="C42" s="254" t="s">
        <v>1996</v>
      </c>
      <c r="D42" s="254"/>
      <c r="E42" s="255" t="s">
        <v>1996</v>
      </c>
      <c r="F42" s="249"/>
      <c r="G42" s="255" t="s">
        <v>1996</v>
      </c>
      <c r="H42" s="249"/>
      <c r="I42" s="255" t="s">
        <v>1996</v>
      </c>
      <c r="J42" s="249"/>
      <c r="K42" s="255" t="s">
        <v>1996</v>
      </c>
      <c r="L42" s="249"/>
      <c r="M42" s="255" t="s">
        <v>1996</v>
      </c>
      <c r="N42" s="249"/>
    </row>
    <row r="43" customFormat="false" ht="48" hidden="true" customHeight="true" outlineLevel="0" collapsed="false">
      <c r="B43" s="248" t="s">
        <v>1997</v>
      </c>
      <c r="C43" s="254" t="s">
        <v>1998</v>
      </c>
      <c r="D43" s="254"/>
      <c r="E43" s="255" t="s">
        <v>1998</v>
      </c>
      <c r="F43" s="249"/>
      <c r="G43" s="255" t="s">
        <v>1998</v>
      </c>
      <c r="H43" s="249"/>
      <c r="I43" s="255" t="s">
        <v>1998</v>
      </c>
      <c r="J43" s="249"/>
      <c r="K43" s="255" t="s">
        <v>1998</v>
      </c>
      <c r="L43" s="249"/>
      <c r="M43" s="255" t="s">
        <v>1998</v>
      </c>
      <c r="N43" s="249"/>
    </row>
    <row r="44" customFormat="false" ht="48" hidden="true" customHeight="true" outlineLevel="0" collapsed="false">
      <c r="B44" s="248" t="s">
        <v>1999</v>
      </c>
      <c r="C44" s="254" t="s">
        <v>2000</v>
      </c>
      <c r="D44" s="254"/>
      <c r="E44" s="255" t="s">
        <v>2001</v>
      </c>
      <c r="F44" s="249"/>
      <c r="G44" s="255" t="s">
        <v>2001</v>
      </c>
      <c r="H44" s="249"/>
      <c r="I44" s="255" t="s">
        <v>2001</v>
      </c>
      <c r="J44" s="249"/>
      <c r="K44" s="255" t="s">
        <v>2001</v>
      </c>
      <c r="L44" s="249"/>
      <c r="M44" s="255" t="s">
        <v>2001</v>
      </c>
      <c r="N44" s="249"/>
    </row>
    <row r="45" customFormat="false" ht="13.5" hidden="false" customHeight="true" outlineLevel="0" collapsed="false">
      <c r="B45" s="262" t="s">
        <v>2002</v>
      </c>
      <c r="C45" s="12" t="s">
        <v>279</v>
      </c>
      <c r="D45" s="12"/>
      <c r="E45" s="8" t="s">
        <v>279</v>
      </c>
      <c r="F45" s="263" t="n">
        <v>0</v>
      </c>
      <c r="G45" s="8" t="s">
        <v>279</v>
      </c>
      <c r="H45" s="263" t="n">
        <v>0</v>
      </c>
      <c r="I45" s="8" t="s">
        <v>279</v>
      </c>
      <c r="J45" s="263" t="n">
        <v>0</v>
      </c>
      <c r="K45" s="8" t="s">
        <v>279</v>
      </c>
      <c r="L45" s="263" t="n">
        <v>0</v>
      </c>
      <c r="M45" s="8" t="s">
        <v>279</v>
      </c>
      <c r="N45" s="263" t="n">
        <v>0</v>
      </c>
    </row>
    <row r="46" customFormat="false" ht="13.5" hidden="true" customHeight="true" outlineLevel="0" collapsed="false">
      <c r="B46" s="248" t="s">
        <v>2003</v>
      </c>
      <c r="C46" s="12" t="s">
        <v>2004</v>
      </c>
      <c r="D46" s="12"/>
      <c r="E46" s="8" t="s">
        <v>2004</v>
      </c>
      <c r="F46" s="249"/>
      <c r="G46" s="8" t="s">
        <v>2004</v>
      </c>
      <c r="H46" s="249"/>
      <c r="I46" s="8" t="s">
        <v>2004</v>
      </c>
      <c r="J46" s="249"/>
      <c r="K46" s="8" t="s">
        <v>2004</v>
      </c>
      <c r="L46" s="249"/>
      <c r="M46" s="8" t="s">
        <v>2005</v>
      </c>
      <c r="N46" s="249"/>
    </row>
    <row r="47" customFormat="false" ht="13.5" hidden="true" customHeight="true" outlineLevel="0" collapsed="false">
      <c r="B47" s="248" t="s">
        <v>2006</v>
      </c>
      <c r="C47" s="12" t="s">
        <v>2007</v>
      </c>
      <c r="D47" s="12"/>
      <c r="E47" s="8" t="s">
        <v>2007</v>
      </c>
      <c r="F47" s="249"/>
      <c r="G47" s="8" t="s">
        <v>2007</v>
      </c>
      <c r="H47" s="249"/>
      <c r="I47" s="8" t="s">
        <v>2007</v>
      </c>
      <c r="J47" s="249"/>
      <c r="K47" s="8" t="s">
        <v>2007</v>
      </c>
      <c r="L47" s="249"/>
      <c r="M47" s="8" t="s">
        <v>2008</v>
      </c>
      <c r="N47" s="249"/>
    </row>
    <row r="48" customFormat="false" ht="48" hidden="true" customHeight="true" outlineLevel="0" collapsed="false">
      <c r="B48" s="248" t="s">
        <v>2009</v>
      </c>
      <c r="C48" s="254" t="s">
        <v>2010</v>
      </c>
      <c r="D48" s="254"/>
      <c r="E48" s="255" t="s">
        <v>2010</v>
      </c>
      <c r="F48" s="249"/>
      <c r="G48" s="255" t="s">
        <v>2010</v>
      </c>
      <c r="H48" s="249"/>
      <c r="I48" s="255" t="s">
        <v>2010</v>
      </c>
      <c r="J48" s="249"/>
      <c r="K48" s="255" t="s">
        <v>2010</v>
      </c>
      <c r="L48" s="249"/>
      <c r="M48" s="255" t="s">
        <v>2010</v>
      </c>
      <c r="N48" s="249"/>
    </row>
    <row r="49" customFormat="false" ht="48" hidden="true" customHeight="true" outlineLevel="0" collapsed="false">
      <c r="B49" s="248" t="s">
        <v>386</v>
      </c>
      <c r="C49" s="254" t="s">
        <v>1966</v>
      </c>
      <c r="D49" s="254"/>
      <c r="E49" s="255" t="s">
        <v>1966</v>
      </c>
      <c r="F49" s="249"/>
      <c r="G49" s="255" t="s">
        <v>1966</v>
      </c>
      <c r="H49" s="249"/>
      <c r="I49" s="255" t="s">
        <v>1966</v>
      </c>
      <c r="J49" s="249"/>
      <c r="K49" s="255" t="s">
        <v>1966</v>
      </c>
      <c r="L49" s="249"/>
      <c r="M49" s="255" t="s">
        <v>1966</v>
      </c>
      <c r="N49" s="249"/>
    </row>
    <row r="50" customFormat="false" ht="15" hidden="false" customHeight="true" outlineLevel="0" collapsed="false">
      <c r="B50" s="258" t="s">
        <v>2011</v>
      </c>
      <c r="C50" s="259" t="s">
        <v>1939</v>
      </c>
      <c r="D50" s="259"/>
      <c r="E50" s="265" t="n">
        <f aca="false">SUM(F32,F39,F40,F41,F45)</f>
        <v>0</v>
      </c>
      <c r="F50" s="265"/>
      <c r="G50" s="265" t="n">
        <f aca="false">SUM(H32,H39,H40,H41,H45)</f>
        <v>0</v>
      </c>
      <c r="H50" s="265"/>
      <c r="I50" s="265" t="n">
        <f aca="false">SUM(J32,J39,J40,J41,J45)</f>
        <v>0</v>
      </c>
      <c r="J50" s="265"/>
      <c r="K50" s="265" t="n">
        <f aca="false">SUM(L32,L39,L40,L41,L45)</f>
        <v>0</v>
      </c>
      <c r="L50" s="265"/>
      <c r="M50" s="265" t="n">
        <f aca="false">SUM(N32,N39,N40,N41,N45)</f>
        <v>0</v>
      </c>
      <c r="N50" s="265"/>
    </row>
    <row r="51" customFormat="false" ht="15" hidden="false" customHeight="true" outlineLevel="0" collapsed="false">
      <c r="B51" s="258" t="inlineStr">
        <is>
          <t xml:space="preserve">Indication for Subject ($/AC)</t>
        </is>
      </c>
      <c r="C51" s="259" t="s">
        <v>1939</v>
      </c>
      <c r="D51" s="259"/>
      <c r="E51" s="260" t="n">
        <f aca="false">IFERROR(E30*(1+E50),"")</f>
        <v>435741.44486692</v>
      </c>
      <c r="F51" s="260"/>
      <c r="G51" s="260" t="n">
        <f aca="false">IFERROR(G30*(1+G50),"")</f>
        <v>316853.93258427</v>
      </c>
      <c r="H51" s="260"/>
      <c r="I51" s="260" t="n">
        <f aca="false">IFERROR(I30*(1+I50),"")</f>
        <v>240000</v>
      </c>
      <c r="J51" s="260"/>
      <c r="K51" s="260" t="n">
        <f aca="false">IFERROR(K30*(1+K50),"")</f>
        <v>175000</v>
      </c>
      <c r="L51" s="260"/>
      <c r="M51" s="260" t="n">
        <f aca="false">IFERROR(M30*(1+M50),"")</f>
        <v>10.4349277902997</v>
      </c>
      <c r="N51" s="260"/>
    </row>
    <row r="53" customFormat="false" ht="16.5" hidden="false" customHeight="true" outlineLevel="0" collapsed="false">
      <c r="B53" s="243" t="inlineStr">
        <is>
          <t xml:space="preserve">ADJUSTED RANGE - INDICATED $/AC</t>
        </is>
      </c>
      <c r="C53" s="243"/>
      <c r="D53" s="243"/>
      <c r="E53" s="243"/>
      <c r="F53" s="243"/>
    </row>
    <row r="54" customFormat="false" ht="12" hidden="false" customHeight="true" outlineLevel="0" collapsed="false">
      <c r="B54" s="5" t="s">
        <v>1511</v>
      </c>
      <c r="C54" s="268" t="n">
        <f aca="false">IFERROR(MIN(E51,G51,I51,K51,M51),"")</f>
        <v>10.4349277902997</v>
      </c>
      <c r="D54" s="268"/>
      <c r="E54" s="268"/>
      <c r="F54" s="268"/>
    </row>
    <row r="55" customFormat="false" ht="12" hidden="false" customHeight="true" outlineLevel="0" collapsed="false">
      <c r="B55" s="5" t="s">
        <v>2014</v>
      </c>
      <c r="C55" s="268" t="n">
        <f aca="false">IFERROR(MAX(E51,G51,I51,K51,M51),"")</f>
        <v>435741.44486692</v>
      </c>
      <c r="D55" s="268"/>
      <c r="E55" s="268"/>
      <c r="F55" s="268"/>
    </row>
    <row r="56" customFormat="false" ht="12" hidden="false" customHeight="true" outlineLevel="0" collapsed="false">
      <c r="B56" s="5" t="s">
        <v>279</v>
      </c>
      <c r="C56" s="268" t="n">
        <f aca="false">IFERROR(AVERAGE(E51,G51,I51,K51,M51),"")</f>
        <v>233521.162475796</v>
      </c>
      <c r="D56" s="268"/>
      <c r="E56" s="268"/>
      <c r="F56" s="268"/>
    </row>
    <row r="57" customFormat="false" ht="12" hidden="false" customHeight="true" outlineLevel="0" collapsed="false">
      <c r="B57" s="5" t="s">
        <v>310</v>
      </c>
      <c r="C57" s="268" t="n">
        <f aca="false">IFERROR(MEDIAN(E51,G51,I51,K51,M51),"")</f>
        <v>240000</v>
      </c>
      <c r="D57" s="268"/>
      <c r="E57" s="268"/>
      <c r="F57" s="268"/>
    </row>
    <row r="59" customFormat="false" ht="16.5" hidden="false" customHeight="true" outlineLevel="0" collapsed="false">
      <c r="B59" s="243" t="s">
        <v>2015</v>
      </c>
      <c r="C59" s="243"/>
      <c r="D59" s="243"/>
      <c r="E59" s="243"/>
      <c r="F59" s="243"/>
    </row>
    <row r="60" customFormat="false" ht="15" hidden="false" customHeight="true" outlineLevel="0" collapsed="false">
      <c r="B60" s="269" t="inlineStr">
        <is>
          <t xml:space="preserve">Indicated Value per AC</t>
        </is>
      </c>
      <c r="C60" s="270" t="n">
        <v>250000</v>
      </c>
      <c r="D60" s="270"/>
      <c r="E60" s="270"/>
      <c r="F60" s="270"/>
    </row>
    <row r="61" customFormat="false" ht="15" hidden="false" customHeight="true" outlineLevel="0" collapsed="false">
      <c r="B61" s="269" t="inlineStr">
        <is>
          <t xml:space="preserve">Land Area (AC)</t>
        </is>
      </c>
      <c r="C61" s="266" t="n">
        <f aca="false">C19</f>
        <v>19.96</v>
      </c>
      <c r="D61" s="266"/>
      <c r="E61" s="266"/>
      <c r="F61" s="266"/>
    </row>
    <row r="62" customFormat="false" ht="15" hidden="false" customHeight="true" outlineLevel="0" collapsed="false">
      <c r="B62" s="269" t="s">
        <v>2018</v>
      </c>
      <c r="C62" s="271" t="n">
        <f aca="false">C60*C61</f>
        <v>4990000</v>
      </c>
      <c r="D62" s="271"/>
      <c r="E62" s="271"/>
      <c r="F62" s="271"/>
    </row>
    <row r="63" customFormat="false" ht="15" hidden="false" customHeight="true" outlineLevel="0" collapsed="false">
      <c r="B63" s="269" t="s">
        <v>2019</v>
      </c>
      <c r="C63" s="251" t="n">
        <v>25000</v>
      </c>
      <c r="D63" s="251"/>
      <c r="E63" s="251"/>
      <c r="F63" s="251"/>
    </row>
    <row r="64" customFormat="false" ht="15" hidden="false" customHeight="true" outlineLevel="0" collapsed="false">
      <c r="B64" s="272" t="s">
        <v>2020</v>
      </c>
      <c r="C64" s="273" t="n">
        <f aca="false">ROUND(C62/C63,0)*C63</f>
        <v>5000000</v>
      </c>
      <c r="D64" s="273"/>
      <c r="E64" s="273"/>
      <c r="F64" s="273"/>
    </row>
    <row r="65" customFormat="false" ht="15" hidden="false" customHeight="true" outlineLevel="0" collapsed="false">
      <c r="B65" s="272" t="inlineStr">
        <is>
          <t xml:space="preserve">   per AC of land area</t>
        </is>
      </c>
      <c r="C65" s="260" t="n">
        <f aca="false">IFERROR(C64/C61,"")</f>
        <v>250501.002004008</v>
      </c>
      <c r="D65" s="260"/>
      <c r="E65" s="260"/>
      <c r="F65" s="260"/>
    </row>
    <row r="67" customFormat="false" ht="33.75" hidden="false" customHeight="true" outlineLevel="0" collapsed="false">
      <c r="B67" s="3" t="s">
        <v>2022</v>
      </c>
      <c r="C67" s="3"/>
      <c r="D67" s="3"/>
      <c r="E67" s="3"/>
      <c r="F67" s="3"/>
      <c r="G67" s="3"/>
      <c r="H67" s="3"/>
      <c r="I67" s="3"/>
      <c r="J67" s="3"/>
      <c r="K67" s="3"/>
      <c r="L67" s="3"/>
      <c r="M67" s="3"/>
      <c r="N67" s="3"/>
    </row>
  </sheetData>
  <mergeCells count="89">
    <mergeCell ref="B4:N4"/>
    <mergeCell ref="C5:D5"/>
    <mergeCell ref="E5:F5"/>
    <mergeCell ref="G5:H5"/>
    <mergeCell ref="I5:J5"/>
    <mergeCell ref="K5:L5"/>
    <mergeCell ref="M5:N5"/>
    <mergeCell ref="C7:D7"/>
    <mergeCell ref="C8:D8"/>
    <mergeCell ref="C9:D9"/>
    <mergeCell ref="C10:D10"/>
    <mergeCell ref="C11:D11"/>
    <mergeCell ref="C12:D12"/>
    <mergeCell ref="C13:D13"/>
    <mergeCell ref="C14:D14"/>
    <mergeCell ref="C15:D15"/>
    <mergeCell ref="C16:D16"/>
    <mergeCell ref="C17:D17"/>
    <mergeCell ref="C18:D18"/>
    <mergeCell ref="C20:D20"/>
    <mergeCell ref="C21:D21"/>
    <mergeCell ref="C22:D22"/>
    <mergeCell ref="E22:F22"/>
    <mergeCell ref="G22:H22"/>
    <mergeCell ref="I22:J22"/>
    <mergeCell ref="K22:L22"/>
    <mergeCell ref="M22:N22"/>
    <mergeCell ref="B23:N23"/>
    <mergeCell ref="C24:D24"/>
    <mergeCell ref="C25:D25"/>
    <mergeCell ref="C26:D26"/>
    <mergeCell ref="C27:D27"/>
    <mergeCell ref="C28:D28"/>
    <mergeCell ref="C29:D29"/>
    <mergeCell ref="E29:F29"/>
    <mergeCell ref="G29:H29"/>
    <mergeCell ref="I29:J29"/>
    <mergeCell ref="K29:L29"/>
    <mergeCell ref="M29:N29"/>
    <mergeCell ref="C30:D30"/>
    <mergeCell ref="E30:F30"/>
    <mergeCell ref="G30:H30"/>
    <mergeCell ref="I30:J30"/>
    <mergeCell ref="K30:L30"/>
    <mergeCell ref="M30:N30"/>
    <mergeCell ref="B31:N31"/>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E50:F50"/>
    <mergeCell ref="G50:H50"/>
    <mergeCell ref="I50:J50"/>
    <mergeCell ref="K50:L50"/>
    <mergeCell ref="M50:N50"/>
    <mergeCell ref="C51:D51"/>
    <mergeCell ref="E51:F51"/>
    <mergeCell ref="G51:H51"/>
    <mergeCell ref="I51:J51"/>
    <mergeCell ref="K51:L51"/>
    <mergeCell ref="M51:N51"/>
    <mergeCell ref="B53:F53"/>
    <mergeCell ref="C54:F54"/>
    <mergeCell ref="C55:F55"/>
    <mergeCell ref="C56:F56"/>
    <mergeCell ref="C57:F57"/>
    <mergeCell ref="B59:F59"/>
    <mergeCell ref="C60:F60"/>
    <mergeCell ref="C61:F61"/>
    <mergeCell ref="C62:F62"/>
    <mergeCell ref="C63:F63"/>
    <mergeCell ref="C64:F64"/>
    <mergeCell ref="C65:F65"/>
    <mergeCell ref="B67:N67"/>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E7490"/>
    <pageSetUpPr fitToPage="false"/>
  </sheetPr>
  <dimension ref="A1:U54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2" topLeftCell="C34" activePane="bottomRight" state="frozen"/>
      <selection pane="topLeft" activeCell="A1" activeCellId="0" sqref="A1"/>
      <selection pane="topRight" activeCell="C1" activeCellId="0" sqref="C1"/>
      <selection pane="bottomLeft" activeCell="A34" activeCellId="0" sqref="A34"/>
      <selection pane="bottomRight" activeCell="G67" activeCellId="0" sqref="G67"/>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59.29"/>
    <col collapsed="false" customWidth="true" hidden="false" outlineLevel="0" max="3" min="3" style="1" width="45.43"/>
    <col collapsed="false" customWidth="true" hidden="false" outlineLevel="0" max="4" min="4" style="1" width="9.14"/>
    <col collapsed="false" customWidth="true" hidden="false" outlineLevel="0" max="5" min="5" style="1" width="4.57"/>
    <col collapsed="false" customWidth="true" hidden="false" outlineLevel="0" max="6" min="6" style="1" width="18"/>
    <col collapsed="false" customWidth="true" hidden="false" outlineLevel="0" max="7" min="7" style="1" width="21.71"/>
    <col collapsed="false" customWidth="true" hidden="false" outlineLevel="0" max="8" min="8" style="1" width="3.43"/>
    <col collapsed="false" customWidth="true" hidden="false" outlineLevel="0" max="9" min="9" style="1" width="59.29"/>
    <col collapsed="false" customWidth="true" hidden="false" outlineLevel="0" max="10" min="10" style="1" width="10.43"/>
    <col collapsed="false" customWidth="true" hidden="false" outlineLevel="0" max="11" min="11" style="1" width="20.71"/>
    <col collapsed="false" customWidth="true" hidden="false" outlineLevel="0" max="12" min="12" style="1" width="18"/>
    <col collapsed="false" customWidth="true" hidden="false" outlineLevel="0" max="13" min="13" style="1" width="9.86"/>
    <col collapsed="false" customWidth="true" hidden="false" outlineLevel="0" max="15" min="14" style="1" width="18"/>
    <col collapsed="false" customWidth="true" hidden="false" outlineLevel="0" max="16" min="16" style="1" width="4.43"/>
    <col collapsed="false" customWidth="true" hidden="false" outlineLevel="0" max="17" min="17" style="1" width="46"/>
    <col collapsed="false" customWidth="true" hidden="false" outlineLevel="0" max="18" min="18" style="1" width="15"/>
    <col collapsed="false" customWidth="true" hidden="false" outlineLevel="0" max="19" min="19" style="1" width="8.71"/>
    <col collapsed="false" customWidth="true" hidden="false" outlineLevel="0" max="20" min="20" style="1" width="18"/>
    <col collapsed="false" customWidth="true" hidden="false" outlineLevel="0" max="22" min="22" style="1" width="10.43"/>
    <col collapsed="false" customWidth="true" hidden="false" outlineLevel="0" max="24" min="24" style="1" width="10.43"/>
  </cols>
  <sheetData>
    <row r="1" customFormat="false" ht="31.5" hidden="false" customHeight="true" outlineLevel="0" collapsed="false">
      <c r="A1" s="274"/>
      <c r="B1" s="275" t="s">
        <v>2023</v>
      </c>
      <c r="I1" s="276"/>
    </row>
    <row r="2" customFormat="false" ht="27.75" hidden="false" customHeight="true" outlineLevel="0" collapsed="false">
      <c r="B2" s="277" t="inlineStr">
        <is>
          <t xml:space="preserve">Fill in the yellow cells only (Steps 1-3, plus the site-improvement and depreciation line items further down). Everything else calculates from the MVS reference tables on the 'M&amp;S Inputs' tab. Rows 24-27 are priced per SF and carried through the height/size multipliers; rows 28-30 are MVS lump sums that must NOT be size/shape adjusted (sprinklers, per Sec.14 p.37 and the Sec.10 p.3 Calculator Cost Form). Watch the banner below row 76 -- it flags the Step 2 inputs that silently default to 1.000 if you skip them. Your indicated value is at the bottom of the sheet.</t>
        </is>
      </c>
      <c r="C2" s="277"/>
      <c r="D2" s="277"/>
      <c r="E2" s="277"/>
      <c r="F2" s="277"/>
      <c r="G2" s="277"/>
      <c r="Q2" s="278"/>
      <c r="R2" s="278"/>
    </row>
    <row r="3" customFormat="false" ht="12.75" hidden="false" customHeight="true" outlineLevel="0" collapsed="false">
      <c r="B3" s="279" t="s">
        <v>2025</v>
      </c>
      <c r="C3" s="280"/>
      <c r="D3" s="280"/>
      <c r="E3" s="280"/>
      <c r="F3" s="280"/>
      <c r="G3" s="280"/>
      <c r="Q3" s="278"/>
    </row>
    <row r="4" customFormat="false" ht="21" hidden="false" customHeight="true" outlineLevel="0" collapsed="false">
      <c r="B4" s="281" t="s">
        <v>2026</v>
      </c>
      <c r="C4" s="282" t="str">
        <f aca="false">IF(Subj_OccCode="","Storage Warehouses",IFERROR(INDEX(OCCMAP_NAME,MATCH(Subj_OccCode,OCCMAP_CODE,0)),"No MVS cost table for OCC "&amp;Subj_OccCode&amp;" -- select manually or use the Manual Override below"))</f>
        <v>Mega (Storage/Distribution) Warehouses</v>
      </c>
      <c r="D4" s="283"/>
      <c r="E4" s="283"/>
      <c r="F4" s="283"/>
      <c r="G4" s="283"/>
      <c r="I4" s="284" t="s">
        <v>2027</v>
      </c>
    </row>
    <row r="5" customFormat="false" ht="12" hidden="false" customHeight="true" outlineLevel="0" collapsed="false">
      <c r="B5" s="285" t="s">
        <v>2028</v>
      </c>
      <c r="C5" s="286" t="str">
        <f aca="false">IFERROR(INDEX(OCC_CODE,MATCH($C$4,OCC_NAME,0))&amp;"  |  MVS Sec. "&amp;INDEX(OCC_SECTION,MATCH($C$4,OCC_NAME,0))&amp;" p."&amp;INDEX(OCC_PAGE,MATCH($C$4,OCC_NAME,0)),"")</f>
        <v>584  |  MVS Sec. 14 p.25</v>
      </c>
      <c r="D5" s="278"/>
      <c r="E5" s="278"/>
      <c r="F5" s="278"/>
      <c r="G5" s="278"/>
      <c r="J5" s="278"/>
      <c r="K5" s="278"/>
      <c r="L5" s="278"/>
      <c r="M5" s="278"/>
    </row>
    <row r="6" customFormat="false" ht="15.75" hidden="false" customHeight="true" outlineLevel="0" collapsed="false">
      <c r="B6" s="287" t="s">
        <v>2029</v>
      </c>
      <c r="C6" s="288" t="s">
        <v>463</v>
      </c>
      <c r="D6" s="278"/>
      <c r="E6" s="278"/>
      <c r="F6" s="278"/>
      <c r="G6" s="278"/>
      <c r="I6" s="284" t="s">
        <v>2030</v>
      </c>
      <c r="J6" s="278"/>
      <c r="K6" s="278"/>
      <c r="L6" s="278"/>
      <c r="M6" s="278"/>
    </row>
    <row r="7" customFormat="false" ht="18" hidden="false" customHeight="true" outlineLevel="0" collapsed="false">
      <c r="B7" s="287" t="s">
        <v>68</v>
      </c>
      <c r="C7" s="72" t="s">
        <v>279</v>
      </c>
      <c r="D7" s="278"/>
      <c r="E7" s="278"/>
      <c r="F7" s="278"/>
      <c r="G7" s="278"/>
      <c r="I7" s="284" t="s">
        <v>2031</v>
      </c>
      <c r="J7" s="278"/>
    </row>
    <row r="8" customFormat="false" ht="31.5" hidden="false" customHeight="true" outlineLevel="0" collapsed="false">
      <c r="B8" s="287" t="s">
        <v>2032</v>
      </c>
      <c r="C8" s="72" t="s">
        <v>1557</v>
      </c>
      <c r="D8" s="278"/>
      <c r="E8" s="278"/>
      <c r="F8" s="278"/>
      <c r="G8" s="278"/>
      <c r="I8" s="284" t="s">
        <v>2033</v>
      </c>
    </row>
    <row r="9" customFormat="false" ht="12" hidden="false" customHeight="true" outlineLevel="0" collapsed="false">
      <c r="B9" s="289" t="s">
        <v>2034</v>
      </c>
      <c r="C9" s="290" t="str">
        <f aca="false">IF($C$83&lt;&gt;"",$C$83,IFERROR(INDEX(OCC_SECTION,MATCH($C$4,OCC_NAME,0)),""))</f>
        <v>14</v>
      </c>
      <c r="D9" s="278"/>
      <c r="E9" s="278"/>
      <c r="F9" s="278"/>
      <c r="G9" s="278"/>
    </row>
    <row r="10" customFormat="false" ht="12.75" hidden="false" customHeight="true" outlineLevel="0" collapsed="false">
      <c r="B10" s="291" t="s">
        <v>2035</v>
      </c>
      <c r="C10" s="280"/>
      <c r="D10" s="292"/>
      <c r="E10" s="292"/>
      <c r="F10" s="292"/>
      <c r="G10" s="292"/>
    </row>
    <row r="11" customFormat="false" ht="12" hidden="false" customHeight="true" outlineLevel="0" collapsed="false">
      <c r="B11" s="287" t="s">
        <v>2036</v>
      </c>
      <c r="C11" s="69" t="n">
        <v>42</v>
      </c>
      <c r="D11" s="278"/>
      <c r="E11" s="278"/>
      <c r="F11" s="278"/>
      <c r="G11" s="278"/>
      <c r="I11" s="284" t="inlineStr">
        <is>
          <t xml:space="preserve">Average wall / eave height per the Adams County property record card for R0195554 (Story Ht: 42). MVS Sec.14 p.39 story-height multipliers are keyed to a 14 ft base; 42 ft picks up the 40 ft row (1.650). Confirm at inspection -- this is the single largest driver in the whole calculation.</t>
        </is>
      </c>
    </row>
    <row r="12" customFormat="false" ht="31.5" hidden="false" customHeight="true" outlineLevel="0" collapsed="false">
      <c r="B12" s="287" t="s">
        <v>2037</v>
      </c>
      <c r="C12" s="293" t="n">
        <v>0.853</v>
      </c>
      <c r="D12" s="278"/>
      <c r="E12" s="278"/>
      <c r="F12" s="278"/>
      <c r="G12" s="278"/>
      <c r="I12" s="284" t="s">
        <v>2038</v>
      </c>
    </row>
    <row r="13" customFormat="false" ht="12" hidden="false" customHeight="true" outlineLevel="0" collapsed="false">
      <c r="B13" s="287" t="s">
        <v>2039</v>
      </c>
      <c r="C13" s="294" t="n">
        <v>0.853</v>
      </c>
      <c r="D13" s="278"/>
      <c r="E13" s="278"/>
      <c r="F13" s="278"/>
      <c r="G13" s="278"/>
      <c r="I13" s="284" t="inlineStr">
        <is>
          <t xml:space="preserve">MVS Sec.14 p.39 Floor Area-Perimeter table, interpolated for 352,240 SF and a 2,644 ft average perimeter: 350,000 SF row reads .853 at 2,600 ft and .857 at 3,000 ft; 400,000 SF row reads .848 / .853. Two-way interpolation = 0.853, which is also the factor the Adams County card used (Perim Mult 0.8530). Both cells hold the same interpolated value.</t>
        </is>
      </c>
    </row>
    <row r="14" customFormat="false" ht="42" hidden="false" customHeight="true" outlineLevel="0" collapsed="false">
      <c r="B14" s="285" t="s">
        <v>2040</v>
      </c>
      <c r="C14" s="295" t="s">
        <v>279</v>
      </c>
      <c r="D14" s="278"/>
      <c r="E14" s="278"/>
      <c r="F14" s="278"/>
      <c r="G14" s="278"/>
      <c r="I14" s="284" t="s">
        <v>2041</v>
      </c>
    </row>
    <row r="15" customFormat="false" ht="12" hidden="false" customHeight="true" outlineLevel="0" collapsed="false">
      <c r="B15" s="296"/>
      <c r="C15" s="278"/>
      <c r="D15" s="278"/>
      <c r="E15" s="278"/>
      <c r="F15" s="278"/>
      <c r="G15" s="278"/>
    </row>
    <row r="16" customFormat="false" ht="25.5" hidden="false" customHeight="true" outlineLevel="0" collapsed="false">
      <c r="B16" s="291" t="s">
        <v>2042</v>
      </c>
      <c r="C16" s="292"/>
      <c r="D16" s="292"/>
      <c r="E16" s="292"/>
      <c r="F16" s="292"/>
      <c r="G16" s="292"/>
    </row>
    <row r="17" customFormat="false" ht="31.5" hidden="false" customHeight="true" outlineLevel="0" collapsed="false">
      <c r="B17" s="287" t="s">
        <v>2043</v>
      </c>
      <c r="C17" s="297" t="n">
        <f aca="false">DATE(2024,6,30)</f>
        <v>45473</v>
      </c>
      <c r="D17" s="278"/>
      <c r="E17" s="278"/>
      <c r="F17" s="278"/>
      <c r="G17" s="278"/>
      <c r="I17" s="284" t="s">
        <v>2044</v>
      </c>
    </row>
    <row r="18" customFormat="false" ht="42" hidden="false" customHeight="true" outlineLevel="0" collapsed="false">
      <c r="B18" s="287" t="s">
        <v>2045</v>
      </c>
      <c r="C18" s="295" t="s">
        <v>1580</v>
      </c>
      <c r="D18" s="278"/>
      <c r="E18" s="278"/>
      <c r="F18" s="278"/>
      <c r="G18" s="278"/>
      <c r="I18" s="284" t="s">
        <v>2046</v>
      </c>
    </row>
    <row r="19" customFormat="false" ht="12" hidden="false" customHeight="true" outlineLevel="0" collapsed="false">
      <c r="B19" s="287" t="s">
        <v>2047</v>
      </c>
      <c r="C19" s="295" t="inlineStr">
        <is>
          <t xml:space="preserve">Jul 2024</t>
        </is>
      </c>
      <c r="D19" s="278"/>
      <c r="E19" s="278"/>
      <c r="F19" s="278"/>
      <c r="G19" s="278"/>
    </row>
    <row r="20" customFormat="false" ht="12" hidden="false" customHeight="true" outlineLevel="0" collapsed="false">
      <c r="B20" s="298"/>
      <c r="C20" s="278"/>
      <c r="D20" s="278"/>
      <c r="E20" s="278"/>
      <c r="F20" s="278"/>
      <c r="G20" s="278"/>
    </row>
    <row r="21" customFormat="false" ht="15.75" hidden="false" customHeight="true" outlineLevel="0" collapsed="false">
      <c r="B21" s="299" t="s">
        <v>2048</v>
      </c>
      <c r="C21" s="300"/>
      <c r="D21" s="300"/>
      <c r="E21" s="300"/>
      <c r="F21" s="300"/>
      <c r="G21" s="300"/>
    </row>
    <row r="22" customFormat="false" ht="12" hidden="false" customHeight="true" outlineLevel="0" collapsed="false">
      <c r="B22" s="301" t="s">
        <v>2049</v>
      </c>
      <c r="C22" s="75" t="s">
        <v>2050</v>
      </c>
      <c r="D22" s="302" t="s">
        <v>143</v>
      </c>
      <c r="E22" s="278"/>
      <c r="F22" s="302" t="s">
        <v>2051</v>
      </c>
      <c r="G22" s="302" t="s">
        <v>2052</v>
      </c>
    </row>
    <row r="23" customFormat="false" ht="12" hidden="false" customHeight="true" outlineLevel="0" collapsed="false">
      <c r="B23" s="303" t="s">
        <v>2053</v>
      </c>
      <c r="D23" s="278"/>
      <c r="E23" s="278"/>
      <c r="F23" s="278"/>
      <c r="G23" s="278"/>
    </row>
    <row r="24" customFormat="false" ht="21" hidden="false" customHeight="true" outlineLevel="0" collapsed="false">
      <c r="B24" s="287" t="s">
        <v>2054</v>
      </c>
      <c r="C24" s="304" t="n">
        <f aca="false">IFERROR(Subj_BldgSF,0)</f>
        <v>352240</v>
      </c>
      <c r="D24" s="305" t="n">
        <f aca="false">IF($C$81&gt;0,$C$81,IFERROR(INDEX(BC_VALUE,MATCH($C$4&amp;"|"&amp;$C$6&amp;"|"&amp;$C$7,BC_KEY,0)),0))</f>
        <v>52</v>
      </c>
      <c r="E24" s="278"/>
      <c r="F24" s="306" t="n">
        <f aca="false">C24*D24</f>
        <v>18316480.0</v>
      </c>
      <c r="G24" s="278"/>
      <c r="I24" s="284" t="str">
        <f aca="false">IFERROR("Verified MVS base cost -- "&amp;INDEX(BC_CITE,MATCH($C$4&amp;"|"&amp;$C$6&amp;"|"&amp;$C$7,BC_KEY,0)),"")&amp;" | Area auto-linked to Property Info (Total Building SF)."</f>
        <v>Verified MVS base cost -- MVS Sec.14 p.25 | Area auto-linked to Property Info (Total Building SF).</v>
      </c>
    </row>
    <row r="25" customFormat="false" ht="21" hidden="false" customHeight="true" outlineLevel="0" collapsed="false">
      <c r="B25" s="287" t="inlineStr">
        <is>
          <t xml:space="preserve">Heating / Cooling / Ventilation Refinement ($/SF difference)</t>
        </is>
      </c>
      <c r="C25" s="304" t="n">
        <f aca="false">C24</f>
        <v>352240</v>
      </c>
      <c r="D25" s="307" t="n">
        <v>0</v>
      </c>
      <c r="E25" s="278"/>
      <c r="F25" s="306" t="n">
        <f aca="false">C25*D25</f>
        <v>0</v>
      </c>
      <c r="G25" s="278"/>
      <c r="I25" s="284" t="inlineStr">
        <is>
          <t xml:space="preserve">MVS Sec.14 p.36. Enter the DIFFERENCE between the system actually present and the system already inside the base cost -- not the gross HVAC cost. The Sec.14 p.25 Mega Warehouse base cost is published with SPACE HEATERS ($3.10/SF, moderate climate), so a fully air-conditioned building on package A.C. ($13.05/SF) would be +$9.95/SF, not +$13.05. 0.00 = the building is space-heated as the base cost assumes (typical for a distribution warehouse; office areas are already reflected in the Average quality tier). For reference, the Adams County card added $14.85/SF gross for a 'Package Unit' -- $5,230,764 -- with no offset for the space heaters already in the base.</t>
        </is>
      </c>
    </row>
    <row r="26" customFormat="false" ht="12" hidden="false" customHeight="true" outlineLevel="0" collapsed="false">
      <c r="B26" s="296"/>
      <c r="C26" s="278"/>
      <c r="D26" s="307"/>
      <c r="E26" s="278"/>
      <c r="F26" s="306" t="n">
        <f aca="false">D26*C26</f>
        <v>0</v>
      </c>
      <c r="G26" s="278"/>
      <c r="I26" s="284" t="inlineStr">
        <is>
          <t xml:space="preserve">Spare $/SF refinement line (elevators, mezzanine finish, etc.). Priced per SF and carried through the height/size multipliers below.</t>
        </is>
      </c>
    </row>
    <row r="27" customFormat="false" ht="12" hidden="false" customHeight="true" outlineLevel="0" collapsed="false">
      <c r="B27" s="296"/>
      <c r="C27" s="278"/>
      <c r="D27" s="307"/>
      <c r="F27" s="306" t="n">
        <f aca="false">D27*C27</f>
        <v>0</v>
      </c>
      <c r="G27" s="278"/>
    </row>
    <row r="28" customFormat="false" ht="12" hidden="false" customHeight="true" outlineLevel="0" collapsed="false">
      <c r="B28" s="296" t="inlineStr">
        <is>
          <t xml:space="preserve">Sprinklers  (lump sum -- NOT size/shape adjusted)</t>
        </is>
      </c>
      <c r="C28" s="304" t="n">
        <f aca="false">C24</f>
        <v>352240</v>
      </c>
      <c r="D28" s="305" t="n">
        <f aca="false">IFERROR(INDEX(INDIRECT("SPR"&amp;$C$9&amp;"_VALS"),MATCH($C$24,INDIRECT("SPR"&amp;$C$9&amp;"_SF"),1),MATCH($C$14,SPR_HDR,0)),0)</f>
        <v>2.63</v>
      </c>
      <c r="F28" s="306" t="n">
        <f aca="false">C28*D28</f>
        <v>926391.2</v>
      </c>
      <c r="G28" s="278"/>
      <c r="I28" s="284" t="inlineStr">
        <is>
          <t xml:space="preserve">Wet-system cost by building SF (nearest coverage bracket &lt;= actual SF), MVS Sec.14 p.37. MVS: 'Sprinklers should not be modified for size or shape', and the MVS Calculator Cost Form carries them on Line 28 as a LUMP SUM added after the height/size multipliers -- which is why this line now sits below the subtotal instead of inside it. Enter 0 in the $/SF cell if unsprinklered.</t>
        </is>
      </c>
    </row>
    <row r="29" customFormat="false" ht="12" hidden="false" customHeight="true" outlineLevel="0" collapsed="false">
      <c r="B29" s="296" t="inlineStr">
        <is>
          <t xml:space="preserve">Dock-Height Floors  (lump sum)</t>
        </is>
      </c>
      <c r="C29" s="278" t="n">
        <v>296000</v>
      </c>
      <c r="D29" s="307" t="n">
        <v>2</v>
      </c>
      <c r="F29" s="306" t="n">
        <f aca="false">C29*D29</f>
        <v>592000</v>
      </c>
      <c r="G29" s="278"/>
      <c r="I29" s="284" t="inlineStr">
        <is>
          <t xml:space="preserve">MVS Sec.14 p.27. Quantity and rate taken from the Adams County card (296,000 SF at $2.00). MVS publishes $2.39/SF at its largest bracket (200,000 SF) on a curve that keeps falling with area, so $2.00 at 296,000 SF is consistent. MVS says to add this to the base cost of the first floor, which would put it inside the multiplier stack; it is carried as an unmultiplied lump sum here because the area/perimeter and story-height factors describe wall economics, not slab thickness -- and that is also how the assessor treated it, so it is not a point of dispute. Verify the dock-height area at inspection.</t>
        </is>
      </c>
    </row>
    <row r="30" customFormat="false" ht="12" hidden="false" customHeight="true" outlineLevel="0" collapsed="false">
      <c r="B30" s="296"/>
      <c r="C30" s="278"/>
      <c r="D30" s="307"/>
      <c r="E30" s="308"/>
      <c r="F30" s="306" t="n">
        <f aca="false">D30*C30</f>
        <v>0</v>
      </c>
      <c r="G30" s="278"/>
      <c r="I30" s="284" t="inlineStr">
        <is>
          <t xml:space="preserve">Spare lump-sum line (elevators, canopies, other Section 65/66 additions that MVS prices outside the multipliers).</t>
        </is>
      </c>
    </row>
    <row r="31" customFormat="false" ht="12" hidden="false" customHeight="true" outlineLevel="0" collapsed="false">
      <c r="B31" s="309" t="inlineStr">
        <is>
          <t xml:space="preserve">Subtotal  --  items subject to the height/size multipliers (rows 24-27)</t>
        </is>
      </c>
      <c r="C31" s="278"/>
      <c r="D31" s="278"/>
      <c r="E31" s="278"/>
      <c r="F31" s="310" t="n">
        <f aca="false">SUM(F24:F27)</f>
        <v>18316480.0</v>
      </c>
      <c r="G31" s="278"/>
    </row>
    <row r="32" customFormat="false" ht="15.75" hidden="false" customHeight="true" outlineLevel="0" collapsed="false">
      <c r="B32" s="311" t="s">
        <v>2057</v>
      </c>
      <c r="C32" s="312"/>
      <c r="D32" s="313"/>
      <c r="E32" s="313"/>
      <c r="F32" s="314"/>
      <c r="G32" s="312"/>
    </row>
    <row r="33" customFormat="false" ht="31.5" hidden="false" customHeight="true" outlineLevel="0" collapsed="false">
      <c r="B33" s="285" t="s">
        <v>2058</v>
      </c>
      <c r="C33" s="278"/>
      <c r="D33" s="315" t="n">
        <f aca="false">IFERROR(INDEX(CCM_VALUES,MATCH(IF($C$6="CMILL","C",IF($C$6="DPOLE","D",IF($C$6="A-B","B",$C$6))),CCM_CLASS,0),MATCH("Sec."&amp;IF($C$9&lt;&gt;"",$C$9,"14"),CCM_SECTIONHDR,0)),1)/IFERROR(IF($C$18=$C$19,INDEX(DEN_VALUES,MATCH($C$18,DEN_LABEL,0),MATCH("Class "&amp;IF($C$6="CMILL","C",IF($C$6="DPOLE","D",IF($C$6="A-B","B",$C$6))),DEN_CLASSHDR,0)),INDEX(DEN_VALUES,MATCH($C$18,DEN_LABEL,0),MATCH("Class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1.0556844547563806</v>
      </c>
      <c r="E33" s="278"/>
      <c r="F33" s="278"/>
      <c r="G33" s="278"/>
      <c r="I33" s="284" t="inlineStr">
        <is>
          <t xml:space="preserve">MVS Sec.99 p.3 Current Cost Multiplier (WESTERN region assumed for Colorado) divided by the Sec.98 Denver de-trend factor for the Appraisal Date -- see Step 3. The two bracket quarters must STRADDLE the appraisal date; if they are set to the same quarter the interpolation denominator is zero, and before this fix the error was swallowed and the de-trend silently reverted to 1.000. The formula now handles the equal-quarter case explicitly.</t>
        </is>
      </c>
    </row>
    <row r="34" customFormat="false" ht="12" hidden="false" customHeight="true" outlineLevel="0" collapsed="false">
      <c r="B34" s="287" t="s">
        <v>2060</v>
      </c>
      <c r="C34" s="278"/>
      <c r="D34" s="315" t="n">
        <f aca="false">IFERROR(INDEX(LAM_VALUES,MATCH($C$8,LAM_CITY,0),MATCH("Class "&amp;IF($C$6="CMILL","C",IF($C$6="DPOLE","D",IF($C$6="A-B","B",$C$6))),LAM_CLASSHDR,0)),"")</f>
        <v>1</v>
      </c>
      <c r="E34" s="278"/>
      <c r="F34" s="278"/>
      <c r="G34" s="278"/>
      <c r="I34" s="284" t="s">
        <v>2061</v>
      </c>
    </row>
    <row r="35" customFormat="false" ht="12" hidden="false" customHeight="true" outlineLevel="0" collapsed="false">
      <c r="B35" s="281" t="s">
        <v>2062</v>
      </c>
      <c r="C35" s="278"/>
      <c r="D35" s="315" t="str">
        <f aca="false">IF(COUNT(C12:C13)=0,1,AVERAGE(C12:C13))</f>
        <v>0.853</v>
      </c>
      <c r="E35" s="278"/>
      <c r="F35" s="278"/>
      <c r="G35" s="278"/>
    </row>
    <row r="36" customFormat="false" ht="12" hidden="false" customHeight="true" outlineLevel="0" collapsed="false">
      <c r="B36" s="281" t="s">
        <v>2063</v>
      </c>
      <c r="C36" s="278"/>
      <c r="D36" s="315" t="n">
        <f aca="true">IFERROR(INDEX(INDIRECT("SH"&amp;$C$9&amp;"_M"),MATCH($C$11,INDIRECT("SH"&amp;$C$9&amp;"_H"),1)),1)</f>
        <v>1.65</v>
      </c>
      <c r="E36" s="278"/>
      <c r="F36" s="278"/>
      <c r="G36" s="278"/>
      <c r="I36" s="1" t="s">
        <v>2064</v>
      </c>
    </row>
    <row r="37" customFormat="false" ht="12" hidden="false" customHeight="true" outlineLevel="0" collapsed="false">
      <c r="B37" s="309" t="s">
        <v>2065</v>
      </c>
      <c r="C37" s="278"/>
      <c r="D37" s="278"/>
      <c r="E37" s="278"/>
      <c r="F37" s="316" t="n">
        <f aca="false">ROUND(PRODUCT(D33:D36),3)</f>
        <v>1.486</v>
      </c>
      <c r="G37" s="278"/>
    </row>
    <row r="38" customFormat="false" ht="12" hidden="false" customHeight="true" outlineLevel="0" collapsed="false">
      <c r="B38" s="303" t="inlineStr">
        <is>
          <t xml:space="preserve">Adjusted Base Building Cost  =  (Subtotal x Multipliers)  +  Lump Sums (rows 28-30)</t>
        </is>
      </c>
      <c r="C38" s="278"/>
      <c r="D38" s="278"/>
      <c r="E38" s="278"/>
      <c r="F38" s="278"/>
      <c r="G38" s="310" t="n">
        <f aca="false">F37*F31+SUM(F28:F30)</f>
        <v>28736680.48</v>
      </c>
      <c r="I38" s="284" t="inlineStr">
        <is>
          <t xml:space="preserve">Follows the MVS Calculator Cost Form (Sec.10 p.3): Lines 13-17 build a refined $/SF cost, Lines 18-21 apply the number-of-stories, story-height and floor-area/perimeter multipliers, Lines 23-25 apply the current-cost and local multipliers, and only then does Line 28 add the lump sums. Previously every line in rows 24-30 -- including sprinklers -- was multiplied.</t>
        </is>
      </c>
      <c r="Q38" s="278"/>
      <c r="R38" s="278"/>
    </row>
    <row r="39" customFormat="false" ht="47.25" hidden="false" customHeight="true" outlineLevel="0" collapsed="false">
      <c r="B39" s="311" t="s">
        <v>2067</v>
      </c>
      <c r="C39" s="312"/>
      <c r="D39" s="312"/>
      <c r="E39" s="312"/>
      <c r="F39" s="312"/>
      <c r="G39" s="312"/>
      <c r="U39" s="278"/>
    </row>
    <row r="40" customFormat="false" ht="31.5" hidden="false" customHeight="true" outlineLevel="0" collapsed="false">
      <c r="B40" s="317" t="s">
        <v>2068</v>
      </c>
      <c r="C40" s="318" t="n">
        <v>316000</v>
      </c>
      <c r="D40" s="319" t="n">
        <v>3.1</v>
      </c>
      <c r="E40" s="278"/>
      <c r="F40" s="306" t="n">
        <f aca="false">D40*C40</f>
        <v>979600.0</v>
      </c>
      <c r="G40" s="278"/>
      <c r="I40" s="284" t="inlineStr">
        <is>
          <t xml:space="preserve">MVS Sec.66 p.1, 4-inch asphaltic concrete, published Average Unit Cost $3.10/SF (range $2.92-$3.51). Area from the Adams County card (316,000 SF). Note the assessor priced the same 316,000 SF at $1.55/SF -- roughly half the MVS figure.</t>
        </is>
      </c>
      <c r="U40" s="278"/>
    </row>
    <row r="41" customFormat="false" ht="21" hidden="false" customHeight="true" outlineLevel="0" collapsed="false">
      <c r="B41" s="317" t="s">
        <v>2070</v>
      </c>
      <c r="C41" s="318" t="n">
        <v>0</v>
      </c>
      <c r="D41" s="319" t="n">
        <v>20</v>
      </c>
      <c r="E41" s="278"/>
      <c r="F41" s="306" t="n">
        <f aca="false">D41*C41</f>
        <v>0.0</v>
      </c>
      <c r="G41" s="278"/>
      <c r="I41" s="284" t="s">
        <v>2071</v>
      </c>
      <c r="U41" s="278"/>
    </row>
    <row r="42" customFormat="false" ht="21" hidden="false" customHeight="true" outlineLevel="0" collapsed="false">
      <c r="B42" s="317" t="s">
        <v>2072</v>
      </c>
      <c r="C42" s="318" t="n">
        <v>71000</v>
      </c>
      <c r="D42" s="319" t="n">
        <v>5.51</v>
      </c>
      <c r="E42" s="278"/>
      <c r="F42" s="306" t="n">
        <f aca="false">D42*C42</f>
        <v>391210.0</v>
      </c>
      <c r="G42" s="278"/>
      <c r="I42" s="284" t="inlineStr">
        <is>
          <t xml:space="preserve">MVS Sec.66 p.1, 6-inch concrete paving, published Average Unit Cost $5.51/SF (range $4.66-$7.71). Area from the Adams County card (71,000 SF); the previous 275,000 SF was carried over from another file. The assessor priced the same 71,000 SF at $3.07/SF.</t>
        </is>
      </c>
      <c r="U42" s="278"/>
    </row>
    <row r="43" customFormat="false" ht="12" hidden="false" customHeight="true" outlineLevel="0" collapsed="false">
      <c r="B43" s="285" t="inlineStr">
        <is>
          <t xml:space="preserve">Chain Link Fence, 8 ft (linear ft)</t>
        </is>
      </c>
      <c r="C43" s="318" t="n">
        <v>1500</v>
      </c>
      <c r="D43" s="319" t="n">
        <v>25.18</v>
      </c>
      <c r="E43" s="278"/>
      <c r="F43" s="306" t="n">
        <f aca="false">D43*C43</f>
        <v>37770.0</v>
      </c>
      <c r="G43" s="278"/>
      <c r="I43" s="284" t="inlineStr">
        <is>
          <t xml:space="preserve">MVS Sec.66 p.4: 8 ft galvanized chain link, #11 wire, $26.50/LF, less the quantity deduction MVS allows on large industrial installations. Its tiers are 5% at 600 LF and 10% at 2,000 LF; at 1,500 LF only the 5% tier is reached, so $26.50 x 0.95 = $25.18/LF. 1,500 LF per the Adams County card, which priced it at $12.50/LF.</t>
        </is>
      </c>
      <c r="U43" s="278"/>
    </row>
    <row r="44" customFormat="false" ht="12" hidden="false" customHeight="true" outlineLevel="0" collapsed="false">
      <c r="B44" s="285" t="s">
        <v>2075</v>
      </c>
      <c r="C44" s="318"/>
      <c r="D44" s="319"/>
      <c r="E44" s="278"/>
      <c r="F44" s="306" t="n">
        <f aca="false">D44*C44</f>
        <v>0.0</v>
      </c>
      <c r="G44" s="278"/>
    </row>
    <row r="45" customFormat="false" ht="21" hidden="false" customHeight="true" outlineLevel="0" collapsed="false">
      <c r="B45" s="285" t="s">
        <v>2076</v>
      </c>
      <c r="C45" s="318"/>
      <c r="D45" s="319" t="n">
        <v>5.5</v>
      </c>
      <c r="E45" s="278"/>
      <c r="F45" s="306" t="n">
        <f aca="false">D45*C45</f>
        <v>0.0</v>
      </c>
      <c r="G45" s="278"/>
      <c r="I45" s="284" t="inlineStr">
        <is>
          <t xml:space="preserve">MVS Sec.66 landscaping / market estimate. Left at zero to match the assessor, who allowed nothing for landscaping. The site has roughly 130,000 SF outside the building and the paved areas; if detention, landscaping or yard lighting were built, add the measured quantity here.</t>
        </is>
      </c>
    </row>
    <row r="46" customFormat="false" ht="12" hidden="false" customHeight="true" outlineLevel="0" collapsed="false">
      <c r="B46" s="320" t="s">
        <v>2078</v>
      </c>
      <c r="C46" s="278"/>
      <c r="D46" s="278"/>
      <c r="E46" s="278"/>
      <c r="F46" s="278"/>
      <c r="G46" s="310" t="n">
        <f aca="false">SUM(F40:F45)</f>
        <v>1408580.0</v>
      </c>
    </row>
    <row r="47" customFormat="false" ht="12" hidden="false" customHeight="true" outlineLevel="0" collapsed="false">
      <c r="B47" s="303" t="s">
        <v>2079</v>
      </c>
      <c r="C47" s="278"/>
      <c r="D47" s="278"/>
      <c r="E47" s="278"/>
      <c r="F47" s="278"/>
      <c r="G47" s="310" t="n">
        <f aca="false">SUM(G38:G46)</f>
        <v>30145260.48</v>
      </c>
    </row>
    <row r="48" customFormat="false" ht="21" hidden="false" customHeight="true" outlineLevel="0" collapsed="false">
      <c r="B48" s="285" t="s">
        <v>2080</v>
      </c>
      <c r="C48" s="321" t="n">
        <v>0</v>
      </c>
      <c r="D48" s="278"/>
      <c r="E48" s="278"/>
      <c r="F48" s="278"/>
      <c r="G48" s="306" t="n">
        <f aca="false">G47*(C48)</f>
        <v>0.0</v>
      </c>
      <c r="I48" s="284" t="inlineStr">
        <is>
          <t xml:space="preserve">SET TO ZERO -- these are already inside the MVS calculator cost. MVS Sec.1 p.3 'What the Costs Contain' includes architects' and engineers' fees, plans, plan check, building permits, surveying, normal interest on building funds during construction plus the processing fee, sales taxes, normal site preparation, and contractors' overhead, profit and insurance. Adding another 10% on top double-counted about $2.4M. Use this line only for a soft cost MVS genuinely excludes (Sec.1 p.3 'What They Do Not Contain': impact and tap fees, off-site work, entitlement, feasibility, land carry) and describe it in the notes.</t>
        </is>
      </c>
    </row>
    <row r="49" customFormat="false" ht="12" hidden="false" customHeight="true" outlineLevel="0" collapsed="false">
      <c r="B49" s="320" t="s">
        <v>2082</v>
      </c>
      <c r="C49" s="278"/>
      <c r="D49" s="278"/>
      <c r="E49" s="278"/>
      <c r="F49" s="278"/>
      <c r="G49" s="310" t="n">
        <f aca="false">SUM(G47:G48)</f>
        <v>30145260.48</v>
      </c>
    </row>
    <row r="50" customFormat="false" ht="12" hidden="false" customHeight="true" outlineLevel="0" collapsed="false">
      <c r="B50" s="281" t="s">
        <v>2083</v>
      </c>
      <c r="C50" s="321" t="n">
        <v>0.15</v>
      </c>
      <c r="D50" s="278"/>
      <c r="E50" s="278"/>
      <c r="F50" s="278"/>
      <c r="G50" s="306" t="n">
        <f aca="false">G49*C50</f>
        <v>4521789.072</v>
      </c>
      <c r="I50" s="284" t="s">
        <v>2084</v>
      </c>
    </row>
    <row r="51" customFormat="false" ht="15.75" hidden="false" customHeight="true" outlineLevel="0" collapsed="false">
      <c r="B51" s="322" t="s">
        <v>445</v>
      </c>
      <c r="C51" s="278"/>
      <c r="D51" s="278"/>
      <c r="E51" s="278"/>
      <c r="F51" s="278"/>
      <c r="G51" s="323" t="n">
        <f aca="false">SUM(G49:G50)</f>
        <v>34667049.552</v>
      </c>
    </row>
    <row r="52" customFormat="false" ht="12" hidden="false" customHeight="true" outlineLevel="0" collapsed="false">
      <c r="B52" s="324" t="s">
        <v>2085</v>
      </c>
      <c r="C52" s="325"/>
      <c r="D52" s="278"/>
      <c r="E52" s="278"/>
      <c r="F52" s="278"/>
      <c r="G52" s="78" t="n">
        <f aca="false">IFERROR(caRCN/C24,"")</f>
        <v>98.41883247785601</v>
      </c>
    </row>
    <row r="53" customFormat="false" ht="12" hidden="false" customHeight="true" outlineLevel="0" collapsed="false">
      <c r="B53" s="298"/>
      <c r="C53" s="278"/>
      <c r="D53" s="278"/>
      <c r="E53" s="278"/>
      <c r="F53" s="278"/>
      <c r="G53" s="278"/>
    </row>
    <row r="54" customFormat="false" ht="15.75" hidden="false" customHeight="true" outlineLevel="0" collapsed="false">
      <c r="B54" s="326" t="s">
        <v>2086</v>
      </c>
      <c r="C54" s="312"/>
      <c r="D54" s="312"/>
      <c r="E54" s="312"/>
      <c r="F54" s="312"/>
      <c r="G54" s="312"/>
    </row>
    <row r="55" customFormat="false" ht="12" hidden="false" customHeight="true" outlineLevel="0" collapsed="false">
      <c r="B55" s="320" t="s">
        <v>2087</v>
      </c>
      <c r="C55" s="327"/>
      <c r="D55" s="327"/>
      <c r="E55" s="283"/>
      <c r="F55" s="283"/>
      <c r="G55" s="283"/>
      <c r="Q55" s="308"/>
    </row>
    <row r="56" customFormat="false" ht="12" hidden="false" customHeight="true" outlineLevel="0" collapsed="false">
      <c r="B56" s="281" t="s">
        <v>2088</v>
      </c>
      <c r="C56" s="327"/>
      <c r="D56" s="276"/>
      <c r="E56" s="283"/>
      <c r="F56" s="328" t="n">
        <v>0</v>
      </c>
      <c r="G56" s="278"/>
      <c r="I56" s="284" t="s">
        <v>2089</v>
      </c>
      <c r="Q56" s="283"/>
      <c r="R56" s="283"/>
      <c r="S56" s="283"/>
    </row>
    <row r="57" customFormat="false" ht="12" hidden="false" customHeight="true" outlineLevel="0" collapsed="false">
      <c r="B57" s="320" t="s">
        <v>2090</v>
      </c>
      <c r="C57" s="327"/>
      <c r="D57" s="327"/>
      <c r="E57" s="283"/>
    </row>
    <row r="58" customFormat="false" ht="31.5" hidden="false" customHeight="true" outlineLevel="0" collapsed="false">
      <c r="B58" s="281" t="s">
        <v>2091</v>
      </c>
      <c r="C58" s="69" t="str">
        <f aca="false">IF(N(Subj_YOC)=0,0,IFERROR(YEAR($C$17)-Subj_YOC,Subj_Age))</f>
        <v>4</v>
      </c>
      <c r="I58" s="284" t="inlineStr">
        <is>
          <t xml:space="preserve">Per MVS Sec.97: true age adjusted for modernization/condition, not necessarily chronological age. Now measured to the Appraisal / Level-of-Value Date in C17 (6/30/2024), not to the appeal year -- YOC 2020 gives 4 years, which is also the effective age on the Adams County card. It previously read Subject Property actual age, which is struck from the appeal year (2025) and so depreciated the building one year past the statutory valuation date. Overtype with a judgment figure if inspection supports one.</t>
        </is>
      </c>
    </row>
    <row r="59" customFormat="false" ht="21" hidden="false" customHeight="true" outlineLevel="0" collapsed="false">
      <c r="B59" s="281" t="s">
        <v>2093</v>
      </c>
      <c r="C59" s="304" t="n">
        <f aca="false">IF($C$82&gt;0,$C$82,IFERROR(INDEX(LIFE_VALUES,MATCH($C$4&amp;"|"&amp;$C$7,LIFE_KEY,0),MATCH("Class "&amp;IF($C$6="CMILL","C",IF(OR($C$6="DPOLE",$C$6="DMASVEN",$C$6="CDS"),"D",IF($C$6="A-B","B",IF($C$6="SSLANT","S",$C$6)))),LIFE_CLASSHDR,0)),0))</f>
        <v>45.0</v>
      </c>
      <c r="I59" s="284" t="s">
        <v>2094</v>
      </c>
      <c r="K59" s="308"/>
      <c r="P59" s="308"/>
    </row>
    <row r="60" customFormat="false" ht="31.5" hidden="false" customHeight="true" outlineLevel="0" collapsed="false">
      <c r="B60" s="281" t="s">
        <v>2095</v>
      </c>
      <c r="C60" s="329" t="str">
        <f aca="false">IF($C$59=0,0,IFERROR(IF(IFERROR(INDEX(OCC_DEPR,MATCH($C$4,OCC_NAME,0)),"C")="R",INDEX(DEPRR_VALUES,MATCH($C$58,DEPRR_AGE,1),MATCH($C$59,DEPRR_LIFEHDR,0)),INDEX(DEPR_VALUES,MATCH($C$58,DEPR_AGE,1),MATCH($C$59,DEPR_LIFEHDR,0)))/100,0))</f>
        <v>0.03</v>
      </c>
      <c r="F60" s="80" t="n">
        <f aca="false">G51*C60</f>
        <v>1040011.48656</v>
      </c>
      <c r="I60" s="284" t="s">
        <v>2096</v>
      </c>
      <c r="L60" s="283"/>
      <c r="M60" s="283"/>
      <c r="N60" s="283"/>
      <c r="O60" s="283"/>
      <c r="P60" s="283"/>
    </row>
    <row r="61" customFormat="false" ht="21" hidden="false" customHeight="true" outlineLevel="0" collapsed="false">
      <c r="B61" s="281" t="s">
        <v>2097</v>
      </c>
      <c r="C61" s="330" t="n">
        <v>0</v>
      </c>
      <c r="F61" s="80" t="n">
        <f aca="false">C61*caRCN</f>
        <v>0</v>
      </c>
      <c r="I61" s="284" t="s">
        <v>2098</v>
      </c>
      <c r="L61" s="283"/>
      <c r="M61" s="283"/>
      <c r="N61" s="283"/>
      <c r="O61" s="283"/>
      <c r="P61" s="283"/>
    </row>
    <row r="62" customFormat="false" ht="12" hidden="false" customHeight="true" outlineLevel="0" collapsed="false">
      <c r="B62" s="281" t="s">
        <v>2099</v>
      </c>
      <c r="C62" s="330" t="n">
        <v>0</v>
      </c>
      <c r="F62" s="80" t="n">
        <f aca="false">C62*caRCN</f>
        <v>0</v>
      </c>
      <c r="I62" s="284" t="s">
        <v>2100</v>
      </c>
      <c r="L62" s="283"/>
      <c r="M62" s="283"/>
      <c r="N62" s="283"/>
      <c r="O62" s="283"/>
      <c r="P62" s="283"/>
    </row>
    <row r="63" customFormat="false" ht="12" hidden="false" customHeight="true" outlineLevel="0" collapsed="false">
      <c r="B63" s="320" t="s">
        <v>229</v>
      </c>
      <c r="C63" s="331" t="n">
        <f aca="false">IFERROR(G63/caRCN,"")</f>
        <v>0.03</v>
      </c>
      <c r="G63" s="332" t="n">
        <f aca="false">SUM(F56:F62)</f>
        <v>1040011.48656</v>
      </c>
      <c r="K63" s="278"/>
      <c r="L63" s="283"/>
      <c r="M63" s="283"/>
      <c r="N63" s="283"/>
      <c r="O63" s="283"/>
      <c r="P63" s="283"/>
    </row>
    <row r="64" customFormat="false" ht="39" hidden="false" customHeight="true" outlineLevel="0" collapsed="false">
      <c r="B64" s="333" t="s">
        <v>2101</v>
      </c>
      <c r="G64" s="334" t="n">
        <f aca="false">caRCN-G63</f>
        <v>33627038.06544</v>
      </c>
      <c r="K64" s="278"/>
      <c r="L64" s="283"/>
      <c r="M64" s="283"/>
      <c r="N64" s="283"/>
      <c r="O64" s="283"/>
      <c r="P64" s="283"/>
    </row>
    <row r="65" customFormat="false" ht="12" hidden="false" customHeight="true" outlineLevel="0" collapsed="false">
      <c r="B65" s="281" t="s">
        <v>2085</v>
      </c>
      <c r="G65" s="78" t="n">
        <f aca="false">IFERROR(caRCNDeprec/C24,"")</f>
        <v>95.46626750352033</v>
      </c>
    </row>
    <row r="66" customFormat="false" ht="12" hidden="false" customHeight="true" outlineLevel="0" collapsed="false">
      <c r="B66" s="308"/>
    </row>
    <row r="67" customFormat="false" ht="31.5" hidden="false" customHeight="true" outlineLevel="0" collapsed="false">
      <c r="B67" s="281" t="s">
        <v>2102</v>
      </c>
      <c r="C67" s="283"/>
      <c r="D67" s="283"/>
      <c r="E67" s="283"/>
      <c r="F67" s="283"/>
      <c r="G67" s="335" t="n">
        <f aca="false">'Land Sales Grid'!$C$64</f>
        <v>5000000</v>
      </c>
      <c r="I67" s="284" t="s">
        <v>2103</v>
      </c>
    </row>
    <row r="68" customFormat="false" ht="12" hidden="false" customHeight="true" outlineLevel="0" collapsed="false">
      <c r="B68" s="298"/>
      <c r="C68" s="278"/>
      <c r="D68" s="278"/>
      <c r="E68" s="278"/>
      <c r="F68" s="278"/>
      <c r="G68" s="278"/>
    </row>
    <row r="69" customFormat="false" ht="39" hidden="false" customHeight="true" outlineLevel="0" collapsed="false">
      <c r="B69" s="336" t="s">
        <v>2104</v>
      </c>
      <c r="C69" s="128"/>
      <c r="D69" s="278"/>
      <c r="E69" s="278"/>
      <c r="F69" s="278"/>
      <c r="G69" s="337" t="n">
        <f aca="false">IF(Subj_NumBldgs&gt;1,'Cost Approach MB'!C29,G64+G67)</f>
        <v>38627038.06544</v>
      </c>
    </row>
    <row r="70" customFormat="false" ht="21" hidden="false" customHeight="true" outlineLevel="0" collapsed="false">
      <c r="B70" s="338" t="n">
        <v>10000</v>
      </c>
      <c r="D70" s="278"/>
      <c r="E70" s="278"/>
      <c r="F70" s="278"/>
      <c r="G70" s="337" t="n">
        <f aca="false">ROUND((G69/B70),0)*B70</f>
        <v>38630000.0</v>
      </c>
      <c r="I70" s="284" t="inlineStr">
        <is>
          <t xml:space="preserve">Rounded using the increment in column B (currently $10,000) -- change that cell to round to a different increment.</t>
        </is>
      </c>
    </row>
    <row r="71" customFormat="false" ht="12" hidden="false" customHeight="true" outlineLevel="0" collapsed="false">
      <c r="B71" s="287" t="s">
        <v>2085</v>
      </c>
      <c r="D71" s="278"/>
      <c r="E71" s="278"/>
      <c r="F71" s="278"/>
      <c r="G71" s="305" t="n">
        <f aca="false">IFERROR(G70/IF(Subj_NumBldgs&gt;1,Subj_TotalBldgSF,C24),"")</f>
        <v>109.66954349307291</v>
      </c>
    </row>
    <row r="72" customFormat="false" ht="12" hidden="false" customHeight="true" outlineLevel="0" collapsed="false">
      <c r="B72" s="296"/>
      <c r="D72" s="278"/>
      <c r="E72" s="278"/>
      <c r="F72" s="278"/>
      <c r="G72" s="278"/>
    </row>
    <row r="73" customFormat="false" ht="12" hidden="false" customHeight="true" outlineLevel="0" collapsed="false">
      <c r="B73" s="287" t="s">
        <v>2106</v>
      </c>
      <c r="C73" s="1" t="str">
        <f aca="false">IFERROR(INDEX(BC_OCC,MATCH($C$4&amp;"|"&amp;$C$6&amp;"|"&amp;$C$7,BC_KEY,0)),"")&amp;" | "&amp;$C$4</f>
        <v>Mega (Storage/Distribution) Warehouses | Mega (Storage/Distribution) Warehouses</v>
      </c>
      <c r="D73" s="278" t="str">
        <f aca="false">"Class: "&amp;$C$6&amp;" / "&amp;$C$7</f>
        <v>Class: C / Average</v>
      </c>
      <c r="E73" s="278"/>
      <c r="F73" s="278"/>
      <c r="G73" s="278"/>
    </row>
    <row r="74" customFormat="false" ht="12" hidden="false" customHeight="true" outlineLevel="0" collapsed="false">
      <c r="B74" s="287" t="s">
        <v>2107</v>
      </c>
      <c r="C74" s="1" t="str">
        <f aca="false">"CCM/De-trend: "&amp;TEXT(D33,"0.000")&amp;" | LAM: "&amp;TEXT(D34,"0.000")</f>
        <v>CCM/De-trend: 1.056 | LAM: 1.000</v>
      </c>
      <c r="D74" s="278" t="str">
        <f aca="false">"Sec.99 p.3/p.7 (Jan 2025 insert) + Sec.98 Denver de-trend"</f>
        <v>Sec.99 p.3/p.7 (Jan 2025 insert) + Sec.98 Denver de-trend</v>
      </c>
      <c r="E74" s="278"/>
      <c r="F74" s="278"/>
      <c r="G74" s="278"/>
    </row>
    <row r="75" customFormat="false" ht="12" hidden="false" customHeight="true" outlineLevel="0" collapsed="false">
      <c r="B75" s="296"/>
      <c r="C75" s="1" t="str">
        <f aca="false">"Story Ht Mult: "&amp;TEXT(D36,"0.000")&amp;" | Area Mult: "&amp;TEXT(D35,"0.000")</f>
        <v>Story Ht Mult: 1.650 | Area Mult: 0.853</v>
      </c>
      <c r="D75" s="278"/>
      <c r="E75" s="278"/>
      <c r="F75" s="278"/>
      <c r="G75" s="278"/>
    </row>
    <row r="76" customFormat="false" ht="12" hidden="true" customHeight="true" outlineLevel="0" collapsed="false">
      <c r="B76" s="296"/>
      <c r="C76" s="308"/>
      <c r="D76" s="278"/>
      <c r="E76" s="278"/>
      <c r="F76" s="278"/>
      <c r="G76" s="278"/>
    </row>
    <row r="77" customFormat="false" ht="12" hidden="true" customHeight="true" outlineLevel="0" collapsed="false">
      <c r="B77" s="339" t="str">
        <f aca="false">IF(OR($D$24=0,$C$59=0),"[!] INCOMPLETE -- Base Cost and/or Life Expectancy could not be determined. Check Occupancy/Class/Quality in Step 1, or use the Manual MVS Override below.",IF($C$11="","[!] STEP 2 INCOMPLETE -- enter the average eave/wall height (C11). Until you do, the story-height multiplier defaults to 1.000 and the shell cost is understated for any building taller than the MVS base height.",IF(OR($C$12="",$C$13=""),"[!] STEP 2 INCOMPLETE -- enter the MVS Floor Area-Perimeter multiplier (C12/C13) for this building's SF and average perimeter. Leaving it at 1.000 overstates a large-footprint building.",IF(AND($C$18=$C$19,$C$17&lt;&gt;DATE(YEAR($C$17),1,1)),"[i] Both de-trend bracket quarters are the same, so no interpolation is applied. Set C18/C19 to the two Sec.98 quarters that straddle the appraisal date.",IF($C$58=0,"[!] No Year Built on the Subject Property tab, so effective age is 0 and no physical depreciation is being taken.",IF(OR($C$81&gt;0,$C$82&gt;0,$C$83&lt;&gt;""),"[i] Using Manual MVS Override values below -- confirm these before relying on this value.",""))))))</f>
        <v/>
      </c>
      <c r="C77" s="339"/>
      <c r="D77" s="339"/>
      <c r="E77" s="339"/>
      <c r="F77" s="339"/>
      <c r="G77" s="339"/>
      <c r="H77" s="339"/>
      <c r="I77" s="339"/>
    </row>
    <row r="78" customFormat="false" ht="15.75" hidden="true" customHeight="true" outlineLevel="0" collapsed="false">
      <c r="B78" s="340" t="s">
        <v>2108</v>
      </c>
      <c r="C78" s="341"/>
      <c r="D78" s="341"/>
      <c r="E78" s="341"/>
      <c r="F78" s="341"/>
      <c r="G78" s="341"/>
      <c r="H78" s="74"/>
      <c r="I78" s="74"/>
    </row>
    <row r="79" customFormat="false" ht="54.75" hidden="true" customHeight="true" outlineLevel="0" collapsed="false">
      <c r="B79" s="58" t="s">
        <v>2109</v>
      </c>
      <c r="C79" s="58"/>
      <c r="D79" s="58"/>
      <c r="E79" s="58"/>
      <c r="F79" s="58"/>
      <c r="G79" s="58"/>
      <c r="H79" s="58"/>
      <c r="I79" s="58"/>
    </row>
    <row r="80" customFormat="false" ht="12" hidden="true" customHeight="true" outlineLevel="0" collapsed="false">
      <c r="B80" s="296"/>
      <c r="C80" s="278"/>
      <c r="D80" s="278"/>
      <c r="E80" s="278"/>
      <c r="F80" s="278"/>
      <c r="G80" s="278"/>
    </row>
    <row r="81" customFormat="false" ht="12" hidden="true" customHeight="true" outlineLevel="0" collapsed="false">
      <c r="B81" s="296" t="s">
        <v>2110</v>
      </c>
      <c r="C81" s="342" t="n">
        <v>0</v>
      </c>
      <c r="D81" s="278"/>
      <c r="E81" s="278"/>
      <c r="F81" s="278"/>
      <c r="G81" s="278"/>
    </row>
    <row r="82" customFormat="false" ht="12" hidden="true" customHeight="true" outlineLevel="0" collapsed="false">
      <c r="B82" s="296" t="s">
        <v>2111</v>
      </c>
      <c r="C82" s="343" t="n">
        <v>0</v>
      </c>
      <c r="D82" s="278"/>
      <c r="E82" s="278"/>
      <c r="F82" s="278"/>
      <c r="G82" s="278"/>
    </row>
    <row r="83" customFormat="false" ht="12" hidden="true" customHeight="true" outlineLevel="0" collapsed="false">
      <c r="B83" s="298" t="s">
        <v>2112</v>
      </c>
      <c r="C83" s="344"/>
      <c r="D83" s="345" t="str">
        <f aca="false">IF($C$83="","",IF($C$83="11","Apartments/Hotels/Clubs",IF($C$83="12","Residences/Multiples/Motels",IF($C$83="13","Retail/Stores/Shopping Centers",IF($C$83="14","Industrial/Warehouse",IF($C$83="15","Office/Medical/Public",IF($C$83="16","Churches/Theaters/Auditoriums",IF($C$83="17","Sheds/Farm",IF($C$83="18","Schools",)))))))))</f>
        <v/>
      </c>
      <c r="E83" s="278"/>
      <c r="F83" s="278"/>
      <c r="G83" s="278"/>
    </row>
    <row r="84" customFormat="false" ht="12" hidden="true" customHeight="true" outlineLevel="0" collapsed="false">
      <c r="B84" s="298"/>
      <c r="C84" s="278"/>
      <c r="D84" s="278"/>
      <c r="E84" s="278"/>
      <c r="F84" s="278"/>
      <c r="G84" s="278"/>
    </row>
    <row r="85" customFormat="false" ht="12" hidden="true" customHeight="true" outlineLevel="0" collapsed="false">
      <c r="B85" s="296"/>
      <c r="D85" s="278"/>
      <c r="E85" s="278"/>
      <c r="F85" s="278"/>
      <c r="G85" s="278"/>
    </row>
    <row r="86" customFormat="false" ht="12" hidden="true" customHeight="true" outlineLevel="0" collapsed="false">
      <c r="B86" s="296"/>
      <c r="D86" s="278"/>
      <c r="E86" s="278"/>
      <c r="F86" s="278"/>
      <c r="G86" s="278"/>
    </row>
    <row r="87" customFormat="false" ht="12" hidden="true" customHeight="true" outlineLevel="0" collapsed="false">
      <c r="B87" s="296"/>
      <c r="D87" s="278"/>
      <c r="E87" s="278"/>
      <c r="F87" s="278"/>
      <c r="G87" s="278"/>
    </row>
    <row r="88" customFormat="false" ht="12" hidden="true" customHeight="true" outlineLevel="0" collapsed="false">
      <c r="B88" s="296"/>
      <c r="C88" s="278"/>
      <c r="D88" s="278"/>
      <c r="E88" s="278"/>
      <c r="F88" s="278"/>
      <c r="G88" s="278"/>
    </row>
    <row r="89" customFormat="false" ht="12" hidden="true" customHeight="true" outlineLevel="0" collapsed="false">
      <c r="B89" s="296"/>
      <c r="C89" s="278"/>
      <c r="D89" s="278"/>
      <c r="F89" s="278"/>
      <c r="G89" s="278"/>
    </row>
    <row r="90" customFormat="false" ht="12" hidden="true" customHeight="true" outlineLevel="0" collapsed="false">
      <c r="B90" s="298"/>
      <c r="C90" s="278"/>
      <c r="F90" s="278"/>
      <c r="G90" s="278"/>
    </row>
    <row r="91" customFormat="false" ht="12" hidden="true" customHeight="true" outlineLevel="0" collapsed="false">
      <c r="B91" s="298"/>
      <c r="C91" s="278"/>
      <c r="F91" s="278"/>
      <c r="G91" s="278"/>
    </row>
    <row r="92" customFormat="false" ht="12" hidden="true" customHeight="true" outlineLevel="0" collapsed="false">
      <c r="B92" s="296"/>
      <c r="C92" s="278"/>
      <c r="D92" s="308"/>
      <c r="E92" s="308"/>
      <c r="F92" s="278"/>
      <c r="G92" s="278"/>
    </row>
    <row r="93" customFormat="false" ht="12" hidden="true" customHeight="true" outlineLevel="0" collapsed="false">
      <c r="B93" s="298"/>
      <c r="C93" s="278"/>
      <c r="D93" s="278"/>
      <c r="E93" s="278"/>
      <c r="F93" s="278"/>
      <c r="G93" s="278"/>
    </row>
    <row r="94" customFormat="false" ht="12" hidden="true" customHeight="true" outlineLevel="0" collapsed="false">
      <c r="B94" s="296"/>
      <c r="C94" s="278"/>
      <c r="D94" s="308"/>
      <c r="E94" s="308"/>
      <c r="G94" s="278"/>
    </row>
    <row r="95" customFormat="false" ht="12" hidden="true" customHeight="true" outlineLevel="0" collapsed="false">
      <c r="B95" s="298"/>
      <c r="C95" s="278"/>
      <c r="D95" s="278"/>
      <c r="E95" s="278"/>
      <c r="F95" s="278"/>
      <c r="G95" s="278"/>
    </row>
    <row r="96" customFormat="false" ht="12" hidden="true" customHeight="true" outlineLevel="0" collapsed="false">
      <c r="B96" s="296"/>
      <c r="C96" s="278"/>
      <c r="D96" s="278"/>
      <c r="E96" s="278"/>
      <c r="F96" s="278"/>
      <c r="G96" s="278"/>
    </row>
    <row r="97" customFormat="false" ht="12" hidden="true" customHeight="true" outlineLevel="0" collapsed="false">
      <c r="B97" s="278"/>
      <c r="C97" s="278"/>
      <c r="D97" s="278"/>
      <c r="E97" s="278"/>
      <c r="F97" s="278"/>
      <c r="G97" s="278"/>
    </row>
    <row r="98" customFormat="false" ht="12" hidden="true" customHeight="true" outlineLevel="0" collapsed="false">
      <c r="B98" s="278"/>
      <c r="C98" s="278"/>
      <c r="D98" s="278"/>
      <c r="E98" s="278"/>
      <c r="F98" s="278"/>
      <c r="G98" s="278"/>
    </row>
    <row r="99" customFormat="false" ht="12" hidden="true" customHeight="true" outlineLevel="0" collapsed="false">
      <c r="B99" s="298"/>
      <c r="C99" s="278"/>
      <c r="D99" s="278"/>
      <c r="E99" s="278"/>
      <c r="F99" s="278"/>
      <c r="G99" s="278"/>
    </row>
    <row r="100" customFormat="false" ht="12" hidden="true" customHeight="true" outlineLevel="0" collapsed="false">
      <c r="B100" s="296"/>
      <c r="C100" s="278"/>
      <c r="D100" s="278"/>
      <c r="E100" s="278"/>
      <c r="F100" s="278"/>
      <c r="G100" s="278"/>
    </row>
    <row r="101" customFormat="false" ht="12" hidden="true" customHeight="true" outlineLevel="0" collapsed="false">
      <c r="B101" s="296"/>
      <c r="C101" s="278"/>
      <c r="D101" s="278"/>
      <c r="E101" s="278"/>
      <c r="F101" s="278"/>
      <c r="G101" s="278"/>
    </row>
    <row r="102" customFormat="false" ht="12" hidden="true" customHeight="true" outlineLevel="0" collapsed="false">
      <c r="B102" s="346"/>
      <c r="C102" s="278"/>
      <c r="D102" s="278"/>
      <c r="E102" s="278"/>
      <c r="F102" s="278"/>
      <c r="G102" s="278"/>
    </row>
    <row r="103" customFormat="false" ht="12" hidden="true" customHeight="true" outlineLevel="0" collapsed="false">
      <c r="B103" s="346"/>
      <c r="C103" s="278"/>
      <c r="D103" s="278"/>
      <c r="E103" s="278"/>
      <c r="F103" s="278"/>
      <c r="G103" s="278"/>
    </row>
    <row r="104" customFormat="false" ht="12" hidden="true" customHeight="true" outlineLevel="0" collapsed="false">
      <c r="B104" s="346"/>
      <c r="C104" s="278"/>
      <c r="D104" s="278"/>
      <c r="E104" s="278"/>
      <c r="F104" s="278"/>
      <c r="G104" s="278"/>
    </row>
    <row r="105" customFormat="false" ht="12" hidden="true" customHeight="true" outlineLevel="0" collapsed="false">
      <c r="B105" s="298"/>
      <c r="C105" s="278"/>
      <c r="D105" s="278"/>
      <c r="E105" s="278"/>
      <c r="F105" s="278"/>
      <c r="G105" s="278"/>
    </row>
    <row r="106" customFormat="false" ht="12" hidden="true" customHeight="true" outlineLevel="0" collapsed="false">
      <c r="B106" s="298"/>
      <c r="C106" s="278"/>
      <c r="D106" s="278"/>
      <c r="E106" s="278"/>
      <c r="F106" s="278"/>
      <c r="G106" s="278"/>
    </row>
    <row r="107" customFormat="false" ht="12" hidden="true" customHeight="true" outlineLevel="0" collapsed="false">
      <c r="B107" s="298"/>
      <c r="C107" s="278"/>
      <c r="D107" s="278"/>
      <c r="E107" s="278"/>
      <c r="F107" s="278"/>
      <c r="G107" s="278"/>
    </row>
    <row r="108" customFormat="false" ht="12" hidden="true" customHeight="true" outlineLevel="0" collapsed="false">
      <c r="B108" s="278"/>
      <c r="C108" s="278"/>
      <c r="D108" s="278"/>
      <c r="E108" s="278"/>
      <c r="F108" s="278"/>
      <c r="G108" s="278"/>
    </row>
    <row r="109" customFormat="false" ht="12" hidden="true" customHeight="true" outlineLevel="0" collapsed="false">
      <c r="B109" s="296"/>
      <c r="C109" s="278"/>
      <c r="D109" s="278"/>
      <c r="E109" s="278"/>
      <c r="F109" s="278"/>
      <c r="G109" s="278"/>
    </row>
    <row r="110" customFormat="false" ht="12" hidden="true" customHeight="true" outlineLevel="0" collapsed="false">
      <c r="B110" s="298"/>
      <c r="C110" s="278"/>
      <c r="D110" s="278"/>
      <c r="E110" s="278"/>
      <c r="F110" s="278"/>
      <c r="G110" s="278"/>
      <c r="Q110" s="278"/>
      <c r="R110" s="278"/>
    </row>
    <row r="111" customFormat="false" ht="12" hidden="true" customHeight="true" outlineLevel="0" collapsed="false">
      <c r="B111" s="278"/>
      <c r="C111" s="278"/>
      <c r="D111" s="278"/>
      <c r="E111" s="278"/>
      <c r="F111" s="278"/>
      <c r="G111" s="278"/>
      <c r="Q111" s="278"/>
      <c r="R111" s="278"/>
    </row>
    <row r="112" customFormat="false" ht="12" hidden="true" customHeight="true" outlineLevel="0" collapsed="false">
      <c r="B112" s="278"/>
      <c r="C112" s="278"/>
      <c r="D112" s="278"/>
      <c r="E112" s="278"/>
      <c r="F112" s="278"/>
      <c r="G112" s="278"/>
    </row>
    <row r="113" customFormat="false" ht="12" hidden="true" customHeight="true" outlineLevel="0" collapsed="false">
      <c r="B113" s="278"/>
      <c r="C113" s="278"/>
      <c r="D113" s="278"/>
      <c r="E113" s="278"/>
      <c r="F113" s="278"/>
      <c r="G113" s="278"/>
    </row>
    <row r="114" customFormat="false" ht="12" hidden="true" customHeight="true" outlineLevel="0" collapsed="false">
      <c r="B114" s="347"/>
      <c r="C114" s="325"/>
      <c r="D114" s="278"/>
      <c r="E114" s="278"/>
      <c r="F114" s="278"/>
    </row>
    <row r="115" customFormat="false" ht="12" hidden="true" customHeight="true" outlineLevel="0" collapsed="false">
      <c r="B115" s="298"/>
      <c r="C115" s="278"/>
      <c r="D115" s="278"/>
      <c r="E115" s="278"/>
      <c r="F115" s="278"/>
      <c r="G115" s="278"/>
    </row>
    <row r="116" customFormat="false" ht="12" hidden="true" customHeight="true" outlineLevel="0" collapsed="false">
      <c r="B116" s="276"/>
      <c r="C116" s="276"/>
      <c r="D116" s="278"/>
      <c r="E116" s="278"/>
      <c r="F116" s="278"/>
      <c r="G116" s="278"/>
    </row>
    <row r="117" customFormat="false" ht="12" hidden="true" customHeight="true" outlineLevel="0" collapsed="false">
      <c r="B117" s="327"/>
      <c r="C117" s="327"/>
      <c r="D117" s="327"/>
      <c r="E117" s="327"/>
      <c r="F117" s="327"/>
      <c r="G117" s="327"/>
    </row>
    <row r="118" customFormat="false" ht="12" hidden="true" customHeight="true" outlineLevel="0" collapsed="false">
      <c r="Q118" s="278"/>
      <c r="R118" s="278"/>
    </row>
    <row r="119" customFormat="false" ht="12" hidden="true" customHeight="true" outlineLevel="0" collapsed="false">
      <c r="B119" s="308"/>
      <c r="Q119" s="278"/>
      <c r="R119" s="278"/>
    </row>
    <row r="120" customFormat="false" ht="12" hidden="true" customHeight="true" outlineLevel="0" collapsed="false">
      <c r="B120" s="276"/>
      <c r="C120" s="278"/>
      <c r="D120" s="348"/>
      <c r="Q120" s="278"/>
      <c r="R120" s="278"/>
    </row>
    <row r="121" customFormat="false" ht="12" hidden="true" customHeight="true" outlineLevel="0" collapsed="false">
      <c r="B121" s="276"/>
      <c r="C121" s="278"/>
      <c r="D121" s="348"/>
      <c r="Q121" s="278"/>
      <c r="R121" s="278"/>
    </row>
    <row r="122" customFormat="false" ht="24" hidden="true" customHeight="true" outlineLevel="0" collapsed="false">
      <c r="B122" s="349"/>
      <c r="C122" s="278"/>
      <c r="D122" s="348"/>
    </row>
    <row r="123" customFormat="false" ht="12" hidden="true" customHeight="true" outlineLevel="0" collapsed="false">
      <c r="B123" s="276"/>
      <c r="C123" s="278"/>
      <c r="D123" s="348"/>
    </row>
    <row r="124" customFormat="false" ht="12" hidden="true" customHeight="true" outlineLevel="0" collapsed="false">
      <c r="B124" s="276"/>
      <c r="C124" s="278"/>
      <c r="D124" s="348"/>
    </row>
    <row r="125" customFormat="false" ht="12" hidden="true" customHeight="true" outlineLevel="0" collapsed="false">
      <c r="B125" s="276"/>
      <c r="C125" s="278"/>
      <c r="D125" s="348"/>
    </row>
    <row r="126" customFormat="false" ht="12" hidden="true" customHeight="true" outlineLevel="0" collapsed="false">
      <c r="B126" s="276"/>
      <c r="C126" s="278"/>
      <c r="D126" s="348"/>
    </row>
    <row r="127" customFormat="false" ht="12" hidden="true" customHeight="true" outlineLevel="0" collapsed="false">
      <c r="B127" s="276"/>
      <c r="C127" s="278"/>
      <c r="D127" s="348"/>
    </row>
    <row r="128" customFormat="false" ht="12" hidden="true" customHeight="true" outlineLevel="0" collapsed="false">
      <c r="B128" s="276"/>
      <c r="C128" s="278"/>
      <c r="D128" s="348"/>
    </row>
    <row r="129" customFormat="false" ht="12" hidden="true" customHeight="true" outlineLevel="0" collapsed="false">
      <c r="B129" s="276"/>
      <c r="C129" s="278"/>
      <c r="D129" s="348"/>
    </row>
    <row r="130" customFormat="false" ht="12" hidden="true" customHeight="true" outlineLevel="0" collapsed="false">
      <c r="B130" s="276"/>
      <c r="C130" s="278"/>
      <c r="D130" s="348"/>
    </row>
    <row r="131" customFormat="false" ht="12" hidden="true" customHeight="true" outlineLevel="0" collapsed="false">
      <c r="B131" s="276"/>
      <c r="C131" s="278"/>
      <c r="D131" s="348"/>
    </row>
    <row r="132" customFormat="false" ht="12" hidden="true" customHeight="true" outlineLevel="0" collapsed="false">
      <c r="B132" s="278"/>
      <c r="C132" s="278"/>
      <c r="D132" s="278"/>
    </row>
    <row r="133" customFormat="false" ht="12" hidden="true" customHeight="true" outlineLevel="0" collapsed="false">
      <c r="B133" s="347"/>
      <c r="C133" s="278"/>
    </row>
    <row r="134" customFormat="false" ht="12" hidden="true" customHeight="true" outlineLevel="0" collapsed="false"/>
    <row r="135" customFormat="false" ht="12" hidden="true" customHeight="true" outlineLevel="0" collapsed="false">
      <c r="B135" s="276"/>
      <c r="C135" s="298"/>
      <c r="D135" s="278"/>
    </row>
    <row r="136" customFormat="false" ht="15" hidden="true" customHeight="true" outlineLevel="0" collapsed="false">
      <c r="B136" s="350"/>
      <c r="C136" s="351"/>
      <c r="D136" s="352"/>
      <c r="E136" s="353"/>
      <c r="F136" s="354"/>
      <c r="G136" s="354"/>
      <c r="H136" s="355"/>
      <c r="I136" s="355"/>
    </row>
    <row r="137" customFormat="false" ht="15" hidden="false" customHeight="true" outlineLevel="0" collapsed="false">
      <c r="B137" s="356"/>
      <c r="C137" s="353"/>
      <c r="D137" s="353"/>
      <c r="E137" s="353"/>
      <c r="F137" s="354"/>
      <c r="G137" s="354"/>
      <c r="H137" s="355"/>
      <c r="I137" s="355"/>
    </row>
    <row r="138" customFormat="false" ht="15" hidden="false" customHeight="true" outlineLevel="0" collapsed="false">
      <c r="B138" s="356"/>
      <c r="C138" s="353"/>
      <c r="D138" s="353"/>
      <c r="E138" s="353"/>
      <c r="F138" s="354"/>
      <c r="G138" s="354"/>
      <c r="H138" s="355"/>
      <c r="I138" s="355"/>
    </row>
    <row r="139" customFormat="false" ht="15" hidden="false" customHeight="true" outlineLevel="0" collapsed="false">
      <c r="B139" s="356"/>
      <c r="C139" s="353"/>
      <c r="D139" s="353"/>
      <c r="E139" s="353"/>
      <c r="F139" s="354"/>
      <c r="G139" s="354"/>
      <c r="H139" s="355"/>
      <c r="I139" s="355"/>
    </row>
    <row r="140" customFormat="false" ht="15" hidden="false" customHeight="true" outlineLevel="0" collapsed="false">
      <c r="B140" s="356"/>
      <c r="C140" s="353"/>
      <c r="D140" s="353"/>
      <c r="E140" s="353"/>
      <c r="F140" s="354"/>
      <c r="G140" s="354"/>
      <c r="H140" s="355"/>
      <c r="I140" s="355"/>
    </row>
    <row r="141" customFormat="false" ht="15" hidden="false" customHeight="true" outlineLevel="0" collapsed="false">
      <c r="B141" s="356"/>
      <c r="C141" s="353"/>
      <c r="D141" s="353"/>
      <c r="E141" s="353"/>
      <c r="F141" s="354"/>
      <c r="G141" s="354"/>
      <c r="H141" s="355"/>
      <c r="I141" s="355"/>
    </row>
    <row r="142" customFormat="false" ht="15" hidden="false" customHeight="true" outlineLevel="0" collapsed="false">
      <c r="B142" s="356"/>
      <c r="C142" s="353"/>
      <c r="D142" s="353"/>
      <c r="E142" s="353"/>
      <c r="F142" s="354"/>
      <c r="G142" s="354"/>
      <c r="H142" s="355"/>
      <c r="I142" s="355"/>
    </row>
    <row r="143" customFormat="false" ht="15" hidden="false" customHeight="true" outlineLevel="0" collapsed="false">
      <c r="B143" s="356"/>
      <c r="C143" s="353"/>
      <c r="D143" s="353"/>
      <c r="E143" s="353"/>
      <c r="F143" s="354"/>
      <c r="G143" s="354"/>
      <c r="H143" s="355"/>
      <c r="I143" s="355"/>
    </row>
    <row r="144" customFormat="false" ht="15" hidden="false" customHeight="true" outlineLevel="0" collapsed="false">
      <c r="B144" s="356"/>
      <c r="C144" s="353"/>
      <c r="D144" s="353"/>
      <c r="E144" s="353"/>
      <c r="F144" s="354"/>
      <c r="G144" s="354"/>
      <c r="H144" s="355"/>
      <c r="I144" s="355"/>
    </row>
    <row r="145" customFormat="false" ht="15" hidden="false" customHeight="true" outlineLevel="0" collapsed="false">
      <c r="B145" s="356"/>
      <c r="C145" s="353"/>
      <c r="D145" s="353"/>
      <c r="E145" s="353"/>
      <c r="F145" s="354"/>
      <c r="G145" s="354"/>
      <c r="H145" s="355"/>
      <c r="I145" s="355"/>
    </row>
    <row r="146" customFormat="false" ht="15" hidden="false" customHeight="true" outlineLevel="0" collapsed="false">
      <c r="B146" s="356"/>
      <c r="C146" s="353"/>
      <c r="D146" s="353"/>
      <c r="E146" s="353"/>
      <c r="F146" s="354"/>
      <c r="G146" s="354"/>
      <c r="H146" s="355"/>
      <c r="I146" s="355"/>
    </row>
    <row r="147" customFormat="false" ht="15" hidden="false" customHeight="true" outlineLevel="0" collapsed="false">
      <c r="B147" s="356"/>
      <c r="C147" s="353"/>
      <c r="D147" s="353"/>
      <c r="E147" s="353"/>
      <c r="F147" s="354"/>
      <c r="G147" s="354"/>
      <c r="H147" s="355"/>
      <c r="I147" s="355"/>
    </row>
    <row r="223" customFormat="false" ht="12.75" hidden="false" customHeight="true" outlineLevel="0" collapsed="false">
      <c r="Q223" s="357"/>
      <c r="R223" s="357"/>
    </row>
    <row r="224" customFormat="false" ht="12.75" hidden="false" customHeight="true" outlineLevel="0" collapsed="false">
      <c r="Q224" s="357"/>
      <c r="R224" s="357"/>
    </row>
    <row r="225" customFormat="false" ht="12.75" hidden="false" customHeight="true" outlineLevel="0" collapsed="false">
      <c r="Q225" s="357"/>
      <c r="R225" s="357"/>
    </row>
    <row r="226" customFormat="false" ht="12.75" hidden="false" customHeight="true" outlineLevel="0" collapsed="false">
      <c r="Q226" s="357"/>
      <c r="R226" s="357"/>
    </row>
    <row r="341" customFormat="false" ht="12.75" hidden="false" customHeight="true" outlineLevel="0" collapsed="false">
      <c r="Q341" s="357"/>
      <c r="R341" s="357"/>
    </row>
    <row r="540" customFormat="false" ht="12.75" hidden="false" customHeight="true" outlineLevel="0" collapsed="false">
      <c r="Q540" s="357"/>
      <c r="R540" s="357"/>
    </row>
    <row r="541" customFormat="false" ht="12.75" hidden="false" customHeight="true" outlineLevel="0" collapsed="false">
      <c r="Q541" s="357"/>
      <c r="R541" s="357"/>
    </row>
    <row r="542" customFormat="false" ht="12.75" hidden="false" customHeight="true" outlineLevel="0" collapsed="false">
      <c r="Q542" s="357"/>
      <c r="R542" s="357"/>
    </row>
  </sheetData>
  <mergeCells count="3">
    <mergeCell ref="B2:G2"/>
    <mergeCell ref="B77:I77"/>
    <mergeCell ref="B79:I79"/>
  </mergeCells>
  <dataValidations count="8">
    <dataValidation allowBlank="true" errorStyle="stop" operator="between" showDropDown="false" showErrorMessage="true" showInputMessage="true" sqref="D11 D74" type="none">
      <formula1>0</formula1>
      <formula2>0</formula2>
    </dataValidation>
    <dataValidation allowBlank="true" errorStyle="stop" operator="between" showDropDown="false" showErrorMessage="false" showInputMessage="false" sqref="C4" type="list">
      <formula1>OCC_NAME</formula1>
      <formula2>0</formula2>
    </dataValidation>
    <dataValidation allowBlank="true" errorStyle="stop" operator="between" showDropDown="false" showErrorMessage="false" showInputMessage="false" sqref="C6" type="list">
      <formula1>"A,B,A-B,C,CMILL,CDS,D,DPOLE,DMASVEN,S,SSLANT"</formula1>
      <formula2>0</formula2>
    </dataValidation>
    <dataValidation allowBlank="true" errorStyle="stop" operator="between" showDropDown="false" showErrorMessage="false" showInputMessage="false" sqref="C7 C14" type="list">
      <formula1>"Low Cost,Fair,Average,Good,Very Good,Excellent,Cheap"</formula1>
      <formula2>0</formula2>
    </dataValidation>
    <dataValidation allowBlank="true" errorStyle="stop" operator="between" showDropDown="false" showErrorMessage="false" showInputMessage="false" sqref="C8" type="list">
      <formula1>LAM_CITY</formula1>
      <formula2>0</formula2>
    </dataValidation>
    <dataValidation allowBlank="true" errorStyle="stop" operator="between" showDropDown="false" showErrorMessage="false" showInputMessage="false" sqref="C18:C19" type="list">
      <formula1>DEN_LABEL</formula1>
      <formula2>0</formula2>
    </dataValidation>
    <dataValidation allowBlank="true" errorStyle="stop" operator="between" showDropDown="false" showErrorMessage="true" showInputMessage="false" sqref="C82" type="list">
      <formula1>"70,65,60,55,50,45,40,35,30,25,20"</formula1>
      <formula2>0</formula2>
    </dataValidation>
    <dataValidation allowBlank="true" errorStyle="stop" operator="between" showDropDown="false" showErrorMessage="true" showInputMessage="false" sqref="C83" type="list">
      <formula1>"11,12,13,14,15,16,17,18"</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L4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2" activeCellId="0" sqref="D12"/>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95.57"/>
    <col collapsed="false" customWidth="true" hidden="false" outlineLevel="0" max="12" min="3" style="1" width="16"/>
  </cols>
  <sheetData>
    <row r="1" customFormat="false" ht="21.75" hidden="false" customHeight="true" outlineLevel="0" collapsed="false">
      <c r="B1" s="57" t="s">
        <v>2113</v>
      </c>
      <c r="C1" s="57"/>
      <c r="D1" s="57"/>
      <c r="E1" s="57"/>
      <c r="F1" s="57"/>
      <c r="G1" s="57"/>
      <c r="H1" s="57"/>
      <c r="I1" s="57"/>
      <c r="J1" s="57"/>
      <c r="K1" s="57"/>
      <c r="L1" s="57"/>
    </row>
    <row r="2" customFormat="false" ht="69.75" hidden="false" customHeight="true" outlineLevel="0" collapsed="false">
      <c r="B2" s="59" t="s">
        <v>2114</v>
      </c>
      <c r="C2" s="59"/>
      <c r="D2" s="59"/>
      <c r="E2" s="59"/>
      <c r="F2" s="59"/>
      <c r="G2" s="59"/>
      <c r="H2" s="59"/>
      <c r="I2" s="59"/>
      <c r="J2" s="59"/>
      <c r="K2" s="59"/>
      <c r="L2" s="59"/>
    </row>
    <row r="4" customFormat="false" ht="12.75" hidden="false" customHeight="true" outlineLevel="0" collapsed="false">
      <c r="B4" s="59" t="s">
        <v>2115</v>
      </c>
      <c r="C4" s="59" t="s">
        <v>266</v>
      </c>
      <c r="D4" s="59" t="s">
        <v>267</v>
      </c>
      <c r="E4" s="59" t="s">
        <v>268</v>
      </c>
      <c r="F4" s="59" t="s">
        <v>269</v>
      </c>
      <c r="G4" s="59" t="s">
        <v>270</v>
      </c>
      <c r="H4" s="59" t="s">
        <v>271</v>
      </c>
      <c r="I4" s="59" t="s">
        <v>272</v>
      </c>
      <c r="J4" s="59" t="s">
        <v>273</v>
      </c>
      <c r="K4" s="59" t="s">
        <v>274</v>
      </c>
      <c r="L4" s="59" t="s">
        <v>275</v>
      </c>
    </row>
    <row r="5" customFormat="false" ht="12.75" hidden="false" customHeight="true" outlineLevel="0" collapsed="false">
      <c r="B5" s="59" t="s">
        <v>2116</v>
      </c>
      <c r="C5" s="68">
        <f aca="false">'Subject Property'!C14</f>
      </c>
      <c r="D5" s="68">
        <f aca="false">'Subject Property'!D14</f>
      </c>
      <c r="E5" s="68">
        <f aca="false">'Subject Property'!E14</f>
      </c>
      <c r="F5" s="68">
        <f aca="false">'Subject Property'!F14</f>
      </c>
      <c r="G5" s="68">
        <f aca="false">'Subject Property'!G14</f>
      </c>
      <c r="H5" s="68">
        <f aca="false">'Subject Property'!H14</f>
      </c>
      <c r="I5" s="68">
        <f aca="false">'Subject Property'!I14</f>
      </c>
      <c r="J5" s="68">
        <f aca="false">'Subject Property'!J14</f>
      </c>
      <c r="K5" s="68">
        <f aca="false">'Subject Property'!K14</f>
      </c>
      <c r="L5" s="68">
        <f aca="false">'Subject Property'!L14</f>
      </c>
    </row>
    <row r="6" customFormat="false" ht="12.75" hidden="false" customHeight="true" outlineLevel="0" collapsed="false">
      <c r="B6" s="59" t="s">
        <v>2117</v>
      </c>
      <c r="C6" s="68">
        <f aca="false">IF(C5="","",IFERROR(INDEX(OCCMAP_NAME,MATCH(C5,OCCMAP_CODE,0)),"n/a"))</f>
      </c>
      <c r="D6" s="68">
        <f aca="false">IF(D5="","",IFERROR(INDEX(OCCMAP_NAME,MATCH(D5,OCCMAP_CODE,0)),"n/a"))</f>
      </c>
      <c r="E6" s="68">
        <f aca="false">IF(E5="","",IFERROR(INDEX(OCCMAP_NAME,MATCH(E5,OCCMAP_CODE,0)),"n/a"))</f>
      </c>
      <c r="F6" s="68">
        <f aca="false">IF(F5="","",IFERROR(INDEX(OCCMAP_NAME,MATCH(F5,OCCMAP_CODE,0)),"n/a"))</f>
      </c>
      <c r="G6" s="68">
        <f aca="false">IF(G5="","",IFERROR(INDEX(OCCMAP_NAME,MATCH(G5,OCCMAP_CODE,0)),"n/a"))</f>
      </c>
      <c r="H6" s="68">
        <f aca="false">IF(H5="","",IFERROR(INDEX(OCCMAP_NAME,MATCH(H5,OCCMAP_CODE,0)),"n/a"))</f>
      </c>
      <c r="I6" s="68">
        <f aca="false">IF(I5="","",IFERROR(INDEX(OCCMAP_NAME,MATCH(I5,OCCMAP_CODE,0)),"n/a"))</f>
      </c>
      <c r="J6" s="68">
        <f aca="false">IF(J5="","",IFERROR(INDEX(OCCMAP_NAME,MATCH(J5,OCCMAP_CODE,0)),"n/a"))</f>
      </c>
      <c r="K6" s="68">
        <f aca="false">IF(K5="","",IFERROR(INDEX(OCCMAP_NAME,MATCH(K5,OCCMAP_CODE,0)),"n/a"))</f>
      </c>
      <c r="L6" s="68">
        <f aca="false">IF(L5="","",IFERROR(INDEX(OCCMAP_NAME,MATCH(L5,OCCMAP_CODE,0)),"n/a"))</f>
      </c>
    </row>
    <row r="7" customFormat="false" ht="12.75" hidden="false" customHeight="true" outlineLevel="0" collapsed="false">
      <c r="B7" s="59" t="s">
        <v>2118</v>
      </c>
      <c r="C7" s="72" t="s">
        <v>463</v>
      </c>
      <c r="D7" s="72" t="s">
        <v>463</v>
      </c>
      <c r="E7" s="72"/>
      <c r="F7" s="72"/>
      <c r="G7" s="72"/>
      <c r="H7" s="72"/>
      <c r="I7" s="72"/>
      <c r="J7" s="72"/>
      <c r="K7" s="72"/>
      <c r="L7" s="72"/>
    </row>
    <row r="8" customFormat="false" ht="12.75" hidden="false" customHeight="true" outlineLevel="0" collapsed="false">
      <c r="B8" s="59" t="s">
        <v>2119</v>
      </c>
      <c r="C8" s="72" t="s">
        <v>279</v>
      </c>
      <c r="D8" s="72" t="s">
        <v>279</v>
      </c>
      <c r="E8" s="72"/>
      <c r="F8" s="72"/>
      <c r="G8" s="72"/>
      <c r="H8" s="72"/>
      <c r="I8" s="72"/>
      <c r="J8" s="72"/>
      <c r="K8" s="72"/>
      <c r="L8" s="72"/>
    </row>
    <row r="9" customFormat="false" ht="12.75" hidden="false" customHeight="true" outlineLevel="0" collapsed="false">
      <c r="B9" s="59" t="s">
        <v>2120</v>
      </c>
      <c r="C9" s="69">
        <f aca="false">'Subject Property'!C15</f>
      </c>
      <c r="D9" s="69">
        <f aca="false">'Subject Property'!D15</f>
      </c>
      <c r="E9" s="69">
        <f aca="false">'Subject Property'!E15</f>
      </c>
      <c r="F9" s="69">
        <f aca="false">'Subject Property'!F15</f>
      </c>
      <c r="G9" s="69">
        <f aca="false">'Subject Property'!G15</f>
      </c>
      <c r="H9" s="69">
        <f aca="false">'Subject Property'!H15</f>
      </c>
      <c r="I9" s="69">
        <f aca="false">'Subject Property'!I15</f>
      </c>
      <c r="J9" s="69">
        <f aca="false">'Subject Property'!J15</f>
      </c>
      <c r="K9" s="69">
        <f aca="false">'Subject Property'!K15</f>
      </c>
      <c r="L9" s="69">
        <f aca="false">'Subject Property'!L15</f>
      </c>
    </row>
    <row r="10" customFormat="false" ht="12.75" hidden="false" customHeight="true" outlineLevel="0" collapsed="false">
      <c r="B10" s="59" t="s">
        <v>2121</v>
      </c>
      <c r="C10" s="69" t="n">
        <v>20</v>
      </c>
      <c r="D10" s="69" t="n">
        <v>16</v>
      </c>
      <c r="E10" s="69"/>
      <c r="F10" s="69"/>
      <c r="G10" s="69"/>
      <c r="H10" s="69"/>
      <c r="I10" s="69"/>
      <c r="J10" s="69"/>
      <c r="K10" s="69"/>
      <c r="L10" s="69"/>
    </row>
    <row r="11" customFormat="false" ht="12.75" hidden="false" customHeight="true" outlineLevel="0" collapsed="false">
      <c r="B11" s="59" t="s">
        <v>2122</v>
      </c>
      <c r="C11" s="72" t="s">
        <v>279</v>
      </c>
      <c r="D11" s="72"/>
      <c r="E11" s="72"/>
      <c r="F11" s="72"/>
      <c r="G11" s="72"/>
      <c r="H11" s="72"/>
      <c r="I11" s="72"/>
      <c r="J11" s="72"/>
      <c r="K11" s="72"/>
      <c r="L11" s="72"/>
    </row>
    <row r="12" customFormat="false" ht="12.75" hidden="false" customHeight="true" outlineLevel="0" collapsed="false">
      <c r="B12" s="59" t="inlineStr">
        <is>
          <t xml:space="preserve">Effective Age yrs (to level-of-value date)</t>
        </is>
      </c>
      <c r="C12" s="69">
        <f aca="false">IF('Subject Property'!C18="","",IFERROR(YEAR('Cost Approach'!$C$17)-'Subject Property'!C18,'Subject Property'!C19))</f>
      </c>
      <c r="D12" s="69">
        <f aca="false">IF('Subject Property'!D18="","",IFERROR(YEAR('Cost Approach'!$C$17)-'Subject Property'!D18,'Subject Property'!D19))</f>
      </c>
      <c r="E12" s="69">
        <f aca="false">IF('Subject Property'!E18="","",IFERROR(YEAR('Cost Approach'!$C$17)-'Subject Property'!E18,'Subject Property'!E19))</f>
      </c>
      <c r="F12" s="69">
        <f aca="false">IF('Subject Property'!F18="","",IFERROR(YEAR('Cost Approach'!$C$17)-'Subject Property'!F18,'Subject Property'!F19))</f>
      </c>
      <c r="G12" s="69">
        <f aca="false">IF('Subject Property'!G18="","",IFERROR(YEAR('Cost Approach'!$C$17)-'Subject Property'!G18,'Subject Property'!G19))</f>
      </c>
      <c r="H12" s="69">
        <f aca="false">IF('Subject Property'!H18="","",IFERROR(YEAR('Cost Approach'!$C$17)-'Subject Property'!H18,'Subject Property'!H19))</f>
      </c>
      <c r="I12" s="69">
        <f aca="false">IF('Subject Property'!I18="","",IFERROR(YEAR('Cost Approach'!$C$17)-'Subject Property'!I18,'Subject Property'!I19))</f>
      </c>
      <c r="J12" s="69">
        <f aca="false">IF('Subject Property'!J18="","",IFERROR(YEAR('Cost Approach'!$C$17)-'Subject Property'!J18,'Subject Property'!J19))</f>
      </c>
      <c r="K12" s="69">
        <f aca="false">IF('Subject Property'!K18="","",IFERROR(YEAR('Cost Approach'!$C$17)-'Subject Property'!K18,'Subject Property'!K19))</f>
      </c>
      <c r="L12" s="69">
        <f aca="false">IF('Subject Property'!L18="","",IFERROR(YEAR('Cost Approach'!$C$17)-'Subject Property'!L18,'Subject Property'!L19))</f>
      </c>
    </row>
    <row r="13" customFormat="false" ht="12.75" hidden="false" customHeight="true" outlineLevel="0" collapsed="false">
      <c r="B13" s="59" t="s">
        <v>2124</v>
      </c>
      <c r="C13" s="68">
        <f aca="false">IFERROR(INDEX(OCC_SECTION,MATCH(C6,OCC_NAME,0)),"")</f>
      </c>
      <c r="D13" s="68">
        <f aca="false">IFERROR(INDEX(OCC_SECTION,MATCH(D6,OCC_NAME,0)),"")</f>
      </c>
      <c r="E13" s="68">
        <f aca="false">IFERROR(INDEX(OCC_SECTION,MATCH(E6,OCC_NAME,0)),"")</f>
      </c>
      <c r="F13" s="68">
        <f aca="false">IFERROR(INDEX(OCC_SECTION,MATCH(F6,OCC_NAME,0)),"")</f>
      </c>
      <c r="G13" s="68">
        <f aca="false">IFERROR(INDEX(OCC_SECTION,MATCH(G6,OCC_NAME,0)),"")</f>
      </c>
      <c r="H13" s="68">
        <f aca="false">IFERROR(INDEX(OCC_SECTION,MATCH(H6,OCC_NAME,0)),"")</f>
      </c>
      <c r="I13" s="68">
        <f aca="false">IFERROR(INDEX(OCC_SECTION,MATCH(I6,OCC_NAME,0)),"")</f>
      </c>
      <c r="J13" s="68">
        <f aca="false">IFERROR(INDEX(OCC_SECTION,MATCH(J6,OCC_NAME,0)),"")</f>
      </c>
      <c r="K13" s="68">
        <f aca="false">IFERROR(INDEX(OCC_SECTION,MATCH(K6,OCC_NAME,0)),"")</f>
      </c>
      <c r="L13" s="68">
        <f aca="false">IFERROR(INDEX(OCC_SECTION,MATCH(L6,OCC_NAME,0)),"")</f>
      </c>
    </row>
    <row r="14" customFormat="false" ht="12.75" hidden="false" customHeight="true" outlineLevel="0" collapsed="false">
      <c r="B14" s="59" t="s">
        <v>2125</v>
      </c>
      <c r="C14" s="68">
        <f aca="false">IFERROR(INDEX(BC_VALUE,MATCH(C6&amp;"|"&amp;C7&amp;"|"&amp;C8,BC_KEY,0)),0)</f>
      </c>
      <c r="D14" s="68">
        <f aca="false">IFERROR(INDEX(BC_VALUE,MATCH(D6&amp;"|"&amp;D7&amp;"|"&amp;D8,BC_KEY,0)),0)</f>
      </c>
      <c r="E14" s="68">
        <f aca="false">IFERROR(INDEX(BC_VALUE,MATCH(E6&amp;"|"&amp;E7&amp;"|"&amp;E8,BC_KEY,0)),0)</f>
      </c>
      <c r="F14" s="68">
        <f aca="false">IFERROR(INDEX(BC_VALUE,MATCH(F6&amp;"|"&amp;F7&amp;"|"&amp;F8,BC_KEY,0)),0)</f>
      </c>
      <c r="G14" s="68">
        <f aca="false">IFERROR(INDEX(BC_VALUE,MATCH(G6&amp;"|"&amp;G7&amp;"|"&amp;G8,BC_KEY,0)),0)</f>
      </c>
      <c r="H14" s="68">
        <f aca="false">IFERROR(INDEX(BC_VALUE,MATCH(H6&amp;"|"&amp;H7&amp;"|"&amp;H8,BC_KEY,0)),0)</f>
      </c>
      <c r="I14" s="68">
        <f aca="false">IFERROR(INDEX(BC_VALUE,MATCH(I6&amp;"|"&amp;I7&amp;"|"&amp;I8,BC_KEY,0)),0)</f>
      </c>
      <c r="J14" s="68">
        <f aca="false">IFERROR(INDEX(BC_VALUE,MATCH(J6&amp;"|"&amp;J7&amp;"|"&amp;J8,BC_KEY,0)),0)</f>
      </c>
      <c r="K14" s="68">
        <f aca="false">IFERROR(INDEX(BC_VALUE,MATCH(K6&amp;"|"&amp;K7&amp;"|"&amp;K8,BC_KEY,0)),0)</f>
      </c>
      <c r="L14" s="68">
        <f aca="false">IFERROR(INDEX(BC_VALUE,MATCH(L6&amp;"|"&amp;L7&amp;"|"&amp;L8,BC_KEY,0)),0)</f>
      </c>
    </row>
    <row r="15" customFormat="false" ht="12.75" hidden="false" customHeight="true" outlineLevel="0" collapsed="false">
      <c r="B15" s="59" t="s">
        <v>2126</v>
      </c>
      <c r="C15" s="68">
        <f aca="true">IFERROR(INDEX(INDIRECT("SPR"&amp;C13&amp;"_VALS"),MATCH(C9,INDIRECT("SPR"&amp;C13&amp;"_SF"),1),MATCH(C11,SPR_HDR,0)),0)</f>
      </c>
      <c r="D15" s="68">
        <f aca="true">IFERROR(INDEX(INDIRECT("SPR"&amp;D13&amp;"_VALS"),MATCH(D9,INDIRECT("SPR"&amp;D13&amp;"_SF"),1),MATCH(D11,SPR_HDR,0)),0)</f>
      </c>
      <c r="E15" s="68">
        <f aca="true">IFERROR(INDEX(INDIRECT("SPR"&amp;E13&amp;"_VALS"),MATCH(E9,INDIRECT("SPR"&amp;E13&amp;"_SF"),1),MATCH(E11,SPR_HDR,0)),0)</f>
      </c>
      <c r="F15" s="68">
        <f aca="true">IFERROR(INDEX(INDIRECT("SPR"&amp;F13&amp;"_VALS"),MATCH(F9,INDIRECT("SPR"&amp;F13&amp;"_SF"),1),MATCH(F11,SPR_HDR,0)),0)</f>
      </c>
      <c r="G15" s="68">
        <f aca="true">IFERROR(INDEX(INDIRECT("SPR"&amp;G13&amp;"_VALS"),MATCH(G9,INDIRECT("SPR"&amp;G13&amp;"_SF"),1),MATCH(G11,SPR_HDR,0)),0)</f>
      </c>
      <c r="H15" s="68">
        <f aca="true">IFERROR(INDEX(INDIRECT("SPR"&amp;H13&amp;"_VALS"),MATCH(H9,INDIRECT("SPR"&amp;H13&amp;"_SF"),1),MATCH(H11,SPR_HDR,0)),0)</f>
      </c>
      <c r="I15" s="68">
        <f aca="true">IFERROR(INDEX(INDIRECT("SPR"&amp;I13&amp;"_VALS"),MATCH(I9,INDIRECT("SPR"&amp;I13&amp;"_SF"),1),MATCH(I11,SPR_HDR,0)),0)</f>
      </c>
      <c r="J15" s="68">
        <f aca="true">IFERROR(INDEX(INDIRECT("SPR"&amp;J13&amp;"_VALS"),MATCH(J9,INDIRECT("SPR"&amp;J13&amp;"_SF"),1),MATCH(J11,SPR_HDR,0)),0)</f>
      </c>
      <c r="K15" s="68">
        <f aca="true">IFERROR(INDEX(INDIRECT("SPR"&amp;K13&amp;"_VALS"),MATCH(K9,INDIRECT("SPR"&amp;K13&amp;"_SF"),1),MATCH(K11,SPR_HDR,0)),0)</f>
      </c>
      <c r="L15" s="68">
        <f aca="true">IFERROR(INDEX(INDIRECT("SPR"&amp;L13&amp;"_VALS"),MATCH(L9,INDIRECT("SPR"&amp;L13&amp;"_SF"),1),MATCH(L11,SPR_HDR,0)),0)</f>
      </c>
    </row>
    <row r="16" customFormat="false" ht="12.75" hidden="false" customHeight="true" outlineLevel="0" collapsed="false">
      <c r="B16" s="59" t="s">
        <v>2127</v>
      </c>
      <c r="C16" s="68">
        <f aca="true">IFERROR(INDEX(INDIRECT("SH"&amp;C13&amp;"_M"),MATCH(C10,INDIRECT("SH"&amp;C13&amp;"_H"),1)),1)</f>
      </c>
      <c r="D16" s="68">
        <f aca="true">IFERROR(INDEX(INDIRECT("SH"&amp;D13&amp;"_M"),MATCH(D10,INDIRECT("SH"&amp;D13&amp;"_H"),1)),1)</f>
      </c>
      <c r="E16" s="68">
        <f aca="true">IFERROR(INDEX(INDIRECT("SH"&amp;E13&amp;"_M"),MATCH(E10,INDIRECT("SH"&amp;E13&amp;"_H"),1)),1)</f>
      </c>
      <c r="F16" s="68">
        <f aca="true">IFERROR(INDEX(INDIRECT("SH"&amp;F13&amp;"_M"),MATCH(F10,INDIRECT("SH"&amp;F13&amp;"_H"),1)),1)</f>
      </c>
      <c r="G16" s="68">
        <f aca="true">IFERROR(INDEX(INDIRECT("SH"&amp;G13&amp;"_M"),MATCH(G10,INDIRECT("SH"&amp;G13&amp;"_H"),1)),1)</f>
      </c>
      <c r="H16" s="68">
        <f aca="true">IFERROR(INDEX(INDIRECT("SH"&amp;H13&amp;"_M"),MATCH(H10,INDIRECT("SH"&amp;H13&amp;"_H"),1)),1)</f>
      </c>
      <c r="I16" s="68">
        <f aca="true">IFERROR(INDEX(INDIRECT("SH"&amp;I13&amp;"_M"),MATCH(I10,INDIRECT("SH"&amp;I13&amp;"_H"),1)),1)</f>
      </c>
      <c r="J16" s="68">
        <f aca="true">IFERROR(INDEX(INDIRECT("SH"&amp;J13&amp;"_M"),MATCH(J10,INDIRECT("SH"&amp;J13&amp;"_H"),1)),1)</f>
      </c>
      <c r="K16" s="68">
        <f aca="true">IFERROR(INDEX(INDIRECT("SH"&amp;K13&amp;"_M"),MATCH(K10,INDIRECT("SH"&amp;K13&amp;"_H"),1)),1)</f>
      </c>
      <c r="L16" s="68">
        <f aca="true">IFERROR(INDEX(INDIRECT("SH"&amp;L13&amp;"_M"),MATCH(L10,INDIRECT("SH"&amp;L13&amp;"_H"),1)),1)</f>
      </c>
    </row>
    <row r="17" customFormat="false" ht="12.75" hidden="false" customHeight="true" outlineLevel="0" collapsed="false">
      <c r="B17" s="59" t="inlineStr">
        <is>
          <t xml:space="preserve">Adjusted Building Cost  ((base + HVAC) x multipliers + sprinkler lump sum)</t>
        </is>
      </c>
      <c r="C17" s="68">
        <f aca="false">IF(C6="","",C9*(C14+N(C46))*C44*IF(N(C45)=0,1,C45)*IF(C43="",1,C43)*C16 + C9*C15)</f>
      </c>
      <c r="D17" s="68">
        <f aca="false">IF(D6="","",D9*(D14+N(D46))*D44*IF(N(D45)=0,1,D45)*IF(D43="",1,D43)*D16 + D9*D15)</f>
      </c>
      <c r="E17" s="68">
        <f aca="false">IF(E6="","",E9*(E14+N(E46))*E44*IF(N(E45)=0,1,E45)*IF(E43="",1,E43)*E16 + E9*E15)</f>
      </c>
      <c r="F17" s="68">
        <f aca="false">IF(F6="","",F9*(F14+N(F46))*F44*IF(N(F45)=0,1,F45)*IF(F43="",1,F43)*F16 + F9*F15)</f>
      </c>
      <c r="G17" s="68">
        <f aca="false">IF(G6="","",G9*(G14+N(G46))*G44*IF(N(G45)=0,1,G45)*IF(G43="",1,G43)*G16 + G9*G15)</f>
      </c>
      <c r="H17" s="68">
        <f aca="false">IF(H6="","",H9*(H14+N(H46))*H44*IF(N(H45)=0,1,H45)*IF(H43="",1,H43)*H16 + H9*H15)</f>
      </c>
      <c r="I17" s="68">
        <f aca="false">IF(I6="","",I9*(I14+N(I46))*I44*IF(N(I45)=0,1,I45)*IF(I43="",1,I43)*I16 + I9*I15)</f>
      </c>
      <c r="J17" s="68">
        <f aca="false">IF(J6="","",J9*(J14+N(J46))*J44*IF(N(J45)=0,1,J45)*IF(J43="",1,J43)*J16 + J9*J15)</f>
      </c>
      <c r="K17" s="68">
        <f aca="false">IF(K6="","",K9*(K14+N(K46))*K44*IF(N(K45)=0,1,K45)*IF(K43="",1,K43)*K16 + K9*K15)</f>
      </c>
      <c r="L17" s="68">
        <f aca="false">IF(L6="","",L9*(L14+N(L46))*L44*IF(N(L45)=0,1,L45)*IF(L43="",1,L43)*L16 + L9*L15)</f>
      </c>
    </row>
    <row r="18" customFormat="false" ht="12.75" hidden="false" customHeight="true" outlineLevel="0" collapsed="false">
      <c r="B18" s="59" t="s">
        <v>2129</v>
      </c>
      <c r="C18" s="68">
        <f aca="false">IF(C17="","",C17*(1+'Cost Approach'!$C$48)*(1+'Cost Approach'!$C$50))</f>
      </c>
      <c r="D18" s="68">
        <f aca="false">IF(D17="","",D17*(1+'Cost Approach'!$C$48)*(1+'Cost Approach'!$C$50))</f>
      </c>
      <c r="E18" s="68">
        <f aca="false">IF(E17="","",E17*(1+'Cost Approach'!$C$48)*(1+'Cost Approach'!$C$50))</f>
      </c>
      <c r="F18" s="68">
        <f aca="false">IF(F17="","",F17*(1+'Cost Approach'!$C$48)*(1+'Cost Approach'!$C$50))</f>
      </c>
      <c r="G18" s="68">
        <f aca="false">IF(G17="","",G17*(1+'Cost Approach'!$C$48)*(1+'Cost Approach'!$C$50))</f>
      </c>
      <c r="H18" s="68">
        <f aca="false">IF(H17="","",H17*(1+'Cost Approach'!$C$48)*(1+'Cost Approach'!$C$50))</f>
      </c>
      <c r="I18" s="68">
        <f aca="false">IF(I17="","",I17*(1+'Cost Approach'!$C$48)*(1+'Cost Approach'!$C$50))</f>
      </c>
      <c r="J18" s="68">
        <f aca="false">IF(J17="","",J17*(1+'Cost Approach'!$C$48)*(1+'Cost Approach'!$C$50))</f>
      </c>
      <c r="K18" s="68">
        <f aca="false">IF(K17="","",K17*(1+'Cost Approach'!$C$48)*(1+'Cost Approach'!$C$50))</f>
      </c>
      <c r="L18" s="68">
        <f aca="false">IF(L17="","",L17*(1+'Cost Approach'!$C$48)*(1+'Cost Approach'!$C$50))</f>
      </c>
    </row>
    <row r="19" customFormat="false" ht="12.75" hidden="false" customHeight="true" outlineLevel="0" collapsed="false">
      <c r="B19" s="59" t="s">
        <v>2130</v>
      </c>
      <c r="C19" s="68">
        <f aca="false">IFERROR(INDEX(LIFE_VALUES,MATCH(C6&amp;"|"&amp;C8,LIFE_KEY,0),MATCH("Class "&amp;IF(C7="CMILL","C",IF(OR(C7="DPOLE",C7="DMASVEN",C7="CDS"),"D",IF(C7="A-B","B",IF(C7="SSLANT","S",C7)))),LIFE_CLASSHDR,0)),0)</f>
      </c>
      <c r="D19" s="68">
        <f aca="false">IFERROR(INDEX(LIFE_VALUES,MATCH(D6&amp;"|"&amp;D8,LIFE_KEY,0),MATCH("Class "&amp;IF(D7="CMILL","C",IF(OR(D7="DPOLE",D7="DMASVEN",D7="CDS"),"D",IF(D7="A-B","B",IF(D7="SSLANT","S",D7)))),LIFE_CLASSHDR,0)),0)</f>
      </c>
      <c r="E19" s="68">
        <f aca="false">IFERROR(INDEX(LIFE_VALUES,MATCH(E6&amp;"|"&amp;E8,LIFE_KEY,0),MATCH("Class "&amp;IF(E7="CMILL","C",IF(OR(E7="DPOLE",E7="DMASVEN",E7="CDS"),"D",IF(E7="A-B","B",IF(E7="SSLANT","S",E7)))),LIFE_CLASSHDR,0)),0)</f>
      </c>
      <c r="F19" s="68">
        <f aca="false">IFERROR(INDEX(LIFE_VALUES,MATCH(F6&amp;"|"&amp;F8,LIFE_KEY,0),MATCH("Class "&amp;IF(F7="CMILL","C",IF(OR(F7="DPOLE",F7="DMASVEN",F7="CDS"),"D",IF(F7="A-B","B",IF(F7="SSLANT","S",F7)))),LIFE_CLASSHDR,0)),0)</f>
      </c>
      <c r="G19" s="68">
        <f aca="false">IFERROR(INDEX(LIFE_VALUES,MATCH(G6&amp;"|"&amp;G8,LIFE_KEY,0),MATCH("Class "&amp;IF(G7="CMILL","C",IF(OR(G7="DPOLE",G7="DMASVEN",G7="CDS"),"D",IF(G7="A-B","B",IF(G7="SSLANT","S",G7)))),LIFE_CLASSHDR,0)),0)</f>
      </c>
      <c r="H19" s="68">
        <f aca="false">IFERROR(INDEX(LIFE_VALUES,MATCH(H6&amp;"|"&amp;H8,LIFE_KEY,0),MATCH("Class "&amp;IF(H7="CMILL","C",IF(OR(H7="DPOLE",H7="DMASVEN",H7="CDS"),"D",IF(H7="A-B","B",IF(H7="SSLANT","S",H7)))),LIFE_CLASSHDR,0)),0)</f>
      </c>
      <c r="I19" s="68">
        <f aca="false">IFERROR(INDEX(LIFE_VALUES,MATCH(I6&amp;"|"&amp;I8,LIFE_KEY,0),MATCH("Class "&amp;IF(I7="CMILL","C",IF(OR(I7="DPOLE",I7="DMASVEN",I7="CDS"),"D",IF(I7="A-B","B",IF(I7="SSLANT","S",I7)))),LIFE_CLASSHDR,0)),0)</f>
      </c>
      <c r="J19" s="68">
        <f aca="false">IFERROR(INDEX(LIFE_VALUES,MATCH(J6&amp;"|"&amp;J8,LIFE_KEY,0),MATCH("Class "&amp;IF(J7="CMILL","C",IF(OR(J7="DPOLE",J7="DMASVEN",J7="CDS"),"D",IF(J7="A-B","B",IF(J7="SSLANT","S",J7)))),LIFE_CLASSHDR,0)),0)</f>
      </c>
      <c r="K19" s="68">
        <f aca="false">IFERROR(INDEX(LIFE_VALUES,MATCH(K6&amp;"|"&amp;K8,LIFE_KEY,0),MATCH("Class "&amp;IF(K7="CMILL","C",IF(OR(K7="DPOLE",K7="DMASVEN",K7="CDS"),"D",IF(K7="A-B","B",IF(K7="SSLANT","S",K7)))),LIFE_CLASSHDR,0)),0)</f>
      </c>
      <c r="L19" s="68">
        <f aca="false">IFERROR(INDEX(LIFE_VALUES,MATCH(L6&amp;"|"&amp;L8,LIFE_KEY,0),MATCH("Class "&amp;IF(L7="CMILL","C",IF(OR(L7="DPOLE",L7="DMASVEN",L7="CDS"),"D",IF(L7="A-B","B",IF(L7="SSLANT","S",L7)))),LIFE_CLASSHDR,0)),0)</f>
      </c>
    </row>
    <row r="20" customFormat="false" ht="12.75" hidden="false" customHeight="true" outlineLevel="0" collapsed="false">
      <c r="B20" s="59" t="s">
        <v>2131</v>
      </c>
      <c r="C20" s="68">
        <f aca="false">IF(OR(C6="",C19=0),0,IFERROR(IF(IFERROR(INDEX(OCC_DEPR,MATCH(C6,OCC_NAME,0)),"C")="R",INDEX(DEPRR_VALUES,MATCH(C12,DEPRR_AGE,1),MATCH(C19,DEPRR_LIFEHDR,0)),INDEX(DEPR_VALUES,MATCH(C12,DEPR_AGE,1),MATCH(C19,DEPR_LIFEHDR,0)))/100,1))</f>
      </c>
      <c r="D20" s="68">
        <f aca="false">IF(OR(D6="",D19=0),0,IFERROR(IF(IFERROR(INDEX(OCC_DEPR,MATCH(D6,OCC_NAME,0)),"C")="R",INDEX(DEPRR_VALUES,MATCH(D12,DEPRR_AGE,1),MATCH(D19,DEPRR_LIFEHDR,0)),INDEX(DEPR_VALUES,MATCH(D12,DEPR_AGE,1),MATCH(D19,DEPR_LIFEHDR,0)))/100,1))</f>
      </c>
      <c r="E20" s="68">
        <f aca="false">IF(OR(E6="",E19=0),0,IFERROR(IF(IFERROR(INDEX(OCC_DEPR,MATCH(E6,OCC_NAME,0)),"C")="R",INDEX(DEPRR_VALUES,MATCH(E12,DEPRR_AGE,1),MATCH(E19,DEPRR_LIFEHDR,0)),INDEX(DEPR_VALUES,MATCH(E12,DEPR_AGE,1),MATCH(E19,DEPR_LIFEHDR,0)))/100,1))</f>
      </c>
      <c r="F20" s="68">
        <f aca="false">IF(OR(F6="",F19=0),0,IFERROR(IF(IFERROR(INDEX(OCC_DEPR,MATCH(F6,OCC_NAME,0)),"C")="R",INDEX(DEPRR_VALUES,MATCH(F12,DEPRR_AGE,1),MATCH(F19,DEPRR_LIFEHDR,0)),INDEX(DEPR_VALUES,MATCH(F12,DEPR_AGE,1),MATCH(F19,DEPR_LIFEHDR,0)))/100,1))</f>
      </c>
      <c r="G20" s="68">
        <f aca="false">IF(OR(G6="",G19=0),0,IFERROR(IF(IFERROR(INDEX(OCC_DEPR,MATCH(G6,OCC_NAME,0)),"C")="R",INDEX(DEPRR_VALUES,MATCH(G12,DEPRR_AGE,1),MATCH(G19,DEPRR_LIFEHDR,0)),INDEX(DEPR_VALUES,MATCH(G12,DEPR_AGE,1),MATCH(G19,DEPR_LIFEHDR,0)))/100,1))</f>
      </c>
      <c r="H20" s="68">
        <f aca="false">IF(OR(H6="",H19=0),0,IFERROR(IF(IFERROR(INDEX(OCC_DEPR,MATCH(H6,OCC_NAME,0)),"C")="R",INDEX(DEPRR_VALUES,MATCH(H12,DEPRR_AGE,1),MATCH(H19,DEPRR_LIFEHDR,0)),INDEX(DEPR_VALUES,MATCH(H12,DEPR_AGE,1),MATCH(H19,DEPR_LIFEHDR,0)))/100,1))</f>
      </c>
      <c r="I20" s="68">
        <f aca="false">IF(OR(I6="",I19=0),0,IFERROR(IF(IFERROR(INDEX(OCC_DEPR,MATCH(I6,OCC_NAME,0)),"C")="R",INDEX(DEPRR_VALUES,MATCH(I12,DEPRR_AGE,1),MATCH(I19,DEPRR_LIFEHDR,0)),INDEX(DEPR_VALUES,MATCH(I12,DEPR_AGE,1),MATCH(I19,DEPR_LIFEHDR,0)))/100,1))</f>
      </c>
      <c r="J20" s="68">
        <f aca="false">IF(OR(J6="",J19=0),0,IFERROR(IF(IFERROR(INDEX(OCC_DEPR,MATCH(J6,OCC_NAME,0)),"C")="R",INDEX(DEPRR_VALUES,MATCH(J12,DEPRR_AGE,1),MATCH(J19,DEPRR_LIFEHDR,0)),INDEX(DEPR_VALUES,MATCH(J12,DEPR_AGE,1),MATCH(J19,DEPR_LIFEHDR,0)))/100,1))</f>
      </c>
      <c r="K20" s="68">
        <f aca="false">IF(OR(K6="",K19=0),0,IFERROR(IF(IFERROR(INDEX(OCC_DEPR,MATCH(K6,OCC_NAME,0)),"C")="R",INDEX(DEPRR_VALUES,MATCH(K12,DEPRR_AGE,1),MATCH(K19,DEPRR_LIFEHDR,0)),INDEX(DEPR_VALUES,MATCH(K12,DEPR_AGE,1),MATCH(K19,DEPR_LIFEHDR,0)))/100,1))</f>
      </c>
      <c r="L20" s="68">
        <f aca="false">IF(OR(L6="",L19=0),0,IFERROR(IF(IFERROR(INDEX(OCC_DEPR,MATCH(L6,OCC_NAME,0)),"C")="R",INDEX(DEPRR_VALUES,MATCH(L12,DEPRR_AGE,1),MATCH(L19,DEPRR_LIFEHDR,0)),INDEX(DEPR_VALUES,MATCH(L12,DEPR_AGE,1),MATCH(L19,DEPR_LIFEHDR,0)))/100,1))</f>
      </c>
    </row>
    <row r="21" customFormat="false" ht="12.75" hidden="false" customHeight="true" outlineLevel="0" collapsed="false">
      <c r="B21" s="59" t="s">
        <v>2132</v>
      </c>
      <c r="C21" s="69" t="n">
        <v>0</v>
      </c>
      <c r="D21" s="69"/>
      <c r="E21" s="69"/>
      <c r="F21" s="69"/>
      <c r="G21" s="69"/>
      <c r="H21" s="69"/>
      <c r="I21" s="69"/>
      <c r="J21" s="69"/>
      <c r="K21" s="69"/>
      <c r="L21" s="69"/>
    </row>
    <row r="22" customFormat="false" ht="12.75" hidden="false" customHeight="true" outlineLevel="0" collapsed="false">
      <c r="B22" s="59" t="s">
        <v>2133</v>
      </c>
      <c r="C22" s="69" t="n">
        <v>0</v>
      </c>
      <c r="D22" s="69"/>
      <c r="E22" s="69"/>
      <c r="F22" s="69"/>
      <c r="G22" s="69"/>
      <c r="H22" s="69"/>
      <c r="I22" s="69"/>
      <c r="J22" s="69"/>
      <c r="K22" s="69"/>
      <c r="L22" s="69"/>
    </row>
    <row r="23" customFormat="false" ht="12.75" hidden="false" customHeight="true" outlineLevel="0" collapsed="false">
      <c r="B23" s="59" t="s">
        <v>2134</v>
      </c>
      <c r="C23" s="69">
        <f aca="false">IF(OR(C6="",COLUMN()-2&gt;Subj_NumBldgs),0,C18*(1-C20-C21-C22))</f>
      </c>
      <c r="D23" s="69">
        <f aca="false">IF(OR(D6="",COLUMN()-2&gt;Subj_NumBldgs),0,D18*(1-D20-D21-D22))</f>
      </c>
      <c r="E23" s="69">
        <f aca="false">IF(OR(E6="",COLUMN()-2&gt;Subj_NumBldgs),0,E18*(1-E20-E21-E22))</f>
      </c>
      <c r="F23" s="69">
        <f aca="false">IF(OR(F6="",COLUMN()-2&gt;Subj_NumBldgs),0,F18*(1-F20-F21-F22))</f>
      </c>
      <c r="G23" s="69">
        <f aca="false">IF(OR(G6="",COLUMN()-2&gt;Subj_NumBldgs),0,G18*(1-G20-G21-G22))</f>
      </c>
      <c r="H23" s="69">
        <f aca="false">IF(OR(H6="",COLUMN()-2&gt;Subj_NumBldgs),0,H18*(1-H20-H21-H22))</f>
      </c>
      <c r="I23" s="69">
        <f aca="false">IF(OR(I6="",COLUMN()-2&gt;Subj_NumBldgs),0,I18*(1-I20-I21-I22))</f>
      </c>
      <c r="J23" s="69">
        <f aca="false">IF(OR(J6="",COLUMN()-2&gt;Subj_NumBldgs),0,J18*(1-J20-J21-J22))</f>
      </c>
      <c r="K23" s="69">
        <f aca="false">IF(OR(K6="",COLUMN()-2&gt;Subj_NumBldgs),0,K18*(1-K20-K21-K22))</f>
      </c>
      <c r="L23" s="69">
        <f aca="false">IF(OR(L6="",COLUMN()-2&gt;Subj_NumBldgs),0,L18*(1-L20-L21-L22))</f>
      </c>
    </row>
    <row r="25" customFormat="false" ht="15.75" hidden="false" customHeight="true" outlineLevel="0" collapsed="false">
      <c r="B25" s="57" t="s">
        <v>2135</v>
      </c>
      <c r="C25" s="57">
        <f aca="false">SUM(C23:L23)</f>
      </c>
    </row>
    <row r="26" customFormat="false" ht="12.75" hidden="false" customHeight="true" outlineLevel="0" collapsed="false">
      <c r="B26" s="59" t="s">
        <v>2136</v>
      </c>
      <c r="C26" s="69">
        <f aca="false">'Cost Approach'!$F$56</f>
      </c>
    </row>
    <row r="27" customFormat="false" ht="12.75" hidden="false" customHeight="true" outlineLevel="0" collapsed="false">
      <c r="B27" s="59" t="s">
        <v>2137</v>
      </c>
      <c r="C27" s="69">
        <f aca="false">'Cost Approach'!$G$46</f>
      </c>
    </row>
    <row r="28" customFormat="false" ht="12.75" hidden="false" customHeight="true" outlineLevel="0" collapsed="false">
      <c r="B28" s="59" t="s">
        <v>2138</v>
      </c>
      <c r="C28" s="69">
        <f aca="false">'Cost Approach'!$G$67</f>
      </c>
    </row>
    <row r="29" customFormat="false" ht="15.75" hidden="false" customHeight="true" outlineLevel="0" collapsed="false">
      <c r="B29" s="57" t="s">
        <v>2139</v>
      </c>
      <c r="C29" s="57">
        <f aca="false">C25-C26+C27+C28</f>
      </c>
    </row>
    <row r="30" customFormat="false" ht="12.75" hidden="false" customHeight="true" outlineLevel="0" collapsed="false">
      <c r="B30" s="59" t="inlineStr">
        <is>
          <t xml:space="preserve">Rounded (increment from Cost Approach B70)</t>
        </is>
      </c>
      <c r="C30" s="69">
        <f aca="false">ROUND(C29/'Cost Approach'!$B$70,0)*'Cost Approach'!$B$70</f>
      </c>
    </row>
    <row r="31" customFormat="false" ht="12.75" hidden="false" customHeight="true" outlineLevel="0" collapsed="false">
      <c r="B31" s="59" t="s">
        <v>2141</v>
      </c>
      <c r="C31" s="69">
        <f aca="false">IFERROR(C29/Subj_TotalBldgSF,"")</f>
      </c>
    </row>
    <row r="33" customFormat="false" ht="15.75" hidden="false" customHeight="true" outlineLevel="0" collapsed="false">
      <c r="B33" s="57" t="s">
        <v>2142</v>
      </c>
      <c r="C33" s="57"/>
      <c r="D33" s="57"/>
      <c r="E33" s="57"/>
      <c r="F33" s="57"/>
      <c r="G33" s="57"/>
      <c r="H33" s="57"/>
      <c r="I33" s="57"/>
      <c r="J33" s="57"/>
      <c r="K33" s="57"/>
      <c r="L33" s="57"/>
    </row>
    <row r="34" customFormat="false" ht="12.75" hidden="false" customHeight="true" outlineLevel="0" collapsed="false">
      <c r="B34" s="59" t="s">
        <v>2143</v>
      </c>
      <c r="C34" s="68">
        <f aca="false">IF(C6="","",IF(OR(ISNUMBER(SEARCH("Apart",C6)),ISNUMBER(SEARCH("Multiple Residence",C6))),"Per Unit",IF(OR(ISNUMBER(SEARCH("Hotel",C6)),ISNUMBER(SEARCH("Motel",C6))),"Per Key","Per SF")))</f>
      </c>
      <c r="D34" s="68">
        <f aca="false">IF(D6="","",IF(OR(ISNUMBER(SEARCH("Apart",D6)),ISNUMBER(SEARCH("Multiple Residence",D6))),"Per Unit",IF(OR(ISNUMBER(SEARCH("Hotel",D6)),ISNUMBER(SEARCH("Motel",D6))),"Per Key","Per SF")))</f>
      </c>
      <c r="E34" s="68">
        <f aca="false">IF(E6="","",IF(OR(ISNUMBER(SEARCH("Apart",E6)),ISNUMBER(SEARCH("Multiple Residence",E6))),"Per Unit",IF(OR(ISNUMBER(SEARCH("Hotel",E6)),ISNUMBER(SEARCH("Motel",E6))),"Per Key","Per SF")))</f>
      </c>
      <c r="F34" s="68">
        <f aca="false">IF(F6="","",IF(OR(ISNUMBER(SEARCH("Apart",F6)),ISNUMBER(SEARCH("Multiple Residence",F6))),"Per Unit",IF(OR(ISNUMBER(SEARCH("Hotel",F6)),ISNUMBER(SEARCH("Motel",F6))),"Per Key","Per SF")))</f>
      </c>
      <c r="G34" s="68">
        <f aca="false">IF(G6="","",IF(OR(ISNUMBER(SEARCH("Apart",G6)),ISNUMBER(SEARCH("Multiple Residence",G6))),"Per Unit",IF(OR(ISNUMBER(SEARCH("Hotel",G6)),ISNUMBER(SEARCH("Motel",G6))),"Per Key","Per SF")))</f>
      </c>
      <c r="H34" s="68">
        <f aca="false">IF(H6="","",IF(OR(ISNUMBER(SEARCH("Apart",H6)),ISNUMBER(SEARCH("Multiple Residence",H6))),"Per Unit",IF(OR(ISNUMBER(SEARCH("Hotel",H6)),ISNUMBER(SEARCH("Motel",H6))),"Per Key","Per SF")))</f>
      </c>
      <c r="I34" s="68">
        <f aca="false">IF(I6="","",IF(OR(ISNUMBER(SEARCH("Apart",I6)),ISNUMBER(SEARCH("Multiple Residence",I6))),"Per Unit",IF(OR(ISNUMBER(SEARCH("Hotel",I6)),ISNUMBER(SEARCH("Motel",I6))),"Per Key","Per SF")))</f>
      </c>
      <c r="J34" s="68">
        <f aca="false">IF(J6="","",IF(OR(ISNUMBER(SEARCH("Apart",J6)),ISNUMBER(SEARCH("Multiple Residence",J6))),"Per Unit",IF(OR(ISNUMBER(SEARCH("Hotel",J6)),ISNUMBER(SEARCH("Motel",J6))),"Per Key","Per SF")))</f>
      </c>
      <c r="K34" s="68">
        <f aca="false">IF(K6="","",IF(OR(ISNUMBER(SEARCH("Apart",K6)),ISNUMBER(SEARCH("Multiple Residence",K6))),"Per Unit",IF(OR(ISNUMBER(SEARCH("Hotel",K6)),ISNUMBER(SEARCH("Motel",K6))),"Per Key","Per SF")))</f>
      </c>
      <c r="L34" s="68">
        <f aca="false">IF(L6="","",IF(OR(ISNUMBER(SEARCH("Apart",L6)),ISNUMBER(SEARCH("Multiple Residence",L6))),"Per Unit",IF(OR(ISNUMBER(SEARCH("Hotel",L6)),ISNUMBER(SEARCH("Motel",L6))),"Per Key","Per SF")))</f>
      </c>
    </row>
    <row r="35" customFormat="false" ht="12.75" hidden="false" customHeight="true" outlineLevel="0" collapsed="false">
      <c r="B35" s="59" t="s">
        <v>2144</v>
      </c>
      <c r="C35" s="66"/>
      <c r="D35" s="66"/>
      <c r="E35" s="66"/>
      <c r="F35" s="66"/>
      <c r="G35" s="66"/>
      <c r="H35" s="66"/>
      <c r="I35" s="66"/>
      <c r="J35" s="66"/>
      <c r="K35" s="66"/>
      <c r="L35" s="66"/>
    </row>
    <row r="36" customFormat="false" ht="12.75" hidden="false" customHeight="true" outlineLevel="0" collapsed="false">
      <c r="B36" s="59" t="s">
        <v>2145</v>
      </c>
      <c r="C36" s="68">
        <f aca="false">IF(C35&lt;&gt;"",C35,C34)</f>
      </c>
      <c r="D36" s="68">
        <f aca="false">IF(D35&lt;&gt;"",D35,D34)</f>
      </c>
      <c r="E36" s="68">
        <f aca="false">IF(E35&lt;&gt;"",E35,E34)</f>
      </c>
      <c r="F36" s="68">
        <f aca="false">IF(F35&lt;&gt;"",F35,F34)</f>
      </c>
      <c r="G36" s="68">
        <f aca="false">IF(G35&lt;&gt;"",G35,G34)</f>
      </c>
      <c r="H36" s="68">
        <f aca="false">IF(H35&lt;&gt;"",H35,H34)</f>
      </c>
      <c r="I36" s="68">
        <f aca="false">IF(I35&lt;&gt;"",I35,I34)</f>
      </c>
      <c r="J36" s="68">
        <f aca="false">IF(J35&lt;&gt;"",J35,J34)</f>
      </c>
      <c r="K36" s="68">
        <f aca="false">IF(K35&lt;&gt;"",K35,K34)</f>
      </c>
      <c r="L36" s="68">
        <f aca="false">IF(L35&lt;&gt;"",L35,L34)</f>
      </c>
    </row>
    <row r="37" customFormat="false" ht="12.75" hidden="false" customHeight="true" outlineLevel="0" collapsed="false">
      <c r="B37" s="59" t="s">
        <v>2146</v>
      </c>
      <c r="C37" s="69">
        <f aca="false">'Subject Property'!C20</f>
      </c>
      <c r="D37" s="69">
        <f aca="false">'Subject Property'!D20</f>
      </c>
      <c r="E37" s="69">
        <f aca="false">'Subject Property'!E20</f>
      </c>
      <c r="F37" s="69">
        <f aca="false">'Subject Property'!F20</f>
      </c>
      <c r="G37" s="69">
        <f aca="false">'Subject Property'!G20</f>
      </c>
      <c r="H37" s="69">
        <f aca="false">'Subject Property'!H20</f>
      </c>
      <c r="I37" s="69">
        <f aca="false">'Subject Property'!I20</f>
      </c>
      <c r="J37" s="69">
        <f aca="false">'Subject Property'!J20</f>
      </c>
      <c r="K37" s="69">
        <f aca="false">'Subject Property'!K20</f>
      </c>
      <c r="L37" s="69">
        <f aca="false">'Subject Property'!L20</f>
      </c>
    </row>
    <row r="38" customFormat="false" ht="12.75" hidden="false" customHeight="true" outlineLevel="0" collapsed="false">
      <c r="B38" s="59" t="s">
        <v>2147</v>
      </c>
      <c r="C38" s="69">
        <f aca="false">IFERROR(C23/C9,"")</f>
      </c>
      <c r="D38" s="69">
        <f aca="false">IFERROR(D23/D9,"")</f>
      </c>
      <c r="E38" s="69">
        <f aca="false">IFERROR(E23/E9,"")</f>
      </c>
      <c r="F38" s="69">
        <f aca="false">IFERROR(F23/F9,"")</f>
      </c>
      <c r="G38" s="69">
        <f aca="false">IFERROR(G23/G9,"")</f>
      </c>
      <c r="H38" s="69">
        <f aca="false">IFERROR(H23/H9,"")</f>
      </c>
      <c r="I38" s="69">
        <f aca="false">IFERROR(I23/I9,"")</f>
      </c>
      <c r="J38" s="69">
        <f aca="false">IFERROR(J23/J9,"")</f>
      </c>
      <c r="K38" s="69">
        <f aca="false">IFERROR(K23/K9,"")</f>
      </c>
      <c r="L38" s="69">
        <f aca="false">IFERROR(L23/L9,"")</f>
      </c>
    </row>
    <row r="39" customFormat="false" ht="12.75" hidden="false" customHeight="true" outlineLevel="0" collapsed="false">
      <c r="B39" s="59" t="s">
        <v>2148</v>
      </c>
      <c r="C39" s="69">
        <f aca="false">IF(AND(C36&lt;&gt;"Per SF",N(C37)&gt;0),C23/C37,"")</f>
      </c>
      <c r="D39" s="69">
        <f aca="false">IF(AND(D36&lt;&gt;"Per SF",N(D37)&gt;0),D23/D37,"")</f>
      </c>
      <c r="E39" s="69">
        <f aca="false">IF(AND(E36&lt;&gt;"Per SF",N(E37)&gt;0),E23/E37,"")</f>
      </c>
      <c r="F39" s="69">
        <f aca="false">IF(AND(F36&lt;&gt;"Per SF",N(F37)&gt;0),F23/F37,"")</f>
      </c>
      <c r="G39" s="69">
        <f aca="false">IF(AND(G36&lt;&gt;"Per SF",N(G37)&gt;0),G23/G37,"")</f>
      </c>
      <c r="H39" s="69">
        <f aca="false">IF(AND(H36&lt;&gt;"Per SF",N(H37)&gt;0),H23/H37,"")</f>
      </c>
      <c r="I39" s="69">
        <f aca="false">IF(AND(I36&lt;&gt;"Per SF",N(I37)&gt;0),I23/I37,"")</f>
      </c>
      <c r="J39" s="69">
        <f aca="false">IF(AND(J36&lt;&gt;"Per SF",N(J37)&gt;0),J23/J37,"")</f>
      </c>
      <c r="K39" s="69">
        <f aca="false">IF(AND(K36&lt;&gt;"Per SF",N(K37)&gt;0),K23/K37,"")</f>
      </c>
      <c r="L39" s="69">
        <f aca="false">IF(AND(L36&lt;&gt;"Per SF",N(L37)&gt;0),L23/L37,"")</f>
      </c>
    </row>
    <row r="40" customFormat="false" ht="12.75" hidden="false" customHeight="true" outlineLevel="0" collapsed="false">
      <c r="B40" s="59" t="s">
        <v>2149</v>
      </c>
      <c r="C40" s="68">
        <f aca="false">IF(C6="","",IF(C36="Per SF",TEXT(C38,"$#,##0")&amp;" /SF",IF(C36="Per Unit",IFERROR(TEXT(C23/C37,"$#,##0")&amp;" /unit","enter units"),IFERROR(TEXT(C23/C37,"$#,##0")&amp;" /key","enter keys"))))</f>
      </c>
      <c r="D40" s="68">
        <f aca="false">IF(D6="","",IF(D36="Per SF",TEXT(D38,"$#,##0")&amp;" /SF",IF(D36="Per Unit",IFERROR(TEXT(D23/D37,"$#,##0")&amp;" /unit","enter units"),IFERROR(TEXT(D23/D37,"$#,##0")&amp;" /key","enter keys"))))</f>
      </c>
      <c r="E40" s="68">
        <f aca="false">IF(E6="","",IF(E36="Per SF",TEXT(E38,"$#,##0")&amp;" /SF",IF(E36="Per Unit",IFERROR(TEXT(E23/E37,"$#,##0")&amp;" /unit","enter units"),IFERROR(TEXT(E23/E37,"$#,##0")&amp;" /key","enter keys"))))</f>
      </c>
      <c r="F40" s="68">
        <f aca="false">IF(F6="","",IF(F36="Per SF",TEXT(F38,"$#,##0")&amp;" /SF",IF(F36="Per Unit",IFERROR(TEXT(F23/F37,"$#,##0")&amp;" /unit","enter units"),IFERROR(TEXT(F23/F37,"$#,##0")&amp;" /key","enter keys"))))</f>
      </c>
      <c r="G40" s="68">
        <f aca="false">IF(G6="","",IF(G36="Per SF",TEXT(G38,"$#,##0")&amp;" /SF",IF(G36="Per Unit",IFERROR(TEXT(G23/G37,"$#,##0")&amp;" /unit","enter units"),IFERROR(TEXT(G23/G37,"$#,##0")&amp;" /key","enter keys"))))</f>
      </c>
      <c r="H40" s="68">
        <f aca="false">IF(H6="","",IF(H36="Per SF",TEXT(H38,"$#,##0")&amp;" /SF",IF(H36="Per Unit",IFERROR(TEXT(H23/H37,"$#,##0")&amp;" /unit","enter units"),IFERROR(TEXT(H23/H37,"$#,##0")&amp;" /key","enter keys"))))</f>
      </c>
      <c r="I40" s="68">
        <f aca="false">IF(I6="","",IF(I36="Per SF",TEXT(I38,"$#,##0")&amp;" /SF",IF(I36="Per Unit",IFERROR(TEXT(I23/I37,"$#,##0")&amp;" /unit","enter units"),IFERROR(TEXT(I23/I37,"$#,##0")&amp;" /key","enter keys"))))</f>
      </c>
      <c r="J40" s="68">
        <f aca="false">IF(J6="","",IF(J36="Per SF",TEXT(J38,"$#,##0")&amp;" /SF",IF(J36="Per Unit",IFERROR(TEXT(J23/J37,"$#,##0")&amp;" /unit","enter units"),IFERROR(TEXT(J23/J37,"$#,##0")&amp;" /key","enter keys"))))</f>
      </c>
      <c r="K40" s="68">
        <f aca="false">IF(K6="","",IF(K36="Per SF",TEXT(K38,"$#,##0")&amp;" /SF",IF(K36="Per Unit",IFERROR(TEXT(K23/K37,"$#,##0")&amp;" /unit","enter units"),IFERROR(TEXT(K23/K37,"$#,##0")&amp;" /key","enter keys"))))</f>
      </c>
      <c r="L40" s="68">
        <f aca="false">IF(L6="","",IF(L36="Per SF",TEXT(L38,"$#,##0")&amp;" /SF",IF(L36="Per Unit",IFERROR(TEXT(L23/L37,"$#,##0")&amp;" /unit","enter units"),IFERROR(TEXT(L23/L37,"$#,##0")&amp;" /key","enter keys"))))</f>
      </c>
    </row>
    <row r="42" customFormat="false" ht="15.75" hidden="false" customHeight="true" outlineLevel="0" collapsed="false">
      <c r="B42" s="57" t="s">
        <v>2150</v>
      </c>
      <c r="C42" s="57"/>
      <c r="D42" s="57"/>
      <c r="E42" s="57"/>
      <c r="F42" s="57"/>
      <c r="G42" s="57"/>
      <c r="H42" s="57"/>
      <c r="I42" s="57"/>
      <c r="J42" s="57"/>
      <c r="K42" s="57"/>
      <c r="L42" s="57"/>
    </row>
    <row r="43" customFormat="false" ht="12.75" hidden="false" customHeight="true" outlineLevel="0" collapsed="false">
      <c r="B43" s="59" t="s">
        <v>2151</v>
      </c>
      <c r="C43" s="69" t="n">
        <v>1</v>
      </c>
      <c r="D43" s="69" t="n">
        <v>1</v>
      </c>
      <c r="E43" s="69" t="n">
        <v>1</v>
      </c>
      <c r="F43" s="69" t="n">
        <v>1</v>
      </c>
      <c r="G43" s="69" t="n">
        <v>1</v>
      </c>
      <c r="H43" s="69" t="n">
        <v>1</v>
      </c>
      <c r="I43" s="69" t="n">
        <v>1</v>
      </c>
      <c r="J43" s="69" t="n">
        <v>1</v>
      </c>
      <c r="K43" s="69" t="n">
        <v>1</v>
      </c>
      <c r="L43" s="69" t="n">
        <v>1</v>
      </c>
    </row>
    <row r="44" customFormat="false" ht="12.75" hidden="false" customHeight="true" outlineLevel="0" collapsed="false">
      <c r="B44" s="59" t="s">
        <v>2152</v>
      </c>
      <c r="C44" s="68">
        <f aca="false">IFERROR(INDEX(CCM_VALUES,MATCH(IF(C7="CMILL","C",IF(C7="DPOLE","D",IF(C7="A-B","B",C7))),CCM_CLASS,0),MATCH("Sec."&amp;IF(C13&lt;&gt;"",C13,"14"),CCM_SECTIONHDR,0)),1)/IFERROR(IF('Cost Approach'!$C$18='Cost Approach'!$C$19,INDEX(DEN_VALUES,MATCH('Cost Approach'!$C$18,DEN_LABEL,0),MATCH("Class "&amp;IF(C7="CMILL","C",IF(C7="DPOLE","D",IF(C7="A-B","B",C7))),DEN_CLASSHDR,0)),INDEX(DEN_VALUES,MATCH('Cost Approach'!$C$18,DEN_LABEL,0),MATCH("Class "&amp;IF(C7="CMILL","C",IF(C7="DPOLE","D",IF(C7="A-B","B",C7))),DEN_CLASSHDR,0))+(INDEX(DEN_VALUES,MATCH('Cost Approach'!$C$19,DEN_LABEL,0),MATCH("Class "&amp;IF(C7="CMILL","C",IF(C7="DPOLE","D",IF(C7="A-B","B",C7))),DEN_CLASSHDR,0))-INDEX(DEN_VALUES,MATCH('Cost Approach'!$C$18,DEN_LABEL,0),MATCH("Class "&amp;IF(C7="CMILL","C",IF(C7="DPOLE","D",IF(C7="A-B","B",C7))),DEN_CLASSHDR,0)))*('Cost Approach'!$C$17-DATEVALUE("1 "&amp;'Cost Approach'!$C$18))/(DATEVALUE("1 "&amp;'Cost Approach'!$C$19)-DATEVALUE("1 "&amp;'Cost Approach'!$C$18))),1)</f>
      </c>
      <c r="D44" s="68">
        <f aca="false">IFERROR(INDEX(CCM_VALUES,MATCH(IF(D7="CMILL","C",IF(D7="DPOLE","D",IF(D7="A-B","B",D7))),CCM_CLASS,0),MATCH("Sec."&amp;IF(D13&lt;&gt;"",D13,"14"),CCM_SECTIONHDR,0)),1)/IFERROR(IF('Cost Approach'!$C$18='Cost Approach'!$C$19,INDEX(DEN_VALUES,MATCH('Cost Approach'!$C$18,DEN_LABEL,0),MATCH("Class "&amp;IF(D7="CMILL","C",IF(D7="DPOLE","D",IF(D7="A-B","B",D7))),DEN_CLASSHDR,0)),INDEX(DEN_VALUES,MATCH('Cost Approach'!$C$18,DEN_LABEL,0),MATCH("Class "&amp;IF(D7="CMILL","C",IF(D7="DPOLE","D",IF(D7="A-B","B",D7))),DEN_CLASSHDR,0))+(INDEX(DEN_VALUES,MATCH('Cost Approach'!$C$19,DEN_LABEL,0),MATCH("Class "&amp;IF(D7="CMILL","C",IF(D7="DPOLE","D",IF(D7="A-B","B",D7))),DEN_CLASSHDR,0))-INDEX(DEN_VALUES,MATCH('Cost Approach'!$C$18,DEN_LABEL,0),MATCH("Class "&amp;IF(D7="CMILL","C",IF(D7="DPOLE","D",IF(D7="A-B","B",D7))),DEN_CLASSHDR,0)))*('Cost Approach'!$C$17-DATEVALUE("1 "&amp;'Cost Approach'!$C$18))/(DATEVALUE("1 "&amp;'Cost Approach'!$C$19)-DATEVALUE("1 "&amp;'Cost Approach'!$C$18))),1)</f>
      </c>
      <c r="E44" s="68">
        <f aca="false">IFERROR(INDEX(CCM_VALUES,MATCH(IF(E7="CMILL","C",IF(E7="DPOLE","D",IF(E7="A-B","B",E7))),CCM_CLASS,0),MATCH("Sec."&amp;IF(E13&lt;&gt;"",E13,"14"),CCM_SECTIONHDR,0)),1)/IFERROR(IF('Cost Approach'!$C$18='Cost Approach'!$C$19,INDEX(DEN_VALUES,MATCH('Cost Approach'!$C$18,DEN_LABEL,0),MATCH("Class "&amp;IF(E7="CMILL","C",IF(E7="DPOLE","D",IF(E7="A-B","B",E7))),DEN_CLASSHDR,0)),INDEX(DEN_VALUES,MATCH('Cost Approach'!$C$18,DEN_LABEL,0),MATCH("Class "&amp;IF(E7="CMILL","C",IF(E7="DPOLE","D",IF(E7="A-B","B",E7))),DEN_CLASSHDR,0))+(INDEX(DEN_VALUES,MATCH('Cost Approach'!$C$19,DEN_LABEL,0),MATCH("Class "&amp;IF(E7="CMILL","C",IF(E7="DPOLE","D",IF(E7="A-B","B",E7))),DEN_CLASSHDR,0))-INDEX(DEN_VALUES,MATCH('Cost Approach'!$C$18,DEN_LABEL,0),MATCH("Class "&amp;IF(E7="CMILL","C",IF(E7="DPOLE","D",IF(E7="A-B","B",E7))),DEN_CLASSHDR,0)))*('Cost Approach'!$C$17-DATEVALUE("1 "&amp;'Cost Approach'!$C$18))/(DATEVALUE("1 "&amp;'Cost Approach'!$C$19)-DATEVALUE("1 "&amp;'Cost Approach'!$C$18))),1)</f>
      </c>
      <c r="F44" s="68">
        <f aca="false">IFERROR(INDEX(CCM_VALUES,MATCH(IF(F7="CMILL","C",IF(F7="DPOLE","D",IF(F7="A-B","B",F7))),CCM_CLASS,0),MATCH("Sec."&amp;IF(F13&lt;&gt;"",F13,"14"),CCM_SECTIONHDR,0)),1)/IFERROR(IF('Cost Approach'!$C$18='Cost Approach'!$C$19,INDEX(DEN_VALUES,MATCH('Cost Approach'!$C$18,DEN_LABEL,0),MATCH("Class "&amp;IF(F7="CMILL","C",IF(F7="DPOLE","D",IF(F7="A-B","B",F7))),DEN_CLASSHDR,0)),INDEX(DEN_VALUES,MATCH('Cost Approach'!$C$18,DEN_LABEL,0),MATCH("Class "&amp;IF(F7="CMILL","C",IF(F7="DPOLE","D",IF(F7="A-B","B",F7))),DEN_CLASSHDR,0))+(INDEX(DEN_VALUES,MATCH('Cost Approach'!$C$19,DEN_LABEL,0),MATCH("Class "&amp;IF(F7="CMILL","C",IF(F7="DPOLE","D",IF(F7="A-B","B",F7))),DEN_CLASSHDR,0))-INDEX(DEN_VALUES,MATCH('Cost Approach'!$C$18,DEN_LABEL,0),MATCH("Class "&amp;IF(F7="CMILL","C",IF(F7="DPOLE","D",IF(F7="A-B","B",F7))),DEN_CLASSHDR,0)))*('Cost Approach'!$C$17-DATEVALUE("1 "&amp;'Cost Approach'!$C$18))/(DATEVALUE("1 "&amp;'Cost Approach'!$C$19)-DATEVALUE("1 "&amp;'Cost Approach'!$C$18))),1)</f>
      </c>
      <c r="G44" s="68">
        <f aca="false">IFERROR(INDEX(CCM_VALUES,MATCH(IF(G7="CMILL","C",IF(G7="DPOLE","D",IF(G7="A-B","B",G7))),CCM_CLASS,0),MATCH("Sec."&amp;IF(G13&lt;&gt;"",G13,"14"),CCM_SECTIONHDR,0)),1)/IFERROR(IF('Cost Approach'!$C$18='Cost Approach'!$C$19,INDEX(DEN_VALUES,MATCH('Cost Approach'!$C$18,DEN_LABEL,0),MATCH("Class "&amp;IF(G7="CMILL","C",IF(G7="DPOLE","D",IF(G7="A-B","B",G7))),DEN_CLASSHDR,0)),INDEX(DEN_VALUES,MATCH('Cost Approach'!$C$18,DEN_LABEL,0),MATCH("Class "&amp;IF(G7="CMILL","C",IF(G7="DPOLE","D",IF(G7="A-B","B",G7))),DEN_CLASSHDR,0))+(INDEX(DEN_VALUES,MATCH('Cost Approach'!$C$19,DEN_LABEL,0),MATCH("Class "&amp;IF(G7="CMILL","C",IF(G7="DPOLE","D",IF(G7="A-B","B",G7))),DEN_CLASSHDR,0))-INDEX(DEN_VALUES,MATCH('Cost Approach'!$C$18,DEN_LABEL,0),MATCH("Class "&amp;IF(G7="CMILL","C",IF(G7="DPOLE","D",IF(G7="A-B","B",G7))),DEN_CLASSHDR,0)))*('Cost Approach'!$C$17-DATEVALUE("1 "&amp;'Cost Approach'!$C$18))/(DATEVALUE("1 "&amp;'Cost Approach'!$C$19)-DATEVALUE("1 "&amp;'Cost Approach'!$C$18))),1)</f>
      </c>
      <c r="H44" s="68">
        <f aca="false">IFERROR(INDEX(CCM_VALUES,MATCH(IF(H7="CMILL","C",IF(H7="DPOLE","D",IF(H7="A-B","B",H7))),CCM_CLASS,0),MATCH("Sec."&amp;IF(H13&lt;&gt;"",H13,"14"),CCM_SECTIONHDR,0)),1)/IFERROR(IF('Cost Approach'!$C$18='Cost Approach'!$C$19,INDEX(DEN_VALUES,MATCH('Cost Approach'!$C$18,DEN_LABEL,0),MATCH("Class "&amp;IF(H7="CMILL","C",IF(H7="DPOLE","D",IF(H7="A-B","B",H7))),DEN_CLASSHDR,0)),INDEX(DEN_VALUES,MATCH('Cost Approach'!$C$18,DEN_LABEL,0),MATCH("Class "&amp;IF(H7="CMILL","C",IF(H7="DPOLE","D",IF(H7="A-B","B",H7))),DEN_CLASSHDR,0))+(INDEX(DEN_VALUES,MATCH('Cost Approach'!$C$19,DEN_LABEL,0),MATCH("Class "&amp;IF(H7="CMILL","C",IF(H7="DPOLE","D",IF(H7="A-B","B",H7))),DEN_CLASSHDR,0))-INDEX(DEN_VALUES,MATCH('Cost Approach'!$C$18,DEN_LABEL,0),MATCH("Class "&amp;IF(H7="CMILL","C",IF(H7="DPOLE","D",IF(H7="A-B","B",H7))),DEN_CLASSHDR,0)))*('Cost Approach'!$C$17-DATEVALUE("1 "&amp;'Cost Approach'!$C$18))/(DATEVALUE("1 "&amp;'Cost Approach'!$C$19)-DATEVALUE("1 "&amp;'Cost Approach'!$C$18))),1)</f>
      </c>
      <c r="I44" s="68">
        <f aca="false">IFERROR(INDEX(CCM_VALUES,MATCH(IF(I7="CMILL","C",IF(I7="DPOLE","D",IF(I7="A-B","B",I7))),CCM_CLASS,0),MATCH("Sec."&amp;IF(I13&lt;&gt;"",I13,"14"),CCM_SECTIONHDR,0)),1)/IFERROR(IF('Cost Approach'!$C$18='Cost Approach'!$C$19,INDEX(DEN_VALUES,MATCH('Cost Approach'!$C$18,DEN_LABEL,0),MATCH("Class "&amp;IF(I7="CMILL","C",IF(I7="DPOLE","D",IF(I7="A-B","B",I7))),DEN_CLASSHDR,0)),INDEX(DEN_VALUES,MATCH('Cost Approach'!$C$18,DEN_LABEL,0),MATCH("Class "&amp;IF(I7="CMILL","C",IF(I7="DPOLE","D",IF(I7="A-B","B",I7))),DEN_CLASSHDR,0))+(INDEX(DEN_VALUES,MATCH('Cost Approach'!$C$19,DEN_LABEL,0),MATCH("Class "&amp;IF(I7="CMILL","C",IF(I7="DPOLE","D",IF(I7="A-B","B",I7))),DEN_CLASSHDR,0))-INDEX(DEN_VALUES,MATCH('Cost Approach'!$C$18,DEN_LABEL,0),MATCH("Class "&amp;IF(I7="CMILL","C",IF(I7="DPOLE","D",IF(I7="A-B","B",I7))),DEN_CLASSHDR,0)))*('Cost Approach'!$C$17-DATEVALUE("1 "&amp;'Cost Approach'!$C$18))/(DATEVALUE("1 "&amp;'Cost Approach'!$C$19)-DATEVALUE("1 "&amp;'Cost Approach'!$C$18))),1)</f>
      </c>
      <c r="J44" s="68">
        <f aca="false">IFERROR(INDEX(CCM_VALUES,MATCH(IF(J7="CMILL","C",IF(J7="DPOLE","D",IF(J7="A-B","B",J7))),CCM_CLASS,0),MATCH("Sec."&amp;IF(J13&lt;&gt;"",J13,"14"),CCM_SECTIONHDR,0)),1)/IFERROR(IF('Cost Approach'!$C$18='Cost Approach'!$C$19,INDEX(DEN_VALUES,MATCH('Cost Approach'!$C$18,DEN_LABEL,0),MATCH("Class "&amp;IF(J7="CMILL","C",IF(J7="DPOLE","D",IF(J7="A-B","B",J7))),DEN_CLASSHDR,0)),INDEX(DEN_VALUES,MATCH('Cost Approach'!$C$18,DEN_LABEL,0),MATCH("Class "&amp;IF(J7="CMILL","C",IF(J7="DPOLE","D",IF(J7="A-B","B",J7))),DEN_CLASSHDR,0))+(INDEX(DEN_VALUES,MATCH('Cost Approach'!$C$19,DEN_LABEL,0),MATCH("Class "&amp;IF(J7="CMILL","C",IF(J7="DPOLE","D",IF(J7="A-B","B",J7))),DEN_CLASSHDR,0))-INDEX(DEN_VALUES,MATCH('Cost Approach'!$C$18,DEN_LABEL,0),MATCH("Class "&amp;IF(J7="CMILL","C",IF(J7="DPOLE","D",IF(J7="A-B","B",J7))),DEN_CLASSHDR,0)))*('Cost Approach'!$C$17-DATEVALUE("1 "&amp;'Cost Approach'!$C$18))/(DATEVALUE("1 "&amp;'Cost Approach'!$C$19)-DATEVALUE("1 "&amp;'Cost Approach'!$C$18))),1)</f>
      </c>
      <c r="K44" s="68">
        <f aca="false">IFERROR(INDEX(CCM_VALUES,MATCH(IF(K7="CMILL","C",IF(K7="DPOLE","D",IF(K7="A-B","B",K7))),CCM_CLASS,0),MATCH("Sec."&amp;IF(K13&lt;&gt;"",K13,"14"),CCM_SECTIONHDR,0)),1)/IFERROR(IF('Cost Approach'!$C$18='Cost Approach'!$C$19,INDEX(DEN_VALUES,MATCH('Cost Approach'!$C$18,DEN_LABEL,0),MATCH("Class "&amp;IF(K7="CMILL","C",IF(K7="DPOLE","D",IF(K7="A-B","B",K7))),DEN_CLASSHDR,0)),INDEX(DEN_VALUES,MATCH('Cost Approach'!$C$18,DEN_LABEL,0),MATCH("Class "&amp;IF(K7="CMILL","C",IF(K7="DPOLE","D",IF(K7="A-B","B",K7))),DEN_CLASSHDR,0))+(INDEX(DEN_VALUES,MATCH('Cost Approach'!$C$19,DEN_LABEL,0),MATCH("Class "&amp;IF(K7="CMILL","C",IF(K7="DPOLE","D",IF(K7="A-B","B",K7))),DEN_CLASSHDR,0))-INDEX(DEN_VALUES,MATCH('Cost Approach'!$C$18,DEN_LABEL,0),MATCH("Class "&amp;IF(K7="CMILL","C",IF(K7="DPOLE","D",IF(K7="A-B","B",K7))),DEN_CLASSHDR,0)))*('Cost Approach'!$C$17-DATEVALUE("1 "&amp;'Cost Approach'!$C$18))/(DATEVALUE("1 "&amp;'Cost Approach'!$C$19)-DATEVALUE("1 "&amp;'Cost Approach'!$C$18))),1)</f>
      </c>
      <c r="L44" s="68">
        <f aca="false">IFERROR(INDEX(CCM_VALUES,MATCH(IF(L7="CMILL","C",IF(L7="DPOLE","D",IF(L7="A-B","B",L7))),CCM_CLASS,0),MATCH("Sec."&amp;IF(L13&lt;&gt;"",L13,"14"),CCM_SECTIONHDR,0)),1)/IFERROR(IF('Cost Approach'!$C$18='Cost Approach'!$C$19,INDEX(DEN_VALUES,MATCH('Cost Approach'!$C$18,DEN_LABEL,0),MATCH("Class "&amp;IF(L7="CMILL","C",IF(L7="DPOLE","D",IF(L7="A-B","B",L7))),DEN_CLASSHDR,0)),INDEX(DEN_VALUES,MATCH('Cost Approach'!$C$18,DEN_LABEL,0),MATCH("Class "&amp;IF(L7="CMILL","C",IF(L7="DPOLE","D",IF(L7="A-B","B",L7))),DEN_CLASSHDR,0))+(INDEX(DEN_VALUES,MATCH('Cost Approach'!$C$19,DEN_LABEL,0),MATCH("Class "&amp;IF(L7="CMILL","C",IF(L7="DPOLE","D",IF(L7="A-B","B",L7))),DEN_CLASSHDR,0))-INDEX(DEN_VALUES,MATCH('Cost Approach'!$C$18,DEN_LABEL,0),MATCH("Class "&amp;IF(L7="CMILL","C",IF(L7="DPOLE","D",IF(L7="A-B","B",L7))),DEN_CLASSHDR,0)))*('Cost Approach'!$C$17-DATEVALUE("1 "&amp;'Cost Approach'!$C$18))/(DATEVALUE("1 "&amp;'Cost Approach'!$C$19)-DATEVALUE("1 "&amp;'Cost Approach'!$C$18))),1)</f>
      </c>
    </row>
    <row r="45" customFormat="false" ht="12.75" hidden="false" customHeight="true" outlineLevel="0" collapsed="false">
      <c r="B45" s="59" t="s">
        <v>2153</v>
      </c>
      <c r="C45" s="68">
        <f aca="false">IFERROR(INDEX(LAM_VALUES,MATCH('Cost Approach'!$C$8,LAM_CITY,0),MATCH("Class "&amp;IF(C7="CMILL","C",IF(C7="DPOLE","D",IF(C7="A-B","B",C7))),LAM_CLASSHDR,0)),"")</f>
      </c>
      <c r="D45" s="68">
        <f aca="false">IFERROR(INDEX(LAM_VALUES,MATCH('Cost Approach'!$C$8,LAM_CITY,0),MATCH("Class "&amp;IF(D7="CMILL","C",IF(D7="DPOLE","D",IF(D7="A-B","B",D7))),LAM_CLASSHDR,0)),"")</f>
      </c>
      <c r="E45" s="68">
        <f aca="false">IFERROR(INDEX(LAM_VALUES,MATCH('Cost Approach'!$C$8,LAM_CITY,0),MATCH("Class "&amp;IF(E7="CMILL","C",IF(E7="DPOLE","D",IF(E7="A-B","B",E7))),LAM_CLASSHDR,0)),"")</f>
      </c>
      <c r="F45" s="68">
        <f aca="false">IFERROR(INDEX(LAM_VALUES,MATCH('Cost Approach'!$C$8,LAM_CITY,0),MATCH("Class "&amp;IF(F7="CMILL","C",IF(F7="DPOLE","D",IF(F7="A-B","B",F7))),LAM_CLASSHDR,0)),"")</f>
      </c>
      <c r="G45" s="68">
        <f aca="false">IFERROR(INDEX(LAM_VALUES,MATCH('Cost Approach'!$C$8,LAM_CITY,0),MATCH("Class "&amp;IF(G7="CMILL","C",IF(G7="DPOLE","D",IF(G7="A-B","B",G7))),LAM_CLASSHDR,0)),"")</f>
      </c>
      <c r="H45" s="68">
        <f aca="false">IFERROR(INDEX(LAM_VALUES,MATCH('Cost Approach'!$C$8,LAM_CITY,0),MATCH("Class "&amp;IF(H7="CMILL","C",IF(H7="DPOLE","D",IF(H7="A-B","B",H7))),LAM_CLASSHDR,0)),"")</f>
      </c>
      <c r="I45" s="68">
        <f aca="false">IFERROR(INDEX(LAM_VALUES,MATCH('Cost Approach'!$C$8,LAM_CITY,0),MATCH("Class "&amp;IF(I7="CMILL","C",IF(I7="DPOLE","D",IF(I7="A-B","B",I7))),LAM_CLASSHDR,0)),"")</f>
      </c>
      <c r="J45" s="68">
        <f aca="false">IFERROR(INDEX(LAM_VALUES,MATCH('Cost Approach'!$C$8,LAM_CITY,0),MATCH("Class "&amp;IF(J7="CMILL","C",IF(J7="DPOLE","D",IF(J7="A-B","B",J7))),LAM_CLASSHDR,0)),"")</f>
      </c>
      <c r="K45" s="68">
        <f aca="false">IFERROR(INDEX(LAM_VALUES,MATCH('Cost Approach'!$C$8,LAM_CITY,0),MATCH("Class "&amp;IF(K7="CMILL","C",IF(K7="DPOLE","D",IF(K7="A-B","B",K7))),LAM_CLASSHDR,0)),"")</f>
      </c>
      <c r="L45" s="68">
        <f aca="false">IFERROR(INDEX(LAM_VALUES,MATCH('Cost Approach'!$C$8,LAM_CITY,0),MATCH("Class "&amp;IF(L7="CMILL","C",IF(L7="DPOLE","D",IF(L7="A-B","B",L7))),LAM_CLASSHDR,0)),"")</f>
      </c>
    </row>
    <row r="46" customFormat="false" ht="12" hidden="false" customHeight="true" outlineLevel="0" collapsed="false">
      <c r="B46" s="0" t="inlineStr">
        <is>
          <t xml:space="preserve">Heating/Cooling/Vent $/SF difference [enter]</t>
        </is>
      </c>
      <c r="C46" s="0"/>
      <c r="D46" s="0"/>
      <c r="E46" s="0"/>
      <c r="F46" s="0"/>
      <c r="G46" s="0"/>
      <c r="H46" s="0"/>
      <c r="I46" s="0"/>
      <c r="J46" s="0"/>
      <c r="K46" s="0"/>
      <c r="L46" s="0"/>
    </row>
  </sheetData>
  <dataValidations count="3">
    <dataValidation allowBlank="true" errorStyle="stop" operator="between" showDropDown="false" showErrorMessage="true" showInputMessage="false" sqref="C7:L7" type="list">
      <formula1>"A,B,A-B,C,CMILL,CDS,D,DPOLE,DMASVEN,S,SSLANT"</formula1>
      <formula2>0</formula2>
    </dataValidation>
    <dataValidation allowBlank="true" errorStyle="stop" operator="between" showDropDown="false" showErrorMessage="true" showInputMessage="false" sqref="C8:L8 C11:L11" type="list">
      <formula1>"Low Cost,Fair,Average,Good,Very Good,Excellent,Cheap"</formula1>
      <formula2>0</formula2>
    </dataValidation>
    <dataValidation allowBlank="true" errorStyle="stop" operator="between" showDropDown="false" showErrorMessage="true" showInputMessage="false" sqref="C35:L35" type="list">
      <formula1>"Per SF,Per Unit,Per Key"</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2:H53"/>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pane xSplit="2" ySplit="4" topLeftCell="C5" activePane="bottomRight" state="frozen"/>
      <selection pane="topLeft" activeCell="A1" activeCellId="0" sqref="A1"/>
      <selection pane="topRight" activeCell="C1" activeCellId="0" sqref="C1"/>
      <selection pane="bottomLeft" activeCell="A5" activeCellId="0" sqref="A5"/>
      <selection pane="bottomRight" activeCell="C49" activeCellId="0" sqref="C49"/>
    </sheetView>
  </sheetViews>
  <sheetFormatPr defaultColWidth="9.86328125" defaultRowHeight="12" zeroHeight="false" outlineLevelRow="0" outlineLevelCol="0"/>
  <cols>
    <col collapsed="false" customWidth="true" hidden="false" outlineLevel="0" max="1" min="1" style="1" width="2.29"/>
    <col collapsed="false" customWidth="true" hidden="false" outlineLevel="0" max="2" min="2" style="1" width="38.71"/>
    <col collapsed="false" customWidth="true" hidden="false" outlineLevel="0" max="3" min="3" style="1" width="26.29"/>
    <col collapsed="false" customWidth="true" hidden="false" outlineLevel="0" max="7" min="4" style="1" width="24"/>
    <col collapsed="false" customWidth="true" hidden="true" outlineLevel="0" max="8" min="8" style="1" width="24"/>
  </cols>
  <sheetData>
    <row r="2" customFormat="false" ht="12" hidden="false" customHeight="true" outlineLevel="0" collapsed="false">
      <c r="G2" s="358"/>
    </row>
    <row r="3" customFormat="false" ht="16.5" hidden="false" customHeight="true" outlineLevel="0" collapsed="false">
      <c r="B3" s="243" t="s">
        <v>2154</v>
      </c>
      <c r="C3" s="243"/>
      <c r="D3" s="243"/>
      <c r="E3" s="243"/>
      <c r="F3" s="243"/>
      <c r="G3" s="243"/>
      <c r="H3" s="243"/>
    </row>
    <row r="4" customFormat="false" ht="15.75" hidden="false" customHeight="true" outlineLevel="0" collapsed="false">
      <c r="B4" s="244"/>
      <c r="C4" s="359" t="s">
        <v>1919</v>
      </c>
      <c r="D4" s="359" t="s">
        <v>1920</v>
      </c>
      <c r="E4" s="359" t="s">
        <v>1921</v>
      </c>
      <c r="F4" s="359" t="s">
        <v>1922</v>
      </c>
      <c r="G4" s="359" t="s">
        <v>1923</v>
      </c>
      <c r="H4" s="359" t="s">
        <v>1924</v>
      </c>
    </row>
    <row r="5" customFormat="false" ht="15.75" hidden="false" customHeight="true" outlineLevel="0" collapsed="false">
      <c r="B5" s="244"/>
      <c r="C5" s="12"/>
      <c r="D5" s="256" t="s">
        <v>2155</v>
      </c>
      <c r="E5" s="256" t="s">
        <v>2156</v>
      </c>
      <c r="F5" s="256" t="s">
        <v>2157</v>
      </c>
      <c r="G5" s="256" t="s">
        <v>2158</v>
      </c>
      <c r="H5" s="8"/>
    </row>
    <row r="6" customFormat="false" ht="13.5" hidden="false" customHeight="true" outlineLevel="0" collapsed="false">
      <c r="B6" s="269" t="s">
        <v>129</v>
      </c>
      <c r="C6" s="12" t="str">
        <f aca="false">'Property Info'!$C$19</f>
        <v>22600 Interstate 76</v>
      </c>
      <c r="D6" s="256" t="s">
        <v>2159</v>
      </c>
      <c r="E6" s="256" t="s">
        <v>2160</v>
      </c>
      <c r="F6" s="256" t="s">
        <v>2161</v>
      </c>
      <c r="G6" s="256" t="s">
        <v>2162</v>
      </c>
      <c r="H6" s="8"/>
    </row>
    <row r="7" customFormat="false" ht="13.5" hidden="false" customHeight="true" outlineLevel="0" collapsed="false">
      <c r="B7" s="269" t="s">
        <v>130</v>
      </c>
      <c r="C7" s="12" t="str">
        <f aca="false">PROPER('Property Info'!$C$20)&amp;", CO"</f>
        <v>Brighton, CO</v>
      </c>
      <c r="D7" s="256" t="s">
        <v>2163</v>
      </c>
      <c r="E7" s="256" t="s">
        <v>2164</v>
      </c>
      <c r="F7" s="256" t="s">
        <v>2164</v>
      </c>
      <c r="G7" s="256" t="s">
        <v>2163</v>
      </c>
      <c r="H7" s="8"/>
    </row>
    <row r="8" customFormat="false" ht="19.5" hidden="false" customHeight="true" outlineLevel="0" collapsed="false">
      <c r="B8" s="269" t="s">
        <v>133</v>
      </c>
      <c r="C8" s="254" t="str">
        <f aca="false">'Property Info'!$C$23</f>
        <v>Mega (Storage/Distribution) Warehouses</v>
      </c>
      <c r="D8" s="360" t="s">
        <v>1426</v>
      </c>
      <c r="E8" s="360" t="s">
        <v>1426</v>
      </c>
      <c r="F8" s="360" t="s">
        <v>1426</v>
      </c>
      <c r="G8" s="360" t="s">
        <v>1426</v>
      </c>
      <c r="H8" s="255"/>
    </row>
    <row r="9" customFormat="false" ht="13.5" hidden="false" customHeight="true" outlineLevel="0" collapsed="false">
      <c r="B9" s="269" t="s">
        <v>303</v>
      </c>
      <c r="C9" s="267" t="s">
        <v>1939</v>
      </c>
      <c r="D9" s="361" t="n">
        <v>44459</v>
      </c>
      <c r="E9" s="361" t="n">
        <v>45586</v>
      </c>
      <c r="F9" s="361" t="n">
        <v>44547</v>
      </c>
      <c r="G9" s="361" t="n">
        <v>44357</v>
      </c>
      <c r="H9" s="361"/>
    </row>
    <row r="10" customFormat="false" ht="13.5" hidden="false" customHeight="true" outlineLevel="0" collapsed="false">
      <c r="B10" s="269" t="s">
        <v>299</v>
      </c>
      <c r="C10" s="267" t="s">
        <v>1939</v>
      </c>
      <c r="D10" s="251" t="n">
        <v>36150000</v>
      </c>
      <c r="E10" s="251" t="n">
        <v>61000000</v>
      </c>
      <c r="F10" s="251" t="n">
        <v>97558700</v>
      </c>
      <c r="G10" s="251" t="n">
        <v>25000000</v>
      </c>
      <c r="H10" s="251"/>
    </row>
    <row r="11" customFormat="false" ht="13.5" hidden="false" customHeight="true" outlineLevel="0" collapsed="false">
      <c r="B11" s="269" t="s">
        <v>2165</v>
      </c>
      <c r="C11" s="266" t="n">
        <f aca="false">'Property Info'!$C$29</f>
        <v>352240</v>
      </c>
      <c r="D11" s="253" t="n">
        <v>220000</v>
      </c>
      <c r="E11" s="253" t="n">
        <f aca="false">127360+312480+154560</f>
        <v>594400</v>
      </c>
      <c r="F11" s="253" t="n">
        <v>999780</v>
      </c>
      <c r="G11" s="253" t="n">
        <v>163386</v>
      </c>
      <c r="H11" s="253"/>
    </row>
    <row r="12" customFormat="false" ht="13.5" hidden="false" customHeight="true" outlineLevel="0" collapsed="false">
      <c r="B12" s="269" t="s">
        <v>137</v>
      </c>
      <c r="C12" s="266" t="n">
        <f aca="false">'Property Info'!$C$26</f>
        <v>869458</v>
      </c>
      <c r="D12" s="253" t="n">
        <f aca="false">3.41*43560</f>
        <v>148539.6</v>
      </c>
      <c r="E12" s="253" t="n">
        <f aca="false">33.1261*43560</f>
        <v>1442972.916</v>
      </c>
      <c r="F12" s="253" t="n">
        <f aca="false">72.3616*43560</f>
        <v>3152071.296</v>
      </c>
      <c r="G12" s="253" t="n">
        <f aca="false">10.0204*43560</f>
        <v>436488.624</v>
      </c>
      <c r="H12" s="253"/>
    </row>
    <row r="13" customFormat="false" ht="13.5" hidden="false" customHeight="true" outlineLevel="0" collapsed="false">
      <c r="B13" s="269" t="s">
        <v>2166</v>
      </c>
      <c r="C13" s="362" t="s">
        <v>2167</v>
      </c>
      <c r="D13" s="363" t="s">
        <v>2168</v>
      </c>
      <c r="E13" s="363" t="s">
        <v>2169</v>
      </c>
      <c r="F13" s="363" t="s">
        <v>2170</v>
      </c>
      <c r="G13" s="363" t="s">
        <v>2171</v>
      </c>
      <c r="H13" s="363"/>
    </row>
    <row r="14" customFormat="false" ht="12" hidden="false" customHeight="true" outlineLevel="0" collapsed="false">
      <c r="B14" s="258" t="s">
        <v>2172</v>
      </c>
      <c r="C14" s="364"/>
      <c r="D14" s="260" t="n">
        <f aca="false">IFERROR(D10/D11,"")</f>
        <v>164.318181818182</v>
      </c>
      <c r="E14" s="260" t="n">
        <f aca="false">IFERROR(E10/E11,"")</f>
        <v>102.624495289367</v>
      </c>
      <c r="F14" s="260" t="n">
        <f aca="false">IFERROR(F10/F11,"")</f>
        <v>97.5801676368801</v>
      </c>
      <c r="G14" s="260" t="n">
        <f aca="false">IFERROR(G10/G11,"")</f>
        <v>153.011885963302</v>
      </c>
      <c r="H14" s="260" t="str">
        <f aca="false">IFERROR(H10/H11,"")</f>
        <v/>
      </c>
    </row>
    <row r="15" customFormat="false" ht="15" hidden="false" customHeight="true" outlineLevel="0" collapsed="false">
      <c r="B15" s="365" t="s">
        <v>2173</v>
      </c>
      <c r="C15" s="365"/>
      <c r="D15" s="365"/>
      <c r="E15" s="365"/>
      <c r="F15" s="365"/>
      <c r="G15" s="365"/>
      <c r="H15" s="365"/>
    </row>
    <row r="16" customFormat="false" ht="13.5" hidden="false" customHeight="true" outlineLevel="0" collapsed="false">
      <c r="B16" s="269" t="s">
        <v>1963</v>
      </c>
      <c r="C16" s="267" t="s">
        <v>2174</v>
      </c>
      <c r="D16" s="366" t="n">
        <v>0</v>
      </c>
      <c r="E16" s="366" t="n">
        <v>0</v>
      </c>
      <c r="F16" s="366" t="n">
        <v>0</v>
      </c>
      <c r="G16" s="366" t="n">
        <v>0</v>
      </c>
      <c r="H16" s="366" t="n">
        <v>0</v>
      </c>
    </row>
    <row r="17" customFormat="false" ht="13.5" hidden="false" customHeight="true" outlineLevel="0" collapsed="false">
      <c r="B17" s="269" t="s">
        <v>2175</v>
      </c>
      <c r="C17" s="267" t="s">
        <v>1966</v>
      </c>
      <c r="D17" s="366" t="n">
        <v>0</v>
      </c>
      <c r="E17" s="366" t="n">
        <v>0</v>
      </c>
      <c r="F17" s="366" t="n">
        <v>0</v>
      </c>
      <c r="G17" s="366" t="n">
        <v>0</v>
      </c>
      <c r="H17" s="366" t="n">
        <v>0</v>
      </c>
    </row>
    <row r="18" customFormat="false" ht="13.5" hidden="false" customHeight="true" outlineLevel="0" collapsed="false">
      <c r="B18" s="269" t="s">
        <v>1967</v>
      </c>
      <c r="C18" s="267" t="s">
        <v>1966</v>
      </c>
      <c r="D18" s="366" t="n">
        <v>0</v>
      </c>
      <c r="E18" s="366" t="n">
        <v>0</v>
      </c>
      <c r="F18" s="366" t="n">
        <v>0</v>
      </c>
      <c r="G18" s="366" t="n">
        <v>0</v>
      </c>
      <c r="H18" s="366" t="n">
        <v>0</v>
      </c>
    </row>
    <row r="19" customFormat="false" ht="13.5" hidden="false" customHeight="true" outlineLevel="0" collapsed="false">
      <c r="B19" s="269" t="s">
        <v>1968</v>
      </c>
      <c r="C19" s="267" t="s">
        <v>1939</v>
      </c>
      <c r="D19" s="366" t="n">
        <v>0.02</v>
      </c>
      <c r="E19" s="366" t="n">
        <v>0</v>
      </c>
      <c r="F19" s="366" t="n">
        <v>0.02</v>
      </c>
      <c r="G19" s="366" t="n">
        <v>0.02</v>
      </c>
      <c r="H19" s="366" t="n">
        <v>0</v>
      </c>
    </row>
    <row r="20" customFormat="false" ht="12" hidden="false" customHeight="true" outlineLevel="0" collapsed="false">
      <c r="B20" s="258" t="s">
        <v>1969</v>
      </c>
      <c r="C20" s="364"/>
      <c r="D20" s="265" t="n">
        <f aca="false">SUM(D16:D19)</f>
        <v>0.02</v>
      </c>
      <c r="E20" s="265" t="n">
        <f aca="false">SUM(E16:E19)</f>
        <v>0</v>
      </c>
      <c r="F20" s="265" t="n">
        <f aca="false">SUM(F16:F19)</f>
        <v>0.02</v>
      </c>
      <c r="G20" s="265" t="n">
        <f aca="false">SUM(G16:G19)</f>
        <v>0.02</v>
      </c>
      <c r="H20" s="265" t="n">
        <f aca="false">SUM(H16:H19)</f>
        <v>0</v>
      </c>
    </row>
    <row r="21" customFormat="false" ht="12" hidden="false" customHeight="true" outlineLevel="0" collapsed="false">
      <c r="B21" s="258" t="s">
        <v>2176</v>
      </c>
      <c r="C21" s="364"/>
      <c r="D21" s="260" t="n">
        <f aca="false">IFERROR(D14*(1+D20),"")</f>
        <v>167.604545454545</v>
      </c>
      <c r="E21" s="260" t="n">
        <f aca="false">IFERROR(E14*(1+E20),"")</f>
        <v>102.624495289367</v>
      </c>
      <c r="F21" s="260" t="n">
        <f aca="false">IFERROR(F14*(1+F20),"")</f>
        <v>99.5317709896177</v>
      </c>
      <c r="G21" s="260" t="n">
        <f aca="false">IFERROR(G14*(1+G20),"")</f>
        <v>156.072123682568</v>
      </c>
      <c r="H21" s="260" t="str">
        <f aca="false">IFERROR(H14*(1+H20),"")</f>
        <v/>
      </c>
    </row>
    <row r="22" customFormat="false" ht="15" hidden="false" customHeight="true" outlineLevel="0" collapsed="false">
      <c r="B22" s="365" t="s">
        <v>2177</v>
      </c>
      <c r="C22" s="365"/>
      <c r="D22" s="365"/>
      <c r="E22" s="365"/>
      <c r="F22" s="365"/>
      <c r="G22" s="365"/>
      <c r="H22" s="365"/>
    </row>
    <row r="23" customFormat="false" ht="13.5" hidden="false" customHeight="true" outlineLevel="0" collapsed="false">
      <c r="B23" s="269" t="s">
        <v>218</v>
      </c>
      <c r="C23" s="267" t="s">
        <v>279</v>
      </c>
      <c r="D23" s="366" t="n">
        <v>-0.1</v>
      </c>
      <c r="E23" s="366" t="n">
        <v>-0.1</v>
      </c>
      <c r="F23" s="366" t="n">
        <v>-0.1</v>
      </c>
      <c r="G23" s="366" t="n">
        <v>-0.1</v>
      </c>
      <c r="H23" s="366" t="n">
        <v>0</v>
      </c>
    </row>
    <row r="24" customFormat="false" ht="13.5" hidden="false" customHeight="true" outlineLevel="0" collapsed="false">
      <c r="B24" s="269" t="s">
        <v>2165</v>
      </c>
      <c r="C24" s="266" t="n">
        <f aca="false">'Property Info'!$C$29</f>
        <v>352240</v>
      </c>
      <c r="D24" s="366" t="n">
        <v>-0.1</v>
      </c>
      <c r="E24" s="366" t="n">
        <v>-0.15</v>
      </c>
      <c r="F24" s="366" t="n">
        <v>-0.2</v>
      </c>
      <c r="G24" s="366" t="n">
        <v>-0.1</v>
      </c>
      <c r="H24" s="366" t="n">
        <v>0</v>
      </c>
    </row>
    <row r="25" customFormat="false" ht="13.5" hidden="false" customHeight="true" outlineLevel="0" collapsed="false">
      <c r="B25" s="269" t="s">
        <v>2166</v>
      </c>
      <c r="C25" s="267" t="str">
        <f aca="false">'Property Info'!$C$32&amp;"/"&amp;'Property Info'!$C$35</f>
        <v>2020/Typical</v>
      </c>
      <c r="D25" s="366" t="n">
        <v>0.05</v>
      </c>
      <c r="E25" s="366" t="n">
        <v>0</v>
      </c>
      <c r="F25" s="366" t="n">
        <v>0</v>
      </c>
      <c r="G25" s="366" t="n">
        <v>0</v>
      </c>
      <c r="H25" s="366" t="n">
        <v>0</v>
      </c>
    </row>
    <row r="26" customFormat="false" ht="13.5" hidden="false" customHeight="true" outlineLevel="0" collapsed="false">
      <c r="B26" s="269" t="s">
        <v>68</v>
      </c>
      <c r="C26" s="267" t="str">
        <f aca="false">'Property Info'!$C$34</f>
        <v>Average</v>
      </c>
      <c r="D26" s="366" t="n">
        <v>0</v>
      </c>
      <c r="E26" s="366" t="n">
        <v>0</v>
      </c>
      <c r="F26" s="366" t="n">
        <v>0</v>
      </c>
      <c r="G26" s="366" t="n">
        <v>0</v>
      </c>
      <c r="H26" s="366" t="n">
        <v>0</v>
      </c>
    </row>
    <row r="27" customFormat="false" ht="13.5" hidden="false" customHeight="true" outlineLevel="0" collapsed="false">
      <c r="B27" s="269" t="s">
        <v>2178</v>
      </c>
      <c r="C27" s="367" t="n">
        <f aca="false">IFERROR('Property Info'!$C$31,"")</f>
        <v>2.46836815807404</v>
      </c>
      <c r="D27" s="366" t="n">
        <v>0</v>
      </c>
      <c r="E27" s="366" t="n">
        <v>0</v>
      </c>
      <c r="F27" s="366" t="n">
        <v>0</v>
      </c>
      <c r="G27" s="366" t="n">
        <v>0</v>
      </c>
      <c r="H27" s="366" t="n">
        <v>0</v>
      </c>
    </row>
    <row r="28" customFormat="false" ht="13.5" hidden="false" customHeight="true" outlineLevel="0" collapsed="false">
      <c r="B28" s="269" t="s">
        <v>2179</v>
      </c>
      <c r="C28" s="267" t="s">
        <v>279</v>
      </c>
      <c r="D28" s="366" t="n">
        <v>-0.15</v>
      </c>
      <c r="E28" s="366" t="n">
        <v>0</v>
      </c>
      <c r="F28" s="366" t="n">
        <v>0</v>
      </c>
      <c r="G28" s="366" t="n">
        <v>-0.15</v>
      </c>
      <c r="H28" s="366" t="n">
        <v>0</v>
      </c>
    </row>
    <row r="29" customFormat="false" ht="13.5" hidden="false" customHeight="true" outlineLevel="0" collapsed="false">
      <c r="B29" s="269" t="s">
        <v>72</v>
      </c>
      <c r="C29" s="267" t="str">
        <f aca="false">'Property Info'!$C$36</f>
        <v>Typical</v>
      </c>
      <c r="D29" s="366" t="n">
        <v>0</v>
      </c>
      <c r="E29" s="366" t="n">
        <v>0.05</v>
      </c>
      <c r="F29" s="366" t="n">
        <v>0.05</v>
      </c>
      <c r="G29" s="366" t="n">
        <v>0</v>
      </c>
      <c r="H29" s="366" t="n">
        <v>0</v>
      </c>
    </row>
    <row r="30" customFormat="false" ht="12" hidden="false" customHeight="true" outlineLevel="0" collapsed="false">
      <c r="B30" s="258" t="s">
        <v>2180</v>
      </c>
      <c r="C30" s="364"/>
      <c r="D30" s="265" t="n">
        <f aca="false">SUM(D23:D29)</f>
        <v>-0.3</v>
      </c>
      <c r="E30" s="265" t="n">
        <f aca="false">SUM(E23:E29)</f>
        <v>-0.2</v>
      </c>
      <c r="F30" s="265" t="n">
        <f aca="false">SUM(F23:F29)</f>
        <v>-0.25</v>
      </c>
      <c r="G30" s="265" t="n">
        <f aca="false">SUM(G23:G29)</f>
        <v>-0.35</v>
      </c>
      <c r="H30" s="265" t="n">
        <f aca="false">SUM(H23:H29)</f>
        <v>0</v>
      </c>
    </row>
    <row r="31" customFormat="false" ht="12" hidden="false" customHeight="true" outlineLevel="0" collapsed="false">
      <c r="B31" s="258" t="s">
        <v>2181</v>
      </c>
      <c r="C31" s="364"/>
      <c r="D31" s="260" t="n">
        <f aca="false">IFERROR(D21*(1+D30),"")</f>
        <v>117.323181818182</v>
      </c>
      <c r="E31" s="260" t="n">
        <f aca="false">IFERROR(E21*(1+E30),"")</f>
        <v>82.099596231494</v>
      </c>
      <c r="F31" s="260" t="n">
        <f aca="false">IFERROR(F21*(1+F30),"")</f>
        <v>74.6488282422133</v>
      </c>
      <c r="G31" s="260" t="n">
        <f aca="false">IFERROR(G21*(1+G30),"")</f>
        <v>101.446880393669</v>
      </c>
      <c r="H31" s="260" t="str">
        <f aca="false">IFERROR(H21*(1+H30),"")</f>
        <v/>
      </c>
    </row>
    <row r="33" customFormat="false" ht="16.5" hidden="false" customHeight="true" outlineLevel="0" collapsed="false">
      <c r="B33" s="243" t="s">
        <v>2013</v>
      </c>
      <c r="C33" s="243"/>
      <c r="D33" s="243"/>
    </row>
    <row r="34" customFormat="false" ht="12" hidden="false" customHeight="true" outlineLevel="0" collapsed="false">
      <c r="B34" s="5" t="s">
        <v>1511</v>
      </c>
      <c r="C34" s="268" t="n">
        <f aca="false">IFERROR(MIN(D31:H31),"")</f>
        <v>74.6488282422133</v>
      </c>
      <c r="D34" s="268"/>
    </row>
    <row r="35" customFormat="false" ht="12" hidden="false" customHeight="true" outlineLevel="0" collapsed="false">
      <c r="B35" s="5" t="s">
        <v>2014</v>
      </c>
      <c r="C35" s="268" t="n">
        <f aca="false">IFERROR(MAX(D31:H31),"")</f>
        <v>117.323181818182</v>
      </c>
      <c r="D35" s="268"/>
    </row>
    <row r="36" customFormat="false" ht="12" hidden="false" customHeight="true" outlineLevel="0" collapsed="false">
      <c r="B36" s="5" t="s">
        <v>279</v>
      </c>
      <c r="C36" s="268" t="n">
        <f aca="false">IFERROR(AVERAGE(D31:H31),"")</f>
        <v>93.8796216713895</v>
      </c>
      <c r="D36" s="268"/>
    </row>
    <row r="37" customFormat="false" ht="12" hidden="false" customHeight="true" outlineLevel="0" collapsed="false">
      <c r="B37" s="5" t="s">
        <v>310</v>
      </c>
      <c r="C37" s="268" t="n">
        <f aca="false">IFERROR(MEDIAN(D31:H31),"")</f>
        <v>91.7732383125815</v>
      </c>
      <c r="D37" s="268"/>
    </row>
    <row r="39" customFormat="false" ht="16.5" hidden="false" customHeight="true" outlineLevel="0" collapsed="false">
      <c r="B39" s="243" t="s">
        <v>2182</v>
      </c>
      <c r="C39" s="243"/>
      <c r="D39" s="243"/>
      <c r="E39" s="243"/>
      <c r="F39" s="243"/>
      <c r="G39" s="243"/>
      <c r="H39" s="243"/>
    </row>
    <row r="40" customFormat="false" ht="27.75" hidden="false" customHeight="true" outlineLevel="0" collapsed="false">
      <c r="B40" s="5" t="s">
        <v>14</v>
      </c>
      <c r="C40" s="368" t="n">
        <f aca="false">PI_Parcel</f>
        <v>156901401001</v>
      </c>
      <c r="D40" s="255" t="s">
        <v>2183</v>
      </c>
      <c r="E40" s="255" t="s">
        <v>2184</v>
      </c>
      <c r="F40" s="255" t="s">
        <v>2185</v>
      </c>
      <c r="G40" s="255" t="s">
        <v>2186</v>
      </c>
      <c r="H40" s="255" t="s">
        <v>2187</v>
      </c>
    </row>
    <row r="41" customFormat="false" ht="27.75" hidden="false" customHeight="true" outlineLevel="0" collapsed="false">
      <c r="B41" s="5" t="s">
        <v>1945</v>
      </c>
      <c r="C41" s="254" t="s">
        <v>2188</v>
      </c>
      <c r="D41" s="255" t="s">
        <v>2189</v>
      </c>
      <c r="E41" s="255" t="s">
        <v>2189</v>
      </c>
      <c r="F41" s="255" t="s">
        <v>2189</v>
      </c>
      <c r="G41" s="255" t="s">
        <v>2189</v>
      </c>
      <c r="H41" s="255" t="s">
        <v>2190</v>
      </c>
    </row>
    <row r="43" customFormat="false" ht="33.75" hidden="false" customHeight="true" outlineLevel="0" collapsed="false">
      <c r="B43" s="3" t="s">
        <v>2191</v>
      </c>
      <c r="C43" s="3"/>
      <c r="D43" s="3"/>
      <c r="E43" s="3"/>
      <c r="F43" s="3"/>
      <c r="G43" s="3"/>
      <c r="H43" s="3"/>
    </row>
    <row r="44" customFormat="false" ht="12" hidden="false" customHeight="true" outlineLevel="0" collapsed="false">
      <c r="D44" s="1" t="n">
        <f aca="false">G12/G11</f>
        <v>2.67151790239066</v>
      </c>
    </row>
    <row r="47" customFormat="false" ht="16.5" hidden="false" customHeight="true" outlineLevel="0" collapsed="false">
      <c r="B47" s="243" t="s">
        <v>2192</v>
      </c>
      <c r="C47" s="243"/>
      <c r="D47" s="243"/>
      <c r="E47" s="243"/>
    </row>
    <row r="48" customFormat="false" ht="15" hidden="false" customHeight="true" outlineLevel="0" collapsed="false">
      <c r="B48" s="269" t="s">
        <v>2016</v>
      </c>
      <c r="C48" s="270" t="n">
        <v>100</v>
      </c>
      <c r="D48" s="270"/>
      <c r="E48" s="270"/>
    </row>
    <row r="49" customFormat="false" ht="15" hidden="false" customHeight="true" outlineLevel="0" collapsed="false">
      <c r="B49" s="269" t="s">
        <v>2193</v>
      </c>
      <c r="C49" s="266" t="n">
        <f aca="false">'Property Info'!$C$29</f>
        <v>352240</v>
      </c>
      <c r="D49" s="266"/>
      <c r="E49" s="266"/>
    </row>
    <row r="50" customFormat="false" ht="15" hidden="false" customHeight="true" outlineLevel="0" collapsed="false">
      <c r="B50" s="269" t="s">
        <v>370</v>
      </c>
      <c r="C50" s="271" t="n">
        <f aca="false">C48*C49</f>
        <v>35224000</v>
      </c>
      <c r="D50" s="271"/>
      <c r="E50" s="271"/>
    </row>
    <row r="51" customFormat="false" ht="15" hidden="false" customHeight="true" outlineLevel="0" collapsed="false">
      <c r="B51" s="269" t="s">
        <v>2019</v>
      </c>
      <c r="C51" s="251" t="n">
        <v>5000</v>
      </c>
      <c r="D51" s="251"/>
      <c r="E51" s="251"/>
    </row>
    <row r="52" customFormat="false" ht="15" hidden="false" customHeight="true" outlineLevel="0" collapsed="false">
      <c r="B52" s="272" t="str">
        <f aca="false">"Rounded to nearest  "&amp;TEXT(C51,"$#,##0")</f>
        <v>Rounded to nearest  $5,000</v>
      </c>
      <c r="C52" s="273" t="n">
        <f aca="false">ROUND(C50/C51,0)*C51</f>
        <v>35225000</v>
      </c>
      <c r="D52" s="273"/>
      <c r="E52" s="273"/>
    </row>
    <row r="53" customFormat="false" ht="15" hidden="false" customHeight="true" outlineLevel="0" collapsed="false">
      <c r="B53" s="272" t="s">
        <v>2194</v>
      </c>
      <c r="C53" s="260" t="n">
        <f aca="false">IFERROR(C52/C49,"")</f>
        <v>100.002838973427</v>
      </c>
      <c r="D53" s="260"/>
      <c r="E53" s="260"/>
    </row>
  </sheetData>
  <mergeCells count="17">
    <mergeCell ref="B3:H3"/>
    <mergeCell ref="B15:H15"/>
    <mergeCell ref="B22:H22"/>
    <mergeCell ref="B33:D33"/>
    <mergeCell ref="C34:D34"/>
    <mergeCell ref="C35:D35"/>
    <mergeCell ref="C36:D36"/>
    <mergeCell ref="C37:D37"/>
    <mergeCell ref="B39:H39"/>
    <mergeCell ref="B43:H43"/>
    <mergeCell ref="B47:E47"/>
    <mergeCell ref="C48:E48"/>
    <mergeCell ref="C49:E49"/>
    <mergeCell ref="C50:E50"/>
    <mergeCell ref="C51:E51"/>
    <mergeCell ref="C52:E52"/>
    <mergeCell ref="C53:E53"/>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3:P6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5" topLeftCell="C6" activePane="bottomRight" state="frozen"/>
      <selection pane="topLeft" activeCell="A1" activeCellId="0" sqref="A1"/>
      <selection pane="topRight" activeCell="C1" activeCellId="0" sqref="C1"/>
      <selection pane="bottomLeft" activeCell="A6" activeCellId="0" sqref="A6"/>
      <selection pane="bottomRight" activeCell="S26" activeCellId="0" sqref="S26"/>
    </sheetView>
  </sheetViews>
  <sheetFormatPr defaultColWidth="9.86328125" defaultRowHeight="12" zeroHeight="false" outlineLevelRow="0" outlineLevelCol="0"/>
  <cols>
    <col collapsed="false" customWidth="true" hidden="false" outlineLevel="0" max="1" min="1" style="1" width="2.29"/>
    <col collapsed="false" customWidth="true" hidden="false" outlineLevel="0" max="2" min="2" style="1" width="38.71"/>
    <col collapsed="false" customWidth="true" hidden="false" outlineLevel="0" max="3" min="3" style="1" width="27.43"/>
    <col collapsed="false" customWidth="true" hidden="false" outlineLevel="0" max="4" min="4" style="1" width="10.29"/>
    <col collapsed="false" customWidth="true" hidden="false" outlineLevel="0" max="5" min="5" style="1" width="27.43"/>
    <col collapsed="false" customWidth="true" hidden="false" outlineLevel="0" max="6" min="6" style="1" width="10.29"/>
    <col collapsed="false" customWidth="true" hidden="false" outlineLevel="0" max="7" min="7" style="1" width="27.43"/>
    <col collapsed="false" customWidth="true" hidden="false" outlineLevel="0" max="8" min="8" style="1" width="10.29"/>
    <col collapsed="false" customWidth="true" hidden="false" outlineLevel="0" max="9" min="9" style="1" width="27.43"/>
    <col collapsed="false" customWidth="true" hidden="false" outlineLevel="0" max="10" min="10" style="1" width="10.29"/>
    <col collapsed="false" customWidth="true" hidden="false" outlineLevel="0" max="11" min="11" style="1" width="27.43"/>
    <col collapsed="false" customWidth="true" hidden="false" outlineLevel="0" max="12" min="12" style="1" width="10.29"/>
    <col collapsed="false" customWidth="true" hidden="false" outlineLevel="0" max="13" min="13" style="1" width="27.43"/>
    <col collapsed="false" customWidth="true" hidden="false" outlineLevel="0" max="14" min="14" style="1" width="10.29"/>
    <col collapsed="false" customWidth="true" hidden="false" outlineLevel="0" max="15" min="15" style="1" width="27.43"/>
    <col collapsed="false" customWidth="true" hidden="false" outlineLevel="0" max="16" min="16" style="1" width="10.29"/>
  </cols>
  <sheetData>
    <row r="3" customFormat="false" ht="16.5" hidden="false" customHeight="true" outlineLevel="0" collapsed="false">
      <c r="B3" s="243" t="s">
        <v>2195</v>
      </c>
      <c r="C3" s="243"/>
      <c r="D3" s="243"/>
      <c r="E3" s="243"/>
      <c r="F3" s="243"/>
      <c r="G3" s="243"/>
      <c r="H3" s="243"/>
      <c r="I3" s="243"/>
      <c r="J3" s="243"/>
      <c r="K3" s="243"/>
      <c r="L3" s="243"/>
      <c r="M3" s="243"/>
      <c r="N3" s="243"/>
      <c r="O3" s="243"/>
      <c r="P3" s="243"/>
    </row>
    <row r="4" customFormat="false" ht="15.75" hidden="false" customHeight="true" outlineLevel="0" collapsed="false">
      <c r="B4" s="244"/>
      <c r="C4" s="245" t="s">
        <v>1919</v>
      </c>
      <c r="D4" s="245"/>
      <c r="E4" s="245" t="s">
        <v>1920</v>
      </c>
      <c r="F4" s="245"/>
      <c r="G4" s="245" t="s">
        <v>1921</v>
      </c>
      <c r="H4" s="245"/>
      <c r="I4" s="245" t="s">
        <v>1922</v>
      </c>
      <c r="J4" s="245"/>
      <c r="K4" s="245" t="s">
        <v>1923</v>
      </c>
      <c r="L4" s="245"/>
      <c r="M4" s="245" t="s">
        <v>1924</v>
      </c>
      <c r="N4" s="245"/>
      <c r="O4" s="245" t="s">
        <v>2196</v>
      </c>
      <c r="P4" s="245"/>
    </row>
    <row r="5" customFormat="false" ht="13.5" hidden="false" customHeight="true" outlineLevel="0" collapsed="false">
      <c r="B5" s="246" t="s">
        <v>1851</v>
      </c>
      <c r="C5" s="247" t="s">
        <v>479</v>
      </c>
      <c r="D5" s="247"/>
      <c r="E5" s="247" t="s">
        <v>479</v>
      </c>
      <c r="F5" s="247" t="s">
        <v>378</v>
      </c>
      <c r="G5" s="247" t="s">
        <v>479</v>
      </c>
      <c r="H5" s="247" t="s">
        <v>378</v>
      </c>
      <c r="I5" s="247" t="s">
        <v>479</v>
      </c>
      <c r="J5" s="247" t="s">
        <v>378</v>
      </c>
      <c r="K5" s="247" t="s">
        <v>479</v>
      </c>
      <c r="L5" s="247" t="s">
        <v>378</v>
      </c>
      <c r="M5" s="247" t="s">
        <v>479</v>
      </c>
      <c r="N5" s="247" t="s">
        <v>378</v>
      </c>
      <c r="O5" s="247" t="s">
        <v>479</v>
      </c>
      <c r="P5" s="247" t="s">
        <v>378</v>
      </c>
    </row>
    <row r="6" customFormat="false" ht="13.5" hidden="false" customHeight="true" outlineLevel="0" collapsed="false">
      <c r="B6" s="248" t="s">
        <v>129</v>
      </c>
      <c r="C6" s="12" t="str">
        <f aca="false">'Property Info'!$C$19</f>
        <v>22600 Interstate 76</v>
      </c>
      <c r="D6" s="12"/>
      <c r="E6" s="8" t="s">
        <v>2197</v>
      </c>
      <c r="F6" s="249"/>
      <c r="G6" s="8" t="s">
        <v>2198</v>
      </c>
      <c r="H6" s="249"/>
      <c r="I6" s="8" t="s">
        <v>2199</v>
      </c>
      <c r="J6" s="249"/>
      <c r="K6" s="8" t="s">
        <v>2200</v>
      </c>
      <c r="L6" s="249"/>
      <c r="M6" s="8" t="s">
        <v>2201</v>
      </c>
      <c r="N6" s="249"/>
      <c r="O6" s="8" t="s">
        <v>2202</v>
      </c>
      <c r="P6" s="249"/>
    </row>
    <row r="7" customFormat="false" ht="13.5" hidden="false" customHeight="true" outlineLevel="0" collapsed="false">
      <c r="B7" s="248" t="s">
        <v>130</v>
      </c>
      <c r="C7" s="12" t="str">
        <f aca="false">PROPER('Property Info'!$C$20)&amp;", CO"</f>
        <v>Brighton, CO</v>
      </c>
      <c r="D7" s="12"/>
      <c r="E7" s="8" t="s">
        <v>2203</v>
      </c>
      <c r="F7" s="249"/>
      <c r="G7" s="8" t="s">
        <v>2204</v>
      </c>
      <c r="H7" s="249"/>
      <c r="I7" s="8" t="s">
        <v>2205</v>
      </c>
      <c r="J7" s="249"/>
      <c r="K7" s="8" t="s">
        <v>1933</v>
      </c>
      <c r="L7" s="249"/>
      <c r="M7" s="8" t="s">
        <v>2204</v>
      </c>
      <c r="N7" s="249"/>
      <c r="O7" s="8" t="s">
        <v>1557</v>
      </c>
      <c r="P7" s="249"/>
    </row>
    <row r="8" customFormat="false" ht="13.5" hidden="false" customHeight="true" outlineLevel="0" collapsed="false">
      <c r="B8" s="248" t="s">
        <v>14</v>
      </c>
      <c r="C8" s="6" t="n">
        <f aca="false">PI_Parcel</f>
        <v>156901401001</v>
      </c>
      <c r="D8" s="6"/>
      <c r="E8" s="8" t="s">
        <v>2206</v>
      </c>
      <c r="F8" s="249"/>
      <c r="G8" s="8" t="s">
        <v>2207</v>
      </c>
      <c r="H8" s="249"/>
      <c r="I8" s="8" t="s">
        <v>2208</v>
      </c>
      <c r="J8" s="249"/>
      <c r="K8" s="8" t="s">
        <v>2209</v>
      </c>
      <c r="L8" s="249"/>
      <c r="M8" s="8" t="s">
        <v>2210</v>
      </c>
      <c r="N8" s="249"/>
      <c r="O8" s="8" t="s">
        <v>2211</v>
      </c>
      <c r="P8" s="249"/>
    </row>
    <row r="9" customFormat="false" ht="13.5" hidden="false" customHeight="true" outlineLevel="0" collapsed="false">
      <c r="B9" s="248" t="s">
        <v>133</v>
      </c>
      <c r="C9" s="12" t="str">
        <f aca="false">'Property Info'!$C$23</f>
        <v>Mega (Storage/Distribution) Warehouses</v>
      </c>
      <c r="D9" s="12"/>
      <c r="E9" s="8" t="s">
        <v>2212</v>
      </c>
      <c r="F9" s="249"/>
      <c r="G9" s="8" t="s">
        <v>2213</v>
      </c>
      <c r="H9" s="249"/>
      <c r="I9" s="8" t="s">
        <v>2213</v>
      </c>
      <c r="J9" s="249"/>
      <c r="K9" s="8" t="s">
        <v>2213</v>
      </c>
      <c r="L9" s="249"/>
      <c r="M9" s="8" t="s">
        <v>2213</v>
      </c>
      <c r="N9" s="249"/>
      <c r="O9" s="8" t="s">
        <v>2213</v>
      </c>
      <c r="P9" s="249"/>
    </row>
    <row r="10" customFormat="false" ht="13.5" hidden="false" customHeight="true" outlineLevel="0" collapsed="false">
      <c r="B10" s="248" t="s">
        <v>303</v>
      </c>
      <c r="C10" s="369" t="s">
        <v>1939</v>
      </c>
      <c r="D10" s="369"/>
      <c r="E10" s="361" t="n">
        <v>43525</v>
      </c>
      <c r="F10" s="249"/>
      <c r="G10" s="361" t="n">
        <v>43678</v>
      </c>
      <c r="H10" s="249"/>
      <c r="I10" s="361" t="n">
        <v>43586</v>
      </c>
      <c r="J10" s="249"/>
      <c r="K10" s="361" t="n">
        <v>43546</v>
      </c>
      <c r="L10" s="249"/>
      <c r="M10" s="361" t="n">
        <v>43326</v>
      </c>
      <c r="N10" s="249"/>
      <c r="O10" s="361" t="s">
        <v>2214</v>
      </c>
      <c r="P10" s="249"/>
    </row>
    <row r="11" customFormat="false" ht="13.5" hidden="false" customHeight="true" outlineLevel="0" collapsed="false">
      <c r="B11" s="248" t="s">
        <v>299</v>
      </c>
      <c r="C11" s="271" t="n">
        <v>6555000</v>
      </c>
      <c r="D11" s="271"/>
      <c r="E11" s="251" t="n">
        <v>5250000</v>
      </c>
      <c r="F11" s="249"/>
      <c r="G11" s="251" t="n">
        <v>4255000</v>
      </c>
      <c r="H11" s="249"/>
      <c r="I11" s="251" t="n">
        <v>3159050</v>
      </c>
      <c r="J11" s="249"/>
      <c r="K11" s="251" t="n">
        <v>3710000</v>
      </c>
      <c r="L11" s="249"/>
      <c r="M11" s="251" t="n">
        <v>3900000</v>
      </c>
      <c r="N11" s="249"/>
      <c r="O11" s="251" t="n">
        <v>6555000</v>
      </c>
      <c r="P11" s="249"/>
    </row>
    <row r="12" customFormat="false" ht="13.5" hidden="false" customHeight="true" outlineLevel="0" collapsed="false">
      <c r="B12" s="248" t="s">
        <v>1942</v>
      </c>
      <c r="C12" s="271" t="n">
        <v>6555000</v>
      </c>
      <c r="D12" s="271"/>
      <c r="E12" s="251"/>
      <c r="F12" s="249"/>
      <c r="G12" s="251" t="n">
        <v>4320000</v>
      </c>
      <c r="H12" s="249"/>
      <c r="I12" s="251" t="n">
        <v>3245000</v>
      </c>
      <c r="J12" s="249"/>
      <c r="K12" s="251" t="n">
        <v>3785000</v>
      </c>
      <c r="L12" s="249"/>
      <c r="M12" s="251" t="s">
        <v>1943</v>
      </c>
      <c r="N12" s="249"/>
      <c r="O12" s="251" t="s">
        <v>1941</v>
      </c>
      <c r="P12" s="249"/>
    </row>
    <row r="13" customFormat="false" ht="13.5" hidden="false" customHeight="true" outlineLevel="0" collapsed="false">
      <c r="B13" s="248" t="s">
        <v>2215</v>
      </c>
      <c r="C13" s="266" t="s">
        <v>1939</v>
      </c>
      <c r="D13" s="266"/>
      <c r="E13" s="253" t="n">
        <v>177</v>
      </c>
      <c r="F13" s="249"/>
      <c r="G13" s="253" t="n">
        <v>203</v>
      </c>
      <c r="H13" s="249"/>
      <c r="I13" s="253" t="n">
        <v>58</v>
      </c>
      <c r="J13" s="249"/>
      <c r="K13" s="253" t="n">
        <v>99</v>
      </c>
      <c r="L13" s="249"/>
      <c r="M13" s="253"/>
      <c r="N13" s="249"/>
      <c r="O13" s="253" t="n">
        <v>6</v>
      </c>
      <c r="P13" s="249"/>
    </row>
    <row r="14" customFormat="false" ht="39.75" hidden="false" customHeight="true" outlineLevel="0" collapsed="false">
      <c r="B14" s="248" t="s">
        <v>1945</v>
      </c>
      <c r="C14" s="254" t="s">
        <v>2216</v>
      </c>
      <c r="D14" s="254"/>
      <c r="E14" s="255" t="s">
        <v>2190</v>
      </c>
      <c r="F14" s="249"/>
      <c r="G14" s="255" t="s">
        <v>2217</v>
      </c>
      <c r="H14" s="249"/>
      <c r="I14" s="255" t="s">
        <v>2189</v>
      </c>
      <c r="J14" s="249"/>
      <c r="K14" s="255" t="s">
        <v>2218</v>
      </c>
      <c r="L14" s="249"/>
      <c r="M14" s="255" t="s">
        <v>2189</v>
      </c>
      <c r="N14" s="249"/>
      <c r="O14" s="255" t="s">
        <v>1950</v>
      </c>
      <c r="P14" s="249"/>
    </row>
    <row r="15" customFormat="false" ht="13.5" hidden="false" customHeight="true" outlineLevel="0" collapsed="false">
      <c r="B15" s="248" t="s">
        <v>2165</v>
      </c>
      <c r="C15" s="266" t="n">
        <f aca="false">'Property Info'!$C$29</f>
        <v>352240</v>
      </c>
      <c r="D15" s="266"/>
      <c r="E15" s="253" t="n">
        <v>10584</v>
      </c>
      <c r="F15" s="249"/>
      <c r="G15" s="253" t="n">
        <v>12988</v>
      </c>
      <c r="H15" s="249"/>
      <c r="I15" s="253" t="n">
        <v>10095</v>
      </c>
      <c r="J15" s="249"/>
      <c r="K15" s="253" t="n">
        <v>10201</v>
      </c>
      <c r="L15" s="249"/>
      <c r="M15" s="253" t="n">
        <v>10000</v>
      </c>
      <c r="N15" s="249"/>
      <c r="O15" s="253" t="n">
        <v>11083</v>
      </c>
      <c r="P15" s="249"/>
    </row>
    <row r="16" customFormat="false" ht="13.5" hidden="false" customHeight="true" outlineLevel="0" collapsed="false">
      <c r="B16" s="248" t="s">
        <v>137</v>
      </c>
      <c r="C16" s="266" t="n">
        <f aca="false">'Property Info'!$C$26</f>
        <v>869458</v>
      </c>
      <c r="D16" s="266"/>
      <c r="E16" s="253" t="n">
        <v>80359</v>
      </c>
      <c r="F16" s="249"/>
      <c r="G16" s="253" t="n">
        <v>100188</v>
      </c>
      <c r="H16" s="249"/>
      <c r="I16" s="253" t="n">
        <v>62726</v>
      </c>
      <c r="J16" s="249"/>
      <c r="K16" s="253" t="n">
        <v>26983</v>
      </c>
      <c r="L16" s="249"/>
      <c r="M16" s="253" t="n">
        <v>66647</v>
      </c>
      <c r="N16" s="249"/>
      <c r="O16" s="253" t="n">
        <v>62088</v>
      </c>
      <c r="P16" s="249"/>
    </row>
    <row r="17" customFormat="false" ht="13.5" hidden="false" customHeight="true" outlineLevel="0" collapsed="false">
      <c r="B17" s="248" t="s">
        <v>2219</v>
      </c>
      <c r="C17" s="266" t="n">
        <v>26</v>
      </c>
      <c r="D17" s="266"/>
      <c r="E17" s="253" t="n">
        <v>35</v>
      </c>
      <c r="F17" s="249"/>
      <c r="G17" s="253" t="n">
        <v>57</v>
      </c>
      <c r="H17" s="249"/>
      <c r="I17" s="253" t="n">
        <v>40</v>
      </c>
      <c r="J17" s="249"/>
      <c r="K17" s="253" t="n">
        <v>30</v>
      </c>
      <c r="L17" s="249"/>
      <c r="M17" s="253" t="n">
        <v>46</v>
      </c>
      <c r="N17" s="249"/>
      <c r="O17" s="253" t="n">
        <v>35</v>
      </c>
      <c r="P17" s="249"/>
    </row>
    <row r="18" customFormat="false" ht="39.75" hidden="false" customHeight="true" outlineLevel="0" collapsed="false">
      <c r="B18" s="248" t="s">
        <v>367</v>
      </c>
      <c r="C18" s="254" t="s">
        <v>2220</v>
      </c>
      <c r="D18" s="254"/>
      <c r="E18" s="255" t="s">
        <v>2221</v>
      </c>
      <c r="F18" s="249"/>
      <c r="G18" s="255" t="s">
        <v>2222</v>
      </c>
      <c r="H18" s="249"/>
      <c r="I18" s="255" t="s">
        <v>2223</v>
      </c>
      <c r="J18" s="249"/>
      <c r="K18" s="255" t="s">
        <v>2224</v>
      </c>
      <c r="L18" s="249"/>
      <c r="M18" s="255" t="s">
        <v>2224</v>
      </c>
      <c r="N18" s="249"/>
      <c r="O18" s="255" t="s">
        <v>2225</v>
      </c>
      <c r="P18" s="249"/>
    </row>
    <row r="19" customFormat="false" ht="15" hidden="false" customHeight="true" outlineLevel="0" collapsed="false">
      <c r="B19" s="258" t="s">
        <v>2172</v>
      </c>
      <c r="C19" s="260" t="n">
        <f aca="false">IFERROR(C11/C15,"")</f>
        <v>18.6094708153532</v>
      </c>
      <c r="D19" s="260"/>
      <c r="E19" s="260" t="n">
        <f aca="false">IFERROR(E11/E15,"")</f>
        <v>496.031746031746</v>
      </c>
      <c r="F19" s="260"/>
      <c r="G19" s="260" t="n">
        <f aca="false">IFERROR(G11/G15,"")</f>
        <v>327.610101632276</v>
      </c>
      <c r="H19" s="260"/>
      <c r="I19" s="260" t="n">
        <f aca="false">IFERROR(I11/I15,"")</f>
        <v>312.932144626053</v>
      </c>
      <c r="J19" s="260"/>
      <c r="K19" s="260" t="n">
        <f aca="false">IFERROR(K11/K15,"")</f>
        <v>363.689834329968</v>
      </c>
      <c r="L19" s="260"/>
      <c r="M19" s="260" t="n">
        <f aca="false">IFERROR(M11/M15,"")</f>
        <v>390</v>
      </c>
      <c r="N19" s="260"/>
      <c r="O19" s="260" t="n">
        <f aca="false">IFERROR(O11/O15,"")</f>
        <v>591.446359289001</v>
      </c>
      <c r="P19" s="260"/>
    </row>
    <row r="20" customFormat="false" ht="15" hidden="false" customHeight="true" outlineLevel="0" collapsed="false">
      <c r="B20" s="365" t="s">
        <v>2173</v>
      </c>
      <c r="C20" s="365"/>
      <c r="D20" s="365"/>
      <c r="E20" s="365"/>
      <c r="F20" s="365"/>
      <c r="G20" s="365"/>
      <c r="H20" s="365"/>
      <c r="I20" s="365"/>
      <c r="J20" s="365"/>
      <c r="K20" s="365"/>
      <c r="L20" s="365"/>
      <c r="M20" s="365"/>
      <c r="N20" s="365"/>
      <c r="O20" s="365"/>
      <c r="P20" s="365"/>
    </row>
    <row r="21" customFormat="false" ht="13.5" hidden="false" customHeight="true" outlineLevel="0" collapsed="false">
      <c r="B21" s="248" t="s">
        <v>1962</v>
      </c>
      <c r="C21" s="12" t="s">
        <v>2226</v>
      </c>
      <c r="D21" s="12"/>
      <c r="E21" s="8" t="s">
        <v>2226</v>
      </c>
      <c r="F21" s="263" t="n">
        <v>0</v>
      </c>
      <c r="G21" s="8" t="s">
        <v>2226</v>
      </c>
      <c r="H21" s="263" t="n">
        <v>0</v>
      </c>
      <c r="I21" s="8" t="s">
        <v>2226</v>
      </c>
      <c r="J21" s="263" t="n">
        <v>0</v>
      </c>
      <c r="K21" s="8" t="s">
        <v>2226</v>
      </c>
      <c r="L21" s="263" t="n">
        <v>0</v>
      </c>
      <c r="M21" s="8" t="s">
        <v>2226</v>
      </c>
      <c r="N21" s="263" t="n">
        <v>0</v>
      </c>
      <c r="O21" s="8" t="s">
        <v>2226</v>
      </c>
      <c r="P21" s="263"/>
    </row>
    <row r="22" customFormat="false" ht="13.5" hidden="false" customHeight="true" outlineLevel="0" collapsed="false">
      <c r="B22" s="248" t="s">
        <v>1963</v>
      </c>
      <c r="C22" s="12" t="s">
        <v>1939</v>
      </c>
      <c r="D22" s="12"/>
      <c r="E22" s="8" t="s">
        <v>1964</v>
      </c>
      <c r="F22" s="263" t="n">
        <v>0</v>
      </c>
      <c r="G22" s="8" t="s">
        <v>1964</v>
      </c>
      <c r="H22" s="263" t="n">
        <v>0</v>
      </c>
      <c r="I22" s="8" t="s">
        <v>1964</v>
      </c>
      <c r="J22" s="263" t="n">
        <v>0</v>
      </c>
      <c r="K22" s="8" t="s">
        <v>1964</v>
      </c>
      <c r="L22" s="263" t="n">
        <v>0</v>
      </c>
      <c r="M22" s="8" t="s">
        <v>1964</v>
      </c>
      <c r="N22" s="263" t="n">
        <v>0</v>
      </c>
      <c r="O22" s="8" t="s">
        <v>1939</v>
      </c>
      <c r="P22" s="263" t="n">
        <v>0</v>
      </c>
    </row>
    <row r="23" customFormat="false" ht="13.5" hidden="false" customHeight="true" outlineLevel="0" collapsed="false">
      <c r="B23" s="248" t="s">
        <v>2175</v>
      </c>
      <c r="C23" s="12" t="s">
        <v>1939</v>
      </c>
      <c r="D23" s="12"/>
      <c r="E23" s="8" t="s">
        <v>1939</v>
      </c>
      <c r="F23" s="263" t="n">
        <v>0</v>
      </c>
      <c r="G23" s="8" t="s">
        <v>1966</v>
      </c>
      <c r="H23" s="263" t="n">
        <v>0</v>
      </c>
      <c r="I23" s="8" t="s">
        <v>1966</v>
      </c>
      <c r="J23" s="263" t="n">
        <v>0</v>
      </c>
      <c r="K23" s="8" t="s">
        <v>1966</v>
      </c>
      <c r="L23" s="263" t="n">
        <v>0</v>
      </c>
      <c r="M23" s="8" t="s">
        <v>1966</v>
      </c>
      <c r="N23" s="263" t="n">
        <v>0</v>
      </c>
      <c r="O23" s="8" t="s">
        <v>1939</v>
      </c>
      <c r="P23" s="263" t="n">
        <v>-0.1</v>
      </c>
    </row>
    <row r="24" customFormat="false" ht="13.5" hidden="false" customHeight="true" outlineLevel="0" collapsed="false">
      <c r="B24" s="248" t="s">
        <v>1967</v>
      </c>
      <c r="C24" s="12" t="s">
        <v>1939</v>
      </c>
      <c r="D24" s="12"/>
      <c r="E24" s="8" t="s">
        <v>1939</v>
      </c>
      <c r="F24" s="263" t="n">
        <v>0</v>
      </c>
      <c r="G24" s="8" t="s">
        <v>1966</v>
      </c>
      <c r="H24" s="263" t="n">
        <v>0</v>
      </c>
      <c r="I24" s="8" t="s">
        <v>1966</v>
      </c>
      <c r="J24" s="263" t="n">
        <v>0</v>
      </c>
      <c r="K24" s="8" t="s">
        <v>1966</v>
      </c>
      <c r="L24" s="263" t="n">
        <v>0</v>
      </c>
      <c r="M24" s="8" t="s">
        <v>1966</v>
      </c>
      <c r="N24" s="263" t="n">
        <v>0</v>
      </c>
      <c r="O24" s="8" t="s">
        <v>1939</v>
      </c>
      <c r="P24" s="263" t="n">
        <v>0</v>
      </c>
    </row>
    <row r="25" customFormat="false" ht="13.5" hidden="false" customHeight="true" outlineLevel="0" collapsed="false">
      <c r="B25" s="248" t="s">
        <v>1968</v>
      </c>
      <c r="C25" s="12" t="s">
        <v>1939</v>
      </c>
      <c r="D25" s="12"/>
      <c r="E25" s="370" t="n">
        <v>43525</v>
      </c>
      <c r="F25" s="263" t="n">
        <v>0</v>
      </c>
      <c r="G25" s="370" t="n">
        <v>43678</v>
      </c>
      <c r="H25" s="263" t="n">
        <v>0</v>
      </c>
      <c r="I25" s="370" t="n">
        <v>43586</v>
      </c>
      <c r="J25" s="263" t="n">
        <v>0</v>
      </c>
      <c r="K25" s="370" t="n">
        <v>43546</v>
      </c>
      <c r="L25" s="263" t="n">
        <v>0</v>
      </c>
      <c r="M25" s="370" t="n">
        <v>43326</v>
      </c>
      <c r="N25" s="263" t="n">
        <v>0.03</v>
      </c>
      <c r="O25" s="8" t="s">
        <v>2214</v>
      </c>
      <c r="P25" s="263" t="n">
        <v>0</v>
      </c>
    </row>
    <row r="26" customFormat="false" ht="15" hidden="false" customHeight="true" outlineLevel="0" collapsed="false">
      <c r="B26" s="258" t="s">
        <v>1969</v>
      </c>
      <c r="C26" s="265" t="s">
        <v>1939</v>
      </c>
      <c r="D26" s="265"/>
      <c r="E26" s="265" t="n">
        <f aca="false">SUM(F21,F22,F23,F24,F25)</f>
        <v>0</v>
      </c>
      <c r="F26" s="265"/>
      <c r="G26" s="265" t="n">
        <f aca="false">SUM(H21,H22,H23,H24,H25)</f>
        <v>0</v>
      </c>
      <c r="H26" s="265"/>
      <c r="I26" s="265" t="n">
        <f aca="false">SUM(J21,J22,J23,J24,J25)</f>
        <v>0</v>
      </c>
      <c r="J26" s="265"/>
      <c r="K26" s="265" t="n">
        <f aca="false">SUM(L21,L22,L23,L24,L25)</f>
        <v>0</v>
      </c>
      <c r="L26" s="265"/>
      <c r="M26" s="265" t="n">
        <f aca="false">SUM(N21,N22,N23,N24,N25)</f>
        <v>0.03</v>
      </c>
      <c r="N26" s="265"/>
      <c r="O26" s="265" t="n">
        <f aca="false">SUM(P21,P22,P23,P24,P25)</f>
        <v>-0.1</v>
      </c>
      <c r="P26" s="265"/>
    </row>
    <row r="27" customFormat="false" ht="15" hidden="false" customHeight="true" outlineLevel="0" collapsed="false">
      <c r="B27" s="258" t="s">
        <v>2176</v>
      </c>
      <c r="C27" s="260" t="n">
        <f aca="false">IFERROR(C19*(1+N(C26)),"")</f>
        <v>18.6094708153532</v>
      </c>
      <c r="D27" s="260"/>
      <c r="E27" s="260" t="n">
        <f aca="false">IFERROR(E19*(1+N(E26)),"")</f>
        <v>496.031746031746</v>
      </c>
      <c r="F27" s="260"/>
      <c r="G27" s="260" t="n">
        <f aca="false">IFERROR(G19*(1+N(G26)),"")</f>
        <v>327.610101632276</v>
      </c>
      <c r="H27" s="260"/>
      <c r="I27" s="260" t="n">
        <f aca="false">IFERROR(I19*(1+N(I26)),"")</f>
        <v>312.932144626053</v>
      </c>
      <c r="J27" s="260"/>
      <c r="K27" s="260" t="n">
        <f aca="false">IFERROR(K19*(1+N(K26)),"")</f>
        <v>363.689834329968</v>
      </c>
      <c r="L27" s="260"/>
      <c r="M27" s="260" t="n">
        <f aca="false">IFERROR(M19*(1+N(M26)),"")</f>
        <v>401.7</v>
      </c>
      <c r="N27" s="260"/>
      <c r="O27" s="260" t="n">
        <f aca="false">IFERROR(O19*(1+N(O26)),"")</f>
        <v>532.301723360101</v>
      </c>
      <c r="P27" s="260"/>
    </row>
    <row r="28" customFormat="false" ht="15" hidden="false" customHeight="true" outlineLevel="0" collapsed="false">
      <c r="B28" s="365" t="s">
        <v>2177</v>
      </c>
      <c r="C28" s="365"/>
      <c r="D28" s="365"/>
      <c r="E28" s="365"/>
      <c r="F28" s="365"/>
      <c r="G28" s="365"/>
      <c r="H28" s="365"/>
      <c r="I28" s="365"/>
      <c r="J28" s="365"/>
      <c r="K28" s="365"/>
      <c r="L28" s="365"/>
      <c r="M28" s="365"/>
      <c r="N28" s="365"/>
      <c r="O28" s="365"/>
      <c r="P28" s="365"/>
    </row>
    <row r="29" customFormat="false" ht="13.5" hidden="false" customHeight="true" outlineLevel="0" collapsed="false">
      <c r="B29" s="248" t="s">
        <v>218</v>
      </c>
      <c r="C29" s="12" t="s">
        <v>483</v>
      </c>
      <c r="D29" s="12"/>
      <c r="E29" s="8" t="s">
        <v>2227</v>
      </c>
      <c r="F29" s="263" t="n">
        <v>0.05</v>
      </c>
      <c r="G29" s="8" t="s">
        <v>279</v>
      </c>
      <c r="H29" s="263" t="n">
        <v>0.15</v>
      </c>
      <c r="I29" s="8" t="s">
        <v>279</v>
      </c>
      <c r="J29" s="263" t="n">
        <v>0.15</v>
      </c>
      <c r="K29" s="8" t="s">
        <v>483</v>
      </c>
      <c r="L29" s="263" t="n">
        <v>0.05</v>
      </c>
      <c r="M29" s="8" t="s">
        <v>483</v>
      </c>
      <c r="N29" s="263" t="n">
        <v>0.05</v>
      </c>
      <c r="O29" s="8" t="s">
        <v>483</v>
      </c>
      <c r="P29" s="263" t="n">
        <v>-0.05</v>
      </c>
    </row>
    <row r="30" customFormat="false" ht="13.5" hidden="false" customHeight="true" outlineLevel="0" collapsed="false">
      <c r="B30" s="248" t="s">
        <v>1973</v>
      </c>
      <c r="C30" s="12" t="s">
        <v>1939</v>
      </c>
      <c r="D30" s="12"/>
      <c r="E30" s="8" t="s">
        <v>2228</v>
      </c>
      <c r="F30" s="249"/>
      <c r="G30" s="8" t="s">
        <v>2229</v>
      </c>
      <c r="H30" s="249"/>
      <c r="I30" s="8" t="s">
        <v>1975</v>
      </c>
      <c r="J30" s="249"/>
      <c r="K30" s="8" t="s">
        <v>1975</v>
      </c>
      <c r="L30" s="249"/>
      <c r="M30" s="8" t="s">
        <v>1975</v>
      </c>
      <c r="N30" s="249"/>
      <c r="O30" s="8" t="s">
        <v>2230</v>
      </c>
      <c r="P30" s="249"/>
    </row>
    <row r="31" customFormat="false" ht="39.75" hidden="false" customHeight="true" outlineLevel="0" collapsed="false">
      <c r="B31" s="248" t="s">
        <v>1977</v>
      </c>
      <c r="C31" s="254" t="s">
        <v>2231</v>
      </c>
      <c r="D31" s="254"/>
      <c r="E31" s="255" t="s">
        <v>2232</v>
      </c>
      <c r="F31" s="249"/>
      <c r="G31" s="255" t="s">
        <v>2233</v>
      </c>
      <c r="H31" s="249"/>
      <c r="I31" s="255" t="s">
        <v>2234</v>
      </c>
      <c r="J31" s="249"/>
      <c r="K31" s="255" t="s">
        <v>1979</v>
      </c>
      <c r="L31" s="249"/>
      <c r="M31" s="255" t="s">
        <v>2235</v>
      </c>
      <c r="N31" s="249"/>
      <c r="O31" s="255" t="s">
        <v>2232</v>
      </c>
      <c r="P31" s="249"/>
    </row>
    <row r="32" customFormat="false" ht="39.75" hidden="false" customHeight="true" outlineLevel="0" collapsed="false">
      <c r="B32" s="248" t="s">
        <v>1981</v>
      </c>
      <c r="C32" s="254" t="s">
        <v>2236</v>
      </c>
      <c r="D32" s="254"/>
      <c r="E32" s="255" t="s">
        <v>2236</v>
      </c>
      <c r="F32" s="249"/>
      <c r="G32" s="255" t="s">
        <v>2236</v>
      </c>
      <c r="H32" s="249"/>
      <c r="I32" s="255" t="s">
        <v>2236</v>
      </c>
      <c r="J32" s="249"/>
      <c r="K32" s="255" t="s">
        <v>2237</v>
      </c>
      <c r="L32" s="249"/>
      <c r="M32" s="255" t="s">
        <v>2237</v>
      </c>
      <c r="N32" s="249"/>
      <c r="O32" s="255" t="s">
        <v>1983</v>
      </c>
      <c r="P32" s="249"/>
    </row>
    <row r="33" customFormat="false" ht="39.75" hidden="false" customHeight="true" outlineLevel="0" collapsed="false">
      <c r="B33" s="248" t="s">
        <v>1984</v>
      </c>
      <c r="C33" s="254" t="s">
        <v>483</v>
      </c>
      <c r="D33" s="254"/>
      <c r="E33" s="255" t="s">
        <v>279</v>
      </c>
      <c r="F33" s="249"/>
      <c r="G33" s="255" t="s">
        <v>483</v>
      </c>
      <c r="H33" s="249"/>
      <c r="I33" s="255" t="s">
        <v>483</v>
      </c>
      <c r="J33" s="249"/>
      <c r="K33" s="255" t="s">
        <v>483</v>
      </c>
      <c r="L33" s="249"/>
      <c r="M33" s="255" t="s">
        <v>279</v>
      </c>
      <c r="N33" s="249"/>
      <c r="O33" s="255" t="s">
        <v>483</v>
      </c>
      <c r="P33" s="249"/>
    </row>
    <row r="34" customFormat="false" ht="39.75" hidden="false" customHeight="true" outlineLevel="0" collapsed="false">
      <c r="B34" s="248" t="s">
        <v>1985</v>
      </c>
      <c r="C34" s="254" t="s">
        <v>2238</v>
      </c>
      <c r="D34" s="254"/>
      <c r="E34" s="255" t="s">
        <v>2238</v>
      </c>
      <c r="F34" s="249"/>
      <c r="G34" s="255" t="s">
        <v>2239</v>
      </c>
      <c r="H34" s="249"/>
      <c r="I34" s="255" t="s">
        <v>2240</v>
      </c>
      <c r="J34" s="249"/>
      <c r="K34" s="255" t="s">
        <v>2241</v>
      </c>
      <c r="L34" s="249"/>
      <c r="M34" s="255" t="s">
        <v>2242</v>
      </c>
      <c r="N34" s="249"/>
      <c r="O34" s="255" t="s">
        <v>2243</v>
      </c>
      <c r="P34" s="249"/>
    </row>
    <row r="35" customFormat="false" ht="39.75" hidden="false" customHeight="true" outlineLevel="0" collapsed="false">
      <c r="B35" s="248" t="s">
        <v>192</v>
      </c>
      <c r="C35" s="254" t="s">
        <v>2244</v>
      </c>
      <c r="D35" s="254"/>
      <c r="E35" s="255" t="s">
        <v>2245</v>
      </c>
      <c r="F35" s="249"/>
      <c r="G35" s="255" t="s">
        <v>2246</v>
      </c>
      <c r="H35" s="249"/>
      <c r="I35" s="255" t="s">
        <v>2247</v>
      </c>
      <c r="J35" s="249"/>
      <c r="K35" s="255" t="s">
        <v>2248</v>
      </c>
      <c r="L35" s="249"/>
      <c r="M35" s="255" t="s">
        <v>2249</v>
      </c>
      <c r="N35" s="249"/>
      <c r="O35" s="255" t="s">
        <v>2250</v>
      </c>
      <c r="P35" s="249"/>
    </row>
    <row r="36" customFormat="false" ht="13.5" hidden="false" customHeight="true" outlineLevel="0" collapsed="false">
      <c r="B36" s="248" t="s">
        <v>2165</v>
      </c>
      <c r="C36" s="266" t="s">
        <v>2251</v>
      </c>
      <c r="D36" s="266"/>
      <c r="E36" s="253" t="n">
        <v>10584</v>
      </c>
      <c r="F36" s="263" t="n">
        <v>0</v>
      </c>
      <c r="G36" s="253" t="n">
        <v>12988</v>
      </c>
      <c r="H36" s="263" t="n">
        <v>0</v>
      </c>
      <c r="I36" s="253" t="n">
        <v>10095</v>
      </c>
      <c r="J36" s="263" t="n">
        <v>0</v>
      </c>
      <c r="K36" s="253" t="n">
        <v>10201</v>
      </c>
      <c r="L36" s="263" t="n">
        <v>0</v>
      </c>
      <c r="M36" s="253" t="n">
        <v>10000</v>
      </c>
      <c r="N36" s="263" t="n">
        <v>-0.05</v>
      </c>
      <c r="O36" s="253" t="n">
        <v>11083</v>
      </c>
      <c r="P36" s="263" t="n">
        <v>0</v>
      </c>
    </row>
    <row r="37" customFormat="false" ht="13.5" hidden="false" customHeight="true" outlineLevel="0" collapsed="false">
      <c r="B37" s="248" t="s">
        <v>2166</v>
      </c>
      <c r="C37" s="12" t="s">
        <v>2252</v>
      </c>
      <c r="D37" s="12"/>
      <c r="E37" s="8" t="s">
        <v>2253</v>
      </c>
      <c r="F37" s="263" t="n">
        <v>0</v>
      </c>
      <c r="G37" s="8" t="s">
        <v>2254</v>
      </c>
      <c r="H37" s="263" t="n">
        <v>0.05</v>
      </c>
      <c r="I37" s="8" t="s">
        <v>2255</v>
      </c>
      <c r="J37" s="263" t="n">
        <v>0</v>
      </c>
      <c r="K37" s="8" t="s">
        <v>2256</v>
      </c>
      <c r="L37" s="263" t="n">
        <v>-0.05</v>
      </c>
      <c r="M37" s="8" t="s">
        <v>2257</v>
      </c>
      <c r="N37" s="263" t="n">
        <v>0</v>
      </c>
      <c r="O37" s="8" t="s">
        <v>2256</v>
      </c>
      <c r="P37" s="263" t="n">
        <v>0</v>
      </c>
    </row>
    <row r="38" customFormat="false" ht="13.5" hidden="false" customHeight="true" outlineLevel="0" collapsed="false">
      <c r="B38" s="248" t="s">
        <v>68</v>
      </c>
      <c r="C38" s="12" t="s">
        <v>483</v>
      </c>
      <c r="D38" s="12"/>
      <c r="E38" s="8" t="s">
        <v>279</v>
      </c>
      <c r="F38" s="263" t="n">
        <v>0</v>
      </c>
      <c r="G38" s="8" t="s">
        <v>279</v>
      </c>
      <c r="H38" s="263" t="n">
        <v>0</v>
      </c>
      <c r="I38" s="8" t="s">
        <v>279</v>
      </c>
      <c r="J38" s="263" t="n">
        <v>0</v>
      </c>
      <c r="K38" s="8" t="s">
        <v>279</v>
      </c>
      <c r="L38" s="263" t="n">
        <v>0</v>
      </c>
      <c r="M38" s="8" t="s">
        <v>279</v>
      </c>
      <c r="N38" s="263" t="n">
        <v>0</v>
      </c>
      <c r="O38" s="8" t="s">
        <v>279</v>
      </c>
      <c r="P38" s="263" t="n">
        <v>0</v>
      </c>
    </row>
    <row r="39" customFormat="false" ht="39.75" hidden="false" customHeight="true" outlineLevel="0" collapsed="false">
      <c r="B39" s="248" t="s">
        <v>452</v>
      </c>
      <c r="C39" s="254" t="s">
        <v>2258</v>
      </c>
      <c r="D39" s="254"/>
      <c r="E39" s="255" t="s">
        <v>2259</v>
      </c>
      <c r="F39" s="249"/>
      <c r="G39" s="255" t="s">
        <v>2260</v>
      </c>
      <c r="H39" s="249"/>
      <c r="I39" s="255" t="s">
        <v>2261</v>
      </c>
      <c r="J39" s="249"/>
      <c r="K39" s="255" t="s">
        <v>2262</v>
      </c>
      <c r="L39" s="249"/>
      <c r="M39" s="255" t="s">
        <v>2262</v>
      </c>
      <c r="N39" s="249"/>
      <c r="O39" s="255" t="s">
        <v>2260</v>
      </c>
      <c r="P39" s="249"/>
    </row>
    <row r="40" customFormat="false" ht="39.75" hidden="false" customHeight="true" outlineLevel="0" collapsed="false">
      <c r="B40" s="248" t="s">
        <v>2263</v>
      </c>
      <c r="C40" s="254" t="s">
        <v>2264</v>
      </c>
      <c r="D40" s="254"/>
      <c r="E40" s="255" t="s">
        <v>2265</v>
      </c>
      <c r="F40" s="249"/>
      <c r="G40" s="255" t="s">
        <v>2260</v>
      </c>
      <c r="H40" s="249"/>
      <c r="I40" s="255" t="s">
        <v>2266</v>
      </c>
      <c r="J40" s="249"/>
      <c r="K40" s="255" t="s">
        <v>2267</v>
      </c>
      <c r="L40" s="249"/>
      <c r="M40" s="255" t="s">
        <v>2267</v>
      </c>
      <c r="N40" s="249"/>
      <c r="O40" s="255" t="s">
        <v>2268</v>
      </c>
      <c r="P40" s="249"/>
    </row>
    <row r="41" customFormat="false" ht="39.75" hidden="false" customHeight="true" outlineLevel="0" collapsed="false">
      <c r="B41" s="248" t="s">
        <v>2269</v>
      </c>
      <c r="C41" s="254" t="s">
        <v>2270</v>
      </c>
      <c r="D41" s="254"/>
      <c r="E41" s="255" t="s">
        <v>2271</v>
      </c>
      <c r="F41" s="249"/>
      <c r="G41" s="255" t="s">
        <v>2270</v>
      </c>
      <c r="H41" s="249"/>
      <c r="I41" s="255" t="s">
        <v>2270</v>
      </c>
      <c r="J41" s="249"/>
      <c r="K41" s="255" t="s">
        <v>2272</v>
      </c>
      <c r="L41" s="249"/>
      <c r="M41" s="255" t="s">
        <v>2272</v>
      </c>
      <c r="N41" s="249"/>
      <c r="O41" s="255" t="s">
        <v>2273</v>
      </c>
      <c r="P41" s="249"/>
    </row>
    <row r="42" customFormat="false" ht="39.75" hidden="false" customHeight="true" outlineLevel="0" collapsed="false">
      <c r="B42" s="248" t="s">
        <v>2274</v>
      </c>
      <c r="C42" s="254" t="s">
        <v>2275</v>
      </c>
      <c r="D42" s="254"/>
      <c r="E42" s="255" t="s">
        <v>2276</v>
      </c>
      <c r="F42" s="249"/>
      <c r="G42" s="255" t="s">
        <v>2277</v>
      </c>
      <c r="H42" s="249"/>
      <c r="I42" s="255" t="s">
        <v>2277</v>
      </c>
      <c r="J42" s="249"/>
      <c r="K42" s="255" t="s">
        <v>2277</v>
      </c>
      <c r="L42" s="249"/>
      <c r="M42" s="255" t="s">
        <v>2277</v>
      </c>
      <c r="N42" s="249"/>
      <c r="O42" s="255" t="s">
        <v>2278</v>
      </c>
      <c r="P42" s="249"/>
    </row>
    <row r="43" customFormat="false" ht="13.5" hidden="false" customHeight="true" outlineLevel="0" collapsed="false">
      <c r="B43" s="248" t="s">
        <v>2279</v>
      </c>
      <c r="C43" s="367" t="n">
        <f aca="false">IFERROR(C17/C15*1000,"")</f>
        <v>0.0738133091074268</v>
      </c>
      <c r="D43" s="367"/>
      <c r="E43" s="371" t="n">
        <f aca="false">IFERROR(E17/E15*1000,"")</f>
        <v>3.30687830687831</v>
      </c>
      <c r="F43" s="263" t="n">
        <v>0</v>
      </c>
      <c r="G43" s="371" t="n">
        <f aca="false">IFERROR(G17/G15*1000,"")</f>
        <v>4.38866646134894</v>
      </c>
      <c r="H43" s="263" t="n">
        <v>-0.05</v>
      </c>
      <c r="I43" s="371" t="n">
        <f aca="false">IFERROR(I17/I15*1000,"")</f>
        <v>3.96235760277365</v>
      </c>
      <c r="J43" s="263" t="n">
        <v>-0.05</v>
      </c>
      <c r="K43" s="371" t="n">
        <f aca="false">IFERROR(K17/K15*1000,"")</f>
        <v>2.94088814822076</v>
      </c>
      <c r="L43" s="263" t="n">
        <v>0</v>
      </c>
      <c r="M43" s="371" t="n">
        <f aca="false">IFERROR(M17/M15*1000,"")</f>
        <v>4.6</v>
      </c>
      <c r="N43" s="263" t="n">
        <v>-0.05</v>
      </c>
      <c r="O43" s="371" t="n">
        <f aca="false">IFERROR(O17/O15*1000,"")</f>
        <v>3.15798971397636</v>
      </c>
      <c r="P43" s="263" t="n">
        <v>0</v>
      </c>
    </row>
    <row r="44" customFormat="false" ht="13.5" hidden="false" customHeight="true" outlineLevel="0" collapsed="false">
      <c r="B44" s="248" t="s">
        <v>2179</v>
      </c>
      <c r="C44" s="12" t="s">
        <v>483</v>
      </c>
      <c r="D44" s="12"/>
      <c r="E44" s="8" t="s">
        <v>279</v>
      </c>
      <c r="F44" s="263" t="n">
        <v>0</v>
      </c>
      <c r="G44" s="8" t="s">
        <v>483</v>
      </c>
      <c r="H44" s="263" t="n">
        <v>-0.1</v>
      </c>
      <c r="I44" s="8" t="s">
        <v>279</v>
      </c>
      <c r="J44" s="263" t="n">
        <v>0</v>
      </c>
      <c r="K44" s="8" t="s">
        <v>2227</v>
      </c>
      <c r="L44" s="263" t="n">
        <v>-0.05</v>
      </c>
      <c r="M44" s="8" t="s">
        <v>2227</v>
      </c>
      <c r="N44" s="263" t="n">
        <v>-0.05</v>
      </c>
      <c r="O44" s="8" t="s">
        <v>483</v>
      </c>
      <c r="P44" s="263" t="n">
        <v>0</v>
      </c>
    </row>
    <row r="45" customFormat="false" ht="13.5" hidden="false" customHeight="true" outlineLevel="0" collapsed="false">
      <c r="B45" s="248" t="s">
        <v>2280</v>
      </c>
      <c r="C45" s="372" t="n">
        <v>1</v>
      </c>
      <c r="D45" s="372"/>
      <c r="E45" s="373" t="n">
        <v>1</v>
      </c>
      <c r="F45" s="249"/>
      <c r="G45" s="373" t="n">
        <v>1</v>
      </c>
      <c r="H45" s="249"/>
      <c r="I45" s="373" t="n">
        <v>1</v>
      </c>
      <c r="J45" s="249"/>
      <c r="K45" s="373" t="n">
        <v>1</v>
      </c>
      <c r="L45" s="249"/>
      <c r="M45" s="373" t="n">
        <v>1</v>
      </c>
      <c r="N45" s="249"/>
      <c r="O45" s="373" t="n">
        <v>1</v>
      </c>
      <c r="P45" s="249"/>
    </row>
    <row r="46" customFormat="false" ht="39.75" hidden="false" customHeight="true" outlineLevel="0" collapsed="false">
      <c r="B46" s="248" t="s">
        <v>2281</v>
      </c>
      <c r="C46" s="254" t="s">
        <v>2282</v>
      </c>
      <c r="D46" s="254"/>
      <c r="E46" s="255" t="s">
        <v>2283</v>
      </c>
      <c r="F46" s="249"/>
      <c r="G46" s="255" t="s">
        <v>2284</v>
      </c>
      <c r="H46" s="249"/>
      <c r="I46" s="255" t="s">
        <v>2285</v>
      </c>
      <c r="J46" s="249"/>
      <c r="K46" s="255" t="s">
        <v>2286</v>
      </c>
      <c r="L46" s="249"/>
      <c r="M46" s="255" t="s">
        <v>2286</v>
      </c>
      <c r="N46" s="249"/>
      <c r="O46" s="255" t="s">
        <v>2287</v>
      </c>
      <c r="P46" s="249"/>
    </row>
    <row r="47" customFormat="false" ht="13.5" hidden="false" customHeight="true" outlineLevel="0" collapsed="false">
      <c r="B47" s="248" t="s">
        <v>2288</v>
      </c>
      <c r="C47" s="374" t="s">
        <v>1939</v>
      </c>
      <c r="D47" s="374"/>
      <c r="E47" s="366" t="s">
        <v>1939</v>
      </c>
      <c r="F47" s="249"/>
      <c r="G47" s="366" t="s">
        <v>1939</v>
      </c>
      <c r="H47" s="249"/>
      <c r="I47" s="366" t="s">
        <v>1939</v>
      </c>
      <c r="J47" s="249"/>
      <c r="K47" s="366" t="n">
        <v>0.0715</v>
      </c>
      <c r="L47" s="249"/>
      <c r="M47" s="366" t="n">
        <v>0.0675</v>
      </c>
      <c r="N47" s="249"/>
      <c r="O47" s="366" t="n">
        <v>0.0635</v>
      </c>
      <c r="P47" s="249"/>
    </row>
    <row r="48" customFormat="false" ht="13.5" hidden="false" customHeight="true" outlineLevel="0" collapsed="false">
      <c r="B48" s="248" t="s">
        <v>2289</v>
      </c>
      <c r="C48" s="267" t="n">
        <v>15</v>
      </c>
      <c r="D48" s="267"/>
      <c r="E48" s="256" t="n">
        <v>15</v>
      </c>
      <c r="F48" s="249"/>
      <c r="G48" s="256" t="n">
        <v>6</v>
      </c>
      <c r="H48" s="249"/>
      <c r="I48" s="8" t="s">
        <v>1939</v>
      </c>
      <c r="J48" s="249"/>
      <c r="K48" s="8" t="s">
        <v>1939</v>
      </c>
      <c r="L48" s="249"/>
      <c r="M48" s="8" t="s">
        <v>1939</v>
      </c>
      <c r="N48" s="249"/>
      <c r="O48" s="256" t="n">
        <v>15</v>
      </c>
      <c r="P48" s="249"/>
    </row>
    <row r="49" customFormat="false" ht="13.5" hidden="false" customHeight="true" outlineLevel="0" collapsed="false">
      <c r="B49" s="248" t="s">
        <v>2290</v>
      </c>
      <c r="C49" s="267" t="n">
        <v>2</v>
      </c>
      <c r="D49" s="267"/>
      <c r="E49" s="256" t="n">
        <v>3</v>
      </c>
      <c r="F49" s="249"/>
      <c r="G49" s="256" t="n">
        <v>3</v>
      </c>
      <c r="H49" s="249"/>
      <c r="I49" s="8" t="s">
        <v>1939</v>
      </c>
      <c r="J49" s="249"/>
      <c r="K49" s="8" t="s">
        <v>1939</v>
      </c>
      <c r="L49" s="249"/>
      <c r="M49" s="8" t="s">
        <v>1939</v>
      </c>
      <c r="N49" s="249"/>
      <c r="O49" s="256" t="n">
        <v>3</v>
      </c>
      <c r="P49" s="249"/>
    </row>
    <row r="50" customFormat="false" ht="13.5" hidden="false" customHeight="true" outlineLevel="0" collapsed="false">
      <c r="B50" s="248" t="s">
        <v>72</v>
      </c>
      <c r="C50" s="12" t="s">
        <v>279</v>
      </c>
      <c r="D50" s="12"/>
      <c r="E50" s="8" t="s">
        <v>1972</v>
      </c>
      <c r="F50" s="263" t="n">
        <v>0</v>
      </c>
      <c r="G50" s="8" t="s">
        <v>279</v>
      </c>
      <c r="H50" s="263" t="n">
        <v>-0.05</v>
      </c>
      <c r="I50" s="8" t="s">
        <v>279</v>
      </c>
      <c r="J50" s="263" t="n">
        <v>-0.05</v>
      </c>
      <c r="K50" s="8" t="s">
        <v>279</v>
      </c>
      <c r="L50" s="263" t="n">
        <v>-0.05</v>
      </c>
      <c r="M50" s="8" t="s">
        <v>279</v>
      </c>
      <c r="N50" s="263" t="n">
        <v>-0.05</v>
      </c>
      <c r="O50" s="8" t="s">
        <v>483</v>
      </c>
      <c r="P50" s="263" t="n">
        <v>-0.1</v>
      </c>
    </row>
    <row r="51" customFormat="false" ht="39.75" hidden="false" customHeight="true" outlineLevel="0" collapsed="false">
      <c r="B51" s="248" t="s">
        <v>2291</v>
      </c>
      <c r="C51" s="254" t="s">
        <v>2292</v>
      </c>
      <c r="D51" s="254"/>
      <c r="E51" s="255" t="s">
        <v>2293</v>
      </c>
      <c r="F51" s="249"/>
      <c r="G51" s="255" t="s">
        <v>2292</v>
      </c>
      <c r="H51" s="249"/>
      <c r="I51" s="255" t="s">
        <v>2294</v>
      </c>
      <c r="J51" s="249"/>
      <c r="K51" s="255" t="s">
        <v>2294</v>
      </c>
      <c r="L51" s="249"/>
      <c r="M51" s="255" t="s">
        <v>2294</v>
      </c>
      <c r="N51" s="249"/>
      <c r="O51" s="255" t="s">
        <v>2292</v>
      </c>
      <c r="P51" s="249"/>
    </row>
    <row r="52" customFormat="false" ht="39.75" hidden="false" customHeight="true" outlineLevel="0" collapsed="false">
      <c r="B52" s="248" t="s">
        <v>2295</v>
      </c>
      <c r="C52" s="254" t="s">
        <v>2296</v>
      </c>
      <c r="D52" s="254"/>
      <c r="E52" s="255" t="s">
        <v>2297</v>
      </c>
      <c r="F52" s="249"/>
      <c r="G52" s="255" t="s">
        <v>2298</v>
      </c>
      <c r="H52" s="249"/>
      <c r="I52" s="255" t="s">
        <v>2299</v>
      </c>
      <c r="J52" s="249"/>
      <c r="K52" s="255" t="s">
        <v>2299</v>
      </c>
      <c r="L52" s="249"/>
      <c r="M52" s="255" t="s">
        <v>2299</v>
      </c>
      <c r="N52" s="249"/>
      <c r="O52" s="255" t="s">
        <v>2300</v>
      </c>
      <c r="P52" s="249"/>
    </row>
    <row r="53" customFormat="false" ht="39.75" hidden="false" customHeight="true" outlineLevel="0" collapsed="false">
      <c r="B53" s="248" t="s">
        <v>2301</v>
      </c>
      <c r="C53" s="254" t="s">
        <v>2302</v>
      </c>
      <c r="D53" s="254"/>
      <c r="E53" s="255" t="s">
        <v>2302</v>
      </c>
      <c r="F53" s="249"/>
      <c r="G53" s="255" t="s">
        <v>2302</v>
      </c>
      <c r="H53" s="249"/>
      <c r="I53" s="255" t="s">
        <v>2302</v>
      </c>
      <c r="J53" s="249"/>
      <c r="K53" s="255" t="s">
        <v>2302</v>
      </c>
      <c r="L53" s="249"/>
      <c r="M53" s="255" t="s">
        <v>2302</v>
      </c>
      <c r="N53" s="249"/>
      <c r="O53" s="255" t="s">
        <v>2302</v>
      </c>
      <c r="P53" s="249"/>
    </row>
    <row r="54" customFormat="false" ht="39.75" hidden="false" customHeight="true" outlineLevel="0" collapsed="false">
      <c r="B54" s="248" t="s">
        <v>2303</v>
      </c>
      <c r="C54" s="254" t="s">
        <v>2304</v>
      </c>
      <c r="D54" s="254"/>
      <c r="E54" s="255" t="s">
        <v>2304</v>
      </c>
      <c r="F54" s="249"/>
      <c r="G54" s="255" t="s">
        <v>2304</v>
      </c>
      <c r="H54" s="249"/>
      <c r="I54" s="255" t="s">
        <v>2304</v>
      </c>
      <c r="J54" s="249"/>
      <c r="K54" s="255" t="s">
        <v>2304</v>
      </c>
      <c r="L54" s="249"/>
      <c r="M54" s="255" t="s">
        <v>2304</v>
      </c>
      <c r="N54" s="249"/>
      <c r="O54" s="255" t="s">
        <v>2305</v>
      </c>
      <c r="P54" s="249"/>
    </row>
    <row r="55" customFormat="false" ht="15" hidden="false" customHeight="true" outlineLevel="0" collapsed="false">
      <c r="B55" s="258" t="s">
        <v>2180</v>
      </c>
      <c r="C55" s="265" t="s">
        <v>1939</v>
      </c>
      <c r="D55" s="265"/>
      <c r="E55" s="265" t="n">
        <f aca="false">SUM(F29,F36,F37,F38,F43,F44,F50)</f>
        <v>0.05</v>
      </c>
      <c r="F55" s="265"/>
      <c r="G55" s="265" t="n">
        <f aca="false">SUM(H29,H36,H37,H38,H43,H44,H50)</f>
        <v>0</v>
      </c>
      <c r="H55" s="265"/>
      <c r="I55" s="265" t="n">
        <f aca="false">SUM(J29,J36,J37,J38,J43,J44,J50)</f>
        <v>0.05</v>
      </c>
      <c r="J55" s="265"/>
      <c r="K55" s="265" t="n">
        <f aca="false">SUM(L29,L36,L37,L38,L43,L44,L50)</f>
        <v>-0.1</v>
      </c>
      <c r="L55" s="265"/>
      <c r="M55" s="265" t="n">
        <f aca="false">SUM(N29,N36,N37,N38,N43,N44,N50)</f>
        <v>-0.15</v>
      </c>
      <c r="N55" s="265"/>
      <c r="O55" s="265" t="n">
        <f aca="false">SUM(P29,P36,P37,P38,P43,P44,P50)</f>
        <v>-0.15</v>
      </c>
      <c r="P55" s="265"/>
    </row>
    <row r="56" customFormat="false" ht="15" hidden="false" customHeight="true" outlineLevel="0" collapsed="false">
      <c r="B56" s="258" t="s">
        <v>2181</v>
      </c>
      <c r="C56" s="260" t="n">
        <f aca="false">IFERROR(C27*(1+N(C55)),"")</f>
        <v>18.6094708153532</v>
      </c>
      <c r="D56" s="260"/>
      <c r="E56" s="260" t="n">
        <f aca="false">IFERROR(E27*(1+N(E55)),"")</f>
        <v>520.833333333333</v>
      </c>
      <c r="F56" s="260"/>
      <c r="G56" s="260" t="n">
        <f aca="false">IFERROR(G27*(1+N(G55)),"")</f>
        <v>327.610101632276</v>
      </c>
      <c r="H56" s="260"/>
      <c r="I56" s="260" t="n">
        <f aca="false">IFERROR(I27*(1+N(I55)),"")</f>
        <v>328.578751857355</v>
      </c>
      <c r="J56" s="260"/>
      <c r="K56" s="260" t="n">
        <f aca="false">IFERROR(K27*(1+N(K55)),"")</f>
        <v>327.320850896971</v>
      </c>
      <c r="L56" s="260"/>
      <c r="M56" s="260" t="n">
        <f aca="false">IFERROR(M27*(1+N(M55)),"")</f>
        <v>341.445</v>
      </c>
      <c r="N56" s="260"/>
      <c r="O56" s="260" t="n">
        <f aca="false">IFERROR(O27*(1+N(O55)),"")</f>
        <v>452.456464856086</v>
      </c>
      <c r="P56" s="260"/>
    </row>
    <row r="58" customFormat="false" ht="16.5" hidden="false" customHeight="true" outlineLevel="0" collapsed="false">
      <c r="B58" s="243" t="s">
        <v>2013</v>
      </c>
      <c r="C58" s="243"/>
      <c r="D58" s="243"/>
    </row>
    <row r="59" customFormat="false" ht="12" hidden="false" customHeight="true" outlineLevel="0" collapsed="false">
      <c r="B59" s="5" t="s">
        <v>1511</v>
      </c>
      <c r="C59" s="268" t="n">
        <f aca="false">IFERROR(MIN(E56,G56,I56,K56,M56,O56),"")</f>
        <v>327.320850896971</v>
      </c>
      <c r="D59" s="268"/>
    </row>
    <row r="60" customFormat="false" ht="12" hidden="false" customHeight="true" outlineLevel="0" collapsed="false">
      <c r="B60" s="5" t="s">
        <v>2014</v>
      </c>
      <c r="C60" s="268" t="n">
        <f aca="false">IFERROR(MAX(E56,G56,I56,K56,M56,O56),"")</f>
        <v>520.833333333333</v>
      </c>
      <c r="D60" s="268"/>
    </row>
    <row r="61" customFormat="false" ht="12" hidden="false" customHeight="true" outlineLevel="0" collapsed="false">
      <c r="B61" s="5" t="s">
        <v>279</v>
      </c>
      <c r="C61" s="268" t="n">
        <f aca="false">IFERROR(AVERAGE(E56,G56,I56,K56,M56,O56),"")</f>
        <v>383.040750429337</v>
      </c>
      <c r="D61" s="268"/>
    </row>
    <row r="62" customFormat="false" ht="12" hidden="false" customHeight="true" outlineLevel="0" collapsed="false">
      <c r="B62" s="5" t="s">
        <v>310</v>
      </c>
      <c r="C62" s="268" t="n">
        <f aca="false">IFERROR(MEDIAN(E56,G56,I56,K56,M56,O56),"")</f>
        <v>335.011875928678</v>
      </c>
      <c r="D62" s="268"/>
    </row>
    <row r="64" customFormat="false" ht="27.75" hidden="false" customHeight="true" outlineLevel="0" collapsed="false">
      <c r="B64" s="3" t="s">
        <v>2306</v>
      </c>
      <c r="C64" s="3"/>
      <c r="D64" s="3"/>
      <c r="E64" s="3"/>
      <c r="F64" s="3"/>
      <c r="G64" s="3"/>
      <c r="H64" s="3"/>
      <c r="I64" s="3"/>
      <c r="J64" s="3"/>
      <c r="K64" s="3"/>
      <c r="L64" s="3"/>
      <c r="M64" s="3"/>
      <c r="N64" s="3"/>
      <c r="O64" s="3"/>
      <c r="P64" s="3"/>
    </row>
  </sheetData>
  <mergeCells count="95">
    <mergeCell ref="B3:P3"/>
    <mergeCell ref="C4:D4"/>
    <mergeCell ref="E4:F4"/>
    <mergeCell ref="G4:H4"/>
    <mergeCell ref="I4:J4"/>
    <mergeCell ref="K4:L4"/>
    <mergeCell ref="M4:N4"/>
    <mergeCell ref="O4:P4"/>
    <mergeCell ref="C6:D6"/>
    <mergeCell ref="C7:D7"/>
    <mergeCell ref="C8:D8"/>
    <mergeCell ref="C9:D9"/>
    <mergeCell ref="C10:D10"/>
    <mergeCell ref="C11:D11"/>
    <mergeCell ref="C12:D12"/>
    <mergeCell ref="C13:D13"/>
    <mergeCell ref="C14:D14"/>
    <mergeCell ref="C15:D15"/>
    <mergeCell ref="C16:D16"/>
    <mergeCell ref="C17:D17"/>
    <mergeCell ref="C18:D18"/>
    <mergeCell ref="C19:D19"/>
    <mergeCell ref="E19:F19"/>
    <mergeCell ref="G19:H19"/>
    <mergeCell ref="I19:J19"/>
    <mergeCell ref="K19:L19"/>
    <mergeCell ref="M19:N19"/>
    <mergeCell ref="O19:P19"/>
    <mergeCell ref="B20:P20"/>
    <mergeCell ref="C21:D21"/>
    <mergeCell ref="C22:D22"/>
    <mergeCell ref="C23:D23"/>
    <mergeCell ref="C24:D24"/>
    <mergeCell ref="C25:D25"/>
    <mergeCell ref="C26:D26"/>
    <mergeCell ref="E26:F26"/>
    <mergeCell ref="G26:H26"/>
    <mergeCell ref="I26:J26"/>
    <mergeCell ref="K26:L26"/>
    <mergeCell ref="M26:N26"/>
    <mergeCell ref="O26:P26"/>
    <mergeCell ref="C27:D27"/>
    <mergeCell ref="E27:F27"/>
    <mergeCell ref="G27:H27"/>
    <mergeCell ref="I27:J27"/>
    <mergeCell ref="K27:L27"/>
    <mergeCell ref="M27:N27"/>
    <mergeCell ref="O27:P27"/>
    <mergeCell ref="B28:P28"/>
    <mergeCell ref="C29:D29"/>
    <mergeCell ref="C30:D30"/>
    <mergeCell ref="C31:D31"/>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E55:F55"/>
    <mergeCell ref="G55:H55"/>
    <mergeCell ref="I55:J55"/>
    <mergeCell ref="K55:L55"/>
    <mergeCell ref="M55:N55"/>
    <mergeCell ref="O55:P55"/>
    <mergeCell ref="C56:D56"/>
    <mergeCell ref="E56:F56"/>
    <mergeCell ref="G56:H56"/>
    <mergeCell ref="I56:J56"/>
    <mergeCell ref="K56:L56"/>
    <mergeCell ref="M56:N56"/>
    <mergeCell ref="O56:P56"/>
    <mergeCell ref="B58:D58"/>
    <mergeCell ref="C59:D59"/>
    <mergeCell ref="C60:D60"/>
    <mergeCell ref="C61:D61"/>
    <mergeCell ref="C62:D62"/>
    <mergeCell ref="B64:P64"/>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2:R5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1" ySplit="5" topLeftCell="B6" activePane="bottomRight" state="frozen"/>
      <selection pane="topLeft" activeCell="A1" activeCellId="0" sqref="A1"/>
      <selection pane="topRight" activeCell="B1" activeCellId="0" sqref="B1"/>
      <selection pane="bottomLeft" activeCell="A6" activeCellId="0" sqref="A6"/>
      <selection pane="bottomRight" activeCell="A1" activeCellId="0" sqref="A1"/>
    </sheetView>
  </sheetViews>
  <sheetFormatPr defaultColWidth="8.75390625" defaultRowHeight="15" zeroHeight="false" outlineLevelRow="0" outlineLevelCol="0"/>
  <cols>
    <col collapsed="false" customWidth="true" hidden="false" outlineLevel="0" max="1" min="1" style="0" width="2"/>
    <col collapsed="false" customWidth="true" hidden="false" outlineLevel="0" max="2" min="2" style="0" width="34"/>
    <col collapsed="false" customWidth="true" hidden="false" outlineLevel="0" max="3" min="3" style="0" width="14"/>
    <col collapsed="false" customWidth="true" hidden="false" outlineLevel="0" max="4" min="4" style="0" width="8"/>
    <col collapsed="false" customWidth="true" hidden="false" outlineLevel="0" max="5" min="5" style="0" width="11"/>
    <col collapsed="false" customWidth="true" hidden="false" outlineLevel="0" max="6" min="6" style="0" width="16"/>
    <col collapsed="false" customWidth="true" hidden="false" outlineLevel="0" max="7" min="7" style="0" width="27"/>
    <col collapsed="false" customWidth="true" hidden="false" outlineLevel="0" max="8" min="8" style="0" width="18"/>
    <col collapsed="false" customWidth="true" hidden="false" outlineLevel="0" max="9" min="9" style="0" width="11"/>
    <col collapsed="false" customWidth="true" hidden="false" outlineLevel="0" max="11" min="10" style="0" width="13"/>
    <col collapsed="false" customWidth="true" hidden="false" outlineLevel="0" max="14" min="12" style="0" width="11"/>
    <col collapsed="false" customWidth="true" hidden="false" outlineLevel="0" max="15" min="15" style="0" width="18"/>
    <col collapsed="false" customWidth="true" hidden="false" outlineLevel="0" max="16" min="16" style="0" width="12"/>
    <col collapsed="false" customWidth="true" hidden="false" outlineLevel="0" max="17" min="17" style="0" width="44"/>
    <col collapsed="false" customWidth="true" hidden="true" outlineLevel="0" max="18" min="18" style="0" width="11"/>
  </cols>
  <sheetData>
    <row r="2" customFormat="false" ht="16.5" hidden="false" customHeight="true" outlineLevel="0" collapsed="false">
      <c r="B2" s="375" t="s">
        <v>2307</v>
      </c>
      <c r="C2" s="375"/>
      <c r="D2" s="375"/>
      <c r="E2" s="375"/>
      <c r="F2" s="375"/>
      <c r="G2" s="375"/>
      <c r="H2" s="375"/>
      <c r="I2" s="375"/>
      <c r="J2" s="375"/>
      <c r="K2" s="375"/>
      <c r="L2" s="375"/>
      <c r="M2" s="375"/>
      <c r="N2" s="375"/>
      <c r="O2" s="375"/>
      <c r="P2" s="375"/>
      <c r="Q2" s="375"/>
    </row>
    <row r="3" customFormat="false" ht="30" hidden="false" customHeight="true" outlineLevel="0" collapsed="false">
      <c r="B3" s="376" t="s">
        <v>2308</v>
      </c>
      <c r="C3" s="376"/>
      <c r="D3" s="376"/>
      <c r="E3" s="376"/>
      <c r="F3" s="376"/>
      <c r="G3" s="376"/>
      <c r="H3" s="376"/>
      <c r="I3" s="376"/>
      <c r="J3" s="376"/>
      <c r="K3" s="376"/>
      <c r="L3" s="376"/>
      <c r="M3" s="376"/>
      <c r="N3" s="376"/>
      <c r="O3" s="376"/>
      <c r="P3" s="376"/>
      <c r="Q3" s="376"/>
    </row>
    <row r="5" customFormat="false" ht="25.5" hidden="false" customHeight="true" outlineLevel="0" collapsed="false">
      <c r="B5" s="377" t="s">
        <v>2309</v>
      </c>
      <c r="C5" s="377" t="s">
        <v>2310</v>
      </c>
      <c r="D5" s="378" t="s">
        <v>2311</v>
      </c>
      <c r="E5" s="379" t="s">
        <v>292</v>
      </c>
      <c r="F5" s="377" t="s">
        <v>2312</v>
      </c>
      <c r="G5" s="377" t="s">
        <v>2313</v>
      </c>
      <c r="H5" s="377" t="s">
        <v>2314</v>
      </c>
      <c r="I5" s="379" t="s">
        <v>2315</v>
      </c>
      <c r="J5" s="379" t="s">
        <v>2316</v>
      </c>
      <c r="K5" s="379" t="s">
        <v>2317</v>
      </c>
      <c r="L5" s="379" t="s">
        <v>2318</v>
      </c>
      <c r="M5" s="378" t="s">
        <v>2319</v>
      </c>
      <c r="N5" s="378" t="s">
        <v>2320</v>
      </c>
      <c r="O5" s="377" t="s">
        <v>2321</v>
      </c>
      <c r="P5" s="379" t="s">
        <v>2322</v>
      </c>
      <c r="Q5" s="377" t="s">
        <v>1907</v>
      </c>
      <c r="R5" s="380" t="s">
        <v>2323</v>
      </c>
    </row>
    <row r="6" customFormat="false" ht="30" hidden="false" customHeight="true" outlineLevel="0" collapsed="false">
      <c r="B6" s="381" t="s">
        <v>2324</v>
      </c>
      <c r="C6" s="382" t="s">
        <v>2325</v>
      </c>
      <c r="D6" s="383" t="s">
        <v>2326</v>
      </c>
      <c r="E6" s="384" t="n">
        <v>553757</v>
      </c>
      <c r="F6" s="382" t="s">
        <v>1116</v>
      </c>
      <c r="G6" s="381" t="s">
        <v>2327</v>
      </c>
      <c r="H6" s="382" t="s">
        <v>2328</v>
      </c>
      <c r="I6" s="384" t="n">
        <v>553757</v>
      </c>
      <c r="J6" s="385" t="n">
        <v>300709.67</v>
      </c>
      <c r="K6" s="386" t="n">
        <v>3608516.04</v>
      </c>
      <c r="L6" s="387" t="n">
        <f aca="false">IF(OR(N(K6)=0,N(I6)=0),"",K6/I6)</f>
        <v>6.51642514677015</v>
      </c>
      <c r="M6" s="388" t="n">
        <v>41075</v>
      </c>
      <c r="N6" s="388" t="n">
        <v>47057</v>
      </c>
      <c r="O6" s="382" t="s">
        <v>2329</v>
      </c>
      <c r="P6" s="385" t="n">
        <v>4646.33</v>
      </c>
      <c r="Q6" s="389" t="s">
        <v>2330</v>
      </c>
      <c r="R6" s="390" t="n">
        <f aca="false">IF(AND(UPPER($D6)="Y",ISNUMBER(L6)),L6,"")</f>
        <v>6.51642514677015</v>
      </c>
    </row>
    <row r="7" customFormat="false" ht="30" hidden="false" customHeight="true" outlineLevel="0" collapsed="false">
      <c r="B7" s="381" t="s">
        <v>2324</v>
      </c>
      <c r="C7" s="382" t="s">
        <v>2325</v>
      </c>
      <c r="D7" s="383" t="s">
        <v>2331</v>
      </c>
      <c r="E7" s="384" t="n">
        <v>553757</v>
      </c>
      <c r="F7" s="382" t="s">
        <v>1116</v>
      </c>
      <c r="G7" s="381" t="s">
        <v>2332</v>
      </c>
      <c r="H7" s="382" t="s">
        <v>2328</v>
      </c>
      <c r="I7" s="384" t="n">
        <v>553757</v>
      </c>
      <c r="J7" s="385" t="n">
        <v>308781.17</v>
      </c>
      <c r="K7" s="386" t="n">
        <v>3705374.04</v>
      </c>
      <c r="L7" s="387" t="n">
        <f aca="false">IF(OR(N(K7)=0,N(I7)=0),"",K7/I7)</f>
        <v>6.6913358025271</v>
      </c>
      <c r="M7" s="388" t="n">
        <v>45962</v>
      </c>
      <c r="N7" s="388" t="n">
        <v>47057</v>
      </c>
      <c r="O7" s="382" t="s">
        <v>2333</v>
      </c>
      <c r="P7" s="385"/>
      <c r="Q7" s="389" t="s">
        <v>2334</v>
      </c>
      <c r="R7" s="390" t="str">
        <f aca="false">IF(AND(UPPER($D7)="Y",ISNUMBER(L7)),L7,"")</f>
        <v/>
      </c>
    </row>
    <row r="8" customFormat="false" ht="30" hidden="false" customHeight="true" outlineLevel="0" collapsed="false">
      <c r="B8" s="381" t="s">
        <v>2335</v>
      </c>
      <c r="C8" s="382" t="s">
        <v>2336</v>
      </c>
      <c r="D8" s="383" t="s">
        <v>2326</v>
      </c>
      <c r="E8" s="384" t="n">
        <v>377729</v>
      </c>
      <c r="F8" s="382" t="s">
        <v>2337</v>
      </c>
      <c r="G8" s="381" t="s">
        <v>2338</v>
      </c>
      <c r="H8" s="382" t="s">
        <v>2339</v>
      </c>
      <c r="I8" s="384" t="n">
        <v>377729</v>
      </c>
      <c r="J8" s="385"/>
      <c r="K8" s="386" t="n">
        <v>3047376</v>
      </c>
      <c r="L8" s="387" t="n">
        <f aca="false">IF(OR(N(K8)=0,N(I8)=0),"",K8/I8)</f>
        <v>8.06762520219523</v>
      </c>
      <c r="M8" s="388"/>
      <c r="N8" s="388"/>
      <c r="O8" s="382" t="s">
        <v>1310</v>
      </c>
      <c r="P8" s="385"/>
      <c r="Q8" s="389" t="s">
        <v>2340</v>
      </c>
      <c r="R8" s="390" t="n">
        <f aca="false">IF(AND(UPPER($D8)="Y",ISNUMBER(L8)),L8,"")</f>
        <v>8.06762520219523</v>
      </c>
    </row>
    <row r="9" customFormat="false" ht="30" hidden="false" customHeight="true" outlineLevel="0" collapsed="false">
      <c r="B9" s="381" t="s">
        <v>2335</v>
      </c>
      <c r="C9" s="382" t="s">
        <v>2336</v>
      </c>
      <c r="D9" s="383" t="s">
        <v>2331</v>
      </c>
      <c r="E9" s="384" t="n">
        <v>377729</v>
      </c>
      <c r="F9" s="382" t="s">
        <v>2337</v>
      </c>
      <c r="G9" s="381" t="s">
        <v>2338</v>
      </c>
      <c r="H9" s="382" t="s">
        <v>2339</v>
      </c>
      <c r="I9" s="384" t="n">
        <v>377729</v>
      </c>
      <c r="J9" s="385"/>
      <c r="K9" s="386" t="n">
        <v>2979661</v>
      </c>
      <c r="L9" s="387" t="n">
        <f aca="false">IF(OR(N(K9)=0,N(I9)=0),"",K9/I9)</f>
        <v>7.88835646720268</v>
      </c>
      <c r="M9" s="388"/>
      <c r="N9" s="388"/>
      <c r="O9" s="382" t="s">
        <v>1310</v>
      </c>
      <c r="P9" s="385"/>
      <c r="Q9" s="389" t="s">
        <v>2341</v>
      </c>
      <c r="R9" s="390" t="str">
        <f aca="false">IF(AND(UPPER($D9)="Y",ISNUMBER(L9)),L9,"")</f>
        <v/>
      </c>
    </row>
    <row r="10" customFormat="false" ht="30" hidden="false" customHeight="true" outlineLevel="0" collapsed="false">
      <c r="B10" s="381" t="s">
        <v>2342</v>
      </c>
      <c r="C10" s="382" t="s">
        <v>2343</v>
      </c>
      <c r="D10" s="383" t="s">
        <v>2326</v>
      </c>
      <c r="E10" s="384" t="n">
        <v>200090</v>
      </c>
      <c r="F10" s="382" t="s">
        <v>2344</v>
      </c>
      <c r="G10" s="381" t="s">
        <v>2345</v>
      </c>
      <c r="H10" s="382" t="s">
        <v>2346</v>
      </c>
      <c r="I10" s="384" t="n">
        <v>64835</v>
      </c>
      <c r="J10" s="385" t="n">
        <v>28119.36</v>
      </c>
      <c r="K10" s="386" t="n">
        <v>337432.32</v>
      </c>
      <c r="L10" s="387" t="n">
        <f aca="false">IF(OR(N(K10)=0,N(I10)=0),"",K10/I10)</f>
        <v>5.20447782833346</v>
      </c>
      <c r="M10" s="388" t="n">
        <v>42217</v>
      </c>
      <c r="N10" s="388" t="n">
        <v>46234</v>
      </c>
      <c r="O10" s="382" t="s">
        <v>2347</v>
      </c>
      <c r="P10" s="385"/>
      <c r="Q10" s="389" t="s">
        <v>2348</v>
      </c>
      <c r="R10" s="390" t="n">
        <f aca="false">IF(AND(UPPER($D10)="Y",ISNUMBER(L10)),L10,"")</f>
        <v>5.20447782833346</v>
      </c>
    </row>
    <row r="11" customFormat="false" ht="30" hidden="false" customHeight="true" outlineLevel="0" collapsed="false">
      <c r="B11" s="381" t="s">
        <v>2342</v>
      </c>
      <c r="C11" s="382" t="s">
        <v>2343</v>
      </c>
      <c r="D11" s="383" t="s">
        <v>2326</v>
      </c>
      <c r="E11" s="384" t="n">
        <v>200090</v>
      </c>
      <c r="F11" s="382" t="s">
        <v>2344</v>
      </c>
      <c r="G11" s="381" t="s">
        <v>2349</v>
      </c>
      <c r="H11" s="382" t="s">
        <v>2346</v>
      </c>
      <c r="I11" s="384" t="n">
        <v>85253</v>
      </c>
      <c r="J11" s="385" t="n">
        <v>39219.25</v>
      </c>
      <c r="K11" s="386" t="n">
        <v>470631</v>
      </c>
      <c r="L11" s="387" t="n">
        <f aca="false">IF(OR(N(K11)=0,N(I11)=0),"",K11/I11)</f>
        <v>5.5204039740537</v>
      </c>
      <c r="M11" s="388" t="n">
        <v>43739</v>
      </c>
      <c r="N11" s="388" t="n">
        <v>45657</v>
      </c>
      <c r="O11" s="382" t="s">
        <v>2347</v>
      </c>
      <c r="P11" s="385"/>
      <c r="Q11" s="389" t="s">
        <v>2350</v>
      </c>
      <c r="R11" s="390" t="n">
        <f aca="false">IF(AND(UPPER($D11)="Y",ISNUMBER(L11)),L11,"")</f>
        <v>5.5204039740537</v>
      </c>
    </row>
    <row r="12" customFormat="false" ht="30" hidden="false" customHeight="true" outlineLevel="0" collapsed="false">
      <c r="B12" s="381" t="s">
        <v>2342</v>
      </c>
      <c r="C12" s="382" t="s">
        <v>2343</v>
      </c>
      <c r="D12" s="383" t="s">
        <v>2331</v>
      </c>
      <c r="E12" s="384" t="n">
        <v>200090</v>
      </c>
      <c r="F12" s="382" t="s">
        <v>2351</v>
      </c>
      <c r="G12" s="381" t="s">
        <v>2352</v>
      </c>
      <c r="H12" s="382" t="s">
        <v>1310</v>
      </c>
      <c r="I12" s="384" t="n">
        <v>50002</v>
      </c>
      <c r="J12" s="385" t="n">
        <v>0</v>
      </c>
      <c r="K12" s="386" t="n">
        <v>0</v>
      </c>
      <c r="L12" s="387" t="str">
        <f aca="false">IF(OR(N(K12)=0,N(I12)=0),"",K12/I12)</f>
        <v/>
      </c>
      <c r="M12" s="388"/>
      <c r="N12" s="388"/>
      <c r="O12" s="382" t="s">
        <v>2347</v>
      </c>
      <c r="P12" s="385"/>
      <c r="Q12" s="389" t="s">
        <v>2353</v>
      </c>
      <c r="R12" s="390" t="str">
        <f aca="false">IF(AND(UPPER($D12)="Y",ISNUMBER(L12)),L12,"")</f>
        <v/>
      </c>
    </row>
    <row r="13" customFormat="false" ht="30" hidden="false" customHeight="true" outlineLevel="0" collapsed="false">
      <c r="B13" s="381" t="s">
        <v>2354</v>
      </c>
      <c r="C13" s="382" t="s">
        <v>2355</v>
      </c>
      <c r="D13" s="383" t="s">
        <v>2331</v>
      </c>
      <c r="E13" s="384" t="n">
        <v>200000</v>
      </c>
      <c r="F13" s="382" t="s">
        <v>2356</v>
      </c>
      <c r="G13" s="381" t="s">
        <v>2357</v>
      </c>
      <c r="H13" s="382" t="s">
        <v>2328</v>
      </c>
      <c r="I13" s="384" t="n">
        <v>50000</v>
      </c>
      <c r="J13" s="385" t="n">
        <v>16375</v>
      </c>
      <c r="K13" s="386" t="n">
        <v>196500</v>
      </c>
      <c r="L13" s="387" t="n">
        <f aca="false">IF(OR(N(K13)=0,N(I13)=0),"",K13/I13)</f>
        <v>3.93</v>
      </c>
      <c r="M13" s="388" t="n">
        <v>43952</v>
      </c>
      <c r="N13" s="388" t="n">
        <v>46691</v>
      </c>
      <c r="O13" s="382" t="s">
        <v>2358</v>
      </c>
      <c r="P13" s="385" t="n">
        <v>3004</v>
      </c>
      <c r="Q13" s="389" t="s">
        <v>2359</v>
      </c>
      <c r="R13" s="390" t="str">
        <f aca="false">IF(AND(UPPER($D13)="Y",ISNUMBER(L13)),L13,"")</f>
        <v/>
      </c>
    </row>
    <row r="14" customFormat="false" ht="30" hidden="false" customHeight="true" outlineLevel="0" collapsed="false">
      <c r="B14" s="381" t="s">
        <v>2354</v>
      </c>
      <c r="C14" s="382" t="s">
        <v>2355</v>
      </c>
      <c r="D14" s="383" t="s">
        <v>2331</v>
      </c>
      <c r="E14" s="384" t="n">
        <v>200000</v>
      </c>
      <c r="F14" s="382" t="s">
        <v>2360</v>
      </c>
      <c r="G14" s="381" t="s">
        <v>2361</v>
      </c>
      <c r="H14" s="382" t="s">
        <v>2328</v>
      </c>
      <c r="I14" s="384" t="n">
        <v>50000</v>
      </c>
      <c r="J14" s="385" t="n">
        <v>10000</v>
      </c>
      <c r="K14" s="386" t="n">
        <v>120000</v>
      </c>
      <c r="L14" s="387" t="n">
        <f aca="false">IF(OR(N(K14)=0,N(I14)=0),"",K14/I14)</f>
        <v>2.4</v>
      </c>
      <c r="M14" s="388" t="n">
        <v>44287</v>
      </c>
      <c r="N14" s="388" t="n">
        <v>45716</v>
      </c>
      <c r="O14" s="382" t="s">
        <v>2362</v>
      </c>
      <c r="P14" s="385" t="n">
        <v>3008</v>
      </c>
      <c r="Q14" s="389" t="s">
        <v>2363</v>
      </c>
      <c r="R14" s="390" t="str">
        <f aca="false">IF(AND(UPPER($D14)="Y",ISNUMBER(L14)),L14,"")</f>
        <v/>
      </c>
    </row>
    <row r="15" customFormat="false" ht="30" hidden="false" customHeight="true" outlineLevel="0" collapsed="false">
      <c r="B15" s="381" t="s">
        <v>2354</v>
      </c>
      <c r="C15" s="382" t="s">
        <v>2355</v>
      </c>
      <c r="D15" s="383" t="s">
        <v>2331</v>
      </c>
      <c r="E15" s="384" t="n">
        <v>200000</v>
      </c>
      <c r="F15" s="382" t="s">
        <v>2364</v>
      </c>
      <c r="G15" s="381" t="s">
        <v>2365</v>
      </c>
      <c r="H15" s="382" t="s">
        <v>2328</v>
      </c>
      <c r="I15" s="384" t="n">
        <v>50000</v>
      </c>
      <c r="J15" s="385" t="n">
        <v>16250</v>
      </c>
      <c r="K15" s="386" t="n">
        <v>195000</v>
      </c>
      <c r="L15" s="387" t="n">
        <f aca="false">IF(OR(N(K15)=0,N(I15)=0),"",K15/I15)</f>
        <v>3.9</v>
      </c>
      <c r="M15" s="388" t="n">
        <v>43922</v>
      </c>
      <c r="N15" s="388" t="n">
        <v>45747</v>
      </c>
      <c r="O15" s="382" t="s">
        <v>2366</v>
      </c>
      <c r="P15" s="385" t="n">
        <v>2994</v>
      </c>
      <c r="Q15" s="389" t="s">
        <v>2367</v>
      </c>
      <c r="R15" s="390" t="str">
        <f aca="false">IF(AND(UPPER($D15)="Y",ISNUMBER(L15)),L15,"")</f>
        <v/>
      </c>
    </row>
    <row r="16" customFormat="false" ht="30" hidden="false" customHeight="true" outlineLevel="0" collapsed="false">
      <c r="B16" s="381" t="s">
        <v>2354</v>
      </c>
      <c r="C16" s="382" t="s">
        <v>2355</v>
      </c>
      <c r="D16" s="383" t="s">
        <v>2331</v>
      </c>
      <c r="E16" s="384" t="n">
        <v>200000</v>
      </c>
      <c r="F16" s="382" t="s">
        <v>2368</v>
      </c>
      <c r="G16" s="381" t="s">
        <v>2361</v>
      </c>
      <c r="H16" s="382" t="s">
        <v>2328</v>
      </c>
      <c r="I16" s="384" t="n">
        <v>50000</v>
      </c>
      <c r="J16" s="385" t="n">
        <v>15833</v>
      </c>
      <c r="K16" s="386" t="n">
        <v>189996</v>
      </c>
      <c r="L16" s="387" t="n">
        <f aca="false">IF(OR(N(K16)=0,N(I16)=0),"",K16/I16)</f>
        <v>3.79992</v>
      </c>
      <c r="M16" s="388" t="n">
        <v>43770</v>
      </c>
      <c r="N16" s="388" t="n">
        <v>45716</v>
      </c>
      <c r="O16" s="382" t="s">
        <v>2369</v>
      </c>
      <c r="P16" s="385" t="n">
        <v>2983</v>
      </c>
      <c r="Q16" s="389" t="s">
        <v>2370</v>
      </c>
      <c r="R16" s="390" t="str">
        <f aca="false">IF(AND(UPPER($D16)="Y",ISNUMBER(L16)),L16,"")</f>
        <v/>
      </c>
    </row>
    <row r="17" customFormat="false" ht="30" hidden="false" customHeight="true" outlineLevel="0" collapsed="false">
      <c r="B17" s="381" t="s">
        <v>2371</v>
      </c>
      <c r="C17" s="382" t="s">
        <v>2372</v>
      </c>
      <c r="D17" s="383" t="s">
        <v>2331</v>
      </c>
      <c r="E17" s="384" t="n">
        <v>34228</v>
      </c>
      <c r="F17" s="382" t="s">
        <v>2337</v>
      </c>
      <c r="G17" s="381" t="s">
        <v>2373</v>
      </c>
      <c r="H17" s="382" t="s">
        <v>2374</v>
      </c>
      <c r="I17" s="384" t="n">
        <v>34228</v>
      </c>
      <c r="J17" s="385"/>
      <c r="K17" s="386" t="n">
        <v>359394</v>
      </c>
      <c r="L17" s="387" t="n">
        <f aca="false">IF(OR(N(K17)=0,N(I17)=0),"",K17/I17)</f>
        <v>10.5</v>
      </c>
      <c r="M17" s="388"/>
      <c r="N17" s="388"/>
      <c r="O17" s="382" t="s">
        <v>1310</v>
      </c>
      <c r="P17" s="385"/>
      <c r="Q17" s="389" t="s">
        <v>2375</v>
      </c>
      <c r="R17" s="390" t="str">
        <f aca="false">IF(AND(UPPER($D17)="Y",ISNUMBER(L17)),L17,"")</f>
        <v/>
      </c>
    </row>
    <row r="18" customFormat="false" ht="30" hidden="false" customHeight="true" outlineLevel="0" collapsed="false">
      <c r="B18" s="381" t="s">
        <v>2376</v>
      </c>
      <c r="C18" s="382" t="s">
        <v>2377</v>
      </c>
      <c r="D18" s="383" t="s">
        <v>2331</v>
      </c>
      <c r="E18" s="384" t="n">
        <v>20910</v>
      </c>
      <c r="F18" s="382" t="s">
        <v>2337</v>
      </c>
      <c r="G18" s="381" t="s">
        <v>2373</v>
      </c>
      <c r="H18" s="382" t="s">
        <v>2374</v>
      </c>
      <c r="I18" s="384" t="n">
        <v>20910</v>
      </c>
      <c r="J18" s="385"/>
      <c r="K18" s="386" t="n">
        <v>209100</v>
      </c>
      <c r="L18" s="387" t="n">
        <f aca="false">IF(OR(N(K18)=0,N(I18)=0),"",K18/I18)</f>
        <v>10</v>
      </c>
      <c r="M18" s="388"/>
      <c r="N18" s="388"/>
      <c r="O18" s="382" t="s">
        <v>1310</v>
      </c>
      <c r="P18" s="385"/>
      <c r="Q18" s="389" t="s">
        <v>2378</v>
      </c>
      <c r="R18" s="390" t="str">
        <f aca="false">IF(AND(UPPER($D18)="Y",ISNUMBER(L18)),L18,"")</f>
        <v/>
      </c>
    </row>
    <row r="19" customFormat="false" ht="30" hidden="false" customHeight="true" outlineLevel="0" collapsed="false">
      <c r="B19" s="381" t="s">
        <v>2379</v>
      </c>
      <c r="C19" s="382" t="s">
        <v>2380</v>
      </c>
      <c r="D19" s="383" t="s">
        <v>2331</v>
      </c>
      <c r="E19" s="384" t="n">
        <v>23729</v>
      </c>
      <c r="F19" s="382" t="s">
        <v>2337</v>
      </c>
      <c r="G19" s="381" t="s">
        <v>2373</v>
      </c>
      <c r="H19" s="382" t="s">
        <v>2374</v>
      </c>
      <c r="I19" s="384" t="n">
        <v>23729</v>
      </c>
      <c r="J19" s="385"/>
      <c r="K19" s="386" t="n">
        <v>237290</v>
      </c>
      <c r="L19" s="387" t="n">
        <f aca="false">IF(OR(N(K19)=0,N(I19)=0),"",K19/I19)</f>
        <v>10</v>
      </c>
      <c r="M19" s="388"/>
      <c r="N19" s="388"/>
      <c r="O19" s="382" t="s">
        <v>1310</v>
      </c>
      <c r="P19" s="385"/>
      <c r="Q19" s="389" t="s">
        <v>2381</v>
      </c>
      <c r="R19" s="390" t="str">
        <f aca="false">IF(AND(UPPER($D19)="Y",ISNUMBER(L19)),L19,"")</f>
        <v/>
      </c>
    </row>
    <row r="20" customFormat="false" ht="30" hidden="false" customHeight="true" outlineLevel="0" collapsed="false">
      <c r="B20" s="381" t="s">
        <v>2382</v>
      </c>
      <c r="C20" s="382" t="s">
        <v>2383</v>
      </c>
      <c r="D20" s="383" t="s">
        <v>2331</v>
      </c>
      <c r="E20" s="384" t="n">
        <v>9652</v>
      </c>
      <c r="F20" s="382" t="s">
        <v>2337</v>
      </c>
      <c r="G20" s="381" t="s">
        <v>2373</v>
      </c>
      <c r="H20" s="382" t="s">
        <v>2384</v>
      </c>
      <c r="I20" s="384" t="n">
        <v>9652</v>
      </c>
      <c r="J20" s="385"/>
      <c r="K20" s="386" t="n">
        <v>115824</v>
      </c>
      <c r="L20" s="387" t="n">
        <f aca="false">IF(OR(N(K20)=0,N(I20)=0),"",K20/I20)</f>
        <v>12</v>
      </c>
      <c r="M20" s="388"/>
      <c r="N20" s="388"/>
      <c r="O20" s="382" t="s">
        <v>1310</v>
      </c>
      <c r="P20" s="385"/>
      <c r="Q20" s="389" t="s">
        <v>2385</v>
      </c>
      <c r="R20" s="390" t="str">
        <f aca="false">IF(AND(UPPER($D20)="Y",ISNUMBER(L20)),L20,"")</f>
        <v/>
      </c>
    </row>
    <row r="21" customFormat="false" ht="30" hidden="false" customHeight="true" outlineLevel="0" collapsed="false">
      <c r="B21" s="381" t="s">
        <v>2386</v>
      </c>
      <c r="C21" s="382" t="s">
        <v>2387</v>
      </c>
      <c r="D21" s="383" t="s">
        <v>2331</v>
      </c>
      <c r="E21" s="384" t="n">
        <v>35577</v>
      </c>
      <c r="F21" s="382" t="s">
        <v>2388</v>
      </c>
      <c r="G21" s="381" t="s">
        <v>2389</v>
      </c>
      <c r="H21" s="382" t="s">
        <v>2390</v>
      </c>
      <c r="I21" s="384" t="n">
        <v>34442</v>
      </c>
      <c r="J21" s="385"/>
      <c r="K21" s="386"/>
      <c r="L21" s="387" t="str">
        <f aca="false">IF(OR(N(K21)=0,N(I21)=0),"",K21/I21)</f>
        <v/>
      </c>
      <c r="M21" s="388"/>
      <c r="N21" s="388"/>
      <c r="O21" s="382" t="s">
        <v>1310</v>
      </c>
      <c r="P21" s="385"/>
      <c r="Q21" s="389" t="s">
        <v>2391</v>
      </c>
      <c r="R21" s="390" t="str">
        <f aca="false">IF(AND(UPPER($D21)="Y",ISNUMBER(L21)),L21,"")</f>
        <v/>
      </c>
    </row>
    <row r="23" customFormat="false" ht="16.5" hidden="false" customHeight="true" outlineLevel="0" collapsed="false">
      <c r="B23" s="24" t="s">
        <v>2392</v>
      </c>
      <c r="C23" s="24"/>
      <c r="D23" s="24"/>
      <c r="E23" s="24"/>
      <c r="F23" s="24"/>
      <c r="G23" s="24"/>
      <c r="H23" s="24"/>
      <c r="I23" s="24"/>
      <c r="J23" s="24"/>
      <c r="K23" s="24"/>
      <c r="L23" s="24"/>
      <c r="M23" s="24"/>
      <c r="N23" s="24"/>
      <c r="O23" s="24"/>
      <c r="P23" s="24"/>
      <c r="Q23" s="24"/>
    </row>
    <row r="24" customFormat="false" ht="15" hidden="false" customHeight="true" outlineLevel="0" collapsed="false">
      <c r="B24" s="391" t="s">
        <v>2309</v>
      </c>
      <c r="C24" s="391"/>
      <c r="D24" s="35"/>
      <c r="E24" s="392"/>
      <c r="F24" s="391" t="s">
        <v>2312</v>
      </c>
      <c r="G24" s="391" t="s">
        <v>2313</v>
      </c>
      <c r="H24" s="391" t="s">
        <v>2314</v>
      </c>
      <c r="I24" s="392"/>
      <c r="J24" s="392" t="s">
        <v>2316</v>
      </c>
      <c r="K24" s="392"/>
      <c r="L24" s="392"/>
      <c r="M24" s="35" t="s">
        <v>2319</v>
      </c>
      <c r="N24" s="35" t="s">
        <v>2320</v>
      </c>
      <c r="O24" s="391" t="s">
        <v>2321</v>
      </c>
      <c r="P24" s="392" t="s">
        <v>2322</v>
      </c>
      <c r="Q24" s="391" t="s">
        <v>1907</v>
      </c>
    </row>
    <row r="25" customFormat="false" ht="13.5" hidden="false" customHeight="true" outlineLevel="0" collapsed="false">
      <c r="B25" s="382" t="s">
        <v>2393</v>
      </c>
      <c r="C25" s="382" t="s">
        <v>2394</v>
      </c>
      <c r="D25" s="393"/>
      <c r="E25" s="393"/>
      <c r="F25" s="382" t="s">
        <v>2395</v>
      </c>
      <c r="G25" s="382" t="s">
        <v>2396</v>
      </c>
      <c r="H25" s="382" t="s">
        <v>2397</v>
      </c>
      <c r="I25" s="393"/>
      <c r="J25" s="385" t="n">
        <v>4414</v>
      </c>
      <c r="K25" s="394" t="n">
        <f aca="false">IF(N(J25)=0,"",J25*12)</f>
        <v>52968</v>
      </c>
      <c r="L25" s="393"/>
      <c r="M25" s="388" t="n">
        <v>44242</v>
      </c>
      <c r="N25" s="388" t="n">
        <v>46295</v>
      </c>
      <c r="O25" s="382" t="s">
        <v>2398</v>
      </c>
      <c r="P25" s="385" t="n">
        <v>2550</v>
      </c>
      <c r="Q25" s="389"/>
      <c r="R25" s="393"/>
    </row>
    <row r="26" customFormat="false" ht="13.5" hidden="false" customHeight="true" outlineLevel="0" collapsed="false">
      <c r="B26" s="382" t="s">
        <v>2393</v>
      </c>
      <c r="C26" s="382" t="s">
        <v>2394</v>
      </c>
      <c r="D26" s="393"/>
      <c r="E26" s="393"/>
      <c r="F26" s="382" t="s">
        <v>2399</v>
      </c>
      <c r="G26" s="382" t="s">
        <v>2400</v>
      </c>
      <c r="H26" s="382" t="s">
        <v>2397</v>
      </c>
      <c r="I26" s="393"/>
      <c r="J26" s="385" t="n">
        <v>2425</v>
      </c>
      <c r="K26" s="394" t="n">
        <f aca="false">IF(N(J26)=0,"",J26*12)</f>
        <v>29100</v>
      </c>
      <c r="L26" s="393"/>
      <c r="M26" s="388" t="n">
        <v>45383</v>
      </c>
      <c r="N26" s="388" t="n">
        <v>47208</v>
      </c>
      <c r="O26" s="382" t="s">
        <v>2401</v>
      </c>
      <c r="P26" s="385" t="n">
        <v>1000</v>
      </c>
      <c r="Q26" s="389"/>
      <c r="R26" s="393"/>
    </row>
    <row r="27" customFormat="false" ht="13.5" hidden="false" customHeight="true" outlineLevel="0" collapsed="false">
      <c r="B27" s="382" t="s">
        <v>2393</v>
      </c>
      <c r="C27" s="382" t="s">
        <v>2394</v>
      </c>
      <c r="D27" s="393"/>
      <c r="E27" s="393"/>
      <c r="F27" s="382" t="s">
        <v>2402</v>
      </c>
      <c r="G27" s="382" t="s">
        <v>2403</v>
      </c>
      <c r="H27" s="382" t="s">
        <v>2397</v>
      </c>
      <c r="I27" s="393"/>
      <c r="J27" s="385" t="n">
        <v>4000</v>
      </c>
      <c r="K27" s="394" t="n">
        <f aca="false">IF(N(J27)=0,"",J27*12)</f>
        <v>48000</v>
      </c>
      <c r="L27" s="393"/>
      <c r="M27" s="388" t="n">
        <v>45641</v>
      </c>
      <c r="N27" s="388" t="n">
        <v>45991</v>
      </c>
      <c r="O27" s="382" t="s">
        <v>2404</v>
      </c>
      <c r="P27" s="385"/>
      <c r="Q27" s="389" t="s">
        <v>2405</v>
      </c>
      <c r="R27" s="393"/>
    </row>
    <row r="28" customFormat="false" ht="13.5" hidden="false" customHeight="true" outlineLevel="0" collapsed="false">
      <c r="B28" s="382" t="s">
        <v>2393</v>
      </c>
      <c r="C28" s="382" t="s">
        <v>2394</v>
      </c>
      <c r="D28" s="393"/>
      <c r="E28" s="393"/>
      <c r="F28" s="382" t="s">
        <v>2406</v>
      </c>
      <c r="G28" s="382" t="s">
        <v>2407</v>
      </c>
      <c r="H28" s="382" t="s">
        <v>2397</v>
      </c>
      <c r="I28" s="393"/>
      <c r="J28" s="385" t="n">
        <v>6000</v>
      </c>
      <c r="K28" s="394" t="n">
        <f aca="false">IF(N(J28)=0,"",J28*12)</f>
        <v>72000</v>
      </c>
      <c r="L28" s="393"/>
      <c r="M28" s="388" t="n">
        <v>45352</v>
      </c>
      <c r="N28" s="388" t="n">
        <v>48883</v>
      </c>
      <c r="O28" s="382" t="s">
        <v>2408</v>
      </c>
      <c r="P28" s="385" t="n">
        <v>1450</v>
      </c>
      <c r="Q28" s="389"/>
      <c r="R28" s="393"/>
    </row>
    <row r="29" customFormat="false" ht="13.5" hidden="false" customHeight="true" outlineLevel="0" collapsed="false">
      <c r="B29" s="382" t="s">
        <v>2393</v>
      </c>
      <c r="C29" s="382" t="s">
        <v>2394</v>
      </c>
      <c r="D29" s="393"/>
      <c r="E29" s="393"/>
      <c r="F29" s="382" t="s">
        <v>2409</v>
      </c>
      <c r="G29" s="382" t="s">
        <v>2410</v>
      </c>
      <c r="H29" s="382" t="s">
        <v>2397</v>
      </c>
      <c r="I29" s="393"/>
      <c r="J29" s="385" t="n">
        <v>4500</v>
      </c>
      <c r="K29" s="394" t="n">
        <f aca="false">IF(N(J29)=0,"",J29*12)</f>
        <v>54000</v>
      </c>
      <c r="L29" s="393"/>
      <c r="M29" s="388" t="n">
        <v>45658</v>
      </c>
      <c r="N29" s="388" t="n">
        <v>47453</v>
      </c>
      <c r="O29" s="382" t="s">
        <v>2408</v>
      </c>
      <c r="P29" s="385" t="n">
        <v>0</v>
      </c>
      <c r="Q29" s="389"/>
      <c r="R29" s="393"/>
    </row>
    <row r="30" customFormat="false" ht="13.5" hidden="false" customHeight="true" outlineLevel="0" collapsed="false">
      <c r="B30" s="382" t="s">
        <v>2393</v>
      </c>
      <c r="C30" s="382" t="s">
        <v>2394</v>
      </c>
      <c r="D30" s="393"/>
      <c r="E30" s="393"/>
      <c r="F30" s="382" t="s">
        <v>2411</v>
      </c>
      <c r="G30" s="382" t="s">
        <v>2410</v>
      </c>
      <c r="H30" s="382" t="s">
        <v>2397</v>
      </c>
      <c r="I30" s="393"/>
      <c r="J30" s="385"/>
      <c r="K30" s="394" t="str">
        <f aca="false">IF(N(J30)=0,"",J30*12)</f>
        <v/>
      </c>
      <c r="L30" s="393"/>
      <c r="M30" s="388"/>
      <c r="N30" s="388"/>
      <c r="O30" s="382" t="s">
        <v>1310</v>
      </c>
      <c r="P30" s="385"/>
      <c r="Q30" s="389" t="s">
        <v>2412</v>
      </c>
      <c r="R30" s="393"/>
    </row>
    <row r="31" customFormat="false" ht="13.5" hidden="false" customHeight="true" outlineLevel="0" collapsed="false">
      <c r="B31" s="382" t="s">
        <v>2393</v>
      </c>
      <c r="C31" s="382" t="s">
        <v>2394</v>
      </c>
      <c r="D31" s="393"/>
      <c r="E31" s="393"/>
      <c r="F31" s="382" t="s">
        <v>2413</v>
      </c>
      <c r="G31" s="382" t="s">
        <v>2414</v>
      </c>
      <c r="H31" s="382" t="s">
        <v>2397</v>
      </c>
      <c r="I31" s="393"/>
      <c r="J31" s="385" t="n">
        <v>5000</v>
      </c>
      <c r="K31" s="394" t="n">
        <f aca="false">IF(N(J31)=0,"",J31*12)</f>
        <v>60000</v>
      </c>
      <c r="L31" s="393"/>
      <c r="M31" s="388"/>
      <c r="N31" s="388" t="n">
        <v>46081</v>
      </c>
      <c r="O31" s="382" t="s">
        <v>2404</v>
      </c>
      <c r="P31" s="385"/>
      <c r="Q31" s="389"/>
      <c r="R31" s="393"/>
    </row>
    <row r="32" customFormat="false" ht="13.5" hidden="false" customHeight="true" outlineLevel="0" collapsed="false">
      <c r="B32" s="382" t="s">
        <v>2393</v>
      </c>
      <c r="C32" s="382" t="s">
        <v>2394</v>
      </c>
      <c r="D32" s="393"/>
      <c r="E32" s="393"/>
      <c r="F32" s="382" t="s">
        <v>2413</v>
      </c>
      <c r="G32" s="382" t="s">
        <v>2410</v>
      </c>
      <c r="H32" s="382" t="s">
        <v>2397</v>
      </c>
      <c r="I32" s="393"/>
      <c r="J32" s="385" t="n">
        <v>4000</v>
      </c>
      <c r="K32" s="394" t="n">
        <f aca="false">IF(N(J32)=0,"",J32*12)</f>
        <v>48000</v>
      </c>
      <c r="L32" s="393"/>
      <c r="M32" s="388"/>
      <c r="N32" s="388"/>
      <c r="O32" s="382" t="s">
        <v>1310</v>
      </c>
      <c r="P32" s="385"/>
      <c r="Q32" s="389" t="s">
        <v>2415</v>
      </c>
      <c r="R32" s="393"/>
    </row>
    <row r="33" customFormat="false" ht="13.5" hidden="false" customHeight="true" outlineLevel="0" collapsed="false">
      <c r="B33" s="382" t="s">
        <v>2393</v>
      </c>
      <c r="C33" s="382" t="s">
        <v>2394</v>
      </c>
      <c r="D33" s="393"/>
      <c r="E33" s="393"/>
      <c r="F33" s="382" t="s">
        <v>2413</v>
      </c>
      <c r="G33" s="382" t="s">
        <v>2416</v>
      </c>
      <c r="H33" s="382" t="s">
        <v>2397</v>
      </c>
      <c r="I33" s="393"/>
      <c r="J33" s="385" t="n">
        <v>150</v>
      </c>
      <c r="K33" s="394" t="n">
        <f aca="false">IF(N(J33)=0,"",J33*12)</f>
        <v>1800</v>
      </c>
      <c r="L33" s="393"/>
      <c r="M33" s="388"/>
      <c r="N33" s="388"/>
      <c r="O33" s="382" t="s">
        <v>160</v>
      </c>
      <c r="P33" s="385"/>
      <c r="Q33" s="389"/>
      <c r="R33" s="393"/>
    </row>
    <row r="34" customFormat="false" ht="13.5" hidden="false" customHeight="true" outlineLevel="0" collapsed="false">
      <c r="B34" s="382" t="s">
        <v>2393</v>
      </c>
      <c r="C34" s="382" t="s">
        <v>2394</v>
      </c>
      <c r="D34" s="393"/>
      <c r="E34" s="393"/>
      <c r="F34" s="382" t="s">
        <v>2413</v>
      </c>
      <c r="G34" s="382" t="s">
        <v>2417</v>
      </c>
      <c r="H34" s="382" t="s">
        <v>2418</v>
      </c>
      <c r="I34" s="393"/>
      <c r="J34" s="385" t="n">
        <v>140</v>
      </c>
      <c r="K34" s="394" t="n">
        <f aca="false">IF(N(J34)=0,"",J34*12)</f>
        <v>1680</v>
      </c>
      <c r="L34" s="393"/>
      <c r="M34" s="388"/>
      <c r="N34" s="388"/>
      <c r="O34" s="382" t="s">
        <v>2419</v>
      </c>
      <c r="P34" s="385"/>
      <c r="Q34" s="389"/>
      <c r="R34" s="393"/>
    </row>
    <row r="35" customFormat="false" ht="13.5" hidden="false" customHeight="true" outlineLevel="0" collapsed="false">
      <c r="B35" s="382" t="s">
        <v>2393</v>
      </c>
      <c r="C35" s="382" t="s">
        <v>2394</v>
      </c>
      <c r="D35" s="393"/>
      <c r="E35" s="393"/>
      <c r="F35" s="382" t="s">
        <v>2413</v>
      </c>
      <c r="G35" s="382" t="s">
        <v>2420</v>
      </c>
      <c r="H35" s="382" t="s">
        <v>2418</v>
      </c>
      <c r="I35" s="393"/>
      <c r="J35" s="385" t="n">
        <v>75</v>
      </c>
      <c r="K35" s="394" t="n">
        <f aca="false">IF(N(J35)=0,"",J35*12)</f>
        <v>900</v>
      </c>
      <c r="L35" s="393"/>
      <c r="M35" s="388"/>
      <c r="N35" s="388"/>
      <c r="O35" s="382" t="s">
        <v>2419</v>
      </c>
      <c r="P35" s="385"/>
      <c r="Q35" s="389"/>
      <c r="R35" s="393"/>
    </row>
    <row r="36" customFormat="false" ht="19.4" hidden="false" customHeight="false" outlineLevel="0" collapsed="false">
      <c r="B36" s="395" t="s">
        <v>2421</v>
      </c>
      <c r="C36" s="396"/>
      <c r="D36" s="396"/>
      <c r="E36" s="396"/>
      <c r="F36" s="396"/>
      <c r="G36" s="396"/>
      <c r="H36" s="396"/>
      <c r="I36" s="396"/>
      <c r="J36" s="397" t="n">
        <f aca="false">SUM(J25:J35)</f>
        <v>30704</v>
      </c>
      <c r="K36" s="398" t="n">
        <f aca="false">SUM(K25:K35)</f>
        <v>368448</v>
      </c>
      <c r="L36" s="396"/>
      <c r="M36" s="396"/>
      <c r="N36" s="396"/>
      <c r="O36" s="396"/>
      <c r="P36" s="397" t="n">
        <f aca="false">SUM(P25:P35)</f>
        <v>5000</v>
      </c>
      <c r="Q36" s="399" t="s">
        <v>2422</v>
      </c>
      <c r="R36" s="396"/>
    </row>
    <row r="38" customFormat="false" ht="16.5" hidden="false" customHeight="true" outlineLevel="0" collapsed="false">
      <c r="B38" s="24" t="s">
        <v>2423</v>
      </c>
      <c r="C38" s="24"/>
      <c r="D38" s="24"/>
      <c r="E38" s="24"/>
      <c r="F38" s="24"/>
      <c r="G38" s="24"/>
      <c r="H38" s="24"/>
      <c r="I38" s="24"/>
      <c r="J38" s="24"/>
      <c r="K38" s="24"/>
      <c r="L38" s="24"/>
      <c r="M38" s="24"/>
      <c r="N38" s="24"/>
      <c r="O38" s="24"/>
      <c r="P38" s="24"/>
      <c r="Q38" s="24"/>
    </row>
    <row r="39" customFormat="false" ht="27.75" hidden="false" customHeight="true" outlineLevel="0" collapsed="false">
      <c r="B39" s="382" t="s">
        <v>2424</v>
      </c>
      <c r="C39" s="382" t="s">
        <v>2425</v>
      </c>
      <c r="D39" s="393"/>
      <c r="E39" s="393"/>
      <c r="F39" s="382" t="s">
        <v>2426</v>
      </c>
      <c r="G39" s="381" t="s">
        <v>2427</v>
      </c>
      <c r="H39" s="382" t="s">
        <v>2428</v>
      </c>
      <c r="I39" s="393"/>
      <c r="J39" s="393"/>
      <c r="K39" s="393"/>
      <c r="L39" s="393"/>
      <c r="M39" s="393"/>
      <c r="N39" s="393"/>
      <c r="O39" s="393"/>
      <c r="P39" s="393"/>
      <c r="Q39" s="389" t="s">
        <v>2429</v>
      </c>
      <c r="R39" s="393"/>
    </row>
    <row r="40" customFormat="false" ht="27.75" hidden="false" customHeight="true" outlineLevel="0" collapsed="false">
      <c r="B40" s="382" t="s">
        <v>2424</v>
      </c>
      <c r="C40" s="382" t="s">
        <v>2425</v>
      </c>
      <c r="D40" s="393"/>
      <c r="E40" s="393"/>
      <c r="F40" s="382" t="s">
        <v>2430</v>
      </c>
      <c r="G40" s="381" t="s">
        <v>2431</v>
      </c>
      <c r="H40" s="382" t="s">
        <v>2428</v>
      </c>
      <c r="I40" s="393"/>
      <c r="J40" s="393"/>
      <c r="K40" s="393"/>
      <c r="L40" s="393"/>
      <c r="M40" s="393"/>
      <c r="N40" s="393"/>
      <c r="O40" s="393"/>
      <c r="P40" s="393"/>
      <c r="Q40" s="389" t="s">
        <v>2432</v>
      </c>
      <c r="R40" s="393"/>
    </row>
    <row r="42" customFormat="false" ht="16.5" hidden="false" customHeight="true" outlineLevel="0" collapsed="false">
      <c r="B42" s="24" t="s">
        <v>2433</v>
      </c>
      <c r="C42" s="24"/>
      <c r="D42" s="24"/>
      <c r="E42" s="24"/>
      <c r="F42" s="24"/>
      <c r="G42" s="24"/>
      <c r="H42" s="24"/>
    </row>
    <row r="43" customFormat="false" ht="13.5" hidden="false" customHeight="true" outlineLevel="0" collapsed="false">
      <c r="B43" s="400" t="s">
        <v>2434</v>
      </c>
      <c r="C43" s="401" t="n">
        <f aca="false">COUNT(R6:R21)</f>
        <v>4</v>
      </c>
      <c r="D43" s="401"/>
      <c r="E43" s="401"/>
      <c r="F43" s="393"/>
      <c r="G43" s="393"/>
      <c r="H43" s="393"/>
    </row>
    <row r="44" customFormat="false" ht="13.5" hidden="false" customHeight="true" outlineLevel="0" collapsed="false">
      <c r="B44" s="400" t="s">
        <v>2435</v>
      </c>
      <c r="C44" s="387" t="n">
        <f aca="false">IF(COUNT(R6:R21)=0,"",MIN(R6:R21))</f>
        <v>5.20447782833346</v>
      </c>
      <c r="D44" s="387"/>
      <c r="E44" s="387"/>
      <c r="F44" s="393"/>
      <c r="G44" s="393"/>
      <c r="H44" s="393"/>
    </row>
    <row r="45" customFormat="false" ht="13.5" hidden="false" customHeight="true" outlineLevel="0" collapsed="false">
      <c r="B45" s="400" t="s">
        <v>2436</v>
      </c>
      <c r="C45" s="387" t="n">
        <f aca="false">IF(COUNT(R6:R21)=0,"",MAX(R6:R21))</f>
        <v>8.06762520219523</v>
      </c>
      <c r="D45" s="387"/>
      <c r="E45" s="387"/>
      <c r="F45" s="393"/>
      <c r="G45" s="393"/>
      <c r="H45" s="393"/>
    </row>
    <row r="46" customFormat="false" ht="13.5" hidden="false" customHeight="true" outlineLevel="0" collapsed="false">
      <c r="B46" s="400" t="s">
        <v>2437</v>
      </c>
      <c r="C46" s="387" t="n">
        <f aca="false">IF(COUNT(R6:R21)=0,"",AVERAGE(R6:R21))</f>
        <v>6.32723303783814</v>
      </c>
      <c r="D46" s="387"/>
      <c r="E46" s="387"/>
      <c r="F46" s="393"/>
      <c r="G46" s="393"/>
      <c r="H46" s="393"/>
    </row>
    <row r="47" customFormat="false" ht="13.5" hidden="false" customHeight="true" outlineLevel="0" collapsed="false">
      <c r="B47" s="400" t="s">
        <v>2438</v>
      </c>
      <c r="C47" s="387" t="n">
        <f aca="false">IF(COUNT(R6:R21)=0,"",MEDIAN(R6:R21))</f>
        <v>6.01841456041193</v>
      </c>
      <c r="D47" s="387"/>
      <c r="E47" s="387"/>
      <c r="F47" s="393"/>
      <c r="G47" s="393"/>
      <c r="H47" s="393"/>
    </row>
    <row r="48" customFormat="false" ht="15" hidden="false" customHeight="true" outlineLevel="0" collapsed="false">
      <c r="B48" s="382" t="s">
        <v>2439</v>
      </c>
      <c r="C48" s="402" t="n">
        <f aca="false">'Property Info'!$C$29</f>
        <v>352240</v>
      </c>
      <c r="D48" s="402"/>
      <c r="E48" s="402"/>
      <c r="F48" s="393"/>
      <c r="G48" s="393"/>
      <c r="H48" s="393"/>
    </row>
    <row r="49" customFormat="false" ht="15" hidden="false" customHeight="true" outlineLevel="0" collapsed="false">
      <c r="B49" s="400" t="s">
        <v>2440</v>
      </c>
      <c r="C49" s="403" t="n">
        <v>8</v>
      </c>
      <c r="D49" s="403"/>
      <c r="E49" s="403"/>
      <c r="F49" s="393"/>
      <c r="G49" s="393"/>
      <c r="H49" s="393"/>
    </row>
    <row r="50" customFormat="false" ht="15" hidden="false" customHeight="true" outlineLevel="0" collapsed="false">
      <c r="B50" s="36" t="s">
        <v>2441</v>
      </c>
      <c r="C50" s="398" t="n">
        <f aca="false">C48*C49</f>
        <v>2817920</v>
      </c>
      <c r="D50" s="398"/>
      <c r="E50" s="398"/>
      <c r="F50" s="396"/>
      <c r="G50" s="396"/>
      <c r="H50" s="396"/>
    </row>
    <row r="52" customFormat="false" ht="45.75" hidden="false" customHeight="true" outlineLevel="0" collapsed="false">
      <c r="B52" s="376" t="s">
        <v>2442</v>
      </c>
      <c r="C52" s="376"/>
      <c r="D52" s="376"/>
      <c r="E52" s="376"/>
      <c r="F52" s="376"/>
      <c r="G52" s="376"/>
      <c r="H52" s="376"/>
      <c r="I52" s="376"/>
      <c r="J52" s="376"/>
      <c r="K52" s="376"/>
      <c r="L52" s="376"/>
      <c r="M52" s="376"/>
      <c r="N52" s="376"/>
      <c r="O52" s="376"/>
      <c r="P52" s="376"/>
      <c r="Q52" s="376"/>
    </row>
  </sheetData>
  <mergeCells count="14">
    <mergeCell ref="B2:Q2"/>
    <mergeCell ref="B3:Q3"/>
    <mergeCell ref="B23:Q23"/>
    <mergeCell ref="B38:Q38"/>
    <mergeCell ref="B42:H42"/>
    <mergeCell ref="C43:E43"/>
    <mergeCell ref="C44:E44"/>
    <mergeCell ref="C45:E45"/>
    <mergeCell ref="C46:E46"/>
    <mergeCell ref="C47:E47"/>
    <mergeCell ref="C48:E48"/>
    <mergeCell ref="C49:E49"/>
    <mergeCell ref="C50:E50"/>
    <mergeCell ref="B52:Q52"/>
  </mergeCell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2:I8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E25" activeCellId="0" sqref="E25"/>
    </sheetView>
  </sheetViews>
  <sheetFormatPr defaultColWidth="9.86328125" defaultRowHeight="12" zeroHeight="false" outlineLevelRow="0" outlineLevelCol="0"/>
  <cols>
    <col collapsed="false" customWidth="true" hidden="false" outlineLevel="0" max="1" min="1" style="1" width="2.29"/>
    <col collapsed="false" customWidth="true" hidden="false" outlineLevel="0" max="2" min="2" style="1" width="47.86"/>
    <col collapsed="false" customWidth="true" hidden="false" outlineLevel="0" max="3" min="3" style="1" width="17.14"/>
    <col collapsed="false" customWidth="true" hidden="false" outlineLevel="0" max="5" min="4" style="1" width="19.43"/>
    <col collapsed="false" customWidth="true" hidden="false" outlineLevel="0" max="6" min="6" style="1" width="17.14"/>
    <col collapsed="false" customWidth="true" hidden="false" outlineLevel="0" max="8" min="7" style="0" width="15"/>
    <col collapsed="false" customWidth="true" hidden="false" outlineLevel="0" max="9" min="9" style="0" width="16"/>
  </cols>
  <sheetData>
    <row r="2" customFormat="false" ht="16.5" hidden="false" customHeight="true" outlineLevel="0" collapsed="false">
      <c r="B2" s="404" t="s">
        <v>2443</v>
      </c>
      <c r="C2" s="404"/>
      <c r="D2" s="404"/>
      <c r="E2" s="404"/>
      <c r="F2" s="404"/>
    </row>
    <row r="4" customFormat="false" ht="13.5" hidden="false" customHeight="true" outlineLevel="0" collapsed="false">
      <c r="B4" s="272" t="s">
        <v>2439</v>
      </c>
      <c r="C4" s="405" t="n">
        <f aca="false">'Property Info'!$C$29</f>
        <v>352240</v>
      </c>
      <c r="D4" s="406"/>
      <c r="E4" s="406"/>
      <c r="F4" s="406"/>
    </row>
    <row r="6" customFormat="false" ht="16.5" hidden="false" customHeight="true" outlineLevel="0" collapsed="false">
      <c r="B6" s="243" t="s">
        <v>2444</v>
      </c>
      <c r="C6" s="243"/>
      <c r="D6" s="243"/>
      <c r="E6" s="243"/>
      <c r="F6" s="243"/>
    </row>
    <row r="7" customFormat="false" ht="15" hidden="false" customHeight="true" outlineLevel="0" collapsed="false">
      <c r="B7" s="246" t="s">
        <v>2445</v>
      </c>
      <c r="C7" s="407" t="s">
        <v>2446</v>
      </c>
      <c r="D7" s="407" t="s">
        <v>2447</v>
      </c>
      <c r="E7" s="408" t="s">
        <v>2448</v>
      </c>
      <c r="F7" s="408"/>
    </row>
    <row r="8" customFormat="false" ht="13.5" hidden="false" customHeight="true" outlineLevel="0" collapsed="false">
      <c r="B8" s="12" t="str">
        <f aca="false">'Property Info'!$C$23</f>
        <v>Mega (Storage/Distribution) Warehouses</v>
      </c>
      <c r="C8" s="266" t="n">
        <f aca="false">'Property Info'!$C$29</f>
        <v>352240</v>
      </c>
      <c r="D8" s="409" t="n">
        <f aca="false">Leases!$C$49</f>
        <v>8</v>
      </c>
      <c r="E8" s="271" t="n">
        <f aca="false">IFERROR(C8*D8,"")</f>
        <v>2817920</v>
      </c>
      <c r="F8" s="271"/>
    </row>
    <row r="9" customFormat="false" ht="13.5" hidden="false" customHeight="true" outlineLevel="0" collapsed="false">
      <c r="B9" s="269"/>
      <c r="C9" s="253"/>
      <c r="D9" s="270"/>
      <c r="E9" s="271" t="n">
        <f aca="false">IFERROR(C9*D9,"")</f>
        <v>0</v>
      </c>
      <c r="F9" s="271"/>
    </row>
    <row r="10" customFormat="false" ht="13.5" hidden="false" customHeight="true" outlineLevel="0" collapsed="false">
      <c r="B10" s="269"/>
      <c r="C10" s="253"/>
      <c r="D10" s="270"/>
      <c r="E10" s="271" t="n">
        <f aca="false">IFERROR(C10*D10,"")</f>
        <v>0</v>
      </c>
      <c r="F10" s="271"/>
    </row>
    <row r="11" customFormat="false" ht="13.5" hidden="false" customHeight="true" outlineLevel="0" collapsed="false">
      <c r="B11" s="258" t="s">
        <v>2449</v>
      </c>
      <c r="C11" s="410" t="n">
        <f aca="false">SUM(C8:C10)</f>
        <v>352240</v>
      </c>
      <c r="D11" s="260" t="n">
        <f aca="false">IFERROR(E11/C11,"")</f>
        <v>8</v>
      </c>
      <c r="E11" s="273" t="n">
        <f aca="false">SUM(E8:E10)</f>
        <v>2817920</v>
      </c>
      <c r="F11" s="273"/>
    </row>
    <row r="13" customFormat="false" ht="16.5" hidden="false" customHeight="true" outlineLevel="0" collapsed="false">
      <c r="B13" s="243" t="s">
        <v>2450</v>
      </c>
      <c r="C13" s="243"/>
      <c r="D13" s="243"/>
      <c r="E13" s="243"/>
      <c r="F13" s="243"/>
    </row>
    <row r="14" customFormat="false" ht="15" hidden="false" customHeight="true" outlineLevel="0" collapsed="false">
      <c r="B14" s="411" t="s">
        <v>389</v>
      </c>
      <c r="C14" s="411"/>
      <c r="D14" s="411"/>
      <c r="E14" s="408" t="s">
        <v>2451</v>
      </c>
      <c r="F14" s="408"/>
    </row>
    <row r="15" customFormat="false" ht="13.5" hidden="false" customHeight="true" outlineLevel="0" collapsed="false">
      <c r="B15" s="8" t="s">
        <v>2452</v>
      </c>
      <c r="C15" s="8"/>
      <c r="D15" s="8"/>
      <c r="E15" s="366" t="n">
        <v>0.043</v>
      </c>
      <c r="F15" s="366"/>
    </row>
    <row r="16" customFormat="false" ht="13.5" hidden="false" customHeight="true" outlineLevel="0" collapsed="false">
      <c r="B16" s="8" t="s">
        <v>2453</v>
      </c>
      <c r="C16" s="8"/>
      <c r="D16" s="8"/>
      <c r="E16" s="366" t="n">
        <v>0.07</v>
      </c>
      <c r="F16" s="366"/>
    </row>
    <row r="17" customFormat="false" ht="13.5" hidden="false" customHeight="true" outlineLevel="0" collapsed="false">
      <c r="B17" s="8"/>
      <c r="C17" s="8"/>
      <c r="D17" s="8"/>
      <c r="E17" s="366"/>
      <c r="F17" s="366"/>
    </row>
    <row r="18" customFormat="false" ht="13.5" hidden="false" customHeight="true" outlineLevel="0" collapsed="false">
      <c r="B18" s="8"/>
      <c r="C18" s="8"/>
      <c r="D18" s="8"/>
      <c r="E18" s="366"/>
      <c r="F18" s="366"/>
    </row>
    <row r="19" customFormat="false" ht="13.5" hidden="false" customHeight="true" outlineLevel="0" collapsed="false">
      <c r="B19" s="269" t="s">
        <v>2454</v>
      </c>
      <c r="C19" s="269"/>
      <c r="D19" s="269"/>
      <c r="E19" s="267" t="str">
        <f aca="false">IFERROR(TEXT(MIN(E15:E18),"0.00%")&amp;" to "&amp;TEXT(MAX(E15:E18),"0.00%"),"")</f>
        <v>4.30% to 7.00%</v>
      </c>
      <c r="F19" s="267"/>
    </row>
    <row r="20" customFormat="false" ht="13.5" hidden="false" customHeight="true" outlineLevel="0" collapsed="false">
      <c r="B20" s="258" t="s">
        <v>2455</v>
      </c>
      <c r="C20" s="258"/>
      <c r="D20" s="258"/>
      <c r="E20" s="265" t="n">
        <f aca="false">'Property Info'!$C$51</f>
        <v>0.05</v>
      </c>
      <c r="F20" s="265"/>
    </row>
    <row r="22" customFormat="false" ht="16.5" hidden="false" customHeight="true" outlineLevel="0" collapsed="false">
      <c r="B22" s="243" t="s">
        <v>2456</v>
      </c>
      <c r="C22" s="243"/>
      <c r="D22" s="243"/>
      <c r="E22" s="243"/>
      <c r="F22" s="243"/>
    </row>
    <row r="23" customFormat="false" ht="15" hidden="false" customHeight="true" outlineLevel="0" collapsed="false">
      <c r="B23" s="246" t="s">
        <v>2457</v>
      </c>
      <c r="C23" s="407" t="s">
        <v>2451</v>
      </c>
      <c r="D23" s="407" t="s">
        <v>2458</v>
      </c>
      <c r="E23" s="407" t="s">
        <v>229</v>
      </c>
      <c r="F23" s="412" t="s">
        <v>2459</v>
      </c>
    </row>
    <row r="24" customFormat="false" ht="13.5" hidden="false" customHeight="true" outlineLevel="0" collapsed="false">
      <c r="B24" s="269" t="s">
        <v>2460</v>
      </c>
      <c r="C24" s="413"/>
      <c r="D24" s="414" t="n">
        <f aca="false">IFERROR(E24/$C$4,"")</f>
        <v>0.70974335680218</v>
      </c>
      <c r="E24" s="251" t="n">
        <v>250000</v>
      </c>
      <c r="F24" s="415" t="s">
        <v>2461</v>
      </c>
    </row>
    <row r="25" customFormat="false" ht="13.5" hidden="false" customHeight="true" outlineLevel="0" collapsed="false">
      <c r="B25" s="269" t="s">
        <v>2462</v>
      </c>
      <c r="C25" s="413"/>
      <c r="D25" s="409" t="n">
        <f aca="false">$C$84</f>
        <v>0.135370769114979</v>
      </c>
      <c r="E25" s="271" t="n">
        <f aca="false">IFERROR(D25*$C$4,"")</f>
        <v>47682.9997130601</v>
      </c>
      <c r="F25" s="415" t="s">
        <v>2463</v>
      </c>
    </row>
    <row r="26" customFormat="false" ht="13.5" hidden="false" customHeight="true" outlineLevel="0" collapsed="false">
      <c r="B26" s="269" t="s">
        <v>2464</v>
      </c>
      <c r="C26" s="413"/>
      <c r="D26" s="409" t="n">
        <f aca="false">$C$85</f>
        <v>0.0632317821231624</v>
      </c>
      <c r="E26" s="271" t="n">
        <f aca="false">IFERROR(D26*$C$4,"")</f>
        <v>22272.7629350627</v>
      </c>
      <c r="F26" s="415" t="s">
        <v>2463</v>
      </c>
    </row>
    <row r="27" customFormat="false" ht="13.5" hidden="false" customHeight="true" outlineLevel="0" collapsed="false">
      <c r="B27" s="269" t="s">
        <v>2465</v>
      </c>
      <c r="C27" s="413"/>
      <c r="D27" s="409" t="n">
        <f aca="false">$C$86</f>
        <v>0.154224428185648</v>
      </c>
      <c r="E27" s="271" t="n">
        <f aca="false">IFERROR(D27*$C$4,"")</f>
        <v>54324.0125841127</v>
      </c>
      <c r="F27" s="415" t="s">
        <v>2463</v>
      </c>
    </row>
    <row r="28" customFormat="false" ht="13.5" hidden="false" customHeight="true" outlineLevel="0" collapsed="false">
      <c r="B28" s="269" t="s">
        <v>2466</v>
      </c>
      <c r="C28" s="366" t="n">
        <v>0.03</v>
      </c>
      <c r="D28" s="414" t="n">
        <f aca="false">IFERROR(E28/$C$4,"")</f>
        <v>0.228</v>
      </c>
      <c r="E28" s="271" t="n">
        <f aca="false">$E$40*C28</f>
        <v>80310.72</v>
      </c>
      <c r="F28" s="415" t="s">
        <v>2467</v>
      </c>
    </row>
    <row r="29" customFormat="false" ht="13.5" hidden="false" customHeight="true" outlineLevel="0" collapsed="false">
      <c r="B29" s="258" t="s">
        <v>229</v>
      </c>
      <c r="C29" s="364"/>
      <c r="D29" s="260" t="n">
        <f aca="false">IFERROR(E29/$C$4,"")</f>
        <v>1.29057033622597</v>
      </c>
      <c r="E29" s="273" t="n">
        <f aca="false">SUM(E24:E28)</f>
        <v>454590.495232236</v>
      </c>
      <c r="F29" s="364"/>
    </row>
    <row r="30" customFormat="false" ht="13.5" hidden="false" customHeight="true" outlineLevel="0" collapsed="false">
      <c r="B30" s="269" t="s">
        <v>2468</v>
      </c>
      <c r="C30" s="366" t="n">
        <v>0.06</v>
      </c>
      <c r="D30" s="414" t="n">
        <f aca="false">IFERROR($C$30*D29,"")</f>
        <v>0.0774342201735582</v>
      </c>
      <c r="E30" s="271" t="n">
        <f aca="false">IFERROR($C$30*E29,"")</f>
        <v>27275.4297139341</v>
      </c>
      <c r="F30" s="413"/>
    </row>
    <row r="31" customFormat="false" ht="13.5" hidden="false" customHeight="true" outlineLevel="0" collapsed="false">
      <c r="B31" s="258" t="s">
        <v>2469</v>
      </c>
      <c r="C31" s="258"/>
      <c r="D31" s="258"/>
      <c r="E31" s="265" t="n">
        <f aca="false">IFERROR(E30/$E$40,"")</f>
        <v>0.0101887131807313</v>
      </c>
      <c r="F31" s="364"/>
    </row>
    <row r="33" customFormat="false" ht="16.5" hidden="false" customHeight="true" outlineLevel="0" collapsed="false">
      <c r="B33" s="243" t="s">
        <v>2470</v>
      </c>
      <c r="C33" s="243"/>
      <c r="D33" s="243"/>
      <c r="E33" s="243"/>
      <c r="F33" s="243"/>
    </row>
    <row r="34" customFormat="false" ht="25.5" hidden="false" customHeight="true" outlineLevel="0" collapsed="false">
      <c r="B34" s="246" t="s">
        <v>2471</v>
      </c>
      <c r="C34" s="407"/>
      <c r="D34" s="416" t="s">
        <v>2472</v>
      </c>
      <c r="E34" s="416" t="s">
        <v>2473</v>
      </c>
      <c r="F34" s="416" t="s">
        <v>2458</v>
      </c>
    </row>
    <row r="35" customFormat="false" ht="13.5" hidden="false" customHeight="true" outlineLevel="0" collapsed="false">
      <c r="B35" s="269" t="s">
        <v>2474</v>
      </c>
      <c r="C35" s="413"/>
      <c r="D35" s="413"/>
      <c r="E35" s="271" t="n">
        <f aca="false">E11</f>
        <v>2817920</v>
      </c>
      <c r="F35" s="414" t="n">
        <f aca="false">IFERROR(E35/$C$4,"")</f>
        <v>8</v>
      </c>
    </row>
    <row r="36" customFormat="false" ht="13.5" hidden="false" customHeight="true" outlineLevel="0" collapsed="false">
      <c r="B36" s="269" t="s">
        <v>2475</v>
      </c>
      <c r="C36" s="413"/>
      <c r="D36" s="413"/>
      <c r="E36" s="251" t="n">
        <v>0</v>
      </c>
      <c r="F36" s="414" t="n">
        <f aca="false">IFERROR(E36/$C$4,"")</f>
        <v>0</v>
      </c>
    </row>
    <row r="37" customFormat="false" ht="13.5" hidden="false" customHeight="true" outlineLevel="0" collapsed="false">
      <c r="B37" s="269" t="s">
        <v>2476</v>
      </c>
      <c r="C37" s="413"/>
      <c r="D37" s="413"/>
      <c r="E37" s="251" t="n">
        <v>0</v>
      </c>
      <c r="F37" s="414" t="n">
        <f aca="false">IFERROR(E37/$C$4,"")</f>
        <v>0</v>
      </c>
    </row>
    <row r="38" customFormat="false" ht="13.5" hidden="false" customHeight="true" outlineLevel="0" collapsed="false">
      <c r="B38" s="258" t="s">
        <v>2449</v>
      </c>
      <c r="C38" s="364"/>
      <c r="D38" s="364"/>
      <c r="E38" s="273" t="n">
        <f aca="false">SUM(E35:E37)</f>
        <v>2817920</v>
      </c>
      <c r="F38" s="260" t="n">
        <f aca="false">IFERROR(E38/$C$4,"")</f>
        <v>8</v>
      </c>
    </row>
    <row r="39" customFormat="false" ht="13.5" hidden="false" customHeight="true" outlineLevel="0" collapsed="false">
      <c r="B39" s="269" t="s">
        <v>2477</v>
      </c>
      <c r="C39" s="374" t="n">
        <f aca="false">$E$20</f>
        <v>0.05</v>
      </c>
      <c r="D39" s="271" t="n">
        <f aca="false">-C39*E38</f>
        <v>-140896</v>
      </c>
      <c r="E39" s="413"/>
      <c r="F39" s="414" t="n">
        <f aca="false">IFERROR(D39/$C$4,"")</f>
        <v>-0.4</v>
      </c>
    </row>
    <row r="40" customFormat="false" ht="13.5" hidden="false" customHeight="true" outlineLevel="0" collapsed="false">
      <c r="B40" s="258" t="s">
        <v>2478</v>
      </c>
      <c r="C40" s="364"/>
      <c r="D40" s="364"/>
      <c r="E40" s="273" t="n">
        <f aca="false">E38+D39</f>
        <v>2677024</v>
      </c>
      <c r="F40" s="260" t="n">
        <f aca="false">IFERROR(E40/$C$4,"")</f>
        <v>7.6</v>
      </c>
    </row>
    <row r="41" customFormat="false" ht="15" hidden="false" customHeight="true" outlineLevel="0" collapsed="false">
      <c r="B41" s="261" t="s">
        <v>2479</v>
      </c>
      <c r="C41" s="261"/>
      <c r="D41" s="261"/>
      <c r="E41" s="261"/>
      <c r="F41" s="261"/>
    </row>
    <row r="42" customFormat="false" ht="13.5" hidden="false" customHeight="true" outlineLevel="0" collapsed="false">
      <c r="B42" s="269" t="s">
        <v>2480</v>
      </c>
      <c r="C42" s="366" t="n">
        <v>0.02</v>
      </c>
      <c r="D42" s="271" t="n">
        <f aca="false">-C42*E40</f>
        <v>-53540.48</v>
      </c>
      <c r="E42" s="413"/>
      <c r="F42" s="414" t="n">
        <f aca="false">IFERROR(D42/$C$4,"")</f>
        <v>-0.152</v>
      </c>
    </row>
    <row r="43" customFormat="false" ht="24" hidden="false" customHeight="true" outlineLevel="0" collapsed="false">
      <c r="B43" s="248" t="s">
        <v>2481</v>
      </c>
      <c r="C43" s="374" t="n">
        <f aca="false">$E$31</f>
        <v>0.0101887131807313</v>
      </c>
      <c r="D43" s="271" t="n">
        <f aca="false">-E30</f>
        <v>-27275.4297139341</v>
      </c>
      <c r="E43" s="413"/>
      <c r="F43" s="414" t="n">
        <f aca="false">IFERROR(D43/$C$4,"")</f>
        <v>-0.0774342201735582</v>
      </c>
    </row>
    <row r="44" customFormat="false" ht="13.5" hidden="false" customHeight="true" outlineLevel="0" collapsed="false">
      <c r="B44" s="258" t="s">
        <v>2482</v>
      </c>
      <c r="C44" s="364"/>
      <c r="D44" s="273" t="n">
        <f aca="false">SUM(D42:D43)</f>
        <v>-80815.9097139341</v>
      </c>
      <c r="E44" s="364"/>
      <c r="F44" s="260" t="n">
        <f aca="false">IFERROR(D44/$C$4,"")</f>
        <v>-0.229434220173558</v>
      </c>
    </row>
    <row r="45" customFormat="false" ht="13.5" hidden="false" customHeight="true" outlineLevel="0" collapsed="false">
      <c r="B45" s="258" t="s">
        <v>2483</v>
      </c>
      <c r="C45" s="364"/>
      <c r="D45" s="364"/>
      <c r="E45" s="273" t="n">
        <f aca="false">E40+D44</f>
        <v>2596208.09028607</v>
      </c>
      <c r="F45" s="260" t="n">
        <f aca="false">IFERROR(E45/$C$4,"")</f>
        <v>7.37056577982644</v>
      </c>
    </row>
    <row r="47" customFormat="false" ht="16.5" hidden="false" customHeight="true" outlineLevel="0" collapsed="false">
      <c r="B47" s="243" t="s">
        <v>2484</v>
      </c>
      <c r="C47" s="243"/>
      <c r="D47" s="243"/>
      <c r="E47" s="243"/>
      <c r="F47" s="243"/>
    </row>
    <row r="48" customFormat="false" ht="15" hidden="false" customHeight="true" outlineLevel="0" collapsed="false">
      <c r="B48" s="411" t="s">
        <v>2471</v>
      </c>
      <c r="C48" s="411"/>
      <c r="D48" s="407" t="s">
        <v>2485</v>
      </c>
      <c r="E48" s="407" t="s">
        <v>2486</v>
      </c>
      <c r="F48" s="244"/>
    </row>
    <row r="49" customFormat="false" ht="13.5" hidden="false" customHeight="true" outlineLevel="0" collapsed="false">
      <c r="B49" s="269" t="s">
        <v>389</v>
      </c>
      <c r="C49" s="269"/>
      <c r="D49" s="256" t="s">
        <v>2487</v>
      </c>
      <c r="E49" s="256" t="s">
        <v>2487</v>
      </c>
      <c r="F49" s="413"/>
    </row>
    <row r="50" customFormat="false" ht="13.5" hidden="false" customHeight="true" outlineLevel="0" collapsed="false">
      <c r="B50" s="269" t="s">
        <v>2488</v>
      </c>
      <c r="C50" s="269"/>
      <c r="D50" s="256"/>
      <c r="E50" s="256"/>
      <c r="F50" s="413"/>
    </row>
    <row r="51" customFormat="false" ht="13.5" hidden="false" customHeight="true" outlineLevel="0" collapsed="false">
      <c r="B51" s="269" t="s">
        <v>1357</v>
      </c>
      <c r="C51" s="269"/>
      <c r="D51" s="256"/>
      <c r="E51" s="256"/>
      <c r="F51" s="413"/>
    </row>
    <row r="52" customFormat="false" ht="13.5" hidden="false" customHeight="true" outlineLevel="0" collapsed="false">
      <c r="B52" s="269" t="s">
        <v>133</v>
      </c>
      <c r="C52" s="269"/>
      <c r="D52" s="256"/>
      <c r="E52" s="256"/>
      <c r="F52" s="413"/>
    </row>
    <row r="53" customFormat="false" ht="13.5" hidden="false" customHeight="true" outlineLevel="0" collapsed="false">
      <c r="B53" s="269" t="s">
        <v>2489</v>
      </c>
      <c r="C53" s="269"/>
      <c r="D53" s="256" t="s">
        <v>2490</v>
      </c>
      <c r="E53" s="256" t="s">
        <v>2491</v>
      </c>
      <c r="F53" s="413"/>
    </row>
    <row r="54" customFormat="false" ht="13.5" hidden="false" customHeight="true" outlineLevel="0" collapsed="false">
      <c r="B54" s="269" t="s">
        <v>279</v>
      </c>
      <c r="C54" s="269"/>
      <c r="D54" s="366" t="n">
        <v>0.07</v>
      </c>
      <c r="E54" s="366" t="n">
        <v>0.068</v>
      </c>
      <c r="F54" s="413"/>
    </row>
    <row r="55" customFormat="false" ht="13.5" hidden="false" customHeight="true" outlineLevel="0" collapsed="false">
      <c r="B55" s="258" t="s">
        <v>2492</v>
      </c>
      <c r="C55" s="258"/>
      <c r="D55" s="258"/>
      <c r="E55" s="265" t="n">
        <v>0.07</v>
      </c>
      <c r="F55" s="364"/>
    </row>
    <row r="57" customFormat="false" ht="16.5" hidden="false" customHeight="true" outlineLevel="0" collapsed="false">
      <c r="B57" s="243" t="s">
        <v>2493</v>
      </c>
      <c r="C57" s="243"/>
      <c r="D57" s="243"/>
      <c r="E57" s="243"/>
      <c r="F57" s="243"/>
    </row>
    <row r="58" customFormat="false" ht="13.5" hidden="false" customHeight="true" outlineLevel="0" collapsed="false">
      <c r="B58" s="258" t="s">
        <v>2494</v>
      </c>
      <c r="C58" s="258"/>
      <c r="D58" s="273" t="n">
        <f aca="false">E45</f>
        <v>2596208.09028607</v>
      </c>
      <c r="E58" s="260" t="n">
        <f aca="false">IFERROR(D58/$C$4,"")</f>
        <v>7.37056577982644</v>
      </c>
      <c r="F58" s="364"/>
    </row>
    <row r="59" customFormat="false" ht="13.5" hidden="false" customHeight="true" outlineLevel="0" collapsed="false">
      <c r="B59" s="272" t="str">
        <f aca="false">"Sensitivity Analysis ("&amp;TEXT($C$59,"0.00%")&amp;" OAR Spread)"</f>
        <v>Sensitivity Analysis (0.25% OAR Spread)</v>
      </c>
      <c r="C59" s="417" t="n">
        <v>0.0025</v>
      </c>
      <c r="D59" s="418" t="s">
        <v>3</v>
      </c>
      <c r="E59" s="418" t="s">
        <v>143</v>
      </c>
      <c r="F59" s="406"/>
    </row>
    <row r="60" customFormat="false" ht="13.5" hidden="false" customHeight="true" outlineLevel="0" collapsed="false">
      <c r="B60" s="269" t="str">
        <f aca="false">"Based on Low-Range of "&amp;TEXT(($E$55-$C$59),"0.00%")</f>
        <v>Based on Low-Range of 6.75%</v>
      </c>
      <c r="C60" s="269"/>
      <c r="D60" s="271" t="n">
        <f aca="false">IFERROR($D$58/($E$55-$C$59),"")</f>
        <v>38462342.0783121</v>
      </c>
      <c r="E60" s="414" t="n">
        <f aca="false">IFERROR(D60/$C$4,"")</f>
        <v>109.19356710854</v>
      </c>
      <c r="F60" s="413"/>
    </row>
    <row r="61" customFormat="false" ht="13.5" hidden="false" customHeight="true" outlineLevel="0" collapsed="false">
      <c r="B61" s="269" t="str">
        <f aca="false">"Based on Most Probable Range of "&amp;TEXT($E$55,"0.00%")</f>
        <v>Based on Most Probable Range of 7.00%</v>
      </c>
      <c r="C61" s="269"/>
      <c r="D61" s="271" t="n">
        <f aca="false">IFERROR($D$58/$E$55,"")</f>
        <v>37088687.0040867</v>
      </c>
      <c r="E61" s="414" t="n">
        <f aca="false">IFERROR(D61/$C$4,"")</f>
        <v>105.293796854663</v>
      </c>
      <c r="F61" s="413"/>
    </row>
    <row r="62" customFormat="false" ht="13.5" hidden="false" customHeight="true" outlineLevel="0" collapsed="false">
      <c r="B62" s="269" t="str">
        <f aca="false">"Based on High-Range of "&amp;TEXT(($E$55+$C$59),"0.00%")</f>
        <v>Based on High-Range of 7.25%</v>
      </c>
      <c r="C62" s="269"/>
      <c r="D62" s="271" t="n">
        <f aca="false">IFERROR($D$58/($E$55+$C$59),"")</f>
        <v>35809766.7625664</v>
      </c>
      <c r="E62" s="414" t="n">
        <f aca="false">IFERROR(D62/$C$4,"")</f>
        <v>101.662976273468</v>
      </c>
      <c r="F62" s="413"/>
    </row>
    <row r="63" customFormat="false" ht="13.5" hidden="false" customHeight="true" outlineLevel="0" collapsed="false">
      <c r="B63" s="258" t="s">
        <v>2495</v>
      </c>
      <c r="C63" s="258"/>
      <c r="D63" s="273" t="n">
        <f aca="false">D61</f>
        <v>37088687.0040867</v>
      </c>
      <c r="E63" s="260" t="n">
        <f aca="false">IFERROR(D63/$C$4,"")</f>
        <v>105.293796854663</v>
      </c>
      <c r="F63" s="364"/>
    </row>
    <row r="64" customFormat="false" ht="13.5" hidden="false" customHeight="true" outlineLevel="0" collapsed="false">
      <c r="B64" s="258" t="str">
        <f aca="false">"Rounded to nearest  "&amp;TEXT($C$64,"$#,##0")</f>
        <v>Rounded to nearest  $10,000</v>
      </c>
      <c r="C64" s="419" t="n">
        <v>10000</v>
      </c>
      <c r="D64" s="273" t="n">
        <f aca="false">ROUND(D63/$C$64,0)*$C$64</f>
        <v>37090000</v>
      </c>
      <c r="E64" s="260" t="n">
        <f aca="false">IFERROR(D64/$C$4,"")</f>
        <v>105.297524415171</v>
      </c>
      <c r="F64" s="364"/>
    </row>
    <row r="66" customFormat="false" ht="33.75" hidden="false" customHeight="true" outlineLevel="0" collapsed="false">
      <c r="B66" s="3" t="s">
        <v>2496</v>
      </c>
      <c r="C66" s="3"/>
      <c r="D66" s="3"/>
      <c r="E66" s="3"/>
      <c r="F66" s="3"/>
    </row>
    <row r="69" customFormat="false" ht="16.5" hidden="false" customHeight="true" outlineLevel="0" collapsed="false">
      <c r="B69" s="24" t="s">
        <v>2497</v>
      </c>
      <c r="C69" s="24"/>
      <c r="D69" s="24"/>
      <c r="E69" s="24"/>
      <c r="F69" s="24"/>
      <c r="G69" s="24"/>
      <c r="H69" s="24"/>
      <c r="I69" s="24"/>
    </row>
    <row r="70" customFormat="false" ht="39.75" hidden="false" customHeight="true" outlineLevel="0" collapsed="false">
      <c r="B70" s="376" t="s">
        <v>2498</v>
      </c>
      <c r="C70" s="376"/>
      <c r="D70" s="376"/>
      <c r="E70" s="376"/>
      <c r="F70" s="376"/>
      <c r="G70" s="376"/>
      <c r="H70" s="376"/>
      <c r="I70" s="376"/>
    </row>
    <row r="71" customFormat="false" ht="25.5" hidden="false" customHeight="true" outlineLevel="0" collapsed="false">
      <c r="B71" s="377" t="s">
        <v>2499</v>
      </c>
      <c r="C71" s="378" t="s">
        <v>293</v>
      </c>
      <c r="D71" s="379" t="s">
        <v>292</v>
      </c>
      <c r="E71" s="379" t="s">
        <v>2462</v>
      </c>
      <c r="F71" s="379" t="s">
        <v>2464</v>
      </c>
      <c r="G71" s="379" t="s">
        <v>2500</v>
      </c>
      <c r="H71" s="379" t="s">
        <v>2501</v>
      </c>
      <c r="I71" s="379" t="s">
        <v>2502</v>
      </c>
    </row>
    <row r="72" customFormat="false" ht="13.5" hidden="false" customHeight="true" outlineLevel="0" collapsed="false">
      <c r="B72" s="382" t="s">
        <v>2503</v>
      </c>
      <c r="C72" s="420" t="n">
        <v>2024</v>
      </c>
      <c r="D72" s="384" t="n">
        <f aca="false">'Expense Database'!$J$175</f>
        <v>553757</v>
      </c>
      <c r="E72" s="409" t="n">
        <f aca="false">IFERROR('Expense Database'!$O$175/'Expense Database'!$J$175,"")</f>
        <v>0.139260704605089</v>
      </c>
      <c r="F72" s="409" t="n">
        <f aca="false">IFERROR('Expense Database'!$AF$175/'Expense Database'!$J$175,"")</f>
        <v>6.13987723857215E-005</v>
      </c>
      <c r="G72" s="409" t="n">
        <f aca="false">IFERROR(('Expense Database'!$Y$175+'Expense Database'!$AC$175)/'Expense Database'!$J$175,"")</f>
        <v>0.0441120563712964</v>
      </c>
      <c r="H72" s="409" t="n">
        <f aca="false">IFERROR('Expense Database'!$P$175/'Expense Database'!$J$175,"")</f>
        <v>0.373954965806301</v>
      </c>
      <c r="I72" s="409" t="n">
        <f aca="false">IFERROR('Expense Database'!$AH$175/'Expense Database'!$J$175,"")</f>
        <v>0.57032098917034</v>
      </c>
    </row>
    <row r="73" customFormat="false" ht="13.5" hidden="false" customHeight="true" outlineLevel="0" collapsed="false">
      <c r="B73" s="382" t="s">
        <v>2504</v>
      </c>
      <c r="C73" s="420" t="n">
        <v>2024</v>
      </c>
      <c r="D73" s="384" t="n">
        <f aca="false">'Expense Database'!$J$110</f>
        <v>377729</v>
      </c>
      <c r="E73" s="409" t="n">
        <f aca="false">IFERROR('Expense Database'!$O$110/'Expense Database'!$J$110,"")</f>
        <v>0</v>
      </c>
      <c r="F73" s="409" t="n">
        <f aca="false">IFERROR('Expense Database'!$AF$110/'Expense Database'!$J$110,"")</f>
        <v>0</v>
      </c>
      <c r="G73" s="409" t="n">
        <f aca="false">IFERROR(('Expense Database'!$Y$110+'Expense Database'!$AC$110)/'Expense Database'!$J$110,"")</f>
        <v>0.0392609516346375</v>
      </c>
      <c r="H73" s="409" t="n">
        <f aca="false">IFERROR('Expense Database'!$P$110/'Expense Database'!$J$110,"")</f>
        <v>0.0529771344005888</v>
      </c>
      <c r="I73" s="409" t="n">
        <f aca="false">IFERROR('Expense Database'!$AH$110/'Expense Database'!$J$110,"")</f>
        <v>0.124374882521596</v>
      </c>
    </row>
    <row r="74" customFormat="false" ht="13.5" hidden="false" customHeight="true" outlineLevel="0" collapsed="false">
      <c r="B74" s="382" t="s">
        <v>2504</v>
      </c>
      <c r="C74" s="420" t="n">
        <v>2023</v>
      </c>
      <c r="D74" s="384" t="n">
        <f aca="false">'Expense Database'!$J$109</f>
        <v>377729</v>
      </c>
      <c r="E74" s="409" t="n">
        <f aca="false">IFERROR('Expense Database'!$O$109/'Expense Database'!$J$109,"")</f>
        <v>0</v>
      </c>
      <c r="F74" s="409" t="n">
        <f aca="false">IFERROR('Expense Database'!$AF$109/'Expense Database'!$J$109,"")</f>
        <v>0.00181876424632475</v>
      </c>
      <c r="G74" s="409" t="n">
        <f aca="false">IFERROR(('Expense Database'!$Y$109+'Expense Database'!$AC$109)/'Expense Database'!$J$109,"")</f>
        <v>0.0058401658331767</v>
      </c>
      <c r="H74" s="409" t="n">
        <f aca="false">IFERROR('Expense Database'!$P$109/'Expense Database'!$J$109,"")</f>
        <v>0.0541419906864445</v>
      </c>
      <c r="I74" s="409" t="n">
        <f aca="false">IFERROR('Expense Database'!$AH$109/'Expense Database'!$J$109,"")</f>
        <v>0.0774073475957631</v>
      </c>
    </row>
    <row r="75" customFormat="false" ht="13.5" hidden="false" customHeight="true" outlineLevel="0" collapsed="false">
      <c r="B75" s="382" t="s">
        <v>2505</v>
      </c>
      <c r="C75" s="420" t="n">
        <v>2024</v>
      </c>
      <c r="D75" s="384" t="n">
        <f aca="false">'Expense Database'!$J$178</f>
        <v>200090</v>
      </c>
      <c r="E75" s="409" t="n">
        <f aca="false">IFERROR('Expense Database'!$O$178/'Expense Database'!$J$178,"")</f>
        <v>0.131480833624869</v>
      </c>
      <c r="F75" s="409" t="n">
        <f aca="false">IFERROR('Expense Database'!$AF$178/'Expense Database'!$J$178,"")</f>
        <v>0.360458393722825</v>
      </c>
      <c r="G75" s="409" t="n">
        <f aca="false">IFERROR(('Expense Database'!$Y$178+'Expense Database'!$AC$178)/'Expense Database'!$J$178,"")</f>
        <v>0.711095706931881</v>
      </c>
      <c r="H75" s="409" t="n">
        <f aca="false">IFERROR('Expense Database'!$P$178/'Expense Database'!$J$178,"")</f>
        <v>0.244301764206107</v>
      </c>
      <c r="I75" s="409" t="n">
        <f aca="false">IFERROR('Expense Database'!$AH$178/'Expense Database'!$J$178,"")</f>
        <v>1.55904013194063</v>
      </c>
    </row>
    <row r="76" customFormat="false" ht="13.5" hidden="false" customHeight="true" outlineLevel="0" collapsed="false">
      <c r="B76" s="382" t="s">
        <v>2506</v>
      </c>
      <c r="C76" s="420" t="n">
        <v>2024</v>
      </c>
      <c r="D76" s="384" t="n">
        <f aca="false">'Expense Database'!$J$198</f>
        <v>200000</v>
      </c>
      <c r="E76" s="409" t="n">
        <f aca="false">IFERROR('Expense Database'!$O$198/'Expense Database'!$J$198,"")</f>
        <v>0.328985</v>
      </c>
      <c r="F76" s="409" t="n">
        <f aca="false">IFERROR('Expense Database'!$AF$198/'Expense Database'!$J$198,"")</f>
        <v>0.1246448</v>
      </c>
      <c r="G76" s="409" t="n">
        <f aca="false">IFERROR(('Expense Database'!$Y$198+'Expense Database'!$AC$198)/'Expense Database'!$J$198,"")</f>
        <v>0.2643368</v>
      </c>
      <c r="H76" s="409" t="n">
        <f aca="false">IFERROR('Expense Database'!$P$198/'Expense Database'!$J$198,"")</f>
        <v>0.2151864</v>
      </c>
      <c r="I76" s="409" t="n">
        <f aca="false">IFERROR('Expense Database'!$AH$198/'Expense Database'!$J$198,"")</f>
        <v>0.944703</v>
      </c>
    </row>
    <row r="77" customFormat="false" ht="13.5" hidden="false" customHeight="true" outlineLevel="0" collapsed="false">
      <c r="B77" s="382" t="s">
        <v>2506</v>
      </c>
      <c r="C77" s="420" t="n">
        <v>2023</v>
      </c>
      <c r="D77" s="384" t="n">
        <f aca="false">'Expense Database'!$J$199</f>
        <v>200000</v>
      </c>
      <c r="E77" s="409" t="n">
        <f aca="false">IFERROR('Expense Database'!$O$199/'Expense Database'!$J$199,"")</f>
        <v>0.146995</v>
      </c>
      <c r="F77" s="409" t="n">
        <f aca="false">IFERROR('Expense Database'!$AF$199/'Expense Database'!$J$199,"")</f>
        <v>0.1246826</v>
      </c>
      <c r="G77" s="409" t="n">
        <f aca="false">IFERROR(('Expense Database'!$Y$199+'Expense Database'!$AC$199)/'Expense Database'!$J$199,"")</f>
        <v>0.53642745</v>
      </c>
      <c r="H77" s="409" t="n">
        <f aca="false">IFERROR('Expense Database'!$P$199/'Expense Database'!$J$199,"")</f>
        <v>0.19004725</v>
      </c>
      <c r="I77" s="409" t="n">
        <f aca="false">IFERROR('Expense Database'!$AH$199/'Expense Database'!$J$199,"")</f>
        <v>1.0127023</v>
      </c>
    </row>
    <row r="78" customFormat="false" ht="12" hidden="false" customHeight="false" outlineLevel="0" collapsed="false">
      <c r="B78" s="395" t="s">
        <v>1511</v>
      </c>
      <c r="C78" s="396"/>
      <c r="D78" s="396"/>
      <c r="E78" s="397" t="n">
        <f aca="false">IFERROR(MIN(E72:E77),"")</f>
        <v>0</v>
      </c>
      <c r="F78" s="397" t="n">
        <f aca="false">IFERROR(MIN(F72:F77),"")</f>
        <v>0</v>
      </c>
      <c r="G78" s="397" t="n">
        <f aca="false">IFERROR(MIN(G72:G77),"")</f>
        <v>0.0058401658331767</v>
      </c>
      <c r="H78" s="397" t="n">
        <f aca="false">IFERROR(MIN(H72:H77),"")</f>
        <v>0.0529771344005888</v>
      </c>
      <c r="I78" s="397" t="n">
        <f aca="false">IFERROR(MIN(I72:I77),"")</f>
        <v>0.0774073475957631</v>
      </c>
    </row>
    <row r="79" customFormat="false" ht="12" hidden="false" customHeight="false" outlineLevel="0" collapsed="false">
      <c r="B79" s="421" t="s">
        <v>2014</v>
      </c>
      <c r="C79" s="422"/>
      <c r="D79" s="422"/>
      <c r="E79" s="423" t="n">
        <f aca="false">IFERROR(MAX(E72:E77),"")</f>
        <v>0.328985</v>
      </c>
      <c r="F79" s="423" t="n">
        <f aca="false">IFERROR(MAX(F72:F77),"")</f>
        <v>0.360458393722825</v>
      </c>
      <c r="G79" s="423" t="n">
        <f aca="false">IFERROR(MAX(G72:G77),"")</f>
        <v>0.711095706931881</v>
      </c>
      <c r="H79" s="423" t="n">
        <f aca="false">IFERROR(MAX(H72:H77),"")</f>
        <v>0.373954965806301</v>
      </c>
      <c r="I79" s="423" t="n">
        <f aca="false">IFERROR(MAX(I72:I77),"")</f>
        <v>1.55904013194063</v>
      </c>
    </row>
    <row r="80" customFormat="false" ht="12" hidden="false" customHeight="false" outlineLevel="0" collapsed="false">
      <c r="B80" s="421" t="s">
        <v>279</v>
      </c>
      <c r="C80" s="422"/>
      <c r="D80" s="422"/>
      <c r="E80" s="423" t="n">
        <f aca="false">IFERROR(AVERAGE(E72:E77),"")</f>
        <v>0.124453589704993</v>
      </c>
      <c r="F80" s="423" t="n">
        <f aca="false">IFERROR(AVERAGE(F72:F77),"")</f>
        <v>0.101944326123589</v>
      </c>
      <c r="G80" s="423" t="n">
        <f aca="false">IFERROR(AVERAGE(G72:G77),"")</f>
        <v>0.266845521795165</v>
      </c>
      <c r="H80" s="423" t="n">
        <f aca="false">IFERROR(AVERAGE(H72:H77),"")</f>
        <v>0.188434917516574</v>
      </c>
      <c r="I80" s="423" t="n">
        <f aca="false">IFERROR(AVERAGE(I72:I77),"")</f>
        <v>0.714758108538054</v>
      </c>
    </row>
    <row r="81" customFormat="false" ht="12" hidden="false" customHeight="false" outlineLevel="0" collapsed="false">
      <c r="B81" s="421" t="s">
        <v>310</v>
      </c>
      <c r="C81" s="422"/>
      <c r="D81" s="422"/>
      <c r="E81" s="423" t="n">
        <f aca="false">IFERROR(MEDIAN(E72:E77),"")</f>
        <v>0.135370769114979</v>
      </c>
      <c r="F81" s="423" t="n">
        <f aca="false">IFERROR(MEDIAN(F72:F77),"")</f>
        <v>0.0632317821231624</v>
      </c>
      <c r="G81" s="423" t="n">
        <f aca="false">IFERROR(MEDIAN(G72:G77),"")</f>
        <v>0.154224428185648</v>
      </c>
      <c r="H81" s="423" t="n">
        <f aca="false">IFERROR(MEDIAN(H72:H77),"")</f>
        <v>0.202616825</v>
      </c>
      <c r="I81" s="423" t="n">
        <f aca="false">IFERROR(MEDIAN(I72:I77),"")</f>
        <v>0.75751199458517</v>
      </c>
    </row>
    <row r="83" customFormat="false" ht="16.5" hidden="false" customHeight="true" outlineLevel="0" collapsed="false">
      <c r="B83" s="24" t="s">
        <v>2507</v>
      </c>
      <c r="C83" s="24"/>
      <c r="D83" s="24"/>
      <c r="E83" s="24"/>
      <c r="F83" s="24"/>
      <c r="G83" s="24"/>
      <c r="H83" s="24"/>
      <c r="I83" s="24"/>
    </row>
    <row r="84" customFormat="false" ht="12" hidden="false" customHeight="false" outlineLevel="0" collapsed="false">
      <c r="B84" s="400" t="s">
        <v>2508</v>
      </c>
      <c r="C84" s="403" t="n">
        <f aca="false">E81</f>
        <v>0.135370769114979</v>
      </c>
      <c r="D84" s="403"/>
      <c r="E84" s="424" t="s">
        <v>2509</v>
      </c>
      <c r="F84" s="393"/>
      <c r="G84" s="393"/>
      <c r="H84" s="393"/>
      <c r="I84" s="393"/>
    </row>
    <row r="85" customFormat="false" ht="12" hidden="false" customHeight="false" outlineLevel="0" collapsed="false">
      <c r="B85" s="400" t="s">
        <v>2510</v>
      </c>
      <c r="C85" s="403" t="n">
        <f aca="false">F81</f>
        <v>0.0632317821231624</v>
      </c>
      <c r="D85" s="403"/>
      <c r="E85" s="424" t="s">
        <v>2511</v>
      </c>
      <c r="F85" s="393"/>
      <c r="G85" s="393"/>
      <c r="H85" s="393"/>
      <c r="I85" s="393"/>
    </row>
    <row r="86" customFormat="false" ht="12" hidden="false" customHeight="false" outlineLevel="0" collapsed="false">
      <c r="B86" s="400" t="s">
        <v>2512</v>
      </c>
      <c r="C86" s="403" t="n">
        <f aca="false">G81</f>
        <v>0.154224428185648</v>
      </c>
      <c r="D86" s="403"/>
      <c r="E86" s="424" t="s">
        <v>2513</v>
      </c>
      <c r="F86" s="393"/>
      <c r="G86" s="393"/>
      <c r="H86" s="393"/>
      <c r="I86" s="393"/>
    </row>
  </sheetData>
  <mergeCells count="48">
    <mergeCell ref="B2:F2"/>
    <mergeCell ref="B6:F6"/>
    <mergeCell ref="E7:F7"/>
    <mergeCell ref="E8:F8"/>
    <mergeCell ref="E9:F9"/>
    <mergeCell ref="E10:F10"/>
    <mergeCell ref="E11:F11"/>
    <mergeCell ref="B13:F13"/>
    <mergeCell ref="B14:D14"/>
    <mergeCell ref="E14:F14"/>
    <mergeCell ref="B15:D15"/>
    <mergeCell ref="E15:F15"/>
    <mergeCell ref="B16:D16"/>
    <mergeCell ref="E16:F16"/>
    <mergeCell ref="B17:D17"/>
    <mergeCell ref="E17:F17"/>
    <mergeCell ref="B18:D18"/>
    <mergeCell ref="E18:F18"/>
    <mergeCell ref="B19:D19"/>
    <mergeCell ref="E19:F19"/>
    <mergeCell ref="B20:D20"/>
    <mergeCell ref="E20:F20"/>
    <mergeCell ref="B22:F22"/>
    <mergeCell ref="B31:D31"/>
    <mergeCell ref="B33:F33"/>
    <mergeCell ref="B41:F41"/>
    <mergeCell ref="B47:F47"/>
    <mergeCell ref="B48:C48"/>
    <mergeCell ref="B49:C49"/>
    <mergeCell ref="B50:C50"/>
    <mergeCell ref="B51:C51"/>
    <mergeCell ref="B52:C52"/>
    <mergeCell ref="B53:C53"/>
    <mergeCell ref="B54:C54"/>
    <mergeCell ref="B55:D55"/>
    <mergeCell ref="B57:F57"/>
    <mergeCell ref="B58:C58"/>
    <mergeCell ref="B60:C60"/>
    <mergeCell ref="B61:C61"/>
    <mergeCell ref="B62:C62"/>
    <mergeCell ref="B63:C63"/>
    <mergeCell ref="B66:F66"/>
    <mergeCell ref="B69:I69"/>
    <mergeCell ref="B70:I70"/>
    <mergeCell ref="B83:I83"/>
    <mergeCell ref="C84:D84"/>
    <mergeCell ref="C85:D85"/>
    <mergeCell ref="C86:D86"/>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1:G2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D10" activeCellId="0" sqref="D10"/>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45.57"/>
    <col collapsed="false" customWidth="true" hidden="false" outlineLevel="0" max="3" min="3" style="1" width="22.86"/>
    <col collapsed="false" customWidth="true" hidden="false" outlineLevel="0" max="4" min="4" style="1" width="13.71"/>
    <col collapsed="false" customWidth="true" hidden="false" outlineLevel="0" max="6" min="5" style="1" width="22.86"/>
    <col collapsed="false" customWidth="true" hidden="false" outlineLevel="0" max="7" min="7" style="1" width="38.71"/>
  </cols>
  <sheetData>
    <row r="1" customFormat="false" ht="16.5" hidden="false" customHeight="true" outlineLevel="0" collapsed="false">
      <c r="B1" s="425" t="s">
        <v>2514</v>
      </c>
      <c r="C1" s="425"/>
      <c r="D1" s="425"/>
      <c r="E1" s="425"/>
      <c r="F1" s="425"/>
      <c r="G1" s="425"/>
    </row>
    <row r="2" customFormat="false" ht="39.75" hidden="false" customHeight="true" outlineLevel="0" collapsed="false">
      <c r="B2" s="3" t="s">
        <v>2515</v>
      </c>
      <c r="C2" s="3"/>
      <c r="D2" s="3"/>
      <c r="E2" s="3"/>
      <c r="F2" s="3"/>
      <c r="G2" s="3"/>
    </row>
    <row r="4" customFormat="false" ht="12" hidden="false" customHeight="true" outlineLevel="0" collapsed="false">
      <c r="B4" s="5" t="s">
        <v>2516</v>
      </c>
      <c r="C4" s="12" t="str">
        <f aca="false">Subj_Address</f>
        <v>22600 Interstate 76</v>
      </c>
      <c r="D4" s="413"/>
      <c r="E4" s="413"/>
      <c r="F4" s="413"/>
      <c r="G4" s="413"/>
    </row>
    <row r="5" customFormat="false" ht="12" hidden="false" customHeight="true" outlineLevel="0" collapsed="false">
      <c r="B5" s="5" t="s">
        <v>2517</v>
      </c>
      <c r="C5" s="12" t="str">
        <f aca="false">Subj_Basis</f>
        <v>Per SF</v>
      </c>
      <c r="D5" s="413"/>
      <c r="E5" s="413"/>
      <c r="F5" s="413"/>
      <c r="G5" s="413"/>
    </row>
    <row r="6" customFormat="false" ht="12" hidden="false" customHeight="true" outlineLevel="0" collapsed="false">
      <c r="B6" s="5" t="s">
        <v>58</v>
      </c>
      <c r="C6" s="13" t="n">
        <f aca="false">Subj_TotalBldgSF</f>
        <v>352240</v>
      </c>
      <c r="D6" s="413"/>
      <c r="E6" s="413"/>
      <c r="F6" s="413"/>
      <c r="G6" s="413"/>
    </row>
    <row r="7" customFormat="false" ht="12" hidden="false" customHeight="true" outlineLevel="0" collapsed="false">
      <c r="B7" s="5" t="s">
        <v>60</v>
      </c>
      <c r="C7" s="6" t="n">
        <f aca="false">Subj_TotalUnits</f>
        <v>0</v>
      </c>
      <c r="D7" s="413"/>
      <c r="E7" s="413"/>
      <c r="F7" s="413"/>
      <c r="G7" s="413"/>
    </row>
    <row r="9" customFormat="false" ht="15" hidden="false" customHeight="true" outlineLevel="0" collapsed="false">
      <c r="B9" s="246" t="s">
        <v>2518</v>
      </c>
      <c r="C9" s="407" t="s">
        <v>370</v>
      </c>
      <c r="D9" s="412" t="s">
        <v>2519</v>
      </c>
      <c r="E9" s="407" t="s">
        <v>2520</v>
      </c>
      <c r="F9" s="407" t="s">
        <v>2521</v>
      </c>
      <c r="G9" s="246" t="s">
        <v>2522</v>
      </c>
    </row>
    <row r="10" customFormat="false" ht="12" hidden="false" customHeight="true" outlineLevel="0" collapsed="false">
      <c r="B10" s="269" t="s">
        <v>2523</v>
      </c>
      <c r="C10" s="271" t="n">
        <f aca="false">IF(F10&lt;&gt;"",F10,IFERROR('Cost Approach'!$G$70,0))</f>
        <v>38630000.0</v>
      </c>
      <c r="D10" s="263" t="n">
        <v>0</v>
      </c>
      <c r="E10" s="271" t="n">
        <f aca="false">N(C10)*N(D10)</f>
        <v>0</v>
      </c>
      <c r="F10" s="251"/>
      <c r="G10" s="7" t="s">
        <v>2524</v>
      </c>
    </row>
    <row r="11" customFormat="false" ht="12" hidden="false" customHeight="true" outlineLevel="0" collapsed="false">
      <c r="B11" s="269" t="s">
        <v>2525</v>
      </c>
      <c r="C11" s="271" t="n">
        <f aca="false">IF(F11&lt;&gt;"",F11,IFERROR('Basic Sales Comparison'!$C$52,0))</f>
        <v>35225000</v>
      </c>
      <c r="D11" s="263" t="n">
        <v>1</v>
      </c>
      <c r="E11" s="271" t="n">
        <f aca="false">N(C11)*N(D11)</f>
        <v>35225000</v>
      </c>
      <c r="F11" s="251"/>
      <c r="G11" s="7" t="inlineStr">
        <is>
          <t xml:space="preserve">Basic Sales Comparison!C52</t>
        </is>
      </c>
    </row>
    <row r="12" customFormat="false" ht="12" hidden="false" customHeight="true" outlineLevel="0" collapsed="false">
      <c r="B12" s="269" t="s">
        <v>2527</v>
      </c>
      <c r="C12" s="271" t="n">
        <f aca="false">IF(F12&lt;&gt;"",F12,IFERROR('Income Approach'!$D$64,0))</f>
        <v>37090000</v>
      </c>
      <c r="D12" s="263" t="n">
        <v>0</v>
      </c>
      <c r="E12" s="271" t="n">
        <f aca="false">N(C12)*N(D12)</f>
        <v>0</v>
      </c>
      <c r="F12" s="251"/>
      <c r="G12" s="7" t="s">
        <v>2528</v>
      </c>
    </row>
    <row r="13" customFormat="false" ht="12" hidden="false" customHeight="true" outlineLevel="0" collapsed="false">
      <c r="B13" s="258" t="s">
        <v>229</v>
      </c>
      <c r="C13" s="364"/>
      <c r="D13" s="426" t="n">
        <f aca="false">SUM(D10:D12)</f>
        <v>1</v>
      </c>
      <c r="E13" s="273" t="n">
        <f aca="false">SUM(E10:E12)</f>
        <v>35225000</v>
      </c>
      <c r="F13" s="364"/>
      <c r="G13" s="364"/>
    </row>
    <row r="15" customFormat="false" ht="15" hidden="false" customHeight="true" outlineLevel="0" collapsed="false">
      <c r="B15" s="269" t="s">
        <v>2529</v>
      </c>
      <c r="C15" s="271" t="n">
        <f aca="false">IF(D13=0,0,E13/D13)</f>
        <v>35225000</v>
      </c>
      <c r="D15" s="427"/>
      <c r="E15" s="427"/>
      <c r="F15" s="427"/>
      <c r="G15" s="427"/>
    </row>
    <row r="16" customFormat="false" ht="15" hidden="false" customHeight="true" outlineLevel="0" collapsed="false">
      <c r="B16" s="269" t="s">
        <v>2019</v>
      </c>
      <c r="C16" s="251" t="n">
        <v>5000</v>
      </c>
      <c r="D16" s="428"/>
      <c r="E16" s="428"/>
      <c r="F16" s="428"/>
      <c r="G16" s="428"/>
    </row>
    <row r="17" customFormat="false" ht="15" hidden="false" customHeight="true" outlineLevel="0" collapsed="false">
      <c r="B17" s="272" t="s">
        <v>2530</v>
      </c>
      <c r="C17" s="273" t="n">
        <f aca="false">ROUND(C15/C16,0)*C16</f>
        <v>35225000</v>
      </c>
      <c r="D17" s="364"/>
      <c r="E17" s="364"/>
      <c r="F17" s="364"/>
      <c r="G17" s="364"/>
    </row>
    <row r="18" customFormat="false" ht="15" hidden="false" customHeight="true" outlineLevel="0" collapsed="false">
      <c r="B18" s="272" t="s">
        <v>2531</v>
      </c>
      <c r="C18" s="260" t="n">
        <f aca="false">IFERROR(C17/Subj_TotalBldgSF,"")</f>
        <v>100.002838973427</v>
      </c>
      <c r="D18" s="364"/>
      <c r="E18" s="364"/>
      <c r="F18" s="364"/>
      <c r="G18" s="364"/>
    </row>
    <row r="19" customFormat="false" ht="15" hidden="false" customHeight="true" outlineLevel="0" collapsed="false">
      <c r="B19" s="272" t="s">
        <v>2532</v>
      </c>
      <c r="C19" s="259" t="str">
        <f aca="false">IF(Subj_Basis="Per SF","n/a (SF-based)",IFERROR(C17/Subj_TotalUnits,""))</f>
        <v>n/a (SF-based)</v>
      </c>
      <c r="D19" s="364"/>
      <c r="E19" s="364"/>
      <c r="F19" s="364"/>
      <c r="G19" s="364"/>
    </row>
    <row r="20" customFormat="false" ht="15" hidden="false" customHeight="true" outlineLevel="0" collapsed="false">
      <c r="B20" s="269" t="s">
        <v>2533</v>
      </c>
      <c r="C20" s="256" t="s">
        <v>2525</v>
      </c>
      <c r="D20" s="428"/>
      <c r="E20" s="428"/>
      <c r="F20" s="428"/>
      <c r="G20" s="429" t="s">
        <v>2534</v>
      </c>
    </row>
  </sheetData>
  <mergeCells count="2">
    <mergeCell ref="B1:G1"/>
    <mergeCell ref="B2:G2"/>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E7490"/>
    <pageSetUpPr fitToPage="true"/>
  </sheetPr>
  <dimension ref="A1:AK941"/>
  <sheetViews>
    <sheetView showFormulas="false" showGridLines="true" showRowColHeaders="true" showZeros="true" rightToLeft="false" tabSelected="false" showOutlineSymbols="true" defaultGridColor="true" view="normal" topLeftCell="A1" colorId="64" zoomScale="125" zoomScaleNormal="125" zoomScalePageLayoutView="100" workbookViewId="0">
      <pane xSplit="0" ySplit="1" topLeftCell="A2" activePane="bottomLeft" state="frozen"/>
      <selection pane="topLeft" activeCell="A1" activeCellId="0" sqref="A1"/>
      <selection pane="bottomLeft" activeCell="A2" activeCellId="0" sqref="A2"/>
    </sheetView>
  </sheetViews>
  <sheetFormatPr defaultColWidth="10.57421875" defaultRowHeight="12.75" zeroHeight="false" outlineLevelRow="0" outlineLevelCol="0"/>
  <cols>
    <col collapsed="false" customWidth="true" hidden="false" outlineLevel="0" max="2" min="1" style="157" width="6.86"/>
    <col collapsed="false" customWidth="true" hidden="false" outlineLevel="0" max="3" min="3" style="157" width="11.43"/>
    <col collapsed="false" customWidth="true" hidden="false" outlineLevel="0" max="4" min="4" style="157" width="34.14"/>
    <col collapsed="false" customWidth="true" hidden="false" outlineLevel="0" max="5" min="5" style="157" width="8"/>
    <col collapsed="false" customWidth="true" hidden="false" outlineLevel="0" max="6" min="6" style="157" width="19.43"/>
    <col collapsed="false" customWidth="true" hidden="false" outlineLevel="0" max="7" min="7" style="157" width="6.86"/>
    <col collapsed="false" customWidth="true" hidden="false" outlineLevel="0" max="8" min="8" style="430" width="17.86"/>
    <col collapsed="false" customWidth="true" hidden="false" outlineLevel="0" max="9" min="9" style="157" width="24"/>
    <col collapsed="false" customWidth="true" hidden="false" outlineLevel="0" max="10" min="10" style="157" width="12.57"/>
    <col collapsed="false" customWidth="true" hidden="false" outlineLevel="0" max="11" min="11" style="157" width="11.14"/>
    <col collapsed="false" customWidth="true" hidden="false" outlineLevel="0" max="12" min="12" style="157" width="12.86"/>
    <col collapsed="false" customWidth="true" hidden="false" outlineLevel="0" max="13" min="13" style="157" width="8"/>
    <col collapsed="false" customWidth="true" hidden="false" outlineLevel="0" max="14" min="14" style="157" width="9.43"/>
    <col collapsed="false" customWidth="true" hidden="false" outlineLevel="0" max="15" min="15" style="431" width="10.29"/>
    <col collapsed="false" customWidth="true" hidden="false" outlineLevel="0" max="16" min="16" style="157" width="29.57"/>
    <col collapsed="false" customWidth="true" hidden="false" outlineLevel="0" max="17" min="17" style="431" width="6.43"/>
    <col collapsed="false" customWidth="true" hidden="false" outlineLevel="0" max="18" min="18" style="174" width="12.57"/>
    <col collapsed="false" customWidth="true" hidden="false" outlineLevel="0" max="19" min="19" style="157" width="12.86"/>
    <col collapsed="false" customWidth="true" hidden="false" outlineLevel="0" max="20" min="20" style="157" width="13.29"/>
    <col collapsed="false" customWidth="true" hidden="false" outlineLevel="0" max="21" min="21" style="157" width="12.57"/>
    <col collapsed="false" customWidth="true" hidden="false" outlineLevel="0" max="22" min="22" style="157" width="10"/>
    <col collapsed="false" customWidth="true" hidden="false" outlineLevel="0" max="23" min="23" style="157" width="8"/>
    <col collapsed="false" customWidth="true" hidden="false" outlineLevel="0" max="24" min="24" style="157" width="15"/>
    <col collapsed="false" customWidth="true" hidden="false" outlineLevel="0" max="25" min="25" style="157" width="15.14"/>
    <col collapsed="false" customWidth="true" hidden="false" outlineLevel="0" max="26" min="26" style="157" width="13.71"/>
    <col collapsed="false" customWidth="true" hidden="false" outlineLevel="0" max="27" min="27" style="157" width="15.14"/>
    <col collapsed="false" customWidth="true" hidden="false" outlineLevel="0" max="28" min="28" style="157" width="12.14"/>
    <col collapsed="false" customWidth="true" hidden="false" outlineLevel="0" max="30" min="29" style="157" width="17.14"/>
    <col collapsed="false" customWidth="true" hidden="false" outlineLevel="0" max="32" min="31" style="157" width="59.29"/>
    <col collapsed="false" customWidth="true" hidden="false" outlineLevel="0" max="34" min="33" style="157" width="11.57"/>
    <col collapsed="false" customWidth="false" hidden="true" outlineLevel="0" max="35" min="35" style="157" width="10.57"/>
    <col collapsed="false" customWidth="true" hidden="true" outlineLevel="0" max="36" min="36" style="1" width="14.86"/>
    <col collapsed="false" customWidth="false" hidden="true" outlineLevel="0" max="16384" min="37" style="157" width="10.57"/>
  </cols>
  <sheetData>
    <row r="1" customFormat="false" ht="36" hidden="false" customHeight="true" outlineLevel="0" collapsed="false">
      <c r="A1" s="432" t="s">
        <v>2535</v>
      </c>
      <c r="B1" s="432" t="s">
        <v>2536</v>
      </c>
      <c r="C1" s="432" t="s">
        <v>2537</v>
      </c>
      <c r="D1" s="432" t="s">
        <v>2538</v>
      </c>
      <c r="E1" s="432" t="s">
        <v>2539</v>
      </c>
      <c r="F1" s="432" t="s">
        <v>2540</v>
      </c>
      <c r="G1" s="432" t="s">
        <v>2541</v>
      </c>
      <c r="H1" s="433" t="s">
        <v>2542</v>
      </c>
      <c r="I1" s="432" t="s">
        <v>2543</v>
      </c>
      <c r="J1" s="432" t="s">
        <v>2544</v>
      </c>
      <c r="K1" s="432" t="s">
        <v>2545</v>
      </c>
      <c r="L1" s="432" t="s">
        <v>2546</v>
      </c>
      <c r="M1" s="432" t="s">
        <v>302</v>
      </c>
      <c r="N1" s="432" t="s">
        <v>2547</v>
      </c>
      <c r="O1" s="432" t="s">
        <v>2548</v>
      </c>
      <c r="P1" s="432" t="s">
        <v>326</v>
      </c>
      <c r="Q1" s="432" t="s">
        <v>2549</v>
      </c>
      <c r="R1" s="432" t="s">
        <v>2550</v>
      </c>
      <c r="S1" s="432" t="s">
        <v>242</v>
      </c>
      <c r="T1" s="432" t="s">
        <v>2551</v>
      </c>
      <c r="U1" s="432" t="s">
        <v>2552</v>
      </c>
      <c r="V1" s="432" t="s">
        <v>2553</v>
      </c>
      <c r="W1" s="432" t="s">
        <v>2554</v>
      </c>
      <c r="X1" s="432" t="s">
        <v>2555</v>
      </c>
      <c r="Y1" s="432" t="s">
        <v>2556</v>
      </c>
      <c r="Z1" s="432" t="s">
        <v>2557</v>
      </c>
      <c r="AA1" s="432" t="s">
        <v>2556</v>
      </c>
      <c r="AB1" s="432" t="s">
        <v>2558</v>
      </c>
      <c r="AC1" s="432" t="s">
        <v>14</v>
      </c>
      <c r="AD1" s="432" t="s">
        <v>2559</v>
      </c>
      <c r="AE1" s="434" t="s">
        <v>110</v>
      </c>
      <c r="AF1" s="434" t="s">
        <v>113</v>
      </c>
      <c r="AG1" s="432" t="s">
        <v>2560</v>
      </c>
      <c r="AH1" s="432" t="s">
        <v>2560</v>
      </c>
      <c r="AI1" s="435" t="s">
        <v>2561</v>
      </c>
      <c r="AJ1" s="1" t="s">
        <v>2562</v>
      </c>
      <c r="AK1" s="157" t="s">
        <v>2563</v>
      </c>
    </row>
    <row r="2" customFormat="false" ht="15" hidden="false" customHeight="true" outlineLevel="0" collapsed="false">
      <c r="A2" s="436" t="n">
        <v>5</v>
      </c>
      <c r="N2" s="128"/>
      <c r="O2" s="128"/>
      <c r="AB2" s="437"/>
      <c r="AI2" s="157" t="e">
        <f aca="false">IF(AND($E2=Subj_OccCode,Subj_BldgSF&gt;0,ABS($L2-Subj_BldgSF)&lt;=Subj_BldgSF*Subj_SizeTol),ABS($L2-Subj_BldgSF),NA())</f>
        <v>#N/A</v>
      </c>
      <c r="AJ2" s="1" t="e">
        <f aca="false">IF(ISNA(AI2),NA(),AI2+ROW()/10000000)</f>
        <v>#N/A</v>
      </c>
      <c r="AK2" s="157" t="str">
        <f aca="false">IF(AND(ISNUMBER($N2),$N2&gt;0,ISNUMBER($Y2)),$Y2/$N2,"")</f>
        <v/>
      </c>
    </row>
    <row r="3" customFormat="false" ht="15" hidden="false" customHeight="true" outlineLevel="0" collapsed="false">
      <c r="A3" s="436" t="n">
        <v>5</v>
      </c>
      <c r="AB3" s="437"/>
      <c r="AI3" s="157" t="e">
        <f aca="false">IF(AND($E3=Subj_OccCode,Subj_BldgSF&gt;0,ABS($L3-Subj_BldgSF)&lt;=Subj_BldgSF*Subj_SizeTol),ABS($L3-Subj_BldgSF),NA())</f>
        <v>#N/A</v>
      </c>
      <c r="AJ3" s="1" t="e">
        <f aca="false">IF(ISNA(AI3),NA(),AI3+ROW()/10000000)</f>
        <v>#N/A</v>
      </c>
      <c r="AK3" s="157" t="str">
        <f aca="false">IF(AND(ISNUMBER($N3),$N3&gt;0,ISNUMBER($Y3)),$Y3/$N3,"")</f>
        <v/>
      </c>
    </row>
    <row r="4" customFormat="false" ht="15" hidden="false" customHeight="true" outlineLevel="0" collapsed="false">
      <c r="A4" s="436" t="n">
        <v>5</v>
      </c>
      <c r="AB4" s="437"/>
      <c r="AI4" s="157" t="e">
        <f aca="false">IF(AND($E4=Subj_OccCode,Subj_BldgSF&gt;0,ABS($L4-Subj_BldgSF)&lt;=Subj_BldgSF*Subj_SizeTol),ABS($L4-Subj_BldgSF),NA())</f>
        <v>#N/A</v>
      </c>
      <c r="AJ4" s="1" t="e">
        <f aca="false">IF(ISNA(AI4),NA(),AI4+ROW()/10000000)</f>
        <v>#N/A</v>
      </c>
      <c r="AK4" s="157" t="str">
        <f aca="false">IF(AND(ISNUMBER($N4),$N4&gt;0,ISNUMBER($Y4)),$Y4/$N4,"")</f>
        <v/>
      </c>
    </row>
    <row r="5" customFormat="false" ht="15" hidden="false" customHeight="true" outlineLevel="0" collapsed="false">
      <c r="A5" s="436" t="n">
        <v>5</v>
      </c>
      <c r="AB5" s="437"/>
      <c r="AI5" s="157" t="e">
        <f aca="false">IF(AND($E5=Subj_OccCode,Subj_BldgSF&gt;0,ABS($L5-Subj_BldgSF)&lt;=Subj_BldgSF*Subj_SizeTol),ABS($L5-Subj_BldgSF),NA())</f>
        <v>#N/A</v>
      </c>
      <c r="AJ5" s="1" t="e">
        <f aca="false">IF(ISNA(AI5),NA(),AI5+ROW()/10000000)</f>
        <v>#N/A</v>
      </c>
      <c r="AK5" s="157" t="str">
        <f aca="false">IF(AND(ISNUMBER($N5),$N5&gt;0,ISNUMBER($Y5)),$Y5/$N5,"")</f>
        <v/>
      </c>
    </row>
    <row r="6" customFormat="false" ht="15" hidden="false" customHeight="true" outlineLevel="0" collapsed="false">
      <c r="A6" s="438" t="n">
        <v>6</v>
      </c>
      <c r="B6" s="157" t="n">
        <v>427</v>
      </c>
      <c r="C6" s="157" t="s">
        <v>2564</v>
      </c>
      <c r="D6" s="157" t="s">
        <v>2565</v>
      </c>
      <c r="E6" s="157" t="n">
        <v>353</v>
      </c>
      <c r="F6" s="157" t="s">
        <v>2566</v>
      </c>
      <c r="G6" s="157" t="s">
        <v>2567</v>
      </c>
      <c r="H6" s="78" t="n">
        <f aca="false">Y6/J6</f>
        <v>160.965794768612</v>
      </c>
      <c r="I6" s="439" t="n">
        <v>43731</v>
      </c>
      <c r="J6" s="157" t="n">
        <v>34790</v>
      </c>
      <c r="L6" s="157" t="n">
        <v>34790</v>
      </c>
      <c r="M6" s="157" t="n">
        <v>1973</v>
      </c>
      <c r="P6" s="157" t="s">
        <v>2568</v>
      </c>
      <c r="R6" s="174" t="s">
        <v>279</v>
      </c>
      <c r="S6" s="157" t="n">
        <v>156485</v>
      </c>
      <c r="T6" s="440" t="n">
        <f aca="false">S6/J6</f>
        <v>4.49798792756539</v>
      </c>
      <c r="U6" s="157" t="s">
        <v>279</v>
      </c>
      <c r="Y6" s="157" t="n">
        <v>5600000</v>
      </c>
      <c r="AA6" s="157" t="n">
        <v>5600000</v>
      </c>
      <c r="AC6" s="157" t="s">
        <v>2569</v>
      </c>
      <c r="AD6" s="157" t="s">
        <v>2570</v>
      </c>
      <c r="AE6" s="281" t="s">
        <v>2571</v>
      </c>
      <c r="AF6" s="281" t="s">
        <v>2572</v>
      </c>
      <c r="AI6" s="157" t="e">
        <f aca="false">IF(AND($E6=Subj_OccCode,Subj_BldgSF&gt;0,ABS($L6-Subj_BldgSF)&lt;=Subj_BldgSF*Subj_SizeTol),ABS($L6-Subj_BldgSF),NA())</f>
        <v>#N/A</v>
      </c>
      <c r="AJ6" s="1" t="e">
        <f aca="false">IF(ISNA(AI6),NA(),AI6+ROW()/10000000)</f>
        <v>#N/A</v>
      </c>
      <c r="AK6" s="157" t="str">
        <f aca="false">IF(AND(ISNUMBER($N6),$N6&gt;0,ISNUMBER($Y6)),$Y6/$N6,"")</f>
        <v/>
      </c>
    </row>
    <row r="7" customFormat="false" ht="15" hidden="false" customHeight="true" outlineLevel="0" collapsed="false">
      <c r="A7" s="438" t="n">
        <v>6</v>
      </c>
      <c r="B7" s="157" t="n">
        <v>514</v>
      </c>
      <c r="C7" s="157" t="s">
        <v>2573</v>
      </c>
      <c r="D7" s="157" t="s">
        <v>2574</v>
      </c>
      <c r="E7" s="157" t="n">
        <v>353</v>
      </c>
      <c r="F7" s="157" t="s">
        <v>2566</v>
      </c>
      <c r="G7" s="157" t="s">
        <v>353</v>
      </c>
      <c r="H7" s="78" t="n">
        <f aca="false">Y7/J7</f>
        <v>132.993197278912</v>
      </c>
      <c r="I7" s="439" t="n">
        <v>43374</v>
      </c>
      <c r="J7" s="157" t="n">
        <v>14700</v>
      </c>
      <c r="L7" s="157" t="n">
        <v>14700</v>
      </c>
      <c r="M7" s="157" t="n">
        <v>1978</v>
      </c>
      <c r="R7" s="174" t="s">
        <v>279</v>
      </c>
      <c r="S7" s="157" t="n">
        <v>93313</v>
      </c>
      <c r="T7" s="440" t="n">
        <f aca="false">S7/J7</f>
        <v>6.3478231292517</v>
      </c>
      <c r="U7" s="157" t="s">
        <v>279</v>
      </c>
      <c r="Y7" s="157" t="n">
        <v>1955000</v>
      </c>
      <c r="AA7" s="157" t="n">
        <v>1955000</v>
      </c>
      <c r="AC7" s="157" t="s">
        <v>2575</v>
      </c>
      <c r="AD7" s="157" t="s">
        <v>2576</v>
      </c>
      <c r="AE7" s="281" t="s">
        <v>2577</v>
      </c>
      <c r="AF7" s="281" t="s">
        <v>2578</v>
      </c>
      <c r="AI7" s="157" t="e">
        <f aca="false">IF(AND($E7=Subj_OccCode,Subj_BldgSF&gt;0,ABS($L7-Subj_BldgSF)&lt;=Subj_BldgSF*Subj_SizeTol),ABS($L7-Subj_BldgSF),NA())</f>
        <v>#N/A</v>
      </c>
      <c r="AJ7" s="1" t="e">
        <f aca="false">IF(ISNA(AI7),NA(),AI7+ROW()/10000000)</f>
        <v>#N/A</v>
      </c>
      <c r="AK7" s="157" t="str">
        <f aca="false">IF(AND(ISNUMBER($N7),$N7&gt;0,ISNUMBER($Y7)),$Y7/$N7,"")</f>
        <v/>
      </c>
    </row>
    <row r="8" customFormat="false" ht="15" hidden="false" customHeight="true" outlineLevel="0" collapsed="false">
      <c r="A8" s="438" t="n">
        <v>6</v>
      </c>
      <c r="B8" s="157" t="n">
        <v>599</v>
      </c>
      <c r="C8" s="157" t="s">
        <v>2579</v>
      </c>
      <c r="D8" s="157" t="s">
        <v>2580</v>
      </c>
      <c r="E8" s="157" t="n">
        <v>353</v>
      </c>
      <c r="F8" s="157" t="s">
        <v>2581</v>
      </c>
      <c r="G8" s="157" t="s">
        <v>352</v>
      </c>
      <c r="H8" s="78" t="n">
        <f aca="false">Y8/J8</f>
        <v>145.787774653754</v>
      </c>
      <c r="I8" s="439" t="n">
        <v>43354</v>
      </c>
      <c r="J8" s="157" t="n">
        <v>19206</v>
      </c>
      <c r="L8" s="157" t="n">
        <v>19206</v>
      </c>
      <c r="M8" s="157" t="n">
        <v>2005</v>
      </c>
      <c r="R8" s="174" t="s">
        <v>279</v>
      </c>
      <c r="S8" s="157" t="n">
        <v>104650</v>
      </c>
      <c r="T8" s="440" t="n">
        <f aca="false">S8/J8</f>
        <v>5.44881807768406</v>
      </c>
      <c r="U8" s="157" t="s">
        <v>279</v>
      </c>
      <c r="Y8" s="157" t="n">
        <v>2800000</v>
      </c>
      <c r="AA8" s="157" t="n">
        <v>2800000</v>
      </c>
      <c r="AC8" s="157" t="s">
        <v>2582</v>
      </c>
      <c r="AD8" s="157" t="s">
        <v>2583</v>
      </c>
      <c r="AE8" s="281" t="s">
        <v>2584</v>
      </c>
      <c r="AF8" s="281" t="s">
        <v>2585</v>
      </c>
      <c r="AI8" s="157" t="e">
        <f aca="false">IF(AND($E8=Subj_OccCode,Subj_BldgSF&gt;0,ABS($L8-Subj_BldgSF)&lt;=Subj_BldgSF*Subj_SizeTol),ABS($L8-Subj_BldgSF),NA())</f>
        <v>#N/A</v>
      </c>
      <c r="AJ8" s="1" t="e">
        <f aca="false">IF(ISNA(AI8),NA(),AI8+ROW()/10000000)</f>
        <v>#N/A</v>
      </c>
      <c r="AK8" s="157" t="str">
        <f aca="false">IF(AND(ISNUMBER($N8),$N8&gt;0,ISNUMBER($Y8)),$Y8/$N8,"")</f>
        <v/>
      </c>
    </row>
    <row r="9" customFormat="false" ht="15" hidden="false" customHeight="true" outlineLevel="0" collapsed="false">
      <c r="A9" s="441" t="n">
        <v>7</v>
      </c>
      <c r="B9" s="157" t="n">
        <v>1</v>
      </c>
      <c r="C9" s="157" t="s">
        <v>2586</v>
      </c>
      <c r="D9" s="157" t="s">
        <v>2587</v>
      </c>
      <c r="E9" s="157" t="n">
        <v>350</v>
      </c>
      <c r="F9" s="157" t="s">
        <v>2581</v>
      </c>
      <c r="G9" s="157" t="s">
        <v>354</v>
      </c>
      <c r="H9" s="78" t="n">
        <f aca="false">Y9/J9</f>
        <v>188.465887674331</v>
      </c>
      <c r="I9" s="442" t="n">
        <v>45219</v>
      </c>
      <c r="J9" s="157" t="n">
        <v>5306</v>
      </c>
      <c r="K9" s="78"/>
      <c r="L9" s="157" t="n">
        <v>5306</v>
      </c>
      <c r="M9" s="157" t="n">
        <v>1986</v>
      </c>
      <c r="P9" s="157" t="s">
        <v>2588</v>
      </c>
      <c r="R9" s="174" t="s">
        <v>279</v>
      </c>
      <c r="S9" s="157" t="n">
        <v>35348</v>
      </c>
      <c r="T9" s="443" t="n">
        <f aca="false">S9/L9</f>
        <v>6.66189219751225</v>
      </c>
      <c r="U9" s="157" t="s">
        <v>279</v>
      </c>
      <c r="V9" s="443"/>
      <c r="W9" s="443"/>
      <c r="X9" s="443"/>
      <c r="Y9" s="80" t="n">
        <v>1000000</v>
      </c>
      <c r="Z9" s="80"/>
      <c r="AA9" s="80" t="n">
        <v>1000000</v>
      </c>
      <c r="AB9" s="80"/>
      <c r="AC9" s="157" t="s">
        <v>2589</v>
      </c>
      <c r="AD9" s="157" t="s">
        <v>2590</v>
      </c>
      <c r="AE9" s="281" t="s">
        <v>2591</v>
      </c>
      <c r="AF9" s="281" t="s">
        <v>2592</v>
      </c>
      <c r="AI9" s="157" t="e">
        <f aca="false">IF(AND($E9=Subj_OccCode,Subj_BldgSF&gt;0,ABS($L9-Subj_BldgSF)&lt;=Subj_BldgSF*Subj_SizeTol),ABS($L9-Subj_BldgSF),NA())</f>
        <v>#N/A</v>
      </c>
      <c r="AJ9" s="1" t="e">
        <f aca="false">IF(ISNA(AI9),NA(),AI9+ROW()/10000000)</f>
        <v>#N/A</v>
      </c>
      <c r="AK9" s="157" t="str">
        <f aca="false">IF(AND(ISNUMBER($N9),$N9&gt;0,ISNUMBER($Y9)),$Y9/$N9,"")</f>
        <v/>
      </c>
    </row>
    <row r="10" customFormat="false" ht="15" hidden="false" customHeight="true" outlineLevel="0" collapsed="false">
      <c r="A10" s="441" t="n">
        <v>7</v>
      </c>
      <c r="B10" s="157" t="n">
        <v>2</v>
      </c>
      <c r="C10" s="157" t="s">
        <v>2593</v>
      </c>
      <c r="D10" s="157" t="s">
        <v>2594</v>
      </c>
      <c r="E10" s="157" t="n">
        <v>334</v>
      </c>
      <c r="F10" s="157" t="s">
        <v>2595</v>
      </c>
      <c r="G10" s="157" t="s">
        <v>2596</v>
      </c>
      <c r="H10" s="78" t="n">
        <f aca="false">Y10/J10</f>
        <v>210.542241587993</v>
      </c>
      <c r="I10" s="442" t="n">
        <v>44875</v>
      </c>
      <c r="J10" s="157" t="n">
        <v>16524</v>
      </c>
      <c r="K10" s="78"/>
      <c r="L10" s="157" t="n">
        <v>16524</v>
      </c>
      <c r="M10" s="157" t="n">
        <v>1978</v>
      </c>
      <c r="P10" s="157" t="s">
        <v>2597</v>
      </c>
      <c r="R10" s="174" t="s">
        <v>483</v>
      </c>
      <c r="S10" s="157" t="n">
        <v>93218</v>
      </c>
      <c r="T10" s="443" t="n">
        <f aca="false">S10/L10</f>
        <v>5.64137012829823</v>
      </c>
      <c r="U10" s="157" t="s">
        <v>483</v>
      </c>
      <c r="V10" s="443"/>
      <c r="W10" s="443"/>
      <c r="X10" s="443"/>
      <c r="Y10" s="80" t="n">
        <v>3479000</v>
      </c>
      <c r="Z10" s="80"/>
      <c r="AA10" s="80" t="n">
        <v>3479000</v>
      </c>
      <c r="AB10" s="80"/>
      <c r="AC10" s="157" t="s">
        <v>2598</v>
      </c>
      <c r="AD10" s="157" t="s">
        <v>2599</v>
      </c>
      <c r="AE10" s="281" t="s">
        <v>2600</v>
      </c>
      <c r="AF10" s="281" t="s">
        <v>2601</v>
      </c>
      <c r="AI10" s="157" t="e">
        <f aca="false">IF(AND($E10=Subj_OccCode,Subj_BldgSF&gt;0,ABS($L10-Subj_BldgSF)&lt;=Subj_BldgSF*Subj_SizeTol),ABS($L10-Subj_BldgSF),NA())</f>
        <v>#N/A</v>
      </c>
      <c r="AJ10" s="1" t="e">
        <f aca="false">IF(ISNA(AI10),NA(),AI10+ROW()/10000000)</f>
        <v>#N/A</v>
      </c>
      <c r="AK10" s="157" t="str">
        <f aca="false">IF(AND(ISNUMBER($N10),$N10&gt;0,ISNUMBER($Y10)),$Y10/$N10,"")</f>
        <v/>
      </c>
    </row>
    <row r="11" customFormat="false" ht="15" hidden="false" customHeight="true" outlineLevel="0" collapsed="false">
      <c r="A11" s="441" t="n">
        <v>7</v>
      </c>
      <c r="B11" s="157" t="n">
        <v>3</v>
      </c>
      <c r="C11" s="157" t="s">
        <v>2602</v>
      </c>
      <c r="D11" s="157" t="s">
        <v>2603</v>
      </c>
      <c r="E11" s="157" t="n">
        <v>407</v>
      </c>
      <c r="F11" s="157" t="s">
        <v>2595</v>
      </c>
      <c r="G11" s="157" t="s">
        <v>2596</v>
      </c>
      <c r="H11" s="78" t="n">
        <f aca="false">Y11/J11</f>
        <v>177.083333333333</v>
      </c>
      <c r="I11" s="442" t="n">
        <v>45275</v>
      </c>
      <c r="J11" s="157" t="n">
        <v>9600</v>
      </c>
      <c r="K11" s="78"/>
      <c r="L11" s="157" t="n">
        <v>9600</v>
      </c>
      <c r="M11" s="157" t="n">
        <v>1972</v>
      </c>
      <c r="P11" s="157" t="s">
        <v>2597</v>
      </c>
      <c r="R11" s="174" t="s">
        <v>279</v>
      </c>
      <c r="S11" s="157" t="n">
        <v>22687</v>
      </c>
      <c r="T11" s="443" t="n">
        <f aca="false">S11/L11</f>
        <v>2.36322916666667</v>
      </c>
      <c r="U11" s="157" t="s">
        <v>279</v>
      </c>
      <c r="V11" s="443"/>
      <c r="W11" s="443"/>
      <c r="X11" s="443"/>
      <c r="Y11" s="80" t="n">
        <v>1700000</v>
      </c>
      <c r="Z11" s="80"/>
      <c r="AA11" s="80" t="n">
        <v>1700000</v>
      </c>
      <c r="AB11" s="80"/>
      <c r="AC11" s="157" t="s">
        <v>2604</v>
      </c>
      <c r="AD11" s="157" t="s">
        <v>2605</v>
      </c>
      <c r="AE11" s="281" t="s">
        <v>2606</v>
      </c>
      <c r="AF11" s="281" t="s">
        <v>2607</v>
      </c>
      <c r="AI11" s="157" t="e">
        <f aca="false">IF(AND($E11=Subj_OccCode,Subj_BldgSF&gt;0,ABS($L11-Subj_BldgSF)&lt;=Subj_BldgSF*Subj_SizeTol),ABS($L11-Subj_BldgSF),NA())</f>
        <v>#N/A</v>
      </c>
      <c r="AJ11" s="1" t="e">
        <f aca="false">IF(ISNA(AI11),NA(),AI11+ROW()/10000000)</f>
        <v>#N/A</v>
      </c>
      <c r="AK11" s="157" t="str">
        <f aca="false">IF(AND(ISNUMBER($N11),$N11&gt;0,ISNUMBER($Y11)),$Y11/$N11,"")</f>
        <v/>
      </c>
    </row>
    <row r="12" customFormat="false" ht="15" hidden="false" customHeight="true" outlineLevel="0" collapsed="false">
      <c r="A12" s="441" t="n">
        <v>7</v>
      </c>
      <c r="B12" s="157" t="n">
        <v>4</v>
      </c>
      <c r="C12" s="157" t="s">
        <v>2608</v>
      </c>
      <c r="D12" s="157" t="s">
        <v>2609</v>
      </c>
      <c r="E12" s="157" t="n">
        <v>350</v>
      </c>
      <c r="F12" s="157" t="s">
        <v>2581</v>
      </c>
      <c r="G12" s="157" t="s">
        <v>2567</v>
      </c>
      <c r="H12" s="78" t="n">
        <f aca="false">Y12/J12</f>
        <v>204.750204750205</v>
      </c>
      <c r="I12" s="442" t="n">
        <v>45331</v>
      </c>
      <c r="J12" s="157" t="n">
        <v>9768</v>
      </c>
      <c r="K12" s="78"/>
      <c r="L12" s="157" t="n">
        <v>9768</v>
      </c>
      <c r="M12" s="157" t="n">
        <v>1999</v>
      </c>
      <c r="P12" s="157" t="s">
        <v>2588</v>
      </c>
      <c r="R12" s="174" t="s">
        <v>483</v>
      </c>
      <c r="S12" s="157" t="n">
        <v>68877.0703</v>
      </c>
      <c r="T12" s="443" t="n">
        <f aca="false">S12/L12</f>
        <v>7.05129712325962</v>
      </c>
      <c r="U12" s="157" t="s">
        <v>483</v>
      </c>
      <c r="V12" s="443"/>
      <c r="W12" s="443"/>
      <c r="X12" s="443"/>
      <c r="Y12" s="80" t="n">
        <v>2000000</v>
      </c>
      <c r="Z12" s="80"/>
      <c r="AA12" s="80" t="n">
        <v>2000000</v>
      </c>
      <c r="AB12" s="80"/>
      <c r="AC12" s="157" t="s">
        <v>2610</v>
      </c>
      <c r="AD12" s="157" t="s">
        <v>2611</v>
      </c>
      <c r="AE12" s="281" t="s">
        <v>2612</v>
      </c>
      <c r="AF12" s="281" t="s">
        <v>2613</v>
      </c>
      <c r="AI12" s="157" t="e">
        <f aca="false">IF(AND($E12=Subj_OccCode,Subj_BldgSF&gt;0,ABS($L12-Subj_BldgSF)&lt;=Subj_BldgSF*Subj_SizeTol),ABS($L12-Subj_BldgSF),NA())</f>
        <v>#N/A</v>
      </c>
      <c r="AJ12" s="1" t="e">
        <f aca="false">IF(ISNA(AI12),NA(),AI12+ROW()/10000000)</f>
        <v>#N/A</v>
      </c>
      <c r="AK12" s="157" t="str">
        <f aca="false">IF(AND(ISNUMBER($N12),$N12&gt;0,ISNUMBER($Y12)),$Y12/$N12,"")</f>
        <v/>
      </c>
    </row>
    <row r="13" customFormat="false" ht="15" hidden="false" customHeight="true" outlineLevel="0" collapsed="false">
      <c r="A13" s="441" t="n">
        <v>7</v>
      </c>
      <c r="B13" s="157" t="n">
        <v>5</v>
      </c>
      <c r="C13" s="157" t="s">
        <v>2614</v>
      </c>
      <c r="D13" s="157" t="s">
        <v>2615</v>
      </c>
      <c r="E13" s="157" t="n">
        <v>353</v>
      </c>
      <c r="F13" s="157" t="s">
        <v>2581</v>
      </c>
      <c r="G13" s="157" t="s">
        <v>354</v>
      </c>
      <c r="H13" s="78" t="n">
        <f aca="false">Y13/J13</f>
        <v>253.72660957818</v>
      </c>
      <c r="I13" s="442" t="n">
        <v>45258</v>
      </c>
      <c r="J13" s="157" t="n">
        <v>6306</v>
      </c>
      <c r="K13" s="78"/>
      <c r="L13" s="157" t="n">
        <v>6306</v>
      </c>
      <c r="M13" s="157" t="n">
        <v>2006</v>
      </c>
      <c r="P13" s="157" t="s">
        <v>2588</v>
      </c>
      <c r="R13" s="174" t="s">
        <v>483</v>
      </c>
      <c r="S13" s="157" t="n">
        <v>40087</v>
      </c>
      <c r="T13" s="443" t="n">
        <f aca="false">S13/L13</f>
        <v>6.3569616238503</v>
      </c>
      <c r="U13" s="157" t="s">
        <v>483</v>
      </c>
      <c r="V13" s="443"/>
      <c r="W13" s="443"/>
      <c r="X13" s="443"/>
      <c r="Y13" s="80" t="n">
        <v>1600000</v>
      </c>
      <c r="Z13" s="80"/>
      <c r="AA13" s="80" t="n">
        <v>1500000</v>
      </c>
      <c r="AB13" s="80"/>
      <c r="AC13" s="157" t="s">
        <v>2616</v>
      </c>
      <c r="AD13" s="157" t="s">
        <v>2617</v>
      </c>
      <c r="AE13" s="281" t="s">
        <v>2618</v>
      </c>
      <c r="AF13" s="281" t="s">
        <v>2619</v>
      </c>
      <c r="AI13" s="157" t="e">
        <f aca="false">IF(AND($E13=Subj_OccCode,Subj_BldgSF&gt;0,ABS($L13-Subj_BldgSF)&lt;=Subj_BldgSF*Subj_SizeTol),ABS($L13-Subj_BldgSF),NA())</f>
        <v>#N/A</v>
      </c>
      <c r="AJ13" s="1" t="e">
        <f aca="false">IF(ISNA(AI13),NA(),AI13+ROW()/10000000)</f>
        <v>#N/A</v>
      </c>
      <c r="AK13" s="157" t="str">
        <f aca="false">IF(AND(ISNUMBER($N13),$N13&gt;0,ISNUMBER($Y13)),$Y13/$N13,"")</f>
        <v/>
      </c>
    </row>
    <row r="14" customFormat="false" ht="15" hidden="false" customHeight="true" outlineLevel="0" collapsed="false">
      <c r="A14" s="441" t="n">
        <v>7</v>
      </c>
      <c r="B14" s="157" t="n">
        <v>6</v>
      </c>
      <c r="C14" s="157" t="s">
        <v>2620</v>
      </c>
      <c r="D14" s="157" t="s">
        <v>2621</v>
      </c>
      <c r="E14" s="157" t="n">
        <v>1344</v>
      </c>
      <c r="F14" s="157" t="s">
        <v>2581</v>
      </c>
      <c r="G14" s="157" t="s">
        <v>354</v>
      </c>
      <c r="H14" s="78" t="n">
        <f aca="false">Y14/J14</f>
        <v>22.8264177741706</v>
      </c>
      <c r="I14" s="442" t="n">
        <v>44970</v>
      </c>
      <c r="J14" s="157" t="n">
        <v>19714</v>
      </c>
      <c r="K14" s="78"/>
      <c r="L14" s="157" t="n">
        <v>19714</v>
      </c>
      <c r="M14" s="157" t="n">
        <v>2006</v>
      </c>
      <c r="P14" s="157" t="s">
        <v>2588</v>
      </c>
      <c r="R14" s="174" t="s">
        <v>279</v>
      </c>
      <c r="S14" s="157" t="n">
        <v>5486</v>
      </c>
      <c r="T14" s="443" t="n">
        <f aca="false">S14/L14</f>
        <v>0.278279395353556</v>
      </c>
      <c r="U14" s="157" t="s">
        <v>279</v>
      </c>
      <c r="V14" s="443"/>
      <c r="W14" s="443"/>
      <c r="X14" s="443"/>
      <c r="Y14" s="80" t="n">
        <v>450000</v>
      </c>
      <c r="Z14" s="80"/>
      <c r="AA14" s="80" t="n">
        <v>450000</v>
      </c>
      <c r="AB14" s="80"/>
      <c r="AC14" s="157" t="s">
        <v>2622</v>
      </c>
      <c r="AD14" s="157" t="s">
        <v>2623</v>
      </c>
      <c r="AE14" s="281" t="s">
        <v>2624</v>
      </c>
      <c r="AF14" s="281" t="s">
        <v>2625</v>
      </c>
      <c r="AI14" s="157" t="e">
        <f aca="false">IF(AND($E14=Subj_OccCode,Subj_BldgSF&gt;0,ABS($L14-Subj_BldgSF)&lt;=Subj_BldgSF*Subj_SizeTol),ABS($L14-Subj_BldgSF),NA())</f>
        <v>#N/A</v>
      </c>
      <c r="AJ14" s="1" t="e">
        <f aca="false">IF(ISNA(AI14),NA(),AI14+ROW()/10000000)</f>
        <v>#N/A</v>
      </c>
      <c r="AK14" s="157" t="str">
        <f aca="false">IF(AND(ISNUMBER($N14),$N14&gt;0,ISNUMBER($Y14)),$Y14/$N14,"")</f>
        <v/>
      </c>
    </row>
    <row r="15" customFormat="false" ht="15" hidden="false" customHeight="true" outlineLevel="0" collapsed="false">
      <c r="A15" s="441" t="n">
        <v>7</v>
      </c>
      <c r="B15" s="157" t="n">
        <v>7</v>
      </c>
      <c r="C15" s="157" t="s">
        <v>2626</v>
      </c>
      <c r="D15" s="157" t="s">
        <v>2627</v>
      </c>
      <c r="E15" s="157" t="n">
        <v>353</v>
      </c>
      <c r="F15" s="157" t="s">
        <v>2581</v>
      </c>
      <c r="G15" s="157" t="s">
        <v>354</v>
      </c>
      <c r="H15" s="78" t="n">
        <f aca="false">Y15/J15</f>
        <v>403.958468526931</v>
      </c>
      <c r="I15" s="442" t="n">
        <v>44748</v>
      </c>
      <c r="J15" s="157" t="n">
        <v>6164</v>
      </c>
      <c r="K15" s="78"/>
      <c r="L15" s="157" t="n">
        <v>6164</v>
      </c>
      <c r="M15" s="157" t="n">
        <v>2017</v>
      </c>
      <c r="P15" s="157" t="s">
        <v>2588</v>
      </c>
      <c r="R15" s="174" t="s">
        <v>279</v>
      </c>
      <c r="S15" s="157" t="n">
        <v>34853</v>
      </c>
      <c r="T15" s="443" t="n">
        <f aca="false">S15/L15</f>
        <v>5.65428293316029</v>
      </c>
      <c r="U15" s="157" t="s">
        <v>279</v>
      </c>
      <c r="V15" s="443"/>
      <c r="W15" s="443"/>
      <c r="X15" s="443"/>
      <c r="Y15" s="80" t="n">
        <v>2490000</v>
      </c>
      <c r="Z15" s="80"/>
      <c r="AA15" s="80" t="n">
        <v>2490000</v>
      </c>
      <c r="AB15" s="80"/>
      <c r="AC15" s="157" t="s">
        <v>2628</v>
      </c>
      <c r="AD15" s="157" t="s">
        <v>2629</v>
      </c>
      <c r="AE15" s="281" t="s">
        <v>2630</v>
      </c>
      <c r="AF15" s="281" t="s">
        <v>2631</v>
      </c>
      <c r="AI15" s="157" t="e">
        <f aca="false">IF(AND($E15=Subj_OccCode,Subj_BldgSF&gt;0,ABS($L15-Subj_BldgSF)&lt;=Subj_BldgSF*Subj_SizeTol),ABS($L15-Subj_BldgSF),NA())</f>
        <v>#N/A</v>
      </c>
      <c r="AJ15" s="1" t="e">
        <f aca="false">IF(ISNA(AI15),NA(),AI15+ROW()/10000000)</f>
        <v>#N/A</v>
      </c>
      <c r="AK15" s="157" t="str">
        <f aca="false">IF(AND(ISNUMBER($N15),$N15&gt;0,ISNUMBER($Y15)),$Y15/$N15,"")</f>
        <v/>
      </c>
    </row>
    <row r="16" customFormat="false" ht="15" hidden="false" customHeight="true" outlineLevel="0" collapsed="false">
      <c r="A16" s="441" t="n">
        <v>7</v>
      </c>
      <c r="B16" s="157" t="n">
        <v>8</v>
      </c>
      <c r="C16" s="157" t="s">
        <v>2632</v>
      </c>
      <c r="D16" s="157" t="s">
        <v>2633</v>
      </c>
      <c r="E16" s="157" t="n">
        <v>1332</v>
      </c>
      <c r="F16" s="157" t="s">
        <v>2581</v>
      </c>
      <c r="G16" s="157" t="s">
        <v>354</v>
      </c>
      <c r="H16" s="78" t="n">
        <f aca="false">Y16/J16</f>
        <v>67112.0689655173</v>
      </c>
      <c r="I16" s="442" t="n">
        <v>45398</v>
      </c>
      <c r="J16" s="157" t="n">
        <v>116</v>
      </c>
      <c r="K16" s="78"/>
      <c r="L16" s="157" t="n">
        <v>116</v>
      </c>
      <c r="M16" s="157" t="n">
        <v>1985</v>
      </c>
      <c r="P16" s="157" t="s">
        <v>2588</v>
      </c>
      <c r="R16" s="174" t="s">
        <v>483</v>
      </c>
      <c r="S16" s="157" t="n">
        <v>92400</v>
      </c>
      <c r="T16" s="443" t="n">
        <f aca="false">S16/L16</f>
        <v>796.551724137931</v>
      </c>
      <c r="U16" s="157" t="s">
        <v>483</v>
      </c>
      <c r="V16" s="443"/>
      <c r="W16" s="443"/>
      <c r="X16" s="443"/>
      <c r="Y16" s="80" t="n">
        <v>7785000</v>
      </c>
      <c r="Z16" s="80"/>
      <c r="AA16" s="80" t="n">
        <v>7785000</v>
      </c>
      <c r="AB16" s="80"/>
      <c r="AC16" s="157" t="s">
        <v>2634</v>
      </c>
      <c r="AD16" s="157" t="s">
        <v>2635</v>
      </c>
      <c r="AE16" s="281" t="s">
        <v>2636</v>
      </c>
      <c r="AF16" s="281" t="s">
        <v>2637</v>
      </c>
      <c r="AI16" s="157" t="e">
        <f aca="false">IF(AND($E16=Subj_OccCode,Subj_BldgSF&gt;0,ABS($L16-Subj_BldgSF)&lt;=Subj_BldgSF*Subj_SizeTol),ABS($L16-Subj_BldgSF),NA())</f>
        <v>#N/A</v>
      </c>
      <c r="AJ16" s="1" t="e">
        <f aca="false">IF(ISNA(AI16),NA(),AI16+ROW()/10000000)</f>
        <v>#N/A</v>
      </c>
      <c r="AK16" s="157" t="str">
        <f aca="false">IF(AND(ISNUMBER($N16),$N16&gt;0,ISNUMBER($Y16)),$Y16/$N16,"")</f>
        <v/>
      </c>
    </row>
    <row r="17" customFormat="false" ht="15" hidden="false" customHeight="true" outlineLevel="0" collapsed="false">
      <c r="A17" s="441" t="n">
        <v>7</v>
      </c>
      <c r="B17" s="157" t="n">
        <v>9</v>
      </c>
      <c r="C17" s="157" t="s">
        <v>2638</v>
      </c>
      <c r="D17" s="157" t="s">
        <v>2639</v>
      </c>
      <c r="E17" s="157" t="n">
        <v>344</v>
      </c>
      <c r="F17" s="157" t="s">
        <v>2581</v>
      </c>
      <c r="G17" s="157" t="s">
        <v>2567</v>
      </c>
      <c r="H17" s="78" t="n">
        <f aca="false">Y17/J17</f>
        <v>354.166666666667</v>
      </c>
      <c r="I17" s="442" t="n">
        <v>45358</v>
      </c>
      <c r="J17" s="157" t="n">
        <v>2400</v>
      </c>
      <c r="K17" s="78"/>
      <c r="L17" s="157" t="n">
        <v>2400</v>
      </c>
      <c r="M17" s="157" t="n">
        <v>1980</v>
      </c>
      <c r="P17" s="157" t="s">
        <v>2588</v>
      </c>
      <c r="R17" s="174" t="s">
        <v>279</v>
      </c>
      <c r="S17" s="157" t="n">
        <v>12501.72</v>
      </c>
      <c r="T17" s="443" t="n">
        <f aca="false">S17/L17</f>
        <v>5.20905</v>
      </c>
      <c r="U17" s="157" t="s">
        <v>279</v>
      </c>
      <c r="V17" s="443"/>
      <c r="W17" s="443"/>
      <c r="X17" s="443"/>
      <c r="Y17" s="80" t="n">
        <v>850000</v>
      </c>
      <c r="Z17" s="80"/>
      <c r="AA17" s="80" t="n">
        <v>850000</v>
      </c>
      <c r="AB17" s="80"/>
      <c r="AC17" s="157" t="s">
        <v>2640</v>
      </c>
      <c r="AD17" s="157" t="s">
        <v>2641</v>
      </c>
      <c r="AE17" s="281" t="s">
        <v>2642</v>
      </c>
      <c r="AF17" s="281" t="s">
        <v>2643</v>
      </c>
      <c r="AI17" s="157" t="e">
        <f aca="false">IF(AND($E17=Subj_OccCode,Subj_BldgSF&gt;0,ABS($L17-Subj_BldgSF)&lt;=Subj_BldgSF*Subj_SizeTol),ABS($L17-Subj_BldgSF),NA())</f>
        <v>#N/A</v>
      </c>
      <c r="AJ17" s="1" t="e">
        <f aca="false">IF(ISNA(AI17),NA(),AI17+ROW()/10000000)</f>
        <v>#N/A</v>
      </c>
      <c r="AK17" s="157" t="str">
        <f aca="false">IF(AND(ISNUMBER($N17),$N17&gt;0,ISNUMBER($Y17)),$Y17/$N17,"")</f>
        <v/>
      </c>
    </row>
    <row r="18" customFormat="false" ht="15" hidden="false" customHeight="true" outlineLevel="0" collapsed="false">
      <c r="A18" s="441" t="n">
        <v>7</v>
      </c>
      <c r="B18" s="157" t="n">
        <v>10</v>
      </c>
      <c r="C18" s="157" t="s">
        <v>2644</v>
      </c>
      <c r="D18" s="157" t="s">
        <v>2645</v>
      </c>
      <c r="E18" s="157" t="n">
        <v>344</v>
      </c>
      <c r="F18" s="157" t="s">
        <v>2581</v>
      </c>
      <c r="G18" s="157" t="s">
        <v>2567</v>
      </c>
      <c r="H18" s="78" t="n">
        <f aca="false">Y18/J18</f>
        <v>194.501718213058</v>
      </c>
      <c r="I18" s="442" t="n">
        <v>45169</v>
      </c>
      <c r="J18" s="157" t="n">
        <v>4365</v>
      </c>
      <c r="K18" s="78"/>
      <c r="L18" s="157" t="n">
        <v>4365</v>
      </c>
      <c r="M18" s="157" t="n">
        <v>2000</v>
      </c>
      <c r="P18" s="157" t="s">
        <v>2588</v>
      </c>
      <c r="R18" s="174" t="s">
        <v>279</v>
      </c>
      <c r="S18" s="157" t="n">
        <v>14136</v>
      </c>
      <c r="T18" s="443" t="n">
        <f aca="false">S18/L18</f>
        <v>3.23848797250859</v>
      </c>
      <c r="U18" s="157" t="s">
        <v>279</v>
      </c>
      <c r="V18" s="443"/>
      <c r="W18" s="443"/>
      <c r="X18" s="443"/>
      <c r="Y18" s="80" t="n">
        <v>849000</v>
      </c>
      <c r="Z18" s="80"/>
      <c r="AA18" s="80" t="n">
        <v>849000</v>
      </c>
      <c r="AB18" s="80"/>
      <c r="AC18" s="157" t="s">
        <v>2646</v>
      </c>
      <c r="AD18" s="157" t="s">
        <v>2647</v>
      </c>
      <c r="AE18" s="281" t="s">
        <v>2648</v>
      </c>
      <c r="AF18" s="281" t="s">
        <v>2649</v>
      </c>
      <c r="AI18" s="157" t="e">
        <f aca="false">IF(AND($E18=Subj_OccCode,Subj_BldgSF&gt;0,ABS($L18-Subj_BldgSF)&lt;=Subj_BldgSF*Subj_SizeTol),ABS($L18-Subj_BldgSF),NA())</f>
        <v>#N/A</v>
      </c>
      <c r="AJ18" s="1" t="e">
        <f aca="false">IF(ISNA(AI18),NA(),AI18+ROW()/10000000)</f>
        <v>#N/A</v>
      </c>
      <c r="AK18" s="157" t="str">
        <f aca="false">IF(AND(ISNUMBER($N18),$N18&gt;0,ISNUMBER($Y18)),$Y18/$N18,"")</f>
        <v/>
      </c>
    </row>
    <row r="19" customFormat="false" ht="15" hidden="false" customHeight="true" outlineLevel="0" collapsed="false">
      <c r="A19" s="441" t="n">
        <v>7</v>
      </c>
      <c r="B19" s="157" t="n">
        <v>11</v>
      </c>
      <c r="C19" s="157" t="s">
        <v>2650</v>
      </c>
      <c r="D19" s="157" t="s">
        <v>2651</v>
      </c>
      <c r="E19" s="157" t="n">
        <v>407</v>
      </c>
      <c r="F19" s="157" t="s">
        <v>2595</v>
      </c>
      <c r="G19" s="157" t="s">
        <v>2596</v>
      </c>
      <c r="H19" s="78" t="n">
        <f aca="false">Y19/J19</f>
        <v>186.755501716132</v>
      </c>
      <c r="I19" s="442" t="n">
        <v>45068</v>
      </c>
      <c r="J19" s="157" t="n">
        <v>9906</v>
      </c>
      <c r="K19" s="78"/>
      <c r="L19" s="157" t="n">
        <v>9906</v>
      </c>
      <c r="M19" s="157" t="n">
        <v>1974</v>
      </c>
      <c r="P19" s="157" t="s">
        <v>2597</v>
      </c>
      <c r="R19" s="174" t="s">
        <v>279</v>
      </c>
      <c r="S19" s="157" t="n">
        <v>30056</v>
      </c>
      <c r="T19" s="443" t="n">
        <f aca="false">S19/L19</f>
        <v>3.03412073490814</v>
      </c>
      <c r="U19" s="157" t="s">
        <v>279</v>
      </c>
      <c r="V19" s="443"/>
      <c r="W19" s="443"/>
      <c r="X19" s="443"/>
      <c r="Y19" s="80" t="n">
        <v>1850000</v>
      </c>
      <c r="Z19" s="80"/>
      <c r="AA19" s="80" t="n">
        <v>1850000</v>
      </c>
      <c r="AB19" s="80"/>
      <c r="AC19" s="157" t="s">
        <v>2652</v>
      </c>
      <c r="AD19" s="157" t="s">
        <v>2653</v>
      </c>
      <c r="AE19" s="281" t="s">
        <v>2654</v>
      </c>
      <c r="AF19" s="281" t="s">
        <v>2655</v>
      </c>
      <c r="AI19" s="157" t="e">
        <f aca="false">IF(AND($E19=Subj_OccCode,Subj_BldgSF&gt;0,ABS($L19-Subj_BldgSF)&lt;=Subj_BldgSF*Subj_SizeTol),ABS($L19-Subj_BldgSF),NA())</f>
        <v>#N/A</v>
      </c>
      <c r="AJ19" s="1" t="e">
        <f aca="false">IF(ISNA(AI19),NA(),AI19+ROW()/10000000)</f>
        <v>#N/A</v>
      </c>
      <c r="AK19" s="157" t="str">
        <f aca="false">IF(AND(ISNUMBER($N19),$N19&gt;0,ISNUMBER($Y19)),$Y19/$N19,"")</f>
        <v/>
      </c>
    </row>
    <row r="20" customFormat="false" ht="15" hidden="false" customHeight="true" outlineLevel="0" collapsed="false">
      <c r="A20" s="441" t="n">
        <v>7</v>
      </c>
      <c r="B20" s="157" t="n">
        <v>12</v>
      </c>
      <c r="C20" s="157" t="s">
        <v>2656</v>
      </c>
      <c r="D20" s="157" t="s">
        <v>2657</v>
      </c>
      <c r="E20" s="157" t="n">
        <v>1344</v>
      </c>
      <c r="F20" s="157" t="s">
        <v>2566</v>
      </c>
      <c r="G20" s="157" t="s">
        <v>2567</v>
      </c>
      <c r="H20" s="78" t="n">
        <f aca="false">Y20/J20</f>
        <v>13.1887456037515</v>
      </c>
      <c r="I20" s="442" t="n">
        <v>45209</v>
      </c>
      <c r="J20" s="157" t="n">
        <v>20472</v>
      </c>
      <c r="K20" s="78"/>
      <c r="L20" s="157" t="n">
        <v>20472</v>
      </c>
      <c r="M20" s="157" t="n">
        <v>2000</v>
      </c>
      <c r="P20" s="157" t="s">
        <v>2658</v>
      </c>
      <c r="R20" s="174" t="s">
        <v>279</v>
      </c>
      <c r="S20" s="157" t="n">
        <v>3100</v>
      </c>
      <c r="T20" s="443" t="n">
        <f aca="false">S20/L20</f>
        <v>0.151426338413443</v>
      </c>
      <c r="U20" s="157" t="s">
        <v>279</v>
      </c>
      <c r="V20" s="443"/>
      <c r="W20" s="443"/>
      <c r="X20" s="443"/>
      <c r="Y20" s="80" t="n">
        <v>270000</v>
      </c>
      <c r="Z20" s="80"/>
      <c r="AA20" s="80" t="n">
        <v>270000</v>
      </c>
      <c r="AB20" s="80"/>
      <c r="AC20" s="157" t="s">
        <v>2659</v>
      </c>
      <c r="AD20" s="157" t="s">
        <v>2660</v>
      </c>
      <c r="AE20" s="281" t="s">
        <v>2661</v>
      </c>
      <c r="AF20" s="281" t="s">
        <v>2662</v>
      </c>
      <c r="AI20" s="157" t="e">
        <f aca="false">IF(AND($E20=Subj_OccCode,Subj_BldgSF&gt;0,ABS($L20-Subj_BldgSF)&lt;=Subj_BldgSF*Subj_SizeTol),ABS($L20-Subj_BldgSF),NA())</f>
        <v>#N/A</v>
      </c>
      <c r="AJ20" s="1" t="e">
        <f aca="false">IF(ISNA(AI20),NA(),AI20+ROW()/10000000)</f>
        <v>#N/A</v>
      </c>
      <c r="AK20" s="157" t="str">
        <f aca="false">IF(AND(ISNUMBER($N20),$N20&gt;0,ISNUMBER($Y20)),$Y20/$N20,"")</f>
        <v/>
      </c>
    </row>
    <row r="21" customFormat="false" ht="15" hidden="false" customHeight="true" outlineLevel="0" collapsed="false">
      <c r="A21" s="441" t="n">
        <v>7</v>
      </c>
      <c r="B21" s="157" t="n">
        <v>13</v>
      </c>
      <c r="C21" s="157" t="s">
        <v>2663</v>
      </c>
      <c r="D21" s="157" t="s">
        <v>2664</v>
      </c>
      <c r="E21" s="157" t="n">
        <v>1353</v>
      </c>
      <c r="F21" s="157" t="s">
        <v>2581</v>
      </c>
      <c r="G21" s="157" t="s">
        <v>354</v>
      </c>
      <c r="H21" s="78" t="n">
        <f aca="false">Y21/J21</f>
        <v>203.993055555556</v>
      </c>
      <c r="I21" s="442" t="n">
        <v>44879</v>
      </c>
      <c r="J21" s="157" t="n">
        <v>11520</v>
      </c>
      <c r="K21" s="78"/>
      <c r="L21" s="157" t="n">
        <v>11520</v>
      </c>
      <c r="M21" s="157" t="n">
        <v>2007</v>
      </c>
      <c r="P21" s="157" t="s">
        <v>2588</v>
      </c>
      <c r="R21" s="174" t="s">
        <v>279</v>
      </c>
      <c r="S21" s="157" t="n">
        <v>3906.5</v>
      </c>
      <c r="T21" s="443" t="n">
        <f aca="false">S21/L21</f>
        <v>0.339105902777778</v>
      </c>
      <c r="U21" s="157" t="s">
        <v>279</v>
      </c>
      <c r="V21" s="443"/>
      <c r="W21" s="443"/>
      <c r="X21" s="443"/>
      <c r="Y21" s="80" t="n">
        <v>2350000</v>
      </c>
      <c r="Z21" s="80"/>
      <c r="AA21" s="80" t="n">
        <v>2350000</v>
      </c>
      <c r="AB21" s="80"/>
      <c r="AC21" s="157" t="s">
        <v>2665</v>
      </c>
      <c r="AD21" s="157" t="s">
        <v>2666</v>
      </c>
      <c r="AE21" s="281" t="s">
        <v>2667</v>
      </c>
      <c r="AF21" s="281" t="s">
        <v>2668</v>
      </c>
      <c r="AI21" s="157" t="e">
        <f aca="false">IF(AND($E21=Subj_OccCode,Subj_BldgSF&gt;0,ABS($L21-Subj_BldgSF)&lt;=Subj_BldgSF*Subj_SizeTol),ABS($L21-Subj_BldgSF),NA())</f>
        <v>#N/A</v>
      </c>
      <c r="AJ21" s="1" t="e">
        <f aca="false">IF(ISNA(AI21),NA(),AI21+ROW()/10000000)</f>
        <v>#N/A</v>
      </c>
      <c r="AK21" s="157" t="str">
        <f aca="false">IF(AND(ISNUMBER($N21),$N21&gt;0,ISNUMBER($Y21)),$Y21/$N21,"")</f>
        <v/>
      </c>
    </row>
    <row r="22" customFormat="false" ht="15" hidden="false" customHeight="true" outlineLevel="0" collapsed="false">
      <c r="A22" s="441" t="n">
        <v>7</v>
      </c>
      <c r="B22" s="157" t="n">
        <v>14</v>
      </c>
      <c r="C22" s="157" t="s">
        <v>2669</v>
      </c>
      <c r="D22" s="157" t="s">
        <v>2670</v>
      </c>
      <c r="E22" s="157" t="n">
        <v>344</v>
      </c>
      <c r="F22" s="157" t="s">
        <v>2581</v>
      </c>
      <c r="G22" s="157" t="s">
        <v>354</v>
      </c>
      <c r="H22" s="78" t="n">
        <f aca="false">Y22/J22</f>
        <v>16.8698511535165</v>
      </c>
      <c r="I22" s="442" t="n">
        <v>45301</v>
      </c>
      <c r="J22" s="157" t="n">
        <v>57173</v>
      </c>
      <c r="K22" s="78"/>
      <c r="L22" s="157" t="n">
        <v>57173</v>
      </c>
      <c r="M22" s="157" t="n">
        <v>2007</v>
      </c>
      <c r="P22" s="157" t="s">
        <v>2588</v>
      </c>
      <c r="R22" s="174" t="s">
        <v>279</v>
      </c>
      <c r="S22" s="157" t="n">
        <v>10083</v>
      </c>
      <c r="T22" s="443" t="n">
        <f aca="false">S22/L22</f>
        <v>0.176359470379375</v>
      </c>
      <c r="U22" s="157" t="s">
        <v>279</v>
      </c>
      <c r="V22" s="443"/>
      <c r="W22" s="443"/>
      <c r="X22" s="443"/>
      <c r="Y22" s="80" t="n">
        <v>964500</v>
      </c>
      <c r="Z22" s="80"/>
      <c r="AA22" s="80" t="n">
        <v>964500</v>
      </c>
      <c r="AB22" s="80"/>
      <c r="AC22" s="157" t="s">
        <v>2671</v>
      </c>
      <c r="AD22" s="157" t="s">
        <v>2672</v>
      </c>
      <c r="AE22" s="281" t="s">
        <v>2673</v>
      </c>
      <c r="AF22" s="281" t="s">
        <v>2674</v>
      </c>
      <c r="AI22" s="157" t="e">
        <f aca="false">IF(AND($E22=Subj_OccCode,Subj_BldgSF&gt;0,ABS($L22-Subj_BldgSF)&lt;=Subj_BldgSF*Subj_SizeTol),ABS($L22-Subj_BldgSF),NA())</f>
        <v>#N/A</v>
      </c>
      <c r="AJ22" s="1" t="e">
        <f aca="false">IF(ISNA(AI22),NA(),AI22+ROW()/10000000)</f>
        <v>#N/A</v>
      </c>
      <c r="AK22" s="157" t="str">
        <f aca="false">IF(AND(ISNUMBER($N22),$N22&gt;0,ISNUMBER($Y22)),$Y22/$N22,"")</f>
        <v/>
      </c>
    </row>
    <row r="23" customFormat="false" ht="15" hidden="false" customHeight="true" outlineLevel="0" collapsed="false">
      <c r="A23" s="441" t="n">
        <v>7</v>
      </c>
      <c r="B23" s="157" t="n">
        <v>15</v>
      </c>
      <c r="C23" s="157" t="s">
        <v>2675</v>
      </c>
      <c r="D23" s="157" t="s">
        <v>2676</v>
      </c>
      <c r="E23" s="157" t="n">
        <v>350</v>
      </c>
      <c r="F23" s="157" t="s">
        <v>2677</v>
      </c>
      <c r="G23" s="157" t="s">
        <v>354</v>
      </c>
      <c r="H23" s="78" t="n">
        <f aca="false">Y23/J23</f>
        <v>607.711038961039</v>
      </c>
      <c r="I23" s="442" t="n">
        <v>45225</v>
      </c>
      <c r="J23" s="157" t="n">
        <v>6160</v>
      </c>
      <c r="K23" s="78"/>
      <c r="L23" s="157" t="n">
        <v>6160</v>
      </c>
      <c r="M23" s="157" t="n">
        <v>1995</v>
      </c>
      <c r="P23" s="157" t="s">
        <v>2678</v>
      </c>
      <c r="R23" s="174" t="s">
        <v>279</v>
      </c>
      <c r="S23" s="157" t="n">
        <v>66550</v>
      </c>
      <c r="T23" s="443" t="n">
        <f aca="false">S23/L23</f>
        <v>10.8035714285714</v>
      </c>
      <c r="U23" s="157" t="s">
        <v>279</v>
      </c>
      <c r="V23" s="443"/>
      <c r="W23" s="443"/>
      <c r="X23" s="443"/>
      <c r="Y23" s="80" t="n">
        <v>3743500</v>
      </c>
      <c r="Z23" s="80"/>
      <c r="AA23" s="80" t="n">
        <v>3743500</v>
      </c>
      <c r="AB23" s="80"/>
      <c r="AC23" s="157" t="s">
        <v>2679</v>
      </c>
      <c r="AD23" s="157" t="s">
        <v>2680</v>
      </c>
      <c r="AE23" s="281" t="s">
        <v>2681</v>
      </c>
      <c r="AF23" s="281" t="s">
        <v>2682</v>
      </c>
      <c r="AI23" s="157" t="e">
        <f aca="false">IF(AND($E23=Subj_OccCode,Subj_BldgSF&gt;0,ABS($L23-Subj_BldgSF)&lt;=Subj_BldgSF*Subj_SizeTol),ABS($L23-Subj_BldgSF),NA())</f>
        <v>#N/A</v>
      </c>
      <c r="AJ23" s="1" t="e">
        <f aca="false">IF(ISNA(AI23),NA(),AI23+ROW()/10000000)</f>
        <v>#N/A</v>
      </c>
      <c r="AK23" s="157" t="str">
        <f aca="false">IF(AND(ISNUMBER($N23),$N23&gt;0,ISNUMBER($Y23)),$Y23/$N23,"")</f>
        <v/>
      </c>
    </row>
    <row r="24" customFormat="false" ht="15" hidden="false" customHeight="true" outlineLevel="0" collapsed="false">
      <c r="A24" s="441" t="n">
        <v>7</v>
      </c>
      <c r="B24" s="157" t="n">
        <v>16</v>
      </c>
      <c r="C24" s="157" t="s">
        <v>2683</v>
      </c>
      <c r="D24" s="157" t="s">
        <v>2684</v>
      </c>
      <c r="E24" s="157" t="n">
        <v>344</v>
      </c>
      <c r="F24" s="157" t="s">
        <v>2581</v>
      </c>
      <c r="G24" s="157" t="s">
        <v>2567</v>
      </c>
      <c r="H24" s="78" t="n">
        <f aca="false">Y24/J24</f>
        <v>115.637425951473</v>
      </c>
      <c r="I24" s="442" t="n">
        <v>45139</v>
      </c>
      <c r="J24" s="157" t="n">
        <v>12323</v>
      </c>
      <c r="K24" s="78"/>
      <c r="L24" s="157" t="n">
        <v>12323</v>
      </c>
      <c r="M24" s="157" t="n">
        <v>1999</v>
      </c>
      <c r="P24" s="157" t="s">
        <v>2588</v>
      </c>
      <c r="R24" s="174" t="s">
        <v>279</v>
      </c>
      <c r="S24" s="157" t="n">
        <v>51531.4805</v>
      </c>
      <c r="T24" s="443" t="n">
        <f aca="false">S24/L24</f>
        <v>4.18173176174633</v>
      </c>
      <c r="U24" s="157" t="s">
        <v>279</v>
      </c>
      <c r="V24" s="443"/>
      <c r="W24" s="443"/>
      <c r="X24" s="443"/>
      <c r="Y24" s="80" t="n">
        <v>1425000</v>
      </c>
      <c r="Z24" s="80"/>
      <c r="AA24" s="80" t="n">
        <v>1425000</v>
      </c>
      <c r="AB24" s="80"/>
      <c r="AC24" s="157" t="s">
        <v>2685</v>
      </c>
      <c r="AD24" s="157" t="s">
        <v>2686</v>
      </c>
      <c r="AE24" s="281" t="s">
        <v>2687</v>
      </c>
      <c r="AF24" s="281" t="s">
        <v>2688</v>
      </c>
      <c r="AI24" s="157" t="e">
        <f aca="false">IF(AND($E24=Subj_OccCode,Subj_BldgSF&gt;0,ABS($L24-Subj_BldgSF)&lt;=Subj_BldgSF*Subj_SizeTol),ABS($L24-Subj_BldgSF),NA())</f>
        <v>#N/A</v>
      </c>
      <c r="AJ24" s="1" t="e">
        <f aca="false">IF(ISNA(AI24),NA(),AI24+ROW()/10000000)</f>
        <v>#N/A</v>
      </c>
      <c r="AK24" s="157" t="str">
        <f aca="false">IF(AND(ISNUMBER($N24),$N24&gt;0,ISNUMBER($Y24)),$Y24/$N24,"")</f>
        <v/>
      </c>
    </row>
    <row r="25" customFormat="false" ht="15" hidden="false" customHeight="true" outlineLevel="0" collapsed="false">
      <c r="A25" s="441" t="n">
        <v>7</v>
      </c>
      <c r="B25" s="157" t="n">
        <v>17</v>
      </c>
      <c r="C25" s="157" t="s">
        <v>2689</v>
      </c>
      <c r="D25" s="157" t="s">
        <v>2690</v>
      </c>
      <c r="E25" s="157" t="n">
        <v>334</v>
      </c>
      <c r="G25" s="157" t="s">
        <v>2691</v>
      </c>
      <c r="H25" s="78" t="n">
        <f aca="false">Y25/J25</f>
        <v>92.9512006196747</v>
      </c>
      <c r="I25" s="442" t="n">
        <v>45169</v>
      </c>
      <c r="J25" s="157" t="n">
        <v>51640</v>
      </c>
      <c r="K25" s="78"/>
      <c r="L25" s="157" t="n">
        <v>51640</v>
      </c>
      <c r="M25" s="157" t="n">
        <v>1978</v>
      </c>
      <c r="P25" s="157" t="s">
        <v>2692</v>
      </c>
      <c r="R25" s="174" t="s">
        <v>279</v>
      </c>
      <c r="S25" s="157" t="n">
        <v>146187</v>
      </c>
      <c r="T25" s="443" t="n">
        <f aca="false">S25/L25</f>
        <v>2.83088690937258</v>
      </c>
      <c r="U25" s="157" t="s">
        <v>279</v>
      </c>
      <c r="V25" s="443"/>
      <c r="W25" s="443"/>
      <c r="X25" s="443"/>
      <c r="Y25" s="80" t="n">
        <v>4800000</v>
      </c>
      <c r="Z25" s="80"/>
      <c r="AA25" s="80" t="n">
        <v>4800000</v>
      </c>
      <c r="AB25" s="80"/>
      <c r="AC25" s="157" t="s">
        <v>2693</v>
      </c>
      <c r="AD25" s="157" t="s">
        <v>2694</v>
      </c>
      <c r="AE25" s="281" t="s">
        <v>2695</v>
      </c>
      <c r="AF25" s="281" t="s">
        <v>2696</v>
      </c>
      <c r="AI25" s="157" t="e">
        <f aca="false">IF(AND($E25=Subj_OccCode,Subj_BldgSF&gt;0,ABS($L25-Subj_BldgSF)&lt;=Subj_BldgSF*Subj_SizeTol),ABS($L25-Subj_BldgSF),NA())</f>
        <v>#N/A</v>
      </c>
      <c r="AJ25" s="1" t="e">
        <f aca="false">IF(ISNA(AI25),NA(),AI25+ROW()/10000000)</f>
        <v>#N/A</v>
      </c>
      <c r="AK25" s="157" t="str">
        <f aca="false">IF(AND(ISNUMBER($N25),$N25&gt;0,ISNUMBER($Y25)),$Y25/$N25,"")</f>
        <v/>
      </c>
    </row>
    <row r="26" customFormat="false" ht="15" hidden="false" customHeight="true" outlineLevel="0" collapsed="false">
      <c r="A26" s="441" t="n">
        <v>7</v>
      </c>
      <c r="B26" s="157" t="n">
        <v>18</v>
      </c>
      <c r="C26" s="157" t="s">
        <v>2697</v>
      </c>
      <c r="D26" s="157" t="s">
        <v>2698</v>
      </c>
      <c r="E26" s="157" t="n">
        <v>353</v>
      </c>
      <c r="G26" s="157" t="s">
        <v>2691</v>
      </c>
      <c r="H26" s="78" t="n">
        <f aca="false">Y26/J26</f>
        <v>325.925925925926</v>
      </c>
      <c r="I26" s="442" t="n">
        <v>44764</v>
      </c>
      <c r="J26" s="157" t="n">
        <v>1350</v>
      </c>
      <c r="K26" s="78"/>
      <c r="L26" s="157" t="n">
        <v>1350</v>
      </c>
      <c r="M26" s="157" t="n">
        <v>1955</v>
      </c>
      <c r="P26" s="157" t="s">
        <v>2692</v>
      </c>
      <c r="R26" s="174" t="s">
        <v>279</v>
      </c>
      <c r="S26" s="157" t="n">
        <v>12325</v>
      </c>
      <c r="T26" s="443" t="n">
        <f aca="false">S26/L26</f>
        <v>9.12962962962963</v>
      </c>
      <c r="U26" s="157" t="s">
        <v>279</v>
      </c>
      <c r="V26" s="443"/>
      <c r="W26" s="443"/>
      <c r="X26" s="443"/>
      <c r="Y26" s="80" t="n">
        <v>440000</v>
      </c>
      <c r="Z26" s="80"/>
      <c r="AA26" s="80" t="n">
        <v>440000</v>
      </c>
      <c r="AB26" s="80"/>
      <c r="AC26" s="157" t="s">
        <v>2699</v>
      </c>
      <c r="AD26" s="157" t="s">
        <v>2700</v>
      </c>
      <c r="AE26" s="281" t="s">
        <v>2701</v>
      </c>
      <c r="AF26" s="281" t="s">
        <v>2702</v>
      </c>
      <c r="AI26" s="157" t="e">
        <f aca="false">IF(AND($E26=Subj_OccCode,Subj_BldgSF&gt;0,ABS($L26-Subj_BldgSF)&lt;=Subj_BldgSF*Subj_SizeTol),ABS($L26-Subj_BldgSF),NA())</f>
        <v>#N/A</v>
      </c>
      <c r="AJ26" s="1" t="e">
        <f aca="false">IF(ISNA(AI26),NA(),AI26+ROW()/10000000)</f>
        <v>#N/A</v>
      </c>
      <c r="AK26" s="157" t="str">
        <f aca="false">IF(AND(ISNUMBER($N26),$N26&gt;0,ISNUMBER($Y26)),$Y26/$N26,"")</f>
        <v/>
      </c>
    </row>
    <row r="27" customFormat="false" ht="15" hidden="false" customHeight="true" outlineLevel="0" collapsed="false">
      <c r="A27" s="441" t="n">
        <v>7</v>
      </c>
      <c r="B27" s="157" t="n">
        <v>19</v>
      </c>
      <c r="C27" s="157" t="s">
        <v>2703</v>
      </c>
      <c r="D27" s="157" t="s">
        <v>2704</v>
      </c>
      <c r="E27" s="157" t="n">
        <v>353</v>
      </c>
      <c r="F27" s="157" t="s">
        <v>2705</v>
      </c>
      <c r="G27" s="157" t="s">
        <v>352</v>
      </c>
      <c r="H27" s="78" t="n">
        <f aca="false">Y27/J27</f>
        <v>106.761565836299</v>
      </c>
      <c r="I27" s="442" t="n">
        <v>45295</v>
      </c>
      <c r="J27" s="157" t="n">
        <v>5620</v>
      </c>
      <c r="K27" s="78"/>
      <c r="L27" s="157" t="n">
        <v>5620</v>
      </c>
      <c r="M27" s="157" t="n">
        <v>1918</v>
      </c>
      <c r="P27" s="157" t="s">
        <v>2706</v>
      </c>
      <c r="R27" s="174" t="s">
        <v>279</v>
      </c>
      <c r="S27" s="157" t="n">
        <v>7800</v>
      </c>
      <c r="T27" s="443" t="n">
        <f aca="false">S27/L27</f>
        <v>1.38790035587189</v>
      </c>
      <c r="U27" s="157" t="s">
        <v>279</v>
      </c>
      <c r="V27" s="443"/>
      <c r="W27" s="443"/>
      <c r="X27" s="443"/>
      <c r="Y27" s="80" t="n">
        <v>600000</v>
      </c>
      <c r="Z27" s="80"/>
      <c r="AA27" s="80" t="n">
        <v>600000</v>
      </c>
      <c r="AB27" s="80"/>
      <c r="AC27" s="157" t="s">
        <v>2707</v>
      </c>
      <c r="AD27" s="157" t="s">
        <v>2708</v>
      </c>
      <c r="AE27" s="281" t="s">
        <v>2709</v>
      </c>
      <c r="AF27" s="281" t="s">
        <v>2710</v>
      </c>
      <c r="AI27" s="157" t="e">
        <f aca="false">IF(AND($E27=Subj_OccCode,Subj_BldgSF&gt;0,ABS($L27-Subj_BldgSF)&lt;=Subj_BldgSF*Subj_SizeTol),ABS($L27-Subj_BldgSF),NA())</f>
        <v>#N/A</v>
      </c>
      <c r="AJ27" s="1" t="e">
        <f aca="false">IF(ISNA(AI27),NA(),AI27+ROW()/10000000)</f>
        <v>#N/A</v>
      </c>
      <c r="AK27" s="157" t="str">
        <f aca="false">IF(AND(ISNUMBER($N27),$N27&gt;0,ISNUMBER($Y27)),$Y27/$N27,"")</f>
        <v/>
      </c>
    </row>
    <row r="28" customFormat="false" ht="15" hidden="false" customHeight="true" outlineLevel="0" collapsed="false">
      <c r="A28" s="441" t="n">
        <v>7</v>
      </c>
      <c r="B28" s="157" t="n">
        <v>20</v>
      </c>
      <c r="C28" s="157" t="s">
        <v>2711</v>
      </c>
      <c r="D28" s="157" t="s">
        <v>2712</v>
      </c>
      <c r="E28" s="157" t="n">
        <v>210</v>
      </c>
      <c r="F28" s="157" t="s">
        <v>2595</v>
      </c>
      <c r="G28" s="157" t="s">
        <v>2596</v>
      </c>
      <c r="H28" s="78" t="n">
        <f aca="false">Y28/J28</f>
        <v>137.782303959744</v>
      </c>
      <c r="I28" s="442" t="n">
        <v>45238</v>
      </c>
      <c r="J28" s="157" t="n">
        <v>66772</v>
      </c>
      <c r="K28" s="78"/>
      <c r="L28" s="157" t="n">
        <v>66772</v>
      </c>
      <c r="M28" s="157" t="n">
        <v>1985</v>
      </c>
      <c r="P28" s="157" t="s">
        <v>2713</v>
      </c>
      <c r="R28" s="174" t="s">
        <v>279</v>
      </c>
      <c r="S28" s="157" t="n">
        <v>214751</v>
      </c>
      <c r="T28" s="443" t="n">
        <f aca="false">S28/L28</f>
        <v>3.21618343018032</v>
      </c>
      <c r="U28" s="157" t="s">
        <v>279</v>
      </c>
      <c r="V28" s="443"/>
      <c r="W28" s="443"/>
      <c r="X28" s="443"/>
      <c r="Y28" s="80" t="n">
        <v>9200000</v>
      </c>
      <c r="Z28" s="80"/>
      <c r="AA28" s="80" t="n">
        <v>9200000</v>
      </c>
      <c r="AB28" s="80"/>
      <c r="AC28" s="157" t="s">
        <v>2714</v>
      </c>
      <c r="AD28" s="157" t="s">
        <v>2715</v>
      </c>
      <c r="AE28" s="281" t="s">
        <v>2716</v>
      </c>
      <c r="AF28" s="281" t="s">
        <v>2717</v>
      </c>
      <c r="AI28" s="157" t="e">
        <f aca="false">IF(AND($E28=Subj_OccCode,Subj_BldgSF&gt;0,ABS($L28-Subj_BldgSF)&lt;=Subj_BldgSF*Subj_SizeTol),ABS($L28-Subj_BldgSF),NA())</f>
        <v>#N/A</v>
      </c>
      <c r="AJ28" s="1" t="e">
        <f aca="false">IF(ISNA(AI28),NA(),AI28+ROW()/10000000)</f>
        <v>#N/A</v>
      </c>
      <c r="AK28" s="157" t="str">
        <f aca="false">IF(AND(ISNUMBER($N28),$N28&gt;0,ISNUMBER($Y28)),$Y28/$N28,"")</f>
        <v/>
      </c>
    </row>
    <row r="29" customFormat="false" ht="15" hidden="false" customHeight="true" outlineLevel="0" collapsed="false">
      <c r="A29" s="441" t="n">
        <v>7</v>
      </c>
      <c r="B29" s="157" t="n">
        <v>21</v>
      </c>
      <c r="C29" s="157" t="s">
        <v>2718</v>
      </c>
      <c r="D29" s="157" t="s">
        <v>2719</v>
      </c>
      <c r="E29" s="157" t="n">
        <v>425</v>
      </c>
      <c r="F29" s="157" t="s">
        <v>2595</v>
      </c>
      <c r="G29" s="157" t="s">
        <v>2596</v>
      </c>
      <c r="H29" s="78" t="n">
        <f aca="false">Y29/J29</f>
        <v>18.0555555555556</v>
      </c>
      <c r="I29" s="442" t="n">
        <v>45187</v>
      </c>
      <c r="J29" s="157" t="n">
        <v>18000</v>
      </c>
      <c r="K29" s="78"/>
      <c r="L29" s="157" t="n">
        <v>18000</v>
      </c>
      <c r="M29" s="157" t="n">
        <v>1984</v>
      </c>
      <c r="P29" s="157" t="s">
        <v>2713</v>
      </c>
      <c r="R29" s="174" t="s">
        <v>483</v>
      </c>
      <c r="S29" s="157" t="n">
        <v>5227</v>
      </c>
      <c r="T29" s="443" t="n">
        <f aca="false">S29/L29</f>
        <v>0.290388888888889</v>
      </c>
      <c r="U29" s="157" t="s">
        <v>483</v>
      </c>
      <c r="V29" s="443"/>
      <c r="W29" s="443"/>
      <c r="X29" s="443"/>
      <c r="Y29" s="80" t="n">
        <v>325000</v>
      </c>
      <c r="Z29" s="80"/>
      <c r="AA29" s="80" t="n">
        <v>325000</v>
      </c>
      <c r="AB29" s="80"/>
      <c r="AC29" s="157" t="s">
        <v>2720</v>
      </c>
      <c r="AD29" s="157" t="s">
        <v>2721</v>
      </c>
      <c r="AE29" s="281" t="s">
        <v>2722</v>
      </c>
      <c r="AF29" s="281" t="s">
        <v>2723</v>
      </c>
      <c r="AI29" s="157" t="e">
        <f aca="false">IF(AND($E29=Subj_OccCode,Subj_BldgSF&gt;0,ABS($L29-Subj_BldgSF)&lt;=Subj_BldgSF*Subj_SizeTol),ABS($L29-Subj_BldgSF),NA())</f>
        <v>#N/A</v>
      </c>
      <c r="AJ29" s="1" t="e">
        <f aca="false">IF(ISNA(AI29),NA(),AI29+ROW()/10000000)</f>
        <v>#N/A</v>
      </c>
      <c r="AK29" s="157" t="str">
        <f aca="false">IF(AND(ISNUMBER($N29),$N29&gt;0,ISNUMBER($Y29)),$Y29/$N29,"")</f>
        <v/>
      </c>
    </row>
    <row r="30" customFormat="false" ht="15" hidden="false" customHeight="true" outlineLevel="0" collapsed="false">
      <c r="A30" s="441" t="n">
        <v>7</v>
      </c>
      <c r="B30" s="157" t="n">
        <v>22</v>
      </c>
      <c r="C30" s="157" t="s">
        <v>2724</v>
      </c>
      <c r="D30" s="157" t="s">
        <v>2725</v>
      </c>
      <c r="E30" s="157" t="n">
        <v>210</v>
      </c>
      <c r="F30" s="157" t="s">
        <v>2595</v>
      </c>
      <c r="G30" s="157" t="s">
        <v>2596</v>
      </c>
      <c r="H30" s="78" t="n">
        <f aca="false">Y30/J30</f>
        <v>148.821884431154</v>
      </c>
      <c r="I30" s="442" t="n">
        <v>45288</v>
      </c>
      <c r="J30" s="157" t="n">
        <v>144468</v>
      </c>
      <c r="K30" s="78"/>
      <c r="L30" s="157" t="n">
        <v>144468</v>
      </c>
      <c r="M30" s="157" t="n">
        <v>1985</v>
      </c>
      <c r="P30" s="157" t="s">
        <v>2713</v>
      </c>
      <c r="R30" s="174" t="s">
        <v>483</v>
      </c>
      <c r="S30" s="157" t="n">
        <v>363339</v>
      </c>
      <c r="T30" s="443" t="n">
        <f aca="false">S30/L30</f>
        <v>2.51501370545726</v>
      </c>
      <c r="U30" s="157" t="s">
        <v>483</v>
      </c>
      <c r="V30" s="443"/>
      <c r="W30" s="443"/>
      <c r="X30" s="443"/>
      <c r="Y30" s="80" t="n">
        <v>21500000</v>
      </c>
      <c r="Z30" s="80"/>
      <c r="AA30" s="80" t="n">
        <v>20379895</v>
      </c>
      <c r="AB30" s="80"/>
      <c r="AC30" s="157" t="s">
        <v>2726</v>
      </c>
      <c r="AD30" s="157" t="s">
        <v>2727</v>
      </c>
      <c r="AE30" s="281" t="s">
        <v>2728</v>
      </c>
      <c r="AF30" s="281" t="s">
        <v>2729</v>
      </c>
      <c r="AI30" s="157" t="e">
        <f aca="false">IF(AND($E30=Subj_OccCode,Subj_BldgSF&gt;0,ABS($L30-Subj_BldgSF)&lt;=Subj_BldgSF*Subj_SizeTol),ABS($L30-Subj_BldgSF),NA())</f>
        <v>#N/A</v>
      </c>
      <c r="AJ30" s="1" t="e">
        <f aca="false">IF(ISNA(AI30),NA(),AI30+ROW()/10000000)</f>
        <v>#N/A</v>
      </c>
      <c r="AK30" s="157" t="str">
        <f aca="false">IF(AND(ISNUMBER($N30),$N30&gt;0,ISNUMBER($Y30)),$Y30/$N30,"")</f>
        <v/>
      </c>
    </row>
    <row r="31" customFormat="false" ht="15" hidden="false" customHeight="true" outlineLevel="0" collapsed="false">
      <c r="A31" s="441" t="n">
        <v>7</v>
      </c>
      <c r="B31" s="157" t="n">
        <v>23</v>
      </c>
      <c r="C31" s="157" t="s">
        <v>2730</v>
      </c>
      <c r="D31" s="157" t="s">
        <v>2731</v>
      </c>
      <c r="E31" s="157" t="n">
        <v>406</v>
      </c>
      <c r="G31" s="157" t="s">
        <v>2691</v>
      </c>
      <c r="H31" s="78" t="n">
        <f aca="false">Y31/J31</f>
        <v>197.628458498024</v>
      </c>
      <c r="I31" s="442" t="n">
        <v>45099</v>
      </c>
      <c r="J31" s="157" t="n">
        <v>25300</v>
      </c>
      <c r="K31" s="78"/>
      <c r="L31" s="157" t="n">
        <v>25300</v>
      </c>
      <c r="M31" s="157" t="n">
        <v>1994</v>
      </c>
      <c r="P31" s="157" t="s">
        <v>2692</v>
      </c>
      <c r="R31" s="174" t="s">
        <v>279</v>
      </c>
      <c r="S31" s="157" t="n">
        <v>197703</v>
      </c>
      <c r="T31" s="443" t="n">
        <f aca="false">S31/L31</f>
        <v>7.81434782608696</v>
      </c>
      <c r="U31" s="157" t="s">
        <v>279</v>
      </c>
      <c r="V31" s="443"/>
      <c r="W31" s="443"/>
      <c r="X31" s="443"/>
      <c r="Y31" s="80" t="n">
        <v>5000000</v>
      </c>
      <c r="Z31" s="80"/>
      <c r="AA31" s="80" t="n">
        <v>5000000</v>
      </c>
      <c r="AB31" s="80"/>
      <c r="AC31" s="157" t="s">
        <v>2732</v>
      </c>
      <c r="AD31" s="157" t="s">
        <v>2733</v>
      </c>
      <c r="AE31" s="281" t="s">
        <v>2734</v>
      </c>
      <c r="AF31" s="281" t="s">
        <v>2735</v>
      </c>
      <c r="AI31" s="157" t="e">
        <f aca="false">IF(AND($E31=Subj_OccCode,Subj_BldgSF&gt;0,ABS($L31-Subj_BldgSF)&lt;=Subj_BldgSF*Subj_SizeTol),ABS($L31-Subj_BldgSF),NA())</f>
        <v>#N/A</v>
      </c>
      <c r="AJ31" s="1" t="e">
        <f aca="false">IF(ISNA(AI31),NA(),AI31+ROW()/10000000)</f>
        <v>#N/A</v>
      </c>
      <c r="AK31" s="157" t="str">
        <f aca="false">IF(AND(ISNUMBER($N31),$N31&gt;0,ISNUMBER($Y31)),$Y31/$N31,"")</f>
        <v/>
      </c>
    </row>
    <row r="32" customFormat="false" ht="15" hidden="false" customHeight="true" outlineLevel="0" collapsed="false">
      <c r="A32" s="441" t="n">
        <v>7</v>
      </c>
      <c r="B32" s="157" t="n">
        <v>24</v>
      </c>
      <c r="C32" s="157" t="s">
        <v>2736</v>
      </c>
      <c r="D32" s="157" t="s">
        <v>2737</v>
      </c>
      <c r="E32" s="157" t="n">
        <v>350</v>
      </c>
      <c r="G32" s="157" t="s">
        <v>2567</v>
      </c>
      <c r="H32" s="78" t="n">
        <f aca="false">Y32/J32</f>
        <v>647.619047619048</v>
      </c>
      <c r="I32" s="442" t="n">
        <v>45117</v>
      </c>
      <c r="J32" s="157" t="n">
        <v>1050</v>
      </c>
      <c r="K32" s="78"/>
      <c r="L32" s="157" t="n">
        <v>1050</v>
      </c>
      <c r="M32" s="157" t="n">
        <v>1964</v>
      </c>
      <c r="P32" s="157" t="s">
        <v>2706</v>
      </c>
      <c r="R32" s="174" t="s">
        <v>279</v>
      </c>
      <c r="S32" s="157" t="n">
        <v>24750</v>
      </c>
      <c r="T32" s="443" t="n">
        <f aca="false">S32/L32</f>
        <v>23.5714285714286</v>
      </c>
      <c r="U32" s="157" t="s">
        <v>279</v>
      </c>
      <c r="V32" s="443"/>
      <c r="W32" s="443"/>
      <c r="X32" s="443"/>
      <c r="Y32" s="80" t="n">
        <v>680000</v>
      </c>
      <c r="Z32" s="80"/>
      <c r="AA32" s="80" t="n">
        <v>680000</v>
      </c>
      <c r="AB32" s="80"/>
      <c r="AC32" s="157" t="s">
        <v>2738</v>
      </c>
      <c r="AD32" s="157" t="s">
        <v>2739</v>
      </c>
      <c r="AE32" s="281" t="s">
        <v>2740</v>
      </c>
      <c r="AF32" s="281" t="s">
        <v>2741</v>
      </c>
      <c r="AI32" s="157" t="e">
        <f aca="false">IF(AND($E32=Subj_OccCode,Subj_BldgSF&gt;0,ABS($L32-Subj_BldgSF)&lt;=Subj_BldgSF*Subj_SizeTol),ABS($L32-Subj_BldgSF),NA())</f>
        <v>#N/A</v>
      </c>
      <c r="AJ32" s="1" t="e">
        <f aca="false">IF(ISNA(AI32),NA(),AI32+ROW()/10000000)</f>
        <v>#N/A</v>
      </c>
      <c r="AK32" s="157" t="str">
        <f aca="false">IF(AND(ISNUMBER($N32),$N32&gt;0,ISNUMBER($Y32)),$Y32/$N32,"")</f>
        <v/>
      </c>
    </row>
    <row r="33" customFormat="false" ht="15" hidden="false" customHeight="true" outlineLevel="0" collapsed="false">
      <c r="A33" s="441" t="n">
        <v>7</v>
      </c>
      <c r="B33" s="157" t="n">
        <v>25</v>
      </c>
      <c r="C33" s="157" t="s">
        <v>2742</v>
      </c>
      <c r="D33" s="157" t="s">
        <v>2743</v>
      </c>
      <c r="E33" s="157" t="n">
        <v>407</v>
      </c>
      <c r="G33" s="157" t="s">
        <v>2691</v>
      </c>
      <c r="H33" s="78" t="n">
        <f aca="false">Y33/J33</f>
        <v>235</v>
      </c>
      <c r="I33" s="442" t="n">
        <v>45273</v>
      </c>
      <c r="J33" s="157" t="n">
        <v>30000</v>
      </c>
      <c r="K33" s="78"/>
      <c r="L33" s="157" t="n">
        <v>30000</v>
      </c>
      <c r="M33" s="157" t="n">
        <v>2001</v>
      </c>
      <c r="P33" s="157" t="s">
        <v>2692</v>
      </c>
      <c r="R33" s="174" t="s">
        <v>279</v>
      </c>
      <c r="S33" s="157" t="n">
        <v>96703.2</v>
      </c>
      <c r="T33" s="443" t="n">
        <f aca="false">S33/L33</f>
        <v>3.22344</v>
      </c>
      <c r="U33" s="157" t="s">
        <v>279</v>
      </c>
      <c r="V33" s="443"/>
      <c r="W33" s="443"/>
      <c r="X33" s="443"/>
      <c r="Y33" s="80" t="n">
        <v>7050000</v>
      </c>
      <c r="Z33" s="80"/>
      <c r="AA33" s="80" t="n">
        <v>6675000</v>
      </c>
      <c r="AB33" s="80"/>
      <c r="AC33" s="157" t="s">
        <v>2744</v>
      </c>
      <c r="AD33" s="157" t="s">
        <v>2745</v>
      </c>
      <c r="AE33" s="281" t="s">
        <v>2746</v>
      </c>
      <c r="AF33" s="281" t="s">
        <v>2747</v>
      </c>
      <c r="AI33" s="157" t="e">
        <f aca="false">IF(AND($E33=Subj_OccCode,Subj_BldgSF&gt;0,ABS($L33-Subj_BldgSF)&lt;=Subj_BldgSF*Subj_SizeTol),ABS($L33-Subj_BldgSF),NA())</f>
        <v>#N/A</v>
      </c>
      <c r="AJ33" s="1" t="e">
        <f aca="false">IF(ISNA(AI33),NA(),AI33+ROW()/10000000)</f>
        <v>#N/A</v>
      </c>
      <c r="AK33" s="157" t="str">
        <f aca="false">IF(AND(ISNUMBER($N33),$N33&gt;0,ISNUMBER($Y33)),$Y33/$N33,"")</f>
        <v/>
      </c>
    </row>
    <row r="34" customFormat="false" ht="15" hidden="false" customHeight="true" outlineLevel="0" collapsed="false">
      <c r="A34" s="441" t="n">
        <v>7</v>
      </c>
      <c r="B34" s="157" t="n">
        <v>26</v>
      </c>
      <c r="C34" s="157" t="s">
        <v>2748</v>
      </c>
      <c r="D34" s="157" t="s">
        <v>2749</v>
      </c>
      <c r="E34" s="157" t="n">
        <v>425</v>
      </c>
      <c r="G34" s="157" t="s">
        <v>2691</v>
      </c>
      <c r="H34" s="78" t="n">
        <f aca="false">Y34/J34</f>
        <v>51.6605166051661</v>
      </c>
      <c r="I34" s="442" t="n">
        <v>45264</v>
      </c>
      <c r="J34" s="157" t="n">
        <v>10840</v>
      </c>
      <c r="K34" s="78"/>
      <c r="L34" s="157" t="n">
        <v>10840</v>
      </c>
      <c r="M34" s="157" t="n">
        <v>2003</v>
      </c>
      <c r="P34" s="157" t="s">
        <v>2750</v>
      </c>
      <c r="R34" s="174" t="s">
        <v>279</v>
      </c>
      <c r="S34" s="157" t="n">
        <v>9670</v>
      </c>
      <c r="T34" s="443" t="n">
        <f aca="false">S34/L34</f>
        <v>0.892066420664207</v>
      </c>
      <c r="U34" s="157" t="s">
        <v>279</v>
      </c>
      <c r="V34" s="443"/>
      <c r="W34" s="443"/>
      <c r="X34" s="443"/>
      <c r="Y34" s="80" t="n">
        <v>560000</v>
      </c>
      <c r="Z34" s="80"/>
      <c r="AA34" s="80" t="n">
        <v>560000</v>
      </c>
      <c r="AB34" s="80"/>
      <c r="AC34" s="157" t="s">
        <v>2751</v>
      </c>
      <c r="AD34" s="157" t="s">
        <v>2752</v>
      </c>
      <c r="AE34" s="281" t="s">
        <v>2753</v>
      </c>
      <c r="AF34" s="281" t="s">
        <v>2754</v>
      </c>
      <c r="AI34" s="157" t="e">
        <f aca="false">IF(AND($E34=Subj_OccCode,Subj_BldgSF&gt;0,ABS($L34-Subj_BldgSF)&lt;=Subj_BldgSF*Subj_SizeTol),ABS($L34-Subj_BldgSF),NA())</f>
        <v>#N/A</v>
      </c>
      <c r="AJ34" s="1" t="e">
        <f aca="false">IF(ISNA(AI34),NA(),AI34+ROW()/10000000)</f>
        <v>#N/A</v>
      </c>
      <c r="AK34" s="157" t="str">
        <f aca="false">IF(AND(ISNUMBER($N34),$N34&gt;0,ISNUMBER($Y34)),$Y34/$N34,"")</f>
        <v/>
      </c>
    </row>
    <row r="35" customFormat="false" ht="15" hidden="false" customHeight="true" outlineLevel="0" collapsed="false">
      <c r="A35" s="441" t="n">
        <v>7</v>
      </c>
      <c r="B35" s="157" t="n">
        <v>27</v>
      </c>
      <c r="C35" s="157" t="s">
        <v>2755</v>
      </c>
      <c r="D35" s="157" t="s">
        <v>2756</v>
      </c>
      <c r="E35" s="157" t="n">
        <v>210</v>
      </c>
      <c r="F35" s="157" t="s">
        <v>2757</v>
      </c>
      <c r="G35" s="157" t="s">
        <v>2691</v>
      </c>
      <c r="H35" s="78" t="n">
        <f aca="false">Y35/J35</f>
        <v>219.920183408338</v>
      </c>
      <c r="I35" s="442" t="n">
        <v>45372</v>
      </c>
      <c r="J35" s="157" t="n">
        <v>23554</v>
      </c>
      <c r="K35" s="78"/>
      <c r="L35" s="157" t="n">
        <v>23554</v>
      </c>
      <c r="M35" s="157" t="n">
        <v>2008</v>
      </c>
      <c r="P35" s="157" t="s">
        <v>2758</v>
      </c>
      <c r="R35" s="174" t="s">
        <v>279</v>
      </c>
      <c r="S35" s="157" t="n">
        <v>98285</v>
      </c>
      <c r="T35" s="443" t="n">
        <f aca="false">S35/L35</f>
        <v>4.17275197418697</v>
      </c>
      <c r="U35" s="157" t="s">
        <v>279</v>
      </c>
      <c r="V35" s="443"/>
      <c r="W35" s="443"/>
      <c r="X35" s="443"/>
      <c r="Y35" s="80" t="n">
        <v>5180000</v>
      </c>
      <c r="Z35" s="80"/>
      <c r="AA35" s="80" t="n">
        <v>5180000</v>
      </c>
      <c r="AB35" s="80"/>
      <c r="AC35" s="157" t="s">
        <v>2759</v>
      </c>
      <c r="AD35" s="157" t="s">
        <v>2760</v>
      </c>
      <c r="AE35" s="281" t="s">
        <v>2761</v>
      </c>
      <c r="AF35" s="281" t="s">
        <v>2762</v>
      </c>
      <c r="AI35" s="157" t="e">
        <f aca="false">IF(AND($E35=Subj_OccCode,Subj_BldgSF&gt;0,ABS($L35-Subj_BldgSF)&lt;=Subj_BldgSF*Subj_SizeTol),ABS($L35-Subj_BldgSF),NA())</f>
        <v>#N/A</v>
      </c>
      <c r="AJ35" s="1" t="e">
        <f aca="false">IF(ISNA(AI35),NA(),AI35+ROW()/10000000)</f>
        <v>#N/A</v>
      </c>
      <c r="AK35" s="157" t="str">
        <f aca="false">IF(AND(ISNUMBER($N35),$N35&gt;0,ISNUMBER($Y35)),$Y35/$N35,"")</f>
        <v/>
      </c>
    </row>
    <row r="36" customFormat="false" ht="15" hidden="false" customHeight="true" outlineLevel="0" collapsed="false">
      <c r="A36" s="441" t="n">
        <v>7</v>
      </c>
      <c r="B36" s="157" t="n">
        <v>28</v>
      </c>
      <c r="C36" s="157" t="s">
        <v>2763</v>
      </c>
      <c r="D36" s="157" t="s">
        <v>2764</v>
      </c>
      <c r="E36" s="157" t="n">
        <v>406</v>
      </c>
      <c r="F36" s="157" t="s">
        <v>260</v>
      </c>
      <c r="G36" s="157" t="s">
        <v>353</v>
      </c>
      <c r="H36" s="78" t="n">
        <f aca="false">Y36/J36</f>
        <v>183.823529411765</v>
      </c>
      <c r="I36" s="442" t="n">
        <v>44869</v>
      </c>
      <c r="J36" s="157" t="n">
        <v>4080</v>
      </c>
      <c r="K36" s="78"/>
      <c r="L36" s="157" t="n">
        <v>4080</v>
      </c>
      <c r="M36" s="157" t="n">
        <v>1954</v>
      </c>
      <c r="P36" s="157" t="s">
        <v>2765</v>
      </c>
      <c r="R36" s="174" t="s">
        <v>279</v>
      </c>
      <c r="S36" s="157" t="n">
        <v>12762</v>
      </c>
      <c r="T36" s="443" t="n">
        <f aca="false">S36/L36</f>
        <v>3.12794117647059</v>
      </c>
      <c r="U36" s="157" t="s">
        <v>279</v>
      </c>
      <c r="V36" s="443"/>
      <c r="W36" s="443"/>
      <c r="X36" s="443"/>
      <c r="Y36" s="80" t="n">
        <v>750000</v>
      </c>
      <c r="Z36" s="80"/>
      <c r="AA36" s="80" t="n">
        <v>750000</v>
      </c>
      <c r="AB36" s="80"/>
      <c r="AC36" s="157" t="s">
        <v>2766</v>
      </c>
      <c r="AD36" s="157" t="s">
        <v>2767</v>
      </c>
      <c r="AE36" s="281" t="s">
        <v>2768</v>
      </c>
      <c r="AF36" s="281" t="s">
        <v>2769</v>
      </c>
      <c r="AI36" s="157" t="e">
        <f aca="false">IF(AND($E36=Subj_OccCode,Subj_BldgSF&gt;0,ABS($L36-Subj_BldgSF)&lt;=Subj_BldgSF*Subj_SizeTol),ABS($L36-Subj_BldgSF),NA())</f>
        <v>#N/A</v>
      </c>
      <c r="AJ36" s="1" t="e">
        <f aca="false">IF(ISNA(AI36),NA(),AI36+ROW()/10000000)</f>
        <v>#N/A</v>
      </c>
      <c r="AK36" s="157" t="str">
        <f aca="false">IF(AND(ISNUMBER($N36),$N36&gt;0,ISNUMBER($Y36)),$Y36/$N36,"")</f>
        <v/>
      </c>
    </row>
    <row r="37" customFormat="false" ht="15" hidden="false" customHeight="true" outlineLevel="0" collapsed="false">
      <c r="A37" s="441" t="n">
        <v>7</v>
      </c>
      <c r="B37" s="157" t="n">
        <v>29</v>
      </c>
      <c r="C37" s="157" t="s">
        <v>2770</v>
      </c>
      <c r="D37" s="157" t="s">
        <v>2771</v>
      </c>
      <c r="E37" s="157" t="n">
        <v>353</v>
      </c>
      <c r="F37" s="157" t="s">
        <v>2705</v>
      </c>
      <c r="G37" s="157" t="s">
        <v>352</v>
      </c>
      <c r="H37" s="78" t="n">
        <f aca="false">Y37/J37</f>
        <v>121.527777777778</v>
      </c>
      <c r="I37" s="442" t="n">
        <v>45190</v>
      </c>
      <c r="J37" s="157" t="n">
        <v>2880</v>
      </c>
      <c r="K37" s="78"/>
      <c r="L37" s="157" t="n">
        <v>2880</v>
      </c>
      <c r="M37" s="157" t="n">
        <v>1954</v>
      </c>
      <c r="P37" s="157" t="s">
        <v>2706</v>
      </c>
      <c r="R37" s="174" t="s">
        <v>279</v>
      </c>
      <c r="S37" s="157" t="n">
        <v>5000</v>
      </c>
      <c r="T37" s="443" t="n">
        <f aca="false">S37/L37</f>
        <v>1.73611111111111</v>
      </c>
      <c r="U37" s="157" t="s">
        <v>279</v>
      </c>
      <c r="V37" s="443"/>
      <c r="W37" s="443"/>
      <c r="X37" s="443"/>
      <c r="Y37" s="80" t="n">
        <v>350000</v>
      </c>
      <c r="Z37" s="80"/>
      <c r="AA37" s="80" t="n">
        <v>350000</v>
      </c>
      <c r="AB37" s="80"/>
      <c r="AC37" s="157" t="s">
        <v>2772</v>
      </c>
      <c r="AD37" s="157" t="s">
        <v>2773</v>
      </c>
      <c r="AE37" s="281" t="s">
        <v>2774</v>
      </c>
      <c r="AF37" s="281" t="s">
        <v>2775</v>
      </c>
      <c r="AI37" s="157" t="e">
        <f aca="false">IF(AND($E37=Subj_OccCode,Subj_BldgSF&gt;0,ABS($L37-Subj_BldgSF)&lt;=Subj_BldgSF*Subj_SizeTol),ABS($L37-Subj_BldgSF),NA())</f>
        <v>#N/A</v>
      </c>
      <c r="AJ37" s="1" t="e">
        <f aca="false">IF(ISNA(AI37),NA(),AI37+ROW()/10000000)</f>
        <v>#N/A</v>
      </c>
      <c r="AK37" s="157" t="str">
        <f aca="false">IF(AND(ISNUMBER($N37),$N37&gt;0,ISNUMBER($Y37)),$Y37/$N37,"")</f>
        <v/>
      </c>
    </row>
    <row r="38" customFormat="false" ht="15" hidden="false" customHeight="true" outlineLevel="0" collapsed="false">
      <c r="A38" s="441" t="n">
        <v>7</v>
      </c>
      <c r="B38" s="157" t="n">
        <v>30</v>
      </c>
      <c r="C38" s="157" t="s">
        <v>2776</v>
      </c>
      <c r="D38" s="157" t="s">
        <v>2777</v>
      </c>
      <c r="E38" s="157" t="n">
        <v>407</v>
      </c>
      <c r="F38" s="157" t="s">
        <v>2595</v>
      </c>
      <c r="G38" s="157" t="s">
        <v>2596</v>
      </c>
      <c r="H38" s="78" t="n">
        <f aca="false">Y38/J38</f>
        <v>300.048316959253</v>
      </c>
      <c r="I38" s="442" t="n">
        <v>44791</v>
      </c>
      <c r="J38" s="157" t="n">
        <v>24836</v>
      </c>
      <c r="K38" s="78"/>
      <c r="L38" s="157" t="n">
        <v>24836</v>
      </c>
      <c r="M38" s="157" t="n">
        <v>1976</v>
      </c>
      <c r="P38" s="157" t="s">
        <v>2713</v>
      </c>
      <c r="R38" s="174" t="s">
        <v>555</v>
      </c>
      <c r="S38" s="157" t="n">
        <v>290110</v>
      </c>
      <c r="T38" s="443" t="n">
        <f aca="false">S38/L38</f>
        <v>11.6810275406668</v>
      </c>
      <c r="U38" s="157" t="s">
        <v>555</v>
      </c>
      <c r="V38" s="443"/>
      <c r="W38" s="443"/>
      <c r="X38" s="443"/>
      <c r="Y38" s="80" t="n">
        <v>7452000</v>
      </c>
      <c r="Z38" s="80"/>
      <c r="AA38" s="80" t="n">
        <v>7452000</v>
      </c>
      <c r="AB38" s="80"/>
      <c r="AC38" s="157" t="s">
        <v>2778</v>
      </c>
      <c r="AD38" s="157" t="s">
        <v>2779</v>
      </c>
      <c r="AE38" s="281" t="s">
        <v>2780</v>
      </c>
      <c r="AF38" s="281" t="s">
        <v>2781</v>
      </c>
      <c r="AI38" s="157" t="e">
        <f aca="false">IF(AND($E38=Subj_OccCode,Subj_BldgSF&gt;0,ABS($L38-Subj_BldgSF)&lt;=Subj_BldgSF*Subj_SizeTol),ABS($L38-Subj_BldgSF),NA())</f>
        <v>#N/A</v>
      </c>
      <c r="AJ38" s="1" t="e">
        <f aca="false">IF(ISNA(AI38),NA(),AI38+ROW()/10000000)</f>
        <v>#N/A</v>
      </c>
      <c r="AK38" s="157" t="str">
        <f aca="false">IF(AND(ISNUMBER($N38),$N38&gt;0,ISNUMBER($Y38)),$Y38/$N38,"")</f>
        <v/>
      </c>
    </row>
    <row r="39" customFormat="false" ht="15" hidden="false" customHeight="true" outlineLevel="0" collapsed="false">
      <c r="A39" s="441" t="n">
        <v>7</v>
      </c>
      <c r="B39" s="157" t="n">
        <v>31</v>
      </c>
      <c r="C39" s="157" t="s">
        <v>2782</v>
      </c>
      <c r="D39" s="157" t="s">
        <v>2783</v>
      </c>
      <c r="E39" s="157" t="n">
        <v>1344</v>
      </c>
      <c r="F39" s="157" t="s">
        <v>2566</v>
      </c>
      <c r="G39" s="157" t="s">
        <v>2567</v>
      </c>
      <c r="H39" s="78" t="n">
        <f aca="false">Y39/J39</f>
        <v>11.7233294255569</v>
      </c>
      <c r="I39" s="442" t="n">
        <v>45036</v>
      </c>
      <c r="J39" s="157" t="n">
        <v>20472</v>
      </c>
      <c r="K39" s="78"/>
      <c r="L39" s="157" t="n">
        <v>20472</v>
      </c>
      <c r="M39" s="157" t="n">
        <v>2000</v>
      </c>
      <c r="P39" s="157" t="s">
        <v>2658</v>
      </c>
      <c r="R39" s="174" t="s">
        <v>279</v>
      </c>
      <c r="S39" s="157" t="n">
        <v>3100</v>
      </c>
      <c r="T39" s="443" t="n">
        <f aca="false">S39/L39</f>
        <v>0.151426338413443</v>
      </c>
      <c r="U39" s="157" t="s">
        <v>279</v>
      </c>
      <c r="V39" s="443"/>
      <c r="W39" s="443"/>
      <c r="X39" s="443"/>
      <c r="Y39" s="80" t="n">
        <v>240000</v>
      </c>
      <c r="Z39" s="80"/>
      <c r="AA39" s="80" t="n">
        <v>240000</v>
      </c>
      <c r="AB39" s="80"/>
      <c r="AC39" s="157" t="s">
        <v>2784</v>
      </c>
      <c r="AD39" s="157" t="s">
        <v>2785</v>
      </c>
      <c r="AE39" s="281" t="s">
        <v>2786</v>
      </c>
      <c r="AF39" s="281" t="s">
        <v>2787</v>
      </c>
      <c r="AI39" s="157" t="e">
        <f aca="false">IF(AND($E39=Subj_OccCode,Subj_BldgSF&gt;0,ABS($L39-Subj_BldgSF)&lt;=Subj_BldgSF*Subj_SizeTol),ABS($L39-Subj_BldgSF),NA())</f>
        <v>#N/A</v>
      </c>
      <c r="AJ39" s="1" t="e">
        <f aca="false">IF(ISNA(AI39),NA(),AI39+ROW()/10000000)</f>
        <v>#N/A</v>
      </c>
      <c r="AK39" s="157" t="str">
        <f aca="false">IF(AND(ISNUMBER($N39),$N39&gt;0,ISNUMBER($Y39)),$Y39/$N39,"")</f>
        <v/>
      </c>
    </row>
    <row r="40" customFormat="false" ht="15" hidden="false" customHeight="true" outlineLevel="0" collapsed="false">
      <c r="A40" s="441" t="n">
        <v>7</v>
      </c>
      <c r="B40" s="157" t="n">
        <v>32</v>
      </c>
      <c r="C40" s="157" t="s">
        <v>2788</v>
      </c>
      <c r="D40" s="157" t="s">
        <v>2789</v>
      </c>
      <c r="E40" s="157" t="n">
        <v>1344</v>
      </c>
      <c r="F40" s="157" t="s">
        <v>2566</v>
      </c>
      <c r="G40" s="157" t="s">
        <v>2567</v>
      </c>
      <c r="H40" s="78" t="n">
        <f aca="false">Y40/J40</f>
        <v>12.0310668229777</v>
      </c>
      <c r="I40" s="442" t="n">
        <v>45054</v>
      </c>
      <c r="J40" s="157" t="n">
        <v>20472</v>
      </c>
      <c r="K40" s="78"/>
      <c r="L40" s="157" t="n">
        <v>20472</v>
      </c>
      <c r="M40" s="157" t="n">
        <v>2000</v>
      </c>
      <c r="P40" s="157" t="s">
        <v>2658</v>
      </c>
      <c r="R40" s="174" t="s">
        <v>279</v>
      </c>
      <c r="S40" s="157" t="n">
        <v>3100</v>
      </c>
      <c r="T40" s="443" t="n">
        <f aca="false">S40/L40</f>
        <v>0.151426338413443</v>
      </c>
      <c r="U40" s="157" t="s">
        <v>279</v>
      </c>
      <c r="V40" s="443"/>
      <c r="W40" s="443"/>
      <c r="X40" s="443"/>
      <c r="Y40" s="80" t="n">
        <v>246300</v>
      </c>
      <c r="Z40" s="80"/>
      <c r="AA40" s="80" t="n">
        <v>246300</v>
      </c>
      <c r="AB40" s="80"/>
      <c r="AC40" s="157" t="s">
        <v>2790</v>
      </c>
      <c r="AD40" s="157" t="s">
        <v>2791</v>
      </c>
      <c r="AE40" s="281" t="s">
        <v>2786</v>
      </c>
      <c r="AF40" s="281" t="s">
        <v>2792</v>
      </c>
      <c r="AI40" s="157" t="e">
        <f aca="false">IF(AND($E40=Subj_OccCode,Subj_BldgSF&gt;0,ABS($L40-Subj_BldgSF)&lt;=Subj_BldgSF*Subj_SizeTol),ABS($L40-Subj_BldgSF),NA())</f>
        <v>#N/A</v>
      </c>
      <c r="AJ40" s="1" t="e">
        <f aca="false">IF(ISNA(AI40),NA(),AI40+ROW()/10000000)</f>
        <v>#N/A</v>
      </c>
      <c r="AK40" s="157" t="str">
        <f aca="false">IF(AND(ISNUMBER($N40),$N40&gt;0,ISNUMBER($Y40)),$Y40/$N40,"")</f>
        <v/>
      </c>
    </row>
    <row r="41" customFormat="false" ht="15" hidden="false" customHeight="true" outlineLevel="0" collapsed="false">
      <c r="A41" s="441" t="n">
        <v>7</v>
      </c>
      <c r="B41" s="157" t="n">
        <v>33</v>
      </c>
      <c r="C41" s="157" t="s">
        <v>2793</v>
      </c>
      <c r="D41" s="157" t="s">
        <v>2794</v>
      </c>
      <c r="E41" s="157" t="n">
        <v>1344</v>
      </c>
      <c r="F41" s="157" t="s">
        <v>2566</v>
      </c>
      <c r="G41" s="157" t="s">
        <v>2567</v>
      </c>
      <c r="H41" s="78" t="n">
        <f aca="false">Y41/J41</f>
        <v>15.6311059007425</v>
      </c>
      <c r="I41" s="442" t="n">
        <v>45154</v>
      </c>
      <c r="J41" s="157" t="n">
        <v>20472</v>
      </c>
      <c r="K41" s="78"/>
      <c r="L41" s="157" t="n">
        <v>20472</v>
      </c>
      <c r="M41" s="157" t="n">
        <v>2000</v>
      </c>
      <c r="P41" s="157" t="s">
        <v>2658</v>
      </c>
      <c r="R41" s="174" t="s">
        <v>279</v>
      </c>
      <c r="S41" s="157" t="n">
        <v>3100</v>
      </c>
      <c r="T41" s="443" t="n">
        <f aca="false">S41/L41</f>
        <v>0.151426338413443</v>
      </c>
      <c r="U41" s="157" t="s">
        <v>279</v>
      </c>
      <c r="V41" s="443"/>
      <c r="W41" s="443"/>
      <c r="X41" s="443"/>
      <c r="Y41" s="80" t="n">
        <v>320000</v>
      </c>
      <c r="Z41" s="80"/>
      <c r="AA41" s="80" t="n">
        <v>320000</v>
      </c>
      <c r="AB41" s="80"/>
      <c r="AC41" s="157" t="s">
        <v>2795</v>
      </c>
      <c r="AD41" s="157" t="s">
        <v>2796</v>
      </c>
      <c r="AE41" s="281" t="s">
        <v>2797</v>
      </c>
      <c r="AF41" s="281" t="s">
        <v>2798</v>
      </c>
      <c r="AI41" s="157" t="e">
        <f aca="false">IF(AND($E41=Subj_OccCode,Subj_BldgSF&gt;0,ABS($L41-Subj_BldgSF)&lt;=Subj_BldgSF*Subj_SizeTol),ABS($L41-Subj_BldgSF),NA())</f>
        <v>#N/A</v>
      </c>
      <c r="AJ41" s="1" t="e">
        <f aca="false">IF(ISNA(AI41),NA(),AI41+ROW()/10000000)</f>
        <v>#N/A</v>
      </c>
      <c r="AK41" s="157" t="str">
        <f aca="false">IF(AND(ISNUMBER($N41),$N41&gt;0,ISNUMBER($Y41)),$Y41/$N41,"")</f>
        <v/>
      </c>
    </row>
    <row r="42" customFormat="false" ht="15" hidden="false" customHeight="true" outlineLevel="0" collapsed="false">
      <c r="A42" s="441" t="n">
        <v>7</v>
      </c>
      <c r="B42" s="157" t="n">
        <v>34</v>
      </c>
      <c r="C42" s="157" t="s">
        <v>2799</v>
      </c>
      <c r="D42" s="157" t="s">
        <v>2800</v>
      </c>
      <c r="E42" s="157" t="n">
        <v>1344</v>
      </c>
      <c r="F42" s="157" t="s">
        <v>2677</v>
      </c>
      <c r="G42" s="157" t="s">
        <v>354</v>
      </c>
      <c r="H42" s="78" t="n">
        <f aca="false">Y42/J42</f>
        <v>19.3328716528163</v>
      </c>
      <c r="I42" s="442" t="n">
        <v>45205</v>
      </c>
      <c r="J42" s="157" t="n">
        <v>17328</v>
      </c>
      <c r="K42" s="78"/>
      <c r="L42" s="157" t="n">
        <v>17328</v>
      </c>
      <c r="M42" s="157" t="n">
        <v>2000</v>
      </c>
      <c r="P42" s="157" t="s">
        <v>2678</v>
      </c>
      <c r="R42" s="174" t="s">
        <v>279</v>
      </c>
      <c r="S42" s="157" t="n">
        <v>3838.69</v>
      </c>
      <c r="T42" s="443" t="n">
        <f aca="false">S42/L42</f>
        <v>0.221531048014774</v>
      </c>
      <c r="U42" s="157" t="s">
        <v>279</v>
      </c>
      <c r="V42" s="443"/>
      <c r="W42" s="443"/>
      <c r="X42" s="443"/>
      <c r="Y42" s="80" t="n">
        <v>335000</v>
      </c>
      <c r="Z42" s="80"/>
      <c r="AA42" s="80" t="n">
        <v>335000</v>
      </c>
      <c r="AB42" s="80"/>
      <c r="AC42" s="157" t="s">
        <v>2801</v>
      </c>
      <c r="AD42" s="157" t="s">
        <v>2802</v>
      </c>
      <c r="AE42" s="281" t="s">
        <v>2803</v>
      </c>
      <c r="AF42" s="281" t="s">
        <v>2804</v>
      </c>
      <c r="AI42" s="157" t="e">
        <f aca="false">IF(AND($E42=Subj_OccCode,Subj_BldgSF&gt;0,ABS($L42-Subj_BldgSF)&lt;=Subj_BldgSF*Subj_SizeTol),ABS($L42-Subj_BldgSF),NA())</f>
        <v>#N/A</v>
      </c>
      <c r="AJ42" s="1" t="e">
        <f aca="false">IF(ISNA(AI42),NA(),AI42+ROW()/10000000)</f>
        <v>#N/A</v>
      </c>
      <c r="AK42" s="157" t="str">
        <f aca="false">IF(AND(ISNUMBER($N42),$N42&gt;0,ISNUMBER($Y42)),$Y42/$N42,"")</f>
        <v/>
      </c>
    </row>
    <row r="43" customFormat="false" ht="15" hidden="false" customHeight="true" outlineLevel="0" collapsed="false">
      <c r="A43" s="441" t="n">
        <v>7</v>
      </c>
      <c r="B43" s="157" t="n">
        <v>35</v>
      </c>
      <c r="C43" s="157" t="s">
        <v>2805</v>
      </c>
      <c r="D43" s="157" t="s">
        <v>2806</v>
      </c>
      <c r="E43" s="157" t="n">
        <v>425</v>
      </c>
      <c r="F43" s="157" t="s">
        <v>2595</v>
      </c>
      <c r="G43" s="157" t="s">
        <v>2596</v>
      </c>
      <c r="H43" s="78" t="n">
        <f aca="false">Y43/J43</f>
        <v>18.4307692307692</v>
      </c>
      <c r="I43" s="442" t="n">
        <v>44957</v>
      </c>
      <c r="J43" s="157" t="n">
        <v>32500</v>
      </c>
      <c r="K43" s="78"/>
      <c r="L43" s="157" t="n">
        <v>32500</v>
      </c>
      <c r="M43" s="157" t="n">
        <v>2004</v>
      </c>
      <c r="P43" s="157" t="s">
        <v>2807</v>
      </c>
      <c r="R43" s="174" t="s">
        <v>279</v>
      </c>
      <c r="S43" s="157" t="n">
        <v>4740</v>
      </c>
      <c r="T43" s="443" t="n">
        <f aca="false">S43/L43</f>
        <v>0.145846153846154</v>
      </c>
      <c r="U43" s="157" t="s">
        <v>279</v>
      </c>
      <c r="V43" s="443"/>
      <c r="W43" s="443"/>
      <c r="X43" s="443"/>
      <c r="Y43" s="80" t="n">
        <v>599000</v>
      </c>
      <c r="Z43" s="80"/>
      <c r="AA43" s="80" t="n">
        <v>599000</v>
      </c>
      <c r="AB43" s="80"/>
      <c r="AC43" s="157" t="s">
        <v>2808</v>
      </c>
      <c r="AD43" s="157" t="s">
        <v>2809</v>
      </c>
      <c r="AE43" s="281" t="s">
        <v>2810</v>
      </c>
      <c r="AF43" s="281" t="s">
        <v>2811</v>
      </c>
      <c r="AI43" s="157" t="e">
        <f aca="false">IF(AND($E43=Subj_OccCode,Subj_BldgSF&gt;0,ABS($L43-Subj_BldgSF)&lt;=Subj_BldgSF*Subj_SizeTol),ABS($L43-Subj_BldgSF),NA())</f>
        <v>#N/A</v>
      </c>
      <c r="AJ43" s="1" t="e">
        <f aca="false">IF(ISNA(AI43),NA(),AI43+ROW()/10000000)</f>
        <v>#N/A</v>
      </c>
      <c r="AK43" s="157" t="str">
        <f aca="false">IF(AND(ISNUMBER($N43),$N43&gt;0,ISNUMBER($Y43)),$Y43/$N43,"")</f>
        <v/>
      </c>
    </row>
    <row r="44" customFormat="false" ht="15" hidden="false" customHeight="true" outlineLevel="0" collapsed="false">
      <c r="A44" s="441" t="n">
        <v>7</v>
      </c>
      <c r="B44" s="157" t="n">
        <v>36</v>
      </c>
      <c r="C44" s="157" t="s">
        <v>2812</v>
      </c>
      <c r="D44" s="157" t="s">
        <v>2813</v>
      </c>
      <c r="E44" s="157" t="n">
        <v>1332</v>
      </c>
      <c r="F44" s="157" t="s">
        <v>2581</v>
      </c>
      <c r="G44" s="157" t="s">
        <v>2567</v>
      </c>
      <c r="H44" s="78" t="n">
        <f aca="false">Y44/J44</f>
        <v>102803.738317757</v>
      </c>
      <c r="I44" s="442" t="n">
        <v>45113</v>
      </c>
      <c r="J44" s="157" t="n">
        <v>107</v>
      </c>
      <c r="K44" s="78"/>
      <c r="L44" s="157" t="n">
        <v>107</v>
      </c>
      <c r="M44" s="157" t="n">
        <v>1997</v>
      </c>
      <c r="P44" s="157" t="s">
        <v>2588</v>
      </c>
      <c r="R44" s="174" t="s">
        <v>279</v>
      </c>
      <c r="S44" s="157" t="n">
        <v>114649.92</v>
      </c>
      <c r="T44" s="443" t="n">
        <f aca="false">S44/L44</f>
        <v>1071.49457943925</v>
      </c>
      <c r="U44" s="157" t="s">
        <v>279</v>
      </c>
      <c r="V44" s="443"/>
      <c r="W44" s="443"/>
      <c r="X44" s="443"/>
      <c r="Y44" s="80" t="n">
        <v>11000000</v>
      </c>
      <c r="Z44" s="80"/>
      <c r="AA44" s="80" t="n">
        <v>11000000</v>
      </c>
      <c r="AB44" s="80"/>
      <c r="AC44" s="157" t="s">
        <v>2814</v>
      </c>
      <c r="AD44" s="157" t="s">
        <v>2815</v>
      </c>
      <c r="AE44" s="281" t="s">
        <v>2816</v>
      </c>
      <c r="AF44" s="281" t="s">
        <v>2817</v>
      </c>
      <c r="AI44" s="157" t="e">
        <f aca="false">IF(AND($E44=Subj_OccCode,Subj_BldgSF&gt;0,ABS($L44-Subj_BldgSF)&lt;=Subj_BldgSF*Subj_SizeTol),ABS($L44-Subj_BldgSF),NA())</f>
        <v>#N/A</v>
      </c>
      <c r="AJ44" s="1" t="e">
        <f aca="false">IF(ISNA(AI44),NA(),AI44+ROW()/10000000)</f>
        <v>#N/A</v>
      </c>
      <c r="AK44" s="157" t="str">
        <f aca="false">IF(AND(ISNUMBER($N44),$N44&gt;0,ISNUMBER($Y44)),$Y44/$N44,"")</f>
        <v/>
      </c>
    </row>
    <row r="45" customFormat="false" ht="15" hidden="false" customHeight="true" outlineLevel="0" collapsed="false">
      <c r="A45" s="441" t="n">
        <v>7</v>
      </c>
      <c r="B45" s="157" t="n">
        <v>37</v>
      </c>
      <c r="C45" s="157" t="s">
        <v>2818</v>
      </c>
      <c r="D45" s="157" t="s">
        <v>2819</v>
      </c>
      <c r="E45" s="157" t="n">
        <v>1344</v>
      </c>
      <c r="F45" s="157" t="s">
        <v>2566</v>
      </c>
      <c r="G45" s="157" t="s">
        <v>2567</v>
      </c>
      <c r="H45" s="78" t="n">
        <f aca="false">Y45/J45</f>
        <v>17.6164215686275</v>
      </c>
      <c r="I45" s="442" t="n">
        <v>45215</v>
      </c>
      <c r="J45" s="157" t="n">
        <v>19584</v>
      </c>
      <c r="K45" s="78"/>
      <c r="L45" s="157" t="n">
        <v>19584</v>
      </c>
      <c r="M45" s="157" t="n">
        <v>2001</v>
      </c>
      <c r="P45" s="157" t="s">
        <v>2658</v>
      </c>
      <c r="R45" s="174" t="s">
        <v>279</v>
      </c>
      <c r="S45" s="157" t="n">
        <v>5862</v>
      </c>
      <c r="T45" s="443" t="n">
        <f aca="false">S45/L45</f>
        <v>0.299325980392157</v>
      </c>
      <c r="U45" s="157" t="s">
        <v>279</v>
      </c>
      <c r="V45" s="443"/>
      <c r="W45" s="443"/>
      <c r="X45" s="443"/>
      <c r="Y45" s="80" t="n">
        <v>345000</v>
      </c>
      <c r="Z45" s="80"/>
      <c r="AA45" s="80" t="n">
        <v>345000</v>
      </c>
      <c r="AB45" s="80"/>
      <c r="AC45" s="157" t="s">
        <v>2820</v>
      </c>
      <c r="AD45" s="157" t="s">
        <v>2821</v>
      </c>
      <c r="AE45" s="281" t="s">
        <v>2822</v>
      </c>
      <c r="AF45" s="281" t="s">
        <v>2823</v>
      </c>
      <c r="AI45" s="157" t="e">
        <f aca="false">IF(AND($E45=Subj_OccCode,Subj_BldgSF&gt;0,ABS($L45-Subj_BldgSF)&lt;=Subj_BldgSF*Subj_SizeTol),ABS($L45-Subj_BldgSF),NA())</f>
        <v>#N/A</v>
      </c>
      <c r="AJ45" s="1" t="e">
        <f aca="false">IF(ISNA(AI45),NA(),AI45+ROW()/10000000)</f>
        <v>#N/A</v>
      </c>
      <c r="AK45" s="157" t="str">
        <f aca="false">IF(AND(ISNUMBER($N45),$N45&gt;0,ISNUMBER($Y45)),$Y45/$N45,"")</f>
        <v/>
      </c>
    </row>
    <row r="46" customFormat="false" ht="15" hidden="false" customHeight="true" outlineLevel="0" collapsed="false">
      <c r="A46" s="441" t="n">
        <v>7</v>
      </c>
      <c r="B46" s="157" t="n">
        <v>38</v>
      </c>
      <c r="C46" s="157" t="s">
        <v>2824</v>
      </c>
      <c r="D46" s="157" t="s">
        <v>2825</v>
      </c>
      <c r="E46" s="157" t="n">
        <v>227</v>
      </c>
      <c r="F46" s="157" t="s">
        <v>2677</v>
      </c>
      <c r="G46" s="157" t="s">
        <v>2567</v>
      </c>
      <c r="H46" s="78" t="n">
        <f aca="false">Y46/J46</f>
        <v>325.039689056769</v>
      </c>
      <c r="I46" s="442" t="n">
        <v>45379</v>
      </c>
      <c r="J46" s="157" t="n">
        <v>36534</v>
      </c>
      <c r="K46" s="78"/>
      <c r="L46" s="157" t="n">
        <v>36534</v>
      </c>
      <c r="M46" s="157" t="n">
        <v>1975</v>
      </c>
      <c r="P46" s="157" t="s">
        <v>2678</v>
      </c>
      <c r="R46" s="174" t="s">
        <v>279</v>
      </c>
      <c r="S46" s="157" t="n">
        <v>586186.92</v>
      </c>
      <c r="T46" s="443" t="n">
        <f aca="false">S46/L46</f>
        <v>16.0449696173428</v>
      </c>
      <c r="U46" s="157" t="s">
        <v>279</v>
      </c>
      <c r="V46" s="443"/>
      <c r="W46" s="443"/>
      <c r="X46" s="443"/>
      <c r="Y46" s="80" t="n">
        <v>11875000</v>
      </c>
      <c r="Z46" s="80"/>
      <c r="AA46" s="80" t="n">
        <v>11875000</v>
      </c>
      <c r="AB46" s="80"/>
      <c r="AC46" s="157" t="s">
        <v>2826</v>
      </c>
      <c r="AD46" s="157" t="s">
        <v>2827</v>
      </c>
      <c r="AE46" s="281" t="s">
        <v>2828</v>
      </c>
      <c r="AF46" s="281" t="s">
        <v>2829</v>
      </c>
      <c r="AI46" s="157" t="e">
        <f aca="false">IF(AND($E46=Subj_OccCode,Subj_BldgSF&gt;0,ABS($L46-Subj_BldgSF)&lt;=Subj_BldgSF*Subj_SizeTol),ABS($L46-Subj_BldgSF),NA())</f>
        <v>#N/A</v>
      </c>
      <c r="AJ46" s="1" t="e">
        <f aca="false">IF(ISNA(AI46),NA(),AI46+ROW()/10000000)</f>
        <v>#N/A</v>
      </c>
      <c r="AK46" s="157" t="str">
        <f aca="false">IF(AND(ISNUMBER($N46),$N46&gt;0,ISNUMBER($Y46)),$Y46/$N46,"")</f>
        <v/>
      </c>
    </row>
    <row r="47" customFormat="false" ht="15" hidden="false" customHeight="true" outlineLevel="0" collapsed="false">
      <c r="A47" s="441" t="n">
        <v>7</v>
      </c>
      <c r="B47" s="157" t="n">
        <v>39</v>
      </c>
      <c r="C47" s="157" t="s">
        <v>2830</v>
      </c>
      <c r="D47" s="157" t="s">
        <v>2831</v>
      </c>
      <c r="E47" s="157" t="n">
        <v>353</v>
      </c>
      <c r="F47" s="157" t="s">
        <v>2677</v>
      </c>
      <c r="G47" s="157" t="s">
        <v>2567</v>
      </c>
      <c r="H47" s="78" t="n">
        <f aca="false">Y47/J47</f>
        <v>309.597523219814</v>
      </c>
      <c r="I47" s="442" t="n">
        <v>45294</v>
      </c>
      <c r="J47" s="157" t="n">
        <v>1292</v>
      </c>
      <c r="K47" s="78"/>
      <c r="L47" s="157" t="n">
        <v>1292</v>
      </c>
      <c r="M47" s="157" t="n">
        <v>1959</v>
      </c>
      <c r="P47" s="157" t="s">
        <v>2678</v>
      </c>
      <c r="R47" s="174" t="s">
        <v>279</v>
      </c>
      <c r="S47" s="157" t="n">
        <v>10018.8</v>
      </c>
      <c r="T47" s="443" t="n">
        <f aca="false">S47/L47</f>
        <v>7.75448916408669</v>
      </c>
      <c r="U47" s="157" t="s">
        <v>279</v>
      </c>
      <c r="V47" s="443"/>
      <c r="W47" s="443"/>
      <c r="X47" s="443"/>
      <c r="Y47" s="80" t="n">
        <v>400000</v>
      </c>
      <c r="Z47" s="80"/>
      <c r="AA47" s="80" t="n">
        <v>400000</v>
      </c>
      <c r="AB47" s="80"/>
      <c r="AC47" s="157" t="s">
        <v>2832</v>
      </c>
      <c r="AD47" s="157" t="s">
        <v>2833</v>
      </c>
      <c r="AE47" s="281" t="s">
        <v>2834</v>
      </c>
      <c r="AF47" s="281" t="s">
        <v>2835</v>
      </c>
      <c r="AI47" s="157" t="e">
        <f aca="false">IF(AND($E47=Subj_OccCode,Subj_BldgSF&gt;0,ABS($L47-Subj_BldgSF)&lt;=Subj_BldgSF*Subj_SizeTol),ABS($L47-Subj_BldgSF),NA())</f>
        <v>#N/A</v>
      </c>
      <c r="AJ47" s="1" t="e">
        <f aca="false">IF(ISNA(AI47),NA(),AI47+ROW()/10000000)</f>
        <v>#N/A</v>
      </c>
      <c r="AK47" s="157" t="str">
        <f aca="false">IF(AND(ISNUMBER($N47),$N47&gt;0,ISNUMBER($Y47)),$Y47/$N47,"")</f>
        <v/>
      </c>
    </row>
    <row r="48" customFormat="false" ht="15" hidden="false" customHeight="true" outlineLevel="0" collapsed="false">
      <c r="A48" s="441" t="n">
        <v>7</v>
      </c>
      <c r="B48" s="157" t="n">
        <v>40</v>
      </c>
      <c r="C48" s="157" t="s">
        <v>2836</v>
      </c>
      <c r="D48" s="157" t="s">
        <v>2837</v>
      </c>
      <c r="E48" s="157" t="n">
        <v>353</v>
      </c>
      <c r="F48" s="157" t="s">
        <v>2581</v>
      </c>
      <c r="G48" s="157" t="s">
        <v>2567</v>
      </c>
      <c r="H48" s="78" t="n">
        <f aca="false">Y48/J48</f>
        <v>323.878692707822</v>
      </c>
      <c r="I48" s="442" t="n">
        <v>44764</v>
      </c>
      <c r="J48" s="157" t="n">
        <v>10189</v>
      </c>
      <c r="K48" s="78"/>
      <c r="L48" s="157" t="n">
        <v>10189</v>
      </c>
      <c r="M48" s="157" t="n">
        <v>1986</v>
      </c>
      <c r="P48" s="157" t="s">
        <v>2588</v>
      </c>
      <c r="R48" s="174" t="s">
        <v>279</v>
      </c>
      <c r="S48" s="157" t="n">
        <v>66211</v>
      </c>
      <c r="T48" s="443" t="n">
        <f aca="false">S48/L48</f>
        <v>6.49828246147806</v>
      </c>
      <c r="U48" s="157" t="s">
        <v>279</v>
      </c>
      <c r="V48" s="443"/>
      <c r="W48" s="443"/>
      <c r="X48" s="443"/>
      <c r="Y48" s="80" t="n">
        <v>3300000</v>
      </c>
      <c r="Z48" s="80"/>
      <c r="AA48" s="80" t="n">
        <v>3300000</v>
      </c>
      <c r="AB48" s="80"/>
      <c r="AC48" s="157" t="s">
        <v>2838</v>
      </c>
      <c r="AD48" s="157" t="s">
        <v>2839</v>
      </c>
      <c r="AE48" s="281" t="s">
        <v>2840</v>
      </c>
      <c r="AF48" s="281" t="s">
        <v>2841</v>
      </c>
      <c r="AI48" s="157" t="e">
        <f aca="false">IF(AND($E48=Subj_OccCode,Subj_BldgSF&gt;0,ABS($L48-Subj_BldgSF)&lt;=Subj_BldgSF*Subj_SizeTol),ABS($L48-Subj_BldgSF),NA())</f>
        <v>#N/A</v>
      </c>
      <c r="AJ48" s="1" t="e">
        <f aca="false">IF(ISNA(AI48),NA(),AI48+ROW()/10000000)</f>
        <v>#N/A</v>
      </c>
      <c r="AK48" s="157" t="str">
        <f aca="false">IF(AND(ISNUMBER($N48),$N48&gt;0,ISNUMBER($Y48)),$Y48/$N48,"")</f>
        <v/>
      </c>
    </row>
    <row r="49" customFormat="false" ht="15" hidden="false" customHeight="true" outlineLevel="0" collapsed="false">
      <c r="A49" s="441" t="n">
        <v>7</v>
      </c>
      <c r="B49" s="157" t="n">
        <v>41</v>
      </c>
      <c r="C49" s="157" t="s">
        <v>2842</v>
      </c>
      <c r="D49" s="157" t="s">
        <v>2843</v>
      </c>
      <c r="E49" s="157" t="n">
        <v>344</v>
      </c>
      <c r="F49" s="157" t="s">
        <v>2581</v>
      </c>
      <c r="G49" s="157" t="s">
        <v>2567</v>
      </c>
      <c r="H49" s="78" t="n">
        <f aca="false">Y49/J49</f>
        <v>178.465199286139</v>
      </c>
      <c r="I49" s="442" t="n">
        <v>44838</v>
      </c>
      <c r="J49" s="157" t="n">
        <v>3362</v>
      </c>
      <c r="K49" s="78"/>
      <c r="L49" s="157" t="n">
        <v>3362</v>
      </c>
      <c r="M49" s="157" t="n">
        <v>1987</v>
      </c>
      <c r="P49" s="157" t="s">
        <v>2588</v>
      </c>
      <c r="R49" s="174" t="s">
        <v>279</v>
      </c>
      <c r="S49" s="157" t="n">
        <v>3070</v>
      </c>
      <c r="T49" s="443" t="n">
        <f aca="false">S49/L49</f>
        <v>0.913146936347412</v>
      </c>
      <c r="U49" s="157" t="s">
        <v>279</v>
      </c>
      <c r="V49" s="443"/>
      <c r="W49" s="443"/>
      <c r="X49" s="443"/>
      <c r="Y49" s="80" t="n">
        <v>600000</v>
      </c>
      <c r="Z49" s="80"/>
      <c r="AA49" s="80" t="n">
        <v>600000</v>
      </c>
      <c r="AB49" s="80"/>
      <c r="AC49" s="157" t="s">
        <v>2844</v>
      </c>
      <c r="AD49" s="157" t="s">
        <v>2845</v>
      </c>
      <c r="AE49" s="281" t="s">
        <v>2846</v>
      </c>
      <c r="AF49" s="281" t="s">
        <v>2847</v>
      </c>
      <c r="AI49" s="157" t="e">
        <f aca="false">IF(AND($E49=Subj_OccCode,Subj_BldgSF&gt;0,ABS($L49-Subj_BldgSF)&lt;=Subj_BldgSF*Subj_SizeTol),ABS($L49-Subj_BldgSF),NA())</f>
        <v>#N/A</v>
      </c>
      <c r="AJ49" s="1" t="e">
        <f aca="false">IF(ISNA(AI49),NA(),AI49+ROW()/10000000)</f>
        <v>#N/A</v>
      </c>
      <c r="AK49" s="157" t="str">
        <f aca="false">IF(AND(ISNUMBER($N49),$N49&gt;0,ISNUMBER($Y49)),$Y49/$N49,"")</f>
        <v/>
      </c>
    </row>
    <row r="50" customFormat="false" ht="15" hidden="false" customHeight="true" outlineLevel="0" collapsed="false">
      <c r="A50" s="441" t="n">
        <v>7</v>
      </c>
      <c r="B50" s="157" t="n">
        <v>42</v>
      </c>
      <c r="C50" s="157" t="s">
        <v>2848</v>
      </c>
      <c r="D50" s="157" t="s">
        <v>2849</v>
      </c>
      <c r="E50" s="157" t="n">
        <v>304</v>
      </c>
      <c r="F50" s="157" t="s">
        <v>2677</v>
      </c>
      <c r="G50" s="157" t="s">
        <v>354</v>
      </c>
      <c r="H50" s="78" t="n">
        <f aca="false">Y50/J50</f>
        <v>247.639236847177</v>
      </c>
      <c r="I50" s="442" t="n">
        <v>44845</v>
      </c>
      <c r="J50" s="157" t="n">
        <v>5189</v>
      </c>
      <c r="K50" s="78"/>
      <c r="L50" s="157" t="n">
        <v>5189</v>
      </c>
      <c r="M50" s="157" t="n">
        <v>2006</v>
      </c>
      <c r="P50" s="157" t="s">
        <v>2678</v>
      </c>
      <c r="R50" s="174" t="s">
        <v>279</v>
      </c>
      <c r="S50" s="157" t="n">
        <v>37287</v>
      </c>
      <c r="T50" s="443" t="n">
        <f aca="false">S50/L50</f>
        <v>7.18577760647524</v>
      </c>
      <c r="U50" s="157" t="s">
        <v>279</v>
      </c>
      <c r="V50" s="443"/>
      <c r="W50" s="443"/>
      <c r="X50" s="443"/>
      <c r="Y50" s="80" t="n">
        <v>1285000</v>
      </c>
      <c r="Z50" s="80"/>
      <c r="AA50" s="80" t="n">
        <v>1285000</v>
      </c>
      <c r="AB50" s="80"/>
      <c r="AC50" s="157" t="s">
        <v>2850</v>
      </c>
      <c r="AD50" s="157" t="s">
        <v>2851</v>
      </c>
      <c r="AE50" s="281" t="s">
        <v>2852</v>
      </c>
      <c r="AF50" s="281" t="s">
        <v>2853</v>
      </c>
      <c r="AI50" s="157" t="e">
        <f aca="false">IF(AND($E50=Subj_OccCode,Subj_BldgSF&gt;0,ABS($L50-Subj_BldgSF)&lt;=Subj_BldgSF*Subj_SizeTol),ABS($L50-Subj_BldgSF),NA())</f>
        <v>#N/A</v>
      </c>
      <c r="AJ50" s="1" t="e">
        <f aca="false">IF(ISNA(AI50),NA(),AI50+ROW()/10000000)</f>
        <v>#N/A</v>
      </c>
      <c r="AK50" s="157" t="str">
        <f aca="false">IF(AND(ISNUMBER($N50),$N50&gt;0,ISNUMBER($Y50)),$Y50/$N50,"")</f>
        <v/>
      </c>
    </row>
    <row r="51" customFormat="false" ht="15" hidden="false" customHeight="true" outlineLevel="0" collapsed="false">
      <c r="A51" s="441" t="n">
        <v>7</v>
      </c>
      <c r="B51" s="157" t="n">
        <v>43</v>
      </c>
      <c r="C51" s="157" t="s">
        <v>2854</v>
      </c>
      <c r="D51" s="157" t="s">
        <v>2855</v>
      </c>
      <c r="E51" s="157" t="n">
        <v>353</v>
      </c>
      <c r="F51" s="157" t="s">
        <v>2581</v>
      </c>
      <c r="G51" s="157" t="s">
        <v>354</v>
      </c>
      <c r="H51" s="78" t="n">
        <f aca="false">Y51/J51</f>
        <v>383.054698912514</v>
      </c>
      <c r="I51" s="442" t="n">
        <v>44774</v>
      </c>
      <c r="J51" s="157" t="n">
        <v>6161</v>
      </c>
      <c r="K51" s="78"/>
      <c r="L51" s="157" t="n">
        <v>6161</v>
      </c>
      <c r="M51" s="157" t="n">
        <v>2017</v>
      </c>
      <c r="P51" s="157" t="s">
        <v>2588</v>
      </c>
      <c r="R51" s="174" t="s">
        <v>279</v>
      </c>
      <c r="S51" s="157" t="n">
        <v>41047</v>
      </c>
      <c r="T51" s="443" t="n">
        <f aca="false">S51/L51</f>
        <v>6.66239246875507</v>
      </c>
      <c r="U51" s="157" t="s">
        <v>279</v>
      </c>
      <c r="V51" s="443"/>
      <c r="W51" s="443"/>
      <c r="X51" s="443"/>
      <c r="Y51" s="80" t="n">
        <v>2360000</v>
      </c>
      <c r="Z51" s="80"/>
      <c r="AA51" s="80" t="n">
        <v>2360000</v>
      </c>
      <c r="AB51" s="80"/>
      <c r="AC51" s="157" t="s">
        <v>2856</v>
      </c>
      <c r="AD51" s="157" t="s">
        <v>2857</v>
      </c>
      <c r="AE51" s="281" t="s">
        <v>2630</v>
      </c>
      <c r="AF51" s="281" t="s">
        <v>2858</v>
      </c>
      <c r="AI51" s="157" t="e">
        <f aca="false">IF(AND($E51=Subj_OccCode,Subj_BldgSF&gt;0,ABS($L51-Subj_BldgSF)&lt;=Subj_BldgSF*Subj_SizeTol),ABS($L51-Subj_BldgSF),NA())</f>
        <v>#N/A</v>
      </c>
      <c r="AJ51" s="1" t="e">
        <f aca="false">IF(ISNA(AI51),NA(),AI51+ROW()/10000000)</f>
        <v>#N/A</v>
      </c>
      <c r="AK51" s="157" t="str">
        <f aca="false">IF(AND(ISNUMBER($N51),$N51&gt;0,ISNUMBER($Y51)),$Y51/$N51,"")</f>
        <v/>
      </c>
    </row>
    <row r="52" customFormat="false" ht="15" hidden="false" customHeight="true" outlineLevel="0" collapsed="false">
      <c r="A52" s="441" t="n">
        <v>7</v>
      </c>
      <c r="B52" s="157" t="n">
        <v>44</v>
      </c>
      <c r="C52" s="157" t="s">
        <v>2859</v>
      </c>
      <c r="D52" s="157" t="s">
        <v>2860</v>
      </c>
      <c r="E52" s="157" t="n">
        <v>425</v>
      </c>
      <c r="F52" s="157" t="s">
        <v>2581</v>
      </c>
      <c r="G52" s="157" t="s">
        <v>354</v>
      </c>
      <c r="H52" s="78" t="n">
        <f aca="false">Y52/J52</f>
        <v>36.2133438299547</v>
      </c>
      <c r="I52" s="442" t="n">
        <v>45007</v>
      </c>
      <c r="J52" s="157" t="n">
        <v>15243</v>
      </c>
      <c r="K52" s="78"/>
      <c r="L52" s="157" t="n">
        <v>15243</v>
      </c>
      <c r="M52" s="157" t="n">
        <v>2016</v>
      </c>
      <c r="P52" s="157" t="s">
        <v>2588</v>
      </c>
      <c r="R52" s="174" t="s">
        <v>483</v>
      </c>
      <c r="S52" s="157" t="n">
        <v>5569</v>
      </c>
      <c r="T52" s="443" t="n">
        <f aca="false">S52/L52</f>
        <v>0.365348028603293</v>
      </c>
      <c r="U52" s="157" t="s">
        <v>483</v>
      </c>
      <c r="V52" s="443"/>
      <c r="W52" s="443"/>
      <c r="X52" s="443"/>
      <c r="Y52" s="80" t="n">
        <v>552000</v>
      </c>
      <c r="Z52" s="80"/>
      <c r="AA52" s="80" t="n">
        <v>552000</v>
      </c>
      <c r="AB52" s="80"/>
      <c r="AC52" s="157" t="s">
        <v>2861</v>
      </c>
      <c r="AD52" s="157" t="s">
        <v>2862</v>
      </c>
      <c r="AE52" s="281" t="s">
        <v>2863</v>
      </c>
      <c r="AF52" s="281" t="s">
        <v>2864</v>
      </c>
      <c r="AI52" s="157" t="e">
        <f aca="false">IF(AND($E52=Subj_OccCode,Subj_BldgSF&gt;0,ABS($L52-Subj_BldgSF)&lt;=Subj_BldgSF*Subj_SizeTol),ABS($L52-Subj_BldgSF),NA())</f>
        <v>#N/A</v>
      </c>
      <c r="AJ52" s="1" t="e">
        <f aca="false">IF(ISNA(AI52),NA(),AI52+ROW()/10000000)</f>
        <v>#N/A</v>
      </c>
      <c r="AK52" s="157" t="str">
        <f aca="false">IF(AND(ISNUMBER($N52),$N52&gt;0,ISNUMBER($Y52)),$Y52/$N52,"")</f>
        <v/>
      </c>
    </row>
    <row r="53" customFormat="false" ht="15" hidden="false" customHeight="true" outlineLevel="0" collapsed="false">
      <c r="A53" s="441" t="n">
        <v>7</v>
      </c>
      <c r="B53" s="157" t="n">
        <v>45</v>
      </c>
      <c r="C53" s="157" t="s">
        <v>2865</v>
      </c>
      <c r="D53" s="157" t="s">
        <v>2860</v>
      </c>
      <c r="E53" s="157" t="n">
        <v>425</v>
      </c>
      <c r="F53" s="157" t="s">
        <v>2581</v>
      </c>
      <c r="G53" s="157" t="s">
        <v>354</v>
      </c>
      <c r="H53" s="78" t="n">
        <f aca="false">Y53/J53</f>
        <v>35.7188013655329</v>
      </c>
      <c r="I53" s="442" t="n">
        <v>44931</v>
      </c>
      <c r="J53" s="157" t="n">
        <v>15818</v>
      </c>
      <c r="K53" s="78"/>
      <c r="L53" s="157" t="n">
        <v>15818</v>
      </c>
      <c r="M53" s="157" t="n">
        <v>2016</v>
      </c>
      <c r="P53" s="157" t="s">
        <v>2588</v>
      </c>
      <c r="R53" s="174" t="s">
        <v>483</v>
      </c>
      <c r="S53" s="157" t="n">
        <v>5569</v>
      </c>
      <c r="T53" s="443" t="n">
        <f aca="false">S53/L53</f>
        <v>0.352067265140979</v>
      </c>
      <c r="U53" s="157" t="s">
        <v>483</v>
      </c>
      <c r="V53" s="443"/>
      <c r="W53" s="443"/>
      <c r="X53" s="443"/>
      <c r="Y53" s="80" t="n">
        <v>565000</v>
      </c>
      <c r="Z53" s="80"/>
      <c r="AA53" s="80" t="n">
        <v>565000</v>
      </c>
      <c r="AB53" s="80"/>
      <c r="AC53" s="157" t="s">
        <v>2866</v>
      </c>
      <c r="AD53" s="157" t="s">
        <v>2867</v>
      </c>
      <c r="AE53" s="281" t="s">
        <v>2868</v>
      </c>
      <c r="AF53" s="281" t="s">
        <v>2869</v>
      </c>
      <c r="AI53" s="157" t="e">
        <f aca="false">IF(AND($E53=Subj_OccCode,Subj_BldgSF&gt;0,ABS($L53-Subj_BldgSF)&lt;=Subj_BldgSF*Subj_SizeTol),ABS($L53-Subj_BldgSF),NA())</f>
        <v>#N/A</v>
      </c>
      <c r="AJ53" s="1" t="e">
        <f aca="false">IF(ISNA(AI53),NA(),AI53+ROW()/10000000)</f>
        <v>#N/A</v>
      </c>
      <c r="AK53" s="157" t="str">
        <f aca="false">IF(AND(ISNUMBER($N53),$N53&gt;0,ISNUMBER($Y53)),$Y53/$N53,"")</f>
        <v/>
      </c>
    </row>
    <row r="54" customFormat="false" ht="15" hidden="false" customHeight="true" outlineLevel="0" collapsed="false">
      <c r="A54" s="441" t="n">
        <v>7</v>
      </c>
      <c r="B54" s="157" t="n">
        <v>46</v>
      </c>
      <c r="C54" s="157" t="s">
        <v>2870</v>
      </c>
      <c r="D54" s="157" t="s">
        <v>2871</v>
      </c>
      <c r="E54" s="157" t="n">
        <v>407</v>
      </c>
      <c r="F54" s="157" t="s">
        <v>2595</v>
      </c>
      <c r="G54" s="157" t="s">
        <v>2596</v>
      </c>
      <c r="H54" s="78" t="n">
        <f aca="false">Y54/J54</f>
        <v>109.152813939515</v>
      </c>
      <c r="I54" s="442" t="n">
        <v>45219</v>
      </c>
      <c r="J54" s="157" t="n">
        <v>99860</v>
      </c>
      <c r="K54" s="78"/>
      <c r="L54" s="157" t="n">
        <v>99860</v>
      </c>
      <c r="M54" s="157" t="n">
        <v>1984</v>
      </c>
      <c r="P54" s="157" t="s">
        <v>2713</v>
      </c>
      <c r="R54" s="174" t="s">
        <v>279</v>
      </c>
      <c r="S54" s="157" t="n">
        <v>184258</v>
      </c>
      <c r="T54" s="443" t="n">
        <f aca="false">S54/L54</f>
        <v>1.84516322851993</v>
      </c>
      <c r="U54" s="157" t="s">
        <v>279</v>
      </c>
      <c r="V54" s="443"/>
      <c r="W54" s="443"/>
      <c r="X54" s="443"/>
      <c r="Y54" s="80" t="n">
        <v>10900000</v>
      </c>
      <c r="Z54" s="80"/>
      <c r="AA54" s="80" t="n">
        <v>10900000</v>
      </c>
      <c r="AB54" s="80"/>
      <c r="AC54" s="157" t="s">
        <v>2872</v>
      </c>
      <c r="AD54" s="157" t="s">
        <v>2873</v>
      </c>
      <c r="AE54" s="281" t="s">
        <v>2874</v>
      </c>
      <c r="AF54" s="281" t="s">
        <v>2875</v>
      </c>
      <c r="AI54" s="157" t="e">
        <f aca="false">IF(AND($E54=Subj_OccCode,Subj_BldgSF&gt;0,ABS($L54-Subj_BldgSF)&lt;=Subj_BldgSF*Subj_SizeTol),ABS($L54-Subj_BldgSF),NA())</f>
        <v>#N/A</v>
      </c>
      <c r="AJ54" s="1" t="e">
        <f aca="false">IF(ISNA(AI54),NA(),AI54+ROW()/10000000)</f>
        <v>#N/A</v>
      </c>
      <c r="AK54" s="157" t="str">
        <f aca="false">IF(AND(ISNUMBER($N54),$N54&gt;0,ISNUMBER($Y54)),$Y54/$N54,"")</f>
        <v/>
      </c>
    </row>
    <row r="55" customFormat="false" ht="15" hidden="false" customHeight="true" outlineLevel="0" collapsed="false">
      <c r="A55" s="441" t="n">
        <v>7</v>
      </c>
      <c r="B55" s="157" t="n">
        <v>47</v>
      </c>
      <c r="C55" s="157" t="s">
        <v>2876</v>
      </c>
      <c r="D55" s="157" t="s">
        <v>2877</v>
      </c>
      <c r="E55" s="157" t="n">
        <v>344</v>
      </c>
      <c r="G55" s="157" t="s">
        <v>2691</v>
      </c>
      <c r="H55" s="78" t="n">
        <f aca="false">Y55/J55</f>
        <v>286.916602907422</v>
      </c>
      <c r="I55" s="442" t="n">
        <v>45317</v>
      </c>
      <c r="J55" s="157" t="n">
        <v>15684</v>
      </c>
      <c r="K55" s="78"/>
      <c r="L55" s="157" t="n">
        <v>15684</v>
      </c>
      <c r="M55" s="157" t="n">
        <v>1971</v>
      </c>
      <c r="P55" s="157" t="s">
        <v>2692</v>
      </c>
      <c r="R55" s="174" t="s">
        <v>279</v>
      </c>
      <c r="S55" s="157" t="n">
        <v>35459</v>
      </c>
      <c r="T55" s="443" t="n">
        <f aca="false">S55/L55</f>
        <v>2.26083907166539</v>
      </c>
      <c r="U55" s="157" t="s">
        <v>279</v>
      </c>
      <c r="V55" s="443"/>
      <c r="W55" s="443"/>
      <c r="X55" s="443"/>
      <c r="Y55" s="80" t="n">
        <v>4500000</v>
      </c>
      <c r="Z55" s="80"/>
      <c r="AA55" s="80" t="n">
        <v>4500000</v>
      </c>
      <c r="AB55" s="80"/>
      <c r="AC55" s="157" t="s">
        <v>2878</v>
      </c>
      <c r="AD55" s="157" t="s">
        <v>2879</v>
      </c>
      <c r="AE55" s="281" t="s">
        <v>2880</v>
      </c>
      <c r="AF55" s="281" t="s">
        <v>2881</v>
      </c>
      <c r="AI55" s="157" t="e">
        <f aca="false">IF(AND($E55=Subj_OccCode,Subj_BldgSF&gt;0,ABS($L55-Subj_BldgSF)&lt;=Subj_BldgSF*Subj_SizeTol),ABS($L55-Subj_BldgSF),NA())</f>
        <v>#N/A</v>
      </c>
      <c r="AJ55" s="1" t="e">
        <f aca="false">IF(ISNA(AI55),NA(),AI55+ROW()/10000000)</f>
        <v>#N/A</v>
      </c>
      <c r="AK55" s="157" t="str">
        <f aca="false">IF(AND(ISNUMBER($N55),$N55&gt;0,ISNUMBER($Y55)),$Y55/$N55,"")</f>
        <v/>
      </c>
    </row>
    <row r="56" customFormat="false" ht="15" hidden="false" customHeight="true" outlineLevel="0" collapsed="false">
      <c r="A56" s="441" t="n">
        <v>7</v>
      </c>
      <c r="B56" s="157" t="n">
        <v>48</v>
      </c>
      <c r="C56" s="157" t="s">
        <v>2882</v>
      </c>
      <c r="D56" s="157" t="s">
        <v>2883</v>
      </c>
      <c r="E56" s="157" t="n">
        <v>407</v>
      </c>
      <c r="G56" s="157" t="s">
        <v>2691</v>
      </c>
      <c r="H56" s="78" t="n">
        <f aca="false">Y56/J56</f>
        <v>232.876712328767</v>
      </c>
      <c r="I56" s="442" t="n">
        <v>45078</v>
      </c>
      <c r="J56" s="157" t="n">
        <v>14600</v>
      </c>
      <c r="K56" s="78"/>
      <c r="L56" s="157" t="n">
        <v>14600</v>
      </c>
      <c r="M56" s="157" t="n">
        <v>2006</v>
      </c>
      <c r="P56" s="157" t="s">
        <v>2750</v>
      </c>
      <c r="R56" s="174" t="s">
        <v>279</v>
      </c>
      <c r="S56" s="157" t="n">
        <v>59677.2</v>
      </c>
      <c r="T56" s="443" t="n">
        <f aca="false">S56/L56</f>
        <v>4.0874794520548</v>
      </c>
      <c r="U56" s="157" t="s">
        <v>279</v>
      </c>
      <c r="V56" s="443"/>
      <c r="W56" s="443"/>
      <c r="X56" s="443"/>
      <c r="Y56" s="80" t="n">
        <v>3400000</v>
      </c>
      <c r="Z56" s="80"/>
      <c r="AA56" s="80" t="n">
        <v>3400000</v>
      </c>
      <c r="AB56" s="80"/>
      <c r="AC56" s="157" t="s">
        <v>2884</v>
      </c>
      <c r="AD56" s="157" t="s">
        <v>2885</v>
      </c>
      <c r="AE56" s="281" t="s">
        <v>2886</v>
      </c>
      <c r="AF56" s="281" t="s">
        <v>2887</v>
      </c>
      <c r="AI56" s="157" t="e">
        <f aca="false">IF(AND($E56=Subj_OccCode,Subj_BldgSF&gt;0,ABS($L56-Subj_BldgSF)&lt;=Subj_BldgSF*Subj_SizeTol),ABS($L56-Subj_BldgSF),NA())</f>
        <v>#N/A</v>
      </c>
      <c r="AJ56" s="1" t="e">
        <f aca="false">IF(ISNA(AI56),NA(),AI56+ROW()/10000000)</f>
        <v>#N/A</v>
      </c>
      <c r="AK56" s="157" t="str">
        <f aca="false">IF(AND(ISNUMBER($N56),$N56&gt;0,ISNUMBER($Y56)),$Y56/$N56,"")</f>
        <v/>
      </c>
    </row>
    <row r="57" customFormat="false" ht="15" hidden="false" customHeight="true" outlineLevel="0" collapsed="false">
      <c r="A57" s="441" t="n">
        <v>7</v>
      </c>
      <c r="B57" s="157" t="n">
        <v>49</v>
      </c>
      <c r="C57" s="157" t="s">
        <v>2888</v>
      </c>
      <c r="D57" s="157" t="s">
        <v>2889</v>
      </c>
      <c r="E57" s="157" t="n">
        <v>326</v>
      </c>
      <c r="F57" s="157" t="s">
        <v>2595</v>
      </c>
      <c r="G57" s="157" t="s">
        <v>2596</v>
      </c>
      <c r="H57" s="78" t="n">
        <f aca="false">Y57/J57</f>
        <v>291.666666666667</v>
      </c>
      <c r="I57" s="442" t="n">
        <v>45169</v>
      </c>
      <c r="J57" s="157" t="n">
        <v>14400</v>
      </c>
      <c r="K57" s="78"/>
      <c r="L57" s="157" t="n">
        <v>14400</v>
      </c>
      <c r="M57" s="157" t="n">
        <v>2010</v>
      </c>
      <c r="P57" s="157" t="s">
        <v>2713</v>
      </c>
      <c r="R57" s="174" t="s">
        <v>279</v>
      </c>
      <c r="S57" s="157" t="n">
        <v>104566</v>
      </c>
      <c r="T57" s="443" t="n">
        <f aca="false">S57/L57</f>
        <v>7.26152777777778</v>
      </c>
      <c r="U57" s="157" t="s">
        <v>279</v>
      </c>
      <c r="V57" s="443"/>
      <c r="W57" s="443"/>
      <c r="X57" s="443"/>
      <c r="Y57" s="80" t="n">
        <v>4200000</v>
      </c>
      <c r="Z57" s="80"/>
      <c r="AA57" s="80" t="n">
        <v>4200000</v>
      </c>
      <c r="AB57" s="80"/>
      <c r="AC57" s="157" t="s">
        <v>2890</v>
      </c>
      <c r="AD57" s="157" t="s">
        <v>2891</v>
      </c>
      <c r="AE57" s="281" t="s">
        <v>2892</v>
      </c>
      <c r="AF57" s="281" t="s">
        <v>2893</v>
      </c>
      <c r="AI57" s="157" t="e">
        <f aca="false">IF(AND($E57=Subj_OccCode,Subj_BldgSF&gt;0,ABS($L57-Subj_BldgSF)&lt;=Subj_BldgSF*Subj_SizeTol),ABS($L57-Subj_BldgSF),NA())</f>
        <v>#N/A</v>
      </c>
      <c r="AJ57" s="1" t="e">
        <f aca="false">IF(ISNA(AI57),NA(),AI57+ROW()/10000000)</f>
        <v>#N/A</v>
      </c>
      <c r="AK57" s="157" t="str">
        <f aca="false">IF(AND(ISNUMBER($N57),$N57&gt;0,ISNUMBER($Y57)),$Y57/$N57,"")</f>
        <v/>
      </c>
    </row>
    <row r="58" customFormat="false" ht="15" hidden="false" customHeight="true" outlineLevel="0" collapsed="false">
      <c r="A58" s="441" t="n">
        <v>7</v>
      </c>
      <c r="B58" s="157" t="n">
        <v>50</v>
      </c>
      <c r="C58" s="157" t="s">
        <v>2894</v>
      </c>
      <c r="D58" s="157" t="s">
        <v>2895</v>
      </c>
      <c r="E58" s="157" t="n">
        <v>344</v>
      </c>
      <c r="F58" s="157" t="s">
        <v>260</v>
      </c>
      <c r="G58" s="157" t="s">
        <v>353</v>
      </c>
      <c r="H58" s="78" t="n">
        <f aca="false">Y58/J58</f>
        <v>504</v>
      </c>
      <c r="I58" s="442" t="n">
        <v>45043</v>
      </c>
      <c r="J58" s="157" t="n">
        <v>2500</v>
      </c>
      <c r="K58" s="78"/>
      <c r="L58" s="157" t="n">
        <v>2500</v>
      </c>
      <c r="M58" s="157" t="n">
        <v>1972</v>
      </c>
      <c r="P58" s="157" t="s">
        <v>2896</v>
      </c>
      <c r="R58" s="174" t="s">
        <v>279</v>
      </c>
      <c r="S58" s="157" t="n">
        <v>10454.4</v>
      </c>
      <c r="T58" s="443" t="n">
        <f aca="false">S58/L58</f>
        <v>4.18176</v>
      </c>
      <c r="U58" s="157" t="s">
        <v>279</v>
      </c>
      <c r="V58" s="443"/>
      <c r="W58" s="443"/>
      <c r="X58" s="443"/>
      <c r="Y58" s="80" t="n">
        <v>1260000</v>
      </c>
      <c r="Z58" s="80"/>
      <c r="AA58" s="80" t="n">
        <v>1260000</v>
      </c>
      <c r="AB58" s="80"/>
      <c r="AC58" s="157" t="s">
        <v>2897</v>
      </c>
      <c r="AD58" s="157" t="s">
        <v>2898</v>
      </c>
      <c r="AE58" s="281" t="s">
        <v>2899</v>
      </c>
      <c r="AF58" s="281" t="s">
        <v>2900</v>
      </c>
      <c r="AI58" s="157" t="e">
        <f aca="false">IF(AND($E58=Subj_OccCode,Subj_BldgSF&gt;0,ABS($L58-Subj_BldgSF)&lt;=Subj_BldgSF*Subj_SizeTol),ABS($L58-Subj_BldgSF),NA())</f>
        <v>#N/A</v>
      </c>
      <c r="AJ58" s="1" t="e">
        <f aca="false">IF(ISNA(AI58),NA(),AI58+ROW()/10000000)</f>
        <v>#N/A</v>
      </c>
      <c r="AK58" s="157" t="str">
        <f aca="false">IF(AND(ISNUMBER($N58),$N58&gt;0,ISNUMBER($Y58)),$Y58/$N58,"")</f>
        <v/>
      </c>
    </row>
    <row r="59" customFormat="false" ht="15" hidden="false" customHeight="true" outlineLevel="0" collapsed="false">
      <c r="A59" s="441" t="n">
        <v>7</v>
      </c>
      <c r="B59" s="157" t="n">
        <v>51</v>
      </c>
      <c r="C59" s="157" t="s">
        <v>2901</v>
      </c>
      <c r="D59" s="157" t="s">
        <v>2902</v>
      </c>
      <c r="E59" s="157" t="n">
        <v>386</v>
      </c>
      <c r="G59" s="157" t="s">
        <v>2567</v>
      </c>
      <c r="H59" s="78" t="n">
        <f aca="false">Y59/J59</f>
        <v>121.112929623568</v>
      </c>
      <c r="I59" s="442" t="n">
        <v>45138</v>
      </c>
      <c r="J59" s="157" t="n">
        <v>30550</v>
      </c>
      <c r="K59" s="78"/>
      <c r="L59" s="157" t="n">
        <v>30550</v>
      </c>
      <c r="M59" s="157" t="n">
        <v>1985</v>
      </c>
      <c r="P59" s="157" t="s">
        <v>2750</v>
      </c>
      <c r="R59" s="174" t="s">
        <v>279</v>
      </c>
      <c r="S59" s="157" t="n">
        <v>97138</v>
      </c>
      <c r="T59" s="443" t="n">
        <f aca="false">S59/L59</f>
        <v>3.17963993453355</v>
      </c>
      <c r="U59" s="157" t="s">
        <v>279</v>
      </c>
      <c r="V59" s="443"/>
      <c r="W59" s="443"/>
      <c r="X59" s="443"/>
      <c r="Y59" s="80" t="n">
        <v>3700000</v>
      </c>
      <c r="Z59" s="80"/>
      <c r="AA59" s="80" t="n">
        <v>3700000</v>
      </c>
      <c r="AB59" s="80"/>
      <c r="AC59" s="157" t="s">
        <v>2903</v>
      </c>
      <c r="AD59" s="157" t="s">
        <v>2904</v>
      </c>
      <c r="AE59" s="281" t="s">
        <v>2905</v>
      </c>
      <c r="AF59" s="281" t="s">
        <v>2906</v>
      </c>
      <c r="AI59" s="157" t="e">
        <f aca="false">IF(AND($E59=Subj_OccCode,Subj_BldgSF&gt;0,ABS($L59-Subj_BldgSF)&lt;=Subj_BldgSF*Subj_SizeTol),ABS($L59-Subj_BldgSF),NA())</f>
        <v>#N/A</v>
      </c>
      <c r="AJ59" s="1" t="e">
        <f aca="false">IF(ISNA(AI59),NA(),AI59+ROW()/10000000)</f>
        <v>#N/A</v>
      </c>
      <c r="AK59" s="157" t="str">
        <f aca="false">IF(AND(ISNUMBER($N59),$N59&gt;0,ISNUMBER($Y59)),$Y59/$N59,"")</f>
        <v/>
      </c>
    </row>
    <row r="60" customFormat="false" ht="15" hidden="false" customHeight="true" outlineLevel="0" collapsed="false">
      <c r="A60" s="441" t="n">
        <v>7</v>
      </c>
      <c r="B60" s="157" t="n">
        <v>52</v>
      </c>
      <c r="C60" s="157" t="s">
        <v>2907</v>
      </c>
      <c r="D60" s="157" t="s">
        <v>2908</v>
      </c>
      <c r="E60" s="157" t="n">
        <v>407</v>
      </c>
      <c r="F60" s="157" t="s">
        <v>2595</v>
      </c>
      <c r="G60" s="157" t="s">
        <v>2596</v>
      </c>
      <c r="H60" s="78" t="n">
        <f aca="false">Y60/J60</f>
        <v>178.902953586498</v>
      </c>
      <c r="I60" s="442" t="n">
        <v>45393</v>
      </c>
      <c r="J60" s="157" t="n">
        <v>29625</v>
      </c>
      <c r="K60" s="78"/>
      <c r="L60" s="157" t="n">
        <v>29625</v>
      </c>
      <c r="M60" s="157" t="n">
        <v>1977</v>
      </c>
      <c r="P60" s="157" t="s">
        <v>2713</v>
      </c>
      <c r="R60" s="174" t="s">
        <v>279</v>
      </c>
      <c r="S60" s="157" t="n">
        <v>218148</v>
      </c>
      <c r="T60" s="443" t="n">
        <f aca="false">S60/L60</f>
        <v>7.36364556962025</v>
      </c>
      <c r="U60" s="157" t="s">
        <v>279</v>
      </c>
      <c r="V60" s="443"/>
      <c r="W60" s="443"/>
      <c r="X60" s="443"/>
      <c r="Y60" s="80" t="n">
        <v>5300000</v>
      </c>
      <c r="Z60" s="80"/>
      <c r="AA60" s="80" t="n">
        <v>5300000</v>
      </c>
      <c r="AB60" s="80"/>
      <c r="AC60" s="157" t="s">
        <v>2909</v>
      </c>
      <c r="AD60" s="157" t="s">
        <v>2910</v>
      </c>
      <c r="AE60" s="281" t="s">
        <v>2911</v>
      </c>
      <c r="AF60" s="281" t="s">
        <v>2912</v>
      </c>
      <c r="AI60" s="157" t="e">
        <f aca="false">IF(AND($E60=Subj_OccCode,Subj_BldgSF&gt;0,ABS($L60-Subj_BldgSF)&lt;=Subj_BldgSF*Subj_SizeTol),ABS($L60-Subj_BldgSF),NA())</f>
        <v>#N/A</v>
      </c>
      <c r="AJ60" s="1" t="e">
        <f aca="false">IF(ISNA(AI60),NA(),AI60+ROW()/10000000)</f>
        <v>#N/A</v>
      </c>
      <c r="AK60" s="157" t="str">
        <f aca="false">IF(AND(ISNUMBER($N60),$N60&gt;0,ISNUMBER($Y60)),$Y60/$N60,"")</f>
        <v/>
      </c>
    </row>
    <row r="61" customFormat="false" ht="15" hidden="false" customHeight="true" outlineLevel="0" collapsed="false">
      <c r="A61" s="441" t="n">
        <v>7</v>
      </c>
      <c r="B61" s="157" t="n">
        <v>53</v>
      </c>
      <c r="C61" s="157" t="s">
        <v>2913</v>
      </c>
      <c r="D61" s="157" t="s">
        <v>2914</v>
      </c>
      <c r="E61" s="157" t="n">
        <v>210</v>
      </c>
      <c r="F61" s="157" t="s">
        <v>2595</v>
      </c>
      <c r="G61" s="157" t="s">
        <v>2596</v>
      </c>
      <c r="H61" s="78" t="n">
        <f aca="false">Y61/J61</f>
        <v>110.36036036036</v>
      </c>
      <c r="I61" s="442" t="n">
        <v>44914</v>
      </c>
      <c r="J61" s="157" t="n">
        <v>22200</v>
      </c>
      <c r="K61" s="78"/>
      <c r="L61" s="157" t="n">
        <v>22200</v>
      </c>
      <c r="M61" s="157" t="n">
        <v>1979</v>
      </c>
      <c r="P61" s="157" t="s">
        <v>2713</v>
      </c>
      <c r="R61" s="174" t="s">
        <v>279</v>
      </c>
      <c r="S61" s="157" t="n">
        <v>67500</v>
      </c>
      <c r="T61" s="443" t="n">
        <f aca="false">S61/L61</f>
        <v>3.04054054054054</v>
      </c>
      <c r="U61" s="157" t="s">
        <v>279</v>
      </c>
      <c r="V61" s="443"/>
      <c r="W61" s="443"/>
      <c r="X61" s="443"/>
      <c r="Y61" s="80" t="n">
        <v>2450000</v>
      </c>
      <c r="Z61" s="80"/>
      <c r="AA61" s="80" t="n">
        <v>2450000</v>
      </c>
      <c r="AB61" s="80"/>
      <c r="AC61" s="157" t="s">
        <v>2915</v>
      </c>
      <c r="AD61" s="157" t="s">
        <v>2916</v>
      </c>
      <c r="AE61" s="281" t="s">
        <v>2917</v>
      </c>
      <c r="AF61" s="281" t="s">
        <v>2918</v>
      </c>
      <c r="AI61" s="157" t="e">
        <f aca="false">IF(AND($E61=Subj_OccCode,Subj_BldgSF&gt;0,ABS($L61-Subj_BldgSF)&lt;=Subj_BldgSF*Subj_SizeTol),ABS($L61-Subj_BldgSF),NA())</f>
        <v>#N/A</v>
      </c>
      <c r="AJ61" s="1" t="e">
        <f aca="false">IF(ISNA(AI61),NA(),AI61+ROW()/10000000)</f>
        <v>#N/A</v>
      </c>
      <c r="AK61" s="157" t="str">
        <f aca="false">IF(AND(ISNUMBER($N61),$N61&gt;0,ISNUMBER($Y61)),$Y61/$N61,"")</f>
        <v/>
      </c>
    </row>
    <row r="62" customFormat="false" ht="15" hidden="false" customHeight="true" outlineLevel="0" collapsed="false">
      <c r="A62" s="441" t="n">
        <v>7</v>
      </c>
      <c r="B62" s="157" t="n">
        <v>54</v>
      </c>
      <c r="C62" s="157" t="s">
        <v>2919</v>
      </c>
      <c r="D62" s="157" t="s">
        <v>2920</v>
      </c>
      <c r="E62" s="157" t="n">
        <v>406</v>
      </c>
      <c r="F62" s="157" t="s">
        <v>2921</v>
      </c>
      <c r="G62" s="157" t="s">
        <v>2691</v>
      </c>
      <c r="H62" s="78" t="n">
        <f aca="false">Y62/J62</f>
        <v>118.33855799373</v>
      </c>
      <c r="I62" s="442" t="n">
        <v>45236</v>
      </c>
      <c r="J62" s="157" t="n">
        <v>31900</v>
      </c>
      <c r="K62" s="78"/>
      <c r="L62" s="157" t="n">
        <v>31900</v>
      </c>
      <c r="M62" s="157" t="n">
        <v>1996</v>
      </c>
      <c r="P62" s="157" t="s">
        <v>2922</v>
      </c>
      <c r="R62" s="174" t="s">
        <v>279</v>
      </c>
      <c r="S62" s="157" t="n">
        <v>88091</v>
      </c>
      <c r="T62" s="443" t="n">
        <f aca="false">S62/L62</f>
        <v>2.76147335423198</v>
      </c>
      <c r="U62" s="157" t="s">
        <v>279</v>
      </c>
      <c r="V62" s="443"/>
      <c r="W62" s="443"/>
      <c r="X62" s="443"/>
      <c r="Y62" s="80" t="n">
        <v>3775000</v>
      </c>
      <c r="Z62" s="80"/>
      <c r="AA62" s="80" t="n">
        <v>3775000</v>
      </c>
      <c r="AB62" s="80"/>
      <c r="AC62" s="157" t="s">
        <v>2923</v>
      </c>
      <c r="AD62" s="157" t="s">
        <v>2924</v>
      </c>
      <c r="AE62" s="281" t="s">
        <v>2925</v>
      </c>
      <c r="AF62" s="281" t="s">
        <v>2926</v>
      </c>
      <c r="AI62" s="157" t="e">
        <f aca="false">IF(AND($E62=Subj_OccCode,Subj_BldgSF&gt;0,ABS($L62-Subj_BldgSF)&lt;=Subj_BldgSF*Subj_SizeTol),ABS($L62-Subj_BldgSF),NA())</f>
        <v>#N/A</v>
      </c>
      <c r="AJ62" s="1" t="e">
        <f aca="false">IF(ISNA(AI62),NA(),AI62+ROW()/10000000)</f>
        <v>#N/A</v>
      </c>
      <c r="AK62" s="157" t="str">
        <f aca="false">IF(AND(ISNUMBER($N62),$N62&gt;0,ISNUMBER($Y62)),$Y62/$N62,"")</f>
        <v/>
      </c>
    </row>
    <row r="63" customFormat="false" ht="15" hidden="false" customHeight="true" outlineLevel="0" collapsed="false">
      <c r="A63" s="441" t="n">
        <v>7</v>
      </c>
      <c r="B63" s="157" t="n">
        <v>55</v>
      </c>
      <c r="C63" s="157" t="s">
        <v>2927</v>
      </c>
      <c r="D63" s="157" t="s">
        <v>2928</v>
      </c>
      <c r="E63" s="157" t="n">
        <v>406</v>
      </c>
      <c r="F63" s="157" t="s">
        <v>2921</v>
      </c>
      <c r="G63" s="157" t="s">
        <v>2691</v>
      </c>
      <c r="H63" s="78" t="n">
        <f aca="false">Y63/J63</f>
        <v>130.913091309131</v>
      </c>
      <c r="I63" s="442" t="n">
        <v>45405</v>
      </c>
      <c r="J63" s="157" t="n">
        <v>9090</v>
      </c>
      <c r="K63" s="78"/>
      <c r="L63" s="157" t="n">
        <v>9090</v>
      </c>
      <c r="M63" s="157" t="n">
        <v>1964</v>
      </c>
      <c r="P63" s="157" t="s">
        <v>2922</v>
      </c>
      <c r="R63" s="174" t="s">
        <v>279</v>
      </c>
      <c r="S63" s="157" t="n">
        <v>18900</v>
      </c>
      <c r="T63" s="443" t="n">
        <f aca="false">S63/L63</f>
        <v>2.07920792079208</v>
      </c>
      <c r="U63" s="157" t="s">
        <v>279</v>
      </c>
      <c r="V63" s="443"/>
      <c r="W63" s="443"/>
      <c r="X63" s="443"/>
      <c r="Y63" s="80" t="n">
        <v>1190000</v>
      </c>
      <c r="Z63" s="80"/>
      <c r="AA63" s="80" t="n">
        <v>1190000</v>
      </c>
      <c r="AB63" s="80"/>
      <c r="AC63" s="157" t="s">
        <v>2929</v>
      </c>
      <c r="AD63" s="157" t="s">
        <v>2930</v>
      </c>
      <c r="AE63" s="281" t="s">
        <v>2931</v>
      </c>
      <c r="AF63" s="281" t="s">
        <v>2932</v>
      </c>
      <c r="AI63" s="157" t="e">
        <f aca="false">IF(AND($E63=Subj_OccCode,Subj_BldgSF&gt;0,ABS($L63-Subj_BldgSF)&lt;=Subj_BldgSF*Subj_SizeTol),ABS($L63-Subj_BldgSF),NA())</f>
        <v>#N/A</v>
      </c>
      <c r="AJ63" s="1" t="e">
        <f aca="false">IF(ISNA(AI63),NA(),AI63+ROW()/10000000)</f>
        <v>#N/A</v>
      </c>
      <c r="AK63" s="157" t="str">
        <f aca="false">IF(AND(ISNUMBER($N63),$N63&gt;0,ISNUMBER($Y63)),$Y63/$N63,"")</f>
        <v/>
      </c>
    </row>
    <row r="64" customFormat="false" ht="15" hidden="false" customHeight="true" outlineLevel="0" collapsed="false">
      <c r="A64" s="441" t="n">
        <v>7</v>
      </c>
      <c r="B64" s="157" t="n">
        <v>56</v>
      </c>
      <c r="C64" s="157" t="s">
        <v>2933</v>
      </c>
      <c r="D64" s="157" t="s">
        <v>2934</v>
      </c>
      <c r="E64" s="157" t="n">
        <v>407</v>
      </c>
      <c r="F64" s="157" t="s">
        <v>2921</v>
      </c>
      <c r="G64" s="157" t="s">
        <v>2691</v>
      </c>
      <c r="H64" s="78" t="n">
        <f aca="false">Y64/J64</f>
        <v>168.795620437956</v>
      </c>
      <c r="I64" s="442" t="n">
        <v>44914</v>
      </c>
      <c r="J64" s="157" t="n">
        <v>10960</v>
      </c>
      <c r="K64" s="78"/>
      <c r="L64" s="157" t="n">
        <v>10960</v>
      </c>
      <c r="M64" s="157" t="n">
        <v>1974</v>
      </c>
      <c r="P64" s="157" t="s">
        <v>2922</v>
      </c>
      <c r="R64" s="174" t="s">
        <v>279</v>
      </c>
      <c r="S64" s="157" t="n">
        <v>27226</v>
      </c>
      <c r="T64" s="443" t="n">
        <f aca="false">S64/L64</f>
        <v>2.48412408759124</v>
      </c>
      <c r="U64" s="157" t="s">
        <v>279</v>
      </c>
      <c r="V64" s="443"/>
      <c r="W64" s="443"/>
      <c r="X64" s="443"/>
      <c r="Y64" s="80" t="n">
        <v>1850000</v>
      </c>
      <c r="Z64" s="80"/>
      <c r="AA64" s="80" t="n">
        <v>1850000</v>
      </c>
      <c r="AB64" s="80"/>
      <c r="AC64" s="157" t="s">
        <v>2935</v>
      </c>
      <c r="AD64" s="157" t="s">
        <v>2936</v>
      </c>
      <c r="AE64" s="281" t="s">
        <v>2937</v>
      </c>
      <c r="AF64" s="281" t="s">
        <v>2938</v>
      </c>
      <c r="AI64" s="157" t="e">
        <f aca="false">IF(AND($E64=Subj_OccCode,Subj_BldgSF&gt;0,ABS($L64-Subj_BldgSF)&lt;=Subj_BldgSF*Subj_SizeTol),ABS($L64-Subj_BldgSF),NA())</f>
        <v>#N/A</v>
      </c>
      <c r="AJ64" s="1" t="e">
        <f aca="false">IF(ISNA(AI64),NA(),AI64+ROW()/10000000)</f>
        <v>#N/A</v>
      </c>
      <c r="AK64" s="157" t="str">
        <f aca="false">IF(AND(ISNUMBER($N64),$N64&gt;0,ISNUMBER($Y64)),$Y64/$N64,"")</f>
        <v/>
      </c>
    </row>
    <row r="65" customFormat="false" ht="15" hidden="false" customHeight="true" outlineLevel="0" collapsed="false">
      <c r="A65" s="441" t="n">
        <v>7</v>
      </c>
      <c r="B65" s="157" t="n">
        <v>57</v>
      </c>
      <c r="C65" s="157" t="s">
        <v>2939</v>
      </c>
      <c r="D65" s="157" t="s">
        <v>2940</v>
      </c>
      <c r="E65" s="157" t="n">
        <v>334</v>
      </c>
      <c r="G65" s="157" t="s">
        <v>2691</v>
      </c>
      <c r="H65" s="78" t="n">
        <f aca="false">Y65/J65</f>
        <v>201.851851851852</v>
      </c>
      <c r="I65" s="442" t="n">
        <v>44862</v>
      </c>
      <c r="J65" s="157" t="n">
        <v>13500</v>
      </c>
      <c r="K65" s="78"/>
      <c r="L65" s="157" t="n">
        <v>13500</v>
      </c>
      <c r="M65" s="157" t="n">
        <v>1989</v>
      </c>
      <c r="P65" s="157" t="s">
        <v>2692</v>
      </c>
      <c r="R65" s="174" t="s">
        <v>279</v>
      </c>
      <c r="S65" s="157" t="n">
        <v>80781</v>
      </c>
      <c r="T65" s="443" t="n">
        <f aca="false">S65/L65</f>
        <v>5.98377777777778</v>
      </c>
      <c r="U65" s="157" t="s">
        <v>279</v>
      </c>
      <c r="V65" s="443"/>
      <c r="W65" s="443"/>
      <c r="X65" s="443"/>
      <c r="Y65" s="80" t="n">
        <v>2725000</v>
      </c>
      <c r="Z65" s="80"/>
      <c r="AA65" s="80" t="n">
        <v>2725000</v>
      </c>
      <c r="AB65" s="80"/>
      <c r="AC65" s="157" t="s">
        <v>2941</v>
      </c>
      <c r="AD65" s="157" t="s">
        <v>2942</v>
      </c>
      <c r="AE65" s="281" t="s">
        <v>2943</v>
      </c>
      <c r="AF65" s="281" t="s">
        <v>2944</v>
      </c>
      <c r="AI65" s="157" t="e">
        <f aca="false">IF(AND($E65=Subj_OccCode,Subj_BldgSF&gt;0,ABS($L65-Subj_BldgSF)&lt;=Subj_BldgSF*Subj_SizeTol),ABS($L65-Subj_BldgSF),NA())</f>
        <v>#N/A</v>
      </c>
      <c r="AJ65" s="1" t="e">
        <f aca="false">IF(ISNA(AI65),NA(),AI65+ROW()/10000000)</f>
        <v>#N/A</v>
      </c>
      <c r="AK65" s="157" t="str">
        <f aca="false">IF(AND(ISNUMBER($N65),$N65&gt;0,ISNUMBER($Y65)),$Y65/$N65,"")</f>
        <v/>
      </c>
    </row>
    <row r="66" customFormat="false" ht="15" hidden="false" customHeight="true" outlineLevel="0" collapsed="false">
      <c r="A66" s="441" t="n">
        <v>7</v>
      </c>
      <c r="B66" s="157" t="n">
        <v>58</v>
      </c>
      <c r="C66" s="157" t="s">
        <v>2945</v>
      </c>
      <c r="D66" s="157" t="s">
        <v>2946</v>
      </c>
      <c r="E66" s="157" t="n">
        <v>353</v>
      </c>
      <c r="G66" s="157" t="s">
        <v>2691</v>
      </c>
      <c r="H66" s="78" t="n">
        <f aca="false">Y66/J66</f>
        <v>202.380952380952</v>
      </c>
      <c r="I66" s="442" t="n">
        <v>44860</v>
      </c>
      <c r="J66" s="157" t="n">
        <v>2100</v>
      </c>
      <c r="K66" s="78"/>
      <c r="L66" s="157" t="n">
        <v>2100</v>
      </c>
      <c r="M66" s="157" t="n">
        <v>1955</v>
      </c>
      <c r="P66" s="157" t="s">
        <v>2706</v>
      </c>
      <c r="R66" s="174" t="s">
        <v>279</v>
      </c>
      <c r="S66" s="157" t="n">
        <v>19950</v>
      </c>
      <c r="T66" s="443" t="n">
        <f aca="false">S66/L66</f>
        <v>9.5</v>
      </c>
      <c r="U66" s="157" t="s">
        <v>279</v>
      </c>
      <c r="V66" s="443"/>
      <c r="W66" s="443"/>
      <c r="X66" s="443"/>
      <c r="Y66" s="80" t="n">
        <v>425000</v>
      </c>
      <c r="Z66" s="80"/>
      <c r="AA66" s="80" t="n">
        <v>425000</v>
      </c>
      <c r="AB66" s="80"/>
      <c r="AC66" s="157" t="s">
        <v>2947</v>
      </c>
      <c r="AD66" s="157" t="s">
        <v>2948</v>
      </c>
      <c r="AE66" s="281" t="s">
        <v>2949</v>
      </c>
      <c r="AF66" s="281" t="s">
        <v>2950</v>
      </c>
      <c r="AI66" s="157" t="e">
        <f aca="false">IF(AND($E66=Subj_OccCode,Subj_BldgSF&gt;0,ABS($L66-Subj_BldgSF)&lt;=Subj_BldgSF*Subj_SizeTol),ABS($L66-Subj_BldgSF),NA())</f>
        <v>#N/A</v>
      </c>
      <c r="AJ66" s="1" t="e">
        <f aca="false">IF(ISNA(AI66),NA(),AI66+ROW()/10000000)</f>
        <v>#N/A</v>
      </c>
      <c r="AK66" s="157" t="str">
        <f aca="false">IF(AND(ISNUMBER($N66),$N66&gt;0,ISNUMBER($Y66)),$Y66/$N66,"")</f>
        <v/>
      </c>
    </row>
    <row r="67" customFormat="false" ht="15" hidden="false" customHeight="true" outlineLevel="0" collapsed="false">
      <c r="A67" s="441" t="n">
        <v>7</v>
      </c>
      <c r="B67" s="157" t="n">
        <v>59</v>
      </c>
      <c r="C67" s="157" t="s">
        <v>2951</v>
      </c>
      <c r="D67" s="157" t="s">
        <v>2952</v>
      </c>
      <c r="E67" s="157" t="n">
        <v>406</v>
      </c>
      <c r="G67" s="157" t="s">
        <v>2691</v>
      </c>
      <c r="H67" s="78" t="n">
        <f aca="false">Y67/J67</f>
        <v>261.353898886033</v>
      </c>
      <c r="I67" s="442" t="n">
        <v>45470</v>
      </c>
      <c r="J67" s="157" t="n">
        <v>5835</v>
      </c>
      <c r="K67" s="78"/>
      <c r="L67" s="157" t="n">
        <v>5835</v>
      </c>
      <c r="M67" s="157" t="n">
        <v>2002</v>
      </c>
      <c r="P67" s="157" t="s">
        <v>2706</v>
      </c>
      <c r="R67" s="174" t="s">
        <v>279</v>
      </c>
      <c r="S67" s="157" t="n">
        <v>22084.92</v>
      </c>
      <c r="T67" s="443" t="n">
        <f aca="false">S67/L67</f>
        <v>3.78490488431877</v>
      </c>
      <c r="U67" s="157" t="s">
        <v>279</v>
      </c>
      <c r="V67" s="443"/>
      <c r="W67" s="443"/>
      <c r="X67" s="443"/>
      <c r="Y67" s="80" t="n">
        <v>1525000</v>
      </c>
      <c r="Z67" s="80"/>
      <c r="AA67" s="80" t="n">
        <v>1525000</v>
      </c>
      <c r="AB67" s="80"/>
      <c r="AC67" s="157" t="s">
        <v>2953</v>
      </c>
      <c r="AD67" s="157" t="s">
        <v>2954</v>
      </c>
      <c r="AE67" s="281" t="s">
        <v>2955</v>
      </c>
      <c r="AF67" s="281" t="s">
        <v>2956</v>
      </c>
      <c r="AI67" s="157" t="e">
        <f aca="false">IF(AND($E67=Subj_OccCode,Subj_BldgSF&gt;0,ABS($L67-Subj_BldgSF)&lt;=Subj_BldgSF*Subj_SizeTol),ABS($L67-Subj_BldgSF),NA())</f>
        <v>#N/A</v>
      </c>
      <c r="AJ67" s="1" t="e">
        <f aca="false">IF(ISNA(AI67),NA(),AI67+ROW()/10000000)</f>
        <v>#N/A</v>
      </c>
      <c r="AK67" s="157" t="str">
        <f aca="false">IF(AND(ISNUMBER($N67),$N67&gt;0,ISNUMBER($Y67)),$Y67/$N67,"")</f>
        <v/>
      </c>
    </row>
    <row r="68" customFormat="false" ht="15" hidden="false" customHeight="true" outlineLevel="0" collapsed="false">
      <c r="A68" s="441" t="n">
        <v>7</v>
      </c>
      <c r="B68" s="157" t="n">
        <v>60</v>
      </c>
      <c r="C68" s="157" t="s">
        <v>2957</v>
      </c>
      <c r="D68" s="157" t="s">
        <v>2958</v>
      </c>
      <c r="E68" s="157" t="n">
        <v>425</v>
      </c>
      <c r="G68" s="157" t="s">
        <v>2691</v>
      </c>
      <c r="H68" s="78" t="n">
        <f aca="false">Y68/J68</f>
        <v>20.1496833621186</v>
      </c>
      <c r="I68" s="442" t="n">
        <v>45152</v>
      </c>
      <c r="J68" s="157" t="n">
        <v>34740</v>
      </c>
      <c r="K68" s="78"/>
      <c r="L68" s="157" t="n">
        <v>34740</v>
      </c>
      <c r="M68" s="157" t="n">
        <v>1985</v>
      </c>
      <c r="P68" s="157" t="s">
        <v>2692</v>
      </c>
      <c r="R68" s="174" t="s">
        <v>279</v>
      </c>
      <c r="S68" s="157" t="n">
        <v>7920</v>
      </c>
      <c r="T68" s="443" t="n">
        <f aca="false">S68/L68</f>
        <v>0.227979274611399</v>
      </c>
      <c r="U68" s="157" t="s">
        <v>279</v>
      </c>
      <c r="V68" s="443"/>
      <c r="W68" s="443"/>
      <c r="X68" s="443"/>
      <c r="Y68" s="80" t="n">
        <v>700000</v>
      </c>
      <c r="Z68" s="80"/>
      <c r="AA68" s="80" t="n">
        <v>700000</v>
      </c>
      <c r="AB68" s="80"/>
      <c r="AC68" s="157" t="s">
        <v>2959</v>
      </c>
      <c r="AD68" s="157" t="s">
        <v>2960</v>
      </c>
      <c r="AE68" s="281" t="s">
        <v>2961</v>
      </c>
      <c r="AF68" s="281" t="s">
        <v>2962</v>
      </c>
      <c r="AI68" s="157" t="e">
        <f aca="false">IF(AND($E68=Subj_OccCode,Subj_BldgSF&gt;0,ABS($L68-Subj_BldgSF)&lt;=Subj_BldgSF*Subj_SizeTol),ABS($L68-Subj_BldgSF),NA())</f>
        <v>#N/A</v>
      </c>
      <c r="AJ68" s="1" t="e">
        <f aca="false">IF(ISNA(AI68),NA(),AI68+ROW()/10000000)</f>
        <v>#N/A</v>
      </c>
      <c r="AK68" s="157" t="str">
        <f aca="false">IF(AND(ISNUMBER($N68),$N68&gt;0,ISNUMBER($Y68)),$Y68/$N68,"")</f>
        <v/>
      </c>
    </row>
    <row r="69" customFormat="false" ht="15" hidden="false" customHeight="true" outlineLevel="0" collapsed="false">
      <c r="A69" s="441" t="n">
        <v>7</v>
      </c>
      <c r="B69" s="157" t="n">
        <v>61</v>
      </c>
      <c r="C69" s="157" t="s">
        <v>2963</v>
      </c>
      <c r="D69" s="157" t="s">
        <v>2964</v>
      </c>
      <c r="E69" s="157" t="n">
        <v>425</v>
      </c>
      <c r="G69" s="157" t="s">
        <v>2691</v>
      </c>
      <c r="H69" s="78" t="n">
        <f aca="false">Y69/J69</f>
        <v>22.8842832469775</v>
      </c>
      <c r="I69" s="442" t="n">
        <v>44760</v>
      </c>
      <c r="J69" s="157" t="n">
        <v>34740</v>
      </c>
      <c r="K69" s="78"/>
      <c r="L69" s="157" t="n">
        <v>34740</v>
      </c>
      <c r="M69" s="157" t="n">
        <v>1985</v>
      </c>
      <c r="P69" s="157" t="s">
        <v>2692</v>
      </c>
      <c r="R69" s="174" t="s">
        <v>279</v>
      </c>
      <c r="S69" s="157" t="n">
        <v>7920</v>
      </c>
      <c r="T69" s="443" t="n">
        <f aca="false">S69/L69</f>
        <v>0.227979274611399</v>
      </c>
      <c r="U69" s="157" t="s">
        <v>279</v>
      </c>
      <c r="V69" s="443"/>
      <c r="W69" s="443"/>
      <c r="X69" s="443"/>
      <c r="Y69" s="80" t="n">
        <v>795000</v>
      </c>
      <c r="Z69" s="80"/>
      <c r="AA69" s="80" t="n">
        <v>795000</v>
      </c>
      <c r="AB69" s="80"/>
      <c r="AC69" s="157" t="s">
        <v>2965</v>
      </c>
      <c r="AD69" s="157" t="s">
        <v>2966</v>
      </c>
      <c r="AE69" s="281" t="s">
        <v>2967</v>
      </c>
      <c r="AF69" s="281" t="s">
        <v>2968</v>
      </c>
      <c r="AI69" s="157" t="e">
        <f aca="false">IF(AND($E69=Subj_OccCode,Subj_BldgSF&gt;0,ABS($L69-Subj_BldgSF)&lt;=Subj_BldgSF*Subj_SizeTol),ABS($L69-Subj_BldgSF),NA())</f>
        <v>#N/A</v>
      </c>
      <c r="AJ69" s="1" t="e">
        <f aca="false">IF(ISNA(AI69),NA(),AI69+ROW()/10000000)</f>
        <v>#N/A</v>
      </c>
      <c r="AK69" s="157" t="str">
        <f aca="false">IF(AND(ISNUMBER($N69),$N69&gt;0,ISNUMBER($Y69)),$Y69/$N69,"")</f>
        <v/>
      </c>
    </row>
    <row r="70" customFormat="false" ht="15" hidden="false" customHeight="true" outlineLevel="0" collapsed="false">
      <c r="A70" s="441" t="n">
        <v>7</v>
      </c>
      <c r="B70" s="157" t="n">
        <v>62</v>
      </c>
      <c r="C70" s="157" t="s">
        <v>2969</v>
      </c>
      <c r="D70" s="157" t="s">
        <v>2970</v>
      </c>
      <c r="E70" s="157" t="n">
        <v>442</v>
      </c>
      <c r="G70" s="157" t="s">
        <v>2567</v>
      </c>
      <c r="H70" s="78" t="n">
        <f aca="false">Y70/J70</f>
        <v>247.5</v>
      </c>
      <c r="I70" s="442" t="n">
        <v>45197</v>
      </c>
      <c r="J70" s="157" t="n">
        <v>2000</v>
      </c>
      <c r="K70" s="78"/>
      <c r="L70" s="157" t="n">
        <v>2000</v>
      </c>
      <c r="M70" s="157" t="n">
        <v>1974</v>
      </c>
      <c r="P70" s="157" t="s">
        <v>2706</v>
      </c>
      <c r="R70" s="174" t="s">
        <v>279</v>
      </c>
      <c r="S70" s="157" t="n">
        <v>27934</v>
      </c>
      <c r="T70" s="443" t="n">
        <f aca="false">S70/L70</f>
        <v>13.967</v>
      </c>
      <c r="U70" s="157" t="s">
        <v>279</v>
      </c>
      <c r="V70" s="443"/>
      <c r="W70" s="443"/>
      <c r="X70" s="443"/>
      <c r="Y70" s="80" t="n">
        <v>495000</v>
      </c>
      <c r="Z70" s="80"/>
      <c r="AA70" s="80" t="n">
        <v>495000</v>
      </c>
      <c r="AB70" s="80"/>
      <c r="AC70" s="157" t="s">
        <v>2971</v>
      </c>
      <c r="AD70" s="157" t="s">
        <v>2972</v>
      </c>
      <c r="AE70" s="281" t="s">
        <v>2973</v>
      </c>
      <c r="AF70" s="281" t="s">
        <v>2974</v>
      </c>
      <c r="AI70" s="157" t="e">
        <f aca="false">IF(AND($E70=Subj_OccCode,Subj_BldgSF&gt;0,ABS($L70-Subj_BldgSF)&lt;=Subj_BldgSF*Subj_SizeTol),ABS($L70-Subj_BldgSF),NA())</f>
        <v>#N/A</v>
      </c>
      <c r="AJ70" s="1" t="e">
        <f aca="false">IF(ISNA(AI70),NA(),AI70+ROW()/10000000)</f>
        <v>#N/A</v>
      </c>
      <c r="AK70" s="157" t="str">
        <f aca="false">IF(AND(ISNUMBER($N70),$N70&gt;0,ISNUMBER($Y70)),$Y70/$N70,"")</f>
        <v/>
      </c>
    </row>
    <row r="71" customFormat="false" ht="15" hidden="false" customHeight="true" outlineLevel="0" collapsed="false">
      <c r="A71" s="441" t="n">
        <v>7</v>
      </c>
      <c r="B71" s="157" t="n">
        <v>63</v>
      </c>
      <c r="C71" s="157" t="s">
        <v>2975</v>
      </c>
      <c r="D71" s="157" t="s">
        <v>2976</v>
      </c>
      <c r="E71" s="157" t="n">
        <v>334</v>
      </c>
      <c r="F71" s="157" t="s">
        <v>2677</v>
      </c>
      <c r="G71" s="157" t="s">
        <v>354</v>
      </c>
      <c r="H71" s="78" t="n">
        <f aca="false">Y71/J71</f>
        <v>138.041928339553</v>
      </c>
      <c r="I71" s="442" t="n">
        <v>45376</v>
      </c>
      <c r="J71" s="157" t="n">
        <v>32961</v>
      </c>
      <c r="K71" s="78"/>
      <c r="L71" s="157" t="n">
        <v>32961</v>
      </c>
      <c r="M71" s="157" t="n">
        <v>1983</v>
      </c>
      <c r="P71" s="157" t="s">
        <v>1952</v>
      </c>
      <c r="R71" s="174" t="s">
        <v>483</v>
      </c>
      <c r="S71" s="157" t="n">
        <v>112471</v>
      </c>
      <c r="T71" s="443" t="n">
        <f aca="false">S71/L71</f>
        <v>3.412244774127</v>
      </c>
      <c r="U71" s="157" t="s">
        <v>483</v>
      </c>
      <c r="V71" s="443"/>
      <c r="W71" s="443"/>
      <c r="X71" s="443"/>
      <c r="Y71" s="80" t="n">
        <v>4550000</v>
      </c>
      <c r="Z71" s="80"/>
      <c r="AA71" s="80" t="n">
        <v>4550000</v>
      </c>
      <c r="AB71" s="80"/>
      <c r="AC71" s="157" t="s">
        <v>2977</v>
      </c>
      <c r="AD71" s="157" t="s">
        <v>2978</v>
      </c>
      <c r="AE71" s="281" t="s">
        <v>2979</v>
      </c>
      <c r="AF71" s="281" t="s">
        <v>2980</v>
      </c>
      <c r="AI71" s="157" t="e">
        <f aca="false">IF(AND($E71=Subj_OccCode,Subj_BldgSF&gt;0,ABS($L71-Subj_BldgSF)&lt;=Subj_BldgSF*Subj_SizeTol),ABS($L71-Subj_BldgSF),NA())</f>
        <v>#N/A</v>
      </c>
      <c r="AJ71" s="1" t="e">
        <f aca="false">IF(ISNA(AI71),NA(),AI71+ROW()/10000000)</f>
        <v>#N/A</v>
      </c>
      <c r="AK71" s="157" t="str">
        <f aca="false">IF(AND(ISNUMBER($N71),$N71&gt;0,ISNUMBER($Y71)),$Y71/$N71,"")</f>
        <v/>
      </c>
    </row>
    <row r="72" customFormat="false" ht="15" hidden="false" customHeight="true" outlineLevel="0" collapsed="false">
      <c r="A72" s="441" t="n">
        <v>7</v>
      </c>
      <c r="B72" s="157" t="n">
        <v>64</v>
      </c>
      <c r="C72" s="157" t="s">
        <v>2981</v>
      </c>
      <c r="D72" s="157" t="s">
        <v>2982</v>
      </c>
      <c r="E72" s="157" t="n">
        <v>425</v>
      </c>
      <c r="F72" s="157" t="s">
        <v>2566</v>
      </c>
      <c r="G72" s="157" t="s">
        <v>2567</v>
      </c>
      <c r="H72" s="78" t="n">
        <f aca="false">Y72/J72</f>
        <v>13.7254901960784</v>
      </c>
      <c r="I72" s="442" t="n">
        <v>45044</v>
      </c>
      <c r="J72" s="157" t="n">
        <v>25500</v>
      </c>
      <c r="K72" s="78"/>
      <c r="L72" s="157" t="n">
        <v>25500</v>
      </c>
      <c r="M72" s="157" t="n">
        <v>1984</v>
      </c>
      <c r="P72" s="157" t="s">
        <v>2983</v>
      </c>
      <c r="R72" s="174" t="s">
        <v>279</v>
      </c>
      <c r="S72" s="157" t="n">
        <v>4655</v>
      </c>
      <c r="T72" s="443" t="n">
        <f aca="false">S72/L72</f>
        <v>0.182549019607843</v>
      </c>
      <c r="U72" s="157" t="s">
        <v>279</v>
      </c>
      <c r="V72" s="443"/>
      <c r="W72" s="443"/>
      <c r="X72" s="443"/>
      <c r="Y72" s="80" t="n">
        <v>350000</v>
      </c>
      <c r="Z72" s="80"/>
      <c r="AA72" s="80" t="n">
        <v>350000</v>
      </c>
      <c r="AB72" s="80"/>
      <c r="AC72" s="157" t="s">
        <v>2984</v>
      </c>
      <c r="AD72" s="157" t="s">
        <v>2985</v>
      </c>
      <c r="AE72" s="281" t="s">
        <v>2986</v>
      </c>
      <c r="AF72" s="281" t="s">
        <v>2987</v>
      </c>
      <c r="AI72" s="157" t="e">
        <f aca="false">IF(AND($E72=Subj_OccCode,Subj_BldgSF&gt;0,ABS($L72-Subj_BldgSF)&lt;=Subj_BldgSF*Subj_SizeTol),ABS($L72-Subj_BldgSF),NA())</f>
        <v>#N/A</v>
      </c>
      <c r="AJ72" s="1" t="e">
        <f aca="false">IF(ISNA(AI72),NA(),AI72+ROW()/10000000)</f>
        <v>#N/A</v>
      </c>
      <c r="AK72" s="157" t="str">
        <f aca="false">IF(AND(ISNUMBER($N72),$N72&gt;0,ISNUMBER($Y72)),$Y72/$N72,"")</f>
        <v/>
      </c>
    </row>
    <row r="73" customFormat="false" ht="15" hidden="false" customHeight="true" outlineLevel="0" collapsed="false">
      <c r="A73" s="441" t="n">
        <v>7</v>
      </c>
      <c r="B73" s="157" t="n">
        <v>65</v>
      </c>
      <c r="C73" s="157" t="s">
        <v>2988</v>
      </c>
      <c r="D73" s="157" t="s">
        <v>2989</v>
      </c>
      <c r="E73" s="157" t="n">
        <v>406</v>
      </c>
      <c r="F73" s="157" t="s">
        <v>2581</v>
      </c>
      <c r="G73" s="157" t="s">
        <v>2567</v>
      </c>
      <c r="H73" s="78" t="n">
        <f aca="false">Y73/J73</f>
        <v>160.626836434868</v>
      </c>
      <c r="I73" s="442" t="n">
        <v>45135</v>
      </c>
      <c r="J73" s="157" t="n">
        <v>5105</v>
      </c>
      <c r="K73" s="78"/>
      <c r="L73" s="157" t="n">
        <v>5105</v>
      </c>
      <c r="M73" s="157" t="n">
        <v>1972</v>
      </c>
      <c r="P73" s="157" t="s">
        <v>2990</v>
      </c>
      <c r="R73" s="174" t="s">
        <v>279</v>
      </c>
      <c r="S73" s="157" t="n">
        <v>25000</v>
      </c>
      <c r="T73" s="443" t="n">
        <f aca="false">S73/L73</f>
        <v>4.89715964740451</v>
      </c>
      <c r="U73" s="157" t="s">
        <v>279</v>
      </c>
      <c r="V73" s="443"/>
      <c r="W73" s="443"/>
      <c r="X73" s="443"/>
      <c r="Y73" s="80" t="n">
        <v>820000</v>
      </c>
      <c r="Z73" s="80"/>
      <c r="AA73" s="80" t="n">
        <v>820000</v>
      </c>
      <c r="AB73" s="80"/>
      <c r="AC73" s="157" t="s">
        <v>2991</v>
      </c>
      <c r="AD73" s="157" t="s">
        <v>2992</v>
      </c>
      <c r="AE73" s="281" t="s">
        <v>2993</v>
      </c>
      <c r="AF73" s="281" t="s">
        <v>2994</v>
      </c>
      <c r="AI73" s="157" t="e">
        <f aca="false">IF(AND($E73=Subj_OccCode,Subj_BldgSF&gt;0,ABS($L73-Subj_BldgSF)&lt;=Subj_BldgSF*Subj_SizeTol),ABS($L73-Subj_BldgSF),NA())</f>
        <v>#N/A</v>
      </c>
      <c r="AJ73" s="1" t="e">
        <f aca="false">IF(ISNA(AI73),NA(),AI73+ROW()/10000000)</f>
        <v>#N/A</v>
      </c>
      <c r="AK73" s="157" t="str">
        <f aca="false">IF(AND(ISNUMBER($N73),$N73&gt;0,ISNUMBER($Y73)),$Y73/$N73,"")</f>
        <v/>
      </c>
    </row>
    <row r="74" customFormat="false" ht="15" hidden="false" customHeight="true" outlineLevel="0" collapsed="false">
      <c r="A74" s="441" t="n">
        <v>7</v>
      </c>
      <c r="B74" s="157" t="n">
        <v>66</v>
      </c>
      <c r="C74" s="157" t="s">
        <v>2995</v>
      </c>
      <c r="D74" s="157" t="s">
        <v>2996</v>
      </c>
      <c r="E74" s="157" t="n">
        <v>353</v>
      </c>
      <c r="F74" s="157" t="s">
        <v>2581</v>
      </c>
      <c r="G74" s="157" t="s">
        <v>2567</v>
      </c>
      <c r="H74" s="78" t="n">
        <f aca="false">Y74/J74</f>
        <v>486.111111111111</v>
      </c>
      <c r="I74" s="442" t="n">
        <v>45427</v>
      </c>
      <c r="J74" s="157" t="n">
        <v>1440</v>
      </c>
      <c r="K74" s="78"/>
      <c r="L74" s="157" t="n">
        <v>1440</v>
      </c>
      <c r="M74" s="157" t="n">
        <v>1950</v>
      </c>
      <c r="P74" s="157" t="s">
        <v>2990</v>
      </c>
      <c r="R74" s="174" t="s">
        <v>279</v>
      </c>
      <c r="S74" s="157" t="n">
        <v>9375</v>
      </c>
      <c r="T74" s="443" t="n">
        <f aca="false">S74/L74</f>
        <v>6.51041666666667</v>
      </c>
      <c r="U74" s="157" t="s">
        <v>279</v>
      </c>
      <c r="V74" s="443"/>
      <c r="W74" s="443"/>
      <c r="X74" s="443"/>
      <c r="Y74" s="80" t="n">
        <v>700000</v>
      </c>
      <c r="Z74" s="80"/>
      <c r="AA74" s="80" t="n">
        <v>700000</v>
      </c>
      <c r="AB74" s="80"/>
      <c r="AC74" s="157" t="s">
        <v>2997</v>
      </c>
      <c r="AD74" s="157" t="s">
        <v>2998</v>
      </c>
      <c r="AE74" s="281" t="s">
        <v>2999</v>
      </c>
      <c r="AF74" s="281" t="s">
        <v>3000</v>
      </c>
      <c r="AI74" s="157" t="e">
        <f aca="false">IF(AND($E74=Subj_OccCode,Subj_BldgSF&gt;0,ABS($L74-Subj_BldgSF)&lt;=Subj_BldgSF*Subj_SizeTol),ABS($L74-Subj_BldgSF),NA())</f>
        <v>#N/A</v>
      </c>
      <c r="AJ74" s="1" t="e">
        <f aca="false">IF(ISNA(AI74),NA(),AI74+ROW()/10000000)</f>
        <v>#N/A</v>
      </c>
      <c r="AK74" s="157" t="str">
        <f aca="false">IF(AND(ISNUMBER($N74),$N74&gt;0,ISNUMBER($Y74)),$Y74/$N74,"")</f>
        <v/>
      </c>
    </row>
    <row r="75" customFormat="false" ht="15" hidden="false" customHeight="true" outlineLevel="0" collapsed="false">
      <c r="A75" s="441" t="n">
        <v>7</v>
      </c>
      <c r="B75" s="157" t="n">
        <v>67</v>
      </c>
      <c r="C75" s="157" t="s">
        <v>3001</v>
      </c>
      <c r="D75" s="157" t="s">
        <v>3002</v>
      </c>
      <c r="E75" s="157" t="n">
        <v>344</v>
      </c>
      <c r="F75" s="157" t="s">
        <v>2581</v>
      </c>
      <c r="G75" s="157" t="s">
        <v>2567</v>
      </c>
      <c r="H75" s="78" t="n">
        <f aca="false">Y75/J75</f>
        <v>242.424242424242</v>
      </c>
      <c r="I75" s="442" t="n">
        <v>44755</v>
      </c>
      <c r="J75" s="157" t="n">
        <v>3300</v>
      </c>
      <c r="K75" s="78"/>
      <c r="L75" s="157" t="n">
        <v>3300</v>
      </c>
      <c r="M75" s="157" t="n">
        <v>1964</v>
      </c>
      <c r="P75" s="157" t="s">
        <v>2990</v>
      </c>
      <c r="R75" s="174" t="s">
        <v>279</v>
      </c>
      <c r="S75" s="157" t="n">
        <v>7500</v>
      </c>
      <c r="T75" s="443" t="n">
        <f aca="false">S75/L75</f>
        <v>2.27272727272727</v>
      </c>
      <c r="U75" s="157" t="s">
        <v>279</v>
      </c>
      <c r="V75" s="443"/>
      <c r="W75" s="443"/>
      <c r="X75" s="443"/>
      <c r="Y75" s="80" t="n">
        <v>800000</v>
      </c>
      <c r="Z75" s="80"/>
      <c r="AA75" s="80" t="n">
        <v>800000</v>
      </c>
      <c r="AB75" s="80"/>
      <c r="AC75" s="157" t="s">
        <v>3003</v>
      </c>
      <c r="AD75" s="157" t="s">
        <v>3004</v>
      </c>
      <c r="AE75" s="281" t="s">
        <v>3005</v>
      </c>
      <c r="AF75" s="281" t="s">
        <v>3006</v>
      </c>
      <c r="AI75" s="157" t="e">
        <f aca="false">IF(AND($E75=Subj_OccCode,Subj_BldgSF&gt;0,ABS($L75-Subj_BldgSF)&lt;=Subj_BldgSF*Subj_SizeTol),ABS($L75-Subj_BldgSF),NA())</f>
        <v>#N/A</v>
      </c>
      <c r="AJ75" s="1" t="e">
        <f aca="false">IF(ISNA(AI75),NA(),AI75+ROW()/10000000)</f>
        <v>#N/A</v>
      </c>
      <c r="AK75" s="157" t="str">
        <f aca="false">IF(AND(ISNUMBER($N75),$N75&gt;0,ISNUMBER($Y75)),$Y75/$N75,"")</f>
        <v/>
      </c>
    </row>
    <row r="76" customFormat="false" ht="15" hidden="false" customHeight="true" outlineLevel="0" collapsed="false">
      <c r="A76" s="441" t="n">
        <v>7</v>
      </c>
      <c r="B76" s="157" t="n">
        <v>68</v>
      </c>
      <c r="C76" s="157" t="s">
        <v>3007</v>
      </c>
      <c r="D76" s="157" t="s">
        <v>3008</v>
      </c>
      <c r="E76" s="157" t="n">
        <v>406</v>
      </c>
      <c r="F76" s="157" t="s">
        <v>2921</v>
      </c>
      <c r="G76" s="157" t="s">
        <v>2691</v>
      </c>
      <c r="H76" s="78" t="n">
        <f aca="false">Y76/J76</f>
        <v>166.223404255319</v>
      </c>
      <c r="I76" s="442" t="n">
        <v>45468</v>
      </c>
      <c r="J76" s="157" t="n">
        <v>15040</v>
      </c>
      <c r="K76" s="78"/>
      <c r="L76" s="157" t="n">
        <v>15040</v>
      </c>
      <c r="M76" s="157" t="n">
        <v>1987</v>
      </c>
      <c r="P76" s="157" t="s">
        <v>3009</v>
      </c>
      <c r="R76" s="174" t="s">
        <v>279</v>
      </c>
      <c r="S76" s="157" t="n">
        <v>33584.76</v>
      </c>
      <c r="T76" s="443" t="n">
        <f aca="false">S76/L76</f>
        <v>2.23302925531915</v>
      </c>
      <c r="U76" s="157" t="s">
        <v>279</v>
      </c>
      <c r="V76" s="443"/>
      <c r="W76" s="443"/>
      <c r="X76" s="443"/>
      <c r="Y76" s="80" t="n">
        <v>2500000</v>
      </c>
      <c r="Z76" s="80"/>
      <c r="AA76" s="80" t="n">
        <v>2500000</v>
      </c>
      <c r="AB76" s="80"/>
      <c r="AC76" s="157" t="s">
        <v>3010</v>
      </c>
      <c r="AD76" s="157" t="s">
        <v>3011</v>
      </c>
      <c r="AE76" s="281" t="s">
        <v>3012</v>
      </c>
      <c r="AF76" s="281" t="s">
        <v>3013</v>
      </c>
      <c r="AI76" s="157" t="e">
        <f aca="false">IF(AND($E76=Subj_OccCode,Subj_BldgSF&gt;0,ABS($L76-Subj_BldgSF)&lt;=Subj_BldgSF*Subj_SizeTol),ABS($L76-Subj_BldgSF),NA())</f>
        <v>#N/A</v>
      </c>
      <c r="AJ76" s="1" t="e">
        <f aca="false">IF(ISNA(AI76),NA(),AI76+ROW()/10000000)</f>
        <v>#N/A</v>
      </c>
      <c r="AK76" s="157" t="str">
        <f aca="false">IF(AND(ISNUMBER($N76),$N76&gt;0,ISNUMBER($Y76)),$Y76/$N76,"")</f>
        <v/>
      </c>
    </row>
    <row r="77" customFormat="false" ht="15" hidden="false" customHeight="true" outlineLevel="0" collapsed="false">
      <c r="A77" s="441" t="n">
        <v>7</v>
      </c>
      <c r="B77" s="157" t="n">
        <v>69</v>
      </c>
      <c r="C77" s="157" t="s">
        <v>3014</v>
      </c>
      <c r="D77" s="157" t="s">
        <v>3015</v>
      </c>
      <c r="E77" s="157" t="n">
        <v>406</v>
      </c>
      <c r="F77" s="157" t="s">
        <v>2921</v>
      </c>
      <c r="G77" s="157" t="s">
        <v>2691</v>
      </c>
      <c r="H77" s="78" t="n">
        <f aca="false">Y77/J77</f>
        <v>128.472222222222</v>
      </c>
      <c r="I77" s="442" t="n">
        <v>45218</v>
      </c>
      <c r="J77" s="157" t="n">
        <v>1440</v>
      </c>
      <c r="K77" s="78"/>
      <c r="L77" s="157" t="n">
        <v>1440</v>
      </c>
      <c r="M77" s="157" t="n">
        <v>1940</v>
      </c>
      <c r="P77" s="157" t="s">
        <v>2692</v>
      </c>
      <c r="R77" s="174" t="s">
        <v>555</v>
      </c>
      <c r="S77" s="157" t="n">
        <v>12506</v>
      </c>
      <c r="T77" s="443" t="n">
        <f aca="false">S77/L77</f>
        <v>8.68472222222222</v>
      </c>
      <c r="U77" s="157" t="s">
        <v>555</v>
      </c>
      <c r="V77" s="443"/>
      <c r="W77" s="443"/>
      <c r="X77" s="443"/>
      <c r="Y77" s="80" t="n">
        <v>185000</v>
      </c>
      <c r="Z77" s="80"/>
      <c r="AA77" s="80" t="n">
        <v>185000</v>
      </c>
      <c r="AB77" s="80"/>
      <c r="AC77" s="157" t="s">
        <v>3016</v>
      </c>
      <c r="AD77" s="157" t="s">
        <v>3017</v>
      </c>
      <c r="AE77" s="281" t="s">
        <v>3018</v>
      </c>
      <c r="AF77" s="281" t="s">
        <v>3019</v>
      </c>
      <c r="AI77" s="157" t="e">
        <f aca="false">IF(AND($E77=Subj_OccCode,Subj_BldgSF&gt;0,ABS($L77-Subj_BldgSF)&lt;=Subj_BldgSF*Subj_SizeTol),ABS($L77-Subj_BldgSF),NA())</f>
        <v>#N/A</v>
      </c>
      <c r="AJ77" s="1" t="e">
        <f aca="false">IF(ISNA(AI77),NA(),AI77+ROW()/10000000)</f>
        <v>#N/A</v>
      </c>
      <c r="AK77" s="157" t="str">
        <f aca="false">IF(AND(ISNUMBER($N77),$N77&gt;0,ISNUMBER($Y77)),$Y77/$N77,"")</f>
        <v/>
      </c>
    </row>
    <row r="78" customFormat="false" ht="15" hidden="false" customHeight="true" outlineLevel="0" collapsed="false">
      <c r="A78" s="441" t="n">
        <v>7</v>
      </c>
      <c r="B78" s="157" t="n">
        <v>70</v>
      </c>
      <c r="C78" s="157" t="s">
        <v>3020</v>
      </c>
      <c r="D78" s="157" t="s">
        <v>3021</v>
      </c>
      <c r="E78" s="157" t="n">
        <v>406</v>
      </c>
      <c r="F78" s="157" t="s">
        <v>2921</v>
      </c>
      <c r="G78" s="157" t="s">
        <v>2691</v>
      </c>
      <c r="H78" s="78" t="n">
        <f aca="false">Y78/J78</f>
        <v>158.951612903226</v>
      </c>
      <c r="I78" s="442" t="n">
        <v>45128</v>
      </c>
      <c r="J78" s="157" t="n">
        <v>2232</v>
      </c>
      <c r="K78" s="78"/>
      <c r="L78" s="157" t="n">
        <v>2232</v>
      </c>
      <c r="M78" s="157" t="n">
        <v>1956</v>
      </c>
      <c r="P78" s="157" t="s">
        <v>3022</v>
      </c>
      <c r="R78" s="174" t="s">
        <v>1511</v>
      </c>
      <c r="S78" s="157" t="n">
        <v>7600</v>
      </c>
      <c r="T78" s="443" t="n">
        <f aca="false">S78/L78</f>
        <v>3.40501792114695</v>
      </c>
      <c r="U78" s="157" t="s">
        <v>1511</v>
      </c>
      <c r="V78" s="443"/>
      <c r="W78" s="443"/>
      <c r="X78" s="443"/>
      <c r="Y78" s="80" t="n">
        <v>354780</v>
      </c>
      <c r="Z78" s="80"/>
      <c r="AA78" s="80" t="n">
        <v>354780</v>
      </c>
      <c r="AB78" s="80"/>
      <c r="AC78" s="157" t="s">
        <v>3023</v>
      </c>
      <c r="AD78" s="157" t="s">
        <v>3024</v>
      </c>
      <c r="AE78" s="281" t="s">
        <v>3025</v>
      </c>
      <c r="AF78" s="281" t="s">
        <v>3026</v>
      </c>
      <c r="AI78" s="157" t="e">
        <f aca="false">IF(AND($E78=Subj_OccCode,Subj_BldgSF&gt;0,ABS($L78-Subj_BldgSF)&lt;=Subj_BldgSF*Subj_SizeTol),ABS($L78-Subj_BldgSF),NA())</f>
        <v>#N/A</v>
      </c>
      <c r="AJ78" s="1" t="e">
        <f aca="false">IF(ISNA(AI78),NA(),AI78+ROW()/10000000)</f>
        <v>#N/A</v>
      </c>
      <c r="AK78" s="157" t="str">
        <f aca="false">IF(AND(ISNUMBER($N78),$N78&gt;0,ISNUMBER($Y78)),$Y78/$N78,"")</f>
        <v/>
      </c>
    </row>
    <row r="79" customFormat="false" ht="15" hidden="false" customHeight="true" outlineLevel="0" collapsed="false">
      <c r="A79" s="441" t="n">
        <v>7</v>
      </c>
      <c r="B79" s="157" t="n">
        <v>71</v>
      </c>
      <c r="C79" s="157" t="s">
        <v>3027</v>
      </c>
      <c r="D79" s="157" t="s">
        <v>3028</v>
      </c>
      <c r="E79" s="157" t="n">
        <v>325</v>
      </c>
      <c r="F79" s="157" t="s">
        <v>2921</v>
      </c>
      <c r="G79" s="157" t="s">
        <v>2691</v>
      </c>
      <c r="H79" s="78" t="n">
        <f aca="false">Y79/J79</f>
        <v>584.558823529412</v>
      </c>
      <c r="I79" s="442" t="n">
        <v>45408</v>
      </c>
      <c r="J79" s="157" t="n">
        <v>1360</v>
      </c>
      <c r="K79" s="78"/>
      <c r="L79" s="157" t="n">
        <v>1360</v>
      </c>
      <c r="M79" s="157" t="n">
        <v>1970</v>
      </c>
      <c r="P79" s="157" t="s">
        <v>3009</v>
      </c>
      <c r="R79" s="174" t="s">
        <v>279</v>
      </c>
      <c r="S79" s="157" t="n">
        <v>16885</v>
      </c>
      <c r="T79" s="443" t="n">
        <f aca="false">S79/L79</f>
        <v>12.4154411764706</v>
      </c>
      <c r="U79" s="157" t="s">
        <v>279</v>
      </c>
      <c r="V79" s="443"/>
      <c r="W79" s="443"/>
      <c r="X79" s="443"/>
      <c r="Y79" s="80" t="n">
        <v>795000</v>
      </c>
      <c r="Z79" s="80"/>
      <c r="AA79" s="80" t="n">
        <v>795000</v>
      </c>
      <c r="AB79" s="80"/>
      <c r="AC79" s="157" t="s">
        <v>3029</v>
      </c>
      <c r="AD79" s="157" t="s">
        <v>3030</v>
      </c>
      <c r="AE79" s="281" t="s">
        <v>3031</v>
      </c>
      <c r="AF79" s="281" t="s">
        <v>3032</v>
      </c>
      <c r="AI79" s="157" t="e">
        <f aca="false">IF(AND($E79=Subj_OccCode,Subj_BldgSF&gt;0,ABS($L79-Subj_BldgSF)&lt;=Subj_BldgSF*Subj_SizeTol),ABS($L79-Subj_BldgSF),NA())</f>
        <v>#N/A</v>
      </c>
      <c r="AJ79" s="1" t="e">
        <f aca="false">IF(ISNA(AI79),NA(),AI79+ROW()/10000000)</f>
        <v>#N/A</v>
      </c>
      <c r="AK79" s="157" t="str">
        <f aca="false">IF(AND(ISNUMBER($N79),$N79&gt;0,ISNUMBER($Y79)),$Y79/$N79,"")</f>
        <v/>
      </c>
    </row>
    <row r="80" customFormat="false" ht="15" hidden="false" customHeight="true" outlineLevel="0" collapsed="false">
      <c r="A80" s="441" t="n">
        <v>7</v>
      </c>
      <c r="B80" s="157" t="n">
        <v>72</v>
      </c>
      <c r="C80" s="157" t="s">
        <v>3033</v>
      </c>
      <c r="D80" s="157" t="s">
        <v>3034</v>
      </c>
      <c r="E80" s="157" t="n">
        <v>334</v>
      </c>
      <c r="F80" s="157" t="s">
        <v>2921</v>
      </c>
      <c r="G80" s="157" t="s">
        <v>2691</v>
      </c>
      <c r="H80" s="78" t="n">
        <f aca="false">Y80/J80</f>
        <v>148.385565052232</v>
      </c>
      <c r="I80" s="442" t="n">
        <v>44813</v>
      </c>
      <c r="J80" s="157" t="n">
        <v>25272</v>
      </c>
      <c r="K80" s="78"/>
      <c r="L80" s="157" t="n">
        <v>25272</v>
      </c>
      <c r="M80" s="157" t="n">
        <v>1973</v>
      </c>
      <c r="P80" s="157" t="s">
        <v>3009</v>
      </c>
      <c r="R80" s="174" t="s">
        <v>279</v>
      </c>
      <c r="S80" s="157" t="n">
        <v>83000</v>
      </c>
      <c r="T80" s="443" t="n">
        <f aca="false">S80/L80</f>
        <v>3.28426717315606</v>
      </c>
      <c r="U80" s="157" t="s">
        <v>279</v>
      </c>
      <c r="V80" s="443"/>
      <c r="W80" s="443"/>
      <c r="X80" s="443"/>
      <c r="Y80" s="80" t="n">
        <v>3750000</v>
      </c>
      <c r="Z80" s="80"/>
      <c r="AA80" s="80" t="n">
        <v>3750000</v>
      </c>
      <c r="AB80" s="80"/>
      <c r="AC80" s="157" t="s">
        <v>3035</v>
      </c>
      <c r="AD80" s="157" t="s">
        <v>3036</v>
      </c>
      <c r="AE80" s="281" t="s">
        <v>3037</v>
      </c>
      <c r="AF80" s="281" t="s">
        <v>3038</v>
      </c>
      <c r="AI80" s="157" t="e">
        <f aca="false">IF(AND($E80=Subj_OccCode,Subj_BldgSF&gt;0,ABS($L80-Subj_BldgSF)&lt;=Subj_BldgSF*Subj_SizeTol),ABS($L80-Subj_BldgSF),NA())</f>
        <v>#N/A</v>
      </c>
      <c r="AJ80" s="1" t="e">
        <f aca="false">IF(ISNA(AI80),NA(),AI80+ROW()/10000000)</f>
        <v>#N/A</v>
      </c>
      <c r="AK80" s="157" t="str">
        <f aca="false">IF(AND(ISNUMBER($N80),$N80&gt;0,ISNUMBER($Y80)),$Y80/$N80,"")</f>
        <v/>
      </c>
    </row>
    <row r="81" customFormat="false" ht="15" hidden="false" customHeight="true" outlineLevel="0" collapsed="false">
      <c r="A81" s="441" t="n">
        <v>7</v>
      </c>
      <c r="B81" s="157" t="n">
        <v>73</v>
      </c>
      <c r="C81" s="157" t="s">
        <v>3039</v>
      </c>
      <c r="D81" s="157" t="s">
        <v>3040</v>
      </c>
      <c r="E81" s="157" t="n">
        <v>425</v>
      </c>
      <c r="G81" s="157" t="s">
        <v>2691</v>
      </c>
      <c r="H81" s="78" t="n">
        <f aca="false">Y81/J81</f>
        <v>11.3207547169811</v>
      </c>
      <c r="I81" s="442" t="n">
        <v>45288</v>
      </c>
      <c r="J81" s="157" t="n">
        <v>26500</v>
      </c>
      <c r="K81" s="78"/>
      <c r="L81" s="157" t="n">
        <v>26500</v>
      </c>
      <c r="M81" s="157" t="n">
        <v>1984</v>
      </c>
      <c r="P81" s="157" t="s">
        <v>2692</v>
      </c>
      <c r="R81" s="174" t="s">
        <v>279</v>
      </c>
      <c r="S81" s="157" t="n">
        <v>2893</v>
      </c>
      <c r="T81" s="443" t="n">
        <f aca="false">S81/L81</f>
        <v>0.109169811320755</v>
      </c>
      <c r="U81" s="157" t="s">
        <v>279</v>
      </c>
      <c r="V81" s="443"/>
      <c r="W81" s="443"/>
      <c r="X81" s="443"/>
      <c r="Y81" s="80" t="n">
        <v>300000</v>
      </c>
      <c r="Z81" s="80"/>
      <c r="AA81" s="80" t="n">
        <v>300000</v>
      </c>
      <c r="AB81" s="80"/>
      <c r="AC81" s="157" t="s">
        <v>3041</v>
      </c>
      <c r="AD81" s="157" t="s">
        <v>3042</v>
      </c>
      <c r="AE81" s="281" t="s">
        <v>3043</v>
      </c>
      <c r="AF81" s="281" t="s">
        <v>3044</v>
      </c>
      <c r="AI81" s="157" t="e">
        <f aca="false">IF(AND($E81=Subj_OccCode,Subj_BldgSF&gt;0,ABS($L81-Subj_BldgSF)&lt;=Subj_BldgSF*Subj_SizeTol),ABS($L81-Subj_BldgSF),NA())</f>
        <v>#N/A</v>
      </c>
      <c r="AJ81" s="1" t="e">
        <f aca="false">IF(ISNA(AI81),NA(),AI81+ROW()/10000000)</f>
        <v>#N/A</v>
      </c>
      <c r="AK81" s="157" t="str">
        <f aca="false">IF(AND(ISNUMBER($N81),$N81&gt;0,ISNUMBER($Y81)),$Y81/$N81,"")</f>
        <v/>
      </c>
    </row>
    <row r="82" customFormat="false" ht="15" hidden="false" customHeight="true" outlineLevel="0" collapsed="false">
      <c r="A82" s="441" t="n">
        <v>7</v>
      </c>
      <c r="B82" s="157" t="n">
        <v>74</v>
      </c>
      <c r="C82" s="157" t="s">
        <v>3045</v>
      </c>
      <c r="D82" s="157" t="s">
        <v>3046</v>
      </c>
      <c r="E82" s="157" t="n">
        <v>325</v>
      </c>
      <c r="F82" s="157" t="s">
        <v>2581</v>
      </c>
      <c r="G82" s="157" t="s">
        <v>2567</v>
      </c>
      <c r="H82" s="78" t="n">
        <f aca="false">Y82/J82</f>
        <v>164.011246485473</v>
      </c>
      <c r="I82" s="442" t="n">
        <v>45275</v>
      </c>
      <c r="J82" s="157" t="n">
        <v>6402</v>
      </c>
      <c r="K82" s="78"/>
      <c r="L82" s="157" t="n">
        <v>6402</v>
      </c>
      <c r="M82" s="157" t="n">
        <v>1971</v>
      </c>
      <c r="P82" s="157" t="s">
        <v>3047</v>
      </c>
      <c r="R82" s="174" t="s">
        <v>279</v>
      </c>
      <c r="S82" s="157" t="n">
        <v>20250</v>
      </c>
      <c r="T82" s="443" t="n">
        <f aca="false">S82/L82</f>
        <v>3.1630740393627</v>
      </c>
      <c r="U82" s="157" t="s">
        <v>279</v>
      </c>
      <c r="V82" s="443"/>
      <c r="W82" s="443"/>
      <c r="X82" s="443"/>
      <c r="Y82" s="80" t="n">
        <v>1050000</v>
      </c>
      <c r="Z82" s="80"/>
      <c r="AA82" s="80" t="n">
        <v>1050000</v>
      </c>
      <c r="AB82" s="80"/>
      <c r="AC82" s="157" t="s">
        <v>3048</v>
      </c>
      <c r="AD82" s="157" t="s">
        <v>3049</v>
      </c>
      <c r="AE82" s="281" t="s">
        <v>3050</v>
      </c>
      <c r="AF82" s="281" t="s">
        <v>3051</v>
      </c>
      <c r="AI82" s="157" t="e">
        <f aca="false">IF(AND($E82=Subj_OccCode,Subj_BldgSF&gt;0,ABS($L82-Subj_BldgSF)&lt;=Subj_BldgSF*Subj_SizeTol),ABS($L82-Subj_BldgSF),NA())</f>
        <v>#N/A</v>
      </c>
      <c r="AJ82" s="1" t="e">
        <f aca="false">IF(ISNA(AI82),NA(),AI82+ROW()/10000000)</f>
        <v>#N/A</v>
      </c>
      <c r="AK82" s="157" t="str">
        <f aca="false">IF(AND(ISNUMBER($N82),$N82&gt;0,ISNUMBER($Y82)),$Y82/$N82,"")</f>
        <v/>
      </c>
    </row>
    <row r="83" customFormat="false" ht="15" hidden="false" customHeight="true" outlineLevel="0" collapsed="false">
      <c r="A83" s="441" t="n">
        <v>7</v>
      </c>
      <c r="B83" s="157" t="n">
        <v>75</v>
      </c>
      <c r="C83" s="157" t="s">
        <v>3052</v>
      </c>
      <c r="D83" s="157" t="s">
        <v>3053</v>
      </c>
      <c r="E83" s="157" t="n">
        <v>334</v>
      </c>
      <c r="G83" s="157" t="s">
        <v>2691</v>
      </c>
      <c r="H83" s="78" t="n">
        <f aca="false">Y83/J83</f>
        <v>236.607142857143</v>
      </c>
      <c r="I83" s="442" t="n">
        <v>45317</v>
      </c>
      <c r="J83" s="157" t="n">
        <v>11200</v>
      </c>
      <c r="K83" s="78"/>
      <c r="L83" s="157" t="n">
        <v>11200</v>
      </c>
      <c r="M83" s="157" t="n">
        <v>1982</v>
      </c>
      <c r="P83" s="157" t="s">
        <v>2692</v>
      </c>
      <c r="R83" s="174" t="s">
        <v>279</v>
      </c>
      <c r="S83" s="157" t="n">
        <v>26839</v>
      </c>
      <c r="T83" s="443" t="n">
        <f aca="false">S83/L83</f>
        <v>2.39633928571429</v>
      </c>
      <c r="U83" s="157" t="s">
        <v>279</v>
      </c>
      <c r="V83" s="443"/>
      <c r="W83" s="443"/>
      <c r="X83" s="443"/>
      <c r="Y83" s="80" t="n">
        <v>2650000</v>
      </c>
      <c r="Z83" s="80"/>
      <c r="AA83" s="80" t="n">
        <v>2650000</v>
      </c>
      <c r="AB83" s="80"/>
      <c r="AC83" s="157" t="s">
        <v>3054</v>
      </c>
      <c r="AD83" s="157" t="s">
        <v>3055</v>
      </c>
      <c r="AE83" s="281" t="s">
        <v>3056</v>
      </c>
      <c r="AF83" s="281" t="s">
        <v>3057</v>
      </c>
      <c r="AI83" s="157" t="e">
        <f aca="false">IF(AND($E83=Subj_OccCode,Subj_BldgSF&gt;0,ABS($L83-Subj_BldgSF)&lt;=Subj_BldgSF*Subj_SizeTol),ABS($L83-Subj_BldgSF),NA())</f>
        <v>#N/A</v>
      </c>
      <c r="AJ83" s="1" t="e">
        <f aca="false">IF(ISNA(AI83),NA(),AI83+ROW()/10000000)</f>
        <v>#N/A</v>
      </c>
      <c r="AK83" s="157" t="str">
        <f aca="false">IF(AND(ISNUMBER($N83),$N83&gt;0,ISNUMBER($Y83)),$Y83/$N83,"")</f>
        <v/>
      </c>
    </row>
    <row r="84" customFormat="false" ht="15" hidden="false" customHeight="true" outlineLevel="0" collapsed="false">
      <c r="A84" s="441" t="n">
        <v>7</v>
      </c>
      <c r="B84" s="157" t="n">
        <v>76</v>
      </c>
      <c r="C84" s="157" t="s">
        <v>3058</v>
      </c>
      <c r="D84" s="157" t="s">
        <v>3059</v>
      </c>
      <c r="E84" s="157" t="n">
        <v>407</v>
      </c>
      <c r="G84" s="157" t="s">
        <v>2691</v>
      </c>
      <c r="H84" s="78" t="n">
        <f aca="false">Y84/J84</f>
        <v>175.483214649034</v>
      </c>
      <c r="I84" s="442" t="n">
        <v>45174</v>
      </c>
      <c r="J84" s="157" t="n">
        <v>19660</v>
      </c>
      <c r="K84" s="78"/>
      <c r="L84" s="157" t="n">
        <v>19660</v>
      </c>
      <c r="M84" s="157" t="n">
        <v>2002</v>
      </c>
      <c r="P84" s="157" t="s">
        <v>2692</v>
      </c>
      <c r="R84" s="174" t="s">
        <v>279</v>
      </c>
      <c r="S84" s="157" t="n">
        <v>47044.8</v>
      </c>
      <c r="T84" s="443" t="n">
        <f aca="false">S84/L84</f>
        <v>2.39291963377416</v>
      </c>
      <c r="U84" s="157" t="s">
        <v>279</v>
      </c>
      <c r="V84" s="443"/>
      <c r="W84" s="443"/>
      <c r="X84" s="443"/>
      <c r="Y84" s="80" t="n">
        <v>3450000</v>
      </c>
      <c r="Z84" s="80"/>
      <c r="AA84" s="80" t="n">
        <v>3450000</v>
      </c>
      <c r="AB84" s="80"/>
      <c r="AC84" s="157" t="s">
        <v>3060</v>
      </c>
      <c r="AD84" s="157" t="s">
        <v>3061</v>
      </c>
      <c r="AE84" s="281" t="s">
        <v>3062</v>
      </c>
      <c r="AF84" s="281" t="s">
        <v>3063</v>
      </c>
      <c r="AI84" s="157" t="e">
        <f aca="false">IF(AND($E84=Subj_OccCode,Subj_BldgSF&gt;0,ABS($L84-Subj_BldgSF)&lt;=Subj_BldgSF*Subj_SizeTol),ABS($L84-Subj_BldgSF),NA())</f>
        <v>#N/A</v>
      </c>
      <c r="AJ84" s="1" t="e">
        <f aca="false">IF(ISNA(AI84),NA(),AI84+ROW()/10000000)</f>
        <v>#N/A</v>
      </c>
      <c r="AK84" s="157" t="str">
        <f aca="false">IF(AND(ISNUMBER($N84),$N84&gt;0,ISNUMBER($Y84)),$Y84/$N84,"")</f>
        <v/>
      </c>
    </row>
    <row r="85" customFormat="false" ht="15" hidden="false" customHeight="true" outlineLevel="0" collapsed="false">
      <c r="A85" s="441" t="n">
        <v>7</v>
      </c>
      <c r="B85" s="157" t="n">
        <v>77</v>
      </c>
      <c r="C85" s="157" t="s">
        <v>3064</v>
      </c>
      <c r="D85" s="157" t="s">
        <v>3065</v>
      </c>
      <c r="E85" s="157" t="n">
        <v>344</v>
      </c>
      <c r="F85" s="157" t="s">
        <v>260</v>
      </c>
      <c r="G85" s="157" t="s">
        <v>353</v>
      </c>
      <c r="H85" s="78" t="n">
        <f aca="false">Y85/J85</f>
        <v>379.901960784314</v>
      </c>
      <c r="I85" s="442" t="n">
        <v>45257</v>
      </c>
      <c r="J85" s="157" t="n">
        <v>816</v>
      </c>
      <c r="K85" s="78"/>
      <c r="L85" s="157" t="n">
        <v>816</v>
      </c>
      <c r="M85" s="157" t="n">
        <v>1917</v>
      </c>
      <c r="P85" s="157" t="s">
        <v>3066</v>
      </c>
      <c r="R85" s="174" t="s">
        <v>279</v>
      </c>
      <c r="S85" s="157" t="n">
        <v>7500</v>
      </c>
      <c r="T85" s="443" t="n">
        <f aca="false">S85/L85</f>
        <v>9.19117647058824</v>
      </c>
      <c r="U85" s="157" t="s">
        <v>279</v>
      </c>
      <c r="V85" s="443"/>
      <c r="W85" s="443"/>
      <c r="X85" s="443"/>
      <c r="Y85" s="80" t="n">
        <v>310000</v>
      </c>
      <c r="Z85" s="80"/>
      <c r="AA85" s="80" t="n">
        <v>306000</v>
      </c>
      <c r="AB85" s="80"/>
      <c r="AC85" s="157" t="s">
        <v>3067</v>
      </c>
      <c r="AD85" s="157" t="s">
        <v>3068</v>
      </c>
      <c r="AE85" s="281" t="s">
        <v>3069</v>
      </c>
      <c r="AF85" s="281" t="s">
        <v>3070</v>
      </c>
      <c r="AI85" s="157" t="e">
        <f aca="false">IF(AND($E85=Subj_OccCode,Subj_BldgSF&gt;0,ABS($L85-Subj_BldgSF)&lt;=Subj_BldgSF*Subj_SizeTol),ABS($L85-Subj_BldgSF),NA())</f>
        <v>#N/A</v>
      </c>
      <c r="AJ85" s="1" t="e">
        <f aca="false">IF(ISNA(AI85),NA(),AI85+ROW()/10000000)</f>
        <v>#N/A</v>
      </c>
      <c r="AK85" s="157" t="str">
        <f aca="false">IF(AND(ISNUMBER($N85),$N85&gt;0,ISNUMBER($Y85)),$Y85/$N85,"")</f>
        <v/>
      </c>
    </row>
    <row r="86" customFormat="false" ht="15" hidden="false" customHeight="true" outlineLevel="0" collapsed="false">
      <c r="A86" s="441" t="n">
        <v>7</v>
      </c>
      <c r="B86" s="157" t="n">
        <v>78</v>
      </c>
      <c r="C86" s="157" t="s">
        <v>3071</v>
      </c>
      <c r="D86" s="157" t="s">
        <v>3072</v>
      </c>
      <c r="E86" s="157" t="n">
        <v>406</v>
      </c>
      <c r="F86" s="157" t="s">
        <v>2566</v>
      </c>
      <c r="G86" s="157" t="s">
        <v>2567</v>
      </c>
      <c r="H86" s="78" t="n">
        <f aca="false">Y86/J86</f>
        <v>187.5</v>
      </c>
      <c r="I86" s="442" t="n">
        <v>45083</v>
      </c>
      <c r="J86" s="157" t="n">
        <v>4000</v>
      </c>
      <c r="K86" s="78"/>
      <c r="L86" s="157" t="n">
        <v>4000</v>
      </c>
      <c r="M86" s="157" t="n">
        <v>1973</v>
      </c>
      <c r="P86" s="157" t="s">
        <v>2983</v>
      </c>
      <c r="R86" s="174" t="s">
        <v>279</v>
      </c>
      <c r="S86" s="157" t="n">
        <v>22477</v>
      </c>
      <c r="T86" s="443" t="n">
        <f aca="false">S86/L86</f>
        <v>5.61925</v>
      </c>
      <c r="U86" s="157" t="s">
        <v>279</v>
      </c>
      <c r="V86" s="443"/>
      <c r="W86" s="443"/>
      <c r="X86" s="443"/>
      <c r="Y86" s="80" t="n">
        <v>750000</v>
      </c>
      <c r="Z86" s="80"/>
      <c r="AA86" s="80" t="n">
        <v>750000</v>
      </c>
      <c r="AB86" s="80"/>
      <c r="AC86" s="157" t="s">
        <v>3073</v>
      </c>
      <c r="AD86" s="157" t="s">
        <v>3074</v>
      </c>
      <c r="AE86" s="281" t="s">
        <v>3075</v>
      </c>
      <c r="AF86" s="281" t="s">
        <v>3076</v>
      </c>
      <c r="AI86" s="157" t="e">
        <f aca="false">IF(AND($E86=Subj_OccCode,Subj_BldgSF&gt;0,ABS($L86-Subj_BldgSF)&lt;=Subj_BldgSF*Subj_SizeTol),ABS($L86-Subj_BldgSF),NA())</f>
        <v>#N/A</v>
      </c>
      <c r="AJ86" s="1" t="e">
        <f aca="false">IF(ISNA(AI86),NA(),AI86+ROW()/10000000)</f>
        <v>#N/A</v>
      </c>
      <c r="AK86" s="157" t="str">
        <f aca="false">IF(AND(ISNUMBER($N86),$N86&gt;0,ISNUMBER($Y86)),$Y86/$N86,"")</f>
        <v/>
      </c>
    </row>
    <row r="87" customFormat="false" ht="15" hidden="false" customHeight="true" outlineLevel="0" collapsed="false">
      <c r="A87" s="441" t="n">
        <v>7</v>
      </c>
      <c r="B87" s="157" t="n">
        <v>79</v>
      </c>
      <c r="C87" s="157" t="s">
        <v>3077</v>
      </c>
      <c r="D87" s="157" t="s">
        <v>3078</v>
      </c>
      <c r="E87" s="157" t="n">
        <v>406</v>
      </c>
      <c r="G87" s="157" t="s">
        <v>2691</v>
      </c>
      <c r="H87" s="78" t="n">
        <f aca="false">Y87/J87</f>
        <v>161.078853717925</v>
      </c>
      <c r="I87" s="442" t="n">
        <v>45163</v>
      </c>
      <c r="J87" s="157" t="n">
        <v>26695</v>
      </c>
      <c r="K87" s="78"/>
      <c r="L87" s="157" t="n">
        <v>26695</v>
      </c>
      <c r="M87" s="157" t="n">
        <v>2000</v>
      </c>
      <c r="P87" s="157" t="s">
        <v>2692</v>
      </c>
      <c r="R87" s="174" t="s">
        <v>279</v>
      </c>
      <c r="S87" s="157" t="n">
        <v>77615.2109</v>
      </c>
      <c r="T87" s="443" t="n">
        <f aca="false">S87/L87</f>
        <v>2.90748120996441</v>
      </c>
      <c r="U87" s="157" t="s">
        <v>279</v>
      </c>
      <c r="V87" s="443"/>
      <c r="W87" s="443"/>
      <c r="X87" s="443"/>
      <c r="Y87" s="80" t="n">
        <v>4300000</v>
      </c>
      <c r="Z87" s="80"/>
      <c r="AA87" s="80" t="n">
        <v>4300000</v>
      </c>
      <c r="AB87" s="80"/>
      <c r="AC87" s="157" t="s">
        <v>3079</v>
      </c>
      <c r="AD87" s="157" t="s">
        <v>3080</v>
      </c>
      <c r="AE87" s="281" t="s">
        <v>3081</v>
      </c>
      <c r="AF87" s="281" t="s">
        <v>3082</v>
      </c>
      <c r="AI87" s="157" t="e">
        <f aca="false">IF(AND($E87=Subj_OccCode,Subj_BldgSF&gt;0,ABS($L87-Subj_BldgSF)&lt;=Subj_BldgSF*Subj_SizeTol),ABS($L87-Subj_BldgSF),NA())</f>
        <v>#N/A</v>
      </c>
      <c r="AJ87" s="1" t="e">
        <f aca="false">IF(ISNA(AI87),NA(),AI87+ROW()/10000000)</f>
        <v>#N/A</v>
      </c>
      <c r="AK87" s="157" t="str">
        <f aca="false">IF(AND(ISNUMBER($N87),$N87&gt;0,ISNUMBER($Y87)),$Y87/$N87,"")</f>
        <v/>
      </c>
    </row>
    <row r="88" customFormat="false" ht="15" hidden="false" customHeight="true" outlineLevel="0" collapsed="false">
      <c r="A88" s="441" t="n">
        <v>7</v>
      </c>
      <c r="B88" s="157" t="n">
        <v>80</v>
      </c>
      <c r="C88" s="157" t="s">
        <v>3083</v>
      </c>
      <c r="D88" s="157" t="s">
        <v>3084</v>
      </c>
      <c r="E88" s="157" t="n">
        <v>406</v>
      </c>
      <c r="F88" s="157" t="s">
        <v>260</v>
      </c>
      <c r="G88" s="157" t="s">
        <v>353</v>
      </c>
      <c r="H88" s="78" t="n">
        <f aca="false">Y88/J88</f>
        <v>173.68501529052</v>
      </c>
      <c r="I88" s="442" t="n">
        <v>44887</v>
      </c>
      <c r="J88" s="157" t="n">
        <v>6540</v>
      </c>
      <c r="K88" s="78"/>
      <c r="L88" s="157" t="n">
        <v>6540</v>
      </c>
      <c r="M88" s="157" t="n">
        <v>1977</v>
      </c>
      <c r="P88" s="157" t="s">
        <v>2765</v>
      </c>
      <c r="R88" s="174" t="s">
        <v>279</v>
      </c>
      <c r="S88" s="157" t="n">
        <v>32975</v>
      </c>
      <c r="T88" s="443" t="n">
        <f aca="false">S88/L88</f>
        <v>5.04204892966361</v>
      </c>
      <c r="U88" s="157" t="s">
        <v>279</v>
      </c>
      <c r="V88" s="443"/>
      <c r="W88" s="443"/>
      <c r="X88" s="443"/>
      <c r="Y88" s="80" t="n">
        <v>1135900</v>
      </c>
      <c r="Z88" s="80"/>
      <c r="AA88" s="80" t="n">
        <v>1135900</v>
      </c>
      <c r="AB88" s="80"/>
      <c r="AC88" s="157" t="s">
        <v>3085</v>
      </c>
      <c r="AD88" s="157" t="s">
        <v>3086</v>
      </c>
      <c r="AE88" s="281" t="s">
        <v>2625</v>
      </c>
      <c r="AF88" s="281" t="s">
        <v>3087</v>
      </c>
      <c r="AI88" s="157" t="e">
        <f aca="false">IF(AND($E88=Subj_OccCode,Subj_BldgSF&gt;0,ABS($L88-Subj_BldgSF)&lt;=Subj_BldgSF*Subj_SizeTol),ABS($L88-Subj_BldgSF),NA())</f>
        <v>#N/A</v>
      </c>
      <c r="AJ88" s="1" t="e">
        <f aca="false">IF(ISNA(AI88),NA(),AI88+ROW()/10000000)</f>
        <v>#N/A</v>
      </c>
      <c r="AK88" s="157" t="str">
        <f aca="false">IF(AND(ISNUMBER($N88),$N88&gt;0,ISNUMBER($Y88)),$Y88/$N88,"")</f>
        <v/>
      </c>
    </row>
    <row r="89" customFormat="false" ht="15" hidden="false" customHeight="true" outlineLevel="0" collapsed="false">
      <c r="A89" s="441" t="n">
        <v>7</v>
      </c>
      <c r="B89" s="157" t="n">
        <v>81</v>
      </c>
      <c r="C89" s="157" t="s">
        <v>3088</v>
      </c>
      <c r="D89" s="157" t="s">
        <v>3089</v>
      </c>
      <c r="E89" s="157" t="n">
        <v>344</v>
      </c>
      <c r="G89" s="157" t="s">
        <v>2567</v>
      </c>
      <c r="H89" s="78" t="n">
        <f aca="false">Y89/J89</f>
        <v>348.583877995643</v>
      </c>
      <c r="I89" s="442" t="n">
        <v>45394</v>
      </c>
      <c r="J89" s="157" t="n">
        <v>4590</v>
      </c>
      <c r="K89" s="78"/>
      <c r="L89" s="157" t="n">
        <v>4590</v>
      </c>
      <c r="M89" s="157" t="n">
        <v>1993</v>
      </c>
      <c r="P89" s="157" t="s">
        <v>2706</v>
      </c>
      <c r="R89" s="174" t="s">
        <v>279</v>
      </c>
      <c r="S89" s="157" t="n">
        <v>15400</v>
      </c>
      <c r="T89" s="443" t="n">
        <f aca="false">S89/L89</f>
        <v>3.35511982570806</v>
      </c>
      <c r="U89" s="157" t="s">
        <v>279</v>
      </c>
      <c r="V89" s="443"/>
      <c r="W89" s="443"/>
      <c r="X89" s="443"/>
      <c r="Y89" s="80" t="n">
        <v>1600000</v>
      </c>
      <c r="Z89" s="80"/>
      <c r="AA89" s="80" t="n">
        <v>1600000</v>
      </c>
      <c r="AB89" s="80"/>
      <c r="AC89" s="157" t="s">
        <v>3090</v>
      </c>
      <c r="AD89" s="157" t="s">
        <v>3091</v>
      </c>
      <c r="AE89" s="281" t="s">
        <v>3092</v>
      </c>
      <c r="AF89" s="281" t="s">
        <v>3093</v>
      </c>
      <c r="AI89" s="157" t="e">
        <f aca="false">IF(AND($E89=Subj_OccCode,Subj_BldgSF&gt;0,ABS($L89-Subj_BldgSF)&lt;=Subj_BldgSF*Subj_SizeTol),ABS($L89-Subj_BldgSF),NA())</f>
        <v>#N/A</v>
      </c>
      <c r="AJ89" s="1" t="e">
        <f aca="false">IF(ISNA(AI89),NA(),AI89+ROW()/10000000)</f>
        <v>#N/A</v>
      </c>
      <c r="AK89" s="157" t="str">
        <f aca="false">IF(AND(ISNUMBER($N89),$N89&gt;0,ISNUMBER($Y89)),$Y89/$N89,"")</f>
        <v/>
      </c>
    </row>
    <row r="90" customFormat="false" ht="15" hidden="false" customHeight="true" outlineLevel="0" collapsed="false">
      <c r="A90" s="441" t="n">
        <v>7</v>
      </c>
      <c r="B90" s="157" t="n">
        <v>82</v>
      </c>
      <c r="C90" s="157" t="s">
        <v>3094</v>
      </c>
      <c r="D90" s="157" t="s">
        <v>3095</v>
      </c>
      <c r="E90" s="157" t="n">
        <v>425</v>
      </c>
      <c r="F90" s="157" t="s">
        <v>2595</v>
      </c>
      <c r="G90" s="157" t="s">
        <v>2596</v>
      </c>
      <c r="H90" s="78" t="n">
        <f aca="false">Y90/J90</f>
        <v>33.5457900033546</v>
      </c>
      <c r="I90" s="442" t="n">
        <v>44953</v>
      </c>
      <c r="J90" s="157" t="n">
        <v>8943</v>
      </c>
      <c r="K90" s="78"/>
      <c r="L90" s="157" t="n">
        <v>8943</v>
      </c>
      <c r="M90" s="157" t="n">
        <v>1982</v>
      </c>
      <c r="P90" s="157" t="s">
        <v>2713</v>
      </c>
      <c r="R90" s="174" t="s">
        <v>279</v>
      </c>
      <c r="S90" s="157" t="n">
        <v>6313</v>
      </c>
      <c r="T90" s="443" t="n">
        <f aca="false">S90/L90</f>
        <v>0.705915240970592</v>
      </c>
      <c r="U90" s="157" t="s">
        <v>279</v>
      </c>
      <c r="V90" s="443"/>
      <c r="W90" s="443"/>
      <c r="X90" s="443"/>
      <c r="Y90" s="80" t="n">
        <v>300000</v>
      </c>
      <c r="Z90" s="80"/>
      <c r="AA90" s="80" t="n">
        <v>300000</v>
      </c>
      <c r="AB90" s="80"/>
      <c r="AC90" s="157" t="s">
        <v>3096</v>
      </c>
      <c r="AD90" s="157" t="s">
        <v>3097</v>
      </c>
      <c r="AE90" s="281" t="s">
        <v>3098</v>
      </c>
      <c r="AF90" s="281" t="s">
        <v>3099</v>
      </c>
      <c r="AI90" s="157" t="e">
        <f aca="false">IF(AND($E90=Subj_OccCode,Subj_BldgSF&gt;0,ABS($L90-Subj_BldgSF)&lt;=Subj_BldgSF*Subj_SizeTol),ABS($L90-Subj_BldgSF),NA())</f>
        <v>#N/A</v>
      </c>
      <c r="AJ90" s="1" t="e">
        <f aca="false">IF(ISNA(AI90),NA(),AI90+ROW()/10000000)</f>
        <v>#N/A</v>
      </c>
      <c r="AK90" s="157" t="str">
        <f aca="false">IF(AND(ISNUMBER($N90),$N90&gt;0,ISNUMBER($Y90)),$Y90/$N90,"")</f>
        <v/>
      </c>
    </row>
    <row r="91" customFormat="false" ht="15" hidden="false" customHeight="true" outlineLevel="0" collapsed="false">
      <c r="A91" s="441" t="n">
        <v>7</v>
      </c>
      <c r="B91" s="157" t="n">
        <v>83</v>
      </c>
      <c r="C91" s="157" t="s">
        <v>3100</v>
      </c>
      <c r="D91" s="157" t="s">
        <v>3101</v>
      </c>
      <c r="E91" s="157" t="n">
        <v>325</v>
      </c>
      <c r="F91" s="157" t="s">
        <v>2921</v>
      </c>
      <c r="G91" s="157" t="s">
        <v>2691</v>
      </c>
      <c r="H91" s="78" t="n">
        <f aca="false">Y91/J91</f>
        <v>350.023730422402</v>
      </c>
      <c r="I91" s="442" t="n">
        <v>44830</v>
      </c>
      <c r="J91" s="157" t="n">
        <v>4214</v>
      </c>
      <c r="K91" s="78"/>
      <c r="L91" s="157" t="n">
        <v>4214</v>
      </c>
      <c r="M91" s="157" t="n">
        <v>1972</v>
      </c>
      <c r="P91" s="157" t="s">
        <v>2922</v>
      </c>
      <c r="R91" s="174" t="s">
        <v>279</v>
      </c>
      <c r="S91" s="157" t="n">
        <v>35896</v>
      </c>
      <c r="T91" s="443" t="n">
        <f aca="false">S91/L91</f>
        <v>8.51827242524917</v>
      </c>
      <c r="U91" s="157" t="s">
        <v>279</v>
      </c>
      <c r="V91" s="443"/>
      <c r="W91" s="443"/>
      <c r="X91" s="443"/>
      <c r="Y91" s="80" t="n">
        <v>1475000</v>
      </c>
      <c r="Z91" s="80"/>
      <c r="AA91" s="80" t="n">
        <v>1475000</v>
      </c>
      <c r="AB91" s="80"/>
      <c r="AC91" s="157" t="s">
        <v>3102</v>
      </c>
      <c r="AD91" s="157" t="s">
        <v>3103</v>
      </c>
      <c r="AE91" s="281" t="s">
        <v>3104</v>
      </c>
      <c r="AF91" s="281" t="s">
        <v>3105</v>
      </c>
      <c r="AI91" s="157" t="e">
        <f aca="false">IF(AND($E91=Subj_OccCode,Subj_BldgSF&gt;0,ABS($L91-Subj_BldgSF)&lt;=Subj_BldgSF*Subj_SizeTol),ABS($L91-Subj_BldgSF),NA())</f>
        <v>#N/A</v>
      </c>
      <c r="AJ91" s="1" t="e">
        <f aca="false">IF(ISNA(AI91),NA(),AI91+ROW()/10000000)</f>
        <v>#N/A</v>
      </c>
      <c r="AK91" s="157" t="str">
        <f aca="false">IF(AND(ISNUMBER($N91),$N91&gt;0,ISNUMBER($Y91)),$Y91/$N91,"")</f>
        <v/>
      </c>
    </row>
    <row r="92" customFormat="false" ht="15" hidden="false" customHeight="true" outlineLevel="0" collapsed="false">
      <c r="A92" s="441" t="n">
        <v>7</v>
      </c>
      <c r="B92" s="157" t="n">
        <v>84</v>
      </c>
      <c r="C92" s="157" t="s">
        <v>3106</v>
      </c>
      <c r="D92" s="157" t="s">
        <v>3107</v>
      </c>
      <c r="E92" s="157" t="n">
        <v>353</v>
      </c>
      <c r="F92" s="157" t="s">
        <v>2595</v>
      </c>
      <c r="G92" s="157" t="s">
        <v>2596</v>
      </c>
      <c r="H92" s="78" t="n">
        <f aca="false">Y92/J92</f>
        <v>489.396411092985</v>
      </c>
      <c r="I92" s="442" t="n">
        <v>45427</v>
      </c>
      <c r="J92" s="157" t="n">
        <v>4291</v>
      </c>
      <c r="K92" s="78"/>
      <c r="L92" s="157" t="n">
        <v>4291</v>
      </c>
      <c r="M92" s="157" t="n">
        <v>1964</v>
      </c>
      <c r="P92" s="157" t="s">
        <v>3108</v>
      </c>
      <c r="R92" s="174" t="s">
        <v>279</v>
      </c>
      <c r="S92" s="157" t="n">
        <v>18766.2</v>
      </c>
      <c r="T92" s="443" t="n">
        <f aca="false">S92/L92</f>
        <v>4.37338615707294</v>
      </c>
      <c r="U92" s="157" t="s">
        <v>279</v>
      </c>
      <c r="V92" s="443"/>
      <c r="W92" s="443"/>
      <c r="X92" s="443"/>
      <c r="Y92" s="80" t="n">
        <v>2100000</v>
      </c>
      <c r="Z92" s="80"/>
      <c r="AA92" s="80" t="n">
        <v>2100000</v>
      </c>
      <c r="AB92" s="80"/>
      <c r="AC92" s="157" t="s">
        <v>3109</v>
      </c>
      <c r="AD92" s="157" t="s">
        <v>3110</v>
      </c>
      <c r="AE92" s="281" t="s">
        <v>3111</v>
      </c>
      <c r="AF92" s="281" t="s">
        <v>3112</v>
      </c>
      <c r="AI92" s="157" t="e">
        <f aca="false">IF(AND($E92=Subj_OccCode,Subj_BldgSF&gt;0,ABS($L92-Subj_BldgSF)&lt;=Subj_BldgSF*Subj_SizeTol),ABS($L92-Subj_BldgSF),NA())</f>
        <v>#N/A</v>
      </c>
      <c r="AJ92" s="1" t="e">
        <f aca="false">IF(ISNA(AI92),NA(),AI92+ROW()/10000000)</f>
        <v>#N/A</v>
      </c>
      <c r="AK92" s="157" t="str">
        <f aca="false">IF(AND(ISNUMBER($N92),$N92&gt;0,ISNUMBER($Y92)),$Y92/$N92,"")</f>
        <v/>
      </c>
    </row>
    <row r="93" customFormat="false" ht="15" hidden="false" customHeight="true" outlineLevel="0" collapsed="false">
      <c r="A93" s="441" t="n">
        <v>7</v>
      </c>
      <c r="B93" s="157" t="n">
        <v>85</v>
      </c>
      <c r="C93" s="157" t="s">
        <v>3113</v>
      </c>
      <c r="D93" s="157" t="s">
        <v>3114</v>
      </c>
      <c r="E93" s="157" t="n">
        <v>406</v>
      </c>
      <c r="G93" s="157" t="s">
        <v>2691</v>
      </c>
      <c r="H93" s="78" t="n">
        <f aca="false">Y93/J93</f>
        <v>154.690618762475</v>
      </c>
      <c r="I93" s="442" t="n">
        <v>45142</v>
      </c>
      <c r="J93" s="157" t="n">
        <v>20040</v>
      </c>
      <c r="K93" s="78"/>
      <c r="L93" s="157" t="n">
        <v>20040</v>
      </c>
      <c r="M93" s="157" t="n">
        <v>2000</v>
      </c>
      <c r="P93" s="157" t="s">
        <v>2692</v>
      </c>
      <c r="R93" s="174" t="s">
        <v>279</v>
      </c>
      <c r="S93" s="157" t="n">
        <v>94176.72</v>
      </c>
      <c r="T93" s="443" t="n">
        <f aca="false">S93/L93</f>
        <v>4.6994371257485</v>
      </c>
      <c r="U93" s="157" t="s">
        <v>279</v>
      </c>
      <c r="V93" s="443"/>
      <c r="W93" s="443"/>
      <c r="X93" s="443"/>
      <c r="Y93" s="80" t="n">
        <v>3100000</v>
      </c>
      <c r="Z93" s="80"/>
      <c r="AA93" s="80" t="n">
        <v>3100000</v>
      </c>
      <c r="AB93" s="80"/>
      <c r="AC93" s="157" t="s">
        <v>3115</v>
      </c>
      <c r="AD93" s="157" t="s">
        <v>3116</v>
      </c>
      <c r="AE93" s="281" t="s">
        <v>3117</v>
      </c>
      <c r="AF93" s="281" t="s">
        <v>3118</v>
      </c>
      <c r="AI93" s="157" t="e">
        <f aca="false">IF(AND($E93=Subj_OccCode,Subj_BldgSF&gt;0,ABS($L93-Subj_BldgSF)&lt;=Subj_BldgSF*Subj_SizeTol),ABS($L93-Subj_BldgSF),NA())</f>
        <v>#N/A</v>
      </c>
      <c r="AJ93" s="1" t="e">
        <f aca="false">IF(ISNA(AI93),NA(),AI93+ROW()/10000000)</f>
        <v>#N/A</v>
      </c>
      <c r="AK93" s="157" t="str">
        <f aca="false">IF(AND(ISNUMBER($N93),$N93&gt;0,ISNUMBER($Y93)),$Y93/$N93,"")</f>
        <v/>
      </c>
    </row>
    <row r="94" customFormat="false" ht="15" hidden="false" customHeight="true" outlineLevel="0" collapsed="false">
      <c r="A94" s="441" t="n">
        <v>7</v>
      </c>
      <c r="B94" s="157" t="n">
        <v>86</v>
      </c>
      <c r="C94" s="157" t="s">
        <v>3119</v>
      </c>
      <c r="D94" s="157" t="s">
        <v>3120</v>
      </c>
      <c r="E94" s="157" t="n">
        <v>407</v>
      </c>
      <c r="G94" s="157" t="s">
        <v>2567</v>
      </c>
      <c r="H94" s="78" t="n">
        <f aca="false">Y94/J94</f>
        <v>178.894927536232</v>
      </c>
      <c r="I94" s="442" t="n">
        <v>44792</v>
      </c>
      <c r="J94" s="157" t="n">
        <v>11040</v>
      </c>
      <c r="K94" s="78"/>
      <c r="L94" s="157" t="n">
        <v>11040</v>
      </c>
      <c r="M94" s="157" t="n">
        <v>2000</v>
      </c>
      <c r="P94" s="157" t="s">
        <v>2750</v>
      </c>
      <c r="R94" s="174" t="s">
        <v>279</v>
      </c>
      <c r="S94" s="157" t="n">
        <v>36887</v>
      </c>
      <c r="T94" s="443" t="n">
        <f aca="false">S94/L94</f>
        <v>3.34121376811594</v>
      </c>
      <c r="U94" s="157" t="s">
        <v>279</v>
      </c>
      <c r="V94" s="443"/>
      <c r="W94" s="443"/>
      <c r="X94" s="443"/>
      <c r="Y94" s="80" t="n">
        <v>1975000</v>
      </c>
      <c r="Z94" s="80"/>
      <c r="AA94" s="80" t="n">
        <v>1975000</v>
      </c>
      <c r="AB94" s="80"/>
      <c r="AC94" s="157" t="s">
        <v>3121</v>
      </c>
      <c r="AD94" s="157" t="s">
        <v>3122</v>
      </c>
      <c r="AE94" s="281" t="s">
        <v>3123</v>
      </c>
      <c r="AF94" s="281" t="s">
        <v>3124</v>
      </c>
      <c r="AI94" s="157" t="e">
        <f aca="false">IF(AND($E94=Subj_OccCode,Subj_BldgSF&gt;0,ABS($L94-Subj_BldgSF)&lt;=Subj_BldgSF*Subj_SizeTol),ABS($L94-Subj_BldgSF),NA())</f>
        <v>#N/A</v>
      </c>
      <c r="AJ94" s="1" t="e">
        <f aca="false">IF(ISNA(AI94),NA(),AI94+ROW()/10000000)</f>
        <v>#N/A</v>
      </c>
      <c r="AK94" s="157" t="str">
        <f aca="false">IF(AND(ISNUMBER($N94),$N94&gt;0,ISNUMBER($Y94)),$Y94/$N94,"")</f>
        <v/>
      </c>
    </row>
    <row r="95" customFormat="false" ht="15" hidden="false" customHeight="true" outlineLevel="0" collapsed="false">
      <c r="A95" s="441" t="n">
        <v>7</v>
      </c>
      <c r="B95" s="157" t="n">
        <v>87</v>
      </c>
      <c r="C95" s="157" t="s">
        <v>3125</v>
      </c>
      <c r="D95" s="157" t="s">
        <v>3126</v>
      </c>
      <c r="E95" s="157" t="n">
        <v>407</v>
      </c>
      <c r="G95" s="157" t="s">
        <v>2691</v>
      </c>
      <c r="H95" s="78" t="n">
        <f aca="false">Y95/J95</f>
        <v>310</v>
      </c>
      <c r="I95" s="442" t="n">
        <v>45468</v>
      </c>
      <c r="J95" s="157" t="n">
        <v>15000</v>
      </c>
      <c r="K95" s="78"/>
      <c r="L95" s="157" t="n">
        <v>15000</v>
      </c>
      <c r="M95" s="157" t="n">
        <v>1998</v>
      </c>
      <c r="P95" s="157" t="s">
        <v>2692</v>
      </c>
      <c r="R95" s="174" t="s">
        <v>279</v>
      </c>
      <c r="S95" s="157" t="n">
        <v>93654</v>
      </c>
      <c r="T95" s="443" t="n">
        <f aca="false">S95/L95</f>
        <v>6.2436</v>
      </c>
      <c r="U95" s="157" t="s">
        <v>279</v>
      </c>
      <c r="V95" s="443"/>
      <c r="W95" s="443"/>
      <c r="X95" s="443"/>
      <c r="Y95" s="80" t="n">
        <v>4650000</v>
      </c>
      <c r="Z95" s="80"/>
      <c r="AA95" s="80" t="n">
        <v>4650000</v>
      </c>
      <c r="AB95" s="80"/>
      <c r="AC95" s="157" t="s">
        <v>3127</v>
      </c>
      <c r="AD95" s="157" t="s">
        <v>3128</v>
      </c>
      <c r="AE95" s="281" t="s">
        <v>3129</v>
      </c>
      <c r="AF95" s="281" t="s">
        <v>3130</v>
      </c>
      <c r="AI95" s="157" t="e">
        <f aca="false">IF(AND($E95=Subj_OccCode,Subj_BldgSF&gt;0,ABS($L95-Subj_BldgSF)&lt;=Subj_BldgSF*Subj_SizeTol),ABS($L95-Subj_BldgSF),NA())</f>
        <v>#N/A</v>
      </c>
      <c r="AJ95" s="1" t="e">
        <f aca="false">IF(ISNA(AI95),NA(),AI95+ROW()/10000000)</f>
        <v>#N/A</v>
      </c>
      <c r="AK95" s="157" t="str">
        <f aca="false">IF(AND(ISNUMBER($N95),$N95&gt;0,ISNUMBER($Y95)),$Y95/$N95,"")</f>
        <v/>
      </c>
    </row>
    <row r="96" customFormat="false" ht="15" hidden="false" customHeight="true" outlineLevel="0" collapsed="false">
      <c r="A96" s="441" t="n">
        <v>7</v>
      </c>
      <c r="B96" s="157" t="n">
        <v>88</v>
      </c>
      <c r="C96" s="157" t="s">
        <v>3131</v>
      </c>
      <c r="D96" s="157" t="s">
        <v>3132</v>
      </c>
      <c r="E96" s="157" t="n">
        <v>407</v>
      </c>
      <c r="G96" s="157" t="s">
        <v>2691</v>
      </c>
      <c r="H96" s="78" t="n">
        <f aca="false">Y96/J96</f>
        <v>279.394644935972</v>
      </c>
      <c r="I96" s="442" t="n">
        <v>44914</v>
      </c>
      <c r="J96" s="157" t="n">
        <v>30065</v>
      </c>
      <c r="K96" s="78"/>
      <c r="L96" s="157" t="n">
        <v>30065</v>
      </c>
      <c r="M96" s="157" t="n">
        <v>1982</v>
      </c>
      <c r="P96" s="157" t="s">
        <v>2692</v>
      </c>
      <c r="R96" s="174" t="s">
        <v>279</v>
      </c>
      <c r="S96" s="157" t="n">
        <v>237402</v>
      </c>
      <c r="T96" s="443" t="n">
        <f aca="false">S96/L96</f>
        <v>7.89629136870115</v>
      </c>
      <c r="U96" s="157" t="s">
        <v>279</v>
      </c>
      <c r="V96" s="443"/>
      <c r="W96" s="443"/>
      <c r="X96" s="443"/>
      <c r="Y96" s="80" t="n">
        <v>8400000</v>
      </c>
      <c r="Z96" s="80"/>
      <c r="AA96" s="80" t="n">
        <v>8400000</v>
      </c>
      <c r="AB96" s="80"/>
      <c r="AC96" s="157" t="s">
        <v>3133</v>
      </c>
      <c r="AD96" s="157" t="s">
        <v>3134</v>
      </c>
      <c r="AE96" s="281" t="s">
        <v>3135</v>
      </c>
      <c r="AF96" s="281" t="s">
        <v>3136</v>
      </c>
      <c r="AI96" s="157" t="e">
        <f aca="false">IF(AND($E96=Subj_OccCode,Subj_BldgSF&gt;0,ABS($L96-Subj_BldgSF)&lt;=Subj_BldgSF*Subj_SizeTol),ABS($L96-Subj_BldgSF),NA())</f>
        <v>#N/A</v>
      </c>
      <c r="AJ96" s="1" t="e">
        <f aca="false">IF(ISNA(AI96),NA(),AI96+ROW()/10000000)</f>
        <v>#N/A</v>
      </c>
      <c r="AK96" s="157" t="str">
        <f aca="false">IF(AND(ISNUMBER($N96),$N96&gt;0,ISNUMBER($Y96)),$Y96/$N96,"")</f>
        <v/>
      </c>
    </row>
    <row r="97" customFormat="false" ht="15" hidden="false" customHeight="true" outlineLevel="0" collapsed="false">
      <c r="A97" s="441" t="n">
        <v>7</v>
      </c>
      <c r="B97" s="157" t="n">
        <v>89</v>
      </c>
      <c r="C97" s="157" t="s">
        <v>3137</v>
      </c>
      <c r="D97" s="157" t="s">
        <v>3138</v>
      </c>
      <c r="E97" s="157" t="n">
        <v>325</v>
      </c>
      <c r="G97" s="157" t="s">
        <v>2567</v>
      </c>
      <c r="H97" s="78" t="n">
        <f aca="false">Y97/J97</f>
        <v>167.575757575758</v>
      </c>
      <c r="I97" s="442" t="n">
        <v>45210</v>
      </c>
      <c r="J97" s="157" t="n">
        <v>16500</v>
      </c>
      <c r="K97" s="78"/>
      <c r="L97" s="157" t="n">
        <v>16500</v>
      </c>
      <c r="M97" s="157" t="n">
        <v>2003</v>
      </c>
      <c r="P97" s="157" t="s">
        <v>2750</v>
      </c>
      <c r="R97" s="174" t="s">
        <v>279</v>
      </c>
      <c r="S97" s="157" t="n">
        <v>68986</v>
      </c>
      <c r="T97" s="443" t="n">
        <f aca="false">S97/L97</f>
        <v>4.1809696969697</v>
      </c>
      <c r="U97" s="157" t="s">
        <v>279</v>
      </c>
      <c r="V97" s="443"/>
      <c r="W97" s="443"/>
      <c r="X97" s="443"/>
      <c r="Y97" s="80" t="n">
        <v>2765000</v>
      </c>
      <c r="Z97" s="80"/>
      <c r="AA97" s="80" t="n">
        <v>2765000</v>
      </c>
      <c r="AB97" s="80"/>
      <c r="AC97" s="157" t="s">
        <v>3139</v>
      </c>
      <c r="AD97" s="157" t="s">
        <v>3140</v>
      </c>
      <c r="AE97" s="281" t="s">
        <v>3141</v>
      </c>
      <c r="AF97" s="281" t="s">
        <v>3142</v>
      </c>
      <c r="AI97" s="157" t="e">
        <f aca="false">IF(AND($E97=Subj_OccCode,Subj_BldgSF&gt;0,ABS($L97-Subj_BldgSF)&lt;=Subj_BldgSF*Subj_SizeTol),ABS($L97-Subj_BldgSF),NA())</f>
        <v>#N/A</v>
      </c>
      <c r="AJ97" s="1" t="e">
        <f aca="false">IF(ISNA(AI97),NA(),AI97+ROW()/10000000)</f>
        <v>#N/A</v>
      </c>
      <c r="AK97" s="157" t="str">
        <f aca="false">IF(AND(ISNUMBER($N97),$N97&gt;0,ISNUMBER($Y97)),$Y97/$N97,"")</f>
        <v/>
      </c>
    </row>
    <row r="98" customFormat="false" ht="15" hidden="false" customHeight="true" outlineLevel="0" collapsed="false">
      <c r="A98" s="441" t="n">
        <v>7</v>
      </c>
      <c r="B98" s="157" t="n">
        <v>90</v>
      </c>
      <c r="C98" s="157" t="s">
        <v>3143</v>
      </c>
      <c r="D98" s="157" t="s">
        <v>3144</v>
      </c>
      <c r="E98" s="157" t="n">
        <v>407</v>
      </c>
      <c r="G98" s="157" t="s">
        <v>2691</v>
      </c>
      <c r="H98" s="78" t="n">
        <f aca="false">Y98/J98</f>
        <v>248.776181686863</v>
      </c>
      <c r="I98" s="442" t="n">
        <v>44865</v>
      </c>
      <c r="J98" s="157" t="n">
        <v>12461</v>
      </c>
      <c r="K98" s="78"/>
      <c r="L98" s="157" t="n">
        <v>12461</v>
      </c>
      <c r="M98" s="157" t="n">
        <v>2001</v>
      </c>
      <c r="P98" s="157" t="s">
        <v>2750</v>
      </c>
      <c r="R98" s="174" t="s">
        <v>503</v>
      </c>
      <c r="S98" s="157" t="n">
        <v>43560</v>
      </c>
      <c r="T98" s="443" t="n">
        <f aca="false">S98/L98</f>
        <v>3.49570660460637</v>
      </c>
      <c r="U98" s="157" t="s">
        <v>503</v>
      </c>
      <c r="V98" s="443"/>
      <c r="W98" s="443"/>
      <c r="X98" s="443"/>
      <c r="Y98" s="80" t="n">
        <v>3100000</v>
      </c>
      <c r="Z98" s="80"/>
      <c r="AA98" s="80" t="n">
        <v>3100000</v>
      </c>
      <c r="AB98" s="80"/>
      <c r="AC98" s="157" t="s">
        <v>3145</v>
      </c>
      <c r="AD98" s="157" t="s">
        <v>3146</v>
      </c>
      <c r="AE98" s="281" t="s">
        <v>3147</v>
      </c>
      <c r="AF98" s="281" t="s">
        <v>3148</v>
      </c>
      <c r="AI98" s="157" t="e">
        <f aca="false">IF(AND($E98=Subj_OccCode,Subj_BldgSF&gt;0,ABS($L98-Subj_BldgSF)&lt;=Subj_BldgSF*Subj_SizeTol),ABS($L98-Subj_BldgSF),NA())</f>
        <v>#N/A</v>
      </c>
      <c r="AJ98" s="1" t="e">
        <f aca="false">IF(ISNA(AI98),NA(),AI98+ROW()/10000000)</f>
        <v>#N/A</v>
      </c>
      <c r="AK98" s="157" t="str">
        <f aca="false">IF(AND(ISNUMBER($N98),$N98&gt;0,ISNUMBER($Y98)),$Y98/$N98,"")</f>
        <v/>
      </c>
    </row>
    <row r="99" customFormat="false" ht="15" hidden="false" customHeight="true" outlineLevel="0" collapsed="false">
      <c r="A99" s="441" t="n">
        <v>7</v>
      </c>
      <c r="B99" s="157" t="n">
        <v>91</v>
      </c>
      <c r="C99" s="157" t="s">
        <v>3149</v>
      </c>
      <c r="D99" s="157" t="s">
        <v>3150</v>
      </c>
      <c r="E99" s="157" t="n">
        <v>425</v>
      </c>
      <c r="G99" s="157" t="s">
        <v>2691</v>
      </c>
      <c r="H99" s="78" t="n">
        <f aca="false">Y99/J99</f>
        <v>35.9111030806758</v>
      </c>
      <c r="I99" s="442" t="n">
        <v>45184</v>
      </c>
      <c r="J99" s="157" t="n">
        <v>22138</v>
      </c>
      <c r="K99" s="78"/>
      <c r="L99" s="157" t="n">
        <v>22138</v>
      </c>
      <c r="M99" s="157" t="n">
        <v>2005</v>
      </c>
      <c r="P99" s="157" t="s">
        <v>2750</v>
      </c>
      <c r="R99" s="174" t="s">
        <v>279</v>
      </c>
      <c r="S99" s="157" t="n">
        <v>13402</v>
      </c>
      <c r="T99" s="443" t="n">
        <f aca="false">S99/L99</f>
        <v>0.605384406902159</v>
      </c>
      <c r="U99" s="157" t="s">
        <v>279</v>
      </c>
      <c r="V99" s="443"/>
      <c r="W99" s="443"/>
      <c r="X99" s="443"/>
      <c r="Y99" s="80" t="n">
        <v>795000</v>
      </c>
      <c r="Z99" s="80"/>
      <c r="AA99" s="80" t="n">
        <v>795000</v>
      </c>
      <c r="AB99" s="80"/>
      <c r="AC99" s="157" t="s">
        <v>3151</v>
      </c>
      <c r="AD99" s="157" t="s">
        <v>3152</v>
      </c>
      <c r="AE99" s="281" t="s">
        <v>3153</v>
      </c>
      <c r="AF99" s="281" t="s">
        <v>3154</v>
      </c>
      <c r="AI99" s="157" t="e">
        <f aca="false">IF(AND($E99=Subj_OccCode,Subj_BldgSF&gt;0,ABS($L99-Subj_BldgSF)&lt;=Subj_BldgSF*Subj_SizeTol),ABS($L99-Subj_BldgSF),NA())</f>
        <v>#N/A</v>
      </c>
      <c r="AJ99" s="1" t="e">
        <f aca="false">IF(ISNA(AI99),NA(),AI99+ROW()/10000000)</f>
        <v>#N/A</v>
      </c>
      <c r="AK99" s="157" t="str">
        <f aca="false">IF(AND(ISNUMBER($N99),$N99&gt;0,ISNUMBER($Y99)),$Y99/$N99,"")</f>
        <v/>
      </c>
    </row>
    <row r="100" customFormat="false" ht="15" hidden="false" customHeight="true" outlineLevel="0" collapsed="false">
      <c r="A100" s="441" t="n">
        <v>7</v>
      </c>
      <c r="B100" s="157" t="n">
        <v>92</v>
      </c>
      <c r="C100" s="157" t="s">
        <v>3155</v>
      </c>
      <c r="D100" s="157" t="s">
        <v>3156</v>
      </c>
      <c r="E100" s="157" t="n">
        <v>386</v>
      </c>
      <c r="F100" s="157" t="s">
        <v>260</v>
      </c>
      <c r="G100" s="157" t="s">
        <v>354</v>
      </c>
      <c r="H100" s="78" t="n">
        <f aca="false">Y100/J100</f>
        <v>108.881630113548</v>
      </c>
      <c r="I100" s="442" t="n">
        <v>45398</v>
      </c>
      <c r="J100" s="157" t="n">
        <v>32145</v>
      </c>
      <c r="K100" s="78"/>
      <c r="L100" s="157" t="n">
        <v>32145</v>
      </c>
      <c r="M100" s="157" t="n">
        <v>2006</v>
      </c>
      <c r="P100" s="157" t="s">
        <v>2765</v>
      </c>
      <c r="R100" s="174" t="s">
        <v>279</v>
      </c>
      <c r="S100" s="157" t="n">
        <v>93249</v>
      </c>
      <c r="T100" s="443" t="n">
        <f aca="false">S100/L100</f>
        <v>2.9008866075595</v>
      </c>
      <c r="U100" s="157" t="s">
        <v>279</v>
      </c>
      <c r="V100" s="443"/>
      <c r="W100" s="443"/>
      <c r="X100" s="443"/>
      <c r="Y100" s="80" t="n">
        <v>3500000</v>
      </c>
      <c r="Z100" s="80"/>
      <c r="AA100" s="80" t="n">
        <v>3500000</v>
      </c>
      <c r="AB100" s="80"/>
      <c r="AC100" s="157" t="s">
        <v>3157</v>
      </c>
      <c r="AD100" s="157" t="s">
        <v>3158</v>
      </c>
      <c r="AE100" s="281" t="s">
        <v>3159</v>
      </c>
      <c r="AF100" s="281" t="s">
        <v>3160</v>
      </c>
      <c r="AI100" s="157" t="e">
        <f aca="false">IF(AND($E100=Subj_OccCode,Subj_BldgSF&gt;0,ABS($L100-Subj_BldgSF)&lt;=Subj_BldgSF*Subj_SizeTol),ABS($L100-Subj_BldgSF),NA())</f>
        <v>#N/A</v>
      </c>
      <c r="AJ100" s="1" t="e">
        <f aca="false">IF(ISNA(AI100),NA(),AI100+ROW()/10000000)</f>
        <v>#N/A</v>
      </c>
      <c r="AK100" s="157" t="str">
        <f aca="false">IF(AND(ISNUMBER($N100),$N100&gt;0,ISNUMBER($Y100)),$Y100/$N100,"")</f>
        <v/>
      </c>
    </row>
    <row r="101" customFormat="false" ht="15" hidden="false" customHeight="true" outlineLevel="0" collapsed="false">
      <c r="A101" s="441" t="n">
        <v>7</v>
      </c>
      <c r="B101" s="157" t="n">
        <v>93</v>
      </c>
      <c r="C101" s="157" t="s">
        <v>3161</v>
      </c>
      <c r="D101" s="157" t="s">
        <v>3162</v>
      </c>
      <c r="E101" s="157" t="n">
        <v>425</v>
      </c>
      <c r="G101" s="157" t="s">
        <v>2691</v>
      </c>
      <c r="H101" s="78" t="n">
        <f aca="false">Y101/J101</f>
        <v>21.7328727691422</v>
      </c>
      <c r="I101" s="442" t="n">
        <v>44747</v>
      </c>
      <c r="J101" s="157" t="n">
        <v>34740</v>
      </c>
      <c r="K101" s="78"/>
      <c r="L101" s="157" t="n">
        <v>34740</v>
      </c>
      <c r="M101" s="157" t="n">
        <v>1985</v>
      </c>
      <c r="P101" s="157" t="s">
        <v>2692</v>
      </c>
      <c r="R101" s="174" t="s">
        <v>279</v>
      </c>
      <c r="S101" s="157" t="n">
        <v>7920</v>
      </c>
      <c r="T101" s="443" t="n">
        <f aca="false">S101/L101</f>
        <v>0.227979274611399</v>
      </c>
      <c r="U101" s="157" t="s">
        <v>279</v>
      </c>
      <c r="V101" s="443"/>
      <c r="W101" s="443"/>
      <c r="X101" s="443"/>
      <c r="Y101" s="80" t="n">
        <v>755000</v>
      </c>
      <c r="Z101" s="80"/>
      <c r="AA101" s="80" t="n">
        <v>755000</v>
      </c>
      <c r="AB101" s="80"/>
      <c r="AC101" s="157" t="s">
        <v>3163</v>
      </c>
      <c r="AD101" s="157" t="s">
        <v>3164</v>
      </c>
      <c r="AE101" s="281" t="s">
        <v>3165</v>
      </c>
      <c r="AF101" s="281" t="s">
        <v>3166</v>
      </c>
      <c r="AI101" s="157" t="e">
        <f aca="false">IF(AND($E101=Subj_OccCode,Subj_BldgSF&gt;0,ABS($L101-Subj_BldgSF)&lt;=Subj_BldgSF*Subj_SizeTol),ABS($L101-Subj_BldgSF),NA())</f>
        <v>#N/A</v>
      </c>
      <c r="AJ101" s="1" t="e">
        <f aca="false">IF(ISNA(AI101),NA(),AI101+ROW()/10000000)</f>
        <v>#N/A</v>
      </c>
      <c r="AK101" s="157" t="str">
        <f aca="false">IF(AND(ISNUMBER($N101),$N101&gt;0,ISNUMBER($Y101)),$Y101/$N101,"")</f>
        <v/>
      </c>
    </row>
    <row r="102" customFormat="false" ht="15" hidden="false" customHeight="true" outlineLevel="0" collapsed="false">
      <c r="A102" s="441" t="n">
        <v>7</v>
      </c>
      <c r="B102" s="157" t="n">
        <v>94</v>
      </c>
      <c r="C102" s="157" t="s">
        <v>3167</v>
      </c>
      <c r="D102" s="157" t="s">
        <v>3168</v>
      </c>
      <c r="E102" s="157" t="n">
        <v>425</v>
      </c>
      <c r="F102" s="157" t="s">
        <v>2921</v>
      </c>
      <c r="G102" s="157" t="s">
        <v>2691</v>
      </c>
      <c r="H102" s="78" t="n">
        <f aca="false">Y102/J102</f>
        <v>11.1904761904762</v>
      </c>
      <c r="I102" s="442" t="n">
        <v>45400</v>
      </c>
      <c r="J102" s="157" t="n">
        <v>16800</v>
      </c>
      <c r="K102" s="78"/>
      <c r="L102" s="157" t="n">
        <v>16800</v>
      </c>
      <c r="M102" s="157" t="n">
        <v>2023</v>
      </c>
      <c r="P102" s="157" t="s">
        <v>2692</v>
      </c>
      <c r="R102" s="174" t="s">
        <v>279</v>
      </c>
      <c r="S102" s="157" t="n">
        <v>1783</v>
      </c>
      <c r="T102" s="443" t="n">
        <f aca="false">S102/L102</f>
        <v>0.106130952380952</v>
      </c>
      <c r="U102" s="157" t="s">
        <v>279</v>
      </c>
      <c r="V102" s="443"/>
      <c r="W102" s="443"/>
      <c r="X102" s="443"/>
      <c r="Y102" s="80" t="n">
        <v>188000</v>
      </c>
      <c r="Z102" s="80"/>
      <c r="AA102" s="80" t="n">
        <v>188000</v>
      </c>
      <c r="AB102" s="80"/>
      <c r="AC102" s="157" t="s">
        <v>3169</v>
      </c>
      <c r="AD102" s="157" t="s">
        <v>3170</v>
      </c>
      <c r="AE102" s="281" t="s">
        <v>3171</v>
      </c>
      <c r="AF102" s="281" t="s">
        <v>3172</v>
      </c>
      <c r="AI102" s="157" t="e">
        <f aca="false">IF(AND($E102=Subj_OccCode,Subj_BldgSF&gt;0,ABS($L102-Subj_BldgSF)&lt;=Subj_BldgSF*Subj_SizeTol),ABS($L102-Subj_BldgSF),NA())</f>
        <v>#N/A</v>
      </c>
      <c r="AJ102" s="1" t="e">
        <f aca="false">IF(ISNA(AI102),NA(),AI102+ROW()/10000000)</f>
        <v>#N/A</v>
      </c>
      <c r="AK102" s="157" t="str">
        <f aca="false">IF(AND(ISNUMBER($N102),$N102&gt;0,ISNUMBER($Y102)),$Y102/$N102,"")</f>
        <v/>
      </c>
    </row>
    <row r="103" customFormat="false" ht="15" hidden="false" customHeight="true" outlineLevel="0" collapsed="false">
      <c r="A103" s="441" t="n">
        <v>7</v>
      </c>
      <c r="B103" s="157" t="n">
        <v>95</v>
      </c>
      <c r="C103" s="157" t="s">
        <v>3173</v>
      </c>
      <c r="D103" s="157" t="s">
        <v>3174</v>
      </c>
      <c r="E103" s="157" t="n">
        <v>407</v>
      </c>
      <c r="F103" s="157" t="s">
        <v>2921</v>
      </c>
      <c r="G103" s="157" t="s">
        <v>2691</v>
      </c>
      <c r="H103" s="78" t="n">
        <f aca="false">Y103/J103</f>
        <v>259.259259259259</v>
      </c>
      <c r="I103" s="442" t="n">
        <v>45338</v>
      </c>
      <c r="J103" s="157" t="n">
        <v>16200</v>
      </c>
      <c r="K103" s="78"/>
      <c r="L103" s="157" t="n">
        <v>16200</v>
      </c>
      <c r="M103" s="157" t="n">
        <v>1988</v>
      </c>
      <c r="P103" s="157" t="s">
        <v>3009</v>
      </c>
      <c r="R103" s="174" t="s">
        <v>279</v>
      </c>
      <c r="S103" s="157" t="n">
        <v>108900</v>
      </c>
      <c r="T103" s="443" t="n">
        <f aca="false">S103/L103</f>
        <v>6.72222222222222</v>
      </c>
      <c r="U103" s="157" t="s">
        <v>279</v>
      </c>
      <c r="V103" s="443"/>
      <c r="W103" s="443"/>
      <c r="X103" s="443"/>
      <c r="Y103" s="80" t="n">
        <v>4200000</v>
      </c>
      <c r="Z103" s="80"/>
      <c r="AA103" s="80" t="n">
        <v>4200000</v>
      </c>
      <c r="AB103" s="80"/>
      <c r="AC103" s="157" t="s">
        <v>3175</v>
      </c>
      <c r="AD103" s="157" t="s">
        <v>3176</v>
      </c>
      <c r="AE103" s="281" t="s">
        <v>3177</v>
      </c>
      <c r="AF103" s="281" t="s">
        <v>3178</v>
      </c>
      <c r="AI103" s="157" t="e">
        <f aca="false">IF(AND($E103=Subj_OccCode,Subj_BldgSF&gt;0,ABS($L103-Subj_BldgSF)&lt;=Subj_BldgSF*Subj_SizeTol),ABS($L103-Subj_BldgSF),NA())</f>
        <v>#N/A</v>
      </c>
      <c r="AJ103" s="1" t="e">
        <f aca="false">IF(ISNA(AI103),NA(),AI103+ROW()/10000000)</f>
        <v>#N/A</v>
      </c>
      <c r="AK103" s="157" t="str">
        <f aca="false">IF(AND(ISNUMBER($N103),$N103&gt;0,ISNUMBER($Y103)),$Y103/$N103,"")</f>
        <v/>
      </c>
    </row>
    <row r="104" customFormat="false" ht="15" hidden="false" customHeight="true" outlineLevel="0" collapsed="false">
      <c r="A104" s="441" t="n">
        <v>7</v>
      </c>
      <c r="B104" s="157" t="n">
        <v>96</v>
      </c>
      <c r="C104" s="157" t="s">
        <v>3179</v>
      </c>
      <c r="D104" s="157" t="s">
        <v>3180</v>
      </c>
      <c r="E104" s="157" t="n">
        <v>100</v>
      </c>
      <c r="F104" s="157" t="s">
        <v>2921</v>
      </c>
      <c r="G104" s="157" t="s">
        <v>2691</v>
      </c>
      <c r="H104" s="78" t="n">
        <f aca="false">Y104/J104</f>
        <v>178.132459296733</v>
      </c>
      <c r="I104" s="442" t="n">
        <v>44771</v>
      </c>
      <c r="J104" s="157" t="n">
        <v>28069</v>
      </c>
      <c r="K104" s="78"/>
      <c r="L104" s="157" t="n">
        <v>28069</v>
      </c>
      <c r="M104" s="157" t="n">
        <v>1939</v>
      </c>
      <c r="P104" s="157" t="s">
        <v>3181</v>
      </c>
      <c r="R104" s="174" t="s">
        <v>555</v>
      </c>
      <c r="S104" s="157" t="n">
        <v>226512</v>
      </c>
      <c r="T104" s="443" t="n">
        <f aca="false">S104/L104</f>
        <v>8.06982792404432</v>
      </c>
      <c r="U104" s="157" t="s">
        <v>555</v>
      </c>
      <c r="V104" s="443"/>
      <c r="W104" s="443"/>
      <c r="X104" s="443"/>
      <c r="Y104" s="80" t="n">
        <v>5000000</v>
      </c>
      <c r="Z104" s="80"/>
      <c r="AA104" s="80" t="n">
        <v>5000000</v>
      </c>
      <c r="AB104" s="80"/>
      <c r="AC104" s="157" t="s">
        <v>3182</v>
      </c>
      <c r="AD104" s="157" t="s">
        <v>3183</v>
      </c>
      <c r="AE104" s="281" t="s">
        <v>3184</v>
      </c>
      <c r="AF104" s="281" t="s">
        <v>3185</v>
      </c>
      <c r="AI104" s="157" t="e">
        <f aca="false">IF(AND($E104=Subj_OccCode,Subj_BldgSF&gt;0,ABS($L104-Subj_BldgSF)&lt;=Subj_BldgSF*Subj_SizeTol),ABS($L104-Subj_BldgSF),NA())</f>
        <v>#N/A</v>
      </c>
      <c r="AJ104" s="1" t="e">
        <f aca="false">IF(ISNA(AI104),NA(),AI104+ROW()/10000000)</f>
        <v>#N/A</v>
      </c>
      <c r="AK104" s="157" t="str">
        <f aca="false">IF(AND(ISNUMBER($N104),$N104&gt;0,ISNUMBER($Y104)),$Y104/$N104,"")</f>
        <v/>
      </c>
    </row>
    <row r="105" customFormat="false" ht="15" hidden="false" customHeight="true" outlineLevel="0" collapsed="false">
      <c r="A105" s="441" t="n">
        <v>7</v>
      </c>
      <c r="B105" s="157" t="n">
        <v>97</v>
      </c>
      <c r="C105" s="157" t="s">
        <v>3186</v>
      </c>
      <c r="D105" s="157" t="s">
        <v>3187</v>
      </c>
      <c r="E105" s="157" t="n">
        <v>425</v>
      </c>
      <c r="G105" s="157" t="s">
        <v>2691</v>
      </c>
      <c r="H105" s="78" t="n">
        <f aca="false">Y105/J105</f>
        <v>14.5283018867925</v>
      </c>
      <c r="I105" s="442" t="n">
        <v>45197</v>
      </c>
      <c r="J105" s="157" t="n">
        <v>26500</v>
      </c>
      <c r="K105" s="78"/>
      <c r="L105" s="157" t="n">
        <v>26500</v>
      </c>
      <c r="M105" s="157" t="n">
        <v>1984</v>
      </c>
      <c r="P105" s="157" t="s">
        <v>2692</v>
      </c>
      <c r="R105" s="174" t="s">
        <v>279</v>
      </c>
      <c r="S105" s="157" t="n">
        <v>4340</v>
      </c>
      <c r="T105" s="443" t="n">
        <f aca="false">S105/L105</f>
        <v>0.16377358490566</v>
      </c>
      <c r="U105" s="157" t="s">
        <v>279</v>
      </c>
      <c r="V105" s="443"/>
      <c r="W105" s="443"/>
      <c r="X105" s="443"/>
      <c r="Y105" s="80" t="n">
        <v>385000</v>
      </c>
      <c r="Z105" s="80"/>
      <c r="AA105" s="80" t="n">
        <v>385000</v>
      </c>
      <c r="AB105" s="80"/>
      <c r="AC105" s="157" t="s">
        <v>3188</v>
      </c>
      <c r="AD105" s="157" t="s">
        <v>3189</v>
      </c>
      <c r="AE105" s="281" t="s">
        <v>3190</v>
      </c>
      <c r="AF105" s="281" t="s">
        <v>3191</v>
      </c>
      <c r="AI105" s="157" t="e">
        <f aca="false">IF(AND($E105=Subj_OccCode,Subj_BldgSF&gt;0,ABS($L105-Subj_BldgSF)&lt;=Subj_BldgSF*Subj_SizeTol),ABS($L105-Subj_BldgSF),NA())</f>
        <v>#N/A</v>
      </c>
      <c r="AJ105" s="1" t="e">
        <f aca="false">IF(ISNA(AI105),NA(),AI105+ROW()/10000000)</f>
        <v>#N/A</v>
      </c>
      <c r="AK105" s="157" t="str">
        <f aca="false">IF(AND(ISNUMBER($N105),$N105&gt;0,ISNUMBER($Y105)),$Y105/$N105,"")</f>
        <v/>
      </c>
    </row>
    <row r="106" customFormat="false" ht="15" hidden="false" customHeight="true" outlineLevel="0" collapsed="false">
      <c r="A106" s="441" t="n">
        <v>7</v>
      </c>
      <c r="B106" s="157" t="n">
        <v>98</v>
      </c>
      <c r="C106" s="157" t="s">
        <v>3192</v>
      </c>
      <c r="D106" s="157" t="s">
        <v>3193</v>
      </c>
      <c r="E106" s="157" t="n">
        <v>407</v>
      </c>
      <c r="F106" s="157" t="s">
        <v>2581</v>
      </c>
      <c r="G106" s="157" t="s">
        <v>2567</v>
      </c>
      <c r="H106" s="78" t="n">
        <f aca="false">Y106/J106</f>
        <v>172.469558599696</v>
      </c>
      <c r="I106" s="442" t="n">
        <v>45072</v>
      </c>
      <c r="J106" s="157" t="n">
        <v>10512</v>
      </c>
      <c r="K106" s="78"/>
      <c r="L106" s="157" t="n">
        <v>10512</v>
      </c>
      <c r="M106" s="157" t="n">
        <v>1977</v>
      </c>
      <c r="P106" s="157" t="s">
        <v>3047</v>
      </c>
      <c r="R106" s="174" t="s">
        <v>279</v>
      </c>
      <c r="S106" s="157" t="n">
        <v>29041</v>
      </c>
      <c r="T106" s="443" t="n">
        <f aca="false">S106/L106</f>
        <v>2.76265220700152</v>
      </c>
      <c r="U106" s="157" t="s">
        <v>279</v>
      </c>
      <c r="V106" s="443"/>
      <c r="W106" s="443"/>
      <c r="X106" s="443"/>
      <c r="Y106" s="80" t="n">
        <v>1813000</v>
      </c>
      <c r="Z106" s="80"/>
      <c r="AA106" s="80" t="n">
        <v>1813000</v>
      </c>
      <c r="AB106" s="80"/>
      <c r="AC106" s="157" t="s">
        <v>3194</v>
      </c>
      <c r="AD106" s="157" t="s">
        <v>3195</v>
      </c>
      <c r="AE106" s="281" t="s">
        <v>3196</v>
      </c>
      <c r="AF106" s="281" t="s">
        <v>3197</v>
      </c>
      <c r="AI106" s="157" t="e">
        <f aca="false">IF(AND($E106=Subj_OccCode,Subj_BldgSF&gt;0,ABS($L106-Subj_BldgSF)&lt;=Subj_BldgSF*Subj_SizeTol),ABS($L106-Subj_BldgSF),NA())</f>
        <v>#N/A</v>
      </c>
      <c r="AJ106" s="1" t="e">
        <f aca="false">IF(ISNA(AI106),NA(),AI106+ROW()/10000000)</f>
        <v>#N/A</v>
      </c>
      <c r="AK106" s="157" t="str">
        <f aca="false">IF(AND(ISNUMBER($N106),$N106&gt;0,ISNUMBER($Y106)),$Y106/$N106,"")</f>
        <v/>
      </c>
    </row>
    <row r="107" customFormat="false" ht="15" hidden="false" customHeight="true" outlineLevel="0" collapsed="false">
      <c r="A107" s="441" t="n">
        <v>7</v>
      </c>
      <c r="B107" s="157" t="n">
        <v>99</v>
      </c>
      <c r="C107" s="157" t="s">
        <v>3198</v>
      </c>
      <c r="D107" s="157" t="s">
        <v>3199</v>
      </c>
      <c r="E107" s="157" t="n">
        <v>407</v>
      </c>
      <c r="F107" s="157" t="s">
        <v>2921</v>
      </c>
      <c r="G107" s="157" t="s">
        <v>2691</v>
      </c>
      <c r="H107" s="78" t="n">
        <f aca="false">Y107/J107</f>
        <v>219.78021978022</v>
      </c>
      <c r="I107" s="442" t="n">
        <v>45230</v>
      </c>
      <c r="J107" s="157" t="n">
        <v>27300</v>
      </c>
      <c r="K107" s="78"/>
      <c r="L107" s="157" t="n">
        <v>27300</v>
      </c>
      <c r="M107" s="157" t="n">
        <v>1996</v>
      </c>
      <c r="P107" s="157" t="s">
        <v>3181</v>
      </c>
      <c r="R107" s="174" t="s">
        <v>279</v>
      </c>
      <c r="S107" s="157" t="n">
        <v>425973.3</v>
      </c>
      <c r="T107" s="443" t="n">
        <f aca="false">S107/L107</f>
        <v>15.6034175824176</v>
      </c>
      <c r="U107" s="157" t="s">
        <v>279</v>
      </c>
      <c r="V107" s="443"/>
      <c r="W107" s="443"/>
      <c r="X107" s="443"/>
      <c r="Y107" s="80" t="n">
        <v>6000000</v>
      </c>
      <c r="Z107" s="80"/>
      <c r="AA107" s="80" t="n">
        <v>6000000</v>
      </c>
      <c r="AB107" s="80"/>
      <c r="AC107" s="157" t="s">
        <v>3200</v>
      </c>
      <c r="AD107" s="157" t="s">
        <v>3201</v>
      </c>
      <c r="AE107" s="281" t="s">
        <v>3202</v>
      </c>
      <c r="AF107" s="281" t="s">
        <v>3203</v>
      </c>
      <c r="AI107" s="157" t="e">
        <f aca="false">IF(AND($E107=Subj_OccCode,Subj_BldgSF&gt;0,ABS($L107-Subj_BldgSF)&lt;=Subj_BldgSF*Subj_SizeTol),ABS($L107-Subj_BldgSF),NA())</f>
        <v>#N/A</v>
      </c>
      <c r="AJ107" s="1" t="e">
        <f aca="false">IF(ISNA(AI107),NA(),AI107+ROW()/10000000)</f>
        <v>#N/A</v>
      </c>
      <c r="AK107" s="157" t="str">
        <f aca="false">IF(AND(ISNUMBER($N107),$N107&gt;0,ISNUMBER($Y107)),$Y107/$N107,"")</f>
        <v/>
      </c>
    </row>
    <row r="108" customFormat="false" ht="15" hidden="false" customHeight="true" outlineLevel="0" collapsed="false">
      <c r="A108" s="441" t="n">
        <v>7</v>
      </c>
      <c r="B108" s="157" t="n">
        <v>100</v>
      </c>
      <c r="C108" s="157" t="s">
        <v>3204</v>
      </c>
      <c r="D108" s="157" t="s">
        <v>3205</v>
      </c>
      <c r="E108" s="157" t="n">
        <v>423</v>
      </c>
      <c r="F108" s="157" t="s">
        <v>260</v>
      </c>
      <c r="G108" s="157" t="s">
        <v>353</v>
      </c>
      <c r="H108" s="78" t="n">
        <f aca="false">Y108/J108</f>
        <v>660</v>
      </c>
      <c r="I108" s="442" t="n">
        <v>45201</v>
      </c>
      <c r="J108" s="157" t="n">
        <v>2500</v>
      </c>
      <c r="K108" s="78"/>
      <c r="L108" s="157" t="n">
        <v>2500</v>
      </c>
      <c r="M108" s="157" t="n">
        <v>2003</v>
      </c>
      <c r="P108" s="157" t="s">
        <v>261</v>
      </c>
      <c r="R108" s="174" t="s">
        <v>279</v>
      </c>
      <c r="S108" s="157" t="n">
        <v>33846.12</v>
      </c>
      <c r="T108" s="443" t="n">
        <f aca="false">S108/L108</f>
        <v>13.538448</v>
      </c>
      <c r="U108" s="157" t="s">
        <v>279</v>
      </c>
      <c r="V108" s="443"/>
      <c r="W108" s="443"/>
      <c r="X108" s="443"/>
      <c r="Y108" s="80" t="n">
        <v>1650000</v>
      </c>
      <c r="Z108" s="80"/>
      <c r="AA108" s="80" t="n">
        <v>1644000</v>
      </c>
      <c r="AB108" s="80"/>
      <c r="AC108" s="157" t="s">
        <v>3206</v>
      </c>
      <c r="AD108" s="157" t="s">
        <v>3207</v>
      </c>
      <c r="AE108" s="281" t="s">
        <v>3208</v>
      </c>
      <c r="AF108" s="281" t="s">
        <v>3209</v>
      </c>
      <c r="AI108" s="157" t="e">
        <f aca="false">IF(AND($E108=Subj_OccCode,Subj_BldgSF&gt;0,ABS($L108-Subj_BldgSF)&lt;=Subj_BldgSF*Subj_SizeTol),ABS($L108-Subj_BldgSF),NA())</f>
        <v>#N/A</v>
      </c>
      <c r="AJ108" s="1" t="e">
        <f aca="false">IF(ISNA(AI108),NA(),AI108+ROW()/10000000)</f>
        <v>#N/A</v>
      </c>
      <c r="AK108" s="157" t="str">
        <f aca="false">IF(AND(ISNUMBER($N108),$N108&gt;0,ISNUMBER($Y108)),$Y108/$N108,"")</f>
        <v/>
      </c>
    </row>
    <row r="109" customFormat="false" ht="15" hidden="false" customHeight="true" outlineLevel="0" collapsed="false">
      <c r="A109" s="441" t="n">
        <v>7</v>
      </c>
      <c r="B109" s="157" t="n">
        <v>101</v>
      </c>
      <c r="C109" s="157" t="s">
        <v>3210</v>
      </c>
      <c r="D109" s="157" t="s">
        <v>3211</v>
      </c>
      <c r="E109" s="157" t="n">
        <v>425</v>
      </c>
      <c r="G109" s="157" t="s">
        <v>2691</v>
      </c>
      <c r="H109" s="78" t="n">
        <f aca="false">Y109/J109</f>
        <v>34.0495867768595</v>
      </c>
      <c r="I109" s="442" t="n">
        <v>45042</v>
      </c>
      <c r="J109" s="157" t="n">
        <v>15125</v>
      </c>
      <c r="K109" s="78"/>
      <c r="L109" s="157" t="n">
        <v>15125</v>
      </c>
      <c r="M109" s="157" t="n">
        <v>2005</v>
      </c>
      <c r="P109" s="157" t="s">
        <v>2692</v>
      </c>
      <c r="R109" s="174" t="s">
        <v>279</v>
      </c>
      <c r="S109" s="157" t="n">
        <v>10924</v>
      </c>
      <c r="T109" s="443" t="n">
        <f aca="false">S109/L109</f>
        <v>0.722247933884298</v>
      </c>
      <c r="U109" s="157" t="s">
        <v>279</v>
      </c>
      <c r="V109" s="443"/>
      <c r="W109" s="443"/>
      <c r="X109" s="443"/>
      <c r="Y109" s="80" t="n">
        <v>515000</v>
      </c>
      <c r="Z109" s="80"/>
      <c r="AA109" s="80" t="n">
        <v>515000</v>
      </c>
      <c r="AB109" s="80"/>
      <c r="AC109" s="157" t="s">
        <v>3212</v>
      </c>
      <c r="AD109" s="157" t="s">
        <v>3213</v>
      </c>
      <c r="AE109" s="281" t="s">
        <v>3214</v>
      </c>
      <c r="AF109" s="281" t="s">
        <v>3215</v>
      </c>
      <c r="AI109" s="157" t="e">
        <f aca="false">IF(AND($E109=Subj_OccCode,Subj_BldgSF&gt;0,ABS($L109-Subj_BldgSF)&lt;=Subj_BldgSF*Subj_SizeTol),ABS($L109-Subj_BldgSF),NA())</f>
        <v>#N/A</v>
      </c>
      <c r="AJ109" s="1" t="e">
        <f aca="false">IF(ISNA(AI109),NA(),AI109+ROW()/10000000)</f>
        <v>#N/A</v>
      </c>
      <c r="AK109" s="157" t="str">
        <f aca="false">IF(AND(ISNUMBER($N109),$N109&gt;0,ISNUMBER($Y109)),$Y109/$N109,"")</f>
        <v/>
      </c>
    </row>
    <row r="110" customFormat="false" ht="15" hidden="false" customHeight="true" outlineLevel="0" collapsed="false">
      <c r="A110" s="441" t="n">
        <v>7</v>
      </c>
      <c r="B110" s="157" t="n">
        <v>102</v>
      </c>
      <c r="C110" s="157" t="s">
        <v>3216</v>
      </c>
      <c r="D110" s="157" t="s">
        <v>3217</v>
      </c>
      <c r="E110" s="157" t="n">
        <v>425</v>
      </c>
      <c r="G110" s="157" t="s">
        <v>2691</v>
      </c>
      <c r="H110" s="78" t="n">
        <f aca="false">Y110/J110</f>
        <v>46.2148760330579</v>
      </c>
      <c r="I110" s="442" t="n">
        <v>45152</v>
      </c>
      <c r="J110" s="157" t="n">
        <v>15125</v>
      </c>
      <c r="K110" s="78"/>
      <c r="L110" s="157" t="n">
        <v>15125</v>
      </c>
      <c r="M110" s="157" t="n">
        <v>2005</v>
      </c>
      <c r="P110" s="157" t="s">
        <v>2692</v>
      </c>
      <c r="R110" s="174" t="s">
        <v>279</v>
      </c>
      <c r="S110" s="157" t="n">
        <v>10924</v>
      </c>
      <c r="T110" s="443" t="n">
        <f aca="false">S110/L110</f>
        <v>0.722247933884298</v>
      </c>
      <c r="U110" s="157" t="s">
        <v>279</v>
      </c>
      <c r="V110" s="443"/>
      <c r="W110" s="443"/>
      <c r="X110" s="443"/>
      <c r="Y110" s="80" t="n">
        <v>699000</v>
      </c>
      <c r="Z110" s="80"/>
      <c r="AA110" s="80" t="n">
        <v>699000</v>
      </c>
      <c r="AB110" s="80"/>
      <c r="AC110" s="157" t="s">
        <v>3218</v>
      </c>
      <c r="AD110" s="157" t="s">
        <v>3219</v>
      </c>
      <c r="AE110" s="281" t="s">
        <v>3220</v>
      </c>
      <c r="AF110" s="281" t="s">
        <v>3221</v>
      </c>
      <c r="AI110" s="157" t="e">
        <f aca="false">IF(AND($E110=Subj_OccCode,Subj_BldgSF&gt;0,ABS($L110-Subj_BldgSF)&lt;=Subj_BldgSF*Subj_SizeTol),ABS($L110-Subj_BldgSF),NA())</f>
        <v>#N/A</v>
      </c>
      <c r="AJ110" s="1" t="e">
        <f aca="false">IF(ISNA(AI110),NA(),AI110+ROW()/10000000)</f>
        <v>#N/A</v>
      </c>
      <c r="AK110" s="157" t="str">
        <f aca="false">IF(AND(ISNUMBER($N110),$N110&gt;0,ISNUMBER($Y110)),$Y110/$N110,"")</f>
        <v/>
      </c>
    </row>
    <row r="111" customFormat="false" ht="15" hidden="false" customHeight="true" outlineLevel="0" collapsed="false">
      <c r="A111" s="441" t="n">
        <v>7</v>
      </c>
      <c r="B111" s="157" t="n">
        <v>103</v>
      </c>
      <c r="C111" s="157" t="s">
        <v>3222</v>
      </c>
      <c r="D111" s="157" t="s">
        <v>3223</v>
      </c>
      <c r="E111" s="157" t="n">
        <v>344</v>
      </c>
      <c r="F111" s="157" t="s">
        <v>260</v>
      </c>
      <c r="G111" s="157" t="s">
        <v>353</v>
      </c>
      <c r="H111" s="78" t="n">
        <f aca="false">Y111/J111</f>
        <v>256.944444444444</v>
      </c>
      <c r="I111" s="442" t="n">
        <v>44985</v>
      </c>
      <c r="J111" s="157" t="n">
        <v>2880</v>
      </c>
      <c r="K111" s="78"/>
      <c r="L111" s="157" t="n">
        <v>2880</v>
      </c>
      <c r="M111" s="157" t="n">
        <v>1984</v>
      </c>
      <c r="P111" s="157" t="s">
        <v>261</v>
      </c>
      <c r="R111" s="174" t="s">
        <v>279</v>
      </c>
      <c r="S111" s="157" t="n">
        <v>11805</v>
      </c>
      <c r="T111" s="443" t="n">
        <f aca="false">S111/L111</f>
        <v>4.09895833333333</v>
      </c>
      <c r="U111" s="157" t="s">
        <v>279</v>
      </c>
      <c r="V111" s="443"/>
      <c r="W111" s="443"/>
      <c r="X111" s="443"/>
      <c r="Y111" s="80" t="n">
        <v>740000</v>
      </c>
      <c r="Z111" s="80"/>
      <c r="AA111" s="80" t="n">
        <v>740000</v>
      </c>
      <c r="AB111" s="80"/>
      <c r="AC111" s="157" t="s">
        <v>3224</v>
      </c>
      <c r="AD111" s="157" t="s">
        <v>3225</v>
      </c>
      <c r="AE111" s="281" t="s">
        <v>3226</v>
      </c>
      <c r="AF111" s="281" t="s">
        <v>3227</v>
      </c>
      <c r="AI111" s="157" t="e">
        <f aca="false">IF(AND($E111=Subj_OccCode,Subj_BldgSF&gt;0,ABS($L111-Subj_BldgSF)&lt;=Subj_BldgSF*Subj_SizeTol),ABS($L111-Subj_BldgSF),NA())</f>
        <v>#N/A</v>
      </c>
      <c r="AJ111" s="1" t="e">
        <f aca="false">IF(ISNA(AI111),NA(),AI111+ROW()/10000000)</f>
        <v>#N/A</v>
      </c>
      <c r="AK111" s="157" t="str">
        <f aca="false">IF(AND(ISNUMBER($N111),$N111&gt;0,ISNUMBER($Y111)),$Y111/$N111,"")</f>
        <v/>
      </c>
    </row>
    <row r="112" customFormat="false" ht="15" hidden="false" customHeight="true" outlineLevel="0" collapsed="false">
      <c r="A112" s="441" t="n">
        <v>7</v>
      </c>
      <c r="B112" s="157" t="n">
        <v>104</v>
      </c>
      <c r="C112" s="157" t="s">
        <v>3228</v>
      </c>
      <c r="D112" s="157" t="s">
        <v>3229</v>
      </c>
      <c r="E112" s="157" t="n">
        <v>3441</v>
      </c>
      <c r="F112" s="157" t="s">
        <v>260</v>
      </c>
      <c r="G112" s="157" t="s">
        <v>353</v>
      </c>
      <c r="H112" s="78" t="n">
        <f aca="false">Y112/J112</f>
        <v>292.773316862261</v>
      </c>
      <c r="I112" s="442" t="n">
        <v>44848</v>
      </c>
      <c r="J112" s="157" t="n">
        <v>1619</v>
      </c>
      <c r="K112" s="78"/>
      <c r="L112" s="157" t="n">
        <v>1619</v>
      </c>
      <c r="M112" s="157" t="n">
        <v>1951</v>
      </c>
      <c r="P112" s="157" t="s">
        <v>3066</v>
      </c>
      <c r="R112" s="174" t="s">
        <v>1511</v>
      </c>
      <c r="S112" s="157" t="n">
        <v>6500</v>
      </c>
      <c r="T112" s="443" t="n">
        <f aca="false">S112/L112</f>
        <v>4.01482396541075</v>
      </c>
      <c r="U112" s="157" t="s">
        <v>1511</v>
      </c>
      <c r="V112" s="443"/>
      <c r="W112" s="443"/>
      <c r="X112" s="443"/>
      <c r="Y112" s="80" t="n">
        <v>474000</v>
      </c>
      <c r="Z112" s="80"/>
      <c r="AA112" s="80" t="n">
        <v>474000</v>
      </c>
      <c r="AB112" s="80"/>
      <c r="AC112" s="157" t="s">
        <v>3230</v>
      </c>
      <c r="AD112" s="157" t="s">
        <v>3231</v>
      </c>
      <c r="AE112" s="281" t="s">
        <v>3232</v>
      </c>
      <c r="AF112" s="281" t="s">
        <v>3233</v>
      </c>
      <c r="AI112" s="157" t="e">
        <f aca="false">IF(AND($E112=Subj_OccCode,Subj_BldgSF&gt;0,ABS($L112-Subj_BldgSF)&lt;=Subj_BldgSF*Subj_SizeTol),ABS($L112-Subj_BldgSF),NA())</f>
        <v>#N/A</v>
      </c>
      <c r="AJ112" s="1" t="e">
        <f aca="false">IF(ISNA(AI112),NA(),AI112+ROW()/10000000)</f>
        <v>#N/A</v>
      </c>
      <c r="AK112" s="157" t="str">
        <f aca="false">IF(AND(ISNUMBER($N112),$N112&gt;0,ISNUMBER($Y112)),$Y112/$N112,"")</f>
        <v/>
      </c>
    </row>
    <row r="113" customFormat="false" ht="15" hidden="false" customHeight="true" outlineLevel="0" collapsed="false">
      <c r="A113" s="441" t="n">
        <v>7</v>
      </c>
      <c r="B113" s="157" t="n">
        <v>105</v>
      </c>
      <c r="C113" s="157" t="s">
        <v>3234</v>
      </c>
      <c r="D113" s="157" t="s">
        <v>3235</v>
      </c>
      <c r="E113" s="157" t="n">
        <v>100</v>
      </c>
      <c r="F113" s="157" t="s">
        <v>260</v>
      </c>
      <c r="G113" s="157" t="s">
        <v>353</v>
      </c>
      <c r="H113" s="78" t="n">
        <f aca="false">Y113/J113</f>
        <v>315.934065934066</v>
      </c>
      <c r="I113" s="442" t="n">
        <v>44959</v>
      </c>
      <c r="J113" s="157" t="n">
        <v>1820</v>
      </c>
      <c r="K113" s="78"/>
      <c r="L113" s="157" t="n">
        <v>1820</v>
      </c>
      <c r="M113" s="157" t="n">
        <v>1916</v>
      </c>
      <c r="P113" s="157" t="s">
        <v>3066</v>
      </c>
      <c r="R113" s="174" t="s">
        <v>279</v>
      </c>
      <c r="S113" s="157" t="n">
        <v>7500</v>
      </c>
      <c r="T113" s="443" t="n">
        <f aca="false">S113/L113</f>
        <v>4.12087912087912</v>
      </c>
      <c r="U113" s="157" t="s">
        <v>279</v>
      </c>
      <c r="V113" s="443"/>
      <c r="W113" s="443"/>
      <c r="X113" s="443"/>
      <c r="Y113" s="80" t="n">
        <v>575000</v>
      </c>
      <c r="Z113" s="80"/>
      <c r="AA113" s="80" t="n">
        <v>575000</v>
      </c>
      <c r="AB113" s="80"/>
      <c r="AC113" s="157" t="s">
        <v>3236</v>
      </c>
      <c r="AD113" s="157" t="s">
        <v>3237</v>
      </c>
      <c r="AE113" s="281" t="s">
        <v>3238</v>
      </c>
      <c r="AF113" s="281" t="s">
        <v>2900</v>
      </c>
      <c r="AI113" s="157" t="e">
        <f aca="false">IF(AND($E113=Subj_OccCode,Subj_BldgSF&gt;0,ABS($L113-Subj_BldgSF)&lt;=Subj_BldgSF*Subj_SizeTol),ABS($L113-Subj_BldgSF),NA())</f>
        <v>#N/A</v>
      </c>
      <c r="AJ113" s="1" t="e">
        <f aca="false">IF(ISNA(AI113),NA(),AI113+ROW()/10000000)</f>
        <v>#N/A</v>
      </c>
      <c r="AK113" s="157" t="str">
        <f aca="false">IF(AND(ISNUMBER($N113),$N113&gt;0,ISNUMBER($Y113)),$Y113/$N113,"")</f>
        <v/>
      </c>
    </row>
    <row r="114" customFormat="false" ht="15" hidden="false" customHeight="true" outlineLevel="0" collapsed="false">
      <c r="A114" s="441" t="n">
        <v>7</v>
      </c>
      <c r="B114" s="157" t="n">
        <v>106</v>
      </c>
      <c r="C114" s="157" t="s">
        <v>3239</v>
      </c>
      <c r="D114" s="157" t="s">
        <v>3240</v>
      </c>
      <c r="E114" s="157" t="n">
        <v>210</v>
      </c>
      <c r="F114" s="157" t="s">
        <v>2566</v>
      </c>
      <c r="G114" s="157" t="s">
        <v>2567</v>
      </c>
      <c r="H114" s="78" t="n">
        <f aca="false">Y114/J114</f>
        <v>151.851851851852</v>
      </c>
      <c r="I114" s="442" t="n">
        <v>44756</v>
      </c>
      <c r="J114" s="157" t="n">
        <v>27000</v>
      </c>
      <c r="K114" s="78"/>
      <c r="L114" s="157" t="n">
        <v>27000</v>
      </c>
      <c r="M114" s="157" t="n">
        <v>1986</v>
      </c>
      <c r="P114" s="157" t="s">
        <v>2983</v>
      </c>
      <c r="R114" s="174" t="s">
        <v>483</v>
      </c>
      <c r="S114" s="157" t="n">
        <v>87120</v>
      </c>
      <c r="T114" s="443" t="n">
        <f aca="false">S114/L114</f>
        <v>3.22666666666667</v>
      </c>
      <c r="U114" s="157" t="s">
        <v>483</v>
      </c>
      <c r="V114" s="443"/>
      <c r="W114" s="443"/>
      <c r="X114" s="443"/>
      <c r="Y114" s="80" t="n">
        <v>4100000</v>
      </c>
      <c r="Z114" s="80"/>
      <c r="AA114" s="80" t="n">
        <v>4100000</v>
      </c>
      <c r="AB114" s="80"/>
      <c r="AC114" s="157" t="s">
        <v>3241</v>
      </c>
      <c r="AD114" s="157" t="s">
        <v>3242</v>
      </c>
      <c r="AE114" s="281" t="s">
        <v>3243</v>
      </c>
      <c r="AF114" s="281" t="s">
        <v>3244</v>
      </c>
      <c r="AI114" s="157" t="e">
        <f aca="false">IF(AND($E114=Subj_OccCode,Subj_BldgSF&gt;0,ABS($L114-Subj_BldgSF)&lt;=Subj_BldgSF*Subj_SizeTol),ABS($L114-Subj_BldgSF),NA())</f>
        <v>#N/A</v>
      </c>
      <c r="AJ114" s="1" t="e">
        <f aca="false">IF(ISNA(AI114),NA(),AI114+ROW()/10000000)</f>
        <v>#N/A</v>
      </c>
      <c r="AK114" s="157" t="str">
        <f aca="false">IF(AND(ISNUMBER($N114),$N114&gt;0,ISNUMBER($Y114)),$Y114/$N114,"")</f>
        <v/>
      </c>
    </row>
    <row r="115" customFormat="false" ht="15" hidden="false" customHeight="true" outlineLevel="0" collapsed="false">
      <c r="A115" s="441" t="n">
        <v>7</v>
      </c>
      <c r="B115" s="157" t="n">
        <v>107</v>
      </c>
      <c r="C115" s="157" t="s">
        <v>3245</v>
      </c>
      <c r="D115" s="157" t="s">
        <v>3246</v>
      </c>
      <c r="E115" s="157" t="n">
        <v>406</v>
      </c>
      <c r="F115" s="157" t="s">
        <v>2566</v>
      </c>
      <c r="G115" s="157" t="s">
        <v>2567</v>
      </c>
      <c r="H115" s="78" t="n">
        <f aca="false">Y115/J115</f>
        <v>262.5</v>
      </c>
      <c r="I115" s="442" t="n">
        <v>44763</v>
      </c>
      <c r="J115" s="157" t="n">
        <v>4000</v>
      </c>
      <c r="K115" s="78"/>
      <c r="L115" s="157" t="n">
        <v>4000</v>
      </c>
      <c r="M115" s="157" t="n">
        <v>1974</v>
      </c>
      <c r="P115" s="157" t="s">
        <v>2983</v>
      </c>
      <c r="R115" s="174" t="s">
        <v>279</v>
      </c>
      <c r="S115" s="157" t="n">
        <v>35086</v>
      </c>
      <c r="T115" s="443" t="n">
        <f aca="false">S115/L115</f>
        <v>8.7715</v>
      </c>
      <c r="U115" s="157" t="s">
        <v>279</v>
      </c>
      <c r="V115" s="443"/>
      <c r="W115" s="443"/>
      <c r="X115" s="443"/>
      <c r="Y115" s="80" t="n">
        <v>1050000</v>
      </c>
      <c r="Z115" s="80"/>
      <c r="AA115" s="80" t="n">
        <v>1050000</v>
      </c>
      <c r="AB115" s="80"/>
      <c r="AC115" s="157" t="s">
        <v>3247</v>
      </c>
      <c r="AD115" s="157" t="s">
        <v>3248</v>
      </c>
      <c r="AE115" s="281" t="s">
        <v>3249</v>
      </c>
      <c r="AF115" s="281" t="s">
        <v>3250</v>
      </c>
      <c r="AI115" s="157" t="e">
        <f aca="false">IF(AND($E115=Subj_OccCode,Subj_BldgSF&gt;0,ABS($L115-Subj_BldgSF)&lt;=Subj_BldgSF*Subj_SizeTol),ABS($L115-Subj_BldgSF),NA())</f>
        <v>#N/A</v>
      </c>
      <c r="AJ115" s="1" t="e">
        <f aca="false">IF(ISNA(AI115),NA(),AI115+ROW()/10000000)</f>
        <v>#N/A</v>
      </c>
      <c r="AK115" s="157" t="str">
        <f aca="false">IF(AND(ISNUMBER($N115),$N115&gt;0,ISNUMBER($Y115)),$Y115/$N115,"")</f>
        <v/>
      </c>
    </row>
    <row r="116" customFormat="false" ht="15" hidden="false" customHeight="true" outlineLevel="0" collapsed="false">
      <c r="A116" s="441" t="n">
        <v>7</v>
      </c>
      <c r="B116" s="157" t="n">
        <v>108</v>
      </c>
      <c r="C116" s="157" t="s">
        <v>3251</v>
      </c>
      <c r="D116" s="157" t="s">
        <v>3252</v>
      </c>
      <c r="E116" s="157" t="n">
        <v>406</v>
      </c>
      <c r="F116" s="157" t="s">
        <v>2566</v>
      </c>
      <c r="G116" s="157" t="s">
        <v>2567</v>
      </c>
      <c r="H116" s="78" t="n">
        <f aca="false">Y116/J116</f>
        <v>300.925925925926</v>
      </c>
      <c r="I116" s="442" t="n">
        <v>45226</v>
      </c>
      <c r="J116" s="157" t="n">
        <v>4320</v>
      </c>
      <c r="K116" s="78"/>
      <c r="L116" s="157" t="n">
        <v>4320</v>
      </c>
      <c r="M116" s="157" t="n">
        <v>1998</v>
      </c>
      <c r="P116" s="157" t="s">
        <v>2983</v>
      </c>
      <c r="R116" s="174" t="s">
        <v>279</v>
      </c>
      <c r="S116" s="157" t="n">
        <v>14965</v>
      </c>
      <c r="T116" s="443" t="n">
        <f aca="false">S116/L116</f>
        <v>3.46412037037037</v>
      </c>
      <c r="U116" s="157" t="s">
        <v>279</v>
      </c>
      <c r="V116" s="443"/>
      <c r="W116" s="443"/>
      <c r="X116" s="443"/>
      <c r="Y116" s="80" t="n">
        <v>1300000</v>
      </c>
      <c r="Z116" s="80"/>
      <c r="AA116" s="80" t="n">
        <v>1300000</v>
      </c>
      <c r="AB116" s="80"/>
      <c r="AC116" s="157" t="s">
        <v>3253</v>
      </c>
      <c r="AD116" s="157" t="s">
        <v>3254</v>
      </c>
      <c r="AE116" s="281" t="s">
        <v>3255</v>
      </c>
      <c r="AF116" s="281" t="s">
        <v>3256</v>
      </c>
      <c r="AI116" s="157" t="e">
        <f aca="false">IF(AND($E116=Subj_OccCode,Subj_BldgSF&gt;0,ABS($L116-Subj_BldgSF)&lt;=Subj_BldgSF*Subj_SizeTol),ABS($L116-Subj_BldgSF),NA())</f>
        <v>#N/A</v>
      </c>
      <c r="AJ116" s="1" t="e">
        <f aca="false">IF(ISNA(AI116),NA(),AI116+ROW()/10000000)</f>
        <v>#N/A</v>
      </c>
      <c r="AK116" s="157" t="str">
        <f aca="false">IF(AND(ISNUMBER($N116),$N116&gt;0,ISNUMBER($Y116)),$Y116/$N116,"")</f>
        <v/>
      </c>
    </row>
    <row r="117" customFormat="false" ht="15" hidden="false" customHeight="true" outlineLevel="0" collapsed="false">
      <c r="A117" s="441" t="n">
        <v>7</v>
      </c>
      <c r="B117" s="157" t="n">
        <v>109</v>
      </c>
      <c r="C117" s="157" t="s">
        <v>3257</v>
      </c>
      <c r="D117" s="157" t="s">
        <v>3258</v>
      </c>
      <c r="E117" s="157" t="n">
        <v>419</v>
      </c>
      <c r="F117" s="157" t="s">
        <v>2581</v>
      </c>
      <c r="G117" s="157" t="s">
        <v>2567</v>
      </c>
      <c r="H117" s="78" t="n">
        <f aca="false">Y117/J117</f>
        <v>667.701863354037</v>
      </c>
      <c r="I117" s="442" t="n">
        <v>45443</v>
      </c>
      <c r="J117" s="157" t="n">
        <v>1288</v>
      </c>
      <c r="K117" s="78"/>
      <c r="L117" s="157" t="n">
        <v>1288</v>
      </c>
      <c r="M117" s="157" t="n">
        <v>1961</v>
      </c>
      <c r="P117" s="157" t="s">
        <v>2990</v>
      </c>
      <c r="R117" s="174" t="s">
        <v>279</v>
      </c>
      <c r="S117" s="157" t="n">
        <v>16250</v>
      </c>
      <c r="T117" s="443" t="n">
        <f aca="false">S117/L117</f>
        <v>12.6164596273292</v>
      </c>
      <c r="U117" s="157" t="s">
        <v>279</v>
      </c>
      <c r="V117" s="443"/>
      <c r="W117" s="443"/>
      <c r="X117" s="443"/>
      <c r="Y117" s="80" t="n">
        <v>860000</v>
      </c>
      <c r="Z117" s="80"/>
      <c r="AA117" s="80" t="n">
        <v>860000</v>
      </c>
      <c r="AB117" s="80"/>
      <c r="AC117" s="157" t="s">
        <v>3259</v>
      </c>
      <c r="AD117" s="157" t="s">
        <v>3260</v>
      </c>
      <c r="AE117" s="281" t="s">
        <v>3261</v>
      </c>
      <c r="AF117" s="281" t="s">
        <v>3262</v>
      </c>
      <c r="AI117" s="157" t="e">
        <f aca="false">IF(AND($E117=Subj_OccCode,Subj_BldgSF&gt;0,ABS($L117-Subj_BldgSF)&lt;=Subj_BldgSF*Subj_SizeTol),ABS($L117-Subj_BldgSF),NA())</f>
        <v>#N/A</v>
      </c>
      <c r="AJ117" s="1" t="e">
        <f aca="false">IF(ISNA(AI117),NA(),AI117+ROW()/10000000)</f>
        <v>#N/A</v>
      </c>
      <c r="AK117" s="157" t="str">
        <f aca="false">IF(AND(ISNUMBER($N117),$N117&gt;0,ISNUMBER($Y117)),$Y117/$N117,"")</f>
        <v/>
      </c>
    </row>
    <row r="118" customFormat="false" ht="15" hidden="false" customHeight="true" outlineLevel="0" collapsed="false">
      <c r="A118" s="441" t="n">
        <v>7</v>
      </c>
      <c r="B118" s="157" t="n">
        <v>110</v>
      </c>
      <c r="C118" s="157" t="s">
        <v>3263</v>
      </c>
      <c r="D118" s="157" t="s">
        <v>3264</v>
      </c>
      <c r="E118" s="157" t="n">
        <v>325</v>
      </c>
      <c r="F118" s="157" t="s">
        <v>260</v>
      </c>
      <c r="G118" s="157" t="s">
        <v>353</v>
      </c>
      <c r="H118" s="78" t="n">
        <f aca="false">Y118/J118</f>
        <v>154.639175257732</v>
      </c>
      <c r="I118" s="442" t="n">
        <v>45050</v>
      </c>
      <c r="J118" s="157" t="n">
        <v>3977</v>
      </c>
      <c r="K118" s="78"/>
      <c r="L118" s="157" t="n">
        <v>3977</v>
      </c>
      <c r="M118" s="157" t="n">
        <v>1939</v>
      </c>
      <c r="P118" s="157" t="s">
        <v>3265</v>
      </c>
      <c r="R118" s="174" t="s">
        <v>279</v>
      </c>
      <c r="S118" s="157" t="n">
        <v>13500</v>
      </c>
      <c r="T118" s="443" t="n">
        <f aca="false">S118/L118</f>
        <v>3.39451848126729</v>
      </c>
      <c r="U118" s="157" t="s">
        <v>279</v>
      </c>
      <c r="V118" s="443"/>
      <c r="W118" s="443"/>
      <c r="X118" s="443"/>
      <c r="Y118" s="80" t="n">
        <v>615000</v>
      </c>
      <c r="Z118" s="80"/>
      <c r="AA118" s="80" t="n">
        <v>615000</v>
      </c>
      <c r="AB118" s="80"/>
      <c r="AC118" s="157" t="s">
        <v>3266</v>
      </c>
      <c r="AD118" s="157" t="s">
        <v>3267</v>
      </c>
      <c r="AE118" s="281" t="s">
        <v>3268</v>
      </c>
      <c r="AF118" s="281" t="s">
        <v>3269</v>
      </c>
      <c r="AI118" s="157" t="e">
        <f aca="false">IF(AND($E118=Subj_OccCode,Subj_BldgSF&gt;0,ABS($L118-Subj_BldgSF)&lt;=Subj_BldgSF*Subj_SizeTol),ABS($L118-Subj_BldgSF),NA())</f>
        <v>#N/A</v>
      </c>
      <c r="AJ118" s="1" t="e">
        <f aca="false">IF(ISNA(AI118),NA(),AI118+ROW()/10000000)</f>
        <v>#N/A</v>
      </c>
      <c r="AK118" s="157" t="str">
        <f aca="false">IF(AND(ISNUMBER($N118),$N118&gt;0,ISNUMBER($Y118)),$Y118/$N118,"")</f>
        <v/>
      </c>
    </row>
    <row r="119" customFormat="false" ht="15" hidden="false" customHeight="true" outlineLevel="0" collapsed="false">
      <c r="A119" s="441" t="n">
        <v>7</v>
      </c>
      <c r="B119" s="157" t="n">
        <v>111</v>
      </c>
      <c r="C119" s="157" t="s">
        <v>3270</v>
      </c>
      <c r="D119" s="157" t="s">
        <v>3271</v>
      </c>
      <c r="E119" s="157" t="n">
        <v>100</v>
      </c>
      <c r="F119" s="157" t="s">
        <v>3272</v>
      </c>
      <c r="G119" s="157" t="s">
        <v>2567</v>
      </c>
      <c r="H119" s="78" t="n">
        <f aca="false">Y119/J119</f>
        <v>763.888888888889</v>
      </c>
      <c r="I119" s="442" t="n">
        <v>45078</v>
      </c>
      <c r="J119" s="157" t="n">
        <v>792</v>
      </c>
      <c r="K119" s="78"/>
      <c r="L119" s="157" t="n">
        <v>792</v>
      </c>
      <c r="M119" s="157" t="n">
        <v>1947</v>
      </c>
      <c r="P119" s="157" t="s">
        <v>3273</v>
      </c>
      <c r="R119" s="174" t="s">
        <v>555</v>
      </c>
      <c r="S119" s="157" t="n">
        <v>16512</v>
      </c>
      <c r="T119" s="443" t="n">
        <f aca="false">S119/L119</f>
        <v>20.8484848484848</v>
      </c>
      <c r="U119" s="157" t="s">
        <v>555</v>
      </c>
      <c r="V119" s="443"/>
      <c r="W119" s="443"/>
      <c r="X119" s="443"/>
      <c r="Y119" s="80" t="n">
        <v>605000</v>
      </c>
      <c r="Z119" s="80"/>
      <c r="AA119" s="80" t="n">
        <v>605000</v>
      </c>
      <c r="AB119" s="80"/>
      <c r="AC119" s="157" t="s">
        <v>3274</v>
      </c>
      <c r="AD119" s="157" t="s">
        <v>3275</v>
      </c>
      <c r="AE119" s="281" t="s">
        <v>3276</v>
      </c>
      <c r="AF119" s="281" t="s">
        <v>3277</v>
      </c>
      <c r="AI119" s="157" t="e">
        <f aca="false">IF(AND($E119=Subj_OccCode,Subj_BldgSF&gt;0,ABS($L119-Subj_BldgSF)&lt;=Subj_BldgSF*Subj_SizeTol),ABS($L119-Subj_BldgSF),NA())</f>
        <v>#N/A</v>
      </c>
      <c r="AJ119" s="1" t="e">
        <f aca="false">IF(ISNA(AI119),NA(),AI119+ROW()/10000000)</f>
        <v>#N/A</v>
      </c>
      <c r="AK119" s="157" t="str">
        <f aca="false">IF(AND(ISNUMBER($N119),$N119&gt;0,ISNUMBER($Y119)),$Y119/$N119,"")</f>
        <v/>
      </c>
    </row>
    <row r="120" customFormat="false" ht="15" hidden="false" customHeight="true" outlineLevel="0" collapsed="false">
      <c r="A120" s="441" t="n">
        <v>7</v>
      </c>
      <c r="B120" s="157" t="n">
        <v>112</v>
      </c>
      <c r="C120" s="157" t="s">
        <v>3278</v>
      </c>
      <c r="D120" s="157" t="s">
        <v>3279</v>
      </c>
      <c r="E120" s="157" t="n">
        <v>344</v>
      </c>
      <c r="F120" s="157" t="s">
        <v>2921</v>
      </c>
      <c r="G120" s="157" t="s">
        <v>2691</v>
      </c>
      <c r="H120" s="78" t="n">
        <f aca="false">Y120/J120</f>
        <v>291.666666666667</v>
      </c>
      <c r="I120" s="442" t="n">
        <v>44958</v>
      </c>
      <c r="J120" s="157" t="n">
        <v>2400</v>
      </c>
      <c r="K120" s="78"/>
      <c r="L120" s="157" t="n">
        <v>2400</v>
      </c>
      <c r="M120" s="157" t="n">
        <v>1974</v>
      </c>
      <c r="P120" s="157" t="s">
        <v>3280</v>
      </c>
      <c r="R120" s="174" t="s">
        <v>279</v>
      </c>
      <c r="S120" s="157" t="n">
        <v>22725</v>
      </c>
      <c r="T120" s="443" t="n">
        <f aca="false">S120/L120</f>
        <v>9.46875</v>
      </c>
      <c r="U120" s="157" t="s">
        <v>279</v>
      </c>
      <c r="V120" s="443"/>
      <c r="W120" s="443"/>
      <c r="X120" s="443"/>
      <c r="Y120" s="80" t="n">
        <v>700000</v>
      </c>
      <c r="Z120" s="80"/>
      <c r="AA120" s="80" t="n">
        <v>700000</v>
      </c>
      <c r="AB120" s="80"/>
      <c r="AC120" s="157" t="s">
        <v>3281</v>
      </c>
      <c r="AD120" s="157" t="s">
        <v>3282</v>
      </c>
      <c r="AE120" s="281" t="s">
        <v>3283</v>
      </c>
      <c r="AF120" s="281" t="s">
        <v>3284</v>
      </c>
      <c r="AI120" s="157" t="e">
        <f aca="false">IF(AND($E120=Subj_OccCode,Subj_BldgSF&gt;0,ABS($L120-Subj_BldgSF)&lt;=Subj_BldgSF*Subj_SizeTol),ABS($L120-Subj_BldgSF),NA())</f>
        <v>#N/A</v>
      </c>
      <c r="AJ120" s="1" t="e">
        <f aca="false">IF(ISNA(AI120),NA(),AI120+ROW()/10000000)</f>
        <v>#N/A</v>
      </c>
      <c r="AK120" s="157" t="str">
        <f aca="false">IF(AND(ISNUMBER($N120),$N120&gt;0,ISNUMBER($Y120)),$Y120/$N120,"")</f>
        <v/>
      </c>
    </row>
    <row r="121" customFormat="false" ht="15" hidden="false" customHeight="true" outlineLevel="0" collapsed="false">
      <c r="A121" s="441" t="n">
        <v>7</v>
      </c>
      <c r="B121" s="157" t="n">
        <v>113</v>
      </c>
      <c r="C121" s="157" t="s">
        <v>3285</v>
      </c>
      <c r="D121" s="157" t="s">
        <v>3286</v>
      </c>
      <c r="E121" s="157" t="n">
        <v>344</v>
      </c>
      <c r="F121" s="157" t="s">
        <v>2921</v>
      </c>
      <c r="G121" s="157" t="s">
        <v>2691</v>
      </c>
      <c r="H121" s="78" t="n">
        <f aca="false">Y121/J121</f>
        <v>387.019230769231</v>
      </c>
      <c r="I121" s="442" t="n">
        <v>45230</v>
      </c>
      <c r="J121" s="157" t="n">
        <v>2080</v>
      </c>
      <c r="K121" s="78"/>
      <c r="L121" s="157" t="n">
        <v>2080</v>
      </c>
      <c r="M121" s="157" t="n">
        <v>1974</v>
      </c>
      <c r="P121" s="157" t="s">
        <v>3280</v>
      </c>
      <c r="R121" s="174" t="s">
        <v>279</v>
      </c>
      <c r="S121" s="157" t="n">
        <v>19375</v>
      </c>
      <c r="T121" s="443" t="n">
        <f aca="false">S121/L121</f>
        <v>9.31490384615385</v>
      </c>
      <c r="U121" s="157" t="s">
        <v>279</v>
      </c>
      <c r="V121" s="443"/>
      <c r="W121" s="443"/>
      <c r="X121" s="443"/>
      <c r="Y121" s="80" t="n">
        <v>805000</v>
      </c>
      <c r="Z121" s="80"/>
      <c r="AA121" s="80" t="n">
        <v>805000</v>
      </c>
      <c r="AB121" s="80"/>
      <c r="AC121" s="157" t="s">
        <v>3287</v>
      </c>
      <c r="AD121" s="157" t="s">
        <v>3288</v>
      </c>
      <c r="AE121" s="281" t="s">
        <v>3289</v>
      </c>
      <c r="AF121" s="281" t="s">
        <v>3290</v>
      </c>
      <c r="AI121" s="157" t="e">
        <f aca="false">IF(AND($E121=Subj_OccCode,Subj_BldgSF&gt;0,ABS($L121-Subj_BldgSF)&lt;=Subj_BldgSF*Subj_SizeTol),ABS($L121-Subj_BldgSF),NA())</f>
        <v>#N/A</v>
      </c>
      <c r="AJ121" s="1" t="e">
        <f aca="false">IF(ISNA(AI121),NA(),AI121+ROW()/10000000)</f>
        <v>#N/A</v>
      </c>
      <c r="AK121" s="157" t="str">
        <f aca="false">IF(AND(ISNUMBER($N121),$N121&gt;0,ISNUMBER($Y121)),$Y121/$N121,"")</f>
        <v/>
      </c>
    </row>
    <row r="122" customFormat="false" ht="15" hidden="false" customHeight="true" outlineLevel="0" collapsed="false">
      <c r="A122" s="441" t="n">
        <v>7</v>
      </c>
      <c r="B122" s="157" t="n">
        <v>114</v>
      </c>
      <c r="C122" s="157" t="s">
        <v>3291</v>
      </c>
      <c r="D122" s="157" t="s">
        <v>3292</v>
      </c>
      <c r="E122" s="157" t="n">
        <v>407</v>
      </c>
      <c r="F122" s="157" t="s">
        <v>2921</v>
      </c>
      <c r="G122" s="157" t="s">
        <v>2691</v>
      </c>
      <c r="H122" s="78" t="n">
        <f aca="false">Y122/J122</f>
        <v>153.413821815154</v>
      </c>
      <c r="I122" s="442" t="n">
        <v>44823</v>
      </c>
      <c r="J122" s="157" t="n">
        <v>24020</v>
      </c>
      <c r="K122" s="78"/>
      <c r="L122" s="157" t="n">
        <v>24020</v>
      </c>
      <c r="M122" s="157" t="n">
        <v>1982</v>
      </c>
      <c r="P122" s="157" t="s">
        <v>3293</v>
      </c>
      <c r="R122" s="174" t="s">
        <v>279</v>
      </c>
      <c r="S122" s="157" t="n">
        <v>80000</v>
      </c>
      <c r="T122" s="443" t="n">
        <f aca="false">S122/L122</f>
        <v>3.33055786844296</v>
      </c>
      <c r="U122" s="157" t="s">
        <v>279</v>
      </c>
      <c r="V122" s="443"/>
      <c r="W122" s="443"/>
      <c r="X122" s="443"/>
      <c r="Y122" s="80" t="n">
        <v>3685000</v>
      </c>
      <c r="Z122" s="80"/>
      <c r="AA122" s="80" t="n">
        <v>3685000</v>
      </c>
      <c r="AB122" s="80"/>
      <c r="AC122" s="157" t="s">
        <v>3294</v>
      </c>
      <c r="AD122" s="157" t="s">
        <v>3295</v>
      </c>
      <c r="AE122" s="281" t="s">
        <v>3296</v>
      </c>
      <c r="AF122" s="281" t="s">
        <v>3297</v>
      </c>
      <c r="AI122" s="157" t="e">
        <f aca="false">IF(AND($E122=Subj_OccCode,Subj_BldgSF&gt;0,ABS($L122-Subj_BldgSF)&lt;=Subj_BldgSF*Subj_SizeTol),ABS($L122-Subj_BldgSF),NA())</f>
        <v>#N/A</v>
      </c>
      <c r="AJ122" s="1" t="e">
        <f aca="false">IF(ISNA(AI122),NA(),AI122+ROW()/10000000)</f>
        <v>#N/A</v>
      </c>
      <c r="AK122" s="157" t="str">
        <f aca="false">IF(AND(ISNUMBER($N122),$N122&gt;0,ISNUMBER($Y122)),$Y122/$N122,"")</f>
        <v/>
      </c>
    </row>
    <row r="123" customFormat="false" ht="15" hidden="false" customHeight="true" outlineLevel="0" collapsed="false">
      <c r="A123" s="441" t="n">
        <v>7</v>
      </c>
      <c r="B123" s="157" t="n">
        <v>115</v>
      </c>
      <c r="C123" s="157" t="s">
        <v>3298</v>
      </c>
      <c r="D123" s="157" t="s">
        <v>3299</v>
      </c>
      <c r="E123" s="157" t="n">
        <v>325</v>
      </c>
      <c r="F123" s="157" t="s">
        <v>2566</v>
      </c>
      <c r="G123" s="157" t="s">
        <v>2567</v>
      </c>
      <c r="H123" s="78" t="n">
        <f aca="false">Y123/J123</f>
        <v>260.954659127977</v>
      </c>
      <c r="I123" s="442" t="n">
        <v>45392</v>
      </c>
      <c r="J123" s="157" t="n">
        <v>9197</v>
      </c>
      <c r="K123" s="78"/>
      <c r="L123" s="157" t="n">
        <v>9197</v>
      </c>
      <c r="M123" s="157" t="n">
        <v>2001</v>
      </c>
      <c r="P123" s="157" t="s">
        <v>3300</v>
      </c>
      <c r="R123" s="174" t="s">
        <v>483</v>
      </c>
      <c r="S123" s="157" t="n">
        <v>38839</v>
      </c>
      <c r="T123" s="443" t="n">
        <f aca="false">S123/L123</f>
        <v>4.22300750244645</v>
      </c>
      <c r="U123" s="157" t="s">
        <v>483</v>
      </c>
      <c r="V123" s="443"/>
      <c r="W123" s="443"/>
      <c r="X123" s="443"/>
      <c r="Y123" s="80" t="n">
        <v>2400000</v>
      </c>
      <c r="Z123" s="80"/>
      <c r="AA123" s="80" t="n">
        <v>2400000</v>
      </c>
      <c r="AB123" s="80"/>
      <c r="AC123" s="157" t="s">
        <v>3301</v>
      </c>
      <c r="AD123" s="157" t="s">
        <v>3302</v>
      </c>
      <c r="AE123" s="281" t="s">
        <v>3303</v>
      </c>
      <c r="AF123" s="281" t="s">
        <v>3304</v>
      </c>
      <c r="AI123" s="157" t="e">
        <f aca="false">IF(AND($E123=Subj_OccCode,Subj_BldgSF&gt;0,ABS($L123-Subj_BldgSF)&lt;=Subj_BldgSF*Subj_SizeTol),ABS($L123-Subj_BldgSF),NA())</f>
        <v>#N/A</v>
      </c>
      <c r="AJ123" s="1" t="e">
        <f aca="false">IF(ISNA(AI123),NA(),AI123+ROW()/10000000)</f>
        <v>#N/A</v>
      </c>
      <c r="AK123" s="157" t="str">
        <f aca="false">IF(AND(ISNUMBER($N123),$N123&gt;0,ISNUMBER($Y123)),$Y123/$N123,"")</f>
        <v/>
      </c>
    </row>
    <row r="124" customFormat="false" ht="15" hidden="false" customHeight="true" outlineLevel="0" collapsed="false">
      <c r="A124" s="441" t="n">
        <v>7</v>
      </c>
      <c r="B124" s="157" t="n">
        <v>116</v>
      </c>
      <c r="C124" s="157" t="s">
        <v>3305</v>
      </c>
      <c r="D124" s="157" t="s">
        <v>3306</v>
      </c>
      <c r="E124" s="157" t="n">
        <v>353</v>
      </c>
      <c r="F124" s="157" t="s">
        <v>2677</v>
      </c>
      <c r="G124" s="157" t="s">
        <v>2567</v>
      </c>
      <c r="H124" s="78" t="n">
        <f aca="false">Y124/J124</f>
        <v>354.640980735552</v>
      </c>
      <c r="I124" s="442" t="n">
        <v>45288</v>
      </c>
      <c r="J124" s="157" t="n">
        <v>5710</v>
      </c>
      <c r="K124" s="78"/>
      <c r="L124" s="157" t="n">
        <v>5710</v>
      </c>
      <c r="M124" s="157" t="n">
        <v>2005</v>
      </c>
      <c r="P124" s="157" t="s">
        <v>3307</v>
      </c>
      <c r="R124" s="174" t="s">
        <v>279</v>
      </c>
      <c r="S124" s="157" t="n">
        <v>34421</v>
      </c>
      <c r="T124" s="443" t="n">
        <f aca="false">S124/L124</f>
        <v>6.02819614711033</v>
      </c>
      <c r="U124" s="157" t="s">
        <v>279</v>
      </c>
      <c r="V124" s="443"/>
      <c r="W124" s="443"/>
      <c r="X124" s="443"/>
      <c r="Y124" s="80" t="n">
        <v>2025000</v>
      </c>
      <c r="Z124" s="80"/>
      <c r="AA124" s="80" t="n">
        <v>2025000</v>
      </c>
      <c r="AB124" s="80"/>
      <c r="AC124" s="157" t="s">
        <v>3308</v>
      </c>
      <c r="AD124" s="157" t="s">
        <v>3309</v>
      </c>
      <c r="AE124" s="281" t="s">
        <v>3310</v>
      </c>
      <c r="AF124" s="281" t="s">
        <v>3311</v>
      </c>
      <c r="AI124" s="157" t="e">
        <f aca="false">IF(AND($E124=Subj_OccCode,Subj_BldgSF&gt;0,ABS($L124-Subj_BldgSF)&lt;=Subj_BldgSF*Subj_SizeTol),ABS($L124-Subj_BldgSF),NA())</f>
        <v>#N/A</v>
      </c>
      <c r="AJ124" s="1" t="e">
        <f aca="false">IF(ISNA(AI124),NA(),AI124+ROW()/10000000)</f>
        <v>#N/A</v>
      </c>
      <c r="AK124" s="157" t="str">
        <f aca="false">IF(AND(ISNUMBER($N124),$N124&gt;0,ISNUMBER($Y124)),$Y124/$N124,"")</f>
        <v/>
      </c>
    </row>
    <row r="125" customFormat="false" ht="15" hidden="false" customHeight="true" outlineLevel="0" collapsed="false">
      <c r="A125" s="441" t="n">
        <v>7</v>
      </c>
      <c r="B125" s="157" t="n">
        <v>117</v>
      </c>
      <c r="C125" s="157" t="s">
        <v>3312</v>
      </c>
      <c r="D125" s="157" t="s">
        <v>3313</v>
      </c>
      <c r="E125" s="157" t="n">
        <v>328</v>
      </c>
      <c r="G125" s="157" t="s">
        <v>352</v>
      </c>
      <c r="H125" s="78" t="n">
        <f aca="false">Y125/J125</f>
        <v>22.2222222222222</v>
      </c>
      <c r="I125" s="442" t="n">
        <v>45273</v>
      </c>
      <c r="J125" s="157" t="n">
        <v>27000</v>
      </c>
      <c r="K125" s="78"/>
      <c r="L125" s="157" t="n">
        <v>27000</v>
      </c>
      <c r="M125" s="157" t="n">
        <v>2006</v>
      </c>
      <c r="R125" s="174" t="s">
        <v>279</v>
      </c>
      <c r="T125" s="443" t="n">
        <f aca="false">S125/L125</f>
        <v>0</v>
      </c>
      <c r="U125" s="157" t="s">
        <v>279</v>
      </c>
      <c r="V125" s="443"/>
      <c r="W125" s="443"/>
      <c r="X125" s="443"/>
      <c r="Y125" s="80" t="n">
        <v>600000</v>
      </c>
      <c r="Z125" s="80"/>
      <c r="AA125" s="80" t="n">
        <v>600000</v>
      </c>
      <c r="AB125" s="80"/>
      <c r="AC125" s="157" t="s">
        <v>3314</v>
      </c>
      <c r="AD125" s="157" t="s">
        <v>3315</v>
      </c>
      <c r="AE125" s="281" t="s">
        <v>3316</v>
      </c>
      <c r="AF125" s="281" t="s">
        <v>3317</v>
      </c>
      <c r="AI125" s="157" t="e">
        <f aca="false">IF(AND($E125=Subj_OccCode,Subj_BldgSF&gt;0,ABS($L125-Subj_BldgSF)&lt;=Subj_BldgSF*Subj_SizeTol),ABS($L125-Subj_BldgSF),NA())</f>
        <v>#N/A</v>
      </c>
      <c r="AJ125" s="1" t="e">
        <f aca="false">IF(ISNA(AI125),NA(),AI125+ROW()/10000000)</f>
        <v>#N/A</v>
      </c>
      <c r="AK125" s="157" t="str">
        <f aca="false">IF(AND(ISNUMBER($N125),$N125&gt;0,ISNUMBER($Y125)),$Y125/$N125,"")</f>
        <v/>
      </c>
    </row>
    <row r="126" customFormat="false" ht="15" hidden="false" customHeight="true" outlineLevel="0" collapsed="false">
      <c r="A126" s="441" t="n">
        <v>7</v>
      </c>
      <c r="B126" s="157" t="n">
        <v>118</v>
      </c>
      <c r="C126" s="157" t="s">
        <v>3318</v>
      </c>
      <c r="D126" s="157" t="s">
        <v>3319</v>
      </c>
      <c r="E126" s="157" t="n">
        <v>325</v>
      </c>
      <c r="F126" s="157" t="s">
        <v>3320</v>
      </c>
      <c r="G126" s="157" t="s">
        <v>352</v>
      </c>
      <c r="H126" s="78" t="n">
        <f aca="false">Y126/J126</f>
        <v>587.645029789903</v>
      </c>
      <c r="I126" s="442" t="n">
        <v>45226</v>
      </c>
      <c r="J126" s="157" t="n">
        <v>9567</v>
      </c>
      <c r="K126" s="78"/>
      <c r="L126" s="157" t="n">
        <v>9567</v>
      </c>
      <c r="M126" s="157" t="n">
        <v>2023</v>
      </c>
      <c r="R126" s="174" t="s">
        <v>279</v>
      </c>
      <c r="S126" s="157" t="n">
        <v>58678</v>
      </c>
      <c r="T126" s="443" t="n">
        <f aca="false">S126/L126</f>
        <v>6.13337514372322</v>
      </c>
      <c r="U126" s="157" t="s">
        <v>279</v>
      </c>
      <c r="V126" s="443"/>
      <c r="W126" s="443"/>
      <c r="X126" s="443"/>
      <c r="Y126" s="80" t="n">
        <v>5622000</v>
      </c>
      <c r="Z126" s="80"/>
      <c r="AA126" s="80" t="n">
        <v>5622000</v>
      </c>
      <c r="AB126" s="80"/>
      <c r="AC126" s="157" t="s">
        <v>3321</v>
      </c>
      <c r="AD126" s="157" t="s">
        <v>3322</v>
      </c>
      <c r="AE126" s="281" t="s">
        <v>3323</v>
      </c>
      <c r="AF126" s="281" t="s">
        <v>3324</v>
      </c>
      <c r="AI126" s="157" t="e">
        <f aca="false">IF(AND($E126=Subj_OccCode,Subj_BldgSF&gt;0,ABS($L126-Subj_BldgSF)&lt;=Subj_BldgSF*Subj_SizeTol),ABS($L126-Subj_BldgSF),NA())</f>
        <v>#N/A</v>
      </c>
      <c r="AJ126" s="1" t="e">
        <f aca="false">IF(ISNA(AI126),NA(),AI126+ROW()/10000000)</f>
        <v>#N/A</v>
      </c>
      <c r="AK126" s="157" t="str">
        <f aca="false">IF(AND(ISNUMBER($N126),$N126&gt;0,ISNUMBER($Y126)),$Y126/$N126,"")</f>
        <v/>
      </c>
    </row>
    <row r="127" customFormat="false" ht="15" hidden="false" customHeight="true" outlineLevel="0" collapsed="false">
      <c r="A127" s="441" t="n">
        <v>7</v>
      </c>
      <c r="B127" s="157" t="n">
        <v>119</v>
      </c>
      <c r="C127" s="157" t="s">
        <v>3325</v>
      </c>
      <c r="D127" s="157" t="s">
        <v>3326</v>
      </c>
      <c r="E127" s="157" t="n">
        <v>406</v>
      </c>
      <c r="F127" s="157" t="s">
        <v>2921</v>
      </c>
      <c r="G127" s="157" t="s">
        <v>2691</v>
      </c>
      <c r="H127" s="78" t="n">
        <f aca="false">Y127/J127</f>
        <v>227.376252657152</v>
      </c>
      <c r="I127" s="442" t="n">
        <v>45097</v>
      </c>
      <c r="J127" s="157" t="n">
        <v>13172</v>
      </c>
      <c r="K127" s="78"/>
      <c r="L127" s="157" t="n">
        <v>13172</v>
      </c>
      <c r="M127" s="157" t="n">
        <v>2021</v>
      </c>
      <c r="R127" s="174" t="s">
        <v>483</v>
      </c>
      <c r="S127" s="157" t="n">
        <v>33790</v>
      </c>
      <c r="T127" s="443" t="n">
        <f aca="false">S127/L127</f>
        <v>2.56529000911023</v>
      </c>
      <c r="U127" s="157" t="s">
        <v>483</v>
      </c>
      <c r="V127" s="443"/>
      <c r="W127" s="443"/>
      <c r="X127" s="443"/>
      <c r="Y127" s="80" t="n">
        <v>2995000</v>
      </c>
      <c r="Z127" s="80"/>
      <c r="AA127" s="80" t="n">
        <v>2995000</v>
      </c>
      <c r="AB127" s="80"/>
      <c r="AC127" s="157" t="s">
        <v>3327</v>
      </c>
      <c r="AD127" s="157" t="s">
        <v>3328</v>
      </c>
      <c r="AE127" s="281" t="s">
        <v>3329</v>
      </c>
      <c r="AF127" s="281" t="s">
        <v>3330</v>
      </c>
      <c r="AI127" s="157" t="e">
        <f aca="false">IF(AND($E127=Subj_OccCode,Subj_BldgSF&gt;0,ABS($L127-Subj_BldgSF)&lt;=Subj_BldgSF*Subj_SizeTol),ABS($L127-Subj_BldgSF),NA())</f>
        <v>#N/A</v>
      </c>
      <c r="AJ127" s="1" t="e">
        <f aca="false">IF(ISNA(AI127),NA(),AI127+ROW()/10000000)</f>
        <v>#N/A</v>
      </c>
      <c r="AK127" s="157" t="str">
        <f aca="false">IF(AND(ISNUMBER($N127),$N127&gt;0,ISNUMBER($Y127)),$Y127/$N127,"")</f>
        <v/>
      </c>
    </row>
    <row r="128" customFormat="false" ht="15" hidden="false" customHeight="true" outlineLevel="0" collapsed="false">
      <c r="A128" s="441" t="n">
        <v>7</v>
      </c>
      <c r="B128" s="157" t="n">
        <v>120</v>
      </c>
      <c r="C128" s="157" t="s">
        <v>3331</v>
      </c>
      <c r="D128" s="157" t="s">
        <v>3332</v>
      </c>
      <c r="E128" s="157" t="n">
        <v>406</v>
      </c>
      <c r="F128" s="157" t="s">
        <v>2921</v>
      </c>
      <c r="G128" s="157" t="s">
        <v>2691</v>
      </c>
      <c r="H128" s="78" t="n">
        <f aca="false">Y128/J128</f>
        <v>255.982905982906</v>
      </c>
      <c r="I128" s="442" t="n">
        <v>44915</v>
      </c>
      <c r="J128" s="157" t="n">
        <v>11700</v>
      </c>
      <c r="K128" s="78"/>
      <c r="L128" s="157" t="n">
        <v>11700</v>
      </c>
      <c r="M128" s="157" t="n">
        <v>2021</v>
      </c>
      <c r="R128" s="174" t="s">
        <v>483</v>
      </c>
      <c r="S128" s="157" t="n">
        <v>37615</v>
      </c>
      <c r="T128" s="443" t="n">
        <f aca="false">S128/L128</f>
        <v>3.21495726495727</v>
      </c>
      <c r="U128" s="157" t="s">
        <v>483</v>
      </c>
      <c r="V128" s="443"/>
      <c r="W128" s="443"/>
      <c r="X128" s="443"/>
      <c r="Y128" s="80" t="n">
        <v>2995000</v>
      </c>
      <c r="Z128" s="80"/>
      <c r="AA128" s="80" t="n">
        <v>2995000</v>
      </c>
      <c r="AB128" s="80"/>
      <c r="AC128" s="157" t="s">
        <v>3333</v>
      </c>
      <c r="AD128" s="157" t="s">
        <v>3334</v>
      </c>
      <c r="AE128" s="281" t="s">
        <v>3335</v>
      </c>
      <c r="AF128" s="281" t="s">
        <v>3336</v>
      </c>
      <c r="AI128" s="157" t="e">
        <f aca="false">IF(AND($E128=Subj_OccCode,Subj_BldgSF&gt;0,ABS($L128-Subj_BldgSF)&lt;=Subj_BldgSF*Subj_SizeTol),ABS($L128-Subj_BldgSF),NA())</f>
        <v>#N/A</v>
      </c>
      <c r="AJ128" s="1" t="e">
        <f aca="false">IF(ISNA(AI128),NA(),AI128+ROW()/10000000)</f>
        <v>#N/A</v>
      </c>
      <c r="AK128" s="157" t="str">
        <f aca="false">IF(AND(ISNUMBER($N128),$N128&gt;0,ISNUMBER($Y128)),$Y128/$N128,"")</f>
        <v/>
      </c>
    </row>
    <row r="129" customFormat="false" ht="15" hidden="false" customHeight="true" outlineLevel="0" collapsed="false">
      <c r="A129" s="441" t="n">
        <v>7</v>
      </c>
      <c r="B129" s="157" t="n">
        <v>121</v>
      </c>
      <c r="C129" s="157" t="s">
        <v>3337</v>
      </c>
      <c r="D129" s="157" t="s">
        <v>3338</v>
      </c>
      <c r="E129" s="157" t="n">
        <v>353</v>
      </c>
      <c r="F129" s="157" t="s">
        <v>2677</v>
      </c>
      <c r="G129" s="157" t="s">
        <v>354</v>
      </c>
      <c r="H129" s="78" t="n">
        <f aca="false">Y129/J129</f>
        <v>439.091435185185</v>
      </c>
      <c r="I129" s="442" t="n">
        <v>45105</v>
      </c>
      <c r="J129" s="157" t="n">
        <v>6912</v>
      </c>
      <c r="K129" s="78"/>
      <c r="L129" s="157" t="n">
        <v>6912</v>
      </c>
      <c r="M129" s="157" t="n">
        <v>2022</v>
      </c>
      <c r="R129" s="174" t="s">
        <v>279</v>
      </c>
      <c r="S129" s="157" t="n">
        <v>34869</v>
      </c>
      <c r="T129" s="443" t="n">
        <f aca="false">S129/L129</f>
        <v>5.04470486111111</v>
      </c>
      <c r="U129" s="157" t="s">
        <v>279</v>
      </c>
      <c r="V129" s="443"/>
      <c r="W129" s="443"/>
      <c r="X129" s="443"/>
      <c r="Y129" s="80" t="n">
        <v>3035000</v>
      </c>
      <c r="Z129" s="80"/>
      <c r="AA129" s="80" t="n">
        <v>3035000</v>
      </c>
      <c r="AB129" s="80"/>
      <c r="AC129" s="157" t="s">
        <v>3339</v>
      </c>
      <c r="AD129" s="157" t="s">
        <v>3340</v>
      </c>
      <c r="AE129" s="281" t="s">
        <v>3341</v>
      </c>
      <c r="AF129" s="281" t="s">
        <v>3342</v>
      </c>
      <c r="AI129" s="157" t="e">
        <f aca="false">IF(AND($E129=Subj_OccCode,Subj_BldgSF&gt;0,ABS($L129-Subj_BldgSF)&lt;=Subj_BldgSF*Subj_SizeTol),ABS($L129-Subj_BldgSF),NA())</f>
        <v>#N/A</v>
      </c>
      <c r="AJ129" s="1" t="e">
        <f aca="false">IF(ISNA(AI129),NA(),AI129+ROW()/10000000)</f>
        <v>#N/A</v>
      </c>
      <c r="AK129" s="157" t="str">
        <f aca="false">IF(AND(ISNUMBER($N129),$N129&gt;0,ISNUMBER($Y129)),$Y129/$N129,"")</f>
        <v/>
      </c>
    </row>
    <row r="130" customFormat="false" ht="15" hidden="false" customHeight="true" outlineLevel="0" collapsed="false">
      <c r="A130" s="441" t="n">
        <v>7</v>
      </c>
      <c r="B130" s="157" t="n">
        <v>122</v>
      </c>
      <c r="C130" s="157" t="s">
        <v>3343</v>
      </c>
      <c r="D130" s="157" t="s">
        <v>3344</v>
      </c>
      <c r="E130" s="157" t="n">
        <v>426</v>
      </c>
      <c r="F130" s="157" t="s">
        <v>2921</v>
      </c>
      <c r="G130" s="157" t="s">
        <v>353</v>
      </c>
      <c r="H130" s="78" t="n">
        <f aca="false">Y130/J130</f>
        <v>560.919872294035</v>
      </c>
      <c r="I130" s="442" t="n">
        <v>45267</v>
      </c>
      <c r="J130" s="157" t="n">
        <v>12842</v>
      </c>
      <c r="K130" s="78"/>
      <c r="L130" s="157" t="n">
        <v>12842</v>
      </c>
      <c r="M130" s="157" t="n">
        <v>2023</v>
      </c>
      <c r="R130" s="174" t="s">
        <v>279</v>
      </c>
      <c r="S130" s="157" t="n">
        <v>94652</v>
      </c>
      <c r="T130" s="443" t="n">
        <f aca="false">S130/L130</f>
        <v>7.37050303691014</v>
      </c>
      <c r="U130" s="157" t="s">
        <v>279</v>
      </c>
      <c r="V130" s="443"/>
      <c r="W130" s="443"/>
      <c r="X130" s="443"/>
      <c r="Y130" s="80" t="n">
        <v>7203333</v>
      </c>
      <c r="Z130" s="80"/>
      <c r="AA130" s="80" t="n">
        <v>7203333</v>
      </c>
      <c r="AB130" s="80"/>
      <c r="AC130" s="157" t="s">
        <v>3345</v>
      </c>
      <c r="AD130" s="157" t="s">
        <v>3346</v>
      </c>
      <c r="AE130" s="281" t="s">
        <v>3347</v>
      </c>
      <c r="AF130" s="281" t="s">
        <v>3348</v>
      </c>
      <c r="AI130" s="157" t="e">
        <f aca="false">IF(AND($E130=Subj_OccCode,Subj_BldgSF&gt;0,ABS($L130-Subj_BldgSF)&lt;=Subj_BldgSF*Subj_SizeTol),ABS($L130-Subj_BldgSF),NA())</f>
        <v>#N/A</v>
      </c>
      <c r="AJ130" s="1" t="e">
        <f aca="false">IF(ISNA(AI130),NA(),AI130+ROW()/10000000)</f>
        <v>#N/A</v>
      </c>
      <c r="AK130" s="157" t="str">
        <f aca="false">IF(AND(ISNUMBER($N130),$N130&gt;0,ISNUMBER($Y130)),$Y130/$N130,"")</f>
        <v/>
      </c>
    </row>
    <row r="131" customFormat="false" ht="15" hidden="false" customHeight="true" outlineLevel="0" collapsed="false">
      <c r="A131" s="441" t="n">
        <v>7</v>
      </c>
      <c r="B131" s="157" t="n">
        <v>123</v>
      </c>
      <c r="C131" s="157" t="s">
        <v>3349</v>
      </c>
      <c r="D131" s="157" t="s">
        <v>3350</v>
      </c>
      <c r="E131" s="157" t="n">
        <v>328</v>
      </c>
      <c r="G131" s="157" t="s">
        <v>352</v>
      </c>
      <c r="H131" s="78" t="n">
        <f aca="false">Y131/J131</f>
        <v>101.27133105802</v>
      </c>
      <c r="I131" s="442" t="n">
        <v>45390</v>
      </c>
      <c r="J131" s="157" t="n">
        <v>2930</v>
      </c>
      <c r="K131" s="78"/>
      <c r="L131" s="157" t="n">
        <v>2930</v>
      </c>
      <c r="M131" s="157" t="n">
        <v>2024</v>
      </c>
      <c r="R131" s="174" t="s">
        <v>279</v>
      </c>
      <c r="T131" s="443" t="n">
        <f aca="false">S131/L131</f>
        <v>0</v>
      </c>
      <c r="U131" s="157" t="s">
        <v>279</v>
      </c>
      <c r="V131" s="443"/>
      <c r="W131" s="443"/>
      <c r="X131" s="443"/>
      <c r="Y131" s="80" t="n">
        <v>296725</v>
      </c>
      <c r="Z131" s="80"/>
      <c r="AA131" s="80" t="n">
        <v>296725</v>
      </c>
      <c r="AB131" s="80"/>
      <c r="AC131" s="157" t="s">
        <v>3351</v>
      </c>
      <c r="AD131" s="157" t="s">
        <v>3352</v>
      </c>
      <c r="AE131" s="281" t="s">
        <v>3353</v>
      </c>
      <c r="AF131" s="281" t="s">
        <v>3354</v>
      </c>
      <c r="AI131" s="157" t="e">
        <f aca="false">IF(AND($E131=Subj_OccCode,Subj_BldgSF&gt;0,ABS($L131-Subj_BldgSF)&lt;=Subj_BldgSF*Subj_SizeTol),ABS($L131-Subj_BldgSF),NA())</f>
        <v>#N/A</v>
      </c>
      <c r="AJ131" s="1" t="e">
        <f aca="false">IF(ISNA(AI131),NA(),AI131+ROW()/10000000)</f>
        <v>#N/A</v>
      </c>
      <c r="AK131" s="157" t="str">
        <f aca="false">IF(AND(ISNUMBER($N131),$N131&gt;0,ISNUMBER($Y131)),$Y131/$N131,"")</f>
        <v/>
      </c>
    </row>
    <row r="132" customFormat="false" ht="15" hidden="false" customHeight="true" outlineLevel="0" collapsed="false">
      <c r="A132" s="441" t="n">
        <v>7</v>
      </c>
      <c r="B132" s="157" t="n">
        <v>124</v>
      </c>
      <c r="C132" s="157" t="s">
        <v>3355</v>
      </c>
      <c r="D132" s="157" t="s">
        <v>3356</v>
      </c>
      <c r="E132" s="157" t="n">
        <v>353</v>
      </c>
      <c r="F132" s="157" t="s">
        <v>260</v>
      </c>
      <c r="G132" s="157" t="s">
        <v>353</v>
      </c>
      <c r="H132" s="78" t="n">
        <f aca="false">Y132/J132</f>
        <v>209.770491803279</v>
      </c>
      <c r="I132" s="442" t="n">
        <v>45419</v>
      </c>
      <c r="J132" s="157" t="n">
        <v>1525</v>
      </c>
      <c r="K132" s="78"/>
      <c r="L132" s="157" t="n">
        <v>1525</v>
      </c>
      <c r="M132" s="157" t="n">
        <v>1957</v>
      </c>
      <c r="P132" s="157" t="s">
        <v>3265</v>
      </c>
      <c r="R132" s="174" t="s">
        <v>279</v>
      </c>
      <c r="S132" s="157" t="n">
        <v>1775</v>
      </c>
      <c r="T132" s="443" t="n">
        <f aca="false">S132/L132</f>
        <v>1.16393442622951</v>
      </c>
      <c r="U132" s="157" t="s">
        <v>279</v>
      </c>
      <c r="V132" s="443"/>
      <c r="W132" s="443"/>
      <c r="X132" s="443"/>
      <c r="Y132" s="80" t="n">
        <v>319900</v>
      </c>
      <c r="Z132" s="80"/>
      <c r="AA132" s="80" t="n">
        <v>319900</v>
      </c>
      <c r="AB132" s="80"/>
      <c r="AC132" s="157" t="s">
        <v>3357</v>
      </c>
      <c r="AD132" s="157" t="s">
        <v>3358</v>
      </c>
      <c r="AE132" s="281" t="s">
        <v>3359</v>
      </c>
      <c r="AF132" s="281" t="s">
        <v>3360</v>
      </c>
      <c r="AI132" s="157" t="e">
        <f aca="false">IF(AND($E132=Subj_OccCode,Subj_BldgSF&gt;0,ABS($L132-Subj_BldgSF)&lt;=Subj_BldgSF*Subj_SizeTol),ABS($L132-Subj_BldgSF),NA())</f>
        <v>#N/A</v>
      </c>
      <c r="AJ132" s="1" t="e">
        <f aca="false">IF(ISNA(AI132),NA(),AI132+ROW()/10000000)</f>
        <v>#N/A</v>
      </c>
      <c r="AK132" s="157" t="str">
        <f aca="false">IF(AND(ISNUMBER($N132),$N132&gt;0,ISNUMBER($Y132)),$Y132/$N132,"")</f>
        <v/>
      </c>
    </row>
    <row r="133" customFormat="false" ht="15" hidden="false" customHeight="true" outlineLevel="0" collapsed="false">
      <c r="A133" s="441" t="n">
        <v>7</v>
      </c>
      <c r="B133" s="157" t="n">
        <v>125</v>
      </c>
      <c r="C133" s="157" t="s">
        <v>3361</v>
      </c>
      <c r="D133" s="157" t="s">
        <v>3362</v>
      </c>
      <c r="E133" s="157" t="n">
        <v>344</v>
      </c>
      <c r="F133" s="157" t="s">
        <v>2677</v>
      </c>
      <c r="G133" s="157" t="s">
        <v>2567</v>
      </c>
      <c r="H133" s="78" t="n">
        <f aca="false">Y133/J133</f>
        <v>67.7211822183524</v>
      </c>
      <c r="I133" s="442" t="n">
        <v>44762</v>
      </c>
      <c r="J133" s="157" t="n">
        <v>20673</v>
      </c>
      <c r="K133" s="78"/>
      <c r="L133" s="157" t="n">
        <v>20673</v>
      </c>
      <c r="M133" s="157" t="n">
        <v>1975</v>
      </c>
      <c r="P133" s="157" t="s">
        <v>3307</v>
      </c>
      <c r="R133" s="174" t="s">
        <v>279</v>
      </c>
      <c r="S133" s="157" t="n">
        <v>90169</v>
      </c>
      <c r="T133" s="443" t="n">
        <f aca="false">S133/L133</f>
        <v>4.36167948531902</v>
      </c>
      <c r="U133" s="157" t="s">
        <v>279</v>
      </c>
      <c r="V133" s="443"/>
      <c r="W133" s="443"/>
      <c r="X133" s="443"/>
      <c r="Y133" s="80" t="n">
        <v>1400000</v>
      </c>
      <c r="Z133" s="80"/>
      <c r="AA133" s="80" t="n">
        <v>1400000</v>
      </c>
      <c r="AB133" s="80"/>
      <c r="AC133" s="157" t="s">
        <v>3363</v>
      </c>
      <c r="AD133" s="157" t="s">
        <v>3364</v>
      </c>
      <c r="AE133" s="281" t="s">
        <v>3365</v>
      </c>
      <c r="AF133" s="281" t="s">
        <v>3366</v>
      </c>
      <c r="AI133" s="157" t="e">
        <f aca="false">IF(AND($E133=Subj_OccCode,Subj_BldgSF&gt;0,ABS($L133-Subj_BldgSF)&lt;=Subj_BldgSF*Subj_SizeTol),ABS($L133-Subj_BldgSF),NA())</f>
        <v>#N/A</v>
      </c>
      <c r="AJ133" s="1" t="e">
        <f aca="false">IF(ISNA(AI133),NA(),AI133+ROW()/10000000)</f>
        <v>#N/A</v>
      </c>
      <c r="AK133" s="157" t="str">
        <f aca="false">IF(AND(ISNUMBER($N133),$N133&gt;0,ISNUMBER($Y133)),$Y133/$N133,"")</f>
        <v/>
      </c>
    </row>
    <row r="134" customFormat="false" ht="15" hidden="false" customHeight="true" outlineLevel="0" collapsed="false">
      <c r="A134" s="441" t="n">
        <v>7</v>
      </c>
      <c r="B134" s="157" t="n">
        <v>126</v>
      </c>
      <c r="C134" s="157" t="s">
        <v>3367</v>
      </c>
      <c r="D134" s="157" t="s">
        <v>3368</v>
      </c>
      <c r="E134" s="157" t="n">
        <v>350</v>
      </c>
      <c r="F134" s="157" t="s">
        <v>2677</v>
      </c>
      <c r="G134" s="157" t="s">
        <v>2567</v>
      </c>
      <c r="H134" s="78" t="n">
        <f aca="false">Y134/J134</f>
        <v>343.623253717891</v>
      </c>
      <c r="I134" s="442" t="n">
        <v>45070</v>
      </c>
      <c r="J134" s="157" t="n">
        <v>4438</v>
      </c>
      <c r="K134" s="78"/>
      <c r="L134" s="157" t="n">
        <v>4438</v>
      </c>
      <c r="M134" s="157" t="n">
        <v>1973</v>
      </c>
      <c r="P134" s="157" t="s">
        <v>3307</v>
      </c>
      <c r="R134" s="174" t="s">
        <v>279</v>
      </c>
      <c r="S134" s="157" t="n">
        <v>34473</v>
      </c>
      <c r="T134" s="443" t="n">
        <f aca="false">S134/L134</f>
        <v>7.76768814781433</v>
      </c>
      <c r="U134" s="157" t="s">
        <v>279</v>
      </c>
      <c r="V134" s="443"/>
      <c r="W134" s="443"/>
      <c r="X134" s="443"/>
      <c r="Y134" s="80" t="n">
        <v>1525000</v>
      </c>
      <c r="Z134" s="80"/>
      <c r="AA134" s="80" t="n">
        <v>1525000</v>
      </c>
      <c r="AB134" s="80"/>
      <c r="AC134" s="157" t="s">
        <v>3369</v>
      </c>
      <c r="AD134" s="157" t="s">
        <v>3370</v>
      </c>
      <c r="AE134" s="281" t="s">
        <v>3371</v>
      </c>
      <c r="AF134" s="281" t="s">
        <v>3372</v>
      </c>
      <c r="AI134" s="157" t="e">
        <f aca="false">IF(AND($E134=Subj_OccCode,Subj_BldgSF&gt;0,ABS($L134-Subj_BldgSF)&lt;=Subj_BldgSF*Subj_SizeTol),ABS($L134-Subj_BldgSF),NA())</f>
        <v>#N/A</v>
      </c>
      <c r="AJ134" s="1" t="e">
        <f aca="false">IF(ISNA(AI134),NA(),AI134+ROW()/10000000)</f>
        <v>#N/A</v>
      </c>
      <c r="AK134" s="157" t="str">
        <f aca="false">IF(AND(ISNUMBER($N134),$N134&gt;0,ISNUMBER($Y134)),$Y134/$N134,"")</f>
        <v/>
      </c>
    </row>
    <row r="135" customFormat="false" ht="15" hidden="false" customHeight="true" outlineLevel="0" collapsed="false">
      <c r="A135" s="441" t="n">
        <v>7</v>
      </c>
      <c r="B135" s="157" t="n">
        <v>127</v>
      </c>
      <c r="C135" s="157" t="s">
        <v>3373</v>
      </c>
      <c r="D135" s="157" t="s">
        <v>3374</v>
      </c>
      <c r="E135" s="157" t="n">
        <v>406</v>
      </c>
      <c r="F135" s="157" t="s">
        <v>2921</v>
      </c>
      <c r="G135" s="157" t="s">
        <v>2691</v>
      </c>
      <c r="H135" s="78" t="n">
        <f aca="false">Y135/J135</f>
        <v>270</v>
      </c>
      <c r="I135" s="442" t="n">
        <v>45085</v>
      </c>
      <c r="J135" s="157" t="n">
        <v>7500</v>
      </c>
      <c r="K135" s="78"/>
      <c r="L135" s="157" t="n">
        <v>7500</v>
      </c>
      <c r="M135" s="157" t="n">
        <v>1987</v>
      </c>
      <c r="P135" s="157" t="s">
        <v>3009</v>
      </c>
      <c r="R135" s="174" t="s">
        <v>279</v>
      </c>
      <c r="S135" s="157" t="n">
        <v>49295</v>
      </c>
      <c r="T135" s="443" t="n">
        <f aca="false">S135/L135</f>
        <v>6.57266666666667</v>
      </c>
      <c r="U135" s="157" t="s">
        <v>279</v>
      </c>
      <c r="V135" s="443"/>
      <c r="W135" s="443"/>
      <c r="X135" s="443"/>
      <c r="Y135" s="80" t="n">
        <v>2025000</v>
      </c>
      <c r="Z135" s="80"/>
      <c r="AA135" s="80" t="n">
        <v>2025000</v>
      </c>
      <c r="AB135" s="80"/>
      <c r="AC135" s="157" t="s">
        <v>3375</v>
      </c>
      <c r="AD135" s="157" t="s">
        <v>3376</v>
      </c>
      <c r="AE135" s="281" t="s">
        <v>3377</v>
      </c>
      <c r="AF135" s="281" t="s">
        <v>3378</v>
      </c>
      <c r="AI135" s="157" t="e">
        <f aca="false">IF(AND($E135=Subj_OccCode,Subj_BldgSF&gt;0,ABS($L135-Subj_BldgSF)&lt;=Subj_BldgSF*Subj_SizeTol),ABS($L135-Subj_BldgSF),NA())</f>
        <v>#N/A</v>
      </c>
      <c r="AJ135" s="1" t="e">
        <f aca="false">IF(ISNA(AI135),NA(),AI135+ROW()/10000000)</f>
        <v>#N/A</v>
      </c>
      <c r="AK135" s="157" t="str">
        <f aca="false">IF(AND(ISNUMBER($N135),$N135&gt;0,ISNUMBER($Y135)),$Y135/$N135,"")</f>
        <v/>
      </c>
    </row>
    <row r="136" customFormat="false" ht="15" hidden="false" customHeight="true" outlineLevel="0" collapsed="false">
      <c r="A136" s="441" t="n">
        <v>7</v>
      </c>
      <c r="B136" s="157" t="n">
        <v>128</v>
      </c>
      <c r="C136" s="157" t="s">
        <v>3379</v>
      </c>
      <c r="D136" s="157" t="s">
        <v>3380</v>
      </c>
      <c r="E136" s="157" t="n">
        <v>386</v>
      </c>
      <c r="F136" s="157" t="s">
        <v>2595</v>
      </c>
      <c r="G136" s="157" t="s">
        <v>2596</v>
      </c>
      <c r="H136" s="78" t="n">
        <f aca="false">Y136/J136</f>
        <v>91.4839797639123</v>
      </c>
      <c r="I136" s="442" t="n">
        <v>45062</v>
      </c>
      <c r="J136" s="157" t="n">
        <v>29650</v>
      </c>
      <c r="K136" s="78"/>
      <c r="L136" s="157" t="n">
        <v>29650</v>
      </c>
      <c r="M136" s="157" t="n">
        <v>1985</v>
      </c>
      <c r="P136" s="157" t="s">
        <v>3381</v>
      </c>
      <c r="R136" s="174" t="s">
        <v>279</v>
      </c>
      <c r="S136" s="157" t="n">
        <v>62929</v>
      </c>
      <c r="T136" s="443" t="n">
        <f aca="false">S136/L136</f>
        <v>2.12239460370995</v>
      </c>
      <c r="U136" s="157" t="s">
        <v>279</v>
      </c>
      <c r="V136" s="443"/>
      <c r="W136" s="443"/>
      <c r="X136" s="443"/>
      <c r="Y136" s="80" t="n">
        <v>2712500</v>
      </c>
      <c r="Z136" s="80"/>
      <c r="AA136" s="80" t="n">
        <v>2712500</v>
      </c>
      <c r="AB136" s="80"/>
      <c r="AC136" s="157" t="s">
        <v>3382</v>
      </c>
      <c r="AD136" s="157" t="s">
        <v>3383</v>
      </c>
      <c r="AE136" s="281" t="s">
        <v>3384</v>
      </c>
      <c r="AF136" s="281" t="s">
        <v>3385</v>
      </c>
      <c r="AI136" s="157" t="e">
        <f aca="false">IF(AND($E136=Subj_OccCode,Subj_BldgSF&gt;0,ABS($L136-Subj_BldgSF)&lt;=Subj_BldgSF*Subj_SizeTol),ABS($L136-Subj_BldgSF),NA())</f>
        <v>#N/A</v>
      </c>
      <c r="AJ136" s="1" t="e">
        <f aca="false">IF(ISNA(AI136),NA(),AI136+ROW()/10000000)</f>
        <v>#N/A</v>
      </c>
      <c r="AK136" s="157" t="str">
        <f aca="false">IF(AND(ISNUMBER($N136),$N136&gt;0,ISNUMBER($Y136)),$Y136/$N136,"")</f>
        <v/>
      </c>
    </row>
    <row r="137" customFormat="false" ht="15" hidden="false" customHeight="true" outlineLevel="0" collapsed="false">
      <c r="A137" s="441" t="n">
        <v>7</v>
      </c>
      <c r="B137" s="157" t="n">
        <v>129</v>
      </c>
      <c r="C137" s="157" t="s">
        <v>3386</v>
      </c>
      <c r="D137" s="157" t="s">
        <v>3387</v>
      </c>
      <c r="E137" s="157" t="n">
        <v>419</v>
      </c>
      <c r="F137" s="157" t="s">
        <v>2921</v>
      </c>
      <c r="G137" s="157" t="s">
        <v>2691</v>
      </c>
      <c r="H137" s="78" t="n">
        <f aca="false">Y137/J137</f>
        <v>864.499815430048</v>
      </c>
      <c r="I137" s="442" t="n">
        <v>44858</v>
      </c>
      <c r="J137" s="157" t="n">
        <v>2709</v>
      </c>
      <c r="K137" s="78"/>
      <c r="L137" s="157" t="n">
        <v>2709</v>
      </c>
      <c r="M137" s="157" t="n">
        <v>1995</v>
      </c>
      <c r="P137" s="157" t="s">
        <v>3388</v>
      </c>
      <c r="R137" s="174" t="s">
        <v>279</v>
      </c>
      <c r="S137" s="157" t="n">
        <v>50268</v>
      </c>
      <c r="T137" s="443" t="n">
        <f aca="false">S137/L137</f>
        <v>18.5559246954596</v>
      </c>
      <c r="U137" s="157" t="s">
        <v>279</v>
      </c>
      <c r="V137" s="443"/>
      <c r="W137" s="443"/>
      <c r="X137" s="443"/>
      <c r="Y137" s="80" t="n">
        <v>2341930</v>
      </c>
      <c r="Z137" s="80"/>
      <c r="AA137" s="80" t="n">
        <v>2341930</v>
      </c>
      <c r="AB137" s="80"/>
      <c r="AC137" s="157" t="s">
        <v>3389</v>
      </c>
      <c r="AD137" s="157" t="s">
        <v>3390</v>
      </c>
      <c r="AE137" s="281" t="s">
        <v>3391</v>
      </c>
      <c r="AF137" s="281" t="s">
        <v>3392</v>
      </c>
      <c r="AI137" s="157" t="e">
        <f aca="false">IF(AND($E137=Subj_OccCode,Subj_BldgSF&gt;0,ABS($L137-Subj_BldgSF)&lt;=Subj_BldgSF*Subj_SizeTol),ABS($L137-Subj_BldgSF),NA())</f>
        <v>#N/A</v>
      </c>
      <c r="AJ137" s="1" t="e">
        <f aca="false">IF(ISNA(AI137),NA(),AI137+ROW()/10000000)</f>
        <v>#N/A</v>
      </c>
      <c r="AK137" s="157" t="str">
        <f aca="false">IF(AND(ISNUMBER($N137),$N137&gt;0,ISNUMBER($Y137)),$Y137/$N137,"")</f>
        <v/>
      </c>
    </row>
    <row r="138" customFormat="false" ht="15" hidden="false" customHeight="true" outlineLevel="0" collapsed="false">
      <c r="A138" s="441" t="n">
        <v>7</v>
      </c>
      <c r="B138" s="157" t="n">
        <v>130</v>
      </c>
      <c r="C138" s="157" t="s">
        <v>3393</v>
      </c>
      <c r="D138" s="157" t="s">
        <v>3394</v>
      </c>
      <c r="E138" s="157" t="n">
        <v>334</v>
      </c>
      <c r="F138" s="157" t="s">
        <v>2921</v>
      </c>
      <c r="G138" s="157" t="s">
        <v>2691</v>
      </c>
      <c r="H138" s="78" t="n">
        <f aca="false">Y138/J138</f>
        <v>463.571428571429</v>
      </c>
      <c r="I138" s="442" t="n">
        <v>45275</v>
      </c>
      <c r="J138" s="157" t="n">
        <v>11200</v>
      </c>
      <c r="K138" s="78"/>
      <c r="L138" s="157" t="n">
        <v>11200</v>
      </c>
      <c r="M138" s="157" t="n">
        <v>1974</v>
      </c>
      <c r="P138" s="157" t="s">
        <v>3009</v>
      </c>
      <c r="R138" s="174" t="s">
        <v>279</v>
      </c>
      <c r="S138" s="157" t="n">
        <v>145011</v>
      </c>
      <c r="T138" s="443" t="n">
        <f aca="false">S138/L138</f>
        <v>12.9474107142857</v>
      </c>
      <c r="U138" s="157" t="s">
        <v>279</v>
      </c>
      <c r="V138" s="443"/>
      <c r="W138" s="443"/>
      <c r="X138" s="443"/>
      <c r="Y138" s="80" t="n">
        <v>5192000</v>
      </c>
      <c r="Z138" s="80"/>
      <c r="AA138" s="80" t="n">
        <v>5192000</v>
      </c>
      <c r="AB138" s="80"/>
      <c r="AC138" s="157" t="s">
        <v>3395</v>
      </c>
      <c r="AD138" s="157" t="s">
        <v>3396</v>
      </c>
      <c r="AE138" s="281" t="s">
        <v>3397</v>
      </c>
      <c r="AF138" s="281" t="s">
        <v>3398</v>
      </c>
      <c r="AI138" s="157" t="e">
        <f aca="false">IF(AND($E138=Subj_OccCode,Subj_BldgSF&gt;0,ABS($L138-Subj_BldgSF)&lt;=Subj_BldgSF*Subj_SizeTol),ABS($L138-Subj_BldgSF),NA())</f>
        <v>#N/A</v>
      </c>
      <c r="AJ138" s="1" t="e">
        <f aca="false">IF(ISNA(AI138),NA(),AI138+ROW()/10000000)</f>
        <v>#N/A</v>
      </c>
      <c r="AK138" s="157" t="str">
        <f aca="false">IF(AND(ISNUMBER($N138),$N138&gt;0,ISNUMBER($Y138)),$Y138/$N138,"")</f>
        <v/>
      </c>
    </row>
    <row r="139" customFormat="false" ht="15" hidden="false" customHeight="true" outlineLevel="0" collapsed="false">
      <c r="A139" s="441" t="n">
        <v>7</v>
      </c>
      <c r="B139" s="157" t="n">
        <v>131</v>
      </c>
      <c r="C139" s="157" t="s">
        <v>3399</v>
      </c>
      <c r="D139" s="157" t="s">
        <v>3400</v>
      </c>
      <c r="E139" s="157" t="n">
        <v>350</v>
      </c>
      <c r="F139" s="157" t="s">
        <v>2581</v>
      </c>
      <c r="G139" s="157" t="s">
        <v>2567</v>
      </c>
      <c r="H139" s="78" t="n">
        <f aca="false">Y139/J139</f>
        <v>515.907136715391</v>
      </c>
      <c r="I139" s="442" t="n">
        <v>45166</v>
      </c>
      <c r="J139" s="157" t="n">
        <v>1163</v>
      </c>
      <c r="K139" s="78"/>
      <c r="L139" s="157" t="n">
        <v>1163</v>
      </c>
      <c r="M139" s="157" t="n">
        <v>1964</v>
      </c>
      <c r="P139" s="157" t="s">
        <v>3047</v>
      </c>
      <c r="R139" s="174" t="s">
        <v>279</v>
      </c>
      <c r="S139" s="157" t="n">
        <v>14556</v>
      </c>
      <c r="T139" s="443" t="n">
        <f aca="false">S139/L139</f>
        <v>12.5159071367154</v>
      </c>
      <c r="U139" s="157" t="s">
        <v>279</v>
      </c>
      <c r="V139" s="443"/>
      <c r="W139" s="443"/>
      <c r="X139" s="443"/>
      <c r="Y139" s="80" t="n">
        <v>600000</v>
      </c>
      <c r="Z139" s="80"/>
      <c r="AA139" s="80" t="n">
        <v>600000</v>
      </c>
      <c r="AB139" s="80"/>
      <c r="AC139" s="157" t="s">
        <v>3401</v>
      </c>
      <c r="AD139" s="157" t="s">
        <v>3402</v>
      </c>
      <c r="AE139" s="281" t="s">
        <v>3403</v>
      </c>
      <c r="AF139" s="281" t="s">
        <v>3404</v>
      </c>
      <c r="AI139" s="157" t="e">
        <f aca="false">IF(AND($E139=Subj_OccCode,Subj_BldgSF&gt;0,ABS($L139-Subj_BldgSF)&lt;=Subj_BldgSF*Subj_SizeTol),ABS($L139-Subj_BldgSF),NA())</f>
        <v>#N/A</v>
      </c>
      <c r="AJ139" s="1" t="e">
        <f aca="false">IF(ISNA(AI139),NA(),AI139+ROW()/10000000)</f>
        <v>#N/A</v>
      </c>
      <c r="AK139" s="157" t="str">
        <f aca="false">IF(AND(ISNUMBER($N139),$N139&gt;0,ISNUMBER($Y139)),$Y139/$N139,"")</f>
        <v/>
      </c>
    </row>
    <row r="140" customFormat="false" ht="15" hidden="false" customHeight="true" outlineLevel="0" collapsed="false">
      <c r="A140" s="441" t="n">
        <v>7</v>
      </c>
      <c r="B140" s="157" t="n">
        <v>132</v>
      </c>
      <c r="C140" s="157" t="s">
        <v>3405</v>
      </c>
      <c r="D140" s="157" t="s">
        <v>3406</v>
      </c>
      <c r="E140" s="157" t="n">
        <v>407</v>
      </c>
      <c r="G140" s="157" t="s">
        <v>2691</v>
      </c>
      <c r="H140" s="78" t="n">
        <f aca="false">Y140/J140</f>
        <v>163.446705355175</v>
      </c>
      <c r="I140" s="442" t="n">
        <v>45117</v>
      </c>
      <c r="J140" s="157" t="n">
        <v>13613</v>
      </c>
      <c r="K140" s="78"/>
      <c r="L140" s="157" t="n">
        <v>13613</v>
      </c>
      <c r="M140" s="157" t="n">
        <v>1973</v>
      </c>
      <c r="P140" s="157" t="s">
        <v>2692</v>
      </c>
      <c r="R140" s="174" t="s">
        <v>279</v>
      </c>
      <c r="S140" s="157" t="n">
        <v>41382</v>
      </c>
      <c r="T140" s="443" t="n">
        <f aca="false">S140/L140</f>
        <v>3.039888342026</v>
      </c>
      <c r="U140" s="157" t="s">
        <v>279</v>
      </c>
      <c r="V140" s="443"/>
      <c r="W140" s="443"/>
      <c r="X140" s="443"/>
      <c r="Y140" s="80" t="n">
        <v>2225000</v>
      </c>
      <c r="Z140" s="80"/>
      <c r="AA140" s="80" t="n">
        <v>2225000</v>
      </c>
      <c r="AB140" s="80"/>
      <c r="AC140" s="157" t="s">
        <v>3407</v>
      </c>
      <c r="AD140" s="157" t="s">
        <v>3408</v>
      </c>
      <c r="AE140" s="281" t="s">
        <v>3409</v>
      </c>
      <c r="AF140" s="281" t="s">
        <v>3410</v>
      </c>
      <c r="AI140" s="157" t="e">
        <f aca="false">IF(AND($E140=Subj_OccCode,Subj_BldgSF&gt;0,ABS($L140-Subj_BldgSF)&lt;=Subj_BldgSF*Subj_SizeTol),ABS($L140-Subj_BldgSF),NA())</f>
        <v>#N/A</v>
      </c>
      <c r="AJ140" s="1" t="e">
        <f aca="false">IF(ISNA(AI140),NA(),AI140+ROW()/10000000)</f>
        <v>#N/A</v>
      </c>
      <c r="AK140" s="157" t="str">
        <f aca="false">IF(AND(ISNUMBER($N140),$N140&gt;0,ISNUMBER($Y140)),$Y140/$N140,"")</f>
        <v/>
      </c>
    </row>
    <row r="141" customFormat="false" ht="15" hidden="false" customHeight="true" outlineLevel="0" collapsed="false">
      <c r="A141" s="441" t="n">
        <v>7</v>
      </c>
      <c r="B141" s="157" t="n">
        <v>133</v>
      </c>
      <c r="C141" s="157" t="s">
        <v>3411</v>
      </c>
      <c r="D141" s="157" t="s">
        <v>3412</v>
      </c>
      <c r="E141" s="157" t="n">
        <v>325</v>
      </c>
      <c r="F141" s="157" t="s">
        <v>2677</v>
      </c>
      <c r="G141" s="157" t="s">
        <v>2567</v>
      </c>
      <c r="H141" s="78" t="n">
        <f aca="false">Y141/J141</f>
        <v>388.198757763975</v>
      </c>
      <c r="I141" s="442" t="n">
        <v>45442</v>
      </c>
      <c r="J141" s="157" t="n">
        <v>6440</v>
      </c>
      <c r="K141" s="78"/>
      <c r="L141" s="157" t="n">
        <v>6440</v>
      </c>
      <c r="M141" s="157" t="n">
        <v>2002</v>
      </c>
      <c r="P141" s="157" t="s">
        <v>3413</v>
      </c>
      <c r="R141" s="174" t="s">
        <v>279</v>
      </c>
      <c r="S141" s="157" t="n">
        <v>52276</v>
      </c>
      <c r="T141" s="443" t="n">
        <f aca="false">S141/L141</f>
        <v>8.11739130434783</v>
      </c>
      <c r="U141" s="157" t="s">
        <v>279</v>
      </c>
      <c r="V141" s="443"/>
      <c r="W141" s="443"/>
      <c r="X141" s="443"/>
      <c r="Y141" s="80" t="n">
        <v>2500000</v>
      </c>
      <c r="Z141" s="80"/>
      <c r="AA141" s="80" t="n">
        <v>2500000</v>
      </c>
      <c r="AB141" s="80"/>
      <c r="AC141" s="157" t="s">
        <v>3414</v>
      </c>
      <c r="AD141" s="157" t="s">
        <v>3415</v>
      </c>
      <c r="AE141" s="281" t="s">
        <v>3416</v>
      </c>
      <c r="AF141" s="281" t="s">
        <v>3417</v>
      </c>
      <c r="AI141" s="157" t="e">
        <f aca="false">IF(AND($E141=Subj_OccCode,Subj_BldgSF&gt;0,ABS($L141-Subj_BldgSF)&lt;=Subj_BldgSF*Subj_SizeTol),ABS($L141-Subj_BldgSF),NA())</f>
        <v>#N/A</v>
      </c>
      <c r="AJ141" s="1" t="e">
        <f aca="false">IF(ISNA(AI141),NA(),AI141+ROW()/10000000)</f>
        <v>#N/A</v>
      </c>
      <c r="AK141" s="157" t="str">
        <f aca="false">IF(AND(ISNUMBER($N141),$N141&gt;0,ISNUMBER($Y141)),$Y141/$N141,"")</f>
        <v/>
      </c>
    </row>
    <row r="142" customFormat="false" ht="15" hidden="false" customHeight="true" outlineLevel="0" collapsed="false">
      <c r="A142" s="441" t="n">
        <v>7</v>
      </c>
      <c r="B142" s="157" t="n">
        <v>134</v>
      </c>
      <c r="C142" s="157" t="s">
        <v>3418</v>
      </c>
      <c r="D142" s="157" t="s">
        <v>3419</v>
      </c>
      <c r="E142" s="157" t="n">
        <v>407</v>
      </c>
      <c r="F142" s="157" t="s">
        <v>2566</v>
      </c>
      <c r="G142" s="157" t="s">
        <v>2567</v>
      </c>
      <c r="H142" s="78" t="n">
        <f aca="false">Y142/J142</f>
        <v>167.241379310345</v>
      </c>
      <c r="I142" s="442" t="n">
        <v>45362</v>
      </c>
      <c r="J142" s="157" t="n">
        <v>29000</v>
      </c>
      <c r="K142" s="78"/>
      <c r="L142" s="157" t="n">
        <v>29000</v>
      </c>
      <c r="M142" s="157" t="n">
        <v>1977</v>
      </c>
      <c r="P142" s="157" t="s">
        <v>2983</v>
      </c>
      <c r="R142" s="174" t="s">
        <v>279</v>
      </c>
      <c r="S142" s="157" t="n">
        <v>92434</v>
      </c>
      <c r="T142" s="443" t="n">
        <f aca="false">S142/L142</f>
        <v>3.18737931034483</v>
      </c>
      <c r="U142" s="157" t="s">
        <v>279</v>
      </c>
      <c r="V142" s="443"/>
      <c r="W142" s="443"/>
      <c r="X142" s="443"/>
      <c r="Y142" s="80" t="n">
        <v>4850000</v>
      </c>
      <c r="Z142" s="80"/>
      <c r="AA142" s="80" t="n">
        <v>4850000</v>
      </c>
      <c r="AB142" s="80"/>
      <c r="AC142" s="157" t="s">
        <v>3420</v>
      </c>
      <c r="AD142" s="157" t="s">
        <v>3421</v>
      </c>
      <c r="AE142" s="281" t="s">
        <v>3422</v>
      </c>
      <c r="AF142" s="281" t="s">
        <v>3423</v>
      </c>
      <c r="AI142" s="157" t="e">
        <f aca="false">IF(AND($E142=Subj_OccCode,Subj_BldgSF&gt;0,ABS($L142-Subj_BldgSF)&lt;=Subj_BldgSF*Subj_SizeTol),ABS($L142-Subj_BldgSF),NA())</f>
        <v>#N/A</v>
      </c>
      <c r="AJ142" s="1" t="e">
        <f aca="false">IF(ISNA(AI142),NA(),AI142+ROW()/10000000)</f>
        <v>#N/A</v>
      </c>
      <c r="AK142" s="157" t="str">
        <f aca="false">IF(AND(ISNUMBER($N142),$N142&gt;0,ISNUMBER($Y142)),$Y142/$N142,"")</f>
        <v/>
      </c>
    </row>
    <row r="143" customFormat="false" ht="15" hidden="false" customHeight="true" outlineLevel="0" collapsed="false">
      <c r="A143" s="441" t="n">
        <v>7</v>
      </c>
      <c r="B143" s="157" t="n">
        <v>135</v>
      </c>
      <c r="C143" s="157" t="s">
        <v>3424</v>
      </c>
      <c r="D143" s="157" t="s">
        <v>3425</v>
      </c>
      <c r="E143" s="157" t="n">
        <v>325</v>
      </c>
      <c r="F143" s="157" t="s">
        <v>2566</v>
      </c>
      <c r="G143" s="157" t="s">
        <v>2567</v>
      </c>
      <c r="H143" s="78" t="n">
        <f aca="false">Y143/J143</f>
        <v>327.932098765432</v>
      </c>
      <c r="I143" s="442" t="n">
        <v>45051</v>
      </c>
      <c r="J143" s="157" t="n">
        <v>2592</v>
      </c>
      <c r="K143" s="78"/>
      <c r="L143" s="157" t="n">
        <v>2592</v>
      </c>
      <c r="M143" s="157" t="n">
        <v>1975</v>
      </c>
      <c r="P143" s="157" t="s">
        <v>2983</v>
      </c>
      <c r="R143" s="174" t="s">
        <v>279</v>
      </c>
      <c r="S143" s="157" t="n">
        <v>22500</v>
      </c>
      <c r="T143" s="443" t="n">
        <f aca="false">S143/L143</f>
        <v>8.68055555555556</v>
      </c>
      <c r="U143" s="157" t="s">
        <v>279</v>
      </c>
      <c r="V143" s="443"/>
      <c r="W143" s="443"/>
      <c r="X143" s="443"/>
      <c r="Y143" s="80" t="n">
        <v>850000</v>
      </c>
      <c r="Z143" s="80"/>
      <c r="AA143" s="80" t="n">
        <v>850000</v>
      </c>
      <c r="AB143" s="80"/>
      <c r="AC143" s="157" t="s">
        <v>3426</v>
      </c>
      <c r="AD143" s="157" t="s">
        <v>3427</v>
      </c>
      <c r="AE143" s="281" t="s">
        <v>3428</v>
      </c>
      <c r="AF143" s="281" t="s">
        <v>3429</v>
      </c>
      <c r="AI143" s="157" t="e">
        <f aca="false">IF(AND($E143=Subj_OccCode,Subj_BldgSF&gt;0,ABS($L143-Subj_BldgSF)&lt;=Subj_BldgSF*Subj_SizeTol),ABS($L143-Subj_BldgSF),NA())</f>
        <v>#N/A</v>
      </c>
      <c r="AJ143" s="1" t="e">
        <f aca="false">IF(ISNA(AI143),NA(),AI143+ROW()/10000000)</f>
        <v>#N/A</v>
      </c>
      <c r="AK143" s="157" t="str">
        <f aca="false">IF(AND(ISNUMBER($N143),$N143&gt;0,ISNUMBER($Y143)),$Y143/$N143,"")</f>
        <v/>
      </c>
    </row>
    <row r="144" customFormat="false" ht="15" hidden="false" customHeight="true" outlineLevel="0" collapsed="false">
      <c r="A144" s="441" t="n">
        <v>7</v>
      </c>
      <c r="B144" s="157" t="n">
        <v>136</v>
      </c>
      <c r="C144" s="157" t="s">
        <v>3430</v>
      </c>
      <c r="D144" s="157" t="s">
        <v>3431</v>
      </c>
      <c r="E144" s="157" t="n">
        <v>1344</v>
      </c>
      <c r="F144" s="157" t="s">
        <v>2581</v>
      </c>
      <c r="G144" s="157" t="s">
        <v>2567</v>
      </c>
      <c r="H144" s="78" t="n">
        <f aca="false">Y144/J144</f>
        <v>57.0175438596491</v>
      </c>
      <c r="I144" s="442" t="n">
        <v>45436</v>
      </c>
      <c r="J144" s="157" t="n">
        <v>5700</v>
      </c>
      <c r="K144" s="78"/>
      <c r="L144" s="157" t="n">
        <v>5700</v>
      </c>
      <c r="M144" s="157" t="n">
        <v>1981</v>
      </c>
      <c r="P144" s="157" t="s">
        <v>2990</v>
      </c>
      <c r="R144" s="174" t="s">
        <v>279</v>
      </c>
      <c r="S144" s="157" t="n">
        <v>720</v>
      </c>
      <c r="T144" s="443" t="n">
        <f aca="false">S144/L144</f>
        <v>0.126315789473684</v>
      </c>
      <c r="U144" s="157" t="s">
        <v>279</v>
      </c>
      <c r="V144" s="443"/>
      <c r="W144" s="443"/>
      <c r="X144" s="443"/>
      <c r="Y144" s="80" t="n">
        <v>325000</v>
      </c>
      <c r="Z144" s="80"/>
      <c r="AA144" s="80" t="n">
        <v>325000</v>
      </c>
      <c r="AB144" s="80"/>
      <c r="AC144" s="157" t="s">
        <v>3432</v>
      </c>
      <c r="AD144" s="157" t="s">
        <v>3433</v>
      </c>
      <c r="AE144" s="281" t="s">
        <v>3434</v>
      </c>
      <c r="AF144" s="281" t="s">
        <v>3435</v>
      </c>
      <c r="AI144" s="157" t="e">
        <f aca="false">IF(AND($E144=Subj_OccCode,Subj_BldgSF&gt;0,ABS($L144-Subj_BldgSF)&lt;=Subj_BldgSF*Subj_SizeTol),ABS($L144-Subj_BldgSF),NA())</f>
        <v>#N/A</v>
      </c>
      <c r="AJ144" s="1" t="e">
        <f aca="false">IF(ISNA(AI144),NA(),AI144+ROW()/10000000)</f>
        <v>#N/A</v>
      </c>
      <c r="AK144" s="157" t="str">
        <f aca="false">IF(AND(ISNUMBER($N144),$N144&gt;0,ISNUMBER($Y144)),$Y144/$N144,"")</f>
        <v/>
      </c>
    </row>
    <row r="145" customFormat="false" ht="15" hidden="false" customHeight="true" outlineLevel="0" collapsed="false">
      <c r="A145" s="441" t="n">
        <v>7</v>
      </c>
      <c r="B145" s="157" t="n">
        <v>137</v>
      </c>
      <c r="C145" s="157" t="s">
        <v>3436</v>
      </c>
      <c r="D145" s="157" t="s">
        <v>3437</v>
      </c>
      <c r="E145" s="157" t="n">
        <v>344</v>
      </c>
      <c r="F145" s="157" t="s">
        <v>2581</v>
      </c>
      <c r="G145" s="157" t="s">
        <v>2567</v>
      </c>
      <c r="H145" s="78" t="n">
        <f aca="false">Y145/J145</f>
        <v>159.574468085106</v>
      </c>
      <c r="I145" s="442" t="n">
        <v>45457</v>
      </c>
      <c r="J145" s="157" t="n">
        <v>1880</v>
      </c>
      <c r="K145" s="78"/>
      <c r="L145" s="157" t="n">
        <v>1880</v>
      </c>
      <c r="M145" s="157" t="n">
        <v>1952</v>
      </c>
      <c r="P145" s="157" t="s">
        <v>2990</v>
      </c>
      <c r="R145" s="174" t="s">
        <v>279</v>
      </c>
      <c r="S145" s="157" t="n">
        <v>4800</v>
      </c>
      <c r="T145" s="443" t="n">
        <f aca="false">S145/L145</f>
        <v>2.5531914893617</v>
      </c>
      <c r="U145" s="157" t="s">
        <v>279</v>
      </c>
      <c r="V145" s="443"/>
      <c r="W145" s="443"/>
      <c r="X145" s="443"/>
      <c r="Y145" s="80" t="n">
        <v>300000</v>
      </c>
      <c r="Z145" s="80"/>
      <c r="AA145" s="80" t="n">
        <v>300000</v>
      </c>
      <c r="AB145" s="80"/>
      <c r="AC145" s="157" t="s">
        <v>3438</v>
      </c>
      <c r="AD145" s="157" t="s">
        <v>3439</v>
      </c>
      <c r="AE145" s="281" t="s">
        <v>3440</v>
      </c>
      <c r="AF145" s="281" t="s">
        <v>3441</v>
      </c>
      <c r="AI145" s="157" t="e">
        <f aca="false">IF(AND($E145=Subj_OccCode,Subj_BldgSF&gt;0,ABS($L145-Subj_BldgSF)&lt;=Subj_BldgSF*Subj_SizeTol),ABS($L145-Subj_BldgSF),NA())</f>
        <v>#N/A</v>
      </c>
      <c r="AJ145" s="1" t="e">
        <f aca="false">IF(ISNA(AI145),NA(),AI145+ROW()/10000000)</f>
        <v>#N/A</v>
      </c>
      <c r="AK145" s="157" t="str">
        <f aca="false">IF(AND(ISNUMBER($N145),$N145&gt;0,ISNUMBER($Y145)),$Y145/$N145,"")</f>
        <v/>
      </c>
    </row>
    <row r="146" customFormat="false" ht="15" hidden="false" customHeight="true" outlineLevel="0" collapsed="false">
      <c r="A146" s="441" t="n">
        <v>7</v>
      </c>
      <c r="B146" s="157" t="n">
        <v>138</v>
      </c>
      <c r="C146" s="157" t="s">
        <v>3442</v>
      </c>
      <c r="D146" s="157" t="s">
        <v>3443</v>
      </c>
      <c r="E146" s="157" t="n">
        <v>407</v>
      </c>
      <c r="F146" s="157" t="s">
        <v>2921</v>
      </c>
      <c r="G146" s="157" t="s">
        <v>2691</v>
      </c>
      <c r="H146" s="78" t="n">
        <f aca="false">Y146/J146</f>
        <v>137.853144878673</v>
      </c>
      <c r="I146" s="442" t="n">
        <v>45231</v>
      </c>
      <c r="J146" s="157" t="n">
        <v>60209</v>
      </c>
      <c r="K146" s="78"/>
      <c r="L146" s="157" t="n">
        <v>60209</v>
      </c>
      <c r="M146" s="157" t="n">
        <v>1992</v>
      </c>
      <c r="P146" s="157" t="s">
        <v>3181</v>
      </c>
      <c r="R146" s="174" t="s">
        <v>279</v>
      </c>
      <c r="S146" s="157" t="n">
        <v>491008</v>
      </c>
      <c r="T146" s="443" t="n">
        <f aca="false">S146/L146</f>
        <v>8.15505987476955</v>
      </c>
      <c r="U146" s="157" t="s">
        <v>279</v>
      </c>
      <c r="V146" s="443"/>
      <c r="W146" s="443"/>
      <c r="X146" s="443"/>
      <c r="Y146" s="80" t="n">
        <v>8300000</v>
      </c>
      <c r="Z146" s="80"/>
      <c r="AA146" s="80" t="n">
        <v>8300000</v>
      </c>
      <c r="AB146" s="80"/>
      <c r="AC146" s="157" t="s">
        <v>3444</v>
      </c>
      <c r="AD146" s="157" t="s">
        <v>3445</v>
      </c>
      <c r="AE146" s="281" t="s">
        <v>3446</v>
      </c>
      <c r="AF146" s="281" t="s">
        <v>3447</v>
      </c>
      <c r="AI146" s="157" t="e">
        <f aca="false">IF(AND($E146=Subj_OccCode,Subj_BldgSF&gt;0,ABS($L146-Subj_BldgSF)&lt;=Subj_BldgSF*Subj_SizeTol),ABS($L146-Subj_BldgSF),NA())</f>
        <v>#N/A</v>
      </c>
      <c r="AJ146" s="1" t="e">
        <f aca="false">IF(ISNA(AI146),NA(),AI146+ROW()/10000000)</f>
        <v>#N/A</v>
      </c>
      <c r="AK146" s="157" t="str">
        <f aca="false">IF(AND(ISNUMBER($N146),$N146&gt;0,ISNUMBER($Y146)),$Y146/$N146,"")</f>
        <v/>
      </c>
    </row>
    <row r="147" customFormat="false" ht="15" hidden="false" customHeight="true" outlineLevel="0" collapsed="false">
      <c r="A147" s="441" t="n">
        <v>7</v>
      </c>
      <c r="B147" s="157" t="n">
        <v>139</v>
      </c>
      <c r="C147" s="157" t="s">
        <v>3448</v>
      </c>
      <c r="D147" s="157" t="s">
        <v>3449</v>
      </c>
      <c r="E147" s="157" t="n">
        <v>325</v>
      </c>
      <c r="F147" s="157" t="s">
        <v>2921</v>
      </c>
      <c r="G147" s="157" t="s">
        <v>2691</v>
      </c>
      <c r="H147" s="78" t="n">
        <f aca="false">Y147/J147</f>
        <v>392.307692307692</v>
      </c>
      <c r="I147" s="442" t="n">
        <v>44770</v>
      </c>
      <c r="J147" s="157" t="n">
        <v>6500</v>
      </c>
      <c r="K147" s="78"/>
      <c r="L147" s="157" t="n">
        <v>6500</v>
      </c>
      <c r="M147" s="157" t="n">
        <v>1984</v>
      </c>
      <c r="P147" s="157" t="s">
        <v>3009</v>
      </c>
      <c r="R147" s="174" t="s">
        <v>279</v>
      </c>
      <c r="S147" s="157" t="n">
        <v>50060</v>
      </c>
      <c r="T147" s="443" t="n">
        <f aca="false">S147/L147</f>
        <v>7.70153846153846</v>
      </c>
      <c r="U147" s="157" t="s">
        <v>279</v>
      </c>
      <c r="V147" s="443"/>
      <c r="W147" s="443"/>
      <c r="X147" s="443"/>
      <c r="Y147" s="80" t="n">
        <v>2550000</v>
      </c>
      <c r="Z147" s="80"/>
      <c r="AA147" s="80" t="n">
        <v>2550000</v>
      </c>
      <c r="AB147" s="80"/>
      <c r="AC147" s="157" t="s">
        <v>3450</v>
      </c>
      <c r="AD147" s="157" t="s">
        <v>3451</v>
      </c>
      <c r="AE147" s="281" t="s">
        <v>3452</v>
      </c>
      <c r="AF147" s="281" t="s">
        <v>3453</v>
      </c>
      <c r="AI147" s="157" t="e">
        <f aca="false">IF(AND($E147=Subj_OccCode,Subj_BldgSF&gt;0,ABS($L147-Subj_BldgSF)&lt;=Subj_BldgSF*Subj_SizeTol),ABS($L147-Subj_BldgSF),NA())</f>
        <v>#N/A</v>
      </c>
      <c r="AJ147" s="1" t="e">
        <f aca="false">IF(ISNA(AI147),NA(),AI147+ROW()/10000000)</f>
        <v>#N/A</v>
      </c>
      <c r="AK147" s="157" t="str">
        <f aca="false">IF(AND(ISNUMBER($N147),$N147&gt;0,ISNUMBER($Y147)),$Y147/$N147,"")</f>
        <v/>
      </c>
    </row>
    <row r="148" customFormat="false" ht="15" hidden="false" customHeight="true" outlineLevel="0" collapsed="false">
      <c r="A148" s="441" t="n">
        <v>7</v>
      </c>
      <c r="B148" s="157" t="n">
        <v>140</v>
      </c>
      <c r="C148" s="157" t="s">
        <v>3454</v>
      </c>
      <c r="D148" s="157" t="s">
        <v>3455</v>
      </c>
      <c r="E148" s="157" t="n">
        <v>344</v>
      </c>
      <c r="G148" s="157" t="s">
        <v>2691</v>
      </c>
      <c r="H148" s="78" t="n">
        <f aca="false">Y148/J148</f>
        <v>205.073529411765</v>
      </c>
      <c r="I148" s="442" t="n">
        <v>45149</v>
      </c>
      <c r="J148" s="157" t="n">
        <v>13600</v>
      </c>
      <c r="K148" s="78"/>
      <c r="L148" s="157" t="n">
        <v>13600</v>
      </c>
      <c r="M148" s="157" t="n">
        <v>1968</v>
      </c>
      <c r="P148" s="157" t="s">
        <v>2692</v>
      </c>
      <c r="R148" s="174" t="s">
        <v>279</v>
      </c>
      <c r="S148" s="157" t="n">
        <v>39334</v>
      </c>
      <c r="T148" s="443" t="n">
        <f aca="false">S148/L148</f>
        <v>2.89220588235294</v>
      </c>
      <c r="U148" s="157" t="s">
        <v>279</v>
      </c>
      <c r="V148" s="443"/>
      <c r="W148" s="443"/>
      <c r="X148" s="443"/>
      <c r="Y148" s="80" t="n">
        <v>2789000</v>
      </c>
      <c r="Z148" s="80"/>
      <c r="AA148" s="80" t="n">
        <v>2789000</v>
      </c>
      <c r="AB148" s="80"/>
      <c r="AC148" s="157" t="s">
        <v>3456</v>
      </c>
      <c r="AD148" s="157" t="s">
        <v>3457</v>
      </c>
      <c r="AE148" s="281" t="s">
        <v>3458</v>
      </c>
      <c r="AF148" s="281" t="s">
        <v>3459</v>
      </c>
      <c r="AI148" s="157" t="e">
        <f aca="false">IF(AND($E148=Subj_OccCode,Subj_BldgSF&gt;0,ABS($L148-Subj_BldgSF)&lt;=Subj_BldgSF*Subj_SizeTol),ABS($L148-Subj_BldgSF),NA())</f>
        <v>#N/A</v>
      </c>
      <c r="AJ148" s="1" t="e">
        <f aca="false">IF(ISNA(AI148),NA(),AI148+ROW()/10000000)</f>
        <v>#N/A</v>
      </c>
      <c r="AK148" s="157" t="str">
        <f aca="false">IF(AND(ISNUMBER($N148),$N148&gt;0,ISNUMBER($Y148)),$Y148/$N148,"")</f>
        <v/>
      </c>
    </row>
    <row r="149" customFormat="false" ht="15" hidden="false" customHeight="true" outlineLevel="0" collapsed="false">
      <c r="A149" s="441" t="n">
        <v>7</v>
      </c>
      <c r="B149" s="157" t="n">
        <v>141</v>
      </c>
      <c r="C149" s="157" t="s">
        <v>3460</v>
      </c>
      <c r="D149" s="157" t="s">
        <v>3461</v>
      </c>
      <c r="E149" s="157" t="n">
        <v>425</v>
      </c>
      <c r="G149" s="157" t="s">
        <v>2691</v>
      </c>
      <c r="H149" s="78" t="n">
        <f aca="false">Y149/J149</f>
        <v>15.4716981132075</v>
      </c>
      <c r="I149" s="442" t="n">
        <v>44817</v>
      </c>
      <c r="J149" s="157" t="n">
        <v>26500</v>
      </c>
      <c r="K149" s="78"/>
      <c r="L149" s="157" t="n">
        <v>26500</v>
      </c>
      <c r="M149" s="157" t="n">
        <v>1984</v>
      </c>
      <c r="P149" s="157" t="s">
        <v>2692</v>
      </c>
      <c r="R149" s="174" t="s">
        <v>279</v>
      </c>
      <c r="S149" s="157" t="n">
        <v>4340</v>
      </c>
      <c r="T149" s="443" t="n">
        <f aca="false">S149/L149</f>
        <v>0.16377358490566</v>
      </c>
      <c r="U149" s="157" t="s">
        <v>279</v>
      </c>
      <c r="V149" s="443"/>
      <c r="W149" s="443"/>
      <c r="X149" s="443"/>
      <c r="Y149" s="80" t="n">
        <v>410000</v>
      </c>
      <c r="Z149" s="80"/>
      <c r="AA149" s="80" t="n">
        <v>410000</v>
      </c>
      <c r="AB149" s="80"/>
      <c r="AC149" s="157" t="s">
        <v>3462</v>
      </c>
      <c r="AD149" s="157" t="s">
        <v>3463</v>
      </c>
      <c r="AE149" s="281" t="s">
        <v>3464</v>
      </c>
      <c r="AF149" s="281" t="s">
        <v>3465</v>
      </c>
      <c r="AI149" s="157" t="e">
        <f aca="false">IF(AND($E149=Subj_OccCode,Subj_BldgSF&gt;0,ABS($L149-Subj_BldgSF)&lt;=Subj_BldgSF*Subj_SizeTol),ABS($L149-Subj_BldgSF),NA())</f>
        <v>#N/A</v>
      </c>
      <c r="AJ149" s="1" t="e">
        <f aca="false">IF(ISNA(AI149),NA(),AI149+ROW()/10000000)</f>
        <v>#N/A</v>
      </c>
      <c r="AK149" s="157" t="str">
        <f aca="false">IF(AND(ISNUMBER($N149),$N149&gt;0,ISNUMBER($Y149)),$Y149/$N149,"")</f>
        <v/>
      </c>
    </row>
    <row r="150" customFormat="false" ht="15" hidden="false" customHeight="true" outlineLevel="0" collapsed="false">
      <c r="A150" s="441" t="n">
        <v>7</v>
      </c>
      <c r="B150" s="157" t="n">
        <v>142</v>
      </c>
      <c r="C150" s="157" t="s">
        <v>3466</v>
      </c>
      <c r="D150" s="157" t="s">
        <v>3467</v>
      </c>
      <c r="E150" s="157" t="n">
        <v>344</v>
      </c>
      <c r="F150" s="157" t="s">
        <v>2677</v>
      </c>
      <c r="G150" s="157" t="s">
        <v>2567</v>
      </c>
      <c r="H150" s="78" t="n">
        <f aca="false">Y150/J150</f>
        <v>121.147509207211</v>
      </c>
      <c r="I150" s="442" t="n">
        <v>44838</v>
      </c>
      <c r="J150" s="157" t="n">
        <v>20636</v>
      </c>
      <c r="K150" s="78"/>
      <c r="L150" s="157" t="n">
        <v>20636</v>
      </c>
      <c r="M150" s="157" t="n">
        <v>1985</v>
      </c>
      <c r="P150" s="157" t="s">
        <v>1952</v>
      </c>
      <c r="R150" s="174" t="s">
        <v>279</v>
      </c>
      <c r="S150" s="157" t="n">
        <v>54189</v>
      </c>
      <c r="T150" s="443" t="n">
        <f aca="false">S150/L150</f>
        <v>2.62594495057182</v>
      </c>
      <c r="U150" s="157" t="s">
        <v>279</v>
      </c>
      <c r="V150" s="443"/>
      <c r="W150" s="443"/>
      <c r="X150" s="443"/>
      <c r="Y150" s="80" t="n">
        <v>2500000</v>
      </c>
      <c r="Z150" s="80"/>
      <c r="AA150" s="80" t="n">
        <v>2500000</v>
      </c>
      <c r="AB150" s="80"/>
      <c r="AC150" s="157" t="s">
        <v>3468</v>
      </c>
      <c r="AD150" s="157" t="s">
        <v>3469</v>
      </c>
      <c r="AE150" s="281" t="s">
        <v>3470</v>
      </c>
      <c r="AF150" s="281" t="s">
        <v>3471</v>
      </c>
      <c r="AI150" s="157" t="e">
        <f aca="false">IF(AND($E150=Subj_OccCode,Subj_BldgSF&gt;0,ABS($L150-Subj_BldgSF)&lt;=Subj_BldgSF*Subj_SizeTol),ABS($L150-Subj_BldgSF),NA())</f>
        <v>#N/A</v>
      </c>
      <c r="AJ150" s="1" t="e">
        <f aca="false">IF(ISNA(AI150),NA(),AI150+ROW()/10000000)</f>
        <v>#N/A</v>
      </c>
      <c r="AK150" s="157" t="str">
        <f aca="false">IF(AND(ISNUMBER($N150),$N150&gt;0,ISNUMBER($Y150)),$Y150/$N150,"")</f>
        <v/>
      </c>
    </row>
    <row r="151" customFormat="false" ht="15" hidden="false" customHeight="true" outlineLevel="0" collapsed="false">
      <c r="A151" s="441" t="n">
        <v>7</v>
      </c>
      <c r="B151" s="157" t="n">
        <v>143</v>
      </c>
      <c r="C151" s="157" t="s">
        <v>3472</v>
      </c>
      <c r="D151" s="157" t="s">
        <v>3473</v>
      </c>
      <c r="E151" s="157" t="n">
        <v>407</v>
      </c>
      <c r="G151" s="157" t="s">
        <v>2691</v>
      </c>
      <c r="H151" s="78" t="n">
        <f aca="false">Y151/J151</f>
        <v>167.49123891981</v>
      </c>
      <c r="I151" s="442" t="n">
        <v>44909</v>
      </c>
      <c r="J151" s="157" t="n">
        <v>38808</v>
      </c>
      <c r="K151" s="78"/>
      <c r="L151" s="157" t="n">
        <v>38808</v>
      </c>
      <c r="M151" s="157" t="n">
        <v>1972</v>
      </c>
      <c r="P151" s="157" t="s">
        <v>2692</v>
      </c>
      <c r="R151" s="174" t="s">
        <v>279</v>
      </c>
      <c r="S151" s="157" t="n">
        <v>139566.24</v>
      </c>
      <c r="T151" s="443" t="n">
        <f aca="false">S151/L151</f>
        <v>3.59632653061224</v>
      </c>
      <c r="U151" s="157" t="s">
        <v>279</v>
      </c>
      <c r="V151" s="443"/>
      <c r="W151" s="443"/>
      <c r="X151" s="443"/>
      <c r="Y151" s="80" t="n">
        <v>6500000</v>
      </c>
      <c r="Z151" s="80"/>
      <c r="AA151" s="80" t="n">
        <v>6500000</v>
      </c>
      <c r="AB151" s="80"/>
      <c r="AC151" s="157" t="s">
        <v>3474</v>
      </c>
      <c r="AD151" s="157" t="s">
        <v>3475</v>
      </c>
      <c r="AE151" s="281" t="s">
        <v>3476</v>
      </c>
      <c r="AF151" s="281" t="s">
        <v>3477</v>
      </c>
      <c r="AI151" s="157" t="e">
        <f aca="false">IF(AND($E151=Subj_OccCode,Subj_BldgSF&gt;0,ABS($L151-Subj_BldgSF)&lt;=Subj_BldgSF*Subj_SizeTol),ABS($L151-Subj_BldgSF),NA())</f>
        <v>#N/A</v>
      </c>
      <c r="AJ151" s="1" t="e">
        <f aca="false">IF(ISNA(AI151),NA(),AI151+ROW()/10000000)</f>
        <v>#N/A</v>
      </c>
      <c r="AK151" s="157" t="str">
        <f aca="false">IF(AND(ISNUMBER($N151),$N151&gt;0,ISNUMBER($Y151)),$Y151/$N151,"")</f>
        <v/>
      </c>
    </row>
    <row r="152" customFormat="false" ht="15" hidden="false" customHeight="true" outlineLevel="0" collapsed="false">
      <c r="A152" s="441" t="n">
        <v>7</v>
      </c>
      <c r="B152" s="157" t="n">
        <v>144</v>
      </c>
      <c r="C152" s="157" t="s">
        <v>3478</v>
      </c>
      <c r="D152" s="157" t="s">
        <v>3479</v>
      </c>
      <c r="E152" s="157" t="n">
        <v>442</v>
      </c>
      <c r="F152" s="157" t="s">
        <v>2677</v>
      </c>
      <c r="G152" s="157" t="s">
        <v>2567</v>
      </c>
      <c r="H152" s="78" t="n">
        <f aca="false">Y152/J152</f>
        <v>442.622950819672</v>
      </c>
      <c r="I152" s="442" t="n">
        <v>44974</v>
      </c>
      <c r="J152" s="157" t="n">
        <v>3050</v>
      </c>
      <c r="K152" s="78"/>
      <c r="L152" s="157" t="n">
        <v>3050</v>
      </c>
      <c r="M152" s="157" t="n">
        <v>1970</v>
      </c>
      <c r="P152" s="157" t="s">
        <v>3307</v>
      </c>
      <c r="R152" s="174" t="s">
        <v>279</v>
      </c>
      <c r="S152" s="157" t="n">
        <v>33000</v>
      </c>
      <c r="T152" s="443" t="n">
        <f aca="false">S152/L152</f>
        <v>10.8196721311475</v>
      </c>
      <c r="U152" s="157" t="s">
        <v>279</v>
      </c>
      <c r="V152" s="443"/>
      <c r="W152" s="443"/>
      <c r="X152" s="443"/>
      <c r="Y152" s="80" t="n">
        <v>1350000</v>
      </c>
      <c r="Z152" s="80"/>
      <c r="AA152" s="80" t="n">
        <v>1350000</v>
      </c>
      <c r="AB152" s="80"/>
      <c r="AC152" s="157" t="s">
        <v>3480</v>
      </c>
      <c r="AD152" s="157" t="s">
        <v>3481</v>
      </c>
      <c r="AE152" s="281" t="s">
        <v>3482</v>
      </c>
      <c r="AF152" s="281" t="s">
        <v>3483</v>
      </c>
      <c r="AI152" s="157" t="e">
        <f aca="false">IF(AND($E152=Subj_OccCode,Subj_BldgSF&gt;0,ABS($L152-Subj_BldgSF)&lt;=Subj_BldgSF*Subj_SizeTol),ABS($L152-Subj_BldgSF),NA())</f>
        <v>#N/A</v>
      </c>
      <c r="AJ152" s="1" t="e">
        <f aca="false">IF(ISNA(AI152),NA(),AI152+ROW()/10000000)</f>
        <v>#N/A</v>
      </c>
      <c r="AK152" s="157" t="str">
        <f aca="false">IF(AND(ISNUMBER($N152),$N152&gt;0,ISNUMBER($Y152)),$Y152/$N152,"")</f>
        <v/>
      </c>
    </row>
    <row r="153" customFormat="false" ht="15" hidden="false" customHeight="true" outlineLevel="0" collapsed="false">
      <c r="A153" s="441" t="n">
        <v>7</v>
      </c>
      <c r="B153" s="157" t="n">
        <v>145</v>
      </c>
      <c r="C153" s="157" t="s">
        <v>3484</v>
      </c>
      <c r="D153" s="157" t="s">
        <v>3485</v>
      </c>
      <c r="E153" s="157" t="n">
        <v>381</v>
      </c>
      <c r="F153" s="157" t="s">
        <v>2581</v>
      </c>
      <c r="G153" s="157" t="s">
        <v>2567</v>
      </c>
      <c r="H153" s="78" t="n">
        <f aca="false">Y153/J153</f>
        <v>425</v>
      </c>
      <c r="I153" s="442" t="n">
        <v>45033</v>
      </c>
      <c r="J153" s="157" t="n">
        <v>2000</v>
      </c>
      <c r="K153" s="78"/>
      <c r="L153" s="157" t="n">
        <v>2000</v>
      </c>
      <c r="M153" s="157" t="n">
        <v>1979</v>
      </c>
      <c r="P153" s="157" t="s">
        <v>3486</v>
      </c>
      <c r="R153" s="174" t="s">
        <v>279</v>
      </c>
      <c r="S153" s="157" t="n">
        <v>7195</v>
      </c>
      <c r="T153" s="443" t="n">
        <f aca="false">S153/L153</f>
        <v>3.5975</v>
      </c>
      <c r="U153" s="157" t="s">
        <v>279</v>
      </c>
      <c r="V153" s="443"/>
      <c r="W153" s="443"/>
      <c r="X153" s="443"/>
      <c r="Y153" s="80" t="n">
        <v>850000</v>
      </c>
      <c r="Z153" s="80"/>
      <c r="AA153" s="80" t="n">
        <v>850000</v>
      </c>
      <c r="AB153" s="80"/>
      <c r="AC153" s="157" t="s">
        <v>3487</v>
      </c>
      <c r="AD153" s="157" t="s">
        <v>3488</v>
      </c>
      <c r="AE153" s="281" t="s">
        <v>3489</v>
      </c>
      <c r="AF153" s="281" t="s">
        <v>3490</v>
      </c>
      <c r="AI153" s="157" t="e">
        <f aca="false">IF(AND($E153=Subj_OccCode,Subj_BldgSF&gt;0,ABS($L153-Subj_BldgSF)&lt;=Subj_BldgSF*Subj_SizeTol),ABS($L153-Subj_BldgSF),NA())</f>
        <v>#N/A</v>
      </c>
      <c r="AJ153" s="1" t="e">
        <f aca="false">IF(ISNA(AI153),NA(),AI153+ROW()/10000000)</f>
        <v>#N/A</v>
      </c>
      <c r="AK153" s="157" t="str">
        <f aca="false">IF(AND(ISNUMBER($N153),$N153&gt;0,ISNUMBER($Y153)),$Y153/$N153,"")</f>
        <v/>
      </c>
    </row>
    <row r="154" customFormat="false" ht="15" hidden="false" customHeight="true" outlineLevel="0" collapsed="false">
      <c r="A154" s="441" t="n">
        <v>7</v>
      </c>
      <c r="B154" s="157" t="n">
        <v>146</v>
      </c>
      <c r="C154" s="157" t="s">
        <v>3491</v>
      </c>
      <c r="D154" s="157" t="s">
        <v>3492</v>
      </c>
      <c r="E154" s="157" t="n">
        <v>309</v>
      </c>
      <c r="F154" s="157" t="s">
        <v>2595</v>
      </c>
      <c r="G154" s="157" t="s">
        <v>2596</v>
      </c>
      <c r="H154" s="78" t="n">
        <f aca="false">Y154/J154</f>
        <v>443.047337278107</v>
      </c>
      <c r="I154" s="442" t="n">
        <v>45184</v>
      </c>
      <c r="J154" s="157" t="n">
        <v>1352</v>
      </c>
      <c r="K154" s="78"/>
      <c r="L154" s="157" t="n">
        <v>1352</v>
      </c>
      <c r="M154" s="157" t="n">
        <v>1930</v>
      </c>
      <c r="P154" s="157" t="s">
        <v>3493</v>
      </c>
      <c r="R154" s="174" t="s">
        <v>483</v>
      </c>
      <c r="S154" s="157" t="n">
        <v>10357</v>
      </c>
      <c r="T154" s="443" t="n">
        <f aca="false">S154/L154</f>
        <v>7.66050295857988</v>
      </c>
      <c r="U154" s="157" t="s">
        <v>483</v>
      </c>
      <c r="V154" s="443"/>
      <c r="W154" s="443"/>
      <c r="X154" s="443"/>
      <c r="Y154" s="80" t="n">
        <v>599000</v>
      </c>
      <c r="Z154" s="80"/>
      <c r="AA154" s="80" t="n">
        <v>599000</v>
      </c>
      <c r="AB154" s="80"/>
      <c r="AC154" s="157" t="s">
        <v>3494</v>
      </c>
      <c r="AD154" s="157" t="s">
        <v>3495</v>
      </c>
      <c r="AE154" s="281" t="s">
        <v>3496</v>
      </c>
      <c r="AF154" s="281" t="s">
        <v>3497</v>
      </c>
      <c r="AI154" s="157" t="e">
        <f aca="false">IF(AND($E154=Subj_OccCode,Subj_BldgSF&gt;0,ABS($L154-Subj_BldgSF)&lt;=Subj_BldgSF*Subj_SizeTol),ABS($L154-Subj_BldgSF),NA())</f>
        <v>#N/A</v>
      </c>
      <c r="AJ154" s="1" t="e">
        <f aca="false">IF(ISNA(AI154),NA(),AI154+ROW()/10000000)</f>
        <v>#N/A</v>
      </c>
      <c r="AK154" s="157" t="str">
        <f aca="false">IF(AND(ISNUMBER($N154),$N154&gt;0,ISNUMBER($Y154)),$Y154/$N154,"")</f>
        <v/>
      </c>
    </row>
    <row r="155" customFormat="false" ht="15" hidden="false" customHeight="true" outlineLevel="0" collapsed="false">
      <c r="A155" s="441" t="n">
        <v>7</v>
      </c>
      <c r="B155" s="157" t="n">
        <v>147</v>
      </c>
      <c r="C155" s="157" t="s">
        <v>3498</v>
      </c>
      <c r="D155" s="157" t="s">
        <v>3499</v>
      </c>
      <c r="E155" s="157" t="n">
        <v>353</v>
      </c>
      <c r="F155" s="157" t="s">
        <v>260</v>
      </c>
      <c r="G155" s="157" t="s">
        <v>353</v>
      </c>
      <c r="H155" s="78" t="n">
        <f aca="false">Y155/J155</f>
        <v>195.143104943625</v>
      </c>
      <c r="I155" s="442" t="n">
        <v>45174</v>
      </c>
      <c r="J155" s="157" t="n">
        <v>4612</v>
      </c>
      <c r="K155" s="78"/>
      <c r="L155" s="157" t="n">
        <v>4612</v>
      </c>
      <c r="M155" s="157" t="n">
        <v>1944</v>
      </c>
      <c r="P155" s="157" t="s">
        <v>3500</v>
      </c>
      <c r="R155" s="174" t="s">
        <v>279</v>
      </c>
      <c r="S155" s="157" t="n">
        <v>12624</v>
      </c>
      <c r="T155" s="443" t="n">
        <f aca="false">S155/L155</f>
        <v>2.73720728534258</v>
      </c>
      <c r="U155" s="157" t="s">
        <v>279</v>
      </c>
      <c r="V155" s="443"/>
      <c r="W155" s="443"/>
      <c r="X155" s="443"/>
      <c r="Y155" s="80" t="n">
        <v>900000</v>
      </c>
      <c r="Z155" s="80"/>
      <c r="AA155" s="80" t="n">
        <v>900000</v>
      </c>
      <c r="AB155" s="80"/>
      <c r="AC155" s="157" t="s">
        <v>3501</v>
      </c>
      <c r="AD155" s="157" t="s">
        <v>3502</v>
      </c>
      <c r="AE155" s="281" t="s">
        <v>3503</v>
      </c>
      <c r="AF155" s="281" t="s">
        <v>3504</v>
      </c>
      <c r="AI155" s="157" t="e">
        <f aca="false">IF(AND($E155=Subj_OccCode,Subj_BldgSF&gt;0,ABS($L155-Subj_BldgSF)&lt;=Subj_BldgSF*Subj_SizeTol),ABS($L155-Subj_BldgSF),NA())</f>
        <v>#N/A</v>
      </c>
      <c r="AJ155" s="1" t="e">
        <f aca="false">IF(ISNA(AI155),NA(),AI155+ROW()/10000000)</f>
        <v>#N/A</v>
      </c>
      <c r="AK155" s="157" t="str">
        <f aca="false">IF(AND(ISNUMBER($N155),$N155&gt;0,ISNUMBER($Y155)),$Y155/$N155,"")</f>
        <v/>
      </c>
    </row>
    <row r="156" customFormat="false" ht="15" hidden="false" customHeight="true" outlineLevel="0" collapsed="false">
      <c r="A156" s="441" t="n">
        <v>7</v>
      </c>
      <c r="B156" s="157" t="n">
        <v>148</v>
      </c>
      <c r="C156" s="157" t="s">
        <v>3505</v>
      </c>
      <c r="D156" s="157" t="s">
        <v>3506</v>
      </c>
      <c r="E156" s="157" t="n">
        <v>407</v>
      </c>
      <c r="F156" s="157" t="s">
        <v>2595</v>
      </c>
      <c r="G156" s="157" t="s">
        <v>2596</v>
      </c>
      <c r="H156" s="78" t="n">
        <f aca="false">Y156/J156</f>
        <v>155</v>
      </c>
      <c r="I156" s="442" t="n">
        <v>45412</v>
      </c>
      <c r="J156" s="157" t="n">
        <v>75000</v>
      </c>
      <c r="K156" s="78"/>
      <c r="L156" s="157" t="n">
        <v>75000</v>
      </c>
      <c r="M156" s="157" t="n">
        <v>2003</v>
      </c>
      <c r="P156" s="157" t="s">
        <v>3507</v>
      </c>
      <c r="R156" s="174" t="s">
        <v>279</v>
      </c>
      <c r="S156" s="157" t="n">
        <v>415287.97</v>
      </c>
      <c r="T156" s="443" t="n">
        <f aca="false">S156/L156</f>
        <v>5.53717293333333</v>
      </c>
      <c r="U156" s="157" t="s">
        <v>279</v>
      </c>
      <c r="V156" s="443"/>
      <c r="W156" s="443"/>
      <c r="X156" s="443"/>
      <c r="Y156" s="80" t="n">
        <v>11625000</v>
      </c>
      <c r="Z156" s="80"/>
      <c r="AA156" s="80" t="n">
        <v>11625000</v>
      </c>
      <c r="AB156" s="80"/>
      <c r="AC156" s="157" t="s">
        <v>3508</v>
      </c>
      <c r="AD156" s="157" t="s">
        <v>3509</v>
      </c>
      <c r="AE156" s="281" t="s">
        <v>3510</v>
      </c>
      <c r="AF156" s="281" t="s">
        <v>3511</v>
      </c>
      <c r="AI156" s="157" t="e">
        <f aca="false">IF(AND($E156=Subj_OccCode,Subj_BldgSF&gt;0,ABS($L156-Subj_BldgSF)&lt;=Subj_BldgSF*Subj_SizeTol),ABS($L156-Subj_BldgSF),NA())</f>
        <v>#N/A</v>
      </c>
      <c r="AJ156" s="1" t="e">
        <f aca="false">IF(ISNA(AI156),NA(),AI156+ROW()/10000000)</f>
        <v>#N/A</v>
      </c>
      <c r="AK156" s="157" t="str">
        <f aca="false">IF(AND(ISNUMBER($N156),$N156&gt;0,ISNUMBER($Y156)),$Y156/$N156,"")</f>
        <v/>
      </c>
    </row>
    <row r="157" customFormat="false" ht="15" hidden="false" customHeight="true" outlineLevel="0" collapsed="false">
      <c r="A157" s="441" t="n">
        <v>7</v>
      </c>
      <c r="B157" s="157" t="n">
        <v>149</v>
      </c>
      <c r="C157" s="157" t="s">
        <v>3512</v>
      </c>
      <c r="D157" s="157" t="s">
        <v>3513</v>
      </c>
      <c r="E157" s="157" t="n">
        <v>531</v>
      </c>
      <c r="F157" s="157" t="s">
        <v>2921</v>
      </c>
      <c r="G157" s="157" t="s">
        <v>2691</v>
      </c>
      <c r="H157" s="78" t="n">
        <f aca="false">Y157/J157</f>
        <v>1549.91948470209</v>
      </c>
      <c r="I157" s="442" t="n">
        <v>44750</v>
      </c>
      <c r="J157" s="157" t="n">
        <v>1242</v>
      </c>
      <c r="K157" s="78"/>
      <c r="L157" s="157" t="n">
        <v>1242</v>
      </c>
      <c r="M157" s="157" t="n">
        <v>2017</v>
      </c>
      <c r="R157" s="174" t="s">
        <v>279</v>
      </c>
      <c r="S157" s="157" t="n">
        <v>70867</v>
      </c>
      <c r="T157" s="443" t="n">
        <f aca="false">S157/L157</f>
        <v>57.0587761674718</v>
      </c>
      <c r="U157" s="157" t="s">
        <v>279</v>
      </c>
      <c r="V157" s="443"/>
      <c r="W157" s="443"/>
      <c r="X157" s="443"/>
      <c r="Y157" s="80" t="n">
        <v>1925000</v>
      </c>
      <c r="Z157" s="80"/>
      <c r="AA157" s="80" t="n">
        <v>1925000</v>
      </c>
      <c r="AB157" s="80"/>
      <c r="AC157" s="157" t="s">
        <v>3514</v>
      </c>
      <c r="AD157" s="157" t="s">
        <v>3515</v>
      </c>
      <c r="AE157" s="281" t="s">
        <v>3516</v>
      </c>
      <c r="AF157" s="281" t="s">
        <v>3517</v>
      </c>
      <c r="AI157" s="157" t="e">
        <f aca="false">IF(AND($E157=Subj_OccCode,Subj_BldgSF&gt;0,ABS($L157-Subj_BldgSF)&lt;=Subj_BldgSF*Subj_SizeTol),ABS($L157-Subj_BldgSF),NA())</f>
        <v>#N/A</v>
      </c>
      <c r="AJ157" s="1" t="e">
        <f aca="false">IF(ISNA(AI157),NA(),AI157+ROW()/10000000)</f>
        <v>#N/A</v>
      </c>
      <c r="AK157" s="157" t="str">
        <f aca="false">IF(AND(ISNUMBER($N157),$N157&gt;0,ISNUMBER($Y157)),$Y157/$N157,"")</f>
        <v/>
      </c>
    </row>
    <row r="158" customFormat="false" ht="15" hidden="false" customHeight="true" outlineLevel="0" collapsed="false">
      <c r="A158" s="441" t="n">
        <v>7</v>
      </c>
      <c r="B158" s="157" t="n">
        <v>150</v>
      </c>
      <c r="C158" s="157" t="s">
        <v>3518</v>
      </c>
      <c r="D158" s="157" t="s">
        <v>3519</v>
      </c>
      <c r="E158" s="157" t="n">
        <v>328</v>
      </c>
      <c r="G158" s="157" t="s">
        <v>352</v>
      </c>
      <c r="H158" s="78" t="n">
        <f aca="false">Y158/J158</f>
        <v>105.726872246696</v>
      </c>
      <c r="I158" s="442" t="n">
        <v>45106</v>
      </c>
      <c r="J158" s="157" t="n">
        <v>2270</v>
      </c>
      <c r="K158" s="78"/>
      <c r="L158" s="157" t="n">
        <v>2270</v>
      </c>
      <c r="R158" s="174" t="s">
        <v>279</v>
      </c>
      <c r="T158" s="443" t="n">
        <f aca="false">S158/L158</f>
        <v>0</v>
      </c>
      <c r="U158" s="157" t="s">
        <v>279</v>
      </c>
      <c r="V158" s="443"/>
      <c r="W158" s="443"/>
      <c r="X158" s="443"/>
      <c r="Y158" s="80" t="n">
        <v>240000</v>
      </c>
      <c r="Z158" s="80"/>
      <c r="AA158" s="80" t="n">
        <v>240000</v>
      </c>
      <c r="AB158" s="80"/>
      <c r="AC158" s="157" t="s">
        <v>3520</v>
      </c>
      <c r="AD158" s="157" t="s">
        <v>3521</v>
      </c>
      <c r="AE158" s="281" t="s">
        <v>3522</v>
      </c>
      <c r="AF158" s="281" t="s">
        <v>3523</v>
      </c>
      <c r="AI158" s="157" t="e">
        <f aca="false">IF(AND($E158=Subj_OccCode,Subj_BldgSF&gt;0,ABS($L158-Subj_BldgSF)&lt;=Subj_BldgSF*Subj_SizeTol),ABS($L158-Subj_BldgSF),NA())</f>
        <v>#N/A</v>
      </c>
      <c r="AJ158" s="1" t="e">
        <f aca="false">IF(ISNA(AI158),NA(),AI158+ROW()/10000000)</f>
        <v>#N/A</v>
      </c>
      <c r="AK158" s="157" t="str">
        <f aca="false">IF(AND(ISNUMBER($N158),$N158&gt;0,ISNUMBER($Y158)),$Y158/$N158,"")</f>
        <v/>
      </c>
    </row>
    <row r="159" customFormat="false" ht="15" hidden="false" customHeight="true" outlineLevel="0" collapsed="false">
      <c r="A159" s="441" t="n">
        <v>7</v>
      </c>
      <c r="B159" s="157" t="n">
        <v>151</v>
      </c>
      <c r="C159" s="157" t="s">
        <v>3524</v>
      </c>
      <c r="D159" s="157" t="s">
        <v>3525</v>
      </c>
      <c r="E159" s="157" t="n">
        <v>446</v>
      </c>
      <c r="F159" s="157" t="s">
        <v>260</v>
      </c>
      <c r="G159" s="157" t="s">
        <v>353</v>
      </c>
      <c r="H159" s="78" t="n">
        <f aca="false">Y159/J159</f>
        <v>549.282880683552</v>
      </c>
      <c r="I159" s="442" t="n">
        <v>44854</v>
      </c>
      <c r="J159" s="157" t="n">
        <v>13108</v>
      </c>
      <c r="K159" s="78"/>
      <c r="L159" s="157" t="n">
        <v>13108</v>
      </c>
      <c r="M159" s="157" t="n">
        <v>2022</v>
      </c>
      <c r="R159" s="174" t="s">
        <v>279</v>
      </c>
      <c r="S159" s="157" t="n">
        <v>57805</v>
      </c>
      <c r="T159" s="443" t="n">
        <f aca="false">S159/L159</f>
        <v>4.4099023497101</v>
      </c>
      <c r="U159" s="157" t="s">
        <v>279</v>
      </c>
      <c r="V159" s="443"/>
      <c r="W159" s="443"/>
      <c r="X159" s="443"/>
      <c r="Y159" s="80" t="n">
        <v>7200000</v>
      </c>
      <c r="Z159" s="80"/>
      <c r="AA159" s="80" t="n">
        <v>7200000</v>
      </c>
      <c r="AB159" s="80"/>
      <c r="AC159" s="157" t="s">
        <v>3526</v>
      </c>
      <c r="AD159" s="157" t="s">
        <v>3527</v>
      </c>
      <c r="AE159" s="281" t="s">
        <v>3528</v>
      </c>
      <c r="AF159" s="281" t="s">
        <v>3529</v>
      </c>
      <c r="AI159" s="157" t="e">
        <f aca="false">IF(AND($E159=Subj_OccCode,Subj_BldgSF&gt;0,ABS($L159-Subj_BldgSF)&lt;=Subj_BldgSF*Subj_SizeTol),ABS($L159-Subj_BldgSF),NA())</f>
        <v>#N/A</v>
      </c>
      <c r="AJ159" s="1" t="e">
        <f aca="false">IF(ISNA(AI159),NA(),AI159+ROW()/10000000)</f>
        <v>#N/A</v>
      </c>
      <c r="AK159" s="157" t="str">
        <f aca="false">IF(AND(ISNUMBER($N159),$N159&gt;0,ISNUMBER($Y159)),$Y159/$N159,"")</f>
        <v/>
      </c>
    </row>
    <row r="160" customFormat="false" ht="15" hidden="false" customHeight="true" outlineLevel="0" collapsed="false">
      <c r="A160" s="441" t="n">
        <v>7</v>
      </c>
      <c r="B160" s="157" t="n">
        <v>152</v>
      </c>
      <c r="C160" s="157" t="s">
        <v>3530</v>
      </c>
      <c r="D160" s="157" t="s">
        <v>3531</v>
      </c>
      <c r="E160" s="157" t="n">
        <v>353</v>
      </c>
      <c r="F160" s="157" t="s">
        <v>2677</v>
      </c>
      <c r="G160" s="157" t="s">
        <v>354</v>
      </c>
      <c r="H160" s="78" t="n">
        <f aca="false">Y160/J160</f>
        <v>759.024623475974</v>
      </c>
      <c r="I160" s="442" t="n">
        <v>45470</v>
      </c>
      <c r="J160" s="157" t="n">
        <v>4183</v>
      </c>
      <c r="K160" s="78"/>
      <c r="L160" s="157" t="n">
        <v>4183</v>
      </c>
      <c r="M160" s="157" t="n">
        <v>2023</v>
      </c>
      <c r="R160" s="174" t="s">
        <v>279</v>
      </c>
      <c r="S160" s="157" t="n">
        <v>25512</v>
      </c>
      <c r="T160" s="443" t="n">
        <f aca="false">S160/L160</f>
        <v>6.0989720296438</v>
      </c>
      <c r="U160" s="157" t="s">
        <v>279</v>
      </c>
      <c r="V160" s="443"/>
      <c r="W160" s="443"/>
      <c r="X160" s="443"/>
      <c r="Y160" s="80" t="n">
        <v>3175000</v>
      </c>
      <c r="Z160" s="80"/>
      <c r="AA160" s="80" t="n">
        <v>3175000</v>
      </c>
      <c r="AB160" s="80"/>
      <c r="AC160" s="157" t="s">
        <v>3532</v>
      </c>
      <c r="AD160" s="157" t="s">
        <v>3533</v>
      </c>
      <c r="AE160" s="281" t="s">
        <v>3534</v>
      </c>
      <c r="AF160" s="281" t="s">
        <v>3535</v>
      </c>
      <c r="AI160" s="157" t="e">
        <f aca="false">IF(AND($E160=Subj_OccCode,Subj_BldgSF&gt;0,ABS($L160-Subj_BldgSF)&lt;=Subj_BldgSF*Subj_SizeTol),ABS($L160-Subj_BldgSF),NA())</f>
        <v>#N/A</v>
      </c>
      <c r="AJ160" s="1" t="e">
        <f aca="false">IF(ISNA(AI160),NA(),AI160+ROW()/10000000)</f>
        <v>#N/A</v>
      </c>
      <c r="AK160" s="157" t="str">
        <f aca="false">IF(AND(ISNUMBER($N160),$N160&gt;0,ISNUMBER($Y160)),$Y160/$N160,"")</f>
        <v/>
      </c>
    </row>
    <row r="161" customFormat="false" ht="15" hidden="false" customHeight="true" outlineLevel="0" collapsed="false">
      <c r="A161" s="441" t="n">
        <v>7</v>
      </c>
      <c r="B161" s="157" t="n">
        <v>153</v>
      </c>
      <c r="C161" s="157" t="s">
        <v>3536</v>
      </c>
      <c r="D161" s="157" t="s">
        <v>3537</v>
      </c>
      <c r="E161" s="157" t="n">
        <v>328</v>
      </c>
      <c r="G161" s="157" t="s">
        <v>352</v>
      </c>
      <c r="H161" s="78" t="n">
        <f aca="false">Y161/J161</f>
        <v>108.740955631399</v>
      </c>
      <c r="I161" s="442" t="n">
        <v>45390</v>
      </c>
      <c r="J161" s="157" t="n">
        <v>2930</v>
      </c>
      <c r="K161" s="78"/>
      <c r="L161" s="157" t="n">
        <v>2930</v>
      </c>
      <c r="M161" s="157" t="n">
        <v>2024</v>
      </c>
      <c r="R161" s="174" t="s">
        <v>279</v>
      </c>
      <c r="T161" s="443" t="n">
        <f aca="false">S161/L161</f>
        <v>0</v>
      </c>
      <c r="U161" s="157" t="s">
        <v>279</v>
      </c>
      <c r="V161" s="443"/>
      <c r="W161" s="443"/>
      <c r="X161" s="443"/>
      <c r="Y161" s="80" t="n">
        <v>318611</v>
      </c>
      <c r="Z161" s="80"/>
      <c r="AA161" s="80" t="n">
        <v>318611</v>
      </c>
      <c r="AB161" s="80"/>
      <c r="AC161" s="157" t="s">
        <v>3538</v>
      </c>
      <c r="AD161" s="157" t="s">
        <v>3539</v>
      </c>
      <c r="AE161" s="281" t="s">
        <v>3353</v>
      </c>
      <c r="AF161" s="281" t="s">
        <v>3540</v>
      </c>
      <c r="AI161" s="157" t="e">
        <f aca="false">IF(AND($E161=Subj_OccCode,Subj_BldgSF&gt;0,ABS($L161-Subj_BldgSF)&lt;=Subj_BldgSF*Subj_SizeTol),ABS($L161-Subj_BldgSF),NA())</f>
        <v>#N/A</v>
      </c>
      <c r="AJ161" s="1" t="e">
        <f aca="false">IF(ISNA(AI161),NA(),AI161+ROW()/10000000)</f>
        <v>#N/A</v>
      </c>
      <c r="AK161" s="157" t="str">
        <f aca="false">IF(AND(ISNUMBER($N161),$N161&gt;0,ISNUMBER($Y161)),$Y161/$N161,"")</f>
        <v/>
      </c>
    </row>
    <row r="162" customFormat="false" ht="15" hidden="false" customHeight="true" outlineLevel="0" collapsed="false">
      <c r="A162" s="441" t="n">
        <v>7</v>
      </c>
      <c r="B162" s="157" t="n">
        <v>154</v>
      </c>
      <c r="C162" s="157" t="s">
        <v>3541</v>
      </c>
      <c r="D162" s="157" t="s">
        <v>3542</v>
      </c>
      <c r="E162" s="157" t="n">
        <v>328</v>
      </c>
      <c r="G162" s="157" t="s">
        <v>352</v>
      </c>
      <c r="H162" s="78" t="n">
        <f aca="false">Y162/J162</f>
        <v>104.183959044369</v>
      </c>
      <c r="I162" s="442" t="n">
        <v>45390</v>
      </c>
      <c r="J162" s="157" t="n">
        <v>2930</v>
      </c>
      <c r="K162" s="78"/>
      <c r="L162" s="157" t="n">
        <v>2930</v>
      </c>
      <c r="M162" s="157" t="n">
        <v>2024</v>
      </c>
      <c r="R162" s="174" t="s">
        <v>279</v>
      </c>
      <c r="T162" s="443" t="n">
        <f aca="false">S162/L162</f>
        <v>0</v>
      </c>
      <c r="U162" s="157" t="s">
        <v>279</v>
      </c>
      <c r="V162" s="443"/>
      <c r="W162" s="443"/>
      <c r="X162" s="443"/>
      <c r="Y162" s="80" t="n">
        <v>305259</v>
      </c>
      <c r="Z162" s="80"/>
      <c r="AA162" s="80" t="n">
        <v>305259</v>
      </c>
      <c r="AB162" s="80"/>
      <c r="AC162" s="157" t="s">
        <v>3543</v>
      </c>
      <c r="AD162" s="157" t="s">
        <v>3544</v>
      </c>
      <c r="AE162" s="281" t="s">
        <v>3353</v>
      </c>
      <c r="AF162" s="281" t="s">
        <v>3545</v>
      </c>
      <c r="AI162" s="157" t="e">
        <f aca="false">IF(AND($E162=Subj_OccCode,Subj_BldgSF&gt;0,ABS($L162-Subj_BldgSF)&lt;=Subj_BldgSF*Subj_SizeTol),ABS($L162-Subj_BldgSF),NA())</f>
        <v>#N/A</v>
      </c>
      <c r="AJ162" s="1" t="e">
        <f aca="false">IF(ISNA(AI162),NA(),AI162+ROW()/10000000)</f>
        <v>#N/A</v>
      </c>
      <c r="AK162" s="157" t="str">
        <f aca="false">IF(AND(ISNUMBER($N162),$N162&gt;0,ISNUMBER($Y162)),$Y162/$N162,"")</f>
        <v/>
      </c>
    </row>
    <row r="163" customFormat="false" ht="15" hidden="false" customHeight="true" outlineLevel="0" collapsed="false">
      <c r="A163" s="441" t="n">
        <v>7</v>
      </c>
      <c r="B163" s="157" t="n">
        <v>155</v>
      </c>
      <c r="C163" s="157" t="s">
        <v>3546</v>
      </c>
      <c r="D163" s="157" t="s">
        <v>3547</v>
      </c>
      <c r="E163" s="157" t="n">
        <v>328</v>
      </c>
      <c r="G163" s="157" t="s">
        <v>352</v>
      </c>
      <c r="H163" s="78" t="n">
        <f aca="false">Y163/J163</f>
        <v>114.71638225256</v>
      </c>
      <c r="I163" s="442" t="n">
        <v>45390</v>
      </c>
      <c r="J163" s="157" t="n">
        <v>2930</v>
      </c>
      <c r="K163" s="78"/>
      <c r="L163" s="157" t="n">
        <v>2930</v>
      </c>
      <c r="M163" s="157" t="n">
        <v>2024</v>
      </c>
      <c r="R163" s="174" t="s">
        <v>279</v>
      </c>
      <c r="T163" s="443" t="n">
        <f aca="false">S163/L163</f>
        <v>0</v>
      </c>
      <c r="U163" s="157" t="s">
        <v>279</v>
      </c>
      <c r="V163" s="443"/>
      <c r="W163" s="443"/>
      <c r="X163" s="443"/>
      <c r="Y163" s="80" t="n">
        <v>336119</v>
      </c>
      <c r="Z163" s="80"/>
      <c r="AA163" s="80" t="n">
        <v>336119</v>
      </c>
      <c r="AB163" s="80"/>
      <c r="AC163" s="157" t="s">
        <v>3548</v>
      </c>
      <c r="AD163" s="157" t="s">
        <v>3549</v>
      </c>
      <c r="AE163" s="281" t="s">
        <v>3353</v>
      </c>
      <c r="AF163" s="281" t="s">
        <v>3550</v>
      </c>
      <c r="AI163" s="157" t="e">
        <f aca="false">IF(AND($E163=Subj_OccCode,Subj_BldgSF&gt;0,ABS($L163-Subj_BldgSF)&lt;=Subj_BldgSF*Subj_SizeTol),ABS($L163-Subj_BldgSF),NA())</f>
        <v>#N/A</v>
      </c>
      <c r="AJ163" s="1" t="e">
        <f aca="false">IF(ISNA(AI163),NA(),AI163+ROW()/10000000)</f>
        <v>#N/A</v>
      </c>
      <c r="AK163" s="157" t="str">
        <f aca="false">IF(AND(ISNUMBER($N163),$N163&gt;0,ISNUMBER($Y163)),$Y163/$N163,"")</f>
        <v/>
      </c>
    </row>
    <row r="164" customFormat="false" ht="15" hidden="false" customHeight="true" outlineLevel="0" collapsed="false">
      <c r="A164" s="441" t="n">
        <v>7</v>
      </c>
      <c r="B164" s="157" t="n">
        <v>156</v>
      </c>
      <c r="C164" s="157" t="s">
        <v>3551</v>
      </c>
      <c r="D164" s="157" t="s">
        <v>3552</v>
      </c>
      <c r="E164" s="157" t="n">
        <v>328</v>
      </c>
      <c r="G164" s="157" t="s">
        <v>352</v>
      </c>
      <c r="H164" s="78" t="n">
        <f aca="false">Y164/J164</f>
        <v>100.400682593857</v>
      </c>
      <c r="I164" s="442" t="n">
        <v>45390</v>
      </c>
      <c r="J164" s="157" t="n">
        <v>2930</v>
      </c>
      <c r="K164" s="78"/>
      <c r="L164" s="157" t="n">
        <v>2930</v>
      </c>
      <c r="M164" s="157" t="n">
        <v>2024</v>
      </c>
      <c r="R164" s="174" t="s">
        <v>279</v>
      </c>
      <c r="T164" s="443" t="n">
        <f aca="false">S164/L164</f>
        <v>0</v>
      </c>
      <c r="U164" s="157" t="s">
        <v>279</v>
      </c>
      <c r="V164" s="443"/>
      <c r="W164" s="443"/>
      <c r="X164" s="443"/>
      <c r="Y164" s="80" t="n">
        <v>294174</v>
      </c>
      <c r="Z164" s="80"/>
      <c r="AA164" s="80" t="n">
        <v>294174</v>
      </c>
      <c r="AB164" s="80"/>
      <c r="AC164" s="157" t="s">
        <v>3553</v>
      </c>
      <c r="AD164" s="157" t="s">
        <v>3554</v>
      </c>
      <c r="AE164" s="281" t="s">
        <v>3353</v>
      </c>
      <c r="AF164" s="281" t="s">
        <v>3555</v>
      </c>
      <c r="AI164" s="157" t="e">
        <f aca="false">IF(AND($E164=Subj_OccCode,Subj_BldgSF&gt;0,ABS($L164-Subj_BldgSF)&lt;=Subj_BldgSF*Subj_SizeTol),ABS($L164-Subj_BldgSF),NA())</f>
        <v>#N/A</v>
      </c>
      <c r="AJ164" s="1" t="e">
        <f aca="false">IF(ISNA(AI164),NA(),AI164+ROW()/10000000)</f>
        <v>#N/A</v>
      </c>
      <c r="AK164" s="157" t="str">
        <f aca="false">IF(AND(ISNUMBER($N164),$N164&gt;0,ISNUMBER($Y164)),$Y164/$N164,"")</f>
        <v/>
      </c>
    </row>
    <row r="165" customFormat="false" ht="15" hidden="false" customHeight="true" outlineLevel="0" collapsed="false">
      <c r="A165" s="441" t="n">
        <v>7</v>
      </c>
      <c r="B165" s="157" t="n">
        <v>157</v>
      </c>
      <c r="C165" s="157" t="s">
        <v>3556</v>
      </c>
      <c r="D165" s="157" t="s">
        <v>3557</v>
      </c>
      <c r="E165" s="157" t="n">
        <v>425</v>
      </c>
      <c r="F165" s="157" t="s">
        <v>2921</v>
      </c>
      <c r="G165" s="157" t="s">
        <v>2691</v>
      </c>
      <c r="H165" s="78" t="n">
        <f aca="false">Y165/J165</f>
        <v>16.7857142857143</v>
      </c>
      <c r="I165" s="442" t="n">
        <v>45377</v>
      </c>
      <c r="J165" s="157" t="n">
        <v>16800</v>
      </c>
      <c r="K165" s="78"/>
      <c r="L165" s="157" t="n">
        <v>16800</v>
      </c>
      <c r="M165" s="157" t="n">
        <v>2023</v>
      </c>
      <c r="R165" s="174" t="s">
        <v>279</v>
      </c>
      <c r="S165" s="157" t="n">
        <v>2674</v>
      </c>
      <c r="T165" s="443" t="n">
        <f aca="false">S165/L165</f>
        <v>0.159166666666667</v>
      </c>
      <c r="U165" s="157" t="s">
        <v>279</v>
      </c>
      <c r="V165" s="443"/>
      <c r="W165" s="443"/>
      <c r="X165" s="443"/>
      <c r="Y165" s="80" t="n">
        <v>282000</v>
      </c>
      <c r="Z165" s="80"/>
      <c r="AA165" s="80" t="n">
        <v>282000</v>
      </c>
      <c r="AB165" s="80"/>
      <c r="AC165" s="157" t="s">
        <v>3558</v>
      </c>
      <c r="AD165" s="157" t="s">
        <v>3559</v>
      </c>
      <c r="AE165" s="281" t="s">
        <v>3171</v>
      </c>
      <c r="AF165" s="281" t="s">
        <v>3560</v>
      </c>
      <c r="AI165" s="157" t="e">
        <f aca="false">IF(AND($E165=Subj_OccCode,Subj_BldgSF&gt;0,ABS($L165-Subj_BldgSF)&lt;=Subj_BldgSF*Subj_SizeTol),ABS($L165-Subj_BldgSF),NA())</f>
        <v>#N/A</v>
      </c>
      <c r="AJ165" s="1" t="e">
        <f aca="false">IF(ISNA(AI165),NA(),AI165+ROW()/10000000)</f>
        <v>#N/A</v>
      </c>
      <c r="AK165" s="157" t="str">
        <f aca="false">IF(AND(ISNUMBER($N165),$N165&gt;0,ISNUMBER($Y165)),$Y165/$N165,"")</f>
        <v/>
      </c>
    </row>
    <row r="166" customFormat="false" ht="15" hidden="false" customHeight="true" outlineLevel="0" collapsed="false">
      <c r="A166" s="441" t="n">
        <v>7</v>
      </c>
      <c r="B166" s="157" t="n">
        <v>158</v>
      </c>
      <c r="C166" s="157" t="s">
        <v>3561</v>
      </c>
      <c r="D166" s="157" t="s">
        <v>3562</v>
      </c>
      <c r="E166" s="157" t="n">
        <v>3441</v>
      </c>
      <c r="F166" s="157" t="s">
        <v>260</v>
      </c>
      <c r="G166" s="157" t="s">
        <v>353</v>
      </c>
      <c r="H166" s="78" t="n">
        <f aca="false">Y166/J166</f>
        <v>387.640449438202</v>
      </c>
      <c r="I166" s="442" t="n">
        <v>45078</v>
      </c>
      <c r="J166" s="157" t="n">
        <v>890</v>
      </c>
      <c r="K166" s="78"/>
      <c r="L166" s="157" t="n">
        <v>890</v>
      </c>
      <c r="M166" s="157" t="n">
        <v>1949</v>
      </c>
      <c r="P166" s="157" t="s">
        <v>3500</v>
      </c>
      <c r="R166" s="174" t="s">
        <v>279</v>
      </c>
      <c r="S166" s="157" t="n">
        <v>6098</v>
      </c>
      <c r="T166" s="443" t="n">
        <f aca="false">S166/L166</f>
        <v>6.85168539325843</v>
      </c>
      <c r="U166" s="157" t="s">
        <v>279</v>
      </c>
      <c r="V166" s="443"/>
      <c r="W166" s="443"/>
      <c r="X166" s="443"/>
      <c r="Y166" s="80" t="n">
        <v>345000</v>
      </c>
      <c r="Z166" s="80"/>
      <c r="AA166" s="80" t="n">
        <v>344000</v>
      </c>
      <c r="AB166" s="80"/>
      <c r="AC166" s="157" t="s">
        <v>3563</v>
      </c>
      <c r="AD166" s="157" t="s">
        <v>3564</v>
      </c>
      <c r="AE166" s="281" t="s">
        <v>3565</v>
      </c>
      <c r="AF166" s="281" t="s">
        <v>3566</v>
      </c>
      <c r="AI166" s="157" t="e">
        <f aca="false">IF(AND($E166=Subj_OccCode,Subj_BldgSF&gt;0,ABS($L166-Subj_BldgSF)&lt;=Subj_BldgSF*Subj_SizeTol),ABS($L166-Subj_BldgSF),NA())</f>
        <v>#N/A</v>
      </c>
      <c r="AJ166" s="1" t="e">
        <f aca="false">IF(ISNA(AI166),NA(),AI166+ROW()/10000000)</f>
        <v>#N/A</v>
      </c>
      <c r="AK166" s="157" t="str">
        <f aca="false">IF(AND(ISNUMBER($N166),$N166&gt;0,ISNUMBER($Y166)),$Y166/$N166,"")</f>
        <v/>
      </c>
    </row>
    <row r="167" customFormat="false" ht="15" hidden="false" customHeight="true" outlineLevel="0" collapsed="false">
      <c r="A167" s="441" t="n">
        <v>7</v>
      </c>
      <c r="B167" s="157" t="n">
        <v>159</v>
      </c>
      <c r="C167" s="157" t="s">
        <v>3567</v>
      </c>
      <c r="D167" s="157" t="s">
        <v>3568</v>
      </c>
      <c r="E167" s="157" t="n">
        <v>1344</v>
      </c>
      <c r="F167" s="157" t="s">
        <v>2566</v>
      </c>
      <c r="G167" s="157" t="s">
        <v>2567</v>
      </c>
      <c r="H167" s="78" t="n">
        <f aca="false">Y167/J167</f>
        <v>3.37777777777778</v>
      </c>
      <c r="I167" s="442" t="n">
        <v>44816</v>
      </c>
      <c r="J167" s="157" t="n">
        <v>84375</v>
      </c>
      <c r="K167" s="78"/>
      <c r="L167" s="157" t="n">
        <v>84375</v>
      </c>
      <c r="M167" s="157" t="n">
        <v>1984</v>
      </c>
      <c r="P167" s="157" t="s">
        <v>3569</v>
      </c>
      <c r="R167" s="174" t="s">
        <v>279</v>
      </c>
      <c r="S167" s="157" t="n">
        <v>1108</v>
      </c>
      <c r="T167" s="443" t="n">
        <f aca="false">S167/L167</f>
        <v>0.0131318518518519</v>
      </c>
      <c r="U167" s="157" t="s">
        <v>279</v>
      </c>
      <c r="V167" s="443"/>
      <c r="W167" s="443"/>
      <c r="X167" s="443"/>
      <c r="Y167" s="80" t="n">
        <v>285000</v>
      </c>
      <c r="Z167" s="80"/>
      <c r="AA167" s="80" t="n">
        <v>285000</v>
      </c>
      <c r="AB167" s="80"/>
      <c r="AC167" s="157" t="s">
        <v>3570</v>
      </c>
      <c r="AD167" s="157" t="s">
        <v>3571</v>
      </c>
      <c r="AE167" s="281" t="s">
        <v>3572</v>
      </c>
      <c r="AF167" s="281" t="s">
        <v>3573</v>
      </c>
      <c r="AI167" s="157" t="e">
        <f aca="false">IF(AND($E167=Subj_OccCode,Subj_BldgSF&gt;0,ABS($L167-Subj_BldgSF)&lt;=Subj_BldgSF*Subj_SizeTol),ABS($L167-Subj_BldgSF),NA())</f>
        <v>#N/A</v>
      </c>
      <c r="AJ167" s="1" t="e">
        <f aca="false">IF(ISNA(AI167),NA(),AI167+ROW()/10000000)</f>
        <v>#N/A</v>
      </c>
      <c r="AK167" s="157" t="str">
        <f aca="false">IF(AND(ISNUMBER($N167),$N167&gt;0,ISNUMBER($Y167)),$Y167/$N167,"")</f>
        <v/>
      </c>
    </row>
    <row r="168" customFormat="false" ht="15" hidden="false" customHeight="true" outlineLevel="0" collapsed="false">
      <c r="A168" s="441" t="n">
        <v>7</v>
      </c>
      <c r="B168" s="157" t="n">
        <v>160</v>
      </c>
      <c r="C168" s="157" t="s">
        <v>3574</v>
      </c>
      <c r="D168" s="157" t="s">
        <v>3575</v>
      </c>
      <c r="E168" s="157" t="n">
        <v>344</v>
      </c>
      <c r="F168" s="157" t="s">
        <v>2677</v>
      </c>
      <c r="G168" s="157" t="s">
        <v>2567</v>
      </c>
      <c r="H168" s="78" t="n">
        <f aca="false">Y168/J168</f>
        <v>206.666666666667</v>
      </c>
      <c r="I168" s="442" t="n">
        <v>45415</v>
      </c>
      <c r="J168" s="157" t="n">
        <v>2250</v>
      </c>
      <c r="K168" s="78"/>
      <c r="L168" s="157" t="n">
        <v>2250</v>
      </c>
      <c r="M168" s="157" t="n">
        <v>1964</v>
      </c>
      <c r="P168" s="157" t="s">
        <v>3307</v>
      </c>
      <c r="R168" s="174" t="s">
        <v>279</v>
      </c>
      <c r="S168" s="157" t="n">
        <v>16335</v>
      </c>
      <c r="T168" s="443" t="n">
        <f aca="false">S168/L168</f>
        <v>7.26</v>
      </c>
      <c r="U168" s="157" t="s">
        <v>279</v>
      </c>
      <c r="V168" s="443"/>
      <c r="W168" s="443"/>
      <c r="X168" s="443"/>
      <c r="Y168" s="80" t="n">
        <v>465000</v>
      </c>
      <c r="Z168" s="80"/>
      <c r="AA168" s="80" t="n">
        <v>465000</v>
      </c>
      <c r="AB168" s="80"/>
      <c r="AC168" s="157" t="s">
        <v>3576</v>
      </c>
      <c r="AD168" s="157" t="s">
        <v>3577</v>
      </c>
      <c r="AE168" s="281" t="s">
        <v>3578</v>
      </c>
      <c r="AF168" s="281" t="s">
        <v>3579</v>
      </c>
      <c r="AI168" s="157" t="e">
        <f aca="false">IF(AND($E168=Subj_OccCode,Subj_BldgSF&gt;0,ABS($L168-Subj_BldgSF)&lt;=Subj_BldgSF*Subj_SizeTol),ABS($L168-Subj_BldgSF),NA())</f>
        <v>#N/A</v>
      </c>
      <c r="AJ168" s="1" t="e">
        <f aca="false">IF(ISNA(AI168),NA(),AI168+ROW()/10000000)</f>
        <v>#N/A</v>
      </c>
      <c r="AK168" s="157" t="str">
        <f aca="false">IF(AND(ISNUMBER($N168),$N168&gt;0,ISNUMBER($Y168)),$Y168/$N168,"")</f>
        <v/>
      </c>
    </row>
    <row r="169" customFormat="false" ht="15" hidden="false" customHeight="true" outlineLevel="0" collapsed="false">
      <c r="A169" s="441" t="n">
        <v>7</v>
      </c>
      <c r="B169" s="157" t="n">
        <v>161</v>
      </c>
      <c r="C169" s="157" t="s">
        <v>3580</v>
      </c>
      <c r="D169" s="157" t="s">
        <v>3581</v>
      </c>
      <c r="E169" s="157" t="n">
        <v>328</v>
      </c>
      <c r="G169" s="157" t="s">
        <v>352</v>
      </c>
      <c r="H169" s="78" t="n">
        <f aca="false">Y169/J169</f>
        <v>125</v>
      </c>
      <c r="I169" s="442" t="n">
        <v>45065</v>
      </c>
      <c r="J169" s="157" t="n">
        <v>2900</v>
      </c>
      <c r="K169" s="78"/>
      <c r="L169" s="157" t="n">
        <v>2900</v>
      </c>
      <c r="M169" s="157" t="n">
        <v>2001</v>
      </c>
      <c r="R169" s="174" t="s">
        <v>279</v>
      </c>
      <c r="T169" s="443" t="n">
        <f aca="false">S169/L169</f>
        <v>0</v>
      </c>
      <c r="U169" s="157" t="s">
        <v>279</v>
      </c>
      <c r="V169" s="443"/>
      <c r="W169" s="443"/>
      <c r="X169" s="443"/>
      <c r="Y169" s="80" t="n">
        <v>362500</v>
      </c>
      <c r="Z169" s="80"/>
      <c r="AA169" s="80" t="n">
        <v>362500</v>
      </c>
      <c r="AB169" s="80"/>
      <c r="AC169" s="157" t="s">
        <v>3582</v>
      </c>
      <c r="AD169" s="157" t="s">
        <v>3583</v>
      </c>
      <c r="AE169" s="281" t="s">
        <v>3584</v>
      </c>
      <c r="AF169" s="281" t="s">
        <v>3585</v>
      </c>
      <c r="AI169" s="157" t="e">
        <f aca="false">IF(AND($E169=Subj_OccCode,Subj_BldgSF&gt;0,ABS($L169-Subj_BldgSF)&lt;=Subj_BldgSF*Subj_SizeTol),ABS($L169-Subj_BldgSF),NA())</f>
        <v>#N/A</v>
      </c>
      <c r="AJ169" s="1" t="e">
        <f aca="false">IF(ISNA(AI169),NA(),AI169+ROW()/10000000)</f>
        <v>#N/A</v>
      </c>
      <c r="AK169" s="157" t="str">
        <f aca="false">IF(AND(ISNUMBER($N169),$N169&gt;0,ISNUMBER($Y169)),$Y169/$N169,"")</f>
        <v/>
      </c>
    </row>
    <row r="170" customFormat="false" ht="15" hidden="false" customHeight="true" outlineLevel="0" collapsed="false">
      <c r="A170" s="441" t="n">
        <v>7</v>
      </c>
      <c r="B170" s="157" t="n">
        <v>162</v>
      </c>
      <c r="C170" s="157" t="s">
        <v>3586</v>
      </c>
      <c r="D170" s="157" t="s">
        <v>3587</v>
      </c>
      <c r="E170" s="157" t="n">
        <v>328</v>
      </c>
      <c r="G170" s="157" t="s">
        <v>352</v>
      </c>
      <c r="H170" s="78" t="n">
        <f aca="false">Y170/J170</f>
        <v>107.826086956522</v>
      </c>
      <c r="I170" s="442" t="n">
        <v>45176</v>
      </c>
      <c r="J170" s="157" t="n">
        <v>2875</v>
      </c>
      <c r="K170" s="78"/>
      <c r="L170" s="157" t="n">
        <v>2875</v>
      </c>
      <c r="M170" s="157" t="n">
        <v>2004</v>
      </c>
      <c r="R170" s="174" t="s">
        <v>279</v>
      </c>
      <c r="T170" s="443" t="n">
        <f aca="false">S170/L170</f>
        <v>0</v>
      </c>
      <c r="U170" s="157" t="s">
        <v>279</v>
      </c>
      <c r="V170" s="443"/>
      <c r="W170" s="443"/>
      <c r="X170" s="443"/>
      <c r="Y170" s="80" t="n">
        <v>310000</v>
      </c>
      <c r="Z170" s="80"/>
      <c r="AA170" s="80" t="n">
        <v>310000</v>
      </c>
      <c r="AB170" s="80"/>
      <c r="AC170" s="157" t="s">
        <v>3588</v>
      </c>
      <c r="AD170" s="157" t="s">
        <v>3589</v>
      </c>
      <c r="AE170" s="281" t="s">
        <v>3590</v>
      </c>
      <c r="AF170" s="281" t="s">
        <v>3591</v>
      </c>
      <c r="AI170" s="157" t="e">
        <f aca="false">IF(AND($E170=Subj_OccCode,Subj_BldgSF&gt;0,ABS($L170-Subj_BldgSF)&lt;=Subj_BldgSF*Subj_SizeTol),ABS($L170-Subj_BldgSF),NA())</f>
        <v>#N/A</v>
      </c>
      <c r="AJ170" s="1" t="e">
        <f aca="false">IF(ISNA(AI170),NA(),AI170+ROW()/10000000)</f>
        <v>#N/A</v>
      </c>
      <c r="AK170" s="157" t="str">
        <f aca="false">IF(AND(ISNUMBER($N170),$N170&gt;0,ISNUMBER($Y170)),$Y170/$N170,"")</f>
        <v/>
      </c>
    </row>
    <row r="171" customFormat="false" ht="15" hidden="false" customHeight="true" outlineLevel="0" collapsed="false">
      <c r="A171" s="441" t="n">
        <v>7</v>
      </c>
      <c r="B171" s="157" t="n">
        <v>163</v>
      </c>
      <c r="C171" s="157" t="s">
        <v>3592</v>
      </c>
      <c r="D171" s="157" t="s">
        <v>3593</v>
      </c>
      <c r="E171" s="157" t="n">
        <v>353</v>
      </c>
      <c r="F171" s="157" t="s">
        <v>2677</v>
      </c>
      <c r="G171" s="157" t="s">
        <v>354</v>
      </c>
      <c r="H171" s="78" t="n">
        <f aca="false">Y171/J171</f>
        <v>277.777777777778</v>
      </c>
      <c r="I171" s="442" t="n">
        <v>45033</v>
      </c>
      <c r="J171" s="157" t="n">
        <v>4050</v>
      </c>
      <c r="K171" s="78"/>
      <c r="L171" s="157" t="n">
        <v>4050</v>
      </c>
      <c r="M171" s="157" t="n">
        <v>2000</v>
      </c>
      <c r="P171" s="157" t="s">
        <v>3307</v>
      </c>
      <c r="R171" s="174" t="s">
        <v>279</v>
      </c>
      <c r="S171" s="157" t="n">
        <v>19306</v>
      </c>
      <c r="T171" s="443" t="n">
        <f aca="false">S171/L171</f>
        <v>4.76691358024691</v>
      </c>
      <c r="U171" s="157" t="s">
        <v>279</v>
      </c>
      <c r="V171" s="443"/>
      <c r="W171" s="443"/>
      <c r="X171" s="443"/>
      <c r="Y171" s="80" t="n">
        <v>1125000</v>
      </c>
      <c r="Z171" s="80"/>
      <c r="AA171" s="80" t="n">
        <v>1125000</v>
      </c>
      <c r="AB171" s="80"/>
      <c r="AC171" s="157" t="s">
        <v>3594</v>
      </c>
      <c r="AD171" s="157" t="s">
        <v>3595</v>
      </c>
      <c r="AE171" s="281" t="s">
        <v>3596</v>
      </c>
      <c r="AF171" s="281" t="s">
        <v>3597</v>
      </c>
      <c r="AI171" s="157" t="e">
        <f aca="false">IF(AND($E171=Subj_OccCode,Subj_BldgSF&gt;0,ABS($L171-Subj_BldgSF)&lt;=Subj_BldgSF*Subj_SizeTol),ABS($L171-Subj_BldgSF),NA())</f>
        <v>#N/A</v>
      </c>
      <c r="AJ171" s="1" t="e">
        <f aca="false">IF(ISNA(AI171),NA(),AI171+ROW()/10000000)</f>
        <v>#N/A</v>
      </c>
      <c r="AK171" s="157" t="str">
        <f aca="false">IF(AND(ISNUMBER($N171),$N171&gt;0,ISNUMBER($Y171)),$Y171/$N171,"")</f>
        <v/>
      </c>
    </row>
    <row r="172" customFormat="false" ht="15" hidden="false" customHeight="true" outlineLevel="0" collapsed="false">
      <c r="A172" s="441" t="n">
        <v>7</v>
      </c>
      <c r="B172" s="157" t="n">
        <v>164</v>
      </c>
      <c r="C172" s="157" t="s">
        <v>3598</v>
      </c>
      <c r="D172" s="157" t="s">
        <v>3599</v>
      </c>
      <c r="E172" s="157" t="n">
        <v>350</v>
      </c>
      <c r="F172" s="157" t="s">
        <v>2566</v>
      </c>
      <c r="G172" s="157" t="s">
        <v>2567</v>
      </c>
      <c r="H172" s="78" t="n">
        <f aca="false">Y172/J172</f>
        <v>314.525352649638</v>
      </c>
      <c r="I172" s="442" t="n">
        <v>44797</v>
      </c>
      <c r="J172" s="157" t="n">
        <v>5246</v>
      </c>
      <c r="K172" s="78"/>
      <c r="L172" s="157" t="n">
        <v>5246</v>
      </c>
      <c r="M172" s="157" t="n">
        <v>2014</v>
      </c>
      <c r="P172" s="157" t="s">
        <v>3600</v>
      </c>
      <c r="R172" s="174" t="s">
        <v>483</v>
      </c>
      <c r="S172" s="157" t="n">
        <v>61903</v>
      </c>
      <c r="T172" s="443" t="n">
        <f aca="false">S172/L172</f>
        <v>11.8000381242852</v>
      </c>
      <c r="U172" s="157" t="s">
        <v>483</v>
      </c>
      <c r="V172" s="443"/>
      <c r="W172" s="443"/>
      <c r="X172" s="443"/>
      <c r="Y172" s="80" t="n">
        <v>1650000</v>
      </c>
      <c r="Z172" s="80"/>
      <c r="AA172" s="80" t="n">
        <v>1650000</v>
      </c>
      <c r="AB172" s="80"/>
      <c r="AC172" s="157" t="s">
        <v>3601</v>
      </c>
      <c r="AD172" s="157" t="s">
        <v>3602</v>
      </c>
      <c r="AE172" s="281" t="s">
        <v>3603</v>
      </c>
      <c r="AF172" s="281" t="s">
        <v>3604</v>
      </c>
      <c r="AI172" s="157" t="e">
        <f aca="false">IF(AND($E172=Subj_OccCode,Subj_BldgSF&gt;0,ABS($L172-Subj_BldgSF)&lt;=Subj_BldgSF*Subj_SizeTol),ABS($L172-Subj_BldgSF),NA())</f>
        <v>#N/A</v>
      </c>
      <c r="AJ172" s="1" t="e">
        <f aca="false">IF(ISNA(AI172),NA(),AI172+ROW()/10000000)</f>
        <v>#N/A</v>
      </c>
      <c r="AK172" s="157" t="str">
        <f aca="false">IF(AND(ISNUMBER($N172),$N172&gt;0,ISNUMBER($Y172)),$Y172/$N172,"")</f>
        <v/>
      </c>
    </row>
    <row r="173" customFormat="false" ht="15" hidden="false" customHeight="true" outlineLevel="0" collapsed="false">
      <c r="A173" s="441" t="n">
        <v>7</v>
      </c>
      <c r="B173" s="157" t="n">
        <v>165</v>
      </c>
      <c r="C173" s="157" t="s">
        <v>3605</v>
      </c>
      <c r="D173" s="157" t="s">
        <v>3606</v>
      </c>
      <c r="E173" s="157" t="n">
        <v>325</v>
      </c>
      <c r="F173" s="157" t="s">
        <v>2921</v>
      </c>
      <c r="G173" s="157" t="s">
        <v>2691</v>
      </c>
      <c r="H173" s="78" t="n">
        <f aca="false">Y173/J173</f>
        <v>220.783043862231</v>
      </c>
      <c r="I173" s="442" t="n">
        <v>45107</v>
      </c>
      <c r="J173" s="157" t="n">
        <v>47558</v>
      </c>
      <c r="K173" s="78"/>
      <c r="L173" s="157" t="n">
        <v>47558</v>
      </c>
      <c r="M173" s="157" t="n">
        <v>2019</v>
      </c>
      <c r="R173" s="174" t="s">
        <v>279</v>
      </c>
      <c r="S173" s="157" t="n">
        <v>454723</v>
      </c>
      <c r="T173" s="443" t="n">
        <f aca="false">S173/L173</f>
        <v>9.56144076706338</v>
      </c>
      <c r="U173" s="157" t="s">
        <v>279</v>
      </c>
      <c r="V173" s="443"/>
      <c r="W173" s="443"/>
      <c r="X173" s="443"/>
      <c r="Y173" s="80" t="n">
        <v>10500000</v>
      </c>
      <c r="Z173" s="80"/>
      <c r="AA173" s="80" t="n">
        <v>10500000</v>
      </c>
      <c r="AB173" s="80"/>
      <c r="AC173" s="157" t="s">
        <v>3607</v>
      </c>
      <c r="AD173" s="157" t="s">
        <v>3608</v>
      </c>
      <c r="AE173" s="281" t="s">
        <v>3609</v>
      </c>
      <c r="AF173" s="281" t="s">
        <v>3610</v>
      </c>
      <c r="AI173" s="157" t="e">
        <f aca="false">IF(AND($E173=Subj_OccCode,Subj_BldgSF&gt;0,ABS($L173-Subj_BldgSF)&lt;=Subj_BldgSF*Subj_SizeTol),ABS($L173-Subj_BldgSF),NA())</f>
        <v>#N/A</v>
      </c>
      <c r="AJ173" s="1" t="e">
        <f aca="false">IF(ISNA(AI173),NA(),AI173+ROW()/10000000)</f>
        <v>#N/A</v>
      </c>
      <c r="AK173" s="157" t="str">
        <f aca="false">IF(AND(ISNUMBER($N173),$N173&gt;0,ISNUMBER($Y173)),$Y173/$N173,"")</f>
        <v/>
      </c>
    </row>
    <row r="174" customFormat="false" ht="15" hidden="false" customHeight="true" outlineLevel="0" collapsed="false">
      <c r="A174" s="441" t="n">
        <v>7</v>
      </c>
      <c r="B174" s="157" t="n">
        <v>166</v>
      </c>
      <c r="C174" s="157" t="s">
        <v>3611</v>
      </c>
      <c r="D174" s="157" t="s">
        <v>3612</v>
      </c>
      <c r="E174" s="157" t="n">
        <v>425</v>
      </c>
      <c r="F174" s="157" t="s">
        <v>2921</v>
      </c>
      <c r="G174" s="157" t="s">
        <v>2691</v>
      </c>
      <c r="H174" s="78" t="n">
        <f aca="false">Y174/J174</f>
        <v>32.4074074074074</v>
      </c>
      <c r="I174" s="442" t="n">
        <v>45029</v>
      </c>
      <c r="J174" s="157" t="n">
        <v>7560</v>
      </c>
      <c r="K174" s="78"/>
      <c r="L174" s="157" t="n">
        <v>7560</v>
      </c>
      <c r="M174" s="157" t="n">
        <v>2022</v>
      </c>
      <c r="R174" s="174" t="s">
        <v>279</v>
      </c>
      <c r="S174" s="157" t="n">
        <v>5076</v>
      </c>
      <c r="T174" s="443" t="n">
        <f aca="false">S174/L174</f>
        <v>0.671428571428571</v>
      </c>
      <c r="U174" s="157" t="s">
        <v>279</v>
      </c>
      <c r="V174" s="443"/>
      <c r="W174" s="443"/>
      <c r="X174" s="443"/>
      <c r="Y174" s="80" t="n">
        <v>245000</v>
      </c>
      <c r="Z174" s="80"/>
      <c r="AA174" s="80" t="n">
        <v>245000</v>
      </c>
      <c r="AB174" s="80"/>
      <c r="AC174" s="157" t="s">
        <v>3613</v>
      </c>
      <c r="AD174" s="157" t="s">
        <v>3614</v>
      </c>
      <c r="AE174" s="281" t="s">
        <v>3615</v>
      </c>
      <c r="AF174" s="281" t="s">
        <v>3616</v>
      </c>
      <c r="AI174" s="157" t="e">
        <f aca="false">IF(AND($E174=Subj_OccCode,Subj_BldgSF&gt;0,ABS($L174-Subj_BldgSF)&lt;=Subj_BldgSF*Subj_SizeTol),ABS($L174-Subj_BldgSF),NA())</f>
        <v>#N/A</v>
      </c>
      <c r="AJ174" s="1" t="e">
        <f aca="false">IF(ISNA(AI174),NA(),AI174+ROW()/10000000)</f>
        <v>#N/A</v>
      </c>
      <c r="AK174" s="157" t="str">
        <f aca="false">IF(AND(ISNUMBER($N174),$N174&gt;0,ISNUMBER($Y174)),$Y174/$N174,"")</f>
        <v/>
      </c>
    </row>
    <row r="175" customFormat="false" ht="15" hidden="false" customHeight="true" outlineLevel="0" collapsed="false">
      <c r="A175" s="441" t="n">
        <v>7</v>
      </c>
      <c r="B175" s="157" t="n">
        <v>167</v>
      </c>
      <c r="C175" s="157" t="s">
        <v>3617</v>
      </c>
      <c r="D175" s="157" t="s">
        <v>3618</v>
      </c>
      <c r="E175" s="157" t="n">
        <v>425</v>
      </c>
      <c r="F175" s="157" t="s">
        <v>2921</v>
      </c>
      <c r="G175" s="157" t="s">
        <v>2691</v>
      </c>
      <c r="H175" s="78" t="n">
        <f aca="false">Y175/J175</f>
        <v>35.7142857142857</v>
      </c>
      <c r="I175" s="442" t="n">
        <v>44760</v>
      </c>
      <c r="J175" s="157" t="n">
        <v>7560</v>
      </c>
      <c r="K175" s="78"/>
      <c r="L175" s="157" t="n">
        <v>7560</v>
      </c>
      <c r="M175" s="157" t="n">
        <v>2022</v>
      </c>
      <c r="R175" s="174" t="s">
        <v>279</v>
      </c>
      <c r="S175" s="157" t="n">
        <v>0</v>
      </c>
      <c r="T175" s="443" t="n">
        <f aca="false">S175/L175</f>
        <v>0</v>
      </c>
      <c r="U175" s="157" t="s">
        <v>279</v>
      </c>
      <c r="V175" s="443"/>
      <c r="W175" s="443"/>
      <c r="X175" s="443"/>
      <c r="Y175" s="80" t="n">
        <v>270000</v>
      </c>
      <c r="Z175" s="80"/>
      <c r="AA175" s="80" t="n">
        <v>270000</v>
      </c>
      <c r="AB175" s="80"/>
      <c r="AC175" s="157" t="s">
        <v>3619</v>
      </c>
      <c r="AD175" s="157" t="s">
        <v>3620</v>
      </c>
      <c r="AE175" s="281" t="s">
        <v>3171</v>
      </c>
      <c r="AF175" s="281" t="s">
        <v>3621</v>
      </c>
      <c r="AI175" s="157" t="e">
        <f aca="false">IF(AND($E175=Subj_OccCode,Subj_BldgSF&gt;0,ABS($L175-Subj_BldgSF)&lt;=Subj_BldgSF*Subj_SizeTol),ABS($L175-Subj_BldgSF),NA())</f>
        <v>#N/A</v>
      </c>
      <c r="AJ175" s="1" t="e">
        <f aca="false">IF(ISNA(AI175),NA(),AI175+ROW()/10000000)</f>
        <v>#N/A</v>
      </c>
      <c r="AK175" s="157" t="str">
        <f aca="false">IF(AND(ISNUMBER($N175),$N175&gt;0,ISNUMBER($Y175)),$Y175/$N175,"")</f>
        <v/>
      </c>
    </row>
    <row r="176" customFormat="false" ht="15" hidden="false" customHeight="true" outlineLevel="0" collapsed="false">
      <c r="A176" s="441" t="n">
        <v>7</v>
      </c>
      <c r="B176" s="157" t="n">
        <v>168</v>
      </c>
      <c r="C176" s="157" t="s">
        <v>3622</v>
      </c>
      <c r="D176" s="157" t="s">
        <v>3623</v>
      </c>
      <c r="E176" s="157" t="n">
        <v>425</v>
      </c>
      <c r="F176" s="157" t="s">
        <v>2921</v>
      </c>
      <c r="G176" s="157" t="s">
        <v>2691</v>
      </c>
      <c r="H176" s="78" t="n">
        <f aca="false">Y176/J176</f>
        <v>33.0357142857143</v>
      </c>
      <c r="I176" s="442" t="n">
        <v>44755</v>
      </c>
      <c r="J176" s="157" t="n">
        <v>7560</v>
      </c>
      <c r="K176" s="78"/>
      <c r="L176" s="157" t="n">
        <v>7560</v>
      </c>
      <c r="M176" s="157" t="n">
        <v>2022</v>
      </c>
      <c r="R176" s="174" t="s">
        <v>279</v>
      </c>
      <c r="S176" s="157" t="n">
        <v>0</v>
      </c>
      <c r="T176" s="443" t="n">
        <f aca="false">S176/L176</f>
        <v>0</v>
      </c>
      <c r="U176" s="157" t="s">
        <v>279</v>
      </c>
      <c r="V176" s="443"/>
      <c r="W176" s="443"/>
      <c r="X176" s="443"/>
      <c r="Y176" s="80" t="n">
        <v>249750</v>
      </c>
      <c r="Z176" s="80"/>
      <c r="AA176" s="80" t="n">
        <v>249750</v>
      </c>
      <c r="AB176" s="80"/>
      <c r="AC176" s="157" t="s">
        <v>3624</v>
      </c>
      <c r="AD176" s="157" t="s">
        <v>3625</v>
      </c>
      <c r="AE176" s="281" t="s">
        <v>3171</v>
      </c>
      <c r="AF176" s="281" t="s">
        <v>3626</v>
      </c>
      <c r="AI176" s="157" t="e">
        <f aca="false">IF(AND($E176=Subj_OccCode,Subj_BldgSF&gt;0,ABS($L176-Subj_BldgSF)&lt;=Subj_BldgSF*Subj_SizeTol),ABS($L176-Subj_BldgSF),NA())</f>
        <v>#N/A</v>
      </c>
      <c r="AJ176" s="1" t="e">
        <f aca="false">IF(ISNA(AI176),NA(),AI176+ROW()/10000000)</f>
        <v>#N/A</v>
      </c>
      <c r="AK176" s="157" t="str">
        <f aca="false">IF(AND(ISNUMBER($N176),$N176&gt;0,ISNUMBER($Y176)),$Y176/$N176,"")</f>
        <v/>
      </c>
    </row>
    <row r="177" customFormat="false" ht="15" hidden="false" customHeight="true" outlineLevel="0" collapsed="false">
      <c r="A177" s="441" t="n">
        <v>7</v>
      </c>
      <c r="B177" s="157" t="n">
        <v>169</v>
      </c>
      <c r="C177" s="157" t="s">
        <v>3627</v>
      </c>
      <c r="D177" s="157" t="s">
        <v>3628</v>
      </c>
      <c r="E177" s="157" t="n">
        <v>328</v>
      </c>
      <c r="G177" s="157" t="s">
        <v>352</v>
      </c>
      <c r="H177" s="78" t="n">
        <f aca="false">Y177/J177</f>
        <v>115.782593856655</v>
      </c>
      <c r="I177" s="442" t="n">
        <v>45390</v>
      </c>
      <c r="J177" s="157" t="n">
        <v>2930</v>
      </c>
      <c r="K177" s="78"/>
      <c r="L177" s="157" t="n">
        <v>2930</v>
      </c>
      <c r="M177" s="157" t="n">
        <v>2024</v>
      </c>
      <c r="R177" s="174" t="s">
        <v>279</v>
      </c>
      <c r="T177" s="443" t="n">
        <f aca="false">S177/L177</f>
        <v>0</v>
      </c>
      <c r="U177" s="157" t="s">
        <v>279</v>
      </c>
      <c r="V177" s="443"/>
      <c r="W177" s="443"/>
      <c r="X177" s="443"/>
      <c r="Y177" s="80" t="n">
        <v>339243</v>
      </c>
      <c r="Z177" s="80"/>
      <c r="AA177" s="80" t="n">
        <v>339243</v>
      </c>
      <c r="AB177" s="80"/>
      <c r="AC177" s="157" t="s">
        <v>3629</v>
      </c>
      <c r="AD177" s="157" t="s">
        <v>3630</v>
      </c>
      <c r="AE177" s="281" t="s">
        <v>3353</v>
      </c>
      <c r="AF177" s="281" t="s">
        <v>3631</v>
      </c>
      <c r="AI177" s="157" t="e">
        <f aca="false">IF(AND($E177=Subj_OccCode,Subj_BldgSF&gt;0,ABS($L177-Subj_BldgSF)&lt;=Subj_BldgSF*Subj_SizeTol),ABS($L177-Subj_BldgSF),NA())</f>
        <v>#N/A</v>
      </c>
      <c r="AJ177" s="1" t="e">
        <f aca="false">IF(ISNA(AI177),NA(),AI177+ROW()/10000000)</f>
        <v>#N/A</v>
      </c>
      <c r="AK177" s="157" t="str">
        <f aca="false">IF(AND(ISNUMBER($N177),$N177&gt;0,ISNUMBER($Y177)),$Y177/$N177,"")</f>
        <v/>
      </c>
    </row>
    <row r="178" customFormat="false" ht="15" hidden="false" customHeight="true" outlineLevel="0" collapsed="false">
      <c r="A178" s="441" t="n">
        <v>7</v>
      </c>
      <c r="B178" s="157" t="n">
        <v>170</v>
      </c>
      <c r="C178" s="157" t="s">
        <v>3632</v>
      </c>
      <c r="D178" s="157" t="s">
        <v>3633</v>
      </c>
      <c r="E178" s="157" t="n">
        <v>328</v>
      </c>
      <c r="G178" s="157" t="s">
        <v>352</v>
      </c>
      <c r="H178" s="78" t="n">
        <f aca="false">Y178/J178</f>
        <v>102.47747440273</v>
      </c>
      <c r="I178" s="442" t="n">
        <v>45390</v>
      </c>
      <c r="J178" s="157" t="n">
        <v>2930</v>
      </c>
      <c r="K178" s="78"/>
      <c r="L178" s="157" t="n">
        <v>2930</v>
      </c>
      <c r="M178" s="157" t="n">
        <v>2024</v>
      </c>
      <c r="R178" s="174" t="s">
        <v>279</v>
      </c>
      <c r="T178" s="443" t="n">
        <f aca="false">S178/L178</f>
        <v>0</v>
      </c>
      <c r="U178" s="157" t="s">
        <v>279</v>
      </c>
      <c r="V178" s="443"/>
      <c r="W178" s="443"/>
      <c r="X178" s="443"/>
      <c r="Y178" s="80" t="n">
        <v>300259</v>
      </c>
      <c r="Z178" s="80"/>
      <c r="AA178" s="80" t="n">
        <v>300259</v>
      </c>
      <c r="AB178" s="80"/>
      <c r="AC178" s="157" t="s">
        <v>3634</v>
      </c>
      <c r="AD178" s="157" t="s">
        <v>3635</v>
      </c>
      <c r="AE178" s="281" t="s">
        <v>3353</v>
      </c>
      <c r="AF178" s="281" t="s">
        <v>3636</v>
      </c>
      <c r="AI178" s="157" t="e">
        <f aca="false">IF(AND($E178=Subj_OccCode,Subj_BldgSF&gt;0,ABS($L178-Subj_BldgSF)&lt;=Subj_BldgSF*Subj_SizeTol),ABS($L178-Subj_BldgSF),NA())</f>
        <v>#N/A</v>
      </c>
      <c r="AJ178" s="1" t="e">
        <f aca="false">IF(ISNA(AI178),NA(),AI178+ROW()/10000000)</f>
        <v>#N/A</v>
      </c>
      <c r="AK178" s="157" t="str">
        <f aca="false">IF(AND(ISNUMBER($N178),$N178&gt;0,ISNUMBER($Y178)),$Y178/$N178,"")</f>
        <v/>
      </c>
    </row>
    <row r="179" customFormat="false" ht="15" hidden="false" customHeight="true" outlineLevel="0" collapsed="false">
      <c r="A179" s="441" t="n">
        <v>7</v>
      </c>
      <c r="B179" s="157" t="n">
        <v>171</v>
      </c>
      <c r="C179" s="157" t="s">
        <v>3637</v>
      </c>
      <c r="D179" s="157" t="s">
        <v>3638</v>
      </c>
      <c r="E179" s="157" t="n">
        <v>328</v>
      </c>
      <c r="G179" s="157" t="s">
        <v>352</v>
      </c>
      <c r="H179" s="78" t="n">
        <f aca="false">Y179/J179</f>
        <v>106.067576791809</v>
      </c>
      <c r="I179" s="442" t="n">
        <v>45390</v>
      </c>
      <c r="J179" s="157" t="n">
        <v>2930</v>
      </c>
      <c r="K179" s="78"/>
      <c r="L179" s="157" t="n">
        <v>2930</v>
      </c>
      <c r="M179" s="157" t="n">
        <v>2024</v>
      </c>
      <c r="R179" s="174" t="s">
        <v>279</v>
      </c>
      <c r="T179" s="443" t="n">
        <f aca="false">S179/L179</f>
        <v>0</v>
      </c>
      <c r="U179" s="157" t="s">
        <v>279</v>
      </c>
      <c r="V179" s="443"/>
      <c r="W179" s="443"/>
      <c r="X179" s="443"/>
      <c r="Y179" s="80" t="n">
        <v>310778</v>
      </c>
      <c r="Z179" s="80"/>
      <c r="AA179" s="80" t="n">
        <v>310778</v>
      </c>
      <c r="AB179" s="80"/>
      <c r="AC179" s="157" t="s">
        <v>3639</v>
      </c>
      <c r="AD179" s="157" t="s">
        <v>3640</v>
      </c>
      <c r="AE179" s="281" t="s">
        <v>3353</v>
      </c>
      <c r="AF179" s="281" t="s">
        <v>3641</v>
      </c>
      <c r="AI179" s="157" t="e">
        <f aca="false">IF(AND($E179=Subj_OccCode,Subj_BldgSF&gt;0,ABS($L179-Subj_BldgSF)&lt;=Subj_BldgSF*Subj_SizeTol),ABS($L179-Subj_BldgSF),NA())</f>
        <v>#N/A</v>
      </c>
      <c r="AJ179" s="1" t="e">
        <f aca="false">IF(ISNA(AI179),NA(),AI179+ROW()/10000000)</f>
        <v>#N/A</v>
      </c>
      <c r="AK179" s="157" t="str">
        <f aca="false">IF(AND(ISNUMBER($N179),$N179&gt;0,ISNUMBER($Y179)),$Y179/$N179,"")</f>
        <v/>
      </c>
    </row>
    <row r="180" customFormat="false" ht="15" hidden="false" customHeight="true" outlineLevel="0" collapsed="false">
      <c r="A180" s="441" t="n">
        <v>7</v>
      </c>
      <c r="B180" s="157" t="n">
        <v>172</v>
      </c>
      <c r="C180" s="157" t="s">
        <v>3642</v>
      </c>
      <c r="D180" s="157" t="s">
        <v>3643</v>
      </c>
      <c r="E180" s="157" t="n">
        <v>328</v>
      </c>
      <c r="G180" s="157" t="s">
        <v>352</v>
      </c>
      <c r="H180" s="78" t="n">
        <f aca="false">Y180/J180</f>
        <v>106.067576791809</v>
      </c>
      <c r="I180" s="442" t="n">
        <v>45390</v>
      </c>
      <c r="J180" s="157" t="n">
        <v>2930</v>
      </c>
      <c r="K180" s="78"/>
      <c r="L180" s="157" t="n">
        <v>2930</v>
      </c>
      <c r="M180" s="157" t="n">
        <v>2024</v>
      </c>
      <c r="R180" s="174" t="s">
        <v>279</v>
      </c>
      <c r="T180" s="443" t="n">
        <f aca="false">S180/L180</f>
        <v>0</v>
      </c>
      <c r="U180" s="157" t="s">
        <v>279</v>
      </c>
      <c r="V180" s="443"/>
      <c r="W180" s="443"/>
      <c r="X180" s="443"/>
      <c r="Y180" s="80" t="n">
        <v>310778</v>
      </c>
      <c r="Z180" s="80"/>
      <c r="AA180" s="80" t="n">
        <v>310778</v>
      </c>
      <c r="AB180" s="80"/>
      <c r="AC180" s="157" t="s">
        <v>3644</v>
      </c>
      <c r="AD180" s="157" t="s">
        <v>3645</v>
      </c>
      <c r="AE180" s="281" t="s">
        <v>3353</v>
      </c>
      <c r="AF180" s="281" t="s">
        <v>3641</v>
      </c>
      <c r="AI180" s="157" t="e">
        <f aca="false">IF(AND($E180=Subj_OccCode,Subj_BldgSF&gt;0,ABS($L180-Subj_BldgSF)&lt;=Subj_BldgSF*Subj_SizeTol),ABS($L180-Subj_BldgSF),NA())</f>
        <v>#N/A</v>
      </c>
      <c r="AJ180" s="1" t="e">
        <f aca="false">IF(ISNA(AI180),NA(),AI180+ROW()/10000000)</f>
        <v>#N/A</v>
      </c>
      <c r="AK180" s="157" t="str">
        <f aca="false">IF(AND(ISNUMBER($N180),$N180&gt;0,ISNUMBER($Y180)),$Y180/$N180,"")</f>
        <v/>
      </c>
    </row>
    <row r="181" customFormat="false" ht="15" hidden="false" customHeight="true" outlineLevel="0" collapsed="false">
      <c r="A181" s="441" t="n">
        <v>7</v>
      </c>
      <c r="B181" s="157" t="n">
        <v>173</v>
      </c>
      <c r="C181" s="157" t="s">
        <v>3646</v>
      </c>
      <c r="D181" s="157" t="s">
        <v>3647</v>
      </c>
      <c r="E181" s="157" t="n">
        <v>425</v>
      </c>
      <c r="F181" s="157" t="s">
        <v>2921</v>
      </c>
      <c r="G181" s="157" t="s">
        <v>2691</v>
      </c>
      <c r="H181" s="78" t="n">
        <f aca="false">Y181/J181</f>
        <v>17.4155929652967</v>
      </c>
      <c r="I181" s="442" t="n">
        <v>45377</v>
      </c>
      <c r="J181" s="157" t="n">
        <v>21266</v>
      </c>
      <c r="K181" s="78"/>
      <c r="L181" s="157" t="n">
        <v>21266</v>
      </c>
      <c r="M181" s="157" t="n">
        <v>2023</v>
      </c>
      <c r="R181" s="174" t="s">
        <v>279</v>
      </c>
      <c r="S181" s="157" t="n">
        <v>3398</v>
      </c>
      <c r="T181" s="443" t="n">
        <f aca="false">S181/L181</f>
        <v>0.159785573215461</v>
      </c>
      <c r="U181" s="157" t="s">
        <v>279</v>
      </c>
      <c r="V181" s="443"/>
      <c r="W181" s="443"/>
      <c r="X181" s="443"/>
      <c r="Y181" s="80" t="n">
        <v>370360</v>
      </c>
      <c r="Z181" s="80"/>
      <c r="AA181" s="80" t="n">
        <v>370360</v>
      </c>
      <c r="AB181" s="80"/>
      <c r="AC181" s="157" t="s">
        <v>3648</v>
      </c>
      <c r="AD181" s="157" t="s">
        <v>3649</v>
      </c>
      <c r="AE181" s="281" t="s">
        <v>3171</v>
      </c>
      <c r="AF181" s="281" t="s">
        <v>3650</v>
      </c>
      <c r="AI181" s="157" t="e">
        <f aca="false">IF(AND($E181=Subj_OccCode,Subj_BldgSF&gt;0,ABS($L181-Subj_BldgSF)&lt;=Subj_BldgSF*Subj_SizeTol),ABS($L181-Subj_BldgSF),NA())</f>
        <v>#N/A</v>
      </c>
      <c r="AJ181" s="1" t="e">
        <f aca="false">IF(ISNA(AI181),NA(),AI181+ROW()/10000000)</f>
        <v>#N/A</v>
      </c>
      <c r="AK181" s="157" t="str">
        <f aca="false">IF(AND(ISNUMBER($N181),$N181&gt;0,ISNUMBER($Y181)),$Y181/$N181,"")</f>
        <v/>
      </c>
    </row>
    <row r="182" customFormat="false" ht="15" hidden="false" customHeight="true" outlineLevel="0" collapsed="false">
      <c r="A182" s="441" t="n">
        <v>7</v>
      </c>
      <c r="B182" s="157" t="n">
        <v>174</v>
      </c>
      <c r="C182" s="157" t="s">
        <v>3651</v>
      </c>
      <c r="D182" s="157" t="s">
        <v>2670</v>
      </c>
      <c r="E182" s="157" t="n">
        <v>344</v>
      </c>
      <c r="F182" s="157" t="s">
        <v>2921</v>
      </c>
      <c r="G182" s="157" t="s">
        <v>354</v>
      </c>
      <c r="H182" s="78" t="n">
        <f aca="false">Y182/J182</f>
        <v>19.6067724275445</v>
      </c>
      <c r="I182" s="442" t="n">
        <v>45405</v>
      </c>
      <c r="J182" s="157" t="n">
        <v>57173</v>
      </c>
      <c r="K182" s="78"/>
      <c r="L182" s="157" t="n">
        <v>57173</v>
      </c>
      <c r="M182" s="157" t="n">
        <v>2007</v>
      </c>
      <c r="R182" s="174" t="s">
        <v>279</v>
      </c>
      <c r="T182" s="443" t="n">
        <f aca="false">S182/L182</f>
        <v>0</v>
      </c>
      <c r="U182" s="157" t="s">
        <v>279</v>
      </c>
      <c r="V182" s="443"/>
      <c r="W182" s="443"/>
      <c r="X182" s="443"/>
      <c r="Y182" s="80" t="n">
        <v>1120978</v>
      </c>
      <c r="Z182" s="80"/>
      <c r="AA182" s="80" t="n">
        <v>1120978</v>
      </c>
      <c r="AB182" s="80"/>
      <c r="AC182" s="157" t="s">
        <v>3652</v>
      </c>
      <c r="AD182" s="157" t="s">
        <v>3653</v>
      </c>
      <c r="AE182" s="281" t="s">
        <v>3654</v>
      </c>
      <c r="AF182" s="281" t="s">
        <v>3655</v>
      </c>
      <c r="AI182" s="157" t="e">
        <f aca="false">IF(AND($E182=Subj_OccCode,Subj_BldgSF&gt;0,ABS($L182-Subj_BldgSF)&lt;=Subj_BldgSF*Subj_SizeTol),ABS($L182-Subj_BldgSF),NA())</f>
        <v>#N/A</v>
      </c>
      <c r="AJ182" s="1" t="e">
        <f aca="false">IF(ISNA(AI182),NA(),AI182+ROW()/10000000)</f>
        <v>#N/A</v>
      </c>
      <c r="AK182" s="157" t="str">
        <f aca="false">IF(AND(ISNUMBER($N182),$N182&gt;0,ISNUMBER($Y182)),$Y182/$N182,"")</f>
        <v/>
      </c>
    </row>
    <row r="183" customFormat="false" ht="15" hidden="false" customHeight="true" outlineLevel="0" collapsed="false">
      <c r="A183" s="441" t="n">
        <v>7</v>
      </c>
      <c r="B183" s="157" t="n">
        <v>175</v>
      </c>
      <c r="C183" s="157" t="s">
        <v>3656</v>
      </c>
      <c r="D183" s="157" t="s">
        <v>3657</v>
      </c>
      <c r="E183" s="157" t="n">
        <v>344</v>
      </c>
      <c r="F183" s="157" t="s">
        <v>260</v>
      </c>
      <c r="G183" s="157" t="s">
        <v>353</v>
      </c>
      <c r="H183" s="78" t="n">
        <f aca="false">Y183/J183</f>
        <v>128.255722178374</v>
      </c>
      <c r="I183" s="442" t="n">
        <v>44995</v>
      </c>
      <c r="J183" s="157" t="n">
        <v>5068</v>
      </c>
      <c r="K183" s="78"/>
      <c r="L183" s="157" t="n">
        <v>5068</v>
      </c>
      <c r="M183" s="157" t="n">
        <v>1917</v>
      </c>
      <c r="P183" s="157" t="s">
        <v>3265</v>
      </c>
      <c r="R183" s="174" t="s">
        <v>279</v>
      </c>
      <c r="S183" s="157" t="n">
        <v>3185</v>
      </c>
      <c r="T183" s="443" t="n">
        <f aca="false">S183/L183</f>
        <v>0.628453038674033</v>
      </c>
      <c r="U183" s="157" t="s">
        <v>279</v>
      </c>
      <c r="V183" s="443"/>
      <c r="W183" s="443"/>
      <c r="X183" s="443"/>
      <c r="Y183" s="80" t="n">
        <v>650000</v>
      </c>
      <c r="Z183" s="80"/>
      <c r="AA183" s="80" t="n">
        <v>650000</v>
      </c>
      <c r="AB183" s="80"/>
      <c r="AC183" s="157" t="s">
        <v>3658</v>
      </c>
      <c r="AD183" s="157" t="s">
        <v>3659</v>
      </c>
      <c r="AE183" s="281" t="s">
        <v>3660</v>
      </c>
      <c r="AF183" s="281" t="s">
        <v>3661</v>
      </c>
      <c r="AI183" s="157" t="e">
        <f aca="false">IF(AND($E183=Subj_OccCode,Subj_BldgSF&gt;0,ABS($L183-Subj_BldgSF)&lt;=Subj_BldgSF*Subj_SizeTol),ABS($L183-Subj_BldgSF),NA())</f>
        <v>#N/A</v>
      </c>
      <c r="AJ183" s="1" t="e">
        <f aca="false">IF(ISNA(AI183),NA(),AI183+ROW()/10000000)</f>
        <v>#N/A</v>
      </c>
      <c r="AK183" s="157" t="str">
        <f aca="false">IF(AND(ISNUMBER($N183),$N183&gt;0,ISNUMBER($Y183)),$Y183/$N183,"")</f>
        <v/>
      </c>
    </row>
    <row r="184" customFormat="false" ht="15" hidden="false" customHeight="true" outlineLevel="0" collapsed="false">
      <c r="A184" s="441" t="n">
        <v>7</v>
      </c>
      <c r="B184" s="157" t="n">
        <v>176</v>
      </c>
      <c r="C184" s="157" t="s">
        <v>3662</v>
      </c>
      <c r="D184" s="157" t="s">
        <v>3663</v>
      </c>
      <c r="E184" s="157" t="n">
        <v>1344</v>
      </c>
      <c r="F184" s="157" t="s">
        <v>2566</v>
      </c>
      <c r="G184" s="157" t="s">
        <v>2567</v>
      </c>
      <c r="H184" s="78" t="n">
        <f aca="false">Y184/J184</f>
        <v>2.96296296296296</v>
      </c>
      <c r="I184" s="442" t="n">
        <v>45104</v>
      </c>
      <c r="J184" s="157" t="n">
        <v>84375</v>
      </c>
      <c r="K184" s="78"/>
      <c r="L184" s="157" t="n">
        <v>84375</v>
      </c>
      <c r="M184" s="157" t="n">
        <v>1984</v>
      </c>
      <c r="P184" s="157" t="s">
        <v>3569</v>
      </c>
      <c r="R184" s="174" t="s">
        <v>279</v>
      </c>
      <c r="S184" s="157" t="n">
        <v>1108</v>
      </c>
      <c r="T184" s="443" t="n">
        <f aca="false">S184/L184</f>
        <v>0.0131318518518519</v>
      </c>
      <c r="U184" s="157" t="s">
        <v>279</v>
      </c>
      <c r="V184" s="443"/>
      <c r="W184" s="443"/>
      <c r="X184" s="443"/>
      <c r="Y184" s="80" t="n">
        <v>250000</v>
      </c>
      <c r="Z184" s="80"/>
      <c r="AA184" s="80" t="n">
        <v>250000</v>
      </c>
      <c r="AB184" s="80"/>
      <c r="AC184" s="157" t="s">
        <v>3664</v>
      </c>
      <c r="AD184" s="157" t="s">
        <v>3665</v>
      </c>
      <c r="AE184" s="281" t="s">
        <v>3666</v>
      </c>
      <c r="AF184" s="281" t="s">
        <v>3667</v>
      </c>
      <c r="AI184" s="157" t="e">
        <f aca="false">IF(AND($E184=Subj_OccCode,Subj_BldgSF&gt;0,ABS($L184-Subj_BldgSF)&lt;=Subj_BldgSF*Subj_SizeTol),ABS($L184-Subj_BldgSF),NA())</f>
        <v>#N/A</v>
      </c>
      <c r="AJ184" s="1" t="e">
        <f aca="false">IF(ISNA(AI184),NA(),AI184+ROW()/10000000)</f>
        <v>#N/A</v>
      </c>
      <c r="AK184" s="157" t="str">
        <f aca="false">IF(AND(ISNUMBER($N184),$N184&gt;0,ISNUMBER($Y184)),$Y184/$N184,"")</f>
        <v/>
      </c>
    </row>
    <row r="185" customFormat="false" ht="15" hidden="false" customHeight="true" outlineLevel="0" collapsed="false">
      <c r="A185" s="441" t="n">
        <v>7</v>
      </c>
      <c r="B185" s="157" t="n">
        <v>177</v>
      </c>
      <c r="C185" s="157" t="s">
        <v>3668</v>
      </c>
      <c r="D185" s="157" t="s">
        <v>3669</v>
      </c>
      <c r="E185" s="157" t="n">
        <v>1344</v>
      </c>
      <c r="F185" s="157" t="s">
        <v>2566</v>
      </c>
      <c r="G185" s="157" t="s">
        <v>2567</v>
      </c>
      <c r="H185" s="78" t="n">
        <f aca="false">Y185/J185</f>
        <v>3.55555555555556</v>
      </c>
      <c r="I185" s="442" t="n">
        <v>45044</v>
      </c>
      <c r="J185" s="157" t="n">
        <v>84375</v>
      </c>
      <c r="K185" s="78"/>
      <c r="L185" s="157" t="n">
        <v>84375</v>
      </c>
      <c r="M185" s="157" t="n">
        <v>1984</v>
      </c>
      <c r="P185" s="157" t="s">
        <v>3569</v>
      </c>
      <c r="R185" s="174" t="s">
        <v>279</v>
      </c>
      <c r="S185" s="157" t="n">
        <v>1108</v>
      </c>
      <c r="T185" s="443" t="n">
        <f aca="false">S185/L185</f>
        <v>0.0131318518518519</v>
      </c>
      <c r="U185" s="157" t="s">
        <v>279</v>
      </c>
      <c r="V185" s="443"/>
      <c r="W185" s="443"/>
      <c r="X185" s="443"/>
      <c r="Y185" s="80" t="n">
        <v>300000</v>
      </c>
      <c r="Z185" s="80"/>
      <c r="AA185" s="80" t="n">
        <v>300000</v>
      </c>
      <c r="AB185" s="80"/>
      <c r="AC185" s="157" t="s">
        <v>3670</v>
      </c>
      <c r="AD185" s="157" t="s">
        <v>3671</v>
      </c>
      <c r="AE185" s="281" t="s">
        <v>3672</v>
      </c>
      <c r="AF185" s="281" t="s">
        <v>3673</v>
      </c>
      <c r="AI185" s="157" t="e">
        <f aca="false">IF(AND($E185=Subj_OccCode,Subj_BldgSF&gt;0,ABS($L185-Subj_BldgSF)&lt;=Subj_BldgSF*Subj_SizeTol),ABS($L185-Subj_BldgSF),NA())</f>
        <v>#N/A</v>
      </c>
      <c r="AJ185" s="1" t="e">
        <f aca="false">IF(ISNA(AI185),NA(),AI185+ROW()/10000000)</f>
        <v>#N/A</v>
      </c>
      <c r="AK185" s="157" t="str">
        <f aca="false">IF(AND(ISNUMBER($N185),$N185&gt;0,ISNUMBER($Y185)),$Y185/$N185,"")</f>
        <v/>
      </c>
    </row>
    <row r="186" customFormat="false" ht="15" hidden="false" customHeight="true" outlineLevel="0" collapsed="false">
      <c r="A186" s="441" t="n">
        <v>7</v>
      </c>
      <c r="B186" s="157" t="n">
        <v>178</v>
      </c>
      <c r="C186" s="157" t="s">
        <v>3674</v>
      </c>
      <c r="D186" s="157" t="s">
        <v>3675</v>
      </c>
      <c r="E186" s="157" t="n">
        <v>425</v>
      </c>
      <c r="G186" s="157" t="s">
        <v>2691</v>
      </c>
      <c r="H186" s="78" t="n">
        <f aca="false">Y186/J186</f>
        <v>9.97552670781017</v>
      </c>
      <c r="I186" s="442" t="n">
        <v>45135</v>
      </c>
      <c r="J186" s="157" t="n">
        <v>37592</v>
      </c>
      <c r="K186" s="78"/>
      <c r="L186" s="157" t="n">
        <v>37592</v>
      </c>
      <c r="M186" s="157" t="n">
        <v>2006</v>
      </c>
      <c r="P186" s="157" t="s">
        <v>2692</v>
      </c>
      <c r="R186" s="174" t="s">
        <v>279</v>
      </c>
      <c r="S186" s="157" t="n">
        <v>5399</v>
      </c>
      <c r="T186" s="443" t="n">
        <f aca="false">S186/L186</f>
        <v>0.143620983187912</v>
      </c>
      <c r="U186" s="157" t="s">
        <v>279</v>
      </c>
      <c r="V186" s="443"/>
      <c r="W186" s="443"/>
      <c r="X186" s="443"/>
      <c r="Y186" s="80" t="n">
        <v>375000</v>
      </c>
      <c r="Z186" s="80"/>
      <c r="AA186" s="80" t="n">
        <v>375000</v>
      </c>
      <c r="AB186" s="80"/>
      <c r="AC186" s="157" t="s">
        <v>3676</v>
      </c>
      <c r="AD186" s="157" t="s">
        <v>3677</v>
      </c>
      <c r="AE186" s="281" t="s">
        <v>3678</v>
      </c>
      <c r="AF186" s="281" t="s">
        <v>3679</v>
      </c>
      <c r="AI186" s="157" t="e">
        <f aca="false">IF(AND($E186=Subj_OccCode,Subj_BldgSF&gt;0,ABS($L186-Subj_BldgSF)&lt;=Subj_BldgSF*Subj_SizeTol),ABS($L186-Subj_BldgSF),NA())</f>
        <v>#N/A</v>
      </c>
      <c r="AJ186" s="1" t="e">
        <f aca="false">IF(ISNA(AI186),NA(),AI186+ROW()/10000000)</f>
        <v>#N/A</v>
      </c>
      <c r="AK186" s="157" t="str">
        <f aca="false">IF(AND(ISNUMBER($N186),$N186&gt;0,ISNUMBER($Y186)),$Y186/$N186,"")</f>
        <v/>
      </c>
    </row>
    <row r="187" customFormat="false" ht="15" hidden="false" customHeight="true" outlineLevel="0" collapsed="false">
      <c r="A187" s="441" t="n">
        <v>7</v>
      </c>
      <c r="B187" s="157" t="n">
        <v>179</v>
      </c>
      <c r="C187" s="157" t="s">
        <v>3680</v>
      </c>
      <c r="D187" s="157" t="s">
        <v>3681</v>
      </c>
      <c r="E187" s="157" t="n">
        <v>426</v>
      </c>
      <c r="F187" s="157" t="s">
        <v>2677</v>
      </c>
      <c r="G187" s="157" t="s">
        <v>354</v>
      </c>
      <c r="H187" s="78" t="n">
        <f aca="false">Y187/J187</f>
        <v>182.355651105651</v>
      </c>
      <c r="I187" s="442" t="n">
        <v>45225</v>
      </c>
      <c r="J187" s="157" t="n">
        <v>26048</v>
      </c>
      <c r="K187" s="78"/>
      <c r="L187" s="157" t="n">
        <v>26048</v>
      </c>
      <c r="M187" s="157" t="n">
        <v>2015</v>
      </c>
      <c r="P187" s="157" t="s">
        <v>3413</v>
      </c>
      <c r="R187" s="174" t="s">
        <v>483</v>
      </c>
      <c r="S187" s="157" t="n">
        <v>89095</v>
      </c>
      <c r="T187" s="443" t="n">
        <f aca="false">S187/L187</f>
        <v>3.42041615479116</v>
      </c>
      <c r="U187" s="157" t="s">
        <v>483</v>
      </c>
      <c r="V187" s="443"/>
      <c r="W187" s="443"/>
      <c r="X187" s="443"/>
      <c r="Y187" s="80" t="n">
        <v>4750000</v>
      </c>
      <c r="Z187" s="80"/>
      <c r="AA187" s="80" t="n">
        <v>4750000</v>
      </c>
      <c r="AB187" s="80"/>
      <c r="AC187" s="157" t="s">
        <v>3682</v>
      </c>
      <c r="AD187" s="157" t="s">
        <v>3683</v>
      </c>
      <c r="AE187" s="281" t="s">
        <v>3684</v>
      </c>
      <c r="AF187" s="281" t="s">
        <v>3685</v>
      </c>
      <c r="AI187" s="157" t="e">
        <f aca="false">IF(AND($E187=Subj_OccCode,Subj_BldgSF&gt;0,ABS($L187-Subj_BldgSF)&lt;=Subj_BldgSF*Subj_SizeTol),ABS($L187-Subj_BldgSF),NA())</f>
        <v>#N/A</v>
      </c>
      <c r="AJ187" s="1" t="e">
        <f aca="false">IF(ISNA(AI187),NA(),AI187+ROW()/10000000)</f>
        <v>#N/A</v>
      </c>
      <c r="AK187" s="157" t="str">
        <f aca="false">IF(AND(ISNUMBER($N187),$N187&gt;0,ISNUMBER($Y187)),$Y187/$N187,"")</f>
        <v/>
      </c>
    </row>
    <row r="188" customFormat="false" ht="15" hidden="false" customHeight="true" outlineLevel="0" collapsed="false">
      <c r="A188" s="441" t="n">
        <v>7</v>
      </c>
      <c r="B188" s="157" t="n">
        <v>180</v>
      </c>
      <c r="C188" s="157" t="s">
        <v>3686</v>
      </c>
      <c r="D188" s="157" t="s">
        <v>3687</v>
      </c>
      <c r="E188" s="157" t="n">
        <v>406</v>
      </c>
      <c r="G188" s="157" t="s">
        <v>2691</v>
      </c>
      <c r="H188" s="78" t="n">
        <f aca="false">Y188/J188</f>
        <v>177.083333333333</v>
      </c>
      <c r="I188" s="442" t="n">
        <v>45317</v>
      </c>
      <c r="J188" s="157" t="n">
        <v>4800</v>
      </c>
      <c r="K188" s="78"/>
      <c r="L188" s="157" t="n">
        <v>4800</v>
      </c>
      <c r="M188" s="157" t="n">
        <v>2007</v>
      </c>
      <c r="P188" s="157" t="s">
        <v>2692</v>
      </c>
      <c r="R188" s="174" t="s">
        <v>279</v>
      </c>
      <c r="S188" s="157" t="n">
        <v>13316</v>
      </c>
      <c r="T188" s="443" t="n">
        <f aca="false">S188/L188</f>
        <v>2.77416666666667</v>
      </c>
      <c r="U188" s="157" t="s">
        <v>279</v>
      </c>
      <c r="V188" s="443"/>
      <c r="W188" s="443"/>
      <c r="X188" s="443"/>
      <c r="Y188" s="80" t="n">
        <v>850000</v>
      </c>
      <c r="Z188" s="80"/>
      <c r="AA188" s="80" t="n">
        <v>850000</v>
      </c>
      <c r="AB188" s="80"/>
      <c r="AC188" s="157" t="s">
        <v>3688</v>
      </c>
      <c r="AD188" s="157" t="s">
        <v>3689</v>
      </c>
      <c r="AE188" s="281" t="s">
        <v>3690</v>
      </c>
      <c r="AF188" s="281" t="s">
        <v>2881</v>
      </c>
      <c r="AI188" s="157" t="e">
        <f aca="false">IF(AND($E188=Subj_OccCode,Subj_BldgSF&gt;0,ABS($L188-Subj_BldgSF)&lt;=Subj_BldgSF*Subj_SizeTol),ABS($L188-Subj_BldgSF),NA())</f>
        <v>#N/A</v>
      </c>
      <c r="AJ188" s="1" t="e">
        <f aca="false">IF(ISNA(AI188),NA(),AI188+ROW()/10000000)</f>
        <v>#N/A</v>
      </c>
      <c r="AK188" s="157" t="str">
        <f aca="false">IF(AND(ISNUMBER($N188),$N188&gt;0,ISNUMBER($Y188)),$Y188/$N188,"")</f>
        <v/>
      </c>
    </row>
    <row r="189" customFormat="false" ht="15" hidden="false" customHeight="true" outlineLevel="0" collapsed="false">
      <c r="A189" s="441" t="n">
        <v>7</v>
      </c>
      <c r="B189" s="157" t="n">
        <v>181</v>
      </c>
      <c r="C189" s="157" t="s">
        <v>3691</v>
      </c>
      <c r="D189" s="157" t="s">
        <v>3692</v>
      </c>
      <c r="E189" s="157" t="n">
        <v>353</v>
      </c>
      <c r="F189" s="157" t="s">
        <v>2921</v>
      </c>
      <c r="G189" s="157" t="s">
        <v>2691</v>
      </c>
      <c r="H189" s="78" t="n">
        <f aca="false">Y189/J189</f>
        <v>257.142857142857</v>
      </c>
      <c r="I189" s="442" t="n">
        <v>44960</v>
      </c>
      <c r="J189" s="157" t="n">
        <v>7000</v>
      </c>
      <c r="K189" s="78"/>
      <c r="L189" s="157" t="n">
        <v>7000</v>
      </c>
      <c r="M189" s="157" t="n">
        <v>1999</v>
      </c>
      <c r="P189" s="157" t="s">
        <v>3388</v>
      </c>
      <c r="R189" s="174" t="s">
        <v>279</v>
      </c>
      <c r="S189" s="157" t="n">
        <v>37592.28</v>
      </c>
      <c r="T189" s="443" t="n">
        <f aca="false">S189/L189</f>
        <v>5.37032571428571</v>
      </c>
      <c r="U189" s="157" t="s">
        <v>279</v>
      </c>
      <c r="V189" s="443"/>
      <c r="W189" s="443"/>
      <c r="X189" s="443"/>
      <c r="Y189" s="80" t="n">
        <v>1800000</v>
      </c>
      <c r="Z189" s="80"/>
      <c r="AA189" s="80" t="n">
        <v>1800000</v>
      </c>
      <c r="AB189" s="80"/>
      <c r="AC189" s="157" t="s">
        <v>3693</v>
      </c>
      <c r="AD189" s="157" t="s">
        <v>3694</v>
      </c>
      <c r="AE189" s="281" t="s">
        <v>3695</v>
      </c>
      <c r="AF189" s="281" t="s">
        <v>3696</v>
      </c>
      <c r="AI189" s="157" t="e">
        <f aca="false">IF(AND($E189=Subj_OccCode,Subj_BldgSF&gt;0,ABS($L189-Subj_BldgSF)&lt;=Subj_BldgSF*Subj_SizeTol),ABS($L189-Subj_BldgSF),NA())</f>
        <v>#N/A</v>
      </c>
      <c r="AJ189" s="1" t="e">
        <f aca="false">IF(ISNA(AI189),NA(),AI189+ROW()/10000000)</f>
        <v>#N/A</v>
      </c>
      <c r="AK189" s="157" t="str">
        <f aca="false">IF(AND(ISNUMBER($N189),$N189&gt;0,ISNUMBER($Y189)),$Y189/$N189,"")</f>
        <v/>
      </c>
    </row>
    <row r="190" customFormat="false" ht="15" hidden="false" customHeight="true" outlineLevel="0" collapsed="false">
      <c r="A190" s="441" t="n">
        <v>7</v>
      </c>
      <c r="B190" s="157" t="n">
        <v>182</v>
      </c>
      <c r="C190" s="157" t="s">
        <v>3697</v>
      </c>
      <c r="D190" s="157" t="s">
        <v>3698</v>
      </c>
      <c r="E190" s="157" t="n">
        <v>425</v>
      </c>
      <c r="F190" s="157" t="s">
        <v>2921</v>
      </c>
      <c r="G190" s="157" t="s">
        <v>2691</v>
      </c>
      <c r="H190" s="78" t="n">
        <f aca="false">Y190/J190</f>
        <v>16</v>
      </c>
      <c r="I190" s="442" t="n">
        <v>45159</v>
      </c>
      <c r="J190" s="157" t="n">
        <v>30000</v>
      </c>
      <c r="K190" s="78"/>
      <c r="L190" s="157" t="n">
        <v>30000</v>
      </c>
      <c r="M190" s="157" t="n">
        <v>2000</v>
      </c>
      <c r="P190" s="157" t="s">
        <v>3181</v>
      </c>
      <c r="R190" s="174" t="s">
        <v>279</v>
      </c>
      <c r="S190" s="157" t="n">
        <v>7949</v>
      </c>
      <c r="T190" s="443" t="n">
        <f aca="false">S190/L190</f>
        <v>0.264966666666667</v>
      </c>
      <c r="U190" s="157" t="s">
        <v>279</v>
      </c>
      <c r="V190" s="443"/>
      <c r="W190" s="443"/>
      <c r="X190" s="443"/>
      <c r="Y190" s="80" t="n">
        <v>480000</v>
      </c>
      <c r="Z190" s="80"/>
      <c r="AA190" s="80" t="n">
        <v>480000</v>
      </c>
      <c r="AB190" s="80"/>
      <c r="AC190" s="157" t="s">
        <v>3699</v>
      </c>
      <c r="AD190" s="157" t="s">
        <v>3700</v>
      </c>
      <c r="AE190" s="281" t="s">
        <v>3701</v>
      </c>
      <c r="AF190" s="281" t="s">
        <v>3702</v>
      </c>
      <c r="AI190" s="157" t="e">
        <f aca="false">IF(AND($E190=Subj_OccCode,Subj_BldgSF&gt;0,ABS($L190-Subj_BldgSF)&lt;=Subj_BldgSF*Subj_SizeTol),ABS($L190-Subj_BldgSF),NA())</f>
        <v>#N/A</v>
      </c>
      <c r="AJ190" s="1" t="e">
        <f aca="false">IF(ISNA(AI190),NA(),AI190+ROW()/10000000)</f>
        <v>#N/A</v>
      </c>
      <c r="AK190" s="157" t="str">
        <f aca="false">IF(AND(ISNUMBER($N190),$N190&gt;0,ISNUMBER($Y190)),$Y190/$N190,"")</f>
        <v/>
      </c>
    </row>
    <row r="191" customFormat="false" ht="15" hidden="false" customHeight="true" outlineLevel="0" collapsed="false">
      <c r="A191" s="441" t="n">
        <v>7</v>
      </c>
      <c r="B191" s="157" t="n">
        <v>183</v>
      </c>
      <c r="C191" s="157" t="s">
        <v>3703</v>
      </c>
      <c r="D191" s="157" t="s">
        <v>3704</v>
      </c>
      <c r="E191" s="157" t="n">
        <v>407</v>
      </c>
      <c r="F191" s="157" t="s">
        <v>2921</v>
      </c>
      <c r="G191" s="157" t="s">
        <v>2691</v>
      </c>
      <c r="H191" s="78" t="n">
        <f aca="false">Y191/J191</f>
        <v>152.237390501385</v>
      </c>
      <c r="I191" s="442" t="n">
        <v>45301</v>
      </c>
      <c r="J191" s="157" t="n">
        <v>80138</v>
      </c>
      <c r="K191" s="78"/>
      <c r="L191" s="157" t="n">
        <v>80138</v>
      </c>
      <c r="M191" s="157" t="n">
        <v>1994</v>
      </c>
      <c r="P191" s="157" t="s">
        <v>3181</v>
      </c>
      <c r="R191" s="174" t="s">
        <v>279</v>
      </c>
      <c r="S191" s="157" t="n">
        <v>136035</v>
      </c>
      <c r="T191" s="443" t="n">
        <f aca="false">S191/L191</f>
        <v>1.6975092964636</v>
      </c>
      <c r="U191" s="157" t="s">
        <v>279</v>
      </c>
      <c r="V191" s="443"/>
      <c r="W191" s="443"/>
      <c r="X191" s="443"/>
      <c r="Y191" s="80" t="n">
        <v>12200000</v>
      </c>
      <c r="Z191" s="80"/>
      <c r="AA191" s="80" t="n">
        <v>12200000</v>
      </c>
      <c r="AB191" s="80"/>
      <c r="AC191" s="157" t="s">
        <v>3705</v>
      </c>
      <c r="AD191" s="157" t="s">
        <v>3706</v>
      </c>
      <c r="AE191" s="281" t="s">
        <v>3707</v>
      </c>
      <c r="AF191" s="281" t="s">
        <v>3708</v>
      </c>
      <c r="AI191" s="157" t="e">
        <f aca="false">IF(AND($E191=Subj_OccCode,Subj_BldgSF&gt;0,ABS($L191-Subj_BldgSF)&lt;=Subj_BldgSF*Subj_SizeTol),ABS($L191-Subj_BldgSF),NA())</f>
        <v>#N/A</v>
      </c>
      <c r="AJ191" s="1" t="e">
        <f aca="false">IF(ISNA(AI191),NA(),AI191+ROW()/10000000)</f>
        <v>#N/A</v>
      </c>
      <c r="AK191" s="157" t="str">
        <f aca="false">IF(AND(ISNUMBER($N191),$N191&gt;0,ISNUMBER($Y191)),$Y191/$N191,"")</f>
        <v/>
      </c>
    </row>
    <row r="192" customFormat="false" ht="15" hidden="false" customHeight="true" outlineLevel="0" collapsed="false">
      <c r="A192" s="441" t="n">
        <v>7</v>
      </c>
      <c r="B192" s="157" t="n">
        <v>184</v>
      </c>
      <c r="C192" s="157" t="s">
        <v>3709</v>
      </c>
      <c r="D192" s="157" t="s">
        <v>3710</v>
      </c>
      <c r="E192" s="157" t="n">
        <v>353</v>
      </c>
      <c r="F192" s="157" t="s">
        <v>2677</v>
      </c>
      <c r="G192" s="157" t="s">
        <v>354</v>
      </c>
      <c r="H192" s="78" t="n">
        <f aca="false">Y192/J192</f>
        <v>403.303541076487</v>
      </c>
      <c r="I192" s="442" t="n">
        <v>45280</v>
      </c>
      <c r="J192" s="157" t="n">
        <v>7060</v>
      </c>
      <c r="K192" s="78"/>
      <c r="L192" s="157" t="n">
        <v>7060</v>
      </c>
      <c r="M192" s="157" t="n">
        <v>2007</v>
      </c>
      <c r="P192" s="157" t="s">
        <v>3413</v>
      </c>
      <c r="R192" s="174" t="s">
        <v>279</v>
      </c>
      <c r="S192" s="157" t="n">
        <v>33043</v>
      </c>
      <c r="T192" s="443" t="n">
        <f aca="false">S192/L192</f>
        <v>4.68031161473088</v>
      </c>
      <c r="U192" s="157" t="s">
        <v>279</v>
      </c>
      <c r="V192" s="443"/>
      <c r="W192" s="443"/>
      <c r="X192" s="443"/>
      <c r="Y192" s="80" t="n">
        <v>2847323</v>
      </c>
      <c r="Z192" s="80"/>
      <c r="AA192" s="80" t="n">
        <v>2847323</v>
      </c>
      <c r="AB192" s="80"/>
      <c r="AC192" s="157" t="s">
        <v>3711</v>
      </c>
      <c r="AD192" s="157" t="s">
        <v>3712</v>
      </c>
      <c r="AE192" s="281" t="s">
        <v>3713</v>
      </c>
      <c r="AF192" s="281" t="s">
        <v>3714</v>
      </c>
      <c r="AI192" s="157" t="e">
        <f aca="false">IF(AND($E192=Subj_OccCode,Subj_BldgSF&gt;0,ABS($L192-Subj_BldgSF)&lt;=Subj_BldgSF*Subj_SizeTol),ABS($L192-Subj_BldgSF),NA())</f>
        <v>#N/A</v>
      </c>
      <c r="AJ192" s="1" t="e">
        <f aca="false">IF(ISNA(AI192),NA(),AI192+ROW()/10000000)</f>
        <v>#N/A</v>
      </c>
      <c r="AK192" s="157" t="str">
        <f aca="false">IF(AND(ISNUMBER($N192),$N192&gt;0,ISNUMBER($Y192)),$Y192/$N192,"")</f>
        <v/>
      </c>
    </row>
    <row r="193" customFormat="false" ht="15" hidden="false" customHeight="true" outlineLevel="0" collapsed="false">
      <c r="A193" s="441" t="n">
        <v>7</v>
      </c>
      <c r="B193" s="157" t="n">
        <v>185</v>
      </c>
      <c r="C193" s="157" t="s">
        <v>3715</v>
      </c>
      <c r="D193" s="157" t="s">
        <v>3716</v>
      </c>
      <c r="E193" s="157" t="n">
        <v>325</v>
      </c>
      <c r="F193" s="157" t="s">
        <v>2921</v>
      </c>
      <c r="G193" s="157" t="s">
        <v>2691</v>
      </c>
      <c r="H193" s="78" t="n">
        <f aca="false">Y193/J193</f>
        <v>256.598240469208</v>
      </c>
      <c r="I193" s="442" t="n">
        <v>44887</v>
      </c>
      <c r="J193" s="157" t="n">
        <v>27280</v>
      </c>
      <c r="K193" s="78"/>
      <c r="L193" s="157" t="n">
        <v>27280</v>
      </c>
      <c r="M193" s="157" t="n">
        <v>1981</v>
      </c>
      <c r="P193" s="157" t="s">
        <v>3009</v>
      </c>
      <c r="R193" s="174" t="s">
        <v>279</v>
      </c>
      <c r="S193" s="157" t="n">
        <v>236242</v>
      </c>
      <c r="T193" s="443" t="n">
        <f aca="false">S193/L193</f>
        <v>8.65989736070381</v>
      </c>
      <c r="U193" s="157" t="s">
        <v>279</v>
      </c>
      <c r="V193" s="443"/>
      <c r="W193" s="443"/>
      <c r="X193" s="443"/>
      <c r="Y193" s="80" t="n">
        <v>7000000</v>
      </c>
      <c r="Z193" s="80"/>
      <c r="AA193" s="80" t="n">
        <v>7000000</v>
      </c>
      <c r="AB193" s="80"/>
      <c r="AC193" s="157" t="s">
        <v>3717</v>
      </c>
      <c r="AD193" s="157" t="s">
        <v>3718</v>
      </c>
      <c r="AE193" s="281" t="s">
        <v>3719</v>
      </c>
      <c r="AF193" s="281" t="s">
        <v>3720</v>
      </c>
      <c r="AI193" s="157" t="e">
        <f aca="false">IF(AND($E193=Subj_OccCode,Subj_BldgSF&gt;0,ABS($L193-Subj_BldgSF)&lt;=Subj_BldgSF*Subj_SizeTol),ABS($L193-Subj_BldgSF),NA())</f>
        <v>#N/A</v>
      </c>
      <c r="AJ193" s="1" t="e">
        <f aca="false">IF(ISNA(AI193),NA(),AI193+ROW()/10000000)</f>
        <v>#N/A</v>
      </c>
      <c r="AK193" s="157" t="str">
        <f aca="false">IF(AND(ISNUMBER($N193),$N193&gt;0,ISNUMBER($Y193)),$Y193/$N193,"")</f>
        <v/>
      </c>
    </row>
    <row r="194" customFormat="false" ht="15" hidden="false" customHeight="true" outlineLevel="0" collapsed="false">
      <c r="A194" s="441" t="n">
        <v>7</v>
      </c>
      <c r="B194" s="157" t="n">
        <v>186</v>
      </c>
      <c r="C194" s="157" t="s">
        <v>3721</v>
      </c>
      <c r="D194" s="157" t="s">
        <v>3722</v>
      </c>
      <c r="E194" s="157" t="n">
        <v>412</v>
      </c>
      <c r="F194" s="157" t="s">
        <v>260</v>
      </c>
      <c r="G194" s="157" t="s">
        <v>353</v>
      </c>
      <c r="H194" s="78" t="n">
        <f aca="false">Y194/J194</f>
        <v>189.093449084468</v>
      </c>
      <c r="I194" s="442" t="n">
        <v>45001</v>
      </c>
      <c r="J194" s="157" t="n">
        <v>20043</v>
      </c>
      <c r="K194" s="78"/>
      <c r="L194" s="157" t="n">
        <v>20043</v>
      </c>
      <c r="M194" s="157" t="n">
        <v>1973</v>
      </c>
      <c r="P194" s="157" t="s">
        <v>261</v>
      </c>
      <c r="R194" s="174" t="s">
        <v>483</v>
      </c>
      <c r="S194" s="157" t="n">
        <v>124760</v>
      </c>
      <c r="T194" s="443" t="n">
        <f aca="false">S194/L194</f>
        <v>6.22461707329242</v>
      </c>
      <c r="U194" s="157" t="s">
        <v>483</v>
      </c>
      <c r="V194" s="443"/>
      <c r="W194" s="443"/>
      <c r="X194" s="443"/>
      <c r="Y194" s="80" t="n">
        <v>3790000</v>
      </c>
      <c r="Z194" s="80"/>
      <c r="AA194" s="80" t="n">
        <v>3790000</v>
      </c>
      <c r="AB194" s="80"/>
      <c r="AC194" s="157" t="s">
        <v>3723</v>
      </c>
      <c r="AD194" s="157" t="s">
        <v>3724</v>
      </c>
      <c r="AE194" s="281" t="s">
        <v>3725</v>
      </c>
      <c r="AF194" s="281" t="s">
        <v>3726</v>
      </c>
      <c r="AI194" s="157" t="e">
        <f aca="false">IF(AND($E194=Subj_OccCode,Subj_BldgSF&gt;0,ABS($L194-Subj_BldgSF)&lt;=Subj_BldgSF*Subj_SizeTol),ABS($L194-Subj_BldgSF),NA())</f>
        <v>#N/A</v>
      </c>
      <c r="AJ194" s="1" t="e">
        <f aca="false">IF(ISNA(AI194),NA(),AI194+ROW()/10000000)</f>
        <v>#N/A</v>
      </c>
      <c r="AK194" s="157" t="str">
        <f aca="false">IF(AND(ISNUMBER($N194),$N194&gt;0,ISNUMBER($Y194)),$Y194/$N194,"")</f>
        <v/>
      </c>
    </row>
    <row r="195" customFormat="false" ht="15" hidden="false" customHeight="true" outlineLevel="0" collapsed="false">
      <c r="A195" s="441" t="n">
        <v>7</v>
      </c>
      <c r="B195" s="157" t="n">
        <v>187</v>
      </c>
      <c r="C195" s="157" t="s">
        <v>3727</v>
      </c>
      <c r="D195" s="157" t="s">
        <v>3728</v>
      </c>
      <c r="E195" s="157" t="n">
        <v>325</v>
      </c>
      <c r="F195" s="157" t="s">
        <v>3272</v>
      </c>
      <c r="G195" s="157" t="s">
        <v>2567</v>
      </c>
      <c r="H195" s="78" t="n">
        <f aca="false">Y195/J195</f>
        <v>261.904761904762</v>
      </c>
      <c r="I195" s="442" t="n">
        <v>45299</v>
      </c>
      <c r="J195" s="157" t="n">
        <v>4200</v>
      </c>
      <c r="K195" s="78"/>
      <c r="L195" s="157" t="n">
        <v>4200</v>
      </c>
      <c r="M195" s="157" t="n">
        <v>1985</v>
      </c>
      <c r="P195" s="157" t="s">
        <v>3273</v>
      </c>
      <c r="R195" s="174" t="s">
        <v>279</v>
      </c>
      <c r="S195" s="157" t="n">
        <v>35719</v>
      </c>
      <c r="T195" s="443" t="n">
        <f aca="false">S195/L195</f>
        <v>8.50452380952381</v>
      </c>
      <c r="U195" s="157" t="s">
        <v>279</v>
      </c>
      <c r="V195" s="443"/>
      <c r="W195" s="443"/>
      <c r="X195" s="443"/>
      <c r="Y195" s="80" t="n">
        <v>1100000</v>
      </c>
      <c r="Z195" s="80"/>
      <c r="AA195" s="80" t="n">
        <v>1100000</v>
      </c>
      <c r="AB195" s="80"/>
      <c r="AC195" s="157" t="s">
        <v>3729</v>
      </c>
      <c r="AD195" s="157" t="s">
        <v>3730</v>
      </c>
      <c r="AE195" s="281" t="s">
        <v>3731</v>
      </c>
      <c r="AF195" s="281" t="s">
        <v>3732</v>
      </c>
      <c r="AI195" s="157" t="e">
        <f aca="false">IF(AND($E195=Subj_OccCode,Subj_BldgSF&gt;0,ABS($L195-Subj_BldgSF)&lt;=Subj_BldgSF*Subj_SizeTol),ABS($L195-Subj_BldgSF),NA())</f>
        <v>#N/A</v>
      </c>
      <c r="AJ195" s="1" t="e">
        <f aca="false">IF(ISNA(AI195),NA(),AI195+ROW()/10000000)</f>
        <v>#N/A</v>
      </c>
      <c r="AK195" s="157" t="str">
        <f aca="false">IF(AND(ISNUMBER($N195),$N195&gt;0,ISNUMBER($Y195)),$Y195/$N195,"")</f>
        <v/>
      </c>
    </row>
    <row r="196" customFormat="false" ht="15" hidden="false" customHeight="true" outlineLevel="0" collapsed="false">
      <c r="A196" s="441" t="n">
        <v>7</v>
      </c>
      <c r="B196" s="157" t="n">
        <v>188</v>
      </c>
      <c r="C196" s="157" t="s">
        <v>3733</v>
      </c>
      <c r="D196" s="157" t="s">
        <v>3734</v>
      </c>
      <c r="E196" s="157" t="n">
        <v>325</v>
      </c>
      <c r="F196" s="157" t="s">
        <v>2595</v>
      </c>
      <c r="G196" s="157" t="s">
        <v>2596</v>
      </c>
      <c r="H196" s="78" t="n">
        <f aca="false">Y196/J196</f>
        <v>143.122676579926</v>
      </c>
      <c r="I196" s="442" t="n">
        <v>45054</v>
      </c>
      <c r="J196" s="157" t="n">
        <v>3766</v>
      </c>
      <c r="K196" s="78"/>
      <c r="L196" s="157" t="n">
        <v>3766</v>
      </c>
      <c r="M196" s="157" t="n">
        <v>1964</v>
      </c>
      <c r="P196" s="157" t="s">
        <v>3493</v>
      </c>
      <c r="R196" s="174" t="s">
        <v>279</v>
      </c>
      <c r="S196" s="157" t="n">
        <v>9375</v>
      </c>
      <c r="T196" s="443" t="n">
        <f aca="false">S196/L196</f>
        <v>2.48937865108869</v>
      </c>
      <c r="U196" s="157" t="s">
        <v>279</v>
      </c>
      <c r="V196" s="443"/>
      <c r="W196" s="443"/>
      <c r="X196" s="443"/>
      <c r="Y196" s="80" t="n">
        <v>539000</v>
      </c>
      <c r="Z196" s="80"/>
      <c r="AA196" s="80" t="n">
        <v>539000</v>
      </c>
      <c r="AB196" s="80"/>
      <c r="AC196" s="157" t="s">
        <v>3735</v>
      </c>
      <c r="AD196" s="157" t="s">
        <v>3736</v>
      </c>
      <c r="AE196" s="281" t="s">
        <v>3737</v>
      </c>
      <c r="AF196" s="281" t="s">
        <v>3738</v>
      </c>
      <c r="AI196" s="157" t="e">
        <f aca="false">IF(AND($E196=Subj_OccCode,Subj_BldgSF&gt;0,ABS($L196-Subj_BldgSF)&lt;=Subj_BldgSF*Subj_SizeTol),ABS($L196-Subj_BldgSF),NA())</f>
        <v>#N/A</v>
      </c>
      <c r="AJ196" s="1" t="e">
        <f aca="false">IF(ISNA(AI196),NA(),AI196+ROW()/10000000)</f>
        <v>#N/A</v>
      </c>
      <c r="AK196" s="157" t="str">
        <f aca="false">IF(AND(ISNUMBER($N196),$N196&gt;0,ISNUMBER($Y196)),$Y196/$N196,"")</f>
        <v/>
      </c>
    </row>
    <row r="197" customFormat="false" ht="15" hidden="false" customHeight="true" outlineLevel="0" collapsed="false">
      <c r="A197" s="441" t="n">
        <v>7</v>
      </c>
      <c r="B197" s="157" t="n">
        <v>189</v>
      </c>
      <c r="C197" s="157" t="s">
        <v>3739</v>
      </c>
      <c r="D197" s="157" t="s">
        <v>3740</v>
      </c>
      <c r="E197" s="157" t="n">
        <v>344</v>
      </c>
      <c r="F197" s="157" t="s">
        <v>2595</v>
      </c>
      <c r="G197" s="157" t="s">
        <v>2596</v>
      </c>
      <c r="H197" s="78" t="n">
        <f aca="false">Y197/J197</f>
        <v>337.656099903939</v>
      </c>
      <c r="I197" s="442" t="n">
        <v>44778</v>
      </c>
      <c r="J197" s="157" t="n">
        <v>1041</v>
      </c>
      <c r="K197" s="78"/>
      <c r="L197" s="157" t="n">
        <v>1041</v>
      </c>
      <c r="M197" s="157" t="n">
        <v>1918</v>
      </c>
      <c r="P197" s="157" t="s">
        <v>3493</v>
      </c>
      <c r="R197" s="174" t="s">
        <v>279</v>
      </c>
      <c r="S197" s="157" t="n">
        <v>6350</v>
      </c>
      <c r="T197" s="443" t="n">
        <f aca="false">S197/L197</f>
        <v>6.09990393852065</v>
      </c>
      <c r="U197" s="157" t="s">
        <v>279</v>
      </c>
      <c r="V197" s="443"/>
      <c r="W197" s="443"/>
      <c r="X197" s="443"/>
      <c r="Y197" s="80" t="n">
        <v>351500</v>
      </c>
      <c r="Z197" s="80"/>
      <c r="AA197" s="80" t="n">
        <v>351500</v>
      </c>
      <c r="AB197" s="80"/>
      <c r="AC197" s="157" t="s">
        <v>3741</v>
      </c>
      <c r="AD197" s="157" t="s">
        <v>3742</v>
      </c>
      <c r="AE197" s="281" t="s">
        <v>3743</v>
      </c>
      <c r="AF197" s="281" t="s">
        <v>3744</v>
      </c>
      <c r="AI197" s="157" t="e">
        <f aca="false">IF(AND($E197=Subj_OccCode,Subj_BldgSF&gt;0,ABS($L197-Subj_BldgSF)&lt;=Subj_BldgSF*Subj_SizeTol),ABS($L197-Subj_BldgSF),NA())</f>
        <v>#N/A</v>
      </c>
      <c r="AJ197" s="1" t="e">
        <f aca="false">IF(ISNA(AI197),NA(),AI197+ROW()/10000000)</f>
        <v>#N/A</v>
      </c>
      <c r="AK197" s="157" t="str">
        <f aca="false">IF(AND(ISNUMBER($N197),$N197&gt;0,ISNUMBER($Y197)),$Y197/$N197,"")</f>
        <v/>
      </c>
    </row>
    <row r="198" customFormat="false" ht="15" hidden="false" customHeight="true" outlineLevel="0" collapsed="false">
      <c r="A198" s="441" t="n">
        <v>7</v>
      </c>
      <c r="B198" s="157" t="n">
        <v>190</v>
      </c>
      <c r="C198" s="157" t="s">
        <v>3745</v>
      </c>
      <c r="D198" s="157" t="s">
        <v>3746</v>
      </c>
      <c r="E198" s="157" t="n">
        <v>406</v>
      </c>
      <c r="F198" s="157" t="s">
        <v>2677</v>
      </c>
      <c r="G198" s="157" t="s">
        <v>2567</v>
      </c>
      <c r="H198" s="78" t="n">
        <f aca="false">Y198/J198</f>
        <v>192.364604912696</v>
      </c>
      <c r="I198" s="442" t="n">
        <v>44981</v>
      </c>
      <c r="J198" s="157" t="n">
        <v>13516</v>
      </c>
      <c r="K198" s="78"/>
      <c r="L198" s="157" t="n">
        <v>13516</v>
      </c>
      <c r="M198" s="157" t="n">
        <v>1997</v>
      </c>
      <c r="P198" s="157" t="s">
        <v>3307</v>
      </c>
      <c r="R198" s="174" t="s">
        <v>279</v>
      </c>
      <c r="S198" s="157" t="n">
        <v>50790.9609</v>
      </c>
      <c r="T198" s="443" t="n">
        <f aca="false">S198/L198</f>
        <v>3.75783966410181</v>
      </c>
      <c r="U198" s="157" t="s">
        <v>279</v>
      </c>
      <c r="V198" s="443"/>
      <c r="W198" s="443"/>
      <c r="X198" s="443"/>
      <c r="Y198" s="80" t="n">
        <v>2600000</v>
      </c>
      <c r="Z198" s="80"/>
      <c r="AA198" s="80" t="n">
        <v>2600000</v>
      </c>
      <c r="AB198" s="80"/>
      <c r="AC198" s="157" t="s">
        <v>3747</v>
      </c>
      <c r="AD198" s="157" t="s">
        <v>3748</v>
      </c>
      <c r="AE198" s="281" t="s">
        <v>3749</v>
      </c>
      <c r="AF198" s="281" t="s">
        <v>3750</v>
      </c>
      <c r="AI198" s="157" t="e">
        <f aca="false">IF(AND($E198=Subj_OccCode,Subj_BldgSF&gt;0,ABS($L198-Subj_BldgSF)&lt;=Subj_BldgSF*Subj_SizeTol),ABS($L198-Subj_BldgSF),NA())</f>
        <v>#N/A</v>
      </c>
      <c r="AJ198" s="1" t="e">
        <f aca="false">IF(ISNA(AI198),NA(),AI198+ROW()/10000000)</f>
        <v>#N/A</v>
      </c>
      <c r="AK198" s="157" t="str">
        <f aca="false">IF(AND(ISNUMBER($N198),$N198&gt;0,ISNUMBER($Y198)),$Y198/$N198,"")</f>
        <v/>
      </c>
    </row>
    <row r="199" customFormat="false" ht="15" hidden="false" customHeight="true" outlineLevel="0" collapsed="false">
      <c r="A199" s="441" t="n">
        <v>7</v>
      </c>
      <c r="B199" s="157" t="n">
        <v>191</v>
      </c>
      <c r="C199" s="157" t="s">
        <v>3751</v>
      </c>
      <c r="D199" s="157" t="s">
        <v>3752</v>
      </c>
      <c r="E199" s="157" t="n">
        <v>328</v>
      </c>
      <c r="G199" s="157" t="s">
        <v>352</v>
      </c>
      <c r="H199" s="78" t="n">
        <f aca="false">Y199/J199</f>
        <v>181.034482758621</v>
      </c>
      <c r="I199" s="442" t="n">
        <v>45191</v>
      </c>
      <c r="J199" s="157" t="n">
        <v>2900</v>
      </c>
      <c r="K199" s="78"/>
      <c r="L199" s="157" t="n">
        <v>2900</v>
      </c>
      <c r="M199" s="157" t="n">
        <v>2000</v>
      </c>
      <c r="R199" s="174" t="s">
        <v>279</v>
      </c>
      <c r="T199" s="443" t="n">
        <f aca="false">S199/L199</f>
        <v>0</v>
      </c>
      <c r="U199" s="157" t="s">
        <v>279</v>
      </c>
      <c r="V199" s="443"/>
      <c r="W199" s="443"/>
      <c r="X199" s="443"/>
      <c r="Y199" s="80" t="n">
        <v>525000</v>
      </c>
      <c r="Z199" s="80"/>
      <c r="AA199" s="80" t="n">
        <v>525000</v>
      </c>
      <c r="AB199" s="80"/>
      <c r="AC199" s="157" t="s">
        <v>3753</v>
      </c>
      <c r="AD199" s="157" t="s">
        <v>3754</v>
      </c>
      <c r="AE199" s="281" t="s">
        <v>3755</v>
      </c>
      <c r="AF199" s="281" t="s">
        <v>3756</v>
      </c>
      <c r="AI199" s="157" t="e">
        <f aca="false">IF(AND($E199=Subj_OccCode,Subj_BldgSF&gt;0,ABS($L199-Subj_BldgSF)&lt;=Subj_BldgSF*Subj_SizeTol),ABS($L199-Subj_BldgSF),NA())</f>
        <v>#N/A</v>
      </c>
      <c r="AJ199" s="1" t="e">
        <f aca="false">IF(ISNA(AI199),NA(),AI199+ROW()/10000000)</f>
        <v>#N/A</v>
      </c>
      <c r="AK199" s="157" t="str">
        <f aca="false">IF(AND(ISNUMBER($N199),$N199&gt;0,ISNUMBER($Y199)),$Y199/$N199,"")</f>
        <v/>
      </c>
    </row>
    <row r="200" customFormat="false" ht="15" hidden="false" customHeight="true" outlineLevel="0" collapsed="false">
      <c r="A200" s="441" t="n">
        <v>7</v>
      </c>
      <c r="B200" s="157" t="n">
        <v>192</v>
      </c>
      <c r="C200" s="157" t="s">
        <v>3757</v>
      </c>
      <c r="D200" s="157" t="s">
        <v>3758</v>
      </c>
      <c r="E200" s="157" t="n">
        <v>328</v>
      </c>
      <c r="G200" s="157" t="s">
        <v>352</v>
      </c>
      <c r="H200" s="78" t="n">
        <f aca="false">Y200/J200</f>
        <v>108.775510204082</v>
      </c>
      <c r="I200" s="442" t="n">
        <v>44854</v>
      </c>
      <c r="J200" s="157" t="n">
        <v>4900</v>
      </c>
      <c r="K200" s="78"/>
      <c r="L200" s="157" t="n">
        <v>4900</v>
      </c>
      <c r="M200" s="157" t="n">
        <v>1997</v>
      </c>
      <c r="R200" s="174" t="s">
        <v>279</v>
      </c>
      <c r="T200" s="443" t="n">
        <f aca="false">S200/L200</f>
        <v>0</v>
      </c>
      <c r="U200" s="157" t="s">
        <v>279</v>
      </c>
      <c r="V200" s="443"/>
      <c r="W200" s="443"/>
      <c r="X200" s="443"/>
      <c r="Y200" s="80" t="n">
        <v>533000</v>
      </c>
      <c r="Z200" s="80"/>
      <c r="AA200" s="80" t="n">
        <v>533000</v>
      </c>
      <c r="AB200" s="80"/>
      <c r="AC200" s="157" t="s">
        <v>3759</v>
      </c>
      <c r="AD200" s="157" t="s">
        <v>3760</v>
      </c>
      <c r="AE200" s="281" t="s">
        <v>3761</v>
      </c>
      <c r="AF200" s="281" t="s">
        <v>3762</v>
      </c>
      <c r="AI200" s="157" t="e">
        <f aca="false">IF(AND($E200=Subj_OccCode,Subj_BldgSF&gt;0,ABS($L200-Subj_BldgSF)&lt;=Subj_BldgSF*Subj_SizeTol),ABS($L200-Subj_BldgSF),NA())</f>
        <v>#N/A</v>
      </c>
      <c r="AJ200" s="1" t="e">
        <f aca="false">IF(ISNA(AI200),NA(),AI200+ROW()/10000000)</f>
        <v>#N/A</v>
      </c>
      <c r="AK200" s="157" t="str">
        <f aca="false">IF(AND(ISNUMBER($N200),$N200&gt;0,ISNUMBER($Y200)),$Y200/$N200,"")</f>
        <v/>
      </c>
    </row>
    <row r="201" customFormat="false" ht="15" hidden="false" customHeight="true" outlineLevel="0" collapsed="false">
      <c r="A201" s="441" t="n">
        <v>7</v>
      </c>
      <c r="B201" s="157" t="n">
        <v>193</v>
      </c>
      <c r="C201" s="157" t="s">
        <v>3763</v>
      </c>
      <c r="D201" s="157" t="s">
        <v>3764</v>
      </c>
      <c r="E201" s="157" t="n">
        <v>408</v>
      </c>
      <c r="F201" s="157" t="s">
        <v>2677</v>
      </c>
      <c r="G201" s="157" t="s">
        <v>2567</v>
      </c>
      <c r="H201" s="78" t="n">
        <f aca="false">Y201/J201</f>
        <v>410.8796875</v>
      </c>
      <c r="I201" s="442" t="n">
        <v>45218</v>
      </c>
      <c r="J201" s="157" t="n">
        <v>1920</v>
      </c>
      <c r="K201" s="78"/>
      <c r="L201" s="157" t="n">
        <v>1920</v>
      </c>
      <c r="M201" s="157" t="n">
        <v>1963</v>
      </c>
      <c r="P201" s="157" t="s">
        <v>3307</v>
      </c>
      <c r="R201" s="174" t="s">
        <v>279</v>
      </c>
      <c r="S201" s="157" t="n">
        <v>16563</v>
      </c>
      <c r="T201" s="443" t="n">
        <f aca="false">S201/L201</f>
        <v>8.6265625</v>
      </c>
      <c r="U201" s="157" t="s">
        <v>279</v>
      </c>
      <c r="V201" s="443"/>
      <c r="W201" s="443"/>
      <c r="X201" s="443"/>
      <c r="Y201" s="80" t="n">
        <v>788889</v>
      </c>
      <c r="Z201" s="80"/>
      <c r="AA201" s="80" t="n">
        <v>788889</v>
      </c>
      <c r="AB201" s="80"/>
      <c r="AC201" s="157" t="s">
        <v>3765</v>
      </c>
      <c r="AD201" s="157" t="s">
        <v>3766</v>
      </c>
      <c r="AE201" s="281" t="s">
        <v>3767</v>
      </c>
      <c r="AF201" s="281" t="s">
        <v>3768</v>
      </c>
      <c r="AI201" s="157" t="e">
        <f aca="false">IF(AND($E201=Subj_OccCode,Subj_BldgSF&gt;0,ABS($L201-Subj_BldgSF)&lt;=Subj_BldgSF*Subj_SizeTol),ABS($L201-Subj_BldgSF),NA())</f>
        <v>#N/A</v>
      </c>
      <c r="AJ201" s="1" t="e">
        <f aca="false">IF(ISNA(AI201),NA(),AI201+ROW()/10000000)</f>
        <v>#N/A</v>
      </c>
      <c r="AK201" s="157" t="str">
        <f aca="false">IF(AND(ISNUMBER($N201),$N201&gt;0,ISNUMBER($Y201)),$Y201/$N201,"")</f>
        <v/>
      </c>
    </row>
    <row r="202" customFormat="false" ht="15" hidden="false" customHeight="true" outlineLevel="0" collapsed="false">
      <c r="A202" s="441" t="n">
        <v>7</v>
      </c>
      <c r="B202" s="157" t="n">
        <v>194</v>
      </c>
      <c r="C202" s="157" t="s">
        <v>3769</v>
      </c>
      <c r="D202" s="157" t="s">
        <v>3770</v>
      </c>
      <c r="E202" s="157" t="n">
        <v>419</v>
      </c>
      <c r="F202" s="157" t="s">
        <v>2566</v>
      </c>
      <c r="G202" s="157" t="s">
        <v>2567</v>
      </c>
      <c r="H202" s="78" t="n">
        <f aca="false">Y202/J202</f>
        <v>1930.15234262719</v>
      </c>
      <c r="I202" s="442" t="n">
        <v>44924</v>
      </c>
      <c r="J202" s="157" t="n">
        <v>3479</v>
      </c>
      <c r="K202" s="78"/>
      <c r="L202" s="157" t="n">
        <v>3479</v>
      </c>
      <c r="M202" s="157" t="n">
        <v>2022</v>
      </c>
      <c r="R202" s="174" t="s">
        <v>279</v>
      </c>
      <c r="S202" s="157" t="n">
        <v>42879</v>
      </c>
      <c r="T202" s="443" t="n">
        <f aca="false">S202/L202</f>
        <v>12.3250934176488</v>
      </c>
      <c r="U202" s="157" t="s">
        <v>279</v>
      </c>
      <c r="V202" s="443"/>
      <c r="W202" s="443"/>
      <c r="X202" s="443"/>
      <c r="Y202" s="80" t="n">
        <v>6715000</v>
      </c>
      <c r="Z202" s="80"/>
      <c r="AA202" s="80" t="n">
        <v>6715000</v>
      </c>
      <c r="AB202" s="80"/>
      <c r="AC202" s="157" t="s">
        <v>3771</v>
      </c>
      <c r="AD202" s="157" t="s">
        <v>3772</v>
      </c>
      <c r="AE202" s="281" t="s">
        <v>3773</v>
      </c>
      <c r="AF202" s="281" t="s">
        <v>3774</v>
      </c>
      <c r="AI202" s="157" t="e">
        <f aca="false">IF(AND($E202=Subj_OccCode,Subj_BldgSF&gt;0,ABS($L202-Subj_BldgSF)&lt;=Subj_BldgSF*Subj_SizeTol),ABS($L202-Subj_BldgSF),NA())</f>
        <v>#N/A</v>
      </c>
      <c r="AJ202" s="1" t="e">
        <f aca="false">IF(ISNA(AI202),NA(),AI202+ROW()/10000000)</f>
        <v>#N/A</v>
      </c>
      <c r="AK202" s="157" t="str">
        <f aca="false">IF(AND(ISNUMBER($N202),$N202&gt;0,ISNUMBER($Y202)),$Y202/$N202,"")</f>
        <v/>
      </c>
    </row>
    <row r="203" customFormat="false" ht="15" hidden="false" customHeight="true" outlineLevel="0" collapsed="false">
      <c r="A203" s="441" t="n">
        <v>7</v>
      </c>
      <c r="B203" s="157" t="n">
        <v>195</v>
      </c>
      <c r="C203" s="157" t="s">
        <v>3775</v>
      </c>
      <c r="D203" s="157" t="s">
        <v>3776</v>
      </c>
      <c r="E203" s="157" t="n">
        <v>341</v>
      </c>
      <c r="F203" s="157" t="s">
        <v>2581</v>
      </c>
      <c r="G203" s="157" t="s">
        <v>354</v>
      </c>
      <c r="H203" s="78" t="n">
        <f aca="false">Y203/J203</f>
        <v>409.462538533709</v>
      </c>
      <c r="I203" s="442" t="n">
        <v>45401</v>
      </c>
      <c r="J203" s="157" t="n">
        <v>74610</v>
      </c>
      <c r="K203" s="78"/>
      <c r="L203" s="157" t="n">
        <v>74610</v>
      </c>
      <c r="M203" s="157" t="n">
        <v>2021</v>
      </c>
      <c r="R203" s="174" t="s">
        <v>483</v>
      </c>
      <c r="S203" s="157" t="n">
        <v>67984</v>
      </c>
      <c r="T203" s="443" t="n">
        <f aca="false">S203/L203</f>
        <v>0.911191529285619</v>
      </c>
      <c r="U203" s="157" t="s">
        <v>483</v>
      </c>
      <c r="V203" s="443"/>
      <c r="W203" s="443"/>
      <c r="X203" s="443"/>
      <c r="Y203" s="80" t="n">
        <v>30550000</v>
      </c>
      <c r="Z203" s="80"/>
      <c r="AA203" s="80" t="n">
        <v>30550000</v>
      </c>
      <c r="AB203" s="80"/>
      <c r="AC203" s="157" t="s">
        <v>3777</v>
      </c>
      <c r="AD203" s="157" t="s">
        <v>3778</v>
      </c>
      <c r="AE203" s="281" t="s">
        <v>3779</v>
      </c>
      <c r="AF203" s="281" t="s">
        <v>3780</v>
      </c>
      <c r="AI203" s="157" t="e">
        <f aca="false">IF(AND($E203=Subj_OccCode,Subj_BldgSF&gt;0,ABS($L203-Subj_BldgSF)&lt;=Subj_BldgSF*Subj_SizeTol),ABS($L203-Subj_BldgSF),NA())</f>
        <v>#N/A</v>
      </c>
      <c r="AJ203" s="1" t="e">
        <f aca="false">IF(ISNA(AI203),NA(),AI203+ROW()/10000000)</f>
        <v>#N/A</v>
      </c>
      <c r="AK203" s="157" t="str">
        <f aca="false">IF(AND(ISNUMBER($N203),$N203&gt;0,ISNUMBER($Y203)),$Y203/$N203,"")</f>
        <v/>
      </c>
    </row>
    <row r="204" customFormat="false" ht="15" hidden="false" customHeight="true" outlineLevel="0" collapsed="false">
      <c r="A204" s="441" t="n">
        <v>7</v>
      </c>
      <c r="B204" s="157" t="n">
        <v>196</v>
      </c>
      <c r="C204" s="157" t="s">
        <v>3781</v>
      </c>
      <c r="D204" s="157" t="s">
        <v>3782</v>
      </c>
      <c r="E204" s="157" t="n">
        <v>328</v>
      </c>
      <c r="G204" s="157" t="s">
        <v>352</v>
      </c>
      <c r="H204" s="78" t="n">
        <f aca="false">Y204/J204</f>
        <v>97.3630831643002</v>
      </c>
      <c r="I204" s="442" t="n">
        <v>45107</v>
      </c>
      <c r="J204" s="157" t="n">
        <v>2465</v>
      </c>
      <c r="K204" s="78"/>
      <c r="L204" s="157" t="n">
        <v>2465</v>
      </c>
      <c r="R204" s="174" t="s">
        <v>279</v>
      </c>
      <c r="T204" s="443" t="n">
        <f aca="false">S204/L204</f>
        <v>0</v>
      </c>
      <c r="U204" s="157" t="s">
        <v>279</v>
      </c>
      <c r="V204" s="443"/>
      <c r="W204" s="443"/>
      <c r="X204" s="443"/>
      <c r="Y204" s="80" t="n">
        <v>240000</v>
      </c>
      <c r="Z204" s="80"/>
      <c r="AA204" s="80" t="n">
        <v>240000</v>
      </c>
      <c r="AB204" s="80"/>
      <c r="AC204" s="157" t="s">
        <v>3783</v>
      </c>
      <c r="AD204" s="157" t="s">
        <v>3784</v>
      </c>
      <c r="AE204" s="281" t="s">
        <v>3785</v>
      </c>
      <c r="AF204" s="281" t="s">
        <v>3786</v>
      </c>
      <c r="AI204" s="157" t="e">
        <f aca="false">IF(AND($E204=Subj_OccCode,Subj_BldgSF&gt;0,ABS($L204-Subj_BldgSF)&lt;=Subj_BldgSF*Subj_SizeTol),ABS($L204-Subj_BldgSF),NA())</f>
        <v>#N/A</v>
      </c>
      <c r="AJ204" s="1" t="e">
        <f aca="false">IF(ISNA(AI204),NA(),AI204+ROW()/10000000)</f>
        <v>#N/A</v>
      </c>
      <c r="AK204" s="157" t="str">
        <f aca="false">IF(AND(ISNUMBER($N204),$N204&gt;0,ISNUMBER($Y204)),$Y204/$N204,"")</f>
        <v/>
      </c>
    </row>
    <row r="205" customFormat="false" ht="15" hidden="false" customHeight="true" outlineLevel="0" collapsed="false">
      <c r="A205" s="441" t="n">
        <v>7</v>
      </c>
      <c r="B205" s="157" t="n">
        <v>197</v>
      </c>
      <c r="C205" s="157" t="s">
        <v>3787</v>
      </c>
      <c r="D205" s="157" t="s">
        <v>3788</v>
      </c>
      <c r="E205" s="157" t="n">
        <v>425</v>
      </c>
      <c r="F205" s="157" t="s">
        <v>2921</v>
      </c>
      <c r="G205" s="157" t="s">
        <v>2691</v>
      </c>
      <c r="H205" s="78" t="n">
        <f aca="false">Y205/J205</f>
        <v>33.0357142857143</v>
      </c>
      <c r="I205" s="442" t="n">
        <v>44762</v>
      </c>
      <c r="J205" s="157" t="n">
        <v>7560</v>
      </c>
      <c r="K205" s="78"/>
      <c r="L205" s="157" t="n">
        <v>7560</v>
      </c>
      <c r="M205" s="157" t="n">
        <v>2022</v>
      </c>
      <c r="R205" s="174" t="s">
        <v>279</v>
      </c>
      <c r="S205" s="157" t="n">
        <v>0</v>
      </c>
      <c r="T205" s="443" t="n">
        <f aca="false">S205/L205</f>
        <v>0</v>
      </c>
      <c r="U205" s="157" t="s">
        <v>279</v>
      </c>
      <c r="V205" s="443"/>
      <c r="W205" s="443"/>
      <c r="X205" s="443"/>
      <c r="Y205" s="80" t="n">
        <v>249750</v>
      </c>
      <c r="Z205" s="80"/>
      <c r="AA205" s="80" t="n">
        <v>249750</v>
      </c>
      <c r="AB205" s="80"/>
      <c r="AC205" s="157" t="s">
        <v>3789</v>
      </c>
      <c r="AD205" s="157" t="s">
        <v>3790</v>
      </c>
      <c r="AE205" s="281" t="s">
        <v>3171</v>
      </c>
      <c r="AF205" s="281" t="s">
        <v>3791</v>
      </c>
      <c r="AI205" s="157" t="e">
        <f aca="false">IF(AND($E205=Subj_OccCode,Subj_BldgSF&gt;0,ABS($L205-Subj_BldgSF)&lt;=Subj_BldgSF*Subj_SizeTol),ABS($L205-Subj_BldgSF),NA())</f>
        <v>#N/A</v>
      </c>
      <c r="AJ205" s="1" t="e">
        <f aca="false">IF(ISNA(AI205),NA(),AI205+ROW()/10000000)</f>
        <v>#N/A</v>
      </c>
      <c r="AK205" s="157" t="str">
        <f aca="false">IF(AND(ISNUMBER($N205),$N205&gt;0,ISNUMBER($Y205)),$Y205/$N205,"")</f>
        <v/>
      </c>
    </row>
    <row r="206" customFormat="false" ht="15" hidden="false" customHeight="true" outlineLevel="0" collapsed="false">
      <c r="A206" s="441" t="n">
        <v>7</v>
      </c>
      <c r="B206" s="157" t="n">
        <v>198</v>
      </c>
      <c r="C206" s="157" t="s">
        <v>3792</v>
      </c>
      <c r="D206" s="157" t="s">
        <v>3793</v>
      </c>
      <c r="E206" s="157" t="n">
        <v>328</v>
      </c>
      <c r="G206" s="157" t="s">
        <v>352</v>
      </c>
      <c r="H206" s="78" t="n">
        <f aca="false">Y206/J206</f>
        <v>107.068600682594</v>
      </c>
      <c r="I206" s="442" t="n">
        <v>45390</v>
      </c>
      <c r="J206" s="157" t="n">
        <v>2930</v>
      </c>
      <c r="K206" s="78"/>
      <c r="L206" s="157" t="n">
        <v>2930</v>
      </c>
      <c r="M206" s="157" t="n">
        <v>2024</v>
      </c>
      <c r="R206" s="174" t="s">
        <v>279</v>
      </c>
      <c r="T206" s="443" t="n">
        <f aca="false">S206/L206</f>
        <v>0</v>
      </c>
      <c r="U206" s="157" t="s">
        <v>279</v>
      </c>
      <c r="V206" s="443"/>
      <c r="W206" s="443"/>
      <c r="X206" s="443"/>
      <c r="Y206" s="80" t="n">
        <v>313711</v>
      </c>
      <c r="Z206" s="80"/>
      <c r="AA206" s="80" t="n">
        <v>313711</v>
      </c>
      <c r="AB206" s="80"/>
      <c r="AC206" s="157" t="s">
        <v>3794</v>
      </c>
      <c r="AD206" s="157" t="s">
        <v>3795</v>
      </c>
      <c r="AE206" s="281" t="s">
        <v>3353</v>
      </c>
      <c r="AF206" s="281" t="s">
        <v>3796</v>
      </c>
      <c r="AI206" s="157" t="e">
        <f aca="false">IF(AND($E206=Subj_OccCode,Subj_BldgSF&gt;0,ABS($L206-Subj_BldgSF)&lt;=Subj_BldgSF*Subj_SizeTol),ABS($L206-Subj_BldgSF),NA())</f>
        <v>#N/A</v>
      </c>
      <c r="AJ206" s="1" t="e">
        <f aca="false">IF(ISNA(AI206),NA(),AI206+ROW()/10000000)</f>
        <v>#N/A</v>
      </c>
      <c r="AK206" s="157" t="str">
        <f aca="false">IF(AND(ISNUMBER($N206),$N206&gt;0,ISNUMBER($Y206)),$Y206/$N206,"")</f>
        <v/>
      </c>
    </row>
    <row r="207" customFormat="false" ht="15" hidden="false" customHeight="true" outlineLevel="0" collapsed="false">
      <c r="A207" s="441" t="n">
        <v>7</v>
      </c>
      <c r="B207" s="157" t="n">
        <v>199</v>
      </c>
      <c r="C207" s="157" t="s">
        <v>3797</v>
      </c>
      <c r="D207" s="157" t="s">
        <v>3798</v>
      </c>
      <c r="E207" s="157" t="n">
        <v>328</v>
      </c>
      <c r="G207" s="157" t="s">
        <v>352</v>
      </c>
      <c r="H207" s="78" t="n">
        <f aca="false">Y207/J207</f>
        <v>106.343686006826</v>
      </c>
      <c r="I207" s="442" t="n">
        <v>45390</v>
      </c>
      <c r="J207" s="157" t="n">
        <v>2930</v>
      </c>
      <c r="K207" s="78"/>
      <c r="L207" s="157" t="n">
        <v>2930</v>
      </c>
      <c r="M207" s="157" t="n">
        <v>2024</v>
      </c>
      <c r="R207" s="174" t="s">
        <v>279</v>
      </c>
      <c r="T207" s="443" t="n">
        <f aca="false">S207/L207</f>
        <v>0</v>
      </c>
      <c r="U207" s="157" t="s">
        <v>279</v>
      </c>
      <c r="V207" s="443"/>
      <c r="W207" s="443"/>
      <c r="X207" s="443"/>
      <c r="Y207" s="80" t="n">
        <v>311587</v>
      </c>
      <c r="Z207" s="80"/>
      <c r="AA207" s="80" t="n">
        <v>311587</v>
      </c>
      <c r="AB207" s="80"/>
      <c r="AC207" s="157" t="s">
        <v>3799</v>
      </c>
      <c r="AD207" s="157" t="s">
        <v>3800</v>
      </c>
      <c r="AE207" s="281" t="s">
        <v>3353</v>
      </c>
      <c r="AF207" s="281" t="s">
        <v>3585</v>
      </c>
      <c r="AI207" s="157" t="e">
        <f aca="false">IF(AND($E207=Subj_OccCode,Subj_BldgSF&gt;0,ABS($L207-Subj_BldgSF)&lt;=Subj_BldgSF*Subj_SizeTol),ABS($L207-Subj_BldgSF),NA())</f>
        <v>#N/A</v>
      </c>
      <c r="AJ207" s="1" t="e">
        <f aca="false">IF(ISNA(AI207),NA(),AI207+ROW()/10000000)</f>
        <v>#N/A</v>
      </c>
      <c r="AK207" s="157" t="str">
        <f aca="false">IF(AND(ISNUMBER($N207),$N207&gt;0,ISNUMBER($Y207)),$Y207/$N207,"")</f>
        <v/>
      </c>
    </row>
    <row r="208" customFormat="false" ht="15" hidden="false" customHeight="true" outlineLevel="0" collapsed="false">
      <c r="A208" s="441" t="n">
        <v>7</v>
      </c>
      <c r="B208" s="157" t="n">
        <v>200</v>
      </c>
      <c r="C208" s="157" t="s">
        <v>3801</v>
      </c>
      <c r="D208" s="157" t="s">
        <v>3802</v>
      </c>
      <c r="E208" s="157" t="n">
        <v>408</v>
      </c>
      <c r="F208" s="157" t="s">
        <v>2757</v>
      </c>
      <c r="G208" s="157" t="s">
        <v>2691</v>
      </c>
      <c r="H208" s="78" t="n">
        <f aca="false">Y208/J208</f>
        <v>340.909090909091</v>
      </c>
      <c r="I208" s="442" t="n">
        <v>44762</v>
      </c>
      <c r="J208" s="157" t="n">
        <v>1584</v>
      </c>
      <c r="L208" s="157" t="n">
        <v>1584</v>
      </c>
      <c r="M208" s="157" t="n">
        <v>1969</v>
      </c>
      <c r="P208" s="157" t="s">
        <v>3803</v>
      </c>
      <c r="R208" s="174" t="s">
        <v>279</v>
      </c>
      <c r="S208" s="157" t="n">
        <v>21875</v>
      </c>
      <c r="T208" s="443" t="n">
        <f aca="false">S208/L208</f>
        <v>13.8099747474747</v>
      </c>
      <c r="U208" s="157" t="s">
        <v>279</v>
      </c>
      <c r="Y208" s="80" t="n">
        <v>540000</v>
      </c>
      <c r="AA208" s="80" t="n">
        <v>540000</v>
      </c>
      <c r="AC208" s="157" t="s">
        <v>3804</v>
      </c>
      <c r="AD208" s="157" t="s">
        <v>3805</v>
      </c>
      <c r="AE208" s="281" t="s">
        <v>3806</v>
      </c>
      <c r="AF208" s="281" t="s">
        <v>3807</v>
      </c>
      <c r="AI208" s="157" t="e">
        <f aca="false">IF(AND($E208=Subj_OccCode,Subj_BldgSF&gt;0,ABS($L208-Subj_BldgSF)&lt;=Subj_BldgSF*Subj_SizeTol),ABS($L208-Subj_BldgSF),NA())</f>
        <v>#N/A</v>
      </c>
      <c r="AJ208" s="1" t="e">
        <f aca="false">IF(ISNA(AI208),NA(),AI208+ROW()/10000000)</f>
        <v>#N/A</v>
      </c>
      <c r="AK208" s="157" t="str">
        <f aca="false">IF(AND(ISNUMBER($N208),$N208&gt;0,ISNUMBER($Y208)),$Y208/$N208,"")</f>
        <v/>
      </c>
    </row>
    <row r="209" customFormat="false" ht="15" hidden="false" customHeight="true" outlineLevel="0" collapsed="false">
      <c r="A209" s="441" t="n">
        <v>7</v>
      </c>
      <c r="B209" s="157" t="n">
        <v>201</v>
      </c>
      <c r="C209" s="157" t="s">
        <v>3318</v>
      </c>
      <c r="D209" s="157" t="s">
        <v>3808</v>
      </c>
      <c r="E209" s="157" t="n">
        <v>325</v>
      </c>
      <c r="F209" s="157" t="s">
        <v>3320</v>
      </c>
      <c r="G209" s="157" t="s">
        <v>352</v>
      </c>
      <c r="H209" s="78" t="n">
        <f aca="false">Y209/J209</f>
        <v>104.267377443295</v>
      </c>
      <c r="I209" s="442" t="n">
        <v>44769</v>
      </c>
      <c r="J209" s="157" t="n">
        <v>9567</v>
      </c>
      <c r="L209" s="157" t="n">
        <v>9567</v>
      </c>
      <c r="M209" s="157" t="n">
        <v>2023</v>
      </c>
      <c r="R209" s="174" t="s">
        <v>279</v>
      </c>
      <c r="S209" s="157" t="n">
        <v>58678</v>
      </c>
      <c r="T209" s="443" t="n">
        <f aca="false">S209/L209</f>
        <v>6.13337514372322</v>
      </c>
      <c r="U209" s="157" t="s">
        <v>279</v>
      </c>
      <c r="Y209" s="80" t="n">
        <v>997526</v>
      </c>
      <c r="AA209" s="80" t="n">
        <v>997526</v>
      </c>
      <c r="AC209" s="157" t="s">
        <v>3321</v>
      </c>
      <c r="AD209" s="157" t="s">
        <v>3809</v>
      </c>
      <c r="AE209" s="281" t="s">
        <v>3810</v>
      </c>
      <c r="AF209" s="281" t="s">
        <v>3323</v>
      </c>
      <c r="AI209" s="157" t="e">
        <f aca="false">IF(AND($E209=Subj_OccCode,Subj_BldgSF&gt;0,ABS($L209-Subj_BldgSF)&lt;=Subj_BldgSF*Subj_SizeTol),ABS($L209-Subj_BldgSF),NA())</f>
        <v>#N/A</v>
      </c>
      <c r="AJ209" s="1" t="e">
        <f aca="false">IF(ISNA(AI209),NA(),AI209+ROW()/10000000)</f>
        <v>#N/A</v>
      </c>
      <c r="AK209" s="157" t="str">
        <f aca="false">IF(AND(ISNUMBER($N209),$N209&gt;0,ISNUMBER($Y209)),$Y209/$N209,"")</f>
        <v/>
      </c>
    </row>
    <row r="210" customFormat="false" ht="15" hidden="false" customHeight="true" outlineLevel="0" collapsed="false">
      <c r="A210" s="441" t="n">
        <v>7</v>
      </c>
      <c r="B210" s="157" t="n">
        <v>202</v>
      </c>
      <c r="C210" s="157" t="s">
        <v>3703</v>
      </c>
      <c r="D210" s="157" t="s">
        <v>3811</v>
      </c>
      <c r="E210" s="157" t="n">
        <v>407</v>
      </c>
      <c r="F210" s="157" t="s">
        <v>2921</v>
      </c>
      <c r="G210" s="157" t="s">
        <v>2691</v>
      </c>
      <c r="H210" s="78" t="n">
        <f aca="false">Y210/J210</f>
        <v>107.539494372208</v>
      </c>
      <c r="I210" s="442" t="n">
        <v>44775</v>
      </c>
      <c r="J210" s="157" t="n">
        <v>80138</v>
      </c>
      <c r="L210" s="157" t="n">
        <v>80138</v>
      </c>
      <c r="M210" s="157" t="n">
        <v>1994</v>
      </c>
      <c r="P210" s="157" t="s">
        <v>3181</v>
      </c>
      <c r="R210" s="174" t="s">
        <v>279</v>
      </c>
      <c r="S210" s="157" t="n">
        <v>136035</v>
      </c>
      <c r="T210" s="443" t="n">
        <f aca="false">S210/L210</f>
        <v>1.6975092964636</v>
      </c>
      <c r="U210" s="157" t="s">
        <v>279</v>
      </c>
      <c r="Y210" s="80" t="n">
        <v>8618000</v>
      </c>
      <c r="AA210" s="80" t="n">
        <v>8618000</v>
      </c>
      <c r="AC210" s="157" t="s">
        <v>3705</v>
      </c>
      <c r="AD210" s="157" t="s">
        <v>3812</v>
      </c>
      <c r="AE210" s="281" t="s">
        <v>3813</v>
      </c>
      <c r="AF210" s="281" t="s">
        <v>3707</v>
      </c>
      <c r="AI210" s="157" t="e">
        <f aca="false">IF(AND($E210=Subj_OccCode,Subj_BldgSF&gt;0,ABS($L210-Subj_BldgSF)&lt;=Subj_BldgSF*Subj_SizeTol),ABS($L210-Subj_BldgSF),NA())</f>
        <v>#N/A</v>
      </c>
      <c r="AJ210" s="1" t="e">
        <f aca="false">IF(ISNA(AI210),NA(),AI210+ROW()/10000000)</f>
        <v>#N/A</v>
      </c>
      <c r="AK210" s="157" t="str">
        <f aca="false">IF(AND(ISNUMBER($N210),$N210&gt;0,ISNUMBER($Y210)),$Y210/$N210,"")</f>
        <v/>
      </c>
    </row>
    <row r="211" customFormat="false" ht="15" hidden="false" customHeight="true" outlineLevel="0" collapsed="false">
      <c r="A211" s="441" t="n">
        <v>7</v>
      </c>
      <c r="B211" s="157" t="n">
        <v>203</v>
      </c>
      <c r="C211" s="157" t="s">
        <v>3814</v>
      </c>
      <c r="D211" s="157" t="s">
        <v>3815</v>
      </c>
      <c r="E211" s="157" t="n">
        <v>100</v>
      </c>
      <c r="F211" s="157" t="s">
        <v>260</v>
      </c>
      <c r="G211" s="157" t="s">
        <v>353</v>
      </c>
      <c r="H211" s="78" t="n">
        <f aca="false">Y211/J211</f>
        <v>424.886191198786</v>
      </c>
      <c r="I211" s="442" t="n">
        <v>44804</v>
      </c>
      <c r="J211" s="157" t="n">
        <v>1318</v>
      </c>
      <c r="L211" s="157" t="n">
        <v>1318</v>
      </c>
      <c r="M211" s="157" t="n">
        <v>1956</v>
      </c>
      <c r="P211" s="157" t="s">
        <v>3066</v>
      </c>
      <c r="R211" s="174" t="s">
        <v>279</v>
      </c>
      <c r="S211" s="157" t="n">
        <v>7500</v>
      </c>
      <c r="T211" s="443" t="n">
        <f aca="false">S211/L211</f>
        <v>5.69044006069803</v>
      </c>
      <c r="U211" s="157" t="s">
        <v>279</v>
      </c>
      <c r="Y211" s="80" t="n">
        <v>560000</v>
      </c>
      <c r="AA211" s="80" t="n">
        <v>560000</v>
      </c>
      <c r="AC211" s="157" t="s">
        <v>3816</v>
      </c>
      <c r="AD211" s="157" t="s">
        <v>3817</v>
      </c>
      <c r="AE211" s="281" t="s">
        <v>3818</v>
      </c>
      <c r="AF211" s="281" t="s">
        <v>3819</v>
      </c>
      <c r="AI211" s="157" t="e">
        <f aca="false">IF(AND($E211=Subj_OccCode,Subj_BldgSF&gt;0,ABS($L211-Subj_BldgSF)&lt;=Subj_BldgSF*Subj_SizeTol),ABS($L211-Subj_BldgSF),NA())</f>
        <v>#N/A</v>
      </c>
      <c r="AJ211" s="1" t="e">
        <f aca="false">IF(ISNA(AI211),NA(),AI211+ROW()/10000000)</f>
        <v>#N/A</v>
      </c>
      <c r="AK211" s="157" t="str">
        <f aca="false">IF(AND(ISNUMBER($N211),$N211&gt;0,ISNUMBER($Y211)),$Y211/$N211,"")</f>
        <v/>
      </c>
    </row>
    <row r="212" customFormat="false" ht="15" hidden="false" customHeight="true" outlineLevel="0" collapsed="false">
      <c r="A212" s="441" t="n">
        <v>7</v>
      </c>
      <c r="B212" s="157" t="n">
        <v>204</v>
      </c>
      <c r="C212" s="157" t="s">
        <v>3820</v>
      </c>
      <c r="D212" s="157" t="s">
        <v>3821</v>
      </c>
      <c r="E212" s="157" t="n">
        <v>353</v>
      </c>
      <c r="F212" s="157" t="s">
        <v>260</v>
      </c>
      <c r="G212" s="157" t="s">
        <v>353</v>
      </c>
      <c r="H212" s="78" t="n">
        <f aca="false">Y212/J212</f>
        <v>438.079761409349</v>
      </c>
      <c r="I212" s="442" t="n">
        <v>44799</v>
      </c>
      <c r="J212" s="157" t="n">
        <v>14418</v>
      </c>
      <c r="L212" s="157" t="n">
        <v>14418</v>
      </c>
      <c r="M212" s="157" t="n">
        <v>2001</v>
      </c>
      <c r="P212" s="157" t="s">
        <v>3500</v>
      </c>
      <c r="R212" s="174" t="s">
        <v>279</v>
      </c>
      <c r="S212" s="157" t="n">
        <v>94394.52</v>
      </c>
      <c r="T212" s="443" t="n">
        <f aca="false">S212/L212</f>
        <v>6.54699126092385</v>
      </c>
      <c r="U212" s="157" t="s">
        <v>483</v>
      </c>
      <c r="Y212" s="80" t="n">
        <v>6316234</v>
      </c>
      <c r="AA212" s="80" t="n">
        <v>6316234</v>
      </c>
      <c r="AC212" s="157" t="s">
        <v>3822</v>
      </c>
      <c r="AD212" s="157" t="s">
        <v>3823</v>
      </c>
      <c r="AE212" s="281" t="s">
        <v>3824</v>
      </c>
      <c r="AF212" s="281" t="s">
        <v>3825</v>
      </c>
      <c r="AI212" s="157" t="e">
        <f aca="false">IF(AND($E212=Subj_OccCode,Subj_BldgSF&gt;0,ABS($L212-Subj_BldgSF)&lt;=Subj_BldgSF*Subj_SizeTol),ABS($L212-Subj_BldgSF),NA())</f>
        <v>#N/A</v>
      </c>
      <c r="AJ212" s="1" t="e">
        <f aca="false">IF(ISNA(AI212),NA(),AI212+ROW()/10000000)</f>
        <v>#N/A</v>
      </c>
      <c r="AK212" s="157" t="str">
        <f aca="false">IF(AND(ISNUMBER($N212),$N212&gt;0,ISNUMBER($Y212)),$Y212/$N212,"")</f>
        <v/>
      </c>
    </row>
    <row r="213" customFormat="false" ht="15" hidden="false" customHeight="true" outlineLevel="0" collapsed="false">
      <c r="A213" s="441" t="n">
        <v>7</v>
      </c>
      <c r="B213" s="157" t="n">
        <v>205</v>
      </c>
      <c r="C213" s="157" t="s">
        <v>3411</v>
      </c>
      <c r="D213" s="157" t="s">
        <v>3826</v>
      </c>
      <c r="E213" s="157" t="n">
        <v>325</v>
      </c>
      <c r="F213" s="157" t="s">
        <v>2677</v>
      </c>
      <c r="G213" s="157" t="s">
        <v>2567</v>
      </c>
      <c r="H213" s="78" t="n">
        <f aca="false">Y213/J213</f>
        <v>299.689440993789</v>
      </c>
      <c r="I213" s="442" t="n">
        <v>44830</v>
      </c>
      <c r="J213" s="157" t="n">
        <v>6440</v>
      </c>
      <c r="L213" s="157" t="n">
        <v>6440</v>
      </c>
      <c r="M213" s="157" t="n">
        <v>2002</v>
      </c>
      <c r="P213" s="157" t="s">
        <v>3413</v>
      </c>
      <c r="R213" s="174" t="s">
        <v>279</v>
      </c>
      <c r="S213" s="157" t="n">
        <v>52276</v>
      </c>
      <c r="T213" s="443" t="n">
        <f aca="false">S213/L213</f>
        <v>8.11739130434783</v>
      </c>
      <c r="U213" s="157" t="s">
        <v>279</v>
      </c>
      <c r="Y213" s="80" t="n">
        <v>1930000</v>
      </c>
      <c r="AA213" s="80" t="n">
        <v>1930000</v>
      </c>
      <c r="AC213" s="157" t="s">
        <v>3414</v>
      </c>
      <c r="AD213" s="157" t="s">
        <v>3827</v>
      </c>
      <c r="AE213" s="281" t="s">
        <v>3828</v>
      </c>
      <c r="AF213" s="281" t="s">
        <v>3416</v>
      </c>
      <c r="AI213" s="157" t="e">
        <f aca="false">IF(AND($E213=Subj_OccCode,Subj_BldgSF&gt;0,ABS($L213-Subj_BldgSF)&lt;=Subj_BldgSF*Subj_SizeTol),ABS($L213-Subj_BldgSF),NA())</f>
        <v>#N/A</v>
      </c>
      <c r="AJ213" s="1" t="e">
        <f aca="false">IF(ISNA(AI213),NA(),AI213+ROW()/10000000)</f>
        <v>#N/A</v>
      </c>
      <c r="AK213" s="157" t="str">
        <f aca="false">IF(AND(ISNUMBER($N213),$N213&gt;0,ISNUMBER($Y213)),$Y213/$N213,"")</f>
        <v/>
      </c>
    </row>
    <row r="214" customFormat="false" ht="15" hidden="false" customHeight="true" outlineLevel="0" collapsed="false">
      <c r="A214" s="441" t="n">
        <v>7</v>
      </c>
      <c r="B214" s="157" t="n">
        <v>206</v>
      </c>
      <c r="C214" s="157" t="s">
        <v>3829</v>
      </c>
      <c r="D214" s="157" t="s">
        <v>3830</v>
      </c>
      <c r="E214" s="157" t="n">
        <v>350</v>
      </c>
      <c r="F214" s="157" t="s">
        <v>2581</v>
      </c>
      <c r="G214" s="157" t="s">
        <v>354</v>
      </c>
      <c r="H214" s="78" t="n">
        <f aca="false">Y214/J214</f>
        <v>255.298651252409</v>
      </c>
      <c r="I214" s="442" t="n">
        <v>44838</v>
      </c>
      <c r="J214" s="157" t="n">
        <v>10380</v>
      </c>
      <c r="L214" s="157" t="n">
        <v>10380</v>
      </c>
      <c r="M214" s="157" t="n">
        <v>1997</v>
      </c>
      <c r="P214" s="157" t="s">
        <v>2588</v>
      </c>
      <c r="R214" s="174" t="s">
        <v>279</v>
      </c>
      <c r="S214" s="157" t="n">
        <v>98968.32</v>
      </c>
      <c r="T214" s="443" t="n">
        <f aca="false">S214/L214</f>
        <v>9.53452023121387</v>
      </c>
      <c r="U214" s="157" t="s">
        <v>279</v>
      </c>
      <c r="Y214" s="80" t="n">
        <v>2650000</v>
      </c>
      <c r="AA214" s="80" t="n">
        <v>2650000</v>
      </c>
      <c r="AC214" s="157" t="s">
        <v>3831</v>
      </c>
      <c r="AD214" s="157" t="s">
        <v>3832</v>
      </c>
      <c r="AE214" s="281" t="s">
        <v>3833</v>
      </c>
      <c r="AF214" s="281" t="s">
        <v>3834</v>
      </c>
      <c r="AI214" s="157" t="e">
        <f aca="false">IF(AND($E214=Subj_OccCode,Subj_BldgSF&gt;0,ABS($L214-Subj_BldgSF)&lt;=Subj_BldgSF*Subj_SizeTol),ABS($L214-Subj_BldgSF),NA())</f>
        <v>#N/A</v>
      </c>
      <c r="AJ214" s="1" t="e">
        <f aca="false">IF(ISNA(AI214),NA(),AI214+ROW()/10000000)</f>
        <v>#N/A</v>
      </c>
      <c r="AK214" s="157" t="str">
        <f aca="false">IF(AND(ISNUMBER($N214),$N214&gt;0,ISNUMBER($Y214)),$Y214/$N214,"")</f>
        <v/>
      </c>
    </row>
    <row r="215" customFormat="false" ht="15" hidden="false" customHeight="true" outlineLevel="0" collapsed="false">
      <c r="A215" s="441" t="n">
        <v>7</v>
      </c>
      <c r="B215" s="157" t="n">
        <v>207</v>
      </c>
      <c r="C215" s="157" t="s">
        <v>3835</v>
      </c>
      <c r="D215" s="157" t="s">
        <v>3836</v>
      </c>
      <c r="E215" s="157" t="n">
        <v>1111</v>
      </c>
      <c r="F215" s="157" t="s">
        <v>2581</v>
      </c>
      <c r="G215" s="157" t="s">
        <v>354</v>
      </c>
      <c r="H215" s="78" t="n">
        <f aca="false">Y215/J215</f>
        <v>2650000</v>
      </c>
      <c r="I215" s="442" t="n">
        <v>44838</v>
      </c>
      <c r="J215" s="157" t="n">
        <v>1</v>
      </c>
      <c r="L215" s="157" t="n">
        <v>1</v>
      </c>
      <c r="M215" s="157" t="n">
        <v>2000</v>
      </c>
      <c r="P215" s="157" t="s">
        <v>2588</v>
      </c>
      <c r="R215" s="174" t="s">
        <v>279</v>
      </c>
      <c r="S215" s="157" t="n">
        <v>17859.5996</v>
      </c>
      <c r="T215" s="443" t="n">
        <f aca="false">S215/L215</f>
        <v>17859.5996</v>
      </c>
      <c r="U215" s="157" t="s">
        <v>279</v>
      </c>
      <c r="Y215" s="80" t="n">
        <v>2650000</v>
      </c>
      <c r="AA215" s="80" t="n">
        <v>2650000</v>
      </c>
      <c r="AC215" s="157" t="s">
        <v>3837</v>
      </c>
      <c r="AD215" s="157" t="s">
        <v>3832</v>
      </c>
      <c r="AE215" s="281" t="s">
        <v>3833</v>
      </c>
      <c r="AF215" s="281" t="s">
        <v>3834</v>
      </c>
      <c r="AI215" s="157" t="e">
        <f aca="false">IF(AND($E215=Subj_OccCode,Subj_BldgSF&gt;0,ABS($L215-Subj_BldgSF)&lt;=Subj_BldgSF*Subj_SizeTol),ABS($L215-Subj_BldgSF),NA())</f>
        <v>#N/A</v>
      </c>
      <c r="AJ215" s="1" t="e">
        <f aca="false">IF(ISNA(AI215),NA(),AI215+ROW()/10000000)</f>
        <v>#N/A</v>
      </c>
      <c r="AK215" s="157" t="str">
        <f aca="false">IF(AND(ISNUMBER($N215),$N215&gt;0,ISNUMBER($Y215)),$Y215/$N215,"")</f>
        <v/>
      </c>
    </row>
    <row r="216" customFormat="false" ht="15" hidden="false" customHeight="true" outlineLevel="0" collapsed="false">
      <c r="A216" s="441" t="n">
        <v>7</v>
      </c>
      <c r="B216" s="157" t="n">
        <v>208</v>
      </c>
      <c r="C216" s="157" t="s">
        <v>3838</v>
      </c>
      <c r="D216" s="157" t="s">
        <v>3839</v>
      </c>
      <c r="E216" s="157" t="n">
        <v>425</v>
      </c>
      <c r="F216" s="157" t="s">
        <v>2921</v>
      </c>
      <c r="G216" s="157" t="s">
        <v>2691</v>
      </c>
      <c r="H216" s="78" t="n">
        <f aca="false">Y216/J216</f>
        <v>36.1111111111111</v>
      </c>
      <c r="I216" s="442" t="n">
        <v>44855</v>
      </c>
      <c r="J216" s="157" t="n">
        <v>9000</v>
      </c>
      <c r="L216" s="157" t="n">
        <v>9000</v>
      </c>
      <c r="M216" s="157" t="n">
        <v>2002</v>
      </c>
      <c r="P216" s="157" t="s">
        <v>3293</v>
      </c>
      <c r="R216" s="174" t="s">
        <v>279</v>
      </c>
      <c r="S216" s="157" t="n">
        <v>6448</v>
      </c>
      <c r="T216" s="443" t="n">
        <f aca="false">S216/L216</f>
        <v>0.716444444444444</v>
      </c>
      <c r="U216" s="157" t="s">
        <v>279</v>
      </c>
      <c r="Y216" s="80" t="n">
        <v>325000</v>
      </c>
      <c r="AA216" s="80" t="n">
        <v>325000</v>
      </c>
      <c r="AC216" s="157" t="s">
        <v>3840</v>
      </c>
      <c r="AD216" s="157" t="s">
        <v>3841</v>
      </c>
      <c r="AE216" s="281" t="s">
        <v>3842</v>
      </c>
      <c r="AF216" s="281" t="s">
        <v>3843</v>
      </c>
      <c r="AI216" s="157" t="e">
        <f aca="false">IF(AND($E216=Subj_OccCode,Subj_BldgSF&gt;0,ABS($L216-Subj_BldgSF)&lt;=Subj_BldgSF*Subj_SizeTol),ABS($L216-Subj_BldgSF),NA())</f>
        <v>#N/A</v>
      </c>
      <c r="AJ216" s="1" t="e">
        <f aca="false">IF(ISNA(AI216),NA(),AI216+ROW()/10000000)</f>
        <v>#N/A</v>
      </c>
      <c r="AK216" s="157" t="str">
        <f aca="false">IF(AND(ISNUMBER($N216),$N216&gt;0,ISNUMBER($Y216)),$Y216/$N216,"")</f>
        <v/>
      </c>
    </row>
    <row r="217" customFormat="false" ht="15" hidden="false" customHeight="true" outlineLevel="0" collapsed="false">
      <c r="A217" s="441" t="n">
        <v>7</v>
      </c>
      <c r="B217" s="157" t="n">
        <v>209</v>
      </c>
      <c r="C217" s="157" t="s">
        <v>3844</v>
      </c>
      <c r="D217" s="157" t="s">
        <v>3845</v>
      </c>
      <c r="E217" s="157" t="n">
        <v>350</v>
      </c>
      <c r="F217" s="157" t="s">
        <v>260</v>
      </c>
      <c r="G217" s="157" t="s">
        <v>353</v>
      </c>
      <c r="H217" s="78" t="n">
        <f aca="false">Y217/J217</f>
        <v>192.542787286064</v>
      </c>
      <c r="I217" s="442" t="n">
        <v>44860</v>
      </c>
      <c r="J217" s="157" t="n">
        <v>3272</v>
      </c>
      <c r="L217" s="157" t="n">
        <v>3272</v>
      </c>
      <c r="M217" s="157" t="n">
        <v>1912</v>
      </c>
      <c r="P217" s="157" t="s">
        <v>3066</v>
      </c>
      <c r="R217" s="174" t="s">
        <v>279</v>
      </c>
      <c r="S217" s="157" t="n">
        <v>7500</v>
      </c>
      <c r="T217" s="443" t="n">
        <f aca="false">S217/L217</f>
        <v>2.2921760391198</v>
      </c>
      <c r="U217" s="157" t="s">
        <v>279</v>
      </c>
      <c r="Y217" s="80" t="n">
        <v>630000</v>
      </c>
      <c r="AA217" s="80" t="n">
        <v>630000</v>
      </c>
      <c r="AC217" s="157" t="s">
        <v>3846</v>
      </c>
      <c r="AD217" s="157" t="s">
        <v>3847</v>
      </c>
      <c r="AE217" s="281" t="s">
        <v>3848</v>
      </c>
      <c r="AF217" s="281" t="s">
        <v>3849</v>
      </c>
      <c r="AI217" s="157" t="e">
        <f aca="false">IF(AND($E217=Subj_OccCode,Subj_BldgSF&gt;0,ABS($L217-Subj_BldgSF)&lt;=Subj_BldgSF*Subj_SizeTol),ABS($L217-Subj_BldgSF),NA())</f>
        <v>#N/A</v>
      </c>
      <c r="AJ217" s="1" t="e">
        <f aca="false">IF(ISNA(AI217),NA(),AI217+ROW()/10000000)</f>
        <v>#N/A</v>
      </c>
      <c r="AK217" s="157" t="str">
        <f aca="false">IF(AND(ISNUMBER($N217),$N217&gt;0,ISNUMBER($Y217)),$Y217/$N217,"")</f>
        <v/>
      </c>
    </row>
    <row r="218" customFormat="false" ht="15" hidden="false" customHeight="true" outlineLevel="0" collapsed="false">
      <c r="A218" s="441" t="n">
        <v>7</v>
      </c>
      <c r="B218" s="157" t="n">
        <v>210</v>
      </c>
      <c r="C218" s="157" t="s">
        <v>3850</v>
      </c>
      <c r="D218" s="157" t="s">
        <v>3851</v>
      </c>
      <c r="E218" s="157" t="n">
        <v>353</v>
      </c>
      <c r="F218" s="157" t="s">
        <v>2595</v>
      </c>
      <c r="G218" s="157" t="s">
        <v>2596</v>
      </c>
      <c r="H218" s="78" t="n">
        <f aca="false">Y218/J218</f>
        <v>355.977454761198</v>
      </c>
      <c r="I218" s="442" t="n">
        <v>44872</v>
      </c>
      <c r="J218" s="157" t="n">
        <v>6742</v>
      </c>
      <c r="L218" s="157" t="n">
        <v>6742</v>
      </c>
      <c r="M218" s="157" t="n">
        <v>2004</v>
      </c>
      <c r="P218" s="157" t="s">
        <v>3381</v>
      </c>
      <c r="R218" s="174" t="s">
        <v>279</v>
      </c>
      <c r="S218" s="157" t="n">
        <v>41537</v>
      </c>
      <c r="T218" s="443" t="n">
        <f aca="false">S218/L218</f>
        <v>6.16093147433996</v>
      </c>
      <c r="U218" s="157" t="s">
        <v>279</v>
      </c>
      <c r="Y218" s="80" t="n">
        <v>2400000</v>
      </c>
      <c r="AA218" s="80" t="n">
        <v>2400000</v>
      </c>
      <c r="AC218" s="157" t="s">
        <v>3852</v>
      </c>
      <c r="AD218" s="157" t="s">
        <v>3853</v>
      </c>
      <c r="AE218" s="281" t="s">
        <v>3854</v>
      </c>
      <c r="AF218" s="281" t="s">
        <v>3855</v>
      </c>
      <c r="AI218" s="157" t="e">
        <f aca="false">IF(AND($E218=Subj_OccCode,Subj_BldgSF&gt;0,ABS($L218-Subj_BldgSF)&lt;=Subj_BldgSF*Subj_SizeTol),ABS($L218-Subj_BldgSF),NA())</f>
        <v>#N/A</v>
      </c>
      <c r="AJ218" s="1" t="e">
        <f aca="false">IF(ISNA(AI218),NA(),AI218+ROW()/10000000)</f>
        <v>#N/A</v>
      </c>
      <c r="AK218" s="157" t="str">
        <f aca="false">IF(AND(ISNUMBER($N218),$N218&gt;0,ISNUMBER($Y218)),$Y218/$N218,"")</f>
        <v/>
      </c>
    </row>
    <row r="219" customFormat="false" ht="15" hidden="false" customHeight="true" outlineLevel="0" collapsed="false">
      <c r="A219" s="441" t="n">
        <v>7</v>
      </c>
      <c r="B219" s="157" t="n">
        <v>211</v>
      </c>
      <c r="C219" s="157" t="s">
        <v>3856</v>
      </c>
      <c r="D219" s="157" t="s">
        <v>3857</v>
      </c>
      <c r="E219" s="157" t="n">
        <v>340</v>
      </c>
      <c r="F219" s="157" t="s">
        <v>2581</v>
      </c>
      <c r="G219" s="157" t="s">
        <v>354</v>
      </c>
      <c r="H219" s="78" t="n">
        <f aca="false">Y219/J219</f>
        <v>195.169187044187</v>
      </c>
      <c r="I219" s="442" t="n">
        <v>44872</v>
      </c>
      <c r="J219" s="157" t="n">
        <v>55944</v>
      </c>
      <c r="L219" s="157" t="n">
        <v>55944</v>
      </c>
      <c r="M219" s="157" t="n">
        <v>2000</v>
      </c>
      <c r="P219" s="157" t="s">
        <v>2588</v>
      </c>
      <c r="R219" s="174" t="s">
        <v>279</v>
      </c>
      <c r="S219" s="157" t="n">
        <v>419391.32</v>
      </c>
      <c r="T219" s="443" t="n">
        <f aca="false">S219/L219</f>
        <v>7.49662734162734</v>
      </c>
      <c r="U219" s="157" t="s">
        <v>483</v>
      </c>
      <c r="Y219" s="80" t="n">
        <v>10918545</v>
      </c>
      <c r="AA219" s="80" t="n">
        <v>10918545</v>
      </c>
      <c r="AC219" s="157" t="s">
        <v>3858</v>
      </c>
      <c r="AD219" s="157" t="s">
        <v>3859</v>
      </c>
      <c r="AE219" s="281" t="s">
        <v>3860</v>
      </c>
      <c r="AF219" s="281" t="s">
        <v>3861</v>
      </c>
      <c r="AI219" s="157" t="e">
        <f aca="false">IF(AND($E219=Subj_OccCode,Subj_BldgSF&gt;0,ABS($L219-Subj_BldgSF)&lt;=Subj_BldgSF*Subj_SizeTol),ABS($L219-Subj_BldgSF),NA())</f>
        <v>#N/A</v>
      </c>
      <c r="AJ219" s="1" t="e">
        <f aca="false">IF(ISNA(AI219),NA(),AI219+ROW()/10000000)</f>
        <v>#N/A</v>
      </c>
      <c r="AK219" s="157" t="str">
        <f aca="false">IF(AND(ISNUMBER($N219),$N219&gt;0,ISNUMBER($Y219)),$Y219/$N219,"")</f>
        <v/>
      </c>
    </row>
    <row r="220" customFormat="false" ht="15" hidden="false" customHeight="true" outlineLevel="0" collapsed="false">
      <c r="A220" s="441" t="n">
        <v>7</v>
      </c>
      <c r="B220" s="157" t="n">
        <v>212</v>
      </c>
      <c r="C220" s="157" t="s">
        <v>3862</v>
      </c>
      <c r="D220" s="157" t="s">
        <v>3863</v>
      </c>
      <c r="E220" s="157" t="n">
        <v>407</v>
      </c>
      <c r="F220" s="157" t="s">
        <v>2921</v>
      </c>
      <c r="G220" s="157" t="s">
        <v>2691</v>
      </c>
      <c r="H220" s="78" t="n">
        <f aca="false">Y220/J220</f>
        <v>237.243024691358</v>
      </c>
      <c r="I220" s="442" t="n">
        <v>44875</v>
      </c>
      <c r="J220" s="157" t="n">
        <v>16200</v>
      </c>
      <c r="L220" s="157" t="n">
        <v>16200</v>
      </c>
      <c r="M220" s="157" t="n">
        <v>1970</v>
      </c>
      <c r="P220" s="157" t="s">
        <v>2922</v>
      </c>
      <c r="R220" s="174" t="s">
        <v>279</v>
      </c>
      <c r="S220" s="157" t="n">
        <v>59734</v>
      </c>
      <c r="T220" s="443" t="n">
        <f aca="false">S220/L220</f>
        <v>3.68728395061728</v>
      </c>
      <c r="U220" s="157" t="s">
        <v>279</v>
      </c>
      <c r="Y220" s="80" t="n">
        <v>3843337</v>
      </c>
      <c r="AA220" s="80" t="n">
        <v>3843337</v>
      </c>
      <c r="AC220" s="157" t="s">
        <v>3864</v>
      </c>
      <c r="AD220" s="157" t="s">
        <v>3865</v>
      </c>
      <c r="AE220" s="281" t="s">
        <v>3866</v>
      </c>
      <c r="AF220" s="281" t="s">
        <v>3867</v>
      </c>
      <c r="AI220" s="157" t="e">
        <f aca="false">IF(AND($E220=Subj_OccCode,Subj_BldgSF&gt;0,ABS($L220-Subj_BldgSF)&lt;=Subj_BldgSF*Subj_SizeTol),ABS($L220-Subj_BldgSF),NA())</f>
        <v>#N/A</v>
      </c>
      <c r="AJ220" s="1" t="e">
        <f aca="false">IF(ISNA(AI220),NA(),AI220+ROW()/10000000)</f>
        <v>#N/A</v>
      </c>
      <c r="AK220" s="157" t="str">
        <f aca="false">IF(AND(ISNUMBER($N220),$N220&gt;0,ISNUMBER($Y220)),$Y220/$N220,"")</f>
        <v/>
      </c>
    </row>
    <row r="221" customFormat="false" ht="15" hidden="false" customHeight="true" outlineLevel="0" collapsed="false">
      <c r="A221" s="441" t="n">
        <v>7</v>
      </c>
      <c r="B221" s="157" t="n">
        <v>213</v>
      </c>
      <c r="C221" s="157" t="s">
        <v>3868</v>
      </c>
      <c r="D221" s="157" t="s">
        <v>3869</v>
      </c>
      <c r="E221" s="157" t="n">
        <v>309</v>
      </c>
      <c r="F221" s="157" t="s">
        <v>2677</v>
      </c>
      <c r="G221" s="157" t="s">
        <v>354</v>
      </c>
      <c r="H221" s="78" t="n">
        <f aca="false">Y221/J221</f>
        <v>267.122555828614</v>
      </c>
      <c r="I221" s="442" t="n">
        <v>44897</v>
      </c>
      <c r="J221" s="157" t="n">
        <v>18718</v>
      </c>
      <c r="L221" s="157" t="n">
        <v>18718</v>
      </c>
      <c r="M221" s="157" t="n">
        <v>2003</v>
      </c>
      <c r="P221" s="157" t="s">
        <v>1952</v>
      </c>
      <c r="R221" s="174" t="s">
        <v>483</v>
      </c>
      <c r="S221" s="157" t="n">
        <v>268983</v>
      </c>
      <c r="T221" s="443" t="n">
        <f aca="false">S221/L221</f>
        <v>14.3702852868896</v>
      </c>
      <c r="U221" s="157" t="s">
        <v>279</v>
      </c>
      <c r="Y221" s="80" t="n">
        <v>5000000</v>
      </c>
      <c r="AA221" s="80" t="n">
        <v>5000000</v>
      </c>
      <c r="AC221" s="157" t="s">
        <v>3870</v>
      </c>
      <c r="AD221" s="157" t="s">
        <v>3871</v>
      </c>
      <c r="AE221" s="281" t="s">
        <v>3872</v>
      </c>
      <c r="AF221" s="281" t="s">
        <v>3873</v>
      </c>
      <c r="AI221" s="157" t="e">
        <f aca="false">IF(AND($E221=Subj_OccCode,Subj_BldgSF&gt;0,ABS($L221-Subj_BldgSF)&lt;=Subj_BldgSF*Subj_SizeTol),ABS($L221-Subj_BldgSF),NA())</f>
        <v>#N/A</v>
      </c>
      <c r="AJ221" s="1" t="e">
        <f aca="false">IF(ISNA(AI221),NA(),AI221+ROW()/10000000)</f>
        <v>#N/A</v>
      </c>
      <c r="AK221" s="157" t="str">
        <f aca="false">IF(AND(ISNUMBER($N221),$N221&gt;0,ISNUMBER($Y221)),$Y221/$N221,"")</f>
        <v/>
      </c>
    </row>
    <row r="222" customFormat="false" ht="15" hidden="false" customHeight="true" outlineLevel="0" collapsed="false">
      <c r="A222" s="441" t="n">
        <v>7</v>
      </c>
      <c r="B222" s="157" t="n">
        <v>214</v>
      </c>
      <c r="C222" s="157" t="s">
        <v>3874</v>
      </c>
      <c r="D222" s="157" t="s">
        <v>3875</v>
      </c>
      <c r="E222" s="157" t="n">
        <v>325</v>
      </c>
      <c r="G222" s="157" t="s">
        <v>2691</v>
      </c>
      <c r="H222" s="78" t="n">
        <f aca="false">Y222/J222</f>
        <v>5625</v>
      </c>
      <c r="I222" s="442" t="n">
        <v>44903</v>
      </c>
      <c r="J222" s="157" t="n">
        <v>1600</v>
      </c>
      <c r="L222" s="157" t="n">
        <v>1600</v>
      </c>
      <c r="M222" s="157" t="n">
        <v>1988</v>
      </c>
      <c r="P222" s="157" t="s">
        <v>2692</v>
      </c>
      <c r="R222" s="174" t="s">
        <v>279</v>
      </c>
      <c r="S222" s="157" t="n">
        <v>378972</v>
      </c>
      <c r="T222" s="443" t="n">
        <f aca="false">S222/L222</f>
        <v>236.8575</v>
      </c>
      <c r="U222" s="157" t="s">
        <v>279</v>
      </c>
      <c r="Y222" s="80" t="n">
        <v>9000000</v>
      </c>
      <c r="AA222" s="80" t="n">
        <v>9000000</v>
      </c>
      <c r="AC222" s="157" t="s">
        <v>3876</v>
      </c>
      <c r="AD222" s="157" t="s">
        <v>3877</v>
      </c>
      <c r="AE222" s="281" t="s">
        <v>3878</v>
      </c>
      <c r="AF222" s="281" t="s">
        <v>3879</v>
      </c>
      <c r="AI222" s="157" t="e">
        <f aca="false">IF(AND($E222=Subj_OccCode,Subj_BldgSF&gt;0,ABS($L222-Subj_BldgSF)&lt;=Subj_BldgSF*Subj_SizeTol),ABS($L222-Subj_BldgSF),NA())</f>
        <v>#N/A</v>
      </c>
      <c r="AJ222" s="1" t="e">
        <f aca="false">IF(ISNA(AI222),NA(),AI222+ROW()/10000000)</f>
        <v>#N/A</v>
      </c>
      <c r="AK222" s="157" t="str">
        <f aca="false">IF(AND(ISNUMBER($N222),$N222&gt;0,ISNUMBER($Y222)),$Y222/$N222,"")</f>
        <v/>
      </c>
    </row>
    <row r="223" customFormat="false" ht="15" hidden="false" customHeight="true" outlineLevel="0" collapsed="false">
      <c r="A223" s="441" t="n">
        <v>7</v>
      </c>
      <c r="B223" s="157" t="n">
        <v>215</v>
      </c>
      <c r="C223" s="157" t="s">
        <v>3880</v>
      </c>
      <c r="D223" s="157" t="s">
        <v>3881</v>
      </c>
      <c r="E223" s="157" t="n">
        <v>304</v>
      </c>
      <c r="F223" s="157" t="s">
        <v>2677</v>
      </c>
      <c r="G223" s="157" t="s">
        <v>354</v>
      </c>
      <c r="H223" s="78" t="n">
        <f aca="false">Y223/J223</f>
        <v>452.058053771116</v>
      </c>
      <c r="I223" s="442" t="n">
        <v>44904</v>
      </c>
      <c r="J223" s="157" t="n">
        <v>4203</v>
      </c>
      <c r="L223" s="157" t="n">
        <v>4203</v>
      </c>
      <c r="S223" s="157" t="n">
        <v>58375</v>
      </c>
      <c r="T223" s="443" t="n">
        <f aca="false">S223/L223</f>
        <v>13.8888888888889</v>
      </c>
      <c r="Y223" s="80" t="n">
        <v>1900000</v>
      </c>
      <c r="AA223" s="80" t="n">
        <v>1900000</v>
      </c>
      <c r="AC223" s="157" t="s">
        <v>3882</v>
      </c>
      <c r="AD223" s="157" t="s">
        <v>3883</v>
      </c>
      <c r="AE223" s="281" t="s">
        <v>3884</v>
      </c>
      <c r="AF223" s="281" t="s">
        <v>3885</v>
      </c>
      <c r="AI223" s="157" t="e">
        <f aca="false">IF(AND($E223=Subj_OccCode,Subj_BldgSF&gt;0,ABS($L223-Subj_BldgSF)&lt;=Subj_BldgSF*Subj_SizeTol),ABS($L223-Subj_BldgSF),NA())</f>
        <v>#N/A</v>
      </c>
      <c r="AJ223" s="1" t="e">
        <f aca="false">IF(ISNA(AI223),NA(),AI223+ROW()/10000000)</f>
        <v>#N/A</v>
      </c>
      <c r="AK223" s="157" t="str">
        <f aca="false">IF(AND(ISNUMBER($N223),$N223&gt;0,ISNUMBER($Y223)),$Y223/$N223,"")</f>
        <v/>
      </c>
    </row>
    <row r="224" customFormat="false" ht="15" hidden="false" customHeight="true" outlineLevel="0" collapsed="false">
      <c r="A224" s="441" t="n">
        <v>7</v>
      </c>
      <c r="B224" s="157" t="n">
        <v>216</v>
      </c>
      <c r="C224" s="157" t="s">
        <v>3886</v>
      </c>
      <c r="D224" s="157" t="s">
        <v>3887</v>
      </c>
      <c r="E224" s="157" t="n">
        <v>118</v>
      </c>
      <c r="F224" s="157" t="s">
        <v>2595</v>
      </c>
      <c r="G224" s="157" t="s">
        <v>2596</v>
      </c>
      <c r="H224" s="78" t="n">
        <f aca="false">Y224/J224</f>
        <v>33.7760055313163</v>
      </c>
      <c r="I224" s="442" t="n">
        <v>44907</v>
      </c>
      <c r="J224" s="157" t="n">
        <v>41943</v>
      </c>
      <c r="L224" s="157" t="n">
        <v>41943</v>
      </c>
      <c r="S224" s="157" t="n">
        <v>482743</v>
      </c>
      <c r="T224" s="443" t="n">
        <f aca="false">S224/L224</f>
        <v>11.509500989438</v>
      </c>
      <c r="Y224" s="80" t="n">
        <v>1416667</v>
      </c>
      <c r="AA224" s="80" t="n">
        <v>1416667</v>
      </c>
      <c r="AC224" s="157" t="s">
        <v>3888</v>
      </c>
      <c r="AD224" s="157" t="s">
        <v>3889</v>
      </c>
      <c r="AE224" s="281" t="s">
        <v>3890</v>
      </c>
      <c r="AF224" s="281" t="s">
        <v>3891</v>
      </c>
      <c r="AI224" s="157" t="e">
        <f aca="false">IF(AND($E224=Subj_OccCode,Subj_BldgSF&gt;0,ABS($L224-Subj_BldgSF)&lt;=Subj_BldgSF*Subj_SizeTol),ABS($L224-Subj_BldgSF),NA())</f>
        <v>#N/A</v>
      </c>
      <c r="AJ224" s="1" t="e">
        <f aca="false">IF(ISNA(AI224),NA(),AI224+ROW()/10000000)</f>
        <v>#N/A</v>
      </c>
      <c r="AK224" s="157" t="str">
        <f aca="false">IF(AND(ISNUMBER($N224),$N224&gt;0,ISNUMBER($Y224)),$Y224/$N224,"")</f>
        <v/>
      </c>
    </row>
    <row r="225" customFormat="false" ht="15" hidden="false" customHeight="true" outlineLevel="0" collapsed="false">
      <c r="A225" s="441" t="n">
        <v>7</v>
      </c>
      <c r="B225" s="157" t="n">
        <v>217</v>
      </c>
      <c r="C225" s="157" t="s">
        <v>3892</v>
      </c>
      <c r="D225" s="157" t="s">
        <v>3893</v>
      </c>
      <c r="E225" s="157" t="n">
        <v>3441</v>
      </c>
      <c r="F225" s="157" t="s">
        <v>2921</v>
      </c>
      <c r="G225" s="157" t="s">
        <v>2691</v>
      </c>
      <c r="H225" s="78" t="n">
        <f aca="false">Y225/J225</f>
        <v>695</v>
      </c>
      <c r="I225" s="442" t="n">
        <v>44930</v>
      </c>
      <c r="J225" s="157" t="n">
        <v>1000</v>
      </c>
      <c r="L225" s="157" t="n">
        <v>1000</v>
      </c>
      <c r="M225" s="157" t="n">
        <v>1986</v>
      </c>
      <c r="P225" s="157" t="s">
        <v>3293</v>
      </c>
      <c r="R225" s="174" t="s">
        <v>279</v>
      </c>
      <c r="S225" s="157" t="n">
        <v>8347.5</v>
      </c>
      <c r="T225" s="443" t="n">
        <f aca="false">S225/L225</f>
        <v>8.3475</v>
      </c>
      <c r="U225" s="157" t="s">
        <v>279</v>
      </c>
      <c r="Y225" s="80" t="n">
        <v>695000</v>
      </c>
      <c r="AA225" s="80" t="n">
        <v>695000</v>
      </c>
      <c r="AC225" s="157" t="s">
        <v>3894</v>
      </c>
      <c r="AD225" s="157" t="s">
        <v>3895</v>
      </c>
      <c r="AE225" s="281" t="s">
        <v>3896</v>
      </c>
      <c r="AF225" s="281" t="s">
        <v>3897</v>
      </c>
      <c r="AI225" s="157" t="e">
        <f aca="false">IF(AND($E225=Subj_OccCode,Subj_BldgSF&gt;0,ABS($L225-Subj_BldgSF)&lt;=Subj_BldgSF*Subj_SizeTol),ABS($L225-Subj_BldgSF),NA())</f>
        <v>#N/A</v>
      </c>
      <c r="AJ225" s="1" t="e">
        <f aca="false">IF(ISNA(AI225),NA(),AI225+ROW()/10000000)</f>
        <v>#N/A</v>
      </c>
      <c r="AK225" s="157" t="str">
        <f aca="false">IF(AND(ISNUMBER($N225),$N225&gt;0,ISNUMBER($Y225)),$Y225/$N225,"")</f>
        <v/>
      </c>
    </row>
    <row r="226" customFormat="false" ht="15" hidden="false" customHeight="true" outlineLevel="0" collapsed="false">
      <c r="A226" s="441" t="n">
        <v>7</v>
      </c>
      <c r="B226" s="157" t="n">
        <v>218</v>
      </c>
      <c r="C226" s="157" t="s">
        <v>3898</v>
      </c>
      <c r="D226" s="157" t="s">
        <v>3899</v>
      </c>
      <c r="E226" s="157" t="n">
        <v>425</v>
      </c>
      <c r="F226" s="157" t="s">
        <v>2566</v>
      </c>
      <c r="G226" s="157" t="s">
        <v>2567</v>
      </c>
      <c r="H226" s="78" t="n">
        <f aca="false">Y226/J226</f>
        <v>21.4117647058824</v>
      </c>
      <c r="I226" s="442" t="n">
        <v>44932</v>
      </c>
      <c r="J226" s="157" t="n">
        <v>25500</v>
      </c>
      <c r="L226" s="157" t="n">
        <v>25500</v>
      </c>
      <c r="M226" s="157" t="n">
        <v>1984</v>
      </c>
      <c r="P226" s="157" t="s">
        <v>2983</v>
      </c>
      <c r="R226" s="174" t="s">
        <v>279</v>
      </c>
      <c r="S226" s="157" t="n">
        <v>4655</v>
      </c>
      <c r="T226" s="443" t="n">
        <f aca="false">S226/L226</f>
        <v>0.182549019607843</v>
      </c>
      <c r="U226" s="157" t="s">
        <v>279</v>
      </c>
      <c r="Y226" s="80" t="n">
        <v>546000</v>
      </c>
      <c r="AA226" s="80" t="n">
        <v>546000</v>
      </c>
      <c r="AC226" s="157" t="s">
        <v>3900</v>
      </c>
      <c r="AD226" s="157" t="s">
        <v>3901</v>
      </c>
      <c r="AE226" s="281" t="s">
        <v>3902</v>
      </c>
      <c r="AF226" s="281" t="s">
        <v>3903</v>
      </c>
      <c r="AI226" s="157" t="e">
        <f aca="false">IF(AND($E226=Subj_OccCode,Subj_BldgSF&gt;0,ABS($L226-Subj_BldgSF)&lt;=Subj_BldgSF*Subj_SizeTol),ABS($L226-Subj_BldgSF),NA())</f>
        <v>#N/A</v>
      </c>
      <c r="AJ226" s="1" t="e">
        <f aca="false">IF(ISNA(AI226),NA(),AI226+ROW()/10000000)</f>
        <v>#N/A</v>
      </c>
      <c r="AK226" s="157" t="str">
        <f aca="false">IF(AND(ISNUMBER($N226),$N226&gt;0,ISNUMBER($Y226)),$Y226/$N226,"")</f>
        <v/>
      </c>
    </row>
    <row r="227" customFormat="false" ht="15" hidden="false" customHeight="true" outlineLevel="0" collapsed="false">
      <c r="A227" s="441" t="n">
        <v>7</v>
      </c>
      <c r="B227" s="157" t="n">
        <v>219</v>
      </c>
      <c r="C227" s="157" t="s">
        <v>3904</v>
      </c>
      <c r="D227" s="157" t="s">
        <v>3905</v>
      </c>
      <c r="E227" s="157" t="n">
        <v>425</v>
      </c>
      <c r="F227" s="157" t="s">
        <v>2566</v>
      </c>
      <c r="G227" s="157" t="s">
        <v>2567</v>
      </c>
      <c r="H227" s="78" t="n">
        <f aca="false">Y227/J227</f>
        <v>21.4117647058824</v>
      </c>
      <c r="I227" s="442" t="n">
        <v>44932</v>
      </c>
      <c r="J227" s="157" t="n">
        <v>25500</v>
      </c>
      <c r="L227" s="157" t="n">
        <v>25500</v>
      </c>
      <c r="M227" s="157" t="n">
        <v>1984</v>
      </c>
      <c r="P227" s="157" t="s">
        <v>2983</v>
      </c>
      <c r="R227" s="174" t="s">
        <v>279</v>
      </c>
      <c r="S227" s="157" t="n">
        <v>4655</v>
      </c>
      <c r="T227" s="443" t="n">
        <f aca="false">S227/L227</f>
        <v>0.182549019607843</v>
      </c>
      <c r="U227" s="157" t="s">
        <v>279</v>
      </c>
      <c r="Y227" s="80" t="n">
        <v>546000</v>
      </c>
      <c r="AA227" s="80" t="n">
        <v>546000</v>
      </c>
      <c r="AC227" s="157" t="s">
        <v>3906</v>
      </c>
      <c r="AD227" s="157" t="s">
        <v>3901</v>
      </c>
      <c r="AE227" s="281" t="s">
        <v>3902</v>
      </c>
      <c r="AF227" s="281" t="s">
        <v>3903</v>
      </c>
      <c r="AI227" s="157" t="e">
        <f aca="false">IF(AND($E227=Subj_OccCode,Subj_BldgSF&gt;0,ABS($L227-Subj_BldgSF)&lt;=Subj_BldgSF*Subj_SizeTol),ABS($L227-Subj_BldgSF),NA())</f>
        <v>#N/A</v>
      </c>
      <c r="AJ227" s="1" t="e">
        <f aca="false">IF(ISNA(AI227),NA(),AI227+ROW()/10000000)</f>
        <v>#N/A</v>
      </c>
      <c r="AK227" s="157" t="str">
        <f aca="false">IF(AND(ISNUMBER($N227),$N227&gt;0,ISNUMBER($Y227)),$Y227/$N227,"")</f>
        <v/>
      </c>
    </row>
    <row r="228" customFormat="false" ht="15" hidden="false" customHeight="true" outlineLevel="0" collapsed="false">
      <c r="A228" s="441" t="n">
        <v>7</v>
      </c>
      <c r="B228" s="157" t="n">
        <v>220</v>
      </c>
      <c r="C228" s="157" t="s">
        <v>3907</v>
      </c>
      <c r="D228" s="157" t="s">
        <v>3908</v>
      </c>
      <c r="E228" s="157" t="n">
        <v>334</v>
      </c>
      <c r="F228" s="157" t="s">
        <v>2757</v>
      </c>
      <c r="G228" s="157" t="s">
        <v>2691</v>
      </c>
      <c r="H228" s="78" t="n">
        <f aca="false">Y228/J228</f>
        <v>746.268656716418</v>
      </c>
      <c r="I228" s="442" t="n">
        <v>44931</v>
      </c>
      <c r="J228" s="157" t="n">
        <v>13400</v>
      </c>
      <c r="L228" s="157" t="n">
        <v>13400</v>
      </c>
      <c r="M228" s="157" t="n">
        <v>1979</v>
      </c>
      <c r="P228" s="157" t="s">
        <v>2758</v>
      </c>
      <c r="R228" s="174" t="s">
        <v>279</v>
      </c>
      <c r="S228" s="157" t="n">
        <v>150608</v>
      </c>
      <c r="T228" s="443" t="n">
        <f aca="false">S228/L228</f>
        <v>11.2394029850746</v>
      </c>
      <c r="U228" s="157" t="s">
        <v>279</v>
      </c>
      <c r="Y228" s="80" t="n">
        <v>10000000</v>
      </c>
      <c r="AA228" s="80" t="n">
        <v>10000000</v>
      </c>
      <c r="AC228" s="157" t="s">
        <v>3909</v>
      </c>
      <c r="AD228" s="157" t="s">
        <v>3910</v>
      </c>
      <c r="AE228" s="281" t="s">
        <v>3911</v>
      </c>
      <c r="AF228" s="281" t="s">
        <v>3912</v>
      </c>
      <c r="AI228" s="157" t="e">
        <f aca="false">IF(AND($E228=Subj_OccCode,Subj_BldgSF&gt;0,ABS($L228-Subj_BldgSF)&lt;=Subj_BldgSF*Subj_SizeTol),ABS($L228-Subj_BldgSF),NA())</f>
        <v>#N/A</v>
      </c>
      <c r="AJ228" s="1" t="e">
        <f aca="false">IF(ISNA(AI228),NA(),AI228+ROW()/10000000)</f>
        <v>#N/A</v>
      </c>
      <c r="AK228" s="157" t="str">
        <f aca="false">IF(AND(ISNUMBER($N228),$N228&gt;0,ISNUMBER($Y228)),$Y228/$N228,"")</f>
        <v/>
      </c>
    </row>
    <row r="229" customFormat="false" ht="15" hidden="false" customHeight="true" outlineLevel="0" collapsed="false">
      <c r="A229" s="441" t="n">
        <v>7</v>
      </c>
      <c r="B229" s="157" t="n">
        <v>221</v>
      </c>
      <c r="C229" s="157" t="s">
        <v>3913</v>
      </c>
      <c r="D229" s="157" t="s">
        <v>3914</v>
      </c>
      <c r="E229" s="157" t="n">
        <v>407</v>
      </c>
      <c r="F229" s="157" t="s">
        <v>2757</v>
      </c>
      <c r="G229" s="157" t="s">
        <v>2691</v>
      </c>
      <c r="H229" s="78" t="n">
        <f aca="false">Y229/J229</f>
        <v>136.171139888612</v>
      </c>
      <c r="I229" s="442" t="n">
        <v>44931</v>
      </c>
      <c r="J229" s="157" t="n">
        <v>73437</v>
      </c>
      <c r="L229" s="157" t="n">
        <v>73437</v>
      </c>
      <c r="M229" s="157" t="n">
        <v>1974</v>
      </c>
      <c r="P229" s="157" t="s">
        <v>2758</v>
      </c>
      <c r="R229" s="174" t="s">
        <v>279</v>
      </c>
      <c r="S229" s="157" t="n">
        <v>162880</v>
      </c>
      <c r="T229" s="443" t="n">
        <f aca="false">S229/L229</f>
        <v>2.21795552650571</v>
      </c>
      <c r="U229" s="157" t="s">
        <v>279</v>
      </c>
      <c r="Y229" s="80" t="n">
        <v>10000000</v>
      </c>
      <c r="AA229" s="80" t="n">
        <v>10000000</v>
      </c>
      <c r="AC229" s="157" t="s">
        <v>3915</v>
      </c>
      <c r="AD229" s="157" t="s">
        <v>3910</v>
      </c>
      <c r="AE229" s="281" t="s">
        <v>3911</v>
      </c>
      <c r="AF229" s="281" t="s">
        <v>3912</v>
      </c>
      <c r="AI229" s="157" t="e">
        <f aca="false">IF(AND($E229=Subj_OccCode,Subj_BldgSF&gt;0,ABS($L229-Subj_BldgSF)&lt;=Subj_BldgSF*Subj_SizeTol),ABS($L229-Subj_BldgSF),NA())</f>
        <v>#N/A</v>
      </c>
      <c r="AJ229" s="1" t="e">
        <f aca="false">IF(ISNA(AI229),NA(),AI229+ROW()/10000000)</f>
        <v>#N/A</v>
      </c>
      <c r="AK229" s="157" t="str">
        <f aca="false">IF(AND(ISNUMBER($N229),$N229&gt;0,ISNUMBER($Y229)),$Y229/$N229,"")</f>
        <v/>
      </c>
    </row>
    <row r="230" customFormat="false" ht="15" hidden="false" customHeight="true" outlineLevel="0" collapsed="false">
      <c r="A230" s="441" t="n">
        <v>7</v>
      </c>
      <c r="B230" s="157" t="n">
        <v>222</v>
      </c>
      <c r="C230" s="157" t="s">
        <v>3916</v>
      </c>
      <c r="D230" s="157" t="s">
        <v>3917</v>
      </c>
      <c r="E230" s="157" t="n">
        <v>325</v>
      </c>
      <c r="F230" s="157" t="s">
        <v>2566</v>
      </c>
      <c r="G230" s="157" t="s">
        <v>2567</v>
      </c>
      <c r="H230" s="78" t="n">
        <f aca="false">Y230/J230</f>
        <v>651.041666666667</v>
      </c>
      <c r="I230" s="442" t="n">
        <v>44943</v>
      </c>
      <c r="J230" s="157" t="n">
        <v>1152</v>
      </c>
      <c r="L230" s="157" t="n">
        <v>1152</v>
      </c>
      <c r="M230" s="157" t="n">
        <v>1963</v>
      </c>
      <c r="P230" s="157" t="s">
        <v>3300</v>
      </c>
      <c r="R230" s="174" t="s">
        <v>279</v>
      </c>
      <c r="S230" s="157" t="n">
        <v>18750</v>
      </c>
      <c r="T230" s="443" t="n">
        <f aca="false">S230/L230</f>
        <v>16.2760416666667</v>
      </c>
      <c r="U230" s="157" t="s">
        <v>279</v>
      </c>
      <c r="Y230" s="80" t="n">
        <v>750000</v>
      </c>
      <c r="AA230" s="80" t="n">
        <v>750000</v>
      </c>
      <c r="AC230" s="157" t="s">
        <v>3918</v>
      </c>
      <c r="AD230" s="157" t="s">
        <v>3919</v>
      </c>
      <c r="AE230" s="281" t="s">
        <v>3920</v>
      </c>
      <c r="AF230" s="281" t="s">
        <v>3921</v>
      </c>
      <c r="AI230" s="157" t="e">
        <f aca="false">IF(AND($E230=Subj_OccCode,Subj_BldgSF&gt;0,ABS($L230-Subj_BldgSF)&lt;=Subj_BldgSF*Subj_SizeTol),ABS($L230-Subj_BldgSF),NA())</f>
        <v>#N/A</v>
      </c>
      <c r="AJ230" s="1" t="e">
        <f aca="false">IF(ISNA(AI230),NA(),AI230+ROW()/10000000)</f>
        <v>#N/A</v>
      </c>
      <c r="AK230" s="157" t="str">
        <f aca="false">IF(AND(ISNUMBER($N230),$N230&gt;0,ISNUMBER($Y230)),$Y230/$N230,"")</f>
        <v/>
      </c>
    </row>
    <row r="231" customFormat="false" ht="15" hidden="false" customHeight="true" outlineLevel="0" collapsed="false">
      <c r="A231" s="441" t="n">
        <v>7</v>
      </c>
      <c r="B231" s="157" t="n">
        <v>223</v>
      </c>
      <c r="C231" s="157" t="s">
        <v>3922</v>
      </c>
      <c r="D231" s="157" t="s">
        <v>3923</v>
      </c>
      <c r="E231" s="157" t="n">
        <v>353</v>
      </c>
      <c r="F231" s="157" t="s">
        <v>2566</v>
      </c>
      <c r="G231" s="157" t="s">
        <v>2567</v>
      </c>
      <c r="H231" s="78" t="n">
        <f aca="false">Y231/J231</f>
        <v>312.5</v>
      </c>
      <c r="I231" s="442" t="n">
        <v>44943</v>
      </c>
      <c r="J231" s="157" t="n">
        <v>2400</v>
      </c>
      <c r="L231" s="157" t="n">
        <v>2400</v>
      </c>
      <c r="M231" s="157" t="n">
        <v>1964</v>
      </c>
      <c r="P231" s="157" t="s">
        <v>3924</v>
      </c>
      <c r="R231" s="174" t="s">
        <v>279</v>
      </c>
      <c r="S231" s="157" t="n">
        <v>15000</v>
      </c>
      <c r="T231" s="443" t="n">
        <f aca="false">S231/L231</f>
        <v>6.25</v>
      </c>
      <c r="U231" s="157" t="s">
        <v>279</v>
      </c>
      <c r="Y231" s="80" t="n">
        <v>750000</v>
      </c>
      <c r="AA231" s="80" t="n">
        <v>750000</v>
      </c>
      <c r="AC231" s="157" t="s">
        <v>3925</v>
      </c>
      <c r="AD231" s="157" t="s">
        <v>3919</v>
      </c>
      <c r="AE231" s="281" t="s">
        <v>3920</v>
      </c>
      <c r="AF231" s="281" t="s">
        <v>3921</v>
      </c>
      <c r="AI231" s="157" t="e">
        <f aca="false">IF(AND($E231=Subj_OccCode,Subj_BldgSF&gt;0,ABS($L231-Subj_BldgSF)&lt;=Subj_BldgSF*Subj_SizeTol),ABS($L231-Subj_BldgSF),NA())</f>
        <v>#N/A</v>
      </c>
      <c r="AJ231" s="1" t="e">
        <f aca="false">IF(ISNA(AI231),NA(),AI231+ROW()/10000000)</f>
        <v>#N/A</v>
      </c>
      <c r="AK231" s="157" t="str">
        <f aca="false">IF(AND(ISNUMBER($N231),$N231&gt;0,ISNUMBER($Y231)),$Y231/$N231,"")</f>
        <v/>
      </c>
    </row>
    <row r="232" customFormat="false" ht="15" hidden="false" customHeight="true" outlineLevel="0" collapsed="false">
      <c r="A232" s="441" t="n">
        <v>7</v>
      </c>
      <c r="B232" s="157" t="n">
        <v>224</v>
      </c>
      <c r="C232" s="157" t="s">
        <v>3926</v>
      </c>
      <c r="D232" s="157" t="s">
        <v>3927</v>
      </c>
      <c r="E232" s="157" t="n">
        <v>407</v>
      </c>
      <c r="F232" s="157" t="s">
        <v>2921</v>
      </c>
      <c r="G232" s="157" t="s">
        <v>2691</v>
      </c>
      <c r="H232" s="78" t="n">
        <f aca="false">Y232/J232</f>
        <v>281.25</v>
      </c>
      <c r="I232" s="442" t="n">
        <v>44944</v>
      </c>
      <c r="J232" s="157" t="n">
        <v>14400</v>
      </c>
      <c r="L232" s="157" t="n">
        <v>14400</v>
      </c>
      <c r="M232" s="157" t="n">
        <v>1981</v>
      </c>
      <c r="P232" s="157" t="s">
        <v>2922</v>
      </c>
      <c r="R232" s="174" t="s">
        <v>279</v>
      </c>
      <c r="S232" s="157" t="n">
        <v>62126</v>
      </c>
      <c r="T232" s="443" t="n">
        <f aca="false">S232/L232</f>
        <v>4.31430555555556</v>
      </c>
      <c r="U232" s="157" t="s">
        <v>279</v>
      </c>
      <c r="Y232" s="80" t="n">
        <v>4050000</v>
      </c>
      <c r="AA232" s="80" t="n">
        <v>4050000</v>
      </c>
      <c r="AC232" s="157" t="s">
        <v>3928</v>
      </c>
      <c r="AD232" s="157" t="s">
        <v>3929</v>
      </c>
      <c r="AE232" s="281" t="s">
        <v>3930</v>
      </c>
      <c r="AF232" s="281" t="s">
        <v>3931</v>
      </c>
      <c r="AI232" s="157" t="e">
        <f aca="false">IF(AND($E232=Subj_OccCode,Subj_BldgSF&gt;0,ABS($L232-Subj_BldgSF)&lt;=Subj_BldgSF*Subj_SizeTol),ABS($L232-Subj_BldgSF),NA())</f>
        <v>#N/A</v>
      </c>
      <c r="AJ232" s="1" t="e">
        <f aca="false">IF(ISNA(AI232),NA(),AI232+ROW()/10000000)</f>
        <v>#N/A</v>
      </c>
      <c r="AK232" s="157" t="str">
        <f aca="false">IF(AND(ISNUMBER($N232),$N232&gt;0,ISNUMBER($Y232)),$Y232/$N232,"")</f>
        <v/>
      </c>
    </row>
    <row r="233" customFormat="false" ht="15" hidden="false" customHeight="true" outlineLevel="0" collapsed="false">
      <c r="A233" s="441" t="n">
        <v>7</v>
      </c>
      <c r="B233" s="157" t="n">
        <v>225</v>
      </c>
      <c r="C233" s="157" t="s">
        <v>3932</v>
      </c>
      <c r="D233" s="157" t="s">
        <v>3933</v>
      </c>
      <c r="E233" s="157" t="n">
        <v>325</v>
      </c>
      <c r="F233" s="157" t="s">
        <v>2595</v>
      </c>
      <c r="G233" s="157" t="s">
        <v>2596</v>
      </c>
      <c r="H233" s="78" t="n">
        <f aca="false">Y233/J233</f>
        <v>7136.35375494071</v>
      </c>
      <c r="I233" s="442" t="n">
        <v>44946</v>
      </c>
      <c r="J233" s="157" t="n">
        <v>10120</v>
      </c>
      <c r="L233" s="157" t="n">
        <v>10120</v>
      </c>
      <c r="M233" s="157" t="n">
        <v>2021</v>
      </c>
      <c r="R233" s="174" t="s">
        <v>279</v>
      </c>
      <c r="S233" s="157" t="n">
        <v>2854518</v>
      </c>
      <c r="T233" s="443" t="n">
        <f aca="false">S233/L233</f>
        <v>282.066996047431</v>
      </c>
      <c r="U233" s="157" t="s">
        <v>279</v>
      </c>
      <c r="Y233" s="80" t="n">
        <v>72219900</v>
      </c>
      <c r="AA233" s="80" t="n">
        <v>72219900</v>
      </c>
      <c r="AC233" s="157" t="s">
        <v>3934</v>
      </c>
      <c r="AD233" s="157" t="s">
        <v>3935</v>
      </c>
      <c r="AE233" s="281" t="s">
        <v>3936</v>
      </c>
      <c r="AF233" s="281" t="s">
        <v>3937</v>
      </c>
      <c r="AI233" s="157" t="e">
        <f aca="false">IF(AND($E233=Subj_OccCode,Subj_BldgSF&gt;0,ABS($L233-Subj_BldgSF)&lt;=Subj_BldgSF*Subj_SizeTol),ABS($L233-Subj_BldgSF),NA())</f>
        <v>#N/A</v>
      </c>
      <c r="AJ233" s="1" t="e">
        <f aca="false">IF(ISNA(AI233),NA(),AI233+ROW()/10000000)</f>
        <v>#N/A</v>
      </c>
      <c r="AK233" s="157" t="str">
        <f aca="false">IF(AND(ISNUMBER($N233),$N233&gt;0,ISNUMBER($Y233)),$Y233/$N233,"")</f>
        <v/>
      </c>
    </row>
    <row r="234" customFormat="false" ht="15" hidden="false" customHeight="true" outlineLevel="0" collapsed="false">
      <c r="A234" s="441" t="n">
        <v>7</v>
      </c>
      <c r="B234" s="157" t="n">
        <v>226</v>
      </c>
      <c r="C234" s="157" t="s">
        <v>3938</v>
      </c>
      <c r="D234" s="157" t="s">
        <v>3939</v>
      </c>
      <c r="E234" s="157" t="n">
        <v>325</v>
      </c>
      <c r="F234" s="157" t="s">
        <v>2921</v>
      </c>
      <c r="G234" s="157" t="s">
        <v>2691</v>
      </c>
      <c r="H234" s="78" t="n">
        <f aca="false">Y234/J234</f>
        <v>500</v>
      </c>
      <c r="I234" s="442" t="n">
        <v>44972</v>
      </c>
      <c r="J234" s="157" t="n">
        <v>42000</v>
      </c>
      <c r="L234" s="157" t="n">
        <v>42000</v>
      </c>
      <c r="S234" s="157" t="n">
        <v>377460</v>
      </c>
      <c r="T234" s="443" t="n">
        <f aca="false">S234/L234</f>
        <v>8.98714285714286</v>
      </c>
      <c r="Y234" s="80" t="n">
        <v>21000000</v>
      </c>
      <c r="AA234" s="80" t="n">
        <v>21000000</v>
      </c>
      <c r="AC234" s="157" t="s">
        <v>3940</v>
      </c>
      <c r="AD234" s="157" t="s">
        <v>3941</v>
      </c>
      <c r="AE234" s="281" t="s">
        <v>3942</v>
      </c>
      <c r="AF234" s="281" t="s">
        <v>3943</v>
      </c>
      <c r="AI234" s="157" t="e">
        <f aca="false">IF(AND($E234=Subj_OccCode,Subj_BldgSF&gt;0,ABS($L234-Subj_BldgSF)&lt;=Subj_BldgSF*Subj_SizeTol),ABS($L234-Subj_BldgSF),NA())</f>
        <v>#N/A</v>
      </c>
      <c r="AJ234" s="1" t="e">
        <f aca="false">IF(ISNA(AI234),NA(),AI234+ROW()/10000000)</f>
        <v>#N/A</v>
      </c>
      <c r="AK234" s="157" t="str">
        <f aca="false">IF(AND(ISNUMBER($N234),$N234&gt;0,ISNUMBER($Y234)),$Y234/$N234,"")</f>
        <v/>
      </c>
    </row>
    <row r="235" customFormat="false" ht="15" hidden="false" customHeight="true" outlineLevel="0" collapsed="false">
      <c r="A235" s="441" t="n">
        <v>7</v>
      </c>
      <c r="B235" s="157" t="n">
        <v>227</v>
      </c>
      <c r="C235" s="157" t="s">
        <v>3530</v>
      </c>
      <c r="D235" s="157" t="s">
        <v>3944</v>
      </c>
      <c r="E235" s="157" t="n">
        <v>353</v>
      </c>
      <c r="F235" s="157" t="s">
        <v>2677</v>
      </c>
      <c r="G235" s="157" t="s">
        <v>354</v>
      </c>
      <c r="H235" s="78" t="n">
        <f aca="false">Y235/J235</f>
        <v>420.474300741095</v>
      </c>
      <c r="I235" s="442" t="n">
        <v>44985</v>
      </c>
      <c r="J235" s="157" t="n">
        <v>4183</v>
      </c>
      <c r="L235" s="157" t="n">
        <v>4183</v>
      </c>
      <c r="S235" s="157" t="n">
        <v>25512</v>
      </c>
      <c r="T235" s="443" t="n">
        <f aca="false">S235/L235</f>
        <v>6.0989720296438</v>
      </c>
      <c r="Y235" s="80" t="n">
        <v>1758844</v>
      </c>
      <c r="AA235" s="80" t="n">
        <v>1758844</v>
      </c>
      <c r="AC235" s="157" t="s">
        <v>3532</v>
      </c>
      <c r="AD235" s="157" t="s">
        <v>3945</v>
      </c>
      <c r="AE235" s="281" t="s">
        <v>3884</v>
      </c>
      <c r="AF235" s="281" t="s">
        <v>3534</v>
      </c>
      <c r="AI235" s="157" t="e">
        <f aca="false">IF(AND($E235=Subj_OccCode,Subj_BldgSF&gt;0,ABS($L235-Subj_BldgSF)&lt;=Subj_BldgSF*Subj_SizeTol),ABS($L235-Subj_BldgSF),NA())</f>
        <v>#N/A</v>
      </c>
      <c r="AJ235" s="1" t="e">
        <f aca="false">IF(ISNA(AI235),NA(),AI235+ROW()/10000000)</f>
        <v>#N/A</v>
      </c>
      <c r="AK235" s="157" t="str">
        <f aca="false">IF(AND(ISNUMBER($N235),$N235&gt;0,ISNUMBER($Y235)),$Y235/$N235,"")</f>
        <v/>
      </c>
    </row>
    <row r="236" customFormat="false" ht="15" hidden="false" customHeight="true" outlineLevel="0" collapsed="false">
      <c r="A236" s="441" t="n">
        <v>7</v>
      </c>
      <c r="B236" s="157" t="n">
        <v>228</v>
      </c>
      <c r="C236" s="157" t="s">
        <v>3946</v>
      </c>
      <c r="D236" s="157" t="s">
        <v>3947</v>
      </c>
      <c r="E236" s="157" t="n">
        <v>105</v>
      </c>
      <c r="F236" s="157" t="s">
        <v>260</v>
      </c>
      <c r="G236" s="157" t="s">
        <v>353</v>
      </c>
      <c r="H236" s="78" t="n">
        <f aca="false">Y236/J236</f>
        <v>1433.17708333333</v>
      </c>
      <c r="I236" s="442" t="n">
        <v>44986</v>
      </c>
      <c r="J236" s="157" t="n">
        <v>9600</v>
      </c>
      <c r="L236" s="157" t="n">
        <v>9600</v>
      </c>
      <c r="M236" s="157" t="n">
        <v>2003</v>
      </c>
      <c r="P236" s="157" t="s">
        <v>261</v>
      </c>
      <c r="R236" s="174" t="s">
        <v>279</v>
      </c>
      <c r="S236" s="157" t="n">
        <v>309450.24</v>
      </c>
      <c r="T236" s="443" t="n">
        <f aca="false">S236/L236</f>
        <v>32.2344</v>
      </c>
      <c r="U236" s="157" t="s">
        <v>279</v>
      </c>
      <c r="Y236" s="80" t="n">
        <v>13758500</v>
      </c>
      <c r="AA236" s="80" t="n">
        <v>13758500</v>
      </c>
      <c r="AC236" s="157" t="s">
        <v>3948</v>
      </c>
      <c r="AD236" s="157" t="s">
        <v>3949</v>
      </c>
      <c r="AE236" s="281" t="s">
        <v>3950</v>
      </c>
      <c r="AF236" s="281" t="s">
        <v>3951</v>
      </c>
      <c r="AI236" s="157" t="e">
        <f aca="false">IF(AND($E236=Subj_OccCode,Subj_BldgSF&gt;0,ABS($L236-Subj_BldgSF)&lt;=Subj_BldgSF*Subj_SizeTol),ABS($L236-Subj_BldgSF),NA())</f>
        <v>#N/A</v>
      </c>
      <c r="AJ236" s="1" t="e">
        <f aca="false">IF(ISNA(AI236),NA(),AI236+ROW()/10000000)</f>
        <v>#N/A</v>
      </c>
      <c r="AK236" s="157" t="str">
        <f aca="false">IF(AND(ISNUMBER($N236),$N236&gt;0,ISNUMBER($Y236)),$Y236/$N236,"")</f>
        <v/>
      </c>
    </row>
    <row r="237" customFormat="false" ht="15" hidden="false" customHeight="true" outlineLevel="0" collapsed="false">
      <c r="A237" s="441" t="n">
        <v>7</v>
      </c>
      <c r="B237" s="157" t="n">
        <v>229</v>
      </c>
      <c r="C237" s="157" t="s">
        <v>3952</v>
      </c>
      <c r="D237" s="157" t="s">
        <v>3953</v>
      </c>
      <c r="E237" s="157" t="n">
        <v>353</v>
      </c>
      <c r="F237" s="157" t="s">
        <v>260</v>
      </c>
      <c r="G237" s="157" t="s">
        <v>353</v>
      </c>
      <c r="H237" s="78" t="n">
        <f aca="false">Y237/J237</f>
        <v>253</v>
      </c>
      <c r="I237" s="442" t="n">
        <v>45009</v>
      </c>
      <c r="J237" s="157" t="n">
        <v>4000</v>
      </c>
      <c r="L237" s="157" t="n">
        <v>4000</v>
      </c>
      <c r="M237" s="157" t="n">
        <v>1917</v>
      </c>
      <c r="P237" s="157" t="s">
        <v>3265</v>
      </c>
      <c r="R237" s="174" t="s">
        <v>279</v>
      </c>
      <c r="S237" s="157" t="n">
        <v>10150</v>
      </c>
      <c r="T237" s="443" t="n">
        <f aca="false">S237/L237</f>
        <v>2.5375</v>
      </c>
      <c r="U237" s="157" t="s">
        <v>279</v>
      </c>
      <c r="Y237" s="80" t="n">
        <v>1012000</v>
      </c>
      <c r="AA237" s="80" t="n">
        <v>1012000</v>
      </c>
      <c r="AC237" s="157" t="s">
        <v>3954</v>
      </c>
      <c r="AD237" s="157" t="s">
        <v>3955</v>
      </c>
      <c r="AE237" s="281" t="s">
        <v>3956</v>
      </c>
      <c r="AF237" s="281" t="s">
        <v>3661</v>
      </c>
      <c r="AI237" s="157" t="e">
        <f aca="false">IF(AND($E237=Subj_OccCode,Subj_BldgSF&gt;0,ABS($L237-Subj_BldgSF)&lt;=Subj_BldgSF*Subj_SizeTol),ABS($L237-Subj_BldgSF),NA())</f>
        <v>#N/A</v>
      </c>
      <c r="AJ237" s="1" t="e">
        <f aca="false">IF(ISNA(AI237),NA(),AI237+ROW()/10000000)</f>
        <v>#N/A</v>
      </c>
      <c r="AK237" s="157" t="str">
        <f aca="false">IF(AND(ISNUMBER($N237),$N237&gt;0,ISNUMBER($Y237)),$Y237/$N237,"")</f>
        <v/>
      </c>
    </row>
    <row r="238" customFormat="false" ht="15" hidden="false" customHeight="true" outlineLevel="0" collapsed="false">
      <c r="A238" s="441" t="n">
        <v>7</v>
      </c>
      <c r="B238" s="157" t="n">
        <v>230</v>
      </c>
      <c r="C238" s="157" t="s">
        <v>3957</v>
      </c>
      <c r="D238" s="157" t="s">
        <v>3958</v>
      </c>
      <c r="E238" s="157" t="n">
        <v>349</v>
      </c>
      <c r="F238" s="157" t="s">
        <v>2581</v>
      </c>
      <c r="G238" s="157" t="s">
        <v>354</v>
      </c>
      <c r="H238" s="78" t="n">
        <f aca="false">Y238/J238</f>
        <v>910.067681895093</v>
      </c>
      <c r="I238" s="442" t="n">
        <v>44999</v>
      </c>
      <c r="J238" s="157" t="n">
        <v>2364</v>
      </c>
      <c r="L238" s="157" t="n">
        <v>2364</v>
      </c>
      <c r="M238" s="157" t="n">
        <v>1986</v>
      </c>
      <c r="P238" s="157" t="s">
        <v>2588</v>
      </c>
      <c r="R238" s="174" t="s">
        <v>279</v>
      </c>
      <c r="S238" s="157" t="n">
        <v>36462</v>
      </c>
      <c r="T238" s="443" t="n">
        <f aca="false">S238/L238</f>
        <v>15.4238578680203</v>
      </c>
      <c r="U238" s="157" t="s">
        <v>279</v>
      </c>
      <c r="Y238" s="80" t="n">
        <v>2151400</v>
      </c>
      <c r="AA238" s="80" t="n">
        <v>2151400</v>
      </c>
      <c r="AC238" s="157" t="s">
        <v>3959</v>
      </c>
      <c r="AD238" s="157" t="s">
        <v>3960</v>
      </c>
      <c r="AE238" s="281" t="s">
        <v>3961</v>
      </c>
      <c r="AF238" s="281" t="s">
        <v>3962</v>
      </c>
      <c r="AI238" s="157" t="e">
        <f aca="false">IF(AND($E238=Subj_OccCode,Subj_BldgSF&gt;0,ABS($L238-Subj_BldgSF)&lt;=Subj_BldgSF*Subj_SizeTol),ABS($L238-Subj_BldgSF),NA())</f>
        <v>#N/A</v>
      </c>
      <c r="AJ238" s="1" t="e">
        <f aca="false">IF(ISNA(AI238),NA(),AI238+ROW()/10000000)</f>
        <v>#N/A</v>
      </c>
      <c r="AK238" s="157" t="str">
        <f aca="false">IF(AND(ISNUMBER($N238),$N238&gt;0,ISNUMBER($Y238)),$Y238/$N238,"")</f>
        <v/>
      </c>
    </row>
    <row r="239" customFormat="false" ht="15" hidden="false" customHeight="true" outlineLevel="0" collapsed="false">
      <c r="A239" s="441" t="n">
        <v>7</v>
      </c>
      <c r="B239" s="157" t="n">
        <v>231</v>
      </c>
      <c r="C239" s="157" t="s">
        <v>3963</v>
      </c>
      <c r="D239" s="157" t="s">
        <v>3964</v>
      </c>
      <c r="E239" s="157" t="n">
        <v>1332</v>
      </c>
      <c r="F239" s="157" t="s">
        <v>260</v>
      </c>
      <c r="G239" s="157" t="s">
        <v>354</v>
      </c>
      <c r="H239" s="78" t="n">
        <f aca="false">Y239/J239</f>
        <v>55128.2051282051</v>
      </c>
      <c r="I239" s="442" t="n">
        <v>45023</v>
      </c>
      <c r="J239" s="157" t="n">
        <v>39</v>
      </c>
      <c r="L239" s="157" t="n">
        <v>39</v>
      </c>
      <c r="M239" s="157" t="n">
        <v>1983</v>
      </c>
      <c r="P239" s="157" t="s">
        <v>261</v>
      </c>
      <c r="R239" s="174" t="s">
        <v>279</v>
      </c>
      <c r="S239" s="157" t="n">
        <v>59459</v>
      </c>
      <c r="T239" s="443" t="n">
        <f aca="false">S239/L239</f>
        <v>1524.58974358974</v>
      </c>
      <c r="U239" s="157" t="s">
        <v>279</v>
      </c>
      <c r="Y239" s="80" t="n">
        <v>2150000</v>
      </c>
      <c r="AA239" s="80" t="n">
        <v>2150000</v>
      </c>
      <c r="AC239" s="157" t="s">
        <v>3965</v>
      </c>
      <c r="AD239" s="157" t="s">
        <v>3966</v>
      </c>
      <c r="AE239" s="281" t="s">
        <v>3967</v>
      </c>
      <c r="AF239" s="281" t="s">
        <v>3968</v>
      </c>
      <c r="AI239" s="157" t="e">
        <f aca="false">IF(AND($E239=Subj_OccCode,Subj_BldgSF&gt;0,ABS($L239-Subj_BldgSF)&lt;=Subj_BldgSF*Subj_SizeTol),ABS($L239-Subj_BldgSF),NA())</f>
        <v>#N/A</v>
      </c>
      <c r="AJ239" s="1" t="e">
        <f aca="false">IF(ISNA(AI239),NA(),AI239+ROW()/10000000)</f>
        <v>#N/A</v>
      </c>
      <c r="AK239" s="157" t="str">
        <f aca="false">IF(AND(ISNUMBER($N239),$N239&gt;0,ISNUMBER($Y239)),$Y239/$N239,"")</f>
        <v/>
      </c>
    </row>
    <row r="240" customFormat="false" ht="15" hidden="false" customHeight="true" outlineLevel="0" collapsed="false">
      <c r="A240" s="441" t="n">
        <v>7</v>
      </c>
      <c r="B240" s="157" t="n">
        <v>232</v>
      </c>
      <c r="C240" s="157" t="s">
        <v>3969</v>
      </c>
      <c r="D240" s="157" t="s">
        <v>3970</v>
      </c>
      <c r="E240" s="157" t="n">
        <v>353</v>
      </c>
      <c r="F240" s="157" t="s">
        <v>3320</v>
      </c>
      <c r="G240" s="157" t="s">
        <v>352</v>
      </c>
      <c r="H240" s="78" t="n">
        <f aca="false">Y240/J240</f>
        <v>270.741548527808</v>
      </c>
      <c r="I240" s="442" t="n">
        <v>45021</v>
      </c>
      <c r="J240" s="157" t="n">
        <v>9170</v>
      </c>
      <c r="L240" s="157" t="n">
        <v>9170</v>
      </c>
      <c r="M240" s="157" t="n">
        <v>2022</v>
      </c>
      <c r="R240" s="174" t="s">
        <v>279</v>
      </c>
      <c r="S240" s="157" t="n">
        <v>43050</v>
      </c>
      <c r="T240" s="443" t="n">
        <f aca="false">S240/L240</f>
        <v>4.69465648854962</v>
      </c>
      <c r="U240" s="157" t="s">
        <v>279</v>
      </c>
      <c r="Y240" s="80" t="n">
        <v>2482700</v>
      </c>
      <c r="AA240" s="80" t="n">
        <v>2482700</v>
      </c>
      <c r="AC240" s="157" t="s">
        <v>3971</v>
      </c>
      <c r="AD240" s="157" t="s">
        <v>3972</v>
      </c>
      <c r="AE240" s="281" t="s">
        <v>3973</v>
      </c>
      <c r="AF240" s="281" t="s">
        <v>3974</v>
      </c>
      <c r="AI240" s="157" t="e">
        <f aca="false">IF(AND($E240=Subj_OccCode,Subj_BldgSF&gt;0,ABS($L240-Subj_BldgSF)&lt;=Subj_BldgSF*Subj_SizeTol),ABS($L240-Subj_BldgSF),NA())</f>
        <v>#N/A</v>
      </c>
      <c r="AJ240" s="1" t="e">
        <f aca="false">IF(ISNA(AI240),NA(),AI240+ROW()/10000000)</f>
        <v>#N/A</v>
      </c>
      <c r="AK240" s="157" t="str">
        <f aca="false">IF(AND(ISNUMBER($N240),$N240&gt;0,ISNUMBER($Y240)),$Y240/$N240,"")</f>
        <v/>
      </c>
    </row>
    <row r="241" customFormat="false" ht="15" hidden="false" customHeight="true" outlineLevel="0" collapsed="false">
      <c r="A241" s="441" t="n">
        <v>7</v>
      </c>
      <c r="B241" s="157" t="n">
        <v>233</v>
      </c>
      <c r="C241" s="157" t="s">
        <v>3975</v>
      </c>
      <c r="D241" s="157" t="s">
        <v>3976</v>
      </c>
      <c r="E241" s="157" t="n">
        <v>309</v>
      </c>
      <c r="F241" s="157" t="s">
        <v>2921</v>
      </c>
      <c r="G241" s="157" t="s">
        <v>2691</v>
      </c>
      <c r="H241" s="78" t="n">
        <f aca="false">Y241/J241</f>
        <v>134.811264230078</v>
      </c>
      <c r="I241" s="442" t="n">
        <v>45051</v>
      </c>
      <c r="J241" s="157" t="n">
        <v>3338</v>
      </c>
      <c r="L241" s="157" t="n">
        <v>3338</v>
      </c>
      <c r="M241" s="157" t="n">
        <v>1942</v>
      </c>
      <c r="P241" s="157" t="s">
        <v>3977</v>
      </c>
      <c r="R241" s="174" t="s">
        <v>279</v>
      </c>
      <c r="S241" s="157" t="n">
        <v>21150</v>
      </c>
      <c r="T241" s="443" t="n">
        <f aca="false">S241/L241</f>
        <v>6.33612941881366</v>
      </c>
      <c r="U241" s="157" t="s">
        <v>279</v>
      </c>
      <c r="Y241" s="80" t="n">
        <v>450000</v>
      </c>
      <c r="AA241" s="80" t="n">
        <v>450000</v>
      </c>
      <c r="AC241" s="157" t="s">
        <v>3978</v>
      </c>
      <c r="AD241" s="157" t="s">
        <v>3979</v>
      </c>
      <c r="AE241" s="281" t="s">
        <v>3980</v>
      </c>
      <c r="AF241" s="281" t="s">
        <v>3981</v>
      </c>
      <c r="AI241" s="157" t="e">
        <f aca="false">IF(AND($E241=Subj_OccCode,Subj_BldgSF&gt;0,ABS($L241-Subj_BldgSF)&lt;=Subj_BldgSF*Subj_SizeTol),ABS($L241-Subj_BldgSF),NA())</f>
        <v>#N/A</v>
      </c>
      <c r="AJ241" s="1" t="e">
        <f aca="false">IF(ISNA(AI241),NA(),AI241+ROW()/10000000)</f>
        <v>#N/A</v>
      </c>
      <c r="AK241" s="157" t="str">
        <f aca="false">IF(AND(ISNUMBER($N241),$N241&gt;0,ISNUMBER($Y241)),$Y241/$N241,"")</f>
        <v/>
      </c>
    </row>
    <row r="242" customFormat="false" ht="15" hidden="false" customHeight="true" outlineLevel="0" collapsed="false">
      <c r="A242" s="441" t="n">
        <v>7</v>
      </c>
      <c r="B242" s="157" t="n">
        <v>234</v>
      </c>
      <c r="C242" s="157" t="s">
        <v>3982</v>
      </c>
      <c r="D242" s="157" t="s">
        <v>3983</v>
      </c>
      <c r="E242" s="157" t="n">
        <v>425</v>
      </c>
      <c r="F242" s="157" t="s">
        <v>2757</v>
      </c>
      <c r="G242" s="157" t="s">
        <v>2691</v>
      </c>
      <c r="H242" s="78" t="n">
        <f aca="false">Y242/J242</f>
        <v>95.0413223140496</v>
      </c>
      <c r="I242" s="442" t="n">
        <v>45051</v>
      </c>
      <c r="J242" s="157" t="n">
        <v>12100</v>
      </c>
      <c r="L242" s="157" t="n">
        <v>12100</v>
      </c>
      <c r="M242" s="157" t="n">
        <v>2005</v>
      </c>
      <c r="P242" s="157" t="s">
        <v>2758</v>
      </c>
      <c r="R242" s="174" t="s">
        <v>279</v>
      </c>
      <c r="S242" s="157" t="n">
        <v>8395</v>
      </c>
      <c r="T242" s="443" t="n">
        <f aca="false">S242/L242</f>
        <v>0.693801652892562</v>
      </c>
      <c r="U242" s="157" t="s">
        <v>279</v>
      </c>
      <c r="Y242" s="80" t="n">
        <v>1150000</v>
      </c>
      <c r="AA242" s="80" t="n">
        <v>1150000</v>
      </c>
      <c r="AC242" s="157" t="s">
        <v>3984</v>
      </c>
      <c r="AD242" s="157" t="s">
        <v>3985</v>
      </c>
      <c r="AE242" s="281" t="s">
        <v>3986</v>
      </c>
      <c r="AF242" s="281" t="s">
        <v>3987</v>
      </c>
      <c r="AI242" s="157" t="e">
        <f aca="false">IF(AND($E242=Subj_OccCode,Subj_BldgSF&gt;0,ABS($L242-Subj_BldgSF)&lt;=Subj_BldgSF*Subj_SizeTol),ABS($L242-Subj_BldgSF),NA())</f>
        <v>#N/A</v>
      </c>
      <c r="AJ242" s="1" t="e">
        <f aca="false">IF(ISNA(AI242),NA(),AI242+ROW()/10000000)</f>
        <v>#N/A</v>
      </c>
      <c r="AK242" s="157" t="str">
        <f aca="false">IF(AND(ISNUMBER($N242),$N242&gt;0,ISNUMBER($Y242)),$Y242/$N242,"")</f>
        <v/>
      </c>
    </row>
    <row r="243" customFormat="false" ht="15" hidden="false" customHeight="true" outlineLevel="0" collapsed="false">
      <c r="A243" s="441" t="n">
        <v>7</v>
      </c>
      <c r="B243" s="157" t="n">
        <v>235</v>
      </c>
      <c r="C243" s="157" t="s">
        <v>3988</v>
      </c>
      <c r="D243" s="157" t="s">
        <v>3989</v>
      </c>
      <c r="E243" s="157" t="n">
        <v>425</v>
      </c>
      <c r="F243" s="157" t="s">
        <v>2757</v>
      </c>
      <c r="G243" s="157" t="s">
        <v>2691</v>
      </c>
      <c r="H243" s="78" t="n">
        <f aca="false">Y243/J243</f>
        <v>95.0413223140496</v>
      </c>
      <c r="I243" s="442" t="n">
        <v>45051</v>
      </c>
      <c r="J243" s="157" t="n">
        <v>12100</v>
      </c>
      <c r="L243" s="157" t="n">
        <v>12100</v>
      </c>
      <c r="M243" s="157" t="n">
        <v>2005</v>
      </c>
      <c r="P243" s="157" t="s">
        <v>2758</v>
      </c>
      <c r="R243" s="174" t="s">
        <v>279</v>
      </c>
      <c r="S243" s="157" t="n">
        <v>8395</v>
      </c>
      <c r="T243" s="443" t="n">
        <f aca="false">S243/L243</f>
        <v>0.693801652892562</v>
      </c>
      <c r="U243" s="157" t="s">
        <v>279</v>
      </c>
      <c r="Y243" s="80" t="n">
        <v>1150000</v>
      </c>
      <c r="AA243" s="80" t="n">
        <v>1150000</v>
      </c>
      <c r="AC243" s="157" t="s">
        <v>3990</v>
      </c>
      <c r="AD243" s="157" t="s">
        <v>3985</v>
      </c>
      <c r="AE243" s="281" t="s">
        <v>3986</v>
      </c>
      <c r="AF243" s="281" t="s">
        <v>3987</v>
      </c>
      <c r="AI243" s="157" t="e">
        <f aca="false">IF(AND($E243=Subj_OccCode,Subj_BldgSF&gt;0,ABS($L243-Subj_BldgSF)&lt;=Subj_BldgSF*Subj_SizeTol),ABS($L243-Subj_BldgSF),NA())</f>
        <v>#N/A</v>
      </c>
      <c r="AJ243" s="1" t="e">
        <f aca="false">IF(ISNA(AI243),NA(),AI243+ROW()/10000000)</f>
        <v>#N/A</v>
      </c>
      <c r="AK243" s="157" t="str">
        <f aca="false">IF(AND(ISNUMBER($N243),$N243&gt;0,ISNUMBER($Y243)),$Y243/$N243,"")</f>
        <v/>
      </c>
    </row>
    <row r="244" customFormat="false" ht="15" hidden="false" customHeight="true" outlineLevel="0" collapsed="false">
      <c r="A244" s="441" t="n">
        <v>7</v>
      </c>
      <c r="B244" s="157" t="n">
        <v>236</v>
      </c>
      <c r="C244" s="157" t="s">
        <v>3991</v>
      </c>
      <c r="D244" s="157" t="s">
        <v>3992</v>
      </c>
      <c r="E244" s="157" t="n">
        <v>407</v>
      </c>
      <c r="G244" s="157" t="s">
        <v>2691</v>
      </c>
      <c r="H244" s="78" t="n">
        <f aca="false">Y244/J244</f>
        <v>958.309108527132</v>
      </c>
      <c r="I244" s="442" t="n">
        <v>45055</v>
      </c>
      <c r="J244" s="157" t="n">
        <v>41280</v>
      </c>
      <c r="L244" s="157" t="n">
        <v>41280</v>
      </c>
      <c r="M244" s="157" t="n">
        <v>2020</v>
      </c>
      <c r="R244" s="174" t="s">
        <v>279</v>
      </c>
      <c r="S244" s="157" t="n">
        <v>130185</v>
      </c>
      <c r="T244" s="443" t="n">
        <f aca="false">S244/L244</f>
        <v>3.15370639534884</v>
      </c>
      <c r="U244" s="157" t="s">
        <v>279</v>
      </c>
      <c r="Y244" s="80" t="n">
        <v>39559000</v>
      </c>
      <c r="AA244" s="80" t="n">
        <v>39559000</v>
      </c>
      <c r="AC244" s="157" t="s">
        <v>3993</v>
      </c>
      <c r="AD244" s="157" t="s">
        <v>3994</v>
      </c>
      <c r="AE244" s="281" t="s">
        <v>3995</v>
      </c>
      <c r="AF244" s="281" t="s">
        <v>3996</v>
      </c>
      <c r="AI244" s="157" t="e">
        <f aca="false">IF(AND($E244=Subj_OccCode,Subj_BldgSF&gt;0,ABS($L244-Subj_BldgSF)&lt;=Subj_BldgSF*Subj_SizeTol),ABS($L244-Subj_BldgSF),NA())</f>
        <v>#N/A</v>
      </c>
      <c r="AJ244" s="1" t="e">
        <f aca="false">IF(ISNA(AI244),NA(),AI244+ROW()/10000000)</f>
        <v>#N/A</v>
      </c>
      <c r="AK244" s="157" t="str">
        <f aca="false">IF(AND(ISNUMBER($N244),$N244&gt;0,ISNUMBER($Y244)),$Y244/$N244,"")</f>
        <v/>
      </c>
    </row>
    <row r="245" customFormat="false" ht="15" hidden="false" customHeight="true" outlineLevel="0" collapsed="false">
      <c r="A245" s="441" t="n">
        <v>7</v>
      </c>
      <c r="B245" s="157" t="n">
        <v>237</v>
      </c>
      <c r="C245" s="157" t="s">
        <v>3997</v>
      </c>
      <c r="D245" s="157" t="s">
        <v>3998</v>
      </c>
      <c r="E245" s="157" t="n">
        <v>407</v>
      </c>
      <c r="G245" s="157" t="s">
        <v>2691</v>
      </c>
      <c r="H245" s="78" t="n">
        <f aca="false">Y245/J245</f>
        <v>258.049575994782</v>
      </c>
      <c r="I245" s="442" t="n">
        <v>45055</v>
      </c>
      <c r="J245" s="157" t="n">
        <v>153300</v>
      </c>
      <c r="L245" s="157" t="n">
        <v>153300</v>
      </c>
      <c r="M245" s="157" t="n">
        <v>2020</v>
      </c>
      <c r="R245" s="174" t="s">
        <v>279</v>
      </c>
      <c r="S245" s="157" t="n">
        <v>491862</v>
      </c>
      <c r="T245" s="443" t="n">
        <f aca="false">S245/L245</f>
        <v>3.20849315068493</v>
      </c>
      <c r="U245" s="157" t="s">
        <v>279</v>
      </c>
      <c r="Y245" s="80" t="n">
        <v>39559000</v>
      </c>
      <c r="AA245" s="80" t="n">
        <v>39559000</v>
      </c>
      <c r="AC245" s="157" t="s">
        <v>3999</v>
      </c>
      <c r="AD245" s="157" t="s">
        <v>3994</v>
      </c>
      <c r="AE245" s="281" t="s">
        <v>3995</v>
      </c>
      <c r="AF245" s="281" t="s">
        <v>3996</v>
      </c>
      <c r="AI245" s="157" t="e">
        <f aca="false">IF(AND($E245=Subj_OccCode,Subj_BldgSF&gt;0,ABS($L245-Subj_BldgSF)&lt;=Subj_BldgSF*Subj_SizeTol),ABS($L245-Subj_BldgSF),NA())</f>
        <v>#N/A</v>
      </c>
      <c r="AJ245" s="1" t="e">
        <f aca="false">IF(ISNA(AI245),NA(),AI245+ROW()/10000000)</f>
        <v>#N/A</v>
      </c>
      <c r="AK245" s="157" t="str">
        <f aca="false">IF(AND(ISNUMBER($N245),$N245&gt;0,ISNUMBER($Y245)),$Y245/$N245,"")</f>
        <v/>
      </c>
    </row>
    <row r="246" customFormat="false" ht="15" hidden="false" customHeight="true" outlineLevel="0" collapsed="false">
      <c r="A246" s="441" t="n">
        <v>7</v>
      </c>
      <c r="B246" s="157" t="n">
        <v>238</v>
      </c>
      <c r="C246" s="157" t="s">
        <v>4000</v>
      </c>
      <c r="D246" s="157" t="s">
        <v>4001</v>
      </c>
      <c r="E246" s="157" t="n">
        <v>353</v>
      </c>
      <c r="G246" s="157" t="s">
        <v>2691</v>
      </c>
      <c r="H246" s="78" t="n">
        <f aca="false">Y246/J246</f>
        <v>678.973317865429</v>
      </c>
      <c r="I246" s="442" t="n">
        <v>45061</v>
      </c>
      <c r="J246" s="157" t="n">
        <v>1724</v>
      </c>
      <c r="L246" s="157" t="n">
        <v>1724</v>
      </c>
      <c r="M246" s="157" t="n">
        <v>1967</v>
      </c>
      <c r="P246" s="157" t="s">
        <v>2692</v>
      </c>
      <c r="R246" s="174" t="s">
        <v>279</v>
      </c>
      <c r="S246" s="157" t="n">
        <v>43004</v>
      </c>
      <c r="T246" s="443" t="n">
        <f aca="false">S246/L246</f>
        <v>24.9443155452436</v>
      </c>
      <c r="U246" s="157" t="s">
        <v>279</v>
      </c>
      <c r="Y246" s="80" t="n">
        <v>1170550</v>
      </c>
      <c r="AA246" s="80" t="n">
        <v>1170550</v>
      </c>
      <c r="AC246" s="157" t="s">
        <v>4002</v>
      </c>
      <c r="AD246" s="157" t="s">
        <v>4003</v>
      </c>
      <c r="AE246" s="281" t="s">
        <v>4004</v>
      </c>
      <c r="AF246" s="281" t="s">
        <v>4005</v>
      </c>
      <c r="AI246" s="157" t="e">
        <f aca="false">IF(AND($E246=Subj_OccCode,Subj_BldgSF&gt;0,ABS($L246-Subj_BldgSF)&lt;=Subj_BldgSF*Subj_SizeTol),ABS($L246-Subj_BldgSF),NA())</f>
        <v>#N/A</v>
      </c>
      <c r="AJ246" s="1" t="e">
        <f aca="false">IF(ISNA(AI246),NA(),AI246+ROW()/10000000)</f>
        <v>#N/A</v>
      </c>
      <c r="AK246" s="157" t="str">
        <f aca="false">IF(AND(ISNUMBER($N246),$N246&gt;0,ISNUMBER($Y246)),$Y246/$N246,"")</f>
        <v/>
      </c>
    </row>
    <row r="247" customFormat="false" ht="15" hidden="false" customHeight="true" outlineLevel="0" collapsed="false">
      <c r="A247" s="441" t="n">
        <v>7</v>
      </c>
      <c r="B247" s="157" t="n">
        <v>239</v>
      </c>
      <c r="C247" s="157" t="s">
        <v>4006</v>
      </c>
      <c r="D247" s="157" t="s">
        <v>4007</v>
      </c>
      <c r="E247" s="157" t="n">
        <v>434</v>
      </c>
      <c r="F247" s="157" t="s">
        <v>2566</v>
      </c>
      <c r="G247" s="157" t="s">
        <v>2567</v>
      </c>
      <c r="H247" s="78" t="n">
        <f aca="false">Y247/J247</f>
        <v>253.787878787879</v>
      </c>
      <c r="I247" s="442" t="n">
        <v>45098</v>
      </c>
      <c r="J247" s="157" t="n">
        <v>2640</v>
      </c>
      <c r="L247" s="157" t="n">
        <v>2640</v>
      </c>
      <c r="M247" s="157" t="n">
        <v>1970</v>
      </c>
      <c r="P247" s="157" t="s">
        <v>3924</v>
      </c>
      <c r="R247" s="174" t="s">
        <v>279</v>
      </c>
      <c r="S247" s="157" t="n">
        <v>26550</v>
      </c>
      <c r="T247" s="443" t="n">
        <f aca="false">S247/L247</f>
        <v>10.0568181818182</v>
      </c>
      <c r="U247" s="157" t="s">
        <v>279</v>
      </c>
      <c r="Y247" s="80" t="n">
        <v>670000</v>
      </c>
      <c r="AA247" s="80" t="n">
        <v>670000</v>
      </c>
      <c r="AC247" s="157" t="s">
        <v>4008</v>
      </c>
      <c r="AD247" s="157" t="s">
        <v>4009</v>
      </c>
      <c r="AE247" s="281" t="s">
        <v>4010</v>
      </c>
      <c r="AF247" s="281" t="s">
        <v>4011</v>
      </c>
      <c r="AI247" s="157" t="e">
        <f aca="false">IF(AND($E247=Subj_OccCode,Subj_BldgSF&gt;0,ABS($L247-Subj_BldgSF)&lt;=Subj_BldgSF*Subj_SizeTol),ABS($L247-Subj_BldgSF),NA())</f>
        <v>#N/A</v>
      </c>
      <c r="AJ247" s="1" t="e">
        <f aca="false">IF(ISNA(AI247),NA(),AI247+ROW()/10000000)</f>
        <v>#N/A</v>
      </c>
      <c r="AK247" s="157" t="str">
        <f aca="false">IF(AND(ISNUMBER($N247),$N247&gt;0,ISNUMBER($Y247)),$Y247/$N247,"")</f>
        <v/>
      </c>
    </row>
    <row r="248" customFormat="false" ht="15" hidden="false" customHeight="true" outlineLevel="0" collapsed="false">
      <c r="A248" s="441" t="n">
        <v>7</v>
      </c>
      <c r="B248" s="157" t="n">
        <v>240</v>
      </c>
      <c r="C248" s="157" t="s">
        <v>4012</v>
      </c>
      <c r="D248" s="157" t="s">
        <v>4013</v>
      </c>
      <c r="E248" s="157" t="n">
        <v>319</v>
      </c>
      <c r="F248" s="157" t="s">
        <v>2677</v>
      </c>
      <c r="G248" s="157" t="s">
        <v>2567</v>
      </c>
      <c r="H248" s="78" t="n">
        <f aca="false">Y248/J248</f>
        <v>85.7000394739576</v>
      </c>
      <c r="I248" s="442" t="n">
        <v>45107</v>
      </c>
      <c r="J248" s="157" t="n">
        <v>192532</v>
      </c>
      <c r="L248" s="157" t="n">
        <v>192532</v>
      </c>
      <c r="M248" s="157" t="n">
        <v>1994</v>
      </c>
      <c r="P248" s="157" t="s">
        <v>3307</v>
      </c>
      <c r="R248" s="174" t="s">
        <v>279</v>
      </c>
      <c r="S248" s="157" t="n">
        <v>1009721</v>
      </c>
      <c r="T248" s="443" t="n">
        <f aca="false">S248/L248</f>
        <v>5.24443209440509</v>
      </c>
      <c r="U248" s="157" t="s">
        <v>279</v>
      </c>
      <c r="Y248" s="80" t="n">
        <v>16500000</v>
      </c>
      <c r="AA248" s="80" t="n">
        <v>16500000</v>
      </c>
      <c r="AC248" s="157" t="s">
        <v>4014</v>
      </c>
      <c r="AD248" s="157" t="s">
        <v>4015</v>
      </c>
      <c r="AE248" s="281" t="s">
        <v>4016</v>
      </c>
      <c r="AF248" s="281" t="s">
        <v>4017</v>
      </c>
      <c r="AI248" s="157" t="e">
        <f aca="false">IF(AND($E248=Subj_OccCode,Subj_BldgSF&gt;0,ABS($L248-Subj_BldgSF)&lt;=Subj_BldgSF*Subj_SizeTol),ABS($L248-Subj_BldgSF),NA())</f>
        <v>#N/A</v>
      </c>
      <c r="AJ248" s="1" t="e">
        <f aca="false">IF(ISNA(AI248),NA(),AI248+ROW()/10000000)</f>
        <v>#N/A</v>
      </c>
      <c r="AK248" s="157" t="str">
        <f aca="false">IF(AND(ISNUMBER($N248),$N248&gt;0,ISNUMBER($Y248)),$Y248/$N248,"")</f>
        <v/>
      </c>
    </row>
    <row r="249" customFormat="false" ht="15" hidden="false" customHeight="true" outlineLevel="0" collapsed="false">
      <c r="A249" s="441" t="n">
        <v>7</v>
      </c>
      <c r="B249" s="157" t="n">
        <v>241</v>
      </c>
      <c r="C249" s="157" t="s">
        <v>4018</v>
      </c>
      <c r="D249" s="157" t="s">
        <v>4019</v>
      </c>
      <c r="E249" s="157" t="n">
        <v>419</v>
      </c>
      <c r="F249" s="157" t="s">
        <v>2581</v>
      </c>
      <c r="G249" s="157" t="s">
        <v>2567</v>
      </c>
      <c r="H249" s="78" t="n">
        <f aca="false">Y249/J249</f>
        <v>378.787878787879</v>
      </c>
      <c r="I249" s="442" t="n">
        <v>45106</v>
      </c>
      <c r="J249" s="157" t="n">
        <v>2640</v>
      </c>
      <c r="L249" s="157" t="n">
        <v>2640</v>
      </c>
      <c r="M249" s="157" t="n">
        <v>1984</v>
      </c>
      <c r="R249" s="174" t="s">
        <v>279</v>
      </c>
      <c r="T249" s="443" t="n">
        <f aca="false">S249/L249</f>
        <v>0</v>
      </c>
      <c r="U249" s="157" t="s">
        <v>279</v>
      </c>
      <c r="Y249" s="80" t="n">
        <v>1000000</v>
      </c>
      <c r="AA249" s="80" t="n">
        <v>1000000</v>
      </c>
      <c r="AC249" s="157" t="s">
        <v>4020</v>
      </c>
      <c r="AD249" s="157" t="s">
        <v>4021</v>
      </c>
      <c r="AE249" s="281" t="s">
        <v>4022</v>
      </c>
      <c r="AF249" s="281" t="s">
        <v>4023</v>
      </c>
      <c r="AI249" s="157" t="e">
        <f aca="false">IF(AND($E249=Subj_OccCode,Subj_BldgSF&gt;0,ABS($L249-Subj_BldgSF)&lt;=Subj_BldgSF*Subj_SizeTol),ABS($L249-Subj_BldgSF),NA())</f>
        <v>#N/A</v>
      </c>
      <c r="AJ249" s="1" t="e">
        <f aca="false">IF(ISNA(AI249),NA(),AI249+ROW()/10000000)</f>
        <v>#N/A</v>
      </c>
      <c r="AK249" s="157" t="str">
        <f aca="false">IF(AND(ISNUMBER($N249),$N249&gt;0,ISNUMBER($Y249)),$Y249/$N249,"")</f>
        <v/>
      </c>
    </row>
    <row r="250" customFormat="false" ht="15" hidden="false" customHeight="true" outlineLevel="0" collapsed="false">
      <c r="A250" s="441" t="n">
        <v>7</v>
      </c>
      <c r="B250" s="157" t="n">
        <v>242</v>
      </c>
      <c r="C250" s="157" t="s">
        <v>4024</v>
      </c>
      <c r="D250" s="157" t="s">
        <v>4025</v>
      </c>
      <c r="E250" s="157" t="n">
        <v>387</v>
      </c>
      <c r="F250" s="157" t="s">
        <v>2921</v>
      </c>
      <c r="G250" s="157" t="s">
        <v>2691</v>
      </c>
      <c r="H250" s="78" t="n">
        <f aca="false">Y250/J250</f>
        <v>6624.31941923775</v>
      </c>
      <c r="I250" s="442" t="n">
        <v>45114</v>
      </c>
      <c r="J250" s="157" t="n">
        <v>1102</v>
      </c>
      <c r="L250" s="157" t="n">
        <v>1102</v>
      </c>
      <c r="M250" s="157" t="n">
        <v>1974</v>
      </c>
      <c r="P250" s="157" t="s">
        <v>3293</v>
      </c>
      <c r="R250" s="174" t="s">
        <v>279</v>
      </c>
      <c r="S250" s="157" t="n">
        <v>449287</v>
      </c>
      <c r="T250" s="443" t="n">
        <f aca="false">S250/L250</f>
        <v>407.701451905626</v>
      </c>
      <c r="U250" s="157" t="s">
        <v>279</v>
      </c>
      <c r="Y250" s="80" t="n">
        <v>7300000</v>
      </c>
      <c r="AA250" s="80" t="n">
        <v>7300000</v>
      </c>
      <c r="AC250" s="157" t="s">
        <v>4026</v>
      </c>
      <c r="AD250" s="157" t="s">
        <v>4027</v>
      </c>
      <c r="AE250" s="281" t="s">
        <v>4028</v>
      </c>
      <c r="AF250" s="281" t="s">
        <v>4029</v>
      </c>
      <c r="AI250" s="157" t="e">
        <f aca="false">IF(AND($E250=Subj_OccCode,Subj_BldgSF&gt;0,ABS($L250-Subj_BldgSF)&lt;=Subj_BldgSF*Subj_SizeTol),ABS($L250-Subj_BldgSF),NA())</f>
        <v>#N/A</v>
      </c>
      <c r="AJ250" s="1" t="e">
        <f aca="false">IF(ISNA(AI250),NA(),AI250+ROW()/10000000)</f>
        <v>#N/A</v>
      </c>
      <c r="AK250" s="157" t="str">
        <f aca="false">IF(AND(ISNUMBER($N250),$N250&gt;0,ISNUMBER($Y250)),$Y250/$N250,"")</f>
        <v/>
      </c>
    </row>
    <row r="251" customFormat="false" ht="15" hidden="false" customHeight="true" outlineLevel="0" collapsed="false">
      <c r="A251" s="441" t="n">
        <v>7</v>
      </c>
      <c r="B251" s="157" t="n">
        <v>243</v>
      </c>
      <c r="C251" s="157" t="s">
        <v>4030</v>
      </c>
      <c r="D251" s="157" t="s">
        <v>4031</v>
      </c>
      <c r="E251" s="157" t="n">
        <v>425</v>
      </c>
      <c r="F251" s="157" t="s">
        <v>2595</v>
      </c>
      <c r="G251" s="157" t="s">
        <v>2596</v>
      </c>
      <c r="H251" s="78" t="n">
        <f aca="false">Y251/J251</f>
        <v>55.5830039525692</v>
      </c>
      <c r="I251" s="442" t="n">
        <v>45138</v>
      </c>
      <c r="J251" s="157" t="n">
        <v>16192</v>
      </c>
      <c r="L251" s="157" t="n">
        <v>16192</v>
      </c>
      <c r="M251" s="157" t="n">
        <v>1984</v>
      </c>
      <c r="P251" s="157" t="s">
        <v>3108</v>
      </c>
      <c r="R251" s="174" t="s">
        <v>279</v>
      </c>
      <c r="S251" s="157" t="n">
        <v>5095</v>
      </c>
      <c r="T251" s="443" t="n">
        <f aca="false">S251/L251</f>
        <v>0.314661561264822</v>
      </c>
      <c r="U251" s="157" t="s">
        <v>279</v>
      </c>
      <c r="Y251" s="80" t="n">
        <v>900000</v>
      </c>
      <c r="AA251" s="80" t="n">
        <v>900000</v>
      </c>
      <c r="AC251" s="157" t="s">
        <v>4032</v>
      </c>
      <c r="AD251" s="157" t="s">
        <v>4033</v>
      </c>
      <c r="AE251" s="281" t="s">
        <v>4034</v>
      </c>
      <c r="AF251" s="281" t="s">
        <v>4035</v>
      </c>
      <c r="AI251" s="157" t="e">
        <f aca="false">IF(AND($E251=Subj_OccCode,Subj_BldgSF&gt;0,ABS($L251-Subj_BldgSF)&lt;=Subj_BldgSF*Subj_SizeTol),ABS($L251-Subj_BldgSF),NA())</f>
        <v>#N/A</v>
      </c>
      <c r="AJ251" s="1" t="e">
        <f aca="false">IF(ISNA(AI251),NA(),AI251+ROW()/10000000)</f>
        <v>#N/A</v>
      </c>
      <c r="AK251" s="157" t="str">
        <f aca="false">IF(AND(ISNUMBER($N251),$N251&gt;0,ISNUMBER($Y251)),$Y251/$N251,"")</f>
        <v/>
      </c>
    </row>
    <row r="252" customFormat="false" ht="15" hidden="false" customHeight="true" outlineLevel="0" collapsed="false">
      <c r="A252" s="441" t="n">
        <v>7</v>
      </c>
      <c r="B252" s="157" t="n">
        <v>244</v>
      </c>
      <c r="C252" s="157" t="s">
        <v>4036</v>
      </c>
      <c r="D252" s="157" t="s">
        <v>4037</v>
      </c>
      <c r="E252" s="157" t="n">
        <v>425</v>
      </c>
      <c r="F252" s="157" t="s">
        <v>2595</v>
      </c>
      <c r="G252" s="157" t="s">
        <v>2596</v>
      </c>
      <c r="H252" s="78" t="n">
        <f aca="false">Y252/J252</f>
        <v>55.5830039525692</v>
      </c>
      <c r="I252" s="442" t="n">
        <v>45138</v>
      </c>
      <c r="J252" s="157" t="n">
        <v>16192</v>
      </c>
      <c r="L252" s="157" t="n">
        <v>16192</v>
      </c>
      <c r="M252" s="157" t="n">
        <v>1984</v>
      </c>
      <c r="P252" s="157" t="s">
        <v>3108</v>
      </c>
      <c r="R252" s="174" t="s">
        <v>279</v>
      </c>
      <c r="S252" s="157" t="n">
        <v>5095</v>
      </c>
      <c r="T252" s="443" t="n">
        <f aca="false">S252/L252</f>
        <v>0.314661561264822</v>
      </c>
      <c r="U252" s="157" t="s">
        <v>279</v>
      </c>
      <c r="Y252" s="80" t="n">
        <v>900000</v>
      </c>
      <c r="AA252" s="80" t="n">
        <v>900000</v>
      </c>
      <c r="AC252" s="157" t="s">
        <v>4038</v>
      </c>
      <c r="AD252" s="157" t="s">
        <v>4033</v>
      </c>
      <c r="AE252" s="281" t="s">
        <v>4034</v>
      </c>
      <c r="AF252" s="281" t="s">
        <v>4035</v>
      </c>
      <c r="AI252" s="157" t="e">
        <f aca="false">IF(AND($E252=Subj_OccCode,Subj_BldgSF&gt;0,ABS($L252-Subj_BldgSF)&lt;=Subj_BldgSF*Subj_SizeTol),ABS($L252-Subj_BldgSF),NA())</f>
        <v>#N/A</v>
      </c>
      <c r="AJ252" s="1" t="e">
        <f aca="false">IF(ISNA(AI252),NA(),AI252+ROW()/10000000)</f>
        <v>#N/A</v>
      </c>
      <c r="AK252" s="157" t="str">
        <f aca="false">IF(AND(ISNUMBER($N252),$N252&gt;0,ISNUMBER($Y252)),$Y252/$N252,"")</f>
        <v/>
      </c>
    </row>
    <row r="253" customFormat="false" ht="15" hidden="false" customHeight="true" outlineLevel="0" collapsed="false">
      <c r="A253" s="441" t="n">
        <v>7</v>
      </c>
      <c r="B253" s="157" t="n">
        <v>245</v>
      </c>
      <c r="C253" s="157" t="s">
        <v>4039</v>
      </c>
      <c r="D253" s="157" t="s">
        <v>4040</v>
      </c>
      <c r="E253" s="157" t="n">
        <v>331</v>
      </c>
      <c r="F253" s="157" t="s">
        <v>2581</v>
      </c>
      <c r="G253" s="157" t="s">
        <v>2567</v>
      </c>
      <c r="H253" s="78" t="n">
        <f aca="false">Y253/J253</f>
        <v>27.5415339155954</v>
      </c>
      <c r="I253" s="442" t="n">
        <v>45155</v>
      </c>
      <c r="J253" s="157" t="n">
        <v>99497</v>
      </c>
      <c r="L253" s="157" t="n">
        <v>99497</v>
      </c>
      <c r="S253" s="157" t="n">
        <v>479913</v>
      </c>
      <c r="T253" s="443" t="n">
        <f aca="false">S253/L253</f>
        <v>4.82339166005005</v>
      </c>
      <c r="Y253" s="80" t="n">
        <v>2740300</v>
      </c>
      <c r="AA253" s="80" t="n">
        <v>2740300</v>
      </c>
      <c r="AC253" s="157" t="s">
        <v>4041</v>
      </c>
      <c r="AD253" s="157" t="s">
        <v>4042</v>
      </c>
      <c r="AE253" s="281" t="s">
        <v>4043</v>
      </c>
      <c r="AF253" s="281" t="s">
        <v>4044</v>
      </c>
      <c r="AI253" s="157" t="e">
        <f aca="false">IF(AND($E253=Subj_OccCode,Subj_BldgSF&gt;0,ABS($L253-Subj_BldgSF)&lt;=Subj_BldgSF*Subj_SizeTol),ABS($L253-Subj_BldgSF),NA())</f>
        <v>#N/A</v>
      </c>
      <c r="AJ253" s="1" t="e">
        <f aca="false">IF(ISNA(AI253),NA(),AI253+ROW()/10000000)</f>
        <v>#N/A</v>
      </c>
      <c r="AK253" s="157" t="str">
        <f aca="false">IF(AND(ISNUMBER($N253),$N253&gt;0,ISNUMBER($Y253)),$Y253/$N253,"")</f>
        <v/>
      </c>
    </row>
    <row r="254" customFormat="false" ht="15" hidden="false" customHeight="true" outlineLevel="0" collapsed="false">
      <c r="A254" s="441" t="n">
        <v>7</v>
      </c>
      <c r="B254" s="157" t="n">
        <v>246</v>
      </c>
      <c r="C254" s="157" t="s">
        <v>4045</v>
      </c>
      <c r="D254" s="157" t="s">
        <v>4046</v>
      </c>
      <c r="E254" s="157" t="n">
        <v>442</v>
      </c>
      <c r="F254" s="157" t="s">
        <v>2921</v>
      </c>
      <c r="G254" s="157" t="s">
        <v>2691</v>
      </c>
      <c r="H254" s="78" t="n">
        <f aca="false">Y254/J254</f>
        <v>229.885057471264</v>
      </c>
      <c r="I254" s="442" t="n">
        <v>45159</v>
      </c>
      <c r="J254" s="157" t="n">
        <v>1740</v>
      </c>
      <c r="L254" s="157" t="n">
        <v>1740</v>
      </c>
      <c r="M254" s="157" t="n">
        <v>1933</v>
      </c>
      <c r="P254" s="157" t="s">
        <v>4047</v>
      </c>
      <c r="R254" s="174" t="s">
        <v>279</v>
      </c>
      <c r="S254" s="157" t="n">
        <v>10500</v>
      </c>
      <c r="T254" s="443" t="n">
        <f aca="false">S254/L254</f>
        <v>6.03448275862069</v>
      </c>
      <c r="U254" s="157" t="s">
        <v>555</v>
      </c>
      <c r="Y254" s="80" t="n">
        <v>400000</v>
      </c>
      <c r="AA254" s="80" t="n">
        <v>400000</v>
      </c>
      <c r="AC254" s="157" t="s">
        <v>4048</v>
      </c>
      <c r="AD254" s="157" t="s">
        <v>4049</v>
      </c>
      <c r="AE254" s="281" t="s">
        <v>4050</v>
      </c>
      <c r="AF254" s="281" t="s">
        <v>4051</v>
      </c>
      <c r="AI254" s="157" t="e">
        <f aca="false">IF(AND($E254=Subj_OccCode,Subj_BldgSF&gt;0,ABS($L254-Subj_BldgSF)&lt;=Subj_BldgSF*Subj_SizeTol),ABS($L254-Subj_BldgSF),NA())</f>
        <v>#N/A</v>
      </c>
      <c r="AJ254" s="1" t="e">
        <f aca="false">IF(ISNA(AI254),NA(),AI254+ROW()/10000000)</f>
        <v>#N/A</v>
      </c>
      <c r="AK254" s="157" t="str">
        <f aca="false">IF(AND(ISNUMBER($N254),$N254&gt;0,ISNUMBER($Y254)),$Y254/$N254,"")</f>
        <v/>
      </c>
    </row>
    <row r="255" customFormat="false" ht="15" hidden="false" customHeight="true" outlineLevel="0" collapsed="false">
      <c r="A255" s="441" t="n">
        <v>7</v>
      </c>
      <c r="B255" s="157" t="n">
        <v>247</v>
      </c>
      <c r="C255" s="157" t="s">
        <v>4052</v>
      </c>
      <c r="D255" s="157" t="s">
        <v>4053</v>
      </c>
      <c r="E255" s="157" t="n">
        <v>718</v>
      </c>
      <c r="F255" s="157" t="s">
        <v>2581</v>
      </c>
      <c r="G255" s="157" t="s">
        <v>354</v>
      </c>
      <c r="H255" s="78" t="n">
        <f aca="false">Y255/J255</f>
        <v>259.669369931379</v>
      </c>
      <c r="I255" s="442" t="n">
        <v>45184</v>
      </c>
      <c r="J255" s="157" t="n">
        <v>12824</v>
      </c>
      <c r="L255" s="157" t="n">
        <v>12824</v>
      </c>
      <c r="M255" s="157" t="n">
        <v>2012</v>
      </c>
      <c r="P255" s="157" t="s">
        <v>2588</v>
      </c>
      <c r="R255" s="174" t="s">
        <v>279</v>
      </c>
      <c r="S255" s="157" t="n">
        <v>96632</v>
      </c>
      <c r="T255" s="443" t="n">
        <f aca="false">S255/L255</f>
        <v>7.53524641297567</v>
      </c>
      <c r="U255" s="157" t="s">
        <v>279</v>
      </c>
      <c r="Y255" s="80" t="n">
        <v>3330000</v>
      </c>
      <c r="AA255" s="80" t="n">
        <v>3330000</v>
      </c>
      <c r="AC255" s="157" t="s">
        <v>4054</v>
      </c>
      <c r="AD255" s="157" t="s">
        <v>4055</v>
      </c>
      <c r="AE255" s="281" t="s">
        <v>4056</v>
      </c>
      <c r="AF255" s="281" t="s">
        <v>4057</v>
      </c>
      <c r="AI255" s="157" t="e">
        <f aca="false">IF(AND($E255=Subj_OccCode,Subj_BldgSF&gt;0,ABS($L255-Subj_BldgSF)&lt;=Subj_BldgSF*Subj_SizeTol),ABS($L255-Subj_BldgSF),NA())</f>
        <v>#N/A</v>
      </c>
      <c r="AJ255" s="1" t="e">
        <f aca="false">IF(ISNA(AI255),NA(),AI255+ROW()/10000000)</f>
        <v>#N/A</v>
      </c>
      <c r="AK255" s="157" t="str">
        <f aca="false">IF(AND(ISNUMBER($N255),$N255&gt;0,ISNUMBER($Y255)),$Y255/$N255,"")</f>
        <v/>
      </c>
    </row>
    <row r="256" customFormat="false" ht="15" hidden="false" customHeight="true" outlineLevel="0" collapsed="false">
      <c r="A256" s="441" t="n">
        <v>7</v>
      </c>
      <c r="B256" s="157" t="n">
        <v>248</v>
      </c>
      <c r="C256" s="157" t="s">
        <v>4058</v>
      </c>
      <c r="D256" s="157" t="s">
        <v>4059</v>
      </c>
      <c r="E256" s="157" t="n">
        <v>344</v>
      </c>
      <c r="F256" s="157" t="s">
        <v>260</v>
      </c>
      <c r="G256" s="157" t="s">
        <v>353</v>
      </c>
      <c r="H256" s="78" t="n">
        <f aca="false">Y256/J256</f>
        <v>238.461538461538</v>
      </c>
      <c r="I256" s="442" t="n">
        <v>45184</v>
      </c>
      <c r="J256" s="157" t="n">
        <v>2600</v>
      </c>
      <c r="L256" s="157" t="n">
        <v>2600</v>
      </c>
      <c r="M256" s="157" t="n">
        <v>1985</v>
      </c>
      <c r="P256" s="157" t="s">
        <v>3500</v>
      </c>
      <c r="R256" s="174" t="s">
        <v>279</v>
      </c>
      <c r="S256" s="157" t="n">
        <v>9000</v>
      </c>
      <c r="T256" s="443" t="n">
        <f aca="false">S256/L256</f>
        <v>3.46153846153846</v>
      </c>
      <c r="U256" s="157" t="s">
        <v>279</v>
      </c>
      <c r="Y256" s="80" t="n">
        <v>620000</v>
      </c>
      <c r="AA256" s="80" t="n">
        <v>620000</v>
      </c>
      <c r="AC256" s="157" t="s">
        <v>4060</v>
      </c>
      <c r="AD256" s="157" t="s">
        <v>4061</v>
      </c>
      <c r="AE256" s="281" t="s">
        <v>4062</v>
      </c>
      <c r="AF256" s="281" t="s">
        <v>4063</v>
      </c>
      <c r="AI256" s="157" t="e">
        <f aca="false">IF(AND($E256=Subj_OccCode,Subj_BldgSF&gt;0,ABS($L256-Subj_BldgSF)&lt;=Subj_BldgSF*Subj_SizeTol),ABS($L256-Subj_BldgSF),NA())</f>
        <v>#N/A</v>
      </c>
      <c r="AJ256" s="1" t="e">
        <f aca="false">IF(ISNA(AI256),NA(),AI256+ROW()/10000000)</f>
        <v>#N/A</v>
      </c>
      <c r="AK256" s="157" t="str">
        <f aca="false">IF(AND(ISNUMBER($N256),$N256&gt;0,ISNUMBER($Y256)),$Y256/$N256,"")</f>
        <v/>
      </c>
    </row>
    <row r="257" customFormat="false" ht="15" hidden="false" customHeight="true" outlineLevel="0" collapsed="false">
      <c r="A257" s="441" t="n">
        <v>7</v>
      </c>
      <c r="B257" s="157" t="n">
        <v>249</v>
      </c>
      <c r="C257" s="157" t="s">
        <v>4064</v>
      </c>
      <c r="D257" s="157" t="s">
        <v>4065</v>
      </c>
      <c r="E257" s="157" t="n">
        <v>434</v>
      </c>
      <c r="F257" s="157" t="s">
        <v>2595</v>
      </c>
      <c r="G257" s="157" t="s">
        <v>2596</v>
      </c>
      <c r="H257" s="78" t="n">
        <f aca="false">Y257/J257</f>
        <v>521.428571428571</v>
      </c>
      <c r="I257" s="442" t="n">
        <v>45187</v>
      </c>
      <c r="J257" s="157" t="n">
        <v>1400</v>
      </c>
      <c r="L257" s="157" t="n">
        <v>1400</v>
      </c>
      <c r="M257" s="157" t="n">
        <v>1960</v>
      </c>
      <c r="P257" s="157" t="s">
        <v>4066</v>
      </c>
      <c r="R257" s="174" t="s">
        <v>279</v>
      </c>
      <c r="S257" s="157" t="n">
        <v>3690</v>
      </c>
      <c r="T257" s="443" t="n">
        <f aca="false">S257/L257</f>
        <v>2.63571428571429</v>
      </c>
      <c r="U257" s="157" t="s">
        <v>279</v>
      </c>
      <c r="Y257" s="80" t="n">
        <v>730000</v>
      </c>
      <c r="AA257" s="80" t="n">
        <v>730000</v>
      </c>
      <c r="AC257" s="157" t="s">
        <v>4067</v>
      </c>
      <c r="AD257" s="157" t="s">
        <v>4068</v>
      </c>
      <c r="AE257" s="281" t="s">
        <v>4069</v>
      </c>
      <c r="AF257" s="281" t="s">
        <v>4070</v>
      </c>
      <c r="AI257" s="157" t="e">
        <f aca="false">IF(AND($E257=Subj_OccCode,Subj_BldgSF&gt;0,ABS($L257-Subj_BldgSF)&lt;=Subj_BldgSF*Subj_SizeTol),ABS($L257-Subj_BldgSF),NA())</f>
        <v>#N/A</v>
      </c>
      <c r="AJ257" s="1" t="e">
        <f aca="false">IF(ISNA(AI257),NA(),AI257+ROW()/10000000)</f>
        <v>#N/A</v>
      </c>
      <c r="AK257" s="157" t="str">
        <f aca="false">IF(AND(ISNUMBER($N257),$N257&gt;0,ISNUMBER($Y257)),$Y257/$N257,"")</f>
        <v/>
      </c>
    </row>
    <row r="258" customFormat="false" ht="15" hidden="false" customHeight="true" outlineLevel="0" collapsed="false">
      <c r="A258" s="441" t="n">
        <v>7</v>
      </c>
      <c r="B258" s="157" t="n">
        <v>250</v>
      </c>
      <c r="C258" s="157" t="s">
        <v>4071</v>
      </c>
      <c r="D258" s="157" t="s">
        <v>4072</v>
      </c>
      <c r="E258" s="157" t="n">
        <v>349</v>
      </c>
      <c r="F258" s="157" t="s">
        <v>2921</v>
      </c>
      <c r="G258" s="157" t="s">
        <v>353</v>
      </c>
      <c r="H258" s="78" t="n">
        <f aca="false">Y258/J258</f>
        <v>1524.12545235223</v>
      </c>
      <c r="I258" s="442" t="n">
        <v>45182</v>
      </c>
      <c r="J258" s="157" t="n">
        <v>1658</v>
      </c>
      <c r="L258" s="157" t="n">
        <v>1658</v>
      </c>
      <c r="M258" s="157" t="n">
        <v>2006</v>
      </c>
      <c r="P258" s="157" t="s">
        <v>4047</v>
      </c>
      <c r="R258" s="174" t="s">
        <v>279</v>
      </c>
      <c r="S258" s="157" t="n">
        <v>43786</v>
      </c>
      <c r="T258" s="443" t="n">
        <f aca="false">S258/L258</f>
        <v>26.4089264173703</v>
      </c>
      <c r="U258" s="157" t="s">
        <v>279</v>
      </c>
      <c r="Y258" s="80" t="n">
        <v>2527000</v>
      </c>
      <c r="AA258" s="80" t="n">
        <v>2527000</v>
      </c>
      <c r="AC258" s="157" t="s">
        <v>4073</v>
      </c>
      <c r="AD258" s="157" t="s">
        <v>4074</v>
      </c>
      <c r="AE258" s="281" t="s">
        <v>4075</v>
      </c>
      <c r="AF258" s="281" t="s">
        <v>4076</v>
      </c>
      <c r="AI258" s="157" t="e">
        <f aca="false">IF(AND($E258=Subj_OccCode,Subj_BldgSF&gt;0,ABS($L258-Subj_BldgSF)&lt;=Subj_BldgSF*Subj_SizeTol),ABS($L258-Subj_BldgSF),NA())</f>
        <v>#N/A</v>
      </c>
      <c r="AJ258" s="1" t="e">
        <f aca="false">IF(ISNA(AI258),NA(),AI258+ROW()/10000000)</f>
        <v>#N/A</v>
      </c>
      <c r="AK258" s="157" t="str">
        <f aca="false">IF(AND(ISNUMBER($N258),$N258&gt;0,ISNUMBER($Y258)),$Y258/$N258,"")</f>
        <v/>
      </c>
    </row>
    <row r="259" customFormat="false" ht="15" hidden="false" customHeight="true" outlineLevel="0" collapsed="false">
      <c r="A259" s="441" t="n">
        <v>7</v>
      </c>
      <c r="B259" s="157" t="n">
        <v>251</v>
      </c>
      <c r="C259" s="157" t="s">
        <v>4077</v>
      </c>
      <c r="D259" s="157" t="s">
        <v>4078</v>
      </c>
      <c r="E259" s="157" t="n">
        <v>325</v>
      </c>
      <c r="F259" s="157" t="s">
        <v>2921</v>
      </c>
      <c r="G259" s="157" t="s">
        <v>2691</v>
      </c>
      <c r="H259" s="78" t="n">
        <f aca="false">Y259/J259</f>
        <v>845.238095238095</v>
      </c>
      <c r="I259" s="442" t="n">
        <v>45212</v>
      </c>
      <c r="J259" s="157" t="n">
        <v>2100</v>
      </c>
      <c r="L259" s="157" t="n">
        <v>2100</v>
      </c>
      <c r="M259" s="157" t="n">
        <v>1985</v>
      </c>
      <c r="P259" s="157" t="s">
        <v>3009</v>
      </c>
      <c r="R259" s="174" t="s">
        <v>279</v>
      </c>
      <c r="S259" s="157" t="n">
        <v>23000</v>
      </c>
      <c r="T259" s="443" t="n">
        <f aca="false">S259/L259</f>
        <v>10.952380952381</v>
      </c>
      <c r="U259" s="157" t="s">
        <v>279</v>
      </c>
      <c r="Y259" s="80" t="n">
        <v>1775000</v>
      </c>
      <c r="AA259" s="80" t="n">
        <v>1775000</v>
      </c>
      <c r="AC259" s="157" t="s">
        <v>4079</v>
      </c>
      <c r="AD259" s="157" t="s">
        <v>4080</v>
      </c>
      <c r="AE259" s="281" t="s">
        <v>4081</v>
      </c>
      <c r="AF259" s="281" t="s">
        <v>4082</v>
      </c>
      <c r="AI259" s="157" t="e">
        <f aca="false">IF(AND($E259=Subj_OccCode,Subj_BldgSF&gt;0,ABS($L259-Subj_BldgSF)&lt;=Subj_BldgSF*Subj_SizeTol),ABS($L259-Subj_BldgSF),NA())</f>
        <v>#N/A</v>
      </c>
      <c r="AJ259" s="1" t="e">
        <f aca="false">IF(ISNA(AI259),NA(),AI259+ROW()/10000000)</f>
        <v>#N/A</v>
      </c>
      <c r="AK259" s="157" t="str">
        <f aca="false">IF(AND(ISNUMBER($N259),$N259&gt;0,ISNUMBER($Y259)),$Y259/$N259,"")</f>
        <v/>
      </c>
    </row>
    <row r="260" customFormat="false" ht="15" hidden="false" customHeight="true" outlineLevel="0" collapsed="false">
      <c r="A260" s="441" t="n">
        <v>7</v>
      </c>
      <c r="B260" s="157" t="n">
        <v>252</v>
      </c>
      <c r="C260" s="157" t="s">
        <v>4083</v>
      </c>
      <c r="D260" s="157" t="s">
        <v>4084</v>
      </c>
      <c r="E260" s="157" t="n">
        <v>3441</v>
      </c>
      <c r="F260" s="157" t="s">
        <v>2921</v>
      </c>
      <c r="G260" s="157" t="s">
        <v>2691</v>
      </c>
      <c r="H260" s="78" t="n">
        <f aca="false">Y260/J260</f>
        <v>1328.59281437126</v>
      </c>
      <c r="I260" s="442" t="n">
        <v>45212</v>
      </c>
      <c r="J260" s="157" t="n">
        <v>1336</v>
      </c>
      <c r="L260" s="157" t="n">
        <v>1336</v>
      </c>
      <c r="M260" s="157" t="n">
        <v>1984</v>
      </c>
      <c r="P260" s="157" t="s">
        <v>3009</v>
      </c>
      <c r="R260" s="174" t="s">
        <v>279</v>
      </c>
      <c r="S260" s="157" t="n">
        <v>21850</v>
      </c>
      <c r="T260" s="443" t="n">
        <f aca="false">S260/L260</f>
        <v>16.3547904191617</v>
      </c>
      <c r="U260" s="157" t="s">
        <v>279</v>
      </c>
      <c r="Y260" s="80" t="n">
        <v>1775000</v>
      </c>
      <c r="AA260" s="80" t="n">
        <v>1775000</v>
      </c>
      <c r="AC260" s="157" t="s">
        <v>4085</v>
      </c>
      <c r="AD260" s="157" t="s">
        <v>4080</v>
      </c>
      <c r="AE260" s="281" t="s">
        <v>4081</v>
      </c>
      <c r="AF260" s="281" t="s">
        <v>4082</v>
      </c>
      <c r="AI260" s="157" t="e">
        <f aca="false">IF(AND($E260=Subj_OccCode,Subj_BldgSF&gt;0,ABS($L260-Subj_BldgSF)&lt;=Subj_BldgSF*Subj_SizeTol),ABS($L260-Subj_BldgSF),NA())</f>
        <v>#N/A</v>
      </c>
      <c r="AJ260" s="1" t="e">
        <f aca="false">IF(ISNA(AI260),NA(),AI260+ROW()/10000000)</f>
        <v>#N/A</v>
      </c>
      <c r="AK260" s="157" t="str">
        <f aca="false">IF(AND(ISNUMBER($N260),$N260&gt;0,ISNUMBER($Y260)),$Y260/$N260,"")</f>
        <v/>
      </c>
    </row>
    <row r="261" customFormat="false" ht="15" hidden="false" customHeight="true" outlineLevel="0" collapsed="false">
      <c r="A261" s="441" t="n">
        <v>7</v>
      </c>
      <c r="B261" s="157" t="n">
        <v>253</v>
      </c>
      <c r="C261" s="157" t="s">
        <v>4086</v>
      </c>
      <c r="D261" s="157" t="s">
        <v>4087</v>
      </c>
      <c r="E261" s="157" t="n">
        <v>344</v>
      </c>
      <c r="F261" s="157" t="s">
        <v>2581</v>
      </c>
      <c r="G261" s="157" t="s">
        <v>354</v>
      </c>
      <c r="H261" s="78" t="n">
        <f aca="false">Y261/J261</f>
        <v>414.9377593361</v>
      </c>
      <c r="I261" s="442" t="n">
        <v>45226</v>
      </c>
      <c r="J261" s="157" t="n">
        <v>2410</v>
      </c>
      <c r="L261" s="157" t="n">
        <v>2410</v>
      </c>
      <c r="M261" s="157" t="n">
        <v>1945</v>
      </c>
      <c r="P261" s="157" t="s">
        <v>2588</v>
      </c>
      <c r="R261" s="174" t="s">
        <v>483</v>
      </c>
      <c r="S261" s="157" t="n">
        <v>22330</v>
      </c>
      <c r="T261" s="443" t="n">
        <f aca="false">S261/L261</f>
        <v>9.26556016597511</v>
      </c>
      <c r="U261" s="157" t="s">
        <v>483</v>
      </c>
      <c r="Y261" s="80" t="n">
        <v>1000000</v>
      </c>
      <c r="AA261" s="80" t="n">
        <v>1000000</v>
      </c>
      <c r="AC261" s="157" t="s">
        <v>4088</v>
      </c>
      <c r="AD261" s="157" t="s">
        <v>4089</v>
      </c>
      <c r="AE261" s="281" t="s">
        <v>4090</v>
      </c>
      <c r="AF261" s="281" t="s">
        <v>4091</v>
      </c>
      <c r="AI261" s="157" t="e">
        <f aca="false">IF(AND($E261=Subj_OccCode,Subj_BldgSF&gt;0,ABS($L261-Subj_BldgSF)&lt;=Subj_BldgSF*Subj_SizeTol),ABS($L261-Subj_BldgSF),NA())</f>
        <v>#N/A</v>
      </c>
      <c r="AJ261" s="1" t="e">
        <f aca="false">IF(ISNA(AI261),NA(),AI261+ROW()/10000000)</f>
        <v>#N/A</v>
      </c>
      <c r="AK261" s="157" t="str">
        <f aca="false">IF(AND(ISNUMBER($N261),$N261&gt;0,ISNUMBER($Y261)),$Y261/$N261,"")</f>
        <v/>
      </c>
    </row>
    <row r="262" customFormat="false" ht="15" hidden="false" customHeight="true" outlineLevel="0" collapsed="false">
      <c r="A262" s="441" t="n">
        <v>7</v>
      </c>
      <c r="B262" s="157" t="n">
        <v>254</v>
      </c>
      <c r="C262" s="157" t="s">
        <v>4092</v>
      </c>
      <c r="D262" s="157" t="s">
        <v>4093</v>
      </c>
      <c r="E262" s="157" t="n">
        <v>346</v>
      </c>
      <c r="F262" s="157" t="s">
        <v>2921</v>
      </c>
      <c r="G262" s="157" t="s">
        <v>2691</v>
      </c>
      <c r="H262" s="78" t="n">
        <f aca="false">Y262/J262</f>
        <v>805.860805860806</v>
      </c>
      <c r="I262" s="442" t="n">
        <v>45233</v>
      </c>
      <c r="J262" s="157" t="n">
        <v>1092</v>
      </c>
      <c r="L262" s="157" t="n">
        <v>1092</v>
      </c>
      <c r="M262" s="157" t="n">
        <v>1969</v>
      </c>
      <c r="P262" s="157" t="s">
        <v>3022</v>
      </c>
      <c r="R262" s="174" t="s">
        <v>279</v>
      </c>
      <c r="S262" s="157" t="n">
        <v>6000</v>
      </c>
      <c r="T262" s="443" t="n">
        <f aca="false">S262/L262</f>
        <v>5.49450549450549</v>
      </c>
      <c r="U262" s="157" t="s">
        <v>279</v>
      </c>
      <c r="Y262" s="80" t="n">
        <v>880000</v>
      </c>
      <c r="AA262" s="80" t="n">
        <v>880000</v>
      </c>
      <c r="AC262" s="157" t="s">
        <v>4094</v>
      </c>
      <c r="AD262" s="157" t="s">
        <v>4095</v>
      </c>
      <c r="AE262" s="281" t="s">
        <v>4096</v>
      </c>
      <c r="AF262" s="281" t="s">
        <v>4097</v>
      </c>
      <c r="AI262" s="157" t="e">
        <f aca="false">IF(AND($E262=Subj_OccCode,Subj_BldgSF&gt;0,ABS($L262-Subj_BldgSF)&lt;=Subj_BldgSF*Subj_SizeTol),ABS($L262-Subj_BldgSF),NA())</f>
        <v>#N/A</v>
      </c>
      <c r="AJ262" s="1" t="e">
        <f aca="false">IF(ISNA(AI262),NA(),AI262+ROW()/10000000)</f>
        <v>#N/A</v>
      </c>
      <c r="AK262" s="157" t="str">
        <f aca="false">IF(AND(ISNUMBER($N262),$N262&gt;0,ISNUMBER($Y262)),$Y262/$N262,"")</f>
        <v/>
      </c>
    </row>
    <row r="263" customFormat="false" ht="15" hidden="false" customHeight="true" outlineLevel="0" collapsed="false">
      <c r="A263" s="441" t="n">
        <v>7</v>
      </c>
      <c r="B263" s="157" t="n">
        <v>255</v>
      </c>
      <c r="C263" s="157" t="s">
        <v>4098</v>
      </c>
      <c r="D263" s="157" t="s">
        <v>4099</v>
      </c>
      <c r="E263" s="157" t="n">
        <v>353</v>
      </c>
      <c r="F263" s="157" t="s">
        <v>2921</v>
      </c>
      <c r="G263" s="157" t="s">
        <v>2691</v>
      </c>
      <c r="H263" s="78" t="n">
        <f aca="false">Y263/J263</f>
        <v>132.132132132132</v>
      </c>
      <c r="I263" s="442" t="n">
        <v>45233</v>
      </c>
      <c r="J263" s="157" t="n">
        <v>6660</v>
      </c>
      <c r="L263" s="157" t="n">
        <v>6660</v>
      </c>
      <c r="M263" s="157" t="n">
        <v>1955</v>
      </c>
      <c r="P263" s="157" t="s">
        <v>3022</v>
      </c>
      <c r="R263" s="174" t="s">
        <v>279</v>
      </c>
      <c r="S263" s="157" t="n">
        <v>54172</v>
      </c>
      <c r="T263" s="443" t="n">
        <f aca="false">S263/L263</f>
        <v>8.13393393393393</v>
      </c>
      <c r="U263" s="157" t="s">
        <v>279</v>
      </c>
      <c r="Y263" s="80" t="n">
        <v>880000</v>
      </c>
      <c r="AA263" s="80" t="n">
        <v>880000</v>
      </c>
      <c r="AC263" s="157" t="s">
        <v>4100</v>
      </c>
      <c r="AD263" s="157" t="s">
        <v>4095</v>
      </c>
      <c r="AE263" s="281" t="s">
        <v>4096</v>
      </c>
      <c r="AF263" s="281" t="s">
        <v>4097</v>
      </c>
      <c r="AI263" s="157" t="e">
        <f aca="false">IF(AND($E263=Subj_OccCode,Subj_BldgSF&gt;0,ABS($L263-Subj_BldgSF)&lt;=Subj_BldgSF*Subj_SizeTol),ABS($L263-Subj_BldgSF),NA())</f>
        <v>#N/A</v>
      </c>
      <c r="AJ263" s="1" t="e">
        <f aca="false">IF(ISNA(AI263),NA(),AI263+ROW()/10000000)</f>
        <v>#N/A</v>
      </c>
      <c r="AK263" s="157" t="str">
        <f aca="false">IF(AND(ISNUMBER($N263),$N263&gt;0,ISNUMBER($Y263)),$Y263/$N263,"")</f>
        <v/>
      </c>
    </row>
    <row r="264" customFormat="false" ht="15" hidden="false" customHeight="true" outlineLevel="0" collapsed="false">
      <c r="A264" s="441" t="n">
        <v>7</v>
      </c>
      <c r="B264" s="157" t="n">
        <v>256</v>
      </c>
      <c r="C264" s="157" t="s">
        <v>4101</v>
      </c>
      <c r="D264" s="157" t="s">
        <v>4102</v>
      </c>
      <c r="E264" s="157" t="n">
        <v>406</v>
      </c>
      <c r="G264" s="157" t="s">
        <v>2691</v>
      </c>
      <c r="H264" s="78" t="n">
        <f aca="false">Y264/J264</f>
        <v>1111.11111111111</v>
      </c>
      <c r="I264" s="442" t="n">
        <v>45251</v>
      </c>
      <c r="J264" s="157" t="n">
        <v>2925</v>
      </c>
      <c r="L264" s="157" t="n">
        <v>2925</v>
      </c>
      <c r="M264" s="157" t="n">
        <v>2006</v>
      </c>
      <c r="P264" s="157" t="s">
        <v>2692</v>
      </c>
      <c r="R264" s="174" t="s">
        <v>279</v>
      </c>
      <c r="S264" s="157" t="n">
        <v>100410</v>
      </c>
      <c r="T264" s="443" t="n">
        <f aca="false">S264/L264</f>
        <v>34.3282051282051</v>
      </c>
      <c r="U264" s="157" t="s">
        <v>279</v>
      </c>
      <c r="Y264" s="80" t="n">
        <v>3250000</v>
      </c>
      <c r="AA264" s="80" t="n">
        <v>3250000</v>
      </c>
      <c r="AC264" s="157" t="s">
        <v>4103</v>
      </c>
      <c r="AD264" s="157" t="s">
        <v>4104</v>
      </c>
      <c r="AE264" s="281" t="s">
        <v>4105</v>
      </c>
      <c r="AF264" s="281" t="s">
        <v>4106</v>
      </c>
      <c r="AI264" s="157" t="e">
        <f aca="false">IF(AND($E264=Subj_OccCode,Subj_BldgSF&gt;0,ABS($L264-Subj_BldgSF)&lt;=Subj_BldgSF*Subj_SizeTol),ABS($L264-Subj_BldgSF),NA())</f>
        <v>#N/A</v>
      </c>
      <c r="AJ264" s="1" t="e">
        <f aca="false">IF(ISNA(AI264),NA(),AI264+ROW()/10000000)</f>
        <v>#N/A</v>
      </c>
      <c r="AK264" s="157" t="str">
        <f aca="false">IF(AND(ISNUMBER($N264),$N264&gt;0,ISNUMBER($Y264)),$Y264/$N264,"")</f>
        <v/>
      </c>
    </row>
    <row r="265" customFormat="false" ht="15" hidden="false" customHeight="true" outlineLevel="0" collapsed="false">
      <c r="A265" s="441" t="n">
        <v>7</v>
      </c>
      <c r="B265" s="157" t="n">
        <v>257</v>
      </c>
      <c r="C265" s="157" t="s">
        <v>4107</v>
      </c>
      <c r="D265" s="157" t="s">
        <v>4108</v>
      </c>
      <c r="E265" s="157" t="n">
        <v>406</v>
      </c>
      <c r="F265" s="157" t="s">
        <v>2921</v>
      </c>
      <c r="G265" s="157" t="s">
        <v>2691</v>
      </c>
      <c r="H265" s="78" t="n">
        <f aca="false">Y265/J265</f>
        <v>362.903225806452</v>
      </c>
      <c r="I265" s="442" t="n">
        <v>45260</v>
      </c>
      <c r="J265" s="157" t="n">
        <v>4960</v>
      </c>
      <c r="L265" s="157" t="n">
        <v>4960</v>
      </c>
      <c r="M265" s="157" t="n">
        <v>1994</v>
      </c>
      <c r="P265" s="157" t="s">
        <v>3009</v>
      </c>
      <c r="R265" s="174" t="s">
        <v>279</v>
      </c>
      <c r="S265" s="157" t="n">
        <v>41790</v>
      </c>
      <c r="T265" s="443" t="n">
        <f aca="false">S265/L265</f>
        <v>8.42540322580645</v>
      </c>
      <c r="U265" s="157" t="s">
        <v>279</v>
      </c>
      <c r="Y265" s="80" t="n">
        <v>1800000</v>
      </c>
      <c r="AA265" s="80" t="n">
        <v>1800000</v>
      </c>
      <c r="AC265" s="157" t="s">
        <v>4109</v>
      </c>
      <c r="AD265" s="157" t="s">
        <v>4110</v>
      </c>
      <c r="AE265" s="281" t="s">
        <v>4111</v>
      </c>
      <c r="AF265" s="281" t="s">
        <v>4112</v>
      </c>
      <c r="AI265" s="157" t="e">
        <f aca="false">IF(AND($E265=Subj_OccCode,Subj_BldgSF&gt;0,ABS($L265-Subj_BldgSF)&lt;=Subj_BldgSF*Subj_SizeTol),ABS($L265-Subj_BldgSF),NA())</f>
        <v>#N/A</v>
      </c>
      <c r="AJ265" s="1" t="e">
        <f aca="false">IF(ISNA(AI265),NA(),AI265+ROW()/10000000)</f>
        <v>#N/A</v>
      </c>
      <c r="AK265" s="157" t="str">
        <f aca="false">IF(AND(ISNUMBER($N265),$N265&gt;0,ISNUMBER($Y265)),$Y265/$N265,"")</f>
        <v/>
      </c>
    </row>
    <row r="266" customFormat="false" ht="15" hidden="false" customHeight="true" outlineLevel="0" collapsed="false">
      <c r="A266" s="441" t="n">
        <v>7</v>
      </c>
      <c r="B266" s="157" t="n">
        <v>258</v>
      </c>
      <c r="C266" s="157" t="s">
        <v>4113</v>
      </c>
      <c r="D266" s="157" t="s">
        <v>4114</v>
      </c>
      <c r="E266" s="157" t="n">
        <v>425</v>
      </c>
      <c r="G266" s="157" t="s">
        <v>2691</v>
      </c>
      <c r="H266" s="78" t="n">
        <f aca="false">Y266/J266</f>
        <v>29.8733773143222</v>
      </c>
      <c r="I266" s="442" t="n">
        <v>45286</v>
      </c>
      <c r="J266" s="157" t="n">
        <v>37592</v>
      </c>
      <c r="L266" s="157" t="n">
        <v>37592</v>
      </c>
      <c r="M266" s="157" t="n">
        <v>2006</v>
      </c>
      <c r="P266" s="157" t="s">
        <v>2692</v>
      </c>
      <c r="R266" s="174" t="s">
        <v>279</v>
      </c>
      <c r="S266" s="157" t="n">
        <v>2919</v>
      </c>
      <c r="T266" s="443" t="n">
        <f aca="false">S266/L266</f>
        <v>0.0776494998935944</v>
      </c>
      <c r="U266" s="157" t="s">
        <v>279</v>
      </c>
      <c r="Y266" s="80" t="n">
        <v>1123000</v>
      </c>
      <c r="AA266" s="80" t="n">
        <v>1123000</v>
      </c>
      <c r="AC266" s="157" t="s">
        <v>4115</v>
      </c>
      <c r="AD266" s="157" t="s">
        <v>4116</v>
      </c>
      <c r="AE266" s="281" t="s">
        <v>4117</v>
      </c>
      <c r="AF266" s="281" t="s">
        <v>4118</v>
      </c>
      <c r="AI266" s="157" t="e">
        <f aca="false">IF(AND($E266=Subj_OccCode,Subj_BldgSF&gt;0,ABS($L266-Subj_BldgSF)&lt;=Subj_BldgSF*Subj_SizeTol),ABS($L266-Subj_BldgSF),NA())</f>
        <v>#N/A</v>
      </c>
      <c r="AJ266" s="1" t="e">
        <f aca="false">IF(ISNA(AI266),NA(),AI266+ROW()/10000000)</f>
        <v>#N/A</v>
      </c>
      <c r="AK266" s="157" t="str">
        <f aca="false">IF(AND(ISNUMBER($N266),$N266&gt;0,ISNUMBER($Y266)),$Y266/$N266,"")</f>
        <v/>
      </c>
    </row>
    <row r="267" customFormat="false" ht="15" hidden="false" customHeight="true" outlineLevel="0" collapsed="false">
      <c r="A267" s="441" t="n">
        <v>7</v>
      </c>
      <c r="B267" s="157" t="n">
        <v>259</v>
      </c>
      <c r="C267" s="157" t="s">
        <v>4119</v>
      </c>
      <c r="D267" s="157" t="s">
        <v>4120</v>
      </c>
      <c r="E267" s="157" t="n">
        <v>425</v>
      </c>
      <c r="G267" s="157" t="s">
        <v>2691</v>
      </c>
      <c r="H267" s="78" t="n">
        <f aca="false">Y267/J267</f>
        <v>29.8733773143222</v>
      </c>
      <c r="I267" s="442" t="n">
        <v>45286</v>
      </c>
      <c r="J267" s="157" t="n">
        <v>37592</v>
      </c>
      <c r="L267" s="157" t="n">
        <v>37592</v>
      </c>
      <c r="M267" s="157" t="n">
        <v>2006</v>
      </c>
      <c r="P267" s="157" t="s">
        <v>2692</v>
      </c>
      <c r="R267" s="174" t="s">
        <v>279</v>
      </c>
      <c r="S267" s="157" t="n">
        <v>7296</v>
      </c>
      <c r="T267" s="443" t="n">
        <f aca="false">S267/L267</f>
        <v>0.194083847627155</v>
      </c>
      <c r="U267" s="157" t="s">
        <v>279</v>
      </c>
      <c r="Y267" s="80" t="n">
        <v>1123000</v>
      </c>
      <c r="AA267" s="80" t="n">
        <v>1123000</v>
      </c>
      <c r="AC267" s="157" t="s">
        <v>4121</v>
      </c>
      <c r="AD267" s="157" t="s">
        <v>4116</v>
      </c>
      <c r="AE267" s="281" t="s">
        <v>4117</v>
      </c>
      <c r="AF267" s="281" t="s">
        <v>4118</v>
      </c>
      <c r="AI267" s="157" t="e">
        <f aca="false">IF(AND($E267=Subj_OccCode,Subj_BldgSF&gt;0,ABS($L267-Subj_BldgSF)&lt;=Subj_BldgSF*Subj_SizeTol),ABS($L267-Subj_BldgSF),NA())</f>
        <v>#N/A</v>
      </c>
      <c r="AJ267" s="1" t="e">
        <f aca="false">IF(ISNA(AI267),NA(),AI267+ROW()/10000000)</f>
        <v>#N/A</v>
      </c>
      <c r="AK267" s="157" t="str">
        <f aca="false">IF(AND(ISNUMBER($N267),$N267&gt;0,ISNUMBER($Y267)),$Y267/$N267,"")</f>
        <v/>
      </c>
    </row>
    <row r="268" customFormat="false" ht="15" hidden="false" customHeight="true" outlineLevel="0" collapsed="false">
      <c r="A268" s="441" t="n">
        <v>7</v>
      </c>
      <c r="B268" s="157" t="n">
        <v>260</v>
      </c>
      <c r="C268" s="157" t="s">
        <v>4122</v>
      </c>
      <c r="D268" s="157" t="s">
        <v>4123</v>
      </c>
      <c r="E268" s="157" t="n">
        <v>425</v>
      </c>
      <c r="G268" s="157" t="s">
        <v>2691</v>
      </c>
      <c r="H268" s="78" t="n">
        <f aca="false">Y268/J268</f>
        <v>29.8733773143222</v>
      </c>
      <c r="I268" s="442" t="n">
        <v>45286</v>
      </c>
      <c r="J268" s="157" t="n">
        <v>37592</v>
      </c>
      <c r="L268" s="157" t="n">
        <v>37592</v>
      </c>
      <c r="M268" s="157" t="n">
        <v>2006</v>
      </c>
      <c r="P268" s="157" t="s">
        <v>2692</v>
      </c>
      <c r="R268" s="174" t="s">
        <v>279</v>
      </c>
      <c r="S268" s="157" t="n">
        <v>11382</v>
      </c>
      <c r="T268" s="443" t="n">
        <f aca="false">S268/L268</f>
        <v>0.302777186635454</v>
      </c>
      <c r="U268" s="157" t="s">
        <v>279</v>
      </c>
      <c r="Y268" s="80" t="n">
        <v>1123000</v>
      </c>
      <c r="AA268" s="80" t="n">
        <v>1123000</v>
      </c>
      <c r="AC268" s="157" t="s">
        <v>4124</v>
      </c>
      <c r="AD268" s="157" t="s">
        <v>4116</v>
      </c>
      <c r="AE268" s="281" t="s">
        <v>4117</v>
      </c>
      <c r="AF268" s="281" t="s">
        <v>4118</v>
      </c>
      <c r="AI268" s="157" t="e">
        <f aca="false">IF(AND($E268=Subj_OccCode,Subj_BldgSF&gt;0,ABS($L268-Subj_BldgSF)&lt;=Subj_BldgSF*Subj_SizeTol),ABS($L268-Subj_BldgSF),NA())</f>
        <v>#N/A</v>
      </c>
      <c r="AJ268" s="1" t="e">
        <f aca="false">IF(ISNA(AI268),NA(),AI268+ROW()/10000000)</f>
        <v>#N/A</v>
      </c>
      <c r="AK268" s="157" t="str">
        <f aca="false">IF(AND(ISNUMBER($N268),$N268&gt;0,ISNUMBER($Y268)),$Y268/$N268,"")</f>
        <v/>
      </c>
    </row>
    <row r="269" customFormat="false" ht="15" hidden="false" customHeight="true" outlineLevel="0" collapsed="false">
      <c r="A269" s="441" t="n">
        <v>7</v>
      </c>
      <c r="B269" s="157" t="n">
        <v>261</v>
      </c>
      <c r="C269" s="157" t="s">
        <v>4125</v>
      </c>
      <c r="D269" s="157" t="s">
        <v>4126</v>
      </c>
      <c r="E269" s="157" t="n">
        <v>425</v>
      </c>
      <c r="G269" s="157" t="s">
        <v>2691</v>
      </c>
      <c r="H269" s="78" t="n">
        <f aca="false">Y269/J269</f>
        <v>54.2054386123408</v>
      </c>
      <c r="I269" s="442" t="n">
        <v>45307</v>
      </c>
      <c r="J269" s="157" t="n">
        <v>22138</v>
      </c>
      <c r="L269" s="157" t="n">
        <v>22138</v>
      </c>
      <c r="M269" s="157" t="n">
        <v>2005</v>
      </c>
      <c r="P269" s="157" t="s">
        <v>2750</v>
      </c>
      <c r="R269" s="174" t="s">
        <v>279</v>
      </c>
      <c r="S269" s="157" t="n">
        <v>11727</v>
      </c>
      <c r="T269" s="443" t="n">
        <f aca="false">S269/L269</f>
        <v>0.5297226488391</v>
      </c>
      <c r="U269" s="157" t="s">
        <v>279</v>
      </c>
      <c r="Y269" s="80" t="n">
        <v>1200000</v>
      </c>
      <c r="AA269" s="80" t="n">
        <v>1200000</v>
      </c>
      <c r="AC269" s="157" t="s">
        <v>4127</v>
      </c>
      <c r="AD269" s="157" t="s">
        <v>4128</v>
      </c>
      <c r="AE269" s="281" t="s">
        <v>4129</v>
      </c>
      <c r="AF269" s="281" t="s">
        <v>4130</v>
      </c>
      <c r="AI269" s="157" t="e">
        <f aca="false">IF(AND($E269=Subj_OccCode,Subj_BldgSF&gt;0,ABS($L269-Subj_BldgSF)&lt;=Subj_BldgSF*Subj_SizeTol),ABS($L269-Subj_BldgSF),NA())</f>
        <v>#N/A</v>
      </c>
      <c r="AJ269" s="1" t="e">
        <f aca="false">IF(ISNA(AI269),NA(),AI269+ROW()/10000000)</f>
        <v>#N/A</v>
      </c>
      <c r="AK269" s="157" t="str">
        <f aca="false">IF(AND(ISNUMBER($N269),$N269&gt;0,ISNUMBER($Y269)),$Y269/$N269,"")</f>
        <v/>
      </c>
    </row>
    <row r="270" customFormat="false" ht="15" hidden="false" customHeight="true" outlineLevel="0" collapsed="false">
      <c r="A270" s="441" t="n">
        <v>7</v>
      </c>
      <c r="B270" s="157" t="n">
        <v>262</v>
      </c>
      <c r="C270" s="157" t="s">
        <v>4131</v>
      </c>
      <c r="D270" s="157" t="s">
        <v>4132</v>
      </c>
      <c r="E270" s="157" t="n">
        <v>425</v>
      </c>
      <c r="G270" s="157" t="s">
        <v>2691</v>
      </c>
      <c r="H270" s="78" t="n">
        <f aca="false">Y270/J270</f>
        <v>54.2054386123408</v>
      </c>
      <c r="I270" s="442" t="n">
        <v>45307</v>
      </c>
      <c r="J270" s="157" t="n">
        <v>22138</v>
      </c>
      <c r="L270" s="157" t="n">
        <v>22138</v>
      </c>
      <c r="M270" s="157" t="n">
        <v>2005</v>
      </c>
      <c r="P270" s="157" t="s">
        <v>2750</v>
      </c>
      <c r="R270" s="174" t="s">
        <v>279</v>
      </c>
      <c r="S270" s="157" t="n">
        <v>11727</v>
      </c>
      <c r="T270" s="443" t="n">
        <f aca="false">S270/L270</f>
        <v>0.5297226488391</v>
      </c>
      <c r="U270" s="157" t="s">
        <v>279</v>
      </c>
      <c r="Y270" s="80" t="n">
        <v>1200000</v>
      </c>
      <c r="AA270" s="80" t="n">
        <v>1200000</v>
      </c>
      <c r="AC270" s="157" t="s">
        <v>4133</v>
      </c>
      <c r="AD270" s="157" t="s">
        <v>4128</v>
      </c>
      <c r="AE270" s="281" t="s">
        <v>4129</v>
      </c>
      <c r="AF270" s="281" t="s">
        <v>4130</v>
      </c>
      <c r="AI270" s="157" t="e">
        <f aca="false">IF(AND($E270=Subj_OccCode,Subj_BldgSF&gt;0,ABS($L270-Subj_BldgSF)&lt;=Subj_BldgSF*Subj_SizeTol),ABS($L270-Subj_BldgSF),NA())</f>
        <v>#N/A</v>
      </c>
      <c r="AJ270" s="1" t="e">
        <f aca="false">IF(ISNA(AI270),NA(),AI270+ROW()/10000000)</f>
        <v>#N/A</v>
      </c>
      <c r="AK270" s="157" t="str">
        <f aca="false">IF(AND(ISNUMBER($N270),$N270&gt;0,ISNUMBER($Y270)),$Y270/$N270,"")</f>
        <v/>
      </c>
    </row>
    <row r="271" customFormat="false" ht="15" hidden="false" customHeight="true" outlineLevel="0" collapsed="false">
      <c r="A271" s="441" t="n">
        <v>7</v>
      </c>
      <c r="B271" s="157" t="n">
        <v>263</v>
      </c>
      <c r="C271" s="157" t="s">
        <v>4134</v>
      </c>
      <c r="D271" s="157" t="s">
        <v>4135</v>
      </c>
      <c r="E271" s="157" t="n">
        <v>406</v>
      </c>
      <c r="F271" s="157" t="s">
        <v>2595</v>
      </c>
      <c r="G271" s="157" t="s">
        <v>2596</v>
      </c>
      <c r="H271" s="78" t="n">
        <f aca="false">Y271/J271</f>
        <v>226.415094339623</v>
      </c>
      <c r="I271" s="442" t="n">
        <v>45310</v>
      </c>
      <c r="J271" s="157" t="n">
        <v>5300</v>
      </c>
      <c r="L271" s="157" t="n">
        <v>5300</v>
      </c>
      <c r="M271" s="157" t="n">
        <v>1983</v>
      </c>
      <c r="P271" s="157" t="s">
        <v>2713</v>
      </c>
      <c r="R271" s="174" t="s">
        <v>279</v>
      </c>
      <c r="S271" s="157" t="n">
        <v>19301</v>
      </c>
      <c r="T271" s="443" t="n">
        <f aca="false">S271/L271</f>
        <v>3.64169811320755</v>
      </c>
      <c r="U271" s="157" t="s">
        <v>279</v>
      </c>
      <c r="Y271" s="80" t="n">
        <v>1200000</v>
      </c>
      <c r="AA271" s="80" t="n">
        <v>1200000</v>
      </c>
      <c r="AC271" s="157" t="s">
        <v>4136</v>
      </c>
      <c r="AD271" s="157" t="s">
        <v>4137</v>
      </c>
      <c r="AE271" s="281" t="s">
        <v>4138</v>
      </c>
      <c r="AF271" s="281" t="s">
        <v>4139</v>
      </c>
      <c r="AI271" s="157" t="e">
        <f aca="false">IF(AND($E271=Subj_OccCode,Subj_BldgSF&gt;0,ABS($L271-Subj_BldgSF)&lt;=Subj_BldgSF*Subj_SizeTol),ABS($L271-Subj_BldgSF),NA())</f>
        <v>#N/A</v>
      </c>
      <c r="AJ271" s="1" t="e">
        <f aca="false">IF(ISNA(AI271),NA(),AI271+ROW()/10000000)</f>
        <v>#N/A</v>
      </c>
      <c r="AK271" s="157" t="str">
        <f aca="false">IF(AND(ISNUMBER($N271),$N271&gt;0,ISNUMBER($Y271)),$Y271/$N271,"")</f>
        <v/>
      </c>
    </row>
    <row r="272" customFormat="false" ht="15" hidden="false" customHeight="true" outlineLevel="0" collapsed="false">
      <c r="A272" s="441" t="n">
        <v>7</v>
      </c>
      <c r="B272" s="157" t="n">
        <v>264</v>
      </c>
      <c r="C272" s="157" t="s">
        <v>4140</v>
      </c>
      <c r="D272" s="157" t="s">
        <v>4141</v>
      </c>
      <c r="E272" s="157" t="n">
        <v>407</v>
      </c>
      <c r="G272" s="157" t="s">
        <v>2691</v>
      </c>
      <c r="H272" s="78" t="n">
        <f aca="false">Y272/J272</f>
        <v>171.800947867299</v>
      </c>
      <c r="I272" s="442" t="n">
        <v>45322</v>
      </c>
      <c r="J272" s="157" t="n">
        <v>55704</v>
      </c>
      <c r="L272" s="157" t="n">
        <v>55704</v>
      </c>
      <c r="M272" s="157" t="n">
        <v>1972</v>
      </c>
      <c r="P272" s="157" t="s">
        <v>2692</v>
      </c>
      <c r="R272" s="174" t="s">
        <v>279</v>
      </c>
      <c r="S272" s="157" t="n">
        <v>137294</v>
      </c>
      <c r="T272" s="443" t="n">
        <f aca="false">S272/L272</f>
        <v>2.4647063047537</v>
      </c>
      <c r="U272" s="157" t="s">
        <v>279</v>
      </c>
      <c r="Y272" s="80" t="n">
        <v>9570000</v>
      </c>
      <c r="AA272" s="80" t="n">
        <v>9570000</v>
      </c>
      <c r="AC272" s="157" t="s">
        <v>4142</v>
      </c>
      <c r="AD272" s="157" t="s">
        <v>4143</v>
      </c>
      <c r="AE272" s="281" t="s">
        <v>4144</v>
      </c>
      <c r="AF272" s="281" t="s">
        <v>4145</v>
      </c>
      <c r="AI272" s="157" t="e">
        <f aca="false">IF(AND($E272=Subj_OccCode,Subj_BldgSF&gt;0,ABS($L272-Subj_BldgSF)&lt;=Subj_BldgSF*Subj_SizeTol),ABS($L272-Subj_BldgSF),NA())</f>
        <v>#N/A</v>
      </c>
      <c r="AJ272" s="1" t="e">
        <f aca="false">IF(ISNA(AI272),NA(),AI272+ROW()/10000000)</f>
        <v>#N/A</v>
      </c>
      <c r="AK272" s="157" t="str">
        <f aca="false">IF(AND(ISNUMBER($N272),$N272&gt;0,ISNUMBER($Y272)),$Y272/$N272,"")</f>
        <v/>
      </c>
    </row>
    <row r="273" customFormat="false" ht="15" hidden="false" customHeight="true" outlineLevel="0" collapsed="false">
      <c r="A273" s="441" t="n">
        <v>7</v>
      </c>
      <c r="B273" s="157" t="n">
        <v>265</v>
      </c>
      <c r="C273" s="157" t="s">
        <v>4146</v>
      </c>
      <c r="D273" s="157" t="s">
        <v>4147</v>
      </c>
      <c r="E273" s="157" t="n">
        <v>425</v>
      </c>
      <c r="F273" s="157" t="s">
        <v>2595</v>
      </c>
      <c r="G273" s="157" t="s">
        <v>2596</v>
      </c>
      <c r="H273" s="78" t="n">
        <f aca="false">Y273/J273</f>
        <v>35.3846153846154</v>
      </c>
      <c r="I273" s="442" t="n">
        <v>45327</v>
      </c>
      <c r="J273" s="157" t="n">
        <v>32500</v>
      </c>
      <c r="L273" s="157" t="n">
        <v>32500</v>
      </c>
      <c r="M273" s="157" t="n">
        <v>2004</v>
      </c>
      <c r="P273" s="157" t="s">
        <v>2807</v>
      </c>
      <c r="R273" s="174" t="s">
        <v>279</v>
      </c>
      <c r="S273" s="157" t="n">
        <v>4740</v>
      </c>
      <c r="T273" s="443" t="n">
        <f aca="false">S273/L273</f>
        <v>0.145846153846154</v>
      </c>
      <c r="U273" s="157" t="s">
        <v>279</v>
      </c>
      <c r="Y273" s="80" t="n">
        <v>1150000</v>
      </c>
      <c r="AA273" s="80" t="n">
        <v>1150000</v>
      </c>
      <c r="AC273" s="157" t="s">
        <v>4148</v>
      </c>
      <c r="AD273" s="157" t="s">
        <v>4149</v>
      </c>
      <c r="AE273" s="281" t="s">
        <v>2810</v>
      </c>
      <c r="AF273" s="281" t="s">
        <v>4150</v>
      </c>
      <c r="AI273" s="157" t="e">
        <f aca="false">IF(AND($E273=Subj_OccCode,Subj_BldgSF&gt;0,ABS($L273-Subj_BldgSF)&lt;=Subj_BldgSF*Subj_SizeTol),ABS($L273-Subj_BldgSF),NA())</f>
        <v>#N/A</v>
      </c>
      <c r="AJ273" s="1" t="e">
        <f aca="false">IF(ISNA(AI273),NA(),AI273+ROW()/10000000)</f>
        <v>#N/A</v>
      </c>
      <c r="AK273" s="157" t="str">
        <f aca="false">IF(AND(ISNUMBER($N273),$N273&gt;0,ISNUMBER($Y273)),$Y273/$N273,"")</f>
        <v/>
      </c>
    </row>
    <row r="274" customFormat="false" ht="15" hidden="false" customHeight="true" outlineLevel="0" collapsed="false">
      <c r="A274" s="441" t="n">
        <v>7</v>
      </c>
      <c r="B274" s="157" t="n">
        <v>266</v>
      </c>
      <c r="C274" s="157" t="s">
        <v>4151</v>
      </c>
      <c r="D274" s="157" t="s">
        <v>4152</v>
      </c>
      <c r="E274" s="157" t="n">
        <v>425</v>
      </c>
      <c r="F274" s="157" t="s">
        <v>2595</v>
      </c>
      <c r="G274" s="157" t="s">
        <v>2596</v>
      </c>
      <c r="H274" s="78" t="n">
        <f aca="false">Y274/J274</f>
        <v>35.3846153846154</v>
      </c>
      <c r="I274" s="442" t="n">
        <v>45327</v>
      </c>
      <c r="J274" s="157" t="n">
        <v>32500</v>
      </c>
      <c r="L274" s="157" t="n">
        <v>32500</v>
      </c>
      <c r="M274" s="157" t="n">
        <v>2004</v>
      </c>
      <c r="P274" s="157" t="s">
        <v>2807</v>
      </c>
      <c r="R274" s="174" t="s">
        <v>279</v>
      </c>
      <c r="S274" s="157" t="n">
        <v>4740</v>
      </c>
      <c r="T274" s="443" t="n">
        <f aca="false">S274/L274</f>
        <v>0.145846153846154</v>
      </c>
      <c r="U274" s="157" t="s">
        <v>279</v>
      </c>
      <c r="Y274" s="80" t="n">
        <v>1150000</v>
      </c>
      <c r="AA274" s="80" t="n">
        <v>1150000</v>
      </c>
      <c r="AC274" s="157" t="s">
        <v>4153</v>
      </c>
      <c r="AD274" s="157" t="s">
        <v>4149</v>
      </c>
      <c r="AE274" s="281" t="s">
        <v>2810</v>
      </c>
      <c r="AF274" s="281" t="s">
        <v>4150</v>
      </c>
      <c r="AI274" s="157" t="e">
        <f aca="false">IF(AND($E274=Subj_OccCode,Subj_BldgSF&gt;0,ABS($L274-Subj_BldgSF)&lt;=Subj_BldgSF*Subj_SizeTol),ABS($L274-Subj_BldgSF),NA())</f>
        <v>#N/A</v>
      </c>
      <c r="AJ274" s="1" t="e">
        <f aca="false">IF(ISNA(AI274),NA(),AI274+ROW()/10000000)</f>
        <v>#N/A</v>
      </c>
      <c r="AK274" s="157" t="str">
        <f aca="false">IF(AND(ISNUMBER($N274),$N274&gt;0,ISNUMBER($Y274)),$Y274/$N274,"")</f>
        <v/>
      </c>
    </row>
    <row r="275" customFormat="false" ht="15" hidden="false" customHeight="true" outlineLevel="0" collapsed="false">
      <c r="A275" s="441" t="n">
        <v>7</v>
      </c>
      <c r="B275" s="157" t="n">
        <v>267</v>
      </c>
      <c r="C275" s="157" t="s">
        <v>4154</v>
      </c>
      <c r="D275" s="157" t="s">
        <v>4155</v>
      </c>
      <c r="E275" s="157" t="n">
        <v>353</v>
      </c>
      <c r="F275" s="157" t="s">
        <v>260</v>
      </c>
      <c r="G275" s="157" t="s">
        <v>353</v>
      </c>
      <c r="H275" s="78" t="n">
        <f aca="false">Y275/J275</f>
        <v>188.493150684932</v>
      </c>
      <c r="I275" s="442" t="n">
        <v>45328</v>
      </c>
      <c r="J275" s="157" t="n">
        <v>3650</v>
      </c>
      <c r="L275" s="157" t="n">
        <v>3650</v>
      </c>
      <c r="M275" s="157" t="n">
        <v>1961</v>
      </c>
      <c r="P275" s="157" t="s">
        <v>3500</v>
      </c>
      <c r="R275" s="174" t="s">
        <v>279</v>
      </c>
      <c r="S275" s="157" t="n">
        <v>13504</v>
      </c>
      <c r="T275" s="443" t="n">
        <f aca="false">S275/L275</f>
        <v>3.69972602739726</v>
      </c>
      <c r="U275" s="157" t="s">
        <v>279</v>
      </c>
      <c r="Y275" s="80" t="n">
        <v>688000</v>
      </c>
      <c r="AA275" s="80" t="n">
        <v>688000</v>
      </c>
      <c r="AC275" s="157" t="s">
        <v>4156</v>
      </c>
      <c r="AD275" s="157" t="s">
        <v>4157</v>
      </c>
      <c r="AE275" s="281" t="s">
        <v>4158</v>
      </c>
      <c r="AF275" s="281" t="s">
        <v>4159</v>
      </c>
      <c r="AI275" s="157" t="e">
        <f aca="false">IF(AND($E275=Subj_OccCode,Subj_BldgSF&gt;0,ABS($L275-Subj_BldgSF)&lt;=Subj_BldgSF*Subj_SizeTol),ABS($L275-Subj_BldgSF),NA())</f>
        <v>#N/A</v>
      </c>
      <c r="AJ275" s="1" t="e">
        <f aca="false">IF(ISNA(AI275),NA(),AI275+ROW()/10000000)</f>
        <v>#N/A</v>
      </c>
      <c r="AK275" s="157" t="str">
        <f aca="false">IF(AND(ISNUMBER($N275),$N275&gt;0,ISNUMBER($Y275)),$Y275/$N275,"")</f>
        <v/>
      </c>
    </row>
    <row r="276" customFormat="false" ht="15" hidden="false" customHeight="true" outlineLevel="0" collapsed="false">
      <c r="A276" s="441" t="n">
        <v>7</v>
      </c>
      <c r="B276" s="157" t="n">
        <v>268</v>
      </c>
      <c r="C276" s="157" t="s">
        <v>4160</v>
      </c>
      <c r="D276" s="157" t="s">
        <v>4161</v>
      </c>
      <c r="E276" s="157" t="n">
        <v>325</v>
      </c>
      <c r="F276" s="157" t="s">
        <v>2921</v>
      </c>
      <c r="G276" s="157" t="s">
        <v>2691</v>
      </c>
      <c r="H276" s="78" t="n">
        <f aca="false">Y276/J276</f>
        <v>326.103216155572</v>
      </c>
      <c r="I276" s="442" t="n">
        <v>45338</v>
      </c>
      <c r="J276" s="157" t="n">
        <v>33425</v>
      </c>
      <c r="L276" s="157" t="n">
        <v>33425</v>
      </c>
      <c r="M276" s="157" t="n">
        <v>1970</v>
      </c>
      <c r="P276" s="157" t="s">
        <v>3009</v>
      </c>
      <c r="R276" s="174" t="s">
        <v>279</v>
      </c>
      <c r="S276" s="157" t="n">
        <v>270508</v>
      </c>
      <c r="T276" s="443" t="n">
        <f aca="false">S276/L276</f>
        <v>8.09298429319372</v>
      </c>
      <c r="U276" s="157" t="s">
        <v>279</v>
      </c>
      <c r="Y276" s="80" t="n">
        <v>10900000</v>
      </c>
      <c r="AA276" s="80" t="n">
        <v>10900000</v>
      </c>
      <c r="AC276" s="157" t="s">
        <v>4162</v>
      </c>
      <c r="AD276" s="157" t="s">
        <v>4163</v>
      </c>
      <c r="AE276" s="281" t="s">
        <v>3177</v>
      </c>
      <c r="AF276" s="281" t="s">
        <v>4164</v>
      </c>
      <c r="AI276" s="157" t="e">
        <f aca="false">IF(AND($E276=Subj_OccCode,Subj_BldgSF&gt;0,ABS($L276-Subj_BldgSF)&lt;=Subj_BldgSF*Subj_SizeTol),ABS($L276-Subj_BldgSF),NA())</f>
        <v>#N/A</v>
      </c>
      <c r="AJ276" s="1" t="e">
        <f aca="false">IF(ISNA(AI276),NA(),AI276+ROW()/10000000)</f>
        <v>#N/A</v>
      </c>
      <c r="AK276" s="157" t="str">
        <f aca="false">IF(AND(ISNUMBER($N276),$N276&gt;0,ISNUMBER($Y276)),$Y276/$N276,"")</f>
        <v/>
      </c>
    </row>
    <row r="277" customFormat="false" ht="15" hidden="false" customHeight="true" outlineLevel="0" collapsed="false">
      <c r="A277" s="441" t="n">
        <v>7</v>
      </c>
      <c r="B277" s="157" t="n">
        <v>269</v>
      </c>
      <c r="C277" s="157" t="s">
        <v>4165</v>
      </c>
      <c r="D277" s="157" t="s">
        <v>4166</v>
      </c>
      <c r="E277" s="157" t="n">
        <v>425</v>
      </c>
      <c r="G277" s="157" t="s">
        <v>2691</v>
      </c>
      <c r="H277" s="78" t="n">
        <f aca="false">Y277/J277</f>
        <v>57.9710144927536</v>
      </c>
      <c r="I277" s="442" t="n">
        <v>45345</v>
      </c>
      <c r="J277" s="157" t="n">
        <v>13800</v>
      </c>
      <c r="L277" s="157" t="n">
        <v>13800</v>
      </c>
      <c r="M277" s="157" t="n">
        <v>2002</v>
      </c>
      <c r="P277" s="157" t="s">
        <v>2750</v>
      </c>
      <c r="R277" s="174" t="s">
        <v>503</v>
      </c>
      <c r="S277" s="157" t="n">
        <v>4402</v>
      </c>
      <c r="T277" s="443" t="n">
        <f aca="false">S277/L277</f>
        <v>0.318985507246377</v>
      </c>
      <c r="U277" s="157" t="s">
        <v>279</v>
      </c>
      <c r="Y277" s="80" t="n">
        <v>800000</v>
      </c>
      <c r="AA277" s="80" t="n">
        <v>800000</v>
      </c>
      <c r="AC277" s="157" t="s">
        <v>4167</v>
      </c>
      <c r="AD277" s="157" t="s">
        <v>4168</v>
      </c>
      <c r="AE277" s="281" t="s">
        <v>4169</v>
      </c>
      <c r="AF277" s="281" t="s">
        <v>4170</v>
      </c>
      <c r="AI277" s="157" t="e">
        <f aca="false">IF(AND($E277=Subj_OccCode,Subj_BldgSF&gt;0,ABS($L277-Subj_BldgSF)&lt;=Subj_BldgSF*Subj_SizeTol),ABS($L277-Subj_BldgSF),NA())</f>
        <v>#N/A</v>
      </c>
      <c r="AJ277" s="1" t="e">
        <f aca="false">IF(ISNA(AI277),NA(),AI277+ROW()/10000000)</f>
        <v>#N/A</v>
      </c>
      <c r="AK277" s="157" t="str">
        <f aca="false">IF(AND(ISNUMBER($N277),$N277&gt;0,ISNUMBER($Y277)),$Y277/$N277,"")</f>
        <v/>
      </c>
    </row>
    <row r="278" customFormat="false" ht="15" hidden="false" customHeight="true" outlineLevel="0" collapsed="false">
      <c r="A278" s="441" t="n">
        <v>7</v>
      </c>
      <c r="B278" s="157" t="n">
        <v>270</v>
      </c>
      <c r="C278" s="157" t="s">
        <v>4171</v>
      </c>
      <c r="D278" s="157" t="s">
        <v>4172</v>
      </c>
      <c r="E278" s="157" t="n">
        <v>425</v>
      </c>
      <c r="G278" s="157" t="s">
        <v>2691</v>
      </c>
      <c r="H278" s="78" t="n">
        <f aca="false">Y278/J278</f>
        <v>57.9710144927536</v>
      </c>
      <c r="I278" s="442" t="n">
        <v>45345</v>
      </c>
      <c r="J278" s="157" t="n">
        <v>13800</v>
      </c>
      <c r="L278" s="157" t="n">
        <v>13800</v>
      </c>
      <c r="M278" s="157" t="n">
        <v>2002</v>
      </c>
      <c r="P278" s="157" t="s">
        <v>2750</v>
      </c>
      <c r="R278" s="174" t="s">
        <v>503</v>
      </c>
      <c r="S278" s="157" t="n">
        <v>4402</v>
      </c>
      <c r="T278" s="443" t="n">
        <f aca="false">S278/L278</f>
        <v>0.318985507246377</v>
      </c>
      <c r="U278" s="157" t="s">
        <v>279</v>
      </c>
      <c r="Y278" s="80" t="n">
        <v>800000</v>
      </c>
      <c r="AA278" s="80" t="n">
        <v>800000</v>
      </c>
      <c r="AC278" s="157" t="s">
        <v>4173</v>
      </c>
      <c r="AD278" s="157" t="s">
        <v>4168</v>
      </c>
      <c r="AE278" s="281" t="s">
        <v>4169</v>
      </c>
      <c r="AF278" s="281" t="s">
        <v>4170</v>
      </c>
      <c r="AI278" s="157" t="e">
        <f aca="false">IF(AND($E278=Subj_OccCode,Subj_BldgSF&gt;0,ABS($L278-Subj_BldgSF)&lt;=Subj_BldgSF*Subj_SizeTol),ABS($L278-Subj_BldgSF),NA())</f>
        <v>#N/A</v>
      </c>
      <c r="AJ278" s="1" t="e">
        <f aca="false">IF(ISNA(AI278),NA(),AI278+ROW()/10000000)</f>
        <v>#N/A</v>
      </c>
      <c r="AK278" s="157" t="str">
        <f aca="false">IF(AND(ISNUMBER($N278),$N278&gt;0,ISNUMBER($Y278)),$Y278/$N278,"")</f>
        <v/>
      </c>
    </row>
    <row r="279" customFormat="false" ht="15" hidden="false" customHeight="true" outlineLevel="0" collapsed="false">
      <c r="A279" s="441" t="n">
        <v>7</v>
      </c>
      <c r="B279" s="157" t="n">
        <v>271</v>
      </c>
      <c r="C279" s="157" t="s">
        <v>4174</v>
      </c>
      <c r="D279" s="157" t="s">
        <v>4175</v>
      </c>
      <c r="E279" s="157" t="n">
        <v>1344</v>
      </c>
      <c r="F279" s="157" t="s">
        <v>2566</v>
      </c>
      <c r="G279" s="157" t="s">
        <v>2567</v>
      </c>
      <c r="H279" s="78" t="n">
        <f aca="false">Y279/J279</f>
        <v>7.17037037037037</v>
      </c>
      <c r="I279" s="442" t="n">
        <v>45394</v>
      </c>
      <c r="J279" s="157" t="n">
        <v>84375</v>
      </c>
      <c r="L279" s="157" t="n">
        <v>84375</v>
      </c>
      <c r="M279" s="157" t="n">
        <v>1984</v>
      </c>
      <c r="P279" s="157" t="s">
        <v>3569</v>
      </c>
      <c r="R279" s="174" t="s">
        <v>279</v>
      </c>
      <c r="S279" s="157" t="n">
        <v>1108</v>
      </c>
      <c r="T279" s="443" t="n">
        <f aca="false">S279/L279</f>
        <v>0.0131318518518519</v>
      </c>
      <c r="U279" s="157" t="s">
        <v>279</v>
      </c>
      <c r="Y279" s="80" t="n">
        <v>605000</v>
      </c>
      <c r="AA279" s="80" t="n">
        <v>605000</v>
      </c>
      <c r="AC279" s="157" t="s">
        <v>4176</v>
      </c>
      <c r="AD279" s="157" t="s">
        <v>4177</v>
      </c>
      <c r="AE279" s="281" t="s">
        <v>4178</v>
      </c>
      <c r="AF279" s="281" t="s">
        <v>3673</v>
      </c>
      <c r="AI279" s="157" t="e">
        <f aca="false">IF(AND($E279=Subj_OccCode,Subj_BldgSF&gt;0,ABS($L279-Subj_BldgSF)&lt;=Subj_BldgSF*Subj_SizeTol),ABS($L279-Subj_BldgSF),NA())</f>
        <v>#N/A</v>
      </c>
      <c r="AJ279" s="1" t="e">
        <f aca="false">IF(ISNA(AI279),NA(),AI279+ROW()/10000000)</f>
        <v>#N/A</v>
      </c>
      <c r="AK279" s="157" t="str">
        <f aca="false">IF(AND(ISNUMBER($N279),$N279&gt;0,ISNUMBER($Y279)),$Y279/$N279,"")</f>
        <v/>
      </c>
    </row>
    <row r="280" customFormat="false" ht="15" hidden="false" customHeight="true" outlineLevel="0" collapsed="false">
      <c r="A280" s="441" t="n">
        <v>7</v>
      </c>
      <c r="B280" s="157" t="n">
        <v>272</v>
      </c>
      <c r="C280" s="157" t="s">
        <v>4179</v>
      </c>
      <c r="D280" s="157" t="s">
        <v>4180</v>
      </c>
      <c r="E280" s="157" t="n">
        <v>1344</v>
      </c>
      <c r="F280" s="157" t="s">
        <v>2566</v>
      </c>
      <c r="G280" s="157" t="s">
        <v>2567</v>
      </c>
      <c r="H280" s="78" t="n">
        <f aca="false">Y280/J280</f>
        <v>7.17037037037037</v>
      </c>
      <c r="I280" s="442" t="n">
        <v>45394</v>
      </c>
      <c r="J280" s="157" t="n">
        <v>84375</v>
      </c>
      <c r="L280" s="157" t="n">
        <v>84375</v>
      </c>
      <c r="M280" s="157" t="n">
        <v>1984</v>
      </c>
      <c r="P280" s="157" t="s">
        <v>3569</v>
      </c>
      <c r="R280" s="174" t="s">
        <v>279</v>
      </c>
      <c r="S280" s="157" t="n">
        <v>1108</v>
      </c>
      <c r="T280" s="443" t="n">
        <f aca="false">S280/L280</f>
        <v>0.0131318518518519</v>
      </c>
      <c r="U280" s="157" t="s">
        <v>279</v>
      </c>
      <c r="Y280" s="80" t="n">
        <v>605000</v>
      </c>
      <c r="AA280" s="80" t="n">
        <v>605000</v>
      </c>
      <c r="AC280" s="157" t="s">
        <v>4181</v>
      </c>
      <c r="AD280" s="157" t="s">
        <v>4177</v>
      </c>
      <c r="AE280" s="281" t="s">
        <v>4178</v>
      </c>
      <c r="AF280" s="281" t="s">
        <v>3673</v>
      </c>
      <c r="AI280" s="157" t="e">
        <f aca="false">IF(AND($E280=Subj_OccCode,Subj_BldgSF&gt;0,ABS($L280-Subj_BldgSF)&lt;=Subj_BldgSF*Subj_SizeTol),ABS($L280-Subj_BldgSF),NA())</f>
        <v>#N/A</v>
      </c>
      <c r="AJ280" s="1" t="e">
        <f aca="false">IF(ISNA(AI280),NA(),AI280+ROW()/10000000)</f>
        <v>#N/A</v>
      </c>
      <c r="AK280" s="157" t="str">
        <f aca="false">IF(AND(ISNUMBER($N280),$N280&gt;0,ISNUMBER($Y280)),$Y280/$N280,"")</f>
        <v/>
      </c>
    </row>
    <row r="281" customFormat="false" ht="15" hidden="false" customHeight="true" outlineLevel="0" collapsed="false">
      <c r="A281" s="441" t="n">
        <v>7</v>
      </c>
      <c r="B281" s="157" t="n">
        <v>273</v>
      </c>
      <c r="C281" s="157" t="s">
        <v>4182</v>
      </c>
      <c r="D281" s="157" t="s">
        <v>4183</v>
      </c>
      <c r="E281" s="157" t="n">
        <v>344</v>
      </c>
      <c r="F281" s="157" t="s">
        <v>2677</v>
      </c>
      <c r="G281" s="157" t="s">
        <v>2567</v>
      </c>
      <c r="H281" s="78" t="n">
        <f aca="false">Y281/J281</f>
        <v>264.13921690491</v>
      </c>
      <c r="I281" s="442" t="n">
        <v>45412</v>
      </c>
      <c r="J281" s="157" t="n">
        <v>6436</v>
      </c>
      <c r="L281" s="157" t="n">
        <v>6436</v>
      </c>
      <c r="M281" s="157" t="n">
        <v>1971</v>
      </c>
      <c r="P281" s="157" t="s">
        <v>2678</v>
      </c>
      <c r="R281" s="174" t="s">
        <v>279</v>
      </c>
      <c r="S281" s="157" t="n">
        <v>37800</v>
      </c>
      <c r="T281" s="443" t="n">
        <f aca="false">S281/L281</f>
        <v>5.87321317588564</v>
      </c>
      <c r="U281" s="157" t="s">
        <v>279</v>
      </c>
      <c r="Y281" s="80" t="n">
        <v>1700000</v>
      </c>
      <c r="AA281" s="80" t="n">
        <v>1700000</v>
      </c>
      <c r="AC281" s="157" t="s">
        <v>4184</v>
      </c>
      <c r="AD281" s="157" t="s">
        <v>4185</v>
      </c>
      <c r="AE281" s="281" t="s">
        <v>4186</v>
      </c>
      <c r="AF281" s="281" t="s">
        <v>4187</v>
      </c>
      <c r="AI281" s="157" t="e">
        <f aca="false">IF(AND($E281=Subj_OccCode,Subj_BldgSF&gt;0,ABS($L281-Subj_BldgSF)&lt;=Subj_BldgSF*Subj_SizeTol),ABS($L281-Subj_BldgSF),NA())</f>
        <v>#N/A</v>
      </c>
      <c r="AJ281" s="1" t="e">
        <f aca="false">IF(ISNA(AI281),NA(),AI281+ROW()/10000000)</f>
        <v>#N/A</v>
      </c>
      <c r="AK281" s="157" t="str">
        <f aca="false">IF(AND(ISNUMBER($N281),$N281&gt;0,ISNUMBER($Y281)),$Y281/$N281,"")</f>
        <v/>
      </c>
    </row>
    <row r="282" customFormat="false" ht="15" hidden="false" customHeight="true" outlineLevel="0" collapsed="false">
      <c r="A282" s="441" t="n">
        <v>7</v>
      </c>
      <c r="B282" s="157" t="n">
        <v>274</v>
      </c>
      <c r="C282" s="157" t="s">
        <v>4188</v>
      </c>
      <c r="D282" s="157" t="s">
        <v>4189</v>
      </c>
      <c r="E282" s="157" t="n">
        <v>333</v>
      </c>
      <c r="G282" s="157" t="s">
        <v>2691</v>
      </c>
      <c r="H282" s="78" t="n">
        <f aca="false">Y282/J282</f>
        <v>205.831903945112</v>
      </c>
      <c r="I282" s="442" t="n">
        <v>45408</v>
      </c>
      <c r="J282" s="157" t="n">
        <v>5830</v>
      </c>
      <c r="L282" s="157" t="n">
        <v>5830</v>
      </c>
      <c r="M282" s="157" t="n">
        <v>2007</v>
      </c>
      <c r="P282" s="157" t="s">
        <v>2692</v>
      </c>
      <c r="R282" s="174" t="s">
        <v>279</v>
      </c>
      <c r="S282" s="157" t="n">
        <v>117612</v>
      </c>
      <c r="T282" s="443" t="n">
        <f aca="false">S282/L282</f>
        <v>20.1735849056604</v>
      </c>
      <c r="U282" s="157" t="s">
        <v>279</v>
      </c>
      <c r="Y282" s="80" t="n">
        <v>1200000</v>
      </c>
      <c r="AA282" s="80" t="n">
        <v>1200000</v>
      </c>
      <c r="AC282" s="157" t="s">
        <v>4190</v>
      </c>
      <c r="AD282" s="157" t="s">
        <v>4191</v>
      </c>
      <c r="AE282" s="281" t="s">
        <v>4192</v>
      </c>
      <c r="AF282" s="281" t="s">
        <v>4193</v>
      </c>
      <c r="AI282" s="157" t="e">
        <f aca="false">IF(AND($E282=Subj_OccCode,Subj_BldgSF&gt;0,ABS($L282-Subj_BldgSF)&lt;=Subj_BldgSF*Subj_SizeTol),ABS($L282-Subj_BldgSF),NA())</f>
        <v>#N/A</v>
      </c>
      <c r="AJ282" s="1" t="e">
        <f aca="false">IF(ISNA(AI282),NA(),AI282+ROW()/10000000)</f>
        <v>#N/A</v>
      </c>
      <c r="AK282" s="157" t="str">
        <f aca="false">IF(AND(ISNUMBER($N282),$N282&gt;0,ISNUMBER($Y282)),$Y282/$N282,"")</f>
        <v/>
      </c>
    </row>
    <row r="283" customFormat="false" ht="15" hidden="false" customHeight="true" outlineLevel="0" collapsed="false">
      <c r="A283" s="441" t="n">
        <v>7</v>
      </c>
      <c r="B283" s="157" t="n">
        <v>275</v>
      </c>
      <c r="C283" s="157" t="s">
        <v>4194</v>
      </c>
      <c r="D283" s="157" t="s">
        <v>4195</v>
      </c>
      <c r="E283" s="157" t="n">
        <v>353</v>
      </c>
      <c r="F283" s="157" t="s">
        <v>2921</v>
      </c>
      <c r="G283" s="157" t="s">
        <v>2691</v>
      </c>
      <c r="H283" s="78" t="n">
        <f aca="false">Y283/J283</f>
        <v>257.230769230769</v>
      </c>
      <c r="I283" s="442" t="n">
        <v>45415</v>
      </c>
      <c r="J283" s="157" t="n">
        <v>6500</v>
      </c>
      <c r="L283" s="157" t="n">
        <v>6500</v>
      </c>
      <c r="M283" s="157" t="n">
        <v>1954</v>
      </c>
      <c r="P283" s="157" t="s">
        <v>3022</v>
      </c>
      <c r="R283" s="174" t="s">
        <v>279</v>
      </c>
      <c r="S283" s="157" t="n">
        <v>43750</v>
      </c>
      <c r="T283" s="443" t="n">
        <f aca="false">S283/L283</f>
        <v>6.73076923076923</v>
      </c>
      <c r="U283" s="157" t="s">
        <v>279</v>
      </c>
      <c r="Y283" s="80" t="n">
        <v>1672000</v>
      </c>
      <c r="AA283" s="80" t="n">
        <v>1672000</v>
      </c>
      <c r="AC283" s="157" t="s">
        <v>4196</v>
      </c>
      <c r="AD283" s="157" t="s">
        <v>4197</v>
      </c>
      <c r="AE283" s="281" t="s">
        <v>4198</v>
      </c>
      <c r="AF283" s="281" t="s">
        <v>4199</v>
      </c>
      <c r="AI283" s="157" t="e">
        <f aca="false">IF(AND($E283=Subj_OccCode,Subj_BldgSF&gt;0,ABS($L283-Subj_BldgSF)&lt;=Subj_BldgSF*Subj_SizeTol),ABS($L283-Subj_BldgSF),NA())</f>
        <v>#N/A</v>
      </c>
      <c r="AJ283" s="1" t="e">
        <f aca="false">IF(ISNA(AI283),NA(),AI283+ROW()/10000000)</f>
        <v>#N/A</v>
      </c>
      <c r="AK283" s="157" t="str">
        <f aca="false">IF(AND(ISNUMBER($N283),$N283&gt;0,ISNUMBER($Y283)),$Y283/$N283,"")</f>
        <v/>
      </c>
    </row>
    <row r="284" customFormat="false" ht="15" hidden="false" customHeight="true" outlineLevel="0" collapsed="false">
      <c r="A284" s="441" t="n">
        <v>7</v>
      </c>
      <c r="B284" s="157" t="n">
        <v>276</v>
      </c>
      <c r="C284" s="157" t="s">
        <v>4200</v>
      </c>
      <c r="D284" s="157" t="s">
        <v>4201</v>
      </c>
      <c r="E284" s="157" t="n">
        <v>407</v>
      </c>
      <c r="F284" s="157" t="s">
        <v>2595</v>
      </c>
      <c r="G284" s="157" t="s">
        <v>2596</v>
      </c>
      <c r="H284" s="78" t="n">
        <f aca="false">Y284/J284</f>
        <v>102.619359142102</v>
      </c>
      <c r="I284" s="442" t="n">
        <v>45429</v>
      </c>
      <c r="J284" s="157" t="n">
        <v>155916</v>
      </c>
      <c r="L284" s="157" t="n">
        <v>155916</v>
      </c>
      <c r="M284" s="157" t="n">
        <v>2005</v>
      </c>
      <c r="P284" s="157" t="s">
        <v>2807</v>
      </c>
      <c r="R284" s="174" t="s">
        <v>279</v>
      </c>
      <c r="S284" s="157" t="n">
        <v>408696</v>
      </c>
      <c r="T284" s="443" t="n">
        <f aca="false">S284/L284</f>
        <v>2.62125760024629</v>
      </c>
      <c r="U284" s="157" t="s">
        <v>279</v>
      </c>
      <c r="Y284" s="80" t="n">
        <v>16000000</v>
      </c>
      <c r="AA284" s="80" t="n">
        <v>16000000</v>
      </c>
      <c r="AC284" s="157" t="s">
        <v>4202</v>
      </c>
      <c r="AD284" s="157" t="s">
        <v>4203</v>
      </c>
      <c r="AE284" s="281" t="s">
        <v>4204</v>
      </c>
      <c r="AF284" s="281" t="s">
        <v>4205</v>
      </c>
      <c r="AI284" s="157" t="e">
        <f aca="false">IF(AND($E284=Subj_OccCode,Subj_BldgSF&gt;0,ABS($L284-Subj_BldgSF)&lt;=Subj_BldgSF*Subj_SizeTol),ABS($L284-Subj_BldgSF),NA())</f>
        <v>#N/A</v>
      </c>
      <c r="AJ284" s="1" t="e">
        <f aca="false">IF(ISNA(AI284),NA(),AI284+ROW()/10000000)</f>
        <v>#N/A</v>
      </c>
      <c r="AK284" s="157" t="str">
        <f aca="false">IF(AND(ISNUMBER($N284),$N284&gt;0,ISNUMBER($Y284)),$Y284/$N284,"")</f>
        <v/>
      </c>
    </row>
    <row r="285" customFormat="false" ht="15" hidden="false" customHeight="true" outlineLevel="0" collapsed="false">
      <c r="A285" s="441" t="n">
        <v>7</v>
      </c>
      <c r="B285" s="157" t="n">
        <v>277</v>
      </c>
      <c r="C285" s="157" t="s">
        <v>4206</v>
      </c>
      <c r="D285" s="157" t="s">
        <v>4207</v>
      </c>
      <c r="E285" s="157" t="n">
        <v>349</v>
      </c>
      <c r="F285" s="157" t="s">
        <v>2677</v>
      </c>
      <c r="G285" s="157" t="s">
        <v>2567</v>
      </c>
      <c r="H285" s="78" t="n">
        <f aca="false">Y285/J285</f>
        <v>833.685992382565</v>
      </c>
      <c r="I285" s="442" t="n">
        <v>45435</v>
      </c>
      <c r="J285" s="157" t="n">
        <v>4726</v>
      </c>
      <c r="L285" s="157" t="n">
        <v>4726</v>
      </c>
      <c r="M285" s="157" t="n">
        <v>2006</v>
      </c>
      <c r="P285" s="157" t="s">
        <v>3413</v>
      </c>
      <c r="R285" s="174" t="s">
        <v>483</v>
      </c>
      <c r="S285" s="157" t="n">
        <v>55253</v>
      </c>
      <c r="T285" s="443" t="n">
        <f aca="false">S285/L285</f>
        <v>11.691282268303</v>
      </c>
      <c r="U285" s="157" t="s">
        <v>483</v>
      </c>
      <c r="Y285" s="80" t="n">
        <v>3940000</v>
      </c>
      <c r="AA285" s="80" t="n">
        <v>3940000</v>
      </c>
      <c r="AC285" s="157" t="s">
        <v>4208</v>
      </c>
      <c r="AD285" s="157" t="s">
        <v>4209</v>
      </c>
      <c r="AE285" s="281" t="s">
        <v>4210</v>
      </c>
      <c r="AF285" s="281" t="s">
        <v>4211</v>
      </c>
      <c r="AI285" s="157" t="e">
        <f aca="false">IF(AND($E285=Subj_OccCode,Subj_BldgSF&gt;0,ABS($L285-Subj_BldgSF)&lt;=Subj_BldgSF*Subj_SizeTol),ABS($L285-Subj_BldgSF),NA())</f>
        <v>#N/A</v>
      </c>
      <c r="AJ285" s="1" t="e">
        <f aca="false">IF(ISNA(AI285),NA(),AI285+ROW()/10000000)</f>
        <v>#N/A</v>
      </c>
      <c r="AK285" s="157" t="str">
        <f aca="false">IF(AND(ISNUMBER($N285),$N285&gt;0,ISNUMBER($Y285)),$Y285/$N285,"")</f>
        <v/>
      </c>
    </row>
    <row r="286" customFormat="false" ht="15" hidden="false" customHeight="true" outlineLevel="0" collapsed="false">
      <c r="A286" s="441" t="n">
        <v>7</v>
      </c>
      <c r="B286" s="157" t="n">
        <v>278</v>
      </c>
      <c r="C286" s="157" t="s">
        <v>4212</v>
      </c>
      <c r="D286" s="157" t="s">
        <v>4213</v>
      </c>
      <c r="E286" s="157" t="n">
        <v>325</v>
      </c>
      <c r="F286" s="157" t="s">
        <v>2921</v>
      </c>
      <c r="G286" s="157" t="s">
        <v>2691</v>
      </c>
      <c r="H286" s="78" t="n">
        <f aca="false">Y286/J286</f>
        <v>6382.75313659657</v>
      </c>
      <c r="I286" s="442" t="n">
        <v>45436</v>
      </c>
      <c r="J286" s="157" t="n">
        <v>11318</v>
      </c>
      <c r="L286" s="157" t="n">
        <v>11318</v>
      </c>
      <c r="M286" s="157" t="n">
        <v>2023</v>
      </c>
      <c r="R286" s="174" t="s">
        <v>279</v>
      </c>
      <c r="S286" s="157" t="n">
        <v>1151289</v>
      </c>
      <c r="T286" s="443" t="n">
        <f aca="false">S286/L286</f>
        <v>101.72194734052</v>
      </c>
      <c r="U286" s="157" t="s">
        <v>279</v>
      </c>
      <c r="Y286" s="80" t="n">
        <v>72240000</v>
      </c>
      <c r="AA286" s="80" t="n">
        <v>72240000</v>
      </c>
      <c r="AC286" s="157" t="s">
        <v>4214</v>
      </c>
      <c r="AD286" s="157" t="s">
        <v>4215</v>
      </c>
      <c r="AE286" s="281" t="s">
        <v>4216</v>
      </c>
      <c r="AF286" s="281" t="s">
        <v>4217</v>
      </c>
      <c r="AI286" s="157" t="e">
        <f aca="false">IF(AND($E286=Subj_OccCode,Subj_BldgSF&gt;0,ABS($L286-Subj_BldgSF)&lt;=Subj_BldgSF*Subj_SizeTol),ABS($L286-Subj_BldgSF),NA())</f>
        <v>#N/A</v>
      </c>
      <c r="AJ286" s="1" t="e">
        <f aca="false">IF(ISNA(AI286),NA(),AI286+ROW()/10000000)</f>
        <v>#N/A</v>
      </c>
      <c r="AK286" s="157" t="str">
        <f aca="false">IF(AND(ISNUMBER($N286),$N286&gt;0,ISNUMBER($Y286)),$Y286/$N286,"")</f>
        <v/>
      </c>
    </row>
    <row r="287" customFormat="false" ht="15" hidden="false" customHeight="true" outlineLevel="0" collapsed="false">
      <c r="A287" s="441" t="n">
        <v>7</v>
      </c>
      <c r="B287" s="157" t="n">
        <v>279</v>
      </c>
      <c r="C287" s="157" t="s">
        <v>4218</v>
      </c>
      <c r="D287" s="157" t="s">
        <v>4219</v>
      </c>
      <c r="E287" s="157" t="n">
        <v>3441</v>
      </c>
      <c r="G287" s="157" t="s">
        <v>2567</v>
      </c>
      <c r="H287" s="78" t="n">
        <f aca="false">Y287/J287</f>
        <v>356.753812636166</v>
      </c>
      <c r="I287" s="442" t="n">
        <v>45450</v>
      </c>
      <c r="J287" s="157" t="n">
        <v>1836</v>
      </c>
      <c r="L287" s="157" t="n">
        <v>1836</v>
      </c>
      <c r="M287" s="157" t="n">
        <v>1957</v>
      </c>
      <c r="P287" s="157" t="s">
        <v>2706</v>
      </c>
      <c r="R287" s="174" t="s">
        <v>279</v>
      </c>
      <c r="S287" s="157" t="n">
        <v>22416</v>
      </c>
      <c r="T287" s="443" t="n">
        <f aca="false">S287/L287</f>
        <v>12.2091503267974</v>
      </c>
      <c r="U287" s="157" t="s">
        <v>279</v>
      </c>
      <c r="Y287" s="80" t="n">
        <v>655000</v>
      </c>
      <c r="AA287" s="80" t="n">
        <v>655000</v>
      </c>
      <c r="AC287" s="157" t="s">
        <v>4220</v>
      </c>
      <c r="AD287" s="157" t="s">
        <v>4221</v>
      </c>
      <c r="AE287" s="281" t="s">
        <v>4222</v>
      </c>
      <c r="AF287" s="281" t="s">
        <v>4223</v>
      </c>
      <c r="AI287" s="157" t="e">
        <f aca="false">IF(AND($E287=Subj_OccCode,Subj_BldgSF&gt;0,ABS($L287-Subj_BldgSF)&lt;=Subj_BldgSF*Subj_SizeTol),ABS($L287-Subj_BldgSF),NA())</f>
        <v>#N/A</v>
      </c>
      <c r="AJ287" s="1" t="e">
        <f aca="false">IF(ISNA(AI287),NA(),AI287+ROW()/10000000)</f>
        <v>#N/A</v>
      </c>
      <c r="AK287" s="157" t="str">
        <f aca="false">IF(AND(ISNUMBER($N287),$N287&gt;0,ISNUMBER($Y287)),$Y287/$N287,"")</f>
        <v/>
      </c>
    </row>
    <row r="288" customFormat="false" ht="15" hidden="false" customHeight="true" outlineLevel="0" collapsed="false">
      <c r="A288" s="441" t="n">
        <v>7</v>
      </c>
      <c r="B288" s="157" t="n">
        <v>280</v>
      </c>
      <c r="C288" s="157" t="s">
        <v>4224</v>
      </c>
      <c r="D288" s="157" t="s">
        <v>4225</v>
      </c>
      <c r="E288" s="157" t="n">
        <v>303</v>
      </c>
      <c r="F288" s="157" t="s">
        <v>3272</v>
      </c>
      <c r="G288" s="157" t="s">
        <v>2567</v>
      </c>
      <c r="H288" s="78" t="n">
        <f aca="false">Y288/J288</f>
        <v>633.680555555556</v>
      </c>
      <c r="I288" s="442" t="n">
        <v>45453</v>
      </c>
      <c r="J288" s="157" t="n">
        <v>11520</v>
      </c>
      <c r="L288" s="157" t="n">
        <v>11520</v>
      </c>
      <c r="M288" s="157" t="n">
        <v>1974</v>
      </c>
      <c r="P288" s="157" t="s">
        <v>3273</v>
      </c>
      <c r="R288" s="174" t="s">
        <v>279</v>
      </c>
      <c r="S288" s="157" t="n">
        <v>199500</v>
      </c>
      <c r="T288" s="443" t="n">
        <f aca="false">S288/L288</f>
        <v>17.3177083333333</v>
      </c>
      <c r="U288" s="157" t="s">
        <v>279</v>
      </c>
      <c r="Y288" s="80" t="n">
        <v>7300000</v>
      </c>
      <c r="AA288" s="80" t="n">
        <v>7300000</v>
      </c>
      <c r="AC288" s="157" t="s">
        <v>4226</v>
      </c>
      <c r="AD288" s="157" t="s">
        <v>4227</v>
      </c>
      <c r="AE288" s="281" t="s">
        <v>4228</v>
      </c>
      <c r="AF288" s="281" t="s">
        <v>4229</v>
      </c>
      <c r="AI288" s="157" t="e">
        <f aca="false">IF(AND($E288=Subj_OccCode,Subj_BldgSF&gt;0,ABS($L288-Subj_BldgSF)&lt;=Subj_BldgSF*Subj_SizeTol),ABS($L288-Subj_BldgSF),NA())</f>
        <v>#N/A</v>
      </c>
      <c r="AJ288" s="1" t="e">
        <f aca="false">IF(ISNA(AI288),NA(),AI288+ROW()/10000000)</f>
        <v>#N/A</v>
      </c>
      <c r="AK288" s="157" t="str">
        <f aca="false">IF(AND(ISNUMBER($N288),$N288&gt;0,ISNUMBER($Y288)),$Y288/$N288,"")</f>
        <v/>
      </c>
    </row>
    <row r="289" customFormat="false" ht="15" hidden="false" customHeight="true" outlineLevel="0" collapsed="false">
      <c r="A289" s="441" t="n">
        <v>7</v>
      </c>
      <c r="B289" s="157" t="n">
        <v>281</v>
      </c>
      <c r="C289" s="157" t="s">
        <v>4230</v>
      </c>
      <c r="D289" s="157" t="s">
        <v>4231</v>
      </c>
      <c r="E289" s="157" t="n">
        <v>1332</v>
      </c>
      <c r="G289" s="157" t="s">
        <v>2691</v>
      </c>
      <c r="H289" s="78" t="n">
        <f aca="false">Y289/J289</f>
        <v>83333.3333333333</v>
      </c>
      <c r="I289" s="442" t="n">
        <v>45447</v>
      </c>
      <c r="J289" s="157" t="n">
        <v>60</v>
      </c>
      <c r="L289" s="157" t="n">
        <v>60</v>
      </c>
      <c r="M289" s="157" t="n">
        <v>1993</v>
      </c>
      <c r="P289" s="157" t="s">
        <v>2706</v>
      </c>
      <c r="R289" s="174" t="s">
        <v>279</v>
      </c>
      <c r="S289" s="157" t="n">
        <v>136935</v>
      </c>
      <c r="T289" s="443" t="n">
        <f aca="false">S289/L289</f>
        <v>2282.25</v>
      </c>
      <c r="U289" s="157" t="s">
        <v>279</v>
      </c>
      <c r="Y289" s="80" t="n">
        <v>5000000</v>
      </c>
      <c r="AA289" s="80" t="n">
        <v>5000000</v>
      </c>
      <c r="AC289" s="157" t="s">
        <v>4232</v>
      </c>
      <c r="AD289" s="157" t="s">
        <v>4233</v>
      </c>
      <c r="AE289" s="281" t="s">
        <v>4234</v>
      </c>
      <c r="AF289" s="281" t="s">
        <v>4235</v>
      </c>
      <c r="AI289" s="157" t="e">
        <f aca="false">IF(AND($E289=Subj_OccCode,Subj_BldgSF&gt;0,ABS($L289-Subj_BldgSF)&lt;=Subj_BldgSF*Subj_SizeTol),ABS($L289-Subj_BldgSF),NA())</f>
        <v>#N/A</v>
      </c>
      <c r="AJ289" s="1" t="e">
        <f aca="false">IF(ISNA(AI289),NA(),AI289+ROW()/10000000)</f>
        <v>#N/A</v>
      </c>
      <c r="AK289" s="157" t="str">
        <f aca="false">IF(AND(ISNUMBER($N289),$N289&gt;0,ISNUMBER($Y289)),$Y289/$N289,"")</f>
        <v/>
      </c>
    </row>
    <row r="290" customFormat="false" ht="15.75" hidden="false" customHeight="true" outlineLevel="0" collapsed="false">
      <c r="A290" s="441" t="n">
        <v>7</v>
      </c>
      <c r="B290" s="157" t="n">
        <v>282</v>
      </c>
      <c r="C290" s="157" t="s">
        <v>4236</v>
      </c>
      <c r="D290" s="157" t="s">
        <v>4237</v>
      </c>
      <c r="E290" s="157" t="n">
        <v>406</v>
      </c>
      <c r="F290" s="157" t="s">
        <v>2757</v>
      </c>
      <c r="G290" s="157" t="s">
        <v>2691</v>
      </c>
      <c r="H290" s="78" t="n">
        <f aca="false">Y290/J290</f>
        <v>359.007832898172</v>
      </c>
      <c r="I290" s="442" t="n">
        <v>45469</v>
      </c>
      <c r="J290" s="157" t="n">
        <v>18384</v>
      </c>
      <c r="L290" s="157" t="n">
        <v>18384</v>
      </c>
      <c r="M290" s="157" t="n">
        <v>1979</v>
      </c>
      <c r="P290" s="157" t="s">
        <v>4238</v>
      </c>
      <c r="R290" s="174" t="s">
        <v>279</v>
      </c>
      <c r="S290" s="157" t="n">
        <v>180823</v>
      </c>
      <c r="T290" s="443" t="n">
        <f aca="false">S290/L290</f>
        <v>9.83588990426458</v>
      </c>
      <c r="U290" s="157" t="s">
        <v>279</v>
      </c>
      <c r="Y290" s="80" t="n">
        <v>6600000</v>
      </c>
      <c r="AA290" s="80" t="n">
        <v>6600000</v>
      </c>
      <c r="AC290" s="157" t="s">
        <v>4239</v>
      </c>
      <c r="AD290" s="157" t="s">
        <v>4240</v>
      </c>
      <c r="AE290" s="281" t="s">
        <v>4241</v>
      </c>
      <c r="AF290" s="281" t="s">
        <v>4242</v>
      </c>
      <c r="AI290" s="157" t="e">
        <f aca="false">IF(AND($E290=Subj_OccCode,Subj_BldgSF&gt;0,ABS($L290-Subj_BldgSF)&lt;=Subj_BldgSF*Subj_SizeTol),ABS($L290-Subj_BldgSF),NA())</f>
        <v>#N/A</v>
      </c>
      <c r="AJ290" s="157" t="e">
        <f aca="false">IF(ISNA(AI290),NA(),AI290+ROW()/10000000)</f>
        <v>#N/A</v>
      </c>
    </row>
    <row r="291" customFormat="false" ht="15" hidden="false" customHeight="true" outlineLevel="0" collapsed="false">
      <c r="A291" s="441" t="n">
        <v>7</v>
      </c>
      <c r="B291" s="157" t="n">
        <v>283</v>
      </c>
      <c r="C291" s="157" t="s">
        <v>4243</v>
      </c>
      <c r="D291" s="157" t="s">
        <v>4244</v>
      </c>
      <c r="E291" s="157" t="n">
        <v>407</v>
      </c>
      <c r="F291" s="157" t="s">
        <v>2757</v>
      </c>
      <c r="G291" s="157" t="s">
        <v>2691</v>
      </c>
      <c r="H291" s="78" t="n">
        <f aca="false">Y291/J291</f>
        <v>300.480769230769</v>
      </c>
      <c r="I291" s="442" t="n">
        <v>45469</v>
      </c>
      <c r="J291" s="157" t="n">
        <v>24960</v>
      </c>
      <c r="L291" s="157" t="n">
        <v>24960</v>
      </c>
      <c r="M291" s="157" t="n">
        <v>2004</v>
      </c>
      <c r="P291" s="157" t="s">
        <v>4238</v>
      </c>
      <c r="R291" s="174" t="s">
        <v>279</v>
      </c>
      <c r="S291" s="157" t="n">
        <v>140026</v>
      </c>
      <c r="T291" s="443" t="n">
        <f aca="false">S291/L291</f>
        <v>5.61001602564103</v>
      </c>
      <c r="U291" s="157" t="s">
        <v>279</v>
      </c>
      <c r="Y291" s="80" t="n">
        <v>7500000</v>
      </c>
      <c r="AA291" s="80" t="n">
        <v>7500000</v>
      </c>
      <c r="AC291" s="157" t="s">
        <v>4245</v>
      </c>
      <c r="AD291" s="157" t="s">
        <v>4246</v>
      </c>
      <c r="AE291" s="281" t="s">
        <v>4247</v>
      </c>
      <c r="AF291" s="281" t="s">
        <v>4242</v>
      </c>
      <c r="AI291" s="157" t="e">
        <f aca="false">IF(AND($E291=Subj_OccCode,Subj_BldgSF&gt;0,ABS($L291-Subj_BldgSF)&lt;=Subj_BldgSF*Subj_SizeTol),ABS($L291-Subj_BldgSF),NA())</f>
        <v>#N/A</v>
      </c>
      <c r="AJ291" s="157" t="e">
        <f aca="false">IF(ISNA(AI291),NA(),AI291+ROW()/10000000)</f>
        <v>#N/A</v>
      </c>
    </row>
    <row r="292" customFormat="false" ht="15" hidden="false" customHeight="true" outlineLevel="0" collapsed="false">
      <c r="A292" s="441" t="n">
        <v>7</v>
      </c>
      <c r="B292" s="157" t="n">
        <v>285</v>
      </c>
      <c r="C292" s="157" t="s">
        <v>4248</v>
      </c>
      <c r="D292" s="157" t="s">
        <v>4249</v>
      </c>
      <c r="E292" s="157" t="n">
        <v>328</v>
      </c>
      <c r="G292" s="157" t="s">
        <v>352</v>
      </c>
      <c r="H292" s="78" t="n">
        <f aca="false">Y292/J292</f>
        <v>107.750170648464</v>
      </c>
      <c r="I292" s="442" t="n">
        <v>45390</v>
      </c>
      <c r="J292" s="157" t="n">
        <v>2930</v>
      </c>
      <c r="K292" s="78"/>
      <c r="L292" s="157" t="n">
        <v>2930</v>
      </c>
      <c r="M292" s="157" t="n">
        <v>2024</v>
      </c>
      <c r="R292" s="174" t="s">
        <v>279</v>
      </c>
      <c r="T292" s="443" t="n">
        <f aca="false">S292/L292</f>
        <v>0</v>
      </c>
      <c r="U292" s="157" t="s">
        <v>279</v>
      </c>
      <c r="V292" s="443"/>
      <c r="W292" s="443"/>
      <c r="X292" s="443"/>
      <c r="Y292" s="80" t="n">
        <v>315708</v>
      </c>
      <c r="Z292" s="80"/>
      <c r="AA292" s="80" t="n">
        <v>315708</v>
      </c>
      <c r="AB292" s="80"/>
      <c r="AC292" s="157" t="s">
        <v>4250</v>
      </c>
      <c r="AD292" s="157" t="s">
        <v>4251</v>
      </c>
      <c r="AE292" s="281" t="s">
        <v>3353</v>
      </c>
      <c r="AF292" s="281" t="s">
        <v>4252</v>
      </c>
      <c r="AI292" s="157" t="e">
        <f aca="false">IF(AND($E292=Subj_OccCode,Subj_BldgSF&gt;0,ABS($L292-Subj_BldgSF)&lt;=Subj_BldgSF*Subj_SizeTol),ABS($L292-Subj_BldgSF),NA())</f>
        <v>#N/A</v>
      </c>
      <c r="AJ292" s="157" t="e">
        <f aca="false">IF(ISNA(AI292),NA(),AI292+ROW()/10000000)</f>
        <v>#N/A</v>
      </c>
    </row>
    <row r="293" customFormat="false" ht="15" hidden="false" customHeight="true" outlineLevel="0" collapsed="false">
      <c r="A293" s="438" t="n">
        <v>8</v>
      </c>
      <c r="B293" s="157" t="n">
        <v>286</v>
      </c>
      <c r="C293" s="157" t="s">
        <v>4253</v>
      </c>
      <c r="D293" s="157" t="s">
        <v>4254</v>
      </c>
      <c r="E293" s="157" t="n">
        <v>353</v>
      </c>
      <c r="F293" s="157" t="s">
        <v>2921</v>
      </c>
      <c r="G293" s="157" t="s">
        <v>353</v>
      </c>
      <c r="H293" s="78" t="n">
        <f aca="false">Y293/J293</f>
        <v>156.25</v>
      </c>
      <c r="I293" s="439" t="n">
        <v>43405</v>
      </c>
      <c r="J293" s="157" t="n">
        <v>2592</v>
      </c>
      <c r="L293" s="157" t="n">
        <v>2592</v>
      </c>
      <c r="M293" s="157" t="n">
        <v>1953</v>
      </c>
      <c r="P293" s="157" t="s">
        <v>4047</v>
      </c>
      <c r="R293" s="174" t="s">
        <v>279</v>
      </c>
      <c r="S293" s="157" t="n">
        <v>7075</v>
      </c>
      <c r="T293" s="440" t="n">
        <f aca="false">S293/J293</f>
        <v>2.7295524691358</v>
      </c>
      <c r="U293" s="157" t="s">
        <v>279</v>
      </c>
      <c r="Y293" s="157" t="n">
        <v>405000</v>
      </c>
      <c r="AA293" s="157" t="n">
        <v>405000</v>
      </c>
      <c r="AC293" s="157" t="s">
        <v>4255</v>
      </c>
      <c r="AD293" s="157" t="s">
        <v>4256</v>
      </c>
      <c r="AE293" s="281" t="s">
        <v>4257</v>
      </c>
      <c r="AF293" s="281" t="s">
        <v>4258</v>
      </c>
      <c r="AI293" s="157" t="e">
        <f aca="false">IF(AND($E293=Subj_OccCode,Subj_BldgSF&gt;0,ABS($L293-Subj_BldgSF)&lt;=Subj_BldgSF*Subj_SizeTol),ABS($L293-Subj_BldgSF),NA())</f>
        <v>#N/A</v>
      </c>
      <c r="AJ293" s="157" t="e">
        <f aca="false">IF(ISNA(AI293),NA(),AI293+ROW()/10000000)</f>
        <v>#N/A</v>
      </c>
    </row>
    <row r="294" customFormat="false" ht="15" hidden="false" customHeight="true" outlineLevel="0" collapsed="false">
      <c r="A294" s="438" t="n">
        <v>8</v>
      </c>
      <c r="B294" s="157" t="n">
        <v>287</v>
      </c>
      <c r="C294" s="157" t="s">
        <v>4259</v>
      </c>
      <c r="D294" s="157" t="s">
        <v>4260</v>
      </c>
      <c r="E294" s="157" t="n">
        <v>406</v>
      </c>
      <c r="F294" s="157" t="s">
        <v>2921</v>
      </c>
      <c r="G294" s="157" t="s">
        <v>353</v>
      </c>
      <c r="H294" s="78" t="n">
        <f aca="false">Y294/J294</f>
        <v>101.449275362319</v>
      </c>
      <c r="I294" s="439" t="n">
        <v>43343</v>
      </c>
      <c r="J294" s="157" t="n">
        <v>27600</v>
      </c>
      <c r="L294" s="157" t="n">
        <v>27600</v>
      </c>
      <c r="M294" s="157" t="n">
        <v>1980</v>
      </c>
      <c r="P294" s="157" t="s">
        <v>3181</v>
      </c>
      <c r="R294" s="174" t="s">
        <v>279</v>
      </c>
      <c r="S294" s="157" t="n">
        <v>176418</v>
      </c>
      <c r="T294" s="440" t="n">
        <f aca="false">S294/J294</f>
        <v>6.39195652173913</v>
      </c>
      <c r="U294" s="157" t="s">
        <v>279</v>
      </c>
      <c r="Y294" s="157" t="n">
        <v>2800000</v>
      </c>
      <c r="AA294" s="157" t="n">
        <v>2800000</v>
      </c>
      <c r="AC294" s="157" t="s">
        <v>4261</v>
      </c>
      <c r="AD294" s="157" t="s">
        <v>4262</v>
      </c>
      <c r="AE294" s="281" t="s">
        <v>4263</v>
      </c>
      <c r="AF294" s="281" t="s">
        <v>4264</v>
      </c>
      <c r="AI294" s="157" t="e">
        <f aca="false">IF(AND($E294=Subj_OccCode,Subj_BldgSF&gt;0,ABS($L294-Subj_BldgSF)&lt;=Subj_BldgSF*Subj_SizeTol),ABS($L294-Subj_BldgSF),NA())</f>
        <v>#N/A</v>
      </c>
      <c r="AJ294" s="157" t="e">
        <f aca="false">IF(ISNA(AI294),NA(),AI294+ROW()/10000000)</f>
        <v>#N/A</v>
      </c>
    </row>
    <row r="295" customFormat="false" ht="15" hidden="false" customHeight="true" outlineLevel="0" collapsed="false">
      <c r="A295" s="438" t="n">
        <v>8</v>
      </c>
      <c r="B295" s="157" t="n">
        <v>288</v>
      </c>
      <c r="C295" s="157" t="s">
        <v>4265</v>
      </c>
      <c r="D295" s="157" t="s">
        <v>4266</v>
      </c>
      <c r="E295" s="157" t="n">
        <v>407</v>
      </c>
      <c r="F295" s="157" t="s">
        <v>2921</v>
      </c>
      <c r="G295" s="157" t="s">
        <v>2691</v>
      </c>
      <c r="H295" s="78" t="n">
        <f aca="false">Y295/J295</f>
        <v>90.7547461027937</v>
      </c>
      <c r="I295" s="439" t="n">
        <v>43684</v>
      </c>
      <c r="J295" s="157" t="n">
        <v>32395</v>
      </c>
      <c r="L295" s="157" t="n">
        <v>32395</v>
      </c>
      <c r="M295" s="157" t="n">
        <v>1984</v>
      </c>
      <c r="P295" s="157" t="s">
        <v>3009</v>
      </c>
      <c r="R295" s="174" t="s">
        <v>279</v>
      </c>
      <c r="S295" s="157" t="n">
        <v>111949</v>
      </c>
      <c r="T295" s="440" t="n">
        <f aca="false">S295/J295</f>
        <v>3.45574934403457</v>
      </c>
      <c r="U295" s="157" t="s">
        <v>279</v>
      </c>
      <c r="Y295" s="157" t="n">
        <v>2940000</v>
      </c>
      <c r="AA295" s="157" t="n">
        <v>2940000</v>
      </c>
      <c r="AC295" s="157" t="s">
        <v>4267</v>
      </c>
      <c r="AD295" s="157" t="s">
        <v>4268</v>
      </c>
      <c r="AE295" s="281" t="s">
        <v>4269</v>
      </c>
      <c r="AF295" s="281" t="s">
        <v>4270</v>
      </c>
      <c r="AI295" s="157" t="e">
        <f aca="false">IF(AND($E295=Subj_OccCode,Subj_BldgSF&gt;0,ABS($L295-Subj_BldgSF)&lt;=Subj_BldgSF*Subj_SizeTol),ABS($L295-Subj_BldgSF),NA())</f>
        <v>#N/A</v>
      </c>
      <c r="AJ295" s="157" t="e">
        <f aca="false">IF(ISNA(AI295),NA(),AI295+ROW()/10000000)</f>
        <v>#N/A</v>
      </c>
    </row>
    <row r="296" customFormat="false" ht="15" hidden="false" customHeight="true" outlineLevel="0" collapsed="false">
      <c r="A296" s="438" t="n">
        <v>8</v>
      </c>
      <c r="B296" s="157" t="n">
        <v>289</v>
      </c>
      <c r="C296" s="157" t="s">
        <v>4271</v>
      </c>
      <c r="D296" s="157" t="s">
        <v>4272</v>
      </c>
      <c r="E296" s="157" t="n">
        <v>353</v>
      </c>
      <c r="F296" s="157" t="s">
        <v>2581</v>
      </c>
      <c r="G296" s="157" t="s">
        <v>2567</v>
      </c>
      <c r="H296" s="78" t="n">
        <f aca="false">Y296/J296</f>
        <v>130.208333333333</v>
      </c>
      <c r="I296" s="439" t="n">
        <v>44439</v>
      </c>
      <c r="J296" s="157" t="n">
        <v>7680</v>
      </c>
      <c r="L296" s="157" t="n">
        <v>7680</v>
      </c>
      <c r="M296" s="157" t="n">
        <v>1966</v>
      </c>
      <c r="P296" s="157" t="s">
        <v>3047</v>
      </c>
      <c r="R296" s="174" t="s">
        <v>279</v>
      </c>
      <c r="S296" s="157" t="n">
        <v>35600</v>
      </c>
      <c r="T296" s="440" t="n">
        <f aca="false">S296/J296</f>
        <v>4.63541666666667</v>
      </c>
      <c r="U296" s="157" t="s">
        <v>279</v>
      </c>
      <c r="Y296" s="157" t="n">
        <v>1000000</v>
      </c>
      <c r="AA296" s="157" t="n">
        <v>1000000</v>
      </c>
      <c r="AC296" s="157" t="s">
        <v>4273</v>
      </c>
      <c r="AD296" s="157" t="s">
        <v>4274</v>
      </c>
      <c r="AE296" s="281" t="s">
        <v>4275</v>
      </c>
      <c r="AF296" s="281" t="s">
        <v>4276</v>
      </c>
      <c r="AI296" s="157" t="e">
        <f aca="false">IF(AND($E296=Subj_OccCode,Subj_BldgSF&gt;0,ABS($L296-Subj_BldgSF)&lt;=Subj_BldgSF*Subj_SizeTol),ABS($L296-Subj_BldgSF),NA())</f>
        <v>#N/A</v>
      </c>
      <c r="AJ296" s="157" t="e">
        <f aca="false">IF(ISNA(AI296),NA(),AI296+ROW()/10000000)</f>
        <v>#N/A</v>
      </c>
    </row>
    <row r="297" customFormat="false" ht="15" hidden="false" customHeight="true" outlineLevel="0" collapsed="false">
      <c r="A297" s="438" t="n">
        <v>8</v>
      </c>
      <c r="B297" s="157" t="n">
        <v>290</v>
      </c>
      <c r="C297" s="157" t="s">
        <v>4277</v>
      </c>
      <c r="D297" s="157" t="s">
        <v>4278</v>
      </c>
      <c r="E297" s="157" t="n">
        <v>341</v>
      </c>
      <c r="F297" s="157" t="s">
        <v>260</v>
      </c>
      <c r="G297" s="157" t="s">
        <v>353</v>
      </c>
      <c r="H297" s="78" t="n">
        <f aca="false">Y297/J297</f>
        <v>240.378787878788</v>
      </c>
      <c r="I297" s="439" t="n">
        <v>44665</v>
      </c>
      <c r="J297" s="157" t="n">
        <v>2640</v>
      </c>
      <c r="L297" s="157" t="n">
        <v>2640</v>
      </c>
      <c r="M297" s="157" t="n">
        <v>1984</v>
      </c>
      <c r="P297" s="157" t="s">
        <v>261</v>
      </c>
      <c r="R297" s="174" t="s">
        <v>279</v>
      </c>
      <c r="S297" s="157" t="n">
        <v>16500</v>
      </c>
      <c r="T297" s="440" t="n">
        <f aca="false">S297/J297</f>
        <v>6.25</v>
      </c>
      <c r="U297" s="157" t="s">
        <v>279</v>
      </c>
      <c r="Y297" s="157" t="n">
        <v>634600</v>
      </c>
      <c r="AA297" s="157" t="n">
        <v>634600</v>
      </c>
      <c r="AC297" s="157" t="s">
        <v>4279</v>
      </c>
      <c r="AD297" s="157" t="s">
        <v>4280</v>
      </c>
      <c r="AE297" s="281" t="s">
        <v>4281</v>
      </c>
      <c r="AF297" s="281" t="s">
        <v>4282</v>
      </c>
      <c r="AI297" s="157" t="e">
        <f aca="false">IF(AND($E297=Subj_OccCode,Subj_BldgSF&gt;0,ABS($L297-Subj_BldgSF)&lt;=Subj_BldgSF*Subj_SizeTol),ABS($L297-Subj_BldgSF),NA())</f>
        <v>#N/A</v>
      </c>
      <c r="AJ297" s="157" t="e">
        <f aca="false">IF(ISNA(AI297),NA(),AI297+ROW()/10000000)</f>
        <v>#N/A</v>
      </c>
    </row>
    <row r="298" customFormat="false" ht="15" hidden="false" customHeight="true" outlineLevel="0" collapsed="false">
      <c r="A298" s="438" t="n">
        <v>8</v>
      </c>
      <c r="B298" s="157" t="n">
        <v>291</v>
      </c>
      <c r="C298" s="157" t="s">
        <v>4283</v>
      </c>
      <c r="D298" s="157" t="s">
        <v>4284</v>
      </c>
      <c r="E298" s="157" t="n">
        <v>344</v>
      </c>
      <c r="G298" s="157" t="s">
        <v>2567</v>
      </c>
      <c r="H298" s="78" t="n">
        <f aca="false">Y298/J298</f>
        <v>126.139322916667</v>
      </c>
      <c r="I298" s="439" t="n">
        <v>43966</v>
      </c>
      <c r="J298" s="157" t="n">
        <v>12288</v>
      </c>
      <c r="L298" s="157" t="n">
        <v>12288</v>
      </c>
      <c r="M298" s="157" t="n">
        <v>1983</v>
      </c>
      <c r="P298" s="157" t="s">
        <v>2706</v>
      </c>
      <c r="R298" s="174" t="s">
        <v>279</v>
      </c>
      <c r="S298" s="157" t="n">
        <v>42000</v>
      </c>
      <c r="T298" s="440" t="n">
        <f aca="false">S298/J298</f>
        <v>3.41796875</v>
      </c>
      <c r="U298" s="157" t="s">
        <v>279</v>
      </c>
      <c r="Y298" s="157" t="n">
        <v>1550000</v>
      </c>
      <c r="AA298" s="157" t="n">
        <v>1550000</v>
      </c>
      <c r="AC298" s="157" t="s">
        <v>4285</v>
      </c>
      <c r="AD298" s="157" t="s">
        <v>4286</v>
      </c>
      <c r="AE298" s="281" t="s">
        <v>4287</v>
      </c>
      <c r="AF298" s="281" t="s">
        <v>4288</v>
      </c>
      <c r="AI298" s="157" t="e">
        <f aca="false">IF(AND($E298=Subj_OccCode,Subj_BldgSF&gt;0,ABS($L298-Subj_BldgSF)&lt;=Subj_BldgSF*Subj_SizeTol),ABS($L298-Subj_BldgSF),NA())</f>
        <v>#N/A</v>
      </c>
      <c r="AJ298" s="157" t="e">
        <f aca="false">IF(ISNA(AI298),NA(),AI298+ROW()/10000000)</f>
        <v>#N/A</v>
      </c>
    </row>
    <row r="299" customFormat="false" ht="15" hidden="false" customHeight="true" outlineLevel="0" collapsed="false">
      <c r="A299" s="438" t="n">
        <v>8</v>
      </c>
      <c r="B299" s="157" t="n">
        <v>292</v>
      </c>
      <c r="C299" s="157" t="s">
        <v>3436</v>
      </c>
      <c r="D299" s="157" t="s">
        <v>4289</v>
      </c>
      <c r="E299" s="157" t="n">
        <v>344</v>
      </c>
      <c r="F299" s="157" t="s">
        <v>2581</v>
      </c>
      <c r="G299" s="157" t="s">
        <v>2567</v>
      </c>
      <c r="H299" s="78" t="n">
        <f aca="false">Y299/J299</f>
        <v>151.595744680851</v>
      </c>
      <c r="I299" s="439" t="n">
        <v>43746</v>
      </c>
      <c r="J299" s="157" t="n">
        <v>1880</v>
      </c>
      <c r="L299" s="157" t="n">
        <v>1880</v>
      </c>
      <c r="M299" s="157" t="n">
        <v>1952</v>
      </c>
      <c r="P299" s="157" t="s">
        <v>2990</v>
      </c>
      <c r="R299" s="174" t="s">
        <v>279</v>
      </c>
      <c r="S299" s="157" t="n">
        <v>4800</v>
      </c>
      <c r="T299" s="440" t="n">
        <f aca="false">S299/J299</f>
        <v>2.5531914893617</v>
      </c>
      <c r="U299" s="157" t="s">
        <v>279</v>
      </c>
      <c r="Y299" s="157" t="n">
        <v>285000</v>
      </c>
      <c r="AA299" s="157" t="n">
        <v>285000</v>
      </c>
      <c r="AC299" s="157" t="s">
        <v>3438</v>
      </c>
      <c r="AD299" s="157" t="s">
        <v>4290</v>
      </c>
      <c r="AE299" s="281" t="s">
        <v>4291</v>
      </c>
      <c r="AF299" s="281" t="s">
        <v>3440</v>
      </c>
      <c r="AI299" s="157" t="e">
        <f aca="false">IF(AND($E299=Subj_OccCode,Subj_BldgSF&gt;0,ABS($L299-Subj_BldgSF)&lt;=Subj_BldgSF*Subj_SizeTol),ABS($L299-Subj_BldgSF),NA())</f>
        <v>#N/A</v>
      </c>
      <c r="AJ299" s="157" t="e">
        <f aca="false">IF(ISNA(AI299),NA(),AI299+ROW()/10000000)</f>
        <v>#N/A</v>
      </c>
    </row>
    <row r="300" customFormat="false" ht="15" hidden="false" customHeight="true" outlineLevel="0" collapsed="false">
      <c r="A300" s="438" t="n">
        <v>8</v>
      </c>
      <c r="B300" s="157" t="n">
        <v>293</v>
      </c>
      <c r="C300" s="157" t="s">
        <v>4292</v>
      </c>
      <c r="D300" s="157" t="s">
        <v>4293</v>
      </c>
      <c r="E300" s="157" t="n">
        <v>406</v>
      </c>
      <c r="G300" s="157" t="s">
        <v>2691</v>
      </c>
      <c r="H300" s="78" t="n">
        <f aca="false">Y300/J300</f>
        <v>324.22417786012</v>
      </c>
      <c r="I300" s="439" t="n">
        <v>43118</v>
      </c>
      <c r="J300" s="157" t="n">
        <v>2159</v>
      </c>
      <c r="L300" s="157" t="n">
        <v>2159</v>
      </c>
      <c r="M300" s="157" t="n">
        <v>1962</v>
      </c>
      <c r="P300" s="157" t="s">
        <v>2692</v>
      </c>
      <c r="R300" s="174" t="s">
        <v>279</v>
      </c>
      <c r="S300" s="157" t="n">
        <v>28183</v>
      </c>
      <c r="T300" s="440" t="n">
        <f aca="false">S300/J300</f>
        <v>13.0537285780454</v>
      </c>
      <c r="U300" s="157" t="s">
        <v>279</v>
      </c>
      <c r="Y300" s="157" t="n">
        <v>700000</v>
      </c>
      <c r="AA300" s="157" t="n">
        <v>700000</v>
      </c>
      <c r="AC300" s="157" t="s">
        <v>4294</v>
      </c>
      <c r="AD300" s="157" t="s">
        <v>4295</v>
      </c>
      <c r="AE300" s="281" t="s">
        <v>4296</v>
      </c>
      <c r="AF300" s="281" t="s">
        <v>4297</v>
      </c>
      <c r="AI300" s="157" t="e">
        <f aca="false">IF(AND($E300=Subj_OccCode,Subj_BldgSF&gt;0,ABS($L300-Subj_BldgSF)&lt;=Subj_BldgSF*Subj_SizeTol),ABS($L300-Subj_BldgSF),NA())</f>
        <v>#N/A</v>
      </c>
      <c r="AJ300" s="157" t="e">
        <f aca="false">IF(ISNA(AI300),NA(),AI300+ROW()/10000000)</f>
        <v>#N/A</v>
      </c>
    </row>
    <row r="301" customFormat="false" ht="15" hidden="false" customHeight="true" outlineLevel="0" collapsed="false">
      <c r="A301" s="438" t="n">
        <v>8</v>
      </c>
      <c r="B301" s="157" t="n">
        <v>294</v>
      </c>
      <c r="C301" s="157" t="s">
        <v>4194</v>
      </c>
      <c r="D301" s="157" t="s">
        <v>4298</v>
      </c>
      <c r="E301" s="157" t="n">
        <v>353</v>
      </c>
      <c r="F301" s="157" t="s">
        <v>2921</v>
      </c>
      <c r="G301" s="157" t="s">
        <v>2691</v>
      </c>
      <c r="H301" s="78" t="n">
        <f aca="false">Y301/J301</f>
        <v>146.153846153846</v>
      </c>
      <c r="I301" s="439" t="n">
        <v>44610</v>
      </c>
      <c r="J301" s="157" t="n">
        <v>6500</v>
      </c>
      <c r="L301" s="157" t="n">
        <v>6500</v>
      </c>
      <c r="M301" s="157" t="n">
        <v>1954</v>
      </c>
      <c r="P301" s="157" t="s">
        <v>3022</v>
      </c>
      <c r="R301" s="174" t="s">
        <v>279</v>
      </c>
      <c r="S301" s="157" t="n">
        <v>43750</v>
      </c>
      <c r="T301" s="440" t="n">
        <f aca="false">S301/J301</f>
        <v>6.73076923076923</v>
      </c>
      <c r="U301" s="157" t="s">
        <v>279</v>
      </c>
      <c r="Y301" s="157" t="n">
        <v>950000</v>
      </c>
      <c r="AA301" s="157" t="n">
        <v>950000</v>
      </c>
      <c r="AC301" s="157" t="s">
        <v>4196</v>
      </c>
      <c r="AD301" s="157" t="s">
        <v>4299</v>
      </c>
      <c r="AE301" s="281" t="s">
        <v>4300</v>
      </c>
      <c r="AF301" s="281" t="s">
        <v>4198</v>
      </c>
      <c r="AI301" s="157" t="e">
        <f aca="false">IF(AND($E301=Subj_OccCode,Subj_BldgSF&gt;0,ABS($L301-Subj_BldgSF)&lt;=Subj_BldgSF*Subj_SizeTol),ABS($L301-Subj_BldgSF),NA())</f>
        <v>#N/A</v>
      </c>
      <c r="AJ301" s="157" t="e">
        <f aca="false">IF(ISNA(AI301),NA(),AI301+ROW()/10000000)</f>
        <v>#N/A</v>
      </c>
    </row>
    <row r="302" customFormat="false" ht="15" hidden="false" customHeight="true" outlineLevel="0" collapsed="false">
      <c r="A302" s="438" t="n">
        <v>8</v>
      </c>
      <c r="B302" s="157" t="n">
        <v>295</v>
      </c>
      <c r="C302" s="157" t="s">
        <v>4301</v>
      </c>
      <c r="D302" s="157" t="s">
        <v>4302</v>
      </c>
      <c r="E302" s="157" t="n">
        <v>344</v>
      </c>
      <c r="F302" s="157" t="s">
        <v>2921</v>
      </c>
      <c r="G302" s="157" t="s">
        <v>2691</v>
      </c>
      <c r="H302" s="78" t="n">
        <f aca="false">Y302/J302</f>
        <v>240.384615384615</v>
      </c>
      <c r="I302" s="439" t="n">
        <v>44596</v>
      </c>
      <c r="J302" s="157" t="n">
        <v>1664</v>
      </c>
      <c r="L302" s="157" t="n">
        <v>1664</v>
      </c>
      <c r="M302" s="157" t="n">
        <v>1942</v>
      </c>
      <c r="P302" s="157" t="s">
        <v>4047</v>
      </c>
      <c r="R302" s="174" t="s">
        <v>279</v>
      </c>
      <c r="S302" s="157" t="n">
        <v>7500</v>
      </c>
      <c r="T302" s="440" t="n">
        <f aca="false">S302/J302</f>
        <v>4.50721153846154</v>
      </c>
      <c r="U302" s="157" t="s">
        <v>279</v>
      </c>
      <c r="Y302" s="157" t="n">
        <v>400000</v>
      </c>
      <c r="AA302" s="157" t="n">
        <v>400000</v>
      </c>
      <c r="AC302" s="157" t="s">
        <v>4303</v>
      </c>
      <c r="AD302" s="157" t="s">
        <v>4304</v>
      </c>
      <c r="AE302" s="281" t="s">
        <v>4300</v>
      </c>
      <c r="AF302" s="281" t="s">
        <v>4305</v>
      </c>
      <c r="AI302" s="157" t="e">
        <f aca="false">IF(AND($E302=Subj_OccCode,Subj_BldgSF&gt;0,ABS($L302-Subj_BldgSF)&lt;=Subj_BldgSF*Subj_SizeTol),ABS($L302-Subj_BldgSF),NA())</f>
        <v>#N/A</v>
      </c>
      <c r="AJ302" s="157" t="e">
        <f aca="false">IF(ISNA(AI302),NA(),AI302+ROW()/10000000)</f>
        <v>#N/A</v>
      </c>
    </row>
    <row r="303" customFormat="false" ht="15" hidden="false" customHeight="true" outlineLevel="0" collapsed="false">
      <c r="A303" s="438" t="n">
        <v>8</v>
      </c>
      <c r="B303" s="157" t="n">
        <v>296</v>
      </c>
      <c r="C303" s="157" t="s">
        <v>4306</v>
      </c>
      <c r="D303" s="157" t="s">
        <v>4307</v>
      </c>
      <c r="E303" s="157" t="n">
        <v>444</v>
      </c>
      <c r="F303" s="157" t="s">
        <v>2677</v>
      </c>
      <c r="G303" s="157" t="s">
        <v>2567</v>
      </c>
      <c r="H303" s="78" t="n">
        <f aca="false">Y303/J303</f>
        <v>190.674293638412</v>
      </c>
      <c r="I303" s="439" t="n">
        <v>44075</v>
      </c>
      <c r="J303" s="157" t="n">
        <v>5769</v>
      </c>
      <c r="L303" s="157" t="n">
        <v>5769</v>
      </c>
      <c r="M303" s="157" t="n">
        <v>1986</v>
      </c>
      <c r="P303" s="157" t="s">
        <v>3413</v>
      </c>
      <c r="R303" s="174" t="s">
        <v>483</v>
      </c>
      <c r="S303" s="157" t="n">
        <v>42194</v>
      </c>
      <c r="T303" s="440" t="n">
        <f aca="false">S303/J303</f>
        <v>7.3139192234356</v>
      </c>
      <c r="U303" s="157" t="s">
        <v>483</v>
      </c>
      <c r="Y303" s="157" t="n">
        <v>1100000</v>
      </c>
      <c r="AA303" s="157" t="n">
        <v>1100000</v>
      </c>
      <c r="AC303" s="157" t="s">
        <v>4308</v>
      </c>
      <c r="AD303" s="157" t="s">
        <v>4309</v>
      </c>
      <c r="AE303" s="281" t="s">
        <v>4310</v>
      </c>
      <c r="AF303" s="281" t="s">
        <v>4311</v>
      </c>
      <c r="AI303" s="157" t="e">
        <f aca="false">IF(AND($E303=Subj_OccCode,Subj_BldgSF&gt;0,ABS($L303-Subj_BldgSF)&lt;=Subj_BldgSF*Subj_SizeTol),ABS($L303-Subj_BldgSF),NA())</f>
        <v>#N/A</v>
      </c>
      <c r="AJ303" s="157" t="e">
        <f aca="false">IF(ISNA(AI303),NA(),AI303+ROW()/10000000)</f>
        <v>#N/A</v>
      </c>
    </row>
    <row r="304" customFormat="false" ht="15" hidden="false" customHeight="true" outlineLevel="0" collapsed="false">
      <c r="A304" s="438" t="n">
        <v>8</v>
      </c>
      <c r="B304" s="157" t="n">
        <v>297</v>
      </c>
      <c r="C304" s="157" t="s">
        <v>4312</v>
      </c>
      <c r="D304" s="157" t="s">
        <v>4313</v>
      </c>
      <c r="E304" s="157" t="n">
        <v>334</v>
      </c>
      <c r="G304" s="157" t="s">
        <v>2691</v>
      </c>
      <c r="H304" s="78" t="n">
        <f aca="false">Y304/J304</f>
        <v>192.378378378378</v>
      </c>
      <c r="I304" s="439" t="n">
        <v>43544</v>
      </c>
      <c r="J304" s="157" t="n">
        <v>9250</v>
      </c>
      <c r="L304" s="157" t="n">
        <v>9250</v>
      </c>
      <c r="M304" s="157" t="n">
        <v>1976</v>
      </c>
      <c r="P304" s="157" t="s">
        <v>2692</v>
      </c>
      <c r="R304" s="174" t="s">
        <v>279</v>
      </c>
      <c r="S304" s="157" t="n">
        <v>46384</v>
      </c>
      <c r="T304" s="440" t="n">
        <f aca="false">S304/J304</f>
        <v>5.01448648648649</v>
      </c>
      <c r="U304" s="157" t="s">
        <v>279</v>
      </c>
      <c r="Y304" s="157" t="n">
        <v>1779500</v>
      </c>
      <c r="AA304" s="157" t="n">
        <v>1779500</v>
      </c>
      <c r="AC304" s="157" t="s">
        <v>4314</v>
      </c>
      <c r="AD304" s="157" t="s">
        <v>4315</v>
      </c>
      <c r="AE304" s="281" t="s">
        <v>4316</v>
      </c>
      <c r="AF304" s="281" t="s">
        <v>4317</v>
      </c>
      <c r="AI304" s="157" t="e">
        <f aca="false">IF(AND($E304=Subj_OccCode,Subj_BldgSF&gt;0,ABS($L304-Subj_BldgSF)&lt;=Subj_BldgSF*Subj_SizeTol),ABS($L304-Subj_BldgSF),NA())</f>
        <v>#N/A</v>
      </c>
      <c r="AJ304" s="157" t="e">
        <f aca="false">IF(ISNA(AI304),NA(),AI304+ROW()/10000000)</f>
        <v>#N/A</v>
      </c>
    </row>
    <row r="305" customFormat="false" ht="15" hidden="false" customHeight="true" outlineLevel="0" collapsed="false">
      <c r="A305" s="438" t="n">
        <v>8</v>
      </c>
      <c r="B305" s="157" t="n">
        <v>298</v>
      </c>
      <c r="C305" s="157" t="s">
        <v>4318</v>
      </c>
      <c r="D305" s="157" t="s">
        <v>4319</v>
      </c>
      <c r="E305" s="157" t="n">
        <v>407</v>
      </c>
      <c r="G305" s="157" t="s">
        <v>2691</v>
      </c>
      <c r="H305" s="78" t="n">
        <f aca="false">Y305/J305</f>
        <v>208.333333333333</v>
      </c>
      <c r="I305" s="439" t="n">
        <v>44456</v>
      </c>
      <c r="J305" s="157" t="n">
        <v>12000</v>
      </c>
      <c r="L305" s="157" t="n">
        <v>12000</v>
      </c>
      <c r="M305" s="157" t="n">
        <v>1977</v>
      </c>
      <c r="P305" s="157" t="s">
        <v>2692</v>
      </c>
      <c r="R305" s="174" t="s">
        <v>279</v>
      </c>
      <c r="S305" s="157" t="n">
        <v>34848</v>
      </c>
      <c r="T305" s="440" t="n">
        <f aca="false">S305/J305</f>
        <v>2.904</v>
      </c>
      <c r="U305" s="157" t="s">
        <v>279</v>
      </c>
      <c r="Y305" s="157" t="n">
        <v>2500000</v>
      </c>
      <c r="AA305" s="157" t="n">
        <v>2500000</v>
      </c>
      <c r="AC305" s="157" t="s">
        <v>4320</v>
      </c>
      <c r="AD305" s="157" t="s">
        <v>4321</v>
      </c>
      <c r="AE305" s="281" t="s">
        <v>4322</v>
      </c>
      <c r="AF305" s="281" t="s">
        <v>4323</v>
      </c>
      <c r="AI305" s="157" t="e">
        <f aca="false">IF(AND($E305=Subj_OccCode,Subj_BldgSF&gt;0,ABS($L305-Subj_BldgSF)&lt;=Subj_BldgSF*Subj_SizeTol),ABS($L305-Subj_BldgSF),NA())</f>
        <v>#N/A</v>
      </c>
      <c r="AJ305" s="157" t="e">
        <f aca="false">IF(ISNA(AI305),NA(),AI305+ROW()/10000000)</f>
        <v>#N/A</v>
      </c>
    </row>
    <row r="306" customFormat="false" ht="15" hidden="false" customHeight="true" outlineLevel="0" collapsed="false">
      <c r="A306" s="438" t="n">
        <v>8</v>
      </c>
      <c r="B306" s="157" t="n">
        <v>299</v>
      </c>
      <c r="C306" s="157" t="s">
        <v>4006</v>
      </c>
      <c r="D306" s="157" t="s">
        <v>4324</v>
      </c>
      <c r="E306" s="157" t="n">
        <v>434</v>
      </c>
      <c r="F306" s="157" t="s">
        <v>2566</v>
      </c>
      <c r="G306" s="157" t="s">
        <v>2567</v>
      </c>
      <c r="H306" s="78" t="n">
        <f aca="false">Y306/J306</f>
        <v>130.833333333333</v>
      </c>
      <c r="I306" s="439" t="n">
        <v>43189</v>
      </c>
      <c r="J306" s="157" t="n">
        <v>2640</v>
      </c>
      <c r="L306" s="157" t="n">
        <v>2640</v>
      </c>
      <c r="M306" s="157" t="n">
        <v>1970</v>
      </c>
      <c r="P306" s="157" t="s">
        <v>4325</v>
      </c>
      <c r="R306" s="174" t="s">
        <v>279</v>
      </c>
      <c r="S306" s="157" t="n">
        <v>26550</v>
      </c>
      <c r="T306" s="440" t="n">
        <f aca="false">S306/J306</f>
        <v>10.0568181818182</v>
      </c>
      <c r="U306" s="157" t="s">
        <v>279</v>
      </c>
      <c r="Y306" s="157" t="n">
        <v>345400</v>
      </c>
      <c r="AA306" s="157" t="n">
        <v>345400</v>
      </c>
      <c r="AC306" s="157" t="s">
        <v>4008</v>
      </c>
      <c r="AD306" s="157" t="s">
        <v>4326</v>
      </c>
      <c r="AE306" s="281" t="s">
        <v>4327</v>
      </c>
      <c r="AF306" s="281" t="s">
        <v>4010</v>
      </c>
      <c r="AI306" s="157" t="e">
        <f aca="false">IF(AND($E306=Subj_OccCode,Subj_BldgSF&gt;0,ABS($L306-Subj_BldgSF)&lt;=Subj_BldgSF*Subj_SizeTol),ABS($L306-Subj_BldgSF),NA())</f>
        <v>#N/A</v>
      </c>
      <c r="AJ306" s="157" t="e">
        <f aca="false">IF(ISNA(AI306),NA(),AI306+ROW()/10000000)</f>
        <v>#N/A</v>
      </c>
    </row>
    <row r="307" customFormat="false" ht="15" hidden="false" customHeight="true" outlineLevel="0" collapsed="false">
      <c r="A307" s="438" t="n">
        <v>8</v>
      </c>
      <c r="B307" s="157" t="n">
        <v>300</v>
      </c>
      <c r="C307" s="157" t="s">
        <v>4328</v>
      </c>
      <c r="D307" s="157" t="s">
        <v>4329</v>
      </c>
      <c r="E307" s="157" t="n">
        <v>210</v>
      </c>
      <c r="F307" s="157" t="s">
        <v>2677</v>
      </c>
      <c r="G307" s="157" t="s">
        <v>354</v>
      </c>
      <c r="H307" s="78" t="n">
        <f aca="false">Y307/J307</f>
        <v>258.514986376022</v>
      </c>
      <c r="I307" s="439" t="n">
        <v>44706</v>
      </c>
      <c r="J307" s="157" t="n">
        <v>14680</v>
      </c>
      <c r="L307" s="157" t="n">
        <v>14680</v>
      </c>
      <c r="M307" s="157" t="n">
        <v>1998</v>
      </c>
      <c r="P307" s="157" t="s">
        <v>1952</v>
      </c>
      <c r="R307" s="174" t="s">
        <v>279</v>
      </c>
      <c r="S307" s="157" t="n">
        <v>86945</v>
      </c>
      <c r="T307" s="440" t="n">
        <f aca="false">S307/J307</f>
        <v>5.92268392370572</v>
      </c>
      <c r="U307" s="157" t="s">
        <v>279</v>
      </c>
      <c r="Y307" s="157" t="n">
        <v>3795000</v>
      </c>
      <c r="AA307" s="157" t="n">
        <v>3795000</v>
      </c>
      <c r="AC307" s="157" t="s">
        <v>4330</v>
      </c>
      <c r="AD307" s="157" t="s">
        <v>4331</v>
      </c>
      <c r="AE307" s="281" t="s">
        <v>4332</v>
      </c>
      <c r="AF307" s="281" t="s">
        <v>4333</v>
      </c>
      <c r="AI307" s="157" t="e">
        <f aca="false">IF(AND($E307=Subj_OccCode,Subj_BldgSF&gt;0,ABS($L307-Subj_BldgSF)&lt;=Subj_BldgSF*Subj_SizeTol),ABS($L307-Subj_BldgSF),NA())</f>
        <v>#N/A</v>
      </c>
      <c r="AJ307" s="157" t="e">
        <f aca="false">IF(ISNA(AI307),NA(),AI307+ROW()/10000000)</f>
        <v>#N/A</v>
      </c>
    </row>
    <row r="308" customFormat="false" ht="15" hidden="false" customHeight="true" outlineLevel="0" collapsed="false">
      <c r="A308" s="438" t="n">
        <v>8</v>
      </c>
      <c r="B308" s="157" t="n">
        <v>301</v>
      </c>
      <c r="C308" s="157" t="s">
        <v>3460</v>
      </c>
      <c r="D308" s="157" t="s">
        <v>4334</v>
      </c>
      <c r="E308" s="157" t="n">
        <v>425</v>
      </c>
      <c r="G308" s="157" t="s">
        <v>2691</v>
      </c>
      <c r="H308" s="78" t="n">
        <f aca="false">Y308/J308</f>
        <v>143.333333333333</v>
      </c>
      <c r="I308" s="439" t="n">
        <v>43144</v>
      </c>
      <c r="J308" s="157" t="n">
        <v>1500</v>
      </c>
      <c r="L308" s="157" t="n">
        <v>1500</v>
      </c>
      <c r="M308" s="157" t="n">
        <v>1984</v>
      </c>
      <c r="P308" s="157" t="s">
        <v>2692</v>
      </c>
      <c r="R308" s="174" t="s">
        <v>279</v>
      </c>
      <c r="S308" s="157" t="n">
        <v>4340</v>
      </c>
      <c r="T308" s="440" t="n">
        <f aca="false">S308/J308</f>
        <v>2.89333333333333</v>
      </c>
      <c r="U308" s="157" t="s">
        <v>279</v>
      </c>
      <c r="Y308" s="157" t="n">
        <v>215000</v>
      </c>
      <c r="AA308" s="157" t="n">
        <v>215000</v>
      </c>
      <c r="AC308" s="157" t="s">
        <v>3462</v>
      </c>
      <c r="AD308" s="157" t="s">
        <v>4335</v>
      </c>
      <c r="AE308" s="281" t="s">
        <v>4336</v>
      </c>
      <c r="AF308" s="281" t="s">
        <v>4337</v>
      </c>
      <c r="AI308" s="157" t="e">
        <f aca="false">IF(AND($E308=Subj_OccCode,Subj_BldgSF&gt;0,ABS($L308-Subj_BldgSF)&lt;=Subj_BldgSF*Subj_SizeTol),ABS($L308-Subj_BldgSF),NA())</f>
        <v>#N/A</v>
      </c>
      <c r="AJ308" s="157" t="e">
        <f aca="false">IF(ISNA(AI308),NA(),AI308+ROW()/10000000)</f>
        <v>#N/A</v>
      </c>
    </row>
    <row r="309" customFormat="false" ht="15" hidden="false" customHeight="true" outlineLevel="0" collapsed="false">
      <c r="A309" s="438" t="n">
        <v>8</v>
      </c>
      <c r="B309" s="157" t="n">
        <v>302</v>
      </c>
      <c r="C309" s="157" t="s">
        <v>3460</v>
      </c>
      <c r="D309" s="157" t="s">
        <v>4338</v>
      </c>
      <c r="E309" s="157" t="n">
        <v>425</v>
      </c>
      <c r="G309" s="157" t="s">
        <v>2691</v>
      </c>
      <c r="H309" s="78" t="n">
        <f aca="false">Y309/J309</f>
        <v>193.333333333333</v>
      </c>
      <c r="I309" s="439" t="n">
        <v>44270</v>
      </c>
      <c r="J309" s="157" t="n">
        <v>1500</v>
      </c>
      <c r="L309" s="157" t="n">
        <v>1500</v>
      </c>
      <c r="M309" s="157" t="n">
        <v>1984</v>
      </c>
      <c r="P309" s="157" t="s">
        <v>2692</v>
      </c>
      <c r="R309" s="174" t="s">
        <v>279</v>
      </c>
      <c r="S309" s="157" t="n">
        <v>4340</v>
      </c>
      <c r="T309" s="440" t="n">
        <f aca="false">S309/J309</f>
        <v>2.89333333333333</v>
      </c>
      <c r="U309" s="157" t="s">
        <v>279</v>
      </c>
      <c r="Y309" s="157" t="n">
        <v>290000</v>
      </c>
      <c r="AA309" s="157" t="n">
        <v>290000</v>
      </c>
      <c r="AC309" s="157" t="s">
        <v>3462</v>
      </c>
      <c r="AD309" s="157" t="s">
        <v>4339</v>
      </c>
      <c r="AE309" s="281" t="s">
        <v>4340</v>
      </c>
      <c r="AF309" s="281" t="s">
        <v>3464</v>
      </c>
      <c r="AI309" s="157" t="e">
        <f aca="false">IF(AND($E309=Subj_OccCode,Subj_BldgSF&gt;0,ABS($L309-Subj_BldgSF)&lt;=Subj_BldgSF*Subj_SizeTol),ABS($L309-Subj_BldgSF),NA())</f>
        <v>#N/A</v>
      </c>
      <c r="AJ309" s="157" t="e">
        <f aca="false">IF(ISNA(AI309),NA(),AI309+ROW()/10000000)</f>
        <v>#N/A</v>
      </c>
    </row>
    <row r="310" customFormat="false" ht="15" hidden="false" customHeight="true" outlineLevel="0" collapsed="false">
      <c r="A310" s="438" t="n">
        <v>8</v>
      </c>
      <c r="B310" s="157" t="n">
        <v>303</v>
      </c>
      <c r="C310" s="157" t="s">
        <v>4341</v>
      </c>
      <c r="D310" s="157" t="s">
        <v>4342</v>
      </c>
      <c r="E310" s="157" t="n">
        <v>353</v>
      </c>
      <c r="F310" s="157" t="s">
        <v>260</v>
      </c>
      <c r="G310" s="157" t="s">
        <v>353</v>
      </c>
      <c r="H310" s="78" t="n">
        <f aca="false">Y310/J310</f>
        <v>308.035714285714</v>
      </c>
      <c r="I310" s="439" t="n">
        <v>44648</v>
      </c>
      <c r="J310" s="157" t="n">
        <v>1120</v>
      </c>
      <c r="L310" s="157" t="n">
        <v>1120</v>
      </c>
      <c r="M310" s="157" t="n">
        <v>1913</v>
      </c>
      <c r="P310" s="157" t="s">
        <v>3265</v>
      </c>
      <c r="R310" s="174" t="s">
        <v>279</v>
      </c>
      <c r="S310" s="157" t="n">
        <v>8100</v>
      </c>
      <c r="T310" s="440" t="n">
        <f aca="false">S310/J310</f>
        <v>7.23214285714286</v>
      </c>
      <c r="U310" s="157" t="s">
        <v>279</v>
      </c>
      <c r="Y310" s="157" t="n">
        <v>345000</v>
      </c>
      <c r="AA310" s="157" t="n">
        <v>345000</v>
      </c>
      <c r="AC310" s="157" t="s">
        <v>4343</v>
      </c>
      <c r="AD310" s="157" t="s">
        <v>4344</v>
      </c>
      <c r="AE310" s="281" t="s">
        <v>4345</v>
      </c>
      <c r="AF310" s="281" t="s">
        <v>4346</v>
      </c>
      <c r="AI310" s="157" t="e">
        <f aca="false">IF(AND($E310=Subj_OccCode,Subj_BldgSF&gt;0,ABS($L310-Subj_BldgSF)&lt;=Subj_BldgSF*Subj_SizeTol),ABS($L310-Subj_BldgSF),NA())</f>
        <v>#N/A</v>
      </c>
      <c r="AJ310" s="157" t="e">
        <f aca="false">IF(ISNA(AI310),NA(),AI310+ROW()/10000000)</f>
        <v>#N/A</v>
      </c>
    </row>
    <row r="311" customFormat="false" ht="15" hidden="false" customHeight="true" outlineLevel="0" collapsed="false">
      <c r="A311" s="438" t="n">
        <v>8</v>
      </c>
      <c r="B311" s="157" t="n">
        <v>304</v>
      </c>
      <c r="C311" s="157" t="s">
        <v>4347</v>
      </c>
      <c r="D311" s="157" t="s">
        <v>4348</v>
      </c>
      <c r="E311" s="157" t="n">
        <v>353</v>
      </c>
      <c r="G311" s="157" t="s">
        <v>2567</v>
      </c>
      <c r="H311" s="78" t="n">
        <f aca="false">Y311/J311</f>
        <v>132.231404958678</v>
      </c>
      <c r="I311" s="439" t="n">
        <v>43705</v>
      </c>
      <c r="J311" s="157" t="n">
        <v>3025</v>
      </c>
      <c r="L311" s="157" t="n">
        <v>3025</v>
      </c>
      <c r="M311" s="157" t="n">
        <v>1974</v>
      </c>
      <c r="P311" s="157" t="s">
        <v>4349</v>
      </c>
      <c r="R311" s="174" t="s">
        <v>279</v>
      </c>
      <c r="S311" s="157" t="n">
        <v>12100</v>
      </c>
      <c r="T311" s="440" t="n">
        <f aca="false">S311/J311</f>
        <v>4</v>
      </c>
      <c r="U311" s="157" t="s">
        <v>279</v>
      </c>
      <c r="Y311" s="157" t="n">
        <v>400000</v>
      </c>
      <c r="AA311" s="157" t="n">
        <v>400000</v>
      </c>
      <c r="AC311" s="157" t="s">
        <v>4350</v>
      </c>
      <c r="AD311" s="157" t="s">
        <v>4351</v>
      </c>
      <c r="AE311" s="281" t="s">
        <v>4352</v>
      </c>
      <c r="AF311" s="281" t="s">
        <v>4353</v>
      </c>
      <c r="AI311" s="157" t="e">
        <f aca="false">IF(AND($E311=Subj_OccCode,Subj_BldgSF&gt;0,ABS($L311-Subj_BldgSF)&lt;=Subj_BldgSF*Subj_SizeTol),ABS($L311-Subj_BldgSF),NA())</f>
        <v>#N/A</v>
      </c>
      <c r="AJ311" s="157" t="e">
        <f aca="false">IF(ISNA(AI311),NA(),AI311+ROW()/10000000)</f>
        <v>#N/A</v>
      </c>
    </row>
    <row r="312" customFormat="false" ht="15" hidden="false" customHeight="true" outlineLevel="0" collapsed="false">
      <c r="A312" s="438" t="n">
        <v>8</v>
      </c>
      <c r="B312" s="157" t="n">
        <v>305</v>
      </c>
      <c r="C312" s="157" t="s">
        <v>4354</v>
      </c>
      <c r="D312" s="157" t="s">
        <v>4355</v>
      </c>
      <c r="E312" s="157" t="n">
        <v>325</v>
      </c>
      <c r="G312" s="157" t="s">
        <v>2691</v>
      </c>
      <c r="H312" s="78" t="n">
        <f aca="false">Y312/J312</f>
        <v>122.222222222222</v>
      </c>
      <c r="I312" s="439" t="n">
        <v>43587</v>
      </c>
      <c r="J312" s="157" t="n">
        <v>9000</v>
      </c>
      <c r="L312" s="157" t="n">
        <v>9000</v>
      </c>
      <c r="M312" s="157" t="n">
        <v>1981</v>
      </c>
      <c r="R312" s="174" t="s">
        <v>279</v>
      </c>
      <c r="S312" s="157" t="n">
        <v>30099.96</v>
      </c>
      <c r="T312" s="440" t="n">
        <f aca="false">S312/J312</f>
        <v>3.34444</v>
      </c>
      <c r="U312" s="157" t="s">
        <v>279</v>
      </c>
      <c r="Y312" s="157" t="n">
        <v>1100000</v>
      </c>
      <c r="AA312" s="157" t="n">
        <v>1100000</v>
      </c>
      <c r="AC312" s="157" t="s">
        <v>4356</v>
      </c>
      <c r="AD312" s="157" t="s">
        <v>4357</v>
      </c>
      <c r="AE312" s="281" t="s">
        <v>4358</v>
      </c>
      <c r="AF312" s="281" t="s">
        <v>4359</v>
      </c>
      <c r="AI312" s="157" t="e">
        <f aca="false">IF(AND($E312=Subj_OccCode,Subj_BldgSF&gt;0,ABS($L312-Subj_BldgSF)&lt;=Subj_BldgSF*Subj_SizeTol),ABS($L312-Subj_BldgSF),NA())</f>
        <v>#N/A</v>
      </c>
      <c r="AJ312" s="157" t="e">
        <f aca="false">IF(ISNA(AI312),NA(),AI312+ROW()/10000000)</f>
        <v>#N/A</v>
      </c>
    </row>
    <row r="313" customFormat="false" ht="15" hidden="false" customHeight="true" outlineLevel="0" collapsed="false">
      <c r="A313" s="438" t="n">
        <v>8</v>
      </c>
      <c r="B313" s="157" t="n">
        <v>306</v>
      </c>
      <c r="C313" s="157" t="s">
        <v>4360</v>
      </c>
      <c r="D313" s="157" t="s">
        <v>4361</v>
      </c>
      <c r="E313" s="157" t="n">
        <v>353</v>
      </c>
      <c r="F313" s="157" t="s">
        <v>260</v>
      </c>
      <c r="G313" s="157" t="s">
        <v>353</v>
      </c>
      <c r="H313" s="78" t="n">
        <f aca="false">Y313/J313</f>
        <v>183.846153846154</v>
      </c>
      <c r="I313" s="439" t="n">
        <v>44176</v>
      </c>
      <c r="J313" s="157" t="n">
        <v>3900</v>
      </c>
      <c r="L313" s="157" t="n">
        <v>3900</v>
      </c>
      <c r="M313" s="157" t="n">
        <v>1897</v>
      </c>
      <c r="P313" s="157" t="s">
        <v>3265</v>
      </c>
      <c r="R313" s="174" t="s">
        <v>279</v>
      </c>
      <c r="S313" s="157" t="n">
        <v>10000</v>
      </c>
      <c r="T313" s="440" t="n">
        <f aca="false">S313/J313</f>
        <v>2.56410256410256</v>
      </c>
      <c r="U313" s="157" t="s">
        <v>483</v>
      </c>
      <c r="Y313" s="157" t="n">
        <v>717000</v>
      </c>
      <c r="AA313" s="157" t="n">
        <v>717000</v>
      </c>
      <c r="AC313" s="157" t="s">
        <v>4362</v>
      </c>
      <c r="AD313" s="157" t="s">
        <v>4363</v>
      </c>
      <c r="AE313" s="281" t="s">
        <v>4364</v>
      </c>
      <c r="AF313" s="281" t="s">
        <v>4365</v>
      </c>
      <c r="AI313" s="157" t="e">
        <f aca="false">IF(AND($E313=Subj_OccCode,Subj_BldgSF&gt;0,ABS($L313-Subj_BldgSF)&lt;=Subj_BldgSF*Subj_SizeTol),ABS($L313-Subj_BldgSF),NA())</f>
        <v>#N/A</v>
      </c>
      <c r="AJ313" s="157" t="e">
        <f aca="false">IF(ISNA(AI313),NA(),AI313+ROW()/10000000)</f>
        <v>#N/A</v>
      </c>
    </row>
    <row r="314" customFormat="false" ht="15" hidden="false" customHeight="true" outlineLevel="0" collapsed="false">
      <c r="A314" s="438" t="n">
        <v>8</v>
      </c>
      <c r="B314" s="157" t="n">
        <v>307</v>
      </c>
      <c r="C314" s="157" t="s">
        <v>4366</v>
      </c>
      <c r="D314" s="157" t="s">
        <v>4367</v>
      </c>
      <c r="E314" s="157" t="n">
        <v>344</v>
      </c>
      <c r="F314" s="157" t="s">
        <v>2677</v>
      </c>
      <c r="G314" s="157" t="s">
        <v>2567</v>
      </c>
      <c r="H314" s="78" t="n">
        <f aca="false">Y314/J314</f>
        <v>94.3445264580518</v>
      </c>
      <c r="I314" s="439" t="n">
        <v>43199</v>
      </c>
      <c r="J314" s="157" t="n">
        <v>96190</v>
      </c>
      <c r="L314" s="157" t="n">
        <v>96190</v>
      </c>
      <c r="M314" s="157" t="n">
        <v>1985</v>
      </c>
      <c r="P314" s="157" t="s">
        <v>4368</v>
      </c>
      <c r="R314" s="174" t="s">
        <v>483</v>
      </c>
      <c r="S314" s="157" t="n">
        <v>49833</v>
      </c>
      <c r="T314" s="440" t="n">
        <f aca="false">S314/J314</f>
        <v>0.518068406279239</v>
      </c>
      <c r="U314" s="157" t="s">
        <v>279</v>
      </c>
      <c r="Y314" s="157" t="n">
        <v>9075000</v>
      </c>
      <c r="AA314" s="157" t="n">
        <v>9075000</v>
      </c>
      <c r="AC314" s="157" t="s">
        <v>4369</v>
      </c>
      <c r="AD314" s="157" t="s">
        <v>4370</v>
      </c>
      <c r="AE314" s="281" t="s">
        <v>4371</v>
      </c>
      <c r="AF314" s="281" t="s">
        <v>4372</v>
      </c>
      <c r="AI314" s="157" t="e">
        <f aca="false">IF(AND($E314=Subj_OccCode,Subj_BldgSF&gt;0,ABS($L314-Subj_BldgSF)&lt;=Subj_BldgSF*Subj_SizeTol),ABS($L314-Subj_BldgSF),NA())</f>
        <v>#N/A</v>
      </c>
      <c r="AJ314" s="157" t="e">
        <f aca="false">IF(ISNA(AI314),NA(),AI314+ROW()/10000000)</f>
        <v>#N/A</v>
      </c>
    </row>
    <row r="315" customFormat="false" ht="15" hidden="false" customHeight="true" outlineLevel="0" collapsed="false">
      <c r="A315" s="438" t="n">
        <v>8</v>
      </c>
      <c r="B315" s="157" t="n">
        <v>308</v>
      </c>
      <c r="C315" s="157" t="s">
        <v>4373</v>
      </c>
      <c r="D315" s="157" t="s">
        <v>4374</v>
      </c>
      <c r="E315" s="157" t="n">
        <v>353</v>
      </c>
      <c r="F315" s="157" t="s">
        <v>260</v>
      </c>
      <c r="G315" s="157" t="s">
        <v>353</v>
      </c>
      <c r="H315" s="78" t="n">
        <f aca="false">Y315/J315</f>
        <v>185.185185185185</v>
      </c>
      <c r="I315" s="439" t="n">
        <v>43892</v>
      </c>
      <c r="J315" s="157" t="n">
        <v>2160</v>
      </c>
      <c r="L315" s="157" t="n">
        <v>2160</v>
      </c>
      <c r="M315" s="157" t="n">
        <v>1926</v>
      </c>
      <c r="P315" s="157" t="s">
        <v>3265</v>
      </c>
      <c r="R315" s="174" t="s">
        <v>279</v>
      </c>
      <c r="S315" s="157" t="n">
        <v>5125</v>
      </c>
      <c r="T315" s="440" t="n">
        <f aca="false">S315/J315</f>
        <v>2.37268518518519</v>
      </c>
      <c r="U315" s="157" t="s">
        <v>279</v>
      </c>
      <c r="Y315" s="157" t="n">
        <v>400000</v>
      </c>
      <c r="AA315" s="157" t="n">
        <v>400000</v>
      </c>
      <c r="AC315" s="157" t="s">
        <v>4375</v>
      </c>
      <c r="AD315" s="157" t="s">
        <v>4376</v>
      </c>
      <c r="AE315" s="281" t="s">
        <v>4377</v>
      </c>
      <c r="AF315" s="281" t="s">
        <v>4378</v>
      </c>
      <c r="AI315" s="157" t="e">
        <f aca="false">IF(AND($E315=Subj_OccCode,Subj_BldgSF&gt;0,ABS($L315-Subj_BldgSF)&lt;=Subj_BldgSF*Subj_SizeTol),ABS($L315-Subj_BldgSF),NA())</f>
        <v>#N/A</v>
      </c>
      <c r="AJ315" s="157" t="e">
        <f aca="false">IF(ISNA(AI315),NA(),AI315+ROW()/10000000)</f>
        <v>#N/A</v>
      </c>
    </row>
    <row r="316" customFormat="false" ht="15" hidden="false" customHeight="true" outlineLevel="0" collapsed="false">
      <c r="A316" s="438" t="n">
        <v>8</v>
      </c>
      <c r="B316" s="157" t="n">
        <v>309</v>
      </c>
      <c r="C316" s="157" t="s">
        <v>3561</v>
      </c>
      <c r="D316" s="157" t="s">
        <v>4379</v>
      </c>
      <c r="E316" s="157" t="n">
        <v>100</v>
      </c>
      <c r="F316" s="157" t="s">
        <v>260</v>
      </c>
      <c r="G316" s="157" t="s">
        <v>1042</v>
      </c>
      <c r="H316" s="78" t="n">
        <f aca="false">Y316/J316</f>
        <v>371.641791044776</v>
      </c>
      <c r="I316" s="439" t="n">
        <v>43637</v>
      </c>
      <c r="J316" s="157" t="n">
        <v>670</v>
      </c>
      <c r="L316" s="157" t="n">
        <v>670</v>
      </c>
      <c r="M316" s="157" t="n">
        <v>1949</v>
      </c>
      <c r="P316" s="157" t="s">
        <v>3500</v>
      </c>
      <c r="R316" s="174" t="s">
        <v>279</v>
      </c>
      <c r="S316" s="157" t="n">
        <v>6098</v>
      </c>
      <c r="T316" s="440" t="n">
        <f aca="false">S316/J316</f>
        <v>9.10149253731343</v>
      </c>
      <c r="U316" s="157" t="s">
        <v>279</v>
      </c>
      <c r="Y316" s="157" t="n">
        <v>249000</v>
      </c>
      <c r="AA316" s="157" t="n">
        <v>249000</v>
      </c>
      <c r="AC316" s="157" t="s">
        <v>3563</v>
      </c>
      <c r="AD316" s="157" t="s">
        <v>4380</v>
      </c>
      <c r="AE316" s="281" t="s">
        <v>4381</v>
      </c>
      <c r="AF316" s="281" t="s">
        <v>3565</v>
      </c>
      <c r="AI316" s="157" t="e">
        <f aca="false">IF(AND($E316=Subj_OccCode,Subj_BldgSF&gt;0,ABS($L316-Subj_BldgSF)&lt;=Subj_BldgSF*Subj_SizeTol),ABS($L316-Subj_BldgSF),NA())</f>
        <v>#N/A</v>
      </c>
      <c r="AJ316" s="157" t="e">
        <f aca="false">IF(ISNA(AI316),NA(),AI316+ROW()/10000000)</f>
        <v>#N/A</v>
      </c>
    </row>
    <row r="317" customFormat="false" ht="15" hidden="false" customHeight="true" outlineLevel="0" collapsed="false">
      <c r="A317" s="438" t="n">
        <v>8</v>
      </c>
      <c r="B317" s="157" t="n">
        <v>310</v>
      </c>
      <c r="C317" s="157" t="s">
        <v>4382</v>
      </c>
      <c r="D317" s="157" t="s">
        <v>4383</v>
      </c>
      <c r="E317" s="157" t="n">
        <v>344</v>
      </c>
      <c r="F317" s="157" t="s">
        <v>2566</v>
      </c>
      <c r="G317" s="157" t="s">
        <v>2567</v>
      </c>
      <c r="H317" s="78" t="n">
        <f aca="false">Y317/J317</f>
        <v>162.954915806627</v>
      </c>
      <c r="I317" s="439" t="n">
        <v>43693</v>
      </c>
      <c r="J317" s="157" t="n">
        <v>1841</v>
      </c>
      <c r="L317" s="157" t="n">
        <v>1841</v>
      </c>
      <c r="M317" s="157" t="n">
        <v>1984</v>
      </c>
      <c r="P317" s="157" t="s">
        <v>3569</v>
      </c>
      <c r="R317" s="174" t="s">
        <v>279</v>
      </c>
      <c r="S317" s="157" t="n">
        <v>1118.78</v>
      </c>
      <c r="T317" s="440" t="n">
        <f aca="false">S317/J317</f>
        <v>0.607702335687127</v>
      </c>
      <c r="U317" s="157" t="s">
        <v>279</v>
      </c>
      <c r="Y317" s="157" t="n">
        <v>300000</v>
      </c>
      <c r="AA317" s="157" t="n">
        <v>300000</v>
      </c>
      <c r="AC317" s="157" t="s">
        <v>4384</v>
      </c>
      <c r="AD317" s="157" t="s">
        <v>4385</v>
      </c>
      <c r="AE317" s="281" t="s">
        <v>4386</v>
      </c>
      <c r="AF317" s="281" t="s">
        <v>4387</v>
      </c>
      <c r="AI317" s="157" t="e">
        <f aca="false">IF(AND($E317=Subj_OccCode,Subj_BldgSF&gt;0,ABS($L317-Subj_BldgSF)&lt;=Subj_BldgSF*Subj_SizeTol),ABS($L317-Subj_BldgSF),NA())</f>
        <v>#N/A</v>
      </c>
      <c r="AJ317" s="157" t="e">
        <f aca="false">IF(ISNA(AI317),NA(),AI317+ROW()/10000000)</f>
        <v>#N/A</v>
      </c>
    </row>
    <row r="318" customFormat="false" ht="15" hidden="false" customHeight="true" outlineLevel="0" collapsed="false">
      <c r="A318" s="438" t="n">
        <v>8</v>
      </c>
      <c r="B318" s="157" t="n">
        <v>311</v>
      </c>
      <c r="C318" s="157" t="s">
        <v>4388</v>
      </c>
      <c r="D318" s="157" t="s">
        <v>4389</v>
      </c>
      <c r="E318" s="157" t="n">
        <v>344</v>
      </c>
      <c r="F318" s="157" t="s">
        <v>2566</v>
      </c>
      <c r="G318" s="157" t="s">
        <v>2567</v>
      </c>
      <c r="H318" s="78" t="n">
        <f aca="false">Y318/J318</f>
        <v>162.954915806627</v>
      </c>
      <c r="I318" s="439" t="n">
        <v>44540</v>
      </c>
      <c r="J318" s="157" t="n">
        <v>1841</v>
      </c>
      <c r="L318" s="157" t="n">
        <v>1841</v>
      </c>
      <c r="M318" s="157" t="n">
        <v>1984</v>
      </c>
      <c r="P318" s="157" t="s">
        <v>3569</v>
      </c>
      <c r="R318" s="174" t="s">
        <v>279</v>
      </c>
      <c r="S318" s="157" t="n">
        <v>1118.78</v>
      </c>
      <c r="T318" s="440" t="n">
        <f aca="false">S318/J318</f>
        <v>0.607702335687127</v>
      </c>
      <c r="U318" s="157" t="s">
        <v>1765</v>
      </c>
      <c r="Y318" s="157" t="n">
        <v>300000</v>
      </c>
      <c r="AA318" s="157" t="n">
        <v>300000</v>
      </c>
      <c r="AC318" s="157" t="s">
        <v>4390</v>
      </c>
      <c r="AD318" s="157" t="s">
        <v>4391</v>
      </c>
      <c r="AE318" s="281" t="s">
        <v>2822</v>
      </c>
      <c r="AF318" s="281" t="s">
        <v>4392</v>
      </c>
      <c r="AI318" s="157" t="e">
        <f aca="false">IF(AND($E318=Subj_OccCode,Subj_BldgSF&gt;0,ABS($L318-Subj_BldgSF)&lt;=Subj_BldgSF*Subj_SizeTol),ABS($L318-Subj_BldgSF),NA())</f>
        <v>#N/A</v>
      </c>
      <c r="AJ318" s="157" t="e">
        <f aca="false">IF(ISNA(AI318),NA(),AI318+ROW()/10000000)</f>
        <v>#N/A</v>
      </c>
    </row>
    <row r="319" customFormat="false" ht="15" hidden="false" customHeight="true" outlineLevel="0" collapsed="false">
      <c r="A319" s="438" t="n">
        <v>8</v>
      </c>
      <c r="B319" s="157" t="n">
        <v>312</v>
      </c>
      <c r="C319" s="157" t="s">
        <v>4393</v>
      </c>
      <c r="D319" s="157" t="s">
        <v>4394</v>
      </c>
      <c r="E319" s="157" t="n">
        <v>344</v>
      </c>
      <c r="F319" s="157" t="s">
        <v>2595</v>
      </c>
      <c r="G319" s="157" t="s">
        <v>2596</v>
      </c>
      <c r="H319" s="78" t="n">
        <f aca="false">Y319/J319</f>
        <v>545.25627044711</v>
      </c>
      <c r="I319" s="439" t="n">
        <v>44740</v>
      </c>
      <c r="J319" s="157" t="n">
        <v>3668</v>
      </c>
      <c r="L319" s="157" t="n">
        <v>3668</v>
      </c>
      <c r="M319" s="157" t="n">
        <v>1962</v>
      </c>
      <c r="P319" s="157" t="s">
        <v>3493</v>
      </c>
      <c r="R319" s="174" t="s">
        <v>279</v>
      </c>
      <c r="S319" s="157" t="n">
        <v>15868</v>
      </c>
      <c r="T319" s="440" t="n">
        <f aca="false">S319/J319</f>
        <v>4.32606324972737</v>
      </c>
      <c r="U319" s="157" t="s">
        <v>279</v>
      </c>
      <c r="Y319" s="157" t="n">
        <v>2000000</v>
      </c>
      <c r="AA319" s="157" t="n">
        <v>2000000</v>
      </c>
      <c r="AC319" s="157" t="s">
        <v>4395</v>
      </c>
      <c r="AD319" s="157" t="s">
        <v>4396</v>
      </c>
      <c r="AE319" s="281" t="s">
        <v>4397</v>
      </c>
      <c r="AF319" s="281" t="s">
        <v>4398</v>
      </c>
      <c r="AI319" s="157" t="e">
        <f aca="false">IF(AND($E319=Subj_OccCode,Subj_BldgSF&gt;0,ABS($L319-Subj_BldgSF)&lt;=Subj_BldgSF*Subj_SizeTol),ABS($L319-Subj_BldgSF),NA())</f>
        <v>#N/A</v>
      </c>
      <c r="AJ319" s="157" t="e">
        <f aca="false">IF(ISNA(AI319),NA(),AI319+ROW()/10000000)</f>
        <v>#N/A</v>
      </c>
    </row>
    <row r="320" customFormat="false" ht="15" hidden="false" customHeight="true" outlineLevel="0" collapsed="false">
      <c r="A320" s="438" t="n">
        <v>8</v>
      </c>
      <c r="B320" s="157" t="n">
        <v>313</v>
      </c>
      <c r="C320" s="157" t="s">
        <v>4399</v>
      </c>
      <c r="D320" s="157" t="s">
        <v>4400</v>
      </c>
      <c r="E320" s="157" t="n">
        <v>325</v>
      </c>
      <c r="F320" s="157" t="s">
        <v>2581</v>
      </c>
      <c r="G320" s="157" t="s">
        <v>2567</v>
      </c>
      <c r="H320" s="78" t="n">
        <f aca="false">Y320/J320</f>
        <v>105.304725549559</v>
      </c>
      <c r="I320" s="439" t="n">
        <v>44355</v>
      </c>
      <c r="J320" s="157" t="n">
        <v>7597</v>
      </c>
      <c r="L320" s="157" t="n">
        <v>7597</v>
      </c>
      <c r="M320" s="157" t="n">
        <v>1926</v>
      </c>
      <c r="P320" s="157" t="s">
        <v>3486</v>
      </c>
      <c r="R320" s="174" t="s">
        <v>279</v>
      </c>
      <c r="S320" s="157" t="n">
        <v>21780</v>
      </c>
      <c r="T320" s="440" t="n">
        <f aca="false">S320/J320</f>
        <v>2.86692115308674</v>
      </c>
      <c r="U320" s="157" t="s">
        <v>279</v>
      </c>
      <c r="Y320" s="157" t="n">
        <v>800000</v>
      </c>
      <c r="AA320" s="157" t="n">
        <v>800000</v>
      </c>
      <c r="AC320" s="157" t="s">
        <v>4401</v>
      </c>
      <c r="AD320" s="157" t="s">
        <v>4402</v>
      </c>
      <c r="AE320" s="281" t="s">
        <v>4403</v>
      </c>
      <c r="AF320" s="281" t="s">
        <v>4404</v>
      </c>
      <c r="AI320" s="157" t="e">
        <f aca="false">IF(AND($E320=Subj_OccCode,Subj_BldgSF&gt;0,ABS($L320-Subj_BldgSF)&lt;=Subj_BldgSF*Subj_SizeTol),ABS($L320-Subj_BldgSF),NA())</f>
        <v>#N/A</v>
      </c>
      <c r="AJ320" s="157" t="e">
        <f aca="false">IF(ISNA(AI320),NA(),AI320+ROW()/10000000)</f>
        <v>#N/A</v>
      </c>
    </row>
    <row r="321" customFormat="false" ht="15" hidden="false" customHeight="true" outlineLevel="0" collapsed="false">
      <c r="A321" s="438" t="n">
        <v>8</v>
      </c>
      <c r="B321" s="157" t="n">
        <v>314</v>
      </c>
      <c r="C321" s="157" t="s">
        <v>4405</v>
      </c>
      <c r="D321" s="157" t="s">
        <v>4406</v>
      </c>
      <c r="E321" s="157" t="n">
        <v>406</v>
      </c>
      <c r="F321" s="157" t="s">
        <v>2581</v>
      </c>
      <c r="G321" s="157" t="s">
        <v>2567</v>
      </c>
      <c r="H321" s="78" t="n">
        <f aca="false">Y321/J321</f>
        <v>123.056994818653</v>
      </c>
      <c r="I321" s="439" t="n">
        <v>43238</v>
      </c>
      <c r="J321" s="157" t="n">
        <v>7720</v>
      </c>
      <c r="L321" s="157" t="n">
        <v>7720</v>
      </c>
      <c r="M321" s="157" t="n">
        <v>1972</v>
      </c>
      <c r="P321" s="157" t="s">
        <v>4407</v>
      </c>
      <c r="R321" s="174" t="s">
        <v>279</v>
      </c>
      <c r="S321" s="157" t="n">
        <v>15500</v>
      </c>
      <c r="T321" s="440" t="n">
        <f aca="false">S321/J321</f>
        <v>2.00777202072539</v>
      </c>
      <c r="U321" s="157" t="s">
        <v>279</v>
      </c>
      <c r="Y321" s="157" t="n">
        <v>950000</v>
      </c>
      <c r="AA321" s="157" t="n">
        <v>950000</v>
      </c>
      <c r="AC321" s="157" t="s">
        <v>4408</v>
      </c>
      <c r="AD321" s="157" t="s">
        <v>4409</v>
      </c>
      <c r="AE321" s="281" t="s">
        <v>4410</v>
      </c>
      <c r="AF321" s="281" t="s">
        <v>4411</v>
      </c>
      <c r="AI321" s="157" t="e">
        <f aca="false">IF(AND($E321=Subj_OccCode,Subj_BldgSF&gt;0,ABS($L321-Subj_BldgSF)&lt;=Subj_BldgSF*Subj_SizeTol),ABS($L321-Subj_BldgSF),NA())</f>
        <v>#N/A</v>
      </c>
      <c r="AJ321" s="157" t="e">
        <f aca="false">IF(ISNA(AI321),NA(),AI321+ROW()/10000000)</f>
        <v>#N/A</v>
      </c>
    </row>
    <row r="322" customFormat="false" ht="15" hidden="false" customHeight="true" outlineLevel="0" collapsed="false">
      <c r="A322" s="438" t="n">
        <v>8</v>
      </c>
      <c r="B322" s="157" t="n">
        <v>315</v>
      </c>
      <c r="C322" s="157" t="s">
        <v>4412</v>
      </c>
      <c r="D322" s="157" t="s">
        <v>4413</v>
      </c>
      <c r="E322" s="157" t="n">
        <v>341</v>
      </c>
      <c r="F322" s="157" t="s">
        <v>260</v>
      </c>
      <c r="G322" s="157" t="s">
        <v>353</v>
      </c>
      <c r="H322" s="78" t="n">
        <f aca="false">Y322/J322</f>
        <v>225.069252077562</v>
      </c>
      <c r="I322" s="439" t="n">
        <v>44602</v>
      </c>
      <c r="J322" s="157" t="n">
        <v>5776</v>
      </c>
      <c r="L322" s="157" t="n">
        <v>5776</v>
      </c>
      <c r="M322" s="157" t="n">
        <v>1986</v>
      </c>
      <c r="P322" s="157" t="s">
        <v>3500</v>
      </c>
      <c r="R322" s="174" t="s">
        <v>279</v>
      </c>
      <c r="S322" s="157" t="n">
        <v>23314</v>
      </c>
      <c r="T322" s="440" t="n">
        <f aca="false">S322/J322</f>
        <v>4.03635734072022</v>
      </c>
      <c r="U322" s="157" t="s">
        <v>279</v>
      </c>
      <c r="Y322" s="157" t="n">
        <v>1300000</v>
      </c>
      <c r="AA322" s="157" t="n">
        <v>1300000</v>
      </c>
      <c r="AC322" s="157" t="s">
        <v>4414</v>
      </c>
      <c r="AD322" s="157" t="s">
        <v>4415</v>
      </c>
      <c r="AE322" s="281" t="s">
        <v>4416</v>
      </c>
      <c r="AF322" s="281" t="s">
        <v>4417</v>
      </c>
      <c r="AI322" s="157" t="e">
        <f aca="false">IF(AND($E322=Subj_OccCode,Subj_BldgSF&gt;0,ABS($L322-Subj_BldgSF)&lt;=Subj_BldgSF*Subj_SizeTol),ABS($L322-Subj_BldgSF),NA())</f>
        <v>#N/A</v>
      </c>
      <c r="AJ322" s="157" t="e">
        <f aca="false">IF(ISNA(AI322),NA(),AI322+ROW()/10000000)</f>
        <v>#N/A</v>
      </c>
    </row>
    <row r="323" customFormat="false" ht="15" hidden="false" customHeight="true" outlineLevel="0" collapsed="false">
      <c r="A323" s="438" t="n">
        <v>8</v>
      </c>
      <c r="B323" s="157" t="n">
        <v>316</v>
      </c>
      <c r="C323" s="157" t="s">
        <v>4418</v>
      </c>
      <c r="D323" s="157" t="s">
        <v>4419</v>
      </c>
      <c r="E323" s="157" t="n">
        <v>325</v>
      </c>
      <c r="F323" s="157" t="s">
        <v>2921</v>
      </c>
      <c r="G323" s="157" t="s">
        <v>2691</v>
      </c>
      <c r="H323" s="78" t="n">
        <f aca="false">Y323/J323</f>
        <v>270</v>
      </c>
      <c r="I323" s="439" t="n">
        <v>43655</v>
      </c>
      <c r="J323" s="157" t="n">
        <v>5000</v>
      </c>
      <c r="L323" s="157" t="n">
        <v>5000</v>
      </c>
      <c r="M323" s="157" t="n">
        <v>2006</v>
      </c>
      <c r="P323" s="157" t="s">
        <v>4420</v>
      </c>
      <c r="R323" s="174" t="s">
        <v>279</v>
      </c>
      <c r="S323" s="157" t="n">
        <v>36111.24</v>
      </c>
      <c r="T323" s="440" t="n">
        <f aca="false">S323/J323</f>
        <v>7.222248</v>
      </c>
      <c r="U323" s="157" t="s">
        <v>279</v>
      </c>
      <c r="Y323" s="157" t="n">
        <v>1350000</v>
      </c>
      <c r="AA323" s="157" t="n">
        <v>1350000</v>
      </c>
      <c r="AC323" s="157" t="s">
        <v>4421</v>
      </c>
      <c r="AD323" s="157" t="s">
        <v>4422</v>
      </c>
      <c r="AE323" s="281" t="s">
        <v>4423</v>
      </c>
      <c r="AF323" s="281" t="s">
        <v>4424</v>
      </c>
      <c r="AI323" s="157" t="e">
        <f aca="false">IF(AND($E323=Subj_OccCode,Subj_BldgSF&gt;0,ABS($L323-Subj_BldgSF)&lt;=Subj_BldgSF*Subj_SizeTol),ABS($L323-Subj_BldgSF),NA())</f>
        <v>#N/A</v>
      </c>
      <c r="AJ323" s="157" t="e">
        <f aca="false">IF(ISNA(AI323),NA(),AI323+ROW()/10000000)</f>
        <v>#N/A</v>
      </c>
    </row>
    <row r="324" customFormat="false" ht="15" hidden="false" customHeight="true" outlineLevel="0" collapsed="false">
      <c r="A324" s="438" t="n">
        <v>8</v>
      </c>
      <c r="B324" s="157" t="n">
        <v>317</v>
      </c>
      <c r="C324" s="157" t="s">
        <v>4425</v>
      </c>
      <c r="D324" s="157" t="s">
        <v>4426</v>
      </c>
      <c r="E324" s="157" t="n">
        <v>325</v>
      </c>
      <c r="F324" s="157" t="s">
        <v>2677</v>
      </c>
      <c r="G324" s="157" t="s">
        <v>354</v>
      </c>
      <c r="H324" s="78" t="n">
        <f aca="false">Y324/J324</f>
        <v>498.4375</v>
      </c>
      <c r="I324" s="439" t="n">
        <v>44742</v>
      </c>
      <c r="J324" s="157" t="n">
        <v>3200</v>
      </c>
      <c r="L324" s="157" t="n">
        <v>3200</v>
      </c>
      <c r="M324" s="157" t="n">
        <v>1973</v>
      </c>
      <c r="P324" s="157" t="s">
        <v>4427</v>
      </c>
      <c r="R324" s="174" t="s">
        <v>279</v>
      </c>
      <c r="S324" s="157" t="n">
        <v>15625</v>
      </c>
      <c r="T324" s="440" t="n">
        <f aca="false">S324/J324</f>
        <v>4.8828125</v>
      </c>
      <c r="U324" s="157" t="s">
        <v>279</v>
      </c>
      <c r="Y324" s="157" t="n">
        <v>1595000</v>
      </c>
      <c r="AA324" s="157" t="n">
        <v>1595000</v>
      </c>
      <c r="AC324" s="157" t="s">
        <v>4428</v>
      </c>
      <c r="AD324" s="157" t="s">
        <v>4429</v>
      </c>
      <c r="AE324" s="281" t="s">
        <v>4430</v>
      </c>
      <c r="AF324" s="281" t="s">
        <v>4431</v>
      </c>
      <c r="AI324" s="157" t="e">
        <f aca="false">IF(AND($E324=Subj_OccCode,Subj_BldgSF&gt;0,ABS($L324-Subj_BldgSF)&lt;=Subj_BldgSF*Subj_SizeTol),ABS($L324-Subj_BldgSF),NA())</f>
        <v>#N/A</v>
      </c>
      <c r="AJ324" s="157" t="e">
        <f aca="false">IF(ISNA(AI324),NA(),AI324+ROW()/10000000)</f>
        <v>#N/A</v>
      </c>
    </row>
    <row r="325" customFormat="false" ht="15" hidden="false" customHeight="true" outlineLevel="0" collapsed="false">
      <c r="A325" s="438" t="n">
        <v>8</v>
      </c>
      <c r="B325" s="157" t="n">
        <v>318</v>
      </c>
      <c r="C325" s="157" t="s">
        <v>4432</v>
      </c>
      <c r="D325" s="157" t="s">
        <v>4433</v>
      </c>
      <c r="E325" s="157" t="n">
        <v>419</v>
      </c>
      <c r="F325" s="157" t="s">
        <v>2677</v>
      </c>
      <c r="G325" s="157" t="s">
        <v>2567</v>
      </c>
      <c r="H325" s="78" t="n">
        <f aca="false">Y325/J325</f>
        <v>1297.99891833423</v>
      </c>
      <c r="I325" s="439" t="n">
        <v>44586</v>
      </c>
      <c r="J325" s="157" t="n">
        <v>1849</v>
      </c>
      <c r="L325" s="157" t="n">
        <v>1849</v>
      </c>
      <c r="M325" s="157" t="n">
        <v>1990</v>
      </c>
      <c r="P325" s="157" t="s">
        <v>2678</v>
      </c>
      <c r="R325" s="174" t="s">
        <v>279</v>
      </c>
      <c r="S325" s="157" t="n">
        <v>29962</v>
      </c>
      <c r="T325" s="440" t="n">
        <f aca="false">S325/J325</f>
        <v>16.2044348296376</v>
      </c>
      <c r="U325" s="157" t="s">
        <v>279</v>
      </c>
      <c r="Y325" s="157" t="n">
        <v>2400000</v>
      </c>
      <c r="AA325" s="157" t="n">
        <v>2400000</v>
      </c>
      <c r="AC325" s="157" t="s">
        <v>4434</v>
      </c>
      <c r="AD325" s="157" t="s">
        <v>4435</v>
      </c>
      <c r="AE325" s="281" t="s">
        <v>4436</v>
      </c>
      <c r="AF325" s="281" t="s">
        <v>4437</v>
      </c>
      <c r="AI325" s="157" t="e">
        <f aca="false">IF(AND($E325=Subj_OccCode,Subj_BldgSF&gt;0,ABS($L325-Subj_BldgSF)&lt;=Subj_BldgSF*Subj_SizeTol),ABS($L325-Subj_BldgSF),NA())</f>
        <v>#N/A</v>
      </c>
      <c r="AJ325" s="157" t="e">
        <f aca="false">IF(ISNA(AI325),NA(),AI325+ROW()/10000000)</f>
        <v>#N/A</v>
      </c>
    </row>
    <row r="326" customFormat="false" ht="15" hidden="false" customHeight="true" outlineLevel="0" collapsed="false">
      <c r="A326" s="438" t="n">
        <v>8</v>
      </c>
      <c r="B326" s="157" t="n">
        <v>319</v>
      </c>
      <c r="C326" s="157" t="s">
        <v>4438</v>
      </c>
      <c r="D326" s="157" t="s">
        <v>4439</v>
      </c>
      <c r="E326" s="157" t="n">
        <v>350</v>
      </c>
      <c r="F326" s="157" t="s">
        <v>3272</v>
      </c>
      <c r="G326" s="157" t="s">
        <v>2567</v>
      </c>
      <c r="H326" s="78" t="n">
        <f aca="false">Y326/J326</f>
        <v>512.5</v>
      </c>
      <c r="I326" s="439" t="n">
        <v>43558</v>
      </c>
      <c r="J326" s="157" t="n">
        <v>720</v>
      </c>
      <c r="L326" s="157" t="n">
        <v>720</v>
      </c>
      <c r="M326" s="157" t="n">
        <v>1968</v>
      </c>
      <c r="P326" s="157" t="s">
        <v>4440</v>
      </c>
      <c r="R326" s="174" t="s">
        <v>279</v>
      </c>
      <c r="S326" s="157" t="n">
        <v>7565</v>
      </c>
      <c r="T326" s="440" t="n">
        <f aca="false">S326/J326</f>
        <v>10.5069444444444</v>
      </c>
      <c r="U326" s="157" t="s">
        <v>279</v>
      </c>
      <c r="Y326" s="157" t="n">
        <v>369000</v>
      </c>
      <c r="AA326" s="157" t="n">
        <v>369000</v>
      </c>
      <c r="AC326" s="157" t="s">
        <v>4441</v>
      </c>
      <c r="AD326" s="157" t="s">
        <v>4442</v>
      </c>
      <c r="AE326" s="281" t="s">
        <v>4443</v>
      </c>
      <c r="AF326" s="281" t="s">
        <v>4444</v>
      </c>
      <c r="AI326" s="157" t="e">
        <f aca="false">IF(AND($E326=Subj_OccCode,Subj_BldgSF&gt;0,ABS($L326-Subj_BldgSF)&lt;=Subj_BldgSF*Subj_SizeTol),ABS($L326-Subj_BldgSF),NA())</f>
        <v>#N/A</v>
      </c>
      <c r="AJ326" s="157" t="e">
        <f aca="false">IF(ISNA(AI326),NA(),AI326+ROW()/10000000)</f>
        <v>#N/A</v>
      </c>
    </row>
    <row r="327" customFormat="false" ht="15" hidden="false" customHeight="true" outlineLevel="0" collapsed="false">
      <c r="A327" s="438" t="n">
        <v>8</v>
      </c>
      <c r="B327" s="157" t="n">
        <v>320</v>
      </c>
      <c r="C327" s="157" t="s">
        <v>4445</v>
      </c>
      <c r="D327" s="157" t="s">
        <v>4446</v>
      </c>
      <c r="E327" s="157" t="n">
        <v>344</v>
      </c>
      <c r="F327" s="157" t="s">
        <v>260</v>
      </c>
      <c r="G327" s="157" t="s">
        <v>353</v>
      </c>
      <c r="H327" s="78" t="n">
        <f aca="false">Y327/J327</f>
        <v>198.272477424421</v>
      </c>
      <c r="I327" s="439" t="n">
        <v>44438</v>
      </c>
      <c r="J327" s="157" t="n">
        <v>2547</v>
      </c>
      <c r="L327" s="157" t="n">
        <v>2547</v>
      </c>
      <c r="M327" s="157" t="n">
        <v>1954</v>
      </c>
      <c r="P327" s="157" t="s">
        <v>4447</v>
      </c>
      <c r="R327" s="174" t="s">
        <v>279</v>
      </c>
      <c r="S327" s="157" t="n">
        <v>11000</v>
      </c>
      <c r="T327" s="440" t="n">
        <f aca="false">S327/J327</f>
        <v>4.31880643894778</v>
      </c>
      <c r="U327" s="157" t="s">
        <v>483</v>
      </c>
      <c r="Y327" s="157" t="n">
        <v>505000</v>
      </c>
      <c r="AA327" s="157" t="n">
        <v>505000</v>
      </c>
      <c r="AC327" s="157" t="s">
        <v>4448</v>
      </c>
      <c r="AD327" s="157" t="s">
        <v>4449</v>
      </c>
      <c r="AE327" s="281" t="s">
        <v>4450</v>
      </c>
      <c r="AF327" s="281" t="s">
        <v>4451</v>
      </c>
      <c r="AI327" s="157" t="e">
        <f aca="false">IF(AND($E327=Subj_OccCode,Subj_BldgSF&gt;0,ABS($L327-Subj_BldgSF)&lt;=Subj_BldgSF*Subj_SizeTol),ABS($L327-Subj_BldgSF),NA())</f>
        <v>#N/A</v>
      </c>
      <c r="AJ327" s="157" t="e">
        <f aca="false">IF(ISNA(AI327),NA(),AI327+ROW()/10000000)</f>
        <v>#N/A</v>
      </c>
    </row>
    <row r="328" customFormat="false" ht="15" hidden="false" customHeight="true" outlineLevel="0" collapsed="false">
      <c r="A328" s="438" t="n">
        <v>8</v>
      </c>
      <c r="B328" s="157" t="n">
        <v>321</v>
      </c>
      <c r="C328" s="157" t="s">
        <v>4452</v>
      </c>
      <c r="D328" s="157" t="s">
        <v>4453</v>
      </c>
      <c r="E328" s="157" t="n">
        <v>325</v>
      </c>
      <c r="F328" s="157" t="s">
        <v>2566</v>
      </c>
      <c r="G328" s="157" t="s">
        <v>2567</v>
      </c>
      <c r="H328" s="78" t="n">
        <f aca="false">Y328/J328</f>
        <v>282.118055555556</v>
      </c>
      <c r="I328" s="439" t="n">
        <v>44483</v>
      </c>
      <c r="J328" s="157" t="n">
        <v>1152</v>
      </c>
      <c r="L328" s="157" t="n">
        <v>1152</v>
      </c>
      <c r="M328" s="157" t="n">
        <v>1963</v>
      </c>
      <c r="P328" s="157" t="s">
        <v>2568</v>
      </c>
      <c r="R328" s="174" t="s">
        <v>279</v>
      </c>
      <c r="S328" s="157" t="n">
        <v>24678</v>
      </c>
      <c r="T328" s="440" t="n">
        <f aca="false">S328/J328</f>
        <v>21.421875</v>
      </c>
      <c r="U328" s="157" t="s">
        <v>279</v>
      </c>
      <c r="Y328" s="157" t="n">
        <v>325000</v>
      </c>
      <c r="AA328" s="157" t="n">
        <v>325000</v>
      </c>
      <c r="AC328" s="157" t="s">
        <v>4454</v>
      </c>
      <c r="AD328" s="157" t="s">
        <v>4455</v>
      </c>
      <c r="AE328" s="281" t="s">
        <v>4456</v>
      </c>
      <c r="AF328" s="281" t="s">
        <v>4457</v>
      </c>
      <c r="AI328" s="157" t="e">
        <f aca="false">IF(AND($E328=Subj_OccCode,Subj_BldgSF&gt;0,ABS($L328-Subj_BldgSF)&lt;=Subj_BldgSF*Subj_SizeTol),ABS($L328-Subj_BldgSF),NA())</f>
        <v>#N/A</v>
      </c>
      <c r="AJ328" s="157" t="e">
        <f aca="false">IF(ISNA(AI328),NA(),AI328+ROW()/10000000)</f>
        <v>#N/A</v>
      </c>
    </row>
    <row r="329" customFormat="false" ht="15" hidden="false" customHeight="true" outlineLevel="0" collapsed="false">
      <c r="A329" s="438" t="n">
        <v>8</v>
      </c>
      <c r="B329" s="157" t="n">
        <v>322</v>
      </c>
      <c r="C329" s="157" t="s">
        <v>4458</v>
      </c>
      <c r="D329" s="157" t="s">
        <v>4459</v>
      </c>
      <c r="E329" s="157" t="n">
        <v>423</v>
      </c>
      <c r="F329" s="157" t="s">
        <v>260</v>
      </c>
      <c r="G329" s="157" t="s">
        <v>353</v>
      </c>
      <c r="H329" s="78" t="n">
        <f aca="false">Y329/J329</f>
        <v>759.989373007439</v>
      </c>
      <c r="I329" s="439" t="n">
        <v>43472</v>
      </c>
      <c r="J329" s="157" t="n">
        <v>1882</v>
      </c>
      <c r="L329" s="157" t="n">
        <v>1882</v>
      </c>
      <c r="M329" s="157" t="n">
        <v>1994</v>
      </c>
      <c r="P329" s="157" t="s">
        <v>1929</v>
      </c>
      <c r="R329" s="174" t="s">
        <v>279</v>
      </c>
      <c r="S329" s="157" t="n">
        <v>16650</v>
      </c>
      <c r="T329" s="440" t="n">
        <f aca="false">S329/J329</f>
        <v>8.84697130712009</v>
      </c>
      <c r="U329" s="157" t="s">
        <v>279</v>
      </c>
      <c r="Y329" s="157" t="n">
        <v>1430300</v>
      </c>
      <c r="AA329" s="157" t="n">
        <v>1430300</v>
      </c>
      <c r="AC329" s="157" t="s">
        <v>4460</v>
      </c>
      <c r="AD329" s="157" t="s">
        <v>4461</v>
      </c>
      <c r="AE329" s="281" t="s">
        <v>4462</v>
      </c>
      <c r="AF329" s="281" t="s">
        <v>4463</v>
      </c>
      <c r="AI329" s="157" t="e">
        <f aca="false">IF(AND($E329=Subj_OccCode,Subj_BldgSF&gt;0,ABS($L329-Subj_BldgSF)&lt;=Subj_BldgSF*Subj_SizeTol),ABS($L329-Subj_BldgSF),NA())</f>
        <v>#N/A</v>
      </c>
      <c r="AJ329" s="157" t="e">
        <f aca="false">IF(ISNA(AI329),NA(),AI329+ROW()/10000000)</f>
        <v>#N/A</v>
      </c>
    </row>
    <row r="330" customFormat="false" ht="15" hidden="false" customHeight="true" outlineLevel="0" collapsed="false">
      <c r="A330" s="438" t="n">
        <v>8</v>
      </c>
      <c r="B330" s="157" t="n">
        <v>323</v>
      </c>
      <c r="C330" s="157" t="s">
        <v>4464</v>
      </c>
      <c r="D330" s="157" t="s">
        <v>4465</v>
      </c>
      <c r="E330" s="157" t="n">
        <v>343</v>
      </c>
      <c r="G330" s="157" t="s">
        <v>2691</v>
      </c>
      <c r="H330" s="78" t="n">
        <f aca="false">Y330/J330</f>
        <v>174.58777885548</v>
      </c>
      <c r="I330" s="439" t="n">
        <v>44483</v>
      </c>
      <c r="J330" s="157" t="n">
        <v>3093</v>
      </c>
      <c r="L330" s="157" t="n">
        <v>3093</v>
      </c>
      <c r="M330" s="157" t="n">
        <v>1946</v>
      </c>
      <c r="P330" s="157" t="s">
        <v>2706</v>
      </c>
      <c r="R330" s="174" t="s">
        <v>1511</v>
      </c>
      <c r="S330" s="157" t="n">
        <v>11520</v>
      </c>
      <c r="T330" s="440" t="n">
        <f aca="false">S330/J330</f>
        <v>3.72453928225024</v>
      </c>
      <c r="U330" s="157" t="s">
        <v>279</v>
      </c>
      <c r="Y330" s="157" t="n">
        <v>540000</v>
      </c>
      <c r="AA330" s="157" t="n">
        <v>540000</v>
      </c>
      <c r="AC330" s="157" t="s">
        <v>4466</v>
      </c>
      <c r="AD330" s="157" t="s">
        <v>4467</v>
      </c>
      <c r="AE330" s="281" t="s">
        <v>4468</v>
      </c>
      <c r="AF330" s="281" t="s">
        <v>4469</v>
      </c>
      <c r="AI330" s="157" t="e">
        <f aca="false">IF(AND($E330=Subj_OccCode,Subj_BldgSF&gt;0,ABS($L330-Subj_BldgSF)&lt;=Subj_BldgSF*Subj_SizeTol),ABS($L330-Subj_BldgSF),NA())</f>
        <v>#N/A</v>
      </c>
      <c r="AJ330" s="157" t="e">
        <f aca="false">IF(ISNA(AI330),NA(),AI330+ROW()/10000000)</f>
        <v>#N/A</v>
      </c>
    </row>
    <row r="331" customFormat="false" ht="15" hidden="false" customHeight="true" outlineLevel="0" collapsed="false">
      <c r="A331" s="438" t="n">
        <v>8</v>
      </c>
      <c r="B331" s="157" t="n">
        <v>324</v>
      </c>
      <c r="C331" s="157" t="s">
        <v>4470</v>
      </c>
      <c r="D331" s="157" t="s">
        <v>4471</v>
      </c>
      <c r="E331" s="157" t="n">
        <v>344</v>
      </c>
      <c r="G331" s="157" t="s">
        <v>352</v>
      </c>
      <c r="H331" s="78" t="n">
        <f aca="false">Y331/J331</f>
        <v>138.858031548545</v>
      </c>
      <c r="I331" s="439" t="n">
        <v>43350</v>
      </c>
      <c r="J331" s="157" t="n">
        <v>4501</v>
      </c>
      <c r="L331" s="157" t="n">
        <v>4501</v>
      </c>
      <c r="M331" s="157" t="n">
        <v>1950</v>
      </c>
      <c r="P331" s="157" t="s">
        <v>2706</v>
      </c>
      <c r="R331" s="174" t="s">
        <v>279</v>
      </c>
      <c r="S331" s="157" t="n">
        <v>19920</v>
      </c>
      <c r="T331" s="440" t="n">
        <f aca="false">S331/J331</f>
        <v>4.42568318151522</v>
      </c>
      <c r="U331" s="157" t="s">
        <v>279</v>
      </c>
      <c r="Y331" s="157" t="n">
        <v>625000</v>
      </c>
      <c r="AA331" s="157" t="n">
        <v>625000</v>
      </c>
      <c r="AC331" s="157" t="s">
        <v>4472</v>
      </c>
      <c r="AD331" s="157" t="s">
        <v>4473</v>
      </c>
      <c r="AE331" s="281" t="s">
        <v>4474</v>
      </c>
      <c r="AF331" s="281" t="s">
        <v>4475</v>
      </c>
      <c r="AI331" s="157" t="e">
        <f aca="false">IF(AND($E331=Subj_OccCode,Subj_BldgSF&gt;0,ABS($L331-Subj_BldgSF)&lt;=Subj_BldgSF*Subj_SizeTol),ABS($L331-Subj_BldgSF),NA())</f>
        <v>#N/A</v>
      </c>
      <c r="AJ331" s="157" t="e">
        <f aca="false">IF(ISNA(AI331),NA(),AI331+ROW()/10000000)</f>
        <v>#N/A</v>
      </c>
    </row>
    <row r="332" customFormat="false" ht="15" hidden="false" customHeight="true" outlineLevel="0" collapsed="false">
      <c r="A332" s="438" t="n">
        <v>8</v>
      </c>
      <c r="B332" s="157" t="n">
        <v>325</v>
      </c>
      <c r="C332" s="157" t="s">
        <v>4476</v>
      </c>
      <c r="D332" s="157" t="s">
        <v>4477</v>
      </c>
      <c r="E332" s="157" t="n">
        <v>344</v>
      </c>
      <c r="G332" s="157" t="s">
        <v>353</v>
      </c>
      <c r="H332" s="78" t="n">
        <f aca="false">Y332/J332</f>
        <v>193.633254406735</v>
      </c>
      <c r="I332" s="439" t="n">
        <v>43308</v>
      </c>
      <c r="J332" s="157" t="n">
        <v>3801</v>
      </c>
      <c r="L332" s="157" t="n">
        <v>3801</v>
      </c>
      <c r="M332" s="157" t="n">
        <v>1994</v>
      </c>
      <c r="P332" s="157" t="s">
        <v>2692</v>
      </c>
      <c r="R332" s="174" t="s">
        <v>279</v>
      </c>
      <c r="S332" s="157" t="n">
        <v>87120</v>
      </c>
      <c r="T332" s="440" t="n">
        <f aca="false">S332/J332</f>
        <v>22.9202841357538</v>
      </c>
      <c r="U332" s="157" t="s">
        <v>279</v>
      </c>
      <c r="Y332" s="157" t="n">
        <v>736000</v>
      </c>
      <c r="AA332" s="157" t="n">
        <v>736000</v>
      </c>
      <c r="AC332" s="157" t="s">
        <v>4478</v>
      </c>
      <c r="AD332" s="157" t="s">
        <v>4479</v>
      </c>
      <c r="AE332" s="281" t="s">
        <v>4480</v>
      </c>
      <c r="AF332" s="281" t="s">
        <v>4481</v>
      </c>
      <c r="AI332" s="157" t="e">
        <f aca="false">IF(AND($E332=Subj_OccCode,Subj_BldgSF&gt;0,ABS($L332-Subj_BldgSF)&lt;=Subj_BldgSF*Subj_SizeTol),ABS($L332-Subj_BldgSF),NA())</f>
        <v>#N/A</v>
      </c>
      <c r="AJ332" s="157" t="e">
        <f aca="false">IF(ISNA(AI332),NA(),AI332+ROW()/10000000)</f>
        <v>#N/A</v>
      </c>
    </row>
    <row r="333" customFormat="false" ht="15" hidden="false" customHeight="true" outlineLevel="0" collapsed="false">
      <c r="A333" s="438" t="n">
        <v>8</v>
      </c>
      <c r="B333" s="157" t="n">
        <v>326</v>
      </c>
      <c r="C333" s="157" t="s">
        <v>4482</v>
      </c>
      <c r="D333" s="157" t="s">
        <v>4483</v>
      </c>
      <c r="E333" s="157" t="n">
        <v>353</v>
      </c>
      <c r="G333" s="157" t="s">
        <v>2567</v>
      </c>
      <c r="H333" s="78" t="n">
        <f aca="false">Y333/J333</f>
        <v>296.052631578947</v>
      </c>
      <c r="I333" s="439" t="n">
        <v>44315</v>
      </c>
      <c r="J333" s="157" t="n">
        <v>4560</v>
      </c>
      <c r="L333" s="157" t="n">
        <v>4560</v>
      </c>
      <c r="M333" s="157" t="n">
        <v>1985</v>
      </c>
      <c r="P333" s="157" t="s">
        <v>2706</v>
      </c>
      <c r="R333" s="174" t="s">
        <v>279</v>
      </c>
      <c r="S333" s="157" t="n">
        <v>25700</v>
      </c>
      <c r="T333" s="440" t="n">
        <f aca="false">S333/J333</f>
        <v>5.6359649122807</v>
      </c>
      <c r="U333" s="157" t="s">
        <v>279</v>
      </c>
      <c r="Y333" s="157" t="n">
        <v>1350000</v>
      </c>
      <c r="AA333" s="157" t="n">
        <v>1350000</v>
      </c>
      <c r="AC333" s="157" t="s">
        <v>4484</v>
      </c>
      <c r="AD333" s="157" t="s">
        <v>4485</v>
      </c>
      <c r="AE333" s="281" t="s">
        <v>4486</v>
      </c>
      <c r="AF333" s="281" t="s">
        <v>4487</v>
      </c>
      <c r="AI333" s="157" t="e">
        <f aca="false">IF(AND($E333=Subj_OccCode,Subj_BldgSF&gt;0,ABS($L333-Subj_BldgSF)&lt;=Subj_BldgSF*Subj_SizeTol),ABS($L333-Subj_BldgSF),NA())</f>
        <v>#N/A</v>
      </c>
      <c r="AJ333" s="157" t="e">
        <f aca="false">IF(ISNA(AI333),NA(),AI333+ROW()/10000000)</f>
        <v>#N/A</v>
      </c>
    </row>
    <row r="334" customFormat="false" ht="15" hidden="false" customHeight="true" outlineLevel="0" collapsed="false">
      <c r="A334" s="438" t="n">
        <v>8</v>
      </c>
      <c r="B334" s="157" t="n">
        <v>327</v>
      </c>
      <c r="C334" s="157" t="s">
        <v>4488</v>
      </c>
      <c r="D334" s="157" t="s">
        <v>4489</v>
      </c>
      <c r="E334" s="157" t="n">
        <v>353</v>
      </c>
      <c r="F334" s="157" t="s">
        <v>2595</v>
      </c>
      <c r="G334" s="157" t="s">
        <v>2596</v>
      </c>
      <c r="H334" s="78" t="n">
        <f aca="false">Y334/J334</f>
        <v>338.669950738916</v>
      </c>
      <c r="I334" s="439" t="n">
        <v>44592</v>
      </c>
      <c r="J334" s="157" t="n">
        <v>1624</v>
      </c>
      <c r="L334" s="157" t="n">
        <v>1624</v>
      </c>
      <c r="M334" s="157" t="n">
        <v>1970</v>
      </c>
      <c r="P334" s="157" t="s">
        <v>3108</v>
      </c>
      <c r="R334" s="174" t="s">
        <v>279</v>
      </c>
      <c r="S334" s="157" t="n">
        <v>9520</v>
      </c>
      <c r="T334" s="440" t="n">
        <f aca="false">S334/J334</f>
        <v>5.86206896551724</v>
      </c>
      <c r="U334" s="157" t="s">
        <v>279</v>
      </c>
      <c r="Y334" s="157" t="n">
        <v>550000</v>
      </c>
      <c r="AA334" s="157" t="n">
        <v>550000</v>
      </c>
      <c r="AC334" s="157" t="s">
        <v>4490</v>
      </c>
      <c r="AD334" s="157" t="s">
        <v>4491</v>
      </c>
      <c r="AE334" s="281" t="s">
        <v>4492</v>
      </c>
      <c r="AF334" s="281" t="s">
        <v>4493</v>
      </c>
      <c r="AI334" s="157" t="e">
        <f aca="false">IF(AND($E334=Subj_OccCode,Subj_BldgSF&gt;0,ABS($L334-Subj_BldgSF)&lt;=Subj_BldgSF*Subj_SizeTol),ABS($L334-Subj_BldgSF),NA())</f>
        <v>#N/A</v>
      </c>
      <c r="AJ334" s="157" t="e">
        <f aca="false">IF(ISNA(AI334),NA(),AI334+ROW()/10000000)</f>
        <v>#N/A</v>
      </c>
    </row>
    <row r="335" customFormat="false" ht="15" hidden="false" customHeight="true" outlineLevel="0" collapsed="false">
      <c r="A335" s="438" t="n">
        <v>8</v>
      </c>
      <c r="B335" s="157" t="n">
        <v>328</v>
      </c>
      <c r="C335" s="157" t="s">
        <v>4494</v>
      </c>
      <c r="D335" s="157" t="s">
        <v>4495</v>
      </c>
      <c r="E335" s="157" t="n">
        <v>407</v>
      </c>
      <c r="F335" s="157" t="s">
        <v>2921</v>
      </c>
      <c r="G335" s="157" t="s">
        <v>2691</v>
      </c>
      <c r="H335" s="78" t="n">
        <f aca="false">Y335/J335</f>
        <v>129.032258064516</v>
      </c>
      <c r="I335" s="439" t="n">
        <v>44134</v>
      </c>
      <c r="J335" s="157" t="n">
        <v>15500</v>
      </c>
      <c r="L335" s="157" t="n">
        <v>15500</v>
      </c>
      <c r="M335" s="157" t="n">
        <v>1970</v>
      </c>
      <c r="P335" s="157" t="s">
        <v>2922</v>
      </c>
      <c r="R335" s="174" t="s">
        <v>279</v>
      </c>
      <c r="S335" s="157" t="n">
        <v>34300</v>
      </c>
      <c r="T335" s="440" t="n">
        <f aca="false">S335/J335</f>
        <v>2.21290322580645</v>
      </c>
      <c r="U335" s="157" t="s">
        <v>279</v>
      </c>
      <c r="Y335" s="157" t="n">
        <v>2000000</v>
      </c>
      <c r="AA335" s="157" t="n">
        <v>2000000</v>
      </c>
      <c r="AC335" s="157" t="s">
        <v>4496</v>
      </c>
      <c r="AD335" s="157" t="s">
        <v>4497</v>
      </c>
      <c r="AE335" s="281" t="s">
        <v>4498</v>
      </c>
      <c r="AF335" s="281" t="s">
        <v>4499</v>
      </c>
      <c r="AI335" s="157" t="e">
        <f aca="false">IF(AND($E335=Subj_OccCode,Subj_BldgSF&gt;0,ABS($L335-Subj_BldgSF)&lt;=Subj_BldgSF*Subj_SizeTol),ABS($L335-Subj_BldgSF),NA())</f>
        <v>#N/A</v>
      </c>
      <c r="AJ335" s="157" t="e">
        <f aca="false">IF(ISNA(AI335),NA(),AI335+ROW()/10000000)</f>
        <v>#N/A</v>
      </c>
    </row>
    <row r="336" customFormat="false" ht="15" hidden="false" customHeight="true" outlineLevel="0" collapsed="false">
      <c r="A336" s="438" t="n">
        <v>8</v>
      </c>
      <c r="B336" s="157" t="n">
        <v>329</v>
      </c>
      <c r="C336" s="157" t="s">
        <v>4360</v>
      </c>
      <c r="D336" s="157" t="s">
        <v>4361</v>
      </c>
      <c r="E336" s="157" t="n">
        <v>353</v>
      </c>
      <c r="F336" s="157" t="s">
        <v>260</v>
      </c>
      <c r="G336" s="157" t="s">
        <v>353</v>
      </c>
      <c r="H336" s="78" t="n">
        <f aca="false">Y336/J336</f>
        <v>166.666666666667</v>
      </c>
      <c r="I336" s="439" t="n">
        <v>43194</v>
      </c>
      <c r="J336" s="157" t="n">
        <v>3900</v>
      </c>
      <c r="L336" s="157" t="n">
        <v>3900</v>
      </c>
      <c r="M336" s="157" t="n">
        <v>1897</v>
      </c>
      <c r="P336" s="157" t="s">
        <v>1929</v>
      </c>
      <c r="R336" s="174" t="s">
        <v>279</v>
      </c>
      <c r="S336" s="157" t="n">
        <v>10000</v>
      </c>
      <c r="T336" s="440" t="n">
        <f aca="false">S336/J336</f>
        <v>2.56410256410256</v>
      </c>
      <c r="U336" s="157" t="s">
        <v>483</v>
      </c>
      <c r="Y336" s="157" t="n">
        <v>650000</v>
      </c>
      <c r="AA336" s="157" t="n">
        <v>650000</v>
      </c>
      <c r="AC336" s="157" t="s">
        <v>4362</v>
      </c>
      <c r="AD336" s="157" t="s">
        <v>4500</v>
      </c>
      <c r="AE336" s="281" t="s">
        <v>4501</v>
      </c>
      <c r="AF336" s="281" t="s">
        <v>4364</v>
      </c>
      <c r="AI336" s="157" t="e">
        <f aca="false">IF(AND($E336=Subj_OccCode,Subj_BldgSF&gt;0,ABS($L336-Subj_BldgSF)&lt;=Subj_BldgSF*Subj_SizeTol),ABS($L336-Subj_BldgSF),NA())</f>
        <v>#N/A</v>
      </c>
      <c r="AJ336" s="157" t="e">
        <f aca="false">IF(ISNA(AI336),NA(),AI336+ROW()/10000000)</f>
        <v>#N/A</v>
      </c>
    </row>
    <row r="337" customFormat="false" ht="15" hidden="false" customHeight="true" outlineLevel="0" collapsed="false">
      <c r="A337" s="438" t="n">
        <v>8</v>
      </c>
      <c r="B337" s="157" t="n">
        <v>330</v>
      </c>
      <c r="C337" s="157" t="s">
        <v>4502</v>
      </c>
      <c r="D337" s="157" t="s">
        <v>4503</v>
      </c>
      <c r="E337" s="157" t="n">
        <v>406</v>
      </c>
      <c r="F337" s="157" t="s">
        <v>260</v>
      </c>
      <c r="G337" s="157" t="s">
        <v>353</v>
      </c>
      <c r="H337" s="78" t="n">
        <f aca="false">Y337/J337</f>
        <v>99.8263888888889</v>
      </c>
      <c r="I337" s="439" t="n">
        <v>43549</v>
      </c>
      <c r="J337" s="157" t="n">
        <v>5760</v>
      </c>
      <c r="L337" s="157" t="n">
        <v>5760</v>
      </c>
      <c r="M337" s="157" t="n">
        <v>1979</v>
      </c>
      <c r="P337" s="157" t="s">
        <v>1929</v>
      </c>
      <c r="R337" s="174" t="s">
        <v>279</v>
      </c>
      <c r="S337" s="157" t="n">
        <v>15000</v>
      </c>
      <c r="T337" s="440" t="n">
        <f aca="false">S337/J337</f>
        <v>2.60416666666667</v>
      </c>
      <c r="U337" s="157" t="s">
        <v>279</v>
      </c>
      <c r="Y337" s="157" t="n">
        <v>575000</v>
      </c>
      <c r="AA337" s="157" t="n">
        <v>575000</v>
      </c>
      <c r="AC337" s="157" t="s">
        <v>4504</v>
      </c>
      <c r="AD337" s="157" t="s">
        <v>4505</v>
      </c>
      <c r="AE337" s="281" t="s">
        <v>4506</v>
      </c>
      <c r="AF337" s="281" t="s">
        <v>4507</v>
      </c>
      <c r="AI337" s="157" t="e">
        <f aca="false">IF(AND($E337=Subj_OccCode,Subj_BldgSF&gt;0,ABS($L337-Subj_BldgSF)&lt;=Subj_BldgSF*Subj_SizeTol),ABS($L337-Subj_BldgSF),NA())</f>
        <v>#N/A</v>
      </c>
      <c r="AJ337" s="157" t="e">
        <f aca="false">IF(ISNA(AI337),NA(),AI337+ROW()/10000000)</f>
        <v>#N/A</v>
      </c>
    </row>
    <row r="338" customFormat="false" ht="15" hidden="false" customHeight="true" outlineLevel="0" collapsed="false">
      <c r="A338" s="438" t="n">
        <v>8</v>
      </c>
      <c r="B338" s="157" t="n">
        <v>331</v>
      </c>
      <c r="C338" s="157" t="s">
        <v>4508</v>
      </c>
      <c r="D338" s="157" t="s">
        <v>4509</v>
      </c>
      <c r="E338" s="157" t="n">
        <v>350</v>
      </c>
      <c r="F338" s="157" t="s">
        <v>260</v>
      </c>
      <c r="G338" s="157" t="s">
        <v>353</v>
      </c>
      <c r="H338" s="78" t="n">
        <f aca="false">Y338/J338</f>
        <v>390.625</v>
      </c>
      <c r="I338" s="439" t="n">
        <v>44063</v>
      </c>
      <c r="J338" s="157" t="n">
        <v>704</v>
      </c>
      <c r="L338" s="157" t="n">
        <v>704</v>
      </c>
      <c r="M338" s="157" t="n">
        <v>1945</v>
      </c>
      <c r="P338" s="157" t="s">
        <v>2765</v>
      </c>
      <c r="R338" s="174" t="s">
        <v>483</v>
      </c>
      <c r="S338" s="157" t="n">
        <v>5000</v>
      </c>
      <c r="T338" s="440" t="n">
        <f aca="false">S338/J338</f>
        <v>7.10227272727273</v>
      </c>
      <c r="U338" s="157" t="s">
        <v>483</v>
      </c>
      <c r="Y338" s="157" t="n">
        <v>275000</v>
      </c>
      <c r="AA338" s="157" t="n">
        <v>275000</v>
      </c>
      <c r="AC338" s="157" t="s">
        <v>4510</v>
      </c>
      <c r="AD338" s="157" t="s">
        <v>4511</v>
      </c>
      <c r="AE338" s="281" t="s">
        <v>4512</v>
      </c>
      <c r="AF338" s="281" t="s">
        <v>4513</v>
      </c>
      <c r="AI338" s="157" t="e">
        <f aca="false">IF(AND($E338=Subj_OccCode,Subj_BldgSF&gt;0,ABS($L338-Subj_BldgSF)&lt;=Subj_BldgSF*Subj_SizeTol),ABS($L338-Subj_BldgSF),NA())</f>
        <v>#N/A</v>
      </c>
      <c r="AJ338" s="157" t="e">
        <f aca="false">IF(ISNA(AI338),NA(),AI338+ROW()/10000000)</f>
        <v>#N/A</v>
      </c>
    </row>
    <row r="339" customFormat="false" ht="15" hidden="false" customHeight="true" outlineLevel="0" collapsed="false">
      <c r="A339" s="438" t="n">
        <v>8</v>
      </c>
      <c r="B339" s="157" t="n">
        <v>332</v>
      </c>
      <c r="C339" s="157" t="s">
        <v>4514</v>
      </c>
      <c r="D339" s="157" t="s">
        <v>4515</v>
      </c>
      <c r="E339" s="157" t="n">
        <v>353</v>
      </c>
      <c r="F339" s="157" t="s">
        <v>3320</v>
      </c>
      <c r="G339" s="157" t="s">
        <v>352</v>
      </c>
      <c r="H339" s="78" t="n">
        <f aca="false">Y339/J339</f>
        <v>235.492010092515</v>
      </c>
      <c r="I339" s="439" t="n">
        <v>44650</v>
      </c>
      <c r="J339" s="157" t="n">
        <v>1189</v>
      </c>
      <c r="L339" s="157" t="n">
        <v>1189</v>
      </c>
      <c r="M339" s="157" t="n">
        <v>1961</v>
      </c>
      <c r="P339" s="157" t="s">
        <v>4516</v>
      </c>
      <c r="R339" s="174" t="s">
        <v>279</v>
      </c>
      <c r="S339" s="157" t="n">
        <v>8250</v>
      </c>
      <c r="T339" s="440" t="n">
        <f aca="false">S339/J339</f>
        <v>6.93860386879731</v>
      </c>
      <c r="U339" s="157" t="s">
        <v>279</v>
      </c>
      <c r="Y339" s="157" t="n">
        <v>280000</v>
      </c>
      <c r="AA339" s="157" t="n">
        <v>280000</v>
      </c>
      <c r="AC339" s="157" t="s">
        <v>4517</v>
      </c>
      <c r="AD339" s="157" t="s">
        <v>4518</v>
      </c>
      <c r="AE339" s="281" t="s">
        <v>4519</v>
      </c>
      <c r="AF339" s="281" t="s">
        <v>4520</v>
      </c>
      <c r="AI339" s="157" t="e">
        <f aca="false">IF(AND($E339=Subj_OccCode,Subj_BldgSF&gt;0,ABS($L339-Subj_BldgSF)&lt;=Subj_BldgSF*Subj_SizeTol),ABS($L339-Subj_BldgSF),NA())</f>
        <v>#N/A</v>
      </c>
      <c r="AJ339" s="157" t="e">
        <f aca="false">IF(ISNA(AI339),NA(),AI339+ROW()/10000000)</f>
        <v>#N/A</v>
      </c>
    </row>
    <row r="340" customFormat="false" ht="15" hidden="false" customHeight="true" outlineLevel="0" collapsed="false">
      <c r="A340" s="438" t="n">
        <v>8</v>
      </c>
      <c r="B340" s="157" t="n">
        <v>333</v>
      </c>
      <c r="C340" s="157" t="s">
        <v>4521</v>
      </c>
      <c r="D340" s="157" t="s">
        <v>4522</v>
      </c>
      <c r="E340" s="157" t="n">
        <v>406</v>
      </c>
      <c r="G340" s="157" t="s">
        <v>352</v>
      </c>
      <c r="H340" s="78" t="n">
        <f aca="false">Y340/J340</f>
        <v>49.0270025644894</v>
      </c>
      <c r="I340" s="439" t="n">
        <v>43102</v>
      </c>
      <c r="J340" s="157" t="n">
        <v>19887</v>
      </c>
      <c r="L340" s="157" t="n">
        <v>19887</v>
      </c>
      <c r="M340" s="157" t="n">
        <v>1993</v>
      </c>
      <c r="P340" s="157" t="s">
        <v>4523</v>
      </c>
      <c r="R340" s="174" t="s">
        <v>1511</v>
      </c>
      <c r="S340" s="157" t="n">
        <v>1244073.6</v>
      </c>
      <c r="T340" s="440" t="n">
        <f aca="false">S340/J340</f>
        <v>62.5571277719113</v>
      </c>
      <c r="U340" s="157" t="s">
        <v>555</v>
      </c>
      <c r="Y340" s="157" t="n">
        <v>975000</v>
      </c>
      <c r="AA340" s="157" t="n">
        <v>975000</v>
      </c>
      <c r="AC340" s="157" t="s">
        <v>4524</v>
      </c>
      <c r="AD340" s="157" t="s">
        <v>4525</v>
      </c>
      <c r="AE340" s="281" t="s">
        <v>4526</v>
      </c>
      <c r="AF340" s="281" t="s">
        <v>4527</v>
      </c>
      <c r="AI340" s="157" t="e">
        <f aca="false">IF(AND($E340=Subj_OccCode,Subj_BldgSF&gt;0,ABS($L340-Subj_BldgSF)&lt;=Subj_BldgSF*Subj_SizeTol),ABS($L340-Subj_BldgSF),NA())</f>
        <v>#N/A</v>
      </c>
      <c r="AJ340" s="157" t="e">
        <f aca="false">IF(ISNA(AI340),NA(),AI340+ROW()/10000000)</f>
        <v>#N/A</v>
      </c>
    </row>
    <row r="341" customFormat="false" ht="15" hidden="false" customHeight="true" outlineLevel="0" collapsed="false">
      <c r="A341" s="438" t="n">
        <v>8</v>
      </c>
      <c r="B341" s="157" t="n">
        <v>334</v>
      </c>
      <c r="C341" s="157" t="s">
        <v>2730</v>
      </c>
      <c r="D341" s="157" t="s">
        <v>2731</v>
      </c>
      <c r="E341" s="157" t="n">
        <v>406</v>
      </c>
      <c r="G341" s="157" t="s">
        <v>2691</v>
      </c>
      <c r="H341" s="78" t="n">
        <f aca="false">Y341/J341</f>
        <v>129.841897233202</v>
      </c>
      <c r="I341" s="439" t="n">
        <v>43705</v>
      </c>
      <c r="J341" s="157" t="n">
        <v>25300</v>
      </c>
      <c r="L341" s="157" t="n">
        <v>25300</v>
      </c>
      <c r="M341" s="157" t="n">
        <v>1994</v>
      </c>
      <c r="P341" s="157" t="s">
        <v>2692</v>
      </c>
      <c r="R341" s="174" t="s">
        <v>279</v>
      </c>
      <c r="S341" s="157" t="n">
        <v>197703</v>
      </c>
      <c r="T341" s="440" t="n">
        <f aca="false">S341/J341</f>
        <v>7.81434782608696</v>
      </c>
      <c r="U341" s="157" t="s">
        <v>279</v>
      </c>
      <c r="Y341" s="157" t="n">
        <v>3285000</v>
      </c>
      <c r="AA341" s="157" t="n">
        <v>3285000</v>
      </c>
      <c r="AC341" s="157" t="s">
        <v>2732</v>
      </c>
      <c r="AD341" s="157" t="s">
        <v>4528</v>
      </c>
      <c r="AE341" s="281" t="s">
        <v>4529</v>
      </c>
      <c r="AF341" s="281" t="s">
        <v>2734</v>
      </c>
      <c r="AI341" s="157" t="e">
        <f aca="false">IF(AND($E341=Subj_OccCode,Subj_BldgSF&gt;0,ABS($L341-Subj_BldgSF)&lt;=Subj_BldgSF*Subj_SizeTol),ABS($L341-Subj_BldgSF),NA())</f>
        <v>#N/A</v>
      </c>
      <c r="AJ341" s="157" t="e">
        <f aca="false">IF(ISNA(AI341),NA(),AI341+ROW()/10000000)</f>
        <v>#N/A</v>
      </c>
    </row>
    <row r="342" customFormat="false" ht="15" hidden="false" customHeight="true" outlineLevel="0" collapsed="false">
      <c r="A342" s="438" t="n">
        <v>8</v>
      </c>
      <c r="B342" s="157" t="n">
        <v>335</v>
      </c>
      <c r="C342" s="157" t="s">
        <v>2724</v>
      </c>
      <c r="D342" s="157" t="s">
        <v>4530</v>
      </c>
      <c r="E342" s="157" t="n">
        <v>407</v>
      </c>
      <c r="F342" s="157" t="s">
        <v>2595</v>
      </c>
      <c r="G342" s="157" t="s">
        <v>2596</v>
      </c>
      <c r="H342" s="78" t="n">
        <f aca="false">Y342/J342</f>
        <v>110.751169809231</v>
      </c>
      <c r="I342" s="439" t="n">
        <v>44168</v>
      </c>
      <c r="J342" s="157" t="n">
        <v>144468</v>
      </c>
      <c r="L342" s="157" t="n">
        <v>144468</v>
      </c>
      <c r="M342" s="157" t="n">
        <v>1985</v>
      </c>
      <c r="P342" s="157" t="s">
        <v>2713</v>
      </c>
      <c r="R342" s="174" t="s">
        <v>483</v>
      </c>
      <c r="S342" s="157" t="n">
        <v>363339</v>
      </c>
      <c r="T342" s="440" t="n">
        <f aca="false">S342/J342</f>
        <v>2.51501370545726</v>
      </c>
      <c r="U342" s="157" t="s">
        <v>279</v>
      </c>
      <c r="Y342" s="157" t="n">
        <v>16000000</v>
      </c>
      <c r="AA342" s="157" t="n">
        <v>16000000</v>
      </c>
      <c r="AC342" s="157" t="s">
        <v>2726</v>
      </c>
      <c r="AD342" s="157" t="s">
        <v>4531</v>
      </c>
      <c r="AE342" s="281" t="s">
        <v>4532</v>
      </c>
      <c r="AF342" s="281" t="s">
        <v>4533</v>
      </c>
      <c r="AI342" s="157" t="e">
        <f aca="false">IF(AND($E342=Subj_OccCode,Subj_BldgSF&gt;0,ABS($L342-Subj_BldgSF)&lt;=Subj_BldgSF*Subj_SizeTol),ABS($L342-Subj_BldgSF),NA())</f>
        <v>#N/A</v>
      </c>
      <c r="AJ342" s="157" t="e">
        <f aca="false">IF(ISNA(AI342),NA(),AI342+ROW()/10000000)</f>
        <v>#N/A</v>
      </c>
    </row>
    <row r="343" customFormat="false" ht="15" hidden="false" customHeight="true" outlineLevel="0" collapsed="false">
      <c r="A343" s="438" t="n">
        <v>8</v>
      </c>
      <c r="B343" s="157" t="n">
        <v>336</v>
      </c>
      <c r="C343" s="157" t="s">
        <v>4534</v>
      </c>
      <c r="D343" s="157" t="s">
        <v>4535</v>
      </c>
      <c r="E343" s="157" t="n">
        <v>407</v>
      </c>
      <c r="F343" s="157" t="s">
        <v>2921</v>
      </c>
      <c r="G343" s="157" t="s">
        <v>2691</v>
      </c>
      <c r="H343" s="78" t="n">
        <f aca="false">Y343/J343</f>
        <v>184.075342465753</v>
      </c>
      <c r="I343" s="439" t="n">
        <v>44309</v>
      </c>
      <c r="J343" s="157" t="n">
        <v>5840</v>
      </c>
      <c r="L343" s="157" t="n">
        <v>5840</v>
      </c>
      <c r="M343" s="157" t="n">
        <v>1962</v>
      </c>
      <c r="P343" s="157" t="s">
        <v>2922</v>
      </c>
      <c r="R343" s="174" t="s">
        <v>279</v>
      </c>
      <c r="S343" s="157" t="n">
        <v>11725</v>
      </c>
      <c r="T343" s="440" t="n">
        <f aca="false">S343/J343</f>
        <v>2.00770547945205</v>
      </c>
      <c r="U343" s="157" t="s">
        <v>279</v>
      </c>
      <c r="Y343" s="157" t="n">
        <v>1075000</v>
      </c>
      <c r="AA343" s="157" t="n">
        <v>1075000</v>
      </c>
      <c r="AC343" s="157" t="s">
        <v>4536</v>
      </c>
      <c r="AD343" s="157" t="s">
        <v>4537</v>
      </c>
      <c r="AE343" s="281" t="s">
        <v>4538</v>
      </c>
      <c r="AF343" s="281" t="s">
        <v>4539</v>
      </c>
      <c r="AI343" s="157" t="e">
        <f aca="false">IF(AND($E343=Subj_OccCode,Subj_BldgSF&gt;0,ABS($L343-Subj_BldgSF)&lt;=Subj_BldgSF*Subj_SizeTol),ABS($L343-Subj_BldgSF),NA())</f>
        <v>#N/A</v>
      </c>
      <c r="AJ343" s="157" t="e">
        <f aca="false">IF(ISNA(AI343),NA(),AI343+ROW()/10000000)</f>
        <v>#N/A</v>
      </c>
    </row>
    <row r="344" customFormat="false" ht="15" hidden="false" customHeight="true" outlineLevel="0" collapsed="false">
      <c r="A344" s="438" t="n">
        <v>8</v>
      </c>
      <c r="B344" s="157" t="n">
        <v>337</v>
      </c>
      <c r="C344" s="157" t="s">
        <v>4540</v>
      </c>
      <c r="D344" s="157" t="s">
        <v>4541</v>
      </c>
      <c r="E344" s="157" t="n">
        <v>325</v>
      </c>
      <c r="G344" s="157" t="s">
        <v>353</v>
      </c>
      <c r="H344" s="78" t="n">
        <f aca="false">Y344/J344</f>
        <v>98.6295681063123</v>
      </c>
      <c r="I344" s="439" t="n">
        <v>43356</v>
      </c>
      <c r="J344" s="157" t="n">
        <v>4816</v>
      </c>
      <c r="L344" s="157" t="n">
        <v>4816</v>
      </c>
      <c r="M344" s="157" t="n">
        <v>1983</v>
      </c>
      <c r="P344" s="157" t="s">
        <v>2692</v>
      </c>
      <c r="R344" s="174" t="s">
        <v>279</v>
      </c>
      <c r="S344" s="157" t="n">
        <v>15000</v>
      </c>
      <c r="T344" s="440" t="n">
        <f aca="false">S344/J344</f>
        <v>3.11461794019934</v>
      </c>
      <c r="U344" s="157" t="s">
        <v>279</v>
      </c>
      <c r="Y344" s="157" t="n">
        <v>475000</v>
      </c>
      <c r="AA344" s="157" t="n">
        <v>475000</v>
      </c>
      <c r="AC344" s="157" t="s">
        <v>4542</v>
      </c>
      <c r="AD344" s="157" t="s">
        <v>4543</v>
      </c>
      <c r="AE344" s="281" t="s">
        <v>4544</v>
      </c>
      <c r="AF344" s="281" t="s">
        <v>4545</v>
      </c>
      <c r="AI344" s="157" t="e">
        <f aca="false">IF(AND($E344=Subj_OccCode,Subj_BldgSF&gt;0,ABS($L344-Subj_BldgSF)&lt;=Subj_BldgSF*Subj_SizeTol),ABS($L344-Subj_BldgSF),NA())</f>
        <v>#N/A</v>
      </c>
      <c r="AJ344" s="157" t="e">
        <f aca="false">IF(ISNA(AI344),NA(),AI344+ROW()/10000000)</f>
        <v>#N/A</v>
      </c>
    </row>
    <row r="345" customFormat="false" ht="15" hidden="false" customHeight="true" outlineLevel="0" collapsed="false">
      <c r="A345" s="438" t="n">
        <v>8</v>
      </c>
      <c r="B345" s="157" t="n">
        <v>338</v>
      </c>
      <c r="C345" s="157" t="s">
        <v>4546</v>
      </c>
      <c r="D345" s="157" t="s">
        <v>4547</v>
      </c>
      <c r="E345" s="157" t="n">
        <v>407</v>
      </c>
      <c r="G345" s="157" t="s">
        <v>2691</v>
      </c>
      <c r="H345" s="78" t="n">
        <f aca="false">Y345/J345</f>
        <v>132.142857142857</v>
      </c>
      <c r="I345" s="439" t="n">
        <v>44281</v>
      </c>
      <c r="J345" s="157" t="n">
        <v>56000</v>
      </c>
      <c r="L345" s="157" t="n">
        <v>56000</v>
      </c>
      <c r="M345" s="157" t="n">
        <v>1978</v>
      </c>
      <c r="P345" s="157" t="s">
        <v>2692</v>
      </c>
      <c r="R345" s="174" t="s">
        <v>279</v>
      </c>
      <c r="S345" s="157" t="n">
        <v>162914</v>
      </c>
      <c r="T345" s="440" t="n">
        <f aca="false">S345/J345</f>
        <v>2.90917857142857</v>
      </c>
      <c r="U345" s="157" t="s">
        <v>279</v>
      </c>
      <c r="Y345" s="157" t="n">
        <v>7400000</v>
      </c>
      <c r="AA345" s="157" t="n">
        <v>7400000</v>
      </c>
      <c r="AC345" s="157" t="s">
        <v>4548</v>
      </c>
      <c r="AD345" s="157" t="s">
        <v>4549</v>
      </c>
      <c r="AE345" s="281" t="s">
        <v>4550</v>
      </c>
      <c r="AF345" s="281" t="s">
        <v>4551</v>
      </c>
      <c r="AI345" s="157" t="e">
        <f aca="false">IF(AND($E345=Subj_OccCode,Subj_BldgSF&gt;0,ABS($L345-Subj_BldgSF)&lt;=Subj_BldgSF*Subj_SizeTol),ABS($L345-Subj_BldgSF),NA())</f>
        <v>#N/A</v>
      </c>
      <c r="AJ345" s="157" t="e">
        <f aca="false">IF(ISNA(AI345),NA(),AI345+ROW()/10000000)</f>
        <v>#N/A</v>
      </c>
    </row>
    <row r="346" customFormat="false" ht="15" hidden="false" customHeight="true" outlineLevel="0" collapsed="false">
      <c r="A346" s="438" t="n">
        <v>8</v>
      </c>
      <c r="B346" s="157" t="n">
        <v>339</v>
      </c>
      <c r="C346" s="157" t="s">
        <v>4552</v>
      </c>
      <c r="D346" s="157" t="s">
        <v>4553</v>
      </c>
      <c r="E346" s="157" t="n">
        <v>407</v>
      </c>
      <c r="G346" s="157" t="s">
        <v>2691</v>
      </c>
      <c r="H346" s="78" t="n">
        <f aca="false">Y346/J346</f>
        <v>138.962413975649</v>
      </c>
      <c r="I346" s="439" t="n">
        <v>43251</v>
      </c>
      <c r="J346" s="157" t="n">
        <v>15112</v>
      </c>
      <c r="L346" s="157" t="n">
        <v>15112</v>
      </c>
      <c r="M346" s="157" t="n">
        <v>1998</v>
      </c>
      <c r="P346" s="157" t="s">
        <v>2750</v>
      </c>
      <c r="R346" s="174" t="s">
        <v>279</v>
      </c>
      <c r="S346" s="157" t="n">
        <v>43995.6016</v>
      </c>
      <c r="T346" s="440" t="n">
        <f aca="false">S346/J346</f>
        <v>2.91130238221281</v>
      </c>
      <c r="U346" s="157" t="s">
        <v>279</v>
      </c>
      <c r="Y346" s="157" t="n">
        <v>2100000</v>
      </c>
      <c r="AA346" s="157" t="n">
        <v>2100000</v>
      </c>
      <c r="AC346" s="157" t="s">
        <v>4554</v>
      </c>
      <c r="AD346" s="157" t="s">
        <v>4555</v>
      </c>
      <c r="AE346" s="281" t="s">
        <v>4556</v>
      </c>
      <c r="AF346" s="281" t="s">
        <v>4557</v>
      </c>
      <c r="AI346" s="157" t="e">
        <f aca="false">IF(AND($E346=Subj_OccCode,Subj_BldgSF&gt;0,ABS($L346-Subj_BldgSF)&lt;=Subj_BldgSF*Subj_SizeTol),ABS($L346-Subj_BldgSF),NA())</f>
        <v>#N/A</v>
      </c>
      <c r="AJ346" s="157" t="e">
        <f aca="false">IF(ISNA(AI346),NA(),AI346+ROW()/10000000)</f>
        <v>#N/A</v>
      </c>
    </row>
    <row r="347" customFormat="false" ht="15" hidden="false" customHeight="true" outlineLevel="0" collapsed="false">
      <c r="A347" s="438" t="n">
        <v>8</v>
      </c>
      <c r="B347" s="157" t="n">
        <v>340</v>
      </c>
      <c r="C347" s="157" t="s">
        <v>4558</v>
      </c>
      <c r="D347" s="157" t="s">
        <v>4559</v>
      </c>
      <c r="E347" s="157" t="n">
        <v>334</v>
      </c>
      <c r="G347" s="157" t="s">
        <v>2691</v>
      </c>
      <c r="H347" s="78" t="n">
        <f aca="false">Y347/J347</f>
        <v>128.908957475435</v>
      </c>
      <c r="I347" s="439" t="n">
        <v>44399</v>
      </c>
      <c r="J347" s="157" t="n">
        <v>49054</v>
      </c>
      <c r="L347" s="157" t="n">
        <v>49054</v>
      </c>
      <c r="M347" s="157" t="n">
        <v>1999</v>
      </c>
      <c r="P347" s="157" t="s">
        <v>2750</v>
      </c>
      <c r="R347" s="174" t="s">
        <v>279</v>
      </c>
      <c r="S347" s="157" t="n">
        <v>87555.6016</v>
      </c>
      <c r="T347" s="440" t="n">
        <f aca="false">S347/J347</f>
        <v>1.7848819994292</v>
      </c>
      <c r="U347" s="157" t="s">
        <v>279</v>
      </c>
      <c r="Y347" s="157" t="n">
        <v>6323500</v>
      </c>
      <c r="AA347" s="157" t="n">
        <v>6323500</v>
      </c>
      <c r="AC347" s="157" t="s">
        <v>4560</v>
      </c>
      <c r="AD347" s="157" t="s">
        <v>4561</v>
      </c>
      <c r="AE347" s="281" t="s">
        <v>4562</v>
      </c>
      <c r="AF347" s="281" t="s">
        <v>4563</v>
      </c>
      <c r="AI347" s="157" t="e">
        <f aca="false">IF(AND($E347=Subj_OccCode,Subj_BldgSF&gt;0,ABS($L347-Subj_BldgSF)&lt;=Subj_BldgSF*Subj_SizeTol),ABS($L347-Subj_BldgSF),NA())</f>
        <v>#N/A</v>
      </c>
      <c r="AJ347" s="157" t="e">
        <f aca="false">IF(ISNA(AI347),NA(),AI347+ROW()/10000000)</f>
        <v>#N/A</v>
      </c>
    </row>
    <row r="348" customFormat="false" ht="15" hidden="false" customHeight="true" outlineLevel="0" collapsed="false">
      <c r="A348" s="438" t="n">
        <v>8</v>
      </c>
      <c r="B348" s="157" t="n">
        <v>341</v>
      </c>
      <c r="C348" s="157" t="s">
        <v>4564</v>
      </c>
      <c r="D348" s="157" t="s">
        <v>4565</v>
      </c>
      <c r="E348" s="157" t="n">
        <v>407</v>
      </c>
      <c r="G348" s="157" t="s">
        <v>2691</v>
      </c>
      <c r="H348" s="78" t="n">
        <f aca="false">Y348/J348</f>
        <v>91.7142506293363</v>
      </c>
      <c r="I348" s="439" t="n">
        <v>44358</v>
      </c>
      <c r="J348" s="157" t="n">
        <v>130296</v>
      </c>
      <c r="L348" s="157" t="n">
        <v>130296</v>
      </c>
      <c r="M348" s="157" t="n">
        <v>1969</v>
      </c>
      <c r="P348" s="157" t="s">
        <v>2692</v>
      </c>
      <c r="R348" s="174" t="s">
        <v>279</v>
      </c>
      <c r="S348" s="157" t="n">
        <v>217800</v>
      </c>
      <c r="T348" s="440" t="n">
        <f aca="false">S348/J348</f>
        <v>1.6715785595874</v>
      </c>
      <c r="U348" s="157" t="s">
        <v>279</v>
      </c>
      <c r="Y348" s="157" t="n">
        <v>11950000</v>
      </c>
      <c r="AA348" s="157" t="n">
        <v>11950000</v>
      </c>
      <c r="AC348" s="157" t="s">
        <v>4566</v>
      </c>
      <c r="AD348" s="157" t="s">
        <v>4567</v>
      </c>
      <c r="AE348" s="281" t="s">
        <v>4568</v>
      </c>
      <c r="AF348" s="281" t="s">
        <v>4569</v>
      </c>
      <c r="AI348" s="157" t="e">
        <f aca="false">IF(AND($E348=Subj_OccCode,Subj_BldgSF&gt;0,ABS($L348-Subj_BldgSF)&lt;=Subj_BldgSF*Subj_SizeTol),ABS($L348-Subj_BldgSF),NA())</f>
        <v>#N/A</v>
      </c>
      <c r="AJ348" s="157" t="e">
        <f aca="false">IF(ISNA(AI348),NA(),AI348+ROW()/10000000)</f>
        <v>#N/A</v>
      </c>
    </row>
    <row r="349" customFormat="false" ht="15" hidden="false" customHeight="true" outlineLevel="0" collapsed="false">
      <c r="A349" s="438" t="n">
        <v>8</v>
      </c>
      <c r="B349" s="157" t="n">
        <v>342</v>
      </c>
      <c r="C349" s="157" t="s">
        <v>2718</v>
      </c>
      <c r="D349" s="157" t="s">
        <v>2719</v>
      </c>
      <c r="E349" s="157" t="n">
        <v>425</v>
      </c>
      <c r="F349" s="157" t="s">
        <v>2595</v>
      </c>
      <c r="G349" s="157" t="s">
        <v>2596</v>
      </c>
      <c r="H349" s="78" t="n">
        <f aca="false">Y349/J349</f>
        <v>141.333333333333</v>
      </c>
      <c r="I349" s="439" t="n">
        <v>44040</v>
      </c>
      <c r="J349" s="157" t="n">
        <v>1500</v>
      </c>
      <c r="L349" s="157" t="n">
        <v>1500</v>
      </c>
      <c r="M349" s="157" t="n">
        <v>1984</v>
      </c>
      <c r="P349" s="157" t="s">
        <v>2713</v>
      </c>
      <c r="R349" s="174" t="s">
        <v>483</v>
      </c>
      <c r="S349" s="157" t="n">
        <v>5227</v>
      </c>
      <c r="T349" s="440" t="n">
        <f aca="false">S349/J349</f>
        <v>3.48466666666667</v>
      </c>
      <c r="U349" s="157" t="s">
        <v>279</v>
      </c>
      <c r="Y349" s="157" t="n">
        <v>212000</v>
      </c>
      <c r="AA349" s="157" t="n">
        <v>212000</v>
      </c>
      <c r="AC349" s="157" t="s">
        <v>2720</v>
      </c>
      <c r="AD349" s="157" t="s">
        <v>4570</v>
      </c>
      <c r="AE349" s="281" t="s">
        <v>4571</v>
      </c>
      <c r="AF349" s="281" t="s">
        <v>2722</v>
      </c>
      <c r="AI349" s="157" t="e">
        <f aca="false">IF(AND($E349=Subj_OccCode,Subj_BldgSF&gt;0,ABS($L349-Subj_BldgSF)&lt;=Subj_BldgSF*Subj_SizeTol),ABS($L349-Subj_BldgSF),NA())</f>
        <v>#N/A</v>
      </c>
      <c r="AJ349" s="157" t="e">
        <f aca="false">IF(ISNA(AI349),NA(),AI349+ROW()/10000000)</f>
        <v>#N/A</v>
      </c>
    </row>
    <row r="350" customFormat="false" ht="15" hidden="false" customHeight="true" outlineLevel="0" collapsed="false">
      <c r="A350" s="438" t="n">
        <v>8</v>
      </c>
      <c r="B350" s="157" t="n">
        <v>343</v>
      </c>
      <c r="C350" s="157" t="s">
        <v>4572</v>
      </c>
      <c r="D350" s="157" t="s">
        <v>4573</v>
      </c>
      <c r="E350" s="157" t="n">
        <v>425</v>
      </c>
      <c r="F350" s="157" t="s">
        <v>2595</v>
      </c>
      <c r="G350" s="157" t="s">
        <v>2596</v>
      </c>
      <c r="H350" s="78" t="n">
        <f aca="false">Y350/J350</f>
        <v>271.739130434783</v>
      </c>
      <c r="I350" s="439" t="n">
        <v>44712</v>
      </c>
      <c r="J350" s="157" t="n">
        <v>1472</v>
      </c>
      <c r="L350" s="157" t="n">
        <v>1472</v>
      </c>
      <c r="M350" s="157" t="n">
        <v>1984</v>
      </c>
      <c r="P350" s="157" t="s">
        <v>3108</v>
      </c>
      <c r="R350" s="174" t="s">
        <v>279</v>
      </c>
      <c r="S350" s="157" t="n">
        <v>5095</v>
      </c>
      <c r="T350" s="440" t="n">
        <f aca="false">S350/J350</f>
        <v>3.46127717391304</v>
      </c>
      <c r="U350" s="157" t="s">
        <v>279</v>
      </c>
      <c r="Y350" s="157" t="n">
        <v>400000</v>
      </c>
      <c r="AA350" s="157" t="n">
        <v>400000</v>
      </c>
      <c r="AC350" s="157" t="s">
        <v>4574</v>
      </c>
      <c r="AD350" s="157" t="s">
        <v>4575</v>
      </c>
      <c r="AE350" s="281" t="s">
        <v>4576</v>
      </c>
      <c r="AF350" s="281" t="s">
        <v>4577</v>
      </c>
      <c r="AI350" s="157" t="e">
        <f aca="false">IF(AND($E350=Subj_OccCode,Subj_BldgSF&gt;0,ABS($L350-Subj_BldgSF)&lt;=Subj_BldgSF*Subj_SizeTol),ABS($L350-Subj_BldgSF),NA())</f>
        <v>#N/A</v>
      </c>
      <c r="AJ350" s="157" t="e">
        <f aca="false">IF(ISNA(AI350),NA(),AI350+ROW()/10000000)</f>
        <v>#N/A</v>
      </c>
    </row>
    <row r="351" customFormat="false" ht="15" hidden="false" customHeight="true" outlineLevel="0" collapsed="false">
      <c r="A351" s="438" t="n">
        <v>8</v>
      </c>
      <c r="B351" s="157" t="n">
        <v>344</v>
      </c>
      <c r="C351" s="157" t="s">
        <v>4578</v>
      </c>
      <c r="D351" s="157" t="s">
        <v>4579</v>
      </c>
      <c r="E351" s="157" t="n">
        <v>340</v>
      </c>
      <c r="G351" s="157" t="s">
        <v>352</v>
      </c>
      <c r="H351" s="78" t="n">
        <f aca="false">Y351/J351</f>
        <v>137.622149837134</v>
      </c>
      <c r="I351" s="439" t="n">
        <v>43367</v>
      </c>
      <c r="J351" s="157" t="n">
        <v>30700</v>
      </c>
      <c r="L351" s="157" t="n">
        <v>30700</v>
      </c>
      <c r="M351" s="157" t="n">
        <v>2002</v>
      </c>
      <c r="P351" s="157" t="s">
        <v>2706</v>
      </c>
      <c r="R351" s="174" t="s">
        <v>279</v>
      </c>
      <c r="S351" s="157" t="n">
        <v>88718</v>
      </c>
      <c r="T351" s="440" t="n">
        <f aca="false">S351/J351</f>
        <v>2.88983713355049</v>
      </c>
      <c r="U351" s="157" t="s">
        <v>483</v>
      </c>
      <c r="Y351" s="157" t="n">
        <v>4225000</v>
      </c>
      <c r="AA351" s="157" t="n">
        <v>4225000</v>
      </c>
      <c r="AC351" s="157" t="s">
        <v>4580</v>
      </c>
      <c r="AD351" s="157" t="s">
        <v>4581</v>
      </c>
      <c r="AE351" s="281" t="s">
        <v>4582</v>
      </c>
      <c r="AF351" s="281" t="s">
        <v>4583</v>
      </c>
      <c r="AI351" s="157" t="e">
        <f aca="false">IF(AND($E351=Subj_OccCode,Subj_BldgSF&gt;0,ABS($L351-Subj_BldgSF)&lt;=Subj_BldgSF*Subj_SizeTol),ABS($L351-Subj_BldgSF),NA())</f>
        <v>#N/A</v>
      </c>
      <c r="AJ351" s="157" t="e">
        <f aca="false">IF(ISNA(AI351),NA(),AI351+ROW()/10000000)</f>
        <v>#N/A</v>
      </c>
    </row>
    <row r="352" customFormat="false" ht="15" hidden="false" customHeight="true" outlineLevel="0" collapsed="false">
      <c r="A352" s="438" t="n">
        <v>8</v>
      </c>
      <c r="B352" s="157" t="n">
        <v>345</v>
      </c>
      <c r="C352" s="157" t="s">
        <v>4584</v>
      </c>
      <c r="D352" s="157" t="s">
        <v>4585</v>
      </c>
      <c r="E352" s="157" t="n">
        <v>406</v>
      </c>
      <c r="F352" s="157" t="s">
        <v>2581</v>
      </c>
      <c r="G352" s="157" t="s">
        <v>2567</v>
      </c>
      <c r="H352" s="78" t="n">
        <f aca="false">Y352/J352</f>
        <v>146.327683615819</v>
      </c>
      <c r="I352" s="439" t="n">
        <v>43902</v>
      </c>
      <c r="J352" s="157" t="n">
        <v>8850</v>
      </c>
      <c r="L352" s="157" t="n">
        <v>8850</v>
      </c>
      <c r="M352" s="157" t="n">
        <v>1974</v>
      </c>
      <c r="P352" s="157" t="s">
        <v>4586</v>
      </c>
      <c r="R352" s="174" t="s">
        <v>279</v>
      </c>
      <c r="S352" s="157" t="n">
        <v>23100</v>
      </c>
      <c r="T352" s="440" t="n">
        <f aca="false">S352/J352</f>
        <v>2.61016949152542</v>
      </c>
      <c r="U352" s="157" t="s">
        <v>279</v>
      </c>
      <c r="Y352" s="157" t="n">
        <v>1295000</v>
      </c>
      <c r="AA352" s="157" t="n">
        <v>1295000</v>
      </c>
      <c r="AC352" s="157" t="s">
        <v>4587</v>
      </c>
      <c r="AD352" s="157" t="s">
        <v>4588</v>
      </c>
      <c r="AE352" s="281" t="s">
        <v>4589</v>
      </c>
      <c r="AF352" s="281" t="s">
        <v>4590</v>
      </c>
      <c r="AI352" s="157" t="e">
        <f aca="false">IF(AND($E352=Subj_OccCode,Subj_BldgSF&gt;0,ABS($L352-Subj_BldgSF)&lt;=Subj_BldgSF*Subj_SizeTol),ABS($L352-Subj_BldgSF),NA())</f>
        <v>#N/A</v>
      </c>
      <c r="AJ352" s="157" t="e">
        <f aca="false">IF(ISNA(AI352),NA(),AI352+ROW()/10000000)</f>
        <v>#N/A</v>
      </c>
    </row>
    <row r="353" customFormat="false" ht="15" hidden="false" customHeight="true" outlineLevel="0" collapsed="false">
      <c r="A353" s="438" t="n">
        <v>8</v>
      </c>
      <c r="B353" s="157" t="n">
        <v>346</v>
      </c>
      <c r="C353" s="157" t="s">
        <v>2799</v>
      </c>
      <c r="D353" s="157" t="s">
        <v>4591</v>
      </c>
      <c r="E353" s="157" t="n">
        <v>1344</v>
      </c>
      <c r="F353" s="157" t="s">
        <v>2677</v>
      </c>
      <c r="G353" s="157" t="s">
        <v>354</v>
      </c>
      <c r="H353" s="78" t="n">
        <f aca="false">Y353/J353</f>
        <v>190.972222222222</v>
      </c>
      <c r="I353" s="439" t="n">
        <v>44557</v>
      </c>
      <c r="J353" s="157" t="n">
        <v>1440</v>
      </c>
      <c r="L353" s="157" t="n">
        <v>1440</v>
      </c>
      <c r="M353" s="157" t="n">
        <v>2000</v>
      </c>
      <c r="P353" s="157" t="s">
        <v>2678</v>
      </c>
      <c r="R353" s="174" t="s">
        <v>279</v>
      </c>
      <c r="S353" s="157" t="n">
        <v>3838.69</v>
      </c>
      <c r="T353" s="440" t="n">
        <f aca="false">S353/J353</f>
        <v>2.66575694444444</v>
      </c>
      <c r="U353" s="157" t="s">
        <v>279</v>
      </c>
      <c r="Y353" s="157" t="n">
        <v>275000</v>
      </c>
      <c r="AA353" s="157" t="n">
        <v>275000</v>
      </c>
      <c r="AC353" s="157" t="s">
        <v>2801</v>
      </c>
      <c r="AD353" s="157" t="s">
        <v>4592</v>
      </c>
      <c r="AE353" s="281" t="s">
        <v>4593</v>
      </c>
      <c r="AF353" s="281" t="s">
        <v>2803</v>
      </c>
      <c r="AI353" s="157" t="e">
        <f aca="false">IF(AND($E353=Subj_OccCode,Subj_BldgSF&gt;0,ABS($L353-Subj_BldgSF)&lt;=Subj_BldgSF*Subj_SizeTol),ABS($L353-Subj_BldgSF),NA())</f>
        <v>#N/A</v>
      </c>
      <c r="AJ353" s="157" t="e">
        <f aca="false">IF(ISNA(AI353),NA(),AI353+ROW()/10000000)</f>
        <v>#N/A</v>
      </c>
    </row>
    <row r="354" customFormat="false" ht="15" hidden="false" customHeight="true" outlineLevel="0" collapsed="false">
      <c r="A354" s="438" t="n">
        <v>8</v>
      </c>
      <c r="B354" s="157" t="n">
        <v>347</v>
      </c>
      <c r="C354" s="157" t="s">
        <v>4594</v>
      </c>
      <c r="D354" s="157" t="s">
        <v>4595</v>
      </c>
      <c r="E354" s="157" t="n">
        <v>325</v>
      </c>
      <c r="F354" s="157" t="s">
        <v>2677</v>
      </c>
      <c r="G354" s="157" t="s">
        <v>354</v>
      </c>
      <c r="H354" s="78" t="n">
        <f aca="false">Y354/J354</f>
        <v>234.875</v>
      </c>
      <c r="I354" s="439" t="n">
        <v>43698</v>
      </c>
      <c r="J354" s="157" t="n">
        <v>16000</v>
      </c>
      <c r="L354" s="157" t="n">
        <v>16000</v>
      </c>
      <c r="M354" s="157" t="n">
        <v>2002</v>
      </c>
      <c r="P354" s="157" t="s">
        <v>2678</v>
      </c>
      <c r="R354" s="174" t="s">
        <v>483</v>
      </c>
      <c r="S354" s="157" t="n">
        <v>104463</v>
      </c>
      <c r="T354" s="440" t="n">
        <f aca="false">S354/J354</f>
        <v>6.5289375</v>
      </c>
      <c r="U354" s="157" t="s">
        <v>279</v>
      </c>
      <c r="Y354" s="157" t="n">
        <v>3758000</v>
      </c>
      <c r="AA354" s="157" t="n">
        <v>3758000</v>
      </c>
      <c r="AC354" s="157" t="s">
        <v>4596</v>
      </c>
      <c r="AD354" s="157" t="s">
        <v>4597</v>
      </c>
      <c r="AE354" s="281" t="s">
        <v>4598</v>
      </c>
      <c r="AF354" s="281" t="s">
        <v>4599</v>
      </c>
      <c r="AI354" s="157" t="e">
        <f aca="false">IF(AND($E354=Subj_OccCode,Subj_BldgSF&gt;0,ABS($L354-Subj_BldgSF)&lt;=Subj_BldgSF*Subj_SizeTol),ABS($L354-Subj_BldgSF),NA())</f>
        <v>#N/A</v>
      </c>
      <c r="AJ354" s="157" t="e">
        <f aca="false">IF(ISNA(AI354),NA(),AI354+ROW()/10000000)</f>
        <v>#N/A</v>
      </c>
    </row>
    <row r="355" customFormat="false" ht="15" hidden="false" customHeight="true" outlineLevel="0" collapsed="false">
      <c r="A355" s="438" t="n">
        <v>8</v>
      </c>
      <c r="B355" s="157" t="n">
        <v>348</v>
      </c>
      <c r="C355" s="157" t="s">
        <v>4600</v>
      </c>
      <c r="D355" s="157" t="s">
        <v>4601</v>
      </c>
      <c r="E355" s="157" t="n">
        <v>404</v>
      </c>
      <c r="G355" s="157" t="s">
        <v>354</v>
      </c>
      <c r="H355" s="78" t="n">
        <f aca="false">Y355/J355</f>
        <v>43.2900432900433</v>
      </c>
      <c r="I355" s="439" t="n">
        <v>43636</v>
      </c>
      <c r="J355" s="157" t="n">
        <v>924</v>
      </c>
      <c r="L355" s="157" t="n">
        <v>924</v>
      </c>
      <c r="M355" s="157" t="n">
        <v>1955</v>
      </c>
      <c r="P355" s="157" t="s">
        <v>4523</v>
      </c>
      <c r="R355" s="174" t="s">
        <v>1511</v>
      </c>
      <c r="S355" s="157" t="n">
        <v>12197</v>
      </c>
      <c r="T355" s="440" t="n">
        <f aca="false">S355/J355</f>
        <v>13.2002164502165</v>
      </c>
      <c r="U355" s="157" t="s">
        <v>1511</v>
      </c>
      <c r="Y355" s="157" t="n">
        <v>40000</v>
      </c>
      <c r="AA355" s="157" t="n">
        <v>40000</v>
      </c>
      <c r="AC355" s="157" t="s">
        <v>4602</v>
      </c>
      <c r="AD355" s="157" t="s">
        <v>4603</v>
      </c>
      <c r="AE355" s="281" t="s">
        <v>4604</v>
      </c>
      <c r="AF355" s="281" t="s">
        <v>4605</v>
      </c>
      <c r="AI355" s="157" t="e">
        <f aca="false">IF(AND($E355=Subj_OccCode,Subj_BldgSF&gt;0,ABS($L355-Subj_BldgSF)&lt;=Subj_BldgSF*Subj_SizeTol),ABS($L355-Subj_BldgSF),NA())</f>
        <v>#N/A</v>
      </c>
      <c r="AJ355" s="157" t="e">
        <f aca="false">IF(ISNA(AI355),NA(),AI355+ROW()/10000000)</f>
        <v>#N/A</v>
      </c>
    </row>
    <row r="356" customFormat="false" ht="15" hidden="false" customHeight="true" outlineLevel="0" collapsed="false">
      <c r="A356" s="438" t="n">
        <v>8</v>
      </c>
      <c r="B356" s="157" t="n">
        <v>349</v>
      </c>
      <c r="C356" s="157" t="s">
        <v>4606</v>
      </c>
      <c r="D356" s="157" t="s">
        <v>4607</v>
      </c>
      <c r="E356" s="157" t="n">
        <v>407</v>
      </c>
      <c r="F356" s="157" t="s">
        <v>2921</v>
      </c>
      <c r="G356" s="157" t="s">
        <v>2691</v>
      </c>
      <c r="H356" s="78" t="n">
        <f aca="false">Y356/J356</f>
        <v>119.110205691003</v>
      </c>
      <c r="I356" s="439" t="n">
        <v>44232</v>
      </c>
      <c r="J356" s="157" t="n">
        <v>30434</v>
      </c>
      <c r="L356" s="157" t="n">
        <v>30434</v>
      </c>
      <c r="M356" s="157" t="n">
        <v>1951</v>
      </c>
      <c r="P356" s="157" t="s">
        <v>3181</v>
      </c>
      <c r="R356" s="174" t="s">
        <v>279</v>
      </c>
      <c r="S356" s="157" t="n">
        <v>161608</v>
      </c>
      <c r="T356" s="440" t="n">
        <f aca="false">S356/J356</f>
        <v>5.31011368863771</v>
      </c>
      <c r="U356" s="157" t="s">
        <v>279</v>
      </c>
      <c r="Y356" s="157" t="n">
        <v>3625000</v>
      </c>
      <c r="AA356" s="157" t="n">
        <v>3625000</v>
      </c>
      <c r="AC356" s="157" t="s">
        <v>4608</v>
      </c>
      <c r="AD356" s="157" t="s">
        <v>4609</v>
      </c>
      <c r="AE356" s="281" t="s">
        <v>4610</v>
      </c>
      <c r="AF356" s="281" t="s">
        <v>3398</v>
      </c>
      <c r="AI356" s="157" t="e">
        <f aca="false">IF(AND($E356=Subj_OccCode,Subj_BldgSF&gt;0,ABS($L356-Subj_BldgSF)&lt;=Subj_BldgSF*Subj_SizeTol),ABS($L356-Subj_BldgSF),NA())</f>
        <v>#N/A</v>
      </c>
      <c r="AJ356" s="157" t="e">
        <f aca="false">IF(ISNA(AI356),NA(),AI356+ROW()/10000000)</f>
        <v>#N/A</v>
      </c>
    </row>
    <row r="357" customFormat="false" ht="15" hidden="false" customHeight="true" outlineLevel="0" collapsed="false">
      <c r="A357" s="438" t="n">
        <v>8</v>
      </c>
      <c r="B357" s="157" t="n">
        <v>350</v>
      </c>
      <c r="C357" s="157" t="s">
        <v>4611</v>
      </c>
      <c r="D357" s="157" t="s">
        <v>4612</v>
      </c>
      <c r="E357" s="157" t="n">
        <v>325</v>
      </c>
      <c r="F357" s="157" t="s">
        <v>2921</v>
      </c>
      <c r="G357" s="157" t="s">
        <v>2691</v>
      </c>
      <c r="H357" s="78" t="n">
        <f aca="false">Y357/J357</f>
        <v>212.128632060072</v>
      </c>
      <c r="I357" s="439" t="n">
        <v>44376</v>
      </c>
      <c r="J357" s="157" t="n">
        <v>3063</v>
      </c>
      <c r="L357" s="157" t="n">
        <v>3063</v>
      </c>
      <c r="M357" s="157" t="n">
        <v>1951</v>
      </c>
      <c r="P357" s="157" t="s">
        <v>3022</v>
      </c>
      <c r="R357" s="174" t="s">
        <v>279</v>
      </c>
      <c r="S357" s="157" t="n">
        <v>21971</v>
      </c>
      <c r="T357" s="440" t="n">
        <f aca="false">S357/J357</f>
        <v>7.17303297420829</v>
      </c>
      <c r="U357" s="157" t="s">
        <v>279</v>
      </c>
      <c r="Y357" s="157" t="n">
        <v>649750</v>
      </c>
      <c r="AA357" s="157" t="n">
        <v>649750</v>
      </c>
      <c r="AC357" s="157" t="s">
        <v>4613</v>
      </c>
      <c r="AD357" s="157" t="s">
        <v>4614</v>
      </c>
      <c r="AE357" s="281" t="s">
        <v>4615</v>
      </c>
      <c r="AF357" s="281" t="s">
        <v>4616</v>
      </c>
      <c r="AI357" s="157" t="e">
        <f aca="false">IF(AND($E357=Subj_OccCode,Subj_BldgSF&gt;0,ABS($L357-Subj_BldgSF)&lt;=Subj_BldgSF*Subj_SizeTol),ABS($L357-Subj_BldgSF),NA())</f>
        <v>#N/A</v>
      </c>
      <c r="AJ357" s="157" t="e">
        <f aca="false">IF(ISNA(AI357),NA(),AI357+ROW()/10000000)</f>
        <v>#N/A</v>
      </c>
    </row>
    <row r="358" customFormat="false" ht="15" hidden="false" customHeight="true" outlineLevel="0" collapsed="false">
      <c r="A358" s="438" t="n">
        <v>8</v>
      </c>
      <c r="B358" s="157" t="n">
        <v>351</v>
      </c>
      <c r="C358" s="157" t="s">
        <v>4617</v>
      </c>
      <c r="D358" s="157" t="s">
        <v>4618</v>
      </c>
      <c r="E358" s="157" t="n">
        <v>406</v>
      </c>
      <c r="F358" s="157" t="s">
        <v>2921</v>
      </c>
      <c r="G358" s="157" t="s">
        <v>2691</v>
      </c>
      <c r="H358" s="78" t="n">
        <f aca="false">Y358/J358</f>
        <v>480.769230769231</v>
      </c>
      <c r="I358" s="439" t="n">
        <v>44284</v>
      </c>
      <c r="J358" s="157" t="n">
        <v>3328</v>
      </c>
      <c r="L358" s="157" t="n">
        <v>3328</v>
      </c>
      <c r="M358" s="157" t="n">
        <v>1965</v>
      </c>
      <c r="P358" s="157" t="s">
        <v>3181</v>
      </c>
      <c r="R358" s="174" t="s">
        <v>279</v>
      </c>
      <c r="S358" s="157" t="n">
        <v>105415.2</v>
      </c>
      <c r="T358" s="440" t="n">
        <f aca="false">S358/J358</f>
        <v>31.6752403846154</v>
      </c>
      <c r="U358" s="157" t="s">
        <v>279</v>
      </c>
      <c r="Y358" s="157" t="n">
        <v>1600000</v>
      </c>
      <c r="AA358" s="157" t="n">
        <v>1600000</v>
      </c>
      <c r="AC358" s="157" t="s">
        <v>4619</v>
      </c>
      <c r="AD358" s="157" t="s">
        <v>4620</v>
      </c>
      <c r="AE358" s="281" t="s">
        <v>4621</v>
      </c>
      <c r="AF358" s="281" t="s">
        <v>4622</v>
      </c>
      <c r="AI358" s="157" t="e">
        <f aca="false">IF(AND($E358=Subj_OccCode,Subj_BldgSF&gt;0,ABS($L358-Subj_BldgSF)&lt;=Subj_BldgSF*Subj_SizeTol),ABS($L358-Subj_BldgSF),NA())</f>
        <v>#N/A</v>
      </c>
      <c r="AJ358" s="157" t="e">
        <f aca="false">IF(ISNA(AI358),NA(),AI358+ROW()/10000000)</f>
        <v>#N/A</v>
      </c>
    </row>
    <row r="359" customFormat="false" ht="15" hidden="false" customHeight="true" outlineLevel="0" collapsed="false">
      <c r="A359" s="438" t="n">
        <v>8</v>
      </c>
      <c r="B359" s="157" t="n">
        <v>352</v>
      </c>
      <c r="C359" s="157" t="s">
        <v>4623</v>
      </c>
      <c r="D359" s="157" t="s">
        <v>4624</v>
      </c>
      <c r="E359" s="157" t="n">
        <v>344</v>
      </c>
      <c r="G359" s="157" t="s">
        <v>2691</v>
      </c>
      <c r="H359" s="78" t="n">
        <f aca="false">Y359/J359</f>
        <v>2948.71794871795</v>
      </c>
      <c r="I359" s="439" t="n">
        <v>44127</v>
      </c>
      <c r="J359" s="157" t="n">
        <v>780</v>
      </c>
      <c r="L359" s="157" t="n">
        <v>780</v>
      </c>
      <c r="M359" s="157" t="n">
        <v>1907</v>
      </c>
      <c r="P359" s="157" t="s">
        <v>2692</v>
      </c>
      <c r="R359" s="174" t="s">
        <v>555</v>
      </c>
      <c r="S359" s="157" t="n">
        <v>209423.8</v>
      </c>
      <c r="T359" s="440" t="n">
        <f aca="false">S359/J359</f>
        <v>268.492051282051</v>
      </c>
      <c r="U359" s="157" t="s">
        <v>279</v>
      </c>
      <c r="Y359" s="157" t="n">
        <v>2300000</v>
      </c>
      <c r="AA359" s="157" t="n">
        <v>2300000</v>
      </c>
      <c r="AC359" s="157" t="s">
        <v>4625</v>
      </c>
      <c r="AD359" s="157" t="s">
        <v>4626</v>
      </c>
      <c r="AE359" s="281" t="s">
        <v>4627</v>
      </c>
      <c r="AF359" s="281" t="s">
        <v>4628</v>
      </c>
      <c r="AI359" s="157" t="e">
        <f aca="false">IF(AND($E359=Subj_OccCode,Subj_BldgSF&gt;0,ABS($L359-Subj_BldgSF)&lt;=Subj_BldgSF*Subj_SizeTol),ABS($L359-Subj_BldgSF),NA())</f>
        <v>#N/A</v>
      </c>
      <c r="AJ359" s="157" t="e">
        <f aca="false">IF(ISNA(AI359),NA(),AI359+ROW()/10000000)</f>
        <v>#N/A</v>
      </c>
    </row>
    <row r="360" customFormat="false" ht="15" hidden="false" customHeight="true" outlineLevel="0" collapsed="false">
      <c r="A360" s="438" t="n">
        <v>8</v>
      </c>
      <c r="B360" s="157" t="n">
        <v>353</v>
      </c>
      <c r="C360" s="157" t="s">
        <v>4629</v>
      </c>
      <c r="D360" s="157" t="s">
        <v>4630</v>
      </c>
      <c r="E360" s="157" t="n">
        <v>425</v>
      </c>
      <c r="G360" s="157" t="s">
        <v>2691</v>
      </c>
      <c r="H360" s="78" t="n">
        <f aca="false">Y360/J360</f>
        <v>210</v>
      </c>
      <c r="I360" s="439" t="n">
        <v>44631</v>
      </c>
      <c r="J360" s="157" t="n">
        <v>2500</v>
      </c>
      <c r="L360" s="157" t="n">
        <v>2500</v>
      </c>
      <c r="M360" s="157" t="n">
        <v>2001</v>
      </c>
      <c r="P360" s="157" t="s">
        <v>3181</v>
      </c>
      <c r="R360" s="174" t="s">
        <v>279</v>
      </c>
      <c r="S360" s="157" t="n">
        <v>14885</v>
      </c>
      <c r="T360" s="440" t="n">
        <f aca="false">S360/J360</f>
        <v>5.954</v>
      </c>
      <c r="U360" s="157" t="s">
        <v>279</v>
      </c>
      <c r="Y360" s="157" t="n">
        <v>525000</v>
      </c>
      <c r="AA360" s="157" t="n">
        <v>525000</v>
      </c>
      <c r="AC360" s="157" t="s">
        <v>4631</v>
      </c>
      <c r="AD360" s="157" t="s">
        <v>4632</v>
      </c>
      <c r="AE360" s="281" t="s">
        <v>4633</v>
      </c>
      <c r="AF360" s="281" t="s">
        <v>4634</v>
      </c>
      <c r="AI360" s="157" t="e">
        <f aca="false">IF(AND($E360=Subj_OccCode,Subj_BldgSF&gt;0,ABS($L360-Subj_BldgSF)&lt;=Subj_BldgSF*Subj_SizeTol),ABS($L360-Subj_BldgSF),NA())</f>
        <v>#N/A</v>
      </c>
      <c r="AJ360" s="157" t="e">
        <f aca="false">IF(ISNA(AI360),NA(),AI360+ROW()/10000000)</f>
        <v>#N/A</v>
      </c>
    </row>
    <row r="361" customFormat="false" ht="15" hidden="false" customHeight="true" outlineLevel="0" collapsed="false">
      <c r="A361" s="438" t="n">
        <v>8</v>
      </c>
      <c r="B361" s="157" t="n">
        <v>354</v>
      </c>
      <c r="C361" s="157" t="s">
        <v>4635</v>
      </c>
      <c r="D361" s="157" t="s">
        <v>4636</v>
      </c>
      <c r="E361" s="157" t="n">
        <v>325</v>
      </c>
      <c r="G361" s="157" t="s">
        <v>2691</v>
      </c>
      <c r="H361" s="78" t="n">
        <f aca="false">Y361/J361</f>
        <v>171.925925925926</v>
      </c>
      <c r="I361" s="439" t="n">
        <v>43889</v>
      </c>
      <c r="J361" s="157" t="n">
        <v>27000</v>
      </c>
      <c r="L361" s="157" t="n">
        <v>27000</v>
      </c>
      <c r="M361" s="157" t="n">
        <v>2003</v>
      </c>
      <c r="P361" s="157" t="s">
        <v>2692</v>
      </c>
      <c r="R361" s="174" t="s">
        <v>279</v>
      </c>
      <c r="S361" s="157" t="n">
        <v>182516.4</v>
      </c>
      <c r="T361" s="440" t="n">
        <f aca="false">S361/J361</f>
        <v>6.75986666666667</v>
      </c>
      <c r="U361" s="157" t="s">
        <v>279</v>
      </c>
      <c r="Y361" s="157" t="n">
        <v>4642000</v>
      </c>
      <c r="AA361" s="157" t="n">
        <v>4642000</v>
      </c>
      <c r="AC361" s="157" t="s">
        <v>4637</v>
      </c>
      <c r="AD361" s="157" t="s">
        <v>4638</v>
      </c>
      <c r="AE361" s="281" t="s">
        <v>4639</v>
      </c>
      <c r="AF361" s="281" t="s">
        <v>4640</v>
      </c>
      <c r="AI361" s="157" t="e">
        <f aca="false">IF(AND($E361=Subj_OccCode,Subj_BldgSF&gt;0,ABS($L361-Subj_BldgSF)&lt;=Subj_BldgSF*Subj_SizeTol),ABS($L361-Subj_BldgSF),NA())</f>
        <v>#N/A</v>
      </c>
      <c r="AJ361" s="157" t="e">
        <f aca="false">IF(ISNA(AI361),NA(),AI361+ROW()/10000000)</f>
        <v>#N/A</v>
      </c>
    </row>
    <row r="362" customFormat="false" ht="15" hidden="false" customHeight="true" outlineLevel="0" collapsed="false">
      <c r="A362" s="438" t="n">
        <v>8</v>
      </c>
      <c r="B362" s="157" t="n">
        <v>355</v>
      </c>
      <c r="C362" s="157" t="s">
        <v>4641</v>
      </c>
      <c r="D362" s="157" t="s">
        <v>4642</v>
      </c>
      <c r="E362" s="157" t="n">
        <v>344</v>
      </c>
      <c r="G362" s="157" t="s">
        <v>2691</v>
      </c>
      <c r="H362" s="78" t="n">
        <f aca="false">Y362/J362</f>
        <v>144.356955380577</v>
      </c>
      <c r="I362" s="439" t="n">
        <v>44363</v>
      </c>
      <c r="J362" s="157" t="n">
        <v>19050</v>
      </c>
      <c r="L362" s="157" t="n">
        <v>19050</v>
      </c>
      <c r="M362" s="157" t="n">
        <v>2001</v>
      </c>
      <c r="P362" s="157" t="s">
        <v>2750</v>
      </c>
      <c r="R362" s="174" t="s">
        <v>555</v>
      </c>
      <c r="S362" s="157" t="n">
        <v>43995.6</v>
      </c>
      <c r="T362" s="440" t="n">
        <f aca="false">S362/J362</f>
        <v>2.30948031496063</v>
      </c>
      <c r="U362" s="157" t="s">
        <v>483</v>
      </c>
      <c r="Y362" s="157" t="n">
        <v>2750000</v>
      </c>
      <c r="AA362" s="157" t="n">
        <v>2750000</v>
      </c>
      <c r="AC362" s="157" t="s">
        <v>4643</v>
      </c>
      <c r="AD362" s="157" t="s">
        <v>4644</v>
      </c>
      <c r="AE362" s="281" t="s">
        <v>4645</v>
      </c>
      <c r="AF362" s="281" t="s">
        <v>4646</v>
      </c>
      <c r="AI362" s="157" t="e">
        <f aca="false">IF(AND($E362=Subj_OccCode,Subj_BldgSF&gt;0,ABS($L362-Subj_BldgSF)&lt;=Subj_BldgSF*Subj_SizeTol),ABS($L362-Subj_BldgSF),NA())</f>
        <v>#N/A</v>
      </c>
      <c r="AJ362" s="157" t="e">
        <f aca="false">IF(ISNA(AI362),NA(),AI362+ROW()/10000000)</f>
        <v>#N/A</v>
      </c>
    </row>
    <row r="363" customFormat="false" ht="15" hidden="false" customHeight="true" outlineLevel="0" collapsed="false">
      <c r="A363" s="438" t="n">
        <v>8</v>
      </c>
      <c r="B363" s="157" t="n">
        <v>356</v>
      </c>
      <c r="C363" s="157" t="s">
        <v>4647</v>
      </c>
      <c r="D363" s="157" t="s">
        <v>4648</v>
      </c>
      <c r="E363" s="157" t="n">
        <v>325</v>
      </c>
      <c r="G363" s="157" t="s">
        <v>2691</v>
      </c>
      <c r="H363" s="78" t="n">
        <f aca="false">Y363/J363</f>
        <v>57.6368876080692</v>
      </c>
      <c r="I363" s="439" t="n">
        <v>43553</v>
      </c>
      <c r="J363" s="157" t="n">
        <v>17350</v>
      </c>
      <c r="L363" s="157" t="n">
        <v>17350</v>
      </c>
      <c r="M363" s="157" t="n">
        <v>1964</v>
      </c>
      <c r="P363" s="157" t="s">
        <v>2706</v>
      </c>
      <c r="R363" s="174" t="s">
        <v>279</v>
      </c>
      <c r="S363" s="157" t="n">
        <v>54000</v>
      </c>
      <c r="T363" s="440" t="n">
        <f aca="false">S363/J363</f>
        <v>3.11239193083574</v>
      </c>
      <c r="U363" s="157" t="s">
        <v>279</v>
      </c>
      <c r="Y363" s="157" t="n">
        <v>1000000</v>
      </c>
      <c r="AA363" s="157" t="n">
        <v>1000000</v>
      </c>
      <c r="AC363" s="157" t="s">
        <v>4649</v>
      </c>
      <c r="AD363" s="157" t="s">
        <v>4650</v>
      </c>
      <c r="AE363" s="281" t="s">
        <v>4651</v>
      </c>
      <c r="AF363" s="281" t="s">
        <v>4652</v>
      </c>
      <c r="AI363" s="157" t="e">
        <f aca="false">IF(AND($E363=Subj_OccCode,Subj_BldgSF&gt;0,ABS($L363-Subj_BldgSF)&lt;=Subj_BldgSF*Subj_SizeTol),ABS($L363-Subj_BldgSF),NA())</f>
        <v>#N/A</v>
      </c>
      <c r="AJ363" s="157" t="e">
        <f aca="false">IF(ISNA(AI363),NA(),AI363+ROW()/10000000)</f>
        <v>#N/A</v>
      </c>
    </row>
    <row r="364" customFormat="false" ht="15" hidden="false" customHeight="true" outlineLevel="0" collapsed="false">
      <c r="A364" s="438" t="n">
        <v>8</v>
      </c>
      <c r="B364" s="157" t="n">
        <v>357</v>
      </c>
      <c r="C364" s="157" t="s">
        <v>4647</v>
      </c>
      <c r="D364" s="157" t="s">
        <v>4648</v>
      </c>
      <c r="E364" s="157" t="n">
        <v>325</v>
      </c>
      <c r="G364" s="157" t="s">
        <v>2691</v>
      </c>
      <c r="H364" s="78" t="n">
        <f aca="false">Y364/J364</f>
        <v>121.037463976945</v>
      </c>
      <c r="I364" s="439" t="n">
        <v>44655</v>
      </c>
      <c r="J364" s="157" t="n">
        <v>17350</v>
      </c>
      <c r="L364" s="157" t="n">
        <v>17350</v>
      </c>
      <c r="M364" s="157" t="n">
        <v>1964</v>
      </c>
      <c r="P364" s="157" t="s">
        <v>2706</v>
      </c>
      <c r="R364" s="174" t="s">
        <v>279</v>
      </c>
      <c r="S364" s="157" t="n">
        <v>54000</v>
      </c>
      <c r="T364" s="440" t="n">
        <f aca="false">S364/J364</f>
        <v>3.11239193083574</v>
      </c>
      <c r="U364" s="157" t="s">
        <v>279</v>
      </c>
      <c r="Y364" s="157" t="n">
        <v>2100000</v>
      </c>
      <c r="AA364" s="157" t="n">
        <v>2100000</v>
      </c>
      <c r="AC364" s="157" t="s">
        <v>4649</v>
      </c>
      <c r="AD364" s="157" t="s">
        <v>4653</v>
      </c>
      <c r="AE364" s="281" t="s">
        <v>4652</v>
      </c>
      <c r="AF364" s="281" t="s">
        <v>4654</v>
      </c>
      <c r="AI364" s="157" t="e">
        <f aca="false">IF(AND($E364=Subj_OccCode,Subj_BldgSF&gt;0,ABS($L364-Subj_BldgSF)&lt;=Subj_BldgSF*Subj_SizeTol),ABS($L364-Subj_BldgSF),NA())</f>
        <v>#N/A</v>
      </c>
      <c r="AJ364" s="157" t="e">
        <f aca="false">IF(ISNA(AI364),NA(),AI364+ROW()/10000000)</f>
        <v>#N/A</v>
      </c>
    </row>
    <row r="365" customFormat="false" ht="15" hidden="false" customHeight="true" outlineLevel="0" collapsed="false">
      <c r="A365" s="438" t="n">
        <v>8</v>
      </c>
      <c r="B365" s="157" t="n">
        <v>358</v>
      </c>
      <c r="C365" s="157" t="s">
        <v>4655</v>
      </c>
      <c r="D365" s="157" t="s">
        <v>4656</v>
      </c>
      <c r="E365" s="157" t="n">
        <v>407</v>
      </c>
      <c r="G365" s="157" t="s">
        <v>2691</v>
      </c>
      <c r="H365" s="78" t="n">
        <f aca="false">Y365/J365</f>
        <v>147.65596160945</v>
      </c>
      <c r="I365" s="439" t="n">
        <v>43236</v>
      </c>
      <c r="J365" s="157" t="n">
        <v>16254</v>
      </c>
      <c r="L365" s="157" t="n">
        <v>16254</v>
      </c>
      <c r="M365" s="157" t="n">
        <v>1974</v>
      </c>
      <c r="P365" s="157" t="s">
        <v>2692</v>
      </c>
      <c r="R365" s="174" t="s">
        <v>279</v>
      </c>
      <c r="S365" s="157" t="n">
        <v>120528</v>
      </c>
      <c r="T365" s="440" t="n">
        <f aca="false">S365/J365</f>
        <v>7.41528239202658</v>
      </c>
      <c r="U365" s="157" t="s">
        <v>279</v>
      </c>
      <c r="Y365" s="157" t="n">
        <v>2400000</v>
      </c>
      <c r="AA365" s="157" t="n">
        <v>2400000</v>
      </c>
      <c r="AC365" s="157" t="s">
        <v>4657</v>
      </c>
      <c r="AD365" s="157" t="s">
        <v>4658</v>
      </c>
      <c r="AE365" s="281" t="s">
        <v>4659</v>
      </c>
      <c r="AF365" s="281" t="s">
        <v>4660</v>
      </c>
      <c r="AI365" s="157" t="e">
        <f aca="false">IF(AND($E365=Subj_OccCode,Subj_BldgSF&gt;0,ABS($L365-Subj_BldgSF)&lt;=Subj_BldgSF*Subj_SizeTol),ABS($L365-Subj_BldgSF),NA())</f>
        <v>#N/A</v>
      </c>
      <c r="AJ365" s="157" t="e">
        <f aca="false">IF(ISNA(AI365),NA(),AI365+ROW()/10000000)</f>
        <v>#N/A</v>
      </c>
    </row>
    <row r="366" customFormat="false" ht="15" hidden="false" customHeight="true" outlineLevel="0" collapsed="false">
      <c r="A366" s="438" t="n">
        <v>8</v>
      </c>
      <c r="B366" s="157" t="n">
        <v>359</v>
      </c>
      <c r="C366" s="157" t="s">
        <v>4661</v>
      </c>
      <c r="D366" s="157" t="s">
        <v>4662</v>
      </c>
      <c r="E366" s="157" t="n">
        <v>344</v>
      </c>
      <c r="F366" s="157" t="s">
        <v>2921</v>
      </c>
      <c r="G366" s="157" t="s">
        <v>2691</v>
      </c>
      <c r="H366" s="78" t="n">
        <f aca="false">Y366/J366</f>
        <v>160.477966101695</v>
      </c>
      <c r="I366" s="439" t="n">
        <v>44603</v>
      </c>
      <c r="J366" s="157" t="n">
        <v>5900</v>
      </c>
      <c r="L366" s="157" t="n">
        <v>5900</v>
      </c>
      <c r="M366" s="157" t="n">
        <v>1971</v>
      </c>
      <c r="P366" s="157" t="s">
        <v>3009</v>
      </c>
      <c r="R366" s="174" t="s">
        <v>1511</v>
      </c>
      <c r="S366" s="157" t="n">
        <v>41382</v>
      </c>
      <c r="T366" s="440" t="n">
        <f aca="false">S366/J366</f>
        <v>7.01389830508475</v>
      </c>
      <c r="U366" s="157" t="s">
        <v>279</v>
      </c>
      <c r="Y366" s="157" t="n">
        <v>946820</v>
      </c>
      <c r="AA366" s="157" t="n">
        <v>946820</v>
      </c>
      <c r="AC366" s="157" t="s">
        <v>4663</v>
      </c>
      <c r="AD366" s="157" t="s">
        <v>4664</v>
      </c>
      <c r="AE366" s="281" t="s">
        <v>4665</v>
      </c>
      <c r="AF366" s="281" t="s">
        <v>4666</v>
      </c>
      <c r="AI366" s="157" t="e">
        <f aca="false">IF(AND($E366=Subj_OccCode,Subj_BldgSF&gt;0,ABS($L366-Subj_BldgSF)&lt;=Subj_BldgSF*Subj_SizeTol),ABS($L366-Subj_BldgSF),NA())</f>
        <v>#N/A</v>
      </c>
      <c r="AJ366" s="157" t="e">
        <f aca="false">IF(ISNA(AI366),NA(),AI366+ROW()/10000000)</f>
        <v>#N/A</v>
      </c>
    </row>
    <row r="367" customFormat="false" ht="15" hidden="false" customHeight="true" outlineLevel="0" collapsed="false">
      <c r="A367" s="438" t="n">
        <v>8</v>
      </c>
      <c r="B367" s="157" t="n">
        <v>360</v>
      </c>
      <c r="C367" s="157" t="s">
        <v>4667</v>
      </c>
      <c r="D367" s="157" t="s">
        <v>4668</v>
      </c>
      <c r="E367" s="157" t="n">
        <v>406</v>
      </c>
      <c r="G367" s="157" t="s">
        <v>353</v>
      </c>
      <c r="H367" s="78" t="n">
        <f aca="false">Y367/J367</f>
        <v>95.5882352941177</v>
      </c>
      <c r="I367" s="439" t="n">
        <v>43238</v>
      </c>
      <c r="J367" s="157" t="n">
        <v>20400</v>
      </c>
      <c r="L367" s="157" t="n">
        <v>20400</v>
      </c>
      <c r="M367" s="157" t="n">
        <v>1960</v>
      </c>
      <c r="P367" s="157" t="s">
        <v>2692</v>
      </c>
      <c r="R367" s="174" t="s">
        <v>279</v>
      </c>
      <c r="S367" s="157" t="n">
        <v>345967</v>
      </c>
      <c r="T367" s="440" t="n">
        <f aca="false">S367/J367</f>
        <v>16.9591666666667</v>
      </c>
      <c r="U367" s="157" t="s">
        <v>279</v>
      </c>
      <c r="Y367" s="157" t="n">
        <v>1950000</v>
      </c>
      <c r="AA367" s="157" t="n">
        <v>1950000</v>
      </c>
      <c r="AC367" s="157" t="s">
        <v>4669</v>
      </c>
      <c r="AD367" s="157" t="s">
        <v>4670</v>
      </c>
      <c r="AE367" s="281" t="s">
        <v>4671</v>
      </c>
      <c r="AF367" s="281" t="s">
        <v>4672</v>
      </c>
      <c r="AI367" s="157" t="e">
        <f aca="false">IF(AND($E367=Subj_OccCode,Subj_BldgSF&gt;0,ABS($L367-Subj_BldgSF)&lt;=Subj_BldgSF*Subj_SizeTol),ABS($L367-Subj_BldgSF),NA())</f>
        <v>#N/A</v>
      </c>
      <c r="AJ367" s="157" t="e">
        <f aca="false">IF(ISNA(AI367),NA(),AI367+ROW()/10000000)</f>
        <v>#N/A</v>
      </c>
    </row>
    <row r="368" customFormat="false" ht="15" hidden="false" customHeight="true" outlineLevel="0" collapsed="false">
      <c r="A368" s="438" t="n">
        <v>8</v>
      </c>
      <c r="B368" s="157" t="n">
        <v>361</v>
      </c>
      <c r="C368" s="157" t="s">
        <v>4667</v>
      </c>
      <c r="D368" s="157" t="s">
        <v>4668</v>
      </c>
      <c r="E368" s="157" t="n">
        <v>406</v>
      </c>
      <c r="G368" s="157" t="s">
        <v>353</v>
      </c>
      <c r="H368" s="78" t="n">
        <f aca="false">Y368/J368</f>
        <v>242.647058823529</v>
      </c>
      <c r="I368" s="439" t="n">
        <v>44671</v>
      </c>
      <c r="J368" s="157" t="n">
        <v>20400</v>
      </c>
      <c r="L368" s="157" t="n">
        <v>20400</v>
      </c>
      <c r="M368" s="157" t="n">
        <v>1960</v>
      </c>
      <c r="P368" s="157" t="s">
        <v>2692</v>
      </c>
      <c r="R368" s="174" t="s">
        <v>1511</v>
      </c>
      <c r="S368" s="157" t="n">
        <v>345967</v>
      </c>
      <c r="T368" s="440" t="n">
        <f aca="false">S368/J368</f>
        <v>16.9591666666667</v>
      </c>
      <c r="U368" s="157" t="s">
        <v>279</v>
      </c>
      <c r="Y368" s="157" t="n">
        <v>4950000</v>
      </c>
      <c r="AA368" s="157" t="n">
        <v>4950000</v>
      </c>
      <c r="AC368" s="157" t="s">
        <v>4669</v>
      </c>
      <c r="AD368" s="157" t="s">
        <v>4673</v>
      </c>
      <c r="AE368" s="281" t="s">
        <v>4672</v>
      </c>
      <c r="AF368" s="281" t="s">
        <v>4674</v>
      </c>
      <c r="AI368" s="157" t="e">
        <f aca="false">IF(AND($E368=Subj_OccCode,Subj_BldgSF&gt;0,ABS($L368-Subj_BldgSF)&lt;=Subj_BldgSF*Subj_SizeTol),ABS($L368-Subj_BldgSF),NA())</f>
        <v>#N/A</v>
      </c>
      <c r="AJ368" s="157" t="e">
        <f aca="false">IF(ISNA(AI368),NA(),AI368+ROW()/10000000)</f>
        <v>#N/A</v>
      </c>
    </row>
    <row r="369" customFormat="false" ht="15" hidden="false" customHeight="true" outlineLevel="0" collapsed="false">
      <c r="A369" s="438" t="n">
        <v>8</v>
      </c>
      <c r="B369" s="157" t="n">
        <v>362</v>
      </c>
      <c r="C369" s="157" t="s">
        <v>4675</v>
      </c>
      <c r="D369" s="157" t="s">
        <v>4676</v>
      </c>
      <c r="E369" s="157" t="n">
        <v>325</v>
      </c>
      <c r="G369" s="157" t="s">
        <v>2691</v>
      </c>
      <c r="H369" s="78" t="n">
        <f aca="false">Y369/J369</f>
        <v>337.78342869252</v>
      </c>
      <c r="I369" s="439" t="n">
        <v>44130</v>
      </c>
      <c r="J369" s="157" t="n">
        <v>4719</v>
      </c>
      <c r="L369" s="157" t="n">
        <v>4719</v>
      </c>
      <c r="M369" s="157" t="n">
        <v>2001</v>
      </c>
      <c r="P369" s="157" t="s">
        <v>4349</v>
      </c>
      <c r="R369" s="174" t="s">
        <v>279</v>
      </c>
      <c r="S369" s="157" t="n">
        <v>17981</v>
      </c>
      <c r="T369" s="440" t="n">
        <f aca="false">S369/J369</f>
        <v>3.81034117397754</v>
      </c>
      <c r="U369" s="157" t="s">
        <v>279</v>
      </c>
      <c r="Y369" s="157" t="n">
        <v>1594000</v>
      </c>
      <c r="AA369" s="157" t="n">
        <v>1594000</v>
      </c>
      <c r="AC369" s="157" t="s">
        <v>4677</v>
      </c>
      <c r="AD369" s="157" t="s">
        <v>4678</v>
      </c>
      <c r="AE369" s="281" t="s">
        <v>4679</v>
      </c>
      <c r="AF369" s="281" t="s">
        <v>4680</v>
      </c>
      <c r="AI369" s="157" t="e">
        <f aca="false">IF(AND($E369=Subj_OccCode,Subj_BldgSF&gt;0,ABS($L369-Subj_BldgSF)&lt;=Subj_BldgSF*Subj_SizeTol),ABS($L369-Subj_BldgSF),NA())</f>
        <v>#N/A</v>
      </c>
      <c r="AJ369" s="157" t="e">
        <f aca="false">IF(ISNA(AI369),NA(),AI369+ROW()/10000000)</f>
        <v>#N/A</v>
      </c>
    </row>
    <row r="370" customFormat="false" ht="15" hidden="false" customHeight="true" outlineLevel="0" collapsed="false">
      <c r="A370" s="438" t="n">
        <v>8</v>
      </c>
      <c r="B370" s="157" t="n">
        <v>363</v>
      </c>
      <c r="C370" s="157" t="s">
        <v>4681</v>
      </c>
      <c r="D370" s="157" t="s">
        <v>4682</v>
      </c>
      <c r="E370" s="157" t="n">
        <v>436</v>
      </c>
      <c r="F370" s="157" t="s">
        <v>2581</v>
      </c>
      <c r="G370" s="157" t="s">
        <v>2567</v>
      </c>
      <c r="H370" s="78" t="n">
        <f aca="false">Y370/J370</f>
        <v>115.228613569322</v>
      </c>
      <c r="I370" s="439" t="n">
        <v>43761</v>
      </c>
      <c r="J370" s="157" t="n">
        <v>5424</v>
      </c>
      <c r="L370" s="157" t="n">
        <v>5424</v>
      </c>
      <c r="M370" s="157" t="n">
        <v>1988</v>
      </c>
      <c r="P370" s="157" t="s">
        <v>2990</v>
      </c>
      <c r="R370" s="174" t="s">
        <v>279</v>
      </c>
      <c r="S370" s="157" t="n">
        <v>25264</v>
      </c>
      <c r="T370" s="440" t="n">
        <f aca="false">S370/J370</f>
        <v>4.65781710914454</v>
      </c>
      <c r="U370" s="157" t="s">
        <v>279</v>
      </c>
      <c r="Y370" s="157" t="n">
        <v>625000</v>
      </c>
      <c r="AA370" s="157" t="n">
        <v>625000</v>
      </c>
      <c r="AC370" s="157" t="s">
        <v>4683</v>
      </c>
      <c r="AD370" s="157" t="s">
        <v>4684</v>
      </c>
      <c r="AE370" s="281" t="s">
        <v>4685</v>
      </c>
      <c r="AF370" s="281" t="s">
        <v>4686</v>
      </c>
      <c r="AI370" s="157" t="e">
        <f aca="false">IF(AND($E370=Subj_OccCode,Subj_BldgSF&gt;0,ABS($L370-Subj_BldgSF)&lt;=Subj_BldgSF*Subj_SizeTol),ABS($L370-Subj_BldgSF),NA())</f>
        <v>#N/A</v>
      </c>
      <c r="AJ370" s="157" t="e">
        <f aca="false">IF(ISNA(AI370),NA(),AI370+ROW()/10000000)</f>
        <v>#N/A</v>
      </c>
    </row>
    <row r="371" customFormat="false" ht="15" hidden="false" customHeight="true" outlineLevel="0" collapsed="false">
      <c r="A371" s="438" t="n">
        <v>8</v>
      </c>
      <c r="B371" s="157" t="n">
        <v>364</v>
      </c>
      <c r="C371" s="157" t="s">
        <v>4687</v>
      </c>
      <c r="D371" s="157" t="s">
        <v>4688</v>
      </c>
      <c r="E371" s="157" t="n">
        <v>343</v>
      </c>
      <c r="F371" s="157" t="s">
        <v>2677</v>
      </c>
      <c r="G371" s="157" t="s">
        <v>2567</v>
      </c>
      <c r="H371" s="78" t="n">
        <f aca="false">Y371/J371</f>
        <v>228.090863952334</v>
      </c>
      <c r="I371" s="439" t="n">
        <v>44096</v>
      </c>
      <c r="J371" s="157" t="n">
        <v>32224</v>
      </c>
      <c r="L371" s="157" t="n">
        <v>32224</v>
      </c>
      <c r="M371" s="157" t="n">
        <v>1983</v>
      </c>
      <c r="P371" s="157" t="s">
        <v>1952</v>
      </c>
      <c r="R371" s="174" t="s">
        <v>279</v>
      </c>
      <c r="S371" s="157" t="n">
        <v>104108</v>
      </c>
      <c r="T371" s="440" t="n">
        <f aca="false">S371/J371</f>
        <v>3.23075968222443</v>
      </c>
      <c r="U371" s="157" t="s">
        <v>279</v>
      </c>
      <c r="Y371" s="157" t="n">
        <v>7350000</v>
      </c>
      <c r="AA371" s="157" t="n">
        <v>7350000</v>
      </c>
      <c r="AC371" s="157" t="s">
        <v>4689</v>
      </c>
      <c r="AD371" s="157" t="s">
        <v>4690</v>
      </c>
      <c r="AE371" s="281" t="s">
        <v>4691</v>
      </c>
      <c r="AF371" s="281" t="s">
        <v>4692</v>
      </c>
      <c r="AI371" s="157" t="e">
        <f aca="false">IF(AND($E371=Subj_OccCode,Subj_BldgSF&gt;0,ABS($L371-Subj_BldgSF)&lt;=Subj_BldgSF*Subj_SizeTol),ABS($L371-Subj_BldgSF),NA())</f>
        <v>#N/A</v>
      </c>
      <c r="AJ371" s="157" t="e">
        <f aca="false">IF(ISNA(AI371),NA(),AI371+ROW()/10000000)</f>
        <v>#N/A</v>
      </c>
    </row>
    <row r="372" customFormat="false" ht="15" hidden="false" customHeight="true" outlineLevel="0" collapsed="false">
      <c r="A372" s="438" t="n">
        <v>8</v>
      </c>
      <c r="B372" s="157" t="n">
        <v>365</v>
      </c>
      <c r="C372" s="157" t="s">
        <v>4693</v>
      </c>
      <c r="D372" s="157" t="s">
        <v>4694</v>
      </c>
      <c r="E372" s="157" t="n">
        <v>386</v>
      </c>
      <c r="F372" s="157" t="s">
        <v>2566</v>
      </c>
      <c r="G372" s="157" t="s">
        <v>2567</v>
      </c>
      <c r="H372" s="78" t="n">
        <f aca="false">Y372/J372</f>
        <v>173.282923755514</v>
      </c>
      <c r="I372" s="439" t="n">
        <v>44453</v>
      </c>
      <c r="J372" s="157" t="n">
        <v>44436</v>
      </c>
      <c r="L372" s="157" t="n">
        <v>44436</v>
      </c>
      <c r="M372" s="157" t="n">
        <v>1980</v>
      </c>
      <c r="P372" s="157" t="s">
        <v>2983</v>
      </c>
      <c r="R372" s="174" t="s">
        <v>279</v>
      </c>
      <c r="S372" s="157" t="n">
        <v>131672</v>
      </c>
      <c r="T372" s="440" t="n">
        <f aca="false">S372/J372</f>
        <v>2.96318300477091</v>
      </c>
      <c r="U372" s="157" t="s">
        <v>279</v>
      </c>
      <c r="Y372" s="157" t="n">
        <v>7700000</v>
      </c>
      <c r="AA372" s="157" t="n">
        <v>7700000</v>
      </c>
      <c r="AC372" s="157" t="s">
        <v>4695</v>
      </c>
      <c r="AD372" s="157" t="s">
        <v>4696</v>
      </c>
      <c r="AE372" s="281" t="s">
        <v>4697</v>
      </c>
      <c r="AF372" s="281" t="s">
        <v>4698</v>
      </c>
      <c r="AI372" s="157" t="e">
        <f aca="false">IF(AND($E372=Subj_OccCode,Subj_BldgSF&gt;0,ABS($L372-Subj_BldgSF)&lt;=Subj_BldgSF*Subj_SizeTol),ABS($L372-Subj_BldgSF),NA())</f>
        <v>#N/A</v>
      </c>
      <c r="AJ372" s="157" t="e">
        <f aca="false">IF(ISNA(AI372),NA(),AI372+ROW()/10000000)</f>
        <v>#N/A</v>
      </c>
    </row>
    <row r="373" customFormat="false" ht="15" hidden="false" customHeight="true" outlineLevel="0" collapsed="false">
      <c r="A373" s="438" t="n">
        <v>8</v>
      </c>
      <c r="B373" s="157" t="n">
        <v>366</v>
      </c>
      <c r="C373" s="157" t="s">
        <v>4699</v>
      </c>
      <c r="D373" s="157" t="s">
        <v>4700</v>
      </c>
      <c r="E373" s="157" t="n">
        <v>341</v>
      </c>
      <c r="F373" s="157" t="s">
        <v>2566</v>
      </c>
      <c r="G373" s="157" t="s">
        <v>2567</v>
      </c>
      <c r="H373" s="78" t="n">
        <f aca="false">Y373/J373</f>
        <v>162.337662337662</v>
      </c>
      <c r="I373" s="439" t="n">
        <v>43490</v>
      </c>
      <c r="J373" s="157" t="n">
        <v>1848</v>
      </c>
      <c r="L373" s="157" t="n">
        <v>1848</v>
      </c>
      <c r="M373" s="157" t="n">
        <v>1984</v>
      </c>
      <c r="P373" s="157" t="s">
        <v>4325</v>
      </c>
      <c r="R373" s="174" t="s">
        <v>279</v>
      </c>
      <c r="S373" s="157" t="n">
        <v>1108</v>
      </c>
      <c r="T373" s="440" t="n">
        <f aca="false">S373/J373</f>
        <v>0.5995670995671</v>
      </c>
      <c r="U373" s="157" t="s">
        <v>279</v>
      </c>
      <c r="Y373" s="157" t="n">
        <v>300000</v>
      </c>
      <c r="AA373" s="157" t="n">
        <v>300000</v>
      </c>
      <c r="AC373" s="157" t="s">
        <v>4701</v>
      </c>
      <c r="AD373" s="157" t="s">
        <v>4702</v>
      </c>
      <c r="AE373" s="281" t="s">
        <v>4703</v>
      </c>
      <c r="AF373" s="281" t="s">
        <v>4704</v>
      </c>
      <c r="AI373" s="157" t="e">
        <f aca="false">IF(AND($E373=Subj_OccCode,Subj_BldgSF&gt;0,ABS($L373-Subj_BldgSF)&lt;=Subj_BldgSF*Subj_SizeTol),ABS($L373-Subj_BldgSF),NA())</f>
        <v>#N/A</v>
      </c>
      <c r="AJ373" s="157" t="e">
        <f aca="false">IF(ISNA(AI373),NA(),AI373+ROW()/10000000)</f>
        <v>#N/A</v>
      </c>
    </row>
    <row r="374" customFormat="false" ht="15" hidden="false" customHeight="true" outlineLevel="0" collapsed="false">
      <c r="A374" s="438" t="n">
        <v>8</v>
      </c>
      <c r="B374" s="157" t="n">
        <v>367</v>
      </c>
      <c r="C374" s="157" t="s">
        <v>4705</v>
      </c>
      <c r="D374" s="157" t="s">
        <v>4706</v>
      </c>
      <c r="E374" s="157" t="n">
        <v>325</v>
      </c>
      <c r="G374" s="157" t="s">
        <v>354</v>
      </c>
      <c r="H374" s="78" t="n">
        <f aca="false">Y374/J374</f>
        <v>72.463768115942</v>
      </c>
      <c r="I374" s="439" t="n">
        <v>43138</v>
      </c>
      <c r="J374" s="157" t="n">
        <v>2208</v>
      </c>
      <c r="L374" s="157" t="n">
        <v>2208</v>
      </c>
      <c r="M374" s="157" t="n">
        <v>1914</v>
      </c>
      <c r="P374" s="157" t="s">
        <v>2706</v>
      </c>
      <c r="R374" s="174" t="s">
        <v>279</v>
      </c>
      <c r="S374" s="157" t="n">
        <v>21780</v>
      </c>
      <c r="T374" s="440" t="n">
        <f aca="false">S374/J374</f>
        <v>9.86413043478261</v>
      </c>
      <c r="U374" s="157" t="s">
        <v>279</v>
      </c>
      <c r="Y374" s="157" t="n">
        <v>160000</v>
      </c>
      <c r="AA374" s="157" t="n">
        <v>160000</v>
      </c>
      <c r="AC374" s="157" t="s">
        <v>4707</v>
      </c>
      <c r="AD374" s="157" t="s">
        <v>4708</v>
      </c>
      <c r="AE374" s="281" t="s">
        <v>4709</v>
      </c>
      <c r="AF374" s="281" t="s">
        <v>4710</v>
      </c>
      <c r="AI374" s="157" t="e">
        <f aca="false">IF(AND($E374=Subj_OccCode,Subj_BldgSF&gt;0,ABS($L374-Subj_BldgSF)&lt;=Subj_BldgSF*Subj_SizeTol),ABS($L374-Subj_BldgSF),NA())</f>
        <v>#N/A</v>
      </c>
      <c r="AJ374" s="157" t="e">
        <f aca="false">IF(ISNA(AI374),NA(),AI374+ROW()/10000000)</f>
        <v>#N/A</v>
      </c>
    </row>
    <row r="375" customFormat="false" ht="15" hidden="false" customHeight="true" outlineLevel="0" collapsed="false">
      <c r="A375" s="438" t="n">
        <v>8</v>
      </c>
      <c r="B375" s="157" t="n">
        <v>368</v>
      </c>
      <c r="C375" s="157" t="s">
        <v>4711</v>
      </c>
      <c r="D375" s="157" t="s">
        <v>4712</v>
      </c>
      <c r="E375" s="157" t="n">
        <v>353</v>
      </c>
      <c r="G375" s="157" t="s">
        <v>354</v>
      </c>
      <c r="H375" s="78" t="n">
        <f aca="false">Y375/J375</f>
        <v>161.822985468956</v>
      </c>
      <c r="I375" s="439" t="n">
        <v>44189</v>
      </c>
      <c r="J375" s="157" t="n">
        <v>3028</v>
      </c>
      <c r="L375" s="157" t="n">
        <v>3028</v>
      </c>
      <c r="M375" s="157" t="n">
        <v>1924</v>
      </c>
      <c r="P375" s="157" t="s">
        <v>2706</v>
      </c>
      <c r="R375" s="174" t="s">
        <v>279</v>
      </c>
      <c r="S375" s="157" t="n">
        <v>25800</v>
      </c>
      <c r="T375" s="440" t="n">
        <f aca="false">S375/J375</f>
        <v>8.52047556142668</v>
      </c>
      <c r="U375" s="157" t="s">
        <v>279</v>
      </c>
      <c r="Y375" s="157" t="n">
        <v>490000</v>
      </c>
      <c r="AA375" s="157" t="n">
        <v>490000</v>
      </c>
      <c r="AC375" s="157" t="s">
        <v>4713</v>
      </c>
      <c r="AD375" s="157" t="s">
        <v>4714</v>
      </c>
      <c r="AE375" s="281" t="s">
        <v>4715</v>
      </c>
      <c r="AF375" s="281" t="s">
        <v>4716</v>
      </c>
      <c r="AI375" s="157" t="e">
        <f aca="false">IF(AND($E375=Subj_OccCode,Subj_BldgSF&gt;0,ABS($L375-Subj_BldgSF)&lt;=Subj_BldgSF*Subj_SizeTol),ABS($L375-Subj_BldgSF),NA())</f>
        <v>#N/A</v>
      </c>
      <c r="AJ375" s="157" t="e">
        <f aca="false">IF(ISNA(AI375),NA(),AI375+ROW()/10000000)</f>
        <v>#N/A</v>
      </c>
    </row>
    <row r="376" customFormat="false" ht="15" hidden="false" customHeight="true" outlineLevel="0" collapsed="false">
      <c r="A376" s="438" t="n">
        <v>8</v>
      </c>
      <c r="B376" s="157" t="n">
        <v>369</v>
      </c>
      <c r="C376" s="157" t="s">
        <v>4717</v>
      </c>
      <c r="D376" s="157" t="s">
        <v>4718</v>
      </c>
      <c r="E376" s="157" t="n">
        <v>434</v>
      </c>
      <c r="G376" s="157" t="s">
        <v>2567</v>
      </c>
      <c r="H376" s="78" t="n">
        <f aca="false">Y376/J376</f>
        <v>185.185185185185</v>
      </c>
      <c r="I376" s="439" t="n">
        <v>43263</v>
      </c>
      <c r="J376" s="157" t="n">
        <v>1512</v>
      </c>
      <c r="L376" s="157" t="n">
        <v>1512</v>
      </c>
      <c r="M376" s="157" t="n">
        <v>1980</v>
      </c>
      <c r="P376" s="157" t="s">
        <v>2706</v>
      </c>
      <c r="R376" s="174" t="s">
        <v>279</v>
      </c>
      <c r="S376" s="157" t="n">
        <v>16198</v>
      </c>
      <c r="T376" s="440" t="n">
        <f aca="false">S376/J376</f>
        <v>10.712962962963</v>
      </c>
      <c r="U376" s="157" t="s">
        <v>279</v>
      </c>
      <c r="Y376" s="157" t="n">
        <v>280000</v>
      </c>
      <c r="AA376" s="157" t="n">
        <v>280000</v>
      </c>
      <c r="AC376" s="157" t="s">
        <v>4719</v>
      </c>
      <c r="AD376" s="157" t="s">
        <v>4720</v>
      </c>
      <c r="AE376" s="281" t="s">
        <v>4721</v>
      </c>
      <c r="AF376" s="281" t="s">
        <v>4722</v>
      </c>
      <c r="AI376" s="157" t="e">
        <f aca="false">IF(AND($E376=Subj_OccCode,Subj_BldgSF&gt;0,ABS($L376-Subj_BldgSF)&lt;=Subj_BldgSF*Subj_SizeTol),ABS($L376-Subj_BldgSF),NA())</f>
        <v>#N/A</v>
      </c>
      <c r="AJ376" s="157" t="e">
        <f aca="false">IF(ISNA(AI376),NA(),AI376+ROW()/10000000)</f>
        <v>#N/A</v>
      </c>
    </row>
    <row r="377" customFormat="false" ht="15" hidden="false" customHeight="true" outlineLevel="0" collapsed="false">
      <c r="A377" s="438" t="n">
        <v>8</v>
      </c>
      <c r="B377" s="157" t="n">
        <v>370</v>
      </c>
      <c r="C377" s="157" t="s">
        <v>4723</v>
      </c>
      <c r="D377" s="157" t="s">
        <v>4724</v>
      </c>
      <c r="E377" s="157" t="n">
        <v>334</v>
      </c>
      <c r="F377" s="157" t="s">
        <v>2921</v>
      </c>
      <c r="G377" s="157" t="s">
        <v>2691</v>
      </c>
      <c r="H377" s="78" t="n">
        <f aca="false">Y377/J377</f>
        <v>137.45148771022</v>
      </c>
      <c r="I377" s="439" t="n">
        <v>43830</v>
      </c>
      <c r="J377" s="157" t="n">
        <v>12368</v>
      </c>
      <c r="L377" s="157" t="n">
        <v>12368</v>
      </c>
      <c r="M377" s="157" t="n">
        <v>1972</v>
      </c>
      <c r="P377" s="157" t="s">
        <v>2922</v>
      </c>
      <c r="R377" s="174" t="s">
        <v>279</v>
      </c>
      <c r="S377" s="157" t="n">
        <v>24026</v>
      </c>
      <c r="T377" s="440" t="n">
        <f aca="false">S377/J377</f>
        <v>1.94259379042691</v>
      </c>
      <c r="U377" s="157" t="s">
        <v>279</v>
      </c>
      <c r="Y377" s="157" t="n">
        <v>1700000</v>
      </c>
      <c r="AA377" s="157" t="n">
        <v>1700000</v>
      </c>
      <c r="AC377" s="157" t="s">
        <v>4725</v>
      </c>
      <c r="AD377" s="157" t="s">
        <v>4726</v>
      </c>
      <c r="AE377" s="281" t="s">
        <v>4727</v>
      </c>
      <c r="AF377" s="281" t="s">
        <v>4728</v>
      </c>
      <c r="AI377" s="157" t="e">
        <f aca="false">IF(AND($E377=Subj_OccCode,Subj_BldgSF&gt;0,ABS($L377-Subj_BldgSF)&lt;=Subj_BldgSF*Subj_SizeTol),ABS($L377-Subj_BldgSF),NA())</f>
        <v>#N/A</v>
      </c>
      <c r="AJ377" s="157" t="e">
        <f aca="false">IF(ISNA(AI377),NA(),AI377+ROW()/10000000)</f>
        <v>#N/A</v>
      </c>
    </row>
    <row r="378" customFormat="false" ht="15" hidden="false" customHeight="true" outlineLevel="0" collapsed="false">
      <c r="A378" s="438" t="n">
        <v>8</v>
      </c>
      <c r="B378" s="157" t="n">
        <v>371</v>
      </c>
      <c r="C378" s="157" t="s">
        <v>4729</v>
      </c>
      <c r="D378" s="157" t="s">
        <v>4730</v>
      </c>
      <c r="E378" s="157" t="n">
        <v>353</v>
      </c>
      <c r="G378" s="157" t="s">
        <v>2567</v>
      </c>
      <c r="H378" s="78" t="n">
        <f aca="false">Y378/J378</f>
        <v>144.476744186047</v>
      </c>
      <c r="I378" s="439" t="n">
        <v>44098</v>
      </c>
      <c r="J378" s="157" t="n">
        <v>3440</v>
      </c>
      <c r="L378" s="157" t="n">
        <v>3440</v>
      </c>
      <c r="M378" s="157" t="n">
        <v>1964</v>
      </c>
      <c r="P378" s="157" t="s">
        <v>2750</v>
      </c>
      <c r="R378" s="174" t="s">
        <v>279</v>
      </c>
      <c r="S378" s="157" t="n">
        <v>47459</v>
      </c>
      <c r="T378" s="440" t="n">
        <f aca="false">S378/J378</f>
        <v>13.7962209302326</v>
      </c>
      <c r="U378" s="157" t="s">
        <v>279</v>
      </c>
      <c r="Y378" s="157" t="n">
        <v>497000</v>
      </c>
      <c r="AA378" s="157" t="n">
        <v>497000</v>
      </c>
      <c r="AC378" s="157" t="s">
        <v>4731</v>
      </c>
      <c r="AD378" s="157" t="s">
        <v>4732</v>
      </c>
      <c r="AE378" s="281" t="s">
        <v>4733</v>
      </c>
      <c r="AF378" s="281" t="s">
        <v>4734</v>
      </c>
      <c r="AI378" s="157" t="e">
        <f aca="false">IF(AND($E378=Subj_OccCode,Subj_BldgSF&gt;0,ABS($L378-Subj_BldgSF)&lt;=Subj_BldgSF*Subj_SizeTol),ABS($L378-Subj_BldgSF),NA())</f>
        <v>#N/A</v>
      </c>
      <c r="AJ378" s="157" t="e">
        <f aca="false">IF(ISNA(AI378),NA(),AI378+ROW()/10000000)</f>
        <v>#N/A</v>
      </c>
    </row>
    <row r="379" customFormat="false" ht="15" hidden="false" customHeight="true" outlineLevel="0" collapsed="false">
      <c r="A379" s="438" t="n">
        <v>8</v>
      </c>
      <c r="B379" s="157" t="n">
        <v>372</v>
      </c>
      <c r="C379" s="157" t="s">
        <v>4735</v>
      </c>
      <c r="D379" s="157" t="s">
        <v>4736</v>
      </c>
      <c r="E379" s="157" t="n">
        <v>343</v>
      </c>
      <c r="G379" s="157" t="s">
        <v>2567</v>
      </c>
      <c r="H379" s="78" t="n">
        <f aca="false">Y379/J379</f>
        <v>123.622492229443</v>
      </c>
      <c r="I379" s="439" t="n">
        <v>44530</v>
      </c>
      <c r="J379" s="157" t="n">
        <v>14156</v>
      </c>
      <c r="L379" s="157" t="n">
        <v>14156</v>
      </c>
      <c r="M379" s="157" t="n">
        <v>1982</v>
      </c>
      <c r="P379" s="157" t="s">
        <v>2750</v>
      </c>
      <c r="R379" s="174" t="s">
        <v>279</v>
      </c>
      <c r="S379" s="157" t="n">
        <v>39829</v>
      </c>
      <c r="T379" s="440" t="n">
        <f aca="false">S379/J379</f>
        <v>2.813577281718</v>
      </c>
      <c r="U379" s="157" t="s">
        <v>279</v>
      </c>
      <c r="Y379" s="157" t="n">
        <v>1750000</v>
      </c>
      <c r="AA379" s="157" t="n">
        <v>1750000</v>
      </c>
      <c r="AC379" s="157" t="s">
        <v>4737</v>
      </c>
      <c r="AD379" s="157" t="s">
        <v>4738</v>
      </c>
      <c r="AE379" s="281" t="s">
        <v>4739</v>
      </c>
      <c r="AF379" s="281" t="s">
        <v>4740</v>
      </c>
      <c r="AI379" s="157" t="e">
        <f aca="false">IF(AND($E379=Subj_OccCode,Subj_BldgSF&gt;0,ABS($L379-Subj_BldgSF)&lt;=Subj_BldgSF*Subj_SizeTol),ABS($L379-Subj_BldgSF),NA())</f>
        <v>#N/A</v>
      </c>
      <c r="AJ379" s="157" t="e">
        <f aca="false">IF(ISNA(AI379),NA(),AI379+ROW()/10000000)</f>
        <v>#N/A</v>
      </c>
    </row>
    <row r="380" customFormat="false" ht="15" hidden="false" customHeight="true" outlineLevel="0" collapsed="false">
      <c r="A380" s="438" t="n">
        <v>8</v>
      </c>
      <c r="B380" s="157" t="n">
        <v>373</v>
      </c>
      <c r="C380" s="157" t="s">
        <v>4741</v>
      </c>
      <c r="D380" s="157" t="s">
        <v>4742</v>
      </c>
      <c r="E380" s="157" t="n">
        <v>425</v>
      </c>
      <c r="F380" s="157" t="s">
        <v>2595</v>
      </c>
      <c r="G380" s="157" t="s">
        <v>2596</v>
      </c>
      <c r="H380" s="78" t="n">
        <f aca="false">Y380/J380</f>
        <v>120.666666666667</v>
      </c>
      <c r="I380" s="439" t="n">
        <v>43588</v>
      </c>
      <c r="J380" s="157" t="n">
        <v>1500</v>
      </c>
      <c r="L380" s="157" t="n">
        <v>1500</v>
      </c>
      <c r="M380" s="157" t="n">
        <v>1982</v>
      </c>
      <c r="P380" s="157" t="s">
        <v>4743</v>
      </c>
      <c r="R380" s="174" t="s">
        <v>279</v>
      </c>
      <c r="S380" s="157" t="n">
        <v>4608</v>
      </c>
      <c r="T380" s="440" t="n">
        <f aca="false">S380/J380</f>
        <v>3.072</v>
      </c>
      <c r="U380" s="157" t="s">
        <v>279</v>
      </c>
      <c r="Y380" s="157" t="n">
        <v>181000</v>
      </c>
      <c r="AA380" s="157" t="n">
        <v>181000</v>
      </c>
      <c r="AC380" s="157" t="s">
        <v>4744</v>
      </c>
      <c r="AD380" s="157" t="s">
        <v>4745</v>
      </c>
      <c r="AE380" s="281" t="s">
        <v>4746</v>
      </c>
      <c r="AF380" s="281" t="s">
        <v>4747</v>
      </c>
      <c r="AI380" s="157" t="e">
        <f aca="false">IF(AND($E380=Subj_OccCode,Subj_BldgSF&gt;0,ABS($L380-Subj_BldgSF)&lt;=Subj_BldgSF*Subj_SizeTol),ABS($L380-Subj_BldgSF),NA())</f>
        <v>#N/A</v>
      </c>
      <c r="AJ380" s="157" t="e">
        <f aca="false">IF(ISNA(AI380),NA(),AI380+ROW()/10000000)</f>
        <v>#N/A</v>
      </c>
    </row>
    <row r="381" customFormat="false" ht="15" hidden="false" customHeight="true" outlineLevel="0" collapsed="false">
      <c r="A381" s="438" t="n">
        <v>8</v>
      </c>
      <c r="B381" s="157" t="n">
        <v>374</v>
      </c>
      <c r="C381" s="157" t="s">
        <v>4748</v>
      </c>
      <c r="D381" s="157" t="s">
        <v>4749</v>
      </c>
      <c r="E381" s="157" t="n">
        <v>344</v>
      </c>
      <c r="F381" s="157" t="s">
        <v>2705</v>
      </c>
      <c r="G381" s="157" t="s">
        <v>352</v>
      </c>
      <c r="H381" s="78" t="n">
        <f aca="false">Y381/J381</f>
        <v>162.037037037037</v>
      </c>
      <c r="I381" s="439" t="n">
        <v>43208</v>
      </c>
      <c r="J381" s="157" t="n">
        <v>1296</v>
      </c>
      <c r="L381" s="157" t="n">
        <v>1296</v>
      </c>
      <c r="M381" s="157" t="n">
        <v>1949</v>
      </c>
      <c r="P381" s="157" t="s">
        <v>2706</v>
      </c>
      <c r="R381" s="174" t="s">
        <v>279</v>
      </c>
      <c r="S381" s="157" t="n">
        <v>6525</v>
      </c>
      <c r="T381" s="440" t="n">
        <f aca="false">S381/J381</f>
        <v>5.03472222222222</v>
      </c>
      <c r="U381" s="157" t="s">
        <v>279</v>
      </c>
      <c r="Y381" s="157" t="n">
        <v>210000</v>
      </c>
      <c r="AA381" s="157" t="n">
        <v>210000</v>
      </c>
      <c r="AC381" s="157" t="s">
        <v>4750</v>
      </c>
      <c r="AD381" s="157" t="s">
        <v>4751</v>
      </c>
      <c r="AE381" s="281" t="s">
        <v>4752</v>
      </c>
      <c r="AF381" s="281" t="s">
        <v>4753</v>
      </c>
      <c r="AI381" s="157" t="e">
        <f aca="false">IF(AND($E381=Subj_OccCode,Subj_BldgSF&gt;0,ABS($L381-Subj_BldgSF)&lt;=Subj_BldgSF*Subj_SizeTol),ABS($L381-Subj_BldgSF),NA())</f>
        <v>#N/A</v>
      </c>
      <c r="AJ381" s="157" t="e">
        <f aca="false">IF(ISNA(AI381),NA(),AI381+ROW()/10000000)</f>
        <v>#N/A</v>
      </c>
    </row>
    <row r="382" customFormat="false" ht="15" hidden="false" customHeight="true" outlineLevel="0" collapsed="false">
      <c r="A382" s="438" t="n">
        <v>8</v>
      </c>
      <c r="B382" s="157" t="n">
        <v>375</v>
      </c>
      <c r="C382" s="157" t="s">
        <v>4754</v>
      </c>
      <c r="D382" s="157" t="s">
        <v>4755</v>
      </c>
      <c r="E382" s="157" t="n">
        <v>353</v>
      </c>
      <c r="F382" s="157" t="s">
        <v>2581</v>
      </c>
      <c r="G382" s="157" t="s">
        <v>2567</v>
      </c>
      <c r="H382" s="78" t="n">
        <f aca="false">Y382/J382</f>
        <v>236.831837690207</v>
      </c>
      <c r="I382" s="439" t="n">
        <v>43601</v>
      </c>
      <c r="J382" s="157" t="n">
        <v>2563</v>
      </c>
      <c r="L382" s="157" t="n">
        <v>2563</v>
      </c>
      <c r="M382" s="157" t="n">
        <v>1962</v>
      </c>
      <c r="R382" s="174" t="s">
        <v>279</v>
      </c>
      <c r="S382" s="157" t="n">
        <v>15600</v>
      </c>
      <c r="T382" s="440" t="n">
        <f aca="false">S382/J382</f>
        <v>6.08661724541553</v>
      </c>
      <c r="U382" s="157" t="s">
        <v>279</v>
      </c>
      <c r="Y382" s="157" t="n">
        <v>607000</v>
      </c>
      <c r="AA382" s="157" t="n">
        <v>607000</v>
      </c>
      <c r="AC382" s="157" t="s">
        <v>4756</v>
      </c>
      <c r="AD382" s="157" t="s">
        <v>4757</v>
      </c>
      <c r="AE382" s="281" t="s">
        <v>4758</v>
      </c>
      <c r="AF382" s="281" t="s">
        <v>4759</v>
      </c>
      <c r="AI382" s="157" t="e">
        <f aca="false">IF(AND($E382=Subj_OccCode,Subj_BldgSF&gt;0,ABS($L382-Subj_BldgSF)&lt;=Subj_BldgSF*Subj_SizeTol),ABS($L382-Subj_BldgSF),NA())</f>
        <v>#N/A</v>
      </c>
      <c r="AJ382" s="157" t="e">
        <f aca="false">IF(ISNA(AI382),NA(),AI382+ROW()/10000000)</f>
        <v>#N/A</v>
      </c>
    </row>
    <row r="383" customFormat="false" ht="15" hidden="false" customHeight="true" outlineLevel="0" collapsed="false">
      <c r="A383" s="438" t="n">
        <v>8</v>
      </c>
      <c r="B383" s="157" t="n">
        <v>376</v>
      </c>
      <c r="C383" s="157" t="s">
        <v>4760</v>
      </c>
      <c r="D383" s="157" t="s">
        <v>4761</v>
      </c>
      <c r="E383" s="157" t="n">
        <v>534</v>
      </c>
      <c r="F383" s="157" t="s">
        <v>2581</v>
      </c>
      <c r="G383" s="157" t="s">
        <v>354</v>
      </c>
      <c r="H383" s="78" t="n">
        <f aca="false">Y383/J383</f>
        <v>136.450686243217</v>
      </c>
      <c r="I383" s="439" t="n">
        <v>43251</v>
      </c>
      <c r="J383" s="157" t="n">
        <v>125320</v>
      </c>
      <c r="L383" s="157" t="n">
        <v>125320</v>
      </c>
      <c r="M383" s="157" t="n">
        <v>2001</v>
      </c>
      <c r="R383" s="174" t="s">
        <v>483</v>
      </c>
      <c r="S383" s="157" t="n">
        <v>553942</v>
      </c>
      <c r="T383" s="440" t="n">
        <f aca="false">S383/J383</f>
        <v>4.42022023619534</v>
      </c>
      <c r="U383" s="157" t="s">
        <v>483</v>
      </c>
      <c r="Y383" s="157" t="n">
        <v>17100000</v>
      </c>
      <c r="AA383" s="157" t="n">
        <v>17100000</v>
      </c>
      <c r="AC383" s="157" t="s">
        <v>4762</v>
      </c>
      <c r="AD383" s="157" t="s">
        <v>4763</v>
      </c>
      <c r="AE383" s="281" t="s">
        <v>4764</v>
      </c>
      <c r="AF383" s="281" t="s">
        <v>4765</v>
      </c>
      <c r="AI383" s="157" t="e">
        <f aca="false">IF(AND($E383=Subj_OccCode,Subj_BldgSF&gt;0,ABS($L383-Subj_BldgSF)&lt;=Subj_BldgSF*Subj_SizeTol),ABS($L383-Subj_BldgSF),NA())</f>
        <v>#N/A</v>
      </c>
      <c r="AJ383" s="157" t="e">
        <f aca="false">IF(ISNA(AI383),NA(),AI383+ROW()/10000000)</f>
        <v>#N/A</v>
      </c>
    </row>
    <row r="384" customFormat="false" ht="15" hidden="false" customHeight="true" outlineLevel="0" collapsed="false">
      <c r="A384" s="438" t="n">
        <v>8</v>
      </c>
      <c r="B384" s="157" t="n">
        <v>377</v>
      </c>
      <c r="C384" s="157" t="s">
        <v>4766</v>
      </c>
      <c r="D384" s="157" t="s">
        <v>4767</v>
      </c>
      <c r="E384" s="157" t="n">
        <v>1344</v>
      </c>
      <c r="F384" s="157" t="s">
        <v>2566</v>
      </c>
      <c r="G384" s="157" t="s">
        <v>2567</v>
      </c>
      <c r="H384" s="78" t="n">
        <f aca="false">Y384/J384</f>
        <v>128.610108303249</v>
      </c>
      <c r="I384" s="439" t="n">
        <v>44614</v>
      </c>
      <c r="J384" s="157" t="n">
        <v>2216</v>
      </c>
      <c r="L384" s="157" t="n">
        <v>2216</v>
      </c>
      <c r="M384" s="157" t="n">
        <v>1984</v>
      </c>
      <c r="P384" s="157" t="s">
        <v>3569</v>
      </c>
      <c r="R384" s="174" t="s">
        <v>279</v>
      </c>
      <c r="S384" s="157" t="n">
        <v>1108</v>
      </c>
      <c r="T384" s="440" t="n">
        <f aca="false">S384/J384</f>
        <v>0.5</v>
      </c>
      <c r="U384" s="157" t="s">
        <v>279</v>
      </c>
      <c r="Y384" s="157" t="n">
        <v>285000</v>
      </c>
      <c r="AA384" s="157" t="n">
        <v>285000</v>
      </c>
      <c r="AC384" s="157" t="s">
        <v>4768</v>
      </c>
      <c r="AD384" s="157" t="s">
        <v>4769</v>
      </c>
      <c r="AE384" s="281" t="s">
        <v>4770</v>
      </c>
      <c r="AF384" s="281" t="s">
        <v>4771</v>
      </c>
      <c r="AI384" s="157" t="e">
        <f aca="false">IF(AND($E384=Subj_OccCode,Subj_BldgSF&gt;0,ABS($L384-Subj_BldgSF)&lt;=Subj_BldgSF*Subj_SizeTol),ABS($L384-Subj_BldgSF),NA())</f>
        <v>#N/A</v>
      </c>
      <c r="AJ384" s="157" t="e">
        <f aca="false">IF(ISNA(AI384),NA(),AI384+ROW()/10000000)</f>
        <v>#N/A</v>
      </c>
    </row>
    <row r="385" customFormat="false" ht="15" hidden="false" customHeight="true" outlineLevel="0" collapsed="false">
      <c r="A385" s="438" t="n">
        <v>8</v>
      </c>
      <c r="B385" s="157" t="n">
        <v>378</v>
      </c>
      <c r="C385" s="157" t="s">
        <v>3466</v>
      </c>
      <c r="D385" s="157" t="s">
        <v>4772</v>
      </c>
      <c r="E385" s="157" t="n">
        <v>344</v>
      </c>
      <c r="F385" s="157" t="s">
        <v>2677</v>
      </c>
      <c r="G385" s="157" t="s">
        <v>353</v>
      </c>
      <c r="H385" s="78" t="n">
        <f aca="false">Y385/J385</f>
        <v>115.09013374685</v>
      </c>
      <c r="I385" s="439" t="n">
        <v>43374</v>
      </c>
      <c r="J385" s="157" t="n">
        <v>20636</v>
      </c>
      <c r="L385" s="157" t="n">
        <v>20636</v>
      </c>
      <c r="M385" s="157" t="n">
        <v>1985</v>
      </c>
      <c r="P385" s="157" t="s">
        <v>4368</v>
      </c>
      <c r="R385" s="174" t="s">
        <v>279</v>
      </c>
      <c r="S385" s="157" t="n">
        <v>54189</v>
      </c>
      <c r="T385" s="440" t="n">
        <f aca="false">S385/J385</f>
        <v>2.62594495057182</v>
      </c>
      <c r="U385" s="157" t="s">
        <v>279</v>
      </c>
      <c r="Y385" s="157" t="n">
        <v>2375000</v>
      </c>
      <c r="AA385" s="157" t="n">
        <v>2375000</v>
      </c>
      <c r="AC385" s="157" t="s">
        <v>3468</v>
      </c>
      <c r="AD385" s="157" t="s">
        <v>4773</v>
      </c>
      <c r="AE385" s="281" t="s">
        <v>4774</v>
      </c>
      <c r="AF385" s="281" t="s">
        <v>3470</v>
      </c>
      <c r="AI385" s="157" t="e">
        <f aca="false">IF(AND($E385=Subj_OccCode,Subj_BldgSF&gt;0,ABS($L385-Subj_BldgSF)&lt;=Subj_BldgSF*Subj_SizeTol),ABS($L385-Subj_BldgSF),NA())</f>
        <v>#N/A</v>
      </c>
      <c r="AJ385" s="157" t="e">
        <f aca="false">IF(ISNA(AI385),NA(),AI385+ROW()/10000000)</f>
        <v>#N/A</v>
      </c>
    </row>
    <row r="386" customFormat="false" ht="15" hidden="false" customHeight="true" outlineLevel="0" collapsed="false">
      <c r="A386" s="438" t="n">
        <v>8</v>
      </c>
      <c r="B386" s="157" t="n">
        <v>379</v>
      </c>
      <c r="C386" s="157" t="s">
        <v>4775</v>
      </c>
      <c r="D386" s="157" t="s">
        <v>4776</v>
      </c>
      <c r="E386" s="157" t="n">
        <v>425</v>
      </c>
      <c r="F386" s="157" t="s">
        <v>2921</v>
      </c>
      <c r="G386" s="157" t="s">
        <v>2691</v>
      </c>
      <c r="H386" s="78" t="n">
        <f aca="false">Y386/J386</f>
        <v>25.9444444444444</v>
      </c>
      <c r="I386" s="439" t="n">
        <v>43395</v>
      </c>
      <c r="J386" s="157" t="n">
        <v>9000</v>
      </c>
      <c r="L386" s="157" t="n">
        <v>9000</v>
      </c>
      <c r="M386" s="157" t="n">
        <v>2002</v>
      </c>
      <c r="R386" s="174" t="s">
        <v>279</v>
      </c>
      <c r="S386" s="157" t="n">
        <v>6448</v>
      </c>
      <c r="T386" s="440" t="n">
        <f aca="false">S386/J386</f>
        <v>0.716444444444444</v>
      </c>
      <c r="U386" s="157" t="s">
        <v>279</v>
      </c>
      <c r="Y386" s="157" t="n">
        <v>233500</v>
      </c>
      <c r="AA386" s="157" t="n">
        <v>233500</v>
      </c>
      <c r="AC386" s="157" t="s">
        <v>4777</v>
      </c>
      <c r="AD386" s="157" t="s">
        <v>4778</v>
      </c>
      <c r="AE386" s="281" t="s">
        <v>4779</v>
      </c>
      <c r="AF386" s="281" t="s">
        <v>4780</v>
      </c>
      <c r="AI386" s="157" t="e">
        <f aca="false">IF(AND($E386=Subj_OccCode,Subj_BldgSF&gt;0,ABS($L386-Subj_BldgSF)&lt;=Subj_BldgSF*Subj_SizeTol),ABS($L386-Subj_BldgSF),NA())</f>
        <v>#N/A</v>
      </c>
      <c r="AJ386" s="157" t="e">
        <f aca="false">IF(ISNA(AI386),NA(),AI386+ROW()/10000000)</f>
        <v>#N/A</v>
      </c>
    </row>
    <row r="387" customFormat="false" ht="15" hidden="false" customHeight="true" outlineLevel="0" collapsed="false">
      <c r="A387" s="438" t="n">
        <v>8</v>
      </c>
      <c r="B387" s="157" t="n">
        <v>380</v>
      </c>
      <c r="C387" s="157" t="s">
        <v>4781</v>
      </c>
      <c r="D387" s="157" t="s">
        <v>4782</v>
      </c>
      <c r="E387" s="157" t="n">
        <v>325</v>
      </c>
      <c r="G387" s="157" t="s">
        <v>2691</v>
      </c>
      <c r="H387" s="78" t="n">
        <f aca="false">Y387/J387</f>
        <v>256.25</v>
      </c>
      <c r="I387" s="439" t="n">
        <v>44386</v>
      </c>
      <c r="J387" s="157" t="n">
        <v>2400</v>
      </c>
      <c r="L387" s="157" t="n">
        <v>2400</v>
      </c>
      <c r="M387" s="157" t="n">
        <v>1936</v>
      </c>
      <c r="P387" s="157" t="s">
        <v>2692</v>
      </c>
      <c r="R387" s="174" t="s">
        <v>1511</v>
      </c>
      <c r="S387" s="157" t="n">
        <v>9580</v>
      </c>
      <c r="T387" s="440" t="n">
        <f aca="false">S387/J387</f>
        <v>3.99166666666667</v>
      </c>
      <c r="U387" s="157" t="s">
        <v>279</v>
      </c>
      <c r="Y387" s="157" t="n">
        <v>615000</v>
      </c>
      <c r="AA387" s="157" t="n">
        <v>615000</v>
      </c>
      <c r="AC387" s="157" t="s">
        <v>4783</v>
      </c>
      <c r="AD387" s="157" t="s">
        <v>4784</v>
      </c>
      <c r="AE387" s="281" t="s">
        <v>4785</v>
      </c>
      <c r="AF387" s="281" t="s">
        <v>4786</v>
      </c>
      <c r="AI387" s="157" t="e">
        <f aca="false">IF(AND($E387=Subj_OccCode,Subj_BldgSF&gt;0,ABS($L387-Subj_BldgSF)&lt;=Subj_BldgSF*Subj_SizeTol),ABS($L387-Subj_BldgSF),NA())</f>
        <v>#N/A</v>
      </c>
      <c r="AJ387" s="157" t="e">
        <f aca="false">IF(ISNA(AI387),NA(),AI387+ROW()/10000000)</f>
        <v>#N/A</v>
      </c>
    </row>
    <row r="388" customFormat="false" ht="15" hidden="false" customHeight="true" outlineLevel="0" collapsed="false">
      <c r="A388" s="438" t="n">
        <v>8</v>
      </c>
      <c r="B388" s="157" t="n">
        <v>381</v>
      </c>
      <c r="C388" s="157" t="s">
        <v>4787</v>
      </c>
      <c r="D388" s="157" t="s">
        <v>4788</v>
      </c>
      <c r="E388" s="157" t="n">
        <v>406</v>
      </c>
      <c r="F388" s="157" t="s">
        <v>2921</v>
      </c>
      <c r="G388" s="157" t="s">
        <v>2691</v>
      </c>
      <c r="H388" s="78" t="n">
        <f aca="false">Y388/J388</f>
        <v>300</v>
      </c>
      <c r="I388" s="439" t="n">
        <v>44722</v>
      </c>
      <c r="J388" s="157" t="n">
        <v>7000</v>
      </c>
      <c r="L388" s="157" t="n">
        <v>7000</v>
      </c>
      <c r="M388" s="157" t="n">
        <v>1966</v>
      </c>
      <c r="P388" s="157" t="s">
        <v>3009</v>
      </c>
      <c r="R388" s="174" t="s">
        <v>279</v>
      </c>
      <c r="S388" s="157" t="n">
        <v>91829</v>
      </c>
      <c r="T388" s="440" t="n">
        <f aca="false">S388/J388</f>
        <v>13.1184285714286</v>
      </c>
      <c r="U388" s="157" t="s">
        <v>279</v>
      </c>
      <c r="Y388" s="157" t="n">
        <v>2100000</v>
      </c>
      <c r="AA388" s="157" t="n">
        <v>2100000</v>
      </c>
      <c r="AC388" s="157" t="s">
        <v>4789</v>
      </c>
      <c r="AD388" s="157" t="s">
        <v>4790</v>
      </c>
      <c r="AE388" s="281" t="s">
        <v>4791</v>
      </c>
      <c r="AF388" s="281" t="s">
        <v>4792</v>
      </c>
      <c r="AI388" s="157" t="e">
        <f aca="false">IF(AND($E388=Subj_OccCode,Subj_BldgSF&gt;0,ABS($L388-Subj_BldgSF)&lt;=Subj_BldgSF*Subj_SizeTol),ABS($L388-Subj_BldgSF),NA())</f>
        <v>#N/A</v>
      </c>
      <c r="AJ388" s="157" t="e">
        <f aca="false">IF(ISNA(AI388),NA(),AI388+ROW()/10000000)</f>
        <v>#N/A</v>
      </c>
    </row>
    <row r="389" customFormat="false" ht="15" hidden="false" customHeight="true" outlineLevel="0" collapsed="false">
      <c r="A389" s="438" t="n">
        <v>8</v>
      </c>
      <c r="B389" s="157" t="n">
        <v>382</v>
      </c>
      <c r="C389" s="157" t="s">
        <v>4793</v>
      </c>
      <c r="D389" s="157" t="s">
        <v>4794</v>
      </c>
      <c r="E389" s="157" t="n">
        <v>353</v>
      </c>
      <c r="F389" s="157" t="s">
        <v>2581</v>
      </c>
      <c r="G389" s="157" t="s">
        <v>2567</v>
      </c>
      <c r="H389" s="78" t="n">
        <f aca="false">Y389/J389</f>
        <v>190.629011553273</v>
      </c>
      <c r="I389" s="439" t="n">
        <v>44124</v>
      </c>
      <c r="J389" s="157" t="n">
        <v>3895</v>
      </c>
      <c r="L389" s="157" t="n">
        <v>3895</v>
      </c>
      <c r="M389" s="157" t="n">
        <v>1965</v>
      </c>
      <c r="P389" s="157" t="s">
        <v>2990</v>
      </c>
      <c r="R389" s="174" t="s">
        <v>279</v>
      </c>
      <c r="S389" s="157" t="n">
        <v>12500</v>
      </c>
      <c r="T389" s="440" t="n">
        <f aca="false">S389/J389</f>
        <v>3.20924261874198</v>
      </c>
      <c r="U389" s="157" t="s">
        <v>279</v>
      </c>
      <c r="Y389" s="157" t="n">
        <v>742500</v>
      </c>
      <c r="AA389" s="157" t="n">
        <v>742500</v>
      </c>
      <c r="AC389" s="157" t="s">
        <v>4795</v>
      </c>
      <c r="AD389" s="157" t="s">
        <v>4796</v>
      </c>
      <c r="AE389" s="281" t="s">
        <v>4797</v>
      </c>
      <c r="AF389" s="281" t="s">
        <v>4798</v>
      </c>
      <c r="AI389" s="157" t="e">
        <f aca="false">IF(AND($E389=Subj_OccCode,Subj_BldgSF&gt;0,ABS($L389-Subj_BldgSF)&lt;=Subj_BldgSF*Subj_SizeTol),ABS($L389-Subj_BldgSF),NA())</f>
        <v>#N/A</v>
      </c>
      <c r="AJ389" s="157" t="e">
        <f aca="false">IF(ISNA(AI389),NA(),AI389+ROW()/10000000)</f>
        <v>#N/A</v>
      </c>
    </row>
    <row r="390" customFormat="false" ht="15" hidden="false" customHeight="true" outlineLevel="0" collapsed="false">
      <c r="A390" s="438" t="n">
        <v>8</v>
      </c>
      <c r="B390" s="157" t="n">
        <v>383</v>
      </c>
      <c r="C390" s="157" t="s">
        <v>4799</v>
      </c>
      <c r="D390" s="157" t="s">
        <v>4800</v>
      </c>
      <c r="E390" s="157" t="n">
        <v>334</v>
      </c>
      <c r="G390" s="157" t="s">
        <v>2691</v>
      </c>
      <c r="H390" s="78" t="n">
        <f aca="false">Y390/J390</f>
        <v>172.541286665023</v>
      </c>
      <c r="I390" s="439" t="n">
        <v>44405</v>
      </c>
      <c r="J390" s="157" t="n">
        <v>20285</v>
      </c>
      <c r="L390" s="157" t="n">
        <v>20285</v>
      </c>
      <c r="M390" s="157" t="n">
        <v>1968</v>
      </c>
      <c r="P390" s="157" t="s">
        <v>2692</v>
      </c>
      <c r="R390" s="174" t="s">
        <v>279</v>
      </c>
      <c r="S390" s="157" t="n">
        <v>62664</v>
      </c>
      <c r="T390" s="440" t="n">
        <f aca="false">S390/J390</f>
        <v>3.08917919645058</v>
      </c>
      <c r="U390" s="157" t="s">
        <v>279</v>
      </c>
      <c r="Y390" s="157" t="n">
        <v>3500000</v>
      </c>
      <c r="AA390" s="157" t="n">
        <v>3500000</v>
      </c>
      <c r="AC390" s="157" t="s">
        <v>4801</v>
      </c>
      <c r="AD390" s="157" t="s">
        <v>4802</v>
      </c>
      <c r="AE390" s="281" t="s">
        <v>4803</v>
      </c>
      <c r="AF390" s="281" t="s">
        <v>4804</v>
      </c>
      <c r="AI390" s="157" t="e">
        <f aca="false">IF(AND($E390=Subj_OccCode,Subj_BldgSF&gt;0,ABS($L390-Subj_BldgSF)&lt;=Subj_BldgSF*Subj_SizeTol),ABS($L390-Subj_BldgSF),NA())</f>
        <v>#N/A</v>
      </c>
      <c r="AJ390" s="157" t="e">
        <f aca="false">IF(ISNA(AI390),NA(),AI390+ROW()/10000000)</f>
        <v>#N/A</v>
      </c>
    </row>
    <row r="391" customFormat="false" ht="15" hidden="false" customHeight="true" outlineLevel="0" collapsed="false">
      <c r="A391" s="438" t="n">
        <v>8</v>
      </c>
      <c r="B391" s="157" t="n">
        <v>384</v>
      </c>
      <c r="C391" s="157" t="s">
        <v>4805</v>
      </c>
      <c r="D391" s="157" t="s">
        <v>4806</v>
      </c>
      <c r="E391" s="157" t="n">
        <v>325</v>
      </c>
      <c r="F391" s="157" t="s">
        <v>2921</v>
      </c>
      <c r="G391" s="157" t="s">
        <v>2691</v>
      </c>
      <c r="H391" s="78" t="n">
        <f aca="false">Y391/J391</f>
        <v>153.186274509804</v>
      </c>
      <c r="I391" s="439" t="n">
        <v>43971</v>
      </c>
      <c r="J391" s="157" t="n">
        <v>16320</v>
      </c>
      <c r="L391" s="157" t="n">
        <v>16320</v>
      </c>
      <c r="M391" s="157" t="n">
        <v>1966</v>
      </c>
      <c r="P391" s="157" t="s">
        <v>3009</v>
      </c>
      <c r="R391" s="174" t="s">
        <v>279</v>
      </c>
      <c r="S391" s="157" t="n">
        <v>80586</v>
      </c>
      <c r="T391" s="440" t="n">
        <f aca="false">S391/J391</f>
        <v>4.93786764705882</v>
      </c>
      <c r="U391" s="157" t="s">
        <v>279</v>
      </c>
      <c r="Y391" s="157" t="n">
        <v>2500000</v>
      </c>
      <c r="AA391" s="157" t="n">
        <v>2500000</v>
      </c>
      <c r="AC391" s="157" t="s">
        <v>4807</v>
      </c>
      <c r="AD391" s="157" t="s">
        <v>4808</v>
      </c>
      <c r="AE391" s="281" t="s">
        <v>4809</v>
      </c>
      <c r="AF391" s="281" t="s">
        <v>4810</v>
      </c>
      <c r="AI391" s="157" t="e">
        <f aca="false">IF(AND($E391=Subj_OccCode,Subj_BldgSF&gt;0,ABS($L391-Subj_BldgSF)&lt;=Subj_BldgSF*Subj_SizeTol),ABS($L391-Subj_BldgSF),NA())</f>
        <v>#N/A</v>
      </c>
      <c r="AJ391" s="157" t="e">
        <f aca="false">IF(ISNA(AI391),NA(),AI391+ROW()/10000000)</f>
        <v>#N/A</v>
      </c>
    </row>
    <row r="392" customFormat="false" ht="15" hidden="false" customHeight="true" outlineLevel="0" collapsed="false">
      <c r="A392" s="438" t="n">
        <v>8</v>
      </c>
      <c r="B392" s="157" t="n">
        <v>385</v>
      </c>
      <c r="C392" s="157" t="s">
        <v>4811</v>
      </c>
      <c r="D392" s="157" t="s">
        <v>4812</v>
      </c>
      <c r="E392" s="157" t="n">
        <v>419</v>
      </c>
      <c r="F392" s="157" t="s">
        <v>2595</v>
      </c>
      <c r="G392" s="157" t="s">
        <v>2596</v>
      </c>
      <c r="H392" s="78" t="n">
        <f aca="false">Y392/J392</f>
        <v>1030.79734219269</v>
      </c>
      <c r="I392" s="439" t="n">
        <v>44466</v>
      </c>
      <c r="J392" s="157" t="n">
        <v>3010</v>
      </c>
      <c r="L392" s="157" t="n">
        <v>3010</v>
      </c>
      <c r="M392" s="157" t="n">
        <v>2014</v>
      </c>
      <c r="P392" s="157" t="s">
        <v>4813</v>
      </c>
      <c r="R392" s="174" t="s">
        <v>279</v>
      </c>
      <c r="S392" s="157" t="n">
        <v>43243</v>
      </c>
      <c r="T392" s="440" t="n">
        <f aca="false">S392/J392</f>
        <v>14.3664451827243</v>
      </c>
      <c r="U392" s="157" t="s">
        <v>279</v>
      </c>
      <c r="Y392" s="157" t="n">
        <v>3102700</v>
      </c>
      <c r="AA392" s="157" t="n">
        <v>3102700</v>
      </c>
      <c r="AC392" s="157" t="s">
        <v>4814</v>
      </c>
      <c r="AD392" s="157" t="s">
        <v>4815</v>
      </c>
      <c r="AE392" s="281" t="s">
        <v>4816</v>
      </c>
      <c r="AF392" s="281" t="s">
        <v>4817</v>
      </c>
      <c r="AI392" s="157" t="e">
        <f aca="false">IF(AND($E392=Subj_OccCode,Subj_BldgSF&gt;0,ABS($L392-Subj_BldgSF)&lt;=Subj_BldgSF*Subj_SizeTol),ABS($L392-Subj_BldgSF),NA())</f>
        <v>#N/A</v>
      </c>
      <c r="AJ392" s="157" t="e">
        <f aca="false">IF(ISNA(AI392),NA(),AI392+ROW()/10000000)</f>
        <v>#N/A</v>
      </c>
    </row>
    <row r="393" customFormat="false" ht="15" hidden="false" customHeight="true" outlineLevel="0" collapsed="false">
      <c r="A393" s="438" t="n">
        <v>8</v>
      </c>
      <c r="B393" s="157" t="n">
        <v>386</v>
      </c>
      <c r="C393" s="157" t="s">
        <v>4818</v>
      </c>
      <c r="D393" s="157" t="s">
        <v>4819</v>
      </c>
      <c r="E393" s="157" t="n">
        <v>406</v>
      </c>
      <c r="G393" s="157" t="s">
        <v>2691</v>
      </c>
      <c r="H393" s="78" t="n">
        <f aca="false">Y393/J393</f>
        <v>213.333333333333</v>
      </c>
      <c r="I393" s="439" t="n">
        <v>44362</v>
      </c>
      <c r="J393" s="157" t="n">
        <v>7500</v>
      </c>
      <c r="L393" s="157" t="n">
        <v>7500</v>
      </c>
      <c r="M393" s="157" t="n">
        <v>2000</v>
      </c>
      <c r="P393" s="157" t="s">
        <v>2692</v>
      </c>
      <c r="R393" s="174" t="s">
        <v>279</v>
      </c>
      <c r="S393" s="157" t="n">
        <v>47044.8</v>
      </c>
      <c r="T393" s="440" t="n">
        <f aca="false">S393/J393</f>
        <v>6.27264</v>
      </c>
      <c r="U393" s="157" t="s">
        <v>279</v>
      </c>
      <c r="Y393" s="157" t="n">
        <v>1600000</v>
      </c>
      <c r="AA393" s="157" t="n">
        <v>1600000</v>
      </c>
      <c r="AC393" s="157" t="s">
        <v>4820</v>
      </c>
      <c r="AD393" s="157" t="s">
        <v>4821</v>
      </c>
      <c r="AE393" s="281" t="s">
        <v>4822</v>
      </c>
      <c r="AF393" s="281" t="s">
        <v>4823</v>
      </c>
      <c r="AI393" s="157" t="e">
        <f aca="false">IF(AND($E393=Subj_OccCode,Subj_BldgSF&gt;0,ABS($L393-Subj_BldgSF)&lt;=Subj_BldgSF*Subj_SizeTol),ABS($L393-Subj_BldgSF),NA())</f>
        <v>#N/A</v>
      </c>
      <c r="AJ393" s="1" t="e">
        <f aca="false">IF(ISNA(AI393),NA(),AI393+ROW()/10000000)</f>
        <v>#N/A</v>
      </c>
      <c r="AK393" s="157" t="str">
        <f aca="false">IF(AND(ISNUMBER($N393),$N393&gt;0,ISNUMBER($Y393)),$Y393/$N393,"")</f>
        <v/>
      </c>
    </row>
    <row r="394" customFormat="false" ht="15" hidden="false" customHeight="true" outlineLevel="0" collapsed="false">
      <c r="A394" s="438" t="n">
        <v>8</v>
      </c>
      <c r="B394" s="157" t="n">
        <v>387</v>
      </c>
      <c r="C394" s="157" t="s">
        <v>2870</v>
      </c>
      <c r="D394" s="157" t="s">
        <v>2871</v>
      </c>
      <c r="E394" s="157" t="n">
        <v>407</v>
      </c>
      <c r="F394" s="157" t="s">
        <v>2595</v>
      </c>
      <c r="G394" s="157" t="s">
        <v>2596</v>
      </c>
      <c r="H394" s="78" t="n">
        <f aca="false">Y394/J394</f>
        <v>100.04005607851</v>
      </c>
      <c r="I394" s="439" t="n">
        <v>43784</v>
      </c>
      <c r="J394" s="157" t="n">
        <v>99860</v>
      </c>
      <c r="L394" s="157" t="n">
        <v>99860</v>
      </c>
      <c r="M394" s="157" t="n">
        <v>1984</v>
      </c>
      <c r="P394" s="157" t="s">
        <v>2713</v>
      </c>
      <c r="R394" s="174" t="s">
        <v>279</v>
      </c>
      <c r="S394" s="157" t="n">
        <v>184258</v>
      </c>
      <c r="T394" s="440" t="n">
        <f aca="false">S394/J394</f>
        <v>1.84516322851993</v>
      </c>
      <c r="U394" s="157" t="s">
        <v>279</v>
      </c>
      <c r="Y394" s="157" t="n">
        <v>9990000</v>
      </c>
      <c r="AA394" s="157" t="n">
        <v>9990000</v>
      </c>
      <c r="AC394" s="157" t="s">
        <v>2872</v>
      </c>
      <c r="AD394" s="157" t="s">
        <v>4824</v>
      </c>
      <c r="AE394" s="281" t="s">
        <v>4825</v>
      </c>
      <c r="AF394" s="281" t="s">
        <v>4826</v>
      </c>
      <c r="AI394" s="157" t="e">
        <f aca="false">IF(AND($E394=Subj_OccCode,Subj_BldgSF&gt;0,ABS($L394-Subj_BldgSF)&lt;=Subj_BldgSF*Subj_SizeTol),ABS($L394-Subj_BldgSF),NA())</f>
        <v>#N/A</v>
      </c>
      <c r="AJ394" s="1" t="e">
        <f aca="false">IF(ISNA(AI394),NA(),AI394+ROW()/10000000)</f>
        <v>#N/A</v>
      </c>
      <c r="AK394" s="157" t="str">
        <f aca="false">IF(AND(ISNUMBER($N394),$N394&gt;0,ISNUMBER($Y394)),$Y394/$N394,"")</f>
        <v/>
      </c>
    </row>
    <row r="395" customFormat="false" ht="15" hidden="false" customHeight="true" outlineLevel="0" collapsed="false">
      <c r="A395" s="438" t="n">
        <v>8</v>
      </c>
      <c r="B395" s="157" t="n">
        <v>388</v>
      </c>
      <c r="C395" s="157" t="s">
        <v>4827</v>
      </c>
      <c r="D395" s="157" t="s">
        <v>4828</v>
      </c>
      <c r="E395" s="157" t="n">
        <v>353</v>
      </c>
      <c r="F395" s="157" t="s">
        <v>260</v>
      </c>
      <c r="G395" s="157" t="s">
        <v>2567</v>
      </c>
      <c r="H395" s="78" t="n">
        <f aca="false">Y395/J395</f>
        <v>267.857142857143</v>
      </c>
      <c r="I395" s="439" t="n">
        <v>43369</v>
      </c>
      <c r="J395" s="157" t="n">
        <v>840</v>
      </c>
      <c r="L395" s="157" t="n">
        <v>840</v>
      </c>
      <c r="M395" s="157" t="n">
        <v>1973</v>
      </c>
      <c r="P395" s="157" t="s">
        <v>1929</v>
      </c>
      <c r="R395" s="174" t="s">
        <v>279</v>
      </c>
      <c r="S395" s="157" t="n">
        <v>5625</v>
      </c>
      <c r="T395" s="440" t="n">
        <f aca="false">S395/J395</f>
        <v>6.69642857142857</v>
      </c>
      <c r="U395" s="157" t="s">
        <v>279</v>
      </c>
      <c r="Y395" s="157" t="n">
        <v>225000</v>
      </c>
      <c r="AA395" s="157" t="n">
        <v>225000</v>
      </c>
      <c r="AC395" s="157" t="s">
        <v>4829</v>
      </c>
      <c r="AD395" s="157" t="s">
        <v>4830</v>
      </c>
      <c r="AE395" s="281" t="s">
        <v>4831</v>
      </c>
      <c r="AF395" s="281" t="s">
        <v>4832</v>
      </c>
      <c r="AI395" s="157" t="e">
        <f aca="false">IF(AND($E395=Subj_OccCode,Subj_BldgSF&gt;0,ABS($L395-Subj_BldgSF)&lt;=Subj_BldgSF*Subj_SizeTol),ABS($L395-Subj_BldgSF),NA())</f>
        <v>#N/A</v>
      </c>
      <c r="AJ395" s="1" t="e">
        <f aca="false">IF(ISNA(AI395),NA(),AI395+ROW()/10000000)</f>
        <v>#N/A</v>
      </c>
      <c r="AK395" s="157" t="str">
        <f aca="false">IF(AND(ISNUMBER($N395),$N395&gt;0,ISNUMBER($Y395)),$Y395/$N395,"")</f>
        <v/>
      </c>
    </row>
    <row r="396" customFormat="false" ht="15" hidden="false" customHeight="true" outlineLevel="0" collapsed="false">
      <c r="A396" s="438" t="n">
        <v>8</v>
      </c>
      <c r="B396" s="157" t="n">
        <v>389</v>
      </c>
      <c r="C396" s="157" t="s">
        <v>4833</v>
      </c>
      <c r="D396" s="157" t="s">
        <v>4834</v>
      </c>
      <c r="E396" s="157" t="n">
        <v>384</v>
      </c>
      <c r="F396" s="157" t="s">
        <v>2595</v>
      </c>
      <c r="G396" s="157" t="s">
        <v>2596</v>
      </c>
      <c r="H396" s="78" t="n">
        <f aca="false">Y396/J396</f>
        <v>305.776892430279</v>
      </c>
      <c r="I396" s="439" t="n">
        <v>43166</v>
      </c>
      <c r="J396" s="157" t="n">
        <v>1004</v>
      </c>
      <c r="L396" s="157" t="n">
        <v>1004</v>
      </c>
      <c r="M396" s="157" t="n">
        <v>1970</v>
      </c>
      <c r="P396" s="157" t="s">
        <v>4743</v>
      </c>
      <c r="R396" s="174" t="s">
        <v>279</v>
      </c>
      <c r="S396" s="157" t="n">
        <v>8750</v>
      </c>
      <c r="T396" s="440" t="n">
        <f aca="false">S396/J396</f>
        <v>8.71513944223108</v>
      </c>
      <c r="U396" s="157" t="s">
        <v>279</v>
      </c>
      <c r="Y396" s="157" t="n">
        <v>307000</v>
      </c>
      <c r="AA396" s="157" t="n">
        <v>307000</v>
      </c>
      <c r="AC396" s="157" t="s">
        <v>4835</v>
      </c>
      <c r="AD396" s="157" t="s">
        <v>4836</v>
      </c>
      <c r="AE396" s="281" t="s">
        <v>4837</v>
      </c>
      <c r="AF396" s="281" t="s">
        <v>4838</v>
      </c>
      <c r="AI396" s="157" t="e">
        <f aca="false">IF(AND($E396=Subj_OccCode,Subj_BldgSF&gt;0,ABS($L396-Subj_BldgSF)&lt;=Subj_BldgSF*Subj_SizeTol),ABS($L396-Subj_BldgSF),NA())</f>
        <v>#N/A</v>
      </c>
      <c r="AJ396" s="1" t="e">
        <f aca="false">IF(ISNA(AI396),NA(),AI396+ROW()/10000000)</f>
        <v>#N/A</v>
      </c>
      <c r="AK396" s="157" t="str">
        <f aca="false">IF(AND(ISNUMBER($N396),$N396&gt;0,ISNUMBER($Y396)),$Y396/$N396,"")</f>
        <v/>
      </c>
    </row>
    <row r="397" customFormat="false" ht="15" hidden="false" customHeight="true" outlineLevel="0" collapsed="false">
      <c r="A397" s="438" t="n">
        <v>8</v>
      </c>
      <c r="B397" s="157" t="n">
        <v>390</v>
      </c>
      <c r="C397" s="157" t="s">
        <v>4839</v>
      </c>
      <c r="D397" s="157" t="s">
        <v>4840</v>
      </c>
      <c r="E397" s="157" t="n">
        <v>334</v>
      </c>
      <c r="G397" s="157" t="s">
        <v>2691</v>
      </c>
      <c r="H397" s="78" t="n">
        <f aca="false">Y397/J397</f>
        <v>133.858858858859</v>
      </c>
      <c r="I397" s="439" t="n">
        <v>43697</v>
      </c>
      <c r="J397" s="157" t="n">
        <v>26640</v>
      </c>
      <c r="L397" s="157" t="n">
        <v>26640</v>
      </c>
      <c r="M397" s="157" t="n">
        <v>1972</v>
      </c>
      <c r="P397" s="157" t="s">
        <v>2692</v>
      </c>
      <c r="R397" s="174" t="s">
        <v>279</v>
      </c>
      <c r="S397" s="157" t="n">
        <v>111074</v>
      </c>
      <c r="T397" s="440" t="n">
        <f aca="false">S397/J397</f>
        <v>4.16944444444444</v>
      </c>
      <c r="U397" s="157" t="s">
        <v>279</v>
      </c>
      <c r="Y397" s="157" t="n">
        <v>3566000</v>
      </c>
      <c r="AA397" s="157" t="n">
        <v>3566000</v>
      </c>
      <c r="AC397" s="157" t="s">
        <v>4841</v>
      </c>
      <c r="AD397" s="157" t="s">
        <v>4842</v>
      </c>
      <c r="AE397" s="281" t="s">
        <v>4843</v>
      </c>
      <c r="AF397" s="281" t="s">
        <v>4844</v>
      </c>
      <c r="AI397" s="157" t="e">
        <f aca="false">IF(AND($E397=Subj_OccCode,Subj_BldgSF&gt;0,ABS($L397-Subj_BldgSF)&lt;=Subj_BldgSF*Subj_SizeTol),ABS($L397-Subj_BldgSF),NA())</f>
        <v>#N/A</v>
      </c>
      <c r="AJ397" s="1" t="e">
        <f aca="false">IF(ISNA(AI397),NA(),AI397+ROW()/10000000)</f>
        <v>#N/A</v>
      </c>
      <c r="AK397" s="157" t="str">
        <f aca="false">IF(AND(ISNUMBER($N397),$N397&gt;0,ISNUMBER($Y397)),$Y397/$N397,"")</f>
        <v/>
      </c>
    </row>
    <row r="398" customFormat="false" ht="15" hidden="false" customHeight="true" outlineLevel="0" collapsed="false">
      <c r="A398" s="438" t="n">
        <v>8</v>
      </c>
      <c r="B398" s="157" t="n">
        <v>391</v>
      </c>
      <c r="C398" s="157" t="s">
        <v>4845</v>
      </c>
      <c r="D398" s="157" t="s">
        <v>4846</v>
      </c>
      <c r="E398" s="157" t="n">
        <v>407</v>
      </c>
      <c r="G398" s="157" t="s">
        <v>2691</v>
      </c>
      <c r="H398" s="78" t="n">
        <f aca="false">Y398/J398</f>
        <v>87.5</v>
      </c>
      <c r="I398" s="439" t="n">
        <v>43812</v>
      </c>
      <c r="J398" s="157" t="n">
        <v>14400</v>
      </c>
      <c r="L398" s="157" t="n">
        <v>14400</v>
      </c>
      <c r="M398" s="157" t="n">
        <v>1983</v>
      </c>
      <c r="P398" s="157" t="s">
        <v>2692</v>
      </c>
      <c r="R398" s="174" t="s">
        <v>279</v>
      </c>
      <c r="S398" s="157" t="n">
        <v>28749</v>
      </c>
      <c r="T398" s="440" t="n">
        <f aca="false">S398/J398</f>
        <v>1.99645833333333</v>
      </c>
      <c r="U398" s="157" t="s">
        <v>279</v>
      </c>
      <c r="Y398" s="157" t="n">
        <v>1260000</v>
      </c>
      <c r="AA398" s="157" t="n">
        <v>1260000</v>
      </c>
      <c r="AC398" s="157" t="s">
        <v>4847</v>
      </c>
      <c r="AD398" s="157" t="s">
        <v>4848</v>
      </c>
      <c r="AE398" s="281" t="s">
        <v>4849</v>
      </c>
      <c r="AF398" s="281" t="s">
        <v>4850</v>
      </c>
      <c r="AI398" s="157" t="e">
        <f aca="false">IF(AND($E398=Subj_OccCode,Subj_BldgSF&gt;0,ABS($L398-Subj_BldgSF)&lt;=Subj_BldgSF*Subj_SizeTol),ABS($L398-Subj_BldgSF),NA())</f>
        <v>#N/A</v>
      </c>
      <c r="AJ398" s="1" t="e">
        <f aca="false">IF(ISNA(AI398),NA(),AI398+ROW()/10000000)</f>
        <v>#N/A</v>
      </c>
      <c r="AK398" s="157" t="str">
        <f aca="false">IF(AND(ISNUMBER($N398),$N398&gt;0,ISNUMBER($Y398)),$Y398/$N398,"")</f>
        <v/>
      </c>
    </row>
    <row r="399" customFormat="false" ht="15" hidden="false" customHeight="true" outlineLevel="0" collapsed="false">
      <c r="A399" s="438" t="n">
        <v>8</v>
      </c>
      <c r="B399" s="157" t="n">
        <v>392</v>
      </c>
      <c r="C399" s="157" t="s">
        <v>4851</v>
      </c>
      <c r="D399" s="157" t="s">
        <v>4852</v>
      </c>
      <c r="E399" s="157" t="n">
        <v>1344</v>
      </c>
      <c r="F399" s="157" t="s">
        <v>2581</v>
      </c>
      <c r="G399" s="157" t="s">
        <v>2567</v>
      </c>
      <c r="H399" s="78" t="n">
        <f aca="false">Y399/J399</f>
        <v>58.3333333333333</v>
      </c>
      <c r="I399" s="439" t="n">
        <v>44495</v>
      </c>
      <c r="J399" s="157" t="n">
        <v>5700</v>
      </c>
      <c r="L399" s="157" t="n">
        <v>5700</v>
      </c>
      <c r="M399" s="157" t="n">
        <v>1981</v>
      </c>
      <c r="P399" s="157" t="s">
        <v>2990</v>
      </c>
      <c r="R399" s="174" t="s">
        <v>279</v>
      </c>
      <c r="S399" s="157" t="n">
        <v>720</v>
      </c>
      <c r="T399" s="440" t="n">
        <f aca="false">S399/J399</f>
        <v>0.126315789473684</v>
      </c>
      <c r="U399" s="157" t="s">
        <v>279</v>
      </c>
      <c r="Y399" s="157" t="n">
        <v>332500</v>
      </c>
      <c r="AA399" s="157" t="n">
        <v>332500</v>
      </c>
      <c r="AC399" s="157" t="s">
        <v>4853</v>
      </c>
      <c r="AD399" s="157" t="s">
        <v>4854</v>
      </c>
      <c r="AE399" s="281" t="s">
        <v>3434</v>
      </c>
      <c r="AF399" s="281" t="s">
        <v>4855</v>
      </c>
      <c r="AI399" s="157" t="e">
        <f aca="false">IF(AND($E399=Subj_OccCode,Subj_BldgSF&gt;0,ABS($L399-Subj_BldgSF)&lt;=Subj_BldgSF*Subj_SizeTol),ABS($L399-Subj_BldgSF),NA())</f>
        <v>#N/A</v>
      </c>
      <c r="AJ399" s="1" t="e">
        <f aca="false">IF(ISNA(AI399),NA(),AI399+ROW()/10000000)</f>
        <v>#N/A</v>
      </c>
      <c r="AK399" s="157" t="str">
        <f aca="false">IF(AND(ISNUMBER($N399),$N399&gt;0,ISNUMBER($Y399)),$Y399/$N399,"")</f>
        <v/>
      </c>
    </row>
    <row r="400" customFormat="false" ht="15" hidden="false" customHeight="true" outlineLevel="0" collapsed="false">
      <c r="A400" s="438" t="n">
        <v>8</v>
      </c>
      <c r="B400" s="157" t="n">
        <v>393</v>
      </c>
      <c r="C400" s="157" t="s">
        <v>4856</v>
      </c>
      <c r="D400" s="157" t="s">
        <v>4857</v>
      </c>
      <c r="E400" s="157" t="n">
        <v>407</v>
      </c>
      <c r="G400" s="157" t="s">
        <v>2691</v>
      </c>
      <c r="H400" s="78" t="n">
        <f aca="false">Y400/J400</f>
        <v>140</v>
      </c>
      <c r="I400" s="439" t="n">
        <v>43577</v>
      </c>
      <c r="J400" s="157" t="n">
        <v>20000</v>
      </c>
      <c r="L400" s="157" t="n">
        <v>20000</v>
      </c>
      <c r="M400" s="157" t="n">
        <v>1997</v>
      </c>
      <c r="P400" s="157" t="s">
        <v>2750</v>
      </c>
      <c r="R400" s="174" t="s">
        <v>279</v>
      </c>
      <c r="S400" s="157" t="n">
        <v>52990</v>
      </c>
      <c r="T400" s="440" t="n">
        <f aca="false">S400/J400</f>
        <v>2.6495</v>
      </c>
      <c r="U400" s="157" t="s">
        <v>279</v>
      </c>
      <c r="Y400" s="157" t="n">
        <v>2800000</v>
      </c>
      <c r="AA400" s="157" t="n">
        <v>2800000</v>
      </c>
      <c r="AC400" s="157" t="s">
        <v>4858</v>
      </c>
      <c r="AD400" s="157" t="s">
        <v>4859</v>
      </c>
      <c r="AE400" s="281" t="s">
        <v>4860</v>
      </c>
      <c r="AF400" s="281" t="s">
        <v>4861</v>
      </c>
      <c r="AI400" s="157" t="e">
        <f aca="false">IF(AND($E400=Subj_OccCode,Subj_BldgSF&gt;0,ABS($L400-Subj_BldgSF)&lt;=Subj_BldgSF*Subj_SizeTol),ABS($L400-Subj_BldgSF),NA())</f>
        <v>#N/A</v>
      </c>
      <c r="AJ400" s="1" t="e">
        <f aca="false">IF(ISNA(AI400),NA(),AI400+ROW()/10000000)</f>
        <v>#N/A</v>
      </c>
      <c r="AK400" s="157" t="str">
        <f aca="false">IF(AND(ISNUMBER($N400),$N400&gt;0,ISNUMBER($Y400)),$Y400/$N400,"")</f>
        <v/>
      </c>
    </row>
    <row r="401" customFormat="false" ht="15" hidden="false" customHeight="true" outlineLevel="0" collapsed="false">
      <c r="A401" s="438" t="n">
        <v>8</v>
      </c>
      <c r="B401" s="157" t="n">
        <v>394</v>
      </c>
      <c r="C401" s="157" t="s">
        <v>4862</v>
      </c>
      <c r="D401" s="157" t="s">
        <v>4863</v>
      </c>
      <c r="E401" s="157" t="n">
        <v>407</v>
      </c>
      <c r="G401" s="157" t="s">
        <v>2691</v>
      </c>
      <c r="H401" s="78" t="n">
        <f aca="false">Y401/J401</f>
        <v>131.123206333498</v>
      </c>
      <c r="I401" s="439" t="n">
        <v>44090</v>
      </c>
      <c r="J401" s="157" t="n">
        <v>40420</v>
      </c>
      <c r="L401" s="157" t="n">
        <v>40420</v>
      </c>
      <c r="M401" s="157" t="n">
        <v>1986</v>
      </c>
      <c r="P401" s="157" t="s">
        <v>2692</v>
      </c>
      <c r="R401" s="174" t="s">
        <v>279</v>
      </c>
      <c r="S401" s="157" t="n">
        <v>110595</v>
      </c>
      <c r="T401" s="440" t="n">
        <f aca="false">S401/J401</f>
        <v>2.73614547253835</v>
      </c>
      <c r="U401" s="157" t="s">
        <v>279</v>
      </c>
      <c r="Y401" s="157" t="n">
        <v>5300000</v>
      </c>
      <c r="AA401" s="157" t="n">
        <v>5300000</v>
      </c>
      <c r="AC401" s="157" t="s">
        <v>4864</v>
      </c>
      <c r="AD401" s="157" t="s">
        <v>4865</v>
      </c>
      <c r="AE401" s="281" t="s">
        <v>4866</v>
      </c>
      <c r="AF401" s="281" t="s">
        <v>4867</v>
      </c>
      <c r="AI401" s="157" t="e">
        <f aca="false">IF(AND($E401=Subj_OccCode,Subj_BldgSF&gt;0,ABS($L401-Subj_BldgSF)&lt;=Subj_BldgSF*Subj_SizeTol),ABS($L401-Subj_BldgSF),NA())</f>
        <v>#N/A</v>
      </c>
      <c r="AJ401" s="1" t="e">
        <f aca="false">IF(ISNA(AI401),NA(),AI401+ROW()/10000000)</f>
        <v>#N/A</v>
      </c>
      <c r="AK401" s="157" t="str">
        <f aca="false">IF(AND(ISNUMBER($N401),$N401&gt;0,ISNUMBER($Y401)),$Y401/$N401,"")</f>
        <v/>
      </c>
    </row>
    <row r="402" customFormat="false" ht="15" hidden="false" customHeight="true" outlineLevel="0" collapsed="false">
      <c r="A402" s="438" t="n">
        <v>8</v>
      </c>
      <c r="B402" s="157" t="n">
        <v>395</v>
      </c>
      <c r="C402" s="157" t="s">
        <v>4868</v>
      </c>
      <c r="D402" s="157" t="s">
        <v>4869</v>
      </c>
      <c r="E402" s="157" t="n">
        <v>344</v>
      </c>
      <c r="G402" s="157" t="s">
        <v>2567</v>
      </c>
      <c r="H402" s="78" t="n">
        <f aca="false">Y402/J402</f>
        <v>43.5161009573542</v>
      </c>
      <c r="I402" s="439" t="n">
        <v>43979</v>
      </c>
      <c r="J402" s="157" t="n">
        <v>34470</v>
      </c>
      <c r="L402" s="157" t="n">
        <v>34470</v>
      </c>
      <c r="M402" s="157" t="n">
        <v>1971</v>
      </c>
      <c r="P402" s="157" t="s">
        <v>2706</v>
      </c>
      <c r="R402" s="174" t="s">
        <v>279</v>
      </c>
      <c r="S402" s="157" t="n">
        <v>50094</v>
      </c>
      <c r="T402" s="440" t="n">
        <f aca="false">S402/J402</f>
        <v>1.4532637075718</v>
      </c>
      <c r="U402" s="157" t="s">
        <v>279</v>
      </c>
      <c r="Y402" s="157" t="n">
        <v>1500000</v>
      </c>
      <c r="AA402" s="157" t="n">
        <v>1500000</v>
      </c>
      <c r="AC402" s="157" t="s">
        <v>4870</v>
      </c>
      <c r="AD402" s="157" t="s">
        <v>4871</v>
      </c>
      <c r="AE402" s="281" t="s">
        <v>4872</v>
      </c>
      <c r="AF402" s="281" t="s">
        <v>4873</v>
      </c>
      <c r="AI402" s="157" t="e">
        <f aca="false">IF(AND($E402=Subj_OccCode,Subj_BldgSF&gt;0,ABS($L402-Subj_BldgSF)&lt;=Subj_BldgSF*Subj_SizeTol),ABS($L402-Subj_BldgSF),NA())</f>
        <v>#N/A</v>
      </c>
      <c r="AJ402" s="1" t="e">
        <f aca="false">IF(ISNA(AI402),NA(),AI402+ROW()/10000000)</f>
        <v>#N/A</v>
      </c>
      <c r="AK402" s="157" t="str">
        <f aca="false">IF(AND(ISNUMBER($N402),$N402&gt;0,ISNUMBER($Y402)),$Y402/$N402,"")</f>
        <v/>
      </c>
    </row>
    <row r="403" customFormat="false" ht="15" hidden="false" customHeight="true" outlineLevel="0" collapsed="false">
      <c r="A403" s="438" t="n">
        <v>8</v>
      </c>
      <c r="B403" s="157" t="n">
        <v>396</v>
      </c>
      <c r="C403" s="157" t="s">
        <v>4874</v>
      </c>
      <c r="D403" s="157" t="s">
        <v>4875</v>
      </c>
      <c r="E403" s="157" t="n">
        <v>425</v>
      </c>
      <c r="F403" s="157" t="s">
        <v>2595</v>
      </c>
      <c r="G403" s="157" t="s">
        <v>2596</v>
      </c>
      <c r="H403" s="78" t="n">
        <f aca="false">Y403/J403</f>
        <v>133.333333333333</v>
      </c>
      <c r="I403" s="439" t="n">
        <v>44718</v>
      </c>
      <c r="J403" s="157" t="n">
        <v>1500</v>
      </c>
      <c r="L403" s="157" t="n">
        <v>1500</v>
      </c>
      <c r="M403" s="157" t="n">
        <v>1982</v>
      </c>
      <c r="P403" s="157" t="s">
        <v>2713</v>
      </c>
      <c r="R403" s="174" t="s">
        <v>279</v>
      </c>
      <c r="S403" s="157" t="n">
        <v>4608</v>
      </c>
      <c r="T403" s="440" t="n">
        <f aca="false">S403/J403</f>
        <v>3.072</v>
      </c>
      <c r="U403" s="157" t="s">
        <v>279</v>
      </c>
      <c r="Y403" s="157" t="n">
        <v>200000</v>
      </c>
      <c r="AA403" s="157" t="n">
        <v>200000</v>
      </c>
      <c r="AC403" s="157" t="s">
        <v>4876</v>
      </c>
      <c r="AD403" s="157" t="s">
        <v>4877</v>
      </c>
      <c r="AE403" s="281" t="s">
        <v>4878</v>
      </c>
      <c r="AF403" s="281" t="s">
        <v>4879</v>
      </c>
      <c r="AI403" s="157" t="e">
        <f aca="false">IF(AND($E403=Subj_OccCode,Subj_BldgSF&gt;0,ABS($L403-Subj_BldgSF)&lt;=Subj_BldgSF*Subj_SizeTol),ABS($L403-Subj_BldgSF),NA())</f>
        <v>#N/A</v>
      </c>
      <c r="AJ403" s="1" t="e">
        <f aca="false">IF(ISNA(AI403),NA(),AI403+ROW()/10000000)</f>
        <v>#N/A</v>
      </c>
      <c r="AK403" s="157" t="str">
        <f aca="false">IF(AND(ISNUMBER($N403),$N403&gt;0,ISNUMBER($Y403)),$Y403/$N403,"")</f>
        <v/>
      </c>
    </row>
    <row r="404" customFormat="false" ht="15" hidden="false" customHeight="true" outlineLevel="0" collapsed="false">
      <c r="A404" s="438" t="n">
        <v>8</v>
      </c>
      <c r="B404" s="157" t="n">
        <v>397</v>
      </c>
      <c r="C404" s="157" t="s">
        <v>4880</v>
      </c>
      <c r="D404" s="157" t="s">
        <v>4881</v>
      </c>
      <c r="E404" s="157" t="n">
        <v>442</v>
      </c>
      <c r="G404" s="157" t="s">
        <v>2691</v>
      </c>
      <c r="H404" s="78" t="n">
        <f aca="false">Y404/J404</f>
        <v>413.333333333333</v>
      </c>
      <c r="I404" s="439" t="n">
        <v>44530</v>
      </c>
      <c r="J404" s="157" t="n">
        <v>1500</v>
      </c>
      <c r="L404" s="157" t="n">
        <v>1500</v>
      </c>
      <c r="M404" s="157" t="n">
        <v>1957</v>
      </c>
      <c r="P404" s="157" t="s">
        <v>2706</v>
      </c>
      <c r="R404" s="174" t="s">
        <v>279</v>
      </c>
      <c r="S404" s="157" t="n">
        <v>6964</v>
      </c>
      <c r="T404" s="440" t="n">
        <f aca="false">S404/J404</f>
        <v>4.64266666666667</v>
      </c>
      <c r="U404" s="157" t="s">
        <v>279</v>
      </c>
      <c r="Y404" s="157" t="n">
        <v>620000</v>
      </c>
      <c r="AA404" s="157" t="n">
        <v>620000</v>
      </c>
      <c r="AC404" s="157" t="s">
        <v>4882</v>
      </c>
      <c r="AD404" s="157" t="s">
        <v>4883</v>
      </c>
      <c r="AE404" s="281" t="s">
        <v>4884</v>
      </c>
      <c r="AF404" s="281" t="s">
        <v>4885</v>
      </c>
      <c r="AI404" s="157" t="e">
        <f aca="false">IF(AND($E404=Subj_OccCode,Subj_BldgSF&gt;0,ABS($L404-Subj_BldgSF)&lt;=Subj_BldgSF*Subj_SizeTol),ABS($L404-Subj_BldgSF),NA())</f>
        <v>#N/A</v>
      </c>
      <c r="AJ404" s="1" t="e">
        <f aca="false">IF(ISNA(AI404),NA(),AI404+ROW()/10000000)</f>
        <v>#N/A</v>
      </c>
      <c r="AK404" s="157" t="str">
        <f aca="false">IF(AND(ISNUMBER($N404),$N404&gt;0,ISNUMBER($Y404)),$Y404/$N404,"")</f>
        <v/>
      </c>
    </row>
    <row r="405" customFormat="false" ht="15" hidden="false" customHeight="true" outlineLevel="0" collapsed="false">
      <c r="A405" s="438" t="n">
        <v>8</v>
      </c>
      <c r="B405" s="157" t="n">
        <v>398</v>
      </c>
      <c r="C405" s="157" t="s">
        <v>4886</v>
      </c>
      <c r="D405" s="157" t="s">
        <v>4887</v>
      </c>
      <c r="E405" s="157" t="n">
        <v>344</v>
      </c>
      <c r="F405" s="157" t="s">
        <v>260</v>
      </c>
      <c r="G405" s="157" t="s">
        <v>353</v>
      </c>
      <c r="H405" s="78" t="n">
        <f aca="false">Y405/J405</f>
        <v>316.310975609756</v>
      </c>
      <c r="I405" s="439" t="n">
        <v>44147</v>
      </c>
      <c r="J405" s="157" t="n">
        <v>1312</v>
      </c>
      <c r="L405" s="157" t="n">
        <v>1312</v>
      </c>
      <c r="M405" s="157" t="n">
        <v>1974</v>
      </c>
      <c r="P405" s="157" t="s">
        <v>3066</v>
      </c>
      <c r="R405" s="174" t="s">
        <v>279</v>
      </c>
      <c r="S405" s="157" t="n">
        <v>10875</v>
      </c>
      <c r="T405" s="440" t="n">
        <f aca="false">S405/J405</f>
        <v>8.28887195121951</v>
      </c>
      <c r="U405" s="157" t="s">
        <v>279</v>
      </c>
      <c r="Y405" s="157" t="n">
        <v>415000</v>
      </c>
      <c r="AA405" s="157" t="n">
        <v>415000</v>
      </c>
      <c r="AC405" s="157" t="s">
        <v>4888</v>
      </c>
      <c r="AD405" s="157" t="s">
        <v>4889</v>
      </c>
      <c r="AE405" s="281" t="s">
        <v>4890</v>
      </c>
      <c r="AF405" s="281" t="s">
        <v>4891</v>
      </c>
      <c r="AI405" s="157" t="e">
        <f aca="false">IF(AND($E405=Subj_OccCode,Subj_BldgSF&gt;0,ABS($L405-Subj_BldgSF)&lt;=Subj_BldgSF*Subj_SizeTol),ABS($L405-Subj_BldgSF),NA())</f>
        <v>#N/A</v>
      </c>
      <c r="AJ405" s="1" t="e">
        <f aca="false">IF(ISNA(AI405),NA(),AI405+ROW()/10000000)</f>
        <v>#N/A</v>
      </c>
      <c r="AK405" s="157" t="str">
        <f aca="false">IF(AND(ISNUMBER($N405),$N405&gt;0,ISNUMBER($Y405)),$Y405/$N405,"")</f>
        <v/>
      </c>
    </row>
    <row r="406" customFormat="false" ht="15" hidden="false" customHeight="true" outlineLevel="0" collapsed="false">
      <c r="A406" s="438" t="n">
        <v>8</v>
      </c>
      <c r="B406" s="157" t="n">
        <v>399</v>
      </c>
      <c r="C406" s="157" t="s">
        <v>4892</v>
      </c>
      <c r="D406" s="157" t="s">
        <v>4893</v>
      </c>
      <c r="E406" s="157" t="n">
        <v>425</v>
      </c>
      <c r="G406" s="157" t="s">
        <v>2691</v>
      </c>
      <c r="H406" s="78" t="n">
        <f aca="false">Y406/J406</f>
        <v>158.333333333333</v>
      </c>
      <c r="I406" s="439" t="n">
        <v>43200</v>
      </c>
      <c r="J406" s="157" t="n">
        <v>1500</v>
      </c>
      <c r="L406" s="157" t="n">
        <v>1500</v>
      </c>
      <c r="M406" s="157" t="n">
        <v>1984</v>
      </c>
      <c r="P406" s="157" t="s">
        <v>2692</v>
      </c>
      <c r="R406" s="174" t="s">
        <v>279</v>
      </c>
      <c r="S406" s="157" t="n">
        <v>4340</v>
      </c>
      <c r="T406" s="440" t="n">
        <f aca="false">S406/J406</f>
        <v>2.89333333333333</v>
      </c>
      <c r="U406" s="157" t="s">
        <v>279</v>
      </c>
      <c r="Y406" s="157" t="n">
        <v>237500</v>
      </c>
      <c r="AA406" s="157" t="n">
        <v>237500</v>
      </c>
      <c r="AC406" s="157" t="s">
        <v>4894</v>
      </c>
      <c r="AD406" s="157" t="s">
        <v>4895</v>
      </c>
      <c r="AE406" s="281" t="s">
        <v>4896</v>
      </c>
      <c r="AF406" s="281" t="s">
        <v>4897</v>
      </c>
      <c r="AI406" s="157" t="e">
        <f aca="false">IF(AND($E406=Subj_OccCode,Subj_BldgSF&gt;0,ABS($L406-Subj_BldgSF)&lt;=Subj_BldgSF*Subj_SizeTol),ABS($L406-Subj_BldgSF),NA())</f>
        <v>#N/A</v>
      </c>
      <c r="AJ406" s="1" t="e">
        <f aca="false">IF(ISNA(AI406),NA(),AI406+ROW()/10000000)</f>
        <v>#N/A</v>
      </c>
      <c r="AK406" s="157" t="str">
        <f aca="false">IF(AND(ISNUMBER($N406),$N406&gt;0,ISNUMBER($Y406)),$Y406/$N406,"")</f>
        <v/>
      </c>
    </row>
    <row r="407" customFormat="false" ht="15" hidden="false" customHeight="true" outlineLevel="0" collapsed="false">
      <c r="A407" s="438" t="n">
        <v>8</v>
      </c>
      <c r="B407" s="157" t="n">
        <v>400</v>
      </c>
      <c r="C407" s="157" t="s">
        <v>4898</v>
      </c>
      <c r="D407" s="157" t="s">
        <v>4899</v>
      </c>
      <c r="E407" s="157" t="n">
        <v>434</v>
      </c>
      <c r="F407" s="157" t="s">
        <v>2566</v>
      </c>
      <c r="G407" s="157" t="s">
        <v>2567</v>
      </c>
      <c r="H407" s="78" t="n">
        <f aca="false">Y407/J407</f>
        <v>112.847222222222</v>
      </c>
      <c r="I407" s="439" t="n">
        <v>43189</v>
      </c>
      <c r="J407" s="157" t="n">
        <v>2592</v>
      </c>
      <c r="L407" s="157" t="n">
        <v>2592</v>
      </c>
      <c r="M407" s="157" t="n">
        <v>1986</v>
      </c>
      <c r="P407" s="157" t="s">
        <v>4325</v>
      </c>
      <c r="R407" s="174" t="s">
        <v>279</v>
      </c>
      <c r="S407" s="157" t="n">
        <v>22496</v>
      </c>
      <c r="T407" s="440" t="n">
        <f aca="false">S407/J407</f>
        <v>8.67901234567901</v>
      </c>
      <c r="U407" s="157" t="s">
        <v>279</v>
      </c>
      <c r="Y407" s="157" t="n">
        <v>292500</v>
      </c>
      <c r="AA407" s="157" t="n">
        <v>292500</v>
      </c>
      <c r="AC407" s="157" t="s">
        <v>4900</v>
      </c>
      <c r="AD407" s="157" t="s">
        <v>4901</v>
      </c>
      <c r="AE407" s="281" t="s">
        <v>4902</v>
      </c>
      <c r="AF407" s="281" t="s">
        <v>4903</v>
      </c>
      <c r="AI407" s="157" t="e">
        <f aca="false">IF(AND($E407=Subj_OccCode,Subj_BldgSF&gt;0,ABS($L407-Subj_BldgSF)&lt;=Subj_BldgSF*Subj_SizeTol),ABS($L407-Subj_BldgSF),NA())</f>
        <v>#N/A</v>
      </c>
      <c r="AJ407" s="1" t="e">
        <f aca="false">IF(ISNA(AI407),NA(),AI407+ROW()/10000000)</f>
        <v>#N/A</v>
      </c>
      <c r="AK407" s="157" t="str">
        <f aca="false">IF(AND(ISNUMBER($N407),$N407&gt;0,ISNUMBER($Y407)),$Y407/$N407,"")</f>
        <v/>
      </c>
    </row>
    <row r="408" customFormat="false" ht="15" hidden="false" customHeight="true" outlineLevel="0" collapsed="false">
      <c r="A408" s="438" t="n">
        <v>8</v>
      </c>
      <c r="B408" s="157" t="n">
        <v>401</v>
      </c>
      <c r="C408" s="157" t="s">
        <v>4098</v>
      </c>
      <c r="D408" s="157" t="s">
        <v>4904</v>
      </c>
      <c r="E408" s="157" t="n">
        <v>353</v>
      </c>
      <c r="F408" s="157" t="s">
        <v>2921</v>
      </c>
      <c r="G408" s="157" t="s">
        <v>2691</v>
      </c>
      <c r="H408" s="78" t="n">
        <f aca="false">Y408/J408</f>
        <v>134.384384384384</v>
      </c>
      <c r="I408" s="439" t="n">
        <v>43973</v>
      </c>
      <c r="J408" s="157" t="n">
        <v>6660</v>
      </c>
      <c r="L408" s="157" t="n">
        <v>6660</v>
      </c>
      <c r="M408" s="157" t="n">
        <v>1955</v>
      </c>
      <c r="P408" s="157" t="s">
        <v>3022</v>
      </c>
      <c r="R408" s="174" t="s">
        <v>279</v>
      </c>
      <c r="S408" s="157" t="n">
        <v>54172</v>
      </c>
      <c r="T408" s="440" t="n">
        <f aca="false">S408/J408</f>
        <v>8.13393393393393</v>
      </c>
      <c r="U408" s="157" t="s">
        <v>279</v>
      </c>
      <c r="Y408" s="157" t="n">
        <v>895000</v>
      </c>
      <c r="AA408" s="157" t="n">
        <v>895000</v>
      </c>
      <c r="AC408" s="157" t="s">
        <v>4100</v>
      </c>
      <c r="AD408" s="157" t="s">
        <v>4905</v>
      </c>
      <c r="AE408" s="281" t="s">
        <v>4906</v>
      </c>
      <c r="AF408" s="281" t="s">
        <v>4096</v>
      </c>
      <c r="AI408" s="157" t="e">
        <f aca="false">IF(AND($E408=Subj_OccCode,Subj_BldgSF&gt;0,ABS($L408-Subj_BldgSF)&lt;=Subj_BldgSF*Subj_SizeTol),ABS($L408-Subj_BldgSF),NA())</f>
        <v>#N/A</v>
      </c>
      <c r="AJ408" s="1" t="e">
        <f aca="false">IF(ISNA(AI408),NA(),AI408+ROW()/10000000)</f>
        <v>#N/A</v>
      </c>
      <c r="AK408" s="157" t="str">
        <f aca="false">IF(AND(ISNUMBER($N408),$N408&gt;0,ISNUMBER($Y408)),$Y408/$N408,"")</f>
        <v/>
      </c>
    </row>
    <row r="409" customFormat="false" ht="15" hidden="false" customHeight="true" outlineLevel="0" collapsed="false">
      <c r="A409" s="438" t="n">
        <v>8</v>
      </c>
      <c r="B409" s="157" t="n">
        <v>402</v>
      </c>
      <c r="C409" s="157" t="s">
        <v>4907</v>
      </c>
      <c r="D409" s="157" t="s">
        <v>4908</v>
      </c>
      <c r="E409" s="157" t="n">
        <v>407</v>
      </c>
      <c r="G409" s="157" t="s">
        <v>2691</v>
      </c>
      <c r="H409" s="78" t="n">
        <f aca="false">Y409/J409</f>
        <v>251.382604323781</v>
      </c>
      <c r="I409" s="439" t="n">
        <v>44722</v>
      </c>
      <c r="J409" s="157" t="n">
        <v>9945</v>
      </c>
      <c r="L409" s="157" t="n">
        <v>9945</v>
      </c>
      <c r="M409" s="157" t="n">
        <v>1978</v>
      </c>
      <c r="P409" s="157" t="s">
        <v>2692</v>
      </c>
      <c r="R409" s="174" t="s">
        <v>279</v>
      </c>
      <c r="S409" s="157" t="n">
        <v>30000</v>
      </c>
      <c r="T409" s="440" t="n">
        <f aca="false">S409/J409</f>
        <v>3.01659125188537</v>
      </c>
      <c r="U409" s="157" t="s">
        <v>279</v>
      </c>
      <c r="Y409" s="157" t="n">
        <v>2500000</v>
      </c>
      <c r="AA409" s="157" t="n">
        <v>2500000</v>
      </c>
      <c r="AC409" s="157" t="s">
        <v>4909</v>
      </c>
      <c r="AD409" s="157" t="s">
        <v>4910</v>
      </c>
      <c r="AE409" s="281" t="s">
        <v>4911</v>
      </c>
      <c r="AF409" s="281" t="s">
        <v>4912</v>
      </c>
      <c r="AI409" s="157" t="e">
        <f aca="false">IF(AND($E409=Subj_OccCode,Subj_BldgSF&gt;0,ABS($L409-Subj_BldgSF)&lt;=Subj_BldgSF*Subj_SizeTol),ABS($L409-Subj_BldgSF),NA())</f>
        <v>#N/A</v>
      </c>
      <c r="AJ409" s="1" t="e">
        <f aca="false">IF(ISNA(AI409),NA(),AI409+ROW()/10000000)</f>
        <v>#N/A</v>
      </c>
      <c r="AK409" s="157" t="str">
        <f aca="false">IF(AND(ISNUMBER($N409),$N409&gt;0,ISNUMBER($Y409)),$Y409/$N409,"")</f>
        <v/>
      </c>
    </row>
    <row r="410" customFormat="false" ht="15" hidden="false" customHeight="true" outlineLevel="0" collapsed="false">
      <c r="A410" s="438" t="n">
        <v>8</v>
      </c>
      <c r="B410" s="157" t="n">
        <v>403</v>
      </c>
      <c r="C410" s="157" t="s">
        <v>4907</v>
      </c>
      <c r="D410" s="157" t="s">
        <v>4908</v>
      </c>
      <c r="E410" s="157" t="n">
        <v>407</v>
      </c>
      <c r="G410" s="157" t="s">
        <v>2691</v>
      </c>
      <c r="H410" s="78" t="n">
        <f aca="false">Y410/J410</f>
        <v>186.023127199598</v>
      </c>
      <c r="I410" s="439" t="n">
        <v>43402</v>
      </c>
      <c r="J410" s="157" t="n">
        <v>9945</v>
      </c>
      <c r="L410" s="157" t="n">
        <v>9945</v>
      </c>
      <c r="M410" s="157" t="n">
        <v>1978</v>
      </c>
      <c r="P410" s="157" t="s">
        <v>2692</v>
      </c>
      <c r="R410" s="174" t="s">
        <v>279</v>
      </c>
      <c r="S410" s="157" t="n">
        <v>30000</v>
      </c>
      <c r="T410" s="440" t="n">
        <f aca="false">S410/J410</f>
        <v>3.01659125188537</v>
      </c>
      <c r="U410" s="157" t="s">
        <v>279</v>
      </c>
      <c r="Y410" s="157" t="n">
        <v>1850000</v>
      </c>
      <c r="AA410" s="157" t="n">
        <v>1850000</v>
      </c>
      <c r="AC410" s="157" t="s">
        <v>4909</v>
      </c>
      <c r="AD410" s="157" t="s">
        <v>4913</v>
      </c>
      <c r="AE410" s="281" t="s">
        <v>4914</v>
      </c>
      <c r="AF410" s="281" t="s">
        <v>4911</v>
      </c>
      <c r="AI410" s="157" t="e">
        <f aca="false">IF(AND($E410=Subj_OccCode,Subj_BldgSF&gt;0,ABS($L410-Subj_BldgSF)&lt;=Subj_BldgSF*Subj_SizeTol),ABS($L410-Subj_BldgSF),NA())</f>
        <v>#N/A</v>
      </c>
      <c r="AJ410" s="1" t="e">
        <f aca="false">IF(ISNA(AI410),NA(),AI410+ROW()/10000000)</f>
        <v>#N/A</v>
      </c>
      <c r="AK410" s="157" t="str">
        <f aca="false">IF(AND(ISNUMBER($N410),$N410&gt;0,ISNUMBER($Y410)),$Y410/$N410,"")</f>
        <v/>
      </c>
    </row>
    <row r="411" customFormat="false" ht="15" hidden="false" customHeight="true" outlineLevel="0" collapsed="false">
      <c r="A411" s="438" t="n">
        <v>8</v>
      </c>
      <c r="B411" s="157" t="n">
        <v>404</v>
      </c>
      <c r="C411" s="157" t="s">
        <v>4915</v>
      </c>
      <c r="D411" s="157" t="s">
        <v>4916</v>
      </c>
      <c r="E411" s="157" t="n">
        <v>325</v>
      </c>
      <c r="G411" s="157" t="s">
        <v>2691</v>
      </c>
      <c r="H411" s="78" t="n">
        <f aca="false">Y411/J411</f>
        <v>187.5</v>
      </c>
      <c r="I411" s="439" t="n">
        <v>43487</v>
      </c>
      <c r="J411" s="157" t="n">
        <v>2800</v>
      </c>
      <c r="L411" s="157" t="n">
        <v>2800</v>
      </c>
      <c r="M411" s="157" t="n">
        <v>1982</v>
      </c>
      <c r="P411" s="157" t="s">
        <v>2692</v>
      </c>
      <c r="R411" s="174" t="s">
        <v>279</v>
      </c>
      <c r="S411" s="157" t="n">
        <v>10050</v>
      </c>
      <c r="T411" s="440" t="n">
        <f aca="false">S411/J411</f>
        <v>3.58928571428571</v>
      </c>
      <c r="U411" s="157" t="s">
        <v>279</v>
      </c>
      <c r="Y411" s="157" t="n">
        <v>525000</v>
      </c>
      <c r="AA411" s="157" t="n">
        <v>525000</v>
      </c>
      <c r="AC411" s="157" t="s">
        <v>4917</v>
      </c>
      <c r="AD411" s="157" t="s">
        <v>4918</v>
      </c>
      <c r="AE411" s="281" t="s">
        <v>4919</v>
      </c>
      <c r="AF411" s="281" t="s">
        <v>4920</v>
      </c>
      <c r="AI411" s="157" t="e">
        <f aca="false">IF(AND($E411=Subj_OccCode,Subj_BldgSF&gt;0,ABS($L411-Subj_BldgSF)&lt;=Subj_BldgSF*Subj_SizeTol),ABS($L411-Subj_BldgSF),NA())</f>
        <v>#N/A</v>
      </c>
      <c r="AJ411" s="1" t="e">
        <f aca="false">IF(ISNA(AI411),NA(),AI411+ROW()/10000000)</f>
        <v>#N/A</v>
      </c>
      <c r="AK411" s="157" t="str">
        <f aca="false">IF(AND(ISNUMBER($N411),$N411&gt;0,ISNUMBER($Y411)),$Y411/$N411,"")</f>
        <v/>
      </c>
    </row>
    <row r="412" customFormat="false" ht="15" hidden="false" customHeight="true" outlineLevel="0" collapsed="false">
      <c r="A412" s="438" t="n">
        <v>8</v>
      </c>
      <c r="B412" s="157" t="n">
        <v>405</v>
      </c>
      <c r="C412" s="157" t="s">
        <v>4921</v>
      </c>
      <c r="D412" s="157" t="s">
        <v>4922</v>
      </c>
      <c r="E412" s="157" t="n">
        <v>406</v>
      </c>
      <c r="G412" s="157" t="s">
        <v>2691</v>
      </c>
      <c r="H412" s="78" t="n">
        <f aca="false">Y412/J412</f>
        <v>253.378378378378</v>
      </c>
      <c r="I412" s="439" t="n">
        <v>44364</v>
      </c>
      <c r="J412" s="157" t="n">
        <v>4736</v>
      </c>
      <c r="L412" s="157" t="n">
        <v>4736</v>
      </c>
      <c r="M412" s="157" t="n">
        <v>1971</v>
      </c>
      <c r="P412" s="157" t="s">
        <v>2692</v>
      </c>
      <c r="R412" s="174" t="s">
        <v>279</v>
      </c>
      <c r="S412" s="157" t="n">
        <v>19050</v>
      </c>
      <c r="T412" s="440" t="n">
        <f aca="false">S412/J412</f>
        <v>4.02238175675676</v>
      </c>
      <c r="U412" s="157" t="s">
        <v>279</v>
      </c>
      <c r="Y412" s="157" t="n">
        <v>1200000</v>
      </c>
      <c r="AA412" s="157" t="n">
        <v>1200000</v>
      </c>
      <c r="AC412" s="157" t="s">
        <v>4923</v>
      </c>
      <c r="AD412" s="157" t="s">
        <v>4924</v>
      </c>
      <c r="AE412" s="281" t="s">
        <v>4925</v>
      </c>
      <c r="AF412" s="281" t="s">
        <v>4926</v>
      </c>
      <c r="AI412" s="157" t="e">
        <f aca="false">IF(AND($E412=Subj_OccCode,Subj_BldgSF&gt;0,ABS($L412-Subj_BldgSF)&lt;=Subj_BldgSF*Subj_SizeTol),ABS($L412-Subj_BldgSF),NA())</f>
        <v>#N/A</v>
      </c>
      <c r="AJ412" s="1" t="e">
        <f aca="false">IF(ISNA(AI412),NA(),AI412+ROW()/10000000)</f>
        <v>#N/A</v>
      </c>
      <c r="AK412" s="157" t="str">
        <f aca="false">IF(AND(ISNUMBER($N412),$N412&gt;0,ISNUMBER($Y412)),$Y412/$N412,"")</f>
        <v/>
      </c>
    </row>
    <row r="413" customFormat="false" ht="15" hidden="false" customHeight="true" outlineLevel="0" collapsed="false">
      <c r="A413" s="438" t="n">
        <v>8</v>
      </c>
      <c r="B413" s="157" t="n">
        <v>406</v>
      </c>
      <c r="C413" s="157" t="s">
        <v>4927</v>
      </c>
      <c r="D413" s="157" t="s">
        <v>4928</v>
      </c>
      <c r="E413" s="157" t="n">
        <v>406</v>
      </c>
      <c r="F413" s="157" t="s">
        <v>2566</v>
      </c>
      <c r="G413" s="157" t="s">
        <v>353</v>
      </c>
      <c r="H413" s="78" t="n">
        <f aca="false">Y413/J413</f>
        <v>187.5</v>
      </c>
      <c r="I413" s="439" t="n">
        <v>43357</v>
      </c>
      <c r="J413" s="157" t="n">
        <v>4400</v>
      </c>
      <c r="L413" s="157" t="n">
        <v>4400</v>
      </c>
      <c r="M413" s="157" t="n">
        <v>1989</v>
      </c>
      <c r="P413" s="157" t="s">
        <v>4325</v>
      </c>
      <c r="R413" s="174" t="s">
        <v>279</v>
      </c>
      <c r="S413" s="157" t="n">
        <v>35000</v>
      </c>
      <c r="T413" s="440" t="n">
        <f aca="false">S413/J413</f>
        <v>7.95454545454545</v>
      </c>
      <c r="U413" s="157" t="s">
        <v>279</v>
      </c>
      <c r="Y413" s="157" t="n">
        <v>825000</v>
      </c>
      <c r="AA413" s="157" t="n">
        <v>825000</v>
      </c>
      <c r="AC413" s="157" t="s">
        <v>4929</v>
      </c>
      <c r="AD413" s="157" t="s">
        <v>4930</v>
      </c>
      <c r="AE413" s="281" t="s">
        <v>4931</v>
      </c>
      <c r="AF413" s="281" t="s">
        <v>4932</v>
      </c>
      <c r="AI413" s="157" t="e">
        <f aca="false">IF(AND($E413=Subj_OccCode,Subj_BldgSF&gt;0,ABS($L413-Subj_BldgSF)&lt;=Subj_BldgSF*Subj_SizeTol),ABS($L413-Subj_BldgSF),NA())</f>
        <v>#N/A</v>
      </c>
      <c r="AJ413" s="1" t="e">
        <f aca="false">IF(ISNA(AI413),NA(),AI413+ROW()/10000000)</f>
        <v>#N/A</v>
      </c>
      <c r="AK413" s="157" t="str">
        <f aca="false">IF(AND(ISNUMBER($N413),$N413&gt;0,ISNUMBER($Y413)),$Y413/$N413,"")</f>
        <v/>
      </c>
    </row>
    <row r="414" customFormat="false" ht="15" hidden="false" customHeight="true" outlineLevel="0" collapsed="false">
      <c r="A414" s="438" t="n">
        <v>8</v>
      </c>
      <c r="B414" s="157" t="n">
        <v>407</v>
      </c>
      <c r="C414" s="157" t="s">
        <v>4933</v>
      </c>
      <c r="D414" s="157" t="s">
        <v>4934</v>
      </c>
      <c r="E414" s="157" t="n">
        <v>425</v>
      </c>
      <c r="F414" s="157" t="s">
        <v>2595</v>
      </c>
      <c r="G414" s="157" t="s">
        <v>2596</v>
      </c>
      <c r="H414" s="78" t="n">
        <f aca="false">Y414/J414</f>
        <v>120</v>
      </c>
      <c r="I414" s="439" t="n">
        <v>43259</v>
      </c>
      <c r="J414" s="157" t="n">
        <v>1500</v>
      </c>
      <c r="L414" s="157" t="n">
        <v>1500</v>
      </c>
      <c r="M414" s="157" t="n">
        <v>1982</v>
      </c>
      <c r="P414" s="157" t="s">
        <v>4743</v>
      </c>
      <c r="R414" s="174" t="s">
        <v>279</v>
      </c>
      <c r="S414" s="157" t="n">
        <v>6313</v>
      </c>
      <c r="T414" s="440" t="n">
        <f aca="false">S414/J414</f>
        <v>4.20866666666667</v>
      </c>
      <c r="U414" s="157" t="s">
        <v>279</v>
      </c>
      <c r="Y414" s="157" t="n">
        <v>180000</v>
      </c>
      <c r="AA414" s="157" t="n">
        <v>180000</v>
      </c>
      <c r="AC414" s="157" t="s">
        <v>4935</v>
      </c>
      <c r="AD414" s="157" t="s">
        <v>4936</v>
      </c>
      <c r="AE414" s="281" t="s">
        <v>4937</v>
      </c>
      <c r="AF414" s="281" t="s">
        <v>4938</v>
      </c>
      <c r="AI414" s="157" t="e">
        <f aca="false">IF(AND($E414=Subj_OccCode,Subj_BldgSF&gt;0,ABS($L414-Subj_BldgSF)&lt;=Subj_BldgSF*Subj_SizeTol),ABS($L414-Subj_BldgSF),NA())</f>
        <v>#N/A</v>
      </c>
      <c r="AJ414" s="1" t="e">
        <f aca="false">IF(ISNA(AI414),NA(),AI414+ROW()/10000000)</f>
        <v>#N/A</v>
      </c>
      <c r="AK414" s="157" t="str">
        <f aca="false">IF(AND(ISNUMBER($N414),$N414&gt;0,ISNUMBER($Y414)),$Y414/$N414,"")</f>
        <v/>
      </c>
    </row>
    <row r="415" customFormat="false" ht="15" hidden="false" customHeight="true" outlineLevel="0" collapsed="false">
      <c r="A415" s="438" t="n">
        <v>8</v>
      </c>
      <c r="B415" s="157" t="n">
        <v>408</v>
      </c>
      <c r="C415" s="157" t="s">
        <v>4939</v>
      </c>
      <c r="D415" s="157" t="s">
        <v>4940</v>
      </c>
      <c r="E415" s="157" t="n">
        <v>425</v>
      </c>
      <c r="F415" s="157" t="s">
        <v>2595</v>
      </c>
      <c r="G415" s="157" t="s">
        <v>2596</v>
      </c>
      <c r="H415" s="78" t="n">
        <f aca="false">Y415/J415</f>
        <v>120</v>
      </c>
      <c r="I415" s="439" t="n">
        <v>44070</v>
      </c>
      <c r="J415" s="157" t="n">
        <v>1500</v>
      </c>
      <c r="L415" s="157" t="n">
        <v>1500</v>
      </c>
      <c r="M415" s="157" t="n">
        <v>1982</v>
      </c>
      <c r="P415" s="157" t="s">
        <v>2713</v>
      </c>
      <c r="R415" s="174" t="s">
        <v>279</v>
      </c>
      <c r="S415" s="157" t="n">
        <v>4608</v>
      </c>
      <c r="T415" s="440" t="n">
        <f aca="false">S415/J415</f>
        <v>3.072</v>
      </c>
      <c r="U415" s="157" t="s">
        <v>279</v>
      </c>
      <c r="Y415" s="157" t="n">
        <v>180000</v>
      </c>
      <c r="AA415" s="157" t="n">
        <v>180000</v>
      </c>
      <c r="AC415" s="157" t="s">
        <v>4941</v>
      </c>
      <c r="AD415" s="157" t="s">
        <v>4942</v>
      </c>
      <c r="AE415" s="281" t="s">
        <v>4943</v>
      </c>
      <c r="AF415" s="281" t="s">
        <v>4944</v>
      </c>
      <c r="AI415" s="157" t="e">
        <f aca="false">IF(AND($E415=Subj_OccCode,Subj_BldgSF&gt;0,ABS($L415-Subj_BldgSF)&lt;=Subj_BldgSF*Subj_SizeTol),ABS($L415-Subj_BldgSF),NA())</f>
        <v>#N/A</v>
      </c>
      <c r="AJ415" s="1" t="e">
        <f aca="false">IF(ISNA(AI415),NA(),AI415+ROW()/10000000)</f>
        <v>#N/A</v>
      </c>
      <c r="AK415" s="157" t="str">
        <f aca="false">IF(AND(ISNUMBER($N415),$N415&gt;0,ISNUMBER($Y415)),$Y415/$N415,"")</f>
        <v/>
      </c>
    </row>
    <row r="416" customFormat="false" ht="15" hidden="false" customHeight="true" outlineLevel="0" collapsed="false">
      <c r="A416" s="438" t="n">
        <v>8</v>
      </c>
      <c r="B416" s="157" t="n">
        <v>409</v>
      </c>
      <c r="C416" s="157" t="s">
        <v>4945</v>
      </c>
      <c r="D416" s="157" t="s">
        <v>4946</v>
      </c>
      <c r="E416" s="157" t="n">
        <v>406</v>
      </c>
      <c r="G416" s="157" t="s">
        <v>2691</v>
      </c>
      <c r="H416" s="78" t="n">
        <f aca="false">Y416/J416</f>
        <v>217.056650246305</v>
      </c>
      <c r="I416" s="439" t="n">
        <v>43188</v>
      </c>
      <c r="J416" s="157" t="n">
        <v>6496</v>
      </c>
      <c r="L416" s="157" t="n">
        <v>6496</v>
      </c>
      <c r="M416" s="157" t="n">
        <v>1999</v>
      </c>
      <c r="P416" s="157" t="s">
        <v>2692</v>
      </c>
      <c r="R416" s="174" t="s">
        <v>279</v>
      </c>
      <c r="S416" s="157" t="n">
        <v>75611</v>
      </c>
      <c r="T416" s="440" t="n">
        <f aca="false">S416/J416</f>
        <v>11.6396243842365</v>
      </c>
      <c r="U416" s="157" t="s">
        <v>279</v>
      </c>
      <c r="Y416" s="157" t="n">
        <v>1410000</v>
      </c>
      <c r="AA416" s="157" t="n">
        <v>1410000</v>
      </c>
      <c r="AC416" s="157" t="s">
        <v>4947</v>
      </c>
      <c r="AD416" s="157" t="s">
        <v>4948</v>
      </c>
      <c r="AE416" s="281" t="s">
        <v>4949</v>
      </c>
      <c r="AF416" s="281" t="s">
        <v>4950</v>
      </c>
      <c r="AI416" s="157" t="e">
        <f aca="false">IF(AND($E416=Subj_OccCode,Subj_BldgSF&gt;0,ABS($L416-Subj_BldgSF)&lt;=Subj_BldgSF*Subj_SizeTol),ABS($L416-Subj_BldgSF),NA())</f>
        <v>#N/A</v>
      </c>
      <c r="AJ416" s="1" t="e">
        <f aca="false">IF(ISNA(AI416),NA(),AI416+ROW()/10000000)</f>
        <v>#N/A</v>
      </c>
      <c r="AK416" s="157" t="str">
        <f aca="false">IF(AND(ISNUMBER($N416),$N416&gt;0,ISNUMBER($Y416)),$Y416/$N416,"")</f>
        <v/>
      </c>
    </row>
    <row r="417" customFormat="false" ht="15" hidden="false" customHeight="true" outlineLevel="0" collapsed="false">
      <c r="A417" s="438" t="n">
        <v>8</v>
      </c>
      <c r="B417" s="157" t="n">
        <v>410</v>
      </c>
      <c r="C417" s="157" t="s">
        <v>4951</v>
      </c>
      <c r="D417" s="157" t="s">
        <v>4952</v>
      </c>
      <c r="E417" s="157" t="n">
        <v>353</v>
      </c>
      <c r="G417" s="157" t="s">
        <v>352</v>
      </c>
      <c r="H417" s="78" t="n">
        <f aca="false">Y417/J417</f>
        <v>244.698205546493</v>
      </c>
      <c r="I417" s="439" t="n">
        <v>43388</v>
      </c>
      <c r="J417" s="157" t="n">
        <v>3065</v>
      </c>
      <c r="L417" s="157" t="n">
        <v>3065</v>
      </c>
      <c r="M417" s="157" t="n">
        <v>1975</v>
      </c>
      <c r="P417" s="157" t="s">
        <v>2706</v>
      </c>
      <c r="R417" s="174" t="s">
        <v>279</v>
      </c>
      <c r="S417" s="157" t="n">
        <v>35620</v>
      </c>
      <c r="T417" s="440" t="n">
        <f aca="false">S417/J417</f>
        <v>11.6215334420881</v>
      </c>
      <c r="U417" s="157" t="s">
        <v>279</v>
      </c>
      <c r="Y417" s="157" t="n">
        <v>750000</v>
      </c>
      <c r="AA417" s="157" t="n">
        <v>750000</v>
      </c>
      <c r="AC417" s="157" t="s">
        <v>4953</v>
      </c>
      <c r="AD417" s="157" t="s">
        <v>4954</v>
      </c>
      <c r="AE417" s="281" t="s">
        <v>4955</v>
      </c>
      <c r="AF417" s="281" t="s">
        <v>4956</v>
      </c>
      <c r="AI417" s="157" t="e">
        <f aca="false">IF(AND($E417=Subj_OccCode,Subj_BldgSF&gt;0,ABS($L417-Subj_BldgSF)&lt;=Subj_BldgSF*Subj_SizeTol),ABS($L417-Subj_BldgSF),NA())</f>
        <v>#N/A</v>
      </c>
      <c r="AJ417" s="1" t="e">
        <f aca="false">IF(ISNA(AI417),NA(),AI417+ROW()/10000000)</f>
        <v>#N/A</v>
      </c>
      <c r="AK417" s="157" t="str">
        <f aca="false">IF(AND(ISNUMBER($N417),$N417&gt;0,ISNUMBER($Y417)),$Y417/$N417,"")</f>
        <v/>
      </c>
    </row>
    <row r="418" customFormat="false" ht="15" hidden="false" customHeight="true" outlineLevel="0" collapsed="false">
      <c r="A418" s="438" t="n">
        <v>8</v>
      </c>
      <c r="B418" s="157" t="n">
        <v>411</v>
      </c>
      <c r="C418" s="157" t="s">
        <v>4957</v>
      </c>
      <c r="D418" s="157" t="s">
        <v>4958</v>
      </c>
      <c r="E418" s="157" t="n">
        <v>419</v>
      </c>
      <c r="G418" s="157" t="s">
        <v>2691</v>
      </c>
      <c r="H418" s="78" t="n">
        <f aca="false">Y418/J418</f>
        <v>488.129576214777</v>
      </c>
      <c r="I418" s="439" t="n">
        <v>44266</v>
      </c>
      <c r="J418" s="157" t="n">
        <v>4507</v>
      </c>
      <c r="L418" s="157" t="n">
        <v>4507</v>
      </c>
      <c r="M418" s="157" t="n">
        <v>1986</v>
      </c>
      <c r="P418" s="157" t="s">
        <v>2692</v>
      </c>
      <c r="R418" s="174" t="s">
        <v>279</v>
      </c>
      <c r="S418" s="157" t="n">
        <v>77434</v>
      </c>
      <c r="T418" s="440" t="n">
        <f aca="false">S418/J418</f>
        <v>17.1808298202796</v>
      </c>
      <c r="U418" s="157" t="s">
        <v>279</v>
      </c>
      <c r="Y418" s="157" t="n">
        <v>2200000</v>
      </c>
      <c r="AA418" s="157" t="n">
        <v>2200000</v>
      </c>
      <c r="AC418" s="157" t="s">
        <v>4959</v>
      </c>
      <c r="AD418" s="157" t="s">
        <v>4960</v>
      </c>
      <c r="AE418" s="281" t="s">
        <v>4961</v>
      </c>
      <c r="AF418" s="281" t="s">
        <v>4962</v>
      </c>
      <c r="AI418" s="157" t="e">
        <f aca="false">IF(AND($E418=Subj_OccCode,Subj_BldgSF&gt;0,ABS($L418-Subj_BldgSF)&lt;=Subj_BldgSF*Subj_SizeTol),ABS($L418-Subj_BldgSF),NA())</f>
        <v>#N/A</v>
      </c>
      <c r="AJ418" s="1" t="e">
        <f aca="false">IF(ISNA(AI418),NA(),AI418+ROW()/10000000)</f>
        <v>#N/A</v>
      </c>
      <c r="AK418" s="157" t="str">
        <f aca="false">IF(AND(ISNUMBER($N418),$N418&gt;0,ISNUMBER($Y418)),$Y418/$N418,"")</f>
        <v/>
      </c>
    </row>
    <row r="419" customFormat="false" ht="15" hidden="false" customHeight="true" outlineLevel="0" collapsed="false">
      <c r="A419" s="438" t="n">
        <v>8</v>
      </c>
      <c r="B419" s="157" t="n">
        <v>412</v>
      </c>
      <c r="C419" s="157" t="s">
        <v>4963</v>
      </c>
      <c r="D419" s="157" t="s">
        <v>4964</v>
      </c>
      <c r="E419" s="157" t="n">
        <v>407</v>
      </c>
      <c r="G419" s="157" t="s">
        <v>2691</v>
      </c>
      <c r="H419" s="78" t="n">
        <f aca="false">Y419/J419</f>
        <v>169.255276782159</v>
      </c>
      <c r="I419" s="439" t="n">
        <v>44377</v>
      </c>
      <c r="J419" s="157" t="n">
        <v>10044</v>
      </c>
      <c r="L419" s="157" t="n">
        <v>10044</v>
      </c>
      <c r="M419" s="157" t="n">
        <v>1972</v>
      </c>
      <c r="P419" s="157" t="s">
        <v>2692</v>
      </c>
      <c r="R419" s="174" t="s">
        <v>279</v>
      </c>
      <c r="S419" s="157" t="n">
        <v>45765</v>
      </c>
      <c r="T419" s="440" t="n">
        <f aca="false">S419/J419</f>
        <v>4.55645161290323</v>
      </c>
      <c r="U419" s="157" t="s">
        <v>279</v>
      </c>
      <c r="Y419" s="157" t="n">
        <v>1700000</v>
      </c>
      <c r="AA419" s="157" t="n">
        <v>1700000</v>
      </c>
      <c r="AC419" s="157" t="s">
        <v>4965</v>
      </c>
      <c r="AD419" s="157" t="s">
        <v>4966</v>
      </c>
      <c r="AE419" s="281" t="s">
        <v>4967</v>
      </c>
      <c r="AF419" s="281" t="s">
        <v>4968</v>
      </c>
      <c r="AI419" s="157" t="e">
        <f aca="false">IF(AND($E419=Subj_OccCode,Subj_BldgSF&gt;0,ABS($L419-Subj_BldgSF)&lt;=Subj_BldgSF*Subj_SizeTol),ABS($L419-Subj_BldgSF),NA())</f>
        <v>#N/A</v>
      </c>
      <c r="AJ419" s="1" t="e">
        <f aca="false">IF(ISNA(AI419),NA(),AI419+ROW()/10000000)</f>
        <v>#N/A</v>
      </c>
      <c r="AK419" s="157" t="str">
        <f aca="false">IF(AND(ISNUMBER($N419),$N419&gt;0,ISNUMBER($Y419)),$Y419/$N419,"")</f>
        <v/>
      </c>
    </row>
    <row r="420" customFormat="false" ht="15" hidden="false" customHeight="true" outlineLevel="0" collapsed="false">
      <c r="A420" s="438" t="n">
        <v>8</v>
      </c>
      <c r="B420" s="157" t="n">
        <v>413</v>
      </c>
      <c r="C420" s="157" t="s">
        <v>2894</v>
      </c>
      <c r="D420" s="157" t="s">
        <v>4969</v>
      </c>
      <c r="E420" s="157" t="n">
        <v>344</v>
      </c>
      <c r="F420" s="157" t="s">
        <v>260</v>
      </c>
      <c r="G420" s="157" t="s">
        <v>353</v>
      </c>
      <c r="H420" s="78" t="n">
        <f aca="false">Y420/J420</f>
        <v>294</v>
      </c>
      <c r="I420" s="439" t="n">
        <v>44013</v>
      </c>
      <c r="J420" s="157" t="n">
        <v>2500</v>
      </c>
      <c r="L420" s="157" t="n">
        <v>2500</v>
      </c>
      <c r="M420" s="157" t="n">
        <v>1972</v>
      </c>
      <c r="P420" s="157" t="s">
        <v>2896</v>
      </c>
      <c r="R420" s="174" t="s">
        <v>279</v>
      </c>
      <c r="S420" s="157" t="n">
        <v>10454.4</v>
      </c>
      <c r="T420" s="440" t="n">
        <f aca="false">S420/J420</f>
        <v>4.18176</v>
      </c>
      <c r="U420" s="157" t="s">
        <v>279</v>
      </c>
      <c r="Y420" s="157" t="n">
        <v>735000</v>
      </c>
      <c r="AA420" s="157" t="n">
        <v>735000</v>
      </c>
      <c r="AC420" s="157" t="s">
        <v>2897</v>
      </c>
      <c r="AD420" s="157" t="s">
        <v>4970</v>
      </c>
      <c r="AE420" s="281" t="s">
        <v>4971</v>
      </c>
      <c r="AF420" s="281" t="s">
        <v>4972</v>
      </c>
      <c r="AI420" s="157" t="e">
        <f aca="false">IF(AND($E420=Subj_OccCode,Subj_BldgSF&gt;0,ABS($L420-Subj_BldgSF)&lt;=Subj_BldgSF*Subj_SizeTol),ABS($L420-Subj_BldgSF),NA())</f>
        <v>#N/A</v>
      </c>
      <c r="AJ420" s="1" t="e">
        <f aca="false">IF(ISNA(AI420),NA(),AI420+ROW()/10000000)</f>
        <v>#N/A</v>
      </c>
      <c r="AK420" s="157" t="str">
        <f aca="false">IF(AND(ISNUMBER($N420),$N420&gt;0,ISNUMBER($Y420)),$Y420/$N420,"")</f>
        <v/>
      </c>
    </row>
    <row r="421" customFormat="false" ht="15" hidden="false" customHeight="true" outlineLevel="0" collapsed="false">
      <c r="A421" s="438" t="n">
        <v>8</v>
      </c>
      <c r="B421" s="157" t="n">
        <v>414</v>
      </c>
      <c r="C421" s="157" t="s">
        <v>4973</v>
      </c>
      <c r="D421" s="157" t="s">
        <v>4974</v>
      </c>
      <c r="E421" s="157" t="n">
        <v>407</v>
      </c>
      <c r="F421" s="157" t="s">
        <v>2595</v>
      </c>
      <c r="G421" s="157" t="s">
        <v>2596</v>
      </c>
      <c r="H421" s="78" t="n">
        <f aca="false">Y421/J421</f>
        <v>137.755102040816</v>
      </c>
      <c r="I421" s="439" t="n">
        <v>44272</v>
      </c>
      <c r="J421" s="157" t="n">
        <v>9800</v>
      </c>
      <c r="L421" s="157" t="n">
        <v>9800</v>
      </c>
      <c r="M421" s="157" t="n">
        <v>1972</v>
      </c>
      <c r="P421" s="157" t="s">
        <v>2713</v>
      </c>
      <c r="R421" s="174" t="s">
        <v>279</v>
      </c>
      <c r="S421" s="157" t="n">
        <v>22000</v>
      </c>
      <c r="T421" s="440" t="n">
        <f aca="false">S421/J421</f>
        <v>2.24489795918367</v>
      </c>
      <c r="U421" s="157" t="s">
        <v>279</v>
      </c>
      <c r="Y421" s="157" t="n">
        <v>1350000</v>
      </c>
      <c r="AA421" s="157" t="n">
        <v>1350000</v>
      </c>
      <c r="AC421" s="157" t="s">
        <v>4975</v>
      </c>
      <c r="AD421" s="157" t="s">
        <v>4976</v>
      </c>
      <c r="AE421" s="281" t="s">
        <v>4977</v>
      </c>
      <c r="AF421" s="281" t="s">
        <v>4978</v>
      </c>
      <c r="AI421" s="157" t="e">
        <f aca="false">IF(AND($E421=Subj_OccCode,Subj_BldgSF&gt;0,ABS($L421-Subj_BldgSF)&lt;=Subj_BldgSF*Subj_SizeTol),ABS($L421-Subj_BldgSF),NA())</f>
        <v>#N/A</v>
      </c>
      <c r="AJ421" s="1" t="e">
        <f aca="false">IF(ISNA(AI421),NA(),AI421+ROW()/10000000)</f>
        <v>#N/A</v>
      </c>
      <c r="AK421" s="157" t="str">
        <f aca="false">IF(AND(ISNUMBER($N421),$N421&gt;0,ISNUMBER($Y421)),$Y421/$N421,"")</f>
        <v/>
      </c>
    </row>
    <row r="422" customFormat="false" ht="15" hidden="false" customHeight="true" outlineLevel="0" collapsed="false">
      <c r="A422" s="438" t="n">
        <v>8</v>
      </c>
      <c r="B422" s="157" t="n">
        <v>415</v>
      </c>
      <c r="C422" s="157" t="s">
        <v>4979</v>
      </c>
      <c r="D422" s="157" t="s">
        <v>4980</v>
      </c>
      <c r="E422" s="157" t="n">
        <v>353</v>
      </c>
      <c r="F422" s="157" t="s">
        <v>260</v>
      </c>
      <c r="G422" s="157" t="s">
        <v>353</v>
      </c>
      <c r="H422" s="78" t="n">
        <f aca="false">Y422/J422</f>
        <v>97.4137931034483</v>
      </c>
      <c r="I422" s="439" t="n">
        <v>43167</v>
      </c>
      <c r="J422" s="157" t="n">
        <v>5800</v>
      </c>
      <c r="L422" s="157" t="n">
        <v>5800</v>
      </c>
      <c r="M422" s="157" t="n">
        <v>1920</v>
      </c>
      <c r="P422" s="157" t="s">
        <v>1929</v>
      </c>
      <c r="R422" s="174" t="s">
        <v>279</v>
      </c>
      <c r="S422" s="157" t="n">
        <v>13000</v>
      </c>
      <c r="T422" s="440" t="n">
        <f aca="false">S422/J422</f>
        <v>2.24137931034483</v>
      </c>
      <c r="U422" s="157" t="s">
        <v>279</v>
      </c>
      <c r="Y422" s="157" t="n">
        <v>565000</v>
      </c>
      <c r="AA422" s="157" t="n">
        <v>565000</v>
      </c>
      <c r="AC422" s="157" t="s">
        <v>4981</v>
      </c>
      <c r="AD422" s="157" t="s">
        <v>4982</v>
      </c>
      <c r="AE422" s="281" t="s">
        <v>4983</v>
      </c>
      <c r="AF422" s="281" t="s">
        <v>4984</v>
      </c>
      <c r="AI422" s="157" t="e">
        <f aca="false">IF(AND($E422=Subj_OccCode,Subj_BldgSF&gt;0,ABS($L422-Subj_BldgSF)&lt;=Subj_BldgSF*Subj_SizeTol),ABS($L422-Subj_BldgSF),NA())</f>
        <v>#N/A</v>
      </c>
      <c r="AJ422" s="1" t="e">
        <f aca="false">IF(ISNA(AI422),NA(),AI422+ROW()/10000000)</f>
        <v>#N/A</v>
      </c>
      <c r="AK422" s="157" t="str">
        <f aca="false">IF(AND(ISNUMBER($N422),$N422&gt;0,ISNUMBER($Y422)),$Y422/$N422,"")</f>
        <v/>
      </c>
    </row>
    <row r="423" customFormat="false" ht="15" hidden="false" customHeight="true" outlineLevel="0" collapsed="false">
      <c r="A423" s="438" t="n">
        <v>8</v>
      </c>
      <c r="B423" s="157" t="n">
        <v>416</v>
      </c>
      <c r="C423" s="157" t="s">
        <v>4985</v>
      </c>
      <c r="D423" s="157" t="s">
        <v>4986</v>
      </c>
      <c r="E423" s="157" t="n">
        <v>344</v>
      </c>
      <c r="G423" s="157" t="s">
        <v>353</v>
      </c>
      <c r="H423" s="78" t="n">
        <f aca="false">Y423/J423</f>
        <v>654.06976744186</v>
      </c>
      <c r="I423" s="439" t="n">
        <v>43329</v>
      </c>
      <c r="J423" s="157" t="n">
        <v>1032</v>
      </c>
      <c r="L423" s="157" t="n">
        <v>1032</v>
      </c>
      <c r="M423" s="157" t="n">
        <v>1952</v>
      </c>
      <c r="P423" s="157" t="s">
        <v>2692</v>
      </c>
      <c r="R423" s="174" t="s">
        <v>279</v>
      </c>
      <c r="S423" s="157" t="n">
        <v>25089</v>
      </c>
      <c r="T423" s="440" t="n">
        <f aca="false">S423/J423</f>
        <v>24.3110465116279</v>
      </c>
      <c r="U423" s="157" t="s">
        <v>279</v>
      </c>
      <c r="Y423" s="157" t="n">
        <v>675000</v>
      </c>
      <c r="AA423" s="157" t="n">
        <v>675000</v>
      </c>
      <c r="AC423" s="157" t="s">
        <v>4987</v>
      </c>
      <c r="AD423" s="157" t="s">
        <v>4988</v>
      </c>
      <c r="AE423" s="281" t="s">
        <v>4989</v>
      </c>
      <c r="AF423" s="281" t="s">
        <v>4990</v>
      </c>
      <c r="AI423" s="157" t="e">
        <f aca="false">IF(AND($E423=Subj_OccCode,Subj_BldgSF&gt;0,ABS($L423-Subj_BldgSF)&lt;=Subj_BldgSF*Subj_SizeTol),ABS($L423-Subj_BldgSF),NA())</f>
        <v>#N/A</v>
      </c>
      <c r="AJ423" s="1" t="e">
        <f aca="false">IF(ISNA(AI423),NA(),AI423+ROW()/10000000)</f>
        <v>#N/A</v>
      </c>
      <c r="AK423" s="157" t="str">
        <f aca="false">IF(AND(ISNUMBER($N423),$N423&gt;0,ISNUMBER($Y423)),$Y423/$N423,"")</f>
        <v/>
      </c>
    </row>
    <row r="424" customFormat="false" ht="15" hidden="false" customHeight="true" outlineLevel="0" collapsed="false">
      <c r="A424" s="438" t="n">
        <v>8</v>
      </c>
      <c r="B424" s="157" t="n">
        <v>417</v>
      </c>
      <c r="C424" s="157" t="s">
        <v>4991</v>
      </c>
      <c r="D424" s="157" t="s">
        <v>4992</v>
      </c>
      <c r="E424" s="157" t="n">
        <v>353</v>
      </c>
      <c r="F424" s="157" t="s">
        <v>2921</v>
      </c>
      <c r="G424" s="157" t="s">
        <v>2691</v>
      </c>
      <c r="H424" s="78" t="n">
        <f aca="false">Y424/J424</f>
        <v>69.6448114615461</v>
      </c>
      <c r="I424" s="439" t="n">
        <v>43656</v>
      </c>
      <c r="J424" s="157" t="n">
        <v>10051</v>
      </c>
      <c r="L424" s="157" t="n">
        <v>10051</v>
      </c>
      <c r="M424" s="157" t="n">
        <v>1947</v>
      </c>
      <c r="P424" s="157" t="s">
        <v>4047</v>
      </c>
      <c r="R424" s="174" t="s">
        <v>279</v>
      </c>
      <c r="S424" s="157" t="n">
        <v>18037</v>
      </c>
      <c r="T424" s="440" t="n">
        <f aca="false">S424/J424</f>
        <v>1.79454780618844</v>
      </c>
      <c r="U424" s="157" t="s">
        <v>279</v>
      </c>
      <c r="Y424" s="157" t="n">
        <v>700000</v>
      </c>
      <c r="AA424" s="157" t="n">
        <v>700000</v>
      </c>
      <c r="AC424" s="157" t="s">
        <v>4993</v>
      </c>
      <c r="AD424" s="157" t="s">
        <v>4994</v>
      </c>
      <c r="AE424" s="281" t="s">
        <v>4995</v>
      </c>
      <c r="AF424" s="281" t="s">
        <v>4051</v>
      </c>
      <c r="AI424" s="157" t="e">
        <f aca="false">IF(AND($E424=Subj_OccCode,Subj_BldgSF&gt;0,ABS($L424-Subj_BldgSF)&lt;=Subj_BldgSF*Subj_SizeTol),ABS($L424-Subj_BldgSF),NA())</f>
        <v>#N/A</v>
      </c>
      <c r="AJ424" s="1" t="e">
        <f aca="false">IF(ISNA(AI424),NA(),AI424+ROW()/10000000)</f>
        <v>#N/A</v>
      </c>
      <c r="AK424" s="157" t="str">
        <f aca="false">IF(AND(ISNUMBER($N424),$N424&gt;0,ISNUMBER($Y424)),$Y424/$N424,"")</f>
        <v/>
      </c>
    </row>
    <row r="425" customFormat="false" ht="15" hidden="false" customHeight="true" outlineLevel="0" collapsed="false">
      <c r="A425" s="438" t="n">
        <v>8</v>
      </c>
      <c r="B425" s="157" t="n">
        <v>418</v>
      </c>
      <c r="C425" s="157" t="s">
        <v>4996</v>
      </c>
      <c r="D425" s="157" t="s">
        <v>4997</v>
      </c>
      <c r="E425" s="157" t="n">
        <v>344</v>
      </c>
      <c r="F425" s="157" t="s">
        <v>2677</v>
      </c>
      <c r="G425" s="157" t="s">
        <v>354</v>
      </c>
      <c r="H425" s="78" t="n">
        <f aca="false">Y425/J425</f>
        <v>141.542816702052</v>
      </c>
      <c r="I425" s="439" t="n">
        <v>44442</v>
      </c>
      <c r="J425" s="157" t="n">
        <v>55107</v>
      </c>
      <c r="L425" s="157" t="n">
        <v>55107</v>
      </c>
      <c r="M425" s="157" t="n">
        <v>1980</v>
      </c>
      <c r="P425" s="157" t="s">
        <v>1952</v>
      </c>
      <c r="R425" s="174" t="s">
        <v>279</v>
      </c>
      <c r="S425" s="157" t="n">
        <v>318656</v>
      </c>
      <c r="T425" s="440" t="n">
        <f aca="false">S425/J425</f>
        <v>5.78249587166785</v>
      </c>
      <c r="U425" s="157" t="s">
        <v>279</v>
      </c>
      <c r="Y425" s="157" t="n">
        <v>7800000</v>
      </c>
      <c r="AA425" s="157" t="n">
        <v>7800000</v>
      </c>
      <c r="AC425" s="157" t="s">
        <v>4998</v>
      </c>
      <c r="AD425" s="157" t="s">
        <v>4999</v>
      </c>
      <c r="AE425" s="281" t="s">
        <v>5000</v>
      </c>
      <c r="AF425" s="281" t="s">
        <v>5001</v>
      </c>
      <c r="AI425" s="157" t="e">
        <f aca="false">IF(AND($E425=Subj_OccCode,Subj_BldgSF&gt;0,ABS($L425-Subj_BldgSF)&lt;=Subj_BldgSF*Subj_SizeTol),ABS($L425-Subj_BldgSF),NA())</f>
        <v>#N/A</v>
      </c>
      <c r="AJ425" s="1" t="e">
        <f aca="false">IF(ISNA(AI425),NA(),AI425+ROW()/10000000)</f>
        <v>#N/A</v>
      </c>
      <c r="AK425" s="157" t="str">
        <f aca="false">IF(AND(ISNUMBER($N425),$N425&gt;0,ISNUMBER($Y425)),$Y425/$N425,"")</f>
        <v/>
      </c>
    </row>
    <row r="426" customFormat="false" ht="15" hidden="false" customHeight="true" outlineLevel="0" collapsed="false">
      <c r="A426" s="438" t="n">
        <v>8</v>
      </c>
      <c r="B426" s="157" t="n">
        <v>419</v>
      </c>
      <c r="C426" s="157" t="s">
        <v>5002</v>
      </c>
      <c r="D426" s="157" t="s">
        <v>5003</v>
      </c>
      <c r="E426" s="157" t="n">
        <v>407</v>
      </c>
      <c r="F426" s="157" t="s">
        <v>2921</v>
      </c>
      <c r="G426" s="157" t="s">
        <v>2691</v>
      </c>
      <c r="H426" s="78" t="n">
        <f aca="false">Y426/J426</f>
        <v>104.952021932831</v>
      </c>
      <c r="I426" s="439" t="n">
        <v>44378</v>
      </c>
      <c r="J426" s="157" t="n">
        <v>23344</v>
      </c>
      <c r="L426" s="157" t="n">
        <v>23344</v>
      </c>
      <c r="M426" s="157" t="n">
        <v>1984</v>
      </c>
      <c r="P426" s="157" t="s">
        <v>3009</v>
      </c>
      <c r="R426" s="174" t="s">
        <v>279</v>
      </c>
      <c r="S426" s="157" t="n">
        <v>51674</v>
      </c>
      <c r="T426" s="440" t="n">
        <f aca="false">S426/J426</f>
        <v>2.2135880740233</v>
      </c>
      <c r="U426" s="157" t="s">
        <v>279</v>
      </c>
      <c r="Y426" s="157" t="n">
        <v>2450000</v>
      </c>
      <c r="AA426" s="157" t="n">
        <v>2450000</v>
      </c>
      <c r="AC426" s="157" t="s">
        <v>5004</v>
      </c>
      <c r="AD426" s="157" t="s">
        <v>5005</v>
      </c>
      <c r="AE426" s="281" t="s">
        <v>5006</v>
      </c>
      <c r="AF426" s="281" t="s">
        <v>5007</v>
      </c>
      <c r="AI426" s="157" t="e">
        <f aca="false">IF(AND($E426=Subj_OccCode,Subj_BldgSF&gt;0,ABS($L426-Subj_BldgSF)&lt;=Subj_BldgSF*Subj_SizeTol),ABS($L426-Subj_BldgSF),NA())</f>
        <v>#N/A</v>
      </c>
      <c r="AJ426" s="1" t="e">
        <f aca="false">IF(ISNA(AI426),NA(),AI426+ROW()/10000000)</f>
        <v>#N/A</v>
      </c>
      <c r="AK426" s="157" t="str">
        <f aca="false">IF(AND(ISNUMBER($N426),$N426&gt;0,ISNUMBER($Y426)),$Y426/$N426,"")</f>
        <v/>
      </c>
    </row>
    <row r="427" customFormat="false" ht="15" hidden="false" customHeight="true" outlineLevel="0" collapsed="false">
      <c r="A427" s="438" t="n">
        <v>8</v>
      </c>
      <c r="B427" s="157" t="n">
        <v>420</v>
      </c>
      <c r="C427" s="157" t="s">
        <v>5008</v>
      </c>
      <c r="D427" s="157" t="s">
        <v>5009</v>
      </c>
      <c r="E427" s="157" t="n">
        <v>328</v>
      </c>
      <c r="G427" s="157" t="s">
        <v>2596</v>
      </c>
      <c r="H427" s="78" t="n">
        <f aca="false">Y427/J427</f>
        <v>34.375</v>
      </c>
      <c r="I427" s="439" t="n">
        <v>43287</v>
      </c>
      <c r="J427" s="157" t="n">
        <v>960</v>
      </c>
      <c r="L427" s="157" t="n">
        <v>960</v>
      </c>
      <c r="M427" s="157" t="n">
        <v>1997</v>
      </c>
      <c r="P427" s="157" t="s">
        <v>4523</v>
      </c>
      <c r="R427" s="174" t="s">
        <v>279</v>
      </c>
      <c r="S427" s="157" t="n">
        <v>0</v>
      </c>
      <c r="T427" s="440" t="n">
        <f aca="false">S427/J427</f>
        <v>0</v>
      </c>
      <c r="U427" s="157" t="s">
        <v>279</v>
      </c>
      <c r="Y427" s="157" t="n">
        <v>33000</v>
      </c>
      <c r="AA427" s="157" t="n">
        <v>33000</v>
      </c>
      <c r="AC427" s="157" t="s">
        <v>5010</v>
      </c>
      <c r="AD427" s="157" t="s">
        <v>5011</v>
      </c>
      <c r="AE427" s="281" t="s">
        <v>5012</v>
      </c>
      <c r="AF427" s="281" t="s">
        <v>5013</v>
      </c>
      <c r="AI427" s="157" t="e">
        <f aca="false">IF(AND($E427=Subj_OccCode,Subj_BldgSF&gt;0,ABS($L427-Subj_BldgSF)&lt;=Subj_BldgSF*Subj_SizeTol),ABS($L427-Subj_BldgSF),NA())</f>
        <v>#N/A</v>
      </c>
      <c r="AJ427" s="1" t="e">
        <f aca="false">IF(ISNA(AI427),NA(),AI427+ROW()/10000000)</f>
        <v>#N/A</v>
      </c>
      <c r="AK427" s="157" t="str">
        <f aca="false">IF(AND(ISNUMBER($N427),$N427&gt;0,ISNUMBER($Y427)),$Y427/$N427,"")</f>
        <v/>
      </c>
    </row>
    <row r="428" customFormat="false" ht="15" hidden="false" customHeight="true" outlineLevel="0" collapsed="false">
      <c r="A428" s="438" t="n">
        <v>8</v>
      </c>
      <c r="B428" s="157" t="n">
        <v>421</v>
      </c>
      <c r="C428" s="157" t="s">
        <v>5014</v>
      </c>
      <c r="D428" s="157" t="s">
        <v>5015</v>
      </c>
      <c r="E428" s="157" t="n">
        <v>325</v>
      </c>
      <c r="F428" s="157" t="s">
        <v>2921</v>
      </c>
      <c r="G428" s="157" t="s">
        <v>2691</v>
      </c>
      <c r="H428" s="78" t="n">
        <f aca="false">Y428/J428</f>
        <v>425.925925925926</v>
      </c>
      <c r="I428" s="439" t="n">
        <v>44732</v>
      </c>
      <c r="J428" s="157" t="n">
        <v>5400</v>
      </c>
      <c r="L428" s="157" t="n">
        <v>5400</v>
      </c>
      <c r="M428" s="157" t="n">
        <v>1972</v>
      </c>
      <c r="P428" s="157" t="s">
        <v>3009</v>
      </c>
      <c r="R428" s="174" t="s">
        <v>279</v>
      </c>
      <c r="S428" s="157" t="n">
        <v>143744</v>
      </c>
      <c r="T428" s="440" t="n">
        <f aca="false">S428/J428</f>
        <v>26.6192592592593</v>
      </c>
      <c r="U428" s="157" t="s">
        <v>279</v>
      </c>
      <c r="Y428" s="157" t="n">
        <v>2300000</v>
      </c>
      <c r="AA428" s="157" t="n">
        <v>2300000</v>
      </c>
      <c r="AC428" s="157" t="s">
        <v>5016</v>
      </c>
      <c r="AD428" s="157" t="s">
        <v>5017</v>
      </c>
      <c r="AE428" s="281" t="s">
        <v>4300</v>
      </c>
      <c r="AF428" s="281" t="s">
        <v>5018</v>
      </c>
      <c r="AI428" s="157" t="e">
        <f aca="false">IF(AND($E428=Subj_OccCode,Subj_BldgSF&gt;0,ABS($L428-Subj_BldgSF)&lt;=Subj_BldgSF*Subj_SizeTol),ABS($L428-Subj_BldgSF),NA())</f>
        <v>#N/A</v>
      </c>
      <c r="AJ428" s="1" t="e">
        <f aca="false">IF(ISNA(AI428),NA(),AI428+ROW()/10000000)</f>
        <v>#N/A</v>
      </c>
      <c r="AK428" s="157" t="str">
        <f aca="false">IF(AND(ISNUMBER($N428),$N428&gt;0,ISNUMBER($Y428)),$Y428/$N428,"")</f>
        <v/>
      </c>
    </row>
    <row r="429" customFormat="false" ht="15" hidden="false" customHeight="true" outlineLevel="0" collapsed="false">
      <c r="A429" s="438" t="n">
        <v>8</v>
      </c>
      <c r="B429" s="157" t="n">
        <v>422</v>
      </c>
      <c r="C429" s="157" t="s">
        <v>5019</v>
      </c>
      <c r="D429" s="157" t="s">
        <v>5020</v>
      </c>
      <c r="E429" s="157" t="n">
        <v>407</v>
      </c>
      <c r="F429" s="157" t="s">
        <v>2921</v>
      </c>
      <c r="G429" s="157" t="s">
        <v>2691</v>
      </c>
      <c r="H429" s="78" t="n">
        <f aca="false">Y429/J429</f>
        <v>114.311842706904</v>
      </c>
      <c r="I429" s="439" t="n">
        <v>44008</v>
      </c>
      <c r="J429" s="157" t="n">
        <v>21870</v>
      </c>
      <c r="L429" s="157" t="n">
        <v>21870</v>
      </c>
      <c r="M429" s="157" t="n">
        <v>1967</v>
      </c>
      <c r="P429" s="157" t="s">
        <v>3009</v>
      </c>
      <c r="R429" s="174" t="s">
        <v>279</v>
      </c>
      <c r="S429" s="157" t="n">
        <v>73616</v>
      </c>
      <c r="T429" s="440" t="n">
        <f aca="false">S429/J429</f>
        <v>3.36607224508459</v>
      </c>
      <c r="U429" s="157" t="s">
        <v>279</v>
      </c>
      <c r="Y429" s="157" t="n">
        <v>2500000</v>
      </c>
      <c r="AA429" s="157" t="n">
        <v>2500000</v>
      </c>
      <c r="AC429" s="157" t="s">
        <v>5021</v>
      </c>
      <c r="AD429" s="157" t="s">
        <v>5022</v>
      </c>
      <c r="AE429" s="281" t="s">
        <v>5023</v>
      </c>
      <c r="AF429" s="281" t="s">
        <v>5024</v>
      </c>
      <c r="AI429" s="157" t="e">
        <f aca="false">IF(AND($E429=Subj_OccCode,Subj_BldgSF&gt;0,ABS($L429-Subj_BldgSF)&lt;=Subj_BldgSF*Subj_SizeTol),ABS($L429-Subj_BldgSF),NA())</f>
        <v>#N/A</v>
      </c>
      <c r="AJ429" s="1" t="e">
        <f aca="false">IF(ISNA(AI429),NA(),AI429+ROW()/10000000)</f>
        <v>#N/A</v>
      </c>
      <c r="AK429" s="157" t="str">
        <f aca="false">IF(AND(ISNUMBER($N429),$N429&gt;0,ISNUMBER($Y429)),$Y429/$N429,"")</f>
        <v/>
      </c>
    </row>
    <row r="430" customFormat="false" ht="15" hidden="false" customHeight="true" outlineLevel="0" collapsed="false">
      <c r="A430" s="438" t="n">
        <v>8</v>
      </c>
      <c r="B430" s="157" t="n">
        <v>423</v>
      </c>
      <c r="C430" s="157" t="s">
        <v>5025</v>
      </c>
      <c r="D430" s="157" t="s">
        <v>5026</v>
      </c>
      <c r="E430" s="157" t="n">
        <v>425</v>
      </c>
      <c r="G430" s="157" t="s">
        <v>2691</v>
      </c>
      <c r="H430" s="78" t="n">
        <f aca="false">Y430/J430</f>
        <v>170</v>
      </c>
      <c r="I430" s="439" t="n">
        <v>43568</v>
      </c>
      <c r="J430" s="157" t="n">
        <v>1000</v>
      </c>
      <c r="L430" s="157" t="n">
        <v>1000</v>
      </c>
      <c r="M430" s="157" t="n">
        <v>1984</v>
      </c>
      <c r="P430" s="157" t="s">
        <v>2692</v>
      </c>
      <c r="R430" s="174" t="s">
        <v>279</v>
      </c>
      <c r="S430" s="157" t="n">
        <v>2893</v>
      </c>
      <c r="T430" s="440" t="n">
        <f aca="false">S430/J430</f>
        <v>2.893</v>
      </c>
      <c r="U430" s="157" t="s">
        <v>279</v>
      </c>
      <c r="Y430" s="157" t="n">
        <v>170000</v>
      </c>
      <c r="AA430" s="157" t="n">
        <v>170000</v>
      </c>
      <c r="AC430" s="157" t="s">
        <v>5027</v>
      </c>
      <c r="AD430" s="157" t="s">
        <v>5028</v>
      </c>
      <c r="AE430" s="281" t="s">
        <v>5029</v>
      </c>
      <c r="AF430" s="281" t="s">
        <v>5030</v>
      </c>
      <c r="AI430" s="157" t="e">
        <f aca="false">IF(AND($E430=Subj_OccCode,Subj_BldgSF&gt;0,ABS($L430-Subj_BldgSF)&lt;=Subj_BldgSF*Subj_SizeTol),ABS($L430-Subj_BldgSF),NA())</f>
        <v>#N/A</v>
      </c>
      <c r="AJ430" s="1" t="e">
        <f aca="false">IF(ISNA(AI430),NA(),AI430+ROW()/10000000)</f>
        <v>#N/A</v>
      </c>
      <c r="AK430" s="157" t="str">
        <f aca="false">IF(AND(ISNUMBER($N430),$N430&gt;0,ISNUMBER($Y430)),$Y430/$N430,"")</f>
        <v/>
      </c>
    </row>
    <row r="431" customFormat="false" ht="15" hidden="false" customHeight="true" outlineLevel="0" collapsed="false">
      <c r="A431" s="438" t="n">
        <v>8</v>
      </c>
      <c r="B431" s="157" t="n">
        <v>424</v>
      </c>
      <c r="C431" s="157" t="s">
        <v>5031</v>
      </c>
      <c r="D431" s="157" t="s">
        <v>5032</v>
      </c>
      <c r="E431" s="157" t="n">
        <v>407</v>
      </c>
      <c r="F431" s="157" t="s">
        <v>2595</v>
      </c>
      <c r="G431" s="157" t="s">
        <v>2596</v>
      </c>
      <c r="H431" s="78" t="n">
        <f aca="false">Y431/J431</f>
        <v>111.369680851064</v>
      </c>
      <c r="I431" s="439" t="n">
        <v>44312</v>
      </c>
      <c r="J431" s="157" t="n">
        <v>15040</v>
      </c>
      <c r="L431" s="157" t="n">
        <v>15040</v>
      </c>
      <c r="M431" s="157" t="n">
        <v>1966</v>
      </c>
      <c r="P431" s="157" t="s">
        <v>2597</v>
      </c>
      <c r="R431" s="174" t="s">
        <v>279</v>
      </c>
      <c r="S431" s="157" t="n">
        <v>35793</v>
      </c>
      <c r="T431" s="440" t="n">
        <f aca="false">S431/J431</f>
        <v>2.37985372340426</v>
      </c>
      <c r="U431" s="157" t="s">
        <v>279</v>
      </c>
      <c r="Y431" s="157" t="n">
        <v>1675000</v>
      </c>
      <c r="AA431" s="157" t="n">
        <v>1675000</v>
      </c>
      <c r="AC431" s="157" t="s">
        <v>5033</v>
      </c>
      <c r="AD431" s="157" t="s">
        <v>5034</v>
      </c>
      <c r="AE431" s="281" t="s">
        <v>5035</v>
      </c>
      <c r="AF431" s="281" t="s">
        <v>5036</v>
      </c>
      <c r="AI431" s="157" t="e">
        <f aca="false">IF(AND($E431=Subj_OccCode,Subj_BldgSF&gt;0,ABS($L431-Subj_BldgSF)&lt;=Subj_BldgSF*Subj_SizeTol),ABS($L431-Subj_BldgSF),NA())</f>
        <v>#N/A</v>
      </c>
      <c r="AJ431" s="1" t="e">
        <f aca="false">IF(ISNA(AI431),NA(),AI431+ROW()/10000000)</f>
        <v>#N/A</v>
      </c>
      <c r="AK431" s="157" t="str">
        <f aca="false">IF(AND(ISNUMBER($N431),$N431&gt;0,ISNUMBER($Y431)),$Y431/$N431,"")</f>
        <v/>
      </c>
    </row>
    <row r="432" customFormat="false" ht="15" hidden="false" customHeight="true" outlineLevel="0" collapsed="false">
      <c r="A432" s="438" t="n">
        <v>8</v>
      </c>
      <c r="B432" s="157" t="n">
        <v>425</v>
      </c>
      <c r="C432" s="157" t="s">
        <v>5037</v>
      </c>
      <c r="D432" s="157" t="s">
        <v>5038</v>
      </c>
      <c r="E432" s="157" t="n">
        <v>325</v>
      </c>
      <c r="F432" s="157" t="s">
        <v>260</v>
      </c>
      <c r="G432" s="157" t="s">
        <v>353</v>
      </c>
      <c r="H432" s="78" t="n">
        <f aca="false">Y432/J432</f>
        <v>184.615384615385</v>
      </c>
      <c r="I432" s="439" t="n">
        <v>44029</v>
      </c>
      <c r="J432" s="157" t="n">
        <v>2600</v>
      </c>
      <c r="L432" s="157" t="n">
        <v>2600</v>
      </c>
      <c r="M432" s="157" t="n">
        <v>1957</v>
      </c>
      <c r="P432" s="157" t="s">
        <v>5039</v>
      </c>
      <c r="R432" s="174" t="s">
        <v>279</v>
      </c>
      <c r="S432" s="157" t="n">
        <v>10620</v>
      </c>
      <c r="T432" s="440" t="n">
        <f aca="false">S432/J432</f>
        <v>4.08461538461538</v>
      </c>
      <c r="U432" s="157" t="s">
        <v>279</v>
      </c>
      <c r="Y432" s="157" t="n">
        <v>480000</v>
      </c>
      <c r="AA432" s="157" t="n">
        <v>480000</v>
      </c>
      <c r="AC432" s="157" t="s">
        <v>5040</v>
      </c>
      <c r="AD432" s="157" t="s">
        <v>5041</v>
      </c>
      <c r="AE432" s="281" t="s">
        <v>5042</v>
      </c>
      <c r="AF432" s="281" t="s">
        <v>5043</v>
      </c>
      <c r="AI432" s="157" t="e">
        <f aca="false">IF(AND($E432=Subj_OccCode,Subj_BldgSF&gt;0,ABS($L432-Subj_BldgSF)&lt;=Subj_BldgSF*Subj_SizeTol),ABS($L432-Subj_BldgSF),NA())</f>
        <v>#N/A</v>
      </c>
      <c r="AJ432" s="1" t="e">
        <f aca="false">IF(ISNA(AI432),NA(),AI432+ROW()/10000000)</f>
        <v>#N/A</v>
      </c>
      <c r="AK432" s="157" t="str">
        <f aca="false">IF(AND(ISNUMBER($N432),$N432&gt;0,ISNUMBER($Y432)),$Y432/$N432,"")</f>
        <v/>
      </c>
    </row>
    <row r="433" customFormat="false" ht="15" hidden="false" customHeight="true" outlineLevel="0" collapsed="false">
      <c r="A433" s="438" t="n">
        <v>8</v>
      </c>
      <c r="B433" s="157" t="n">
        <v>426</v>
      </c>
      <c r="C433" s="157" t="s">
        <v>5044</v>
      </c>
      <c r="D433" s="157" t="s">
        <v>5045</v>
      </c>
      <c r="E433" s="157" t="n">
        <v>406</v>
      </c>
      <c r="F433" s="157" t="s">
        <v>3320</v>
      </c>
      <c r="G433" s="157" t="s">
        <v>352</v>
      </c>
      <c r="H433" s="78" t="n">
        <f aca="false">Y433/J433</f>
        <v>90.9090909090909</v>
      </c>
      <c r="I433" s="439" t="n">
        <v>43784</v>
      </c>
      <c r="J433" s="157" t="n">
        <v>11000</v>
      </c>
      <c r="L433" s="157" t="n">
        <v>11000</v>
      </c>
      <c r="M433" s="157" t="n">
        <v>1998</v>
      </c>
      <c r="P433" s="157" t="s">
        <v>4523</v>
      </c>
      <c r="R433" s="174" t="s">
        <v>279</v>
      </c>
      <c r="S433" s="157" t="n">
        <v>218235.6</v>
      </c>
      <c r="T433" s="440" t="n">
        <f aca="false">S433/J433</f>
        <v>19.8396</v>
      </c>
      <c r="U433" s="157" t="s">
        <v>279</v>
      </c>
      <c r="Y433" s="157" t="n">
        <v>1000000</v>
      </c>
      <c r="AA433" s="157" t="n">
        <v>1000000</v>
      </c>
      <c r="AC433" s="157" t="s">
        <v>5046</v>
      </c>
      <c r="AD433" s="157" t="s">
        <v>5047</v>
      </c>
      <c r="AE433" s="281" t="s">
        <v>5048</v>
      </c>
      <c r="AF433" s="281" t="s">
        <v>5049</v>
      </c>
      <c r="AI433" s="157" t="e">
        <f aca="false">IF(AND($E433=Subj_OccCode,Subj_BldgSF&gt;0,ABS($L433-Subj_BldgSF)&lt;=Subj_BldgSF*Subj_SizeTol),ABS($L433-Subj_BldgSF),NA())</f>
        <v>#N/A</v>
      </c>
      <c r="AJ433" s="1" t="e">
        <f aca="false">IF(ISNA(AI433),NA(),AI433+ROW()/10000000)</f>
        <v>#N/A</v>
      </c>
      <c r="AK433" s="157" t="str">
        <f aca="false">IF(AND(ISNUMBER($N433),$N433&gt;0,ISNUMBER($Y433)),$Y433/$N433,"")</f>
        <v/>
      </c>
    </row>
    <row r="434" customFormat="false" ht="15" hidden="false" customHeight="true" outlineLevel="0" collapsed="false">
      <c r="A434" s="438" t="n">
        <v>8</v>
      </c>
      <c r="B434" s="157" t="n">
        <v>428</v>
      </c>
      <c r="C434" s="157" t="s">
        <v>5050</v>
      </c>
      <c r="D434" s="157" t="s">
        <v>5051</v>
      </c>
      <c r="E434" s="157" t="n">
        <v>406</v>
      </c>
      <c r="G434" s="157" t="s">
        <v>2691</v>
      </c>
      <c r="H434" s="78" t="n">
        <f aca="false">Y434/J434</f>
        <v>136.666666666667</v>
      </c>
      <c r="I434" s="439" t="n">
        <v>43647</v>
      </c>
      <c r="J434" s="157" t="n">
        <v>7500</v>
      </c>
      <c r="L434" s="157" t="n">
        <v>7500</v>
      </c>
      <c r="M434" s="157" t="n">
        <v>1975</v>
      </c>
      <c r="P434" s="157" t="s">
        <v>2692</v>
      </c>
      <c r="R434" s="174" t="s">
        <v>279</v>
      </c>
      <c r="S434" s="157" t="n">
        <v>17032</v>
      </c>
      <c r="T434" s="440" t="n">
        <f aca="false">S434/J434</f>
        <v>2.27093333333333</v>
      </c>
      <c r="U434" s="157" t="s">
        <v>279</v>
      </c>
      <c r="Y434" s="157" t="n">
        <v>1025000</v>
      </c>
      <c r="AA434" s="157" t="n">
        <v>1025000</v>
      </c>
      <c r="AC434" s="157" t="s">
        <v>5052</v>
      </c>
      <c r="AD434" s="157" t="s">
        <v>5053</v>
      </c>
      <c r="AE434" s="281" t="s">
        <v>5054</v>
      </c>
      <c r="AF434" s="281" t="s">
        <v>5055</v>
      </c>
      <c r="AI434" s="157" t="e">
        <f aca="false">IF(AND($E434=Subj_OccCode,Subj_BldgSF&gt;0,ABS($L434-Subj_BldgSF)&lt;=Subj_BldgSF*Subj_SizeTol),ABS($L434-Subj_BldgSF),NA())</f>
        <v>#N/A</v>
      </c>
      <c r="AJ434" s="1" t="e">
        <f aca="false">IF(ISNA(AI434),NA(),AI434+ROW()/10000000)</f>
        <v>#N/A</v>
      </c>
      <c r="AK434" s="157" t="str">
        <f aca="false">IF(AND(ISNUMBER($N434),$N434&gt;0,ISNUMBER($Y434)),$Y434/$N434,"")</f>
        <v/>
      </c>
    </row>
    <row r="435" customFormat="false" ht="15" hidden="false" customHeight="true" outlineLevel="0" collapsed="false">
      <c r="A435" s="438" t="n">
        <v>8</v>
      </c>
      <c r="B435" s="157" t="n">
        <v>429</v>
      </c>
      <c r="C435" s="157" t="s">
        <v>5056</v>
      </c>
      <c r="D435" s="157" t="s">
        <v>5057</v>
      </c>
      <c r="E435" s="157" t="n">
        <v>407</v>
      </c>
      <c r="G435" s="157" t="s">
        <v>2691</v>
      </c>
      <c r="H435" s="78" t="n">
        <f aca="false">Y435/J435</f>
        <v>141.666666666667</v>
      </c>
      <c r="I435" s="439" t="n">
        <v>43725</v>
      </c>
      <c r="J435" s="157" t="n">
        <v>12000</v>
      </c>
      <c r="L435" s="157" t="n">
        <v>12000</v>
      </c>
      <c r="M435" s="157" t="n">
        <v>1979</v>
      </c>
      <c r="P435" s="157" t="s">
        <v>2692</v>
      </c>
      <c r="R435" s="174" t="s">
        <v>279</v>
      </c>
      <c r="S435" s="157" t="n">
        <v>35292</v>
      </c>
      <c r="T435" s="440" t="n">
        <f aca="false">S435/J435</f>
        <v>2.941</v>
      </c>
      <c r="U435" s="157" t="s">
        <v>279</v>
      </c>
      <c r="Y435" s="157" t="n">
        <v>1700000</v>
      </c>
      <c r="AA435" s="157" t="n">
        <v>1700000</v>
      </c>
      <c r="AC435" s="157" t="s">
        <v>5058</v>
      </c>
      <c r="AD435" s="157" t="s">
        <v>5059</v>
      </c>
      <c r="AE435" s="281" t="s">
        <v>5060</v>
      </c>
      <c r="AF435" s="281" t="s">
        <v>5061</v>
      </c>
      <c r="AI435" s="157" t="e">
        <f aca="false">IF(AND($E435=Subj_OccCode,Subj_BldgSF&gt;0,ABS($L435-Subj_BldgSF)&lt;=Subj_BldgSF*Subj_SizeTol),ABS($L435-Subj_BldgSF),NA())</f>
        <v>#N/A</v>
      </c>
      <c r="AJ435" s="1" t="e">
        <f aca="false">IF(ISNA(AI435),NA(),AI435+ROW()/10000000)</f>
        <v>#N/A</v>
      </c>
      <c r="AK435" s="157" t="str">
        <f aca="false">IF(AND(ISNUMBER($N435),$N435&gt;0,ISNUMBER($Y435)),$Y435/$N435,"")</f>
        <v/>
      </c>
    </row>
    <row r="436" customFormat="false" ht="15" hidden="false" customHeight="true" outlineLevel="0" collapsed="false">
      <c r="A436" s="438" t="n">
        <v>8</v>
      </c>
      <c r="B436" s="157" t="n">
        <v>430</v>
      </c>
      <c r="C436" s="157" t="s">
        <v>5062</v>
      </c>
      <c r="D436" s="157" t="s">
        <v>5063</v>
      </c>
      <c r="E436" s="157" t="n">
        <v>584</v>
      </c>
      <c r="F436" s="157" t="s">
        <v>260</v>
      </c>
      <c r="G436" s="157" t="s">
        <v>353</v>
      </c>
      <c r="H436" s="78" t="n">
        <f aca="false">Y436/J436</f>
        <v>31.2093130121774</v>
      </c>
      <c r="I436" s="439" t="n">
        <v>43367</v>
      </c>
      <c r="J436" s="157" t="n">
        <v>1305700</v>
      </c>
      <c r="L436" s="157" t="n">
        <v>1305700</v>
      </c>
      <c r="M436" s="157" t="n">
        <v>1994</v>
      </c>
      <c r="P436" s="157" t="s">
        <v>1929</v>
      </c>
      <c r="R436" s="174" t="s">
        <v>279</v>
      </c>
      <c r="S436" s="157" t="n">
        <v>4499970</v>
      </c>
      <c r="T436" s="440" t="n">
        <f aca="false">S436/J436</f>
        <v>3.44640422761737</v>
      </c>
      <c r="U436" s="157" t="s">
        <v>279</v>
      </c>
      <c r="Y436" s="157" t="n">
        <v>40750000</v>
      </c>
      <c r="AA436" s="157" t="n">
        <v>40750000</v>
      </c>
      <c r="AC436" s="157" t="s">
        <v>5064</v>
      </c>
      <c r="AD436" s="157" t="s">
        <v>5065</v>
      </c>
      <c r="AE436" s="281" t="s">
        <v>5066</v>
      </c>
      <c r="AF436" s="281" t="s">
        <v>5067</v>
      </c>
      <c r="AI436" s="157" t="e">
        <f aca="false">IF(AND($E436=Subj_OccCode,Subj_BldgSF&gt;0,ABS($L436-Subj_BldgSF)&lt;=Subj_BldgSF*Subj_SizeTol),ABS($L436-Subj_BldgSF),NA())</f>
        <v>#N/A</v>
      </c>
      <c r="AJ436" s="1" t="e">
        <f aca="false">IF(ISNA(AI436),NA(),AI436+ROW()/10000000)</f>
        <v>#N/A</v>
      </c>
      <c r="AK436" s="157" t="str">
        <f aca="false">IF(AND(ISNUMBER($N436),$N436&gt;0,ISNUMBER($Y436)),$Y436/$N436,"")</f>
        <v/>
      </c>
    </row>
    <row r="437" customFormat="false" ht="15" hidden="false" customHeight="true" outlineLevel="0" collapsed="false">
      <c r="A437" s="438" t="n">
        <v>8</v>
      </c>
      <c r="B437" s="157" t="n">
        <v>431</v>
      </c>
      <c r="C437" s="157" t="s">
        <v>5068</v>
      </c>
      <c r="D437" s="157" t="s">
        <v>5069</v>
      </c>
      <c r="E437" s="157" t="n">
        <v>407</v>
      </c>
      <c r="F437" s="157" t="s">
        <v>2595</v>
      </c>
      <c r="G437" s="157" t="s">
        <v>2596</v>
      </c>
      <c r="H437" s="78" t="n">
        <f aca="false">Y437/J437</f>
        <v>227.561388653683</v>
      </c>
      <c r="I437" s="439" t="n">
        <v>43208</v>
      </c>
      <c r="J437" s="157" t="n">
        <v>18896</v>
      </c>
      <c r="L437" s="157" t="n">
        <v>18896</v>
      </c>
      <c r="M437" s="157" t="n">
        <v>2001</v>
      </c>
      <c r="P437" s="157" t="s">
        <v>2807</v>
      </c>
      <c r="R437" s="174" t="s">
        <v>279</v>
      </c>
      <c r="S437" s="157" t="n">
        <v>342817</v>
      </c>
      <c r="T437" s="440" t="n">
        <f aca="false">S437/J437</f>
        <v>18.1423052497883</v>
      </c>
      <c r="U437" s="157" t="s">
        <v>483</v>
      </c>
      <c r="Y437" s="157" t="n">
        <v>4300000</v>
      </c>
      <c r="AA437" s="157" t="n">
        <v>4300000</v>
      </c>
      <c r="AC437" s="157" t="s">
        <v>5070</v>
      </c>
      <c r="AD437" s="157" t="s">
        <v>5071</v>
      </c>
      <c r="AE437" s="281" t="s">
        <v>5072</v>
      </c>
      <c r="AF437" s="281" t="s">
        <v>5073</v>
      </c>
      <c r="AI437" s="157" t="e">
        <f aca="false">IF(AND($E437=Subj_OccCode,Subj_BldgSF&gt;0,ABS($L437-Subj_BldgSF)&lt;=Subj_BldgSF*Subj_SizeTol),ABS($L437-Subj_BldgSF),NA())</f>
        <v>#N/A</v>
      </c>
      <c r="AJ437" s="1" t="e">
        <f aca="false">IF(ISNA(AI437),NA(),AI437+ROW()/10000000)</f>
        <v>#N/A</v>
      </c>
      <c r="AK437" s="157" t="str">
        <f aca="false">IF(AND(ISNUMBER($N437),$N437&gt;0,ISNUMBER($Y437)),$Y437/$N437,"")</f>
        <v/>
      </c>
    </row>
    <row r="438" customFormat="false" ht="15" hidden="false" customHeight="true" outlineLevel="0" collapsed="false">
      <c r="A438" s="438" t="n">
        <v>8</v>
      </c>
      <c r="B438" s="157" t="n">
        <v>432</v>
      </c>
      <c r="C438" s="157" t="s">
        <v>5074</v>
      </c>
      <c r="D438" s="157" t="s">
        <v>5075</v>
      </c>
      <c r="E438" s="157" t="n">
        <v>344</v>
      </c>
      <c r="F438" s="157" t="s">
        <v>2566</v>
      </c>
      <c r="G438" s="157" t="s">
        <v>2567</v>
      </c>
      <c r="H438" s="78" t="n">
        <f aca="false">Y438/J438</f>
        <v>169.769173492182</v>
      </c>
      <c r="I438" s="439" t="n">
        <v>44147</v>
      </c>
      <c r="J438" s="157" t="n">
        <v>1343</v>
      </c>
      <c r="L438" s="157" t="n">
        <v>1343</v>
      </c>
      <c r="M438" s="157" t="n">
        <v>2000</v>
      </c>
      <c r="P438" s="157" t="s">
        <v>2658</v>
      </c>
      <c r="R438" s="174" t="s">
        <v>483</v>
      </c>
      <c r="S438" s="157" t="n">
        <v>3100</v>
      </c>
      <c r="T438" s="440" t="n">
        <f aca="false">S438/J438</f>
        <v>2.30826507818317</v>
      </c>
      <c r="U438" s="157" t="s">
        <v>483</v>
      </c>
      <c r="Y438" s="157" t="n">
        <v>228000</v>
      </c>
      <c r="AA438" s="157" t="n">
        <v>228000</v>
      </c>
      <c r="AC438" s="157" t="s">
        <v>5076</v>
      </c>
      <c r="AD438" s="157" t="s">
        <v>5077</v>
      </c>
      <c r="AE438" s="281" t="s">
        <v>2786</v>
      </c>
      <c r="AF438" s="281" t="s">
        <v>5078</v>
      </c>
      <c r="AI438" s="157" t="e">
        <f aca="false">IF(AND($E438=Subj_OccCode,Subj_BldgSF&gt;0,ABS($L438-Subj_BldgSF)&lt;=Subj_BldgSF*Subj_SizeTol),ABS($L438-Subj_BldgSF),NA())</f>
        <v>#N/A</v>
      </c>
      <c r="AJ438" s="1" t="e">
        <f aca="false">IF(ISNA(AI438),NA(),AI438+ROW()/10000000)</f>
        <v>#N/A</v>
      </c>
      <c r="AK438" s="157" t="str">
        <f aca="false">IF(AND(ISNUMBER($N438),$N438&gt;0,ISNUMBER($Y438)),$Y438/$N438,"")</f>
        <v/>
      </c>
    </row>
    <row r="439" customFormat="false" ht="15" hidden="false" customHeight="true" outlineLevel="0" collapsed="false">
      <c r="A439" s="438" t="n">
        <v>8</v>
      </c>
      <c r="B439" s="157" t="n">
        <v>433</v>
      </c>
      <c r="C439" s="157" t="s">
        <v>5079</v>
      </c>
      <c r="D439" s="157" t="s">
        <v>5080</v>
      </c>
      <c r="E439" s="157" t="n">
        <v>344</v>
      </c>
      <c r="F439" s="157" t="s">
        <v>2581</v>
      </c>
      <c r="G439" s="157" t="s">
        <v>354</v>
      </c>
      <c r="H439" s="78" t="n">
        <f aca="false">Y439/J439</f>
        <v>147.785331250264</v>
      </c>
      <c r="I439" s="439" t="n">
        <v>44742</v>
      </c>
      <c r="J439" s="157" t="n">
        <v>23683</v>
      </c>
      <c r="L439" s="157" t="n">
        <v>23683</v>
      </c>
      <c r="M439" s="157" t="n">
        <v>1989</v>
      </c>
      <c r="P439" s="157" t="s">
        <v>2588</v>
      </c>
      <c r="R439" s="174" t="s">
        <v>279</v>
      </c>
      <c r="S439" s="157" t="n">
        <v>97650</v>
      </c>
      <c r="T439" s="440" t="n">
        <f aca="false">S439/J439</f>
        <v>4.12321074188236</v>
      </c>
      <c r="U439" s="157" t="s">
        <v>279</v>
      </c>
      <c r="Y439" s="157" t="n">
        <v>3500000</v>
      </c>
      <c r="AA439" s="157" t="n">
        <v>3500000</v>
      </c>
      <c r="AC439" s="157" t="s">
        <v>5081</v>
      </c>
      <c r="AD439" s="157" t="s">
        <v>5082</v>
      </c>
      <c r="AE439" s="281" t="s">
        <v>5083</v>
      </c>
      <c r="AF439" s="281" t="s">
        <v>5084</v>
      </c>
      <c r="AI439" s="157" t="e">
        <f aca="false">IF(AND($E439=Subj_OccCode,Subj_BldgSF&gt;0,ABS($L439-Subj_BldgSF)&lt;=Subj_BldgSF*Subj_SizeTol),ABS($L439-Subj_BldgSF),NA())</f>
        <v>#N/A</v>
      </c>
      <c r="AJ439" s="1" t="e">
        <f aca="false">IF(ISNA(AI439),NA(),AI439+ROW()/10000000)</f>
        <v>#N/A</v>
      </c>
      <c r="AK439" s="157" t="str">
        <f aca="false">IF(AND(ISNUMBER($N439),$N439&gt;0,ISNUMBER($Y439)),$Y439/$N439,"")</f>
        <v/>
      </c>
    </row>
    <row r="440" customFormat="false" ht="15" hidden="false" customHeight="true" outlineLevel="0" collapsed="false">
      <c r="A440" s="438" t="n">
        <v>8</v>
      </c>
      <c r="B440" s="157" t="n">
        <v>434</v>
      </c>
      <c r="C440" s="157" t="s">
        <v>5085</v>
      </c>
      <c r="D440" s="157" t="s">
        <v>5086</v>
      </c>
      <c r="E440" s="157" t="n">
        <v>325</v>
      </c>
      <c r="F440" s="157" t="s">
        <v>2581</v>
      </c>
      <c r="G440" s="157" t="s">
        <v>2567</v>
      </c>
      <c r="H440" s="78" t="n">
        <f aca="false">Y440/J440</f>
        <v>172.155688622755</v>
      </c>
      <c r="I440" s="439" t="n">
        <v>43230</v>
      </c>
      <c r="J440" s="157" t="n">
        <v>2672</v>
      </c>
      <c r="L440" s="157" t="n">
        <v>2672</v>
      </c>
      <c r="M440" s="157" t="n">
        <v>1927</v>
      </c>
      <c r="P440" s="157" t="s">
        <v>4586</v>
      </c>
      <c r="R440" s="174" t="s">
        <v>279</v>
      </c>
      <c r="S440" s="157" t="n">
        <v>15682</v>
      </c>
      <c r="T440" s="440" t="n">
        <f aca="false">S440/J440</f>
        <v>5.8690119760479</v>
      </c>
      <c r="U440" s="157" t="s">
        <v>279</v>
      </c>
      <c r="Y440" s="157" t="n">
        <v>460000</v>
      </c>
      <c r="AA440" s="157" t="n">
        <v>460000</v>
      </c>
      <c r="AC440" s="157" t="s">
        <v>5087</v>
      </c>
      <c r="AD440" s="157" t="s">
        <v>5088</v>
      </c>
      <c r="AE440" s="281" t="s">
        <v>5089</v>
      </c>
      <c r="AF440" s="281" t="s">
        <v>5090</v>
      </c>
      <c r="AI440" s="157" t="e">
        <f aca="false">IF(AND($E440=Subj_OccCode,Subj_BldgSF&gt;0,ABS($L440-Subj_BldgSF)&lt;=Subj_BldgSF*Subj_SizeTol),ABS($L440-Subj_BldgSF),NA())</f>
        <v>#N/A</v>
      </c>
      <c r="AJ440" s="1" t="e">
        <f aca="false">IF(ISNA(AI440),NA(),AI440+ROW()/10000000)</f>
        <v>#N/A</v>
      </c>
      <c r="AK440" s="157" t="str">
        <f aca="false">IF(AND(ISNUMBER($N440),$N440&gt;0,ISNUMBER($Y440)),$Y440/$N440,"")</f>
        <v/>
      </c>
    </row>
    <row r="441" customFormat="false" ht="15" hidden="false" customHeight="true" outlineLevel="0" collapsed="false">
      <c r="A441" s="438" t="n">
        <v>8</v>
      </c>
      <c r="B441" s="157" t="n">
        <v>435</v>
      </c>
      <c r="C441" s="157" t="s">
        <v>5091</v>
      </c>
      <c r="D441" s="157" t="s">
        <v>5092</v>
      </c>
      <c r="E441" s="157" t="n">
        <v>344</v>
      </c>
      <c r="F441" s="157" t="s">
        <v>2581</v>
      </c>
      <c r="G441" s="157" t="s">
        <v>354</v>
      </c>
      <c r="H441" s="78" t="n">
        <f aca="false">Y441/J441</f>
        <v>171.878997185981</v>
      </c>
      <c r="I441" s="439" t="n">
        <v>44039</v>
      </c>
      <c r="J441" s="157" t="n">
        <v>31272</v>
      </c>
      <c r="L441" s="157" t="n">
        <v>31272</v>
      </c>
      <c r="M441" s="157" t="n">
        <v>1985</v>
      </c>
      <c r="P441" s="157" t="s">
        <v>2588</v>
      </c>
      <c r="R441" s="174" t="s">
        <v>279</v>
      </c>
      <c r="S441" s="157" t="n">
        <v>80600</v>
      </c>
      <c r="T441" s="440" t="n">
        <f aca="false">S441/J441</f>
        <v>2.5773855205935</v>
      </c>
      <c r="U441" s="157" t="s">
        <v>279</v>
      </c>
      <c r="Y441" s="157" t="n">
        <v>5375000</v>
      </c>
      <c r="AA441" s="157" t="n">
        <v>5375000</v>
      </c>
      <c r="AC441" s="157" t="s">
        <v>5093</v>
      </c>
      <c r="AD441" s="157" t="s">
        <v>5094</v>
      </c>
      <c r="AE441" s="281" t="s">
        <v>5095</v>
      </c>
      <c r="AF441" s="281" t="s">
        <v>5096</v>
      </c>
      <c r="AI441" s="157" t="e">
        <f aca="false">IF(AND($E441=Subj_OccCode,Subj_BldgSF&gt;0,ABS($L441-Subj_BldgSF)&lt;=Subj_BldgSF*Subj_SizeTol),ABS($L441-Subj_BldgSF),NA())</f>
        <v>#N/A</v>
      </c>
      <c r="AJ441" s="1" t="e">
        <f aca="false">IF(ISNA(AI441),NA(),AI441+ROW()/10000000)</f>
        <v>#N/A</v>
      </c>
      <c r="AK441" s="157" t="str">
        <f aca="false">IF(AND(ISNUMBER($N441),$N441&gt;0,ISNUMBER($Y441)),$Y441/$N441,"")</f>
        <v/>
      </c>
    </row>
    <row r="442" customFormat="false" ht="15" hidden="false" customHeight="true" outlineLevel="0" collapsed="false">
      <c r="A442" s="438" t="n">
        <v>8</v>
      </c>
      <c r="B442" s="157" t="n">
        <v>436</v>
      </c>
      <c r="C442" s="157" t="s">
        <v>5097</v>
      </c>
      <c r="D442" s="157" t="s">
        <v>5098</v>
      </c>
      <c r="E442" s="157" t="n">
        <v>339</v>
      </c>
      <c r="F442" s="157" t="s">
        <v>2595</v>
      </c>
      <c r="G442" s="157" t="s">
        <v>2596</v>
      </c>
      <c r="H442" s="78" t="n">
        <f aca="false">Y442/J442</f>
        <v>186.980609418283</v>
      </c>
      <c r="I442" s="439" t="n">
        <v>44216</v>
      </c>
      <c r="J442" s="157" t="n">
        <v>14440</v>
      </c>
      <c r="L442" s="157" t="n">
        <v>14440</v>
      </c>
      <c r="M442" s="157" t="n">
        <v>1977</v>
      </c>
      <c r="P442" s="157" t="s">
        <v>2597</v>
      </c>
      <c r="R442" s="174" t="s">
        <v>279</v>
      </c>
      <c r="S442" s="157" t="n">
        <v>91040</v>
      </c>
      <c r="T442" s="440" t="n">
        <f aca="false">S442/J442</f>
        <v>6.30470914127424</v>
      </c>
      <c r="U442" s="157" t="s">
        <v>279</v>
      </c>
      <c r="Y442" s="157" t="n">
        <v>2700000</v>
      </c>
      <c r="AA442" s="157" t="n">
        <v>2700000</v>
      </c>
      <c r="AC442" s="157" t="s">
        <v>5099</v>
      </c>
      <c r="AD442" s="157" t="s">
        <v>5100</v>
      </c>
      <c r="AE442" s="281" t="s">
        <v>5101</v>
      </c>
      <c r="AF442" s="281" t="s">
        <v>5102</v>
      </c>
      <c r="AI442" s="157" t="e">
        <f aca="false">IF(AND($E442=Subj_OccCode,Subj_BldgSF&gt;0,ABS($L442-Subj_BldgSF)&lt;=Subj_BldgSF*Subj_SizeTol),ABS($L442-Subj_BldgSF),NA())</f>
        <v>#N/A</v>
      </c>
      <c r="AJ442" s="1" t="e">
        <f aca="false">IF(ISNA(AI442),NA(),AI442+ROW()/10000000)</f>
        <v>#N/A</v>
      </c>
      <c r="AK442" s="157" t="str">
        <f aca="false">IF(AND(ISNUMBER($N442),$N442&gt;0,ISNUMBER($Y442)),$Y442/$N442,"")</f>
        <v/>
      </c>
    </row>
    <row r="443" customFormat="false" ht="15" hidden="false" customHeight="true" outlineLevel="0" collapsed="false">
      <c r="A443" s="438" t="n">
        <v>8</v>
      </c>
      <c r="B443" s="157" t="n">
        <v>437</v>
      </c>
      <c r="C443" s="157" t="s">
        <v>5103</v>
      </c>
      <c r="D443" s="157" t="s">
        <v>5104</v>
      </c>
      <c r="E443" s="157" t="n">
        <v>353</v>
      </c>
      <c r="F443" s="157" t="s">
        <v>2705</v>
      </c>
      <c r="G443" s="157" t="s">
        <v>352</v>
      </c>
      <c r="H443" s="78" t="n">
        <f aca="false">Y443/J443</f>
        <v>186.813186813187</v>
      </c>
      <c r="I443" s="439" t="n">
        <v>43479</v>
      </c>
      <c r="J443" s="157" t="n">
        <v>9100</v>
      </c>
      <c r="L443" s="157" t="n">
        <v>9100</v>
      </c>
      <c r="M443" s="157" t="n">
        <v>2018</v>
      </c>
      <c r="P443" s="157" t="s">
        <v>4523</v>
      </c>
      <c r="R443" s="174" t="s">
        <v>279</v>
      </c>
      <c r="S443" s="157" t="n">
        <v>55921</v>
      </c>
      <c r="T443" s="440" t="n">
        <f aca="false">S443/J443</f>
        <v>6.14516483516484</v>
      </c>
      <c r="U443" s="157" t="s">
        <v>279</v>
      </c>
      <c r="Y443" s="157" t="n">
        <v>1700000</v>
      </c>
      <c r="AA443" s="157" t="n">
        <v>1700000</v>
      </c>
      <c r="AC443" s="157" t="s">
        <v>5105</v>
      </c>
      <c r="AD443" s="157" t="s">
        <v>5106</v>
      </c>
      <c r="AE443" s="281" t="s">
        <v>5107</v>
      </c>
      <c r="AF443" s="281" t="s">
        <v>5108</v>
      </c>
      <c r="AI443" s="157" t="e">
        <f aca="false">IF(AND($E443=Subj_OccCode,Subj_BldgSF&gt;0,ABS($L443-Subj_BldgSF)&lt;=Subj_BldgSF*Subj_SizeTol),ABS($L443-Subj_BldgSF),NA())</f>
        <v>#N/A</v>
      </c>
      <c r="AJ443" s="1" t="e">
        <f aca="false">IF(ISNA(AI443),NA(),AI443+ROW()/10000000)</f>
        <v>#N/A</v>
      </c>
      <c r="AK443" s="157" t="str">
        <f aca="false">IF(AND(ISNUMBER($N443),$N443&gt;0,ISNUMBER($Y443)),$Y443/$N443,"")</f>
        <v/>
      </c>
    </row>
    <row r="444" customFormat="false" ht="15" hidden="false" customHeight="true" outlineLevel="0" collapsed="false">
      <c r="A444" s="438" t="n">
        <v>8</v>
      </c>
      <c r="B444" s="157" t="n">
        <v>438</v>
      </c>
      <c r="C444" s="157" t="s">
        <v>5109</v>
      </c>
      <c r="D444" s="157" t="s">
        <v>5110</v>
      </c>
      <c r="E444" s="157" t="n">
        <v>319</v>
      </c>
      <c r="F444" s="157" t="s">
        <v>2677</v>
      </c>
      <c r="G444" s="157" t="s">
        <v>354</v>
      </c>
      <c r="H444" s="78" t="n">
        <f aca="false">Y444/J444</f>
        <v>72.1584822295861</v>
      </c>
      <c r="I444" s="439" t="n">
        <v>44589</v>
      </c>
      <c r="J444" s="157" t="n">
        <v>180159</v>
      </c>
      <c r="L444" s="157" t="n">
        <v>180159</v>
      </c>
      <c r="M444" s="157" t="n">
        <v>2005</v>
      </c>
      <c r="P444" s="157" t="s">
        <v>2678</v>
      </c>
      <c r="R444" s="174" t="s">
        <v>279</v>
      </c>
      <c r="S444" s="157" t="n">
        <v>718914</v>
      </c>
      <c r="T444" s="440" t="n">
        <f aca="false">S444/J444</f>
        <v>3.99044177643082</v>
      </c>
      <c r="U444" s="157" t="s">
        <v>279</v>
      </c>
      <c r="Y444" s="157" t="n">
        <v>13000000</v>
      </c>
      <c r="AA444" s="157" t="n">
        <v>13000000</v>
      </c>
      <c r="AC444" s="157" t="s">
        <v>5111</v>
      </c>
      <c r="AD444" s="157" t="s">
        <v>5112</v>
      </c>
      <c r="AE444" s="281" t="s">
        <v>5113</v>
      </c>
      <c r="AF444" s="281" t="s">
        <v>5114</v>
      </c>
      <c r="AI444" s="157" t="e">
        <f aca="false">IF(AND($E444=Subj_OccCode,Subj_BldgSF&gt;0,ABS($L444-Subj_BldgSF)&lt;=Subj_BldgSF*Subj_SizeTol),ABS($L444-Subj_BldgSF),NA())</f>
        <v>#N/A</v>
      </c>
      <c r="AJ444" s="1" t="e">
        <f aca="false">IF(ISNA(AI444),NA(),AI444+ROW()/10000000)</f>
        <v>#N/A</v>
      </c>
      <c r="AK444" s="157" t="str">
        <f aca="false">IF(AND(ISNUMBER($N444),$N444&gt;0,ISNUMBER($Y444)),$Y444/$N444,"")</f>
        <v/>
      </c>
    </row>
    <row r="445" customFormat="false" ht="15" hidden="false" customHeight="true" outlineLevel="0" collapsed="false">
      <c r="A445" s="438" t="n">
        <v>8</v>
      </c>
      <c r="B445" s="157" t="n">
        <v>439</v>
      </c>
      <c r="C445" s="157" t="s">
        <v>5115</v>
      </c>
      <c r="D445" s="157" t="s">
        <v>5116</v>
      </c>
      <c r="E445" s="157" t="n">
        <v>325</v>
      </c>
      <c r="F445" s="157" t="s">
        <v>3272</v>
      </c>
      <c r="G445" s="157" t="s">
        <v>2567</v>
      </c>
      <c r="H445" s="78" t="n">
        <f aca="false">Y445/J445</f>
        <v>144.444444444444</v>
      </c>
      <c r="I445" s="439" t="n">
        <v>43179</v>
      </c>
      <c r="J445" s="157" t="n">
        <v>5400</v>
      </c>
      <c r="L445" s="157" t="n">
        <v>5400</v>
      </c>
      <c r="M445" s="157" t="n">
        <v>1985</v>
      </c>
      <c r="P445" s="157" t="s">
        <v>4440</v>
      </c>
      <c r="R445" s="174" t="s">
        <v>279</v>
      </c>
      <c r="S445" s="157" t="n">
        <v>19293</v>
      </c>
      <c r="T445" s="440" t="n">
        <f aca="false">S445/J445</f>
        <v>3.57277777777778</v>
      </c>
      <c r="U445" s="157" t="s">
        <v>279</v>
      </c>
      <c r="Y445" s="157" t="n">
        <v>780000</v>
      </c>
      <c r="AA445" s="157" t="n">
        <v>780000</v>
      </c>
      <c r="AC445" s="157" t="s">
        <v>5117</v>
      </c>
      <c r="AD445" s="157" t="s">
        <v>5118</v>
      </c>
      <c r="AE445" s="281" t="s">
        <v>5119</v>
      </c>
      <c r="AF445" s="281" t="s">
        <v>5120</v>
      </c>
      <c r="AI445" s="157" t="e">
        <f aca="false">IF(AND($E445=Subj_OccCode,Subj_BldgSF&gt;0,ABS($L445-Subj_BldgSF)&lt;=Subj_BldgSF*Subj_SizeTol),ABS($L445-Subj_BldgSF),NA())</f>
        <v>#N/A</v>
      </c>
      <c r="AJ445" s="1" t="e">
        <f aca="false">IF(ISNA(AI445),NA(),AI445+ROW()/10000000)</f>
        <v>#N/A</v>
      </c>
      <c r="AK445" s="157" t="str">
        <f aca="false">IF(AND(ISNUMBER($N445),$N445&gt;0,ISNUMBER($Y445)),$Y445/$N445,"")</f>
        <v/>
      </c>
    </row>
    <row r="446" customFormat="false" ht="15" hidden="false" customHeight="true" outlineLevel="0" collapsed="false">
      <c r="A446" s="438" t="n">
        <v>8</v>
      </c>
      <c r="B446" s="157" t="n">
        <v>440</v>
      </c>
      <c r="C446" s="157" t="s">
        <v>5121</v>
      </c>
      <c r="D446" s="157" t="s">
        <v>5122</v>
      </c>
      <c r="E446" s="157" t="n">
        <v>344</v>
      </c>
      <c r="F446" s="157" t="s">
        <v>2581</v>
      </c>
      <c r="G446" s="157" t="s">
        <v>2567</v>
      </c>
      <c r="H446" s="78" t="n">
        <f aca="false">Y446/J446</f>
        <v>25.0603304250975</v>
      </c>
      <c r="I446" s="439" t="n">
        <v>44082</v>
      </c>
      <c r="J446" s="157" t="n">
        <v>10774</v>
      </c>
      <c r="L446" s="157" t="n">
        <v>10774</v>
      </c>
      <c r="M446" s="157" t="n">
        <v>1984</v>
      </c>
      <c r="P446" s="157" t="s">
        <v>2588</v>
      </c>
      <c r="R446" s="174" t="s">
        <v>279</v>
      </c>
      <c r="S446" s="157" t="n">
        <v>3842</v>
      </c>
      <c r="T446" s="440" t="n">
        <f aca="false">S446/J446</f>
        <v>0.356599220345276</v>
      </c>
      <c r="U446" s="157" t="s">
        <v>279</v>
      </c>
      <c r="Y446" s="157" t="n">
        <v>270000</v>
      </c>
      <c r="AA446" s="157" t="n">
        <v>270000</v>
      </c>
      <c r="AC446" s="157" t="s">
        <v>5123</v>
      </c>
      <c r="AD446" s="157" t="s">
        <v>5124</v>
      </c>
      <c r="AE446" s="281" t="s">
        <v>5125</v>
      </c>
      <c r="AF446" s="281" t="s">
        <v>5126</v>
      </c>
      <c r="AI446" s="157" t="e">
        <f aca="false">IF(AND($E446=Subj_OccCode,Subj_BldgSF&gt;0,ABS($L446-Subj_BldgSF)&lt;=Subj_BldgSF*Subj_SizeTol),ABS($L446-Subj_BldgSF),NA())</f>
        <v>#N/A</v>
      </c>
      <c r="AJ446" s="1" t="e">
        <f aca="false">IF(ISNA(AI446),NA(),AI446+ROW()/10000000)</f>
        <v>#N/A</v>
      </c>
      <c r="AK446" s="157" t="str">
        <f aca="false">IF(AND(ISNUMBER($N446),$N446&gt;0,ISNUMBER($Y446)),$Y446/$N446,"")</f>
        <v/>
      </c>
    </row>
    <row r="447" customFormat="false" ht="15" hidden="false" customHeight="true" outlineLevel="0" collapsed="false">
      <c r="A447" s="438" t="n">
        <v>8</v>
      </c>
      <c r="B447" s="157" t="n">
        <v>441</v>
      </c>
      <c r="C447" s="157" t="s">
        <v>5127</v>
      </c>
      <c r="D447" s="157" t="s">
        <v>5128</v>
      </c>
      <c r="E447" s="157" t="n">
        <v>584</v>
      </c>
      <c r="F447" s="157" t="s">
        <v>2595</v>
      </c>
      <c r="G447" s="157" t="s">
        <v>2596</v>
      </c>
      <c r="H447" s="78" t="n">
        <f aca="false">Y447/J447</f>
        <v>81.4865585256264</v>
      </c>
      <c r="I447" s="439" t="n">
        <v>43200</v>
      </c>
      <c r="J447" s="157" t="n">
        <v>262620</v>
      </c>
      <c r="L447" s="157" t="n">
        <v>262620</v>
      </c>
      <c r="M447" s="157" t="n">
        <v>2002</v>
      </c>
      <c r="R447" s="174" t="s">
        <v>279</v>
      </c>
      <c r="S447" s="157" t="n">
        <v>700880.4</v>
      </c>
      <c r="T447" s="440" t="n">
        <f aca="false">S447/J447</f>
        <v>2.66880054832077</v>
      </c>
      <c r="U447" s="157" t="s">
        <v>279</v>
      </c>
      <c r="Y447" s="157" t="n">
        <v>21400000</v>
      </c>
      <c r="AA447" s="157" t="n">
        <v>21400000</v>
      </c>
      <c r="AC447" s="157" t="s">
        <v>5129</v>
      </c>
      <c r="AD447" s="157" t="s">
        <v>5130</v>
      </c>
      <c r="AE447" s="281" t="s">
        <v>5131</v>
      </c>
      <c r="AF447" s="281" t="s">
        <v>5132</v>
      </c>
      <c r="AI447" s="157" t="e">
        <f aca="false">IF(AND($E447=Subj_OccCode,Subj_BldgSF&gt;0,ABS($L447-Subj_BldgSF)&lt;=Subj_BldgSF*Subj_SizeTol),ABS($L447-Subj_BldgSF),NA())</f>
        <v>#N/A</v>
      </c>
      <c r="AJ447" s="1" t="e">
        <f aca="false">IF(ISNA(AI447),NA(),AI447+ROW()/10000000)</f>
        <v>#N/A</v>
      </c>
      <c r="AK447" s="157" t="str">
        <f aca="false">IF(AND(ISNUMBER($N447),$N447&gt;0,ISNUMBER($Y447)),$Y447/$N447,"")</f>
        <v/>
      </c>
    </row>
    <row r="448" customFormat="false" ht="15" hidden="false" customHeight="true" outlineLevel="0" collapsed="false">
      <c r="A448" s="438" t="n">
        <v>8</v>
      </c>
      <c r="B448" s="157" t="n">
        <v>442</v>
      </c>
      <c r="C448" s="157" t="s">
        <v>5133</v>
      </c>
      <c r="D448" s="157" t="s">
        <v>5134</v>
      </c>
      <c r="E448" s="157" t="n">
        <v>426</v>
      </c>
      <c r="G448" s="157" t="s">
        <v>352</v>
      </c>
      <c r="H448" s="78" t="n">
        <f aca="false">Y448/J448</f>
        <v>118.563685636856</v>
      </c>
      <c r="I448" s="439" t="n">
        <v>43116</v>
      </c>
      <c r="J448" s="157" t="n">
        <v>2952</v>
      </c>
      <c r="L448" s="157" t="n">
        <v>2952</v>
      </c>
      <c r="M448" s="157" t="n">
        <v>1949</v>
      </c>
      <c r="P448" s="157" t="s">
        <v>4349</v>
      </c>
      <c r="R448" s="174" t="s">
        <v>279</v>
      </c>
      <c r="S448" s="157" t="n">
        <v>33660</v>
      </c>
      <c r="T448" s="440" t="n">
        <f aca="false">S448/J448</f>
        <v>11.4024390243902</v>
      </c>
      <c r="U448" s="157" t="s">
        <v>279</v>
      </c>
      <c r="Y448" s="157" t="n">
        <v>350000</v>
      </c>
      <c r="AA448" s="157" t="n">
        <v>350000</v>
      </c>
      <c r="AC448" s="157" t="s">
        <v>5135</v>
      </c>
      <c r="AD448" s="157" t="s">
        <v>5136</v>
      </c>
      <c r="AE448" s="281" t="s">
        <v>5137</v>
      </c>
      <c r="AF448" s="281" t="s">
        <v>5138</v>
      </c>
      <c r="AI448" s="157" t="e">
        <f aca="false">IF(AND($E448=Subj_OccCode,Subj_BldgSF&gt;0,ABS($L448-Subj_BldgSF)&lt;=Subj_BldgSF*Subj_SizeTol),ABS($L448-Subj_BldgSF),NA())</f>
        <v>#N/A</v>
      </c>
      <c r="AJ448" s="1" t="e">
        <f aca="false">IF(ISNA(AI448),NA(),AI448+ROW()/10000000)</f>
        <v>#N/A</v>
      </c>
      <c r="AK448" s="157" t="str">
        <f aca="false">IF(AND(ISNUMBER($N448),$N448&gt;0,ISNUMBER($Y448)),$Y448/$N448,"")</f>
        <v/>
      </c>
    </row>
    <row r="449" customFormat="false" ht="15" hidden="false" customHeight="true" outlineLevel="0" collapsed="false">
      <c r="A449" s="438" t="n">
        <v>8</v>
      </c>
      <c r="B449" s="157" t="n">
        <v>443</v>
      </c>
      <c r="C449" s="157" t="s">
        <v>5139</v>
      </c>
      <c r="D449" s="157" t="s">
        <v>5140</v>
      </c>
      <c r="E449" s="157" t="n">
        <v>353</v>
      </c>
      <c r="F449" s="157" t="s">
        <v>3272</v>
      </c>
      <c r="G449" s="157" t="s">
        <v>2567</v>
      </c>
      <c r="H449" s="78" t="n">
        <f aca="false">Y449/J449</f>
        <v>274.249422632794</v>
      </c>
      <c r="I449" s="439" t="n">
        <v>44519</v>
      </c>
      <c r="J449" s="157" t="n">
        <v>6928</v>
      </c>
      <c r="L449" s="157" t="n">
        <v>6928</v>
      </c>
      <c r="M449" s="157" t="n">
        <v>2003</v>
      </c>
      <c r="P449" s="157" t="s">
        <v>3273</v>
      </c>
      <c r="R449" s="174" t="s">
        <v>279</v>
      </c>
      <c r="S449" s="157" t="n">
        <v>60968</v>
      </c>
      <c r="T449" s="440" t="n">
        <f aca="false">S449/J449</f>
        <v>8.80023094688222</v>
      </c>
      <c r="U449" s="157" t="s">
        <v>483</v>
      </c>
      <c r="Y449" s="157" t="n">
        <v>1900000</v>
      </c>
      <c r="AA449" s="157" t="n">
        <v>1900000</v>
      </c>
      <c r="AC449" s="157" t="s">
        <v>5141</v>
      </c>
      <c r="AD449" s="157" t="s">
        <v>5142</v>
      </c>
      <c r="AE449" s="281" t="s">
        <v>5143</v>
      </c>
      <c r="AF449" s="281" t="s">
        <v>5144</v>
      </c>
      <c r="AI449" s="157" t="e">
        <f aca="false">IF(AND($E449=Subj_OccCode,Subj_BldgSF&gt;0,ABS($L449-Subj_BldgSF)&lt;=Subj_BldgSF*Subj_SizeTol),ABS($L449-Subj_BldgSF),NA())</f>
        <v>#N/A</v>
      </c>
      <c r="AJ449" s="1" t="e">
        <f aca="false">IF(ISNA(AI449),NA(),AI449+ROW()/10000000)</f>
        <v>#N/A</v>
      </c>
      <c r="AK449" s="157" t="str">
        <f aca="false">IF(AND(ISNUMBER($N449),$N449&gt;0,ISNUMBER($Y449)),$Y449/$N449,"")</f>
        <v/>
      </c>
    </row>
    <row r="450" customFormat="false" ht="15" hidden="false" customHeight="true" outlineLevel="0" collapsed="false">
      <c r="A450" s="438" t="n">
        <v>8</v>
      </c>
      <c r="B450" s="157" t="n">
        <v>444</v>
      </c>
      <c r="C450" s="157" t="s">
        <v>5145</v>
      </c>
      <c r="D450" s="157" t="s">
        <v>5146</v>
      </c>
      <c r="E450" s="157" t="n">
        <v>328</v>
      </c>
      <c r="G450" s="157" t="s">
        <v>352</v>
      </c>
      <c r="H450" s="78" t="n">
        <f aca="false">Y450/J450</f>
        <v>5.05952380952381</v>
      </c>
      <c r="I450" s="439" t="n">
        <v>43804</v>
      </c>
      <c r="J450" s="157" t="n">
        <v>13440</v>
      </c>
      <c r="L450" s="157" t="n">
        <v>13440</v>
      </c>
      <c r="M450" s="157" t="n">
        <v>2000</v>
      </c>
      <c r="R450" s="174" t="s">
        <v>279</v>
      </c>
      <c r="S450" s="157" t="n">
        <v>0</v>
      </c>
      <c r="T450" s="440" t="n">
        <f aca="false">S450/J450</f>
        <v>0</v>
      </c>
      <c r="U450" s="157" t="s">
        <v>279</v>
      </c>
      <c r="Y450" s="157" t="n">
        <v>68000</v>
      </c>
      <c r="AA450" s="157" t="n">
        <v>68000</v>
      </c>
      <c r="AC450" s="157" t="s">
        <v>5147</v>
      </c>
      <c r="AD450" s="157" t="s">
        <v>5148</v>
      </c>
      <c r="AE450" s="281" t="s">
        <v>5149</v>
      </c>
      <c r="AF450" s="281" t="s">
        <v>5150</v>
      </c>
      <c r="AI450" s="157" t="e">
        <f aca="false">IF(AND($E450=Subj_OccCode,Subj_BldgSF&gt;0,ABS($L450-Subj_BldgSF)&lt;=Subj_BldgSF*Subj_SizeTol),ABS($L450-Subj_BldgSF),NA())</f>
        <v>#N/A</v>
      </c>
      <c r="AJ450" s="1" t="e">
        <f aca="false">IF(ISNA(AI450),NA(),AI450+ROW()/10000000)</f>
        <v>#N/A</v>
      </c>
      <c r="AK450" s="157" t="str">
        <f aca="false">IF(AND(ISNUMBER($N450),$N450&gt;0,ISNUMBER($Y450)),$Y450/$N450,"")</f>
        <v/>
      </c>
    </row>
    <row r="451" customFormat="false" ht="15" hidden="false" customHeight="true" outlineLevel="0" collapsed="false">
      <c r="A451" s="438" t="n">
        <v>8</v>
      </c>
      <c r="B451" s="157" t="n">
        <v>445</v>
      </c>
      <c r="C451" s="157" t="s">
        <v>5151</v>
      </c>
      <c r="D451" s="157" t="s">
        <v>5152</v>
      </c>
      <c r="E451" s="157" t="n">
        <v>534</v>
      </c>
      <c r="G451" s="157" t="s">
        <v>2691</v>
      </c>
      <c r="H451" s="78" t="n">
        <f aca="false">Y451/J451</f>
        <v>150.406504065041</v>
      </c>
      <c r="I451" s="439" t="n">
        <v>43496</v>
      </c>
      <c r="J451" s="157" t="n">
        <v>12300</v>
      </c>
      <c r="L451" s="157" t="n">
        <v>12300</v>
      </c>
      <c r="M451" s="157" t="n">
        <v>2001</v>
      </c>
      <c r="R451" s="174" t="s">
        <v>279</v>
      </c>
      <c r="S451" s="157" t="n">
        <v>67605.12</v>
      </c>
      <c r="T451" s="440" t="n">
        <f aca="false">S451/J451</f>
        <v>5.4963512195122</v>
      </c>
      <c r="U451" s="157" t="s">
        <v>279</v>
      </c>
      <c r="Y451" s="157" t="n">
        <v>1850000</v>
      </c>
      <c r="AA451" s="157" t="n">
        <v>1850000</v>
      </c>
      <c r="AC451" s="157" t="s">
        <v>5153</v>
      </c>
      <c r="AD451" s="157" t="s">
        <v>5154</v>
      </c>
      <c r="AE451" s="281" t="s">
        <v>5155</v>
      </c>
      <c r="AF451" s="281" t="s">
        <v>5156</v>
      </c>
      <c r="AI451" s="157" t="e">
        <f aca="false">IF(AND($E451=Subj_OccCode,Subj_BldgSF&gt;0,ABS($L451-Subj_BldgSF)&lt;=Subj_BldgSF*Subj_SizeTol),ABS($L451-Subj_BldgSF),NA())</f>
        <v>#N/A</v>
      </c>
      <c r="AJ451" s="1" t="e">
        <f aca="false">IF(ISNA(AI451),NA(),AI451+ROW()/10000000)</f>
        <v>#N/A</v>
      </c>
      <c r="AK451" s="157" t="str">
        <f aca="false">IF(AND(ISNUMBER($N451),$N451&gt;0,ISNUMBER($Y451)),$Y451/$N451,"")</f>
        <v/>
      </c>
    </row>
    <row r="452" customFormat="false" ht="15" hidden="false" customHeight="true" outlineLevel="0" collapsed="false">
      <c r="A452" s="438" t="n">
        <v>8</v>
      </c>
      <c r="B452" s="157" t="n">
        <v>446</v>
      </c>
      <c r="C452" s="157" t="s">
        <v>3592</v>
      </c>
      <c r="D452" s="157" t="s">
        <v>3593</v>
      </c>
      <c r="E452" s="157" t="n">
        <v>353</v>
      </c>
      <c r="F452" s="157" t="s">
        <v>2677</v>
      </c>
      <c r="G452" s="157" t="s">
        <v>354</v>
      </c>
      <c r="H452" s="78" t="n">
        <f aca="false">Y452/J452</f>
        <v>141.975308641975</v>
      </c>
      <c r="I452" s="439" t="n">
        <v>43462</v>
      </c>
      <c r="J452" s="157" t="n">
        <v>4050</v>
      </c>
      <c r="L452" s="157" t="n">
        <v>4050</v>
      </c>
      <c r="M452" s="157" t="n">
        <v>2000</v>
      </c>
      <c r="R452" s="174" t="s">
        <v>279</v>
      </c>
      <c r="S452" s="157" t="n">
        <v>19306</v>
      </c>
      <c r="T452" s="440" t="n">
        <f aca="false">S452/J452</f>
        <v>4.76691358024691</v>
      </c>
      <c r="U452" s="157" t="s">
        <v>279</v>
      </c>
      <c r="Y452" s="157" t="n">
        <v>575000</v>
      </c>
      <c r="AA452" s="157" t="n">
        <v>575000</v>
      </c>
      <c r="AC452" s="157" t="s">
        <v>3594</v>
      </c>
      <c r="AD452" s="157" t="s">
        <v>5157</v>
      </c>
      <c r="AE452" s="281" t="s">
        <v>5158</v>
      </c>
      <c r="AF452" s="281" t="s">
        <v>5159</v>
      </c>
      <c r="AI452" s="157" t="e">
        <f aca="false">IF(AND($E452=Subj_OccCode,Subj_BldgSF&gt;0,ABS($L452-Subj_BldgSF)&lt;=Subj_BldgSF*Subj_SizeTol),ABS($L452-Subj_BldgSF),NA())</f>
        <v>#N/A</v>
      </c>
      <c r="AJ452" s="1" t="e">
        <f aca="false">IF(ISNA(AI452),NA(),AI452+ROW()/10000000)</f>
        <v>#N/A</v>
      </c>
      <c r="AK452" s="157" t="str">
        <f aca="false">IF(AND(ISNUMBER($N452),$N452&gt;0,ISNUMBER($Y452)),$Y452/$N452,"")</f>
        <v/>
      </c>
    </row>
    <row r="453" customFormat="false" ht="15" hidden="false" customHeight="true" outlineLevel="0" collapsed="false">
      <c r="A453" s="438" t="n">
        <v>8</v>
      </c>
      <c r="B453" s="157" t="n">
        <v>447</v>
      </c>
      <c r="C453" s="157" t="s">
        <v>5160</v>
      </c>
      <c r="D453" s="157" t="s">
        <v>5161</v>
      </c>
      <c r="E453" s="157" t="n">
        <v>353</v>
      </c>
      <c r="F453" s="157" t="s">
        <v>2921</v>
      </c>
      <c r="G453" s="157" t="s">
        <v>2691</v>
      </c>
      <c r="H453" s="78" t="n">
        <f aca="false">Y453/J453</f>
        <v>86.2470862470862</v>
      </c>
      <c r="I453" s="439" t="n">
        <v>43796</v>
      </c>
      <c r="J453" s="157" t="n">
        <v>6435</v>
      </c>
      <c r="L453" s="157" t="n">
        <v>6435</v>
      </c>
      <c r="M453" s="157" t="n">
        <v>1951</v>
      </c>
      <c r="P453" s="157" t="s">
        <v>4047</v>
      </c>
      <c r="R453" s="174" t="s">
        <v>279</v>
      </c>
      <c r="S453" s="157" t="n">
        <v>7480</v>
      </c>
      <c r="T453" s="440" t="n">
        <f aca="false">S453/J453</f>
        <v>1.16239316239316</v>
      </c>
      <c r="U453" s="157" t="s">
        <v>279</v>
      </c>
      <c r="Y453" s="157" t="n">
        <v>555000</v>
      </c>
      <c r="AA453" s="157" t="n">
        <v>555000</v>
      </c>
      <c r="AC453" s="157" t="s">
        <v>5162</v>
      </c>
      <c r="AD453" s="157" t="s">
        <v>5163</v>
      </c>
      <c r="AE453" s="281" t="s">
        <v>5164</v>
      </c>
      <c r="AF453" s="281" t="s">
        <v>5165</v>
      </c>
      <c r="AI453" s="157" t="e">
        <f aca="false">IF(AND($E453=Subj_OccCode,Subj_BldgSF&gt;0,ABS($L453-Subj_BldgSF)&lt;=Subj_BldgSF*Subj_SizeTol),ABS($L453-Subj_BldgSF),NA())</f>
        <v>#N/A</v>
      </c>
      <c r="AJ453" s="1" t="e">
        <f aca="false">IF(ISNA(AI453),NA(),AI453+ROW()/10000000)</f>
        <v>#N/A</v>
      </c>
      <c r="AK453" s="157" t="str">
        <f aca="false">IF(AND(ISNUMBER($N453),$N453&gt;0,ISNUMBER($Y453)),$Y453/$N453,"")</f>
        <v/>
      </c>
    </row>
    <row r="454" customFormat="false" ht="15" hidden="false" customHeight="true" outlineLevel="0" collapsed="false">
      <c r="A454" s="438" t="n">
        <v>8</v>
      </c>
      <c r="B454" s="157" t="n">
        <v>448</v>
      </c>
      <c r="C454" s="157" t="s">
        <v>5166</v>
      </c>
      <c r="D454" s="157" t="s">
        <v>5167</v>
      </c>
      <c r="E454" s="157" t="n">
        <v>406</v>
      </c>
      <c r="F454" s="157" t="s">
        <v>2921</v>
      </c>
      <c r="G454" s="157" t="s">
        <v>2691</v>
      </c>
      <c r="H454" s="78" t="n">
        <f aca="false">Y454/J454</f>
        <v>138.004246284501</v>
      </c>
      <c r="I454" s="439" t="n">
        <v>44439</v>
      </c>
      <c r="J454" s="157" t="n">
        <v>18840</v>
      </c>
      <c r="L454" s="157" t="n">
        <v>18840</v>
      </c>
      <c r="M454" s="157" t="n">
        <v>1972</v>
      </c>
      <c r="P454" s="157" t="s">
        <v>3009</v>
      </c>
      <c r="R454" s="174" t="s">
        <v>1511</v>
      </c>
      <c r="S454" s="157" t="n">
        <v>147276.4</v>
      </c>
      <c r="T454" s="440" t="n">
        <f aca="false">S454/J454</f>
        <v>7.8172186836518</v>
      </c>
      <c r="U454" s="157" t="s">
        <v>279</v>
      </c>
      <c r="Y454" s="157" t="n">
        <v>2600000</v>
      </c>
      <c r="AA454" s="157" t="n">
        <v>2600000</v>
      </c>
      <c r="AC454" s="157" t="s">
        <v>5168</v>
      </c>
      <c r="AD454" s="157" t="s">
        <v>5169</v>
      </c>
      <c r="AE454" s="281" t="s">
        <v>5170</v>
      </c>
      <c r="AF454" s="281" t="s">
        <v>5171</v>
      </c>
      <c r="AI454" s="157" t="e">
        <f aca="false">IF(AND($E454=Subj_OccCode,Subj_BldgSF&gt;0,ABS($L454-Subj_BldgSF)&lt;=Subj_BldgSF*Subj_SizeTol),ABS($L454-Subj_BldgSF),NA())</f>
        <v>#N/A</v>
      </c>
      <c r="AJ454" s="1" t="e">
        <f aca="false">IF(ISNA(AI454),NA(),AI454+ROW()/10000000)</f>
        <v>#N/A</v>
      </c>
      <c r="AK454" s="157" t="str">
        <f aca="false">IF(AND(ISNUMBER($N454),$N454&gt;0,ISNUMBER($Y454)),$Y454/$N454,"")</f>
        <v/>
      </c>
    </row>
    <row r="455" customFormat="false" ht="15" hidden="false" customHeight="true" outlineLevel="0" collapsed="false">
      <c r="A455" s="438" t="n">
        <v>8</v>
      </c>
      <c r="B455" s="157" t="n">
        <v>449</v>
      </c>
      <c r="C455" s="157" t="s">
        <v>3052</v>
      </c>
      <c r="D455" s="157" t="s">
        <v>5172</v>
      </c>
      <c r="E455" s="157" t="n">
        <v>334</v>
      </c>
      <c r="G455" s="157" t="s">
        <v>2691</v>
      </c>
      <c r="H455" s="78" t="n">
        <f aca="false">Y455/J455</f>
        <v>214.285714285714</v>
      </c>
      <c r="I455" s="439" t="n">
        <v>44559</v>
      </c>
      <c r="J455" s="157" t="n">
        <v>11200</v>
      </c>
      <c r="L455" s="157" t="n">
        <v>11200</v>
      </c>
      <c r="M455" s="157" t="n">
        <v>1982</v>
      </c>
      <c r="P455" s="157" t="s">
        <v>2692</v>
      </c>
      <c r="R455" s="174" t="s">
        <v>279</v>
      </c>
      <c r="S455" s="157" t="n">
        <v>26839</v>
      </c>
      <c r="T455" s="440" t="n">
        <f aca="false">S455/J455</f>
        <v>2.39633928571429</v>
      </c>
      <c r="U455" s="157" t="s">
        <v>279</v>
      </c>
      <c r="Y455" s="157" t="n">
        <v>2400000</v>
      </c>
      <c r="AA455" s="157" t="n">
        <v>2400000</v>
      </c>
      <c r="AC455" s="157" t="s">
        <v>3054</v>
      </c>
      <c r="AD455" s="157" t="s">
        <v>5173</v>
      </c>
      <c r="AE455" s="281" t="s">
        <v>5174</v>
      </c>
      <c r="AF455" s="281" t="s">
        <v>3056</v>
      </c>
      <c r="AI455" s="157" t="e">
        <f aca="false">IF(AND($E455=Subj_OccCode,Subj_BldgSF&gt;0,ABS($L455-Subj_BldgSF)&lt;=Subj_BldgSF*Subj_SizeTol),ABS($L455-Subj_BldgSF),NA())</f>
        <v>#N/A</v>
      </c>
      <c r="AJ455" s="1" t="e">
        <f aca="false">IF(ISNA(AI455),NA(),AI455+ROW()/10000000)</f>
        <v>#N/A</v>
      </c>
      <c r="AK455" s="157" t="str">
        <f aca="false">IF(AND(ISNUMBER($N455),$N455&gt;0,ISNUMBER($Y455)),$Y455/$N455,"")</f>
        <v/>
      </c>
    </row>
    <row r="456" customFormat="false" ht="15" hidden="false" customHeight="true" outlineLevel="0" collapsed="false">
      <c r="A456" s="438" t="n">
        <v>8</v>
      </c>
      <c r="B456" s="157" t="n">
        <v>450</v>
      </c>
      <c r="C456" s="157" t="s">
        <v>5175</v>
      </c>
      <c r="D456" s="157" t="s">
        <v>5176</v>
      </c>
      <c r="E456" s="157" t="n">
        <v>353</v>
      </c>
      <c r="G456" s="157" t="s">
        <v>2691</v>
      </c>
      <c r="H456" s="78" t="n">
        <f aca="false">Y456/J456</f>
        <v>242.105263157895</v>
      </c>
      <c r="I456" s="439" t="n">
        <v>44478</v>
      </c>
      <c r="J456" s="157" t="n">
        <v>14250</v>
      </c>
      <c r="L456" s="157" t="n">
        <v>14250</v>
      </c>
      <c r="M456" s="157" t="n">
        <v>1980</v>
      </c>
      <c r="P456" s="157" t="s">
        <v>2692</v>
      </c>
      <c r="R456" s="174" t="s">
        <v>279</v>
      </c>
      <c r="S456" s="157" t="n">
        <v>49979</v>
      </c>
      <c r="T456" s="440" t="n">
        <f aca="false">S456/J456</f>
        <v>3.50729824561404</v>
      </c>
      <c r="U456" s="157" t="s">
        <v>279</v>
      </c>
      <c r="Y456" s="157" t="n">
        <v>3450000</v>
      </c>
      <c r="AA456" s="157" t="n">
        <v>3450000</v>
      </c>
      <c r="AC456" s="157" t="s">
        <v>5177</v>
      </c>
      <c r="AD456" s="157" t="s">
        <v>5178</v>
      </c>
      <c r="AE456" s="281" t="s">
        <v>5179</v>
      </c>
      <c r="AF456" s="281" t="s">
        <v>5180</v>
      </c>
      <c r="AI456" s="157" t="e">
        <f aca="false">IF(AND($E456=Subj_OccCode,Subj_BldgSF&gt;0,ABS($L456-Subj_BldgSF)&lt;=Subj_BldgSF*Subj_SizeTol),ABS($L456-Subj_BldgSF),NA())</f>
        <v>#N/A</v>
      </c>
      <c r="AJ456" s="1" t="e">
        <f aca="false">IF(ISNA(AI456),NA(),AI456+ROW()/10000000)</f>
        <v>#N/A</v>
      </c>
      <c r="AK456" s="157" t="str">
        <f aca="false">IF(AND(ISNUMBER($N456),$N456&gt;0,ISNUMBER($Y456)),$Y456/$N456,"")</f>
        <v/>
      </c>
    </row>
    <row r="457" customFormat="false" ht="15" hidden="false" customHeight="true" outlineLevel="0" collapsed="false">
      <c r="A457" s="438" t="n">
        <v>8</v>
      </c>
      <c r="B457" s="157" t="n">
        <v>451</v>
      </c>
      <c r="C457" s="157" t="s">
        <v>5181</v>
      </c>
      <c r="D457" s="157" t="s">
        <v>5182</v>
      </c>
      <c r="E457" s="157" t="n">
        <v>344</v>
      </c>
      <c r="F457" s="157" t="s">
        <v>2921</v>
      </c>
      <c r="G457" s="157" t="s">
        <v>2691</v>
      </c>
      <c r="H457" s="78" t="n">
        <f aca="false">Y457/J457</f>
        <v>117.866004962779</v>
      </c>
      <c r="I457" s="439" t="n">
        <v>43705</v>
      </c>
      <c r="J457" s="157" t="n">
        <v>3224</v>
      </c>
      <c r="L457" s="157" t="n">
        <v>3224</v>
      </c>
      <c r="M457" s="157" t="n">
        <v>1964</v>
      </c>
      <c r="P457" s="157" t="s">
        <v>3022</v>
      </c>
      <c r="R457" s="174" t="s">
        <v>1511</v>
      </c>
      <c r="S457" s="157" t="n">
        <v>14950</v>
      </c>
      <c r="T457" s="440" t="n">
        <f aca="false">S457/J457</f>
        <v>4.63709677419355</v>
      </c>
      <c r="U457" s="157" t="s">
        <v>279</v>
      </c>
      <c r="Y457" s="157" t="n">
        <v>380000</v>
      </c>
      <c r="AA457" s="157" t="n">
        <v>380000</v>
      </c>
      <c r="AC457" s="157" t="s">
        <v>5183</v>
      </c>
      <c r="AD457" s="157" t="s">
        <v>5184</v>
      </c>
      <c r="AE457" s="281" t="s">
        <v>5185</v>
      </c>
      <c r="AF457" s="281" t="s">
        <v>5186</v>
      </c>
      <c r="AI457" s="157" t="e">
        <f aca="false">IF(AND($E457=Subj_OccCode,Subj_BldgSF&gt;0,ABS($L457-Subj_BldgSF)&lt;=Subj_BldgSF*Subj_SizeTol),ABS($L457-Subj_BldgSF),NA())</f>
        <v>#N/A</v>
      </c>
      <c r="AJ457" s="1" t="e">
        <f aca="false">IF(ISNA(AI457),NA(),AI457+ROW()/10000000)</f>
        <v>#N/A</v>
      </c>
      <c r="AK457" s="157" t="str">
        <f aca="false">IF(AND(ISNUMBER($N457),$N457&gt;0,ISNUMBER($Y457)),$Y457/$N457,"")</f>
        <v/>
      </c>
    </row>
    <row r="458" customFormat="false" ht="15" hidden="false" customHeight="true" outlineLevel="0" collapsed="false">
      <c r="A458" s="438" t="n">
        <v>8</v>
      </c>
      <c r="B458" s="157" t="n">
        <v>452</v>
      </c>
      <c r="C458" s="157" t="s">
        <v>5187</v>
      </c>
      <c r="D458" s="157" t="s">
        <v>5188</v>
      </c>
      <c r="E458" s="157" t="n">
        <v>406</v>
      </c>
      <c r="F458" s="157" t="s">
        <v>2921</v>
      </c>
      <c r="G458" s="157" t="s">
        <v>2691</v>
      </c>
      <c r="H458" s="78" t="n">
        <f aca="false">Y458/J458</f>
        <v>350</v>
      </c>
      <c r="I458" s="439" t="n">
        <v>44410</v>
      </c>
      <c r="J458" s="157" t="n">
        <v>7000</v>
      </c>
      <c r="L458" s="157" t="n">
        <v>7000</v>
      </c>
      <c r="M458" s="157" t="n">
        <v>1978</v>
      </c>
      <c r="P458" s="157" t="s">
        <v>3009</v>
      </c>
      <c r="R458" s="174" t="s">
        <v>279</v>
      </c>
      <c r="S458" s="157" t="n">
        <v>153331.2</v>
      </c>
      <c r="T458" s="440" t="n">
        <f aca="false">S458/J458</f>
        <v>21.9044571428571</v>
      </c>
      <c r="U458" s="157" t="s">
        <v>279</v>
      </c>
      <c r="Y458" s="157" t="n">
        <v>2450000</v>
      </c>
      <c r="AA458" s="157" t="n">
        <v>2450000</v>
      </c>
      <c r="AC458" s="157" t="s">
        <v>5189</v>
      </c>
      <c r="AD458" s="157" t="s">
        <v>5190</v>
      </c>
      <c r="AE458" s="281" t="s">
        <v>5191</v>
      </c>
      <c r="AF458" s="281" t="s">
        <v>5192</v>
      </c>
      <c r="AI458" s="157" t="e">
        <f aca="false">IF(AND($E458=Subj_OccCode,Subj_BldgSF&gt;0,ABS($L458-Subj_BldgSF)&lt;=Subj_BldgSF*Subj_SizeTol),ABS($L458-Subj_BldgSF),NA())</f>
        <v>#N/A</v>
      </c>
      <c r="AJ458" s="1" t="e">
        <f aca="false">IF(ISNA(AI458),NA(),AI458+ROW()/10000000)</f>
        <v>#N/A</v>
      </c>
      <c r="AK458" s="157" t="str">
        <f aca="false">IF(AND(ISNUMBER($N458),$N458&gt;0,ISNUMBER($Y458)),$Y458/$N458,"")</f>
        <v/>
      </c>
    </row>
    <row r="459" customFormat="false" ht="15" hidden="false" customHeight="true" outlineLevel="0" collapsed="false">
      <c r="A459" s="438" t="n">
        <v>8</v>
      </c>
      <c r="B459" s="157" t="n">
        <v>453</v>
      </c>
      <c r="C459" s="157" t="s">
        <v>5193</v>
      </c>
      <c r="D459" s="157" t="s">
        <v>5194</v>
      </c>
      <c r="E459" s="157" t="n">
        <v>406</v>
      </c>
      <c r="G459" s="157" t="s">
        <v>353</v>
      </c>
      <c r="H459" s="78" t="n">
        <f aca="false">Y459/J459</f>
        <v>157.142857142857</v>
      </c>
      <c r="I459" s="439" t="n">
        <v>43894</v>
      </c>
      <c r="J459" s="157" t="n">
        <v>14000</v>
      </c>
      <c r="L459" s="157" t="n">
        <v>14000</v>
      </c>
      <c r="M459" s="157" t="n">
        <v>1995</v>
      </c>
      <c r="P459" s="157" t="s">
        <v>3181</v>
      </c>
      <c r="R459" s="174" t="s">
        <v>279</v>
      </c>
      <c r="S459" s="157" t="n">
        <v>93218</v>
      </c>
      <c r="T459" s="440" t="n">
        <f aca="false">S459/J459</f>
        <v>6.65842857142857</v>
      </c>
      <c r="U459" s="157" t="s">
        <v>279</v>
      </c>
      <c r="Y459" s="157" t="n">
        <v>2200000</v>
      </c>
      <c r="AA459" s="157" t="n">
        <v>2200000</v>
      </c>
      <c r="AC459" s="157" t="s">
        <v>5195</v>
      </c>
      <c r="AD459" s="157" t="s">
        <v>5196</v>
      </c>
      <c r="AE459" s="281" t="s">
        <v>5197</v>
      </c>
      <c r="AF459" s="281" t="s">
        <v>5198</v>
      </c>
      <c r="AI459" s="157" t="e">
        <f aca="false">IF(AND($E459=Subj_OccCode,Subj_BldgSF&gt;0,ABS($L459-Subj_BldgSF)&lt;=Subj_BldgSF*Subj_SizeTol),ABS($L459-Subj_BldgSF),NA())</f>
        <v>#N/A</v>
      </c>
      <c r="AJ459" s="1" t="e">
        <f aca="false">IF(ISNA(AI459),NA(),AI459+ROW()/10000000)</f>
        <v>#N/A</v>
      </c>
      <c r="AK459" s="157" t="str">
        <f aca="false">IF(AND(ISNUMBER($N459),$N459&gt;0,ISNUMBER($Y459)),$Y459/$N459,"")</f>
        <v/>
      </c>
    </row>
    <row r="460" customFormat="false" ht="15" hidden="false" customHeight="true" outlineLevel="0" collapsed="false">
      <c r="A460" s="438" t="n">
        <v>8</v>
      </c>
      <c r="B460" s="157" t="n">
        <v>454</v>
      </c>
      <c r="C460" s="157" t="s">
        <v>2981</v>
      </c>
      <c r="D460" s="157" t="s">
        <v>5199</v>
      </c>
      <c r="E460" s="157" t="n">
        <v>425</v>
      </c>
      <c r="F460" s="157" t="s">
        <v>2566</v>
      </c>
      <c r="G460" s="157" t="s">
        <v>2567</v>
      </c>
      <c r="H460" s="78" t="n">
        <f aca="false">Y460/J460</f>
        <v>155.333333333333</v>
      </c>
      <c r="I460" s="439" t="n">
        <v>44175</v>
      </c>
      <c r="J460" s="157" t="n">
        <v>1500</v>
      </c>
      <c r="L460" s="157" t="n">
        <v>1500</v>
      </c>
      <c r="M460" s="157" t="n">
        <v>1984</v>
      </c>
      <c r="P460" s="157" t="s">
        <v>2983</v>
      </c>
      <c r="R460" s="174" t="s">
        <v>279</v>
      </c>
      <c r="S460" s="157" t="n">
        <v>4655</v>
      </c>
      <c r="T460" s="440" t="n">
        <f aca="false">S460/J460</f>
        <v>3.10333333333333</v>
      </c>
      <c r="U460" s="157" t="s">
        <v>279</v>
      </c>
      <c r="Y460" s="157" t="n">
        <v>233000</v>
      </c>
      <c r="AA460" s="157" t="n">
        <v>233000</v>
      </c>
      <c r="AC460" s="157" t="s">
        <v>2984</v>
      </c>
      <c r="AD460" s="157" t="s">
        <v>5200</v>
      </c>
      <c r="AE460" s="281" t="s">
        <v>5201</v>
      </c>
      <c r="AF460" s="281" t="s">
        <v>2986</v>
      </c>
      <c r="AI460" s="157" t="e">
        <f aca="false">IF(AND($E460=Subj_OccCode,Subj_BldgSF&gt;0,ABS($L460-Subj_BldgSF)&lt;=Subj_BldgSF*Subj_SizeTol),ABS($L460-Subj_BldgSF),NA())</f>
        <v>#N/A</v>
      </c>
      <c r="AJ460" s="1" t="e">
        <f aca="false">IF(ISNA(AI460),NA(),AI460+ROW()/10000000)</f>
        <v>#N/A</v>
      </c>
      <c r="AK460" s="157" t="str">
        <f aca="false">IF(AND(ISNUMBER($N460),$N460&gt;0,ISNUMBER($Y460)),$Y460/$N460,"")</f>
        <v/>
      </c>
    </row>
    <row r="461" customFormat="false" ht="15" hidden="false" customHeight="true" outlineLevel="0" collapsed="false">
      <c r="A461" s="438" t="n">
        <v>8</v>
      </c>
      <c r="B461" s="157" t="n">
        <v>455</v>
      </c>
      <c r="C461" s="157" t="s">
        <v>5202</v>
      </c>
      <c r="D461" s="157" t="s">
        <v>5203</v>
      </c>
      <c r="E461" s="157" t="n">
        <v>344</v>
      </c>
      <c r="F461" s="157" t="s">
        <v>2581</v>
      </c>
      <c r="G461" s="157" t="s">
        <v>2567</v>
      </c>
      <c r="H461" s="78" t="n">
        <f aca="false">Y461/J461</f>
        <v>162.830273175101</v>
      </c>
      <c r="I461" s="439" t="n">
        <v>43942</v>
      </c>
      <c r="J461" s="157" t="n">
        <v>4466</v>
      </c>
      <c r="L461" s="157" t="n">
        <v>4466</v>
      </c>
      <c r="M461" s="157" t="n">
        <v>1973</v>
      </c>
      <c r="P461" s="157" t="s">
        <v>2990</v>
      </c>
      <c r="R461" s="174" t="s">
        <v>279</v>
      </c>
      <c r="S461" s="157" t="n">
        <v>12330</v>
      </c>
      <c r="T461" s="440" t="n">
        <f aca="false">S461/J461</f>
        <v>2.76085982982535</v>
      </c>
      <c r="U461" s="157" t="s">
        <v>279</v>
      </c>
      <c r="Y461" s="157" t="n">
        <v>727200</v>
      </c>
      <c r="AA461" s="157" t="n">
        <v>727200</v>
      </c>
      <c r="AC461" s="157" t="s">
        <v>5204</v>
      </c>
      <c r="AD461" s="157" t="s">
        <v>5205</v>
      </c>
      <c r="AE461" s="281" t="s">
        <v>5206</v>
      </c>
      <c r="AF461" s="281" t="s">
        <v>5207</v>
      </c>
      <c r="AI461" s="157" t="e">
        <f aca="false">IF(AND($E461=Subj_OccCode,Subj_BldgSF&gt;0,ABS($L461-Subj_BldgSF)&lt;=Subj_BldgSF*Subj_SizeTol),ABS($L461-Subj_BldgSF),NA())</f>
        <v>#N/A</v>
      </c>
      <c r="AJ461" s="1" t="e">
        <f aca="false">IF(ISNA(AI461),NA(),AI461+ROW()/10000000)</f>
        <v>#N/A</v>
      </c>
      <c r="AK461" s="157" t="str">
        <f aca="false">IF(AND(ISNUMBER($N461),$N461&gt;0,ISNUMBER($Y461)),$Y461/$N461,"")</f>
        <v/>
      </c>
    </row>
    <row r="462" customFormat="false" ht="15" hidden="false" customHeight="true" outlineLevel="0" collapsed="false">
      <c r="A462" s="438" t="n">
        <v>8</v>
      </c>
      <c r="B462" s="157" t="n">
        <v>456</v>
      </c>
      <c r="C462" s="157" t="s">
        <v>5208</v>
      </c>
      <c r="D462" s="157" t="s">
        <v>5209</v>
      </c>
      <c r="E462" s="157" t="n">
        <v>344</v>
      </c>
      <c r="F462" s="157" t="s">
        <v>2921</v>
      </c>
      <c r="G462" s="157" t="s">
        <v>2691</v>
      </c>
      <c r="H462" s="78" t="n">
        <f aca="false">Y462/J462</f>
        <v>130.643054144288</v>
      </c>
      <c r="I462" s="439" t="n">
        <v>43917</v>
      </c>
      <c r="J462" s="157" t="n">
        <v>6889</v>
      </c>
      <c r="L462" s="157" t="n">
        <v>6889</v>
      </c>
      <c r="M462" s="157" t="n">
        <v>2006</v>
      </c>
      <c r="P462" s="157" t="s">
        <v>3022</v>
      </c>
      <c r="R462" s="174" t="s">
        <v>279</v>
      </c>
      <c r="S462" s="157" t="n">
        <v>19140</v>
      </c>
      <c r="T462" s="440" t="n">
        <f aca="false">S462/J462</f>
        <v>2.77834228480186</v>
      </c>
      <c r="U462" s="157" t="s">
        <v>279</v>
      </c>
      <c r="Y462" s="157" t="n">
        <v>900000</v>
      </c>
      <c r="AA462" s="157" t="n">
        <v>900000</v>
      </c>
      <c r="AC462" s="157" t="s">
        <v>5210</v>
      </c>
      <c r="AD462" s="157" t="s">
        <v>5211</v>
      </c>
      <c r="AE462" s="281" t="s">
        <v>5212</v>
      </c>
      <c r="AF462" s="281" t="s">
        <v>5213</v>
      </c>
      <c r="AI462" s="157" t="e">
        <f aca="false">IF(AND($E462=Subj_OccCode,Subj_BldgSF&gt;0,ABS($L462-Subj_BldgSF)&lt;=Subj_BldgSF*Subj_SizeTol),ABS($L462-Subj_BldgSF),NA())</f>
        <v>#N/A</v>
      </c>
      <c r="AJ462" s="1" t="e">
        <f aca="false">IF(ISNA(AI462),NA(),AI462+ROW()/10000000)</f>
        <v>#N/A</v>
      </c>
      <c r="AK462" s="157" t="str">
        <f aca="false">IF(AND(ISNUMBER($N462),$N462&gt;0,ISNUMBER($Y462)),$Y462/$N462,"")</f>
        <v/>
      </c>
    </row>
    <row r="463" customFormat="false" ht="15" hidden="false" customHeight="true" outlineLevel="0" collapsed="false">
      <c r="A463" s="438" t="n">
        <v>8</v>
      </c>
      <c r="B463" s="157" t="n">
        <v>457</v>
      </c>
      <c r="C463" s="157" t="s">
        <v>5214</v>
      </c>
      <c r="D463" s="157" t="s">
        <v>5215</v>
      </c>
      <c r="E463" s="157" t="n">
        <v>407</v>
      </c>
      <c r="F463" s="157" t="s">
        <v>2921</v>
      </c>
      <c r="G463" s="157" t="s">
        <v>2691</v>
      </c>
      <c r="H463" s="78" t="n">
        <f aca="false">Y463/J463</f>
        <v>148.4375</v>
      </c>
      <c r="I463" s="439" t="n">
        <v>44323</v>
      </c>
      <c r="J463" s="157" t="n">
        <v>32000</v>
      </c>
      <c r="L463" s="157" t="n">
        <v>32000</v>
      </c>
      <c r="M463" s="157" t="n">
        <v>2005</v>
      </c>
      <c r="P463" s="157" t="s">
        <v>4047</v>
      </c>
      <c r="R463" s="174" t="s">
        <v>279</v>
      </c>
      <c r="S463" s="157" t="n">
        <v>135316</v>
      </c>
      <c r="T463" s="440" t="n">
        <f aca="false">S463/J463</f>
        <v>4.228625</v>
      </c>
      <c r="U463" s="157" t="s">
        <v>279</v>
      </c>
      <c r="Y463" s="157" t="n">
        <v>4750000</v>
      </c>
      <c r="AA463" s="157" t="n">
        <v>4750000</v>
      </c>
      <c r="AC463" s="157" t="s">
        <v>5216</v>
      </c>
      <c r="AD463" s="157" t="s">
        <v>5217</v>
      </c>
      <c r="AE463" s="281" t="s">
        <v>5218</v>
      </c>
      <c r="AF463" s="281" t="s">
        <v>5219</v>
      </c>
      <c r="AI463" s="157" t="e">
        <f aca="false">IF(AND($E463=Subj_OccCode,Subj_BldgSF&gt;0,ABS($L463-Subj_BldgSF)&lt;=Subj_BldgSF*Subj_SizeTol),ABS($L463-Subj_BldgSF),NA())</f>
        <v>#N/A</v>
      </c>
      <c r="AJ463" s="1" t="e">
        <f aca="false">IF(ISNA(AI463),NA(),AI463+ROW()/10000000)</f>
        <v>#N/A</v>
      </c>
      <c r="AK463" s="157" t="str">
        <f aca="false">IF(AND(ISNUMBER($N463),$N463&gt;0,ISNUMBER($Y463)),$Y463/$N463,"")</f>
        <v/>
      </c>
    </row>
    <row r="464" customFormat="false" ht="15" hidden="false" customHeight="true" outlineLevel="0" collapsed="false">
      <c r="A464" s="438" t="n">
        <v>8</v>
      </c>
      <c r="B464" s="157" t="n">
        <v>458</v>
      </c>
      <c r="C464" s="157" t="s">
        <v>5220</v>
      </c>
      <c r="D464" s="157" t="s">
        <v>5221</v>
      </c>
      <c r="E464" s="157" t="n">
        <v>413</v>
      </c>
      <c r="F464" s="157" t="s">
        <v>2581</v>
      </c>
      <c r="G464" s="157" t="s">
        <v>2567</v>
      </c>
      <c r="H464" s="78" t="n">
        <f aca="false">Y464/J464</f>
        <v>114.274258219727</v>
      </c>
      <c r="I464" s="439" t="n">
        <v>44468</v>
      </c>
      <c r="J464" s="157" t="n">
        <v>124700</v>
      </c>
      <c r="L464" s="157" t="n">
        <v>124700</v>
      </c>
      <c r="M464" s="157" t="n">
        <v>1963</v>
      </c>
      <c r="P464" s="157" t="s">
        <v>2588</v>
      </c>
      <c r="R464" s="174" t="s">
        <v>279</v>
      </c>
      <c r="S464" s="157" t="n">
        <v>349871</v>
      </c>
      <c r="T464" s="440" t="n">
        <f aca="false">S464/J464</f>
        <v>2.8057016840417</v>
      </c>
      <c r="U464" s="157" t="s">
        <v>279</v>
      </c>
      <c r="Y464" s="157" t="n">
        <v>14250000</v>
      </c>
      <c r="AA464" s="157" t="n">
        <v>14250000</v>
      </c>
      <c r="AC464" s="157" t="s">
        <v>5222</v>
      </c>
      <c r="AD464" s="157" t="s">
        <v>5223</v>
      </c>
      <c r="AE464" s="281" t="s">
        <v>5224</v>
      </c>
      <c r="AF464" s="281" t="s">
        <v>5225</v>
      </c>
      <c r="AI464" s="157" t="e">
        <f aca="false">IF(AND($E464=Subj_OccCode,Subj_BldgSF&gt;0,ABS($L464-Subj_BldgSF)&lt;=Subj_BldgSF*Subj_SizeTol),ABS($L464-Subj_BldgSF),NA())</f>
        <v>#N/A</v>
      </c>
      <c r="AJ464" s="1" t="e">
        <f aca="false">IF(ISNA(AI464),NA(),AI464+ROW()/10000000)</f>
        <v>#N/A</v>
      </c>
      <c r="AK464" s="157" t="str">
        <f aca="false">IF(AND(ISNUMBER($N464),$N464&gt;0,ISNUMBER($Y464)),$Y464/$N464,"")</f>
        <v/>
      </c>
    </row>
    <row r="465" customFormat="false" ht="15" hidden="false" customHeight="true" outlineLevel="0" collapsed="false">
      <c r="A465" s="438" t="n">
        <v>8</v>
      </c>
      <c r="B465" s="157" t="n">
        <v>459</v>
      </c>
      <c r="C465" s="157" t="s">
        <v>5226</v>
      </c>
      <c r="D465" s="157" t="s">
        <v>5227</v>
      </c>
      <c r="E465" s="157" t="n">
        <v>344</v>
      </c>
      <c r="F465" s="157" t="s">
        <v>2677</v>
      </c>
      <c r="G465" s="157" t="s">
        <v>354</v>
      </c>
      <c r="H465" s="78" t="n">
        <f aca="false">Y465/J465</f>
        <v>255.31914893617</v>
      </c>
      <c r="I465" s="439" t="n">
        <v>43735</v>
      </c>
      <c r="J465" s="157" t="n">
        <v>940</v>
      </c>
      <c r="L465" s="157" t="n">
        <v>940</v>
      </c>
      <c r="M465" s="157" t="n">
        <v>2000</v>
      </c>
      <c r="P465" s="157" t="s">
        <v>2678</v>
      </c>
      <c r="R465" s="174" t="s">
        <v>279</v>
      </c>
      <c r="S465" s="157" t="n">
        <v>3838.69</v>
      </c>
      <c r="T465" s="440" t="n">
        <f aca="false">S465/J465</f>
        <v>4.08371276595745</v>
      </c>
      <c r="U465" s="157" t="s">
        <v>279</v>
      </c>
      <c r="Y465" s="157" t="n">
        <v>240000</v>
      </c>
      <c r="AA465" s="157" t="n">
        <v>240000</v>
      </c>
      <c r="AC465" s="157" t="s">
        <v>5228</v>
      </c>
      <c r="AD465" s="157" t="s">
        <v>5229</v>
      </c>
      <c r="AE465" s="281" t="s">
        <v>5230</v>
      </c>
      <c r="AF465" s="281" t="s">
        <v>5231</v>
      </c>
      <c r="AI465" s="157" t="e">
        <f aca="false">IF(AND($E465=Subj_OccCode,Subj_BldgSF&gt;0,ABS($L465-Subj_BldgSF)&lt;=Subj_BldgSF*Subj_SizeTol),ABS($L465-Subj_BldgSF),NA())</f>
        <v>#N/A</v>
      </c>
      <c r="AJ465" s="1" t="e">
        <f aca="false">IF(ISNA(AI465),NA(),AI465+ROW()/10000000)</f>
        <v>#N/A</v>
      </c>
      <c r="AK465" s="157" t="str">
        <f aca="false">IF(AND(ISNUMBER($N465),$N465&gt;0,ISNUMBER($Y465)),$Y465/$N465,"")</f>
        <v/>
      </c>
    </row>
    <row r="466" customFormat="false" ht="15" hidden="false" customHeight="true" outlineLevel="0" collapsed="false">
      <c r="A466" s="438" t="n">
        <v>8</v>
      </c>
      <c r="B466" s="157" t="n">
        <v>460</v>
      </c>
      <c r="C466" s="157" t="s">
        <v>5232</v>
      </c>
      <c r="D466" s="157" t="s">
        <v>5233</v>
      </c>
      <c r="E466" s="157" t="n">
        <v>325</v>
      </c>
      <c r="F466" s="157" t="s">
        <v>2595</v>
      </c>
      <c r="G466" s="157" t="s">
        <v>2596</v>
      </c>
      <c r="H466" s="78" t="n">
        <f aca="false">Y466/J466</f>
        <v>132.164948453608</v>
      </c>
      <c r="I466" s="439" t="n">
        <v>43728</v>
      </c>
      <c r="J466" s="157" t="n">
        <v>9700</v>
      </c>
      <c r="L466" s="157" t="n">
        <v>9700</v>
      </c>
      <c r="M466" s="157" t="n">
        <v>1966</v>
      </c>
      <c r="P466" s="157" t="s">
        <v>2597</v>
      </c>
      <c r="R466" s="174" t="s">
        <v>279</v>
      </c>
      <c r="S466" s="157" t="n">
        <v>22800</v>
      </c>
      <c r="T466" s="440" t="n">
        <f aca="false">S466/J466</f>
        <v>2.35051546391753</v>
      </c>
      <c r="U466" s="157" t="s">
        <v>279</v>
      </c>
      <c r="Y466" s="157" t="n">
        <v>1282000</v>
      </c>
      <c r="AA466" s="157" t="n">
        <v>1282000</v>
      </c>
      <c r="AC466" s="157" t="s">
        <v>5234</v>
      </c>
      <c r="AD466" s="157" t="s">
        <v>5235</v>
      </c>
      <c r="AE466" s="281" t="s">
        <v>5236</v>
      </c>
      <c r="AF466" s="281" t="s">
        <v>5237</v>
      </c>
      <c r="AI466" s="157" t="e">
        <f aca="false">IF(AND($E466=Subj_OccCode,Subj_BldgSF&gt;0,ABS($L466-Subj_BldgSF)&lt;=Subj_BldgSF*Subj_SizeTol),ABS($L466-Subj_BldgSF),NA())</f>
        <v>#N/A</v>
      </c>
      <c r="AJ466" s="1" t="e">
        <f aca="false">IF(ISNA(AI466),NA(),AI466+ROW()/10000000)</f>
        <v>#N/A</v>
      </c>
      <c r="AK466" s="157" t="str">
        <f aca="false">IF(AND(ISNUMBER($N466),$N466&gt;0,ISNUMBER($Y466)),$Y466/$N466,"")</f>
        <v/>
      </c>
    </row>
    <row r="467" customFormat="false" ht="15" hidden="false" customHeight="true" outlineLevel="0" collapsed="false">
      <c r="A467" s="438" t="n">
        <v>8</v>
      </c>
      <c r="B467" s="157" t="n">
        <v>461</v>
      </c>
      <c r="C467" s="157" t="s">
        <v>5238</v>
      </c>
      <c r="D467" s="157" t="s">
        <v>5239</v>
      </c>
      <c r="E467" s="157" t="n">
        <v>407</v>
      </c>
      <c r="F467" s="157" t="s">
        <v>2595</v>
      </c>
      <c r="G467" s="157" t="s">
        <v>2596</v>
      </c>
      <c r="H467" s="78" t="n">
        <f aca="false">Y467/J467</f>
        <v>187.5</v>
      </c>
      <c r="I467" s="439" t="n">
        <v>44396</v>
      </c>
      <c r="J467" s="157" t="n">
        <v>39600</v>
      </c>
      <c r="L467" s="157" t="n">
        <v>39600</v>
      </c>
      <c r="M467" s="157" t="n">
        <v>1979</v>
      </c>
      <c r="P467" s="157" t="s">
        <v>2807</v>
      </c>
      <c r="R467" s="174" t="s">
        <v>279</v>
      </c>
      <c r="S467" s="157" t="n">
        <v>204296</v>
      </c>
      <c r="T467" s="440" t="n">
        <f aca="false">S467/J467</f>
        <v>5.1589898989899</v>
      </c>
      <c r="U467" s="157" t="s">
        <v>279</v>
      </c>
      <c r="Y467" s="157" t="n">
        <v>7425000</v>
      </c>
      <c r="AA467" s="157" t="n">
        <v>7425000</v>
      </c>
      <c r="AC467" s="157" t="s">
        <v>5240</v>
      </c>
      <c r="AD467" s="157" t="s">
        <v>5241</v>
      </c>
      <c r="AE467" s="281" t="s">
        <v>5242</v>
      </c>
      <c r="AF467" s="281" t="s">
        <v>5243</v>
      </c>
      <c r="AI467" s="157" t="e">
        <f aca="false">IF(AND($E467=Subj_OccCode,Subj_BldgSF&gt;0,ABS($L467-Subj_BldgSF)&lt;=Subj_BldgSF*Subj_SizeTol),ABS($L467-Subj_BldgSF),NA())</f>
        <v>#N/A</v>
      </c>
      <c r="AJ467" s="1" t="e">
        <f aca="false">IF(ISNA(AI467),NA(),AI467+ROW()/10000000)</f>
        <v>#N/A</v>
      </c>
      <c r="AK467" s="157" t="str">
        <f aca="false">IF(AND(ISNUMBER($N467),$N467&gt;0,ISNUMBER($Y467)),$Y467/$N467,"")</f>
        <v/>
      </c>
    </row>
    <row r="468" customFormat="false" ht="15" hidden="false" customHeight="true" outlineLevel="0" collapsed="false">
      <c r="A468" s="438" t="n">
        <v>8</v>
      </c>
      <c r="B468" s="157" t="n">
        <v>462</v>
      </c>
      <c r="C468" s="157" t="s">
        <v>5244</v>
      </c>
      <c r="D468" s="157" t="s">
        <v>5245</v>
      </c>
      <c r="E468" s="157" t="n">
        <v>406</v>
      </c>
      <c r="F468" s="157" t="s">
        <v>2595</v>
      </c>
      <c r="G468" s="157" t="s">
        <v>2596</v>
      </c>
      <c r="H468" s="78" t="n">
        <f aca="false">Y468/J468</f>
        <v>154.992</v>
      </c>
      <c r="I468" s="439" t="n">
        <v>43725</v>
      </c>
      <c r="J468" s="157" t="n">
        <v>6250</v>
      </c>
      <c r="L468" s="157" t="n">
        <v>6250</v>
      </c>
      <c r="M468" s="157" t="n">
        <v>1971</v>
      </c>
      <c r="P468" s="157" t="s">
        <v>2597</v>
      </c>
      <c r="R468" s="174" t="s">
        <v>279</v>
      </c>
      <c r="S468" s="157" t="n">
        <v>23750</v>
      </c>
      <c r="T468" s="440" t="n">
        <f aca="false">S468/J468</f>
        <v>3.8</v>
      </c>
      <c r="U468" s="157" t="s">
        <v>279</v>
      </c>
      <c r="Y468" s="157" t="n">
        <v>968700</v>
      </c>
      <c r="AA468" s="157" t="n">
        <v>968700</v>
      </c>
      <c r="AC468" s="157" t="s">
        <v>5246</v>
      </c>
      <c r="AD468" s="157" t="s">
        <v>5247</v>
      </c>
      <c r="AE468" s="281" t="s">
        <v>5248</v>
      </c>
      <c r="AF468" s="281" t="s">
        <v>5249</v>
      </c>
      <c r="AI468" s="157" t="e">
        <f aca="false">IF(AND($E468=Subj_OccCode,Subj_BldgSF&gt;0,ABS($L468-Subj_BldgSF)&lt;=Subj_BldgSF*Subj_SizeTol),ABS($L468-Subj_BldgSF),NA())</f>
        <v>#N/A</v>
      </c>
      <c r="AJ468" s="1" t="e">
        <f aca="false">IF(ISNA(AI468),NA(),AI468+ROW()/10000000)</f>
        <v>#N/A</v>
      </c>
      <c r="AK468" s="157" t="str">
        <f aca="false">IF(AND(ISNUMBER($N468),$N468&gt;0,ISNUMBER($Y468)),$Y468/$N468,"")</f>
        <v/>
      </c>
    </row>
    <row r="469" customFormat="false" ht="15" hidden="false" customHeight="true" outlineLevel="0" collapsed="false">
      <c r="A469" s="438" t="n">
        <v>8</v>
      </c>
      <c r="B469" s="157" t="n">
        <v>463</v>
      </c>
      <c r="C469" s="157" t="s">
        <v>5250</v>
      </c>
      <c r="D469" s="157" t="s">
        <v>5251</v>
      </c>
      <c r="E469" s="157" t="n">
        <v>384</v>
      </c>
      <c r="G469" s="157" t="s">
        <v>2567</v>
      </c>
      <c r="H469" s="78" t="n">
        <f aca="false">Y469/J469</f>
        <v>302.040816326531</v>
      </c>
      <c r="I469" s="439" t="n">
        <v>44461</v>
      </c>
      <c r="J469" s="157" t="n">
        <v>2450</v>
      </c>
      <c r="L469" s="157" t="n">
        <v>2450</v>
      </c>
      <c r="M469" s="157" t="n">
        <v>1982</v>
      </c>
      <c r="P469" s="157" t="s">
        <v>2706</v>
      </c>
      <c r="R469" s="174" t="s">
        <v>279</v>
      </c>
      <c r="S469" s="157" t="n">
        <v>8400</v>
      </c>
      <c r="T469" s="440" t="n">
        <f aca="false">S469/J469</f>
        <v>3.42857142857143</v>
      </c>
      <c r="U469" s="157" t="s">
        <v>279</v>
      </c>
      <c r="Y469" s="157" t="n">
        <v>740000</v>
      </c>
      <c r="AA469" s="157" t="n">
        <v>740000</v>
      </c>
      <c r="AC469" s="157" t="s">
        <v>5252</v>
      </c>
      <c r="AD469" s="157" t="s">
        <v>5253</v>
      </c>
      <c r="AE469" s="281" t="s">
        <v>5254</v>
      </c>
      <c r="AF469" s="281" t="s">
        <v>5255</v>
      </c>
      <c r="AI469" s="157" t="e">
        <f aca="false">IF(AND($E469=Subj_OccCode,Subj_BldgSF&gt;0,ABS($L469-Subj_BldgSF)&lt;=Subj_BldgSF*Subj_SizeTol),ABS($L469-Subj_BldgSF),NA())</f>
        <v>#N/A</v>
      </c>
      <c r="AJ469" s="1" t="e">
        <f aca="false">IF(ISNA(AI469),NA(),AI469+ROW()/10000000)</f>
        <v>#N/A</v>
      </c>
      <c r="AK469" s="157" t="str">
        <f aca="false">IF(AND(ISNUMBER($N469),$N469&gt;0,ISNUMBER($Y469)),$Y469/$N469,"")</f>
        <v/>
      </c>
    </row>
    <row r="470" customFormat="false" ht="15" hidden="false" customHeight="true" outlineLevel="0" collapsed="false">
      <c r="A470" s="438" t="n">
        <v>8</v>
      </c>
      <c r="B470" s="157" t="n">
        <v>464</v>
      </c>
      <c r="C470" s="157" t="s">
        <v>3285</v>
      </c>
      <c r="D470" s="157" t="s">
        <v>3286</v>
      </c>
      <c r="E470" s="157" t="n">
        <v>344</v>
      </c>
      <c r="F470" s="157" t="s">
        <v>2921</v>
      </c>
      <c r="G470" s="157" t="s">
        <v>2691</v>
      </c>
      <c r="H470" s="78" t="n">
        <f aca="false">Y470/J470</f>
        <v>182.692307692308</v>
      </c>
      <c r="I470" s="439" t="n">
        <v>43731</v>
      </c>
      <c r="J470" s="157" t="n">
        <v>2080</v>
      </c>
      <c r="L470" s="157" t="n">
        <v>2080</v>
      </c>
      <c r="M470" s="157" t="n">
        <v>1974</v>
      </c>
      <c r="P470" s="157" t="s">
        <v>3280</v>
      </c>
      <c r="R470" s="174" t="s">
        <v>279</v>
      </c>
      <c r="S470" s="157" t="n">
        <v>19375</v>
      </c>
      <c r="T470" s="440" t="n">
        <f aca="false">S470/J470</f>
        <v>9.31490384615385</v>
      </c>
      <c r="U470" s="157" t="s">
        <v>279</v>
      </c>
      <c r="Y470" s="157" t="n">
        <v>380000</v>
      </c>
      <c r="AA470" s="157" t="n">
        <v>380000</v>
      </c>
      <c r="AC470" s="157" t="s">
        <v>3287</v>
      </c>
      <c r="AD470" s="157" t="s">
        <v>5256</v>
      </c>
      <c r="AE470" s="281" t="s">
        <v>5257</v>
      </c>
      <c r="AF470" s="281" t="s">
        <v>3289</v>
      </c>
      <c r="AI470" s="157" t="e">
        <f aca="false">IF(AND($E470=Subj_OccCode,Subj_BldgSF&gt;0,ABS($L470-Subj_BldgSF)&lt;=Subj_BldgSF*Subj_SizeTol),ABS($L470-Subj_BldgSF),NA())</f>
        <v>#N/A</v>
      </c>
      <c r="AJ470" s="1" t="e">
        <f aca="false">IF(ISNA(AI470),NA(),AI470+ROW()/10000000)</f>
        <v>#N/A</v>
      </c>
      <c r="AK470" s="157" t="str">
        <f aca="false">IF(AND(ISNUMBER($N470),$N470&gt;0,ISNUMBER($Y470)),$Y470/$N470,"")</f>
        <v/>
      </c>
    </row>
    <row r="471" customFormat="false" ht="15" hidden="false" customHeight="true" outlineLevel="0" collapsed="false">
      <c r="A471" s="438" t="n">
        <v>8</v>
      </c>
      <c r="B471" s="157" t="n">
        <v>465</v>
      </c>
      <c r="C471" s="157" t="s">
        <v>5258</v>
      </c>
      <c r="D471" s="157" t="s">
        <v>5259</v>
      </c>
      <c r="E471" s="157" t="n">
        <v>344</v>
      </c>
      <c r="F471" s="157" t="s">
        <v>2595</v>
      </c>
      <c r="G471" s="157" t="s">
        <v>2596</v>
      </c>
      <c r="H471" s="78" t="n">
        <f aca="false">Y471/J471</f>
        <v>193.079237713139</v>
      </c>
      <c r="I471" s="439" t="n">
        <v>44348</v>
      </c>
      <c r="J471" s="157" t="n">
        <v>1994</v>
      </c>
      <c r="L471" s="157" t="n">
        <v>1994</v>
      </c>
      <c r="M471" s="157" t="n">
        <v>1969</v>
      </c>
      <c r="P471" s="157" t="s">
        <v>3493</v>
      </c>
      <c r="R471" s="174" t="s">
        <v>279</v>
      </c>
      <c r="S471" s="157" t="n">
        <v>6250</v>
      </c>
      <c r="T471" s="440" t="n">
        <f aca="false">S471/J471</f>
        <v>3.13440320962889</v>
      </c>
      <c r="U471" s="157" t="s">
        <v>279</v>
      </c>
      <c r="Y471" s="157" t="n">
        <v>385000</v>
      </c>
      <c r="AA471" s="157" t="n">
        <v>385000</v>
      </c>
      <c r="AC471" s="157" t="s">
        <v>5260</v>
      </c>
      <c r="AD471" s="157" t="s">
        <v>5261</v>
      </c>
      <c r="AE471" s="281" t="s">
        <v>5262</v>
      </c>
      <c r="AF471" s="281" t="s">
        <v>5263</v>
      </c>
      <c r="AI471" s="157" t="e">
        <f aca="false">IF(AND($E471=Subj_OccCode,Subj_BldgSF&gt;0,ABS($L471-Subj_BldgSF)&lt;=Subj_BldgSF*Subj_SizeTol),ABS($L471-Subj_BldgSF),NA())</f>
        <v>#N/A</v>
      </c>
      <c r="AJ471" s="1" t="e">
        <f aca="false">IF(ISNA(AI471),NA(),AI471+ROW()/10000000)</f>
        <v>#N/A</v>
      </c>
      <c r="AK471" s="157" t="str">
        <f aca="false">IF(AND(ISNUMBER($N471),$N471&gt;0,ISNUMBER($Y471)),$Y471/$N471,"")</f>
        <v/>
      </c>
    </row>
    <row r="472" customFormat="false" ht="15" hidden="false" customHeight="true" outlineLevel="0" collapsed="false">
      <c r="A472" s="438" t="n">
        <v>8</v>
      </c>
      <c r="B472" s="157" t="n">
        <v>466</v>
      </c>
      <c r="C472" s="157" t="s">
        <v>3975</v>
      </c>
      <c r="D472" s="157" t="s">
        <v>3976</v>
      </c>
      <c r="E472" s="157" t="n">
        <v>442</v>
      </c>
      <c r="F472" s="157" t="s">
        <v>2921</v>
      </c>
      <c r="G472" s="157" t="s">
        <v>2691</v>
      </c>
      <c r="H472" s="78" t="n">
        <f aca="false">Y472/J472</f>
        <v>200</v>
      </c>
      <c r="I472" s="439" t="n">
        <v>43271</v>
      </c>
      <c r="J472" s="157" t="n">
        <v>1500</v>
      </c>
      <c r="L472" s="157" t="n">
        <v>1500</v>
      </c>
      <c r="M472" s="157" t="n">
        <v>1942</v>
      </c>
      <c r="P472" s="157" t="s">
        <v>4420</v>
      </c>
      <c r="R472" s="174" t="s">
        <v>279</v>
      </c>
      <c r="S472" s="157" t="n">
        <v>21150</v>
      </c>
      <c r="T472" s="440" t="n">
        <f aca="false">S472/J472</f>
        <v>14.1</v>
      </c>
      <c r="U472" s="157" t="s">
        <v>279</v>
      </c>
      <c r="Y472" s="157" t="n">
        <v>300000</v>
      </c>
      <c r="AA472" s="157" t="n">
        <v>300000</v>
      </c>
      <c r="AC472" s="157" t="s">
        <v>3978</v>
      </c>
      <c r="AD472" s="157" t="s">
        <v>5264</v>
      </c>
      <c r="AE472" s="281" t="s">
        <v>5265</v>
      </c>
      <c r="AF472" s="281" t="s">
        <v>3980</v>
      </c>
      <c r="AI472" s="157" t="e">
        <f aca="false">IF(AND($E472=Subj_OccCode,Subj_BldgSF&gt;0,ABS($L472-Subj_BldgSF)&lt;=Subj_BldgSF*Subj_SizeTol),ABS($L472-Subj_BldgSF),NA())</f>
        <v>#N/A</v>
      </c>
      <c r="AJ472" s="1" t="e">
        <f aca="false">IF(ISNA(AI472),NA(),AI472+ROW()/10000000)</f>
        <v>#N/A</v>
      </c>
      <c r="AK472" s="157" t="str">
        <f aca="false">IF(AND(ISNUMBER($N472),$N472&gt;0,ISNUMBER($Y472)),$Y472/$N472,"")</f>
        <v/>
      </c>
    </row>
    <row r="473" customFormat="false" ht="15" hidden="false" customHeight="true" outlineLevel="0" collapsed="false">
      <c r="A473" s="438" t="n">
        <v>8</v>
      </c>
      <c r="B473" s="157" t="n">
        <v>467</v>
      </c>
      <c r="C473" s="157" t="s">
        <v>5266</v>
      </c>
      <c r="D473" s="157" t="s">
        <v>5267</v>
      </c>
      <c r="E473" s="157" t="n">
        <v>353</v>
      </c>
      <c r="F473" s="157" t="s">
        <v>260</v>
      </c>
      <c r="G473" s="157" t="s">
        <v>353</v>
      </c>
      <c r="H473" s="78" t="n">
        <f aca="false">Y473/J473</f>
        <v>186.666666666667</v>
      </c>
      <c r="I473" s="439" t="n">
        <v>44483</v>
      </c>
      <c r="J473" s="157" t="n">
        <v>2250</v>
      </c>
      <c r="L473" s="157" t="n">
        <v>2250</v>
      </c>
      <c r="M473" s="157" t="n">
        <v>1895</v>
      </c>
      <c r="P473" s="157" t="s">
        <v>3265</v>
      </c>
      <c r="R473" s="174" t="s">
        <v>1511</v>
      </c>
      <c r="S473" s="157" t="n">
        <v>5227</v>
      </c>
      <c r="T473" s="440" t="n">
        <f aca="false">S473/J473</f>
        <v>2.32311111111111</v>
      </c>
      <c r="U473" s="157" t="s">
        <v>279</v>
      </c>
      <c r="Y473" s="157" t="n">
        <v>420000</v>
      </c>
      <c r="AA473" s="157" t="n">
        <v>420000</v>
      </c>
      <c r="AC473" s="157" t="s">
        <v>5268</v>
      </c>
      <c r="AD473" s="157" t="s">
        <v>5269</v>
      </c>
      <c r="AE473" s="281" t="s">
        <v>5270</v>
      </c>
      <c r="AF473" s="281" t="s">
        <v>5271</v>
      </c>
      <c r="AI473" s="157" t="e">
        <f aca="false">IF(AND($E473=Subj_OccCode,Subj_BldgSF&gt;0,ABS($L473-Subj_BldgSF)&lt;=Subj_BldgSF*Subj_SizeTol),ABS($L473-Subj_BldgSF),NA())</f>
        <v>#N/A</v>
      </c>
      <c r="AJ473" s="1" t="e">
        <f aca="false">IF(ISNA(AI473),NA(),AI473+ROW()/10000000)</f>
        <v>#N/A</v>
      </c>
      <c r="AK473" s="157" t="str">
        <f aca="false">IF(AND(ISNUMBER($N473),$N473&gt;0,ISNUMBER($Y473)),$Y473/$N473,"")</f>
        <v/>
      </c>
    </row>
    <row r="474" customFormat="false" ht="15" hidden="false" customHeight="true" outlineLevel="0" collapsed="false">
      <c r="A474" s="438" t="n">
        <v>8</v>
      </c>
      <c r="B474" s="157" t="n">
        <v>468</v>
      </c>
      <c r="C474" s="157" t="s">
        <v>5272</v>
      </c>
      <c r="D474" s="157" t="s">
        <v>5273</v>
      </c>
      <c r="E474" s="157" t="n">
        <v>353</v>
      </c>
      <c r="F474" s="157" t="s">
        <v>260</v>
      </c>
      <c r="G474" s="157" t="s">
        <v>353</v>
      </c>
      <c r="H474" s="78" t="n">
        <f aca="false">Y474/J474</f>
        <v>185.840707964602</v>
      </c>
      <c r="I474" s="439" t="n">
        <v>44483</v>
      </c>
      <c r="J474" s="157" t="n">
        <v>2260</v>
      </c>
      <c r="L474" s="157" t="n">
        <v>2260</v>
      </c>
      <c r="M474" s="157" t="n">
        <v>1897</v>
      </c>
      <c r="P474" s="157" t="s">
        <v>3265</v>
      </c>
      <c r="R474" s="174" t="s">
        <v>279</v>
      </c>
      <c r="S474" s="157" t="n">
        <v>4920</v>
      </c>
      <c r="T474" s="440" t="n">
        <f aca="false">S474/J474</f>
        <v>2.17699115044248</v>
      </c>
      <c r="U474" s="157" t="s">
        <v>279</v>
      </c>
      <c r="Y474" s="157" t="n">
        <v>420000</v>
      </c>
      <c r="AA474" s="157" t="n">
        <v>420000</v>
      </c>
      <c r="AC474" s="157" t="s">
        <v>5274</v>
      </c>
      <c r="AD474" s="157" t="s">
        <v>5275</v>
      </c>
      <c r="AE474" s="281" t="s">
        <v>5270</v>
      </c>
      <c r="AF474" s="281" t="s">
        <v>5271</v>
      </c>
      <c r="AI474" s="157" t="e">
        <f aca="false">IF(AND($E474=Subj_OccCode,Subj_BldgSF&gt;0,ABS($L474-Subj_BldgSF)&lt;=Subj_BldgSF*Subj_SizeTol),ABS($L474-Subj_BldgSF),NA())</f>
        <v>#N/A</v>
      </c>
      <c r="AJ474" s="1" t="e">
        <f aca="false">IF(ISNA(AI474),NA(),AI474+ROW()/10000000)</f>
        <v>#N/A</v>
      </c>
      <c r="AK474" s="157" t="str">
        <f aca="false">IF(AND(ISNUMBER($N474),$N474&gt;0,ISNUMBER($Y474)),$Y474/$N474,"")</f>
        <v/>
      </c>
    </row>
    <row r="475" customFormat="false" ht="15" hidden="false" customHeight="true" outlineLevel="0" collapsed="false">
      <c r="A475" s="438" t="n">
        <v>8</v>
      </c>
      <c r="B475" s="157" t="n">
        <v>469</v>
      </c>
      <c r="C475" s="157" t="s">
        <v>5276</v>
      </c>
      <c r="D475" s="157" t="s">
        <v>5277</v>
      </c>
      <c r="E475" s="157" t="n">
        <v>419</v>
      </c>
      <c r="F475" s="157" t="s">
        <v>2677</v>
      </c>
      <c r="G475" s="157" t="s">
        <v>2567</v>
      </c>
      <c r="H475" s="78" t="n">
        <f aca="false">Y475/J475</f>
        <v>1001.21605188488</v>
      </c>
      <c r="I475" s="439" t="n">
        <v>44644</v>
      </c>
      <c r="J475" s="157" t="n">
        <v>2467</v>
      </c>
      <c r="L475" s="157" t="n">
        <v>2467</v>
      </c>
      <c r="M475" s="157" t="n">
        <v>1987</v>
      </c>
      <c r="P475" s="157" t="s">
        <v>3307</v>
      </c>
      <c r="R475" s="174" t="s">
        <v>279</v>
      </c>
      <c r="S475" s="157" t="n">
        <v>18750</v>
      </c>
      <c r="T475" s="440" t="n">
        <f aca="false">S475/J475</f>
        <v>7.60032428050264</v>
      </c>
      <c r="U475" s="157" t="s">
        <v>279</v>
      </c>
      <c r="Y475" s="157" t="n">
        <v>2470000</v>
      </c>
      <c r="AA475" s="157" t="n">
        <v>2470000</v>
      </c>
      <c r="AC475" s="157" t="s">
        <v>5278</v>
      </c>
      <c r="AD475" s="157" t="s">
        <v>5279</v>
      </c>
      <c r="AE475" s="281" t="s">
        <v>5280</v>
      </c>
      <c r="AF475" s="281" t="s">
        <v>5281</v>
      </c>
      <c r="AI475" s="157" t="e">
        <f aca="false">IF(AND($E475=Subj_OccCode,Subj_BldgSF&gt;0,ABS($L475-Subj_BldgSF)&lt;=Subj_BldgSF*Subj_SizeTol),ABS($L475-Subj_BldgSF),NA())</f>
        <v>#N/A</v>
      </c>
      <c r="AJ475" s="1" t="e">
        <f aca="false">IF(ISNA(AI475),NA(),AI475+ROW()/10000000)</f>
        <v>#N/A</v>
      </c>
      <c r="AK475" s="157" t="str">
        <f aca="false">IF(AND(ISNUMBER($N475),$N475&gt;0,ISNUMBER($Y475)),$Y475/$N475,"")</f>
        <v/>
      </c>
    </row>
    <row r="476" customFormat="false" ht="15" hidden="false" customHeight="true" outlineLevel="0" collapsed="false">
      <c r="A476" s="438" t="n">
        <v>8</v>
      </c>
      <c r="B476" s="157" t="n">
        <v>470</v>
      </c>
      <c r="C476" s="157" t="s">
        <v>5276</v>
      </c>
      <c r="D476" s="157" t="s">
        <v>5277</v>
      </c>
      <c r="E476" s="157" t="n">
        <v>419</v>
      </c>
      <c r="F476" s="157" t="s">
        <v>2677</v>
      </c>
      <c r="G476" s="157" t="s">
        <v>2567</v>
      </c>
      <c r="H476" s="78" t="n">
        <f aca="false">Y476/J476</f>
        <v>439.278475881638</v>
      </c>
      <c r="I476" s="439" t="n">
        <v>43112</v>
      </c>
      <c r="J476" s="157" t="n">
        <v>2467</v>
      </c>
      <c r="L476" s="157" t="n">
        <v>2467</v>
      </c>
      <c r="M476" s="157" t="n">
        <v>1987</v>
      </c>
      <c r="P476" s="157" t="s">
        <v>4368</v>
      </c>
      <c r="R476" s="174" t="s">
        <v>279</v>
      </c>
      <c r="S476" s="157" t="n">
        <v>18750</v>
      </c>
      <c r="T476" s="440" t="n">
        <f aca="false">S476/J476</f>
        <v>7.60032428050264</v>
      </c>
      <c r="U476" s="157" t="s">
        <v>279</v>
      </c>
      <c r="Y476" s="157" t="n">
        <v>1083700</v>
      </c>
      <c r="AA476" s="157" t="n">
        <v>1083700</v>
      </c>
      <c r="AC476" s="157" t="s">
        <v>5278</v>
      </c>
      <c r="AD476" s="157" t="s">
        <v>5282</v>
      </c>
      <c r="AE476" s="281" t="s">
        <v>5283</v>
      </c>
      <c r="AF476" s="281" t="s">
        <v>5284</v>
      </c>
      <c r="AI476" s="157" t="e">
        <f aca="false">IF(AND($E476=Subj_OccCode,Subj_BldgSF&gt;0,ABS($L476-Subj_BldgSF)&lt;=Subj_BldgSF*Subj_SizeTol),ABS($L476-Subj_BldgSF),NA())</f>
        <v>#N/A</v>
      </c>
      <c r="AJ476" s="1" t="e">
        <f aca="false">IF(ISNA(AI476),NA(),AI476+ROW()/10000000)</f>
        <v>#N/A</v>
      </c>
      <c r="AK476" s="157" t="str">
        <f aca="false">IF(AND(ISNUMBER($N476),$N476&gt;0,ISNUMBER($Y476)),$Y476/$N476,"")</f>
        <v/>
      </c>
    </row>
    <row r="477" customFormat="false" ht="15" hidden="false" customHeight="true" outlineLevel="0" collapsed="false">
      <c r="A477" s="438" t="n">
        <v>8</v>
      </c>
      <c r="B477" s="157" t="n">
        <v>471</v>
      </c>
      <c r="C477" s="157" t="s">
        <v>5285</v>
      </c>
      <c r="D477" s="157" t="s">
        <v>5286</v>
      </c>
      <c r="E477" s="157" t="n">
        <v>344</v>
      </c>
      <c r="F477" s="157" t="s">
        <v>3272</v>
      </c>
      <c r="G477" s="157" t="s">
        <v>2567</v>
      </c>
      <c r="H477" s="78" t="n">
        <f aca="false">Y477/J477</f>
        <v>344.422043010753</v>
      </c>
      <c r="I477" s="439" t="n">
        <v>44564</v>
      </c>
      <c r="J477" s="157" t="n">
        <v>2976</v>
      </c>
      <c r="L477" s="157" t="n">
        <v>2976</v>
      </c>
      <c r="M477" s="157" t="n">
        <v>1979</v>
      </c>
      <c r="P477" s="157" t="s">
        <v>3273</v>
      </c>
      <c r="R477" s="174" t="s">
        <v>279</v>
      </c>
      <c r="S477" s="157" t="n">
        <v>13972</v>
      </c>
      <c r="T477" s="440" t="n">
        <f aca="false">S477/J477</f>
        <v>4.69489247311828</v>
      </c>
      <c r="U477" s="157" t="s">
        <v>279</v>
      </c>
      <c r="Y477" s="157" t="n">
        <v>1025000</v>
      </c>
      <c r="AA477" s="157" t="n">
        <v>1025000</v>
      </c>
      <c r="AC477" s="157" t="s">
        <v>5287</v>
      </c>
      <c r="AD477" s="157" t="s">
        <v>5288</v>
      </c>
      <c r="AE477" s="281" t="s">
        <v>5289</v>
      </c>
      <c r="AF477" s="281" t="s">
        <v>5290</v>
      </c>
      <c r="AI477" s="157" t="e">
        <f aca="false">IF(AND($E477=Subj_OccCode,Subj_BldgSF&gt;0,ABS($L477-Subj_BldgSF)&lt;=Subj_BldgSF*Subj_SizeTol),ABS($L477-Subj_BldgSF),NA())</f>
        <v>#N/A</v>
      </c>
      <c r="AJ477" s="1" t="e">
        <f aca="false">IF(ISNA(AI477),NA(),AI477+ROW()/10000000)</f>
        <v>#N/A</v>
      </c>
      <c r="AK477" s="157" t="str">
        <f aca="false">IF(AND(ISNUMBER($N477),$N477&gt;0,ISNUMBER($Y477)),$Y477/$N477,"")</f>
        <v/>
      </c>
    </row>
    <row r="478" customFormat="false" ht="15" hidden="false" customHeight="true" outlineLevel="0" collapsed="false">
      <c r="A478" s="438" t="n">
        <v>8</v>
      </c>
      <c r="B478" s="157" t="n">
        <v>472</v>
      </c>
      <c r="C478" s="157" t="s">
        <v>5291</v>
      </c>
      <c r="D478" s="157" t="s">
        <v>5292</v>
      </c>
      <c r="E478" s="157" t="n">
        <v>306</v>
      </c>
      <c r="F478" s="157" t="s">
        <v>2677</v>
      </c>
      <c r="G478" s="157" t="s">
        <v>2567</v>
      </c>
      <c r="H478" s="78" t="n">
        <f aca="false">Y478/J478</f>
        <v>103.497222222222</v>
      </c>
      <c r="I478" s="439" t="n">
        <v>43602</v>
      </c>
      <c r="J478" s="157" t="n">
        <v>36000</v>
      </c>
      <c r="L478" s="157" t="n">
        <v>36000</v>
      </c>
      <c r="M478" s="157" t="n">
        <v>1979</v>
      </c>
      <c r="P478" s="157" t="s">
        <v>4368</v>
      </c>
      <c r="R478" s="174" t="s">
        <v>279</v>
      </c>
      <c r="S478" s="157" t="n">
        <v>267981</v>
      </c>
      <c r="T478" s="440" t="n">
        <f aca="false">S478/J478</f>
        <v>7.44391666666667</v>
      </c>
      <c r="U478" s="157" t="s">
        <v>279</v>
      </c>
      <c r="Y478" s="157" t="n">
        <v>3725900</v>
      </c>
      <c r="AA478" s="157" t="n">
        <v>3725900</v>
      </c>
      <c r="AC478" s="157" t="s">
        <v>5293</v>
      </c>
      <c r="AD478" s="157" t="s">
        <v>5294</v>
      </c>
      <c r="AE478" s="281" t="s">
        <v>5295</v>
      </c>
      <c r="AF478" s="281" t="s">
        <v>5296</v>
      </c>
      <c r="AI478" s="157" t="e">
        <f aca="false">IF(AND($E478=Subj_OccCode,Subj_BldgSF&gt;0,ABS($L478-Subj_BldgSF)&lt;=Subj_BldgSF*Subj_SizeTol),ABS($L478-Subj_BldgSF),NA())</f>
        <v>#N/A</v>
      </c>
      <c r="AJ478" s="1" t="e">
        <f aca="false">IF(ISNA(AI478),NA(),AI478+ROW()/10000000)</f>
        <v>#N/A</v>
      </c>
      <c r="AK478" s="157" t="str">
        <f aca="false">IF(AND(ISNUMBER($N478),$N478&gt;0,ISNUMBER($Y478)),$Y478/$N478,"")</f>
        <v/>
      </c>
    </row>
    <row r="479" customFormat="false" ht="15" hidden="false" customHeight="true" outlineLevel="0" collapsed="false">
      <c r="A479" s="438" t="n">
        <v>8</v>
      </c>
      <c r="B479" s="157" t="n">
        <v>473</v>
      </c>
      <c r="C479" s="157" t="s">
        <v>5297</v>
      </c>
      <c r="D479" s="157" t="s">
        <v>5298</v>
      </c>
      <c r="E479" s="157" t="n">
        <v>406</v>
      </c>
      <c r="F479" s="157" t="s">
        <v>3272</v>
      </c>
      <c r="G479" s="157" t="s">
        <v>2567</v>
      </c>
      <c r="H479" s="78" t="n">
        <f aca="false">Y479/J479</f>
        <v>203.766594627972</v>
      </c>
      <c r="I479" s="439" t="n">
        <v>44082</v>
      </c>
      <c r="J479" s="157" t="n">
        <v>3239</v>
      </c>
      <c r="L479" s="157" t="n">
        <v>3239</v>
      </c>
      <c r="M479" s="157" t="n">
        <v>2005</v>
      </c>
      <c r="P479" s="157" t="s">
        <v>3273</v>
      </c>
      <c r="R479" s="174" t="s">
        <v>279</v>
      </c>
      <c r="S479" s="157" t="n">
        <v>13678</v>
      </c>
      <c r="T479" s="440" t="n">
        <f aca="false">S479/J479</f>
        <v>4.22290830503242</v>
      </c>
      <c r="U479" s="157" t="s">
        <v>279</v>
      </c>
      <c r="Y479" s="157" t="n">
        <v>660000</v>
      </c>
      <c r="AA479" s="157" t="n">
        <v>660000</v>
      </c>
      <c r="AC479" s="157" t="s">
        <v>5299</v>
      </c>
      <c r="AD479" s="157" t="s">
        <v>5300</v>
      </c>
      <c r="AE479" s="281" t="s">
        <v>5301</v>
      </c>
      <c r="AF479" s="281" t="s">
        <v>5302</v>
      </c>
      <c r="AI479" s="157" t="e">
        <f aca="false">IF(AND($E479=Subj_OccCode,Subj_BldgSF&gt;0,ABS($L479-Subj_BldgSF)&lt;=Subj_BldgSF*Subj_SizeTol),ABS($L479-Subj_BldgSF),NA())</f>
        <v>#N/A</v>
      </c>
      <c r="AJ479" s="1" t="e">
        <f aca="false">IF(ISNA(AI479),NA(),AI479+ROW()/10000000)</f>
        <v>#N/A</v>
      </c>
      <c r="AK479" s="157" t="str">
        <f aca="false">IF(AND(ISNUMBER($N479),$N479&gt;0,ISNUMBER($Y479)),$Y479/$N479,"")</f>
        <v/>
      </c>
    </row>
    <row r="480" customFormat="false" ht="15" hidden="false" customHeight="true" outlineLevel="0" collapsed="false">
      <c r="A480" s="438" t="n">
        <v>8</v>
      </c>
      <c r="B480" s="157" t="n">
        <v>474</v>
      </c>
      <c r="C480" s="157" t="s">
        <v>5303</v>
      </c>
      <c r="D480" s="157" t="s">
        <v>5304</v>
      </c>
      <c r="E480" s="157" t="n">
        <v>442</v>
      </c>
      <c r="F480" s="157" t="s">
        <v>2677</v>
      </c>
      <c r="G480" s="157" t="s">
        <v>2567</v>
      </c>
      <c r="H480" s="78" t="n">
        <f aca="false">Y480/J480</f>
        <v>91.0294604435617</v>
      </c>
      <c r="I480" s="439" t="n">
        <v>44243</v>
      </c>
      <c r="J480" s="157" t="n">
        <v>6042</v>
      </c>
      <c r="L480" s="157" t="n">
        <v>6042</v>
      </c>
      <c r="M480" s="157" t="n">
        <v>1977</v>
      </c>
      <c r="P480" s="157" t="s">
        <v>3307</v>
      </c>
      <c r="R480" s="174" t="s">
        <v>279</v>
      </c>
      <c r="S480" s="157" t="n">
        <v>47600</v>
      </c>
      <c r="T480" s="440" t="n">
        <f aca="false">S480/J480</f>
        <v>7.87818603111553</v>
      </c>
      <c r="U480" s="157" t="s">
        <v>279</v>
      </c>
      <c r="Y480" s="157" t="n">
        <v>550000</v>
      </c>
      <c r="AA480" s="157" t="n">
        <v>550000</v>
      </c>
      <c r="AC480" s="157" t="s">
        <v>5305</v>
      </c>
      <c r="AD480" s="157" t="s">
        <v>5306</v>
      </c>
      <c r="AE480" s="281" t="s">
        <v>5307</v>
      </c>
      <c r="AF480" s="281" t="s">
        <v>5308</v>
      </c>
      <c r="AI480" s="157" t="e">
        <f aca="false">IF(AND($E480=Subj_OccCode,Subj_BldgSF&gt;0,ABS($L480-Subj_BldgSF)&lt;=Subj_BldgSF*Subj_SizeTol),ABS($L480-Subj_BldgSF),NA())</f>
        <v>#N/A</v>
      </c>
      <c r="AJ480" s="1" t="e">
        <f aca="false">IF(ISNA(AI480),NA(),AI480+ROW()/10000000)</f>
        <v>#N/A</v>
      </c>
      <c r="AK480" s="157" t="str">
        <f aca="false">IF(AND(ISNUMBER($N480),$N480&gt;0,ISNUMBER($Y480)),$Y480/$N480,"")</f>
        <v/>
      </c>
    </row>
    <row r="481" customFormat="false" ht="15" hidden="false" customHeight="true" outlineLevel="0" collapsed="false">
      <c r="A481" s="438" t="n">
        <v>8</v>
      </c>
      <c r="B481" s="157" t="n">
        <v>475</v>
      </c>
      <c r="C481" s="157" t="s">
        <v>5309</v>
      </c>
      <c r="D481" s="157" t="s">
        <v>5310</v>
      </c>
      <c r="E481" s="157" t="n">
        <v>332</v>
      </c>
      <c r="F481" s="157" t="s">
        <v>2595</v>
      </c>
      <c r="G481" s="157" t="s">
        <v>2596</v>
      </c>
      <c r="H481" s="78" t="n">
        <f aca="false">Y481/L481</f>
        <v>175159.23566879</v>
      </c>
      <c r="I481" s="439" t="n">
        <v>44537</v>
      </c>
      <c r="J481" s="157" t="n">
        <v>84934</v>
      </c>
      <c r="L481" s="157" t="n">
        <v>157</v>
      </c>
      <c r="M481" s="157" t="n">
        <v>1998</v>
      </c>
      <c r="P481" s="157" t="s">
        <v>3507</v>
      </c>
      <c r="R481" s="174" t="s">
        <v>279</v>
      </c>
      <c r="S481" s="157" t="n">
        <v>152551.5</v>
      </c>
      <c r="T481" s="440" t="n">
        <f aca="false">S481/J481</f>
        <v>1.79611816233782</v>
      </c>
      <c r="U481" s="157" t="s">
        <v>279</v>
      </c>
      <c r="Y481" s="157" t="n">
        <v>27500000</v>
      </c>
      <c r="AA481" s="157" t="n">
        <v>27500000</v>
      </c>
      <c r="AC481" s="157" t="s">
        <v>5311</v>
      </c>
      <c r="AD481" s="157" t="s">
        <v>5312</v>
      </c>
      <c r="AE481" s="281" t="s">
        <v>5313</v>
      </c>
      <c r="AF481" s="281" t="s">
        <v>5314</v>
      </c>
      <c r="AI481" s="157" t="e">
        <f aca="false">IF(AND($E481=Subj_OccCode,Subj_BldgSF&gt;0,ABS($L481-Subj_BldgSF)&lt;=Subj_BldgSF*Subj_SizeTol),ABS($L481-Subj_BldgSF),NA())</f>
        <v>#N/A</v>
      </c>
      <c r="AJ481" s="1" t="e">
        <f aca="false">IF(ISNA(AI481),NA(),AI481+ROW()/10000000)</f>
        <v>#N/A</v>
      </c>
      <c r="AK481" s="157" t="str">
        <f aca="false">IF(AND(ISNUMBER($N481),$N481&gt;0,ISNUMBER($Y481)),$Y481/$N481,"")</f>
        <v/>
      </c>
    </row>
    <row r="482" customFormat="false" ht="15" hidden="false" customHeight="true" outlineLevel="0" collapsed="false">
      <c r="A482" s="438" t="n">
        <v>8</v>
      </c>
      <c r="B482" s="157" t="n">
        <v>476</v>
      </c>
      <c r="C482" s="157" t="s">
        <v>5315</v>
      </c>
      <c r="D482" s="157" t="s">
        <v>5316</v>
      </c>
      <c r="E482" s="157" t="n">
        <v>325</v>
      </c>
      <c r="F482" s="157" t="s">
        <v>2581</v>
      </c>
      <c r="G482" s="157" t="s">
        <v>2567</v>
      </c>
      <c r="H482" s="78" t="n">
        <f aca="false">Y482/J482</f>
        <v>192.307692307692</v>
      </c>
      <c r="I482" s="439" t="n">
        <v>43796</v>
      </c>
      <c r="J482" s="157" t="n">
        <v>3900</v>
      </c>
      <c r="L482" s="157" t="n">
        <v>3900</v>
      </c>
      <c r="M482" s="157" t="n">
        <v>1975</v>
      </c>
      <c r="P482" s="157" t="s">
        <v>3486</v>
      </c>
      <c r="R482" s="174" t="s">
        <v>279</v>
      </c>
      <c r="S482" s="157" t="n">
        <v>12910</v>
      </c>
      <c r="T482" s="440" t="n">
        <f aca="false">S482/J482</f>
        <v>3.31025641025641</v>
      </c>
      <c r="U482" s="157" t="s">
        <v>279</v>
      </c>
      <c r="Y482" s="157" t="n">
        <v>750000</v>
      </c>
      <c r="AA482" s="157" t="n">
        <v>750000</v>
      </c>
      <c r="AC482" s="157" t="s">
        <v>5317</v>
      </c>
      <c r="AD482" s="157" t="s">
        <v>5318</v>
      </c>
      <c r="AE482" s="281" t="s">
        <v>5319</v>
      </c>
      <c r="AF482" s="281" t="s">
        <v>5320</v>
      </c>
      <c r="AI482" s="157" t="e">
        <f aca="false">IF(AND($E482=Subj_OccCode,Subj_BldgSF&gt;0,ABS($L482-Subj_BldgSF)&lt;=Subj_BldgSF*Subj_SizeTol),ABS($L482-Subj_BldgSF),NA())</f>
        <v>#N/A</v>
      </c>
      <c r="AJ482" s="1" t="e">
        <f aca="false">IF(ISNA(AI482),NA(),AI482+ROW()/10000000)</f>
        <v>#N/A</v>
      </c>
      <c r="AK482" s="157" t="str">
        <f aca="false">IF(AND(ISNUMBER($N482),$N482&gt;0,ISNUMBER($Y482)),$Y482/$N482,"")</f>
        <v/>
      </c>
    </row>
    <row r="483" customFormat="false" ht="15" hidden="false" customHeight="true" outlineLevel="0" collapsed="false">
      <c r="A483" s="438" t="n">
        <v>8</v>
      </c>
      <c r="B483" s="157" t="n">
        <v>477</v>
      </c>
      <c r="C483" s="157" t="s">
        <v>5321</v>
      </c>
      <c r="D483" s="157" t="s">
        <v>5322</v>
      </c>
      <c r="E483" s="157" t="n">
        <v>3441</v>
      </c>
      <c r="F483" s="157" t="s">
        <v>260</v>
      </c>
      <c r="G483" s="157" t="s">
        <v>353</v>
      </c>
      <c r="H483" s="78" t="n">
        <f aca="false">Y483/J483</f>
        <v>251.903925014646</v>
      </c>
      <c r="I483" s="439" t="n">
        <v>44281</v>
      </c>
      <c r="J483" s="157" t="n">
        <v>1707</v>
      </c>
      <c r="L483" s="157" t="n">
        <v>1707</v>
      </c>
      <c r="M483" s="157" t="n">
        <v>1917</v>
      </c>
      <c r="P483" s="157" t="s">
        <v>3500</v>
      </c>
      <c r="R483" s="174" t="s">
        <v>279</v>
      </c>
      <c r="S483" s="157" t="n">
        <v>7500</v>
      </c>
      <c r="T483" s="440" t="n">
        <f aca="false">S483/J483</f>
        <v>4.39367311072056</v>
      </c>
      <c r="U483" s="157" t="s">
        <v>279</v>
      </c>
      <c r="Y483" s="157" t="n">
        <v>430000</v>
      </c>
      <c r="AA483" s="157" t="n">
        <v>430000</v>
      </c>
      <c r="AC483" s="157" t="s">
        <v>5323</v>
      </c>
      <c r="AD483" s="157" t="s">
        <v>5324</v>
      </c>
      <c r="AE483" s="281" t="s">
        <v>5325</v>
      </c>
      <c r="AF483" s="281" t="s">
        <v>5326</v>
      </c>
      <c r="AI483" s="157" t="e">
        <f aca="false">IF(AND($E483=Subj_OccCode,Subj_BldgSF&gt;0,ABS($L483-Subj_BldgSF)&lt;=Subj_BldgSF*Subj_SizeTol),ABS($L483-Subj_BldgSF),NA())</f>
        <v>#N/A</v>
      </c>
      <c r="AJ483" s="1" t="e">
        <f aca="false">IF(ISNA(AI483),NA(),AI483+ROW()/10000000)</f>
        <v>#N/A</v>
      </c>
      <c r="AK483" s="157" t="str">
        <f aca="false">IF(AND(ISNUMBER($N483),$N483&gt;0,ISNUMBER($Y483)),$Y483/$N483,"")</f>
        <v/>
      </c>
    </row>
    <row r="484" customFormat="false" ht="15" hidden="false" customHeight="true" outlineLevel="0" collapsed="false">
      <c r="A484" s="438" t="n">
        <v>8</v>
      </c>
      <c r="B484" s="157" t="n">
        <v>478</v>
      </c>
      <c r="C484" s="157" t="s">
        <v>5327</v>
      </c>
      <c r="D484" s="157" t="s">
        <v>5328</v>
      </c>
      <c r="E484" s="157" t="n">
        <v>407</v>
      </c>
      <c r="F484" s="157" t="s">
        <v>2921</v>
      </c>
      <c r="G484" s="157" t="s">
        <v>353</v>
      </c>
      <c r="H484" s="78" t="n">
        <f aca="false">Y484/J484</f>
        <v>103.489565514882</v>
      </c>
      <c r="I484" s="439" t="n">
        <v>43420</v>
      </c>
      <c r="J484" s="157" t="n">
        <v>11692</v>
      </c>
      <c r="L484" s="157" t="n">
        <v>11692</v>
      </c>
      <c r="M484" s="157" t="n">
        <v>1962</v>
      </c>
      <c r="P484" s="157" t="s">
        <v>4420</v>
      </c>
      <c r="R484" s="174" t="s">
        <v>279</v>
      </c>
      <c r="S484" s="157" t="n">
        <v>18500</v>
      </c>
      <c r="T484" s="440" t="n">
        <f aca="false">S484/J484</f>
        <v>1.58227848101266</v>
      </c>
      <c r="U484" s="157" t="s">
        <v>279</v>
      </c>
      <c r="Y484" s="157" t="n">
        <v>1210000</v>
      </c>
      <c r="AA484" s="157" t="n">
        <v>1210000</v>
      </c>
      <c r="AC484" s="157" t="s">
        <v>5329</v>
      </c>
      <c r="AD484" s="157" t="s">
        <v>5330</v>
      </c>
      <c r="AE484" s="281" t="s">
        <v>5331</v>
      </c>
      <c r="AF484" s="281" t="s">
        <v>5332</v>
      </c>
      <c r="AI484" s="157" t="e">
        <f aca="false">IF(AND($E484=Subj_OccCode,Subj_BldgSF&gt;0,ABS($L484-Subj_BldgSF)&lt;=Subj_BldgSF*Subj_SizeTol),ABS($L484-Subj_BldgSF),NA())</f>
        <v>#N/A</v>
      </c>
      <c r="AJ484" s="1" t="e">
        <f aca="false">IF(ISNA(AI484),NA(),AI484+ROW()/10000000)</f>
        <v>#N/A</v>
      </c>
      <c r="AK484" s="157" t="str">
        <f aca="false">IF(AND(ISNUMBER($N484),$N484&gt;0,ISNUMBER($Y484)),$Y484/$N484,"")</f>
        <v/>
      </c>
    </row>
    <row r="485" customFormat="false" ht="15" hidden="false" customHeight="true" outlineLevel="0" collapsed="false">
      <c r="A485" s="438" t="n">
        <v>8</v>
      </c>
      <c r="B485" s="157" t="n">
        <v>479</v>
      </c>
      <c r="C485" s="157" t="s">
        <v>5333</v>
      </c>
      <c r="D485" s="157" t="s">
        <v>5334</v>
      </c>
      <c r="E485" s="157" t="n">
        <v>353</v>
      </c>
      <c r="F485" s="157" t="s">
        <v>2677</v>
      </c>
      <c r="G485" s="157" t="s">
        <v>2567</v>
      </c>
      <c r="H485" s="78" t="n">
        <f aca="false">Y485/J485</f>
        <v>175.932441942294</v>
      </c>
      <c r="I485" s="439" t="n">
        <v>43789</v>
      </c>
      <c r="J485" s="157" t="n">
        <v>11368</v>
      </c>
      <c r="L485" s="157" t="n">
        <v>11368</v>
      </c>
      <c r="M485" s="157" t="n">
        <v>1979</v>
      </c>
      <c r="P485" s="157" t="s">
        <v>3307</v>
      </c>
      <c r="R485" s="174" t="s">
        <v>279</v>
      </c>
      <c r="S485" s="157" t="n">
        <v>48352</v>
      </c>
      <c r="T485" s="440" t="n">
        <f aca="false">S485/J485</f>
        <v>4.2533427163969</v>
      </c>
      <c r="U485" s="157" t="s">
        <v>279</v>
      </c>
      <c r="Y485" s="157" t="n">
        <v>2000000</v>
      </c>
      <c r="AA485" s="157" t="n">
        <v>2000000</v>
      </c>
      <c r="AC485" s="157" t="s">
        <v>5335</v>
      </c>
      <c r="AD485" s="157" t="s">
        <v>5336</v>
      </c>
      <c r="AE485" s="281" t="s">
        <v>5337</v>
      </c>
      <c r="AF485" s="281" t="s">
        <v>5338</v>
      </c>
      <c r="AI485" s="157" t="e">
        <f aca="false">IF(AND($E485=Subj_OccCode,Subj_BldgSF&gt;0,ABS($L485-Subj_BldgSF)&lt;=Subj_BldgSF*Subj_SizeTol),ABS($L485-Subj_BldgSF),NA())</f>
        <v>#N/A</v>
      </c>
      <c r="AJ485" s="1" t="e">
        <f aca="false">IF(ISNA(AI485),NA(),AI485+ROW()/10000000)</f>
        <v>#N/A</v>
      </c>
      <c r="AK485" s="157" t="str">
        <f aca="false">IF(AND(ISNUMBER($N485),$N485&gt;0,ISNUMBER($Y485)),$Y485/$N485,"")</f>
        <v/>
      </c>
    </row>
    <row r="486" customFormat="false" ht="15" hidden="false" customHeight="true" outlineLevel="0" collapsed="false">
      <c r="A486" s="438" t="n">
        <v>8</v>
      </c>
      <c r="B486" s="157" t="n">
        <v>480</v>
      </c>
      <c r="C486" s="157" t="s">
        <v>5339</v>
      </c>
      <c r="D486" s="157" t="s">
        <v>5340</v>
      </c>
      <c r="E486" s="157" t="n">
        <v>304</v>
      </c>
      <c r="F486" s="157" t="s">
        <v>2566</v>
      </c>
      <c r="G486" s="157" t="s">
        <v>2567</v>
      </c>
      <c r="H486" s="78" t="n">
        <f aca="false">Y486/J486</f>
        <v>190.740574908212</v>
      </c>
      <c r="I486" s="439" t="n">
        <v>44102</v>
      </c>
      <c r="J486" s="157" t="n">
        <v>11167</v>
      </c>
      <c r="L486" s="157" t="n">
        <v>11167</v>
      </c>
      <c r="M486" s="157" t="n">
        <v>1996</v>
      </c>
      <c r="P486" s="157" t="s">
        <v>5341</v>
      </c>
      <c r="R486" s="174" t="s">
        <v>279</v>
      </c>
      <c r="S486" s="157" t="n">
        <v>85159</v>
      </c>
      <c r="T486" s="440" t="n">
        <f aca="false">S486/J486</f>
        <v>7.6259514641354</v>
      </c>
      <c r="U486" s="157" t="s">
        <v>279</v>
      </c>
      <c r="Y486" s="157" t="n">
        <v>2130000</v>
      </c>
      <c r="AA486" s="157" t="n">
        <v>2130000</v>
      </c>
      <c r="AC486" s="157" t="s">
        <v>5342</v>
      </c>
      <c r="AD486" s="157" t="s">
        <v>5343</v>
      </c>
      <c r="AE486" s="281" t="s">
        <v>5344</v>
      </c>
      <c r="AF486" s="281" t="s">
        <v>5345</v>
      </c>
      <c r="AI486" s="157" t="e">
        <f aca="false">IF(AND($E486=Subj_OccCode,Subj_BldgSF&gt;0,ABS($L486-Subj_BldgSF)&lt;=Subj_BldgSF*Subj_SizeTol),ABS($L486-Subj_BldgSF),NA())</f>
        <v>#N/A</v>
      </c>
      <c r="AJ486" s="1" t="e">
        <f aca="false">IF(ISNA(AI486),NA(),AI486+ROW()/10000000)</f>
        <v>#N/A</v>
      </c>
      <c r="AK486" s="157" t="str">
        <f aca="false">IF(AND(ISNUMBER($N486),$N486&gt;0,ISNUMBER($Y486)),$Y486/$N486,"")</f>
        <v/>
      </c>
    </row>
    <row r="487" customFormat="false" ht="15" hidden="false" customHeight="true" outlineLevel="0" collapsed="false">
      <c r="A487" s="438" t="n">
        <v>8</v>
      </c>
      <c r="B487" s="157" t="n">
        <v>481</v>
      </c>
      <c r="C487" s="157" t="s">
        <v>4979</v>
      </c>
      <c r="D487" s="157" t="s">
        <v>4980</v>
      </c>
      <c r="E487" s="157" t="n">
        <v>353</v>
      </c>
      <c r="F487" s="157" t="s">
        <v>260</v>
      </c>
      <c r="G487" s="157" t="s">
        <v>353</v>
      </c>
      <c r="H487" s="78" t="n">
        <f aca="false">Y487/J487</f>
        <v>184.729064039409</v>
      </c>
      <c r="I487" s="439" t="n">
        <v>44529</v>
      </c>
      <c r="J487" s="157" t="n">
        <v>8120</v>
      </c>
      <c r="L487" s="157" t="n">
        <v>8120</v>
      </c>
      <c r="M487" s="157" t="n">
        <v>1920</v>
      </c>
      <c r="P487" s="157" t="s">
        <v>3265</v>
      </c>
      <c r="R487" s="174" t="s">
        <v>279</v>
      </c>
      <c r="S487" s="157" t="n">
        <v>13000</v>
      </c>
      <c r="T487" s="440" t="n">
        <f aca="false">S487/J487</f>
        <v>1.60098522167488</v>
      </c>
      <c r="U487" s="157" t="s">
        <v>279</v>
      </c>
      <c r="Y487" s="157" t="n">
        <v>1500000</v>
      </c>
      <c r="AA487" s="157" t="n">
        <v>1500000</v>
      </c>
      <c r="AC487" s="157" t="s">
        <v>4981</v>
      </c>
      <c r="AD487" s="157" t="s">
        <v>5346</v>
      </c>
      <c r="AE487" s="281" t="s">
        <v>4984</v>
      </c>
      <c r="AF487" s="281" t="s">
        <v>5347</v>
      </c>
      <c r="AI487" s="157" t="e">
        <f aca="false">IF(AND($E487=Subj_OccCode,Subj_BldgSF&gt;0,ABS($L487-Subj_BldgSF)&lt;=Subj_BldgSF*Subj_SizeTol),ABS($L487-Subj_BldgSF),NA())</f>
        <v>#N/A</v>
      </c>
      <c r="AJ487" s="1" t="e">
        <f aca="false">IF(ISNA(AI487),NA(),AI487+ROW()/10000000)</f>
        <v>#N/A</v>
      </c>
      <c r="AK487" s="157" t="str">
        <f aca="false">IF(AND(ISNUMBER($N487),$N487&gt;0,ISNUMBER($Y487)),$Y487/$N487,"")</f>
        <v/>
      </c>
    </row>
    <row r="488" customFormat="false" ht="15" hidden="false" customHeight="true" outlineLevel="0" collapsed="false">
      <c r="A488" s="438" t="n">
        <v>8</v>
      </c>
      <c r="B488" s="157" t="n">
        <v>482</v>
      </c>
      <c r="C488" s="157" t="s">
        <v>5348</v>
      </c>
      <c r="D488" s="157" t="s">
        <v>5349</v>
      </c>
      <c r="E488" s="157" t="n">
        <v>407</v>
      </c>
      <c r="F488" s="157" t="s">
        <v>2921</v>
      </c>
      <c r="G488" s="157" t="s">
        <v>2691</v>
      </c>
      <c r="H488" s="78" t="n">
        <f aca="false">Y488/J488</f>
        <v>106.570512820513</v>
      </c>
      <c r="I488" s="439" t="n">
        <v>43145</v>
      </c>
      <c r="J488" s="157" t="n">
        <v>18720</v>
      </c>
      <c r="L488" s="157" t="n">
        <v>18720</v>
      </c>
      <c r="M488" s="157" t="n">
        <v>1958</v>
      </c>
      <c r="P488" s="157" t="s">
        <v>3181</v>
      </c>
      <c r="R488" s="174" t="s">
        <v>279</v>
      </c>
      <c r="S488" s="157" t="n">
        <v>60705</v>
      </c>
      <c r="T488" s="440" t="n">
        <f aca="false">S488/J488</f>
        <v>3.24278846153846</v>
      </c>
      <c r="U488" s="157" t="s">
        <v>279</v>
      </c>
      <c r="Y488" s="157" t="n">
        <v>1995000</v>
      </c>
      <c r="AA488" s="157" t="n">
        <v>1995000</v>
      </c>
      <c r="AC488" s="157" t="s">
        <v>5350</v>
      </c>
      <c r="AD488" s="157" t="s">
        <v>5351</v>
      </c>
      <c r="AE488" s="281" t="s">
        <v>4621</v>
      </c>
      <c r="AF488" s="281" t="s">
        <v>5352</v>
      </c>
      <c r="AI488" s="157" t="e">
        <f aca="false">IF(AND($E488=Subj_OccCode,Subj_BldgSF&gt;0,ABS($L488-Subj_BldgSF)&lt;=Subj_BldgSF*Subj_SizeTol),ABS($L488-Subj_BldgSF),NA())</f>
        <v>#N/A</v>
      </c>
      <c r="AJ488" s="1" t="e">
        <f aca="false">IF(ISNA(AI488),NA(),AI488+ROW()/10000000)</f>
        <v>#N/A</v>
      </c>
      <c r="AK488" s="157" t="str">
        <f aca="false">IF(AND(ISNUMBER($N488),$N488&gt;0,ISNUMBER($Y488)),$Y488/$N488,"")</f>
        <v/>
      </c>
    </row>
    <row r="489" customFormat="false" ht="15" hidden="false" customHeight="true" outlineLevel="0" collapsed="false">
      <c r="A489" s="438" t="n">
        <v>8</v>
      </c>
      <c r="B489" s="157" t="n">
        <v>483</v>
      </c>
      <c r="C489" s="157" t="s">
        <v>5353</v>
      </c>
      <c r="D489" s="157" t="s">
        <v>5354</v>
      </c>
      <c r="E489" s="157" t="n">
        <v>1344</v>
      </c>
      <c r="F489" s="157" t="s">
        <v>2566</v>
      </c>
      <c r="G489" s="157" t="s">
        <v>2567</v>
      </c>
      <c r="H489" s="78" t="n">
        <f aca="false">Y489/J489</f>
        <v>148.596587782058</v>
      </c>
      <c r="I489" s="439" t="n">
        <v>44469</v>
      </c>
      <c r="J489" s="157" t="n">
        <v>1817</v>
      </c>
      <c r="L489" s="157" t="n">
        <v>1817</v>
      </c>
      <c r="M489" s="157" t="n">
        <v>1984</v>
      </c>
      <c r="P489" s="157" t="s">
        <v>3569</v>
      </c>
      <c r="R489" s="174" t="s">
        <v>279</v>
      </c>
      <c r="S489" s="157" t="n">
        <v>1108</v>
      </c>
      <c r="T489" s="440" t="n">
        <f aca="false">S489/J489</f>
        <v>0.609796367638965</v>
      </c>
      <c r="U489" s="157" t="s">
        <v>279</v>
      </c>
      <c r="Y489" s="157" t="n">
        <v>270000</v>
      </c>
      <c r="AA489" s="157" t="n">
        <v>270000</v>
      </c>
      <c r="AC489" s="157" t="s">
        <v>5355</v>
      </c>
      <c r="AD489" s="157" t="s">
        <v>5356</v>
      </c>
      <c r="AE489" s="281" t="s">
        <v>5357</v>
      </c>
      <c r="AF489" s="281" t="s">
        <v>5358</v>
      </c>
      <c r="AI489" s="157" t="e">
        <f aca="false">IF(AND($E489=Subj_OccCode,Subj_BldgSF&gt;0,ABS($L489-Subj_BldgSF)&lt;=Subj_BldgSF*Subj_SizeTol),ABS($L489-Subj_BldgSF),NA())</f>
        <v>#N/A</v>
      </c>
      <c r="AJ489" s="1" t="e">
        <f aca="false">IF(ISNA(AI489),NA(),AI489+ROW()/10000000)</f>
        <v>#N/A</v>
      </c>
      <c r="AK489" s="157" t="str">
        <f aca="false">IF(AND(ISNUMBER($N489),$N489&gt;0,ISNUMBER($Y489)),$Y489/$N489,"")</f>
        <v/>
      </c>
    </row>
    <row r="490" customFormat="false" ht="15" hidden="false" customHeight="true" outlineLevel="0" collapsed="false">
      <c r="A490" s="438" t="n">
        <v>8</v>
      </c>
      <c r="B490" s="157" t="n">
        <v>484</v>
      </c>
      <c r="C490" s="157" t="s">
        <v>5359</v>
      </c>
      <c r="D490" s="157" t="s">
        <v>5360</v>
      </c>
      <c r="E490" s="157" t="n">
        <v>353</v>
      </c>
      <c r="F490" s="157" t="s">
        <v>2677</v>
      </c>
      <c r="G490" s="157" t="s">
        <v>2567</v>
      </c>
      <c r="H490" s="78" t="n">
        <f aca="false">Y490/J490</f>
        <v>222.666666666667</v>
      </c>
      <c r="I490" s="439" t="n">
        <v>44607</v>
      </c>
      <c r="J490" s="157" t="n">
        <v>3000</v>
      </c>
      <c r="L490" s="157" t="n">
        <v>3000</v>
      </c>
      <c r="M490" s="157" t="n">
        <v>1973</v>
      </c>
      <c r="P490" s="157" t="s">
        <v>3307</v>
      </c>
      <c r="R490" s="174" t="s">
        <v>279</v>
      </c>
      <c r="S490" s="157" t="n">
        <v>14850</v>
      </c>
      <c r="T490" s="440" t="n">
        <f aca="false">S490/J490</f>
        <v>4.95</v>
      </c>
      <c r="U490" s="157" t="s">
        <v>279</v>
      </c>
      <c r="Y490" s="157" t="n">
        <v>668000</v>
      </c>
      <c r="AA490" s="157" t="n">
        <v>668000</v>
      </c>
      <c r="AC490" s="157" t="s">
        <v>5361</v>
      </c>
      <c r="AD490" s="157" t="s">
        <v>5362</v>
      </c>
      <c r="AE490" s="281" t="s">
        <v>5363</v>
      </c>
      <c r="AF490" s="281" t="s">
        <v>5364</v>
      </c>
      <c r="AI490" s="157" t="e">
        <f aca="false">IF(AND($E490=Subj_OccCode,Subj_BldgSF&gt;0,ABS($L490-Subj_BldgSF)&lt;=Subj_BldgSF*Subj_SizeTol),ABS($L490-Subj_BldgSF),NA())</f>
        <v>#N/A</v>
      </c>
      <c r="AJ490" s="1" t="e">
        <f aca="false">IF(ISNA(AI490),NA(),AI490+ROW()/10000000)</f>
        <v>#N/A</v>
      </c>
      <c r="AK490" s="157" t="str">
        <f aca="false">IF(AND(ISNUMBER($N490),$N490&gt;0,ISNUMBER($Y490)),$Y490/$N490,"")</f>
        <v/>
      </c>
    </row>
    <row r="491" customFormat="false" ht="15" hidden="false" customHeight="true" outlineLevel="0" collapsed="false">
      <c r="A491" s="438" t="n">
        <v>8</v>
      </c>
      <c r="B491" s="157" t="n">
        <v>485</v>
      </c>
      <c r="C491" s="157" t="s">
        <v>5365</v>
      </c>
      <c r="D491" s="157" t="s">
        <v>5366</v>
      </c>
      <c r="E491" s="157" t="n">
        <v>344</v>
      </c>
      <c r="F491" s="157" t="s">
        <v>3272</v>
      </c>
      <c r="G491" s="157" t="s">
        <v>2567</v>
      </c>
      <c r="H491" s="78" t="n">
        <f aca="false">Y491/J491</f>
        <v>165.165165165165</v>
      </c>
      <c r="I491" s="439" t="n">
        <v>44309</v>
      </c>
      <c r="J491" s="157" t="n">
        <v>8325</v>
      </c>
      <c r="L491" s="157" t="n">
        <v>8325</v>
      </c>
      <c r="M491" s="157" t="n">
        <v>1982</v>
      </c>
      <c r="P491" s="157" t="s">
        <v>3273</v>
      </c>
      <c r="R491" s="174" t="s">
        <v>483</v>
      </c>
      <c r="S491" s="157" t="n">
        <v>44858</v>
      </c>
      <c r="T491" s="440" t="n">
        <f aca="false">S491/J491</f>
        <v>5.38834834834835</v>
      </c>
      <c r="U491" s="157" t="s">
        <v>279</v>
      </c>
      <c r="Y491" s="157" t="n">
        <v>1375000</v>
      </c>
      <c r="AA491" s="157" t="n">
        <v>1375000</v>
      </c>
      <c r="AC491" s="157" t="s">
        <v>5367</v>
      </c>
      <c r="AD491" s="157" t="s">
        <v>5368</v>
      </c>
      <c r="AE491" s="281" t="s">
        <v>5369</v>
      </c>
      <c r="AF491" s="281" t="s">
        <v>5370</v>
      </c>
      <c r="AI491" s="157" t="e">
        <f aca="false">IF(AND($E491=Subj_OccCode,Subj_BldgSF&gt;0,ABS($L491-Subj_BldgSF)&lt;=Subj_BldgSF*Subj_SizeTol),ABS($L491-Subj_BldgSF),NA())</f>
        <v>#N/A</v>
      </c>
      <c r="AJ491" s="1" t="e">
        <f aca="false">IF(ISNA(AI491),NA(),AI491+ROW()/10000000)</f>
        <v>#N/A</v>
      </c>
      <c r="AK491" s="157" t="str">
        <f aca="false">IF(AND(ISNUMBER($N491),$N491&gt;0,ISNUMBER($Y491)),$Y491/$N491,"")</f>
        <v/>
      </c>
    </row>
    <row r="492" customFormat="false" ht="15" hidden="false" customHeight="true" outlineLevel="0" collapsed="false">
      <c r="A492" s="438" t="n">
        <v>8</v>
      </c>
      <c r="B492" s="157" t="n">
        <v>486</v>
      </c>
      <c r="C492" s="157" t="s">
        <v>5371</v>
      </c>
      <c r="D492" s="157" t="s">
        <v>5372</v>
      </c>
      <c r="E492" s="157" t="n">
        <v>344</v>
      </c>
      <c r="F492" s="157" t="s">
        <v>2581</v>
      </c>
      <c r="G492" s="157" t="s">
        <v>2567</v>
      </c>
      <c r="H492" s="78" t="n">
        <f aca="false">Y492/J492</f>
        <v>274.862960062647</v>
      </c>
      <c r="I492" s="439" t="n">
        <v>43671</v>
      </c>
      <c r="J492" s="157" t="n">
        <v>6385</v>
      </c>
      <c r="L492" s="157" t="n">
        <v>6385</v>
      </c>
      <c r="M492" s="157" t="n">
        <v>1998</v>
      </c>
      <c r="P492" s="157" t="s">
        <v>4407</v>
      </c>
      <c r="R492" s="174" t="s">
        <v>279</v>
      </c>
      <c r="S492" s="157" t="n">
        <v>44081</v>
      </c>
      <c r="T492" s="440" t="n">
        <f aca="false">S492/J492</f>
        <v>6.90383711824589</v>
      </c>
      <c r="U492" s="157" t="s">
        <v>279</v>
      </c>
      <c r="Y492" s="157" t="n">
        <v>1755000</v>
      </c>
      <c r="AA492" s="157" t="n">
        <v>1755000</v>
      </c>
      <c r="AC492" s="157" t="s">
        <v>5373</v>
      </c>
      <c r="AD492" s="157" t="s">
        <v>5374</v>
      </c>
      <c r="AE492" s="281" t="s">
        <v>5375</v>
      </c>
      <c r="AF492" s="281" t="s">
        <v>5376</v>
      </c>
      <c r="AI492" s="157" t="e">
        <f aca="false">IF(AND($E492=Subj_OccCode,Subj_BldgSF&gt;0,ABS($L492-Subj_BldgSF)&lt;=Subj_BldgSF*Subj_SizeTol),ABS($L492-Subj_BldgSF),NA())</f>
        <v>#N/A</v>
      </c>
      <c r="AJ492" s="1" t="e">
        <f aca="false">IF(ISNA(AI492),NA(),AI492+ROW()/10000000)</f>
        <v>#N/A</v>
      </c>
      <c r="AK492" s="157" t="str">
        <f aca="false">IF(AND(ISNUMBER($N492),$N492&gt;0,ISNUMBER($Y492)),$Y492/$N492,"")</f>
        <v/>
      </c>
    </row>
    <row r="493" customFormat="false" ht="15" hidden="false" customHeight="true" outlineLevel="0" collapsed="false">
      <c r="A493" s="438" t="n">
        <v>8</v>
      </c>
      <c r="B493" s="157" t="n">
        <v>487</v>
      </c>
      <c r="C493" s="157" t="s">
        <v>5377</v>
      </c>
      <c r="D493" s="157" t="s">
        <v>5378</v>
      </c>
      <c r="E493" s="157" t="n">
        <v>344</v>
      </c>
      <c r="F493" s="157" t="s">
        <v>260</v>
      </c>
      <c r="G493" s="157" t="s">
        <v>353</v>
      </c>
      <c r="H493" s="78" t="n">
        <f aca="false">Y493/J493</f>
        <v>157.894736842105</v>
      </c>
      <c r="I493" s="439" t="n">
        <v>44713</v>
      </c>
      <c r="J493" s="157" t="n">
        <v>3705</v>
      </c>
      <c r="L493" s="157" t="n">
        <v>3705</v>
      </c>
      <c r="M493" s="157" t="n">
        <v>1974</v>
      </c>
      <c r="P493" s="157" t="s">
        <v>3265</v>
      </c>
      <c r="R493" s="174" t="s">
        <v>279</v>
      </c>
      <c r="S493" s="157" t="n">
        <v>7500</v>
      </c>
      <c r="T493" s="440" t="n">
        <f aca="false">S493/J493</f>
        <v>2.02429149797571</v>
      </c>
      <c r="U493" s="157" t="s">
        <v>279</v>
      </c>
      <c r="Y493" s="157" t="n">
        <v>585000</v>
      </c>
      <c r="AA493" s="157" t="n">
        <v>585000</v>
      </c>
      <c r="AC493" s="157" t="s">
        <v>5379</v>
      </c>
      <c r="AD493" s="157" t="s">
        <v>5380</v>
      </c>
      <c r="AE493" s="281" t="s">
        <v>5381</v>
      </c>
      <c r="AF493" s="281" t="s">
        <v>5382</v>
      </c>
      <c r="AI493" s="157" t="e">
        <f aca="false">IF(AND($E493=Subj_OccCode,Subj_BldgSF&gt;0,ABS($L493-Subj_BldgSF)&lt;=Subj_BldgSF*Subj_SizeTol),ABS($L493-Subj_BldgSF),NA())</f>
        <v>#N/A</v>
      </c>
      <c r="AJ493" s="1" t="e">
        <f aca="false">IF(ISNA(AI493),NA(),AI493+ROW()/10000000)</f>
        <v>#N/A</v>
      </c>
      <c r="AK493" s="157" t="str">
        <f aca="false">IF(AND(ISNUMBER($N493),$N493&gt;0,ISNUMBER($Y493)),$Y493/$N493,"")</f>
        <v/>
      </c>
    </row>
    <row r="494" customFormat="false" ht="15" hidden="false" customHeight="true" outlineLevel="0" collapsed="false">
      <c r="A494" s="438" t="n">
        <v>8</v>
      </c>
      <c r="B494" s="157" t="n">
        <v>488</v>
      </c>
      <c r="C494" s="157" t="s">
        <v>5121</v>
      </c>
      <c r="D494" s="157" t="s">
        <v>5383</v>
      </c>
      <c r="E494" s="157" t="n">
        <v>344</v>
      </c>
      <c r="F494" s="157" t="s">
        <v>2581</v>
      </c>
      <c r="G494" s="157" t="s">
        <v>2567</v>
      </c>
      <c r="H494" s="78" t="n">
        <f aca="false">Y494/J494</f>
        <v>125.628140703518</v>
      </c>
      <c r="I494" s="439" t="n">
        <v>43117</v>
      </c>
      <c r="J494" s="157" t="n">
        <v>1592</v>
      </c>
      <c r="L494" s="157" t="n">
        <v>1592</v>
      </c>
      <c r="M494" s="157" t="n">
        <v>1984</v>
      </c>
      <c r="P494" s="157" t="s">
        <v>4407</v>
      </c>
      <c r="R494" s="174" t="s">
        <v>279</v>
      </c>
      <c r="S494" s="157" t="n">
        <v>3842</v>
      </c>
      <c r="T494" s="440" t="n">
        <f aca="false">S494/J494</f>
        <v>2.41331658291457</v>
      </c>
      <c r="U494" s="157" t="s">
        <v>279</v>
      </c>
      <c r="Y494" s="157" t="n">
        <v>200000</v>
      </c>
      <c r="AA494" s="157" t="n">
        <v>200000</v>
      </c>
      <c r="AC494" s="157" t="s">
        <v>5123</v>
      </c>
      <c r="AD494" s="157" t="s">
        <v>5384</v>
      </c>
      <c r="AE494" s="281" t="s">
        <v>5385</v>
      </c>
      <c r="AF494" s="281" t="s">
        <v>5125</v>
      </c>
      <c r="AI494" s="157" t="e">
        <f aca="false">IF(AND($E494=Subj_OccCode,Subj_BldgSF&gt;0,ABS($L494-Subj_BldgSF)&lt;=Subj_BldgSF*Subj_SizeTol),ABS($L494-Subj_BldgSF),NA())</f>
        <v>#N/A</v>
      </c>
      <c r="AJ494" s="1" t="e">
        <f aca="false">IF(ISNA(AI494),NA(),AI494+ROW()/10000000)</f>
        <v>#N/A</v>
      </c>
      <c r="AK494" s="157" t="str">
        <f aca="false">IF(AND(ISNUMBER($N494),$N494&gt;0,ISNUMBER($Y494)),$Y494/$N494,"")</f>
        <v/>
      </c>
    </row>
    <row r="495" customFormat="false" ht="15" hidden="false" customHeight="true" outlineLevel="0" collapsed="false">
      <c r="A495" s="438" t="n">
        <v>8</v>
      </c>
      <c r="B495" s="157" t="n">
        <v>489</v>
      </c>
      <c r="C495" s="157" t="s">
        <v>5386</v>
      </c>
      <c r="D495" s="157" t="s">
        <v>5387</v>
      </c>
      <c r="E495" s="157" t="n">
        <v>350</v>
      </c>
      <c r="F495" s="157" t="s">
        <v>2921</v>
      </c>
      <c r="G495" s="157" t="s">
        <v>2691</v>
      </c>
      <c r="H495" s="78" t="n">
        <f aca="false">Y495/J495</f>
        <v>245.512820512821</v>
      </c>
      <c r="I495" s="439" t="n">
        <v>44124</v>
      </c>
      <c r="J495" s="157" t="n">
        <v>780</v>
      </c>
      <c r="L495" s="157" t="n">
        <v>780</v>
      </c>
      <c r="M495" s="157" t="n">
        <v>1964</v>
      </c>
      <c r="P495" s="157" t="s">
        <v>3280</v>
      </c>
      <c r="R495" s="174" t="s">
        <v>279</v>
      </c>
      <c r="S495" s="157" t="n">
        <v>22012</v>
      </c>
      <c r="T495" s="440" t="n">
        <f aca="false">S495/J495</f>
        <v>28.2205128205128</v>
      </c>
      <c r="U495" s="157" t="s">
        <v>279</v>
      </c>
      <c r="Y495" s="157" t="n">
        <v>191500</v>
      </c>
      <c r="AA495" s="157" t="n">
        <v>191500</v>
      </c>
      <c r="AC495" s="157" t="s">
        <v>5388</v>
      </c>
      <c r="AD495" s="157" t="s">
        <v>5389</v>
      </c>
      <c r="AE495" s="281" t="s">
        <v>5390</v>
      </c>
      <c r="AF495" s="281" t="s">
        <v>5391</v>
      </c>
      <c r="AI495" s="157" t="e">
        <f aca="false">IF(AND($E495=Subj_OccCode,Subj_BldgSF&gt;0,ABS($L495-Subj_BldgSF)&lt;=Subj_BldgSF*Subj_SizeTol),ABS($L495-Subj_BldgSF),NA())</f>
        <v>#N/A</v>
      </c>
      <c r="AJ495" s="1" t="e">
        <f aca="false">IF(ISNA(AI495),NA(),AI495+ROW()/10000000)</f>
        <v>#N/A</v>
      </c>
      <c r="AK495" s="157" t="str">
        <f aca="false">IF(AND(ISNUMBER($N495),$N495&gt;0,ISNUMBER($Y495)),$Y495/$N495,"")</f>
        <v/>
      </c>
    </row>
    <row r="496" customFormat="false" ht="15" hidden="false" customHeight="true" outlineLevel="0" collapsed="false">
      <c r="A496" s="438" t="n">
        <v>8</v>
      </c>
      <c r="B496" s="157" t="n">
        <v>490</v>
      </c>
      <c r="C496" s="157" t="s">
        <v>5392</v>
      </c>
      <c r="D496" s="157" t="s">
        <v>5393</v>
      </c>
      <c r="E496" s="157" t="n">
        <v>426</v>
      </c>
      <c r="F496" s="157" t="s">
        <v>2677</v>
      </c>
      <c r="G496" s="157" t="s">
        <v>354</v>
      </c>
      <c r="H496" s="78" t="n">
        <f aca="false">Y496/J496</f>
        <v>275.683317624882</v>
      </c>
      <c r="I496" s="439" t="n">
        <v>43402</v>
      </c>
      <c r="J496" s="157" t="n">
        <v>2122</v>
      </c>
      <c r="L496" s="157" t="n">
        <v>2122</v>
      </c>
      <c r="M496" s="157" t="n">
        <v>1977</v>
      </c>
      <c r="P496" s="157" t="s">
        <v>4368</v>
      </c>
      <c r="R496" s="174" t="s">
        <v>279</v>
      </c>
      <c r="S496" s="157" t="n">
        <v>25264.8008</v>
      </c>
      <c r="T496" s="440" t="n">
        <f aca="false">S496/J496</f>
        <v>11.90612667295</v>
      </c>
      <c r="U496" s="157" t="s">
        <v>279</v>
      </c>
      <c r="Y496" s="157" t="n">
        <v>585000</v>
      </c>
      <c r="AA496" s="157" t="n">
        <v>585000</v>
      </c>
      <c r="AC496" s="157" t="s">
        <v>5394</v>
      </c>
      <c r="AD496" s="157" t="s">
        <v>5395</v>
      </c>
      <c r="AE496" s="281" t="s">
        <v>5396</v>
      </c>
      <c r="AF496" s="281" t="s">
        <v>5397</v>
      </c>
      <c r="AI496" s="157" t="e">
        <f aca="false">IF(AND($E496=Subj_OccCode,Subj_BldgSF&gt;0,ABS($L496-Subj_BldgSF)&lt;=Subj_BldgSF*Subj_SizeTol),ABS($L496-Subj_BldgSF),NA())</f>
        <v>#N/A</v>
      </c>
      <c r="AJ496" s="1" t="e">
        <f aca="false">IF(ISNA(AI496),NA(),AI496+ROW()/10000000)</f>
        <v>#N/A</v>
      </c>
      <c r="AK496" s="157" t="str">
        <f aca="false">IF(AND(ISNUMBER($N496),$N496&gt;0,ISNUMBER($Y496)),$Y496/$N496,"")</f>
        <v/>
      </c>
    </row>
    <row r="497" customFormat="false" ht="15" hidden="false" customHeight="true" outlineLevel="0" collapsed="false">
      <c r="A497" s="438" t="n">
        <v>8</v>
      </c>
      <c r="B497" s="157" t="n">
        <v>491</v>
      </c>
      <c r="C497" s="157" t="s">
        <v>5398</v>
      </c>
      <c r="D497" s="157" t="s">
        <v>5399</v>
      </c>
      <c r="E497" s="157" t="n">
        <v>419</v>
      </c>
      <c r="F497" s="157" t="s">
        <v>3272</v>
      </c>
      <c r="G497" s="157" t="s">
        <v>2567</v>
      </c>
      <c r="H497" s="78" t="n">
        <f aca="false">Y497/J497</f>
        <v>520.833333333333</v>
      </c>
      <c r="I497" s="439" t="n">
        <v>44676</v>
      </c>
      <c r="J497" s="157" t="n">
        <v>2400</v>
      </c>
      <c r="L497" s="157" t="n">
        <v>2400</v>
      </c>
      <c r="M497" s="157" t="n">
        <v>1974</v>
      </c>
      <c r="P497" s="157" t="s">
        <v>3273</v>
      </c>
      <c r="R497" s="174" t="s">
        <v>279</v>
      </c>
      <c r="S497" s="157" t="n">
        <v>20000</v>
      </c>
      <c r="T497" s="440" t="n">
        <f aca="false">S497/J497</f>
        <v>8.33333333333333</v>
      </c>
      <c r="U497" s="157" t="s">
        <v>279</v>
      </c>
      <c r="Y497" s="157" t="n">
        <v>1250000</v>
      </c>
      <c r="AA497" s="157" t="n">
        <v>1250000</v>
      </c>
      <c r="AC497" s="157" t="s">
        <v>5400</v>
      </c>
      <c r="AD497" s="157" t="s">
        <v>5401</v>
      </c>
      <c r="AE497" s="281" t="s">
        <v>5402</v>
      </c>
      <c r="AF497" s="281" t="s">
        <v>5403</v>
      </c>
      <c r="AI497" s="157" t="e">
        <f aca="false">IF(AND($E497=Subj_OccCode,Subj_BldgSF&gt;0,ABS($L497-Subj_BldgSF)&lt;=Subj_BldgSF*Subj_SizeTol),ABS($L497-Subj_BldgSF),NA())</f>
        <v>#N/A</v>
      </c>
      <c r="AJ497" s="1" t="e">
        <f aca="false">IF(ISNA(AI497),NA(),AI497+ROW()/10000000)</f>
        <v>#N/A</v>
      </c>
      <c r="AK497" s="157" t="str">
        <f aca="false">IF(AND(ISNUMBER($N497),$N497&gt;0,ISNUMBER($Y497)),$Y497/$N497,"")</f>
        <v/>
      </c>
    </row>
    <row r="498" customFormat="false" ht="15" hidden="false" customHeight="true" outlineLevel="0" collapsed="false">
      <c r="A498" s="438" t="n">
        <v>8</v>
      </c>
      <c r="B498" s="157" t="n">
        <v>492</v>
      </c>
      <c r="C498" s="157" t="s">
        <v>5404</v>
      </c>
      <c r="D498" s="157" t="s">
        <v>5405</v>
      </c>
      <c r="E498" s="157" t="n">
        <v>353</v>
      </c>
      <c r="F498" s="157" t="s">
        <v>2677</v>
      </c>
      <c r="G498" s="157" t="s">
        <v>2567</v>
      </c>
      <c r="H498" s="78" t="n">
        <f aca="false">Y498/J498</f>
        <v>222.556894243641</v>
      </c>
      <c r="I498" s="439" t="n">
        <v>43614</v>
      </c>
      <c r="J498" s="157" t="n">
        <v>2988</v>
      </c>
      <c r="L498" s="157" t="n">
        <v>2988</v>
      </c>
      <c r="M498" s="157" t="n">
        <v>1979</v>
      </c>
      <c r="P498" s="157" t="s">
        <v>4368</v>
      </c>
      <c r="R498" s="174" t="s">
        <v>279</v>
      </c>
      <c r="S498" s="157" t="n">
        <v>30800</v>
      </c>
      <c r="T498" s="440" t="n">
        <f aca="false">S498/J498</f>
        <v>10.3078982597055</v>
      </c>
      <c r="U498" s="157" t="s">
        <v>279</v>
      </c>
      <c r="Y498" s="157" t="n">
        <v>665000</v>
      </c>
      <c r="AA498" s="157" t="n">
        <v>665000</v>
      </c>
      <c r="AC498" s="157" t="s">
        <v>5406</v>
      </c>
      <c r="AD498" s="157" t="s">
        <v>5407</v>
      </c>
      <c r="AE498" s="281" t="s">
        <v>5408</v>
      </c>
      <c r="AF498" s="281" t="s">
        <v>5409</v>
      </c>
      <c r="AI498" s="157" t="e">
        <f aca="false">IF(AND($E498=Subj_OccCode,Subj_BldgSF&gt;0,ABS($L498-Subj_BldgSF)&lt;=Subj_BldgSF*Subj_SizeTol),ABS($L498-Subj_BldgSF),NA())</f>
        <v>#N/A</v>
      </c>
      <c r="AJ498" s="1" t="e">
        <f aca="false">IF(ISNA(AI498),NA(),AI498+ROW()/10000000)</f>
        <v>#N/A</v>
      </c>
      <c r="AK498" s="157" t="str">
        <f aca="false">IF(AND(ISNUMBER($N498),$N498&gt;0,ISNUMBER($Y498)),$Y498/$N498,"")</f>
        <v/>
      </c>
    </row>
    <row r="499" customFormat="false" ht="15" hidden="false" customHeight="true" outlineLevel="0" collapsed="false">
      <c r="A499" s="438" t="n">
        <v>8</v>
      </c>
      <c r="B499" s="157" t="n">
        <v>493</v>
      </c>
      <c r="C499" s="157" t="s">
        <v>5410</v>
      </c>
      <c r="D499" s="157" t="s">
        <v>5411</v>
      </c>
      <c r="E499" s="157" t="n">
        <v>325</v>
      </c>
      <c r="G499" s="157" t="s">
        <v>2691</v>
      </c>
      <c r="H499" s="78" t="n">
        <f aca="false">Y499/J499</f>
        <v>206.218274111675</v>
      </c>
      <c r="I499" s="439" t="n">
        <v>43259</v>
      </c>
      <c r="J499" s="157" t="n">
        <v>1576</v>
      </c>
      <c r="L499" s="157" t="n">
        <v>1576</v>
      </c>
      <c r="M499" s="157" t="n">
        <v>1958</v>
      </c>
      <c r="R499" s="174" t="s">
        <v>279</v>
      </c>
      <c r="S499" s="157" t="n">
        <v>19471.32</v>
      </c>
      <c r="T499" s="440" t="n">
        <f aca="false">S499/J499</f>
        <v>12.3548984771574</v>
      </c>
      <c r="U499" s="157" t="s">
        <v>279</v>
      </c>
      <c r="Y499" s="157" t="n">
        <v>325000</v>
      </c>
      <c r="AA499" s="157" t="n">
        <v>325000</v>
      </c>
      <c r="AC499" s="157" t="s">
        <v>5412</v>
      </c>
      <c r="AD499" s="157" t="s">
        <v>5413</v>
      </c>
      <c r="AE499" s="281" t="s">
        <v>5414</v>
      </c>
      <c r="AF499" s="281" t="s">
        <v>5415</v>
      </c>
      <c r="AI499" s="157" t="e">
        <f aca="false">IF(AND($E499=Subj_OccCode,Subj_BldgSF&gt;0,ABS($L499-Subj_BldgSF)&lt;=Subj_BldgSF*Subj_SizeTol),ABS($L499-Subj_BldgSF),NA())</f>
        <v>#N/A</v>
      </c>
      <c r="AJ499" s="1" t="e">
        <f aca="false">IF(ISNA(AI499),NA(),AI499+ROW()/10000000)</f>
        <v>#N/A</v>
      </c>
      <c r="AK499" s="157" t="str">
        <f aca="false">IF(AND(ISNUMBER($N499),$N499&gt;0,ISNUMBER($Y499)),$Y499/$N499,"")</f>
        <v/>
      </c>
    </row>
    <row r="500" customFormat="false" ht="15" hidden="false" customHeight="true" outlineLevel="0" collapsed="false">
      <c r="A500" s="438" t="n">
        <v>8</v>
      </c>
      <c r="B500" s="157" t="n">
        <v>494</v>
      </c>
      <c r="C500" s="157" t="s">
        <v>5416</v>
      </c>
      <c r="D500" s="157" t="s">
        <v>5417</v>
      </c>
      <c r="E500" s="157" t="n">
        <v>325</v>
      </c>
      <c r="F500" s="157" t="s">
        <v>2595</v>
      </c>
      <c r="G500" s="157" t="s">
        <v>2596</v>
      </c>
      <c r="H500" s="78" t="n">
        <f aca="false">Y500/J500</f>
        <v>171.428571428571</v>
      </c>
      <c r="I500" s="439" t="n">
        <v>44344</v>
      </c>
      <c r="J500" s="157" t="n">
        <v>3500</v>
      </c>
      <c r="L500" s="157" t="n">
        <v>3500</v>
      </c>
      <c r="M500" s="157" t="n">
        <v>1957</v>
      </c>
      <c r="P500" s="157" t="s">
        <v>3493</v>
      </c>
      <c r="R500" s="174" t="s">
        <v>279</v>
      </c>
      <c r="S500" s="157" t="n">
        <v>6250</v>
      </c>
      <c r="T500" s="440" t="n">
        <f aca="false">S500/J500</f>
        <v>1.78571428571429</v>
      </c>
      <c r="U500" s="157" t="s">
        <v>279</v>
      </c>
      <c r="Y500" s="157" t="n">
        <v>600000</v>
      </c>
      <c r="AA500" s="157" t="n">
        <v>600000</v>
      </c>
      <c r="AC500" s="157" t="s">
        <v>5418</v>
      </c>
      <c r="AD500" s="157" t="s">
        <v>5419</v>
      </c>
      <c r="AE500" s="281" t="s">
        <v>5420</v>
      </c>
      <c r="AF500" s="281" t="s">
        <v>5421</v>
      </c>
      <c r="AI500" s="157" t="e">
        <f aca="false">IF(AND($E500=Subj_OccCode,Subj_BldgSF&gt;0,ABS($L500-Subj_BldgSF)&lt;=Subj_BldgSF*Subj_SizeTol),ABS($L500-Subj_BldgSF),NA())</f>
        <v>#N/A</v>
      </c>
      <c r="AJ500" s="1" t="e">
        <f aca="false">IF(ISNA(AI500),NA(),AI500+ROW()/10000000)</f>
        <v>#N/A</v>
      </c>
      <c r="AK500" s="157" t="str">
        <f aca="false">IF(AND(ISNUMBER($N500),$N500&gt;0,ISNUMBER($Y500)),$Y500/$N500,"")</f>
        <v/>
      </c>
    </row>
    <row r="501" customFormat="false" ht="15" hidden="false" customHeight="true" outlineLevel="0" collapsed="false">
      <c r="A501" s="438" t="n">
        <v>8</v>
      </c>
      <c r="B501" s="157" t="n">
        <v>495</v>
      </c>
      <c r="C501" s="157" t="s">
        <v>5422</v>
      </c>
      <c r="D501" s="157" t="s">
        <v>5423</v>
      </c>
      <c r="E501" s="157" t="n">
        <v>344</v>
      </c>
      <c r="F501" s="157" t="s">
        <v>260</v>
      </c>
      <c r="G501" s="157" t="s">
        <v>353</v>
      </c>
      <c r="H501" s="78" t="n">
        <f aca="false">Y501/J501</f>
        <v>347.222222222222</v>
      </c>
      <c r="I501" s="439" t="n">
        <v>44532</v>
      </c>
      <c r="J501" s="157" t="n">
        <v>1152</v>
      </c>
      <c r="L501" s="157" t="n">
        <v>1152</v>
      </c>
      <c r="M501" s="157" t="n">
        <v>1972</v>
      </c>
      <c r="P501" s="157" t="s">
        <v>3265</v>
      </c>
      <c r="R501" s="174" t="s">
        <v>279</v>
      </c>
      <c r="S501" s="157" t="n">
        <v>8775</v>
      </c>
      <c r="T501" s="440" t="n">
        <f aca="false">S501/J501</f>
        <v>7.6171875</v>
      </c>
      <c r="U501" s="157" t="s">
        <v>279</v>
      </c>
      <c r="Y501" s="157" t="n">
        <v>400000</v>
      </c>
      <c r="AA501" s="157" t="n">
        <v>400000</v>
      </c>
      <c r="AC501" s="157" t="s">
        <v>5424</v>
      </c>
      <c r="AD501" s="157" t="s">
        <v>5425</v>
      </c>
      <c r="AE501" s="157" t="s">
        <v>5426</v>
      </c>
      <c r="AF501" s="157" t="s">
        <v>5427</v>
      </c>
      <c r="AI501" s="157" t="e">
        <f aca="false">IF(AND($E501=Subj_OccCode,Subj_BldgSF&gt;0,ABS($L501-Subj_BldgSF)&lt;=Subj_BldgSF*Subj_SizeTol),ABS($L501-Subj_BldgSF),NA())</f>
        <v>#N/A</v>
      </c>
      <c r="AJ501" s="1" t="e">
        <f aca="false">IF(ISNA(AI501),NA(),AI501+ROW()/10000000)</f>
        <v>#N/A</v>
      </c>
      <c r="AK501" s="157" t="str">
        <f aca="false">IF(AND(ISNUMBER($N501),$N501&gt;0,ISNUMBER($Y501)),$Y501/$N501,"")</f>
        <v/>
      </c>
    </row>
    <row r="502" customFormat="false" ht="15" hidden="false" customHeight="true" outlineLevel="0" collapsed="false">
      <c r="A502" s="438" t="n">
        <v>8</v>
      </c>
      <c r="B502" s="157" t="n">
        <v>496</v>
      </c>
      <c r="C502" s="157" t="s">
        <v>5428</v>
      </c>
      <c r="D502" s="157" t="s">
        <v>5429</v>
      </c>
      <c r="E502" s="157" t="n">
        <v>412</v>
      </c>
      <c r="F502" s="157" t="s">
        <v>3272</v>
      </c>
      <c r="G502" s="157" t="s">
        <v>2567</v>
      </c>
      <c r="H502" s="78" t="n">
        <f aca="false">Y502/J502</f>
        <v>120.435789637588</v>
      </c>
      <c r="I502" s="439" t="n">
        <v>43735</v>
      </c>
      <c r="J502" s="157" t="n">
        <v>102756</v>
      </c>
      <c r="L502" s="157" t="n">
        <v>102756</v>
      </c>
      <c r="M502" s="157" t="n">
        <v>1973</v>
      </c>
      <c r="P502" s="157" t="s">
        <v>3273</v>
      </c>
      <c r="R502" s="174" t="s">
        <v>483</v>
      </c>
      <c r="S502" s="157" t="n">
        <v>348480</v>
      </c>
      <c r="T502" s="440" t="n">
        <f aca="false">S502/J502</f>
        <v>3.39133481256569</v>
      </c>
      <c r="U502" s="157" t="s">
        <v>483</v>
      </c>
      <c r="Y502" s="157" t="n">
        <v>12375500</v>
      </c>
      <c r="AA502" s="157" t="n">
        <v>12375500</v>
      </c>
      <c r="AC502" s="157" t="s">
        <v>5430</v>
      </c>
      <c r="AD502" s="157" t="s">
        <v>5431</v>
      </c>
      <c r="AE502" s="157" t="s">
        <v>5432</v>
      </c>
      <c r="AF502" s="157" t="s">
        <v>5433</v>
      </c>
      <c r="AI502" s="157" t="e">
        <f aca="false">IF(AND($E502=Subj_OccCode,Subj_BldgSF&gt;0,ABS($L502-Subj_BldgSF)&lt;=Subj_BldgSF*Subj_SizeTol),ABS($L502-Subj_BldgSF),NA())</f>
        <v>#N/A</v>
      </c>
      <c r="AJ502" s="1" t="e">
        <f aca="false">IF(ISNA(AI502),NA(),AI502+ROW()/10000000)</f>
        <v>#N/A</v>
      </c>
      <c r="AK502" s="157" t="str">
        <f aca="false">IF(AND(ISNUMBER($N502),$N502&gt;0,ISNUMBER($Y502)),$Y502/$N502,"")</f>
        <v/>
      </c>
    </row>
    <row r="503" customFormat="false" ht="15" hidden="false" customHeight="true" outlineLevel="0" collapsed="false">
      <c r="A503" s="438" t="n">
        <v>8</v>
      </c>
      <c r="B503" s="157" t="n">
        <v>497</v>
      </c>
      <c r="C503" s="157" t="s">
        <v>5434</v>
      </c>
      <c r="D503" s="157" t="s">
        <v>5435</v>
      </c>
      <c r="E503" s="157" t="n">
        <v>353</v>
      </c>
      <c r="F503" s="157" t="s">
        <v>3272</v>
      </c>
      <c r="G503" s="157" t="s">
        <v>2567</v>
      </c>
      <c r="H503" s="78" t="n">
        <f aca="false">Y503/J503</f>
        <v>252.97619047619</v>
      </c>
      <c r="I503" s="439" t="n">
        <v>44245</v>
      </c>
      <c r="J503" s="157" t="n">
        <v>6720</v>
      </c>
      <c r="L503" s="157" t="n">
        <v>6720</v>
      </c>
      <c r="M503" s="157" t="n">
        <v>1999</v>
      </c>
      <c r="P503" s="157" t="s">
        <v>3273</v>
      </c>
      <c r="R503" s="174" t="s">
        <v>279</v>
      </c>
      <c r="S503" s="157" t="n">
        <v>49963.3203</v>
      </c>
      <c r="T503" s="440" t="n">
        <f aca="false">S503/J503</f>
        <v>7.43501790178571</v>
      </c>
      <c r="U503" s="157" t="s">
        <v>483</v>
      </c>
      <c r="Y503" s="157" t="n">
        <v>1700000</v>
      </c>
      <c r="AA503" s="157" t="n">
        <v>1700000</v>
      </c>
      <c r="AC503" s="157" t="s">
        <v>5436</v>
      </c>
      <c r="AD503" s="157" t="s">
        <v>5437</v>
      </c>
      <c r="AE503" s="157" t="s">
        <v>5438</v>
      </c>
      <c r="AF503" s="157" t="s">
        <v>5439</v>
      </c>
      <c r="AI503" s="157" t="e">
        <f aca="false">IF(AND($E503=Subj_OccCode,Subj_BldgSF&gt;0,ABS($L503-Subj_BldgSF)&lt;=Subj_BldgSF*Subj_SizeTol),ABS($L503-Subj_BldgSF),NA())</f>
        <v>#N/A</v>
      </c>
      <c r="AJ503" s="1" t="e">
        <f aca="false">IF(ISNA(AI503),NA(),AI503+ROW()/10000000)</f>
        <v>#N/A</v>
      </c>
      <c r="AK503" s="157" t="str">
        <f aca="false">IF(AND(ISNUMBER($N503),$N503&gt;0,ISNUMBER($Y503)),$Y503/$N503,"")</f>
        <v/>
      </c>
    </row>
    <row r="504" customFormat="false" ht="15" hidden="false" customHeight="true" outlineLevel="0" collapsed="false">
      <c r="A504" s="438" t="n">
        <v>8</v>
      </c>
      <c r="B504" s="157" t="n">
        <v>498</v>
      </c>
      <c r="C504" s="157" t="s">
        <v>5440</v>
      </c>
      <c r="D504" s="157" t="s">
        <v>5441</v>
      </c>
      <c r="E504" s="157" t="n">
        <v>406</v>
      </c>
      <c r="F504" s="157" t="s">
        <v>260</v>
      </c>
      <c r="G504" s="157" t="s">
        <v>353</v>
      </c>
      <c r="H504" s="78" t="n">
        <f aca="false">Y504/J504</f>
        <v>113.714679531358</v>
      </c>
      <c r="I504" s="439" t="n">
        <v>44155</v>
      </c>
      <c r="J504" s="157" t="n">
        <v>1451</v>
      </c>
      <c r="L504" s="157" t="n">
        <v>1451</v>
      </c>
      <c r="M504" s="157" t="n">
        <v>1936</v>
      </c>
      <c r="P504" s="157" t="s">
        <v>3265</v>
      </c>
      <c r="R504" s="174" t="s">
        <v>279</v>
      </c>
      <c r="S504" s="157" t="n">
        <v>2350</v>
      </c>
      <c r="T504" s="440" t="n">
        <f aca="false">S504/J504</f>
        <v>1.61957270847691</v>
      </c>
      <c r="U504" s="157" t="s">
        <v>279</v>
      </c>
      <c r="Y504" s="157" t="n">
        <v>165000</v>
      </c>
      <c r="AA504" s="157" t="n">
        <v>165000</v>
      </c>
      <c r="AC504" s="157" t="s">
        <v>5442</v>
      </c>
      <c r="AD504" s="157" t="s">
        <v>5443</v>
      </c>
      <c r="AE504" s="157" t="s">
        <v>5444</v>
      </c>
      <c r="AF504" s="157" t="s">
        <v>5445</v>
      </c>
      <c r="AI504" s="157" t="e">
        <f aca="false">IF(AND($E504=Subj_OccCode,Subj_BldgSF&gt;0,ABS($L504-Subj_BldgSF)&lt;=Subj_BldgSF*Subj_SizeTol),ABS($L504-Subj_BldgSF),NA())</f>
        <v>#N/A</v>
      </c>
      <c r="AJ504" s="1" t="e">
        <f aca="false">IF(ISNA(AI504),NA(),AI504+ROW()/10000000)</f>
        <v>#N/A</v>
      </c>
      <c r="AK504" s="157" t="str">
        <f aca="false">IF(AND(ISNUMBER($N504),$N504&gt;0,ISNUMBER($Y504)),$Y504/$N504,"")</f>
        <v/>
      </c>
    </row>
    <row r="505" customFormat="false" ht="15" hidden="false" customHeight="true" outlineLevel="0" collapsed="false">
      <c r="A505" s="438" t="n">
        <v>8</v>
      </c>
      <c r="B505" s="157" t="n">
        <v>499</v>
      </c>
      <c r="C505" s="157" t="s">
        <v>2975</v>
      </c>
      <c r="D505" s="157" t="s">
        <v>5446</v>
      </c>
      <c r="E505" s="157" t="n">
        <v>334</v>
      </c>
      <c r="F505" s="157" t="s">
        <v>2677</v>
      </c>
      <c r="G505" s="157" t="s">
        <v>354</v>
      </c>
      <c r="H505" s="78" t="n">
        <f aca="false">Y505/J505</f>
        <v>125.7577136616</v>
      </c>
      <c r="I505" s="439" t="n">
        <v>43490</v>
      </c>
      <c r="J505" s="157" t="n">
        <v>32961</v>
      </c>
      <c r="L505" s="157" t="n">
        <v>32961</v>
      </c>
      <c r="M505" s="157" t="n">
        <v>1983</v>
      </c>
      <c r="P505" s="157" t="s">
        <v>4368</v>
      </c>
      <c r="R505" s="174" t="s">
        <v>483</v>
      </c>
      <c r="S505" s="157" t="n">
        <v>112471</v>
      </c>
      <c r="T505" s="440" t="n">
        <f aca="false">S505/J505</f>
        <v>3.412244774127</v>
      </c>
      <c r="U505" s="157" t="s">
        <v>279</v>
      </c>
      <c r="Y505" s="157" t="n">
        <v>4145100</v>
      </c>
      <c r="AA505" s="157" t="n">
        <v>4145100</v>
      </c>
      <c r="AC505" s="157" t="s">
        <v>2977</v>
      </c>
      <c r="AD505" s="157" t="s">
        <v>5447</v>
      </c>
      <c r="AE505" s="157" t="s">
        <v>5448</v>
      </c>
      <c r="AF505" s="157" t="s">
        <v>2979</v>
      </c>
      <c r="AI505" s="157" t="e">
        <f aca="false">IF(AND($E505=Subj_OccCode,Subj_BldgSF&gt;0,ABS($L505-Subj_BldgSF)&lt;=Subj_BldgSF*Subj_SizeTol),ABS($L505-Subj_BldgSF),NA())</f>
        <v>#N/A</v>
      </c>
      <c r="AJ505" s="1" t="e">
        <f aca="false">IF(ISNA(AI505),NA(),AI505+ROW()/10000000)</f>
        <v>#N/A</v>
      </c>
      <c r="AK505" s="157" t="str">
        <f aca="false">IF(AND(ISNUMBER($N505),$N505&gt;0,ISNUMBER($Y505)),$Y505/$N505,"")</f>
        <v/>
      </c>
    </row>
    <row r="506" customFormat="false" ht="15" hidden="false" customHeight="true" outlineLevel="0" collapsed="false">
      <c r="A506" s="438" t="n">
        <v>8</v>
      </c>
      <c r="B506" s="157" t="n">
        <v>500</v>
      </c>
      <c r="C506" s="157" t="s">
        <v>3186</v>
      </c>
      <c r="D506" s="157" t="s">
        <v>5449</v>
      </c>
      <c r="E506" s="157" t="n">
        <v>425</v>
      </c>
      <c r="G506" s="157" t="s">
        <v>2691</v>
      </c>
      <c r="H506" s="78" t="n">
        <f aca="false">Y506/J506</f>
        <v>183.333333333333</v>
      </c>
      <c r="I506" s="439" t="n">
        <v>43168</v>
      </c>
      <c r="J506" s="157" t="n">
        <v>1500</v>
      </c>
      <c r="L506" s="157" t="n">
        <v>1500</v>
      </c>
      <c r="M506" s="157" t="n">
        <v>1984</v>
      </c>
      <c r="P506" s="157" t="s">
        <v>2692</v>
      </c>
      <c r="R506" s="174" t="s">
        <v>279</v>
      </c>
      <c r="S506" s="157" t="n">
        <v>4340</v>
      </c>
      <c r="T506" s="440" t="n">
        <f aca="false">S506/J506</f>
        <v>2.89333333333333</v>
      </c>
      <c r="U506" s="157" t="s">
        <v>279</v>
      </c>
      <c r="Y506" s="157" t="n">
        <v>275000</v>
      </c>
      <c r="AA506" s="157" t="n">
        <v>275000</v>
      </c>
      <c r="AC506" s="157" t="s">
        <v>3188</v>
      </c>
      <c r="AD506" s="157" t="s">
        <v>5450</v>
      </c>
      <c r="AE506" s="157" t="s">
        <v>5451</v>
      </c>
      <c r="AF506" s="157" t="s">
        <v>3190</v>
      </c>
      <c r="AI506" s="157" t="e">
        <f aca="false">IF(AND($E506=Subj_OccCode,Subj_BldgSF&gt;0,ABS($L506-Subj_BldgSF)&lt;=Subj_BldgSF*Subj_SizeTol),ABS($L506-Subj_BldgSF),NA())</f>
        <v>#N/A</v>
      </c>
      <c r="AJ506" s="1" t="e">
        <f aca="false">IF(ISNA(AI506),NA(),AI506+ROW()/10000000)</f>
        <v>#N/A</v>
      </c>
      <c r="AK506" s="157" t="str">
        <f aca="false">IF(AND(ISNUMBER($N506),$N506&gt;0,ISNUMBER($Y506)),$Y506/$N506,"")</f>
        <v/>
      </c>
    </row>
    <row r="507" customFormat="false" ht="15" hidden="false" customHeight="true" outlineLevel="0" collapsed="false">
      <c r="A507" s="438" t="n">
        <v>8</v>
      </c>
      <c r="B507" s="157" t="n">
        <v>501</v>
      </c>
      <c r="C507" s="157" t="s">
        <v>5452</v>
      </c>
      <c r="D507" s="157" t="s">
        <v>5453</v>
      </c>
      <c r="E507" s="157" t="n">
        <v>419</v>
      </c>
      <c r="G507" s="157" t="s">
        <v>2691</v>
      </c>
      <c r="H507" s="78" t="n">
        <f aca="false">Y507/J507</f>
        <v>1111.11111111111</v>
      </c>
      <c r="I507" s="439" t="n">
        <v>44692</v>
      </c>
      <c r="J507" s="157" t="n">
        <v>2700</v>
      </c>
      <c r="L507" s="157" t="n">
        <v>2700</v>
      </c>
      <c r="M507" s="157" t="n">
        <v>1995</v>
      </c>
      <c r="P507" s="157" t="s">
        <v>2692</v>
      </c>
      <c r="R507" s="174" t="s">
        <v>279</v>
      </c>
      <c r="S507" s="157" t="n">
        <v>110640</v>
      </c>
      <c r="T507" s="440" t="n">
        <f aca="false">S507/J507</f>
        <v>40.9777777777778</v>
      </c>
      <c r="U507" s="157" t="s">
        <v>279</v>
      </c>
      <c r="Y507" s="157" t="n">
        <v>3000000</v>
      </c>
      <c r="AA507" s="157" t="n">
        <v>3000000</v>
      </c>
      <c r="AC507" s="157" t="s">
        <v>5454</v>
      </c>
      <c r="AD507" s="157" t="s">
        <v>5455</v>
      </c>
      <c r="AE507" s="157" t="s">
        <v>5456</v>
      </c>
      <c r="AF507" s="157" t="s">
        <v>5457</v>
      </c>
      <c r="AI507" s="157" t="e">
        <f aca="false">IF(AND($E507=Subj_OccCode,Subj_BldgSF&gt;0,ABS($L507-Subj_BldgSF)&lt;=Subj_BldgSF*Subj_SizeTol),ABS($L507-Subj_BldgSF),NA())</f>
        <v>#N/A</v>
      </c>
      <c r="AJ507" s="1" t="e">
        <f aca="false">IF(ISNA(AI507),NA(),AI507+ROW()/10000000)</f>
        <v>#N/A</v>
      </c>
      <c r="AK507" s="157" t="str">
        <f aca="false">IF(AND(ISNUMBER($N507),$N507&gt;0,ISNUMBER($Y507)),$Y507/$N507,"")</f>
        <v/>
      </c>
    </row>
    <row r="508" customFormat="false" ht="15" hidden="false" customHeight="true" outlineLevel="0" collapsed="false">
      <c r="A508" s="438" t="n">
        <v>8</v>
      </c>
      <c r="B508" s="157" t="n">
        <v>502</v>
      </c>
      <c r="C508" s="157" t="s">
        <v>5458</v>
      </c>
      <c r="D508" s="157" t="s">
        <v>5459</v>
      </c>
      <c r="E508" s="157" t="n">
        <v>406</v>
      </c>
      <c r="G508" s="157" t="s">
        <v>2691</v>
      </c>
      <c r="H508" s="78" t="n">
        <f aca="false">Y508/J508</f>
        <v>150.111234705228</v>
      </c>
      <c r="I508" s="439" t="n">
        <v>44270</v>
      </c>
      <c r="J508" s="157" t="n">
        <v>17980</v>
      </c>
      <c r="L508" s="157" t="n">
        <v>17980</v>
      </c>
      <c r="M508" s="157" t="n">
        <v>1986</v>
      </c>
      <c r="P508" s="157" t="s">
        <v>2692</v>
      </c>
      <c r="R508" s="174" t="s">
        <v>279</v>
      </c>
      <c r="S508" s="157" t="n">
        <v>76200</v>
      </c>
      <c r="T508" s="440" t="n">
        <f aca="false">S508/J508</f>
        <v>4.23804226918799</v>
      </c>
      <c r="U508" s="157" t="s">
        <v>279</v>
      </c>
      <c r="Y508" s="157" t="n">
        <v>2699000</v>
      </c>
      <c r="AA508" s="157" t="n">
        <v>2699000</v>
      </c>
      <c r="AC508" s="157" t="s">
        <v>5460</v>
      </c>
      <c r="AD508" s="157" t="s">
        <v>5461</v>
      </c>
      <c r="AE508" s="157" t="s">
        <v>5462</v>
      </c>
      <c r="AF508" s="157" t="s">
        <v>5463</v>
      </c>
      <c r="AI508" s="157" t="e">
        <f aca="false">IF(AND($E508=Subj_OccCode,Subj_BldgSF&gt;0,ABS($L508-Subj_BldgSF)&lt;=Subj_BldgSF*Subj_SizeTol),ABS($L508-Subj_BldgSF),NA())</f>
        <v>#N/A</v>
      </c>
      <c r="AJ508" s="1" t="e">
        <f aca="false">IF(ISNA(AI508),NA(),AI508+ROW()/10000000)</f>
        <v>#N/A</v>
      </c>
      <c r="AK508" s="157" t="str">
        <f aca="false">IF(AND(ISNUMBER($N508),$N508&gt;0,ISNUMBER($Y508)),$Y508/$N508,"")</f>
        <v/>
      </c>
    </row>
    <row r="509" customFormat="false" ht="15" hidden="false" customHeight="true" outlineLevel="0" collapsed="false">
      <c r="A509" s="438" t="n">
        <v>8</v>
      </c>
      <c r="B509" s="157" t="n">
        <v>503</v>
      </c>
      <c r="C509" s="157" t="s">
        <v>5464</v>
      </c>
      <c r="D509" s="157" t="s">
        <v>5465</v>
      </c>
      <c r="E509" s="157" t="n">
        <v>325</v>
      </c>
      <c r="F509" s="157" t="s">
        <v>2921</v>
      </c>
      <c r="G509" s="157" t="s">
        <v>2691</v>
      </c>
      <c r="H509" s="78" t="n">
        <f aca="false">Y509/J509</f>
        <v>283.695652173913</v>
      </c>
      <c r="I509" s="439" t="n">
        <v>44715</v>
      </c>
      <c r="J509" s="157" t="n">
        <v>4600</v>
      </c>
      <c r="L509" s="157" t="n">
        <v>4600</v>
      </c>
      <c r="M509" s="157" t="n">
        <v>1973</v>
      </c>
      <c r="P509" s="157" t="s">
        <v>3009</v>
      </c>
      <c r="R509" s="174" t="s">
        <v>279</v>
      </c>
      <c r="S509" s="157" t="n">
        <v>16800</v>
      </c>
      <c r="T509" s="440" t="n">
        <f aca="false">S509/J509</f>
        <v>3.65217391304348</v>
      </c>
      <c r="U509" s="157" t="s">
        <v>279</v>
      </c>
      <c r="Y509" s="157" t="n">
        <v>1305000</v>
      </c>
      <c r="AA509" s="157" t="n">
        <v>1305000</v>
      </c>
      <c r="AC509" s="157" t="s">
        <v>5466</v>
      </c>
      <c r="AD509" s="157" t="s">
        <v>5467</v>
      </c>
      <c r="AE509" s="157" t="s">
        <v>3031</v>
      </c>
      <c r="AF509" s="157" t="s">
        <v>5468</v>
      </c>
      <c r="AI509" s="157" t="e">
        <f aca="false">IF(AND($E509=Subj_OccCode,Subj_BldgSF&gt;0,ABS($L509-Subj_BldgSF)&lt;=Subj_BldgSF*Subj_SizeTol),ABS($L509-Subj_BldgSF),NA())</f>
        <v>#N/A</v>
      </c>
      <c r="AJ509" s="1" t="e">
        <f aca="false">IF(ISNA(AI509),NA(),AI509+ROW()/10000000)</f>
        <v>#N/A</v>
      </c>
      <c r="AK509" s="157" t="str">
        <f aca="false">IF(AND(ISNUMBER($N509),$N509&gt;0,ISNUMBER($Y509)),$Y509/$N509,"")</f>
        <v/>
      </c>
    </row>
    <row r="510" customFormat="false" ht="15" hidden="false" customHeight="true" outlineLevel="0" collapsed="false">
      <c r="A510" s="438" t="n">
        <v>8</v>
      </c>
      <c r="B510" s="157" t="n">
        <v>504</v>
      </c>
      <c r="C510" s="157" t="s">
        <v>5469</v>
      </c>
      <c r="D510" s="157" t="s">
        <v>5470</v>
      </c>
      <c r="E510" s="157" t="n">
        <v>325</v>
      </c>
      <c r="F510" s="157" t="s">
        <v>2566</v>
      </c>
      <c r="G510" s="157" t="s">
        <v>2567</v>
      </c>
      <c r="H510" s="78" t="n">
        <f aca="false">Y510/J510</f>
        <v>168.454363757495</v>
      </c>
      <c r="I510" s="439" t="n">
        <v>43440</v>
      </c>
      <c r="J510" s="157" t="n">
        <v>30020</v>
      </c>
      <c r="L510" s="157" t="n">
        <v>30020</v>
      </c>
      <c r="M510" s="157" t="n">
        <v>1973</v>
      </c>
      <c r="P510" s="157" t="s">
        <v>4325</v>
      </c>
      <c r="R510" s="174" t="s">
        <v>279</v>
      </c>
      <c r="S510" s="157" t="n">
        <v>120456</v>
      </c>
      <c r="T510" s="440" t="n">
        <f aca="false">S510/J510</f>
        <v>4.01252498334444</v>
      </c>
      <c r="U510" s="157" t="s">
        <v>279</v>
      </c>
      <c r="Y510" s="157" t="n">
        <v>5057000</v>
      </c>
      <c r="AA510" s="157" t="n">
        <v>5057000</v>
      </c>
      <c r="AC510" s="157" t="s">
        <v>5471</v>
      </c>
      <c r="AD510" s="157" t="s">
        <v>5472</v>
      </c>
      <c r="AE510" s="157" t="s">
        <v>5473</v>
      </c>
      <c r="AF510" s="157" t="s">
        <v>5474</v>
      </c>
      <c r="AI510" s="157" t="e">
        <f aca="false">IF(AND($E510=Subj_OccCode,Subj_BldgSF&gt;0,ABS($L510-Subj_BldgSF)&lt;=Subj_BldgSF*Subj_SizeTol),ABS($L510-Subj_BldgSF),NA())</f>
        <v>#N/A</v>
      </c>
      <c r="AJ510" s="1" t="e">
        <f aca="false">IF(ISNA(AI510),NA(),AI510+ROW()/10000000)</f>
        <v>#N/A</v>
      </c>
      <c r="AK510" s="157" t="str">
        <f aca="false">IF(AND(ISNUMBER($N510),$N510&gt;0,ISNUMBER($Y510)),$Y510/$N510,"")</f>
        <v/>
      </c>
    </row>
    <row r="511" customFormat="false" ht="15" hidden="false" customHeight="true" outlineLevel="0" collapsed="false">
      <c r="A511" s="438" t="n">
        <v>8</v>
      </c>
      <c r="B511" s="157" t="n">
        <v>505</v>
      </c>
      <c r="C511" s="157" t="s">
        <v>5475</v>
      </c>
      <c r="D511" s="157" t="s">
        <v>5476</v>
      </c>
      <c r="E511" s="157" t="n">
        <v>407</v>
      </c>
      <c r="F511" s="157" t="s">
        <v>2921</v>
      </c>
      <c r="G511" s="157" t="s">
        <v>2691</v>
      </c>
      <c r="H511" s="78" t="n">
        <f aca="false">Y511/J511</f>
        <v>99.8040544252568</v>
      </c>
      <c r="I511" s="439" t="n">
        <v>44187</v>
      </c>
      <c r="J511" s="157" t="n">
        <v>54607</v>
      </c>
      <c r="L511" s="157" t="n">
        <v>54607</v>
      </c>
      <c r="M511" s="157" t="n">
        <v>1970</v>
      </c>
      <c r="P511" s="157" t="s">
        <v>3181</v>
      </c>
      <c r="R511" s="174" t="s">
        <v>279</v>
      </c>
      <c r="S511" s="157" t="n">
        <v>161338</v>
      </c>
      <c r="T511" s="440" t="n">
        <f aca="false">S511/J511</f>
        <v>2.95452963905726</v>
      </c>
      <c r="U511" s="157" t="s">
        <v>279</v>
      </c>
      <c r="Y511" s="157" t="n">
        <v>5450000</v>
      </c>
      <c r="AA511" s="157" t="n">
        <v>5450000</v>
      </c>
      <c r="AC511" s="157" t="s">
        <v>5477</v>
      </c>
      <c r="AD511" s="157" t="s">
        <v>5478</v>
      </c>
      <c r="AE511" s="157" t="s">
        <v>5479</v>
      </c>
      <c r="AF511" s="157" t="s">
        <v>5480</v>
      </c>
      <c r="AI511" s="157" t="e">
        <f aca="false">IF(AND($E511=Subj_OccCode,Subj_BldgSF&gt;0,ABS($L511-Subj_BldgSF)&lt;=Subj_BldgSF*Subj_SizeTol),ABS($L511-Subj_BldgSF),NA())</f>
        <v>#N/A</v>
      </c>
      <c r="AJ511" s="1" t="e">
        <f aca="false">IF(ISNA(AI511),NA(),AI511+ROW()/10000000)</f>
        <v>#N/A</v>
      </c>
      <c r="AK511" s="157" t="str">
        <f aca="false">IF(AND(ISNUMBER($N511),$N511&gt;0,ISNUMBER($Y511)),$Y511/$N511,"")</f>
        <v/>
      </c>
    </row>
    <row r="512" customFormat="false" ht="15" hidden="false" customHeight="true" outlineLevel="0" collapsed="false">
      <c r="A512" s="438" t="n">
        <v>8</v>
      </c>
      <c r="B512" s="157" t="n">
        <v>506</v>
      </c>
      <c r="C512" s="157" t="s">
        <v>5481</v>
      </c>
      <c r="D512" s="157" t="s">
        <v>5482</v>
      </c>
      <c r="E512" s="157" t="n">
        <v>325</v>
      </c>
      <c r="F512" s="157" t="s">
        <v>2921</v>
      </c>
      <c r="G512" s="157" t="s">
        <v>2691</v>
      </c>
      <c r="H512" s="78" t="n">
        <f aca="false">Y512/J512</f>
        <v>152.84757118928</v>
      </c>
      <c r="I512" s="439" t="n">
        <v>43815</v>
      </c>
      <c r="J512" s="157" t="n">
        <v>11940</v>
      </c>
      <c r="L512" s="157" t="n">
        <v>11940</v>
      </c>
      <c r="M512" s="157" t="n">
        <v>1965</v>
      </c>
      <c r="P512" s="157" t="s">
        <v>3181</v>
      </c>
      <c r="R512" s="174" t="s">
        <v>279</v>
      </c>
      <c r="S512" s="157" t="n">
        <v>51052</v>
      </c>
      <c r="T512" s="440" t="n">
        <f aca="false">S512/J512</f>
        <v>4.27571189279732</v>
      </c>
      <c r="U512" s="157" t="s">
        <v>279</v>
      </c>
      <c r="Y512" s="157" t="n">
        <v>1825000</v>
      </c>
      <c r="AA512" s="157" t="n">
        <v>1825000</v>
      </c>
      <c r="AC512" s="157" t="s">
        <v>5483</v>
      </c>
      <c r="AD512" s="157" t="s">
        <v>5484</v>
      </c>
      <c r="AE512" s="157" t="s">
        <v>5485</v>
      </c>
      <c r="AF512" s="157" t="s">
        <v>5486</v>
      </c>
      <c r="AI512" s="157" t="e">
        <f aca="false">IF(AND($E512=Subj_OccCode,Subj_BldgSF&gt;0,ABS($L512-Subj_BldgSF)&lt;=Subj_BldgSF*Subj_SizeTol),ABS($L512-Subj_BldgSF),NA())</f>
        <v>#N/A</v>
      </c>
      <c r="AJ512" s="1" t="e">
        <f aca="false">IF(ISNA(AI512),NA(),AI512+ROW()/10000000)</f>
        <v>#N/A</v>
      </c>
      <c r="AK512" s="157" t="str">
        <f aca="false">IF(AND(ISNUMBER($N512),$N512&gt;0,ISNUMBER($Y512)),$Y512/$N512,"")</f>
        <v/>
      </c>
    </row>
    <row r="513" customFormat="false" ht="15" hidden="false" customHeight="true" outlineLevel="0" collapsed="false">
      <c r="A513" s="438" t="n">
        <v>8</v>
      </c>
      <c r="B513" s="157" t="n">
        <v>507</v>
      </c>
      <c r="C513" s="157" t="s">
        <v>5487</v>
      </c>
      <c r="D513" s="157" t="s">
        <v>5488</v>
      </c>
      <c r="E513" s="157" t="n">
        <v>353</v>
      </c>
      <c r="F513" s="157" t="s">
        <v>2921</v>
      </c>
      <c r="G513" s="157" t="s">
        <v>2691</v>
      </c>
      <c r="H513" s="78" t="n">
        <f aca="false">Y513/J513</f>
        <v>238.885202388852</v>
      </c>
      <c r="I513" s="439" t="n">
        <v>44329</v>
      </c>
      <c r="J513" s="157" t="n">
        <v>4521</v>
      </c>
      <c r="L513" s="157" t="n">
        <v>4521</v>
      </c>
      <c r="M513" s="157" t="n">
        <v>1964</v>
      </c>
      <c r="P513" s="157" t="s">
        <v>3022</v>
      </c>
      <c r="R513" s="174" t="s">
        <v>279</v>
      </c>
      <c r="S513" s="157" t="n">
        <v>16173</v>
      </c>
      <c r="T513" s="440" t="n">
        <f aca="false">S513/J513</f>
        <v>3.57730590577306</v>
      </c>
      <c r="U513" s="157" t="s">
        <v>279</v>
      </c>
      <c r="Y513" s="157" t="n">
        <v>1080000</v>
      </c>
      <c r="AA513" s="157" t="n">
        <v>1080000</v>
      </c>
      <c r="AC513" s="157" t="s">
        <v>5489</v>
      </c>
      <c r="AD513" s="157" t="s">
        <v>5490</v>
      </c>
      <c r="AE513" s="157" t="s">
        <v>5491</v>
      </c>
      <c r="AF513" s="157" t="s">
        <v>5492</v>
      </c>
      <c r="AI513" s="157" t="e">
        <f aca="false">IF(AND($E513=Subj_OccCode,Subj_BldgSF&gt;0,ABS($L513-Subj_BldgSF)&lt;=Subj_BldgSF*Subj_SizeTol),ABS($L513-Subj_BldgSF),NA())</f>
        <v>#N/A</v>
      </c>
      <c r="AJ513" s="1" t="e">
        <f aca="false">IF(ISNA(AI513),NA(),AI513+ROW()/10000000)</f>
        <v>#N/A</v>
      </c>
      <c r="AK513" s="157" t="str">
        <f aca="false">IF(AND(ISNUMBER($N513),$N513&gt;0,ISNUMBER($Y513)),$Y513/$N513,"")</f>
        <v/>
      </c>
    </row>
    <row r="514" customFormat="false" ht="15" hidden="false" customHeight="true" outlineLevel="0" collapsed="false">
      <c r="A514" s="438" t="n">
        <v>8</v>
      </c>
      <c r="B514" s="157" t="n">
        <v>508</v>
      </c>
      <c r="C514" s="157" t="s">
        <v>5493</v>
      </c>
      <c r="D514" s="157" t="s">
        <v>5494</v>
      </c>
      <c r="E514" s="157" t="n">
        <v>406</v>
      </c>
      <c r="G514" s="157" t="s">
        <v>2691</v>
      </c>
      <c r="H514" s="78" t="n">
        <f aca="false">Y514/J514</f>
        <v>292.61744966443</v>
      </c>
      <c r="I514" s="439" t="n">
        <v>44175</v>
      </c>
      <c r="J514" s="157" t="n">
        <v>7450</v>
      </c>
      <c r="L514" s="157" t="n">
        <v>7450</v>
      </c>
      <c r="M514" s="157" t="n">
        <v>1992</v>
      </c>
      <c r="P514" s="157" t="s">
        <v>2692</v>
      </c>
      <c r="R514" s="174" t="s">
        <v>279</v>
      </c>
      <c r="S514" s="157" t="n">
        <v>46560</v>
      </c>
      <c r="T514" s="440" t="n">
        <f aca="false">S514/J514</f>
        <v>6.2496644295302</v>
      </c>
      <c r="U514" s="157" t="s">
        <v>279</v>
      </c>
      <c r="Y514" s="157" t="n">
        <v>2180000</v>
      </c>
      <c r="AA514" s="157" t="n">
        <v>2180000</v>
      </c>
      <c r="AC514" s="157" t="s">
        <v>5495</v>
      </c>
      <c r="AD514" s="157" t="s">
        <v>5496</v>
      </c>
      <c r="AE514" s="157" t="s">
        <v>5497</v>
      </c>
      <c r="AF514" s="157" t="s">
        <v>5498</v>
      </c>
      <c r="AI514" s="157" t="e">
        <f aca="false">IF(AND($E514=Subj_OccCode,Subj_BldgSF&gt;0,ABS($L514-Subj_BldgSF)&lt;=Subj_BldgSF*Subj_SizeTol),ABS($L514-Subj_BldgSF),NA())</f>
        <v>#N/A</v>
      </c>
      <c r="AJ514" s="1" t="e">
        <f aca="false">IF(ISNA(AI514),NA(),AI514+ROW()/10000000)</f>
        <v>#N/A</v>
      </c>
      <c r="AK514" s="157" t="str">
        <f aca="false">IF(AND(ISNUMBER($N514),$N514&gt;0,ISNUMBER($Y514)),$Y514/$N514,"")</f>
        <v/>
      </c>
    </row>
    <row r="515" customFormat="false" ht="15" hidden="false" customHeight="true" outlineLevel="0" collapsed="false">
      <c r="A515" s="438" t="n">
        <v>8</v>
      </c>
      <c r="B515" s="157" t="n">
        <v>509</v>
      </c>
      <c r="C515" s="157" t="s">
        <v>5499</v>
      </c>
      <c r="D515" s="157" t="s">
        <v>5500</v>
      </c>
      <c r="E515" s="157" t="n">
        <v>100</v>
      </c>
      <c r="F515" s="157" t="s">
        <v>2595</v>
      </c>
      <c r="G515" s="157" t="s">
        <v>5501</v>
      </c>
      <c r="H515" s="78" t="n">
        <f aca="false">Y515/J515</f>
        <v>1275.51020408163</v>
      </c>
      <c r="I515" s="439" t="n">
        <v>44469</v>
      </c>
      <c r="J515" s="157" t="n">
        <v>1176</v>
      </c>
      <c r="L515" s="157" t="n">
        <v>1176</v>
      </c>
      <c r="M515" s="157" t="n">
        <v>1963</v>
      </c>
      <c r="P515" s="157" t="s">
        <v>2713</v>
      </c>
      <c r="R515" s="174" t="s">
        <v>279</v>
      </c>
      <c r="S515" s="157" t="n">
        <v>99752.4</v>
      </c>
      <c r="T515" s="440" t="n">
        <f aca="false">S515/J515</f>
        <v>84.8234693877551</v>
      </c>
      <c r="U515" s="157" t="s">
        <v>279</v>
      </c>
      <c r="Y515" s="157" t="n">
        <v>1500000</v>
      </c>
      <c r="AA515" s="157" t="n">
        <v>1500000</v>
      </c>
      <c r="AC515" s="157" t="s">
        <v>5502</v>
      </c>
      <c r="AD515" s="157" t="s">
        <v>5503</v>
      </c>
      <c r="AE515" s="157" t="s">
        <v>5504</v>
      </c>
      <c r="AF515" s="157" t="s">
        <v>5505</v>
      </c>
      <c r="AI515" s="157" t="e">
        <f aca="false">IF(AND($E515=Subj_OccCode,Subj_BldgSF&gt;0,ABS($L515-Subj_BldgSF)&lt;=Subj_BldgSF*Subj_SizeTol),ABS($L515-Subj_BldgSF),NA())</f>
        <v>#N/A</v>
      </c>
      <c r="AJ515" s="1" t="e">
        <f aca="false">IF(ISNA(AI515),NA(),AI515+ROW()/10000000)</f>
        <v>#N/A</v>
      </c>
      <c r="AK515" s="157" t="str">
        <f aca="false">IF(AND(ISNUMBER($N515),$N515&gt;0,ISNUMBER($Y515)),$Y515/$N515,"")</f>
        <v/>
      </c>
    </row>
    <row r="516" customFormat="false" ht="15" hidden="false" customHeight="true" outlineLevel="0" collapsed="false">
      <c r="A516" s="438" t="n">
        <v>8</v>
      </c>
      <c r="B516" s="157" t="n">
        <v>510</v>
      </c>
      <c r="C516" s="157" t="s">
        <v>5506</v>
      </c>
      <c r="D516" s="157" t="s">
        <v>5507</v>
      </c>
      <c r="E516" s="157" t="n">
        <v>419</v>
      </c>
      <c r="G516" s="157" t="s">
        <v>352</v>
      </c>
      <c r="H516" s="78" t="n">
        <f aca="false">Y516/J516</f>
        <v>143.003064351379</v>
      </c>
      <c r="I516" s="439" t="n">
        <v>43342</v>
      </c>
      <c r="J516" s="157" t="n">
        <v>1958</v>
      </c>
      <c r="L516" s="157" t="n">
        <v>1958</v>
      </c>
      <c r="M516" s="157" t="n">
        <v>1972</v>
      </c>
      <c r="P516" s="157" t="s">
        <v>2706</v>
      </c>
      <c r="R516" s="174" t="s">
        <v>279</v>
      </c>
      <c r="S516" s="157" t="n">
        <v>16443</v>
      </c>
      <c r="T516" s="440" t="n">
        <f aca="false">S516/J516</f>
        <v>8.39785495403473</v>
      </c>
      <c r="U516" s="157" t="s">
        <v>279</v>
      </c>
      <c r="Y516" s="157" t="n">
        <v>280000</v>
      </c>
      <c r="AA516" s="157" t="n">
        <v>280000</v>
      </c>
      <c r="AC516" s="157" t="s">
        <v>5508</v>
      </c>
      <c r="AD516" s="157" t="s">
        <v>5509</v>
      </c>
      <c r="AE516" s="157" t="s">
        <v>5510</v>
      </c>
      <c r="AF516" s="157" t="s">
        <v>5511</v>
      </c>
      <c r="AI516" s="157" t="e">
        <f aca="false">IF(AND($E516=Subj_OccCode,Subj_BldgSF&gt;0,ABS($L516-Subj_BldgSF)&lt;=Subj_BldgSF*Subj_SizeTol),ABS($L516-Subj_BldgSF),NA())</f>
        <v>#N/A</v>
      </c>
      <c r="AJ516" s="1" t="e">
        <f aca="false">IF(ISNA(AI516),NA(),AI516+ROW()/10000000)</f>
        <v>#N/A</v>
      </c>
      <c r="AK516" s="157" t="str">
        <f aca="false">IF(AND(ISNUMBER($N516),$N516&gt;0,ISNUMBER($Y516)),$Y516/$N516,"")</f>
        <v/>
      </c>
    </row>
    <row r="517" customFormat="false" ht="15" hidden="false" customHeight="true" outlineLevel="0" collapsed="false">
      <c r="A517" s="438" t="n">
        <v>8</v>
      </c>
      <c r="B517" s="157" t="n">
        <v>511</v>
      </c>
      <c r="C517" s="157" t="s">
        <v>5512</v>
      </c>
      <c r="D517" s="157" t="s">
        <v>5513</v>
      </c>
      <c r="E517" s="157" t="n">
        <v>334</v>
      </c>
      <c r="F517" s="157" t="s">
        <v>260</v>
      </c>
      <c r="G517" s="157" t="s">
        <v>353</v>
      </c>
      <c r="H517" s="78" t="n">
        <f aca="false">Y517/J517</f>
        <v>155.848011082525</v>
      </c>
      <c r="I517" s="439" t="n">
        <v>44405</v>
      </c>
      <c r="J517" s="157" t="n">
        <v>10106</v>
      </c>
      <c r="L517" s="157" t="n">
        <v>10106</v>
      </c>
      <c r="M517" s="157" t="n">
        <v>1987</v>
      </c>
      <c r="P517" s="157" t="s">
        <v>2765</v>
      </c>
      <c r="R517" s="174" t="s">
        <v>279</v>
      </c>
      <c r="S517" s="157" t="n">
        <v>86500</v>
      </c>
      <c r="T517" s="440" t="n">
        <f aca="false">S517/J517</f>
        <v>8.55927171977043</v>
      </c>
      <c r="U517" s="157" t="s">
        <v>279</v>
      </c>
      <c r="Y517" s="157" t="n">
        <v>1575000</v>
      </c>
      <c r="AA517" s="157" t="n">
        <v>1575000</v>
      </c>
      <c r="AC517" s="157" t="s">
        <v>5514</v>
      </c>
      <c r="AD517" s="157" t="s">
        <v>5515</v>
      </c>
      <c r="AE517" s="157" t="s">
        <v>5516</v>
      </c>
      <c r="AF517" s="157" t="s">
        <v>5517</v>
      </c>
      <c r="AI517" s="157" t="e">
        <f aca="false">IF(AND($E517=Subj_OccCode,Subj_BldgSF&gt;0,ABS($L517-Subj_BldgSF)&lt;=Subj_BldgSF*Subj_SizeTol),ABS($L517-Subj_BldgSF),NA())</f>
        <v>#N/A</v>
      </c>
      <c r="AJ517" s="1" t="e">
        <f aca="false">IF(ISNA(AI517),NA(),AI517+ROW()/10000000)</f>
        <v>#N/A</v>
      </c>
      <c r="AK517" s="157" t="str">
        <f aca="false">IF(AND(ISNUMBER($N517),$N517&gt;0,ISNUMBER($Y517)),$Y517/$N517,"")</f>
        <v/>
      </c>
    </row>
    <row r="518" customFormat="false" ht="15" hidden="false" customHeight="true" outlineLevel="0" collapsed="false">
      <c r="A518" s="438" t="n">
        <v>8</v>
      </c>
      <c r="B518" s="157" t="n">
        <v>512</v>
      </c>
      <c r="C518" s="157" t="s">
        <v>5518</v>
      </c>
      <c r="D518" s="157" t="s">
        <v>5519</v>
      </c>
      <c r="E518" s="157" t="n">
        <v>407</v>
      </c>
      <c r="G518" s="157" t="s">
        <v>2691</v>
      </c>
      <c r="H518" s="78" t="n">
        <f aca="false">Y518/J518</f>
        <v>192.604006163328</v>
      </c>
      <c r="I518" s="439" t="n">
        <v>43767</v>
      </c>
      <c r="J518" s="157" t="n">
        <v>10384</v>
      </c>
      <c r="L518" s="157" t="n">
        <v>10384</v>
      </c>
      <c r="M518" s="157" t="n">
        <v>2001</v>
      </c>
      <c r="P518" s="157" t="s">
        <v>2750</v>
      </c>
      <c r="R518" s="174" t="s">
        <v>279</v>
      </c>
      <c r="S518" s="157" t="n">
        <v>43560</v>
      </c>
      <c r="T518" s="440" t="n">
        <f aca="false">S518/J518</f>
        <v>4.19491525423729</v>
      </c>
      <c r="U518" s="157" t="s">
        <v>483</v>
      </c>
      <c r="Y518" s="157" t="n">
        <v>2000000</v>
      </c>
      <c r="AA518" s="157" t="n">
        <v>2000000</v>
      </c>
      <c r="AC518" s="157" t="s">
        <v>5520</v>
      </c>
      <c r="AD518" s="157" t="s">
        <v>5521</v>
      </c>
      <c r="AE518" s="157" t="s">
        <v>5522</v>
      </c>
      <c r="AF518" s="157" t="s">
        <v>5523</v>
      </c>
      <c r="AI518" s="157" t="e">
        <f aca="false">IF(AND($E518=Subj_OccCode,Subj_BldgSF&gt;0,ABS($L518-Subj_BldgSF)&lt;=Subj_BldgSF*Subj_SizeTol),ABS($L518-Subj_BldgSF),NA())</f>
        <v>#N/A</v>
      </c>
      <c r="AJ518" s="1" t="e">
        <f aca="false">IF(ISNA(AI518),NA(),AI518+ROW()/10000000)</f>
        <v>#N/A</v>
      </c>
      <c r="AK518" s="157" t="str">
        <f aca="false">IF(AND(ISNUMBER($N518),$N518&gt;0,ISNUMBER($Y518)),$Y518/$N518,"")</f>
        <v/>
      </c>
    </row>
    <row r="519" customFormat="false" ht="15" hidden="false" customHeight="true" outlineLevel="0" collapsed="false">
      <c r="A519" s="438" t="n">
        <v>8</v>
      </c>
      <c r="B519" s="157" t="n">
        <v>513</v>
      </c>
      <c r="C519" s="157" t="s">
        <v>5524</v>
      </c>
      <c r="D519" s="157" t="s">
        <v>5525</v>
      </c>
      <c r="E519" s="157" t="n">
        <v>325</v>
      </c>
      <c r="F519" s="157" t="s">
        <v>260</v>
      </c>
      <c r="G519" s="157" t="s">
        <v>353</v>
      </c>
      <c r="H519" s="78" t="n">
        <f aca="false">Y519/J519</f>
        <v>180.995475113122</v>
      </c>
      <c r="I519" s="439" t="n">
        <v>43217</v>
      </c>
      <c r="J519" s="157" t="n">
        <v>2210</v>
      </c>
      <c r="L519" s="157" t="n">
        <v>2210</v>
      </c>
      <c r="M519" s="157" t="n">
        <v>1982</v>
      </c>
      <c r="P519" s="157" t="s">
        <v>1929</v>
      </c>
      <c r="R519" s="174" t="s">
        <v>279</v>
      </c>
      <c r="S519" s="157" t="n">
        <v>6800</v>
      </c>
      <c r="T519" s="440" t="n">
        <f aca="false">S519/J519</f>
        <v>3.07692307692308</v>
      </c>
      <c r="U519" s="157" t="s">
        <v>279</v>
      </c>
      <c r="Y519" s="157" t="n">
        <v>400000</v>
      </c>
      <c r="AA519" s="157" t="n">
        <v>400000</v>
      </c>
      <c r="AC519" s="157" t="s">
        <v>5526</v>
      </c>
      <c r="AD519" s="157" t="s">
        <v>5527</v>
      </c>
      <c r="AE519" s="157" t="s">
        <v>5427</v>
      </c>
      <c r="AF519" s="157" t="s">
        <v>5528</v>
      </c>
      <c r="AI519" s="157" t="e">
        <f aca="false">IF(AND($E519=Subj_OccCode,Subj_BldgSF&gt;0,ABS($L519-Subj_BldgSF)&lt;=Subj_BldgSF*Subj_SizeTol),ABS($L519-Subj_BldgSF),NA())</f>
        <v>#N/A</v>
      </c>
      <c r="AJ519" s="1" t="e">
        <f aca="false">IF(ISNA(AI519),NA(),AI519+ROW()/10000000)</f>
        <v>#N/A</v>
      </c>
      <c r="AK519" s="157" t="str">
        <f aca="false">IF(AND(ISNUMBER($N519),$N519&gt;0,ISNUMBER($Y519)),$Y519/$N519,"")</f>
        <v/>
      </c>
    </row>
    <row r="520" customFormat="false" ht="15" hidden="false" customHeight="true" outlineLevel="0" collapsed="false">
      <c r="A520" s="438" t="n">
        <v>8</v>
      </c>
      <c r="B520" s="157" t="n">
        <v>515</v>
      </c>
      <c r="C520" s="157" t="s">
        <v>5529</v>
      </c>
      <c r="D520" s="157" t="s">
        <v>5530</v>
      </c>
      <c r="E520" s="157" t="n">
        <v>328</v>
      </c>
      <c r="G520" s="157" t="s">
        <v>2596</v>
      </c>
      <c r="H520" s="78" t="n">
        <f aca="false">Y520/J520</f>
        <v>46.2068965517241</v>
      </c>
      <c r="I520" s="439" t="n">
        <v>43237</v>
      </c>
      <c r="J520" s="157" t="n">
        <v>2900</v>
      </c>
      <c r="L520" s="157" t="n">
        <v>2900</v>
      </c>
      <c r="M520" s="157" t="n">
        <v>2000</v>
      </c>
      <c r="R520" s="174" t="s">
        <v>279</v>
      </c>
      <c r="T520" s="440" t="n">
        <f aca="false">S520/J520</f>
        <v>0</v>
      </c>
      <c r="U520" s="157" t="s">
        <v>279</v>
      </c>
      <c r="Y520" s="157" t="n">
        <v>134000</v>
      </c>
      <c r="AA520" s="157" t="n">
        <v>134000</v>
      </c>
      <c r="AC520" s="157" t="s">
        <v>5531</v>
      </c>
      <c r="AD520" s="157" t="s">
        <v>5532</v>
      </c>
      <c r="AE520" s="157" t="s">
        <v>5533</v>
      </c>
      <c r="AF520" s="157" t="s">
        <v>5534</v>
      </c>
      <c r="AI520" s="157" t="e">
        <f aca="false">IF(AND($E520=Subj_OccCode,Subj_BldgSF&gt;0,ABS($L520-Subj_BldgSF)&lt;=Subj_BldgSF*Subj_SizeTol),ABS($L520-Subj_BldgSF),NA())</f>
        <v>#N/A</v>
      </c>
      <c r="AJ520" s="1" t="e">
        <f aca="false">IF(ISNA(AI520),NA(),AI520+ROW()/10000000)</f>
        <v>#N/A</v>
      </c>
      <c r="AK520" s="157" t="str">
        <f aca="false">IF(AND(ISNUMBER($N520),$N520&gt;0,ISNUMBER($Y520)),$Y520/$N520,"")</f>
        <v/>
      </c>
    </row>
    <row r="521" customFormat="false" ht="15" hidden="false" customHeight="true" outlineLevel="0" collapsed="false">
      <c r="A521" s="438" t="n">
        <v>8</v>
      </c>
      <c r="B521" s="157" t="n">
        <v>516</v>
      </c>
      <c r="C521" s="157" t="s">
        <v>5535</v>
      </c>
      <c r="D521" s="157" t="s">
        <v>5536</v>
      </c>
      <c r="E521" s="157" t="n">
        <v>407</v>
      </c>
      <c r="F521" s="157" t="s">
        <v>2921</v>
      </c>
      <c r="G521" s="157" t="s">
        <v>2691</v>
      </c>
      <c r="H521" s="78" t="n">
        <f aca="false">Y521/J521</f>
        <v>138.461538461538</v>
      </c>
      <c r="I521" s="439" t="n">
        <v>43509</v>
      </c>
      <c r="J521" s="157" t="n">
        <v>13000</v>
      </c>
      <c r="L521" s="157" t="n">
        <v>13000</v>
      </c>
      <c r="M521" s="157" t="n">
        <v>1979</v>
      </c>
      <c r="P521" s="157" t="s">
        <v>4420</v>
      </c>
      <c r="R521" s="174" t="s">
        <v>279</v>
      </c>
      <c r="S521" s="157" t="n">
        <v>32000</v>
      </c>
      <c r="T521" s="440" t="n">
        <f aca="false">S521/J521</f>
        <v>2.46153846153846</v>
      </c>
      <c r="U521" s="157" t="s">
        <v>279</v>
      </c>
      <c r="Y521" s="157" t="n">
        <v>1800000</v>
      </c>
      <c r="AA521" s="157" t="n">
        <v>1800000</v>
      </c>
      <c r="AC521" s="157" t="s">
        <v>5537</v>
      </c>
      <c r="AD521" s="157" t="s">
        <v>5538</v>
      </c>
      <c r="AE521" s="157" t="s">
        <v>3316</v>
      </c>
      <c r="AF521" s="157" t="s">
        <v>5539</v>
      </c>
      <c r="AI521" s="157" t="e">
        <f aca="false">IF(AND($E521=Subj_OccCode,Subj_BldgSF&gt;0,ABS($L521-Subj_BldgSF)&lt;=Subj_BldgSF*Subj_SizeTol),ABS($L521-Subj_BldgSF),NA())</f>
        <v>#N/A</v>
      </c>
      <c r="AJ521" s="1" t="e">
        <f aca="false">IF(ISNA(AI521),NA(),AI521+ROW()/10000000)</f>
        <v>#N/A</v>
      </c>
      <c r="AK521" s="157" t="str">
        <f aca="false">IF(AND(ISNUMBER($N521),$N521&gt;0,ISNUMBER($Y521)),$Y521/$N521,"")</f>
        <v/>
      </c>
    </row>
    <row r="522" customFormat="false" ht="15" hidden="false" customHeight="true" outlineLevel="0" collapsed="false">
      <c r="A522" s="438" t="n">
        <v>8</v>
      </c>
      <c r="B522" s="157" t="n">
        <v>517</v>
      </c>
      <c r="C522" s="157" t="s">
        <v>5540</v>
      </c>
      <c r="D522" s="157" t="s">
        <v>5541</v>
      </c>
      <c r="E522" s="157" t="n">
        <v>328</v>
      </c>
      <c r="G522" s="157" t="s">
        <v>352</v>
      </c>
      <c r="H522" s="78" t="n">
        <f aca="false">Y522/J522</f>
        <v>57.1929824561404</v>
      </c>
      <c r="I522" s="439" t="n">
        <v>44128</v>
      </c>
      <c r="J522" s="157" t="n">
        <v>2850</v>
      </c>
      <c r="L522" s="157" t="n">
        <v>2850</v>
      </c>
      <c r="M522" s="157" t="n">
        <v>2001</v>
      </c>
      <c r="R522" s="174" t="s">
        <v>279</v>
      </c>
      <c r="T522" s="440" t="n">
        <f aca="false">S522/J522</f>
        <v>0</v>
      </c>
      <c r="U522" s="157" t="s">
        <v>279</v>
      </c>
      <c r="Y522" s="157" t="n">
        <v>163000</v>
      </c>
      <c r="AA522" s="157" t="n">
        <v>163000</v>
      </c>
      <c r="AC522" s="157" t="s">
        <v>5542</v>
      </c>
      <c r="AD522" s="157" t="s">
        <v>5543</v>
      </c>
      <c r="AE522" s="157" t="s">
        <v>5544</v>
      </c>
      <c r="AF522" s="157" t="s">
        <v>5545</v>
      </c>
      <c r="AI522" s="157" t="e">
        <f aca="false">IF(AND($E522=Subj_OccCode,Subj_BldgSF&gt;0,ABS($L522-Subj_BldgSF)&lt;=Subj_BldgSF*Subj_SizeTol),ABS($L522-Subj_BldgSF),NA())</f>
        <v>#N/A</v>
      </c>
      <c r="AJ522" s="1" t="e">
        <f aca="false">IF(ISNA(AI522),NA(),AI522+ROW()/10000000)</f>
        <v>#N/A</v>
      </c>
      <c r="AK522" s="157" t="str">
        <f aca="false">IF(AND(ISNUMBER($N522),$N522&gt;0,ISNUMBER($Y522)),$Y522/$N522,"")</f>
        <v/>
      </c>
    </row>
    <row r="523" customFormat="false" ht="15" hidden="false" customHeight="true" outlineLevel="0" collapsed="false">
      <c r="A523" s="438" t="n">
        <v>8</v>
      </c>
      <c r="B523" s="157" t="n">
        <v>518</v>
      </c>
      <c r="C523" s="157" t="s">
        <v>5546</v>
      </c>
      <c r="D523" s="157" t="s">
        <v>5547</v>
      </c>
      <c r="E523" s="157" t="n">
        <v>406</v>
      </c>
      <c r="F523" s="157" t="s">
        <v>2921</v>
      </c>
      <c r="G523" s="157" t="s">
        <v>2691</v>
      </c>
      <c r="H523" s="78" t="n">
        <f aca="false">Y523/J523</f>
        <v>140</v>
      </c>
      <c r="I523" s="439" t="n">
        <v>43106</v>
      </c>
      <c r="J523" s="157" t="n">
        <v>4500</v>
      </c>
      <c r="L523" s="157" t="n">
        <v>4500</v>
      </c>
      <c r="M523" s="157" t="n">
        <v>2001</v>
      </c>
      <c r="R523" s="174" t="s">
        <v>279</v>
      </c>
      <c r="S523" s="157" t="n">
        <v>21675</v>
      </c>
      <c r="T523" s="440" t="n">
        <f aca="false">S523/J523</f>
        <v>4.81666666666667</v>
      </c>
      <c r="U523" s="157" t="s">
        <v>279</v>
      </c>
      <c r="Y523" s="157" t="n">
        <v>630000</v>
      </c>
      <c r="AA523" s="157" t="n">
        <v>630000</v>
      </c>
      <c r="AC523" s="157" t="s">
        <v>5548</v>
      </c>
      <c r="AD523" s="157" t="s">
        <v>5549</v>
      </c>
      <c r="AE523" s="157" t="s">
        <v>5550</v>
      </c>
      <c r="AF523" s="157" t="s">
        <v>5551</v>
      </c>
      <c r="AI523" s="157" t="e">
        <f aca="false">IF(AND($E523=Subj_OccCode,Subj_BldgSF&gt;0,ABS($L523-Subj_BldgSF)&lt;=Subj_BldgSF*Subj_SizeTol),ABS($L523-Subj_BldgSF),NA())</f>
        <v>#N/A</v>
      </c>
      <c r="AJ523" s="1" t="e">
        <f aca="false">IF(ISNA(AI523),NA(),AI523+ROW()/10000000)</f>
        <v>#N/A</v>
      </c>
      <c r="AK523" s="157" t="str">
        <f aca="false">IF(AND(ISNUMBER($N523),$N523&gt;0,ISNUMBER($Y523)),$Y523/$N523,"")</f>
        <v/>
      </c>
    </row>
    <row r="524" customFormat="false" ht="15" hidden="false" customHeight="true" outlineLevel="0" collapsed="false">
      <c r="A524" s="438" t="n">
        <v>8</v>
      </c>
      <c r="B524" s="157" t="n">
        <v>519</v>
      </c>
      <c r="C524" s="157" t="s">
        <v>5552</v>
      </c>
      <c r="D524" s="157" t="s">
        <v>5553</v>
      </c>
      <c r="E524" s="157" t="n">
        <v>1344</v>
      </c>
      <c r="F524" s="157" t="s">
        <v>2566</v>
      </c>
      <c r="G524" s="157" t="s">
        <v>2567</v>
      </c>
      <c r="H524" s="78" t="n">
        <f aca="false">Y524/J524</f>
        <v>165.435132032147</v>
      </c>
      <c r="I524" s="439" t="n">
        <v>44568</v>
      </c>
      <c r="J524" s="157" t="n">
        <v>1742</v>
      </c>
      <c r="L524" s="157" t="n">
        <v>1742</v>
      </c>
      <c r="M524" s="157" t="n">
        <v>1984</v>
      </c>
      <c r="P524" s="157" t="s">
        <v>3569</v>
      </c>
      <c r="R524" s="174" t="s">
        <v>279</v>
      </c>
      <c r="S524" s="157" t="n">
        <v>1108</v>
      </c>
      <c r="T524" s="440" t="n">
        <f aca="false">S524/J524</f>
        <v>0.636050516647532</v>
      </c>
      <c r="U524" s="157" t="s">
        <v>279</v>
      </c>
      <c r="Y524" s="157" t="n">
        <v>288188</v>
      </c>
      <c r="AA524" s="157" t="n">
        <v>288188</v>
      </c>
      <c r="AC524" s="157" t="s">
        <v>5554</v>
      </c>
      <c r="AD524" s="157" t="s">
        <v>5555</v>
      </c>
      <c r="AE524" s="157" t="s">
        <v>5556</v>
      </c>
      <c r="AF524" s="157" t="s">
        <v>5557</v>
      </c>
      <c r="AI524" s="157" t="e">
        <f aca="false">IF(AND($E524=Subj_OccCode,Subj_BldgSF&gt;0,ABS($L524-Subj_BldgSF)&lt;=Subj_BldgSF*Subj_SizeTol),ABS($L524-Subj_BldgSF),NA())</f>
        <v>#N/A</v>
      </c>
      <c r="AJ524" s="1" t="e">
        <f aca="false">IF(ISNA(AI524),NA(),AI524+ROW()/10000000)</f>
        <v>#N/A</v>
      </c>
      <c r="AK524" s="157" t="str">
        <f aca="false">IF(AND(ISNUMBER($N524),$N524&gt;0,ISNUMBER($Y524)),$Y524/$N524,"")</f>
        <v/>
      </c>
    </row>
    <row r="525" customFormat="false" ht="15" hidden="false" customHeight="true" outlineLevel="0" collapsed="false">
      <c r="A525" s="438" t="n">
        <v>8</v>
      </c>
      <c r="B525" s="157" t="n">
        <v>520</v>
      </c>
      <c r="C525" s="157" t="s">
        <v>5558</v>
      </c>
      <c r="D525" s="157" t="s">
        <v>5559</v>
      </c>
      <c r="E525" s="157" t="n">
        <v>325</v>
      </c>
      <c r="F525" s="157" t="s">
        <v>2566</v>
      </c>
      <c r="G525" s="157" t="s">
        <v>2567</v>
      </c>
      <c r="H525" s="78" t="n">
        <f aca="false">Y525/J525</f>
        <v>110.668437361664</v>
      </c>
      <c r="I525" s="439" t="n">
        <v>44182</v>
      </c>
      <c r="J525" s="157" t="n">
        <v>9036</v>
      </c>
      <c r="L525" s="157" t="n">
        <v>9036</v>
      </c>
      <c r="M525" s="157" t="n">
        <v>1964</v>
      </c>
      <c r="P525" s="157" t="s">
        <v>5560</v>
      </c>
      <c r="R525" s="174" t="s">
        <v>279</v>
      </c>
      <c r="S525" s="157" t="n">
        <v>26250</v>
      </c>
      <c r="T525" s="440" t="n">
        <f aca="false">S525/J525</f>
        <v>2.90504648074369</v>
      </c>
      <c r="U525" s="157" t="s">
        <v>279</v>
      </c>
      <c r="Y525" s="157" t="n">
        <v>1000000</v>
      </c>
      <c r="AA525" s="157" t="n">
        <v>1000000</v>
      </c>
      <c r="AC525" s="157" t="s">
        <v>5561</v>
      </c>
      <c r="AD525" s="157" t="s">
        <v>5562</v>
      </c>
      <c r="AE525" s="157" t="s">
        <v>5563</v>
      </c>
      <c r="AF525" s="157" t="s">
        <v>5564</v>
      </c>
      <c r="AI525" s="157" t="e">
        <f aca="false">IF(AND($E525=Subj_OccCode,Subj_BldgSF&gt;0,ABS($L525-Subj_BldgSF)&lt;=Subj_BldgSF*Subj_SizeTol),ABS($L525-Subj_BldgSF),NA())</f>
        <v>#N/A</v>
      </c>
      <c r="AJ525" s="1" t="e">
        <f aca="false">IF(ISNA(AI525),NA(),AI525+ROW()/10000000)</f>
        <v>#N/A</v>
      </c>
      <c r="AK525" s="157" t="str">
        <f aca="false">IF(AND(ISNUMBER($N525),$N525&gt;0,ISNUMBER($Y525)),$Y525/$N525,"")</f>
        <v/>
      </c>
    </row>
    <row r="526" customFormat="false" ht="15" hidden="false" customHeight="true" outlineLevel="0" collapsed="false">
      <c r="A526" s="438" t="n">
        <v>8</v>
      </c>
      <c r="B526" s="157" t="n">
        <v>521</v>
      </c>
      <c r="C526" s="157" t="s">
        <v>5565</v>
      </c>
      <c r="D526" s="157" t="s">
        <v>5566</v>
      </c>
      <c r="E526" s="157" t="n">
        <v>344</v>
      </c>
      <c r="F526" s="157" t="s">
        <v>2677</v>
      </c>
      <c r="G526" s="157" t="s">
        <v>2567</v>
      </c>
      <c r="H526" s="78" t="n">
        <f aca="false">Y526/J526</f>
        <v>67.598017124831</v>
      </c>
      <c r="I526" s="439" t="n">
        <v>43880</v>
      </c>
      <c r="J526" s="157" t="n">
        <v>26628</v>
      </c>
      <c r="L526" s="157" t="n">
        <v>26628</v>
      </c>
      <c r="M526" s="157" t="n">
        <v>1982</v>
      </c>
      <c r="P526" s="157" t="s">
        <v>5567</v>
      </c>
      <c r="R526" s="174" t="s">
        <v>279</v>
      </c>
      <c r="S526" s="157" t="n">
        <v>91780.92</v>
      </c>
      <c r="T526" s="440" t="n">
        <f aca="false">S526/J526</f>
        <v>3.44678233438486</v>
      </c>
      <c r="U526" s="157" t="s">
        <v>555</v>
      </c>
      <c r="Y526" s="157" t="n">
        <v>1800000</v>
      </c>
      <c r="AA526" s="157" t="n">
        <v>1800000</v>
      </c>
      <c r="AC526" s="157" t="s">
        <v>5568</v>
      </c>
      <c r="AD526" s="157" t="s">
        <v>5569</v>
      </c>
      <c r="AE526" s="157" t="s">
        <v>5570</v>
      </c>
      <c r="AF526" s="157" t="s">
        <v>5571</v>
      </c>
      <c r="AI526" s="157" t="e">
        <f aca="false">IF(AND($E526=Subj_OccCode,Subj_BldgSF&gt;0,ABS($L526-Subj_BldgSF)&lt;=Subj_BldgSF*Subj_SizeTol),ABS($L526-Subj_BldgSF),NA())</f>
        <v>#N/A</v>
      </c>
      <c r="AJ526" s="1" t="e">
        <f aca="false">IF(ISNA(AI526),NA(),AI526+ROW()/10000000)</f>
        <v>#N/A</v>
      </c>
      <c r="AK526" s="157" t="str">
        <f aca="false">IF(AND(ISNUMBER($N526),$N526&gt;0,ISNUMBER($Y526)),$Y526/$N526,"")</f>
        <v/>
      </c>
    </row>
    <row r="527" customFormat="false" ht="15" hidden="false" customHeight="true" outlineLevel="0" collapsed="false">
      <c r="A527" s="438" t="n">
        <v>8</v>
      </c>
      <c r="B527" s="157" t="n">
        <v>522</v>
      </c>
      <c r="C527" s="157" t="s">
        <v>5572</v>
      </c>
      <c r="D527" s="157" t="s">
        <v>5573</v>
      </c>
      <c r="E527" s="157" t="n">
        <v>344</v>
      </c>
      <c r="F527" s="157" t="s">
        <v>2581</v>
      </c>
      <c r="G527" s="157" t="s">
        <v>2567</v>
      </c>
      <c r="H527" s="78" t="n">
        <f aca="false">Y527/J527</f>
        <v>238.095238095238</v>
      </c>
      <c r="I527" s="439" t="n">
        <v>43528</v>
      </c>
      <c r="J527" s="157" t="n">
        <v>840</v>
      </c>
      <c r="L527" s="157" t="n">
        <v>840</v>
      </c>
      <c r="M527" s="157" t="n">
        <v>1984</v>
      </c>
      <c r="P527" s="157" t="s">
        <v>4407</v>
      </c>
      <c r="R527" s="174" t="s">
        <v>279</v>
      </c>
      <c r="S527" s="157" t="n">
        <v>3842</v>
      </c>
      <c r="T527" s="440" t="n">
        <f aca="false">S527/J527</f>
        <v>4.57380952380952</v>
      </c>
      <c r="U527" s="157" t="s">
        <v>279</v>
      </c>
      <c r="Y527" s="157" t="n">
        <v>200000</v>
      </c>
      <c r="AA527" s="157" t="n">
        <v>200000</v>
      </c>
      <c r="AC527" s="157" t="s">
        <v>5574</v>
      </c>
      <c r="AD527" s="157" t="s">
        <v>5575</v>
      </c>
      <c r="AE527" s="157" t="s">
        <v>5576</v>
      </c>
      <c r="AF527" s="157" t="s">
        <v>5577</v>
      </c>
      <c r="AI527" s="157" t="e">
        <f aca="false">IF(AND($E527=Subj_OccCode,Subj_BldgSF&gt;0,ABS($L527-Subj_BldgSF)&lt;=Subj_BldgSF*Subj_SizeTol),ABS($L527-Subj_BldgSF),NA())</f>
        <v>#N/A</v>
      </c>
      <c r="AJ527" s="1" t="e">
        <f aca="false">IF(ISNA(AI527),NA(),AI527+ROW()/10000000)</f>
        <v>#N/A</v>
      </c>
      <c r="AK527" s="157" t="str">
        <f aca="false">IF(AND(ISNUMBER($N527),$N527&gt;0,ISNUMBER($Y527)),$Y527/$N527,"")</f>
        <v/>
      </c>
    </row>
    <row r="528" customFormat="false" ht="15" hidden="false" customHeight="true" outlineLevel="0" collapsed="false">
      <c r="A528" s="438" t="n">
        <v>8</v>
      </c>
      <c r="B528" s="157" t="n">
        <v>523</v>
      </c>
      <c r="C528" s="157" t="s">
        <v>5578</v>
      </c>
      <c r="D528" s="157" t="s">
        <v>5579</v>
      </c>
      <c r="E528" s="157" t="n">
        <v>406</v>
      </c>
      <c r="F528" s="157" t="s">
        <v>2595</v>
      </c>
      <c r="G528" s="157" t="s">
        <v>2596</v>
      </c>
      <c r="H528" s="78" t="n">
        <f aca="false">Y528/J528</f>
        <v>145.00537056928</v>
      </c>
      <c r="I528" s="439" t="n">
        <v>43430</v>
      </c>
      <c r="J528" s="157" t="n">
        <v>9310</v>
      </c>
      <c r="L528" s="157" t="n">
        <v>9310</v>
      </c>
      <c r="M528" s="157" t="n">
        <v>1969</v>
      </c>
      <c r="R528" s="174" t="s">
        <v>279</v>
      </c>
      <c r="S528" s="157" t="n">
        <v>20000</v>
      </c>
      <c r="T528" s="440" t="n">
        <f aca="false">S528/J528</f>
        <v>2.14822771213749</v>
      </c>
      <c r="U528" s="157" t="s">
        <v>279</v>
      </c>
      <c r="Y528" s="157" t="n">
        <v>1350000</v>
      </c>
      <c r="AA528" s="157" t="n">
        <v>1350000</v>
      </c>
      <c r="AC528" s="157" t="s">
        <v>5580</v>
      </c>
      <c r="AD528" s="157" t="s">
        <v>5581</v>
      </c>
      <c r="AE528" s="157" t="s">
        <v>5582</v>
      </c>
      <c r="AF528" s="157" t="s">
        <v>5583</v>
      </c>
      <c r="AI528" s="157" t="e">
        <f aca="false">IF(AND($E528=Subj_OccCode,Subj_BldgSF&gt;0,ABS($L528-Subj_BldgSF)&lt;=Subj_BldgSF*Subj_SizeTol),ABS($L528-Subj_BldgSF),NA())</f>
        <v>#N/A</v>
      </c>
      <c r="AJ528" s="1" t="e">
        <f aca="false">IF(ISNA(AI528),NA(),AI528+ROW()/10000000)</f>
        <v>#N/A</v>
      </c>
      <c r="AK528" s="157" t="str">
        <f aca="false">IF(AND(ISNUMBER($N528),$N528&gt;0,ISNUMBER($Y528)),$Y528/$N528,"")</f>
        <v/>
      </c>
    </row>
    <row r="529" customFormat="false" ht="15" hidden="false" customHeight="true" outlineLevel="0" collapsed="false">
      <c r="A529" s="438" t="n">
        <v>8</v>
      </c>
      <c r="B529" s="157" t="n">
        <v>524</v>
      </c>
      <c r="C529" s="157" t="s">
        <v>5584</v>
      </c>
      <c r="D529" s="157" t="s">
        <v>5585</v>
      </c>
      <c r="E529" s="157" t="n">
        <v>407</v>
      </c>
      <c r="F529" s="157" t="s">
        <v>2921</v>
      </c>
      <c r="G529" s="157" t="s">
        <v>2691</v>
      </c>
      <c r="H529" s="78" t="n">
        <f aca="false">Y529/J529</f>
        <v>161.268185561351</v>
      </c>
      <c r="I529" s="439" t="n">
        <v>43738</v>
      </c>
      <c r="J529" s="157" t="n">
        <v>14572</v>
      </c>
      <c r="L529" s="157" t="n">
        <v>14572</v>
      </c>
      <c r="M529" s="157" t="n">
        <v>1980</v>
      </c>
      <c r="P529" s="157" t="s">
        <v>3293</v>
      </c>
      <c r="R529" s="174" t="s">
        <v>279</v>
      </c>
      <c r="S529" s="157" t="n">
        <v>72000</v>
      </c>
      <c r="T529" s="440" t="n">
        <f aca="false">S529/J529</f>
        <v>4.94098270656053</v>
      </c>
      <c r="U529" s="157" t="s">
        <v>279</v>
      </c>
      <c r="Y529" s="157" t="n">
        <v>2350000</v>
      </c>
      <c r="AA529" s="157" t="n">
        <v>2350000</v>
      </c>
      <c r="AC529" s="157" t="s">
        <v>5586</v>
      </c>
      <c r="AD529" s="157" t="s">
        <v>5587</v>
      </c>
      <c r="AE529" s="157" t="s">
        <v>5588</v>
      </c>
      <c r="AF529" s="157" t="s">
        <v>5589</v>
      </c>
      <c r="AI529" s="157" t="e">
        <f aca="false">IF(AND($E529=Subj_OccCode,Subj_BldgSF&gt;0,ABS($L529-Subj_BldgSF)&lt;=Subj_BldgSF*Subj_SizeTol),ABS($L529-Subj_BldgSF),NA())</f>
        <v>#N/A</v>
      </c>
      <c r="AJ529" s="1" t="e">
        <f aca="false">IF(ISNA(AI529),NA(),AI529+ROW()/10000000)</f>
        <v>#N/A</v>
      </c>
      <c r="AK529" s="157" t="str">
        <f aca="false">IF(AND(ISNUMBER($N529),$N529&gt;0,ISNUMBER($Y529)),$Y529/$N529,"")</f>
        <v/>
      </c>
    </row>
    <row r="530" customFormat="false" ht="15" hidden="false" customHeight="true" outlineLevel="0" collapsed="false">
      <c r="A530" s="438" t="n">
        <v>8</v>
      </c>
      <c r="B530" s="157" t="n">
        <v>525</v>
      </c>
      <c r="C530" s="157" t="s">
        <v>5590</v>
      </c>
      <c r="D530" s="157" t="s">
        <v>5591</v>
      </c>
      <c r="E530" s="157" t="n">
        <v>384</v>
      </c>
      <c r="F530" s="157" t="s">
        <v>260</v>
      </c>
      <c r="G530" s="157" t="s">
        <v>353</v>
      </c>
      <c r="H530" s="78" t="n">
        <f aca="false">Y530/J530</f>
        <v>400</v>
      </c>
      <c r="I530" s="439" t="n">
        <v>44351</v>
      </c>
      <c r="J530" s="157" t="n">
        <v>600</v>
      </c>
      <c r="L530" s="157" t="n">
        <v>600</v>
      </c>
      <c r="M530" s="157" t="n">
        <v>1964</v>
      </c>
      <c r="P530" s="157" t="s">
        <v>3500</v>
      </c>
      <c r="R530" s="174" t="s">
        <v>279</v>
      </c>
      <c r="S530" s="157" t="n">
        <v>6500</v>
      </c>
      <c r="T530" s="440" t="n">
        <f aca="false">S530/J530</f>
        <v>10.8333333333333</v>
      </c>
      <c r="U530" s="157" t="s">
        <v>279</v>
      </c>
      <c r="Y530" s="157" t="n">
        <v>240000</v>
      </c>
      <c r="AA530" s="157" t="n">
        <v>240000</v>
      </c>
      <c r="AC530" s="157" t="s">
        <v>5592</v>
      </c>
      <c r="AD530" s="157" t="s">
        <v>5593</v>
      </c>
      <c r="AE530" s="157" t="s">
        <v>5594</v>
      </c>
      <c r="AF530" s="157" t="s">
        <v>5595</v>
      </c>
      <c r="AI530" s="157" t="e">
        <f aca="false">IF(AND($E530=Subj_OccCode,Subj_BldgSF&gt;0,ABS($L530-Subj_BldgSF)&lt;=Subj_BldgSF*Subj_SizeTol),ABS($L530-Subj_BldgSF),NA())</f>
        <v>#N/A</v>
      </c>
      <c r="AJ530" s="1" t="e">
        <f aca="false">IF(ISNA(AI530),NA(),AI530+ROW()/10000000)</f>
        <v>#N/A</v>
      </c>
      <c r="AK530" s="157" t="str">
        <f aca="false">IF(AND(ISNUMBER($N530),$N530&gt;0,ISNUMBER($Y530)),$Y530/$N530,"")</f>
        <v/>
      </c>
    </row>
    <row r="531" customFormat="false" ht="15" hidden="false" customHeight="true" outlineLevel="0" collapsed="false">
      <c r="A531" s="438" t="n">
        <v>8</v>
      </c>
      <c r="B531" s="157" t="n">
        <v>526</v>
      </c>
      <c r="C531" s="157" t="s">
        <v>5596</v>
      </c>
      <c r="D531" s="157" t="s">
        <v>5597</v>
      </c>
      <c r="E531" s="157" t="n">
        <v>344</v>
      </c>
      <c r="F531" s="157" t="s">
        <v>2581</v>
      </c>
      <c r="G531" s="157" t="s">
        <v>352</v>
      </c>
      <c r="H531" s="78" t="n">
        <f aca="false">Y531/J531</f>
        <v>89.5904436860068</v>
      </c>
      <c r="I531" s="439" t="n">
        <v>43404</v>
      </c>
      <c r="J531" s="157" t="n">
        <v>11720</v>
      </c>
      <c r="L531" s="157" t="n">
        <v>11720</v>
      </c>
      <c r="M531" s="157" t="n">
        <v>1983</v>
      </c>
      <c r="P531" s="157" t="s">
        <v>4407</v>
      </c>
      <c r="R531" s="174" t="s">
        <v>483</v>
      </c>
      <c r="S531" s="157" t="n">
        <v>28467</v>
      </c>
      <c r="T531" s="440" t="n">
        <f aca="false">S531/J531</f>
        <v>2.42892491467577</v>
      </c>
      <c r="U531" s="157" t="s">
        <v>279</v>
      </c>
      <c r="Y531" s="157" t="n">
        <v>1050000</v>
      </c>
      <c r="AA531" s="157" t="n">
        <v>1050000</v>
      </c>
      <c r="AC531" s="157" t="s">
        <v>5598</v>
      </c>
      <c r="AD531" s="157" t="s">
        <v>5599</v>
      </c>
      <c r="AE531" s="157" t="s">
        <v>5600</v>
      </c>
      <c r="AF531" s="157" t="s">
        <v>5601</v>
      </c>
      <c r="AI531" s="157" t="e">
        <f aca="false">IF(AND($E531=Subj_OccCode,Subj_BldgSF&gt;0,ABS($L531-Subj_BldgSF)&lt;=Subj_BldgSF*Subj_SizeTol),ABS($L531-Subj_BldgSF),NA())</f>
        <v>#N/A</v>
      </c>
      <c r="AJ531" s="1" t="e">
        <f aca="false">IF(ISNA(AI531),NA(),AI531+ROW()/10000000)</f>
        <v>#N/A</v>
      </c>
      <c r="AK531" s="157" t="str">
        <f aca="false">IF(AND(ISNUMBER($N531),$N531&gt;0,ISNUMBER($Y531)),$Y531/$N531,"")</f>
        <v/>
      </c>
    </row>
    <row r="532" customFormat="false" ht="15" hidden="false" customHeight="true" outlineLevel="0" collapsed="false">
      <c r="A532" s="438" t="n">
        <v>8</v>
      </c>
      <c r="B532" s="157" t="n">
        <v>527</v>
      </c>
      <c r="C532" s="157" t="s">
        <v>5602</v>
      </c>
      <c r="D532" s="157" t="s">
        <v>5603</v>
      </c>
      <c r="E532" s="157" t="n">
        <v>353</v>
      </c>
      <c r="F532" s="157" t="s">
        <v>260</v>
      </c>
      <c r="G532" s="157" t="s">
        <v>353</v>
      </c>
      <c r="H532" s="78" t="n">
        <f aca="false">Y532/J532</f>
        <v>80.5817610062893</v>
      </c>
      <c r="I532" s="439" t="n">
        <v>43168</v>
      </c>
      <c r="J532" s="157" t="n">
        <v>5088</v>
      </c>
      <c r="L532" s="157" t="n">
        <v>5088</v>
      </c>
      <c r="M532" s="157" t="n">
        <v>1902</v>
      </c>
      <c r="P532" s="157" t="s">
        <v>1929</v>
      </c>
      <c r="R532" s="174" t="s">
        <v>555</v>
      </c>
      <c r="S532" s="157" t="n">
        <v>4000</v>
      </c>
      <c r="T532" s="440" t="n">
        <f aca="false">S532/J532</f>
        <v>0.786163522012579</v>
      </c>
      <c r="U532" s="157" t="s">
        <v>279</v>
      </c>
      <c r="Y532" s="157" t="n">
        <v>410000</v>
      </c>
      <c r="AA532" s="157" t="n">
        <v>410000</v>
      </c>
      <c r="AC532" s="157" t="s">
        <v>5604</v>
      </c>
      <c r="AD532" s="157" t="s">
        <v>5605</v>
      </c>
      <c r="AE532" s="157" t="s">
        <v>5606</v>
      </c>
      <c r="AF532" s="157" t="s">
        <v>5607</v>
      </c>
      <c r="AI532" s="157" t="e">
        <f aca="false">IF(AND($E532=Subj_OccCode,Subj_BldgSF&gt;0,ABS($L532-Subj_BldgSF)&lt;=Subj_BldgSF*Subj_SizeTol),ABS($L532-Subj_BldgSF),NA())</f>
        <v>#N/A</v>
      </c>
      <c r="AJ532" s="1" t="e">
        <f aca="false">IF(ISNA(AI532),NA(),AI532+ROW()/10000000)</f>
        <v>#N/A</v>
      </c>
      <c r="AK532" s="157" t="str">
        <f aca="false">IF(AND(ISNUMBER($N532),$N532&gt;0,ISNUMBER($Y532)),$Y532/$N532,"")</f>
        <v/>
      </c>
    </row>
    <row r="533" customFormat="false" ht="15" hidden="false" customHeight="true" outlineLevel="0" collapsed="false">
      <c r="A533" s="438" t="n">
        <v>8</v>
      </c>
      <c r="B533" s="157" t="n">
        <v>528</v>
      </c>
      <c r="C533" s="157" t="s">
        <v>2939</v>
      </c>
      <c r="D533" s="157" t="s">
        <v>2940</v>
      </c>
      <c r="E533" s="157" t="n">
        <v>334</v>
      </c>
      <c r="G533" s="157" t="s">
        <v>2691</v>
      </c>
      <c r="H533" s="78" t="n">
        <f aca="false">Y533/J533</f>
        <v>174.074074074074</v>
      </c>
      <c r="I533" s="439" t="n">
        <v>43530</v>
      </c>
      <c r="J533" s="157" t="n">
        <v>13500</v>
      </c>
      <c r="L533" s="157" t="n">
        <v>13500</v>
      </c>
      <c r="M533" s="157" t="n">
        <v>1989</v>
      </c>
      <c r="P533" s="157" t="s">
        <v>2692</v>
      </c>
      <c r="R533" s="174" t="s">
        <v>279</v>
      </c>
      <c r="S533" s="157" t="n">
        <v>80781</v>
      </c>
      <c r="T533" s="440" t="n">
        <f aca="false">S533/J533</f>
        <v>5.98377777777778</v>
      </c>
      <c r="U533" s="157" t="s">
        <v>279</v>
      </c>
      <c r="Y533" s="157" t="n">
        <v>2350000</v>
      </c>
      <c r="AA533" s="157" t="n">
        <v>2350000</v>
      </c>
      <c r="AC533" s="157" t="s">
        <v>2941</v>
      </c>
      <c r="AD533" s="157" t="s">
        <v>5608</v>
      </c>
      <c r="AE533" s="157" t="s">
        <v>5609</v>
      </c>
      <c r="AF533" s="157" t="s">
        <v>2943</v>
      </c>
      <c r="AI533" s="157" t="e">
        <f aca="false">IF(AND($E533=Subj_OccCode,Subj_BldgSF&gt;0,ABS($L533-Subj_BldgSF)&lt;=Subj_BldgSF*Subj_SizeTol),ABS($L533-Subj_BldgSF),NA())</f>
        <v>#N/A</v>
      </c>
      <c r="AJ533" s="1" t="e">
        <f aca="false">IF(ISNA(AI533),NA(),AI533+ROW()/10000000)</f>
        <v>#N/A</v>
      </c>
      <c r="AK533" s="157" t="str">
        <f aca="false">IF(AND(ISNUMBER($N533),$N533&gt;0,ISNUMBER($Y533)),$Y533/$N533,"")</f>
        <v/>
      </c>
    </row>
    <row r="534" customFormat="false" ht="15" hidden="false" customHeight="true" outlineLevel="0" collapsed="false">
      <c r="A534" s="438" t="n">
        <v>8</v>
      </c>
      <c r="B534" s="157" t="n">
        <v>529</v>
      </c>
      <c r="C534" s="157" t="s">
        <v>5610</v>
      </c>
      <c r="D534" s="157" t="s">
        <v>5611</v>
      </c>
      <c r="E534" s="157" t="n">
        <v>406</v>
      </c>
      <c r="F534" s="157" t="s">
        <v>2921</v>
      </c>
      <c r="G534" s="157" t="s">
        <v>2691</v>
      </c>
      <c r="H534" s="78" t="n">
        <f aca="false">Y534/J534</f>
        <v>395.833333333333</v>
      </c>
      <c r="I534" s="439" t="n">
        <v>44603</v>
      </c>
      <c r="J534" s="157" t="n">
        <v>1200</v>
      </c>
      <c r="L534" s="157" t="n">
        <v>1200</v>
      </c>
      <c r="M534" s="157" t="n">
        <v>2001</v>
      </c>
      <c r="P534" s="157" t="s">
        <v>3293</v>
      </c>
      <c r="R534" s="174" t="s">
        <v>555</v>
      </c>
      <c r="S534" s="157" t="n">
        <v>11080</v>
      </c>
      <c r="T534" s="440" t="n">
        <f aca="false">S534/J534</f>
        <v>9.23333333333333</v>
      </c>
      <c r="U534" s="157" t="s">
        <v>279</v>
      </c>
      <c r="Y534" s="157" t="n">
        <v>475000</v>
      </c>
      <c r="AA534" s="157" t="n">
        <v>475000</v>
      </c>
      <c r="AC534" s="157" t="s">
        <v>5612</v>
      </c>
      <c r="AD534" s="157" t="s">
        <v>5613</v>
      </c>
      <c r="AE534" s="157" t="s">
        <v>5614</v>
      </c>
      <c r="AF534" s="157" t="s">
        <v>5615</v>
      </c>
      <c r="AI534" s="157" t="e">
        <f aca="false">IF(AND($E534=Subj_OccCode,Subj_BldgSF&gt;0,ABS($L534-Subj_BldgSF)&lt;=Subj_BldgSF*Subj_SizeTol),ABS($L534-Subj_BldgSF),NA())</f>
        <v>#N/A</v>
      </c>
      <c r="AJ534" s="1" t="e">
        <f aca="false">IF(ISNA(AI534),NA(),AI534+ROW()/10000000)</f>
        <v>#N/A</v>
      </c>
      <c r="AK534" s="157" t="str">
        <f aca="false">IF(AND(ISNUMBER($N534),$N534&gt;0,ISNUMBER($Y534)),$Y534/$N534,"")</f>
        <v/>
      </c>
    </row>
    <row r="535" customFormat="false" ht="15" hidden="false" customHeight="true" outlineLevel="0" collapsed="false">
      <c r="A535" s="438" t="n">
        <v>8</v>
      </c>
      <c r="B535" s="157" t="n">
        <v>530</v>
      </c>
      <c r="C535" s="157" t="s">
        <v>5616</v>
      </c>
      <c r="D535" s="157" t="s">
        <v>5617</v>
      </c>
      <c r="E535" s="157" t="n">
        <v>350</v>
      </c>
      <c r="F535" s="157" t="s">
        <v>2677</v>
      </c>
      <c r="G535" s="157" t="s">
        <v>2567</v>
      </c>
      <c r="H535" s="78" t="n">
        <f aca="false">Y535/J535</f>
        <v>263.054057608839</v>
      </c>
      <c r="I535" s="439" t="n">
        <v>43748</v>
      </c>
      <c r="J535" s="157" t="n">
        <v>7603</v>
      </c>
      <c r="L535" s="157" t="n">
        <v>7603</v>
      </c>
      <c r="M535" s="157" t="n">
        <v>1998</v>
      </c>
      <c r="P535" s="157" t="s">
        <v>3307</v>
      </c>
      <c r="R535" s="174" t="s">
        <v>483</v>
      </c>
      <c r="S535" s="157" t="n">
        <v>78843.6016</v>
      </c>
      <c r="T535" s="440" t="n">
        <f aca="false">S535/J535</f>
        <v>10.3700646586874</v>
      </c>
      <c r="U535" s="157" t="s">
        <v>483</v>
      </c>
      <c r="Y535" s="157" t="n">
        <v>2000000</v>
      </c>
      <c r="AA535" s="157" t="n">
        <v>2000000</v>
      </c>
      <c r="AC535" s="157" t="s">
        <v>5618</v>
      </c>
      <c r="AD535" s="157" t="s">
        <v>5619</v>
      </c>
      <c r="AE535" s="157" t="s">
        <v>5620</v>
      </c>
      <c r="AF535" s="157" t="s">
        <v>5621</v>
      </c>
      <c r="AI535" s="157" t="e">
        <f aca="false">IF(AND($E535=Subj_OccCode,Subj_BldgSF&gt;0,ABS($L535-Subj_BldgSF)&lt;=Subj_BldgSF*Subj_SizeTol),ABS($L535-Subj_BldgSF),NA())</f>
        <v>#N/A</v>
      </c>
      <c r="AJ535" s="1" t="e">
        <f aca="false">IF(ISNA(AI535),NA(),AI535+ROW()/10000000)</f>
        <v>#N/A</v>
      </c>
      <c r="AK535" s="157" t="str">
        <f aca="false">IF(AND(ISNUMBER($N535),$N535&gt;0,ISNUMBER($Y535)),$Y535/$N535,"")</f>
        <v/>
      </c>
    </row>
    <row r="536" customFormat="false" ht="15" hidden="false" customHeight="true" outlineLevel="0" collapsed="false">
      <c r="A536" s="438" t="n">
        <v>8</v>
      </c>
      <c r="B536" s="157" t="n">
        <v>531</v>
      </c>
      <c r="C536" s="157" t="s">
        <v>5622</v>
      </c>
      <c r="D536" s="157" t="s">
        <v>5623</v>
      </c>
      <c r="E536" s="157" t="n">
        <v>1344</v>
      </c>
      <c r="G536" s="157" t="s">
        <v>2567</v>
      </c>
      <c r="H536" s="78" t="n">
        <f aca="false">Y536/J536</f>
        <v>257.953568357696</v>
      </c>
      <c r="I536" s="439" t="n">
        <v>44246</v>
      </c>
      <c r="J536" s="157" t="n">
        <v>1163</v>
      </c>
      <c r="L536" s="157" t="n">
        <v>1163</v>
      </c>
      <c r="M536" s="157" t="n">
        <v>2002</v>
      </c>
      <c r="P536" s="157" t="s">
        <v>2706</v>
      </c>
      <c r="R536" s="174" t="s">
        <v>279</v>
      </c>
      <c r="S536" s="157" t="n">
        <v>4954.36</v>
      </c>
      <c r="T536" s="440" t="n">
        <f aca="false">S536/J536</f>
        <v>4.25998280309544</v>
      </c>
      <c r="U536" s="157" t="s">
        <v>279</v>
      </c>
      <c r="Y536" s="157" t="n">
        <v>300000</v>
      </c>
      <c r="AA536" s="157" t="n">
        <v>300000</v>
      </c>
      <c r="AC536" s="157" t="s">
        <v>5624</v>
      </c>
      <c r="AD536" s="157" t="s">
        <v>5625</v>
      </c>
      <c r="AE536" s="157" t="s">
        <v>5626</v>
      </c>
      <c r="AF536" s="157" t="s">
        <v>5627</v>
      </c>
      <c r="AI536" s="157" t="e">
        <f aca="false">IF(AND($E536=Subj_OccCode,Subj_BldgSF&gt;0,ABS($L536-Subj_BldgSF)&lt;=Subj_BldgSF*Subj_SizeTol),ABS($L536-Subj_BldgSF),NA())</f>
        <v>#N/A</v>
      </c>
      <c r="AJ536" s="1" t="e">
        <f aca="false">IF(ISNA(AI536),NA(),AI536+ROW()/10000000)</f>
        <v>#N/A</v>
      </c>
      <c r="AK536" s="157" t="str">
        <f aca="false">IF(AND(ISNUMBER($N536),$N536&gt;0,ISNUMBER($Y536)),$Y536/$N536,"")</f>
        <v/>
      </c>
    </row>
    <row r="537" customFormat="false" ht="15" hidden="false" customHeight="true" outlineLevel="0" collapsed="false">
      <c r="A537" s="438" t="n">
        <v>8</v>
      </c>
      <c r="B537" s="157" t="n">
        <v>532</v>
      </c>
      <c r="C537" s="157" t="s">
        <v>5628</v>
      </c>
      <c r="D537" s="157" t="s">
        <v>5629</v>
      </c>
      <c r="E537" s="157" t="n">
        <v>392</v>
      </c>
      <c r="F537" s="157" t="s">
        <v>2921</v>
      </c>
      <c r="G537" s="157" t="s">
        <v>2691</v>
      </c>
      <c r="H537" s="78" t="n">
        <f aca="false">Y537/J537</f>
        <v>71.0393820263466</v>
      </c>
      <c r="I537" s="439" t="n">
        <v>43465</v>
      </c>
      <c r="J537" s="157" t="n">
        <v>14499</v>
      </c>
      <c r="L537" s="157" t="n">
        <v>14499</v>
      </c>
      <c r="M537" s="157" t="n">
        <v>1922</v>
      </c>
      <c r="P537" s="157" t="s">
        <v>4420</v>
      </c>
      <c r="R537" s="174" t="s">
        <v>1511</v>
      </c>
      <c r="S537" s="157" t="n">
        <v>63713</v>
      </c>
      <c r="T537" s="440" t="n">
        <f aca="false">S537/J537</f>
        <v>4.39430305538313</v>
      </c>
      <c r="U537" s="157" t="s">
        <v>1511</v>
      </c>
      <c r="Y537" s="157" t="n">
        <v>1030000</v>
      </c>
      <c r="AA537" s="157" t="n">
        <v>1030000</v>
      </c>
      <c r="AC537" s="157" t="s">
        <v>5630</v>
      </c>
      <c r="AD537" s="157" t="s">
        <v>5631</v>
      </c>
      <c r="AE537" s="157" t="s">
        <v>5632</v>
      </c>
      <c r="AF537" s="157" t="s">
        <v>5633</v>
      </c>
      <c r="AI537" s="157" t="e">
        <f aca="false">IF(AND($E537=Subj_OccCode,Subj_BldgSF&gt;0,ABS($L537-Subj_BldgSF)&lt;=Subj_BldgSF*Subj_SizeTol),ABS($L537-Subj_BldgSF),NA())</f>
        <v>#N/A</v>
      </c>
      <c r="AJ537" s="1" t="e">
        <f aca="false">IF(ISNA(AI537),NA(),AI537+ROW()/10000000)</f>
        <v>#N/A</v>
      </c>
      <c r="AK537" s="157" t="str">
        <f aca="false">IF(AND(ISNUMBER($N537),$N537&gt;0,ISNUMBER($Y537)),$Y537/$N537,"")</f>
        <v/>
      </c>
    </row>
    <row r="538" customFormat="false" ht="15" hidden="false" customHeight="true" outlineLevel="0" collapsed="false">
      <c r="A538" s="438" t="n">
        <v>8</v>
      </c>
      <c r="B538" s="157" t="n">
        <v>533</v>
      </c>
      <c r="C538" s="157" t="s">
        <v>5634</v>
      </c>
      <c r="D538" s="157" t="s">
        <v>5635</v>
      </c>
      <c r="E538" s="157" t="n">
        <v>344</v>
      </c>
      <c r="F538" s="157" t="s">
        <v>2566</v>
      </c>
      <c r="G538" s="157" t="s">
        <v>2567</v>
      </c>
      <c r="H538" s="78" t="n">
        <f aca="false">Y538/J538</f>
        <v>176.174496644295</v>
      </c>
      <c r="I538" s="439" t="n">
        <v>43279</v>
      </c>
      <c r="J538" s="157" t="n">
        <v>1192</v>
      </c>
      <c r="L538" s="157" t="n">
        <v>1192</v>
      </c>
      <c r="M538" s="157" t="n">
        <v>2000</v>
      </c>
      <c r="R538" s="174" t="s">
        <v>483</v>
      </c>
      <c r="S538" s="157" t="n">
        <v>3100</v>
      </c>
      <c r="T538" s="440" t="n">
        <f aca="false">S538/J538</f>
        <v>2.6006711409396</v>
      </c>
      <c r="U538" s="157" t="s">
        <v>483</v>
      </c>
      <c r="Y538" s="157" t="n">
        <v>210000</v>
      </c>
      <c r="AA538" s="157" t="n">
        <v>210000</v>
      </c>
      <c r="AC538" s="157" t="s">
        <v>5636</v>
      </c>
      <c r="AD538" s="157" t="s">
        <v>5637</v>
      </c>
      <c r="AE538" s="157" t="s">
        <v>5638</v>
      </c>
      <c r="AF538" s="157" t="s">
        <v>5639</v>
      </c>
      <c r="AI538" s="157" t="e">
        <f aca="false">IF(AND($E538=Subj_OccCode,Subj_BldgSF&gt;0,ABS($L538-Subj_BldgSF)&lt;=Subj_BldgSF*Subj_SizeTol),ABS($L538-Subj_BldgSF),NA())</f>
        <v>#N/A</v>
      </c>
      <c r="AJ538" s="1" t="e">
        <f aca="false">IF(ISNA(AI538),NA(),AI538+ROW()/10000000)</f>
        <v>#N/A</v>
      </c>
      <c r="AK538" s="157" t="str">
        <f aca="false">IF(AND(ISNUMBER($N538),$N538&gt;0,ISNUMBER($Y538)),$Y538/$N538,"")</f>
        <v/>
      </c>
    </row>
    <row r="539" customFormat="false" ht="15" hidden="false" customHeight="true" outlineLevel="0" collapsed="false">
      <c r="A539" s="438" t="n">
        <v>8</v>
      </c>
      <c r="B539" s="157" t="n">
        <v>534</v>
      </c>
      <c r="C539" s="157" t="s">
        <v>5640</v>
      </c>
      <c r="D539" s="157" t="s">
        <v>5641</v>
      </c>
      <c r="E539" s="157" t="n">
        <v>425</v>
      </c>
      <c r="G539" s="157" t="s">
        <v>2691</v>
      </c>
      <c r="H539" s="78" t="n">
        <f aca="false">Y539/J539</f>
        <v>306.870229007634</v>
      </c>
      <c r="I539" s="439" t="n">
        <v>44497</v>
      </c>
      <c r="J539" s="157" t="n">
        <v>1310</v>
      </c>
      <c r="L539" s="157" t="n">
        <v>1310</v>
      </c>
      <c r="M539" s="157" t="n">
        <v>2003</v>
      </c>
      <c r="P539" s="157" t="s">
        <v>2750</v>
      </c>
      <c r="R539" s="174" t="s">
        <v>483</v>
      </c>
      <c r="S539" s="157" t="n">
        <v>4402</v>
      </c>
      <c r="T539" s="440" t="n">
        <f aca="false">S539/J539</f>
        <v>3.36030534351145</v>
      </c>
      <c r="U539" s="157" t="s">
        <v>483</v>
      </c>
      <c r="Y539" s="157" t="n">
        <v>402000</v>
      </c>
      <c r="AA539" s="157" t="n">
        <v>402000</v>
      </c>
      <c r="AC539" s="157" t="s">
        <v>5642</v>
      </c>
      <c r="AD539" s="157" t="s">
        <v>5643</v>
      </c>
      <c r="AE539" s="157" t="s">
        <v>5644</v>
      </c>
      <c r="AF539" s="157" t="s">
        <v>5645</v>
      </c>
      <c r="AI539" s="157" t="e">
        <f aca="false">IF(AND($E539=Subj_OccCode,Subj_BldgSF&gt;0,ABS($L539-Subj_BldgSF)&lt;=Subj_BldgSF*Subj_SizeTol),ABS($L539-Subj_BldgSF),NA())</f>
        <v>#N/A</v>
      </c>
      <c r="AJ539" s="1" t="e">
        <f aca="false">IF(ISNA(AI539),NA(),AI539+ROW()/10000000)</f>
        <v>#N/A</v>
      </c>
      <c r="AK539" s="157" t="str">
        <f aca="false">IF(AND(ISNUMBER($N539),$N539&gt;0,ISNUMBER($Y539)),$Y539/$N539,"")</f>
        <v/>
      </c>
    </row>
    <row r="540" customFormat="false" ht="15" hidden="false" customHeight="true" outlineLevel="0" collapsed="false">
      <c r="A540" s="438" t="n">
        <v>8</v>
      </c>
      <c r="B540" s="157" t="n">
        <v>535</v>
      </c>
      <c r="C540" s="157" t="s">
        <v>5646</v>
      </c>
      <c r="D540" s="157" t="s">
        <v>5647</v>
      </c>
      <c r="E540" s="157" t="n">
        <v>442</v>
      </c>
      <c r="F540" s="157" t="s">
        <v>2921</v>
      </c>
      <c r="G540" s="157" t="s">
        <v>2691</v>
      </c>
      <c r="H540" s="78" t="n">
        <f aca="false">Y540/J540</f>
        <v>260.15680684248</v>
      </c>
      <c r="I540" s="439" t="n">
        <v>44356</v>
      </c>
      <c r="J540" s="157" t="n">
        <v>1403</v>
      </c>
      <c r="L540" s="157" t="n">
        <v>1403</v>
      </c>
      <c r="M540" s="157" t="n">
        <v>1955</v>
      </c>
      <c r="P540" s="157" t="s">
        <v>3009</v>
      </c>
      <c r="R540" s="174" t="s">
        <v>279</v>
      </c>
      <c r="S540" s="157" t="n">
        <v>15008</v>
      </c>
      <c r="T540" s="440" t="n">
        <f aca="false">S540/J540</f>
        <v>10.6970776906629</v>
      </c>
      <c r="U540" s="157" t="s">
        <v>279</v>
      </c>
      <c r="Y540" s="157" t="n">
        <v>365000</v>
      </c>
      <c r="AA540" s="157" t="n">
        <v>365000</v>
      </c>
      <c r="AC540" s="157" t="s">
        <v>5648</v>
      </c>
      <c r="AD540" s="157" t="s">
        <v>5649</v>
      </c>
      <c r="AE540" s="157" t="s">
        <v>5650</v>
      </c>
      <c r="AF540" s="157" t="s">
        <v>5651</v>
      </c>
      <c r="AI540" s="157" t="e">
        <f aca="false">IF(AND($E540=Subj_OccCode,Subj_BldgSF&gt;0,ABS($L540-Subj_BldgSF)&lt;=Subj_BldgSF*Subj_SizeTol),ABS($L540-Subj_BldgSF),NA())</f>
        <v>#N/A</v>
      </c>
      <c r="AJ540" s="1" t="e">
        <f aca="false">IF(ISNA(AI540),NA(),AI540+ROW()/10000000)</f>
        <v>#N/A</v>
      </c>
      <c r="AK540" s="157" t="str">
        <f aca="false">IF(AND(ISNUMBER($N540),$N540&gt;0,ISNUMBER($Y540)),$Y540/$N540,"")</f>
        <v/>
      </c>
    </row>
    <row r="541" customFormat="false" ht="15" hidden="false" customHeight="true" outlineLevel="0" collapsed="false">
      <c r="A541" s="438" t="n">
        <v>8</v>
      </c>
      <c r="B541" s="157" t="n">
        <v>536</v>
      </c>
      <c r="C541" s="157" t="s">
        <v>3379</v>
      </c>
      <c r="D541" s="157" t="s">
        <v>5652</v>
      </c>
      <c r="E541" s="157" t="n">
        <v>386</v>
      </c>
      <c r="F541" s="157" t="s">
        <v>2595</v>
      </c>
      <c r="G541" s="157" t="s">
        <v>2596</v>
      </c>
      <c r="H541" s="78" t="n">
        <f aca="false">Y541/J541</f>
        <v>64.0809443507589</v>
      </c>
      <c r="I541" s="439" t="n">
        <v>44539</v>
      </c>
      <c r="J541" s="157" t="n">
        <v>29650</v>
      </c>
      <c r="L541" s="157" t="n">
        <v>29650</v>
      </c>
      <c r="M541" s="157" t="n">
        <v>1985</v>
      </c>
      <c r="P541" s="157" t="s">
        <v>3381</v>
      </c>
      <c r="R541" s="174" t="s">
        <v>279</v>
      </c>
      <c r="S541" s="157" t="n">
        <v>62929</v>
      </c>
      <c r="T541" s="440" t="n">
        <f aca="false">S541/J541</f>
        <v>2.12239460370995</v>
      </c>
      <c r="U541" s="157" t="s">
        <v>279</v>
      </c>
      <c r="Y541" s="157" t="n">
        <v>1900000</v>
      </c>
      <c r="AA541" s="157" t="n">
        <v>1900000</v>
      </c>
      <c r="AC541" s="157" t="s">
        <v>3382</v>
      </c>
      <c r="AD541" s="157" t="s">
        <v>5653</v>
      </c>
      <c r="AE541" s="157" t="s">
        <v>5654</v>
      </c>
      <c r="AF541" s="157" t="s">
        <v>5655</v>
      </c>
      <c r="AI541" s="157" t="e">
        <f aca="false">IF(AND($E541=Subj_OccCode,Subj_BldgSF&gt;0,ABS($L541-Subj_BldgSF)&lt;=Subj_BldgSF*Subj_SizeTol),ABS($L541-Subj_BldgSF),NA())</f>
        <v>#N/A</v>
      </c>
      <c r="AJ541" s="1" t="e">
        <f aca="false">IF(ISNA(AI541),NA(),AI541+ROW()/10000000)</f>
        <v>#N/A</v>
      </c>
      <c r="AK541" s="157" t="str">
        <f aca="false">IF(AND(ISNUMBER($N541),$N541&gt;0,ISNUMBER($Y541)),$Y541/$N541,"")</f>
        <v/>
      </c>
    </row>
    <row r="542" customFormat="false" ht="15" hidden="false" customHeight="true" outlineLevel="0" collapsed="false">
      <c r="A542" s="438" t="n">
        <v>8</v>
      </c>
      <c r="B542" s="157" t="n">
        <v>537</v>
      </c>
      <c r="C542" s="157" t="s">
        <v>5656</v>
      </c>
      <c r="D542" s="157" t="s">
        <v>5657</v>
      </c>
      <c r="E542" s="157" t="n">
        <v>210</v>
      </c>
      <c r="F542" s="157" t="s">
        <v>2581</v>
      </c>
      <c r="G542" s="157" t="s">
        <v>354</v>
      </c>
      <c r="H542" s="78" t="n">
        <f aca="false">Y542/J542</f>
        <v>127.892896501993</v>
      </c>
      <c r="I542" s="439" t="n">
        <v>44117</v>
      </c>
      <c r="J542" s="157" t="n">
        <v>73499</v>
      </c>
      <c r="L542" s="157" t="n">
        <v>73499</v>
      </c>
      <c r="M542" s="157" t="n">
        <v>1994</v>
      </c>
      <c r="P542" s="157" t="s">
        <v>2588</v>
      </c>
      <c r="R542" s="174" t="s">
        <v>503</v>
      </c>
      <c r="S542" s="157" t="n">
        <v>888615.98496</v>
      </c>
      <c r="T542" s="440" t="n">
        <f aca="false">S542/J542</f>
        <v>12.0901778930326</v>
      </c>
      <c r="U542" s="157" t="s">
        <v>483</v>
      </c>
      <c r="Y542" s="157" t="n">
        <v>9400000</v>
      </c>
      <c r="AA542" s="157" t="n">
        <v>9400000</v>
      </c>
      <c r="AC542" s="157" t="s">
        <v>5658</v>
      </c>
      <c r="AD542" s="157" t="s">
        <v>5659</v>
      </c>
      <c r="AE542" s="157" t="s">
        <v>5660</v>
      </c>
      <c r="AF542" s="157" t="s">
        <v>5661</v>
      </c>
      <c r="AI542" s="157" t="e">
        <f aca="false">IF(AND($E542=Subj_OccCode,Subj_BldgSF&gt;0,ABS($L542-Subj_BldgSF)&lt;=Subj_BldgSF*Subj_SizeTol),ABS($L542-Subj_BldgSF),NA())</f>
        <v>#N/A</v>
      </c>
      <c r="AJ542" s="1" t="e">
        <f aca="false">IF(ISNA(AI542),NA(),AI542+ROW()/10000000)</f>
        <v>#N/A</v>
      </c>
      <c r="AK542" s="157" t="str">
        <f aca="false">IF(AND(ISNUMBER($N542),$N542&gt;0,ISNUMBER($Y542)),$Y542/$N542,"")</f>
        <v/>
      </c>
    </row>
    <row r="543" customFormat="false" ht="15" hidden="false" customHeight="true" outlineLevel="0" collapsed="false">
      <c r="A543" s="438" t="n">
        <v>8</v>
      </c>
      <c r="B543" s="157" t="n">
        <v>538</v>
      </c>
      <c r="C543" s="157" t="s">
        <v>5662</v>
      </c>
      <c r="D543" s="157" t="s">
        <v>5663</v>
      </c>
      <c r="E543" s="157" t="n">
        <v>1344</v>
      </c>
      <c r="F543" s="157" t="s">
        <v>2677</v>
      </c>
      <c r="G543" s="157" t="s">
        <v>354</v>
      </c>
      <c r="H543" s="78" t="n">
        <f aca="false">Y543/J543</f>
        <v>256.673511293635</v>
      </c>
      <c r="I543" s="439" t="n">
        <v>44253</v>
      </c>
      <c r="J543" s="157" t="n">
        <v>974</v>
      </c>
      <c r="L543" s="157" t="n">
        <v>974</v>
      </c>
      <c r="M543" s="157" t="n">
        <v>2000</v>
      </c>
      <c r="P543" s="157" t="s">
        <v>2678</v>
      </c>
      <c r="R543" s="174" t="s">
        <v>279</v>
      </c>
      <c r="S543" s="157" t="n">
        <v>3838.69</v>
      </c>
      <c r="T543" s="440" t="n">
        <f aca="false">S543/J543</f>
        <v>3.94116016427105</v>
      </c>
      <c r="U543" s="157" t="s">
        <v>279</v>
      </c>
      <c r="Y543" s="157" t="n">
        <v>250000</v>
      </c>
      <c r="AA543" s="157" t="n">
        <v>250000</v>
      </c>
      <c r="AC543" s="157" t="s">
        <v>5664</v>
      </c>
      <c r="AD543" s="157" t="s">
        <v>5665</v>
      </c>
      <c r="AE543" s="157" t="s">
        <v>5666</v>
      </c>
      <c r="AF543" s="157" t="s">
        <v>5667</v>
      </c>
      <c r="AI543" s="157" t="e">
        <f aca="false">IF(AND($E543=Subj_OccCode,Subj_BldgSF&gt;0,ABS($L543-Subj_BldgSF)&lt;=Subj_BldgSF*Subj_SizeTol),ABS($L543-Subj_BldgSF),NA())</f>
        <v>#N/A</v>
      </c>
      <c r="AJ543" s="1" t="e">
        <f aca="false">IF(ISNA(AI543),NA(),AI543+ROW()/10000000)</f>
        <v>#N/A</v>
      </c>
      <c r="AK543" s="157" t="str">
        <f aca="false">IF(AND(ISNUMBER($N543),$N543&gt;0,ISNUMBER($Y543)),$Y543/$N543,"")</f>
        <v/>
      </c>
    </row>
    <row r="544" customFormat="false" ht="15" hidden="false" customHeight="true" outlineLevel="0" collapsed="false">
      <c r="A544" s="438" t="n">
        <v>8</v>
      </c>
      <c r="B544" s="157" t="n">
        <v>539</v>
      </c>
      <c r="C544" s="157" t="s">
        <v>5668</v>
      </c>
      <c r="D544" s="157" t="s">
        <v>5669</v>
      </c>
      <c r="E544" s="157" t="n">
        <v>425</v>
      </c>
      <c r="F544" s="157" t="s">
        <v>2595</v>
      </c>
      <c r="G544" s="157" t="s">
        <v>2596</v>
      </c>
      <c r="H544" s="78" t="n">
        <f aca="false">Y544/J544</f>
        <v>338.461538461538</v>
      </c>
      <c r="I544" s="439" t="n">
        <v>44726</v>
      </c>
      <c r="J544" s="157" t="n">
        <v>1625</v>
      </c>
      <c r="L544" s="157" t="n">
        <v>1625</v>
      </c>
      <c r="M544" s="157" t="n">
        <v>2004</v>
      </c>
      <c r="P544" s="157" t="s">
        <v>2807</v>
      </c>
      <c r="R544" s="174" t="s">
        <v>279</v>
      </c>
      <c r="S544" s="157" t="n">
        <v>4740</v>
      </c>
      <c r="T544" s="440" t="n">
        <f aca="false">S544/J544</f>
        <v>2.91692307692308</v>
      </c>
      <c r="U544" s="157" t="s">
        <v>279</v>
      </c>
      <c r="Y544" s="157" t="n">
        <v>550000</v>
      </c>
      <c r="AA544" s="157" t="n">
        <v>550000</v>
      </c>
      <c r="AC544" s="157" t="s">
        <v>5670</v>
      </c>
      <c r="AD544" s="157" t="s">
        <v>5671</v>
      </c>
      <c r="AE544" s="157" t="s">
        <v>5672</v>
      </c>
      <c r="AF544" s="157" t="s">
        <v>5673</v>
      </c>
      <c r="AI544" s="157" t="e">
        <f aca="false">IF(AND($E544=Subj_OccCode,Subj_BldgSF&gt;0,ABS($L544-Subj_BldgSF)&lt;=Subj_BldgSF*Subj_SizeTol),ABS($L544-Subj_BldgSF),NA())</f>
        <v>#N/A</v>
      </c>
      <c r="AJ544" s="1" t="e">
        <f aca="false">IF(ISNA(AI544),NA(),AI544+ROW()/10000000)</f>
        <v>#N/A</v>
      </c>
      <c r="AK544" s="157" t="str">
        <f aca="false">IF(AND(ISNUMBER($N544),$N544&gt;0,ISNUMBER($Y544)),$Y544/$N544,"")</f>
        <v/>
      </c>
    </row>
    <row r="545" customFormat="false" ht="15" hidden="false" customHeight="true" outlineLevel="0" collapsed="false">
      <c r="A545" s="438" t="n">
        <v>8</v>
      </c>
      <c r="B545" s="157" t="n">
        <v>540</v>
      </c>
      <c r="C545" s="157" t="s">
        <v>5674</v>
      </c>
      <c r="D545" s="157" t="s">
        <v>5675</v>
      </c>
      <c r="E545" s="157" t="n">
        <v>344</v>
      </c>
      <c r="F545" s="157" t="s">
        <v>2566</v>
      </c>
      <c r="G545" s="157" t="s">
        <v>2567</v>
      </c>
      <c r="H545" s="78" t="n">
        <f aca="false">Y545/J545</f>
        <v>222.972972972973</v>
      </c>
      <c r="I545" s="439" t="n">
        <v>44077</v>
      </c>
      <c r="J545" s="157" t="n">
        <v>1480</v>
      </c>
      <c r="L545" s="157" t="n">
        <v>1480</v>
      </c>
      <c r="M545" s="157" t="n">
        <v>2001</v>
      </c>
      <c r="P545" s="157" t="s">
        <v>2658</v>
      </c>
      <c r="R545" s="174" t="s">
        <v>483</v>
      </c>
      <c r="S545" s="157" t="n">
        <v>5862</v>
      </c>
      <c r="T545" s="440" t="n">
        <f aca="false">S545/J545</f>
        <v>3.96081081081081</v>
      </c>
      <c r="U545" s="157" t="s">
        <v>483</v>
      </c>
      <c r="Y545" s="157" t="n">
        <v>330000</v>
      </c>
      <c r="AA545" s="157" t="n">
        <v>330000</v>
      </c>
      <c r="AC545" s="157" t="s">
        <v>5676</v>
      </c>
      <c r="AD545" s="157" t="s">
        <v>5677</v>
      </c>
      <c r="AE545" s="157" t="s">
        <v>2822</v>
      </c>
      <c r="AF545" s="157" t="s">
        <v>5678</v>
      </c>
      <c r="AI545" s="157" t="e">
        <f aca="false">IF(AND($E545=Subj_OccCode,Subj_BldgSF&gt;0,ABS($L545-Subj_BldgSF)&lt;=Subj_BldgSF*Subj_SizeTol),ABS($L545-Subj_BldgSF),NA())</f>
        <v>#N/A</v>
      </c>
      <c r="AJ545" s="1" t="e">
        <f aca="false">IF(ISNA(AI545),NA(),AI545+ROW()/10000000)</f>
        <v>#N/A</v>
      </c>
      <c r="AK545" s="157" t="str">
        <f aca="false">IF(AND(ISNUMBER($N545),$N545&gt;0,ISNUMBER($Y545)),$Y545/$N545,"")</f>
        <v/>
      </c>
    </row>
    <row r="546" customFormat="false" ht="15" hidden="false" customHeight="true" outlineLevel="0" collapsed="false">
      <c r="A546" s="438" t="n">
        <v>8</v>
      </c>
      <c r="B546" s="157" t="n">
        <v>541</v>
      </c>
      <c r="C546" s="157" t="s">
        <v>5679</v>
      </c>
      <c r="D546" s="157" t="s">
        <v>5680</v>
      </c>
      <c r="E546" s="157" t="n">
        <v>325</v>
      </c>
      <c r="F546" s="157" t="s">
        <v>2566</v>
      </c>
      <c r="G546" s="157" t="s">
        <v>2567</v>
      </c>
      <c r="H546" s="78" t="n">
        <f aca="false">Y546/J546</f>
        <v>264.563784549965</v>
      </c>
      <c r="I546" s="439" t="n">
        <v>44560</v>
      </c>
      <c r="J546" s="157" t="n">
        <v>11288</v>
      </c>
      <c r="L546" s="157" t="n">
        <v>11288</v>
      </c>
      <c r="M546" s="157" t="n">
        <v>2000</v>
      </c>
      <c r="P546" s="157" t="s">
        <v>3600</v>
      </c>
      <c r="R546" s="174" t="s">
        <v>279</v>
      </c>
      <c r="S546" s="157" t="n">
        <v>40262</v>
      </c>
      <c r="T546" s="440" t="n">
        <f aca="false">S546/J546</f>
        <v>3.56679659815734</v>
      </c>
      <c r="U546" s="157" t="s">
        <v>279</v>
      </c>
      <c r="Y546" s="157" t="n">
        <v>2986396</v>
      </c>
      <c r="AA546" s="157" t="n">
        <v>2986396</v>
      </c>
      <c r="AC546" s="157" t="s">
        <v>5681</v>
      </c>
      <c r="AD546" s="157" t="s">
        <v>5682</v>
      </c>
      <c r="AE546" s="157" t="s">
        <v>5683</v>
      </c>
      <c r="AF546" s="157" t="s">
        <v>5684</v>
      </c>
      <c r="AI546" s="157" t="e">
        <f aca="false">IF(AND($E546=Subj_OccCode,Subj_BldgSF&gt;0,ABS($L546-Subj_BldgSF)&lt;=Subj_BldgSF*Subj_SizeTol),ABS($L546-Subj_BldgSF),NA())</f>
        <v>#N/A</v>
      </c>
      <c r="AJ546" s="1" t="e">
        <f aca="false">IF(ISNA(AI546),NA(),AI546+ROW()/10000000)</f>
        <v>#N/A</v>
      </c>
      <c r="AK546" s="157" t="str">
        <f aca="false">IF(AND(ISNUMBER($N546),$N546&gt;0,ISNUMBER($Y546)),$Y546/$N546,"")</f>
        <v/>
      </c>
    </row>
    <row r="547" customFormat="false" ht="15" hidden="false" customHeight="true" outlineLevel="0" collapsed="false">
      <c r="A547" s="438" t="n">
        <v>8</v>
      </c>
      <c r="B547" s="157" t="n">
        <v>542</v>
      </c>
      <c r="C547" s="157" t="s">
        <v>5685</v>
      </c>
      <c r="D547" s="157" t="s">
        <v>5686</v>
      </c>
      <c r="E547" s="157" t="n">
        <v>319</v>
      </c>
      <c r="F547" s="157" t="s">
        <v>2566</v>
      </c>
      <c r="G547" s="157" t="s">
        <v>2567</v>
      </c>
      <c r="H547" s="78" t="n">
        <f aca="false">Y547/J547</f>
        <v>153.836082744174</v>
      </c>
      <c r="I547" s="439" t="n">
        <v>44582</v>
      </c>
      <c r="J547" s="157" t="n">
        <v>15276</v>
      </c>
      <c r="L547" s="157" t="n">
        <v>15276</v>
      </c>
      <c r="M547" s="157" t="n">
        <v>1964</v>
      </c>
      <c r="P547" s="157" t="s">
        <v>3300</v>
      </c>
      <c r="R547" s="174" t="s">
        <v>1511</v>
      </c>
      <c r="S547" s="157" t="n">
        <v>69391.0781</v>
      </c>
      <c r="T547" s="440" t="n">
        <f aca="false">S547/J547</f>
        <v>4.54249005629746</v>
      </c>
      <c r="U547" s="157" t="s">
        <v>279</v>
      </c>
      <c r="Y547" s="157" t="n">
        <v>2350000</v>
      </c>
      <c r="AA547" s="157" t="n">
        <v>2350000</v>
      </c>
      <c r="AC547" s="157" t="s">
        <v>5687</v>
      </c>
      <c r="AD547" s="157" t="s">
        <v>5688</v>
      </c>
      <c r="AE547" s="157" t="s">
        <v>5689</v>
      </c>
      <c r="AF547" s="157" t="s">
        <v>5690</v>
      </c>
      <c r="AI547" s="157" t="e">
        <f aca="false">IF(AND($E547=Subj_OccCode,Subj_BldgSF&gt;0,ABS($L547-Subj_BldgSF)&lt;=Subj_BldgSF*Subj_SizeTol),ABS($L547-Subj_BldgSF),NA())</f>
        <v>#N/A</v>
      </c>
      <c r="AJ547" s="1" t="e">
        <f aca="false">IF(ISNA(AI547),NA(),AI547+ROW()/10000000)</f>
        <v>#N/A</v>
      </c>
      <c r="AK547" s="157" t="str">
        <f aca="false">IF(AND(ISNUMBER($N547),$N547&gt;0,ISNUMBER($Y547)),$Y547/$N547,"")</f>
        <v/>
      </c>
    </row>
    <row r="548" customFormat="false" ht="15" hidden="false" customHeight="true" outlineLevel="0" collapsed="false">
      <c r="A548" s="438" t="n">
        <v>8</v>
      </c>
      <c r="B548" s="157" t="n">
        <v>543</v>
      </c>
      <c r="C548" s="157" t="s">
        <v>3505</v>
      </c>
      <c r="D548" s="157" t="s">
        <v>3506</v>
      </c>
      <c r="E548" s="157" t="n">
        <v>407</v>
      </c>
      <c r="F548" s="157" t="s">
        <v>2595</v>
      </c>
      <c r="G548" s="157" t="s">
        <v>2596</v>
      </c>
      <c r="H548" s="78" t="n">
        <f aca="false">Y548/J548</f>
        <v>95</v>
      </c>
      <c r="I548" s="439" t="n">
        <v>43951</v>
      </c>
      <c r="J548" s="157" t="n">
        <v>75000</v>
      </c>
      <c r="L548" s="157" t="n">
        <v>75000</v>
      </c>
      <c r="M548" s="157" t="n">
        <v>2003</v>
      </c>
      <c r="P548" s="157" t="s">
        <v>3507</v>
      </c>
      <c r="R548" s="174" t="s">
        <v>279</v>
      </c>
      <c r="S548" s="157" t="n">
        <v>415287.97</v>
      </c>
      <c r="T548" s="440" t="n">
        <f aca="false">S548/J548</f>
        <v>5.53717293333333</v>
      </c>
      <c r="U548" s="157" t="s">
        <v>279</v>
      </c>
      <c r="Y548" s="157" t="n">
        <v>7125000</v>
      </c>
      <c r="AA548" s="157" t="n">
        <v>7125000</v>
      </c>
      <c r="AC548" s="157" t="s">
        <v>3508</v>
      </c>
      <c r="AD548" s="157" t="s">
        <v>5691</v>
      </c>
      <c r="AE548" s="157" t="s">
        <v>5692</v>
      </c>
      <c r="AF548" s="157" t="s">
        <v>3510</v>
      </c>
      <c r="AI548" s="157" t="e">
        <f aca="false">IF(AND($E548=Subj_OccCode,Subj_BldgSF&gt;0,ABS($L548-Subj_BldgSF)&lt;=Subj_BldgSF*Subj_SizeTol),ABS($L548-Subj_BldgSF),NA())</f>
        <v>#N/A</v>
      </c>
      <c r="AJ548" s="1" t="e">
        <f aca="false">IF(ISNA(AI548),NA(),AI548+ROW()/10000000)</f>
        <v>#N/A</v>
      </c>
      <c r="AK548" s="157" t="str">
        <f aca="false">IF(AND(ISNUMBER($N548),$N548&gt;0,ISNUMBER($Y548)),$Y548/$N548,"")</f>
        <v/>
      </c>
    </row>
    <row r="549" customFormat="false" ht="15" hidden="false" customHeight="true" outlineLevel="0" collapsed="false">
      <c r="A549" s="438" t="n">
        <v>8</v>
      </c>
      <c r="B549" s="157" t="n">
        <v>544</v>
      </c>
      <c r="C549" s="157" t="s">
        <v>5693</v>
      </c>
      <c r="D549" s="157" t="s">
        <v>5694</v>
      </c>
      <c r="E549" s="157" t="n">
        <v>353</v>
      </c>
      <c r="F549" s="157" t="s">
        <v>3272</v>
      </c>
      <c r="G549" s="157" t="s">
        <v>2567</v>
      </c>
      <c r="H549" s="78" t="n">
        <f aca="false">Y549/J549</f>
        <v>180.625</v>
      </c>
      <c r="I549" s="439" t="n">
        <v>44335</v>
      </c>
      <c r="J549" s="157" t="n">
        <v>8000</v>
      </c>
      <c r="L549" s="157" t="n">
        <v>8000</v>
      </c>
      <c r="M549" s="157" t="n">
        <v>2011</v>
      </c>
      <c r="P549" s="157" t="s">
        <v>3273</v>
      </c>
      <c r="R549" s="174" t="s">
        <v>279</v>
      </c>
      <c r="S549" s="157" t="n">
        <v>53023</v>
      </c>
      <c r="T549" s="440" t="n">
        <f aca="false">S549/J549</f>
        <v>6.627875</v>
      </c>
      <c r="U549" s="157" t="s">
        <v>279</v>
      </c>
      <c r="Y549" s="157" t="n">
        <v>1445000</v>
      </c>
      <c r="AA549" s="157" t="n">
        <v>1445000</v>
      </c>
      <c r="AC549" s="157" t="s">
        <v>5695</v>
      </c>
      <c r="AD549" s="157" t="s">
        <v>5696</v>
      </c>
      <c r="AE549" s="157" t="s">
        <v>5697</v>
      </c>
      <c r="AF549" s="157" t="s">
        <v>5698</v>
      </c>
      <c r="AI549" s="157" t="e">
        <f aca="false">IF(AND($E549=Subj_OccCode,Subj_BldgSF&gt;0,ABS($L549-Subj_BldgSF)&lt;=Subj_BldgSF*Subj_SizeTol),ABS($L549-Subj_BldgSF),NA())</f>
        <v>#N/A</v>
      </c>
      <c r="AJ549" s="1" t="e">
        <f aca="false">IF(ISNA(AI549),NA(),AI549+ROW()/10000000)</f>
        <v>#N/A</v>
      </c>
      <c r="AK549" s="157" t="str">
        <f aca="false">IF(AND(ISNUMBER($N549),$N549&gt;0,ISNUMBER($Y549)),$Y549/$N549,"")</f>
        <v/>
      </c>
    </row>
    <row r="550" customFormat="false" ht="15" hidden="false" customHeight="true" outlineLevel="0" collapsed="false">
      <c r="A550" s="438" t="n">
        <v>8</v>
      </c>
      <c r="B550" s="157" t="n">
        <v>545</v>
      </c>
      <c r="C550" s="157" t="s">
        <v>5699</v>
      </c>
      <c r="D550" s="157" t="s">
        <v>5700</v>
      </c>
      <c r="E550" s="157" t="n">
        <v>341</v>
      </c>
      <c r="F550" s="157" t="s">
        <v>2677</v>
      </c>
      <c r="G550" s="157" t="s">
        <v>354</v>
      </c>
      <c r="H550" s="78" t="n">
        <f aca="false">Y550/J550</f>
        <v>139.285714285714</v>
      </c>
      <c r="I550" s="439" t="n">
        <v>43273</v>
      </c>
      <c r="J550" s="157" t="n">
        <v>1400</v>
      </c>
      <c r="L550" s="157" t="n">
        <v>1400</v>
      </c>
      <c r="M550" s="157" t="n">
        <v>1986</v>
      </c>
      <c r="P550" s="157" t="s">
        <v>4368</v>
      </c>
      <c r="R550" s="174" t="s">
        <v>279</v>
      </c>
      <c r="S550" s="157" t="n">
        <v>692</v>
      </c>
      <c r="T550" s="440" t="n">
        <f aca="false">S550/J550</f>
        <v>0.494285714285714</v>
      </c>
      <c r="U550" s="157" t="s">
        <v>279</v>
      </c>
      <c r="Y550" s="157" t="n">
        <v>195000</v>
      </c>
      <c r="AA550" s="157" t="n">
        <v>195000</v>
      </c>
      <c r="AC550" s="157" t="s">
        <v>5701</v>
      </c>
      <c r="AD550" s="157" t="s">
        <v>5702</v>
      </c>
      <c r="AE550" s="157" t="s">
        <v>5703</v>
      </c>
      <c r="AF550" s="157" t="s">
        <v>5704</v>
      </c>
      <c r="AI550" s="157" t="e">
        <f aca="false">IF(AND($E550=Subj_OccCode,Subj_BldgSF&gt;0,ABS($L550-Subj_BldgSF)&lt;=Subj_BldgSF*Subj_SizeTol),ABS($L550-Subj_BldgSF),NA())</f>
        <v>#N/A</v>
      </c>
      <c r="AJ550" s="1" t="e">
        <f aca="false">IF(ISNA(AI550),NA(),AI550+ROW()/10000000)</f>
        <v>#N/A</v>
      </c>
      <c r="AK550" s="157" t="str">
        <f aca="false">IF(AND(ISNUMBER($N550),$N550&gt;0,ISNUMBER($Y550)),$Y550/$N550,"")</f>
        <v/>
      </c>
    </row>
    <row r="551" customFormat="false" ht="15" hidden="false" customHeight="true" outlineLevel="0" collapsed="false">
      <c r="A551" s="438" t="n">
        <v>8</v>
      </c>
      <c r="B551" s="157" t="n">
        <v>546</v>
      </c>
      <c r="C551" s="157" t="s">
        <v>5705</v>
      </c>
      <c r="D551" s="157" t="s">
        <v>5706</v>
      </c>
      <c r="E551" s="157" t="n">
        <v>406</v>
      </c>
      <c r="F551" s="157" t="s">
        <v>2595</v>
      </c>
      <c r="G551" s="157" t="s">
        <v>2596</v>
      </c>
      <c r="H551" s="78" t="n">
        <f aca="false">Y551/J551</f>
        <v>200.320512820513</v>
      </c>
      <c r="I551" s="439" t="n">
        <v>43462</v>
      </c>
      <c r="J551" s="157" t="n">
        <v>19968</v>
      </c>
      <c r="L551" s="157" t="n">
        <v>19968</v>
      </c>
      <c r="M551" s="157" t="n">
        <v>2006</v>
      </c>
      <c r="R551" s="174" t="s">
        <v>279</v>
      </c>
      <c r="S551" s="157" t="n">
        <v>130617</v>
      </c>
      <c r="T551" s="440" t="n">
        <f aca="false">S551/J551</f>
        <v>6.54131610576923</v>
      </c>
      <c r="U551" s="157" t="s">
        <v>279</v>
      </c>
      <c r="Y551" s="157" t="n">
        <v>4000000</v>
      </c>
      <c r="AA551" s="157" t="n">
        <v>4000000</v>
      </c>
      <c r="AC551" s="157" t="s">
        <v>5707</v>
      </c>
      <c r="AD551" s="157" t="s">
        <v>5708</v>
      </c>
      <c r="AE551" s="157" t="s">
        <v>5709</v>
      </c>
      <c r="AF551" s="157" t="s">
        <v>5710</v>
      </c>
      <c r="AI551" s="157" t="e">
        <f aca="false">IF(AND($E551=Subj_OccCode,Subj_BldgSF&gt;0,ABS($L551-Subj_BldgSF)&lt;=Subj_BldgSF*Subj_SizeTol),ABS($L551-Subj_BldgSF),NA())</f>
        <v>#N/A</v>
      </c>
      <c r="AJ551" s="1" t="e">
        <f aca="false">IF(ISNA(AI551),NA(),AI551+ROW()/10000000)</f>
        <v>#N/A</v>
      </c>
      <c r="AK551" s="157" t="str">
        <f aca="false">IF(AND(ISNUMBER($N551),$N551&gt;0,ISNUMBER($Y551)),$Y551/$N551,"")</f>
        <v/>
      </c>
    </row>
    <row r="552" customFormat="false" ht="15" hidden="false" customHeight="true" outlineLevel="0" collapsed="false">
      <c r="A552" s="438" t="n">
        <v>8</v>
      </c>
      <c r="B552" s="157" t="n">
        <v>547</v>
      </c>
      <c r="C552" s="157" t="s">
        <v>5711</v>
      </c>
      <c r="D552" s="157" t="s">
        <v>5712</v>
      </c>
      <c r="E552" s="157" t="n">
        <v>3441</v>
      </c>
      <c r="F552" s="157" t="s">
        <v>260</v>
      </c>
      <c r="G552" s="157" t="s">
        <v>353</v>
      </c>
      <c r="H552" s="78" t="n">
        <f aca="false">Y552/J552</f>
        <v>248.295454545455</v>
      </c>
      <c r="I552" s="439" t="n">
        <v>43213</v>
      </c>
      <c r="J552" s="157" t="n">
        <v>1056</v>
      </c>
      <c r="L552" s="157" t="n">
        <v>1056</v>
      </c>
      <c r="M552" s="157" t="n">
        <v>1949</v>
      </c>
      <c r="R552" s="174" t="s">
        <v>279</v>
      </c>
      <c r="S552" s="157" t="n">
        <v>7624</v>
      </c>
      <c r="T552" s="440" t="n">
        <f aca="false">S552/J552</f>
        <v>7.21969696969697</v>
      </c>
      <c r="U552" s="157" t="s">
        <v>483</v>
      </c>
      <c r="Y552" s="157" t="n">
        <v>262200</v>
      </c>
      <c r="AA552" s="157" t="n">
        <v>262200</v>
      </c>
      <c r="AC552" s="157" t="s">
        <v>5713</v>
      </c>
      <c r="AD552" s="157" t="s">
        <v>5714</v>
      </c>
      <c r="AE552" s="157" t="s">
        <v>5715</v>
      </c>
      <c r="AF552" s="157" t="s">
        <v>5716</v>
      </c>
      <c r="AI552" s="157" t="e">
        <f aca="false">IF(AND($E552=Subj_OccCode,Subj_BldgSF&gt;0,ABS($L552-Subj_BldgSF)&lt;=Subj_BldgSF*Subj_SizeTol),ABS($L552-Subj_BldgSF),NA())</f>
        <v>#N/A</v>
      </c>
      <c r="AJ552" s="1" t="e">
        <f aca="false">IF(ISNA(AI552),NA(),AI552+ROW()/10000000)</f>
        <v>#N/A</v>
      </c>
      <c r="AK552" s="157" t="str">
        <f aca="false">IF(AND(ISNUMBER($N552),$N552&gt;0,ISNUMBER($Y552)),$Y552/$N552,"")</f>
        <v/>
      </c>
    </row>
    <row r="553" customFormat="false" ht="15" hidden="false" customHeight="true" outlineLevel="0" collapsed="false">
      <c r="A553" s="438" t="n">
        <v>8</v>
      </c>
      <c r="B553" s="157" t="n">
        <v>548</v>
      </c>
      <c r="C553" s="157" t="s">
        <v>5717</v>
      </c>
      <c r="D553" s="157" t="s">
        <v>5718</v>
      </c>
      <c r="E553" s="157" t="n">
        <v>425</v>
      </c>
      <c r="G553" s="157" t="s">
        <v>2691</v>
      </c>
      <c r="H553" s="78" t="n">
        <f aca="false">Y553/J553</f>
        <v>182.077264091197</v>
      </c>
      <c r="I553" s="439" t="n">
        <v>43838</v>
      </c>
      <c r="J553" s="157" t="n">
        <v>3158</v>
      </c>
      <c r="L553" s="157" t="n">
        <v>3158</v>
      </c>
      <c r="M553" s="157" t="n">
        <v>1985</v>
      </c>
      <c r="P553" s="157" t="s">
        <v>2692</v>
      </c>
      <c r="R553" s="174" t="s">
        <v>279</v>
      </c>
      <c r="S553" s="157" t="n">
        <v>7920</v>
      </c>
      <c r="T553" s="440" t="n">
        <f aca="false">S553/J553</f>
        <v>2.50791640278657</v>
      </c>
      <c r="U553" s="157" t="s">
        <v>279</v>
      </c>
      <c r="Y553" s="157" t="n">
        <v>575000</v>
      </c>
      <c r="AA553" s="157" t="n">
        <v>575000</v>
      </c>
      <c r="AC553" s="157" t="s">
        <v>5719</v>
      </c>
      <c r="AD553" s="157" t="s">
        <v>5720</v>
      </c>
      <c r="AE553" s="157" t="s">
        <v>5721</v>
      </c>
      <c r="AF553" s="157" t="s">
        <v>5722</v>
      </c>
      <c r="AI553" s="157" t="e">
        <f aca="false">IF(AND($E553=Subj_OccCode,Subj_BldgSF&gt;0,ABS($L553-Subj_BldgSF)&lt;=Subj_BldgSF*Subj_SizeTol),ABS($L553-Subj_BldgSF),NA())</f>
        <v>#N/A</v>
      </c>
      <c r="AJ553" s="1" t="e">
        <f aca="false">IF(ISNA(AI553),NA(),AI553+ROW()/10000000)</f>
        <v>#N/A</v>
      </c>
      <c r="AK553" s="157" t="str">
        <f aca="false">IF(AND(ISNUMBER($N553),$N553&gt;0,ISNUMBER($Y553)),$Y553/$N553,"")</f>
        <v/>
      </c>
    </row>
    <row r="554" customFormat="false" ht="15" hidden="false" customHeight="true" outlineLevel="0" collapsed="false">
      <c r="A554" s="438" t="n">
        <v>8</v>
      </c>
      <c r="B554" s="157" t="n">
        <v>549</v>
      </c>
      <c r="C554" s="157" t="s">
        <v>2957</v>
      </c>
      <c r="D554" s="157" t="s">
        <v>5723</v>
      </c>
      <c r="E554" s="157" t="n">
        <v>425</v>
      </c>
      <c r="G554" s="157" t="s">
        <v>2691</v>
      </c>
      <c r="H554" s="78" t="n">
        <f aca="false">Y554/J554</f>
        <v>178.11906269791</v>
      </c>
      <c r="I554" s="439" t="n">
        <v>44384</v>
      </c>
      <c r="J554" s="157" t="n">
        <v>3158</v>
      </c>
      <c r="L554" s="157" t="n">
        <v>3158</v>
      </c>
      <c r="M554" s="157" t="n">
        <v>1985</v>
      </c>
      <c r="P554" s="157" t="s">
        <v>2692</v>
      </c>
      <c r="R554" s="174" t="s">
        <v>279</v>
      </c>
      <c r="S554" s="157" t="n">
        <v>7920</v>
      </c>
      <c r="T554" s="440" t="n">
        <f aca="false">S554/J554</f>
        <v>2.50791640278657</v>
      </c>
      <c r="U554" s="157" t="s">
        <v>279</v>
      </c>
      <c r="Y554" s="157" t="n">
        <v>562500</v>
      </c>
      <c r="AA554" s="157" t="n">
        <v>562500</v>
      </c>
      <c r="AC554" s="157" t="s">
        <v>2959</v>
      </c>
      <c r="AD554" s="157" t="s">
        <v>5724</v>
      </c>
      <c r="AE554" s="157" t="s">
        <v>5725</v>
      </c>
      <c r="AF554" s="157" t="s">
        <v>2961</v>
      </c>
      <c r="AI554" s="157" t="e">
        <f aca="false">IF(AND($E554=Subj_OccCode,Subj_BldgSF&gt;0,ABS($L554-Subj_BldgSF)&lt;=Subj_BldgSF*Subj_SizeTol),ABS($L554-Subj_BldgSF),NA())</f>
        <v>#N/A</v>
      </c>
      <c r="AJ554" s="1" t="e">
        <f aca="false">IF(ISNA(AI554),NA(),AI554+ROW()/10000000)</f>
        <v>#N/A</v>
      </c>
      <c r="AK554" s="157" t="str">
        <f aca="false">IF(AND(ISNUMBER($N554),$N554&gt;0,ISNUMBER($Y554)),$Y554/$N554,"")</f>
        <v/>
      </c>
    </row>
    <row r="555" customFormat="false" ht="15" hidden="false" customHeight="true" outlineLevel="0" collapsed="false">
      <c r="A555" s="438" t="n">
        <v>8</v>
      </c>
      <c r="B555" s="157" t="n">
        <v>550</v>
      </c>
      <c r="C555" s="157" t="s">
        <v>5726</v>
      </c>
      <c r="D555" s="157" t="s">
        <v>5727</v>
      </c>
      <c r="E555" s="157" t="n">
        <v>213</v>
      </c>
      <c r="G555" s="157" t="s">
        <v>2691</v>
      </c>
      <c r="H555" s="78" t="n">
        <f aca="false">Y555/J555</f>
        <v>411.71875</v>
      </c>
      <c r="I555" s="439" t="n">
        <v>43116</v>
      </c>
      <c r="J555" s="157" t="n">
        <v>1920</v>
      </c>
      <c r="L555" s="157" t="n">
        <v>1920</v>
      </c>
      <c r="M555" s="157" t="n">
        <v>2003</v>
      </c>
      <c r="P555" s="157" t="s">
        <v>2692</v>
      </c>
      <c r="R555" s="174" t="s">
        <v>555</v>
      </c>
      <c r="S555" s="157" t="n">
        <v>75794</v>
      </c>
      <c r="T555" s="440" t="n">
        <f aca="false">S555/J555</f>
        <v>39.4760416666667</v>
      </c>
      <c r="U555" s="157" t="s">
        <v>279</v>
      </c>
      <c r="Y555" s="157" t="n">
        <v>790500</v>
      </c>
      <c r="AA555" s="157" t="n">
        <v>790500</v>
      </c>
      <c r="AC555" s="157" t="s">
        <v>5728</v>
      </c>
      <c r="AD555" s="157" t="s">
        <v>5729</v>
      </c>
      <c r="AE555" s="157" t="s">
        <v>5730</v>
      </c>
      <c r="AF555" s="157" t="s">
        <v>5731</v>
      </c>
      <c r="AI555" s="157" t="e">
        <f aca="false">IF(AND($E555=Subj_OccCode,Subj_BldgSF&gt;0,ABS($L555-Subj_BldgSF)&lt;=Subj_BldgSF*Subj_SizeTol),ABS($L555-Subj_BldgSF),NA())</f>
        <v>#N/A</v>
      </c>
      <c r="AJ555" s="1" t="e">
        <f aca="false">IF(ISNA(AI555),NA(),AI555+ROW()/10000000)</f>
        <v>#N/A</v>
      </c>
      <c r="AK555" s="157" t="str">
        <f aca="false">IF(AND(ISNUMBER($N555),$N555&gt;0,ISNUMBER($Y555)),$Y555/$N555,"")</f>
        <v/>
      </c>
    </row>
    <row r="556" customFormat="false" ht="15" hidden="false" customHeight="true" outlineLevel="0" collapsed="false">
      <c r="A556" s="438" t="n">
        <v>8</v>
      </c>
      <c r="B556" s="157" t="n">
        <v>551</v>
      </c>
      <c r="C556" s="157" t="s">
        <v>5732</v>
      </c>
      <c r="D556" s="157" t="s">
        <v>5733</v>
      </c>
      <c r="E556" s="157" t="n">
        <v>353</v>
      </c>
      <c r="F556" s="157" t="s">
        <v>260</v>
      </c>
      <c r="G556" s="157" t="s">
        <v>353</v>
      </c>
      <c r="H556" s="78" t="n">
        <f aca="false">Y556/J556</f>
        <v>92.1739130434783</v>
      </c>
      <c r="I556" s="439" t="n">
        <v>43271</v>
      </c>
      <c r="J556" s="157" t="n">
        <v>5750</v>
      </c>
      <c r="L556" s="157" t="n">
        <v>5750</v>
      </c>
      <c r="M556" s="157" t="n">
        <v>1966</v>
      </c>
      <c r="P556" s="157" t="s">
        <v>1929</v>
      </c>
      <c r="R556" s="174" t="s">
        <v>279</v>
      </c>
      <c r="S556" s="157" t="n">
        <v>10150</v>
      </c>
      <c r="T556" s="440" t="n">
        <f aca="false">S556/J556</f>
        <v>1.76521739130435</v>
      </c>
      <c r="U556" s="157" t="s">
        <v>279</v>
      </c>
      <c r="Y556" s="157" t="n">
        <v>530000</v>
      </c>
      <c r="AA556" s="157" t="n">
        <v>530000</v>
      </c>
      <c r="AC556" s="157" t="s">
        <v>5734</v>
      </c>
      <c r="AD556" s="157" t="s">
        <v>5735</v>
      </c>
      <c r="AE556" s="157" t="s">
        <v>5736</v>
      </c>
      <c r="AF556" s="157" t="s">
        <v>5737</v>
      </c>
      <c r="AI556" s="157" t="e">
        <f aca="false">IF(AND($E556=Subj_OccCode,Subj_BldgSF&gt;0,ABS($L556-Subj_BldgSF)&lt;=Subj_BldgSF*Subj_SizeTol),ABS($L556-Subj_BldgSF),NA())</f>
        <v>#N/A</v>
      </c>
      <c r="AJ556" s="1" t="e">
        <f aca="false">IF(ISNA(AI556),NA(),AI556+ROW()/10000000)</f>
        <v>#N/A</v>
      </c>
      <c r="AK556" s="157" t="str">
        <f aca="false">IF(AND(ISNUMBER($N556),$N556&gt;0,ISNUMBER($Y556)),$Y556/$N556,"")</f>
        <v/>
      </c>
    </row>
    <row r="557" customFormat="false" ht="15" hidden="false" customHeight="true" outlineLevel="0" collapsed="false">
      <c r="A557" s="438" t="n">
        <v>8</v>
      </c>
      <c r="B557" s="157" t="n">
        <v>552</v>
      </c>
      <c r="C557" s="157" t="s">
        <v>5738</v>
      </c>
      <c r="D557" s="157" t="s">
        <v>5739</v>
      </c>
      <c r="E557" s="157" t="n">
        <v>339</v>
      </c>
      <c r="F557" s="157" t="s">
        <v>260</v>
      </c>
      <c r="G557" s="157" t="s">
        <v>353</v>
      </c>
      <c r="H557" s="78" t="n">
        <f aca="false">Y557/J557</f>
        <v>180.555555555556</v>
      </c>
      <c r="I557" s="439" t="n">
        <v>43199</v>
      </c>
      <c r="J557" s="157" t="n">
        <v>7200</v>
      </c>
      <c r="L557" s="157" t="n">
        <v>7200</v>
      </c>
      <c r="M557" s="157" t="n">
        <v>1983</v>
      </c>
      <c r="P557" s="157" t="s">
        <v>1929</v>
      </c>
      <c r="R557" s="174" t="s">
        <v>1511</v>
      </c>
      <c r="S557" s="157" t="n">
        <v>96965</v>
      </c>
      <c r="T557" s="440" t="n">
        <f aca="false">S557/J557</f>
        <v>13.4673611111111</v>
      </c>
      <c r="U557" s="157" t="s">
        <v>279</v>
      </c>
      <c r="Y557" s="157" t="n">
        <v>1300000</v>
      </c>
      <c r="AA557" s="157" t="n">
        <v>1300000</v>
      </c>
      <c r="AC557" s="157" t="s">
        <v>5740</v>
      </c>
      <c r="AD557" s="157" t="s">
        <v>5741</v>
      </c>
      <c r="AE557" s="157" t="s">
        <v>5742</v>
      </c>
      <c r="AF557" s="157" t="s">
        <v>5743</v>
      </c>
      <c r="AI557" s="157" t="e">
        <f aca="false">IF(AND($E557=Subj_OccCode,Subj_BldgSF&gt;0,ABS($L557-Subj_BldgSF)&lt;=Subj_BldgSF*Subj_SizeTol),ABS($L557-Subj_BldgSF),NA())</f>
        <v>#N/A</v>
      </c>
      <c r="AJ557" s="1" t="e">
        <f aca="false">IF(ISNA(AI557),NA(),AI557+ROW()/10000000)</f>
        <v>#N/A</v>
      </c>
      <c r="AK557" s="157" t="str">
        <f aca="false">IF(AND(ISNUMBER($N557),$N557&gt;0,ISNUMBER($Y557)),$Y557/$N557,"")</f>
        <v/>
      </c>
    </row>
    <row r="558" customFormat="false" ht="15" hidden="false" customHeight="true" outlineLevel="0" collapsed="false">
      <c r="A558" s="438" t="n">
        <v>8</v>
      </c>
      <c r="B558" s="157" t="n">
        <v>553</v>
      </c>
      <c r="C558" s="157" t="s">
        <v>5738</v>
      </c>
      <c r="D558" s="157" t="s">
        <v>5739</v>
      </c>
      <c r="E558" s="157" t="n">
        <v>353</v>
      </c>
      <c r="F558" s="157" t="s">
        <v>260</v>
      </c>
      <c r="G558" s="157" t="s">
        <v>353</v>
      </c>
      <c r="H558" s="78" t="n">
        <f aca="false">Y558/J558</f>
        <v>194.444444444444</v>
      </c>
      <c r="I558" s="439" t="n">
        <v>44182</v>
      </c>
      <c r="J558" s="157" t="n">
        <v>7200</v>
      </c>
      <c r="L558" s="157" t="n">
        <v>7200</v>
      </c>
      <c r="M558" s="157" t="n">
        <v>1983</v>
      </c>
      <c r="P558" s="157" t="s">
        <v>2765</v>
      </c>
      <c r="R558" s="174" t="s">
        <v>1511</v>
      </c>
      <c r="S558" s="157" t="n">
        <v>96965</v>
      </c>
      <c r="T558" s="440" t="n">
        <f aca="false">S558/J558</f>
        <v>13.4673611111111</v>
      </c>
      <c r="U558" s="157" t="s">
        <v>279</v>
      </c>
      <c r="Y558" s="157" t="n">
        <v>1400000</v>
      </c>
      <c r="AA558" s="157" t="n">
        <v>1400000</v>
      </c>
      <c r="AC558" s="157" t="s">
        <v>5740</v>
      </c>
      <c r="AD558" s="157" t="s">
        <v>5744</v>
      </c>
      <c r="AE558" s="157" t="s">
        <v>5743</v>
      </c>
      <c r="AF558" s="157" t="s">
        <v>5745</v>
      </c>
      <c r="AI558" s="157" t="e">
        <f aca="false">IF(AND($E558=Subj_OccCode,Subj_BldgSF&gt;0,ABS($L558-Subj_BldgSF)&lt;=Subj_BldgSF*Subj_SizeTol),ABS($L558-Subj_BldgSF),NA())</f>
        <v>#N/A</v>
      </c>
      <c r="AJ558" s="1" t="e">
        <f aca="false">IF(ISNA(AI558),NA(),AI558+ROW()/10000000)</f>
        <v>#N/A</v>
      </c>
      <c r="AK558" s="157" t="str">
        <f aca="false">IF(AND(ISNUMBER($N558),$N558&gt;0,ISNUMBER($Y558)),$Y558/$N558,"")</f>
        <v/>
      </c>
    </row>
    <row r="559" customFormat="false" ht="15" hidden="false" customHeight="true" outlineLevel="0" collapsed="false">
      <c r="A559" s="438" t="n">
        <v>8</v>
      </c>
      <c r="B559" s="157" t="n">
        <v>554</v>
      </c>
      <c r="C559" s="157" t="s">
        <v>5746</v>
      </c>
      <c r="D559" s="157" t="s">
        <v>5747</v>
      </c>
      <c r="E559" s="157" t="n">
        <v>325</v>
      </c>
      <c r="G559" s="157" t="s">
        <v>2691</v>
      </c>
      <c r="H559" s="78" t="n">
        <f aca="false">Y559/J559</f>
        <v>89.303836005683</v>
      </c>
      <c r="I559" s="439" t="n">
        <v>43874</v>
      </c>
      <c r="J559" s="157" t="n">
        <v>4927</v>
      </c>
      <c r="L559" s="157" t="n">
        <v>4927</v>
      </c>
      <c r="M559" s="157" t="n">
        <v>1950</v>
      </c>
      <c r="P559" s="157" t="s">
        <v>2706</v>
      </c>
      <c r="R559" s="174" t="s">
        <v>279</v>
      </c>
      <c r="S559" s="157" t="n">
        <v>30492</v>
      </c>
      <c r="T559" s="440" t="n">
        <f aca="false">S559/J559</f>
        <v>6.18875583519383</v>
      </c>
      <c r="U559" s="157" t="s">
        <v>279</v>
      </c>
      <c r="Y559" s="157" t="n">
        <v>440000</v>
      </c>
      <c r="AA559" s="157" t="n">
        <v>440000</v>
      </c>
      <c r="AC559" s="157" t="s">
        <v>5748</v>
      </c>
      <c r="AD559" s="157" t="s">
        <v>5749</v>
      </c>
      <c r="AE559" s="157" t="s">
        <v>5750</v>
      </c>
      <c r="AF559" s="157" t="s">
        <v>5751</v>
      </c>
      <c r="AI559" s="157" t="e">
        <f aca="false">IF(AND($E559=Subj_OccCode,Subj_BldgSF&gt;0,ABS($L559-Subj_BldgSF)&lt;=Subj_BldgSF*Subj_SizeTol),ABS($L559-Subj_BldgSF),NA())</f>
        <v>#N/A</v>
      </c>
      <c r="AJ559" s="1" t="e">
        <f aca="false">IF(ISNA(AI559),NA(),AI559+ROW()/10000000)</f>
        <v>#N/A</v>
      </c>
      <c r="AK559" s="157" t="str">
        <f aca="false">IF(AND(ISNUMBER($N559),$N559&gt;0,ISNUMBER($Y559)),$Y559/$N559,"")</f>
        <v/>
      </c>
    </row>
    <row r="560" customFormat="false" ht="15" hidden="false" customHeight="true" outlineLevel="0" collapsed="false">
      <c r="A560" s="438" t="n">
        <v>8</v>
      </c>
      <c r="B560" s="157" t="n">
        <v>555</v>
      </c>
      <c r="C560" s="157" t="s">
        <v>5752</v>
      </c>
      <c r="D560" s="157" t="s">
        <v>5753</v>
      </c>
      <c r="E560" s="157" t="n">
        <v>407</v>
      </c>
      <c r="G560" s="157" t="s">
        <v>2691</v>
      </c>
      <c r="H560" s="78" t="n">
        <f aca="false">Y560/J560</f>
        <v>141.806722689076</v>
      </c>
      <c r="I560" s="439" t="n">
        <v>43189</v>
      </c>
      <c r="J560" s="157" t="n">
        <v>9520</v>
      </c>
      <c r="L560" s="157" t="n">
        <v>9520</v>
      </c>
      <c r="M560" s="157" t="n">
        <v>1997</v>
      </c>
      <c r="P560" s="157" t="s">
        <v>2692</v>
      </c>
      <c r="R560" s="174" t="s">
        <v>279</v>
      </c>
      <c r="S560" s="157" t="n">
        <v>30056</v>
      </c>
      <c r="T560" s="440" t="n">
        <f aca="false">S560/J560</f>
        <v>3.15714285714286</v>
      </c>
      <c r="U560" s="157" t="s">
        <v>279</v>
      </c>
      <c r="Y560" s="157" t="n">
        <v>1350000</v>
      </c>
      <c r="AA560" s="157" t="n">
        <v>1350000</v>
      </c>
      <c r="AC560" s="157" t="s">
        <v>5754</v>
      </c>
      <c r="AD560" s="157" t="s">
        <v>5755</v>
      </c>
      <c r="AE560" s="157" t="s">
        <v>5756</v>
      </c>
      <c r="AF560" s="157" t="s">
        <v>5757</v>
      </c>
      <c r="AI560" s="157" t="e">
        <f aca="false">IF(AND($E560=Subj_OccCode,Subj_BldgSF&gt;0,ABS($L560-Subj_BldgSF)&lt;=Subj_BldgSF*Subj_SizeTol),ABS($L560-Subj_BldgSF),NA())</f>
        <v>#N/A</v>
      </c>
      <c r="AJ560" s="1" t="e">
        <f aca="false">IF(ISNA(AI560),NA(),AI560+ROW()/10000000)</f>
        <v>#N/A</v>
      </c>
      <c r="AK560" s="157" t="str">
        <f aca="false">IF(AND(ISNUMBER($N560),$N560&gt;0,ISNUMBER($Y560)),$Y560/$N560,"")</f>
        <v/>
      </c>
    </row>
    <row r="561" customFormat="false" ht="15" hidden="false" customHeight="true" outlineLevel="0" collapsed="false">
      <c r="A561" s="438" t="n">
        <v>8</v>
      </c>
      <c r="B561" s="157" t="n">
        <v>556</v>
      </c>
      <c r="C561" s="157" t="s">
        <v>5758</v>
      </c>
      <c r="D561" s="157" t="s">
        <v>5759</v>
      </c>
      <c r="E561" s="157" t="n">
        <v>406</v>
      </c>
      <c r="G561" s="157" t="s">
        <v>2691</v>
      </c>
      <c r="H561" s="78" t="n">
        <f aca="false">Y561/J561</f>
        <v>185</v>
      </c>
      <c r="I561" s="439" t="n">
        <v>43259</v>
      </c>
      <c r="J561" s="157" t="n">
        <v>5000</v>
      </c>
      <c r="L561" s="157" t="n">
        <v>5000</v>
      </c>
      <c r="M561" s="157" t="n">
        <v>1999</v>
      </c>
      <c r="P561" s="157" t="s">
        <v>2692</v>
      </c>
      <c r="R561" s="174" t="s">
        <v>279</v>
      </c>
      <c r="S561" s="157" t="n">
        <v>35250</v>
      </c>
      <c r="T561" s="440" t="n">
        <f aca="false">S561/J561</f>
        <v>7.05</v>
      </c>
      <c r="U561" s="157" t="s">
        <v>279</v>
      </c>
      <c r="Y561" s="157" t="n">
        <v>925000</v>
      </c>
      <c r="AA561" s="157" t="n">
        <v>925000</v>
      </c>
      <c r="AC561" s="157" t="s">
        <v>5760</v>
      </c>
      <c r="AD561" s="157" t="s">
        <v>5761</v>
      </c>
      <c r="AE561" s="157" t="s">
        <v>5762</v>
      </c>
      <c r="AF561" s="157" t="s">
        <v>5763</v>
      </c>
      <c r="AI561" s="157" t="e">
        <f aca="false">IF(AND($E561=Subj_OccCode,Subj_BldgSF&gt;0,ABS($L561-Subj_BldgSF)&lt;=Subj_BldgSF*Subj_SizeTol),ABS($L561-Subj_BldgSF),NA())</f>
        <v>#N/A</v>
      </c>
      <c r="AJ561" s="1" t="e">
        <f aca="false">IF(ISNA(AI561),NA(),AI561+ROW()/10000000)</f>
        <v>#N/A</v>
      </c>
      <c r="AK561" s="157" t="str">
        <f aca="false">IF(AND(ISNUMBER($N561),$N561&gt;0,ISNUMBER($Y561)),$Y561/$N561,"")</f>
        <v/>
      </c>
    </row>
    <row r="562" customFormat="false" ht="15" hidden="false" customHeight="true" outlineLevel="0" collapsed="false">
      <c r="A562" s="438" t="n">
        <v>8</v>
      </c>
      <c r="B562" s="157" t="n">
        <v>557</v>
      </c>
      <c r="C562" s="157" t="s">
        <v>5764</v>
      </c>
      <c r="D562" s="157" t="s">
        <v>5765</v>
      </c>
      <c r="E562" s="157" t="n">
        <v>100</v>
      </c>
      <c r="F562" s="157" t="s">
        <v>260</v>
      </c>
      <c r="G562" s="157" t="s">
        <v>671</v>
      </c>
      <c r="H562" s="78" t="n">
        <f aca="false">Y562/J562</f>
        <v>228.628048780488</v>
      </c>
      <c r="I562" s="439" t="n">
        <v>43105</v>
      </c>
      <c r="J562" s="157" t="n">
        <v>3280</v>
      </c>
      <c r="L562" s="157" t="n">
        <v>3280</v>
      </c>
      <c r="M562" s="157" t="n">
        <v>1957</v>
      </c>
      <c r="P562" s="157" t="s">
        <v>1929</v>
      </c>
      <c r="R562" s="174" t="s">
        <v>555</v>
      </c>
      <c r="S562" s="157" t="n">
        <v>255958.56</v>
      </c>
      <c r="T562" s="440" t="n">
        <f aca="false">S562/J562</f>
        <v>78.0361463414634</v>
      </c>
      <c r="U562" s="157" t="s">
        <v>555</v>
      </c>
      <c r="Y562" s="157" t="n">
        <v>749900</v>
      </c>
      <c r="AA562" s="157" t="n">
        <v>749900</v>
      </c>
      <c r="AC562" s="157" t="s">
        <v>5766</v>
      </c>
      <c r="AD562" s="157" t="s">
        <v>5767</v>
      </c>
      <c r="AE562" s="157" t="s">
        <v>5768</v>
      </c>
      <c r="AF562" s="157" t="s">
        <v>5769</v>
      </c>
      <c r="AI562" s="157" t="e">
        <f aca="false">IF(AND($E562=Subj_OccCode,Subj_BldgSF&gt;0,ABS($L562-Subj_BldgSF)&lt;=Subj_BldgSF*Subj_SizeTol),ABS($L562-Subj_BldgSF),NA())</f>
        <v>#N/A</v>
      </c>
      <c r="AJ562" s="1" t="e">
        <f aca="false">IF(ISNA(AI562),NA(),AI562+ROW()/10000000)</f>
        <v>#N/A</v>
      </c>
      <c r="AK562" s="157" t="str">
        <f aca="false">IF(AND(ISNUMBER($N562),$N562&gt;0,ISNUMBER($Y562)),$Y562/$N562,"")</f>
        <v/>
      </c>
    </row>
    <row r="563" customFormat="false" ht="15" hidden="false" customHeight="true" outlineLevel="0" collapsed="false">
      <c r="A563" s="438" t="n">
        <v>8</v>
      </c>
      <c r="B563" s="157" t="n">
        <v>558</v>
      </c>
      <c r="C563" s="157" t="s">
        <v>5770</v>
      </c>
      <c r="D563" s="157" t="s">
        <v>5771</v>
      </c>
      <c r="E563" s="157" t="n">
        <v>531</v>
      </c>
      <c r="G563" s="157" t="s">
        <v>2567</v>
      </c>
      <c r="H563" s="78" t="n">
        <f aca="false">Y563/J563</f>
        <v>1339.65844402277</v>
      </c>
      <c r="I563" s="439" t="n">
        <v>44560</v>
      </c>
      <c r="J563" s="157" t="n">
        <v>1054</v>
      </c>
      <c r="L563" s="157" t="n">
        <v>1054</v>
      </c>
      <c r="M563" s="157" t="n">
        <v>1966</v>
      </c>
      <c r="P563" s="157" t="s">
        <v>2706</v>
      </c>
      <c r="R563" s="174" t="s">
        <v>279</v>
      </c>
      <c r="S563" s="157" t="n">
        <v>18750</v>
      </c>
      <c r="T563" s="440" t="n">
        <f aca="false">S563/J563</f>
        <v>17.7893738140417</v>
      </c>
      <c r="U563" s="157" t="s">
        <v>279</v>
      </c>
      <c r="Y563" s="157" t="n">
        <v>1412000</v>
      </c>
      <c r="AA563" s="157" t="n">
        <v>1412000</v>
      </c>
      <c r="AC563" s="157" t="s">
        <v>5772</v>
      </c>
      <c r="AD563" s="157" t="s">
        <v>5773</v>
      </c>
      <c r="AE563" s="157" t="s">
        <v>5280</v>
      </c>
      <c r="AF563" s="157" t="s">
        <v>5774</v>
      </c>
      <c r="AI563" s="157" t="e">
        <f aca="false">IF(AND($E563=Subj_OccCode,Subj_BldgSF&gt;0,ABS($L563-Subj_BldgSF)&lt;=Subj_BldgSF*Subj_SizeTol),ABS($L563-Subj_BldgSF),NA())</f>
        <v>#N/A</v>
      </c>
      <c r="AJ563" s="1" t="e">
        <f aca="false">IF(ISNA(AI563),NA(),AI563+ROW()/10000000)</f>
        <v>#N/A</v>
      </c>
      <c r="AK563" s="157" t="str">
        <f aca="false">IF(AND(ISNUMBER($N563),$N563&gt;0,ISNUMBER($Y563)),$Y563/$N563,"")</f>
        <v/>
      </c>
    </row>
    <row r="564" customFormat="false" ht="15" hidden="false" customHeight="true" outlineLevel="0" collapsed="false">
      <c r="A564" s="438" t="n">
        <v>8</v>
      </c>
      <c r="B564" s="157" t="n">
        <v>559</v>
      </c>
      <c r="C564" s="157" t="s">
        <v>5775</v>
      </c>
      <c r="D564" s="157" t="s">
        <v>5776</v>
      </c>
      <c r="E564" s="157" t="n">
        <v>413</v>
      </c>
      <c r="F564" s="157" t="s">
        <v>2921</v>
      </c>
      <c r="G564" s="157" t="s">
        <v>354</v>
      </c>
      <c r="H564" s="78" t="n">
        <f aca="false">Y564/J564</f>
        <v>285.547785547786</v>
      </c>
      <c r="I564" s="439" t="n">
        <v>43364</v>
      </c>
      <c r="J564" s="157" t="n">
        <v>17160</v>
      </c>
      <c r="L564" s="157" t="n">
        <v>17160</v>
      </c>
      <c r="M564" s="157" t="n">
        <v>2007</v>
      </c>
      <c r="R564" s="174" t="s">
        <v>279</v>
      </c>
      <c r="S564" s="157" t="n">
        <v>89445</v>
      </c>
      <c r="T564" s="440" t="n">
        <f aca="false">S564/J564</f>
        <v>5.21241258741259</v>
      </c>
      <c r="U564" s="157" t="s">
        <v>279</v>
      </c>
      <c r="Y564" s="157" t="n">
        <v>4900000</v>
      </c>
      <c r="AA564" s="157" t="n">
        <v>4900000</v>
      </c>
      <c r="AC564" s="157" t="s">
        <v>5777</v>
      </c>
      <c r="AD564" s="157" t="s">
        <v>5778</v>
      </c>
      <c r="AE564" s="157" t="s">
        <v>5779</v>
      </c>
      <c r="AF564" s="157" t="s">
        <v>5780</v>
      </c>
      <c r="AI564" s="157" t="e">
        <f aca="false">IF(AND($E564=Subj_OccCode,Subj_BldgSF&gt;0,ABS($L564-Subj_BldgSF)&lt;=Subj_BldgSF*Subj_SizeTol),ABS($L564-Subj_BldgSF),NA())</f>
        <v>#N/A</v>
      </c>
      <c r="AJ564" s="1" t="e">
        <f aca="false">IF(ISNA(AI564),NA(),AI564+ROW()/10000000)</f>
        <v>#N/A</v>
      </c>
      <c r="AK564" s="157" t="str">
        <f aca="false">IF(AND(ISNUMBER($N564),$N564&gt;0,ISNUMBER($Y564)),$Y564/$N564,"")</f>
        <v/>
      </c>
    </row>
    <row r="565" customFormat="false" ht="15" hidden="false" customHeight="true" outlineLevel="0" collapsed="false">
      <c r="A565" s="438" t="n">
        <v>8</v>
      </c>
      <c r="B565" s="157" t="n">
        <v>560</v>
      </c>
      <c r="C565" s="157" t="s">
        <v>5781</v>
      </c>
      <c r="D565" s="157" t="s">
        <v>5782</v>
      </c>
      <c r="E565" s="157" t="n">
        <v>328</v>
      </c>
      <c r="F565" s="157" t="s">
        <v>3320</v>
      </c>
      <c r="G565" s="157" t="s">
        <v>352</v>
      </c>
      <c r="H565" s="78" t="n">
        <f aca="false">Y565/J565</f>
        <v>108.888888888889</v>
      </c>
      <c r="I565" s="439" t="n">
        <v>44544</v>
      </c>
      <c r="J565" s="157" t="n">
        <v>4500</v>
      </c>
      <c r="L565" s="157" t="n">
        <v>4500</v>
      </c>
      <c r="M565" s="157" t="n">
        <v>2006</v>
      </c>
      <c r="R565" s="174" t="s">
        <v>279</v>
      </c>
      <c r="T565" s="440" t="n">
        <f aca="false">S565/J565</f>
        <v>0</v>
      </c>
      <c r="U565" s="157" t="s">
        <v>279</v>
      </c>
      <c r="Y565" s="157" t="n">
        <v>490000</v>
      </c>
      <c r="AA565" s="157" t="n">
        <v>490000</v>
      </c>
      <c r="AC565" s="157" t="s">
        <v>5783</v>
      </c>
      <c r="AD565" s="157" t="s">
        <v>5784</v>
      </c>
      <c r="AE565" s="157" t="s">
        <v>3316</v>
      </c>
      <c r="AF565" s="157" t="s">
        <v>5785</v>
      </c>
      <c r="AI565" s="157" t="e">
        <f aca="false">IF(AND($E565=Subj_OccCode,Subj_BldgSF&gt;0,ABS($L565-Subj_BldgSF)&lt;=Subj_BldgSF*Subj_SizeTol),ABS($L565-Subj_BldgSF),NA())</f>
        <v>#N/A</v>
      </c>
      <c r="AJ565" s="1" t="e">
        <f aca="false">IF(ISNA(AI565),NA(),AI565+ROW()/10000000)</f>
        <v>#N/A</v>
      </c>
      <c r="AK565" s="157" t="str">
        <f aca="false">IF(AND(ISNUMBER($N565),$N565&gt;0,ISNUMBER($Y565)),$Y565/$N565,"")</f>
        <v/>
      </c>
    </row>
    <row r="566" customFormat="false" ht="15" hidden="false" customHeight="true" outlineLevel="0" collapsed="false">
      <c r="A566" s="438" t="n">
        <v>8</v>
      </c>
      <c r="B566" s="157" t="n">
        <v>561</v>
      </c>
      <c r="C566" s="157" t="s">
        <v>5786</v>
      </c>
      <c r="D566" s="157" t="s">
        <v>5787</v>
      </c>
      <c r="E566" s="157" t="n">
        <v>328</v>
      </c>
      <c r="G566" s="157" t="s">
        <v>352</v>
      </c>
      <c r="H566" s="78" t="n">
        <f aca="false">Y566/J566</f>
        <v>77.7777777777778</v>
      </c>
      <c r="I566" s="439" t="n">
        <v>44105</v>
      </c>
      <c r="J566" s="157" t="n">
        <v>4500</v>
      </c>
      <c r="L566" s="157" t="n">
        <v>4500</v>
      </c>
      <c r="M566" s="157" t="n">
        <v>2006</v>
      </c>
      <c r="R566" s="174" t="s">
        <v>279</v>
      </c>
      <c r="T566" s="440" t="n">
        <f aca="false">S566/J566</f>
        <v>0</v>
      </c>
      <c r="U566" s="157" t="s">
        <v>279</v>
      </c>
      <c r="Y566" s="157" t="n">
        <v>350000</v>
      </c>
      <c r="AA566" s="157" t="n">
        <v>350000</v>
      </c>
      <c r="AC566" s="157" t="s">
        <v>5788</v>
      </c>
      <c r="AD566" s="157" t="s">
        <v>5789</v>
      </c>
      <c r="AE566" s="157" t="s">
        <v>5790</v>
      </c>
      <c r="AF566" s="157" t="s">
        <v>3762</v>
      </c>
      <c r="AI566" s="157" t="e">
        <f aca="false">IF(AND($E566=Subj_OccCode,Subj_BldgSF&gt;0,ABS($L566-Subj_BldgSF)&lt;=Subj_BldgSF*Subj_SizeTol),ABS($L566-Subj_BldgSF),NA())</f>
        <v>#N/A</v>
      </c>
      <c r="AJ566" s="1" t="e">
        <f aca="false">IF(ISNA(AI566),NA(),AI566+ROW()/10000000)</f>
        <v>#N/A</v>
      </c>
      <c r="AK566" s="157" t="str">
        <f aca="false">IF(AND(ISNUMBER($N566),$N566&gt;0,ISNUMBER($Y566)),$Y566/$N566,"")</f>
        <v/>
      </c>
    </row>
    <row r="567" customFormat="false" ht="15" hidden="false" customHeight="true" outlineLevel="0" collapsed="false">
      <c r="A567" s="438" t="n">
        <v>8</v>
      </c>
      <c r="B567" s="157" t="n">
        <v>562</v>
      </c>
      <c r="C567" s="157" t="s">
        <v>5791</v>
      </c>
      <c r="D567" s="157" t="s">
        <v>5792</v>
      </c>
      <c r="E567" s="157" t="n">
        <v>328</v>
      </c>
      <c r="G567" s="157" t="s">
        <v>352</v>
      </c>
      <c r="H567" s="78" t="n">
        <f aca="false">Y567/J567</f>
        <v>77.7777777777778</v>
      </c>
      <c r="I567" s="439" t="n">
        <v>44287</v>
      </c>
      <c r="J567" s="157" t="n">
        <v>4500</v>
      </c>
      <c r="L567" s="157" t="n">
        <v>4500</v>
      </c>
      <c r="M567" s="157" t="n">
        <v>2006</v>
      </c>
      <c r="R567" s="174" t="s">
        <v>279</v>
      </c>
      <c r="T567" s="440" t="n">
        <f aca="false">S567/J567</f>
        <v>0</v>
      </c>
      <c r="U567" s="157" t="s">
        <v>279</v>
      </c>
      <c r="Y567" s="157" t="n">
        <v>350000</v>
      </c>
      <c r="AA567" s="157" t="n">
        <v>350000</v>
      </c>
      <c r="AC567" s="157" t="s">
        <v>5793</v>
      </c>
      <c r="AD567" s="157" t="s">
        <v>5794</v>
      </c>
      <c r="AE567" s="157" t="s">
        <v>5790</v>
      </c>
      <c r="AF567" s="157" t="s">
        <v>5795</v>
      </c>
      <c r="AI567" s="157" t="e">
        <f aca="false">IF(AND($E567=Subj_OccCode,Subj_BldgSF&gt;0,ABS($L567-Subj_BldgSF)&lt;=Subj_BldgSF*Subj_SizeTol),ABS($L567-Subj_BldgSF),NA())</f>
        <v>#N/A</v>
      </c>
      <c r="AJ567" s="1" t="e">
        <f aca="false">IF(ISNA(AI567),NA(),AI567+ROW()/10000000)</f>
        <v>#N/A</v>
      </c>
      <c r="AK567" s="157" t="str">
        <f aca="false">IF(AND(ISNUMBER($N567),$N567&gt;0,ISNUMBER($Y567)),$Y567/$N567,"")</f>
        <v/>
      </c>
    </row>
    <row r="568" customFormat="false" ht="15" hidden="false" customHeight="true" outlineLevel="0" collapsed="false">
      <c r="A568" s="438" t="n">
        <v>8</v>
      </c>
      <c r="B568" s="157" t="n">
        <v>563</v>
      </c>
      <c r="C568" s="157" t="s">
        <v>2742</v>
      </c>
      <c r="D568" s="157" t="s">
        <v>5796</v>
      </c>
      <c r="E568" s="157" t="n">
        <v>407</v>
      </c>
      <c r="G568" s="157" t="s">
        <v>2691</v>
      </c>
      <c r="H568" s="78" t="n">
        <f aca="false">Y568/J568</f>
        <v>177.5</v>
      </c>
      <c r="I568" s="439" t="n">
        <v>44666</v>
      </c>
      <c r="J568" s="157" t="n">
        <v>30000</v>
      </c>
      <c r="L568" s="157" t="n">
        <v>30000</v>
      </c>
      <c r="M568" s="157" t="n">
        <v>2001</v>
      </c>
      <c r="P568" s="157" t="s">
        <v>2692</v>
      </c>
      <c r="R568" s="174" t="s">
        <v>279</v>
      </c>
      <c r="S568" s="157" t="n">
        <v>96703.2</v>
      </c>
      <c r="T568" s="440" t="n">
        <f aca="false">S568/J568</f>
        <v>3.22344</v>
      </c>
      <c r="U568" s="157" t="s">
        <v>279</v>
      </c>
      <c r="Y568" s="157" t="n">
        <v>5325000</v>
      </c>
      <c r="AA568" s="157" t="n">
        <v>5325000</v>
      </c>
      <c r="AC568" s="157" t="s">
        <v>2744</v>
      </c>
      <c r="AD568" s="157" t="s">
        <v>5797</v>
      </c>
      <c r="AE568" s="157" t="s">
        <v>5798</v>
      </c>
      <c r="AF568" s="157" t="s">
        <v>5799</v>
      </c>
      <c r="AI568" s="157" t="e">
        <f aca="false">IF(AND($E568=Subj_OccCode,Subj_BldgSF&gt;0,ABS($L568-Subj_BldgSF)&lt;=Subj_BldgSF*Subj_SizeTol),ABS($L568-Subj_BldgSF),NA())</f>
        <v>#N/A</v>
      </c>
      <c r="AJ568" s="1" t="e">
        <f aca="false">IF(ISNA(AI568),NA(),AI568+ROW()/10000000)</f>
        <v>#N/A</v>
      </c>
      <c r="AK568" s="157" t="str">
        <f aca="false">IF(AND(ISNUMBER($N568),$N568&gt;0,ISNUMBER($Y568)),$Y568/$N568,"")</f>
        <v/>
      </c>
    </row>
    <row r="569" customFormat="false" ht="15" hidden="false" customHeight="true" outlineLevel="0" collapsed="false">
      <c r="A569" s="438" t="n">
        <v>8</v>
      </c>
      <c r="B569" s="157" t="n">
        <v>564</v>
      </c>
      <c r="C569" s="157" t="s">
        <v>2969</v>
      </c>
      <c r="D569" s="157" t="s">
        <v>5800</v>
      </c>
      <c r="E569" s="157" t="n">
        <v>442</v>
      </c>
      <c r="G569" s="157" t="s">
        <v>2567</v>
      </c>
      <c r="H569" s="78" t="n">
        <f aca="false">Y569/J569</f>
        <v>212.5</v>
      </c>
      <c r="I569" s="439" t="n">
        <v>44501</v>
      </c>
      <c r="J569" s="157" t="n">
        <v>2000</v>
      </c>
      <c r="L569" s="157" t="n">
        <v>2000</v>
      </c>
      <c r="M569" s="157" t="n">
        <v>1974</v>
      </c>
      <c r="P569" s="157" t="s">
        <v>2706</v>
      </c>
      <c r="R569" s="174" t="s">
        <v>279</v>
      </c>
      <c r="S569" s="157" t="n">
        <v>27934</v>
      </c>
      <c r="T569" s="440" t="n">
        <f aca="false">S569/J569</f>
        <v>13.967</v>
      </c>
      <c r="U569" s="157" t="s">
        <v>279</v>
      </c>
      <c r="Y569" s="157" t="n">
        <v>425000</v>
      </c>
      <c r="AA569" s="157" t="n">
        <v>425000</v>
      </c>
      <c r="AC569" s="157" t="s">
        <v>2971</v>
      </c>
      <c r="AD569" s="157" t="s">
        <v>5801</v>
      </c>
      <c r="AE569" s="157" t="s">
        <v>5802</v>
      </c>
      <c r="AF569" s="157" t="s">
        <v>2973</v>
      </c>
      <c r="AI569" s="157" t="e">
        <f aca="false">IF(AND($E569=Subj_OccCode,Subj_BldgSF&gt;0,ABS($L569-Subj_BldgSF)&lt;=Subj_BldgSF*Subj_SizeTol),ABS($L569-Subj_BldgSF),NA())</f>
        <v>#N/A</v>
      </c>
      <c r="AJ569" s="1" t="e">
        <f aca="false">IF(ISNA(AI569),NA(),AI569+ROW()/10000000)</f>
        <v>#N/A</v>
      </c>
      <c r="AK569" s="157" t="str">
        <f aca="false">IF(AND(ISNUMBER($N569),$N569&gt;0,ISNUMBER($Y569)),$Y569/$N569,"")</f>
        <v/>
      </c>
    </row>
    <row r="570" customFormat="false" ht="15" hidden="false" customHeight="true" outlineLevel="0" collapsed="false">
      <c r="A570" s="438" t="n">
        <v>8</v>
      </c>
      <c r="B570" s="157" t="n">
        <v>565</v>
      </c>
      <c r="C570" s="157" t="s">
        <v>5803</v>
      </c>
      <c r="D570" s="157" t="s">
        <v>5804</v>
      </c>
      <c r="E570" s="157" t="n">
        <v>407</v>
      </c>
      <c r="F570" s="157" t="s">
        <v>2595</v>
      </c>
      <c r="G570" s="157" t="s">
        <v>2596</v>
      </c>
      <c r="H570" s="78" t="n">
        <f aca="false">Y570/J570</f>
        <v>165.368271954674</v>
      </c>
      <c r="I570" s="439" t="n">
        <v>43966</v>
      </c>
      <c r="J570" s="157" t="n">
        <v>14120</v>
      </c>
      <c r="L570" s="157" t="n">
        <v>14120</v>
      </c>
      <c r="M570" s="157" t="n">
        <v>2005</v>
      </c>
      <c r="P570" s="157" t="s">
        <v>2713</v>
      </c>
      <c r="R570" s="174" t="s">
        <v>279</v>
      </c>
      <c r="S570" s="157" t="n">
        <v>56361</v>
      </c>
      <c r="T570" s="440" t="n">
        <f aca="false">S570/J570</f>
        <v>3.99157223796034</v>
      </c>
      <c r="U570" s="157" t="s">
        <v>279</v>
      </c>
      <c r="Y570" s="157" t="n">
        <v>2335000</v>
      </c>
      <c r="AA570" s="157" t="n">
        <v>2335000</v>
      </c>
      <c r="AC570" s="157" t="s">
        <v>5805</v>
      </c>
      <c r="AD570" s="157" t="s">
        <v>5806</v>
      </c>
      <c r="AE570" s="157" t="s">
        <v>5807</v>
      </c>
      <c r="AF570" s="157" t="s">
        <v>5808</v>
      </c>
      <c r="AI570" s="157" t="e">
        <f aca="false">IF(AND($E570=Subj_OccCode,Subj_BldgSF&gt;0,ABS($L570-Subj_BldgSF)&lt;=Subj_BldgSF*Subj_SizeTol),ABS($L570-Subj_BldgSF),NA())</f>
        <v>#N/A</v>
      </c>
      <c r="AJ570" s="1" t="e">
        <f aca="false">IF(ISNA(AI570),NA(),AI570+ROW()/10000000)</f>
        <v>#N/A</v>
      </c>
      <c r="AK570" s="157" t="str">
        <f aca="false">IF(AND(ISNUMBER($N570),$N570&gt;0,ISNUMBER($Y570)),$Y570/$N570,"")</f>
        <v/>
      </c>
    </row>
    <row r="571" customFormat="false" ht="15" hidden="false" customHeight="true" outlineLevel="0" collapsed="false">
      <c r="A571" s="438" t="n">
        <v>8</v>
      </c>
      <c r="B571" s="157" t="n">
        <v>566</v>
      </c>
      <c r="C571" s="157" t="s">
        <v>5809</v>
      </c>
      <c r="D571" s="157" t="s">
        <v>5810</v>
      </c>
      <c r="E571" s="157" t="n">
        <v>344</v>
      </c>
      <c r="F571" s="157" t="s">
        <v>260</v>
      </c>
      <c r="G571" s="157" t="s">
        <v>353</v>
      </c>
      <c r="H571" s="78" t="n">
        <f aca="false">Y571/J571</f>
        <v>100</v>
      </c>
      <c r="I571" s="439" t="n">
        <v>43213</v>
      </c>
      <c r="J571" s="157" t="n">
        <v>7500</v>
      </c>
      <c r="L571" s="157" t="n">
        <v>7500</v>
      </c>
      <c r="M571" s="157" t="n">
        <v>2005</v>
      </c>
      <c r="R571" s="174" t="s">
        <v>279</v>
      </c>
      <c r="S571" s="157" t="n">
        <v>50033</v>
      </c>
      <c r="T571" s="440" t="n">
        <f aca="false">S571/J571</f>
        <v>6.67106666666667</v>
      </c>
      <c r="U571" s="157" t="s">
        <v>279</v>
      </c>
      <c r="Y571" s="157" t="n">
        <v>750000</v>
      </c>
      <c r="AA571" s="157" t="n">
        <v>750000</v>
      </c>
      <c r="AC571" s="157" t="s">
        <v>5811</v>
      </c>
      <c r="AD571" s="157" t="s">
        <v>5812</v>
      </c>
      <c r="AE571" s="157" t="s">
        <v>5813</v>
      </c>
      <c r="AF571" s="157" t="s">
        <v>5814</v>
      </c>
      <c r="AI571" s="157" t="e">
        <f aca="false">IF(AND($E571=Subj_OccCode,Subj_BldgSF&gt;0,ABS($L571-Subj_BldgSF)&lt;=Subj_BldgSF*Subj_SizeTol),ABS($L571-Subj_BldgSF),NA())</f>
        <v>#N/A</v>
      </c>
      <c r="AJ571" s="1" t="e">
        <f aca="false">IF(ISNA(AI571),NA(),AI571+ROW()/10000000)</f>
        <v>#N/A</v>
      </c>
      <c r="AK571" s="157" t="str">
        <f aca="false">IF(AND(ISNUMBER($N571),$N571&gt;0,ISNUMBER($Y571)),$Y571/$N571,"")</f>
        <v/>
      </c>
    </row>
    <row r="572" customFormat="false" ht="15" hidden="false" customHeight="true" outlineLevel="0" collapsed="false">
      <c r="A572" s="438" t="n">
        <v>8</v>
      </c>
      <c r="B572" s="157" t="n">
        <v>567</v>
      </c>
      <c r="C572" s="157" t="s">
        <v>5815</v>
      </c>
      <c r="D572" s="157" t="s">
        <v>5816</v>
      </c>
      <c r="E572" s="157" t="n">
        <v>3441</v>
      </c>
      <c r="F572" s="157" t="s">
        <v>3320</v>
      </c>
      <c r="G572" s="157" t="s">
        <v>352</v>
      </c>
      <c r="H572" s="78" t="n">
        <f aca="false">Y572/J572</f>
        <v>100.334448160535</v>
      </c>
      <c r="I572" s="439" t="n">
        <v>43329</v>
      </c>
      <c r="J572" s="157" t="n">
        <v>2990</v>
      </c>
      <c r="L572" s="157" t="n">
        <v>2990</v>
      </c>
      <c r="M572" s="157" t="n">
        <v>1901</v>
      </c>
      <c r="P572" s="157" t="s">
        <v>4516</v>
      </c>
      <c r="R572" s="174" t="s">
        <v>279</v>
      </c>
      <c r="S572" s="157" t="n">
        <v>17750</v>
      </c>
      <c r="T572" s="440" t="n">
        <f aca="false">S572/J572</f>
        <v>5.93645484949833</v>
      </c>
      <c r="U572" s="157" t="s">
        <v>483</v>
      </c>
      <c r="Y572" s="157" t="n">
        <v>300000</v>
      </c>
      <c r="AA572" s="157" t="n">
        <v>300000</v>
      </c>
      <c r="AC572" s="157" t="s">
        <v>5817</v>
      </c>
      <c r="AD572" s="157" t="s">
        <v>5818</v>
      </c>
      <c r="AE572" s="157" t="s">
        <v>5819</v>
      </c>
      <c r="AF572" s="157" t="s">
        <v>5820</v>
      </c>
      <c r="AI572" s="157" t="e">
        <f aca="false">IF(AND($E572=Subj_OccCode,Subj_BldgSF&gt;0,ABS($L572-Subj_BldgSF)&lt;=Subj_BldgSF*Subj_SizeTol),ABS($L572-Subj_BldgSF),NA())</f>
        <v>#N/A</v>
      </c>
      <c r="AJ572" s="1" t="e">
        <f aca="false">IF(ISNA(AI572),NA(),AI572+ROW()/10000000)</f>
        <v>#N/A</v>
      </c>
      <c r="AK572" s="157" t="str">
        <f aca="false">IF(AND(ISNUMBER($N572),$N572&gt;0,ISNUMBER($Y572)),$Y572/$N572,"")</f>
        <v/>
      </c>
    </row>
    <row r="573" customFormat="false" ht="15" hidden="false" customHeight="true" outlineLevel="0" collapsed="false">
      <c r="A573" s="438" t="n">
        <v>8</v>
      </c>
      <c r="B573" s="157" t="n">
        <v>568</v>
      </c>
      <c r="C573" s="157" t="s">
        <v>5821</v>
      </c>
      <c r="D573" s="157" t="s">
        <v>5822</v>
      </c>
      <c r="E573" s="157" t="n">
        <v>353</v>
      </c>
      <c r="F573" s="157" t="s">
        <v>260</v>
      </c>
      <c r="G573" s="157" t="s">
        <v>353</v>
      </c>
      <c r="H573" s="78" t="n">
        <f aca="false">Y573/J573</f>
        <v>207.182320441989</v>
      </c>
      <c r="I573" s="439" t="n">
        <v>43616</v>
      </c>
      <c r="J573" s="157" t="n">
        <v>1810</v>
      </c>
      <c r="L573" s="157" t="n">
        <v>1810</v>
      </c>
      <c r="M573" s="157" t="n">
        <v>1910</v>
      </c>
      <c r="P573" s="157" t="s">
        <v>1929</v>
      </c>
      <c r="R573" s="174" t="s">
        <v>279</v>
      </c>
      <c r="S573" s="157" t="n">
        <v>9000</v>
      </c>
      <c r="T573" s="440" t="n">
        <f aca="false">S573/J573</f>
        <v>4.97237569060774</v>
      </c>
      <c r="U573" s="157" t="s">
        <v>279</v>
      </c>
      <c r="Y573" s="157" t="n">
        <v>375000</v>
      </c>
      <c r="AA573" s="157" t="n">
        <v>375000</v>
      </c>
      <c r="AC573" s="157" t="s">
        <v>5823</v>
      </c>
      <c r="AD573" s="157" t="s">
        <v>5824</v>
      </c>
      <c r="AE573" s="157" t="s">
        <v>5825</v>
      </c>
      <c r="AF573" s="157" t="s">
        <v>5826</v>
      </c>
      <c r="AI573" s="157" t="e">
        <f aca="false">IF(AND($E573=Subj_OccCode,Subj_BldgSF&gt;0,ABS($L573-Subj_BldgSF)&lt;=Subj_BldgSF*Subj_SizeTol),ABS($L573-Subj_BldgSF),NA())</f>
        <v>#N/A</v>
      </c>
      <c r="AJ573" s="1" t="e">
        <f aca="false">IF(ISNA(AI573),NA(),AI573+ROW()/10000000)</f>
        <v>#N/A</v>
      </c>
      <c r="AK573" s="157" t="str">
        <f aca="false">IF(AND(ISNUMBER($N573),$N573&gt;0,ISNUMBER($Y573)),$Y573/$N573,"")</f>
        <v/>
      </c>
    </row>
    <row r="574" customFormat="false" ht="15" hidden="false" customHeight="true" outlineLevel="0" collapsed="false">
      <c r="A574" s="438" t="n">
        <v>8</v>
      </c>
      <c r="B574" s="157" t="n">
        <v>569</v>
      </c>
      <c r="C574" s="157" t="s">
        <v>5827</v>
      </c>
      <c r="D574" s="157" t="s">
        <v>5828</v>
      </c>
      <c r="E574" s="157" t="n">
        <v>1332</v>
      </c>
      <c r="F574" s="157" t="s">
        <v>2581</v>
      </c>
      <c r="G574" s="157" t="s">
        <v>354</v>
      </c>
      <c r="H574" s="78" t="n">
        <f aca="false">Y574/J574</f>
        <v>124.853927203065</v>
      </c>
      <c r="I574" s="439" t="n">
        <v>44691</v>
      </c>
      <c r="J574" s="157" t="n">
        <v>56376</v>
      </c>
      <c r="L574" s="157" t="n">
        <v>56376</v>
      </c>
      <c r="M574" s="157" t="n">
        <v>2008</v>
      </c>
      <c r="P574" s="157" t="s">
        <v>2588</v>
      </c>
      <c r="R574" s="174" t="s">
        <v>279</v>
      </c>
      <c r="S574" s="157" t="n">
        <v>128502</v>
      </c>
      <c r="T574" s="440" t="n">
        <f aca="false">S574/J574</f>
        <v>2.279374201788</v>
      </c>
      <c r="U574" s="157" t="s">
        <v>279</v>
      </c>
      <c r="Y574" s="157" t="n">
        <v>7038765</v>
      </c>
      <c r="AA574" s="157" t="n">
        <v>7038765</v>
      </c>
      <c r="AC574" s="157" t="s">
        <v>5829</v>
      </c>
      <c r="AD574" s="157" t="s">
        <v>5830</v>
      </c>
      <c r="AE574" s="157" t="s">
        <v>5831</v>
      </c>
      <c r="AF574" s="157" t="s">
        <v>5832</v>
      </c>
      <c r="AI574" s="157" t="e">
        <f aca="false">IF(AND($E574=Subj_OccCode,Subj_BldgSF&gt;0,ABS($L574-Subj_BldgSF)&lt;=Subj_BldgSF*Subj_SizeTol),ABS($L574-Subj_BldgSF),NA())</f>
        <v>#N/A</v>
      </c>
      <c r="AJ574" s="1" t="e">
        <f aca="false">IF(ISNA(AI574),NA(),AI574+ROW()/10000000)</f>
        <v>#N/A</v>
      </c>
      <c r="AK574" s="157" t="str">
        <f aca="false">IF(AND(ISNUMBER($N574),$N574&gt;0,ISNUMBER($Y574)),$Y574/$N574,"")</f>
        <v/>
      </c>
    </row>
    <row r="575" customFormat="false" ht="15" hidden="false" customHeight="true" outlineLevel="0" collapsed="false">
      <c r="A575" s="438" t="n">
        <v>8</v>
      </c>
      <c r="B575" s="157" t="n">
        <v>570</v>
      </c>
      <c r="C575" s="157" t="s">
        <v>5833</v>
      </c>
      <c r="D575" s="157" t="s">
        <v>5834</v>
      </c>
      <c r="E575" s="157" t="n">
        <v>425</v>
      </c>
      <c r="G575" s="157" t="s">
        <v>2691</v>
      </c>
      <c r="H575" s="78" t="n">
        <f aca="false">Y575/J575</f>
        <v>170</v>
      </c>
      <c r="I575" s="439" t="n">
        <v>44336</v>
      </c>
      <c r="J575" s="157" t="n">
        <v>2500</v>
      </c>
      <c r="L575" s="157" t="n">
        <v>2500</v>
      </c>
      <c r="M575" s="157" t="n">
        <v>2000</v>
      </c>
      <c r="P575" s="157" t="s">
        <v>3181</v>
      </c>
      <c r="R575" s="174" t="s">
        <v>279</v>
      </c>
      <c r="S575" s="157" t="n">
        <v>7949</v>
      </c>
      <c r="T575" s="440" t="n">
        <f aca="false">S575/J575</f>
        <v>3.1796</v>
      </c>
      <c r="U575" s="157" t="s">
        <v>279</v>
      </c>
      <c r="Y575" s="157" t="n">
        <v>425000</v>
      </c>
      <c r="AA575" s="157" t="n">
        <v>425000</v>
      </c>
      <c r="AC575" s="157" t="s">
        <v>5835</v>
      </c>
      <c r="AD575" s="157" t="s">
        <v>5836</v>
      </c>
      <c r="AE575" s="157" t="s">
        <v>5837</v>
      </c>
      <c r="AF575" s="157" t="s">
        <v>5838</v>
      </c>
      <c r="AI575" s="157" t="e">
        <f aca="false">IF(AND($E575=Subj_OccCode,Subj_BldgSF&gt;0,ABS($L575-Subj_BldgSF)&lt;=Subj_BldgSF*Subj_SizeTol),ABS($L575-Subj_BldgSF),NA())</f>
        <v>#N/A</v>
      </c>
      <c r="AJ575" s="1" t="e">
        <f aca="false">IF(ISNA(AI575),NA(),AI575+ROW()/10000000)</f>
        <v>#N/A</v>
      </c>
      <c r="AK575" s="157" t="str">
        <f aca="false">IF(AND(ISNUMBER($N575),$N575&gt;0,ISNUMBER($Y575)),$Y575/$N575,"")</f>
        <v/>
      </c>
    </row>
    <row r="576" customFormat="false" ht="15" hidden="false" customHeight="true" outlineLevel="0" collapsed="false">
      <c r="A576" s="438" t="n">
        <v>8</v>
      </c>
      <c r="B576" s="157" t="n">
        <v>571</v>
      </c>
      <c r="C576" s="157" t="s">
        <v>5839</v>
      </c>
      <c r="D576" s="157" t="s">
        <v>5840</v>
      </c>
      <c r="E576" s="157" t="n">
        <v>425</v>
      </c>
      <c r="G576" s="157" t="s">
        <v>2691</v>
      </c>
      <c r="H576" s="78" t="n">
        <f aca="false">Y576/J576</f>
        <v>252</v>
      </c>
      <c r="I576" s="439" t="n">
        <v>44742</v>
      </c>
      <c r="J576" s="157" t="n">
        <v>2500</v>
      </c>
      <c r="L576" s="157" t="n">
        <v>2500</v>
      </c>
      <c r="M576" s="157" t="n">
        <v>2000</v>
      </c>
      <c r="P576" s="157" t="s">
        <v>3181</v>
      </c>
      <c r="R576" s="174" t="s">
        <v>279</v>
      </c>
      <c r="S576" s="157" t="n">
        <v>7949</v>
      </c>
      <c r="T576" s="440" t="n">
        <f aca="false">S576/J576</f>
        <v>3.1796</v>
      </c>
      <c r="U576" s="157" t="s">
        <v>279</v>
      </c>
      <c r="Y576" s="157" t="n">
        <v>630000</v>
      </c>
      <c r="AA576" s="157" t="n">
        <v>630000</v>
      </c>
      <c r="AC576" s="157" t="s">
        <v>5841</v>
      </c>
      <c r="AD576" s="157" t="s">
        <v>5842</v>
      </c>
      <c r="AE576" s="157" t="s">
        <v>5843</v>
      </c>
      <c r="AF576" s="157" t="s">
        <v>5844</v>
      </c>
      <c r="AI576" s="157" t="e">
        <f aca="false">IF(AND($E576=Subj_OccCode,Subj_BldgSF&gt;0,ABS($L576-Subj_BldgSF)&lt;=Subj_BldgSF*Subj_SizeTol),ABS($L576-Subj_BldgSF),NA())</f>
        <v>#N/A</v>
      </c>
      <c r="AJ576" s="1" t="e">
        <f aca="false">IF(ISNA(AI576),NA(),AI576+ROW()/10000000)</f>
        <v>#N/A</v>
      </c>
      <c r="AK576" s="157" t="str">
        <f aca="false">IF(AND(ISNUMBER($N576),$N576&gt;0,ISNUMBER($Y576)),$Y576/$N576,"")</f>
        <v/>
      </c>
    </row>
    <row r="577" customFormat="false" ht="15" hidden="false" customHeight="true" outlineLevel="0" collapsed="false">
      <c r="A577" s="438" t="n">
        <v>8</v>
      </c>
      <c r="B577" s="157" t="n">
        <v>572</v>
      </c>
      <c r="C577" s="157" t="s">
        <v>5845</v>
      </c>
      <c r="D577" s="157" t="s">
        <v>5846</v>
      </c>
      <c r="E577" s="157" t="n">
        <v>406</v>
      </c>
      <c r="G577" s="157" t="s">
        <v>353</v>
      </c>
      <c r="H577" s="78" t="n">
        <f aca="false">Y577/J577</f>
        <v>220</v>
      </c>
      <c r="I577" s="439" t="n">
        <v>43727</v>
      </c>
      <c r="J577" s="157" t="n">
        <v>10000</v>
      </c>
      <c r="L577" s="157" t="n">
        <v>10000</v>
      </c>
      <c r="M577" s="157" t="n">
        <v>1983</v>
      </c>
      <c r="P577" s="157" t="s">
        <v>3181</v>
      </c>
      <c r="R577" s="174" t="s">
        <v>279</v>
      </c>
      <c r="S577" s="157" t="n">
        <v>87120</v>
      </c>
      <c r="T577" s="440" t="n">
        <f aca="false">S577/J577</f>
        <v>8.712</v>
      </c>
      <c r="U577" s="157" t="s">
        <v>279</v>
      </c>
      <c r="Y577" s="157" t="n">
        <v>2200000</v>
      </c>
      <c r="AA577" s="157" t="n">
        <v>2200000</v>
      </c>
      <c r="AC577" s="157" t="s">
        <v>5847</v>
      </c>
      <c r="AD577" s="157" t="s">
        <v>5848</v>
      </c>
      <c r="AE577" s="157" t="s">
        <v>5849</v>
      </c>
      <c r="AF577" s="157" t="s">
        <v>5850</v>
      </c>
      <c r="AI577" s="157" t="e">
        <f aca="false">IF(AND($E577=Subj_OccCode,Subj_BldgSF&gt;0,ABS($L577-Subj_BldgSF)&lt;=Subj_BldgSF*Subj_SizeTol),ABS($L577-Subj_BldgSF),NA())</f>
        <v>#N/A</v>
      </c>
      <c r="AJ577" s="1" t="e">
        <f aca="false">IF(ISNA(AI577),NA(),AI577+ROW()/10000000)</f>
        <v>#N/A</v>
      </c>
      <c r="AK577" s="157" t="str">
        <f aca="false">IF(AND(ISNUMBER($N577),$N577&gt;0,ISNUMBER($Y577)),$Y577/$N577,"")</f>
        <v/>
      </c>
    </row>
    <row r="578" customFormat="false" ht="15" hidden="false" customHeight="true" outlineLevel="0" collapsed="false">
      <c r="A578" s="438" t="n">
        <v>8</v>
      </c>
      <c r="B578" s="157" t="n">
        <v>573</v>
      </c>
      <c r="C578" s="157" t="s">
        <v>5851</v>
      </c>
      <c r="D578" s="157" t="s">
        <v>5852</v>
      </c>
      <c r="E578" s="157" t="n">
        <v>3441</v>
      </c>
      <c r="F578" s="157" t="s">
        <v>260</v>
      </c>
      <c r="G578" s="157" t="s">
        <v>353</v>
      </c>
      <c r="H578" s="78" t="n">
        <f aca="false">Y578/J578</f>
        <v>376.569037656904</v>
      </c>
      <c r="I578" s="439" t="n">
        <v>44063</v>
      </c>
      <c r="J578" s="157" t="n">
        <v>1195</v>
      </c>
      <c r="L578" s="157" t="n">
        <v>1195</v>
      </c>
      <c r="M578" s="157" t="n">
        <v>1919</v>
      </c>
      <c r="P578" s="157" t="s">
        <v>4447</v>
      </c>
      <c r="R578" s="174" t="s">
        <v>279</v>
      </c>
      <c r="S578" s="157" t="n">
        <v>7500</v>
      </c>
      <c r="T578" s="440" t="n">
        <f aca="false">S578/J578</f>
        <v>6.27615062761506</v>
      </c>
      <c r="U578" s="157" t="s">
        <v>279</v>
      </c>
      <c r="Y578" s="157" t="n">
        <v>450000</v>
      </c>
      <c r="AA578" s="157" t="n">
        <v>450000</v>
      </c>
      <c r="AC578" s="157" t="s">
        <v>5853</v>
      </c>
      <c r="AD578" s="157" t="s">
        <v>5854</v>
      </c>
      <c r="AE578" s="157" t="s">
        <v>5855</v>
      </c>
      <c r="AF578" s="157" t="s">
        <v>5856</v>
      </c>
      <c r="AI578" s="157" t="e">
        <f aca="false">IF(AND($E578=Subj_OccCode,Subj_BldgSF&gt;0,ABS($L578-Subj_BldgSF)&lt;=Subj_BldgSF*Subj_SizeTol),ABS($L578-Subj_BldgSF),NA())</f>
        <v>#N/A</v>
      </c>
      <c r="AJ578" s="1" t="e">
        <f aca="false">IF(ISNA(AI578),NA(),AI578+ROW()/10000000)</f>
        <v>#N/A</v>
      </c>
      <c r="AK578" s="157" t="str">
        <f aca="false">IF(AND(ISNUMBER($N578),$N578&gt;0,ISNUMBER($Y578)),$Y578/$N578,"")</f>
        <v/>
      </c>
    </row>
    <row r="579" customFormat="false" ht="15" hidden="false" customHeight="true" outlineLevel="0" collapsed="false">
      <c r="A579" s="438" t="n">
        <v>8</v>
      </c>
      <c r="B579" s="157" t="n">
        <v>574</v>
      </c>
      <c r="C579" s="157" t="s">
        <v>5857</v>
      </c>
      <c r="D579" s="157" t="s">
        <v>5858</v>
      </c>
      <c r="E579" s="157" t="n">
        <v>341</v>
      </c>
      <c r="F579" s="157" t="s">
        <v>2566</v>
      </c>
      <c r="G579" s="157" t="s">
        <v>2567</v>
      </c>
      <c r="H579" s="78" t="n">
        <f aca="false">Y579/J579</f>
        <v>243.478260869565</v>
      </c>
      <c r="I579" s="439" t="n">
        <v>44739</v>
      </c>
      <c r="J579" s="157" t="n">
        <v>5750</v>
      </c>
      <c r="L579" s="157" t="n">
        <v>5750</v>
      </c>
      <c r="M579" s="157" t="n">
        <v>1972</v>
      </c>
      <c r="P579" s="157" t="s">
        <v>2658</v>
      </c>
      <c r="R579" s="174" t="s">
        <v>279</v>
      </c>
      <c r="S579" s="157" t="n">
        <v>38180</v>
      </c>
      <c r="T579" s="440" t="n">
        <f aca="false">S579/J579</f>
        <v>6.64</v>
      </c>
      <c r="U579" s="157" t="s">
        <v>279</v>
      </c>
      <c r="Y579" s="157" t="n">
        <v>1400000</v>
      </c>
      <c r="AA579" s="157" t="n">
        <v>1400000</v>
      </c>
      <c r="AC579" s="157" t="s">
        <v>5859</v>
      </c>
      <c r="AD579" s="157" t="s">
        <v>5860</v>
      </c>
      <c r="AE579" s="157" t="s">
        <v>5861</v>
      </c>
      <c r="AF579" s="157" t="s">
        <v>4387</v>
      </c>
      <c r="AI579" s="157" t="e">
        <f aca="false">IF(AND($E579=Subj_OccCode,Subj_BldgSF&gt;0,ABS($L579-Subj_BldgSF)&lt;=Subj_BldgSF*Subj_SizeTol),ABS($L579-Subj_BldgSF),NA())</f>
        <v>#N/A</v>
      </c>
      <c r="AJ579" s="1" t="e">
        <f aca="false">IF(ISNA(AI579),NA(),AI579+ROW()/10000000)</f>
        <v>#N/A</v>
      </c>
      <c r="AK579" s="157" t="str">
        <f aca="false">IF(AND(ISNUMBER($N579),$N579&gt;0,ISNUMBER($Y579)),$Y579/$N579,"")</f>
        <v/>
      </c>
    </row>
    <row r="580" customFormat="false" ht="15" hidden="false" customHeight="true" outlineLevel="0" collapsed="false">
      <c r="A580" s="438" t="n">
        <v>8</v>
      </c>
      <c r="B580" s="157" t="n">
        <v>575</v>
      </c>
      <c r="C580" s="157" t="s">
        <v>5862</v>
      </c>
      <c r="D580" s="157" t="s">
        <v>5863</v>
      </c>
      <c r="E580" s="157" t="n">
        <v>406</v>
      </c>
      <c r="G580" s="157" t="s">
        <v>2691</v>
      </c>
      <c r="H580" s="78" t="n">
        <f aca="false">Y580/J580</f>
        <v>217.777777777778</v>
      </c>
      <c r="I580" s="439" t="n">
        <v>43791</v>
      </c>
      <c r="J580" s="157" t="n">
        <v>11250</v>
      </c>
      <c r="L580" s="157" t="n">
        <v>11250</v>
      </c>
      <c r="M580" s="157" t="n">
        <v>2003</v>
      </c>
      <c r="P580" s="157" t="s">
        <v>2750</v>
      </c>
      <c r="R580" s="174" t="s">
        <v>279</v>
      </c>
      <c r="S580" s="157" t="n">
        <v>80716.68</v>
      </c>
      <c r="T580" s="440" t="n">
        <f aca="false">S580/J580</f>
        <v>7.174816</v>
      </c>
      <c r="U580" s="157" t="s">
        <v>279</v>
      </c>
      <c r="Y580" s="157" t="n">
        <v>2450000</v>
      </c>
      <c r="AA580" s="157" t="n">
        <v>2450000</v>
      </c>
      <c r="AC580" s="157" t="s">
        <v>5864</v>
      </c>
      <c r="AD580" s="157" t="s">
        <v>5865</v>
      </c>
      <c r="AE580" s="157" t="s">
        <v>5866</v>
      </c>
      <c r="AF580" s="157" t="s">
        <v>5867</v>
      </c>
      <c r="AI580" s="157" t="e">
        <f aca="false">IF(AND($E580=Subj_OccCode,Subj_BldgSF&gt;0,ABS($L580-Subj_BldgSF)&lt;=Subj_BldgSF*Subj_SizeTol),ABS($L580-Subj_BldgSF),NA())</f>
        <v>#N/A</v>
      </c>
      <c r="AJ580" s="1" t="e">
        <f aca="false">IF(ISNA(AI580),NA(),AI580+ROW()/10000000)</f>
        <v>#N/A</v>
      </c>
      <c r="AK580" s="157" t="str">
        <f aca="false">IF(AND(ISNUMBER($N580),$N580&gt;0,ISNUMBER($Y580)),$Y580/$N580,"")</f>
        <v/>
      </c>
    </row>
    <row r="581" customFormat="false" ht="15" hidden="false" customHeight="true" outlineLevel="0" collapsed="false">
      <c r="A581" s="438" t="n">
        <v>8</v>
      </c>
      <c r="B581" s="157" t="n">
        <v>576</v>
      </c>
      <c r="C581" s="157" t="s">
        <v>5868</v>
      </c>
      <c r="D581" s="157" t="s">
        <v>5869</v>
      </c>
      <c r="E581" s="157" t="n">
        <v>425</v>
      </c>
      <c r="F581" s="157" t="s">
        <v>2595</v>
      </c>
      <c r="G581" s="157" t="s">
        <v>2596</v>
      </c>
      <c r="H581" s="78" t="n">
        <f aca="false">Y581/J581</f>
        <v>144</v>
      </c>
      <c r="I581" s="439" t="n">
        <v>44134</v>
      </c>
      <c r="J581" s="157" t="n">
        <v>1500</v>
      </c>
      <c r="L581" s="157" t="n">
        <v>1500</v>
      </c>
      <c r="M581" s="157" t="n">
        <v>1984</v>
      </c>
      <c r="P581" s="157" t="s">
        <v>2713</v>
      </c>
      <c r="R581" s="174" t="s">
        <v>483</v>
      </c>
      <c r="S581" s="157" t="n">
        <v>5227</v>
      </c>
      <c r="T581" s="440" t="n">
        <f aca="false">S581/J581</f>
        <v>3.48466666666667</v>
      </c>
      <c r="U581" s="157" t="s">
        <v>279</v>
      </c>
      <c r="Y581" s="157" t="n">
        <v>216000</v>
      </c>
      <c r="AA581" s="157" t="n">
        <v>216000</v>
      </c>
      <c r="AC581" s="157" t="s">
        <v>5870</v>
      </c>
      <c r="AD581" s="157" t="s">
        <v>5871</v>
      </c>
      <c r="AE581" s="157" t="s">
        <v>5872</v>
      </c>
      <c r="AF581" s="157" t="s">
        <v>5873</v>
      </c>
      <c r="AI581" s="157" t="e">
        <f aca="false">IF(AND($E581=Subj_OccCode,Subj_BldgSF&gt;0,ABS($L581-Subj_BldgSF)&lt;=Subj_BldgSF*Subj_SizeTol),ABS($L581-Subj_BldgSF),NA())</f>
        <v>#N/A</v>
      </c>
      <c r="AJ581" s="1" t="e">
        <f aca="false">IF(ISNA(AI581),NA(),AI581+ROW()/10000000)</f>
        <v>#N/A</v>
      </c>
      <c r="AK581" s="157" t="str">
        <f aca="false">IF(AND(ISNUMBER($N581),$N581&gt;0,ISNUMBER($Y581)),$Y581/$N581,"")</f>
        <v/>
      </c>
    </row>
    <row r="582" customFormat="false" ht="15" hidden="false" customHeight="true" outlineLevel="0" collapsed="false">
      <c r="A582" s="438" t="n">
        <v>8</v>
      </c>
      <c r="B582" s="157" t="n">
        <v>577</v>
      </c>
      <c r="C582" s="157" t="s">
        <v>5874</v>
      </c>
      <c r="D582" s="157" t="s">
        <v>5875</v>
      </c>
      <c r="E582" s="157" t="n">
        <v>407</v>
      </c>
      <c r="G582" s="157" t="s">
        <v>2691</v>
      </c>
      <c r="H582" s="78" t="n">
        <f aca="false">Y582/J582</f>
        <v>197.667770236716</v>
      </c>
      <c r="I582" s="439" t="n">
        <v>44498</v>
      </c>
      <c r="J582" s="157" t="n">
        <v>6041</v>
      </c>
      <c r="L582" s="157" t="n">
        <v>6041</v>
      </c>
      <c r="M582" s="157" t="n">
        <v>2001</v>
      </c>
      <c r="P582" s="157" t="s">
        <v>2750</v>
      </c>
      <c r="R582" s="174" t="s">
        <v>279</v>
      </c>
      <c r="S582" s="157" t="n">
        <v>43560</v>
      </c>
      <c r="T582" s="440" t="n">
        <f aca="false">S582/J582</f>
        <v>7.21072670087734</v>
      </c>
      <c r="U582" s="157" t="s">
        <v>483</v>
      </c>
      <c r="Y582" s="157" t="n">
        <v>1194111</v>
      </c>
      <c r="AA582" s="157" t="n">
        <v>1194111</v>
      </c>
      <c r="AC582" s="157" t="s">
        <v>5876</v>
      </c>
      <c r="AD582" s="157" t="s">
        <v>5877</v>
      </c>
      <c r="AE582" s="157" t="s">
        <v>5878</v>
      </c>
      <c r="AF582" s="157" t="s">
        <v>5879</v>
      </c>
      <c r="AI582" s="157" t="e">
        <f aca="false">IF(AND($E582=Subj_OccCode,Subj_BldgSF&gt;0,ABS($L582-Subj_BldgSF)&lt;=Subj_BldgSF*Subj_SizeTol),ABS($L582-Subj_BldgSF),NA())</f>
        <v>#N/A</v>
      </c>
      <c r="AJ582" s="1" t="e">
        <f aca="false">IF(ISNA(AI582),NA(),AI582+ROW()/10000000)</f>
        <v>#N/A</v>
      </c>
      <c r="AK582" s="157" t="str">
        <f aca="false">IF(AND(ISNUMBER($N582),$N582&gt;0,ISNUMBER($Y582)),$Y582/$N582,"")</f>
        <v/>
      </c>
    </row>
    <row r="583" customFormat="false" ht="15" hidden="false" customHeight="true" outlineLevel="0" collapsed="false">
      <c r="A583" s="438" t="n">
        <v>8</v>
      </c>
      <c r="B583" s="157" t="n">
        <v>578</v>
      </c>
      <c r="C583" s="157" t="s">
        <v>5880</v>
      </c>
      <c r="D583" s="157" t="s">
        <v>5881</v>
      </c>
      <c r="E583" s="157" t="n">
        <v>407</v>
      </c>
      <c r="F583" s="157" t="s">
        <v>2595</v>
      </c>
      <c r="G583" s="157" t="s">
        <v>2596</v>
      </c>
      <c r="H583" s="78" t="n">
        <f aca="false">Y583/J583</f>
        <v>92.5925925925926</v>
      </c>
      <c r="I583" s="439" t="n">
        <v>44650</v>
      </c>
      <c r="J583" s="157" t="n">
        <v>16200</v>
      </c>
      <c r="L583" s="157" t="n">
        <v>16200</v>
      </c>
      <c r="M583" s="157" t="n">
        <v>1975</v>
      </c>
      <c r="P583" s="157" t="s">
        <v>2713</v>
      </c>
      <c r="R583" s="174" t="s">
        <v>279</v>
      </c>
      <c r="S583" s="157" t="n">
        <v>57847.68</v>
      </c>
      <c r="T583" s="440" t="n">
        <f aca="false">S583/J583</f>
        <v>3.57084444444444</v>
      </c>
      <c r="U583" s="157" t="s">
        <v>279</v>
      </c>
      <c r="Y583" s="157" t="n">
        <v>1500000</v>
      </c>
      <c r="AA583" s="157" t="n">
        <v>1500000</v>
      </c>
      <c r="AC583" s="157" t="s">
        <v>5882</v>
      </c>
      <c r="AD583" s="157" t="s">
        <v>5883</v>
      </c>
      <c r="AE583" s="157" t="s">
        <v>5884</v>
      </c>
      <c r="AF583" s="157" t="s">
        <v>5885</v>
      </c>
      <c r="AI583" s="157" t="e">
        <f aca="false">IF(AND($E583=Subj_OccCode,Subj_BldgSF&gt;0,ABS($L583-Subj_BldgSF)&lt;=Subj_BldgSF*Subj_SizeTol),ABS($L583-Subj_BldgSF),NA())</f>
        <v>#N/A</v>
      </c>
      <c r="AJ583" s="1" t="e">
        <f aca="false">IF(ISNA(AI583),NA(),AI583+ROW()/10000000)</f>
        <v>#N/A</v>
      </c>
      <c r="AK583" s="157" t="str">
        <f aca="false">IF(AND(ISNUMBER($N583),$N583&gt;0,ISNUMBER($Y583)),$Y583/$N583,"")</f>
        <v/>
      </c>
    </row>
    <row r="584" customFormat="false" ht="15" hidden="false" customHeight="true" outlineLevel="0" collapsed="false">
      <c r="A584" s="438" t="n">
        <v>8</v>
      </c>
      <c r="B584" s="157" t="n">
        <v>579</v>
      </c>
      <c r="C584" s="157" t="s">
        <v>5886</v>
      </c>
      <c r="D584" s="157" t="s">
        <v>5887</v>
      </c>
      <c r="E584" s="157" t="n">
        <v>334</v>
      </c>
      <c r="G584" s="157" t="s">
        <v>2691</v>
      </c>
      <c r="H584" s="78" t="n">
        <f aca="false">Y584/J584</f>
        <v>206.593406593407</v>
      </c>
      <c r="I584" s="439" t="n">
        <v>44538</v>
      </c>
      <c r="J584" s="157" t="n">
        <v>11375</v>
      </c>
      <c r="L584" s="157" t="n">
        <v>11375</v>
      </c>
      <c r="M584" s="157" t="n">
        <v>2000</v>
      </c>
      <c r="P584" s="157" t="s">
        <v>2750</v>
      </c>
      <c r="R584" s="174" t="s">
        <v>279</v>
      </c>
      <c r="S584" s="157" t="n">
        <v>43995.6</v>
      </c>
      <c r="T584" s="440" t="n">
        <f aca="false">S584/J584</f>
        <v>3.86774505494506</v>
      </c>
      <c r="U584" s="157" t="s">
        <v>279</v>
      </c>
      <c r="Y584" s="157" t="n">
        <v>2350000</v>
      </c>
      <c r="AA584" s="157" t="n">
        <v>2350000</v>
      </c>
      <c r="AC584" s="157" t="s">
        <v>5888</v>
      </c>
      <c r="AD584" s="157" t="s">
        <v>5889</v>
      </c>
      <c r="AE584" s="157" t="s">
        <v>5890</v>
      </c>
      <c r="AF584" s="157" t="s">
        <v>5891</v>
      </c>
      <c r="AI584" s="157" t="e">
        <f aca="false">IF(AND($E584=Subj_OccCode,Subj_BldgSF&gt;0,ABS($L584-Subj_BldgSF)&lt;=Subj_BldgSF*Subj_SizeTol),ABS($L584-Subj_BldgSF),NA())</f>
        <v>#N/A</v>
      </c>
      <c r="AJ584" s="1" t="e">
        <f aca="false">IF(ISNA(AI584),NA(),AI584+ROW()/10000000)</f>
        <v>#N/A</v>
      </c>
      <c r="AK584" s="157" t="str">
        <f aca="false">IF(AND(ISNUMBER($N584),$N584&gt;0,ISNUMBER($Y584)),$Y584/$N584,"")</f>
        <v/>
      </c>
    </row>
    <row r="585" customFormat="false" ht="15" hidden="false" customHeight="true" outlineLevel="0" collapsed="false">
      <c r="A585" s="438" t="n">
        <v>8</v>
      </c>
      <c r="B585" s="157" t="n">
        <v>580</v>
      </c>
      <c r="C585" s="157" t="s">
        <v>5892</v>
      </c>
      <c r="D585" s="157" t="s">
        <v>5893</v>
      </c>
      <c r="E585" s="157" t="n">
        <v>336</v>
      </c>
      <c r="G585" s="157" t="s">
        <v>2691</v>
      </c>
      <c r="H585" s="78" t="n">
        <f aca="false">Y585/J585</f>
        <v>106.666666666667</v>
      </c>
      <c r="I585" s="439" t="n">
        <v>43495</v>
      </c>
      <c r="J585" s="157" t="n">
        <v>1500</v>
      </c>
      <c r="L585" s="157" t="n">
        <v>1500</v>
      </c>
      <c r="M585" s="157" t="n">
        <v>1960</v>
      </c>
      <c r="P585" s="157" t="s">
        <v>2706</v>
      </c>
      <c r="R585" s="174" t="s">
        <v>279</v>
      </c>
      <c r="S585" s="157" t="n">
        <v>6250</v>
      </c>
      <c r="T585" s="440" t="n">
        <f aca="false">S585/J585</f>
        <v>4.16666666666667</v>
      </c>
      <c r="U585" s="157" t="s">
        <v>279</v>
      </c>
      <c r="Y585" s="157" t="n">
        <v>160000</v>
      </c>
      <c r="AA585" s="157" t="n">
        <v>160000</v>
      </c>
      <c r="AC585" s="157" t="s">
        <v>5894</v>
      </c>
      <c r="AD585" s="157" t="s">
        <v>5895</v>
      </c>
      <c r="AE585" s="157" t="s">
        <v>5896</v>
      </c>
      <c r="AF585" s="157" t="s">
        <v>5897</v>
      </c>
      <c r="AI585" s="157" t="e">
        <f aca="false">IF(AND($E585=Subj_OccCode,Subj_BldgSF&gt;0,ABS($L585-Subj_BldgSF)&lt;=Subj_BldgSF*Subj_SizeTol),ABS($L585-Subj_BldgSF),NA())</f>
        <v>#N/A</v>
      </c>
      <c r="AJ585" s="1" t="e">
        <f aca="false">IF(ISNA(AI585),NA(),AI585+ROW()/10000000)</f>
        <v>#N/A</v>
      </c>
      <c r="AK585" s="157" t="str">
        <f aca="false">IF(AND(ISNUMBER($N585),$N585&gt;0,ISNUMBER($Y585)),$Y585/$N585,"")</f>
        <v/>
      </c>
    </row>
    <row r="586" customFormat="false" ht="15" hidden="false" customHeight="true" outlineLevel="0" collapsed="false">
      <c r="A586" s="438" t="n">
        <v>8</v>
      </c>
      <c r="B586" s="157" t="n">
        <v>581</v>
      </c>
      <c r="C586" s="157" t="s">
        <v>5898</v>
      </c>
      <c r="D586" s="157" t="s">
        <v>5899</v>
      </c>
      <c r="E586" s="157" t="n">
        <v>353</v>
      </c>
      <c r="G586" s="157" t="s">
        <v>2567</v>
      </c>
      <c r="H586" s="78" t="n">
        <f aca="false">Y586/J586</f>
        <v>112.254443405051</v>
      </c>
      <c r="I586" s="439" t="n">
        <v>43759</v>
      </c>
      <c r="J586" s="157" t="n">
        <v>5345</v>
      </c>
      <c r="L586" s="157" t="n">
        <v>5345</v>
      </c>
      <c r="M586" s="157" t="n">
        <v>1971</v>
      </c>
      <c r="P586" s="157" t="s">
        <v>2750</v>
      </c>
      <c r="R586" s="174" t="s">
        <v>279</v>
      </c>
      <c r="S586" s="157" t="n">
        <v>5192</v>
      </c>
      <c r="T586" s="440" t="n">
        <f aca="false">S586/J586</f>
        <v>0.971375116931712</v>
      </c>
      <c r="U586" s="157" t="s">
        <v>279</v>
      </c>
      <c r="Y586" s="157" t="n">
        <v>600000</v>
      </c>
      <c r="AA586" s="157" t="n">
        <v>600000</v>
      </c>
      <c r="AC586" s="157" t="s">
        <v>5900</v>
      </c>
      <c r="AD586" s="157" t="s">
        <v>5901</v>
      </c>
      <c r="AE586" s="157" t="s">
        <v>5902</v>
      </c>
      <c r="AF586" s="157" t="s">
        <v>5903</v>
      </c>
      <c r="AI586" s="157" t="e">
        <f aca="false">IF(AND($E586=Subj_OccCode,Subj_BldgSF&gt;0,ABS($L586-Subj_BldgSF)&lt;=Subj_BldgSF*Subj_SizeTol),ABS($L586-Subj_BldgSF),NA())</f>
        <v>#N/A</v>
      </c>
      <c r="AJ586" s="1" t="e">
        <f aca="false">IF(ISNA(AI586),NA(),AI586+ROW()/10000000)</f>
        <v>#N/A</v>
      </c>
      <c r="AK586" s="157" t="str">
        <f aca="false">IF(AND(ISNUMBER($N586),$N586&gt;0,ISNUMBER($Y586)),$Y586/$N586,"")</f>
        <v/>
      </c>
    </row>
    <row r="587" customFormat="false" ht="15" hidden="false" customHeight="true" outlineLevel="0" collapsed="false">
      <c r="A587" s="438" t="n">
        <v>8</v>
      </c>
      <c r="B587" s="157" t="n">
        <v>582</v>
      </c>
      <c r="C587" s="157" t="s">
        <v>5904</v>
      </c>
      <c r="D587" s="157" t="s">
        <v>5905</v>
      </c>
      <c r="E587" s="157" t="n">
        <v>325</v>
      </c>
      <c r="G587" s="157" t="s">
        <v>2691</v>
      </c>
      <c r="H587" s="78" t="n">
        <f aca="false">Y587/J587</f>
        <v>124.229074889868</v>
      </c>
      <c r="I587" s="439" t="n">
        <v>43133</v>
      </c>
      <c r="J587" s="157" t="n">
        <v>11350</v>
      </c>
      <c r="L587" s="157" t="n">
        <v>11350</v>
      </c>
      <c r="M587" s="157" t="n">
        <v>1978</v>
      </c>
      <c r="R587" s="174" t="s">
        <v>279</v>
      </c>
      <c r="S587" s="157" t="n">
        <v>47916</v>
      </c>
      <c r="T587" s="440" t="n">
        <f aca="false">S587/J587</f>
        <v>4.22167400881057</v>
      </c>
      <c r="U587" s="157" t="s">
        <v>279</v>
      </c>
      <c r="Y587" s="157" t="n">
        <v>1410000</v>
      </c>
      <c r="AA587" s="157" t="n">
        <v>1410000</v>
      </c>
      <c r="AC587" s="157" t="s">
        <v>5906</v>
      </c>
      <c r="AD587" s="157" t="s">
        <v>5907</v>
      </c>
      <c r="AE587" s="157" t="s">
        <v>5908</v>
      </c>
      <c r="AF587" s="157" t="s">
        <v>5909</v>
      </c>
      <c r="AI587" s="157" t="e">
        <f aca="false">IF(AND($E587=Subj_OccCode,Subj_BldgSF&gt;0,ABS($L587-Subj_BldgSF)&lt;=Subj_BldgSF*Subj_SizeTol),ABS($L587-Subj_BldgSF),NA())</f>
        <v>#N/A</v>
      </c>
      <c r="AJ587" s="1" t="e">
        <f aca="false">IF(ISNA(AI587),NA(),AI587+ROW()/10000000)</f>
        <v>#N/A</v>
      </c>
      <c r="AK587" s="157" t="str">
        <f aca="false">IF(AND(ISNUMBER($N587),$N587&gt;0,ISNUMBER($Y587)),$Y587/$N587,"")</f>
        <v/>
      </c>
    </row>
    <row r="588" customFormat="false" ht="15" hidden="false" customHeight="true" outlineLevel="0" collapsed="false">
      <c r="A588" s="438" t="n">
        <v>8</v>
      </c>
      <c r="B588" s="157" t="n">
        <v>583</v>
      </c>
      <c r="C588" s="157" t="s">
        <v>5910</v>
      </c>
      <c r="D588" s="157" t="s">
        <v>5911</v>
      </c>
      <c r="E588" s="157" t="n">
        <v>325</v>
      </c>
      <c r="F588" s="157" t="s">
        <v>2581</v>
      </c>
      <c r="G588" s="157" t="s">
        <v>2567</v>
      </c>
      <c r="H588" s="78" t="n">
        <f aca="false">Y588/J588</f>
        <v>187.5</v>
      </c>
      <c r="I588" s="439" t="n">
        <v>43922</v>
      </c>
      <c r="J588" s="157" t="n">
        <v>6000</v>
      </c>
      <c r="L588" s="157" t="n">
        <v>6000</v>
      </c>
      <c r="M588" s="157" t="n">
        <v>1990</v>
      </c>
      <c r="P588" s="157" t="s">
        <v>3486</v>
      </c>
      <c r="R588" s="174" t="s">
        <v>279</v>
      </c>
      <c r="S588" s="157" t="n">
        <v>17564</v>
      </c>
      <c r="T588" s="440" t="n">
        <f aca="false">S588/J588</f>
        <v>2.92733333333333</v>
      </c>
      <c r="U588" s="157" t="s">
        <v>279</v>
      </c>
      <c r="Y588" s="157" t="n">
        <v>1125000</v>
      </c>
      <c r="AA588" s="157" t="n">
        <v>1125000</v>
      </c>
      <c r="AC588" s="157" t="s">
        <v>5912</v>
      </c>
      <c r="AD588" s="157" t="s">
        <v>5913</v>
      </c>
      <c r="AE588" s="157" t="s">
        <v>5914</v>
      </c>
      <c r="AF588" s="157" t="s">
        <v>5915</v>
      </c>
      <c r="AI588" s="157" t="e">
        <f aca="false">IF(AND($E588=Subj_OccCode,Subj_BldgSF&gt;0,ABS($L588-Subj_BldgSF)&lt;=Subj_BldgSF*Subj_SizeTol),ABS($L588-Subj_BldgSF),NA())</f>
        <v>#N/A</v>
      </c>
      <c r="AJ588" s="1" t="e">
        <f aca="false">IF(ISNA(AI588),NA(),AI588+ROW()/10000000)</f>
        <v>#N/A</v>
      </c>
      <c r="AK588" s="157" t="str">
        <f aca="false">IF(AND(ISNUMBER($N588),$N588&gt;0,ISNUMBER($Y588)),$Y588/$N588,"")</f>
        <v/>
      </c>
    </row>
    <row r="589" customFormat="false" ht="15" hidden="false" customHeight="true" outlineLevel="0" collapsed="false">
      <c r="A589" s="438" t="n">
        <v>8</v>
      </c>
      <c r="B589" s="157" t="n">
        <v>584</v>
      </c>
      <c r="C589" s="157" t="s">
        <v>5916</v>
      </c>
      <c r="D589" s="157" t="s">
        <v>5917</v>
      </c>
      <c r="E589" s="157" t="n">
        <v>341</v>
      </c>
      <c r="F589" s="157" t="s">
        <v>2677</v>
      </c>
      <c r="G589" s="157" t="s">
        <v>354</v>
      </c>
      <c r="H589" s="78" t="n">
        <f aca="false">Y589/J589</f>
        <v>142.043381309548</v>
      </c>
      <c r="I589" s="439" t="n">
        <v>43455</v>
      </c>
      <c r="J589" s="157" t="n">
        <v>4933</v>
      </c>
      <c r="L589" s="157" t="n">
        <v>4933</v>
      </c>
      <c r="M589" s="157" t="n">
        <v>2004</v>
      </c>
      <c r="R589" s="174" t="s">
        <v>279</v>
      </c>
      <c r="S589" s="157" t="n">
        <v>22563</v>
      </c>
      <c r="T589" s="440" t="n">
        <f aca="false">S589/J589</f>
        <v>4.57389012771133</v>
      </c>
      <c r="U589" s="157" t="s">
        <v>279</v>
      </c>
      <c r="Y589" s="157" t="n">
        <v>700700</v>
      </c>
      <c r="AA589" s="157" t="n">
        <v>700700</v>
      </c>
      <c r="AC589" s="157" t="s">
        <v>5918</v>
      </c>
      <c r="AD589" s="157" t="s">
        <v>5919</v>
      </c>
      <c r="AE589" s="157" t="s">
        <v>5920</v>
      </c>
      <c r="AF589" s="157" t="s">
        <v>5921</v>
      </c>
      <c r="AI589" s="157" t="e">
        <f aca="false">IF(AND($E589=Subj_OccCode,Subj_BldgSF&gt;0,ABS($L589-Subj_BldgSF)&lt;=Subj_BldgSF*Subj_SizeTol),ABS($L589-Subj_BldgSF),NA())</f>
        <v>#N/A</v>
      </c>
      <c r="AJ589" s="1" t="e">
        <f aca="false">IF(ISNA(AI589),NA(),AI589+ROW()/10000000)</f>
        <v>#N/A</v>
      </c>
      <c r="AK589" s="157" t="str">
        <f aca="false">IF(AND(ISNUMBER($N589),$N589&gt;0,ISNUMBER($Y589)),$Y589/$N589,"")</f>
        <v/>
      </c>
    </row>
    <row r="590" customFormat="false" ht="15" hidden="false" customHeight="true" outlineLevel="0" collapsed="false">
      <c r="A590" s="438" t="n">
        <v>8</v>
      </c>
      <c r="B590" s="157" t="n">
        <v>585</v>
      </c>
      <c r="C590" s="157" t="s">
        <v>5922</v>
      </c>
      <c r="D590" s="157" t="s">
        <v>5923</v>
      </c>
      <c r="E590" s="157" t="n">
        <v>425</v>
      </c>
      <c r="G590" s="157" t="s">
        <v>353</v>
      </c>
      <c r="H590" s="78" t="n">
        <f aca="false">Y590/J590</f>
        <v>170</v>
      </c>
      <c r="I590" s="439" t="n">
        <v>43395</v>
      </c>
      <c r="J590" s="157" t="n">
        <v>2500</v>
      </c>
      <c r="L590" s="157" t="n">
        <v>2500</v>
      </c>
      <c r="M590" s="157" t="n">
        <v>2000</v>
      </c>
      <c r="R590" s="174" t="s">
        <v>279</v>
      </c>
      <c r="S590" s="157" t="n">
        <v>7949</v>
      </c>
      <c r="T590" s="440" t="n">
        <f aca="false">S590/J590</f>
        <v>3.1796</v>
      </c>
      <c r="U590" s="157" t="s">
        <v>279</v>
      </c>
      <c r="Y590" s="157" t="n">
        <v>425000</v>
      </c>
      <c r="AA590" s="157" t="n">
        <v>425000</v>
      </c>
      <c r="AC590" s="157" t="s">
        <v>5924</v>
      </c>
      <c r="AD590" s="157" t="s">
        <v>5925</v>
      </c>
      <c r="AE590" s="157" t="s">
        <v>5926</v>
      </c>
      <c r="AF590" s="157" t="s">
        <v>5927</v>
      </c>
      <c r="AI590" s="157" t="e">
        <f aca="false">IF(AND($E590=Subj_OccCode,Subj_BldgSF&gt;0,ABS($L590-Subj_BldgSF)&lt;=Subj_BldgSF*Subj_SizeTol),ABS($L590-Subj_BldgSF),NA())</f>
        <v>#N/A</v>
      </c>
      <c r="AJ590" s="1" t="e">
        <f aca="false">IF(ISNA(AI590),NA(),AI590+ROW()/10000000)</f>
        <v>#N/A</v>
      </c>
      <c r="AK590" s="157" t="str">
        <f aca="false">IF(AND(ISNUMBER($N590),$N590&gt;0,ISNUMBER($Y590)),$Y590/$N590,"")</f>
        <v/>
      </c>
    </row>
    <row r="591" customFormat="false" ht="15" hidden="false" customHeight="true" outlineLevel="0" collapsed="false">
      <c r="A591" s="438" t="n">
        <v>8</v>
      </c>
      <c r="B591" s="157" t="n">
        <v>586</v>
      </c>
      <c r="C591" s="157" t="s">
        <v>5839</v>
      </c>
      <c r="D591" s="157" t="s">
        <v>5928</v>
      </c>
      <c r="E591" s="157" t="n">
        <v>425</v>
      </c>
      <c r="G591" s="157" t="s">
        <v>353</v>
      </c>
      <c r="H591" s="78" t="n">
        <f aca="false">Y591/J591</f>
        <v>168</v>
      </c>
      <c r="I591" s="439" t="n">
        <v>43433</v>
      </c>
      <c r="J591" s="157" t="n">
        <v>2500</v>
      </c>
      <c r="L591" s="157" t="n">
        <v>2500</v>
      </c>
      <c r="M591" s="157" t="n">
        <v>2000</v>
      </c>
      <c r="R591" s="174" t="s">
        <v>279</v>
      </c>
      <c r="S591" s="157" t="n">
        <v>7949</v>
      </c>
      <c r="T591" s="440" t="n">
        <f aca="false">S591/J591</f>
        <v>3.1796</v>
      </c>
      <c r="U591" s="157" t="s">
        <v>279</v>
      </c>
      <c r="Y591" s="157" t="n">
        <v>420000</v>
      </c>
      <c r="AA591" s="157" t="n">
        <v>420000</v>
      </c>
      <c r="AC591" s="157" t="s">
        <v>5841</v>
      </c>
      <c r="AD591" s="157" t="s">
        <v>5929</v>
      </c>
      <c r="AE591" s="157" t="s">
        <v>5930</v>
      </c>
      <c r="AF591" s="157" t="s">
        <v>5931</v>
      </c>
      <c r="AI591" s="157" t="e">
        <f aca="false">IF(AND($E591=Subj_OccCode,Subj_BldgSF&gt;0,ABS($L591-Subj_BldgSF)&lt;=Subj_BldgSF*Subj_SizeTol),ABS($L591-Subj_BldgSF),NA())</f>
        <v>#N/A</v>
      </c>
      <c r="AJ591" s="1" t="e">
        <f aca="false">IF(ISNA(AI591),NA(),AI591+ROW()/10000000)</f>
        <v>#N/A</v>
      </c>
      <c r="AK591" s="157" t="str">
        <f aca="false">IF(AND(ISNUMBER($N591),$N591&gt;0,ISNUMBER($Y591)),$Y591/$N591,"")</f>
        <v/>
      </c>
    </row>
    <row r="592" customFormat="false" ht="15" hidden="false" customHeight="true" outlineLevel="0" collapsed="false">
      <c r="A592" s="438" t="n">
        <v>8</v>
      </c>
      <c r="B592" s="157" t="n">
        <v>587</v>
      </c>
      <c r="C592" s="157" t="s">
        <v>5932</v>
      </c>
      <c r="D592" s="157" t="s">
        <v>5933</v>
      </c>
      <c r="E592" s="157" t="n">
        <v>419</v>
      </c>
      <c r="F592" s="157" t="s">
        <v>260</v>
      </c>
      <c r="G592" s="157" t="s">
        <v>353</v>
      </c>
      <c r="H592" s="78" t="n">
        <f aca="false">Y592/J592</f>
        <v>937.5</v>
      </c>
      <c r="I592" s="439" t="n">
        <v>44369</v>
      </c>
      <c r="J592" s="157" t="n">
        <v>3456</v>
      </c>
      <c r="L592" s="157" t="n">
        <v>3456</v>
      </c>
      <c r="M592" s="157" t="n">
        <v>2008</v>
      </c>
      <c r="P592" s="157" t="s">
        <v>3500</v>
      </c>
      <c r="R592" s="174" t="s">
        <v>279</v>
      </c>
      <c r="S592" s="157" t="n">
        <v>76534.92</v>
      </c>
      <c r="T592" s="440" t="n">
        <f aca="false">S592/J592</f>
        <v>22.1455208333333</v>
      </c>
      <c r="U592" s="157" t="s">
        <v>279</v>
      </c>
      <c r="Y592" s="157" t="n">
        <v>3240000</v>
      </c>
      <c r="AA592" s="157" t="n">
        <v>3240000</v>
      </c>
      <c r="AC592" s="157" t="s">
        <v>5934</v>
      </c>
      <c r="AD592" s="157" t="s">
        <v>5935</v>
      </c>
      <c r="AE592" s="157" t="s">
        <v>5936</v>
      </c>
      <c r="AF592" s="157" t="s">
        <v>5937</v>
      </c>
      <c r="AI592" s="157" t="e">
        <f aca="false">IF(AND($E592=Subj_OccCode,Subj_BldgSF&gt;0,ABS($L592-Subj_BldgSF)&lt;=Subj_BldgSF*Subj_SizeTol),ABS($L592-Subj_BldgSF),NA())</f>
        <v>#N/A</v>
      </c>
      <c r="AJ592" s="1" t="e">
        <f aca="false">IF(ISNA(AI592),NA(),AI592+ROW()/10000000)</f>
        <v>#N/A</v>
      </c>
      <c r="AK592" s="157" t="str">
        <f aca="false">IF(AND(ISNUMBER($N592),$N592&gt;0,ISNUMBER($Y592)),$Y592/$N592,"")</f>
        <v/>
      </c>
    </row>
    <row r="593" customFormat="false" ht="15" hidden="false" customHeight="true" outlineLevel="0" collapsed="false">
      <c r="A593" s="438" t="n">
        <v>8</v>
      </c>
      <c r="B593" s="157" t="n">
        <v>588</v>
      </c>
      <c r="C593" s="157" t="s">
        <v>5938</v>
      </c>
      <c r="D593" s="157" t="s">
        <v>5939</v>
      </c>
      <c r="E593" s="157" t="n">
        <v>325</v>
      </c>
      <c r="F593" s="157" t="s">
        <v>2595</v>
      </c>
      <c r="G593" s="157" t="s">
        <v>2596</v>
      </c>
      <c r="H593" s="78" t="n">
        <f aca="false">Y593/J593</f>
        <v>199.845081332301</v>
      </c>
      <c r="I593" s="439" t="n">
        <v>43866</v>
      </c>
      <c r="J593" s="157" t="n">
        <v>6455</v>
      </c>
      <c r="L593" s="157" t="n">
        <v>6455</v>
      </c>
      <c r="M593" s="157" t="n">
        <v>1962</v>
      </c>
      <c r="P593" s="157" t="s">
        <v>3493</v>
      </c>
      <c r="R593" s="174" t="s">
        <v>279</v>
      </c>
      <c r="S593" s="157" t="n">
        <v>18335</v>
      </c>
      <c r="T593" s="440" t="n">
        <f aca="false">S593/J593</f>
        <v>2.84043377226956</v>
      </c>
      <c r="U593" s="157" t="s">
        <v>279</v>
      </c>
      <c r="Y593" s="157" t="n">
        <v>1290000</v>
      </c>
      <c r="AA593" s="157" t="n">
        <v>1290000</v>
      </c>
      <c r="AC593" s="157" t="s">
        <v>5940</v>
      </c>
      <c r="AD593" s="157" t="s">
        <v>5941</v>
      </c>
      <c r="AE593" s="157" t="s">
        <v>5213</v>
      </c>
      <c r="AF593" s="157" t="s">
        <v>5942</v>
      </c>
      <c r="AI593" s="157" t="e">
        <f aca="false">IF(AND($E593=Subj_OccCode,Subj_BldgSF&gt;0,ABS($L593-Subj_BldgSF)&lt;=Subj_BldgSF*Subj_SizeTol),ABS($L593-Subj_BldgSF),NA())</f>
        <v>#N/A</v>
      </c>
      <c r="AJ593" s="1" t="e">
        <f aca="false">IF(ISNA(AI593),NA(),AI593+ROW()/10000000)</f>
        <v>#N/A</v>
      </c>
      <c r="AK593" s="157" t="str">
        <f aca="false">IF(AND(ISNUMBER($N593),$N593&gt;0,ISNUMBER($Y593)),$Y593/$N593,"")</f>
        <v/>
      </c>
    </row>
    <row r="594" customFormat="false" ht="15" hidden="false" customHeight="true" outlineLevel="0" collapsed="false">
      <c r="A594" s="438" t="n">
        <v>8</v>
      </c>
      <c r="B594" s="157" t="n">
        <v>589</v>
      </c>
      <c r="C594" s="157" t="s">
        <v>5943</v>
      </c>
      <c r="D594" s="157" t="s">
        <v>5944</v>
      </c>
      <c r="E594" s="157" t="n">
        <v>425</v>
      </c>
      <c r="G594" s="157" t="s">
        <v>2691</v>
      </c>
      <c r="H594" s="78" t="n">
        <f aca="false">Y594/J594</f>
        <v>146.666666666667</v>
      </c>
      <c r="I594" s="439" t="n">
        <v>44042</v>
      </c>
      <c r="J594" s="157" t="n">
        <v>5625</v>
      </c>
      <c r="L594" s="157" t="n">
        <v>5625</v>
      </c>
      <c r="M594" s="157" t="n">
        <v>2006</v>
      </c>
      <c r="P594" s="157" t="s">
        <v>2692</v>
      </c>
      <c r="R594" s="174" t="s">
        <v>279</v>
      </c>
      <c r="S594" s="157" t="n">
        <v>21888</v>
      </c>
      <c r="T594" s="440" t="n">
        <f aca="false">S594/J594</f>
        <v>3.8912</v>
      </c>
      <c r="U594" s="157" t="s">
        <v>279</v>
      </c>
      <c r="Y594" s="157" t="n">
        <v>825000</v>
      </c>
      <c r="AA594" s="157" t="n">
        <v>825000</v>
      </c>
      <c r="AC594" s="157" t="s">
        <v>5945</v>
      </c>
      <c r="AD594" s="157" t="s">
        <v>5946</v>
      </c>
      <c r="AE594" s="157" t="s">
        <v>5947</v>
      </c>
      <c r="AF594" s="157" t="s">
        <v>5948</v>
      </c>
      <c r="AI594" s="157" t="e">
        <f aca="false">IF(AND($E594=Subj_OccCode,Subj_BldgSF&gt;0,ABS($L594-Subj_BldgSF)&lt;=Subj_BldgSF*Subj_SizeTol),ABS($L594-Subj_BldgSF),NA())</f>
        <v>#N/A</v>
      </c>
      <c r="AJ594" s="1" t="e">
        <f aca="false">IF(ISNA(AI594),NA(),AI594+ROW()/10000000)</f>
        <v>#N/A</v>
      </c>
      <c r="AK594" s="157" t="str">
        <f aca="false">IF(AND(ISNUMBER($N594),$N594&gt;0,ISNUMBER($Y594)),$Y594/$N594,"")</f>
        <v/>
      </c>
    </row>
    <row r="595" customFormat="false" ht="15" hidden="false" customHeight="true" outlineLevel="0" collapsed="false">
      <c r="A595" s="438" t="n">
        <v>8</v>
      </c>
      <c r="B595" s="157" t="n">
        <v>590</v>
      </c>
      <c r="C595" s="157" t="s">
        <v>5949</v>
      </c>
      <c r="D595" s="157" t="s">
        <v>5950</v>
      </c>
      <c r="E595" s="157" t="n">
        <v>419</v>
      </c>
      <c r="F595" s="157" t="s">
        <v>260</v>
      </c>
      <c r="G595" s="157" t="s">
        <v>353</v>
      </c>
      <c r="H595" s="78" t="n">
        <f aca="false">Y595/J595</f>
        <v>1495.16318729785</v>
      </c>
      <c r="I595" s="439" t="n">
        <v>44559</v>
      </c>
      <c r="J595" s="157" t="n">
        <v>3401</v>
      </c>
      <c r="L595" s="157" t="n">
        <v>3401</v>
      </c>
      <c r="M595" s="157" t="n">
        <v>2009</v>
      </c>
      <c r="P595" s="157" t="s">
        <v>2896</v>
      </c>
      <c r="R595" s="174" t="s">
        <v>279</v>
      </c>
      <c r="S595" s="157" t="n">
        <v>59440</v>
      </c>
      <c r="T595" s="440" t="n">
        <f aca="false">S595/J595</f>
        <v>17.477212584534</v>
      </c>
      <c r="U595" s="157" t="s">
        <v>279</v>
      </c>
      <c r="Y595" s="157" t="n">
        <v>5085050</v>
      </c>
      <c r="AA595" s="157" t="n">
        <v>5085050</v>
      </c>
      <c r="AC595" s="157" t="s">
        <v>5951</v>
      </c>
      <c r="AD595" s="157" t="s">
        <v>5952</v>
      </c>
      <c r="AE595" s="157" t="s">
        <v>5953</v>
      </c>
      <c r="AF595" s="157" t="s">
        <v>3348</v>
      </c>
      <c r="AI595" s="157" t="e">
        <f aca="false">IF(AND($E595=Subj_OccCode,Subj_BldgSF&gt;0,ABS($L595-Subj_BldgSF)&lt;=Subj_BldgSF*Subj_SizeTol),ABS($L595-Subj_BldgSF),NA())</f>
        <v>#N/A</v>
      </c>
      <c r="AJ595" s="1" t="e">
        <f aca="false">IF(ISNA(AI595),NA(),AI595+ROW()/10000000)</f>
        <v>#N/A</v>
      </c>
      <c r="AK595" s="157" t="str">
        <f aca="false">IF(AND(ISNUMBER($N595),$N595&gt;0,ISNUMBER($Y595)),$Y595/$N595,"")</f>
        <v/>
      </c>
    </row>
    <row r="596" customFormat="false" ht="15" hidden="false" customHeight="true" outlineLevel="0" collapsed="false">
      <c r="A596" s="438" t="n">
        <v>8</v>
      </c>
      <c r="B596" s="157" t="n">
        <v>591</v>
      </c>
      <c r="C596" s="157" t="s">
        <v>5954</v>
      </c>
      <c r="D596" s="157" t="s">
        <v>5955</v>
      </c>
      <c r="E596" s="157" t="n">
        <v>325</v>
      </c>
      <c r="F596" s="157" t="s">
        <v>2921</v>
      </c>
      <c r="G596" s="157" t="s">
        <v>2691</v>
      </c>
      <c r="H596" s="78" t="n">
        <f aca="false">Y596/J596</f>
        <v>246.341463414634</v>
      </c>
      <c r="I596" s="439" t="n">
        <v>43294</v>
      </c>
      <c r="J596" s="157" t="n">
        <v>2050</v>
      </c>
      <c r="L596" s="157" t="n">
        <v>2050</v>
      </c>
      <c r="M596" s="157" t="n">
        <v>1968</v>
      </c>
      <c r="P596" s="157" t="s">
        <v>4420</v>
      </c>
      <c r="R596" s="174" t="s">
        <v>279</v>
      </c>
      <c r="S596" s="157" t="n">
        <v>15540</v>
      </c>
      <c r="T596" s="440" t="n">
        <f aca="false">S596/J596</f>
        <v>7.58048780487805</v>
      </c>
      <c r="U596" s="157" t="s">
        <v>279</v>
      </c>
      <c r="Y596" s="157" t="n">
        <v>505000</v>
      </c>
      <c r="AA596" s="157" t="n">
        <v>505000</v>
      </c>
      <c r="AC596" s="157" t="s">
        <v>5956</v>
      </c>
      <c r="AD596" s="157" t="s">
        <v>5957</v>
      </c>
      <c r="AE596" s="157" t="s">
        <v>5958</v>
      </c>
      <c r="AF596" s="157" t="s">
        <v>5959</v>
      </c>
      <c r="AI596" s="157" t="e">
        <f aca="false">IF(AND($E596=Subj_OccCode,Subj_BldgSF&gt;0,ABS($L596-Subj_BldgSF)&lt;=Subj_BldgSF*Subj_SizeTol),ABS($L596-Subj_BldgSF),NA())</f>
        <v>#N/A</v>
      </c>
      <c r="AJ596" s="1" t="e">
        <f aca="false">IF(ISNA(AI596),NA(),AI596+ROW()/10000000)</f>
        <v>#N/A</v>
      </c>
      <c r="AK596" s="157" t="str">
        <f aca="false">IF(AND(ISNUMBER($N596),$N596&gt;0,ISNUMBER($Y596)),$Y596/$N596,"")</f>
        <v/>
      </c>
    </row>
    <row r="597" customFormat="false" ht="15" hidden="false" customHeight="true" outlineLevel="0" collapsed="false">
      <c r="A597" s="438" t="n">
        <v>8</v>
      </c>
      <c r="B597" s="157" t="n">
        <v>592</v>
      </c>
      <c r="C597" s="157" t="s">
        <v>5960</v>
      </c>
      <c r="D597" s="157" t="s">
        <v>5961</v>
      </c>
      <c r="E597" s="157" t="n">
        <v>1344</v>
      </c>
      <c r="F597" s="157" t="s">
        <v>2566</v>
      </c>
      <c r="G597" s="157" t="s">
        <v>2567</v>
      </c>
      <c r="H597" s="78" t="n">
        <f aca="false">Y597/J597</f>
        <v>151.348376444689</v>
      </c>
      <c r="I597" s="439" t="n">
        <v>44298</v>
      </c>
      <c r="J597" s="157" t="n">
        <v>1817</v>
      </c>
      <c r="L597" s="157" t="n">
        <v>1817</v>
      </c>
      <c r="M597" s="157" t="n">
        <v>1984</v>
      </c>
      <c r="P597" s="157" t="s">
        <v>3569</v>
      </c>
      <c r="R597" s="174" t="s">
        <v>279</v>
      </c>
      <c r="S597" s="157" t="n">
        <v>1108</v>
      </c>
      <c r="T597" s="440" t="n">
        <f aca="false">S597/J597</f>
        <v>0.609796367638965</v>
      </c>
      <c r="U597" s="157" t="s">
        <v>279</v>
      </c>
      <c r="Y597" s="157" t="n">
        <v>275000</v>
      </c>
      <c r="AA597" s="157" t="n">
        <v>275000</v>
      </c>
      <c r="AC597" s="157" t="s">
        <v>5962</v>
      </c>
      <c r="AD597" s="157" t="s">
        <v>5963</v>
      </c>
      <c r="AE597" s="157" t="s">
        <v>5964</v>
      </c>
      <c r="AF597" s="157" t="s">
        <v>5965</v>
      </c>
      <c r="AI597" s="157" t="e">
        <f aca="false">IF(AND($E597=Subj_OccCode,Subj_BldgSF&gt;0,ABS($L597-Subj_BldgSF)&lt;=Subj_BldgSF*Subj_SizeTol),ABS($L597-Subj_BldgSF),NA())</f>
        <v>#N/A</v>
      </c>
      <c r="AJ597" s="1" t="e">
        <f aca="false">IF(ISNA(AI597),NA(),AI597+ROW()/10000000)</f>
        <v>#N/A</v>
      </c>
      <c r="AK597" s="157" t="str">
        <f aca="false">IF(AND(ISNUMBER($N597),$N597&gt;0,ISNUMBER($Y597)),$Y597/$N597,"")</f>
        <v/>
      </c>
    </row>
    <row r="598" customFormat="false" ht="15" hidden="false" customHeight="true" outlineLevel="0" collapsed="false">
      <c r="A598" s="438" t="n">
        <v>8</v>
      </c>
      <c r="B598" s="157" t="n">
        <v>593</v>
      </c>
      <c r="C598" s="157" t="s">
        <v>5966</v>
      </c>
      <c r="D598" s="157" t="s">
        <v>5967</v>
      </c>
      <c r="E598" s="157" t="n">
        <v>353</v>
      </c>
      <c r="G598" s="157" t="s">
        <v>2691</v>
      </c>
      <c r="H598" s="78" t="n">
        <f aca="false">Y598/J598</f>
        <v>136.00782778865</v>
      </c>
      <c r="I598" s="439" t="n">
        <v>43167</v>
      </c>
      <c r="J598" s="157" t="n">
        <v>10220</v>
      </c>
      <c r="L598" s="157" t="n">
        <v>10220</v>
      </c>
      <c r="M598" s="157" t="n">
        <v>1983</v>
      </c>
      <c r="R598" s="174" t="s">
        <v>279</v>
      </c>
      <c r="S598" s="157" t="n">
        <v>44938</v>
      </c>
      <c r="T598" s="440" t="n">
        <f aca="false">S598/J598</f>
        <v>4.39706457925636</v>
      </c>
      <c r="U598" s="157" t="s">
        <v>279</v>
      </c>
      <c r="Y598" s="157" t="n">
        <v>1390000</v>
      </c>
      <c r="AA598" s="157" t="n">
        <v>1390000</v>
      </c>
      <c r="AC598" s="157" t="s">
        <v>5968</v>
      </c>
      <c r="AD598" s="157" t="s">
        <v>5969</v>
      </c>
      <c r="AE598" s="157" t="s">
        <v>5970</v>
      </c>
      <c r="AF598" s="157" t="s">
        <v>5971</v>
      </c>
      <c r="AI598" s="157" t="e">
        <f aca="false">IF(AND($E598=Subj_OccCode,Subj_BldgSF&gt;0,ABS($L598-Subj_BldgSF)&lt;=Subj_BldgSF*Subj_SizeTol),ABS($L598-Subj_BldgSF),NA())</f>
        <v>#N/A</v>
      </c>
      <c r="AJ598" s="1" t="e">
        <f aca="false">IF(ISNA(AI598),NA(),AI598+ROW()/10000000)</f>
        <v>#N/A</v>
      </c>
      <c r="AK598" s="157" t="str">
        <f aca="false">IF(AND(ISNUMBER($N598),$N598&gt;0,ISNUMBER($Y598)),$Y598/$N598,"")</f>
        <v/>
      </c>
    </row>
    <row r="599" customFormat="false" ht="15" hidden="false" customHeight="true" outlineLevel="0" collapsed="false">
      <c r="A599" s="438" t="n">
        <v>8</v>
      </c>
      <c r="B599" s="157" t="n">
        <v>594</v>
      </c>
      <c r="C599" s="157" t="s">
        <v>3245</v>
      </c>
      <c r="D599" s="157" t="s">
        <v>5972</v>
      </c>
      <c r="E599" s="157" t="n">
        <v>406</v>
      </c>
      <c r="F599" s="157" t="s">
        <v>2566</v>
      </c>
      <c r="G599" s="157" t="s">
        <v>2567</v>
      </c>
      <c r="H599" s="78" t="n">
        <f aca="false">Y599/J599</f>
        <v>215</v>
      </c>
      <c r="I599" s="439" t="n">
        <v>43448</v>
      </c>
      <c r="J599" s="157" t="n">
        <v>4000</v>
      </c>
      <c r="L599" s="157" t="n">
        <v>4000</v>
      </c>
      <c r="M599" s="157" t="n">
        <v>1974</v>
      </c>
      <c r="R599" s="174" t="s">
        <v>279</v>
      </c>
      <c r="S599" s="157" t="n">
        <v>35086</v>
      </c>
      <c r="T599" s="440" t="n">
        <f aca="false">S599/J599</f>
        <v>8.7715</v>
      </c>
      <c r="U599" s="157" t="s">
        <v>279</v>
      </c>
      <c r="Y599" s="157" t="n">
        <v>860000</v>
      </c>
      <c r="AA599" s="157" t="n">
        <v>860000</v>
      </c>
      <c r="AC599" s="157" t="s">
        <v>3247</v>
      </c>
      <c r="AD599" s="157" t="s">
        <v>5973</v>
      </c>
      <c r="AE599" s="157" t="s">
        <v>5974</v>
      </c>
      <c r="AF599" s="157" t="s">
        <v>3249</v>
      </c>
      <c r="AI599" s="157" t="e">
        <f aca="false">IF(AND($E599=Subj_OccCode,Subj_BldgSF&gt;0,ABS($L599-Subj_BldgSF)&lt;=Subj_BldgSF*Subj_SizeTol),ABS($L599-Subj_BldgSF),NA())</f>
        <v>#N/A</v>
      </c>
      <c r="AJ599" s="1" t="e">
        <f aca="false">IF(ISNA(AI599),NA(),AI599+ROW()/10000000)</f>
        <v>#N/A</v>
      </c>
      <c r="AK599" s="157" t="str">
        <f aca="false">IF(AND(ISNUMBER($N599),$N599&gt;0,ISNUMBER($Y599)),$Y599/$N599,"")</f>
        <v/>
      </c>
    </row>
    <row r="600" customFormat="false" ht="15" hidden="false" customHeight="true" outlineLevel="0" collapsed="false">
      <c r="A600" s="438" t="n">
        <v>8</v>
      </c>
      <c r="B600" s="157" t="n">
        <v>595</v>
      </c>
      <c r="C600" s="157" t="s">
        <v>5975</v>
      </c>
      <c r="D600" s="157" t="s">
        <v>5976</v>
      </c>
      <c r="E600" s="157" t="n">
        <v>319</v>
      </c>
      <c r="F600" s="157" t="s">
        <v>2921</v>
      </c>
      <c r="G600" s="157" t="s">
        <v>2691</v>
      </c>
      <c r="H600" s="78" t="n">
        <f aca="false">Y600/J600</f>
        <v>169.416243654822</v>
      </c>
      <c r="I600" s="439" t="n">
        <v>43654</v>
      </c>
      <c r="J600" s="157" t="n">
        <v>7880</v>
      </c>
      <c r="L600" s="157" t="n">
        <v>7880</v>
      </c>
      <c r="M600" s="157" t="n">
        <v>2004</v>
      </c>
      <c r="R600" s="174" t="s">
        <v>483</v>
      </c>
      <c r="S600" s="157" t="n">
        <v>33671.88</v>
      </c>
      <c r="T600" s="440" t="n">
        <f aca="false">S600/J600</f>
        <v>4.27308121827411</v>
      </c>
      <c r="U600" s="157" t="s">
        <v>279</v>
      </c>
      <c r="Y600" s="157" t="n">
        <v>1335000</v>
      </c>
      <c r="AA600" s="157" t="n">
        <v>1335000</v>
      </c>
      <c r="AC600" s="157" t="s">
        <v>5977</v>
      </c>
      <c r="AD600" s="157" t="s">
        <v>5978</v>
      </c>
      <c r="AE600" s="157" t="s">
        <v>5979</v>
      </c>
      <c r="AF600" s="157" t="s">
        <v>5971</v>
      </c>
      <c r="AI600" s="157" t="e">
        <f aca="false">IF(AND($E600=Subj_OccCode,Subj_BldgSF&gt;0,ABS($L600-Subj_BldgSF)&lt;=Subj_BldgSF*Subj_SizeTol),ABS($L600-Subj_BldgSF),NA())</f>
        <v>#N/A</v>
      </c>
      <c r="AJ600" s="1" t="e">
        <f aca="false">IF(ISNA(AI600),NA(),AI600+ROW()/10000000)</f>
        <v>#N/A</v>
      </c>
      <c r="AK600" s="157" t="str">
        <f aca="false">IF(AND(ISNUMBER($N600),$N600&gt;0,ISNUMBER($Y600)),$Y600/$N600,"")</f>
        <v/>
      </c>
    </row>
    <row r="601" customFormat="false" ht="15" hidden="false" customHeight="true" outlineLevel="0" collapsed="false">
      <c r="A601" s="438" t="n">
        <v>8</v>
      </c>
      <c r="B601" s="157" t="n">
        <v>596</v>
      </c>
      <c r="C601" s="157" t="s">
        <v>5980</v>
      </c>
      <c r="D601" s="157" t="s">
        <v>5981</v>
      </c>
      <c r="E601" s="157" t="n">
        <v>406</v>
      </c>
      <c r="G601" s="157" t="s">
        <v>2691</v>
      </c>
      <c r="H601" s="78" t="n">
        <f aca="false">Y601/J601</f>
        <v>238.5194551411</v>
      </c>
      <c r="I601" s="439" t="n">
        <v>43250</v>
      </c>
      <c r="J601" s="157" t="n">
        <v>17399</v>
      </c>
      <c r="L601" s="157" t="n">
        <v>17399</v>
      </c>
      <c r="M601" s="157" t="n">
        <v>2004</v>
      </c>
      <c r="R601" s="174" t="s">
        <v>279</v>
      </c>
      <c r="S601" s="157" t="n">
        <v>321860.48</v>
      </c>
      <c r="T601" s="440" t="n">
        <f aca="false">S601/J601</f>
        <v>18.4987918845911</v>
      </c>
      <c r="U601" s="157" t="s">
        <v>279</v>
      </c>
      <c r="Y601" s="157" t="n">
        <v>4150000</v>
      </c>
      <c r="AA601" s="157" t="n">
        <v>4150000</v>
      </c>
      <c r="AC601" s="157" t="s">
        <v>5982</v>
      </c>
      <c r="AD601" s="157" t="s">
        <v>5983</v>
      </c>
      <c r="AE601" s="157" t="s">
        <v>5984</v>
      </c>
      <c r="AF601" s="157" t="s">
        <v>5985</v>
      </c>
      <c r="AI601" s="157" t="e">
        <f aca="false">IF(AND($E601=Subj_OccCode,Subj_BldgSF&gt;0,ABS($L601-Subj_BldgSF)&lt;=Subj_BldgSF*Subj_SizeTol),ABS($L601-Subj_BldgSF),NA())</f>
        <v>#N/A</v>
      </c>
      <c r="AJ601" s="1" t="e">
        <f aca="false">IF(ISNA(AI601),NA(),AI601+ROW()/10000000)</f>
        <v>#N/A</v>
      </c>
      <c r="AK601" s="157" t="str">
        <f aca="false">IF(AND(ISNUMBER($N601),$N601&gt;0,ISNUMBER($Y601)),$Y601/$N601,"")</f>
        <v/>
      </c>
    </row>
    <row r="602" customFormat="false" ht="15" hidden="false" customHeight="true" outlineLevel="0" collapsed="false">
      <c r="A602" s="438" t="n">
        <v>8</v>
      </c>
      <c r="B602" s="157" t="n">
        <v>597</v>
      </c>
      <c r="C602" s="157" t="s">
        <v>5986</v>
      </c>
      <c r="D602" s="157" t="s">
        <v>5987</v>
      </c>
      <c r="E602" s="157" t="n">
        <v>426</v>
      </c>
      <c r="F602" s="157" t="s">
        <v>2677</v>
      </c>
      <c r="G602" s="157" t="s">
        <v>2567</v>
      </c>
      <c r="H602" s="78" t="n">
        <f aca="false">Y602/J602</f>
        <v>134.678747940692</v>
      </c>
      <c r="I602" s="439" t="n">
        <v>43675</v>
      </c>
      <c r="J602" s="157" t="n">
        <v>2428</v>
      </c>
      <c r="L602" s="157" t="n">
        <v>2428</v>
      </c>
      <c r="M602" s="157" t="n">
        <v>1954</v>
      </c>
      <c r="P602" s="157" t="s">
        <v>5988</v>
      </c>
      <c r="R602" s="174" t="s">
        <v>279</v>
      </c>
      <c r="S602" s="157" t="n">
        <v>6500</v>
      </c>
      <c r="T602" s="440" t="n">
        <f aca="false">S602/J602</f>
        <v>2.67710049423394</v>
      </c>
      <c r="U602" s="157" t="s">
        <v>555</v>
      </c>
      <c r="Y602" s="157" t="n">
        <v>327000</v>
      </c>
      <c r="AA602" s="157" t="n">
        <v>327000</v>
      </c>
      <c r="AC602" s="157" t="s">
        <v>5989</v>
      </c>
      <c r="AD602" s="157" t="s">
        <v>5990</v>
      </c>
      <c r="AE602" s="157" t="s">
        <v>5991</v>
      </c>
      <c r="AF602" s="157" t="s">
        <v>5992</v>
      </c>
      <c r="AI602" s="157" t="e">
        <f aca="false">IF(AND($E602=Subj_OccCode,Subj_BldgSF&gt;0,ABS($L602-Subj_BldgSF)&lt;=Subj_BldgSF*Subj_SizeTol),ABS($L602-Subj_BldgSF),NA())</f>
        <v>#N/A</v>
      </c>
      <c r="AJ602" s="1" t="e">
        <f aca="false">IF(ISNA(AI602),NA(),AI602+ROW()/10000000)</f>
        <v>#N/A</v>
      </c>
      <c r="AK602" s="157" t="str">
        <f aca="false">IF(AND(ISNUMBER($N602),$N602&gt;0,ISNUMBER($Y602)),$Y602/$N602,"")</f>
        <v/>
      </c>
    </row>
    <row r="603" customFormat="false" ht="15" hidden="false" customHeight="true" outlineLevel="0" collapsed="false">
      <c r="A603" s="438" t="n">
        <v>8</v>
      </c>
      <c r="B603" s="157" t="n">
        <v>598</v>
      </c>
      <c r="C603" s="157" t="s">
        <v>5993</v>
      </c>
      <c r="D603" s="157" t="s">
        <v>5994</v>
      </c>
      <c r="E603" s="157" t="n">
        <v>328</v>
      </c>
      <c r="G603" s="157" t="s">
        <v>352</v>
      </c>
      <c r="H603" s="78" t="n">
        <f aca="false">Y603/J603</f>
        <v>86.2068965517241</v>
      </c>
      <c r="I603" s="439" t="n">
        <v>44715</v>
      </c>
      <c r="J603" s="157" t="n">
        <v>2900</v>
      </c>
      <c r="L603" s="157" t="n">
        <v>2900</v>
      </c>
      <c r="M603" s="157" t="n">
        <v>2001</v>
      </c>
      <c r="R603" s="174" t="s">
        <v>279</v>
      </c>
      <c r="T603" s="440" t="n">
        <f aca="false">S603/J603</f>
        <v>0</v>
      </c>
      <c r="U603" s="157" t="s">
        <v>279</v>
      </c>
      <c r="Y603" s="157" t="n">
        <v>250000</v>
      </c>
      <c r="AA603" s="157" t="n">
        <v>250000</v>
      </c>
      <c r="AC603" s="157" t="s">
        <v>5995</v>
      </c>
      <c r="AD603" s="157" t="s">
        <v>5996</v>
      </c>
      <c r="AE603" s="157" t="s">
        <v>5997</v>
      </c>
      <c r="AF603" s="157" t="s">
        <v>5998</v>
      </c>
      <c r="AI603" s="157" t="e">
        <f aca="false">IF(AND($E603=Subj_OccCode,Subj_BldgSF&gt;0,ABS($L603-Subj_BldgSF)&lt;=Subj_BldgSF*Subj_SizeTol),ABS($L603-Subj_BldgSF),NA())</f>
        <v>#N/A</v>
      </c>
      <c r="AJ603" s="1" t="e">
        <f aca="false">IF(ISNA(AI603),NA(),AI603+ROW()/10000000)</f>
        <v>#N/A</v>
      </c>
      <c r="AK603" s="157" t="str">
        <f aca="false">IF(AND(ISNUMBER($N603),$N603&gt;0,ISNUMBER($Y603)),$Y603/$N603,"")</f>
        <v/>
      </c>
    </row>
    <row r="604" customFormat="false" ht="15" hidden="false" customHeight="true" outlineLevel="0" collapsed="false">
      <c r="A604" s="438" t="n">
        <v>8</v>
      </c>
      <c r="B604" s="157" t="n">
        <v>600</v>
      </c>
      <c r="C604" s="157" t="s">
        <v>5999</v>
      </c>
      <c r="D604" s="157" t="s">
        <v>6000</v>
      </c>
      <c r="E604" s="157" t="n">
        <v>419</v>
      </c>
      <c r="F604" s="157" t="s">
        <v>2566</v>
      </c>
      <c r="G604" s="157" t="s">
        <v>2567</v>
      </c>
      <c r="H604" s="78" t="n">
        <f aca="false">Y604/J604</f>
        <v>734.557595993322</v>
      </c>
      <c r="I604" s="439" t="n">
        <v>44182</v>
      </c>
      <c r="J604" s="157" t="n">
        <v>2995</v>
      </c>
      <c r="L604" s="157" t="n">
        <v>2995</v>
      </c>
      <c r="M604" s="157" t="n">
        <v>1989</v>
      </c>
      <c r="P604" s="157" t="s">
        <v>5560</v>
      </c>
      <c r="R604" s="174" t="s">
        <v>279</v>
      </c>
      <c r="S604" s="157" t="n">
        <v>22500</v>
      </c>
      <c r="T604" s="440" t="n">
        <f aca="false">S604/J604</f>
        <v>7.51252086811352</v>
      </c>
      <c r="U604" s="157" t="s">
        <v>279</v>
      </c>
      <c r="Y604" s="157" t="n">
        <v>2200000</v>
      </c>
      <c r="AA604" s="157" t="n">
        <v>2200000</v>
      </c>
      <c r="AC604" s="157" t="s">
        <v>6001</v>
      </c>
      <c r="AD604" s="157" t="s">
        <v>6002</v>
      </c>
      <c r="AE604" s="157" t="s">
        <v>5563</v>
      </c>
      <c r="AF604" s="157" t="s">
        <v>5564</v>
      </c>
      <c r="AI604" s="157" t="e">
        <f aca="false">IF(AND($E604=Subj_OccCode,Subj_BldgSF&gt;0,ABS($L604-Subj_BldgSF)&lt;=Subj_BldgSF*Subj_SizeTol),ABS($L604-Subj_BldgSF),NA())</f>
        <v>#N/A</v>
      </c>
      <c r="AJ604" s="1" t="e">
        <f aca="false">IF(ISNA(AI604),NA(),AI604+ROW()/10000000)</f>
        <v>#N/A</v>
      </c>
      <c r="AK604" s="157" t="str">
        <f aca="false">IF(AND(ISNUMBER($N604),$N604&gt;0,ISNUMBER($Y604)),$Y604/$N604,"")</f>
        <v/>
      </c>
    </row>
    <row r="605" customFormat="false" ht="15" hidden="false" customHeight="true" outlineLevel="0" collapsed="false">
      <c r="A605" s="438" t="n">
        <v>8</v>
      </c>
      <c r="B605" s="157" t="n">
        <v>601</v>
      </c>
      <c r="C605" s="157" t="s">
        <v>6003</v>
      </c>
      <c r="D605" s="157" t="s">
        <v>6004</v>
      </c>
      <c r="E605" s="157" t="n">
        <v>353</v>
      </c>
      <c r="F605" s="157" t="s">
        <v>2677</v>
      </c>
      <c r="G605" s="157" t="s">
        <v>2567</v>
      </c>
      <c r="H605" s="78" t="n">
        <f aca="false">Y605/J605</f>
        <v>519.562750333778</v>
      </c>
      <c r="I605" s="439" t="n">
        <v>44595</v>
      </c>
      <c r="J605" s="157" t="n">
        <v>14980</v>
      </c>
      <c r="L605" s="157" t="n">
        <v>14980</v>
      </c>
      <c r="M605" s="157" t="n">
        <v>2009</v>
      </c>
      <c r="P605" s="157" t="s">
        <v>3307</v>
      </c>
      <c r="R605" s="174" t="s">
        <v>1511</v>
      </c>
      <c r="S605" s="157" t="n">
        <v>90147</v>
      </c>
      <c r="T605" s="440" t="n">
        <f aca="false">S605/J605</f>
        <v>6.01782376502003</v>
      </c>
      <c r="U605" s="157" t="s">
        <v>279</v>
      </c>
      <c r="Y605" s="157" t="n">
        <v>7783050</v>
      </c>
      <c r="AA605" s="157" t="n">
        <v>7783050</v>
      </c>
      <c r="AC605" s="157" t="s">
        <v>6005</v>
      </c>
      <c r="AD605" s="157" t="s">
        <v>6006</v>
      </c>
      <c r="AE605" s="157" t="s">
        <v>6007</v>
      </c>
      <c r="AF605" s="157" t="s">
        <v>6008</v>
      </c>
      <c r="AI605" s="157" t="e">
        <f aca="false">IF(AND($E605=Subj_OccCode,Subj_BldgSF&gt;0,ABS($L605-Subj_BldgSF)&lt;=Subj_BldgSF*Subj_SizeTol),ABS($L605-Subj_BldgSF),NA())</f>
        <v>#N/A</v>
      </c>
      <c r="AJ605" s="1" t="e">
        <f aca="false">IF(ISNA(AI605),NA(),AI605+ROW()/10000000)</f>
        <v>#N/A</v>
      </c>
      <c r="AK605" s="157" t="str">
        <f aca="false">IF(AND(ISNUMBER($N605),$N605&gt;0,ISNUMBER($Y605)),$Y605/$N605,"")</f>
        <v/>
      </c>
    </row>
    <row r="606" customFormat="false" ht="15" hidden="false" customHeight="true" outlineLevel="0" collapsed="false">
      <c r="A606" s="438" t="n">
        <v>8</v>
      </c>
      <c r="B606" s="157" t="n">
        <v>602</v>
      </c>
      <c r="C606" s="157" t="s">
        <v>6009</v>
      </c>
      <c r="D606" s="157" t="s">
        <v>6010</v>
      </c>
      <c r="E606" s="157" t="n">
        <v>353</v>
      </c>
      <c r="F606" s="157" t="s">
        <v>2921</v>
      </c>
      <c r="G606" s="157" t="s">
        <v>353</v>
      </c>
      <c r="H606" s="78" t="n">
        <f aca="false">Y606/J606</f>
        <v>550.847457627119</v>
      </c>
      <c r="I606" s="439" t="n">
        <v>44225</v>
      </c>
      <c r="J606" s="157" t="n">
        <v>4720</v>
      </c>
      <c r="L606" s="157" t="n">
        <v>4720</v>
      </c>
      <c r="M606" s="157" t="n">
        <v>2007</v>
      </c>
      <c r="P606" s="157" t="s">
        <v>4047</v>
      </c>
      <c r="R606" s="174" t="s">
        <v>279</v>
      </c>
      <c r="S606" s="157" t="n">
        <v>53215</v>
      </c>
      <c r="T606" s="440" t="n">
        <f aca="false">S606/J606</f>
        <v>11.2743644067797</v>
      </c>
      <c r="U606" s="157" t="s">
        <v>279</v>
      </c>
      <c r="Y606" s="157" t="n">
        <v>2600000</v>
      </c>
      <c r="AA606" s="157" t="n">
        <v>2600000</v>
      </c>
      <c r="AC606" s="157" t="s">
        <v>6011</v>
      </c>
      <c r="AD606" s="157" t="s">
        <v>6012</v>
      </c>
      <c r="AE606" s="157" t="s">
        <v>6013</v>
      </c>
      <c r="AF606" s="157" t="s">
        <v>6014</v>
      </c>
      <c r="AI606" s="157" t="e">
        <f aca="false">IF(AND($E606=Subj_OccCode,Subj_BldgSF&gt;0,ABS($L606-Subj_BldgSF)&lt;=Subj_BldgSF*Subj_SizeTol),ABS($L606-Subj_BldgSF),NA())</f>
        <v>#N/A</v>
      </c>
      <c r="AJ606" s="1" t="e">
        <f aca="false">IF(ISNA(AI606),NA(),AI606+ROW()/10000000)</f>
        <v>#N/A</v>
      </c>
      <c r="AK606" s="157" t="str">
        <f aca="false">IF(AND(ISNUMBER($N606),$N606&gt;0,ISNUMBER($Y606)),$Y606/$N606,"")</f>
        <v/>
      </c>
    </row>
    <row r="607" customFormat="false" ht="15" hidden="false" customHeight="true" outlineLevel="0" collapsed="false">
      <c r="A607" s="438" t="n">
        <v>8</v>
      </c>
      <c r="B607" s="157" t="n">
        <v>603</v>
      </c>
      <c r="C607" s="157" t="s">
        <v>6015</v>
      </c>
      <c r="D607" s="157" t="s">
        <v>6016</v>
      </c>
      <c r="E607" s="157" t="n">
        <v>406</v>
      </c>
      <c r="G607" s="157" t="s">
        <v>2691</v>
      </c>
      <c r="H607" s="78" t="n">
        <f aca="false">Y607/J607</f>
        <v>116</v>
      </c>
      <c r="I607" s="439" t="n">
        <v>43249</v>
      </c>
      <c r="J607" s="157" t="n">
        <v>3500</v>
      </c>
      <c r="L607" s="157" t="n">
        <v>3500</v>
      </c>
      <c r="M607" s="157" t="n">
        <v>2008</v>
      </c>
      <c r="R607" s="174" t="s">
        <v>279</v>
      </c>
      <c r="S607" s="157" t="n">
        <v>30759</v>
      </c>
      <c r="T607" s="440" t="n">
        <f aca="false">S607/J607</f>
        <v>8.78828571428572</v>
      </c>
      <c r="U607" s="157" t="s">
        <v>279</v>
      </c>
      <c r="Y607" s="157" t="n">
        <v>406000</v>
      </c>
      <c r="AA607" s="157" t="n">
        <v>406000</v>
      </c>
      <c r="AC607" s="157" t="s">
        <v>6017</v>
      </c>
      <c r="AD607" s="157" t="s">
        <v>6018</v>
      </c>
      <c r="AE607" s="157" t="s">
        <v>6019</v>
      </c>
      <c r="AF607" s="157" t="s">
        <v>2701</v>
      </c>
      <c r="AI607" s="157" t="e">
        <f aca="false">IF(AND($E607=Subj_OccCode,Subj_BldgSF&gt;0,ABS($L607-Subj_BldgSF)&lt;=Subj_BldgSF*Subj_SizeTol),ABS($L607-Subj_BldgSF),NA())</f>
        <v>#N/A</v>
      </c>
      <c r="AJ607" s="1" t="e">
        <f aca="false">IF(ISNA(AI607),NA(),AI607+ROW()/10000000)</f>
        <v>#N/A</v>
      </c>
      <c r="AK607" s="157" t="str">
        <f aca="false">IF(AND(ISNUMBER($N607),$N607&gt;0,ISNUMBER($Y607)),$Y607/$N607,"")</f>
        <v/>
      </c>
    </row>
    <row r="608" customFormat="false" ht="15" hidden="false" customHeight="true" outlineLevel="0" collapsed="false">
      <c r="A608" s="438" t="n">
        <v>8</v>
      </c>
      <c r="B608" s="157" t="n">
        <v>604</v>
      </c>
      <c r="C608" s="157" t="s">
        <v>6020</v>
      </c>
      <c r="D608" s="157" t="s">
        <v>6021</v>
      </c>
      <c r="E608" s="157" t="n">
        <v>425</v>
      </c>
      <c r="F608" s="157" t="s">
        <v>2677</v>
      </c>
      <c r="G608" s="157" t="s">
        <v>354</v>
      </c>
      <c r="H608" s="78" t="n">
        <f aca="false">Y608/J608</f>
        <v>33.7446972618589</v>
      </c>
      <c r="I608" s="439" t="n">
        <v>44218</v>
      </c>
      <c r="J608" s="157" t="n">
        <v>10372</v>
      </c>
      <c r="L608" s="157" t="n">
        <v>10372</v>
      </c>
      <c r="M608" s="157" t="n">
        <v>2007</v>
      </c>
      <c r="P608" s="157" t="s">
        <v>1952</v>
      </c>
      <c r="R608" s="174" t="s">
        <v>279</v>
      </c>
      <c r="S608" s="157" t="n">
        <v>9086.38</v>
      </c>
      <c r="T608" s="440" t="n">
        <f aca="false">S608/J608</f>
        <v>0.87604897801774</v>
      </c>
      <c r="U608" s="157" t="s">
        <v>279</v>
      </c>
      <c r="Y608" s="157" t="n">
        <v>350000</v>
      </c>
      <c r="AA608" s="157" t="n">
        <v>350000</v>
      </c>
      <c r="AC608" s="157" t="s">
        <v>6022</v>
      </c>
      <c r="AD608" s="157" t="s">
        <v>6023</v>
      </c>
      <c r="AE608" s="157" t="s">
        <v>6024</v>
      </c>
      <c r="AF608" s="157" t="s">
        <v>6025</v>
      </c>
      <c r="AI608" s="157" t="e">
        <f aca="false">IF(AND($E608=Subj_OccCode,Subj_BldgSF&gt;0,ABS($L608-Subj_BldgSF)&lt;=Subj_BldgSF*Subj_SizeTol),ABS($L608-Subj_BldgSF),NA())</f>
        <v>#N/A</v>
      </c>
      <c r="AJ608" s="1" t="e">
        <f aca="false">IF(ISNA(AI608),NA(),AI608+ROW()/10000000)</f>
        <v>#N/A</v>
      </c>
      <c r="AK608" s="157" t="str">
        <f aca="false">IF(AND(ISNUMBER($N608),$N608&gt;0,ISNUMBER($Y608)),$Y608/$N608,"")</f>
        <v/>
      </c>
    </row>
    <row r="609" customFormat="false" ht="15" hidden="false" customHeight="true" outlineLevel="0" collapsed="false">
      <c r="A609" s="438" t="n">
        <v>8</v>
      </c>
      <c r="B609" s="157" t="n">
        <v>605</v>
      </c>
      <c r="C609" s="157" t="s">
        <v>2614</v>
      </c>
      <c r="D609" s="157" t="s">
        <v>2615</v>
      </c>
      <c r="E609" s="157" t="n">
        <v>353</v>
      </c>
      <c r="F609" s="157" t="s">
        <v>2581</v>
      </c>
      <c r="G609" s="157" t="s">
        <v>354</v>
      </c>
      <c r="H609" s="78" t="n">
        <f aca="false">Y609/J609</f>
        <v>260.22835394862</v>
      </c>
      <c r="I609" s="439" t="n">
        <v>44050</v>
      </c>
      <c r="J609" s="157" t="n">
        <v>6306</v>
      </c>
      <c r="L609" s="157" t="n">
        <v>6306</v>
      </c>
      <c r="M609" s="157" t="n">
        <v>2006</v>
      </c>
      <c r="P609" s="157" t="s">
        <v>2588</v>
      </c>
      <c r="R609" s="174" t="s">
        <v>483</v>
      </c>
      <c r="S609" s="157" t="n">
        <v>40087</v>
      </c>
      <c r="T609" s="440" t="n">
        <f aca="false">S609/J609</f>
        <v>6.3569616238503</v>
      </c>
      <c r="U609" s="157" t="s">
        <v>279</v>
      </c>
      <c r="Y609" s="157" t="n">
        <v>1641000</v>
      </c>
      <c r="AA609" s="157" t="n">
        <v>1641000</v>
      </c>
      <c r="AC609" s="157" t="s">
        <v>2616</v>
      </c>
      <c r="AD609" s="157" t="s">
        <v>6026</v>
      </c>
      <c r="AE609" s="157" t="s">
        <v>6027</v>
      </c>
      <c r="AF609" s="157" t="s">
        <v>2618</v>
      </c>
      <c r="AI609" s="157" t="e">
        <f aca="false">IF(AND($E609=Subj_OccCode,Subj_BldgSF&gt;0,ABS($L609-Subj_BldgSF)&lt;=Subj_BldgSF*Subj_SizeTol),ABS($L609-Subj_BldgSF),NA())</f>
        <v>#N/A</v>
      </c>
      <c r="AJ609" s="1" t="e">
        <f aca="false">IF(ISNA(AI609),NA(),AI609+ROW()/10000000)</f>
        <v>#N/A</v>
      </c>
      <c r="AK609" s="157" t="str">
        <f aca="false">IF(AND(ISNUMBER($N609),$N609&gt;0,ISNUMBER($Y609)),$Y609/$N609,"")</f>
        <v/>
      </c>
    </row>
    <row r="610" customFormat="false" ht="15" hidden="false" customHeight="true" outlineLevel="0" collapsed="false">
      <c r="A610" s="438" t="n">
        <v>8</v>
      </c>
      <c r="B610" s="157" t="n">
        <v>606</v>
      </c>
      <c r="C610" s="157" t="s">
        <v>6028</v>
      </c>
      <c r="D610" s="157" t="s">
        <v>6029</v>
      </c>
      <c r="E610" s="157" t="n">
        <v>409</v>
      </c>
      <c r="G610" s="157" t="s">
        <v>352</v>
      </c>
      <c r="H610" s="78" t="n">
        <f aca="false">Y610/J610</f>
        <v>52.6742301458671</v>
      </c>
      <c r="I610" s="439" t="n">
        <v>44244</v>
      </c>
      <c r="J610" s="157" t="n">
        <v>1234</v>
      </c>
      <c r="L610" s="157" t="n">
        <v>1234</v>
      </c>
      <c r="M610" s="157" t="n">
        <v>2002</v>
      </c>
      <c r="R610" s="174" t="s">
        <v>279</v>
      </c>
      <c r="T610" s="440" t="n">
        <f aca="false">S610/J610</f>
        <v>0</v>
      </c>
      <c r="U610" s="157" t="s">
        <v>279</v>
      </c>
      <c r="Y610" s="157" t="n">
        <v>65000</v>
      </c>
      <c r="AA610" s="157" t="n">
        <v>65000</v>
      </c>
      <c r="AC610" s="157" t="s">
        <v>6030</v>
      </c>
      <c r="AD610" s="157" t="s">
        <v>6031</v>
      </c>
      <c r="AE610" s="157" t="s">
        <v>6032</v>
      </c>
      <c r="AF610" s="157" t="s">
        <v>6033</v>
      </c>
      <c r="AI610" s="157" t="e">
        <f aca="false">IF(AND($E610=Subj_OccCode,Subj_BldgSF&gt;0,ABS($L610-Subj_BldgSF)&lt;=Subj_BldgSF*Subj_SizeTol),ABS($L610-Subj_BldgSF),NA())</f>
        <v>#N/A</v>
      </c>
      <c r="AJ610" s="1" t="e">
        <f aca="false">IF(ISNA(AI610),NA(),AI610+ROW()/10000000)</f>
        <v>#N/A</v>
      </c>
      <c r="AK610" s="157" t="str">
        <f aca="false">IF(AND(ISNUMBER($N610),$N610&gt;0,ISNUMBER($Y610)),$Y610/$N610,"")</f>
        <v/>
      </c>
    </row>
    <row r="611" customFormat="false" ht="15" hidden="false" customHeight="true" outlineLevel="0" collapsed="false">
      <c r="A611" s="438" t="n">
        <v>8</v>
      </c>
      <c r="B611" s="157" t="n">
        <v>607</v>
      </c>
      <c r="C611" s="157" t="s">
        <v>6034</v>
      </c>
      <c r="D611" s="157" t="s">
        <v>6035</v>
      </c>
      <c r="E611" s="157" t="n">
        <v>419</v>
      </c>
      <c r="F611" s="157" t="s">
        <v>2677</v>
      </c>
      <c r="G611" s="157" t="s">
        <v>2567</v>
      </c>
      <c r="H611" s="78" t="n">
        <f aca="false">Y611/J611</f>
        <v>1322.82545242265</v>
      </c>
      <c r="I611" s="439" t="n">
        <v>43118</v>
      </c>
      <c r="J611" s="157" t="n">
        <v>1713</v>
      </c>
      <c r="L611" s="157" t="n">
        <v>1713</v>
      </c>
      <c r="M611" s="157" t="n">
        <v>1971</v>
      </c>
      <c r="P611" s="157" t="s">
        <v>4368</v>
      </c>
      <c r="R611" s="174" t="s">
        <v>279</v>
      </c>
      <c r="S611" s="157" t="n">
        <v>41411</v>
      </c>
      <c r="T611" s="440" t="n">
        <f aca="false">S611/J611</f>
        <v>24.1745475773497</v>
      </c>
      <c r="U611" s="157" t="s">
        <v>279</v>
      </c>
      <c r="Y611" s="157" t="n">
        <v>2266000</v>
      </c>
      <c r="AA611" s="157" t="n">
        <v>2266000</v>
      </c>
      <c r="AC611" s="157" t="s">
        <v>6036</v>
      </c>
      <c r="AD611" s="157" t="s">
        <v>6037</v>
      </c>
      <c r="AE611" s="157" t="s">
        <v>6038</v>
      </c>
      <c r="AF611" s="157" t="s">
        <v>6039</v>
      </c>
      <c r="AI611" s="157" t="e">
        <f aca="false">IF(AND($E611=Subj_OccCode,Subj_BldgSF&gt;0,ABS($L611-Subj_BldgSF)&lt;=Subj_BldgSF*Subj_SizeTol),ABS($L611-Subj_BldgSF),NA())</f>
        <v>#N/A</v>
      </c>
      <c r="AJ611" s="1" t="e">
        <f aca="false">IF(ISNA(AI611),NA(),AI611+ROW()/10000000)</f>
        <v>#N/A</v>
      </c>
      <c r="AK611" s="157" t="str">
        <f aca="false">IF(AND(ISNUMBER($N611),$N611&gt;0,ISNUMBER($Y611)),$Y611/$N611,"")</f>
        <v/>
      </c>
    </row>
    <row r="612" customFormat="false" ht="15" hidden="false" customHeight="true" outlineLevel="0" collapsed="false">
      <c r="A612" s="438" t="n">
        <v>8</v>
      </c>
      <c r="B612" s="157" t="n">
        <v>608</v>
      </c>
      <c r="C612" s="157" t="s">
        <v>6034</v>
      </c>
      <c r="D612" s="157" t="s">
        <v>6035</v>
      </c>
      <c r="E612" s="157" t="n">
        <v>419</v>
      </c>
      <c r="F612" s="157" t="s">
        <v>2677</v>
      </c>
      <c r="G612" s="157" t="s">
        <v>2567</v>
      </c>
      <c r="H612" s="78" t="n">
        <f aca="false">Y612/J612</f>
        <v>1456.50904845301</v>
      </c>
      <c r="I612" s="439" t="n">
        <v>44592</v>
      </c>
      <c r="J612" s="157" t="n">
        <v>1713</v>
      </c>
      <c r="L612" s="157" t="n">
        <v>1713</v>
      </c>
      <c r="M612" s="157" t="n">
        <v>1971</v>
      </c>
      <c r="P612" s="157" t="s">
        <v>3307</v>
      </c>
      <c r="R612" s="174" t="s">
        <v>279</v>
      </c>
      <c r="S612" s="157" t="n">
        <v>41411</v>
      </c>
      <c r="T612" s="440" t="n">
        <f aca="false">S612/J612</f>
        <v>24.1745475773497</v>
      </c>
      <c r="U612" s="157" t="s">
        <v>279</v>
      </c>
      <c r="Y612" s="157" t="n">
        <v>2495000</v>
      </c>
      <c r="AA612" s="157" t="n">
        <v>2495000</v>
      </c>
      <c r="AC612" s="157" t="s">
        <v>6036</v>
      </c>
      <c r="AD612" s="157" t="s">
        <v>6040</v>
      </c>
      <c r="AE612" s="157" t="s">
        <v>5280</v>
      </c>
      <c r="AF612" s="157" t="s">
        <v>6041</v>
      </c>
      <c r="AI612" s="157" t="e">
        <f aca="false">IF(AND($E612=Subj_OccCode,Subj_BldgSF&gt;0,ABS($L612-Subj_BldgSF)&lt;=Subj_BldgSF*Subj_SizeTol),ABS($L612-Subj_BldgSF),NA())</f>
        <v>#N/A</v>
      </c>
      <c r="AJ612" s="1" t="e">
        <f aca="false">IF(ISNA(AI612),NA(),AI612+ROW()/10000000)</f>
        <v>#N/A</v>
      </c>
      <c r="AK612" s="157" t="str">
        <f aca="false">IF(AND(ISNUMBER($N612),$N612&gt;0,ISNUMBER($Y612)),$Y612/$N612,"")</f>
        <v/>
      </c>
    </row>
    <row r="613" customFormat="false" ht="15" hidden="false" customHeight="true" outlineLevel="0" collapsed="false">
      <c r="A613" s="438" t="n">
        <v>8</v>
      </c>
      <c r="B613" s="157" t="n">
        <v>609</v>
      </c>
      <c r="C613" s="157" t="s">
        <v>6042</v>
      </c>
      <c r="D613" s="157" t="s">
        <v>6043</v>
      </c>
      <c r="E613" s="157" t="n">
        <v>1344</v>
      </c>
      <c r="F613" s="157" t="s">
        <v>2581</v>
      </c>
      <c r="G613" s="157" t="s">
        <v>354</v>
      </c>
      <c r="H613" s="78" t="n">
        <f aca="false">Y613/J613</f>
        <v>374.481941977502</v>
      </c>
      <c r="I613" s="439" t="n">
        <v>44659</v>
      </c>
      <c r="J613" s="157" t="n">
        <v>1689</v>
      </c>
      <c r="L613" s="157" t="n">
        <v>1689</v>
      </c>
      <c r="M613" s="157" t="n">
        <v>2006</v>
      </c>
      <c r="P613" s="157" t="s">
        <v>2588</v>
      </c>
      <c r="R613" s="174" t="s">
        <v>279</v>
      </c>
      <c r="S613" s="157" t="n">
        <v>7699.56</v>
      </c>
      <c r="T613" s="440" t="n">
        <f aca="false">S613/J613</f>
        <v>4.55865008880995</v>
      </c>
      <c r="U613" s="157" t="s">
        <v>279</v>
      </c>
      <c r="Y613" s="157" t="n">
        <v>632500</v>
      </c>
      <c r="AA613" s="157" t="n">
        <v>632500</v>
      </c>
      <c r="AC613" s="157" t="s">
        <v>6044</v>
      </c>
      <c r="AD613" s="157" t="s">
        <v>6045</v>
      </c>
      <c r="AE613" s="157" t="s">
        <v>6046</v>
      </c>
      <c r="AF613" s="157" t="s">
        <v>6047</v>
      </c>
      <c r="AI613" s="157" t="e">
        <f aca="false">IF(AND($E613=Subj_OccCode,Subj_BldgSF&gt;0,ABS($L613-Subj_BldgSF)&lt;=Subj_BldgSF*Subj_SizeTol),ABS($L613-Subj_BldgSF),NA())</f>
        <v>#N/A</v>
      </c>
      <c r="AJ613" s="1" t="e">
        <f aca="false">IF(ISNA(AI613),NA(),AI613+ROW()/10000000)</f>
        <v>#N/A</v>
      </c>
      <c r="AK613" s="157" t="str">
        <f aca="false">IF(AND(ISNUMBER($N613),$N613&gt;0,ISNUMBER($Y613)),$Y613/$N613,"")</f>
        <v/>
      </c>
    </row>
    <row r="614" customFormat="false" ht="15" hidden="false" customHeight="true" outlineLevel="0" collapsed="false">
      <c r="A614" s="438" t="n">
        <v>8</v>
      </c>
      <c r="B614" s="157" t="n">
        <v>610</v>
      </c>
      <c r="C614" s="157" t="s">
        <v>6048</v>
      </c>
      <c r="D614" s="157" t="s">
        <v>6049</v>
      </c>
      <c r="E614" s="157" t="n">
        <v>1344</v>
      </c>
      <c r="F614" s="157" t="s">
        <v>2581</v>
      </c>
      <c r="G614" s="157" t="s">
        <v>354</v>
      </c>
      <c r="H614" s="78" t="n">
        <f aca="false">Y614/J614</f>
        <v>286.625897367721</v>
      </c>
      <c r="I614" s="439" t="n">
        <v>44533</v>
      </c>
      <c r="J614" s="157" t="n">
        <v>3761</v>
      </c>
      <c r="L614" s="157" t="n">
        <v>3761</v>
      </c>
      <c r="M614" s="157" t="n">
        <v>2006</v>
      </c>
      <c r="P614" s="157" t="s">
        <v>2588</v>
      </c>
      <c r="R614" s="174" t="s">
        <v>279</v>
      </c>
      <c r="S614" s="157" t="n">
        <v>17499</v>
      </c>
      <c r="T614" s="440" t="n">
        <f aca="false">S614/J614</f>
        <v>4.65275192767881</v>
      </c>
      <c r="U614" s="157" t="s">
        <v>279</v>
      </c>
      <c r="Y614" s="157" t="n">
        <v>1078000</v>
      </c>
      <c r="AA614" s="157" t="n">
        <v>1078000</v>
      </c>
      <c r="AC614" s="157" t="s">
        <v>6050</v>
      </c>
      <c r="AD614" s="157" t="s">
        <v>6051</v>
      </c>
      <c r="AE614" s="157" t="s">
        <v>2673</v>
      </c>
      <c r="AF614" s="157" t="s">
        <v>6052</v>
      </c>
      <c r="AI614" s="157" t="e">
        <f aca="false">IF(AND($E614=Subj_OccCode,Subj_BldgSF&gt;0,ABS($L614-Subj_BldgSF)&lt;=Subj_BldgSF*Subj_SizeTol),ABS($L614-Subj_BldgSF),NA())</f>
        <v>#N/A</v>
      </c>
      <c r="AJ614" s="1" t="e">
        <f aca="false">IF(ISNA(AI614),NA(),AI614+ROW()/10000000)</f>
        <v>#N/A</v>
      </c>
      <c r="AK614" s="157" t="str">
        <f aca="false">IF(AND(ISNUMBER($N614),$N614&gt;0,ISNUMBER($Y614)),$Y614/$N614,"")</f>
        <v/>
      </c>
    </row>
    <row r="615" customFormat="false" ht="15" hidden="false" customHeight="true" outlineLevel="0" collapsed="false">
      <c r="A615" s="438" t="n">
        <v>8</v>
      </c>
      <c r="B615" s="157" t="n">
        <v>611</v>
      </c>
      <c r="C615" s="157" t="s">
        <v>6053</v>
      </c>
      <c r="D615" s="157" t="s">
        <v>6054</v>
      </c>
      <c r="E615" s="157" t="n">
        <v>344</v>
      </c>
      <c r="F615" s="157" t="s">
        <v>260</v>
      </c>
      <c r="G615" s="157" t="s">
        <v>353</v>
      </c>
      <c r="H615" s="78" t="n">
        <f aca="false">Y615/J615</f>
        <v>167.763157894737</v>
      </c>
      <c r="I615" s="439" t="n">
        <v>43145</v>
      </c>
      <c r="J615" s="157" t="n">
        <v>912</v>
      </c>
      <c r="L615" s="157" t="n">
        <v>912</v>
      </c>
      <c r="M615" s="157" t="n">
        <v>1918</v>
      </c>
      <c r="P615" s="157" t="s">
        <v>1929</v>
      </c>
      <c r="R615" s="174" t="s">
        <v>279</v>
      </c>
      <c r="S615" s="157" t="n">
        <v>6250</v>
      </c>
      <c r="T615" s="440" t="n">
        <f aca="false">S615/J615</f>
        <v>6.8530701754386</v>
      </c>
      <c r="U615" s="157" t="s">
        <v>279</v>
      </c>
      <c r="Y615" s="157" t="n">
        <v>153000</v>
      </c>
      <c r="AA615" s="157" t="n">
        <v>153000</v>
      </c>
      <c r="AC615" s="157" t="s">
        <v>6055</v>
      </c>
      <c r="AD615" s="157" t="s">
        <v>6056</v>
      </c>
      <c r="AE615" s="157" t="s">
        <v>6057</v>
      </c>
      <c r="AF615" s="157" t="s">
        <v>6058</v>
      </c>
      <c r="AI615" s="157" t="e">
        <f aca="false">IF(AND($E615=Subj_OccCode,Subj_BldgSF&gt;0,ABS($L615-Subj_BldgSF)&lt;=Subj_BldgSF*Subj_SizeTol),ABS($L615-Subj_BldgSF),NA())</f>
        <v>#N/A</v>
      </c>
      <c r="AJ615" s="1" t="e">
        <f aca="false">IF(ISNA(AI615),NA(),AI615+ROW()/10000000)</f>
        <v>#N/A</v>
      </c>
      <c r="AK615" s="157" t="str">
        <f aca="false">IF(AND(ISNUMBER($N615),$N615&gt;0,ISNUMBER($Y615)),$Y615/$N615,"")</f>
        <v/>
      </c>
    </row>
    <row r="616" customFormat="false" ht="15" hidden="false" customHeight="true" outlineLevel="0" collapsed="false">
      <c r="A616" s="438" t="n">
        <v>8</v>
      </c>
      <c r="B616" s="157" t="n">
        <v>612</v>
      </c>
      <c r="C616" s="157" t="s">
        <v>6059</v>
      </c>
      <c r="D616" s="157" t="s">
        <v>6060</v>
      </c>
      <c r="E616" s="157" t="n">
        <v>344</v>
      </c>
      <c r="G616" s="157" t="s">
        <v>352</v>
      </c>
      <c r="H616" s="78" t="n">
        <f aca="false">Y616/J616</f>
        <v>231.09243697479</v>
      </c>
      <c r="I616" s="439" t="n">
        <v>44012</v>
      </c>
      <c r="J616" s="157" t="n">
        <v>952</v>
      </c>
      <c r="L616" s="157" t="n">
        <v>952</v>
      </c>
      <c r="M616" s="157" t="n">
        <v>1954</v>
      </c>
      <c r="P616" s="157" t="s">
        <v>2706</v>
      </c>
      <c r="R616" s="174" t="s">
        <v>279</v>
      </c>
      <c r="S616" s="157" t="n">
        <v>9375</v>
      </c>
      <c r="T616" s="440" t="n">
        <f aca="false">S616/J616</f>
        <v>9.84768907563025</v>
      </c>
      <c r="U616" s="157" t="s">
        <v>279</v>
      </c>
      <c r="Y616" s="157" t="n">
        <v>220000</v>
      </c>
      <c r="AA616" s="157" t="n">
        <v>220000</v>
      </c>
      <c r="AC616" s="157" t="s">
        <v>6061</v>
      </c>
      <c r="AD616" s="157" t="s">
        <v>6062</v>
      </c>
      <c r="AE616" s="157" t="s">
        <v>6063</v>
      </c>
      <c r="AF616" s="157" t="s">
        <v>6064</v>
      </c>
      <c r="AI616" s="157" t="e">
        <f aca="false">IF(AND($E616=Subj_OccCode,Subj_BldgSF&gt;0,ABS($L616-Subj_BldgSF)&lt;=Subj_BldgSF*Subj_SizeTol),ABS($L616-Subj_BldgSF),NA())</f>
        <v>#N/A</v>
      </c>
      <c r="AJ616" s="1" t="e">
        <f aca="false">IF(ISNA(AI616),NA(),AI616+ROW()/10000000)</f>
        <v>#N/A</v>
      </c>
      <c r="AK616" s="157" t="str">
        <f aca="false">IF(AND(ISNUMBER($N616),$N616&gt;0,ISNUMBER($Y616)),$Y616/$N616,"")</f>
        <v/>
      </c>
    </row>
    <row r="617" customFormat="false" ht="15" hidden="false" customHeight="true" outlineLevel="0" collapsed="false">
      <c r="A617" s="438" t="n">
        <v>8</v>
      </c>
      <c r="B617" s="157" t="n">
        <v>613</v>
      </c>
      <c r="C617" s="157" t="s">
        <v>6065</v>
      </c>
      <c r="D617" s="157" t="s">
        <v>6066</v>
      </c>
      <c r="E617" s="157" t="n">
        <v>334</v>
      </c>
      <c r="F617" s="157" t="s">
        <v>2757</v>
      </c>
      <c r="G617" s="157" t="s">
        <v>2691</v>
      </c>
      <c r="H617" s="78" t="n">
        <f aca="false">Y617/J617</f>
        <v>111.607142857143</v>
      </c>
      <c r="I617" s="439" t="n">
        <v>44733</v>
      </c>
      <c r="J617" s="157" t="n">
        <v>80640</v>
      </c>
      <c r="L617" s="157" t="n">
        <v>80640</v>
      </c>
      <c r="M617" s="157" t="n">
        <v>2000</v>
      </c>
      <c r="P617" s="157" t="s">
        <v>2758</v>
      </c>
      <c r="R617" s="174" t="s">
        <v>483</v>
      </c>
      <c r="S617" s="157" t="n">
        <v>230428</v>
      </c>
      <c r="T617" s="440" t="n">
        <f aca="false">S617/J617</f>
        <v>2.85749007936508</v>
      </c>
      <c r="U617" s="157" t="s">
        <v>279</v>
      </c>
      <c r="Y617" s="157" t="n">
        <v>9000000</v>
      </c>
      <c r="AA617" s="157" t="n">
        <v>9000000</v>
      </c>
      <c r="AC617" s="157" t="s">
        <v>6067</v>
      </c>
      <c r="AD617" s="157" t="s">
        <v>6068</v>
      </c>
      <c r="AE617" s="157" t="s">
        <v>6069</v>
      </c>
      <c r="AF617" s="157" t="s">
        <v>6070</v>
      </c>
      <c r="AI617" s="157" t="e">
        <f aca="false">IF(AND($E617=Subj_OccCode,Subj_BldgSF&gt;0,ABS($L617-Subj_BldgSF)&lt;=Subj_BldgSF*Subj_SizeTol),ABS($L617-Subj_BldgSF),NA())</f>
        <v>#N/A</v>
      </c>
      <c r="AJ617" s="1" t="e">
        <f aca="false">IF(ISNA(AI617),NA(),AI617+ROW()/10000000)</f>
        <v>#N/A</v>
      </c>
      <c r="AK617" s="157" t="str">
        <f aca="false">IF(AND(ISNUMBER($N617),$N617&gt;0,ISNUMBER($Y617)),$Y617/$N617,"")</f>
        <v/>
      </c>
    </row>
    <row r="618" customFormat="false" ht="15" hidden="false" customHeight="true" outlineLevel="0" collapsed="false">
      <c r="A618" s="438" t="n">
        <v>8</v>
      </c>
      <c r="B618" s="157" t="n">
        <v>614</v>
      </c>
      <c r="C618" s="157" t="s">
        <v>6071</v>
      </c>
      <c r="D618" s="157" t="s">
        <v>6072</v>
      </c>
      <c r="E618" s="157" t="n">
        <v>325</v>
      </c>
      <c r="F618" s="157" t="s">
        <v>2677</v>
      </c>
      <c r="G618" s="157" t="s">
        <v>2567</v>
      </c>
      <c r="H618" s="78" t="n">
        <f aca="false">Y618/J618</f>
        <v>286.975717439294</v>
      </c>
      <c r="I618" s="439" t="n">
        <v>44516</v>
      </c>
      <c r="J618" s="157" t="n">
        <v>4530</v>
      </c>
      <c r="L618" s="157" t="n">
        <v>4530</v>
      </c>
      <c r="M618" s="157" t="n">
        <v>1962</v>
      </c>
      <c r="P618" s="157" t="s">
        <v>2678</v>
      </c>
      <c r="R618" s="174" t="s">
        <v>279</v>
      </c>
      <c r="S618" s="157" t="n">
        <v>13650</v>
      </c>
      <c r="T618" s="440" t="n">
        <f aca="false">S618/J618</f>
        <v>3.01324503311258</v>
      </c>
      <c r="U618" s="157" t="s">
        <v>279</v>
      </c>
      <c r="Y618" s="157" t="n">
        <v>1300000</v>
      </c>
      <c r="AA618" s="157" t="n">
        <v>1300000</v>
      </c>
      <c r="AC618" s="157" t="s">
        <v>6073</v>
      </c>
      <c r="AD618" s="157" t="s">
        <v>6074</v>
      </c>
      <c r="AE618" s="157" t="s">
        <v>6075</v>
      </c>
      <c r="AF618" s="157" t="s">
        <v>6076</v>
      </c>
      <c r="AI618" s="157" t="e">
        <f aca="false">IF(AND($E618=Subj_OccCode,Subj_BldgSF&gt;0,ABS($L618-Subj_BldgSF)&lt;=Subj_BldgSF*Subj_SizeTol),ABS($L618-Subj_BldgSF),NA())</f>
        <v>#N/A</v>
      </c>
      <c r="AJ618" s="1" t="e">
        <f aca="false">IF(ISNA(AI618),NA(),AI618+ROW()/10000000)</f>
        <v>#N/A</v>
      </c>
      <c r="AK618" s="157" t="str">
        <f aca="false">IF(AND(ISNUMBER($N618),$N618&gt;0,ISNUMBER($Y618)),$Y618/$N618,"")</f>
        <v/>
      </c>
    </row>
    <row r="619" customFormat="false" ht="15" hidden="false" customHeight="true" outlineLevel="0" collapsed="false">
      <c r="A619" s="438" t="n">
        <v>8</v>
      </c>
      <c r="B619" s="157" t="n">
        <v>615</v>
      </c>
      <c r="C619" s="157" t="s">
        <v>6077</v>
      </c>
      <c r="D619" s="157" t="s">
        <v>6078</v>
      </c>
      <c r="E619" s="157" t="n">
        <v>1344</v>
      </c>
      <c r="F619" s="157" t="s">
        <v>2566</v>
      </c>
      <c r="G619" s="157" t="s">
        <v>2567</v>
      </c>
      <c r="H619" s="78" t="n">
        <f aca="false">Y619/J619</f>
        <v>223.333333333333</v>
      </c>
      <c r="I619" s="439" t="n">
        <v>44523</v>
      </c>
      <c r="J619" s="157" t="n">
        <v>1500</v>
      </c>
      <c r="L619" s="157" t="n">
        <v>1500</v>
      </c>
      <c r="M619" s="157" t="n">
        <v>2001</v>
      </c>
      <c r="P619" s="157" t="s">
        <v>2658</v>
      </c>
      <c r="R619" s="174" t="s">
        <v>279</v>
      </c>
      <c r="S619" s="157" t="n">
        <v>5862</v>
      </c>
      <c r="T619" s="440" t="n">
        <f aca="false">S619/J619</f>
        <v>3.908</v>
      </c>
      <c r="U619" s="157" t="s">
        <v>279</v>
      </c>
      <c r="Y619" s="157" t="n">
        <v>335000</v>
      </c>
      <c r="AA619" s="157" t="n">
        <v>335000</v>
      </c>
      <c r="AC619" s="157" t="s">
        <v>6079</v>
      </c>
      <c r="AD619" s="157" t="s">
        <v>6080</v>
      </c>
      <c r="AE619" s="157" t="s">
        <v>6081</v>
      </c>
      <c r="AF619" s="157" t="s">
        <v>6082</v>
      </c>
      <c r="AI619" s="157" t="e">
        <f aca="false">IF(AND($E619=Subj_OccCode,Subj_BldgSF&gt;0,ABS($L619-Subj_BldgSF)&lt;=Subj_BldgSF*Subj_SizeTol),ABS($L619-Subj_BldgSF),NA())</f>
        <v>#N/A</v>
      </c>
      <c r="AJ619" s="1" t="e">
        <f aca="false">IF(ISNA(AI619),NA(),AI619+ROW()/10000000)</f>
        <v>#N/A</v>
      </c>
      <c r="AK619" s="157" t="str">
        <f aca="false">IF(AND(ISNUMBER($N619),$N619&gt;0,ISNUMBER($Y619)),$Y619/$N619,"")</f>
        <v/>
      </c>
    </row>
    <row r="620" customFormat="false" ht="15" hidden="false" customHeight="true" outlineLevel="0" collapsed="false">
      <c r="A620" s="438" t="n">
        <v>8</v>
      </c>
      <c r="B620" s="157" t="n">
        <v>616</v>
      </c>
      <c r="C620" s="157" t="s">
        <v>6083</v>
      </c>
      <c r="D620" s="157" t="s">
        <v>6084</v>
      </c>
      <c r="E620" s="157" t="n">
        <v>1344</v>
      </c>
      <c r="F620" s="157" t="s">
        <v>2566</v>
      </c>
      <c r="G620" s="157" t="s">
        <v>2567</v>
      </c>
      <c r="H620" s="78" t="n">
        <f aca="false">Y620/J620</f>
        <v>180.42646254784</v>
      </c>
      <c r="I620" s="439" t="n">
        <v>44470</v>
      </c>
      <c r="J620" s="157" t="n">
        <v>1829</v>
      </c>
      <c r="L620" s="157" t="n">
        <v>1829</v>
      </c>
      <c r="M620" s="157" t="n">
        <v>2001</v>
      </c>
      <c r="P620" s="157" t="s">
        <v>2658</v>
      </c>
      <c r="R620" s="174" t="s">
        <v>279</v>
      </c>
      <c r="S620" s="157" t="n">
        <v>5862</v>
      </c>
      <c r="T620" s="440" t="n">
        <f aca="false">S620/J620</f>
        <v>3.20503007107709</v>
      </c>
      <c r="U620" s="157" t="s">
        <v>279</v>
      </c>
      <c r="Y620" s="157" t="n">
        <v>330000</v>
      </c>
      <c r="AA620" s="157" t="n">
        <v>330000</v>
      </c>
      <c r="AC620" s="157" t="s">
        <v>6085</v>
      </c>
      <c r="AD620" s="157" t="s">
        <v>6086</v>
      </c>
      <c r="AE620" s="157" t="s">
        <v>6081</v>
      </c>
      <c r="AF620" s="157" t="s">
        <v>6087</v>
      </c>
      <c r="AI620" s="157" t="e">
        <f aca="false">IF(AND($E620=Subj_OccCode,Subj_BldgSF&gt;0,ABS($L620-Subj_BldgSF)&lt;=Subj_BldgSF*Subj_SizeTol),ABS($L620-Subj_BldgSF),NA())</f>
        <v>#N/A</v>
      </c>
      <c r="AJ620" s="1" t="e">
        <f aca="false">IF(ISNA(AI620),NA(),AI620+ROW()/10000000)</f>
        <v>#N/A</v>
      </c>
      <c r="AK620" s="157" t="str">
        <f aca="false">IF(AND(ISNUMBER($N620),$N620&gt;0,ISNUMBER($Y620)),$Y620/$N620,"")</f>
        <v/>
      </c>
    </row>
    <row r="621" customFormat="false" ht="15" hidden="false" customHeight="true" outlineLevel="0" collapsed="false">
      <c r="A621" s="438" t="n">
        <v>8</v>
      </c>
      <c r="B621" s="157" t="n">
        <v>617</v>
      </c>
      <c r="C621" s="157" t="s">
        <v>3210</v>
      </c>
      <c r="D621" s="157" t="s">
        <v>3211</v>
      </c>
      <c r="E621" s="157" t="n">
        <v>425</v>
      </c>
      <c r="G621" s="157" t="s">
        <v>2691</v>
      </c>
      <c r="H621" s="78" t="n">
        <f aca="false">Y621/J621</f>
        <v>197.007481296758</v>
      </c>
      <c r="I621" s="439" t="n">
        <v>44315</v>
      </c>
      <c r="J621" s="157" t="n">
        <v>2005</v>
      </c>
      <c r="L621" s="157" t="n">
        <v>2005</v>
      </c>
      <c r="M621" s="157" t="n">
        <v>2005</v>
      </c>
      <c r="P621" s="157" t="s">
        <v>2692</v>
      </c>
      <c r="R621" s="174" t="s">
        <v>279</v>
      </c>
      <c r="S621" s="157" t="n">
        <v>10924</v>
      </c>
      <c r="T621" s="440" t="n">
        <f aca="false">S621/J621</f>
        <v>5.44837905236908</v>
      </c>
      <c r="U621" s="157" t="s">
        <v>279</v>
      </c>
      <c r="Y621" s="157" t="n">
        <v>395000</v>
      </c>
      <c r="AA621" s="157" t="n">
        <v>395000</v>
      </c>
      <c r="AC621" s="157" t="s">
        <v>3212</v>
      </c>
      <c r="AD621" s="157" t="s">
        <v>6088</v>
      </c>
      <c r="AE621" s="157" t="s">
        <v>6089</v>
      </c>
      <c r="AF621" s="157" t="s">
        <v>3214</v>
      </c>
      <c r="AI621" s="157" t="e">
        <f aca="false">IF(AND($E621=Subj_OccCode,Subj_BldgSF&gt;0,ABS($L621-Subj_BldgSF)&lt;=Subj_BldgSF*Subj_SizeTol),ABS($L621-Subj_BldgSF),NA())</f>
        <v>#N/A</v>
      </c>
      <c r="AJ621" s="1" t="e">
        <f aca="false">IF(ISNA(AI621),NA(),AI621+ROW()/10000000)</f>
        <v>#N/A</v>
      </c>
      <c r="AK621" s="157" t="str">
        <f aca="false">IF(AND(ISNUMBER($N621),$N621&gt;0,ISNUMBER($Y621)),$Y621/$N621,"")</f>
        <v/>
      </c>
    </row>
    <row r="622" customFormat="false" ht="15" hidden="false" customHeight="true" outlineLevel="0" collapsed="false">
      <c r="A622" s="438" t="n">
        <v>8</v>
      </c>
      <c r="B622" s="157" t="n">
        <v>618</v>
      </c>
      <c r="C622" s="157" t="s">
        <v>6090</v>
      </c>
      <c r="D622" s="157" t="s">
        <v>6091</v>
      </c>
      <c r="E622" s="157" t="n">
        <v>534</v>
      </c>
      <c r="F622" s="157" t="s">
        <v>2921</v>
      </c>
      <c r="G622" s="157" t="s">
        <v>353</v>
      </c>
      <c r="H622" s="78" t="n">
        <f aca="false">Y622/J622</f>
        <v>166.666666666667</v>
      </c>
      <c r="I622" s="439" t="n">
        <v>43328</v>
      </c>
      <c r="J622" s="157" t="n">
        <v>1500</v>
      </c>
      <c r="L622" s="157" t="n">
        <v>1500</v>
      </c>
      <c r="M622" s="157" t="n">
        <v>2002</v>
      </c>
      <c r="R622" s="174" t="s">
        <v>279</v>
      </c>
      <c r="S622" s="157" t="n">
        <v>6448</v>
      </c>
      <c r="T622" s="440" t="n">
        <f aca="false">S622/J622</f>
        <v>4.29866666666667</v>
      </c>
      <c r="U622" s="157" t="s">
        <v>279</v>
      </c>
      <c r="Y622" s="157" t="n">
        <v>250000</v>
      </c>
      <c r="AA622" s="157" t="n">
        <v>250000</v>
      </c>
      <c r="AC622" s="157" t="s">
        <v>6092</v>
      </c>
      <c r="AD622" s="157" t="s">
        <v>6093</v>
      </c>
      <c r="AE622" s="157" t="s">
        <v>6094</v>
      </c>
      <c r="AF622" s="157" t="s">
        <v>6095</v>
      </c>
      <c r="AI622" s="157" t="e">
        <f aca="false">IF(AND($E622=Subj_OccCode,Subj_BldgSF&gt;0,ABS($L622-Subj_BldgSF)&lt;=Subj_BldgSF*Subj_SizeTol),ABS($L622-Subj_BldgSF),NA())</f>
        <v>#N/A</v>
      </c>
      <c r="AJ622" s="1" t="e">
        <f aca="false">IF(ISNA(AI622),NA(),AI622+ROW()/10000000)</f>
        <v>#N/A</v>
      </c>
      <c r="AK622" s="157" t="str">
        <f aca="false">IF(AND(ISNUMBER($N622),$N622&gt;0,ISNUMBER($Y622)),$Y622/$N622,"")</f>
        <v/>
      </c>
    </row>
    <row r="623" customFormat="false" ht="15" hidden="false" customHeight="true" outlineLevel="0" collapsed="false">
      <c r="A623" s="438" t="n">
        <v>8</v>
      </c>
      <c r="B623" s="157" t="n">
        <v>619</v>
      </c>
      <c r="C623" s="157" t="s">
        <v>6096</v>
      </c>
      <c r="D623" s="157" t="s">
        <v>6097</v>
      </c>
      <c r="E623" s="157" t="n">
        <v>425</v>
      </c>
      <c r="G623" s="157" t="s">
        <v>2691</v>
      </c>
      <c r="H623" s="78" t="n">
        <f aca="false">Y623/J623</f>
        <v>301.526717557252</v>
      </c>
      <c r="I623" s="439" t="n">
        <v>43539</v>
      </c>
      <c r="J623" s="157" t="n">
        <v>1310</v>
      </c>
      <c r="L623" s="157" t="n">
        <v>1310</v>
      </c>
      <c r="M623" s="157" t="n">
        <v>2003</v>
      </c>
      <c r="R623" s="174" t="s">
        <v>483</v>
      </c>
      <c r="S623" s="157" t="n">
        <v>4402</v>
      </c>
      <c r="T623" s="440" t="n">
        <f aca="false">S623/J623</f>
        <v>3.36030534351145</v>
      </c>
      <c r="U623" s="157" t="s">
        <v>483</v>
      </c>
      <c r="Y623" s="157" t="n">
        <v>395000</v>
      </c>
      <c r="AA623" s="157" t="n">
        <v>395000</v>
      </c>
      <c r="AC623" s="157" t="s">
        <v>6098</v>
      </c>
      <c r="AD623" s="157" t="s">
        <v>6099</v>
      </c>
      <c r="AE623" s="157" t="s">
        <v>6100</v>
      </c>
      <c r="AF623" s="157" t="s">
        <v>6101</v>
      </c>
      <c r="AI623" s="157" t="e">
        <f aca="false">IF(AND($E623=Subj_OccCode,Subj_BldgSF&gt;0,ABS($L623-Subj_BldgSF)&lt;=Subj_BldgSF*Subj_SizeTol),ABS($L623-Subj_BldgSF),NA())</f>
        <v>#N/A</v>
      </c>
      <c r="AJ623" s="1" t="e">
        <f aca="false">IF(ISNA(AI623),NA(),AI623+ROW()/10000000)</f>
        <v>#N/A</v>
      </c>
      <c r="AK623" s="157" t="str">
        <f aca="false">IF(AND(ISNUMBER($N623),$N623&gt;0,ISNUMBER($Y623)),$Y623/$N623,"")</f>
        <v/>
      </c>
    </row>
    <row r="624" customFormat="false" ht="15" hidden="false" customHeight="true" outlineLevel="0" collapsed="false">
      <c r="A624" s="438" t="n">
        <v>8</v>
      </c>
      <c r="B624" s="157" t="n">
        <v>620</v>
      </c>
      <c r="C624" s="157" t="s">
        <v>6102</v>
      </c>
      <c r="D624" s="157" t="s">
        <v>6103</v>
      </c>
      <c r="E624" s="157" t="n">
        <v>382</v>
      </c>
      <c r="F624" s="157" t="s">
        <v>2677</v>
      </c>
      <c r="G624" s="157" t="s">
        <v>2567</v>
      </c>
      <c r="H624" s="78" t="n">
        <f aca="false">Y624/J624</f>
        <v>212.942765139711</v>
      </c>
      <c r="I624" s="439" t="n">
        <v>43731</v>
      </c>
      <c r="J624" s="157" t="n">
        <v>19254</v>
      </c>
      <c r="L624" s="157" t="n">
        <v>19254</v>
      </c>
      <c r="M624" s="157" t="n">
        <v>2007</v>
      </c>
      <c r="P624" s="157" t="s">
        <v>3307</v>
      </c>
      <c r="R624" s="174" t="s">
        <v>279</v>
      </c>
      <c r="S624" s="157" t="n">
        <v>100440</v>
      </c>
      <c r="T624" s="440" t="n">
        <f aca="false">S624/J624</f>
        <v>5.21657837332502</v>
      </c>
      <c r="U624" s="157" t="s">
        <v>279</v>
      </c>
      <c r="Y624" s="157" t="n">
        <v>4100000</v>
      </c>
      <c r="AA624" s="157" t="n">
        <v>4100000</v>
      </c>
      <c r="AC624" s="157" t="s">
        <v>6104</v>
      </c>
      <c r="AD624" s="157" t="s">
        <v>6105</v>
      </c>
      <c r="AE624" s="157" t="s">
        <v>6106</v>
      </c>
      <c r="AF624" s="157" t="s">
        <v>6107</v>
      </c>
      <c r="AI624" s="157" t="e">
        <f aca="false">IF(AND($E624=Subj_OccCode,Subj_BldgSF&gt;0,ABS($L624-Subj_BldgSF)&lt;=Subj_BldgSF*Subj_SizeTol),ABS($L624-Subj_BldgSF),NA())</f>
        <v>#N/A</v>
      </c>
      <c r="AJ624" s="1" t="e">
        <f aca="false">IF(ISNA(AI624),NA(),AI624+ROW()/10000000)</f>
        <v>#N/A</v>
      </c>
      <c r="AK624" s="157" t="str">
        <f aca="false">IF(AND(ISNUMBER($N624),$N624&gt;0,ISNUMBER($Y624)),$Y624/$N624,"")</f>
        <v/>
      </c>
    </row>
    <row r="625" customFormat="false" ht="15" hidden="false" customHeight="true" outlineLevel="0" collapsed="false">
      <c r="A625" s="438" t="n">
        <v>8</v>
      </c>
      <c r="B625" s="157" t="n">
        <v>621</v>
      </c>
      <c r="C625" s="157" t="s">
        <v>6108</v>
      </c>
      <c r="D625" s="157" t="s">
        <v>6109</v>
      </c>
      <c r="E625" s="157" t="n">
        <v>353</v>
      </c>
      <c r="F625" s="157" t="s">
        <v>2566</v>
      </c>
      <c r="G625" s="157" t="s">
        <v>2567</v>
      </c>
      <c r="H625" s="78" t="n">
        <f aca="false">Y625/J625</f>
        <v>208.65671641791</v>
      </c>
      <c r="I625" s="439" t="n">
        <v>44348</v>
      </c>
      <c r="J625" s="157" t="n">
        <v>4020</v>
      </c>
      <c r="L625" s="157" t="n">
        <v>4020</v>
      </c>
      <c r="M625" s="157" t="n">
        <v>1978</v>
      </c>
      <c r="P625" s="157" t="s">
        <v>3300</v>
      </c>
      <c r="R625" s="174" t="s">
        <v>279</v>
      </c>
      <c r="S625" s="157" t="n">
        <v>36199</v>
      </c>
      <c r="T625" s="440" t="n">
        <f aca="false">S625/J625</f>
        <v>9.0047263681592</v>
      </c>
      <c r="U625" s="157" t="s">
        <v>279</v>
      </c>
      <c r="Y625" s="157" t="n">
        <v>838800</v>
      </c>
      <c r="AA625" s="157" t="n">
        <v>838800</v>
      </c>
      <c r="AC625" s="157" t="s">
        <v>6110</v>
      </c>
      <c r="AD625" s="157" t="s">
        <v>6111</v>
      </c>
      <c r="AE625" s="157" t="s">
        <v>6112</v>
      </c>
      <c r="AF625" s="157" t="s">
        <v>6113</v>
      </c>
      <c r="AI625" s="157" t="e">
        <f aca="false">IF(AND($E625=Subj_OccCode,Subj_BldgSF&gt;0,ABS($L625-Subj_BldgSF)&lt;=Subj_BldgSF*Subj_SizeTol),ABS($L625-Subj_BldgSF),NA())</f>
        <v>#N/A</v>
      </c>
      <c r="AJ625" s="1" t="e">
        <f aca="false">IF(ISNA(AI625),NA(),AI625+ROW()/10000000)</f>
        <v>#N/A</v>
      </c>
      <c r="AK625" s="157" t="str">
        <f aca="false">IF(AND(ISNUMBER($N625),$N625&gt;0,ISNUMBER($Y625)),$Y625/$N625,"")</f>
        <v/>
      </c>
    </row>
    <row r="626" customFormat="false" ht="15" hidden="false" customHeight="true" outlineLevel="0" collapsed="false">
      <c r="A626" s="438" t="n">
        <v>8</v>
      </c>
      <c r="B626" s="157" t="n">
        <v>622</v>
      </c>
      <c r="C626" s="157" t="s">
        <v>6114</v>
      </c>
      <c r="D626" s="157" t="s">
        <v>6115</v>
      </c>
      <c r="E626" s="157" t="n">
        <v>406</v>
      </c>
      <c r="F626" s="157" t="s">
        <v>2921</v>
      </c>
      <c r="G626" s="157" t="s">
        <v>2691</v>
      </c>
      <c r="H626" s="78" t="n">
        <f aca="false">Y626/J626</f>
        <v>190.990516332982</v>
      </c>
      <c r="I626" s="439" t="n">
        <v>44687</v>
      </c>
      <c r="J626" s="157" t="n">
        <v>18980</v>
      </c>
      <c r="L626" s="157" t="n">
        <v>18980</v>
      </c>
      <c r="M626" s="157" t="n">
        <v>1972</v>
      </c>
      <c r="P626" s="157" t="s">
        <v>3293</v>
      </c>
      <c r="R626" s="174" t="s">
        <v>279</v>
      </c>
      <c r="S626" s="157" t="n">
        <v>53025.588</v>
      </c>
      <c r="T626" s="440" t="n">
        <f aca="false">S626/J626</f>
        <v>2.7937612223393</v>
      </c>
      <c r="U626" s="157" t="s">
        <v>279</v>
      </c>
      <c r="Y626" s="157" t="n">
        <v>3625000</v>
      </c>
      <c r="AA626" s="157" t="n">
        <v>3625000</v>
      </c>
      <c r="AC626" s="157" t="s">
        <v>6116</v>
      </c>
      <c r="AD626" s="157" t="s">
        <v>6117</v>
      </c>
      <c r="AE626" s="157" t="s">
        <v>6118</v>
      </c>
      <c r="AF626" s="157" t="s">
        <v>6119</v>
      </c>
      <c r="AI626" s="157" t="e">
        <f aca="false">IF(AND($E626=Subj_OccCode,Subj_BldgSF&gt;0,ABS($L626-Subj_BldgSF)&lt;=Subj_BldgSF*Subj_SizeTol),ABS($L626-Subj_BldgSF),NA())</f>
        <v>#N/A</v>
      </c>
      <c r="AJ626" s="1" t="e">
        <f aca="false">IF(ISNA(AI626),NA(),AI626+ROW()/10000000)</f>
        <v>#N/A</v>
      </c>
      <c r="AK626" s="157" t="str">
        <f aca="false">IF(AND(ISNUMBER($N626),$N626&gt;0,ISNUMBER($Y626)),$Y626/$N626,"")</f>
        <v/>
      </c>
    </row>
    <row r="627" customFormat="false" ht="15" hidden="false" customHeight="true" outlineLevel="0" collapsed="false">
      <c r="A627" s="438" t="n">
        <v>8</v>
      </c>
      <c r="B627" s="157" t="n">
        <v>623</v>
      </c>
      <c r="C627" s="157" t="s">
        <v>6120</v>
      </c>
      <c r="D627" s="157" t="s">
        <v>6121</v>
      </c>
      <c r="E627" s="157" t="n">
        <v>407</v>
      </c>
      <c r="F627" s="157" t="s">
        <v>2921</v>
      </c>
      <c r="G627" s="157" t="s">
        <v>2691</v>
      </c>
      <c r="H627" s="78" t="n">
        <f aca="false">Y627/J627</f>
        <v>185.51724137931</v>
      </c>
      <c r="I627" s="439" t="n">
        <v>43983</v>
      </c>
      <c r="J627" s="157" t="n">
        <v>14500</v>
      </c>
      <c r="L627" s="157" t="n">
        <v>14500</v>
      </c>
      <c r="M627" s="157" t="n">
        <v>1999</v>
      </c>
      <c r="P627" s="157" t="s">
        <v>4047</v>
      </c>
      <c r="R627" s="174" t="s">
        <v>483</v>
      </c>
      <c r="S627" s="157" t="n">
        <v>93252</v>
      </c>
      <c r="T627" s="440" t="n">
        <f aca="false">S627/J627</f>
        <v>6.4311724137931</v>
      </c>
      <c r="U627" s="157" t="s">
        <v>279</v>
      </c>
      <c r="Y627" s="157" t="n">
        <v>2690000</v>
      </c>
      <c r="AA627" s="157" t="n">
        <v>2690000</v>
      </c>
      <c r="AC627" s="157" t="s">
        <v>6122</v>
      </c>
      <c r="AD627" s="157" t="s">
        <v>6123</v>
      </c>
      <c r="AE627" s="157" t="s">
        <v>6124</v>
      </c>
      <c r="AF627" s="157" t="s">
        <v>6125</v>
      </c>
      <c r="AI627" s="157" t="e">
        <f aca="false">IF(AND($E627=Subj_OccCode,Subj_BldgSF&gt;0,ABS($L627-Subj_BldgSF)&lt;=Subj_BldgSF*Subj_SizeTol),ABS($L627-Subj_BldgSF),NA())</f>
        <v>#N/A</v>
      </c>
      <c r="AJ627" s="1" t="e">
        <f aca="false">IF(ISNA(AI627),NA(),AI627+ROW()/10000000)</f>
        <v>#N/A</v>
      </c>
      <c r="AK627" s="157" t="str">
        <f aca="false">IF(AND(ISNUMBER($N627),$N627&gt;0,ISNUMBER($Y627)),$Y627/$N627,"")</f>
        <v/>
      </c>
    </row>
    <row r="628" customFormat="false" ht="15" hidden="false" customHeight="true" outlineLevel="0" collapsed="false">
      <c r="A628" s="438" t="n">
        <v>8</v>
      </c>
      <c r="B628" s="157" t="n">
        <v>624</v>
      </c>
      <c r="C628" s="157" t="s">
        <v>6126</v>
      </c>
      <c r="D628" s="157" t="s">
        <v>6127</v>
      </c>
      <c r="E628" s="157" t="n">
        <v>344</v>
      </c>
      <c r="F628" s="157" t="s">
        <v>2921</v>
      </c>
      <c r="G628" s="157" t="s">
        <v>353</v>
      </c>
      <c r="H628" s="78" t="n">
        <f aca="false">Y628/J628</f>
        <v>85.8450972911103</v>
      </c>
      <c r="I628" s="439" t="n">
        <v>43900</v>
      </c>
      <c r="J628" s="157" t="n">
        <v>2621</v>
      </c>
      <c r="L628" s="157" t="n">
        <v>2624</v>
      </c>
      <c r="M628" s="157" t="n">
        <v>2010</v>
      </c>
      <c r="P628" s="157" t="s">
        <v>4047</v>
      </c>
      <c r="R628" s="174" t="s">
        <v>279</v>
      </c>
      <c r="S628" s="157" t="n">
        <v>10132</v>
      </c>
      <c r="T628" s="440" t="n">
        <f aca="false">S628/J628</f>
        <v>3.86570011446013</v>
      </c>
      <c r="U628" s="157" t="s">
        <v>279</v>
      </c>
      <c r="Y628" s="157" t="n">
        <v>225000</v>
      </c>
      <c r="AA628" s="157" t="n">
        <v>225000</v>
      </c>
      <c r="AC628" s="157" t="s">
        <v>6128</v>
      </c>
      <c r="AD628" s="157" t="s">
        <v>6129</v>
      </c>
      <c r="AE628" s="157" t="s">
        <v>6130</v>
      </c>
      <c r="AF628" s="157" t="s">
        <v>6131</v>
      </c>
      <c r="AI628" s="157" t="e">
        <f aca="false">IF(AND($E628=Subj_OccCode,Subj_BldgSF&gt;0,ABS($L628-Subj_BldgSF)&lt;=Subj_BldgSF*Subj_SizeTol),ABS($L628-Subj_BldgSF),NA())</f>
        <v>#N/A</v>
      </c>
      <c r="AJ628" s="1" t="e">
        <f aca="false">IF(ISNA(AI628),NA(),AI628+ROW()/10000000)</f>
        <v>#N/A</v>
      </c>
      <c r="AK628" s="157" t="str">
        <f aca="false">IF(AND(ISNUMBER($N628),$N628&gt;0,ISNUMBER($Y628)),$Y628/$N628,"")</f>
        <v/>
      </c>
    </row>
    <row r="629" customFormat="false" ht="15" hidden="false" customHeight="true" outlineLevel="0" collapsed="false">
      <c r="A629" s="438" t="n">
        <v>8</v>
      </c>
      <c r="B629" s="157" t="n">
        <v>625</v>
      </c>
      <c r="C629" s="157" t="s">
        <v>6132</v>
      </c>
      <c r="D629" s="157" t="s">
        <v>6133</v>
      </c>
      <c r="E629" s="157" t="n">
        <v>436</v>
      </c>
      <c r="F629" s="157" t="s">
        <v>2566</v>
      </c>
      <c r="G629" s="157" t="s">
        <v>2567</v>
      </c>
      <c r="H629" s="78" t="n">
        <f aca="false">Y629/J629</f>
        <v>175.406203840473</v>
      </c>
      <c r="I629" s="439" t="n">
        <v>43147</v>
      </c>
      <c r="J629" s="157" t="n">
        <v>5416</v>
      </c>
      <c r="L629" s="157" t="n">
        <v>5416</v>
      </c>
      <c r="M629" s="157" t="n">
        <v>2006</v>
      </c>
      <c r="R629" s="174" t="s">
        <v>279</v>
      </c>
      <c r="S629" s="157" t="n">
        <v>35777</v>
      </c>
      <c r="T629" s="440" t="n">
        <f aca="false">S629/J629</f>
        <v>6.6057976366322</v>
      </c>
      <c r="U629" s="157" t="s">
        <v>279</v>
      </c>
      <c r="Y629" s="157" t="n">
        <v>950000</v>
      </c>
      <c r="AA629" s="157" t="n">
        <v>950000</v>
      </c>
      <c r="AC629" s="157" t="s">
        <v>6134</v>
      </c>
      <c r="AD629" s="157" t="s">
        <v>6135</v>
      </c>
      <c r="AE629" s="157" t="s">
        <v>6136</v>
      </c>
      <c r="AF629" s="157" t="s">
        <v>6137</v>
      </c>
      <c r="AI629" s="157" t="e">
        <f aca="false">IF(AND($E629=Subj_OccCode,Subj_BldgSF&gt;0,ABS($L629-Subj_BldgSF)&lt;=Subj_BldgSF*Subj_SizeTol),ABS($L629-Subj_BldgSF),NA())</f>
        <v>#N/A</v>
      </c>
      <c r="AJ629" s="1" t="e">
        <f aca="false">IF(ISNA(AI629),NA(),AI629+ROW()/10000000)</f>
        <v>#N/A</v>
      </c>
      <c r="AK629" s="157" t="str">
        <f aca="false">IF(AND(ISNUMBER($N629),$N629&gt;0,ISNUMBER($Y629)),$Y629/$N629,"")</f>
        <v/>
      </c>
    </row>
    <row r="630" customFormat="false" ht="15" hidden="false" customHeight="true" outlineLevel="0" collapsed="false">
      <c r="A630" s="438" t="n">
        <v>8</v>
      </c>
      <c r="B630" s="157" t="n">
        <v>626</v>
      </c>
      <c r="C630" s="157" t="s">
        <v>6138</v>
      </c>
      <c r="D630" s="157" t="s">
        <v>6139</v>
      </c>
      <c r="E630" s="157" t="n">
        <v>425</v>
      </c>
      <c r="G630" s="157" t="s">
        <v>2691</v>
      </c>
      <c r="H630" s="78" t="n">
        <f aca="false">Y630/J630</f>
        <v>179.790623577606</v>
      </c>
      <c r="I630" s="439" t="n">
        <v>44153</v>
      </c>
      <c r="J630" s="157" t="n">
        <v>2197</v>
      </c>
      <c r="L630" s="157" t="n">
        <v>2197</v>
      </c>
      <c r="M630" s="157" t="n">
        <v>2003</v>
      </c>
      <c r="P630" s="157" t="s">
        <v>2750</v>
      </c>
      <c r="R630" s="174" t="s">
        <v>483</v>
      </c>
      <c r="S630" s="157" t="n">
        <v>4402</v>
      </c>
      <c r="T630" s="440" t="n">
        <f aca="false">S630/J630</f>
        <v>2.00364132908512</v>
      </c>
      <c r="U630" s="157" t="s">
        <v>483</v>
      </c>
      <c r="Y630" s="157" t="n">
        <v>395000</v>
      </c>
      <c r="AA630" s="157" t="n">
        <v>395000</v>
      </c>
      <c r="AC630" s="157" t="s">
        <v>6140</v>
      </c>
      <c r="AD630" s="157" t="s">
        <v>6141</v>
      </c>
      <c r="AE630" s="157" t="s">
        <v>6142</v>
      </c>
      <c r="AF630" s="157" t="s">
        <v>6143</v>
      </c>
      <c r="AI630" s="157" t="e">
        <f aca="false">IF(AND($E630=Subj_OccCode,Subj_BldgSF&gt;0,ABS($L630-Subj_BldgSF)&lt;=Subj_BldgSF*Subj_SizeTol),ABS($L630-Subj_BldgSF),NA())</f>
        <v>#N/A</v>
      </c>
      <c r="AJ630" s="1" t="e">
        <f aca="false">IF(ISNA(AI630),NA(),AI630+ROW()/10000000)</f>
        <v>#N/A</v>
      </c>
      <c r="AK630" s="157" t="str">
        <f aca="false">IF(AND(ISNUMBER($N630),$N630&gt;0,ISNUMBER($Y630)),$Y630/$N630,"")</f>
        <v/>
      </c>
    </row>
    <row r="631" customFormat="false" ht="15" hidden="false" customHeight="true" outlineLevel="0" collapsed="false">
      <c r="A631" s="438" t="n">
        <v>8</v>
      </c>
      <c r="B631" s="157" t="n">
        <v>627</v>
      </c>
      <c r="C631" s="157" t="s">
        <v>6144</v>
      </c>
      <c r="D631" s="157" t="s">
        <v>6145</v>
      </c>
      <c r="E631" s="157" t="n">
        <v>353</v>
      </c>
      <c r="F631" s="157" t="s">
        <v>2921</v>
      </c>
      <c r="G631" s="157" t="s">
        <v>353</v>
      </c>
      <c r="H631" s="78" t="n">
        <f aca="false">Y631/J631</f>
        <v>166.089965397924</v>
      </c>
      <c r="I631" s="439" t="n">
        <v>43441</v>
      </c>
      <c r="J631" s="157" t="n">
        <v>7225</v>
      </c>
      <c r="L631" s="157" t="n">
        <v>7225</v>
      </c>
      <c r="M631" s="157" t="n">
        <v>2007</v>
      </c>
      <c r="R631" s="174" t="s">
        <v>279</v>
      </c>
      <c r="S631" s="157" t="n">
        <v>24968</v>
      </c>
      <c r="T631" s="440" t="n">
        <f aca="false">S631/J631</f>
        <v>3.4557785467128</v>
      </c>
      <c r="U631" s="157" t="s">
        <v>279</v>
      </c>
      <c r="Y631" s="157" t="n">
        <v>1200000</v>
      </c>
      <c r="AA631" s="157" t="n">
        <v>1200000</v>
      </c>
      <c r="AC631" s="157" t="s">
        <v>6146</v>
      </c>
      <c r="AD631" s="157" t="s">
        <v>6147</v>
      </c>
      <c r="AE631" s="157" t="s">
        <v>6148</v>
      </c>
      <c r="AF631" s="157" t="s">
        <v>6149</v>
      </c>
      <c r="AI631" s="157" t="e">
        <f aca="false">IF(AND($E631=Subj_OccCode,Subj_BldgSF&gt;0,ABS($L631-Subj_BldgSF)&lt;=Subj_BldgSF*Subj_SizeTol),ABS($L631-Subj_BldgSF),NA())</f>
        <v>#N/A</v>
      </c>
      <c r="AJ631" s="1" t="e">
        <f aca="false">IF(ISNA(AI631),NA(),AI631+ROW()/10000000)</f>
        <v>#N/A</v>
      </c>
      <c r="AK631" s="157" t="str">
        <f aca="false">IF(AND(ISNUMBER($N631),$N631&gt;0,ISNUMBER($Y631)),$Y631/$N631,"")</f>
        <v/>
      </c>
    </row>
    <row r="632" customFormat="false" ht="15" hidden="false" customHeight="true" outlineLevel="0" collapsed="false">
      <c r="A632" s="438" t="n">
        <v>8</v>
      </c>
      <c r="B632" s="157" t="n">
        <v>628</v>
      </c>
      <c r="C632" s="157" t="s">
        <v>6150</v>
      </c>
      <c r="D632" s="157" t="s">
        <v>6151</v>
      </c>
      <c r="E632" s="157" t="n">
        <v>412</v>
      </c>
      <c r="F632" s="157" t="s">
        <v>260</v>
      </c>
      <c r="G632" s="157" t="s">
        <v>353</v>
      </c>
      <c r="H632" s="78" t="n">
        <f aca="false">Y632/J632</f>
        <v>207.792207792208</v>
      </c>
      <c r="I632" s="439" t="n">
        <v>43103</v>
      </c>
      <c r="J632" s="157" t="n">
        <v>15400</v>
      </c>
      <c r="L632" s="157" t="n">
        <v>15400</v>
      </c>
      <c r="M632" s="157" t="n">
        <v>2004</v>
      </c>
      <c r="R632" s="174" t="s">
        <v>279</v>
      </c>
      <c r="S632" s="157" t="n">
        <v>14512</v>
      </c>
      <c r="T632" s="440" t="n">
        <f aca="false">S632/J632</f>
        <v>0.942337662337662</v>
      </c>
      <c r="U632" s="157" t="s">
        <v>279</v>
      </c>
      <c r="Y632" s="157" t="n">
        <v>3200000</v>
      </c>
      <c r="AA632" s="157" t="n">
        <v>3200000</v>
      </c>
      <c r="AC632" s="157" t="s">
        <v>6152</v>
      </c>
      <c r="AD632" s="157" t="s">
        <v>6153</v>
      </c>
      <c r="AE632" s="157" t="s">
        <v>6154</v>
      </c>
      <c r="AF632" s="157" t="s">
        <v>6155</v>
      </c>
      <c r="AI632" s="157" t="e">
        <f aca="false">IF(AND($E632=Subj_OccCode,Subj_BldgSF&gt;0,ABS($L632-Subj_BldgSF)&lt;=Subj_BldgSF*Subj_SizeTol),ABS($L632-Subj_BldgSF),NA())</f>
        <v>#N/A</v>
      </c>
      <c r="AJ632" s="1" t="e">
        <f aca="false">IF(ISNA(AI632),NA(),AI632+ROW()/10000000)</f>
        <v>#N/A</v>
      </c>
      <c r="AK632" s="157" t="str">
        <f aca="false">IF(AND(ISNUMBER($N632),$N632&gt;0,ISNUMBER($Y632)),$Y632/$N632,"")</f>
        <v/>
      </c>
    </row>
    <row r="633" customFormat="false" ht="15" hidden="false" customHeight="true" outlineLevel="0" collapsed="false">
      <c r="A633" s="438" t="n">
        <v>8</v>
      </c>
      <c r="B633" s="157" t="n">
        <v>629</v>
      </c>
      <c r="C633" s="157" t="s">
        <v>6156</v>
      </c>
      <c r="D633" s="157" t="s">
        <v>6157</v>
      </c>
      <c r="E633" s="157" t="n">
        <v>434</v>
      </c>
      <c r="F633" s="157" t="s">
        <v>2677</v>
      </c>
      <c r="G633" s="157" t="s">
        <v>2691</v>
      </c>
      <c r="H633" s="78" t="n">
        <f aca="false">Y633/J633</f>
        <v>252.659574468085</v>
      </c>
      <c r="I633" s="439" t="n">
        <v>43767</v>
      </c>
      <c r="J633" s="157" t="n">
        <v>3760</v>
      </c>
      <c r="L633" s="157" t="n">
        <v>3760</v>
      </c>
      <c r="M633" s="157" t="n">
        <v>2009</v>
      </c>
      <c r="P633" s="157" t="s">
        <v>3307</v>
      </c>
      <c r="R633" s="174" t="s">
        <v>279</v>
      </c>
      <c r="S633" s="157" t="n">
        <v>55756.8</v>
      </c>
      <c r="T633" s="440" t="n">
        <f aca="false">S633/J633</f>
        <v>14.8289361702128</v>
      </c>
      <c r="U633" s="157" t="s">
        <v>279</v>
      </c>
      <c r="Y633" s="157" t="n">
        <v>950000</v>
      </c>
      <c r="AA633" s="157" t="n">
        <v>950000</v>
      </c>
      <c r="AC633" s="157" t="s">
        <v>6158</v>
      </c>
      <c r="AD633" s="157" t="s">
        <v>6159</v>
      </c>
      <c r="AE633" s="157" t="s">
        <v>6160</v>
      </c>
      <c r="AF633" s="157" t="s">
        <v>6161</v>
      </c>
      <c r="AI633" s="157" t="e">
        <f aca="false">IF(AND($E633=Subj_OccCode,Subj_BldgSF&gt;0,ABS($L633-Subj_BldgSF)&lt;=Subj_BldgSF*Subj_SizeTol),ABS($L633-Subj_BldgSF),NA())</f>
        <v>#N/A</v>
      </c>
      <c r="AJ633" s="1" t="e">
        <f aca="false">IF(ISNA(AI633),NA(),AI633+ROW()/10000000)</f>
        <v>#N/A</v>
      </c>
      <c r="AK633" s="157" t="str">
        <f aca="false">IF(AND(ISNUMBER($N633),$N633&gt;0,ISNUMBER($Y633)),$Y633/$N633,"")</f>
        <v/>
      </c>
    </row>
    <row r="634" customFormat="false" ht="15" hidden="false" customHeight="true" outlineLevel="0" collapsed="false">
      <c r="A634" s="438" t="n">
        <v>8</v>
      </c>
      <c r="B634" s="157" t="n">
        <v>630</v>
      </c>
      <c r="C634" s="157" t="s">
        <v>6162</v>
      </c>
      <c r="D634" s="157" t="s">
        <v>6163</v>
      </c>
      <c r="E634" s="157" t="n">
        <v>353</v>
      </c>
      <c r="F634" s="157" t="s">
        <v>2921</v>
      </c>
      <c r="G634" s="157" t="s">
        <v>2691</v>
      </c>
      <c r="H634" s="78" t="n">
        <f aca="false">Y634/J634</f>
        <v>833.333333333333</v>
      </c>
      <c r="I634" s="439" t="n">
        <v>43801</v>
      </c>
      <c r="J634" s="157" t="n">
        <v>360</v>
      </c>
      <c r="L634" s="157" t="n">
        <v>360</v>
      </c>
      <c r="M634" s="157" t="n">
        <v>1967</v>
      </c>
      <c r="P634" s="157" t="s">
        <v>3388</v>
      </c>
      <c r="R634" s="174" t="s">
        <v>279</v>
      </c>
      <c r="S634" s="157" t="n">
        <v>13869</v>
      </c>
      <c r="T634" s="440" t="n">
        <f aca="false">S634/J634</f>
        <v>38.525</v>
      </c>
      <c r="U634" s="157" t="s">
        <v>279</v>
      </c>
      <c r="Y634" s="157" t="n">
        <v>300000</v>
      </c>
      <c r="AA634" s="157" t="n">
        <v>300000</v>
      </c>
      <c r="AC634" s="157" t="s">
        <v>6164</v>
      </c>
      <c r="AD634" s="157" t="s">
        <v>6165</v>
      </c>
      <c r="AE634" s="157" t="s">
        <v>6166</v>
      </c>
      <c r="AF634" s="157" t="s">
        <v>6167</v>
      </c>
      <c r="AI634" s="157" t="e">
        <f aca="false">IF(AND($E634=Subj_OccCode,Subj_BldgSF&gt;0,ABS($L634-Subj_BldgSF)&lt;=Subj_BldgSF*Subj_SizeTol),ABS($L634-Subj_BldgSF),NA())</f>
        <v>#N/A</v>
      </c>
      <c r="AJ634" s="1" t="e">
        <f aca="false">IF(ISNA(AI634),NA(),AI634+ROW()/10000000)</f>
        <v>#N/A</v>
      </c>
      <c r="AK634" s="157" t="str">
        <f aca="false">IF(AND(ISNUMBER($N634),$N634&gt;0,ISNUMBER($Y634)),$Y634/$N634,"")</f>
        <v/>
      </c>
    </row>
    <row r="635" customFormat="false" ht="15" hidden="false" customHeight="true" outlineLevel="0" collapsed="false">
      <c r="A635" s="438" t="n">
        <v>8</v>
      </c>
      <c r="B635" s="157" t="n">
        <v>631</v>
      </c>
      <c r="C635" s="157" t="s">
        <v>6168</v>
      </c>
      <c r="D635" s="157" t="s">
        <v>6169</v>
      </c>
      <c r="E635" s="157" t="n">
        <v>325</v>
      </c>
      <c r="F635" s="157" t="s">
        <v>2921</v>
      </c>
      <c r="G635" s="157" t="s">
        <v>2691</v>
      </c>
      <c r="H635" s="78" t="n">
        <f aca="false">Y635/J635</f>
        <v>174.074074074074</v>
      </c>
      <c r="I635" s="439" t="n">
        <v>44273</v>
      </c>
      <c r="J635" s="157" t="n">
        <v>4320</v>
      </c>
      <c r="L635" s="157" t="n">
        <v>4320</v>
      </c>
      <c r="M635" s="157" t="n">
        <v>1970</v>
      </c>
      <c r="P635" s="157" t="s">
        <v>3022</v>
      </c>
      <c r="R635" s="174" t="s">
        <v>279</v>
      </c>
      <c r="S635" s="157" t="n">
        <v>12075</v>
      </c>
      <c r="T635" s="440" t="n">
        <f aca="false">S635/J635</f>
        <v>2.79513888888889</v>
      </c>
      <c r="U635" s="157" t="s">
        <v>279</v>
      </c>
      <c r="Y635" s="157" t="n">
        <v>752000</v>
      </c>
      <c r="AA635" s="157" t="n">
        <v>752000</v>
      </c>
      <c r="AC635" s="157" t="s">
        <v>6170</v>
      </c>
      <c r="AD635" s="157" t="s">
        <v>6171</v>
      </c>
      <c r="AE635" s="157" t="s">
        <v>6172</v>
      </c>
      <c r="AF635" s="157" t="s">
        <v>6173</v>
      </c>
      <c r="AI635" s="157" t="e">
        <f aca="false">IF(AND($E635=Subj_OccCode,Subj_BldgSF&gt;0,ABS($L635-Subj_BldgSF)&lt;=Subj_BldgSF*Subj_SizeTol),ABS($L635-Subj_BldgSF),NA())</f>
        <v>#N/A</v>
      </c>
      <c r="AJ635" s="1" t="e">
        <f aca="false">IF(ISNA(AI635),NA(),AI635+ROW()/10000000)</f>
        <v>#N/A</v>
      </c>
      <c r="AK635" s="157" t="str">
        <f aca="false">IF(AND(ISNUMBER($N635),$N635&gt;0,ISNUMBER($Y635)),$Y635/$N635,"")</f>
        <v/>
      </c>
    </row>
    <row r="636" customFormat="false" ht="15" hidden="false" customHeight="true" outlineLevel="0" collapsed="false">
      <c r="A636" s="438" t="n">
        <v>8</v>
      </c>
      <c r="B636" s="157" t="n">
        <v>632</v>
      </c>
      <c r="C636" s="157" t="s">
        <v>6174</v>
      </c>
      <c r="D636" s="157" t="s">
        <v>6175</v>
      </c>
      <c r="E636" s="157" t="n">
        <v>353</v>
      </c>
      <c r="F636" s="157" t="s">
        <v>2581</v>
      </c>
      <c r="G636" s="157" t="s">
        <v>2567</v>
      </c>
      <c r="H636" s="78" t="n">
        <f aca="false">Y636/J636</f>
        <v>227.405247813411</v>
      </c>
      <c r="I636" s="439" t="n">
        <v>43112</v>
      </c>
      <c r="J636" s="157" t="n">
        <v>5145</v>
      </c>
      <c r="L636" s="157" t="n">
        <v>5145</v>
      </c>
      <c r="M636" s="157" t="n">
        <v>1962</v>
      </c>
      <c r="P636" s="157" t="s">
        <v>4407</v>
      </c>
      <c r="R636" s="174" t="s">
        <v>279</v>
      </c>
      <c r="S636" s="157" t="n">
        <v>14761</v>
      </c>
      <c r="T636" s="440" t="n">
        <f aca="false">S636/J636</f>
        <v>2.8689990281827</v>
      </c>
      <c r="U636" s="157" t="s">
        <v>279</v>
      </c>
      <c r="Y636" s="157" t="n">
        <v>1170000</v>
      </c>
      <c r="AA636" s="157" t="n">
        <v>1170000</v>
      </c>
      <c r="AC636" s="157" t="s">
        <v>6176</v>
      </c>
      <c r="AD636" s="157" t="s">
        <v>6177</v>
      </c>
      <c r="AE636" s="157" t="s">
        <v>6178</v>
      </c>
      <c r="AF636" s="157" t="s">
        <v>6179</v>
      </c>
      <c r="AI636" s="157" t="e">
        <f aca="false">IF(AND($E636=Subj_OccCode,Subj_BldgSF&gt;0,ABS($L636-Subj_BldgSF)&lt;=Subj_BldgSF*Subj_SizeTol),ABS($L636-Subj_BldgSF),NA())</f>
        <v>#N/A</v>
      </c>
      <c r="AJ636" s="1" t="e">
        <f aca="false">IF(ISNA(AI636),NA(),AI636+ROW()/10000000)</f>
        <v>#N/A</v>
      </c>
      <c r="AK636" s="157" t="str">
        <f aca="false">IF(AND(ISNUMBER($N636),$N636&gt;0,ISNUMBER($Y636)),$Y636/$N636,"")</f>
        <v/>
      </c>
    </row>
    <row r="637" customFormat="false" ht="15" hidden="false" customHeight="true" outlineLevel="0" collapsed="false">
      <c r="A637" s="438" t="n">
        <v>8</v>
      </c>
      <c r="B637" s="157" t="n">
        <v>633</v>
      </c>
      <c r="C637" s="157" t="s">
        <v>6180</v>
      </c>
      <c r="D637" s="157" t="s">
        <v>6181</v>
      </c>
      <c r="E637" s="157" t="n">
        <v>325</v>
      </c>
      <c r="G637" s="157" t="s">
        <v>2567</v>
      </c>
      <c r="H637" s="78" t="n">
        <f aca="false">Y637/J637</f>
        <v>215.51724137931</v>
      </c>
      <c r="I637" s="439" t="n">
        <v>44685</v>
      </c>
      <c r="J637" s="157" t="n">
        <v>2204</v>
      </c>
      <c r="L637" s="157" t="n">
        <v>2204</v>
      </c>
      <c r="M637" s="157" t="n">
        <v>1967</v>
      </c>
      <c r="P637" s="157" t="s">
        <v>2706</v>
      </c>
      <c r="R637" s="174" t="s">
        <v>279</v>
      </c>
      <c r="S637" s="157" t="n">
        <v>14941.0801</v>
      </c>
      <c r="T637" s="440" t="n">
        <f aca="false">S637/J637</f>
        <v>6.77907445553539</v>
      </c>
      <c r="U637" s="157" t="s">
        <v>279</v>
      </c>
      <c r="Y637" s="157" t="n">
        <v>475000</v>
      </c>
      <c r="AA637" s="157" t="n">
        <v>475000</v>
      </c>
      <c r="AC637" s="157" t="s">
        <v>6182</v>
      </c>
      <c r="AD637" s="157" t="s">
        <v>6183</v>
      </c>
      <c r="AE637" s="157" t="s">
        <v>6184</v>
      </c>
      <c r="AF637" s="157" t="s">
        <v>6185</v>
      </c>
      <c r="AI637" s="157" t="e">
        <f aca="false">IF(AND($E637=Subj_OccCode,Subj_BldgSF&gt;0,ABS($L637-Subj_BldgSF)&lt;=Subj_BldgSF*Subj_SizeTol),ABS($L637-Subj_BldgSF),NA())</f>
        <v>#N/A</v>
      </c>
      <c r="AJ637" s="1" t="e">
        <f aca="false">IF(ISNA(AI637),NA(),AI637+ROW()/10000000)</f>
        <v>#N/A</v>
      </c>
      <c r="AK637" s="157" t="str">
        <f aca="false">IF(AND(ISNUMBER($N637),$N637&gt;0,ISNUMBER($Y637)),$Y637/$N637,"")</f>
        <v/>
      </c>
    </row>
    <row r="638" customFormat="false" ht="15" hidden="false" customHeight="true" outlineLevel="0" collapsed="false">
      <c r="A638" s="438" t="n">
        <v>8</v>
      </c>
      <c r="B638" s="157" t="n">
        <v>634</v>
      </c>
      <c r="C638" s="157" t="s">
        <v>6186</v>
      </c>
      <c r="D638" s="157" t="s">
        <v>6187</v>
      </c>
      <c r="E638" s="157" t="n">
        <v>407</v>
      </c>
      <c r="G638" s="157" t="s">
        <v>2691</v>
      </c>
      <c r="H638" s="78" t="n">
        <f aca="false">Y638/J638</f>
        <v>235.377358490566</v>
      </c>
      <c r="I638" s="439" t="n">
        <v>44427</v>
      </c>
      <c r="J638" s="157" t="n">
        <v>10600</v>
      </c>
      <c r="L638" s="157" t="n">
        <v>10600</v>
      </c>
      <c r="M638" s="157" t="n">
        <v>2005</v>
      </c>
      <c r="P638" s="157" t="s">
        <v>4523</v>
      </c>
      <c r="R638" s="174" t="s">
        <v>279</v>
      </c>
      <c r="S638" s="157" t="n">
        <v>68389.2</v>
      </c>
      <c r="T638" s="440" t="n">
        <f aca="false">S638/J638</f>
        <v>6.45181132075472</v>
      </c>
      <c r="U638" s="157" t="s">
        <v>279</v>
      </c>
      <c r="Y638" s="157" t="n">
        <v>2495000</v>
      </c>
      <c r="AA638" s="157" t="n">
        <v>2495000</v>
      </c>
      <c r="AC638" s="157" t="s">
        <v>6188</v>
      </c>
      <c r="AD638" s="157" t="s">
        <v>6189</v>
      </c>
      <c r="AE638" s="157" t="s">
        <v>6190</v>
      </c>
      <c r="AF638" s="157" t="s">
        <v>6191</v>
      </c>
      <c r="AI638" s="157" t="e">
        <f aca="false">IF(AND($E638=Subj_OccCode,Subj_BldgSF&gt;0,ABS($L638-Subj_BldgSF)&lt;=Subj_BldgSF*Subj_SizeTol),ABS($L638-Subj_BldgSF),NA())</f>
        <v>#N/A</v>
      </c>
      <c r="AJ638" s="1" t="e">
        <f aca="false">IF(ISNA(AI638),NA(),AI638+ROW()/10000000)</f>
        <v>#N/A</v>
      </c>
      <c r="AK638" s="157" t="str">
        <f aca="false">IF(AND(ISNUMBER($N638),$N638&gt;0,ISNUMBER($Y638)),$Y638/$N638,"")</f>
        <v/>
      </c>
    </row>
    <row r="639" customFormat="false" ht="15" hidden="false" customHeight="true" outlineLevel="0" collapsed="false">
      <c r="A639" s="438" t="n">
        <v>8</v>
      </c>
      <c r="B639" s="157" t="n">
        <v>635</v>
      </c>
      <c r="C639" s="157" t="s">
        <v>6192</v>
      </c>
      <c r="D639" s="157" t="s">
        <v>6193</v>
      </c>
      <c r="E639" s="157" t="n">
        <v>425</v>
      </c>
      <c r="F639" s="157" t="s">
        <v>2595</v>
      </c>
      <c r="G639" s="157" t="s">
        <v>2596</v>
      </c>
      <c r="H639" s="78" t="n">
        <f aca="false">Y639/J639</f>
        <v>162.666666666667</v>
      </c>
      <c r="I639" s="439" t="n">
        <v>44459</v>
      </c>
      <c r="J639" s="157" t="n">
        <v>1500</v>
      </c>
      <c r="L639" s="157" t="n">
        <v>1500</v>
      </c>
      <c r="M639" s="157" t="n">
        <v>1984</v>
      </c>
      <c r="P639" s="157" t="s">
        <v>2713</v>
      </c>
      <c r="R639" s="174" t="s">
        <v>483</v>
      </c>
      <c r="S639" s="157" t="n">
        <v>5227</v>
      </c>
      <c r="T639" s="440" t="n">
        <f aca="false">S639/J639</f>
        <v>3.48466666666667</v>
      </c>
      <c r="U639" s="157" t="s">
        <v>279</v>
      </c>
      <c r="Y639" s="157" t="n">
        <v>244000</v>
      </c>
      <c r="AA639" s="157" t="n">
        <v>244000</v>
      </c>
      <c r="AC639" s="157" t="s">
        <v>6194</v>
      </c>
      <c r="AD639" s="157" t="s">
        <v>6195</v>
      </c>
      <c r="AE639" s="157" t="s">
        <v>6196</v>
      </c>
      <c r="AF639" s="157" t="s">
        <v>4879</v>
      </c>
      <c r="AI639" s="157" t="e">
        <f aca="false">IF(AND($E639=Subj_OccCode,Subj_BldgSF&gt;0,ABS($L639-Subj_BldgSF)&lt;=Subj_BldgSF*Subj_SizeTol),ABS($L639-Subj_BldgSF),NA())</f>
        <v>#N/A</v>
      </c>
      <c r="AJ639" s="1" t="e">
        <f aca="false">IF(ISNA(AI639),NA(),AI639+ROW()/10000000)</f>
        <v>#N/A</v>
      </c>
      <c r="AK639" s="157" t="str">
        <f aca="false">IF(AND(ISNUMBER($N639),$N639&gt;0,ISNUMBER($Y639)),$Y639/$N639,"")</f>
        <v/>
      </c>
    </row>
    <row r="640" customFormat="false" ht="15" hidden="false" customHeight="true" outlineLevel="0" collapsed="false">
      <c r="A640" s="438" t="n">
        <v>8</v>
      </c>
      <c r="B640" s="157" t="n">
        <v>636</v>
      </c>
      <c r="C640" s="157" t="s">
        <v>6197</v>
      </c>
      <c r="D640" s="157" t="s">
        <v>6198</v>
      </c>
      <c r="E640" s="157" t="n">
        <v>407</v>
      </c>
      <c r="F640" s="157" t="s">
        <v>2921</v>
      </c>
      <c r="G640" s="157" t="s">
        <v>2691</v>
      </c>
      <c r="H640" s="78" t="n">
        <f aca="false">Y640/J640</f>
        <v>176.206278817069</v>
      </c>
      <c r="I640" s="439" t="n">
        <v>44222</v>
      </c>
      <c r="J640" s="157" t="n">
        <v>34051</v>
      </c>
      <c r="L640" s="157" t="n">
        <v>34051</v>
      </c>
      <c r="M640" s="157" t="n">
        <v>2003</v>
      </c>
      <c r="P640" s="157" t="s">
        <v>4047</v>
      </c>
      <c r="R640" s="174" t="s">
        <v>279</v>
      </c>
      <c r="S640" s="157" t="n">
        <v>217800</v>
      </c>
      <c r="T640" s="440" t="n">
        <f aca="false">S640/J640</f>
        <v>6.39628792105959</v>
      </c>
      <c r="U640" s="157" t="s">
        <v>279</v>
      </c>
      <c r="Y640" s="157" t="n">
        <v>6000000</v>
      </c>
      <c r="AA640" s="157" t="n">
        <v>6000000</v>
      </c>
      <c r="AC640" s="157" t="s">
        <v>6199</v>
      </c>
      <c r="AD640" s="157" t="s">
        <v>6200</v>
      </c>
      <c r="AE640" s="157" t="s">
        <v>6201</v>
      </c>
      <c r="AF640" s="157" t="s">
        <v>6202</v>
      </c>
      <c r="AI640" s="157" t="e">
        <f aca="false">IF(AND($E640=Subj_OccCode,Subj_BldgSF&gt;0,ABS($L640-Subj_BldgSF)&lt;=Subj_BldgSF*Subj_SizeTol),ABS($L640-Subj_BldgSF),NA())</f>
        <v>#N/A</v>
      </c>
      <c r="AJ640" s="1" t="e">
        <f aca="false">IF(ISNA(AI640),NA(),AI640+ROW()/10000000)</f>
        <v>#N/A</v>
      </c>
      <c r="AK640" s="157" t="str">
        <f aca="false">IF(AND(ISNUMBER($N640),$N640&gt;0,ISNUMBER($Y640)),$Y640/$N640,"")</f>
        <v/>
      </c>
    </row>
    <row r="641" customFormat="false" ht="15" hidden="false" customHeight="true" outlineLevel="0" collapsed="false">
      <c r="A641" s="438" t="n">
        <v>8</v>
      </c>
      <c r="B641" s="157" t="n">
        <v>637</v>
      </c>
      <c r="C641" s="157" t="s">
        <v>6203</v>
      </c>
      <c r="D641" s="157" t="s">
        <v>6204</v>
      </c>
      <c r="E641" s="157" t="n">
        <v>353</v>
      </c>
      <c r="F641" s="157" t="s">
        <v>2566</v>
      </c>
      <c r="G641" s="157" t="s">
        <v>2567</v>
      </c>
      <c r="H641" s="78" t="n">
        <f aca="false">Y641/J641</f>
        <v>257.714285714286</v>
      </c>
      <c r="I641" s="439" t="n">
        <v>44651</v>
      </c>
      <c r="J641" s="157" t="n">
        <v>7000</v>
      </c>
      <c r="L641" s="157" t="n">
        <v>7000</v>
      </c>
      <c r="M641" s="157" t="n">
        <v>1995</v>
      </c>
      <c r="P641" s="157" t="s">
        <v>3300</v>
      </c>
      <c r="R641" s="174" t="s">
        <v>279</v>
      </c>
      <c r="S641" s="157" t="n">
        <v>41427</v>
      </c>
      <c r="T641" s="440" t="n">
        <f aca="false">S641/J641</f>
        <v>5.91814285714286</v>
      </c>
      <c r="U641" s="157" t="s">
        <v>279</v>
      </c>
      <c r="Y641" s="157" t="n">
        <v>1804000</v>
      </c>
      <c r="AA641" s="157" t="n">
        <v>1804000</v>
      </c>
      <c r="AC641" s="157" t="s">
        <v>6205</v>
      </c>
      <c r="AD641" s="157" t="s">
        <v>6206</v>
      </c>
      <c r="AE641" s="157" t="s">
        <v>6207</v>
      </c>
      <c r="AF641" s="157" t="s">
        <v>6208</v>
      </c>
      <c r="AI641" s="157" t="e">
        <f aca="false">IF(AND($E641=Subj_OccCode,Subj_BldgSF&gt;0,ABS($L641-Subj_BldgSF)&lt;=Subj_BldgSF*Subj_SizeTol),ABS($L641-Subj_BldgSF),NA())</f>
        <v>#N/A</v>
      </c>
      <c r="AJ641" s="1" t="e">
        <f aca="false">IF(ISNA(AI641),NA(),AI641+ROW()/10000000)</f>
        <v>#N/A</v>
      </c>
      <c r="AK641" s="157" t="str">
        <f aca="false">IF(AND(ISNUMBER($N641),$N641&gt;0,ISNUMBER($Y641)),$Y641/$N641,"")</f>
        <v/>
      </c>
    </row>
    <row r="642" customFormat="false" ht="15" hidden="false" customHeight="true" outlineLevel="0" collapsed="false">
      <c r="A642" s="438" t="n">
        <v>8</v>
      </c>
      <c r="B642" s="157" t="n">
        <v>638</v>
      </c>
      <c r="C642" s="157" t="s">
        <v>6209</v>
      </c>
      <c r="D642" s="157" t="s">
        <v>6210</v>
      </c>
      <c r="E642" s="157" t="n">
        <v>407</v>
      </c>
      <c r="F642" s="157" t="s">
        <v>2595</v>
      </c>
      <c r="G642" s="157" t="s">
        <v>2596</v>
      </c>
      <c r="H642" s="78" t="n">
        <f aca="false">Y642/J642</f>
        <v>139.186295503212</v>
      </c>
      <c r="I642" s="439" t="n">
        <v>43522</v>
      </c>
      <c r="J642" s="157" t="n">
        <v>18680</v>
      </c>
      <c r="L642" s="157" t="n">
        <v>18680</v>
      </c>
      <c r="M642" s="157" t="n">
        <v>2005</v>
      </c>
      <c r="R642" s="174" t="s">
        <v>279</v>
      </c>
      <c r="S642" s="157" t="n">
        <v>73617</v>
      </c>
      <c r="T642" s="440" t="n">
        <f aca="false">S642/J642</f>
        <v>3.94095289079229</v>
      </c>
      <c r="U642" s="157" t="s">
        <v>279</v>
      </c>
      <c r="Y642" s="157" t="n">
        <v>2600000</v>
      </c>
      <c r="AA642" s="157" t="n">
        <v>2600000</v>
      </c>
      <c r="AC642" s="157" t="s">
        <v>6211</v>
      </c>
      <c r="AD642" s="157" t="s">
        <v>6212</v>
      </c>
      <c r="AE642" s="157" t="s">
        <v>6213</v>
      </c>
      <c r="AF642" s="157" t="s">
        <v>6214</v>
      </c>
      <c r="AI642" s="157" t="e">
        <f aca="false">IF(AND($E642=Subj_OccCode,Subj_BldgSF&gt;0,ABS($L642-Subj_BldgSF)&lt;=Subj_BldgSF*Subj_SizeTol),ABS($L642-Subj_BldgSF),NA())</f>
        <v>#N/A</v>
      </c>
      <c r="AJ642" s="1" t="e">
        <f aca="false">IF(ISNA(AI642),NA(),AI642+ROW()/10000000)</f>
        <v>#N/A</v>
      </c>
      <c r="AK642" s="157" t="str">
        <f aca="false">IF(AND(ISNUMBER($N642),$N642&gt;0,ISNUMBER($Y642)),$Y642/$N642,"")</f>
        <v/>
      </c>
    </row>
    <row r="643" customFormat="false" ht="15" hidden="false" customHeight="true" outlineLevel="0" collapsed="false">
      <c r="A643" s="438" t="n">
        <v>8</v>
      </c>
      <c r="B643" s="157" t="n">
        <v>639</v>
      </c>
      <c r="C643" s="157" t="s">
        <v>6215</v>
      </c>
      <c r="D643" s="157" t="s">
        <v>6216</v>
      </c>
      <c r="E643" s="157" t="n">
        <v>328</v>
      </c>
      <c r="G643" s="157" t="s">
        <v>352</v>
      </c>
      <c r="H643" s="78" t="n">
        <f aca="false">Y643/J643</f>
        <v>108.888888888889</v>
      </c>
      <c r="I643" s="439" t="n">
        <v>44669</v>
      </c>
      <c r="J643" s="157" t="n">
        <v>4500</v>
      </c>
      <c r="L643" s="157" t="n">
        <v>4500</v>
      </c>
      <c r="M643" s="157" t="n">
        <v>2006</v>
      </c>
      <c r="R643" s="174" t="s">
        <v>279</v>
      </c>
      <c r="T643" s="440" t="n">
        <f aca="false">S643/J643</f>
        <v>0</v>
      </c>
      <c r="U643" s="157" t="s">
        <v>279</v>
      </c>
      <c r="Y643" s="157" t="n">
        <v>490000</v>
      </c>
      <c r="AA643" s="157" t="n">
        <v>490000</v>
      </c>
      <c r="AC643" s="157" t="s">
        <v>6217</v>
      </c>
      <c r="AD643" s="157" t="s">
        <v>6218</v>
      </c>
      <c r="AE643" s="157" t="s">
        <v>3316</v>
      </c>
      <c r="AF643" s="157" t="s">
        <v>6219</v>
      </c>
      <c r="AI643" s="157" t="e">
        <f aca="false">IF(AND($E643=Subj_OccCode,Subj_BldgSF&gt;0,ABS($L643-Subj_BldgSF)&lt;=Subj_BldgSF*Subj_SizeTol),ABS($L643-Subj_BldgSF),NA())</f>
        <v>#N/A</v>
      </c>
      <c r="AJ643" s="1" t="e">
        <f aca="false">IF(ISNA(AI643),NA(),AI643+ROW()/10000000)</f>
        <v>#N/A</v>
      </c>
      <c r="AK643" s="157" t="str">
        <f aca="false">IF(AND(ISNUMBER($N643),$N643&gt;0,ISNUMBER($Y643)),$Y643/$N643,"")</f>
        <v/>
      </c>
    </row>
    <row r="644" customFormat="false" ht="15" hidden="false" customHeight="true" outlineLevel="0" collapsed="false">
      <c r="A644" s="438" t="n">
        <v>8</v>
      </c>
      <c r="B644" s="157" t="n">
        <v>640</v>
      </c>
      <c r="C644" s="157" t="s">
        <v>2158</v>
      </c>
      <c r="D644" s="157" t="s">
        <v>6220</v>
      </c>
      <c r="E644" s="157" t="n">
        <v>407</v>
      </c>
      <c r="F644" s="157" t="s">
        <v>2595</v>
      </c>
      <c r="G644" s="157" t="s">
        <v>352</v>
      </c>
      <c r="H644" s="78" t="n">
        <f aca="false">Y644/J644</f>
        <v>153.011885963302</v>
      </c>
      <c r="I644" s="439" t="n">
        <v>44357</v>
      </c>
      <c r="J644" s="157" t="n">
        <v>163386</v>
      </c>
      <c r="L644" s="157" t="n">
        <v>163386</v>
      </c>
      <c r="M644" s="157" t="n">
        <v>2019</v>
      </c>
      <c r="P644" s="157" t="s">
        <v>6221</v>
      </c>
      <c r="R644" s="174" t="s">
        <v>279</v>
      </c>
      <c r="S644" s="157" t="n">
        <v>436488.624</v>
      </c>
      <c r="T644" s="440" t="n">
        <f aca="false">S644/J644</f>
        <v>2.67151790239066</v>
      </c>
      <c r="U644" s="157" t="s">
        <v>279</v>
      </c>
      <c r="Y644" s="157" t="n">
        <v>25000000</v>
      </c>
      <c r="AA644" s="157" t="n">
        <v>25000000</v>
      </c>
      <c r="AC644" s="157" t="s">
        <v>6222</v>
      </c>
      <c r="AD644" s="157" t="s">
        <v>6223</v>
      </c>
      <c r="AE644" s="157" t="s">
        <v>6224</v>
      </c>
      <c r="AF644" s="157" t="s">
        <v>6225</v>
      </c>
      <c r="AI644" s="157" t="e">
        <f aca="false">IF(AND($E644=Subj_OccCode,Subj_BldgSF&gt;0,ABS($L644-Subj_BldgSF)&lt;=Subj_BldgSF*Subj_SizeTol),ABS($L644-Subj_BldgSF),NA())</f>
        <v>#N/A</v>
      </c>
      <c r="AJ644" s="1" t="e">
        <f aca="false">IF(ISNA(AI644),NA(),AI644+ROW()/10000000)</f>
        <v>#N/A</v>
      </c>
      <c r="AK644" s="157" t="str">
        <f aca="false">IF(AND(ISNUMBER($N644),$N644&gt;0,ISNUMBER($Y644)),$Y644/$N644,"")</f>
        <v/>
      </c>
    </row>
    <row r="645" customFormat="false" ht="15" hidden="false" customHeight="true" outlineLevel="0" collapsed="false">
      <c r="A645" s="438" t="n">
        <v>8</v>
      </c>
      <c r="B645" s="157" t="n">
        <v>641</v>
      </c>
      <c r="C645" s="157" t="s">
        <v>6226</v>
      </c>
      <c r="D645" s="157" t="s">
        <v>6227</v>
      </c>
      <c r="E645" s="157" t="n">
        <v>1344</v>
      </c>
      <c r="F645" s="157" t="s">
        <v>2581</v>
      </c>
      <c r="G645" s="157" t="s">
        <v>2567</v>
      </c>
      <c r="H645" s="78" t="n">
        <f aca="false">Y645/J645</f>
        <v>132.275132275132</v>
      </c>
      <c r="I645" s="439" t="n">
        <v>44452</v>
      </c>
      <c r="J645" s="157" t="n">
        <v>3780</v>
      </c>
      <c r="L645" s="157" t="n">
        <v>3780</v>
      </c>
      <c r="M645" s="157" t="n">
        <v>1982</v>
      </c>
      <c r="P645" s="157" t="s">
        <v>2990</v>
      </c>
      <c r="R645" s="174" t="s">
        <v>279</v>
      </c>
      <c r="T645" s="440" t="n">
        <f aca="false">S645/J645</f>
        <v>0</v>
      </c>
      <c r="U645" s="157" t="s">
        <v>279</v>
      </c>
      <c r="Y645" s="157" t="n">
        <v>500000</v>
      </c>
      <c r="AA645" s="157" t="n">
        <v>500000</v>
      </c>
      <c r="AC645" s="157" t="s">
        <v>6228</v>
      </c>
      <c r="AD645" s="157" t="s">
        <v>6229</v>
      </c>
      <c r="AE645" s="157" t="s">
        <v>6230</v>
      </c>
      <c r="AF645" s="157" t="s">
        <v>6231</v>
      </c>
      <c r="AI645" s="157" t="e">
        <f aca="false">IF(AND($E645=Subj_OccCode,Subj_BldgSF&gt;0,ABS($L645-Subj_BldgSF)&lt;=Subj_BldgSF*Subj_SizeTol),ABS($L645-Subj_BldgSF),NA())</f>
        <v>#N/A</v>
      </c>
      <c r="AJ645" s="1" t="e">
        <f aca="false">IF(ISNA(AI645),NA(),AI645+ROW()/10000000)</f>
        <v>#N/A</v>
      </c>
      <c r="AK645" s="157" t="str">
        <f aca="false">IF(AND(ISNUMBER($N645),$N645&gt;0,ISNUMBER($Y645)),$Y645/$N645,"")</f>
        <v/>
      </c>
    </row>
    <row r="646" customFormat="false" ht="15" hidden="false" customHeight="true" outlineLevel="0" collapsed="false">
      <c r="A646" s="438" t="n">
        <v>8</v>
      </c>
      <c r="B646" s="157" t="n">
        <v>642</v>
      </c>
      <c r="C646" s="157" t="s">
        <v>6232</v>
      </c>
      <c r="D646" s="157" t="s">
        <v>6233</v>
      </c>
      <c r="E646" s="157" t="n">
        <v>407</v>
      </c>
      <c r="F646" s="157" t="s">
        <v>2921</v>
      </c>
      <c r="G646" s="157" t="s">
        <v>2691</v>
      </c>
      <c r="H646" s="78" t="n">
        <f aca="false">Y646/J646</f>
        <v>193.521245267143</v>
      </c>
      <c r="I646" s="439" t="n">
        <v>44641</v>
      </c>
      <c r="J646" s="157" t="n">
        <v>23770</v>
      </c>
      <c r="L646" s="157" t="n">
        <v>23770</v>
      </c>
      <c r="M646" s="157" t="n">
        <v>2010</v>
      </c>
      <c r="P646" s="157" t="s">
        <v>4047</v>
      </c>
      <c r="R646" s="174" t="s">
        <v>279</v>
      </c>
      <c r="S646" s="157" t="n">
        <v>73703.5234</v>
      </c>
      <c r="T646" s="440" t="n">
        <f aca="false">S646/J646</f>
        <v>3.10069513672697</v>
      </c>
      <c r="U646" s="157" t="s">
        <v>279</v>
      </c>
      <c r="Y646" s="157" t="n">
        <v>4600000</v>
      </c>
      <c r="AA646" s="157" t="n">
        <v>4600000</v>
      </c>
      <c r="AC646" s="157" t="s">
        <v>6234</v>
      </c>
      <c r="AD646" s="157" t="s">
        <v>6235</v>
      </c>
      <c r="AE646" s="157" t="s">
        <v>6236</v>
      </c>
      <c r="AF646" s="157" t="s">
        <v>6237</v>
      </c>
      <c r="AI646" s="157" t="e">
        <f aca="false">IF(AND($E646=Subj_OccCode,Subj_BldgSF&gt;0,ABS($L646-Subj_BldgSF)&lt;=Subj_BldgSF*Subj_SizeTol),ABS($L646-Subj_BldgSF),NA())</f>
        <v>#N/A</v>
      </c>
      <c r="AJ646" s="1" t="e">
        <f aca="false">IF(ISNA(AI646),NA(),AI646+ROW()/10000000)</f>
        <v>#N/A</v>
      </c>
      <c r="AK646" s="157" t="str">
        <f aca="false">IF(AND(ISNUMBER($N646),$N646&gt;0,ISNUMBER($Y646)),$Y646/$N646,"")</f>
        <v/>
      </c>
    </row>
    <row r="647" customFormat="false" ht="15" hidden="false" customHeight="true" outlineLevel="0" collapsed="false">
      <c r="A647" s="438" t="n">
        <v>8</v>
      </c>
      <c r="B647" s="157" t="n">
        <v>643</v>
      </c>
      <c r="C647" s="157" t="s">
        <v>6238</v>
      </c>
      <c r="D647" s="157" t="s">
        <v>6239</v>
      </c>
      <c r="E647" s="157" t="n">
        <v>426</v>
      </c>
      <c r="F647" s="157" t="s">
        <v>2677</v>
      </c>
      <c r="G647" s="157" t="s">
        <v>2567</v>
      </c>
      <c r="H647" s="78" t="n">
        <f aca="false">Y647/J647</f>
        <v>199.680511182109</v>
      </c>
      <c r="I647" s="439" t="n">
        <v>43917</v>
      </c>
      <c r="J647" s="157" t="n">
        <v>5008</v>
      </c>
      <c r="L647" s="157" t="n">
        <v>5008</v>
      </c>
      <c r="M647" s="157" t="n">
        <v>2007</v>
      </c>
      <c r="P647" s="157" t="s">
        <v>5567</v>
      </c>
      <c r="R647" s="174" t="s">
        <v>279</v>
      </c>
      <c r="S647" s="157" t="n">
        <v>19283</v>
      </c>
      <c r="T647" s="440" t="n">
        <f aca="false">S647/J647</f>
        <v>3.8504392971246</v>
      </c>
      <c r="U647" s="157" t="s">
        <v>279</v>
      </c>
      <c r="Y647" s="157" t="n">
        <v>1000000</v>
      </c>
      <c r="AA647" s="157" t="n">
        <v>1000000</v>
      </c>
      <c r="AC647" s="157" t="s">
        <v>6240</v>
      </c>
      <c r="AD647" s="157" t="s">
        <v>6241</v>
      </c>
      <c r="AE647" s="157" t="s">
        <v>6242</v>
      </c>
      <c r="AF647" s="157" t="s">
        <v>6243</v>
      </c>
      <c r="AI647" s="157" t="e">
        <f aca="false">IF(AND($E647=Subj_OccCode,Subj_BldgSF&gt;0,ABS($L647-Subj_BldgSF)&lt;=Subj_BldgSF*Subj_SizeTol),ABS($L647-Subj_BldgSF),NA())</f>
        <v>#N/A</v>
      </c>
      <c r="AJ647" s="1" t="e">
        <f aca="false">IF(ISNA(AI647),NA(),AI647+ROW()/10000000)</f>
        <v>#N/A</v>
      </c>
      <c r="AK647" s="157" t="str">
        <f aca="false">IF(AND(ISNUMBER($N647),$N647&gt;0,ISNUMBER($Y647)),$Y647/$N647,"")</f>
        <v/>
      </c>
    </row>
    <row r="648" customFormat="false" ht="15" hidden="false" customHeight="true" outlineLevel="0" collapsed="false">
      <c r="A648" s="438" t="n">
        <v>8</v>
      </c>
      <c r="B648" s="157" t="n">
        <v>644</v>
      </c>
      <c r="C648" s="157" t="s">
        <v>6244</v>
      </c>
      <c r="D648" s="157" t="s">
        <v>6245</v>
      </c>
      <c r="E648" s="157" t="n">
        <v>343</v>
      </c>
      <c r="F648" s="157" t="s">
        <v>2581</v>
      </c>
      <c r="G648" s="157" t="s">
        <v>2567</v>
      </c>
      <c r="H648" s="78" t="n">
        <f aca="false">Y648/J648</f>
        <v>261.541960427564</v>
      </c>
      <c r="I648" s="439" t="n">
        <v>44729</v>
      </c>
      <c r="J648" s="157" t="n">
        <v>13191</v>
      </c>
      <c r="L648" s="157" t="n">
        <v>13191</v>
      </c>
      <c r="M648" s="157" t="n">
        <v>2014</v>
      </c>
      <c r="P648" s="157" t="s">
        <v>3047</v>
      </c>
      <c r="R648" s="174" t="s">
        <v>279</v>
      </c>
      <c r="S648" s="157" t="n">
        <v>43799</v>
      </c>
      <c r="T648" s="440" t="n">
        <f aca="false">S648/J648</f>
        <v>3.32036994920779</v>
      </c>
      <c r="U648" s="157" t="s">
        <v>279</v>
      </c>
      <c r="Y648" s="157" t="n">
        <v>3450000</v>
      </c>
      <c r="AA648" s="157" t="n">
        <v>3450000</v>
      </c>
      <c r="AC648" s="157" t="s">
        <v>6246</v>
      </c>
      <c r="AD648" s="157" t="s">
        <v>6247</v>
      </c>
      <c r="AE648" s="157" t="s">
        <v>6248</v>
      </c>
      <c r="AF648" s="157" t="s">
        <v>6249</v>
      </c>
      <c r="AI648" s="157" t="e">
        <f aca="false">IF(AND($E648=Subj_OccCode,Subj_BldgSF&gt;0,ABS($L648-Subj_BldgSF)&lt;=Subj_BldgSF*Subj_SizeTol),ABS($L648-Subj_BldgSF),NA())</f>
        <v>#N/A</v>
      </c>
      <c r="AJ648" s="1" t="e">
        <f aca="false">IF(ISNA(AI648),NA(),AI648+ROW()/10000000)</f>
        <v>#N/A</v>
      </c>
      <c r="AK648" s="157" t="str">
        <f aca="false">IF(AND(ISNUMBER($N648),$N648&gt;0,ISNUMBER($Y648)),$Y648/$N648,"")</f>
        <v/>
      </c>
    </row>
    <row r="649" customFormat="false" ht="15" hidden="false" customHeight="true" outlineLevel="0" collapsed="false">
      <c r="A649" s="438" t="n">
        <v>8</v>
      </c>
      <c r="B649" s="157" t="n">
        <v>645</v>
      </c>
      <c r="C649" s="157" t="s">
        <v>6250</v>
      </c>
      <c r="D649" s="157" t="s">
        <v>6251</v>
      </c>
      <c r="E649" s="157" t="n">
        <v>325</v>
      </c>
      <c r="F649" s="157" t="s">
        <v>2581</v>
      </c>
      <c r="G649" s="157" t="s">
        <v>2567</v>
      </c>
      <c r="H649" s="78" t="n">
        <f aca="false">Y649/J649</f>
        <v>110.46511627907</v>
      </c>
      <c r="I649" s="439" t="n">
        <v>44007</v>
      </c>
      <c r="J649" s="157" t="n">
        <v>17200</v>
      </c>
      <c r="L649" s="157" t="n">
        <v>17200</v>
      </c>
      <c r="M649" s="157" t="n">
        <v>1960</v>
      </c>
      <c r="P649" s="157" t="s">
        <v>3047</v>
      </c>
      <c r="R649" s="174" t="s">
        <v>279</v>
      </c>
      <c r="S649" s="157" t="n">
        <v>89210.88</v>
      </c>
      <c r="T649" s="440" t="n">
        <f aca="false">S649/J649</f>
        <v>5.18667906976744</v>
      </c>
      <c r="U649" s="157" t="s">
        <v>555</v>
      </c>
      <c r="Y649" s="157" t="n">
        <v>1900000</v>
      </c>
      <c r="AA649" s="157" t="n">
        <v>1900000</v>
      </c>
      <c r="AC649" s="157" t="s">
        <v>6252</v>
      </c>
      <c r="AD649" s="157" t="s">
        <v>6253</v>
      </c>
      <c r="AE649" s="157" t="s">
        <v>6254</v>
      </c>
      <c r="AF649" s="157" t="s">
        <v>6255</v>
      </c>
      <c r="AI649" s="157" t="e">
        <f aca="false">IF(AND($E649=Subj_OccCode,Subj_BldgSF&gt;0,ABS($L649-Subj_BldgSF)&lt;=Subj_BldgSF*Subj_SizeTol),ABS($L649-Subj_BldgSF),NA())</f>
        <v>#N/A</v>
      </c>
      <c r="AJ649" s="1" t="e">
        <f aca="false">IF(ISNA(AI649),NA(),AI649+ROW()/10000000)</f>
        <v>#N/A</v>
      </c>
      <c r="AK649" s="157" t="str">
        <f aca="false">IF(AND(ISNUMBER($N649),$N649&gt;0,ISNUMBER($Y649)),$Y649/$N649,"")</f>
        <v/>
      </c>
    </row>
    <row r="650" customFormat="false" ht="15" hidden="false" customHeight="true" outlineLevel="0" collapsed="false">
      <c r="A650" s="438" t="n">
        <v>8</v>
      </c>
      <c r="B650" s="157" t="n">
        <v>646</v>
      </c>
      <c r="C650" s="157" t="s">
        <v>2155</v>
      </c>
      <c r="D650" s="157" t="s">
        <v>6256</v>
      </c>
      <c r="E650" s="157" t="n">
        <v>584</v>
      </c>
      <c r="F650" s="157" t="s">
        <v>2595</v>
      </c>
      <c r="G650" s="157" t="s">
        <v>352</v>
      </c>
      <c r="H650" s="78" t="n">
        <f aca="false">Y650/J650</f>
        <v>164.318181818182</v>
      </c>
      <c r="I650" s="439" t="n">
        <v>44459</v>
      </c>
      <c r="J650" s="157" t="n">
        <v>220000</v>
      </c>
      <c r="L650" s="157" t="n">
        <v>220000</v>
      </c>
      <c r="M650" s="157" t="n">
        <v>2012</v>
      </c>
      <c r="P650" s="157" t="s">
        <v>6221</v>
      </c>
      <c r="R650" s="174" t="s">
        <v>279</v>
      </c>
      <c r="S650" s="157" t="n">
        <v>750297</v>
      </c>
      <c r="T650" s="440" t="n">
        <f aca="false">S650/J650</f>
        <v>3.41044090909091</v>
      </c>
      <c r="U650" s="157" t="s">
        <v>279</v>
      </c>
      <c r="Y650" s="157" t="n">
        <v>36150000</v>
      </c>
      <c r="AA650" s="157" t="n">
        <v>36150000</v>
      </c>
      <c r="AC650" s="157" t="s">
        <v>6257</v>
      </c>
      <c r="AD650" s="157" t="s">
        <v>6258</v>
      </c>
      <c r="AE650" s="157" t="s">
        <v>6259</v>
      </c>
      <c r="AF650" s="157" t="s">
        <v>6260</v>
      </c>
      <c r="AI650" s="157" t="e">
        <f aca="false">IF(AND($E650=Subj_OccCode,Subj_BldgSF&gt;0,ABS($L650-Subj_BldgSF)&lt;=Subj_BldgSF*Subj_SizeTol),ABS($L650-Subj_BldgSF),NA())</f>
        <v>#N/A</v>
      </c>
      <c r="AJ650" s="1" t="e">
        <f aca="false">IF(ISNA(AI650),NA(),AI650+ROW()/10000000)</f>
        <v>#N/A</v>
      </c>
      <c r="AK650" s="157" t="str">
        <f aca="false">IF(AND(ISNUMBER($N650),$N650&gt;0,ISNUMBER($Y650)),$Y650/$N650,"")</f>
        <v/>
      </c>
    </row>
    <row r="651" customFormat="false" ht="15" hidden="false" customHeight="true" outlineLevel="0" collapsed="false">
      <c r="A651" s="438" t="n">
        <v>8</v>
      </c>
      <c r="B651" s="157" t="n">
        <v>647</v>
      </c>
      <c r="C651" s="157" t="s">
        <v>6261</v>
      </c>
      <c r="D651" s="157" t="s">
        <v>6262</v>
      </c>
      <c r="E651" s="157" t="n">
        <v>406</v>
      </c>
      <c r="F651" s="157" t="s">
        <v>3320</v>
      </c>
      <c r="G651" s="157" t="s">
        <v>352</v>
      </c>
      <c r="H651" s="78" t="n">
        <f aca="false">Y651/J651</f>
        <v>166.666666666667</v>
      </c>
      <c r="I651" s="439" t="n">
        <v>43934</v>
      </c>
      <c r="J651" s="157" t="n">
        <v>1500</v>
      </c>
      <c r="L651" s="157" t="n">
        <v>1500</v>
      </c>
      <c r="M651" s="157" t="n">
        <v>1986</v>
      </c>
      <c r="P651" s="157" t="s">
        <v>4516</v>
      </c>
      <c r="R651" s="174" t="s">
        <v>279</v>
      </c>
      <c r="S651" s="157" t="n">
        <v>65340</v>
      </c>
      <c r="T651" s="440" t="n">
        <f aca="false">S651/J651</f>
        <v>43.56</v>
      </c>
      <c r="U651" s="157" t="s">
        <v>279</v>
      </c>
      <c r="Y651" s="157" t="n">
        <v>250000</v>
      </c>
      <c r="AA651" s="157" t="n">
        <v>250000</v>
      </c>
      <c r="AC651" s="157" t="s">
        <v>6263</v>
      </c>
      <c r="AD651" s="157" t="s">
        <v>6264</v>
      </c>
      <c r="AE651" s="157" t="s">
        <v>6265</v>
      </c>
      <c r="AF651" s="157" t="s">
        <v>6266</v>
      </c>
      <c r="AI651" s="157" t="e">
        <f aca="false">IF(AND($E651=Subj_OccCode,Subj_BldgSF&gt;0,ABS($L651-Subj_BldgSF)&lt;=Subj_BldgSF*Subj_SizeTol),ABS($L651-Subj_BldgSF),NA())</f>
        <v>#N/A</v>
      </c>
      <c r="AJ651" s="1" t="e">
        <f aca="false">IF(ISNA(AI651),NA(),AI651+ROW()/10000000)</f>
        <v>#N/A</v>
      </c>
      <c r="AK651" s="157" t="str">
        <f aca="false">IF(AND(ISNUMBER($N651),$N651&gt;0,ISNUMBER($Y651)),$Y651/$N651,"")</f>
        <v/>
      </c>
    </row>
    <row r="652" customFormat="false" ht="15" hidden="false" customHeight="true" outlineLevel="0" collapsed="false">
      <c r="A652" s="438" t="n">
        <v>8</v>
      </c>
      <c r="B652" s="157" t="n">
        <v>648</v>
      </c>
      <c r="C652" s="157" t="s">
        <v>6267</v>
      </c>
      <c r="D652" s="157" t="s">
        <v>6268</v>
      </c>
      <c r="E652" s="157" t="n">
        <v>425</v>
      </c>
      <c r="F652" s="157" t="s">
        <v>2581</v>
      </c>
      <c r="G652" s="157" t="s">
        <v>354</v>
      </c>
      <c r="H652" s="78" t="n">
        <f aca="false">Y652/J652</f>
        <v>264.098269123395</v>
      </c>
      <c r="I652" s="439" t="n">
        <v>43882</v>
      </c>
      <c r="J652" s="157" t="n">
        <v>1791</v>
      </c>
      <c r="L652" s="157" t="n">
        <v>1791</v>
      </c>
      <c r="M652" s="157" t="n">
        <v>2016</v>
      </c>
      <c r="P652" s="157" t="s">
        <v>2588</v>
      </c>
      <c r="R652" s="174" t="s">
        <v>483</v>
      </c>
      <c r="S652" s="157" t="n">
        <v>5569</v>
      </c>
      <c r="T652" s="440" t="n">
        <f aca="false">S652/J652</f>
        <v>3.10943606923506</v>
      </c>
      <c r="U652" s="157" t="s">
        <v>483</v>
      </c>
      <c r="Y652" s="157" t="n">
        <v>473000</v>
      </c>
      <c r="AA652" s="157" t="n">
        <v>473000</v>
      </c>
      <c r="AC652" s="157" t="s">
        <v>6269</v>
      </c>
      <c r="AD652" s="157" t="s">
        <v>6270</v>
      </c>
      <c r="AE652" s="157" t="s">
        <v>6271</v>
      </c>
      <c r="AF652" s="157" t="s">
        <v>6272</v>
      </c>
      <c r="AI652" s="157" t="e">
        <f aca="false">IF(AND($E652=Subj_OccCode,Subj_BldgSF&gt;0,ABS($L652-Subj_BldgSF)&lt;=Subj_BldgSF*Subj_SizeTol),ABS($L652-Subj_BldgSF),NA())</f>
        <v>#N/A</v>
      </c>
      <c r="AJ652" s="1" t="e">
        <f aca="false">IF(ISNA(AI652),NA(),AI652+ROW()/10000000)</f>
        <v>#N/A</v>
      </c>
      <c r="AK652" s="157" t="str">
        <f aca="false">IF(AND(ISNUMBER($N652),$N652&gt;0,ISNUMBER($Y652)),$Y652/$N652,"")</f>
        <v/>
      </c>
    </row>
    <row r="653" customFormat="false" ht="15" hidden="false" customHeight="true" outlineLevel="0" collapsed="false">
      <c r="A653" s="438" t="n">
        <v>8</v>
      </c>
      <c r="B653" s="157" t="n">
        <v>649</v>
      </c>
      <c r="C653" s="157" t="s">
        <v>6273</v>
      </c>
      <c r="D653" s="157" t="s">
        <v>6274</v>
      </c>
      <c r="E653" s="157" t="n">
        <v>425</v>
      </c>
      <c r="F653" s="157" t="s">
        <v>2581</v>
      </c>
      <c r="G653" s="157" t="s">
        <v>354</v>
      </c>
      <c r="H653" s="78" t="n">
        <f aca="false">Y653/J653</f>
        <v>390.843104410944</v>
      </c>
      <c r="I653" s="439" t="n">
        <v>44610</v>
      </c>
      <c r="J653" s="157" t="n">
        <v>1791</v>
      </c>
      <c r="L653" s="157" t="n">
        <v>1791</v>
      </c>
      <c r="M653" s="157" t="n">
        <v>2016</v>
      </c>
      <c r="P653" s="157" t="s">
        <v>2588</v>
      </c>
      <c r="R653" s="174" t="s">
        <v>483</v>
      </c>
      <c r="S653" s="157" t="n">
        <v>5569</v>
      </c>
      <c r="T653" s="440" t="n">
        <f aca="false">S653/J653</f>
        <v>3.10943606923506</v>
      </c>
      <c r="U653" s="157" t="s">
        <v>483</v>
      </c>
      <c r="Y653" s="157" t="n">
        <v>700000</v>
      </c>
      <c r="AA653" s="157" t="n">
        <v>700000</v>
      </c>
      <c r="AC653" s="157" t="s">
        <v>6275</v>
      </c>
      <c r="AD653" s="157" t="s">
        <v>6276</v>
      </c>
      <c r="AE653" s="157" t="s">
        <v>6277</v>
      </c>
      <c r="AF653" s="157" t="s">
        <v>6278</v>
      </c>
      <c r="AI653" s="157" t="e">
        <f aca="false">IF(AND($E653=Subj_OccCode,Subj_BldgSF&gt;0,ABS($L653-Subj_BldgSF)&lt;=Subj_BldgSF*Subj_SizeTol),ABS($L653-Subj_BldgSF),NA())</f>
        <v>#N/A</v>
      </c>
      <c r="AJ653" s="1" t="e">
        <f aca="false">IF(ISNA(AI653),NA(),AI653+ROW()/10000000)</f>
        <v>#N/A</v>
      </c>
      <c r="AK653" s="157" t="str">
        <f aca="false">IF(AND(ISNUMBER($N653),$N653&gt;0,ISNUMBER($Y653)),$Y653/$N653,"")</f>
        <v/>
      </c>
    </row>
    <row r="654" customFormat="false" ht="15" hidden="false" customHeight="true" outlineLevel="0" collapsed="false">
      <c r="A654" s="438" t="n">
        <v>8</v>
      </c>
      <c r="B654" s="157" t="n">
        <v>650</v>
      </c>
      <c r="C654" s="157" t="s">
        <v>6279</v>
      </c>
      <c r="D654" s="157" t="s">
        <v>6280</v>
      </c>
      <c r="E654" s="157" t="n">
        <v>353</v>
      </c>
      <c r="F654" s="157" t="s">
        <v>2921</v>
      </c>
      <c r="G654" s="157" t="s">
        <v>353</v>
      </c>
      <c r="H654" s="78" t="n">
        <f aca="false">Y654/J654</f>
        <v>426.205552849489</v>
      </c>
      <c r="I654" s="439" t="n">
        <v>43178</v>
      </c>
      <c r="J654" s="157" t="n">
        <v>8212</v>
      </c>
      <c r="L654" s="157" t="n">
        <v>8212</v>
      </c>
      <c r="M654" s="157" t="n">
        <v>2013</v>
      </c>
      <c r="R654" s="174" t="s">
        <v>279</v>
      </c>
      <c r="S654" s="157" t="n">
        <v>60653</v>
      </c>
      <c r="T654" s="440" t="n">
        <f aca="false">S654/J654</f>
        <v>7.38589868485144</v>
      </c>
      <c r="U654" s="157" t="s">
        <v>279</v>
      </c>
      <c r="Y654" s="157" t="n">
        <v>3500000</v>
      </c>
      <c r="AA654" s="157" t="n">
        <v>3500000</v>
      </c>
      <c r="AC654" s="157" t="s">
        <v>6281</v>
      </c>
      <c r="AD654" s="157" t="s">
        <v>6282</v>
      </c>
      <c r="AE654" s="157" t="s">
        <v>6283</v>
      </c>
      <c r="AF654" s="157" t="s">
        <v>6284</v>
      </c>
      <c r="AI654" s="157" t="e">
        <f aca="false">IF(AND($E654=Subj_OccCode,Subj_BldgSF&gt;0,ABS($L654-Subj_BldgSF)&lt;=Subj_BldgSF*Subj_SizeTol),ABS($L654-Subj_BldgSF),NA())</f>
        <v>#N/A</v>
      </c>
      <c r="AJ654" s="1" t="e">
        <f aca="false">IF(ISNA(AI654),NA(),AI654+ROW()/10000000)</f>
        <v>#N/A</v>
      </c>
      <c r="AK654" s="157" t="str">
        <f aca="false">IF(AND(ISNUMBER($N654),$N654&gt;0,ISNUMBER($Y654)),$Y654/$N654,"")</f>
        <v/>
      </c>
    </row>
    <row r="655" customFormat="false" ht="15" hidden="false" customHeight="true" outlineLevel="0" collapsed="false">
      <c r="A655" s="438" t="n">
        <v>8</v>
      </c>
      <c r="B655" s="157" t="n">
        <v>651</v>
      </c>
      <c r="C655" s="157" t="s">
        <v>6285</v>
      </c>
      <c r="D655" s="157" t="s">
        <v>6286</v>
      </c>
      <c r="E655" s="157" t="n">
        <v>353</v>
      </c>
      <c r="F655" s="157" t="s">
        <v>2677</v>
      </c>
      <c r="G655" s="157" t="s">
        <v>353</v>
      </c>
      <c r="H655" s="78" t="n">
        <f aca="false">Y655/J655</f>
        <v>321.83908045977</v>
      </c>
      <c r="I655" s="439" t="n">
        <v>43385</v>
      </c>
      <c r="J655" s="157" t="n">
        <v>10875</v>
      </c>
      <c r="L655" s="157" t="n">
        <v>10875</v>
      </c>
      <c r="M655" s="157" t="n">
        <v>2008</v>
      </c>
      <c r="R655" s="174" t="s">
        <v>279</v>
      </c>
      <c r="S655" s="157" t="n">
        <v>52970</v>
      </c>
      <c r="T655" s="440" t="n">
        <f aca="false">S655/J655</f>
        <v>4.87080459770115</v>
      </c>
      <c r="U655" s="157" t="s">
        <v>279</v>
      </c>
      <c r="Y655" s="157" t="n">
        <v>3500000</v>
      </c>
      <c r="AA655" s="157" t="n">
        <v>3500000</v>
      </c>
      <c r="AC655" s="157" t="s">
        <v>6287</v>
      </c>
      <c r="AD655" s="157" t="s">
        <v>6288</v>
      </c>
      <c r="AE655" s="157" t="s">
        <v>6289</v>
      </c>
      <c r="AF655" s="157" t="s">
        <v>6290</v>
      </c>
      <c r="AI655" s="157" t="e">
        <f aca="false">IF(AND($E655=Subj_OccCode,Subj_BldgSF&gt;0,ABS($L655-Subj_BldgSF)&lt;=Subj_BldgSF*Subj_SizeTol),ABS($L655-Subj_BldgSF),NA())</f>
        <v>#N/A</v>
      </c>
      <c r="AJ655" s="1" t="e">
        <f aca="false">IF(ISNA(AI655),NA(),AI655+ROW()/10000000)</f>
        <v>#N/A</v>
      </c>
      <c r="AK655" s="157" t="str">
        <f aca="false">IF(AND(ISNUMBER($N655),$N655&gt;0,ISNUMBER($Y655)),$Y655/$N655,"")</f>
        <v/>
      </c>
    </row>
    <row r="656" customFormat="false" ht="15" hidden="false" customHeight="true" outlineLevel="0" collapsed="false">
      <c r="A656" s="438" t="n">
        <v>8</v>
      </c>
      <c r="B656" s="157" t="n">
        <v>652</v>
      </c>
      <c r="C656" s="157" t="s">
        <v>6291</v>
      </c>
      <c r="D656" s="157" t="s">
        <v>6292</v>
      </c>
      <c r="E656" s="157" t="n">
        <v>407</v>
      </c>
      <c r="F656" s="157" t="s">
        <v>2595</v>
      </c>
      <c r="G656" s="157" t="s">
        <v>2596</v>
      </c>
      <c r="H656" s="78" t="n">
        <f aca="false">Y656/J656</f>
        <v>148.562089033331</v>
      </c>
      <c r="I656" s="439" t="n">
        <v>43245</v>
      </c>
      <c r="J656" s="157" t="n">
        <v>105848</v>
      </c>
      <c r="L656" s="157" t="n">
        <v>105848</v>
      </c>
      <c r="M656" s="157" t="n">
        <v>2016</v>
      </c>
      <c r="P656" s="157" t="s">
        <v>2713</v>
      </c>
      <c r="R656" s="174" t="s">
        <v>279</v>
      </c>
      <c r="S656" s="157" t="n">
        <v>268481</v>
      </c>
      <c r="T656" s="440" t="n">
        <f aca="false">S656/J656</f>
        <v>2.53647683470637</v>
      </c>
      <c r="U656" s="157" t="s">
        <v>279</v>
      </c>
      <c r="Y656" s="157" t="n">
        <v>15725000</v>
      </c>
      <c r="AA656" s="157" t="n">
        <v>15725000</v>
      </c>
      <c r="AC656" s="157" t="s">
        <v>6293</v>
      </c>
      <c r="AD656" s="157" t="s">
        <v>6294</v>
      </c>
      <c r="AE656" s="157" t="s">
        <v>6295</v>
      </c>
      <c r="AF656" s="157" t="s">
        <v>6296</v>
      </c>
      <c r="AI656" s="157" t="e">
        <f aca="false">IF(AND($E656=Subj_OccCode,Subj_BldgSF&gt;0,ABS($L656-Subj_BldgSF)&lt;=Subj_BldgSF*Subj_SizeTol),ABS($L656-Subj_BldgSF),NA())</f>
        <v>#N/A</v>
      </c>
      <c r="AJ656" s="1" t="e">
        <f aca="false">IF(ISNA(AI656),NA(),AI656+ROW()/10000000)</f>
        <v>#N/A</v>
      </c>
      <c r="AK656" s="157" t="str">
        <f aca="false">IF(AND(ISNUMBER($N656),$N656&gt;0,ISNUMBER($Y656)),$Y656/$N656,"")</f>
        <v/>
      </c>
    </row>
    <row r="657" customFormat="false" ht="15" hidden="false" customHeight="true" outlineLevel="0" collapsed="false">
      <c r="A657" s="438" t="n">
        <v>8</v>
      </c>
      <c r="B657" s="157" t="n">
        <v>653</v>
      </c>
      <c r="C657" s="157" t="s">
        <v>6297</v>
      </c>
      <c r="D657" s="157" t="s">
        <v>6298</v>
      </c>
      <c r="E657" s="157" t="n">
        <v>353</v>
      </c>
      <c r="F657" s="157" t="s">
        <v>2581</v>
      </c>
      <c r="G657" s="157" t="s">
        <v>354</v>
      </c>
      <c r="H657" s="78" t="n">
        <f aca="false">Y657/J657</f>
        <v>554.796858996244</v>
      </c>
      <c r="I657" s="439" t="n">
        <v>43278</v>
      </c>
      <c r="J657" s="157" t="n">
        <v>5858</v>
      </c>
      <c r="L657" s="157" t="n">
        <v>5858</v>
      </c>
      <c r="M657" s="157" t="n">
        <v>2015</v>
      </c>
      <c r="R657" s="174" t="s">
        <v>483</v>
      </c>
      <c r="S657" s="157" t="n">
        <v>50016</v>
      </c>
      <c r="T657" s="440" t="n">
        <f aca="false">S657/J657</f>
        <v>8.53806759986344</v>
      </c>
      <c r="U657" s="157" t="s">
        <v>483</v>
      </c>
      <c r="Y657" s="157" t="n">
        <v>3250000</v>
      </c>
      <c r="AA657" s="157" t="n">
        <v>3250000</v>
      </c>
      <c r="AC657" s="157" t="s">
        <v>6299</v>
      </c>
      <c r="AD657" s="157" t="s">
        <v>6300</v>
      </c>
      <c r="AE657" s="157" t="s">
        <v>6301</v>
      </c>
      <c r="AF657" s="157" t="s">
        <v>6302</v>
      </c>
      <c r="AI657" s="157" t="e">
        <f aca="false">IF(AND($E657=Subj_OccCode,Subj_BldgSF&gt;0,ABS($L657-Subj_BldgSF)&lt;=Subj_BldgSF*Subj_SizeTol),ABS($L657-Subj_BldgSF),NA())</f>
        <v>#N/A</v>
      </c>
      <c r="AJ657" s="1" t="e">
        <f aca="false">IF(ISNA(AI657),NA(),AI657+ROW()/10000000)</f>
        <v>#N/A</v>
      </c>
      <c r="AK657" s="157" t="str">
        <f aca="false">IF(AND(ISNUMBER($N657),$N657&gt;0,ISNUMBER($Y657)),$Y657/$N657,"")</f>
        <v/>
      </c>
    </row>
    <row r="658" customFormat="false" ht="15" hidden="false" customHeight="true" outlineLevel="0" collapsed="false">
      <c r="A658" s="438" t="n">
        <v>8</v>
      </c>
      <c r="B658" s="157" t="n">
        <v>654</v>
      </c>
      <c r="C658" s="157" t="s">
        <v>6303</v>
      </c>
      <c r="D658" s="157" t="s">
        <v>6304</v>
      </c>
      <c r="E658" s="157" t="n">
        <v>344</v>
      </c>
      <c r="F658" s="157" t="s">
        <v>260</v>
      </c>
      <c r="G658" s="157" t="s">
        <v>353</v>
      </c>
      <c r="H658" s="78" t="n">
        <f aca="false">Y658/J658</f>
        <v>398.724082934609</v>
      </c>
      <c r="I658" s="439" t="n">
        <v>44620</v>
      </c>
      <c r="J658" s="157" t="n">
        <v>2508</v>
      </c>
      <c r="L658" s="157" t="n">
        <v>2508</v>
      </c>
      <c r="M658" s="157" t="n">
        <v>2014</v>
      </c>
      <c r="P658" s="157" t="s">
        <v>3265</v>
      </c>
      <c r="R658" s="174" t="s">
        <v>279</v>
      </c>
      <c r="S658" s="157" t="n">
        <v>46843</v>
      </c>
      <c r="T658" s="440" t="n">
        <f aca="false">S658/J658</f>
        <v>18.6774322169059</v>
      </c>
      <c r="U658" s="157" t="s">
        <v>279</v>
      </c>
      <c r="Y658" s="157" t="n">
        <v>1000000</v>
      </c>
      <c r="AA658" s="157" t="n">
        <v>1000000</v>
      </c>
      <c r="AC658" s="157" t="s">
        <v>6305</v>
      </c>
      <c r="AD658" s="157" t="s">
        <v>6306</v>
      </c>
      <c r="AE658" s="157" t="s">
        <v>6307</v>
      </c>
      <c r="AF658" s="157" t="s">
        <v>6308</v>
      </c>
      <c r="AI658" s="157" t="e">
        <f aca="false">IF(AND($E658=Subj_OccCode,Subj_BldgSF&gt;0,ABS($L658-Subj_BldgSF)&lt;=Subj_BldgSF*Subj_SizeTol),ABS($L658-Subj_BldgSF),NA())</f>
        <v>#N/A</v>
      </c>
      <c r="AJ658" s="1" t="e">
        <f aca="false">IF(ISNA(AI658),NA(),AI658+ROW()/10000000)</f>
        <v>#N/A</v>
      </c>
      <c r="AK658" s="157" t="str">
        <f aca="false">IF(AND(ISNUMBER($N658),$N658&gt;0,ISNUMBER($Y658)),$Y658/$N658,"")</f>
        <v/>
      </c>
    </row>
    <row r="659" customFormat="false" ht="15" hidden="false" customHeight="true" outlineLevel="0" collapsed="false">
      <c r="A659" s="438" t="n">
        <v>8</v>
      </c>
      <c r="B659" s="157" t="n">
        <v>655</v>
      </c>
      <c r="C659" s="157" t="s">
        <v>6309</v>
      </c>
      <c r="D659" s="157" t="s">
        <v>6310</v>
      </c>
      <c r="E659" s="157" t="n">
        <v>341</v>
      </c>
      <c r="F659" s="157" t="s">
        <v>260</v>
      </c>
      <c r="G659" s="157" t="s">
        <v>353</v>
      </c>
      <c r="H659" s="78" t="n">
        <f aca="false">Y659/J659</f>
        <v>324.729669631512</v>
      </c>
      <c r="I659" s="439" t="n">
        <v>44414</v>
      </c>
      <c r="J659" s="157" t="n">
        <v>9444</v>
      </c>
      <c r="L659" s="157" t="n">
        <v>9444</v>
      </c>
      <c r="M659" s="157" t="n">
        <v>2016</v>
      </c>
      <c r="P659" s="157" t="s">
        <v>2765</v>
      </c>
      <c r="R659" s="174" t="s">
        <v>279</v>
      </c>
      <c r="S659" s="157" t="n">
        <v>45271</v>
      </c>
      <c r="T659" s="440" t="n">
        <f aca="false">S659/J659</f>
        <v>4.79362558238035</v>
      </c>
      <c r="U659" s="157" t="s">
        <v>279</v>
      </c>
      <c r="Y659" s="157" t="n">
        <v>3066747</v>
      </c>
      <c r="AA659" s="157" t="n">
        <v>3066747</v>
      </c>
      <c r="AC659" s="157" t="s">
        <v>6311</v>
      </c>
      <c r="AD659" s="157" t="s">
        <v>6312</v>
      </c>
      <c r="AE659" s="157" t="s">
        <v>6313</v>
      </c>
      <c r="AF659" s="157" t="s">
        <v>6314</v>
      </c>
      <c r="AI659" s="157" t="e">
        <f aca="false">IF(AND($E659=Subj_OccCode,Subj_BldgSF&gt;0,ABS($L659-Subj_BldgSF)&lt;=Subj_BldgSF*Subj_SizeTol),ABS($L659-Subj_BldgSF),NA())</f>
        <v>#N/A</v>
      </c>
      <c r="AJ659" s="1" t="e">
        <f aca="false">IF(ISNA(AI659),NA(),AI659+ROW()/10000000)</f>
        <v>#N/A</v>
      </c>
      <c r="AK659" s="157" t="str">
        <f aca="false">IF(AND(ISNUMBER($N659),$N659&gt;0,ISNUMBER($Y659)),$Y659/$N659,"")</f>
        <v/>
      </c>
    </row>
    <row r="660" customFormat="false" ht="15" hidden="false" customHeight="true" outlineLevel="0" collapsed="false">
      <c r="A660" s="438" t="n">
        <v>8</v>
      </c>
      <c r="B660" s="157" t="n">
        <v>656</v>
      </c>
      <c r="C660" s="157" t="s">
        <v>6315</v>
      </c>
      <c r="D660" s="157" t="s">
        <v>6316</v>
      </c>
      <c r="E660" s="157" t="n">
        <v>325</v>
      </c>
      <c r="F660" s="157" t="s">
        <v>2566</v>
      </c>
      <c r="G660" s="157" t="s">
        <v>2567</v>
      </c>
      <c r="H660" s="78" t="n">
        <f aca="false">Y660/J660</f>
        <v>264.56374542497</v>
      </c>
      <c r="I660" s="439" t="n">
        <v>44560</v>
      </c>
      <c r="J660" s="157" t="n">
        <v>9836</v>
      </c>
      <c r="L660" s="157" t="n">
        <v>9836</v>
      </c>
      <c r="M660" s="157" t="n">
        <v>2014</v>
      </c>
      <c r="P660" s="157" t="s">
        <v>3600</v>
      </c>
      <c r="R660" s="174" t="s">
        <v>279</v>
      </c>
      <c r="S660" s="157" t="n">
        <v>49222.8</v>
      </c>
      <c r="T660" s="440" t="n">
        <f aca="false">S660/J660</f>
        <v>5.00435136234242</v>
      </c>
      <c r="U660" s="157" t="s">
        <v>279</v>
      </c>
      <c r="Y660" s="157" t="n">
        <v>2602249</v>
      </c>
      <c r="AA660" s="157" t="n">
        <v>2602249</v>
      </c>
      <c r="AC660" s="157" t="s">
        <v>6317</v>
      </c>
      <c r="AD660" s="157" t="s">
        <v>6318</v>
      </c>
      <c r="AE660" s="157" t="s">
        <v>6319</v>
      </c>
      <c r="AF660" s="157" t="s">
        <v>5684</v>
      </c>
      <c r="AI660" s="157" t="e">
        <f aca="false">IF(AND($E660=Subj_OccCode,Subj_BldgSF&gt;0,ABS($L660-Subj_BldgSF)&lt;=Subj_BldgSF*Subj_SizeTol),ABS($L660-Subj_BldgSF),NA())</f>
        <v>#N/A</v>
      </c>
      <c r="AJ660" s="1" t="e">
        <f aca="false">IF(ISNA(AI660),NA(),AI660+ROW()/10000000)</f>
        <v>#N/A</v>
      </c>
      <c r="AK660" s="157" t="str">
        <f aca="false">IF(AND(ISNUMBER($N660),$N660&gt;0,ISNUMBER($Y660)),$Y660/$N660,"")</f>
        <v/>
      </c>
    </row>
    <row r="661" customFormat="false" ht="15" hidden="false" customHeight="true" outlineLevel="0" collapsed="false">
      <c r="A661" s="438" t="n">
        <v>8</v>
      </c>
      <c r="B661" s="157" t="n">
        <v>657</v>
      </c>
      <c r="C661" s="157" t="s">
        <v>6320</v>
      </c>
      <c r="D661" s="157" t="s">
        <v>6321</v>
      </c>
      <c r="E661" s="157" t="n">
        <v>407</v>
      </c>
      <c r="G661" s="157" t="s">
        <v>2691</v>
      </c>
      <c r="H661" s="78" t="n">
        <f aca="false">Y661/J661</f>
        <v>176.297513966813</v>
      </c>
      <c r="I661" s="439" t="n">
        <v>43230</v>
      </c>
      <c r="J661" s="157" t="n">
        <v>419745</v>
      </c>
      <c r="L661" s="157" t="n">
        <v>419745</v>
      </c>
      <c r="M661" s="157" t="n">
        <v>2016</v>
      </c>
      <c r="R661" s="174" t="s">
        <v>279</v>
      </c>
      <c r="S661" s="157" t="n">
        <v>1078261</v>
      </c>
      <c r="T661" s="440" t="n">
        <f aca="false">S661/J661</f>
        <v>2.5688477528023</v>
      </c>
      <c r="U661" s="157" t="s">
        <v>279</v>
      </c>
      <c r="Y661" s="157" t="n">
        <v>74000000</v>
      </c>
      <c r="AA661" s="157" t="n">
        <v>74000000</v>
      </c>
      <c r="AC661" s="157" t="s">
        <v>6322</v>
      </c>
      <c r="AD661" s="157" t="s">
        <v>6323</v>
      </c>
      <c r="AE661" s="157" t="s">
        <v>6324</v>
      </c>
      <c r="AF661" s="157" t="s">
        <v>6325</v>
      </c>
      <c r="AI661" s="157" t="e">
        <f aca="false">IF(AND($E661=Subj_OccCode,Subj_BldgSF&gt;0,ABS($L661-Subj_BldgSF)&lt;=Subj_BldgSF*Subj_SizeTol),ABS($L661-Subj_BldgSF),NA())</f>
        <v>#N/A</v>
      </c>
      <c r="AJ661" s="1" t="e">
        <f aca="false">IF(ISNA(AI661),NA(),AI661+ROW()/10000000)</f>
        <v>#N/A</v>
      </c>
      <c r="AK661" s="157" t="str">
        <f aca="false">IF(AND(ISNUMBER($N661),$N661&gt;0,ISNUMBER($Y661)),$Y661/$N661,"")</f>
        <v/>
      </c>
    </row>
    <row r="662" customFormat="false" ht="15" hidden="false" customHeight="true" outlineLevel="0" collapsed="false">
      <c r="A662" s="438" t="n">
        <v>8</v>
      </c>
      <c r="B662" s="157" t="n">
        <v>658</v>
      </c>
      <c r="C662" s="157" t="s">
        <v>6326</v>
      </c>
      <c r="D662" s="157" t="s">
        <v>6327</v>
      </c>
      <c r="E662" s="157" t="n">
        <v>353</v>
      </c>
      <c r="F662" s="157" t="s">
        <v>2581</v>
      </c>
      <c r="G662" s="157" t="s">
        <v>2567</v>
      </c>
      <c r="H662" s="78" t="n">
        <f aca="false">Y662/J662</f>
        <v>283.516483516484</v>
      </c>
      <c r="I662" s="439" t="n">
        <v>44179</v>
      </c>
      <c r="J662" s="157" t="n">
        <v>2275</v>
      </c>
      <c r="L662" s="157" t="n">
        <v>2275</v>
      </c>
      <c r="M662" s="157" t="n">
        <v>1971</v>
      </c>
      <c r="P662" s="157" t="s">
        <v>2588</v>
      </c>
      <c r="R662" s="174" t="s">
        <v>279</v>
      </c>
      <c r="S662" s="157" t="n">
        <v>20140</v>
      </c>
      <c r="T662" s="440" t="n">
        <f aca="false">S662/J662</f>
        <v>8.85274725274725</v>
      </c>
      <c r="U662" s="157" t="s">
        <v>279</v>
      </c>
      <c r="Y662" s="157" t="n">
        <v>645000</v>
      </c>
      <c r="AA662" s="157" t="n">
        <v>645000</v>
      </c>
      <c r="AC662" s="157" t="s">
        <v>6328</v>
      </c>
      <c r="AD662" s="157" t="s">
        <v>6329</v>
      </c>
      <c r="AE662" s="157" t="s">
        <v>6330</v>
      </c>
      <c r="AF662" s="157" t="s">
        <v>6331</v>
      </c>
      <c r="AI662" s="157" t="e">
        <f aca="false">IF(AND($E662=Subj_OccCode,Subj_BldgSF&gt;0,ABS($L662-Subj_BldgSF)&lt;=Subj_BldgSF*Subj_SizeTol),ABS($L662-Subj_BldgSF),NA())</f>
        <v>#N/A</v>
      </c>
      <c r="AJ662" s="1" t="e">
        <f aca="false">IF(ISNA(AI662),NA(),AI662+ROW()/10000000)</f>
        <v>#N/A</v>
      </c>
      <c r="AK662" s="157" t="str">
        <f aca="false">IF(AND(ISNUMBER($N662),$N662&gt;0,ISNUMBER($Y662)),$Y662/$N662,"")</f>
        <v/>
      </c>
    </row>
    <row r="663" customFormat="false" ht="15" hidden="false" customHeight="true" outlineLevel="0" collapsed="false">
      <c r="A663" s="438" t="n">
        <v>8</v>
      </c>
      <c r="B663" s="157" t="n">
        <v>659</v>
      </c>
      <c r="C663" s="157" t="s">
        <v>6332</v>
      </c>
      <c r="D663" s="157" t="s">
        <v>6333</v>
      </c>
      <c r="E663" s="157" t="n">
        <v>406</v>
      </c>
      <c r="F663" s="157" t="s">
        <v>2595</v>
      </c>
      <c r="G663" s="157" t="s">
        <v>2596</v>
      </c>
      <c r="H663" s="78" t="n">
        <f aca="false">Y663/J663</f>
        <v>184.959659004415</v>
      </c>
      <c r="I663" s="439" t="n">
        <v>44351</v>
      </c>
      <c r="J663" s="157" t="n">
        <v>32845</v>
      </c>
      <c r="L663" s="157" t="n">
        <v>32845</v>
      </c>
      <c r="M663" s="157" t="n">
        <v>2013</v>
      </c>
      <c r="P663" s="157" t="s">
        <v>2713</v>
      </c>
      <c r="R663" s="174" t="s">
        <v>279</v>
      </c>
      <c r="S663" s="157" t="n">
        <v>297945</v>
      </c>
      <c r="T663" s="440" t="n">
        <f aca="false">S663/J663</f>
        <v>9.0712437205054</v>
      </c>
      <c r="U663" s="157" t="s">
        <v>279</v>
      </c>
      <c r="Y663" s="157" t="n">
        <v>6075000</v>
      </c>
      <c r="AA663" s="157" t="n">
        <v>6075000</v>
      </c>
      <c r="AC663" s="157" t="s">
        <v>6334</v>
      </c>
      <c r="AD663" s="157" t="s">
        <v>6335</v>
      </c>
      <c r="AE663" s="157" t="s">
        <v>6336</v>
      </c>
      <c r="AF663" s="157" t="s">
        <v>6337</v>
      </c>
      <c r="AI663" s="157" t="e">
        <f aca="false">IF(AND($E663=Subj_OccCode,Subj_BldgSF&gt;0,ABS($L663-Subj_BldgSF)&lt;=Subj_BldgSF*Subj_SizeTol),ABS($L663-Subj_BldgSF),NA())</f>
        <v>#N/A</v>
      </c>
      <c r="AJ663" s="1" t="e">
        <f aca="false">IF(ISNA(AI663),NA(),AI663+ROW()/10000000)</f>
        <v>#N/A</v>
      </c>
      <c r="AK663" s="157" t="str">
        <f aca="false">IF(AND(ISNUMBER($N663),$N663&gt;0,ISNUMBER($Y663)),$Y663/$N663,"")</f>
        <v/>
      </c>
    </row>
    <row r="664" customFormat="false" ht="15" hidden="false" customHeight="true" outlineLevel="0" collapsed="false">
      <c r="A664" s="438" t="n">
        <v>8</v>
      </c>
      <c r="B664" s="157" t="n">
        <v>660</v>
      </c>
      <c r="C664" s="157" t="s">
        <v>6338</v>
      </c>
      <c r="D664" s="157" t="s">
        <v>6339</v>
      </c>
      <c r="E664" s="157" t="n">
        <v>344</v>
      </c>
      <c r="F664" s="157" t="s">
        <v>2581</v>
      </c>
      <c r="G664" s="157" t="s">
        <v>2567</v>
      </c>
      <c r="H664" s="78" t="n">
        <f aca="false">Y664/J664</f>
        <v>352.697095435685</v>
      </c>
      <c r="I664" s="439" t="n">
        <v>44091</v>
      </c>
      <c r="J664" s="157" t="n">
        <v>2410</v>
      </c>
      <c r="L664" s="157" t="n">
        <v>2410</v>
      </c>
      <c r="M664" s="157" t="n">
        <v>1971</v>
      </c>
      <c r="P664" s="157" t="s">
        <v>3486</v>
      </c>
      <c r="R664" s="174" t="s">
        <v>279</v>
      </c>
      <c r="S664" s="157" t="n">
        <v>23139</v>
      </c>
      <c r="T664" s="440" t="n">
        <f aca="false">S664/J664</f>
        <v>9.60124481327801</v>
      </c>
      <c r="U664" s="157" t="s">
        <v>279</v>
      </c>
      <c r="Y664" s="157" t="n">
        <v>850000</v>
      </c>
      <c r="AA664" s="157" t="n">
        <v>850000</v>
      </c>
      <c r="AC664" s="157" t="s">
        <v>6340</v>
      </c>
      <c r="AD664" s="157" t="s">
        <v>6341</v>
      </c>
      <c r="AE664" s="157" t="s">
        <v>6342</v>
      </c>
      <c r="AF664" s="157" t="s">
        <v>6343</v>
      </c>
      <c r="AI664" s="157" t="e">
        <f aca="false">IF(AND($E664=Subj_OccCode,Subj_BldgSF&gt;0,ABS($L664-Subj_BldgSF)&lt;=Subj_BldgSF*Subj_SizeTol),ABS($L664-Subj_BldgSF),NA())</f>
        <v>#N/A</v>
      </c>
      <c r="AJ664" s="1" t="e">
        <f aca="false">IF(ISNA(AI664),NA(),AI664+ROW()/10000000)</f>
        <v>#N/A</v>
      </c>
      <c r="AK664" s="157" t="str">
        <f aca="false">IF(AND(ISNUMBER($N664),$N664&gt;0,ISNUMBER($Y664)),$Y664/$N664,"")</f>
        <v/>
      </c>
    </row>
    <row r="665" customFormat="false" ht="15" hidden="false" customHeight="true" outlineLevel="0" collapsed="false">
      <c r="A665" s="438" t="n">
        <v>8</v>
      </c>
      <c r="B665" s="157" t="n">
        <v>661</v>
      </c>
      <c r="C665" s="157" t="s">
        <v>6344</v>
      </c>
      <c r="D665" s="157" t="s">
        <v>6345</v>
      </c>
      <c r="E665" s="157" t="n">
        <v>444</v>
      </c>
      <c r="F665" s="157" t="s">
        <v>3272</v>
      </c>
      <c r="G665" s="157" t="s">
        <v>2567</v>
      </c>
      <c r="H665" s="78" t="n">
        <f aca="false">Y665/J665</f>
        <v>469.892098851375</v>
      </c>
      <c r="I665" s="439" t="n">
        <v>44523</v>
      </c>
      <c r="J665" s="157" t="n">
        <v>2873</v>
      </c>
      <c r="L665" s="157" t="n">
        <v>2873</v>
      </c>
      <c r="M665" s="157" t="n">
        <v>2001</v>
      </c>
      <c r="P665" s="157" t="s">
        <v>3273</v>
      </c>
      <c r="R665" s="174" t="s">
        <v>483</v>
      </c>
      <c r="S665" s="157" t="n">
        <v>3588</v>
      </c>
      <c r="T665" s="440" t="n">
        <f aca="false">S665/J665</f>
        <v>1.24886877828054</v>
      </c>
      <c r="U665" s="157" t="s">
        <v>483</v>
      </c>
      <c r="Y665" s="157" t="n">
        <v>1350000</v>
      </c>
      <c r="AA665" s="157" t="n">
        <v>1350000</v>
      </c>
      <c r="AC665" s="157" t="s">
        <v>6346</v>
      </c>
      <c r="AD665" s="157" t="s">
        <v>6347</v>
      </c>
      <c r="AE665" s="157" t="s">
        <v>6348</v>
      </c>
      <c r="AF665" s="157" t="s">
        <v>6349</v>
      </c>
      <c r="AI665" s="157" t="e">
        <f aca="false">IF(AND($E665=Subj_OccCode,Subj_BldgSF&gt;0,ABS($L665-Subj_BldgSF)&lt;=Subj_BldgSF*Subj_SizeTol),ABS($L665-Subj_BldgSF),NA())</f>
        <v>#N/A</v>
      </c>
      <c r="AJ665" s="1" t="e">
        <f aca="false">IF(ISNA(AI665),NA(),AI665+ROW()/10000000)</f>
        <v>#N/A</v>
      </c>
      <c r="AK665" s="157" t="str">
        <f aca="false">IF(AND(ISNUMBER($N665),$N665&gt;0,ISNUMBER($Y665)),$Y665/$N665,"")</f>
        <v/>
      </c>
    </row>
    <row r="666" customFormat="false" ht="15" hidden="false" customHeight="true" outlineLevel="0" collapsed="false">
      <c r="A666" s="438" t="n">
        <v>8</v>
      </c>
      <c r="B666" s="157" t="n">
        <v>662</v>
      </c>
      <c r="C666" s="157" t="s">
        <v>6350</v>
      </c>
      <c r="D666" s="157" t="s">
        <v>6351</v>
      </c>
      <c r="E666" s="157" t="n">
        <v>442</v>
      </c>
      <c r="F666" s="157" t="s">
        <v>2921</v>
      </c>
      <c r="G666" s="157" t="s">
        <v>2691</v>
      </c>
      <c r="H666" s="78" t="n">
        <f aca="false">Y666/J666</f>
        <v>150.518341307815</v>
      </c>
      <c r="I666" s="439" t="n">
        <v>43159</v>
      </c>
      <c r="J666" s="157" t="n">
        <v>5016</v>
      </c>
      <c r="L666" s="157" t="n">
        <v>5016</v>
      </c>
      <c r="M666" s="157" t="n">
        <v>1941</v>
      </c>
      <c r="R666" s="174" t="s">
        <v>279</v>
      </c>
      <c r="S666" s="157" t="n">
        <v>42636</v>
      </c>
      <c r="T666" s="440" t="n">
        <f aca="false">S666/J666</f>
        <v>8.5</v>
      </c>
      <c r="U666" s="157" t="s">
        <v>279</v>
      </c>
      <c r="Y666" s="157" t="n">
        <v>755000</v>
      </c>
      <c r="AA666" s="157" t="n">
        <v>755000</v>
      </c>
      <c r="AC666" s="157" t="s">
        <v>6352</v>
      </c>
      <c r="AD666" s="157" t="s">
        <v>6353</v>
      </c>
      <c r="AE666" s="157" t="s">
        <v>6354</v>
      </c>
      <c r="AF666" s="157" t="s">
        <v>6355</v>
      </c>
      <c r="AI666" s="157" t="e">
        <f aca="false">IF(AND($E666=Subj_OccCode,Subj_BldgSF&gt;0,ABS($L666-Subj_BldgSF)&lt;=Subj_BldgSF*Subj_SizeTol),ABS($L666-Subj_BldgSF),NA())</f>
        <v>#N/A</v>
      </c>
      <c r="AJ666" s="1" t="e">
        <f aca="false">IF(ISNA(AI666),NA(),AI666+ROW()/10000000)</f>
        <v>#N/A</v>
      </c>
      <c r="AK666" s="157" t="str">
        <f aca="false">IF(AND(ISNUMBER($N666),$N666&gt;0,ISNUMBER($Y666)),$Y666/$N666,"")</f>
        <v/>
      </c>
    </row>
    <row r="667" customFormat="false" ht="15" hidden="false" customHeight="true" outlineLevel="0" collapsed="false">
      <c r="A667" s="438" t="n">
        <v>8</v>
      </c>
      <c r="B667" s="157" t="n">
        <v>663</v>
      </c>
      <c r="C667" s="157" t="s">
        <v>6356</v>
      </c>
      <c r="D667" s="157" t="s">
        <v>6357</v>
      </c>
      <c r="E667" s="157" t="n">
        <v>386</v>
      </c>
      <c r="F667" s="157" t="s">
        <v>2566</v>
      </c>
      <c r="G667" s="157" t="s">
        <v>2567</v>
      </c>
      <c r="H667" s="78" t="n">
        <f aca="false">Y667/J667</f>
        <v>85.3606487409304</v>
      </c>
      <c r="I667" s="439" t="n">
        <v>44545</v>
      </c>
      <c r="J667" s="157" t="n">
        <v>11715</v>
      </c>
      <c r="L667" s="157" t="n">
        <v>11715</v>
      </c>
      <c r="M667" s="157" t="n">
        <v>2016</v>
      </c>
      <c r="P667" s="157" t="s">
        <v>3600</v>
      </c>
      <c r="R667" s="174" t="s">
        <v>279</v>
      </c>
      <c r="S667" s="157" t="n">
        <v>34033</v>
      </c>
      <c r="T667" s="440" t="n">
        <f aca="false">S667/J667</f>
        <v>2.90507895860009</v>
      </c>
      <c r="U667" s="157" t="s">
        <v>279</v>
      </c>
      <c r="Y667" s="157" t="n">
        <v>1000000</v>
      </c>
      <c r="AA667" s="157" t="n">
        <v>1000000</v>
      </c>
      <c r="AC667" s="157" t="s">
        <v>6358</v>
      </c>
      <c r="AD667" s="157" t="s">
        <v>6359</v>
      </c>
      <c r="AE667" s="157" t="s">
        <v>6360</v>
      </c>
      <c r="AF667" s="157" t="s">
        <v>6361</v>
      </c>
      <c r="AI667" s="157" t="e">
        <f aca="false">IF(AND($E667=Subj_OccCode,Subj_BldgSF&gt;0,ABS($L667-Subj_BldgSF)&lt;=Subj_BldgSF*Subj_SizeTol),ABS($L667-Subj_BldgSF),NA())</f>
        <v>#N/A</v>
      </c>
      <c r="AJ667" s="1" t="e">
        <f aca="false">IF(ISNA(AI667),NA(),AI667+ROW()/10000000)</f>
        <v>#N/A</v>
      </c>
      <c r="AK667" s="157" t="str">
        <f aca="false">IF(AND(ISNUMBER($N667),$N667&gt;0,ISNUMBER($Y667)),$Y667/$N667,"")</f>
        <v/>
      </c>
    </row>
    <row r="668" customFormat="false" ht="15" hidden="false" customHeight="true" outlineLevel="0" collapsed="false">
      <c r="A668" s="438" t="n">
        <v>8</v>
      </c>
      <c r="B668" s="157" t="n">
        <v>664</v>
      </c>
      <c r="C668" s="157" t="s">
        <v>6362</v>
      </c>
      <c r="D668" s="157" t="s">
        <v>6363</v>
      </c>
      <c r="E668" s="157" t="n">
        <v>425</v>
      </c>
      <c r="F668" s="157" t="s">
        <v>2581</v>
      </c>
      <c r="G668" s="157" t="s">
        <v>354</v>
      </c>
      <c r="H668" s="78" t="n">
        <f aca="false">Y668/J668</f>
        <v>150</v>
      </c>
      <c r="I668" s="439" t="n">
        <v>43920</v>
      </c>
      <c r="J668" s="157" t="n">
        <v>4000</v>
      </c>
      <c r="L668" s="157" t="n">
        <v>4000</v>
      </c>
      <c r="M668" s="157" t="n">
        <v>2016</v>
      </c>
      <c r="P668" s="157" t="s">
        <v>2588</v>
      </c>
      <c r="R668" s="174" t="s">
        <v>483</v>
      </c>
      <c r="S668" s="157" t="n">
        <v>5569</v>
      </c>
      <c r="T668" s="440" t="n">
        <f aca="false">S668/J668</f>
        <v>1.39225</v>
      </c>
      <c r="U668" s="157" t="s">
        <v>483</v>
      </c>
      <c r="Y668" s="157" t="n">
        <v>600000</v>
      </c>
      <c r="AA668" s="157" t="n">
        <v>600000</v>
      </c>
      <c r="AC668" s="157" t="s">
        <v>6364</v>
      </c>
      <c r="AD668" s="157" t="s">
        <v>6365</v>
      </c>
      <c r="AE668" s="157" t="s">
        <v>6366</v>
      </c>
      <c r="AF668" s="157" t="s">
        <v>6367</v>
      </c>
      <c r="AI668" s="157" t="e">
        <f aca="false">IF(AND($E668=Subj_OccCode,Subj_BldgSF&gt;0,ABS($L668-Subj_BldgSF)&lt;=Subj_BldgSF*Subj_SizeTol),ABS($L668-Subj_BldgSF),NA())</f>
        <v>#N/A</v>
      </c>
      <c r="AJ668" s="1" t="e">
        <f aca="false">IF(ISNA(AI668),NA(),AI668+ROW()/10000000)</f>
        <v>#N/A</v>
      </c>
      <c r="AK668" s="157" t="str">
        <f aca="false">IF(AND(ISNUMBER($N668),$N668&gt;0,ISNUMBER($Y668)),$Y668/$N668,"")</f>
        <v/>
      </c>
    </row>
    <row r="669" customFormat="false" ht="15" hidden="false" customHeight="true" outlineLevel="0" collapsed="false">
      <c r="A669" s="438" t="n">
        <v>8</v>
      </c>
      <c r="B669" s="157" t="n">
        <v>665</v>
      </c>
      <c r="C669" s="157" t="s">
        <v>6368</v>
      </c>
      <c r="D669" s="157" t="s">
        <v>2860</v>
      </c>
      <c r="E669" s="157" t="n">
        <v>425</v>
      </c>
      <c r="F669" s="157" t="s">
        <v>2581</v>
      </c>
      <c r="G669" s="157" t="s">
        <v>354</v>
      </c>
      <c r="H669" s="78" t="n">
        <f aca="false">Y669/J669</f>
        <v>42.9889998735618</v>
      </c>
      <c r="I669" s="439" t="n">
        <v>44316</v>
      </c>
      <c r="J669" s="157" t="n">
        <v>15818</v>
      </c>
      <c r="L669" s="157" t="n">
        <v>15818</v>
      </c>
      <c r="M669" s="157" t="n">
        <v>2016</v>
      </c>
      <c r="P669" s="157" t="s">
        <v>2588</v>
      </c>
      <c r="R669" s="174" t="s">
        <v>483</v>
      </c>
      <c r="S669" s="157" t="n">
        <v>5569</v>
      </c>
      <c r="T669" s="440" t="n">
        <f aca="false">S669/J669</f>
        <v>0.352067265140979</v>
      </c>
      <c r="U669" s="157" t="s">
        <v>483</v>
      </c>
      <c r="Y669" s="157" t="n">
        <v>680000</v>
      </c>
      <c r="AA669" s="157" t="n">
        <v>680000</v>
      </c>
      <c r="AC669" s="157" t="s">
        <v>6369</v>
      </c>
      <c r="AD669" s="157" t="s">
        <v>6370</v>
      </c>
      <c r="AE669" s="157" t="s">
        <v>6371</v>
      </c>
      <c r="AF669" s="157" t="s">
        <v>6372</v>
      </c>
      <c r="AI669" s="157" t="e">
        <f aca="false">IF(AND($E669=Subj_OccCode,Subj_BldgSF&gt;0,ABS($L669-Subj_BldgSF)&lt;=Subj_BldgSF*Subj_SizeTol),ABS($L669-Subj_BldgSF),NA())</f>
        <v>#N/A</v>
      </c>
      <c r="AJ669" s="1" t="e">
        <f aca="false">IF(ISNA(AI669),NA(),AI669+ROW()/10000000)</f>
        <v>#N/A</v>
      </c>
      <c r="AK669" s="157" t="str">
        <f aca="false">IF(AND(ISNUMBER($N669),$N669&gt;0,ISNUMBER($Y669)),$Y669/$N669,"")</f>
        <v/>
      </c>
    </row>
    <row r="670" customFormat="false" ht="15" hidden="false" customHeight="true" outlineLevel="0" collapsed="false">
      <c r="A670" s="438" t="n">
        <v>8</v>
      </c>
      <c r="B670" s="157" t="n">
        <v>666</v>
      </c>
      <c r="C670" s="157" t="s">
        <v>6373</v>
      </c>
      <c r="D670" s="157" t="s">
        <v>6374</v>
      </c>
      <c r="E670" s="157" t="n">
        <v>406</v>
      </c>
      <c r="G670" s="157" t="s">
        <v>2691</v>
      </c>
      <c r="H670" s="78" t="n">
        <f aca="false">Y670/J670</f>
        <v>224.611346658591</v>
      </c>
      <c r="I670" s="439" t="n">
        <v>44679</v>
      </c>
      <c r="J670" s="157" t="n">
        <v>19812</v>
      </c>
      <c r="L670" s="157" t="n">
        <v>19812</v>
      </c>
      <c r="M670" s="157" t="n">
        <v>2016</v>
      </c>
      <c r="P670" s="157" t="s">
        <v>2692</v>
      </c>
      <c r="R670" s="174" t="s">
        <v>483</v>
      </c>
      <c r="S670" s="157" t="n">
        <v>87120</v>
      </c>
      <c r="T670" s="440" t="n">
        <f aca="false">S670/J670</f>
        <v>4.39733494851605</v>
      </c>
      <c r="U670" s="157" t="s">
        <v>483</v>
      </c>
      <c r="Y670" s="157" t="n">
        <v>4450000</v>
      </c>
      <c r="AA670" s="157" t="n">
        <v>4450000</v>
      </c>
      <c r="AC670" s="157" t="s">
        <v>6375</v>
      </c>
      <c r="AD670" s="157" t="s">
        <v>6376</v>
      </c>
      <c r="AE670" s="157" t="s">
        <v>6377</v>
      </c>
      <c r="AF670" s="157" t="s">
        <v>6378</v>
      </c>
      <c r="AI670" s="157" t="e">
        <f aca="false">IF(AND($E670=Subj_OccCode,Subj_BldgSF&gt;0,ABS($L670-Subj_BldgSF)&lt;=Subj_BldgSF*Subj_SizeTol),ABS($L670-Subj_BldgSF),NA())</f>
        <v>#N/A</v>
      </c>
      <c r="AJ670" s="1" t="e">
        <f aca="false">IF(ISNA(AI670),NA(),AI670+ROW()/10000000)</f>
        <v>#N/A</v>
      </c>
      <c r="AK670" s="157" t="str">
        <f aca="false">IF(AND(ISNUMBER($N670),$N670&gt;0,ISNUMBER($Y670)),$Y670/$N670,"")</f>
        <v/>
      </c>
    </row>
    <row r="671" customFormat="false" ht="15" hidden="false" customHeight="true" outlineLevel="0" collapsed="false">
      <c r="A671" s="438" t="n">
        <v>8</v>
      </c>
      <c r="B671" s="157" t="n">
        <v>667</v>
      </c>
      <c r="C671" s="157" t="s">
        <v>6379</v>
      </c>
      <c r="D671" s="157" t="s">
        <v>6380</v>
      </c>
      <c r="E671" s="157" t="n">
        <v>353</v>
      </c>
      <c r="F671" s="157" t="s">
        <v>2595</v>
      </c>
      <c r="G671" s="157" t="s">
        <v>2596</v>
      </c>
      <c r="H671" s="78" t="n">
        <f aca="false">Y671/J671</f>
        <v>136.082474226804</v>
      </c>
      <c r="I671" s="439" t="n">
        <v>43159</v>
      </c>
      <c r="J671" s="157" t="n">
        <v>4850</v>
      </c>
      <c r="L671" s="157" t="n">
        <v>4850</v>
      </c>
      <c r="M671" s="157" t="n">
        <v>1952</v>
      </c>
      <c r="R671" s="174" t="s">
        <v>279</v>
      </c>
      <c r="S671" s="157" t="n">
        <v>6282</v>
      </c>
      <c r="T671" s="440" t="n">
        <f aca="false">S671/J671</f>
        <v>1.29525773195876</v>
      </c>
      <c r="U671" s="157" t="s">
        <v>279</v>
      </c>
      <c r="Y671" s="157" t="n">
        <v>660000</v>
      </c>
      <c r="AA671" s="157" t="n">
        <v>660000</v>
      </c>
      <c r="AC671" s="157" t="s">
        <v>6381</v>
      </c>
      <c r="AD671" s="157" t="s">
        <v>6382</v>
      </c>
      <c r="AE671" s="157" t="s">
        <v>6383</v>
      </c>
      <c r="AF671" s="157" t="s">
        <v>6384</v>
      </c>
      <c r="AI671" s="157" t="e">
        <f aca="false">IF(AND($E671=Subj_OccCode,Subj_BldgSF&gt;0,ABS($L671-Subj_BldgSF)&lt;=Subj_BldgSF*Subj_SizeTol),ABS($L671-Subj_BldgSF),NA())</f>
        <v>#N/A</v>
      </c>
      <c r="AJ671" s="1" t="e">
        <f aca="false">IF(ISNA(AI671),NA(),AI671+ROW()/10000000)</f>
        <v>#N/A</v>
      </c>
      <c r="AK671" s="157" t="str">
        <f aca="false">IF(AND(ISNUMBER($N671),$N671&gt;0,ISNUMBER($Y671)),$Y671/$N671,"")</f>
        <v/>
      </c>
    </row>
    <row r="672" customFormat="false" ht="15" hidden="false" customHeight="true" outlineLevel="0" collapsed="false">
      <c r="A672" s="438" t="n">
        <v>8</v>
      </c>
      <c r="B672" s="157" t="n">
        <v>668</v>
      </c>
      <c r="C672" s="157" t="s">
        <v>6385</v>
      </c>
      <c r="D672" s="157" t="s">
        <v>6386</v>
      </c>
      <c r="E672" s="157" t="n">
        <v>325</v>
      </c>
      <c r="F672" s="157" t="s">
        <v>2921</v>
      </c>
      <c r="G672" s="157" t="s">
        <v>353</v>
      </c>
      <c r="H672" s="78" t="n">
        <f aca="false">Y672/J672</f>
        <v>662.154208357858</v>
      </c>
      <c r="I672" s="439" t="n">
        <v>44579</v>
      </c>
      <c r="J672" s="157" t="n">
        <v>3398</v>
      </c>
      <c r="L672" s="157" t="n">
        <v>3398</v>
      </c>
      <c r="M672" s="157" t="n">
        <v>2017</v>
      </c>
      <c r="P672" s="157" t="s">
        <v>4047</v>
      </c>
      <c r="R672" s="174" t="s">
        <v>279</v>
      </c>
      <c r="S672" s="157" t="n">
        <v>236811.9798</v>
      </c>
      <c r="T672" s="440" t="n">
        <f aca="false">S672/J672</f>
        <v>69.6915773396115</v>
      </c>
      <c r="U672" s="157" t="s">
        <v>279</v>
      </c>
      <c r="Y672" s="157" t="n">
        <v>2250000</v>
      </c>
      <c r="AA672" s="157" t="n">
        <v>2250000</v>
      </c>
      <c r="AC672" s="157" t="s">
        <v>6387</v>
      </c>
      <c r="AD672" s="157" t="s">
        <v>6388</v>
      </c>
      <c r="AE672" s="157" t="s">
        <v>6389</v>
      </c>
      <c r="AF672" s="157" t="s">
        <v>6390</v>
      </c>
      <c r="AI672" s="157" t="e">
        <f aca="false">IF(AND($E672=Subj_OccCode,Subj_BldgSF&gt;0,ABS($L672-Subj_BldgSF)&lt;=Subj_BldgSF*Subj_SizeTol),ABS($L672-Subj_BldgSF),NA())</f>
        <v>#N/A</v>
      </c>
      <c r="AJ672" s="1" t="e">
        <f aca="false">IF(ISNA(AI672),NA(),AI672+ROW()/10000000)</f>
        <v>#N/A</v>
      </c>
      <c r="AK672" s="157" t="str">
        <f aca="false">IF(AND(ISNUMBER($N672),$N672&gt;0,ISNUMBER($Y672)),$Y672/$N672,"")</f>
        <v/>
      </c>
    </row>
    <row r="673" customFormat="false" ht="15" hidden="false" customHeight="true" outlineLevel="0" collapsed="false">
      <c r="A673" s="438" t="n">
        <v>8</v>
      </c>
      <c r="B673" s="157" t="n">
        <v>669</v>
      </c>
      <c r="C673" s="157" t="s">
        <v>6391</v>
      </c>
      <c r="D673" s="157" t="s">
        <v>6392</v>
      </c>
      <c r="E673" s="157" t="n">
        <v>350</v>
      </c>
      <c r="F673" s="157" t="s">
        <v>2921</v>
      </c>
      <c r="G673" s="157" t="s">
        <v>353</v>
      </c>
      <c r="H673" s="78" t="n">
        <f aca="false">Y673/J673</f>
        <v>405.872011251758</v>
      </c>
      <c r="I673" s="439" t="n">
        <v>44553</v>
      </c>
      <c r="J673" s="157" t="n">
        <v>5688</v>
      </c>
      <c r="L673" s="157" t="n">
        <v>5688</v>
      </c>
      <c r="M673" s="157" t="n">
        <v>2016</v>
      </c>
      <c r="P673" s="157" t="s">
        <v>4047</v>
      </c>
      <c r="R673" s="174" t="s">
        <v>483</v>
      </c>
      <c r="S673" s="157" t="n">
        <v>58589</v>
      </c>
      <c r="T673" s="440" t="n">
        <f aca="false">S673/J673</f>
        <v>10.3004571026723</v>
      </c>
      <c r="U673" s="157" t="s">
        <v>483</v>
      </c>
      <c r="Y673" s="157" t="n">
        <v>2308600</v>
      </c>
      <c r="AA673" s="157" t="n">
        <v>2308600</v>
      </c>
      <c r="AC673" s="157" t="s">
        <v>6393</v>
      </c>
      <c r="AD673" s="157" t="s">
        <v>6394</v>
      </c>
      <c r="AE673" s="157" t="s">
        <v>6395</v>
      </c>
      <c r="AF673" s="157" t="s">
        <v>6396</v>
      </c>
      <c r="AI673" s="157" t="e">
        <f aca="false">IF(AND($E673=Subj_OccCode,Subj_BldgSF&gt;0,ABS($L673-Subj_BldgSF)&lt;=Subj_BldgSF*Subj_SizeTol),ABS($L673-Subj_BldgSF),NA())</f>
        <v>#N/A</v>
      </c>
      <c r="AJ673" s="1" t="e">
        <f aca="false">IF(ISNA(AI673),NA(),AI673+ROW()/10000000)</f>
        <v>#N/A</v>
      </c>
      <c r="AK673" s="157" t="str">
        <f aca="false">IF(AND(ISNUMBER($N673),$N673&gt;0,ISNUMBER($Y673)),$Y673/$N673,"")</f>
        <v/>
      </c>
    </row>
    <row r="674" customFormat="false" ht="15" hidden="false" customHeight="true" outlineLevel="0" collapsed="false">
      <c r="A674" s="438" t="n">
        <v>8</v>
      </c>
      <c r="B674" s="157" t="n">
        <v>670</v>
      </c>
      <c r="C674" s="157" t="s">
        <v>6397</v>
      </c>
      <c r="D674" s="157" t="s">
        <v>6398</v>
      </c>
      <c r="E674" s="157" t="n">
        <v>210</v>
      </c>
      <c r="F674" s="157" t="s">
        <v>2921</v>
      </c>
      <c r="G674" s="157" t="s">
        <v>2691</v>
      </c>
      <c r="H674" s="78" t="n">
        <f aca="false">Y674/J674</f>
        <v>160</v>
      </c>
      <c r="I674" s="439" t="n">
        <v>44559</v>
      </c>
      <c r="J674" s="157" t="n">
        <v>25000</v>
      </c>
      <c r="L674" s="157" t="n">
        <v>25000</v>
      </c>
      <c r="M674" s="157" t="n">
        <v>2018</v>
      </c>
      <c r="P674" s="157" t="s">
        <v>3293</v>
      </c>
      <c r="R674" s="174" t="s">
        <v>279</v>
      </c>
      <c r="S674" s="157" t="n">
        <v>72506</v>
      </c>
      <c r="T674" s="440" t="n">
        <f aca="false">S674/J674</f>
        <v>2.90024</v>
      </c>
      <c r="U674" s="157" t="s">
        <v>279</v>
      </c>
      <c r="Y674" s="157" t="n">
        <v>4000000</v>
      </c>
      <c r="AA674" s="157" t="n">
        <v>4000000</v>
      </c>
      <c r="AC674" s="157" t="s">
        <v>6399</v>
      </c>
      <c r="AD674" s="157" t="s">
        <v>6400</v>
      </c>
      <c r="AE674" s="157" t="s">
        <v>6401</v>
      </c>
      <c r="AF674" s="157" t="s">
        <v>6402</v>
      </c>
      <c r="AI674" s="157" t="e">
        <f aca="false">IF(AND($E674=Subj_OccCode,Subj_BldgSF&gt;0,ABS($L674-Subj_BldgSF)&lt;=Subj_BldgSF*Subj_SizeTol),ABS($L674-Subj_BldgSF),NA())</f>
        <v>#N/A</v>
      </c>
      <c r="AJ674" s="1" t="e">
        <f aca="false">IF(ISNA(AI674),NA(),AI674+ROW()/10000000)</f>
        <v>#N/A</v>
      </c>
      <c r="AK674" s="157" t="str">
        <f aca="false">IF(AND(ISNUMBER($N674),$N674&gt;0,ISNUMBER($Y674)),$Y674/$N674,"")</f>
        <v/>
      </c>
    </row>
    <row r="675" customFormat="false" ht="15" hidden="false" customHeight="true" outlineLevel="0" collapsed="false">
      <c r="A675" s="438" t="n">
        <v>8</v>
      </c>
      <c r="B675" s="157" t="n">
        <v>671</v>
      </c>
      <c r="C675" s="157" t="s">
        <v>6403</v>
      </c>
      <c r="D675" s="157" t="s">
        <v>6404</v>
      </c>
      <c r="E675" s="157" t="n">
        <v>334</v>
      </c>
      <c r="F675" s="157" t="s">
        <v>2581</v>
      </c>
      <c r="G675" s="157" t="s">
        <v>2567</v>
      </c>
      <c r="H675" s="78" t="n">
        <f aca="false">Y675/J675</f>
        <v>140.07724137931</v>
      </c>
      <c r="I675" s="439" t="n">
        <v>43420</v>
      </c>
      <c r="J675" s="157" t="n">
        <v>36250</v>
      </c>
      <c r="L675" s="157" t="n">
        <v>36250</v>
      </c>
      <c r="M675" s="157" t="n">
        <v>2018</v>
      </c>
      <c r="R675" s="174" t="s">
        <v>279</v>
      </c>
      <c r="S675" s="157" t="n">
        <v>178992</v>
      </c>
      <c r="T675" s="440" t="n">
        <f aca="false">S675/J675</f>
        <v>4.93771034482759</v>
      </c>
      <c r="U675" s="157" t="s">
        <v>279</v>
      </c>
      <c r="Y675" s="157" t="n">
        <v>5077800</v>
      </c>
      <c r="AA675" s="157" t="n">
        <v>5077800</v>
      </c>
      <c r="AC675" s="157" t="s">
        <v>6405</v>
      </c>
      <c r="AD675" s="157" t="s">
        <v>6406</v>
      </c>
      <c r="AE675" s="157" t="s">
        <v>6407</v>
      </c>
      <c r="AF675" s="157" t="s">
        <v>6408</v>
      </c>
      <c r="AI675" s="157" t="e">
        <f aca="false">IF(AND($E675=Subj_OccCode,Subj_BldgSF&gt;0,ABS($L675-Subj_BldgSF)&lt;=Subj_BldgSF*Subj_SizeTol),ABS($L675-Subj_BldgSF),NA())</f>
        <v>#N/A</v>
      </c>
      <c r="AJ675" s="1" t="e">
        <f aca="false">IF(ISNA(AI675),NA(),AI675+ROW()/10000000)</f>
        <v>#N/A</v>
      </c>
      <c r="AK675" s="157" t="str">
        <f aca="false">IF(AND(ISNUMBER($N675),$N675&gt;0,ISNUMBER($Y675)),$Y675/$N675,"")</f>
        <v/>
      </c>
    </row>
    <row r="676" customFormat="false" ht="15" hidden="false" customHeight="true" outlineLevel="0" collapsed="false">
      <c r="A676" s="438" t="n">
        <v>8</v>
      </c>
      <c r="B676" s="157" t="n">
        <v>672</v>
      </c>
      <c r="C676" s="157" t="s">
        <v>6409</v>
      </c>
      <c r="D676" s="157" t="s">
        <v>6410</v>
      </c>
      <c r="E676" s="157" t="n">
        <v>353</v>
      </c>
      <c r="F676" s="157" t="s">
        <v>2677</v>
      </c>
      <c r="G676" s="157" t="s">
        <v>2567</v>
      </c>
      <c r="H676" s="78" t="n">
        <f aca="false">Y676/J676</f>
        <v>194.708832258725</v>
      </c>
      <c r="I676" s="439" t="n">
        <v>44559</v>
      </c>
      <c r="J676" s="157" t="n">
        <v>9771</v>
      </c>
      <c r="L676" s="157" t="n">
        <v>9771</v>
      </c>
      <c r="M676" s="157" t="n">
        <v>2008</v>
      </c>
      <c r="P676" s="157" t="s">
        <v>3413</v>
      </c>
      <c r="R676" s="174" t="s">
        <v>279</v>
      </c>
      <c r="S676" s="157" t="n">
        <v>71500</v>
      </c>
      <c r="T676" s="440" t="n">
        <f aca="false">S676/J676</f>
        <v>7.31757240814656</v>
      </c>
      <c r="U676" s="157" t="s">
        <v>279</v>
      </c>
      <c r="Y676" s="157" t="n">
        <v>1902500</v>
      </c>
      <c r="AA676" s="157" t="n">
        <v>1902500</v>
      </c>
      <c r="AC676" s="157" t="s">
        <v>6411</v>
      </c>
      <c r="AD676" s="157" t="s">
        <v>6412</v>
      </c>
      <c r="AE676" s="157" t="s">
        <v>6413</v>
      </c>
      <c r="AF676" s="157" t="s">
        <v>6414</v>
      </c>
      <c r="AI676" s="157" t="e">
        <f aca="false">IF(AND($E676=Subj_OccCode,Subj_BldgSF&gt;0,ABS($L676-Subj_BldgSF)&lt;=Subj_BldgSF*Subj_SizeTol),ABS($L676-Subj_BldgSF),NA())</f>
        <v>#N/A</v>
      </c>
      <c r="AJ676" s="1" t="e">
        <f aca="false">IF(ISNA(AI676),NA(),AI676+ROW()/10000000)</f>
        <v>#N/A</v>
      </c>
      <c r="AK676" s="157" t="str">
        <f aca="false">IF(AND(ISNUMBER($N676),$N676&gt;0,ISNUMBER($Y676)),$Y676/$N676,"")</f>
        <v/>
      </c>
    </row>
    <row r="677" customFormat="false" ht="15" hidden="false" customHeight="true" outlineLevel="0" collapsed="false">
      <c r="A677" s="438" t="n">
        <v>8</v>
      </c>
      <c r="B677" s="157" t="n">
        <v>673</v>
      </c>
      <c r="C677" s="157" t="s">
        <v>6415</v>
      </c>
      <c r="D677" s="157" t="s">
        <v>6416</v>
      </c>
      <c r="E677" s="157" t="n">
        <v>406</v>
      </c>
      <c r="F677" s="157" t="s">
        <v>2921</v>
      </c>
      <c r="G677" s="157" t="s">
        <v>2691</v>
      </c>
      <c r="H677" s="78" t="n">
        <f aca="false">Y677/J677</f>
        <v>168.146136515862</v>
      </c>
      <c r="I677" s="439" t="n">
        <v>43781</v>
      </c>
      <c r="J677" s="157" t="n">
        <v>16423</v>
      </c>
      <c r="L677" s="157" t="n">
        <v>16423</v>
      </c>
      <c r="M677" s="157" t="n">
        <v>1999</v>
      </c>
      <c r="R677" s="174" t="s">
        <v>279</v>
      </c>
      <c r="S677" s="157" t="n">
        <v>80507</v>
      </c>
      <c r="T677" s="440" t="n">
        <f aca="false">S677/J677</f>
        <v>4.90208853437253</v>
      </c>
      <c r="U677" s="157" t="s">
        <v>279</v>
      </c>
      <c r="Y677" s="157" t="n">
        <v>2761464</v>
      </c>
      <c r="AA677" s="157" t="n">
        <v>2761464</v>
      </c>
      <c r="AC677" s="157" t="s">
        <v>6417</v>
      </c>
      <c r="AD677" s="157" t="s">
        <v>6418</v>
      </c>
      <c r="AE677" s="157" t="s">
        <v>6419</v>
      </c>
      <c r="AF677" s="157" t="s">
        <v>6420</v>
      </c>
      <c r="AI677" s="157" t="e">
        <f aca="false">IF(AND($E677=Subj_OccCode,Subj_BldgSF&gt;0,ABS($L677-Subj_BldgSF)&lt;=Subj_BldgSF*Subj_SizeTol),ABS($L677-Subj_BldgSF),NA())</f>
        <v>#N/A</v>
      </c>
      <c r="AJ677" s="1" t="e">
        <f aca="false">IF(ISNA(AI677),NA(),AI677+ROW()/10000000)</f>
        <v>#N/A</v>
      </c>
      <c r="AK677" s="157" t="str">
        <f aca="false">IF(AND(ISNUMBER($N677),$N677&gt;0,ISNUMBER($Y677)),$Y677/$N677,"")</f>
        <v/>
      </c>
    </row>
    <row r="678" customFormat="false" ht="15" hidden="false" customHeight="true" outlineLevel="0" collapsed="false">
      <c r="A678" s="438" t="n">
        <v>8</v>
      </c>
      <c r="B678" s="157" t="n">
        <v>674</v>
      </c>
      <c r="C678" s="157" t="s">
        <v>6421</v>
      </c>
      <c r="D678" s="157" t="s">
        <v>6422</v>
      </c>
      <c r="E678" s="157" t="n">
        <v>425</v>
      </c>
      <c r="F678" s="157" t="s">
        <v>2581</v>
      </c>
      <c r="G678" s="157" t="s">
        <v>354</v>
      </c>
      <c r="H678" s="78" t="n">
        <f aca="false">Y678/J678</f>
        <v>237.240829346093</v>
      </c>
      <c r="I678" s="439" t="n">
        <v>43444</v>
      </c>
      <c r="J678" s="157" t="n">
        <v>2508</v>
      </c>
      <c r="L678" s="157" t="n">
        <v>2508</v>
      </c>
      <c r="M678" s="157" t="n">
        <v>2018</v>
      </c>
      <c r="R678" s="174" t="s">
        <v>483</v>
      </c>
      <c r="S678" s="157" t="n">
        <v>8986</v>
      </c>
      <c r="T678" s="440" t="n">
        <f aca="false">S678/J678</f>
        <v>3.5829346092504</v>
      </c>
      <c r="U678" s="157" t="s">
        <v>279</v>
      </c>
      <c r="Y678" s="157" t="n">
        <v>595000</v>
      </c>
      <c r="AA678" s="157" t="n">
        <v>595000</v>
      </c>
      <c r="AC678" s="157" t="s">
        <v>6423</v>
      </c>
      <c r="AD678" s="157" t="s">
        <v>6424</v>
      </c>
      <c r="AE678" s="157" t="s">
        <v>6425</v>
      </c>
      <c r="AF678" s="157" t="s">
        <v>6426</v>
      </c>
      <c r="AI678" s="157" t="e">
        <f aca="false">IF(AND($E678=Subj_OccCode,Subj_BldgSF&gt;0,ABS($L678-Subj_BldgSF)&lt;=Subj_BldgSF*Subj_SizeTol),ABS($L678-Subj_BldgSF),NA())</f>
        <v>#N/A</v>
      </c>
      <c r="AJ678" s="1" t="e">
        <f aca="false">IF(ISNA(AI678),NA(),AI678+ROW()/10000000)</f>
        <v>#N/A</v>
      </c>
      <c r="AK678" s="157" t="str">
        <f aca="false">IF(AND(ISNUMBER($N678),$N678&gt;0,ISNUMBER($Y678)),$Y678/$N678,"")</f>
        <v/>
      </c>
    </row>
    <row r="679" customFormat="false" ht="15" hidden="false" customHeight="true" outlineLevel="0" collapsed="false">
      <c r="A679" s="438" t="n">
        <v>8</v>
      </c>
      <c r="B679" s="157" t="n">
        <v>675</v>
      </c>
      <c r="C679" s="157" t="s">
        <v>6427</v>
      </c>
      <c r="D679" s="157" t="s">
        <v>6428</v>
      </c>
      <c r="E679" s="157" t="n">
        <v>426</v>
      </c>
      <c r="F679" s="157" t="s">
        <v>2677</v>
      </c>
      <c r="G679" s="157" t="s">
        <v>2567</v>
      </c>
      <c r="H679" s="78" t="n">
        <f aca="false">Y679/J679</f>
        <v>370</v>
      </c>
      <c r="I679" s="439" t="n">
        <v>44712</v>
      </c>
      <c r="J679" s="157" t="n">
        <v>10000</v>
      </c>
      <c r="L679" s="157" t="n">
        <v>10000</v>
      </c>
      <c r="M679" s="157" t="n">
        <v>2018</v>
      </c>
      <c r="P679" s="157" t="s">
        <v>3307</v>
      </c>
      <c r="R679" s="174" t="s">
        <v>279</v>
      </c>
      <c r="S679" s="157" t="n">
        <v>50841</v>
      </c>
      <c r="T679" s="440" t="n">
        <f aca="false">S679/J679</f>
        <v>5.0841</v>
      </c>
      <c r="U679" s="157" t="s">
        <v>279</v>
      </c>
      <c r="Y679" s="157" t="n">
        <v>3700000</v>
      </c>
      <c r="AA679" s="157" t="n">
        <v>3700000</v>
      </c>
      <c r="AC679" s="157" t="s">
        <v>6429</v>
      </c>
      <c r="AD679" s="157" t="s">
        <v>6430</v>
      </c>
      <c r="AE679" s="157" t="s">
        <v>6431</v>
      </c>
      <c r="AF679" s="157" t="s">
        <v>6432</v>
      </c>
      <c r="AI679" s="157" t="e">
        <f aca="false">IF(AND($E679=Subj_OccCode,Subj_BldgSF&gt;0,ABS($L679-Subj_BldgSF)&lt;=Subj_BldgSF*Subj_SizeTol),ABS($L679-Subj_BldgSF),NA())</f>
        <v>#N/A</v>
      </c>
      <c r="AJ679" s="1" t="e">
        <f aca="false">IF(ISNA(AI679),NA(),AI679+ROW()/10000000)</f>
        <v>#N/A</v>
      </c>
      <c r="AK679" s="157" t="str">
        <f aca="false">IF(AND(ISNUMBER($N679),$N679&gt;0,ISNUMBER($Y679)),$Y679/$N679,"")</f>
        <v/>
      </c>
    </row>
    <row r="680" customFormat="false" ht="15" hidden="false" customHeight="true" outlineLevel="0" collapsed="false">
      <c r="A680" s="438" t="n">
        <v>8</v>
      </c>
      <c r="B680" s="157" t="n">
        <v>676</v>
      </c>
      <c r="C680" s="157" t="s">
        <v>6427</v>
      </c>
      <c r="D680" s="157" t="s">
        <v>6428</v>
      </c>
      <c r="E680" s="157" t="n">
        <v>426</v>
      </c>
      <c r="F680" s="157" t="s">
        <v>2677</v>
      </c>
      <c r="G680" s="157" t="s">
        <v>2567</v>
      </c>
      <c r="H680" s="78" t="n">
        <f aca="false">Y680/J680</f>
        <v>361.388888888889</v>
      </c>
      <c r="I680" s="439" t="n">
        <v>43301</v>
      </c>
      <c r="J680" s="157" t="n">
        <v>10080</v>
      </c>
      <c r="L680" s="157" t="n">
        <v>10080</v>
      </c>
      <c r="M680" s="157" t="n">
        <v>2018</v>
      </c>
      <c r="P680" s="157" t="s">
        <v>3307</v>
      </c>
      <c r="R680" s="174" t="s">
        <v>279</v>
      </c>
      <c r="S680" s="157" t="n">
        <v>50841</v>
      </c>
      <c r="T680" s="440" t="n">
        <f aca="false">S680/J680</f>
        <v>5.04375</v>
      </c>
      <c r="U680" s="157" t="s">
        <v>279</v>
      </c>
      <c r="Y680" s="157" t="n">
        <v>3642800</v>
      </c>
      <c r="AA680" s="157" t="n">
        <v>3642800</v>
      </c>
      <c r="AC680" s="157" t="s">
        <v>6429</v>
      </c>
      <c r="AD680" s="157" t="s">
        <v>6433</v>
      </c>
      <c r="AE680" s="157" t="s">
        <v>6434</v>
      </c>
      <c r="AF680" s="157" t="s">
        <v>6431</v>
      </c>
      <c r="AI680" s="157" t="e">
        <f aca="false">IF(AND($E680=Subj_OccCode,Subj_BldgSF&gt;0,ABS($L680-Subj_BldgSF)&lt;=Subj_BldgSF*Subj_SizeTol),ABS($L680-Subj_BldgSF),NA())</f>
        <v>#N/A</v>
      </c>
      <c r="AJ680" s="1" t="e">
        <f aca="false">IF(ISNA(AI680),NA(),AI680+ROW()/10000000)</f>
        <v>#N/A</v>
      </c>
      <c r="AK680" s="157" t="str">
        <f aca="false">IF(AND(ISNUMBER($N680),$N680&gt;0,ISNUMBER($Y680)),$Y680/$N680,"")</f>
        <v/>
      </c>
    </row>
    <row r="681" customFormat="false" ht="15" hidden="false" customHeight="true" outlineLevel="0" collapsed="false">
      <c r="A681" s="438" t="n">
        <v>8</v>
      </c>
      <c r="B681" s="157" t="n">
        <v>677</v>
      </c>
      <c r="C681" s="157" t="s">
        <v>6435</v>
      </c>
      <c r="D681" s="157" t="s">
        <v>6436</v>
      </c>
      <c r="E681" s="157" t="n">
        <v>325</v>
      </c>
      <c r="F681" s="157" t="s">
        <v>2921</v>
      </c>
      <c r="G681" s="157" t="s">
        <v>353</v>
      </c>
      <c r="H681" s="78" t="n">
        <f aca="false">Y681/J681</f>
        <v>666.93613581245</v>
      </c>
      <c r="I681" s="439" t="n">
        <v>44420</v>
      </c>
      <c r="J681" s="157" t="n">
        <v>4948</v>
      </c>
      <c r="L681" s="157" t="n">
        <v>4948</v>
      </c>
      <c r="M681" s="157" t="n">
        <v>2020</v>
      </c>
      <c r="R681" s="174" t="s">
        <v>279</v>
      </c>
      <c r="S681" s="157" t="n">
        <v>40754</v>
      </c>
      <c r="T681" s="440" t="n">
        <f aca="false">S681/J681</f>
        <v>8.23645917542442</v>
      </c>
      <c r="U681" s="157" t="s">
        <v>279</v>
      </c>
      <c r="Y681" s="157" t="n">
        <v>3300000</v>
      </c>
      <c r="AA681" s="157" t="n">
        <v>3300000</v>
      </c>
      <c r="AC681" s="157" t="s">
        <v>6437</v>
      </c>
      <c r="AD681" s="157" t="s">
        <v>6438</v>
      </c>
      <c r="AE681" s="157" t="s">
        <v>6439</v>
      </c>
      <c r="AF681" s="157" t="s">
        <v>6440</v>
      </c>
      <c r="AI681" s="157" t="e">
        <f aca="false">IF(AND($E681=Subj_OccCode,Subj_BldgSF&gt;0,ABS($L681-Subj_BldgSF)&lt;=Subj_BldgSF*Subj_SizeTol),ABS($L681-Subj_BldgSF),NA())</f>
        <v>#N/A</v>
      </c>
      <c r="AJ681" s="1" t="e">
        <f aca="false">IF(ISNA(AI681),NA(),AI681+ROW()/10000000)</f>
        <v>#N/A</v>
      </c>
      <c r="AK681" s="157" t="str">
        <f aca="false">IF(AND(ISNUMBER($N681),$N681&gt;0,ISNUMBER($Y681)),$Y681/$N681,"")</f>
        <v/>
      </c>
    </row>
    <row r="682" customFormat="false" ht="15" hidden="false" customHeight="true" outlineLevel="0" collapsed="false">
      <c r="A682" s="438" t="n">
        <v>8</v>
      </c>
      <c r="B682" s="157" t="n">
        <v>678</v>
      </c>
      <c r="C682" s="157" t="s">
        <v>6441</v>
      </c>
      <c r="D682" s="157" t="s">
        <v>6442</v>
      </c>
      <c r="E682" s="157" t="n">
        <v>1344</v>
      </c>
      <c r="F682" s="157" t="s">
        <v>2581</v>
      </c>
      <c r="G682" s="157" t="s">
        <v>354</v>
      </c>
      <c r="H682" s="78" t="n">
        <f aca="false">Y682/J682</f>
        <v>350.552486187845</v>
      </c>
      <c r="I682" s="439" t="n">
        <v>44027</v>
      </c>
      <c r="J682" s="157" t="n">
        <v>2353</v>
      </c>
      <c r="L682" s="157" t="n">
        <v>2353</v>
      </c>
      <c r="M682" s="157" t="n">
        <v>2020</v>
      </c>
      <c r="R682" s="174" t="s">
        <v>279</v>
      </c>
      <c r="S682" s="157" t="n">
        <v>2051</v>
      </c>
      <c r="T682" s="440" t="n">
        <f aca="false">S682/J682</f>
        <v>0.871653208669783</v>
      </c>
      <c r="U682" s="157" t="s">
        <v>279</v>
      </c>
      <c r="Y682" s="157" t="n">
        <v>824850</v>
      </c>
      <c r="AA682" s="157" t="n">
        <v>824850</v>
      </c>
      <c r="AC682" s="157" t="s">
        <v>6443</v>
      </c>
      <c r="AD682" s="157" t="s">
        <v>6444</v>
      </c>
      <c r="AE682" s="157" t="s">
        <v>6445</v>
      </c>
      <c r="AF682" s="157" t="s">
        <v>6446</v>
      </c>
      <c r="AI682" s="157" t="e">
        <f aca="false">IF(AND($E682=Subj_OccCode,Subj_BldgSF&gt;0,ABS($L682-Subj_BldgSF)&lt;=Subj_BldgSF*Subj_SizeTol),ABS($L682-Subj_BldgSF),NA())</f>
        <v>#N/A</v>
      </c>
      <c r="AJ682" s="1" t="e">
        <f aca="false">IF(ISNA(AI682),NA(),AI682+ROW()/10000000)</f>
        <v>#N/A</v>
      </c>
      <c r="AK682" s="157" t="str">
        <f aca="false">IF(AND(ISNUMBER($N682),$N682&gt;0,ISNUMBER($Y682)),$Y682/$N682,"")</f>
        <v/>
      </c>
    </row>
    <row r="683" customFormat="false" ht="15" hidden="false" customHeight="true" outlineLevel="0" collapsed="false">
      <c r="A683" s="438" t="n">
        <v>8</v>
      </c>
      <c r="B683" s="157" t="n">
        <v>679</v>
      </c>
      <c r="C683" s="157" t="s">
        <v>6447</v>
      </c>
      <c r="D683" s="157" t="s">
        <v>6448</v>
      </c>
      <c r="E683" s="157" t="n">
        <v>386</v>
      </c>
      <c r="F683" s="157" t="s">
        <v>260</v>
      </c>
      <c r="G683" s="157" t="s">
        <v>353</v>
      </c>
      <c r="H683" s="78" t="n">
        <f aca="false">Y683/J683</f>
        <v>168.012320903533</v>
      </c>
      <c r="I683" s="439" t="n">
        <v>44718</v>
      </c>
      <c r="J683" s="157" t="n">
        <v>107135</v>
      </c>
      <c r="L683" s="157" t="n">
        <v>107135</v>
      </c>
      <c r="M683" s="157" t="n">
        <v>2019</v>
      </c>
      <c r="P683" s="157" t="s">
        <v>261</v>
      </c>
      <c r="R683" s="174" t="s">
        <v>483</v>
      </c>
      <c r="S683" s="157" t="n">
        <v>161944</v>
      </c>
      <c r="T683" s="440" t="n">
        <f aca="false">S683/J683</f>
        <v>1.51158818313343</v>
      </c>
      <c r="U683" s="157" t="s">
        <v>483</v>
      </c>
      <c r="Y683" s="157" t="n">
        <v>18000000</v>
      </c>
      <c r="AA683" s="157" t="n">
        <v>18000000</v>
      </c>
      <c r="AC683" s="157" t="s">
        <v>6449</v>
      </c>
      <c r="AD683" s="157" t="s">
        <v>6450</v>
      </c>
      <c r="AE683" s="157" t="s">
        <v>6451</v>
      </c>
      <c r="AF683" s="157" t="s">
        <v>6452</v>
      </c>
      <c r="AI683" s="157" t="e">
        <f aca="false">IF(AND($E683=Subj_OccCode,Subj_BldgSF&gt;0,ABS($L683-Subj_BldgSF)&lt;=Subj_BldgSF*Subj_SizeTol),ABS($L683-Subj_BldgSF),NA())</f>
        <v>#N/A</v>
      </c>
      <c r="AJ683" s="1" t="e">
        <f aca="false">IF(ISNA(AI683),NA(),AI683+ROW()/10000000)</f>
        <v>#N/A</v>
      </c>
      <c r="AK683" s="157" t="str">
        <f aca="false">IF(AND(ISNUMBER($N683),$N683&gt;0,ISNUMBER($Y683)),$Y683/$N683,"")</f>
        <v/>
      </c>
    </row>
    <row r="684" customFormat="false" ht="15" hidden="false" customHeight="true" outlineLevel="0" collapsed="false">
      <c r="A684" s="438" t="n">
        <v>8</v>
      </c>
      <c r="B684" s="157" t="n">
        <v>680</v>
      </c>
      <c r="C684" s="157" t="s">
        <v>6453</v>
      </c>
      <c r="D684" s="157" t="s">
        <v>6454</v>
      </c>
      <c r="E684" s="157" t="n">
        <v>353</v>
      </c>
      <c r="F684" s="157" t="s">
        <v>2677</v>
      </c>
      <c r="G684" s="157" t="s">
        <v>2567</v>
      </c>
      <c r="H684" s="78" t="n">
        <f aca="false">Y684/J684</f>
        <v>193.127601258755</v>
      </c>
      <c r="I684" s="439" t="n">
        <v>44559</v>
      </c>
      <c r="J684" s="157" t="n">
        <v>9851</v>
      </c>
      <c r="L684" s="157" t="n">
        <v>9851</v>
      </c>
      <c r="M684" s="157" t="n">
        <v>2008</v>
      </c>
      <c r="P684" s="157" t="s">
        <v>3413</v>
      </c>
      <c r="R684" s="174" t="s">
        <v>279</v>
      </c>
      <c r="S684" s="157" t="n">
        <v>91611</v>
      </c>
      <c r="T684" s="440" t="n">
        <f aca="false">S684/J684</f>
        <v>9.29966500862857</v>
      </c>
      <c r="U684" s="157" t="s">
        <v>279</v>
      </c>
      <c r="Y684" s="157" t="n">
        <v>1902500</v>
      </c>
      <c r="AA684" s="157" t="n">
        <v>1902500</v>
      </c>
      <c r="AC684" s="157" t="s">
        <v>6455</v>
      </c>
      <c r="AD684" s="157" t="s">
        <v>6456</v>
      </c>
      <c r="AE684" s="157" t="s">
        <v>6413</v>
      </c>
      <c r="AF684" s="157" t="s">
        <v>6457</v>
      </c>
      <c r="AI684" s="157" t="e">
        <f aca="false">IF(AND($E684=Subj_OccCode,Subj_BldgSF&gt;0,ABS($L684-Subj_BldgSF)&lt;=Subj_BldgSF*Subj_SizeTol),ABS($L684-Subj_BldgSF),NA())</f>
        <v>#N/A</v>
      </c>
      <c r="AJ684" s="1" t="e">
        <f aca="false">IF(ISNA(AI684),NA(),AI684+ROW()/10000000)</f>
        <v>#N/A</v>
      </c>
      <c r="AK684" s="157" t="str">
        <f aca="false">IF(AND(ISNUMBER($N684),$N684&gt;0,ISNUMBER($Y684)),$Y684/$N684,"")</f>
        <v/>
      </c>
    </row>
    <row r="685" customFormat="false" ht="15" hidden="false" customHeight="true" outlineLevel="0" collapsed="false">
      <c r="A685" s="438" t="n">
        <v>8</v>
      </c>
      <c r="B685" s="157" t="n">
        <v>681</v>
      </c>
      <c r="C685" s="157" t="s">
        <v>6458</v>
      </c>
      <c r="D685" s="157" t="s">
        <v>6442</v>
      </c>
      <c r="E685" s="157" t="n">
        <v>1344</v>
      </c>
      <c r="F685" s="157" t="s">
        <v>2581</v>
      </c>
      <c r="G685" s="157" t="s">
        <v>354</v>
      </c>
      <c r="H685" s="78" t="n">
        <f aca="false">Y685/J685</f>
        <v>339.14949583516</v>
      </c>
      <c r="I685" s="439" t="n">
        <v>44160</v>
      </c>
      <c r="J685" s="157" t="n">
        <v>2281</v>
      </c>
      <c r="L685" s="157" t="n">
        <v>2281</v>
      </c>
      <c r="M685" s="157" t="n">
        <v>2020</v>
      </c>
      <c r="R685" s="174" t="s">
        <v>279</v>
      </c>
      <c r="S685" s="157" t="n">
        <v>2051</v>
      </c>
      <c r="T685" s="440" t="n">
        <f aca="false">S685/J685</f>
        <v>0.899167032003507</v>
      </c>
      <c r="U685" s="157" t="s">
        <v>279</v>
      </c>
      <c r="Y685" s="157" t="n">
        <v>773600</v>
      </c>
      <c r="AA685" s="157" t="n">
        <v>773600</v>
      </c>
      <c r="AC685" s="157" t="s">
        <v>6459</v>
      </c>
      <c r="AD685" s="157" t="s">
        <v>6460</v>
      </c>
      <c r="AE685" s="157" t="s">
        <v>6445</v>
      </c>
      <c r="AF685" s="157" t="s">
        <v>6461</v>
      </c>
      <c r="AI685" s="157" t="e">
        <f aca="false">IF(AND($E685=Subj_OccCode,Subj_BldgSF&gt;0,ABS($L685-Subj_BldgSF)&lt;=Subj_BldgSF*Subj_SizeTol),ABS($L685-Subj_BldgSF),NA())</f>
        <v>#N/A</v>
      </c>
      <c r="AJ685" s="1" t="e">
        <f aca="false">IF(ISNA(AI685),NA(),AI685+ROW()/10000000)</f>
        <v>#N/A</v>
      </c>
      <c r="AK685" s="157" t="str">
        <f aca="false">IF(AND(ISNUMBER($N685),$N685&gt;0,ISNUMBER($Y685)),$Y685/$N685,"")</f>
        <v/>
      </c>
    </row>
    <row r="686" customFormat="false" ht="15" hidden="false" customHeight="true" outlineLevel="0" collapsed="false">
      <c r="A686" s="438" t="n">
        <v>8</v>
      </c>
      <c r="B686" s="157" t="n">
        <v>682</v>
      </c>
      <c r="C686" s="157" t="s">
        <v>6462</v>
      </c>
      <c r="D686" s="157" t="s">
        <v>6422</v>
      </c>
      <c r="E686" s="157" t="n">
        <v>425</v>
      </c>
      <c r="F686" s="157" t="s">
        <v>2581</v>
      </c>
      <c r="G686" s="157" t="s">
        <v>354</v>
      </c>
      <c r="H686" s="78" t="n">
        <f aca="false">Y686/J686</f>
        <v>256.107171000788</v>
      </c>
      <c r="I686" s="439" t="n">
        <v>43544</v>
      </c>
      <c r="J686" s="157" t="n">
        <v>2538</v>
      </c>
      <c r="L686" s="157" t="n">
        <v>2538</v>
      </c>
      <c r="M686" s="157" t="n">
        <v>2018</v>
      </c>
      <c r="R686" s="174" t="s">
        <v>483</v>
      </c>
      <c r="S686" s="157" t="n">
        <v>8986</v>
      </c>
      <c r="T686" s="440" t="n">
        <f aca="false">S686/J686</f>
        <v>3.54058313632782</v>
      </c>
      <c r="U686" s="157" t="s">
        <v>279</v>
      </c>
      <c r="Y686" s="157" t="n">
        <v>650000</v>
      </c>
      <c r="AA686" s="157" t="n">
        <v>650000</v>
      </c>
      <c r="AC686" s="157" t="s">
        <v>6463</v>
      </c>
      <c r="AD686" s="157" t="s">
        <v>6464</v>
      </c>
      <c r="AE686" s="157" t="s">
        <v>6425</v>
      </c>
      <c r="AF686" s="157" t="s">
        <v>6465</v>
      </c>
      <c r="AI686" s="157" t="e">
        <f aca="false">IF(AND($E686=Subj_OccCode,Subj_BldgSF&gt;0,ABS($L686-Subj_BldgSF)&lt;=Subj_BldgSF*Subj_SizeTol),ABS($L686-Subj_BldgSF),NA())</f>
        <v>#N/A</v>
      </c>
      <c r="AJ686" s="1" t="e">
        <f aca="false">IF(ISNA(AI686),NA(),AI686+ROW()/10000000)</f>
        <v>#N/A</v>
      </c>
      <c r="AK686" s="157" t="str">
        <f aca="false">IF(AND(ISNUMBER($N686),$N686&gt;0,ISNUMBER($Y686)),$Y686/$N686,"")</f>
        <v/>
      </c>
    </row>
    <row r="687" customFormat="false" ht="15" hidden="false" customHeight="true" outlineLevel="0" collapsed="false">
      <c r="A687" s="438" t="n">
        <v>8</v>
      </c>
      <c r="B687" s="157" t="n">
        <v>683</v>
      </c>
      <c r="C687" s="157" t="s">
        <v>6466</v>
      </c>
      <c r="D687" s="157" t="s">
        <v>6467</v>
      </c>
      <c r="E687" s="157" t="n">
        <v>1344</v>
      </c>
      <c r="F687" s="157" t="s">
        <v>2566</v>
      </c>
      <c r="G687" s="157" t="s">
        <v>2567</v>
      </c>
      <c r="H687" s="78" t="n">
        <f aca="false">Y687/J687</f>
        <v>257.900101936799</v>
      </c>
      <c r="I687" s="439" t="n">
        <v>43543</v>
      </c>
      <c r="J687" s="157" t="n">
        <v>981</v>
      </c>
      <c r="L687" s="157" t="n">
        <v>981</v>
      </c>
      <c r="M687" s="157" t="n">
        <v>1999</v>
      </c>
      <c r="R687" s="174" t="s">
        <v>483</v>
      </c>
      <c r="S687" s="157" t="n">
        <v>0</v>
      </c>
      <c r="T687" s="440" t="n">
        <f aca="false">S687/J687</f>
        <v>0</v>
      </c>
      <c r="U687" s="157" t="s">
        <v>483</v>
      </c>
      <c r="Y687" s="157" t="n">
        <v>253000</v>
      </c>
      <c r="AA687" s="157" t="n">
        <v>253000</v>
      </c>
      <c r="AC687" s="157" t="s">
        <v>6468</v>
      </c>
      <c r="AD687" s="157" t="s">
        <v>6469</v>
      </c>
      <c r="AE687" s="157" t="s">
        <v>6470</v>
      </c>
      <c r="AF687" s="157" t="s">
        <v>6471</v>
      </c>
      <c r="AI687" s="157" t="e">
        <f aca="false">IF(AND($E687=Subj_OccCode,Subj_BldgSF&gt;0,ABS($L687-Subj_BldgSF)&lt;=Subj_BldgSF*Subj_SizeTol),ABS($L687-Subj_BldgSF),NA())</f>
        <v>#N/A</v>
      </c>
      <c r="AJ687" s="1" t="e">
        <f aca="false">IF(ISNA(AI687),NA(),AI687+ROW()/10000000)</f>
        <v>#N/A</v>
      </c>
      <c r="AK687" s="157" t="str">
        <f aca="false">IF(AND(ISNUMBER($N687),$N687&gt;0,ISNUMBER($Y687)),$Y687/$N687,"")</f>
        <v/>
      </c>
    </row>
    <row r="688" customFormat="false" ht="15" hidden="false" customHeight="true" outlineLevel="0" collapsed="false">
      <c r="A688" s="438" t="n">
        <v>8</v>
      </c>
      <c r="B688" s="157" t="n">
        <v>684</v>
      </c>
      <c r="C688" s="157" t="s">
        <v>6472</v>
      </c>
      <c r="D688" s="157" t="s">
        <v>6473</v>
      </c>
      <c r="E688" s="157" t="n">
        <v>328</v>
      </c>
      <c r="G688" s="157" t="s">
        <v>352</v>
      </c>
      <c r="H688" s="78" t="n">
        <f aca="false">Y688/J688</f>
        <v>73.2547597461469</v>
      </c>
      <c r="I688" s="439" t="n">
        <v>44091</v>
      </c>
      <c r="J688" s="157" t="n">
        <v>1103</v>
      </c>
      <c r="L688" s="157" t="n">
        <v>1103</v>
      </c>
      <c r="R688" s="174" t="s">
        <v>279</v>
      </c>
      <c r="S688" s="157" t="n">
        <v>0</v>
      </c>
      <c r="T688" s="440" t="n">
        <f aca="false">S688/J688</f>
        <v>0</v>
      </c>
      <c r="U688" s="157" t="s">
        <v>279</v>
      </c>
      <c r="Y688" s="157" t="n">
        <v>80800</v>
      </c>
      <c r="AA688" s="157" t="n">
        <v>80800</v>
      </c>
      <c r="AC688" s="157" t="s">
        <v>6474</v>
      </c>
      <c r="AD688" s="157" t="s">
        <v>6475</v>
      </c>
      <c r="AE688" s="157" t="s">
        <v>6476</v>
      </c>
      <c r="AF688" s="157" t="s">
        <v>6477</v>
      </c>
      <c r="AI688" s="157" t="e">
        <f aca="false">IF(AND($E688=Subj_OccCode,Subj_BldgSF&gt;0,ABS($L688-Subj_BldgSF)&lt;=Subj_BldgSF*Subj_SizeTol),ABS($L688-Subj_BldgSF),NA())</f>
        <v>#N/A</v>
      </c>
      <c r="AJ688" s="1" t="e">
        <f aca="false">IF(ISNA(AI688),NA(),AI688+ROW()/10000000)</f>
        <v>#N/A</v>
      </c>
      <c r="AK688" s="157" t="str">
        <f aca="false">IF(AND(ISNUMBER($N688),$N688&gt;0,ISNUMBER($Y688)),$Y688/$N688,"")</f>
        <v/>
      </c>
    </row>
    <row r="689" customFormat="false" ht="15" hidden="false" customHeight="true" outlineLevel="0" collapsed="false">
      <c r="A689" s="438" t="n">
        <v>8</v>
      </c>
      <c r="B689" s="157" t="n">
        <v>685</v>
      </c>
      <c r="C689" s="157" t="s">
        <v>6478</v>
      </c>
      <c r="D689" s="157" t="s">
        <v>6479</v>
      </c>
      <c r="E689" s="157" t="n">
        <v>328</v>
      </c>
      <c r="G689" s="157" t="s">
        <v>352</v>
      </c>
      <c r="H689" s="78" t="n">
        <f aca="false">Y689/J689</f>
        <v>69.4682675814751</v>
      </c>
      <c r="I689" s="439" t="n">
        <v>44091</v>
      </c>
      <c r="J689" s="157" t="n">
        <v>1166</v>
      </c>
      <c r="L689" s="157" t="n">
        <v>1166</v>
      </c>
      <c r="R689" s="174" t="s">
        <v>279</v>
      </c>
      <c r="S689" s="157" t="n">
        <v>0</v>
      </c>
      <c r="T689" s="440" t="n">
        <f aca="false">S689/J689</f>
        <v>0</v>
      </c>
      <c r="U689" s="157" t="s">
        <v>279</v>
      </c>
      <c r="Y689" s="157" t="n">
        <v>81000</v>
      </c>
      <c r="AA689" s="157" t="n">
        <v>81000</v>
      </c>
      <c r="AC689" s="157" t="s">
        <v>6480</v>
      </c>
      <c r="AD689" s="157" t="s">
        <v>6481</v>
      </c>
      <c r="AE689" s="157" t="s">
        <v>6476</v>
      </c>
      <c r="AF689" s="157" t="s">
        <v>6482</v>
      </c>
      <c r="AI689" s="157" t="e">
        <f aca="false">IF(AND($E689=Subj_OccCode,Subj_BldgSF&gt;0,ABS($L689-Subj_BldgSF)&lt;=Subj_BldgSF*Subj_SizeTol),ABS($L689-Subj_BldgSF),NA())</f>
        <v>#N/A</v>
      </c>
      <c r="AJ689" s="1" t="e">
        <f aca="false">IF(ISNA(AI689),NA(),AI689+ROW()/10000000)</f>
        <v>#N/A</v>
      </c>
      <c r="AK689" s="157" t="str">
        <f aca="false">IF(AND(ISNUMBER($N689),$N689&gt;0,ISNUMBER($Y689)),$Y689/$N689,"")</f>
        <v/>
      </c>
    </row>
    <row r="690" customFormat="false" ht="15" hidden="false" customHeight="true" outlineLevel="0" collapsed="false">
      <c r="A690" s="438" t="n">
        <v>8</v>
      </c>
      <c r="B690" s="157" t="n">
        <v>686</v>
      </c>
      <c r="C690" s="157" t="s">
        <v>6478</v>
      </c>
      <c r="D690" s="157" t="s">
        <v>6479</v>
      </c>
      <c r="E690" s="157" t="n">
        <v>328</v>
      </c>
      <c r="G690" s="157" t="s">
        <v>352</v>
      </c>
      <c r="H690" s="78" t="n">
        <f aca="false">Y690/J690</f>
        <v>107.204116638079</v>
      </c>
      <c r="I690" s="439" t="n">
        <v>44651</v>
      </c>
      <c r="J690" s="157" t="n">
        <v>1166</v>
      </c>
      <c r="L690" s="157" t="n">
        <v>1166</v>
      </c>
      <c r="R690" s="174" t="s">
        <v>279</v>
      </c>
      <c r="S690" s="157" t="n">
        <v>0</v>
      </c>
      <c r="T690" s="440" t="n">
        <f aca="false">S690/J690</f>
        <v>0</v>
      </c>
      <c r="U690" s="157" t="s">
        <v>279</v>
      </c>
      <c r="Y690" s="157" t="n">
        <v>125000</v>
      </c>
      <c r="AA690" s="157" t="n">
        <v>125000</v>
      </c>
      <c r="AC690" s="157" t="s">
        <v>6480</v>
      </c>
      <c r="AD690" s="157" t="s">
        <v>6483</v>
      </c>
      <c r="AE690" s="157" t="s">
        <v>6482</v>
      </c>
      <c r="AF690" s="157" t="s">
        <v>6484</v>
      </c>
      <c r="AI690" s="157" t="e">
        <f aca="false">IF(AND($E690=Subj_OccCode,Subj_BldgSF&gt;0,ABS($L690-Subj_BldgSF)&lt;=Subj_BldgSF*Subj_SizeTol),ABS($L690-Subj_BldgSF),NA())</f>
        <v>#N/A</v>
      </c>
      <c r="AJ690" s="1" t="e">
        <f aca="false">IF(ISNA(AI690),NA(),AI690+ROW()/10000000)</f>
        <v>#N/A</v>
      </c>
      <c r="AK690" s="157" t="str">
        <f aca="false">IF(AND(ISNUMBER($N690),$N690&gt;0,ISNUMBER($Y690)),$Y690/$N690,"")</f>
        <v/>
      </c>
    </row>
    <row r="691" customFormat="false" ht="15" hidden="false" customHeight="true" outlineLevel="0" collapsed="false">
      <c r="A691" s="438" t="n">
        <v>8</v>
      </c>
      <c r="B691" s="157" t="n">
        <v>687</v>
      </c>
      <c r="C691" s="157" t="s">
        <v>6485</v>
      </c>
      <c r="D691" s="157" t="s">
        <v>6486</v>
      </c>
      <c r="E691" s="157" t="n">
        <v>447</v>
      </c>
      <c r="F691" s="157" t="s">
        <v>260</v>
      </c>
      <c r="G691" s="157" t="s">
        <v>353</v>
      </c>
      <c r="H691" s="78" t="n">
        <f aca="false">Y691/J691</f>
        <v>220.187282676968</v>
      </c>
      <c r="I691" s="439" t="n">
        <v>44512</v>
      </c>
      <c r="J691" s="157" t="n">
        <v>243589</v>
      </c>
      <c r="L691" s="157" t="n">
        <v>243589</v>
      </c>
      <c r="M691" s="157" t="n">
        <v>2021</v>
      </c>
      <c r="R691" s="174" t="s">
        <v>483</v>
      </c>
      <c r="S691" s="157" t="n">
        <v>727821</v>
      </c>
      <c r="T691" s="440" t="n">
        <f aca="false">S691/J691</f>
        <v>2.98790585781788</v>
      </c>
      <c r="U691" s="157" t="s">
        <v>279</v>
      </c>
      <c r="Y691" s="157" t="n">
        <v>53635200</v>
      </c>
      <c r="AA691" s="157" t="n">
        <v>53635200</v>
      </c>
      <c r="AC691" s="157" t="s">
        <v>6487</v>
      </c>
      <c r="AD691" s="157" t="s">
        <v>6488</v>
      </c>
      <c r="AE691" s="157" t="s">
        <v>6489</v>
      </c>
      <c r="AF691" s="157" t="s">
        <v>6490</v>
      </c>
      <c r="AI691" s="157" t="e">
        <f aca="false">IF(AND($E691=Subj_OccCode,Subj_BldgSF&gt;0,ABS($L691-Subj_BldgSF)&lt;=Subj_BldgSF*Subj_SizeTol),ABS($L691-Subj_BldgSF),NA())</f>
        <v>#N/A</v>
      </c>
      <c r="AJ691" s="1" t="e">
        <f aca="false">IF(ISNA(AI691),NA(),AI691+ROW()/10000000)</f>
        <v>#N/A</v>
      </c>
      <c r="AK691" s="157" t="str">
        <f aca="false">IF(AND(ISNUMBER($N691),$N691&gt;0,ISNUMBER($Y691)),$Y691/$N691,"")</f>
        <v/>
      </c>
    </row>
    <row r="692" customFormat="false" ht="15" hidden="false" customHeight="true" outlineLevel="0" collapsed="false">
      <c r="A692" s="438" t="n">
        <v>8</v>
      </c>
      <c r="B692" s="157" t="n">
        <v>688</v>
      </c>
      <c r="C692" s="157" t="s">
        <v>6491</v>
      </c>
      <c r="D692" s="157" t="s">
        <v>6492</v>
      </c>
      <c r="E692" s="157" t="n">
        <v>425</v>
      </c>
      <c r="F692" s="157" t="s">
        <v>2921</v>
      </c>
      <c r="G692" s="157" t="s">
        <v>2691</v>
      </c>
      <c r="H692" s="78" t="n">
        <f aca="false">Y692/J692</f>
        <v>194.962962962963</v>
      </c>
      <c r="I692" s="439" t="n">
        <v>44735</v>
      </c>
      <c r="J692" s="157" t="n">
        <v>1350</v>
      </c>
      <c r="L692" s="157" t="n">
        <v>1350</v>
      </c>
      <c r="M692" s="157" t="n">
        <v>2022</v>
      </c>
      <c r="R692" s="174" t="s">
        <v>279</v>
      </c>
      <c r="S692" s="157" t="n">
        <v>0</v>
      </c>
      <c r="T692" s="440" t="n">
        <f aca="false">S692/J692</f>
        <v>0</v>
      </c>
      <c r="U692" s="157" t="s">
        <v>279</v>
      </c>
      <c r="Y692" s="157" t="n">
        <v>263200</v>
      </c>
      <c r="AA692" s="157" t="n">
        <v>263200</v>
      </c>
      <c r="AC692" s="157" t="s">
        <v>6493</v>
      </c>
      <c r="AD692" s="157" t="s">
        <v>6494</v>
      </c>
      <c r="AE692" s="157" t="s">
        <v>3171</v>
      </c>
      <c r="AF692" s="157" t="s">
        <v>6495</v>
      </c>
      <c r="AI692" s="157" t="e">
        <f aca="false">IF(AND($E692=Subj_OccCode,Subj_BldgSF&gt;0,ABS($L692-Subj_BldgSF)&lt;=Subj_BldgSF*Subj_SizeTol),ABS($L692-Subj_BldgSF),NA())</f>
        <v>#N/A</v>
      </c>
      <c r="AJ692" s="1" t="e">
        <f aca="false">IF(ISNA(AI692),NA(),AI692+ROW()/10000000)</f>
        <v>#N/A</v>
      </c>
      <c r="AK692" s="157" t="str">
        <f aca="false">IF(AND(ISNUMBER($N692),$N692&gt;0,ISNUMBER($Y692)),$Y692/$N692,"")</f>
        <v/>
      </c>
    </row>
    <row r="693" customFormat="false" ht="15" hidden="false" customHeight="true" outlineLevel="0" collapsed="false">
      <c r="A693" s="438" t="n">
        <v>8</v>
      </c>
      <c r="B693" s="157" t="n">
        <v>689</v>
      </c>
      <c r="C693" s="157" t="s">
        <v>2156</v>
      </c>
      <c r="D693" s="157" t="s">
        <v>6496</v>
      </c>
      <c r="E693" s="157" t="n">
        <v>584</v>
      </c>
      <c r="F693" s="157" t="s">
        <v>2921</v>
      </c>
      <c r="G693" s="157" t="s">
        <v>353</v>
      </c>
      <c r="H693" s="78" t="n">
        <f aca="false">Y693/J693</f>
        <v>107.251009421265</v>
      </c>
      <c r="I693" s="439" t="n">
        <v>44301</v>
      </c>
      <c r="J693" s="157" t="n">
        <v>594400</v>
      </c>
      <c r="L693" s="157" t="n">
        <v>594400</v>
      </c>
      <c r="M693" s="157" t="n">
        <v>2020</v>
      </c>
      <c r="R693" s="174" t="s">
        <v>279</v>
      </c>
      <c r="S693" s="157" t="n">
        <v>1442973</v>
      </c>
      <c r="T693" s="440" t="n">
        <f aca="false">S693/J693</f>
        <v>2.42761271870794</v>
      </c>
      <c r="U693" s="157" t="s">
        <v>279</v>
      </c>
      <c r="Y693" s="157" t="n">
        <v>63750000</v>
      </c>
      <c r="AA693" s="157" t="n">
        <v>63750000</v>
      </c>
      <c r="AC693" s="157" t="s">
        <v>6497</v>
      </c>
      <c r="AD693" s="157" t="s">
        <v>6498</v>
      </c>
      <c r="AE693" s="157" t="s">
        <v>6499</v>
      </c>
      <c r="AF693" s="157" t="s">
        <v>6500</v>
      </c>
      <c r="AI693" s="157" t="e">
        <f aca="false">IF(AND($E693=Subj_OccCode,Subj_BldgSF&gt;0,ABS($L693-Subj_BldgSF)&lt;=Subj_BldgSF*Subj_SizeTol),ABS($L693-Subj_BldgSF),NA())</f>
        <v>#N/A</v>
      </c>
      <c r="AJ693" s="1" t="e">
        <f aca="false">IF(ISNA(AI693),NA(),AI693+ROW()/10000000)</f>
        <v>#N/A</v>
      </c>
      <c r="AK693" s="157" t="str">
        <f aca="false">IF(AND(ISNUMBER($N693),$N693&gt;0,ISNUMBER($Y693)),$Y693/$N693,"")</f>
        <v/>
      </c>
    </row>
    <row r="694" customFormat="false" ht="15" hidden="false" customHeight="true" outlineLevel="0" collapsed="false">
      <c r="A694" s="438" t="n">
        <v>8</v>
      </c>
      <c r="B694" s="157" t="n">
        <v>690</v>
      </c>
      <c r="C694" s="157" t="s">
        <v>3769</v>
      </c>
      <c r="D694" s="157" t="s">
        <v>6501</v>
      </c>
      <c r="E694" s="157" t="n">
        <v>353</v>
      </c>
      <c r="F694" s="157" t="s">
        <v>2566</v>
      </c>
      <c r="G694" s="157" t="s">
        <v>2567</v>
      </c>
      <c r="H694" s="78" t="n">
        <f aca="false">Y694/J694</f>
        <v>1116.66666666667</v>
      </c>
      <c r="I694" s="439" t="n">
        <v>44091</v>
      </c>
      <c r="J694" s="157" t="n">
        <v>1500</v>
      </c>
      <c r="L694" s="157" t="n">
        <v>1500</v>
      </c>
      <c r="M694" s="157" t="n">
        <v>1986</v>
      </c>
      <c r="R694" s="174" t="s">
        <v>1511</v>
      </c>
      <c r="S694" s="157" t="n">
        <v>42879</v>
      </c>
      <c r="T694" s="440" t="n">
        <f aca="false">S694/J694</f>
        <v>28.586</v>
      </c>
      <c r="U694" s="157" t="s">
        <v>555</v>
      </c>
      <c r="Y694" s="157" t="n">
        <v>1675000</v>
      </c>
      <c r="AA694" s="157" t="n">
        <v>1675000</v>
      </c>
      <c r="AC694" s="157" t="s">
        <v>3771</v>
      </c>
      <c r="AD694" s="157" t="s">
        <v>6502</v>
      </c>
      <c r="AE694" s="157" t="s">
        <v>6503</v>
      </c>
      <c r="AF694" s="157" t="s">
        <v>3773</v>
      </c>
      <c r="AI694" s="157" t="e">
        <f aca="false">IF(AND($E694=Subj_OccCode,Subj_BldgSF&gt;0,ABS($L694-Subj_BldgSF)&lt;=Subj_BldgSF*Subj_SizeTol),ABS($L694-Subj_BldgSF),NA())</f>
        <v>#N/A</v>
      </c>
      <c r="AJ694" s="1" t="e">
        <f aca="false">IF(ISNA(AI694),NA(),AI694+ROW()/10000000)</f>
        <v>#N/A</v>
      </c>
      <c r="AK694" s="157" t="str">
        <f aca="false">IF(AND(ISNUMBER($N694),$N694&gt;0,ISNUMBER($Y694)),$Y694/$N694,"")</f>
        <v/>
      </c>
    </row>
    <row r="695" customFormat="false" ht="15" hidden="false" customHeight="true" outlineLevel="0" collapsed="false">
      <c r="A695" s="438" t="n">
        <v>8</v>
      </c>
      <c r="B695" s="157" t="n">
        <v>691</v>
      </c>
      <c r="C695" s="157" t="s">
        <v>6504</v>
      </c>
      <c r="D695" s="157" t="s">
        <v>6505</v>
      </c>
      <c r="E695" s="157" t="n">
        <v>334</v>
      </c>
      <c r="F695" s="157" t="s">
        <v>2595</v>
      </c>
      <c r="G695" s="157" t="s">
        <v>2596</v>
      </c>
      <c r="H695" s="78" t="n">
        <f aca="false">Y695/J695</f>
        <v>153.180153180153</v>
      </c>
      <c r="I695" s="439" t="n">
        <v>43858</v>
      </c>
      <c r="J695" s="157" t="n">
        <v>30030</v>
      </c>
      <c r="L695" s="157" t="n">
        <v>30030</v>
      </c>
      <c r="M695" s="157" t="n">
        <v>2019</v>
      </c>
      <c r="R695" s="174" t="s">
        <v>483</v>
      </c>
      <c r="S695" s="157" t="n">
        <v>96173</v>
      </c>
      <c r="T695" s="440" t="n">
        <f aca="false">S695/J695</f>
        <v>3.2025641025641</v>
      </c>
      <c r="U695" s="157" t="s">
        <v>483</v>
      </c>
      <c r="Y695" s="157" t="n">
        <v>4600000</v>
      </c>
      <c r="AA695" s="157" t="n">
        <v>4600000</v>
      </c>
      <c r="AC695" s="157" t="s">
        <v>6506</v>
      </c>
      <c r="AD695" s="157" t="s">
        <v>6507</v>
      </c>
      <c r="AE695" s="157" t="s">
        <v>6508</v>
      </c>
      <c r="AF695" s="157" t="s">
        <v>6509</v>
      </c>
      <c r="AI695" s="157" t="e">
        <f aca="false">IF(AND($E695=Subj_OccCode,Subj_BldgSF&gt;0,ABS($L695-Subj_BldgSF)&lt;=Subj_BldgSF*Subj_SizeTol),ABS($L695-Subj_BldgSF),NA())</f>
        <v>#N/A</v>
      </c>
      <c r="AJ695" s="1" t="e">
        <f aca="false">IF(ISNA(AI695),NA(),AI695+ROW()/10000000)</f>
        <v>#N/A</v>
      </c>
      <c r="AK695" s="157" t="str">
        <f aca="false">IF(AND(ISNUMBER($N695),$N695&gt;0,ISNUMBER($Y695)),$Y695/$N695,"")</f>
        <v/>
      </c>
    </row>
    <row r="696" customFormat="false" ht="15" hidden="false" customHeight="true" outlineLevel="0" collapsed="false">
      <c r="A696" s="438" t="n">
        <v>8</v>
      </c>
      <c r="B696" s="157" t="n">
        <v>692</v>
      </c>
      <c r="C696" s="157" t="s">
        <v>6510</v>
      </c>
      <c r="D696" s="157" t="s">
        <v>6422</v>
      </c>
      <c r="E696" s="157" t="n">
        <v>425</v>
      </c>
      <c r="F696" s="157" t="s">
        <v>2581</v>
      </c>
      <c r="G696" s="157" t="s">
        <v>354</v>
      </c>
      <c r="H696" s="78" t="n">
        <f aca="false">Y696/J696</f>
        <v>266.212970376301</v>
      </c>
      <c r="I696" s="439" t="n">
        <v>44200</v>
      </c>
      <c r="J696" s="157" t="n">
        <v>2498</v>
      </c>
      <c r="L696" s="157" t="n">
        <v>2498</v>
      </c>
      <c r="M696" s="157" t="n">
        <v>2018</v>
      </c>
      <c r="P696" s="157" t="s">
        <v>2588</v>
      </c>
      <c r="R696" s="174" t="s">
        <v>483</v>
      </c>
      <c r="S696" s="157" t="n">
        <v>8986</v>
      </c>
      <c r="T696" s="440" t="n">
        <f aca="false">S696/J696</f>
        <v>3.59727782225781</v>
      </c>
      <c r="U696" s="157" t="s">
        <v>483</v>
      </c>
      <c r="Y696" s="157" t="n">
        <v>665000</v>
      </c>
      <c r="AA696" s="157" t="n">
        <v>665000</v>
      </c>
      <c r="AC696" s="157" t="s">
        <v>6511</v>
      </c>
      <c r="AD696" s="157" t="s">
        <v>6512</v>
      </c>
      <c r="AE696" s="157" t="s">
        <v>6513</v>
      </c>
      <c r="AF696" s="157" t="s">
        <v>6514</v>
      </c>
      <c r="AI696" s="157" t="e">
        <f aca="false">IF(AND($E696=Subj_OccCode,Subj_BldgSF&gt;0,ABS($L696-Subj_BldgSF)&lt;=Subj_BldgSF*Subj_SizeTol),ABS($L696-Subj_BldgSF),NA())</f>
        <v>#N/A</v>
      </c>
      <c r="AJ696" s="1" t="e">
        <f aca="false">IF(ISNA(AI696),NA(),AI696+ROW()/10000000)</f>
        <v>#N/A</v>
      </c>
      <c r="AK696" s="157" t="str">
        <f aca="false">IF(AND(ISNUMBER($N696),$N696&gt;0,ISNUMBER($Y696)),$Y696/$N696,"")</f>
        <v/>
      </c>
    </row>
    <row r="697" customFormat="false" ht="15" hidden="false" customHeight="true" outlineLevel="0" collapsed="false">
      <c r="A697" s="438" t="n">
        <v>8</v>
      </c>
      <c r="B697" s="157" t="n">
        <v>693</v>
      </c>
      <c r="C697" s="157" t="s">
        <v>6515</v>
      </c>
      <c r="D697" s="157" t="s">
        <v>6422</v>
      </c>
      <c r="E697" s="157" t="n">
        <v>425</v>
      </c>
      <c r="F697" s="157" t="s">
        <v>2581</v>
      </c>
      <c r="G697" s="157" t="s">
        <v>354</v>
      </c>
      <c r="H697" s="78" t="n">
        <f aca="false">Y697/J697</f>
        <v>283.094098883573</v>
      </c>
      <c r="I697" s="439" t="n">
        <v>44494</v>
      </c>
      <c r="J697" s="157" t="n">
        <v>2508</v>
      </c>
      <c r="L697" s="157" t="n">
        <v>2508</v>
      </c>
      <c r="M697" s="157" t="n">
        <v>2018</v>
      </c>
      <c r="P697" s="157" t="s">
        <v>2588</v>
      </c>
      <c r="R697" s="174" t="s">
        <v>483</v>
      </c>
      <c r="S697" s="157" t="n">
        <v>8986</v>
      </c>
      <c r="T697" s="440" t="n">
        <f aca="false">S697/J697</f>
        <v>3.5829346092504</v>
      </c>
      <c r="U697" s="157" t="s">
        <v>483</v>
      </c>
      <c r="Y697" s="157" t="n">
        <v>710000</v>
      </c>
      <c r="AA697" s="157" t="n">
        <v>710000</v>
      </c>
      <c r="AC697" s="157" t="s">
        <v>6516</v>
      </c>
      <c r="AD697" s="157" t="s">
        <v>6517</v>
      </c>
      <c r="AE697" s="157" t="s">
        <v>6518</v>
      </c>
      <c r="AF697" s="157" t="s">
        <v>6519</v>
      </c>
      <c r="AI697" s="157" t="e">
        <f aca="false">IF(AND($E697=Subj_OccCode,Subj_BldgSF&gt;0,ABS($L697-Subj_BldgSF)&lt;=Subj_BldgSF*Subj_SizeTol),ABS($L697-Subj_BldgSF),NA())</f>
        <v>#N/A</v>
      </c>
      <c r="AJ697" s="1" t="e">
        <f aca="false">IF(ISNA(AI697),NA(),AI697+ROW()/10000000)</f>
        <v>#N/A</v>
      </c>
      <c r="AK697" s="157" t="str">
        <f aca="false">IF(AND(ISNUMBER($N697),$N697&gt;0,ISNUMBER($Y697)),$Y697/$N697,"")</f>
        <v/>
      </c>
    </row>
    <row r="698" customFormat="false" ht="15" hidden="false" customHeight="true" outlineLevel="0" collapsed="false">
      <c r="A698" s="438" t="n">
        <v>8</v>
      </c>
      <c r="B698" s="157" t="n">
        <v>694</v>
      </c>
      <c r="C698" s="157" t="s">
        <v>6520</v>
      </c>
      <c r="D698" s="157" t="s">
        <v>6521</v>
      </c>
      <c r="E698" s="157" t="n">
        <v>325</v>
      </c>
      <c r="F698" s="157" t="s">
        <v>2595</v>
      </c>
      <c r="G698" s="157" t="s">
        <v>352</v>
      </c>
      <c r="H698" s="78" t="n">
        <f aca="false">Y698/J698</f>
        <v>914.85908218976</v>
      </c>
      <c r="I698" s="439" t="n">
        <v>44510</v>
      </c>
      <c r="J698" s="157" t="n">
        <v>6777</v>
      </c>
      <c r="L698" s="157" t="n">
        <v>6777</v>
      </c>
      <c r="M698" s="157" t="n">
        <v>2018</v>
      </c>
      <c r="R698" s="174" t="s">
        <v>483</v>
      </c>
      <c r="S698" s="157" t="n">
        <v>175110</v>
      </c>
      <c r="T698" s="440" t="n">
        <f aca="false">S698/J698</f>
        <v>25.8388667552014</v>
      </c>
      <c r="U698" s="157" t="s">
        <v>483</v>
      </c>
      <c r="Y698" s="157" t="n">
        <v>6200000</v>
      </c>
      <c r="AA698" s="157" t="n">
        <v>6200000</v>
      </c>
      <c r="AC698" s="157" t="s">
        <v>6522</v>
      </c>
      <c r="AD698" s="157" t="s">
        <v>6523</v>
      </c>
      <c r="AE698" s="157" t="s">
        <v>6524</v>
      </c>
      <c r="AF698" s="157" t="s">
        <v>6525</v>
      </c>
      <c r="AI698" s="157" t="e">
        <f aca="false">IF(AND($E698=Subj_OccCode,Subj_BldgSF&gt;0,ABS($L698-Subj_BldgSF)&lt;=Subj_BldgSF*Subj_SizeTol),ABS($L698-Subj_BldgSF),NA())</f>
        <v>#N/A</v>
      </c>
      <c r="AJ698" s="1" t="e">
        <f aca="false">IF(ISNA(AI698),NA(),AI698+ROW()/10000000)</f>
        <v>#N/A</v>
      </c>
      <c r="AK698" s="157" t="str">
        <f aca="false">IF(AND(ISNUMBER($N698),$N698&gt;0,ISNUMBER($Y698)),$Y698/$N698,"")</f>
        <v/>
      </c>
    </row>
    <row r="699" customFormat="false" ht="15" hidden="false" customHeight="true" outlineLevel="0" collapsed="false">
      <c r="A699" s="438" t="n">
        <v>8</v>
      </c>
      <c r="B699" s="157" t="n">
        <v>695</v>
      </c>
      <c r="C699" s="157" t="s">
        <v>6526</v>
      </c>
      <c r="D699" s="157" t="s">
        <v>6422</v>
      </c>
      <c r="E699" s="157" t="n">
        <v>425</v>
      </c>
      <c r="F699" s="157" t="s">
        <v>2581</v>
      </c>
      <c r="G699" s="157" t="s">
        <v>354</v>
      </c>
      <c r="H699" s="78" t="n">
        <f aca="false">Y699/J699</f>
        <v>266.429840142096</v>
      </c>
      <c r="I699" s="439" t="n">
        <v>43907</v>
      </c>
      <c r="J699" s="157" t="n">
        <v>2815</v>
      </c>
      <c r="L699" s="157" t="n">
        <v>2815</v>
      </c>
      <c r="M699" s="157" t="n">
        <v>2018</v>
      </c>
      <c r="P699" s="157" t="s">
        <v>2588</v>
      </c>
      <c r="R699" s="174" t="s">
        <v>483</v>
      </c>
      <c r="S699" s="157" t="n">
        <v>8986</v>
      </c>
      <c r="T699" s="440" t="n">
        <f aca="false">S699/J699</f>
        <v>3.19218472468917</v>
      </c>
      <c r="U699" s="157" t="s">
        <v>483</v>
      </c>
      <c r="Y699" s="157" t="n">
        <v>750000</v>
      </c>
      <c r="AA699" s="157" t="n">
        <v>750000</v>
      </c>
      <c r="AC699" s="157" t="s">
        <v>6527</v>
      </c>
      <c r="AD699" s="157" t="s">
        <v>6528</v>
      </c>
      <c r="AE699" s="157" t="s">
        <v>6529</v>
      </c>
      <c r="AF699" s="157" t="s">
        <v>6530</v>
      </c>
      <c r="AI699" s="157" t="e">
        <f aca="false">IF(AND($E699=Subj_OccCode,Subj_BldgSF&gt;0,ABS($L699-Subj_BldgSF)&lt;=Subj_BldgSF*Subj_SizeTol),ABS($L699-Subj_BldgSF),NA())</f>
        <v>#N/A</v>
      </c>
      <c r="AJ699" s="1" t="e">
        <f aca="false">IF(ISNA(AI699),NA(),AI699+ROW()/10000000)</f>
        <v>#N/A</v>
      </c>
      <c r="AK699" s="157" t="str">
        <f aca="false">IF(AND(ISNUMBER($N699),$N699&gt;0,ISNUMBER($Y699)),$Y699/$N699,"")</f>
        <v/>
      </c>
    </row>
    <row r="700" customFormat="false" ht="15" hidden="false" customHeight="true" outlineLevel="0" collapsed="false">
      <c r="A700" s="438" t="n">
        <v>8</v>
      </c>
      <c r="B700" s="157" t="n">
        <v>696</v>
      </c>
      <c r="C700" s="157" t="s">
        <v>6531</v>
      </c>
      <c r="D700" s="157" t="s">
        <v>6532</v>
      </c>
      <c r="E700" s="157" t="n">
        <v>406</v>
      </c>
      <c r="F700" s="157" t="s">
        <v>2595</v>
      </c>
      <c r="G700" s="157" t="s">
        <v>2596</v>
      </c>
      <c r="H700" s="78" t="n">
        <f aca="false">Y700/J700</f>
        <v>231.241416038344</v>
      </c>
      <c r="I700" s="439" t="n">
        <v>44553</v>
      </c>
      <c r="J700" s="157" t="n">
        <v>142708</v>
      </c>
      <c r="L700" s="157" t="n">
        <v>142708</v>
      </c>
      <c r="M700" s="157" t="n">
        <v>2020</v>
      </c>
      <c r="R700" s="174" t="s">
        <v>279</v>
      </c>
      <c r="S700" s="157" t="n">
        <v>636236</v>
      </c>
      <c r="T700" s="440" t="n">
        <f aca="false">S700/J700</f>
        <v>4.45830647195672</v>
      </c>
      <c r="U700" s="157" t="s">
        <v>279</v>
      </c>
      <c r="Y700" s="157" t="n">
        <v>33000000</v>
      </c>
      <c r="AA700" s="157" t="n">
        <v>33000000</v>
      </c>
      <c r="AC700" s="157" t="s">
        <v>6533</v>
      </c>
      <c r="AD700" s="157" t="s">
        <v>6534</v>
      </c>
      <c r="AE700" s="157" t="s">
        <v>6535</v>
      </c>
      <c r="AF700" s="157" t="s">
        <v>6536</v>
      </c>
      <c r="AI700" s="157" t="e">
        <f aca="false">IF(AND($E700=Subj_OccCode,Subj_BldgSF&gt;0,ABS($L700-Subj_BldgSF)&lt;=Subj_BldgSF*Subj_SizeTol),ABS($L700-Subj_BldgSF),NA())</f>
        <v>#N/A</v>
      </c>
      <c r="AJ700" s="1" t="e">
        <f aca="false">IF(ISNA(AI700),NA(),AI700+ROW()/10000000)</f>
        <v>#N/A</v>
      </c>
      <c r="AK700" s="157" t="str">
        <f aca="false">IF(AND(ISNUMBER($N700),$N700&gt;0,ISNUMBER($Y700)),$Y700/$N700,"")</f>
        <v/>
      </c>
    </row>
    <row r="701" customFormat="false" ht="15" hidden="false" customHeight="true" outlineLevel="0" collapsed="false">
      <c r="A701" s="438" t="n">
        <v>8</v>
      </c>
      <c r="B701" s="157" t="n">
        <v>697</v>
      </c>
      <c r="C701" s="157" t="s">
        <v>2157</v>
      </c>
      <c r="D701" s="157" t="s">
        <v>6537</v>
      </c>
      <c r="E701" s="157" t="n">
        <v>584</v>
      </c>
      <c r="F701" s="157" t="s">
        <v>2921</v>
      </c>
      <c r="G701" s="157" t="s">
        <v>353</v>
      </c>
      <c r="H701" s="78" t="n">
        <f aca="false">Y701/J701</f>
        <v>97.5801676368801</v>
      </c>
      <c r="I701" s="439" t="n">
        <v>44547</v>
      </c>
      <c r="J701" s="157" t="n">
        <v>999780</v>
      </c>
      <c r="L701" s="157" t="n">
        <v>999780</v>
      </c>
      <c r="M701" s="157" t="n">
        <v>2021</v>
      </c>
      <c r="R701" s="174" t="s">
        <v>279</v>
      </c>
      <c r="S701" s="157" t="n">
        <v>3152070</v>
      </c>
      <c r="T701" s="440" t="n">
        <f aca="false">S701/J701</f>
        <v>3.15276360799376</v>
      </c>
      <c r="U701" s="157" t="s">
        <v>279</v>
      </c>
      <c r="Y701" s="157" t="n">
        <v>97558700</v>
      </c>
      <c r="AA701" s="157" t="n">
        <v>97558700</v>
      </c>
      <c r="AC701" s="157" t="s">
        <v>6538</v>
      </c>
      <c r="AD701" s="157" t="s">
        <v>6539</v>
      </c>
      <c r="AE701" s="157" t="s">
        <v>6540</v>
      </c>
      <c r="AF701" s="157" t="s">
        <v>6541</v>
      </c>
      <c r="AI701" s="157" t="e">
        <f aca="false">IF(AND($E701=Subj_OccCode,Subj_BldgSF&gt;0,ABS($L701-Subj_BldgSF)&lt;=Subj_BldgSF*Subj_SizeTol),ABS($L701-Subj_BldgSF),NA())</f>
        <v>#N/A</v>
      </c>
      <c r="AJ701" s="1" t="e">
        <f aca="false">IF(ISNA(AI701),NA(),AI701+ROW()/10000000)</f>
        <v>#N/A</v>
      </c>
      <c r="AK701" s="157" t="str">
        <f aca="false">IF(AND(ISNUMBER($N701),$N701&gt;0,ISNUMBER($Y701)),$Y701/$N701,"")</f>
        <v/>
      </c>
    </row>
    <row r="702" customFormat="false" ht="15" hidden="false" customHeight="true" outlineLevel="0" collapsed="false">
      <c r="A702" s="438" t="n">
        <v>8</v>
      </c>
      <c r="B702" s="157" t="n">
        <v>698</v>
      </c>
      <c r="C702" s="157" t="s">
        <v>6542</v>
      </c>
      <c r="D702" s="157" t="s">
        <v>6543</v>
      </c>
      <c r="E702" s="157" t="n">
        <v>227</v>
      </c>
      <c r="F702" s="157" t="s">
        <v>2677</v>
      </c>
      <c r="G702" s="157" t="s">
        <v>2567</v>
      </c>
      <c r="H702" s="78" t="n">
        <f aca="false">Y702/J702</f>
        <v>281.82448838016</v>
      </c>
      <c r="I702" s="439" t="n">
        <v>44553</v>
      </c>
      <c r="J702" s="157" t="n">
        <v>23064</v>
      </c>
      <c r="L702" s="157" t="n">
        <v>23064</v>
      </c>
      <c r="M702" s="157" t="n">
        <v>1980</v>
      </c>
      <c r="R702" s="174" t="s">
        <v>279</v>
      </c>
      <c r="S702" s="157" t="n">
        <v>1750390</v>
      </c>
      <c r="T702" s="440" t="n">
        <f aca="false">S702/J702</f>
        <v>75.8927332639612</v>
      </c>
      <c r="U702" s="157" t="s">
        <v>279</v>
      </c>
      <c r="Y702" s="157" t="n">
        <v>6500000</v>
      </c>
      <c r="AA702" s="157" t="n">
        <v>6500000</v>
      </c>
      <c r="AC702" s="157" t="s">
        <v>6544</v>
      </c>
      <c r="AD702" s="157" t="s">
        <v>6545</v>
      </c>
      <c r="AE702" s="157" t="s">
        <v>6546</v>
      </c>
      <c r="AF702" s="157" t="s">
        <v>6547</v>
      </c>
      <c r="AI702" s="157" t="e">
        <f aca="false">IF(AND($E702=Subj_OccCode,Subj_BldgSF&gt;0,ABS($L702-Subj_BldgSF)&lt;=Subj_BldgSF*Subj_SizeTol),ABS($L702-Subj_BldgSF),NA())</f>
        <v>#N/A</v>
      </c>
      <c r="AJ702" s="1" t="e">
        <f aca="false">IF(ISNA(AI702),NA(),AI702+ROW()/10000000)</f>
        <v>#N/A</v>
      </c>
      <c r="AK702" s="157" t="str">
        <f aca="false">IF(AND(ISNUMBER($N702),$N702&gt;0,ISNUMBER($Y702)),$Y702/$N702,"")</f>
        <v/>
      </c>
    </row>
    <row r="703" customFormat="false" ht="15" hidden="false" customHeight="true" outlineLevel="0" collapsed="false">
      <c r="A703" s="438" t="n">
        <v>8</v>
      </c>
      <c r="B703" s="157" t="n">
        <v>699</v>
      </c>
      <c r="C703" s="157" t="s">
        <v>6548</v>
      </c>
      <c r="D703" s="157" t="s">
        <v>6549</v>
      </c>
      <c r="E703" s="157" t="n">
        <v>328</v>
      </c>
      <c r="G703" s="157" t="s">
        <v>352</v>
      </c>
      <c r="H703" s="78" t="n">
        <f aca="false">Y703/J703</f>
        <v>91.2778904665315</v>
      </c>
      <c r="I703" s="439" t="n">
        <v>44621</v>
      </c>
      <c r="J703" s="157" t="n">
        <v>2465</v>
      </c>
      <c r="L703" s="157" t="n">
        <v>2465</v>
      </c>
      <c r="R703" s="174" t="s">
        <v>279</v>
      </c>
      <c r="S703" s="157" t="n">
        <v>0</v>
      </c>
      <c r="T703" s="440" t="n">
        <f aca="false">S703/J703</f>
        <v>0</v>
      </c>
      <c r="U703" s="157" t="s">
        <v>279</v>
      </c>
      <c r="Y703" s="157" t="n">
        <v>225000</v>
      </c>
      <c r="AA703" s="157" t="n">
        <v>225000</v>
      </c>
      <c r="AC703" s="157" t="s">
        <v>6550</v>
      </c>
      <c r="AD703" s="157" t="s">
        <v>6551</v>
      </c>
      <c r="AE703" s="157" t="s">
        <v>6552</v>
      </c>
      <c r="AF703" s="157" t="s">
        <v>6553</v>
      </c>
      <c r="AI703" s="157" t="e">
        <f aca="false">IF(AND($E703=Subj_OccCode,Subj_BldgSF&gt;0,ABS($L703-Subj_BldgSF)&lt;=Subj_BldgSF*Subj_SizeTol),ABS($L703-Subj_BldgSF),NA())</f>
        <v>#N/A</v>
      </c>
      <c r="AJ703" s="1" t="e">
        <f aca="false">IF(ISNA(AI703),NA(),AI703+ROW()/10000000)</f>
        <v>#N/A</v>
      </c>
      <c r="AK703" s="157" t="str">
        <f aca="false">IF(AND(ISNUMBER($N703),$N703&gt;0,ISNUMBER($Y703)),$Y703/$N703,"")</f>
        <v/>
      </c>
    </row>
    <row r="704" customFormat="false" ht="15" hidden="false" customHeight="true" outlineLevel="0" collapsed="false">
      <c r="A704" s="438" t="n">
        <v>8</v>
      </c>
      <c r="B704" s="157" t="n">
        <v>700</v>
      </c>
      <c r="C704" s="157" t="s">
        <v>6554</v>
      </c>
      <c r="D704" s="157" t="s">
        <v>6555</v>
      </c>
      <c r="E704" s="157" t="n">
        <v>328</v>
      </c>
      <c r="G704" s="157" t="s">
        <v>352</v>
      </c>
      <c r="H704" s="78" t="n">
        <f aca="false">Y704/J704</f>
        <v>83.8079739625712</v>
      </c>
      <c r="I704" s="439" t="n">
        <v>44178</v>
      </c>
      <c r="J704" s="157" t="n">
        <v>1229</v>
      </c>
      <c r="L704" s="157" t="n">
        <v>1229</v>
      </c>
      <c r="R704" s="174" t="s">
        <v>279</v>
      </c>
      <c r="S704" s="157" t="n">
        <v>0</v>
      </c>
      <c r="T704" s="440" t="n">
        <f aca="false">S704/J704</f>
        <v>0</v>
      </c>
      <c r="U704" s="157" t="s">
        <v>279</v>
      </c>
      <c r="Y704" s="157" t="n">
        <v>103000</v>
      </c>
      <c r="AA704" s="157" t="n">
        <v>103000</v>
      </c>
      <c r="AC704" s="157" t="s">
        <v>6556</v>
      </c>
      <c r="AD704" s="157" t="s">
        <v>6557</v>
      </c>
      <c r="AE704" s="157" t="s">
        <v>6558</v>
      </c>
      <c r="AF704" s="157" t="s">
        <v>6559</v>
      </c>
      <c r="AI704" s="157" t="e">
        <f aca="false">IF(AND($E704=Subj_OccCode,Subj_BldgSF&gt;0,ABS($L704-Subj_BldgSF)&lt;=Subj_BldgSF*Subj_SizeTol),ABS($L704-Subj_BldgSF),NA())</f>
        <v>#N/A</v>
      </c>
      <c r="AJ704" s="1" t="e">
        <f aca="false">IF(ISNA(AI704),NA(),AI704+ROW()/10000000)</f>
        <v>#N/A</v>
      </c>
      <c r="AK704" s="157" t="str">
        <f aca="false">IF(AND(ISNUMBER($N704),$N704&gt;0,ISNUMBER($Y704)),$Y704/$N704,"")</f>
        <v/>
      </c>
    </row>
    <row r="705" customFormat="false" ht="15" hidden="false" customHeight="true" outlineLevel="0" collapsed="false">
      <c r="A705" s="438" t="n">
        <v>8</v>
      </c>
      <c r="B705" s="157" t="n">
        <v>701</v>
      </c>
      <c r="C705" s="157" t="s">
        <v>6560</v>
      </c>
      <c r="D705" s="157" t="s">
        <v>6561</v>
      </c>
      <c r="E705" s="157" t="n">
        <v>328</v>
      </c>
      <c r="G705" s="157" t="s">
        <v>352</v>
      </c>
      <c r="H705" s="78" t="n">
        <f aca="false">Y705/J705</f>
        <v>75.1633986928105</v>
      </c>
      <c r="I705" s="439" t="n">
        <v>43832</v>
      </c>
      <c r="J705" s="157" t="n">
        <v>1530</v>
      </c>
      <c r="L705" s="157" t="n">
        <v>1530</v>
      </c>
      <c r="R705" s="174" t="s">
        <v>279</v>
      </c>
      <c r="S705" s="157" t="n">
        <v>0</v>
      </c>
      <c r="T705" s="440" t="n">
        <f aca="false">S705/J705</f>
        <v>0</v>
      </c>
      <c r="U705" s="157" t="s">
        <v>279</v>
      </c>
      <c r="Y705" s="157" t="n">
        <v>115000</v>
      </c>
      <c r="AA705" s="157" t="n">
        <v>115000</v>
      </c>
      <c r="AC705" s="157" t="s">
        <v>6562</v>
      </c>
      <c r="AD705" s="157" t="s">
        <v>6563</v>
      </c>
      <c r="AE705" s="157" t="s">
        <v>6564</v>
      </c>
      <c r="AF705" s="157" t="s">
        <v>6565</v>
      </c>
      <c r="AI705" s="157" t="e">
        <f aca="false">IF(AND($E705=Subj_OccCode,Subj_BldgSF&gt;0,ABS($L705-Subj_BldgSF)&lt;=Subj_BldgSF*Subj_SizeTol),ABS($L705-Subj_BldgSF),NA())</f>
        <v>#N/A</v>
      </c>
      <c r="AJ705" s="1" t="e">
        <f aca="false">IF(ISNA(AI705),NA(),AI705+ROW()/10000000)</f>
        <v>#N/A</v>
      </c>
      <c r="AK705" s="157" t="str">
        <f aca="false">IF(AND(ISNUMBER($N705),$N705&gt;0,ISNUMBER($Y705)),$Y705/$N705,"")</f>
        <v/>
      </c>
    </row>
    <row r="706" customFormat="false" ht="15" hidden="false" customHeight="true" outlineLevel="0" collapsed="false">
      <c r="A706" s="438" t="n">
        <v>8</v>
      </c>
      <c r="B706" s="157" t="n">
        <v>702</v>
      </c>
      <c r="C706" s="157" t="s">
        <v>6566</v>
      </c>
      <c r="D706" s="157" t="s">
        <v>6567</v>
      </c>
      <c r="E706" s="157" t="n">
        <v>328</v>
      </c>
      <c r="G706" s="157" t="s">
        <v>352</v>
      </c>
      <c r="H706" s="78" t="n">
        <f aca="false">Y706/J706</f>
        <v>76.9084967320261</v>
      </c>
      <c r="I706" s="439" t="n">
        <v>44091</v>
      </c>
      <c r="J706" s="157" t="n">
        <v>1530</v>
      </c>
      <c r="L706" s="157" t="n">
        <v>1530</v>
      </c>
      <c r="R706" s="174" t="s">
        <v>279</v>
      </c>
      <c r="S706" s="157" t="n">
        <v>0</v>
      </c>
      <c r="T706" s="440" t="n">
        <f aca="false">S706/J706</f>
        <v>0</v>
      </c>
      <c r="U706" s="157" t="s">
        <v>279</v>
      </c>
      <c r="Y706" s="157" t="n">
        <v>117670</v>
      </c>
      <c r="AA706" s="157" t="n">
        <v>117670</v>
      </c>
      <c r="AC706" s="157" t="s">
        <v>6568</v>
      </c>
      <c r="AD706" s="157" t="s">
        <v>6569</v>
      </c>
      <c r="AE706" s="157" t="s">
        <v>6476</v>
      </c>
      <c r="AF706" s="157" t="s">
        <v>6570</v>
      </c>
      <c r="AI706" s="157" t="e">
        <f aca="false">IF(AND($E706=Subj_OccCode,Subj_BldgSF&gt;0,ABS($L706-Subj_BldgSF)&lt;=Subj_BldgSF*Subj_SizeTol),ABS($L706-Subj_BldgSF),NA())</f>
        <v>#N/A</v>
      </c>
      <c r="AJ706" s="1" t="e">
        <f aca="false">IF(ISNA(AI706),NA(),AI706+ROW()/10000000)</f>
        <v>#N/A</v>
      </c>
      <c r="AK706" s="157" t="str">
        <f aca="false">IF(AND(ISNUMBER($N706),$N706&gt;0,ISNUMBER($Y706)),$Y706/$N706,"")</f>
        <v/>
      </c>
    </row>
    <row r="707" customFormat="false" ht="15" hidden="false" customHeight="true" outlineLevel="0" collapsed="false">
      <c r="A707" s="438" t="n">
        <v>8</v>
      </c>
      <c r="B707" s="157" t="n">
        <v>703</v>
      </c>
      <c r="C707" s="157" t="s">
        <v>6571</v>
      </c>
      <c r="D707" s="157" t="s">
        <v>6572</v>
      </c>
      <c r="E707" s="157" t="n">
        <v>1344</v>
      </c>
      <c r="F707" s="157" t="s">
        <v>2581</v>
      </c>
      <c r="G707" s="157" t="s">
        <v>354</v>
      </c>
      <c r="H707" s="78" t="n">
        <f aca="false">Y707/J707</f>
        <v>173.508252221752</v>
      </c>
      <c r="I707" s="439" t="n">
        <v>44426</v>
      </c>
      <c r="J707" s="157" t="n">
        <v>4726</v>
      </c>
      <c r="L707" s="157" t="n">
        <v>4726</v>
      </c>
      <c r="M707" s="157" t="n">
        <v>2020</v>
      </c>
      <c r="R707" s="174" t="s">
        <v>279</v>
      </c>
      <c r="S707" s="157" t="n">
        <v>0</v>
      </c>
      <c r="T707" s="440" t="n">
        <f aca="false">S707/J707</f>
        <v>0</v>
      </c>
      <c r="U707" s="157" t="s">
        <v>279</v>
      </c>
      <c r="Y707" s="157" t="n">
        <v>820000</v>
      </c>
      <c r="AA707" s="157" t="n">
        <v>820000</v>
      </c>
      <c r="AC707" s="157" t="s">
        <v>6573</v>
      </c>
      <c r="AD707" s="157" t="s">
        <v>6574</v>
      </c>
      <c r="AE707" s="157" t="s">
        <v>6445</v>
      </c>
      <c r="AF707" s="157" t="s">
        <v>6575</v>
      </c>
      <c r="AI707" s="157" t="e">
        <f aca="false">IF(AND($E707=Subj_OccCode,Subj_BldgSF&gt;0,ABS($L707-Subj_BldgSF)&lt;=Subj_BldgSF*Subj_SizeTol),ABS($L707-Subj_BldgSF),NA())</f>
        <v>#N/A</v>
      </c>
      <c r="AJ707" s="1" t="e">
        <f aca="false">IF(ISNA(AI707),NA(),AI707+ROW()/10000000)</f>
        <v>#N/A</v>
      </c>
      <c r="AK707" s="157" t="str">
        <f aca="false">IF(AND(ISNUMBER($N707),$N707&gt;0,ISNUMBER($Y707)),$Y707/$N707,"")</f>
        <v/>
      </c>
    </row>
    <row r="708" customFormat="false" ht="15" hidden="false" customHeight="true" outlineLevel="0" collapsed="false">
      <c r="A708" s="438" t="n">
        <v>8</v>
      </c>
      <c r="B708" s="157" t="n">
        <v>704</v>
      </c>
      <c r="C708" s="157" t="s">
        <v>6576</v>
      </c>
      <c r="D708" s="157" t="s">
        <v>6442</v>
      </c>
      <c r="E708" s="157" t="n">
        <v>1344</v>
      </c>
      <c r="F708" s="157" t="s">
        <v>2581</v>
      </c>
      <c r="G708" s="157" t="s">
        <v>354</v>
      </c>
      <c r="H708" s="78" t="n">
        <f aca="false">Y708/J708</f>
        <v>339.880188275567</v>
      </c>
      <c r="I708" s="439" t="n">
        <v>44131</v>
      </c>
      <c r="J708" s="157" t="n">
        <v>2337</v>
      </c>
      <c r="L708" s="157" t="n">
        <v>2337</v>
      </c>
      <c r="M708" s="157" t="n">
        <v>2020</v>
      </c>
      <c r="R708" s="174" t="s">
        <v>279</v>
      </c>
      <c r="S708" s="157" t="n">
        <v>2051</v>
      </c>
      <c r="T708" s="440" t="n">
        <f aca="false">S708/J708</f>
        <v>0.877620881471973</v>
      </c>
      <c r="U708" s="157" t="s">
        <v>279</v>
      </c>
      <c r="Y708" s="157" t="n">
        <v>794300</v>
      </c>
      <c r="AA708" s="157" t="n">
        <v>794300</v>
      </c>
      <c r="AC708" s="157" t="s">
        <v>6577</v>
      </c>
      <c r="AD708" s="157" t="s">
        <v>6578</v>
      </c>
      <c r="AE708" s="157" t="s">
        <v>6445</v>
      </c>
      <c r="AF708" s="157" t="s">
        <v>6579</v>
      </c>
      <c r="AI708" s="157" t="e">
        <f aca="false">IF(AND($E708=Subj_OccCode,Subj_BldgSF&gt;0,ABS($L708-Subj_BldgSF)&lt;=Subj_BldgSF*Subj_SizeTol),ABS($L708-Subj_BldgSF),NA())</f>
        <v>#N/A</v>
      </c>
      <c r="AJ708" s="1" t="e">
        <f aca="false">IF(ISNA(AI708),NA(),AI708+ROW()/10000000)</f>
        <v>#N/A</v>
      </c>
      <c r="AK708" s="157" t="str">
        <f aca="false">IF(AND(ISNUMBER($N708),$N708&gt;0,ISNUMBER($Y708)),$Y708/$N708,"")</f>
        <v/>
      </c>
    </row>
    <row r="709" customFormat="false" ht="15" hidden="false" customHeight="true" outlineLevel="0" collapsed="false">
      <c r="A709" s="438" t="n">
        <v>8</v>
      </c>
      <c r="B709" s="157" t="n">
        <v>705</v>
      </c>
      <c r="C709" s="157" t="s">
        <v>6580</v>
      </c>
      <c r="D709" s="157" t="s">
        <v>6581</v>
      </c>
      <c r="E709" s="157" t="n">
        <v>328</v>
      </c>
      <c r="G709" s="157" t="s">
        <v>352</v>
      </c>
      <c r="H709" s="78" t="n">
        <f aca="false">Y709/J709</f>
        <v>77.4932614555256</v>
      </c>
      <c r="I709" s="439" t="n">
        <v>43971</v>
      </c>
      <c r="J709" s="157" t="n">
        <v>2968</v>
      </c>
      <c r="L709" s="157" t="n">
        <v>2968</v>
      </c>
      <c r="R709" s="174" t="s">
        <v>279</v>
      </c>
      <c r="S709" s="157" t="n">
        <v>0</v>
      </c>
      <c r="T709" s="440" t="n">
        <f aca="false">S709/J709</f>
        <v>0</v>
      </c>
      <c r="U709" s="157" t="s">
        <v>279</v>
      </c>
      <c r="Y709" s="157" t="n">
        <v>230000</v>
      </c>
      <c r="AA709" s="157" t="n">
        <v>230000</v>
      </c>
      <c r="AC709" s="157" t="s">
        <v>6582</v>
      </c>
      <c r="AD709" s="157" t="s">
        <v>6583</v>
      </c>
      <c r="AE709" s="157" t="s">
        <v>6584</v>
      </c>
      <c r="AF709" s="157" t="s">
        <v>6585</v>
      </c>
      <c r="AI709" s="157" t="e">
        <f aca="false">IF(AND($E709=Subj_OccCode,Subj_BldgSF&gt;0,ABS($L709-Subj_BldgSF)&lt;=Subj_BldgSF*Subj_SizeTol),ABS($L709-Subj_BldgSF),NA())</f>
        <v>#N/A</v>
      </c>
      <c r="AJ709" s="1" t="e">
        <f aca="false">IF(ISNA(AI709),NA(),AI709+ROW()/10000000)</f>
        <v>#N/A</v>
      </c>
      <c r="AK709" s="157" t="str">
        <f aca="false">IF(AND(ISNUMBER($N709),$N709&gt;0,ISNUMBER($Y709)),$Y709/$N709,"")</f>
        <v/>
      </c>
    </row>
    <row r="710" customFormat="false" ht="15" hidden="false" customHeight="true" outlineLevel="0" collapsed="false">
      <c r="A710" s="438" t="n">
        <v>8</v>
      </c>
      <c r="B710" s="157" t="n">
        <v>706</v>
      </c>
      <c r="C710" s="157" t="s">
        <v>6586</v>
      </c>
      <c r="D710" s="157" t="s">
        <v>6587</v>
      </c>
      <c r="E710" s="157" t="n">
        <v>328</v>
      </c>
      <c r="G710" s="157" t="s">
        <v>352</v>
      </c>
      <c r="H710" s="78" t="n">
        <f aca="false">Y710/J710</f>
        <v>51.2239347234814</v>
      </c>
      <c r="I710" s="439" t="n">
        <v>43868</v>
      </c>
      <c r="J710" s="157" t="n">
        <v>1103</v>
      </c>
      <c r="L710" s="157" t="n">
        <v>1103</v>
      </c>
      <c r="R710" s="174" t="s">
        <v>279</v>
      </c>
      <c r="S710" s="157" t="n">
        <v>0</v>
      </c>
      <c r="T710" s="440" t="n">
        <f aca="false">S710/J710</f>
        <v>0</v>
      </c>
      <c r="U710" s="157" t="s">
        <v>279</v>
      </c>
      <c r="Y710" s="157" t="n">
        <v>56500</v>
      </c>
      <c r="AA710" s="157" t="n">
        <v>56500</v>
      </c>
      <c r="AC710" s="157" t="s">
        <v>6588</v>
      </c>
      <c r="AD710" s="157" t="s">
        <v>6589</v>
      </c>
      <c r="AE710" s="157" t="s">
        <v>6476</v>
      </c>
      <c r="AF710" s="157" t="s">
        <v>6590</v>
      </c>
      <c r="AI710" s="157" t="e">
        <f aca="false">IF(AND($E710=Subj_OccCode,Subj_BldgSF&gt;0,ABS($L710-Subj_BldgSF)&lt;=Subj_BldgSF*Subj_SizeTol),ABS($L710-Subj_BldgSF),NA())</f>
        <v>#N/A</v>
      </c>
      <c r="AJ710" s="1" t="e">
        <f aca="false">IF(ISNA(AI710),NA(),AI710+ROW()/10000000)</f>
        <v>#N/A</v>
      </c>
      <c r="AK710" s="157" t="str">
        <f aca="false">IF(AND(ISNUMBER($N710),$N710&gt;0,ISNUMBER($Y710)),$Y710/$N710,"")</f>
        <v/>
      </c>
    </row>
    <row r="711" customFormat="false" ht="15" hidden="false" customHeight="true" outlineLevel="0" collapsed="false">
      <c r="A711" s="438" t="n">
        <v>8</v>
      </c>
      <c r="B711" s="157" t="n">
        <v>707</v>
      </c>
      <c r="C711" s="157" t="s">
        <v>6586</v>
      </c>
      <c r="D711" s="157" t="s">
        <v>6587</v>
      </c>
      <c r="E711" s="157" t="n">
        <v>328</v>
      </c>
      <c r="G711" s="157" t="s">
        <v>352</v>
      </c>
      <c r="H711" s="78" t="n">
        <f aca="false">Y711/J711</f>
        <v>78.8757932910245</v>
      </c>
      <c r="I711" s="439" t="n">
        <v>44091</v>
      </c>
      <c r="J711" s="157" t="n">
        <v>1103</v>
      </c>
      <c r="L711" s="157" t="n">
        <v>1103</v>
      </c>
      <c r="R711" s="174" t="s">
        <v>279</v>
      </c>
      <c r="S711" s="157" t="n">
        <v>0</v>
      </c>
      <c r="T711" s="440" t="n">
        <f aca="false">S711/J711</f>
        <v>0</v>
      </c>
      <c r="U711" s="157" t="s">
        <v>279</v>
      </c>
      <c r="Y711" s="157" t="n">
        <v>87000</v>
      </c>
      <c r="AA711" s="157" t="n">
        <v>87000</v>
      </c>
      <c r="AC711" s="157" t="s">
        <v>6588</v>
      </c>
      <c r="AD711" s="157" t="s">
        <v>6591</v>
      </c>
      <c r="AE711" s="157" t="s">
        <v>6590</v>
      </c>
      <c r="AF711" s="157" t="s">
        <v>6592</v>
      </c>
      <c r="AI711" s="157" t="e">
        <f aca="false">IF(AND($E711=Subj_OccCode,Subj_BldgSF&gt;0,ABS($L711-Subj_BldgSF)&lt;=Subj_BldgSF*Subj_SizeTol),ABS($L711-Subj_BldgSF),NA())</f>
        <v>#N/A</v>
      </c>
      <c r="AJ711" s="1" t="e">
        <f aca="false">IF(ISNA(AI711),NA(),AI711+ROW()/10000000)</f>
        <v>#N/A</v>
      </c>
      <c r="AK711" s="157" t="str">
        <f aca="false">IF(AND(ISNUMBER($N711),$N711&gt;0,ISNUMBER($Y711)),$Y711/$N711,"")</f>
        <v/>
      </c>
    </row>
    <row r="712" customFormat="false" ht="15" hidden="false" customHeight="true" outlineLevel="0" collapsed="false">
      <c r="A712" s="438" t="n">
        <v>8</v>
      </c>
      <c r="B712" s="157" t="n">
        <v>708</v>
      </c>
      <c r="C712" s="157" t="s">
        <v>6593</v>
      </c>
      <c r="D712" s="157" t="s">
        <v>6594</v>
      </c>
      <c r="E712" s="157" t="n">
        <v>436</v>
      </c>
      <c r="F712" s="157" t="s">
        <v>260</v>
      </c>
      <c r="G712" s="157" t="s">
        <v>353</v>
      </c>
      <c r="H712" s="78" t="n">
        <f aca="false">Y712/J712</f>
        <v>210.674157303371</v>
      </c>
      <c r="I712" s="439" t="n">
        <v>43523</v>
      </c>
      <c r="J712" s="157" t="n">
        <v>4272</v>
      </c>
      <c r="L712" s="157" t="n">
        <v>4272</v>
      </c>
      <c r="M712" s="157" t="n">
        <v>2019</v>
      </c>
      <c r="R712" s="174" t="s">
        <v>483</v>
      </c>
      <c r="S712" s="157" t="n">
        <v>54605</v>
      </c>
      <c r="T712" s="440" t="n">
        <f aca="false">S712/J712</f>
        <v>12.7820692883895</v>
      </c>
      <c r="U712" s="157" t="s">
        <v>483</v>
      </c>
      <c r="Y712" s="157" t="n">
        <v>900000</v>
      </c>
      <c r="AA712" s="157" t="n">
        <v>900000</v>
      </c>
      <c r="AC712" s="157" t="s">
        <v>6595</v>
      </c>
      <c r="AD712" s="157" t="s">
        <v>6596</v>
      </c>
      <c r="AE712" s="157" t="s">
        <v>6597</v>
      </c>
      <c r="AF712" s="157" t="s">
        <v>6598</v>
      </c>
      <c r="AI712" s="157" t="e">
        <f aca="false">IF(AND($E712=Subj_OccCode,Subj_BldgSF&gt;0,ABS($L712-Subj_BldgSF)&lt;=Subj_BldgSF*Subj_SizeTol),ABS($L712-Subj_BldgSF),NA())</f>
        <v>#N/A</v>
      </c>
      <c r="AJ712" s="1" t="e">
        <f aca="false">IF(ISNA(AI712),NA(),AI712+ROW()/10000000)</f>
        <v>#N/A</v>
      </c>
      <c r="AK712" s="157" t="str">
        <f aca="false">IF(AND(ISNUMBER($N712),$N712&gt;0,ISNUMBER($Y712)),$Y712/$N712,"")</f>
        <v/>
      </c>
    </row>
    <row r="713" customFormat="false" ht="15" hidden="false" customHeight="true" outlineLevel="0" collapsed="false">
      <c r="A713" s="438" t="n">
        <v>8</v>
      </c>
      <c r="B713" s="157" t="n">
        <v>709</v>
      </c>
      <c r="C713" s="157" t="s">
        <v>6599</v>
      </c>
      <c r="D713" s="157" t="s">
        <v>6600</v>
      </c>
      <c r="E713" s="157" t="n">
        <v>407</v>
      </c>
      <c r="F713" s="157" t="s">
        <v>2921</v>
      </c>
      <c r="G713" s="157" t="s">
        <v>2691</v>
      </c>
      <c r="H713" s="78" t="n">
        <f aca="false">Y713/J713</f>
        <v>147.571670342069</v>
      </c>
      <c r="I713" s="439" t="n">
        <v>44327</v>
      </c>
      <c r="J713" s="157" t="n">
        <v>19499</v>
      </c>
      <c r="L713" s="157" t="n">
        <v>19499</v>
      </c>
      <c r="M713" s="157" t="n">
        <v>2020</v>
      </c>
      <c r="P713" s="157" t="s">
        <v>4047</v>
      </c>
      <c r="R713" s="174" t="s">
        <v>279</v>
      </c>
      <c r="S713" s="157" t="n">
        <v>64459</v>
      </c>
      <c r="T713" s="440" t="n">
        <f aca="false">S713/J713</f>
        <v>3.30575926970614</v>
      </c>
      <c r="U713" s="157" t="s">
        <v>279</v>
      </c>
      <c r="Y713" s="157" t="n">
        <v>2877500</v>
      </c>
      <c r="AA713" s="157" t="n">
        <v>2877500</v>
      </c>
      <c r="AC713" s="157" t="s">
        <v>6601</v>
      </c>
      <c r="AD713" s="157" t="s">
        <v>6602</v>
      </c>
      <c r="AE713" s="157" t="s">
        <v>6603</v>
      </c>
      <c r="AF713" s="157" t="s">
        <v>6604</v>
      </c>
      <c r="AI713" s="157" t="e">
        <f aca="false">IF(AND($E713=Subj_OccCode,Subj_BldgSF&gt;0,ABS($L713-Subj_BldgSF)&lt;=Subj_BldgSF*Subj_SizeTol),ABS($L713-Subj_BldgSF),NA())</f>
        <v>#N/A</v>
      </c>
      <c r="AJ713" s="1" t="e">
        <f aca="false">IF(ISNA(AI713),NA(),AI713+ROW()/10000000)</f>
        <v>#N/A</v>
      </c>
      <c r="AK713" s="157" t="str">
        <f aca="false">IF(AND(ISNUMBER($N713),$N713&gt;0,ISNUMBER($Y713)),$Y713/$N713,"")</f>
        <v/>
      </c>
    </row>
    <row r="714" customFormat="false" ht="15" hidden="false" customHeight="true" outlineLevel="0" collapsed="false">
      <c r="A714" s="438" t="n">
        <v>8</v>
      </c>
      <c r="B714" s="157" t="n">
        <v>710</v>
      </c>
      <c r="C714" s="157" t="s">
        <v>6605</v>
      </c>
      <c r="D714" s="157" t="s">
        <v>6606</v>
      </c>
      <c r="E714" s="157" t="n">
        <v>328</v>
      </c>
      <c r="G714" s="157" t="s">
        <v>352</v>
      </c>
      <c r="H714" s="78" t="n">
        <f aca="false">Y714/J714</f>
        <v>80.3643724696356</v>
      </c>
      <c r="I714" s="439" t="n">
        <v>43951</v>
      </c>
      <c r="J714" s="157" t="n">
        <v>2470</v>
      </c>
      <c r="L714" s="157" t="n">
        <v>2470</v>
      </c>
      <c r="R714" s="174" t="s">
        <v>279</v>
      </c>
      <c r="T714" s="440" t="n">
        <f aca="false">S714/J714</f>
        <v>0</v>
      </c>
      <c r="U714" s="157" t="s">
        <v>279</v>
      </c>
      <c r="Y714" s="157" t="n">
        <v>198500</v>
      </c>
      <c r="AA714" s="157" t="n">
        <v>198500</v>
      </c>
      <c r="AC714" s="157" t="s">
        <v>6607</v>
      </c>
      <c r="AD714" s="157" t="s">
        <v>6608</v>
      </c>
      <c r="AE714" s="157" t="s">
        <v>6584</v>
      </c>
      <c r="AF714" s="157" t="s">
        <v>6609</v>
      </c>
      <c r="AI714" s="157" t="e">
        <f aca="false">IF(AND($E714=Subj_OccCode,Subj_BldgSF&gt;0,ABS($L714-Subj_BldgSF)&lt;=Subj_BldgSF*Subj_SizeTol),ABS($L714-Subj_BldgSF),NA())</f>
        <v>#N/A</v>
      </c>
      <c r="AJ714" s="1" t="e">
        <f aca="false">IF(ISNA(AI714),NA(),AI714+ROW()/10000000)</f>
        <v>#N/A</v>
      </c>
      <c r="AK714" s="157" t="str">
        <f aca="false">IF(AND(ISNUMBER($N714),$N714&gt;0,ISNUMBER($Y714)),$Y714/$N714,"")</f>
        <v/>
      </c>
    </row>
    <row r="715" customFormat="false" ht="15" hidden="false" customHeight="true" outlineLevel="0" collapsed="false">
      <c r="A715" s="441" t="n">
        <v>8</v>
      </c>
      <c r="B715" s="157" t="n">
        <v>711</v>
      </c>
      <c r="AI715" s="157" t="e">
        <f aca="false">IF(AND($E715=Subj_OccCode,Subj_BldgSF&gt;0,ABS($L715-Subj_BldgSF)&lt;=Subj_BldgSF*Subj_SizeTol),ABS($L715-Subj_BldgSF),NA())</f>
        <v>#N/A</v>
      </c>
      <c r="AJ715" s="1" t="e">
        <f aca="false">IF(ISNA(AI715),NA(),AI715+ROW()/10000000)</f>
        <v>#N/A</v>
      </c>
      <c r="AK715" s="157" t="str">
        <f aca="false">IF(AND(ISNUMBER($N715),$N715&gt;0,ISNUMBER($Y715)),$Y715/$N715,"")</f>
        <v/>
      </c>
    </row>
    <row r="716" customFormat="false" ht="15" hidden="false" customHeight="true" outlineLevel="0" collapsed="false">
      <c r="A716" s="441" t="n">
        <v>8</v>
      </c>
      <c r="B716" s="157" t="n">
        <v>712</v>
      </c>
      <c r="AI716" s="157" t="e">
        <f aca="false">IF(AND($E716=Subj_OccCode,Subj_BldgSF&gt;0,ABS($L716-Subj_BldgSF)&lt;=Subj_BldgSF*Subj_SizeTol),ABS($L716-Subj_BldgSF),NA())</f>
        <v>#N/A</v>
      </c>
      <c r="AJ716" s="1" t="e">
        <f aca="false">IF(ISNA(AI716),NA(),AI716+ROW()/10000000)</f>
        <v>#N/A</v>
      </c>
      <c r="AK716" s="157" t="str">
        <f aca="false">IF(AND(ISNUMBER($N716),$N716&gt;0,ISNUMBER($Y716)),$Y716/$N716,"")</f>
        <v/>
      </c>
    </row>
    <row r="717" customFormat="false" ht="15" hidden="false" customHeight="true" outlineLevel="0" collapsed="false">
      <c r="A717" s="441" t="n">
        <v>8</v>
      </c>
      <c r="B717" s="157" t="n">
        <v>713</v>
      </c>
      <c r="AI717" s="157" t="e">
        <f aca="false">IF(AND($E717=Subj_OccCode,Subj_BldgSF&gt;0,ABS($L717-Subj_BldgSF)&lt;=Subj_BldgSF*Subj_SizeTol),ABS($L717-Subj_BldgSF),NA())</f>
        <v>#N/A</v>
      </c>
      <c r="AJ717" s="1" t="e">
        <f aca="false">IF(ISNA(AI717),NA(),AI717+ROW()/10000000)</f>
        <v>#N/A</v>
      </c>
      <c r="AK717" s="157" t="str">
        <f aca="false">IF(AND(ISNUMBER($N717),$N717&gt;0,ISNUMBER($Y717)),$Y717/$N717,"")</f>
        <v/>
      </c>
    </row>
    <row r="718" customFormat="false" ht="15" hidden="false" customHeight="true" outlineLevel="0" collapsed="false">
      <c r="A718" s="441" t="n">
        <v>8</v>
      </c>
      <c r="B718" s="157" t="n">
        <v>714</v>
      </c>
      <c r="AI718" s="157" t="e">
        <f aca="false">IF(AND($E718=Subj_OccCode,Subj_BldgSF&gt;0,ABS($L718-Subj_BldgSF)&lt;=Subj_BldgSF*Subj_SizeTol),ABS($L718-Subj_BldgSF),NA())</f>
        <v>#N/A</v>
      </c>
      <c r="AJ718" s="1" t="e">
        <f aca="false">IF(ISNA(AI718),NA(),AI718+ROW()/10000000)</f>
        <v>#N/A</v>
      </c>
      <c r="AK718" s="157" t="str">
        <f aca="false">IF(AND(ISNUMBER($N718),$N718&gt;0,ISNUMBER($Y718)),$Y718/$N718,"")</f>
        <v/>
      </c>
    </row>
    <row r="719" customFormat="false" ht="15" hidden="false" customHeight="true" outlineLevel="0" collapsed="false">
      <c r="A719" s="441" t="n">
        <v>8</v>
      </c>
      <c r="B719" s="157" t="n">
        <v>715</v>
      </c>
      <c r="AI719" s="157" t="e">
        <f aca="false">IF(AND($E719=Subj_OccCode,Subj_BldgSF&gt;0,ABS($L719-Subj_BldgSF)&lt;=Subj_BldgSF*Subj_SizeTol),ABS($L719-Subj_BldgSF),NA())</f>
        <v>#N/A</v>
      </c>
      <c r="AJ719" s="1" t="e">
        <f aca="false">IF(ISNA(AI719),NA(),AI719+ROW()/10000000)</f>
        <v>#N/A</v>
      </c>
      <c r="AK719" s="157" t="str">
        <f aca="false">IF(AND(ISNUMBER($N719),$N719&gt;0,ISNUMBER($Y719)),$Y719/$N719,"")</f>
        <v/>
      </c>
    </row>
    <row r="720" customFormat="false" ht="15" hidden="false" customHeight="true" outlineLevel="0" collapsed="false">
      <c r="A720" s="441" t="n">
        <v>8</v>
      </c>
      <c r="B720" s="157" t="n">
        <v>716</v>
      </c>
      <c r="AI720" s="157" t="e">
        <f aca="false">IF(AND($E720=Subj_OccCode,Subj_BldgSF&gt;0,ABS($L720-Subj_BldgSF)&lt;=Subj_BldgSF*Subj_SizeTol),ABS($L720-Subj_BldgSF),NA())</f>
        <v>#N/A</v>
      </c>
      <c r="AJ720" s="1" t="e">
        <f aca="false">IF(ISNA(AI720),NA(),AI720+ROW()/10000000)</f>
        <v>#N/A</v>
      </c>
      <c r="AK720" s="157" t="str">
        <f aca="false">IF(AND(ISNUMBER($N720),$N720&gt;0,ISNUMBER($Y720)),$Y720/$N720,"")</f>
        <v/>
      </c>
    </row>
    <row r="721" customFormat="false" ht="15" hidden="false" customHeight="true" outlineLevel="0" collapsed="false">
      <c r="A721" s="441" t="n">
        <v>8</v>
      </c>
      <c r="B721" s="157" t="n">
        <v>717</v>
      </c>
      <c r="AI721" s="157" t="e">
        <f aca="false">IF(AND($E721=Subj_OccCode,Subj_BldgSF&gt;0,ABS($L721-Subj_BldgSF)&lt;=Subj_BldgSF*Subj_SizeTol),ABS($L721-Subj_BldgSF),NA())</f>
        <v>#N/A</v>
      </c>
      <c r="AJ721" s="1" t="e">
        <f aca="false">IF(ISNA(AI721),NA(),AI721+ROW()/10000000)</f>
        <v>#N/A</v>
      </c>
      <c r="AK721" s="157" t="str">
        <f aca="false">IF(AND(ISNUMBER($N721),$N721&gt;0,ISNUMBER($Y721)),$Y721/$N721,"")</f>
        <v/>
      </c>
    </row>
    <row r="722" customFormat="false" ht="15" hidden="false" customHeight="true" outlineLevel="0" collapsed="false">
      <c r="A722" s="441" t="n">
        <v>8</v>
      </c>
      <c r="B722" s="157" t="n">
        <v>718</v>
      </c>
      <c r="AI722" s="157" t="e">
        <f aca="false">IF(AND($E722=Subj_OccCode,Subj_BldgSF&gt;0,ABS($L722-Subj_BldgSF)&lt;=Subj_BldgSF*Subj_SizeTol),ABS($L722-Subj_BldgSF),NA())</f>
        <v>#N/A</v>
      </c>
      <c r="AJ722" s="1" t="e">
        <f aca="false">IF(ISNA(AI722),NA(),AI722+ROW()/10000000)</f>
        <v>#N/A</v>
      </c>
      <c r="AK722" s="157" t="str">
        <f aca="false">IF(AND(ISNUMBER($N722),$N722&gt;0,ISNUMBER($Y722)),$Y722/$N722,"")</f>
        <v/>
      </c>
    </row>
    <row r="723" customFormat="false" ht="15" hidden="false" customHeight="true" outlineLevel="0" collapsed="false">
      <c r="A723" s="441" t="n">
        <v>8</v>
      </c>
      <c r="B723" s="157" t="n">
        <v>719</v>
      </c>
      <c r="AI723" s="157" t="e">
        <f aca="false">IF(AND($E723=Subj_OccCode,Subj_BldgSF&gt;0,ABS($L723-Subj_BldgSF)&lt;=Subj_BldgSF*Subj_SizeTol),ABS($L723-Subj_BldgSF),NA())</f>
        <v>#N/A</v>
      </c>
      <c r="AJ723" s="1" t="e">
        <f aca="false">IF(ISNA(AI723),NA(),AI723+ROW()/10000000)</f>
        <v>#N/A</v>
      </c>
      <c r="AK723" s="157" t="str">
        <f aca="false">IF(AND(ISNUMBER($N723),$N723&gt;0,ISNUMBER($Y723)),$Y723/$N723,"")</f>
        <v/>
      </c>
    </row>
    <row r="724" customFormat="false" ht="15" hidden="false" customHeight="true" outlineLevel="0" collapsed="false">
      <c r="A724" s="441" t="n">
        <v>8</v>
      </c>
      <c r="B724" s="157" t="n">
        <v>720</v>
      </c>
      <c r="AI724" s="157" t="e">
        <f aca="false">IF(AND($E724=Subj_OccCode,Subj_BldgSF&gt;0,ABS($L724-Subj_BldgSF)&lt;=Subj_BldgSF*Subj_SizeTol),ABS($L724-Subj_BldgSF),NA())</f>
        <v>#N/A</v>
      </c>
      <c r="AJ724" s="1" t="e">
        <f aca="false">IF(ISNA(AI724),NA(),AI724+ROW()/10000000)</f>
        <v>#N/A</v>
      </c>
      <c r="AK724" s="157" t="str">
        <f aca="false">IF(AND(ISNUMBER($N724),$N724&gt;0,ISNUMBER($Y724)),$Y724/$N724,"")</f>
        <v/>
      </c>
    </row>
    <row r="725" customFormat="false" ht="15" hidden="false" customHeight="true" outlineLevel="0" collapsed="false">
      <c r="A725" s="441" t="n">
        <v>8</v>
      </c>
      <c r="B725" s="157" t="n">
        <v>721</v>
      </c>
      <c r="AI725" s="157" t="e">
        <f aca="false">IF(AND($E725=Subj_OccCode,Subj_BldgSF&gt;0,ABS($L725-Subj_BldgSF)&lt;=Subj_BldgSF*Subj_SizeTol),ABS($L725-Subj_BldgSF),NA())</f>
        <v>#N/A</v>
      </c>
      <c r="AJ725" s="1" t="e">
        <f aca="false">IF(ISNA(AI725),NA(),AI725+ROW()/10000000)</f>
        <v>#N/A</v>
      </c>
      <c r="AK725" s="157" t="str">
        <f aca="false">IF(AND(ISNUMBER($N725),$N725&gt;0,ISNUMBER($Y725)),$Y725/$N725,"")</f>
        <v/>
      </c>
    </row>
    <row r="726" customFormat="false" ht="15" hidden="false" customHeight="true" outlineLevel="0" collapsed="false">
      <c r="A726" s="441" t="n">
        <v>8</v>
      </c>
      <c r="B726" s="157" t="n">
        <v>722</v>
      </c>
      <c r="AI726" s="157" t="e">
        <f aca="false">IF(AND($E726=Subj_OccCode,Subj_BldgSF&gt;0,ABS($L726-Subj_BldgSF)&lt;=Subj_BldgSF*Subj_SizeTol),ABS($L726-Subj_BldgSF),NA())</f>
        <v>#N/A</v>
      </c>
      <c r="AJ726" s="1" t="e">
        <f aca="false">IF(ISNA(AI726),NA(),AI726+ROW()/10000000)</f>
        <v>#N/A</v>
      </c>
      <c r="AK726" s="157" t="str">
        <f aca="false">IF(AND(ISNUMBER($N726),$N726&gt;0,ISNUMBER($Y726)),$Y726/$N726,"")</f>
        <v/>
      </c>
    </row>
    <row r="727" customFormat="false" ht="15" hidden="false" customHeight="true" outlineLevel="0" collapsed="false">
      <c r="A727" s="441" t="n">
        <v>8</v>
      </c>
      <c r="B727" s="157" t="n">
        <v>723</v>
      </c>
      <c r="AI727" s="157" t="e">
        <f aca="false">IF(AND($E727=Subj_OccCode,Subj_BldgSF&gt;0,ABS($L727-Subj_BldgSF)&lt;=Subj_BldgSF*Subj_SizeTol),ABS($L727-Subj_BldgSF),NA())</f>
        <v>#N/A</v>
      </c>
      <c r="AJ727" s="1" t="e">
        <f aca="false">IF(ISNA(AI727),NA(),AI727+ROW()/10000000)</f>
        <v>#N/A</v>
      </c>
      <c r="AK727" s="157" t="str">
        <f aca="false">IF(AND(ISNUMBER($N727),$N727&gt;0,ISNUMBER($Y727)),$Y727/$N727,"")</f>
        <v/>
      </c>
    </row>
    <row r="728" customFormat="false" ht="15" hidden="false" customHeight="true" outlineLevel="0" collapsed="false">
      <c r="A728" s="441" t="n">
        <v>8</v>
      </c>
      <c r="B728" s="157" t="n">
        <v>724</v>
      </c>
      <c r="AI728" s="157" t="e">
        <f aca="false">IF(AND($E728=Subj_OccCode,Subj_BldgSF&gt;0,ABS($L728-Subj_BldgSF)&lt;=Subj_BldgSF*Subj_SizeTol),ABS($L728-Subj_BldgSF),NA())</f>
        <v>#N/A</v>
      </c>
      <c r="AJ728" s="1" t="e">
        <f aca="false">IF(ISNA(AI728),NA(),AI728+ROW()/10000000)</f>
        <v>#N/A</v>
      </c>
      <c r="AK728" s="157" t="str">
        <f aca="false">IF(AND(ISNUMBER($N728),$N728&gt;0,ISNUMBER($Y728)),$Y728/$N728,"")</f>
        <v/>
      </c>
    </row>
    <row r="729" customFormat="false" ht="15" hidden="false" customHeight="true" outlineLevel="0" collapsed="false">
      <c r="A729" s="441" t="n">
        <v>8</v>
      </c>
      <c r="B729" s="157" t="n">
        <v>725</v>
      </c>
      <c r="AI729" s="157" t="e">
        <f aca="false">IF(AND($E729=Subj_OccCode,Subj_BldgSF&gt;0,ABS($L729-Subj_BldgSF)&lt;=Subj_BldgSF*Subj_SizeTol),ABS($L729-Subj_BldgSF),NA())</f>
        <v>#N/A</v>
      </c>
      <c r="AJ729" s="1" t="e">
        <f aca="false">IF(ISNA(AI729),NA(),AI729+ROW()/10000000)</f>
        <v>#N/A</v>
      </c>
      <c r="AK729" s="157" t="str">
        <f aca="false">IF(AND(ISNUMBER($N729),$N729&gt;0,ISNUMBER($Y729)),$Y729/$N729,"")</f>
        <v/>
      </c>
    </row>
    <row r="730" customFormat="false" ht="15" hidden="false" customHeight="true" outlineLevel="0" collapsed="false">
      <c r="A730" s="441" t="n">
        <v>8</v>
      </c>
      <c r="B730" s="157" t="n">
        <v>726</v>
      </c>
      <c r="AI730" s="157" t="e">
        <f aca="false">IF(AND($E730=Subj_OccCode,Subj_BldgSF&gt;0,ABS($L730-Subj_BldgSF)&lt;=Subj_BldgSF*Subj_SizeTol),ABS($L730-Subj_BldgSF),NA())</f>
        <v>#N/A</v>
      </c>
      <c r="AJ730" s="1" t="e">
        <f aca="false">IF(ISNA(AI730),NA(),AI730+ROW()/10000000)</f>
        <v>#N/A</v>
      </c>
      <c r="AK730" s="157" t="str">
        <f aca="false">IF(AND(ISNUMBER($N730),$N730&gt;0,ISNUMBER($Y730)),$Y730/$N730,"")</f>
        <v/>
      </c>
    </row>
    <row r="731" customFormat="false" ht="15" hidden="false" customHeight="true" outlineLevel="0" collapsed="false">
      <c r="A731" s="441" t="n">
        <v>8</v>
      </c>
      <c r="B731" s="157" t="n">
        <v>727</v>
      </c>
      <c r="AI731" s="157" t="e">
        <f aca="false">IF(AND($E731=Subj_OccCode,Subj_BldgSF&gt;0,ABS($L731-Subj_BldgSF)&lt;=Subj_BldgSF*Subj_SizeTol),ABS($L731-Subj_BldgSF),NA())</f>
        <v>#N/A</v>
      </c>
      <c r="AJ731" s="1" t="e">
        <f aca="false">IF(ISNA(AI731),NA(),AI731+ROW()/10000000)</f>
        <v>#N/A</v>
      </c>
      <c r="AK731" s="157" t="str">
        <f aca="false">IF(AND(ISNUMBER($N731),$N731&gt;0,ISNUMBER($Y731)),$Y731/$N731,"")</f>
        <v/>
      </c>
    </row>
    <row r="732" customFormat="false" ht="15" hidden="false" customHeight="true" outlineLevel="0" collapsed="false">
      <c r="A732" s="441" t="n">
        <v>8</v>
      </c>
      <c r="B732" s="157" t="n">
        <v>728</v>
      </c>
      <c r="AI732" s="157" t="e">
        <f aca="false">IF(AND($E732=Subj_OccCode,Subj_BldgSF&gt;0,ABS($L732-Subj_BldgSF)&lt;=Subj_BldgSF*Subj_SizeTol),ABS($L732-Subj_BldgSF),NA())</f>
        <v>#N/A</v>
      </c>
      <c r="AJ732" s="1" t="e">
        <f aca="false">IF(ISNA(AI732),NA(),AI732+ROW()/10000000)</f>
        <v>#N/A</v>
      </c>
      <c r="AK732" s="157" t="str">
        <f aca="false">IF(AND(ISNUMBER($N732),$N732&gt;0,ISNUMBER($Y732)),$Y732/$N732,"")</f>
        <v/>
      </c>
    </row>
    <row r="733" customFormat="false" ht="15" hidden="false" customHeight="true" outlineLevel="0" collapsed="false">
      <c r="A733" s="441" t="n">
        <v>8</v>
      </c>
      <c r="B733" s="157" t="n">
        <v>729</v>
      </c>
      <c r="AI733" s="157" t="e">
        <f aca="false">IF(AND($E733=Subj_OccCode,Subj_BldgSF&gt;0,ABS($L733-Subj_BldgSF)&lt;=Subj_BldgSF*Subj_SizeTol),ABS($L733-Subj_BldgSF),NA())</f>
        <v>#N/A</v>
      </c>
      <c r="AJ733" s="1" t="e">
        <f aca="false">IF(ISNA(AI733),NA(),AI733+ROW()/10000000)</f>
        <v>#N/A</v>
      </c>
      <c r="AK733" s="157" t="str">
        <f aca="false">IF(AND(ISNUMBER($N733),$N733&gt;0,ISNUMBER($Y733)),$Y733/$N733,"")</f>
        <v/>
      </c>
    </row>
    <row r="734" customFormat="false" ht="15" hidden="false" customHeight="true" outlineLevel="0" collapsed="false">
      <c r="A734" s="441" t="n">
        <v>8</v>
      </c>
      <c r="B734" s="157" t="n">
        <v>730</v>
      </c>
      <c r="AI734" s="157" t="e">
        <f aca="false">IF(AND($E734=Subj_OccCode,Subj_BldgSF&gt;0,ABS($L734-Subj_BldgSF)&lt;=Subj_BldgSF*Subj_SizeTol),ABS($L734-Subj_BldgSF),NA())</f>
        <v>#N/A</v>
      </c>
      <c r="AJ734" s="1" t="e">
        <f aca="false">IF(ISNA(AI734),NA(),AI734+ROW()/10000000)</f>
        <v>#N/A</v>
      </c>
      <c r="AK734" s="157" t="str">
        <f aca="false">IF(AND(ISNUMBER($N734),$N734&gt;0,ISNUMBER($Y734)),$Y734/$N734,"")</f>
        <v/>
      </c>
    </row>
    <row r="735" customFormat="false" ht="15" hidden="false" customHeight="true" outlineLevel="0" collapsed="false">
      <c r="A735" s="441" t="n">
        <v>8</v>
      </c>
      <c r="B735" s="157" t="n">
        <v>731</v>
      </c>
      <c r="AI735" s="157" t="e">
        <f aca="false">IF(AND($E735=Subj_OccCode,Subj_BldgSF&gt;0,ABS($L735-Subj_BldgSF)&lt;=Subj_BldgSF*Subj_SizeTol),ABS($L735-Subj_BldgSF),NA())</f>
        <v>#N/A</v>
      </c>
      <c r="AJ735" s="1" t="e">
        <f aca="false">IF(ISNA(AI735),NA(),AI735+ROW()/10000000)</f>
        <v>#N/A</v>
      </c>
      <c r="AK735" s="157" t="str">
        <f aca="false">IF(AND(ISNUMBER($N735),$N735&gt;0,ISNUMBER($Y735)),$Y735/$N735,"")</f>
        <v/>
      </c>
    </row>
    <row r="736" customFormat="false" ht="15" hidden="false" customHeight="true" outlineLevel="0" collapsed="false">
      <c r="A736" s="441" t="n">
        <v>8</v>
      </c>
      <c r="B736" s="157" t="n">
        <v>732</v>
      </c>
      <c r="AI736" s="157" t="e">
        <f aca="false">IF(AND($E736=Subj_OccCode,Subj_BldgSF&gt;0,ABS($L736-Subj_BldgSF)&lt;=Subj_BldgSF*Subj_SizeTol),ABS($L736-Subj_BldgSF),NA())</f>
        <v>#N/A</v>
      </c>
      <c r="AJ736" s="1" t="e">
        <f aca="false">IF(ISNA(AI736),NA(),AI736+ROW()/10000000)</f>
        <v>#N/A</v>
      </c>
      <c r="AK736" s="157" t="str">
        <f aca="false">IF(AND(ISNUMBER($N736),$N736&gt;0,ISNUMBER($Y736)),$Y736/$N736,"")</f>
        <v/>
      </c>
    </row>
    <row r="737" customFormat="false" ht="15" hidden="false" customHeight="true" outlineLevel="0" collapsed="false">
      <c r="A737" s="441" t="n">
        <v>8</v>
      </c>
      <c r="B737" s="157" t="n">
        <v>733</v>
      </c>
      <c r="AI737" s="157" t="e">
        <f aca="false">IF(AND($E737=Subj_OccCode,Subj_BldgSF&gt;0,ABS($L737-Subj_BldgSF)&lt;=Subj_BldgSF*Subj_SizeTol),ABS($L737-Subj_BldgSF),NA())</f>
        <v>#N/A</v>
      </c>
      <c r="AJ737" s="1" t="e">
        <f aca="false">IF(ISNA(AI737),NA(),AI737+ROW()/10000000)</f>
        <v>#N/A</v>
      </c>
      <c r="AK737" s="157" t="str">
        <f aca="false">IF(AND(ISNUMBER($N737),$N737&gt;0,ISNUMBER($Y737)),$Y737/$N737,"")</f>
        <v/>
      </c>
    </row>
    <row r="738" customFormat="false" ht="15" hidden="false" customHeight="true" outlineLevel="0" collapsed="false">
      <c r="A738" s="441" t="n">
        <v>8</v>
      </c>
      <c r="B738" s="157" t="n">
        <v>734</v>
      </c>
      <c r="AI738" s="157" t="e">
        <f aca="false">IF(AND($E738=Subj_OccCode,Subj_BldgSF&gt;0,ABS($L738-Subj_BldgSF)&lt;=Subj_BldgSF*Subj_SizeTol),ABS($L738-Subj_BldgSF),NA())</f>
        <v>#N/A</v>
      </c>
      <c r="AJ738" s="1" t="e">
        <f aca="false">IF(ISNA(AI738),NA(),AI738+ROW()/10000000)</f>
        <v>#N/A</v>
      </c>
      <c r="AK738" s="157" t="str">
        <f aca="false">IF(AND(ISNUMBER($N738),$N738&gt;0,ISNUMBER($Y738)),$Y738/$N738,"")</f>
        <v/>
      </c>
    </row>
    <row r="739" customFormat="false" ht="15" hidden="false" customHeight="true" outlineLevel="0" collapsed="false">
      <c r="A739" s="441" t="n">
        <v>8</v>
      </c>
      <c r="B739" s="157" t="n">
        <v>735</v>
      </c>
      <c r="AI739" s="157" t="e">
        <f aca="false">IF(AND($E739=Subj_OccCode,Subj_BldgSF&gt;0,ABS($L739-Subj_BldgSF)&lt;=Subj_BldgSF*Subj_SizeTol),ABS($L739-Subj_BldgSF),NA())</f>
        <v>#N/A</v>
      </c>
      <c r="AJ739" s="1" t="e">
        <f aca="false">IF(ISNA(AI739),NA(),AI739+ROW()/10000000)</f>
        <v>#N/A</v>
      </c>
      <c r="AK739" s="157" t="str">
        <f aca="false">IF(AND(ISNUMBER($N739),$N739&gt;0,ISNUMBER($Y739)),$Y739/$N739,"")</f>
        <v/>
      </c>
    </row>
    <row r="740" customFormat="false" ht="15" hidden="false" customHeight="true" outlineLevel="0" collapsed="false">
      <c r="A740" s="441" t="n">
        <v>8</v>
      </c>
      <c r="B740" s="157" t="n">
        <v>736</v>
      </c>
      <c r="AI740" s="157" t="e">
        <f aca="false">IF(AND($E740=Subj_OccCode,Subj_BldgSF&gt;0,ABS($L740-Subj_BldgSF)&lt;=Subj_BldgSF*Subj_SizeTol),ABS($L740-Subj_BldgSF),NA())</f>
        <v>#N/A</v>
      </c>
      <c r="AJ740" s="1" t="e">
        <f aca="false">IF(ISNA(AI740),NA(),AI740+ROW()/10000000)</f>
        <v>#N/A</v>
      </c>
      <c r="AK740" s="157" t="str">
        <f aca="false">IF(AND(ISNUMBER($N740),$N740&gt;0,ISNUMBER($Y740)),$Y740/$N740,"")</f>
        <v/>
      </c>
    </row>
    <row r="741" customFormat="false" ht="15" hidden="false" customHeight="true" outlineLevel="0" collapsed="false">
      <c r="A741" s="441" t="n">
        <v>8</v>
      </c>
      <c r="B741" s="157" t="n">
        <v>737</v>
      </c>
      <c r="AI741" s="157" t="e">
        <f aca="false">IF(AND($E741=Subj_OccCode,Subj_BldgSF&gt;0,ABS($L741-Subj_BldgSF)&lt;=Subj_BldgSF*Subj_SizeTol),ABS($L741-Subj_BldgSF),NA())</f>
        <v>#N/A</v>
      </c>
      <c r="AJ741" s="1" t="e">
        <f aca="false">IF(ISNA(AI741),NA(),AI741+ROW()/10000000)</f>
        <v>#N/A</v>
      </c>
      <c r="AK741" s="157" t="str">
        <f aca="false">IF(AND(ISNUMBER($N741),$N741&gt;0,ISNUMBER($Y741)),$Y741/$N741,"")</f>
        <v/>
      </c>
    </row>
    <row r="742" customFormat="false" ht="15" hidden="false" customHeight="true" outlineLevel="0" collapsed="false">
      <c r="A742" s="441" t="n">
        <v>8</v>
      </c>
      <c r="B742" s="157" t="n">
        <v>738</v>
      </c>
      <c r="AI742" s="157" t="e">
        <f aca="false">IF(AND($E742=Subj_OccCode,Subj_BldgSF&gt;0,ABS($L742-Subj_BldgSF)&lt;=Subj_BldgSF*Subj_SizeTol),ABS($L742-Subj_BldgSF),NA())</f>
        <v>#N/A</v>
      </c>
      <c r="AJ742" s="1" t="e">
        <f aca="false">IF(ISNA(AI742),NA(),AI742+ROW()/10000000)</f>
        <v>#N/A</v>
      </c>
      <c r="AK742" s="157" t="str">
        <f aca="false">IF(AND(ISNUMBER($N742),$N742&gt;0,ISNUMBER($Y742)),$Y742/$N742,"")</f>
        <v/>
      </c>
    </row>
    <row r="743" customFormat="false" ht="15" hidden="false" customHeight="true" outlineLevel="0" collapsed="false">
      <c r="A743" s="441" t="n">
        <v>8</v>
      </c>
      <c r="B743" s="157" t="n">
        <v>739</v>
      </c>
      <c r="AI743" s="157" t="e">
        <f aca="false">IF(AND($E743=Subj_OccCode,Subj_BldgSF&gt;0,ABS($L743-Subj_BldgSF)&lt;=Subj_BldgSF*Subj_SizeTol),ABS($L743-Subj_BldgSF),NA())</f>
        <v>#N/A</v>
      </c>
      <c r="AJ743" s="1" t="e">
        <f aca="false">IF(ISNA(AI743),NA(),AI743+ROW()/10000000)</f>
        <v>#N/A</v>
      </c>
      <c r="AK743" s="157" t="str">
        <f aca="false">IF(AND(ISNUMBER($N743),$N743&gt;0,ISNUMBER($Y743)),$Y743/$N743,"")</f>
        <v/>
      </c>
    </row>
    <row r="744" customFormat="false" ht="15" hidden="false" customHeight="true" outlineLevel="0" collapsed="false">
      <c r="A744" s="441" t="n">
        <v>8</v>
      </c>
      <c r="B744" s="157" t="n">
        <v>740</v>
      </c>
      <c r="AI744" s="157" t="e">
        <f aca="false">IF(AND($E744=Subj_OccCode,Subj_BldgSF&gt;0,ABS($L744-Subj_BldgSF)&lt;=Subj_BldgSF*Subj_SizeTol),ABS($L744-Subj_BldgSF),NA())</f>
        <v>#N/A</v>
      </c>
      <c r="AJ744" s="1" t="e">
        <f aca="false">IF(ISNA(AI744),NA(),AI744+ROW()/10000000)</f>
        <v>#N/A</v>
      </c>
      <c r="AK744" s="157" t="str">
        <f aca="false">IF(AND(ISNUMBER($N744),$N744&gt;0,ISNUMBER($Y744)),$Y744/$N744,"")</f>
        <v/>
      </c>
    </row>
    <row r="745" customFormat="false" ht="15" hidden="false" customHeight="true" outlineLevel="0" collapsed="false">
      <c r="A745" s="441" t="n">
        <v>8</v>
      </c>
      <c r="B745" s="157" t="n">
        <v>741</v>
      </c>
      <c r="AI745" s="157" t="e">
        <f aca="false">IF(AND($E745=Subj_OccCode,Subj_BldgSF&gt;0,ABS($L745-Subj_BldgSF)&lt;=Subj_BldgSF*Subj_SizeTol),ABS($L745-Subj_BldgSF),NA())</f>
        <v>#N/A</v>
      </c>
      <c r="AJ745" s="1" t="e">
        <f aca="false">IF(ISNA(AI745),NA(),AI745+ROW()/10000000)</f>
        <v>#N/A</v>
      </c>
      <c r="AK745" s="157" t="str">
        <f aca="false">IF(AND(ISNUMBER($N745),$N745&gt;0,ISNUMBER($Y745)),$Y745/$N745,"")</f>
        <v/>
      </c>
    </row>
    <row r="746" customFormat="false" ht="15" hidden="false" customHeight="true" outlineLevel="0" collapsed="false">
      <c r="A746" s="441" t="n">
        <v>8</v>
      </c>
      <c r="B746" s="157" t="n">
        <v>742</v>
      </c>
      <c r="AI746" s="157" t="e">
        <f aca="false">IF(AND($E746=Subj_OccCode,Subj_BldgSF&gt;0,ABS($L746-Subj_BldgSF)&lt;=Subj_BldgSF*Subj_SizeTol),ABS($L746-Subj_BldgSF),NA())</f>
        <v>#N/A</v>
      </c>
      <c r="AJ746" s="1" t="e">
        <f aca="false">IF(ISNA(AI746),NA(),AI746+ROW()/10000000)</f>
        <v>#N/A</v>
      </c>
      <c r="AK746" s="157" t="str">
        <f aca="false">IF(AND(ISNUMBER($N746),$N746&gt;0,ISNUMBER($Y746)),$Y746/$N746,"")</f>
        <v/>
      </c>
    </row>
    <row r="747" customFormat="false" ht="15" hidden="false" customHeight="true" outlineLevel="0" collapsed="false">
      <c r="A747" s="441" t="n">
        <v>8</v>
      </c>
      <c r="B747" s="157" t="n">
        <v>743</v>
      </c>
      <c r="AI747" s="157" t="e">
        <f aca="false">IF(AND($E747=Subj_OccCode,Subj_BldgSF&gt;0,ABS($L747-Subj_BldgSF)&lt;=Subj_BldgSF*Subj_SizeTol),ABS($L747-Subj_BldgSF),NA())</f>
        <v>#N/A</v>
      </c>
      <c r="AJ747" s="1" t="e">
        <f aca="false">IF(ISNA(AI747),NA(),AI747+ROW()/10000000)</f>
        <v>#N/A</v>
      </c>
      <c r="AK747" s="157" t="str">
        <f aca="false">IF(AND(ISNUMBER($N747),$N747&gt;0,ISNUMBER($Y747)),$Y747/$N747,"")</f>
        <v/>
      </c>
    </row>
    <row r="748" customFormat="false" ht="15" hidden="false" customHeight="true" outlineLevel="0" collapsed="false">
      <c r="A748" s="441" t="n">
        <v>8</v>
      </c>
      <c r="B748" s="157" t="n">
        <v>744</v>
      </c>
      <c r="AI748" s="157" t="e">
        <f aca="false">IF(AND($E748=Subj_OccCode,Subj_BldgSF&gt;0,ABS($L748-Subj_BldgSF)&lt;=Subj_BldgSF*Subj_SizeTol),ABS($L748-Subj_BldgSF),NA())</f>
        <v>#N/A</v>
      </c>
      <c r="AJ748" s="1" t="e">
        <f aca="false">IF(ISNA(AI748),NA(),AI748+ROW()/10000000)</f>
        <v>#N/A</v>
      </c>
      <c r="AK748" s="157" t="str">
        <f aca="false">IF(AND(ISNUMBER($N748),$N748&gt;0,ISNUMBER($Y748)),$Y748/$N748,"")</f>
        <v/>
      </c>
    </row>
    <row r="749" customFormat="false" ht="15" hidden="false" customHeight="true" outlineLevel="0" collapsed="false">
      <c r="A749" s="441" t="n">
        <v>8</v>
      </c>
      <c r="B749" s="157" t="n">
        <v>745</v>
      </c>
      <c r="AI749" s="157" t="e">
        <f aca="false">IF(AND($E749=Subj_OccCode,Subj_BldgSF&gt;0,ABS($L749-Subj_BldgSF)&lt;=Subj_BldgSF*Subj_SizeTol),ABS($L749-Subj_BldgSF),NA())</f>
        <v>#N/A</v>
      </c>
      <c r="AJ749" s="1" t="e">
        <f aca="false">IF(ISNA(AI749),NA(),AI749+ROW()/10000000)</f>
        <v>#N/A</v>
      </c>
      <c r="AK749" s="157" t="str">
        <f aca="false">IF(AND(ISNUMBER($N749),$N749&gt;0,ISNUMBER($Y749)),$Y749/$N749,"")</f>
        <v/>
      </c>
    </row>
    <row r="750" customFormat="false" ht="15" hidden="false" customHeight="true" outlineLevel="0" collapsed="false">
      <c r="A750" s="441" t="n">
        <v>8</v>
      </c>
      <c r="B750" s="157" t="n">
        <v>746</v>
      </c>
      <c r="AI750" s="157" t="e">
        <f aca="false">IF(AND($E750=Subj_OccCode,Subj_BldgSF&gt;0,ABS($L750-Subj_BldgSF)&lt;=Subj_BldgSF*Subj_SizeTol),ABS($L750-Subj_BldgSF),NA())</f>
        <v>#N/A</v>
      </c>
      <c r="AJ750" s="1" t="e">
        <f aca="false">IF(ISNA(AI750),NA(),AI750+ROW()/10000000)</f>
        <v>#N/A</v>
      </c>
      <c r="AK750" s="157" t="str">
        <f aca="false">IF(AND(ISNUMBER($N750),$N750&gt;0,ISNUMBER($Y750)),$Y750/$N750,"")</f>
        <v/>
      </c>
    </row>
    <row r="751" customFormat="false" ht="15" hidden="false" customHeight="true" outlineLevel="0" collapsed="false">
      <c r="A751" s="441" t="n">
        <v>8</v>
      </c>
      <c r="B751" s="157" t="n">
        <v>747</v>
      </c>
      <c r="AI751" s="157" t="e">
        <f aca="false">IF(AND($E751=Subj_OccCode,Subj_BldgSF&gt;0,ABS($L751-Subj_BldgSF)&lt;=Subj_BldgSF*Subj_SizeTol),ABS($L751-Subj_BldgSF),NA())</f>
        <v>#N/A</v>
      </c>
      <c r="AJ751" s="1" t="e">
        <f aca="false">IF(ISNA(AI751),NA(),AI751+ROW()/10000000)</f>
        <v>#N/A</v>
      </c>
      <c r="AK751" s="157" t="str">
        <f aca="false">IF(AND(ISNUMBER($N751),$N751&gt;0,ISNUMBER($Y751)),$Y751/$N751,"")</f>
        <v/>
      </c>
    </row>
    <row r="752" customFormat="false" ht="15" hidden="false" customHeight="true" outlineLevel="0" collapsed="false">
      <c r="A752" s="441" t="n">
        <v>8</v>
      </c>
      <c r="B752" s="157" t="n">
        <v>748</v>
      </c>
      <c r="AI752" s="157" t="e">
        <f aca="false">IF(AND($E752=Subj_OccCode,Subj_BldgSF&gt;0,ABS($L752-Subj_BldgSF)&lt;=Subj_BldgSF*Subj_SizeTol),ABS($L752-Subj_BldgSF),NA())</f>
        <v>#N/A</v>
      </c>
      <c r="AJ752" s="1" t="e">
        <f aca="false">IF(ISNA(AI752),NA(),AI752+ROW()/10000000)</f>
        <v>#N/A</v>
      </c>
      <c r="AK752" s="157" t="str">
        <f aca="false">IF(AND(ISNUMBER($N752),$N752&gt;0,ISNUMBER($Y752)),$Y752/$N752,"")</f>
        <v/>
      </c>
    </row>
    <row r="753" customFormat="false" ht="15" hidden="false" customHeight="true" outlineLevel="0" collapsed="false">
      <c r="A753" s="441" t="n">
        <v>8</v>
      </c>
      <c r="B753" s="157" t="n">
        <v>749</v>
      </c>
      <c r="AI753" s="157" t="e">
        <f aca="false">IF(AND($E753=Subj_OccCode,Subj_BldgSF&gt;0,ABS($L753-Subj_BldgSF)&lt;=Subj_BldgSF*Subj_SizeTol),ABS($L753-Subj_BldgSF),NA())</f>
        <v>#N/A</v>
      </c>
      <c r="AJ753" s="1" t="e">
        <f aca="false">IF(ISNA(AI753),NA(),AI753+ROW()/10000000)</f>
        <v>#N/A</v>
      </c>
      <c r="AK753" s="157" t="str">
        <f aca="false">IF(AND(ISNUMBER($N753),$N753&gt;0,ISNUMBER($Y753)),$Y753/$N753,"")</f>
        <v/>
      </c>
    </row>
    <row r="754" customFormat="false" ht="15" hidden="false" customHeight="true" outlineLevel="0" collapsed="false">
      <c r="A754" s="441" t="n">
        <v>8</v>
      </c>
      <c r="B754" s="157" t="n">
        <v>750</v>
      </c>
      <c r="AI754" s="157" t="e">
        <f aca="false">IF(AND($E754=Subj_OccCode,Subj_BldgSF&gt;0,ABS($L754-Subj_BldgSF)&lt;=Subj_BldgSF*Subj_SizeTol),ABS($L754-Subj_BldgSF),NA())</f>
        <v>#N/A</v>
      </c>
      <c r="AJ754" s="1" t="e">
        <f aca="false">IF(ISNA(AI754),NA(),AI754+ROW()/10000000)</f>
        <v>#N/A</v>
      </c>
      <c r="AK754" s="157" t="str">
        <f aca="false">IF(AND(ISNUMBER($N754),$N754&gt;0,ISNUMBER($Y754)),$Y754/$N754,"")</f>
        <v/>
      </c>
    </row>
    <row r="755" customFormat="false" ht="15" hidden="false" customHeight="true" outlineLevel="0" collapsed="false">
      <c r="A755" s="441" t="n">
        <v>8</v>
      </c>
      <c r="B755" s="157" t="n">
        <v>751</v>
      </c>
      <c r="AI755" s="157" t="e">
        <f aca="false">IF(AND($E755=Subj_OccCode,Subj_BldgSF&gt;0,ABS($L755-Subj_BldgSF)&lt;=Subj_BldgSF*Subj_SizeTol),ABS($L755-Subj_BldgSF),NA())</f>
        <v>#N/A</v>
      </c>
      <c r="AJ755" s="1" t="e">
        <f aca="false">IF(ISNA(AI755),NA(),AI755+ROW()/10000000)</f>
        <v>#N/A</v>
      </c>
      <c r="AK755" s="157" t="str">
        <f aca="false">IF(AND(ISNUMBER($N755),$N755&gt;0,ISNUMBER($Y755)),$Y755/$N755,"")</f>
        <v/>
      </c>
    </row>
    <row r="756" customFormat="false" ht="15" hidden="false" customHeight="true" outlineLevel="0" collapsed="false">
      <c r="A756" s="441" t="n">
        <v>8</v>
      </c>
      <c r="B756" s="157" t="n">
        <v>752</v>
      </c>
      <c r="AI756" s="157" t="e">
        <f aca="false">IF(AND($E756=Subj_OccCode,Subj_BldgSF&gt;0,ABS($L756-Subj_BldgSF)&lt;=Subj_BldgSF*Subj_SizeTol),ABS($L756-Subj_BldgSF),NA())</f>
        <v>#N/A</v>
      </c>
      <c r="AJ756" s="1" t="e">
        <f aca="false">IF(ISNA(AI756),NA(),AI756+ROW()/10000000)</f>
        <v>#N/A</v>
      </c>
      <c r="AK756" s="157" t="str">
        <f aca="false">IF(AND(ISNUMBER($N756),$N756&gt;0,ISNUMBER($Y756)),$Y756/$N756,"")</f>
        <v/>
      </c>
    </row>
    <row r="757" customFormat="false" ht="15" hidden="false" customHeight="true" outlineLevel="0" collapsed="false">
      <c r="A757" s="441" t="n">
        <v>8</v>
      </c>
      <c r="B757" s="157" t="n">
        <v>753</v>
      </c>
      <c r="AI757" s="157" t="e">
        <f aca="false">IF(AND($E757=Subj_OccCode,Subj_BldgSF&gt;0,ABS($L757-Subj_BldgSF)&lt;=Subj_BldgSF*Subj_SizeTol),ABS($L757-Subj_BldgSF),NA())</f>
        <v>#N/A</v>
      </c>
      <c r="AJ757" s="1" t="e">
        <f aca="false">IF(ISNA(AI757),NA(),AI757+ROW()/10000000)</f>
        <v>#N/A</v>
      </c>
      <c r="AK757" s="157" t="str">
        <f aca="false">IF(AND(ISNUMBER($N757),$N757&gt;0,ISNUMBER($Y757)),$Y757/$N757,"")</f>
        <v/>
      </c>
    </row>
    <row r="758" customFormat="false" ht="15" hidden="false" customHeight="true" outlineLevel="0" collapsed="false">
      <c r="A758" s="441" t="n">
        <v>8</v>
      </c>
      <c r="B758" s="157" t="n">
        <v>754</v>
      </c>
      <c r="AI758" s="157" t="e">
        <f aca="false">IF(AND($E758=Subj_OccCode,Subj_BldgSF&gt;0,ABS($L758-Subj_BldgSF)&lt;=Subj_BldgSF*Subj_SizeTol),ABS($L758-Subj_BldgSF),NA())</f>
        <v>#N/A</v>
      </c>
      <c r="AJ758" s="1" t="e">
        <f aca="false">IF(ISNA(AI758),NA(),AI758+ROW()/10000000)</f>
        <v>#N/A</v>
      </c>
      <c r="AK758" s="157" t="str">
        <f aca="false">IF(AND(ISNUMBER($N758),$N758&gt;0,ISNUMBER($Y758)),$Y758/$N758,"")</f>
        <v/>
      </c>
    </row>
    <row r="759" customFormat="false" ht="15" hidden="false" customHeight="true" outlineLevel="0" collapsed="false">
      <c r="A759" s="441" t="n">
        <v>8</v>
      </c>
      <c r="B759" s="157" t="n">
        <v>755</v>
      </c>
      <c r="AI759" s="157" t="e">
        <f aca="false">IF(AND($E759=Subj_OccCode,Subj_BldgSF&gt;0,ABS($L759-Subj_BldgSF)&lt;=Subj_BldgSF*Subj_SizeTol),ABS($L759-Subj_BldgSF),NA())</f>
        <v>#N/A</v>
      </c>
      <c r="AJ759" s="1" t="e">
        <f aca="false">IF(ISNA(AI759),NA(),AI759+ROW()/10000000)</f>
        <v>#N/A</v>
      </c>
      <c r="AK759" s="157" t="str">
        <f aca="false">IF(AND(ISNUMBER($N759),$N759&gt;0,ISNUMBER($Y759)),$Y759/$N759,"")</f>
        <v/>
      </c>
    </row>
    <row r="760" customFormat="false" ht="15" hidden="false" customHeight="true" outlineLevel="0" collapsed="false">
      <c r="A760" s="441" t="n">
        <v>8</v>
      </c>
      <c r="B760" s="157" t="n">
        <v>756</v>
      </c>
      <c r="AI760" s="157" t="e">
        <f aca="false">IF(AND($E760=Subj_OccCode,Subj_BldgSF&gt;0,ABS($L760-Subj_BldgSF)&lt;=Subj_BldgSF*Subj_SizeTol),ABS($L760-Subj_BldgSF),NA())</f>
        <v>#N/A</v>
      </c>
      <c r="AJ760" s="1" t="e">
        <f aca="false">IF(ISNA(AI760),NA(),AI760+ROW()/10000000)</f>
        <v>#N/A</v>
      </c>
      <c r="AK760" s="157" t="str">
        <f aca="false">IF(AND(ISNUMBER($N760),$N760&gt;0,ISNUMBER($Y760)),$Y760/$N760,"")</f>
        <v/>
      </c>
    </row>
    <row r="761" customFormat="false" ht="15" hidden="false" customHeight="true" outlineLevel="0" collapsed="false">
      <c r="A761" s="441" t="n">
        <v>8</v>
      </c>
      <c r="B761" s="157" t="n">
        <v>757</v>
      </c>
      <c r="AI761" s="157" t="e">
        <f aca="false">IF(AND($E761=Subj_OccCode,Subj_BldgSF&gt;0,ABS($L761-Subj_BldgSF)&lt;=Subj_BldgSF*Subj_SizeTol),ABS($L761-Subj_BldgSF),NA())</f>
        <v>#N/A</v>
      </c>
      <c r="AJ761" s="1" t="e">
        <f aca="false">IF(ISNA(AI761),NA(),AI761+ROW()/10000000)</f>
        <v>#N/A</v>
      </c>
      <c r="AK761" s="157" t="str">
        <f aca="false">IF(AND(ISNUMBER($N761),$N761&gt;0,ISNUMBER($Y761)),$Y761/$N761,"")</f>
        <v/>
      </c>
    </row>
    <row r="762" customFormat="false" ht="15" hidden="false" customHeight="true" outlineLevel="0" collapsed="false">
      <c r="A762" s="441" t="n">
        <v>8</v>
      </c>
      <c r="B762" s="157" t="n">
        <v>758</v>
      </c>
      <c r="AI762" s="157" t="e">
        <f aca="false">IF(AND($E762=Subj_OccCode,Subj_BldgSF&gt;0,ABS($L762-Subj_BldgSF)&lt;=Subj_BldgSF*Subj_SizeTol),ABS($L762-Subj_BldgSF),NA())</f>
        <v>#N/A</v>
      </c>
      <c r="AJ762" s="1" t="e">
        <f aca="false">IF(ISNA(AI762),NA(),AI762+ROW()/10000000)</f>
        <v>#N/A</v>
      </c>
      <c r="AK762" s="157" t="str">
        <f aca="false">IF(AND(ISNUMBER($N762),$N762&gt;0,ISNUMBER($Y762)),$Y762/$N762,"")</f>
        <v/>
      </c>
    </row>
    <row r="763" customFormat="false" ht="15" hidden="false" customHeight="true" outlineLevel="0" collapsed="false">
      <c r="A763" s="441" t="n">
        <v>8</v>
      </c>
      <c r="B763" s="157" t="n">
        <v>759</v>
      </c>
      <c r="AI763" s="157" t="e">
        <f aca="false">IF(AND($E763=Subj_OccCode,Subj_BldgSF&gt;0,ABS($L763-Subj_BldgSF)&lt;=Subj_BldgSF*Subj_SizeTol),ABS($L763-Subj_BldgSF),NA())</f>
        <v>#N/A</v>
      </c>
      <c r="AJ763" s="1" t="e">
        <f aca="false">IF(ISNA(AI763),NA(),AI763+ROW()/10000000)</f>
        <v>#N/A</v>
      </c>
      <c r="AK763" s="157" t="str">
        <f aca="false">IF(AND(ISNUMBER($N763),$N763&gt;0,ISNUMBER($Y763)),$Y763/$N763,"")</f>
        <v/>
      </c>
    </row>
    <row r="764" customFormat="false" ht="15" hidden="false" customHeight="true" outlineLevel="0" collapsed="false">
      <c r="A764" s="441" t="n">
        <v>8</v>
      </c>
      <c r="B764" s="157" t="n">
        <v>760</v>
      </c>
      <c r="AI764" s="157" t="e">
        <f aca="false">IF(AND($E764=Subj_OccCode,Subj_BldgSF&gt;0,ABS($L764-Subj_BldgSF)&lt;=Subj_BldgSF*Subj_SizeTol),ABS($L764-Subj_BldgSF),NA())</f>
        <v>#N/A</v>
      </c>
      <c r="AJ764" s="1" t="e">
        <f aca="false">IF(ISNA(AI764),NA(),AI764+ROW()/10000000)</f>
        <v>#N/A</v>
      </c>
      <c r="AK764" s="157" t="str">
        <f aca="false">IF(AND(ISNUMBER($N764),$N764&gt;0,ISNUMBER($Y764)),$Y764/$N764,"")</f>
        <v/>
      </c>
    </row>
    <row r="765" customFormat="false" ht="15" hidden="false" customHeight="true" outlineLevel="0" collapsed="false">
      <c r="A765" s="441" t="n">
        <v>8</v>
      </c>
      <c r="B765" s="157" t="n">
        <v>761</v>
      </c>
      <c r="AI765" s="157" t="e">
        <f aca="false">IF(AND($E765=Subj_OccCode,Subj_BldgSF&gt;0,ABS($L765-Subj_BldgSF)&lt;=Subj_BldgSF*Subj_SizeTol),ABS($L765-Subj_BldgSF),NA())</f>
        <v>#N/A</v>
      </c>
      <c r="AJ765" s="1" t="e">
        <f aca="false">IF(ISNA(AI765),NA(),AI765+ROW()/10000000)</f>
        <v>#N/A</v>
      </c>
      <c r="AK765" s="157" t="str">
        <f aca="false">IF(AND(ISNUMBER($N765),$N765&gt;0,ISNUMBER($Y765)),$Y765/$N765,"")</f>
        <v/>
      </c>
    </row>
    <row r="766" customFormat="false" ht="15" hidden="false" customHeight="true" outlineLevel="0" collapsed="false">
      <c r="A766" s="441" t="n">
        <v>8</v>
      </c>
      <c r="B766" s="157" t="n">
        <v>762</v>
      </c>
      <c r="AI766" s="157" t="e">
        <f aca="false">IF(AND($E766=Subj_OccCode,Subj_BldgSF&gt;0,ABS($L766-Subj_BldgSF)&lt;=Subj_BldgSF*Subj_SizeTol),ABS($L766-Subj_BldgSF),NA())</f>
        <v>#N/A</v>
      </c>
      <c r="AJ766" s="1" t="e">
        <f aca="false">IF(ISNA(AI766),NA(),AI766+ROW()/10000000)</f>
        <v>#N/A</v>
      </c>
      <c r="AK766" s="157" t="str">
        <f aca="false">IF(AND(ISNUMBER($N766),$N766&gt;0,ISNUMBER($Y766)),$Y766/$N766,"")</f>
        <v/>
      </c>
    </row>
    <row r="767" customFormat="false" ht="15" hidden="false" customHeight="true" outlineLevel="0" collapsed="false">
      <c r="A767" s="441" t="n">
        <v>8</v>
      </c>
      <c r="B767" s="157" t="n">
        <v>763</v>
      </c>
      <c r="AI767" s="157" t="e">
        <f aca="false">IF(AND($E767=Subj_OccCode,Subj_BldgSF&gt;0,ABS($L767-Subj_BldgSF)&lt;=Subj_BldgSF*Subj_SizeTol),ABS($L767-Subj_BldgSF),NA())</f>
        <v>#N/A</v>
      </c>
      <c r="AJ767" s="1" t="e">
        <f aca="false">IF(ISNA(AI767),NA(),AI767+ROW()/10000000)</f>
        <v>#N/A</v>
      </c>
      <c r="AK767" s="157" t="str">
        <f aca="false">IF(AND(ISNUMBER($N767),$N767&gt;0,ISNUMBER($Y767)),$Y767/$N767,"")</f>
        <v/>
      </c>
    </row>
    <row r="768" customFormat="false" ht="15" hidden="false" customHeight="true" outlineLevel="0" collapsed="false">
      <c r="A768" s="441" t="n">
        <v>8</v>
      </c>
      <c r="B768" s="157" t="n">
        <v>764</v>
      </c>
      <c r="AI768" s="157" t="e">
        <f aca="false">IF(AND($E768=Subj_OccCode,Subj_BldgSF&gt;0,ABS($L768-Subj_BldgSF)&lt;=Subj_BldgSF*Subj_SizeTol),ABS($L768-Subj_BldgSF),NA())</f>
        <v>#N/A</v>
      </c>
      <c r="AJ768" s="1" t="e">
        <f aca="false">IF(ISNA(AI768),NA(),AI768+ROW()/10000000)</f>
        <v>#N/A</v>
      </c>
      <c r="AK768" s="157" t="str">
        <f aca="false">IF(AND(ISNUMBER($N768),$N768&gt;0,ISNUMBER($Y768)),$Y768/$N768,"")</f>
        <v/>
      </c>
    </row>
    <row r="769" customFormat="false" ht="15" hidden="false" customHeight="true" outlineLevel="0" collapsed="false">
      <c r="A769" s="441" t="n">
        <v>8</v>
      </c>
      <c r="B769" s="157" t="n">
        <v>765</v>
      </c>
      <c r="AI769" s="157" t="e">
        <f aca="false">IF(AND($E769=Subj_OccCode,Subj_BldgSF&gt;0,ABS($L769-Subj_BldgSF)&lt;=Subj_BldgSF*Subj_SizeTol),ABS($L769-Subj_BldgSF),NA())</f>
        <v>#N/A</v>
      </c>
      <c r="AJ769" s="1" t="e">
        <f aca="false">IF(ISNA(AI769),NA(),AI769+ROW()/10000000)</f>
        <v>#N/A</v>
      </c>
      <c r="AK769" s="157" t="str">
        <f aca="false">IF(AND(ISNUMBER($N769),$N769&gt;0,ISNUMBER($Y769)),$Y769/$N769,"")</f>
        <v/>
      </c>
    </row>
    <row r="770" customFormat="false" ht="15" hidden="false" customHeight="true" outlineLevel="0" collapsed="false">
      <c r="A770" s="441" t="n">
        <v>8</v>
      </c>
      <c r="B770" s="157" t="n">
        <v>766</v>
      </c>
      <c r="AI770" s="157" t="e">
        <f aca="false">IF(AND($E770=Subj_OccCode,Subj_BldgSF&gt;0,ABS($L770-Subj_BldgSF)&lt;=Subj_BldgSF*Subj_SizeTol),ABS($L770-Subj_BldgSF),NA())</f>
        <v>#N/A</v>
      </c>
      <c r="AJ770" s="1" t="e">
        <f aca="false">IF(ISNA(AI770),NA(),AI770+ROW()/10000000)</f>
        <v>#N/A</v>
      </c>
      <c r="AK770" s="157" t="str">
        <f aca="false">IF(AND(ISNUMBER($N770),$N770&gt;0,ISNUMBER($Y770)),$Y770/$N770,"")</f>
        <v/>
      </c>
    </row>
    <row r="771" customFormat="false" ht="15" hidden="false" customHeight="true" outlineLevel="0" collapsed="false">
      <c r="A771" s="441" t="n">
        <v>8</v>
      </c>
      <c r="B771" s="157" t="n">
        <v>767</v>
      </c>
      <c r="AI771" s="157" t="e">
        <f aca="false">IF(AND($E771=Subj_OccCode,Subj_BldgSF&gt;0,ABS($L771-Subj_BldgSF)&lt;=Subj_BldgSF*Subj_SizeTol),ABS($L771-Subj_BldgSF),NA())</f>
        <v>#N/A</v>
      </c>
      <c r="AJ771" s="1" t="e">
        <f aca="false">IF(ISNA(AI771),NA(),AI771+ROW()/10000000)</f>
        <v>#N/A</v>
      </c>
      <c r="AK771" s="157" t="str">
        <f aca="false">IF(AND(ISNUMBER($N771),$N771&gt;0,ISNUMBER($Y771)),$Y771/$N771,"")</f>
        <v/>
      </c>
    </row>
    <row r="772" customFormat="false" ht="15" hidden="false" customHeight="true" outlineLevel="0" collapsed="false">
      <c r="A772" s="441" t="n">
        <v>8</v>
      </c>
      <c r="B772" s="157" t="n">
        <v>768</v>
      </c>
      <c r="AI772" s="157" t="e">
        <f aca="false">IF(AND($E772=Subj_OccCode,Subj_BldgSF&gt;0,ABS($L772-Subj_BldgSF)&lt;=Subj_BldgSF*Subj_SizeTol),ABS($L772-Subj_BldgSF),NA())</f>
        <v>#N/A</v>
      </c>
      <c r="AJ772" s="1" t="e">
        <f aca="false">IF(ISNA(AI772),NA(),AI772+ROW()/10000000)</f>
        <v>#N/A</v>
      </c>
      <c r="AK772" s="157" t="str">
        <f aca="false">IF(AND(ISNUMBER($N772),$N772&gt;0,ISNUMBER($Y772)),$Y772/$N772,"")</f>
        <v/>
      </c>
    </row>
    <row r="773" customFormat="false" ht="15" hidden="false" customHeight="true" outlineLevel="0" collapsed="false">
      <c r="A773" s="441" t="n">
        <v>8</v>
      </c>
      <c r="B773" s="157" t="n">
        <v>769</v>
      </c>
      <c r="AI773" s="157" t="e">
        <f aca="false">IF(AND($E773=Subj_OccCode,Subj_BldgSF&gt;0,ABS($L773-Subj_BldgSF)&lt;=Subj_BldgSF*Subj_SizeTol),ABS($L773-Subj_BldgSF),NA())</f>
        <v>#N/A</v>
      </c>
      <c r="AJ773" s="1" t="e">
        <f aca="false">IF(ISNA(AI773),NA(),AI773+ROW()/10000000)</f>
        <v>#N/A</v>
      </c>
      <c r="AK773" s="157" t="str">
        <f aca="false">IF(AND(ISNUMBER($N773),$N773&gt;0,ISNUMBER($Y773)),$Y773/$N773,"")</f>
        <v/>
      </c>
    </row>
    <row r="774" customFormat="false" ht="15" hidden="false" customHeight="true" outlineLevel="0" collapsed="false">
      <c r="A774" s="441" t="n">
        <v>8</v>
      </c>
      <c r="B774" s="157" t="n">
        <v>770</v>
      </c>
      <c r="AI774" s="157" t="e">
        <f aca="false">IF(AND($E774=Subj_OccCode,Subj_BldgSF&gt;0,ABS($L774-Subj_BldgSF)&lt;=Subj_BldgSF*Subj_SizeTol),ABS($L774-Subj_BldgSF),NA())</f>
        <v>#N/A</v>
      </c>
      <c r="AJ774" s="1" t="e">
        <f aca="false">IF(ISNA(AI774),NA(),AI774+ROW()/10000000)</f>
        <v>#N/A</v>
      </c>
      <c r="AK774" s="157" t="str">
        <f aca="false">IF(AND(ISNUMBER($N774),$N774&gt;0,ISNUMBER($Y774)),$Y774/$N774,"")</f>
        <v/>
      </c>
    </row>
    <row r="775" customFormat="false" ht="15" hidden="false" customHeight="true" outlineLevel="0" collapsed="false">
      <c r="A775" s="441" t="n">
        <v>8</v>
      </c>
      <c r="B775" s="157" t="n">
        <v>771</v>
      </c>
      <c r="AI775" s="157" t="e">
        <f aca="false">IF(AND($E775=Subj_OccCode,Subj_BldgSF&gt;0,ABS($L775-Subj_BldgSF)&lt;=Subj_BldgSF*Subj_SizeTol),ABS($L775-Subj_BldgSF),NA())</f>
        <v>#N/A</v>
      </c>
      <c r="AJ775" s="1" t="e">
        <f aca="false">IF(ISNA(AI775),NA(),AI775+ROW()/10000000)</f>
        <v>#N/A</v>
      </c>
      <c r="AK775" s="157" t="str">
        <f aca="false">IF(AND(ISNUMBER($N775),$N775&gt;0,ISNUMBER($Y775)),$Y775/$N775,"")</f>
        <v/>
      </c>
    </row>
    <row r="776" customFormat="false" ht="15" hidden="false" customHeight="true" outlineLevel="0" collapsed="false">
      <c r="A776" s="441" t="n">
        <v>8</v>
      </c>
      <c r="B776" s="157" t="n">
        <v>772</v>
      </c>
      <c r="AI776" s="157" t="e">
        <f aca="false">IF(AND($E776=Subj_OccCode,Subj_BldgSF&gt;0,ABS($L776-Subj_BldgSF)&lt;=Subj_BldgSF*Subj_SizeTol),ABS($L776-Subj_BldgSF),NA())</f>
        <v>#N/A</v>
      </c>
      <c r="AJ776" s="1" t="e">
        <f aca="false">IF(ISNA(AI776),NA(),AI776+ROW()/10000000)</f>
        <v>#N/A</v>
      </c>
      <c r="AK776" s="157" t="str">
        <f aca="false">IF(AND(ISNUMBER($N776),$N776&gt;0,ISNUMBER($Y776)),$Y776/$N776,"")</f>
        <v/>
      </c>
    </row>
    <row r="777" customFormat="false" ht="15" hidden="false" customHeight="true" outlineLevel="0" collapsed="false">
      <c r="A777" s="441" t="n">
        <v>8</v>
      </c>
      <c r="B777" s="157" t="n">
        <v>773</v>
      </c>
      <c r="AI777" s="157" t="e">
        <f aca="false">IF(AND($E777=Subj_OccCode,Subj_BldgSF&gt;0,ABS($L777-Subj_BldgSF)&lt;=Subj_BldgSF*Subj_SizeTol),ABS($L777-Subj_BldgSF),NA())</f>
        <v>#N/A</v>
      </c>
      <c r="AJ777" s="1" t="e">
        <f aca="false">IF(ISNA(AI777),NA(),AI777+ROW()/10000000)</f>
        <v>#N/A</v>
      </c>
      <c r="AK777" s="157" t="str">
        <f aca="false">IF(AND(ISNUMBER($N777),$N777&gt;0,ISNUMBER($Y777)),$Y777/$N777,"")</f>
        <v/>
      </c>
    </row>
    <row r="778" customFormat="false" ht="15" hidden="false" customHeight="true" outlineLevel="0" collapsed="false">
      <c r="A778" s="441" t="n">
        <v>8</v>
      </c>
      <c r="B778" s="157" t="n">
        <v>774</v>
      </c>
      <c r="AI778" s="157" t="e">
        <f aca="false">IF(AND($E778=Subj_OccCode,Subj_BldgSF&gt;0,ABS($L778-Subj_BldgSF)&lt;=Subj_BldgSF*Subj_SizeTol),ABS($L778-Subj_BldgSF),NA())</f>
        <v>#N/A</v>
      </c>
      <c r="AJ778" s="1" t="e">
        <f aca="false">IF(ISNA(AI778),NA(),AI778+ROW()/10000000)</f>
        <v>#N/A</v>
      </c>
      <c r="AK778" s="157" t="str">
        <f aca="false">IF(AND(ISNUMBER($N778),$N778&gt;0,ISNUMBER($Y778)),$Y778/$N778,"")</f>
        <v/>
      </c>
    </row>
    <row r="779" customFormat="false" ht="15" hidden="false" customHeight="true" outlineLevel="0" collapsed="false">
      <c r="A779" s="441" t="n">
        <v>8</v>
      </c>
      <c r="B779" s="157" t="n">
        <v>775</v>
      </c>
      <c r="AI779" s="157" t="e">
        <f aca="false">IF(AND($E779=Subj_OccCode,Subj_BldgSF&gt;0,ABS($L779-Subj_BldgSF)&lt;=Subj_BldgSF*Subj_SizeTol),ABS($L779-Subj_BldgSF),NA())</f>
        <v>#N/A</v>
      </c>
      <c r="AJ779" s="1" t="e">
        <f aca="false">IF(ISNA(AI779),NA(),AI779+ROW()/10000000)</f>
        <v>#N/A</v>
      </c>
      <c r="AK779" s="157" t="str">
        <f aca="false">IF(AND(ISNUMBER($N779),$N779&gt;0,ISNUMBER($Y779)),$Y779/$N779,"")</f>
        <v/>
      </c>
    </row>
    <row r="780" customFormat="false" ht="15" hidden="false" customHeight="true" outlineLevel="0" collapsed="false">
      <c r="A780" s="441" t="n">
        <v>8</v>
      </c>
      <c r="B780" s="157" t="n">
        <v>776</v>
      </c>
      <c r="AI780" s="157" t="e">
        <f aca="false">IF(AND($E780=Subj_OccCode,Subj_BldgSF&gt;0,ABS($L780-Subj_BldgSF)&lt;=Subj_BldgSF*Subj_SizeTol),ABS($L780-Subj_BldgSF),NA())</f>
        <v>#N/A</v>
      </c>
      <c r="AJ780" s="1" t="e">
        <f aca="false">IF(ISNA(AI780),NA(),AI780+ROW()/10000000)</f>
        <v>#N/A</v>
      </c>
      <c r="AK780" s="157" t="str">
        <f aca="false">IF(AND(ISNUMBER($N780),$N780&gt;0,ISNUMBER($Y780)),$Y780/$N780,"")</f>
        <v/>
      </c>
    </row>
    <row r="781" customFormat="false" ht="15" hidden="false" customHeight="true" outlineLevel="0" collapsed="false">
      <c r="A781" s="441" t="n">
        <v>8</v>
      </c>
      <c r="B781" s="157" t="n">
        <v>777</v>
      </c>
      <c r="AI781" s="157" t="e">
        <f aca="false">IF(AND($E781=Subj_OccCode,Subj_BldgSF&gt;0,ABS($L781-Subj_BldgSF)&lt;=Subj_BldgSF*Subj_SizeTol),ABS($L781-Subj_BldgSF),NA())</f>
        <v>#N/A</v>
      </c>
      <c r="AJ781" s="1" t="e">
        <f aca="false">IF(ISNA(AI781),NA(),AI781+ROW()/10000000)</f>
        <v>#N/A</v>
      </c>
      <c r="AK781" s="157" t="str">
        <f aca="false">IF(AND(ISNUMBER($N781),$N781&gt;0,ISNUMBER($Y781)),$Y781/$N781,"")</f>
        <v/>
      </c>
    </row>
    <row r="782" customFormat="false" ht="15" hidden="false" customHeight="true" outlineLevel="0" collapsed="false">
      <c r="A782" s="441" t="n">
        <v>8</v>
      </c>
      <c r="B782" s="157" t="n">
        <v>778</v>
      </c>
      <c r="AI782" s="157" t="e">
        <f aca="false">IF(AND($E782=Subj_OccCode,Subj_BldgSF&gt;0,ABS($L782-Subj_BldgSF)&lt;=Subj_BldgSF*Subj_SizeTol),ABS($L782-Subj_BldgSF),NA())</f>
        <v>#N/A</v>
      </c>
      <c r="AJ782" s="1" t="e">
        <f aca="false">IF(ISNA(AI782),NA(),AI782+ROW()/10000000)</f>
        <v>#N/A</v>
      </c>
      <c r="AK782" s="157" t="str">
        <f aca="false">IF(AND(ISNUMBER($N782),$N782&gt;0,ISNUMBER($Y782)),$Y782/$N782,"")</f>
        <v/>
      </c>
    </row>
    <row r="783" customFormat="false" ht="15" hidden="false" customHeight="true" outlineLevel="0" collapsed="false">
      <c r="A783" s="441" t="n">
        <v>8</v>
      </c>
      <c r="B783" s="157" t="n">
        <v>779</v>
      </c>
      <c r="AI783" s="157" t="e">
        <f aca="false">IF(AND($E783=Subj_OccCode,Subj_BldgSF&gt;0,ABS($L783-Subj_BldgSF)&lt;=Subj_BldgSF*Subj_SizeTol),ABS($L783-Subj_BldgSF),NA())</f>
        <v>#N/A</v>
      </c>
      <c r="AJ783" s="1" t="e">
        <f aca="false">IF(ISNA(AI783),NA(),AI783+ROW()/10000000)</f>
        <v>#N/A</v>
      </c>
      <c r="AK783" s="157" t="str">
        <f aca="false">IF(AND(ISNUMBER($N783),$N783&gt;0,ISNUMBER($Y783)),$Y783/$N783,"")</f>
        <v/>
      </c>
    </row>
    <row r="784" customFormat="false" ht="15" hidden="false" customHeight="true" outlineLevel="0" collapsed="false">
      <c r="A784" s="441" t="n">
        <v>8</v>
      </c>
      <c r="B784" s="157" t="n">
        <v>780</v>
      </c>
      <c r="AI784" s="157" t="e">
        <f aca="false">IF(AND($E784=Subj_OccCode,Subj_BldgSF&gt;0,ABS($L784-Subj_BldgSF)&lt;=Subj_BldgSF*Subj_SizeTol),ABS($L784-Subj_BldgSF),NA())</f>
        <v>#N/A</v>
      </c>
      <c r="AJ784" s="1" t="e">
        <f aca="false">IF(ISNA(AI784),NA(),AI784+ROW()/10000000)</f>
        <v>#N/A</v>
      </c>
      <c r="AK784" s="157" t="str">
        <f aca="false">IF(AND(ISNUMBER($N784),$N784&gt;0,ISNUMBER($Y784)),$Y784/$N784,"")</f>
        <v/>
      </c>
    </row>
    <row r="785" customFormat="false" ht="15" hidden="false" customHeight="true" outlineLevel="0" collapsed="false">
      <c r="A785" s="441" t="n">
        <v>8</v>
      </c>
      <c r="B785" s="157" t="n">
        <v>781</v>
      </c>
      <c r="AI785" s="157" t="e">
        <f aca="false">IF(AND($E785=Subj_OccCode,Subj_BldgSF&gt;0,ABS($L785-Subj_BldgSF)&lt;=Subj_BldgSF*Subj_SizeTol),ABS($L785-Subj_BldgSF),NA())</f>
        <v>#N/A</v>
      </c>
      <c r="AJ785" s="1" t="e">
        <f aca="false">IF(ISNA(AI785),NA(),AI785+ROW()/10000000)</f>
        <v>#N/A</v>
      </c>
      <c r="AK785" s="157" t="str">
        <f aca="false">IF(AND(ISNUMBER($N785),$N785&gt;0,ISNUMBER($Y785)),$Y785/$N785,"")</f>
        <v/>
      </c>
    </row>
    <row r="786" customFormat="false" ht="15" hidden="false" customHeight="true" outlineLevel="0" collapsed="false">
      <c r="A786" s="441" t="n">
        <v>8</v>
      </c>
      <c r="B786" s="157" t="n">
        <v>782</v>
      </c>
      <c r="AI786" s="157" t="e">
        <f aca="false">IF(AND($E786=Subj_OccCode,Subj_BldgSF&gt;0,ABS($L786-Subj_BldgSF)&lt;=Subj_BldgSF*Subj_SizeTol),ABS($L786-Subj_BldgSF),NA())</f>
        <v>#N/A</v>
      </c>
      <c r="AJ786" s="1" t="e">
        <f aca="false">IF(ISNA(AI786),NA(),AI786+ROW()/10000000)</f>
        <v>#N/A</v>
      </c>
      <c r="AK786" s="157" t="str">
        <f aca="false">IF(AND(ISNUMBER($N786),$N786&gt;0,ISNUMBER($Y786)),$Y786/$N786,"")</f>
        <v/>
      </c>
    </row>
    <row r="787" customFormat="false" ht="15" hidden="false" customHeight="true" outlineLevel="0" collapsed="false">
      <c r="A787" s="441" t="n">
        <v>8</v>
      </c>
      <c r="B787" s="157" t="n">
        <v>783</v>
      </c>
      <c r="AI787" s="157" t="e">
        <f aca="false">IF(AND($E787=Subj_OccCode,Subj_BldgSF&gt;0,ABS($L787-Subj_BldgSF)&lt;=Subj_BldgSF*Subj_SizeTol),ABS($L787-Subj_BldgSF),NA())</f>
        <v>#N/A</v>
      </c>
      <c r="AJ787" s="1" t="e">
        <f aca="false">IF(ISNA(AI787),NA(),AI787+ROW()/10000000)</f>
        <v>#N/A</v>
      </c>
      <c r="AK787" s="157" t="str">
        <f aca="false">IF(AND(ISNUMBER($N787),$N787&gt;0,ISNUMBER($Y787)),$Y787/$N787,"")</f>
        <v/>
      </c>
    </row>
    <row r="788" customFormat="false" ht="15" hidden="false" customHeight="true" outlineLevel="0" collapsed="false">
      <c r="A788" s="441" t="n">
        <v>8</v>
      </c>
      <c r="B788" s="157" t="n">
        <v>784</v>
      </c>
      <c r="AI788" s="157" t="e">
        <f aca="false">IF(AND($E788=Subj_OccCode,Subj_BldgSF&gt;0,ABS($L788-Subj_BldgSF)&lt;=Subj_BldgSF*Subj_SizeTol),ABS($L788-Subj_BldgSF),NA())</f>
        <v>#N/A</v>
      </c>
      <c r="AJ788" s="1" t="e">
        <f aca="false">IF(ISNA(AI788),NA(),AI788+ROW()/10000000)</f>
        <v>#N/A</v>
      </c>
      <c r="AK788" s="157" t="str">
        <f aca="false">IF(AND(ISNUMBER($N788),$N788&gt;0,ISNUMBER($Y788)),$Y788/$N788,"")</f>
        <v/>
      </c>
    </row>
    <row r="789" customFormat="false" ht="15" hidden="false" customHeight="true" outlineLevel="0" collapsed="false">
      <c r="A789" s="441" t="n">
        <v>8</v>
      </c>
      <c r="B789" s="157" t="n">
        <v>785</v>
      </c>
      <c r="AI789" s="157" t="e">
        <f aca="false">IF(AND($E789=Subj_OccCode,Subj_BldgSF&gt;0,ABS($L789-Subj_BldgSF)&lt;=Subj_BldgSF*Subj_SizeTol),ABS($L789-Subj_BldgSF),NA())</f>
        <v>#N/A</v>
      </c>
      <c r="AJ789" s="1" t="e">
        <f aca="false">IF(ISNA(AI789),NA(),AI789+ROW()/10000000)</f>
        <v>#N/A</v>
      </c>
      <c r="AK789" s="157" t="str">
        <f aca="false">IF(AND(ISNUMBER($N789),$N789&gt;0,ISNUMBER($Y789)),$Y789/$N789,"")</f>
        <v/>
      </c>
    </row>
    <row r="790" customFormat="false" ht="15" hidden="false" customHeight="true" outlineLevel="0" collapsed="false">
      <c r="A790" s="441" t="n">
        <v>8</v>
      </c>
      <c r="B790" s="157" t="n">
        <v>786</v>
      </c>
      <c r="AI790" s="157" t="e">
        <f aca="false">IF(AND($E790=Subj_OccCode,Subj_BldgSF&gt;0,ABS($L790-Subj_BldgSF)&lt;=Subj_BldgSF*Subj_SizeTol),ABS($L790-Subj_BldgSF),NA())</f>
        <v>#N/A</v>
      </c>
      <c r="AJ790" s="1" t="e">
        <f aca="false">IF(ISNA(AI790),NA(),AI790+ROW()/10000000)</f>
        <v>#N/A</v>
      </c>
      <c r="AK790" s="157" t="str">
        <f aca="false">IF(AND(ISNUMBER($N790),$N790&gt;0,ISNUMBER($Y790)),$Y790/$N790,"")</f>
        <v/>
      </c>
    </row>
    <row r="791" customFormat="false" ht="15" hidden="false" customHeight="true" outlineLevel="0" collapsed="false">
      <c r="A791" s="441" t="n">
        <v>8</v>
      </c>
      <c r="B791" s="157" t="n">
        <v>787</v>
      </c>
      <c r="AI791" s="157" t="e">
        <f aca="false">IF(AND($E791=Subj_OccCode,Subj_BldgSF&gt;0,ABS($L791-Subj_BldgSF)&lt;=Subj_BldgSF*Subj_SizeTol),ABS($L791-Subj_BldgSF),NA())</f>
        <v>#N/A</v>
      </c>
      <c r="AJ791" s="1" t="e">
        <f aca="false">IF(ISNA(AI791),NA(),AI791+ROW()/10000000)</f>
        <v>#N/A</v>
      </c>
      <c r="AK791" s="157" t="str">
        <f aca="false">IF(AND(ISNUMBER($N791),$N791&gt;0,ISNUMBER($Y791)),$Y791/$N791,"")</f>
        <v/>
      </c>
    </row>
    <row r="792" customFormat="false" ht="15" hidden="false" customHeight="true" outlineLevel="0" collapsed="false">
      <c r="A792" s="441" t="n">
        <v>8</v>
      </c>
      <c r="B792" s="157" t="n">
        <v>788</v>
      </c>
      <c r="AI792" s="157" t="e">
        <f aca="false">IF(AND($E792=Subj_OccCode,Subj_BldgSF&gt;0,ABS($L792-Subj_BldgSF)&lt;=Subj_BldgSF*Subj_SizeTol),ABS($L792-Subj_BldgSF),NA())</f>
        <v>#N/A</v>
      </c>
      <c r="AJ792" s="1" t="e">
        <f aca="false">IF(ISNA(AI792),NA(),AI792+ROW()/10000000)</f>
        <v>#N/A</v>
      </c>
      <c r="AK792" s="157" t="str">
        <f aca="false">IF(AND(ISNUMBER($N792),$N792&gt;0,ISNUMBER($Y792)),$Y792/$N792,"")</f>
        <v/>
      </c>
    </row>
    <row r="793" customFormat="false" ht="15" hidden="false" customHeight="true" outlineLevel="0" collapsed="false">
      <c r="A793" s="441" t="n">
        <v>8</v>
      </c>
      <c r="B793" s="157" t="n">
        <v>789</v>
      </c>
      <c r="AI793" s="157" t="e">
        <f aca="false">IF(AND($E793=Subj_OccCode,Subj_BldgSF&gt;0,ABS($L793-Subj_BldgSF)&lt;=Subj_BldgSF*Subj_SizeTol),ABS($L793-Subj_BldgSF),NA())</f>
        <v>#N/A</v>
      </c>
      <c r="AJ793" s="1" t="e">
        <f aca="false">IF(ISNA(AI793),NA(),AI793+ROW()/10000000)</f>
        <v>#N/A</v>
      </c>
      <c r="AK793" s="157" t="str">
        <f aca="false">IF(AND(ISNUMBER($N793),$N793&gt;0,ISNUMBER($Y793)),$Y793/$N793,"")</f>
        <v/>
      </c>
    </row>
    <row r="794" customFormat="false" ht="15" hidden="false" customHeight="true" outlineLevel="0" collapsed="false">
      <c r="A794" s="441" t="n">
        <v>8</v>
      </c>
      <c r="B794" s="157" t="n">
        <v>790</v>
      </c>
      <c r="AI794" s="157" t="e">
        <f aca="false">IF(AND($E794=Subj_OccCode,Subj_BldgSF&gt;0,ABS($L794-Subj_BldgSF)&lt;=Subj_BldgSF*Subj_SizeTol),ABS($L794-Subj_BldgSF),NA())</f>
        <v>#N/A</v>
      </c>
      <c r="AJ794" s="1" t="e">
        <f aca="false">IF(ISNA(AI794),NA(),AI794+ROW()/10000000)</f>
        <v>#N/A</v>
      </c>
      <c r="AK794" s="157" t="str">
        <f aca="false">IF(AND(ISNUMBER($N794),$N794&gt;0,ISNUMBER($Y794)),$Y794/$N794,"")</f>
        <v/>
      </c>
    </row>
    <row r="795" customFormat="false" ht="15" hidden="false" customHeight="true" outlineLevel="0" collapsed="false">
      <c r="A795" s="441" t="n">
        <v>8</v>
      </c>
      <c r="B795" s="157" t="n">
        <v>791</v>
      </c>
      <c r="AI795" s="157" t="e">
        <f aca="false">IF(AND($E795=Subj_OccCode,Subj_BldgSF&gt;0,ABS($L795-Subj_BldgSF)&lt;=Subj_BldgSF*Subj_SizeTol),ABS($L795-Subj_BldgSF),NA())</f>
        <v>#N/A</v>
      </c>
      <c r="AJ795" s="1" t="e">
        <f aca="false">IF(ISNA(AI795),NA(),AI795+ROW()/10000000)</f>
        <v>#N/A</v>
      </c>
      <c r="AK795" s="157" t="str">
        <f aca="false">IF(AND(ISNUMBER($N795),$N795&gt;0,ISNUMBER($Y795)),$Y795/$N795,"")</f>
        <v/>
      </c>
    </row>
    <row r="796" customFormat="false" ht="15" hidden="false" customHeight="true" outlineLevel="0" collapsed="false">
      <c r="A796" s="441" t="n">
        <v>8</v>
      </c>
      <c r="B796" s="157" t="n">
        <v>792</v>
      </c>
      <c r="AI796" s="157" t="e">
        <f aca="false">IF(AND($E796=Subj_OccCode,Subj_BldgSF&gt;0,ABS($L796-Subj_BldgSF)&lt;=Subj_BldgSF*Subj_SizeTol),ABS($L796-Subj_BldgSF),NA())</f>
        <v>#N/A</v>
      </c>
      <c r="AJ796" s="1" t="e">
        <f aca="false">IF(ISNA(AI796),NA(),AI796+ROW()/10000000)</f>
        <v>#N/A</v>
      </c>
      <c r="AK796" s="157" t="str">
        <f aca="false">IF(AND(ISNUMBER($N796),$N796&gt;0,ISNUMBER($Y796)),$Y796/$N796,"")</f>
        <v/>
      </c>
    </row>
    <row r="797" customFormat="false" ht="15" hidden="false" customHeight="true" outlineLevel="0" collapsed="false">
      <c r="A797" s="441" t="n">
        <v>8</v>
      </c>
      <c r="B797" s="157" t="n">
        <v>793</v>
      </c>
      <c r="AI797" s="157" t="e">
        <f aca="false">IF(AND($E797=Subj_OccCode,Subj_BldgSF&gt;0,ABS($L797-Subj_BldgSF)&lt;=Subj_BldgSF*Subj_SizeTol),ABS($L797-Subj_BldgSF),NA())</f>
        <v>#N/A</v>
      </c>
      <c r="AJ797" s="1" t="e">
        <f aca="false">IF(ISNA(AI797),NA(),AI797+ROW()/10000000)</f>
        <v>#N/A</v>
      </c>
      <c r="AK797" s="157" t="str">
        <f aca="false">IF(AND(ISNUMBER($N797),$N797&gt;0,ISNUMBER($Y797)),$Y797/$N797,"")</f>
        <v/>
      </c>
    </row>
    <row r="798" customFormat="false" ht="15" hidden="false" customHeight="true" outlineLevel="0" collapsed="false">
      <c r="A798" s="441" t="n">
        <v>8</v>
      </c>
      <c r="B798" s="157" t="n">
        <v>794</v>
      </c>
      <c r="AI798" s="157" t="e">
        <f aca="false">IF(AND($E798=Subj_OccCode,Subj_BldgSF&gt;0,ABS($L798-Subj_BldgSF)&lt;=Subj_BldgSF*Subj_SizeTol),ABS($L798-Subj_BldgSF),NA())</f>
        <v>#N/A</v>
      </c>
      <c r="AJ798" s="1" t="e">
        <f aca="false">IF(ISNA(AI798),NA(),AI798+ROW()/10000000)</f>
        <v>#N/A</v>
      </c>
      <c r="AK798" s="157" t="str">
        <f aca="false">IF(AND(ISNUMBER($N798),$N798&gt;0,ISNUMBER($Y798)),$Y798/$N798,"")</f>
        <v/>
      </c>
    </row>
    <row r="799" customFormat="false" ht="15" hidden="false" customHeight="true" outlineLevel="0" collapsed="false">
      <c r="A799" s="441" t="n">
        <v>8</v>
      </c>
      <c r="B799" s="157" t="n">
        <v>795</v>
      </c>
      <c r="AI799" s="157" t="e">
        <f aca="false">IF(AND($E799=Subj_OccCode,Subj_BldgSF&gt;0,ABS($L799-Subj_BldgSF)&lt;=Subj_BldgSF*Subj_SizeTol),ABS($L799-Subj_BldgSF),NA())</f>
        <v>#N/A</v>
      </c>
      <c r="AJ799" s="1" t="e">
        <f aca="false">IF(ISNA(AI799),NA(),AI799+ROW()/10000000)</f>
        <v>#N/A</v>
      </c>
      <c r="AK799" s="157" t="str">
        <f aca="false">IF(AND(ISNUMBER($N799),$N799&gt;0,ISNUMBER($Y799)),$Y799/$N799,"")</f>
        <v/>
      </c>
    </row>
    <row r="800" customFormat="false" ht="15" hidden="false" customHeight="true" outlineLevel="0" collapsed="false">
      <c r="A800" s="441" t="n">
        <v>8</v>
      </c>
      <c r="B800" s="157" t="n">
        <v>796</v>
      </c>
      <c r="AI800" s="157" t="e">
        <f aca="false">IF(AND($E800=Subj_OccCode,Subj_BldgSF&gt;0,ABS($L800-Subj_BldgSF)&lt;=Subj_BldgSF*Subj_SizeTol),ABS($L800-Subj_BldgSF),NA())</f>
        <v>#N/A</v>
      </c>
      <c r="AJ800" s="1" t="e">
        <f aca="false">IF(ISNA(AI800),NA(),AI800+ROW()/10000000)</f>
        <v>#N/A</v>
      </c>
      <c r="AK800" s="157" t="str">
        <f aca="false">IF(AND(ISNUMBER($N800),$N800&gt;0,ISNUMBER($Y800)),$Y800/$N800,"")</f>
        <v/>
      </c>
    </row>
    <row r="801" customFormat="false" ht="15" hidden="false" customHeight="true" outlineLevel="0" collapsed="false">
      <c r="A801" s="441" t="n">
        <v>8</v>
      </c>
      <c r="B801" s="157" t="n">
        <v>797</v>
      </c>
      <c r="AI801" s="157" t="e">
        <f aca="false">IF(AND($E801=Subj_OccCode,Subj_BldgSF&gt;0,ABS($L801-Subj_BldgSF)&lt;=Subj_BldgSF*Subj_SizeTol),ABS($L801-Subj_BldgSF),NA())</f>
        <v>#N/A</v>
      </c>
      <c r="AJ801" s="1" t="e">
        <f aca="false">IF(ISNA(AI801),NA(),AI801+ROW()/10000000)</f>
        <v>#N/A</v>
      </c>
      <c r="AK801" s="157" t="str">
        <f aca="false">IF(AND(ISNUMBER($N801),$N801&gt;0,ISNUMBER($Y801)),$Y801/$N801,"")</f>
        <v/>
      </c>
    </row>
    <row r="802" customFormat="false" ht="15" hidden="false" customHeight="true" outlineLevel="0" collapsed="false">
      <c r="A802" s="441" t="n">
        <v>8</v>
      </c>
      <c r="B802" s="157" t="n">
        <v>798</v>
      </c>
      <c r="AI802" s="157" t="e">
        <f aca="false">IF(AND($E802=Subj_OccCode,Subj_BldgSF&gt;0,ABS($L802-Subj_BldgSF)&lt;=Subj_BldgSF*Subj_SizeTol),ABS($L802-Subj_BldgSF),NA())</f>
        <v>#N/A</v>
      </c>
      <c r="AJ802" s="1" t="e">
        <f aca="false">IF(ISNA(AI802),NA(),AI802+ROW()/10000000)</f>
        <v>#N/A</v>
      </c>
      <c r="AK802" s="157" t="str">
        <f aca="false">IF(AND(ISNUMBER($N802),$N802&gt;0,ISNUMBER($Y802)),$Y802/$N802,"")</f>
        <v/>
      </c>
    </row>
    <row r="803" customFormat="false" ht="15" hidden="false" customHeight="true" outlineLevel="0" collapsed="false">
      <c r="A803" s="441" t="n">
        <v>8</v>
      </c>
      <c r="B803" s="157" t="n">
        <v>799</v>
      </c>
      <c r="AI803" s="157" t="e">
        <f aca="false">IF(AND($E803=Subj_OccCode,Subj_BldgSF&gt;0,ABS($L803-Subj_BldgSF)&lt;=Subj_BldgSF*Subj_SizeTol),ABS($L803-Subj_BldgSF),NA())</f>
        <v>#N/A</v>
      </c>
      <c r="AJ803" s="1" t="e">
        <f aca="false">IF(ISNA(AI803),NA(),AI803+ROW()/10000000)</f>
        <v>#N/A</v>
      </c>
      <c r="AK803" s="157" t="str">
        <f aca="false">IF(AND(ISNUMBER($N803),$N803&gt;0,ISNUMBER($Y803)),$Y803/$N803,"")</f>
        <v/>
      </c>
    </row>
    <row r="804" customFormat="false" ht="15" hidden="false" customHeight="true" outlineLevel="0" collapsed="false">
      <c r="A804" s="441" t="n">
        <v>8</v>
      </c>
      <c r="B804" s="157" t="n">
        <v>800</v>
      </c>
      <c r="AI804" s="157" t="e">
        <f aca="false">IF(AND($E804=Subj_OccCode,Subj_BldgSF&gt;0,ABS($L804-Subj_BldgSF)&lt;=Subj_BldgSF*Subj_SizeTol),ABS($L804-Subj_BldgSF),NA())</f>
        <v>#N/A</v>
      </c>
      <c r="AJ804" s="1" t="e">
        <f aca="false">IF(ISNA(AI804),NA(),AI804+ROW()/10000000)</f>
        <v>#N/A</v>
      </c>
      <c r="AK804" s="157" t="str">
        <f aca="false">IF(AND(ISNUMBER($N804),$N804&gt;0,ISNUMBER($Y804)),$Y804/$N804,"")</f>
        <v/>
      </c>
    </row>
    <row r="805" customFormat="false" ht="15" hidden="false" customHeight="true" outlineLevel="0" collapsed="false">
      <c r="A805" s="441" t="n">
        <v>8</v>
      </c>
      <c r="B805" s="157" t="n">
        <v>801</v>
      </c>
      <c r="AI805" s="157" t="e">
        <f aca="false">IF(AND($E805=Subj_OccCode,Subj_BldgSF&gt;0,ABS($L805-Subj_BldgSF)&lt;=Subj_BldgSF*Subj_SizeTol),ABS($L805-Subj_BldgSF),NA())</f>
        <v>#N/A</v>
      </c>
      <c r="AJ805" s="1" t="e">
        <f aca="false">IF(ISNA(AI805),NA(),AI805+ROW()/10000000)</f>
        <v>#N/A</v>
      </c>
      <c r="AK805" s="157" t="str">
        <f aca="false">IF(AND(ISNUMBER($N805),$N805&gt;0,ISNUMBER($Y805)),$Y805/$N805,"")</f>
        <v/>
      </c>
    </row>
    <row r="806" customFormat="false" ht="15" hidden="false" customHeight="true" outlineLevel="0" collapsed="false">
      <c r="A806" s="441" t="n">
        <v>8</v>
      </c>
      <c r="B806" s="157" t="n">
        <v>802</v>
      </c>
      <c r="AI806" s="157" t="e">
        <f aca="false">IF(AND($E806=Subj_OccCode,Subj_BldgSF&gt;0,ABS($L806-Subj_BldgSF)&lt;=Subj_BldgSF*Subj_SizeTol),ABS($L806-Subj_BldgSF),NA())</f>
        <v>#N/A</v>
      </c>
      <c r="AJ806" s="1" t="e">
        <f aca="false">IF(ISNA(AI806),NA(),AI806+ROW()/10000000)</f>
        <v>#N/A</v>
      </c>
      <c r="AK806" s="157" t="str">
        <f aca="false">IF(AND(ISNUMBER($N806),$N806&gt;0,ISNUMBER($Y806)),$Y806/$N806,"")</f>
        <v/>
      </c>
    </row>
    <row r="807" customFormat="false" ht="15" hidden="false" customHeight="true" outlineLevel="0" collapsed="false">
      <c r="A807" s="441" t="n">
        <v>8</v>
      </c>
      <c r="B807" s="157" t="n">
        <v>803</v>
      </c>
      <c r="AI807" s="157" t="e">
        <f aca="false">IF(AND($E807=Subj_OccCode,Subj_BldgSF&gt;0,ABS($L807-Subj_BldgSF)&lt;=Subj_BldgSF*Subj_SizeTol),ABS($L807-Subj_BldgSF),NA())</f>
        <v>#N/A</v>
      </c>
      <c r="AJ807" s="1" t="e">
        <f aca="false">IF(ISNA(AI807),NA(),AI807+ROW()/10000000)</f>
        <v>#N/A</v>
      </c>
      <c r="AK807" s="157" t="str">
        <f aca="false">IF(AND(ISNUMBER($N807),$N807&gt;0,ISNUMBER($Y807)),$Y807/$N807,"")</f>
        <v/>
      </c>
    </row>
    <row r="808" customFormat="false" ht="15" hidden="false" customHeight="true" outlineLevel="0" collapsed="false">
      <c r="A808" s="441" t="n">
        <v>8</v>
      </c>
      <c r="B808" s="157" t="n">
        <v>804</v>
      </c>
      <c r="AI808" s="157" t="e">
        <f aca="false">IF(AND($E808=Subj_OccCode,Subj_BldgSF&gt;0,ABS($L808-Subj_BldgSF)&lt;=Subj_BldgSF*Subj_SizeTol),ABS($L808-Subj_BldgSF),NA())</f>
        <v>#N/A</v>
      </c>
      <c r="AJ808" s="1" t="e">
        <f aca="false">IF(ISNA(AI808),NA(),AI808+ROW()/10000000)</f>
        <v>#N/A</v>
      </c>
      <c r="AK808" s="157" t="str">
        <f aca="false">IF(AND(ISNUMBER($N808),$N808&gt;0,ISNUMBER($Y808)),$Y808/$N808,"")</f>
        <v/>
      </c>
    </row>
    <row r="809" customFormat="false" ht="15" hidden="false" customHeight="true" outlineLevel="0" collapsed="false">
      <c r="A809" s="441" t="n">
        <v>8</v>
      </c>
      <c r="B809" s="157" t="n">
        <v>805</v>
      </c>
      <c r="AI809" s="157" t="e">
        <f aca="false">IF(AND($E809=Subj_OccCode,Subj_BldgSF&gt;0,ABS($L809-Subj_BldgSF)&lt;=Subj_BldgSF*Subj_SizeTol),ABS($L809-Subj_BldgSF),NA())</f>
        <v>#N/A</v>
      </c>
      <c r="AJ809" s="1" t="e">
        <f aca="false">IF(ISNA(AI809),NA(),AI809+ROW()/10000000)</f>
        <v>#N/A</v>
      </c>
      <c r="AK809" s="157" t="str">
        <f aca="false">IF(AND(ISNUMBER($N809),$N809&gt;0,ISNUMBER($Y809)),$Y809/$N809,"")</f>
        <v/>
      </c>
    </row>
    <row r="810" customFormat="false" ht="15" hidden="false" customHeight="true" outlineLevel="0" collapsed="false">
      <c r="A810" s="441" t="n">
        <v>8</v>
      </c>
      <c r="B810" s="157" t="n">
        <v>806</v>
      </c>
      <c r="AI810" s="157" t="e">
        <f aca="false">IF(AND($E810=Subj_OccCode,Subj_BldgSF&gt;0,ABS($L810-Subj_BldgSF)&lt;=Subj_BldgSF*Subj_SizeTol),ABS($L810-Subj_BldgSF),NA())</f>
        <v>#N/A</v>
      </c>
      <c r="AJ810" s="1" t="e">
        <f aca="false">IF(ISNA(AI810),NA(),AI810+ROW()/10000000)</f>
        <v>#N/A</v>
      </c>
      <c r="AK810" s="157" t="str">
        <f aca="false">IF(AND(ISNUMBER($N810),$N810&gt;0,ISNUMBER($Y810)),$Y810/$N810,"")</f>
        <v/>
      </c>
    </row>
    <row r="811" customFormat="false" ht="15" hidden="false" customHeight="true" outlineLevel="0" collapsed="false">
      <c r="A811" s="441" t="n">
        <v>8</v>
      </c>
      <c r="B811" s="157" t="n">
        <v>807</v>
      </c>
      <c r="AI811" s="157" t="e">
        <f aca="false">IF(AND($E811=Subj_OccCode,Subj_BldgSF&gt;0,ABS($L811-Subj_BldgSF)&lt;=Subj_BldgSF*Subj_SizeTol),ABS($L811-Subj_BldgSF),NA())</f>
        <v>#N/A</v>
      </c>
      <c r="AJ811" s="1" t="e">
        <f aca="false">IF(ISNA(AI811),NA(),AI811+ROW()/10000000)</f>
        <v>#N/A</v>
      </c>
      <c r="AK811" s="157" t="str">
        <f aca="false">IF(AND(ISNUMBER($N811),$N811&gt;0,ISNUMBER($Y811)),$Y811/$N811,"")</f>
        <v/>
      </c>
    </row>
    <row r="812" customFormat="false" ht="15" hidden="false" customHeight="true" outlineLevel="0" collapsed="false">
      <c r="A812" s="441" t="n">
        <v>8</v>
      </c>
      <c r="B812" s="157" t="n">
        <v>808</v>
      </c>
      <c r="AI812" s="157" t="e">
        <f aca="false">IF(AND($E812=Subj_OccCode,Subj_BldgSF&gt;0,ABS($L812-Subj_BldgSF)&lt;=Subj_BldgSF*Subj_SizeTol),ABS($L812-Subj_BldgSF),NA())</f>
        <v>#N/A</v>
      </c>
      <c r="AJ812" s="1" t="e">
        <f aca="false">IF(ISNA(AI812),NA(),AI812+ROW()/10000000)</f>
        <v>#N/A</v>
      </c>
      <c r="AK812" s="157" t="str">
        <f aca="false">IF(AND(ISNUMBER($N812),$N812&gt;0,ISNUMBER($Y812)),$Y812/$N812,"")</f>
        <v/>
      </c>
    </row>
    <row r="813" customFormat="false" ht="15" hidden="false" customHeight="true" outlineLevel="0" collapsed="false">
      <c r="A813" s="441" t="n">
        <v>8</v>
      </c>
      <c r="B813" s="157" t="n">
        <v>809</v>
      </c>
      <c r="AI813" s="157" t="e">
        <f aca="false">IF(AND($E813=Subj_OccCode,Subj_BldgSF&gt;0,ABS($L813-Subj_BldgSF)&lt;=Subj_BldgSF*Subj_SizeTol),ABS($L813-Subj_BldgSF),NA())</f>
        <v>#N/A</v>
      </c>
      <c r="AJ813" s="1" t="e">
        <f aca="false">IF(ISNA(AI813),NA(),AI813+ROW()/10000000)</f>
        <v>#N/A</v>
      </c>
      <c r="AK813" s="157" t="str">
        <f aca="false">IF(AND(ISNUMBER($N813),$N813&gt;0,ISNUMBER($Y813)),$Y813/$N813,"")</f>
        <v/>
      </c>
    </row>
    <row r="814" customFormat="false" ht="15" hidden="false" customHeight="true" outlineLevel="0" collapsed="false">
      <c r="A814" s="441" t="n">
        <v>8</v>
      </c>
      <c r="B814" s="157" t="n">
        <v>810</v>
      </c>
      <c r="AI814" s="157" t="e">
        <f aca="false">IF(AND($E814=Subj_OccCode,Subj_BldgSF&gt;0,ABS($L814-Subj_BldgSF)&lt;=Subj_BldgSF*Subj_SizeTol),ABS($L814-Subj_BldgSF),NA())</f>
        <v>#N/A</v>
      </c>
      <c r="AJ814" s="1" t="e">
        <f aca="false">IF(ISNA(AI814),NA(),AI814+ROW()/10000000)</f>
        <v>#N/A</v>
      </c>
      <c r="AK814" s="157" t="str">
        <f aca="false">IF(AND(ISNUMBER($N814),$N814&gt;0,ISNUMBER($Y814)),$Y814/$N814,"")</f>
        <v/>
      </c>
    </row>
    <row r="815" customFormat="false" ht="15" hidden="false" customHeight="true" outlineLevel="0" collapsed="false">
      <c r="A815" s="441" t="n">
        <v>8</v>
      </c>
      <c r="B815" s="157" t="n">
        <v>811</v>
      </c>
      <c r="AI815" s="157" t="e">
        <f aca="false">IF(AND($E815=Subj_OccCode,Subj_BldgSF&gt;0,ABS($L815-Subj_BldgSF)&lt;=Subj_BldgSF*Subj_SizeTol),ABS($L815-Subj_BldgSF),NA())</f>
        <v>#N/A</v>
      </c>
      <c r="AJ815" s="1" t="e">
        <f aca="false">IF(ISNA(AI815),NA(),AI815+ROW()/10000000)</f>
        <v>#N/A</v>
      </c>
      <c r="AK815" s="157" t="str">
        <f aca="false">IF(AND(ISNUMBER($N815),$N815&gt;0,ISNUMBER($Y815)),$Y815/$N815,"")</f>
        <v/>
      </c>
    </row>
    <row r="816" customFormat="false" ht="15" hidden="false" customHeight="true" outlineLevel="0" collapsed="false">
      <c r="A816" s="441" t="n">
        <v>8</v>
      </c>
      <c r="B816" s="157" t="n">
        <v>812</v>
      </c>
      <c r="AI816" s="157" t="e">
        <f aca="false">IF(AND($E816=Subj_OccCode,Subj_BldgSF&gt;0,ABS($L816-Subj_BldgSF)&lt;=Subj_BldgSF*Subj_SizeTol),ABS($L816-Subj_BldgSF),NA())</f>
        <v>#N/A</v>
      </c>
      <c r="AJ816" s="1" t="e">
        <f aca="false">IF(ISNA(AI816),NA(),AI816+ROW()/10000000)</f>
        <v>#N/A</v>
      </c>
      <c r="AK816" s="157" t="str">
        <f aca="false">IF(AND(ISNUMBER($N816),$N816&gt;0,ISNUMBER($Y816)),$Y816/$N816,"")</f>
        <v/>
      </c>
    </row>
    <row r="817" customFormat="false" ht="15" hidden="false" customHeight="true" outlineLevel="0" collapsed="false">
      <c r="A817" s="441" t="n">
        <v>8</v>
      </c>
      <c r="B817" s="157" t="n">
        <v>813</v>
      </c>
      <c r="AI817" s="157" t="e">
        <f aca="false">IF(AND($E817=Subj_OccCode,Subj_BldgSF&gt;0,ABS($L817-Subj_BldgSF)&lt;=Subj_BldgSF*Subj_SizeTol),ABS($L817-Subj_BldgSF),NA())</f>
        <v>#N/A</v>
      </c>
      <c r="AJ817" s="1" t="e">
        <f aca="false">IF(ISNA(AI817),NA(),AI817+ROW()/10000000)</f>
        <v>#N/A</v>
      </c>
      <c r="AK817" s="157" t="str">
        <f aca="false">IF(AND(ISNUMBER($N817),$N817&gt;0,ISNUMBER($Y817)),$Y817/$N817,"")</f>
        <v/>
      </c>
    </row>
    <row r="818" customFormat="false" ht="15" hidden="false" customHeight="true" outlineLevel="0" collapsed="false">
      <c r="A818" s="441" t="n">
        <v>8</v>
      </c>
      <c r="B818" s="157" t="n">
        <v>814</v>
      </c>
      <c r="AI818" s="157" t="e">
        <f aca="false">IF(AND($E818=Subj_OccCode,Subj_BldgSF&gt;0,ABS($L818-Subj_BldgSF)&lt;=Subj_BldgSF*Subj_SizeTol),ABS($L818-Subj_BldgSF),NA())</f>
        <v>#N/A</v>
      </c>
      <c r="AJ818" s="1" t="e">
        <f aca="false">IF(ISNA(AI818),NA(),AI818+ROW()/10000000)</f>
        <v>#N/A</v>
      </c>
      <c r="AK818" s="157" t="str">
        <f aca="false">IF(AND(ISNUMBER($N818),$N818&gt;0,ISNUMBER($Y818)),$Y818/$N818,"")</f>
        <v/>
      </c>
    </row>
    <row r="819" customFormat="false" ht="15" hidden="false" customHeight="true" outlineLevel="0" collapsed="false">
      <c r="A819" s="441" t="n">
        <v>8</v>
      </c>
      <c r="B819" s="157" t="n">
        <v>815</v>
      </c>
      <c r="AI819" s="157" t="e">
        <f aca="false">IF(AND($E819=Subj_OccCode,Subj_BldgSF&gt;0,ABS($L819-Subj_BldgSF)&lt;=Subj_BldgSF*Subj_SizeTol),ABS($L819-Subj_BldgSF),NA())</f>
        <v>#N/A</v>
      </c>
      <c r="AJ819" s="1" t="e">
        <f aca="false">IF(ISNA(AI819),NA(),AI819+ROW()/10000000)</f>
        <v>#N/A</v>
      </c>
      <c r="AK819" s="157" t="str">
        <f aca="false">IF(AND(ISNUMBER($N819),$N819&gt;0,ISNUMBER($Y819)),$Y819/$N819,"")</f>
        <v/>
      </c>
    </row>
    <row r="820" customFormat="false" ht="15" hidden="false" customHeight="true" outlineLevel="0" collapsed="false">
      <c r="A820" s="441" t="n">
        <v>8</v>
      </c>
      <c r="B820" s="157" t="n">
        <v>816</v>
      </c>
      <c r="AI820" s="157" t="e">
        <f aca="false">IF(AND($E820=Subj_OccCode,Subj_BldgSF&gt;0,ABS($L820-Subj_BldgSF)&lt;=Subj_BldgSF*Subj_SizeTol),ABS($L820-Subj_BldgSF),NA())</f>
        <v>#N/A</v>
      </c>
      <c r="AJ820" s="1" t="e">
        <f aca="false">IF(ISNA(AI820),NA(),AI820+ROW()/10000000)</f>
        <v>#N/A</v>
      </c>
      <c r="AK820" s="157" t="str">
        <f aca="false">IF(AND(ISNUMBER($N820),$N820&gt;0,ISNUMBER($Y820)),$Y820/$N820,"")</f>
        <v/>
      </c>
    </row>
    <row r="821" customFormat="false" ht="15" hidden="false" customHeight="true" outlineLevel="0" collapsed="false">
      <c r="A821" s="441" t="n">
        <v>8</v>
      </c>
      <c r="B821" s="157" t="n">
        <v>817</v>
      </c>
      <c r="AI821" s="157" t="e">
        <f aca="false">IF(AND($E821=Subj_OccCode,Subj_BldgSF&gt;0,ABS($L821-Subj_BldgSF)&lt;=Subj_BldgSF*Subj_SizeTol),ABS($L821-Subj_BldgSF),NA())</f>
        <v>#N/A</v>
      </c>
      <c r="AJ821" s="1" t="e">
        <f aca="false">IF(ISNA(AI821),NA(),AI821+ROW()/10000000)</f>
        <v>#N/A</v>
      </c>
      <c r="AK821" s="157" t="str">
        <f aca="false">IF(AND(ISNUMBER($N821),$N821&gt;0,ISNUMBER($Y821)),$Y821/$N821,"")</f>
        <v/>
      </c>
    </row>
    <row r="822" customFormat="false" ht="15" hidden="false" customHeight="true" outlineLevel="0" collapsed="false">
      <c r="A822" s="441" t="n">
        <v>8</v>
      </c>
      <c r="B822" s="157" t="n">
        <v>818</v>
      </c>
      <c r="AI822" s="157" t="e">
        <f aca="false">IF(AND($E822=Subj_OccCode,Subj_BldgSF&gt;0,ABS($L822-Subj_BldgSF)&lt;=Subj_BldgSF*Subj_SizeTol),ABS($L822-Subj_BldgSF),NA())</f>
        <v>#N/A</v>
      </c>
      <c r="AJ822" s="1" t="e">
        <f aca="false">IF(ISNA(AI822),NA(),AI822+ROW()/10000000)</f>
        <v>#N/A</v>
      </c>
      <c r="AK822" s="157" t="str">
        <f aca="false">IF(AND(ISNUMBER($N822),$N822&gt;0,ISNUMBER($Y822)),$Y822/$N822,"")</f>
        <v/>
      </c>
    </row>
    <row r="823" customFormat="false" ht="15" hidden="false" customHeight="true" outlineLevel="0" collapsed="false">
      <c r="A823" s="441" t="n">
        <v>8</v>
      </c>
      <c r="B823" s="157" t="n">
        <v>819</v>
      </c>
      <c r="AI823" s="157" t="e">
        <f aca="false">IF(AND($E823=Subj_OccCode,Subj_BldgSF&gt;0,ABS($L823-Subj_BldgSF)&lt;=Subj_BldgSF*Subj_SizeTol),ABS($L823-Subj_BldgSF),NA())</f>
        <v>#N/A</v>
      </c>
      <c r="AJ823" s="1" t="e">
        <f aca="false">IF(ISNA(AI823),NA(),AI823+ROW()/10000000)</f>
        <v>#N/A</v>
      </c>
      <c r="AK823" s="157" t="str">
        <f aca="false">IF(AND(ISNUMBER($N823),$N823&gt;0,ISNUMBER($Y823)),$Y823/$N823,"")</f>
        <v/>
      </c>
    </row>
    <row r="824" customFormat="false" ht="15" hidden="false" customHeight="true" outlineLevel="0" collapsed="false">
      <c r="A824" s="441" t="n">
        <v>8</v>
      </c>
      <c r="B824" s="157" t="n">
        <v>820</v>
      </c>
      <c r="AI824" s="157" t="e">
        <f aca="false">IF(AND($E824=Subj_OccCode,Subj_BldgSF&gt;0,ABS($L824-Subj_BldgSF)&lt;=Subj_BldgSF*Subj_SizeTol),ABS($L824-Subj_BldgSF),NA())</f>
        <v>#N/A</v>
      </c>
      <c r="AJ824" s="1" t="e">
        <f aca="false">IF(ISNA(AI824),NA(),AI824+ROW()/10000000)</f>
        <v>#N/A</v>
      </c>
      <c r="AK824" s="157" t="str">
        <f aca="false">IF(AND(ISNUMBER($N824),$N824&gt;0,ISNUMBER($Y824)),$Y824/$N824,"")</f>
        <v/>
      </c>
    </row>
    <row r="825" customFormat="false" ht="15" hidden="false" customHeight="true" outlineLevel="0" collapsed="false">
      <c r="A825" s="441" t="n">
        <v>8</v>
      </c>
      <c r="B825" s="157" t="n">
        <v>821</v>
      </c>
      <c r="AI825" s="157" t="e">
        <f aca="false">IF(AND($E825=Subj_OccCode,Subj_BldgSF&gt;0,ABS($L825-Subj_BldgSF)&lt;=Subj_BldgSF*Subj_SizeTol),ABS($L825-Subj_BldgSF),NA())</f>
        <v>#N/A</v>
      </c>
      <c r="AJ825" s="1" t="e">
        <f aca="false">IF(ISNA(AI825),NA(),AI825+ROW()/10000000)</f>
        <v>#N/A</v>
      </c>
      <c r="AK825" s="157" t="str">
        <f aca="false">IF(AND(ISNUMBER($N825),$N825&gt;0,ISNUMBER($Y825)),$Y825/$N825,"")</f>
        <v/>
      </c>
    </row>
    <row r="826" customFormat="false" ht="15" hidden="false" customHeight="true" outlineLevel="0" collapsed="false">
      <c r="A826" s="441" t="n">
        <v>8</v>
      </c>
      <c r="B826" s="157" t="n">
        <v>822</v>
      </c>
      <c r="AI826" s="157" t="e">
        <f aca="false">IF(AND($E826=Subj_OccCode,Subj_BldgSF&gt;0,ABS($L826-Subj_BldgSF)&lt;=Subj_BldgSF*Subj_SizeTol),ABS($L826-Subj_BldgSF),NA())</f>
        <v>#N/A</v>
      </c>
      <c r="AJ826" s="1" t="e">
        <f aca="false">IF(ISNA(AI826),NA(),AI826+ROW()/10000000)</f>
        <v>#N/A</v>
      </c>
      <c r="AK826" s="157" t="str">
        <f aca="false">IF(AND(ISNUMBER($N826),$N826&gt;0,ISNUMBER($Y826)),$Y826/$N826,"")</f>
        <v/>
      </c>
    </row>
    <row r="827" customFormat="false" ht="15" hidden="false" customHeight="true" outlineLevel="0" collapsed="false">
      <c r="A827" s="441" t="n">
        <v>8</v>
      </c>
      <c r="B827" s="157" t="n">
        <v>823</v>
      </c>
      <c r="AI827" s="157" t="e">
        <f aca="false">IF(AND($E827=Subj_OccCode,Subj_BldgSF&gt;0,ABS($L827-Subj_BldgSF)&lt;=Subj_BldgSF*Subj_SizeTol),ABS($L827-Subj_BldgSF),NA())</f>
        <v>#N/A</v>
      </c>
      <c r="AJ827" s="1" t="e">
        <f aca="false">IF(ISNA(AI827),NA(),AI827+ROW()/10000000)</f>
        <v>#N/A</v>
      </c>
      <c r="AK827" s="157" t="str">
        <f aca="false">IF(AND(ISNUMBER($N827),$N827&gt;0,ISNUMBER($Y827)),$Y827/$N827,"")</f>
        <v/>
      </c>
    </row>
    <row r="828" customFormat="false" ht="15" hidden="false" customHeight="true" outlineLevel="0" collapsed="false">
      <c r="A828" s="441" t="n">
        <v>8</v>
      </c>
      <c r="B828" s="157" t="n">
        <v>824</v>
      </c>
      <c r="AI828" s="157" t="e">
        <f aca="false">IF(AND($E828=Subj_OccCode,Subj_BldgSF&gt;0,ABS($L828-Subj_BldgSF)&lt;=Subj_BldgSF*Subj_SizeTol),ABS($L828-Subj_BldgSF),NA())</f>
        <v>#N/A</v>
      </c>
      <c r="AJ828" s="1" t="e">
        <f aca="false">IF(ISNA(AI828),NA(),AI828+ROW()/10000000)</f>
        <v>#N/A</v>
      </c>
      <c r="AK828" s="157" t="str">
        <f aca="false">IF(AND(ISNUMBER($N828),$N828&gt;0,ISNUMBER($Y828)),$Y828/$N828,"")</f>
        <v/>
      </c>
    </row>
    <row r="829" customFormat="false" ht="15" hidden="false" customHeight="true" outlineLevel="0" collapsed="false">
      <c r="A829" s="441" t="n">
        <v>8</v>
      </c>
      <c r="B829" s="157" t="n">
        <v>825</v>
      </c>
      <c r="AI829" s="157" t="e">
        <f aca="false">IF(AND($E829=Subj_OccCode,Subj_BldgSF&gt;0,ABS($L829-Subj_BldgSF)&lt;=Subj_BldgSF*Subj_SizeTol),ABS($L829-Subj_BldgSF),NA())</f>
        <v>#N/A</v>
      </c>
      <c r="AJ829" s="1" t="e">
        <f aca="false">IF(ISNA(AI829),NA(),AI829+ROW()/10000000)</f>
        <v>#N/A</v>
      </c>
      <c r="AK829" s="157" t="str">
        <f aca="false">IF(AND(ISNUMBER($N829),$N829&gt;0,ISNUMBER($Y829)),$Y829/$N829,"")</f>
        <v/>
      </c>
    </row>
    <row r="830" customFormat="false" ht="15" hidden="false" customHeight="true" outlineLevel="0" collapsed="false">
      <c r="A830" s="441" t="n">
        <v>8</v>
      </c>
      <c r="B830" s="157" t="n">
        <v>826</v>
      </c>
      <c r="AI830" s="157" t="e">
        <f aca="false">IF(AND($E830=Subj_OccCode,Subj_BldgSF&gt;0,ABS($L830-Subj_BldgSF)&lt;=Subj_BldgSF*Subj_SizeTol),ABS($L830-Subj_BldgSF),NA())</f>
        <v>#N/A</v>
      </c>
      <c r="AJ830" s="1" t="e">
        <f aca="false">IF(ISNA(AI830),NA(),AI830+ROW()/10000000)</f>
        <v>#N/A</v>
      </c>
      <c r="AK830" s="157" t="str">
        <f aca="false">IF(AND(ISNUMBER($N830),$N830&gt;0,ISNUMBER($Y830)),$Y830/$N830,"")</f>
        <v/>
      </c>
    </row>
    <row r="831" customFormat="false" ht="15" hidden="false" customHeight="true" outlineLevel="0" collapsed="false">
      <c r="A831" s="441" t="n">
        <v>8</v>
      </c>
      <c r="B831" s="157" t="n">
        <v>827</v>
      </c>
      <c r="AI831" s="157" t="e">
        <f aca="false">IF(AND($E831=Subj_OccCode,Subj_BldgSF&gt;0,ABS($L831-Subj_BldgSF)&lt;=Subj_BldgSF*Subj_SizeTol),ABS($L831-Subj_BldgSF),NA())</f>
        <v>#N/A</v>
      </c>
      <c r="AJ831" s="1" t="e">
        <f aca="false">IF(ISNA(AI831),NA(),AI831+ROW()/10000000)</f>
        <v>#N/A</v>
      </c>
      <c r="AK831" s="157" t="str">
        <f aca="false">IF(AND(ISNUMBER($N831),$N831&gt;0,ISNUMBER($Y831)),$Y831/$N831,"")</f>
        <v/>
      </c>
    </row>
    <row r="832" customFormat="false" ht="15" hidden="false" customHeight="true" outlineLevel="0" collapsed="false">
      <c r="A832" s="441" t="n">
        <v>8</v>
      </c>
      <c r="B832" s="157" t="n">
        <v>828</v>
      </c>
      <c r="AI832" s="157" t="e">
        <f aca="false">IF(AND($E832=Subj_OccCode,Subj_BldgSF&gt;0,ABS($L832-Subj_BldgSF)&lt;=Subj_BldgSF*Subj_SizeTol),ABS($L832-Subj_BldgSF),NA())</f>
        <v>#N/A</v>
      </c>
      <c r="AJ832" s="1" t="e">
        <f aca="false">IF(ISNA(AI832),NA(),AI832+ROW()/10000000)</f>
        <v>#N/A</v>
      </c>
      <c r="AK832" s="157" t="str">
        <f aca="false">IF(AND(ISNUMBER($N832),$N832&gt;0,ISNUMBER($Y832)),$Y832/$N832,"")</f>
        <v/>
      </c>
    </row>
    <row r="833" customFormat="false" ht="15" hidden="false" customHeight="true" outlineLevel="0" collapsed="false">
      <c r="A833" s="441" t="n">
        <v>8</v>
      </c>
      <c r="B833" s="157" t="n">
        <v>829</v>
      </c>
      <c r="AI833" s="157" t="e">
        <f aca="false">IF(AND($E833=Subj_OccCode,Subj_BldgSF&gt;0,ABS($L833-Subj_BldgSF)&lt;=Subj_BldgSF*Subj_SizeTol),ABS($L833-Subj_BldgSF),NA())</f>
        <v>#N/A</v>
      </c>
      <c r="AJ833" s="1" t="e">
        <f aca="false">IF(ISNA(AI833),NA(),AI833+ROW()/10000000)</f>
        <v>#N/A</v>
      </c>
      <c r="AK833" s="157" t="str">
        <f aca="false">IF(AND(ISNUMBER($N833),$N833&gt;0,ISNUMBER($Y833)),$Y833/$N833,"")</f>
        <v/>
      </c>
    </row>
    <row r="834" customFormat="false" ht="15" hidden="false" customHeight="true" outlineLevel="0" collapsed="false">
      <c r="A834" s="441" t="n">
        <v>8</v>
      </c>
      <c r="B834" s="157" t="n">
        <v>830</v>
      </c>
      <c r="AI834" s="157" t="e">
        <f aca="false">IF(AND($E834=Subj_OccCode,Subj_BldgSF&gt;0,ABS($L834-Subj_BldgSF)&lt;=Subj_BldgSF*Subj_SizeTol),ABS($L834-Subj_BldgSF),NA())</f>
        <v>#N/A</v>
      </c>
      <c r="AJ834" s="1" t="e">
        <f aca="false">IF(ISNA(AI834),NA(),AI834+ROW()/10000000)</f>
        <v>#N/A</v>
      </c>
      <c r="AK834" s="157" t="str">
        <f aca="false">IF(AND(ISNUMBER($N834),$N834&gt;0,ISNUMBER($Y834)),$Y834/$N834,"")</f>
        <v/>
      </c>
    </row>
    <row r="835" customFormat="false" ht="15" hidden="false" customHeight="true" outlineLevel="0" collapsed="false">
      <c r="A835" s="441" t="n">
        <v>8</v>
      </c>
      <c r="B835" s="157" t="n">
        <v>831</v>
      </c>
      <c r="AI835" s="157" t="e">
        <f aca="false">IF(AND($E835=Subj_OccCode,Subj_BldgSF&gt;0,ABS($L835-Subj_BldgSF)&lt;=Subj_BldgSF*Subj_SizeTol),ABS($L835-Subj_BldgSF),NA())</f>
        <v>#N/A</v>
      </c>
      <c r="AJ835" s="1" t="e">
        <f aca="false">IF(ISNA(AI835),NA(),AI835+ROW()/10000000)</f>
        <v>#N/A</v>
      </c>
      <c r="AK835" s="157" t="str">
        <f aca="false">IF(AND(ISNUMBER($N835),$N835&gt;0,ISNUMBER($Y835)),$Y835/$N835,"")</f>
        <v/>
      </c>
    </row>
    <row r="836" customFormat="false" ht="15" hidden="false" customHeight="true" outlineLevel="0" collapsed="false">
      <c r="A836" s="441" t="n">
        <v>8</v>
      </c>
      <c r="B836" s="157" t="n">
        <v>832</v>
      </c>
      <c r="AI836" s="157" t="e">
        <f aca="false">IF(AND($E836=Subj_OccCode,Subj_BldgSF&gt;0,ABS($L836-Subj_BldgSF)&lt;=Subj_BldgSF*Subj_SizeTol),ABS($L836-Subj_BldgSF),NA())</f>
        <v>#N/A</v>
      </c>
      <c r="AJ836" s="1" t="e">
        <f aca="false">IF(ISNA(AI836),NA(),AI836+ROW()/10000000)</f>
        <v>#N/A</v>
      </c>
      <c r="AK836" s="157" t="str">
        <f aca="false">IF(AND(ISNUMBER($N836),$N836&gt;0,ISNUMBER($Y836)),$Y836/$N836,"")</f>
        <v/>
      </c>
    </row>
    <row r="837" customFormat="false" ht="15" hidden="false" customHeight="true" outlineLevel="0" collapsed="false">
      <c r="A837" s="441" t="n">
        <v>8</v>
      </c>
      <c r="B837" s="157" t="n">
        <v>833</v>
      </c>
      <c r="AI837" s="157" t="e">
        <f aca="false">IF(AND($E837=Subj_OccCode,Subj_BldgSF&gt;0,ABS($L837-Subj_BldgSF)&lt;=Subj_BldgSF*Subj_SizeTol),ABS($L837-Subj_BldgSF),NA())</f>
        <v>#N/A</v>
      </c>
      <c r="AJ837" s="1" t="e">
        <f aca="false">IF(ISNA(AI837),NA(),AI837+ROW()/10000000)</f>
        <v>#N/A</v>
      </c>
      <c r="AK837" s="157" t="str">
        <f aca="false">IF(AND(ISNUMBER($N837),$N837&gt;0,ISNUMBER($Y837)),$Y837/$N837,"")</f>
        <v/>
      </c>
    </row>
    <row r="838" customFormat="false" ht="15" hidden="false" customHeight="true" outlineLevel="0" collapsed="false">
      <c r="A838" s="441" t="n">
        <v>8</v>
      </c>
      <c r="B838" s="157" t="n">
        <v>834</v>
      </c>
      <c r="AI838" s="157" t="e">
        <f aca="false">IF(AND($E838=Subj_OccCode,Subj_BldgSF&gt;0,ABS($L838-Subj_BldgSF)&lt;=Subj_BldgSF*Subj_SizeTol),ABS($L838-Subj_BldgSF),NA())</f>
        <v>#N/A</v>
      </c>
      <c r="AJ838" s="1" t="e">
        <f aca="false">IF(ISNA(AI838),NA(),AI838+ROW()/10000000)</f>
        <v>#N/A</v>
      </c>
      <c r="AK838" s="157" t="str">
        <f aca="false">IF(AND(ISNUMBER($N838),$N838&gt;0,ISNUMBER($Y838)),$Y838/$N838,"")</f>
        <v/>
      </c>
    </row>
    <row r="839" customFormat="false" ht="15" hidden="false" customHeight="true" outlineLevel="0" collapsed="false">
      <c r="A839" s="441" t="n">
        <v>8</v>
      </c>
      <c r="B839" s="157" t="n">
        <v>835</v>
      </c>
      <c r="AI839" s="157" t="e">
        <f aca="false">IF(AND($E839=Subj_OccCode,Subj_BldgSF&gt;0,ABS($L839-Subj_BldgSF)&lt;=Subj_BldgSF*Subj_SizeTol),ABS($L839-Subj_BldgSF),NA())</f>
        <v>#N/A</v>
      </c>
      <c r="AJ839" s="1" t="e">
        <f aca="false">IF(ISNA(AI839),NA(),AI839+ROW()/10000000)</f>
        <v>#N/A</v>
      </c>
      <c r="AK839" s="157" t="str">
        <f aca="false">IF(AND(ISNUMBER($N839),$N839&gt;0,ISNUMBER($Y839)),$Y839/$N839,"")</f>
        <v/>
      </c>
    </row>
    <row r="840" customFormat="false" ht="15" hidden="false" customHeight="true" outlineLevel="0" collapsed="false">
      <c r="A840" s="441" t="n">
        <v>8</v>
      </c>
      <c r="B840" s="157" t="n">
        <v>836</v>
      </c>
      <c r="AI840" s="157" t="e">
        <f aca="false">IF(AND($E840=Subj_OccCode,Subj_BldgSF&gt;0,ABS($L840-Subj_BldgSF)&lt;=Subj_BldgSF*Subj_SizeTol),ABS($L840-Subj_BldgSF),NA())</f>
        <v>#N/A</v>
      </c>
      <c r="AJ840" s="1" t="e">
        <f aca="false">IF(ISNA(AI840),NA(),AI840+ROW()/10000000)</f>
        <v>#N/A</v>
      </c>
      <c r="AK840" s="157" t="str">
        <f aca="false">IF(AND(ISNUMBER($N840),$N840&gt;0,ISNUMBER($Y840)),$Y840/$N840,"")</f>
        <v/>
      </c>
    </row>
    <row r="841" customFormat="false" ht="15" hidden="false" customHeight="true" outlineLevel="0" collapsed="false">
      <c r="A841" s="441" t="n">
        <v>8</v>
      </c>
      <c r="B841" s="157" t="n">
        <v>837</v>
      </c>
      <c r="AI841" s="157" t="e">
        <f aca="false">IF(AND($E841=Subj_OccCode,Subj_BldgSF&gt;0,ABS($L841-Subj_BldgSF)&lt;=Subj_BldgSF*Subj_SizeTol),ABS($L841-Subj_BldgSF),NA())</f>
        <v>#N/A</v>
      </c>
      <c r="AJ841" s="1" t="e">
        <f aca="false">IF(ISNA(AI841),NA(),AI841+ROW()/10000000)</f>
        <v>#N/A</v>
      </c>
      <c r="AK841" s="157" t="str">
        <f aca="false">IF(AND(ISNUMBER($N841),$N841&gt;0,ISNUMBER($Y841)),$Y841/$N841,"")</f>
        <v/>
      </c>
    </row>
    <row r="842" customFormat="false" ht="15" hidden="false" customHeight="true" outlineLevel="0" collapsed="false">
      <c r="A842" s="441" t="n">
        <v>8</v>
      </c>
      <c r="B842" s="157" t="n">
        <v>838</v>
      </c>
      <c r="AI842" s="157" t="e">
        <f aca="false">IF(AND($E842=Subj_OccCode,Subj_BldgSF&gt;0,ABS($L842-Subj_BldgSF)&lt;=Subj_BldgSF*Subj_SizeTol),ABS($L842-Subj_BldgSF),NA())</f>
        <v>#N/A</v>
      </c>
      <c r="AJ842" s="1" t="e">
        <f aca="false">IF(ISNA(AI842),NA(),AI842+ROW()/10000000)</f>
        <v>#N/A</v>
      </c>
      <c r="AK842" s="157" t="str">
        <f aca="false">IF(AND(ISNUMBER($N842),$N842&gt;0,ISNUMBER($Y842)),$Y842/$N842,"")</f>
        <v/>
      </c>
    </row>
    <row r="843" customFormat="false" ht="15" hidden="false" customHeight="true" outlineLevel="0" collapsed="false">
      <c r="A843" s="441" t="n">
        <v>8</v>
      </c>
      <c r="B843" s="157" t="n">
        <v>839</v>
      </c>
      <c r="AI843" s="157" t="e">
        <f aca="false">IF(AND($E843=Subj_OccCode,Subj_BldgSF&gt;0,ABS($L843-Subj_BldgSF)&lt;=Subj_BldgSF*Subj_SizeTol),ABS($L843-Subj_BldgSF),NA())</f>
        <v>#N/A</v>
      </c>
      <c r="AJ843" s="1" t="e">
        <f aca="false">IF(ISNA(AI843),NA(),AI843+ROW()/10000000)</f>
        <v>#N/A</v>
      </c>
      <c r="AK843" s="157" t="str">
        <f aca="false">IF(AND(ISNUMBER($N843),$N843&gt;0,ISNUMBER($Y843)),$Y843/$N843,"")</f>
        <v/>
      </c>
    </row>
    <row r="844" customFormat="false" ht="15" hidden="false" customHeight="true" outlineLevel="0" collapsed="false">
      <c r="A844" s="441" t="n">
        <v>8</v>
      </c>
      <c r="B844" s="157" t="n">
        <v>840</v>
      </c>
      <c r="AI844" s="157" t="e">
        <f aca="false">IF(AND($E844=Subj_OccCode,Subj_BldgSF&gt;0,ABS($L844-Subj_BldgSF)&lt;=Subj_BldgSF*Subj_SizeTol),ABS($L844-Subj_BldgSF),NA())</f>
        <v>#N/A</v>
      </c>
      <c r="AJ844" s="1" t="e">
        <f aca="false">IF(ISNA(AI844),NA(),AI844+ROW()/10000000)</f>
        <v>#N/A</v>
      </c>
      <c r="AK844" s="157" t="str">
        <f aca="false">IF(AND(ISNUMBER($N844),$N844&gt;0,ISNUMBER($Y844)),$Y844/$N844,"")</f>
        <v/>
      </c>
    </row>
    <row r="845" customFormat="false" ht="15" hidden="false" customHeight="true" outlineLevel="0" collapsed="false">
      <c r="A845" s="441" t="n">
        <v>8</v>
      </c>
      <c r="B845" s="157" t="n">
        <v>841</v>
      </c>
      <c r="AI845" s="157" t="e">
        <f aca="false">IF(AND($E845=Subj_OccCode,Subj_BldgSF&gt;0,ABS($L845-Subj_BldgSF)&lt;=Subj_BldgSF*Subj_SizeTol),ABS($L845-Subj_BldgSF),NA())</f>
        <v>#N/A</v>
      </c>
      <c r="AJ845" s="1" t="e">
        <f aca="false">IF(ISNA(AI845),NA(),AI845+ROW()/10000000)</f>
        <v>#N/A</v>
      </c>
      <c r="AK845" s="157" t="str">
        <f aca="false">IF(AND(ISNUMBER($N845),$N845&gt;0,ISNUMBER($Y845)),$Y845/$N845,"")</f>
        <v/>
      </c>
    </row>
    <row r="846" customFormat="false" ht="15" hidden="false" customHeight="true" outlineLevel="0" collapsed="false">
      <c r="A846" s="441" t="n">
        <v>8</v>
      </c>
      <c r="B846" s="157" t="n">
        <v>842</v>
      </c>
      <c r="AI846" s="157" t="e">
        <f aca="false">IF(AND($E846=Subj_OccCode,Subj_BldgSF&gt;0,ABS($L846-Subj_BldgSF)&lt;=Subj_BldgSF*Subj_SizeTol),ABS($L846-Subj_BldgSF),NA())</f>
        <v>#N/A</v>
      </c>
      <c r="AJ846" s="1" t="e">
        <f aca="false">IF(ISNA(AI846),NA(),AI846+ROW()/10000000)</f>
        <v>#N/A</v>
      </c>
      <c r="AK846" s="157" t="str">
        <f aca="false">IF(AND(ISNUMBER($N846),$N846&gt;0,ISNUMBER($Y846)),$Y846/$N846,"")</f>
        <v/>
      </c>
    </row>
    <row r="847" customFormat="false" ht="15" hidden="false" customHeight="true" outlineLevel="0" collapsed="false">
      <c r="A847" s="441" t="n">
        <v>8</v>
      </c>
      <c r="B847" s="157" t="n">
        <v>843</v>
      </c>
      <c r="AI847" s="157" t="e">
        <f aca="false">IF(AND($E847=Subj_OccCode,Subj_BldgSF&gt;0,ABS($L847-Subj_BldgSF)&lt;=Subj_BldgSF*Subj_SizeTol),ABS($L847-Subj_BldgSF),NA())</f>
        <v>#N/A</v>
      </c>
      <c r="AJ847" s="1" t="e">
        <f aca="false">IF(ISNA(AI847),NA(),AI847+ROW()/10000000)</f>
        <v>#N/A</v>
      </c>
      <c r="AK847" s="157" t="str">
        <f aca="false">IF(AND(ISNUMBER($N847),$N847&gt;0,ISNUMBER($Y847)),$Y847/$N847,"")</f>
        <v/>
      </c>
    </row>
    <row r="848" customFormat="false" ht="15" hidden="false" customHeight="true" outlineLevel="0" collapsed="false">
      <c r="A848" s="441" t="n">
        <v>8</v>
      </c>
      <c r="B848" s="157" t="n">
        <v>844</v>
      </c>
      <c r="AI848" s="157" t="e">
        <f aca="false">IF(AND($E848=Subj_OccCode,Subj_BldgSF&gt;0,ABS($L848-Subj_BldgSF)&lt;=Subj_BldgSF*Subj_SizeTol),ABS($L848-Subj_BldgSF),NA())</f>
        <v>#N/A</v>
      </c>
      <c r="AJ848" s="1" t="e">
        <f aca="false">IF(ISNA(AI848),NA(),AI848+ROW()/10000000)</f>
        <v>#N/A</v>
      </c>
      <c r="AK848" s="157" t="str">
        <f aca="false">IF(AND(ISNUMBER($N848),$N848&gt;0,ISNUMBER($Y848)),$Y848/$N848,"")</f>
        <v/>
      </c>
    </row>
    <row r="849" customFormat="false" ht="15" hidden="false" customHeight="true" outlineLevel="0" collapsed="false">
      <c r="A849" s="441" t="n">
        <v>8</v>
      </c>
      <c r="B849" s="157" t="n">
        <v>845</v>
      </c>
      <c r="AI849" s="157" t="e">
        <f aca="false">IF(AND($E849=Subj_OccCode,Subj_BldgSF&gt;0,ABS($L849-Subj_BldgSF)&lt;=Subj_BldgSF*Subj_SizeTol),ABS($L849-Subj_BldgSF),NA())</f>
        <v>#N/A</v>
      </c>
      <c r="AJ849" s="1" t="e">
        <f aca="false">IF(ISNA(AI849),NA(),AI849+ROW()/10000000)</f>
        <v>#N/A</v>
      </c>
      <c r="AK849" s="157" t="str">
        <f aca="false">IF(AND(ISNUMBER($N849),$N849&gt;0,ISNUMBER($Y849)),$Y849/$N849,"")</f>
        <v/>
      </c>
    </row>
    <row r="850" customFormat="false" ht="15" hidden="false" customHeight="true" outlineLevel="0" collapsed="false">
      <c r="A850" s="441" t="n">
        <v>8</v>
      </c>
      <c r="B850" s="157" t="n">
        <v>846</v>
      </c>
      <c r="AI850" s="157" t="e">
        <f aca="false">IF(AND($E850=Subj_OccCode,Subj_BldgSF&gt;0,ABS($L850-Subj_BldgSF)&lt;=Subj_BldgSF*Subj_SizeTol),ABS($L850-Subj_BldgSF),NA())</f>
        <v>#N/A</v>
      </c>
      <c r="AJ850" s="1" t="e">
        <f aca="false">IF(ISNA(AI850),NA(),AI850+ROW()/10000000)</f>
        <v>#N/A</v>
      </c>
      <c r="AK850" s="157" t="str">
        <f aca="false">IF(AND(ISNUMBER($N850),$N850&gt;0,ISNUMBER($Y850)),$Y850/$N850,"")</f>
        <v/>
      </c>
    </row>
    <row r="851" customFormat="false" ht="15" hidden="false" customHeight="true" outlineLevel="0" collapsed="false">
      <c r="A851" s="441" t="n">
        <v>8</v>
      </c>
      <c r="B851" s="157" t="n">
        <v>847</v>
      </c>
      <c r="AI851" s="157" t="e">
        <f aca="false">IF(AND($E851=Subj_OccCode,Subj_BldgSF&gt;0,ABS($L851-Subj_BldgSF)&lt;=Subj_BldgSF*Subj_SizeTol),ABS($L851-Subj_BldgSF),NA())</f>
        <v>#N/A</v>
      </c>
      <c r="AJ851" s="1" t="e">
        <f aca="false">IF(ISNA(AI851),NA(),AI851+ROW()/10000000)</f>
        <v>#N/A</v>
      </c>
      <c r="AK851" s="157" t="str">
        <f aca="false">IF(AND(ISNUMBER($N851),$N851&gt;0,ISNUMBER($Y851)),$Y851/$N851,"")</f>
        <v/>
      </c>
    </row>
    <row r="852" customFormat="false" ht="15" hidden="false" customHeight="true" outlineLevel="0" collapsed="false">
      <c r="A852" s="441" t="n">
        <v>8</v>
      </c>
      <c r="B852" s="157" t="n">
        <v>848</v>
      </c>
      <c r="AI852" s="157" t="e">
        <f aca="false">IF(AND($E852=Subj_OccCode,Subj_BldgSF&gt;0,ABS($L852-Subj_BldgSF)&lt;=Subj_BldgSF*Subj_SizeTol),ABS($L852-Subj_BldgSF),NA())</f>
        <v>#N/A</v>
      </c>
      <c r="AJ852" s="1" t="e">
        <f aca="false">IF(ISNA(AI852),NA(),AI852+ROW()/10000000)</f>
        <v>#N/A</v>
      </c>
      <c r="AK852" s="157" t="str">
        <f aca="false">IF(AND(ISNUMBER($N852),$N852&gt;0,ISNUMBER($Y852)),$Y852/$N852,"")</f>
        <v/>
      </c>
    </row>
    <row r="853" customFormat="false" ht="15" hidden="false" customHeight="true" outlineLevel="0" collapsed="false">
      <c r="A853" s="441" t="n">
        <v>8</v>
      </c>
      <c r="B853" s="157" t="n">
        <v>849</v>
      </c>
      <c r="AI853" s="157" t="e">
        <f aca="false">IF(AND($E853=Subj_OccCode,Subj_BldgSF&gt;0,ABS($L853-Subj_BldgSF)&lt;=Subj_BldgSF*Subj_SizeTol),ABS($L853-Subj_BldgSF),NA())</f>
        <v>#N/A</v>
      </c>
      <c r="AJ853" s="1" t="e">
        <f aca="false">IF(ISNA(AI853),NA(),AI853+ROW()/10000000)</f>
        <v>#N/A</v>
      </c>
      <c r="AK853" s="157" t="str">
        <f aca="false">IF(AND(ISNUMBER($N853),$N853&gt;0,ISNUMBER($Y853)),$Y853/$N853,"")</f>
        <v/>
      </c>
    </row>
    <row r="854" customFormat="false" ht="15" hidden="false" customHeight="true" outlineLevel="0" collapsed="false">
      <c r="A854" s="441" t="n">
        <v>8</v>
      </c>
      <c r="B854" s="157" t="n">
        <v>850</v>
      </c>
      <c r="AI854" s="157" t="e">
        <f aca="false">IF(AND($E854=Subj_OccCode,Subj_BldgSF&gt;0,ABS($L854-Subj_BldgSF)&lt;=Subj_BldgSF*Subj_SizeTol),ABS($L854-Subj_BldgSF),NA())</f>
        <v>#N/A</v>
      </c>
      <c r="AJ854" s="1" t="e">
        <f aca="false">IF(ISNA(AI854),NA(),AI854+ROW()/10000000)</f>
        <v>#N/A</v>
      </c>
      <c r="AK854" s="157" t="str">
        <f aca="false">IF(AND(ISNUMBER($N854),$N854&gt;0,ISNUMBER($Y854)),$Y854/$N854,"")</f>
        <v/>
      </c>
    </row>
    <row r="855" customFormat="false" ht="15" hidden="false" customHeight="true" outlineLevel="0" collapsed="false">
      <c r="A855" s="441" t="n">
        <v>8</v>
      </c>
      <c r="B855" s="157" t="n">
        <v>851</v>
      </c>
      <c r="AI855" s="157" t="e">
        <f aca="false">IF(AND($E855=Subj_OccCode,Subj_BldgSF&gt;0,ABS($L855-Subj_BldgSF)&lt;=Subj_BldgSF*Subj_SizeTol),ABS($L855-Subj_BldgSF),NA())</f>
        <v>#N/A</v>
      </c>
      <c r="AJ855" s="1" t="e">
        <f aca="false">IF(ISNA(AI855),NA(),AI855+ROW()/10000000)</f>
        <v>#N/A</v>
      </c>
      <c r="AK855" s="157" t="str">
        <f aca="false">IF(AND(ISNUMBER($N855),$N855&gt;0,ISNUMBER($Y855)),$Y855/$N855,"")</f>
        <v/>
      </c>
    </row>
    <row r="856" customFormat="false" ht="15" hidden="false" customHeight="true" outlineLevel="0" collapsed="false">
      <c r="A856" s="441" t="n">
        <v>8</v>
      </c>
      <c r="B856" s="157" t="n">
        <v>852</v>
      </c>
      <c r="AI856" s="157" t="e">
        <f aca="false">IF(AND($E856=Subj_OccCode,Subj_BldgSF&gt;0,ABS($L856-Subj_BldgSF)&lt;=Subj_BldgSF*Subj_SizeTol),ABS($L856-Subj_BldgSF),NA())</f>
        <v>#N/A</v>
      </c>
      <c r="AJ856" s="1" t="e">
        <f aca="false">IF(ISNA(AI856),NA(),AI856+ROW()/10000000)</f>
        <v>#N/A</v>
      </c>
      <c r="AK856" s="157" t="str">
        <f aca="false">IF(AND(ISNUMBER($N856),$N856&gt;0,ISNUMBER($Y856)),$Y856/$N856,"")</f>
        <v/>
      </c>
    </row>
    <row r="857" customFormat="false" ht="15" hidden="false" customHeight="true" outlineLevel="0" collapsed="false">
      <c r="A857" s="441" t="n">
        <v>8</v>
      </c>
      <c r="B857" s="157" t="n">
        <v>853</v>
      </c>
      <c r="AI857" s="157" t="e">
        <f aca="false">IF(AND($E857=Subj_OccCode,Subj_BldgSF&gt;0,ABS($L857-Subj_BldgSF)&lt;=Subj_BldgSF*Subj_SizeTol),ABS($L857-Subj_BldgSF),NA())</f>
        <v>#N/A</v>
      </c>
      <c r="AJ857" s="1" t="e">
        <f aca="false">IF(ISNA(AI857),NA(),AI857+ROW()/10000000)</f>
        <v>#N/A</v>
      </c>
      <c r="AK857" s="157" t="str">
        <f aca="false">IF(AND(ISNUMBER($N857),$N857&gt;0,ISNUMBER($Y857)),$Y857/$N857,"")</f>
        <v/>
      </c>
    </row>
    <row r="858" customFormat="false" ht="15" hidden="false" customHeight="true" outlineLevel="0" collapsed="false">
      <c r="A858" s="441" t="n">
        <v>8</v>
      </c>
      <c r="B858" s="157" t="n">
        <v>854</v>
      </c>
      <c r="AI858" s="157" t="e">
        <f aca="false">IF(AND($E858=Subj_OccCode,Subj_BldgSF&gt;0,ABS($L858-Subj_BldgSF)&lt;=Subj_BldgSF*Subj_SizeTol),ABS($L858-Subj_BldgSF),NA())</f>
        <v>#N/A</v>
      </c>
      <c r="AJ858" s="1" t="e">
        <f aca="false">IF(ISNA(AI858),NA(),AI858+ROW()/10000000)</f>
        <v>#N/A</v>
      </c>
      <c r="AK858" s="157" t="str">
        <f aca="false">IF(AND(ISNUMBER($N858),$N858&gt;0,ISNUMBER($Y858)),$Y858/$N858,"")</f>
        <v/>
      </c>
    </row>
    <row r="859" customFormat="false" ht="15" hidden="false" customHeight="true" outlineLevel="0" collapsed="false">
      <c r="A859" s="441" t="n">
        <v>8</v>
      </c>
      <c r="B859" s="157" t="n">
        <v>855</v>
      </c>
      <c r="AI859" s="157" t="e">
        <f aca="false">IF(AND($E859=Subj_OccCode,Subj_BldgSF&gt;0,ABS($L859-Subj_BldgSF)&lt;=Subj_BldgSF*Subj_SizeTol),ABS($L859-Subj_BldgSF),NA())</f>
        <v>#N/A</v>
      </c>
      <c r="AJ859" s="1" t="e">
        <f aca="false">IF(ISNA(AI859),NA(),AI859+ROW()/10000000)</f>
        <v>#N/A</v>
      </c>
      <c r="AK859" s="157" t="str">
        <f aca="false">IF(AND(ISNUMBER($N859),$N859&gt;0,ISNUMBER($Y859)),$Y859/$N859,"")</f>
        <v/>
      </c>
    </row>
    <row r="860" customFormat="false" ht="15" hidden="false" customHeight="true" outlineLevel="0" collapsed="false">
      <c r="A860" s="441" t="n">
        <v>8</v>
      </c>
      <c r="B860" s="157" t="n">
        <v>856</v>
      </c>
      <c r="AI860" s="157" t="e">
        <f aca="false">IF(AND($E860=Subj_OccCode,Subj_BldgSF&gt;0,ABS($L860-Subj_BldgSF)&lt;=Subj_BldgSF*Subj_SizeTol),ABS($L860-Subj_BldgSF),NA())</f>
        <v>#N/A</v>
      </c>
      <c r="AJ860" s="1" t="e">
        <f aca="false">IF(ISNA(AI860),NA(),AI860+ROW()/10000000)</f>
        <v>#N/A</v>
      </c>
      <c r="AK860" s="157" t="str">
        <f aca="false">IF(AND(ISNUMBER($N860),$N860&gt;0,ISNUMBER($Y860)),$Y860/$N860,"")</f>
        <v/>
      </c>
    </row>
    <row r="861" customFormat="false" ht="15" hidden="false" customHeight="true" outlineLevel="0" collapsed="false">
      <c r="A861" s="441" t="n">
        <v>8</v>
      </c>
      <c r="B861" s="157" t="n">
        <v>857</v>
      </c>
      <c r="AI861" s="157" t="e">
        <f aca="false">IF(AND($E861=Subj_OccCode,Subj_BldgSF&gt;0,ABS($L861-Subj_BldgSF)&lt;=Subj_BldgSF*Subj_SizeTol),ABS($L861-Subj_BldgSF),NA())</f>
        <v>#N/A</v>
      </c>
      <c r="AJ861" s="1" t="e">
        <f aca="false">IF(ISNA(AI861),NA(),AI861+ROW()/10000000)</f>
        <v>#N/A</v>
      </c>
      <c r="AK861" s="157" t="str">
        <f aca="false">IF(AND(ISNUMBER($N861),$N861&gt;0,ISNUMBER($Y861)),$Y861/$N861,"")</f>
        <v/>
      </c>
    </row>
    <row r="862" customFormat="false" ht="15" hidden="false" customHeight="true" outlineLevel="0" collapsed="false">
      <c r="A862" s="441" t="n">
        <v>8</v>
      </c>
      <c r="B862" s="157" t="n">
        <v>858</v>
      </c>
      <c r="AI862" s="157" t="e">
        <f aca="false">IF(AND($E862=Subj_OccCode,Subj_BldgSF&gt;0,ABS($L862-Subj_BldgSF)&lt;=Subj_BldgSF*Subj_SizeTol),ABS($L862-Subj_BldgSF),NA())</f>
        <v>#N/A</v>
      </c>
      <c r="AJ862" s="1" t="e">
        <f aca="false">IF(ISNA(AI862),NA(),AI862+ROW()/10000000)</f>
        <v>#N/A</v>
      </c>
      <c r="AK862" s="157" t="str">
        <f aca="false">IF(AND(ISNUMBER($N862),$N862&gt;0,ISNUMBER($Y862)),$Y862/$N862,"")</f>
        <v/>
      </c>
    </row>
    <row r="863" customFormat="false" ht="15" hidden="false" customHeight="true" outlineLevel="0" collapsed="false">
      <c r="A863" s="441" t="n">
        <v>8</v>
      </c>
      <c r="B863" s="157" t="n">
        <v>859</v>
      </c>
      <c r="AI863" s="157" t="e">
        <f aca="false">IF(AND($E863=Subj_OccCode,Subj_BldgSF&gt;0,ABS($L863-Subj_BldgSF)&lt;=Subj_BldgSF*Subj_SizeTol),ABS($L863-Subj_BldgSF),NA())</f>
        <v>#N/A</v>
      </c>
      <c r="AJ863" s="1" t="e">
        <f aca="false">IF(ISNA(AI863),NA(),AI863+ROW()/10000000)</f>
        <v>#N/A</v>
      </c>
      <c r="AK863" s="157" t="str">
        <f aca="false">IF(AND(ISNUMBER($N863),$N863&gt;0,ISNUMBER($Y863)),$Y863/$N863,"")</f>
        <v/>
      </c>
    </row>
    <row r="864" customFormat="false" ht="15" hidden="false" customHeight="true" outlineLevel="0" collapsed="false">
      <c r="A864" s="441" t="n">
        <v>8</v>
      </c>
      <c r="B864" s="157" t="n">
        <v>860</v>
      </c>
      <c r="AI864" s="157" t="e">
        <f aca="false">IF(AND($E864=Subj_OccCode,Subj_BldgSF&gt;0,ABS($L864-Subj_BldgSF)&lt;=Subj_BldgSF*Subj_SizeTol),ABS($L864-Subj_BldgSF),NA())</f>
        <v>#N/A</v>
      </c>
      <c r="AJ864" s="1" t="e">
        <f aca="false">IF(ISNA(AI864),NA(),AI864+ROW()/10000000)</f>
        <v>#N/A</v>
      </c>
      <c r="AK864" s="157" t="str">
        <f aca="false">IF(AND(ISNUMBER($N864),$N864&gt;0,ISNUMBER($Y864)),$Y864/$N864,"")</f>
        <v/>
      </c>
    </row>
    <row r="865" customFormat="false" ht="15" hidden="false" customHeight="true" outlineLevel="0" collapsed="false">
      <c r="A865" s="441" t="n">
        <v>8</v>
      </c>
      <c r="B865" s="157" t="n">
        <v>861</v>
      </c>
      <c r="AI865" s="157" t="e">
        <f aca="false">IF(AND($E865=Subj_OccCode,Subj_BldgSF&gt;0,ABS($L865-Subj_BldgSF)&lt;=Subj_BldgSF*Subj_SizeTol),ABS($L865-Subj_BldgSF),NA())</f>
        <v>#N/A</v>
      </c>
      <c r="AJ865" s="1" t="e">
        <f aca="false">IF(ISNA(AI865),NA(),AI865+ROW()/10000000)</f>
        <v>#N/A</v>
      </c>
      <c r="AK865" s="157" t="str">
        <f aca="false">IF(AND(ISNUMBER($N865),$N865&gt;0,ISNUMBER($Y865)),$Y865/$N865,"")</f>
        <v/>
      </c>
    </row>
    <row r="866" customFormat="false" ht="15" hidden="false" customHeight="true" outlineLevel="0" collapsed="false">
      <c r="A866" s="441" t="n">
        <v>8</v>
      </c>
      <c r="B866" s="157" t="n">
        <v>862</v>
      </c>
      <c r="AI866" s="157" t="e">
        <f aca="false">IF(AND($E866=Subj_OccCode,Subj_BldgSF&gt;0,ABS($L866-Subj_BldgSF)&lt;=Subj_BldgSF*Subj_SizeTol),ABS($L866-Subj_BldgSF),NA())</f>
        <v>#N/A</v>
      </c>
      <c r="AJ866" s="1" t="e">
        <f aca="false">IF(ISNA(AI866),NA(),AI866+ROW()/10000000)</f>
        <v>#N/A</v>
      </c>
      <c r="AK866" s="157" t="str">
        <f aca="false">IF(AND(ISNUMBER($N866),$N866&gt;0,ISNUMBER($Y866)),$Y866/$N866,"")</f>
        <v/>
      </c>
    </row>
    <row r="867" customFormat="false" ht="15" hidden="false" customHeight="true" outlineLevel="0" collapsed="false">
      <c r="A867" s="441" t="n">
        <v>8</v>
      </c>
      <c r="B867" s="157" t="n">
        <v>863</v>
      </c>
      <c r="AI867" s="157" t="e">
        <f aca="false">IF(AND($E867=Subj_OccCode,Subj_BldgSF&gt;0,ABS($L867-Subj_BldgSF)&lt;=Subj_BldgSF*Subj_SizeTol),ABS($L867-Subj_BldgSF),NA())</f>
        <v>#N/A</v>
      </c>
      <c r="AJ867" s="1" t="e">
        <f aca="false">IF(ISNA(AI867),NA(),AI867+ROW()/10000000)</f>
        <v>#N/A</v>
      </c>
      <c r="AK867" s="157" t="str">
        <f aca="false">IF(AND(ISNUMBER($N867),$N867&gt;0,ISNUMBER($Y867)),$Y867/$N867,"")</f>
        <v/>
      </c>
    </row>
    <row r="868" customFormat="false" ht="15" hidden="false" customHeight="true" outlineLevel="0" collapsed="false">
      <c r="A868" s="441" t="n">
        <v>8</v>
      </c>
      <c r="B868" s="157" t="n">
        <v>864</v>
      </c>
      <c r="AI868" s="157" t="e">
        <f aca="false">IF(AND($E868=Subj_OccCode,Subj_BldgSF&gt;0,ABS($L868-Subj_BldgSF)&lt;=Subj_BldgSF*Subj_SizeTol),ABS($L868-Subj_BldgSF),NA())</f>
        <v>#N/A</v>
      </c>
      <c r="AJ868" s="1" t="e">
        <f aca="false">IF(ISNA(AI868),NA(),AI868+ROW()/10000000)</f>
        <v>#N/A</v>
      </c>
      <c r="AK868" s="157" t="str">
        <f aca="false">IF(AND(ISNUMBER($N868),$N868&gt;0,ISNUMBER($Y868)),$Y868/$N868,"")</f>
        <v/>
      </c>
    </row>
    <row r="869" customFormat="false" ht="15" hidden="false" customHeight="true" outlineLevel="0" collapsed="false">
      <c r="A869" s="441" t="n">
        <v>8</v>
      </c>
      <c r="B869" s="157" t="n">
        <v>865</v>
      </c>
      <c r="AI869" s="157" t="e">
        <f aca="false">IF(AND($E869=Subj_OccCode,Subj_BldgSF&gt;0,ABS($L869-Subj_BldgSF)&lt;=Subj_BldgSF*Subj_SizeTol),ABS($L869-Subj_BldgSF),NA())</f>
        <v>#N/A</v>
      </c>
      <c r="AJ869" s="1" t="e">
        <f aca="false">IF(ISNA(AI869),NA(),AI869+ROW()/10000000)</f>
        <v>#N/A</v>
      </c>
      <c r="AK869" s="157" t="str">
        <f aca="false">IF(AND(ISNUMBER($N869),$N869&gt;0,ISNUMBER($Y869)),$Y869/$N869,"")</f>
        <v/>
      </c>
    </row>
    <row r="870" customFormat="false" ht="15" hidden="false" customHeight="true" outlineLevel="0" collapsed="false">
      <c r="A870" s="441" t="n">
        <v>8</v>
      </c>
      <c r="B870" s="157" t="n">
        <v>866</v>
      </c>
      <c r="AI870" s="157" t="e">
        <f aca="false">IF(AND($E870=Subj_OccCode,Subj_BldgSF&gt;0,ABS($L870-Subj_BldgSF)&lt;=Subj_BldgSF*Subj_SizeTol),ABS($L870-Subj_BldgSF),NA())</f>
        <v>#N/A</v>
      </c>
      <c r="AJ870" s="1" t="e">
        <f aca="false">IF(ISNA(AI870),NA(),AI870+ROW()/10000000)</f>
        <v>#N/A</v>
      </c>
      <c r="AK870" s="157" t="str">
        <f aca="false">IF(AND(ISNUMBER($N870),$N870&gt;0,ISNUMBER($Y870)),$Y870/$N870,"")</f>
        <v/>
      </c>
    </row>
    <row r="871" customFormat="false" ht="15" hidden="false" customHeight="true" outlineLevel="0" collapsed="false">
      <c r="A871" s="441" t="n">
        <v>8</v>
      </c>
      <c r="B871" s="157" t="n">
        <v>867</v>
      </c>
      <c r="AI871" s="157" t="e">
        <f aca="false">IF(AND($E871=Subj_OccCode,Subj_BldgSF&gt;0,ABS($L871-Subj_BldgSF)&lt;=Subj_BldgSF*Subj_SizeTol),ABS($L871-Subj_BldgSF),NA())</f>
        <v>#N/A</v>
      </c>
      <c r="AJ871" s="1" t="e">
        <f aca="false">IF(ISNA(AI871),NA(),AI871+ROW()/10000000)</f>
        <v>#N/A</v>
      </c>
      <c r="AK871" s="157" t="str">
        <f aca="false">IF(AND(ISNUMBER($N871),$N871&gt;0,ISNUMBER($Y871)),$Y871/$N871,"")</f>
        <v/>
      </c>
    </row>
    <row r="872" customFormat="false" ht="15" hidden="false" customHeight="true" outlineLevel="0" collapsed="false">
      <c r="A872" s="441" t="n">
        <v>8</v>
      </c>
      <c r="B872" s="157" t="n">
        <v>868</v>
      </c>
      <c r="AI872" s="157" t="e">
        <f aca="false">IF(AND($E872=Subj_OccCode,Subj_BldgSF&gt;0,ABS($L872-Subj_BldgSF)&lt;=Subj_BldgSF*Subj_SizeTol),ABS($L872-Subj_BldgSF),NA())</f>
        <v>#N/A</v>
      </c>
      <c r="AJ872" s="1" t="e">
        <f aca="false">IF(ISNA(AI872),NA(),AI872+ROW()/10000000)</f>
        <v>#N/A</v>
      </c>
      <c r="AK872" s="157" t="str">
        <f aca="false">IF(AND(ISNUMBER($N872),$N872&gt;0,ISNUMBER($Y872)),$Y872/$N872,"")</f>
        <v/>
      </c>
    </row>
    <row r="873" customFormat="false" ht="15" hidden="false" customHeight="true" outlineLevel="0" collapsed="false">
      <c r="A873" s="441" t="n">
        <v>8</v>
      </c>
      <c r="B873" s="157" t="n">
        <v>869</v>
      </c>
      <c r="AI873" s="157" t="e">
        <f aca="false">IF(AND($E873=Subj_OccCode,Subj_BldgSF&gt;0,ABS($L873-Subj_BldgSF)&lt;=Subj_BldgSF*Subj_SizeTol),ABS($L873-Subj_BldgSF),NA())</f>
        <v>#N/A</v>
      </c>
      <c r="AJ873" s="1" t="e">
        <f aca="false">IF(ISNA(AI873),NA(),AI873+ROW()/10000000)</f>
        <v>#N/A</v>
      </c>
      <c r="AK873" s="157" t="str">
        <f aca="false">IF(AND(ISNUMBER($N873),$N873&gt;0,ISNUMBER($Y873)),$Y873/$N873,"")</f>
        <v/>
      </c>
    </row>
    <row r="874" customFormat="false" ht="15" hidden="false" customHeight="true" outlineLevel="0" collapsed="false">
      <c r="A874" s="441" t="n">
        <v>8</v>
      </c>
      <c r="B874" s="157" t="n">
        <v>870</v>
      </c>
      <c r="AI874" s="157" t="e">
        <f aca="false">IF(AND($E874=Subj_OccCode,Subj_BldgSF&gt;0,ABS($L874-Subj_BldgSF)&lt;=Subj_BldgSF*Subj_SizeTol),ABS($L874-Subj_BldgSF),NA())</f>
        <v>#N/A</v>
      </c>
      <c r="AJ874" s="1" t="e">
        <f aca="false">IF(ISNA(AI874),NA(),AI874+ROW()/10000000)</f>
        <v>#N/A</v>
      </c>
      <c r="AK874" s="157" t="str">
        <f aca="false">IF(AND(ISNUMBER($N874),$N874&gt;0,ISNUMBER($Y874)),$Y874/$N874,"")</f>
        <v/>
      </c>
    </row>
    <row r="875" customFormat="false" ht="15" hidden="false" customHeight="true" outlineLevel="0" collapsed="false">
      <c r="A875" s="441" t="n">
        <v>8</v>
      </c>
      <c r="B875" s="157" t="n">
        <v>871</v>
      </c>
      <c r="AI875" s="157" t="e">
        <f aca="false">IF(AND($E875=Subj_OccCode,Subj_BldgSF&gt;0,ABS($L875-Subj_BldgSF)&lt;=Subj_BldgSF*Subj_SizeTol),ABS($L875-Subj_BldgSF),NA())</f>
        <v>#N/A</v>
      </c>
      <c r="AJ875" s="1" t="e">
        <f aca="false">IF(ISNA(AI875),NA(),AI875+ROW()/10000000)</f>
        <v>#N/A</v>
      </c>
      <c r="AK875" s="157" t="str">
        <f aca="false">IF(AND(ISNUMBER($N875),$N875&gt;0,ISNUMBER($Y875)),$Y875/$N875,"")</f>
        <v/>
      </c>
    </row>
    <row r="876" customFormat="false" ht="15" hidden="false" customHeight="true" outlineLevel="0" collapsed="false">
      <c r="A876" s="441" t="n">
        <v>8</v>
      </c>
      <c r="B876" s="157" t="n">
        <v>872</v>
      </c>
      <c r="AI876" s="157" t="e">
        <f aca="false">IF(AND($E876=Subj_OccCode,Subj_BldgSF&gt;0,ABS($L876-Subj_BldgSF)&lt;=Subj_BldgSF*Subj_SizeTol),ABS($L876-Subj_BldgSF),NA())</f>
        <v>#N/A</v>
      </c>
      <c r="AJ876" s="1" t="e">
        <f aca="false">IF(ISNA(AI876),NA(),AI876+ROW()/10000000)</f>
        <v>#N/A</v>
      </c>
      <c r="AK876" s="157" t="str">
        <f aca="false">IF(AND(ISNUMBER($N876),$N876&gt;0,ISNUMBER($Y876)),$Y876/$N876,"")</f>
        <v/>
      </c>
    </row>
    <row r="877" customFormat="false" ht="15" hidden="false" customHeight="true" outlineLevel="0" collapsed="false">
      <c r="A877" s="441" t="n">
        <v>8</v>
      </c>
      <c r="B877" s="157" t="n">
        <v>873</v>
      </c>
      <c r="AI877" s="157" t="e">
        <f aca="false">IF(AND($E877=Subj_OccCode,Subj_BldgSF&gt;0,ABS($L877-Subj_BldgSF)&lt;=Subj_BldgSF*Subj_SizeTol),ABS($L877-Subj_BldgSF),NA())</f>
        <v>#N/A</v>
      </c>
      <c r="AJ877" s="1" t="e">
        <f aca="false">IF(ISNA(AI877),NA(),AI877+ROW()/10000000)</f>
        <v>#N/A</v>
      </c>
      <c r="AK877" s="157" t="str">
        <f aca="false">IF(AND(ISNUMBER($N877),$N877&gt;0,ISNUMBER($Y877)),$Y877/$N877,"")</f>
        <v/>
      </c>
    </row>
    <row r="878" customFormat="false" ht="15" hidden="false" customHeight="true" outlineLevel="0" collapsed="false">
      <c r="A878" s="441" t="n">
        <v>8</v>
      </c>
      <c r="B878" s="157" t="n">
        <v>874</v>
      </c>
      <c r="AI878" s="157" t="e">
        <f aca="false">IF(AND($E878=Subj_OccCode,Subj_BldgSF&gt;0,ABS($L878-Subj_BldgSF)&lt;=Subj_BldgSF*Subj_SizeTol),ABS($L878-Subj_BldgSF),NA())</f>
        <v>#N/A</v>
      </c>
      <c r="AJ878" s="1" t="e">
        <f aca="false">IF(ISNA(AI878),NA(),AI878+ROW()/10000000)</f>
        <v>#N/A</v>
      </c>
      <c r="AK878" s="157" t="str">
        <f aca="false">IF(AND(ISNUMBER($N878),$N878&gt;0,ISNUMBER($Y878)),$Y878/$N878,"")</f>
        <v/>
      </c>
    </row>
    <row r="879" customFormat="false" ht="15" hidden="false" customHeight="true" outlineLevel="0" collapsed="false">
      <c r="A879" s="441" t="n">
        <v>8</v>
      </c>
      <c r="B879" s="157" t="n">
        <v>875</v>
      </c>
      <c r="AI879" s="157" t="e">
        <f aca="false">IF(AND($E879=Subj_OccCode,Subj_BldgSF&gt;0,ABS($L879-Subj_BldgSF)&lt;=Subj_BldgSF*Subj_SizeTol),ABS($L879-Subj_BldgSF),NA())</f>
        <v>#N/A</v>
      </c>
      <c r="AJ879" s="1" t="e">
        <f aca="false">IF(ISNA(AI879),NA(),AI879+ROW()/10000000)</f>
        <v>#N/A</v>
      </c>
      <c r="AK879" s="157" t="str">
        <f aca="false">IF(AND(ISNUMBER($N879),$N879&gt;0,ISNUMBER($Y879)),$Y879/$N879,"")</f>
        <v/>
      </c>
    </row>
    <row r="880" customFormat="false" ht="15" hidden="false" customHeight="true" outlineLevel="0" collapsed="false">
      <c r="A880" s="441" t="n">
        <v>8</v>
      </c>
      <c r="B880" s="157" t="n">
        <v>876</v>
      </c>
      <c r="AI880" s="157" t="e">
        <f aca="false">IF(AND($E880=Subj_OccCode,Subj_BldgSF&gt;0,ABS($L880-Subj_BldgSF)&lt;=Subj_BldgSF*Subj_SizeTol),ABS($L880-Subj_BldgSF),NA())</f>
        <v>#N/A</v>
      </c>
      <c r="AJ880" s="1" t="e">
        <f aca="false">IF(ISNA(AI880),NA(),AI880+ROW()/10000000)</f>
        <v>#N/A</v>
      </c>
      <c r="AK880" s="157" t="str">
        <f aca="false">IF(AND(ISNUMBER($N880),$N880&gt;0,ISNUMBER($Y880)),$Y880/$N880,"")</f>
        <v/>
      </c>
    </row>
    <row r="881" customFormat="false" ht="15" hidden="false" customHeight="true" outlineLevel="0" collapsed="false">
      <c r="A881" s="441" t="n">
        <v>8</v>
      </c>
      <c r="B881" s="157" t="n">
        <v>877</v>
      </c>
      <c r="AI881" s="157" t="e">
        <f aca="false">IF(AND($E881=Subj_OccCode,Subj_BldgSF&gt;0,ABS($L881-Subj_BldgSF)&lt;=Subj_BldgSF*Subj_SizeTol),ABS($L881-Subj_BldgSF),NA())</f>
        <v>#N/A</v>
      </c>
      <c r="AJ881" s="1" t="e">
        <f aca="false">IF(ISNA(AI881),NA(),AI881+ROW()/10000000)</f>
        <v>#N/A</v>
      </c>
      <c r="AK881" s="157" t="str">
        <f aca="false">IF(AND(ISNUMBER($N881),$N881&gt;0,ISNUMBER($Y881)),$Y881/$N881,"")</f>
        <v/>
      </c>
    </row>
    <row r="882" customFormat="false" ht="15" hidden="false" customHeight="true" outlineLevel="0" collapsed="false">
      <c r="A882" s="441" t="n">
        <v>8</v>
      </c>
      <c r="B882" s="157" t="n">
        <v>878</v>
      </c>
      <c r="AI882" s="157" t="e">
        <f aca="false">IF(AND($E882=Subj_OccCode,Subj_BldgSF&gt;0,ABS($L882-Subj_BldgSF)&lt;=Subj_BldgSF*Subj_SizeTol),ABS($L882-Subj_BldgSF),NA())</f>
        <v>#N/A</v>
      </c>
      <c r="AJ882" s="1" t="e">
        <f aca="false">IF(ISNA(AI882),NA(),AI882+ROW()/10000000)</f>
        <v>#N/A</v>
      </c>
      <c r="AK882" s="157" t="str">
        <f aca="false">IF(AND(ISNUMBER($N882),$N882&gt;0,ISNUMBER($Y882)),$Y882/$N882,"")</f>
        <v/>
      </c>
    </row>
    <row r="883" customFormat="false" ht="15" hidden="false" customHeight="true" outlineLevel="0" collapsed="false">
      <c r="A883" s="441" t="n">
        <v>8</v>
      </c>
      <c r="B883" s="157" t="n">
        <v>879</v>
      </c>
      <c r="AI883" s="157" t="e">
        <f aca="false">IF(AND($E883=Subj_OccCode,Subj_BldgSF&gt;0,ABS($L883-Subj_BldgSF)&lt;=Subj_BldgSF*Subj_SizeTol),ABS($L883-Subj_BldgSF),NA())</f>
        <v>#N/A</v>
      </c>
      <c r="AJ883" s="1" t="e">
        <f aca="false">IF(ISNA(AI883),NA(),AI883+ROW()/10000000)</f>
        <v>#N/A</v>
      </c>
      <c r="AK883" s="157" t="str">
        <f aca="false">IF(AND(ISNUMBER($N883),$N883&gt;0,ISNUMBER($Y883)),$Y883/$N883,"")</f>
        <v/>
      </c>
    </row>
    <row r="884" customFormat="false" ht="15" hidden="false" customHeight="true" outlineLevel="0" collapsed="false">
      <c r="A884" s="441" t="n">
        <v>8</v>
      </c>
      <c r="B884" s="157" t="n">
        <v>880</v>
      </c>
      <c r="AI884" s="157" t="e">
        <f aca="false">IF(AND($E884=Subj_OccCode,Subj_BldgSF&gt;0,ABS($L884-Subj_BldgSF)&lt;=Subj_BldgSF*Subj_SizeTol),ABS($L884-Subj_BldgSF),NA())</f>
        <v>#N/A</v>
      </c>
      <c r="AJ884" s="1" t="e">
        <f aca="false">IF(ISNA(AI884),NA(),AI884+ROW()/10000000)</f>
        <v>#N/A</v>
      </c>
      <c r="AK884" s="157" t="str">
        <f aca="false">IF(AND(ISNUMBER($N884),$N884&gt;0,ISNUMBER($Y884)),$Y884/$N884,"")</f>
        <v/>
      </c>
    </row>
    <row r="885" customFormat="false" ht="15" hidden="false" customHeight="true" outlineLevel="0" collapsed="false">
      <c r="A885" s="441" t="n">
        <v>8</v>
      </c>
      <c r="B885" s="157" t="n">
        <v>881</v>
      </c>
      <c r="AI885" s="157" t="e">
        <f aca="false">IF(AND($E885=Subj_OccCode,Subj_BldgSF&gt;0,ABS($L885-Subj_BldgSF)&lt;=Subj_BldgSF*Subj_SizeTol),ABS($L885-Subj_BldgSF),NA())</f>
        <v>#N/A</v>
      </c>
      <c r="AJ885" s="1" t="e">
        <f aca="false">IF(ISNA(AI885),NA(),AI885+ROW()/10000000)</f>
        <v>#N/A</v>
      </c>
      <c r="AK885" s="157" t="str">
        <f aca="false">IF(AND(ISNUMBER($N885),$N885&gt;0,ISNUMBER($Y885)),$Y885/$N885,"")</f>
        <v/>
      </c>
    </row>
    <row r="886" customFormat="false" ht="15" hidden="false" customHeight="true" outlineLevel="0" collapsed="false">
      <c r="A886" s="441" t="n">
        <v>8</v>
      </c>
      <c r="B886" s="157" t="n">
        <v>882</v>
      </c>
      <c r="AI886" s="157" t="e">
        <f aca="false">IF(AND($E886=Subj_OccCode,Subj_BldgSF&gt;0,ABS($L886-Subj_BldgSF)&lt;=Subj_BldgSF*Subj_SizeTol),ABS($L886-Subj_BldgSF),NA())</f>
        <v>#N/A</v>
      </c>
      <c r="AJ886" s="1" t="e">
        <f aca="false">IF(ISNA(AI886),NA(),AI886+ROW()/10000000)</f>
        <v>#N/A</v>
      </c>
      <c r="AK886" s="157" t="str">
        <f aca="false">IF(AND(ISNUMBER($N886),$N886&gt;0,ISNUMBER($Y886)),$Y886/$N886,"")</f>
        <v/>
      </c>
    </row>
    <row r="887" customFormat="false" ht="15" hidden="false" customHeight="true" outlineLevel="0" collapsed="false">
      <c r="A887" s="441" t="n">
        <v>8</v>
      </c>
      <c r="B887" s="157" t="n">
        <v>883</v>
      </c>
      <c r="AI887" s="157" t="e">
        <f aca="false">IF(AND($E887=Subj_OccCode,Subj_BldgSF&gt;0,ABS($L887-Subj_BldgSF)&lt;=Subj_BldgSF*Subj_SizeTol),ABS($L887-Subj_BldgSF),NA())</f>
        <v>#N/A</v>
      </c>
      <c r="AJ887" s="1" t="e">
        <f aca="false">IF(ISNA(AI887),NA(),AI887+ROW()/10000000)</f>
        <v>#N/A</v>
      </c>
      <c r="AK887" s="157" t="str">
        <f aca="false">IF(AND(ISNUMBER($N887),$N887&gt;0,ISNUMBER($Y887)),$Y887/$N887,"")</f>
        <v/>
      </c>
    </row>
    <row r="888" customFormat="false" ht="15" hidden="false" customHeight="true" outlineLevel="0" collapsed="false">
      <c r="A888" s="441" t="n">
        <v>8</v>
      </c>
      <c r="B888" s="157" t="n">
        <v>884</v>
      </c>
      <c r="AI888" s="157" t="e">
        <f aca="false">IF(AND($E888=Subj_OccCode,Subj_BldgSF&gt;0,ABS($L888-Subj_BldgSF)&lt;=Subj_BldgSF*Subj_SizeTol),ABS($L888-Subj_BldgSF),NA())</f>
        <v>#N/A</v>
      </c>
      <c r="AJ888" s="1" t="e">
        <f aca="false">IF(ISNA(AI888),NA(),AI888+ROW()/10000000)</f>
        <v>#N/A</v>
      </c>
      <c r="AK888" s="157" t="str">
        <f aca="false">IF(AND(ISNUMBER($N888),$N888&gt;0,ISNUMBER($Y888)),$Y888/$N888,"")</f>
        <v/>
      </c>
    </row>
    <row r="889" customFormat="false" ht="15" hidden="false" customHeight="true" outlineLevel="0" collapsed="false">
      <c r="A889" s="441" t="n">
        <v>8</v>
      </c>
      <c r="B889" s="157" t="n">
        <v>885</v>
      </c>
      <c r="AI889" s="157" t="e">
        <f aca="false">IF(AND($E889=Subj_OccCode,Subj_BldgSF&gt;0,ABS($L889-Subj_BldgSF)&lt;=Subj_BldgSF*Subj_SizeTol),ABS($L889-Subj_BldgSF),NA())</f>
        <v>#N/A</v>
      </c>
      <c r="AJ889" s="1" t="e">
        <f aca="false">IF(ISNA(AI889),NA(),AI889+ROW()/10000000)</f>
        <v>#N/A</v>
      </c>
      <c r="AK889" s="157" t="str">
        <f aca="false">IF(AND(ISNUMBER($N889),$N889&gt;0,ISNUMBER($Y889)),$Y889/$N889,"")</f>
        <v/>
      </c>
    </row>
    <row r="890" customFormat="false" ht="15" hidden="false" customHeight="true" outlineLevel="0" collapsed="false">
      <c r="A890" s="441" t="n">
        <v>8</v>
      </c>
      <c r="B890" s="157" t="n">
        <v>886</v>
      </c>
      <c r="AI890" s="157" t="e">
        <f aca="false">IF(AND($E890=Subj_OccCode,Subj_BldgSF&gt;0,ABS($L890-Subj_BldgSF)&lt;=Subj_BldgSF*Subj_SizeTol),ABS($L890-Subj_BldgSF),NA())</f>
        <v>#N/A</v>
      </c>
      <c r="AJ890" s="1" t="e">
        <f aca="false">IF(ISNA(AI890),NA(),AI890+ROW()/10000000)</f>
        <v>#N/A</v>
      </c>
      <c r="AK890" s="157" t="str">
        <f aca="false">IF(AND(ISNUMBER($N890),$N890&gt;0,ISNUMBER($Y890)),$Y890/$N890,"")</f>
        <v/>
      </c>
    </row>
    <row r="891" customFormat="false" ht="15" hidden="false" customHeight="true" outlineLevel="0" collapsed="false">
      <c r="A891" s="441" t="n">
        <v>8</v>
      </c>
      <c r="B891" s="157" t="n">
        <v>887</v>
      </c>
      <c r="AI891" s="157" t="e">
        <f aca="false">IF(AND($E891=Subj_OccCode,Subj_BldgSF&gt;0,ABS($L891-Subj_BldgSF)&lt;=Subj_BldgSF*Subj_SizeTol),ABS($L891-Subj_BldgSF),NA())</f>
        <v>#N/A</v>
      </c>
      <c r="AJ891" s="1" t="e">
        <f aca="false">IF(ISNA(AI891),NA(),AI891+ROW()/10000000)</f>
        <v>#N/A</v>
      </c>
      <c r="AK891" s="157" t="str">
        <f aca="false">IF(AND(ISNUMBER($N891),$N891&gt;0,ISNUMBER($Y891)),$Y891/$N891,"")</f>
        <v/>
      </c>
    </row>
    <row r="892" customFormat="false" ht="15" hidden="false" customHeight="true" outlineLevel="0" collapsed="false">
      <c r="A892" s="441" t="n">
        <v>8</v>
      </c>
      <c r="B892" s="157" t="n">
        <v>888</v>
      </c>
      <c r="AI892" s="157" t="e">
        <f aca="false">IF(AND($E892=Subj_OccCode,Subj_BldgSF&gt;0,ABS($L892-Subj_BldgSF)&lt;=Subj_BldgSF*Subj_SizeTol),ABS($L892-Subj_BldgSF),NA())</f>
        <v>#N/A</v>
      </c>
      <c r="AJ892" s="1" t="e">
        <f aca="false">IF(ISNA(AI892),NA(),AI892+ROW()/10000000)</f>
        <v>#N/A</v>
      </c>
      <c r="AK892" s="157" t="str">
        <f aca="false">IF(AND(ISNUMBER($N892),$N892&gt;0,ISNUMBER($Y892)),$Y892/$N892,"")</f>
        <v/>
      </c>
    </row>
    <row r="893" customFormat="false" ht="15" hidden="false" customHeight="true" outlineLevel="0" collapsed="false">
      <c r="A893" s="441" t="n">
        <v>8</v>
      </c>
      <c r="B893" s="157" t="n">
        <v>889</v>
      </c>
      <c r="AI893" s="157" t="e">
        <f aca="false">IF(AND($E893=Subj_OccCode,Subj_BldgSF&gt;0,ABS($L893-Subj_BldgSF)&lt;=Subj_BldgSF*Subj_SizeTol),ABS($L893-Subj_BldgSF),NA())</f>
        <v>#N/A</v>
      </c>
      <c r="AJ893" s="1" t="e">
        <f aca="false">IF(ISNA(AI893),NA(),AI893+ROW()/10000000)</f>
        <v>#N/A</v>
      </c>
      <c r="AK893" s="157" t="str">
        <f aca="false">IF(AND(ISNUMBER($N893),$N893&gt;0,ISNUMBER($Y893)),$Y893/$N893,"")</f>
        <v/>
      </c>
    </row>
    <row r="894" customFormat="false" ht="15" hidden="false" customHeight="true" outlineLevel="0" collapsed="false">
      <c r="A894" s="441" t="n">
        <v>8</v>
      </c>
      <c r="B894" s="157" t="n">
        <v>890</v>
      </c>
      <c r="AI894" s="157" t="e">
        <f aca="false">IF(AND($E894=Subj_OccCode,Subj_BldgSF&gt;0,ABS($L894-Subj_BldgSF)&lt;=Subj_BldgSF*Subj_SizeTol),ABS($L894-Subj_BldgSF),NA())</f>
        <v>#N/A</v>
      </c>
      <c r="AJ894" s="1" t="e">
        <f aca="false">IF(ISNA(AI894),NA(),AI894+ROW()/10000000)</f>
        <v>#N/A</v>
      </c>
      <c r="AK894" s="157" t="str">
        <f aca="false">IF(AND(ISNUMBER($N894),$N894&gt;0,ISNUMBER($Y894)),$Y894/$N894,"")</f>
        <v/>
      </c>
    </row>
    <row r="895" customFormat="false" ht="15" hidden="false" customHeight="true" outlineLevel="0" collapsed="false">
      <c r="A895" s="441" t="n">
        <v>8</v>
      </c>
      <c r="B895" s="157" t="n">
        <v>891</v>
      </c>
      <c r="AI895" s="157" t="e">
        <f aca="false">IF(AND($E895=Subj_OccCode,Subj_BldgSF&gt;0,ABS($L895-Subj_BldgSF)&lt;=Subj_BldgSF*Subj_SizeTol),ABS($L895-Subj_BldgSF),NA())</f>
        <v>#N/A</v>
      </c>
      <c r="AJ895" s="1" t="e">
        <f aca="false">IF(ISNA(AI895),NA(),AI895+ROW()/10000000)</f>
        <v>#N/A</v>
      </c>
      <c r="AK895" s="157" t="str">
        <f aca="false">IF(AND(ISNUMBER($N895),$N895&gt;0,ISNUMBER($Y895)),$Y895/$N895,"")</f>
        <v/>
      </c>
    </row>
    <row r="896" customFormat="false" ht="15" hidden="false" customHeight="true" outlineLevel="0" collapsed="false">
      <c r="A896" s="441" t="n">
        <v>8</v>
      </c>
      <c r="B896" s="157" t="n">
        <v>892</v>
      </c>
      <c r="AI896" s="157" t="e">
        <f aca="false">IF(AND($E896=Subj_OccCode,Subj_BldgSF&gt;0,ABS($L896-Subj_BldgSF)&lt;=Subj_BldgSF*Subj_SizeTol),ABS($L896-Subj_BldgSF),NA())</f>
        <v>#N/A</v>
      </c>
      <c r="AJ896" s="1" t="e">
        <f aca="false">IF(ISNA(AI896),NA(),AI896+ROW()/10000000)</f>
        <v>#N/A</v>
      </c>
      <c r="AK896" s="157" t="str">
        <f aca="false">IF(AND(ISNUMBER($N896),$N896&gt;0,ISNUMBER($Y896)),$Y896/$N896,"")</f>
        <v/>
      </c>
    </row>
    <row r="897" customFormat="false" ht="15" hidden="false" customHeight="true" outlineLevel="0" collapsed="false">
      <c r="A897" s="441" t="n">
        <v>8</v>
      </c>
      <c r="B897" s="157" t="n">
        <v>893</v>
      </c>
      <c r="AI897" s="157" t="e">
        <f aca="false">IF(AND($E897=Subj_OccCode,Subj_BldgSF&gt;0,ABS($L897-Subj_BldgSF)&lt;=Subj_BldgSF*Subj_SizeTol),ABS($L897-Subj_BldgSF),NA())</f>
        <v>#N/A</v>
      </c>
      <c r="AJ897" s="1" t="e">
        <f aca="false">IF(ISNA(AI897),NA(),AI897+ROW()/10000000)</f>
        <v>#N/A</v>
      </c>
      <c r="AK897" s="157" t="str">
        <f aca="false">IF(AND(ISNUMBER($N897),$N897&gt;0,ISNUMBER($Y897)),$Y897/$N897,"")</f>
        <v/>
      </c>
    </row>
    <row r="898" customFormat="false" ht="15" hidden="false" customHeight="true" outlineLevel="0" collapsed="false">
      <c r="A898" s="441" t="n">
        <v>8</v>
      </c>
      <c r="B898" s="157" t="n">
        <v>894</v>
      </c>
      <c r="AI898" s="157" t="e">
        <f aca="false">IF(AND($E898=Subj_OccCode,Subj_BldgSF&gt;0,ABS($L898-Subj_BldgSF)&lt;=Subj_BldgSF*Subj_SizeTol),ABS($L898-Subj_BldgSF),NA())</f>
        <v>#N/A</v>
      </c>
      <c r="AJ898" s="1" t="e">
        <f aca="false">IF(ISNA(AI898),NA(),AI898+ROW()/10000000)</f>
        <v>#N/A</v>
      </c>
      <c r="AK898" s="157" t="str">
        <f aca="false">IF(AND(ISNUMBER($N898),$N898&gt;0,ISNUMBER($Y898)),$Y898/$N898,"")</f>
        <v/>
      </c>
    </row>
    <row r="899" customFormat="false" ht="15" hidden="false" customHeight="true" outlineLevel="0" collapsed="false">
      <c r="A899" s="441" t="n">
        <v>8</v>
      </c>
      <c r="B899" s="157" t="n">
        <v>895</v>
      </c>
      <c r="AI899" s="157" t="e">
        <f aca="false">IF(AND($E899=Subj_OccCode,Subj_BldgSF&gt;0,ABS($L899-Subj_BldgSF)&lt;=Subj_BldgSF*Subj_SizeTol),ABS($L899-Subj_BldgSF),NA())</f>
        <v>#N/A</v>
      </c>
      <c r="AJ899" s="1" t="e">
        <f aca="false">IF(ISNA(AI899),NA(),AI899+ROW()/10000000)</f>
        <v>#N/A</v>
      </c>
      <c r="AK899" s="157" t="str">
        <f aca="false">IF(AND(ISNUMBER($N899),$N899&gt;0,ISNUMBER($Y899)),$Y899/$N899,"")</f>
        <v/>
      </c>
    </row>
    <row r="900" customFormat="false" ht="15" hidden="false" customHeight="true" outlineLevel="0" collapsed="false">
      <c r="A900" s="441" t="n">
        <v>8</v>
      </c>
      <c r="B900" s="157" t="n">
        <v>896</v>
      </c>
      <c r="AI900" s="157" t="e">
        <f aca="false">IF(AND($E900=Subj_OccCode,Subj_BldgSF&gt;0,ABS($L900-Subj_BldgSF)&lt;=Subj_BldgSF*Subj_SizeTol),ABS($L900-Subj_BldgSF),NA())</f>
        <v>#N/A</v>
      </c>
      <c r="AJ900" s="1" t="e">
        <f aca="false">IF(ISNA(AI900),NA(),AI900+ROW()/10000000)</f>
        <v>#N/A</v>
      </c>
      <c r="AK900" s="157" t="str">
        <f aca="false">IF(AND(ISNUMBER($N900),$N900&gt;0,ISNUMBER($Y900)),$Y900/$N900,"")</f>
        <v/>
      </c>
    </row>
    <row r="901" customFormat="false" ht="15" hidden="false" customHeight="true" outlineLevel="0" collapsed="false">
      <c r="A901" s="441" t="n">
        <v>8</v>
      </c>
      <c r="B901" s="157" t="n">
        <v>897</v>
      </c>
      <c r="AI901" s="157" t="e">
        <f aca="false">IF(AND($E901=Subj_OccCode,Subj_BldgSF&gt;0,ABS($L901-Subj_BldgSF)&lt;=Subj_BldgSF*Subj_SizeTol),ABS($L901-Subj_BldgSF),NA())</f>
        <v>#N/A</v>
      </c>
      <c r="AJ901" s="1" t="e">
        <f aca="false">IF(ISNA(AI901),NA(),AI901+ROW()/10000000)</f>
        <v>#N/A</v>
      </c>
      <c r="AK901" s="157" t="str">
        <f aca="false">IF(AND(ISNUMBER($N901),$N901&gt;0,ISNUMBER($Y901)),$Y901/$N901,"")</f>
        <v/>
      </c>
    </row>
    <row r="902" customFormat="false" ht="15" hidden="false" customHeight="true" outlineLevel="0" collapsed="false">
      <c r="A902" s="441" t="n">
        <v>8</v>
      </c>
      <c r="B902" s="157" t="n">
        <v>898</v>
      </c>
      <c r="AI902" s="157" t="e">
        <f aca="false">IF(AND($E902=Subj_OccCode,Subj_BldgSF&gt;0,ABS($L902-Subj_BldgSF)&lt;=Subj_BldgSF*Subj_SizeTol),ABS($L902-Subj_BldgSF),NA())</f>
        <v>#N/A</v>
      </c>
      <c r="AJ902" s="1" t="e">
        <f aca="false">IF(ISNA(AI902),NA(),AI902+ROW()/10000000)</f>
        <v>#N/A</v>
      </c>
      <c r="AK902" s="157" t="str">
        <f aca="false">IF(AND(ISNUMBER($N902),$N902&gt;0,ISNUMBER($Y902)),$Y902/$N902,"")</f>
        <v/>
      </c>
    </row>
    <row r="903" customFormat="false" ht="15" hidden="false" customHeight="true" outlineLevel="0" collapsed="false">
      <c r="A903" s="441" t="n">
        <v>8</v>
      </c>
      <c r="B903" s="157" t="n">
        <v>899</v>
      </c>
      <c r="AI903" s="157" t="e">
        <f aca="false">IF(AND($E903=Subj_OccCode,Subj_BldgSF&gt;0,ABS($L903-Subj_BldgSF)&lt;=Subj_BldgSF*Subj_SizeTol),ABS($L903-Subj_BldgSF),NA())</f>
        <v>#N/A</v>
      </c>
      <c r="AJ903" s="1" t="e">
        <f aca="false">IF(ISNA(AI903),NA(),AI903+ROW()/10000000)</f>
        <v>#N/A</v>
      </c>
      <c r="AK903" s="157" t="str">
        <f aca="false">IF(AND(ISNUMBER($N903),$N903&gt;0,ISNUMBER($Y903)),$Y903/$N903,"")</f>
        <v/>
      </c>
    </row>
    <row r="904" customFormat="false" ht="15" hidden="false" customHeight="true" outlineLevel="0" collapsed="false">
      <c r="A904" s="441" t="n">
        <v>8</v>
      </c>
      <c r="B904" s="157" t="n">
        <v>900</v>
      </c>
      <c r="AI904" s="157" t="e">
        <f aca="false">IF(AND($E904=Subj_OccCode,Subj_BldgSF&gt;0,ABS($L904-Subj_BldgSF)&lt;=Subj_BldgSF*Subj_SizeTol),ABS($L904-Subj_BldgSF),NA())</f>
        <v>#N/A</v>
      </c>
      <c r="AJ904" s="1" t="e">
        <f aca="false">IF(ISNA(AI904),NA(),AI904+ROW()/10000000)</f>
        <v>#N/A</v>
      </c>
      <c r="AK904" s="157" t="str">
        <f aca="false">IF(AND(ISNUMBER($N904),$N904&gt;0,ISNUMBER($Y904)),$Y904/$N904,"")</f>
        <v/>
      </c>
    </row>
    <row r="905" customFormat="false" ht="15" hidden="false" customHeight="true" outlineLevel="0" collapsed="false">
      <c r="A905" s="441" t="n">
        <v>8</v>
      </c>
      <c r="B905" s="157" t="n">
        <v>901</v>
      </c>
      <c r="AI905" s="157" t="e">
        <f aca="false">IF(AND($E905=Subj_OccCode,Subj_BldgSF&gt;0,ABS($L905-Subj_BldgSF)&lt;=Subj_BldgSF*Subj_SizeTol),ABS($L905-Subj_BldgSF),NA())</f>
        <v>#N/A</v>
      </c>
      <c r="AJ905" s="1" t="e">
        <f aca="false">IF(ISNA(AI905),NA(),AI905+ROW()/10000000)</f>
        <v>#N/A</v>
      </c>
      <c r="AK905" s="157" t="str">
        <f aca="false">IF(AND(ISNUMBER($N905),$N905&gt;0,ISNUMBER($Y905)),$Y905/$N905,"")</f>
        <v/>
      </c>
    </row>
    <row r="906" customFormat="false" ht="15" hidden="false" customHeight="true" outlineLevel="0" collapsed="false">
      <c r="A906" s="441" t="n">
        <v>8</v>
      </c>
      <c r="B906" s="157" t="n">
        <v>902</v>
      </c>
      <c r="AI906" s="157" t="e">
        <f aca="false">IF(AND($E906=Subj_OccCode,Subj_BldgSF&gt;0,ABS($L906-Subj_BldgSF)&lt;=Subj_BldgSF*Subj_SizeTol),ABS($L906-Subj_BldgSF),NA())</f>
        <v>#N/A</v>
      </c>
      <c r="AJ906" s="1" t="e">
        <f aca="false">IF(ISNA(AI906),NA(),AI906+ROW()/10000000)</f>
        <v>#N/A</v>
      </c>
      <c r="AK906" s="157" t="str">
        <f aca="false">IF(AND(ISNUMBER($N906),$N906&gt;0,ISNUMBER($Y906)),$Y906/$N906,"")</f>
        <v/>
      </c>
    </row>
    <row r="907" customFormat="false" ht="15" hidden="false" customHeight="true" outlineLevel="0" collapsed="false">
      <c r="A907" s="441" t="n">
        <v>8</v>
      </c>
      <c r="B907" s="157" t="n">
        <v>903</v>
      </c>
      <c r="AI907" s="157" t="e">
        <f aca="false">IF(AND($E907=Subj_OccCode,Subj_BldgSF&gt;0,ABS($L907-Subj_BldgSF)&lt;=Subj_BldgSF*Subj_SizeTol),ABS($L907-Subj_BldgSF),NA())</f>
        <v>#N/A</v>
      </c>
      <c r="AJ907" s="1" t="e">
        <f aca="false">IF(ISNA(AI907),NA(),AI907+ROW()/10000000)</f>
        <v>#N/A</v>
      </c>
      <c r="AK907" s="157" t="str">
        <f aca="false">IF(AND(ISNUMBER($N907),$N907&gt;0,ISNUMBER($Y907)),$Y907/$N907,"")</f>
        <v/>
      </c>
    </row>
    <row r="908" customFormat="false" ht="15" hidden="false" customHeight="true" outlineLevel="0" collapsed="false">
      <c r="A908" s="441" t="n">
        <v>8</v>
      </c>
      <c r="B908" s="157" t="n">
        <v>904</v>
      </c>
      <c r="AI908" s="157" t="e">
        <f aca="false">IF(AND($E908=Subj_OccCode,Subj_BldgSF&gt;0,ABS($L908-Subj_BldgSF)&lt;=Subj_BldgSF*Subj_SizeTol),ABS($L908-Subj_BldgSF),NA())</f>
        <v>#N/A</v>
      </c>
      <c r="AJ908" s="1" t="e">
        <f aca="false">IF(ISNA(AI908),NA(),AI908+ROW()/10000000)</f>
        <v>#N/A</v>
      </c>
      <c r="AK908" s="157" t="str">
        <f aca="false">IF(AND(ISNUMBER($N908),$N908&gt;0,ISNUMBER($Y908)),$Y908/$N908,"")</f>
        <v/>
      </c>
    </row>
    <row r="909" customFormat="false" ht="15" hidden="false" customHeight="true" outlineLevel="0" collapsed="false">
      <c r="A909" s="441" t="n">
        <v>8</v>
      </c>
      <c r="B909" s="157" t="n">
        <v>905</v>
      </c>
      <c r="AI909" s="157" t="e">
        <f aca="false">IF(AND($E909=Subj_OccCode,Subj_BldgSF&gt;0,ABS($L909-Subj_BldgSF)&lt;=Subj_BldgSF*Subj_SizeTol),ABS($L909-Subj_BldgSF),NA())</f>
        <v>#N/A</v>
      </c>
      <c r="AJ909" s="1" t="e">
        <f aca="false">IF(ISNA(AI909),NA(),AI909+ROW()/10000000)</f>
        <v>#N/A</v>
      </c>
      <c r="AK909" s="157" t="str">
        <f aca="false">IF(AND(ISNUMBER($N909),$N909&gt;0,ISNUMBER($Y909)),$Y909/$N909,"")</f>
        <v/>
      </c>
    </row>
    <row r="910" customFormat="false" ht="15" hidden="false" customHeight="true" outlineLevel="0" collapsed="false">
      <c r="A910" s="441" t="n">
        <v>8</v>
      </c>
      <c r="B910" s="157" t="n">
        <v>906</v>
      </c>
      <c r="AI910" s="157" t="e">
        <f aca="false">IF(AND($E910=Subj_OccCode,Subj_BldgSF&gt;0,ABS($L910-Subj_BldgSF)&lt;=Subj_BldgSF*Subj_SizeTol),ABS($L910-Subj_BldgSF),NA())</f>
        <v>#N/A</v>
      </c>
      <c r="AJ910" s="1" t="e">
        <f aca="false">IF(ISNA(AI910),NA(),AI910+ROW()/10000000)</f>
        <v>#N/A</v>
      </c>
      <c r="AK910" s="157" t="str">
        <f aca="false">IF(AND(ISNUMBER($N910),$N910&gt;0,ISNUMBER($Y910)),$Y910/$N910,"")</f>
        <v/>
      </c>
    </row>
    <row r="911" customFormat="false" ht="15" hidden="false" customHeight="true" outlineLevel="0" collapsed="false">
      <c r="A911" s="441" t="n">
        <v>8</v>
      </c>
      <c r="B911" s="157" t="n">
        <v>907</v>
      </c>
      <c r="AI911" s="157" t="e">
        <f aca="false">IF(AND($E911=Subj_OccCode,Subj_BldgSF&gt;0,ABS($L911-Subj_BldgSF)&lt;=Subj_BldgSF*Subj_SizeTol),ABS($L911-Subj_BldgSF),NA())</f>
        <v>#N/A</v>
      </c>
      <c r="AJ911" s="1" t="e">
        <f aca="false">IF(ISNA(AI911),NA(),AI911+ROW()/10000000)</f>
        <v>#N/A</v>
      </c>
      <c r="AK911" s="157" t="str">
        <f aca="false">IF(AND(ISNUMBER($N911),$N911&gt;0,ISNUMBER($Y911)),$Y911/$N911,"")</f>
        <v/>
      </c>
    </row>
    <row r="912" customFormat="false" ht="15" hidden="false" customHeight="true" outlineLevel="0" collapsed="false">
      <c r="A912" s="441" t="n">
        <v>8</v>
      </c>
      <c r="B912" s="157" t="n">
        <v>908</v>
      </c>
      <c r="AI912" s="157" t="e">
        <f aca="false">IF(AND($E912=Subj_OccCode,Subj_BldgSF&gt;0,ABS($L912-Subj_BldgSF)&lt;=Subj_BldgSF*Subj_SizeTol),ABS($L912-Subj_BldgSF),NA())</f>
        <v>#N/A</v>
      </c>
      <c r="AJ912" s="1" t="e">
        <f aca="false">IF(ISNA(AI912),NA(),AI912+ROW()/10000000)</f>
        <v>#N/A</v>
      </c>
      <c r="AK912" s="157" t="str">
        <f aca="false">IF(AND(ISNUMBER($N912),$N912&gt;0,ISNUMBER($Y912)),$Y912/$N912,"")</f>
        <v/>
      </c>
    </row>
    <row r="913" customFormat="false" ht="15" hidden="false" customHeight="true" outlineLevel="0" collapsed="false">
      <c r="A913" s="441" t="n">
        <v>8</v>
      </c>
      <c r="B913" s="157" t="n">
        <v>909</v>
      </c>
      <c r="AI913" s="157" t="e">
        <f aca="false">IF(AND($E913=Subj_OccCode,Subj_BldgSF&gt;0,ABS($L913-Subj_BldgSF)&lt;=Subj_BldgSF*Subj_SizeTol),ABS($L913-Subj_BldgSF),NA())</f>
        <v>#N/A</v>
      </c>
      <c r="AJ913" s="1" t="e">
        <f aca="false">IF(ISNA(AI913),NA(),AI913+ROW()/10000000)</f>
        <v>#N/A</v>
      </c>
      <c r="AK913" s="157" t="str">
        <f aca="false">IF(AND(ISNUMBER($N913),$N913&gt;0,ISNUMBER($Y913)),$Y913/$N913,"")</f>
        <v/>
      </c>
    </row>
    <row r="914" customFormat="false" ht="15" hidden="false" customHeight="true" outlineLevel="0" collapsed="false">
      <c r="A914" s="441" t="n">
        <v>8</v>
      </c>
      <c r="B914" s="157" t="n">
        <v>910</v>
      </c>
      <c r="AI914" s="157" t="e">
        <f aca="false">IF(AND($E914=Subj_OccCode,Subj_BldgSF&gt;0,ABS($L914-Subj_BldgSF)&lt;=Subj_BldgSF*Subj_SizeTol),ABS($L914-Subj_BldgSF),NA())</f>
        <v>#N/A</v>
      </c>
      <c r="AJ914" s="1" t="e">
        <f aca="false">IF(ISNA(AI914),NA(),AI914+ROW()/10000000)</f>
        <v>#N/A</v>
      </c>
      <c r="AK914" s="157" t="str">
        <f aca="false">IF(AND(ISNUMBER($N914),$N914&gt;0,ISNUMBER($Y914)),$Y914/$N914,"")</f>
        <v/>
      </c>
    </row>
    <row r="915" customFormat="false" ht="15" hidden="false" customHeight="true" outlineLevel="0" collapsed="false">
      <c r="A915" s="441" t="n">
        <v>8</v>
      </c>
      <c r="B915" s="157" t="n">
        <v>911</v>
      </c>
      <c r="AI915" s="157" t="e">
        <f aca="false">IF(AND($E915=Subj_OccCode,Subj_BldgSF&gt;0,ABS($L915-Subj_BldgSF)&lt;=Subj_BldgSF*Subj_SizeTol),ABS($L915-Subj_BldgSF),NA())</f>
        <v>#N/A</v>
      </c>
      <c r="AJ915" s="1" t="e">
        <f aca="false">IF(ISNA(AI915),NA(),AI915+ROW()/10000000)</f>
        <v>#N/A</v>
      </c>
      <c r="AK915" s="157" t="str">
        <f aca="false">IF(AND(ISNUMBER($N915),$N915&gt;0,ISNUMBER($Y915)),$Y915/$N915,"")</f>
        <v/>
      </c>
    </row>
    <row r="916" customFormat="false" ht="15" hidden="false" customHeight="true" outlineLevel="0" collapsed="false">
      <c r="A916" s="441" t="n">
        <v>8</v>
      </c>
      <c r="B916" s="157" t="n">
        <v>912</v>
      </c>
      <c r="AI916" s="157" t="e">
        <f aca="false">IF(AND($E916=Subj_OccCode,Subj_BldgSF&gt;0,ABS($L916-Subj_BldgSF)&lt;=Subj_BldgSF*Subj_SizeTol),ABS($L916-Subj_BldgSF),NA())</f>
        <v>#N/A</v>
      </c>
      <c r="AJ916" s="1" t="e">
        <f aca="false">IF(ISNA(AI916),NA(),AI916+ROW()/10000000)</f>
        <v>#N/A</v>
      </c>
      <c r="AK916" s="157" t="str">
        <f aca="false">IF(AND(ISNUMBER($N916),$N916&gt;0,ISNUMBER($Y916)),$Y916/$N916,"")</f>
        <v/>
      </c>
    </row>
    <row r="917" customFormat="false" ht="15" hidden="false" customHeight="true" outlineLevel="0" collapsed="false">
      <c r="A917" s="441" t="n">
        <v>8</v>
      </c>
      <c r="B917" s="157" t="n">
        <v>913</v>
      </c>
      <c r="AI917" s="157" t="e">
        <f aca="false">IF(AND($E917=Subj_OccCode,Subj_BldgSF&gt;0,ABS($L917-Subj_BldgSF)&lt;=Subj_BldgSF*Subj_SizeTol),ABS($L917-Subj_BldgSF),NA())</f>
        <v>#N/A</v>
      </c>
      <c r="AJ917" s="1" t="e">
        <f aca="false">IF(ISNA(AI917),NA(),AI917+ROW()/10000000)</f>
        <v>#N/A</v>
      </c>
      <c r="AK917" s="157" t="str">
        <f aca="false">IF(AND(ISNUMBER($N917),$N917&gt;0,ISNUMBER($Y917)),$Y917/$N917,"")</f>
        <v/>
      </c>
    </row>
    <row r="918" customFormat="false" ht="15" hidden="false" customHeight="true" outlineLevel="0" collapsed="false">
      <c r="A918" s="441" t="n">
        <v>8</v>
      </c>
      <c r="B918" s="157" t="n">
        <v>914</v>
      </c>
      <c r="AI918" s="157" t="e">
        <f aca="false">IF(AND($E918=Subj_OccCode,Subj_BldgSF&gt;0,ABS($L918-Subj_BldgSF)&lt;=Subj_BldgSF*Subj_SizeTol),ABS($L918-Subj_BldgSF),NA())</f>
        <v>#N/A</v>
      </c>
      <c r="AJ918" s="1" t="e">
        <f aca="false">IF(ISNA(AI918),NA(),AI918+ROW()/10000000)</f>
        <v>#N/A</v>
      </c>
      <c r="AK918" s="157" t="str">
        <f aca="false">IF(AND(ISNUMBER($N918),$N918&gt;0,ISNUMBER($Y918)),$Y918/$N918,"")</f>
        <v/>
      </c>
    </row>
    <row r="919" customFormat="false" ht="15" hidden="false" customHeight="true" outlineLevel="0" collapsed="false">
      <c r="A919" s="441" t="n">
        <v>8</v>
      </c>
      <c r="B919" s="157" t="n">
        <v>915</v>
      </c>
      <c r="AI919" s="157" t="e">
        <f aca="false">IF(AND($E919=Subj_OccCode,Subj_BldgSF&gt;0,ABS($L919-Subj_BldgSF)&lt;=Subj_BldgSF*Subj_SizeTol),ABS($L919-Subj_BldgSF),NA())</f>
        <v>#N/A</v>
      </c>
      <c r="AJ919" s="1" t="e">
        <f aca="false">IF(ISNA(AI919),NA(),AI919+ROW()/10000000)</f>
        <v>#N/A</v>
      </c>
      <c r="AK919" s="157" t="str">
        <f aca="false">IF(AND(ISNUMBER($N919),$N919&gt;0,ISNUMBER($Y919)),$Y919/$N919,"")</f>
        <v/>
      </c>
    </row>
    <row r="920" customFormat="false" ht="15" hidden="false" customHeight="true" outlineLevel="0" collapsed="false">
      <c r="A920" s="441" t="n">
        <v>8</v>
      </c>
      <c r="B920" s="157" t="n">
        <v>916</v>
      </c>
      <c r="AI920" s="157" t="e">
        <f aca="false">IF(AND($E920=Subj_OccCode,Subj_BldgSF&gt;0,ABS($L920-Subj_BldgSF)&lt;=Subj_BldgSF*Subj_SizeTol),ABS($L920-Subj_BldgSF),NA())</f>
        <v>#N/A</v>
      </c>
      <c r="AJ920" s="1" t="e">
        <f aca="false">IF(ISNA(AI920),NA(),AI920+ROW()/10000000)</f>
        <v>#N/A</v>
      </c>
      <c r="AK920" s="157" t="str">
        <f aca="false">IF(AND(ISNUMBER($N920),$N920&gt;0,ISNUMBER($Y920)),$Y920/$N920,"")</f>
        <v/>
      </c>
    </row>
    <row r="921" customFormat="false" ht="15" hidden="false" customHeight="true" outlineLevel="0" collapsed="false">
      <c r="A921" s="441" t="n">
        <v>8</v>
      </c>
      <c r="B921" s="157" t="n">
        <v>917</v>
      </c>
      <c r="AI921" s="157" t="e">
        <f aca="false">IF(AND($E921=Subj_OccCode,Subj_BldgSF&gt;0,ABS($L921-Subj_BldgSF)&lt;=Subj_BldgSF*Subj_SizeTol),ABS($L921-Subj_BldgSF),NA())</f>
        <v>#N/A</v>
      </c>
      <c r="AJ921" s="1" t="e">
        <f aca="false">IF(ISNA(AI921),NA(),AI921+ROW()/10000000)</f>
        <v>#N/A</v>
      </c>
      <c r="AK921" s="157" t="str">
        <f aca="false">IF(AND(ISNUMBER($N921),$N921&gt;0,ISNUMBER($Y921)),$Y921/$N921,"")</f>
        <v/>
      </c>
    </row>
    <row r="922" customFormat="false" ht="15" hidden="false" customHeight="true" outlineLevel="0" collapsed="false">
      <c r="A922" s="441" t="n">
        <v>8</v>
      </c>
      <c r="B922" s="157" t="n">
        <v>918</v>
      </c>
      <c r="AI922" s="157" t="e">
        <f aca="false">IF(AND($E922=Subj_OccCode,Subj_BldgSF&gt;0,ABS($L922-Subj_BldgSF)&lt;=Subj_BldgSF*Subj_SizeTol),ABS($L922-Subj_BldgSF),NA())</f>
        <v>#N/A</v>
      </c>
      <c r="AJ922" s="1" t="e">
        <f aca="false">IF(ISNA(AI922),NA(),AI922+ROW()/10000000)</f>
        <v>#N/A</v>
      </c>
      <c r="AK922" s="157" t="str">
        <f aca="false">IF(AND(ISNUMBER($N922),$N922&gt;0,ISNUMBER($Y922)),$Y922/$N922,"")</f>
        <v/>
      </c>
    </row>
    <row r="923" customFormat="false" ht="15" hidden="false" customHeight="true" outlineLevel="0" collapsed="false">
      <c r="A923" s="441" t="n">
        <v>8</v>
      </c>
      <c r="B923" s="157" t="n">
        <v>919</v>
      </c>
      <c r="AI923" s="157" t="e">
        <f aca="false">IF(AND($E923=Subj_OccCode,Subj_BldgSF&gt;0,ABS($L923-Subj_BldgSF)&lt;=Subj_BldgSF*Subj_SizeTol),ABS($L923-Subj_BldgSF),NA())</f>
        <v>#N/A</v>
      </c>
      <c r="AJ923" s="1" t="e">
        <f aca="false">IF(ISNA(AI923),NA(),AI923+ROW()/10000000)</f>
        <v>#N/A</v>
      </c>
      <c r="AK923" s="157" t="str">
        <f aca="false">IF(AND(ISNUMBER($N923),$N923&gt;0,ISNUMBER($Y923)),$Y923/$N923,"")</f>
        <v/>
      </c>
    </row>
    <row r="924" customFormat="false" ht="15" hidden="false" customHeight="true" outlineLevel="0" collapsed="false">
      <c r="A924" s="441" t="n">
        <v>8</v>
      </c>
      <c r="B924" s="157" t="n">
        <v>920</v>
      </c>
      <c r="AI924" s="157" t="e">
        <f aca="false">IF(AND($E924=Subj_OccCode,Subj_BldgSF&gt;0,ABS($L924-Subj_BldgSF)&lt;=Subj_BldgSF*Subj_SizeTol),ABS($L924-Subj_BldgSF),NA())</f>
        <v>#N/A</v>
      </c>
      <c r="AJ924" s="1" t="e">
        <f aca="false">IF(ISNA(AI924),NA(),AI924+ROW()/10000000)</f>
        <v>#N/A</v>
      </c>
      <c r="AK924" s="157" t="str">
        <f aca="false">IF(AND(ISNUMBER($N924),$N924&gt;0,ISNUMBER($Y924)),$Y924/$N924,"")</f>
        <v/>
      </c>
    </row>
    <row r="925" customFormat="false" ht="15" hidden="false" customHeight="true" outlineLevel="0" collapsed="false">
      <c r="A925" s="441" t="n">
        <v>8</v>
      </c>
      <c r="B925" s="157" t="n">
        <v>921</v>
      </c>
      <c r="AI925" s="157" t="e">
        <f aca="false">IF(AND($E925=Subj_OccCode,Subj_BldgSF&gt;0,ABS($L925-Subj_BldgSF)&lt;=Subj_BldgSF*Subj_SizeTol),ABS($L925-Subj_BldgSF),NA())</f>
        <v>#N/A</v>
      </c>
      <c r="AJ925" s="1" t="e">
        <f aca="false">IF(ISNA(AI925),NA(),AI925+ROW()/10000000)</f>
        <v>#N/A</v>
      </c>
      <c r="AK925" s="157" t="str">
        <f aca="false">IF(AND(ISNUMBER($N925),$N925&gt;0,ISNUMBER($Y925)),$Y925/$N925,"")</f>
        <v/>
      </c>
    </row>
    <row r="926" customFormat="false" ht="15" hidden="false" customHeight="true" outlineLevel="0" collapsed="false">
      <c r="A926" s="441" t="n">
        <v>8</v>
      </c>
      <c r="B926" s="157" t="n">
        <v>922</v>
      </c>
      <c r="AI926" s="157" t="e">
        <f aca="false">IF(AND($E926=Subj_OccCode,Subj_BldgSF&gt;0,ABS($L926-Subj_BldgSF)&lt;=Subj_BldgSF*Subj_SizeTol),ABS($L926-Subj_BldgSF),NA())</f>
        <v>#N/A</v>
      </c>
      <c r="AJ926" s="1" t="e">
        <f aca="false">IF(ISNA(AI926),NA(),AI926+ROW()/10000000)</f>
        <v>#N/A</v>
      </c>
      <c r="AK926" s="157" t="str">
        <f aca="false">IF(AND(ISNUMBER($N926),$N926&gt;0,ISNUMBER($Y926)),$Y926/$N926,"")</f>
        <v/>
      </c>
    </row>
    <row r="927" customFormat="false" ht="15" hidden="false" customHeight="true" outlineLevel="0" collapsed="false">
      <c r="A927" s="441" t="n">
        <v>8</v>
      </c>
      <c r="B927" s="157" t="n">
        <v>923</v>
      </c>
      <c r="AI927" s="157" t="e">
        <f aca="false">IF(AND($E927=Subj_OccCode,Subj_BldgSF&gt;0,ABS($L927-Subj_BldgSF)&lt;=Subj_BldgSF*Subj_SizeTol),ABS($L927-Subj_BldgSF),NA())</f>
        <v>#N/A</v>
      </c>
      <c r="AJ927" s="1" t="e">
        <f aca="false">IF(ISNA(AI927),NA(),AI927+ROW()/10000000)</f>
        <v>#N/A</v>
      </c>
      <c r="AK927" s="157" t="str">
        <f aca="false">IF(AND(ISNUMBER($N927),$N927&gt;0,ISNUMBER($Y927)),$Y927/$N927,"")</f>
        <v/>
      </c>
    </row>
    <row r="928" customFormat="false" ht="15" hidden="false" customHeight="true" outlineLevel="0" collapsed="false">
      <c r="A928" s="441" t="n">
        <v>8</v>
      </c>
      <c r="B928" s="157" t="n">
        <v>924</v>
      </c>
      <c r="AI928" s="157" t="e">
        <f aca="false">IF(AND($E928=Subj_OccCode,Subj_BldgSF&gt;0,ABS($L928-Subj_BldgSF)&lt;=Subj_BldgSF*Subj_SizeTol),ABS($L928-Subj_BldgSF),NA())</f>
        <v>#N/A</v>
      </c>
      <c r="AJ928" s="1" t="e">
        <f aca="false">IF(ISNA(AI928),NA(),AI928+ROW()/10000000)</f>
        <v>#N/A</v>
      </c>
      <c r="AK928" s="157" t="str">
        <f aca="false">IF(AND(ISNUMBER($N928),$N928&gt;0,ISNUMBER($Y928)),$Y928/$N928,"")</f>
        <v/>
      </c>
    </row>
    <row r="929" customFormat="false" ht="15" hidden="false" customHeight="true" outlineLevel="0" collapsed="false">
      <c r="A929" s="441" t="n">
        <v>8</v>
      </c>
      <c r="B929" s="157" t="n">
        <v>925</v>
      </c>
      <c r="AI929" s="157" t="e">
        <f aca="false">IF(AND($E929=Subj_OccCode,Subj_BldgSF&gt;0,ABS($L929-Subj_BldgSF)&lt;=Subj_BldgSF*Subj_SizeTol),ABS($L929-Subj_BldgSF),NA())</f>
        <v>#N/A</v>
      </c>
      <c r="AJ929" s="1" t="e">
        <f aca="false">IF(ISNA(AI929),NA(),AI929+ROW()/10000000)</f>
        <v>#N/A</v>
      </c>
      <c r="AK929" s="157" t="str">
        <f aca="false">IF(AND(ISNUMBER($N929),$N929&gt;0,ISNUMBER($Y929)),$Y929/$N929,"")</f>
        <v/>
      </c>
    </row>
    <row r="930" customFormat="false" ht="15" hidden="false" customHeight="true" outlineLevel="0" collapsed="false">
      <c r="A930" s="441" t="n">
        <v>8</v>
      </c>
      <c r="B930" s="157" t="n">
        <v>926</v>
      </c>
      <c r="AI930" s="157" t="e">
        <f aca="false">IF(AND($E930=Subj_OccCode,Subj_BldgSF&gt;0,ABS($L930-Subj_BldgSF)&lt;=Subj_BldgSF*Subj_SizeTol),ABS($L930-Subj_BldgSF),NA())</f>
        <v>#N/A</v>
      </c>
      <c r="AJ930" s="1" t="e">
        <f aca="false">IF(ISNA(AI930),NA(),AI930+ROW()/10000000)</f>
        <v>#N/A</v>
      </c>
      <c r="AK930" s="157" t="str">
        <f aca="false">IF(AND(ISNUMBER($N930),$N930&gt;0,ISNUMBER($Y930)),$Y930/$N930,"")</f>
        <v/>
      </c>
    </row>
    <row r="931" customFormat="false" ht="15" hidden="false" customHeight="true" outlineLevel="0" collapsed="false">
      <c r="A931" s="441" t="n">
        <v>8</v>
      </c>
      <c r="B931" s="157" t="n">
        <v>927</v>
      </c>
      <c r="AI931" s="157" t="e">
        <f aca="false">IF(AND($E931=Subj_OccCode,Subj_BldgSF&gt;0,ABS($L931-Subj_BldgSF)&lt;=Subj_BldgSF*Subj_SizeTol),ABS($L931-Subj_BldgSF),NA())</f>
        <v>#N/A</v>
      </c>
      <c r="AJ931" s="1" t="e">
        <f aca="false">IF(ISNA(AI931),NA(),AI931+ROW()/10000000)</f>
        <v>#N/A</v>
      </c>
      <c r="AK931" s="157" t="str">
        <f aca="false">IF(AND(ISNUMBER($N931),$N931&gt;0,ISNUMBER($Y931)),$Y931/$N931,"")</f>
        <v/>
      </c>
    </row>
    <row r="932" customFormat="false" ht="15" hidden="false" customHeight="true" outlineLevel="0" collapsed="false">
      <c r="A932" s="441" t="n">
        <v>8</v>
      </c>
      <c r="B932" s="157" t="n">
        <v>928</v>
      </c>
      <c r="AI932" s="157" t="e">
        <f aca="false">IF(AND($E932=Subj_OccCode,Subj_BldgSF&gt;0,ABS($L932-Subj_BldgSF)&lt;=Subj_BldgSF*Subj_SizeTol),ABS($L932-Subj_BldgSF),NA())</f>
        <v>#N/A</v>
      </c>
      <c r="AJ932" s="1" t="e">
        <f aca="false">IF(ISNA(AI932),NA(),AI932+ROW()/10000000)</f>
        <v>#N/A</v>
      </c>
      <c r="AK932" s="157" t="str">
        <f aca="false">IF(AND(ISNUMBER($N932),$N932&gt;0,ISNUMBER($Y932)),$Y932/$N932,"")</f>
        <v/>
      </c>
    </row>
    <row r="933" customFormat="false" ht="15" hidden="false" customHeight="true" outlineLevel="0" collapsed="false">
      <c r="A933" s="441" t="n">
        <v>8</v>
      </c>
      <c r="B933" s="157" t="n">
        <v>929</v>
      </c>
      <c r="AI933" s="157" t="e">
        <f aca="false">IF(AND($E933=Subj_OccCode,Subj_BldgSF&gt;0,ABS($L933-Subj_BldgSF)&lt;=Subj_BldgSF*Subj_SizeTol),ABS($L933-Subj_BldgSF),NA())</f>
        <v>#N/A</v>
      </c>
      <c r="AJ933" s="1" t="e">
        <f aca="false">IF(ISNA(AI933),NA(),AI933+ROW()/10000000)</f>
        <v>#N/A</v>
      </c>
      <c r="AK933" s="157" t="str">
        <f aca="false">IF(AND(ISNUMBER($N933),$N933&gt;0,ISNUMBER($Y933)),$Y933/$N933,"")</f>
        <v/>
      </c>
    </row>
    <row r="934" customFormat="false" ht="15" hidden="false" customHeight="true" outlineLevel="0" collapsed="false">
      <c r="A934" s="441" t="n">
        <v>8</v>
      </c>
      <c r="B934" s="157" t="n">
        <v>930</v>
      </c>
      <c r="AI934" s="157" t="e">
        <f aca="false">IF(AND($E934=Subj_OccCode,Subj_BldgSF&gt;0,ABS($L934-Subj_BldgSF)&lt;=Subj_BldgSF*Subj_SizeTol),ABS($L934-Subj_BldgSF),NA())</f>
        <v>#N/A</v>
      </c>
      <c r="AJ934" s="1" t="e">
        <f aca="false">IF(ISNA(AI934),NA(),AI934+ROW()/10000000)</f>
        <v>#N/A</v>
      </c>
      <c r="AK934" s="157" t="str">
        <f aca="false">IF(AND(ISNUMBER($N934),$N934&gt;0,ISNUMBER($Y934)),$Y934/$N934,"")</f>
        <v/>
      </c>
    </row>
    <row r="935" customFormat="false" ht="15" hidden="false" customHeight="true" outlineLevel="0" collapsed="false">
      <c r="A935" s="441" t="n">
        <v>8</v>
      </c>
      <c r="B935" s="157" t="n">
        <v>931</v>
      </c>
      <c r="AI935" s="157" t="e">
        <f aca="false">IF(AND($E935=Subj_OccCode,Subj_BldgSF&gt;0,ABS($L935-Subj_BldgSF)&lt;=Subj_BldgSF*Subj_SizeTol),ABS($L935-Subj_BldgSF),NA())</f>
        <v>#N/A</v>
      </c>
      <c r="AJ935" s="1" t="e">
        <f aca="false">IF(ISNA(AI935),NA(),AI935+ROW()/10000000)</f>
        <v>#N/A</v>
      </c>
      <c r="AK935" s="157" t="str">
        <f aca="false">IF(AND(ISNUMBER($N935),$N935&gt;0,ISNUMBER($Y935)),$Y935/$N935,"")</f>
        <v/>
      </c>
    </row>
    <row r="936" customFormat="false" ht="15" hidden="false" customHeight="true" outlineLevel="0" collapsed="false">
      <c r="A936" s="441" t="n">
        <v>8</v>
      </c>
      <c r="B936" s="157" t="n">
        <v>932</v>
      </c>
      <c r="AI936" s="157" t="e">
        <f aca="false">IF(AND($E936=Subj_OccCode,Subj_BldgSF&gt;0,ABS($L936-Subj_BldgSF)&lt;=Subj_BldgSF*Subj_SizeTol),ABS($L936-Subj_BldgSF),NA())</f>
        <v>#N/A</v>
      </c>
      <c r="AJ936" s="1" t="e">
        <f aca="false">IF(ISNA(AI936),NA(),AI936+ROW()/10000000)</f>
        <v>#N/A</v>
      </c>
      <c r="AK936" s="157" t="str">
        <f aca="false">IF(AND(ISNUMBER($N936),$N936&gt;0,ISNUMBER($Y936)),$Y936/$N936,"")</f>
        <v/>
      </c>
    </row>
    <row r="937" customFormat="false" ht="15" hidden="false" customHeight="true" outlineLevel="0" collapsed="false">
      <c r="A937" s="441" t="n">
        <v>8</v>
      </c>
      <c r="B937" s="157" t="n">
        <v>933</v>
      </c>
      <c r="AI937" s="157" t="e">
        <f aca="false">IF(AND($E937=Subj_OccCode,Subj_BldgSF&gt;0,ABS($L937-Subj_BldgSF)&lt;=Subj_BldgSF*Subj_SizeTol),ABS($L937-Subj_BldgSF),NA())</f>
        <v>#N/A</v>
      </c>
      <c r="AJ937" s="1" t="e">
        <f aca="false">IF(ISNA(AI937),NA(),AI937+ROW()/10000000)</f>
        <v>#N/A</v>
      </c>
      <c r="AK937" s="157" t="str">
        <f aca="false">IF(AND(ISNUMBER($N937),$N937&gt;0,ISNUMBER($Y937)),$Y937/$N937,"")</f>
        <v/>
      </c>
    </row>
    <row r="938" customFormat="false" ht="15" hidden="false" customHeight="true" outlineLevel="0" collapsed="false">
      <c r="A938" s="441" t="n">
        <v>8</v>
      </c>
      <c r="B938" s="157" t="n">
        <v>934</v>
      </c>
      <c r="AI938" s="157" t="e">
        <f aca="false">IF(AND($E938=Subj_OccCode,Subj_BldgSF&gt;0,ABS($L938-Subj_BldgSF)&lt;=Subj_BldgSF*Subj_SizeTol),ABS($L938-Subj_BldgSF),NA())</f>
        <v>#N/A</v>
      </c>
      <c r="AJ938" s="1" t="e">
        <f aca="false">IF(ISNA(AI938),NA(),AI938+ROW()/10000000)</f>
        <v>#N/A</v>
      </c>
      <c r="AK938" s="157" t="str">
        <f aca="false">IF(AND(ISNUMBER($N938),$N938&gt;0,ISNUMBER($Y938)),$Y938/$N938,"")</f>
        <v/>
      </c>
    </row>
    <row r="939" customFormat="false" ht="15" hidden="false" customHeight="true" outlineLevel="0" collapsed="false">
      <c r="A939" s="441" t="n">
        <v>8</v>
      </c>
      <c r="B939" s="157" t="n">
        <v>935</v>
      </c>
      <c r="AI939" s="157" t="e">
        <f aca="false">IF(AND($E939=Subj_OccCode,Subj_BldgSF&gt;0,ABS($L939-Subj_BldgSF)&lt;=Subj_BldgSF*Subj_SizeTol),ABS($L939-Subj_BldgSF),NA())</f>
        <v>#N/A</v>
      </c>
      <c r="AJ939" s="1" t="e">
        <f aca="false">IF(ISNA(AI939),NA(),AI939+ROW()/10000000)</f>
        <v>#N/A</v>
      </c>
      <c r="AK939" s="157" t="str">
        <f aca="false">IF(AND(ISNUMBER($N939),$N939&gt;0,ISNUMBER($Y939)),$Y939/$N939,"")</f>
        <v/>
      </c>
    </row>
    <row r="940" customFormat="false" ht="15" hidden="false" customHeight="true" outlineLevel="0" collapsed="false">
      <c r="A940" s="441" t="n">
        <v>8</v>
      </c>
      <c r="B940" s="157" t="n">
        <v>936</v>
      </c>
      <c r="AI940" s="157" t="e">
        <f aca="false">IF(AND($E940=Subj_OccCode,Subj_BldgSF&gt;0,ABS($L940-Subj_BldgSF)&lt;=Subj_BldgSF*Subj_SizeTol),ABS($L940-Subj_BldgSF),NA())</f>
        <v>#N/A</v>
      </c>
      <c r="AJ940" s="1" t="e">
        <f aca="false">IF(ISNA(AI940),NA(),AI940+ROW()/10000000)</f>
        <v>#N/A</v>
      </c>
      <c r="AK940" s="157" t="str">
        <f aca="false">IF(AND(ISNUMBER($N940),$N940&gt;0,ISNUMBER($Y940)),$Y940/$N940,"")</f>
        <v/>
      </c>
    </row>
    <row r="941" customFormat="false" ht="15" hidden="false" customHeight="true" outlineLevel="0" collapsed="false">
      <c r="A941" s="441" t="n">
        <v>8</v>
      </c>
      <c r="B941" s="157" t="n">
        <v>937</v>
      </c>
      <c r="AI941" s="157" t="e">
        <f aca="false">IF(AND($E941=Subj_OccCode,Subj_BldgSF&gt;0,ABS($L941-Subj_BldgSF)&lt;=Subj_BldgSF*Subj_SizeTol),ABS($L941-Subj_BldgSF),NA())</f>
        <v>#N/A</v>
      </c>
      <c r="AJ941" s="1" t="e">
        <f aca="false">IF(ISNA(AI941),NA(),AI941+ROW()/10000000)</f>
        <v>#N/A</v>
      </c>
      <c r="AK941" s="157" t="str">
        <f aca="false">IF(AND(ISNUMBER($N941),$N941&gt;0,ISNUMBER($Y941)),$Y941/$N941,"")</f>
        <v/>
      </c>
    </row>
  </sheetData>
  <autoFilter ref="A1:AH941"/>
  <conditionalFormatting sqref="C6:C289">
    <cfRule type="duplicateValues" priority="2" aboveAverage="0" equalAverage="0" bottom="0" percent="0" rank="0" text="" dxfId="8"/>
  </conditionalFormatting>
  <conditionalFormatting sqref="A2:AH941">
    <cfRule type="expression" priority="3" aboveAverage="0" equalAverage="0" bottom="0" percent="0" rank="0" text="" dxfId="9">
      <formula>MOD(ROW(),2)=0</formula>
    </cfRule>
  </conditionalFormatting>
  <printOptions headings="false" gridLines="false" gridLinesSet="true" horizontalCentered="false" verticalCentered="false"/>
  <pageMargins left="0.2" right="0.229861111111111" top="1" bottom="1" header="0.511811023622047" footer="0.511811023622047"/>
  <pageSetup paperSize="5" scale="100" fitToWidth="1" fitToHeight="1" pageOrder="downThenOver" orientation="landscape"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49">
              <controlPr defaultSize="0" print="true" autoFill="0" autoPict="0" macro="Module2.Sort">
                <anchor moveWithCells="true" sizeWithCells="false">
                  <from>
                    <xdr:col>0</xdr:col>
                    <xdr:colOff>0</xdr:colOff>
                    <xdr:row>0</xdr:row>
                    <xdr:rowOff>0</xdr:rowOff>
                  </from>
                  <to>
                    <xdr:col>2</xdr:col>
                    <xdr:colOff>561960</xdr:colOff>
                    <xdr:row>2</xdr:row>
                    <xdr:rowOff>38160</xdr:rowOff>
                  </to>
                </anchor>
              </controlPr>
            </control>
          </mc:Choice>
        </mc:AlternateContent>
        <mc:AlternateContent xmlns:mc="http://schemas.openxmlformats.org/markup-compatibility/2006">
          <mc:Choice Requires="x14">
            <control shapeId="1002" r:id="rId4" name="Button 236">
              <controlPr defaultSize="0" print="true" autoFill="0" autoPict="0" macro="Module2.Filter_Sort">
                <anchor moveWithCells="true" sizeWithCells="false">
                  <from>
                    <xdr:col>2</xdr:col>
                    <xdr:colOff>561960</xdr:colOff>
                    <xdr:row>0</xdr:row>
                    <xdr:rowOff>0</xdr:rowOff>
                  </from>
                  <to>
                    <xdr:col>3</xdr:col>
                    <xdr:colOff>0</xdr:colOff>
                    <xdr:row>2</xdr:row>
                    <xdr:rowOff>85680</xdr:rowOff>
                  </to>
                </anchor>
              </controlPr>
            </control>
          </mc:Choice>
        </mc:AlternateContent>
        <mc:AlternateContent xmlns:mc="http://schemas.openxmlformats.org/markup-compatibility/2006">
          <mc:Choice Requires="x14">
            <control shapeId="1003" r:id="rId5" name="Button 3">
              <controlPr defaultSize="0" print="true" autoFill="0" autoPict="0" macro="Module2.Sort">
                <anchor moveWithCells="true" sizeWithCells="false">
                  <from>
                    <xdr:col>0</xdr:col>
                    <xdr:colOff>0</xdr:colOff>
                    <xdr:row>0</xdr:row>
                    <xdr:rowOff>0</xdr:rowOff>
                  </from>
                  <to>
                    <xdr:col>2</xdr:col>
                    <xdr:colOff>561960</xdr:colOff>
                    <xdr:row>1</xdr:row>
                    <xdr:rowOff>-228600</xdr:rowOff>
                  </to>
                </anchor>
              </controlPr>
            </control>
          </mc:Choice>
        </mc:AlternateContent>
        <mc:AlternateContent xmlns:mc="http://schemas.openxmlformats.org/markup-compatibility/2006">
          <mc:Choice Requires="x14">
            <control shapeId="1004" r:id="rId6" name="Button 4">
              <controlPr defaultSize="0" print="true" autoFill="0" autoPict="0" macro="Module2.Filter_Sort">
                <anchor moveWithCells="true" sizeWithCells="false">
                  <from>
                    <xdr:col>2</xdr:col>
                    <xdr:colOff>561960</xdr:colOff>
                    <xdr:row>0</xdr:row>
                    <xdr:rowOff>0</xdr:rowOff>
                  </from>
                  <to>
                    <xdr:col>3</xdr:col>
                    <xdr:colOff>0</xdr:colOff>
                    <xdr:row>1</xdr:row>
                    <xdr:rowOff>-276120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E7490"/>
    <pageSetUpPr fitToPage="true"/>
  </sheetPr>
  <dimension ref="A1:AP1019"/>
  <sheetViews>
    <sheetView showFormulas="false" showGridLines="true" showRowColHeaders="true" showZeros="true" rightToLeft="false" tabSelected="false" showOutlineSymbols="true" defaultGridColor="true" view="normal" topLeftCell="A1" colorId="64" zoomScale="90" zoomScaleNormal="90" zoomScalePageLayoutView="100" workbookViewId="0">
      <pane xSplit="0" ySplit="1" topLeftCell="A2" activePane="bottomLeft" state="frozen"/>
      <selection pane="topLeft" activeCell="A1" activeCellId="0" sqref="A1"/>
      <selection pane="bottomLeft" activeCell="A2" activeCellId="0" sqref="A2"/>
    </sheetView>
  </sheetViews>
  <sheetFormatPr defaultColWidth="10.57421875" defaultRowHeight="12.75" zeroHeight="false" outlineLevelRow="0" outlineLevelCol="0"/>
  <cols>
    <col collapsed="false" customWidth="true" hidden="false" outlineLevel="0" max="1" min="1" style="157" width="6.43"/>
    <col collapsed="false" customWidth="true" hidden="false" outlineLevel="0" max="2" min="2" style="444" width="9.14"/>
    <col collapsed="false" customWidth="true" hidden="false" outlineLevel="0" max="3" min="3" style="157" width="8"/>
    <col collapsed="false" customWidth="true" hidden="false" outlineLevel="0" max="4" min="4" style="157" width="21.71"/>
    <col collapsed="false" customWidth="true" hidden="false" outlineLevel="0" max="5" min="5" style="157" width="11.43"/>
    <col collapsed="false" customWidth="true" hidden="false" outlineLevel="0" max="6" min="6" style="157" width="36.43"/>
    <col collapsed="false" customWidth="true" hidden="false" outlineLevel="0" max="7" min="7" style="445" width="12.57"/>
    <col collapsed="false" customWidth="true" hidden="false" outlineLevel="0" max="8" min="8" style="431" width="8"/>
    <col collapsed="false" customWidth="true" hidden="false" outlineLevel="0" max="10" min="9" style="157" width="10.29"/>
    <col collapsed="false" customWidth="true" hidden="false" outlineLevel="0" max="11" min="11" style="157" width="9.14"/>
    <col collapsed="false" customWidth="true" hidden="false" outlineLevel="0" max="12" min="12" style="157" width="8.71"/>
    <col collapsed="false" customWidth="true" hidden="false" outlineLevel="0" max="14" min="13" style="431" width="8"/>
    <col collapsed="false" customWidth="true" hidden="false" outlineLevel="0" max="16" min="15" style="446" width="9.14"/>
    <col collapsed="false" customWidth="false" hidden="false" outlineLevel="0" max="17" min="17" style="157" width="10.57"/>
    <col collapsed="false" customWidth="true" hidden="false" outlineLevel="0" max="18" min="18" style="1" width="6.86"/>
    <col collapsed="false" customWidth="true" hidden="false" outlineLevel="0" max="19" min="19" style="1" width="9.14"/>
    <col collapsed="false" customWidth="true" hidden="false" outlineLevel="0" max="20" min="20" style="1" width="14.86"/>
    <col collapsed="false" customWidth="true" hidden="false" outlineLevel="0" max="21" min="21" style="157" width="6.86"/>
    <col collapsed="false" customWidth="true" hidden="false" outlineLevel="0" max="23" min="22" style="157" width="10.29"/>
    <col collapsed="false" customWidth="true" hidden="false" outlineLevel="0" max="24" min="24" style="157" width="20.57"/>
    <col collapsed="false" customWidth="true" hidden="false" outlineLevel="0" max="25" min="25" style="157" width="25.14"/>
    <col collapsed="false" customWidth="true" hidden="false" outlineLevel="0" max="26" min="26" style="157" width="6.86"/>
    <col collapsed="false" customWidth="true" hidden="false" outlineLevel="0" max="27" min="27" style="1" width="6.86"/>
    <col collapsed="false" customWidth="true" hidden="false" outlineLevel="0" max="29" min="28" style="157" width="6.86"/>
    <col collapsed="false" customWidth="true" hidden="false" outlineLevel="0" max="30" min="30" style="157" width="28.43"/>
    <col collapsed="false" customWidth="true" hidden="false" outlineLevel="0" max="33" min="31" style="157" width="9.43"/>
    <col collapsed="false" customWidth="true" hidden="false" outlineLevel="0" max="34" min="34" style="157" width="8.43"/>
    <col collapsed="false" customWidth="true" hidden="false" outlineLevel="0" max="35" min="35" style="157" width="13.29"/>
    <col collapsed="false" customWidth="true" hidden="false" outlineLevel="0" max="36" min="36" style="157" width="13.86"/>
    <col collapsed="false" customWidth="true" hidden="false" outlineLevel="0" max="37" min="37" style="157" width="59.29"/>
    <col collapsed="false" customWidth="false" hidden="false" outlineLevel="0" max="38" min="38" style="157" width="10.57"/>
    <col collapsed="false" customWidth="true" hidden="false" outlineLevel="0" max="39" min="39" style="1" width="6.86"/>
    <col collapsed="false" customWidth="false" hidden="false" outlineLevel="0" max="16384" min="40" style="157" width="10.57"/>
  </cols>
  <sheetData>
    <row r="1" customFormat="false" ht="40.5" hidden="false" customHeight="true" outlineLevel="0" collapsed="false">
      <c r="A1" s="447" t="s">
        <v>2535</v>
      </c>
      <c r="B1" s="448" t="s">
        <v>2536</v>
      </c>
      <c r="C1" s="447" t="s">
        <v>389</v>
      </c>
      <c r="D1" s="447" t="s">
        <v>6610</v>
      </c>
      <c r="E1" s="447" t="s">
        <v>389</v>
      </c>
      <c r="F1" s="447" t="s">
        <v>129</v>
      </c>
      <c r="G1" s="449" t="s">
        <v>6611</v>
      </c>
      <c r="H1" s="447" t="s">
        <v>6612</v>
      </c>
      <c r="I1" s="447" t="s">
        <v>2541</v>
      </c>
      <c r="J1" s="447" t="s">
        <v>2546</v>
      </c>
      <c r="K1" s="447" t="s">
        <v>6613</v>
      </c>
      <c r="L1" s="447" t="s">
        <v>6614</v>
      </c>
      <c r="M1" s="447" t="s">
        <v>6615</v>
      </c>
      <c r="N1" s="447" t="s">
        <v>302</v>
      </c>
      <c r="O1" s="450" t="s">
        <v>6616</v>
      </c>
      <c r="P1" s="450" t="s">
        <v>6617</v>
      </c>
      <c r="Q1" s="447" t="s">
        <v>6618</v>
      </c>
      <c r="R1" s="447" t="s">
        <v>6619</v>
      </c>
      <c r="S1" s="432" t="s">
        <v>2547</v>
      </c>
      <c r="T1" s="447" t="s">
        <v>326</v>
      </c>
      <c r="U1" s="447" t="s">
        <v>2549</v>
      </c>
      <c r="V1" s="447" t="s">
        <v>6620</v>
      </c>
      <c r="W1" s="447" t="s">
        <v>6621</v>
      </c>
      <c r="X1" s="447" t="s">
        <v>385</v>
      </c>
      <c r="Y1" s="447" t="s">
        <v>6622</v>
      </c>
      <c r="Z1" s="447" t="s">
        <v>2550</v>
      </c>
      <c r="AA1" s="447" t="s">
        <v>6623</v>
      </c>
      <c r="AB1" s="447" t="s">
        <v>6624</v>
      </c>
      <c r="AC1" s="447" t="s">
        <v>6625</v>
      </c>
      <c r="AD1" s="447" t="s">
        <v>2313</v>
      </c>
      <c r="AE1" s="447" t="s">
        <v>6626</v>
      </c>
      <c r="AF1" s="447" t="s">
        <v>6627</v>
      </c>
      <c r="AG1" s="447" t="s">
        <v>6628</v>
      </c>
      <c r="AH1" s="447" t="s">
        <v>6629</v>
      </c>
      <c r="AI1" s="447" t="s">
        <v>6630</v>
      </c>
      <c r="AJ1" s="447" t="s">
        <v>6631</v>
      </c>
      <c r="AK1" s="451" t="s">
        <v>367</v>
      </c>
      <c r="AL1" s="157" t="s">
        <v>6632</v>
      </c>
    </row>
    <row r="2" customFormat="false" ht="13.5" hidden="false" customHeight="true" outlineLevel="0" collapsed="false">
      <c r="A2" s="436" t="n">
        <v>5</v>
      </c>
      <c r="O2" s="452"/>
      <c r="P2" s="452"/>
      <c r="Q2" s="453"/>
      <c r="AB2" s="454"/>
      <c r="AC2" s="455"/>
      <c r="AL2" s="157" t="str">
        <f aca="false">IF(AND(ISNUMBER($S2),$S2&gt;0,ISNUMBER($K2),ISNUMBER($J2)),($K2*$J2)/$S2,"")</f>
        <v/>
      </c>
    </row>
    <row r="3" customFormat="false" ht="12.75" hidden="false" customHeight="true" outlineLevel="0" collapsed="false">
      <c r="A3" s="436" t="n">
        <v>5</v>
      </c>
      <c r="O3" s="452"/>
      <c r="P3" s="452"/>
      <c r="Q3" s="453"/>
      <c r="AC3" s="455"/>
      <c r="AL3" s="157" t="str">
        <f aca="false">IF(AND(ISNUMBER($S3),$S3&gt;0,ISNUMBER($K3),ISNUMBER($J3)),($K3*$J3)/$S3,"")</f>
        <v/>
      </c>
    </row>
    <row r="4" customFormat="false" ht="12.75" hidden="false" customHeight="true" outlineLevel="0" collapsed="false">
      <c r="A4" s="436" t="n">
        <v>5</v>
      </c>
      <c r="AB4" s="454"/>
      <c r="AC4" s="455"/>
      <c r="AL4" s="157" t="str">
        <f aca="false">IF(AND(ISNUMBER($S4),$S4&gt;0,ISNUMBER($K4),ISNUMBER($J4)),($K4*$J4)/$S4,"")</f>
        <v/>
      </c>
    </row>
    <row r="5" customFormat="false" ht="12.75" hidden="false" customHeight="true" outlineLevel="0" collapsed="false">
      <c r="A5" s="436" t="n">
        <v>5</v>
      </c>
      <c r="AB5" s="454"/>
      <c r="AC5" s="455"/>
      <c r="AL5" s="157" t="str">
        <f aca="false">IF(AND(ISNUMBER($S5),$S5&gt;0,ISNUMBER($K5),ISNUMBER($J5)),($K5*$J5)/$S5,"")</f>
        <v/>
      </c>
    </row>
    <row r="6" s="157" customFormat="true" ht="12.75" hidden="false" customHeight="true" outlineLevel="0" collapsed="false">
      <c r="A6" s="456" t="n">
        <v>6</v>
      </c>
      <c r="B6" s="157" t="n">
        <v>1</v>
      </c>
      <c r="C6" s="157" t="s">
        <v>6633</v>
      </c>
      <c r="D6" s="157" t="s">
        <v>6634</v>
      </c>
      <c r="E6" s="457" t="s">
        <v>2461</v>
      </c>
      <c r="F6" s="157" t="s">
        <v>6635</v>
      </c>
      <c r="G6" s="157" t="n">
        <v>44.8</v>
      </c>
      <c r="H6" s="157" t="n">
        <v>9102</v>
      </c>
      <c r="I6" s="457" t="n">
        <v>3</v>
      </c>
      <c r="J6" s="458" t="n">
        <v>1490</v>
      </c>
      <c r="K6" s="167" t="n">
        <v>6.04026845637584</v>
      </c>
      <c r="L6" s="175" t="n">
        <v>0</v>
      </c>
      <c r="M6" s="175" t="n">
        <v>0.272777777777778</v>
      </c>
      <c r="N6" s="157" t="n">
        <v>1985</v>
      </c>
      <c r="O6" s="157" t="n">
        <v>678</v>
      </c>
      <c r="P6" s="157" t="n">
        <v>0</v>
      </c>
      <c r="Q6" s="157" t="n">
        <v>17</v>
      </c>
      <c r="R6" s="157" t="n">
        <v>10</v>
      </c>
      <c r="S6" s="157" t="n">
        <v>1</v>
      </c>
      <c r="T6" s="457" t="s">
        <v>6636</v>
      </c>
      <c r="U6" s="157" t="n">
        <v>398</v>
      </c>
      <c r="V6" s="458" t="n">
        <v>5810</v>
      </c>
      <c r="W6" s="458" t="n">
        <v>6000</v>
      </c>
      <c r="X6" s="445" t="s">
        <v>6637</v>
      </c>
      <c r="Y6" s="458" t="n">
        <v>1000</v>
      </c>
      <c r="Z6" s="457" t="s">
        <v>6638</v>
      </c>
      <c r="AD6" s="157" t="s">
        <v>6639</v>
      </c>
      <c r="AK6" s="459"/>
    </row>
    <row r="7" s="157" customFormat="true" ht="12.75" hidden="false" customHeight="true" outlineLevel="0" collapsed="false">
      <c r="A7" s="456" t="n">
        <v>6</v>
      </c>
      <c r="B7" s="157" t="n">
        <v>2</v>
      </c>
      <c r="C7" s="157" t="s">
        <v>6633</v>
      </c>
      <c r="D7" s="157" t="s">
        <v>6640</v>
      </c>
      <c r="E7" s="457" t="s">
        <v>2461</v>
      </c>
      <c r="F7" s="157" t="s">
        <v>6641</v>
      </c>
      <c r="G7" s="157" t="n">
        <v>44.2</v>
      </c>
      <c r="H7" s="157" t="n">
        <v>9102</v>
      </c>
      <c r="I7" s="457" t="n">
        <v>0</v>
      </c>
      <c r="J7" s="458" t="n">
        <v>15000</v>
      </c>
      <c r="K7" s="167" t="n">
        <v>8</v>
      </c>
      <c r="L7" s="175" t="n">
        <v>0</v>
      </c>
      <c r="M7" s="175" t="n">
        <v>0</v>
      </c>
      <c r="N7" s="157" t="n">
        <v>1981</v>
      </c>
      <c r="O7" s="157" t="n">
        <v>1860</v>
      </c>
      <c r="P7" s="157" t="n">
        <v>0</v>
      </c>
      <c r="Q7" s="157" t="n">
        <v>20</v>
      </c>
      <c r="R7" s="157" t="n">
        <v>3</v>
      </c>
      <c r="S7" s="157" t="n">
        <v>1</v>
      </c>
      <c r="T7" s="457" t="s">
        <v>6642</v>
      </c>
      <c r="U7" s="157" t="n">
        <v>398</v>
      </c>
      <c r="V7" s="458" t="n">
        <v>49257</v>
      </c>
      <c r="W7" s="458" t="n">
        <v>49000</v>
      </c>
      <c r="X7" s="445" t="s">
        <v>6643</v>
      </c>
      <c r="Y7" s="458" t="n">
        <v>15000</v>
      </c>
      <c r="Z7" s="457" t="s">
        <v>6638</v>
      </c>
      <c r="AK7" s="459"/>
    </row>
    <row r="8" s="157" customFormat="true" ht="25.5" hidden="false" customHeight="true" outlineLevel="0" collapsed="false">
      <c r="A8" s="456" t="n">
        <v>6</v>
      </c>
      <c r="B8" s="157" t="n">
        <v>3</v>
      </c>
      <c r="C8" s="157" t="s">
        <v>6633</v>
      </c>
      <c r="D8" s="157" t="s">
        <v>6644</v>
      </c>
      <c r="E8" s="457" t="s">
        <v>2461</v>
      </c>
      <c r="F8" s="157" t="s">
        <v>6645</v>
      </c>
      <c r="G8" s="157" t="n">
        <v>44.2</v>
      </c>
      <c r="H8" s="157" t="n">
        <v>9102</v>
      </c>
      <c r="I8" s="457" t="n">
        <v>0</v>
      </c>
      <c r="J8" s="458" t="n">
        <v>19715</v>
      </c>
      <c r="K8" s="167" t="n">
        <v>5.96500126807</v>
      </c>
      <c r="L8" s="175" t="n">
        <v>0</v>
      </c>
      <c r="M8" s="175" t="n">
        <v>0</v>
      </c>
      <c r="N8" s="157" t="n">
        <v>1985</v>
      </c>
      <c r="O8" s="157" t="n">
        <v>4143</v>
      </c>
      <c r="P8" s="157" t="n">
        <v>0</v>
      </c>
      <c r="Q8" s="157" t="n">
        <v>26</v>
      </c>
      <c r="R8" s="157" t="n">
        <v>3</v>
      </c>
      <c r="S8" s="157" t="n">
        <v>1</v>
      </c>
      <c r="T8" s="457" t="s">
        <v>6642</v>
      </c>
      <c r="U8" s="157" t="n">
        <v>398</v>
      </c>
      <c r="V8" s="458" t="n">
        <v>46294</v>
      </c>
      <c r="W8" s="458" t="n">
        <v>46000</v>
      </c>
      <c r="X8" s="445" t="s">
        <v>6646</v>
      </c>
      <c r="Y8" s="458" t="n">
        <v>20000</v>
      </c>
      <c r="Z8" s="457" t="s">
        <v>6638</v>
      </c>
      <c r="AK8" s="459" t="s">
        <v>6647</v>
      </c>
    </row>
    <row r="9" s="157" customFormat="true" ht="12.75" hidden="false" customHeight="true" outlineLevel="0" collapsed="false">
      <c r="A9" s="456" t="n">
        <v>6</v>
      </c>
      <c r="B9" s="157" t="n">
        <v>4</v>
      </c>
      <c r="C9" s="157" t="s">
        <v>6633</v>
      </c>
      <c r="D9" s="157" t="s">
        <v>6648</v>
      </c>
      <c r="E9" s="457" t="s">
        <v>2461</v>
      </c>
      <c r="F9" s="157" t="s">
        <v>6649</v>
      </c>
      <c r="G9" s="157" t="n">
        <v>44.2</v>
      </c>
      <c r="H9" s="157" t="n">
        <v>9102</v>
      </c>
      <c r="I9" s="457" t="n">
        <v>0</v>
      </c>
      <c r="J9" s="458" t="n">
        <v>37012</v>
      </c>
      <c r="K9" s="167" t="n">
        <v>4.03599539700806</v>
      </c>
      <c r="L9" s="175" t="n">
        <v>0</v>
      </c>
      <c r="M9" s="175" t="n">
        <v>0.104331561780069</v>
      </c>
      <c r="N9" s="157" t="n">
        <v>1999</v>
      </c>
      <c r="O9" s="157" t="n">
        <v>4485</v>
      </c>
      <c r="P9" s="157" t="n">
        <v>0</v>
      </c>
      <c r="Q9" s="157" t="n">
        <v>25</v>
      </c>
      <c r="R9" s="157" t="n">
        <v>14</v>
      </c>
      <c r="S9" s="157" t="n">
        <v>5</v>
      </c>
      <c r="T9" s="457" t="s">
        <v>6642</v>
      </c>
      <c r="U9" s="157" t="n">
        <v>398</v>
      </c>
      <c r="V9" s="458" t="n">
        <v>87567</v>
      </c>
      <c r="W9" s="458" t="n">
        <v>88000</v>
      </c>
      <c r="X9" s="445" t="s">
        <v>6650</v>
      </c>
      <c r="Y9" s="458" t="n">
        <v>37000</v>
      </c>
      <c r="Z9" s="457" t="s">
        <v>6638</v>
      </c>
      <c r="AD9" s="157" t="s">
        <v>6651</v>
      </c>
      <c r="AK9" s="459"/>
    </row>
    <row r="10" s="157" customFormat="true" ht="12.75" hidden="false" customHeight="true" outlineLevel="0" collapsed="false">
      <c r="A10" s="456" t="n">
        <v>6</v>
      </c>
      <c r="B10" s="157" t="n">
        <v>5</v>
      </c>
      <c r="C10" s="157" t="s">
        <v>6633</v>
      </c>
      <c r="D10" s="157" t="s">
        <v>6652</v>
      </c>
      <c r="E10" s="457" t="s">
        <v>2461</v>
      </c>
      <c r="F10" s="157" t="s">
        <v>6653</v>
      </c>
      <c r="G10" s="157" t="n">
        <v>44.2</v>
      </c>
      <c r="H10" s="157" t="n">
        <v>9102</v>
      </c>
      <c r="I10" s="457" t="n">
        <v>0</v>
      </c>
      <c r="J10" s="458" t="n">
        <v>25060</v>
      </c>
      <c r="K10" s="167" t="n">
        <v>5.75003990422985</v>
      </c>
      <c r="L10" s="175" t="n">
        <v>0</v>
      </c>
      <c r="M10" s="175" t="n">
        <v>0</v>
      </c>
      <c r="N10" s="157" t="n">
        <v>1982</v>
      </c>
      <c r="O10" s="157" t="n">
        <v>4620</v>
      </c>
      <c r="P10" s="157" t="n">
        <v>0</v>
      </c>
      <c r="Q10" s="157" t="n">
        <v>23</v>
      </c>
      <c r="R10" s="157" t="n">
        <v>3</v>
      </c>
      <c r="S10" s="157" t="n">
        <v>1</v>
      </c>
      <c r="T10" s="457" t="s">
        <v>6642</v>
      </c>
      <c r="U10" s="157" t="n">
        <v>398</v>
      </c>
      <c r="V10" s="458" t="n">
        <v>133400</v>
      </c>
      <c r="W10" s="458" t="n">
        <v>133000</v>
      </c>
      <c r="X10" s="445" t="s">
        <v>6654</v>
      </c>
      <c r="Y10" s="458" t="n">
        <v>25000</v>
      </c>
      <c r="Z10" s="457" t="s">
        <v>6638</v>
      </c>
      <c r="AD10" s="157" t="s">
        <v>6655</v>
      </c>
      <c r="AK10" s="459" t="s">
        <v>6656</v>
      </c>
    </row>
    <row r="11" s="157" customFormat="true" ht="12.75" hidden="false" customHeight="true" outlineLevel="0" collapsed="false">
      <c r="A11" s="456" t="n">
        <v>6</v>
      </c>
      <c r="B11" s="157" t="n">
        <v>6</v>
      </c>
      <c r="C11" s="157" t="s">
        <v>6633</v>
      </c>
      <c r="D11" s="157" t="s">
        <v>6657</v>
      </c>
      <c r="E11" s="457" t="s">
        <v>2461</v>
      </c>
      <c r="F11" s="157" t="s">
        <v>6658</v>
      </c>
      <c r="G11" s="157" t="n">
        <v>44.2</v>
      </c>
      <c r="H11" s="157" t="n">
        <v>9102</v>
      </c>
      <c r="I11" s="457" t="n">
        <v>0</v>
      </c>
      <c r="J11" s="458" t="n">
        <v>24319</v>
      </c>
      <c r="K11" s="167" t="n">
        <v>3.5034335293392</v>
      </c>
      <c r="L11" s="175" t="n">
        <v>0</v>
      </c>
      <c r="M11" s="175" t="n">
        <v>0</v>
      </c>
      <c r="N11" s="157" t="n">
        <v>1983</v>
      </c>
      <c r="O11" s="157" t="n">
        <v>462</v>
      </c>
      <c r="P11" s="157" t="n">
        <v>3519</v>
      </c>
      <c r="Q11" s="157" t="n">
        <v>23</v>
      </c>
      <c r="R11" s="157" t="n">
        <v>7</v>
      </c>
      <c r="S11" s="157" t="n">
        <v>1</v>
      </c>
      <c r="T11" s="457" t="s">
        <v>6642</v>
      </c>
      <c r="U11" s="157" t="n">
        <v>398</v>
      </c>
      <c r="V11" s="458" t="n">
        <v>100126</v>
      </c>
      <c r="W11" s="458" t="n">
        <v>100000</v>
      </c>
      <c r="X11" s="445" t="s">
        <v>6659</v>
      </c>
      <c r="Y11" s="458" t="n">
        <v>24000</v>
      </c>
      <c r="Z11" s="457" t="s">
        <v>6638</v>
      </c>
      <c r="AD11" s="157" t="s">
        <v>6660</v>
      </c>
      <c r="AK11" s="459" t="s">
        <v>6661</v>
      </c>
    </row>
    <row r="12" s="157" customFormat="true" ht="12.75" hidden="false" customHeight="true" outlineLevel="0" collapsed="false">
      <c r="A12" s="456" t="n">
        <v>6</v>
      </c>
      <c r="B12" s="157" t="n">
        <v>7</v>
      </c>
      <c r="C12" s="157" t="s">
        <v>6633</v>
      </c>
      <c r="D12" s="157" t="s">
        <v>6662</v>
      </c>
      <c r="E12" s="457" t="s">
        <v>2461</v>
      </c>
      <c r="F12" s="157" t="s">
        <v>6663</v>
      </c>
      <c r="G12" s="157" t="n">
        <v>44.2</v>
      </c>
      <c r="H12" s="157" t="n">
        <v>9102</v>
      </c>
      <c r="I12" s="457" t="n">
        <v>0</v>
      </c>
      <c r="J12" s="458" t="n">
        <v>9750</v>
      </c>
      <c r="K12" s="167" t="n">
        <v>10.4492307692308</v>
      </c>
      <c r="L12" s="175" t="n">
        <v>0</v>
      </c>
      <c r="M12" s="175" t="n">
        <v>0.0174126423243031</v>
      </c>
      <c r="N12" s="157" t="n">
        <v>1969</v>
      </c>
      <c r="O12" s="157" t="n">
        <v>4332</v>
      </c>
      <c r="P12" s="157" t="n">
        <v>0</v>
      </c>
      <c r="Q12" s="157" t="n">
        <v>14</v>
      </c>
      <c r="R12" s="157" t="n">
        <v>3</v>
      </c>
      <c r="S12" s="157" t="n">
        <v>1</v>
      </c>
      <c r="T12" s="457" t="s">
        <v>6642</v>
      </c>
      <c r="U12" s="157" t="n">
        <v>398</v>
      </c>
      <c r="V12" s="458" t="n">
        <v>27610</v>
      </c>
      <c r="W12" s="458" t="n">
        <v>28000</v>
      </c>
      <c r="X12" s="445" t="s">
        <v>6664</v>
      </c>
      <c r="Y12" s="458" t="n">
        <v>10000</v>
      </c>
      <c r="Z12" s="457" t="s">
        <v>6638</v>
      </c>
      <c r="AK12" s="459" t="s">
        <v>6665</v>
      </c>
    </row>
    <row r="13" s="157" customFormat="true" ht="12.75" hidden="false" customHeight="true" outlineLevel="0" collapsed="false">
      <c r="A13" s="456" t="n">
        <v>6</v>
      </c>
      <c r="B13" s="157" t="n">
        <v>8</v>
      </c>
      <c r="C13" s="157" t="s">
        <v>6633</v>
      </c>
      <c r="D13" s="157" t="s">
        <v>6666</v>
      </c>
      <c r="E13" s="457" t="s">
        <v>2461</v>
      </c>
      <c r="F13" s="157" t="s">
        <v>6667</v>
      </c>
      <c r="G13" s="157" t="n">
        <v>44.2</v>
      </c>
      <c r="H13" s="157" t="n">
        <v>9102</v>
      </c>
      <c r="I13" s="457" t="n">
        <v>0</v>
      </c>
      <c r="J13" s="458" t="n">
        <v>51649</v>
      </c>
      <c r="K13" s="167" t="n">
        <v>3.75000484036477</v>
      </c>
      <c r="L13" s="175" t="n">
        <v>0</v>
      </c>
      <c r="M13" s="175" t="n">
        <v>0</v>
      </c>
      <c r="N13" s="157" t="n">
        <v>1981</v>
      </c>
      <c r="O13" s="157" t="n">
        <v>2089</v>
      </c>
      <c r="P13" s="157" t="n">
        <v>0</v>
      </c>
      <c r="Q13" s="157" t="n">
        <v>20</v>
      </c>
      <c r="R13" s="157" t="n">
        <v>3</v>
      </c>
      <c r="S13" s="157" t="n">
        <v>1</v>
      </c>
      <c r="T13" s="457" t="s">
        <v>6642</v>
      </c>
      <c r="U13" s="157" t="n">
        <v>398</v>
      </c>
      <c r="V13" s="458" t="n">
        <v>83200</v>
      </c>
      <c r="W13" s="458" t="n">
        <v>83000</v>
      </c>
      <c r="X13" s="445" t="s">
        <v>6668</v>
      </c>
      <c r="Y13" s="458" t="n">
        <v>52000</v>
      </c>
      <c r="Z13" s="457" t="s">
        <v>6638</v>
      </c>
      <c r="AK13" s="459"/>
    </row>
    <row r="14" s="157" customFormat="true" ht="12.75" hidden="false" customHeight="true" outlineLevel="0" collapsed="false">
      <c r="A14" s="456" t="n">
        <v>6</v>
      </c>
      <c r="B14" s="157" t="n">
        <v>9</v>
      </c>
      <c r="C14" s="157" t="s">
        <v>6633</v>
      </c>
      <c r="D14" s="157" t="s">
        <v>6669</v>
      </c>
      <c r="E14" s="457" t="s">
        <v>2461</v>
      </c>
      <c r="F14" s="157" t="s">
        <v>6670</v>
      </c>
      <c r="G14" s="157" t="n">
        <v>44.2</v>
      </c>
      <c r="H14" s="157" t="n">
        <v>9102</v>
      </c>
      <c r="I14" s="457" t="n">
        <v>0</v>
      </c>
      <c r="J14" s="458" t="n">
        <v>3321</v>
      </c>
      <c r="K14" s="167" t="n">
        <v>10.5389942788317</v>
      </c>
      <c r="L14" s="175" t="n">
        <v>0</v>
      </c>
      <c r="M14" s="175" t="n">
        <v>0.122</v>
      </c>
      <c r="N14" s="157" t="n">
        <v>1973</v>
      </c>
      <c r="O14" s="157" t="n">
        <v>820</v>
      </c>
      <c r="P14" s="157" t="n">
        <v>0</v>
      </c>
      <c r="Q14" s="157" t="n">
        <v>16</v>
      </c>
      <c r="R14" s="157" t="n">
        <v>7</v>
      </c>
      <c r="S14" s="157" t="n">
        <v>1</v>
      </c>
      <c r="T14" s="457" t="s">
        <v>6642</v>
      </c>
      <c r="U14" s="157" t="n">
        <v>398</v>
      </c>
      <c r="V14" s="458" t="n">
        <v>18097</v>
      </c>
      <c r="W14" s="458" t="n">
        <v>18000</v>
      </c>
      <c r="X14" s="445" t="s">
        <v>6671</v>
      </c>
      <c r="Y14" s="458" t="n">
        <v>3000</v>
      </c>
      <c r="Z14" s="457" t="s">
        <v>6638</v>
      </c>
      <c r="AD14" s="157" t="s">
        <v>6672</v>
      </c>
      <c r="AK14" s="459"/>
    </row>
    <row r="15" s="157" customFormat="true" ht="12.75" hidden="false" customHeight="true" outlineLevel="0" collapsed="false">
      <c r="A15" s="456" t="n">
        <v>6</v>
      </c>
      <c r="B15" s="157" t="n">
        <v>10</v>
      </c>
      <c r="C15" s="157" t="s">
        <v>6633</v>
      </c>
      <c r="D15" s="157" t="s">
        <v>6673</v>
      </c>
      <c r="E15" s="457" t="s">
        <v>2461</v>
      </c>
      <c r="F15" s="157" t="s">
        <v>6674</v>
      </c>
      <c r="G15" s="157" t="n">
        <v>44.2</v>
      </c>
      <c r="H15" s="157" t="n">
        <v>9102</v>
      </c>
      <c r="I15" s="457" t="n">
        <v>0</v>
      </c>
      <c r="J15" s="458" t="n">
        <v>39832</v>
      </c>
      <c r="K15" s="167" t="n">
        <v>4.21771440048202</v>
      </c>
      <c r="L15" s="175" t="n">
        <v>0</v>
      </c>
      <c r="M15" s="175" t="n">
        <v>0.169672619047619</v>
      </c>
      <c r="N15" s="157" t="n">
        <v>1978</v>
      </c>
      <c r="O15" s="157" t="n">
        <v>335</v>
      </c>
      <c r="P15" s="157" t="n">
        <v>3874</v>
      </c>
      <c r="Q15" s="157" t="n">
        <v>26</v>
      </c>
      <c r="R15" s="157" t="n">
        <v>3</v>
      </c>
      <c r="S15" s="157" t="n">
        <v>1</v>
      </c>
      <c r="T15" s="457" t="s">
        <v>6642</v>
      </c>
      <c r="U15" s="157" t="n">
        <v>398</v>
      </c>
      <c r="V15" s="458" t="n">
        <v>77488</v>
      </c>
      <c r="W15" s="458" t="n">
        <v>77000</v>
      </c>
      <c r="X15" s="445" t="s">
        <v>6675</v>
      </c>
      <c r="Y15" s="458" t="n">
        <v>40000</v>
      </c>
      <c r="Z15" s="457" t="s">
        <v>6638</v>
      </c>
      <c r="AD15" s="157" t="s">
        <v>6676</v>
      </c>
      <c r="AK15" s="459" t="s">
        <v>6677</v>
      </c>
    </row>
    <row r="16" s="157" customFormat="true" ht="12.75" hidden="false" customHeight="true" outlineLevel="0" collapsed="false">
      <c r="A16" s="456" t="n">
        <v>6</v>
      </c>
      <c r="B16" s="157" t="n">
        <v>11</v>
      </c>
      <c r="C16" s="157" t="s">
        <v>6633</v>
      </c>
      <c r="D16" s="157" t="s">
        <v>6678</v>
      </c>
      <c r="E16" s="457" t="s">
        <v>2461</v>
      </c>
      <c r="F16" s="157" t="s">
        <v>6679</v>
      </c>
      <c r="G16" s="157" t="n">
        <v>47.2</v>
      </c>
      <c r="H16" s="157" t="n">
        <v>9102</v>
      </c>
      <c r="I16" s="457" t="n">
        <v>0</v>
      </c>
      <c r="J16" s="458" t="n">
        <v>8167</v>
      </c>
      <c r="K16" s="167" t="n">
        <v>7.34663891269744</v>
      </c>
      <c r="L16" s="175" t="n">
        <v>0</v>
      </c>
      <c r="M16" s="175" t="n">
        <v>0.10865</v>
      </c>
      <c r="N16" s="157" t="n">
        <v>1980</v>
      </c>
      <c r="O16" s="157" t="n">
        <v>2237</v>
      </c>
      <c r="P16" s="157" t="n">
        <v>0</v>
      </c>
      <c r="Q16" s="157" t="n">
        <v>14</v>
      </c>
      <c r="R16" s="157" t="n">
        <v>7</v>
      </c>
      <c r="S16" s="157" t="n">
        <v>1</v>
      </c>
      <c r="T16" s="457" t="s">
        <v>6680</v>
      </c>
      <c r="U16" s="157" t="n">
        <v>401</v>
      </c>
      <c r="V16" s="458" t="n">
        <v>49529</v>
      </c>
      <c r="W16" s="458" t="n">
        <v>50000</v>
      </c>
      <c r="X16" s="445" t="s">
        <v>6681</v>
      </c>
      <c r="Y16" s="458" t="n">
        <v>8000</v>
      </c>
      <c r="Z16" s="457" t="s">
        <v>6638</v>
      </c>
      <c r="AK16" s="459" t="s">
        <v>6661</v>
      </c>
    </row>
    <row r="17" s="157" customFormat="true" ht="12.75" hidden="false" customHeight="true" outlineLevel="0" collapsed="false">
      <c r="A17" s="456" t="n">
        <v>6</v>
      </c>
      <c r="B17" s="157" t="n">
        <v>12</v>
      </c>
      <c r="C17" s="157" t="s">
        <v>6633</v>
      </c>
      <c r="D17" s="157" t="s">
        <v>6682</v>
      </c>
      <c r="E17" s="457" t="s">
        <v>2461</v>
      </c>
      <c r="F17" s="157" t="s">
        <v>6683</v>
      </c>
      <c r="G17" s="157" t="n">
        <v>44.2</v>
      </c>
      <c r="H17" s="157" t="n">
        <v>9102</v>
      </c>
      <c r="I17" s="457" t="n">
        <v>0</v>
      </c>
      <c r="J17" s="458" t="n">
        <v>9192</v>
      </c>
      <c r="K17" s="167" t="n">
        <v>6.09268929503917</v>
      </c>
      <c r="L17" s="175" t="n">
        <v>0</v>
      </c>
      <c r="M17" s="175" t="n">
        <v>0.0537818727233769</v>
      </c>
      <c r="N17" s="157" t="n">
        <v>1981</v>
      </c>
      <c r="O17" s="157" t="n">
        <v>2752</v>
      </c>
      <c r="P17" s="157" t="n">
        <v>946</v>
      </c>
      <c r="Q17" s="157" t="n">
        <v>17</v>
      </c>
      <c r="R17" s="157" t="n">
        <v>10</v>
      </c>
      <c r="S17" s="157" t="n">
        <v>1</v>
      </c>
      <c r="T17" s="457" t="s">
        <v>6680</v>
      </c>
      <c r="U17" s="157" t="n">
        <v>398</v>
      </c>
      <c r="V17" s="458" t="n">
        <v>25983</v>
      </c>
      <c r="W17" s="458" t="n">
        <v>26000</v>
      </c>
      <c r="X17" s="445" t="s">
        <v>6664</v>
      </c>
      <c r="Y17" s="458" t="n">
        <v>9000</v>
      </c>
      <c r="Z17" s="457" t="s">
        <v>6638</v>
      </c>
      <c r="AK17" s="459"/>
    </row>
    <row r="18" s="157" customFormat="true" ht="12.75" hidden="false" customHeight="true" outlineLevel="0" collapsed="false">
      <c r="A18" s="456" t="n">
        <v>6</v>
      </c>
      <c r="B18" s="157" t="n">
        <v>13</v>
      </c>
      <c r="C18" s="157" t="s">
        <v>6633</v>
      </c>
      <c r="D18" s="157" t="s">
        <v>6684</v>
      </c>
      <c r="E18" s="457" t="s">
        <v>2461</v>
      </c>
      <c r="F18" s="157" t="s">
        <v>6685</v>
      </c>
      <c r="G18" s="157" t="n">
        <v>44.2</v>
      </c>
      <c r="H18" s="157" t="n">
        <v>9102</v>
      </c>
      <c r="I18" s="457" t="n">
        <v>0</v>
      </c>
      <c r="J18" s="458" t="n">
        <v>30878</v>
      </c>
      <c r="K18" s="167" t="n">
        <v>3.34999028434484</v>
      </c>
      <c r="L18" s="175" t="n">
        <v>0</v>
      </c>
      <c r="M18" s="175" t="n">
        <v>0.0715383648649955</v>
      </c>
      <c r="N18" s="157" t="n">
        <v>1978</v>
      </c>
      <c r="O18" s="157" t="n">
        <v>817</v>
      </c>
      <c r="P18" s="157" t="n">
        <v>1742</v>
      </c>
      <c r="Q18" s="157" t="n">
        <v>21</v>
      </c>
      <c r="R18" s="157" t="n">
        <v>10</v>
      </c>
      <c r="S18" s="157" t="n">
        <v>1</v>
      </c>
      <c r="T18" s="457" t="s">
        <v>6680</v>
      </c>
      <c r="U18" s="157" t="n">
        <v>398</v>
      </c>
      <c r="V18" s="458" t="n">
        <v>58464</v>
      </c>
      <c r="W18" s="458" t="n">
        <v>58000</v>
      </c>
      <c r="X18" s="445" t="s">
        <v>6675</v>
      </c>
      <c r="Y18" s="458" t="n">
        <v>31000</v>
      </c>
      <c r="Z18" s="457" t="s">
        <v>6638</v>
      </c>
      <c r="AD18" s="157" t="s">
        <v>6686</v>
      </c>
      <c r="AK18" s="459"/>
    </row>
    <row r="19" s="157" customFormat="true" ht="12.75" hidden="false" customHeight="true" outlineLevel="0" collapsed="false">
      <c r="A19" s="456" t="n">
        <v>6</v>
      </c>
      <c r="B19" s="157" t="s">
        <v>388</v>
      </c>
      <c r="C19" s="157" t="s">
        <v>6633</v>
      </c>
      <c r="D19" s="157" t="s">
        <v>6687</v>
      </c>
      <c r="E19" s="457" t="s">
        <v>2461</v>
      </c>
      <c r="F19" s="157" t="s">
        <v>6688</v>
      </c>
      <c r="G19" s="157" t="n">
        <v>44.1</v>
      </c>
      <c r="H19" s="157" t="n">
        <v>9102</v>
      </c>
      <c r="I19" s="457" t="n">
        <v>0</v>
      </c>
      <c r="J19" s="458" t="n">
        <v>27238</v>
      </c>
      <c r="K19" s="167" t="n">
        <v>5.21642558190763</v>
      </c>
      <c r="L19" s="175" t="n">
        <v>0</v>
      </c>
      <c r="M19" s="175" t="n">
        <v>0.0281521624379773</v>
      </c>
      <c r="N19" s="157" t="n">
        <v>1978</v>
      </c>
      <c r="O19" s="157" t="n">
        <v>4925</v>
      </c>
      <c r="P19" s="157" t="n">
        <v>0</v>
      </c>
      <c r="Q19" s="157" t="n">
        <v>21</v>
      </c>
      <c r="R19" s="157" t="n">
        <v>10</v>
      </c>
      <c r="S19" s="157" t="n">
        <v>1</v>
      </c>
      <c r="T19" s="457" t="s">
        <v>6680</v>
      </c>
      <c r="U19" s="157" t="n">
        <v>398</v>
      </c>
      <c r="V19" s="458" t="n">
        <v>51811</v>
      </c>
      <c r="W19" s="458" t="n">
        <v>52000</v>
      </c>
      <c r="X19" s="445" t="s">
        <v>6675</v>
      </c>
      <c r="Y19" s="458" t="n">
        <v>27000</v>
      </c>
      <c r="Z19" s="457" t="s">
        <v>6638</v>
      </c>
      <c r="AD19" s="157" t="s">
        <v>6689</v>
      </c>
      <c r="AK19" s="459"/>
    </row>
    <row r="20" s="157" customFormat="true" ht="12.75" hidden="false" customHeight="true" outlineLevel="0" collapsed="false">
      <c r="A20" s="456" t="n">
        <v>6</v>
      </c>
      <c r="B20" s="157" t="n">
        <v>15</v>
      </c>
      <c r="C20" s="157" t="s">
        <v>6633</v>
      </c>
      <c r="D20" s="157" t="s">
        <v>6690</v>
      </c>
      <c r="E20" s="457" t="s">
        <v>2461</v>
      </c>
      <c r="F20" s="157" t="s">
        <v>6691</v>
      </c>
      <c r="G20" s="157" t="n">
        <v>44.2</v>
      </c>
      <c r="H20" s="157" t="n">
        <v>9102</v>
      </c>
      <c r="I20" s="457" t="n">
        <v>0</v>
      </c>
      <c r="J20" s="458" t="n">
        <v>16328</v>
      </c>
      <c r="K20" s="167" t="n">
        <v>6.58114894659481</v>
      </c>
      <c r="L20" s="175" t="n">
        <v>0</v>
      </c>
      <c r="M20" s="175" t="n">
        <v>0.0403137999385801</v>
      </c>
      <c r="N20" s="157" t="n">
        <v>1979</v>
      </c>
      <c r="O20" s="157" t="n">
        <v>225</v>
      </c>
      <c r="P20" s="157" t="n">
        <v>0</v>
      </c>
      <c r="Q20" s="157" t="n">
        <v>23</v>
      </c>
      <c r="R20" s="157" t="n">
        <v>10</v>
      </c>
      <c r="S20" s="157" t="n">
        <v>1</v>
      </c>
      <c r="T20" s="457" t="s">
        <v>6680</v>
      </c>
      <c r="U20" s="157" t="n">
        <v>398</v>
      </c>
      <c r="V20" s="458" t="n">
        <v>40424</v>
      </c>
      <c r="W20" s="458" t="n">
        <v>40000</v>
      </c>
      <c r="X20" s="445" t="s">
        <v>6692</v>
      </c>
      <c r="Y20" s="458" t="n">
        <v>16000</v>
      </c>
      <c r="Z20" s="457" t="s">
        <v>6638</v>
      </c>
      <c r="AK20" s="459" t="s">
        <v>6665</v>
      </c>
    </row>
    <row r="21" s="157" customFormat="true" ht="12.75" hidden="false" customHeight="true" outlineLevel="0" collapsed="false">
      <c r="A21" s="456" t="n">
        <v>6</v>
      </c>
      <c r="B21" s="157" t="n">
        <v>16</v>
      </c>
      <c r="C21" s="157" t="s">
        <v>6633</v>
      </c>
      <c r="D21" s="157" t="s">
        <v>6693</v>
      </c>
      <c r="E21" s="457" t="s">
        <v>2461</v>
      </c>
      <c r="F21" s="157" t="s">
        <v>6694</v>
      </c>
      <c r="G21" s="157" t="n">
        <v>47.1</v>
      </c>
      <c r="H21" s="157" t="n">
        <v>9102</v>
      </c>
      <c r="I21" s="457" t="n">
        <v>0</v>
      </c>
      <c r="J21" s="458" t="n">
        <v>14400</v>
      </c>
      <c r="K21" s="167" t="n">
        <v>4.5</v>
      </c>
      <c r="L21" s="175" t="n">
        <v>0</v>
      </c>
      <c r="M21" s="175" t="n">
        <v>0</v>
      </c>
      <c r="N21" s="157" t="n">
        <v>1974</v>
      </c>
      <c r="O21" s="157" t="n">
        <v>2000</v>
      </c>
      <c r="P21" s="157" t="n">
        <v>1800</v>
      </c>
      <c r="Q21" s="157" t="n">
        <v>18</v>
      </c>
      <c r="R21" s="157" t="n">
        <v>10</v>
      </c>
      <c r="S21" s="157" t="n">
        <v>1</v>
      </c>
      <c r="T21" s="457" t="s">
        <v>6680</v>
      </c>
      <c r="U21" s="157" t="n">
        <v>401</v>
      </c>
      <c r="V21" s="458" t="n">
        <v>45601</v>
      </c>
      <c r="W21" s="458" t="n">
        <v>46000</v>
      </c>
      <c r="X21" s="445" t="s">
        <v>6695</v>
      </c>
      <c r="Y21" s="458" t="n">
        <v>14000</v>
      </c>
      <c r="Z21" s="457" t="s">
        <v>6696</v>
      </c>
      <c r="AK21" s="459" t="s">
        <v>6697</v>
      </c>
    </row>
    <row r="22" s="157" customFormat="true" ht="12.75" hidden="false" customHeight="true" outlineLevel="0" collapsed="false">
      <c r="A22" s="456" t="n">
        <v>6</v>
      </c>
      <c r="B22" s="157" t="n">
        <v>17</v>
      </c>
      <c r="C22" s="157" t="s">
        <v>6633</v>
      </c>
      <c r="D22" s="157" t="s">
        <v>6698</v>
      </c>
      <c r="E22" s="457" t="s">
        <v>2461</v>
      </c>
      <c r="F22" s="157" t="s">
        <v>6699</v>
      </c>
      <c r="G22" s="157" t="n">
        <v>44.2</v>
      </c>
      <c r="H22" s="157" t="n">
        <v>9102</v>
      </c>
      <c r="I22" s="457" t="n">
        <v>0</v>
      </c>
      <c r="J22" s="458" t="n">
        <v>31200</v>
      </c>
      <c r="K22" s="167" t="n">
        <v>4.32692307692308</v>
      </c>
      <c r="L22" s="175" t="n">
        <v>0</v>
      </c>
      <c r="M22" s="175" t="n">
        <v>0</v>
      </c>
      <c r="N22" s="157" t="n">
        <v>2000</v>
      </c>
      <c r="O22" s="157" t="n">
        <v>1336</v>
      </c>
      <c r="P22" s="157" t="n">
        <v>0</v>
      </c>
      <c r="Q22" s="157" t="n">
        <v>19</v>
      </c>
      <c r="R22" s="157" t="n">
        <v>14</v>
      </c>
      <c r="S22" s="157" t="n">
        <v>1</v>
      </c>
      <c r="T22" s="457" t="s">
        <v>6642</v>
      </c>
      <c r="U22" s="157" t="n">
        <v>398</v>
      </c>
      <c r="V22" s="458" t="n">
        <v>69243</v>
      </c>
      <c r="W22" s="458" t="n">
        <v>69000</v>
      </c>
      <c r="X22" s="445" t="s">
        <v>6700</v>
      </c>
      <c r="Y22" s="458" t="n">
        <v>31000</v>
      </c>
      <c r="Z22" s="457" t="s">
        <v>6638</v>
      </c>
      <c r="AD22" s="157" t="s">
        <v>6701</v>
      </c>
      <c r="AK22" s="459"/>
    </row>
    <row r="23" s="157" customFormat="true" ht="25.5" hidden="false" customHeight="true" outlineLevel="0" collapsed="false">
      <c r="A23" s="456" t="n">
        <v>6</v>
      </c>
      <c r="B23" s="157" t="n">
        <v>18</v>
      </c>
      <c r="C23" s="157" t="s">
        <v>6633</v>
      </c>
      <c r="D23" s="157" t="s">
        <v>6702</v>
      </c>
      <c r="E23" s="457" t="s">
        <v>2461</v>
      </c>
      <c r="F23" s="157" t="s">
        <v>6703</v>
      </c>
      <c r="G23" s="157" t="n">
        <v>44.1</v>
      </c>
      <c r="H23" s="157" t="n">
        <v>9103</v>
      </c>
      <c r="I23" s="457" t="n">
        <v>0</v>
      </c>
      <c r="J23" s="458" t="n">
        <v>10530</v>
      </c>
      <c r="K23" s="167" t="n">
        <v>11.3960113960114</v>
      </c>
      <c r="L23" s="175" t="n">
        <v>0</v>
      </c>
      <c r="M23" s="175" t="n">
        <v>0.00035</v>
      </c>
      <c r="N23" s="157" t="n">
        <v>2006</v>
      </c>
      <c r="O23" s="157" t="n">
        <v>3547</v>
      </c>
      <c r="P23" s="157" t="n">
        <v>0</v>
      </c>
      <c r="Q23" s="157" t="n">
        <v>25</v>
      </c>
      <c r="R23" s="157" t="n">
        <v>14</v>
      </c>
      <c r="S23" s="157" t="n">
        <v>1</v>
      </c>
      <c r="T23" s="457" t="s">
        <v>6704</v>
      </c>
      <c r="U23" s="157" t="n">
        <v>398</v>
      </c>
      <c r="V23" s="458" t="n">
        <v>44907</v>
      </c>
      <c r="W23" s="458" t="n">
        <v>45000</v>
      </c>
      <c r="X23" s="445" t="s">
        <v>6705</v>
      </c>
      <c r="Y23" s="458" t="n">
        <v>11000</v>
      </c>
      <c r="Z23" s="457" t="s">
        <v>6638</v>
      </c>
      <c r="AD23" s="157" t="s">
        <v>6706</v>
      </c>
      <c r="AK23" s="459" t="s">
        <v>6707</v>
      </c>
    </row>
    <row r="24" s="157" customFormat="true" ht="12.75" hidden="false" customHeight="true" outlineLevel="0" collapsed="false">
      <c r="A24" s="456" t="n">
        <v>6</v>
      </c>
      <c r="B24" s="157" t="n">
        <v>19</v>
      </c>
      <c r="C24" s="157" t="s">
        <v>6633</v>
      </c>
      <c r="D24" s="157" t="s">
        <v>6708</v>
      </c>
      <c r="E24" s="457" t="s">
        <v>2461</v>
      </c>
      <c r="F24" s="157" t="s">
        <v>6709</v>
      </c>
      <c r="G24" s="157" t="n">
        <v>44.2</v>
      </c>
      <c r="H24" s="157" t="n">
        <v>9103</v>
      </c>
      <c r="I24" s="457" t="n">
        <v>0</v>
      </c>
      <c r="J24" s="458" t="n">
        <v>31412</v>
      </c>
      <c r="K24" s="167" t="n">
        <v>6.49433337577996</v>
      </c>
      <c r="L24" s="175" t="n">
        <v>0</v>
      </c>
      <c r="M24" s="175" t="n">
        <v>0</v>
      </c>
      <c r="N24" s="157" t="n">
        <v>2007</v>
      </c>
      <c r="O24" s="157" t="n">
        <v>15084</v>
      </c>
      <c r="P24" s="157" t="n">
        <v>0</v>
      </c>
      <c r="Q24" s="157" t="n">
        <v>32</v>
      </c>
      <c r="R24" s="157" t="n">
        <v>14</v>
      </c>
      <c r="S24" s="157" t="n">
        <v>1</v>
      </c>
      <c r="T24" s="457" t="s">
        <v>6704</v>
      </c>
      <c r="U24" s="157" t="n">
        <v>398</v>
      </c>
      <c r="V24" s="458" t="n">
        <v>43747</v>
      </c>
      <c r="W24" s="458" t="n">
        <v>44000</v>
      </c>
      <c r="X24" s="445" t="s">
        <v>6710</v>
      </c>
      <c r="Y24" s="458" t="n">
        <v>31000</v>
      </c>
      <c r="Z24" s="457" t="s">
        <v>6638</v>
      </c>
      <c r="AD24" s="157" t="s">
        <v>6711</v>
      </c>
      <c r="AK24" s="459" t="s">
        <v>6661</v>
      </c>
    </row>
    <row r="25" s="157" customFormat="true" ht="12.75" hidden="false" customHeight="true" outlineLevel="0" collapsed="false">
      <c r="A25" s="456" t="n">
        <v>6</v>
      </c>
      <c r="B25" s="157" t="n">
        <v>20</v>
      </c>
      <c r="C25" s="157" t="s">
        <v>6633</v>
      </c>
      <c r="D25" s="157" t="s">
        <v>6712</v>
      </c>
      <c r="E25" s="457" t="s">
        <v>2461</v>
      </c>
      <c r="F25" s="157" t="s">
        <v>6713</v>
      </c>
      <c r="G25" s="157" t="n">
        <v>44.1</v>
      </c>
      <c r="H25" s="157" t="n">
        <v>9103</v>
      </c>
      <c r="I25" s="457" t="n">
        <v>0</v>
      </c>
      <c r="J25" s="458" t="n">
        <v>46400</v>
      </c>
      <c r="K25" s="167" t="n">
        <v>8.15478448275862</v>
      </c>
      <c r="L25" s="175" t="n">
        <v>0</v>
      </c>
      <c r="M25" s="175" t="n">
        <v>0</v>
      </c>
      <c r="N25" s="157" t="n">
        <v>2008</v>
      </c>
      <c r="O25" s="157" t="n">
        <v>1100</v>
      </c>
      <c r="P25" s="157" t="n">
        <v>0</v>
      </c>
      <c r="Q25" s="157" t="n">
        <v>20</v>
      </c>
      <c r="R25" s="157" t="n">
        <v>9</v>
      </c>
      <c r="S25" s="157" t="n">
        <v>1</v>
      </c>
      <c r="T25" s="457" t="s">
        <v>6680</v>
      </c>
      <c r="U25" s="157" t="n">
        <v>398</v>
      </c>
      <c r="V25" s="458" t="n">
        <v>153609</v>
      </c>
      <c r="W25" s="458" t="n">
        <v>154000</v>
      </c>
      <c r="X25" s="445" t="s">
        <v>6643</v>
      </c>
      <c r="Y25" s="458" t="n">
        <v>46000</v>
      </c>
      <c r="Z25" s="457" t="s">
        <v>6638</v>
      </c>
      <c r="AD25" s="157" t="s">
        <v>6714</v>
      </c>
      <c r="AK25" s="459" t="s">
        <v>6665</v>
      </c>
    </row>
    <row r="26" s="157" customFormat="true" ht="12.75" hidden="false" customHeight="true" outlineLevel="0" collapsed="false">
      <c r="A26" s="456" t="n">
        <v>6</v>
      </c>
      <c r="B26" s="157" t="n">
        <v>21</v>
      </c>
      <c r="C26" s="157" t="s">
        <v>6633</v>
      </c>
      <c r="D26" s="157" t="s">
        <v>6715</v>
      </c>
      <c r="E26" s="457" t="s">
        <v>2461</v>
      </c>
      <c r="F26" s="157" t="s">
        <v>6716</v>
      </c>
      <c r="G26" s="157" t="n">
        <v>44.2</v>
      </c>
      <c r="H26" s="157" t="n">
        <v>9103</v>
      </c>
      <c r="I26" s="457" t="n">
        <v>0</v>
      </c>
      <c r="J26" s="458" t="n">
        <v>17750</v>
      </c>
      <c r="K26" s="167" t="n">
        <v>5.00056338028169</v>
      </c>
      <c r="L26" s="175" t="n">
        <v>0</v>
      </c>
      <c r="M26" s="175" t="n">
        <v>0.0878323569175304</v>
      </c>
      <c r="N26" s="157" t="n">
        <v>2004</v>
      </c>
      <c r="O26" s="157" t="n">
        <v>8277</v>
      </c>
      <c r="P26" s="157" t="n">
        <v>0</v>
      </c>
      <c r="Q26" s="157" t="n">
        <v>30</v>
      </c>
      <c r="R26" s="157" t="n">
        <v>14</v>
      </c>
      <c r="S26" s="157" t="n">
        <v>1</v>
      </c>
      <c r="T26" s="457" t="s">
        <v>6704</v>
      </c>
      <c r="U26" s="157" t="n">
        <v>398</v>
      </c>
      <c r="V26" s="458" t="n">
        <v>65250</v>
      </c>
      <c r="W26" s="458" t="n">
        <v>65000</v>
      </c>
      <c r="X26" s="445" t="s">
        <v>6717</v>
      </c>
      <c r="Y26" s="458" t="n">
        <v>18000</v>
      </c>
      <c r="Z26" s="457" t="s">
        <v>6638</v>
      </c>
      <c r="AD26" s="157" t="s">
        <v>6718</v>
      </c>
      <c r="AK26" s="459"/>
    </row>
    <row r="27" s="157" customFormat="true" ht="12.75" hidden="false" customHeight="true" outlineLevel="0" collapsed="false">
      <c r="A27" s="456" t="n">
        <v>6</v>
      </c>
      <c r="B27" s="157" t="n">
        <v>22</v>
      </c>
      <c r="C27" s="157" t="s">
        <v>6633</v>
      </c>
      <c r="D27" s="157" t="s">
        <v>6719</v>
      </c>
      <c r="E27" s="457" t="s">
        <v>2461</v>
      </c>
      <c r="F27" s="157" t="s">
        <v>6720</v>
      </c>
      <c r="G27" s="157" t="n">
        <v>44.3</v>
      </c>
      <c r="H27" s="157" t="n">
        <v>9101</v>
      </c>
      <c r="I27" s="457" t="n">
        <v>0</v>
      </c>
      <c r="J27" s="458" t="n">
        <v>128963</v>
      </c>
      <c r="K27" s="167" t="n">
        <v>3.16369811496321</v>
      </c>
      <c r="L27" s="175" t="n">
        <v>0</v>
      </c>
      <c r="M27" s="175" t="n">
        <v>0</v>
      </c>
      <c r="N27" s="157" t="n">
        <v>1966</v>
      </c>
      <c r="O27" s="157" t="n">
        <v>9653</v>
      </c>
      <c r="P27" s="157" t="n">
        <v>1015</v>
      </c>
      <c r="Q27" s="157" t="n">
        <v>34</v>
      </c>
      <c r="R27" s="157" t="n">
        <v>3</v>
      </c>
      <c r="S27" s="157" t="n">
        <v>1</v>
      </c>
      <c r="T27" s="457" t="s">
        <v>6642</v>
      </c>
      <c r="U27" s="157" t="n">
        <v>398</v>
      </c>
      <c r="V27" s="458" t="n">
        <v>292070</v>
      </c>
      <c r="W27" s="458" t="n">
        <v>292000</v>
      </c>
      <c r="X27" s="445" t="s">
        <v>6646</v>
      </c>
      <c r="Y27" s="458" t="n">
        <v>129000</v>
      </c>
      <c r="Z27" s="457" t="s">
        <v>6638</v>
      </c>
      <c r="AD27" s="157" t="s">
        <v>6721</v>
      </c>
      <c r="AK27" s="459" t="s">
        <v>6665</v>
      </c>
    </row>
    <row r="28" s="157" customFormat="true" ht="12.75" hidden="false" customHeight="true" outlineLevel="0" collapsed="false">
      <c r="A28" s="456" t="n">
        <v>6</v>
      </c>
      <c r="B28" s="157" t="n">
        <v>23</v>
      </c>
      <c r="C28" s="157" t="s">
        <v>6633</v>
      </c>
      <c r="D28" s="157" t="s">
        <v>6722</v>
      </c>
      <c r="E28" s="457" t="s">
        <v>2461</v>
      </c>
      <c r="F28" s="157" t="s">
        <v>6723</v>
      </c>
      <c r="G28" s="157" t="n">
        <v>44.4</v>
      </c>
      <c r="H28" s="157" t="n">
        <v>9101</v>
      </c>
      <c r="I28" s="457" t="n">
        <v>0</v>
      </c>
      <c r="J28" s="458" t="n">
        <v>122398</v>
      </c>
      <c r="K28" s="167" t="n">
        <v>4.7691955750911</v>
      </c>
      <c r="L28" s="175" t="n">
        <v>1</v>
      </c>
      <c r="M28" s="175" t="n">
        <v>0.0839740295336965</v>
      </c>
      <c r="N28" s="157" t="n">
        <v>1993</v>
      </c>
      <c r="O28" s="157" t="n">
        <v>6829</v>
      </c>
      <c r="P28" s="157" t="n">
        <v>13273</v>
      </c>
      <c r="Q28" s="157" t="n">
        <v>30</v>
      </c>
      <c r="R28" s="157" t="n">
        <v>14</v>
      </c>
      <c r="S28" s="157" t="n">
        <v>1</v>
      </c>
      <c r="T28" s="457" t="s">
        <v>6642</v>
      </c>
      <c r="U28" s="157" t="n">
        <v>398</v>
      </c>
      <c r="V28" s="458" t="n">
        <v>317659</v>
      </c>
      <c r="W28" s="458" t="n">
        <v>318000</v>
      </c>
      <c r="X28" s="445" t="s">
        <v>6724</v>
      </c>
      <c r="Y28" s="458" t="n">
        <v>122000</v>
      </c>
      <c r="Z28" s="457" t="s">
        <v>6638</v>
      </c>
      <c r="AD28" s="157" t="s">
        <v>6725</v>
      </c>
      <c r="AK28" s="459" t="s">
        <v>6726</v>
      </c>
    </row>
    <row r="29" s="157" customFormat="true" ht="12.75" hidden="false" customHeight="true" outlineLevel="0" collapsed="false">
      <c r="A29" s="456" t="n">
        <v>6</v>
      </c>
      <c r="B29" s="157" t="n">
        <v>24</v>
      </c>
      <c r="C29" s="157" t="s">
        <v>6633</v>
      </c>
      <c r="D29" s="157" t="s">
        <v>6727</v>
      </c>
      <c r="E29" s="457" t="s">
        <v>2461</v>
      </c>
      <c r="F29" s="157" t="s">
        <v>6728</v>
      </c>
      <c r="G29" s="157" t="n">
        <v>44.7</v>
      </c>
      <c r="H29" s="157" t="n">
        <v>9101</v>
      </c>
      <c r="I29" s="457" t="n">
        <v>0</v>
      </c>
      <c r="J29" s="458" t="n">
        <v>106353</v>
      </c>
      <c r="K29" s="167" t="n">
        <v>3.07714874051508</v>
      </c>
      <c r="L29" s="175" t="n">
        <v>0</v>
      </c>
      <c r="M29" s="175" t="n">
        <v>0.00834494475408233</v>
      </c>
      <c r="N29" s="157" t="n">
        <v>1974</v>
      </c>
      <c r="O29" s="157" t="n">
        <v>8047</v>
      </c>
      <c r="P29" s="157" t="n">
        <v>0</v>
      </c>
      <c r="Q29" s="157" t="n">
        <v>24</v>
      </c>
      <c r="R29" s="157" t="n">
        <v>10</v>
      </c>
      <c r="S29" s="157" t="n">
        <v>1</v>
      </c>
      <c r="T29" s="457" t="s">
        <v>6642</v>
      </c>
      <c r="U29" s="157" t="n">
        <v>398</v>
      </c>
      <c r="V29" s="458" t="n">
        <v>261000</v>
      </c>
      <c r="W29" s="458" t="n">
        <v>261000</v>
      </c>
      <c r="X29" s="445" t="s">
        <v>6692</v>
      </c>
      <c r="Y29" s="458" t="n">
        <v>106000</v>
      </c>
      <c r="Z29" s="457" t="s">
        <v>6638</v>
      </c>
      <c r="AD29" s="157" t="s">
        <v>6729</v>
      </c>
      <c r="AK29" s="459"/>
    </row>
    <row r="30" s="157" customFormat="true" ht="12.75" hidden="false" customHeight="true" outlineLevel="0" collapsed="false">
      <c r="A30" s="456" t="n">
        <v>6</v>
      </c>
      <c r="B30" s="157" t="n">
        <v>25</v>
      </c>
      <c r="C30" s="157" t="s">
        <v>6633</v>
      </c>
      <c r="D30" s="157" t="s">
        <v>6730</v>
      </c>
      <c r="E30" s="457" t="s">
        <v>2461</v>
      </c>
      <c r="F30" s="157" t="s">
        <v>6731</v>
      </c>
      <c r="G30" s="157" t="n">
        <v>44.7</v>
      </c>
      <c r="H30" s="157" t="n">
        <v>9101</v>
      </c>
      <c r="I30" s="457" t="n">
        <v>0</v>
      </c>
      <c r="J30" s="458" t="n">
        <v>104748</v>
      </c>
      <c r="K30" s="167" t="n">
        <v>8.457984180437</v>
      </c>
      <c r="L30" s="175" t="n">
        <v>0</v>
      </c>
      <c r="M30" s="175" t="n">
        <v>0.0661666666666667</v>
      </c>
      <c r="N30" s="157" t="n">
        <v>1973</v>
      </c>
      <c r="O30" s="157" t="n">
        <v>1041</v>
      </c>
      <c r="P30" s="157" t="n">
        <v>7500</v>
      </c>
      <c r="Q30" s="157" t="n">
        <v>27</v>
      </c>
      <c r="R30" s="157" t="n">
        <v>3</v>
      </c>
      <c r="S30" s="157" t="n">
        <v>2</v>
      </c>
      <c r="T30" s="457" t="s">
        <v>6642</v>
      </c>
      <c r="U30" s="157" t="n">
        <v>398</v>
      </c>
      <c r="V30" s="458" t="n">
        <v>261359</v>
      </c>
      <c r="W30" s="458" t="n">
        <v>261000</v>
      </c>
      <c r="X30" s="445" t="s">
        <v>6692</v>
      </c>
      <c r="Y30" s="458" t="n">
        <v>105000</v>
      </c>
      <c r="Z30" s="457" t="s">
        <v>6638</v>
      </c>
      <c r="AD30" s="157" t="s">
        <v>6732</v>
      </c>
      <c r="AK30" s="459" t="s">
        <v>6726</v>
      </c>
    </row>
    <row r="31" s="157" customFormat="true" ht="12.75" hidden="false" customHeight="true" outlineLevel="0" collapsed="false">
      <c r="A31" s="456" t="n">
        <v>6</v>
      </c>
      <c r="B31" s="157" t="n">
        <v>26</v>
      </c>
      <c r="C31" s="157" t="s">
        <v>6633</v>
      </c>
      <c r="D31" s="157" t="s">
        <v>6733</v>
      </c>
      <c r="E31" s="457" t="s">
        <v>2461</v>
      </c>
      <c r="F31" s="157" t="s">
        <v>6734</v>
      </c>
      <c r="G31" s="157" t="n">
        <v>44.7</v>
      </c>
      <c r="H31" s="157" t="n">
        <v>9101</v>
      </c>
      <c r="I31" s="457" t="n">
        <v>0</v>
      </c>
      <c r="J31" s="458" t="n">
        <v>13066</v>
      </c>
      <c r="K31" s="167" t="n">
        <v>3.73105770702587</v>
      </c>
      <c r="L31" s="175" t="n">
        <v>0</v>
      </c>
      <c r="M31" s="175" t="n">
        <v>0.00406153846153846</v>
      </c>
      <c r="N31" s="157" t="n">
        <v>1966</v>
      </c>
      <c r="O31" s="157" t="n">
        <v>1560</v>
      </c>
      <c r="P31" s="157" t="n">
        <v>0</v>
      </c>
      <c r="Q31" s="157" t="n">
        <v>20</v>
      </c>
      <c r="R31" s="157" t="n">
        <v>3</v>
      </c>
      <c r="S31" s="157" t="n">
        <v>2</v>
      </c>
      <c r="T31" s="457" t="s">
        <v>6642</v>
      </c>
      <c r="U31" s="157" t="n">
        <v>398</v>
      </c>
      <c r="V31" s="458" t="n">
        <v>18315</v>
      </c>
      <c r="W31" s="458" t="n">
        <v>18000</v>
      </c>
      <c r="X31" s="445" t="s">
        <v>6710</v>
      </c>
      <c r="Y31" s="458" t="n">
        <v>13000</v>
      </c>
      <c r="Z31" s="457" t="s">
        <v>6735</v>
      </c>
      <c r="AK31" s="459"/>
    </row>
    <row r="32" s="157" customFormat="true" ht="12.75" hidden="false" customHeight="true" outlineLevel="0" collapsed="false">
      <c r="A32" s="456" t="n">
        <v>6</v>
      </c>
      <c r="B32" s="157" t="n">
        <v>27</v>
      </c>
      <c r="C32" s="157" t="s">
        <v>6633</v>
      </c>
      <c r="D32" s="157" t="s">
        <v>6736</v>
      </c>
      <c r="E32" s="457" t="s">
        <v>2461</v>
      </c>
      <c r="F32" s="157" t="s">
        <v>6737</v>
      </c>
      <c r="G32" s="157" t="n">
        <v>44.2</v>
      </c>
      <c r="H32" s="157" t="n">
        <v>9101</v>
      </c>
      <c r="I32" s="457" t="n">
        <v>0</v>
      </c>
      <c r="J32" s="458" t="n">
        <v>11440</v>
      </c>
      <c r="K32" s="167" t="n">
        <v>6.29370629370629</v>
      </c>
      <c r="L32" s="175" t="n">
        <v>0</v>
      </c>
      <c r="M32" s="175" t="n">
        <v>0.0482222222222222</v>
      </c>
      <c r="N32" s="157" t="n">
        <v>1974</v>
      </c>
      <c r="O32" s="157" t="n">
        <v>1564</v>
      </c>
      <c r="P32" s="157" t="n">
        <v>0</v>
      </c>
      <c r="Q32" s="157" t="n">
        <v>22</v>
      </c>
      <c r="R32" s="157" t="n">
        <v>1</v>
      </c>
      <c r="S32" s="157" t="n">
        <v>1</v>
      </c>
      <c r="T32" s="457" t="s">
        <v>6642</v>
      </c>
      <c r="U32" s="157" t="n">
        <v>398</v>
      </c>
      <c r="V32" s="458" t="n">
        <v>21764</v>
      </c>
      <c r="W32" s="458" t="n">
        <v>22000</v>
      </c>
      <c r="X32" s="445" t="s">
        <v>6675</v>
      </c>
      <c r="Y32" s="458" t="n">
        <v>11000</v>
      </c>
      <c r="Z32" s="457" t="s">
        <v>6638</v>
      </c>
      <c r="AK32" s="459"/>
    </row>
    <row r="33" s="157" customFormat="true" ht="12.75" hidden="false" customHeight="true" outlineLevel="0" collapsed="false">
      <c r="A33" s="456" t="n">
        <v>6</v>
      </c>
      <c r="B33" s="157" t="n">
        <v>28</v>
      </c>
      <c r="C33" s="157" t="s">
        <v>6633</v>
      </c>
      <c r="D33" s="157" t="s">
        <v>6738</v>
      </c>
      <c r="E33" s="457" t="s">
        <v>2461</v>
      </c>
      <c r="F33" s="157" t="s">
        <v>6739</v>
      </c>
      <c r="G33" s="157" t="n">
        <v>44.2</v>
      </c>
      <c r="H33" s="157" t="n">
        <v>9101</v>
      </c>
      <c r="I33" s="457" t="n">
        <v>0</v>
      </c>
      <c r="J33" s="458" t="n">
        <v>40200</v>
      </c>
      <c r="K33" s="167" t="n">
        <v>5.97014925373134</v>
      </c>
      <c r="L33" s="175" t="n">
        <v>1</v>
      </c>
      <c r="M33" s="175" t="n">
        <v>0.0302875</v>
      </c>
      <c r="N33" s="157" t="n">
        <v>1966</v>
      </c>
      <c r="O33" s="157" t="n">
        <v>0</v>
      </c>
      <c r="P33" s="157" t="n">
        <v>0</v>
      </c>
      <c r="Q33" s="157" t="n">
        <v>30</v>
      </c>
      <c r="R33" s="157" t="n">
        <v>1</v>
      </c>
      <c r="S33" s="157" t="n">
        <v>1</v>
      </c>
      <c r="T33" s="457" t="s">
        <v>6642</v>
      </c>
      <c r="U33" s="157" t="n">
        <v>398</v>
      </c>
      <c r="V33" s="458" t="n">
        <v>102703</v>
      </c>
      <c r="W33" s="458" t="n">
        <v>103000</v>
      </c>
      <c r="X33" s="445" t="s">
        <v>6724</v>
      </c>
      <c r="Y33" s="458" t="n">
        <v>40000</v>
      </c>
      <c r="Z33" s="457" t="s">
        <v>6638</v>
      </c>
      <c r="AD33" s="157" t="s">
        <v>6740</v>
      </c>
      <c r="AK33" s="459" t="s">
        <v>6661</v>
      </c>
    </row>
    <row r="34" s="157" customFormat="true" ht="12.75" hidden="false" customHeight="true" outlineLevel="0" collapsed="false">
      <c r="A34" s="456" t="n">
        <v>6</v>
      </c>
      <c r="B34" s="157" t="n">
        <v>29</v>
      </c>
      <c r="C34" s="157" t="s">
        <v>6633</v>
      </c>
      <c r="D34" s="157" t="s">
        <v>6741</v>
      </c>
      <c r="E34" s="457" t="s">
        <v>2461</v>
      </c>
      <c r="F34" s="157" t="s">
        <v>6742</v>
      </c>
      <c r="G34" s="157" t="n">
        <v>44.1</v>
      </c>
      <c r="H34" s="157" t="n">
        <v>9101</v>
      </c>
      <c r="I34" s="457" t="n">
        <v>0</v>
      </c>
      <c r="J34" s="458" t="n">
        <v>40000</v>
      </c>
      <c r="K34" s="167" t="n">
        <v>3.69</v>
      </c>
      <c r="L34" s="175" t="n">
        <v>0</v>
      </c>
      <c r="M34" s="175" t="n">
        <v>0</v>
      </c>
      <c r="N34" s="157" t="n">
        <v>1997</v>
      </c>
      <c r="O34" s="157" t="n">
        <v>5412</v>
      </c>
      <c r="P34" s="157" t="n">
        <v>0</v>
      </c>
      <c r="Q34" s="157" t="n">
        <v>25</v>
      </c>
      <c r="R34" s="157" t="n">
        <v>7</v>
      </c>
      <c r="S34" s="157" t="n">
        <v>1</v>
      </c>
      <c r="T34" s="457" t="s">
        <v>6642</v>
      </c>
      <c r="U34" s="157" t="n">
        <v>398</v>
      </c>
      <c r="V34" s="458" t="n">
        <v>120740</v>
      </c>
      <c r="W34" s="458" t="n">
        <v>121000</v>
      </c>
      <c r="X34" s="445" t="s">
        <v>6743</v>
      </c>
      <c r="Y34" s="458" t="n">
        <v>40000</v>
      </c>
      <c r="Z34" s="457" t="s">
        <v>6638</v>
      </c>
      <c r="AD34" s="157" t="s">
        <v>6744</v>
      </c>
      <c r="AK34" s="459" t="s">
        <v>6661</v>
      </c>
    </row>
    <row r="35" s="157" customFormat="true" ht="12.75" hidden="false" customHeight="true" outlineLevel="0" collapsed="false">
      <c r="A35" s="456" t="n">
        <v>6</v>
      </c>
      <c r="B35" s="157" t="n">
        <v>30</v>
      </c>
      <c r="C35" s="157" t="s">
        <v>6633</v>
      </c>
      <c r="D35" s="157" t="s">
        <v>6745</v>
      </c>
      <c r="E35" s="457" t="s">
        <v>2461</v>
      </c>
      <c r="F35" s="157" t="s">
        <v>6746</v>
      </c>
      <c r="G35" s="157" t="n">
        <v>44.2</v>
      </c>
      <c r="H35" s="157" t="n">
        <v>9101</v>
      </c>
      <c r="I35" s="457" t="n">
        <v>0</v>
      </c>
      <c r="J35" s="458" t="n">
        <v>6480</v>
      </c>
      <c r="K35" s="167" t="n">
        <v>9.25925925925926</v>
      </c>
      <c r="L35" s="175" t="n">
        <v>0</v>
      </c>
      <c r="M35" s="175" t="n">
        <v>0</v>
      </c>
      <c r="N35" s="157" t="n">
        <v>1987</v>
      </c>
      <c r="O35" s="157" t="n">
        <v>1744</v>
      </c>
      <c r="P35" s="157" t="n">
        <v>0</v>
      </c>
      <c r="Q35" s="157" t="n">
        <v>16</v>
      </c>
      <c r="R35" s="157" t="n">
        <v>8</v>
      </c>
      <c r="S35" s="157" t="n">
        <v>1</v>
      </c>
      <c r="T35" s="457" t="s">
        <v>6642</v>
      </c>
      <c r="U35" s="157" t="n">
        <v>398</v>
      </c>
      <c r="V35" s="458" t="n">
        <v>45216</v>
      </c>
      <c r="W35" s="458" t="n">
        <v>45000</v>
      </c>
      <c r="X35" s="445" t="s">
        <v>6747</v>
      </c>
      <c r="Y35" s="458" t="n">
        <v>6000</v>
      </c>
      <c r="Z35" s="457" t="s">
        <v>6638</v>
      </c>
      <c r="AD35" s="157" t="s">
        <v>6748</v>
      </c>
      <c r="AK35" s="459" t="s">
        <v>6697</v>
      </c>
    </row>
    <row r="36" s="157" customFormat="true" ht="12.75" hidden="false" customHeight="true" outlineLevel="0" collapsed="false">
      <c r="A36" s="456" t="n">
        <v>6</v>
      </c>
      <c r="B36" s="157" t="n">
        <v>31</v>
      </c>
      <c r="C36" s="157" t="s">
        <v>6633</v>
      </c>
      <c r="D36" s="157" t="s">
        <v>6749</v>
      </c>
      <c r="E36" s="457" t="s">
        <v>2461</v>
      </c>
      <c r="F36" s="157" t="s">
        <v>6750</v>
      </c>
      <c r="G36" s="157" t="n">
        <v>44.2</v>
      </c>
      <c r="H36" s="157" t="n">
        <v>9101</v>
      </c>
      <c r="I36" s="457" t="n">
        <v>0</v>
      </c>
      <c r="J36" s="458" t="n">
        <v>29447</v>
      </c>
      <c r="K36" s="167" t="n">
        <v>4.07511800862567</v>
      </c>
      <c r="L36" s="175" t="n">
        <v>0</v>
      </c>
      <c r="M36" s="175" t="n">
        <v>0.0196083333333333</v>
      </c>
      <c r="N36" s="157" t="n">
        <v>1967</v>
      </c>
      <c r="O36" s="157" t="n">
        <v>7053</v>
      </c>
      <c r="P36" s="157" t="n">
        <v>0</v>
      </c>
      <c r="Q36" s="157" t="n">
        <v>24</v>
      </c>
      <c r="R36" s="157" t="n">
        <v>10</v>
      </c>
      <c r="S36" s="157" t="n">
        <v>1</v>
      </c>
      <c r="T36" s="457" t="s">
        <v>6642</v>
      </c>
      <c r="U36" s="157" t="n">
        <v>398</v>
      </c>
      <c r="V36" s="458" t="n">
        <v>90213</v>
      </c>
      <c r="W36" s="458" t="n">
        <v>90000</v>
      </c>
      <c r="X36" s="445" t="s">
        <v>6751</v>
      </c>
      <c r="Y36" s="458" t="n">
        <v>29000</v>
      </c>
      <c r="Z36" s="457" t="s">
        <v>6638</v>
      </c>
      <c r="AK36" s="459" t="s">
        <v>6697</v>
      </c>
    </row>
    <row r="37" s="157" customFormat="true" ht="12.75" hidden="false" customHeight="true" outlineLevel="0" collapsed="false">
      <c r="A37" s="456" t="n">
        <v>6</v>
      </c>
      <c r="B37" s="157" t="n">
        <v>32</v>
      </c>
      <c r="C37" s="157" t="s">
        <v>6633</v>
      </c>
      <c r="D37" s="157" t="s">
        <v>6752</v>
      </c>
      <c r="E37" s="457" t="s">
        <v>2461</v>
      </c>
      <c r="F37" s="157" t="s">
        <v>6753</v>
      </c>
      <c r="G37" s="157" t="n">
        <v>44.2</v>
      </c>
      <c r="H37" s="157" t="n">
        <v>9101</v>
      </c>
      <c r="I37" s="457" t="n">
        <v>0</v>
      </c>
      <c r="J37" s="458" t="n">
        <v>38863</v>
      </c>
      <c r="K37" s="167" t="n">
        <v>3</v>
      </c>
      <c r="L37" s="175" t="n">
        <v>0</v>
      </c>
      <c r="M37" s="175" t="n">
        <v>0</v>
      </c>
      <c r="N37" s="157" t="n">
        <v>1974</v>
      </c>
      <c r="O37" s="157" t="n">
        <v>3250</v>
      </c>
      <c r="P37" s="157" t="n">
        <v>0</v>
      </c>
      <c r="Q37" s="157" t="n">
        <v>24</v>
      </c>
      <c r="R37" s="157" t="n">
        <v>10</v>
      </c>
      <c r="S37" s="157" t="n">
        <v>1</v>
      </c>
      <c r="T37" s="457" t="s">
        <v>6642</v>
      </c>
      <c r="U37" s="157" t="n">
        <v>398</v>
      </c>
      <c r="V37" s="458" t="n">
        <v>82810</v>
      </c>
      <c r="W37" s="458" t="n">
        <v>83000</v>
      </c>
      <c r="X37" s="445" t="s">
        <v>6754</v>
      </c>
      <c r="Y37" s="458" t="n">
        <v>39000</v>
      </c>
      <c r="Z37" s="457" t="s">
        <v>6638</v>
      </c>
      <c r="AK37" s="459"/>
    </row>
    <row r="38" s="157" customFormat="true" ht="12.75" hidden="false" customHeight="true" outlineLevel="0" collapsed="false">
      <c r="A38" s="456" t="n">
        <v>6</v>
      </c>
      <c r="B38" s="157" t="n">
        <v>33</v>
      </c>
      <c r="C38" s="157" t="s">
        <v>6633</v>
      </c>
      <c r="D38" s="157" t="s">
        <v>6755</v>
      </c>
      <c r="E38" s="457" t="s">
        <v>2461</v>
      </c>
      <c r="F38" s="157" t="s">
        <v>6756</v>
      </c>
      <c r="G38" s="157" t="n">
        <v>44.2</v>
      </c>
      <c r="H38" s="157" t="n">
        <v>9101</v>
      </c>
      <c r="I38" s="457" t="n">
        <v>0</v>
      </c>
      <c r="J38" s="458" t="n">
        <v>43824</v>
      </c>
      <c r="K38" s="167" t="n">
        <v>2.8647544724352</v>
      </c>
      <c r="L38" s="175" t="n">
        <v>0</v>
      </c>
      <c r="M38" s="175" t="n">
        <v>0</v>
      </c>
      <c r="N38" s="157" t="n">
        <v>1973</v>
      </c>
      <c r="O38" s="157" t="n">
        <v>1474</v>
      </c>
      <c r="P38" s="157" t="n">
        <v>0</v>
      </c>
      <c r="Q38" s="157" t="n">
        <v>22</v>
      </c>
      <c r="R38" s="157" t="n">
        <v>10</v>
      </c>
      <c r="S38" s="157" t="n">
        <v>1</v>
      </c>
      <c r="T38" s="457" t="s">
        <v>6642</v>
      </c>
      <c r="U38" s="157" t="n">
        <v>398</v>
      </c>
      <c r="V38" s="458" t="n">
        <v>117172</v>
      </c>
      <c r="W38" s="458" t="n">
        <v>117000</v>
      </c>
      <c r="X38" s="445" t="s">
        <v>6757</v>
      </c>
      <c r="Y38" s="458" t="n">
        <v>44000</v>
      </c>
      <c r="Z38" s="457" t="s">
        <v>6638</v>
      </c>
      <c r="AD38" s="157" t="s">
        <v>6758</v>
      </c>
      <c r="AK38" s="459" t="s">
        <v>6759</v>
      </c>
    </row>
    <row r="39" s="157" customFormat="true" ht="12.75" hidden="false" customHeight="true" outlineLevel="0" collapsed="false">
      <c r="A39" s="456" t="n">
        <v>6</v>
      </c>
      <c r="B39" s="157" t="n">
        <v>34</v>
      </c>
      <c r="C39" s="157" t="s">
        <v>6633</v>
      </c>
      <c r="D39" s="157" t="s">
        <v>6760</v>
      </c>
      <c r="E39" s="457" t="s">
        <v>2461</v>
      </c>
      <c r="F39" s="157" t="s">
        <v>6761</v>
      </c>
      <c r="G39" s="157" t="n">
        <v>44.1</v>
      </c>
      <c r="H39" s="157" t="n">
        <v>9101</v>
      </c>
      <c r="I39" s="457" t="n">
        <v>0</v>
      </c>
      <c r="J39" s="458" t="n">
        <v>13514</v>
      </c>
      <c r="K39" s="167" t="n">
        <v>5.32780819890484</v>
      </c>
      <c r="L39" s="175" t="n">
        <v>0</v>
      </c>
      <c r="M39" s="175" t="n">
        <v>0.0555555555555556</v>
      </c>
      <c r="N39" s="157" t="n">
        <v>1957</v>
      </c>
      <c r="O39" s="157" t="n">
        <v>1530</v>
      </c>
      <c r="P39" s="157" t="n">
        <v>0</v>
      </c>
      <c r="Q39" s="157" t="n">
        <v>17</v>
      </c>
      <c r="R39" s="157" t="n">
        <v>3</v>
      </c>
      <c r="S39" s="157" t="n">
        <v>1</v>
      </c>
      <c r="T39" s="457" t="s">
        <v>6680</v>
      </c>
      <c r="U39" s="157" t="n">
        <v>398</v>
      </c>
      <c r="V39" s="458" t="n">
        <v>42458</v>
      </c>
      <c r="W39" s="458" t="n">
        <v>42000</v>
      </c>
      <c r="X39" s="445" t="s">
        <v>6751</v>
      </c>
      <c r="Y39" s="458" t="n">
        <v>14000</v>
      </c>
      <c r="Z39" s="457" t="s">
        <v>6638</v>
      </c>
      <c r="AK39" s="459"/>
    </row>
    <row r="40" s="157" customFormat="true" ht="25.5" hidden="false" customHeight="true" outlineLevel="0" collapsed="false">
      <c r="A40" s="456" t="n">
        <v>6</v>
      </c>
      <c r="B40" s="157" t="n">
        <v>35</v>
      </c>
      <c r="C40" s="157" t="s">
        <v>6633</v>
      </c>
      <c r="D40" s="157" t="s">
        <v>6762</v>
      </c>
      <c r="E40" s="457" t="s">
        <v>2461</v>
      </c>
      <c r="F40" s="157" t="s">
        <v>6763</v>
      </c>
      <c r="G40" s="157" t="n">
        <v>44.1</v>
      </c>
      <c r="H40" s="157" t="n">
        <v>9101</v>
      </c>
      <c r="I40" s="457" t="n">
        <v>0</v>
      </c>
      <c r="J40" s="458" t="n">
        <v>14500</v>
      </c>
      <c r="K40" s="167" t="n">
        <v>5</v>
      </c>
      <c r="L40" s="175" t="n">
        <v>1</v>
      </c>
      <c r="M40" s="175" t="n">
        <v>0</v>
      </c>
      <c r="N40" s="157" t="n">
        <v>1961</v>
      </c>
      <c r="O40" s="157" t="n">
        <v>1805</v>
      </c>
      <c r="P40" s="157" t="n">
        <v>0</v>
      </c>
      <c r="Q40" s="157" t="n">
        <v>14</v>
      </c>
      <c r="R40" s="157" t="n">
        <v>1</v>
      </c>
      <c r="S40" s="157" t="n">
        <v>1</v>
      </c>
      <c r="T40" s="457" t="s">
        <v>6636</v>
      </c>
      <c r="U40" s="157" t="n">
        <v>398</v>
      </c>
      <c r="V40" s="458" t="n">
        <v>22618</v>
      </c>
      <c r="W40" s="458" t="n">
        <v>23000</v>
      </c>
      <c r="X40" s="445" t="s">
        <v>6668</v>
      </c>
      <c r="Y40" s="458" t="n">
        <v>15000</v>
      </c>
      <c r="Z40" s="457" t="s">
        <v>6638</v>
      </c>
      <c r="AK40" s="459" t="s">
        <v>6764</v>
      </c>
    </row>
    <row r="41" s="157" customFormat="true" ht="25.5" hidden="false" customHeight="true" outlineLevel="0" collapsed="false">
      <c r="A41" s="456" t="n">
        <v>6</v>
      </c>
      <c r="B41" s="157" t="n">
        <v>36</v>
      </c>
      <c r="C41" s="157" t="s">
        <v>6633</v>
      </c>
      <c r="D41" s="157" t="s">
        <v>6765</v>
      </c>
      <c r="E41" s="457" t="s">
        <v>2461</v>
      </c>
      <c r="F41" s="157" t="s">
        <v>6766</v>
      </c>
      <c r="G41" s="157" t="n">
        <v>44.2</v>
      </c>
      <c r="H41" s="157" t="n">
        <v>9101</v>
      </c>
      <c r="I41" s="457" t="n">
        <v>0</v>
      </c>
      <c r="J41" s="458" t="n">
        <v>7280</v>
      </c>
      <c r="K41" s="167" t="n">
        <v>13.3333333333333</v>
      </c>
      <c r="L41" s="175" t="n">
        <v>0</v>
      </c>
      <c r="M41" s="175" t="n">
        <v>0</v>
      </c>
      <c r="N41" s="157" t="n">
        <v>1961</v>
      </c>
      <c r="O41" s="157" t="n">
        <v>3164</v>
      </c>
      <c r="P41" s="157" t="n">
        <v>0</v>
      </c>
      <c r="Q41" s="157" t="n">
        <v>15</v>
      </c>
      <c r="R41" s="157" t="n">
        <v>3</v>
      </c>
      <c r="S41" s="157" t="n">
        <v>1</v>
      </c>
      <c r="T41" s="457" t="s">
        <v>6636</v>
      </c>
      <c r="U41" s="157" t="n">
        <v>398</v>
      </c>
      <c r="V41" s="458" t="n">
        <v>14387</v>
      </c>
      <c r="W41" s="458" t="n">
        <v>14000</v>
      </c>
      <c r="X41" s="445" t="s">
        <v>6767</v>
      </c>
      <c r="Y41" s="458" t="n">
        <v>7000</v>
      </c>
      <c r="Z41" s="457" t="s">
        <v>6696</v>
      </c>
      <c r="AD41" s="157" t="s">
        <v>6768</v>
      </c>
      <c r="AK41" s="459" t="s">
        <v>6769</v>
      </c>
    </row>
    <row r="42" s="157" customFormat="true" ht="25.5" hidden="false" customHeight="true" outlineLevel="0" collapsed="false">
      <c r="A42" s="456" t="n">
        <v>6</v>
      </c>
      <c r="B42" s="157" t="n">
        <v>37</v>
      </c>
      <c r="C42" s="157" t="s">
        <v>6633</v>
      </c>
      <c r="D42" s="157" t="s">
        <v>6770</v>
      </c>
      <c r="E42" s="457" t="s">
        <v>2461</v>
      </c>
      <c r="F42" s="157" t="s">
        <v>6771</v>
      </c>
      <c r="G42" s="157" t="n">
        <v>44.2</v>
      </c>
      <c r="H42" s="157" t="n">
        <v>9101</v>
      </c>
      <c r="I42" s="457" t="n">
        <v>0</v>
      </c>
      <c r="J42" s="458" t="n">
        <v>16770</v>
      </c>
      <c r="K42" s="167" t="n">
        <v>4.86583184257603</v>
      </c>
      <c r="L42" s="175" t="n">
        <v>0.48</v>
      </c>
      <c r="M42" s="175" t="n">
        <v>0</v>
      </c>
      <c r="N42" s="157" t="n">
        <v>1980</v>
      </c>
      <c r="O42" s="157" t="n">
        <v>3949</v>
      </c>
      <c r="P42" s="157" t="n">
        <v>0</v>
      </c>
      <c r="Q42" s="157" t="n">
        <v>16</v>
      </c>
      <c r="R42" s="157" t="n">
        <v>1</v>
      </c>
      <c r="S42" s="157" t="n">
        <v>1</v>
      </c>
      <c r="T42" s="457" t="s">
        <v>6680</v>
      </c>
      <c r="U42" s="157" t="n">
        <v>398</v>
      </c>
      <c r="V42" s="458" t="n">
        <v>39942</v>
      </c>
      <c r="W42" s="458" t="n">
        <v>40000</v>
      </c>
      <c r="X42" s="445" t="s">
        <v>6650</v>
      </c>
      <c r="Y42" s="458" t="n">
        <v>17000</v>
      </c>
      <c r="Z42" s="457" t="s">
        <v>6638</v>
      </c>
      <c r="AD42" s="157" t="s">
        <v>6651</v>
      </c>
      <c r="AK42" s="459" t="s">
        <v>6772</v>
      </c>
    </row>
    <row r="43" s="157" customFormat="true" ht="12.75" hidden="false" customHeight="true" outlineLevel="0" collapsed="false">
      <c r="A43" s="456" t="n">
        <v>6</v>
      </c>
      <c r="B43" s="157" t="n">
        <v>38</v>
      </c>
      <c r="C43" s="157" t="s">
        <v>6633</v>
      </c>
      <c r="D43" s="157" t="s">
        <v>6773</v>
      </c>
      <c r="E43" s="457" t="s">
        <v>2461</v>
      </c>
      <c r="F43" s="157" t="s">
        <v>6774</v>
      </c>
      <c r="G43" s="157" t="n">
        <v>44.1</v>
      </c>
      <c r="H43" s="157" t="n">
        <v>9101</v>
      </c>
      <c r="I43" s="457" t="n">
        <v>0</v>
      </c>
      <c r="J43" s="458" t="n">
        <v>8960</v>
      </c>
      <c r="K43" s="167" t="n">
        <v>5.86607142857143</v>
      </c>
      <c r="L43" s="175" t="n">
        <v>0</v>
      </c>
      <c r="M43" s="175" t="n">
        <v>0.0812404870624049</v>
      </c>
      <c r="N43" s="157" t="n">
        <v>1972</v>
      </c>
      <c r="O43" s="157" t="n">
        <v>2820</v>
      </c>
      <c r="P43" s="157" t="n">
        <v>0</v>
      </c>
      <c r="Q43" s="157" t="n">
        <v>16</v>
      </c>
      <c r="R43" s="157" t="n">
        <v>3</v>
      </c>
      <c r="S43" s="157" t="n">
        <v>1</v>
      </c>
      <c r="T43" s="457" t="s">
        <v>6680</v>
      </c>
      <c r="U43" s="157" t="n">
        <v>398</v>
      </c>
      <c r="V43" s="458" t="n">
        <v>26435</v>
      </c>
      <c r="W43" s="458" t="n">
        <v>26000</v>
      </c>
      <c r="X43" s="445" t="s">
        <v>6743</v>
      </c>
      <c r="Y43" s="458" t="n">
        <v>9000</v>
      </c>
      <c r="Z43" s="457" t="s">
        <v>6638</v>
      </c>
      <c r="AD43" s="157" t="s">
        <v>6775</v>
      </c>
      <c r="AK43" s="459" t="s">
        <v>6697</v>
      </c>
    </row>
    <row r="44" s="157" customFormat="true" ht="25.5" hidden="false" customHeight="true" outlineLevel="0" collapsed="false">
      <c r="A44" s="456" t="n">
        <v>6</v>
      </c>
      <c r="B44" s="157" t="n">
        <v>39</v>
      </c>
      <c r="C44" s="157" t="s">
        <v>6633</v>
      </c>
      <c r="D44" s="157" t="s">
        <v>6776</v>
      </c>
      <c r="E44" s="457" t="s">
        <v>2461</v>
      </c>
      <c r="F44" s="157" t="s">
        <v>6777</v>
      </c>
      <c r="G44" s="157" t="n">
        <v>44.1</v>
      </c>
      <c r="H44" s="157" t="n">
        <v>9101</v>
      </c>
      <c r="I44" s="457" t="n">
        <v>0</v>
      </c>
      <c r="J44" s="458" t="n">
        <v>6579</v>
      </c>
      <c r="K44" s="167" t="n">
        <v>2.83018867924528</v>
      </c>
      <c r="L44" s="175" t="n">
        <v>0</v>
      </c>
      <c r="M44" s="175" t="n">
        <v>0</v>
      </c>
      <c r="N44" s="157" t="n">
        <v>1926</v>
      </c>
      <c r="O44" s="157" t="n">
        <v>1620</v>
      </c>
      <c r="P44" s="157" t="n">
        <v>0</v>
      </c>
      <c r="Q44" s="157" t="n">
        <v>10</v>
      </c>
      <c r="R44" s="157" t="n">
        <v>1</v>
      </c>
      <c r="S44" s="157" t="n">
        <v>1</v>
      </c>
      <c r="T44" s="457" t="s">
        <v>6636</v>
      </c>
      <c r="U44" s="157" t="n">
        <v>398</v>
      </c>
      <c r="V44" s="458" t="n">
        <v>92437</v>
      </c>
      <c r="W44" s="458" t="n">
        <v>92000</v>
      </c>
      <c r="X44" s="445" t="s">
        <v>6778</v>
      </c>
      <c r="Y44" s="458" t="n">
        <v>7000</v>
      </c>
      <c r="Z44" s="457" t="s">
        <v>6638</v>
      </c>
      <c r="AK44" s="459" t="s">
        <v>6772</v>
      </c>
    </row>
    <row r="45" s="157" customFormat="true" ht="12.75" hidden="false" customHeight="true" outlineLevel="0" collapsed="false">
      <c r="A45" s="456" t="n">
        <v>6</v>
      </c>
      <c r="B45" s="157" t="n">
        <v>40</v>
      </c>
      <c r="C45" s="157" t="s">
        <v>6633</v>
      </c>
      <c r="D45" s="157" t="s">
        <v>6779</v>
      </c>
      <c r="E45" s="457" t="s">
        <v>2461</v>
      </c>
      <c r="F45" s="157" t="s">
        <v>6780</v>
      </c>
      <c r="G45" s="157" t="n">
        <v>44.1</v>
      </c>
      <c r="H45" s="157" t="n">
        <v>9101</v>
      </c>
      <c r="I45" s="457" t="n">
        <v>0</v>
      </c>
      <c r="J45" s="458" t="n">
        <v>4400</v>
      </c>
      <c r="K45" s="167" t="n">
        <v>5.62636363636364</v>
      </c>
      <c r="L45" s="175" t="n">
        <v>0</v>
      </c>
      <c r="M45" s="175" t="n">
        <v>0</v>
      </c>
      <c r="N45" s="157" t="n">
        <v>1958</v>
      </c>
      <c r="O45" s="157" t="n">
        <v>1712</v>
      </c>
      <c r="P45" s="157" t="n">
        <v>0</v>
      </c>
      <c r="Q45" s="157" t="n">
        <v>14</v>
      </c>
      <c r="R45" s="157" t="n">
        <v>4</v>
      </c>
      <c r="S45" s="157" t="n">
        <v>1</v>
      </c>
      <c r="T45" s="457" t="s">
        <v>6636</v>
      </c>
      <c r="U45" s="157" t="n">
        <v>398</v>
      </c>
      <c r="V45" s="458" t="n">
        <v>9000</v>
      </c>
      <c r="W45" s="458" t="n">
        <v>9000</v>
      </c>
      <c r="X45" s="445" t="s">
        <v>6767</v>
      </c>
      <c r="Y45" s="458" t="n">
        <v>4000</v>
      </c>
      <c r="Z45" s="457" t="s">
        <v>6638</v>
      </c>
      <c r="AD45" s="157" t="s">
        <v>6781</v>
      </c>
      <c r="AK45" s="459" t="s">
        <v>6697</v>
      </c>
    </row>
    <row r="46" s="157" customFormat="true" ht="25.5" hidden="false" customHeight="true" outlineLevel="0" collapsed="false">
      <c r="A46" s="456" t="n">
        <v>6</v>
      </c>
      <c r="B46" s="157" t="n">
        <v>41</v>
      </c>
      <c r="C46" s="157" t="s">
        <v>6633</v>
      </c>
      <c r="D46" s="157" t="s">
        <v>6782</v>
      </c>
      <c r="E46" s="457" t="s">
        <v>2461</v>
      </c>
      <c r="F46" s="157" t="s">
        <v>6783</v>
      </c>
      <c r="G46" s="157" t="n">
        <v>44.1</v>
      </c>
      <c r="H46" s="157" t="n">
        <v>9101</v>
      </c>
      <c r="I46" s="457" t="n">
        <v>0</v>
      </c>
      <c r="J46" s="458" t="n">
        <v>10000</v>
      </c>
      <c r="K46" s="167" t="n">
        <v>7.28816326530612</v>
      </c>
      <c r="L46" s="175" t="n">
        <v>0</v>
      </c>
      <c r="M46" s="175" t="n">
        <v>0</v>
      </c>
      <c r="N46" s="157" t="n">
        <v>1958</v>
      </c>
      <c r="O46" s="157" t="n">
        <v>2612</v>
      </c>
      <c r="P46" s="157" t="n">
        <v>0</v>
      </c>
      <c r="Q46" s="157" t="n">
        <v>13</v>
      </c>
      <c r="R46" s="157" t="n">
        <v>1</v>
      </c>
      <c r="S46" s="157" t="n">
        <v>1</v>
      </c>
      <c r="T46" s="457" t="s">
        <v>6636</v>
      </c>
      <c r="U46" s="157" t="n">
        <v>398</v>
      </c>
      <c r="V46" s="458" t="n">
        <v>21300</v>
      </c>
      <c r="W46" s="458" t="n">
        <v>21000</v>
      </c>
      <c r="X46" s="445" t="s">
        <v>6754</v>
      </c>
      <c r="Y46" s="458" t="n">
        <v>10000</v>
      </c>
      <c r="Z46" s="457" t="s">
        <v>6638</v>
      </c>
      <c r="AD46" s="157" t="s">
        <v>6784</v>
      </c>
      <c r="AK46" s="459" t="s">
        <v>6785</v>
      </c>
    </row>
    <row r="47" s="157" customFormat="true" ht="25.5" hidden="false" customHeight="true" outlineLevel="0" collapsed="false">
      <c r="A47" s="456" t="n">
        <v>6</v>
      </c>
      <c r="B47" s="157" t="n">
        <v>42</v>
      </c>
      <c r="C47" s="157" t="s">
        <v>6633</v>
      </c>
      <c r="D47" s="157" t="s">
        <v>6786</v>
      </c>
      <c r="E47" s="457" t="s">
        <v>2461</v>
      </c>
      <c r="F47" s="157" t="s">
        <v>6787</v>
      </c>
      <c r="G47" s="157" t="n">
        <v>44.2</v>
      </c>
      <c r="H47" s="157" t="n">
        <v>9101</v>
      </c>
      <c r="I47" s="457" t="n">
        <v>0</v>
      </c>
      <c r="J47" s="458" t="n">
        <v>76174</v>
      </c>
      <c r="K47" s="167" t="n">
        <v>3.87258119568357</v>
      </c>
      <c r="L47" s="175" t="n">
        <v>0</v>
      </c>
      <c r="M47" s="175" t="n">
        <v>0</v>
      </c>
      <c r="N47" s="157" t="n">
        <v>1974</v>
      </c>
      <c r="O47" s="157" t="n">
        <v>17712</v>
      </c>
      <c r="P47" s="157" t="n">
        <v>0</v>
      </c>
      <c r="Q47" s="157" t="n">
        <v>22</v>
      </c>
      <c r="R47" s="157" t="n">
        <v>14</v>
      </c>
      <c r="S47" s="157" t="n">
        <v>2</v>
      </c>
      <c r="T47" s="457"/>
      <c r="U47" s="157" t="n">
        <v>398</v>
      </c>
      <c r="V47" s="458" t="n">
        <v>154295</v>
      </c>
      <c r="W47" s="458" t="n">
        <v>154000</v>
      </c>
      <c r="X47" s="445" t="s">
        <v>6767</v>
      </c>
      <c r="Y47" s="458" t="n">
        <v>76000</v>
      </c>
      <c r="Z47" s="457" t="s">
        <v>6638</v>
      </c>
      <c r="AD47" s="157" t="s">
        <v>6788</v>
      </c>
      <c r="AK47" s="459" t="s">
        <v>6789</v>
      </c>
    </row>
    <row r="48" s="157" customFormat="true" ht="25.5" hidden="false" customHeight="true" outlineLevel="0" collapsed="false">
      <c r="A48" s="456" t="n">
        <v>6</v>
      </c>
      <c r="B48" s="157" t="n">
        <v>43</v>
      </c>
      <c r="C48" s="157" t="s">
        <v>6633</v>
      </c>
      <c r="D48" s="157" t="s">
        <v>6790</v>
      </c>
      <c r="E48" s="457" t="s">
        <v>2461</v>
      </c>
      <c r="F48" s="157" t="s">
        <v>6791</v>
      </c>
      <c r="G48" s="157" t="n">
        <v>44.2</v>
      </c>
      <c r="H48" s="157" t="n">
        <v>9101</v>
      </c>
      <c r="I48" s="457" t="n">
        <v>0</v>
      </c>
      <c r="J48" s="458" t="n">
        <v>26700</v>
      </c>
      <c r="K48" s="167" t="n">
        <v>5.19996254681648</v>
      </c>
      <c r="L48" s="175" t="n">
        <v>0</v>
      </c>
      <c r="M48" s="175" t="n">
        <v>0.175613480362146</v>
      </c>
      <c r="N48" s="157" t="n">
        <v>1974</v>
      </c>
      <c r="O48" s="157" t="n">
        <v>6743</v>
      </c>
      <c r="P48" s="157" t="n">
        <v>0</v>
      </c>
      <c r="Q48" s="157" t="n">
        <v>17</v>
      </c>
      <c r="R48" s="157" t="n">
        <v>14</v>
      </c>
      <c r="S48" s="157" t="n">
        <v>6</v>
      </c>
      <c r="T48" s="457" t="s">
        <v>6680</v>
      </c>
      <c r="U48" s="157" t="n">
        <v>398</v>
      </c>
      <c r="V48" s="458" t="n">
        <v>62461</v>
      </c>
      <c r="W48" s="458" t="n">
        <v>62000</v>
      </c>
      <c r="X48" s="445" t="s">
        <v>6646</v>
      </c>
      <c r="Y48" s="458" t="n">
        <v>27000</v>
      </c>
      <c r="Z48" s="457" t="s">
        <v>6638</v>
      </c>
      <c r="AD48" s="157" t="s">
        <v>6792</v>
      </c>
      <c r="AK48" s="459" t="s">
        <v>6793</v>
      </c>
    </row>
    <row r="49" s="157" customFormat="true" ht="12.75" hidden="false" customHeight="true" outlineLevel="0" collapsed="false">
      <c r="A49" s="456" t="n">
        <v>6</v>
      </c>
      <c r="B49" s="157" t="n">
        <v>44</v>
      </c>
      <c r="C49" s="157" t="s">
        <v>6633</v>
      </c>
      <c r="D49" s="157" t="s">
        <v>6794</v>
      </c>
      <c r="E49" s="457" t="s">
        <v>2461</v>
      </c>
      <c r="F49" s="157" t="s">
        <v>6795</v>
      </c>
      <c r="G49" s="157" t="n">
        <v>44.1</v>
      </c>
      <c r="H49" s="157" t="n">
        <v>9101</v>
      </c>
      <c r="I49" s="457" t="n">
        <v>0</v>
      </c>
      <c r="J49" s="458" t="n">
        <v>11902</v>
      </c>
      <c r="K49" s="167" t="n">
        <v>7.56175432700387</v>
      </c>
      <c r="L49" s="175" t="n">
        <v>0</v>
      </c>
      <c r="M49" s="175" t="n">
        <v>0.166666666666667</v>
      </c>
      <c r="N49" s="157" t="n">
        <v>1966</v>
      </c>
      <c r="O49" s="157" t="n">
        <v>1804</v>
      </c>
      <c r="P49" s="157" t="n">
        <v>0</v>
      </c>
      <c r="Q49" s="157" t="n">
        <v>15</v>
      </c>
      <c r="R49" s="157" t="n">
        <v>1</v>
      </c>
      <c r="S49" s="157" t="n">
        <v>1</v>
      </c>
      <c r="T49" s="457" t="s">
        <v>6680</v>
      </c>
      <c r="U49" s="157" t="n">
        <v>398</v>
      </c>
      <c r="V49" s="458" t="n">
        <v>27923</v>
      </c>
      <c r="W49" s="458" t="n">
        <v>28000</v>
      </c>
      <c r="X49" s="445" t="s">
        <v>6646</v>
      </c>
      <c r="Y49" s="458" t="n">
        <v>12000</v>
      </c>
      <c r="Z49" s="457" t="s">
        <v>6638</v>
      </c>
      <c r="AD49" s="157" t="s">
        <v>6796</v>
      </c>
      <c r="AK49" s="459"/>
    </row>
    <row r="50" s="157" customFormat="true" ht="12.75" hidden="false" customHeight="true" outlineLevel="0" collapsed="false">
      <c r="A50" s="456" t="n">
        <v>6</v>
      </c>
      <c r="B50" s="157" t="n">
        <v>45</v>
      </c>
      <c r="C50" s="157" t="s">
        <v>6633</v>
      </c>
      <c r="D50" s="157" t="s">
        <v>6797</v>
      </c>
      <c r="E50" s="457" t="s">
        <v>2461</v>
      </c>
      <c r="F50" s="157" t="s">
        <v>6798</v>
      </c>
      <c r="G50" s="157" t="n">
        <v>44.1</v>
      </c>
      <c r="H50" s="157" t="n">
        <v>9101</v>
      </c>
      <c r="I50" s="457" t="n">
        <v>0</v>
      </c>
      <c r="J50" s="458" t="n">
        <v>7200</v>
      </c>
      <c r="K50" s="167" t="n">
        <v>6.33333333333333</v>
      </c>
      <c r="L50" s="175" t="n">
        <v>0</v>
      </c>
      <c r="M50" s="175" t="n">
        <v>0.0269517543859649</v>
      </c>
      <c r="N50" s="157" t="n">
        <v>1962</v>
      </c>
      <c r="O50" s="157" t="n">
        <v>2411</v>
      </c>
      <c r="P50" s="157" t="n">
        <v>0</v>
      </c>
      <c r="Q50" s="157" t="n">
        <v>12</v>
      </c>
      <c r="R50" s="157" t="n">
        <v>3</v>
      </c>
      <c r="S50" s="157" t="n">
        <v>1</v>
      </c>
      <c r="T50" s="457" t="s">
        <v>6636</v>
      </c>
      <c r="U50" s="157" t="n">
        <v>398</v>
      </c>
      <c r="V50" s="458" t="n">
        <v>19800</v>
      </c>
      <c r="W50" s="458" t="n">
        <v>20000</v>
      </c>
      <c r="X50" s="445" t="s">
        <v>6664</v>
      </c>
      <c r="Y50" s="458" t="n">
        <v>7000</v>
      </c>
      <c r="Z50" s="457" t="s">
        <v>6638</v>
      </c>
      <c r="AD50" s="157" t="s">
        <v>6799</v>
      </c>
      <c r="AK50" s="459"/>
    </row>
    <row r="51" s="157" customFormat="true" ht="12.75" hidden="false" customHeight="true" outlineLevel="0" collapsed="false">
      <c r="A51" s="456" t="n">
        <v>6</v>
      </c>
      <c r="B51" s="157" t="n">
        <v>46</v>
      </c>
      <c r="C51" s="157" t="s">
        <v>6633</v>
      </c>
      <c r="D51" s="157" t="s">
        <v>6800</v>
      </c>
      <c r="E51" s="457" t="s">
        <v>2461</v>
      </c>
      <c r="F51" s="157" t="s">
        <v>6801</v>
      </c>
      <c r="G51" s="157" t="n">
        <v>43.2</v>
      </c>
      <c r="H51" s="157" t="n">
        <v>9101</v>
      </c>
      <c r="I51" s="457" t="n">
        <v>0</v>
      </c>
      <c r="J51" s="458" t="n">
        <v>6272</v>
      </c>
      <c r="K51" s="167" t="n">
        <v>7.43638392857143</v>
      </c>
      <c r="L51" s="175" t="n">
        <v>0</v>
      </c>
      <c r="M51" s="175" t="n">
        <v>0.0586608348877597</v>
      </c>
      <c r="N51" s="157" t="n">
        <v>1966</v>
      </c>
      <c r="O51" s="157" t="n">
        <v>1040</v>
      </c>
      <c r="P51" s="157" t="n">
        <v>0</v>
      </c>
      <c r="Q51" s="157" t="n">
        <v>12</v>
      </c>
      <c r="R51" s="157" t="n">
        <v>1</v>
      </c>
      <c r="S51" s="157" t="n">
        <v>1</v>
      </c>
      <c r="T51" s="457" t="s">
        <v>6680</v>
      </c>
      <c r="U51" s="157" t="n">
        <v>401</v>
      </c>
      <c r="V51" s="458" t="n">
        <v>12951</v>
      </c>
      <c r="W51" s="458" t="n">
        <v>13000</v>
      </c>
      <c r="X51" s="445" t="s">
        <v>6754</v>
      </c>
      <c r="Y51" s="458" t="n">
        <v>6000</v>
      </c>
      <c r="Z51" s="457" t="s">
        <v>6638</v>
      </c>
      <c r="AD51" s="157" t="s">
        <v>6802</v>
      </c>
      <c r="AK51" s="459"/>
    </row>
    <row r="52" s="157" customFormat="true" ht="25.5" hidden="false" customHeight="true" outlineLevel="0" collapsed="false">
      <c r="A52" s="456" t="n">
        <v>6</v>
      </c>
      <c r="B52" s="157" t="n">
        <v>47</v>
      </c>
      <c r="C52" s="157" t="s">
        <v>6633</v>
      </c>
      <c r="D52" s="157" t="s">
        <v>6803</v>
      </c>
      <c r="E52" s="457" t="s">
        <v>2461</v>
      </c>
      <c r="F52" s="157" t="s">
        <v>6804</v>
      </c>
      <c r="G52" s="157" t="n">
        <v>44.2</v>
      </c>
      <c r="H52" s="157" t="n">
        <v>9101</v>
      </c>
      <c r="I52" s="457" t="n">
        <v>0</v>
      </c>
      <c r="J52" s="458" t="n">
        <v>18000</v>
      </c>
      <c r="K52" s="167" t="n">
        <v>5.23953911461492</v>
      </c>
      <c r="L52" s="175" t="n">
        <v>0</v>
      </c>
      <c r="M52" s="175" t="n">
        <v>0</v>
      </c>
      <c r="N52" s="157" t="n">
        <v>1962</v>
      </c>
      <c r="O52" s="157" t="n">
        <v>9120</v>
      </c>
      <c r="P52" s="157" t="n">
        <v>0</v>
      </c>
      <c r="Q52" s="157" t="n">
        <v>13</v>
      </c>
      <c r="R52" s="157" t="n">
        <v>3</v>
      </c>
      <c r="S52" s="157" t="n">
        <v>6</v>
      </c>
      <c r="T52" s="457" t="s">
        <v>6636</v>
      </c>
      <c r="U52" s="157" t="n">
        <v>398</v>
      </c>
      <c r="V52" s="458" t="n">
        <v>41400</v>
      </c>
      <c r="W52" s="458" t="n">
        <v>41000</v>
      </c>
      <c r="X52" s="445" t="s">
        <v>6646</v>
      </c>
      <c r="Y52" s="458" t="n">
        <v>18000</v>
      </c>
      <c r="Z52" s="457" t="s">
        <v>6638</v>
      </c>
      <c r="AD52" s="157" t="s">
        <v>6805</v>
      </c>
      <c r="AK52" s="459" t="s">
        <v>6806</v>
      </c>
    </row>
    <row r="53" s="157" customFormat="true" ht="25.5" hidden="false" customHeight="true" outlineLevel="0" collapsed="false">
      <c r="A53" s="456" t="n">
        <v>6</v>
      </c>
      <c r="B53" s="157" t="n">
        <v>48</v>
      </c>
      <c r="C53" s="157" t="s">
        <v>6633</v>
      </c>
      <c r="D53" s="157" t="s">
        <v>6807</v>
      </c>
      <c r="E53" s="457" t="s">
        <v>2461</v>
      </c>
      <c r="F53" s="157" t="s">
        <v>6808</v>
      </c>
      <c r="G53" s="157" t="n">
        <v>44.2</v>
      </c>
      <c r="H53" s="157" t="n">
        <v>9101</v>
      </c>
      <c r="I53" s="457" t="n">
        <v>0</v>
      </c>
      <c r="J53" s="458" t="n">
        <v>20000</v>
      </c>
      <c r="K53" s="167" t="n">
        <v>2.92</v>
      </c>
      <c r="L53" s="175" t="n">
        <v>0</v>
      </c>
      <c r="M53" s="175" t="n">
        <v>0</v>
      </c>
      <c r="N53" s="157" t="n">
        <v>1969</v>
      </c>
      <c r="O53" s="157" t="n">
        <v>2350</v>
      </c>
      <c r="P53" s="157" t="n">
        <v>0</v>
      </c>
      <c r="Q53" s="157" t="n">
        <v>20</v>
      </c>
      <c r="R53" s="157" t="n">
        <v>3</v>
      </c>
      <c r="S53" s="157" t="n">
        <v>1</v>
      </c>
      <c r="T53" s="457" t="s">
        <v>6642</v>
      </c>
      <c r="U53" s="157" t="n">
        <v>398</v>
      </c>
      <c r="V53" s="458" t="n">
        <v>63328</v>
      </c>
      <c r="W53" s="458" t="n">
        <v>63000</v>
      </c>
      <c r="X53" s="445" t="s">
        <v>6695</v>
      </c>
      <c r="Y53" s="458" t="n">
        <v>20000</v>
      </c>
      <c r="Z53" s="457" t="s">
        <v>6638</v>
      </c>
      <c r="AK53" s="459" t="s">
        <v>6809</v>
      </c>
    </row>
    <row r="54" s="157" customFormat="true" ht="12.75" hidden="false" customHeight="true" outlineLevel="0" collapsed="false">
      <c r="A54" s="456" t="n">
        <v>6</v>
      </c>
      <c r="B54" s="157" t="n">
        <v>49</v>
      </c>
      <c r="C54" s="157" t="s">
        <v>6633</v>
      </c>
      <c r="D54" s="157" t="s">
        <v>6810</v>
      </c>
      <c r="E54" s="457" t="s">
        <v>2461</v>
      </c>
      <c r="F54" s="157" t="s">
        <v>6811</v>
      </c>
      <c r="G54" s="157" t="n">
        <v>44.2</v>
      </c>
      <c r="H54" s="157" t="n">
        <v>9101</v>
      </c>
      <c r="I54" s="457" t="n">
        <v>0</v>
      </c>
      <c r="J54" s="458" t="n">
        <v>46464</v>
      </c>
      <c r="K54" s="167" t="n">
        <v>6.14925533746557</v>
      </c>
      <c r="L54" s="175" t="n">
        <v>0.37</v>
      </c>
      <c r="M54" s="175" t="n">
        <v>0.0955659231622678</v>
      </c>
      <c r="N54" s="157" t="n">
        <v>1973</v>
      </c>
      <c r="O54" s="157" t="n">
        <v>5987</v>
      </c>
      <c r="P54" s="157" t="n">
        <v>0</v>
      </c>
      <c r="Q54" s="157" t="n">
        <v>15</v>
      </c>
      <c r="R54" s="157" t="n">
        <v>10</v>
      </c>
      <c r="S54" s="157" t="n">
        <v>8</v>
      </c>
      <c r="T54" s="457" t="s">
        <v>6642</v>
      </c>
      <c r="U54" s="157" t="n">
        <v>398</v>
      </c>
      <c r="V54" s="458" t="n">
        <v>97473</v>
      </c>
      <c r="W54" s="458" t="n">
        <v>97000</v>
      </c>
      <c r="X54" s="445" t="s">
        <v>6754</v>
      </c>
      <c r="Y54" s="458" t="n">
        <v>46000</v>
      </c>
      <c r="Z54" s="457" t="s">
        <v>6638</v>
      </c>
      <c r="AK54" s="459"/>
    </row>
    <row r="55" s="157" customFormat="true" ht="12.75" hidden="false" customHeight="true" outlineLevel="0" collapsed="false">
      <c r="A55" s="456" t="n">
        <v>6</v>
      </c>
      <c r="B55" s="157" t="n">
        <v>50</v>
      </c>
      <c r="C55" s="157" t="s">
        <v>6633</v>
      </c>
      <c r="D55" s="157" t="s">
        <v>6812</v>
      </c>
      <c r="E55" s="457" t="s">
        <v>2461</v>
      </c>
      <c r="F55" s="157" t="s">
        <v>6813</v>
      </c>
      <c r="G55" s="157" t="n">
        <v>44.8</v>
      </c>
      <c r="H55" s="157" t="n">
        <v>9101</v>
      </c>
      <c r="I55" s="457" t="n">
        <v>0</v>
      </c>
      <c r="J55" s="458" t="n">
        <v>1688</v>
      </c>
      <c r="K55" s="167" t="n">
        <v>7.81990521327014</v>
      </c>
      <c r="L55" s="175" t="n">
        <v>0</v>
      </c>
      <c r="M55" s="175" t="n">
        <v>0.170378787878788</v>
      </c>
      <c r="N55" s="157" t="n">
        <v>2003</v>
      </c>
      <c r="O55" s="157" t="n">
        <v>520</v>
      </c>
      <c r="P55" s="157" t="n">
        <v>0</v>
      </c>
      <c r="Q55" s="157" t="n">
        <v>22</v>
      </c>
      <c r="R55" s="157" t="n">
        <v>14</v>
      </c>
      <c r="S55" s="157" t="n">
        <v>1</v>
      </c>
      <c r="T55" s="457" t="s">
        <v>6642</v>
      </c>
      <c r="U55" s="157" t="n">
        <v>398</v>
      </c>
      <c r="V55" s="458" t="n">
        <v>4383</v>
      </c>
      <c r="W55" s="458" t="n">
        <v>4000</v>
      </c>
      <c r="X55" s="445" t="s">
        <v>6724</v>
      </c>
      <c r="Y55" s="458" t="n">
        <v>2000</v>
      </c>
      <c r="Z55" s="457" t="s">
        <v>6638</v>
      </c>
      <c r="AD55" s="157" t="s">
        <v>6814</v>
      </c>
      <c r="AK55" s="459"/>
    </row>
    <row r="56" s="157" customFormat="true" ht="23.25" hidden="false" customHeight="true" outlineLevel="0" collapsed="false">
      <c r="A56" s="456" t="n">
        <v>6</v>
      </c>
      <c r="B56" s="157" t="n">
        <v>51</v>
      </c>
      <c r="C56" s="157" t="s">
        <v>6633</v>
      </c>
      <c r="D56" s="157" t="s">
        <v>6815</v>
      </c>
      <c r="E56" s="457" t="s">
        <v>2461</v>
      </c>
      <c r="F56" s="157" t="s">
        <v>6816</v>
      </c>
      <c r="G56" s="157" t="n">
        <v>44.8</v>
      </c>
      <c r="H56" s="157" t="n">
        <v>9101</v>
      </c>
      <c r="I56" s="457" t="n">
        <v>0</v>
      </c>
      <c r="J56" s="458" t="n">
        <v>3567</v>
      </c>
      <c r="K56" s="167" t="n">
        <v>12.1110176619008</v>
      </c>
      <c r="L56" s="175" t="n">
        <v>0</v>
      </c>
      <c r="M56" s="175" t="n">
        <v>0</v>
      </c>
      <c r="N56" s="157" t="n">
        <v>2004</v>
      </c>
      <c r="O56" s="157" t="n">
        <v>0</v>
      </c>
      <c r="P56" s="157" t="n">
        <v>0</v>
      </c>
      <c r="Q56" s="157" t="n">
        <v>18</v>
      </c>
      <c r="R56" s="157" t="n">
        <v>14</v>
      </c>
      <c r="S56" s="157" t="n">
        <v>1</v>
      </c>
      <c r="T56" s="457" t="s">
        <v>6642</v>
      </c>
      <c r="U56" s="157" t="n">
        <v>398</v>
      </c>
      <c r="V56" s="458" t="n">
        <v>8767</v>
      </c>
      <c r="W56" s="458" t="n">
        <v>9000</v>
      </c>
      <c r="X56" s="445" t="s">
        <v>6692</v>
      </c>
      <c r="Y56" s="458" t="n">
        <v>4000</v>
      </c>
      <c r="Z56" s="457" t="s">
        <v>6638</v>
      </c>
      <c r="AD56" s="157" t="s">
        <v>6817</v>
      </c>
      <c r="AK56" s="459" t="s">
        <v>6818</v>
      </c>
    </row>
    <row r="57" s="157" customFormat="true" ht="12.75" hidden="false" customHeight="true" outlineLevel="0" collapsed="false">
      <c r="A57" s="456" t="n">
        <v>6</v>
      </c>
      <c r="B57" s="157" t="n">
        <v>52</v>
      </c>
      <c r="C57" s="157" t="s">
        <v>6633</v>
      </c>
      <c r="D57" s="157" t="s">
        <v>6819</v>
      </c>
      <c r="E57" s="457" t="s">
        <v>2461</v>
      </c>
      <c r="F57" s="157" t="s">
        <v>6820</v>
      </c>
      <c r="G57" s="157" t="n">
        <v>44.8</v>
      </c>
      <c r="H57" s="157" t="n">
        <v>9101</v>
      </c>
      <c r="I57" s="457" t="n">
        <v>0</v>
      </c>
      <c r="J57" s="458" t="n">
        <v>1433</v>
      </c>
      <c r="K57" s="167" t="n">
        <v>8.37404047452896</v>
      </c>
      <c r="L57" s="175" t="n">
        <v>0</v>
      </c>
      <c r="M57" s="175" t="n">
        <v>0.483583333333333</v>
      </c>
      <c r="N57" s="157" t="n">
        <v>2007</v>
      </c>
      <c r="O57" s="157" t="n">
        <v>0</v>
      </c>
      <c r="P57" s="157" t="n">
        <v>0</v>
      </c>
      <c r="Q57" s="157" t="n">
        <v>18</v>
      </c>
      <c r="R57" s="157" t="n">
        <v>14</v>
      </c>
      <c r="S57" s="157" t="n">
        <v>1</v>
      </c>
      <c r="T57" s="457" t="s">
        <v>6642</v>
      </c>
      <c r="U57" s="157" t="n">
        <v>398</v>
      </c>
      <c r="V57" s="458" t="n">
        <v>3783</v>
      </c>
      <c r="W57" s="458" t="n">
        <v>4000</v>
      </c>
      <c r="X57" s="445" t="s">
        <v>6724</v>
      </c>
      <c r="Y57" s="458" t="n">
        <v>1000</v>
      </c>
      <c r="Z57" s="457" t="s">
        <v>6638</v>
      </c>
      <c r="AD57" s="157" t="s">
        <v>6821</v>
      </c>
      <c r="AK57" s="459"/>
    </row>
    <row r="58" s="157" customFormat="true" ht="12.75" hidden="false" customHeight="true" outlineLevel="0" collapsed="false">
      <c r="A58" s="456" t="n">
        <v>6</v>
      </c>
      <c r="B58" s="157" t="n">
        <v>53</v>
      </c>
      <c r="C58" s="157" t="s">
        <v>6633</v>
      </c>
      <c r="D58" s="157" t="s">
        <v>6822</v>
      </c>
      <c r="E58" s="457" t="s">
        <v>2461</v>
      </c>
      <c r="F58" s="157" t="s">
        <v>6820</v>
      </c>
      <c r="G58" s="157" t="n">
        <v>44.8</v>
      </c>
      <c r="H58" s="157" t="n">
        <v>9101</v>
      </c>
      <c r="I58" s="457" t="n">
        <v>0</v>
      </c>
      <c r="J58" s="458" t="n">
        <v>1433</v>
      </c>
      <c r="K58" s="167" t="n">
        <v>9.04396371249128</v>
      </c>
      <c r="L58" s="175" t="n">
        <v>0</v>
      </c>
      <c r="M58" s="175" t="n">
        <v>0</v>
      </c>
      <c r="N58" s="157" t="n">
        <v>2007</v>
      </c>
      <c r="O58" s="157" t="n">
        <v>0</v>
      </c>
      <c r="P58" s="157" t="n">
        <v>0</v>
      </c>
      <c r="Q58" s="157" t="n">
        <v>18</v>
      </c>
      <c r="R58" s="157" t="n">
        <v>14</v>
      </c>
      <c r="S58" s="157" t="n">
        <v>1</v>
      </c>
      <c r="T58" s="457" t="s">
        <v>6642</v>
      </c>
      <c r="U58" s="157" t="n">
        <v>398</v>
      </c>
      <c r="V58" s="458" t="n">
        <v>3783</v>
      </c>
      <c r="W58" s="458" t="n">
        <v>4000</v>
      </c>
      <c r="X58" s="445" t="s">
        <v>6724</v>
      </c>
      <c r="Y58" s="458" t="n">
        <v>1000</v>
      </c>
      <c r="Z58" s="457" t="s">
        <v>6638</v>
      </c>
      <c r="AD58" s="157" t="s">
        <v>6823</v>
      </c>
      <c r="AK58" s="459" t="s">
        <v>6661</v>
      </c>
    </row>
    <row r="59" s="157" customFormat="true" ht="12.75" hidden="false" customHeight="true" outlineLevel="0" collapsed="false">
      <c r="A59" s="456" t="n">
        <v>6</v>
      </c>
      <c r="B59" s="157" t="n">
        <v>54</v>
      </c>
      <c r="C59" s="157" t="s">
        <v>6633</v>
      </c>
      <c r="D59" s="157" t="s">
        <v>6824</v>
      </c>
      <c r="E59" s="457" t="s">
        <v>2461</v>
      </c>
      <c r="F59" s="157" t="s">
        <v>6820</v>
      </c>
      <c r="G59" s="157" t="n">
        <v>44.8</v>
      </c>
      <c r="H59" s="157" t="n">
        <v>9101</v>
      </c>
      <c r="I59" s="457" t="n">
        <v>0</v>
      </c>
      <c r="J59" s="458" t="n">
        <v>3396</v>
      </c>
      <c r="K59" s="167" t="n">
        <v>8.90459363957597</v>
      </c>
      <c r="L59" s="175" t="n">
        <v>0</v>
      </c>
      <c r="M59" s="175" t="n">
        <v>0</v>
      </c>
      <c r="N59" s="157" t="n">
        <v>2007</v>
      </c>
      <c r="O59" s="157" t="n">
        <v>0</v>
      </c>
      <c r="P59" s="157" t="n">
        <v>0</v>
      </c>
      <c r="Q59" s="157" t="n">
        <v>18</v>
      </c>
      <c r="R59" s="157" t="n">
        <v>14</v>
      </c>
      <c r="S59" s="157" t="n">
        <v>1</v>
      </c>
      <c r="T59" s="457" t="s">
        <v>6642</v>
      </c>
      <c r="U59" s="157" t="n">
        <v>398</v>
      </c>
      <c r="V59" s="458" t="n">
        <v>8767</v>
      </c>
      <c r="W59" s="458" t="n">
        <v>9000</v>
      </c>
      <c r="X59" s="445" t="s">
        <v>6724</v>
      </c>
      <c r="Y59" s="458" t="n">
        <v>3000</v>
      </c>
      <c r="Z59" s="457" t="s">
        <v>6638</v>
      </c>
      <c r="AD59" s="157" t="s">
        <v>6825</v>
      </c>
      <c r="AK59" s="459" t="s">
        <v>6661</v>
      </c>
    </row>
    <row r="60" s="157" customFormat="true" ht="25.5" hidden="false" customHeight="true" outlineLevel="0" collapsed="false">
      <c r="A60" s="456" t="n">
        <v>6</v>
      </c>
      <c r="B60" s="157" t="n">
        <v>55</v>
      </c>
      <c r="C60" s="157" t="s">
        <v>6633</v>
      </c>
      <c r="D60" s="157" t="s">
        <v>6826</v>
      </c>
      <c r="E60" s="457" t="s">
        <v>2461</v>
      </c>
      <c r="F60" s="157" t="s">
        <v>6827</v>
      </c>
      <c r="G60" s="157" t="n">
        <v>44.2</v>
      </c>
      <c r="H60" s="157" t="n">
        <v>9101</v>
      </c>
      <c r="I60" s="457" t="n">
        <v>0</v>
      </c>
      <c r="J60" s="458" t="n">
        <v>61468</v>
      </c>
      <c r="K60" s="167" t="n">
        <v>4.37442246372096</v>
      </c>
      <c r="L60" s="175" t="n">
        <v>0</v>
      </c>
      <c r="M60" s="175" t="n">
        <v>0</v>
      </c>
      <c r="N60" s="157" t="n">
        <v>1962</v>
      </c>
      <c r="O60" s="157" t="n">
        <v>9200</v>
      </c>
      <c r="P60" s="157" t="n">
        <v>0</v>
      </c>
      <c r="Q60" s="157" t="n">
        <v>20</v>
      </c>
      <c r="R60" s="157" t="n">
        <v>1</v>
      </c>
      <c r="S60" s="157" t="n">
        <v>1</v>
      </c>
      <c r="T60" s="457" t="s">
        <v>6642</v>
      </c>
      <c r="U60" s="157" t="n">
        <v>398</v>
      </c>
      <c r="V60" s="458" t="n">
        <v>241619</v>
      </c>
      <c r="W60" s="458" t="n">
        <v>242000</v>
      </c>
      <c r="X60" s="445" t="s">
        <v>6637</v>
      </c>
      <c r="Y60" s="458" t="n">
        <v>61000</v>
      </c>
      <c r="Z60" s="457" t="s">
        <v>6638</v>
      </c>
      <c r="AK60" s="459" t="s">
        <v>6828</v>
      </c>
    </row>
    <row r="61" s="157" customFormat="true" ht="12.75" hidden="false" customHeight="true" outlineLevel="0" collapsed="false">
      <c r="A61" s="456" t="n">
        <v>6</v>
      </c>
      <c r="B61" s="157" t="n">
        <v>56</v>
      </c>
      <c r="C61" s="157" t="s">
        <v>6633</v>
      </c>
      <c r="D61" s="157" t="s">
        <v>6829</v>
      </c>
      <c r="E61" s="457" t="s">
        <v>2461</v>
      </c>
      <c r="F61" s="157" t="s">
        <v>6830</v>
      </c>
      <c r="G61" s="157" t="n">
        <v>44.2</v>
      </c>
      <c r="H61" s="157" t="n">
        <v>9101</v>
      </c>
      <c r="I61" s="457" t="n">
        <v>0</v>
      </c>
      <c r="J61" s="458" t="n">
        <v>14628</v>
      </c>
      <c r="K61" s="167" t="n">
        <v>5.31856713152858</v>
      </c>
      <c r="L61" s="175" t="n">
        <v>0</v>
      </c>
      <c r="M61" s="175" t="n">
        <v>0.0894987146529563</v>
      </c>
      <c r="N61" s="157" t="n">
        <v>1970</v>
      </c>
      <c r="O61" s="157" t="n">
        <v>1457</v>
      </c>
      <c r="P61" s="157" t="n">
        <v>0</v>
      </c>
      <c r="Q61" s="157" t="n">
        <v>20</v>
      </c>
      <c r="R61" s="157" t="n">
        <v>14</v>
      </c>
      <c r="S61" s="157" t="n">
        <v>1</v>
      </c>
      <c r="T61" s="457" t="s">
        <v>6642</v>
      </c>
      <c r="U61" s="157" t="n">
        <v>398</v>
      </c>
      <c r="V61" s="458" t="n">
        <v>36853</v>
      </c>
      <c r="W61" s="458" t="n">
        <v>37000</v>
      </c>
      <c r="X61" s="445" t="s">
        <v>6692</v>
      </c>
      <c r="Y61" s="458" t="n">
        <v>15000</v>
      </c>
      <c r="Z61" s="457" t="s">
        <v>6638</v>
      </c>
      <c r="AD61" s="157" t="s">
        <v>6831</v>
      </c>
      <c r="AK61" s="459" t="s">
        <v>6661</v>
      </c>
    </row>
    <row r="62" s="157" customFormat="true" ht="12.75" hidden="false" customHeight="true" outlineLevel="0" collapsed="false">
      <c r="A62" s="456" t="n">
        <v>6</v>
      </c>
      <c r="B62" s="157" t="n">
        <v>57</v>
      </c>
      <c r="C62" s="157" t="s">
        <v>6633</v>
      </c>
      <c r="D62" s="157" t="s">
        <v>6832</v>
      </c>
      <c r="E62" s="457" t="s">
        <v>2461</v>
      </c>
      <c r="F62" s="157" t="s">
        <v>6833</v>
      </c>
      <c r="G62" s="157" t="n">
        <v>47.1</v>
      </c>
      <c r="H62" s="157" t="n">
        <v>9101</v>
      </c>
      <c r="I62" s="457" t="n">
        <v>0</v>
      </c>
      <c r="J62" s="458" t="n">
        <v>40388</v>
      </c>
      <c r="K62" s="167" t="n">
        <v>4.28845201545013</v>
      </c>
      <c r="L62" s="175" t="n">
        <v>0</v>
      </c>
      <c r="M62" s="175" t="n">
        <v>0.0288680269280955</v>
      </c>
      <c r="N62" s="157" t="n">
        <v>1965</v>
      </c>
      <c r="O62" s="157" t="n">
        <v>8677</v>
      </c>
      <c r="P62" s="157" t="n">
        <v>0</v>
      </c>
      <c r="Q62" s="157" t="n">
        <v>19</v>
      </c>
      <c r="R62" s="157" t="n">
        <v>4</v>
      </c>
      <c r="S62" s="157" t="n">
        <v>1</v>
      </c>
      <c r="T62" s="457" t="s">
        <v>6636</v>
      </c>
      <c r="U62" s="157" t="n">
        <v>398</v>
      </c>
      <c r="V62" s="458" t="n">
        <v>106128</v>
      </c>
      <c r="W62" s="458" t="n">
        <v>106000</v>
      </c>
      <c r="X62" s="445" t="s">
        <v>6724</v>
      </c>
      <c r="Y62" s="458" t="n">
        <v>40000</v>
      </c>
      <c r="Z62" s="457" t="s">
        <v>6638</v>
      </c>
      <c r="AD62" s="157" t="s">
        <v>6834</v>
      </c>
      <c r="AK62" s="459" t="s">
        <v>6661</v>
      </c>
    </row>
    <row r="63" s="157" customFormat="true" ht="12.75" hidden="false" customHeight="true" outlineLevel="0" collapsed="false">
      <c r="A63" s="456" t="n">
        <v>6</v>
      </c>
      <c r="B63" s="157" t="n">
        <v>58</v>
      </c>
      <c r="C63" s="157" t="s">
        <v>6633</v>
      </c>
      <c r="D63" s="157" t="s">
        <v>6835</v>
      </c>
      <c r="E63" s="457" t="s">
        <v>2461</v>
      </c>
      <c r="F63" s="157" t="s">
        <v>6836</v>
      </c>
      <c r="G63" s="157" t="n">
        <v>44.1</v>
      </c>
      <c r="H63" s="157" t="n">
        <v>9101</v>
      </c>
      <c r="I63" s="457" t="n">
        <v>0</v>
      </c>
      <c r="J63" s="458" t="n">
        <v>25212</v>
      </c>
      <c r="K63" s="167" t="n">
        <v>3.24516103442805</v>
      </c>
      <c r="L63" s="175" t="n">
        <v>0</v>
      </c>
      <c r="M63" s="175" t="n">
        <v>0.155383355537358</v>
      </c>
      <c r="N63" s="157" t="n">
        <v>1966</v>
      </c>
      <c r="O63" s="157" t="n">
        <v>2989</v>
      </c>
      <c r="P63" s="157" t="n">
        <v>0</v>
      </c>
      <c r="Q63" s="157" t="n">
        <v>17</v>
      </c>
      <c r="R63" s="157" t="n">
        <v>1</v>
      </c>
      <c r="S63" s="157" t="n">
        <v>1</v>
      </c>
      <c r="T63" s="457" t="s">
        <v>6680</v>
      </c>
      <c r="U63" s="157" t="n">
        <v>398</v>
      </c>
      <c r="V63" s="458" t="n">
        <v>38163</v>
      </c>
      <c r="W63" s="458" t="n">
        <v>38000</v>
      </c>
      <c r="X63" s="445" t="s">
        <v>6837</v>
      </c>
      <c r="Y63" s="458" t="n">
        <v>25000</v>
      </c>
      <c r="Z63" s="457" t="s">
        <v>6638</v>
      </c>
      <c r="AK63" s="459" t="s">
        <v>6661</v>
      </c>
    </row>
    <row r="64" s="157" customFormat="true" ht="12.75" hidden="false" customHeight="true" outlineLevel="0" collapsed="false">
      <c r="A64" s="456" t="n">
        <v>6</v>
      </c>
      <c r="B64" s="157" t="n">
        <v>59</v>
      </c>
      <c r="C64" s="157" t="s">
        <v>6633</v>
      </c>
      <c r="D64" s="157" t="s">
        <v>6838</v>
      </c>
      <c r="E64" s="457" t="s">
        <v>2461</v>
      </c>
      <c r="F64" s="157" t="s">
        <v>6839</v>
      </c>
      <c r="G64" s="157" t="n">
        <v>44.1</v>
      </c>
      <c r="H64" s="157" t="n">
        <v>9101</v>
      </c>
      <c r="I64" s="457" t="n">
        <v>0</v>
      </c>
      <c r="J64" s="458" t="n">
        <v>29376</v>
      </c>
      <c r="K64" s="167" t="n">
        <v>4.19342320261438</v>
      </c>
      <c r="L64" s="175" t="n">
        <v>0</v>
      </c>
      <c r="M64" s="175" t="n">
        <v>0</v>
      </c>
      <c r="N64" s="157" t="n">
        <v>1971</v>
      </c>
      <c r="O64" s="157" t="n">
        <v>5721</v>
      </c>
      <c r="P64" s="157" t="n">
        <v>0</v>
      </c>
      <c r="Q64" s="157" t="n">
        <v>22</v>
      </c>
      <c r="R64" s="157" t="n">
        <v>10</v>
      </c>
      <c r="S64" s="157" t="n">
        <v>1</v>
      </c>
      <c r="T64" s="457" t="s">
        <v>6636</v>
      </c>
      <c r="U64" s="157" t="n">
        <v>398</v>
      </c>
      <c r="V64" s="458" t="n">
        <v>61218</v>
      </c>
      <c r="W64" s="458" t="n">
        <v>61000</v>
      </c>
      <c r="X64" s="445" t="s">
        <v>6754</v>
      </c>
      <c r="Y64" s="458" t="n">
        <v>29000</v>
      </c>
      <c r="Z64" s="457" t="s">
        <v>6638</v>
      </c>
      <c r="AK64" s="459"/>
    </row>
    <row r="65" s="157" customFormat="true" ht="12.75" hidden="false" customHeight="true" outlineLevel="0" collapsed="false">
      <c r="A65" s="456" t="n">
        <v>6</v>
      </c>
      <c r="B65" s="157" t="n">
        <v>60</v>
      </c>
      <c r="C65" s="157" t="s">
        <v>6633</v>
      </c>
      <c r="D65" s="157" t="s">
        <v>6840</v>
      </c>
      <c r="E65" s="457" t="s">
        <v>2461</v>
      </c>
      <c r="F65" s="157" t="s">
        <v>6841</v>
      </c>
      <c r="G65" s="157" t="n">
        <v>44.6</v>
      </c>
      <c r="H65" s="157" t="n">
        <v>9101</v>
      </c>
      <c r="I65" s="457" t="n">
        <v>0</v>
      </c>
      <c r="J65" s="458" t="n">
        <v>63040</v>
      </c>
      <c r="K65" s="167" t="n">
        <v>8.12311024865743</v>
      </c>
      <c r="L65" s="175" t="n">
        <v>0</v>
      </c>
      <c r="M65" s="175" t="n">
        <v>0</v>
      </c>
      <c r="N65" s="157" t="n">
        <v>1982</v>
      </c>
      <c r="O65" s="157" t="n">
        <v>9601</v>
      </c>
      <c r="P65" s="157" t="n">
        <v>0</v>
      </c>
      <c r="Q65" s="157" t="n">
        <v>14</v>
      </c>
      <c r="R65" s="157" t="n">
        <v>14</v>
      </c>
      <c r="S65" s="157" t="n">
        <v>1</v>
      </c>
      <c r="T65" s="457" t="s">
        <v>6642</v>
      </c>
      <c r="U65" s="157" t="n">
        <v>398</v>
      </c>
      <c r="V65" s="458" t="n">
        <v>129650</v>
      </c>
      <c r="W65" s="458" t="n">
        <v>130000</v>
      </c>
      <c r="X65" s="445" t="s">
        <v>6754</v>
      </c>
      <c r="Y65" s="458" t="n">
        <v>63000</v>
      </c>
      <c r="Z65" s="457" t="s">
        <v>6638</v>
      </c>
      <c r="AD65" s="157" t="s">
        <v>6842</v>
      </c>
      <c r="AK65" s="459"/>
    </row>
    <row r="66" s="157" customFormat="true" ht="12.75" hidden="false" customHeight="true" outlineLevel="0" collapsed="false">
      <c r="A66" s="456" t="n">
        <v>6</v>
      </c>
      <c r="B66" s="157" t="n">
        <v>61</v>
      </c>
      <c r="C66" s="157" t="s">
        <v>6633</v>
      </c>
      <c r="D66" s="157" t="s">
        <v>6843</v>
      </c>
      <c r="E66" s="457" t="s">
        <v>2461</v>
      </c>
      <c r="F66" s="157" t="s">
        <v>6844</v>
      </c>
      <c r="G66" s="157" t="n">
        <v>44.1</v>
      </c>
      <c r="H66" s="157" t="n">
        <v>9101</v>
      </c>
      <c r="I66" s="457" t="n">
        <v>0</v>
      </c>
      <c r="J66" s="458" t="n">
        <v>7083</v>
      </c>
      <c r="K66" s="167" t="n">
        <v>10.1651842439644</v>
      </c>
      <c r="L66" s="175" t="n">
        <v>0</v>
      </c>
      <c r="M66" s="175" t="n">
        <v>0.0347222222222222</v>
      </c>
      <c r="N66" s="157" t="n">
        <v>1965</v>
      </c>
      <c r="O66" s="157" t="n">
        <v>1258</v>
      </c>
      <c r="P66" s="157" t="n">
        <v>0</v>
      </c>
      <c r="Q66" s="157" t="n">
        <v>14</v>
      </c>
      <c r="R66" s="157" t="n">
        <v>1</v>
      </c>
      <c r="S66" s="157" t="n">
        <v>1</v>
      </c>
      <c r="T66" s="457" t="s">
        <v>6680</v>
      </c>
      <c r="U66" s="157" t="n">
        <v>398</v>
      </c>
      <c r="V66" s="458" t="n">
        <v>11375</v>
      </c>
      <c r="W66" s="458" t="n">
        <v>11000</v>
      </c>
      <c r="X66" s="445" t="s">
        <v>6668</v>
      </c>
      <c r="Y66" s="458" t="n">
        <v>7000</v>
      </c>
      <c r="Z66" s="457" t="s">
        <v>6638</v>
      </c>
      <c r="AK66" s="459" t="s">
        <v>6661</v>
      </c>
    </row>
    <row r="67" s="157" customFormat="true" ht="12.75" hidden="false" customHeight="true" outlineLevel="0" collapsed="false">
      <c r="A67" s="456" t="n">
        <v>6</v>
      </c>
      <c r="B67" s="157" t="n">
        <v>62</v>
      </c>
      <c r="C67" s="157" t="s">
        <v>6633</v>
      </c>
      <c r="D67" s="157" t="s">
        <v>6845</v>
      </c>
      <c r="E67" s="457" t="s">
        <v>2461</v>
      </c>
      <c r="F67" s="157" t="s">
        <v>6846</v>
      </c>
      <c r="G67" s="157" t="n">
        <v>44.1</v>
      </c>
      <c r="H67" s="157" t="n">
        <v>9101</v>
      </c>
      <c r="I67" s="457" t="n">
        <v>0</v>
      </c>
      <c r="J67" s="458" t="n">
        <v>63164</v>
      </c>
      <c r="K67" s="167" t="n">
        <v>3.22968779684631</v>
      </c>
      <c r="L67" s="175" t="n">
        <v>0</v>
      </c>
      <c r="M67" s="175" t="n">
        <v>0</v>
      </c>
      <c r="N67" s="157" t="n">
        <v>1963</v>
      </c>
      <c r="O67" s="157" t="n">
        <v>3300</v>
      </c>
      <c r="P67" s="157" t="n">
        <v>7164</v>
      </c>
      <c r="Q67" s="157" t="n">
        <v>19</v>
      </c>
      <c r="R67" s="157" t="n">
        <v>1</v>
      </c>
      <c r="S67" s="157" t="n">
        <v>1</v>
      </c>
      <c r="T67" s="457" t="s">
        <v>6847</v>
      </c>
      <c r="U67" s="157" t="n">
        <v>398</v>
      </c>
      <c r="V67" s="458" t="n">
        <v>149373</v>
      </c>
      <c r="W67" s="458" t="n">
        <v>149000</v>
      </c>
      <c r="X67" s="445" t="s">
        <v>6650</v>
      </c>
      <c r="Y67" s="458" t="n">
        <v>63000</v>
      </c>
      <c r="Z67" s="457" t="s">
        <v>6848</v>
      </c>
      <c r="AK67" s="459"/>
    </row>
    <row r="68" s="157" customFormat="true" ht="25.5" hidden="false" customHeight="true" outlineLevel="0" collapsed="false">
      <c r="A68" s="456" t="n">
        <v>6</v>
      </c>
      <c r="B68" s="157" t="n">
        <v>63</v>
      </c>
      <c r="C68" s="157" t="s">
        <v>6633</v>
      </c>
      <c r="D68" s="157" t="s">
        <v>6849</v>
      </c>
      <c r="E68" s="457" t="s">
        <v>2461</v>
      </c>
      <c r="F68" s="157" t="s">
        <v>6850</v>
      </c>
      <c r="G68" s="157" t="n">
        <v>44.4</v>
      </c>
      <c r="H68" s="157" t="n">
        <v>9102</v>
      </c>
      <c r="I68" s="457" t="n">
        <v>0</v>
      </c>
      <c r="J68" s="458" t="n">
        <v>104891</v>
      </c>
      <c r="K68" s="167" t="n">
        <v>5.216157725639</v>
      </c>
      <c r="L68" s="175" t="n">
        <v>0</v>
      </c>
      <c r="M68" s="175" t="n">
        <v>0.311663815414309</v>
      </c>
      <c r="N68" s="157" t="n">
        <v>1985</v>
      </c>
      <c r="O68" s="157" t="n">
        <v>14479</v>
      </c>
      <c r="P68" s="157" t="n">
        <v>0</v>
      </c>
      <c r="Q68" s="157" t="n">
        <v>24</v>
      </c>
      <c r="R68" s="157" t="n">
        <v>14</v>
      </c>
      <c r="S68" s="157" t="n">
        <v>8</v>
      </c>
      <c r="T68" s="457" t="s">
        <v>6642</v>
      </c>
      <c r="U68" s="157" t="n">
        <v>398</v>
      </c>
      <c r="V68" s="458" t="n">
        <v>219619</v>
      </c>
      <c r="W68" s="458" t="n">
        <v>220000</v>
      </c>
      <c r="X68" s="445" t="s">
        <v>6754</v>
      </c>
      <c r="Y68" s="458" t="n">
        <v>105000</v>
      </c>
      <c r="Z68" s="457" t="s">
        <v>6638</v>
      </c>
      <c r="AD68" s="157" t="s">
        <v>6851</v>
      </c>
      <c r="AK68" s="459" t="s">
        <v>6852</v>
      </c>
    </row>
    <row r="69" s="157" customFormat="true" ht="12.75" hidden="false" customHeight="true" outlineLevel="0" collapsed="false">
      <c r="A69" s="456" t="n">
        <v>6</v>
      </c>
      <c r="B69" s="157" t="n">
        <v>64</v>
      </c>
      <c r="C69" s="157" t="s">
        <v>6633</v>
      </c>
      <c r="D69" s="157" t="s">
        <v>6853</v>
      </c>
      <c r="E69" s="457" t="s">
        <v>2461</v>
      </c>
      <c r="F69" s="157" t="s">
        <v>6854</v>
      </c>
      <c r="G69" s="157" t="n">
        <v>44.2</v>
      </c>
      <c r="H69" s="157" t="n">
        <v>9102</v>
      </c>
      <c r="I69" s="457" t="n">
        <v>0</v>
      </c>
      <c r="J69" s="458" t="n">
        <v>19776</v>
      </c>
      <c r="K69" s="167" t="n">
        <v>4.41990291262136</v>
      </c>
      <c r="L69" s="175" t="n">
        <v>0</v>
      </c>
      <c r="M69" s="175" t="n">
        <v>0.0572030020135457</v>
      </c>
      <c r="N69" s="157" t="n">
        <v>1969</v>
      </c>
      <c r="O69" s="157" t="n">
        <v>7104</v>
      </c>
      <c r="P69" s="157" t="n">
        <v>0</v>
      </c>
      <c r="Q69" s="157" t="n">
        <v>12</v>
      </c>
      <c r="R69" s="157" t="n">
        <v>14</v>
      </c>
      <c r="S69" s="157" t="n">
        <v>1</v>
      </c>
      <c r="T69" s="457" t="s">
        <v>6642</v>
      </c>
      <c r="U69" s="157" t="n">
        <v>398</v>
      </c>
      <c r="V69" s="458" t="n">
        <v>45325</v>
      </c>
      <c r="W69" s="458" t="n">
        <v>45000</v>
      </c>
      <c r="X69" s="445" t="s">
        <v>6646</v>
      </c>
      <c r="Y69" s="458" t="n">
        <v>20000</v>
      </c>
      <c r="Z69" s="457" t="s">
        <v>6638</v>
      </c>
      <c r="AD69" s="157" t="s">
        <v>6855</v>
      </c>
      <c r="AK69" s="459" t="s">
        <v>6661</v>
      </c>
    </row>
    <row r="70" s="157" customFormat="true" ht="25.5" hidden="false" customHeight="true" outlineLevel="0" collapsed="false">
      <c r="A70" s="456" t="n">
        <v>6</v>
      </c>
      <c r="B70" s="157" t="n">
        <v>65</v>
      </c>
      <c r="C70" s="157" t="s">
        <v>6633</v>
      </c>
      <c r="D70" s="157" t="s">
        <v>6856</v>
      </c>
      <c r="E70" s="457" t="s">
        <v>2461</v>
      </c>
      <c r="F70" s="157" t="s">
        <v>6857</v>
      </c>
      <c r="G70" s="157" t="n">
        <v>44.2</v>
      </c>
      <c r="H70" s="157" t="n">
        <v>9102</v>
      </c>
      <c r="I70" s="457" t="n">
        <v>0</v>
      </c>
      <c r="J70" s="458" t="n">
        <v>11918</v>
      </c>
      <c r="K70" s="167" t="n">
        <v>6.2174861553952</v>
      </c>
      <c r="L70" s="175" t="n">
        <v>0</v>
      </c>
      <c r="M70" s="175" t="n">
        <v>0.334588394062078</v>
      </c>
      <c r="N70" s="157" t="n">
        <v>1967</v>
      </c>
      <c r="O70" s="157" t="n">
        <v>442</v>
      </c>
      <c r="P70" s="157" t="n">
        <v>0</v>
      </c>
      <c r="Q70" s="157" t="n">
        <v>22</v>
      </c>
      <c r="R70" s="157" t="n">
        <v>1</v>
      </c>
      <c r="S70" s="157" t="n">
        <v>1</v>
      </c>
      <c r="T70" s="457" t="s">
        <v>6642</v>
      </c>
      <c r="U70" s="157" t="n">
        <v>398</v>
      </c>
      <c r="V70" s="458" t="n">
        <v>32585</v>
      </c>
      <c r="W70" s="458" t="n">
        <v>33000</v>
      </c>
      <c r="X70" s="445" t="s">
        <v>6757</v>
      </c>
      <c r="Y70" s="458" t="n">
        <v>12000</v>
      </c>
      <c r="Z70" s="457" t="s">
        <v>6638</v>
      </c>
      <c r="AD70" s="157" t="s">
        <v>6651</v>
      </c>
      <c r="AK70" s="459" t="s">
        <v>6858</v>
      </c>
    </row>
    <row r="71" s="157" customFormat="true" ht="12.75" hidden="false" customHeight="true" outlineLevel="0" collapsed="false">
      <c r="A71" s="456" t="n">
        <v>6</v>
      </c>
      <c r="B71" s="157" t="n">
        <v>66</v>
      </c>
      <c r="C71" s="157" t="s">
        <v>6633</v>
      </c>
      <c r="D71" s="157" t="s">
        <v>6859</v>
      </c>
      <c r="E71" s="457" t="s">
        <v>2461</v>
      </c>
      <c r="F71" s="157" t="s">
        <v>6860</v>
      </c>
      <c r="G71" s="157" t="n">
        <v>44.2</v>
      </c>
      <c r="H71" s="157" t="n">
        <v>9102</v>
      </c>
      <c r="I71" s="457" t="n">
        <v>0</v>
      </c>
      <c r="J71" s="458" t="n">
        <v>10794</v>
      </c>
      <c r="K71" s="167" t="n">
        <v>5.18806744487678</v>
      </c>
      <c r="L71" s="175" t="n">
        <v>0.5</v>
      </c>
      <c r="M71" s="175" t="n">
        <v>0.125</v>
      </c>
      <c r="N71" s="157" t="n">
        <v>1985</v>
      </c>
      <c r="O71" s="157" t="n">
        <v>0</v>
      </c>
      <c r="P71" s="157" t="n">
        <v>5424</v>
      </c>
      <c r="Q71" s="157" t="n">
        <v>14</v>
      </c>
      <c r="R71" s="157" t="n">
        <v>3</v>
      </c>
      <c r="S71" s="157" t="n">
        <v>1</v>
      </c>
      <c r="T71" s="457" t="s">
        <v>6642</v>
      </c>
      <c r="U71" s="157" t="n">
        <v>398</v>
      </c>
      <c r="V71" s="458" t="n">
        <v>25300</v>
      </c>
      <c r="W71" s="458" t="n">
        <v>25000</v>
      </c>
      <c r="X71" s="445" t="s">
        <v>6646</v>
      </c>
      <c r="Y71" s="458" t="n">
        <v>11000</v>
      </c>
      <c r="Z71" s="457" t="s">
        <v>6638</v>
      </c>
      <c r="AK71" s="459"/>
    </row>
    <row r="72" s="157" customFormat="true" ht="12.75" hidden="false" customHeight="true" outlineLevel="0" collapsed="false">
      <c r="A72" s="456" t="n">
        <v>6</v>
      </c>
      <c r="B72" s="157" t="n">
        <v>67</v>
      </c>
      <c r="C72" s="157" t="s">
        <v>6633</v>
      </c>
      <c r="D72" s="157" t="s">
        <v>6861</v>
      </c>
      <c r="E72" s="457" t="s">
        <v>2461</v>
      </c>
      <c r="F72" s="157" t="s">
        <v>6862</v>
      </c>
      <c r="G72" s="157" t="n">
        <v>44.2</v>
      </c>
      <c r="H72" s="157" t="n">
        <v>9102</v>
      </c>
      <c r="I72" s="457" t="n">
        <v>0</v>
      </c>
      <c r="J72" s="458" t="n">
        <v>22922</v>
      </c>
      <c r="K72" s="167" t="n">
        <v>4.48477445249106</v>
      </c>
      <c r="L72" s="175" t="n">
        <v>0</v>
      </c>
      <c r="M72" s="175" t="n">
        <v>0</v>
      </c>
      <c r="N72" s="157" t="n">
        <v>1985</v>
      </c>
      <c r="O72" s="157" t="n">
        <v>2168</v>
      </c>
      <c r="P72" s="157" t="n">
        <v>0</v>
      </c>
      <c r="Q72" s="157" t="n">
        <v>20</v>
      </c>
      <c r="R72" s="157" t="n">
        <v>10</v>
      </c>
      <c r="S72" s="157" t="n">
        <v>1</v>
      </c>
      <c r="T72" s="457" t="s">
        <v>6642</v>
      </c>
      <c r="U72" s="157" t="n">
        <v>398</v>
      </c>
      <c r="V72" s="458" t="n">
        <v>40700</v>
      </c>
      <c r="W72" s="458" t="n">
        <v>41000</v>
      </c>
      <c r="X72" s="445" t="s">
        <v>6863</v>
      </c>
      <c r="Y72" s="458" t="n">
        <v>23000</v>
      </c>
      <c r="Z72" s="457" t="s">
        <v>6735</v>
      </c>
      <c r="AD72" s="157" t="s">
        <v>6864</v>
      </c>
      <c r="AK72" s="459"/>
    </row>
    <row r="73" s="157" customFormat="true" ht="12.75" hidden="false" customHeight="true" outlineLevel="0" collapsed="false">
      <c r="A73" s="456" t="n">
        <v>6</v>
      </c>
      <c r="B73" s="157" t="n">
        <v>68</v>
      </c>
      <c r="C73" s="157" t="s">
        <v>6633</v>
      </c>
      <c r="D73" s="157" t="s">
        <v>6865</v>
      </c>
      <c r="E73" s="457" t="s">
        <v>2461</v>
      </c>
      <c r="F73" s="157" t="s">
        <v>6866</v>
      </c>
      <c r="G73" s="157" t="n">
        <v>44.1</v>
      </c>
      <c r="H73" s="157" t="n">
        <v>9102</v>
      </c>
      <c r="I73" s="457" t="n">
        <v>0</v>
      </c>
      <c r="J73" s="458" t="n">
        <v>14848</v>
      </c>
      <c r="K73" s="167" t="n">
        <v>5.45076778017241</v>
      </c>
      <c r="L73" s="175" t="n">
        <v>0</v>
      </c>
      <c r="M73" s="175" t="n">
        <v>0</v>
      </c>
      <c r="N73" s="157" t="n">
        <v>1969</v>
      </c>
      <c r="O73" s="157" t="n">
        <v>1239</v>
      </c>
      <c r="P73" s="157" t="n">
        <v>0</v>
      </c>
      <c r="Q73" s="157" t="n">
        <v>22</v>
      </c>
      <c r="R73" s="157" t="n">
        <v>8</v>
      </c>
      <c r="S73" s="157" t="n">
        <v>1</v>
      </c>
      <c r="T73" s="457" t="s">
        <v>6642</v>
      </c>
      <c r="U73" s="157" t="n">
        <v>398</v>
      </c>
      <c r="V73" s="458" t="n">
        <v>44000</v>
      </c>
      <c r="W73" s="458" t="n">
        <v>44000</v>
      </c>
      <c r="X73" s="445" t="s">
        <v>6743</v>
      </c>
      <c r="Y73" s="458" t="n">
        <v>15000</v>
      </c>
      <c r="Z73" s="457" t="s">
        <v>6638</v>
      </c>
      <c r="AD73" s="157" t="s">
        <v>6867</v>
      </c>
      <c r="AK73" s="459"/>
    </row>
    <row r="74" s="157" customFormat="true" ht="12.75" hidden="false" customHeight="true" outlineLevel="0" collapsed="false">
      <c r="A74" s="456" t="n">
        <v>6</v>
      </c>
      <c r="B74" s="157" t="n">
        <v>69</v>
      </c>
      <c r="C74" s="157" t="s">
        <v>6633</v>
      </c>
      <c r="D74" s="157" t="s">
        <v>6868</v>
      </c>
      <c r="E74" s="457" t="s">
        <v>2461</v>
      </c>
      <c r="F74" s="157" t="s">
        <v>6869</v>
      </c>
      <c r="G74" s="157" t="n">
        <v>44.1</v>
      </c>
      <c r="H74" s="157" t="n">
        <v>9102</v>
      </c>
      <c r="I74" s="457" t="n">
        <v>0</v>
      </c>
      <c r="J74" s="458" t="n">
        <v>10527</v>
      </c>
      <c r="K74" s="167" t="n">
        <v>6.9155504892182</v>
      </c>
      <c r="L74" s="175" t="n">
        <v>1</v>
      </c>
      <c r="M74" s="175" t="n">
        <v>0.151799450549451</v>
      </c>
      <c r="N74" s="157" t="n">
        <v>1968</v>
      </c>
      <c r="O74" s="157" t="n">
        <v>4329</v>
      </c>
      <c r="P74" s="157" t="n">
        <v>0</v>
      </c>
      <c r="Q74" s="157" t="n">
        <v>21</v>
      </c>
      <c r="R74" s="157" t="n">
        <v>1</v>
      </c>
      <c r="S74" s="157" t="n">
        <v>1</v>
      </c>
      <c r="T74" s="457" t="s">
        <v>6642</v>
      </c>
      <c r="U74" s="157" t="n">
        <v>398</v>
      </c>
      <c r="V74" s="458" t="n">
        <v>25100</v>
      </c>
      <c r="W74" s="458" t="n">
        <v>25000</v>
      </c>
      <c r="X74" s="445" t="s">
        <v>6650</v>
      </c>
      <c r="Y74" s="458" t="n">
        <v>11000</v>
      </c>
      <c r="Z74" s="457" t="s">
        <v>6638</v>
      </c>
      <c r="AD74" s="157" t="s">
        <v>6870</v>
      </c>
      <c r="AK74" s="459"/>
    </row>
    <row r="75" s="157" customFormat="true" ht="25.5" hidden="false" customHeight="true" outlineLevel="0" collapsed="false">
      <c r="A75" s="456" t="n">
        <v>6</v>
      </c>
      <c r="B75" s="157" t="n">
        <v>70</v>
      </c>
      <c r="C75" s="157" t="s">
        <v>6633</v>
      </c>
      <c r="D75" s="157" t="s">
        <v>6871</v>
      </c>
      <c r="E75" s="457" t="s">
        <v>2461</v>
      </c>
      <c r="F75" s="157" t="s">
        <v>6872</v>
      </c>
      <c r="G75" s="157" t="n">
        <v>44.2</v>
      </c>
      <c r="H75" s="157" t="n">
        <v>9104</v>
      </c>
      <c r="I75" s="457" t="n">
        <v>0</v>
      </c>
      <c r="J75" s="458" t="n">
        <v>20046</v>
      </c>
      <c r="K75" s="167" t="n">
        <v>6.37533672553128</v>
      </c>
      <c r="L75" s="175" t="n">
        <v>0</v>
      </c>
      <c r="M75" s="175" t="n">
        <v>0.109827856025039</v>
      </c>
      <c r="N75" s="157" t="n">
        <v>1978</v>
      </c>
      <c r="O75" s="157" t="n">
        <v>2278</v>
      </c>
      <c r="P75" s="157" t="n">
        <v>0</v>
      </c>
      <c r="Q75" s="157" t="n">
        <v>20</v>
      </c>
      <c r="R75" s="157" t="n">
        <v>10</v>
      </c>
      <c r="S75" s="157" t="n">
        <v>1</v>
      </c>
      <c r="T75" s="457" t="s">
        <v>6642</v>
      </c>
      <c r="U75" s="157" t="n">
        <v>398</v>
      </c>
      <c r="V75" s="458" t="n">
        <v>43000</v>
      </c>
      <c r="W75" s="458" t="n">
        <v>43000</v>
      </c>
      <c r="X75" s="445" t="s">
        <v>6754</v>
      </c>
      <c r="Y75" s="458" t="n">
        <v>20000</v>
      </c>
      <c r="Z75" s="457" t="s">
        <v>6638</v>
      </c>
      <c r="AK75" s="459" t="s">
        <v>6873</v>
      </c>
    </row>
    <row r="76" s="157" customFormat="true" ht="12.75" hidden="false" customHeight="true" outlineLevel="0" collapsed="false">
      <c r="A76" s="456" t="n">
        <v>6</v>
      </c>
      <c r="B76" s="157" t="n">
        <v>71</v>
      </c>
      <c r="C76" s="157" t="s">
        <v>6633</v>
      </c>
      <c r="D76" s="157" t="s">
        <v>6874</v>
      </c>
      <c r="E76" s="457" t="s">
        <v>2461</v>
      </c>
      <c r="F76" s="157" t="s">
        <v>6875</v>
      </c>
      <c r="G76" s="157" t="n">
        <v>44.4</v>
      </c>
      <c r="H76" s="157" t="n">
        <v>9102</v>
      </c>
      <c r="I76" s="457" t="n">
        <v>0</v>
      </c>
      <c r="J76" s="458" t="n">
        <v>198000</v>
      </c>
      <c r="K76" s="167" t="n">
        <v>5.24</v>
      </c>
      <c r="L76" s="175" t="n">
        <v>0.21</v>
      </c>
      <c r="M76" s="175" t="n">
        <v>0.390995836224844</v>
      </c>
      <c r="N76" s="157" t="n">
        <v>1997</v>
      </c>
      <c r="O76" s="157" t="n">
        <v>38420</v>
      </c>
      <c r="P76" s="157" t="n">
        <v>0</v>
      </c>
      <c r="Q76" s="157" t="n">
        <v>26</v>
      </c>
      <c r="R76" s="157" t="n">
        <v>14</v>
      </c>
      <c r="S76" s="157" t="n">
        <v>9</v>
      </c>
      <c r="T76" s="457" t="s">
        <v>6876</v>
      </c>
      <c r="U76" s="157" t="n">
        <v>398</v>
      </c>
      <c r="V76" s="458" t="n">
        <v>489526</v>
      </c>
      <c r="W76" s="458" t="n">
        <v>490000</v>
      </c>
      <c r="X76" s="445" t="s">
        <v>6692</v>
      </c>
      <c r="Y76" s="458" t="n">
        <v>198000</v>
      </c>
      <c r="Z76" s="457" t="s">
        <v>6638</v>
      </c>
      <c r="AD76" s="157" t="s">
        <v>6877</v>
      </c>
      <c r="AK76" s="459"/>
    </row>
    <row r="77" s="157" customFormat="true" ht="25.5" hidden="false" customHeight="true" outlineLevel="0" collapsed="false">
      <c r="A77" s="456" t="n">
        <v>6</v>
      </c>
      <c r="B77" s="157" t="n">
        <v>72</v>
      </c>
      <c r="C77" s="157" t="s">
        <v>6633</v>
      </c>
      <c r="D77" s="157" t="s">
        <v>6874</v>
      </c>
      <c r="E77" s="457" t="s">
        <v>2461</v>
      </c>
      <c r="F77" s="157" t="s">
        <v>6875</v>
      </c>
      <c r="G77" s="157" t="n">
        <v>44.4</v>
      </c>
      <c r="H77" s="157" t="n">
        <v>9102</v>
      </c>
      <c r="I77" s="457" t="n">
        <v>0</v>
      </c>
      <c r="J77" s="458" t="n">
        <v>198000</v>
      </c>
      <c r="K77" s="167" t="n">
        <v>7.65</v>
      </c>
      <c r="L77" s="175" t="n">
        <v>0.21</v>
      </c>
      <c r="M77" s="175" t="n">
        <v>0</v>
      </c>
      <c r="N77" s="157" t="n">
        <v>1997</v>
      </c>
      <c r="O77" s="157" t="n">
        <v>38420</v>
      </c>
      <c r="P77" s="157" t="n">
        <v>0</v>
      </c>
      <c r="Q77" s="157" t="n">
        <v>26</v>
      </c>
      <c r="R77" s="157" t="n">
        <v>14</v>
      </c>
      <c r="S77" s="157" t="n">
        <v>9</v>
      </c>
      <c r="T77" s="457" t="s">
        <v>6876</v>
      </c>
      <c r="U77" s="157" t="n">
        <v>398</v>
      </c>
      <c r="V77" s="458" t="n">
        <v>489526</v>
      </c>
      <c r="W77" s="458" t="n">
        <v>490000</v>
      </c>
      <c r="X77" s="445" t="s">
        <v>6692</v>
      </c>
      <c r="Y77" s="458" t="n">
        <v>198000</v>
      </c>
      <c r="Z77" s="457" t="s">
        <v>6638</v>
      </c>
      <c r="AD77" s="157" t="s">
        <v>6877</v>
      </c>
      <c r="AK77" s="459" t="s">
        <v>6878</v>
      </c>
    </row>
    <row r="78" s="157" customFormat="true" ht="12.75" hidden="false" customHeight="true" outlineLevel="0" collapsed="false">
      <c r="A78" s="456" t="n">
        <v>6</v>
      </c>
      <c r="B78" s="157" t="n">
        <v>73</v>
      </c>
      <c r="C78" s="157" t="s">
        <v>6633</v>
      </c>
      <c r="D78" s="157" t="s">
        <v>6879</v>
      </c>
      <c r="E78" s="457" t="s">
        <v>2461</v>
      </c>
      <c r="F78" s="157" t="s">
        <v>6880</v>
      </c>
      <c r="G78" s="157" t="n">
        <v>44.4</v>
      </c>
      <c r="H78" s="157" t="n">
        <v>9104</v>
      </c>
      <c r="I78" s="457" t="n">
        <v>0</v>
      </c>
      <c r="J78" s="458" t="n">
        <v>121360</v>
      </c>
      <c r="K78" s="167" t="n">
        <v>3.59473467369809</v>
      </c>
      <c r="L78" s="175" t="n">
        <v>0</v>
      </c>
      <c r="M78" s="175" t="n">
        <v>0.333076603928418</v>
      </c>
      <c r="N78" s="157" t="n">
        <v>1971</v>
      </c>
      <c r="O78" s="157" t="n">
        <v>6439</v>
      </c>
      <c r="P78" s="157" t="n">
        <v>1570</v>
      </c>
      <c r="Q78" s="157" t="n">
        <v>30</v>
      </c>
      <c r="R78" s="157" t="n">
        <v>14</v>
      </c>
      <c r="S78" s="157" t="n">
        <v>2</v>
      </c>
      <c r="T78" s="457" t="s">
        <v>6642</v>
      </c>
      <c r="U78" s="157" t="n">
        <v>398</v>
      </c>
      <c r="V78" s="458" t="n">
        <v>255000</v>
      </c>
      <c r="W78" s="458" t="n">
        <v>255000</v>
      </c>
      <c r="X78" s="445" t="s">
        <v>6754</v>
      </c>
      <c r="Y78" s="458" t="n">
        <v>121000</v>
      </c>
      <c r="Z78" s="457" t="s">
        <v>6638</v>
      </c>
      <c r="AD78" s="157" t="s">
        <v>6881</v>
      </c>
      <c r="AK78" s="459"/>
    </row>
    <row r="79" s="157" customFormat="true" ht="12.75" hidden="false" customHeight="true" outlineLevel="0" collapsed="false">
      <c r="A79" s="456" t="n">
        <v>6</v>
      </c>
      <c r="B79" s="157" t="n">
        <v>74</v>
      </c>
      <c r="C79" s="157" t="s">
        <v>6633</v>
      </c>
      <c r="D79" s="157" t="s">
        <v>6882</v>
      </c>
      <c r="E79" s="457" t="s">
        <v>2461</v>
      </c>
      <c r="F79" s="157" t="s">
        <v>6883</v>
      </c>
      <c r="G79" s="157" t="n">
        <v>44.1</v>
      </c>
      <c r="H79" s="157" t="n">
        <v>9104</v>
      </c>
      <c r="I79" s="457" t="n">
        <v>0</v>
      </c>
      <c r="J79" s="458" t="n">
        <v>25095</v>
      </c>
      <c r="K79" s="167" t="n">
        <v>16.5809922295278</v>
      </c>
      <c r="L79" s="175" t="n">
        <v>0</v>
      </c>
      <c r="M79" s="175" t="n">
        <v>0</v>
      </c>
      <c r="N79" s="157" t="n">
        <v>1990</v>
      </c>
      <c r="O79" s="157" t="n">
        <v>6866</v>
      </c>
      <c r="P79" s="157" t="n">
        <v>0</v>
      </c>
      <c r="Q79" s="157" t="n">
        <v>19</v>
      </c>
      <c r="R79" s="157" t="n">
        <v>3</v>
      </c>
      <c r="S79" s="157" t="n">
        <v>1</v>
      </c>
      <c r="T79" s="457" t="s">
        <v>6642</v>
      </c>
      <c r="U79" s="157" t="n">
        <v>398</v>
      </c>
      <c r="V79" s="458" t="n">
        <v>45240</v>
      </c>
      <c r="W79" s="458" t="n">
        <v>45000</v>
      </c>
      <c r="X79" s="445" t="s">
        <v>6863</v>
      </c>
      <c r="Y79" s="458" t="n">
        <v>25000</v>
      </c>
      <c r="Z79" s="457" t="s">
        <v>6638</v>
      </c>
      <c r="AD79" s="157" t="s">
        <v>6884</v>
      </c>
      <c r="AK79" s="459" t="s">
        <v>6665</v>
      </c>
    </row>
    <row r="80" s="157" customFormat="true" ht="12.75" hidden="false" customHeight="true" outlineLevel="0" collapsed="false">
      <c r="A80" s="456" t="n">
        <v>6</v>
      </c>
      <c r="B80" s="157" t="n">
        <v>75</v>
      </c>
      <c r="C80" s="157" t="s">
        <v>6633</v>
      </c>
      <c r="D80" s="157" t="s">
        <v>6885</v>
      </c>
      <c r="E80" s="457" t="s">
        <v>2461</v>
      </c>
      <c r="F80" s="157" t="s">
        <v>6886</v>
      </c>
      <c r="G80" s="157" t="n">
        <v>44.2</v>
      </c>
      <c r="H80" s="157" t="n">
        <v>9104</v>
      </c>
      <c r="I80" s="457" t="n">
        <v>0</v>
      </c>
      <c r="J80" s="458" t="n">
        <v>12107</v>
      </c>
      <c r="K80" s="167" t="n">
        <v>5.35227554307426</v>
      </c>
      <c r="L80" s="175" t="n">
        <v>0</v>
      </c>
      <c r="M80" s="175" t="n">
        <v>0.307083333333333</v>
      </c>
      <c r="N80" s="157" t="n">
        <v>2000</v>
      </c>
      <c r="O80" s="157" t="n">
        <v>3823</v>
      </c>
      <c r="P80" s="157" t="n">
        <v>0</v>
      </c>
      <c r="Q80" s="157" t="n">
        <v>24</v>
      </c>
      <c r="R80" s="157" t="n">
        <v>3</v>
      </c>
      <c r="S80" s="157" t="n">
        <v>5</v>
      </c>
      <c r="T80" s="457" t="s">
        <v>6642</v>
      </c>
      <c r="U80" s="157" t="n">
        <v>398</v>
      </c>
      <c r="V80" s="458" t="n">
        <v>38408</v>
      </c>
      <c r="W80" s="458" t="n">
        <v>38000</v>
      </c>
      <c r="X80" s="445" t="s">
        <v>6695</v>
      </c>
      <c r="Y80" s="458" t="n">
        <v>12000</v>
      </c>
      <c r="Z80" s="457" t="s">
        <v>6638</v>
      </c>
      <c r="AD80" s="157" t="s">
        <v>6651</v>
      </c>
      <c r="AK80" s="459"/>
    </row>
    <row r="81" s="157" customFormat="true" ht="12.75" hidden="false" customHeight="true" outlineLevel="0" collapsed="false">
      <c r="A81" s="456" t="n">
        <v>6</v>
      </c>
      <c r="B81" s="157" t="n">
        <v>76</v>
      </c>
      <c r="C81" s="157" t="s">
        <v>6633</v>
      </c>
      <c r="D81" s="157" t="s">
        <v>6887</v>
      </c>
      <c r="E81" s="457" t="s">
        <v>2461</v>
      </c>
      <c r="F81" s="157" t="s">
        <v>6888</v>
      </c>
      <c r="G81" s="157" t="n">
        <v>44.1</v>
      </c>
      <c r="H81" s="157" t="n">
        <v>9104</v>
      </c>
      <c r="I81" s="457" t="n">
        <v>0</v>
      </c>
      <c r="J81" s="458" t="n">
        <v>8018</v>
      </c>
      <c r="K81" s="167" t="n">
        <v>11.2247443252682</v>
      </c>
      <c r="L81" s="175" t="n">
        <v>0</v>
      </c>
      <c r="M81" s="175" t="n">
        <v>0.0155555555555556</v>
      </c>
      <c r="N81" s="157" t="n">
        <v>2004</v>
      </c>
      <c r="O81" s="157" t="n">
        <v>1337</v>
      </c>
      <c r="P81" s="157" t="n">
        <v>0</v>
      </c>
      <c r="Q81" s="157" t="n">
        <v>19</v>
      </c>
      <c r="R81" s="157" t="n">
        <v>3</v>
      </c>
      <c r="S81" s="157" t="n">
        <v>1</v>
      </c>
      <c r="T81" s="457" t="s">
        <v>6642</v>
      </c>
      <c r="U81" s="157" t="n">
        <v>398</v>
      </c>
      <c r="V81" s="458" t="n">
        <v>23918</v>
      </c>
      <c r="W81" s="458" t="n">
        <v>24000</v>
      </c>
      <c r="X81" s="445" t="s">
        <v>6743</v>
      </c>
      <c r="Y81" s="458" t="n">
        <v>8000</v>
      </c>
      <c r="Z81" s="457" t="s">
        <v>6638</v>
      </c>
      <c r="AK81" s="459" t="s">
        <v>6661</v>
      </c>
    </row>
    <row r="82" s="157" customFormat="true" ht="25.5" hidden="false" customHeight="true" outlineLevel="0" collapsed="false">
      <c r="A82" s="456" t="n">
        <v>6</v>
      </c>
      <c r="B82" s="157" t="n">
        <v>77</v>
      </c>
      <c r="C82" s="157" t="s">
        <v>6633</v>
      </c>
      <c r="D82" s="157" t="s">
        <v>6889</v>
      </c>
      <c r="E82" s="457" t="s">
        <v>2461</v>
      </c>
      <c r="F82" s="157" t="s">
        <v>6890</v>
      </c>
      <c r="G82" s="157" t="n">
        <v>44.1</v>
      </c>
      <c r="H82" s="157" t="n">
        <v>9104</v>
      </c>
      <c r="I82" s="457" t="n">
        <v>0</v>
      </c>
      <c r="J82" s="458" t="n">
        <v>54662</v>
      </c>
      <c r="K82" s="167" t="n">
        <v>5.04701620870074</v>
      </c>
      <c r="L82" s="175" t="n">
        <v>0</v>
      </c>
      <c r="M82" s="175" t="n">
        <v>0.146958822676526</v>
      </c>
      <c r="N82" s="157" t="n">
        <v>1980</v>
      </c>
      <c r="O82" s="157" t="n">
        <v>3736</v>
      </c>
      <c r="P82" s="157" t="n">
        <v>0</v>
      </c>
      <c r="Q82" s="157" t="n">
        <v>27</v>
      </c>
      <c r="R82" s="157" t="n">
        <v>14</v>
      </c>
      <c r="S82" s="157" t="n">
        <v>1</v>
      </c>
      <c r="T82" s="457" t="s">
        <v>6642</v>
      </c>
      <c r="U82" s="157" t="n">
        <v>398</v>
      </c>
      <c r="V82" s="458" t="n">
        <v>99319</v>
      </c>
      <c r="W82" s="458" t="n">
        <v>99000</v>
      </c>
      <c r="X82" s="445" t="s">
        <v>6863</v>
      </c>
      <c r="Y82" s="458" t="n">
        <v>55000</v>
      </c>
      <c r="Z82" s="457" t="s">
        <v>6638</v>
      </c>
      <c r="AD82" s="157" t="s">
        <v>6891</v>
      </c>
      <c r="AK82" s="459" t="s">
        <v>6892</v>
      </c>
    </row>
    <row r="83" s="157" customFormat="true" ht="12.75" hidden="false" customHeight="true" outlineLevel="0" collapsed="false">
      <c r="A83" s="456" t="n">
        <v>6</v>
      </c>
      <c r="B83" s="157" t="n">
        <v>78</v>
      </c>
      <c r="C83" s="157" t="s">
        <v>6633</v>
      </c>
      <c r="D83" s="157" t="s">
        <v>6893</v>
      </c>
      <c r="E83" s="457" t="s">
        <v>2461</v>
      </c>
      <c r="F83" s="157" t="s">
        <v>6894</v>
      </c>
      <c r="G83" s="157" t="n">
        <v>44.2</v>
      </c>
      <c r="H83" s="157" t="n">
        <v>9104</v>
      </c>
      <c r="I83" s="457" t="n">
        <v>0</v>
      </c>
      <c r="J83" s="458" t="n">
        <v>9216</v>
      </c>
      <c r="K83" s="167" t="n">
        <v>6.52505609573672</v>
      </c>
      <c r="L83" s="175" t="n">
        <v>0.57</v>
      </c>
      <c r="M83" s="175" t="n">
        <v>0</v>
      </c>
      <c r="N83" s="157" t="n">
        <v>1978</v>
      </c>
      <c r="O83" s="157" t="n">
        <v>2320</v>
      </c>
      <c r="P83" s="157" t="n">
        <v>0</v>
      </c>
      <c r="Q83" s="157" t="n">
        <v>16</v>
      </c>
      <c r="R83" s="157" t="n">
        <v>14</v>
      </c>
      <c r="S83" s="157" t="n">
        <v>1</v>
      </c>
      <c r="T83" s="457" t="s">
        <v>6642</v>
      </c>
      <c r="U83" s="157" t="n">
        <v>398</v>
      </c>
      <c r="V83" s="458" t="n">
        <v>40511</v>
      </c>
      <c r="W83" s="458" t="n">
        <v>41000</v>
      </c>
      <c r="X83" s="445" t="s">
        <v>6895</v>
      </c>
      <c r="Y83" s="458" t="n">
        <v>9000</v>
      </c>
      <c r="Z83" s="457" t="s">
        <v>6638</v>
      </c>
      <c r="AK83" s="459" t="s">
        <v>6896</v>
      </c>
    </row>
    <row r="84" s="157" customFormat="true" ht="12.75" hidden="false" customHeight="true" outlineLevel="0" collapsed="false">
      <c r="A84" s="456" t="n">
        <v>6</v>
      </c>
      <c r="B84" s="157" t="n">
        <v>79</v>
      </c>
      <c r="C84" s="157" t="s">
        <v>6633</v>
      </c>
      <c r="D84" s="157" t="s">
        <v>6897</v>
      </c>
      <c r="E84" s="457" t="s">
        <v>2461</v>
      </c>
      <c r="F84" s="157" t="s">
        <v>6898</v>
      </c>
      <c r="G84" s="157" t="n">
        <v>44.1</v>
      </c>
      <c r="H84" s="157" t="n">
        <v>9101</v>
      </c>
      <c r="I84" s="457" t="n">
        <v>0</v>
      </c>
      <c r="J84" s="458" t="n">
        <v>5495</v>
      </c>
      <c r="K84" s="167" t="n">
        <v>4.66005459508644</v>
      </c>
      <c r="L84" s="175" t="n">
        <v>0</v>
      </c>
      <c r="M84" s="175" t="n">
        <v>0</v>
      </c>
      <c r="N84" s="157" t="n">
        <v>1946</v>
      </c>
      <c r="O84" s="157" t="n">
        <v>4847</v>
      </c>
      <c r="P84" s="157" t="n">
        <v>0</v>
      </c>
      <c r="Q84" s="157" t="n">
        <v>13</v>
      </c>
      <c r="R84" s="157" t="n">
        <v>1</v>
      </c>
      <c r="S84" s="157" t="n">
        <v>1</v>
      </c>
      <c r="T84" s="457" t="s">
        <v>6899</v>
      </c>
      <c r="U84" s="157" t="n">
        <v>398</v>
      </c>
      <c r="V84" s="458" t="n">
        <v>6500</v>
      </c>
      <c r="W84" s="458" t="n">
        <v>7000</v>
      </c>
      <c r="X84" s="445" t="s">
        <v>6900</v>
      </c>
      <c r="Y84" s="458" t="n">
        <v>5000</v>
      </c>
      <c r="Z84" s="457" t="s">
        <v>6638</v>
      </c>
      <c r="AK84" s="459" t="s">
        <v>6901</v>
      </c>
    </row>
    <row r="85" s="157" customFormat="true" ht="12.75" hidden="false" customHeight="true" outlineLevel="0" collapsed="false">
      <c r="A85" s="456" t="n">
        <v>6</v>
      </c>
      <c r="B85" s="157" t="n">
        <v>80</v>
      </c>
      <c r="C85" s="157" t="s">
        <v>6633</v>
      </c>
      <c r="D85" s="157" t="s">
        <v>6902</v>
      </c>
      <c r="E85" s="457" t="s">
        <v>2461</v>
      </c>
      <c r="F85" s="157" t="s">
        <v>6903</v>
      </c>
      <c r="G85" s="157" t="n">
        <v>44.1</v>
      </c>
      <c r="H85" s="157" t="n">
        <v>9201</v>
      </c>
      <c r="I85" s="457" t="n">
        <v>0</v>
      </c>
      <c r="J85" s="458" t="n">
        <v>4066</v>
      </c>
      <c r="K85" s="167" t="n">
        <v>3.9</v>
      </c>
      <c r="L85" s="175" t="n">
        <v>0</v>
      </c>
      <c r="M85" s="175" t="n">
        <v>0</v>
      </c>
      <c r="N85" s="157" t="n">
        <v>1985</v>
      </c>
      <c r="O85" s="157" t="n">
        <v>0</v>
      </c>
      <c r="P85" s="157" t="n">
        <v>0</v>
      </c>
      <c r="Q85" s="157" t="n">
        <v>16</v>
      </c>
      <c r="R85" s="157" t="n">
        <v>7</v>
      </c>
      <c r="S85" s="157" t="n">
        <v>1</v>
      </c>
      <c r="T85" s="457" t="s">
        <v>6680</v>
      </c>
      <c r="U85" s="157" t="n">
        <v>398</v>
      </c>
      <c r="V85" s="458" t="n">
        <v>13211</v>
      </c>
      <c r="W85" s="458" t="n">
        <v>13000</v>
      </c>
      <c r="X85" s="445" t="s">
        <v>6695</v>
      </c>
      <c r="Y85" s="458" t="n">
        <v>4000</v>
      </c>
      <c r="Z85" s="457" t="s">
        <v>6638</v>
      </c>
      <c r="AD85" s="157" t="s">
        <v>6676</v>
      </c>
      <c r="AK85" s="459" t="s">
        <v>6901</v>
      </c>
    </row>
    <row r="86" s="157" customFormat="true" ht="25.5" hidden="false" customHeight="true" outlineLevel="0" collapsed="false">
      <c r="A86" s="456" t="n">
        <v>6</v>
      </c>
      <c r="B86" s="157" t="n">
        <v>81</v>
      </c>
      <c r="C86" s="157" t="s">
        <v>6633</v>
      </c>
      <c r="D86" s="157" t="s">
        <v>6904</v>
      </c>
      <c r="E86" s="457" t="s">
        <v>2461</v>
      </c>
      <c r="F86" s="157" t="s">
        <v>6905</v>
      </c>
      <c r="G86" s="157" t="n">
        <v>44.1</v>
      </c>
      <c r="H86" s="157" t="n">
        <v>9201</v>
      </c>
      <c r="I86" s="457" t="n">
        <v>0</v>
      </c>
      <c r="J86" s="458" t="n">
        <v>7272</v>
      </c>
      <c r="K86" s="167" t="n">
        <v>3.45</v>
      </c>
      <c r="L86" s="175" t="n">
        <v>0</v>
      </c>
      <c r="M86" s="175" t="n">
        <v>0</v>
      </c>
      <c r="N86" s="157" t="n">
        <v>1959</v>
      </c>
      <c r="O86" s="157" t="n">
        <v>2304</v>
      </c>
      <c r="P86" s="157" t="n">
        <v>0</v>
      </c>
      <c r="Q86" s="157" t="n">
        <v>10</v>
      </c>
      <c r="R86" s="157" t="n">
        <v>7</v>
      </c>
      <c r="S86" s="157" t="n">
        <v>1</v>
      </c>
      <c r="T86" s="457" t="s">
        <v>6680</v>
      </c>
      <c r="U86" s="157" t="n">
        <v>398</v>
      </c>
      <c r="V86" s="458" t="n">
        <v>53111</v>
      </c>
      <c r="W86" s="458" t="n">
        <v>53000</v>
      </c>
      <c r="X86" s="445" t="s">
        <v>6906</v>
      </c>
      <c r="Y86" s="458" t="n">
        <v>7000</v>
      </c>
      <c r="Z86" s="457" t="s">
        <v>6638</v>
      </c>
      <c r="AD86" s="157" t="s">
        <v>6907</v>
      </c>
      <c r="AK86" s="459" t="s">
        <v>6908</v>
      </c>
    </row>
    <row r="87" s="157" customFormat="true" ht="12.75" hidden="false" customHeight="true" outlineLevel="0" collapsed="false">
      <c r="A87" s="456" t="n">
        <v>6</v>
      </c>
      <c r="B87" s="157" t="n">
        <v>82</v>
      </c>
      <c r="C87" s="157" t="s">
        <v>6633</v>
      </c>
      <c r="D87" s="157" t="s">
        <v>6909</v>
      </c>
      <c r="E87" s="457" t="s">
        <v>2461</v>
      </c>
      <c r="F87" s="157" t="s">
        <v>6910</v>
      </c>
      <c r="G87" s="157" t="n">
        <v>44.1</v>
      </c>
      <c r="H87" s="157" t="n">
        <v>9201</v>
      </c>
      <c r="I87" s="457" t="n">
        <v>0</v>
      </c>
      <c r="J87" s="458" t="n">
        <v>15699</v>
      </c>
      <c r="K87" s="167" t="n">
        <v>4.58627938085228</v>
      </c>
      <c r="L87" s="175" t="n">
        <v>0</v>
      </c>
      <c r="M87" s="175" t="n">
        <v>0</v>
      </c>
      <c r="N87" s="157" t="n">
        <v>1964</v>
      </c>
      <c r="O87" s="157" t="n">
        <v>778</v>
      </c>
      <c r="P87" s="157" t="n">
        <v>0</v>
      </c>
      <c r="Q87" s="157" t="n">
        <v>17</v>
      </c>
      <c r="R87" s="157" t="n">
        <v>3</v>
      </c>
      <c r="S87" s="157" t="n">
        <v>1</v>
      </c>
      <c r="T87" s="457" t="s">
        <v>6680</v>
      </c>
      <c r="U87" s="157" t="n">
        <v>398</v>
      </c>
      <c r="V87" s="458" t="n">
        <v>25000</v>
      </c>
      <c r="W87" s="458" t="n">
        <v>25000</v>
      </c>
      <c r="X87" s="445" t="s">
        <v>6668</v>
      </c>
      <c r="Y87" s="458" t="n">
        <v>16000</v>
      </c>
      <c r="Z87" s="457" t="s">
        <v>6638</v>
      </c>
      <c r="AK87" s="459"/>
    </row>
    <row r="88" s="157" customFormat="true" ht="25.5" hidden="false" customHeight="true" outlineLevel="0" collapsed="false">
      <c r="A88" s="456" t="n">
        <v>6</v>
      </c>
      <c r="B88" s="157" t="n">
        <v>83</v>
      </c>
      <c r="C88" s="157" t="s">
        <v>6633</v>
      </c>
      <c r="D88" s="157" t="s">
        <v>6911</v>
      </c>
      <c r="E88" s="457" t="s">
        <v>2461</v>
      </c>
      <c r="F88" s="157" t="s">
        <v>6912</v>
      </c>
      <c r="G88" s="157" t="n">
        <v>44.1</v>
      </c>
      <c r="H88" s="157" t="n">
        <v>9201</v>
      </c>
      <c r="I88" s="457" t="n">
        <v>0</v>
      </c>
      <c r="J88" s="458" t="n">
        <v>37440</v>
      </c>
      <c r="K88" s="167" t="n">
        <v>6.18589743589744</v>
      </c>
      <c r="L88" s="175" t="n">
        <v>0</v>
      </c>
      <c r="M88" s="175" t="n">
        <v>0</v>
      </c>
      <c r="N88" s="157" t="n">
        <v>1970</v>
      </c>
      <c r="O88" s="157" t="n">
        <v>8400</v>
      </c>
      <c r="P88" s="157" t="n">
        <v>0</v>
      </c>
      <c r="Q88" s="157" t="n">
        <v>15</v>
      </c>
      <c r="R88" s="157" t="n">
        <v>7</v>
      </c>
      <c r="S88" s="157" t="n">
        <v>1</v>
      </c>
      <c r="T88" s="457" t="s">
        <v>6680</v>
      </c>
      <c r="U88" s="157" t="n">
        <v>398</v>
      </c>
      <c r="V88" s="458" t="n">
        <v>81300</v>
      </c>
      <c r="W88" s="458" t="n">
        <v>81000</v>
      </c>
      <c r="X88" s="445" t="s">
        <v>6700</v>
      </c>
      <c r="Y88" s="458" t="n">
        <v>37000</v>
      </c>
      <c r="Z88" s="457" t="s">
        <v>6638</v>
      </c>
      <c r="AD88" s="157" t="s">
        <v>6913</v>
      </c>
      <c r="AK88" s="459" t="s">
        <v>6914</v>
      </c>
    </row>
    <row r="89" s="157" customFormat="true" ht="25.5" hidden="false" customHeight="true" outlineLevel="0" collapsed="false">
      <c r="A89" s="456" t="n">
        <v>6</v>
      </c>
      <c r="B89" s="157" t="n">
        <v>84</v>
      </c>
      <c r="C89" s="157" t="s">
        <v>6633</v>
      </c>
      <c r="D89" s="157" t="s">
        <v>6915</v>
      </c>
      <c r="E89" s="457" t="s">
        <v>2461</v>
      </c>
      <c r="F89" s="157" t="s">
        <v>6916</v>
      </c>
      <c r="G89" s="157" t="n">
        <v>44.2</v>
      </c>
      <c r="H89" s="157" t="n">
        <v>9201</v>
      </c>
      <c r="I89" s="457" t="n">
        <v>0</v>
      </c>
      <c r="J89" s="458" t="n">
        <v>24250</v>
      </c>
      <c r="K89" s="167" t="n">
        <v>3.56288659793815</v>
      </c>
      <c r="L89" s="175" t="n">
        <v>0</v>
      </c>
      <c r="M89" s="175" t="n">
        <v>0</v>
      </c>
      <c r="N89" s="157" t="n">
        <v>1963</v>
      </c>
      <c r="O89" s="157" t="n">
        <v>2784</v>
      </c>
      <c r="P89" s="157" t="n">
        <v>0</v>
      </c>
      <c r="Q89" s="157" t="n">
        <v>14</v>
      </c>
      <c r="R89" s="157" t="n">
        <v>3</v>
      </c>
      <c r="S89" s="157" t="n">
        <v>5</v>
      </c>
      <c r="T89" s="457" t="s">
        <v>6680</v>
      </c>
      <c r="U89" s="157" t="n">
        <v>398</v>
      </c>
      <c r="V89" s="458" t="n">
        <v>58000</v>
      </c>
      <c r="W89" s="458" t="n">
        <v>58000</v>
      </c>
      <c r="X89" s="445" t="s">
        <v>6650</v>
      </c>
      <c r="Y89" s="458" t="n">
        <v>24000</v>
      </c>
      <c r="Z89" s="457" t="s">
        <v>6638</v>
      </c>
      <c r="AD89" s="157" t="s">
        <v>6917</v>
      </c>
      <c r="AK89" s="459" t="s">
        <v>6918</v>
      </c>
    </row>
    <row r="90" s="157" customFormat="true" ht="12.75" hidden="false" customHeight="true" outlineLevel="0" collapsed="false">
      <c r="A90" s="456" t="n">
        <v>6</v>
      </c>
      <c r="B90" s="157" t="n">
        <v>85</v>
      </c>
      <c r="C90" s="157" t="s">
        <v>6633</v>
      </c>
      <c r="D90" s="157" t="s">
        <v>6919</v>
      </c>
      <c r="E90" s="457" t="s">
        <v>2461</v>
      </c>
      <c r="F90" s="157" t="s">
        <v>6920</v>
      </c>
      <c r="G90" s="157" t="n">
        <v>44.1</v>
      </c>
      <c r="H90" s="157" t="n">
        <v>9201</v>
      </c>
      <c r="I90" s="457" t="n">
        <v>0</v>
      </c>
      <c r="J90" s="458" t="n">
        <v>29787</v>
      </c>
      <c r="K90" s="167" t="n">
        <v>5.23718400644577</v>
      </c>
      <c r="L90" s="175" t="n">
        <v>0</v>
      </c>
      <c r="M90" s="175" t="n">
        <v>0</v>
      </c>
      <c r="N90" s="157" t="n">
        <v>1983</v>
      </c>
      <c r="O90" s="157" t="n">
        <v>1063</v>
      </c>
      <c r="P90" s="157" t="n">
        <v>0</v>
      </c>
      <c r="Q90" s="157" t="n">
        <v>18</v>
      </c>
      <c r="R90" s="157" t="n">
        <v>10</v>
      </c>
      <c r="S90" s="157" t="n">
        <v>1</v>
      </c>
      <c r="T90" s="457" t="s">
        <v>6680</v>
      </c>
      <c r="U90" s="157" t="n">
        <v>398</v>
      </c>
      <c r="V90" s="458" t="n">
        <v>130639</v>
      </c>
      <c r="W90" s="458" t="n">
        <v>131000</v>
      </c>
      <c r="X90" s="445" t="s">
        <v>6895</v>
      </c>
      <c r="Y90" s="458" t="n">
        <v>30000</v>
      </c>
      <c r="Z90" s="457" t="s">
        <v>6638</v>
      </c>
      <c r="AD90" s="157" t="s">
        <v>6921</v>
      </c>
      <c r="AK90" s="459" t="s">
        <v>6661</v>
      </c>
    </row>
    <row r="91" s="157" customFormat="true" ht="12.75" hidden="false" customHeight="true" outlineLevel="0" collapsed="false">
      <c r="A91" s="456" t="n">
        <v>6</v>
      </c>
      <c r="B91" s="157" t="n">
        <v>86</v>
      </c>
      <c r="C91" s="157" t="s">
        <v>6633</v>
      </c>
      <c r="D91" s="157" t="s">
        <v>6922</v>
      </c>
      <c r="E91" s="457" t="s">
        <v>2461</v>
      </c>
      <c r="F91" s="157" t="s">
        <v>6923</v>
      </c>
      <c r="G91" s="157" t="n">
        <v>44.1</v>
      </c>
      <c r="H91" s="157" t="n">
        <v>9201</v>
      </c>
      <c r="I91" s="457" t="n">
        <v>5</v>
      </c>
      <c r="J91" s="458" t="n">
        <v>24416</v>
      </c>
      <c r="K91" s="167" t="n">
        <v>3.93184796854522</v>
      </c>
      <c r="L91" s="175" t="n">
        <v>0</v>
      </c>
      <c r="M91" s="175" t="n">
        <v>0.037625</v>
      </c>
      <c r="N91" s="157" t="n">
        <v>1973</v>
      </c>
      <c r="O91" s="157" t="n">
        <v>1560</v>
      </c>
      <c r="P91" s="157" t="n">
        <v>0</v>
      </c>
      <c r="Q91" s="157" t="n">
        <v>18</v>
      </c>
      <c r="R91" s="157" t="n">
        <v>1</v>
      </c>
      <c r="S91" s="157" t="n">
        <v>1</v>
      </c>
      <c r="T91" s="457" t="s">
        <v>6680</v>
      </c>
      <c r="U91" s="157" t="n">
        <v>398</v>
      </c>
      <c r="V91" s="458" t="n">
        <v>45515</v>
      </c>
      <c r="W91" s="458" t="n">
        <v>46000</v>
      </c>
      <c r="X91" s="445" t="s">
        <v>6675</v>
      </c>
      <c r="Y91" s="458" t="n">
        <v>24000</v>
      </c>
      <c r="Z91" s="457" t="s">
        <v>6638</v>
      </c>
      <c r="AD91" s="157" t="s">
        <v>6924</v>
      </c>
      <c r="AK91" s="459"/>
    </row>
    <row r="92" s="157" customFormat="true" ht="25.5" hidden="false" customHeight="true" outlineLevel="0" collapsed="false">
      <c r="A92" s="456" t="n">
        <v>6</v>
      </c>
      <c r="B92" s="157" t="n">
        <v>87</v>
      </c>
      <c r="C92" s="157" t="s">
        <v>6633</v>
      </c>
      <c r="D92" s="157" t="s">
        <v>6925</v>
      </c>
      <c r="E92" s="457" t="s">
        <v>2461</v>
      </c>
      <c r="F92" s="157" t="s">
        <v>6926</v>
      </c>
      <c r="G92" s="157" t="n">
        <v>44.1</v>
      </c>
      <c r="H92" s="157" t="n">
        <v>9201</v>
      </c>
      <c r="I92" s="457" t="n">
        <v>5</v>
      </c>
      <c r="J92" s="458" t="n">
        <v>8520</v>
      </c>
      <c r="K92" s="167" t="n">
        <v>5.60070422535211</v>
      </c>
      <c r="L92" s="175" t="n">
        <v>0</v>
      </c>
      <c r="M92" s="175" t="n">
        <v>0.399576679659667</v>
      </c>
      <c r="N92" s="157" t="n">
        <v>1954</v>
      </c>
      <c r="O92" s="157" t="n">
        <v>2531</v>
      </c>
      <c r="P92" s="157" t="n">
        <v>0</v>
      </c>
      <c r="Q92" s="157" t="n">
        <v>17</v>
      </c>
      <c r="R92" s="157" t="n">
        <v>1</v>
      </c>
      <c r="S92" s="157" t="n">
        <v>1</v>
      </c>
      <c r="T92" s="457" t="s">
        <v>6680</v>
      </c>
      <c r="U92" s="157" t="n">
        <v>398</v>
      </c>
      <c r="V92" s="458" t="n">
        <v>34314</v>
      </c>
      <c r="W92" s="458" t="n">
        <v>34000</v>
      </c>
      <c r="X92" s="445" t="s">
        <v>6927</v>
      </c>
      <c r="Y92" s="458" t="n">
        <v>9000</v>
      </c>
      <c r="Z92" s="457" t="s">
        <v>6638</v>
      </c>
      <c r="AD92" s="157" t="s">
        <v>6928</v>
      </c>
      <c r="AK92" s="459" t="s">
        <v>6929</v>
      </c>
    </row>
    <row r="93" s="157" customFormat="true" ht="25.5" hidden="false" customHeight="true" outlineLevel="0" collapsed="false">
      <c r="A93" s="456" t="n">
        <v>6</v>
      </c>
      <c r="B93" s="157" t="n">
        <v>88</v>
      </c>
      <c r="C93" s="157" t="s">
        <v>6633</v>
      </c>
      <c r="D93" s="157" t="s">
        <v>6930</v>
      </c>
      <c r="E93" s="457" t="s">
        <v>2461</v>
      </c>
      <c r="F93" s="157" t="s">
        <v>6931</v>
      </c>
      <c r="G93" s="157" t="n">
        <v>45.6</v>
      </c>
      <c r="H93" s="157" t="n">
        <v>9201</v>
      </c>
      <c r="I93" s="457" t="n">
        <v>0</v>
      </c>
      <c r="J93" s="458" t="n">
        <v>15977</v>
      </c>
      <c r="K93" s="167" t="n">
        <v>10.640295424673</v>
      </c>
      <c r="L93" s="175" t="n">
        <v>0</v>
      </c>
      <c r="M93" s="175" t="n">
        <v>0</v>
      </c>
      <c r="N93" s="157" t="n">
        <v>1956</v>
      </c>
      <c r="O93" s="157" t="n">
        <v>851</v>
      </c>
      <c r="P93" s="157" t="n">
        <v>0</v>
      </c>
      <c r="Q93" s="157" t="n">
        <v>15</v>
      </c>
      <c r="R93" s="157" t="n">
        <v>1</v>
      </c>
      <c r="S93" s="157" t="n">
        <v>1</v>
      </c>
      <c r="T93" s="457" t="s">
        <v>6680</v>
      </c>
      <c r="U93" s="157" t="n">
        <v>401</v>
      </c>
      <c r="V93" s="458" t="n">
        <v>31600</v>
      </c>
      <c r="W93" s="458" t="n">
        <v>32000</v>
      </c>
      <c r="X93" s="445" t="s">
        <v>6767</v>
      </c>
      <c r="Y93" s="458" t="n">
        <v>16000</v>
      </c>
      <c r="Z93" s="457" t="s">
        <v>6638</v>
      </c>
      <c r="AD93" s="157" t="s">
        <v>6932</v>
      </c>
      <c r="AK93" s="459" t="s">
        <v>6933</v>
      </c>
    </row>
    <row r="94" s="157" customFormat="true" ht="12.75" hidden="false" customHeight="true" outlineLevel="0" collapsed="false">
      <c r="A94" s="456" t="n">
        <v>6</v>
      </c>
      <c r="B94" s="157" t="n">
        <v>89</v>
      </c>
      <c r="C94" s="157" t="s">
        <v>6633</v>
      </c>
      <c r="D94" s="157" t="s">
        <v>6934</v>
      </c>
      <c r="E94" s="457" t="s">
        <v>2461</v>
      </c>
      <c r="F94" s="157" t="s">
        <v>6935</v>
      </c>
      <c r="G94" s="157" t="n">
        <v>44.2</v>
      </c>
      <c r="H94" s="157" t="n">
        <v>9201</v>
      </c>
      <c r="I94" s="457" t="n">
        <v>0</v>
      </c>
      <c r="J94" s="458" t="n">
        <v>2982</v>
      </c>
      <c r="K94" s="167" t="n">
        <v>4.42655935613682</v>
      </c>
      <c r="L94" s="175" t="n">
        <v>0</v>
      </c>
      <c r="M94" s="175" t="n">
        <v>0.0713636363636364</v>
      </c>
      <c r="N94" s="157" t="n">
        <v>1961</v>
      </c>
      <c r="O94" s="157" t="n">
        <v>0</v>
      </c>
      <c r="P94" s="157" t="n">
        <v>1656</v>
      </c>
      <c r="Q94" s="157" t="n">
        <v>9</v>
      </c>
      <c r="R94" s="157" t="n">
        <v>1</v>
      </c>
      <c r="S94" s="157" t="n">
        <v>1</v>
      </c>
      <c r="T94" s="457" t="s">
        <v>6680</v>
      </c>
      <c r="U94" s="157" t="n">
        <v>353</v>
      </c>
      <c r="V94" s="458" t="n">
        <v>6711</v>
      </c>
      <c r="W94" s="458" t="n">
        <v>7000</v>
      </c>
      <c r="X94" s="445" t="s">
        <v>6646</v>
      </c>
      <c r="Y94" s="458" t="n">
        <v>3000</v>
      </c>
      <c r="Z94" s="457" t="s">
        <v>6638</v>
      </c>
      <c r="AK94" s="459"/>
    </row>
    <row r="95" s="157" customFormat="true" ht="12.75" hidden="false" customHeight="true" outlineLevel="0" collapsed="false">
      <c r="A95" s="456" t="n">
        <v>6</v>
      </c>
      <c r="B95" s="157" t="n">
        <v>90</v>
      </c>
      <c r="C95" s="157" t="s">
        <v>6633</v>
      </c>
      <c r="D95" s="157" t="s">
        <v>6936</v>
      </c>
      <c r="E95" s="457" t="s">
        <v>2461</v>
      </c>
      <c r="F95" s="157" t="s">
        <v>6937</v>
      </c>
      <c r="G95" s="157" t="n">
        <v>44.4</v>
      </c>
      <c r="H95" s="157" t="n">
        <v>9201</v>
      </c>
      <c r="I95" s="457" t="n">
        <v>0</v>
      </c>
      <c r="J95" s="458" t="n">
        <v>143328</v>
      </c>
      <c r="K95" s="167" t="n">
        <v>3.21556848626926</v>
      </c>
      <c r="L95" s="175" t="n">
        <v>0</v>
      </c>
      <c r="M95" s="175" t="n">
        <v>0.0904268129951115</v>
      </c>
      <c r="N95" s="157" t="n">
        <v>1980</v>
      </c>
      <c r="O95" s="157" t="n">
        <v>6391</v>
      </c>
      <c r="P95" s="157" t="n">
        <v>0</v>
      </c>
      <c r="Q95" s="157" t="n">
        <v>25</v>
      </c>
      <c r="R95" s="157" t="n">
        <v>3</v>
      </c>
      <c r="S95" s="157" t="n">
        <v>1</v>
      </c>
      <c r="T95" s="457" t="s">
        <v>6642</v>
      </c>
      <c r="U95" s="157" t="n">
        <v>398</v>
      </c>
      <c r="V95" s="458" t="n">
        <v>286723</v>
      </c>
      <c r="W95" s="458" t="n">
        <v>287000</v>
      </c>
      <c r="X95" s="445" t="s">
        <v>6767</v>
      </c>
      <c r="Y95" s="458" t="n">
        <v>143000</v>
      </c>
      <c r="Z95" s="457" t="s">
        <v>6638</v>
      </c>
      <c r="AD95" s="157" t="s">
        <v>6938</v>
      </c>
      <c r="AK95" s="459" t="s">
        <v>6939</v>
      </c>
    </row>
    <row r="96" s="157" customFormat="true" ht="12.75" hidden="false" customHeight="true" outlineLevel="0" collapsed="false">
      <c r="A96" s="456" t="n">
        <v>6</v>
      </c>
      <c r="B96" s="157" t="n">
        <v>91</v>
      </c>
      <c r="C96" s="157" t="s">
        <v>6633</v>
      </c>
      <c r="D96" s="157" t="s">
        <v>6940</v>
      </c>
      <c r="E96" s="457" t="s">
        <v>2461</v>
      </c>
      <c r="F96" s="157" t="s">
        <v>6941</v>
      </c>
      <c r="G96" s="157" t="n">
        <v>44.2</v>
      </c>
      <c r="H96" s="157" t="n">
        <v>9201</v>
      </c>
      <c r="I96" s="457" t="n">
        <v>0</v>
      </c>
      <c r="J96" s="458" t="n">
        <v>2304</v>
      </c>
      <c r="K96" s="167" t="n">
        <v>5.20833333333333</v>
      </c>
      <c r="L96" s="175" t="n">
        <v>0</v>
      </c>
      <c r="M96" s="175" t="n">
        <v>0</v>
      </c>
      <c r="N96" s="157" t="n">
        <v>2000</v>
      </c>
      <c r="O96" s="157" t="n">
        <v>0</v>
      </c>
      <c r="P96" s="157" t="n">
        <v>0</v>
      </c>
      <c r="Q96" s="157" t="n">
        <v>13</v>
      </c>
      <c r="R96" s="157" t="n">
        <v>3</v>
      </c>
      <c r="S96" s="157" t="n">
        <v>1</v>
      </c>
      <c r="T96" s="457" t="s">
        <v>6680</v>
      </c>
      <c r="U96" s="157" t="n">
        <v>398</v>
      </c>
      <c r="V96" s="458" t="n">
        <v>15000</v>
      </c>
      <c r="W96" s="458" t="n">
        <v>15000</v>
      </c>
      <c r="X96" s="445" t="s">
        <v>6942</v>
      </c>
      <c r="Y96" s="458" t="n">
        <v>2000</v>
      </c>
      <c r="Z96" s="457" t="s">
        <v>6638</v>
      </c>
      <c r="AD96" s="157" t="s">
        <v>6676</v>
      </c>
      <c r="AK96" s="459"/>
    </row>
    <row r="97" s="157" customFormat="true" ht="12.75" hidden="false" customHeight="true" outlineLevel="0" collapsed="false">
      <c r="A97" s="456" t="n">
        <v>6</v>
      </c>
      <c r="B97" s="157" t="n">
        <v>92</v>
      </c>
      <c r="C97" s="157" t="s">
        <v>6633</v>
      </c>
      <c r="D97" s="157" t="s">
        <v>6943</v>
      </c>
      <c r="E97" s="457" t="s">
        <v>2461</v>
      </c>
      <c r="F97" s="157" t="s">
        <v>6944</v>
      </c>
      <c r="G97" s="157" t="n">
        <v>44.2</v>
      </c>
      <c r="H97" s="157" t="n">
        <v>9201</v>
      </c>
      <c r="I97" s="457" t="n">
        <v>0</v>
      </c>
      <c r="J97" s="458" t="n">
        <v>27624</v>
      </c>
      <c r="K97" s="167" t="n">
        <v>6.69707500724008</v>
      </c>
      <c r="L97" s="175" t="n">
        <v>0</v>
      </c>
      <c r="M97" s="175" t="n">
        <v>0.00240540540540541</v>
      </c>
      <c r="N97" s="157" t="n">
        <v>1999</v>
      </c>
      <c r="O97" s="157" t="n">
        <v>4027</v>
      </c>
      <c r="P97" s="157" t="n">
        <v>1052</v>
      </c>
      <c r="Q97" s="157" t="n">
        <v>19</v>
      </c>
      <c r="R97" s="157" t="n">
        <v>3</v>
      </c>
      <c r="S97" s="157" t="n">
        <v>1</v>
      </c>
      <c r="T97" s="457" t="s">
        <v>6642</v>
      </c>
      <c r="U97" s="157" t="n">
        <v>398</v>
      </c>
      <c r="V97" s="458" t="n">
        <v>144374</v>
      </c>
      <c r="W97" s="458" t="n">
        <v>144000</v>
      </c>
      <c r="X97" s="445" t="s">
        <v>6945</v>
      </c>
      <c r="Y97" s="458" t="n">
        <v>28000</v>
      </c>
      <c r="Z97" s="457" t="s">
        <v>6638</v>
      </c>
      <c r="AD97" s="157" t="s">
        <v>6676</v>
      </c>
      <c r="AK97" s="459"/>
    </row>
    <row r="98" s="157" customFormat="true" ht="12.75" hidden="false" customHeight="true" outlineLevel="0" collapsed="false">
      <c r="A98" s="456" t="n">
        <v>6</v>
      </c>
      <c r="B98" s="157" t="n">
        <v>93</v>
      </c>
      <c r="C98" s="157" t="s">
        <v>6633</v>
      </c>
      <c r="D98" s="157" t="s">
        <v>6946</v>
      </c>
      <c r="E98" s="457" t="s">
        <v>2461</v>
      </c>
      <c r="F98" s="157" t="s">
        <v>6947</v>
      </c>
      <c r="G98" s="157" t="n">
        <v>44.4</v>
      </c>
      <c r="H98" s="157" t="n">
        <v>9208</v>
      </c>
      <c r="I98" s="457" t="n">
        <v>0</v>
      </c>
      <c r="J98" s="458" t="n">
        <v>109323</v>
      </c>
      <c r="K98" s="167" t="n">
        <v>5.37000448213093</v>
      </c>
      <c r="L98" s="175" t="n">
        <v>0.25</v>
      </c>
      <c r="M98" s="175" t="n">
        <v>0.146210385562076</v>
      </c>
      <c r="N98" s="157" t="n">
        <v>1955</v>
      </c>
      <c r="O98" s="157" t="n">
        <v>27857</v>
      </c>
      <c r="P98" s="157" t="n">
        <v>0</v>
      </c>
      <c r="Q98" s="157" t="n">
        <v>20</v>
      </c>
      <c r="R98" s="157" t="n">
        <v>1</v>
      </c>
      <c r="S98" s="157" t="n">
        <v>5</v>
      </c>
      <c r="T98" s="457" t="s">
        <v>6642</v>
      </c>
      <c r="U98" s="157" t="n">
        <v>398</v>
      </c>
      <c r="V98" s="458" t="n">
        <v>240000</v>
      </c>
      <c r="W98" s="458" t="n">
        <v>240000</v>
      </c>
      <c r="X98" s="445" t="s">
        <v>6700</v>
      </c>
      <c r="Y98" s="458" t="n">
        <v>109000</v>
      </c>
      <c r="Z98" s="457" t="s">
        <v>6638</v>
      </c>
      <c r="AD98" s="157" t="s">
        <v>6948</v>
      </c>
      <c r="AK98" s="459"/>
    </row>
    <row r="99" s="157" customFormat="true" ht="12.75" hidden="false" customHeight="true" outlineLevel="0" collapsed="false">
      <c r="A99" s="456" t="n">
        <v>6</v>
      </c>
      <c r="B99" s="157" t="n">
        <v>94</v>
      </c>
      <c r="C99" s="157" t="s">
        <v>6633</v>
      </c>
      <c r="D99" s="157" t="s">
        <v>6949</v>
      </c>
      <c r="E99" s="457" t="s">
        <v>2461</v>
      </c>
      <c r="F99" s="157" t="s">
        <v>6950</v>
      </c>
      <c r="G99" s="157" t="n">
        <v>44.2</v>
      </c>
      <c r="H99" s="157" t="n">
        <v>9208</v>
      </c>
      <c r="I99" s="457" t="n">
        <v>0</v>
      </c>
      <c r="J99" s="458" t="n">
        <v>95263</v>
      </c>
      <c r="K99" s="167" t="n">
        <v>4.51224504791997</v>
      </c>
      <c r="L99" s="175" t="n">
        <v>0</v>
      </c>
      <c r="M99" s="175" t="n">
        <v>0.0439711527276957</v>
      </c>
      <c r="N99" s="157" t="n">
        <v>1977</v>
      </c>
      <c r="O99" s="157" t="n">
        <v>1935</v>
      </c>
      <c r="P99" s="157" t="n">
        <v>0</v>
      </c>
      <c r="Q99" s="157" t="n">
        <v>24</v>
      </c>
      <c r="R99" s="157" t="n">
        <v>1</v>
      </c>
      <c r="S99" s="157" t="n">
        <v>1</v>
      </c>
      <c r="T99" s="457" t="s">
        <v>6642</v>
      </c>
      <c r="U99" s="157" t="n">
        <v>398</v>
      </c>
      <c r="V99" s="458" t="n">
        <v>153950</v>
      </c>
      <c r="W99" s="458" t="n">
        <v>154000</v>
      </c>
      <c r="X99" s="445" t="s">
        <v>6668</v>
      </c>
      <c r="Y99" s="458" t="n">
        <v>95000</v>
      </c>
      <c r="Z99" s="457" t="s">
        <v>6638</v>
      </c>
      <c r="AD99" s="157" t="s">
        <v>6796</v>
      </c>
      <c r="AK99" s="459" t="s">
        <v>6939</v>
      </c>
    </row>
    <row r="100" s="157" customFormat="true" ht="25.5" hidden="false" customHeight="true" outlineLevel="0" collapsed="false">
      <c r="A100" s="456" t="n">
        <v>6</v>
      </c>
      <c r="B100" s="157" t="n">
        <v>95</v>
      </c>
      <c r="C100" s="157" t="s">
        <v>6633</v>
      </c>
      <c r="D100" s="157" t="s">
        <v>6949</v>
      </c>
      <c r="E100" s="457" t="s">
        <v>2461</v>
      </c>
      <c r="F100" s="157" t="s">
        <v>6950</v>
      </c>
      <c r="G100" s="157" t="n">
        <v>44.2</v>
      </c>
      <c r="H100" s="157" t="n">
        <v>9208</v>
      </c>
      <c r="I100" s="457" t="n">
        <v>0</v>
      </c>
      <c r="J100" s="458" t="n">
        <v>95263</v>
      </c>
      <c r="K100" s="167" t="n">
        <v>3.8</v>
      </c>
      <c r="L100" s="175" t="n">
        <v>0</v>
      </c>
      <c r="M100" s="175" t="n">
        <v>0</v>
      </c>
      <c r="N100" s="157" t="n">
        <v>1977</v>
      </c>
      <c r="O100" s="157" t="n">
        <v>1935</v>
      </c>
      <c r="P100" s="157" t="n">
        <v>0</v>
      </c>
      <c r="Q100" s="157" t="n">
        <v>24</v>
      </c>
      <c r="R100" s="157" t="n">
        <v>1</v>
      </c>
      <c r="S100" s="157" t="n">
        <v>1</v>
      </c>
      <c r="T100" s="457" t="s">
        <v>6642</v>
      </c>
      <c r="U100" s="157" t="n">
        <v>398</v>
      </c>
      <c r="V100" s="458" t="n">
        <v>153950</v>
      </c>
      <c r="W100" s="458" t="n">
        <v>154000</v>
      </c>
      <c r="X100" s="445" t="s">
        <v>6668</v>
      </c>
      <c r="Y100" s="458" t="n">
        <v>95000</v>
      </c>
      <c r="Z100" s="457" t="s">
        <v>6638</v>
      </c>
      <c r="AD100" s="157" t="s">
        <v>6796</v>
      </c>
      <c r="AK100" s="459" t="s">
        <v>6951</v>
      </c>
    </row>
    <row r="101" s="157" customFormat="true" ht="25.5" hidden="false" customHeight="true" outlineLevel="0" collapsed="false">
      <c r="A101" s="456" t="n">
        <v>6</v>
      </c>
      <c r="B101" s="157" t="n">
        <v>96</v>
      </c>
      <c r="C101" s="157" t="s">
        <v>6633</v>
      </c>
      <c r="D101" s="157" t="s">
        <v>6952</v>
      </c>
      <c r="E101" s="457" t="s">
        <v>2461</v>
      </c>
      <c r="F101" s="157" t="s">
        <v>6953</v>
      </c>
      <c r="G101" s="157" t="n">
        <v>44.2</v>
      </c>
      <c r="H101" s="157" t="n">
        <v>9201</v>
      </c>
      <c r="I101" s="457" t="n">
        <v>0</v>
      </c>
      <c r="J101" s="458" t="n">
        <v>14000</v>
      </c>
      <c r="K101" s="167" t="n">
        <v>3.98571428571429</v>
      </c>
      <c r="L101" s="175" t="n">
        <v>0</v>
      </c>
      <c r="M101" s="175" t="n">
        <v>0</v>
      </c>
      <c r="N101" s="157" t="n">
        <v>1968</v>
      </c>
      <c r="O101" s="157" t="n">
        <v>1143</v>
      </c>
      <c r="P101" s="157" t="n">
        <v>0</v>
      </c>
      <c r="Q101" s="157" t="n">
        <v>18</v>
      </c>
      <c r="R101" s="157" t="n">
        <v>10</v>
      </c>
      <c r="S101" s="157" t="n">
        <v>2</v>
      </c>
      <c r="T101" s="457" t="s">
        <v>6680</v>
      </c>
      <c r="U101" s="157" t="n">
        <v>398</v>
      </c>
      <c r="V101" s="458" t="n">
        <v>24000</v>
      </c>
      <c r="W101" s="458" t="n">
        <v>24000</v>
      </c>
      <c r="X101" s="445" t="s">
        <v>6954</v>
      </c>
      <c r="Y101" s="458" t="n">
        <v>14000</v>
      </c>
      <c r="Z101" s="457" t="s">
        <v>6638</v>
      </c>
      <c r="AK101" s="459" t="s">
        <v>6955</v>
      </c>
    </row>
    <row r="102" s="157" customFormat="true" ht="12.75" hidden="false" customHeight="true" outlineLevel="0" collapsed="false">
      <c r="A102" s="456" t="n">
        <v>6</v>
      </c>
      <c r="B102" s="157" t="n">
        <v>97</v>
      </c>
      <c r="C102" s="157" t="s">
        <v>6633</v>
      </c>
      <c r="D102" s="157" t="s">
        <v>6956</v>
      </c>
      <c r="E102" s="457" t="s">
        <v>2461</v>
      </c>
      <c r="F102" s="157" t="s">
        <v>6957</v>
      </c>
      <c r="G102" s="157" t="n">
        <v>44.1</v>
      </c>
      <c r="H102" s="157" t="n">
        <v>9201</v>
      </c>
      <c r="I102" s="457" t="n">
        <v>0</v>
      </c>
      <c r="J102" s="458" t="n">
        <v>16140</v>
      </c>
      <c r="K102" s="167" t="n">
        <v>5.71276332094176</v>
      </c>
      <c r="L102" s="175" t="n">
        <v>0</v>
      </c>
      <c r="M102" s="175" t="n">
        <v>0</v>
      </c>
      <c r="N102" s="157" t="n">
        <v>1951</v>
      </c>
      <c r="O102" s="157" t="n">
        <v>0</v>
      </c>
      <c r="P102" s="157" t="n">
        <v>0</v>
      </c>
      <c r="Q102" s="157" t="n">
        <v>17</v>
      </c>
      <c r="R102" s="157" t="n">
        <v>3</v>
      </c>
      <c r="S102" s="157" t="n">
        <v>1</v>
      </c>
      <c r="T102" s="457" t="s">
        <v>6680</v>
      </c>
      <c r="U102" s="157" t="n">
        <v>398</v>
      </c>
      <c r="V102" s="458" t="n">
        <v>47915</v>
      </c>
      <c r="W102" s="458" t="n">
        <v>48000</v>
      </c>
      <c r="X102" s="445" t="s">
        <v>6743</v>
      </c>
      <c r="Y102" s="458" t="n">
        <v>16000</v>
      </c>
      <c r="Z102" s="457" t="s">
        <v>6638</v>
      </c>
      <c r="AD102" s="157" t="s">
        <v>6958</v>
      </c>
      <c r="AK102" s="459"/>
    </row>
    <row r="103" s="157" customFormat="true" ht="25.5" hidden="false" customHeight="true" outlineLevel="0" collapsed="false">
      <c r="A103" s="456" t="n">
        <v>6</v>
      </c>
      <c r="B103" s="157" t="n">
        <v>98</v>
      </c>
      <c r="C103" s="157" t="s">
        <v>6633</v>
      </c>
      <c r="D103" s="157" t="s">
        <v>6959</v>
      </c>
      <c r="E103" s="457" t="s">
        <v>2461</v>
      </c>
      <c r="F103" s="157" t="s">
        <v>6960</v>
      </c>
      <c r="G103" s="157" t="n">
        <v>46.2</v>
      </c>
      <c r="H103" s="157" t="n">
        <v>9201</v>
      </c>
      <c r="I103" s="457" t="n">
        <v>0</v>
      </c>
      <c r="J103" s="458" t="n">
        <v>10354</v>
      </c>
      <c r="K103" s="167" t="n">
        <v>5.42399072822098</v>
      </c>
      <c r="L103" s="175" t="n">
        <v>0</v>
      </c>
      <c r="M103" s="175" t="n">
        <v>0.177617521367521</v>
      </c>
      <c r="N103" s="157" t="n">
        <v>1967</v>
      </c>
      <c r="O103" s="157" t="n">
        <v>3174</v>
      </c>
      <c r="P103" s="157" t="n">
        <v>0</v>
      </c>
      <c r="Q103" s="157" t="n">
        <v>17</v>
      </c>
      <c r="R103" s="157" t="n">
        <v>14</v>
      </c>
      <c r="S103" s="157" t="n">
        <v>3</v>
      </c>
      <c r="T103" s="457" t="s">
        <v>6680</v>
      </c>
      <c r="U103" s="157" t="n">
        <v>401</v>
      </c>
      <c r="V103" s="458" t="n">
        <v>21063</v>
      </c>
      <c r="W103" s="458" t="n">
        <v>21000</v>
      </c>
      <c r="X103" s="445" t="s">
        <v>6767</v>
      </c>
      <c r="Y103" s="458" t="n">
        <v>10000</v>
      </c>
      <c r="Z103" s="457" t="s">
        <v>6638</v>
      </c>
      <c r="AK103" s="459" t="s">
        <v>6961</v>
      </c>
    </row>
    <row r="104" s="157" customFormat="true" ht="25.5" hidden="false" customHeight="true" outlineLevel="0" collapsed="false">
      <c r="A104" s="456" t="n">
        <v>6</v>
      </c>
      <c r="B104" s="157" t="n">
        <v>99</v>
      </c>
      <c r="C104" s="157" t="s">
        <v>6633</v>
      </c>
      <c r="D104" s="157" t="s">
        <v>6959</v>
      </c>
      <c r="E104" s="457" t="s">
        <v>2461</v>
      </c>
      <c r="F104" s="157" t="s">
        <v>6960</v>
      </c>
      <c r="G104" s="157" t="n">
        <v>46.2</v>
      </c>
      <c r="H104" s="157" t="n">
        <v>9201</v>
      </c>
      <c r="I104" s="457" t="n">
        <v>0</v>
      </c>
      <c r="J104" s="458" t="n">
        <v>10354</v>
      </c>
      <c r="K104" s="167" t="n">
        <v>6.72918678771489</v>
      </c>
      <c r="L104" s="175" t="n">
        <v>0</v>
      </c>
      <c r="M104" s="175" t="n">
        <v>0</v>
      </c>
      <c r="N104" s="157" t="n">
        <v>1967</v>
      </c>
      <c r="O104" s="157" t="n">
        <v>3174</v>
      </c>
      <c r="P104" s="157" t="n">
        <v>0</v>
      </c>
      <c r="Q104" s="157" t="n">
        <v>17</v>
      </c>
      <c r="R104" s="157" t="n">
        <v>14</v>
      </c>
      <c r="S104" s="157" t="n">
        <v>3</v>
      </c>
      <c r="T104" s="457" t="s">
        <v>6680</v>
      </c>
      <c r="U104" s="157" t="n">
        <v>401</v>
      </c>
      <c r="V104" s="458" t="n">
        <v>21063</v>
      </c>
      <c r="W104" s="458" t="n">
        <v>21000</v>
      </c>
      <c r="X104" s="445" t="s">
        <v>6767</v>
      </c>
      <c r="Y104" s="458" t="n">
        <v>10000</v>
      </c>
      <c r="Z104" s="457" t="s">
        <v>6638</v>
      </c>
      <c r="AK104" s="459" t="s">
        <v>6962</v>
      </c>
    </row>
    <row r="105" s="157" customFormat="true" ht="25.5" hidden="false" customHeight="true" outlineLevel="0" collapsed="false">
      <c r="A105" s="456" t="n">
        <v>6</v>
      </c>
      <c r="B105" s="157" t="n">
        <v>100</v>
      </c>
      <c r="C105" s="157" t="s">
        <v>6633</v>
      </c>
      <c r="D105" s="157" t="s">
        <v>6963</v>
      </c>
      <c r="E105" s="457" t="s">
        <v>2461</v>
      </c>
      <c r="F105" s="157" t="s">
        <v>6964</v>
      </c>
      <c r="G105" s="157" t="n">
        <v>44.1</v>
      </c>
      <c r="H105" s="157" t="n">
        <v>9201</v>
      </c>
      <c r="I105" s="457" t="n">
        <v>0</v>
      </c>
      <c r="J105" s="458" t="n">
        <v>23874</v>
      </c>
      <c r="K105" s="167" t="n">
        <v>4.53380246293038</v>
      </c>
      <c r="L105" s="175" t="n">
        <v>0</v>
      </c>
      <c r="M105" s="175" t="n">
        <v>0.159534368070953</v>
      </c>
      <c r="N105" s="157" t="n">
        <v>1969</v>
      </c>
      <c r="O105" s="157" t="n">
        <v>2605</v>
      </c>
      <c r="P105" s="157" t="n">
        <v>0</v>
      </c>
      <c r="Q105" s="157" t="n">
        <v>23</v>
      </c>
      <c r="R105" s="157" t="n">
        <v>14</v>
      </c>
      <c r="S105" s="157" t="n">
        <v>2</v>
      </c>
      <c r="T105" s="457" t="s">
        <v>6636</v>
      </c>
      <c r="U105" s="157" t="n">
        <v>398</v>
      </c>
      <c r="V105" s="458" t="n">
        <v>47500</v>
      </c>
      <c r="W105" s="458" t="n">
        <v>48000</v>
      </c>
      <c r="X105" s="445" t="s">
        <v>6767</v>
      </c>
      <c r="Y105" s="458" t="n">
        <v>24000</v>
      </c>
      <c r="Z105" s="457" t="s">
        <v>6638</v>
      </c>
      <c r="AD105" s="157" t="s">
        <v>6965</v>
      </c>
      <c r="AK105" s="459" t="s">
        <v>6966</v>
      </c>
    </row>
    <row r="106" s="157" customFormat="true" ht="12.75" hidden="false" customHeight="true" outlineLevel="0" collapsed="false">
      <c r="A106" s="456" t="n">
        <v>6</v>
      </c>
      <c r="B106" s="157" t="n">
        <v>101</v>
      </c>
      <c r="C106" s="157" t="s">
        <v>6633</v>
      </c>
      <c r="D106" s="157" t="s">
        <v>6967</v>
      </c>
      <c r="E106" s="457" t="s">
        <v>2461</v>
      </c>
      <c r="F106" s="157" t="s">
        <v>6968</v>
      </c>
      <c r="G106" s="157" t="n">
        <v>44.4</v>
      </c>
      <c r="H106" s="157" t="n">
        <v>9208</v>
      </c>
      <c r="I106" s="457" t="n">
        <v>0</v>
      </c>
      <c r="J106" s="458" t="n">
        <v>108000</v>
      </c>
      <c r="K106" s="167" t="n">
        <v>4.95</v>
      </c>
      <c r="L106" s="175" t="n">
        <v>0</v>
      </c>
      <c r="M106" s="175" t="n">
        <v>0</v>
      </c>
      <c r="N106" s="157" t="n">
        <v>2003</v>
      </c>
      <c r="O106" s="157" t="n">
        <v>27707</v>
      </c>
      <c r="P106" s="157" t="n">
        <v>0</v>
      </c>
      <c r="Q106" s="157" t="n">
        <v>35</v>
      </c>
      <c r="R106" s="157" t="n">
        <v>14</v>
      </c>
      <c r="S106" s="157" t="n">
        <v>2</v>
      </c>
      <c r="T106" s="457" t="s">
        <v>6636</v>
      </c>
      <c r="U106" s="157" t="n">
        <v>398</v>
      </c>
      <c r="V106" s="458" t="n">
        <v>259651</v>
      </c>
      <c r="W106" s="458" t="n">
        <v>260000</v>
      </c>
      <c r="X106" s="445" t="s">
        <v>6650</v>
      </c>
      <c r="Y106" s="458" t="n">
        <v>108000</v>
      </c>
      <c r="Z106" s="457" t="s">
        <v>6638</v>
      </c>
      <c r="AD106" s="157" t="s">
        <v>6969</v>
      </c>
      <c r="AK106" s="459"/>
    </row>
    <row r="107" s="157" customFormat="true" ht="12.75" hidden="false" customHeight="true" outlineLevel="0" collapsed="false">
      <c r="A107" s="456" t="n">
        <v>6</v>
      </c>
      <c r="B107" s="157" t="n">
        <v>102</v>
      </c>
      <c r="C107" s="157" t="s">
        <v>6633</v>
      </c>
      <c r="D107" s="157" t="s">
        <v>6970</v>
      </c>
      <c r="E107" s="457" t="s">
        <v>2461</v>
      </c>
      <c r="F107" s="157" t="s">
        <v>6971</v>
      </c>
      <c r="G107" s="157" t="n">
        <v>44.2</v>
      </c>
      <c r="H107" s="157" t="n">
        <v>9208</v>
      </c>
      <c r="I107" s="457" t="n">
        <v>3</v>
      </c>
      <c r="J107" s="458" t="n">
        <v>4240</v>
      </c>
      <c r="K107" s="167" t="n">
        <v>2.88985849056604</v>
      </c>
      <c r="L107" s="175" t="n">
        <v>0</v>
      </c>
      <c r="M107" s="175" t="n">
        <v>0.0398269811474741</v>
      </c>
      <c r="N107" s="157" t="n">
        <v>1972</v>
      </c>
      <c r="O107" s="157" t="n">
        <v>640</v>
      </c>
      <c r="P107" s="157" t="n">
        <v>0</v>
      </c>
      <c r="Q107" s="157" t="n">
        <v>14</v>
      </c>
      <c r="R107" s="157" t="n">
        <v>3</v>
      </c>
      <c r="S107" s="157" t="n">
        <v>1</v>
      </c>
      <c r="T107" s="457" t="s">
        <v>6972</v>
      </c>
      <c r="U107" s="157" t="n">
        <v>398</v>
      </c>
      <c r="V107" s="458" t="n">
        <v>9518</v>
      </c>
      <c r="W107" s="458" t="n">
        <v>10000</v>
      </c>
      <c r="X107" s="445" t="s">
        <v>6700</v>
      </c>
      <c r="Y107" s="458" t="n">
        <v>4000</v>
      </c>
      <c r="Z107" s="457" t="s">
        <v>6638</v>
      </c>
      <c r="AD107" s="157" t="s">
        <v>6973</v>
      </c>
      <c r="AK107" s="459" t="s">
        <v>6974</v>
      </c>
    </row>
    <row r="108" s="157" customFormat="true" ht="12.75" hidden="false" customHeight="true" outlineLevel="0" collapsed="false">
      <c r="A108" s="456" t="n">
        <v>6</v>
      </c>
      <c r="B108" s="157" t="n">
        <v>103</v>
      </c>
      <c r="C108" s="157" t="s">
        <v>6633</v>
      </c>
      <c r="D108" s="157" t="s">
        <v>6975</v>
      </c>
      <c r="E108" s="457" t="s">
        <v>2461</v>
      </c>
      <c r="F108" s="157" t="s">
        <v>6976</v>
      </c>
      <c r="G108" s="157" t="n">
        <v>44.2</v>
      </c>
      <c r="H108" s="157" t="n">
        <v>9208</v>
      </c>
      <c r="I108" s="457" t="n">
        <v>0</v>
      </c>
      <c r="J108" s="458" t="n">
        <v>10840</v>
      </c>
      <c r="K108" s="167" t="n">
        <v>6.08856088560886</v>
      </c>
      <c r="L108" s="175" t="n">
        <v>0</v>
      </c>
      <c r="M108" s="175" t="n">
        <v>0</v>
      </c>
      <c r="N108" s="157" t="n">
        <v>1972</v>
      </c>
      <c r="O108" s="157" t="n">
        <v>2160</v>
      </c>
      <c r="P108" s="157" t="n">
        <v>0</v>
      </c>
      <c r="Q108" s="157" t="n">
        <v>18</v>
      </c>
      <c r="R108" s="157" t="n">
        <v>7</v>
      </c>
      <c r="S108" s="157" t="n">
        <v>1</v>
      </c>
      <c r="T108" s="457" t="s">
        <v>6680</v>
      </c>
      <c r="U108" s="157" t="n">
        <v>398</v>
      </c>
      <c r="V108" s="458" t="n">
        <v>41250</v>
      </c>
      <c r="W108" s="458" t="n">
        <v>41000</v>
      </c>
      <c r="X108" s="445" t="s">
        <v>6977</v>
      </c>
      <c r="Y108" s="458" t="n">
        <v>11000</v>
      </c>
      <c r="Z108" s="457" t="s">
        <v>6638</v>
      </c>
      <c r="AD108" s="157" t="s">
        <v>6978</v>
      </c>
      <c r="AK108" s="459"/>
    </row>
    <row r="109" s="157" customFormat="true" ht="25.5" hidden="false" customHeight="true" outlineLevel="0" collapsed="false">
      <c r="A109" s="456" t="n">
        <v>6</v>
      </c>
      <c r="B109" s="157" t="n">
        <v>104</v>
      </c>
      <c r="C109" s="157" t="s">
        <v>6633</v>
      </c>
      <c r="D109" s="157" t="s">
        <v>6979</v>
      </c>
      <c r="E109" s="457" t="s">
        <v>2461</v>
      </c>
      <c r="F109" s="157" t="s">
        <v>6980</v>
      </c>
      <c r="G109" s="157" t="n">
        <v>44.1</v>
      </c>
      <c r="H109" s="157" t="n">
        <v>9208</v>
      </c>
      <c r="I109" s="457" t="n">
        <v>0</v>
      </c>
      <c r="J109" s="458" t="n">
        <v>4008</v>
      </c>
      <c r="K109" s="167" t="n">
        <v>6.73652694610779</v>
      </c>
      <c r="L109" s="175" t="n">
        <v>0</v>
      </c>
      <c r="M109" s="175" t="n">
        <v>0.126</v>
      </c>
      <c r="N109" s="157" t="n">
        <v>1980</v>
      </c>
      <c r="O109" s="157" t="n">
        <v>484</v>
      </c>
      <c r="P109" s="157" t="n">
        <v>0</v>
      </c>
      <c r="Q109" s="157" t="n">
        <v>17</v>
      </c>
      <c r="R109" s="157" t="n">
        <v>3</v>
      </c>
      <c r="S109" s="157" t="n">
        <v>1</v>
      </c>
      <c r="T109" s="457" t="s">
        <v>6680</v>
      </c>
      <c r="U109" s="157" t="n">
        <v>398</v>
      </c>
      <c r="V109" s="458" t="n">
        <v>6625</v>
      </c>
      <c r="W109" s="458" t="n">
        <v>7000</v>
      </c>
      <c r="X109" s="445" t="s">
        <v>6954</v>
      </c>
      <c r="Y109" s="458" t="n">
        <v>4000</v>
      </c>
      <c r="Z109" s="457" t="s">
        <v>6638</v>
      </c>
      <c r="AD109" s="157" t="s">
        <v>6981</v>
      </c>
      <c r="AK109" s="459" t="s">
        <v>6929</v>
      </c>
    </row>
    <row r="110" s="157" customFormat="true" ht="12.75" hidden="false" customHeight="true" outlineLevel="0" collapsed="false">
      <c r="A110" s="456" t="n">
        <v>6</v>
      </c>
      <c r="B110" s="157" t="n">
        <v>105</v>
      </c>
      <c r="C110" s="157" t="s">
        <v>6633</v>
      </c>
      <c r="D110" s="157" t="s">
        <v>6982</v>
      </c>
      <c r="E110" s="457" t="s">
        <v>2461</v>
      </c>
      <c r="F110" s="157" t="s">
        <v>6983</v>
      </c>
      <c r="G110" s="157" t="n">
        <v>44.1</v>
      </c>
      <c r="H110" s="157" t="n">
        <v>9208</v>
      </c>
      <c r="I110" s="457" t="n">
        <v>0</v>
      </c>
      <c r="J110" s="458" t="n">
        <v>5000</v>
      </c>
      <c r="K110" s="167" t="n">
        <v>5.0304</v>
      </c>
      <c r="L110" s="175" t="n">
        <v>0</v>
      </c>
      <c r="M110" s="175" t="n">
        <v>0.0899729643765903</v>
      </c>
      <c r="N110" s="157" t="n">
        <v>1967</v>
      </c>
      <c r="O110" s="157" t="n">
        <v>0</v>
      </c>
      <c r="P110" s="157" t="n">
        <v>0</v>
      </c>
      <c r="Q110" s="157" t="n">
        <v>12</v>
      </c>
      <c r="R110" s="157" t="n">
        <v>1</v>
      </c>
      <c r="S110" s="157" t="n">
        <v>1</v>
      </c>
      <c r="T110" s="457" t="s">
        <v>6636</v>
      </c>
      <c r="U110" s="157" t="n">
        <v>397</v>
      </c>
      <c r="V110" s="458" t="n">
        <v>12500</v>
      </c>
      <c r="W110" s="458" t="n">
        <v>13000</v>
      </c>
      <c r="X110" s="445" t="s">
        <v>6692</v>
      </c>
      <c r="Y110" s="458" t="n">
        <v>5000</v>
      </c>
      <c r="Z110" s="457" t="s">
        <v>6638</v>
      </c>
      <c r="AK110" s="459" t="s">
        <v>6984</v>
      </c>
    </row>
    <row r="111" s="157" customFormat="true" ht="12.75" hidden="false" customHeight="true" outlineLevel="0" collapsed="false">
      <c r="A111" s="456" t="n">
        <v>6</v>
      </c>
      <c r="B111" s="157" t="n">
        <v>106</v>
      </c>
      <c r="C111" s="157" t="s">
        <v>6633</v>
      </c>
      <c r="D111" s="157" t="s">
        <v>6985</v>
      </c>
      <c r="E111" s="457" t="s">
        <v>2461</v>
      </c>
      <c r="F111" s="157" t="s">
        <v>6986</v>
      </c>
      <c r="G111" s="157" t="n">
        <v>44.1</v>
      </c>
      <c r="H111" s="157" t="n">
        <v>9208</v>
      </c>
      <c r="I111" s="457" t="n">
        <v>0</v>
      </c>
      <c r="J111" s="458" t="n">
        <v>5000</v>
      </c>
      <c r="K111" s="167" t="n">
        <v>8.4</v>
      </c>
      <c r="L111" s="175" t="n">
        <v>0</v>
      </c>
      <c r="M111" s="175" t="n">
        <v>0.0657380952380952</v>
      </c>
      <c r="N111" s="157" t="n">
        <v>1968</v>
      </c>
      <c r="O111" s="157" t="n">
        <v>500</v>
      </c>
      <c r="P111" s="157" t="n">
        <v>0</v>
      </c>
      <c r="Q111" s="157" t="n">
        <v>11</v>
      </c>
      <c r="R111" s="157" t="n">
        <v>3</v>
      </c>
      <c r="S111" s="157" t="n">
        <v>2</v>
      </c>
      <c r="T111" s="457" t="s">
        <v>6680</v>
      </c>
      <c r="U111" s="157" t="n">
        <v>398</v>
      </c>
      <c r="V111" s="458" t="n">
        <v>9370</v>
      </c>
      <c r="W111" s="458" t="n">
        <v>9000</v>
      </c>
      <c r="X111" s="445" t="s">
        <v>6675</v>
      </c>
      <c r="Y111" s="458" t="n">
        <v>5000</v>
      </c>
      <c r="Z111" s="457" t="s">
        <v>6638</v>
      </c>
      <c r="AK111" s="459" t="s">
        <v>6984</v>
      </c>
    </row>
    <row r="112" s="157" customFormat="true" ht="12.75" hidden="false" customHeight="true" outlineLevel="0" collapsed="false">
      <c r="A112" s="456" t="n">
        <v>6</v>
      </c>
      <c r="B112" s="157" t="n">
        <v>107</v>
      </c>
      <c r="C112" s="157" t="s">
        <v>6633</v>
      </c>
      <c r="D112" s="157" t="s">
        <v>6987</v>
      </c>
      <c r="E112" s="457" t="s">
        <v>2461</v>
      </c>
      <c r="F112" s="157" t="s">
        <v>6988</v>
      </c>
      <c r="G112" s="157" t="n">
        <v>44.1</v>
      </c>
      <c r="H112" s="157" t="n">
        <v>9208</v>
      </c>
      <c r="I112" s="457" t="n">
        <v>0</v>
      </c>
      <c r="J112" s="458" t="n">
        <v>2909</v>
      </c>
      <c r="K112" s="167" t="n">
        <v>6.18769336541767</v>
      </c>
      <c r="L112" s="175" t="n">
        <v>0</v>
      </c>
      <c r="M112" s="175" t="n">
        <v>0.109333333333333</v>
      </c>
      <c r="N112" s="157" t="n">
        <v>1951</v>
      </c>
      <c r="O112" s="157" t="n">
        <v>431</v>
      </c>
      <c r="P112" s="157" t="n">
        <v>0</v>
      </c>
      <c r="Q112" s="157" t="n">
        <v>10</v>
      </c>
      <c r="R112" s="157" t="n">
        <v>3</v>
      </c>
      <c r="S112" s="157" t="n">
        <v>1</v>
      </c>
      <c r="T112" s="457" t="s">
        <v>6680</v>
      </c>
      <c r="U112" s="157" t="n">
        <v>398</v>
      </c>
      <c r="V112" s="458" t="n">
        <v>9375</v>
      </c>
      <c r="W112" s="458" t="n">
        <v>9000</v>
      </c>
      <c r="X112" s="445" t="s">
        <v>6695</v>
      </c>
      <c r="Y112" s="458" t="n">
        <v>3000</v>
      </c>
      <c r="Z112" s="457" t="s">
        <v>6638</v>
      </c>
      <c r="AD112" s="157" t="s">
        <v>6989</v>
      </c>
      <c r="AK112" s="459" t="s">
        <v>6990</v>
      </c>
    </row>
    <row r="113" s="157" customFormat="true" ht="25.5" hidden="false" customHeight="true" outlineLevel="0" collapsed="false">
      <c r="A113" s="456" t="n">
        <v>6</v>
      </c>
      <c r="B113" s="157" t="n">
        <v>108</v>
      </c>
      <c r="C113" s="157" t="s">
        <v>6633</v>
      </c>
      <c r="D113" s="157" t="s">
        <v>6991</v>
      </c>
      <c r="E113" s="457" t="s">
        <v>2461</v>
      </c>
      <c r="F113" s="157" t="s">
        <v>6992</v>
      </c>
      <c r="G113" s="157" t="n">
        <v>44.1</v>
      </c>
      <c r="H113" s="157" t="n">
        <v>9208</v>
      </c>
      <c r="I113" s="457" t="n">
        <v>9</v>
      </c>
      <c r="J113" s="458" t="n">
        <v>6599</v>
      </c>
      <c r="K113" s="167" t="n">
        <v>7.00106076678285</v>
      </c>
      <c r="L113" s="175" t="n">
        <v>0</v>
      </c>
      <c r="M113" s="175" t="n">
        <v>0.18448051948052</v>
      </c>
      <c r="N113" s="157" t="n">
        <v>1952</v>
      </c>
      <c r="O113" s="157" t="n">
        <v>0</v>
      </c>
      <c r="P113" s="157" t="n">
        <v>0</v>
      </c>
      <c r="Q113" s="157" t="n">
        <v>12</v>
      </c>
      <c r="R113" s="157" t="n">
        <v>3</v>
      </c>
      <c r="S113" s="157" t="n">
        <v>3</v>
      </c>
      <c r="T113" s="457" t="s">
        <v>6993</v>
      </c>
      <c r="U113" s="157" t="n">
        <v>398</v>
      </c>
      <c r="V113" s="458" t="n">
        <v>9440</v>
      </c>
      <c r="W113" s="458" t="n">
        <v>9000</v>
      </c>
      <c r="X113" s="445" t="s">
        <v>6710</v>
      </c>
      <c r="Y113" s="458" t="n">
        <v>7000</v>
      </c>
      <c r="Z113" s="457" t="s">
        <v>6638</v>
      </c>
      <c r="AK113" s="459" t="s">
        <v>6994</v>
      </c>
    </row>
    <row r="114" s="157" customFormat="true" ht="12.75" hidden="false" customHeight="true" outlineLevel="0" collapsed="false">
      <c r="A114" s="456" t="n">
        <v>6</v>
      </c>
      <c r="B114" s="157" t="n">
        <v>109</v>
      </c>
      <c r="C114" s="157" t="s">
        <v>6633</v>
      </c>
      <c r="D114" s="157" t="s">
        <v>6995</v>
      </c>
      <c r="E114" s="457" t="s">
        <v>2461</v>
      </c>
      <c r="F114" s="157" t="s">
        <v>6996</v>
      </c>
      <c r="G114" s="157" t="n">
        <v>44.2</v>
      </c>
      <c r="H114" s="157" t="n">
        <v>9208</v>
      </c>
      <c r="I114" s="457" t="n">
        <v>9</v>
      </c>
      <c r="J114" s="458" t="n">
        <v>27955</v>
      </c>
      <c r="K114" s="167" t="n">
        <v>5.49998211411197</v>
      </c>
      <c r="L114" s="175" t="n">
        <v>0.5</v>
      </c>
      <c r="M114" s="175" t="n">
        <v>0.211659035329622</v>
      </c>
      <c r="N114" s="157" t="n">
        <v>1956</v>
      </c>
      <c r="O114" s="157" t="n">
        <v>7498</v>
      </c>
      <c r="P114" s="157" t="n">
        <v>0</v>
      </c>
      <c r="Q114" s="157" t="n">
        <v>16</v>
      </c>
      <c r="R114" s="157" t="n">
        <v>3</v>
      </c>
      <c r="S114" s="157" t="n">
        <v>1</v>
      </c>
      <c r="T114" s="457" t="s">
        <v>6993</v>
      </c>
      <c r="U114" s="157" t="n">
        <v>398</v>
      </c>
      <c r="V114" s="458" t="n">
        <v>47006</v>
      </c>
      <c r="W114" s="458" t="n">
        <v>47000</v>
      </c>
      <c r="X114" s="445" t="s">
        <v>6954</v>
      </c>
      <c r="Y114" s="458" t="n">
        <v>28000</v>
      </c>
      <c r="Z114" s="457" t="s">
        <v>6638</v>
      </c>
      <c r="AD114" s="157" t="s">
        <v>6997</v>
      </c>
      <c r="AK114" s="459" t="s">
        <v>6998</v>
      </c>
    </row>
    <row r="115" s="157" customFormat="true" ht="25.5" hidden="false" customHeight="true" outlineLevel="0" collapsed="false">
      <c r="A115" s="456" t="n">
        <v>6</v>
      </c>
      <c r="B115" s="157" t="n">
        <v>110</v>
      </c>
      <c r="C115" s="157" t="s">
        <v>6633</v>
      </c>
      <c r="D115" s="157" t="s">
        <v>6999</v>
      </c>
      <c r="E115" s="457" t="s">
        <v>2461</v>
      </c>
      <c r="F115" s="157" t="s">
        <v>7000</v>
      </c>
      <c r="G115" s="157" t="n">
        <v>44.1</v>
      </c>
      <c r="H115" s="157" t="n">
        <v>9208</v>
      </c>
      <c r="I115" s="457" t="n">
        <v>0</v>
      </c>
      <c r="J115" s="458" t="n">
        <v>33280</v>
      </c>
      <c r="K115" s="167" t="n">
        <v>3.11971830985916</v>
      </c>
      <c r="L115" s="175" t="n">
        <v>0</v>
      </c>
      <c r="M115" s="175" t="n">
        <v>0</v>
      </c>
      <c r="N115" s="157" t="n">
        <v>1968</v>
      </c>
      <c r="O115" s="157" t="n">
        <v>4285</v>
      </c>
      <c r="P115" s="157" t="n">
        <v>0</v>
      </c>
      <c r="Q115" s="157" t="n">
        <v>25</v>
      </c>
      <c r="R115" s="157" t="n">
        <v>10</v>
      </c>
      <c r="S115" s="157" t="n">
        <v>1</v>
      </c>
      <c r="T115" s="457" t="s">
        <v>6680</v>
      </c>
      <c r="U115" s="157" t="n">
        <v>398</v>
      </c>
      <c r="V115" s="458" t="n">
        <v>62400</v>
      </c>
      <c r="W115" s="458" t="n">
        <v>62000</v>
      </c>
      <c r="X115" s="445" t="s">
        <v>6675</v>
      </c>
      <c r="Y115" s="458" t="n">
        <v>33000</v>
      </c>
      <c r="Z115" s="457" t="s">
        <v>6638</v>
      </c>
      <c r="AK115" s="459" t="s">
        <v>7001</v>
      </c>
    </row>
    <row r="116" s="157" customFormat="true" ht="12.75" hidden="false" customHeight="true" outlineLevel="0" collapsed="false">
      <c r="A116" s="456" t="n">
        <v>6</v>
      </c>
      <c r="B116" s="157" t="n">
        <v>111</v>
      </c>
      <c r="C116" s="157" t="s">
        <v>6633</v>
      </c>
      <c r="D116" s="157" t="s">
        <v>7002</v>
      </c>
      <c r="E116" s="457" t="s">
        <v>2461</v>
      </c>
      <c r="F116" s="157" t="s">
        <v>7003</v>
      </c>
      <c r="G116" s="157" t="n">
        <v>44.1</v>
      </c>
      <c r="H116" s="157" t="n">
        <v>9208</v>
      </c>
      <c r="I116" s="457" t="n">
        <v>0</v>
      </c>
      <c r="J116" s="458" t="n">
        <v>9000</v>
      </c>
      <c r="K116" s="167" t="n">
        <v>6.66666666666667</v>
      </c>
      <c r="L116" s="175" t="n">
        <v>0</v>
      </c>
      <c r="M116" s="175" t="n">
        <v>0.1</v>
      </c>
      <c r="N116" s="157" t="n">
        <v>1978</v>
      </c>
      <c r="O116" s="157" t="n">
        <v>330</v>
      </c>
      <c r="P116" s="157" t="n">
        <v>1000</v>
      </c>
      <c r="Q116" s="157" t="n">
        <v>16</v>
      </c>
      <c r="R116" s="157" t="n">
        <v>7</v>
      </c>
      <c r="S116" s="157" t="n">
        <v>1</v>
      </c>
      <c r="T116" s="457" t="s">
        <v>6680</v>
      </c>
      <c r="U116" s="157" t="n">
        <v>398</v>
      </c>
      <c r="V116" s="458" t="n">
        <v>12485</v>
      </c>
      <c r="W116" s="458" t="n">
        <v>12000</v>
      </c>
      <c r="X116" s="445" t="s">
        <v>6710</v>
      </c>
      <c r="Y116" s="458" t="n">
        <v>9000</v>
      </c>
      <c r="Z116" s="457" t="s">
        <v>6638</v>
      </c>
      <c r="AK116" s="459" t="s">
        <v>6665</v>
      </c>
    </row>
    <row r="117" s="157" customFormat="true" ht="25.5" hidden="false" customHeight="true" outlineLevel="0" collapsed="false">
      <c r="A117" s="456" t="n">
        <v>6</v>
      </c>
      <c r="B117" s="157" t="n">
        <v>112</v>
      </c>
      <c r="C117" s="157" t="s">
        <v>6633</v>
      </c>
      <c r="D117" s="157" t="s">
        <v>7004</v>
      </c>
      <c r="E117" s="457" t="s">
        <v>2461</v>
      </c>
      <c r="F117" s="157" t="s">
        <v>7005</v>
      </c>
      <c r="G117" s="157" t="n">
        <v>44.1</v>
      </c>
      <c r="H117" s="157" t="n">
        <v>9208</v>
      </c>
      <c r="I117" s="457" t="n">
        <v>0</v>
      </c>
      <c r="J117" s="458" t="n">
        <v>1320</v>
      </c>
      <c r="K117" s="167" t="n">
        <v>16.3636363636364</v>
      </c>
      <c r="L117" s="175" t="n">
        <v>0</v>
      </c>
      <c r="M117" s="175" t="n">
        <v>0.0175925925925926</v>
      </c>
      <c r="N117" s="157" t="n">
        <v>1972</v>
      </c>
      <c r="O117" s="157" t="n">
        <v>580</v>
      </c>
      <c r="P117" s="157" t="n">
        <v>0</v>
      </c>
      <c r="Q117" s="157" t="n">
        <v>12</v>
      </c>
      <c r="R117" s="157" t="n">
        <v>7</v>
      </c>
      <c r="S117" s="157" t="n">
        <v>1</v>
      </c>
      <c r="T117" s="457" t="s">
        <v>6680</v>
      </c>
      <c r="U117" s="157" t="n">
        <v>398</v>
      </c>
      <c r="V117" s="458" t="n">
        <v>25000</v>
      </c>
      <c r="W117" s="458" t="n">
        <v>25000</v>
      </c>
      <c r="X117" s="445" t="s">
        <v>7006</v>
      </c>
      <c r="Y117" s="458" t="n">
        <v>1000</v>
      </c>
      <c r="Z117" s="457" t="s">
        <v>6638</v>
      </c>
      <c r="AD117" s="157" t="s">
        <v>7007</v>
      </c>
      <c r="AK117" s="459" t="s">
        <v>7008</v>
      </c>
    </row>
    <row r="118" s="157" customFormat="true" ht="25.5" hidden="false" customHeight="true" outlineLevel="0" collapsed="false">
      <c r="A118" s="456" t="n">
        <v>6</v>
      </c>
      <c r="B118" s="157" t="n">
        <v>113</v>
      </c>
      <c r="C118" s="157" t="s">
        <v>6633</v>
      </c>
      <c r="D118" s="157" t="s">
        <v>7009</v>
      </c>
      <c r="E118" s="457" t="s">
        <v>2461</v>
      </c>
      <c r="F118" s="157" t="s">
        <v>7010</v>
      </c>
      <c r="G118" s="157" t="s">
        <v>7011</v>
      </c>
      <c r="H118" s="157" t="n">
        <v>9208</v>
      </c>
      <c r="I118" s="457" t="n">
        <v>0</v>
      </c>
      <c r="J118" s="458" t="n">
        <v>2000</v>
      </c>
      <c r="K118" s="167" t="n">
        <v>6</v>
      </c>
      <c r="L118" s="175" t="n">
        <v>1</v>
      </c>
      <c r="M118" s="175" t="n">
        <v>0</v>
      </c>
      <c r="N118" s="157" t="n">
        <v>1978</v>
      </c>
      <c r="O118" s="157" t="n">
        <v>150</v>
      </c>
      <c r="P118" s="157" t="n">
        <v>0</v>
      </c>
      <c r="Q118" s="157" t="n">
        <v>10</v>
      </c>
      <c r="R118" s="157" t="n">
        <v>7</v>
      </c>
      <c r="S118" s="157" t="n">
        <v>1</v>
      </c>
      <c r="T118" s="457" t="s">
        <v>6680</v>
      </c>
      <c r="U118" s="157" t="n">
        <v>398</v>
      </c>
      <c r="V118" s="458" t="n">
        <v>7175</v>
      </c>
      <c r="W118" s="458" t="n">
        <v>7000</v>
      </c>
      <c r="X118" s="445" t="s">
        <v>7012</v>
      </c>
      <c r="Y118" s="458" t="n">
        <v>2000</v>
      </c>
      <c r="Z118" s="457" t="s">
        <v>6638</v>
      </c>
      <c r="AD118" s="157" t="s">
        <v>7013</v>
      </c>
      <c r="AK118" s="459" t="s">
        <v>7014</v>
      </c>
    </row>
    <row r="119" s="157" customFormat="true" ht="12.75" hidden="false" customHeight="true" outlineLevel="0" collapsed="false">
      <c r="A119" s="456" t="n">
        <v>6</v>
      </c>
      <c r="B119" s="157" t="n">
        <v>114</v>
      </c>
      <c r="C119" s="157" t="s">
        <v>6633</v>
      </c>
      <c r="D119" s="157" t="s">
        <v>7015</v>
      </c>
      <c r="E119" s="457" t="s">
        <v>2461</v>
      </c>
      <c r="F119" s="157" t="s">
        <v>7016</v>
      </c>
      <c r="G119" s="157" t="n">
        <v>44.1</v>
      </c>
      <c r="H119" s="157" t="n">
        <v>9208</v>
      </c>
      <c r="I119" s="457" t="n">
        <v>0</v>
      </c>
      <c r="J119" s="458" t="n">
        <v>6144</v>
      </c>
      <c r="K119" s="167" t="n">
        <v>5.22786458333333</v>
      </c>
      <c r="L119" s="175" t="n">
        <v>0</v>
      </c>
      <c r="M119" s="175" t="n">
        <v>0</v>
      </c>
      <c r="N119" s="157" t="n">
        <v>1973</v>
      </c>
      <c r="O119" s="157" t="n">
        <v>1593</v>
      </c>
      <c r="P119" s="157" t="n">
        <v>0</v>
      </c>
      <c r="Q119" s="157" t="n">
        <v>14</v>
      </c>
      <c r="R119" s="157" t="n">
        <v>14</v>
      </c>
      <c r="S119" s="157" t="n">
        <v>1</v>
      </c>
      <c r="T119" s="457" t="s">
        <v>6680</v>
      </c>
      <c r="U119" s="157" t="n">
        <v>398</v>
      </c>
      <c r="V119" s="458" t="n">
        <v>30805</v>
      </c>
      <c r="W119" s="458" t="n">
        <v>31000</v>
      </c>
      <c r="X119" s="445" t="s">
        <v>7017</v>
      </c>
      <c r="Y119" s="458" t="n">
        <v>6000</v>
      </c>
      <c r="Z119" s="457" t="s">
        <v>6638</v>
      </c>
      <c r="AD119" s="157" t="s">
        <v>7018</v>
      </c>
      <c r="AK119" s="459" t="s">
        <v>6661</v>
      </c>
    </row>
    <row r="120" s="157" customFormat="true" ht="25.5" hidden="false" customHeight="true" outlineLevel="0" collapsed="false">
      <c r="A120" s="456" t="n">
        <v>6</v>
      </c>
      <c r="B120" s="157" t="n">
        <v>115</v>
      </c>
      <c r="C120" s="157" t="s">
        <v>6633</v>
      </c>
      <c r="D120" s="157" t="s">
        <v>7019</v>
      </c>
      <c r="E120" s="457" t="s">
        <v>2461</v>
      </c>
      <c r="F120" s="157" t="s">
        <v>7020</v>
      </c>
      <c r="G120" s="157" t="n">
        <v>47.2</v>
      </c>
      <c r="H120" s="157" t="n">
        <v>9201</v>
      </c>
      <c r="I120" s="457" t="n">
        <v>0</v>
      </c>
      <c r="J120" s="458" t="n">
        <v>24266</v>
      </c>
      <c r="K120" s="167" t="n">
        <v>6.66666666666667</v>
      </c>
      <c r="L120" s="175" t="n">
        <v>0</v>
      </c>
      <c r="M120" s="175" t="n">
        <v>0</v>
      </c>
      <c r="N120" s="157" t="n">
        <v>1964</v>
      </c>
      <c r="O120" s="157" t="n">
        <v>600</v>
      </c>
      <c r="P120" s="157" t="n">
        <v>0</v>
      </c>
      <c r="Q120" s="157" t="n">
        <v>18</v>
      </c>
      <c r="R120" s="157" t="n">
        <v>1</v>
      </c>
      <c r="S120" s="157" t="n">
        <v>1</v>
      </c>
      <c r="T120" s="457" t="s">
        <v>6680</v>
      </c>
      <c r="U120" s="157" t="n">
        <v>401</v>
      </c>
      <c r="V120" s="458" t="n">
        <v>25425</v>
      </c>
      <c r="W120" s="458" t="n">
        <v>25000</v>
      </c>
      <c r="X120" s="445" t="s">
        <v>7021</v>
      </c>
      <c r="Y120" s="458" t="n">
        <v>24000</v>
      </c>
      <c r="Z120" s="457" t="s">
        <v>6638</v>
      </c>
      <c r="AK120" s="459" t="s">
        <v>7022</v>
      </c>
    </row>
    <row r="121" s="157" customFormat="true" ht="25.5" hidden="false" customHeight="true" outlineLevel="0" collapsed="false">
      <c r="A121" s="456" t="n">
        <v>6</v>
      </c>
      <c r="B121" s="157" t="n">
        <v>116</v>
      </c>
      <c r="C121" s="157" t="s">
        <v>6633</v>
      </c>
      <c r="D121" s="157" t="s">
        <v>7023</v>
      </c>
      <c r="E121" s="457" t="s">
        <v>2461</v>
      </c>
      <c r="F121" s="157" t="s">
        <v>7024</v>
      </c>
      <c r="G121" s="157" t="n">
        <v>44.2</v>
      </c>
      <c r="H121" s="157" t="n">
        <v>9201</v>
      </c>
      <c r="I121" s="457" t="n">
        <v>0</v>
      </c>
      <c r="J121" s="458" t="n">
        <v>18540</v>
      </c>
      <c r="K121" s="167" t="n">
        <v>5.13997997762205</v>
      </c>
      <c r="L121" s="175" t="n">
        <v>0</v>
      </c>
      <c r="M121" s="175" t="n">
        <v>0.206869686762448</v>
      </c>
      <c r="N121" s="157" t="n">
        <v>1918</v>
      </c>
      <c r="O121" s="157" t="n">
        <v>300</v>
      </c>
      <c r="P121" s="157" t="n">
        <v>0</v>
      </c>
      <c r="Q121" s="157" t="n">
        <v>14</v>
      </c>
      <c r="R121" s="157" t="n">
        <v>1</v>
      </c>
      <c r="S121" s="157" t="n">
        <v>1</v>
      </c>
      <c r="T121" s="457" t="s">
        <v>6642</v>
      </c>
      <c r="U121" s="157" t="n">
        <v>398</v>
      </c>
      <c r="V121" s="458" t="n">
        <v>27040</v>
      </c>
      <c r="W121" s="458" t="n">
        <v>27000</v>
      </c>
      <c r="X121" s="445" t="s">
        <v>6837</v>
      </c>
      <c r="Y121" s="458" t="n">
        <v>19000</v>
      </c>
      <c r="Z121" s="457" t="s">
        <v>6638</v>
      </c>
      <c r="AD121" s="157" t="s">
        <v>7025</v>
      </c>
      <c r="AK121" s="459" t="s">
        <v>7026</v>
      </c>
    </row>
    <row r="122" s="157" customFormat="true" ht="12.75" hidden="false" customHeight="true" outlineLevel="0" collapsed="false">
      <c r="A122" s="456" t="n">
        <v>6</v>
      </c>
      <c r="B122" s="157" t="n">
        <v>117</v>
      </c>
      <c r="C122" s="157" t="s">
        <v>6633</v>
      </c>
      <c r="D122" s="157" t="s">
        <v>7027</v>
      </c>
      <c r="E122" s="457" t="s">
        <v>2461</v>
      </c>
      <c r="F122" s="157" t="s">
        <v>7028</v>
      </c>
      <c r="G122" s="157" t="n">
        <v>44.2</v>
      </c>
      <c r="H122" s="157" t="n">
        <v>9201</v>
      </c>
      <c r="I122" s="457" t="n">
        <v>0</v>
      </c>
      <c r="J122" s="458" t="n">
        <v>59837</v>
      </c>
      <c r="K122" s="167" t="n">
        <v>3.51429717398934</v>
      </c>
      <c r="L122" s="175" t="n">
        <v>0</v>
      </c>
      <c r="M122" s="175" t="n">
        <v>0.417866229165181</v>
      </c>
      <c r="N122" s="157" t="n">
        <v>1931</v>
      </c>
      <c r="O122" s="157" t="n">
        <v>5992</v>
      </c>
      <c r="P122" s="157" t="n">
        <v>0</v>
      </c>
      <c r="Q122" s="157" t="n">
        <v>12</v>
      </c>
      <c r="R122" s="157" t="n">
        <v>1</v>
      </c>
      <c r="S122" s="157" t="n">
        <v>5</v>
      </c>
      <c r="T122" s="457" t="s">
        <v>6642</v>
      </c>
      <c r="U122" s="157" t="n">
        <v>398</v>
      </c>
      <c r="V122" s="458" t="n">
        <v>109420</v>
      </c>
      <c r="W122" s="458" t="n">
        <v>109000</v>
      </c>
      <c r="X122" s="445" t="s">
        <v>6863</v>
      </c>
      <c r="Y122" s="458" t="n">
        <v>60000</v>
      </c>
      <c r="Z122" s="457" t="s">
        <v>6638</v>
      </c>
      <c r="AD122" s="157" t="s">
        <v>7029</v>
      </c>
      <c r="AK122" s="459" t="s">
        <v>7030</v>
      </c>
    </row>
    <row r="123" s="157" customFormat="true" ht="12.75" hidden="false" customHeight="true" outlineLevel="0" collapsed="false">
      <c r="A123" s="456" t="n">
        <v>6</v>
      </c>
      <c r="B123" s="157" t="n">
        <v>118</v>
      </c>
      <c r="C123" s="157" t="s">
        <v>6633</v>
      </c>
      <c r="D123" s="157" t="s">
        <v>7031</v>
      </c>
      <c r="E123" s="457" t="s">
        <v>2461</v>
      </c>
      <c r="F123" s="157" t="s">
        <v>7032</v>
      </c>
      <c r="G123" s="157" t="n">
        <v>47.1</v>
      </c>
      <c r="H123" s="157" t="n">
        <v>9201</v>
      </c>
      <c r="I123" s="457" t="n">
        <v>0</v>
      </c>
      <c r="J123" s="458" t="n">
        <v>20773</v>
      </c>
      <c r="K123" s="167" t="n">
        <v>5.19905646752997</v>
      </c>
      <c r="L123" s="175" t="n">
        <v>0</v>
      </c>
      <c r="M123" s="175" t="n">
        <v>0</v>
      </c>
      <c r="N123" s="157" t="n">
        <v>1949</v>
      </c>
      <c r="O123" s="157" t="n">
        <v>2655</v>
      </c>
      <c r="P123" s="157" t="n">
        <v>0</v>
      </c>
      <c r="Q123" s="157" t="n">
        <v>18</v>
      </c>
      <c r="R123" s="157" t="n">
        <v>7</v>
      </c>
      <c r="S123" s="157" t="n">
        <v>1</v>
      </c>
      <c r="T123" s="457" t="s">
        <v>6642</v>
      </c>
      <c r="U123" s="157" t="n">
        <v>401</v>
      </c>
      <c r="V123" s="458" t="n">
        <v>173969</v>
      </c>
      <c r="W123" s="458" t="n">
        <v>174000</v>
      </c>
      <c r="X123" s="445" t="s">
        <v>7033</v>
      </c>
      <c r="Y123" s="458" t="n">
        <v>21000</v>
      </c>
      <c r="Z123" s="457" t="s">
        <v>6638</v>
      </c>
      <c r="AD123" s="157" t="s">
        <v>7034</v>
      </c>
      <c r="AK123" s="459"/>
    </row>
    <row r="124" s="157" customFormat="true" ht="12.75" hidden="false" customHeight="true" outlineLevel="0" collapsed="false">
      <c r="A124" s="456" t="n">
        <v>6</v>
      </c>
      <c r="B124" s="157" t="n">
        <v>119</v>
      </c>
      <c r="C124" s="157" t="s">
        <v>6633</v>
      </c>
      <c r="D124" s="157" t="s">
        <v>7035</v>
      </c>
      <c r="E124" s="457" t="s">
        <v>2461</v>
      </c>
      <c r="F124" s="157" t="s">
        <v>7036</v>
      </c>
      <c r="G124" s="157" t="n">
        <v>44.2</v>
      </c>
      <c r="H124" s="157" t="n">
        <v>9201</v>
      </c>
      <c r="I124" s="457" t="n">
        <v>0</v>
      </c>
      <c r="J124" s="458" t="n">
        <v>5258</v>
      </c>
      <c r="K124" s="167" t="n">
        <v>5.75313807531381</v>
      </c>
      <c r="L124" s="175" t="n">
        <v>0</v>
      </c>
      <c r="M124" s="175" t="n">
        <v>0</v>
      </c>
      <c r="N124" s="157" t="n">
        <v>1955</v>
      </c>
      <c r="O124" s="157" t="n">
        <v>2032</v>
      </c>
      <c r="P124" s="157" t="n">
        <v>0</v>
      </c>
      <c r="Q124" s="157" t="n">
        <v>15</v>
      </c>
      <c r="R124" s="157" t="n">
        <v>1</v>
      </c>
      <c r="S124" s="157" t="n">
        <v>1</v>
      </c>
      <c r="T124" s="457" t="s">
        <v>6680</v>
      </c>
      <c r="U124" s="157" t="n">
        <v>398</v>
      </c>
      <c r="V124" s="458" t="n">
        <v>23375</v>
      </c>
      <c r="W124" s="458" t="n">
        <v>23000</v>
      </c>
      <c r="X124" s="445" t="s">
        <v>6895</v>
      </c>
      <c r="Y124" s="458" t="n">
        <v>5000</v>
      </c>
      <c r="Z124" s="457" t="s">
        <v>6638</v>
      </c>
      <c r="AD124" s="157" t="s">
        <v>6676</v>
      </c>
      <c r="AK124" s="459" t="s">
        <v>6697</v>
      </c>
    </row>
    <row r="125" s="157" customFormat="true" ht="12.75" hidden="false" customHeight="true" outlineLevel="0" collapsed="false">
      <c r="A125" s="456" t="n">
        <v>6</v>
      </c>
      <c r="B125" s="157" t="n">
        <v>120</v>
      </c>
      <c r="C125" s="157" t="s">
        <v>6633</v>
      </c>
      <c r="D125" s="157" t="s">
        <v>7037</v>
      </c>
      <c r="E125" s="457" t="s">
        <v>2461</v>
      </c>
      <c r="F125" s="157" t="s">
        <v>7038</v>
      </c>
      <c r="G125" s="157" t="n">
        <v>47.2</v>
      </c>
      <c r="H125" s="157" t="n">
        <v>9201</v>
      </c>
      <c r="I125" s="457" t="n">
        <v>0</v>
      </c>
      <c r="J125" s="458" t="n">
        <v>27492</v>
      </c>
      <c r="K125" s="167" t="n">
        <v>3.15328095445948</v>
      </c>
      <c r="L125" s="175" t="n">
        <v>0</v>
      </c>
      <c r="M125" s="175" t="n">
        <v>0.0384704118122044</v>
      </c>
      <c r="N125" s="157" t="n">
        <v>1978</v>
      </c>
      <c r="O125" s="157" t="n">
        <v>3564</v>
      </c>
      <c r="P125" s="157" t="n">
        <v>0</v>
      </c>
      <c r="Q125" s="157" t="n">
        <v>16</v>
      </c>
      <c r="R125" s="157" t="n">
        <v>3</v>
      </c>
      <c r="S125" s="157" t="n">
        <v>4</v>
      </c>
      <c r="T125" s="457" t="s">
        <v>6680</v>
      </c>
      <c r="U125" s="157" t="n">
        <v>401</v>
      </c>
      <c r="V125" s="458" t="n">
        <v>44379</v>
      </c>
      <c r="W125" s="458" t="n">
        <v>44000</v>
      </c>
      <c r="X125" s="445" t="s">
        <v>6668</v>
      </c>
      <c r="Y125" s="458" t="n">
        <v>27000</v>
      </c>
      <c r="Z125" s="457" t="s">
        <v>6638</v>
      </c>
      <c r="AK125" s="459" t="s">
        <v>6661</v>
      </c>
    </row>
    <row r="126" s="157" customFormat="true" ht="12.75" hidden="false" customHeight="true" outlineLevel="0" collapsed="false">
      <c r="A126" s="456" t="n">
        <v>6</v>
      </c>
      <c r="B126" s="157" t="n">
        <v>121</v>
      </c>
      <c r="C126" s="157" t="s">
        <v>6633</v>
      </c>
      <c r="D126" s="157" t="s">
        <v>7039</v>
      </c>
      <c r="E126" s="457" t="s">
        <v>2461</v>
      </c>
      <c r="F126" s="157" t="s">
        <v>7040</v>
      </c>
      <c r="G126" s="157" t="n">
        <v>44.1</v>
      </c>
      <c r="H126" s="157" t="n">
        <v>9201</v>
      </c>
      <c r="I126" s="457" t="n">
        <v>5</v>
      </c>
      <c r="J126" s="458" t="n">
        <v>37044</v>
      </c>
      <c r="K126" s="167" t="n">
        <v>2.75186264982183</v>
      </c>
      <c r="L126" s="175" t="n">
        <v>0</v>
      </c>
      <c r="M126" s="175" t="n">
        <v>0</v>
      </c>
      <c r="N126" s="157" t="n">
        <v>1954</v>
      </c>
      <c r="O126" s="157" t="n">
        <v>7620</v>
      </c>
      <c r="P126" s="157" t="n">
        <v>0</v>
      </c>
      <c r="Q126" s="157" t="n">
        <v>16</v>
      </c>
      <c r="R126" s="157" t="n">
        <v>1</v>
      </c>
      <c r="S126" s="157" t="n">
        <v>1</v>
      </c>
      <c r="T126" s="457" t="s">
        <v>6680</v>
      </c>
      <c r="U126" s="157" t="n">
        <v>398</v>
      </c>
      <c r="V126" s="458" t="n">
        <v>91930</v>
      </c>
      <c r="W126" s="458" t="n">
        <v>92000</v>
      </c>
      <c r="X126" s="445" t="s">
        <v>6692</v>
      </c>
      <c r="Y126" s="458" t="n">
        <v>37000</v>
      </c>
      <c r="Z126" s="457" t="s">
        <v>6638</v>
      </c>
      <c r="AK126" s="459"/>
    </row>
    <row r="127" s="157" customFormat="true" ht="12.75" hidden="false" customHeight="true" outlineLevel="0" collapsed="false">
      <c r="A127" s="456" t="n">
        <v>6</v>
      </c>
      <c r="B127" s="157" t="n">
        <v>122</v>
      </c>
      <c r="C127" s="157" t="s">
        <v>6633</v>
      </c>
      <c r="D127" s="157" t="s">
        <v>7041</v>
      </c>
      <c r="E127" s="457" t="s">
        <v>2461</v>
      </c>
      <c r="F127" s="157" t="s">
        <v>7042</v>
      </c>
      <c r="G127" s="157" t="n">
        <v>47.2</v>
      </c>
      <c r="H127" s="157" t="n">
        <v>9201</v>
      </c>
      <c r="I127" s="457" t="n">
        <v>0</v>
      </c>
      <c r="J127" s="458" t="n">
        <v>33001</v>
      </c>
      <c r="K127" s="167" t="n">
        <v>5.45438017029787</v>
      </c>
      <c r="L127" s="175" t="n">
        <v>0</v>
      </c>
      <c r="M127" s="175" t="n">
        <v>0</v>
      </c>
      <c r="N127" s="157" t="n">
        <v>1958</v>
      </c>
      <c r="O127" s="157" t="n">
        <v>1215</v>
      </c>
      <c r="P127" s="157" t="n">
        <v>0</v>
      </c>
      <c r="Q127" s="157" t="n">
        <v>13</v>
      </c>
      <c r="R127" s="157" t="n">
        <v>3</v>
      </c>
      <c r="S127" s="157" t="n">
        <v>1</v>
      </c>
      <c r="T127" s="457" t="s">
        <v>6680</v>
      </c>
      <c r="U127" s="157" t="n">
        <v>401</v>
      </c>
      <c r="V127" s="458" t="n">
        <v>36515</v>
      </c>
      <c r="W127" s="458" t="n">
        <v>37000</v>
      </c>
      <c r="X127" s="445" t="s">
        <v>7043</v>
      </c>
      <c r="Y127" s="458" t="n">
        <v>33000</v>
      </c>
      <c r="Z127" s="457" t="s">
        <v>6638</v>
      </c>
      <c r="AD127" s="157" t="s">
        <v>7044</v>
      </c>
      <c r="AK127" s="459" t="s">
        <v>6665</v>
      </c>
    </row>
    <row r="128" s="157" customFormat="true" ht="12.75" hidden="false" customHeight="true" outlineLevel="0" collapsed="false">
      <c r="A128" s="456" t="n">
        <v>6</v>
      </c>
      <c r="B128" s="157" t="n">
        <v>123</v>
      </c>
      <c r="C128" s="157" t="s">
        <v>6633</v>
      </c>
      <c r="D128" s="157" t="s">
        <v>7045</v>
      </c>
      <c r="E128" s="457" t="s">
        <v>2461</v>
      </c>
      <c r="F128" s="157" t="s">
        <v>7046</v>
      </c>
      <c r="G128" s="157" t="n">
        <v>44.1</v>
      </c>
      <c r="H128" s="157" t="n">
        <v>9201</v>
      </c>
      <c r="I128" s="457" t="n">
        <v>0</v>
      </c>
      <c r="J128" s="458" t="n">
        <v>13968</v>
      </c>
      <c r="K128" s="167" t="n">
        <v>6.57142857142857</v>
      </c>
      <c r="L128" s="175" t="n">
        <v>0.25</v>
      </c>
      <c r="M128" s="175" t="n">
        <v>0.0289855072463768</v>
      </c>
      <c r="N128" s="157" t="n">
        <v>1946</v>
      </c>
      <c r="O128" s="157" t="n">
        <v>1650</v>
      </c>
      <c r="P128" s="157" t="n">
        <v>0</v>
      </c>
      <c r="Q128" s="157" t="n">
        <v>12</v>
      </c>
      <c r="R128" s="157" t="n">
        <v>3</v>
      </c>
      <c r="S128" s="157" t="n">
        <v>1</v>
      </c>
      <c r="T128" s="457" t="s">
        <v>6680</v>
      </c>
      <c r="U128" s="157" t="n">
        <v>398</v>
      </c>
      <c r="V128" s="458" t="n">
        <v>24533</v>
      </c>
      <c r="W128" s="458" t="n">
        <v>25000</v>
      </c>
      <c r="X128" s="445" t="s">
        <v>6863</v>
      </c>
      <c r="Y128" s="458" t="n">
        <v>14000</v>
      </c>
      <c r="Z128" s="457" t="s">
        <v>6638</v>
      </c>
      <c r="AD128" s="157" t="s">
        <v>7047</v>
      </c>
      <c r="AK128" s="459" t="s">
        <v>7048</v>
      </c>
    </row>
    <row r="129" s="157" customFormat="true" ht="25.5" hidden="false" customHeight="true" outlineLevel="0" collapsed="false">
      <c r="A129" s="456" t="n">
        <v>6</v>
      </c>
      <c r="B129" s="157" t="n">
        <v>124</v>
      </c>
      <c r="C129" s="157" t="s">
        <v>6633</v>
      </c>
      <c r="D129" s="157" t="s">
        <v>7049</v>
      </c>
      <c r="E129" s="457" t="s">
        <v>2461</v>
      </c>
      <c r="F129" s="157" t="s">
        <v>7050</v>
      </c>
      <c r="G129" s="157" t="n">
        <v>44.2</v>
      </c>
      <c r="H129" s="157" t="n">
        <v>9201</v>
      </c>
      <c r="I129" s="457" t="n">
        <v>0</v>
      </c>
      <c r="J129" s="458" t="n">
        <v>7200</v>
      </c>
      <c r="K129" s="167" t="n">
        <v>2</v>
      </c>
      <c r="L129" s="175" t="n">
        <v>0</v>
      </c>
      <c r="M129" s="175" t="n">
        <v>0</v>
      </c>
      <c r="N129" s="157" t="n">
        <v>1953</v>
      </c>
      <c r="O129" s="157" t="n">
        <v>800</v>
      </c>
      <c r="P129" s="157" t="n">
        <v>0</v>
      </c>
      <c r="Q129" s="157" t="n">
        <v>16</v>
      </c>
      <c r="R129" s="157" t="n">
        <v>1</v>
      </c>
      <c r="S129" s="157" t="n">
        <v>1</v>
      </c>
      <c r="T129" s="457" t="s">
        <v>6680</v>
      </c>
      <c r="U129" s="157" t="n">
        <v>398</v>
      </c>
      <c r="V129" s="458" t="n">
        <v>13800</v>
      </c>
      <c r="W129" s="458" t="n">
        <v>14000</v>
      </c>
      <c r="X129" s="445" t="s">
        <v>6675</v>
      </c>
      <c r="Y129" s="458" t="n">
        <v>7000</v>
      </c>
      <c r="Z129" s="457" t="s">
        <v>6638</v>
      </c>
      <c r="AD129" s="157" t="s">
        <v>7051</v>
      </c>
      <c r="AK129" s="459" t="s">
        <v>7052</v>
      </c>
    </row>
    <row r="130" s="157" customFormat="true" ht="12.75" hidden="false" customHeight="true" outlineLevel="0" collapsed="false">
      <c r="A130" s="456" t="n">
        <v>6</v>
      </c>
      <c r="B130" s="157" t="n">
        <v>125</v>
      </c>
      <c r="C130" s="157" t="s">
        <v>6633</v>
      </c>
      <c r="D130" s="157" t="s">
        <v>7053</v>
      </c>
      <c r="E130" s="457" t="s">
        <v>2461</v>
      </c>
      <c r="F130" s="157" t="s">
        <v>7054</v>
      </c>
      <c r="G130" s="157" t="n">
        <v>44.1</v>
      </c>
      <c r="H130" s="157" t="n">
        <v>9201</v>
      </c>
      <c r="I130" s="457" t="n">
        <v>0</v>
      </c>
      <c r="J130" s="458" t="n">
        <v>3500</v>
      </c>
      <c r="K130" s="167" t="n">
        <v>10.1376666666667</v>
      </c>
      <c r="L130" s="175" t="n">
        <v>0</v>
      </c>
      <c r="M130" s="175" t="n">
        <v>0.18538125143853</v>
      </c>
      <c r="N130" s="157" t="n">
        <v>1930</v>
      </c>
      <c r="O130" s="157" t="n">
        <v>0</v>
      </c>
      <c r="P130" s="157" t="n">
        <v>0</v>
      </c>
      <c r="Q130" s="157" t="n">
        <v>15</v>
      </c>
      <c r="R130" s="157" t="n">
        <v>7</v>
      </c>
      <c r="S130" s="157" t="n">
        <v>1</v>
      </c>
      <c r="T130" s="457" t="s">
        <v>6680</v>
      </c>
      <c r="U130" s="157" t="n">
        <v>399</v>
      </c>
      <c r="V130" s="458" t="n">
        <v>8100</v>
      </c>
      <c r="W130" s="458" t="n">
        <v>8000</v>
      </c>
      <c r="X130" s="445" t="s">
        <v>6646</v>
      </c>
      <c r="Y130" s="458" t="n">
        <v>4000</v>
      </c>
      <c r="Z130" s="457" t="s">
        <v>6638</v>
      </c>
      <c r="AD130" s="157" t="s">
        <v>7055</v>
      </c>
      <c r="AK130" s="459" t="s">
        <v>7056</v>
      </c>
    </row>
    <row r="131" s="157" customFormat="true" ht="12.75" hidden="false" customHeight="true" outlineLevel="0" collapsed="false">
      <c r="A131" s="456" t="n">
        <v>6</v>
      </c>
      <c r="B131" s="157" t="n">
        <v>126</v>
      </c>
      <c r="C131" s="157" t="s">
        <v>6633</v>
      </c>
      <c r="D131" s="157" t="s">
        <v>7057</v>
      </c>
      <c r="E131" s="457" t="s">
        <v>2461</v>
      </c>
      <c r="F131" s="157" t="s">
        <v>7058</v>
      </c>
      <c r="G131" s="157" t="n">
        <v>44.8</v>
      </c>
      <c r="H131" s="157" t="n">
        <v>9201</v>
      </c>
      <c r="I131" s="457" t="n">
        <v>0</v>
      </c>
      <c r="J131" s="458" t="n">
        <v>4381</v>
      </c>
      <c r="K131" s="167" t="n">
        <v>5.47820132389865</v>
      </c>
      <c r="L131" s="175" t="n">
        <v>0</v>
      </c>
      <c r="M131" s="175" t="n">
        <v>0</v>
      </c>
      <c r="N131" s="157" t="n">
        <v>1946</v>
      </c>
      <c r="O131" s="157" t="n">
        <v>720</v>
      </c>
      <c r="P131" s="157" t="n">
        <v>0</v>
      </c>
      <c r="Q131" s="157" t="n">
        <v>14</v>
      </c>
      <c r="R131" s="157" t="n">
        <v>4</v>
      </c>
      <c r="S131" s="157" t="n">
        <v>1</v>
      </c>
      <c r="T131" s="457" t="s">
        <v>6680</v>
      </c>
      <c r="U131" s="157" t="n">
        <v>398</v>
      </c>
      <c r="V131" s="458" t="n">
        <v>8241</v>
      </c>
      <c r="W131" s="458" t="n">
        <v>8000</v>
      </c>
      <c r="X131" s="445" t="s">
        <v>6675</v>
      </c>
      <c r="Y131" s="458" t="n">
        <v>4000</v>
      </c>
      <c r="Z131" s="457" t="s">
        <v>6638</v>
      </c>
      <c r="AD131" s="157" t="s">
        <v>7059</v>
      </c>
      <c r="AK131" s="459" t="s">
        <v>6661</v>
      </c>
    </row>
    <row r="132" s="157" customFormat="true" ht="12.75" hidden="false" customHeight="true" outlineLevel="0" collapsed="false">
      <c r="A132" s="456" t="n">
        <v>6</v>
      </c>
      <c r="B132" s="157" t="n">
        <v>127</v>
      </c>
      <c r="C132" s="157" t="s">
        <v>6633</v>
      </c>
      <c r="D132" s="157" t="s">
        <v>7060</v>
      </c>
      <c r="E132" s="457" t="s">
        <v>2461</v>
      </c>
      <c r="F132" s="157" t="s">
        <v>7058</v>
      </c>
      <c r="G132" s="157" t="n">
        <v>44.8</v>
      </c>
      <c r="H132" s="157" t="n">
        <v>9201</v>
      </c>
      <c r="I132" s="457" t="n">
        <v>0</v>
      </c>
      <c r="J132" s="458" t="n">
        <v>2071</v>
      </c>
      <c r="K132" s="167" t="n">
        <v>5.14244326412361</v>
      </c>
      <c r="L132" s="175" t="n">
        <v>0</v>
      </c>
      <c r="M132" s="175" t="n">
        <v>0.326760563380282</v>
      </c>
      <c r="N132" s="157" t="n">
        <v>1946</v>
      </c>
      <c r="O132" s="157" t="n">
        <v>160</v>
      </c>
      <c r="P132" s="157" t="n">
        <v>0</v>
      </c>
      <c r="Q132" s="157" t="n">
        <v>14</v>
      </c>
      <c r="R132" s="157" t="n">
        <v>4</v>
      </c>
      <c r="S132" s="157" t="n">
        <v>1</v>
      </c>
      <c r="T132" s="457" t="s">
        <v>6680</v>
      </c>
      <c r="U132" s="157" t="n">
        <v>398</v>
      </c>
      <c r="V132" s="458" t="n">
        <v>3850</v>
      </c>
      <c r="W132" s="458" t="n">
        <v>4000</v>
      </c>
      <c r="X132" s="445" t="s">
        <v>6675</v>
      </c>
      <c r="Y132" s="458" t="n">
        <v>2000</v>
      </c>
      <c r="Z132" s="457" t="s">
        <v>6638</v>
      </c>
      <c r="AD132" s="157" t="s">
        <v>7061</v>
      </c>
      <c r="AK132" s="459" t="s">
        <v>7062</v>
      </c>
    </row>
    <row r="133" s="157" customFormat="true" ht="12.75" hidden="false" customHeight="true" outlineLevel="0" collapsed="false">
      <c r="A133" s="456" t="n">
        <v>6</v>
      </c>
      <c r="B133" s="157" t="n">
        <v>128</v>
      </c>
      <c r="C133" s="157" t="s">
        <v>6633</v>
      </c>
      <c r="D133" s="157" t="s">
        <v>7063</v>
      </c>
      <c r="E133" s="457" t="s">
        <v>2461</v>
      </c>
      <c r="F133" s="157" t="s">
        <v>7064</v>
      </c>
      <c r="G133" s="157" t="n">
        <v>44.1</v>
      </c>
      <c r="H133" s="157" t="n">
        <v>9201</v>
      </c>
      <c r="I133" s="457" t="n">
        <v>0</v>
      </c>
      <c r="J133" s="458" t="n">
        <v>18027</v>
      </c>
      <c r="K133" s="167" t="n">
        <v>4.65967715094026</v>
      </c>
      <c r="L133" s="175" t="n">
        <v>0</v>
      </c>
      <c r="M133" s="175" t="n">
        <v>0</v>
      </c>
      <c r="N133" s="157" t="n">
        <v>1951</v>
      </c>
      <c r="O133" s="157" t="n">
        <v>6393</v>
      </c>
      <c r="P133" s="157" t="n">
        <v>0</v>
      </c>
      <c r="Q133" s="157" t="n">
        <v>14</v>
      </c>
      <c r="R133" s="157" t="n">
        <v>1</v>
      </c>
      <c r="S133" s="157" t="n">
        <v>1</v>
      </c>
      <c r="T133" s="457" t="s">
        <v>6636</v>
      </c>
      <c r="U133" s="157" t="n">
        <v>398</v>
      </c>
      <c r="V133" s="458" t="n">
        <v>62177</v>
      </c>
      <c r="W133" s="458" t="n">
        <v>62000</v>
      </c>
      <c r="X133" s="445" t="s">
        <v>7065</v>
      </c>
      <c r="Y133" s="458" t="n">
        <v>18000</v>
      </c>
      <c r="Z133" s="457" t="s">
        <v>6638</v>
      </c>
      <c r="AD133" s="157" t="s">
        <v>7066</v>
      </c>
      <c r="AK133" s="459"/>
    </row>
    <row r="134" s="157" customFormat="true" ht="25.5" hidden="false" customHeight="true" outlineLevel="0" collapsed="false">
      <c r="A134" s="456" t="n">
        <v>6</v>
      </c>
      <c r="B134" s="157" t="n">
        <v>129</v>
      </c>
      <c r="C134" s="157" t="s">
        <v>6633</v>
      </c>
      <c r="D134" s="157" t="s">
        <v>7067</v>
      </c>
      <c r="E134" s="457" t="s">
        <v>2461</v>
      </c>
      <c r="F134" s="157" t="s">
        <v>7068</v>
      </c>
      <c r="G134" s="157" t="n">
        <v>46.2</v>
      </c>
      <c r="H134" s="157" t="n">
        <v>9201</v>
      </c>
      <c r="I134" s="457" t="n">
        <v>0</v>
      </c>
      <c r="J134" s="458" t="n">
        <v>33194</v>
      </c>
      <c r="K134" s="167" t="n">
        <v>7.42517219787101</v>
      </c>
      <c r="L134" s="175" t="n">
        <v>0.04</v>
      </c>
      <c r="M134" s="175" t="n">
        <v>0</v>
      </c>
      <c r="N134" s="157" t="n">
        <v>1958</v>
      </c>
      <c r="O134" s="157" t="n">
        <v>2768</v>
      </c>
      <c r="P134" s="157" t="n">
        <v>0</v>
      </c>
      <c r="Q134" s="157" t="n">
        <v>17</v>
      </c>
      <c r="R134" s="157" t="n">
        <v>1</v>
      </c>
      <c r="S134" s="157" t="n">
        <v>1</v>
      </c>
      <c r="T134" s="457" t="s">
        <v>6680</v>
      </c>
      <c r="U134" s="157" t="n">
        <v>391</v>
      </c>
      <c r="V134" s="458" t="n">
        <v>47376</v>
      </c>
      <c r="W134" s="458" t="n">
        <v>47000</v>
      </c>
      <c r="X134" s="445" t="s">
        <v>6710</v>
      </c>
      <c r="Y134" s="458" t="n">
        <v>33000</v>
      </c>
      <c r="Z134" s="457" t="s">
        <v>6638</v>
      </c>
      <c r="AD134" s="157" t="s">
        <v>7069</v>
      </c>
      <c r="AK134" s="459" t="s">
        <v>7070</v>
      </c>
    </row>
    <row r="135" s="157" customFormat="true" ht="25.5" hidden="false" customHeight="true" outlineLevel="0" collapsed="false">
      <c r="A135" s="456" t="n">
        <v>6</v>
      </c>
      <c r="B135" s="157" t="n">
        <v>130</v>
      </c>
      <c r="C135" s="157" t="s">
        <v>6633</v>
      </c>
      <c r="D135" s="157" t="s">
        <v>7071</v>
      </c>
      <c r="E135" s="457" t="s">
        <v>2461</v>
      </c>
      <c r="F135" s="157" t="s">
        <v>7072</v>
      </c>
      <c r="G135" s="157" t="n">
        <v>44.2</v>
      </c>
      <c r="H135" s="157" t="n">
        <v>9201</v>
      </c>
      <c r="I135" s="457" t="n">
        <v>0</v>
      </c>
      <c r="J135" s="458" t="n">
        <v>10591</v>
      </c>
      <c r="K135" s="167" t="n">
        <v>4.81540930979133</v>
      </c>
      <c r="L135" s="175" t="n">
        <v>0</v>
      </c>
      <c r="M135" s="175" t="n">
        <v>0</v>
      </c>
      <c r="N135" s="157" t="n">
        <v>1970</v>
      </c>
      <c r="O135" s="157" t="n">
        <v>760</v>
      </c>
      <c r="P135" s="157" t="n">
        <v>0</v>
      </c>
      <c r="Q135" s="157" t="n">
        <v>13</v>
      </c>
      <c r="R135" s="157" t="n">
        <v>3</v>
      </c>
      <c r="S135" s="157" t="n">
        <v>1</v>
      </c>
      <c r="T135" s="457" t="s">
        <v>6636</v>
      </c>
      <c r="U135" s="157" t="n">
        <v>398</v>
      </c>
      <c r="V135" s="458" t="n">
        <v>19013</v>
      </c>
      <c r="W135" s="458" t="n">
        <v>19000</v>
      </c>
      <c r="X135" s="445" t="s">
        <v>6863</v>
      </c>
      <c r="Y135" s="458" t="n">
        <v>11000</v>
      </c>
      <c r="Z135" s="457" t="s">
        <v>6638</v>
      </c>
      <c r="AD135" s="157" t="s">
        <v>7073</v>
      </c>
      <c r="AK135" s="459" t="s">
        <v>7074</v>
      </c>
    </row>
    <row r="136" s="157" customFormat="true" ht="12.75" hidden="false" customHeight="true" outlineLevel="0" collapsed="false">
      <c r="A136" s="456" t="n">
        <v>6</v>
      </c>
      <c r="B136" s="157" t="n">
        <v>131</v>
      </c>
      <c r="C136" s="157" t="s">
        <v>6633</v>
      </c>
      <c r="D136" s="157" t="s">
        <v>7075</v>
      </c>
      <c r="E136" s="457" t="s">
        <v>2461</v>
      </c>
      <c r="F136" s="157" t="s">
        <v>7076</v>
      </c>
      <c r="G136" s="157" t="n">
        <v>44.2</v>
      </c>
      <c r="H136" s="157" t="n">
        <v>9201</v>
      </c>
      <c r="I136" s="457" t="n">
        <v>0</v>
      </c>
      <c r="J136" s="458" t="n">
        <v>9177</v>
      </c>
      <c r="K136" s="167" t="n">
        <v>4.38313174239948</v>
      </c>
      <c r="L136" s="175" t="n">
        <v>0</v>
      </c>
      <c r="M136" s="175" t="n">
        <v>0</v>
      </c>
      <c r="N136" s="157" t="n">
        <v>1958</v>
      </c>
      <c r="O136" s="157" t="n">
        <v>598</v>
      </c>
      <c r="P136" s="157" t="n">
        <v>0</v>
      </c>
      <c r="Q136" s="157" t="n">
        <v>12</v>
      </c>
      <c r="R136" s="157" t="n">
        <v>3</v>
      </c>
      <c r="S136" s="157" t="n">
        <v>1</v>
      </c>
      <c r="T136" s="457" t="s">
        <v>6680</v>
      </c>
      <c r="U136" s="157" t="n">
        <v>398</v>
      </c>
      <c r="V136" s="458" t="n">
        <v>25653</v>
      </c>
      <c r="W136" s="458" t="n">
        <v>26000</v>
      </c>
      <c r="X136" s="445" t="s">
        <v>6664</v>
      </c>
      <c r="Y136" s="458" t="n">
        <v>9000</v>
      </c>
      <c r="Z136" s="457" t="s">
        <v>6638</v>
      </c>
      <c r="AD136" s="157" t="s">
        <v>7077</v>
      </c>
      <c r="AK136" s="459"/>
    </row>
    <row r="137" s="157" customFormat="true" ht="25.5" hidden="false" customHeight="true" outlineLevel="0" collapsed="false">
      <c r="A137" s="456" t="n">
        <v>6</v>
      </c>
      <c r="B137" s="157" t="n">
        <v>132</v>
      </c>
      <c r="C137" s="157" t="s">
        <v>6633</v>
      </c>
      <c r="D137" s="157" t="s">
        <v>7078</v>
      </c>
      <c r="E137" s="457" t="s">
        <v>2461</v>
      </c>
      <c r="F137" s="157" t="s">
        <v>7079</v>
      </c>
      <c r="G137" s="157" t="n">
        <v>44.1</v>
      </c>
      <c r="H137" s="157" t="n">
        <v>9201</v>
      </c>
      <c r="I137" s="457" t="n">
        <v>0</v>
      </c>
      <c r="J137" s="458" t="n">
        <v>20520</v>
      </c>
      <c r="K137" s="167" t="n">
        <v>5.57076023391813</v>
      </c>
      <c r="L137" s="175" t="n">
        <v>0</v>
      </c>
      <c r="M137" s="175" t="n">
        <v>0</v>
      </c>
      <c r="N137" s="157" t="n">
        <v>1967</v>
      </c>
      <c r="O137" s="157" t="n">
        <v>3980</v>
      </c>
      <c r="P137" s="157" t="n">
        <v>0</v>
      </c>
      <c r="Q137" s="157" t="n">
        <v>0</v>
      </c>
      <c r="R137" s="157" t="n">
        <v>4</v>
      </c>
      <c r="S137" s="157" t="n">
        <v>1</v>
      </c>
      <c r="T137" s="457" t="s">
        <v>6636</v>
      </c>
      <c r="U137" s="157" t="n">
        <v>398</v>
      </c>
      <c r="V137" s="458" t="n">
        <v>93179</v>
      </c>
      <c r="W137" s="458" t="n">
        <v>93000</v>
      </c>
      <c r="X137" s="445" t="s">
        <v>7080</v>
      </c>
      <c r="Y137" s="458" t="n">
        <v>21000</v>
      </c>
      <c r="Z137" s="457" t="s">
        <v>6638</v>
      </c>
      <c r="AD137" s="157" t="s">
        <v>7081</v>
      </c>
      <c r="AK137" s="459" t="s">
        <v>7082</v>
      </c>
    </row>
    <row r="138" s="157" customFormat="true" ht="12.75" hidden="false" customHeight="true" outlineLevel="0" collapsed="false">
      <c r="A138" s="456" t="n">
        <v>6</v>
      </c>
      <c r="B138" s="157" t="n">
        <v>133</v>
      </c>
      <c r="C138" s="157" t="s">
        <v>6633</v>
      </c>
      <c r="D138" s="157" t="s">
        <v>7083</v>
      </c>
      <c r="E138" s="457" t="s">
        <v>2461</v>
      </c>
      <c r="F138" s="157" t="s">
        <v>7084</v>
      </c>
      <c r="G138" s="157" t="n">
        <v>44.1</v>
      </c>
      <c r="H138" s="157" t="n">
        <v>9210</v>
      </c>
      <c r="I138" s="457" t="n">
        <v>0</v>
      </c>
      <c r="J138" s="458" t="n">
        <v>8312</v>
      </c>
      <c r="K138" s="167" t="n">
        <v>4.45139557266603</v>
      </c>
      <c r="L138" s="175" t="n">
        <v>0</v>
      </c>
      <c r="M138" s="175" t="n">
        <v>0.027027027027027</v>
      </c>
      <c r="N138" s="157" t="n">
        <v>1958</v>
      </c>
      <c r="O138" s="157" t="n">
        <v>1137</v>
      </c>
      <c r="P138" s="157" t="n">
        <v>0</v>
      </c>
      <c r="Q138" s="157" t="n">
        <v>14</v>
      </c>
      <c r="R138" s="157" t="n">
        <v>3</v>
      </c>
      <c r="S138" s="157" t="n">
        <v>1</v>
      </c>
      <c r="T138" s="457" t="s">
        <v>6636</v>
      </c>
      <c r="U138" s="157" t="n">
        <v>398</v>
      </c>
      <c r="V138" s="458" t="n">
        <v>12488</v>
      </c>
      <c r="W138" s="458" t="n">
        <v>12000</v>
      </c>
      <c r="X138" s="445" t="s">
        <v>6837</v>
      </c>
      <c r="Y138" s="458" t="n">
        <v>8000</v>
      </c>
      <c r="Z138" s="457" t="s">
        <v>6638</v>
      </c>
      <c r="AD138" s="157" t="s">
        <v>7085</v>
      </c>
      <c r="AK138" s="459"/>
    </row>
    <row r="139" s="157" customFormat="true" ht="12.75" hidden="false" customHeight="true" outlineLevel="0" collapsed="false">
      <c r="A139" s="456" t="n">
        <v>6</v>
      </c>
      <c r="B139" s="157" t="n">
        <v>134</v>
      </c>
      <c r="C139" s="157" t="s">
        <v>6633</v>
      </c>
      <c r="D139" s="157" t="s">
        <v>7086</v>
      </c>
      <c r="E139" s="457" t="s">
        <v>2461</v>
      </c>
      <c r="F139" s="157" t="s">
        <v>7087</v>
      </c>
      <c r="G139" s="157" t="n">
        <v>44.1</v>
      </c>
      <c r="H139" s="157" t="n">
        <v>9210</v>
      </c>
      <c r="I139" s="457" t="n">
        <v>0</v>
      </c>
      <c r="J139" s="458" t="n">
        <v>7668</v>
      </c>
      <c r="K139" s="167" t="n">
        <v>12</v>
      </c>
      <c r="L139" s="175" t="n">
        <v>0</v>
      </c>
      <c r="M139" s="175" t="n">
        <v>0.2854</v>
      </c>
      <c r="N139" s="157" t="n">
        <v>1948</v>
      </c>
      <c r="O139" s="157" t="n">
        <v>1800</v>
      </c>
      <c r="P139" s="157" t="n">
        <v>0</v>
      </c>
      <c r="Q139" s="157" t="n">
        <v>20</v>
      </c>
      <c r="R139" s="157" t="n">
        <v>3</v>
      </c>
      <c r="S139" s="157" t="n">
        <v>1</v>
      </c>
      <c r="T139" s="457" t="s">
        <v>7088</v>
      </c>
      <c r="U139" s="157" t="n">
        <v>398</v>
      </c>
      <c r="V139" s="458" t="n">
        <v>18830</v>
      </c>
      <c r="W139" s="458" t="n">
        <v>19000</v>
      </c>
      <c r="X139" s="445" t="s">
        <v>6692</v>
      </c>
      <c r="Y139" s="458" t="n">
        <v>8000</v>
      </c>
      <c r="Z139" s="457" t="s">
        <v>6638</v>
      </c>
      <c r="AD139" s="157" t="s">
        <v>7089</v>
      </c>
      <c r="AK139" s="459" t="s">
        <v>6661</v>
      </c>
    </row>
    <row r="140" s="157" customFormat="true" ht="12.75" hidden="false" customHeight="true" outlineLevel="0" collapsed="false">
      <c r="A140" s="456" t="n">
        <v>6</v>
      </c>
      <c r="B140" s="157" t="n">
        <v>135</v>
      </c>
      <c r="C140" s="157" t="s">
        <v>6633</v>
      </c>
      <c r="D140" s="157" t="s">
        <v>7090</v>
      </c>
      <c r="E140" s="457" t="s">
        <v>2461</v>
      </c>
      <c r="F140" s="157" t="s">
        <v>7091</v>
      </c>
      <c r="G140" s="157" t="n">
        <v>44.1</v>
      </c>
      <c r="H140" s="157" t="n">
        <v>9210</v>
      </c>
      <c r="I140" s="457" t="n">
        <v>0</v>
      </c>
      <c r="J140" s="458" t="n">
        <v>4400</v>
      </c>
      <c r="K140" s="167" t="n">
        <v>7.09090909090909</v>
      </c>
      <c r="L140" s="175" t="n">
        <v>0</v>
      </c>
      <c r="M140" s="175" t="n">
        <v>0.0206730769230769</v>
      </c>
      <c r="N140" s="157" t="n">
        <v>1954</v>
      </c>
      <c r="O140" s="157" t="n">
        <v>247</v>
      </c>
      <c r="P140" s="157" t="n">
        <v>0</v>
      </c>
      <c r="Q140" s="157" t="n">
        <v>13</v>
      </c>
      <c r="R140" s="157" t="n">
        <v>3</v>
      </c>
      <c r="S140" s="157" t="n">
        <v>1</v>
      </c>
      <c r="T140" s="457" t="s">
        <v>6847</v>
      </c>
      <c r="U140" s="157" t="n">
        <v>398</v>
      </c>
      <c r="V140" s="458" t="n">
        <v>17625</v>
      </c>
      <c r="W140" s="458" t="n">
        <v>18000</v>
      </c>
      <c r="X140" s="445" t="s">
        <v>6927</v>
      </c>
      <c r="Y140" s="458" t="n">
        <v>4000</v>
      </c>
      <c r="Z140" s="457" t="s">
        <v>6638</v>
      </c>
      <c r="AD140" s="157" t="s">
        <v>7092</v>
      </c>
      <c r="AK140" s="459" t="s">
        <v>6665</v>
      </c>
    </row>
    <row r="141" s="157" customFormat="true" ht="25.5" hidden="false" customHeight="true" outlineLevel="0" collapsed="false">
      <c r="A141" s="456" t="n">
        <v>6</v>
      </c>
      <c r="B141" s="157" t="n">
        <v>136</v>
      </c>
      <c r="C141" s="157" t="s">
        <v>6633</v>
      </c>
      <c r="D141" s="157" t="s">
        <v>7093</v>
      </c>
      <c r="E141" s="457" t="s">
        <v>2461</v>
      </c>
      <c r="F141" s="157" t="s">
        <v>7094</v>
      </c>
      <c r="G141" s="157" t="n">
        <v>44.2</v>
      </c>
      <c r="H141" s="157" t="n">
        <v>9210</v>
      </c>
      <c r="I141" s="457" t="n">
        <v>0</v>
      </c>
      <c r="J141" s="458" t="n">
        <v>5340</v>
      </c>
      <c r="K141" s="167" t="n">
        <v>5.61797752808989</v>
      </c>
      <c r="L141" s="175" t="n">
        <v>0</v>
      </c>
      <c r="M141" s="175" t="n">
        <v>0</v>
      </c>
      <c r="N141" s="157" t="n">
        <v>1955</v>
      </c>
      <c r="O141" s="157" t="n">
        <v>2960</v>
      </c>
      <c r="P141" s="157" t="n">
        <v>0</v>
      </c>
      <c r="Q141" s="157" t="n">
        <v>16</v>
      </c>
      <c r="R141" s="157" t="n">
        <v>3</v>
      </c>
      <c r="S141" s="157" t="n">
        <v>1</v>
      </c>
      <c r="T141" s="457" t="s">
        <v>6847</v>
      </c>
      <c r="U141" s="157" t="n">
        <v>398</v>
      </c>
      <c r="V141" s="458" t="n">
        <v>6250</v>
      </c>
      <c r="W141" s="458" t="n">
        <v>6000</v>
      </c>
      <c r="X141" s="445" t="s">
        <v>6900</v>
      </c>
      <c r="Y141" s="458" t="n">
        <v>5000</v>
      </c>
      <c r="Z141" s="457" t="s">
        <v>6638</v>
      </c>
      <c r="AK141" s="459" t="s">
        <v>7095</v>
      </c>
    </row>
    <row r="142" s="157" customFormat="true" ht="25.5" hidden="false" customHeight="true" outlineLevel="0" collapsed="false">
      <c r="A142" s="456" t="n">
        <v>6</v>
      </c>
      <c r="B142" s="157" t="n">
        <v>137</v>
      </c>
      <c r="C142" s="157" t="s">
        <v>6633</v>
      </c>
      <c r="D142" s="157" t="s">
        <v>7096</v>
      </c>
      <c r="E142" s="457" t="s">
        <v>2461</v>
      </c>
      <c r="F142" s="157" t="s">
        <v>7097</v>
      </c>
      <c r="G142" s="157" t="n">
        <v>44.2</v>
      </c>
      <c r="H142" s="157" t="n">
        <v>9210</v>
      </c>
      <c r="I142" s="457" t="n">
        <v>0</v>
      </c>
      <c r="J142" s="458" t="n">
        <v>5015</v>
      </c>
      <c r="K142" s="167" t="n">
        <v>5.93180458624128</v>
      </c>
      <c r="L142" s="175" t="n">
        <v>0</v>
      </c>
      <c r="M142" s="175" t="n">
        <v>0</v>
      </c>
      <c r="N142" s="157" t="n">
        <v>1950</v>
      </c>
      <c r="O142" s="157" t="n">
        <v>0</v>
      </c>
      <c r="P142" s="157" t="n">
        <v>0</v>
      </c>
      <c r="Q142" s="157" t="n">
        <v>14</v>
      </c>
      <c r="R142" s="157" t="n">
        <v>3</v>
      </c>
      <c r="S142" s="157" t="n">
        <v>2</v>
      </c>
      <c r="T142" s="457" t="s">
        <v>6847</v>
      </c>
      <c r="U142" s="157" t="n">
        <v>398</v>
      </c>
      <c r="V142" s="458" t="n">
        <v>6250</v>
      </c>
      <c r="W142" s="458" t="n">
        <v>6000</v>
      </c>
      <c r="X142" s="445" t="s">
        <v>6900</v>
      </c>
      <c r="Y142" s="458" t="n">
        <v>5000</v>
      </c>
      <c r="Z142" s="457" t="s">
        <v>6638</v>
      </c>
      <c r="AD142" s="157" t="s">
        <v>7098</v>
      </c>
      <c r="AK142" s="459" t="s">
        <v>7099</v>
      </c>
    </row>
    <row r="143" s="157" customFormat="true" ht="12.75" hidden="false" customHeight="true" outlineLevel="0" collapsed="false">
      <c r="A143" s="456" t="n">
        <v>6</v>
      </c>
      <c r="B143" s="157" t="n">
        <v>138</v>
      </c>
      <c r="C143" s="157" t="s">
        <v>6633</v>
      </c>
      <c r="D143" s="157" t="s">
        <v>7100</v>
      </c>
      <c r="E143" s="457" t="s">
        <v>2461</v>
      </c>
      <c r="F143" s="157" t="s">
        <v>7101</v>
      </c>
      <c r="G143" s="157" t="n">
        <v>44.1</v>
      </c>
      <c r="H143" s="157" t="n">
        <v>9210</v>
      </c>
      <c r="I143" s="457" t="n">
        <v>0</v>
      </c>
      <c r="J143" s="458" t="n">
        <v>9880</v>
      </c>
      <c r="K143" s="167" t="n">
        <v>6.78137651821862</v>
      </c>
      <c r="L143" s="175" t="n">
        <v>0.35</v>
      </c>
      <c r="M143" s="175" t="n">
        <v>0</v>
      </c>
      <c r="N143" s="157" t="n">
        <v>1973</v>
      </c>
      <c r="O143" s="157" t="n">
        <v>384</v>
      </c>
      <c r="P143" s="157" t="n">
        <v>0</v>
      </c>
      <c r="Q143" s="157" t="n">
        <v>15</v>
      </c>
      <c r="R143" s="157" t="n">
        <v>3</v>
      </c>
      <c r="S143" s="157" t="n">
        <v>1</v>
      </c>
      <c r="T143" s="457" t="s">
        <v>7102</v>
      </c>
      <c r="U143" s="157" t="n">
        <v>398</v>
      </c>
      <c r="V143" s="458" t="n">
        <v>12500</v>
      </c>
      <c r="W143" s="458" t="n">
        <v>13000</v>
      </c>
      <c r="X143" s="445" t="s">
        <v>7103</v>
      </c>
      <c r="Y143" s="458" t="n">
        <v>10000</v>
      </c>
      <c r="Z143" s="457" t="s">
        <v>6638</v>
      </c>
      <c r="AK143" s="459" t="s">
        <v>7104</v>
      </c>
    </row>
    <row r="144" s="157" customFormat="true" ht="25.5" hidden="false" customHeight="true" outlineLevel="0" collapsed="false">
      <c r="A144" s="456" t="n">
        <v>6</v>
      </c>
      <c r="B144" s="157" t="n">
        <v>139</v>
      </c>
      <c r="C144" s="157" t="s">
        <v>6633</v>
      </c>
      <c r="D144" s="157" t="s">
        <v>7105</v>
      </c>
      <c r="E144" s="457" t="s">
        <v>2461</v>
      </c>
      <c r="F144" s="157" t="s">
        <v>7106</v>
      </c>
      <c r="G144" s="157" t="s">
        <v>7011</v>
      </c>
      <c r="H144" s="157" t="n">
        <v>9210</v>
      </c>
      <c r="I144" s="457" t="n">
        <v>0</v>
      </c>
      <c r="J144" s="458" t="n">
        <v>21350</v>
      </c>
      <c r="K144" s="167" t="n">
        <v>8.98004683840749</v>
      </c>
      <c r="L144" s="175" t="n">
        <v>0</v>
      </c>
      <c r="M144" s="175" t="n">
        <v>0.353367340552044</v>
      </c>
      <c r="N144" s="157" t="n">
        <v>1950</v>
      </c>
      <c r="O144" s="157" t="n">
        <v>0</v>
      </c>
      <c r="P144" s="157" t="n">
        <v>0</v>
      </c>
      <c r="Q144" s="157" t="n">
        <v>11</v>
      </c>
      <c r="R144" s="157" t="n">
        <v>1</v>
      </c>
      <c r="S144" s="157" t="n">
        <v>85</v>
      </c>
      <c r="T144" s="457" t="s">
        <v>6636</v>
      </c>
      <c r="U144" s="157" t="n">
        <v>396</v>
      </c>
      <c r="V144" s="458" t="n">
        <v>31250</v>
      </c>
      <c r="W144" s="458" t="n">
        <v>31000</v>
      </c>
      <c r="X144" s="445" t="s">
        <v>6837</v>
      </c>
      <c r="Y144" s="458" t="n">
        <v>21000</v>
      </c>
      <c r="Z144" s="457" t="s">
        <v>6638</v>
      </c>
      <c r="AD144" s="157" t="s">
        <v>7107</v>
      </c>
      <c r="AK144" s="459" t="s">
        <v>7108</v>
      </c>
    </row>
    <row r="145" s="157" customFormat="true" ht="12.75" hidden="false" customHeight="true" outlineLevel="0" collapsed="false">
      <c r="A145" s="456" t="n">
        <v>6</v>
      </c>
      <c r="B145" s="157" t="n">
        <v>140</v>
      </c>
      <c r="C145" s="157" t="s">
        <v>6633</v>
      </c>
      <c r="D145" s="157" t="s">
        <v>7109</v>
      </c>
      <c r="E145" s="457" t="s">
        <v>2461</v>
      </c>
      <c r="F145" s="157" t="s">
        <v>7110</v>
      </c>
      <c r="G145" s="157" t="n">
        <v>44.1</v>
      </c>
      <c r="H145" s="157" t="n">
        <v>9210</v>
      </c>
      <c r="I145" s="457" t="n">
        <v>0</v>
      </c>
      <c r="J145" s="458" t="n">
        <v>2501</v>
      </c>
      <c r="K145" s="167" t="n">
        <v>18.4006397441024</v>
      </c>
      <c r="L145" s="175" t="n">
        <v>0</v>
      </c>
      <c r="M145" s="175" t="n">
        <v>0</v>
      </c>
      <c r="N145" s="157" t="n">
        <v>1932</v>
      </c>
      <c r="O145" s="157" t="n">
        <v>722</v>
      </c>
      <c r="P145" s="157" t="n">
        <v>0</v>
      </c>
      <c r="Q145" s="157" t="n">
        <v>12</v>
      </c>
      <c r="R145" s="157" t="n">
        <v>1</v>
      </c>
      <c r="S145" s="157" t="n">
        <v>1</v>
      </c>
      <c r="T145" s="457" t="s">
        <v>7111</v>
      </c>
      <c r="U145" s="157" t="n">
        <v>398</v>
      </c>
      <c r="V145" s="458" t="n">
        <v>6250</v>
      </c>
      <c r="W145" s="458" t="n">
        <v>6000</v>
      </c>
      <c r="X145" s="445" t="s">
        <v>6692</v>
      </c>
      <c r="Y145" s="458" t="n">
        <v>3000</v>
      </c>
      <c r="Z145" s="457" t="s">
        <v>6638</v>
      </c>
      <c r="AD145" s="157" t="s">
        <v>7112</v>
      </c>
      <c r="AK145" s="459" t="s">
        <v>6665</v>
      </c>
    </row>
    <row r="146" s="157" customFormat="true" ht="25.5" hidden="false" customHeight="true" outlineLevel="0" collapsed="false">
      <c r="A146" s="456" t="n">
        <v>6</v>
      </c>
      <c r="B146" s="157" t="n">
        <v>141</v>
      </c>
      <c r="C146" s="157" t="s">
        <v>6633</v>
      </c>
      <c r="D146" s="157" t="s">
        <v>7113</v>
      </c>
      <c r="E146" s="457" t="s">
        <v>2461</v>
      </c>
      <c r="F146" s="157" t="s">
        <v>7114</v>
      </c>
      <c r="G146" s="157" t="n">
        <v>44.1</v>
      </c>
      <c r="H146" s="157" t="n">
        <v>9210</v>
      </c>
      <c r="I146" s="457" t="n">
        <v>0</v>
      </c>
      <c r="J146" s="458" t="n">
        <v>7464</v>
      </c>
      <c r="K146" s="167" t="n">
        <v>4.5016077170418</v>
      </c>
      <c r="L146" s="175" t="n">
        <v>0</v>
      </c>
      <c r="M146" s="175" t="n">
        <v>0</v>
      </c>
      <c r="N146" s="157" t="n">
        <v>1931</v>
      </c>
      <c r="O146" s="157" t="n">
        <v>180</v>
      </c>
      <c r="P146" s="157" t="n">
        <v>0</v>
      </c>
      <c r="Q146" s="157" t="n">
        <v>14</v>
      </c>
      <c r="R146" s="157" t="n">
        <v>7</v>
      </c>
      <c r="S146" s="157" t="n">
        <v>1</v>
      </c>
      <c r="T146" s="457" t="s">
        <v>7115</v>
      </c>
      <c r="U146" s="157" t="n">
        <v>398</v>
      </c>
      <c r="V146" s="458" t="n">
        <v>12500</v>
      </c>
      <c r="W146" s="458" t="n">
        <v>13000</v>
      </c>
      <c r="X146" s="445" t="s">
        <v>6954</v>
      </c>
      <c r="Y146" s="458" t="n">
        <v>7000</v>
      </c>
      <c r="Z146" s="457" t="s">
        <v>6638</v>
      </c>
      <c r="AD146" s="157" t="s">
        <v>7116</v>
      </c>
      <c r="AK146" s="459" t="s">
        <v>7117</v>
      </c>
    </row>
    <row r="147" s="157" customFormat="true" ht="12.75" hidden="false" customHeight="true" outlineLevel="0" collapsed="false">
      <c r="A147" s="456" t="n">
        <v>6</v>
      </c>
      <c r="B147" s="157" t="n">
        <v>142</v>
      </c>
      <c r="C147" s="157" t="s">
        <v>6633</v>
      </c>
      <c r="D147" s="157" t="s">
        <v>7118</v>
      </c>
      <c r="E147" s="457" t="s">
        <v>2461</v>
      </c>
      <c r="F147" s="157" t="s">
        <v>7119</v>
      </c>
      <c r="G147" s="157" t="n">
        <v>47.1</v>
      </c>
      <c r="H147" s="157" t="n">
        <v>9210</v>
      </c>
      <c r="I147" s="457" t="n">
        <v>0</v>
      </c>
      <c r="J147" s="458" t="n">
        <v>6832</v>
      </c>
      <c r="K147" s="167" t="n">
        <v>6.70608899297424</v>
      </c>
      <c r="L147" s="175" t="n">
        <v>0</v>
      </c>
      <c r="M147" s="175" t="n">
        <v>0</v>
      </c>
      <c r="N147" s="157" t="n">
        <v>1957</v>
      </c>
      <c r="O147" s="157" t="n">
        <v>432</v>
      </c>
      <c r="P147" s="157" t="n">
        <v>0</v>
      </c>
      <c r="Q147" s="157" t="n">
        <v>22</v>
      </c>
      <c r="R147" s="157" t="n">
        <v>3</v>
      </c>
      <c r="S147" s="157" t="n">
        <v>1</v>
      </c>
      <c r="T147" s="457" t="s">
        <v>7115</v>
      </c>
      <c r="U147" s="157" t="n">
        <v>401</v>
      </c>
      <c r="V147" s="458" t="n">
        <v>27680</v>
      </c>
      <c r="W147" s="458" t="n">
        <v>28000</v>
      </c>
      <c r="X147" s="445" t="s">
        <v>6659</v>
      </c>
      <c r="Y147" s="458" t="n">
        <v>7000</v>
      </c>
      <c r="Z147" s="457" t="s">
        <v>6638</v>
      </c>
      <c r="AD147" s="157" t="s">
        <v>7120</v>
      </c>
      <c r="AK147" s="459" t="s">
        <v>7104</v>
      </c>
    </row>
    <row r="148" s="157" customFormat="true" ht="12.75" hidden="false" customHeight="true" outlineLevel="0" collapsed="false">
      <c r="A148" s="456" t="n">
        <v>6</v>
      </c>
      <c r="B148" s="157" t="n">
        <v>143</v>
      </c>
      <c r="C148" s="157" t="s">
        <v>6633</v>
      </c>
      <c r="D148" s="157" t="s">
        <v>7121</v>
      </c>
      <c r="E148" s="457" t="s">
        <v>2461</v>
      </c>
      <c r="F148" s="157" t="s">
        <v>7122</v>
      </c>
      <c r="G148" s="157" t="n">
        <v>47.1</v>
      </c>
      <c r="H148" s="157" t="n">
        <v>9210</v>
      </c>
      <c r="I148" s="457" t="n">
        <v>0</v>
      </c>
      <c r="J148" s="458" t="n">
        <v>3750</v>
      </c>
      <c r="K148" s="167" t="n">
        <v>8.73996023856859</v>
      </c>
      <c r="L148" s="175" t="n">
        <v>0</v>
      </c>
      <c r="M148" s="175" t="n">
        <v>0</v>
      </c>
      <c r="N148" s="157" t="n">
        <v>1886</v>
      </c>
      <c r="O148" s="157" t="n">
        <v>0</v>
      </c>
      <c r="P148" s="157" t="n">
        <v>0</v>
      </c>
      <c r="Q148" s="157" t="n">
        <v>13</v>
      </c>
      <c r="R148" s="157" t="n">
        <v>1</v>
      </c>
      <c r="S148" s="157" t="n">
        <v>1</v>
      </c>
      <c r="T148" s="457" t="s">
        <v>7123</v>
      </c>
      <c r="U148" s="157" t="n">
        <v>401</v>
      </c>
      <c r="V148" s="458" t="n">
        <v>18720</v>
      </c>
      <c r="W148" s="458" t="n">
        <v>19000</v>
      </c>
      <c r="X148" s="445" t="s">
        <v>7017</v>
      </c>
      <c r="Y148" s="458" t="n">
        <v>4000</v>
      </c>
      <c r="Z148" s="457" t="s">
        <v>6638</v>
      </c>
      <c r="AK148" s="459" t="s">
        <v>7124</v>
      </c>
    </row>
    <row r="149" s="157" customFormat="true" ht="12.75" hidden="false" customHeight="true" outlineLevel="0" collapsed="false">
      <c r="A149" s="456" t="n">
        <v>6</v>
      </c>
      <c r="B149" s="157" t="n">
        <v>144</v>
      </c>
      <c r="C149" s="157" t="s">
        <v>6633</v>
      </c>
      <c r="D149" s="157" t="s">
        <v>7125</v>
      </c>
      <c r="E149" s="457" t="s">
        <v>2461</v>
      </c>
      <c r="F149" s="157" t="s">
        <v>7126</v>
      </c>
      <c r="G149" s="157" t="n">
        <v>44.1</v>
      </c>
      <c r="H149" s="157" t="n">
        <v>9210</v>
      </c>
      <c r="I149" s="457" t="n">
        <v>0</v>
      </c>
      <c r="J149" s="458" t="n">
        <v>20196</v>
      </c>
      <c r="K149" s="167" t="n">
        <v>8.11368587839176</v>
      </c>
      <c r="L149" s="175" t="n">
        <v>0</v>
      </c>
      <c r="M149" s="175" t="n">
        <v>0.0960674705853635</v>
      </c>
      <c r="N149" s="157" t="n">
        <v>1973</v>
      </c>
      <c r="O149" s="157" t="n">
        <v>18501</v>
      </c>
      <c r="P149" s="157" t="n">
        <v>0</v>
      </c>
      <c r="Q149" s="157" t="n">
        <v>20</v>
      </c>
      <c r="R149" s="157" t="n">
        <v>3</v>
      </c>
      <c r="S149" s="157" t="n">
        <v>1</v>
      </c>
      <c r="T149" s="457" t="s">
        <v>6847</v>
      </c>
      <c r="U149" s="157" t="n">
        <v>398</v>
      </c>
      <c r="V149" s="458" t="n">
        <v>31287</v>
      </c>
      <c r="W149" s="458" t="n">
        <v>31000</v>
      </c>
      <c r="X149" s="445" t="s">
        <v>6837</v>
      </c>
      <c r="Y149" s="458" t="n">
        <v>20000</v>
      </c>
      <c r="Z149" s="457" t="s">
        <v>6638</v>
      </c>
      <c r="AK149" s="459"/>
    </row>
    <row r="150" s="157" customFormat="true" ht="12.75" hidden="false" customHeight="true" outlineLevel="0" collapsed="false">
      <c r="A150" s="456" t="n">
        <v>6</v>
      </c>
      <c r="B150" s="157" t="n">
        <v>145</v>
      </c>
      <c r="C150" s="157" t="s">
        <v>6633</v>
      </c>
      <c r="D150" s="157" t="s">
        <v>7127</v>
      </c>
      <c r="E150" s="457" t="s">
        <v>2461</v>
      </c>
      <c r="F150" s="157" t="s">
        <v>7128</v>
      </c>
      <c r="G150" s="157" t="n">
        <v>44.1</v>
      </c>
      <c r="H150" s="157" t="n">
        <v>9210</v>
      </c>
      <c r="I150" s="457" t="n">
        <v>0</v>
      </c>
      <c r="J150" s="458" t="n">
        <v>3444</v>
      </c>
      <c r="K150" s="167" t="n">
        <v>2.27177700348432</v>
      </c>
      <c r="L150" s="175" t="n">
        <v>0</v>
      </c>
      <c r="M150" s="175" t="n">
        <v>0</v>
      </c>
      <c r="N150" s="157" t="n">
        <v>1958</v>
      </c>
      <c r="O150" s="157" t="n">
        <v>700</v>
      </c>
      <c r="P150" s="157" t="n">
        <v>0</v>
      </c>
      <c r="Q150" s="157" t="n">
        <v>13</v>
      </c>
      <c r="R150" s="157" t="n">
        <v>7</v>
      </c>
      <c r="S150" s="157" t="n">
        <v>1</v>
      </c>
      <c r="T150" s="457" t="s">
        <v>6847</v>
      </c>
      <c r="U150" s="157" t="n">
        <v>398</v>
      </c>
      <c r="V150" s="458" t="n">
        <v>15644</v>
      </c>
      <c r="W150" s="458" t="n">
        <v>16000</v>
      </c>
      <c r="X150" s="445" t="s">
        <v>7080</v>
      </c>
      <c r="Y150" s="458" t="n">
        <v>3000</v>
      </c>
      <c r="Z150" s="457" t="s">
        <v>6638</v>
      </c>
      <c r="AD150" s="157" t="s">
        <v>6676</v>
      </c>
      <c r="AK150" s="459"/>
    </row>
    <row r="151" s="157" customFormat="true" ht="12.75" hidden="false" customHeight="true" outlineLevel="0" collapsed="false">
      <c r="A151" s="456" t="n">
        <v>6</v>
      </c>
      <c r="B151" s="157" t="n">
        <v>146</v>
      </c>
      <c r="C151" s="157" t="s">
        <v>6633</v>
      </c>
      <c r="D151" s="157" t="s">
        <v>7129</v>
      </c>
      <c r="E151" s="457" t="s">
        <v>2461</v>
      </c>
      <c r="F151" s="157" t="s">
        <v>7130</v>
      </c>
      <c r="G151" s="157" t="n">
        <v>44.2</v>
      </c>
      <c r="H151" s="157" t="n">
        <v>9210</v>
      </c>
      <c r="I151" s="457" t="n">
        <v>0</v>
      </c>
      <c r="J151" s="458" t="n">
        <v>18816</v>
      </c>
      <c r="K151" s="167" t="n">
        <v>5.73979591836735</v>
      </c>
      <c r="L151" s="175" t="n">
        <v>0.66</v>
      </c>
      <c r="M151" s="175" t="n">
        <v>0</v>
      </c>
      <c r="N151" s="157" t="n">
        <v>1934</v>
      </c>
      <c r="O151" s="157" t="n">
        <v>2358</v>
      </c>
      <c r="P151" s="157" t="n">
        <v>0</v>
      </c>
      <c r="Q151" s="157" t="n">
        <v>14</v>
      </c>
      <c r="R151" s="157" t="n">
        <v>1</v>
      </c>
      <c r="S151" s="157" t="n">
        <v>1</v>
      </c>
      <c r="T151" s="457" t="s">
        <v>6847</v>
      </c>
      <c r="U151" s="157" t="n">
        <v>398</v>
      </c>
      <c r="V151" s="458" t="n">
        <v>31313</v>
      </c>
      <c r="W151" s="458" t="n">
        <v>31000</v>
      </c>
      <c r="X151" s="445" t="s">
        <v>6954</v>
      </c>
      <c r="Y151" s="458" t="n">
        <v>19000</v>
      </c>
      <c r="Z151" s="457" t="s">
        <v>6638</v>
      </c>
      <c r="AD151" s="157" t="s">
        <v>6651</v>
      </c>
      <c r="AK151" s="459"/>
    </row>
    <row r="152" s="157" customFormat="true" ht="25.5" hidden="false" customHeight="true" outlineLevel="0" collapsed="false">
      <c r="A152" s="456" t="n">
        <v>6</v>
      </c>
      <c r="B152" s="157" t="n">
        <v>147</v>
      </c>
      <c r="C152" s="157" t="s">
        <v>6633</v>
      </c>
      <c r="D152" s="157" t="s">
        <v>7129</v>
      </c>
      <c r="E152" s="457" t="s">
        <v>2461</v>
      </c>
      <c r="F152" s="157" t="s">
        <v>7130</v>
      </c>
      <c r="G152" s="157" t="n">
        <v>44.2</v>
      </c>
      <c r="H152" s="157" t="n">
        <v>9210</v>
      </c>
      <c r="I152" s="457" t="n">
        <v>0</v>
      </c>
      <c r="J152" s="458" t="n">
        <v>18816</v>
      </c>
      <c r="K152" s="167" t="n">
        <v>6.74</v>
      </c>
      <c r="L152" s="175" t="n">
        <v>0</v>
      </c>
      <c r="M152" s="175" t="n">
        <v>0</v>
      </c>
      <c r="N152" s="157" t="n">
        <v>1934</v>
      </c>
      <c r="O152" s="157" t="n">
        <v>2358</v>
      </c>
      <c r="P152" s="157" t="n">
        <v>0</v>
      </c>
      <c r="Q152" s="157" t="n">
        <v>14</v>
      </c>
      <c r="R152" s="157" t="n">
        <v>1</v>
      </c>
      <c r="S152" s="157" t="n">
        <v>1</v>
      </c>
      <c r="T152" s="457" t="s">
        <v>6847</v>
      </c>
      <c r="U152" s="157" t="n">
        <v>398</v>
      </c>
      <c r="V152" s="458" t="n">
        <v>31313</v>
      </c>
      <c r="W152" s="458" t="n">
        <v>31000</v>
      </c>
      <c r="X152" s="445" t="s">
        <v>6954</v>
      </c>
      <c r="Y152" s="458" t="n">
        <v>19000</v>
      </c>
      <c r="Z152" s="457" t="s">
        <v>6638</v>
      </c>
      <c r="AD152" s="157" t="s">
        <v>6651</v>
      </c>
      <c r="AK152" s="459" t="s">
        <v>7131</v>
      </c>
    </row>
    <row r="153" s="157" customFormat="true" ht="12.75" hidden="false" customHeight="true" outlineLevel="0" collapsed="false">
      <c r="A153" s="456" t="n">
        <v>6</v>
      </c>
      <c r="B153" s="157" t="n">
        <v>148</v>
      </c>
      <c r="C153" s="157" t="s">
        <v>6633</v>
      </c>
      <c r="D153" s="157" t="s">
        <v>7132</v>
      </c>
      <c r="E153" s="457" t="s">
        <v>2461</v>
      </c>
      <c r="F153" s="157" t="s">
        <v>7133</v>
      </c>
      <c r="G153" s="157" t="n">
        <v>44.1</v>
      </c>
      <c r="H153" s="157" t="n">
        <v>9210</v>
      </c>
      <c r="I153" s="457" t="n">
        <v>0</v>
      </c>
      <c r="J153" s="458" t="n">
        <v>3398</v>
      </c>
      <c r="K153" s="167" t="n">
        <v>7.06297822248381</v>
      </c>
      <c r="L153" s="175" t="n">
        <v>0</v>
      </c>
      <c r="M153" s="175" t="n">
        <v>0.108958333333333</v>
      </c>
      <c r="N153" s="157" t="n">
        <v>1957</v>
      </c>
      <c r="O153" s="157" t="n">
        <v>598</v>
      </c>
      <c r="P153" s="157" t="n">
        <v>0</v>
      </c>
      <c r="Q153" s="157" t="n">
        <v>12</v>
      </c>
      <c r="R153" s="157" t="n">
        <v>3</v>
      </c>
      <c r="S153" s="157" t="n">
        <v>1</v>
      </c>
      <c r="T153" s="457" t="s">
        <v>6636</v>
      </c>
      <c r="U153" s="157" t="n">
        <v>398</v>
      </c>
      <c r="V153" s="458" t="n">
        <v>6277</v>
      </c>
      <c r="W153" s="458" t="n">
        <v>6000</v>
      </c>
      <c r="X153" s="445" t="s">
        <v>6863</v>
      </c>
      <c r="Y153" s="458" t="n">
        <v>3000</v>
      </c>
      <c r="Z153" s="457" t="s">
        <v>6638</v>
      </c>
      <c r="AD153" s="157" t="s">
        <v>6676</v>
      </c>
      <c r="AK153" s="459"/>
    </row>
    <row r="154" s="157" customFormat="true" ht="12.75" hidden="false" customHeight="true" outlineLevel="0" collapsed="false">
      <c r="A154" s="456" t="n">
        <v>6</v>
      </c>
      <c r="B154" s="157" t="n">
        <v>149</v>
      </c>
      <c r="C154" s="157" t="s">
        <v>6633</v>
      </c>
      <c r="D154" s="157" t="s">
        <v>7134</v>
      </c>
      <c r="E154" s="457" t="s">
        <v>2461</v>
      </c>
      <c r="F154" s="157" t="s">
        <v>7135</v>
      </c>
      <c r="G154" s="157" t="n">
        <v>44.2</v>
      </c>
      <c r="H154" s="157" t="n">
        <v>9210</v>
      </c>
      <c r="I154" s="457" t="n">
        <v>0</v>
      </c>
      <c r="J154" s="458" t="n">
        <v>12500</v>
      </c>
      <c r="K154" s="167" t="n">
        <v>7.36</v>
      </c>
      <c r="L154" s="175" t="n">
        <v>0</v>
      </c>
      <c r="M154" s="175" t="n">
        <v>0</v>
      </c>
      <c r="N154" s="157" t="n">
        <v>1926</v>
      </c>
      <c r="O154" s="157" t="n">
        <v>1512</v>
      </c>
      <c r="P154" s="157" t="n">
        <v>0</v>
      </c>
      <c r="Q154" s="157" t="n">
        <v>16</v>
      </c>
      <c r="R154" s="157" t="n">
        <v>1</v>
      </c>
      <c r="S154" s="157" t="n">
        <v>3</v>
      </c>
      <c r="T154" s="457" t="s">
        <v>7111</v>
      </c>
      <c r="U154" s="157" t="n">
        <v>398</v>
      </c>
      <c r="V154" s="458" t="n">
        <v>12525</v>
      </c>
      <c r="W154" s="458" t="n">
        <v>13000</v>
      </c>
      <c r="X154" s="445" t="s">
        <v>7021</v>
      </c>
      <c r="Y154" s="458" t="n">
        <v>13000</v>
      </c>
      <c r="Z154" s="457" t="s">
        <v>6638</v>
      </c>
      <c r="AD154" s="157" t="s">
        <v>7136</v>
      </c>
      <c r="AK154" s="459"/>
    </row>
    <row r="155" s="157" customFormat="true" ht="12.75" hidden="false" customHeight="true" outlineLevel="0" collapsed="false">
      <c r="A155" s="456" t="n">
        <v>6</v>
      </c>
      <c r="B155" s="157" t="n">
        <v>150</v>
      </c>
      <c r="C155" s="157" t="s">
        <v>6633</v>
      </c>
      <c r="D155" s="157" t="s">
        <v>7137</v>
      </c>
      <c r="E155" s="457" t="s">
        <v>2461</v>
      </c>
      <c r="F155" s="157" t="s">
        <v>7138</v>
      </c>
      <c r="G155" s="157" t="n">
        <v>47.1</v>
      </c>
      <c r="H155" s="157" t="n">
        <v>9208</v>
      </c>
      <c r="I155" s="457" t="n">
        <v>0</v>
      </c>
      <c r="J155" s="458" t="n">
        <v>5760</v>
      </c>
      <c r="K155" s="167" t="n">
        <v>5.20833333333333</v>
      </c>
      <c r="L155" s="175" t="n">
        <v>0</v>
      </c>
      <c r="M155" s="175" t="n">
        <v>0</v>
      </c>
      <c r="N155" s="157" t="n">
        <v>1971</v>
      </c>
      <c r="O155" s="157" t="n">
        <v>992</v>
      </c>
      <c r="P155" s="157" t="n">
        <v>0</v>
      </c>
      <c r="Q155" s="157" t="n">
        <v>15</v>
      </c>
      <c r="R155" s="157" t="n">
        <v>7</v>
      </c>
      <c r="S155" s="157" t="n">
        <v>1</v>
      </c>
      <c r="T155" s="457" t="s">
        <v>6636</v>
      </c>
      <c r="U155" s="157" t="n">
        <v>401</v>
      </c>
      <c r="V155" s="458" t="n">
        <v>18750</v>
      </c>
      <c r="W155" s="458" t="n">
        <v>19000</v>
      </c>
      <c r="X155" s="445" t="s">
        <v>6643</v>
      </c>
      <c r="Y155" s="458" t="n">
        <v>6000</v>
      </c>
      <c r="Z155" s="457" t="s">
        <v>6638</v>
      </c>
      <c r="AD155" s="157" t="s">
        <v>7139</v>
      </c>
      <c r="AK155" s="459"/>
    </row>
    <row r="156" s="157" customFormat="true" ht="12.75" hidden="false" customHeight="true" outlineLevel="0" collapsed="false">
      <c r="A156" s="456" t="n">
        <v>6</v>
      </c>
      <c r="B156" s="157" t="n">
        <v>151</v>
      </c>
      <c r="C156" s="157" t="s">
        <v>6633</v>
      </c>
      <c r="D156" s="157" t="s">
        <v>7140</v>
      </c>
      <c r="E156" s="457" t="s">
        <v>2461</v>
      </c>
      <c r="F156" s="157" t="s">
        <v>7141</v>
      </c>
      <c r="G156" s="157" t="n">
        <v>44.1</v>
      </c>
      <c r="H156" s="157" t="n">
        <v>9208</v>
      </c>
      <c r="I156" s="457" t="n">
        <v>0</v>
      </c>
      <c r="J156" s="458" t="n">
        <v>5652</v>
      </c>
      <c r="K156" s="167" t="n">
        <v>6.36942675159236</v>
      </c>
      <c r="L156" s="175" t="n">
        <v>0</v>
      </c>
      <c r="M156" s="175" t="n">
        <v>0</v>
      </c>
      <c r="N156" s="157" t="n">
        <v>1960</v>
      </c>
      <c r="O156" s="157" t="n">
        <v>1658</v>
      </c>
      <c r="P156" s="157" t="n">
        <v>0</v>
      </c>
      <c r="Q156" s="157" t="n">
        <v>15</v>
      </c>
      <c r="R156" s="157" t="n">
        <v>1</v>
      </c>
      <c r="S156" s="157" t="n">
        <v>1</v>
      </c>
      <c r="T156" s="457" t="s">
        <v>7111</v>
      </c>
      <c r="U156" s="157" t="n">
        <v>398</v>
      </c>
      <c r="V156" s="458" t="n">
        <v>9588</v>
      </c>
      <c r="W156" s="458" t="n">
        <v>10000</v>
      </c>
      <c r="X156" s="445" t="s">
        <v>6954</v>
      </c>
      <c r="Y156" s="458" t="n">
        <v>6000</v>
      </c>
      <c r="Z156" s="457" t="s">
        <v>6638</v>
      </c>
      <c r="AD156" s="157" t="s">
        <v>7142</v>
      </c>
      <c r="AK156" s="459"/>
    </row>
    <row r="157" s="157" customFormat="true" ht="12.75" hidden="false" customHeight="true" outlineLevel="0" collapsed="false">
      <c r="A157" s="456" t="n">
        <v>6</v>
      </c>
      <c r="B157" s="157" t="n">
        <v>152</v>
      </c>
      <c r="C157" s="157" t="s">
        <v>6633</v>
      </c>
      <c r="D157" s="157" t="s">
        <v>7143</v>
      </c>
      <c r="E157" s="457" t="s">
        <v>2461</v>
      </c>
      <c r="F157" s="157" t="s">
        <v>7144</v>
      </c>
      <c r="G157" s="157" t="n">
        <v>44.1</v>
      </c>
      <c r="H157" s="157" t="n">
        <v>9208</v>
      </c>
      <c r="I157" s="457" t="n">
        <v>0</v>
      </c>
      <c r="J157" s="458" t="n">
        <v>6545</v>
      </c>
      <c r="K157" s="167" t="n">
        <v>5.50038197097021</v>
      </c>
      <c r="L157" s="175" t="n">
        <v>0</v>
      </c>
      <c r="M157" s="175" t="n">
        <v>0</v>
      </c>
      <c r="N157" s="157" t="n">
        <v>1960</v>
      </c>
      <c r="O157" s="157" t="n">
        <v>800</v>
      </c>
      <c r="P157" s="157" t="n">
        <v>0</v>
      </c>
      <c r="Q157" s="157" t="n">
        <v>14</v>
      </c>
      <c r="R157" s="157" t="n">
        <v>3</v>
      </c>
      <c r="S157" s="157" t="n">
        <v>1</v>
      </c>
      <c r="T157" s="457" t="s">
        <v>7111</v>
      </c>
      <c r="U157" s="157" t="n">
        <v>398</v>
      </c>
      <c r="V157" s="458" t="n">
        <v>10793</v>
      </c>
      <c r="W157" s="458" t="n">
        <v>11000</v>
      </c>
      <c r="X157" s="445" t="s">
        <v>6668</v>
      </c>
      <c r="Y157" s="458" t="n">
        <v>7000</v>
      </c>
      <c r="Z157" s="457" t="s">
        <v>6638</v>
      </c>
      <c r="AK157" s="459"/>
    </row>
    <row r="158" s="157" customFormat="true" ht="12.75" hidden="false" customHeight="true" outlineLevel="0" collapsed="false">
      <c r="A158" s="456" t="n">
        <v>6</v>
      </c>
      <c r="B158" s="157" t="n">
        <v>153</v>
      </c>
      <c r="C158" s="157" t="s">
        <v>6633</v>
      </c>
      <c r="D158" s="157" t="s">
        <v>7145</v>
      </c>
      <c r="E158" s="457" t="s">
        <v>2461</v>
      </c>
      <c r="F158" s="157" t="s">
        <v>7146</v>
      </c>
      <c r="G158" s="157" t="n">
        <v>44.2</v>
      </c>
      <c r="H158" s="157" t="n">
        <v>9208</v>
      </c>
      <c r="I158" s="457" t="n">
        <v>0</v>
      </c>
      <c r="J158" s="458" t="n">
        <v>4080</v>
      </c>
      <c r="K158" s="167" t="n">
        <v>8.57843137254902</v>
      </c>
      <c r="L158" s="175" t="n">
        <v>0.2</v>
      </c>
      <c r="M158" s="175" t="n">
        <v>0</v>
      </c>
      <c r="N158" s="157" t="n">
        <v>1948</v>
      </c>
      <c r="O158" s="157" t="n">
        <v>144</v>
      </c>
      <c r="P158" s="157" t="n">
        <v>0</v>
      </c>
      <c r="Q158" s="157" t="n">
        <v>11</v>
      </c>
      <c r="R158" s="157" t="n">
        <v>3</v>
      </c>
      <c r="S158" s="157" t="n">
        <v>3</v>
      </c>
      <c r="T158" s="457" t="s">
        <v>6993</v>
      </c>
      <c r="U158" s="157" t="n">
        <v>398</v>
      </c>
      <c r="V158" s="458" t="n">
        <v>16812</v>
      </c>
      <c r="W158" s="458" t="n">
        <v>17000</v>
      </c>
      <c r="X158" s="445" t="s">
        <v>6659</v>
      </c>
      <c r="Y158" s="458" t="n">
        <v>4000</v>
      </c>
      <c r="Z158" s="457" t="s">
        <v>6638</v>
      </c>
      <c r="AD158" s="157" t="s">
        <v>7147</v>
      </c>
      <c r="AK158" s="459"/>
    </row>
    <row r="159" s="157" customFormat="true" ht="25.5" hidden="false" customHeight="true" outlineLevel="0" collapsed="false">
      <c r="A159" s="456" t="n">
        <v>6</v>
      </c>
      <c r="B159" s="157" t="n">
        <v>154</v>
      </c>
      <c r="C159" s="157" t="s">
        <v>6633</v>
      </c>
      <c r="D159" s="157" t="s">
        <v>7148</v>
      </c>
      <c r="E159" s="457" t="s">
        <v>2461</v>
      </c>
      <c r="F159" s="157" t="s">
        <v>7149</v>
      </c>
      <c r="G159" s="157" t="n">
        <v>46.1</v>
      </c>
      <c r="H159" s="157" t="n">
        <v>9208</v>
      </c>
      <c r="I159" s="457" t="n">
        <v>0</v>
      </c>
      <c r="J159" s="458" t="n">
        <v>7240</v>
      </c>
      <c r="K159" s="167" t="n">
        <v>19.8895027624309</v>
      </c>
      <c r="L159" s="175" t="n">
        <v>0</v>
      </c>
      <c r="M159" s="175" t="n">
        <v>0.0248333333333333</v>
      </c>
      <c r="N159" s="157" t="n">
        <v>1952</v>
      </c>
      <c r="O159" s="157" t="n">
        <v>3462</v>
      </c>
      <c r="P159" s="157" t="n">
        <v>0</v>
      </c>
      <c r="Q159" s="157" t="n">
        <v>12</v>
      </c>
      <c r="R159" s="157" t="n">
        <v>3</v>
      </c>
      <c r="S159" s="157" t="n">
        <v>1</v>
      </c>
      <c r="T159" s="457" t="s">
        <v>7111</v>
      </c>
      <c r="U159" s="157" t="n">
        <v>391</v>
      </c>
      <c r="V159" s="458" t="n">
        <v>12500</v>
      </c>
      <c r="W159" s="458" t="n">
        <v>13000</v>
      </c>
      <c r="X159" s="445" t="s">
        <v>6954</v>
      </c>
      <c r="Y159" s="458" t="n">
        <v>7000</v>
      </c>
      <c r="Z159" s="457" t="s">
        <v>6638</v>
      </c>
      <c r="AD159" s="157" t="s">
        <v>7150</v>
      </c>
      <c r="AK159" s="459" t="s">
        <v>6707</v>
      </c>
    </row>
    <row r="160" s="157" customFormat="true" ht="12.75" hidden="false" customHeight="true" outlineLevel="0" collapsed="false">
      <c r="A160" s="456" t="n">
        <v>6</v>
      </c>
      <c r="B160" s="157" t="n">
        <v>155</v>
      </c>
      <c r="C160" s="157" t="s">
        <v>6633</v>
      </c>
      <c r="D160" s="157" t="s">
        <v>7151</v>
      </c>
      <c r="E160" s="457" t="s">
        <v>2461</v>
      </c>
      <c r="F160" s="157" t="s">
        <v>7152</v>
      </c>
      <c r="G160" s="157" t="n">
        <v>44.1</v>
      </c>
      <c r="H160" s="157" t="n">
        <v>9208</v>
      </c>
      <c r="I160" s="457" t="n">
        <v>6</v>
      </c>
      <c r="J160" s="458" t="n">
        <v>10620</v>
      </c>
      <c r="K160" s="167" t="n">
        <v>6.21468926553672</v>
      </c>
      <c r="L160" s="175" t="n">
        <v>0</v>
      </c>
      <c r="M160" s="175" t="n">
        <v>0</v>
      </c>
      <c r="N160" s="157" t="n">
        <v>1977</v>
      </c>
      <c r="O160" s="157" t="n">
        <v>2651</v>
      </c>
      <c r="P160" s="157" t="n">
        <v>0</v>
      </c>
      <c r="Q160" s="157" t="n">
        <v>15</v>
      </c>
      <c r="R160" s="157" t="n">
        <v>1</v>
      </c>
      <c r="S160" s="157" t="n">
        <v>1</v>
      </c>
      <c r="T160" s="457" t="s">
        <v>7111</v>
      </c>
      <c r="U160" s="157" t="n">
        <v>398</v>
      </c>
      <c r="V160" s="458" t="n">
        <v>17569</v>
      </c>
      <c r="W160" s="458" t="n">
        <v>18000</v>
      </c>
      <c r="X160" s="445" t="s">
        <v>6954</v>
      </c>
      <c r="Y160" s="458" t="n">
        <v>11000</v>
      </c>
      <c r="Z160" s="457" t="s">
        <v>6696</v>
      </c>
      <c r="AD160" s="157" t="s">
        <v>7153</v>
      </c>
      <c r="AK160" s="459"/>
    </row>
    <row r="161" s="157" customFormat="true" ht="12.75" hidden="false" customHeight="true" outlineLevel="0" collapsed="false">
      <c r="A161" s="456" t="n">
        <v>6</v>
      </c>
      <c r="B161" s="157" t="n">
        <v>156</v>
      </c>
      <c r="C161" s="157" t="s">
        <v>6633</v>
      </c>
      <c r="D161" s="157" t="s">
        <v>7154</v>
      </c>
      <c r="E161" s="457" t="s">
        <v>2461</v>
      </c>
      <c r="F161" s="157" t="s">
        <v>7155</v>
      </c>
      <c r="G161" s="157" t="n">
        <v>44.2</v>
      </c>
      <c r="H161" s="157" t="n">
        <v>9208</v>
      </c>
      <c r="I161" s="457" t="n">
        <v>6</v>
      </c>
      <c r="J161" s="458" t="n">
        <v>6200</v>
      </c>
      <c r="K161" s="167" t="n">
        <v>6.38709677419355</v>
      </c>
      <c r="L161" s="175" t="n">
        <v>0</v>
      </c>
      <c r="M161" s="175" t="n">
        <v>0.143560606060606</v>
      </c>
      <c r="N161" s="157" t="n">
        <v>1962</v>
      </c>
      <c r="O161" s="157" t="n">
        <v>780</v>
      </c>
      <c r="P161" s="157" t="n">
        <v>0</v>
      </c>
      <c r="Q161" s="157" t="n">
        <v>10</v>
      </c>
      <c r="R161" s="157" t="n">
        <v>1</v>
      </c>
      <c r="S161" s="157" t="n">
        <v>3</v>
      </c>
      <c r="T161" s="457" t="s">
        <v>7111</v>
      </c>
      <c r="U161" s="157" t="n">
        <v>398</v>
      </c>
      <c r="V161" s="458" t="n">
        <v>14360</v>
      </c>
      <c r="W161" s="458" t="n">
        <v>14000</v>
      </c>
      <c r="X161" s="445" t="s">
        <v>6646</v>
      </c>
      <c r="Y161" s="458" t="n">
        <v>6000</v>
      </c>
      <c r="Z161" s="457" t="s">
        <v>6638</v>
      </c>
      <c r="AD161" s="157" t="s">
        <v>7156</v>
      </c>
      <c r="AK161" s="459" t="s">
        <v>7157</v>
      </c>
    </row>
    <row r="162" s="157" customFormat="true" ht="25.5" hidden="false" customHeight="true" outlineLevel="0" collapsed="false">
      <c r="A162" s="456" t="n">
        <v>6</v>
      </c>
      <c r="B162" s="157" t="n">
        <v>157</v>
      </c>
      <c r="C162" s="157" t="s">
        <v>6633</v>
      </c>
      <c r="D162" s="157" t="s">
        <v>7158</v>
      </c>
      <c r="E162" s="457" t="s">
        <v>2461</v>
      </c>
      <c r="F162" s="157" t="s">
        <v>7159</v>
      </c>
      <c r="G162" s="157" t="n">
        <v>44.2</v>
      </c>
      <c r="H162" s="157" t="n">
        <v>9202</v>
      </c>
      <c r="I162" s="457" t="n">
        <v>5</v>
      </c>
      <c r="J162" s="458" t="n">
        <v>18251</v>
      </c>
      <c r="K162" s="167" t="n">
        <v>9.31078305519897</v>
      </c>
      <c r="L162" s="175" t="n">
        <v>0</v>
      </c>
      <c r="M162" s="175" t="n">
        <v>0</v>
      </c>
      <c r="N162" s="157" t="n">
        <v>1941</v>
      </c>
      <c r="O162" s="157" t="n">
        <v>880</v>
      </c>
      <c r="P162" s="157" t="n">
        <v>880</v>
      </c>
      <c r="Q162" s="157" t="n">
        <v>15</v>
      </c>
      <c r="R162" s="157" t="n">
        <v>1</v>
      </c>
      <c r="S162" s="157" t="n">
        <v>1</v>
      </c>
      <c r="T162" s="457" t="s">
        <v>7160</v>
      </c>
      <c r="U162" s="157" t="n">
        <v>398</v>
      </c>
      <c r="V162" s="458" t="n">
        <v>18893</v>
      </c>
      <c r="W162" s="458" t="n">
        <v>19000</v>
      </c>
      <c r="X162" s="445" t="s">
        <v>7021</v>
      </c>
      <c r="Y162" s="458" t="n">
        <v>18000</v>
      </c>
      <c r="Z162" s="457" t="s">
        <v>6638</v>
      </c>
      <c r="AD162" s="157" t="s">
        <v>7161</v>
      </c>
      <c r="AK162" s="459" t="s">
        <v>7162</v>
      </c>
    </row>
    <row r="163" s="157" customFormat="true" ht="25.5" hidden="false" customHeight="true" outlineLevel="0" collapsed="false">
      <c r="A163" s="456" t="n">
        <v>6</v>
      </c>
      <c r="B163" s="157" t="n">
        <v>158</v>
      </c>
      <c r="C163" s="157" t="s">
        <v>6633</v>
      </c>
      <c r="D163" s="157" t="s">
        <v>7163</v>
      </c>
      <c r="E163" s="457" t="s">
        <v>2461</v>
      </c>
      <c r="F163" s="157" t="s">
        <v>7164</v>
      </c>
      <c r="G163" s="157" t="n">
        <v>44.1</v>
      </c>
      <c r="H163" s="157" t="n">
        <v>9202</v>
      </c>
      <c r="I163" s="457" t="n">
        <v>5</v>
      </c>
      <c r="J163" s="458" t="n">
        <v>10010</v>
      </c>
      <c r="K163" s="167" t="n">
        <v>10</v>
      </c>
      <c r="L163" s="175" t="n">
        <v>0</v>
      </c>
      <c r="M163" s="175" t="n">
        <v>0</v>
      </c>
      <c r="N163" s="157" t="n">
        <v>1955</v>
      </c>
      <c r="O163" s="157" t="n">
        <v>922</v>
      </c>
      <c r="P163" s="157" t="n">
        <v>0</v>
      </c>
      <c r="Q163" s="157" t="n">
        <v>14</v>
      </c>
      <c r="R163" s="157" t="n">
        <v>3</v>
      </c>
      <c r="S163" s="157" t="n">
        <v>1</v>
      </c>
      <c r="T163" s="457" t="s">
        <v>7165</v>
      </c>
      <c r="U163" s="157" t="n">
        <v>398</v>
      </c>
      <c r="V163" s="458" t="n">
        <v>10968</v>
      </c>
      <c r="W163" s="458" t="n">
        <v>11000</v>
      </c>
      <c r="X163" s="445" t="s">
        <v>7043</v>
      </c>
      <c r="Y163" s="458" t="n">
        <v>10000</v>
      </c>
      <c r="Z163" s="457" t="s">
        <v>6638</v>
      </c>
      <c r="AD163" s="157" t="s">
        <v>7166</v>
      </c>
      <c r="AK163" s="459" t="s">
        <v>7167</v>
      </c>
    </row>
    <row r="164" s="157" customFormat="true" ht="12.75" hidden="false" customHeight="true" outlineLevel="0" collapsed="false">
      <c r="A164" s="456" t="n">
        <v>6</v>
      </c>
      <c r="B164" s="157" t="n">
        <v>159</v>
      </c>
      <c r="C164" s="157" t="s">
        <v>6633</v>
      </c>
      <c r="D164" s="157" t="s">
        <v>7168</v>
      </c>
      <c r="E164" s="457" t="s">
        <v>2461</v>
      </c>
      <c r="F164" s="157" t="s">
        <v>7169</v>
      </c>
      <c r="G164" s="157" t="n">
        <v>46.1</v>
      </c>
      <c r="H164" s="157" t="n">
        <v>9202</v>
      </c>
      <c r="I164" s="457" t="n">
        <v>7</v>
      </c>
      <c r="J164" s="458" t="n">
        <v>10000</v>
      </c>
      <c r="K164" s="167" t="n">
        <v>7.8</v>
      </c>
      <c r="L164" s="175" t="n">
        <v>0</v>
      </c>
      <c r="M164" s="175" t="n">
        <v>0.143269230769231</v>
      </c>
      <c r="N164" s="157" t="n">
        <v>1929</v>
      </c>
      <c r="O164" s="157" t="n">
        <v>0</v>
      </c>
      <c r="P164" s="157" t="n">
        <v>970</v>
      </c>
      <c r="Q164" s="157" t="n">
        <v>15</v>
      </c>
      <c r="R164" s="157" t="n">
        <v>1</v>
      </c>
      <c r="S164" s="157" t="n">
        <v>1</v>
      </c>
      <c r="T164" s="457" t="s">
        <v>7165</v>
      </c>
      <c r="U164" s="157" t="n">
        <v>401</v>
      </c>
      <c r="V164" s="458" t="n">
        <v>5029</v>
      </c>
      <c r="W164" s="458" t="n">
        <v>5000</v>
      </c>
      <c r="X164" s="445" t="s">
        <v>7170</v>
      </c>
      <c r="Y164" s="458" t="n">
        <v>10000</v>
      </c>
      <c r="Z164" s="457" t="s">
        <v>6638</v>
      </c>
      <c r="AD164" s="157" t="s">
        <v>7171</v>
      </c>
      <c r="AK164" s="459"/>
    </row>
    <row r="165" s="157" customFormat="true" ht="12.75" hidden="false" customHeight="true" outlineLevel="0" collapsed="false">
      <c r="A165" s="456" t="n">
        <v>6</v>
      </c>
      <c r="B165" s="157" t="n">
        <v>160</v>
      </c>
      <c r="C165" s="157" t="s">
        <v>6633</v>
      </c>
      <c r="D165" s="157" t="s">
        <v>7172</v>
      </c>
      <c r="E165" s="457" t="s">
        <v>2461</v>
      </c>
      <c r="F165" s="157" t="s">
        <v>7173</v>
      </c>
      <c r="G165" s="157" t="n">
        <v>44.2</v>
      </c>
      <c r="H165" s="157" t="n">
        <v>9202</v>
      </c>
      <c r="I165" s="457" t="n">
        <v>7</v>
      </c>
      <c r="J165" s="458" t="n">
        <v>11788</v>
      </c>
      <c r="K165" s="167" t="n">
        <v>4.76190476190476</v>
      </c>
      <c r="L165" s="175" t="n">
        <v>0.16</v>
      </c>
      <c r="M165" s="175" t="n">
        <v>0.037</v>
      </c>
      <c r="N165" s="157" t="n">
        <v>1930</v>
      </c>
      <c r="O165" s="157" t="n">
        <v>0</v>
      </c>
      <c r="P165" s="157" t="n">
        <v>0</v>
      </c>
      <c r="Q165" s="157" t="n">
        <v>12</v>
      </c>
      <c r="R165" s="157" t="n">
        <v>1</v>
      </c>
      <c r="S165" s="157" t="n">
        <v>4</v>
      </c>
      <c r="T165" s="457" t="s">
        <v>7165</v>
      </c>
      <c r="U165" s="157" t="n">
        <v>398</v>
      </c>
      <c r="V165" s="458" t="n">
        <v>6251</v>
      </c>
      <c r="W165" s="458" t="n">
        <v>6000</v>
      </c>
      <c r="X165" s="445" t="s">
        <v>7170</v>
      </c>
      <c r="Y165" s="458" t="n">
        <v>12000</v>
      </c>
      <c r="Z165" s="457" t="s">
        <v>6638</v>
      </c>
      <c r="AK165" s="459"/>
    </row>
    <row r="166" s="157" customFormat="true" ht="25.5" hidden="false" customHeight="true" outlineLevel="0" collapsed="false">
      <c r="A166" s="456" t="n">
        <v>6</v>
      </c>
      <c r="B166" s="157" t="n">
        <v>161</v>
      </c>
      <c r="C166" s="157" t="s">
        <v>6633</v>
      </c>
      <c r="D166" s="157" t="s">
        <v>7174</v>
      </c>
      <c r="E166" s="457" t="s">
        <v>2461</v>
      </c>
      <c r="F166" s="157" t="s">
        <v>7175</v>
      </c>
      <c r="G166" s="157" t="n">
        <v>44.1</v>
      </c>
      <c r="H166" s="157" t="n">
        <v>9505</v>
      </c>
      <c r="I166" s="457" t="n">
        <v>3</v>
      </c>
      <c r="J166" s="458" t="n">
        <v>10400</v>
      </c>
      <c r="K166" s="167" t="n">
        <v>8.65384615384615</v>
      </c>
      <c r="L166" s="175" t="n">
        <v>0</v>
      </c>
      <c r="M166" s="175" t="n">
        <v>0</v>
      </c>
      <c r="N166" s="157" t="n">
        <v>1964</v>
      </c>
      <c r="O166" s="157" t="n">
        <v>5148</v>
      </c>
      <c r="P166" s="157" t="n">
        <v>0</v>
      </c>
      <c r="Q166" s="157" t="n">
        <v>14</v>
      </c>
      <c r="R166" s="157" t="n">
        <v>1</v>
      </c>
      <c r="S166" s="157" t="n">
        <v>1</v>
      </c>
      <c r="T166" s="457" t="s">
        <v>7176</v>
      </c>
      <c r="U166" s="157" t="n">
        <v>398</v>
      </c>
      <c r="V166" s="458" t="n">
        <v>19156</v>
      </c>
      <c r="W166" s="458" t="n">
        <v>19000</v>
      </c>
      <c r="X166" s="445" t="s">
        <v>6863</v>
      </c>
      <c r="Y166" s="458" t="n">
        <v>10000</v>
      </c>
      <c r="Z166" s="457" t="s">
        <v>6638</v>
      </c>
      <c r="AD166" s="157" t="s">
        <v>7177</v>
      </c>
      <c r="AK166" s="459" t="s">
        <v>7162</v>
      </c>
    </row>
    <row r="167" s="157" customFormat="true" ht="12.75" hidden="false" customHeight="true" outlineLevel="0" collapsed="false">
      <c r="A167" s="456" t="n">
        <v>6</v>
      </c>
      <c r="B167" s="157" t="n">
        <v>162</v>
      </c>
      <c r="C167" s="157" t="s">
        <v>6633</v>
      </c>
      <c r="D167" s="157" t="s">
        <v>7178</v>
      </c>
      <c r="E167" s="457" t="s">
        <v>2461</v>
      </c>
      <c r="F167" s="157" t="s">
        <v>7179</v>
      </c>
      <c r="G167" s="157" t="n">
        <v>44.1</v>
      </c>
      <c r="H167" s="157" t="n">
        <v>9505</v>
      </c>
      <c r="I167" s="457" t="n">
        <v>0</v>
      </c>
      <c r="J167" s="458" t="n">
        <v>10600</v>
      </c>
      <c r="K167" s="167" t="n">
        <v>8.49056603773585</v>
      </c>
      <c r="L167" s="175" t="n">
        <v>0</v>
      </c>
      <c r="M167" s="175" t="n">
        <v>0</v>
      </c>
      <c r="N167" s="157" t="n">
        <v>1966</v>
      </c>
      <c r="O167" s="157" t="n">
        <v>3480</v>
      </c>
      <c r="P167" s="157" t="n">
        <v>0</v>
      </c>
      <c r="Q167" s="157" t="n">
        <v>13</v>
      </c>
      <c r="R167" s="157" t="n">
        <v>8</v>
      </c>
      <c r="S167" s="157" t="n">
        <v>1</v>
      </c>
      <c r="T167" s="457" t="s">
        <v>7180</v>
      </c>
      <c r="U167" s="157" t="n">
        <v>397</v>
      </c>
      <c r="V167" s="458" t="n">
        <v>25019</v>
      </c>
      <c r="W167" s="458" t="n">
        <v>25000</v>
      </c>
      <c r="X167" s="445" t="s">
        <v>6650</v>
      </c>
      <c r="Y167" s="458" t="n">
        <v>11000</v>
      </c>
      <c r="Z167" s="457" t="s">
        <v>6638</v>
      </c>
      <c r="AD167" s="157" t="s">
        <v>7181</v>
      </c>
      <c r="AK167" s="459"/>
    </row>
    <row r="168" s="157" customFormat="true" ht="12.75" hidden="false" customHeight="true" outlineLevel="0" collapsed="false">
      <c r="A168" s="456" t="n">
        <v>6</v>
      </c>
      <c r="B168" s="157" t="n">
        <v>163</v>
      </c>
      <c r="C168" s="157" t="s">
        <v>6633</v>
      </c>
      <c r="D168" s="157" t="s">
        <v>7182</v>
      </c>
      <c r="E168" s="457" t="s">
        <v>2461</v>
      </c>
      <c r="F168" s="157" t="s">
        <v>7183</v>
      </c>
      <c r="G168" s="157" t="n">
        <v>44.1</v>
      </c>
      <c r="H168" s="157" t="n">
        <v>9505</v>
      </c>
      <c r="I168" s="457" t="n">
        <v>0</v>
      </c>
      <c r="J168" s="458" t="n">
        <v>5038</v>
      </c>
      <c r="K168" s="167" t="n">
        <v>4.32711393410083</v>
      </c>
      <c r="L168" s="175" t="n">
        <v>0</v>
      </c>
      <c r="M168" s="175" t="n">
        <v>0.261605504587156</v>
      </c>
      <c r="N168" s="157" t="n">
        <v>1953</v>
      </c>
      <c r="O168" s="157" t="n">
        <v>325</v>
      </c>
      <c r="P168" s="157" t="n">
        <v>0</v>
      </c>
      <c r="Q168" s="157" t="n">
        <v>13</v>
      </c>
      <c r="R168" s="157" t="n">
        <v>6</v>
      </c>
      <c r="S168" s="157" t="n">
        <v>1</v>
      </c>
      <c r="T168" s="457" t="s">
        <v>6642</v>
      </c>
      <c r="U168" s="157" t="n">
        <v>398</v>
      </c>
      <c r="V168" s="458" t="n">
        <v>25929</v>
      </c>
      <c r="W168" s="458" t="n">
        <v>26000</v>
      </c>
      <c r="X168" s="445" t="s">
        <v>7184</v>
      </c>
      <c r="Y168" s="458" t="n">
        <v>5000</v>
      </c>
      <c r="Z168" s="457" t="s">
        <v>6638</v>
      </c>
      <c r="AK168" s="459" t="s">
        <v>6661</v>
      </c>
    </row>
    <row r="169" s="157" customFormat="true" ht="12.75" hidden="false" customHeight="true" outlineLevel="0" collapsed="false">
      <c r="A169" s="456" t="n">
        <v>6</v>
      </c>
      <c r="B169" s="157" t="n">
        <v>164</v>
      </c>
      <c r="C169" s="157" t="s">
        <v>6633</v>
      </c>
      <c r="D169" s="157" t="s">
        <v>7185</v>
      </c>
      <c r="E169" s="457" t="s">
        <v>2461</v>
      </c>
      <c r="F169" s="157" t="s">
        <v>7186</v>
      </c>
      <c r="G169" s="157" t="n">
        <v>44.1</v>
      </c>
      <c r="H169" s="157" t="n">
        <v>9505</v>
      </c>
      <c r="I169" s="457" t="n">
        <v>0</v>
      </c>
      <c r="J169" s="458" t="n">
        <v>6022</v>
      </c>
      <c r="K169" s="167" t="n">
        <v>6.57588840916639</v>
      </c>
      <c r="L169" s="175" t="n">
        <v>0</v>
      </c>
      <c r="M169" s="175" t="n">
        <v>0.225984848484849</v>
      </c>
      <c r="N169" s="157" t="n">
        <v>1981</v>
      </c>
      <c r="O169" s="157" t="n">
        <v>1470</v>
      </c>
      <c r="P169" s="157" t="n">
        <v>0</v>
      </c>
      <c r="Q169" s="157" t="n">
        <v>15</v>
      </c>
      <c r="R169" s="157" t="n">
        <v>3</v>
      </c>
      <c r="S169" s="157" t="n">
        <v>1</v>
      </c>
      <c r="T169" s="457" t="s">
        <v>6642</v>
      </c>
      <c r="U169" s="157" t="n">
        <v>398</v>
      </c>
      <c r="V169" s="458" t="n">
        <v>13115</v>
      </c>
      <c r="W169" s="458" t="n">
        <v>13000</v>
      </c>
      <c r="X169" s="445" t="s">
        <v>6700</v>
      </c>
      <c r="Y169" s="458" t="n">
        <v>6000</v>
      </c>
      <c r="Z169" s="457" t="s">
        <v>6638</v>
      </c>
      <c r="AK169" s="459" t="s">
        <v>6661</v>
      </c>
    </row>
    <row r="170" s="157" customFormat="true" ht="12.75" hidden="false" customHeight="true" outlineLevel="0" collapsed="false">
      <c r="A170" s="456" t="n">
        <v>6</v>
      </c>
      <c r="B170" s="157" t="n">
        <v>165</v>
      </c>
      <c r="C170" s="157" t="s">
        <v>6633</v>
      </c>
      <c r="D170" s="157" t="s">
        <v>7187</v>
      </c>
      <c r="E170" s="457" t="s">
        <v>2461</v>
      </c>
      <c r="F170" s="157" t="s">
        <v>7188</v>
      </c>
      <c r="G170" s="157" t="n">
        <v>44.2</v>
      </c>
      <c r="H170" s="157" t="n">
        <v>9505</v>
      </c>
      <c r="I170" s="457" t="n">
        <v>0</v>
      </c>
      <c r="J170" s="458" t="n">
        <v>32231</v>
      </c>
      <c r="K170" s="167" t="n">
        <v>4.95076168905712</v>
      </c>
      <c r="L170" s="175" t="n">
        <v>0</v>
      </c>
      <c r="M170" s="175" t="n">
        <v>0.0651759751328587</v>
      </c>
      <c r="N170" s="157" t="n">
        <v>1972</v>
      </c>
      <c r="O170" s="157" t="n">
        <v>5413</v>
      </c>
      <c r="P170" s="157" t="n">
        <v>0</v>
      </c>
      <c r="Q170" s="157" t="n">
        <v>24</v>
      </c>
      <c r="R170" s="157" t="n">
        <v>14</v>
      </c>
      <c r="S170" s="157" t="n">
        <v>3</v>
      </c>
      <c r="T170" s="457" t="s">
        <v>6847</v>
      </c>
      <c r="U170" s="157" t="n">
        <v>398</v>
      </c>
      <c r="V170" s="458" t="n">
        <v>53550</v>
      </c>
      <c r="W170" s="458" t="n">
        <v>54000</v>
      </c>
      <c r="X170" s="445" t="s">
        <v>6954</v>
      </c>
      <c r="Y170" s="458" t="n">
        <v>32000</v>
      </c>
      <c r="Z170" s="457" t="s">
        <v>6638</v>
      </c>
      <c r="AK170" s="459" t="s">
        <v>6697</v>
      </c>
    </row>
    <row r="171" s="157" customFormat="true" ht="12.75" hidden="false" customHeight="true" outlineLevel="0" collapsed="false">
      <c r="A171" s="456" t="n">
        <v>6</v>
      </c>
      <c r="B171" s="157" t="n">
        <v>166</v>
      </c>
      <c r="C171" s="157" t="s">
        <v>6633</v>
      </c>
      <c r="D171" s="157" t="s">
        <v>7189</v>
      </c>
      <c r="E171" s="457" t="s">
        <v>2461</v>
      </c>
      <c r="F171" s="157" t="s">
        <v>7190</v>
      </c>
      <c r="G171" s="157" t="n">
        <v>44.1</v>
      </c>
      <c r="H171" s="157" t="n">
        <v>9505</v>
      </c>
      <c r="I171" s="457" t="n">
        <v>0</v>
      </c>
      <c r="J171" s="458" t="n">
        <v>8944</v>
      </c>
      <c r="K171" s="167" t="n">
        <v>4.65966010733453</v>
      </c>
      <c r="L171" s="175" t="n">
        <v>0</v>
      </c>
      <c r="M171" s="175" t="n">
        <v>0</v>
      </c>
      <c r="N171" s="157" t="n">
        <v>1985</v>
      </c>
      <c r="O171" s="157" t="n">
        <v>5199</v>
      </c>
      <c r="P171" s="157" t="n">
        <v>0</v>
      </c>
      <c r="Q171" s="157" t="n">
        <v>20</v>
      </c>
      <c r="R171" s="157" t="n">
        <v>3</v>
      </c>
      <c r="S171" s="157" t="n">
        <v>1</v>
      </c>
      <c r="T171" s="457" t="s">
        <v>6847</v>
      </c>
      <c r="U171" s="157" t="n">
        <v>398</v>
      </c>
      <c r="V171" s="458" t="n">
        <v>53100</v>
      </c>
      <c r="W171" s="458" t="n">
        <v>53000</v>
      </c>
      <c r="X171" s="445" t="s">
        <v>7191</v>
      </c>
      <c r="Y171" s="458" t="n">
        <v>9000</v>
      </c>
      <c r="Z171" s="457" t="s">
        <v>6638</v>
      </c>
      <c r="AD171" s="157" t="s">
        <v>7192</v>
      </c>
      <c r="AK171" s="459"/>
    </row>
    <row r="172" s="157" customFormat="true" ht="12.75" hidden="false" customHeight="true" outlineLevel="0" collapsed="false">
      <c r="A172" s="456" t="n">
        <v>6</v>
      </c>
      <c r="B172" s="157" t="n">
        <v>167</v>
      </c>
      <c r="C172" s="157" t="s">
        <v>6633</v>
      </c>
      <c r="D172" s="157" t="s">
        <v>7193</v>
      </c>
      <c r="E172" s="457" t="s">
        <v>2461</v>
      </c>
      <c r="F172" s="157" t="s">
        <v>7194</v>
      </c>
      <c r="G172" s="157" t="n">
        <v>47.1</v>
      </c>
      <c r="H172" s="157" t="n">
        <v>9505</v>
      </c>
      <c r="I172" s="457" t="n">
        <v>0</v>
      </c>
      <c r="J172" s="458" t="n">
        <v>5328</v>
      </c>
      <c r="K172" s="167" t="n">
        <v>3.37837837837838</v>
      </c>
      <c r="L172" s="175" t="n">
        <v>0</v>
      </c>
      <c r="M172" s="175" t="n">
        <v>0</v>
      </c>
      <c r="N172" s="157" t="n">
        <v>1952</v>
      </c>
      <c r="O172" s="157" t="n">
        <v>0</v>
      </c>
      <c r="P172" s="157" t="n">
        <v>0</v>
      </c>
      <c r="Q172" s="157" t="n">
        <v>12</v>
      </c>
      <c r="R172" s="157" t="n">
        <v>1</v>
      </c>
      <c r="S172" s="157" t="n">
        <v>1</v>
      </c>
      <c r="T172" s="457" t="s">
        <v>6847</v>
      </c>
      <c r="U172" s="157" t="n">
        <v>401</v>
      </c>
      <c r="V172" s="458" t="n">
        <v>10845</v>
      </c>
      <c r="W172" s="458" t="n">
        <v>11000</v>
      </c>
      <c r="X172" s="445" t="s">
        <v>6767</v>
      </c>
      <c r="Y172" s="458" t="n">
        <v>5000</v>
      </c>
      <c r="Z172" s="457" t="s">
        <v>6638</v>
      </c>
      <c r="AK172" s="459" t="s">
        <v>6697</v>
      </c>
    </row>
    <row r="173" s="157" customFormat="true" ht="12.75" hidden="false" customHeight="true" outlineLevel="0" collapsed="false">
      <c r="A173" s="456" t="n">
        <v>6</v>
      </c>
      <c r="B173" s="157" t="n">
        <v>168</v>
      </c>
      <c r="C173" s="157" t="s">
        <v>6633</v>
      </c>
      <c r="D173" s="157" t="s">
        <v>7195</v>
      </c>
      <c r="E173" s="457" t="s">
        <v>2461</v>
      </c>
      <c r="F173" s="157" t="s">
        <v>7196</v>
      </c>
      <c r="G173" s="157" t="n">
        <v>44.1</v>
      </c>
      <c r="H173" s="157" t="n">
        <v>9505</v>
      </c>
      <c r="I173" s="457" t="n">
        <v>0</v>
      </c>
      <c r="J173" s="458" t="n">
        <v>6504</v>
      </c>
      <c r="K173" s="167" t="n">
        <v>7.56457564575646</v>
      </c>
      <c r="L173" s="175" t="n">
        <v>0</v>
      </c>
      <c r="M173" s="175" t="n">
        <v>0.0386382113821138</v>
      </c>
      <c r="N173" s="157" t="n">
        <v>1974</v>
      </c>
      <c r="O173" s="157" t="n">
        <v>720</v>
      </c>
      <c r="P173" s="157" t="n">
        <v>0</v>
      </c>
      <c r="Q173" s="157" t="n">
        <v>12</v>
      </c>
      <c r="R173" s="157" t="n">
        <v>1</v>
      </c>
      <c r="S173" s="157" t="n">
        <v>1</v>
      </c>
      <c r="T173" s="457" t="s">
        <v>6847</v>
      </c>
      <c r="U173" s="157" t="n">
        <v>398</v>
      </c>
      <c r="V173" s="458" t="n">
        <v>15845</v>
      </c>
      <c r="W173" s="458" t="n">
        <v>16000</v>
      </c>
      <c r="X173" s="445" t="s">
        <v>6650</v>
      </c>
      <c r="Y173" s="458" t="n">
        <v>7000</v>
      </c>
      <c r="Z173" s="457" t="s">
        <v>6638</v>
      </c>
      <c r="AK173" s="459"/>
    </row>
    <row r="174" s="157" customFormat="true" ht="12.75" hidden="false" customHeight="true" outlineLevel="0" collapsed="false">
      <c r="A174" s="456" t="n">
        <v>6</v>
      </c>
      <c r="B174" s="157" t="n">
        <v>169</v>
      </c>
      <c r="C174" s="157" t="s">
        <v>6633</v>
      </c>
      <c r="D174" s="157" t="s">
        <v>7197</v>
      </c>
      <c r="E174" s="457" t="s">
        <v>2461</v>
      </c>
      <c r="F174" s="157" t="s">
        <v>7198</v>
      </c>
      <c r="G174" s="157" t="n">
        <v>44.2</v>
      </c>
      <c r="H174" s="157" t="n">
        <v>9505</v>
      </c>
      <c r="I174" s="457" t="n">
        <v>0</v>
      </c>
      <c r="J174" s="458" t="n">
        <v>38324</v>
      </c>
      <c r="K174" s="167" t="n">
        <v>5.63683331593779</v>
      </c>
      <c r="L174" s="175" t="n">
        <v>0</v>
      </c>
      <c r="M174" s="175" t="n">
        <v>0</v>
      </c>
      <c r="N174" s="157" t="n">
        <v>1979</v>
      </c>
      <c r="O174" s="157" t="n">
        <v>3210</v>
      </c>
      <c r="P174" s="157" t="n">
        <v>4222</v>
      </c>
      <c r="Q174" s="157" t="n">
        <v>20</v>
      </c>
      <c r="R174" s="157" t="n">
        <v>14</v>
      </c>
      <c r="S174" s="157" t="n">
        <v>2</v>
      </c>
      <c r="T174" s="457" t="s">
        <v>6642</v>
      </c>
      <c r="U174" s="157" t="n">
        <v>398</v>
      </c>
      <c r="V174" s="458" t="n">
        <v>58979</v>
      </c>
      <c r="W174" s="458" t="n">
        <v>59000</v>
      </c>
      <c r="X174" s="445" t="s">
        <v>6837</v>
      </c>
      <c r="Y174" s="458" t="n">
        <v>38000</v>
      </c>
      <c r="Z174" s="457" t="s">
        <v>6638</v>
      </c>
      <c r="AD174" s="157" t="s">
        <v>7199</v>
      </c>
      <c r="AK174" s="459"/>
    </row>
    <row r="175" s="157" customFormat="true" ht="12.75" hidden="false" customHeight="true" outlineLevel="0" collapsed="false">
      <c r="A175" s="456" t="n">
        <v>6</v>
      </c>
      <c r="B175" s="157" t="n">
        <v>170</v>
      </c>
      <c r="C175" s="157" t="s">
        <v>6633</v>
      </c>
      <c r="D175" s="157" t="s">
        <v>7200</v>
      </c>
      <c r="E175" s="457" t="s">
        <v>2461</v>
      </c>
      <c r="F175" s="157" t="s">
        <v>7201</v>
      </c>
      <c r="G175" s="157" t="n">
        <v>44.1</v>
      </c>
      <c r="H175" s="157" t="n">
        <v>9505</v>
      </c>
      <c r="I175" s="457" t="n">
        <v>0</v>
      </c>
      <c r="J175" s="458" t="n">
        <v>6035</v>
      </c>
      <c r="K175" s="167" t="n">
        <v>10.9362054681027</v>
      </c>
      <c r="L175" s="175" t="n">
        <v>0</v>
      </c>
      <c r="M175" s="175" t="n">
        <v>0.0556969696969697</v>
      </c>
      <c r="N175" s="157" t="n">
        <v>1963</v>
      </c>
      <c r="O175" s="157" t="n">
        <v>3240</v>
      </c>
      <c r="P175" s="157" t="n">
        <v>0</v>
      </c>
      <c r="Q175" s="157" t="n">
        <v>14</v>
      </c>
      <c r="R175" s="157" t="n">
        <v>1</v>
      </c>
      <c r="S175" s="157" t="n">
        <v>2</v>
      </c>
      <c r="T175" s="457" t="s">
        <v>6642</v>
      </c>
      <c r="U175" s="157" t="n">
        <v>398</v>
      </c>
      <c r="V175" s="458" t="n">
        <v>13219</v>
      </c>
      <c r="W175" s="458" t="n">
        <v>13000</v>
      </c>
      <c r="X175" s="445" t="s">
        <v>6700</v>
      </c>
      <c r="Y175" s="458" t="n">
        <v>6000</v>
      </c>
      <c r="Z175" s="457" t="s">
        <v>6638</v>
      </c>
      <c r="AK175" s="459"/>
    </row>
    <row r="176" s="157" customFormat="true" ht="12.75" hidden="false" customHeight="true" outlineLevel="0" collapsed="false">
      <c r="A176" s="456" t="n">
        <v>6</v>
      </c>
      <c r="B176" s="157" t="n">
        <v>171</v>
      </c>
      <c r="C176" s="157" t="s">
        <v>6633</v>
      </c>
      <c r="D176" s="157" t="s">
        <v>7202</v>
      </c>
      <c r="E176" s="457" t="s">
        <v>2461</v>
      </c>
      <c r="F176" s="157" t="s">
        <v>7203</v>
      </c>
      <c r="G176" s="157" t="n">
        <v>44.1</v>
      </c>
      <c r="H176" s="157" t="n">
        <v>9505</v>
      </c>
      <c r="I176" s="457" t="n">
        <v>0</v>
      </c>
      <c r="J176" s="458" t="n">
        <v>5580</v>
      </c>
      <c r="K176" s="167" t="n">
        <v>11.8279569892473</v>
      </c>
      <c r="L176" s="175" t="n">
        <v>0</v>
      </c>
      <c r="M176" s="175" t="n">
        <v>0</v>
      </c>
      <c r="N176" s="157" t="n">
        <v>1965</v>
      </c>
      <c r="O176" s="157" t="n">
        <v>1571</v>
      </c>
      <c r="P176" s="157" t="n">
        <v>0</v>
      </c>
      <c r="Q176" s="157" t="n">
        <v>15</v>
      </c>
      <c r="R176" s="157" t="n">
        <v>3</v>
      </c>
      <c r="S176" s="157" t="n">
        <v>1</v>
      </c>
      <c r="T176" s="457" t="s">
        <v>6680</v>
      </c>
      <c r="U176" s="157" t="n">
        <v>398</v>
      </c>
      <c r="V176" s="458" t="n">
        <v>8800</v>
      </c>
      <c r="W176" s="458" t="n">
        <v>9000</v>
      </c>
      <c r="X176" s="445" t="s">
        <v>6668</v>
      </c>
      <c r="Y176" s="458" t="n">
        <v>6000</v>
      </c>
      <c r="Z176" s="457" t="s">
        <v>6638</v>
      </c>
      <c r="AK176" s="459" t="s">
        <v>6665</v>
      </c>
    </row>
    <row r="177" s="157" customFormat="true" ht="12.75" hidden="false" customHeight="true" outlineLevel="0" collapsed="false">
      <c r="A177" s="456" t="n">
        <v>6</v>
      </c>
      <c r="B177" s="157" t="n">
        <v>171.2</v>
      </c>
      <c r="C177" s="157" t="s">
        <v>6633</v>
      </c>
      <c r="D177" s="157" t="s">
        <v>7204</v>
      </c>
      <c r="E177" s="457" t="s">
        <v>2461</v>
      </c>
      <c r="F177" s="157" t="s">
        <v>7205</v>
      </c>
      <c r="G177" s="157" t="n">
        <v>44.2</v>
      </c>
      <c r="H177" s="157" t="n">
        <v>9505</v>
      </c>
      <c r="I177" s="457" t="n">
        <v>0</v>
      </c>
      <c r="J177" s="458" t="n">
        <v>14906</v>
      </c>
      <c r="K177" s="167" t="n">
        <v>4.75</v>
      </c>
      <c r="L177" s="175" t="n">
        <v>0</v>
      </c>
      <c r="M177" s="175" t="n">
        <v>0.05</v>
      </c>
      <c r="N177" s="157" t="n">
        <v>1963</v>
      </c>
      <c r="O177" s="157" t="n">
        <v>5000</v>
      </c>
      <c r="P177" s="157" t="n">
        <v>0</v>
      </c>
      <c r="Q177" s="157" t="n">
        <v>19</v>
      </c>
      <c r="R177" s="157" t="n">
        <v>3</v>
      </c>
      <c r="S177" s="157" t="n">
        <v>1</v>
      </c>
      <c r="T177" s="457" t="s">
        <v>6680</v>
      </c>
      <c r="U177" s="157" t="n">
        <v>398</v>
      </c>
      <c r="V177" s="458" t="n">
        <v>31899</v>
      </c>
      <c r="W177" s="458" t="n">
        <v>32000</v>
      </c>
      <c r="X177" s="445" t="s">
        <v>6754</v>
      </c>
      <c r="Y177" s="458" t="n">
        <v>15000</v>
      </c>
      <c r="Z177" s="457" t="s">
        <v>6638</v>
      </c>
    </row>
    <row r="178" s="157" customFormat="true" ht="12.75" hidden="false" customHeight="true" outlineLevel="0" collapsed="false">
      <c r="A178" s="456" t="n">
        <v>6</v>
      </c>
      <c r="B178" s="157" t="n">
        <v>172</v>
      </c>
      <c r="C178" s="157" t="s">
        <v>6633</v>
      </c>
      <c r="D178" s="157" t="s">
        <v>7206</v>
      </c>
      <c r="E178" s="457" t="s">
        <v>2461</v>
      </c>
      <c r="F178" s="157" t="s">
        <v>7207</v>
      </c>
      <c r="G178" s="157" t="n">
        <v>44.1</v>
      </c>
      <c r="H178" s="157" t="n">
        <v>9508</v>
      </c>
      <c r="I178" s="457" t="n">
        <v>0</v>
      </c>
      <c r="J178" s="458" t="n">
        <v>5000</v>
      </c>
      <c r="K178" s="167" t="n">
        <v>6</v>
      </c>
      <c r="L178" s="175" t="n">
        <v>0</v>
      </c>
      <c r="M178" s="175" t="n">
        <v>0.0642333333333333</v>
      </c>
      <c r="N178" s="157" t="n">
        <v>1972</v>
      </c>
      <c r="O178" s="157" t="n">
        <v>1600</v>
      </c>
      <c r="P178" s="157" t="n">
        <v>0</v>
      </c>
      <c r="Q178" s="157" t="n">
        <v>11</v>
      </c>
      <c r="R178" s="157" t="n">
        <v>8</v>
      </c>
      <c r="S178" s="157" t="n">
        <v>1</v>
      </c>
      <c r="T178" s="457" t="s">
        <v>7111</v>
      </c>
      <c r="U178" s="157" t="n">
        <v>398</v>
      </c>
      <c r="V178" s="458" t="n">
        <v>17464</v>
      </c>
      <c r="W178" s="458" t="n">
        <v>17000</v>
      </c>
      <c r="X178" s="445" t="s">
        <v>7208</v>
      </c>
      <c r="Y178" s="458" t="n">
        <v>5000</v>
      </c>
      <c r="Z178" s="457" t="s">
        <v>6638</v>
      </c>
      <c r="AD178" s="157" t="s">
        <v>7209</v>
      </c>
      <c r="AK178" s="459" t="s">
        <v>6990</v>
      </c>
    </row>
    <row r="179" s="157" customFormat="true" ht="12.75" hidden="false" customHeight="true" outlineLevel="0" collapsed="false">
      <c r="A179" s="456" t="n">
        <v>6</v>
      </c>
      <c r="B179" s="157" t="n">
        <v>173</v>
      </c>
      <c r="C179" s="157" t="s">
        <v>6633</v>
      </c>
      <c r="D179" s="157" t="s">
        <v>7210</v>
      </c>
      <c r="E179" s="457" t="s">
        <v>2461</v>
      </c>
      <c r="F179" s="157" t="s">
        <v>7211</v>
      </c>
      <c r="G179" s="157" t="n">
        <v>44.2</v>
      </c>
      <c r="H179" s="157" t="n">
        <v>9508</v>
      </c>
      <c r="I179" s="457" t="n">
        <v>0</v>
      </c>
      <c r="J179" s="458" t="n">
        <v>45304</v>
      </c>
      <c r="K179" s="167" t="n">
        <v>5.73446053328624</v>
      </c>
      <c r="L179" s="175" t="n">
        <v>0</v>
      </c>
      <c r="M179" s="175" t="n">
        <v>0.171616742495978</v>
      </c>
      <c r="N179" s="157" t="n">
        <v>1961</v>
      </c>
      <c r="O179" s="157" t="n">
        <v>9060</v>
      </c>
      <c r="P179" s="157" t="n">
        <v>0</v>
      </c>
      <c r="Q179" s="157" t="n">
        <v>17</v>
      </c>
      <c r="R179" s="157" t="n">
        <v>1</v>
      </c>
      <c r="S179" s="157" t="n">
        <v>1</v>
      </c>
      <c r="T179" s="457" t="s">
        <v>6680</v>
      </c>
      <c r="U179" s="157" t="n">
        <v>398</v>
      </c>
      <c r="V179" s="458" t="n">
        <v>77700</v>
      </c>
      <c r="W179" s="458" t="n">
        <v>78000</v>
      </c>
      <c r="X179" s="445" t="s">
        <v>6954</v>
      </c>
      <c r="Y179" s="458" t="n">
        <v>45000</v>
      </c>
      <c r="Z179" s="457" t="s">
        <v>6638</v>
      </c>
      <c r="AK179" s="459" t="s">
        <v>7212</v>
      </c>
    </row>
    <row r="180" s="157" customFormat="true" ht="12.75" hidden="false" customHeight="true" outlineLevel="0" collapsed="false">
      <c r="A180" s="456" t="n">
        <v>6</v>
      </c>
      <c r="B180" s="157" t="n">
        <v>174</v>
      </c>
      <c r="C180" s="157" t="s">
        <v>6633</v>
      </c>
      <c r="D180" s="157" t="s">
        <v>7213</v>
      </c>
      <c r="E180" s="457" t="s">
        <v>2461</v>
      </c>
      <c r="F180" s="157" t="s">
        <v>7214</v>
      </c>
      <c r="G180" s="460" t="n">
        <v>46</v>
      </c>
      <c r="H180" s="157" t="n">
        <v>9508</v>
      </c>
      <c r="I180" s="457" t="n">
        <v>4</v>
      </c>
      <c r="J180" s="458" t="n">
        <v>7221</v>
      </c>
      <c r="K180" s="167" t="n">
        <v>6.85714285714286</v>
      </c>
      <c r="L180" s="175" t="n">
        <v>0</v>
      </c>
      <c r="M180" s="175" t="n">
        <v>0</v>
      </c>
      <c r="N180" s="157" t="n">
        <v>1948</v>
      </c>
      <c r="O180" s="157" t="n">
        <v>0</v>
      </c>
      <c r="P180" s="157" t="n">
        <v>0</v>
      </c>
      <c r="Q180" s="157" t="n">
        <v>12</v>
      </c>
      <c r="R180" s="157" t="n">
        <v>1</v>
      </c>
      <c r="S180" s="157" t="n">
        <v>1</v>
      </c>
      <c r="T180" s="457" t="s">
        <v>6972</v>
      </c>
      <c r="U180" s="157" t="n">
        <v>401</v>
      </c>
      <c r="V180" s="458" t="n">
        <v>12500</v>
      </c>
      <c r="W180" s="458" t="n">
        <v>13000</v>
      </c>
      <c r="X180" s="445" t="s">
        <v>6954</v>
      </c>
      <c r="Y180" s="458" t="n">
        <v>7000</v>
      </c>
      <c r="Z180" s="457" t="s">
        <v>6638</v>
      </c>
      <c r="AD180" s="157" t="s">
        <v>7215</v>
      </c>
      <c r="AK180" s="459"/>
    </row>
    <row r="181" s="157" customFormat="true" ht="12.75" hidden="false" customHeight="true" outlineLevel="0" collapsed="false">
      <c r="A181" s="456" t="n">
        <v>6</v>
      </c>
      <c r="B181" s="157" t="n">
        <v>175</v>
      </c>
      <c r="C181" s="157" t="s">
        <v>6633</v>
      </c>
      <c r="D181" s="157" t="s">
        <v>7216</v>
      </c>
      <c r="E181" s="457" t="s">
        <v>2461</v>
      </c>
      <c r="F181" s="157" t="s">
        <v>7217</v>
      </c>
      <c r="G181" s="157" t="n">
        <v>44.2</v>
      </c>
      <c r="H181" s="157" t="n">
        <v>9508</v>
      </c>
      <c r="I181" s="457" t="n">
        <v>0</v>
      </c>
      <c r="J181" s="458" t="n">
        <v>18000</v>
      </c>
      <c r="K181" s="167" t="n">
        <v>6.36666666666667</v>
      </c>
      <c r="L181" s="175" t="n">
        <v>0</v>
      </c>
      <c r="M181" s="175" t="n">
        <v>0.0404013961605585</v>
      </c>
      <c r="N181" s="157" t="n">
        <v>1954</v>
      </c>
      <c r="O181" s="157" t="n">
        <v>4000</v>
      </c>
      <c r="P181" s="157" t="n">
        <v>0</v>
      </c>
      <c r="Q181" s="157" t="n">
        <v>14</v>
      </c>
      <c r="R181" s="157" t="n">
        <v>1</v>
      </c>
      <c r="S181" s="157" t="n">
        <v>2</v>
      </c>
      <c r="T181" s="457" t="s">
        <v>6680</v>
      </c>
      <c r="U181" s="157" t="n">
        <v>398</v>
      </c>
      <c r="V181" s="458" t="n">
        <v>34375</v>
      </c>
      <c r="W181" s="458" t="n">
        <v>34000</v>
      </c>
      <c r="X181" s="445" t="s">
        <v>6675</v>
      </c>
      <c r="Y181" s="458" t="n">
        <v>18000</v>
      </c>
      <c r="Z181" s="457" t="s">
        <v>6638</v>
      </c>
      <c r="AD181" s="157" t="s">
        <v>7218</v>
      </c>
      <c r="AK181" s="459"/>
    </row>
    <row r="182" s="157" customFormat="true" ht="12.75" hidden="false" customHeight="true" outlineLevel="0" collapsed="false">
      <c r="A182" s="456" t="n">
        <v>6</v>
      </c>
      <c r="B182" s="157" t="n">
        <v>176</v>
      </c>
      <c r="C182" s="157" t="s">
        <v>6633</v>
      </c>
      <c r="D182" s="157" t="s">
        <v>7219</v>
      </c>
      <c r="E182" s="457" t="s">
        <v>2461</v>
      </c>
      <c r="F182" s="157" t="s">
        <v>7220</v>
      </c>
      <c r="G182" s="157" t="n">
        <v>44.1</v>
      </c>
      <c r="H182" s="157" t="n">
        <v>9508</v>
      </c>
      <c r="I182" s="457" t="n">
        <v>0</v>
      </c>
      <c r="J182" s="458" t="n">
        <v>3704</v>
      </c>
      <c r="K182" s="167" t="n">
        <v>7.77537796976242</v>
      </c>
      <c r="L182" s="175" t="n">
        <v>0</v>
      </c>
      <c r="M182" s="175" t="n">
        <v>0.0826388888888889</v>
      </c>
      <c r="N182" s="157" t="n">
        <v>1963</v>
      </c>
      <c r="O182" s="157" t="n">
        <v>644</v>
      </c>
      <c r="P182" s="157" t="n">
        <v>0</v>
      </c>
      <c r="Q182" s="157" t="n">
        <v>11</v>
      </c>
      <c r="R182" s="157" t="n">
        <v>1</v>
      </c>
      <c r="S182" s="157" t="n">
        <v>1</v>
      </c>
      <c r="T182" s="457" t="s">
        <v>6680</v>
      </c>
      <c r="U182" s="157" t="n">
        <v>398</v>
      </c>
      <c r="V182" s="458" t="n">
        <v>6000</v>
      </c>
      <c r="W182" s="458" t="n">
        <v>6000</v>
      </c>
      <c r="X182" s="445" t="s">
        <v>6668</v>
      </c>
      <c r="Y182" s="458" t="n">
        <v>4000</v>
      </c>
      <c r="Z182" s="457" t="s">
        <v>6638</v>
      </c>
      <c r="AD182" s="157" t="s">
        <v>7221</v>
      </c>
      <c r="AK182" s="459" t="s">
        <v>6665</v>
      </c>
    </row>
    <row r="183" s="157" customFormat="true" ht="25.5" hidden="false" customHeight="true" outlineLevel="0" collapsed="false">
      <c r="A183" s="456" t="n">
        <v>6</v>
      </c>
      <c r="B183" s="157" t="n">
        <v>177</v>
      </c>
      <c r="C183" s="157" t="s">
        <v>6633</v>
      </c>
      <c r="D183" s="157" t="s">
        <v>7222</v>
      </c>
      <c r="E183" s="457" t="s">
        <v>2461</v>
      </c>
      <c r="F183" s="157" t="s">
        <v>7223</v>
      </c>
      <c r="G183" s="157" t="n">
        <v>44.1</v>
      </c>
      <c r="H183" s="157" t="n">
        <v>9508</v>
      </c>
      <c r="I183" s="457" t="n">
        <v>0</v>
      </c>
      <c r="J183" s="458" t="n">
        <v>16096</v>
      </c>
      <c r="K183" s="167" t="n">
        <v>6.49875745526839</v>
      </c>
      <c r="L183" s="175" t="n">
        <v>0</v>
      </c>
      <c r="M183" s="175" t="n">
        <v>0.00286795916026156</v>
      </c>
      <c r="N183" s="157" t="n">
        <v>1960</v>
      </c>
      <c r="O183" s="157" t="n">
        <v>4848</v>
      </c>
      <c r="P183" s="157" t="n">
        <v>0</v>
      </c>
      <c r="Q183" s="157" t="n">
        <v>15</v>
      </c>
      <c r="R183" s="157" t="n">
        <v>3</v>
      </c>
      <c r="S183" s="157" t="n">
        <v>1</v>
      </c>
      <c r="T183" s="457" t="s">
        <v>6680</v>
      </c>
      <c r="U183" s="157" t="n">
        <v>398</v>
      </c>
      <c r="V183" s="458" t="n">
        <v>30000</v>
      </c>
      <c r="W183" s="458" t="n">
        <v>30000</v>
      </c>
      <c r="X183" s="445" t="s">
        <v>6675</v>
      </c>
      <c r="Y183" s="458" t="n">
        <v>16000</v>
      </c>
      <c r="Z183" s="457" t="s">
        <v>6638</v>
      </c>
      <c r="AD183" s="157" t="s">
        <v>7224</v>
      </c>
      <c r="AK183" s="459" t="s">
        <v>7225</v>
      </c>
    </row>
    <row r="184" s="157" customFormat="true" ht="12.75" hidden="false" customHeight="true" outlineLevel="0" collapsed="false">
      <c r="A184" s="456" t="n">
        <v>6</v>
      </c>
      <c r="B184" s="157" t="n">
        <v>178</v>
      </c>
      <c r="C184" s="157" t="s">
        <v>6633</v>
      </c>
      <c r="D184" s="157" t="s">
        <v>7226</v>
      </c>
      <c r="E184" s="457" t="s">
        <v>2461</v>
      </c>
      <c r="F184" s="157" t="s">
        <v>7227</v>
      </c>
      <c r="G184" s="157" t="n">
        <v>44.1</v>
      </c>
      <c r="H184" s="157" t="n">
        <v>9508</v>
      </c>
      <c r="I184" s="457" t="n">
        <v>0</v>
      </c>
      <c r="J184" s="458" t="n">
        <v>14000</v>
      </c>
      <c r="K184" s="167" t="n">
        <v>8.625</v>
      </c>
      <c r="L184" s="175" t="n">
        <v>0</v>
      </c>
      <c r="M184" s="175" t="n">
        <v>0.000770186335403727</v>
      </c>
      <c r="N184" s="157" t="n">
        <v>1972</v>
      </c>
      <c r="O184" s="157" t="n">
        <v>6213</v>
      </c>
      <c r="P184" s="157" t="n">
        <v>0</v>
      </c>
      <c r="Q184" s="157" t="n">
        <v>18</v>
      </c>
      <c r="R184" s="157" t="n">
        <v>3</v>
      </c>
      <c r="S184" s="157" t="n">
        <v>1</v>
      </c>
      <c r="T184" s="457" t="s">
        <v>6636</v>
      </c>
      <c r="U184" s="157" t="n">
        <v>398</v>
      </c>
      <c r="V184" s="458" t="n">
        <v>27787</v>
      </c>
      <c r="W184" s="458" t="n">
        <v>28000</v>
      </c>
      <c r="X184" s="445" t="s">
        <v>6767</v>
      </c>
      <c r="Y184" s="458" t="n">
        <v>14000</v>
      </c>
      <c r="Z184" s="457" t="s">
        <v>6638</v>
      </c>
      <c r="AD184" s="157" t="s">
        <v>7228</v>
      </c>
      <c r="AK184" s="459"/>
    </row>
    <row r="185" s="157" customFormat="true" ht="12.75" hidden="false" customHeight="true" outlineLevel="0" collapsed="false">
      <c r="A185" s="456" t="n">
        <v>6</v>
      </c>
      <c r="B185" s="157" t="n">
        <v>179</v>
      </c>
      <c r="C185" s="157" t="s">
        <v>6633</v>
      </c>
      <c r="D185" s="157" t="s">
        <v>7229</v>
      </c>
      <c r="E185" s="457" t="s">
        <v>2461</v>
      </c>
      <c r="F185" s="157" t="s">
        <v>7230</v>
      </c>
      <c r="G185" s="157" t="n">
        <v>44.1</v>
      </c>
      <c r="H185" s="157" t="n">
        <v>9508</v>
      </c>
      <c r="I185" s="457" t="n">
        <v>0</v>
      </c>
      <c r="J185" s="458" t="n">
        <v>7040</v>
      </c>
      <c r="K185" s="167" t="n">
        <v>5.11363636363636</v>
      </c>
      <c r="L185" s="175" t="n">
        <v>0</v>
      </c>
      <c r="M185" s="175" t="n">
        <v>0</v>
      </c>
      <c r="N185" s="157" t="n">
        <v>1972</v>
      </c>
      <c r="O185" s="157" t="n">
        <v>914</v>
      </c>
      <c r="P185" s="157" t="n">
        <v>0</v>
      </c>
      <c r="Q185" s="157" t="n">
        <v>24</v>
      </c>
      <c r="R185" s="157" t="n">
        <v>14</v>
      </c>
      <c r="S185" s="157" t="n">
        <v>1</v>
      </c>
      <c r="T185" s="457" t="s">
        <v>6636</v>
      </c>
      <c r="U185" s="157" t="n">
        <v>398</v>
      </c>
      <c r="V185" s="458" t="n">
        <v>32000</v>
      </c>
      <c r="W185" s="458" t="n">
        <v>32000</v>
      </c>
      <c r="X185" s="445" t="s">
        <v>7080</v>
      </c>
      <c r="Y185" s="458" t="n">
        <v>7000</v>
      </c>
      <c r="Z185" s="457" t="s">
        <v>6638</v>
      </c>
      <c r="AK185" s="459"/>
    </row>
    <row r="186" s="157" customFormat="true" ht="12.75" hidden="false" customHeight="true" outlineLevel="0" collapsed="false">
      <c r="A186" s="456" t="n">
        <v>6</v>
      </c>
      <c r="B186" s="157" t="n">
        <v>180</v>
      </c>
      <c r="C186" s="157" t="s">
        <v>6633</v>
      </c>
      <c r="D186" s="157" t="s">
        <v>7231</v>
      </c>
      <c r="E186" s="457" t="s">
        <v>2461</v>
      </c>
      <c r="F186" s="157" t="s">
        <v>7232</v>
      </c>
      <c r="G186" s="157" t="n">
        <v>44.1</v>
      </c>
      <c r="H186" s="157" t="n">
        <v>9508</v>
      </c>
      <c r="I186" s="457" t="n">
        <v>0</v>
      </c>
      <c r="J186" s="458" t="n">
        <v>7692</v>
      </c>
      <c r="K186" s="167" t="n">
        <v>10.3659646385855</v>
      </c>
      <c r="L186" s="175" t="n">
        <v>0</v>
      </c>
      <c r="M186" s="175" t="n">
        <v>0.00546811312472565</v>
      </c>
      <c r="N186" s="157" t="n">
        <v>1974</v>
      </c>
      <c r="O186" s="157" t="n">
        <v>0</v>
      </c>
      <c r="P186" s="157" t="n">
        <v>3161</v>
      </c>
      <c r="Q186" s="157" t="n">
        <v>18</v>
      </c>
      <c r="R186" s="157" t="n">
        <v>14</v>
      </c>
      <c r="S186" s="157" t="n">
        <v>1</v>
      </c>
      <c r="T186" s="457" t="s">
        <v>6636</v>
      </c>
      <c r="U186" s="157" t="n">
        <v>398</v>
      </c>
      <c r="V186" s="458" t="n">
        <v>16250</v>
      </c>
      <c r="W186" s="458" t="n">
        <v>16000</v>
      </c>
      <c r="X186" s="445" t="s">
        <v>6754</v>
      </c>
      <c r="Y186" s="458" t="n">
        <v>8000</v>
      </c>
      <c r="Z186" s="457" t="s">
        <v>6638</v>
      </c>
      <c r="AK186" s="459" t="s">
        <v>7233</v>
      </c>
    </row>
    <row r="187" s="157" customFormat="true" ht="12.75" hidden="false" customHeight="true" outlineLevel="0" collapsed="false">
      <c r="A187" s="456" t="n">
        <v>6</v>
      </c>
      <c r="B187" s="157" t="n">
        <v>181</v>
      </c>
      <c r="C187" s="157" t="s">
        <v>6633</v>
      </c>
      <c r="D187" s="157" t="s">
        <v>7234</v>
      </c>
      <c r="E187" s="457" t="s">
        <v>2461</v>
      </c>
      <c r="F187" s="157" t="s">
        <v>7235</v>
      </c>
      <c r="G187" s="157" t="n">
        <v>44.8</v>
      </c>
      <c r="H187" s="157" t="n">
        <v>9508</v>
      </c>
      <c r="I187" s="457" t="n">
        <v>0</v>
      </c>
      <c r="J187" s="458" t="n">
        <v>12922</v>
      </c>
      <c r="K187" s="167" t="n">
        <v>5.24996130629933</v>
      </c>
      <c r="L187" s="175" t="n">
        <v>0</v>
      </c>
      <c r="M187" s="175" t="n">
        <v>0</v>
      </c>
      <c r="N187" s="157" t="n">
        <v>1968</v>
      </c>
      <c r="O187" s="157" t="n">
        <v>0</v>
      </c>
      <c r="P187" s="157" t="n">
        <v>0</v>
      </c>
      <c r="Q187" s="157" t="n">
        <v>20</v>
      </c>
      <c r="R187" s="157" t="n">
        <v>14</v>
      </c>
      <c r="S187" s="157" t="n">
        <v>1</v>
      </c>
      <c r="T187" s="457" t="s">
        <v>6680</v>
      </c>
      <c r="U187" s="157" t="n">
        <v>398</v>
      </c>
      <c r="V187" s="458" t="n">
        <v>14086</v>
      </c>
      <c r="W187" s="458" t="n">
        <v>14000</v>
      </c>
      <c r="X187" s="445" t="s">
        <v>7043</v>
      </c>
      <c r="Y187" s="458" t="n">
        <v>13000</v>
      </c>
      <c r="Z187" s="457" t="s">
        <v>6638</v>
      </c>
      <c r="AK187" s="459" t="s">
        <v>7236</v>
      </c>
    </row>
    <row r="188" s="157" customFormat="true" ht="25.5" hidden="false" customHeight="true" outlineLevel="0" collapsed="false">
      <c r="A188" s="456" t="n">
        <v>6</v>
      </c>
      <c r="B188" s="157" t="n">
        <v>182</v>
      </c>
      <c r="C188" s="157" t="s">
        <v>6633</v>
      </c>
      <c r="D188" s="157" t="s">
        <v>7237</v>
      </c>
      <c r="E188" s="457" t="s">
        <v>2461</v>
      </c>
      <c r="F188" s="157" t="s">
        <v>7238</v>
      </c>
      <c r="G188" s="157" t="n">
        <v>44.3</v>
      </c>
      <c r="H188" s="157" t="n">
        <v>9505</v>
      </c>
      <c r="I188" s="457" t="n">
        <v>0</v>
      </c>
      <c r="J188" s="458" t="n">
        <v>114480</v>
      </c>
      <c r="K188" s="167" t="n">
        <v>3.58244601452881</v>
      </c>
      <c r="L188" s="175" t="n">
        <v>0.17</v>
      </c>
      <c r="M188" s="175" t="n">
        <v>0</v>
      </c>
      <c r="N188" s="157" t="n">
        <v>1951</v>
      </c>
      <c r="O188" s="157" t="n">
        <v>16231</v>
      </c>
      <c r="P188" s="157" t="n">
        <v>0</v>
      </c>
      <c r="Q188" s="157" t="n">
        <v>18</v>
      </c>
      <c r="R188" s="157" t="n">
        <v>1</v>
      </c>
      <c r="S188" s="157" t="n">
        <v>2</v>
      </c>
      <c r="T188" s="457" t="s">
        <v>6680</v>
      </c>
      <c r="U188" s="157" t="n">
        <v>398</v>
      </c>
      <c r="V188" s="458" t="n">
        <v>120008</v>
      </c>
      <c r="W188" s="458" t="n">
        <v>120000</v>
      </c>
      <c r="X188" s="445" t="s">
        <v>7021</v>
      </c>
      <c r="Y188" s="458" t="n">
        <v>114000</v>
      </c>
      <c r="Z188" s="457" t="s">
        <v>6638</v>
      </c>
      <c r="AD188" s="157" t="s">
        <v>7239</v>
      </c>
      <c r="AK188" s="459" t="s">
        <v>7240</v>
      </c>
    </row>
    <row r="189" s="157" customFormat="true" ht="25.5" hidden="false" customHeight="true" outlineLevel="0" collapsed="false">
      <c r="A189" s="456" t="n">
        <v>6</v>
      </c>
      <c r="B189" s="157" t="n">
        <v>183</v>
      </c>
      <c r="C189" s="157" t="s">
        <v>6633</v>
      </c>
      <c r="D189" s="157" t="s">
        <v>7241</v>
      </c>
      <c r="E189" s="457" t="s">
        <v>2461</v>
      </c>
      <c r="F189" s="157" t="s">
        <v>7242</v>
      </c>
      <c r="G189" s="157" t="n">
        <v>44.2</v>
      </c>
      <c r="H189" s="157" t="n">
        <v>9505</v>
      </c>
      <c r="I189" s="457" t="n">
        <v>0</v>
      </c>
      <c r="J189" s="458" t="n">
        <v>12994</v>
      </c>
      <c r="K189" s="167" t="n">
        <v>5.41935483870968</v>
      </c>
      <c r="L189" s="175" t="n">
        <v>0</v>
      </c>
      <c r="M189" s="175" t="n">
        <v>0</v>
      </c>
      <c r="N189" s="157" t="n">
        <v>1959</v>
      </c>
      <c r="O189" s="157" t="n">
        <v>2548</v>
      </c>
      <c r="P189" s="157" t="n">
        <v>0</v>
      </c>
      <c r="Q189" s="157" t="n">
        <v>16</v>
      </c>
      <c r="R189" s="157" t="n">
        <v>1</v>
      </c>
      <c r="S189" s="157" t="n">
        <v>1</v>
      </c>
      <c r="T189" s="457" t="s">
        <v>6680</v>
      </c>
      <c r="U189" s="157" t="n">
        <v>398</v>
      </c>
      <c r="V189" s="458" t="n">
        <v>20500</v>
      </c>
      <c r="W189" s="458" t="n">
        <v>21000</v>
      </c>
      <c r="X189" s="445" t="s">
        <v>6668</v>
      </c>
      <c r="Y189" s="458" t="n">
        <v>13000</v>
      </c>
      <c r="Z189" s="457" t="s">
        <v>6638</v>
      </c>
      <c r="AD189" s="157" t="s">
        <v>7243</v>
      </c>
      <c r="AK189" s="459" t="s">
        <v>7244</v>
      </c>
    </row>
    <row r="190" s="157" customFormat="true" ht="12.75" hidden="false" customHeight="true" outlineLevel="0" collapsed="false">
      <c r="A190" s="456" t="n">
        <v>6</v>
      </c>
      <c r="B190" s="157" t="n">
        <v>184</v>
      </c>
      <c r="C190" s="157" t="s">
        <v>6633</v>
      </c>
      <c r="D190" s="157" t="s">
        <v>7245</v>
      </c>
      <c r="E190" s="457" t="s">
        <v>2461</v>
      </c>
      <c r="F190" s="157" t="s">
        <v>7246</v>
      </c>
      <c r="G190" s="157" t="n">
        <v>44.2</v>
      </c>
      <c r="H190" s="157" t="n">
        <v>9505</v>
      </c>
      <c r="I190" s="457" t="n">
        <v>0</v>
      </c>
      <c r="J190" s="458" t="n">
        <v>8502</v>
      </c>
      <c r="K190" s="167" t="n">
        <v>7.05716302046577</v>
      </c>
      <c r="L190" s="175" t="n">
        <v>0</v>
      </c>
      <c r="M190" s="175" t="n">
        <v>0</v>
      </c>
      <c r="N190" s="157" t="n">
        <v>1968</v>
      </c>
      <c r="O190" s="157" t="n">
        <v>7467</v>
      </c>
      <c r="P190" s="157" t="n">
        <v>0</v>
      </c>
      <c r="Q190" s="157" t="n">
        <v>16</v>
      </c>
      <c r="R190" s="157" t="n">
        <v>1</v>
      </c>
      <c r="S190" s="157" t="n">
        <v>1</v>
      </c>
      <c r="T190" s="457" t="s">
        <v>6680</v>
      </c>
      <c r="U190" s="157" t="n">
        <v>398</v>
      </c>
      <c r="V190" s="458" t="n">
        <v>12400</v>
      </c>
      <c r="W190" s="458" t="n">
        <v>12000</v>
      </c>
      <c r="X190" s="445" t="s">
        <v>6837</v>
      </c>
      <c r="Y190" s="458" t="n">
        <v>9000</v>
      </c>
      <c r="Z190" s="457" t="s">
        <v>6638</v>
      </c>
      <c r="AK190" s="459" t="s">
        <v>6665</v>
      </c>
    </row>
    <row r="191" s="157" customFormat="true" ht="12.75" hidden="false" customHeight="true" outlineLevel="0" collapsed="false">
      <c r="A191" s="456" t="n">
        <v>6</v>
      </c>
      <c r="B191" s="157" t="n">
        <v>185</v>
      </c>
      <c r="C191" s="157" t="s">
        <v>6633</v>
      </c>
      <c r="D191" s="157" t="s">
        <v>7247</v>
      </c>
      <c r="E191" s="457" t="s">
        <v>2461</v>
      </c>
      <c r="F191" s="157" t="s">
        <v>7248</v>
      </c>
      <c r="G191" s="157" t="n">
        <v>43.1</v>
      </c>
      <c r="H191" s="157" t="n">
        <v>9505</v>
      </c>
      <c r="I191" s="457" t="n">
        <v>3</v>
      </c>
      <c r="J191" s="458" t="n">
        <v>2380</v>
      </c>
      <c r="K191" s="167" t="n">
        <v>7.56302521008403</v>
      </c>
      <c r="L191" s="175" t="n">
        <v>0</v>
      </c>
      <c r="M191" s="175" t="n">
        <v>0</v>
      </c>
      <c r="N191" s="157" t="n">
        <v>1942</v>
      </c>
      <c r="O191" s="157" t="n">
        <v>0</v>
      </c>
      <c r="P191" s="157" t="n">
        <v>0</v>
      </c>
      <c r="Q191" s="157" t="n">
        <v>10</v>
      </c>
      <c r="R191" s="157" t="n">
        <v>3</v>
      </c>
      <c r="S191" s="157" t="n">
        <v>1</v>
      </c>
      <c r="T191" s="457" t="s">
        <v>6899</v>
      </c>
      <c r="U191" s="157" t="n">
        <v>401</v>
      </c>
      <c r="V191" s="458" t="n">
        <v>2624</v>
      </c>
      <c r="W191" s="458" t="n">
        <v>3000</v>
      </c>
      <c r="X191" s="445" t="s">
        <v>7043</v>
      </c>
      <c r="Y191" s="458" t="n">
        <v>2000</v>
      </c>
      <c r="Z191" s="457" t="s">
        <v>6638</v>
      </c>
      <c r="AD191" s="157" t="s">
        <v>7249</v>
      </c>
      <c r="AK191" s="459"/>
    </row>
    <row r="192" s="157" customFormat="true" ht="12.75" hidden="false" customHeight="true" outlineLevel="0" collapsed="false">
      <c r="A192" s="456" t="n">
        <v>6</v>
      </c>
      <c r="B192" s="157" t="n">
        <v>186</v>
      </c>
      <c r="C192" s="157" t="s">
        <v>6633</v>
      </c>
      <c r="D192" s="157" t="s">
        <v>7250</v>
      </c>
      <c r="E192" s="457" t="s">
        <v>2461</v>
      </c>
      <c r="F192" s="157" t="s">
        <v>7251</v>
      </c>
      <c r="G192" s="157" t="n">
        <v>44.1</v>
      </c>
      <c r="H192" s="157" t="n">
        <v>9505</v>
      </c>
      <c r="I192" s="457" t="n">
        <v>0</v>
      </c>
      <c r="J192" s="458" t="n">
        <v>2500</v>
      </c>
      <c r="K192" s="167" t="n">
        <v>6</v>
      </c>
      <c r="L192" s="175" t="n">
        <v>0</v>
      </c>
      <c r="M192" s="175" t="n">
        <v>0.0834666666666667</v>
      </c>
      <c r="N192" s="157" t="n">
        <v>1973</v>
      </c>
      <c r="O192" s="157" t="n">
        <v>336</v>
      </c>
      <c r="P192" s="157" t="n">
        <v>0</v>
      </c>
      <c r="Q192" s="157" t="n">
        <v>13</v>
      </c>
      <c r="R192" s="157" t="n">
        <v>1</v>
      </c>
      <c r="S192" s="157" t="n">
        <v>1</v>
      </c>
      <c r="T192" s="457" t="s">
        <v>6847</v>
      </c>
      <c r="U192" s="157" t="n">
        <v>398</v>
      </c>
      <c r="V192" s="458" t="n">
        <v>3900</v>
      </c>
      <c r="W192" s="458" t="n">
        <v>4000</v>
      </c>
      <c r="X192" s="445" t="s">
        <v>6668</v>
      </c>
      <c r="Y192" s="458" t="n">
        <v>3000</v>
      </c>
      <c r="Z192" s="457" t="s">
        <v>6638</v>
      </c>
      <c r="AD192" s="157" t="s">
        <v>7252</v>
      </c>
      <c r="AK192" s="459" t="s">
        <v>6984</v>
      </c>
    </row>
    <row r="193" s="157" customFormat="true" ht="12.75" hidden="false" customHeight="true" outlineLevel="0" collapsed="false">
      <c r="A193" s="456" t="n">
        <v>6</v>
      </c>
      <c r="B193" s="157" t="n">
        <v>187</v>
      </c>
      <c r="C193" s="157" t="s">
        <v>6633</v>
      </c>
      <c r="D193" s="157" t="s">
        <v>7253</v>
      </c>
      <c r="E193" s="457" t="s">
        <v>2461</v>
      </c>
      <c r="F193" s="157" t="s">
        <v>7254</v>
      </c>
      <c r="G193" s="157" t="n">
        <v>44.2</v>
      </c>
      <c r="H193" s="157" t="n">
        <v>9505</v>
      </c>
      <c r="I193" s="457" t="n">
        <v>0</v>
      </c>
      <c r="J193" s="458" t="n">
        <v>17286</v>
      </c>
      <c r="K193" s="167" t="n">
        <v>5.66180724285549</v>
      </c>
      <c r="L193" s="175" t="n">
        <v>0</v>
      </c>
      <c r="M193" s="175" t="n">
        <v>0.0330847041994483</v>
      </c>
      <c r="N193" s="157" t="n">
        <v>1959</v>
      </c>
      <c r="O193" s="157" t="n">
        <v>2902</v>
      </c>
      <c r="P193" s="157" t="n">
        <v>0</v>
      </c>
      <c r="Q193" s="157" t="n">
        <v>15</v>
      </c>
      <c r="R193" s="157" t="n">
        <v>3</v>
      </c>
      <c r="S193" s="157" t="n">
        <v>1</v>
      </c>
      <c r="T193" s="457" t="s">
        <v>6636</v>
      </c>
      <c r="U193" s="157" t="n">
        <v>398</v>
      </c>
      <c r="V193" s="458" t="n">
        <v>36500</v>
      </c>
      <c r="W193" s="458" t="n">
        <v>37000</v>
      </c>
      <c r="X193" s="445" t="s">
        <v>6754</v>
      </c>
      <c r="Y193" s="458" t="n">
        <v>17000</v>
      </c>
      <c r="Z193" s="457" t="s">
        <v>6638</v>
      </c>
      <c r="AD193" s="157" t="s">
        <v>7255</v>
      </c>
      <c r="AK193" s="459"/>
    </row>
    <row r="194" s="157" customFormat="true" ht="25.5" hidden="false" customHeight="true" outlineLevel="0" collapsed="false">
      <c r="A194" s="456" t="n">
        <v>6</v>
      </c>
      <c r="B194" s="157" t="n">
        <v>188</v>
      </c>
      <c r="C194" s="157" t="s">
        <v>6633</v>
      </c>
      <c r="D194" s="157" t="s">
        <v>7256</v>
      </c>
      <c r="E194" s="457" t="s">
        <v>2461</v>
      </c>
      <c r="F194" s="157" t="s">
        <v>7257</v>
      </c>
      <c r="G194" s="157" t="n">
        <v>44.2</v>
      </c>
      <c r="H194" s="157" t="n">
        <v>9505</v>
      </c>
      <c r="I194" s="457" t="n">
        <v>0</v>
      </c>
      <c r="J194" s="458" t="n">
        <v>11626</v>
      </c>
      <c r="K194" s="167" t="n">
        <v>3.57130569413384</v>
      </c>
      <c r="L194" s="175" t="n">
        <v>0</v>
      </c>
      <c r="M194" s="175" t="n">
        <v>0.123362235067437</v>
      </c>
      <c r="N194" s="157" t="n">
        <v>1957</v>
      </c>
      <c r="O194" s="157" t="n">
        <v>3018</v>
      </c>
      <c r="P194" s="157" t="n">
        <v>0</v>
      </c>
      <c r="Q194" s="157" t="n">
        <v>14</v>
      </c>
      <c r="R194" s="157" t="n">
        <v>1</v>
      </c>
      <c r="S194" s="157" t="n">
        <v>1</v>
      </c>
      <c r="T194" s="457" t="s">
        <v>6680</v>
      </c>
      <c r="U194" s="157" t="n">
        <v>398</v>
      </c>
      <c r="V194" s="458" t="n">
        <v>17625</v>
      </c>
      <c r="W194" s="458" t="n">
        <v>18000</v>
      </c>
      <c r="X194" s="445" t="s">
        <v>6837</v>
      </c>
      <c r="Y194" s="458" t="n">
        <v>12000</v>
      </c>
      <c r="Z194" s="457" t="s">
        <v>6638</v>
      </c>
      <c r="AD194" s="157" t="s">
        <v>7258</v>
      </c>
      <c r="AK194" s="459" t="s">
        <v>7259</v>
      </c>
    </row>
    <row r="195" s="157" customFormat="true" ht="12.75" hidden="false" customHeight="true" outlineLevel="0" collapsed="false">
      <c r="A195" s="456" t="n">
        <v>6</v>
      </c>
      <c r="B195" s="157" t="n">
        <v>189</v>
      </c>
      <c r="C195" s="157" t="s">
        <v>6633</v>
      </c>
      <c r="D195" s="157" t="s">
        <v>7260</v>
      </c>
      <c r="E195" s="457" t="s">
        <v>2461</v>
      </c>
      <c r="F195" s="157" t="s">
        <v>7261</v>
      </c>
      <c r="G195" s="157" t="n">
        <v>44.1</v>
      </c>
      <c r="H195" s="157" t="n">
        <v>9505</v>
      </c>
      <c r="I195" s="457" t="n">
        <v>0</v>
      </c>
      <c r="J195" s="458" t="n">
        <v>9361</v>
      </c>
      <c r="K195" s="167" t="n">
        <v>4.42260442260442</v>
      </c>
      <c r="L195" s="175" t="n">
        <v>0</v>
      </c>
      <c r="M195" s="175" t="n">
        <v>0.00579710144927536</v>
      </c>
      <c r="N195" s="157" t="n">
        <v>1965</v>
      </c>
      <c r="O195" s="157" t="n">
        <v>1260</v>
      </c>
      <c r="P195" s="157" t="n">
        <v>0</v>
      </c>
      <c r="Q195" s="157" t="n">
        <v>14</v>
      </c>
      <c r="R195" s="157" t="n">
        <v>1</v>
      </c>
      <c r="S195" s="157" t="n">
        <v>1</v>
      </c>
      <c r="T195" s="457" t="s">
        <v>6642</v>
      </c>
      <c r="U195" s="157" t="n">
        <v>398</v>
      </c>
      <c r="V195" s="458" t="n">
        <v>17908</v>
      </c>
      <c r="W195" s="458" t="n">
        <v>18000</v>
      </c>
      <c r="X195" s="445" t="s">
        <v>6675</v>
      </c>
      <c r="Y195" s="458" t="n">
        <v>9000</v>
      </c>
      <c r="Z195" s="457" t="s">
        <v>6638</v>
      </c>
      <c r="AK195" s="459" t="s">
        <v>6661</v>
      </c>
    </row>
    <row r="196" s="157" customFormat="true" ht="25.5" hidden="false" customHeight="true" outlineLevel="0" collapsed="false">
      <c r="A196" s="456" t="n">
        <v>6</v>
      </c>
      <c r="B196" s="157" t="n">
        <v>190</v>
      </c>
      <c r="C196" s="157" t="s">
        <v>6633</v>
      </c>
      <c r="D196" s="157" t="s">
        <v>7262</v>
      </c>
      <c r="E196" s="457" t="s">
        <v>2461</v>
      </c>
      <c r="F196" s="157" t="s">
        <v>7263</v>
      </c>
      <c r="G196" s="157" t="n">
        <v>44.4</v>
      </c>
      <c r="H196" s="157" t="n">
        <v>9505</v>
      </c>
      <c r="I196" s="457" t="n">
        <v>0</v>
      </c>
      <c r="J196" s="458" t="n">
        <v>112984</v>
      </c>
      <c r="K196" s="167" t="n">
        <v>4.49319518342201</v>
      </c>
      <c r="L196" s="175" t="n">
        <v>0</v>
      </c>
      <c r="M196" s="175" t="n">
        <v>0</v>
      </c>
      <c r="N196" s="157" t="n">
        <v>1959</v>
      </c>
      <c r="O196" s="157" t="n">
        <v>4641</v>
      </c>
      <c r="P196" s="157" t="n">
        <v>0</v>
      </c>
      <c r="Q196" s="157" t="n">
        <v>20</v>
      </c>
      <c r="R196" s="157" t="n">
        <v>3</v>
      </c>
      <c r="S196" s="157" t="n">
        <v>1</v>
      </c>
      <c r="T196" s="457" t="s">
        <v>6680</v>
      </c>
      <c r="U196" s="157" t="n">
        <v>398</v>
      </c>
      <c r="V196" s="458" t="n">
        <v>162000</v>
      </c>
      <c r="W196" s="458" t="n">
        <v>162000</v>
      </c>
      <c r="X196" s="445" t="s">
        <v>6710</v>
      </c>
      <c r="Y196" s="458" t="n">
        <v>113000</v>
      </c>
      <c r="Z196" s="457" t="s">
        <v>6638</v>
      </c>
      <c r="AD196" s="157" t="s">
        <v>7264</v>
      </c>
      <c r="AK196" s="459" t="s">
        <v>7265</v>
      </c>
    </row>
    <row r="197" s="157" customFormat="true" ht="12.75" hidden="false" customHeight="true" outlineLevel="0" collapsed="false">
      <c r="A197" s="456" t="n">
        <v>6</v>
      </c>
      <c r="B197" s="157" t="n">
        <v>191</v>
      </c>
      <c r="C197" s="157" t="s">
        <v>6633</v>
      </c>
      <c r="D197" s="157" t="s">
        <v>7266</v>
      </c>
      <c r="E197" s="457" t="s">
        <v>2461</v>
      </c>
      <c r="F197" s="157" t="s">
        <v>7267</v>
      </c>
      <c r="G197" s="157" t="n">
        <v>44.1</v>
      </c>
      <c r="H197" s="157" t="n">
        <v>9505</v>
      </c>
      <c r="I197" s="457" t="n">
        <v>0</v>
      </c>
      <c r="J197" s="458" t="n">
        <v>2800</v>
      </c>
      <c r="K197" s="167" t="n">
        <v>9.95321428571429</v>
      </c>
      <c r="L197" s="175" t="n">
        <v>0</v>
      </c>
      <c r="M197" s="175" t="n">
        <v>0.113208224191754</v>
      </c>
      <c r="N197" s="157" t="n">
        <v>1964</v>
      </c>
      <c r="O197" s="157" t="n">
        <v>198</v>
      </c>
      <c r="P197" s="157" t="n">
        <v>0</v>
      </c>
      <c r="Q197" s="157" t="n">
        <v>14</v>
      </c>
      <c r="R197" s="157" t="n">
        <v>3</v>
      </c>
      <c r="S197" s="157" t="n">
        <v>1</v>
      </c>
      <c r="T197" s="457" t="s">
        <v>6680</v>
      </c>
      <c r="U197" s="157" t="n">
        <v>398</v>
      </c>
      <c r="V197" s="458" t="n">
        <v>6000</v>
      </c>
      <c r="W197" s="458" t="n">
        <v>6000</v>
      </c>
      <c r="X197" s="445" t="s">
        <v>6754</v>
      </c>
      <c r="Y197" s="458" t="n">
        <v>3000</v>
      </c>
      <c r="Z197" s="457" t="s">
        <v>6638</v>
      </c>
      <c r="AD197" s="157" t="s">
        <v>7268</v>
      </c>
      <c r="AK197" s="459"/>
    </row>
    <row r="198" s="157" customFormat="true" ht="12.75" hidden="false" customHeight="true" outlineLevel="0" collapsed="false">
      <c r="A198" s="456" t="n">
        <v>6</v>
      </c>
      <c r="B198" s="157" t="n">
        <v>192</v>
      </c>
      <c r="C198" s="157" t="s">
        <v>6633</v>
      </c>
      <c r="D198" s="157" t="s">
        <v>7269</v>
      </c>
      <c r="E198" s="457" t="s">
        <v>2461</v>
      </c>
      <c r="F198" s="157" t="s">
        <v>7270</v>
      </c>
      <c r="G198" s="157" t="n">
        <v>44.2</v>
      </c>
      <c r="H198" s="157" t="n">
        <v>9505</v>
      </c>
      <c r="I198" s="457" t="n">
        <v>0</v>
      </c>
      <c r="J198" s="458" t="n">
        <v>10800</v>
      </c>
      <c r="K198" s="167" t="n">
        <v>6.11111111111111</v>
      </c>
      <c r="L198" s="175" t="n">
        <v>0.55</v>
      </c>
      <c r="M198" s="175" t="n">
        <v>0</v>
      </c>
      <c r="N198" s="157" t="n">
        <v>1961</v>
      </c>
      <c r="O198" s="157" t="n">
        <v>3655</v>
      </c>
      <c r="P198" s="157" t="n">
        <v>0</v>
      </c>
      <c r="Q198" s="157" t="n">
        <v>12</v>
      </c>
      <c r="R198" s="157" t="n">
        <v>1</v>
      </c>
      <c r="S198" s="157" t="n">
        <v>3</v>
      </c>
      <c r="T198" s="457" t="s">
        <v>6680</v>
      </c>
      <c r="U198" s="157" t="n">
        <v>398</v>
      </c>
      <c r="V198" s="458" t="n">
        <v>17400</v>
      </c>
      <c r="W198" s="458" t="n">
        <v>17000</v>
      </c>
      <c r="X198" s="445" t="s">
        <v>6668</v>
      </c>
      <c r="Y198" s="458" t="n">
        <v>11000</v>
      </c>
      <c r="Z198" s="457" t="s">
        <v>6638</v>
      </c>
      <c r="AK198" s="459" t="s">
        <v>7233</v>
      </c>
    </row>
    <row r="199" s="157" customFormat="true" ht="12.75" hidden="false" customHeight="true" outlineLevel="0" collapsed="false">
      <c r="A199" s="456" t="n">
        <v>6</v>
      </c>
      <c r="B199" s="157" t="n">
        <v>193</v>
      </c>
      <c r="C199" s="157" t="s">
        <v>6633</v>
      </c>
      <c r="D199" s="157" t="s">
        <v>7271</v>
      </c>
      <c r="E199" s="457" t="s">
        <v>2461</v>
      </c>
      <c r="F199" s="157" t="s">
        <v>7272</v>
      </c>
      <c r="G199" s="157" t="n">
        <v>44.2</v>
      </c>
      <c r="H199" s="157" t="n">
        <v>9505</v>
      </c>
      <c r="I199" s="457" t="n">
        <v>0</v>
      </c>
      <c r="J199" s="458" t="n">
        <v>11867</v>
      </c>
      <c r="K199" s="167" t="n">
        <v>5.93368163815623</v>
      </c>
      <c r="L199" s="175" t="n">
        <v>0</v>
      </c>
      <c r="M199" s="175" t="n">
        <v>0.0836611517432365</v>
      </c>
      <c r="N199" s="157" t="n">
        <v>1970</v>
      </c>
      <c r="O199" s="157" t="n">
        <v>5575</v>
      </c>
      <c r="P199" s="157" t="n">
        <v>0</v>
      </c>
      <c r="Q199" s="157" t="n">
        <v>18</v>
      </c>
      <c r="R199" s="157" t="n">
        <v>1</v>
      </c>
      <c r="S199" s="157" t="n">
        <v>1</v>
      </c>
      <c r="T199" s="457" t="s">
        <v>6680</v>
      </c>
      <c r="U199" s="157" t="n">
        <v>398</v>
      </c>
      <c r="V199" s="458" t="n">
        <v>18000</v>
      </c>
      <c r="W199" s="458" t="n">
        <v>18000</v>
      </c>
      <c r="X199" s="445" t="s">
        <v>6837</v>
      </c>
      <c r="Y199" s="458" t="n">
        <v>12000</v>
      </c>
      <c r="Z199" s="457" t="s">
        <v>6638</v>
      </c>
      <c r="AD199" s="157" t="s">
        <v>6651</v>
      </c>
      <c r="AK199" s="459" t="s">
        <v>6665</v>
      </c>
    </row>
    <row r="200" s="157" customFormat="true" ht="25.5" hidden="false" customHeight="true" outlineLevel="0" collapsed="false">
      <c r="A200" s="456" t="n">
        <v>6</v>
      </c>
      <c r="B200" s="157" t="n">
        <v>194</v>
      </c>
      <c r="C200" s="157" t="s">
        <v>6633</v>
      </c>
      <c r="D200" s="157" t="s">
        <v>7273</v>
      </c>
      <c r="E200" s="457" t="s">
        <v>2461</v>
      </c>
      <c r="F200" s="157" t="s">
        <v>7274</v>
      </c>
      <c r="G200" s="157" t="n">
        <v>44.1</v>
      </c>
      <c r="H200" s="157" t="n">
        <v>9508</v>
      </c>
      <c r="I200" s="457" t="n">
        <v>0</v>
      </c>
      <c r="J200" s="458" t="n">
        <v>4681</v>
      </c>
      <c r="K200" s="167" t="n">
        <v>11.9521912350598</v>
      </c>
      <c r="L200" s="175" t="n">
        <v>0</v>
      </c>
      <c r="M200" s="175" t="n">
        <v>0</v>
      </c>
      <c r="N200" s="157" t="n">
        <v>1937</v>
      </c>
      <c r="O200" s="157" t="n">
        <v>1100</v>
      </c>
      <c r="P200" s="157" t="n">
        <v>0</v>
      </c>
      <c r="Q200" s="157" t="n">
        <v>18</v>
      </c>
      <c r="R200" s="157" t="n">
        <v>3</v>
      </c>
      <c r="S200" s="157" t="n">
        <v>1</v>
      </c>
      <c r="T200" s="457" t="s">
        <v>6680</v>
      </c>
      <c r="U200" s="157" t="n">
        <v>398</v>
      </c>
      <c r="V200" s="458" t="n">
        <v>14136</v>
      </c>
      <c r="W200" s="458" t="n">
        <v>14000</v>
      </c>
      <c r="X200" s="445" t="s">
        <v>6743</v>
      </c>
      <c r="Y200" s="458" t="n">
        <v>5000</v>
      </c>
      <c r="Z200" s="457" t="s">
        <v>6638</v>
      </c>
      <c r="AD200" s="157" t="s">
        <v>7275</v>
      </c>
      <c r="AK200" s="459" t="s">
        <v>7276</v>
      </c>
    </row>
    <row r="201" s="157" customFormat="true" ht="12.75" hidden="false" customHeight="true" outlineLevel="0" collapsed="false">
      <c r="A201" s="456" t="n">
        <v>6</v>
      </c>
      <c r="B201" s="157" t="n">
        <v>195</v>
      </c>
      <c r="C201" s="157" t="s">
        <v>6633</v>
      </c>
      <c r="D201" s="157" t="s">
        <v>7277</v>
      </c>
      <c r="E201" s="457" t="s">
        <v>2461</v>
      </c>
      <c r="F201" s="157" t="s">
        <v>7278</v>
      </c>
      <c r="G201" s="157" t="n">
        <v>44.1</v>
      </c>
      <c r="H201" s="157" t="n">
        <v>9508</v>
      </c>
      <c r="I201" s="457" t="n">
        <v>0</v>
      </c>
      <c r="J201" s="458" t="n">
        <v>6930</v>
      </c>
      <c r="K201" s="167" t="n">
        <v>6.27936507936508</v>
      </c>
      <c r="L201" s="175" t="n">
        <v>0</v>
      </c>
      <c r="M201" s="175" t="n">
        <v>0.0738349112969942</v>
      </c>
      <c r="N201" s="157" t="n">
        <v>1965</v>
      </c>
      <c r="O201" s="157" t="n">
        <v>1260</v>
      </c>
      <c r="P201" s="157" t="n">
        <v>0</v>
      </c>
      <c r="Q201" s="157" t="n">
        <v>13</v>
      </c>
      <c r="R201" s="157" t="n">
        <v>1</v>
      </c>
      <c r="S201" s="157" t="n">
        <v>1</v>
      </c>
      <c r="T201" s="457" t="s">
        <v>6680</v>
      </c>
      <c r="U201" s="157" t="n">
        <v>398</v>
      </c>
      <c r="V201" s="458" t="n">
        <v>18900</v>
      </c>
      <c r="W201" s="458" t="n">
        <v>19000</v>
      </c>
      <c r="X201" s="445" t="s">
        <v>6757</v>
      </c>
      <c r="Y201" s="458" t="n">
        <v>7000</v>
      </c>
      <c r="Z201" s="457" t="s">
        <v>6638</v>
      </c>
      <c r="AK201" s="459" t="s">
        <v>6665</v>
      </c>
    </row>
    <row r="202" s="157" customFormat="true" ht="23.25" hidden="false" customHeight="true" outlineLevel="0" collapsed="false">
      <c r="A202" s="456" t="n">
        <v>6</v>
      </c>
      <c r="B202" s="157" t="n">
        <v>196</v>
      </c>
      <c r="C202" s="157" t="s">
        <v>6633</v>
      </c>
      <c r="D202" s="157" t="s">
        <v>7279</v>
      </c>
      <c r="E202" s="457" t="s">
        <v>2461</v>
      </c>
      <c r="F202" s="157" t="s">
        <v>7280</v>
      </c>
      <c r="G202" s="157" t="n">
        <v>44.2</v>
      </c>
      <c r="H202" s="157" t="n">
        <v>9508</v>
      </c>
      <c r="I202" s="457" t="n">
        <v>0</v>
      </c>
      <c r="J202" s="458" t="n">
        <v>2550</v>
      </c>
      <c r="K202" s="167" t="n">
        <v>6.58823529411765</v>
      </c>
      <c r="L202" s="175" t="n">
        <v>0</v>
      </c>
      <c r="M202" s="175" t="n">
        <v>0.025</v>
      </c>
      <c r="N202" s="157" t="n">
        <v>1977</v>
      </c>
      <c r="O202" s="157" t="n">
        <v>648</v>
      </c>
      <c r="P202" s="157" t="n">
        <v>0</v>
      </c>
      <c r="Q202" s="157" t="n">
        <v>14</v>
      </c>
      <c r="R202" s="157" t="n">
        <v>1</v>
      </c>
      <c r="S202" s="157" t="n">
        <v>2</v>
      </c>
      <c r="T202" s="457" t="s">
        <v>6636</v>
      </c>
      <c r="U202" s="157" t="n">
        <v>398</v>
      </c>
      <c r="V202" s="458" t="n">
        <v>6250</v>
      </c>
      <c r="W202" s="458" t="n">
        <v>6000</v>
      </c>
      <c r="X202" s="445" t="s">
        <v>6692</v>
      </c>
      <c r="Y202" s="458" t="n">
        <v>3000</v>
      </c>
      <c r="Z202" s="457" t="s">
        <v>6638</v>
      </c>
      <c r="AD202" s="157" t="s">
        <v>6651</v>
      </c>
      <c r="AK202" s="459" t="s">
        <v>7281</v>
      </c>
    </row>
    <row r="203" s="157" customFormat="true" ht="12.75" hidden="false" customHeight="true" outlineLevel="0" collapsed="false">
      <c r="A203" s="456" t="n">
        <v>6</v>
      </c>
      <c r="B203" s="157" t="n">
        <v>197</v>
      </c>
      <c r="C203" s="157" t="s">
        <v>6633</v>
      </c>
      <c r="D203" s="157" t="s">
        <v>7282</v>
      </c>
      <c r="E203" s="457" t="s">
        <v>2461</v>
      </c>
      <c r="F203" s="157" t="s">
        <v>7283</v>
      </c>
      <c r="G203" s="157" t="n">
        <v>44.1</v>
      </c>
      <c r="H203" s="157" t="n">
        <v>9508</v>
      </c>
      <c r="I203" s="457" t="n">
        <v>0</v>
      </c>
      <c r="J203" s="458" t="n">
        <v>7362</v>
      </c>
      <c r="K203" s="167" t="n">
        <v>7.33496332518337</v>
      </c>
      <c r="L203" s="175" t="n">
        <v>0</v>
      </c>
      <c r="M203" s="175" t="n">
        <v>0.104018518518519</v>
      </c>
      <c r="N203" s="157" t="n">
        <v>1979</v>
      </c>
      <c r="O203" s="157" t="n">
        <v>1320</v>
      </c>
      <c r="P203" s="157" t="n">
        <v>0</v>
      </c>
      <c r="Q203" s="157" t="n">
        <v>20</v>
      </c>
      <c r="R203" s="157" t="n">
        <v>1</v>
      </c>
      <c r="S203" s="157" t="n">
        <v>1</v>
      </c>
      <c r="T203" s="457" t="s">
        <v>6636</v>
      </c>
      <c r="U203" s="157" t="n">
        <v>398</v>
      </c>
      <c r="V203" s="458" t="n">
        <v>35000</v>
      </c>
      <c r="W203" s="458" t="n">
        <v>35000</v>
      </c>
      <c r="X203" s="445" t="s">
        <v>7284</v>
      </c>
      <c r="Y203" s="458" t="n">
        <v>7000</v>
      </c>
      <c r="Z203" s="457" t="s">
        <v>6638</v>
      </c>
      <c r="AD203" s="157" t="s">
        <v>7285</v>
      </c>
      <c r="AK203" s="459" t="s">
        <v>6661</v>
      </c>
    </row>
    <row r="204" s="157" customFormat="true" ht="12.75" hidden="false" customHeight="true" outlineLevel="0" collapsed="false">
      <c r="A204" s="456" t="n">
        <v>6</v>
      </c>
      <c r="B204" s="157" t="n">
        <v>198</v>
      </c>
      <c r="C204" s="157" t="s">
        <v>6633</v>
      </c>
      <c r="D204" s="157" t="s">
        <v>7286</v>
      </c>
      <c r="E204" s="457" t="s">
        <v>2461</v>
      </c>
      <c r="F204" s="157" t="s">
        <v>7287</v>
      </c>
      <c r="G204" s="157" t="n">
        <v>44.1</v>
      </c>
      <c r="H204" s="157" t="n">
        <v>9508</v>
      </c>
      <c r="I204" s="457" t="n">
        <v>0</v>
      </c>
      <c r="J204" s="458" t="n">
        <v>6000</v>
      </c>
      <c r="K204" s="167" t="n">
        <v>15</v>
      </c>
      <c r="L204" s="175" t="n">
        <v>0</v>
      </c>
      <c r="M204" s="175" t="n">
        <v>0</v>
      </c>
      <c r="N204" s="157" t="n">
        <v>1976</v>
      </c>
      <c r="O204" s="157" t="n">
        <v>1179</v>
      </c>
      <c r="P204" s="157" t="n">
        <v>744</v>
      </c>
      <c r="Q204" s="157" t="n">
        <v>18</v>
      </c>
      <c r="R204" s="157" t="n">
        <v>14</v>
      </c>
      <c r="S204" s="157" t="n">
        <v>1</v>
      </c>
      <c r="T204" s="457" t="s">
        <v>6636</v>
      </c>
      <c r="U204" s="157" t="n">
        <v>398</v>
      </c>
      <c r="V204" s="458" t="n">
        <v>17185</v>
      </c>
      <c r="W204" s="458" t="n">
        <v>17000</v>
      </c>
      <c r="X204" s="445" t="s">
        <v>7288</v>
      </c>
      <c r="Y204" s="458" t="n">
        <v>6000</v>
      </c>
      <c r="Z204" s="457" t="s">
        <v>6638</v>
      </c>
      <c r="AD204" s="157" t="s">
        <v>7289</v>
      </c>
      <c r="AK204" s="459"/>
    </row>
    <row r="205" s="157" customFormat="true" ht="12.75" hidden="false" customHeight="true" outlineLevel="0" collapsed="false">
      <c r="A205" s="456" t="n">
        <v>6</v>
      </c>
      <c r="B205" s="157" t="n">
        <v>199</v>
      </c>
      <c r="C205" s="157" t="s">
        <v>6633</v>
      </c>
      <c r="D205" s="157" t="s">
        <v>7290</v>
      </c>
      <c r="E205" s="457" t="s">
        <v>2461</v>
      </c>
      <c r="F205" s="157" t="s">
        <v>7291</v>
      </c>
      <c r="G205" s="157" t="n">
        <v>44.2</v>
      </c>
      <c r="H205" s="157" t="n">
        <v>9508</v>
      </c>
      <c r="I205" s="457" t="n">
        <v>0</v>
      </c>
      <c r="J205" s="458" t="n">
        <v>4492</v>
      </c>
      <c r="K205" s="167" t="n">
        <v>8.8</v>
      </c>
      <c r="L205" s="175" t="n">
        <v>0</v>
      </c>
      <c r="M205" s="175" t="n">
        <v>0</v>
      </c>
      <c r="N205" s="157" t="n">
        <v>1980</v>
      </c>
      <c r="O205" s="157" t="n">
        <v>2124</v>
      </c>
      <c r="P205" s="157" t="n">
        <v>0</v>
      </c>
      <c r="Q205" s="157" t="n">
        <v>20</v>
      </c>
      <c r="R205" s="157" t="n">
        <v>1</v>
      </c>
      <c r="S205" s="157" t="n">
        <v>1</v>
      </c>
      <c r="T205" s="457" t="s">
        <v>7160</v>
      </c>
      <c r="U205" s="157" t="n">
        <v>398</v>
      </c>
      <c r="V205" s="458" t="n">
        <v>10000</v>
      </c>
      <c r="W205" s="458" t="n">
        <v>10000</v>
      </c>
      <c r="X205" s="445" t="s">
        <v>6700</v>
      </c>
      <c r="Y205" s="458" t="n">
        <v>4000</v>
      </c>
      <c r="Z205" s="457" t="s">
        <v>6638</v>
      </c>
      <c r="AD205" s="157" t="s">
        <v>7292</v>
      </c>
      <c r="AK205" s="459"/>
    </row>
    <row r="206" s="157" customFormat="true" ht="25.5" hidden="false" customHeight="true" outlineLevel="0" collapsed="false">
      <c r="A206" s="456" t="n">
        <v>6</v>
      </c>
      <c r="B206" s="157" t="n">
        <v>200</v>
      </c>
      <c r="C206" s="157" t="s">
        <v>6633</v>
      </c>
      <c r="D206" s="157" t="s">
        <v>7293</v>
      </c>
      <c r="E206" s="457" t="s">
        <v>2461</v>
      </c>
      <c r="F206" s="157" t="s">
        <v>7294</v>
      </c>
      <c r="G206" s="157" t="n">
        <v>44.2</v>
      </c>
      <c r="H206" s="157" t="n">
        <v>9508</v>
      </c>
      <c r="I206" s="457" t="n">
        <v>0</v>
      </c>
      <c r="J206" s="458" t="n">
        <v>11688</v>
      </c>
      <c r="K206" s="167" t="n">
        <v>5.80941446613088</v>
      </c>
      <c r="L206" s="175" t="n">
        <v>0</v>
      </c>
      <c r="M206" s="175" t="n">
        <v>0</v>
      </c>
      <c r="N206" s="157" t="n">
        <v>1985</v>
      </c>
      <c r="O206" s="157" t="n">
        <v>1322</v>
      </c>
      <c r="P206" s="157" t="n">
        <v>0</v>
      </c>
      <c r="Q206" s="157" t="n">
        <v>14</v>
      </c>
      <c r="R206" s="157" t="n">
        <v>3</v>
      </c>
      <c r="S206" s="157" t="n">
        <v>3</v>
      </c>
      <c r="T206" s="457" t="s">
        <v>6636</v>
      </c>
      <c r="U206" s="157" t="n">
        <v>398</v>
      </c>
      <c r="V206" s="458" t="n">
        <v>19950</v>
      </c>
      <c r="W206" s="458" t="n">
        <v>20000</v>
      </c>
      <c r="X206" s="445" t="s">
        <v>6954</v>
      </c>
      <c r="Y206" s="458" t="n">
        <v>12000</v>
      </c>
      <c r="Z206" s="457" t="s">
        <v>6638</v>
      </c>
      <c r="AD206" s="157" t="s">
        <v>7295</v>
      </c>
      <c r="AK206" s="459" t="s">
        <v>7296</v>
      </c>
    </row>
    <row r="207" s="157" customFormat="true" ht="12.75" hidden="false" customHeight="true" outlineLevel="0" collapsed="false">
      <c r="A207" s="456" t="n">
        <v>6</v>
      </c>
      <c r="B207" s="157" t="n">
        <v>201</v>
      </c>
      <c r="C207" s="157" t="s">
        <v>6633</v>
      </c>
      <c r="D207" s="157" t="s">
        <v>7297</v>
      </c>
      <c r="E207" s="457" t="s">
        <v>2461</v>
      </c>
      <c r="F207" s="157" t="s">
        <v>7298</v>
      </c>
      <c r="G207" s="157" t="n">
        <v>44.2</v>
      </c>
      <c r="H207" s="157" t="n">
        <v>9508</v>
      </c>
      <c r="I207" s="457" t="n">
        <v>0</v>
      </c>
      <c r="J207" s="458" t="n">
        <v>8000</v>
      </c>
      <c r="K207" s="167" t="n">
        <v>6.6675</v>
      </c>
      <c r="L207" s="175" t="n">
        <v>0</v>
      </c>
      <c r="M207" s="175" t="n">
        <v>0.105961754780652</v>
      </c>
      <c r="N207" s="157" t="n">
        <v>1977</v>
      </c>
      <c r="O207" s="157" t="n">
        <v>1376</v>
      </c>
      <c r="P207" s="157" t="n">
        <v>0</v>
      </c>
      <c r="Q207" s="157" t="n">
        <v>14</v>
      </c>
      <c r="R207" s="157" t="n">
        <v>3</v>
      </c>
      <c r="S207" s="157" t="n">
        <v>1</v>
      </c>
      <c r="T207" s="457" t="s">
        <v>6636</v>
      </c>
      <c r="U207" s="157" t="n">
        <v>398</v>
      </c>
      <c r="V207" s="458" t="n">
        <v>17187</v>
      </c>
      <c r="W207" s="458" t="n">
        <v>17000</v>
      </c>
      <c r="X207" s="445" t="s">
        <v>6754</v>
      </c>
      <c r="Y207" s="458" t="n">
        <v>8000</v>
      </c>
      <c r="Z207" s="457" t="s">
        <v>6638</v>
      </c>
      <c r="AD207" s="157" t="s">
        <v>7299</v>
      </c>
      <c r="AK207" s="459" t="s">
        <v>7233</v>
      </c>
    </row>
    <row r="208" s="157" customFormat="true" ht="25.5" hidden="false" customHeight="true" outlineLevel="0" collapsed="false">
      <c r="A208" s="456" t="n">
        <v>6</v>
      </c>
      <c r="B208" s="157" t="n">
        <v>202</v>
      </c>
      <c r="C208" s="157" t="s">
        <v>6633</v>
      </c>
      <c r="D208" s="157" t="s">
        <v>7300</v>
      </c>
      <c r="E208" s="457" t="s">
        <v>2461</v>
      </c>
      <c r="F208" s="157" t="s">
        <v>7301</v>
      </c>
      <c r="G208" s="157" t="n">
        <v>44.2</v>
      </c>
      <c r="H208" s="157" t="n">
        <v>9508</v>
      </c>
      <c r="I208" s="457" t="n">
        <v>0</v>
      </c>
      <c r="J208" s="458" t="n">
        <v>4842</v>
      </c>
      <c r="K208" s="167" t="n">
        <v>7.2</v>
      </c>
      <c r="L208" s="175" t="n">
        <v>0</v>
      </c>
      <c r="M208" s="175" t="n">
        <v>0</v>
      </c>
      <c r="N208" s="157" t="n">
        <v>1979</v>
      </c>
      <c r="O208" s="157" t="n">
        <v>2242</v>
      </c>
      <c r="P208" s="157" t="n">
        <v>521</v>
      </c>
      <c r="Q208" s="157" t="n">
        <v>16</v>
      </c>
      <c r="R208" s="157" t="n">
        <v>3</v>
      </c>
      <c r="S208" s="157" t="n">
        <v>1</v>
      </c>
      <c r="T208" s="457" t="s">
        <v>6636</v>
      </c>
      <c r="U208" s="157" t="n">
        <v>398</v>
      </c>
      <c r="V208" s="458" t="n">
        <v>10000</v>
      </c>
      <c r="W208" s="458" t="n">
        <v>10000</v>
      </c>
      <c r="X208" s="445" t="s">
        <v>6754</v>
      </c>
      <c r="Y208" s="458" t="n">
        <v>5000</v>
      </c>
      <c r="Z208" s="457" t="s">
        <v>6638</v>
      </c>
      <c r="AD208" s="157" t="s">
        <v>7302</v>
      </c>
      <c r="AK208" s="459" t="s">
        <v>7303</v>
      </c>
    </row>
    <row r="209" s="157" customFormat="true" ht="12.75" hidden="false" customHeight="true" outlineLevel="0" collapsed="false">
      <c r="A209" s="456" t="n">
        <v>6</v>
      </c>
      <c r="B209" s="157" t="n">
        <v>203</v>
      </c>
      <c r="C209" s="157" t="s">
        <v>6633</v>
      </c>
      <c r="D209" s="157" t="s">
        <v>7304</v>
      </c>
      <c r="E209" s="457" t="s">
        <v>2461</v>
      </c>
      <c r="F209" s="157" t="s">
        <v>7305</v>
      </c>
      <c r="G209" s="157" t="n">
        <v>44.1</v>
      </c>
      <c r="H209" s="157" t="n">
        <v>9508</v>
      </c>
      <c r="I209" s="457" t="n">
        <v>0</v>
      </c>
      <c r="J209" s="458" t="n">
        <v>8868</v>
      </c>
      <c r="K209" s="167" t="n">
        <v>7.61163734776725</v>
      </c>
      <c r="L209" s="175" t="n">
        <v>0</v>
      </c>
      <c r="M209" s="175" t="n">
        <v>0</v>
      </c>
      <c r="N209" s="157" t="n">
        <v>1980</v>
      </c>
      <c r="O209" s="157" t="n">
        <v>2248</v>
      </c>
      <c r="P209" s="157" t="n">
        <v>0</v>
      </c>
      <c r="Q209" s="157" t="n">
        <v>15</v>
      </c>
      <c r="R209" s="157" t="n">
        <v>3</v>
      </c>
      <c r="S209" s="157" t="n">
        <v>3</v>
      </c>
      <c r="T209" s="457" t="s">
        <v>6636</v>
      </c>
      <c r="U209" s="157" t="n">
        <v>398</v>
      </c>
      <c r="V209" s="458" t="n">
        <v>18125</v>
      </c>
      <c r="W209" s="458" t="n">
        <v>18000</v>
      </c>
      <c r="X209" s="445" t="s">
        <v>6767</v>
      </c>
      <c r="Y209" s="458" t="n">
        <v>9000</v>
      </c>
      <c r="Z209" s="457" t="s">
        <v>6638</v>
      </c>
      <c r="AK209" s="459" t="s">
        <v>7306</v>
      </c>
    </row>
    <row r="210" s="157" customFormat="true" ht="25.5" hidden="false" customHeight="true" outlineLevel="0" collapsed="false">
      <c r="A210" s="456" t="n">
        <v>6</v>
      </c>
      <c r="B210" s="157" t="n">
        <v>204</v>
      </c>
      <c r="C210" s="157" t="s">
        <v>6633</v>
      </c>
      <c r="D210" s="157" t="s">
        <v>7307</v>
      </c>
      <c r="E210" s="457" t="s">
        <v>2461</v>
      </c>
      <c r="F210" s="157" t="s">
        <v>7308</v>
      </c>
      <c r="G210" s="157" t="n">
        <v>44.2</v>
      </c>
      <c r="H210" s="157" t="n">
        <v>9508</v>
      </c>
      <c r="I210" s="457" t="n">
        <v>0</v>
      </c>
      <c r="J210" s="458" t="n">
        <v>8142</v>
      </c>
      <c r="K210" s="167" t="n">
        <v>7.36363636363636</v>
      </c>
      <c r="L210" s="175" t="n">
        <v>0</v>
      </c>
      <c r="M210" s="175" t="n">
        <v>0</v>
      </c>
      <c r="N210" s="157" t="n">
        <v>1984</v>
      </c>
      <c r="O210" s="157" t="n">
        <v>2738</v>
      </c>
      <c r="P210" s="157" t="n">
        <v>0</v>
      </c>
      <c r="Q210" s="157" t="n">
        <v>14</v>
      </c>
      <c r="R210" s="157" t="n">
        <v>3</v>
      </c>
      <c r="S210" s="157" t="n">
        <v>2</v>
      </c>
      <c r="T210" s="457" t="s">
        <v>6636</v>
      </c>
      <c r="U210" s="157" t="n">
        <v>398</v>
      </c>
      <c r="V210" s="458" t="n">
        <v>12500</v>
      </c>
      <c r="W210" s="458" t="n">
        <v>13000</v>
      </c>
      <c r="X210" s="445" t="s">
        <v>6837</v>
      </c>
      <c r="Y210" s="458" t="n">
        <v>8000</v>
      </c>
      <c r="Z210" s="457" t="s">
        <v>6638</v>
      </c>
      <c r="AK210" s="459" t="s">
        <v>7309</v>
      </c>
    </row>
    <row r="211" s="157" customFormat="true" ht="12.75" hidden="false" customHeight="true" outlineLevel="0" collapsed="false">
      <c r="A211" s="456" t="n">
        <v>6</v>
      </c>
      <c r="B211" s="157" t="n">
        <v>205</v>
      </c>
      <c r="C211" s="157" t="s">
        <v>6633</v>
      </c>
      <c r="D211" s="157" t="s">
        <v>7310</v>
      </c>
      <c r="E211" s="457" t="s">
        <v>2461</v>
      </c>
      <c r="F211" s="157" t="s">
        <v>7311</v>
      </c>
      <c r="G211" s="157" t="n">
        <v>47.2</v>
      </c>
      <c r="H211" s="157" t="n">
        <v>9505</v>
      </c>
      <c r="I211" s="457" t="n">
        <v>0</v>
      </c>
      <c r="J211" s="458" t="n">
        <v>7585</v>
      </c>
      <c r="K211" s="167" t="n">
        <v>7.11931443638761</v>
      </c>
      <c r="L211" s="175" t="n">
        <v>0</v>
      </c>
      <c r="M211" s="175" t="n">
        <v>0</v>
      </c>
      <c r="N211" s="157" t="n">
        <v>1957</v>
      </c>
      <c r="O211" s="157" t="n">
        <v>0</v>
      </c>
      <c r="P211" s="157" t="n">
        <v>0</v>
      </c>
      <c r="Q211" s="157" t="n">
        <v>12</v>
      </c>
      <c r="R211" s="157" t="n">
        <v>3</v>
      </c>
      <c r="S211" s="157" t="n">
        <v>1</v>
      </c>
      <c r="T211" s="457" t="s">
        <v>6680</v>
      </c>
      <c r="U211" s="157" t="n">
        <v>401</v>
      </c>
      <c r="V211" s="458" t="n">
        <v>19000</v>
      </c>
      <c r="W211" s="458" t="n">
        <v>19000</v>
      </c>
      <c r="X211" s="445" t="s">
        <v>6692</v>
      </c>
      <c r="Y211" s="458" t="n">
        <v>8000</v>
      </c>
      <c r="Z211" s="457" t="s">
        <v>6638</v>
      </c>
      <c r="AK211" s="459"/>
    </row>
    <row r="212" s="157" customFormat="true" ht="12.75" hidden="false" customHeight="true" outlineLevel="0" collapsed="false">
      <c r="A212" s="456" t="n">
        <v>6</v>
      </c>
      <c r="B212" s="157" t="n">
        <v>206</v>
      </c>
      <c r="C212" s="157" t="s">
        <v>6633</v>
      </c>
      <c r="D212" s="157" t="s">
        <v>7312</v>
      </c>
      <c r="E212" s="457" t="s">
        <v>2461</v>
      </c>
      <c r="F212" s="157" t="s">
        <v>7313</v>
      </c>
      <c r="G212" s="157" t="n">
        <v>44.1</v>
      </c>
      <c r="H212" s="157" t="n">
        <v>9505</v>
      </c>
      <c r="I212" s="457" t="n">
        <v>3</v>
      </c>
      <c r="J212" s="458" t="n">
        <v>6802</v>
      </c>
      <c r="K212" s="167" t="n">
        <v>8.91972949132608</v>
      </c>
      <c r="L212" s="175" t="n">
        <v>0</v>
      </c>
      <c r="M212" s="175" t="n">
        <v>0</v>
      </c>
      <c r="N212" s="157" t="n">
        <v>1971</v>
      </c>
      <c r="O212" s="157" t="n">
        <v>1338</v>
      </c>
      <c r="P212" s="157" t="n">
        <v>0</v>
      </c>
      <c r="Q212" s="157" t="n">
        <v>20</v>
      </c>
      <c r="R212" s="157" t="n">
        <v>7</v>
      </c>
      <c r="S212" s="157" t="n">
        <v>1</v>
      </c>
      <c r="T212" s="457" t="s">
        <v>6680</v>
      </c>
      <c r="U212" s="157" t="n">
        <v>398</v>
      </c>
      <c r="V212" s="458" t="n">
        <v>13864</v>
      </c>
      <c r="W212" s="458" t="n">
        <v>14000</v>
      </c>
      <c r="X212" s="445" t="s">
        <v>6767</v>
      </c>
      <c r="Y212" s="458" t="n">
        <v>7000</v>
      </c>
      <c r="Z212" s="457" t="s">
        <v>6638</v>
      </c>
      <c r="AD212" s="157" t="s">
        <v>7314</v>
      </c>
      <c r="AK212" s="459" t="s">
        <v>6665</v>
      </c>
    </row>
    <row r="213" s="157" customFormat="true" ht="12.75" hidden="false" customHeight="true" outlineLevel="0" collapsed="false">
      <c r="A213" s="456" t="n">
        <v>6</v>
      </c>
      <c r="B213" s="157" t="n">
        <v>207</v>
      </c>
      <c r="C213" s="157" t="s">
        <v>6633</v>
      </c>
      <c r="D213" s="157" t="s">
        <v>7315</v>
      </c>
      <c r="E213" s="457" t="s">
        <v>2461</v>
      </c>
      <c r="F213" s="157" t="s">
        <v>7316</v>
      </c>
      <c r="G213" s="157" t="n">
        <v>47.2</v>
      </c>
      <c r="H213" s="157" t="n">
        <v>9505</v>
      </c>
      <c r="I213" s="457" t="n">
        <v>0</v>
      </c>
      <c r="J213" s="458" t="n">
        <v>6624</v>
      </c>
      <c r="K213" s="167" t="n">
        <v>8.31280193236715</v>
      </c>
      <c r="L213" s="175" t="n">
        <v>0</v>
      </c>
      <c r="M213" s="175" t="n">
        <v>0</v>
      </c>
      <c r="N213" s="157" t="n">
        <v>1976</v>
      </c>
      <c r="O213" s="157" t="n">
        <v>4224</v>
      </c>
      <c r="P213" s="157" t="n">
        <v>0</v>
      </c>
      <c r="Q213" s="157" t="n">
        <v>12</v>
      </c>
      <c r="R213" s="157" t="n">
        <v>3</v>
      </c>
      <c r="S213" s="157" t="n">
        <v>1</v>
      </c>
      <c r="T213" s="457" t="s">
        <v>6847</v>
      </c>
      <c r="U213" s="157" t="n">
        <v>401</v>
      </c>
      <c r="V213" s="458" t="n">
        <v>18200</v>
      </c>
      <c r="W213" s="458" t="n">
        <v>18000</v>
      </c>
      <c r="X213" s="445" t="s">
        <v>6757</v>
      </c>
      <c r="Y213" s="458" t="n">
        <v>7000</v>
      </c>
      <c r="Z213" s="457" t="s">
        <v>6638</v>
      </c>
      <c r="AD213" s="157" t="s">
        <v>7317</v>
      </c>
      <c r="AK213" s="459" t="s">
        <v>6665</v>
      </c>
    </row>
    <row r="214" s="157" customFormat="true" ht="12.75" hidden="false" customHeight="true" outlineLevel="0" collapsed="false">
      <c r="A214" s="456" t="n">
        <v>6</v>
      </c>
      <c r="B214" s="157" t="n">
        <v>208</v>
      </c>
      <c r="C214" s="157" t="s">
        <v>6633</v>
      </c>
      <c r="D214" s="157" t="s">
        <v>7318</v>
      </c>
      <c r="E214" s="457" t="s">
        <v>2461</v>
      </c>
      <c r="F214" s="157" t="s">
        <v>7319</v>
      </c>
      <c r="G214" s="157" t="n">
        <v>42.1</v>
      </c>
      <c r="H214" s="157" t="n">
        <v>9502</v>
      </c>
      <c r="I214" s="457" t="n">
        <v>0</v>
      </c>
      <c r="J214" s="458" t="n">
        <v>9147</v>
      </c>
      <c r="K214" s="167" t="n">
        <v>11.1615830326883</v>
      </c>
      <c r="L214" s="175" t="n">
        <v>0</v>
      </c>
      <c r="M214" s="175" t="n">
        <v>0.0555169205152064</v>
      </c>
      <c r="N214" s="157" t="n">
        <v>1935</v>
      </c>
      <c r="O214" s="157" t="n">
        <v>1469</v>
      </c>
      <c r="P214" s="157" t="n">
        <v>0</v>
      </c>
      <c r="Q214" s="157" t="n">
        <v>14</v>
      </c>
      <c r="R214" s="157" t="n">
        <v>1</v>
      </c>
      <c r="S214" s="157" t="n">
        <v>2</v>
      </c>
      <c r="T214" s="457" t="s">
        <v>7320</v>
      </c>
      <c r="U214" s="157" t="n">
        <v>401</v>
      </c>
      <c r="V214" s="458" t="n">
        <v>12500</v>
      </c>
      <c r="W214" s="458" t="n">
        <v>13000</v>
      </c>
      <c r="X214" s="445" t="s">
        <v>6710</v>
      </c>
      <c r="Y214" s="458" t="n">
        <v>9000</v>
      </c>
      <c r="Z214" s="457" t="s">
        <v>6638</v>
      </c>
      <c r="AD214" s="157" t="s">
        <v>7321</v>
      </c>
      <c r="AK214" s="459" t="s">
        <v>7322</v>
      </c>
    </row>
    <row r="215" s="157" customFormat="true" ht="12.75" hidden="false" customHeight="true" outlineLevel="0" collapsed="false">
      <c r="A215" s="456" t="n">
        <v>6</v>
      </c>
      <c r="B215" s="157" t="n">
        <v>209</v>
      </c>
      <c r="C215" s="157" t="s">
        <v>6633</v>
      </c>
      <c r="D215" s="157" t="s">
        <v>7323</v>
      </c>
      <c r="E215" s="457" t="s">
        <v>2461</v>
      </c>
      <c r="F215" s="157" t="s">
        <v>7324</v>
      </c>
      <c r="G215" s="157" t="n">
        <v>44.2</v>
      </c>
      <c r="H215" s="157" t="n">
        <v>9506</v>
      </c>
      <c r="I215" s="457" t="n">
        <v>0</v>
      </c>
      <c r="J215" s="458" t="n">
        <v>38526</v>
      </c>
      <c r="K215" s="167" t="n">
        <v>4.81851217359705</v>
      </c>
      <c r="L215" s="175" t="n">
        <v>0</v>
      </c>
      <c r="M215" s="175" t="n">
        <v>0</v>
      </c>
      <c r="N215" s="157" t="n">
        <v>1969</v>
      </c>
      <c r="O215" s="157" t="n">
        <v>4748</v>
      </c>
      <c r="P215" s="157" t="n">
        <v>0</v>
      </c>
      <c r="Q215" s="157" t="n">
        <v>22</v>
      </c>
      <c r="R215" s="157" t="n">
        <v>1</v>
      </c>
      <c r="S215" s="157" t="n">
        <v>1</v>
      </c>
      <c r="T215" s="457" t="s">
        <v>6680</v>
      </c>
      <c r="U215" s="157" t="n">
        <v>398</v>
      </c>
      <c r="V215" s="458" t="n">
        <v>62533</v>
      </c>
      <c r="W215" s="458" t="n">
        <v>63000</v>
      </c>
      <c r="X215" s="445" t="s">
        <v>6668</v>
      </c>
      <c r="Y215" s="458" t="n">
        <v>39000</v>
      </c>
      <c r="Z215" s="457" t="s">
        <v>6638</v>
      </c>
      <c r="AD215" s="157" t="s">
        <v>7243</v>
      </c>
      <c r="AK215" s="459"/>
    </row>
    <row r="216" s="157" customFormat="true" ht="12.75" hidden="false" customHeight="true" outlineLevel="0" collapsed="false">
      <c r="A216" s="456" t="n">
        <v>6</v>
      </c>
      <c r="B216" s="157" t="n">
        <v>210</v>
      </c>
      <c r="C216" s="157" t="s">
        <v>6633</v>
      </c>
      <c r="D216" s="157" t="s">
        <v>7325</v>
      </c>
      <c r="E216" s="457" t="s">
        <v>2461</v>
      </c>
      <c r="F216" s="157" t="s">
        <v>7326</v>
      </c>
      <c r="G216" s="157" t="n">
        <v>44.1</v>
      </c>
      <c r="H216" s="157" t="n">
        <v>9506</v>
      </c>
      <c r="I216" s="457" t="n">
        <v>0</v>
      </c>
      <c r="J216" s="458" t="n">
        <v>9104</v>
      </c>
      <c r="K216" s="167" t="n">
        <v>6.59050966608084</v>
      </c>
      <c r="L216" s="175" t="n">
        <v>0</v>
      </c>
      <c r="M216" s="175" t="n">
        <v>0</v>
      </c>
      <c r="N216" s="157" t="n">
        <v>1980</v>
      </c>
      <c r="O216" s="157" t="n">
        <v>4079</v>
      </c>
      <c r="P216" s="157" t="n">
        <v>0</v>
      </c>
      <c r="Q216" s="157" t="n">
        <v>16</v>
      </c>
      <c r="R216" s="157" t="n">
        <v>1</v>
      </c>
      <c r="S216" s="157" t="n">
        <v>1</v>
      </c>
      <c r="T216" s="457" t="s">
        <v>6680</v>
      </c>
      <c r="U216" s="157" t="n">
        <v>398</v>
      </c>
      <c r="V216" s="458" t="n">
        <v>25695</v>
      </c>
      <c r="W216" s="458" t="n">
        <v>26000</v>
      </c>
      <c r="X216" s="445" t="s">
        <v>6664</v>
      </c>
      <c r="Y216" s="458" t="n">
        <v>9000</v>
      </c>
      <c r="Z216" s="457" t="s">
        <v>6638</v>
      </c>
      <c r="AD216" s="157" t="s">
        <v>7327</v>
      </c>
      <c r="AK216" s="459"/>
    </row>
    <row r="217" s="157" customFormat="true" ht="25.5" hidden="false" customHeight="true" outlineLevel="0" collapsed="false">
      <c r="A217" s="456" t="n">
        <v>6</v>
      </c>
      <c r="B217" s="157" t="n">
        <v>211</v>
      </c>
      <c r="C217" s="157" t="s">
        <v>6633</v>
      </c>
      <c r="D217" s="157" t="s">
        <v>7328</v>
      </c>
      <c r="E217" s="457" t="s">
        <v>2461</v>
      </c>
      <c r="F217" s="157" t="s">
        <v>7329</v>
      </c>
      <c r="G217" s="157" t="n">
        <v>44.1</v>
      </c>
      <c r="H217" s="157" t="n">
        <v>9507</v>
      </c>
      <c r="I217" s="457" t="n">
        <v>0</v>
      </c>
      <c r="J217" s="458" t="n">
        <v>6583</v>
      </c>
      <c r="K217" s="167" t="n">
        <v>10.551724137931</v>
      </c>
      <c r="L217" s="175" t="n">
        <v>0</v>
      </c>
      <c r="M217" s="175" t="n">
        <v>0</v>
      </c>
      <c r="N217" s="157" t="n">
        <v>1949</v>
      </c>
      <c r="O217" s="157" t="n">
        <v>2226</v>
      </c>
      <c r="P217" s="157" t="n">
        <v>0</v>
      </c>
      <c r="Q217" s="157" t="n">
        <v>15</v>
      </c>
      <c r="R217" s="157" t="n">
        <v>3</v>
      </c>
      <c r="S217" s="157" t="n">
        <v>1</v>
      </c>
      <c r="T217" s="457" t="s">
        <v>7320</v>
      </c>
      <c r="U217" s="157" t="n">
        <v>398</v>
      </c>
      <c r="V217" s="458" t="n">
        <v>11913</v>
      </c>
      <c r="W217" s="458" t="n">
        <v>12000</v>
      </c>
      <c r="X217" s="445" t="s">
        <v>6863</v>
      </c>
      <c r="Y217" s="458" t="n">
        <v>7000</v>
      </c>
      <c r="Z217" s="457" t="s">
        <v>6638</v>
      </c>
      <c r="AK217" s="459" t="s">
        <v>7330</v>
      </c>
    </row>
    <row r="218" s="157" customFormat="true" ht="12.75" hidden="false" customHeight="true" outlineLevel="0" collapsed="false">
      <c r="A218" s="456" t="n">
        <v>6</v>
      </c>
      <c r="B218" s="157" t="n">
        <v>212</v>
      </c>
      <c r="C218" s="157" t="s">
        <v>6633</v>
      </c>
      <c r="D218" s="157" t="s">
        <v>7331</v>
      </c>
      <c r="E218" s="457" t="s">
        <v>2461</v>
      </c>
      <c r="F218" s="157" t="s">
        <v>7332</v>
      </c>
      <c r="G218" s="157" t="n">
        <v>44.1</v>
      </c>
      <c r="H218" s="157" t="n">
        <v>9506</v>
      </c>
      <c r="I218" s="457" t="n">
        <v>9</v>
      </c>
      <c r="J218" s="458" t="n">
        <v>12148</v>
      </c>
      <c r="K218" s="167" t="n">
        <v>8.77206124464933</v>
      </c>
      <c r="L218" s="175" t="n">
        <v>0</v>
      </c>
      <c r="M218" s="175" t="n">
        <v>0</v>
      </c>
      <c r="N218" s="157" t="n">
        <v>1977</v>
      </c>
      <c r="O218" s="157" t="n">
        <v>0</v>
      </c>
      <c r="P218" s="157" t="n">
        <v>6808</v>
      </c>
      <c r="Q218" s="157" t="n">
        <v>16</v>
      </c>
      <c r="R218" s="157" t="n">
        <v>7</v>
      </c>
      <c r="S218" s="157" t="n">
        <v>1</v>
      </c>
      <c r="T218" s="457" t="s">
        <v>6636</v>
      </c>
      <c r="U218" s="157" t="n">
        <v>398</v>
      </c>
      <c r="V218" s="458" t="n">
        <v>32824</v>
      </c>
      <c r="W218" s="458" t="n">
        <v>33000</v>
      </c>
      <c r="X218" s="445" t="s">
        <v>6757</v>
      </c>
      <c r="Y218" s="458" t="n">
        <v>12000</v>
      </c>
      <c r="Z218" s="457" t="s">
        <v>6638</v>
      </c>
      <c r="AK218" s="459" t="s">
        <v>7333</v>
      </c>
    </row>
    <row r="219" s="157" customFormat="true" ht="12.75" hidden="false" customHeight="true" outlineLevel="0" collapsed="false">
      <c r="A219" s="456" t="n">
        <v>6</v>
      </c>
      <c r="B219" s="157" t="n">
        <v>213</v>
      </c>
      <c r="C219" s="157" t="s">
        <v>6633</v>
      </c>
      <c r="D219" s="157" t="s">
        <v>7334</v>
      </c>
      <c r="E219" s="457" t="s">
        <v>2461</v>
      </c>
      <c r="F219" s="157" t="s">
        <v>7335</v>
      </c>
      <c r="G219" s="157" t="n">
        <v>44.5</v>
      </c>
      <c r="H219" s="157" t="n">
        <v>9506</v>
      </c>
      <c r="I219" s="457" t="n">
        <v>0</v>
      </c>
      <c r="J219" s="458" t="n">
        <v>3485</v>
      </c>
      <c r="K219" s="167" t="n">
        <v>3.13142037302726</v>
      </c>
      <c r="L219" s="175" t="n">
        <v>0</v>
      </c>
      <c r="M219" s="175" t="n">
        <v>0.211399248602584</v>
      </c>
      <c r="N219" s="157" t="n">
        <v>1973</v>
      </c>
      <c r="O219" s="157" t="n">
        <v>0</v>
      </c>
      <c r="P219" s="157" t="n">
        <v>0</v>
      </c>
      <c r="Q219" s="157" t="n">
        <v>12</v>
      </c>
      <c r="R219" s="157" t="n">
        <v>7</v>
      </c>
      <c r="S219" s="157" t="n">
        <v>20</v>
      </c>
      <c r="T219" s="457" t="s">
        <v>6636</v>
      </c>
      <c r="U219" s="157" t="n">
        <v>396</v>
      </c>
      <c r="V219" s="458" t="n">
        <v>9375</v>
      </c>
      <c r="W219" s="458" t="n">
        <v>9000</v>
      </c>
      <c r="X219" s="445" t="s">
        <v>6757</v>
      </c>
      <c r="Y219" s="458" t="n">
        <v>3000</v>
      </c>
      <c r="Z219" s="457" t="s">
        <v>6638</v>
      </c>
      <c r="AD219" s="157" t="s">
        <v>7336</v>
      </c>
      <c r="AK219" s="459"/>
    </row>
    <row r="220" s="157" customFormat="true" ht="12.75" hidden="false" customHeight="true" outlineLevel="0" collapsed="false">
      <c r="A220" s="456" t="n">
        <v>6</v>
      </c>
      <c r="B220" s="157" t="n">
        <v>214</v>
      </c>
      <c r="C220" s="157" t="s">
        <v>6633</v>
      </c>
      <c r="D220" s="157" t="s">
        <v>7337</v>
      </c>
      <c r="E220" s="457" t="s">
        <v>2461</v>
      </c>
      <c r="F220" s="157" t="s">
        <v>7338</v>
      </c>
      <c r="G220" s="157" t="n">
        <v>44.2</v>
      </c>
      <c r="H220" s="157" t="n">
        <v>9506</v>
      </c>
      <c r="I220" s="457" t="n">
        <v>0</v>
      </c>
      <c r="J220" s="458" t="n">
        <v>6000</v>
      </c>
      <c r="K220" s="167" t="n">
        <v>6.7</v>
      </c>
      <c r="L220" s="175" t="n">
        <v>0</v>
      </c>
      <c r="M220" s="175" t="n">
        <v>0.0666417910447761</v>
      </c>
      <c r="N220" s="157" t="n">
        <v>1971</v>
      </c>
      <c r="O220" s="157" t="n">
        <v>630</v>
      </c>
      <c r="P220" s="157" t="n">
        <v>0</v>
      </c>
      <c r="Q220" s="157" t="n">
        <v>13</v>
      </c>
      <c r="R220" s="157" t="n">
        <v>3</v>
      </c>
      <c r="S220" s="157" t="n">
        <v>1</v>
      </c>
      <c r="T220" s="457" t="s">
        <v>6636</v>
      </c>
      <c r="U220" s="157" t="n">
        <v>398</v>
      </c>
      <c r="V220" s="458" t="n">
        <v>12500</v>
      </c>
      <c r="W220" s="458" t="n">
        <v>13000</v>
      </c>
      <c r="X220" s="445" t="s">
        <v>6754</v>
      </c>
      <c r="Y220" s="458" t="n">
        <v>6000</v>
      </c>
      <c r="Z220" s="457" t="s">
        <v>6638</v>
      </c>
      <c r="AK220" s="459"/>
    </row>
    <row r="221" s="157" customFormat="true" ht="12.75" hidden="false" customHeight="true" outlineLevel="0" collapsed="false">
      <c r="A221" s="456" t="n">
        <v>6</v>
      </c>
      <c r="B221" s="157" t="n">
        <v>215</v>
      </c>
      <c r="C221" s="157" t="s">
        <v>6633</v>
      </c>
      <c r="D221" s="157" t="s">
        <v>7339</v>
      </c>
      <c r="E221" s="457" t="s">
        <v>2461</v>
      </c>
      <c r="F221" s="157" t="s">
        <v>7340</v>
      </c>
      <c r="G221" s="157" t="n">
        <v>44.1</v>
      </c>
      <c r="H221" s="157" t="n">
        <v>9506</v>
      </c>
      <c r="I221" s="457" t="n">
        <v>0</v>
      </c>
      <c r="J221" s="458" t="n">
        <v>7840</v>
      </c>
      <c r="K221" s="167" t="n">
        <v>6.12244897959184</v>
      </c>
      <c r="L221" s="175" t="n">
        <v>0</v>
      </c>
      <c r="M221" s="175" t="n">
        <v>0</v>
      </c>
      <c r="N221" s="157" t="n">
        <v>1982</v>
      </c>
      <c r="O221" s="157" t="n">
        <v>1482</v>
      </c>
      <c r="P221" s="157" t="n">
        <v>0</v>
      </c>
      <c r="Q221" s="157" t="n">
        <v>17</v>
      </c>
      <c r="R221" s="157" t="n">
        <v>3</v>
      </c>
      <c r="S221" s="157" t="n">
        <v>1</v>
      </c>
      <c r="T221" s="457" t="s">
        <v>6636</v>
      </c>
      <c r="U221" s="157" t="n">
        <v>398</v>
      </c>
      <c r="V221" s="458" t="n">
        <v>43765</v>
      </c>
      <c r="W221" s="458" t="n">
        <v>44000</v>
      </c>
      <c r="X221" s="445" t="s">
        <v>7341</v>
      </c>
      <c r="Y221" s="458" t="n">
        <v>8000</v>
      </c>
      <c r="Z221" s="457" t="s">
        <v>6638</v>
      </c>
      <c r="AD221" s="157" t="s">
        <v>7342</v>
      </c>
      <c r="AK221" s="459"/>
    </row>
    <row r="222" s="157" customFormat="true" ht="25.5" hidden="false" customHeight="true" outlineLevel="0" collapsed="false">
      <c r="A222" s="456" t="n">
        <v>6</v>
      </c>
      <c r="B222" s="157" t="n">
        <v>216</v>
      </c>
      <c r="C222" s="157" t="s">
        <v>6633</v>
      </c>
      <c r="D222" s="157" t="s">
        <v>7343</v>
      </c>
      <c r="E222" s="457" t="s">
        <v>2461</v>
      </c>
      <c r="F222" s="157" t="s">
        <v>7344</v>
      </c>
      <c r="G222" s="157" t="n">
        <v>44.1</v>
      </c>
      <c r="H222" s="157" t="n">
        <v>9506</v>
      </c>
      <c r="I222" s="457" t="n">
        <v>0</v>
      </c>
      <c r="J222" s="458" t="n">
        <v>6585</v>
      </c>
      <c r="K222" s="167" t="n">
        <v>7.35656836461126</v>
      </c>
      <c r="L222" s="175" t="n">
        <v>0</v>
      </c>
      <c r="M222" s="175" t="n">
        <v>0</v>
      </c>
      <c r="N222" s="157" t="n">
        <v>1963</v>
      </c>
      <c r="O222" s="157" t="n">
        <v>1057</v>
      </c>
      <c r="P222" s="157" t="n">
        <v>0</v>
      </c>
      <c r="Q222" s="157" t="n">
        <v>13</v>
      </c>
      <c r="R222" s="157" t="n">
        <v>1</v>
      </c>
      <c r="S222" s="157" t="n">
        <v>2</v>
      </c>
      <c r="T222" s="457" t="s">
        <v>6680</v>
      </c>
      <c r="U222" s="157" t="n">
        <v>398</v>
      </c>
      <c r="V222" s="458" t="n">
        <v>10027</v>
      </c>
      <c r="W222" s="458" t="n">
        <v>10000</v>
      </c>
      <c r="X222" s="445" t="s">
        <v>6837</v>
      </c>
      <c r="Y222" s="458" t="n">
        <v>7000</v>
      </c>
      <c r="Z222" s="457" t="s">
        <v>6638</v>
      </c>
      <c r="AD222" s="157" t="s">
        <v>7345</v>
      </c>
      <c r="AK222" s="459" t="s">
        <v>7346</v>
      </c>
    </row>
    <row r="223" s="157" customFormat="true" ht="12.75" hidden="false" customHeight="true" outlineLevel="0" collapsed="false">
      <c r="A223" s="456" t="n">
        <v>6</v>
      </c>
      <c r="B223" s="157" t="n">
        <v>217</v>
      </c>
      <c r="C223" s="157" t="s">
        <v>6633</v>
      </c>
      <c r="D223" s="157" t="s">
        <v>7347</v>
      </c>
      <c r="E223" s="457" t="s">
        <v>2461</v>
      </c>
      <c r="F223" s="157" t="s">
        <v>7348</v>
      </c>
      <c r="G223" s="157" t="n">
        <v>44.8</v>
      </c>
      <c r="H223" s="157" t="n">
        <v>9506</v>
      </c>
      <c r="I223" s="457" t="n">
        <v>0</v>
      </c>
      <c r="J223" s="458" t="n">
        <v>5814</v>
      </c>
      <c r="K223" s="167" t="n">
        <v>9.95201238390093</v>
      </c>
      <c r="L223" s="175" t="n">
        <v>0</v>
      </c>
      <c r="M223" s="175" t="n">
        <v>0.0216034980384024</v>
      </c>
      <c r="N223" s="157" t="n">
        <v>1962</v>
      </c>
      <c r="O223" s="157" t="n">
        <v>640</v>
      </c>
      <c r="P223" s="157" t="n">
        <v>0</v>
      </c>
      <c r="Q223" s="157" t="n">
        <v>13</v>
      </c>
      <c r="R223" s="157" t="n">
        <v>1</v>
      </c>
      <c r="S223" s="157" t="n">
        <v>1</v>
      </c>
      <c r="T223" s="457" t="s">
        <v>6680</v>
      </c>
      <c r="U223" s="157" t="n">
        <v>398</v>
      </c>
      <c r="V223" s="458" t="n">
        <v>8565</v>
      </c>
      <c r="W223" s="458" t="n">
        <v>9000</v>
      </c>
      <c r="X223" s="445" t="s">
        <v>6837</v>
      </c>
      <c r="Y223" s="458" t="n">
        <v>6000</v>
      </c>
      <c r="Z223" s="457" t="s">
        <v>6638</v>
      </c>
      <c r="AD223" s="157" t="s">
        <v>7349</v>
      </c>
      <c r="AK223" s="459" t="s">
        <v>6665</v>
      </c>
    </row>
    <row r="224" s="157" customFormat="true" ht="12.75" hidden="false" customHeight="true" outlineLevel="0" collapsed="false">
      <c r="A224" s="456" t="n">
        <v>6</v>
      </c>
      <c r="B224" s="157" t="n">
        <v>218</v>
      </c>
      <c r="C224" s="157" t="s">
        <v>6633</v>
      </c>
      <c r="D224" s="157" t="s">
        <v>7350</v>
      </c>
      <c r="E224" s="457" t="s">
        <v>2461</v>
      </c>
      <c r="F224" s="157" t="s">
        <v>7351</v>
      </c>
      <c r="G224" s="157" t="n">
        <v>44.8</v>
      </c>
      <c r="H224" s="157" t="n">
        <v>9506</v>
      </c>
      <c r="I224" s="457" t="n">
        <v>0</v>
      </c>
      <c r="J224" s="458" t="n">
        <v>5907</v>
      </c>
      <c r="K224" s="167" t="n">
        <v>3.99187404773997</v>
      </c>
      <c r="L224" s="175" t="n">
        <v>0</v>
      </c>
      <c r="M224" s="175" t="n">
        <v>0</v>
      </c>
      <c r="N224" s="157" t="n">
        <v>1962</v>
      </c>
      <c r="O224" s="157" t="n">
        <v>1906</v>
      </c>
      <c r="P224" s="157" t="n">
        <v>0</v>
      </c>
      <c r="Q224" s="157" t="n">
        <v>13</v>
      </c>
      <c r="R224" s="157" t="n">
        <v>1</v>
      </c>
      <c r="S224" s="157" t="n">
        <v>1</v>
      </c>
      <c r="T224" s="457" t="s">
        <v>6680</v>
      </c>
      <c r="U224" s="157" t="n">
        <v>398</v>
      </c>
      <c r="V224" s="458" t="n">
        <v>8565</v>
      </c>
      <c r="W224" s="458" t="n">
        <v>9000</v>
      </c>
      <c r="X224" s="445" t="s">
        <v>6710</v>
      </c>
      <c r="Y224" s="458" t="n">
        <v>6000</v>
      </c>
      <c r="Z224" s="457" t="s">
        <v>6638</v>
      </c>
      <c r="AD224" s="157" t="s">
        <v>7352</v>
      </c>
      <c r="AK224" s="459"/>
    </row>
    <row r="225" s="157" customFormat="true" ht="12.75" hidden="false" customHeight="true" outlineLevel="0" collapsed="false">
      <c r="A225" s="456" t="n">
        <v>6</v>
      </c>
      <c r="B225" s="157" t="n">
        <v>219</v>
      </c>
      <c r="C225" s="157" t="s">
        <v>6633</v>
      </c>
      <c r="D225" s="157" t="s">
        <v>7353</v>
      </c>
      <c r="E225" s="457" t="s">
        <v>2461</v>
      </c>
      <c r="F225" s="157" t="s">
        <v>7354</v>
      </c>
      <c r="G225" s="157" t="n">
        <v>44.8</v>
      </c>
      <c r="H225" s="157" t="n">
        <v>9506</v>
      </c>
      <c r="I225" s="457" t="n">
        <v>0</v>
      </c>
      <c r="J225" s="458" t="n">
        <v>5844</v>
      </c>
      <c r="K225" s="167" t="n">
        <v>4.03490759753593</v>
      </c>
      <c r="L225" s="175" t="n">
        <v>0</v>
      </c>
      <c r="M225" s="175" t="n">
        <v>0</v>
      </c>
      <c r="N225" s="157" t="n">
        <v>1962</v>
      </c>
      <c r="O225" s="157" t="n">
        <v>978</v>
      </c>
      <c r="P225" s="157" t="n">
        <v>0</v>
      </c>
      <c r="Q225" s="157" t="n">
        <v>13</v>
      </c>
      <c r="R225" s="157" t="n">
        <v>1</v>
      </c>
      <c r="S225" s="157" t="n">
        <v>1</v>
      </c>
      <c r="T225" s="457" t="s">
        <v>6680</v>
      </c>
      <c r="U225" s="157" t="n">
        <v>398</v>
      </c>
      <c r="V225" s="458" t="n">
        <v>8565</v>
      </c>
      <c r="W225" s="458" t="n">
        <v>9000</v>
      </c>
      <c r="X225" s="445" t="s">
        <v>6837</v>
      </c>
      <c r="Y225" s="458" t="n">
        <v>6000</v>
      </c>
      <c r="Z225" s="457" t="s">
        <v>6638</v>
      </c>
      <c r="AD225" s="157" t="s">
        <v>7355</v>
      </c>
      <c r="AK225" s="459"/>
    </row>
    <row r="226" s="157" customFormat="true" ht="12.75" hidden="false" customHeight="true" outlineLevel="0" collapsed="false">
      <c r="A226" s="456" t="n">
        <v>6</v>
      </c>
      <c r="B226" s="157" t="n">
        <v>220</v>
      </c>
      <c r="C226" s="157" t="s">
        <v>6633</v>
      </c>
      <c r="D226" s="157" t="s">
        <v>7356</v>
      </c>
      <c r="E226" s="457" t="s">
        <v>2461</v>
      </c>
      <c r="F226" s="157" t="s">
        <v>7357</v>
      </c>
      <c r="G226" s="157" t="n">
        <v>44.8</v>
      </c>
      <c r="H226" s="157" t="n">
        <v>9506</v>
      </c>
      <c r="I226" s="457" t="n">
        <v>0</v>
      </c>
      <c r="J226" s="458" t="n">
        <v>5803</v>
      </c>
      <c r="K226" s="167" t="n">
        <v>4.06341547475444</v>
      </c>
      <c r="L226" s="175" t="n">
        <v>0</v>
      </c>
      <c r="M226" s="175" t="n">
        <v>0</v>
      </c>
      <c r="N226" s="157" t="n">
        <v>1962</v>
      </c>
      <c r="O226" s="157" t="n">
        <v>0</v>
      </c>
      <c r="P226" s="157" t="n">
        <v>0</v>
      </c>
      <c r="Q226" s="157" t="n">
        <v>13</v>
      </c>
      <c r="R226" s="157" t="n">
        <v>1</v>
      </c>
      <c r="S226" s="157" t="n">
        <v>1</v>
      </c>
      <c r="T226" s="457" t="s">
        <v>6680</v>
      </c>
      <c r="U226" s="157" t="n">
        <v>398</v>
      </c>
      <c r="V226" s="458" t="n">
        <v>8565</v>
      </c>
      <c r="W226" s="458" t="n">
        <v>9000</v>
      </c>
      <c r="X226" s="445" t="s">
        <v>6837</v>
      </c>
      <c r="Y226" s="458" t="n">
        <v>6000</v>
      </c>
      <c r="Z226" s="457" t="s">
        <v>6638</v>
      </c>
      <c r="AD226" s="157" t="s">
        <v>7358</v>
      </c>
      <c r="AK226" s="459"/>
    </row>
    <row r="227" s="157" customFormat="true" ht="12.75" hidden="false" customHeight="true" outlineLevel="0" collapsed="false">
      <c r="A227" s="456" t="n">
        <v>6</v>
      </c>
      <c r="B227" s="157" t="n">
        <v>221</v>
      </c>
      <c r="C227" s="157" t="s">
        <v>6633</v>
      </c>
      <c r="D227" s="157" t="s">
        <v>7359</v>
      </c>
      <c r="E227" s="457" t="s">
        <v>2461</v>
      </c>
      <c r="F227" s="157" t="s">
        <v>7360</v>
      </c>
      <c r="G227" s="157" t="n">
        <v>44.1</v>
      </c>
      <c r="H227" s="157" t="n">
        <v>9506</v>
      </c>
      <c r="I227" s="457" t="n">
        <v>0</v>
      </c>
      <c r="J227" s="458" t="n">
        <v>2873</v>
      </c>
      <c r="K227" s="167" t="n">
        <v>6.68290985033067</v>
      </c>
      <c r="L227" s="175" t="n">
        <v>0</v>
      </c>
      <c r="M227" s="175" t="n">
        <v>0.261875</v>
      </c>
      <c r="N227" s="157" t="n">
        <v>1946</v>
      </c>
      <c r="O227" s="157" t="n">
        <v>595</v>
      </c>
      <c r="P227" s="157" t="n">
        <v>0</v>
      </c>
      <c r="Q227" s="157" t="n">
        <v>11</v>
      </c>
      <c r="R227" s="157" t="n">
        <v>3</v>
      </c>
      <c r="S227" s="157" t="n">
        <v>1</v>
      </c>
      <c r="T227" s="457" t="s">
        <v>7361</v>
      </c>
      <c r="U227" s="157" t="n">
        <v>398</v>
      </c>
      <c r="V227" s="458" t="n">
        <v>6350</v>
      </c>
      <c r="W227" s="458" t="n">
        <v>6000</v>
      </c>
      <c r="X227" s="445" t="s">
        <v>6700</v>
      </c>
      <c r="Y227" s="458" t="n">
        <v>3000</v>
      </c>
      <c r="Z227" s="457" t="s">
        <v>6638</v>
      </c>
      <c r="AD227" s="157" t="s">
        <v>7362</v>
      </c>
      <c r="AK227" s="459"/>
    </row>
    <row r="228" s="157" customFormat="true" ht="12.75" hidden="false" customHeight="true" outlineLevel="0" collapsed="false">
      <c r="A228" s="456" t="n">
        <v>6</v>
      </c>
      <c r="B228" s="157" t="n">
        <v>222</v>
      </c>
      <c r="C228" s="157" t="s">
        <v>6633</v>
      </c>
      <c r="D228" s="157" t="s">
        <v>7363</v>
      </c>
      <c r="E228" s="457" t="s">
        <v>2461</v>
      </c>
      <c r="F228" s="157" t="s">
        <v>7364</v>
      </c>
      <c r="G228" s="157" t="n">
        <v>44.1</v>
      </c>
      <c r="H228" s="157" t="n">
        <v>9506</v>
      </c>
      <c r="I228" s="457" t="n">
        <v>0</v>
      </c>
      <c r="J228" s="458" t="n">
        <v>11852</v>
      </c>
      <c r="K228" s="167" t="n">
        <v>5.32568342895714</v>
      </c>
      <c r="L228" s="175" t="n">
        <v>0</v>
      </c>
      <c r="M228" s="175" t="n">
        <v>0</v>
      </c>
      <c r="N228" s="157" t="n">
        <v>1960</v>
      </c>
      <c r="O228" s="157" t="n">
        <v>1710</v>
      </c>
      <c r="P228" s="157" t="n">
        <v>0</v>
      </c>
      <c r="Q228" s="157" t="n">
        <v>14</v>
      </c>
      <c r="R228" s="157" t="n">
        <v>1</v>
      </c>
      <c r="S228" s="157" t="n">
        <v>1</v>
      </c>
      <c r="T228" s="457" t="s">
        <v>6680</v>
      </c>
      <c r="U228" s="157" t="n">
        <v>398</v>
      </c>
      <c r="V228" s="458" t="n">
        <v>17685</v>
      </c>
      <c r="W228" s="458" t="n">
        <v>18000</v>
      </c>
      <c r="X228" s="445" t="s">
        <v>6837</v>
      </c>
      <c r="Y228" s="458" t="n">
        <v>12000</v>
      </c>
      <c r="Z228" s="457" t="s">
        <v>6638</v>
      </c>
      <c r="AD228" s="157" t="s">
        <v>7365</v>
      </c>
      <c r="AK228" s="459"/>
    </row>
    <row r="229" s="157" customFormat="true" ht="12.75" hidden="false" customHeight="true" outlineLevel="0" collapsed="false">
      <c r="A229" s="456" t="n">
        <v>6</v>
      </c>
      <c r="B229" s="157" t="n">
        <v>223</v>
      </c>
      <c r="C229" s="157" t="s">
        <v>6633</v>
      </c>
      <c r="D229" s="157" t="s">
        <v>7366</v>
      </c>
      <c r="E229" s="457" t="s">
        <v>2461</v>
      </c>
      <c r="F229" s="157" t="s">
        <v>7367</v>
      </c>
      <c r="G229" s="157" t="n">
        <v>44.2</v>
      </c>
      <c r="H229" s="157" t="n">
        <v>9506</v>
      </c>
      <c r="I229" s="457" t="n">
        <v>0</v>
      </c>
      <c r="J229" s="458" t="n">
        <v>9067</v>
      </c>
      <c r="K229" s="167" t="n">
        <v>4.77114811955443</v>
      </c>
      <c r="L229" s="175" t="n">
        <v>0</v>
      </c>
      <c r="M229" s="175" t="n">
        <v>0</v>
      </c>
      <c r="N229" s="157" t="n">
        <v>1961</v>
      </c>
      <c r="O229" s="157" t="n">
        <v>2804</v>
      </c>
      <c r="P229" s="157" t="n">
        <v>0</v>
      </c>
      <c r="Q229" s="157" t="n">
        <v>13</v>
      </c>
      <c r="R229" s="157" t="n">
        <v>1</v>
      </c>
      <c r="S229" s="157" t="n">
        <v>1</v>
      </c>
      <c r="T229" s="457" t="s">
        <v>6680</v>
      </c>
      <c r="U229" s="157" t="n">
        <v>398</v>
      </c>
      <c r="V229" s="458" t="n">
        <v>19050</v>
      </c>
      <c r="W229" s="458" t="n">
        <v>19000</v>
      </c>
      <c r="X229" s="445" t="s">
        <v>6754</v>
      </c>
      <c r="Y229" s="458" t="n">
        <v>9000</v>
      </c>
      <c r="Z229" s="457" t="s">
        <v>6638</v>
      </c>
      <c r="AD229" s="157" t="s">
        <v>7368</v>
      </c>
      <c r="AK229" s="459"/>
    </row>
    <row r="230" s="157" customFormat="true" ht="25.5" hidden="false" customHeight="true" outlineLevel="0" collapsed="false">
      <c r="A230" s="456" t="n">
        <v>6</v>
      </c>
      <c r="B230" s="157" t="n">
        <v>224</v>
      </c>
      <c r="C230" s="157" t="s">
        <v>6633</v>
      </c>
      <c r="D230" s="157" t="s">
        <v>7369</v>
      </c>
      <c r="E230" s="457" t="s">
        <v>2461</v>
      </c>
      <c r="F230" s="157" t="s">
        <v>7370</v>
      </c>
      <c r="G230" s="157" t="n">
        <v>44.2</v>
      </c>
      <c r="H230" s="157" t="n">
        <v>9506</v>
      </c>
      <c r="I230" s="457" t="n">
        <v>0</v>
      </c>
      <c r="J230" s="458" t="n">
        <v>6919</v>
      </c>
      <c r="K230" s="167" t="n">
        <v>5.72337042925278</v>
      </c>
      <c r="L230" s="175" t="n">
        <v>0</v>
      </c>
      <c r="M230" s="175" t="n">
        <v>0</v>
      </c>
      <c r="N230" s="157" t="n">
        <v>1961</v>
      </c>
      <c r="O230" s="157" t="n">
        <v>1014</v>
      </c>
      <c r="P230" s="157" t="n">
        <v>0</v>
      </c>
      <c r="Q230" s="157" t="n">
        <v>14</v>
      </c>
      <c r="R230" s="157" t="n">
        <v>1</v>
      </c>
      <c r="S230" s="157" t="n">
        <v>1</v>
      </c>
      <c r="T230" s="457" t="s">
        <v>6680</v>
      </c>
      <c r="U230" s="157" t="n">
        <v>398</v>
      </c>
      <c r="V230" s="458" t="n">
        <v>19113</v>
      </c>
      <c r="W230" s="458" t="n">
        <v>19000</v>
      </c>
      <c r="X230" s="445" t="s">
        <v>6664</v>
      </c>
      <c r="Y230" s="458" t="n">
        <v>7000</v>
      </c>
      <c r="Z230" s="457" t="s">
        <v>6638</v>
      </c>
      <c r="AD230" s="157" t="s">
        <v>7371</v>
      </c>
      <c r="AK230" s="459" t="s">
        <v>7372</v>
      </c>
    </row>
    <row r="231" s="157" customFormat="true" ht="12.75" hidden="false" customHeight="true" outlineLevel="0" collapsed="false">
      <c r="A231" s="456" t="n">
        <v>6</v>
      </c>
      <c r="B231" s="157" t="n">
        <v>225</v>
      </c>
      <c r="C231" s="157" t="s">
        <v>6633</v>
      </c>
      <c r="D231" s="157" t="s">
        <v>7373</v>
      </c>
      <c r="E231" s="457" t="s">
        <v>2461</v>
      </c>
      <c r="F231" s="157" t="s">
        <v>7374</v>
      </c>
      <c r="G231" s="157" t="n">
        <v>44.2</v>
      </c>
      <c r="H231" s="157" t="n">
        <v>9506</v>
      </c>
      <c r="I231" s="457" t="n">
        <v>0</v>
      </c>
      <c r="J231" s="458" t="n">
        <v>8000</v>
      </c>
      <c r="K231" s="167" t="n">
        <v>4.672875</v>
      </c>
      <c r="L231" s="175" t="n">
        <v>0</v>
      </c>
      <c r="M231" s="175" t="n">
        <v>0</v>
      </c>
      <c r="N231" s="157" t="n">
        <v>1975</v>
      </c>
      <c r="O231" s="157" t="n">
        <v>1000</v>
      </c>
      <c r="P231" s="157" t="n">
        <v>2000</v>
      </c>
      <c r="Q231" s="157" t="n">
        <v>13</v>
      </c>
      <c r="R231" s="157" t="n">
        <v>1</v>
      </c>
      <c r="S231" s="157" t="n">
        <v>1</v>
      </c>
      <c r="T231" s="457" t="s">
        <v>6680</v>
      </c>
      <c r="U231" s="157" t="n">
        <v>398</v>
      </c>
      <c r="V231" s="458" t="n">
        <v>6477</v>
      </c>
      <c r="W231" s="458" t="n">
        <v>6000</v>
      </c>
      <c r="X231" s="445" t="s">
        <v>7375</v>
      </c>
      <c r="Y231" s="458" t="n">
        <v>8000</v>
      </c>
      <c r="Z231" s="457" t="s">
        <v>6638</v>
      </c>
      <c r="AK231" s="459"/>
    </row>
    <row r="232" s="157" customFormat="true" ht="25.5" hidden="false" customHeight="true" outlineLevel="0" collapsed="false">
      <c r="A232" s="456" t="n">
        <v>6</v>
      </c>
      <c r="B232" s="157" t="n">
        <v>226</v>
      </c>
      <c r="C232" s="157" t="s">
        <v>6633</v>
      </c>
      <c r="D232" s="157" t="s">
        <v>7376</v>
      </c>
      <c r="E232" s="457" t="s">
        <v>2461</v>
      </c>
      <c r="F232" s="157" t="s">
        <v>7377</v>
      </c>
      <c r="G232" s="157" t="n">
        <v>47.2</v>
      </c>
      <c r="H232" s="157" t="n">
        <v>9506</v>
      </c>
      <c r="I232" s="457" t="n">
        <v>0</v>
      </c>
      <c r="J232" s="458" t="n">
        <v>11052</v>
      </c>
      <c r="K232" s="167" t="n">
        <v>4.88599348534202</v>
      </c>
      <c r="L232" s="175" t="n">
        <v>0</v>
      </c>
      <c r="M232" s="175" t="n">
        <v>0</v>
      </c>
      <c r="N232" s="157" t="n">
        <v>1962</v>
      </c>
      <c r="O232" s="157" t="n">
        <v>1131</v>
      </c>
      <c r="P232" s="157" t="n">
        <v>0</v>
      </c>
      <c r="Q232" s="157" t="n">
        <v>12</v>
      </c>
      <c r="R232" s="157" t="n">
        <v>8</v>
      </c>
      <c r="S232" s="157" t="n">
        <v>1</v>
      </c>
      <c r="T232" s="457" t="s">
        <v>6636</v>
      </c>
      <c r="U232" s="157" t="n">
        <v>401</v>
      </c>
      <c r="V232" s="458" t="n">
        <v>28630</v>
      </c>
      <c r="W232" s="458" t="n">
        <v>29000</v>
      </c>
      <c r="X232" s="445" t="s">
        <v>6724</v>
      </c>
      <c r="Y232" s="458" t="n">
        <v>11000</v>
      </c>
      <c r="Z232" s="457" t="s">
        <v>6638</v>
      </c>
      <c r="AD232" s="157" t="s">
        <v>7378</v>
      </c>
      <c r="AK232" s="459" t="s">
        <v>6707</v>
      </c>
    </row>
    <row r="233" s="157" customFormat="true" ht="12.75" hidden="false" customHeight="true" outlineLevel="0" collapsed="false">
      <c r="A233" s="456" t="n">
        <v>6</v>
      </c>
      <c r="B233" s="157" t="n">
        <v>227</v>
      </c>
      <c r="C233" s="157" t="s">
        <v>6633</v>
      </c>
      <c r="D233" s="157" t="s">
        <v>7379</v>
      </c>
      <c r="E233" s="457" t="s">
        <v>2461</v>
      </c>
      <c r="F233" s="157" t="s">
        <v>7380</v>
      </c>
      <c r="G233" s="157" t="n">
        <v>44.2</v>
      </c>
      <c r="H233" s="157" t="n">
        <v>9506</v>
      </c>
      <c r="I233" s="457" t="n">
        <v>0</v>
      </c>
      <c r="J233" s="458" t="n">
        <v>1345</v>
      </c>
      <c r="K233" s="167" t="n">
        <v>10.7063197026022</v>
      </c>
      <c r="L233" s="175" t="n">
        <v>0</v>
      </c>
      <c r="M233" s="175" t="n">
        <v>0.139236111111111</v>
      </c>
      <c r="N233" s="157" t="n">
        <v>1959</v>
      </c>
      <c r="O233" s="157" t="n">
        <v>0</v>
      </c>
      <c r="P233" s="157" t="n">
        <v>0</v>
      </c>
      <c r="Q233" s="157" t="n">
        <v>14</v>
      </c>
      <c r="R233" s="157" t="n">
        <v>8</v>
      </c>
      <c r="S233" s="157" t="n">
        <v>1</v>
      </c>
      <c r="T233" s="457" t="s">
        <v>6636</v>
      </c>
      <c r="U233" s="157" t="n">
        <v>398</v>
      </c>
      <c r="V233" s="458" t="n">
        <v>12700</v>
      </c>
      <c r="W233" s="458" t="n">
        <v>13000</v>
      </c>
      <c r="X233" s="445" t="s">
        <v>7381</v>
      </c>
      <c r="Y233" s="458" t="n">
        <v>1000</v>
      </c>
      <c r="Z233" s="457" t="s">
        <v>6638</v>
      </c>
      <c r="AD233" s="157" t="s">
        <v>7382</v>
      </c>
      <c r="AK233" s="459"/>
    </row>
    <row r="234" s="157" customFormat="true" ht="12.75" hidden="false" customHeight="true" outlineLevel="0" collapsed="false">
      <c r="A234" s="456" t="n">
        <v>6</v>
      </c>
      <c r="B234" s="157" t="n">
        <v>228</v>
      </c>
      <c r="C234" s="157" t="s">
        <v>6633</v>
      </c>
      <c r="D234" s="157" t="s">
        <v>7383</v>
      </c>
      <c r="E234" s="457" t="s">
        <v>2461</v>
      </c>
      <c r="F234" s="157" t="s">
        <v>7384</v>
      </c>
      <c r="G234" s="157" t="n">
        <v>44.2</v>
      </c>
      <c r="H234" s="157" t="n">
        <v>9506</v>
      </c>
      <c r="I234" s="457" t="n">
        <v>0</v>
      </c>
      <c r="J234" s="458" t="n">
        <v>2610</v>
      </c>
      <c r="K234" s="167" t="n">
        <v>8.73563218390805</v>
      </c>
      <c r="L234" s="175" t="n">
        <v>0</v>
      </c>
      <c r="M234" s="175" t="n">
        <v>0.139912280701754</v>
      </c>
      <c r="N234" s="157" t="n">
        <v>1962</v>
      </c>
      <c r="O234" s="157" t="n">
        <v>750</v>
      </c>
      <c r="P234" s="157" t="n">
        <v>0</v>
      </c>
      <c r="Q234" s="157" t="n">
        <v>12</v>
      </c>
      <c r="R234" s="157" t="n">
        <v>1</v>
      </c>
      <c r="S234" s="157" t="n">
        <v>1</v>
      </c>
      <c r="T234" s="457" t="s">
        <v>6680</v>
      </c>
      <c r="U234" s="157" t="n">
        <v>398</v>
      </c>
      <c r="V234" s="458" t="n">
        <v>6350</v>
      </c>
      <c r="W234" s="458" t="n">
        <v>6000</v>
      </c>
      <c r="X234" s="445" t="s">
        <v>6650</v>
      </c>
      <c r="Y234" s="458" t="n">
        <v>3000</v>
      </c>
      <c r="Z234" s="457" t="s">
        <v>6638</v>
      </c>
      <c r="AD234" s="157" t="s">
        <v>7385</v>
      </c>
      <c r="AK234" s="459" t="s">
        <v>6665</v>
      </c>
    </row>
    <row r="235" s="157" customFormat="true" ht="12.75" hidden="false" customHeight="true" outlineLevel="0" collapsed="false">
      <c r="A235" s="456" t="n">
        <v>6</v>
      </c>
      <c r="B235" s="157" t="n">
        <v>229</v>
      </c>
      <c r="C235" s="157" t="s">
        <v>6633</v>
      </c>
      <c r="D235" s="157" t="s">
        <v>7386</v>
      </c>
      <c r="E235" s="457" t="s">
        <v>2461</v>
      </c>
      <c r="F235" s="157" t="s">
        <v>7387</v>
      </c>
      <c r="G235" s="157" t="n">
        <v>44.2</v>
      </c>
      <c r="H235" s="157" t="n">
        <v>9506</v>
      </c>
      <c r="I235" s="457" t="n">
        <v>0</v>
      </c>
      <c r="J235" s="458" t="n">
        <v>2500</v>
      </c>
      <c r="K235" s="167" t="n">
        <v>10.56</v>
      </c>
      <c r="L235" s="175" t="n">
        <v>0</v>
      </c>
      <c r="M235" s="175" t="n">
        <v>0.00227272727272727</v>
      </c>
      <c r="N235" s="157" t="n">
        <v>1962</v>
      </c>
      <c r="O235" s="157" t="n">
        <v>0</v>
      </c>
      <c r="P235" s="157" t="n">
        <v>0</v>
      </c>
      <c r="Q235" s="157" t="n">
        <v>12</v>
      </c>
      <c r="R235" s="157" t="n">
        <v>3</v>
      </c>
      <c r="S235" s="157" t="n">
        <v>1</v>
      </c>
      <c r="T235" s="457" t="s">
        <v>6680</v>
      </c>
      <c r="U235" s="157" t="n">
        <v>398</v>
      </c>
      <c r="V235" s="458" t="n">
        <v>19050</v>
      </c>
      <c r="W235" s="458" t="n">
        <v>19000</v>
      </c>
      <c r="X235" s="445" t="s">
        <v>7388</v>
      </c>
      <c r="Y235" s="458" t="n">
        <v>3000</v>
      </c>
      <c r="Z235" s="457" t="s">
        <v>6638</v>
      </c>
      <c r="AD235" s="157" t="s">
        <v>7389</v>
      </c>
      <c r="AK235" s="459"/>
    </row>
    <row r="236" s="157" customFormat="true" ht="12.75" hidden="false" customHeight="true" outlineLevel="0" collapsed="false">
      <c r="A236" s="456" t="n">
        <v>6</v>
      </c>
      <c r="B236" s="157" t="n">
        <v>230</v>
      </c>
      <c r="C236" s="157" t="s">
        <v>6633</v>
      </c>
      <c r="D236" s="157" t="s">
        <v>7390</v>
      </c>
      <c r="E236" s="457" t="s">
        <v>2461</v>
      </c>
      <c r="F236" s="157" t="s">
        <v>7391</v>
      </c>
      <c r="G236" s="157" t="n">
        <v>44.1</v>
      </c>
      <c r="H236" s="157" t="n">
        <v>9506</v>
      </c>
      <c r="I236" s="457" t="n">
        <v>0</v>
      </c>
      <c r="J236" s="458" t="n">
        <v>10120</v>
      </c>
      <c r="K236" s="167" t="n">
        <v>9.51462450592885</v>
      </c>
      <c r="L236" s="175" t="n">
        <v>0</v>
      </c>
      <c r="M236" s="175" t="n">
        <v>0</v>
      </c>
      <c r="N236" s="157" t="n">
        <v>1985</v>
      </c>
      <c r="O236" s="157" t="n">
        <v>2300</v>
      </c>
      <c r="P236" s="157" t="n">
        <v>0</v>
      </c>
      <c r="Q236" s="157" t="n">
        <v>16</v>
      </c>
      <c r="R236" s="157" t="n">
        <v>3</v>
      </c>
      <c r="S236" s="157" t="n">
        <v>1</v>
      </c>
      <c r="T236" s="457" t="s">
        <v>6636</v>
      </c>
      <c r="U236" s="157" t="n">
        <v>397</v>
      </c>
      <c r="V236" s="458" t="n">
        <v>22600</v>
      </c>
      <c r="W236" s="458" t="n">
        <v>23000</v>
      </c>
      <c r="X236" s="445" t="s">
        <v>6700</v>
      </c>
      <c r="Y236" s="458" t="n">
        <v>10000</v>
      </c>
      <c r="Z236" s="457" t="s">
        <v>6638</v>
      </c>
      <c r="AK236" s="459" t="s">
        <v>6665</v>
      </c>
    </row>
    <row r="237" s="157" customFormat="true" ht="12.75" hidden="false" customHeight="true" outlineLevel="0" collapsed="false">
      <c r="A237" s="456" t="n">
        <v>6</v>
      </c>
      <c r="B237" s="157" t="n">
        <v>231</v>
      </c>
      <c r="C237" s="157" t="s">
        <v>6633</v>
      </c>
      <c r="D237" s="157" t="s">
        <v>7392</v>
      </c>
      <c r="E237" s="457" t="s">
        <v>2461</v>
      </c>
      <c r="F237" s="157" t="s">
        <v>7393</v>
      </c>
      <c r="G237" s="157" t="n">
        <v>44.2</v>
      </c>
      <c r="H237" s="157" t="n">
        <v>9509</v>
      </c>
      <c r="I237" s="457" t="n">
        <v>0</v>
      </c>
      <c r="J237" s="458" t="n">
        <v>5974</v>
      </c>
      <c r="K237" s="167" t="n">
        <v>5.93593441627448</v>
      </c>
      <c r="L237" s="175" t="n">
        <v>0</v>
      </c>
      <c r="M237" s="175" t="n">
        <v>0.184245524296675</v>
      </c>
      <c r="N237" s="157" t="n">
        <v>1919</v>
      </c>
      <c r="O237" s="157" t="n">
        <v>1720</v>
      </c>
      <c r="P237" s="157" t="n">
        <v>0</v>
      </c>
      <c r="Q237" s="157" t="n">
        <v>13</v>
      </c>
      <c r="R237" s="157" t="n">
        <v>1</v>
      </c>
      <c r="S237" s="157" t="n">
        <v>1</v>
      </c>
      <c r="T237" s="457" t="s">
        <v>6899</v>
      </c>
      <c r="U237" s="157" t="n">
        <v>398</v>
      </c>
      <c r="V237" s="458" t="n">
        <v>10300</v>
      </c>
      <c r="W237" s="458" t="n">
        <v>10000</v>
      </c>
      <c r="X237" s="445" t="s">
        <v>6954</v>
      </c>
      <c r="Y237" s="458" t="n">
        <v>6000</v>
      </c>
      <c r="Z237" s="457" t="s">
        <v>6638</v>
      </c>
      <c r="AD237" s="157" t="s">
        <v>7394</v>
      </c>
      <c r="AK237" s="459"/>
    </row>
    <row r="238" s="157" customFormat="true" ht="12.75" hidden="false" customHeight="true" outlineLevel="0" collapsed="false">
      <c r="A238" s="456" t="n">
        <v>6</v>
      </c>
      <c r="B238" s="157" t="n">
        <v>232</v>
      </c>
      <c r="C238" s="157" t="s">
        <v>6633</v>
      </c>
      <c r="D238" s="157" t="s">
        <v>7395</v>
      </c>
      <c r="E238" s="457" t="s">
        <v>2461</v>
      </c>
      <c r="F238" s="157" t="s">
        <v>7396</v>
      </c>
      <c r="G238" s="157" t="n">
        <v>44.2</v>
      </c>
      <c r="H238" s="157" t="n">
        <v>9509</v>
      </c>
      <c r="I238" s="457" t="n">
        <v>0</v>
      </c>
      <c r="J238" s="458" t="n">
        <v>8845</v>
      </c>
      <c r="K238" s="167" t="n">
        <v>5.8840022611645</v>
      </c>
      <c r="L238" s="175" t="n">
        <v>0</v>
      </c>
      <c r="M238" s="175" t="n">
        <v>0</v>
      </c>
      <c r="N238" s="157" t="n">
        <v>1957</v>
      </c>
      <c r="O238" s="157" t="n">
        <v>576</v>
      </c>
      <c r="P238" s="157" t="n">
        <v>0</v>
      </c>
      <c r="Q238" s="157" t="n">
        <v>20</v>
      </c>
      <c r="R238" s="157" t="n">
        <v>3</v>
      </c>
      <c r="S238" s="157" t="n">
        <v>1</v>
      </c>
      <c r="T238" s="457" t="s">
        <v>6972</v>
      </c>
      <c r="U238" s="157" t="n">
        <v>398</v>
      </c>
      <c r="V238" s="458" t="n">
        <v>14300</v>
      </c>
      <c r="W238" s="458" t="n">
        <v>14000</v>
      </c>
      <c r="X238" s="445" t="s">
        <v>6668</v>
      </c>
      <c r="Y238" s="458" t="n">
        <v>9000</v>
      </c>
      <c r="Z238" s="457" t="s">
        <v>6638</v>
      </c>
      <c r="AD238" s="157" t="s">
        <v>7397</v>
      </c>
      <c r="AK238" s="459" t="s">
        <v>6661</v>
      </c>
    </row>
    <row r="239" s="157" customFormat="true" ht="12.75" hidden="false" customHeight="true" outlineLevel="0" collapsed="false">
      <c r="A239" s="456" t="n">
        <v>6</v>
      </c>
      <c r="B239" s="157" t="n">
        <v>233</v>
      </c>
      <c r="C239" s="157" t="s">
        <v>6633</v>
      </c>
      <c r="D239" s="157" t="s">
        <v>7398</v>
      </c>
      <c r="E239" s="457" t="s">
        <v>2461</v>
      </c>
      <c r="F239" s="157" t="s">
        <v>7399</v>
      </c>
      <c r="G239" s="157" t="n">
        <v>44.1</v>
      </c>
      <c r="H239" s="157" t="n">
        <v>9506</v>
      </c>
      <c r="I239" s="457" t="n">
        <v>0</v>
      </c>
      <c r="J239" s="458" t="n">
        <v>10932</v>
      </c>
      <c r="K239" s="167" t="n">
        <v>6.86059275521405</v>
      </c>
      <c r="L239" s="175" t="n">
        <v>0</v>
      </c>
      <c r="M239" s="175" t="n">
        <v>0.086</v>
      </c>
      <c r="N239" s="157" t="n">
        <v>1963</v>
      </c>
      <c r="O239" s="157" t="n">
        <v>1262</v>
      </c>
      <c r="P239" s="157" t="n">
        <v>0</v>
      </c>
      <c r="Q239" s="157" t="n">
        <v>12</v>
      </c>
      <c r="R239" s="157" t="n">
        <v>3</v>
      </c>
      <c r="S239" s="157" t="n">
        <v>1</v>
      </c>
      <c r="T239" s="457" t="s">
        <v>6680</v>
      </c>
      <c r="U239" s="157" t="n">
        <v>398</v>
      </c>
      <c r="V239" s="458" t="n">
        <v>12229</v>
      </c>
      <c r="W239" s="458" t="n">
        <v>12000</v>
      </c>
      <c r="X239" s="445" t="s">
        <v>7043</v>
      </c>
      <c r="Y239" s="458" t="n">
        <v>11000</v>
      </c>
      <c r="Z239" s="457" t="s">
        <v>6696</v>
      </c>
      <c r="AD239" s="157" t="s">
        <v>7400</v>
      </c>
      <c r="AK239" s="459" t="s">
        <v>6661</v>
      </c>
    </row>
    <row r="240" s="157" customFormat="true" ht="12.75" hidden="false" customHeight="true" outlineLevel="0" collapsed="false">
      <c r="A240" s="456" t="n">
        <v>6</v>
      </c>
      <c r="B240" s="157" t="n">
        <v>234</v>
      </c>
      <c r="C240" s="157" t="s">
        <v>6633</v>
      </c>
      <c r="D240" s="157" t="s">
        <v>7401</v>
      </c>
      <c r="E240" s="457" t="s">
        <v>2461</v>
      </c>
      <c r="F240" s="157" t="s">
        <v>7402</v>
      </c>
      <c r="G240" s="157" t="n">
        <v>44.2</v>
      </c>
      <c r="H240" s="157" t="n">
        <v>9506</v>
      </c>
      <c r="I240" s="457" t="n">
        <v>0</v>
      </c>
      <c r="J240" s="458" t="n">
        <v>4313</v>
      </c>
      <c r="K240" s="167" t="n">
        <v>9.64525852075122</v>
      </c>
      <c r="L240" s="175" t="n">
        <v>0</v>
      </c>
      <c r="M240" s="175" t="n">
        <v>0.0438942307692308</v>
      </c>
      <c r="N240" s="157" t="n">
        <v>2002</v>
      </c>
      <c r="O240" s="157" t="n">
        <v>0</v>
      </c>
      <c r="P240" s="157" t="n">
        <v>0</v>
      </c>
      <c r="Q240" s="157" t="n">
        <v>24</v>
      </c>
      <c r="R240" s="157" t="n">
        <v>3</v>
      </c>
      <c r="S240" s="157" t="n">
        <v>1</v>
      </c>
      <c r="T240" s="457" t="s">
        <v>6680</v>
      </c>
      <c r="U240" s="157" t="n">
        <v>398</v>
      </c>
      <c r="V240" s="458" t="n">
        <v>6250</v>
      </c>
      <c r="W240" s="458" t="n">
        <v>6000</v>
      </c>
      <c r="X240" s="445" t="s">
        <v>6710</v>
      </c>
      <c r="Y240" s="458" t="n">
        <v>4000</v>
      </c>
      <c r="Z240" s="457" t="s">
        <v>6638</v>
      </c>
      <c r="AD240" s="157" t="s">
        <v>7403</v>
      </c>
      <c r="AK240" s="459" t="s">
        <v>7322</v>
      </c>
    </row>
    <row r="241" s="157" customFormat="true" ht="12.75" hidden="false" customHeight="true" outlineLevel="0" collapsed="false">
      <c r="A241" s="456" t="n">
        <v>6</v>
      </c>
      <c r="B241" s="157" t="n">
        <v>235</v>
      </c>
      <c r="C241" s="157" t="s">
        <v>6633</v>
      </c>
      <c r="D241" s="157" t="s">
        <v>7404</v>
      </c>
      <c r="E241" s="457" t="s">
        <v>2461</v>
      </c>
      <c r="F241" s="157" t="s">
        <v>7405</v>
      </c>
      <c r="G241" s="157" t="n">
        <v>44.1</v>
      </c>
      <c r="H241" s="157" t="n">
        <v>9506</v>
      </c>
      <c r="I241" s="457" t="n">
        <v>2</v>
      </c>
      <c r="J241" s="458" t="n">
        <v>1912</v>
      </c>
      <c r="K241" s="167" t="n">
        <v>10.7217573221757</v>
      </c>
      <c r="L241" s="175" t="n">
        <v>0</v>
      </c>
      <c r="M241" s="175" t="n">
        <v>0.0589756097560976</v>
      </c>
      <c r="N241" s="157" t="n">
        <v>1912</v>
      </c>
      <c r="O241" s="157" t="n">
        <v>1006</v>
      </c>
      <c r="P241" s="157" t="n">
        <v>0</v>
      </c>
      <c r="Q241" s="157" t="n">
        <v>15</v>
      </c>
      <c r="R241" s="157" t="n">
        <v>1</v>
      </c>
      <c r="S241" s="157" t="n">
        <v>1</v>
      </c>
      <c r="T241" s="457" t="s">
        <v>6899</v>
      </c>
      <c r="U241" s="157" t="n">
        <v>398</v>
      </c>
      <c r="V241" s="458" t="n">
        <v>6250</v>
      </c>
      <c r="W241" s="458" t="n">
        <v>6000</v>
      </c>
      <c r="X241" s="445" t="s">
        <v>6643</v>
      </c>
      <c r="Y241" s="458" t="n">
        <v>2000</v>
      </c>
      <c r="Z241" s="457" t="s">
        <v>6638</v>
      </c>
      <c r="AD241" s="157" t="s">
        <v>7406</v>
      </c>
      <c r="AK241" s="459" t="s">
        <v>6665</v>
      </c>
    </row>
    <row r="242" s="157" customFormat="true" ht="12.75" hidden="false" customHeight="true" outlineLevel="0" collapsed="false">
      <c r="A242" s="456" t="n">
        <v>6</v>
      </c>
      <c r="B242" s="157" t="n">
        <v>236</v>
      </c>
      <c r="C242" s="157" t="s">
        <v>6633</v>
      </c>
      <c r="D242" s="157" t="s">
        <v>7407</v>
      </c>
      <c r="E242" s="457" t="s">
        <v>2461</v>
      </c>
      <c r="F242" s="157" t="s">
        <v>7408</v>
      </c>
      <c r="G242" s="157" t="n">
        <v>44.1</v>
      </c>
      <c r="H242" s="157" t="n">
        <v>9506</v>
      </c>
      <c r="I242" s="457" t="n">
        <v>0</v>
      </c>
      <c r="J242" s="458" t="n">
        <v>5632</v>
      </c>
      <c r="K242" s="167" t="n">
        <v>5.11363636363636</v>
      </c>
      <c r="L242" s="175" t="n">
        <v>1</v>
      </c>
      <c r="M242" s="175" t="n">
        <v>0</v>
      </c>
      <c r="N242" s="157" t="n">
        <v>1989</v>
      </c>
      <c r="O242" s="157" t="n">
        <v>0</v>
      </c>
      <c r="P242" s="157" t="n">
        <v>0</v>
      </c>
      <c r="Q242" s="157" t="n">
        <v>20</v>
      </c>
      <c r="R242" s="157" t="n">
        <v>3</v>
      </c>
      <c r="S242" s="157" t="n">
        <v>1</v>
      </c>
      <c r="T242" s="457" t="s">
        <v>6680</v>
      </c>
      <c r="U242" s="157" t="n">
        <v>398</v>
      </c>
      <c r="V242" s="458" t="n">
        <v>9375</v>
      </c>
      <c r="W242" s="458" t="n">
        <v>9000</v>
      </c>
      <c r="X242" s="445" t="s">
        <v>6954</v>
      </c>
      <c r="Y242" s="458" t="n">
        <v>6000</v>
      </c>
      <c r="Z242" s="457" t="s">
        <v>6638</v>
      </c>
      <c r="AK242" s="459"/>
    </row>
    <row r="243" s="157" customFormat="true" ht="25.5" hidden="false" customHeight="true" outlineLevel="0" collapsed="false">
      <c r="A243" s="456" t="n">
        <v>6</v>
      </c>
      <c r="B243" s="157" t="n">
        <v>237</v>
      </c>
      <c r="C243" s="157" t="s">
        <v>6633</v>
      </c>
      <c r="D243" s="157" t="s">
        <v>7409</v>
      </c>
      <c r="E243" s="457" t="s">
        <v>2461</v>
      </c>
      <c r="F243" s="157" t="s">
        <v>7410</v>
      </c>
      <c r="G243" s="157" t="n">
        <v>44.1</v>
      </c>
      <c r="H243" s="157" t="n">
        <v>9506</v>
      </c>
      <c r="I243" s="457" t="n">
        <v>0</v>
      </c>
      <c r="J243" s="458" t="n">
        <v>10654</v>
      </c>
      <c r="K243" s="167" t="n">
        <v>7.32119391777736</v>
      </c>
      <c r="L243" s="175" t="n">
        <v>0</v>
      </c>
      <c r="M243" s="175" t="n">
        <v>0.0417948717948718</v>
      </c>
      <c r="N243" s="157" t="n">
        <v>1956</v>
      </c>
      <c r="O243" s="157" t="n">
        <v>2340</v>
      </c>
      <c r="P243" s="157" t="n">
        <v>0</v>
      </c>
      <c r="Q243" s="157" t="n">
        <v>16</v>
      </c>
      <c r="R243" s="157" t="n">
        <v>3</v>
      </c>
      <c r="S243" s="157" t="n">
        <v>1</v>
      </c>
      <c r="T243" s="457" t="s">
        <v>6642</v>
      </c>
      <c r="U243" s="157" t="n">
        <v>398</v>
      </c>
      <c r="V243" s="458" t="n">
        <v>14600</v>
      </c>
      <c r="W243" s="458" t="n">
        <v>15000</v>
      </c>
      <c r="X243" s="445" t="s">
        <v>6710</v>
      </c>
      <c r="Y243" s="458" t="n">
        <v>11000</v>
      </c>
      <c r="Z243" s="457" t="s">
        <v>6638</v>
      </c>
      <c r="AK243" s="459" t="s">
        <v>6929</v>
      </c>
    </row>
    <row r="244" s="157" customFormat="true" ht="25.5" hidden="false" customHeight="true" outlineLevel="0" collapsed="false">
      <c r="A244" s="456" t="n">
        <v>6</v>
      </c>
      <c r="B244" s="157" t="n">
        <v>238</v>
      </c>
      <c r="C244" s="157" t="s">
        <v>6633</v>
      </c>
      <c r="D244" s="157" t="s">
        <v>7411</v>
      </c>
      <c r="E244" s="457" t="s">
        <v>2461</v>
      </c>
      <c r="F244" s="157" t="s">
        <v>7412</v>
      </c>
      <c r="G244" s="157" t="n">
        <v>44.1</v>
      </c>
      <c r="H244" s="157" t="n">
        <v>9506</v>
      </c>
      <c r="I244" s="457" t="n">
        <v>0</v>
      </c>
      <c r="J244" s="458" t="n">
        <v>5336</v>
      </c>
      <c r="K244" s="167" t="n">
        <v>8.57142857142857</v>
      </c>
      <c r="L244" s="175" t="n">
        <v>0</v>
      </c>
      <c r="M244" s="175" t="n">
        <v>0</v>
      </c>
      <c r="N244" s="157" t="n">
        <v>1969</v>
      </c>
      <c r="O244" s="157" t="n">
        <v>752</v>
      </c>
      <c r="P244" s="157" t="n">
        <v>0</v>
      </c>
      <c r="Q244" s="157" t="n">
        <v>13</v>
      </c>
      <c r="R244" s="157" t="n">
        <v>3</v>
      </c>
      <c r="S244" s="157" t="n">
        <v>1</v>
      </c>
      <c r="T244" s="457" t="s">
        <v>6680</v>
      </c>
      <c r="U244" s="157" t="n">
        <v>398</v>
      </c>
      <c r="V244" s="458" t="n">
        <v>12500</v>
      </c>
      <c r="W244" s="458" t="n">
        <v>13000</v>
      </c>
      <c r="X244" s="445" t="s">
        <v>6646</v>
      </c>
      <c r="Y244" s="458" t="n">
        <v>5000</v>
      </c>
      <c r="Z244" s="457" t="s">
        <v>6638</v>
      </c>
      <c r="AK244" s="459" t="s">
        <v>7413</v>
      </c>
    </row>
    <row r="245" s="157" customFormat="true" ht="25.5" hidden="false" customHeight="true" outlineLevel="0" collapsed="false">
      <c r="A245" s="456" t="n">
        <v>6</v>
      </c>
      <c r="B245" s="157" t="n">
        <v>239</v>
      </c>
      <c r="C245" s="157" t="s">
        <v>6633</v>
      </c>
      <c r="D245" s="157" t="s">
        <v>7414</v>
      </c>
      <c r="E245" s="457" t="s">
        <v>2461</v>
      </c>
      <c r="F245" s="157" t="s">
        <v>7415</v>
      </c>
      <c r="G245" s="157" t="n">
        <v>44.2</v>
      </c>
      <c r="H245" s="157" t="n">
        <v>9506</v>
      </c>
      <c r="I245" s="457" t="n">
        <v>0</v>
      </c>
      <c r="J245" s="458" t="n">
        <v>18642</v>
      </c>
      <c r="K245" s="167" t="n">
        <v>5.845703125</v>
      </c>
      <c r="L245" s="175" t="n">
        <v>0.14</v>
      </c>
      <c r="M245" s="175" t="n">
        <v>0</v>
      </c>
      <c r="N245" s="157" t="n">
        <v>1943</v>
      </c>
      <c r="O245" s="157" t="n">
        <v>5907</v>
      </c>
      <c r="P245" s="157" t="n">
        <v>0</v>
      </c>
      <c r="Q245" s="157" t="n">
        <v>12</v>
      </c>
      <c r="R245" s="157" t="n">
        <v>1</v>
      </c>
      <c r="S245" s="157" t="n">
        <v>4</v>
      </c>
      <c r="T245" s="457" t="s">
        <v>6642</v>
      </c>
      <c r="U245" s="157" t="n">
        <v>398</v>
      </c>
      <c r="V245" s="458" t="n">
        <v>35250</v>
      </c>
      <c r="W245" s="458" t="n">
        <v>35000</v>
      </c>
      <c r="X245" s="445" t="s">
        <v>6675</v>
      </c>
      <c r="Y245" s="458" t="n">
        <v>19000</v>
      </c>
      <c r="Z245" s="457" t="s">
        <v>6638</v>
      </c>
      <c r="AD245" s="157" t="s">
        <v>6651</v>
      </c>
      <c r="AK245" s="459" t="s">
        <v>7416</v>
      </c>
    </row>
    <row r="246" s="157" customFormat="true" ht="12.75" hidden="false" customHeight="true" outlineLevel="0" collapsed="false">
      <c r="A246" s="456" t="n">
        <v>6</v>
      </c>
      <c r="B246" s="157" t="n">
        <v>240</v>
      </c>
      <c r="C246" s="157" t="s">
        <v>6633</v>
      </c>
      <c r="D246" s="157" t="s">
        <v>7417</v>
      </c>
      <c r="E246" s="457" t="s">
        <v>2461</v>
      </c>
      <c r="F246" s="157" t="s">
        <v>7418</v>
      </c>
      <c r="G246" s="157" t="n">
        <v>44.1</v>
      </c>
      <c r="H246" s="157" t="n">
        <v>9506</v>
      </c>
      <c r="I246" s="457" t="n">
        <v>0</v>
      </c>
      <c r="J246" s="458" t="n">
        <v>4236</v>
      </c>
      <c r="K246" s="167" t="n">
        <v>11.4008498583569</v>
      </c>
      <c r="L246" s="175" t="n">
        <v>0</v>
      </c>
      <c r="M246" s="175" t="n">
        <v>0.0559075661572866</v>
      </c>
      <c r="N246" s="157" t="n">
        <v>1985</v>
      </c>
      <c r="O246" s="157" t="n">
        <v>0</v>
      </c>
      <c r="P246" s="157" t="n">
        <v>0</v>
      </c>
      <c r="Q246" s="157" t="n">
        <v>15</v>
      </c>
      <c r="R246" s="157" t="n">
        <v>7</v>
      </c>
      <c r="S246" s="157" t="n">
        <v>1</v>
      </c>
      <c r="T246" s="457" t="s">
        <v>6680</v>
      </c>
      <c r="U246" s="157" t="n">
        <v>398</v>
      </c>
      <c r="V246" s="458" t="n">
        <v>22750</v>
      </c>
      <c r="W246" s="458" t="n">
        <v>23000</v>
      </c>
      <c r="X246" s="445" t="s">
        <v>6671</v>
      </c>
      <c r="Y246" s="458" t="n">
        <v>4000</v>
      </c>
      <c r="Z246" s="457" t="s">
        <v>6638</v>
      </c>
      <c r="AD246" s="157" t="s">
        <v>6676</v>
      </c>
      <c r="AK246" s="459" t="s">
        <v>6665</v>
      </c>
    </row>
    <row r="247" s="157" customFormat="true" ht="12.75" hidden="false" customHeight="true" outlineLevel="0" collapsed="false">
      <c r="A247" s="456" t="n">
        <v>6</v>
      </c>
      <c r="B247" s="157" t="n">
        <v>241</v>
      </c>
      <c r="C247" s="157" t="s">
        <v>6633</v>
      </c>
      <c r="D247" s="157" t="s">
        <v>7419</v>
      </c>
      <c r="E247" s="457" t="s">
        <v>2461</v>
      </c>
      <c r="F247" s="157" t="s">
        <v>7420</v>
      </c>
      <c r="G247" s="157" t="n">
        <v>44.2</v>
      </c>
      <c r="H247" s="157" t="n">
        <v>9506</v>
      </c>
      <c r="I247" s="457" t="n">
        <v>0</v>
      </c>
      <c r="J247" s="458" t="n">
        <v>2156</v>
      </c>
      <c r="K247" s="167" t="n">
        <v>10.0185528756957</v>
      </c>
      <c r="L247" s="175" t="n">
        <v>0</v>
      </c>
      <c r="M247" s="175" t="n">
        <v>0.083287037037037</v>
      </c>
      <c r="N247" s="157" t="n">
        <v>1957</v>
      </c>
      <c r="O247" s="157" t="n">
        <v>0</v>
      </c>
      <c r="P247" s="157" t="n">
        <v>0</v>
      </c>
      <c r="Q247" s="157" t="n">
        <v>12</v>
      </c>
      <c r="R247" s="157" t="n">
        <v>3</v>
      </c>
      <c r="S247" s="157" t="n">
        <v>1</v>
      </c>
      <c r="T247" s="457" t="s">
        <v>6680</v>
      </c>
      <c r="U247" s="157" t="n">
        <v>398</v>
      </c>
      <c r="V247" s="458" t="n">
        <v>9370</v>
      </c>
      <c r="W247" s="458" t="n">
        <v>9000</v>
      </c>
      <c r="X247" s="445" t="s">
        <v>6705</v>
      </c>
      <c r="Y247" s="458" t="n">
        <v>2000</v>
      </c>
      <c r="Z247" s="457" t="s">
        <v>6638</v>
      </c>
      <c r="AK247" s="459"/>
    </row>
    <row r="248" s="157" customFormat="true" ht="12.75" hidden="false" customHeight="true" outlineLevel="0" collapsed="false">
      <c r="A248" s="456" t="n">
        <v>6</v>
      </c>
      <c r="B248" s="157" t="n">
        <v>242</v>
      </c>
      <c r="C248" s="157" t="s">
        <v>6633</v>
      </c>
      <c r="D248" s="157" t="s">
        <v>7421</v>
      </c>
      <c r="E248" s="457" t="s">
        <v>2461</v>
      </c>
      <c r="F248" s="157" t="s">
        <v>7422</v>
      </c>
      <c r="G248" s="157" t="n">
        <v>47.2</v>
      </c>
      <c r="H248" s="157" t="n">
        <v>9506</v>
      </c>
      <c r="I248" s="457" t="n">
        <v>0</v>
      </c>
      <c r="J248" s="458" t="n">
        <v>6628</v>
      </c>
      <c r="K248" s="167" t="n">
        <v>7.24200362100181</v>
      </c>
      <c r="L248" s="175" t="n">
        <v>0</v>
      </c>
      <c r="M248" s="175" t="n">
        <v>0.0916666666666667</v>
      </c>
      <c r="N248" s="157" t="n">
        <v>1965</v>
      </c>
      <c r="O248" s="157" t="n">
        <v>2608</v>
      </c>
      <c r="P248" s="157" t="n">
        <v>0</v>
      </c>
      <c r="Q248" s="157" t="n">
        <v>14</v>
      </c>
      <c r="R248" s="157" t="n">
        <v>1</v>
      </c>
      <c r="S248" s="157" t="n">
        <v>3</v>
      </c>
      <c r="T248" s="457" t="s">
        <v>6680</v>
      </c>
      <c r="U248" s="157" t="n">
        <v>401</v>
      </c>
      <c r="V248" s="458" t="n">
        <v>10000</v>
      </c>
      <c r="W248" s="458" t="n">
        <v>10000</v>
      </c>
      <c r="X248" s="445" t="s">
        <v>6837</v>
      </c>
      <c r="Y248" s="458" t="n">
        <v>7000</v>
      </c>
      <c r="Z248" s="457" t="s">
        <v>6638</v>
      </c>
      <c r="AD248" s="157" t="s">
        <v>7423</v>
      </c>
      <c r="AK248" s="459" t="s">
        <v>6661</v>
      </c>
    </row>
    <row r="249" s="157" customFormat="true" ht="12.75" hidden="false" customHeight="true" outlineLevel="0" collapsed="false">
      <c r="A249" s="456" t="n">
        <v>6</v>
      </c>
      <c r="B249" s="157" t="n">
        <v>243</v>
      </c>
      <c r="C249" s="157" t="s">
        <v>6633</v>
      </c>
      <c r="D249" s="157" t="s">
        <v>7424</v>
      </c>
      <c r="E249" s="457" t="s">
        <v>2461</v>
      </c>
      <c r="F249" s="157" t="s">
        <v>7425</v>
      </c>
      <c r="G249" s="157" t="n">
        <v>44.1</v>
      </c>
      <c r="H249" s="157" t="n">
        <v>9506</v>
      </c>
      <c r="I249" s="457" t="n">
        <v>3</v>
      </c>
      <c r="J249" s="458" t="n">
        <v>38802</v>
      </c>
      <c r="K249" s="167" t="n">
        <v>3.92</v>
      </c>
      <c r="L249" s="175" t="n">
        <v>0</v>
      </c>
      <c r="M249" s="175" t="n">
        <v>0</v>
      </c>
      <c r="N249" s="157" t="n">
        <v>1983</v>
      </c>
      <c r="O249" s="157" t="n">
        <v>7359</v>
      </c>
      <c r="P249" s="157" t="n">
        <v>0</v>
      </c>
      <c r="Q249" s="157" t="n">
        <v>20</v>
      </c>
      <c r="R249" s="157" t="n">
        <v>1</v>
      </c>
      <c r="S249" s="157" t="n">
        <v>1</v>
      </c>
      <c r="T249" s="457" t="s">
        <v>7426</v>
      </c>
      <c r="U249" s="157" t="n">
        <v>398</v>
      </c>
      <c r="V249" s="458" t="n">
        <v>17600</v>
      </c>
      <c r="W249" s="458" t="n">
        <v>18000</v>
      </c>
      <c r="X249" s="445" t="s">
        <v>7170</v>
      </c>
      <c r="Y249" s="458" t="n">
        <v>39000</v>
      </c>
      <c r="Z249" s="457" t="s">
        <v>6638</v>
      </c>
      <c r="AD249" s="157" t="s">
        <v>7427</v>
      </c>
      <c r="AK249" s="459" t="s">
        <v>6661</v>
      </c>
    </row>
    <row r="250" s="157" customFormat="true" ht="12.75" hidden="false" customHeight="true" outlineLevel="0" collapsed="false">
      <c r="A250" s="456" t="n">
        <v>6</v>
      </c>
      <c r="B250" s="157" t="n">
        <v>244</v>
      </c>
      <c r="C250" s="157" t="s">
        <v>6633</v>
      </c>
      <c r="D250" s="157" t="s">
        <v>7428</v>
      </c>
      <c r="E250" s="457" t="s">
        <v>2461</v>
      </c>
      <c r="F250" s="157" t="s">
        <v>7429</v>
      </c>
      <c r="G250" s="157" t="n">
        <v>44.2</v>
      </c>
      <c r="H250" s="157" t="n">
        <v>9506</v>
      </c>
      <c r="I250" s="457" t="n">
        <v>0</v>
      </c>
      <c r="J250" s="458" t="n">
        <v>5048</v>
      </c>
      <c r="K250" s="167" t="n">
        <v>2.85261489698891</v>
      </c>
      <c r="L250" s="175" t="n">
        <v>0</v>
      </c>
      <c r="M250" s="175" t="n">
        <v>0.114583333333333</v>
      </c>
      <c r="N250" s="157" t="n">
        <v>1945</v>
      </c>
      <c r="O250" s="157" t="n">
        <v>293</v>
      </c>
      <c r="P250" s="157" t="n">
        <v>0</v>
      </c>
      <c r="Q250" s="157" t="n">
        <v>13</v>
      </c>
      <c r="R250" s="157" t="n">
        <v>3</v>
      </c>
      <c r="S250" s="157" t="n">
        <v>1</v>
      </c>
      <c r="T250" s="457" t="s">
        <v>6680</v>
      </c>
      <c r="U250" s="157" t="n">
        <v>398</v>
      </c>
      <c r="V250" s="458" t="n">
        <v>7620</v>
      </c>
      <c r="W250" s="458" t="n">
        <v>8000</v>
      </c>
      <c r="X250" s="445" t="s">
        <v>6837</v>
      </c>
      <c r="Y250" s="458" t="n">
        <v>5000</v>
      </c>
      <c r="Z250" s="457" t="s">
        <v>6638</v>
      </c>
      <c r="AK250" s="459" t="s">
        <v>7430</v>
      </c>
    </row>
    <row r="251" s="157" customFormat="true" ht="12.75" hidden="false" customHeight="true" outlineLevel="0" collapsed="false">
      <c r="A251" s="456" t="n">
        <v>6</v>
      </c>
      <c r="B251" s="157" t="n">
        <v>245</v>
      </c>
      <c r="C251" s="157" t="s">
        <v>6633</v>
      </c>
      <c r="D251" s="157" t="s">
        <v>7431</v>
      </c>
      <c r="E251" s="457" t="s">
        <v>2461</v>
      </c>
      <c r="F251" s="157" t="s">
        <v>7432</v>
      </c>
      <c r="G251" s="157" t="n">
        <v>44.2</v>
      </c>
      <c r="H251" s="157" t="n">
        <v>9506</v>
      </c>
      <c r="I251" s="457" t="n">
        <v>0</v>
      </c>
      <c r="J251" s="458" t="n">
        <v>3960</v>
      </c>
      <c r="K251" s="167" t="n">
        <v>12.1212121212121</v>
      </c>
      <c r="L251" s="175" t="n">
        <v>0</v>
      </c>
      <c r="M251" s="175" t="n">
        <v>0</v>
      </c>
      <c r="N251" s="157" t="n">
        <v>1969</v>
      </c>
      <c r="O251" s="157" t="n">
        <v>2288</v>
      </c>
      <c r="P251" s="157" t="n">
        <v>0</v>
      </c>
      <c r="Q251" s="157" t="n">
        <v>13</v>
      </c>
      <c r="R251" s="157" t="n">
        <v>14</v>
      </c>
      <c r="S251" s="157" t="n">
        <v>1</v>
      </c>
      <c r="T251" s="457" t="s">
        <v>6642</v>
      </c>
      <c r="U251" s="157" t="n">
        <v>398</v>
      </c>
      <c r="V251" s="458" t="n">
        <v>9834</v>
      </c>
      <c r="W251" s="458" t="n">
        <v>10000</v>
      </c>
      <c r="X251" s="445" t="s">
        <v>6692</v>
      </c>
      <c r="Y251" s="458" t="n">
        <v>4000</v>
      </c>
      <c r="Z251" s="457" t="s">
        <v>6638</v>
      </c>
      <c r="AD251" s="157" t="s">
        <v>7433</v>
      </c>
      <c r="AK251" s="459"/>
    </row>
    <row r="252" s="157" customFormat="true" ht="12.75" hidden="false" customHeight="true" outlineLevel="0" collapsed="false">
      <c r="A252" s="456" t="n">
        <v>6</v>
      </c>
      <c r="B252" s="157" t="n">
        <v>246</v>
      </c>
      <c r="C252" s="157" t="s">
        <v>6633</v>
      </c>
      <c r="D252" s="157" t="s">
        <v>7434</v>
      </c>
      <c r="E252" s="457" t="s">
        <v>2461</v>
      </c>
      <c r="F252" s="157" t="s">
        <v>7435</v>
      </c>
      <c r="G252" s="157" t="n">
        <v>44.2</v>
      </c>
      <c r="H252" s="157" t="n">
        <v>9506</v>
      </c>
      <c r="I252" s="457" t="n">
        <v>0</v>
      </c>
      <c r="J252" s="458" t="n">
        <v>4540</v>
      </c>
      <c r="K252" s="167" t="n">
        <v>7.9295154185022</v>
      </c>
      <c r="L252" s="175" t="n">
        <v>0</v>
      </c>
      <c r="M252" s="175" t="n">
        <v>0.0773055555555556</v>
      </c>
      <c r="N252" s="157" t="n">
        <v>1998</v>
      </c>
      <c r="O252" s="157" t="n">
        <v>657</v>
      </c>
      <c r="P252" s="157" t="n">
        <v>0</v>
      </c>
      <c r="Q252" s="157" t="n">
        <v>15</v>
      </c>
      <c r="R252" s="157" t="n">
        <v>7</v>
      </c>
      <c r="S252" s="157" t="n">
        <v>3</v>
      </c>
      <c r="T252" s="457" t="s">
        <v>6680</v>
      </c>
      <c r="U252" s="157" t="n">
        <v>398</v>
      </c>
      <c r="V252" s="458" t="n">
        <v>10950</v>
      </c>
      <c r="W252" s="458" t="n">
        <v>11000</v>
      </c>
      <c r="X252" s="445" t="s">
        <v>6650</v>
      </c>
      <c r="Y252" s="458" t="n">
        <v>5000</v>
      </c>
      <c r="Z252" s="457" t="s">
        <v>6638</v>
      </c>
      <c r="AD252" s="157" t="s">
        <v>7199</v>
      </c>
      <c r="AK252" s="459"/>
    </row>
    <row r="253" s="157" customFormat="true" ht="12.75" hidden="false" customHeight="true" outlineLevel="0" collapsed="false">
      <c r="A253" s="456" t="n">
        <v>6</v>
      </c>
      <c r="B253" s="157" t="n">
        <v>247</v>
      </c>
      <c r="C253" s="157" t="s">
        <v>6633</v>
      </c>
      <c r="D253" s="157" t="s">
        <v>7436</v>
      </c>
      <c r="E253" s="457" t="s">
        <v>2461</v>
      </c>
      <c r="F253" s="157" t="s">
        <v>7437</v>
      </c>
      <c r="G253" s="157" t="n">
        <v>44.2</v>
      </c>
      <c r="H253" s="157" t="n">
        <v>9506</v>
      </c>
      <c r="I253" s="457" t="n">
        <v>0</v>
      </c>
      <c r="J253" s="458" t="n">
        <v>7000</v>
      </c>
      <c r="K253" s="167" t="n">
        <v>7.02857142857143</v>
      </c>
      <c r="L253" s="175" t="n">
        <v>0</v>
      </c>
      <c r="M253" s="175" t="n">
        <v>0.0577235772357724</v>
      </c>
      <c r="N253" s="157" t="n">
        <v>1967</v>
      </c>
      <c r="O253" s="157" t="n">
        <v>2500</v>
      </c>
      <c r="P253" s="157" t="n">
        <v>0</v>
      </c>
      <c r="Q253" s="157" t="n">
        <v>14</v>
      </c>
      <c r="R253" s="157" t="n">
        <v>1</v>
      </c>
      <c r="S253" s="157" t="n">
        <v>1</v>
      </c>
      <c r="T253" s="457" t="s">
        <v>6680</v>
      </c>
      <c r="U253" s="157" t="n">
        <v>398</v>
      </c>
      <c r="V253" s="458" t="n">
        <v>12500</v>
      </c>
      <c r="W253" s="458" t="n">
        <v>13000</v>
      </c>
      <c r="X253" s="445" t="s">
        <v>6863</v>
      </c>
      <c r="Y253" s="458" t="n">
        <v>7000</v>
      </c>
      <c r="Z253" s="457" t="s">
        <v>6638</v>
      </c>
      <c r="AK253" s="459" t="s">
        <v>7322</v>
      </c>
    </row>
    <row r="254" s="157" customFormat="true" ht="12.75" hidden="false" customHeight="true" outlineLevel="0" collapsed="false">
      <c r="A254" s="456" t="n">
        <v>6</v>
      </c>
      <c r="B254" s="157" t="n">
        <v>248</v>
      </c>
      <c r="C254" s="157" t="s">
        <v>6633</v>
      </c>
      <c r="D254" s="157" t="s">
        <v>7438</v>
      </c>
      <c r="E254" s="457" t="s">
        <v>2461</v>
      </c>
      <c r="F254" s="157" t="s">
        <v>7439</v>
      </c>
      <c r="G254" s="157" t="n">
        <v>44.2</v>
      </c>
      <c r="H254" s="157" t="n">
        <v>9506</v>
      </c>
      <c r="I254" s="457" t="n">
        <v>2</v>
      </c>
      <c r="J254" s="458" t="n">
        <v>16261</v>
      </c>
      <c r="K254" s="167" t="n">
        <v>5.48822335649714</v>
      </c>
      <c r="L254" s="175" t="n">
        <v>0</v>
      </c>
      <c r="M254" s="175" t="n">
        <v>0.0134462821029985</v>
      </c>
      <c r="N254" s="157" t="n">
        <v>1932</v>
      </c>
      <c r="O254" s="157" t="n">
        <v>1800</v>
      </c>
      <c r="P254" s="157" t="n">
        <v>0</v>
      </c>
      <c r="Q254" s="157" t="n">
        <v>16</v>
      </c>
      <c r="R254" s="157" t="n">
        <v>1</v>
      </c>
      <c r="S254" s="157" t="n">
        <v>1</v>
      </c>
      <c r="T254" s="457" t="s">
        <v>6972</v>
      </c>
      <c r="U254" s="157" t="n">
        <v>398</v>
      </c>
      <c r="V254" s="458" t="n">
        <v>15624</v>
      </c>
      <c r="W254" s="458" t="n">
        <v>16000</v>
      </c>
      <c r="X254" s="445" t="s">
        <v>7021</v>
      </c>
      <c r="Y254" s="458" t="n">
        <v>16000</v>
      </c>
      <c r="Z254" s="457" t="s">
        <v>6638</v>
      </c>
      <c r="AK254" s="459"/>
    </row>
    <row r="255" s="157" customFormat="true" ht="12.75" hidden="false" customHeight="true" outlineLevel="0" collapsed="false">
      <c r="A255" s="456" t="n">
        <v>6</v>
      </c>
      <c r="B255" s="157" t="n">
        <v>249</v>
      </c>
      <c r="C255" s="157" t="s">
        <v>6633</v>
      </c>
      <c r="D255" s="157" t="s">
        <v>7440</v>
      </c>
      <c r="E255" s="457" t="s">
        <v>2461</v>
      </c>
      <c r="F255" s="157" t="s">
        <v>7441</v>
      </c>
      <c r="G255" s="157" t="n">
        <v>44.2</v>
      </c>
      <c r="H255" s="157" t="n">
        <v>9506</v>
      </c>
      <c r="I255" s="457" t="n">
        <v>0</v>
      </c>
      <c r="J255" s="458" t="n">
        <v>5920</v>
      </c>
      <c r="K255" s="167" t="n">
        <v>8.27702702702703</v>
      </c>
      <c r="L255" s="175" t="n">
        <v>0</v>
      </c>
      <c r="M255" s="175" t="n">
        <v>0.0651428571428571</v>
      </c>
      <c r="N255" s="157" t="n">
        <v>1972</v>
      </c>
      <c r="O255" s="157" t="n">
        <v>1406</v>
      </c>
      <c r="P255" s="157" t="n">
        <v>0</v>
      </c>
      <c r="Q255" s="157" t="n">
        <v>13</v>
      </c>
      <c r="R255" s="157" t="n">
        <v>3</v>
      </c>
      <c r="S255" s="157" t="n">
        <v>4</v>
      </c>
      <c r="T255" s="457" t="s">
        <v>6680</v>
      </c>
      <c r="U255" s="157" t="n">
        <v>398</v>
      </c>
      <c r="V255" s="458" t="n">
        <v>9430</v>
      </c>
      <c r="W255" s="458" t="n">
        <v>9000</v>
      </c>
      <c r="X255" s="445" t="s">
        <v>6668</v>
      </c>
      <c r="Y255" s="458" t="n">
        <v>6000</v>
      </c>
      <c r="Z255" s="457" t="s">
        <v>6638</v>
      </c>
      <c r="AK255" s="459"/>
    </row>
    <row r="256" s="157" customFormat="true" ht="12.75" hidden="false" customHeight="true" outlineLevel="0" collapsed="false">
      <c r="A256" s="456" t="n">
        <v>6</v>
      </c>
      <c r="B256" s="157" t="n">
        <v>250</v>
      </c>
      <c r="C256" s="157" t="s">
        <v>6633</v>
      </c>
      <c r="D256" s="157" t="s">
        <v>7442</v>
      </c>
      <c r="E256" s="457" t="s">
        <v>2461</v>
      </c>
      <c r="F256" s="157" t="s">
        <v>7443</v>
      </c>
      <c r="G256" s="157" t="n">
        <v>44.2</v>
      </c>
      <c r="H256" s="157" t="n">
        <v>9506</v>
      </c>
      <c r="I256" s="457" t="n">
        <v>0</v>
      </c>
      <c r="J256" s="458" t="n">
        <v>5760</v>
      </c>
      <c r="K256" s="167" t="n">
        <v>7.29166666666667</v>
      </c>
      <c r="L256" s="175" t="n">
        <v>0</v>
      </c>
      <c r="M256" s="175" t="n">
        <v>0.40952380952381</v>
      </c>
      <c r="N256" s="157" t="n">
        <v>1962</v>
      </c>
      <c r="O256" s="157" t="n">
        <v>636</v>
      </c>
      <c r="P256" s="157" t="n">
        <v>0</v>
      </c>
      <c r="Q256" s="157" t="n">
        <v>18</v>
      </c>
      <c r="R256" s="157" t="n">
        <v>3</v>
      </c>
      <c r="S256" s="157" t="n">
        <v>1</v>
      </c>
      <c r="T256" s="457" t="s">
        <v>6680</v>
      </c>
      <c r="U256" s="157" t="n">
        <v>397</v>
      </c>
      <c r="V256" s="458" t="n">
        <v>9370</v>
      </c>
      <c r="W256" s="458" t="n">
        <v>9000</v>
      </c>
      <c r="X256" s="445" t="s">
        <v>6668</v>
      </c>
      <c r="Y256" s="458" t="n">
        <v>6000</v>
      </c>
      <c r="Z256" s="457" t="s">
        <v>6638</v>
      </c>
      <c r="AD256" s="157" t="s">
        <v>7444</v>
      </c>
      <c r="AK256" s="459"/>
    </row>
    <row r="257" s="157" customFormat="true" ht="12.75" hidden="false" customHeight="true" outlineLevel="0" collapsed="false">
      <c r="A257" s="456" t="n">
        <v>6</v>
      </c>
      <c r="B257" s="157" t="n">
        <v>251</v>
      </c>
      <c r="C257" s="157" t="s">
        <v>6633</v>
      </c>
      <c r="D257" s="157" t="s">
        <v>7445</v>
      </c>
      <c r="E257" s="457" t="s">
        <v>2461</v>
      </c>
      <c r="F257" s="157" t="s">
        <v>7446</v>
      </c>
      <c r="G257" s="157" t="n">
        <v>44.1</v>
      </c>
      <c r="H257" s="157" t="n">
        <v>9509</v>
      </c>
      <c r="I257" s="457" t="n">
        <v>0</v>
      </c>
      <c r="J257" s="458" t="n">
        <v>1912</v>
      </c>
      <c r="K257" s="167" t="n">
        <v>19.2688284518829</v>
      </c>
      <c r="L257" s="175" t="n">
        <v>0</v>
      </c>
      <c r="M257" s="175" t="n">
        <v>0.0333043808696596</v>
      </c>
      <c r="N257" s="157" t="n">
        <v>1955</v>
      </c>
      <c r="O257" s="157" t="n">
        <v>0</v>
      </c>
      <c r="P257" s="157" t="n">
        <v>0</v>
      </c>
      <c r="Q257" s="157" t="n">
        <v>12</v>
      </c>
      <c r="R257" s="157" t="n">
        <v>3</v>
      </c>
      <c r="S257" s="157" t="n">
        <v>1</v>
      </c>
      <c r="T257" s="457" t="s">
        <v>7320</v>
      </c>
      <c r="U257" s="157" t="n">
        <v>398</v>
      </c>
      <c r="V257" s="458" t="n">
        <v>3125</v>
      </c>
      <c r="W257" s="458" t="n">
        <v>3000</v>
      </c>
      <c r="X257" s="445" t="s">
        <v>6668</v>
      </c>
      <c r="Y257" s="458" t="n">
        <v>2000</v>
      </c>
      <c r="Z257" s="457" t="s">
        <v>6638</v>
      </c>
      <c r="AD257" s="157" t="s">
        <v>7447</v>
      </c>
      <c r="AK257" s="459"/>
    </row>
    <row r="258" s="157" customFormat="true" ht="12.75" hidden="false" customHeight="true" outlineLevel="0" collapsed="false">
      <c r="A258" s="456" t="n">
        <v>6</v>
      </c>
      <c r="B258" s="157" t="n">
        <v>252</v>
      </c>
      <c r="C258" s="157" t="s">
        <v>6633</v>
      </c>
      <c r="D258" s="157" t="s">
        <v>7448</v>
      </c>
      <c r="E258" s="457" t="s">
        <v>2461</v>
      </c>
      <c r="F258" s="157" t="s">
        <v>7449</v>
      </c>
      <c r="G258" s="157" t="n">
        <v>43.1</v>
      </c>
      <c r="H258" s="157" t="n">
        <v>9506</v>
      </c>
      <c r="I258" s="457" t="n">
        <v>0</v>
      </c>
      <c r="J258" s="458" t="n">
        <v>3038</v>
      </c>
      <c r="K258" s="167" t="n">
        <v>15.2073732718894</v>
      </c>
      <c r="L258" s="175" t="n">
        <v>0</v>
      </c>
      <c r="M258" s="175" t="n">
        <v>0.181168831168831</v>
      </c>
      <c r="N258" s="157" t="n">
        <v>1959</v>
      </c>
      <c r="O258" s="157" t="n">
        <v>0</v>
      </c>
      <c r="P258" s="157" t="n">
        <v>0</v>
      </c>
      <c r="Q258" s="157" t="n">
        <v>15</v>
      </c>
      <c r="R258" s="157" t="n">
        <v>3</v>
      </c>
      <c r="S258" s="157" t="n">
        <v>1</v>
      </c>
      <c r="T258" s="457" t="s">
        <v>6680</v>
      </c>
      <c r="U258" s="157" t="n">
        <v>401</v>
      </c>
      <c r="V258" s="458" t="n">
        <v>6250</v>
      </c>
      <c r="W258" s="458" t="n">
        <v>6000</v>
      </c>
      <c r="X258" s="445" t="s">
        <v>6754</v>
      </c>
      <c r="Y258" s="458" t="n">
        <v>3000</v>
      </c>
      <c r="Z258" s="457" t="s">
        <v>6638</v>
      </c>
      <c r="AK258" s="459" t="s">
        <v>6661</v>
      </c>
    </row>
    <row r="259" s="157" customFormat="true" ht="12.75" hidden="false" customHeight="true" outlineLevel="0" collapsed="false">
      <c r="A259" s="456" t="n">
        <v>6</v>
      </c>
      <c r="B259" s="157" t="n">
        <v>253</v>
      </c>
      <c r="C259" s="157" t="s">
        <v>6633</v>
      </c>
      <c r="D259" s="157" t="s">
        <v>7450</v>
      </c>
      <c r="E259" s="457" t="s">
        <v>2461</v>
      </c>
      <c r="F259" s="157" t="s">
        <v>7451</v>
      </c>
      <c r="G259" s="157" t="n">
        <v>44.2</v>
      </c>
      <c r="H259" s="157" t="n">
        <v>9506</v>
      </c>
      <c r="I259" s="457" t="n">
        <v>0</v>
      </c>
      <c r="J259" s="458" t="n">
        <v>3840</v>
      </c>
      <c r="K259" s="167" t="n">
        <v>7.1875</v>
      </c>
      <c r="L259" s="175" t="n">
        <v>0</v>
      </c>
      <c r="M259" s="175" t="n">
        <v>0</v>
      </c>
      <c r="N259" s="157" t="n">
        <v>1964</v>
      </c>
      <c r="O259" s="157" t="n">
        <v>1350</v>
      </c>
      <c r="P259" s="157" t="n">
        <v>0</v>
      </c>
      <c r="Q259" s="157" t="n">
        <v>13</v>
      </c>
      <c r="R259" s="157" t="n">
        <v>3</v>
      </c>
      <c r="S259" s="157" t="n">
        <v>1</v>
      </c>
      <c r="T259" s="457" t="s">
        <v>6636</v>
      </c>
      <c r="U259" s="157" t="n">
        <v>398</v>
      </c>
      <c r="V259" s="458" t="n">
        <v>6250</v>
      </c>
      <c r="W259" s="458" t="n">
        <v>6000</v>
      </c>
      <c r="X259" s="445" t="s">
        <v>6668</v>
      </c>
      <c r="Y259" s="458" t="n">
        <v>4000</v>
      </c>
      <c r="Z259" s="457" t="s">
        <v>6638</v>
      </c>
      <c r="AD259" s="157" t="s">
        <v>7452</v>
      </c>
      <c r="AK259" s="459"/>
    </row>
    <row r="260" s="157" customFormat="true" ht="12.75" hidden="false" customHeight="true" outlineLevel="0" collapsed="false">
      <c r="A260" s="456" t="n">
        <v>6</v>
      </c>
      <c r="B260" s="157" t="n">
        <v>254</v>
      </c>
      <c r="C260" s="157" t="s">
        <v>6633</v>
      </c>
      <c r="D260" s="157" t="s">
        <v>7453</v>
      </c>
      <c r="E260" s="457" t="s">
        <v>2461</v>
      </c>
      <c r="F260" s="157" t="s">
        <v>7454</v>
      </c>
      <c r="G260" s="157" t="n">
        <v>44.2</v>
      </c>
      <c r="H260" s="157" t="n">
        <v>9506</v>
      </c>
      <c r="I260" s="457" t="n">
        <v>0</v>
      </c>
      <c r="J260" s="458" t="n">
        <v>14970</v>
      </c>
      <c r="K260" s="167" t="n">
        <v>9.3561122244489</v>
      </c>
      <c r="L260" s="175" t="n">
        <v>0</v>
      </c>
      <c r="M260" s="175" t="n">
        <v>0.000949586251704614</v>
      </c>
      <c r="N260" s="157" t="n">
        <v>1960</v>
      </c>
      <c r="O260" s="157" t="n">
        <v>1407</v>
      </c>
      <c r="P260" s="157" t="n">
        <v>0</v>
      </c>
      <c r="Q260" s="157" t="n">
        <v>13</v>
      </c>
      <c r="R260" s="157" t="n">
        <v>3</v>
      </c>
      <c r="S260" s="157" t="n">
        <v>1</v>
      </c>
      <c r="T260" s="457" t="s">
        <v>6636</v>
      </c>
      <c r="U260" s="157" t="n">
        <v>398</v>
      </c>
      <c r="V260" s="458" t="n">
        <v>17968</v>
      </c>
      <c r="W260" s="458" t="n">
        <v>18000</v>
      </c>
      <c r="X260" s="445" t="s">
        <v>6900</v>
      </c>
      <c r="Y260" s="458" t="n">
        <v>15000</v>
      </c>
      <c r="Z260" s="457" t="s">
        <v>6638</v>
      </c>
      <c r="AK260" s="459"/>
    </row>
    <row r="261" s="157" customFormat="true" ht="12.75" hidden="false" customHeight="true" outlineLevel="0" collapsed="false">
      <c r="A261" s="456" t="n">
        <v>6</v>
      </c>
      <c r="B261" s="157" t="n">
        <v>255</v>
      </c>
      <c r="C261" s="157" t="s">
        <v>6633</v>
      </c>
      <c r="D261" s="157" t="s">
        <v>7455</v>
      </c>
      <c r="E261" s="457" t="s">
        <v>2461</v>
      </c>
      <c r="F261" s="157" t="s">
        <v>7456</v>
      </c>
      <c r="G261" s="157" t="n">
        <v>47.2</v>
      </c>
      <c r="H261" s="157" t="n">
        <v>9506</v>
      </c>
      <c r="I261" s="457" t="n">
        <v>0</v>
      </c>
      <c r="J261" s="458" t="n">
        <v>28581</v>
      </c>
      <c r="K261" s="167" t="n">
        <v>7.7946188027011</v>
      </c>
      <c r="L261" s="175" t="n">
        <v>0</v>
      </c>
      <c r="M261" s="175" t="n">
        <v>0.00496009480289795</v>
      </c>
      <c r="N261" s="157" t="n">
        <v>1961</v>
      </c>
      <c r="O261" s="157" t="n">
        <v>6364</v>
      </c>
      <c r="P261" s="157" t="n">
        <v>0</v>
      </c>
      <c r="Q261" s="157" t="n">
        <v>13</v>
      </c>
      <c r="R261" s="157" t="n">
        <v>3</v>
      </c>
      <c r="S261" s="157" t="n">
        <v>1</v>
      </c>
      <c r="T261" s="457" t="s">
        <v>6636</v>
      </c>
      <c r="U261" s="157" t="n">
        <v>401</v>
      </c>
      <c r="V261" s="458" t="n">
        <v>38282</v>
      </c>
      <c r="W261" s="458" t="n">
        <v>38000</v>
      </c>
      <c r="X261" s="445" t="s">
        <v>7103</v>
      </c>
      <c r="Y261" s="458" t="n">
        <v>29000</v>
      </c>
      <c r="Z261" s="457" t="s">
        <v>6638</v>
      </c>
      <c r="AD261" s="157" t="s">
        <v>7457</v>
      </c>
      <c r="AK261" s="459"/>
    </row>
    <row r="262" s="157" customFormat="true" ht="12.75" hidden="false" customHeight="true" outlineLevel="0" collapsed="false">
      <c r="A262" s="456" t="n">
        <v>6</v>
      </c>
      <c r="B262" s="157" t="n">
        <v>256</v>
      </c>
      <c r="C262" s="157" t="s">
        <v>6633</v>
      </c>
      <c r="D262" s="157" t="s">
        <v>7458</v>
      </c>
      <c r="E262" s="457" t="s">
        <v>2461</v>
      </c>
      <c r="F262" s="157" t="s">
        <v>7459</v>
      </c>
      <c r="G262" s="157" t="n">
        <v>44.2</v>
      </c>
      <c r="H262" s="157" t="n">
        <v>9506</v>
      </c>
      <c r="I262" s="457" t="n">
        <v>0</v>
      </c>
      <c r="J262" s="458" t="n">
        <v>4064</v>
      </c>
      <c r="K262" s="167" t="n">
        <v>5.90551181102362</v>
      </c>
      <c r="L262" s="175" t="n">
        <v>0</v>
      </c>
      <c r="M262" s="175" t="n">
        <v>0.204166666666667</v>
      </c>
      <c r="N262" s="157" t="n">
        <v>1967</v>
      </c>
      <c r="O262" s="157" t="n">
        <v>0</v>
      </c>
      <c r="P262" s="157" t="n">
        <v>527</v>
      </c>
      <c r="Q262" s="157" t="n">
        <v>11</v>
      </c>
      <c r="R262" s="157" t="n">
        <v>3</v>
      </c>
      <c r="S262" s="157" t="n">
        <v>1</v>
      </c>
      <c r="T262" s="457" t="s">
        <v>6636</v>
      </c>
      <c r="U262" s="157" t="n">
        <v>398</v>
      </c>
      <c r="V262" s="458" t="n">
        <v>6250</v>
      </c>
      <c r="W262" s="458" t="n">
        <v>6000</v>
      </c>
      <c r="X262" s="445" t="s">
        <v>6837</v>
      </c>
      <c r="Y262" s="458" t="n">
        <v>4000</v>
      </c>
      <c r="Z262" s="457" t="s">
        <v>6638</v>
      </c>
      <c r="AD262" s="157" t="s">
        <v>7460</v>
      </c>
      <c r="AK262" s="459"/>
    </row>
    <row r="263" s="157" customFormat="true" ht="12.75" hidden="false" customHeight="true" outlineLevel="0" collapsed="false">
      <c r="A263" s="456" t="n">
        <v>6</v>
      </c>
      <c r="B263" s="157" t="n">
        <v>257</v>
      </c>
      <c r="C263" s="157" t="s">
        <v>6633</v>
      </c>
      <c r="D263" s="157" t="s">
        <v>7461</v>
      </c>
      <c r="E263" s="457" t="s">
        <v>2461</v>
      </c>
      <c r="F263" s="157" t="s">
        <v>7462</v>
      </c>
      <c r="G263" s="157" t="n">
        <v>47.1</v>
      </c>
      <c r="H263" s="157" t="n">
        <v>9506</v>
      </c>
      <c r="I263" s="457" t="n">
        <v>0</v>
      </c>
      <c r="J263" s="458" t="n">
        <v>2487</v>
      </c>
      <c r="K263" s="167" t="n">
        <v>9.65018094089264</v>
      </c>
      <c r="L263" s="175" t="n">
        <v>0</v>
      </c>
      <c r="M263" s="175" t="n">
        <v>0.281708333333333</v>
      </c>
      <c r="N263" s="157" t="n">
        <v>1954</v>
      </c>
      <c r="O263" s="157" t="n">
        <v>0</v>
      </c>
      <c r="P263" s="157" t="n">
        <v>1188</v>
      </c>
      <c r="Q263" s="157" t="n">
        <v>16</v>
      </c>
      <c r="R263" s="157" t="n">
        <v>3</v>
      </c>
      <c r="S263" s="157" t="n">
        <v>1</v>
      </c>
      <c r="T263" s="457" t="s">
        <v>6636</v>
      </c>
      <c r="U263" s="157" t="n">
        <v>401</v>
      </c>
      <c r="V263" s="458" t="n">
        <v>12500</v>
      </c>
      <c r="W263" s="458" t="n">
        <v>13000</v>
      </c>
      <c r="X263" s="445" t="s">
        <v>7017</v>
      </c>
      <c r="Y263" s="458" t="n">
        <v>2000</v>
      </c>
      <c r="Z263" s="457" t="s">
        <v>6638</v>
      </c>
      <c r="AD263" s="157" t="s">
        <v>7463</v>
      </c>
      <c r="AK263" s="459" t="s">
        <v>6665</v>
      </c>
    </row>
    <row r="264" s="157" customFormat="true" ht="12.75" hidden="false" customHeight="true" outlineLevel="0" collapsed="false">
      <c r="A264" s="456" t="n">
        <v>6</v>
      </c>
      <c r="B264" s="157" t="n">
        <v>258</v>
      </c>
      <c r="C264" s="157" t="s">
        <v>6633</v>
      </c>
      <c r="D264" s="157" t="s">
        <v>7464</v>
      </c>
      <c r="E264" s="457" t="s">
        <v>2461</v>
      </c>
      <c r="F264" s="157" t="s">
        <v>7465</v>
      </c>
      <c r="G264" s="157" t="n">
        <v>44.1</v>
      </c>
      <c r="H264" s="157" t="n">
        <v>9506</v>
      </c>
      <c r="I264" s="457" t="n">
        <v>0</v>
      </c>
      <c r="J264" s="458" t="n">
        <v>10444</v>
      </c>
      <c r="K264" s="167" t="n">
        <v>6.89391037916507</v>
      </c>
      <c r="L264" s="175" t="n">
        <v>0</v>
      </c>
      <c r="M264" s="175" t="n">
        <v>0</v>
      </c>
      <c r="N264" s="157" t="n">
        <v>1985</v>
      </c>
      <c r="O264" s="157" t="n">
        <v>1104</v>
      </c>
      <c r="P264" s="157" t="n">
        <v>0</v>
      </c>
      <c r="Q264" s="157" t="n">
        <v>18</v>
      </c>
      <c r="R264" s="157" t="n">
        <v>3</v>
      </c>
      <c r="S264" s="157" t="n">
        <v>1</v>
      </c>
      <c r="T264" s="457" t="s">
        <v>6636</v>
      </c>
      <c r="U264" s="157" t="n">
        <v>398</v>
      </c>
      <c r="V264" s="458" t="n">
        <v>18750</v>
      </c>
      <c r="W264" s="458" t="n">
        <v>19000</v>
      </c>
      <c r="X264" s="445" t="s">
        <v>6863</v>
      </c>
      <c r="Y264" s="458" t="n">
        <v>10000</v>
      </c>
      <c r="Z264" s="457" t="s">
        <v>6638</v>
      </c>
      <c r="AK264" s="459"/>
    </row>
    <row r="265" s="157" customFormat="true" ht="23.25" hidden="false" customHeight="true" outlineLevel="0" collapsed="false">
      <c r="A265" s="456" t="n">
        <v>6</v>
      </c>
      <c r="B265" s="157" t="n">
        <v>259</v>
      </c>
      <c r="C265" s="157" t="s">
        <v>6633</v>
      </c>
      <c r="D265" s="157" t="s">
        <v>7466</v>
      </c>
      <c r="E265" s="457" t="s">
        <v>2461</v>
      </c>
      <c r="F265" s="157" t="s">
        <v>7467</v>
      </c>
      <c r="G265" s="157" t="n">
        <v>44.1</v>
      </c>
      <c r="H265" s="157" t="n">
        <v>9509</v>
      </c>
      <c r="I265" s="457" t="n">
        <v>2</v>
      </c>
      <c r="J265" s="458" t="n">
        <v>2535</v>
      </c>
      <c r="K265" s="167" t="n">
        <v>5.68047337278107</v>
      </c>
      <c r="L265" s="175" t="n">
        <v>0</v>
      </c>
      <c r="M265" s="175" t="n">
        <v>0.0347222222222222</v>
      </c>
      <c r="N265" s="157" t="n">
        <v>1951</v>
      </c>
      <c r="O265" s="157" t="n">
        <v>0</v>
      </c>
      <c r="P265" s="157" t="n">
        <v>1217</v>
      </c>
      <c r="Q265" s="157" t="n">
        <v>19</v>
      </c>
      <c r="R265" s="157" t="n">
        <v>3</v>
      </c>
      <c r="S265" s="157" t="n">
        <v>1</v>
      </c>
      <c r="T265" s="457" t="s">
        <v>6993</v>
      </c>
      <c r="U265" s="157" t="n">
        <v>398</v>
      </c>
      <c r="V265" s="458" t="n">
        <v>4687</v>
      </c>
      <c r="W265" s="458" t="n">
        <v>5000</v>
      </c>
      <c r="X265" s="445" t="s">
        <v>6863</v>
      </c>
      <c r="Y265" s="458" t="n">
        <v>3000</v>
      </c>
      <c r="Z265" s="457" t="s">
        <v>6638</v>
      </c>
      <c r="AD265" s="157" t="s">
        <v>7468</v>
      </c>
      <c r="AK265" s="459" t="s">
        <v>7469</v>
      </c>
    </row>
    <row r="266" s="157" customFormat="true" ht="12.75" hidden="false" customHeight="true" outlineLevel="0" collapsed="false">
      <c r="A266" s="456" t="n">
        <v>6</v>
      </c>
      <c r="B266" s="157" t="n">
        <v>260</v>
      </c>
      <c r="C266" s="157" t="s">
        <v>6633</v>
      </c>
      <c r="D266" s="157" t="s">
        <v>7470</v>
      </c>
      <c r="E266" s="457" t="s">
        <v>2461</v>
      </c>
      <c r="F266" s="157" t="s">
        <v>7471</v>
      </c>
      <c r="G266" s="157" t="n">
        <v>44.1</v>
      </c>
      <c r="H266" s="157" t="n">
        <v>9506</v>
      </c>
      <c r="I266" s="457" t="n">
        <v>0</v>
      </c>
      <c r="J266" s="458" t="n">
        <v>9120</v>
      </c>
      <c r="K266" s="167" t="n">
        <v>8.17061403508772</v>
      </c>
      <c r="L266" s="175" t="n">
        <v>0</v>
      </c>
      <c r="M266" s="175" t="n">
        <v>0.0214853185892963</v>
      </c>
      <c r="N266" s="157" t="n">
        <v>1986</v>
      </c>
      <c r="O266" s="157" t="n">
        <v>1669</v>
      </c>
      <c r="P266" s="157" t="n">
        <v>0</v>
      </c>
      <c r="Q266" s="157" t="n">
        <v>16</v>
      </c>
      <c r="R266" s="157" t="n">
        <v>3</v>
      </c>
      <c r="S266" s="157" t="n">
        <v>1</v>
      </c>
      <c r="T266" s="457" t="s">
        <v>6680</v>
      </c>
      <c r="U266" s="157" t="n">
        <v>398</v>
      </c>
      <c r="V266" s="458" t="n">
        <v>21128</v>
      </c>
      <c r="W266" s="458" t="n">
        <v>21000</v>
      </c>
      <c r="X266" s="445" t="s">
        <v>6646</v>
      </c>
      <c r="Y266" s="458" t="n">
        <v>9000</v>
      </c>
      <c r="Z266" s="457" t="s">
        <v>6638</v>
      </c>
      <c r="AK266" s="459"/>
    </row>
    <row r="267" s="157" customFormat="true" ht="12.75" hidden="false" customHeight="true" outlineLevel="0" collapsed="false">
      <c r="A267" s="456" t="n">
        <v>6</v>
      </c>
      <c r="B267" s="157" t="n">
        <v>261</v>
      </c>
      <c r="C267" s="157" t="s">
        <v>6633</v>
      </c>
      <c r="D267" s="157" t="s">
        <v>7472</v>
      </c>
      <c r="E267" s="457" t="s">
        <v>2461</v>
      </c>
      <c r="F267" s="157" t="s">
        <v>7473</v>
      </c>
      <c r="G267" s="157" t="n">
        <v>44.2</v>
      </c>
      <c r="H267" s="157" t="n">
        <v>9506</v>
      </c>
      <c r="I267" s="457" t="n">
        <v>0</v>
      </c>
      <c r="J267" s="458" t="n">
        <v>4000</v>
      </c>
      <c r="K267" s="167" t="n">
        <v>6.9465</v>
      </c>
      <c r="L267" s="175" t="n">
        <v>0</v>
      </c>
      <c r="M267" s="175" t="n">
        <v>0.197365579788383</v>
      </c>
      <c r="N267" s="157" t="n">
        <v>1957</v>
      </c>
      <c r="O267" s="157" t="n">
        <v>369</v>
      </c>
      <c r="P267" s="157" t="n">
        <v>0</v>
      </c>
      <c r="Q267" s="157" t="n">
        <v>12</v>
      </c>
      <c r="R267" s="157" t="n">
        <v>1</v>
      </c>
      <c r="S267" s="157" t="n">
        <v>2</v>
      </c>
      <c r="T267" s="457" t="s">
        <v>6680</v>
      </c>
      <c r="U267" s="157" t="n">
        <v>398</v>
      </c>
      <c r="V267" s="458" t="n">
        <v>9375</v>
      </c>
      <c r="W267" s="458" t="n">
        <v>9000</v>
      </c>
      <c r="X267" s="445" t="s">
        <v>6646</v>
      </c>
      <c r="Y267" s="458" t="n">
        <v>4000</v>
      </c>
      <c r="Z267" s="457" t="s">
        <v>6638</v>
      </c>
      <c r="AD267" s="157" t="s">
        <v>7474</v>
      </c>
      <c r="AK267" s="459" t="s">
        <v>7233</v>
      </c>
    </row>
    <row r="268" s="157" customFormat="true" ht="12.75" hidden="false" customHeight="true" outlineLevel="0" collapsed="false">
      <c r="A268" s="456" t="n">
        <v>6</v>
      </c>
      <c r="B268" s="157" t="n">
        <v>262</v>
      </c>
      <c r="C268" s="157" t="s">
        <v>6633</v>
      </c>
      <c r="D268" s="157" t="s">
        <v>7475</v>
      </c>
      <c r="E268" s="457" t="s">
        <v>2461</v>
      </c>
      <c r="F268" s="157" t="s">
        <v>7476</v>
      </c>
      <c r="G268" s="157" t="n">
        <v>44.1</v>
      </c>
      <c r="H268" s="157" t="n">
        <v>9506</v>
      </c>
      <c r="I268" s="457" t="n">
        <v>0</v>
      </c>
      <c r="J268" s="458" t="n">
        <v>3987</v>
      </c>
      <c r="K268" s="167" t="n">
        <v>6.44845748683221</v>
      </c>
      <c r="L268" s="175" t="n">
        <v>0</v>
      </c>
      <c r="M268" s="175" t="n">
        <v>0.0995332555425904</v>
      </c>
      <c r="N268" s="157" t="n">
        <v>1960</v>
      </c>
      <c r="O268" s="157" t="n">
        <v>0</v>
      </c>
      <c r="P268" s="157" t="n">
        <v>0</v>
      </c>
      <c r="Q268" s="157" t="n">
        <v>12</v>
      </c>
      <c r="R268" s="157" t="n">
        <v>1</v>
      </c>
      <c r="S268" s="157" t="n">
        <v>2</v>
      </c>
      <c r="T268" s="457" t="s">
        <v>6680</v>
      </c>
      <c r="U268" s="157" t="n">
        <v>398</v>
      </c>
      <c r="V268" s="458" t="n">
        <v>9375</v>
      </c>
      <c r="W268" s="458" t="n">
        <v>9000</v>
      </c>
      <c r="X268" s="445" t="s">
        <v>6650</v>
      </c>
      <c r="Y268" s="458" t="n">
        <v>4000</v>
      </c>
      <c r="Z268" s="457" t="s">
        <v>6638</v>
      </c>
      <c r="AD268" s="157" t="s">
        <v>7477</v>
      </c>
      <c r="AK268" s="459" t="s">
        <v>6759</v>
      </c>
    </row>
    <row r="269" s="157" customFormat="true" ht="12.75" hidden="false" customHeight="true" outlineLevel="0" collapsed="false">
      <c r="A269" s="456" t="n">
        <v>6</v>
      </c>
      <c r="B269" s="157" t="n">
        <v>263</v>
      </c>
      <c r="C269" s="157" t="s">
        <v>6633</v>
      </c>
      <c r="D269" s="157" t="s">
        <v>7478</v>
      </c>
      <c r="E269" s="457" t="s">
        <v>2461</v>
      </c>
      <c r="F269" s="157" t="s">
        <v>7479</v>
      </c>
      <c r="G269" s="157" t="n">
        <v>44.1</v>
      </c>
      <c r="H269" s="157" t="n">
        <v>9506</v>
      </c>
      <c r="I269" s="457" t="n">
        <v>0</v>
      </c>
      <c r="J269" s="458" t="n">
        <v>4000</v>
      </c>
      <c r="K269" s="167" t="n">
        <v>6.58</v>
      </c>
      <c r="L269" s="175" t="n">
        <v>0</v>
      </c>
      <c r="M269" s="175" t="n">
        <v>0.205015197568389</v>
      </c>
      <c r="N269" s="157" t="n">
        <v>1962</v>
      </c>
      <c r="O269" s="157" t="n">
        <v>0</v>
      </c>
      <c r="P269" s="157" t="n">
        <v>0</v>
      </c>
      <c r="Q269" s="157" t="n">
        <v>12</v>
      </c>
      <c r="R269" s="157" t="n">
        <v>1</v>
      </c>
      <c r="S269" s="157" t="n">
        <v>1</v>
      </c>
      <c r="T269" s="457" t="s">
        <v>6680</v>
      </c>
      <c r="U269" s="157" t="n">
        <v>398</v>
      </c>
      <c r="V269" s="458" t="n">
        <v>9375</v>
      </c>
      <c r="W269" s="458" t="n">
        <v>9000</v>
      </c>
      <c r="X269" s="445" t="s">
        <v>6646</v>
      </c>
      <c r="Y269" s="458" t="n">
        <v>4000</v>
      </c>
      <c r="Z269" s="457" t="s">
        <v>6638</v>
      </c>
      <c r="AD269" s="157" t="s">
        <v>7480</v>
      </c>
      <c r="AK269" s="459" t="s">
        <v>7322</v>
      </c>
    </row>
    <row r="270" s="157" customFormat="true" ht="12.75" hidden="false" customHeight="true" outlineLevel="0" collapsed="false">
      <c r="A270" s="456" t="n">
        <v>6</v>
      </c>
      <c r="B270" s="157" t="n">
        <v>264</v>
      </c>
      <c r="C270" s="157" t="s">
        <v>6633</v>
      </c>
      <c r="D270" s="157" t="s">
        <v>7481</v>
      </c>
      <c r="E270" s="457" t="s">
        <v>2461</v>
      </c>
      <c r="F270" s="157" t="s">
        <v>7482</v>
      </c>
      <c r="G270" s="157" t="n">
        <v>47.2</v>
      </c>
      <c r="H270" s="157" t="n">
        <v>9506</v>
      </c>
      <c r="I270" s="457" t="n">
        <v>0</v>
      </c>
      <c r="J270" s="458" t="n">
        <v>4000</v>
      </c>
      <c r="K270" s="167" t="n">
        <v>6.69</v>
      </c>
      <c r="L270" s="175" t="n">
        <v>0</v>
      </c>
      <c r="M270" s="175" t="n">
        <v>0.109678624813154</v>
      </c>
      <c r="N270" s="157" t="n">
        <v>1956</v>
      </c>
      <c r="O270" s="157" t="n">
        <v>200</v>
      </c>
      <c r="P270" s="157" t="n">
        <v>0</v>
      </c>
      <c r="Q270" s="157" t="n">
        <v>14</v>
      </c>
      <c r="R270" s="157" t="n">
        <v>1</v>
      </c>
      <c r="S270" s="157" t="n">
        <v>1</v>
      </c>
      <c r="T270" s="457" t="s">
        <v>6680</v>
      </c>
      <c r="U270" s="157" t="n">
        <v>401</v>
      </c>
      <c r="V270" s="458" t="n">
        <v>12500</v>
      </c>
      <c r="W270" s="458" t="n">
        <v>13000</v>
      </c>
      <c r="X270" s="445" t="s">
        <v>6751</v>
      </c>
      <c r="Y270" s="458" t="n">
        <v>4000</v>
      </c>
      <c r="Z270" s="457" t="s">
        <v>6638</v>
      </c>
      <c r="AD270" s="157" t="s">
        <v>7483</v>
      </c>
      <c r="AK270" s="459" t="s">
        <v>7322</v>
      </c>
    </row>
    <row r="271" s="157" customFormat="true" ht="12.75" hidden="false" customHeight="true" outlineLevel="0" collapsed="false">
      <c r="A271" s="456" t="n">
        <v>6</v>
      </c>
      <c r="B271" s="157" t="n">
        <v>265</v>
      </c>
      <c r="C271" s="157" t="s">
        <v>6633</v>
      </c>
      <c r="D271" s="157" t="s">
        <v>7484</v>
      </c>
      <c r="E271" s="457" t="s">
        <v>2461</v>
      </c>
      <c r="F271" s="157" t="s">
        <v>7485</v>
      </c>
      <c r="G271" s="157" t="n">
        <v>44.2</v>
      </c>
      <c r="H271" s="157" t="n">
        <v>9506</v>
      </c>
      <c r="I271" s="457" t="n">
        <v>0</v>
      </c>
      <c r="J271" s="458" t="n">
        <v>10010</v>
      </c>
      <c r="K271" s="167" t="n">
        <v>5.92127872127872</v>
      </c>
      <c r="L271" s="175" t="n">
        <v>0</v>
      </c>
      <c r="M271" s="175" t="n">
        <v>0.0727156161425294</v>
      </c>
      <c r="N271" s="157" t="n">
        <v>1961</v>
      </c>
      <c r="O271" s="157" t="n">
        <v>1135</v>
      </c>
      <c r="P271" s="157" t="n">
        <v>0</v>
      </c>
      <c r="Q271" s="157" t="n">
        <v>14</v>
      </c>
      <c r="R271" s="157" t="n">
        <v>1</v>
      </c>
      <c r="S271" s="157" t="n">
        <v>1</v>
      </c>
      <c r="T271" s="457" t="s">
        <v>6680</v>
      </c>
      <c r="U271" s="157" t="n">
        <v>397</v>
      </c>
      <c r="V271" s="458" t="n">
        <v>15625</v>
      </c>
      <c r="W271" s="458" t="n">
        <v>16000</v>
      </c>
      <c r="X271" s="445" t="s">
        <v>6668</v>
      </c>
      <c r="Y271" s="458" t="n">
        <v>10000</v>
      </c>
      <c r="Z271" s="457" t="s">
        <v>6638</v>
      </c>
      <c r="AK271" s="459" t="s">
        <v>6665</v>
      </c>
    </row>
    <row r="272" s="157" customFormat="true" ht="12.75" hidden="false" customHeight="true" outlineLevel="0" collapsed="false">
      <c r="A272" s="456" t="n">
        <v>6</v>
      </c>
      <c r="B272" s="157" t="n">
        <v>266</v>
      </c>
      <c r="C272" s="157" t="s">
        <v>6633</v>
      </c>
      <c r="D272" s="157" t="s">
        <v>7486</v>
      </c>
      <c r="E272" s="457" t="s">
        <v>2461</v>
      </c>
      <c r="F272" s="157" t="s">
        <v>7487</v>
      </c>
      <c r="G272" s="157" t="n">
        <v>44.2</v>
      </c>
      <c r="H272" s="157" t="n">
        <v>9506</v>
      </c>
      <c r="I272" s="457" t="n">
        <v>0</v>
      </c>
      <c r="J272" s="458" t="n">
        <v>2000</v>
      </c>
      <c r="K272" s="167" t="n">
        <v>7.92</v>
      </c>
      <c r="L272" s="175" t="n">
        <v>0</v>
      </c>
      <c r="M272" s="175" t="n">
        <v>0.0262626262626263</v>
      </c>
      <c r="N272" s="157" t="n">
        <v>1962</v>
      </c>
      <c r="O272" s="157" t="n">
        <v>0</v>
      </c>
      <c r="P272" s="157" t="n">
        <v>0</v>
      </c>
      <c r="Q272" s="157" t="n">
        <v>12</v>
      </c>
      <c r="R272" s="157" t="n">
        <v>3</v>
      </c>
      <c r="S272" s="157" t="n">
        <v>1</v>
      </c>
      <c r="T272" s="457" t="s">
        <v>6680</v>
      </c>
      <c r="U272" s="157" t="n">
        <v>398</v>
      </c>
      <c r="V272" s="458" t="n">
        <v>12500</v>
      </c>
      <c r="W272" s="458" t="n">
        <v>13000</v>
      </c>
      <c r="X272" s="445" t="s">
        <v>7488</v>
      </c>
      <c r="Y272" s="458" t="n">
        <v>2000</v>
      </c>
      <c r="Z272" s="457" t="s">
        <v>6638</v>
      </c>
      <c r="AD272" s="157" t="s">
        <v>7489</v>
      </c>
      <c r="AK272" s="459" t="s">
        <v>6661</v>
      </c>
    </row>
    <row r="273" s="157" customFormat="true" ht="12.75" hidden="false" customHeight="true" outlineLevel="0" collapsed="false">
      <c r="A273" s="456" t="n">
        <v>6</v>
      </c>
      <c r="B273" s="157" t="n">
        <v>267</v>
      </c>
      <c r="C273" s="157" t="s">
        <v>6633</v>
      </c>
      <c r="D273" s="157" t="s">
        <v>7490</v>
      </c>
      <c r="E273" s="457" t="s">
        <v>2461</v>
      </c>
      <c r="F273" s="157" t="s">
        <v>7491</v>
      </c>
      <c r="G273" s="157" t="n">
        <v>44.1</v>
      </c>
      <c r="H273" s="157" t="n">
        <v>9506</v>
      </c>
      <c r="I273" s="457" t="n">
        <v>0</v>
      </c>
      <c r="J273" s="458" t="n">
        <v>4539</v>
      </c>
      <c r="K273" s="167" t="n">
        <v>6.60938532716457</v>
      </c>
      <c r="L273" s="175" t="n">
        <v>0</v>
      </c>
      <c r="M273" s="175" t="n">
        <v>0</v>
      </c>
      <c r="N273" s="157" t="n">
        <v>2006</v>
      </c>
      <c r="O273" s="157" t="n">
        <v>0</v>
      </c>
      <c r="P273" s="157" t="n">
        <v>0</v>
      </c>
      <c r="Q273" s="157" t="n">
        <v>16</v>
      </c>
      <c r="R273" s="157" t="n">
        <v>1</v>
      </c>
      <c r="S273" s="157" t="n">
        <v>1</v>
      </c>
      <c r="T273" s="457" t="s">
        <v>6680</v>
      </c>
      <c r="U273" s="157" t="n">
        <v>398</v>
      </c>
      <c r="V273" s="458" t="n">
        <v>6650</v>
      </c>
      <c r="W273" s="458" t="n">
        <v>7000</v>
      </c>
      <c r="X273" s="445" t="s">
        <v>6837</v>
      </c>
      <c r="Y273" s="458" t="n">
        <v>5000</v>
      </c>
      <c r="Z273" s="457" t="s">
        <v>6638</v>
      </c>
      <c r="AD273" s="157" t="s">
        <v>7492</v>
      </c>
      <c r="AK273" s="459"/>
    </row>
    <row r="274" s="157" customFormat="true" ht="12.75" hidden="false" customHeight="true" outlineLevel="0" collapsed="false">
      <c r="A274" s="456" t="n">
        <v>6</v>
      </c>
      <c r="B274" s="157" t="n">
        <v>268</v>
      </c>
      <c r="C274" s="157" t="s">
        <v>6633</v>
      </c>
      <c r="D274" s="157" t="s">
        <v>7493</v>
      </c>
      <c r="E274" s="457" t="s">
        <v>2461</v>
      </c>
      <c r="F274" s="157" t="s">
        <v>7494</v>
      </c>
      <c r="G274" s="157" t="n">
        <v>44.1</v>
      </c>
      <c r="H274" s="157" t="n">
        <v>9506</v>
      </c>
      <c r="I274" s="457" t="n">
        <v>0</v>
      </c>
      <c r="J274" s="458" t="n">
        <v>10005</v>
      </c>
      <c r="K274" s="167" t="n">
        <v>6.02698650674663</v>
      </c>
      <c r="L274" s="175" t="n">
        <v>0</v>
      </c>
      <c r="M274" s="175" t="n">
        <v>0.0165837479270315</v>
      </c>
      <c r="N274" s="157" t="n">
        <v>1965</v>
      </c>
      <c r="O274" s="157" t="n">
        <v>2142</v>
      </c>
      <c r="P274" s="157" t="n">
        <v>0</v>
      </c>
      <c r="Q274" s="157" t="n">
        <v>13</v>
      </c>
      <c r="R274" s="157" t="n">
        <v>1</v>
      </c>
      <c r="S274" s="157" t="n">
        <v>1</v>
      </c>
      <c r="T274" s="457" t="s">
        <v>6680</v>
      </c>
      <c r="U274" s="157" t="n">
        <v>398</v>
      </c>
      <c r="V274" s="458" t="n">
        <v>12500</v>
      </c>
      <c r="W274" s="458" t="n">
        <v>13000</v>
      </c>
      <c r="X274" s="445" t="s">
        <v>6900</v>
      </c>
      <c r="Y274" s="458" t="n">
        <v>10000</v>
      </c>
      <c r="Z274" s="457" t="s">
        <v>6735</v>
      </c>
      <c r="AD274" s="157" t="s">
        <v>7495</v>
      </c>
      <c r="AK274" s="459" t="s">
        <v>6661</v>
      </c>
    </row>
    <row r="275" s="157" customFormat="true" ht="25.5" hidden="false" customHeight="true" outlineLevel="0" collapsed="false">
      <c r="A275" s="456" t="n">
        <v>6</v>
      </c>
      <c r="B275" s="157" t="n">
        <v>269</v>
      </c>
      <c r="C275" s="157" t="s">
        <v>6633</v>
      </c>
      <c r="D275" s="157" t="s">
        <v>7496</v>
      </c>
      <c r="E275" s="457" t="s">
        <v>2461</v>
      </c>
      <c r="F275" s="157" t="s">
        <v>7497</v>
      </c>
      <c r="G275" s="157" t="n">
        <v>44.2</v>
      </c>
      <c r="H275" s="157" t="n">
        <v>9506</v>
      </c>
      <c r="I275" s="457" t="n">
        <v>0</v>
      </c>
      <c r="J275" s="458" t="n">
        <v>4916</v>
      </c>
      <c r="K275" s="167" t="n">
        <v>7.32302685109845</v>
      </c>
      <c r="L275" s="175" t="n">
        <v>0</v>
      </c>
      <c r="M275" s="175" t="n">
        <v>0</v>
      </c>
      <c r="N275" s="157" t="n">
        <v>1973</v>
      </c>
      <c r="O275" s="157" t="n">
        <v>1327</v>
      </c>
      <c r="P275" s="157" t="n">
        <v>0</v>
      </c>
      <c r="Q275" s="157" t="n">
        <v>14</v>
      </c>
      <c r="R275" s="157" t="n">
        <v>6</v>
      </c>
      <c r="S275" s="157" t="n">
        <v>1</v>
      </c>
      <c r="T275" s="457" t="s">
        <v>6680</v>
      </c>
      <c r="U275" s="157" t="n">
        <v>398</v>
      </c>
      <c r="V275" s="458" t="n">
        <v>6250</v>
      </c>
      <c r="W275" s="458" t="n">
        <v>6000</v>
      </c>
      <c r="X275" s="445" t="s">
        <v>7103</v>
      </c>
      <c r="Y275" s="458" t="n">
        <v>5000</v>
      </c>
      <c r="Z275" s="457" t="s">
        <v>6638</v>
      </c>
      <c r="AD275" s="157" t="s">
        <v>7498</v>
      </c>
      <c r="AK275" s="459" t="s">
        <v>6707</v>
      </c>
    </row>
    <row r="276" s="157" customFormat="true" ht="25.5" hidden="false" customHeight="true" outlineLevel="0" collapsed="false">
      <c r="A276" s="456" t="n">
        <v>6</v>
      </c>
      <c r="B276" s="157" t="n">
        <v>270</v>
      </c>
      <c r="C276" s="157" t="s">
        <v>6633</v>
      </c>
      <c r="D276" s="157" t="s">
        <v>7499</v>
      </c>
      <c r="E276" s="457" t="s">
        <v>2461</v>
      </c>
      <c r="F276" s="157" t="s">
        <v>7500</v>
      </c>
      <c r="G276" s="157" t="n">
        <v>44.2</v>
      </c>
      <c r="H276" s="157" t="n">
        <v>9506</v>
      </c>
      <c r="I276" s="457" t="n">
        <v>0</v>
      </c>
      <c r="J276" s="458" t="n">
        <v>10073</v>
      </c>
      <c r="K276" s="167" t="n">
        <v>4.16956219596942</v>
      </c>
      <c r="L276" s="175" t="n">
        <v>0</v>
      </c>
      <c r="M276" s="175" t="n">
        <v>0.0709761904761905</v>
      </c>
      <c r="N276" s="157" t="n">
        <v>1973</v>
      </c>
      <c r="O276" s="157" t="n">
        <v>2805</v>
      </c>
      <c r="P276" s="157" t="n">
        <v>0</v>
      </c>
      <c r="Q276" s="157" t="n">
        <v>12</v>
      </c>
      <c r="R276" s="157" t="n">
        <v>1</v>
      </c>
      <c r="S276" s="157" t="n">
        <v>1</v>
      </c>
      <c r="T276" s="457" t="s">
        <v>6680</v>
      </c>
      <c r="U276" s="157" t="n">
        <v>398</v>
      </c>
      <c r="V276" s="458" t="n">
        <v>12500</v>
      </c>
      <c r="W276" s="458" t="n">
        <v>13000</v>
      </c>
      <c r="X276" s="445" t="s">
        <v>6900</v>
      </c>
      <c r="Y276" s="458" t="n">
        <v>10000</v>
      </c>
      <c r="Z276" s="457" t="s">
        <v>6638</v>
      </c>
      <c r="AD276" s="157" t="s">
        <v>7501</v>
      </c>
      <c r="AK276" s="459" t="s">
        <v>7502</v>
      </c>
    </row>
    <row r="277" s="157" customFormat="true" ht="12.75" hidden="false" customHeight="true" outlineLevel="0" collapsed="false">
      <c r="A277" s="456" t="n">
        <v>6</v>
      </c>
      <c r="B277" s="157" t="n">
        <v>271</v>
      </c>
      <c r="C277" s="157" t="s">
        <v>6633</v>
      </c>
      <c r="D277" s="157" t="s">
        <v>7503</v>
      </c>
      <c r="E277" s="457" t="s">
        <v>2461</v>
      </c>
      <c r="F277" s="157" t="s">
        <v>7504</v>
      </c>
      <c r="G277" s="157" t="n">
        <v>44.2</v>
      </c>
      <c r="H277" s="157" t="n">
        <v>9506</v>
      </c>
      <c r="I277" s="457" t="n">
        <v>0</v>
      </c>
      <c r="J277" s="458" t="n">
        <v>12000</v>
      </c>
      <c r="K277" s="167" t="n">
        <v>6.625</v>
      </c>
      <c r="L277" s="175" t="n">
        <v>0.17</v>
      </c>
      <c r="M277" s="175" t="n">
        <v>0.0896603773584906</v>
      </c>
      <c r="N277" s="157" t="n">
        <v>1973</v>
      </c>
      <c r="O277" s="157" t="n">
        <v>1440</v>
      </c>
      <c r="P277" s="157" t="n">
        <v>0</v>
      </c>
      <c r="Q277" s="157" t="n">
        <v>14</v>
      </c>
      <c r="R277" s="157" t="n">
        <v>1</v>
      </c>
      <c r="S277" s="157" t="n">
        <v>1</v>
      </c>
      <c r="T277" s="457" t="s">
        <v>6680</v>
      </c>
      <c r="U277" s="157" t="n">
        <v>398</v>
      </c>
      <c r="V277" s="458" t="n">
        <v>18750</v>
      </c>
      <c r="W277" s="458" t="n">
        <v>19000</v>
      </c>
      <c r="X277" s="445" t="s">
        <v>6668</v>
      </c>
      <c r="Y277" s="458" t="n">
        <v>12000</v>
      </c>
      <c r="Z277" s="457" t="s">
        <v>6638</v>
      </c>
      <c r="AK277" s="459"/>
    </row>
    <row r="278" s="157" customFormat="true" ht="12.75" hidden="false" customHeight="true" outlineLevel="0" collapsed="false">
      <c r="A278" s="456" t="n">
        <v>6</v>
      </c>
      <c r="B278" s="157" t="n">
        <v>272</v>
      </c>
      <c r="C278" s="157" t="s">
        <v>6633</v>
      </c>
      <c r="D278" s="157" t="s">
        <v>7505</v>
      </c>
      <c r="E278" s="457" t="s">
        <v>2461</v>
      </c>
      <c r="F278" s="157" t="s">
        <v>7506</v>
      </c>
      <c r="G278" s="157" t="n">
        <v>47.1</v>
      </c>
      <c r="H278" s="157" t="n">
        <v>9603</v>
      </c>
      <c r="I278" s="457" t="n">
        <v>0</v>
      </c>
      <c r="J278" s="458" t="n">
        <v>42392</v>
      </c>
      <c r="K278" s="167" t="n">
        <v>3.46666666666667</v>
      </c>
      <c r="L278" s="175" t="n">
        <v>0</v>
      </c>
      <c r="M278" s="175" t="n">
        <v>0</v>
      </c>
      <c r="N278" s="157" t="n">
        <v>1982</v>
      </c>
      <c r="O278" s="157" t="n">
        <v>10323</v>
      </c>
      <c r="P278" s="157" t="n">
        <v>0</v>
      </c>
      <c r="Q278" s="157" t="n">
        <v>13</v>
      </c>
      <c r="R278" s="157" t="n">
        <v>10</v>
      </c>
      <c r="S278" s="157" t="n">
        <v>1</v>
      </c>
      <c r="T278" s="457" t="s">
        <v>6680</v>
      </c>
      <c r="U278" s="157" t="n">
        <v>401</v>
      </c>
      <c r="V278" s="458" t="n">
        <v>83665</v>
      </c>
      <c r="W278" s="458" t="n">
        <v>84000</v>
      </c>
      <c r="X278" s="445" t="s">
        <v>6767</v>
      </c>
      <c r="Y278" s="458" t="n">
        <v>42000</v>
      </c>
      <c r="Z278" s="457" t="s">
        <v>6638</v>
      </c>
      <c r="AD278" s="157" t="s">
        <v>7507</v>
      </c>
      <c r="AK278" s="459"/>
    </row>
    <row r="279" s="157" customFormat="true" ht="12.75" hidden="false" customHeight="true" outlineLevel="0" collapsed="false">
      <c r="A279" s="456" t="n">
        <v>6</v>
      </c>
      <c r="B279" s="157" t="n">
        <v>273</v>
      </c>
      <c r="C279" s="157" t="s">
        <v>6633</v>
      </c>
      <c r="D279" s="157" t="s">
        <v>7508</v>
      </c>
      <c r="E279" s="457" t="s">
        <v>2461</v>
      </c>
      <c r="F279" s="157" t="s">
        <v>7509</v>
      </c>
      <c r="G279" s="157" t="n">
        <v>44.1</v>
      </c>
      <c r="H279" s="157" t="n">
        <v>9603</v>
      </c>
      <c r="I279" s="457" t="n">
        <v>7</v>
      </c>
      <c r="J279" s="458" t="n">
        <v>25804</v>
      </c>
      <c r="K279" s="167" t="n">
        <v>6.43993179352038</v>
      </c>
      <c r="L279" s="175" t="n">
        <v>0</v>
      </c>
      <c r="M279" s="175" t="n">
        <v>0</v>
      </c>
      <c r="N279" s="157" t="n">
        <v>1974</v>
      </c>
      <c r="O279" s="157" t="n">
        <v>0</v>
      </c>
      <c r="P279" s="157" t="n">
        <v>7752</v>
      </c>
      <c r="Q279" s="157" t="n">
        <v>16</v>
      </c>
      <c r="R279" s="157" t="n">
        <v>7</v>
      </c>
      <c r="S279" s="157" t="n">
        <v>1</v>
      </c>
      <c r="T279" s="457" t="s">
        <v>6636</v>
      </c>
      <c r="U279" s="157" t="n">
        <v>398</v>
      </c>
      <c r="V279" s="458" t="n">
        <v>51719</v>
      </c>
      <c r="W279" s="458" t="n">
        <v>52000</v>
      </c>
      <c r="X279" s="445" t="s">
        <v>6767</v>
      </c>
      <c r="Y279" s="458" t="n">
        <v>26000</v>
      </c>
      <c r="Z279" s="457" t="s">
        <v>6638</v>
      </c>
      <c r="AD279" s="157" t="s">
        <v>7510</v>
      </c>
      <c r="AK279" s="459"/>
    </row>
    <row r="280" s="157" customFormat="true" ht="12.75" hidden="false" customHeight="true" outlineLevel="0" collapsed="false">
      <c r="A280" s="456" t="n">
        <v>6</v>
      </c>
      <c r="B280" s="157" t="n">
        <v>274</v>
      </c>
      <c r="C280" s="157" t="s">
        <v>6633</v>
      </c>
      <c r="D280" s="157" t="s">
        <v>7511</v>
      </c>
      <c r="E280" s="457" t="s">
        <v>2461</v>
      </c>
      <c r="F280" s="157" t="s">
        <v>7512</v>
      </c>
      <c r="G280" s="157" t="n">
        <v>44.1</v>
      </c>
      <c r="H280" s="157" t="n">
        <v>9603</v>
      </c>
      <c r="I280" s="457" t="n">
        <v>0</v>
      </c>
      <c r="J280" s="458" t="n">
        <v>12244</v>
      </c>
      <c r="K280" s="167" t="n">
        <v>7.35053903952957</v>
      </c>
      <c r="L280" s="175" t="n">
        <v>0.3</v>
      </c>
      <c r="M280" s="175" t="n">
        <v>0</v>
      </c>
      <c r="N280" s="157" t="n">
        <v>1960</v>
      </c>
      <c r="O280" s="157" t="n">
        <v>5891</v>
      </c>
      <c r="P280" s="157" t="n">
        <v>0</v>
      </c>
      <c r="Q280" s="157" t="n">
        <v>13</v>
      </c>
      <c r="R280" s="157" t="n">
        <v>13</v>
      </c>
      <c r="S280" s="157" t="n">
        <v>1</v>
      </c>
      <c r="T280" s="457" t="s">
        <v>6636</v>
      </c>
      <c r="U280" s="157" t="n">
        <v>398</v>
      </c>
      <c r="V280" s="458" t="n">
        <v>43775</v>
      </c>
      <c r="W280" s="458" t="n">
        <v>44000</v>
      </c>
      <c r="X280" s="445" t="s">
        <v>7012</v>
      </c>
      <c r="Y280" s="458" t="n">
        <v>12000</v>
      </c>
      <c r="Z280" s="457" t="s">
        <v>6638</v>
      </c>
      <c r="AD280" s="157" t="s">
        <v>7513</v>
      </c>
      <c r="AK280" s="459" t="s">
        <v>6665</v>
      </c>
    </row>
    <row r="281" s="157" customFormat="true" ht="12.75" hidden="false" customHeight="true" outlineLevel="0" collapsed="false">
      <c r="A281" s="456" t="n">
        <v>6</v>
      </c>
      <c r="B281" s="157" t="n">
        <v>275</v>
      </c>
      <c r="C281" s="157" t="s">
        <v>6633</v>
      </c>
      <c r="D281" s="157" t="s">
        <v>7514</v>
      </c>
      <c r="E281" s="457" t="s">
        <v>2461</v>
      </c>
      <c r="F281" s="157" t="s">
        <v>7515</v>
      </c>
      <c r="G281" s="157" t="n">
        <v>44.2</v>
      </c>
      <c r="H281" s="157" t="n">
        <v>9603</v>
      </c>
      <c r="I281" s="457" t="n">
        <v>0</v>
      </c>
      <c r="J281" s="458" t="n">
        <v>4777</v>
      </c>
      <c r="K281" s="167" t="n">
        <v>8.13899937199079</v>
      </c>
      <c r="L281" s="175" t="n">
        <v>0</v>
      </c>
      <c r="M281" s="175" t="n">
        <v>0.0607510288065844</v>
      </c>
      <c r="N281" s="157" t="n">
        <v>1957</v>
      </c>
      <c r="O281" s="157" t="n">
        <v>1537</v>
      </c>
      <c r="P281" s="157" t="n">
        <v>0</v>
      </c>
      <c r="Q281" s="157" t="n">
        <v>10</v>
      </c>
      <c r="R281" s="157" t="n">
        <v>13</v>
      </c>
      <c r="S281" s="157" t="n">
        <v>1</v>
      </c>
      <c r="T281" s="457" t="s">
        <v>6636</v>
      </c>
      <c r="U281" s="157" t="n">
        <v>398</v>
      </c>
      <c r="V281" s="458" t="n">
        <v>16345</v>
      </c>
      <c r="W281" s="458" t="n">
        <v>16000</v>
      </c>
      <c r="X281" s="445" t="s">
        <v>7065</v>
      </c>
      <c r="Y281" s="458" t="n">
        <v>5000</v>
      </c>
      <c r="Z281" s="457" t="s">
        <v>6638</v>
      </c>
      <c r="AD281" s="157" t="s">
        <v>7516</v>
      </c>
      <c r="AK281" s="459" t="s">
        <v>6665</v>
      </c>
    </row>
    <row r="282" s="157" customFormat="true" ht="25.5" hidden="false" customHeight="true" outlineLevel="0" collapsed="false">
      <c r="A282" s="456" t="n">
        <v>6</v>
      </c>
      <c r="B282" s="157" t="n">
        <v>276</v>
      </c>
      <c r="C282" s="157" t="s">
        <v>6633</v>
      </c>
      <c r="D282" s="157" t="s">
        <v>7517</v>
      </c>
      <c r="E282" s="457" t="s">
        <v>2461</v>
      </c>
      <c r="F282" s="157" t="s">
        <v>7518</v>
      </c>
      <c r="G282" s="157" t="n">
        <v>44.1</v>
      </c>
      <c r="H282" s="157" t="n">
        <v>9603</v>
      </c>
      <c r="I282" s="457" t="n">
        <v>0</v>
      </c>
      <c r="J282" s="458" t="n">
        <v>19806</v>
      </c>
      <c r="K282" s="167" t="n">
        <v>10.53589958159</v>
      </c>
      <c r="L282" s="175" t="n">
        <v>0.26</v>
      </c>
      <c r="M282" s="175" t="n">
        <v>0</v>
      </c>
      <c r="N282" s="157" t="n">
        <v>1970</v>
      </c>
      <c r="O282" s="157" t="n">
        <v>1211</v>
      </c>
      <c r="P282" s="157" t="n">
        <v>2984</v>
      </c>
      <c r="Q282" s="157" t="n">
        <v>14</v>
      </c>
      <c r="R282" s="157" t="n">
        <v>1</v>
      </c>
      <c r="S282" s="157" t="n">
        <v>2</v>
      </c>
      <c r="T282" s="457" t="s">
        <v>6636</v>
      </c>
      <c r="U282" s="157" t="n">
        <v>398</v>
      </c>
      <c r="V282" s="458" t="n">
        <v>39818</v>
      </c>
      <c r="W282" s="458" t="n">
        <v>40000</v>
      </c>
      <c r="X282" s="445" t="s">
        <v>6767</v>
      </c>
      <c r="Y282" s="458" t="n">
        <v>20000</v>
      </c>
      <c r="Z282" s="457" t="s">
        <v>6638</v>
      </c>
      <c r="AD282" s="157" t="s">
        <v>7519</v>
      </c>
      <c r="AK282" s="459" t="s">
        <v>7520</v>
      </c>
    </row>
    <row r="283" s="157" customFormat="true" ht="12.75" hidden="false" customHeight="true" outlineLevel="0" collapsed="false">
      <c r="A283" s="456" t="n">
        <v>6</v>
      </c>
      <c r="B283" s="157" t="n">
        <v>277</v>
      </c>
      <c r="C283" s="157" t="s">
        <v>6633</v>
      </c>
      <c r="D283" s="157" t="s">
        <v>7521</v>
      </c>
      <c r="E283" s="457" t="s">
        <v>2461</v>
      </c>
      <c r="F283" s="157" t="s">
        <v>7522</v>
      </c>
      <c r="G283" s="157" t="n">
        <v>44.1</v>
      </c>
      <c r="H283" s="157" t="n">
        <v>9603</v>
      </c>
      <c r="I283" s="457" t="n">
        <v>0</v>
      </c>
      <c r="J283" s="458" t="n">
        <v>15347</v>
      </c>
      <c r="K283" s="167" t="n">
        <v>10.1648530657458</v>
      </c>
      <c r="L283" s="175" t="n">
        <v>0</v>
      </c>
      <c r="M283" s="175" t="n">
        <v>0</v>
      </c>
      <c r="N283" s="157" t="n">
        <v>1977</v>
      </c>
      <c r="O283" s="157" t="n">
        <v>2532</v>
      </c>
      <c r="P283" s="157" t="n">
        <v>0</v>
      </c>
      <c r="Q283" s="157" t="n">
        <v>18</v>
      </c>
      <c r="R283" s="157" t="n">
        <v>1</v>
      </c>
      <c r="S283" s="157" t="n">
        <v>1</v>
      </c>
      <c r="T283" s="457" t="s">
        <v>6636</v>
      </c>
      <c r="U283" s="157" t="n">
        <v>398</v>
      </c>
      <c r="V283" s="458" t="n">
        <v>29232</v>
      </c>
      <c r="W283" s="458" t="n">
        <v>29000</v>
      </c>
      <c r="X283" s="445" t="s">
        <v>6675</v>
      </c>
      <c r="Y283" s="458" t="n">
        <v>15000</v>
      </c>
      <c r="Z283" s="457" t="s">
        <v>6638</v>
      </c>
      <c r="AK283" s="459" t="s">
        <v>6661</v>
      </c>
    </row>
    <row r="284" customFormat="false" ht="12.75" hidden="false" customHeight="true" outlineLevel="0" collapsed="false">
      <c r="A284" s="441" t="n">
        <v>6</v>
      </c>
      <c r="B284" s="157" t="n">
        <v>324</v>
      </c>
      <c r="C284" s="437" t="s">
        <v>7523</v>
      </c>
      <c r="D284" s="157" t="s">
        <v>7524</v>
      </c>
      <c r="E284" s="461" t="s">
        <v>2461</v>
      </c>
      <c r="F284" s="157" t="s">
        <v>7525</v>
      </c>
      <c r="G284" s="431" t="n">
        <v>44.1</v>
      </c>
      <c r="H284" s="431" t="n">
        <v>9101</v>
      </c>
      <c r="I284" s="457" t="n">
        <v>0</v>
      </c>
      <c r="J284" s="458" t="n">
        <v>45583</v>
      </c>
      <c r="K284" s="462" t="n">
        <v>4.87313252747735</v>
      </c>
      <c r="L284" s="463" t="n">
        <v>0</v>
      </c>
      <c r="M284" s="463" t="n">
        <v>0.108043865809519</v>
      </c>
      <c r="N284" s="431" t="n">
        <v>1959</v>
      </c>
      <c r="O284" s="446" t="n">
        <v>5531</v>
      </c>
      <c r="Q284" s="157" t="n">
        <v>14</v>
      </c>
      <c r="R284" s="157" t="n">
        <v>1</v>
      </c>
      <c r="S284" s="157" t="n">
        <v>1</v>
      </c>
      <c r="T284" s="457" t="s">
        <v>7526</v>
      </c>
      <c r="U284" s="457" t="n">
        <v>398</v>
      </c>
      <c r="V284" s="458" t="n">
        <v>100759</v>
      </c>
      <c r="W284" s="458" t="n">
        <v>101000</v>
      </c>
      <c r="X284" s="464" t="s">
        <v>6700</v>
      </c>
      <c r="Y284" s="458" t="n">
        <v>46000</v>
      </c>
      <c r="Z284" s="457" t="s">
        <v>6638</v>
      </c>
      <c r="AC284" s="431"/>
      <c r="AD284" s="437"/>
      <c r="AE284" s="167"/>
      <c r="AF284" s="167"/>
      <c r="AG284" s="167"/>
      <c r="AH284" s="167"/>
      <c r="AI284" s="167"/>
      <c r="AJ284" s="167"/>
      <c r="AK284" s="465" t="s">
        <v>7527</v>
      </c>
      <c r="AM284" s="157"/>
    </row>
    <row r="285" customFormat="false" ht="12.75" hidden="false" customHeight="true" outlineLevel="0" collapsed="false">
      <c r="A285" s="441" t="n">
        <v>6</v>
      </c>
      <c r="B285" s="157" t="n">
        <v>326</v>
      </c>
      <c r="C285" s="437" t="s">
        <v>7523</v>
      </c>
      <c r="D285" s="157" t="s">
        <v>6838</v>
      </c>
      <c r="E285" s="461" t="s">
        <v>2461</v>
      </c>
      <c r="F285" s="157" t="s">
        <v>7528</v>
      </c>
      <c r="G285" s="431" t="n">
        <v>44.1</v>
      </c>
      <c r="H285" s="431" t="n">
        <v>9101</v>
      </c>
      <c r="I285" s="457" t="n">
        <v>0</v>
      </c>
      <c r="J285" s="458" t="n">
        <v>29376</v>
      </c>
      <c r="K285" s="462" t="n">
        <v>4.04207516339869</v>
      </c>
      <c r="L285" s="463" t="n">
        <v>0</v>
      </c>
      <c r="M285" s="463" t="n">
        <v>0</v>
      </c>
      <c r="N285" s="431" t="n">
        <v>1971</v>
      </c>
      <c r="O285" s="446" t="n">
        <v>5421</v>
      </c>
      <c r="Q285" s="157" t="n">
        <v>22</v>
      </c>
      <c r="R285" s="157" t="n">
        <v>10</v>
      </c>
      <c r="S285" s="157" t="n">
        <v>1</v>
      </c>
      <c r="T285" s="457" t="s">
        <v>7529</v>
      </c>
      <c r="U285" s="457" t="n">
        <v>398</v>
      </c>
      <c r="V285" s="458" t="n">
        <v>61218</v>
      </c>
      <c r="W285" s="458" t="n">
        <v>61000</v>
      </c>
      <c r="X285" s="464" t="s">
        <v>6754</v>
      </c>
      <c r="Y285" s="458" t="n">
        <v>29000</v>
      </c>
      <c r="Z285" s="457" t="s">
        <v>6638</v>
      </c>
      <c r="AC285" s="431"/>
      <c r="AD285" s="437"/>
      <c r="AE285" s="167"/>
      <c r="AF285" s="167"/>
      <c r="AG285" s="167"/>
      <c r="AH285" s="167"/>
      <c r="AI285" s="167"/>
      <c r="AJ285" s="167"/>
      <c r="AK285" s="465"/>
      <c r="AL285" s="167"/>
      <c r="AM285" s="167"/>
      <c r="AN285" s="167"/>
      <c r="AO285" s="167"/>
      <c r="AP285" s="167"/>
    </row>
    <row r="286" customFormat="false" ht="12.75" hidden="false" customHeight="true" outlineLevel="0" collapsed="false">
      <c r="A286" s="441" t="n">
        <v>6</v>
      </c>
      <c r="B286" s="157" t="n">
        <v>327</v>
      </c>
      <c r="C286" s="437" t="s">
        <v>7523</v>
      </c>
      <c r="D286" s="157" t="s">
        <v>6840</v>
      </c>
      <c r="E286" s="461" t="s">
        <v>2461</v>
      </c>
      <c r="F286" s="157" t="s">
        <v>7530</v>
      </c>
      <c r="G286" s="445" t="n">
        <v>44.6</v>
      </c>
      <c r="H286" s="431" t="n">
        <v>9101</v>
      </c>
      <c r="I286" s="457" t="n">
        <v>0</v>
      </c>
      <c r="J286" s="458" t="n">
        <v>27000</v>
      </c>
      <c r="K286" s="462" t="n">
        <v>6.66666666666667</v>
      </c>
      <c r="L286" s="463" t="n">
        <v>0</v>
      </c>
      <c r="M286" s="463" t="n">
        <v>0.0705555555555556</v>
      </c>
      <c r="N286" s="431" t="n">
        <v>1982</v>
      </c>
      <c r="O286" s="446" t="n">
        <v>9601</v>
      </c>
      <c r="Q286" s="157" t="n">
        <v>30</v>
      </c>
      <c r="R286" s="157" t="n">
        <v>14</v>
      </c>
      <c r="S286" s="157" t="n">
        <v>1</v>
      </c>
      <c r="T286" s="457" t="s">
        <v>7531</v>
      </c>
      <c r="U286" s="457" t="n">
        <v>398</v>
      </c>
      <c r="V286" s="458" t="n">
        <v>129650</v>
      </c>
      <c r="W286" s="458" t="n">
        <v>130000</v>
      </c>
      <c r="X286" s="464" t="s">
        <v>6754</v>
      </c>
      <c r="Y286" s="458" t="n">
        <v>27000</v>
      </c>
      <c r="Z286" s="457" t="s">
        <v>6638</v>
      </c>
      <c r="AC286" s="431"/>
      <c r="AD286" s="437" t="s">
        <v>6842</v>
      </c>
      <c r="AE286" s="167"/>
      <c r="AF286" s="167"/>
      <c r="AG286" s="167"/>
      <c r="AH286" s="167"/>
      <c r="AI286" s="167"/>
      <c r="AJ286" s="167"/>
      <c r="AK286" s="465" t="s">
        <v>7532</v>
      </c>
      <c r="AM286" s="157"/>
    </row>
    <row r="287" customFormat="false" ht="25.5" hidden="false" customHeight="true" outlineLevel="0" collapsed="false">
      <c r="A287" s="441" t="n">
        <v>7</v>
      </c>
      <c r="B287" s="157" t="n">
        <v>278</v>
      </c>
      <c r="C287" s="437" t="s">
        <v>7523</v>
      </c>
      <c r="D287" s="157" t="s">
        <v>7533</v>
      </c>
      <c r="E287" s="461" t="s">
        <v>2461</v>
      </c>
      <c r="F287" s="157" t="s">
        <v>7534</v>
      </c>
      <c r="G287" s="445" t="n">
        <v>44.5</v>
      </c>
      <c r="H287" s="431" t="n">
        <v>9102</v>
      </c>
      <c r="I287" s="457" t="n">
        <v>0</v>
      </c>
      <c r="J287" s="458" t="n">
        <v>59778</v>
      </c>
      <c r="K287" s="462" t="n">
        <v>7.37801532336311</v>
      </c>
      <c r="L287" s="463" t="n">
        <v>0</v>
      </c>
      <c r="M287" s="463" t="n">
        <v>0.260548291209701</v>
      </c>
      <c r="N287" s="431" t="n">
        <v>2000</v>
      </c>
      <c r="O287" s="446" t="n">
        <v>2588</v>
      </c>
      <c r="Q287" s="157" t="n">
        <v>9</v>
      </c>
      <c r="R287" s="157" t="n">
        <v>3</v>
      </c>
      <c r="S287" s="157" t="n">
        <v>1</v>
      </c>
      <c r="T287" s="457" t="s">
        <v>7535</v>
      </c>
      <c r="U287" s="457" t="n">
        <v>396</v>
      </c>
      <c r="V287" s="458" t="n">
        <v>223537</v>
      </c>
      <c r="W287" s="458" t="n">
        <v>220000</v>
      </c>
      <c r="X287" s="464" t="s">
        <v>6717</v>
      </c>
      <c r="Y287" s="458" t="n">
        <v>60000</v>
      </c>
      <c r="Z287" s="457" t="s">
        <v>6638</v>
      </c>
      <c r="AC287" s="431"/>
      <c r="AD287" s="437" t="s">
        <v>7536</v>
      </c>
      <c r="AE287" s="167"/>
      <c r="AF287" s="167"/>
      <c r="AG287" s="167"/>
      <c r="AH287" s="167"/>
      <c r="AI287" s="167"/>
      <c r="AJ287" s="167"/>
      <c r="AK287" s="465" t="s">
        <v>7537</v>
      </c>
      <c r="AM287" s="157"/>
    </row>
    <row r="288" customFormat="false" ht="12.75" hidden="false" customHeight="true" outlineLevel="0" collapsed="false">
      <c r="A288" s="441" t="n">
        <v>7</v>
      </c>
      <c r="B288" s="157" t="n">
        <v>279</v>
      </c>
      <c r="C288" s="437" t="s">
        <v>7538</v>
      </c>
      <c r="D288" s="157" t="s">
        <v>7539</v>
      </c>
      <c r="E288" s="457" t="s">
        <v>2461</v>
      </c>
      <c r="F288" s="157" t="s">
        <v>7540</v>
      </c>
      <c r="G288" s="466" t="s">
        <v>7541</v>
      </c>
      <c r="H288" s="157" t="n">
        <v>9102</v>
      </c>
      <c r="I288" s="457" t="n">
        <v>0</v>
      </c>
      <c r="J288" s="446" t="n">
        <v>172400</v>
      </c>
      <c r="K288" s="176" t="n">
        <v>3.5</v>
      </c>
      <c r="L288" s="175" t="n">
        <v>0</v>
      </c>
      <c r="M288" s="175" t="n">
        <v>0.05</v>
      </c>
      <c r="N288" s="157" t="n">
        <v>1986</v>
      </c>
      <c r="O288" s="446" t="n">
        <v>2232</v>
      </c>
      <c r="Q288" s="157" t="n">
        <v>28</v>
      </c>
      <c r="R288" s="157" t="n">
        <v>14</v>
      </c>
      <c r="S288" s="157" t="n">
        <v>1</v>
      </c>
      <c r="T288" s="457" t="s">
        <v>7542</v>
      </c>
      <c r="U288" s="157" t="n">
        <v>398</v>
      </c>
      <c r="V288" s="446" t="n">
        <v>311752</v>
      </c>
      <c r="W288" s="446" t="n">
        <f aca="false">MROUND(V288,1000)</f>
        <v>312000</v>
      </c>
      <c r="X288" s="431" t="s">
        <v>6863</v>
      </c>
      <c r="Y288" s="446" t="n">
        <f aca="false">MROUND(J288,1000)</f>
        <v>172000</v>
      </c>
      <c r="Z288" s="457" t="s">
        <v>463</v>
      </c>
      <c r="AA288" s="157" t="n">
        <v>3</v>
      </c>
      <c r="AB288" s="157" t="n">
        <v>3</v>
      </c>
      <c r="AC288" s="157" t="n">
        <v>33</v>
      </c>
      <c r="AD288" s="157" t="s">
        <v>7543</v>
      </c>
      <c r="AE288" s="430"/>
      <c r="AF288" s="467"/>
      <c r="AG288" s="467"/>
      <c r="AH288" s="431"/>
      <c r="AI288" s="437"/>
      <c r="AJ288" s="167"/>
      <c r="AK288" s="167"/>
      <c r="AM288" s="157"/>
    </row>
    <row r="289" customFormat="false" ht="25.5" hidden="false" customHeight="true" outlineLevel="0" collapsed="false">
      <c r="A289" s="441" t="n">
        <v>7</v>
      </c>
      <c r="B289" s="157" t="n">
        <v>280</v>
      </c>
      <c r="C289" s="437" t="s">
        <v>7523</v>
      </c>
      <c r="D289" s="157" t="s">
        <v>7544</v>
      </c>
      <c r="E289" s="461" t="s">
        <v>2461</v>
      </c>
      <c r="F289" s="157" t="s">
        <v>7545</v>
      </c>
      <c r="G289" s="445" t="n">
        <v>44.4</v>
      </c>
      <c r="H289" s="431" t="n">
        <v>9102</v>
      </c>
      <c r="I289" s="457" t="n">
        <v>0</v>
      </c>
      <c r="J289" s="458" t="n">
        <v>168112</v>
      </c>
      <c r="K289" s="462" t="n">
        <v>3.22</v>
      </c>
      <c r="L289" s="463" t="n">
        <v>0.35</v>
      </c>
      <c r="M289" s="463" t="n">
        <v>0.053153924687181</v>
      </c>
      <c r="N289" s="431" t="n">
        <v>1985</v>
      </c>
      <c r="O289" s="446" t="n">
        <v>9741</v>
      </c>
      <c r="Q289" s="157" t="n">
        <v>20</v>
      </c>
      <c r="R289" s="157" t="n">
        <v>4</v>
      </c>
      <c r="S289" s="157" t="n">
        <v>5</v>
      </c>
      <c r="T289" s="457" t="s">
        <v>7531</v>
      </c>
      <c r="U289" s="457" t="n">
        <v>398</v>
      </c>
      <c r="V289" s="458" t="n">
        <v>339340</v>
      </c>
      <c r="W289" s="458" t="n">
        <v>340000</v>
      </c>
      <c r="X289" s="464" t="s">
        <v>7546</v>
      </c>
      <c r="Y289" s="458" t="n">
        <v>170000</v>
      </c>
      <c r="Z289" s="457" t="s">
        <v>6638</v>
      </c>
      <c r="AC289" s="431"/>
      <c r="AD289" s="437" t="s">
        <v>7547</v>
      </c>
      <c r="AE289" s="167"/>
      <c r="AF289" s="167"/>
      <c r="AG289" s="167"/>
      <c r="AH289" s="167"/>
      <c r="AI289" s="167"/>
      <c r="AJ289" s="167"/>
      <c r="AK289" s="465" t="s">
        <v>7548</v>
      </c>
      <c r="AM289" s="157"/>
    </row>
    <row r="290" customFormat="false" ht="12.75" hidden="false" customHeight="true" outlineLevel="0" collapsed="false">
      <c r="A290" s="441" t="n">
        <v>7</v>
      </c>
      <c r="B290" s="157" t="n">
        <v>281</v>
      </c>
      <c r="C290" s="437" t="s">
        <v>7523</v>
      </c>
      <c r="D290" s="157" t="s">
        <v>7549</v>
      </c>
      <c r="E290" s="461" t="s">
        <v>2461</v>
      </c>
      <c r="F290" s="157" t="s">
        <v>7550</v>
      </c>
      <c r="G290" s="445" t="n">
        <v>44.2</v>
      </c>
      <c r="H290" s="431" t="n">
        <v>9102</v>
      </c>
      <c r="I290" s="457" t="n">
        <v>0</v>
      </c>
      <c r="J290" s="458" t="n">
        <v>20230</v>
      </c>
      <c r="K290" s="462" t="n">
        <v>4.71502718734553</v>
      </c>
      <c r="L290" s="463" t="n">
        <v>0</v>
      </c>
      <c r="M290" s="463" t="n">
        <v>0.036693400429837</v>
      </c>
      <c r="N290" s="431" t="n">
        <v>1984</v>
      </c>
      <c r="O290" s="446" t="n">
        <v>2195</v>
      </c>
      <c r="Q290" s="157" t="n">
        <v>22</v>
      </c>
      <c r="R290" s="157" t="n">
        <v>4</v>
      </c>
      <c r="S290" s="157" t="n">
        <v>1</v>
      </c>
      <c r="T290" s="457" t="s">
        <v>7531</v>
      </c>
      <c r="U290" s="457" t="n">
        <v>398</v>
      </c>
      <c r="V290" s="458" t="n">
        <v>45956</v>
      </c>
      <c r="W290" s="458" t="n">
        <v>46000</v>
      </c>
      <c r="X290" s="464" t="s">
        <v>6646</v>
      </c>
      <c r="Y290" s="458" t="n">
        <v>20000</v>
      </c>
      <c r="Z290" s="457" t="s">
        <v>6638</v>
      </c>
      <c r="AC290" s="431"/>
      <c r="AD290" s="437" t="s">
        <v>7551</v>
      </c>
      <c r="AE290" s="167"/>
      <c r="AF290" s="167"/>
      <c r="AG290" s="167"/>
      <c r="AH290" s="167"/>
      <c r="AI290" s="167"/>
      <c r="AJ290" s="167"/>
      <c r="AK290" s="465" t="s">
        <v>7527</v>
      </c>
      <c r="AM290" s="157"/>
    </row>
    <row r="291" customFormat="false" ht="12.75" hidden="false" customHeight="true" outlineLevel="0" collapsed="false">
      <c r="A291" s="441" t="n">
        <v>7</v>
      </c>
      <c r="B291" s="157" t="n">
        <v>282</v>
      </c>
      <c r="C291" s="437" t="s">
        <v>7523</v>
      </c>
      <c r="D291" s="157" t="s">
        <v>6648</v>
      </c>
      <c r="E291" s="461" t="s">
        <v>2461</v>
      </c>
      <c r="F291" s="157" t="s">
        <v>7552</v>
      </c>
      <c r="G291" s="445" t="n">
        <v>44.2</v>
      </c>
      <c r="H291" s="431" t="n">
        <v>9102</v>
      </c>
      <c r="I291" s="457" t="n">
        <v>0</v>
      </c>
      <c r="J291" s="458" t="n">
        <v>37012</v>
      </c>
      <c r="K291" s="462" t="n">
        <v>5.71457905544148</v>
      </c>
      <c r="L291" s="463" t="n">
        <v>0.4</v>
      </c>
      <c r="M291" s="463" t="n">
        <v>0.00555061747073397</v>
      </c>
      <c r="N291" s="431" t="n">
        <v>1999</v>
      </c>
      <c r="O291" s="446" t="n">
        <v>4485</v>
      </c>
      <c r="Q291" s="157" t="n">
        <v>25</v>
      </c>
      <c r="R291" s="157" t="n">
        <v>14</v>
      </c>
      <c r="S291" s="157" t="n">
        <v>5</v>
      </c>
      <c r="T291" s="457" t="s">
        <v>7531</v>
      </c>
      <c r="U291" s="457" t="n">
        <v>398</v>
      </c>
      <c r="V291" s="458" t="n">
        <v>87567</v>
      </c>
      <c r="W291" s="458" t="n">
        <v>88000</v>
      </c>
      <c r="X291" s="464" t="s">
        <v>6650</v>
      </c>
      <c r="Y291" s="458" t="n">
        <v>37000</v>
      </c>
      <c r="Z291" s="457" t="s">
        <v>6638</v>
      </c>
      <c r="AC291" s="431"/>
      <c r="AD291" s="437" t="s">
        <v>6651</v>
      </c>
      <c r="AE291" s="167"/>
      <c r="AF291" s="167"/>
      <c r="AG291" s="167"/>
      <c r="AH291" s="167"/>
      <c r="AI291" s="167"/>
      <c r="AJ291" s="167"/>
      <c r="AK291" s="465"/>
      <c r="AM291" s="157"/>
    </row>
    <row r="292" customFormat="false" ht="25.5" hidden="false" customHeight="true" outlineLevel="0" collapsed="false">
      <c r="A292" s="441" t="n">
        <v>7</v>
      </c>
      <c r="B292" s="157" t="n">
        <v>283</v>
      </c>
      <c r="C292" s="437" t="s">
        <v>7523</v>
      </c>
      <c r="D292" s="157" t="s">
        <v>7553</v>
      </c>
      <c r="E292" s="461" t="s">
        <v>2461</v>
      </c>
      <c r="F292" s="157" t="s">
        <v>7554</v>
      </c>
      <c r="G292" s="445" t="n">
        <v>44.2</v>
      </c>
      <c r="H292" s="431" t="n">
        <v>9102</v>
      </c>
      <c r="I292" s="457" t="n">
        <v>0</v>
      </c>
      <c r="J292" s="458" t="n">
        <v>24000</v>
      </c>
      <c r="K292" s="462" t="n">
        <v>3.75833333333333</v>
      </c>
      <c r="L292" s="463" t="n">
        <v>0</v>
      </c>
      <c r="M292" s="463" t="n">
        <v>0.331740576496674</v>
      </c>
      <c r="N292" s="431" t="n">
        <v>1973</v>
      </c>
      <c r="O292" s="446" t="n">
        <v>5467</v>
      </c>
      <c r="Q292" s="157" t="n">
        <v>26</v>
      </c>
      <c r="R292" s="157" t="n">
        <v>10</v>
      </c>
      <c r="S292" s="157" t="n">
        <v>3</v>
      </c>
      <c r="T292" s="457" t="s">
        <v>7531</v>
      </c>
      <c r="U292" s="457" t="n">
        <v>398</v>
      </c>
      <c r="V292" s="458" t="n">
        <v>104089</v>
      </c>
      <c r="W292" s="458" t="n">
        <v>100000</v>
      </c>
      <c r="X292" s="464" t="s">
        <v>6700</v>
      </c>
      <c r="Y292" s="458" t="n">
        <v>24000</v>
      </c>
      <c r="Z292" s="457" t="s">
        <v>6638</v>
      </c>
      <c r="AC292" s="431"/>
      <c r="AD292" s="437" t="s">
        <v>7555</v>
      </c>
      <c r="AE292" s="167"/>
      <c r="AF292" s="167"/>
      <c r="AG292" s="167"/>
      <c r="AH292" s="167"/>
      <c r="AI292" s="167"/>
      <c r="AJ292" s="167"/>
      <c r="AK292" s="465" t="s">
        <v>7556</v>
      </c>
      <c r="AM292" s="157"/>
    </row>
    <row r="293" customFormat="false" ht="25.5" hidden="false" customHeight="true" outlineLevel="0" collapsed="false">
      <c r="A293" s="441" t="n">
        <v>7</v>
      </c>
      <c r="B293" s="157" t="n">
        <v>284</v>
      </c>
      <c r="C293" s="437" t="s">
        <v>7523</v>
      </c>
      <c r="D293" s="157" t="s">
        <v>7557</v>
      </c>
      <c r="E293" s="461" t="s">
        <v>2461</v>
      </c>
      <c r="F293" s="157" t="s">
        <v>7558</v>
      </c>
      <c r="G293" s="445" t="n">
        <v>44.2</v>
      </c>
      <c r="H293" s="431" t="n">
        <v>9102</v>
      </c>
      <c r="I293" s="457" t="n">
        <v>0</v>
      </c>
      <c r="J293" s="458" t="n">
        <v>71600</v>
      </c>
      <c r="K293" s="462" t="n">
        <v>4.24430167597765</v>
      </c>
      <c r="L293" s="463" t="n">
        <v>0.04</v>
      </c>
      <c r="M293" s="463" t="n">
        <v>0.380013294196623</v>
      </c>
      <c r="N293" s="431" t="n">
        <v>1973</v>
      </c>
      <c r="O293" s="446" t="n">
        <v>16328</v>
      </c>
      <c r="Q293" s="157" t="n">
        <v>18</v>
      </c>
      <c r="R293" s="157" t="n">
        <v>10</v>
      </c>
      <c r="S293" s="157" t="n">
        <v>21</v>
      </c>
      <c r="T293" s="457" t="s">
        <v>7531</v>
      </c>
      <c r="U293" s="457" t="n">
        <v>398</v>
      </c>
      <c r="V293" s="458" t="n">
        <v>146020</v>
      </c>
      <c r="W293" s="458" t="n">
        <v>150000</v>
      </c>
      <c r="X293" s="464" t="s">
        <v>7546</v>
      </c>
      <c r="Y293" s="458" t="n">
        <v>72000</v>
      </c>
      <c r="Z293" s="457" t="s">
        <v>6638</v>
      </c>
      <c r="AC293" s="431"/>
      <c r="AD293" s="437" t="s">
        <v>7559</v>
      </c>
      <c r="AE293" s="167"/>
      <c r="AF293" s="167"/>
      <c r="AG293" s="167"/>
      <c r="AH293" s="167"/>
      <c r="AI293" s="167"/>
      <c r="AJ293" s="167"/>
      <c r="AK293" s="465" t="s">
        <v>7560</v>
      </c>
      <c r="AM293" s="157"/>
    </row>
    <row r="294" customFormat="false" ht="25.5" hidden="false" customHeight="true" outlineLevel="0" collapsed="false">
      <c r="A294" s="441" t="n">
        <v>7</v>
      </c>
      <c r="B294" s="157" t="n">
        <v>285</v>
      </c>
      <c r="C294" s="437" t="s">
        <v>7523</v>
      </c>
      <c r="D294" s="157" t="s">
        <v>7561</v>
      </c>
      <c r="E294" s="461" t="s">
        <v>2461</v>
      </c>
      <c r="F294" s="157" t="s">
        <v>7562</v>
      </c>
      <c r="G294" s="445" t="n">
        <v>44.2</v>
      </c>
      <c r="H294" s="431" t="n">
        <v>9102</v>
      </c>
      <c r="I294" s="457" t="n">
        <v>0</v>
      </c>
      <c r="J294" s="458" t="n">
        <v>57300</v>
      </c>
      <c r="K294" s="462" t="n">
        <v>4.83949389179756</v>
      </c>
      <c r="L294" s="463" t="n">
        <v>0.08</v>
      </c>
      <c r="M294" s="463" t="n">
        <v>0.458422736140612</v>
      </c>
      <c r="N294" s="431" t="n">
        <v>1973</v>
      </c>
      <c r="O294" s="446" t="n">
        <v>27965</v>
      </c>
      <c r="Q294" s="157" t="n">
        <v>14</v>
      </c>
      <c r="R294" s="157" t="n">
        <v>10</v>
      </c>
      <c r="S294" s="157" t="n">
        <v>7</v>
      </c>
      <c r="T294" s="457" t="s">
        <v>7531</v>
      </c>
      <c r="U294" s="457" t="n">
        <v>397</v>
      </c>
      <c r="V294" s="458" t="n">
        <v>169147</v>
      </c>
      <c r="W294" s="458" t="n">
        <v>170000</v>
      </c>
      <c r="X294" s="464" t="s">
        <v>7563</v>
      </c>
      <c r="Y294" s="458" t="n">
        <v>57000</v>
      </c>
      <c r="Z294" s="457" t="s">
        <v>6638</v>
      </c>
      <c r="AC294" s="431"/>
      <c r="AD294" s="437" t="s">
        <v>7564</v>
      </c>
      <c r="AE294" s="167"/>
      <c r="AF294" s="167"/>
      <c r="AG294" s="167"/>
      <c r="AH294" s="167"/>
      <c r="AI294" s="167"/>
      <c r="AJ294" s="167"/>
      <c r="AK294" s="465" t="s">
        <v>7565</v>
      </c>
      <c r="AM294" s="157"/>
    </row>
    <row r="295" customFormat="false" ht="12.75" hidden="false" customHeight="true" outlineLevel="0" collapsed="false">
      <c r="A295" s="441" t="n">
        <v>7</v>
      </c>
      <c r="B295" s="157" t="n">
        <v>286</v>
      </c>
      <c r="C295" s="437" t="s">
        <v>7523</v>
      </c>
      <c r="D295" s="157" t="s">
        <v>6662</v>
      </c>
      <c r="E295" s="461" t="s">
        <v>2461</v>
      </c>
      <c r="F295" s="157" t="s">
        <v>7566</v>
      </c>
      <c r="G295" s="445" t="n">
        <v>44.2</v>
      </c>
      <c r="H295" s="431" t="n">
        <v>9102</v>
      </c>
      <c r="I295" s="457" t="n">
        <v>0</v>
      </c>
      <c r="J295" s="458" t="n">
        <v>9750</v>
      </c>
      <c r="K295" s="462" t="n">
        <v>10.4492307692308</v>
      </c>
      <c r="L295" s="463" t="n">
        <v>0</v>
      </c>
      <c r="M295" s="463" t="n">
        <v>0.00326855123674912</v>
      </c>
      <c r="N295" s="431" t="n">
        <v>1969</v>
      </c>
      <c r="O295" s="446" t="n">
        <v>4332</v>
      </c>
      <c r="Q295" s="157" t="n">
        <v>14</v>
      </c>
      <c r="R295" s="157" t="n">
        <v>3</v>
      </c>
      <c r="S295" s="157" t="n">
        <v>1</v>
      </c>
      <c r="T295" s="457" t="s">
        <v>7531</v>
      </c>
      <c r="U295" s="457" t="n">
        <v>398</v>
      </c>
      <c r="V295" s="458" t="n">
        <v>27610</v>
      </c>
      <c r="W295" s="458" t="n">
        <v>28000</v>
      </c>
      <c r="X295" s="464" t="s">
        <v>6664</v>
      </c>
      <c r="Y295" s="458" t="n">
        <v>10000</v>
      </c>
      <c r="Z295" s="457" t="s">
        <v>6638</v>
      </c>
      <c r="AC295" s="431"/>
      <c r="AD295" s="437"/>
      <c r="AE295" s="167"/>
      <c r="AF295" s="167"/>
      <c r="AG295" s="167"/>
      <c r="AH295" s="167"/>
      <c r="AI295" s="167"/>
      <c r="AJ295" s="167"/>
      <c r="AK295" s="465"/>
      <c r="AM295" s="157"/>
    </row>
    <row r="296" customFormat="false" ht="12.75" hidden="false" customHeight="true" outlineLevel="0" collapsed="false">
      <c r="A296" s="441" t="n">
        <v>7</v>
      </c>
      <c r="B296" s="157" t="n">
        <v>287</v>
      </c>
      <c r="C296" s="437" t="s">
        <v>7523</v>
      </c>
      <c r="D296" s="157" t="s">
        <v>7567</v>
      </c>
      <c r="E296" s="461" t="s">
        <v>2461</v>
      </c>
      <c r="F296" s="157" t="s">
        <v>7568</v>
      </c>
      <c r="G296" s="431" t="n">
        <v>44.1</v>
      </c>
      <c r="H296" s="431" t="n">
        <v>9102</v>
      </c>
      <c r="I296" s="457" t="n">
        <v>0</v>
      </c>
      <c r="J296" s="458" t="n">
        <v>53947</v>
      </c>
      <c r="K296" s="462" t="n">
        <v>5.0716443917178</v>
      </c>
      <c r="L296" s="463" t="n">
        <v>0</v>
      </c>
      <c r="M296" s="463" t="n">
        <v>0</v>
      </c>
      <c r="N296" s="431" t="n">
        <v>1999</v>
      </c>
      <c r="O296" s="446" t="n">
        <v>2507</v>
      </c>
      <c r="Q296" s="157" t="n">
        <v>20</v>
      </c>
      <c r="R296" s="157" t="n">
        <v>14</v>
      </c>
      <c r="S296" s="157" t="n">
        <v>1</v>
      </c>
      <c r="T296" s="457" t="s">
        <v>7531</v>
      </c>
      <c r="U296" s="457" t="n">
        <v>398</v>
      </c>
      <c r="V296" s="458" t="n">
        <v>74836</v>
      </c>
      <c r="W296" s="458" t="n">
        <v>75000</v>
      </c>
      <c r="X296" s="464" t="s">
        <v>6710</v>
      </c>
      <c r="Y296" s="458" t="n">
        <v>54000</v>
      </c>
      <c r="Z296" s="457" t="s">
        <v>6638</v>
      </c>
      <c r="AC296" s="431"/>
      <c r="AD296" s="437" t="s">
        <v>7569</v>
      </c>
      <c r="AE296" s="167"/>
      <c r="AF296" s="167"/>
      <c r="AG296" s="167"/>
      <c r="AH296" s="167"/>
      <c r="AI296" s="167"/>
      <c r="AJ296" s="167"/>
      <c r="AK296" s="465"/>
      <c r="AM296" s="157"/>
    </row>
    <row r="297" customFormat="false" ht="12.75" hidden="false" customHeight="true" outlineLevel="0" collapsed="false">
      <c r="A297" s="441" t="n">
        <v>7</v>
      </c>
      <c r="B297" s="157" t="n">
        <v>288</v>
      </c>
      <c r="C297" s="437" t="s">
        <v>7523</v>
      </c>
      <c r="D297" s="157" t="s">
        <v>6669</v>
      </c>
      <c r="E297" s="461" t="s">
        <v>2461</v>
      </c>
      <c r="F297" s="157" t="s">
        <v>7570</v>
      </c>
      <c r="G297" s="445" t="n">
        <v>44.2</v>
      </c>
      <c r="H297" s="431" t="n">
        <v>9102</v>
      </c>
      <c r="I297" s="457" t="n">
        <v>0</v>
      </c>
      <c r="J297" s="458" t="n">
        <v>3321</v>
      </c>
      <c r="K297" s="462" t="n">
        <v>4.51671183378501</v>
      </c>
      <c r="L297" s="463" t="n">
        <v>0</v>
      </c>
      <c r="M297" s="463" t="n">
        <v>0</v>
      </c>
      <c r="N297" s="431" t="n">
        <v>1973</v>
      </c>
      <c r="O297" s="446" t="n">
        <v>820</v>
      </c>
      <c r="Q297" s="157" t="n">
        <v>16</v>
      </c>
      <c r="R297" s="157" t="n">
        <v>7</v>
      </c>
      <c r="S297" s="157" t="n">
        <v>1</v>
      </c>
      <c r="T297" s="457" t="s">
        <v>7531</v>
      </c>
      <c r="U297" s="457" t="n">
        <v>398</v>
      </c>
      <c r="V297" s="458" t="n">
        <v>18097</v>
      </c>
      <c r="W297" s="458" t="n">
        <v>18000</v>
      </c>
      <c r="X297" s="464" t="s">
        <v>6671</v>
      </c>
      <c r="Y297" s="458" t="n">
        <v>3000</v>
      </c>
      <c r="Z297" s="457" t="s">
        <v>6638</v>
      </c>
      <c r="AC297" s="431"/>
      <c r="AD297" s="437" t="s">
        <v>6672</v>
      </c>
      <c r="AE297" s="167"/>
      <c r="AF297" s="167"/>
      <c r="AG297" s="167"/>
      <c r="AH297" s="167"/>
      <c r="AI297" s="167"/>
      <c r="AJ297" s="167"/>
      <c r="AK297" s="465"/>
      <c r="AM297" s="157"/>
    </row>
    <row r="298" customFormat="false" ht="25.5" hidden="false" customHeight="true" outlineLevel="0" collapsed="false">
      <c r="A298" s="441" t="n">
        <v>7</v>
      </c>
      <c r="B298" s="157" t="n">
        <v>289</v>
      </c>
      <c r="C298" s="437" t="s">
        <v>7523</v>
      </c>
      <c r="D298" s="157" t="s">
        <v>6673</v>
      </c>
      <c r="E298" s="461" t="s">
        <v>2461</v>
      </c>
      <c r="F298" s="157" t="s">
        <v>7571</v>
      </c>
      <c r="G298" s="445" t="n">
        <v>44.2</v>
      </c>
      <c r="H298" s="431" t="n">
        <v>9102</v>
      </c>
      <c r="I298" s="457" t="n">
        <v>0</v>
      </c>
      <c r="J298" s="458" t="n">
        <v>39832</v>
      </c>
      <c r="K298" s="462" t="n">
        <v>3.31391845752159</v>
      </c>
      <c r="L298" s="463" t="n">
        <v>0</v>
      </c>
      <c r="M298" s="463" t="n">
        <v>0.124992424242424</v>
      </c>
      <c r="N298" s="431" t="n">
        <v>1978</v>
      </c>
      <c r="O298" s="446" t="n">
        <v>333</v>
      </c>
      <c r="P298" s="446" t="n">
        <v>3874</v>
      </c>
      <c r="Q298" s="157" t="n">
        <v>26</v>
      </c>
      <c r="R298" s="157" t="n">
        <v>10</v>
      </c>
      <c r="S298" s="157" t="n">
        <v>1</v>
      </c>
      <c r="T298" s="457" t="s">
        <v>7531</v>
      </c>
      <c r="U298" s="457" t="n">
        <v>398</v>
      </c>
      <c r="V298" s="458" t="n">
        <v>77488</v>
      </c>
      <c r="W298" s="458" t="n">
        <v>77000</v>
      </c>
      <c r="X298" s="464" t="s">
        <v>6675</v>
      </c>
      <c r="Y298" s="458" t="n">
        <v>40000</v>
      </c>
      <c r="Z298" s="457" t="s">
        <v>6638</v>
      </c>
      <c r="AC298" s="431"/>
      <c r="AD298" s="437" t="s">
        <v>6676</v>
      </c>
      <c r="AE298" s="167"/>
      <c r="AF298" s="167"/>
      <c r="AG298" s="167"/>
      <c r="AH298" s="167"/>
      <c r="AI298" s="167"/>
      <c r="AJ298" s="167"/>
      <c r="AK298" s="465" t="s">
        <v>7572</v>
      </c>
      <c r="AM298" s="157"/>
    </row>
    <row r="299" customFormat="false" ht="12.75" hidden="false" customHeight="true" outlineLevel="0" collapsed="false">
      <c r="A299" s="441" t="n">
        <v>7</v>
      </c>
      <c r="B299" s="157" t="n">
        <v>290</v>
      </c>
      <c r="C299" s="437" t="s">
        <v>7523</v>
      </c>
      <c r="D299" s="157" t="s">
        <v>7573</v>
      </c>
      <c r="E299" s="461" t="s">
        <v>2461</v>
      </c>
      <c r="F299" s="157" t="s">
        <v>7574</v>
      </c>
      <c r="G299" s="445" t="n">
        <v>44.2</v>
      </c>
      <c r="H299" s="431" t="n">
        <v>9102</v>
      </c>
      <c r="I299" s="457" t="n">
        <v>0</v>
      </c>
      <c r="J299" s="458" t="n">
        <v>9800</v>
      </c>
      <c r="K299" s="462" t="n">
        <v>8.19377551020408</v>
      </c>
      <c r="L299" s="463" t="n">
        <v>0</v>
      </c>
      <c r="M299" s="463" t="n">
        <v>0.00622672760557417</v>
      </c>
      <c r="N299" s="431" t="n">
        <v>2004</v>
      </c>
      <c r="O299" s="446" t="n">
        <v>2520</v>
      </c>
      <c r="Q299" s="157" t="n">
        <v>22</v>
      </c>
      <c r="R299" s="157" t="n">
        <v>8</v>
      </c>
      <c r="S299" s="157" t="n">
        <v>1</v>
      </c>
      <c r="T299" s="457" t="s">
        <v>7526</v>
      </c>
      <c r="U299" s="457" t="n">
        <v>398</v>
      </c>
      <c r="V299" s="458" t="n">
        <v>42336</v>
      </c>
      <c r="W299" s="458" t="n">
        <v>42000</v>
      </c>
      <c r="X299" s="464" t="s">
        <v>6705</v>
      </c>
      <c r="Y299" s="458" t="n">
        <v>10000</v>
      </c>
      <c r="Z299" s="457" t="s">
        <v>6638</v>
      </c>
      <c r="AC299" s="431"/>
      <c r="AD299" s="437" t="s">
        <v>7575</v>
      </c>
      <c r="AE299" s="167"/>
      <c r="AF299" s="167"/>
      <c r="AG299" s="167"/>
      <c r="AH299" s="167"/>
      <c r="AI299" s="167"/>
      <c r="AJ299" s="167"/>
      <c r="AK299" s="465"/>
      <c r="AM299" s="157"/>
    </row>
    <row r="300" customFormat="false" ht="12.75" hidden="false" customHeight="true" outlineLevel="0" collapsed="false">
      <c r="A300" s="441" t="n">
        <v>7</v>
      </c>
      <c r="B300" s="157" t="n">
        <v>291</v>
      </c>
      <c r="C300" s="437" t="s">
        <v>7523</v>
      </c>
      <c r="D300" s="157" t="s">
        <v>6687</v>
      </c>
      <c r="E300" s="461" t="s">
        <v>2461</v>
      </c>
      <c r="F300" s="157" t="s">
        <v>7576</v>
      </c>
      <c r="G300" s="431" t="n">
        <v>44.1</v>
      </c>
      <c r="H300" s="431" t="n">
        <v>9102</v>
      </c>
      <c r="I300" s="457" t="n">
        <v>0</v>
      </c>
      <c r="J300" s="458" t="n">
        <v>27238</v>
      </c>
      <c r="K300" s="462" t="n">
        <v>5.11329759894265</v>
      </c>
      <c r="L300" s="463" t="n">
        <v>0.12</v>
      </c>
      <c r="M300" s="463" t="n">
        <v>0.0574399035009621</v>
      </c>
      <c r="N300" s="431" t="n">
        <v>1978</v>
      </c>
      <c r="O300" s="446" t="n">
        <v>4925</v>
      </c>
      <c r="Q300" s="157" t="n">
        <v>21</v>
      </c>
      <c r="R300" s="157" t="n">
        <v>10</v>
      </c>
      <c r="S300" s="157" t="n">
        <v>1</v>
      </c>
      <c r="T300" s="457" t="s">
        <v>7526</v>
      </c>
      <c r="U300" s="457" t="n">
        <v>398</v>
      </c>
      <c r="V300" s="458" t="n">
        <v>51811</v>
      </c>
      <c r="W300" s="458" t="n">
        <v>52000</v>
      </c>
      <c r="X300" s="464" t="s">
        <v>6675</v>
      </c>
      <c r="Y300" s="458" t="n">
        <v>27000</v>
      </c>
      <c r="Z300" s="457" t="s">
        <v>6638</v>
      </c>
      <c r="AC300" s="431"/>
      <c r="AD300" s="437" t="s">
        <v>6689</v>
      </c>
      <c r="AE300" s="167"/>
      <c r="AF300" s="167"/>
      <c r="AG300" s="167"/>
      <c r="AH300" s="167"/>
      <c r="AI300" s="167"/>
      <c r="AJ300" s="167"/>
      <c r="AK300" s="465"/>
      <c r="AL300" s="167"/>
      <c r="AM300" s="167"/>
      <c r="AN300" s="167"/>
      <c r="AO300" s="167"/>
      <c r="AP300" s="167"/>
    </row>
    <row r="301" customFormat="false" ht="12.75" hidden="false" customHeight="true" outlineLevel="0" collapsed="false">
      <c r="A301" s="441" t="n">
        <v>7</v>
      </c>
      <c r="B301" s="157" t="n">
        <v>292</v>
      </c>
      <c r="C301" s="437" t="s">
        <v>7523</v>
      </c>
      <c r="D301" s="157" t="s">
        <v>7577</v>
      </c>
      <c r="E301" s="461" t="s">
        <v>2461</v>
      </c>
      <c r="F301" s="157" t="s">
        <v>7578</v>
      </c>
      <c r="G301" s="445" t="n">
        <v>47.2</v>
      </c>
      <c r="H301" s="431" t="n">
        <v>9102</v>
      </c>
      <c r="I301" s="457" t="n">
        <v>0</v>
      </c>
      <c r="J301" s="458" t="n">
        <v>10143</v>
      </c>
      <c r="K301" s="462" t="n">
        <v>9.3315587104407</v>
      </c>
      <c r="L301" s="463" t="n">
        <v>0</v>
      </c>
      <c r="M301" s="463" t="n">
        <v>0.00695192815636556</v>
      </c>
      <c r="N301" s="431" t="n">
        <v>1979</v>
      </c>
      <c r="O301" s="446" t="n">
        <v>1451</v>
      </c>
      <c r="Q301" s="157" t="n">
        <v>20</v>
      </c>
      <c r="R301" s="157" t="n">
        <v>10</v>
      </c>
      <c r="S301" s="157" t="n">
        <v>1</v>
      </c>
      <c r="T301" s="457" t="s">
        <v>7526</v>
      </c>
      <c r="U301" s="457" t="n">
        <v>401</v>
      </c>
      <c r="V301" s="458" t="n">
        <v>30504</v>
      </c>
      <c r="W301" s="458" t="n">
        <v>31000</v>
      </c>
      <c r="X301" s="464" t="s">
        <v>7563</v>
      </c>
      <c r="Y301" s="458" t="n">
        <v>10000</v>
      </c>
      <c r="Z301" s="457" t="s">
        <v>6638</v>
      </c>
      <c r="AC301" s="431"/>
      <c r="AD301" s="437"/>
      <c r="AE301" s="167"/>
      <c r="AF301" s="167"/>
      <c r="AG301" s="167"/>
      <c r="AH301" s="167"/>
      <c r="AI301" s="167"/>
      <c r="AJ301" s="167"/>
      <c r="AK301" s="465"/>
      <c r="AM301" s="157"/>
    </row>
    <row r="302" customFormat="false" ht="12.75" hidden="false" customHeight="true" outlineLevel="0" collapsed="false">
      <c r="A302" s="441" t="n">
        <v>7</v>
      </c>
      <c r="B302" s="157" t="n">
        <v>293</v>
      </c>
      <c r="C302" s="437" t="s">
        <v>7523</v>
      </c>
      <c r="D302" s="157" t="s">
        <v>6690</v>
      </c>
      <c r="E302" s="461" t="s">
        <v>2461</v>
      </c>
      <c r="F302" s="157" t="s">
        <v>7579</v>
      </c>
      <c r="G302" s="445" t="n">
        <v>44.2</v>
      </c>
      <c r="H302" s="431" t="n">
        <v>9102</v>
      </c>
      <c r="I302" s="457" t="n">
        <v>0</v>
      </c>
      <c r="J302" s="458" t="n">
        <v>16328</v>
      </c>
      <c r="K302" s="462" t="n">
        <v>4.99142577168055</v>
      </c>
      <c r="L302" s="463" t="n">
        <v>0</v>
      </c>
      <c r="M302" s="463" t="n">
        <v>0.143558282208589</v>
      </c>
      <c r="N302" s="431" t="n">
        <v>1979</v>
      </c>
      <c r="O302" s="446" t="n">
        <v>2250</v>
      </c>
      <c r="Q302" s="157" t="n">
        <v>23</v>
      </c>
      <c r="R302" s="157" t="n">
        <v>10</v>
      </c>
      <c r="S302" s="157" t="n">
        <v>1</v>
      </c>
      <c r="T302" s="457" t="s">
        <v>7526</v>
      </c>
      <c r="U302" s="457" t="n">
        <v>398</v>
      </c>
      <c r="V302" s="458" t="n">
        <v>40424</v>
      </c>
      <c r="W302" s="458" t="n">
        <v>40000</v>
      </c>
      <c r="X302" s="464" t="s">
        <v>6692</v>
      </c>
      <c r="Y302" s="458" t="n">
        <v>16000</v>
      </c>
      <c r="Z302" s="457" t="s">
        <v>6638</v>
      </c>
      <c r="AC302" s="431"/>
      <c r="AD302" s="437"/>
      <c r="AE302" s="167"/>
      <c r="AF302" s="167"/>
      <c r="AG302" s="167"/>
      <c r="AH302" s="167"/>
      <c r="AI302" s="167"/>
      <c r="AJ302" s="167"/>
      <c r="AK302" s="465"/>
      <c r="AM302" s="157"/>
    </row>
    <row r="303" s="157" customFormat="true" ht="12.75" hidden="false" customHeight="true" outlineLevel="0" collapsed="false">
      <c r="A303" s="441" t="n">
        <v>7</v>
      </c>
      <c r="B303" s="157" t="n">
        <v>294</v>
      </c>
      <c r="C303" s="457" t="s">
        <v>7538</v>
      </c>
      <c r="D303" s="157" t="s">
        <v>7580</v>
      </c>
      <c r="E303" s="457" t="s">
        <v>2461</v>
      </c>
      <c r="F303" s="157" t="s">
        <v>7581</v>
      </c>
      <c r="G303" s="466" t="s">
        <v>7582</v>
      </c>
      <c r="H303" s="157" t="n">
        <v>9102</v>
      </c>
      <c r="I303" s="457" t="n">
        <v>0</v>
      </c>
      <c r="J303" s="446" t="n">
        <v>38194</v>
      </c>
      <c r="K303" s="176" t="n">
        <v>2.94</v>
      </c>
      <c r="L303" s="175" t="n">
        <v>0</v>
      </c>
      <c r="M303" s="175" t="n">
        <v>0</v>
      </c>
      <c r="N303" s="157" t="n">
        <v>1974</v>
      </c>
      <c r="O303" s="457" t="n">
        <v>2460</v>
      </c>
      <c r="P303" s="157" t="n">
        <v>2772</v>
      </c>
      <c r="Q303" s="157" t="n">
        <v>24</v>
      </c>
      <c r="R303" s="157" t="n">
        <v>10</v>
      </c>
      <c r="S303" s="157" t="n">
        <v>1</v>
      </c>
      <c r="T303" s="157" t="s">
        <v>7526</v>
      </c>
      <c r="U303" s="157" t="n">
        <v>398</v>
      </c>
      <c r="V303" s="446" t="n">
        <v>67926</v>
      </c>
      <c r="W303" s="446" t="n">
        <v>68000</v>
      </c>
      <c r="X303" s="431" t="s">
        <v>6863</v>
      </c>
      <c r="Y303" s="446" t="n">
        <v>38000</v>
      </c>
      <c r="Z303" s="157" t="s">
        <v>463</v>
      </c>
      <c r="AA303" s="157" t="n">
        <v>3</v>
      </c>
      <c r="AB303" s="157" t="n">
        <v>3</v>
      </c>
      <c r="AC303" s="157" t="n">
        <v>33</v>
      </c>
      <c r="AE303" s="430"/>
      <c r="AF303" s="467"/>
      <c r="AG303" s="467"/>
      <c r="AH303" s="430"/>
      <c r="AI303" s="467"/>
      <c r="AJ303" s="430"/>
      <c r="AK303" s="167"/>
    </row>
    <row r="304" customFormat="false" ht="12.75" hidden="false" customHeight="true" outlineLevel="0" collapsed="false">
      <c r="A304" s="441" t="n">
        <v>7</v>
      </c>
      <c r="B304" s="157" t="n">
        <v>295</v>
      </c>
      <c r="C304" s="437" t="s">
        <v>7523</v>
      </c>
      <c r="D304" s="157" t="s">
        <v>7583</v>
      </c>
      <c r="E304" s="461" t="s">
        <v>2461</v>
      </c>
      <c r="F304" s="157" t="s">
        <v>7584</v>
      </c>
      <c r="G304" s="445" t="s">
        <v>7011</v>
      </c>
      <c r="H304" s="431" t="n">
        <v>9103</v>
      </c>
      <c r="I304" s="457" t="n">
        <v>0</v>
      </c>
      <c r="J304" s="458" t="n">
        <v>22183</v>
      </c>
      <c r="K304" s="462" t="n">
        <v>10.2781409187215</v>
      </c>
      <c r="L304" s="463" t="n">
        <v>0</v>
      </c>
      <c r="M304" s="463" t="n">
        <v>0</v>
      </c>
      <c r="N304" s="431" t="n">
        <v>2008</v>
      </c>
      <c r="O304" s="446" t="n">
        <v>6965</v>
      </c>
      <c r="P304" s="446" t="n">
        <v>6150</v>
      </c>
      <c r="Q304" s="157" t="n">
        <v>32</v>
      </c>
      <c r="R304" s="157" t="n">
        <v>9</v>
      </c>
      <c r="S304" s="157" t="n">
        <v>1</v>
      </c>
      <c r="T304" s="457" t="s">
        <v>7585</v>
      </c>
      <c r="U304" s="457" t="n">
        <v>397</v>
      </c>
      <c r="V304" s="458" t="n">
        <v>45344</v>
      </c>
      <c r="W304" s="458" t="n">
        <v>45000</v>
      </c>
      <c r="X304" s="464" t="s">
        <v>7546</v>
      </c>
      <c r="Y304" s="458" t="n">
        <v>22000</v>
      </c>
      <c r="Z304" s="457" t="s">
        <v>6638</v>
      </c>
      <c r="AC304" s="431"/>
      <c r="AD304" s="437"/>
      <c r="AE304" s="167"/>
      <c r="AF304" s="167"/>
      <c r="AG304" s="167"/>
      <c r="AH304" s="167"/>
      <c r="AI304" s="167"/>
      <c r="AJ304" s="167"/>
      <c r="AK304" s="465"/>
      <c r="AM304" s="157"/>
    </row>
    <row r="305" customFormat="false" ht="12.75" hidden="false" customHeight="true" outlineLevel="0" collapsed="false">
      <c r="A305" s="441" t="n">
        <v>7</v>
      </c>
      <c r="B305" s="157" t="n">
        <v>296</v>
      </c>
      <c r="C305" s="437" t="s">
        <v>7523</v>
      </c>
      <c r="D305" s="157" t="s">
        <v>7586</v>
      </c>
      <c r="E305" s="461" t="s">
        <v>2461</v>
      </c>
      <c r="F305" s="157" t="s">
        <v>7587</v>
      </c>
      <c r="G305" s="445" t="n">
        <v>44.2</v>
      </c>
      <c r="H305" s="431" t="n">
        <v>9103</v>
      </c>
      <c r="I305" s="457" t="n">
        <v>0</v>
      </c>
      <c r="J305" s="458" t="n">
        <v>50533</v>
      </c>
      <c r="K305" s="462" t="n">
        <v>5.79140363722716</v>
      </c>
      <c r="L305" s="463" t="n">
        <v>0</v>
      </c>
      <c r="M305" s="463" t="n">
        <v>0.01316899988724</v>
      </c>
      <c r="N305" s="431" t="n">
        <v>1998</v>
      </c>
      <c r="O305" s="446" t="n">
        <v>11472</v>
      </c>
      <c r="P305" s="446" t="n">
        <v>12133</v>
      </c>
      <c r="Q305" s="157" t="n">
        <v>22</v>
      </c>
      <c r="R305" s="157" t="n">
        <v>14</v>
      </c>
      <c r="S305" s="157" t="n">
        <v>1</v>
      </c>
      <c r="T305" s="457" t="s">
        <v>7585</v>
      </c>
      <c r="U305" s="457" t="n">
        <v>398</v>
      </c>
      <c r="V305" s="458" t="n">
        <v>202118</v>
      </c>
      <c r="W305" s="458" t="n">
        <v>200000</v>
      </c>
      <c r="X305" s="464" t="s">
        <v>7588</v>
      </c>
      <c r="Y305" s="458" t="n">
        <v>51000</v>
      </c>
      <c r="Z305" s="457" t="s">
        <v>6638</v>
      </c>
      <c r="AC305" s="431"/>
      <c r="AD305" s="437" t="s">
        <v>7589</v>
      </c>
      <c r="AE305" s="167"/>
      <c r="AF305" s="167"/>
      <c r="AG305" s="167"/>
      <c r="AH305" s="167"/>
      <c r="AI305" s="167"/>
      <c r="AJ305" s="167"/>
      <c r="AK305" s="465"/>
      <c r="AM305" s="157"/>
    </row>
    <row r="306" customFormat="false" ht="12.75" hidden="false" customHeight="true" outlineLevel="0" collapsed="false">
      <c r="A306" s="441" t="n">
        <v>7</v>
      </c>
      <c r="B306" s="157" t="n">
        <v>297</v>
      </c>
      <c r="C306" s="437" t="s">
        <v>7523</v>
      </c>
      <c r="D306" s="157" t="s">
        <v>7590</v>
      </c>
      <c r="E306" s="461" t="s">
        <v>2461</v>
      </c>
      <c r="F306" s="157" t="s">
        <v>7591</v>
      </c>
      <c r="G306" s="445" t="n">
        <v>44.2</v>
      </c>
      <c r="H306" s="431" t="n">
        <v>9103</v>
      </c>
      <c r="I306" s="457" t="n">
        <v>0</v>
      </c>
      <c r="J306" s="458" t="n">
        <v>20146</v>
      </c>
      <c r="K306" s="462" t="n">
        <v>2.33421026506503</v>
      </c>
      <c r="L306" s="463" t="n">
        <v>0</v>
      </c>
      <c r="M306" s="463" t="n">
        <v>0.0437852206273259</v>
      </c>
      <c r="N306" s="431" t="n">
        <v>2005</v>
      </c>
      <c r="O306" s="446" t="n">
        <v>964</v>
      </c>
      <c r="Q306" s="157" t="n">
        <v>28</v>
      </c>
      <c r="R306" s="157" t="n">
        <v>14</v>
      </c>
      <c r="S306" s="157" t="n">
        <v>1</v>
      </c>
      <c r="T306" s="457" t="s">
        <v>7585</v>
      </c>
      <c r="U306" s="457" t="n">
        <v>398</v>
      </c>
      <c r="V306" s="458" t="n">
        <v>71003</v>
      </c>
      <c r="W306" s="458" t="n">
        <v>71000</v>
      </c>
      <c r="X306" s="464" t="s">
        <v>7208</v>
      </c>
      <c r="Y306" s="458" t="n">
        <v>20000</v>
      </c>
      <c r="Z306" s="457" t="s">
        <v>6638</v>
      </c>
      <c r="AC306" s="431"/>
      <c r="AD306" s="437" t="s">
        <v>7589</v>
      </c>
      <c r="AE306" s="167"/>
      <c r="AF306" s="167"/>
      <c r="AG306" s="167"/>
      <c r="AH306" s="167"/>
      <c r="AI306" s="167"/>
      <c r="AJ306" s="167"/>
      <c r="AK306" s="465"/>
      <c r="AM306" s="157"/>
    </row>
    <row r="307" customFormat="false" ht="25.5" hidden="false" customHeight="true" outlineLevel="0" collapsed="false">
      <c r="A307" s="441" t="n">
        <v>7</v>
      </c>
      <c r="B307" s="157" t="n">
        <v>298</v>
      </c>
      <c r="C307" s="437" t="s">
        <v>7523</v>
      </c>
      <c r="D307" s="157" t="s">
        <v>6719</v>
      </c>
      <c r="E307" s="461" t="s">
        <v>2461</v>
      </c>
      <c r="F307" s="157" t="s">
        <v>7592</v>
      </c>
      <c r="G307" s="445" t="n">
        <v>44.3</v>
      </c>
      <c r="H307" s="431" t="n">
        <v>9101</v>
      </c>
      <c r="I307" s="457" t="n">
        <v>0</v>
      </c>
      <c r="J307" s="458" t="n">
        <v>128963</v>
      </c>
      <c r="K307" s="462" t="n">
        <v>3.16369811496321</v>
      </c>
      <c r="L307" s="463" t="n">
        <v>0</v>
      </c>
      <c r="M307" s="463" t="n">
        <v>0</v>
      </c>
      <c r="N307" s="431" t="n">
        <v>1966</v>
      </c>
      <c r="O307" s="446" t="n">
        <v>9653</v>
      </c>
      <c r="P307" s="446" t="n">
        <v>1015</v>
      </c>
      <c r="Q307" s="157" t="n">
        <v>34</v>
      </c>
      <c r="R307" s="157" t="n">
        <v>3</v>
      </c>
      <c r="S307" s="157" t="n">
        <v>1</v>
      </c>
      <c r="T307" s="457" t="s">
        <v>7531</v>
      </c>
      <c r="U307" s="457" t="n">
        <v>398</v>
      </c>
      <c r="V307" s="458" t="n">
        <v>292070</v>
      </c>
      <c r="W307" s="458" t="n">
        <v>290000</v>
      </c>
      <c r="X307" s="464" t="s">
        <v>6646</v>
      </c>
      <c r="Y307" s="458" t="n">
        <v>130000</v>
      </c>
      <c r="Z307" s="457" t="s">
        <v>6638</v>
      </c>
      <c r="AC307" s="431"/>
      <c r="AD307" s="437" t="s">
        <v>6721</v>
      </c>
      <c r="AE307" s="167"/>
      <c r="AF307" s="167"/>
      <c r="AG307" s="167"/>
      <c r="AH307" s="167"/>
      <c r="AI307" s="167"/>
      <c r="AJ307" s="167"/>
      <c r="AK307" s="465" t="s">
        <v>7593</v>
      </c>
      <c r="AM307" s="157"/>
    </row>
    <row r="308" customFormat="false" ht="12.75" hidden="false" customHeight="true" outlineLevel="0" collapsed="false">
      <c r="A308" s="441" t="n">
        <v>7</v>
      </c>
      <c r="B308" s="157" t="n">
        <v>299</v>
      </c>
      <c r="C308" s="437" t="s">
        <v>7523</v>
      </c>
      <c r="D308" s="157" t="s">
        <v>7594</v>
      </c>
      <c r="E308" s="461" t="s">
        <v>2461</v>
      </c>
      <c r="F308" s="157" t="s">
        <v>7595</v>
      </c>
      <c r="G308" s="445" t="n">
        <v>44.2</v>
      </c>
      <c r="H308" s="431" t="n">
        <v>9101</v>
      </c>
      <c r="I308" s="457" t="n">
        <v>0</v>
      </c>
      <c r="J308" s="458" t="n">
        <v>19692</v>
      </c>
      <c r="K308" s="462" t="n">
        <v>2.41214706479789</v>
      </c>
      <c r="L308" s="463" t="n">
        <v>0</v>
      </c>
      <c r="M308" s="463" t="n">
        <v>0</v>
      </c>
      <c r="N308" s="431" t="n">
        <v>1959</v>
      </c>
      <c r="O308" s="446" t="n">
        <v>1400</v>
      </c>
      <c r="Q308" s="157" t="n">
        <v>17</v>
      </c>
      <c r="R308" s="157" t="n">
        <v>3</v>
      </c>
      <c r="S308" s="157" t="n">
        <v>1</v>
      </c>
      <c r="T308" s="457" t="s">
        <v>7531</v>
      </c>
      <c r="U308" s="457" t="n">
        <v>398</v>
      </c>
      <c r="V308" s="458" t="n">
        <v>45551</v>
      </c>
      <c r="W308" s="458" t="n">
        <v>46000</v>
      </c>
      <c r="X308" s="464" t="s">
        <v>6646</v>
      </c>
      <c r="Y308" s="458" t="n">
        <v>20000</v>
      </c>
      <c r="Z308" s="457" t="s">
        <v>6638</v>
      </c>
      <c r="AC308" s="431"/>
      <c r="AD308" s="437"/>
      <c r="AE308" s="167"/>
      <c r="AF308" s="167"/>
      <c r="AG308" s="167"/>
      <c r="AH308" s="167"/>
      <c r="AI308" s="167"/>
      <c r="AJ308" s="167"/>
      <c r="AK308" s="465"/>
      <c r="AM308" s="157"/>
    </row>
    <row r="309" customFormat="false" ht="12.75" hidden="false" customHeight="true" outlineLevel="0" collapsed="false">
      <c r="A309" s="441" t="n">
        <v>7</v>
      </c>
      <c r="B309" s="157" t="n">
        <v>300</v>
      </c>
      <c r="C309" s="437" t="s">
        <v>7523</v>
      </c>
      <c r="D309" s="157" t="s">
        <v>6722</v>
      </c>
      <c r="E309" s="461" t="s">
        <v>2461</v>
      </c>
      <c r="F309" s="157" t="s">
        <v>7596</v>
      </c>
      <c r="G309" s="445" t="n">
        <v>44.4</v>
      </c>
      <c r="H309" s="431" t="n">
        <v>9101</v>
      </c>
      <c r="I309" s="457" t="n">
        <v>0</v>
      </c>
      <c r="J309" s="458" t="n">
        <v>122398</v>
      </c>
      <c r="K309" s="462" t="n">
        <v>4.7691955750911</v>
      </c>
      <c r="L309" s="463" t="n">
        <v>0</v>
      </c>
      <c r="M309" s="463" t="n">
        <v>0.0182941035392469</v>
      </c>
      <c r="N309" s="431" t="n">
        <v>1993</v>
      </c>
      <c r="O309" s="446" t="n">
        <v>6829</v>
      </c>
      <c r="P309" s="446" t="n">
        <v>13273</v>
      </c>
      <c r="Q309" s="157" t="n">
        <v>30</v>
      </c>
      <c r="R309" s="157" t="n">
        <v>14</v>
      </c>
      <c r="S309" s="157" t="n">
        <v>1</v>
      </c>
      <c r="T309" s="457" t="s">
        <v>7531</v>
      </c>
      <c r="U309" s="457" t="n">
        <v>398</v>
      </c>
      <c r="V309" s="458" t="n">
        <v>317659</v>
      </c>
      <c r="W309" s="458" t="n">
        <v>320000</v>
      </c>
      <c r="X309" s="464" t="s">
        <v>6724</v>
      </c>
      <c r="Y309" s="458" t="n">
        <v>120000</v>
      </c>
      <c r="Z309" s="457" t="s">
        <v>6638</v>
      </c>
      <c r="AC309" s="431"/>
      <c r="AD309" s="437" t="s">
        <v>6725</v>
      </c>
      <c r="AE309" s="167"/>
      <c r="AF309" s="167"/>
      <c r="AG309" s="167"/>
      <c r="AH309" s="167"/>
      <c r="AI309" s="167"/>
      <c r="AJ309" s="167"/>
      <c r="AK309" s="465" t="s">
        <v>7597</v>
      </c>
      <c r="AM309" s="157"/>
    </row>
    <row r="310" customFormat="false" ht="12.75" hidden="false" customHeight="true" outlineLevel="0" collapsed="false">
      <c r="A310" s="441" t="n">
        <v>7</v>
      </c>
      <c r="B310" s="157" t="n">
        <v>301</v>
      </c>
      <c r="C310" s="437" t="s">
        <v>7523</v>
      </c>
      <c r="D310" s="157" t="s">
        <v>6736</v>
      </c>
      <c r="E310" s="461" t="s">
        <v>2461</v>
      </c>
      <c r="F310" s="157" t="s">
        <v>7598</v>
      </c>
      <c r="G310" s="445" t="n">
        <v>44.2</v>
      </c>
      <c r="H310" s="431" t="n">
        <v>9101</v>
      </c>
      <c r="I310" s="457" t="n">
        <v>0</v>
      </c>
      <c r="J310" s="458" t="n">
        <v>11440</v>
      </c>
      <c r="K310" s="462" t="n">
        <v>6.29370629370629</v>
      </c>
      <c r="L310" s="463" t="n">
        <v>0</v>
      </c>
      <c r="M310" s="463" t="n">
        <v>0</v>
      </c>
      <c r="N310" s="431" t="n">
        <v>1974</v>
      </c>
      <c r="O310" s="446" t="n">
        <v>1564</v>
      </c>
      <c r="Q310" s="157" t="n">
        <v>22</v>
      </c>
      <c r="R310" s="157" t="n">
        <v>1</v>
      </c>
      <c r="S310" s="157" t="n">
        <v>1</v>
      </c>
      <c r="T310" s="457" t="s">
        <v>7531</v>
      </c>
      <c r="U310" s="457" t="n">
        <v>398</v>
      </c>
      <c r="V310" s="458" t="n">
        <v>21764</v>
      </c>
      <c r="W310" s="458" t="n">
        <v>22000</v>
      </c>
      <c r="X310" s="464" t="s">
        <v>6675</v>
      </c>
      <c r="Y310" s="458" t="n">
        <v>11000</v>
      </c>
      <c r="Z310" s="457" t="s">
        <v>6638</v>
      </c>
      <c r="AC310" s="431"/>
      <c r="AD310" s="437"/>
      <c r="AE310" s="167"/>
      <c r="AF310" s="167"/>
      <c r="AG310" s="167"/>
      <c r="AH310" s="167"/>
      <c r="AI310" s="167"/>
      <c r="AJ310" s="167"/>
      <c r="AK310" s="465" t="s">
        <v>7527</v>
      </c>
      <c r="AM310" s="157"/>
    </row>
    <row r="311" customFormat="false" ht="12.75" hidden="false" customHeight="true" outlineLevel="0" collapsed="false">
      <c r="A311" s="441" t="n">
        <v>7</v>
      </c>
      <c r="B311" s="157" t="n">
        <v>302</v>
      </c>
      <c r="C311" s="437" t="s">
        <v>7523</v>
      </c>
      <c r="D311" s="157" t="s">
        <v>6738</v>
      </c>
      <c r="E311" s="461" t="s">
        <v>2461</v>
      </c>
      <c r="F311" s="157" t="s">
        <v>7599</v>
      </c>
      <c r="G311" s="445" t="n">
        <v>44.2</v>
      </c>
      <c r="H311" s="431" t="n">
        <v>9101</v>
      </c>
      <c r="I311" s="457" t="n">
        <v>0</v>
      </c>
      <c r="J311" s="458" t="n">
        <v>40200</v>
      </c>
      <c r="K311" s="462" t="n">
        <v>5.97014925373134</v>
      </c>
      <c r="L311" s="463" t="n">
        <v>0</v>
      </c>
      <c r="M311" s="463" t="n">
        <v>0.0671541666666667</v>
      </c>
      <c r="N311" s="431" t="n">
        <v>1966</v>
      </c>
      <c r="O311" s="446" t="n">
        <v>0</v>
      </c>
      <c r="Q311" s="157" t="n">
        <v>30</v>
      </c>
      <c r="R311" s="157" t="n">
        <v>1</v>
      </c>
      <c r="S311" s="157" t="n">
        <v>1</v>
      </c>
      <c r="T311" s="457" t="s">
        <v>7531</v>
      </c>
      <c r="U311" s="457" t="n">
        <v>398</v>
      </c>
      <c r="V311" s="458" t="n">
        <v>102703</v>
      </c>
      <c r="W311" s="458" t="n">
        <v>100000</v>
      </c>
      <c r="X311" s="464" t="s">
        <v>6724</v>
      </c>
      <c r="Y311" s="458" t="n">
        <v>40000</v>
      </c>
      <c r="Z311" s="457" t="s">
        <v>6638</v>
      </c>
      <c r="AC311" s="431"/>
      <c r="AD311" s="437" t="s">
        <v>6740</v>
      </c>
      <c r="AE311" s="167"/>
      <c r="AF311" s="167"/>
      <c r="AG311" s="167"/>
      <c r="AH311" s="167"/>
      <c r="AI311" s="167"/>
      <c r="AJ311" s="167"/>
      <c r="AK311" s="465"/>
      <c r="AM311" s="157"/>
    </row>
    <row r="312" customFormat="false" ht="12.75" hidden="false" customHeight="true" outlineLevel="0" collapsed="false">
      <c r="A312" s="441" t="n">
        <v>7</v>
      </c>
      <c r="B312" s="157" t="n">
        <v>303</v>
      </c>
      <c r="C312" s="437" t="s">
        <v>7523</v>
      </c>
      <c r="D312" s="157" t="s">
        <v>7600</v>
      </c>
      <c r="E312" s="461" t="s">
        <v>2461</v>
      </c>
      <c r="F312" s="157" t="s">
        <v>7601</v>
      </c>
      <c r="G312" s="445" t="n">
        <v>44.2</v>
      </c>
      <c r="H312" s="431" t="n">
        <v>9101</v>
      </c>
      <c r="I312" s="457" t="n">
        <v>0</v>
      </c>
      <c r="J312" s="458" t="n">
        <v>14222</v>
      </c>
      <c r="K312" s="462" t="n">
        <v>5.06257910279848</v>
      </c>
      <c r="L312" s="463" t="n">
        <v>0</v>
      </c>
      <c r="M312" s="463" t="n">
        <v>0</v>
      </c>
      <c r="N312" s="431" t="n">
        <v>1986</v>
      </c>
      <c r="O312" s="446" t="n">
        <v>1731</v>
      </c>
      <c r="Q312" s="157" t="n">
        <v>18</v>
      </c>
      <c r="R312" s="157" t="n">
        <v>8</v>
      </c>
      <c r="S312" s="157" t="n">
        <v>1</v>
      </c>
      <c r="T312" s="457" t="s">
        <v>7531</v>
      </c>
      <c r="U312" s="457" t="n">
        <v>398</v>
      </c>
      <c r="V312" s="458" t="n">
        <v>99260</v>
      </c>
      <c r="W312" s="458" t="n">
        <v>99000</v>
      </c>
      <c r="X312" s="464" t="s">
        <v>7602</v>
      </c>
      <c r="Y312" s="458" t="n">
        <v>14000</v>
      </c>
      <c r="Z312" s="457" t="s">
        <v>6638</v>
      </c>
      <c r="AC312" s="431"/>
      <c r="AD312" s="437" t="s">
        <v>7603</v>
      </c>
      <c r="AE312" s="167"/>
      <c r="AF312" s="167"/>
      <c r="AG312" s="167"/>
      <c r="AH312" s="167"/>
      <c r="AI312" s="167"/>
      <c r="AJ312" s="167"/>
      <c r="AK312" s="465"/>
      <c r="AM312" s="157"/>
    </row>
    <row r="313" customFormat="false" ht="12.75" hidden="false" customHeight="true" outlineLevel="0" collapsed="false">
      <c r="A313" s="441" t="n">
        <v>7</v>
      </c>
      <c r="B313" s="157" t="n">
        <v>304</v>
      </c>
      <c r="C313" s="437" t="s">
        <v>7523</v>
      </c>
      <c r="D313" s="157" t="s">
        <v>7604</v>
      </c>
      <c r="E313" s="461" t="s">
        <v>2461</v>
      </c>
      <c r="F313" s="157" t="s">
        <v>7605</v>
      </c>
      <c r="G313" s="431" t="n">
        <v>44.1</v>
      </c>
      <c r="H313" s="431" t="n">
        <v>9101</v>
      </c>
      <c r="I313" s="457" t="n">
        <v>0</v>
      </c>
      <c r="J313" s="458" t="n">
        <v>20300</v>
      </c>
      <c r="K313" s="462" t="n">
        <v>5.32019704433498</v>
      </c>
      <c r="L313" s="463" t="n">
        <v>0</v>
      </c>
      <c r="M313" s="463" t="n">
        <v>0.110185185185185</v>
      </c>
      <c r="N313" s="431" t="n">
        <v>1978</v>
      </c>
      <c r="O313" s="446" t="n">
        <v>2080</v>
      </c>
      <c r="Q313" s="157" t="n">
        <v>15</v>
      </c>
      <c r="R313" s="157" t="n">
        <v>1</v>
      </c>
      <c r="S313" s="157" t="n">
        <v>1</v>
      </c>
      <c r="T313" s="457" t="s">
        <v>7531</v>
      </c>
      <c r="U313" s="457" t="n">
        <v>398</v>
      </c>
      <c r="V313" s="458" t="n">
        <v>60517</v>
      </c>
      <c r="W313" s="458" t="n">
        <v>61000</v>
      </c>
      <c r="X313" s="464" t="s">
        <v>7563</v>
      </c>
      <c r="Y313" s="458" t="n">
        <v>20000</v>
      </c>
      <c r="Z313" s="457" t="s">
        <v>6638</v>
      </c>
      <c r="AC313" s="431"/>
      <c r="AD313" s="437" t="s">
        <v>7606</v>
      </c>
      <c r="AE313" s="167"/>
      <c r="AF313" s="167"/>
      <c r="AG313" s="167"/>
      <c r="AH313" s="167"/>
      <c r="AI313" s="167"/>
      <c r="AJ313" s="167"/>
      <c r="AK313" s="465"/>
      <c r="AM313" s="157"/>
    </row>
    <row r="314" customFormat="false" ht="12.75" hidden="false" customHeight="true" outlineLevel="0" collapsed="false">
      <c r="A314" s="441" t="n">
        <v>7</v>
      </c>
      <c r="B314" s="157" t="n">
        <v>305</v>
      </c>
      <c r="C314" s="437" t="s">
        <v>7523</v>
      </c>
      <c r="D314" s="157" t="s">
        <v>6749</v>
      </c>
      <c r="E314" s="461" t="s">
        <v>2461</v>
      </c>
      <c r="F314" s="157" t="s">
        <v>7607</v>
      </c>
      <c r="G314" s="445" t="n">
        <v>44.2</v>
      </c>
      <c r="H314" s="431" t="n">
        <v>9101</v>
      </c>
      <c r="I314" s="457" t="n">
        <v>0</v>
      </c>
      <c r="J314" s="458" t="n">
        <v>29447</v>
      </c>
      <c r="K314" s="462" t="n">
        <v>4.07511800862567</v>
      </c>
      <c r="L314" s="463" t="n">
        <v>0</v>
      </c>
      <c r="M314" s="463" t="n">
        <v>0</v>
      </c>
      <c r="N314" s="431" t="n">
        <v>1967</v>
      </c>
      <c r="O314" s="446" t="n">
        <v>7053</v>
      </c>
      <c r="Q314" s="157" t="n">
        <v>24</v>
      </c>
      <c r="R314" s="157" t="n">
        <v>10</v>
      </c>
      <c r="S314" s="157" t="n">
        <v>1</v>
      </c>
      <c r="T314" s="457" t="s">
        <v>7531</v>
      </c>
      <c r="U314" s="457" t="n">
        <v>398</v>
      </c>
      <c r="V314" s="458" t="n">
        <v>90213</v>
      </c>
      <c r="W314" s="458" t="n">
        <v>90000</v>
      </c>
      <c r="X314" s="464" t="s">
        <v>6751</v>
      </c>
      <c r="Y314" s="458" t="n">
        <v>29000</v>
      </c>
      <c r="Z314" s="457" t="s">
        <v>6638</v>
      </c>
      <c r="AC314" s="431"/>
      <c r="AD314" s="437"/>
      <c r="AE314" s="167"/>
      <c r="AF314" s="167"/>
      <c r="AG314" s="167"/>
      <c r="AH314" s="167"/>
      <c r="AI314" s="167"/>
      <c r="AJ314" s="167"/>
      <c r="AK314" s="465" t="s">
        <v>7527</v>
      </c>
      <c r="AM314" s="157"/>
    </row>
    <row r="315" customFormat="false" ht="12.75" hidden="false" customHeight="true" outlineLevel="0" collapsed="false">
      <c r="A315" s="441" t="n">
        <v>7</v>
      </c>
      <c r="B315" s="157" t="n">
        <v>306</v>
      </c>
      <c r="C315" s="437" t="s">
        <v>7523</v>
      </c>
      <c r="D315" s="157" t="s">
        <v>7608</v>
      </c>
      <c r="E315" s="461" t="s">
        <v>2461</v>
      </c>
      <c r="F315" s="157" t="s">
        <v>7609</v>
      </c>
      <c r="G315" s="445" t="n">
        <v>44.2</v>
      </c>
      <c r="H315" s="431" t="n">
        <v>9101</v>
      </c>
      <c r="I315" s="457" t="n">
        <v>0</v>
      </c>
      <c r="J315" s="458" t="n">
        <v>43880</v>
      </c>
      <c r="K315" s="462" t="n">
        <v>2.73473108477666</v>
      </c>
      <c r="L315" s="463" t="n">
        <v>0</v>
      </c>
      <c r="M315" s="463" t="n">
        <v>0.0333333333333333</v>
      </c>
      <c r="N315" s="431" t="n">
        <v>1953</v>
      </c>
      <c r="O315" s="446" t="n">
        <v>8618</v>
      </c>
      <c r="Q315" s="157" t="n">
        <v>18</v>
      </c>
      <c r="R315" s="157" t="n">
        <v>4</v>
      </c>
      <c r="S315" s="157" t="n">
        <v>1</v>
      </c>
      <c r="T315" s="457" t="s">
        <v>7531</v>
      </c>
      <c r="U315" s="457" t="n">
        <v>398</v>
      </c>
      <c r="V315" s="458" t="n">
        <v>89166</v>
      </c>
      <c r="W315" s="458" t="n">
        <v>89000</v>
      </c>
      <c r="X315" s="464" t="s">
        <v>7546</v>
      </c>
      <c r="Y315" s="458" t="n">
        <v>44000</v>
      </c>
      <c r="Z315" s="457" t="s">
        <v>6638</v>
      </c>
      <c r="AC315" s="431"/>
      <c r="AD315" s="437" t="s">
        <v>7610</v>
      </c>
      <c r="AE315" s="167"/>
      <c r="AF315" s="167"/>
      <c r="AG315" s="167"/>
      <c r="AH315" s="167"/>
      <c r="AI315" s="167"/>
      <c r="AJ315" s="167"/>
      <c r="AK315" s="465" t="s">
        <v>7527</v>
      </c>
      <c r="AM315" s="157"/>
    </row>
    <row r="316" customFormat="false" ht="12.75" hidden="false" customHeight="true" outlineLevel="0" collapsed="false">
      <c r="A316" s="441" t="n">
        <v>7</v>
      </c>
      <c r="B316" s="157" t="n">
        <v>307</v>
      </c>
      <c r="C316" s="437" t="s">
        <v>7523</v>
      </c>
      <c r="D316" s="157" t="s">
        <v>7611</v>
      </c>
      <c r="E316" s="461" t="s">
        <v>2461</v>
      </c>
      <c r="F316" s="157" t="s">
        <v>7612</v>
      </c>
      <c r="G316" s="445" t="n">
        <v>44.2</v>
      </c>
      <c r="H316" s="431" t="n">
        <v>9101</v>
      </c>
      <c r="I316" s="457" t="n">
        <v>0</v>
      </c>
      <c r="J316" s="458" t="n">
        <v>12559</v>
      </c>
      <c r="K316" s="462" t="n">
        <v>3.96122302731109</v>
      </c>
      <c r="L316" s="463" t="n">
        <v>0</v>
      </c>
      <c r="M316" s="463" t="n">
        <v>0.176646766769181</v>
      </c>
      <c r="N316" s="431" t="n">
        <v>1953</v>
      </c>
      <c r="O316" s="446" t="n">
        <v>0</v>
      </c>
      <c r="P316" s="446" t="n">
        <v>1233</v>
      </c>
      <c r="Q316" s="157" t="n">
        <v>15</v>
      </c>
      <c r="R316" s="157" t="n">
        <v>3</v>
      </c>
      <c r="S316" s="157" t="n">
        <v>1</v>
      </c>
      <c r="T316" s="457" t="s">
        <v>7531</v>
      </c>
      <c r="U316" s="457" t="n">
        <v>398</v>
      </c>
      <c r="V316" s="458" t="n">
        <v>25000</v>
      </c>
      <c r="W316" s="458" t="n">
        <v>25000</v>
      </c>
      <c r="X316" s="464" t="s">
        <v>7546</v>
      </c>
      <c r="Y316" s="458" t="n">
        <v>13000</v>
      </c>
      <c r="Z316" s="457" t="s">
        <v>6638</v>
      </c>
      <c r="AC316" s="431"/>
      <c r="AD316" s="437"/>
      <c r="AE316" s="167"/>
      <c r="AF316" s="167"/>
      <c r="AG316" s="167"/>
      <c r="AH316" s="167"/>
      <c r="AI316" s="167"/>
      <c r="AJ316" s="167"/>
      <c r="AK316" s="465"/>
      <c r="AM316" s="157"/>
    </row>
    <row r="317" customFormat="false" ht="25.5" hidden="false" customHeight="true" outlineLevel="0" collapsed="false">
      <c r="A317" s="441" t="n">
        <v>7</v>
      </c>
      <c r="B317" s="157" t="n">
        <v>308</v>
      </c>
      <c r="C317" s="437" t="s">
        <v>7523</v>
      </c>
      <c r="D317" s="157" t="s">
        <v>6765</v>
      </c>
      <c r="E317" s="461" t="s">
        <v>2461</v>
      </c>
      <c r="F317" s="157" t="s">
        <v>7613</v>
      </c>
      <c r="G317" s="445" t="n">
        <v>44.2</v>
      </c>
      <c r="H317" s="431" t="n">
        <v>9101</v>
      </c>
      <c r="I317" s="457" t="n">
        <v>0</v>
      </c>
      <c r="J317" s="458" t="n">
        <v>1200</v>
      </c>
      <c r="K317" s="462" t="n">
        <v>5.75</v>
      </c>
      <c r="L317" s="463" t="n">
        <v>0</v>
      </c>
      <c r="M317" s="463" t="n">
        <v>0.285797101449275</v>
      </c>
      <c r="N317" s="431" t="n">
        <v>1961</v>
      </c>
      <c r="O317" s="446" t="n">
        <v>3164</v>
      </c>
      <c r="Q317" s="157" t="n">
        <v>15</v>
      </c>
      <c r="R317" s="157" t="n">
        <v>3</v>
      </c>
      <c r="S317" s="157" t="n">
        <v>1</v>
      </c>
      <c r="T317" s="457" t="s">
        <v>7529</v>
      </c>
      <c r="U317" s="457" t="n">
        <v>398</v>
      </c>
      <c r="V317" s="458" t="n">
        <v>14387</v>
      </c>
      <c r="W317" s="458" t="n">
        <v>14000</v>
      </c>
      <c r="X317" s="464" t="s">
        <v>7546</v>
      </c>
      <c r="Y317" s="458" t="n">
        <v>1000</v>
      </c>
      <c r="Z317" s="457" t="s">
        <v>6696</v>
      </c>
      <c r="AC317" s="431"/>
      <c r="AD317" s="437"/>
      <c r="AE317" s="167"/>
      <c r="AF317" s="167"/>
      <c r="AG317" s="167"/>
      <c r="AH317" s="167"/>
      <c r="AI317" s="167"/>
      <c r="AJ317" s="167"/>
      <c r="AK317" s="465" t="s">
        <v>7614</v>
      </c>
      <c r="AM317" s="157"/>
    </row>
    <row r="318" customFormat="false" ht="12.75" hidden="false" customHeight="true" outlineLevel="0" collapsed="false">
      <c r="A318" s="441" t="n">
        <v>7</v>
      </c>
      <c r="B318" s="157" t="n">
        <v>309</v>
      </c>
      <c r="C318" s="437" t="s">
        <v>7523</v>
      </c>
      <c r="D318" s="157" t="s">
        <v>7615</v>
      </c>
      <c r="E318" s="461" t="s">
        <v>2461</v>
      </c>
      <c r="F318" s="157" t="s">
        <v>7616</v>
      </c>
      <c r="G318" s="445" t="n">
        <v>45.1</v>
      </c>
      <c r="H318" s="431" t="n">
        <v>9101</v>
      </c>
      <c r="I318" s="457" t="n">
        <v>0</v>
      </c>
      <c r="J318" s="458" t="n">
        <v>10250</v>
      </c>
      <c r="K318" s="462" t="n">
        <v>6.34839024390244</v>
      </c>
      <c r="L318" s="463" t="n">
        <v>1</v>
      </c>
      <c r="M318" s="463" t="n">
        <v>0</v>
      </c>
      <c r="N318" s="431" t="n">
        <v>1965</v>
      </c>
      <c r="O318" s="446" t="n">
        <v>2584</v>
      </c>
      <c r="Q318" s="157" t="n">
        <v>18</v>
      </c>
      <c r="R318" s="157" t="n">
        <v>1</v>
      </c>
      <c r="S318" s="157" t="n">
        <v>1</v>
      </c>
      <c r="T318" s="457" t="s">
        <v>7526</v>
      </c>
      <c r="U318" s="457" t="n">
        <v>401</v>
      </c>
      <c r="V318" s="458" t="n">
        <v>18500</v>
      </c>
      <c r="W318" s="458" t="n">
        <v>19000</v>
      </c>
      <c r="X318" s="464" t="s">
        <v>6863</v>
      </c>
      <c r="Y318" s="458" t="n">
        <v>10000</v>
      </c>
      <c r="Z318" s="457" t="s">
        <v>6638</v>
      </c>
      <c r="AC318" s="431"/>
      <c r="AD318" s="437" t="s">
        <v>7617</v>
      </c>
      <c r="AE318" s="167"/>
      <c r="AF318" s="167"/>
      <c r="AG318" s="167"/>
      <c r="AH318" s="167"/>
      <c r="AI318" s="167"/>
      <c r="AJ318" s="167"/>
      <c r="AK318" s="465" t="s">
        <v>7618</v>
      </c>
      <c r="AM318" s="157"/>
    </row>
    <row r="319" customFormat="false" ht="25.5" hidden="false" customHeight="true" outlineLevel="0" collapsed="false">
      <c r="A319" s="441" t="n">
        <v>7</v>
      </c>
      <c r="B319" s="157" t="n">
        <v>310</v>
      </c>
      <c r="C319" s="437" t="s">
        <v>7523</v>
      </c>
      <c r="D319" s="157" t="s">
        <v>6770</v>
      </c>
      <c r="E319" s="461" t="s">
        <v>2461</v>
      </c>
      <c r="F319" s="157" t="s">
        <v>7619</v>
      </c>
      <c r="G319" s="445" t="n">
        <v>44.2</v>
      </c>
      <c r="H319" s="431" t="n">
        <v>9101</v>
      </c>
      <c r="I319" s="457" t="n">
        <v>0</v>
      </c>
      <c r="J319" s="458" t="n">
        <v>16770</v>
      </c>
      <c r="K319" s="462" t="n">
        <v>4.72271914132379</v>
      </c>
      <c r="L319" s="463" t="n">
        <v>0</v>
      </c>
      <c r="M319" s="463" t="n">
        <v>0.126136363636364</v>
      </c>
      <c r="N319" s="431" t="n">
        <v>1980</v>
      </c>
      <c r="O319" s="446" t="n">
        <v>3949</v>
      </c>
      <c r="Q319" s="157" t="n">
        <v>14</v>
      </c>
      <c r="R319" s="157" t="n">
        <v>1</v>
      </c>
      <c r="S319" s="157" t="n">
        <v>1</v>
      </c>
      <c r="T319" s="457" t="s">
        <v>7526</v>
      </c>
      <c r="U319" s="457" t="n">
        <v>398</v>
      </c>
      <c r="V319" s="458" t="n">
        <v>39942</v>
      </c>
      <c r="W319" s="458" t="n">
        <v>40000</v>
      </c>
      <c r="X319" s="464" t="s">
        <v>6650</v>
      </c>
      <c r="Y319" s="458" t="n">
        <v>17000</v>
      </c>
      <c r="Z319" s="457" t="s">
        <v>6638</v>
      </c>
      <c r="AC319" s="431"/>
      <c r="AD319" s="437" t="s">
        <v>6651</v>
      </c>
      <c r="AE319" s="167"/>
      <c r="AF319" s="167"/>
      <c r="AG319" s="167"/>
      <c r="AH319" s="167"/>
      <c r="AI319" s="167"/>
      <c r="AJ319" s="167"/>
      <c r="AK319" s="465" t="s">
        <v>7620</v>
      </c>
      <c r="AM319" s="157"/>
    </row>
    <row r="320" customFormat="false" ht="12.75" hidden="false" customHeight="true" outlineLevel="0" collapsed="false">
      <c r="A320" s="441" t="n">
        <v>7</v>
      </c>
      <c r="B320" s="157" t="n">
        <v>311</v>
      </c>
      <c r="C320" s="437" t="s">
        <v>7523</v>
      </c>
      <c r="D320" s="157" t="s">
        <v>7621</v>
      </c>
      <c r="E320" s="461" t="s">
        <v>2461</v>
      </c>
      <c r="F320" s="157" t="s">
        <v>7622</v>
      </c>
      <c r="G320" s="431" t="n">
        <v>44.1</v>
      </c>
      <c r="H320" s="431" t="n">
        <v>9101</v>
      </c>
      <c r="I320" s="457" t="n">
        <v>0</v>
      </c>
      <c r="J320" s="458" t="n">
        <v>18901</v>
      </c>
      <c r="K320" s="462" t="n">
        <v>5.71398338712238</v>
      </c>
      <c r="L320" s="463" t="n">
        <v>0.5</v>
      </c>
      <c r="M320" s="463" t="n">
        <v>0</v>
      </c>
      <c r="N320" s="431" t="n">
        <v>1959</v>
      </c>
      <c r="O320" s="446" t="n">
        <v>3532</v>
      </c>
      <c r="Q320" s="157" t="n">
        <v>12</v>
      </c>
      <c r="R320" s="157" t="n">
        <v>1</v>
      </c>
      <c r="S320" s="157" t="n">
        <v>1</v>
      </c>
      <c r="T320" s="457" t="s">
        <v>7529</v>
      </c>
      <c r="U320" s="457" t="n">
        <v>398</v>
      </c>
      <c r="V320" s="458" t="n">
        <v>43080</v>
      </c>
      <c r="W320" s="458" t="n">
        <v>43000</v>
      </c>
      <c r="X320" s="464" t="s">
        <v>6646</v>
      </c>
      <c r="Y320" s="458" t="n">
        <v>19000</v>
      </c>
      <c r="Z320" s="457" t="s">
        <v>6638</v>
      </c>
      <c r="AC320" s="431"/>
      <c r="AD320" s="437" t="s">
        <v>6758</v>
      </c>
      <c r="AE320" s="167"/>
      <c r="AF320" s="167"/>
      <c r="AG320" s="167"/>
      <c r="AH320" s="167"/>
      <c r="AI320" s="167"/>
      <c r="AJ320" s="167"/>
      <c r="AK320" s="465"/>
      <c r="AL320" s="157" t="n">
        <f aca="false">IF(AND(ISNUMBER($S320),$S320&gt;0,ISNUMBER($K320),ISNUMBER($J320)),($K320*$J320)/$S320,"")</f>
        <v>108000</v>
      </c>
    </row>
    <row r="321" customFormat="false" ht="12.75" hidden="false" customHeight="true" outlineLevel="0" collapsed="false">
      <c r="A321" s="441" t="n">
        <v>7</v>
      </c>
      <c r="B321" s="157" t="n">
        <v>312</v>
      </c>
      <c r="C321" s="437" t="s">
        <v>7523</v>
      </c>
      <c r="D321" s="157" t="s">
        <v>7623</v>
      </c>
      <c r="E321" s="461" t="s">
        <v>2461</v>
      </c>
      <c r="F321" s="157" t="s">
        <v>7624</v>
      </c>
      <c r="G321" s="431" t="n">
        <v>44.1</v>
      </c>
      <c r="H321" s="431" t="n">
        <v>9101</v>
      </c>
      <c r="I321" s="457" t="n">
        <v>0</v>
      </c>
      <c r="J321" s="458" t="n">
        <v>11308</v>
      </c>
      <c r="K321" s="462" t="n">
        <v>4.98761938450654</v>
      </c>
      <c r="L321" s="463" t="n">
        <v>0.42</v>
      </c>
      <c r="M321" s="463" t="n">
        <v>0</v>
      </c>
      <c r="N321" s="431" t="n">
        <v>1976</v>
      </c>
      <c r="O321" s="446" t="n">
        <v>1392</v>
      </c>
      <c r="Q321" s="157" t="n">
        <v>19</v>
      </c>
      <c r="R321" s="157" t="n">
        <v>10</v>
      </c>
      <c r="S321" s="157" t="n">
        <v>1</v>
      </c>
      <c r="T321" s="457" t="s">
        <v>7526</v>
      </c>
      <c r="U321" s="457" t="n">
        <v>398</v>
      </c>
      <c r="V321" s="458" t="n">
        <v>35505</v>
      </c>
      <c r="W321" s="458" t="n">
        <v>36000</v>
      </c>
      <c r="X321" s="464" t="s">
        <v>6751</v>
      </c>
      <c r="Y321" s="458" t="n">
        <v>11000</v>
      </c>
      <c r="Z321" s="457" t="s">
        <v>6638</v>
      </c>
      <c r="AC321" s="431"/>
      <c r="AD321" s="437"/>
      <c r="AE321" s="167"/>
      <c r="AF321" s="167"/>
      <c r="AG321" s="167"/>
      <c r="AH321" s="167"/>
      <c r="AI321" s="167"/>
      <c r="AJ321" s="167"/>
      <c r="AK321" s="465"/>
      <c r="AM321" s="157"/>
    </row>
    <row r="322" customFormat="false" ht="12.75" hidden="false" customHeight="true" outlineLevel="0" collapsed="false">
      <c r="A322" s="441" t="n">
        <v>7</v>
      </c>
      <c r="B322" s="157" t="n">
        <v>313</v>
      </c>
      <c r="C322" s="437" t="s">
        <v>7523</v>
      </c>
      <c r="D322" s="157" t="s">
        <v>7625</v>
      </c>
      <c r="E322" s="461" t="s">
        <v>2461</v>
      </c>
      <c r="F322" s="157" t="s">
        <v>7626</v>
      </c>
      <c r="G322" s="445" t="n">
        <v>46.1</v>
      </c>
      <c r="H322" s="431" t="n">
        <v>9101</v>
      </c>
      <c r="I322" s="457" t="n">
        <v>0</v>
      </c>
      <c r="J322" s="458" t="n">
        <v>80137</v>
      </c>
      <c r="K322" s="462" t="n">
        <v>6.49999376068483</v>
      </c>
      <c r="L322" s="463" t="n">
        <v>0</v>
      </c>
      <c r="M322" s="463" t="n">
        <v>0</v>
      </c>
      <c r="N322" s="431" t="n">
        <v>1975</v>
      </c>
      <c r="O322" s="446" t="n">
        <v>0</v>
      </c>
      <c r="P322" s="446" t="n">
        <v>12308</v>
      </c>
      <c r="Q322" s="157" t="n">
        <v>17</v>
      </c>
      <c r="R322" s="157" t="n">
        <v>1</v>
      </c>
      <c r="S322" s="157" t="n">
        <v>1</v>
      </c>
      <c r="T322" s="457" t="s">
        <v>7526</v>
      </c>
      <c r="U322" s="457" t="n">
        <v>401</v>
      </c>
      <c r="V322" s="458" t="n">
        <v>157000</v>
      </c>
      <c r="W322" s="458" t="n">
        <v>160000</v>
      </c>
      <c r="X322" s="464" t="s">
        <v>7546</v>
      </c>
      <c r="Y322" s="458" t="n">
        <v>80000</v>
      </c>
      <c r="Z322" s="457" t="s">
        <v>6638</v>
      </c>
      <c r="AC322" s="431"/>
      <c r="AD322" s="437" t="s">
        <v>7627</v>
      </c>
      <c r="AE322" s="167"/>
      <c r="AF322" s="167"/>
      <c r="AG322" s="167"/>
      <c r="AH322" s="167"/>
      <c r="AI322" s="167"/>
      <c r="AJ322" s="167"/>
      <c r="AK322" s="465"/>
      <c r="AM322" s="157"/>
    </row>
    <row r="323" customFormat="false" ht="25.5" hidden="false" customHeight="true" outlineLevel="0" collapsed="false">
      <c r="A323" s="441" t="n">
        <v>7</v>
      </c>
      <c r="B323" s="157" t="n">
        <v>314</v>
      </c>
      <c r="C323" s="437" t="s">
        <v>7523</v>
      </c>
      <c r="D323" s="157" t="s">
        <v>6776</v>
      </c>
      <c r="E323" s="461" t="s">
        <v>2461</v>
      </c>
      <c r="F323" s="157" t="s">
        <v>7628</v>
      </c>
      <c r="G323" s="431" t="n">
        <v>44.1</v>
      </c>
      <c r="H323" s="431" t="n">
        <v>9101</v>
      </c>
      <c r="I323" s="457" t="n">
        <v>0</v>
      </c>
      <c r="J323" s="458" t="n">
        <v>6579</v>
      </c>
      <c r="K323" s="462" t="n">
        <v>6.14303085575315</v>
      </c>
      <c r="L323" s="463" t="n">
        <v>0</v>
      </c>
      <c r="M323" s="463" t="n">
        <v>0.146529753804281</v>
      </c>
      <c r="N323" s="431" t="n">
        <v>1926</v>
      </c>
      <c r="O323" s="446" t="n">
        <v>1620</v>
      </c>
      <c r="Q323" s="157" t="n">
        <v>10</v>
      </c>
      <c r="R323" s="157" t="n">
        <v>1</v>
      </c>
      <c r="S323" s="157" t="n">
        <v>1</v>
      </c>
      <c r="T323" s="457" t="s">
        <v>7529</v>
      </c>
      <c r="U323" s="457" t="n">
        <v>398</v>
      </c>
      <c r="V323" s="458" t="n">
        <v>92437</v>
      </c>
      <c r="W323" s="458" t="n">
        <v>92000</v>
      </c>
      <c r="X323" s="464" t="s">
        <v>6778</v>
      </c>
      <c r="Y323" s="458" t="n">
        <v>7000</v>
      </c>
      <c r="Z323" s="457" t="s">
        <v>6638</v>
      </c>
      <c r="AC323" s="431"/>
      <c r="AD323" s="437"/>
      <c r="AE323" s="167"/>
      <c r="AF323" s="167"/>
      <c r="AG323" s="167"/>
      <c r="AH323" s="167"/>
      <c r="AI323" s="167"/>
      <c r="AJ323" s="167"/>
      <c r="AK323" s="465" t="s">
        <v>7629</v>
      </c>
      <c r="AM323" s="157"/>
    </row>
    <row r="324" customFormat="false" ht="12.75" hidden="false" customHeight="true" outlineLevel="0" collapsed="false">
      <c r="A324" s="441" t="n">
        <v>7</v>
      </c>
      <c r="B324" s="157" t="n">
        <v>315</v>
      </c>
      <c r="C324" s="437" t="s">
        <v>7523</v>
      </c>
      <c r="D324" s="157" t="s">
        <v>7630</v>
      </c>
      <c r="E324" s="461" t="s">
        <v>2461</v>
      </c>
      <c r="F324" s="157" t="s">
        <v>7631</v>
      </c>
      <c r="G324" s="431" t="n">
        <v>44.1</v>
      </c>
      <c r="H324" s="431" t="n">
        <v>9101</v>
      </c>
      <c r="I324" s="457" t="n">
        <v>0</v>
      </c>
      <c r="J324" s="458" t="n">
        <v>73030</v>
      </c>
      <c r="K324" s="462" t="n">
        <v>2.46474051759551</v>
      </c>
      <c r="L324" s="463" t="n">
        <v>0</v>
      </c>
      <c r="M324" s="463" t="n">
        <v>0.0633666666666667</v>
      </c>
      <c r="N324" s="431" t="n">
        <v>1969</v>
      </c>
      <c r="O324" s="446" t="n">
        <v>5937</v>
      </c>
      <c r="Q324" s="157" t="n">
        <v>20</v>
      </c>
      <c r="R324" s="157" t="n">
        <v>3</v>
      </c>
      <c r="S324" s="157" t="n">
        <v>1</v>
      </c>
      <c r="T324" s="457" t="s">
        <v>7526</v>
      </c>
      <c r="U324" s="457" t="n">
        <v>398</v>
      </c>
      <c r="V324" s="458" t="n">
        <v>124455</v>
      </c>
      <c r="W324" s="458" t="n">
        <v>120000</v>
      </c>
      <c r="X324" s="464" t="s">
        <v>6954</v>
      </c>
      <c r="Y324" s="458" t="n">
        <v>73000</v>
      </c>
      <c r="Z324" s="457" t="s">
        <v>6638</v>
      </c>
      <c r="AC324" s="431"/>
      <c r="AD324" s="437" t="s">
        <v>7632</v>
      </c>
      <c r="AE324" s="167"/>
      <c r="AF324" s="167"/>
      <c r="AG324" s="167"/>
      <c r="AH324" s="167"/>
      <c r="AI324" s="167"/>
      <c r="AJ324" s="167"/>
      <c r="AK324" s="465"/>
      <c r="AM324" s="157"/>
    </row>
    <row r="325" customFormat="false" ht="12.75" hidden="false" customHeight="true" outlineLevel="0" collapsed="false">
      <c r="A325" s="441" t="n">
        <v>7</v>
      </c>
      <c r="B325" s="157" t="n">
        <v>316</v>
      </c>
      <c r="C325" s="437" t="s">
        <v>7523</v>
      </c>
      <c r="D325" s="157" t="s">
        <v>7633</v>
      </c>
      <c r="E325" s="461" t="s">
        <v>2461</v>
      </c>
      <c r="F325" s="157" t="s">
        <v>7634</v>
      </c>
      <c r="G325" s="431" t="n">
        <v>44.1</v>
      </c>
      <c r="H325" s="431" t="n">
        <v>9101</v>
      </c>
      <c r="I325" s="457" t="n">
        <v>0</v>
      </c>
      <c r="J325" s="458" t="n">
        <v>7000</v>
      </c>
      <c r="K325" s="462" t="n">
        <v>5.14285714285714</v>
      </c>
      <c r="L325" s="463" t="n">
        <v>0</v>
      </c>
      <c r="M325" s="463" t="n">
        <v>0</v>
      </c>
      <c r="N325" s="431" t="n">
        <v>1963</v>
      </c>
      <c r="O325" s="446" t="n">
        <v>1400</v>
      </c>
      <c r="Q325" s="157" t="n">
        <v>12</v>
      </c>
      <c r="R325" s="157" t="n">
        <v>3</v>
      </c>
      <c r="S325" s="157" t="n">
        <v>1</v>
      </c>
      <c r="T325" s="457" t="s">
        <v>7526</v>
      </c>
      <c r="U325" s="457" t="n">
        <v>398</v>
      </c>
      <c r="V325" s="458" t="n">
        <v>18600</v>
      </c>
      <c r="W325" s="458" t="n">
        <v>19000</v>
      </c>
      <c r="X325" s="464" t="s">
        <v>6757</v>
      </c>
      <c r="Y325" s="458" t="n">
        <v>7000</v>
      </c>
      <c r="Z325" s="457" t="s">
        <v>6638</v>
      </c>
      <c r="AC325" s="431"/>
      <c r="AD325" s="437"/>
      <c r="AE325" s="167"/>
      <c r="AF325" s="167"/>
      <c r="AG325" s="167"/>
      <c r="AH325" s="167"/>
      <c r="AI325" s="167"/>
      <c r="AJ325" s="167"/>
      <c r="AK325" s="465" t="s">
        <v>7635</v>
      </c>
      <c r="AM325" s="157"/>
    </row>
    <row r="326" customFormat="false" ht="12.75" hidden="false" customHeight="true" outlineLevel="0" collapsed="false">
      <c r="A326" s="441" t="n">
        <v>7</v>
      </c>
      <c r="B326" s="157" t="n">
        <v>317</v>
      </c>
      <c r="C326" s="437" t="s">
        <v>7523</v>
      </c>
      <c r="D326" s="157" t="s">
        <v>6797</v>
      </c>
      <c r="E326" s="461" t="s">
        <v>2461</v>
      </c>
      <c r="F326" s="157" t="s">
        <v>7636</v>
      </c>
      <c r="G326" s="431" t="n">
        <v>44.1</v>
      </c>
      <c r="H326" s="431" t="n">
        <v>9101</v>
      </c>
      <c r="I326" s="457" t="n">
        <v>0</v>
      </c>
      <c r="J326" s="458" t="n">
        <v>7200</v>
      </c>
      <c r="K326" s="462" t="n">
        <v>5.83333333333333</v>
      </c>
      <c r="L326" s="463" t="n">
        <v>0</v>
      </c>
      <c r="M326" s="463" t="n">
        <v>0.107357142857143</v>
      </c>
      <c r="N326" s="431" t="n">
        <v>1962</v>
      </c>
      <c r="O326" s="446" t="n">
        <v>2411</v>
      </c>
      <c r="Q326" s="157" t="n">
        <v>12</v>
      </c>
      <c r="R326" s="157" t="n">
        <v>3</v>
      </c>
      <c r="S326" s="157" t="n">
        <v>1</v>
      </c>
      <c r="T326" s="457" t="s">
        <v>7529</v>
      </c>
      <c r="U326" s="457" t="n">
        <v>398</v>
      </c>
      <c r="V326" s="458" t="n">
        <v>19800</v>
      </c>
      <c r="W326" s="458" t="n">
        <v>20000</v>
      </c>
      <c r="X326" s="464" t="s">
        <v>6664</v>
      </c>
      <c r="Y326" s="458" t="n">
        <v>7000</v>
      </c>
      <c r="Z326" s="457" t="s">
        <v>6638</v>
      </c>
      <c r="AC326" s="431"/>
      <c r="AD326" s="437" t="s">
        <v>6799</v>
      </c>
      <c r="AE326" s="167"/>
      <c r="AF326" s="167"/>
      <c r="AG326" s="167"/>
      <c r="AH326" s="167"/>
      <c r="AI326" s="167"/>
      <c r="AJ326" s="167"/>
      <c r="AK326" s="465" t="s">
        <v>7527</v>
      </c>
      <c r="AM326" s="157"/>
    </row>
    <row r="327" customFormat="false" ht="12.75" hidden="false" customHeight="true" outlineLevel="0" collapsed="false">
      <c r="A327" s="441" t="n">
        <v>7</v>
      </c>
      <c r="B327" s="157" t="n">
        <v>318</v>
      </c>
      <c r="C327" s="437" t="s">
        <v>7523</v>
      </c>
      <c r="D327" s="157" t="s">
        <v>6800</v>
      </c>
      <c r="E327" s="461" t="s">
        <v>2461</v>
      </c>
      <c r="F327" s="157" t="s">
        <v>7637</v>
      </c>
      <c r="G327" s="445" t="n">
        <v>44.1</v>
      </c>
      <c r="H327" s="431" t="n">
        <v>9101</v>
      </c>
      <c r="I327" s="457" t="n">
        <v>0</v>
      </c>
      <c r="J327" s="458" t="n">
        <v>6272</v>
      </c>
      <c r="K327" s="462" t="n">
        <v>5.83003826530612</v>
      </c>
      <c r="L327" s="463" t="n">
        <v>0</v>
      </c>
      <c r="M327" s="463" t="n">
        <v>0.0531914893617021</v>
      </c>
      <c r="N327" s="431" t="n">
        <v>1966</v>
      </c>
      <c r="O327" s="446" t="n">
        <v>1040</v>
      </c>
      <c r="Q327" s="157" t="n">
        <v>12</v>
      </c>
      <c r="R327" s="157" t="n">
        <v>1</v>
      </c>
      <c r="S327" s="157" t="n">
        <v>1</v>
      </c>
      <c r="T327" s="457" t="s">
        <v>7526</v>
      </c>
      <c r="U327" s="457" t="n">
        <v>401</v>
      </c>
      <c r="V327" s="458" t="n">
        <v>12951</v>
      </c>
      <c r="W327" s="458" t="n">
        <v>13000</v>
      </c>
      <c r="X327" s="464" t="s">
        <v>6754</v>
      </c>
      <c r="Y327" s="458" t="n">
        <v>6000</v>
      </c>
      <c r="Z327" s="457" t="s">
        <v>6638</v>
      </c>
      <c r="AC327" s="431"/>
      <c r="AD327" s="437" t="s">
        <v>6802</v>
      </c>
      <c r="AE327" s="167"/>
      <c r="AF327" s="167"/>
      <c r="AG327" s="167"/>
      <c r="AH327" s="167"/>
      <c r="AI327" s="167"/>
      <c r="AJ327" s="167"/>
      <c r="AK327" s="465"/>
      <c r="AM327" s="157"/>
    </row>
    <row r="328" customFormat="false" ht="25.5" hidden="false" customHeight="true" outlineLevel="0" collapsed="false">
      <c r="A328" s="441" t="n">
        <v>7</v>
      </c>
      <c r="B328" s="157" t="n">
        <v>319</v>
      </c>
      <c r="C328" s="437" t="s">
        <v>7523</v>
      </c>
      <c r="D328" s="157" t="s">
        <v>6803</v>
      </c>
      <c r="E328" s="461" t="s">
        <v>2461</v>
      </c>
      <c r="F328" s="157" t="s">
        <v>7638</v>
      </c>
      <c r="G328" s="445" t="n">
        <v>44.2</v>
      </c>
      <c r="H328" s="431" t="n">
        <v>9101</v>
      </c>
      <c r="I328" s="457" t="n">
        <v>0</v>
      </c>
      <c r="J328" s="458" t="n">
        <v>18000</v>
      </c>
      <c r="K328" s="462" t="n">
        <v>4.62333333333333</v>
      </c>
      <c r="L328" s="463" t="n">
        <v>0</v>
      </c>
      <c r="M328" s="463" t="n">
        <v>0.260706560922855</v>
      </c>
      <c r="N328" s="431" t="n">
        <v>1962</v>
      </c>
      <c r="O328" s="446" t="n">
        <v>9120</v>
      </c>
      <c r="Q328" s="157" t="n">
        <v>13</v>
      </c>
      <c r="R328" s="157" t="n">
        <v>3</v>
      </c>
      <c r="S328" s="157" t="n">
        <v>6</v>
      </c>
      <c r="T328" s="457" t="s">
        <v>7529</v>
      </c>
      <c r="U328" s="457" t="n">
        <v>398</v>
      </c>
      <c r="V328" s="458" t="n">
        <v>41400</v>
      </c>
      <c r="W328" s="458" t="n">
        <v>41000</v>
      </c>
      <c r="X328" s="464" t="s">
        <v>6646</v>
      </c>
      <c r="Y328" s="458" t="n">
        <v>18000</v>
      </c>
      <c r="Z328" s="457" t="s">
        <v>6638</v>
      </c>
      <c r="AC328" s="431"/>
      <c r="AD328" s="437" t="s">
        <v>6805</v>
      </c>
      <c r="AE328" s="167"/>
      <c r="AF328" s="167"/>
      <c r="AG328" s="167"/>
      <c r="AH328" s="167"/>
      <c r="AI328" s="167"/>
      <c r="AJ328" s="167"/>
      <c r="AK328" s="465" t="s">
        <v>7639</v>
      </c>
      <c r="AM328" s="157"/>
    </row>
    <row r="329" customFormat="false" ht="23.25" hidden="false" customHeight="true" outlineLevel="0" collapsed="false">
      <c r="A329" s="441" t="n">
        <v>7</v>
      </c>
      <c r="B329" s="157" t="n">
        <v>320</v>
      </c>
      <c r="C329" s="437" t="s">
        <v>7523</v>
      </c>
      <c r="D329" s="157" t="s">
        <v>6810</v>
      </c>
      <c r="E329" s="461" t="s">
        <v>2461</v>
      </c>
      <c r="F329" s="157" t="s">
        <v>7640</v>
      </c>
      <c r="G329" s="445" t="n">
        <v>44.2</v>
      </c>
      <c r="H329" s="431" t="n">
        <v>9101</v>
      </c>
      <c r="I329" s="457" t="n">
        <v>0</v>
      </c>
      <c r="J329" s="458" t="n">
        <v>46464</v>
      </c>
      <c r="K329" s="462" t="n">
        <v>5.21410123966942</v>
      </c>
      <c r="L329" s="463" t="n">
        <v>0</v>
      </c>
      <c r="M329" s="463" t="n">
        <v>0.0396626876021596</v>
      </c>
      <c r="N329" s="431" t="n">
        <v>1973</v>
      </c>
      <c r="O329" s="446" t="n">
        <v>5987</v>
      </c>
      <c r="Q329" s="157" t="n">
        <v>15</v>
      </c>
      <c r="R329" s="157" t="n">
        <v>10</v>
      </c>
      <c r="S329" s="157" t="n">
        <v>8</v>
      </c>
      <c r="T329" s="457" t="s">
        <v>7531</v>
      </c>
      <c r="U329" s="457" t="n">
        <v>398</v>
      </c>
      <c r="V329" s="458" t="n">
        <v>97473</v>
      </c>
      <c r="W329" s="458" t="n">
        <v>97000</v>
      </c>
      <c r="X329" s="464" t="s">
        <v>6754</v>
      </c>
      <c r="Y329" s="458" t="n">
        <v>46000</v>
      </c>
      <c r="Z329" s="457" t="s">
        <v>6638</v>
      </c>
      <c r="AC329" s="431"/>
      <c r="AD329" s="437"/>
      <c r="AE329" s="167"/>
      <c r="AF329" s="167"/>
      <c r="AG329" s="167"/>
      <c r="AH329" s="167"/>
      <c r="AI329" s="167"/>
      <c r="AJ329" s="167"/>
      <c r="AK329" s="465" t="s">
        <v>7641</v>
      </c>
      <c r="AM329" s="157"/>
    </row>
    <row r="330" customFormat="false" ht="12.75" hidden="false" customHeight="true" outlineLevel="0" collapsed="false">
      <c r="A330" s="441" t="n">
        <v>7</v>
      </c>
      <c r="B330" s="157" t="n">
        <v>321</v>
      </c>
      <c r="C330" s="437" t="s">
        <v>7523</v>
      </c>
      <c r="D330" s="157" t="s">
        <v>7642</v>
      </c>
      <c r="E330" s="461" t="s">
        <v>2461</v>
      </c>
      <c r="F330" s="157" t="s">
        <v>7643</v>
      </c>
      <c r="G330" s="445" t="n">
        <v>44.2</v>
      </c>
      <c r="H330" s="431" t="n">
        <v>9101</v>
      </c>
      <c r="I330" s="457" t="n">
        <v>0</v>
      </c>
      <c r="J330" s="458" t="n">
        <v>46176</v>
      </c>
      <c r="K330" s="462" t="n">
        <v>3.41768451143451</v>
      </c>
      <c r="L330" s="463" t="n">
        <v>0</v>
      </c>
      <c r="M330" s="463" t="n">
        <v>0.0868548617051611</v>
      </c>
      <c r="N330" s="431" t="n">
        <v>1974</v>
      </c>
      <c r="O330" s="446" t="n">
        <v>5160</v>
      </c>
      <c r="Q330" s="157" t="n">
        <v>27</v>
      </c>
      <c r="R330" s="157" t="n">
        <v>14</v>
      </c>
      <c r="S330" s="157" t="n">
        <v>2</v>
      </c>
      <c r="T330" s="457" t="s">
        <v>7531</v>
      </c>
      <c r="U330" s="457" t="n">
        <v>398</v>
      </c>
      <c r="V330" s="458" t="n">
        <v>77626</v>
      </c>
      <c r="W330" s="458" t="n">
        <v>78000</v>
      </c>
      <c r="X330" s="464" t="s">
        <v>6954</v>
      </c>
      <c r="Y330" s="458" t="n">
        <v>46000</v>
      </c>
      <c r="Z330" s="457" t="s">
        <v>6638</v>
      </c>
      <c r="AC330" s="431"/>
      <c r="AD330" s="437" t="s">
        <v>7644</v>
      </c>
      <c r="AE330" s="167"/>
      <c r="AF330" s="167"/>
      <c r="AG330" s="167"/>
      <c r="AH330" s="167"/>
      <c r="AI330" s="167"/>
      <c r="AJ330" s="167"/>
      <c r="AK330" s="465" t="s">
        <v>7645</v>
      </c>
      <c r="AM330" s="157"/>
    </row>
    <row r="331" customFormat="false" ht="12.75" hidden="false" customHeight="true" outlineLevel="0" collapsed="false">
      <c r="A331" s="441" t="n">
        <v>7</v>
      </c>
      <c r="B331" s="157" t="n">
        <v>322</v>
      </c>
      <c r="C331" s="157" t="s">
        <v>7538</v>
      </c>
      <c r="D331" s="157" t="s">
        <v>7646</v>
      </c>
      <c r="E331" s="157" t="s">
        <v>7647</v>
      </c>
      <c r="F331" s="157" t="s">
        <v>7648</v>
      </c>
      <c r="G331" s="157" t="n">
        <v>44.4</v>
      </c>
      <c r="H331" s="157" t="n">
        <v>9101</v>
      </c>
      <c r="I331" s="157" t="s">
        <v>7649</v>
      </c>
      <c r="J331" s="157" t="n">
        <v>144820</v>
      </c>
      <c r="K331" s="468" t="n">
        <v>5.25</v>
      </c>
      <c r="L331" s="175" t="n">
        <v>0.07</v>
      </c>
      <c r="M331" s="463" t="n">
        <v>0</v>
      </c>
      <c r="N331" s="157" t="n">
        <v>1985</v>
      </c>
      <c r="O331" s="446" t="n">
        <v>23519</v>
      </c>
      <c r="Q331" s="157" t="n">
        <v>21</v>
      </c>
      <c r="R331" s="157" t="n">
        <v>10</v>
      </c>
      <c r="S331" s="157" t="n">
        <v>7</v>
      </c>
      <c r="T331" s="157" t="s">
        <v>7650</v>
      </c>
      <c r="U331" s="157" t="n">
        <v>398</v>
      </c>
      <c r="V331" s="446" t="n">
        <v>311856</v>
      </c>
      <c r="W331" s="157" t="n">
        <v>300000</v>
      </c>
      <c r="X331" s="157" t="s">
        <v>7651</v>
      </c>
      <c r="Y331" s="157" t="n">
        <v>140000</v>
      </c>
      <c r="Z331" s="157" t="s">
        <v>461</v>
      </c>
      <c r="AA331" s="157" t="n">
        <v>3</v>
      </c>
      <c r="AB331" s="157" t="n">
        <v>3</v>
      </c>
      <c r="AC331" s="157" t="n">
        <v>33</v>
      </c>
      <c r="AM331" s="157"/>
    </row>
    <row r="332" customFormat="false" ht="12.75" hidden="false" customHeight="true" outlineLevel="0" collapsed="false">
      <c r="A332" s="441" t="n">
        <v>7</v>
      </c>
      <c r="B332" s="157" t="n">
        <v>323</v>
      </c>
      <c r="C332" s="437" t="s">
        <v>7523</v>
      </c>
      <c r="D332" s="157" t="s">
        <v>7652</v>
      </c>
      <c r="E332" s="461" t="s">
        <v>2461</v>
      </c>
      <c r="F332" s="157" t="s">
        <v>7653</v>
      </c>
      <c r="G332" s="445" t="n">
        <v>44.2</v>
      </c>
      <c r="H332" s="431" t="n">
        <v>9101</v>
      </c>
      <c r="I332" s="457" t="n">
        <v>0</v>
      </c>
      <c r="J332" s="458" t="n">
        <v>21280</v>
      </c>
      <c r="K332" s="462" t="n">
        <v>7.89473684210526</v>
      </c>
      <c r="L332" s="463" t="n">
        <v>0</v>
      </c>
      <c r="M332" s="463" t="n">
        <v>0</v>
      </c>
      <c r="N332" s="431" t="n">
        <v>1974</v>
      </c>
      <c r="O332" s="446" t="n">
        <v>2700</v>
      </c>
      <c r="Q332" s="157" t="n">
        <v>28</v>
      </c>
      <c r="R332" s="157" t="n">
        <v>10</v>
      </c>
      <c r="S332" s="157" t="n">
        <v>1</v>
      </c>
      <c r="T332" s="457" t="s">
        <v>7531</v>
      </c>
      <c r="U332" s="457" t="n">
        <v>398</v>
      </c>
      <c r="V332" s="458" t="n">
        <v>89455</v>
      </c>
      <c r="W332" s="458" t="n">
        <v>89000</v>
      </c>
      <c r="X332" s="464" t="s">
        <v>7654</v>
      </c>
      <c r="Y332" s="458" t="n">
        <v>21000</v>
      </c>
      <c r="Z332" s="457" t="s">
        <v>6638</v>
      </c>
      <c r="AC332" s="431"/>
      <c r="AD332" s="437" t="s">
        <v>7655</v>
      </c>
      <c r="AE332" s="167"/>
      <c r="AF332" s="167"/>
      <c r="AG332" s="167"/>
      <c r="AH332" s="167"/>
      <c r="AI332" s="167"/>
      <c r="AJ332" s="167"/>
      <c r="AK332" s="465" t="s">
        <v>7527</v>
      </c>
      <c r="AM332" s="157"/>
    </row>
    <row r="333" customFormat="false" ht="12.75" hidden="false" customHeight="true" outlineLevel="0" collapsed="false">
      <c r="A333" s="441" t="n">
        <v>7</v>
      </c>
      <c r="B333" s="157" t="n">
        <v>325</v>
      </c>
      <c r="C333" s="437" t="s">
        <v>7523</v>
      </c>
      <c r="D333" s="157" t="s">
        <v>6832</v>
      </c>
      <c r="E333" s="461" t="s">
        <v>2461</v>
      </c>
      <c r="F333" s="157" t="s">
        <v>7656</v>
      </c>
      <c r="G333" s="445" t="n">
        <v>47.1</v>
      </c>
      <c r="H333" s="431" t="n">
        <v>9101</v>
      </c>
      <c r="I333" s="457" t="n">
        <v>0</v>
      </c>
      <c r="J333" s="458" t="n">
        <v>40388</v>
      </c>
      <c r="K333" s="462" t="n">
        <v>2.97117955828464</v>
      </c>
      <c r="L333" s="463" t="n">
        <v>0</v>
      </c>
      <c r="M333" s="463" t="n">
        <v>0</v>
      </c>
      <c r="N333" s="431" t="n">
        <v>1965</v>
      </c>
      <c r="O333" s="446" t="n">
        <v>8677</v>
      </c>
      <c r="Q333" s="157" t="n">
        <v>19</v>
      </c>
      <c r="R333" s="157" t="n">
        <v>4</v>
      </c>
      <c r="S333" s="157" t="n">
        <v>1</v>
      </c>
      <c r="T333" s="457" t="s">
        <v>7529</v>
      </c>
      <c r="U333" s="457" t="n">
        <v>398</v>
      </c>
      <c r="V333" s="458" t="n">
        <v>106128</v>
      </c>
      <c r="W333" s="458" t="n">
        <v>110000</v>
      </c>
      <c r="X333" s="464" t="s">
        <v>6724</v>
      </c>
      <c r="Y333" s="458" t="n">
        <v>40000</v>
      </c>
      <c r="Z333" s="457" t="s">
        <v>6638</v>
      </c>
      <c r="AC333" s="431"/>
      <c r="AD333" s="437" t="s">
        <v>7657</v>
      </c>
      <c r="AE333" s="167"/>
      <c r="AF333" s="167"/>
      <c r="AG333" s="167"/>
      <c r="AH333" s="167"/>
      <c r="AI333" s="167"/>
      <c r="AJ333" s="167"/>
      <c r="AK333" s="465"/>
      <c r="AM333" s="157"/>
    </row>
    <row r="334" customFormat="false" ht="25.5" hidden="false" customHeight="true" outlineLevel="0" collapsed="false">
      <c r="A334" s="441" t="n">
        <v>7</v>
      </c>
      <c r="B334" s="157" t="n">
        <v>328</v>
      </c>
      <c r="C334" s="437" t="s">
        <v>7523</v>
      </c>
      <c r="D334" s="157" t="s">
        <v>7658</v>
      </c>
      <c r="E334" s="461" t="s">
        <v>2461</v>
      </c>
      <c r="F334" s="157" t="s">
        <v>7659</v>
      </c>
      <c r="G334" s="445" t="n">
        <v>44.3</v>
      </c>
      <c r="H334" s="431" t="n">
        <v>9101</v>
      </c>
      <c r="I334" s="457" t="n">
        <v>0</v>
      </c>
      <c r="J334" s="458" t="n">
        <v>112939</v>
      </c>
      <c r="K334" s="462" t="n">
        <v>3.42662853398737</v>
      </c>
      <c r="L334" s="463" t="n">
        <v>0</v>
      </c>
      <c r="M334" s="463" t="n">
        <v>0.0189948320413437</v>
      </c>
      <c r="N334" s="431" t="n">
        <v>1964</v>
      </c>
      <c r="O334" s="446" t="n">
        <v>1978</v>
      </c>
      <c r="P334" s="446" t="n">
        <v>7424</v>
      </c>
      <c r="Q334" s="157" t="n">
        <v>20</v>
      </c>
      <c r="R334" s="157" t="n">
        <v>1</v>
      </c>
      <c r="S334" s="157" t="n">
        <v>1</v>
      </c>
      <c r="T334" s="457" t="s">
        <v>7531</v>
      </c>
      <c r="U334" s="457" t="n">
        <v>398</v>
      </c>
      <c r="V334" s="458" t="n">
        <v>317968</v>
      </c>
      <c r="W334" s="458" t="n">
        <v>320000</v>
      </c>
      <c r="X334" s="464" t="s">
        <v>6664</v>
      </c>
      <c r="Y334" s="458" t="n">
        <v>110000</v>
      </c>
      <c r="Z334" s="457" t="s">
        <v>6638</v>
      </c>
      <c r="AC334" s="431"/>
      <c r="AD334" s="437" t="s">
        <v>7660</v>
      </c>
      <c r="AE334" s="167"/>
      <c r="AF334" s="167"/>
      <c r="AG334" s="167"/>
      <c r="AH334" s="167"/>
      <c r="AI334" s="167"/>
      <c r="AJ334" s="167"/>
      <c r="AK334" s="465" t="s">
        <v>6707</v>
      </c>
      <c r="AM334" s="157"/>
    </row>
    <row r="335" customFormat="false" ht="25.5" hidden="false" customHeight="true" outlineLevel="0" collapsed="false">
      <c r="A335" s="441" t="n">
        <v>7</v>
      </c>
      <c r="B335" s="157" t="n">
        <v>329</v>
      </c>
      <c r="C335" s="437" t="s">
        <v>7523</v>
      </c>
      <c r="D335" s="157" t="s">
        <v>7661</v>
      </c>
      <c r="E335" s="461" t="s">
        <v>2461</v>
      </c>
      <c r="F335" s="157" t="s">
        <v>7662</v>
      </c>
      <c r="G335" s="445" t="n">
        <v>44.2</v>
      </c>
      <c r="H335" s="431" t="n">
        <v>9101</v>
      </c>
      <c r="I335" s="457" t="n">
        <v>0</v>
      </c>
      <c r="J335" s="458" t="n">
        <v>13000</v>
      </c>
      <c r="K335" s="462" t="n">
        <v>6.01461538461539</v>
      </c>
      <c r="L335" s="463" t="n">
        <v>0.12</v>
      </c>
      <c r="M335" s="463" t="n">
        <v>0.138035554418724</v>
      </c>
      <c r="N335" s="431" t="n">
        <v>1972</v>
      </c>
      <c r="O335" s="446" t="n">
        <v>792</v>
      </c>
      <c r="Q335" s="157" t="n">
        <v>14</v>
      </c>
      <c r="R335" s="157" t="n">
        <v>1</v>
      </c>
      <c r="S335" s="157" t="n">
        <v>4</v>
      </c>
      <c r="T335" s="457" t="s">
        <v>7526</v>
      </c>
      <c r="U335" s="457" t="n">
        <v>398</v>
      </c>
      <c r="V335" s="458" t="n">
        <v>11800</v>
      </c>
      <c r="W335" s="458" t="n">
        <v>12000</v>
      </c>
      <c r="X335" s="464" t="s">
        <v>7663</v>
      </c>
      <c r="Y335" s="458" t="n">
        <v>13000</v>
      </c>
      <c r="Z335" s="457" t="s">
        <v>6638</v>
      </c>
      <c r="AC335" s="431"/>
      <c r="AD335" s="437"/>
      <c r="AE335" s="167"/>
      <c r="AF335" s="167"/>
      <c r="AG335" s="167"/>
      <c r="AH335" s="167"/>
      <c r="AI335" s="167"/>
      <c r="AJ335" s="167"/>
      <c r="AK335" s="465" t="s">
        <v>7664</v>
      </c>
      <c r="AM335" s="157"/>
    </row>
    <row r="336" customFormat="false" ht="12.75" hidden="false" customHeight="true" outlineLevel="0" collapsed="false">
      <c r="A336" s="441" t="n">
        <v>7</v>
      </c>
      <c r="B336" s="157" t="n">
        <v>330</v>
      </c>
      <c r="C336" s="457" t="s">
        <v>7538</v>
      </c>
      <c r="D336" s="157" t="s">
        <v>7665</v>
      </c>
      <c r="E336" s="457" t="s">
        <v>2461</v>
      </c>
      <c r="F336" s="157" t="s">
        <v>7666</v>
      </c>
      <c r="G336" s="466" t="s">
        <v>663</v>
      </c>
      <c r="H336" s="157" t="n">
        <v>9101</v>
      </c>
      <c r="I336" s="457" t="n">
        <v>0</v>
      </c>
      <c r="J336" s="446" t="n">
        <v>8400</v>
      </c>
      <c r="K336" s="176" t="n">
        <v>6.29</v>
      </c>
      <c r="L336" s="175" t="n">
        <v>0</v>
      </c>
      <c r="M336" s="175" t="n">
        <v>0.25</v>
      </c>
      <c r="N336" s="157" t="n">
        <v>1978</v>
      </c>
      <c r="O336" s="157" t="n">
        <v>1494</v>
      </c>
      <c r="P336" s="157"/>
      <c r="Q336" s="157" t="n">
        <v>17</v>
      </c>
      <c r="R336" s="157" t="n">
        <v>3</v>
      </c>
      <c r="S336" s="157" t="n">
        <v>4</v>
      </c>
      <c r="T336" s="457" t="s">
        <v>7667</v>
      </c>
      <c r="U336" s="457" t="n">
        <v>398</v>
      </c>
      <c r="V336" s="446" t="n">
        <v>17701</v>
      </c>
      <c r="W336" s="446" t="n">
        <v>20000</v>
      </c>
      <c r="X336" s="431" t="n">
        <v>2.5</v>
      </c>
      <c r="Y336" s="446" t="n">
        <v>8000</v>
      </c>
      <c r="Z336" s="457" t="s">
        <v>463</v>
      </c>
      <c r="AE336" s="430"/>
      <c r="AH336" s="167"/>
      <c r="AI336" s="167"/>
      <c r="AJ336" s="167"/>
      <c r="AK336" s="167"/>
      <c r="AL336" s="157" t="n">
        <f aca="false">IF(AND(ISNUMBER($S336),$S336&gt;0,ISNUMBER($K336),ISNUMBER($J336)),($K336*$J336)/$S336,"")</f>
        <v>13209</v>
      </c>
    </row>
    <row r="337" customFormat="false" ht="12.75" hidden="false" customHeight="true" outlineLevel="0" collapsed="false">
      <c r="A337" s="441" t="n">
        <v>7</v>
      </c>
      <c r="B337" s="157" t="n">
        <v>331</v>
      </c>
      <c r="C337" s="437" t="s">
        <v>7523</v>
      </c>
      <c r="D337" s="157" t="s">
        <v>7668</v>
      </c>
      <c r="E337" s="461" t="s">
        <v>2461</v>
      </c>
      <c r="F337" s="157" t="s">
        <v>7669</v>
      </c>
      <c r="G337" s="431" t="n">
        <v>44.1</v>
      </c>
      <c r="H337" s="431" t="n">
        <v>9101</v>
      </c>
      <c r="I337" s="457" t="n">
        <v>0</v>
      </c>
      <c r="J337" s="458" t="n">
        <v>6240</v>
      </c>
      <c r="K337" s="462" t="n">
        <v>5.76923076923077</v>
      </c>
      <c r="L337" s="463" t="n">
        <v>0</v>
      </c>
      <c r="M337" s="463" t="n">
        <v>0.0722222222222222</v>
      </c>
      <c r="N337" s="431" t="n">
        <v>1971</v>
      </c>
      <c r="O337" s="446" t="n">
        <v>2184</v>
      </c>
      <c r="Q337" s="157" t="n">
        <v>15</v>
      </c>
      <c r="R337" s="157" t="n">
        <v>1</v>
      </c>
      <c r="S337" s="157" t="n">
        <v>1</v>
      </c>
      <c r="T337" s="457" t="s">
        <v>7529</v>
      </c>
      <c r="U337" s="457" t="n">
        <v>398</v>
      </c>
      <c r="V337" s="458" t="n">
        <v>35401</v>
      </c>
      <c r="W337" s="458" t="n">
        <v>35000</v>
      </c>
      <c r="X337" s="464" t="s">
        <v>7670</v>
      </c>
      <c r="Y337" s="458" t="n">
        <v>6000</v>
      </c>
      <c r="Z337" s="457" t="s">
        <v>6638</v>
      </c>
      <c r="AC337" s="431"/>
      <c r="AD337" s="437"/>
      <c r="AE337" s="167"/>
      <c r="AF337" s="167"/>
      <c r="AG337" s="167"/>
      <c r="AH337" s="167"/>
      <c r="AI337" s="167"/>
      <c r="AJ337" s="167"/>
      <c r="AK337" s="465" t="s">
        <v>7671</v>
      </c>
      <c r="AM337" s="157"/>
    </row>
    <row r="338" customFormat="false" ht="12.75" hidden="false" customHeight="true" outlineLevel="0" collapsed="false">
      <c r="A338" s="441" t="n">
        <v>7</v>
      </c>
      <c r="B338" s="157" t="n">
        <v>332</v>
      </c>
      <c r="C338" s="437" t="s">
        <v>7523</v>
      </c>
      <c r="D338" s="157" t="s">
        <v>7672</v>
      </c>
      <c r="E338" s="461" t="s">
        <v>2461</v>
      </c>
      <c r="F338" s="157" t="s">
        <v>7673</v>
      </c>
      <c r="G338" s="431" t="n">
        <v>44.1</v>
      </c>
      <c r="H338" s="431" t="n">
        <v>9101</v>
      </c>
      <c r="I338" s="457" t="n">
        <v>0</v>
      </c>
      <c r="J338" s="458" t="n">
        <v>4537</v>
      </c>
      <c r="K338" s="462" t="n">
        <v>5.28983910072735</v>
      </c>
      <c r="L338" s="463" t="n">
        <v>0</v>
      </c>
      <c r="M338" s="463" t="n">
        <v>0.073875</v>
      </c>
      <c r="N338" s="431" t="n">
        <v>1983</v>
      </c>
      <c r="O338" s="446" t="n">
        <v>1155</v>
      </c>
      <c r="Q338" s="157" t="n">
        <v>18</v>
      </c>
      <c r="R338" s="157" t="n">
        <v>8</v>
      </c>
      <c r="S338" s="157" t="n">
        <v>1</v>
      </c>
      <c r="T338" s="457" t="s">
        <v>7531</v>
      </c>
      <c r="U338" s="457" t="n">
        <v>398</v>
      </c>
      <c r="V338" s="458" t="n">
        <v>25100</v>
      </c>
      <c r="W338" s="458" t="n">
        <v>25000</v>
      </c>
      <c r="X338" s="464" t="s">
        <v>7674</v>
      </c>
      <c r="Y338" s="458" t="n">
        <v>5000</v>
      </c>
      <c r="Z338" s="457" t="s">
        <v>6638</v>
      </c>
      <c r="AC338" s="431"/>
      <c r="AD338" s="437" t="s">
        <v>7675</v>
      </c>
      <c r="AE338" s="167"/>
      <c r="AF338" s="167"/>
      <c r="AG338" s="167"/>
      <c r="AH338" s="167"/>
      <c r="AI338" s="167"/>
      <c r="AJ338" s="167"/>
      <c r="AK338" s="465" t="s">
        <v>7527</v>
      </c>
      <c r="AM338" s="157"/>
    </row>
    <row r="339" customFormat="false" ht="25.5" hidden="false" customHeight="true" outlineLevel="0" collapsed="false">
      <c r="A339" s="441" t="n">
        <v>7</v>
      </c>
      <c r="B339" s="157" t="n">
        <v>333</v>
      </c>
      <c r="C339" s="437" t="s">
        <v>7523</v>
      </c>
      <c r="D339" s="157" t="s">
        <v>7676</v>
      </c>
      <c r="E339" s="461" t="s">
        <v>2461</v>
      </c>
      <c r="F339" s="157" t="s">
        <v>7677</v>
      </c>
      <c r="G339" s="445" t="n">
        <v>44.2</v>
      </c>
      <c r="H339" s="431" t="n">
        <v>9101</v>
      </c>
      <c r="I339" s="457" t="n">
        <v>0</v>
      </c>
      <c r="J339" s="458" t="n">
        <v>3400</v>
      </c>
      <c r="K339" s="462" t="n">
        <v>8.29411764705882</v>
      </c>
      <c r="L339" s="463" t="n">
        <v>0</v>
      </c>
      <c r="M339" s="463" t="n">
        <v>0.0830141843971631</v>
      </c>
      <c r="N339" s="431" t="n">
        <v>1959</v>
      </c>
      <c r="O339" s="446" t="n">
        <v>10174</v>
      </c>
      <c r="Q339" s="157" t="n">
        <v>14</v>
      </c>
      <c r="R339" s="157" t="n">
        <v>1</v>
      </c>
      <c r="S339" s="157" t="n">
        <v>3</v>
      </c>
      <c r="T339" s="457" t="s">
        <v>7531</v>
      </c>
      <c r="U339" s="457" t="n">
        <v>398</v>
      </c>
      <c r="V339" s="458" t="n">
        <v>80527</v>
      </c>
      <c r="W339" s="458" t="n">
        <v>81000</v>
      </c>
      <c r="X339" s="464" t="s">
        <v>6863</v>
      </c>
      <c r="Y339" s="458" t="n">
        <v>3000</v>
      </c>
      <c r="Z339" s="457" t="s">
        <v>6638</v>
      </c>
      <c r="AC339" s="431"/>
      <c r="AD339" s="437" t="s">
        <v>7678</v>
      </c>
      <c r="AE339" s="167"/>
      <c r="AF339" s="167"/>
      <c r="AG339" s="167"/>
      <c r="AH339" s="167"/>
      <c r="AI339" s="167"/>
      <c r="AJ339" s="167"/>
      <c r="AK339" s="465" t="s">
        <v>7679</v>
      </c>
      <c r="AM339" s="157"/>
    </row>
    <row r="340" customFormat="false" ht="25.5" hidden="false" customHeight="true" outlineLevel="0" collapsed="false">
      <c r="A340" s="441" t="n">
        <v>7</v>
      </c>
      <c r="B340" s="157" t="n">
        <v>334</v>
      </c>
      <c r="C340" s="437" t="s">
        <v>7523</v>
      </c>
      <c r="D340" s="157" t="s">
        <v>6849</v>
      </c>
      <c r="E340" s="461" t="s">
        <v>2461</v>
      </c>
      <c r="F340" s="157" t="s">
        <v>7680</v>
      </c>
      <c r="G340" s="445" t="n">
        <v>44.4</v>
      </c>
      <c r="H340" s="431" t="n">
        <v>9102</v>
      </c>
      <c r="I340" s="457" t="n">
        <v>0</v>
      </c>
      <c r="J340" s="458" t="n">
        <v>104891</v>
      </c>
      <c r="K340" s="462" t="n">
        <v>4.93014653306766</v>
      </c>
      <c r="L340" s="463" t="n">
        <v>0</v>
      </c>
      <c r="M340" s="463" t="n">
        <v>0.14690946922232</v>
      </c>
      <c r="N340" s="431" t="n">
        <v>1985</v>
      </c>
      <c r="O340" s="446" t="n">
        <v>14479</v>
      </c>
      <c r="Q340" s="157" t="n">
        <v>24</v>
      </c>
      <c r="R340" s="157" t="n">
        <v>14</v>
      </c>
      <c r="S340" s="157" t="n">
        <v>8</v>
      </c>
      <c r="T340" s="457" t="s">
        <v>7531</v>
      </c>
      <c r="U340" s="457" t="n">
        <v>398</v>
      </c>
      <c r="V340" s="458" t="n">
        <v>219619</v>
      </c>
      <c r="W340" s="458" t="n">
        <v>220000</v>
      </c>
      <c r="X340" s="464" t="s">
        <v>6754</v>
      </c>
      <c r="Y340" s="458" t="n">
        <v>100000</v>
      </c>
      <c r="Z340" s="457" t="s">
        <v>6638</v>
      </c>
      <c r="AC340" s="431"/>
      <c r="AD340" s="437" t="s">
        <v>6851</v>
      </c>
      <c r="AE340" s="167"/>
      <c r="AF340" s="167"/>
      <c r="AG340" s="167"/>
      <c r="AH340" s="167"/>
      <c r="AI340" s="167"/>
      <c r="AJ340" s="167"/>
      <c r="AK340" s="465" t="s">
        <v>7681</v>
      </c>
      <c r="AM340" s="157"/>
    </row>
    <row r="341" s="157" customFormat="true" ht="25.5" hidden="false" customHeight="true" outlineLevel="0" collapsed="false">
      <c r="A341" s="441" t="n">
        <v>7</v>
      </c>
      <c r="B341" s="157" t="n">
        <v>334.3</v>
      </c>
      <c r="C341" s="457" t="s">
        <v>7682</v>
      </c>
      <c r="D341" s="157" t="s">
        <v>7683</v>
      </c>
      <c r="E341" s="457" t="s">
        <v>2397</v>
      </c>
      <c r="F341" s="157" t="s">
        <v>7684</v>
      </c>
      <c r="G341" s="466" t="s">
        <v>7685</v>
      </c>
      <c r="H341" s="157" t="n">
        <v>9102</v>
      </c>
      <c r="I341" s="457" t="n">
        <v>0</v>
      </c>
      <c r="J341" s="446" t="n">
        <v>89867</v>
      </c>
      <c r="K341" s="176" t="n">
        <v>6.22</v>
      </c>
      <c r="L341" s="175" t="n">
        <v>0</v>
      </c>
      <c r="M341" s="175" t="n">
        <v>0.08</v>
      </c>
      <c r="N341" s="157" t="n">
        <v>2007</v>
      </c>
      <c r="O341" s="458" t="n">
        <v>22499</v>
      </c>
      <c r="Q341" s="157" t="n">
        <v>33</v>
      </c>
      <c r="R341" s="157" t="n">
        <v>14</v>
      </c>
      <c r="S341" s="157" t="n">
        <v>1</v>
      </c>
      <c r="T341" s="457" t="s">
        <v>7542</v>
      </c>
      <c r="U341" s="157" t="n">
        <v>398</v>
      </c>
      <c r="V341" s="446" t="n">
        <v>279946</v>
      </c>
      <c r="W341" s="446" t="n">
        <v>300000</v>
      </c>
      <c r="X341" s="431" t="s">
        <v>6751</v>
      </c>
      <c r="Y341" s="446" t="n">
        <v>100000</v>
      </c>
      <c r="Z341" s="157" t="s">
        <v>463</v>
      </c>
      <c r="AA341" s="157" t="n">
        <v>3</v>
      </c>
      <c r="AB341" s="157" t="n">
        <v>3</v>
      </c>
      <c r="AC341" s="157" t="n">
        <v>33</v>
      </c>
      <c r="AD341" s="157" t="s">
        <v>7686</v>
      </c>
      <c r="AE341" s="430"/>
      <c r="AF341" s="467"/>
      <c r="AG341" s="467"/>
      <c r="AH341" s="430"/>
      <c r="AI341" s="467"/>
      <c r="AJ341" s="430"/>
      <c r="AK341" s="459" t="s">
        <v>7687</v>
      </c>
      <c r="AM341" s="167"/>
      <c r="AN341" s="167"/>
      <c r="AO341" s="167"/>
      <c r="AP341" s="167"/>
    </row>
    <row r="342" customFormat="false" ht="25.5" hidden="false" customHeight="true" outlineLevel="0" collapsed="false">
      <c r="A342" s="441" t="n">
        <v>7</v>
      </c>
      <c r="B342" s="157" t="n">
        <v>335</v>
      </c>
      <c r="C342" s="437" t="s">
        <v>7523</v>
      </c>
      <c r="D342" s="157" t="s">
        <v>6856</v>
      </c>
      <c r="E342" s="461" t="s">
        <v>2461</v>
      </c>
      <c r="F342" s="157" t="s">
        <v>7688</v>
      </c>
      <c r="G342" s="445" t="n">
        <v>44.2</v>
      </c>
      <c r="H342" s="431" t="n">
        <v>9102</v>
      </c>
      <c r="I342" s="457" t="n">
        <v>0</v>
      </c>
      <c r="J342" s="458" t="n">
        <v>11918</v>
      </c>
      <c r="K342" s="462" t="n">
        <v>6.2174861553952</v>
      </c>
      <c r="L342" s="463" t="n">
        <v>0</v>
      </c>
      <c r="M342" s="463" t="n">
        <v>0</v>
      </c>
      <c r="N342" s="431" t="n">
        <v>1967</v>
      </c>
      <c r="O342" s="446" t="n">
        <v>2910</v>
      </c>
      <c r="Q342" s="157" t="n">
        <v>22</v>
      </c>
      <c r="R342" s="157" t="n">
        <v>1</v>
      </c>
      <c r="S342" s="157" t="n">
        <v>1</v>
      </c>
      <c r="T342" s="457" t="s">
        <v>7531</v>
      </c>
      <c r="U342" s="457" t="n">
        <v>398</v>
      </c>
      <c r="V342" s="458" t="n">
        <v>32585</v>
      </c>
      <c r="W342" s="458" t="n">
        <v>33000</v>
      </c>
      <c r="X342" s="464" t="s">
        <v>6757</v>
      </c>
      <c r="Y342" s="458" t="n">
        <v>12000</v>
      </c>
      <c r="Z342" s="457" t="s">
        <v>6638</v>
      </c>
      <c r="AC342" s="431"/>
      <c r="AD342" s="437" t="s">
        <v>6651</v>
      </c>
      <c r="AE342" s="167"/>
      <c r="AF342" s="167"/>
      <c r="AG342" s="167"/>
      <c r="AH342" s="167"/>
      <c r="AI342" s="167"/>
      <c r="AJ342" s="167"/>
      <c r="AK342" s="465" t="s">
        <v>7689</v>
      </c>
      <c r="AM342" s="157"/>
    </row>
    <row r="343" customFormat="false" ht="12.75" hidden="false" customHeight="true" outlineLevel="0" collapsed="false">
      <c r="A343" s="441" t="n">
        <v>7</v>
      </c>
      <c r="B343" s="157" t="n">
        <v>336</v>
      </c>
      <c r="C343" s="437" t="s">
        <v>7523</v>
      </c>
      <c r="D343" s="157" t="s">
        <v>7690</v>
      </c>
      <c r="E343" s="461" t="s">
        <v>2461</v>
      </c>
      <c r="F343" s="157" t="s">
        <v>7691</v>
      </c>
      <c r="G343" s="445" t="n">
        <v>44.2</v>
      </c>
      <c r="H343" s="431" t="n">
        <v>9102</v>
      </c>
      <c r="I343" s="457" t="n">
        <v>0</v>
      </c>
      <c r="J343" s="458" t="n">
        <v>43840</v>
      </c>
      <c r="K343" s="462" t="n">
        <v>6.74726277372263</v>
      </c>
      <c r="L343" s="463" t="n">
        <v>0</v>
      </c>
      <c r="M343" s="463" t="n">
        <v>0</v>
      </c>
      <c r="N343" s="431" t="n">
        <v>1970</v>
      </c>
      <c r="O343" s="446" t="n">
        <v>4099</v>
      </c>
      <c r="P343" s="446" t="n">
        <v>12536</v>
      </c>
      <c r="Q343" s="157" t="n">
        <v>24</v>
      </c>
      <c r="R343" s="157" t="n">
        <v>10</v>
      </c>
      <c r="S343" s="157" t="n">
        <v>1</v>
      </c>
      <c r="T343" s="457" t="s">
        <v>7531</v>
      </c>
      <c r="U343" s="457" t="n">
        <v>398</v>
      </c>
      <c r="V343" s="458" t="n">
        <v>124250</v>
      </c>
      <c r="W343" s="458" t="n">
        <v>120000</v>
      </c>
      <c r="X343" s="464" t="s">
        <v>6664</v>
      </c>
      <c r="Y343" s="458" t="n">
        <v>44000</v>
      </c>
      <c r="Z343" s="457" t="s">
        <v>6638</v>
      </c>
      <c r="AC343" s="431"/>
      <c r="AD343" s="437" t="s">
        <v>7692</v>
      </c>
      <c r="AE343" s="167"/>
      <c r="AF343" s="167"/>
      <c r="AG343" s="167"/>
      <c r="AH343" s="167"/>
      <c r="AI343" s="167"/>
      <c r="AJ343" s="167"/>
      <c r="AK343" s="465" t="s">
        <v>7527</v>
      </c>
      <c r="AM343" s="157"/>
    </row>
    <row r="344" customFormat="false" ht="25.5" hidden="false" customHeight="true" outlineLevel="0" collapsed="false">
      <c r="A344" s="441" t="n">
        <v>7</v>
      </c>
      <c r="B344" s="157" t="n">
        <v>337</v>
      </c>
      <c r="C344" s="437" t="s">
        <v>7523</v>
      </c>
      <c r="D344" s="157" t="s">
        <v>7693</v>
      </c>
      <c r="E344" s="461" t="s">
        <v>2461</v>
      </c>
      <c r="F344" s="157" t="s">
        <v>7694</v>
      </c>
      <c r="G344" s="431" t="n">
        <v>44.1</v>
      </c>
      <c r="H344" s="431" t="n">
        <v>9102</v>
      </c>
      <c r="I344" s="457" t="n">
        <v>0</v>
      </c>
      <c r="J344" s="458" t="n">
        <v>58984</v>
      </c>
      <c r="K344" s="462" t="n">
        <v>4.27573579275736</v>
      </c>
      <c r="L344" s="463" t="n">
        <v>0</v>
      </c>
      <c r="M344" s="463" t="n">
        <v>0</v>
      </c>
      <c r="N344" s="431" t="n">
        <v>1982</v>
      </c>
      <c r="O344" s="446" t="n">
        <v>3144</v>
      </c>
      <c r="Q344" s="157" t="n">
        <v>27</v>
      </c>
      <c r="R344" s="157" t="n">
        <v>3</v>
      </c>
      <c r="S344" s="157" t="n">
        <v>2</v>
      </c>
      <c r="T344" s="457" t="s">
        <v>7531</v>
      </c>
      <c r="U344" s="457" t="n">
        <v>398</v>
      </c>
      <c r="V344" s="458" t="n">
        <v>111825</v>
      </c>
      <c r="W344" s="458" t="n">
        <v>110000</v>
      </c>
      <c r="X344" s="464" t="s">
        <v>6675</v>
      </c>
      <c r="Y344" s="458" t="n">
        <v>59000</v>
      </c>
      <c r="Z344" s="457" t="s">
        <v>6638</v>
      </c>
      <c r="AC344" s="431"/>
      <c r="AD344" s="437" t="s">
        <v>7695</v>
      </c>
      <c r="AE344" s="167"/>
      <c r="AF344" s="167"/>
      <c r="AG344" s="167"/>
      <c r="AH344" s="167"/>
      <c r="AI344" s="167"/>
      <c r="AJ344" s="167"/>
      <c r="AK344" s="465" t="s">
        <v>7696</v>
      </c>
      <c r="AM344" s="157"/>
    </row>
    <row r="345" customFormat="false" ht="12.75" hidden="false" customHeight="true" outlineLevel="0" collapsed="false">
      <c r="A345" s="441" t="n">
        <v>7</v>
      </c>
      <c r="B345" s="157" t="n">
        <v>338</v>
      </c>
      <c r="C345" s="437" t="s">
        <v>7523</v>
      </c>
      <c r="D345" s="157" t="s">
        <v>6868</v>
      </c>
      <c r="E345" s="461" t="s">
        <v>2461</v>
      </c>
      <c r="F345" s="157" t="s">
        <v>7697</v>
      </c>
      <c r="G345" s="431" t="n">
        <v>44.1</v>
      </c>
      <c r="H345" s="431" t="n">
        <v>9102</v>
      </c>
      <c r="I345" s="457" t="n">
        <v>0</v>
      </c>
      <c r="J345" s="458" t="n">
        <v>10527</v>
      </c>
      <c r="K345" s="462" t="n">
        <v>6.26959247648903</v>
      </c>
      <c r="L345" s="463" t="n">
        <v>0.25</v>
      </c>
      <c r="M345" s="463" t="n">
        <v>0</v>
      </c>
      <c r="N345" s="431" t="n">
        <v>1968</v>
      </c>
      <c r="O345" s="446" t="n">
        <v>4329</v>
      </c>
      <c r="Q345" s="157" t="n">
        <v>21</v>
      </c>
      <c r="R345" s="157" t="n">
        <v>1</v>
      </c>
      <c r="S345" s="157" t="n">
        <v>1</v>
      </c>
      <c r="T345" s="457" t="s">
        <v>7531</v>
      </c>
      <c r="U345" s="457" t="n">
        <v>398</v>
      </c>
      <c r="V345" s="458" t="n">
        <v>25100</v>
      </c>
      <c r="W345" s="458" t="n">
        <v>25000</v>
      </c>
      <c r="X345" s="464" t="s">
        <v>6650</v>
      </c>
      <c r="Y345" s="458" t="n">
        <v>11000</v>
      </c>
      <c r="Z345" s="457" t="s">
        <v>6638</v>
      </c>
      <c r="AC345" s="431"/>
      <c r="AD345" s="437" t="s">
        <v>6870</v>
      </c>
      <c r="AE345" s="167"/>
      <c r="AF345" s="167"/>
      <c r="AG345" s="167"/>
      <c r="AH345" s="167"/>
      <c r="AI345" s="167"/>
      <c r="AJ345" s="167"/>
      <c r="AK345" s="465"/>
      <c r="AM345" s="157"/>
    </row>
    <row r="346" customFormat="false" ht="12.75" hidden="false" customHeight="true" outlineLevel="0" collapsed="false">
      <c r="A346" s="441" t="n">
        <v>7</v>
      </c>
      <c r="B346" s="157" t="n">
        <v>339</v>
      </c>
      <c r="C346" s="437" t="s">
        <v>7523</v>
      </c>
      <c r="D346" s="157" t="s">
        <v>7698</v>
      </c>
      <c r="E346" s="461" t="s">
        <v>2461</v>
      </c>
      <c r="F346" s="157" t="s">
        <v>7699</v>
      </c>
      <c r="G346" s="445" t="n">
        <v>44.2</v>
      </c>
      <c r="H346" s="431" t="n">
        <v>9104</v>
      </c>
      <c r="I346" s="457" t="n">
        <v>0</v>
      </c>
      <c r="J346" s="458" t="n">
        <v>86060</v>
      </c>
      <c r="K346" s="462" t="n">
        <v>4.5418080409017</v>
      </c>
      <c r="L346" s="463" t="n">
        <v>0</v>
      </c>
      <c r="M346" s="463" t="n">
        <v>0</v>
      </c>
      <c r="N346" s="431" t="n">
        <v>1973</v>
      </c>
      <c r="O346" s="446" t="n">
        <v>12963</v>
      </c>
      <c r="P346" s="446" t="n">
        <v>15020</v>
      </c>
      <c r="Q346" s="157" t="n">
        <v>20</v>
      </c>
      <c r="R346" s="157" t="n">
        <v>8</v>
      </c>
      <c r="S346" s="157" t="n">
        <v>1</v>
      </c>
      <c r="T346" s="457" t="s">
        <v>7531</v>
      </c>
      <c r="U346" s="457" t="n">
        <v>398</v>
      </c>
      <c r="V346" s="458" t="n">
        <v>304924</v>
      </c>
      <c r="W346" s="458" t="n">
        <v>300000</v>
      </c>
      <c r="X346" s="464" t="s">
        <v>7208</v>
      </c>
      <c r="Y346" s="458" t="n">
        <v>86000</v>
      </c>
      <c r="Z346" s="457" t="s">
        <v>6638</v>
      </c>
      <c r="AC346" s="431"/>
      <c r="AD346" s="437" t="s">
        <v>7700</v>
      </c>
      <c r="AE346" s="167"/>
      <c r="AF346" s="167"/>
      <c r="AG346" s="167"/>
      <c r="AH346" s="167"/>
      <c r="AI346" s="167"/>
      <c r="AJ346" s="167"/>
      <c r="AK346" s="465" t="s">
        <v>7527</v>
      </c>
      <c r="AM346" s="157"/>
    </row>
    <row r="347" customFormat="false" ht="12.75" hidden="false" customHeight="true" outlineLevel="0" collapsed="false">
      <c r="A347" s="441" t="n">
        <v>7</v>
      </c>
      <c r="B347" s="157" t="n">
        <v>340</v>
      </c>
      <c r="C347" s="437" t="s">
        <v>7523</v>
      </c>
      <c r="D347" s="157" t="s">
        <v>7701</v>
      </c>
      <c r="E347" s="461" t="s">
        <v>2461</v>
      </c>
      <c r="F347" s="157" t="s">
        <v>7702</v>
      </c>
      <c r="G347" s="445" t="n">
        <v>44.2</v>
      </c>
      <c r="H347" s="431" t="n">
        <v>9104</v>
      </c>
      <c r="I347" s="457" t="n">
        <v>0</v>
      </c>
      <c r="J347" s="458" t="n">
        <v>14149</v>
      </c>
      <c r="K347" s="462" t="n">
        <v>5.51275708530638</v>
      </c>
      <c r="L347" s="463" t="n">
        <v>0</v>
      </c>
      <c r="M347" s="463" t="n">
        <v>0.130769230769231</v>
      </c>
      <c r="N347" s="431" t="n">
        <v>2000</v>
      </c>
      <c r="O347" s="446" t="n">
        <v>1629</v>
      </c>
      <c r="Q347" s="157" t="n">
        <v>19</v>
      </c>
      <c r="R347" s="157" t="n">
        <v>14</v>
      </c>
      <c r="S347" s="157" t="n">
        <v>1</v>
      </c>
      <c r="T347" s="457" t="s">
        <v>7526</v>
      </c>
      <c r="U347" s="457" t="n">
        <v>398</v>
      </c>
      <c r="V347" s="458" t="n">
        <v>36116</v>
      </c>
      <c r="W347" s="458" t="n">
        <v>36000</v>
      </c>
      <c r="X347" s="464" t="s">
        <v>6724</v>
      </c>
      <c r="Y347" s="458" t="n">
        <v>14000</v>
      </c>
      <c r="Z347" s="457" t="s">
        <v>6638</v>
      </c>
      <c r="AC347" s="431"/>
      <c r="AD347" s="437"/>
      <c r="AE347" s="167"/>
      <c r="AF347" s="167"/>
      <c r="AG347" s="167"/>
      <c r="AH347" s="167"/>
      <c r="AI347" s="167"/>
      <c r="AJ347" s="167"/>
      <c r="AK347" s="465" t="s">
        <v>7703</v>
      </c>
      <c r="AM347" s="157"/>
    </row>
    <row r="348" customFormat="false" ht="25.5" hidden="false" customHeight="true" outlineLevel="0" collapsed="false">
      <c r="A348" s="441" t="n">
        <v>7</v>
      </c>
      <c r="B348" s="157" t="n">
        <v>341</v>
      </c>
      <c r="C348" s="437" t="s">
        <v>7523</v>
      </c>
      <c r="D348" s="157" t="s">
        <v>6871</v>
      </c>
      <c r="E348" s="461" t="s">
        <v>2461</v>
      </c>
      <c r="F348" s="157" t="s">
        <v>7704</v>
      </c>
      <c r="G348" s="445" t="n">
        <v>44.2</v>
      </c>
      <c r="H348" s="431" t="n">
        <v>9104</v>
      </c>
      <c r="I348" s="457" t="n">
        <v>0</v>
      </c>
      <c r="J348" s="458" t="n">
        <v>20046</v>
      </c>
      <c r="K348" s="462" t="n">
        <v>6.076025142173</v>
      </c>
      <c r="L348" s="463" t="n">
        <v>0</v>
      </c>
      <c r="M348" s="463" t="n">
        <v>0.109326765188834</v>
      </c>
      <c r="N348" s="431" t="n">
        <v>1978</v>
      </c>
      <c r="O348" s="446" t="n">
        <v>4212</v>
      </c>
      <c r="Q348" s="157" t="n">
        <v>20</v>
      </c>
      <c r="R348" s="157" t="n">
        <v>10</v>
      </c>
      <c r="S348" s="157" t="n">
        <v>1</v>
      </c>
      <c r="T348" s="457" t="s">
        <v>7531</v>
      </c>
      <c r="U348" s="457" t="n">
        <v>398</v>
      </c>
      <c r="V348" s="458" t="n">
        <v>43000</v>
      </c>
      <c r="W348" s="458" t="n">
        <v>43000</v>
      </c>
      <c r="X348" s="464" t="s">
        <v>6754</v>
      </c>
      <c r="Y348" s="458" t="n">
        <v>20000</v>
      </c>
      <c r="Z348" s="457" t="s">
        <v>6638</v>
      </c>
      <c r="AC348" s="431"/>
      <c r="AD348" s="437"/>
      <c r="AE348" s="167"/>
      <c r="AF348" s="167"/>
      <c r="AG348" s="167"/>
      <c r="AH348" s="167"/>
      <c r="AI348" s="167"/>
      <c r="AJ348" s="167"/>
      <c r="AK348" s="465" t="s">
        <v>7705</v>
      </c>
      <c r="AM348" s="157"/>
    </row>
    <row r="349" customFormat="false" ht="12.75" hidden="false" customHeight="true" outlineLevel="0" collapsed="false">
      <c r="A349" s="441" t="n">
        <v>7</v>
      </c>
      <c r="B349" s="157" t="n">
        <v>342</v>
      </c>
      <c r="C349" s="437" t="s">
        <v>7523</v>
      </c>
      <c r="D349" s="157" t="s">
        <v>7706</v>
      </c>
      <c r="E349" s="461" t="s">
        <v>2461</v>
      </c>
      <c r="F349" s="157" t="s">
        <v>7707</v>
      </c>
      <c r="G349" s="445" t="n">
        <v>44.4</v>
      </c>
      <c r="H349" s="431" t="n">
        <v>9102</v>
      </c>
      <c r="I349" s="457" t="n">
        <v>0</v>
      </c>
      <c r="J349" s="458" t="n">
        <v>160236</v>
      </c>
      <c r="K349" s="462" t="n">
        <v>5.40160138795277</v>
      </c>
      <c r="L349" s="463" t="n">
        <v>0.1</v>
      </c>
      <c r="M349" s="463" t="n">
        <v>0.00283871981477267</v>
      </c>
      <c r="N349" s="431" t="n">
        <v>1998</v>
      </c>
      <c r="O349" s="446" t="n">
        <v>24983</v>
      </c>
      <c r="Q349" s="157" t="n">
        <v>26</v>
      </c>
      <c r="R349" s="157" t="n">
        <v>14</v>
      </c>
      <c r="S349" s="157" t="n">
        <v>7</v>
      </c>
      <c r="T349" s="457" t="s">
        <v>7529</v>
      </c>
      <c r="U349" s="457" t="n">
        <v>398</v>
      </c>
      <c r="V349" s="458" t="n">
        <v>395173</v>
      </c>
      <c r="W349" s="458" t="n">
        <v>400000</v>
      </c>
      <c r="X349" s="464" t="s">
        <v>6692</v>
      </c>
      <c r="Y349" s="458" t="n">
        <v>160000</v>
      </c>
      <c r="Z349" s="457" t="s">
        <v>6638</v>
      </c>
      <c r="AC349" s="431"/>
      <c r="AD349" s="437" t="s">
        <v>7708</v>
      </c>
      <c r="AE349" s="167"/>
      <c r="AF349" s="167"/>
      <c r="AG349" s="167"/>
      <c r="AH349" s="167"/>
      <c r="AI349" s="167"/>
      <c r="AJ349" s="167"/>
      <c r="AK349" s="465" t="s">
        <v>7709</v>
      </c>
      <c r="AM349" s="157"/>
    </row>
    <row r="350" customFormat="false" ht="12.75" hidden="false" customHeight="true" outlineLevel="0" collapsed="false">
      <c r="A350" s="441" t="n">
        <v>7</v>
      </c>
      <c r="B350" s="157" t="n">
        <v>343</v>
      </c>
      <c r="C350" s="437" t="s">
        <v>7523</v>
      </c>
      <c r="D350" s="157" t="s">
        <v>6879</v>
      </c>
      <c r="E350" s="461" t="s">
        <v>2461</v>
      </c>
      <c r="F350" s="157" t="s">
        <v>7710</v>
      </c>
      <c r="G350" s="445" t="n">
        <v>44.4</v>
      </c>
      <c r="H350" s="431" t="n">
        <v>9104</v>
      </c>
      <c r="I350" s="457" t="n">
        <v>0</v>
      </c>
      <c r="J350" s="458" t="n">
        <v>121360</v>
      </c>
      <c r="K350" s="462" t="n">
        <v>2.9</v>
      </c>
      <c r="L350" s="463" t="n">
        <v>0</v>
      </c>
      <c r="M350" s="463" t="n">
        <v>0.0946855181506149</v>
      </c>
      <c r="N350" s="431" t="n">
        <v>1971</v>
      </c>
      <c r="O350" s="446" t="n">
        <v>6439</v>
      </c>
      <c r="P350" s="446" t="n">
        <v>157</v>
      </c>
      <c r="Q350" s="157" t="n">
        <v>30</v>
      </c>
      <c r="R350" s="157" t="n">
        <v>14</v>
      </c>
      <c r="S350" s="157" t="n">
        <v>2</v>
      </c>
      <c r="T350" s="457" t="s">
        <v>7531</v>
      </c>
      <c r="U350" s="457" t="n">
        <v>398</v>
      </c>
      <c r="V350" s="458" t="n">
        <v>255000</v>
      </c>
      <c r="W350" s="458" t="n">
        <v>260000</v>
      </c>
      <c r="X350" s="464" t="s">
        <v>6754</v>
      </c>
      <c r="Y350" s="458" t="n">
        <v>120000</v>
      </c>
      <c r="Z350" s="457" t="s">
        <v>6638</v>
      </c>
      <c r="AC350" s="431"/>
      <c r="AD350" s="437" t="s">
        <v>6881</v>
      </c>
      <c r="AE350" s="167"/>
      <c r="AF350" s="167"/>
      <c r="AG350" s="167"/>
      <c r="AH350" s="167"/>
      <c r="AI350" s="167"/>
      <c r="AJ350" s="167"/>
      <c r="AK350" s="465" t="s">
        <v>7711</v>
      </c>
      <c r="AM350" s="157"/>
    </row>
    <row r="351" customFormat="false" ht="12.75" hidden="false" customHeight="true" outlineLevel="0" collapsed="false">
      <c r="A351" s="441" t="n">
        <v>7</v>
      </c>
      <c r="B351" s="157" t="n">
        <v>344</v>
      </c>
      <c r="C351" s="437" t="s">
        <v>7523</v>
      </c>
      <c r="D351" s="157" t="s">
        <v>6887</v>
      </c>
      <c r="E351" s="461" t="s">
        <v>2461</v>
      </c>
      <c r="F351" s="157" t="s">
        <v>7712</v>
      </c>
      <c r="G351" s="431" t="n">
        <v>44.1</v>
      </c>
      <c r="H351" s="431" t="n">
        <v>9104</v>
      </c>
      <c r="I351" s="457" t="n">
        <v>0</v>
      </c>
      <c r="J351" s="458" t="n">
        <v>8018</v>
      </c>
      <c r="K351" s="462" t="n">
        <v>11.2247443252682</v>
      </c>
      <c r="L351" s="463" t="n">
        <v>0</v>
      </c>
      <c r="M351" s="463" t="n">
        <v>0.0138333333333333</v>
      </c>
      <c r="N351" s="431" t="n">
        <v>2004</v>
      </c>
      <c r="O351" s="446" t="n">
        <v>1337</v>
      </c>
      <c r="Q351" s="157" t="n">
        <v>19</v>
      </c>
      <c r="R351" s="157" t="n">
        <v>3</v>
      </c>
      <c r="S351" s="157" t="n">
        <v>1</v>
      </c>
      <c r="T351" s="457" t="s">
        <v>7531</v>
      </c>
      <c r="U351" s="457" t="n">
        <v>398</v>
      </c>
      <c r="V351" s="458" t="n">
        <v>23918</v>
      </c>
      <c r="W351" s="458" t="n">
        <v>24000</v>
      </c>
      <c r="X351" s="464" t="s">
        <v>7563</v>
      </c>
      <c r="Y351" s="458" t="n">
        <v>8000</v>
      </c>
      <c r="Z351" s="457" t="s">
        <v>6638</v>
      </c>
      <c r="AC351" s="431"/>
      <c r="AD351" s="437"/>
      <c r="AE351" s="167"/>
      <c r="AF351" s="167"/>
      <c r="AG351" s="167"/>
      <c r="AH351" s="167"/>
      <c r="AI351" s="167"/>
      <c r="AJ351" s="167"/>
      <c r="AK351" s="465"/>
      <c r="AM351" s="157"/>
    </row>
    <row r="352" customFormat="false" ht="25.5" hidden="false" customHeight="true" outlineLevel="0" collapsed="false">
      <c r="A352" s="441" t="n">
        <v>7</v>
      </c>
      <c r="B352" s="157" t="n">
        <v>345</v>
      </c>
      <c r="C352" s="437" t="s">
        <v>7523</v>
      </c>
      <c r="D352" s="157" t="s">
        <v>6889</v>
      </c>
      <c r="E352" s="461" t="s">
        <v>2461</v>
      </c>
      <c r="F352" s="157" t="s">
        <v>7713</v>
      </c>
      <c r="G352" s="445" t="n">
        <v>44.2</v>
      </c>
      <c r="H352" s="431" t="n">
        <v>9104</v>
      </c>
      <c r="I352" s="457" t="n">
        <v>0</v>
      </c>
      <c r="J352" s="458" t="n">
        <v>54662</v>
      </c>
      <c r="K352" s="462" t="n">
        <v>4.82968058248875</v>
      </c>
      <c r="L352" s="463" t="n">
        <v>0</v>
      </c>
      <c r="M352" s="463" t="n">
        <v>0.131590909090909</v>
      </c>
      <c r="N352" s="431" t="n">
        <v>1980</v>
      </c>
      <c r="O352" s="446" t="n">
        <v>3736</v>
      </c>
      <c r="Q352" s="157" t="n">
        <v>27</v>
      </c>
      <c r="R352" s="157" t="n">
        <v>14</v>
      </c>
      <c r="S352" s="157" t="n">
        <v>1</v>
      </c>
      <c r="T352" s="457" t="s">
        <v>7531</v>
      </c>
      <c r="U352" s="457" t="n">
        <v>398</v>
      </c>
      <c r="V352" s="458" t="n">
        <v>99319</v>
      </c>
      <c r="W352" s="458" t="n">
        <v>99000</v>
      </c>
      <c r="X352" s="464" t="s">
        <v>6863</v>
      </c>
      <c r="Y352" s="458" t="n">
        <v>55000</v>
      </c>
      <c r="Z352" s="457" t="s">
        <v>6638</v>
      </c>
      <c r="AC352" s="431"/>
      <c r="AD352" s="437" t="s">
        <v>6891</v>
      </c>
      <c r="AE352" s="167"/>
      <c r="AF352" s="167"/>
      <c r="AG352" s="167"/>
      <c r="AH352" s="167"/>
      <c r="AI352" s="167"/>
      <c r="AJ352" s="167"/>
      <c r="AK352" s="465" t="s">
        <v>7714</v>
      </c>
      <c r="AM352" s="157"/>
    </row>
    <row r="353" customFormat="false" ht="12.75" hidden="false" customHeight="true" outlineLevel="0" collapsed="false">
      <c r="A353" s="441" t="n">
        <v>7</v>
      </c>
      <c r="B353" s="157" t="n">
        <v>346</v>
      </c>
      <c r="C353" s="457" t="s">
        <v>7538</v>
      </c>
      <c r="D353" s="157" t="s">
        <v>7715</v>
      </c>
      <c r="E353" s="457" t="s">
        <v>2461</v>
      </c>
      <c r="F353" s="157" t="s">
        <v>7716</v>
      </c>
      <c r="G353" s="466" t="s">
        <v>7582</v>
      </c>
      <c r="H353" s="157" t="n">
        <v>9104</v>
      </c>
      <c r="I353" s="457" t="n">
        <v>0</v>
      </c>
      <c r="J353" s="446" t="n">
        <v>75264</v>
      </c>
      <c r="K353" s="176" t="n">
        <v>2.85</v>
      </c>
      <c r="L353" s="175" t="n">
        <v>0</v>
      </c>
      <c r="M353" s="463" t="n">
        <v>0</v>
      </c>
      <c r="N353" s="157" t="n">
        <v>1979</v>
      </c>
      <c r="O353" s="446" t="n">
        <v>5703</v>
      </c>
      <c r="Q353" s="157" t="n">
        <v>25</v>
      </c>
      <c r="R353" s="157" t="n">
        <v>3</v>
      </c>
      <c r="S353" s="157" t="n">
        <v>1</v>
      </c>
      <c r="T353" s="457" t="s">
        <v>7542</v>
      </c>
      <c r="U353" s="157" t="n">
        <v>398</v>
      </c>
      <c r="V353" s="446" t="n">
        <v>134721</v>
      </c>
      <c r="W353" s="446" t="n">
        <v>130000</v>
      </c>
      <c r="X353" s="431" t="s">
        <v>6954</v>
      </c>
      <c r="Y353" s="446" t="n">
        <v>75000</v>
      </c>
      <c r="Z353" s="157" t="s">
        <v>463</v>
      </c>
      <c r="AA353" s="157" t="n">
        <v>3</v>
      </c>
      <c r="AB353" s="157" t="n">
        <v>3</v>
      </c>
      <c r="AC353" s="157" t="n">
        <v>33</v>
      </c>
      <c r="AE353" s="430"/>
      <c r="AF353" s="467"/>
      <c r="AG353" s="467"/>
      <c r="AH353" s="430"/>
      <c r="AI353" s="467"/>
      <c r="AJ353" s="430"/>
      <c r="AM353" s="157"/>
    </row>
    <row r="354" customFormat="false" ht="12.75" hidden="false" customHeight="true" outlineLevel="0" collapsed="false">
      <c r="A354" s="441" t="n">
        <v>7</v>
      </c>
      <c r="B354" s="157" t="n">
        <v>347</v>
      </c>
      <c r="C354" s="437" t="s">
        <v>7523</v>
      </c>
      <c r="D354" s="157" t="s">
        <v>7717</v>
      </c>
      <c r="E354" s="461" t="s">
        <v>2461</v>
      </c>
      <c r="F354" s="157" t="s">
        <v>7718</v>
      </c>
      <c r="G354" s="445" t="n">
        <v>44.2</v>
      </c>
      <c r="H354" s="431" t="n">
        <v>9104</v>
      </c>
      <c r="I354" s="457" t="n">
        <v>3</v>
      </c>
      <c r="J354" s="458" t="n">
        <v>10700</v>
      </c>
      <c r="K354" s="462" t="n">
        <v>4.18205607476636</v>
      </c>
      <c r="L354" s="463" t="n">
        <v>0</v>
      </c>
      <c r="M354" s="463" t="n">
        <v>0.206422633413784</v>
      </c>
      <c r="N354" s="431" t="n">
        <v>1973</v>
      </c>
      <c r="O354" s="446" t="n">
        <v>2344</v>
      </c>
      <c r="Q354" s="157" t="n">
        <v>20</v>
      </c>
      <c r="R354" s="157" t="n">
        <v>10</v>
      </c>
      <c r="S354" s="157" t="n">
        <v>2</v>
      </c>
      <c r="T354" s="457" t="s">
        <v>7531</v>
      </c>
      <c r="U354" s="457" t="n">
        <v>398</v>
      </c>
      <c r="V354" s="458" t="n">
        <v>31803</v>
      </c>
      <c r="W354" s="458" t="n">
        <v>32000</v>
      </c>
      <c r="X354" s="464" t="s">
        <v>6675</v>
      </c>
      <c r="Y354" s="458" t="n">
        <v>11000</v>
      </c>
      <c r="Z354" s="457" t="s">
        <v>6638</v>
      </c>
      <c r="AC354" s="431"/>
      <c r="AD354" s="437" t="s">
        <v>7719</v>
      </c>
      <c r="AE354" s="167"/>
      <c r="AF354" s="167"/>
      <c r="AG354" s="167"/>
      <c r="AH354" s="167"/>
      <c r="AI354" s="167"/>
      <c r="AJ354" s="167"/>
      <c r="AK354" s="465" t="s">
        <v>7720</v>
      </c>
      <c r="AM354" s="157"/>
    </row>
    <row r="355" customFormat="false" ht="12.75" hidden="false" customHeight="true" outlineLevel="0" collapsed="false">
      <c r="A355" s="441" t="n">
        <v>7</v>
      </c>
      <c r="B355" s="157" t="n">
        <v>348</v>
      </c>
      <c r="C355" s="437" t="s">
        <v>7523</v>
      </c>
      <c r="D355" s="157" t="s">
        <v>7721</v>
      </c>
      <c r="E355" s="461" t="s">
        <v>2461</v>
      </c>
      <c r="F355" s="157" t="s">
        <v>7722</v>
      </c>
      <c r="G355" s="445" t="n">
        <v>44.2</v>
      </c>
      <c r="H355" s="431" t="n">
        <v>9104</v>
      </c>
      <c r="I355" s="457" t="n">
        <v>0</v>
      </c>
      <c r="J355" s="458" t="n">
        <v>12335</v>
      </c>
      <c r="K355" s="462" t="n">
        <v>8.83664369679773</v>
      </c>
      <c r="L355" s="463" t="n">
        <v>0</v>
      </c>
      <c r="M355" s="463" t="n">
        <v>0</v>
      </c>
      <c r="N355" s="431" t="n">
        <v>2006</v>
      </c>
      <c r="O355" s="446" t="n">
        <v>1785</v>
      </c>
      <c r="Q355" s="157" t="n">
        <v>25</v>
      </c>
      <c r="R355" s="157" t="n">
        <v>14</v>
      </c>
      <c r="S355" s="157" t="n">
        <v>1</v>
      </c>
      <c r="T355" s="457" t="s">
        <v>7531</v>
      </c>
      <c r="U355" s="457" t="n">
        <v>398</v>
      </c>
      <c r="V355" s="458" t="n">
        <v>42900</v>
      </c>
      <c r="W355" s="458" t="n">
        <v>43000</v>
      </c>
      <c r="X355" s="464" t="s">
        <v>7208</v>
      </c>
      <c r="Y355" s="458" t="n">
        <v>12000</v>
      </c>
      <c r="Z355" s="457" t="s">
        <v>6638</v>
      </c>
      <c r="AC355" s="431"/>
      <c r="AD355" s="437" t="s">
        <v>6706</v>
      </c>
      <c r="AE355" s="167"/>
      <c r="AF355" s="167"/>
      <c r="AG355" s="167"/>
      <c r="AH355" s="167"/>
      <c r="AI355" s="167"/>
      <c r="AJ355" s="167"/>
      <c r="AK355" s="465"/>
      <c r="AM355" s="157"/>
    </row>
    <row r="356" customFormat="false" ht="25.5" hidden="false" customHeight="true" outlineLevel="0" collapsed="false">
      <c r="A356" s="441" t="n">
        <v>7</v>
      </c>
      <c r="B356" s="157" t="n">
        <v>349</v>
      </c>
      <c r="C356" s="437" t="s">
        <v>7523</v>
      </c>
      <c r="D356" s="157" t="s">
        <v>7723</v>
      </c>
      <c r="E356" s="461" t="s">
        <v>2461</v>
      </c>
      <c r="F356" s="157" t="s">
        <v>7724</v>
      </c>
      <c r="G356" s="445" t="n">
        <v>44.5</v>
      </c>
      <c r="H356" s="431" t="n">
        <v>9201</v>
      </c>
      <c r="I356" s="457" t="n">
        <v>0</v>
      </c>
      <c r="J356" s="458" t="n">
        <v>89751</v>
      </c>
      <c r="K356" s="462" t="n">
        <v>7.02481309400452</v>
      </c>
      <c r="L356" s="463" t="n">
        <v>0.06</v>
      </c>
      <c r="M356" s="463" t="n">
        <v>0.254855000285495</v>
      </c>
      <c r="N356" s="431" t="n">
        <v>2007</v>
      </c>
      <c r="O356" s="446" t="n">
        <v>0</v>
      </c>
      <c r="Q356" s="157" t="n">
        <v>12</v>
      </c>
      <c r="R356" s="157" t="n">
        <v>1</v>
      </c>
      <c r="S356" s="157" t="n">
        <v>2</v>
      </c>
      <c r="T356" s="457" t="s">
        <v>7725</v>
      </c>
      <c r="U356" s="457" t="n">
        <v>396</v>
      </c>
      <c r="V356" s="458" t="n">
        <v>71049</v>
      </c>
      <c r="W356" s="458" t="n">
        <v>71000</v>
      </c>
      <c r="X356" s="464" t="s">
        <v>7375</v>
      </c>
      <c r="Y356" s="458" t="n">
        <v>90000</v>
      </c>
      <c r="Z356" s="457" t="s">
        <v>6638</v>
      </c>
      <c r="AC356" s="431"/>
      <c r="AD356" s="437" t="s">
        <v>7726</v>
      </c>
      <c r="AE356" s="167"/>
      <c r="AF356" s="167"/>
      <c r="AG356" s="167"/>
      <c r="AH356" s="167"/>
      <c r="AI356" s="167"/>
      <c r="AJ356" s="167"/>
      <c r="AK356" s="465" t="s">
        <v>7727</v>
      </c>
      <c r="AM356" s="157"/>
    </row>
    <row r="357" customFormat="false" ht="12.75" hidden="false" customHeight="true" outlineLevel="0" collapsed="false">
      <c r="A357" s="441" t="n">
        <v>7</v>
      </c>
      <c r="B357" s="157" t="n">
        <v>350</v>
      </c>
      <c r="C357" s="437" t="s">
        <v>7523</v>
      </c>
      <c r="D357" s="157" t="s">
        <v>7728</v>
      </c>
      <c r="E357" s="461" t="s">
        <v>2461</v>
      </c>
      <c r="F357" s="157" t="s">
        <v>7729</v>
      </c>
      <c r="G357" s="431" t="n">
        <v>44.1</v>
      </c>
      <c r="H357" s="431" t="n">
        <v>9201</v>
      </c>
      <c r="I357" s="457" t="n">
        <v>0</v>
      </c>
      <c r="J357" s="458" t="n">
        <v>6400</v>
      </c>
      <c r="K357" s="462" t="n">
        <v>3.46875</v>
      </c>
      <c r="L357" s="463" t="n">
        <v>0</v>
      </c>
      <c r="M357" s="463" t="n">
        <v>0</v>
      </c>
      <c r="N357" s="431" t="n">
        <v>1972</v>
      </c>
      <c r="O357" s="446" t="n">
        <v>360</v>
      </c>
      <c r="Q357" s="157" t="n">
        <v>15</v>
      </c>
      <c r="R357" s="157" t="n">
        <v>7</v>
      </c>
      <c r="S357" s="157" t="n">
        <v>1</v>
      </c>
      <c r="T357" s="457" t="s">
        <v>7526</v>
      </c>
      <c r="U357" s="457" t="n">
        <v>398</v>
      </c>
      <c r="V357" s="458" t="n">
        <v>12750</v>
      </c>
      <c r="W357" s="458" t="n">
        <v>13000</v>
      </c>
      <c r="X357" s="464" t="s">
        <v>7546</v>
      </c>
      <c r="Y357" s="458" t="n">
        <v>6000</v>
      </c>
      <c r="Z357" s="457" t="s">
        <v>6638</v>
      </c>
      <c r="AC357" s="431"/>
      <c r="AD357" s="437"/>
      <c r="AE357" s="167"/>
      <c r="AF357" s="167"/>
      <c r="AG357" s="167"/>
      <c r="AH357" s="167"/>
      <c r="AI357" s="167"/>
      <c r="AJ357" s="167"/>
      <c r="AK357" s="465" t="s">
        <v>7635</v>
      </c>
      <c r="AM357" s="157"/>
    </row>
    <row r="358" customFormat="false" ht="25.5" hidden="false" customHeight="true" outlineLevel="0" collapsed="false">
      <c r="A358" s="441" t="n">
        <v>7</v>
      </c>
      <c r="B358" s="157" t="n">
        <v>351</v>
      </c>
      <c r="C358" s="437" t="s">
        <v>7523</v>
      </c>
      <c r="D358" s="157" t="s">
        <v>6915</v>
      </c>
      <c r="E358" s="461" t="s">
        <v>2461</v>
      </c>
      <c r="F358" s="157" t="s">
        <v>7730</v>
      </c>
      <c r="G358" s="445" t="n">
        <v>44.2</v>
      </c>
      <c r="H358" s="431" t="n">
        <v>9201</v>
      </c>
      <c r="I358" s="457" t="n">
        <v>0</v>
      </c>
      <c r="J358" s="458" t="n">
        <v>24250</v>
      </c>
      <c r="K358" s="462" t="n">
        <v>3.14226804123711</v>
      </c>
      <c r="L358" s="463" t="n">
        <v>0</v>
      </c>
      <c r="M358" s="463" t="n">
        <v>0.24755905511811</v>
      </c>
      <c r="N358" s="431" t="n">
        <v>1963</v>
      </c>
      <c r="O358" s="446" t="n">
        <v>2784</v>
      </c>
      <c r="Q358" s="157" t="n">
        <v>14</v>
      </c>
      <c r="R358" s="157" t="n">
        <v>3</v>
      </c>
      <c r="S358" s="157" t="n">
        <v>5</v>
      </c>
      <c r="T358" s="457" t="s">
        <v>7526</v>
      </c>
      <c r="U358" s="457" t="n">
        <v>398</v>
      </c>
      <c r="V358" s="458" t="n">
        <v>58000</v>
      </c>
      <c r="W358" s="458" t="n">
        <v>58000</v>
      </c>
      <c r="X358" s="464" t="s">
        <v>6650</v>
      </c>
      <c r="Y358" s="458" t="n">
        <v>24000</v>
      </c>
      <c r="Z358" s="457" t="s">
        <v>6638</v>
      </c>
      <c r="AC358" s="431"/>
      <c r="AD358" s="437" t="s">
        <v>6917</v>
      </c>
      <c r="AE358" s="167"/>
      <c r="AF358" s="167"/>
      <c r="AG358" s="167"/>
      <c r="AH358" s="167"/>
      <c r="AI358" s="167"/>
      <c r="AJ358" s="167"/>
      <c r="AK358" s="465" t="s">
        <v>7731</v>
      </c>
      <c r="AM358" s="157"/>
    </row>
    <row r="359" customFormat="false" ht="12.75" hidden="false" customHeight="true" outlineLevel="0" collapsed="false">
      <c r="A359" s="441" t="n">
        <v>7</v>
      </c>
      <c r="B359" s="157" t="n">
        <v>352</v>
      </c>
      <c r="C359" s="437" t="s">
        <v>7523</v>
      </c>
      <c r="D359" s="157" t="s">
        <v>7732</v>
      </c>
      <c r="E359" s="461" t="s">
        <v>2461</v>
      </c>
      <c r="F359" s="157" t="s">
        <v>7733</v>
      </c>
      <c r="G359" s="445" t="n">
        <v>47.1</v>
      </c>
      <c r="H359" s="431" t="n">
        <v>9201</v>
      </c>
      <c r="I359" s="457" t="n">
        <v>0</v>
      </c>
      <c r="J359" s="458" t="n">
        <v>53250</v>
      </c>
      <c r="K359" s="462" t="n">
        <v>2.92957746478873</v>
      </c>
      <c r="L359" s="463" t="n">
        <v>0</v>
      </c>
      <c r="M359" s="463" t="n">
        <v>0</v>
      </c>
      <c r="N359" s="431" t="n">
        <v>1967</v>
      </c>
      <c r="O359" s="446" t="n">
        <v>1360</v>
      </c>
      <c r="Q359" s="157" t="n">
        <v>24</v>
      </c>
      <c r="R359" s="157" t="n">
        <v>7</v>
      </c>
      <c r="S359" s="157" t="n">
        <v>1</v>
      </c>
      <c r="T359" s="457" t="s">
        <v>7526</v>
      </c>
      <c r="U359" s="457" t="n">
        <v>401</v>
      </c>
      <c r="V359" s="458" t="n">
        <v>142334</v>
      </c>
      <c r="W359" s="458" t="n">
        <v>140000</v>
      </c>
      <c r="X359" s="464" t="s">
        <v>6757</v>
      </c>
      <c r="Y359" s="458" t="n">
        <v>53000</v>
      </c>
      <c r="Z359" s="457" t="s">
        <v>6638</v>
      </c>
      <c r="AC359" s="431"/>
      <c r="AD359" s="437" t="s">
        <v>7734</v>
      </c>
      <c r="AE359" s="167"/>
      <c r="AF359" s="167"/>
      <c r="AG359" s="167"/>
      <c r="AH359" s="167"/>
      <c r="AI359" s="167"/>
      <c r="AJ359" s="167"/>
      <c r="AK359" s="465"/>
      <c r="AM359" s="157"/>
    </row>
    <row r="360" customFormat="false" ht="12.75" hidden="false" customHeight="true" outlineLevel="0" collapsed="false">
      <c r="A360" s="441" t="n">
        <v>7</v>
      </c>
      <c r="B360" s="157" t="n">
        <v>353</v>
      </c>
      <c r="C360" s="437" t="s">
        <v>7523</v>
      </c>
      <c r="D360" s="157" t="s">
        <v>7735</v>
      </c>
      <c r="E360" s="461" t="s">
        <v>2461</v>
      </c>
      <c r="F360" s="157" t="s">
        <v>7736</v>
      </c>
      <c r="G360" s="431" t="n">
        <v>44.1</v>
      </c>
      <c r="H360" s="431" t="n">
        <v>9201</v>
      </c>
      <c r="I360" s="457" t="n">
        <v>0</v>
      </c>
      <c r="J360" s="458" t="n">
        <v>6800</v>
      </c>
      <c r="K360" s="462" t="n">
        <v>8.82352941176471</v>
      </c>
      <c r="L360" s="463" t="n">
        <v>1</v>
      </c>
      <c r="M360" s="463" t="n">
        <v>0.0183333333333333</v>
      </c>
      <c r="N360" s="431" t="n">
        <v>1981</v>
      </c>
      <c r="O360" s="446" t="n">
        <v>2000</v>
      </c>
      <c r="Q360" s="157" t="n">
        <v>16</v>
      </c>
      <c r="R360" s="157" t="n">
        <v>8</v>
      </c>
      <c r="S360" s="157" t="n">
        <v>1</v>
      </c>
      <c r="T360" s="457" t="s">
        <v>7531</v>
      </c>
      <c r="U360" s="457" t="n">
        <v>398</v>
      </c>
      <c r="V360" s="458" t="n">
        <v>71169</v>
      </c>
      <c r="W360" s="458" t="n">
        <v>71000</v>
      </c>
      <c r="X360" s="464" t="s">
        <v>7737</v>
      </c>
      <c r="Y360" s="458" t="n">
        <v>7000</v>
      </c>
      <c r="Z360" s="457" t="s">
        <v>6638</v>
      </c>
      <c r="AC360" s="431"/>
      <c r="AD360" s="437" t="s">
        <v>6796</v>
      </c>
      <c r="AE360" s="167"/>
      <c r="AF360" s="167"/>
      <c r="AG360" s="167"/>
      <c r="AH360" s="167"/>
      <c r="AI360" s="167"/>
      <c r="AJ360" s="167"/>
      <c r="AK360" s="465" t="s">
        <v>7738</v>
      </c>
      <c r="AM360" s="157"/>
    </row>
    <row r="361" customFormat="false" ht="12.75" hidden="false" customHeight="true" outlineLevel="0" collapsed="false">
      <c r="A361" s="441" t="n">
        <v>7</v>
      </c>
      <c r="B361" s="157" t="n">
        <v>354</v>
      </c>
      <c r="C361" s="437" t="s">
        <v>7523</v>
      </c>
      <c r="D361" s="157" t="s">
        <v>6919</v>
      </c>
      <c r="E361" s="461" t="s">
        <v>2461</v>
      </c>
      <c r="F361" s="157" t="s">
        <v>7739</v>
      </c>
      <c r="G361" s="431" t="n">
        <v>44.1</v>
      </c>
      <c r="H361" s="431" t="n">
        <v>9201</v>
      </c>
      <c r="I361" s="457" t="n">
        <v>0</v>
      </c>
      <c r="J361" s="458" t="n">
        <v>29787</v>
      </c>
      <c r="K361" s="462" t="n">
        <v>5.23718400644577</v>
      </c>
      <c r="L361" s="463" t="n">
        <v>0</v>
      </c>
      <c r="M361" s="463" t="n">
        <v>0</v>
      </c>
      <c r="N361" s="431" t="n">
        <v>1983</v>
      </c>
      <c r="O361" s="446" t="n">
        <v>1063</v>
      </c>
      <c r="Q361" s="157" t="n">
        <v>18</v>
      </c>
      <c r="R361" s="157" t="n">
        <v>10</v>
      </c>
      <c r="S361" s="157" t="n">
        <v>1</v>
      </c>
      <c r="T361" s="457" t="s">
        <v>7526</v>
      </c>
      <c r="U361" s="457" t="n">
        <v>398</v>
      </c>
      <c r="V361" s="458" t="n">
        <v>130639</v>
      </c>
      <c r="W361" s="458" t="n">
        <v>130000</v>
      </c>
      <c r="X361" s="464" t="s">
        <v>6895</v>
      </c>
      <c r="Y361" s="458" t="n">
        <v>30000</v>
      </c>
      <c r="Z361" s="457" t="s">
        <v>6638</v>
      </c>
      <c r="AC361" s="431"/>
      <c r="AD361" s="437" t="s">
        <v>6921</v>
      </c>
      <c r="AE361" s="167"/>
      <c r="AF361" s="167"/>
      <c r="AG361" s="167"/>
      <c r="AH361" s="167"/>
      <c r="AI361" s="167"/>
      <c r="AJ361" s="167"/>
      <c r="AK361" s="465"/>
      <c r="AM361" s="157"/>
    </row>
    <row r="362" customFormat="false" ht="12.75" hidden="false" customHeight="true" outlineLevel="0" collapsed="false">
      <c r="A362" s="441" t="n">
        <v>7</v>
      </c>
      <c r="B362" s="157" t="n">
        <v>355</v>
      </c>
      <c r="C362" s="437" t="s">
        <v>7523</v>
      </c>
      <c r="D362" s="157" t="s">
        <v>6922</v>
      </c>
      <c r="E362" s="461" t="s">
        <v>2461</v>
      </c>
      <c r="F362" s="157" t="s">
        <v>7740</v>
      </c>
      <c r="G362" s="431" t="n">
        <v>44.1</v>
      </c>
      <c r="H362" s="431" t="n">
        <v>9201</v>
      </c>
      <c r="I362" s="457" t="n">
        <v>5</v>
      </c>
      <c r="J362" s="458" t="n">
        <v>24416</v>
      </c>
      <c r="K362" s="462" t="n">
        <v>3.93184796854522</v>
      </c>
      <c r="L362" s="463" t="n">
        <v>0</v>
      </c>
      <c r="M362" s="463" t="n">
        <v>0.0317708333333333</v>
      </c>
      <c r="N362" s="431" t="n">
        <v>1973</v>
      </c>
      <c r="O362" s="446" t="n">
        <v>1560</v>
      </c>
      <c r="Q362" s="157" t="n">
        <v>17</v>
      </c>
      <c r="R362" s="157" t="n">
        <v>1</v>
      </c>
      <c r="S362" s="157" t="n">
        <v>1</v>
      </c>
      <c r="T362" s="457" t="s">
        <v>7526</v>
      </c>
      <c r="U362" s="457" t="n">
        <v>398</v>
      </c>
      <c r="V362" s="458" t="n">
        <v>45515</v>
      </c>
      <c r="W362" s="458" t="n">
        <v>46000</v>
      </c>
      <c r="X362" s="464" t="s">
        <v>6675</v>
      </c>
      <c r="Y362" s="458" t="n">
        <v>24000</v>
      </c>
      <c r="Z362" s="457" t="s">
        <v>6638</v>
      </c>
      <c r="AC362" s="431"/>
      <c r="AD362" s="437" t="s">
        <v>6924</v>
      </c>
      <c r="AE362" s="167"/>
      <c r="AF362" s="167"/>
      <c r="AG362" s="167"/>
      <c r="AH362" s="167"/>
      <c r="AI362" s="167"/>
      <c r="AJ362" s="167"/>
      <c r="AK362" s="465"/>
      <c r="AM362" s="157"/>
    </row>
    <row r="363" customFormat="false" ht="12.75" hidden="false" customHeight="true" outlineLevel="0" collapsed="false">
      <c r="A363" s="441" t="n">
        <v>7</v>
      </c>
      <c r="B363" s="157" t="n">
        <v>356</v>
      </c>
      <c r="C363" s="437" t="s">
        <v>7523</v>
      </c>
      <c r="D363" s="157" t="s">
        <v>7741</v>
      </c>
      <c r="E363" s="461" t="s">
        <v>2461</v>
      </c>
      <c r="F363" s="157" t="s">
        <v>7742</v>
      </c>
      <c r="G363" s="431" t="n">
        <v>44.1</v>
      </c>
      <c r="H363" s="431" t="n">
        <v>9201</v>
      </c>
      <c r="I363" s="457" t="n">
        <v>0</v>
      </c>
      <c r="J363" s="458" t="n">
        <v>9960</v>
      </c>
      <c r="K363" s="462" t="n">
        <v>3.97590361445783</v>
      </c>
      <c r="L363" s="463" t="n">
        <v>0</v>
      </c>
      <c r="M363" s="463" t="n">
        <v>0</v>
      </c>
      <c r="N363" s="431" t="n">
        <v>1956</v>
      </c>
      <c r="O363" s="446" t="n">
        <v>3858</v>
      </c>
      <c r="Q363" s="157" t="n">
        <v>16</v>
      </c>
      <c r="R363" s="157" t="n">
        <v>1</v>
      </c>
      <c r="S363" s="157" t="n">
        <v>1</v>
      </c>
      <c r="T363" s="457" t="s">
        <v>7526</v>
      </c>
      <c r="U363" s="457" t="n">
        <v>398</v>
      </c>
      <c r="V363" s="458" t="n">
        <v>17647</v>
      </c>
      <c r="W363" s="458" t="n">
        <v>18000</v>
      </c>
      <c r="X363" s="464" t="s">
        <v>6863</v>
      </c>
      <c r="Y363" s="458" t="n">
        <v>10000</v>
      </c>
      <c r="Z363" s="457" t="s">
        <v>6638</v>
      </c>
      <c r="AC363" s="431"/>
      <c r="AD363" s="437" t="s">
        <v>7743</v>
      </c>
      <c r="AE363" s="167"/>
      <c r="AF363" s="167"/>
      <c r="AG363" s="167"/>
      <c r="AH363" s="167"/>
      <c r="AI363" s="167"/>
      <c r="AJ363" s="167"/>
      <c r="AK363" s="465" t="s">
        <v>7527</v>
      </c>
      <c r="AM363" s="157"/>
    </row>
    <row r="364" customFormat="false" ht="12.75" hidden="false" customHeight="true" outlineLevel="0" collapsed="false">
      <c r="A364" s="441" t="n">
        <v>7</v>
      </c>
      <c r="B364" s="157" t="n">
        <v>357</v>
      </c>
      <c r="C364" s="437" t="s">
        <v>7523</v>
      </c>
      <c r="D364" s="157" t="s">
        <v>7744</v>
      </c>
      <c r="E364" s="461" t="s">
        <v>2461</v>
      </c>
      <c r="F364" s="157" t="s">
        <v>7745</v>
      </c>
      <c r="G364" s="445" t="n">
        <v>45.7</v>
      </c>
      <c r="H364" s="431" t="n">
        <v>9201</v>
      </c>
      <c r="I364" s="457" t="n">
        <v>0</v>
      </c>
      <c r="J364" s="458" t="n">
        <v>31705</v>
      </c>
      <c r="K364" s="462" t="n">
        <v>5.49998422961678</v>
      </c>
      <c r="L364" s="463" t="n">
        <v>0.4</v>
      </c>
      <c r="M364" s="463" t="n">
        <v>0</v>
      </c>
      <c r="N364" s="431" t="n">
        <v>1951</v>
      </c>
      <c r="O364" s="446" t="n">
        <v>5790</v>
      </c>
      <c r="Q364" s="157" t="n">
        <v>17</v>
      </c>
      <c r="R364" s="157" t="n">
        <v>4</v>
      </c>
      <c r="S364" s="157" t="n">
        <v>1</v>
      </c>
      <c r="T364" s="457" t="s">
        <v>7531</v>
      </c>
      <c r="U364" s="457" t="n">
        <v>401</v>
      </c>
      <c r="V364" s="458" t="n">
        <v>85400</v>
      </c>
      <c r="W364" s="458" t="n">
        <v>85000</v>
      </c>
      <c r="X364" s="464" t="s">
        <v>6757</v>
      </c>
      <c r="Y364" s="458" t="n">
        <v>32000</v>
      </c>
      <c r="Z364" s="457" t="s">
        <v>6638</v>
      </c>
      <c r="AC364" s="431"/>
      <c r="AD364" s="437"/>
      <c r="AE364" s="167"/>
      <c r="AF364" s="167"/>
      <c r="AG364" s="167"/>
      <c r="AH364" s="167"/>
      <c r="AI364" s="167"/>
      <c r="AJ364" s="167"/>
      <c r="AK364" s="465"/>
      <c r="AM364" s="157"/>
    </row>
    <row r="365" customFormat="false" ht="12.75" hidden="false" customHeight="true" outlineLevel="0" collapsed="false">
      <c r="A365" s="441" t="n">
        <v>7</v>
      </c>
      <c r="B365" s="157" t="n">
        <v>358</v>
      </c>
      <c r="C365" s="437" t="s">
        <v>7523</v>
      </c>
      <c r="D365" s="157" t="s">
        <v>7746</v>
      </c>
      <c r="E365" s="461" t="s">
        <v>2461</v>
      </c>
      <c r="F365" s="157" t="s">
        <v>7747</v>
      </c>
      <c r="G365" s="431" t="n">
        <v>44.1</v>
      </c>
      <c r="H365" s="431" t="n">
        <v>9201</v>
      </c>
      <c r="I365" s="457" t="n">
        <v>0</v>
      </c>
      <c r="J365" s="458" t="n">
        <v>1200</v>
      </c>
      <c r="K365" s="462" t="n">
        <v>3.33333333333333</v>
      </c>
      <c r="L365" s="463" t="n">
        <v>0</v>
      </c>
      <c r="M365" s="463" t="n">
        <v>0.01675</v>
      </c>
      <c r="N365" s="431" t="n">
        <v>1967</v>
      </c>
      <c r="O365" s="446" t="n">
        <v>116</v>
      </c>
      <c r="Q365" s="157" t="n">
        <v>10</v>
      </c>
      <c r="R365" s="157" t="n">
        <v>7</v>
      </c>
      <c r="S365" s="157" t="n">
        <v>2</v>
      </c>
      <c r="T365" s="457" t="s">
        <v>7526</v>
      </c>
      <c r="U365" s="457" t="n">
        <v>398</v>
      </c>
      <c r="V365" s="458" t="n">
        <v>12600</v>
      </c>
      <c r="W365" s="458" t="n">
        <v>13000</v>
      </c>
      <c r="X365" s="464" t="s">
        <v>7737</v>
      </c>
      <c r="Y365" s="458" t="n">
        <v>1000</v>
      </c>
      <c r="Z365" s="457" t="s">
        <v>6638</v>
      </c>
      <c r="AC365" s="431"/>
      <c r="AD365" s="437" t="s">
        <v>6676</v>
      </c>
      <c r="AE365" s="167"/>
      <c r="AF365" s="167"/>
      <c r="AG365" s="167"/>
      <c r="AH365" s="167"/>
      <c r="AI365" s="167"/>
      <c r="AJ365" s="167"/>
      <c r="AK365" s="465"/>
      <c r="AM365" s="157"/>
    </row>
    <row r="366" customFormat="false" ht="12.75" hidden="false" customHeight="true" outlineLevel="0" collapsed="false">
      <c r="A366" s="441" t="n">
        <v>7</v>
      </c>
      <c r="B366" s="157" t="n">
        <v>359</v>
      </c>
      <c r="C366" s="437" t="s">
        <v>7523</v>
      </c>
      <c r="D366" s="157" t="s">
        <v>6934</v>
      </c>
      <c r="E366" s="461" t="s">
        <v>2461</v>
      </c>
      <c r="F366" s="157" t="s">
        <v>7748</v>
      </c>
      <c r="G366" s="445" t="n">
        <v>44.2</v>
      </c>
      <c r="H366" s="431" t="n">
        <v>9201</v>
      </c>
      <c r="I366" s="457" t="n">
        <v>0</v>
      </c>
      <c r="J366" s="458" t="n">
        <v>2982</v>
      </c>
      <c r="K366" s="462" t="n">
        <v>4.42655935613682</v>
      </c>
      <c r="L366" s="463" t="n">
        <v>0</v>
      </c>
      <c r="M366" s="463" t="n">
        <v>0.0818181818181818</v>
      </c>
      <c r="N366" s="431" t="n">
        <v>1961</v>
      </c>
      <c r="O366" s="446" t="n">
        <v>0</v>
      </c>
      <c r="Q366" s="157" t="n">
        <v>9</v>
      </c>
      <c r="R366" s="157" t="n">
        <v>10</v>
      </c>
      <c r="S366" s="157" t="n">
        <v>1</v>
      </c>
      <c r="T366" s="457" t="s">
        <v>7526</v>
      </c>
      <c r="U366" s="457" t="n">
        <v>353</v>
      </c>
      <c r="V366" s="458" t="n">
        <v>6711</v>
      </c>
      <c r="W366" s="458" t="n">
        <v>7000</v>
      </c>
      <c r="X366" s="464" t="s">
        <v>6646</v>
      </c>
      <c r="Y366" s="458" t="n">
        <v>3000</v>
      </c>
      <c r="Z366" s="457" t="s">
        <v>6638</v>
      </c>
      <c r="AC366" s="431"/>
      <c r="AD366" s="437"/>
      <c r="AE366" s="167"/>
      <c r="AF366" s="167"/>
      <c r="AG366" s="167"/>
      <c r="AH366" s="167"/>
      <c r="AI366" s="167"/>
      <c r="AJ366" s="167"/>
      <c r="AK366" s="465"/>
      <c r="AM366" s="157"/>
    </row>
    <row r="367" customFormat="false" ht="12.75" hidden="false" customHeight="true" outlineLevel="0" collapsed="false">
      <c r="A367" s="441" t="n">
        <v>7</v>
      </c>
      <c r="B367" s="157" t="n">
        <v>360</v>
      </c>
      <c r="C367" s="437" t="s">
        <v>7523</v>
      </c>
      <c r="D367" s="157" t="s">
        <v>6936</v>
      </c>
      <c r="E367" s="461" t="s">
        <v>2461</v>
      </c>
      <c r="F367" s="157" t="s">
        <v>7749</v>
      </c>
      <c r="G367" s="445" t="n">
        <v>44.4</v>
      </c>
      <c r="H367" s="431" t="n">
        <v>9201</v>
      </c>
      <c r="I367" s="457" t="n">
        <v>0</v>
      </c>
      <c r="J367" s="458" t="n">
        <v>143328</v>
      </c>
      <c r="K367" s="462" t="n">
        <v>2.82103985264568</v>
      </c>
      <c r="L367" s="463" t="n">
        <v>0</v>
      </c>
      <c r="M367" s="463" t="n">
        <v>0</v>
      </c>
      <c r="N367" s="431" t="n">
        <v>1980</v>
      </c>
      <c r="O367" s="446" t="n">
        <v>11852</v>
      </c>
      <c r="Q367" s="157" t="n">
        <v>25</v>
      </c>
      <c r="R367" s="157" t="n">
        <v>3</v>
      </c>
      <c r="S367" s="157" t="n">
        <v>1</v>
      </c>
      <c r="T367" s="457" t="s">
        <v>7531</v>
      </c>
      <c r="U367" s="457" t="n">
        <v>398</v>
      </c>
      <c r="V367" s="458" t="n">
        <v>286723</v>
      </c>
      <c r="W367" s="458" t="n">
        <v>290000</v>
      </c>
      <c r="X367" s="464" t="s">
        <v>7546</v>
      </c>
      <c r="Y367" s="458" t="n">
        <v>140000</v>
      </c>
      <c r="Z367" s="457" t="s">
        <v>6638</v>
      </c>
      <c r="AC367" s="431"/>
      <c r="AD367" s="437" t="s">
        <v>7750</v>
      </c>
      <c r="AE367" s="167"/>
      <c r="AF367" s="167"/>
      <c r="AG367" s="167"/>
      <c r="AH367" s="167"/>
      <c r="AI367" s="167"/>
      <c r="AJ367" s="167"/>
      <c r="AK367" s="465"/>
      <c r="AM367" s="157"/>
    </row>
    <row r="368" customFormat="false" ht="25.5" hidden="false" customHeight="true" outlineLevel="0" collapsed="false">
      <c r="A368" s="441" t="n">
        <v>7</v>
      </c>
      <c r="B368" s="157" t="n">
        <v>361</v>
      </c>
      <c r="C368" s="437" t="s">
        <v>7523</v>
      </c>
      <c r="D368" s="157" t="s">
        <v>7751</v>
      </c>
      <c r="E368" s="461" t="s">
        <v>2461</v>
      </c>
      <c r="F368" s="157" t="s">
        <v>7752</v>
      </c>
      <c r="G368" s="431" t="n">
        <v>44.1</v>
      </c>
      <c r="H368" s="431" t="n">
        <v>9201</v>
      </c>
      <c r="I368" s="457" t="n">
        <v>0</v>
      </c>
      <c r="J368" s="458" t="n">
        <v>19990</v>
      </c>
      <c r="K368" s="462" t="n">
        <v>4.3271635817909</v>
      </c>
      <c r="L368" s="463" t="n">
        <v>0</v>
      </c>
      <c r="M368" s="463" t="n">
        <v>0</v>
      </c>
      <c r="N368" s="431" t="n">
        <v>1948</v>
      </c>
      <c r="O368" s="446" t="n">
        <v>5730</v>
      </c>
      <c r="Q368" s="157" t="n">
        <v>18</v>
      </c>
      <c r="R368" s="157" t="n">
        <v>1</v>
      </c>
      <c r="S368" s="157" t="n">
        <v>1</v>
      </c>
      <c r="T368" s="457" t="s">
        <v>7531</v>
      </c>
      <c r="U368" s="457" t="n">
        <v>398</v>
      </c>
      <c r="V368" s="458" t="n">
        <v>100554</v>
      </c>
      <c r="W368" s="458" t="n">
        <v>101000</v>
      </c>
      <c r="X368" s="464" t="s">
        <v>7563</v>
      </c>
      <c r="Y368" s="458" t="n">
        <v>20000</v>
      </c>
      <c r="Z368" s="457" t="s">
        <v>6638</v>
      </c>
      <c r="AC368" s="431"/>
      <c r="AD368" s="437"/>
      <c r="AE368" s="167"/>
      <c r="AF368" s="167"/>
      <c r="AG368" s="167"/>
      <c r="AH368" s="167"/>
      <c r="AI368" s="167"/>
      <c r="AJ368" s="167"/>
      <c r="AK368" s="465" t="s">
        <v>7753</v>
      </c>
      <c r="AM368" s="157"/>
    </row>
    <row r="369" customFormat="false" ht="12.75" hidden="false" customHeight="true" outlineLevel="0" collapsed="false">
      <c r="A369" s="441" t="n">
        <v>7</v>
      </c>
      <c r="B369" s="157" t="n">
        <v>362</v>
      </c>
      <c r="C369" s="437" t="s">
        <v>7523</v>
      </c>
      <c r="D369" s="157" t="s">
        <v>7754</v>
      </c>
      <c r="E369" s="461" t="s">
        <v>2461</v>
      </c>
      <c r="F369" s="157" t="s">
        <v>7755</v>
      </c>
      <c r="G369" s="431" t="n">
        <v>44.1</v>
      </c>
      <c r="H369" s="431" t="n">
        <v>9201</v>
      </c>
      <c r="I369" s="457" t="n">
        <v>0</v>
      </c>
      <c r="J369" s="458" t="n">
        <v>5030</v>
      </c>
      <c r="K369" s="462" t="n">
        <v>5.36779324055666</v>
      </c>
      <c r="L369" s="463" t="n">
        <v>0</v>
      </c>
      <c r="M369" s="463" t="n">
        <v>0.00814814814814815</v>
      </c>
      <c r="N369" s="431" t="n">
        <v>1980</v>
      </c>
      <c r="O369" s="446" t="n">
        <v>387</v>
      </c>
      <c r="Q369" s="157" t="n">
        <v>16</v>
      </c>
      <c r="R369" s="157" t="n">
        <v>7</v>
      </c>
      <c r="S369" s="157" t="n">
        <v>1</v>
      </c>
      <c r="T369" s="457" t="s">
        <v>7526</v>
      </c>
      <c r="U369" s="457" t="n">
        <v>398</v>
      </c>
      <c r="V369" s="458" t="n">
        <v>18700</v>
      </c>
      <c r="W369" s="458" t="n">
        <v>19000</v>
      </c>
      <c r="X369" s="464" t="s">
        <v>6717</v>
      </c>
      <c r="Y369" s="458" t="n">
        <v>5000</v>
      </c>
      <c r="Z369" s="457" t="s">
        <v>6638</v>
      </c>
      <c r="AC369" s="431"/>
      <c r="AD369" s="437"/>
      <c r="AE369" s="167"/>
      <c r="AF369" s="167"/>
      <c r="AG369" s="167"/>
      <c r="AH369" s="167"/>
      <c r="AI369" s="167"/>
      <c r="AJ369" s="167"/>
      <c r="AK369" s="465" t="s">
        <v>7756</v>
      </c>
      <c r="AM369" s="157"/>
    </row>
    <row r="370" customFormat="false" ht="25.5" hidden="false" customHeight="true" outlineLevel="0" collapsed="false">
      <c r="A370" s="441" t="n">
        <v>7</v>
      </c>
      <c r="B370" s="157" t="n">
        <v>363</v>
      </c>
      <c r="C370" s="437" t="s">
        <v>7523</v>
      </c>
      <c r="D370" s="157" t="s">
        <v>7757</v>
      </c>
      <c r="E370" s="461" t="s">
        <v>2461</v>
      </c>
      <c r="F370" s="157" t="s">
        <v>7758</v>
      </c>
      <c r="G370" s="445" t="n">
        <v>44.4</v>
      </c>
      <c r="H370" s="431" t="n">
        <v>9201</v>
      </c>
      <c r="I370" s="457" t="n">
        <v>0</v>
      </c>
      <c r="J370" s="458" t="n">
        <v>95948</v>
      </c>
      <c r="K370" s="462" t="n">
        <v>4.45032726059949</v>
      </c>
      <c r="L370" s="463" t="n">
        <v>0</v>
      </c>
      <c r="M370" s="463" t="n">
        <v>0.00669320843091335</v>
      </c>
      <c r="N370" s="431" t="n">
        <v>1979</v>
      </c>
      <c r="O370" s="446" t="n">
        <v>677</v>
      </c>
      <c r="Q370" s="157" t="n">
        <v>21</v>
      </c>
      <c r="R370" s="157" t="n">
        <v>3</v>
      </c>
      <c r="S370" s="157" t="n">
        <v>2</v>
      </c>
      <c r="T370" s="457" t="s">
        <v>7531</v>
      </c>
      <c r="U370" s="457" t="n">
        <v>398</v>
      </c>
      <c r="V370" s="458" t="n">
        <v>416941</v>
      </c>
      <c r="W370" s="458" t="n">
        <v>420000</v>
      </c>
      <c r="X370" s="464" t="s">
        <v>6751</v>
      </c>
      <c r="Y370" s="458" t="n">
        <v>96000</v>
      </c>
      <c r="Z370" s="457" t="s">
        <v>6638</v>
      </c>
      <c r="AC370" s="431"/>
      <c r="AD370" s="437" t="s">
        <v>7759</v>
      </c>
      <c r="AE370" s="167"/>
      <c r="AF370" s="167"/>
      <c r="AG370" s="167"/>
      <c r="AH370" s="167"/>
      <c r="AI370" s="167"/>
      <c r="AJ370" s="167"/>
      <c r="AK370" s="465" t="s">
        <v>7760</v>
      </c>
      <c r="AM370" s="157"/>
    </row>
    <row r="371" customFormat="false" ht="25.5" hidden="false" customHeight="true" outlineLevel="0" collapsed="false">
      <c r="A371" s="441" t="n">
        <v>7</v>
      </c>
      <c r="B371" s="157" t="n">
        <v>364</v>
      </c>
      <c r="C371" s="437" t="s">
        <v>7523</v>
      </c>
      <c r="D371" s="157" t="s">
        <v>6946</v>
      </c>
      <c r="E371" s="461" t="s">
        <v>2461</v>
      </c>
      <c r="F371" s="157" t="s">
        <v>7761</v>
      </c>
      <c r="G371" s="445" t="n">
        <v>44.4</v>
      </c>
      <c r="H371" s="431" t="n">
        <v>9208</v>
      </c>
      <c r="I371" s="457" t="n">
        <v>0</v>
      </c>
      <c r="J371" s="458" t="n">
        <v>109323</v>
      </c>
      <c r="K371" s="462" t="n">
        <v>8.7949928194433</v>
      </c>
      <c r="L371" s="463" t="n">
        <v>0.26</v>
      </c>
      <c r="M371" s="463" t="n">
        <v>0.253961799073318</v>
      </c>
      <c r="N371" s="431" t="n">
        <v>1955</v>
      </c>
      <c r="O371" s="446" t="n">
        <v>27857</v>
      </c>
      <c r="Q371" s="157" t="n">
        <v>20</v>
      </c>
      <c r="R371" s="157" t="n">
        <v>1</v>
      </c>
      <c r="S371" s="157" t="n">
        <v>5</v>
      </c>
      <c r="T371" s="457" t="s">
        <v>7531</v>
      </c>
      <c r="U371" s="457" t="n">
        <v>398</v>
      </c>
      <c r="V371" s="458" t="n">
        <v>240000</v>
      </c>
      <c r="W371" s="458" t="n">
        <v>240000</v>
      </c>
      <c r="X371" s="464" t="s">
        <v>6700</v>
      </c>
      <c r="Y371" s="458" t="n">
        <v>110000</v>
      </c>
      <c r="Z371" s="457" t="s">
        <v>6638</v>
      </c>
      <c r="AC371" s="431"/>
      <c r="AD371" s="437" t="s">
        <v>6948</v>
      </c>
      <c r="AE371" s="167"/>
      <c r="AF371" s="167"/>
      <c r="AG371" s="167"/>
      <c r="AH371" s="167"/>
      <c r="AI371" s="167"/>
      <c r="AJ371" s="167"/>
      <c r="AK371" s="465" t="s">
        <v>7762</v>
      </c>
      <c r="AM371" s="157"/>
    </row>
    <row r="372" customFormat="false" ht="25.5" hidden="false" customHeight="true" outlineLevel="0" collapsed="false">
      <c r="A372" s="441" t="n">
        <v>7</v>
      </c>
      <c r="B372" s="157" t="n">
        <v>365</v>
      </c>
      <c r="C372" s="437" t="s">
        <v>7523</v>
      </c>
      <c r="D372" s="157" t="s">
        <v>6952</v>
      </c>
      <c r="E372" s="461" t="s">
        <v>2461</v>
      </c>
      <c r="F372" s="157" t="s">
        <v>7763</v>
      </c>
      <c r="G372" s="445" t="n">
        <v>44.2</v>
      </c>
      <c r="H372" s="431" t="n">
        <v>9201</v>
      </c>
      <c r="I372" s="457" t="n">
        <v>0</v>
      </c>
      <c r="J372" s="458" t="n">
        <v>14000</v>
      </c>
      <c r="K372" s="462" t="n">
        <v>3.85714285714286</v>
      </c>
      <c r="L372" s="463" t="n">
        <v>0</v>
      </c>
      <c r="M372" s="463" t="n">
        <v>0.186833333333333</v>
      </c>
      <c r="N372" s="431" t="n">
        <v>1968</v>
      </c>
      <c r="O372" s="446" t="n">
        <v>1143</v>
      </c>
      <c r="Q372" s="157" t="n">
        <v>18</v>
      </c>
      <c r="R372" s="157" t="n">
        <v>10</v>
      </c>
      <c r="S372" s="157" t="n">
        <v>2</v>
      </c>
      <c r="T372" s="457" t="s">
        <v>7526</v>
      </c>
      <c r="U372" s="457" t="n">
        <v>398</v>
      </c>
      <c r="V372" s="458" t="n">
        <v>24000</v>
      </c>
      <c r="W372" s="458" t="n">
        <v>24000</v>
      </c>
      <c r="X372" s="464" t="s">
        <v>6954</v>
      </c>
      <c r="Y372" s="458" t="n">
        <v>14000</v>
      </c>
      <c r="Z372" s="457" t="s">
        <v>6638</v>
      </c>
      <c r="AC372" s="431"/>
      <c r="AD372" s="437"/>
      <c r="AE372" s="167"/>
      <c r="AF372" s="167"/>
      <c r="AG372" s="167"/>
      <c r="AH372" s="167"/>
      <c r="AI372" s="167"/>
      <c r="AJ372" s="167"/>
      <c r="AK372" s="465" t="s">
        <v>7764</v>
      </c>
      <c r="AM372" s="157"/>
    </row>
    <row r="373" customFormat="false" ht="12.75" hidden="false" customHeight="true" outlineLevel="0" collapsed="false">
      <c r="A373" s="441" t="n">
        <v>7</v>
      </c>
      <c r="B373" s="157" t="n">
        <v>366</v>
      </c>
      <c r="C373" s="437" t="s">
        <v>7523</v>
      </c>
      <c r="D373" s="157" t="s">
        <v>7765</v>
      </c>
      <c r="E373" s="461" t="s">
        <v>2461</v>
      </c>
      <c r="F373" s="157" t="s">
        <v>7766</v>
      </c>
      <c r="G373" s="431" t="n">
        <v>44.1</v>
      </c>
      <c r="H373" s="431" t="n">
        <v>9201</v>
      </c>
      <c r="I373" s="457" t="n">
        <v>0</v>
      </c>
      <c r="J373" s="458" t="n">
        <v>38845</v>
      </c>
      <c r="K373" s="462" t="n">
        <v>7.72300167331703</v>
      </c>
      <c r="L373" s="463" t="n">
        <v>0</v>
      </c>
      <c r="M373" s="463" t="n">
        <v>0</v>
      </c>
      <c r="N373" s="431" t="n">
        <v>1991</v>
      </c>
      <c r="O373" s="446" t="n">
        <v>7755</v>
      </c>
      <c r="Q373" s="157" t="n">
        <v>28</v>
      </c>
      <c r="R373" s="157" t="n">
        <v>3</v>
      </c>
      <c r="S373" s="157" t="n">
        <v>1</v>
      </c>
      <c r="T373" s="457" t="s">
        <v>7526</v>
      </c>
      <c r="U373" s="457" t="n">
        <v>398</v>
      </c>
      <c r="V373" s="458" t="n">
        <v>87200</v>
      </c>
      <c r="W373" s="458" t="n">
        <v>87000</v>
      </c>
      <c r="X373" s="464" t="s">
        <v>6700</v>
      </c>
      <c r="Y373" s="458" t="n">
        <v>39000</v>
      </c>
      <c r="Z373" s="457" t="s">
        <v>6638</v>
      </c>
      <c r="AC373" s="431"/>
      <c r="AD373" s="437" t="s">
        <v>7767</v>
      </c>
      <c r="AE373" s="167"/>
      <c r="AF373" s="167"/>
      <c r="AG373" s="167"/>
      <c r="AH373" s="167"/>
      <c r="AI373" s="167"/>
      <c r="AJ373" s="167"/>
      <c r="AK373" s="465" t="s">
        <v>6697</v>
      </c>
      <c r="AM373" s="157"/>
    </row>
    <row r="374" customFormat="false" ht="25.5" hidden="false" customHeight="true" outlineLevel="0" collapsed="false">
      <c r="A374" s="441" t="n">
        <v>7</v>
      </c>
      <c r="B374" s="157" t="n">
        <v>367</v>
      </c>
      <c r="C374" s="437" t="s">
        <v>7523</v>
      </c>
      <c r="D374" s="157" t="s">
        <v>6959</v>
      </c>
      <c r="E374" s="461" t="s">
        <v>2461</v>
      </c>
      <c r="F374" s="157" t="s">
        <v>7768</v>
      </c>
      <c r="G374" s="445" t="n">
        <v>46.2</v>
      </c>
      <c r="H374" s="431" t="n">
        <v>9201</v>
      </c>
      <c r="I374" s="457" t="n">
        <v>0</v>
      </c>
      <c r="J374" s="458" t="n">
        <v>10354</v>
      </c>
      <c r="K374" s="462" t="n">
        <v>4.33928916360827</v>
      </c>
      <c r="L374" s="463" t="n">
        <v>0</v>
      </c>
      <c r="M374" s="463" t="n">
        <v>0.174453025885286</v>
      </c>
      <c r="N374" s="431" t="n">
        <v>1967</v>
      </c>
      <c r="O374" s="446" t="n">
        <v>3374</v>
      </c>
      <c r="Q374" s="157" t="n">
        <v>17</v>
      </c>
      <c r="R374" s="157" t="n">
        <v>14</v>
      </c>
      <c r="S374" s="157" t="n">
        <v>3</v>
      </c>
      <c r="T374" s="457" t="s">
        <v>7526</v>
      </c>
      <c r="U374" s="457" t="n">
        <v>401</v>
      </c>
      <c r="V374" s="458" t="n">
        <v>21063</v>
      </c>
      <c r="W374" s="458" t="n">
        <v>21000</v>
      </c>
      <c r="X374" s="464" t="s">
        <v>7546</v>
      </c>
      <c r="Y374" s="458" t="n">
        <v>10000</v>
      </c>
      <c r="Z374" s="457" t="s">
        <v>6638</v>
      </c>
      <c r="AC374" s="431"/>
      <c r="AD374" s="437"/>
      <c r="AE374" s="167"/>
      <c r="AF374" s="167"/>
      <c r="AG374" s="167"/>
      <c r="AH374" s="167"/>
      <c r="AI374" s="167"/>
      <c r="AJ374" s="167"/>
      <c r="AK374" s="465" t="s">
        <v>7769</v>
      </c>
      <c r="AM374" s="157"/>
    </row>
    <row r="375" customFormat="false" ht="25.5" hidden="false" customHeight="true" outlineLevel="0" collapsed="false">
      <c r="A375" s="441" t="n">
        <v>7</v>
      </c>
      <c r="B375" s="157" t="n">
        <v>368</v>
      </c>
      <c r="C375" s="437" t="s">
        <v>7523</v>
      </c>
      <c r="D375" s="157" t="s">
        <v>7770</v>
      </c>
      <c r="E375" s="461" t="s">
        <v>2461</v>
      </c>
      <c r="F375" s="157" t="s">
        <v>7771</v>
      </c>
      <c r="G375" s="445" t="n">
        <v>44.2</v>
      </c>
      <c r="H375" s="431" t="n">
        <v>9201</v>
      </c>
      <c r="I375" s="457" t="n">
        <v>0</v>
      </c>
      <c r="J375" s="458" t="n">
        <v>13881</v>
      </c>
      <c r="K375" s="462" t="n">
        <v>2.43498307038398</v>
      </c>
      <c r="L375" s="463" t="n">
        <v>0</v>
      </c>
      <c r="M375" s="463" t="n">
        <v>0</v>
      </c>
      <c r="N375" s="431" t="n">
        <v>1950</v>
      </c>
      <c r="O375" s="446" t="n">
        <v>3456</v>
      </c>
      <c r="Q375" s="157" t="n">
        <v>14</v>
      </c>
      <c r="R375" s="157" t="n">
        <v>8</v>
      </c>
      <c r="S375" s="157" t="n">
        <v>1</v>
      </c>
      <c r="T375" s="457" t="s">
        <v>7526</v>
      </c>
      <c r="U375" s="457" t="n">
        <v>398</v>
      </c>
      <c r="V375" s="458" t="n">
        <v>28675</v>
      </c>
      <c r="W375" s="458" t="n">
        <v>29000</v>
      </c>
      <c r="X375" s="464" t="s">
        <v>6754</v>
      </c>
      <c r="Y375" s="458" t="n">
        <v>14000</v>
      </c>
      <c r="Z375" s="457" t="s">
        <v>6638</v>
      </c>
      <c r="AC375" s="431"/>
      <c r="AD375" s="437" t="s">
        <v>7772</v>
      </c>
      <c r="AE375" s="167"/>
      <c r="AF375" s="167"/>
      <c r="AG375" s="167"/>
      <c r="AH375" s="167"/>
      <c r="AI375" s="167"/>
      <c r="AJ375" s="167"/>
      <c r="AK375" s="465" t="s">
        <v>7773</v>
      </c>
      <c r="AM375" s="157"/>
    </row>
    <row r="376" customFormat="false" ht="12.75" hidden="false" customHeight="true" outlineLevel="0" collapsed="false">
      <c r="A376" s="441" t="n">
        <v>7</v>
      </c>
      <c r="B376" s="157" t="n">
        <v>369</v>
      </c>
      <c r="C376" s="437" t="s">
        <v>7523</v>
      </c>
      <c r="D376" s="157" t="s">
        <v>7774</v>
      </c>
      <c r="E376" s="461" t="s">
        <v>2461</v>
      </c>
      <c r="F376" s="157" t="s">
        <v>7775</v>
      </c>
      <c r="G376" s="431" t="n">
        <v>44.1</v>
      </c>
      <c r="H376" s="431" t="n">
        <v>9201</v>
      </c>
      <c r="I376" s="457" t="n">
        <v>0</v>
      </c>
      <c r="J376" s="458" t="n">
        <v>6000</v>
      </c>
      <c r="K376" s="462" t="n">
        <v>8</v>
      </c>
      <c r="L376" s="463" t="n">
        <v>0</v>
      </c>
      <c r="M376" s="463" t="n">
        <v>0.082125</v>
      </c>
      <c r="N376" s="431" t="n">
        <v>1980</v>
      </c>
      <c r="O376" s="446" t="n">
        <v>702</v>
      </c>
      <c r="Q376" s="157" t="n">
        <v>14</v>
      </c>
      <c r="R376" s="157" t="n">
        <v>7</v>
      </c>
      <c r="S376" s="157" t="n">
        <v>1</v>
      </c>
      <c r="T376" s="457" t="s">
        <v>7526</v>
      </c>
      <c r="U376" s="457" t="n">
        <v>398</v>
      </c>
      <c r="V376" s="458" t="n">
        <v>19115</v>
      </c>
      <c r="W376" s="458" t="n">
        <v>19000</v>
      </c>
      <c r="X376" s="464" t="s">
        <v>6695</v>
      </c>
      <c r="Y376" s="458" t="n">
        <v>6000</v>
      </c>
      <c r="Z376" s="457" t="s">
        <v>6638</v>
      </c>
      <c r="AC376" s="431"/>
      <c r="AD376" s="437"/>
      <c r="AE376" s="167"/>
      <c r="AF376" s="167"/>
      <c r="AG376" s="167"/>
      <c r="AH376" s="167"/>
      <c r="AI376" s="167"/>
      <c r="AJ376" s="167"/>
      <c r="AK376" s="465" t="s">
        <v>7527</v>
      </c>
      <c r="AM376" s="157"/>
    </row>
    <row r="377" customFormat="false" ht="38.25" hidden="false" customHeight="true" outlineLevel="0" collapsed="false">
      <c r="A377" s="441" t="n">
        <v>7</v>
      </c>
      <c r="B377" s="157" t="n">
        <v>370</v>
      </c>
      <c r="C377" s="437" t="s">
        <v>7523</v>
      </c>
      <c r="D377" s="157" t="s">
        <v>7776</v>
      </c>
      <c r="E377" s="461" t="s">
        <v>2461</v>
      </c>
      <c r="F377" s="157" t="s">
        <v>7777</v>
      </c>
      <c r="G377" s="445" t="n">
        <v>44.4</v>
      </c>
      <c r="H377" s="431" t="n">
        <v>9208</v>
      </c>
      <c r="I377" s="457" t="n">
        <v>0</v>
      </c>
      <c r="J377" s="458" t="n">
        <v>176800</v>
      </c>
      <c r="K377" s="462" t="n">
        <v>5.49</v>
      </c>
      <c r="L377" s="463" t="n">
        <v>0</v>
      </c>
      <c r="M377" s="463" t="n">
        <v>0.0484927817280759</v>
      </c>
      <c r="N377" s="431" t="n">
        <v>2003</v>
      </c>
      <c r="O377" s="446" t="n">
        <v>21717</v>
      </c>
      <c r="Q377" s="157" t="n">
        <v>42</v>
      </c>
      <c r="R377" s="157" t="n">
        <v>14</v>
      </c>
      <c r="S377" s="157" t="n">
        <v>8</v>
      </c>
      <c r="T377" s="457" t="s">
        <v>7529</v>
      </c>
      <c r="U377" s="457" t="n">
        <v>398</v>
      </c>
      <c r="V377" s="458" t="n">
        <v>383884</v>
      </c>
      <c r="W377" s="458" t="n">
        <v>380000</v>
      </c>
      <c r="X377" s="464" t="s">
        <v>6700</v>
      </c>
      <c r="Y377" s="458" t="n">
        <v>180000</v>
      </c>
      <c r="Z377" s="457" t="s">
        <v>6638</v>
      </c>
      <c r="AC377" s="431"/>
      <c r="AD377" s="437" t="s">
        <v>6969</v>
      </c>
      <c r="AE377" s="167"/>
      <c r="AF377" s="167"/>
      <c r="AG377" s="167"/>
      <c r="AH377" s="167"/>
      <c r="AI377" s="167"/>
      <c r="AJ377" s="167"/>
      <c r="AK377" s="459" t="s">
        <v>7778</v>
      </c>
      <c r="AM377" s="157"/>
    </row>
    <row r="378" customFormat="false" ht="38.25" hidden="false" customHeight="true" outlineLevel="0" collapsed="false">
      <c r="A378" s="441" t="n">
        <v>7</v>
      </c>
      <c r="B378" s="157" t="n">
        <v>371</v>
      </c>
      <c r="C378" s="457" t="s">
        <v>7538</v>
      </c>
      <c r="D378" s="157" t="s">
        <v>7779</v>
      </c>
      <c r="E378" s="457" t="s">
        <v>2461</v>
      </c>
      <c r="F378" s="157" t="s">
        <v>7780</v>
      </c>
      <c r="G378" s="466" t="s">
        <v>7781</v>
      </c>
      <c r="H378" s="157" t="n">
        <v>9208</v>
      </c>
      <c r="I378" s="457" t="n">
        <v>0</v>
      </c>
      <c r="J378" s="446" t="n">
        <v>176800</v>
      </c>
      <c r="K378" s="176" t="n">
        <v>5.89</v>
      </c>
      <c r="L378" s="175" t="n">
        <v>0</v>
      </c>
      <c r="M378" s="175" t="n">
        <v>0.06</v>
      </c>
      <c r="N378" s="157" t="n">
        <v>2005</v>
      </c>
      <c r="O378" s="457" t="s">
        <v>7667</v>
      </c>
      <c r="P378" s="157" t="n">
        <v>398</v>
      </c>
      <c r="Q378" s="446" t="n">
        <v>379708</v>
      </c>
      <c r="R378" s="446" t="n">
        <f aca="false">MROUND(Q378,1000)</f>
        <v>380000</v>
      </c>
      <c r="S378" s="431" t="s">
        <v>6754</v>
      </c>
      <c r="T378" s="446" t="n">
        <f aca="false">MROUND(J378,1000)</f>
        <v>177000</v>
      </c>
      <c r="U378" s="157" t="s">
        <v>463</v>
      </c>
      <c r="V378" s="157" t="n">
        <v>3</v>
      </c>
      <c r="W378" s="157" t="n">
        <v>3</v>
      </c>
      <c r="X378" s="157" t="n">
        <v>33</v>
      </c>
      <c r="Y378" s="157" t="s">
        <v>7782</v>
      </c>
      <c r="Z378" s="430"/>
      <c r="AA378" s="467"/>
      <c r="AB378" s="467"/>
      <c r="AC378" s="431"/>
      <c r="AD378" s="437"/>
      <c r="AE378" s="167"/>
      <c r="AF378" s="167"/>
      <c r="AG378" s="167"/>
      <c r="AH378" s="167"/>
      <c r="AI378" s="167"/>
      <c r="AJ378" s="167"/>
      <c r="AK378" s="459" t="s">
        <v>7783</v>
      </c>
      <c r="AL378" s="157" t="str">
        <f aca="false">IF(AND(ISNUMBER($S378),$S378&gt;0,ISNUMBER($K378),ISNUMBER($J378)),($K378*$J378)/$S378,"")</f>
        <v/>
      </c>
    </row>
    <row r="379" customFormat="false" ht="38.25" hidden="false" customHeight="true" outlineLevel="0" collapsed="false">
      <c r="A379" s="441" t="n">
        <v>7</v>
      </c>
      <c r="B379" s="157" t="n">
        <v>372</v>
      </c>
      <c r="C379" s="437" t="s">
        <v>7523</v>
      </c>
      <c r="D379" s="157" t="s">
        <v>7784</v>
      </c>
      <c r="E379" s="461" t="s">
        <v>2461</v>
      </c>
      <c r="F379" s="157" t="s">
        <v>7785</v>
      </c>
      <c r="G379" s="445" t="n">
        <v>44.2</v>
      </c>
      <c r="H379" s="431" t="n">
        <v>9208</v>
      </c>
      <c r="I379" s="457" t="n">
        <v>0</v>
      </c>
      <c r="J379" s="458" t="n">
        <v>78000</v>
      </c>
      <c r="K379" s="462" t="n">
        <v>6.15</v>
      </c>
      <c r="L379" s="463" t="n">
        <v>0.07</v>
      </c>
      <c r="M379" s="463" t="n">
        <v>0.333655677655678</v>
      </c>
      <c r="N379" s="431" t="n">
        <v>2005</v>
      </c>
      <c r="O379" s="446" t="n">
        <v>8008</v>
      </c>
      <c r="Q379" s="157" t="n">
        <v>36</v>
      </c>
      <c r="R379" s="157" t="n">
        <v>14</v>
      </c>
      <c r="S379" s="157" t="n">
        <v>5</v>
      </c>
      <c r="T379" s="457" t="s">
        <v>7529</v>
      </c>
      <c r="U379" s="457" t="n">
        <v>398</v>
      </c>
      <c r="V379" s="458" t="n">
        <v>209231</v>
      </c>
      <c r="W379" s="458" t="n">
        <v>210000</v>
      </c>
      <c r="X379" s="464" t="s">
        <v>6757</v>
      </c>
      <c r="Y379" s="458" t="n">
        <v>78000</v>
      </c>
      <c r="Z379" s="457" t="s">
        <v>6638</v>
      </c>
      <c r="AC379" s="431"/>
      <c r="AD379" s="437" t="s">
        <v>7786</v>
      </c>
      <c r="AE379" s="167"/>
      <c r="AF379" s="167"/>
      <c r="AG379" s="167"/>
      <c r="AH379" s="167"/>
      <c r="AI379" s="167"/>
      <c r="AJ379" s="167"/>
      <c r="AK379" s="459" t="s">
        <v>7787</v>
      </c>
      <c r="AM379" s="157"/>
    </row>
    <row r="380" customFormat="false" ht="12.75" hidden="false" customHeight="true" outlineLevel="0" collapsed="false">
      <c r="A380" s="441" t="n">
        <v>7</v>
      </c>
      <c r="B380" s="157" t="n">
        <v>373</v>
      </c>
      <c r="C380" s="437" t="s">
        <v>7523</v>
      </c>
      <c r="D380" s="157" t="s">
        <v>6970</v>
      </c>
      <c r="E380" s="461" t="s">
        <v>2461</v>
      </c>
      <c r="F380" s="157" t="s">
        <v>7788</v>
      </c>
      <c r="G380" s="445" t="n">
        <v>44.2</v>
      </c>
      <c r="H380" s="431" t="n">
        <v>9208</v>
      </c>
      <c r="I380" s="457" t="n">
        <v>3</v>
      </c>
      <c r="J380" s="458" t="n">
        <v>4240</v>
      </c>
      <c r="K380" s="462" t="n">
        <v>2.87735849056604</v>
      </c>
      <c r="L380" s="463" t="n">
        <v>0</v>
      </c>
      <c r="M380" s="463" t="n">
        <v>0.00508196721311475</v>
      </c>
      <c r="N380" s="431" t="n">
        <v>1972</v>
      </c>
      <c r="O380" s="446" t="n">
        <v>640</v>
      </c>
      <c r="Q380" s="157" t="n">
        <v>14</v>
      </c>
      <c r="R380" s="157" t="n">
        <v>3</v>
      </c>
      <c r="S380" s="157" t="n">
        <v>1</v>
      </c>
      <c r="T380" s="457" t="s">
        <v>7789</v>
      </c>
      <c r="U380" s="457" t="n">
        <v>398</v>
      </c>
      <c r="V380" s="458" t="n">
        <v>9518</v>
      </c>
      <c r="W380" s="458" t="n">
        <v>10000</v>
      </c>
      <c r="X380" s="464" t="s">
        <v>6700</v>
      </c>
      <c r="Y380" s="458" t="n">
        <v>4000</v>
      </c>
      <c r="Z380" s="457" t="s">
        <v>6638</v>
      </c>
      <c r="AC380" s="431"/>
      <c r="AD380" s="437" t="s">
        <v>6973</v>
      </c>
      <c r="AE380" s="167"/>
      <c r="AF380" s="167"/>
      <c r="AG380" s="167"/>
      <c r="AH380" s="167"/>
      <c r="AI380" s="167"/>
      <c r="AJ380" s="167"/>
      <c r="AK380" s="465" t="s">
        <v>7790</v>
      </c>
      <c r="AM380" s="157"/>
    </row>
    <row r="381" customFormat="false" ht="12.75" hidden="false" customHeight="true" outlineLevel="0" collapsed="false">
      <c r="A381" s="441" t="n">
        <v>7</v>
      </c>
      <c r="B381" s="157" t="n">
        <v>374</v>
      </c>
      <c r="C381" s="437" t="s">
        <v>7523</v>
      </c>
      <c r="D381" s="157" t="s">
        <v>7791</v>
      </c>
      <c r="E381" s="461" t="s">
        <v>2461</v>
      </c>
      <c r="F381" s="157" t="s">
        <v>7792</v>
      </c>
      <c r="G381" s="445" t="n">
        <v>44.2</v>
      </c>
      <c r="H381" s="431" t="n">
        <v>9208</v>
      </c>
      <c r="I381" s="457" t="n">
        <v>0</v>
      </c>
      <c r="J381" s="458" t="n">
        <v>50974</v>
      </c>
      <c r="K381" s="462" t="n">
        <v>4.0354690626594</v>
      </c>
      <c r="L381" s="463" t="n">
        <v>0</v>
      </c>
      <c r="M381" s="463" t="n">
        <v>0</v>
      </c>
      <c r="N381" s="431" t="n">
        <v>1973</v>
      </c>
      <c r="O381" s="446" t="n">
        <v>3604</v>
      </c>
      <c r="Q381" s="157" t="n">
        <v>12</v>
      </c>
      <c r="R381" s="157" t="n">
        <v>3</v>
      </c>
      <c r="S381" s="157" t="n">
        <v>1</v>
      </c>
      <c r="T381" s="457" t="s">
        <v>7526</v>
      </c>
      <c r="U381" s="457" t="n">
        <v>398</v>
      </c>
      <c r="V381" s="458" t="n">
        <v>80115</v>
      </c>
      <c r="W381" s="458" t="n">
        <v>80000</v>
      </c>
      <c r="X381" s="464" t="s">
        <v>6668</v>
      </c>
      <c r="Y381" s="458" t="n">
        <v>51000</v>
      </c>
      <c r="Z381" s="457" t="s">
        <v>6696</v>
      </c>
      <c r="AC381" s="431"/>
      <c r="AD381" s="437"/>
      <c r="AE381" s="167"/>
      <c r="AF381" s="167"/>
      <c r="AG381" s="167"/>
      <c r="AH381" s="167"/>
      <c r="AI381" s="167"/>
      <c r="AJ381" s="167"/>
      <c r="AK381" s="465" t="s">
        <v>7793</v>
      </c>
      <c r="AM381" s="157"/>
    </row>
    <row r="382" customFormat="false" ht="12.75" hidden="false" customHeight="true" outlineLevel="0" collapsed="false">
      <c r="A382" s="441" t="n">
        <v>7</v>
      </c>
      <c r="B382" s="157" t="n">
        <v>375</v>
      </c>
      <c r="C382" s="437" t="s">
        <v>7523</v>
      </c>
      <c r="D382" s="157" t="s">
        <v>6979</v>
      </c>
      <c r="E382" s="461" t="s">
        <v>2461</v>
      </c>
      <c r="F382" s="157" t="s">
        <v>7794</v>
      </c>
      <c r="G382" s="431" t="n">
        <v>44.1</v>
      </c>
      <c r="H382" s="431" t="n">
        <v>9208</v>
      </c>
      <c r="I382" s="457" t="n">
        <v>0</v>
      </c>
      <c r="J382" s="458" t="n">
        <v>4008</v>
      </c>
      <c r="K382" s="462" t="n">
        <v>6.73652694610779</v>
      </c>
      <c r="L382" s="463" t="n">
        <v>0</v>
      </c>
      <c r="M382" s="463" t="n">
        <v>0.13937037037037</v>
      </c>
      <c r="N382" s="431" t="n">
        <v>1980</v>
      </c>
      <c r="O382" s="446" t="n">
        <v>484</v>
      </c>
      <c r="Q382" s="157" t="n">
        <v>17</v>
      </c>
      <c r="R382" s="157" t="n">
        <v>3</v>
      </c>
      <c r="S382" s="157" t="n">
        <v>1</v>
      </c>
      <c r="T382" s="457" t="s">
        <v>7526</v>
      </c>
      <c r="U382" s="457" t="n">
        <v>398</v>
      </c>
      <c r="V382" s="458" t="n">
        <v>6625</v>
      </c>
      <c r="W382" s="458" t="n">
        <v>7000</v>
      </c>
      <c r="X382" s="464" t="s">
        <v>6954</v>
      </c>
      <c r="Y382" s="458" t="n">
        <v>4000</v>
      </c>
      <c r="Z382" s="457" t="s">
        <v>6638</v>
      </c>
      <c r="AC382" s="431"/>
      <c r="AD382" s="437" t="s">
        <v>6981</v>
      </c>
      <c r="AE382" s="167"/>
      <c r="AF382" s="167"/>
      <c r="AG382" s="167"/>
      <c r="AH382" s="167"/>
      <c r="AI382" s="167"/>
      <c r="AJ382" s="167"/>
      <c r="AK382" s="465"/>
      <c r="AM382" s="157"/>
    </row>
    <row r="383" customFormat="false" ht="12.75" hidden="false" customHeight="true" outlineLevel="0" collapsed="false">
      <c r="A383" s="441" t="n">
        <v>7</v>
      </c>
      <c r="B383" s="157" t="n">
        <v>376</v>
      </c>
      <c r="C383" s="437" t="s">
        <v>7523</v>
      </c>
      <c r="D383" s="157" t="s">
        <v>7795</v>
      </c>
      <c r="E383" s="461" t="s">
        <v>2461</v>
      </c>
      <c r="F383" s="157" t="s">
        <v>7796</v>
      </c>
      <c r="G383" s="431" t="n">
        <v>44.1</v>
      </c>
      <c r="H383" s="431" t="n">
        <v>9208</v>
      </c>
      <c r="I383" s="457" t="n">
        <v>0</v>
      </c>
      <c r="J383" s="458" t="n">
        <v>4130</v>
      </c>
      <c r="K383" s="462" t="n">
        <v>8.71670702179177</v>
      </c>
      <c r="L383" s="463" t="n">
        <v>0</v>
      </c>
      <c r="M383" s="463" t="n">
        <v>0</v>
      </c>
      <c r="N383" s="431" t="n">
        <v>1973</v>
      </c>
      <c r="O383" s="446" t="n">
        <v>1475</v>
      </c>
      <c r="Q383" s="157" t="n">
        <v>14</v>
      </c>
      <c r="R383" s="157" t="n">
        <v>3</v>
      </c>
      <c r="S383" s="157" t="n">
        <v>1</v>
      </c>
      <c r="T383" s="457" t="s">
        <v>7526</v>
      </c>
      <c r="U383" s="457" t="n">
        <v>401</v>
      </c>
      <c r="V383" s="458" t="n">
        <v>6250</v>
      </c>
      <c r="W383" s="458" t="n">
        <v>6000</v>
      </c>
      <c r="X383" s="464" t="s">
        <v>6837</v>
      </c>
      <c r="Y383" s="458" t="n">
        <v>4000</v>
      </c>
      <c r="Z383" s="457" t="s">
        <v>6638</v>
      </c>
      <c r="AC383" s="431"/>
      <c r="AD383" s="437" t="s">
        <v>6676</v>
      </c>
      <c r="AE383" s="167"/>
      <c r="AF383" s="167"/>
      <c r="AG383" s="167"/>
      <c r="AH383" s="167"/>
      <c r="AI383" s="167"/>
      <c r="AJ383" s="167"/>
      <c r="AK383" s="465"/>
      <c r="AM383" s="157"/>
    </row>
    <row r="384" customFormat="false" ht="12.75" hidden="false" customHeight="true" outlineLevel="0" collapsed="false">
      <c r="A384" s="441" t="n">
        <v>7</v>
      </c>
      <c r="B384" s="157" t="n">
        <v>377</v>
      </c>
      <c r="C384" s="437" t="s">
        <v>7523</v>
      </c>
      <c r="D384" s="157" t="s">
        <v>7797</v>
      </c>
      <c r="E384" s="461" t="s">
        <v>2461</v>
      </c>
      <c r="F384" s="157" t="s">
        <v>7798</v>
      </c>
      <c r="G384" s="445" t="n">
        <v>46.1</v>
      </c>
      <c r="H384" s="431" t="n">
        <v>9208</v>
      </c>
      <c r="I384" s="457" t="n">
        <v>0</v>
      </c>
      <c r="J384" s="458" t="n">
        <v>1925</v>
      </c>
      <c r="K384" s="462" t="n">
        <v>5.58441558441558</v>
      </c>
      <c r="L384" s="463" t="n">
        <v>0</v>
      </c>
      <c r="M384" s="463" t="n">
        <v>0</v>
      </c>
      <c r="N384" s="431" t="n">
        <v>1961</v>
      </c>
      <c r="O384" s="446" t="n">
        <v>0</v>
      </c>
      <c r="Q384" s="157" t="n">
        <v>17</v>
      </c>
      <c r="R384" s="157" t="n">
        <v>3</v>
      </c>
      <c r="S384" s="157" t="n">
        <v>1</v>
      </c>
      <c r="T384" s="457" t="s">
        <v>7799</v>
      </c>
      <c r="U384" s="457" t="n">
        <v>401</v>
      </c>
      <c r="V384" s="458" t="n">
        <v>5940</v>
      </c>
      <c r="W384" s="458" t="n">
        <v>6000</v>
      </c>
      <c r="X384" s="464" t="s">
        <v>6751</v>
      </c>
      <c r="Y384" s="458" t="n">
        <v>2000</v>
      </c>
      <c r="Z384" s="457" t="s">
        <v>6638</v>
      </c>
      <c r="AC384" s="431"/>
      <c r="AD384" s="437"/>
      <c r="AE384" s="167"/>
      <c r="AF384" s="167"/>
      <c r="AG384" s="167"/>
      <c r="AH384" s="167"/>
      <c r="AI384" s="167"/>
      <c r="AJ384" s="167"/>
      <c r="AK384" s="465" t="s">
        <v>6697</v>
      </c>
      <c r="AM384" s="157"/>
    </row>
    <row r="385" customFormat="false" ht="12.75" hidden="false" customHeight="true" outlineLevel="0" collapsed="false">
      <c r="A385" s="441" t="n">
        <v>7</v>
      </c>
      <c r="B385" s="157" t="n">
        <v>378</v>
      </c>
      <c r="C385" s="437" t="s">
        <v>7523</v>
      </c>
      <c r="D385" s="157" t="s">
        <v>7800</v>
      </c>
      <c r="E385" s="461" t="s">
        <v>2461</v>
      </c>
      <c r="F385" s="157" t="s">
        <v>7801</v>
      </c>
      <c r="G385" s="431" t="n">
        <v>44.1</v>
      </c>
      <c r="H385" s="431" t="n">
        <v>9208</v>
      </c>
      <c r="I385" s="457" t="n">
        <v>0</v>
      </c>
      <c r="J385" s="458" t="n">
        <v>2320</v>
      </c>
      <c r="K385" s="462" t="n">
        <v>7.75862068965517</v>
      </c>
      <c r="L385" s="463" t="n">
        <v>0</v>
      </c>
      <c r="M385" s="463" t="n">
        <v>0.138888888888889</v>
      </c>
      <c r="N385" s="431" t="n">
        <v>1935</v>
      </c>
      <c r="O385" s="446" t="n">
        <v>1021</v>
      </c>
      <c r="Q385" s="157" t="n">
        <v>17</v>
      </c>
      <c r="R385" s="157" t="n">
        <v>1</v>
      </c>
      <c r="S385" s="157" t="n">
        <v>1</v>
      </c>
      <c r="T385" s="457" t="s">
        <v>7526</v>
      </c>
      <c r="U385" s="457" t="n">
        <v>398</v>
      </c>
      <c r="V385" s="458" t="n">
        <v>12500</v>
      </c>
      <c r="W385" s="458" t="n">
        <v>13000</v>
      </c>
      <c r="X385" s="464" t="s">
        <v>6671</v>
      </c>
      <c r="Y385" s="458" t="n">
        <v>2000</v>
      </c>
      <c r="Z385" s="457" t="s">
        <v>6638</v>
      </c>
      <c r="AC385" s="431"/>
      <c r="AD385" s="437" t="s">
        <v>7802</v>
      </c>
      <c r="AE385" s="167"/>
      <c r="AF385" s="167"/>
      <c r="AG385" s="167"/>
      <c r="AH385" s="167"/>
      <c r="AI385" s="167"/>
      <c r="AJ385" s="167"/>
      <c r="AK385" s="465"/>
      <c r="AM385" s="157"/>
    </row>
    <row r="386" customFormat="false" ht="12.75" hidden="false" customHeight="true" outlineLevel="0" collapsed="false">
      <c r="A386" s="441" t="n">
        <v>7</v>
      </c>
      <c r="B386" s="157" t="n">
        <v>379</v>
      </c>
      <c r="C386" s="437" t="s">
        <v>7523</v>
      </c>
      <c r="D386" s="157" t="s">
        <v>7803</v>
      </c>
      <c r="E386" s="461" t="s">
        <v>2461</v>
      </c>
      <c r="F386" s="157" t="s">
        <v>7804</v>
      </c>
      <c r="G386" s="431" t="n">
        <v>44.1</v>
      </c>
      <c r="H386" s="431" t="n">
        <v>9208</v>
      </c>
      <c r="I386" s="457" t="n">
        <v>0</v>
      </c>
      <c r="J386" s="458" t="n">
        <v>5980</v>
      </c>
      <c r="K386" s="462" t="n">
        <v>10.0334448160535</v>
      </c>
      <c r="L386" s="463" t="n">
        <v>0</v>
      </c>
      <c r="M386" s="463" t="n">
        <v>0.0391333333333333</v>
      </c>
      <c r="N386" s="431" t="n">
        <v>1955</v>
      </c>
      <c r="O386" s="446" t="n">
        <v>1552</v>
      </c>
      <c r="Q386" s="157" t="n">
        <v>13</v>
      </c>
      <c r="R386" s="157" t="n">
        <v>1</v>
      </c>
      <c r="S386" s="157" t="n">
        <v>1</v>
      </c>
      <c r="T386" s="457" t="s">
        <v>7789</v>
      </c>
      <c r="U386" s="457" t="n">
        <v>398</v>
      </c>
      <c r="V386" s="458" t="n">
        <v>12535</v>
      </c>
      <c r="W386" s="458" t="n">
        <v>13000</v>
      </c>
      <c r="X386" s="464" t="s">
        <v>6754</v>
      </c>
      <c r="Y386" s="458" t="n">
        <v>6000</v>
      </c>
      <c r="Z386" s="457" t="s">
        <v>6638</v>
      </c>
      <c r="AC386" s="431"/>
      <c r="AD386" s="437"/>
      <c r="AE386" s="167"/>
      <c r="AF386" s="167"/>
      <c r="AG386" s="167"/>
      <c r="AH386" s="167"/>
      <c r="AI386" s="167"/>
      <c r="AJ386" s="167"/>
      <c r="AK386" s="465"/>
      <c r="AM386" s="157"/>
    </row>
    <row r="387" customFormat="false" ht="25.5" hidden="false" customHeight="true" outlineLevel="0" collapsed="false">
      <c r="A387" s="441" t="n">
        <v>7</v>
      </c>
      <c r="B387" s="157" t="n">
        <v>380</v>
      </c>
      <c r="C387" s="437" t="s">
        <v>7523</v>
      </c>
      <c r="D387" s="157" t="s">
        <v>7805</v>
      </c>
      <c r="E387" s="461" t="s">
        <v>2461</v>
      </c>
      <c r="F387" s="157" t="s">
        <v>7806</v>
      </c>
      <c r="G387" s="445" t="n">
        <v>44.2</v>
      </c>
      <c r="H387" s="431" t="n">
        <v>9208</v>
      </c>
      <c r="I387" s="457" t="n">
        <v>0</v>
      </c>
      <c r="J387" s="458" t="n">
        <v>8770</v>
      </c>
      <c r="K387" s="462" t="n">
        <v>4.78905359179019</v>
      </c>
      <c r="L387" s="463" t="n">
        <v>0</v>
      </c>
      <c r="M387" s="463" t="n">
        <v>0</v>
      </c>
      <c r="N387" s="431" t="n">
        <v>1965</v>
      </c>
      <c r="O387" s="446" t="n">
        <v>2760</v>
      </c>
      <c r="Q387" s="157" t="n">
        <v>14</v>
      </c>
      <c r="R387" s="157" t="n">
        <v>7</v>
      </c>
      <c r="S387" s="157" t="n">
        <v>1</v>
      </c>
      <c r="T387" s="457" t="s">
        <v>7531</v>
      </c>
      <c r="U387" s="457" t="n">
        <v>398</v>
      </c>
      <c r="V387" s="458" t="n">
        <v>40700</v>
      </c>
      <c r="W387" s="458" t="n">
        <v>41000</v>
      </c>
      <c r="X387" s="464" t="s">
        <v>7807</v>
      </c>
      <c r="Y387" s="458" t="n">
        <v>9000</v>
      </c>
      <c r="Z387" s="457" t="s">
        <v>6638</v>
      </c>
      <c r="AC387" s="431"/>
      <c r="AD387" s="437"/>
      <c r="AE387" s="167"/>
      <c r="AF387" s="167"/>
      <c r="AG387" s="167"/>
      <c r="AH387" s="167"/>
      <c r="AI387" s="167"/>
      <c r="AJ387" s="167"/>
      <c r="AK387" s="465" t="s">
        <v>7808</v>
      </c>
      <c r="AM387" s="157"/>
    </row>
    <row r="388" customFormat="false" ht="25.5" hidden="false" customHeight="true" outlineLevel="0" collapsed="false">
      <c r="A388" s="441" t="n">
        <v>7</v>
      </c>
      <c r="B388" s="157" t="n">
        <v>381</v>
      </c>
      <c r="C388" s="437" t="s">
        <v>7523</v>
      </c>
      <c r="D388" s="157" t="s">
        <v>7809</v>
      </c>
      <c r="E388" s="461" t="s">
        <v>2461</v>
      </c>
      <c r="F388" s="157" t="s">
        <v>7810</v>
      </c>
      <c r="G388" s="431" t="n">
        <v>44.1</v>
      </c>
      <c r="H388" s="431" t="n">
        <v>9208</v>
      </c>
      <c r="I388" s="457" t="n">
        <v>0</v>
      </c>
      <c r="J388" s="458" t="n">
        <v>1000</v>
      </c>
      <c r="K388" s="462" t="n">
        <v>10.38</v>
      </c>
      <c r="L388" s="463" t="n">
        <v>0</v>
      </c>
      <c r="M388" s="463" t="n">
        <v>0.188342967244701</v>
      </c>
      <c r="N388" s="431" t="n">
        <v>1955</v>
      </c>
      <c r="O388" s="446" t="n">
        <v>380</v>
      </c>
      <c r="Q388" s="157" t="n">
        <v>14</v>
      </c>
      <c r="R388" s="157" t="n">
        <v>3</v>
      </c>
      <c r="S388" s="157" t="n">
        <v>1</v>
      </c>
      <c r="T388" s="457" t="s">
        <v>7526</v>
      </c>
      <c r="U388" s="457" t="n">
        <v>398</v>
      </c>
      <c r="V388" s="458" t="n">
        <v>9370</v>
      </c>
      <c r="W388" s="458" t="n">
        <v>9000</v>
      </c>
      <c r="X388" s="464" t="s">
        <v>6954</v>
      </c>
      <c r="Y388" s="458" t="n">
        <v>1000</v>
      </c>
      <c r="Z388" s="457" t="s">
        <v>6638</v>
      </c>
      <c r="AC388" s="431"/>
      <c r="AD388" s="437"/>
      <c r="AE388" s="167"/>
      <c r="AF388" s="167"/>
      <c r="AG388" s="167"/>
      <c r="AH388" s="167"/>
      <c r="AI388" s="167"/>
      <c r="AJ388" s="167"/>
      <c r="AK388" s="465" t="s">
        <v>7811</v>
      </c>
      <c r="AM388" s="157"/>
    </row>
    <row r="389" customFormat="false" ht="12.75" hidden="false" customHeight="true" outlineLevel="0" collapsed="false">
      <c r="A389" s="441" t="n">
        <v>7</v>
      </c>
      <c r="B389" s="157" t="n">
        <v>382</v>
      </c>
      <c r="C389" s="437" t="s">
        <v>7523</v>
      </c>
      <c r="D389" s="157" t="s">
        <v>7015</v>
      </c>
      <c r="E389" s="461" t="s">
        <v>2461</v>
      </c>
      <c r="F389" s="157" t="s">
        <v>7812</v>
      </c>
      <c r="G389" s="431" t="n">
        <v>44.1</v>
      </c>
      <c r="H389" s="431" t="n">
        <v>9208</v>
      </c>
      <c r="I389" s="457" t="n">
        <v>0</v>
      </c>
      <c r="J389" s="458" t="n">
        <v>6144</v>
      </c>
      <c r="K389" s="462" t="n">
        <v>5.78515625</v>
      </c>
      <c r="L389" s="463" t="n">
        <v>0</v>
      </c>
      <c r="M389" s="463" t="n">
        <v>0</v>
      </c>
      <c r="N389" s="431" t="n">
        <v>1973</v>
      </c>
      <c r="O389" s="446" t="n">
        <v>1593</v>
      </c>
      <c r="Q389" s="157" t="n">
        <v>14</v>
      </c>
      <c r="R389" s="157" t="n">
        <v>14</v>
      </c>
      <c r="S389" s="157" t="n">
        <v>1</v>
      </c>
      <c r="T389" s="457" t="s">
        <v>7526</v>
      </c>
      <c r="U389" s="457" t="n">
        <v>398</v>
      </c>
      <c r="V389" s="458" t="n">
        <v>30805</v>
      </c>
      <c r="W389" s="458" t="n">
        <v>31000</v>
      </c>
      <c r="X389" s="464" t="s">
        <v>7813</v>
      </c>
      <c r="Y389" s="458" t="n">
        <v>6000</v>
      </c>
      <c r="Z389" s="457" t="s">
        <v>6638</v>
      </c>
      <c r="AC389" s="431"/>
      <c r="AD389" s="437" t="s">
        <v>7018</v>
      </c>
      <c r="AE389" s="167"/>
      <c r="AF389" s="167"/>
      <c r="AG389" s="167"/>
      <c r="AH389" s="167"/>
      <c r="AI389" s="167"/>
      <c r="AJ389" s="167"/>
      <c r="AK389" s="465"/>
      <c r="AM389" s="157"/>
    </row>
    <row r="390" customFormat="false" ht="12.75" hidden="false" customHeight="true" outlineLevel="0" collapsed="false">
      <c r="A390" s="441" t="n">
        <v>7</v>
      </c>
      <c r="B390" s="157" t="n">
        <v>383</v>
      </c>
      <c r="C390" s="437" t="s">
        <v>7523</v>
      </c>
      <c r="D390" s="157" t="s">
        <v>7814</v>
      </c>
      <c r="E390" s="461" t="s">
        <v>2461</v>
      </c>
      <c r="F390" s="157" t="s">
        <v>7815</v>
      </c>
      <c r="G390" s="445" t="n">
        <v>44.2</v>
      </c>
      <c r="H390" s="431" t="n">
        <v>9208</v>
      </c>
      <c r="I390" s="457" t="n">
        <v>0</v>
      </c>
      <c r="J390" s="458" t="n">
        <v>8000</v>
      </c>
      <c r="K390" s="462" t="n">
        <v>16.455875</v>
      </c>
      <c r="L390" s="463" t="n">
        <v>0</v>
      </c>
      <c r="M390" s="463" t="n">
        <v>0</v>
      </c>
      <c r="N390" s="431" t="n">
        <v>1967</v>
      </c>
      <c r="O390" s="446" t="n">
        <v>3131</v>
      </c>
      <c r="Q390" s="157" t="n">
        <v>16</v>
      </c>
      <c r="R390" s="157" t="n">
        <v>3</v>
      </c>
      <c r="S390" s="157" t="n">
        <v>1</v>
      </c>
      <c r="T390" s="457" t="s">
        <v>7526</v>
      </c>
      <c r="U390" s="457" t="n">
        <v>398</v>
      </c>
      <c r="V390" s="458" t="n">
        <v>18620</v>
      </c>
      <c r="W390" s="458" t="n">
        <v>19000</v>
      </c>
      <c r="X390" s="464" t="s">
        <v>6646</v>
      </c>
      <c r="Y390" s="458" t="n">
        <v>8000</v>
      </c>
      <c r="Z390" s="457" t="s">
        <v>6638</v>
      </c>
      <c r="AC390" s="431"/>
      <c r="AD390" s="437" t="s">
        <v>7816</v>
      </c>
      <c r="AE390" s="167"/>
      <c r="AF390" s="167"/>
      <c r="AG390" s="167"/>
      <c r="AH390" s="167"/>
      <c r="AI390" s="167"/>
      <c r="AJ390" s="167"/>
      <c r="AK390" s="465" t="s">
        <v>7527</v>
      </c>
      <c r="AM390" s="157"/>
    </row>
    <row r="391" customFormat="false" ht="12.75" hidden="false" customHeight="true" outlineLevel="0" collapsed="false">
      <c r="A391" s="441" t="n">
        <v>7</v>
      </c>
      <c r="B391" s="157" t="n">
        <v>384</v>
      </c>
      <c r="C391" s="437" t="s">
        <v>7523</v>
      </c>
      <c r="D391" s="157" t="s">
        <v>7817</v>
      </c>
      <c r="E391" s="461" t="s">
        <v>2461</v>
      </c>
      <c r="F391" s="157" t="s">
        <v>7818</v>
      </c>
      <c r="G391" s="445" t="n">
        <v>44.2</v>
      </c>
      <c r="H391" s="431" t="n">
        <v>9201</v>
      </c>
      <c r="I391" s="457" t="n">
        <v>0</v>
      </c>
      <c r="J391" s="458" t="n">
        <v>31747</v>
      </c>
      <c r="K391" s="462" t="n">
        <v>5.34248905408385</v>
      </c>
      <c r="L391" s="463" t="n">
        <v>0</v>
      </c>
      <c r="M391" s="463" t="n">
        <v>0.0442196122824395</v>
      </c>
      <c r="N391" s="431" t="n">
        <v>1986</v>
      </c>
      <c r="O391" s="446" t="n">
        <v>2236</v>
      </c>
      <c r="Q391" s="157" t="n">
        <v>23</v>
      </c>
      <c r="R391" s="157" t="n">
        <v>10</v>
      </c>
      <c r="S391" s="157" t="n">
        <v>1</v>
      </c>
      <c r="T391" s="457" t="s">
        <v>7526</v>
      </c>
      <c r="U391" s="457" t="n">
        <v>398</v>
      </c>
      <c r="V391" s="458" t="n">
        <v>74800</v>
      </c>
      <c r="W391" s="458" t="n">
        <v>75000</v>
      </c>
      <c r="X391" s="464" t="s">
        <v>6650</v>
      </c>
      <c r="Y391" s="458" t="n">
        <v>32000</v>
      </c>
      <c r="Z391" s="457" t="s">
        <v>6638</v>
      </c>
      <c r="AC391" s="431"/>
      <c r="AD391" s="437" t="s">
        <v>7819</v>
      </c>
      <c r="AE391" s="167"/>
      <c r="AF391" s="167"/>
      <c r="AG391" s="167"/>
      <c r="AH391" s="167"/>
      <c r="AI391" s="167"/>
      <c r="AJ391" s="167"/>
      <c r="AK391" s="465"/>
      <c r="AM391" s="157"/>
    </row>
    <row r="392" customFormat="false" ht="12.75" hidden="false" customHeight="true" outlineLevel="0" collapsed="false">
      <c r="A392" s="441" t="n">
        <v>7</v>
      </c>
      <c r="B392" s="157" t="n">
        <v>385</v>
      </c>
      <c r="C392" s="437" t="s">
        <v>7523</v>
      </c>
      <c r="D392" s="157" t="s">
        <v>7820</v>
      </c>
      <c r="E392" s="461" t="s">
        <v>2461</v>
      </c>
      <c r="F392" s="157" t="s">
        <v>7821</v>
      </c>
      <c r="G392" s="431" t="n">
        <v>44.1</v>
      </c>
      <c r="H392" s="431" t="n">
        <v>9201</v>
      </c>
      <c r="I392" s="457" t="n">
        <v>0</v>
      </c>
      <c r="J392" s="458" t="n">
        <v>10672</v>
      </c>
      <c r="K392" s="462" t="n">
        <v>8.62218890554723</v>
      </c>
      <c r="L392" s="463" t="n">
        <v>0</v>
      </c>
      <c r="M392" s="463" t="n">
        <v>0.0141279777430012</v>
      </c>
      <c r="N392" s="431" t="n">
        <v>1917</v>
      </c>
      <c r="O392" s="446" t="n">
        <v>4085</v>
      </c>
      <c r="Q392" s="157" t="n">
        <v>14</v>
      </c>
      <c r="R392" s="157" t="n">
        <v>1</v>
      </c>
      <c r="S392" s="157" t="n">
        <v>1</v>
      </c>
      <c r="T392" s="457" t="s">
        <v>7531</v>
      </c>
      <c r="U392" s="457" t="n">
        <v>398</v>
      </c>
      <c r="V392" s="458" t="n">
        <v>47800</v>
      </c>
      <c r="W392" s="458" t="n">
        <v>48000</v>
      </c>
      <c r="X392" s="464" t="s">
        <v>7080</v>
      </c>
      <c r="Y392" s="458" t="n">
        <v>11000</v>
      </c>
      <c r="Z392" s="457" t="s">
        <v>6638</v>
      </c>
      <c r="AC392" s="431"/>
      <c r="AD392" s="437" t="s">
        <v>7822</v>
      </c>
      <c r="AE392" s="167"/>
      <c r="AF392" s="167"/>
      <c r="AG392" s="167"/>
      <c r="AH392" s="167"/>
      <c r="AI392" s="167"/>
      <c r="AJ392" s="167"/>
      <c r="AK392" s="465" t="s">
        <v>6697</v>
      </c>
      <c r="AM392" s="157"/>
    </row>
    <row r="393" customFormat="false" ht="12.75" hidden="false" customHeight="true" outlineLevel="0" collapsed="false">
      <c r="A393" s="441" t="n">
        <v>7</v>
      </c>
      <c r="B393" s="157" t="n">
        <v>386</v>
      </c>
      <c r="C393" s="437" t="s">
        <v>7523</v>
      </c>
      <c r="D393" s="157" t="s">
        <v>7823</v>
      </c>
      <c r="E393" s="461" t="s">
        <v>2461</v>
      </c>
      <c r="F393" s="157" t="s">
        <v>7824</v>
      </c>
      <c r="G393" s="431" t="n">
        <v>44.1</v>
      </c>
      <c r="H393" s="431" t="n">
        <v>9210</v>
      </c>
      <c r="I393" s="457" t="n">
        <v>0</v>
      </c>
      <c r="J393" s="458" t="n">
        <v>13874</v>
      </c>
      <c r="K393" s="462" t="n">
        <v>3.48853971457402</v>
      </c>
      <c r="L393" s="463" t="n">
        <v>0</v>
      </c>
      <c r="M393" s="463" t="n">
        <v>0.0356818181818182</v>
      </c>
      <c r="N393" s="431" t="n">
        <v>1953</v>
      </c>
      <c r="O393" s="446" t="n">
        <v>560</v>
      </c>
      <c r="Q393" s="157" t="n">
        <v>15</v>
      </c>
      <c r="R393" s="157" t="n">
        <v>3</v>
      </c>
      <c r="S393" s="157" t="n">
        <v>1</v>
      </c>
      <c r="T393" s="457" t="s">
        <v>7526</v>
      </c>
      <c r="U393" s="457" t="n">
        <v>398</v>
      </c>
      <c r="V393" s="458" t="n">
        <v>18750</v>
      </c>
      <c r="W393" s="458" t="n">
        <v>19000</v>
      </c>
      <c r="X393" s="464" t="s">
        <v>6710</v>
      </c>
      <c r="Y393" s="458" t="n">
        <v>14000</v>
      </c>
      <c r="Z393" s="457" t="s">
        <v>6638</v>
      </c>
      <c r="AC393" s="431"/>
      <c r="AD393" s="437"/>
      <c r="AE393" s="167"/>
      <c r="AF393" s="167"/>
      <c r="AG393" s="167"/>
      <c r="AH393" s="167"/>
      <c r="AI393" s="167"/>
      <c r="AJ393" s="167"/>
      <c r="AK393" s="465" t="s">
        <v>7527</v>
      </c>
      <c r="AM393" s="157"/>
    </row>
    <row r="394" customFormat="false" ht="25.5" hidden="false" customHeight="true" outlineLevel="0" collapsed="false">
      <c r="A394" s="441" t="n">
        <v>7</v>
      </c>
      <c r="B394" s="157" t="n">
        <v>387</v>
      </c>
      <c r="C394" s="437" t="s">
        <v>7523</v>
      </c>
      <c r="D394" s="157" t="s">
        <v>7825</v>
      </c>
      <c r="E394" s="461" t="s">
        <v>2461</v>
      </c>
      <c r="F394" s="157" t="s">
        <v>7826</v>
      </c>
      <c r="G394" s="445" t="n">
        <v>47.1</v>
      </c>
      <c r="H394" s="431" t="n">
        <v>9201</v>
      </c>
      <c r="I394" s="457" t="n">
        <v>0</v>
      </c>
      <c r="J394" s="458" t="n">
        <v>20773</v>
      </c>
      <c r="K394" s="462" t="n">
        <v>5.19905646752997</v>
      </c>
      <c r="L394" s="463" t="n">
        <v>0</v>
      </c>
      <c r="M394" s="463" t="n">
        <v>0</v>
      </c>
      <c r="N394" s="431" t="n">
        <v>1949</v>
      </c>
      <c r="O394" s="446" t="n">
        <v>2655</v>
      </c>
      <c r="Q394" s="157" t="n">
        <v>18</v>
      </c>
      <c r="R394" s="157" t="n">
        <v>1</v>
      </c>
      <c r="S394" s="157" t="n">
        <v>1</v>
      </c>
      <c r="T394" s="457" t="s">
        <v>7531</v>
      </c>
      <c r="U394" s="457" t="n">
        <v>401</v>
      </c>
      <c r="V394" s="458" t="n">
        <v>190793</v>
      </c>
      <c r="W394" s="458" t="n">
        <v>190000</v>
      </c>
      <c r="X394" s="464" t="s">
        <v>7827</v>
      </c>
      <c r="Y394" s="458" t="n">
        <v>21000</v>
      </c>
      <c r="Z394" s="457" t="s">
        <v>6638</v>
      </c>
      <c r="AC394" s="431"/>
      <c r="AD394" s="437" t="s">
        <v>7034</v>
      </c>
      <c r="AE394" s="167"/>
      <c r="AF394" s="167"/>
      <c r="AG394" s="167"/>
      <c r="AH394" s="167"/>
      <c r="AI394" s="167"/>
      <c r="AJ394" s="167"/>
      <c r="AK394" s="465" t="s">
        <v>7828</v>
      </c>
      <c r="AM394" s="157"/>
    </row>
    <row r="395" customFormat="false" ht="12.75" hidden="false" customHeight="true" outlineLevel="0" collapsed="false">
      <c r="A395" s="441" t="n">
        <v>7</v>
      </c>
      <c r="B395" s="157" t="n">
        <v>388</v>
      </c>
      <c r="C395" s="437" t="s">
        <v>7523</v>
      </c>
      <c r="D395" s="157" t="s">
        <v>7829</v>
      </c>
      <c r="E395" s="461" t="s">
        <v>2461</v>
      </c>
      <c r="F395" s="157" t="s">
        <v>7830</v>
      </c>
      <c r="G395" s="431" t="n">
        <v>44.1</v>
      </c>
      <c r="H395" s="431" t="n">
        <v>9201</v>
      </c>
      <c r="I395" s="457" t="n">
        <v>0</v>
      </c>
      <c r="J395" s="458" t="n">
        <v>8960</v>
      </c>
      <c r="K395" s="462" t="n">
        <v>6.36160714285714</v>
      </c>
      <c r="L395" s="463" t="n">
        <v>0</v>
      </c>
      <c r="M395" s="463" t="n">
        <v>0.0935614035087719</v>
      </c>
      <c r="N395" s="431" t="n">
        <v>1974</v>
      </c>
      <c r="O395" s="446" t="n">
        <v>2400</v>
      </c>
      <c r="Q395" s="157" t="n">
        <v>15</v>
      </c>
      <c r="R395" s="157" t="n">
        <v>3</v>
      </c>
      <c r="S395" s="157" t="n">
        <v>1</v>
      </c>
      <c r="T395" s="457" t="s">
        <v>7535</v>
      </c>
      <c r="U395" s="457" t="n">
        <v>398</v>
      </c>
      <c r="V395" s="458" t="n">
        <v>31000</v>
      </c>
      <c r="W395" s="458" t="n">
        <v>31000</v>
      </c>
      <c r="X395" s="464" t="s">
        <v>7208</v>
      </c>
      <c r="Y395" s="458" t="n">
        <v>9000</v>
      </c>
      <c r="Z395" s="457" t="s">
        <v>6638</v>
      </c>
      <c r="AC395" s="431"/>
      <c r="AD395" s="437" t="s">
        <v>7831</v>
      </c>
      <c r="AE395" s="167"/>
      <c r="AF395" s="167"/>
      <c r="AG395" s="167"/>
      <c r="AH395" s="167"/>
      <c r="AI395" s="167"/>
      <c r="AJ395" s="167"/>
      <c r="AK395" s="465"/>
      <c r="AM395" s="157"/>
    </row>
    <row r="396" customFormat="false" ht="23.25" hidden="false" customHeight="true" outlineLevel="0" collapsed="false">
      <c r="A396" s="441" t="n">
        <v>7</v>
      </c>
      <c r="B396" s="157" t="n">
        <v>389</v>
      </c>
      <c r="C396" s="437" t="s">
        <v>7523</v>
      </c>
      <c r="D396" s="157" t="s">
        <v>7041</v>
      </c>
      <c r="E396" s="461" t="s">
        <v>2461</v>
      </c>
      <c r="F396" s="157" t="s">
        <v>7832</v>
      </c>
      <c r="G396" s="445" t="n">
        <v>47.2</v>
      </c>
      <c r="H396" s="431" t="n">
        <v>9201</v>
      </c>
      <c r="I396" s="457" t="n">
        <v>0</v>
      </c>
      <c r="J396" s="458" t="n">
        <v>33001</v>
      </c>
      <c r="K396" s="462" t="n">
        <v>4.54531680858156</v>
      </c>
      <c r="L396" s="463" t="n">
        <v>0</v>
      </c>
      <c r="M396" s="463" t="n">
        <v>0</v>
      </c>
      <c r="N396" s="431" t="n">
        <v>1958</v>
      </c>
      <c r="O396" s="446" t="n">
        <v>1215</v>
      </c>
      <c r="Q396" s="157" t="n">
        <v>13</v>
      </c>
      <c r="R396" s="157" t="n">
        <v>3</v>
      </c>
      <c r="S396" s="157" t="n">
        <v>1</v>
      </c>
      <c r="T396" s="457" t="s">
        <v>7526</v>
      </c>
      <c r="U396" s="457" t="n">
        <v>401</v>
      </c>
      <c r="V396" s="458" t="n">
        <v>36515</v>
      </c>
      <c r="W396" s="458" t="n">
        <v>37000</v>
      </c>
      <c r="X396" s="464" t="s">
        <v>7043</v>
      </c>
      <c r="Y396" s="458" t="n">
        <v>33000</v>
      </c>
      <c r="Z396" s="457" t="s">
        <v>6638</v>
      </c>
      <c r="AC396" s="431"/>
      <c r="AD396" s="437" t="s">
        <v>7044</v>
      </c>
      <c r="AE396" s="167"/>
      <c r="AF396" s="167"/>
      <c r="AG396" s="167"/>
      <c r="AH396" s="167"/>
      <c r="AI396" s="167"/>
      <c r="AJ396" s="167"/>
      <c r="AK396" s="465" t="s">
        <v>7281</v>
      </c>
      <c r="AM396" s="157"/>
    </row>
    <row r="397" customFormat="false" ht="25.5" hidden="false" customHeight="true" outlineLevel="0" collapsed="false">
      <c r="A397" s="441" t="n">
        <v>7</v>
      </c>
      <c r="B397" s="157" t="n">
        <v>390</v>
      </c>
      <c r="C397" s="437" t="s">
        <v>7523</v>
      </c>
      <c r="D397" s="157" t="s">
        <v>7833</v>
      </c>
      <c r="E397" s="461" t="s">
        <v>2461</v>
      </c>
      <c r="F397" s="157" t="s">
        <v>7834</v>
      </c>
      <c r="G397" s="445" t="n">
        <v>47.2</v>
      </c>
      <c r="H397" s="431" t="n">
        <v>9201</v>
      </c>
      <c r="I397" s="457" t="n">
        <v>0</v>
      </c>
      <c r="J397" s="458" t="n">
        <v>18566</v>
      </c>
      <c r="K397" s="462" t="n">
        <v>2.84390821932565</v>
      </c>
      <c r="L397" s="463" t="n">
        <v>1</v>
      </c>
      <c r="M397" s="463" t="n">
        <v>0.105018939393939</v>
      </c>
      <c r="N397" s="431" t="n">
        <v>1950</v>
      </c>
      <c r="O397" s="446" t="n">
        <v>1000</v>
      </c>
      <c r="Q397" s="157" t="n">
        <v>18</v>
      </c>
      <c r="R397" s="157" t="n">
        <v>10</v>
      </c>
      <c r="S397" s="157" t="n">
        <v>1</v>
      </c>
      <c r="T397" s="457" t="s">
        <v>7526</v>
      </c>
      <c r="U397" s="457" t="n">
        <v>401</v>
      </c>
      <c r="V397" s="458" t="n">
        <v>32937</v>
      </c>
      <c r="W397" s="458" t="n">
        <v>33000</v>
      </c>
      <c r="X397" s="464" t="s">
        <v>6863</v>
      </c>
      <c r="Y397" s="458" t="n">
        <v>19000</v>
      </c>
      <c r="Z397" s="457" t="s">
        <v>6638</v>
      </c>
      <c r="AC397" s="431"/>
      <c r="AD397" s="437"/>
      <c r="AE397" s="167"/>
      <c r="AF397" s="167"/>
      <c r="AG397" s="167"/>
      <c r="AH397" s="167"/>
      <c r="AI397" s="167"/>
      <c r="AJ397" s="167"/>
      <c r="AK397" s="465" t="s">
        <v>7835</v>
      </c>
      <c r="AM397" s="157"/>
    </row>
    <row r="398" customFormat="false" ht="25.5" hidden="false" customHeight="true" outlineLevel="0" collapsed="false">
      <c r="A398" s="441" t="n">
        <v>7</v>
      </c>
      <c r="B398" s="157" t="n">
        <v>391</v>
      </c>
      <c r="C398" s="437" t="s">
        <v>7523</v>
      </c>
      <c r="D398" s="157" t="s">
        <v>7053</v>
      </c>
      <c r="E398" s="461" t="s">
        <v>2461</v>
      </c>
      <c r="F398" s="157" t="s">
        <v>7836</v>
      </c>
      <c r="G398" s="431" t="n">
        <v>44.1</v>
      </c>
      <c r="H398" s="431" t="n">
        <v>9201</v>
      </c>
      <c r="I398" s="457" t="n">
        <v>0</v>
      </c>
      <c r="J398" s="458" t="n">
        <v>1500</v>
      </c>
      <c r="K398" s="462" t="n">
        <v>8.10666666666667</v>
      </c>
      <c r="L398" s="463" t="n">
        <v>0</v>
      </c>
      <c r="M398" s="463" t="n">
        <v>0</v>
      </c>
      <c r="N398" s="431" t="n">
        <v>1930</v>
      </c>
      <c r="O398" s="446" t="n">
        <v>0</v>
      </c>
      <c r="Q398" s="157" t="n">
        <v>15</v>
      </c>
      <c r="R398" s="157" t="n">
        <v>7</v>
      </c>
      <c r="S398" s="157" t="n">
        <v>1</v>
      </c>
      <c r="T398" s="457" t="s">
        <v>7526</v>
      </c>
      <c r="U398" s="457" t="n">
        <v>399</v>
      </c>
      <c r="V398" s="458" t="n">
        <v>8100</v>
      </c>
      <c r="W398" s="458" t="n">
        <v>8000</v>
      </c>
      <c r="X398" s="464" t="s">
        <v>6646</v>
      </c>
      <c r="Y398" s="458" t="n">
        <v>2000</v>
      </c>
      <c r="Z398" s="457" t="s">
        <v>6638</v>
      </c>
      <c r="AC398" s="431"/>
      <c r="AD398" s="437"/>
      <c r="AE398" s="167"/>
      <c r="AF398" s="167"/>
      <c r="AG398" s="167"/>
      <c r="AH398" s="167"/>
      <c r="AI398" s="167"/>
      <c r="AJ398" s="167"/>
      <c r="AK398" s="465" t="s">
        <v>7837</v>
      </c>
      <c r="AM398" s="157"/>
    </row>
    <row r="399" customFormat="false" ht="12.75" hidden="false" customHeight="true" outlineLevel="0" collapsed="false">
      <c r="A399" s="441" t="n">
        <v>7</v>
      </c>
      <c r="B399" s="157" t="n">
        <v>392</v>
      </c>
      <c r="C399" s="437" t="s">
        <v>7523</v>
      </c>
      <c r="D399" s="157" t="s">
        <v>7838</v>
      </c>
      <c r="E399" s="461" t="s">
        <v>2461</v>
      </c>
      <c r="F399" s="157" t="s">
        <v>7839</v>
      </c>
      <c r="G399" s="445" t="n">
        <v>44.2</v>
      </c>
      <c r="H399" s="431" t="n">
        <v>9201</v>
      </c>
      <c r="I399" s="457" t="n">
        <v>0</v>
      </c>
      <c r="J399" s="458" t="n">
        <v>16650</v>
      </c>
      <c r="K399" s="462" t="n">
        <v>3.45945945945946</v>
      </c>
      <c r="L399" s="463" t="n">
        <v>0</v>
      </c>
      <c r="M399" s="463" t="n">
        <v>0</v>
      </c>
      <c r="N399" s="431" t="n">
        <v>1964</v>
      </c>
      <c r="O399" s="446" t="n">
        <v>0</v>
      </c>
      <c r="Q399" s="157" t="n">
        <v>14</v>
      </c>
      <c r="R399" s="157" t="n">
        <v>3</v>
      </c>
      <c r="S399" s="157" t="n">
        <v>1</v>
      </c>
      <c r="T399" s="457" t="s">
        <v>7526</v>
      </c>
      <c r="U399" s="457" t="n">
        <v>398</v>
      </c>
      <c r="V399" s="458" t="n">
        <v>32214</v>
      </c>
      <c r="W399" s="458" t="n">
        <v>32000</v>
      </c>
      <c r="X399" s="464" t="s">
        <v>6675</v>
      </c>
      <c r="Y399" s="458" t="n">
        <v>17000</v>
      </c>
      <c r="Z399" s="457" t="s">
        <v>6638</v>
      </c>
      <c r="AC399" s="431"/>
      <c r="AD399" s="437"/>
      <c r="AE399" s="167"/>
      <c r="AF399" s="167"/>
      <c r="AG399" s="167"/>
      <c r="AH399" s="167"/>
      <c r="AI399" s="167"/>
      <c r="AJ399" s="167"/>
      <c r="AK399" s="465"/>
      <c r="AM399" s="157"/>
    </row>
    <row r="400" customFormat="false" ht="25.5" hidden="false" customHeight="true" outlineLevel="0" collapsed="false">
      <c r="A400" s="441" t="n">
        <v>7</v>
      </c>
      <c r="B400" s="157" t="n">
        <v>393</v>
      </c>
      <c r="C400" s="437" t="s">
        <v>7523</v>
      </c>
      <c r="D400" s="157" t="s">
        <v>7086</v>
      </c>
      <c r="E400" s="461" t="s">
        <v>2461</v>
      </c>
      <c r="F400" s="157" t="s">
        <v>7840</v>
      </c>
      <c r="G400" s="431" t="n">
        <v>44.1</v>
      </c>
      <c r="H400" s="431" t="n">
        <v>9210</v>
      </c>
      <c r="I400" s="457" t="n">
        <v>0</v>
      </c>
      <c r="J400" s="458" t="n">
        <v>3000</v>
      </c>
      <c r="K400" s="462" t="n">
        <v>5.84</v>
      </c>
      <c r="L400" s="463" t="n">
        <v>0</v>
      </c>
      <c r="M400" s="463" t="n">
        <v>0.216495433789954</v>
      </c>
      <c r="N400" s="431" t="n">
        <v>1948</v>
      </c>
      <c r="O400" s="446" t="n">
        <v>1800</v>
      </c>
      <c r="Q400" s="157" t="n">
        <v>15</v>
      </c>
      <c r="R400" s="157" t="n">
        <v>1</v>
      </c>
      <c r="S400" s="157" t="n">
        <v>1</v>
      </c>
      <c r="T400" s="457" t="s">
        <v>7531</v>
      </c>
      <c r="U400" s="457" t="n">
        <v>398</v>
      </c>
      <c r="V400" s="458" t="n">
        <v>18830</v>
      </c>
      <c r="W400" s="458" t="n">
        <v>19000</v>
      </c>
      <c r="X400" s="464" t="s">
        <v>6692</v>
      </c>
      <c r="Y400" s="458" t="n">
        <v>3000</v>
      </c>
      <c r="Z400" s="457" t="s">
        <v>6638</v>
      </c>
      <c r="AC400" s="431"/>
      <c r="AD400" s="437" t="s">
        <v>7089</v>
      </c>
      <c r="AE400" s="167"/>
      <c r="AF400" s="167"/>
      <c r="AG400" s="167"/>
      <c r="AH400" s="167"/>
      <c r="AI400" s="167"/>
      <c r="AJ400" s="167"/>
      <c r="AK400" s="465" t="s">
        <v>7841</v>
      </c>
      <c r="AM400" s="157"/>
    </row>
    <row r="401" customFormat="false" ht="12.75" hidden="false" customHeight="true" outlineLevel="0" collapsed="false">
      <c r="A401" s="441" t="n">
        <v>7</v>
      </c>
      <c r="B401" s="157" t="n">
        <v>394</v>
      </c>
      <c r="C401" s="437" t="s">
        <v>7523</v>
      </c>
      <c r="D401" s="157" t="s">
        <v>7842</v>
      </c>
      <c r="E401" s="461" t="s">
        <v>2461</v>
      </c>
      <c r="F401" s="157" t="s">
        <v>7843</v>
      </c>
      <c r="G401" s="445" t="n">
        <v>47.1</v>
      </c>
      <c r="H401" s="431" t="n">
        <v>9210</v>
      </c>
      <c r="I401" s="457" t="n">
        <v>0</v>
      </c>
      <c r="J401" s="458" t="n">
        <v>17074</v>
      </c>
      <c r="K401" s="462" t="n">
        <v>3.51411502869861</v>
      </c>
      <c r="L401" s="463" t="n">
        <v>0</v>
      </c>
      <c r="M401" s="463" t="n">
        <v>0.0583333333333333</v>
      </c>
      <c r="N401" s="431" t="n">
        <v>1951</v>
      </c>
      <c r="O401" s="446" t="n">
        <v>982</v>
      </c>
      <c r="Q401" s="157" t="n">
        <v>12</v>
      </c>
      <c r="R401" s="157" t="n">
        <v>3</v>
      </c>
      <c r="S401" s="157" t="n">
        <v>1</v>
      </c>
      <c r="T401" s="457" t="s">
        <v>7526</v>
      </c>
      <c r="U401" s="457" t="n">
        <v>401</v>
      </c>
      <c r="V401" s="458" t="n">
        <v>20037</v>
      </c>
      <c r="W401" s="458" t="n">
        <v>20000</v>
      </c>
      <c r="X401" s="464" t="s">
        <v>6900</v>
      </c>
      <c r="Y401" s="458" t="n">
        <v>17000</v>
      </c>
      <c r="Z401" s="457" t="s">
        <v>6638</v>
      </c>
      <c r="AC401" s="431"/>
      <c r="AD401" s="437" t="s">
        <v>7750</v>
      </c>
      <c r="AE401" s="167"/>
      <c r="AF401" s="167"/>
      <c r="AG401" s="167"/>
      <c r="AH401" s="167"/>
      <c r="AI401" s="167"/>
      <c r="AJ401" s="167"/>
      <c r="AK401" s="465" t="s">
        <v>7844</v>
      </c>
      <c r="AM401" s="157"/>
    </row>
    <row r="402" customFormat="false" ht="12.75" hidden="false" customHeight="true" outlineLevel="0" collapsed="false">
      <c r="A402" s="441" t="n">
        <v>7</v>
      </c>
      <c r="B402" s="157" t="n">
        <v>395</v>
      </c>
      <c r="C402" s="437" t="s">
        <v>7523</v>
      </c>
      <c r="D402" s="157" t="s">
        <v>7093</v>
      </c>
      <c r="E402" s="461" t="s">
        <v>2461</v>
      </c>
      <c r="F402" s="157" t="s">
        <v>7845</v>
      </c>
      <c r="G402" s="445" t="n">
        <v>44.2</v>
      </c>
      <c r="H402" s="431" t="n">
        <v>9210</v>
      </c>
      <c r="I402" s="457" t="n">
        <v>0</v>
      </c>
      <c r="J402" s="458" t="n">
        <v>5340</v>
      </c>
      <c r="K402" s="462" t="n">
        <v>5.84269662921348</v>
      </c>
      <c r="L402" s="463" t="n">
        <v>0</v>
      </c>
      <c r="M402" s="463" t="n">
        <v>0.265608974358974</v>
      </c>
      <c r="N402" s="431" t="n">
        <v>1955</v>
      </c>
      <c r="O402" s="446" t="n">
        <v>2960</v>
      </c>
      <c r="Q402" s="157" t="n">
        <v>16</v>
      </c>
      <c r="R402" s="157" t="n">
        <v>3</v>
      </c>
      <c r="S402" s="157" t="n">
        <v>1</v>
      </c>
      <c r="T402" s="457" t="s">
        <v>7526</v>
      </c>
      <c r="U402" s="457" t="n">
        <v>398</v>
      </c>
      <c r="V402" s="458" t="n">
        <v>6250</v>
      </c>
      <c r="W402" s="458" t="n">
        <v>6000</v>
      </c>
      <c r="X402" s="464" t="s">
        <v>6900</v>
      </c>
      <c r="Y402" s="458" t="n">
        <v>5000</v>
      </c>
      <c r="Z402" s="457" t="s">
        <v>6638</v>
      </c>
      <c r="AC402" s="431"/>
      <c r="AD402" s="437"/>
      <c r="AE402" s="167"/>
      <c r="AF402" s="167"/>
      <c r="AG402" s="167"/>
      <c r="AH402" s="167"/>
      <c r="AI402" s="167"/>
      <c r="AJ402" s="167"/>
      <c r="AK402" s="465" t="s">
        <v>6697</v>
      </c>
      <c r="AM402" s="157"/>
    </row>
    <row r="403" customFormat="false" ht="25.5" hidden="false" customHeight="true" outlineLevel="0" collapsed="false">
      <c r="A403" s="441" t="n">
        <v>7</v>
      </c>
      <c r="B403" s="157" t="n">
        <v>396</v>
      </c>
      <c r="C403" s="437" t="s">
        <v>7523</v>
      </c>
      <c r="D403" s="157" t="s">
        <v>7096</v>
      </c>
      <c r="E403" s="461" t="s">
        <v>2461</v>
      </c>
      <c r="F403" s="157" t="s">
        <v>7846</v>
      </c>
      <c r="G403" s="445" t="n">
        <v>44.2</v>
      </c>
      <c r="H403" s="431" t="n">
        <v>9210</v>
      </c>
      <c r="I403" s="457" t="n">
        <v>0</v>
      </c>
      <c r="J403" s="458" t="n">
        <v>5015</v>
      </c>
      <c r="K403" s="462" t="n">
        <v>5.93180458624128</v>
      </c>
      <c r="L403" s="463" t="n">
        <v>0</v>
      </c>
      <c r="M403" s="463" t="n">
        <v>0</v>
      </c>
      <c r="N403" s="431" t="n">
        <v>1950</v>
      </c>
      <c r="O403" s="446" t="n">
        <v>0</v>
      </c>
      <c r="Q403" s="157" t="n">
        <v>14</v>
      </c>
      <c r="R403" s="157" t="n">
        <v>3</v>
      </c>
      <c r="S403" s="157" t="n">
        <v>2</v>
      </c>
      <c r="T403" s="457" t="s">
        <v>7526</v>
      </c>
      <c r="U403" s="457" t="n">
        <v>398</v>
      </c>
      <c r="V403" s="458" t="n">
        <v>6250</v>
      </c>
      <c r="W403" s="458" t="n">
        <v>6000</v>
      </c>
      <c r="X403" s="464" t="s">
        <v>6900</v>
      </c>
      <c r="Y403" s="458" t="n">
        <v>5000</v>
      </c>
      <c r="Z403" s="457" t="s">
        <v>6638</v>
      </c>
      <c r="AC403" s="431"/>
      <c r="AD403" s="437" t="s">
        <v>7098</v>
      </c>
      <c r="AE403" s="167"/>
      <c r="AF403" s="167"/>
      <c r="AG403" s="167"/>
      <c r="AH403" s="167"/>
      <c r="AI403" s="167"/>
      <c r="AJ403" s="167"/>
      <c r="AK403" s="465" t="s">
        <v>7847</v>
      </c>
      <c r="AM403" s="157"/>
    </row>
    <row r="404" customFormat="false" ht="12.75" hidden="false" customHeight="true" outlineLevel="0" collapsed="false">
      <c r="A404" s="441" t="n">
        <v>7</v>
      </c>
      <c r="B404" s="157" t="n">
        <v>397</v>
      </c>
      <c r="C404" s="437" t="s">
        <v>7523</v>
      </c>
      <c r="D404" s="157" t="s">
        <v>7848</v>
      </c>
      <c r="E404" s="461" t="s">
        <v>2461</v>
      </c>
      <c r="F404" s="157" t="s">
        <v>7849</v>
      </c>
      <c r="G404" s="431" t="n">
        <v>44.1</v>
      </c>
      <c r="H404" s="431" t="n">
        <v>9210</v>
      </c>
      <c r="I404" s="457" t="n">
        <v>0</v>
      </c>
      <c r="J404" s="458" t="n">
        <v>4820</v>
      </c>
      <c r="K404" s="462" t="n">
        <v>8.92116182572614</v>
      </c>
      <c r="L404" s="463" t="n">
        <v>1</v>
      </c>
      <c r="M404" s="463" t="n">
        <v>0</v>
      </c>
      <c r="N404" s="431" t="n">
        <v>1978</v>
      </c>
      <c r="O404" s="446" t="n">
        <v>1000</v>
      </c>
      <c r="Q404" s="157" t="n">
        <v>16</v>
      </c>
      <c r="R404" s="157" t="n">
        <v>7</v>
      </c>
      <c r="S404" s="157" t="n">
        <v>1</v>
      </c>
      <c r="T404" s="457" t="s">
        <v>7526</v>
      </c>
      <c r="U404" s="457" t="n">
        <v>398</v>
      </c>
      <c r="V404" s="458" t="n">
        <v>15625</v>
      </c>
      <c r="W404" s="458" t="n">
        <v>16000</v>
      </c>
      <c r="X404" s="464" t="s">
        <v>6695</v>
      </c>
      <c r="Y404" s="458" t="n">
        <v>5000</v>
      </c>
      <c r="Z404" s="457" t="s">
        <v>6696</v>
      </c>
      <c r="AC404" s="431"/>
      <c r="AD404" s="437"/>
      <c r="AE404" s="167"/>
      <c r="AF404" s="167"/>
      <c r="AG404" s="167"/>
      <c r="AH404" s="167"/>
      <c r="AI404" s="167"/>
      <c r="AJ404" s="167"/>
      <c r="AK404" s="465"/>
      <c r="AM404" s="157"/>
    </row>
    <row r="405" customFormat="false" ht="12.75" hidden="false" customHeight="true" outlineLevel="0" collapsed="false">
      <c r="A405" s="441" t="n">
        <v>7</v>
      </c>
      <c r="B405" s="157" t="n">
        <v>398</v>
      </c>
      <c r="C405" s="437" t="s">
        <v>7523</v>
      </c>
      <c r="D405" s="157" t="s">
        <v>7105</v>
      </c>
      <c r="E405" s="461" t="s">
        <v>2461</v>
      </c>
      <c r="F405" s="157" t="s">
        <v>7850</v>
      </c>
      <c r="G405" s="445" t="s">
        <v>7011</v>
      </c>
      <c r="H405" s="431" t="n">
        <v>9210</v>
      </c>
      <c r="I405" s="457" t="n">
        <v>0</v>
      </c>
      <c r="J405" s="458" t="n">
        <v>21350</v>
      </c>
      <c r="K405" s="462" t="n">
        <v>7.56604215456675</v>
      </c>
      <c r="L405" s="463" t="n">
        <v>0</v>
      </c>
      <c r="M405" s="463" t="n">
        <v>0.272448695329186</v>
      </c>
      <c r="N405" s="431" t="n">
        <v>1950</v>
      </c>
      <c r="O405" s="446" t="n">
        <v>0</v>
      </c>
      <c r="Q405" s="157" t="n">
        <v>11</v>
      </c>
      <c r="R405" s="157" t="n">
        <v>1</v>
      </c>
      <c r="S405" s="157" t="n">
        <v>85</v>
      </c>
      <c r="T405" s="457" t="s">
        <v>7531</v>
      </c>
      <c r="U405" s="457" t="n">
        <v>396</v>
      </c>
      <c r="V405" s="458" t="n">
        <v>31250</v>
      </c>
      <c r="W405" s="458" t="n">
        <v>31000</v>
      </c>
      <c r="X405" s="464" t="s">
        <v>6837</v>
      </c>
      <c r="Y405" s="458" t="n">
        <v>21000</v>
      </c>
      <c r="Z405" s="457" t="s">
        <v>6638</v>
      </c>
      <c r="AC405" s="431"/>
      <c r="AD405" s="437" t="s">
        <v>7107</v>
      </c>
      <c r="AE405" s="167"/>
      <c r="AF405" s="167"/>
      <c r="AG405" s="167"/>
      <c r="AH405" s="167"/>
      <c r="AI405" s="167"/>
      <c r="AJ405" s="167"/>
      <c r="AK405" s="465" t="s">
        <v>7851</v>
      </c>
      <c r="AM405" s="157"/>
    </row>
    <row r="406" customFormat="false" ht="25.5" hidden="false" customHeight="true" outlineLevel="0" collapsed="false">
      <c r="A406" s="441" t="n">
        <v>7</v>
      </c>
      <c r="B406" s="157" t="n">
        <v>399</v>
      </c>
      <c r="C406" s="437" t="s">
        <v>7523</v>
      </c>
      <c r="D406" s="157" t="s">
        <v>7113</v>
      </c>
      <c r="E406" s="461" t="s">
        <v>2461</v>
      </c>
      <c r="F406" s="157" t="s">
        <v>7852</v>
      </c>
      <c r="G406" s="431" t="n">
        <v>44.1</v>
      </c>
      <c r="H406" s="431" t="n">
        <v>9210</v>
      </c>
      <c r="I406" s="457" t="n">
        <v>0</v>
      </c>
      <c r="J406" s="458" t="n">
        <v>6500</v>
      </c>
      <c r="K406" s="462" t="n">
        <v>2.95384615384615</v>
      </c>
      <c r="L406" s="463" t="n">
        <v>0</v>
      </c>
      <c r="M406" s="463" t="n">
        <v>0</v>
      </c>
      <c r="N406" s="431" t="n">
        <v>1931</v>
      </c>
      <c r="O406" s="446" t="n">
        <v>180</v>
      </c>
      <c r="Q406" s="157" t="n">
        <v>14</v>
      </c>
      <c r="R406" s="157" t="n">
        <v>7</v>
      </c>
      <c r="S406" s="157" t="n">
        <v>1</v>
      </c>
      <c r="T406" s="457" t="s">
        <v>7531</v>
      </c>
      <c r="U406" s="457" t="n">
        <v>398</v>
      </c>
      <c r="V406" s="458" t="n">
        <v>12500</v>
      </c>
      <c r="W406" s="458" t="n">
        <v>13000</v>
      </c>
      <c r="X406" s="464" t="s">
        <v>6954</v>
      </c>
      <c r="Y406" s="458" t="n">
        <v>7000</v>
      </c>
      <c r="Z406" s="457" t="s">
        <v>6638</v>
      </c>
      <c r="AC406" s="431"/>
      <c r="AD406" s="437" t="s">
        <v>7116</v>
      </c>
      <c r="AE406" s="167"/>
      <c r="AF406" s="167"/>
      <c r="AG406" s="167"/>
      <c r="AH406" s="167"/>
      <c r="AI406" s="167"/>
      <c r="AJ406" s="167"/>
      <c r="AK406" s="465" t="s">
        <v>7853</v>
      </c>
      <c r="AM406" s="157"/>
    </row>
    <row r="407" customFormat="false" ht="25.5" hidden="false" customHeight="true" outlineLevel="0" collapsed="false">
      <c r="A407" s="441" t="n">
        <v>7</v>
      </c>
      <c r="B407" s="157" t="n">
        <v>400</v>
      </c>
      <c r="C407" s="437" t="s">
        <v>7523</v>
      </c>
      <c r="D407" s="157" t="s">
        <v>7854</v>
      </c>
      <c r="E407" s="461" t="s">
        <v>2461</v>
      </c>
      <c r="F407" s="157" t="s">
        <v>7855</v>
      </c>
      <c r="G407" s="445" t="n">
        <v>44.2</v>
      </c>
      <c r="H407" s="431" t="n">
        <v>9210</v>
      </c>
      <c r="I407" s="457" t="n">
        <v>0</v>
      </c>
      <c r="J407" s="458" t="n">
        <v>7500</v>
      </c>
      <c r="K407" s="462" t="n">
        <v>4.8</v>
      </c>
      <c r="L407" s="463" t="n">
        <v>0</v>
      </c>
      <c r="M407" s="463" t="n">
        <v>0</v>
      </c>
      <c r="N407" s="431" t="n">
        <v>1968</v>
      </c>
      <c r="O407" s="446" t="n">
        <v>2908</v>
      </c>
      <c r="Q407" s="157" t="n">
        <v>15</v>
      </c>
      <c r="R407" s="157" t="n">
        <v>1</v>
      </c>
      <c r="S407" s="157" t="n">
        <v>1</v>
      </c>
      <c r="T407" s="457" t="s">
        <v>7531</v>
      </c>
      <c r="U407" s="457" t="n">
        <v>398</v>
      </c>
      <c r="V407" s="458" t="n">
        <v>21452</v>
      </c>
      <c r="W407" s="458" t="n">
        <v>21000</v>
      </c>
      <c r="X407" s="464" t="s">
        <v>7288</v>
      </c>
      <c r="Y407" s="458" t="n">
        <v>8000</v>
      </c>
      <c r="Z407" s="457" t="s">
        <v>6638</v>
      </c>
      <c r="AC407" s="431"/>
      <c r="AD407" s="437" t="s">
        <v>7856</v>
      </c>
      <c r="AE407" s="167"/>
      <c r="AF407" s="167"/>
      <c r="AG407" s="167"/>
      <c r="AH407" s="167"/>
      <c r="AI407" s="167"/>
      <c r="AJ407" s="167"/>
      <c r="AK407" s="465" t="s">
        <v>7857</v>
      </c>
      <c r="AM407" s="157"/>
    </row>
    <row r="408" customFormat="false" ht="25.5" hidden="false" customHeight="true" outlineLevel="0" collapsed="false">
      <c r="A408" s="441" t="n">
        <v>7</v>
      </c>
      <c r="B408" s="157" t="n">
        <v>401</v>
      </c>
      <c r="C408" s="437" t="s">
        <v>7523</v>
      </c>
      <c r="D408" s="157" t="s">
        <v>7858</v>
      </c>
      <c r="E408" s="461" t="s">
        <v>2461</v>
      </c>
      <c r="F408" s="157" t="s">
        <v>7859</v>
      </c>
      <c r="G408" s="445" t="n">
        <v>47.2</v>
      </c>
      <c r="H408" s="431" t="n">
        <v>9210</v>
      </c>
      <c r="I408" s="457" t="n">
        <v>0</v>
      </c>
      <c r="J408" s="458" t="n">
        <v>26000</v>
      </c>
      <c r="K408" s="462" t="n">
        <v>2.65384615384615</v>
      </c>
      <c r="L408" s="463" t="n">
        <v>0</v>
      </c>
      <c r="M408" s="463" t="n">
        <v>0</v>
      </c>
      <c r="N408" s="431" t="n">
        <v>1937</v>
      </c>
      <c r="O408" s="446" t="n">
        <v>1600</v>
      </c>
      <c r="Q408" s="157" t="n">
        <v>14</v>
      </c>
      <c r="R408" s="157" t="n">
        <v>1</v>
      </c>
      <c r="S408" s="157" t="n">
        <v>1</v>
      </c>
      <c r="T408" s="457" t="s">
        <v>7860</v>
      </c>
      <c r="U408" s="457" t="n">
        <v>401</v>
      </c>
      <c r="V408" s="458" t="n">
        <v>50025</v>
      </c>
      <c r="W408" s="458" t="n">
        <v>50000</v>
      </c>
      <c r="X408" s="464" t="s">
        <v>6954</v>
      </c>
      <c r="Y408" s="458" t="n">
        <v>26000</v>
      </c>
      <c r="Z408" s="457" t="s">
        <v>6638</v>
      </c>
      <c r="AC408" s="431"/>
      <c r="AD408" s="437" t="s">
        <v>7861</v>
      </c>
      <c r="AE408" s="167"/>
      <c r="AF408" s="167"/>
      <c r="AG408" s="167"/>
      <c r="AH408" s="167"/>
      <c r="AI408" s="167"/>
      <c r="AJ408" s="167"/>
      <c r="AK408" s="465" t="s">
        <v>7862</v>
      </c>
      <c r="AM408" s="157"/>
    </row>
    <row r="409" customFormat="false" ht="12.75" hidden="false" customHeight="true" outlineLevel="0" collapsed="false">
      <c r="A409" s="441" t="n">
        <v>7</v>
      </c>
      <c r="B409" s="157" t="n">
        <v>402</v>
      </c>
      <c r="C409" s="437" t="s">
        <v>7523</v>
      </c>
      <c r="D409" s="157" t="s">
        <v>7125</v>
      </c>
      <c r="E409" s="461" t="s">
        <v>2461</v>
      </c>
      <c r="F409" s="157" t="s">
        <v>7863</v>
      </c>
      <c r="G409" s="431" t="n">
        <v>44.1</v>
      </c>
      <c r="H409" s="431" t="n">
        <v>9210</v>
      </c>
      <c r="I409" s="457" t="n">
        <v>0</v>
      </c>
      <c r="J409" s="458" t="n">
        <v>20196</v>
      </c>
      <c r="K409" s="462" t="n">
        <v>5.43850267379679</v>
      </c>
      <c r="L409" s="463" t="n">
        <v>0</v>
      </c>
      <c r="M409" s="463" t="n">
        <v>0.0782075093776175</v>
      </c>
      <c r="N409" s="431" t="n">
        <v>1973</v>
      </c>
      <c r="O409" s="446" t="n">
        <v>18501</v>
      </c>
      <c r="Q409" s="157" t="n">
        <v>20</v>
      </c>
      <c r="R409" s="157" t="n">
        <v>3</v>
      </c>
      <c r="S409" s="157" t="n">
        <v>1</v>
      </c>
      <c r="T409" s="457" t="s">
        <v>7531</v>
      </c>
      <c r="U409" s="457" t="n">
        <v>398</v>
      </c>
      <c r="V409" s="458" t="n">
        <v>31287</v>
      </c>
      <c r="W409" s="458" t="n">
        <v>31000</v>
      </c>
      <c r="X409" s="464" t="s">
        <v>6837</v>
      </c>
      <c r="Y409" s="458" t="n">
        <v>20000</v>
      </c>
      <c r="Z409" s="457" t="s">
        <v>6638</v>
      </c>
      <c r="AC409" s="431"/>
      <c r="AD409" s="437"/>
      <c r="AE409" s="167"/>
      <c r="AF409" s="167"/>
      <c r="AG409" s="167"/>
      <c r="AH409" s="167"/>
      <c r="AI409" s="167"/>
      <c r="AJ409" s="167"/>
      <c r="AK409" s="465"/>
      <c r="AM409" s="157"/>
    </row>
    <row r="410" customFormat="false" ht="12.75" hidden="false" customHeight="true" outlineLevel="0" collapsed="false">
      <c r="A410" s="441" t="n">
        <v>7</v>
      </c>
      <c r="B410" s="157" t="n">
        <v>403</v>
      </c>
      <c r="C410" s="437" t="s">
        <v>7523</v>
      </c>
      <c r="D410" s="157" t="s">
        <v>7127</v>
      </c>
      <c r="E410" s="461" t="s">
        <v>2461</v>
      </c>
      <c r="F410" s="157" t="s">
        <v>7864</v>
      </c>
      <c r="G410" s="431" t="n">
        <v>44.1</v>
      </c>
      <c r="H410" s="431" t="n">
        <v>9210</v>
      </c>
      <c r="I410" s="457" t="n">
        <v>0</v>
      </c>
      <c r="J410" s="458" t="n">
        <v>3444</v>
      </c>
      <c r="K410" s="462" t="n">
        <v>2.27177700348432</v>
      </c>
      <c r="L410" s="463" t="n">
        <v>0</v>
      </c>
      <c r="M410" s="463" t="n">
        <v>0</v>
      </c>
      <c r="N410" s="431" t="n">
        <v>1958</v>
      </c>
      <c r="O410" s="446" t="n">
        <v>700</v>
      </c>
      <c r="Q410" s="157" t="n">
        <v>13</v>
      </c>
      <c r="R410" s="157" t="n">
        <v>7</v>
      </c>
      <c r="S410" s="157" t="n">
        <v>1</v>
      </c>
      <c r="T410" s="457" t="s">
        <v>7531</v>
      </c>
      <c r="U410" s="457" t="n">
        <v>398</v>
      </c>
      <c r="V410" s="458" t="n">
        <v>15644</v>
      </c>
      <c r="W410" s="458" t="n">
        <v>16000</v>
      </c>
      <c r="X410" s="464" t="s">
        <v>7080</v>
      </c>
      <c r="Y410" s="458" t="n">
        <v>3000</v>
      </c>
      <c r="Z410" s="457" t="s">
        <v>6638</v>
      </c>
      <c r="AC410" s="431"/>
      <c r="AD410" s="437" t="s">
        <v>6676</v>
      </c>
      <c r="AE410" s="167"/>
      <c r="AF410" s="167"/>
      <c r="AG410" s="167"/>
      <c r="AH410" s="167"/>
      <c r="AI410" s="167"/>
      <c r="AJ410" s="167"/>
      <c r="AK410" s="465"/>
      <c r="AM410" s="157"/>
    </row>
    <row r="411" customFormat="false" ht="12.75" hidden="false" customHeight="true" outlineLevel="0" collapsed="false">
      <c r="A411" s="441" t="n">
        <v>7</v>
      </c>
      <c r="B411" s="157" t="n">
        <v>404</v>
      </c>
      <c r="C411" s="437" t="s">
        <v>7523</v>
      </c>
      <c r="D411" s="157" t="s">
        <v>7865</v>
      </c>
      <c r="E411" s="461" t="s">
        <v>2461</v>
      </c>
      <c r="F411" s="157" t="s">
        <v>7866</v>
      </c>
      <c r="G411" s="431" t="n">
        <v>44.1</v>
      </c>
      <c r="H411" s="431" t="n">
        <v>9210</v>
      </c>
      <c r="I411" s="457" t="n">
        <v>0</v>
      </c>
      <c r="J411" s="458" t="n">
        <v>4141</v>
      </c>
      <c r="K411" s="462" t="n">
        <v>5.39000241487563</v>
      </c>
      <c r="L411" s="463" t="n">
        <v>0</v>
      </c>
      <c r="M411" s="463" t="n">
        <v>0.00465949820788531</v>
      </c>
      <c r="N411" s="431" t="n">
        <v>1937</v>
      </c>
      <c r="O411" s="446" t="n">
        <v>0</v>
      </c>
      <c r="Q411" s="157" t="n">
        <v>13</v>
      </c>
      <c r="R411" s="157" t="n">
        <v>3</v>
      </c>
      <c r="S411" s="157" t="n">
        <v>1</v>
      </c>
      <c r="T411" s="457" t="s">
        <v>7531</v>
      </c>
      <c r="U411" s="457" t="n">
        <v>398</v>
      </c>
      <c r="V411" s="458" t="n">
        <v>12530</v>
      </c>
      <c r="W411" s="458" t="n">
        <v>13000</v>
      </c>
      <c r="X411" s="464" t="s">
        <v>7563</v>
      </c>
      <c r="Y411" s="458" t="n">
        <v>4000</v>
      </c>
      <c r="Z411" s="457" t="s">
        <v>6638</v>
      </c>
      <c r="AC411" s="431"/>
      <c r="AD411" s="437" t="s">
        <v>6676</v>
      </c>
      <c r="AE411" s="167"/>
      <c r="AF411" s="167"/>
      <c r="AG411" s="167"/>
      <c r="AH411" s="167"/>
      <c r="AI411" s="167"/>
      <c r="AJ411" s="167"/>
      <c r="AK411" s="465"/>
      <c r="AM411" s="157"/>
    </row>
    <row r="412" customFormat="false" ht="12.75" hidden="false" customHeight="true" outlineLevel="0" collapsed="false">
      <c r="A412" s="441" t="n">
        <v>7</v>
      </c>
      <c r="B412" s="157" t="n">
        <v>405</v>
      </c>
      <c r="C412" s="457" t="s">
        <v>7538</v>
      </c>
      <c r="D412" s="157" t="s">
        <v>7867</v>
      </c>
      <c r="E412" s="457" t="s">
        <v>2461</v>
      </c>
      <c r="F412" s="157" t="s">
        <v>7868</v>
      </c>
      <c r="G412" s="466" t="s">
        <v>7869</v>
      </c>
      <c r="H412" s="157" t="n">
        <v>9210</v>
      </c>
      <c r="I412" s="457" t="n">
        <v>0</v>
      </c>
      <c r="J412" s="446" t="n">
        <v>14766</v>
      </c>
      <c r="K412" s="176" t="n">
        <v>5.6</v>
      </c>
      <c r="L412" s="175" t="n">
        <v>0</v>
      </c>
      <c r="M412" s="175" t="n">
        <v>0.1</v>
      </c>
      <c r="N412" s="157" t="n">
        <v>1967</v>
      </c>
      <c r="O412" s="457" t="s">
        <v>7870</v>
      </c>
      <c r="P412" s="157" t="n">
        <v>401</v>
      </c>
      <c r="Q412" s="446" t="n">
        <v>21960</v>
      </c>
      <c r="R412" s="446" t="n">
        <f aca="false">MROUND(Q412,1000)</f>
        <v>22000</v>
      </c>
      <c r="S412" s="431" t="s">
        <v>7871</v>
      </c>
      <c r="T412" s="446" t="n">
        <f aca="false">MROUND(J412,1000)</f>
        <v>15000</v>
      </c>
      <c r="U412" s="157" t="s">
        <v>461</v>
      </c>
      <c r="V412" s="157" t="n">
        <v>3</v>
      </c>
      <c r="W412" s="157" t="n">
        <v>3</v>
      </c>
      <c r="X412" s="157" t="n">
        <v>33</v>
      </c>
      <c r="Z412" s="430"/>
      <c r="AA412" s="467"/>
      <c r="AB412" s="467"/>
      <c r="AC412" s="430"/>
      <c r="AD412" s="467"/>
      <c r="AE412" s="430"/>
      <c r="AH412" s="167"/>
      <c r="AI412" s="167"/>
      <c r="AJ412" s="167"/>
      <c r="AK412" s="167"/>
      <c r="AL412" s="157" t="str">
        <f aca="false">IF(AND(ISNUMBER($S412),$S412&gt;0,ISNUMBER($K412),ISNUMBER($J412)),($K412*$J412)/$S412,"")</f>
        <v/>
      </c>
    </row>
    <row r="413" customFormat="false" ht="12.75" hidden="false" customHeight="true" outlineLevel="0" collapsed="false">
      <c r="A413" s="441" t="n">
        <v>7</v>
      </c>
      <c r="B413" s="157" t="n">
        <v>406</v>
      </c>
      <c r="C413" s="437" t="s">
        <v>7523</v>
      </c>
      <c r="D413" s="157" t="s">
        <v>7872</v>
      </c>
      <c r="E413" s="461" t="s">
        <v>2461</v>
      </c>
      <c r="F413" s="157" t="s">
        <v>7873</v>
      </c>
      <c r="G413" s="431" t="n">
        <v>44.1</v>
      </c>
      <c r="H413" s="431" t="n">
        <v>9202</v>
      </c>
      <c r="I413" s="457" t="n">
        <v>0</v>
      </c>
      <c r="J413" s="458" t="n">
        <v>28647</v>
      </c>
      <c r="K413" s="462" t="n">
        <v>15.4291897929975</v>
      </c>
      <c r="L413" s="463" t="n">
        <v>0</v>
      </c>
      <c r="M413" s="463" t="n">
        <v>0.00995475113122172</v>
      </c>
      <c r="N413" s="431" t="n">
        <v>1956</v>
      </c>
      <c r="O413" s="446" t="n">
        <v>0</v>
      </c>
      <c r="P413" s="446" t="n">
        <v>14952</v>
      </c>
      <c r="Q413" s="157" t="n">
        <v>22</v>
      </c>
      <c r="R413" s="157" t="n">
        <v>1</v>
      </c>
      <c r="S413" s="157" t="n">
        <v>1</v>
      </c>
      <c r="T413" s="457" t="s">
        <v>7531</v>
      </c>
      <c r="U413" s="457" t="n">
        <v>398</v>
      </c>
      <c r="V413" s="458" t="n">
        <v>42092</v>
      </c>
      <c r="W413" s="458" t="n">
        <v>42000</v>
      </c>
      <c r="X413" s="464" t="s">
        <v>6837</v>
      </c>
      <c r="Y413" s="458" t="n">
        <v>29000</v>
      </c>
      <c r="Z413" s="457" t="s">
        <v>6638</v>
      </c>
      <c r="AC413" s="431"/>
      <c r="AD413" s="437" t="s">
        <v>7874</v>
      </c>
      <c r="AE413" s="167"/>
      <c r="AF413" s="167"/>
      <c r="AG413" s="167"/>
      <c r="AH413" s="167"/>
      <c r="AI413" s="167"/>
      <c r="AJ413" s="167"/>
      <c r="AK413" s="465" t="s">
        <v>7527</v>
      </c>
      <c r="AM413" s="157"/>
    </row>
    <row r="414" customFormat="false" ht="12.75" hidden="false" customHeight="true" outlineLevel="0" collapsed="false">
      <c r="A414" s="441" t="n">
        <v>7</v>
      </c>
      <c r="B414" s="157" t="n">
        <v>407</v>
      </c>
      <c r="C414" s="437" t="s">
        <v>7523</v>
      </c>
      <c r="D414" s="157" t="s">
        <v>7137</v>
      </c>
      <c r="E414" s="461" t="s">
        <v>2461</v>
      </c>
      <c r="F414" s="157" t="s">
        <v>7875</v>
      </c>
      <c r="G414" s="445" t="n">
        <v>47.1</v>
      </c>
      <c r="H414" s="431" t="n">
        <v>9208</v>
      </c>
      <c r="I414" s="457" t="n">
        <v>0</v>
      </c>
      <c r="J414" s="458" t="n">
        <v>5760</v>
      </c>
      <c r="K414" s="462" t="n">
        <v>3.125</v>
      </c>
      <c r="L414" s="463" t="n">
        <v>0</v>
      </c>
      <c r="M414" s="463" t="n">
        <v>0</v>
      </c>
      <c r="N414" s="431" t="n">
        <v>1971</v>
      </c>
      <c r="O414" s="446" t="n">
        <v>992</v>
      </c>
      <c r="Q414" s="157" t="n">
        <v>15</v>
      </c>
      <c r="R414" s="157" t="n">
        <v>7</v>
      </c>
      <c r="S414" s="157" t="n">
        <v>1</v>
      </c>
      <c r="T414" s="457" t="s">
        <v>7529</v>
      </c>
      <c r="U414" s="457" t="n">
        <v>401</v>
      </c>
      <c r="V414" s="458" t="n">
        <v>18750</v>
      </c>
      <c r="W414" s="458" t="n">
        <v>19000</v>
      </c>
      <c r="X414" s="464" t="s">
        <v>6643</v>
      </c>
      <c r="Y414" s="458" t="n">
        <v>6000</v>
      </c>
      <c r="Z414" s="457" t="s">
        <v>6638</v>
      </c>
      <c r="AC414" s="431"/>
      <c r="AD414" s="437" t="s">
        <v>7139</v>
      </c>
      <c r="AE414" s="167"/>
      <c r="AF414" s="167"/>
      <c r="AG414" s="167"/>
      <c r="AH414" s="167"/>
      <c r="AI414" s="167"/>
      <c r="AJ414" s="167"/>
      <c r="AK414" s="465"/>
      <c r="AM414" s="157"/>
    </row>
    <row r="415" customFormat="false" ht="23.25" hidden="false" customHeight="true" outlineLevel="0" collapsed="false">
      <c r="A415" s="441" t="n">
        <v>7</v>
      </c>
      <c r="B415" s="157" t="n">
        <v>408</v>
      </c>
      <c r="C415" s="437" t="s">
        <v>7523</v>
      </c>
      <c r="D415" s="157" t="s">
        <v>7876</v>
      </c>
      <c r="E415" s="461" t="s">
        <v>2461</v>
      </c>
      <c r="F415" s="157" t="s">
        <v>7877</v>
      </c>
      <c r="G415" s="431" t="n">
        <v>44.1</v>
      </c>
      <c r="H415" s="431" t="n">
        <v>9208</v>
      </c>
      <c r="I415" s="457" t="n">
        <v>0</v>
      </c>
      <c r="J415" s="458" t="n">
        <v>3200</v>
      </c>
      <c r="K415" s="462" t="n">
        <v>12.65625</v>
      </c>
      <c r="L415" s="463" t="n">
        <v>0</v>
      </c>
      <c r="M415" s="463" t="n">
        <v>0</v>
      </c>
      <c r="N415" s="431" t="n">
        <v>1953</v>
      </c>
      <c r="O415" s="446" t="n">
        <v>180</v>
      </c>
      <c r="Q415" s="157" t="n">
        <v>14</v>
      </c>
      <c r="R415" s="157" t="n">
        <v>3</v>
      </c>
      <c r="S415" s="157" t="n">
        <v>1</v>
      </c>
      <c r="T415" s="457" t="s">
        <v>7789</v>
      </c>
      <c r="U415" s="457" t="n">
        <v>398</v>
      </c>
      <c r="V415" s="458" t="n">
        <v>14062</v>
      </c>
      <c r="W415" s="458" t="n">
        <v>14000</v>
      </c>
      <c r="X415" s="464" t="s">
        <v>6895</v>
      </c>
      <c r="Y415" s="458" t="n">
        <v>3000</v>
      </c>
      <c r="Z415" s="457" t="s">
        <v>6638</v>
      </c>
      <c r="AC415" s="431"/>
      <c r="AD415" s="437" t="s">
        <v>6676</v>
      </c>
      <c r="AE415" s="167"/>
      <c r="AF415" s="167"/>
      <c r="AG415" s="167"/>
      <c r="AH415" s="167"/>
      <c r="AI415" s="167"/>
      <c r="AJ415" s="167"/>
      <c r="AK415" s="465" t="s">
        <v>7878</v>
      </c>
      <c r="AM415" s="157"/>
    </row>
    <row r="416" customFormat="false" ht="12.75" hidden="false" customHeight="true" outlineLevel="0" collapsed="false">
      <c r="A416" s="441" t="n">
        <v>7</v>
      </c>
      <c r="B416" s="157" t="n">
        <v>409</v>
      </c>
      <c r="C416" s="437" t="s">
        <v>7523</v>
      </c>
      <c r="D416" s="157" t="s">
        <v>7879</v>
      </c>
      <c r="E416" s="461" t="s">
        <v>2461</v>
      </c>
      <c r="F416" s="157" t="s">
        <v>7880</v>
      </c>
      <c r="G416" s="431" t="n">
        <v>44.1</v>
      </c>
      <c r="H416" s="431" t="n">
        <v>9208</v>
      </c>
      <c r="I416" s="457" t="n">
        <v>0</v>
      </c>
      <c r="J416" s="458" t="n">
        <v>5920</v>
      </c>
      <c r="K416" s="462" t="n">
        <v>8.10810810810811</v>
      </c>
      <c r="L416" s="463" t="n">
        <v>0</v>
      </c>
      <c r="M416" s="463" t="n">
        <v>0.075</v>
      </c>
      <c r="N416" s="431" t="n">
        <v>1904</v>
      </c>
      <c r="O416" s="446" t="n">
        <v>468</v>
      </c>
      <c r="P416" s="446" t="n">
        <v>1000</v>
      </c>
      <c r="Q416" s="157" t="n">
        <v>12</v>
      </c>
      <c r="R416" s="157" t="n">
        <v>1</v>
      </c>
      <c r="S416" s="157" t="n">
        <v>1</v>
      </c>
      <c r="T416" s="457" t="s">
        <v>7881</v>
      </c>
      <c r="U416" s="457" t="n">
        <v>398</v>
      </c>
      <c r="V416" s="458" t="n">
        <v>6237</v>
      </c>
      <c r="W416" s="458" t="n">
        <v>6000</v>
      </c>
      <c r="X416" s="464" t="s">
        <v>7043</v>
      </c>
      <c r="Y416" s="458" t="n">
        <v>6000</v>
      </c>
      <c r="Z416" s="457" t="s">
        <v>6638</v>
      </c>
      <c r="AC416" s="431"/>
      <c r="AD416" s="437"/>
      <c r="AE416" s="167"/>
      <c r="AF416" s="167"/>
      <c r="AG416" s="167"/>
      <c r="AH416" s="167"/>
      <c r="AI416" s="167"/>
      <c r="AJ416" s="167"/>
      <c r="AK416" s="465"/>
      <c r="AM416" s="157"/>
    </row>
    <row r="417" customFormat="false" ht="12.75" hidden="false" customHeight="true" outlineLevel="0" collapsed="false">
      <c r="A417" s="441" t="n">
        <v>7</v>
      </c>
      <c r="B417" s="157" t="n">
        <v>410</v>
      </c>
      <c r="C417" s="437" t="s">
        <v>7523</v>
      </c>
      <c r="D417" s="157" t="s">
        <v>7882</v>
      </c>
      <c r="E417" s="461" t="s">
        <v>2461</v>
      </c>
      <c r="F417" s="157" t="s">
        <v>7883</v>
      </c>
      <c r="G417" s="431" t="n">
        <v>44.1</v>
      </c>
      <c r="H417" s="431" t="n">
        <v>9208</v>
      </c>
      <c r="I417" s="457" t="n">
        <v>0</v>
      </c>
      <c r="J417" s="458" t="n">
        <v>8142</v>
      </c>
      <c r="K417" s="462" t="n">
        <v>11.0537951363301</v>
      </c>
      <c r="L417" s="463" t="n">
        <v>0</v>
      </c>
      <c r="M417" s="463" t="n">
        <v>0.0277777777777778</v>
      </c>
      <c r="N417" s="431" t="n">
        <v>1966</v>
      </c>
      <c r="O417" s="446" t="n">
        <v>0</v>
      </c>
      <c r="P417" s="446" t="n">
        <v>6090</v>
      </c>
      <c r="Q417" s="157" t="n">
        <v>14</v>
      </c>
      <c r="R417" s="157" t="n">
        <v>3</v>
      </c>
      <c r="S417" s="157" t="n">
        <v>1</v>
      </c>
      <c r="T417" s="457" t="s">
        <v>7884</v>
      </c>
      <c r="U417" s="457" t="n">
        <v>398</v>
      </c>
      <c r="V417" s="458" t="n">
        <v>9375</v>
      </c>
      <c r="W417" s="458" t="n">
        <v>9000</v>
      </c>
      <c r="X417" s="464" t="s">
        <v>6900</v>
      </c>
      <c r="Y417" s="458" t="n">
        <v>8000</v>
      </c>
      <c r="Z417" s="457" t="s">
        <v>6638</v>
      </c>
      <c r="AC417" s="431"/>
      <c r="AD417" s="437"/>
      <c r="AE417" s="167"/>
      <c r="AF417" s="167"/>
      <c r="AG417" s="167"/>
      <c r="AH417" s="167"/>
      <c r="AI417" s="167"/>
      <c r="AJ417" s="167"/>
      <c r="AK417" s="465"/>
      <c r="AM417" s="157"/>
    </row>
    <row r="418" customFormat="false" ht="12.75" hidden="false" customHeight="true" outlineLevel="0" collapsed="false">
      <c r="A418" s="441" t="n">
        <v>7</v>
      </c>
      <c r="B418" s="157" t="n">
        <v>411</v>
      </c>
      <c r="C418" s="437" t="s">
        <v>7523</v>
      </c>
      <c r="D418" s="157" t="s">
        <v>7885</v>
      </c>
      <c r="E418" s="461" t="s">
        <v>2461</v>
      </c>
      <c r="F418" s="157" t="s">
        <v>7886</v>
      </c>
      <c r="G418" s="431" t="n">
        <v>44.1</v>
      </c>
      <c r="H418" s="431" t="n">
        <v>9208</v>
      </c>
      <c r="I418" s="457" t="n">
        <v>0</v>
      </c>
      <c r="J418" s="458" t="n">
        <v>1800</v>
      </c>
      <c r="K418" s="462" t="n">
        <v>5.33333333333333</v>
      </c>
      <c r="L418" s="463" t="n">
        <v>0</v>
      </c>
      <c r="M418" s="463" t="n">
        <v>0</v>
      </c>
      <c r="N418" s="431" t="n">
        <v>1972</v>
      </c>
      <c r="O418" s="446" t="n">
        <v>2148</v>
      </c>
      <c r="Q418" s="157" t="n">
        <v>12</v>
      </c>
      <c r="R418" s="157" t="n">
        <v>7</v>
      </c>
      <c r="S418" s="157" t="n">
        <v>1</v>
      </c>
      <c r="T418" s="457" t="s">
        <v>7884</v>
      </c>
      <c r="U418" s="457" t="n">
        <v>398</v>
      </c>
      <c r="V418" s="458" t="n">
        <v>18075</v>
      </c>
      <c r="W418" s="458" t="n">
        <v>18000</v>
      </c>
      <c r="X418" s="464" t="s">
        <v>6954</v>
      </c>
      <c r="Y418" s="458" t="n">
        <v>2000</v>
      </c>
      <c r="Z418" s="457" t="s">
        <v>6638</v>
      </c>
      <c r="AC418" s="431"/>
      <c r="AD418" s="437"/>
      <c r="AE418" s="167"/>
      <c r="AF418" s="167"/>
      <c r="AG418" s="167"/>
      <c r="AH418" s="167"/>
      <c r="AI418" s="167"/>
      <c r="AJ418" s="167"/>
      <c r="AK418" s="465" t="s">
        <v>7887</v>
      </c>
      <c r="AM418" s="157"/>
    </row>
    <row r="419" customFormat="false" ht="12.75" hidden="false" customHeight="true" outlineLevel="0" collapsed="false">
      <c r="A419" s="441" t="n">
        <v>7</v>
      </c>
      <c r="B419" s="157" t="n">
        <v>412</v>
      </c>
      <c r="C419" s="437" t="s">
        <v>7523</v>
      </c>
      <c r="D419" s="157" t="s">
        <v>7888</v>
      </c>
      <c r="E419" s="461" t="s">
        <v>2461</v>
      </c>
      <c r="F419" s="157" t="s">
        <v>7889</v>
      </c>
      <c r="G419" s="431" t="n">
        <v>44.1</v>
      </c>
      <c r="H419" s="431" t="n">
        <v>9202</v>
      </c>
      <c r="I419" s="457" t="n">
        <v>4</v>
      </c>
      <c r="J419" s="458" t="n">
        <v>1495</v>
      </c>
      <c r="K419" s="462" t="n">
        <v>24.0802675585284</v>
      </c>
      <c r="L419" s="463" t="n">
        <v>0</v>
      </c>
      <c r="M419" s="463" t="n">
        <v>0</v>
      </c>
      <c r="N419" s="431" t="n">
        <v>1955</v>
      </c>
      <c r="O419" s="446" t="n">
        <v>120</v>
      </c>
      <c r="Q419" s="157" t="n">
        <v>13</v>
      </c>
      <c r="R419" s="157" t="n">
        <v>1</v>
      </c>
      <c r="S419" s="157" t="n">
        <v>1</v>
      </c>
      <c r="T419" s="457" t="s">
        <v>7890</v>
      </c>
      <c r="U419" s="457" t="n">
        <v>398</v>
      </c>
      <c r="V419" s="458" t="n">
        <v>6290</v>
      </c>
      <c r="W419" s="458" t="n">
        <v>6000</v>
      </c>
      <c r="X419" s="464" t="s">
        <v>7654</v>
      </c>
      <c r="Y419" s="458" t="n">
        <v>1000</v>
      </c>
      <c r="Z419" s="457" t="s">
        <v>6638</v>
      </c>
      <c r="AC419" s="431"/>
      <c r="AD419" s="437" t="s">
        <v>7891</v>
      </c>
      <c r="AE419" s="167"/>
      <c r="AF419" s="167"/>
      <c r="AG419" s="167"/>
      <c r="AH419" s="167"/>
      <c r="AI419" s="167"/>
      <c r="AJ419" s="167"/>
      <c r="AK419" s="465" t="s">
        <v>7892</v>
      </c>
      <c r="AM419" s="157"/>
    </row>
    <row r="420" customFormat="false" ht="12.75" hidden="false" customHeight="true" outlineLevel="0" collapsed="false">
      <c r="A420" s="441" t="n">
        <v>7</v>
      </c>
      <c r="B420" s="157" t="n">
        <v>413</v>
      </c>
      <c r="C420" s="437" t="s">
        <v>7523</v>
      </c>
      <c r="D420" s="157" t="s">
        <v>7893</v>
      </c>
      <c r="E420" s="461" t="s">
        <v>2461</v>
      </c>
      <c r="F420" s="157" t="s">
        <v>7894</v>
      </c>
      <c r="G420" s="445" t="n">
        <v>47.2</v>
      </c>
      <c r="H420" s="431" t="n">
        <v>9202</v>
      </c>
      <c r="I420" s="457" t="n">
        <v>7</v>
      </c>
      <c r="J420" s="458" t="n">
        <v>5000</v>
      </c>
      <c r="K420" s="462" t="n">
        <v>8.88</v>
      </c>
      <c r="L420" s="463" t="n">
        <v>0</v>
      </c>
      <c r="M420" s="463" t="n">
        <v>0.027027027027027</v>
      </c>
      <c r="N420" s="431" t="n">
        <v>1957</v>
      </c>
      <c r="O420" s="446" t="n">
        <v>641</v>
      </c>
      <c r="Q420" s="157" t="n">
        <v>13</v>
      </c>
      <c r="R420" s="157" t="n">
        <v>3</v>
      </c>
      <c r="S420" s="157" t="n">
        <v>1</v>
      </c>
      <c r="T420" s="457" t="s">
        <v>7895</v>
      </c>
      <c r="U420" s="457" t="n">
        <v>401</v>
      </c>
      <c r="V420" s="458" t="n">
        <v>6270</v>
      </c>
      <c r="W420" s="458" t="n">
        <v>6000</v>
      </c>
      <c r="X420" s="464" t="s">
        <v>7103</v>
      </c>
      <c r="Y420" s="458" t="n">
        <v>5000</v>
      </c>
      <c r="Z420" s="457" t="s">
        <v>6638</v>
      </c>
      <c r="AC420" s="431"/>
      <c r="AD420" s="437" t="s">
        <v>7896</v>
      </c>
      <c r="AE420" s="167"/>
      <c r="AF420" s="167"/>
      <c r="AG420" s="167"/>
      <c r="AH420" s="167"/>
      <c r="AI420" s="167"/>
      <c r="AJ420" s="167"/>
      <c r="AK420" s="465" t="s">
        <v>7527</v>
      </c>
      <c r="AM420" s="157"/>
    </row>
    <row r="421" customFormat="false" ht="12.75" hidden="false" customHeight="true" outlineLevel="0" collapsed="false">
      <c r="A421" s="441" t="n">
        <v>7</v>
      </c>
      <c r="B421" s="157" t="n">
        <v>414</v>
      </c>
      <c r="C421" s="437" t="s">
        <v>7523</v>
      </c>
      <c r="D421" s="157" t="s">
        <v>7897</v>
      </c>
      <c r="E421" s="461" t="s">
        <v>2461</v>
      </c>
      <c r="F421" s="157" t="s">
        <v>7898</v>
      </c>
      <c r="G421" s="431" t="n">
        <v>44.1</v>
      </c>
      <c r="H421" s="431" t="n">
        <v>9202</v>
      </c>
      <c r="I421" s="457" t="n">
        <v>7</v>
      </c>
      <c r="J421" s="458" t="n">
        <v>1300</v>
      </c>
      <c r="K421" s="462" t="n">
        <v>23.0769230769231</v>
      </c>
      <c r="L421" s="463" t="n">
        <v>0</v>
      </c>
      <c r="M421" s="463" t="n">
        <v>0.03</v>
      </c>
      <c r="N421" s="431" t="n">
        <v>1937</v>
      </c>
      <c r="O421" s="446" t="n">
        <v>0</v>
      </c>
      <c r="Q421" s="157" t="n">
        <v>12</v>
      </c>
      <c r="R421" s="157" t="n">
        <v>3</v>
      </c>
      <c r="S421" s="157" t="n">
        <v>1</v>
      </c>
      <c r="T421" s="457" t="s">
        <v>7895</v>
      </c>
      <c r="U421" s="457" t="n">
        <v>398</v>
      </c>
      <c r="V421" s="458" t="n">
        <v>6260</v>
      </c>
      <c r="W421" s="458" t="n">
        <v>6000</v>
      </c>
      <c r="X421" s="464" t="s">
        <v>6751</v>
      </c>
      <c r="Y421" s="458" t="n">
        <v>1000</v>
      </c>
      <c r="Z421" s="457" t="s">
        <v>6638</v>
      </c>
      <c r="AC421" s="431"/>
      <c r="AD421" s="437" t="s">
        <v>6676</v>
      </c>
      <c r="AE421" s="167"/>
      <c r="AF421" s="167"/>
      <c r="AG421" s="167"/>
      <c r="AH421" s="167"/>
      <c r="AI421" s="167"/>
      <c r="AJ421" s="167"/>
      <c r="AK421" s="465" t="s">
        <v>6697</v>
      </c>
      <c r="AM421" s="157"/>
    </row>
    <row r="422" customFormat="false" ht="25.5" hidden="false" customHeight="true" outlineLevel="0" collapsed="false">
      <c r="A422" s="441" t="n">
        <v>7</v>
      </c>
      <c r="B422" s="157" t="n">
        <v>415</v>
      </c>
      <c r="C422" s="437" t="s">
        <v>7523</v>
      </c>
      <c r="D422" s="157" t="s">
        <v>7899</v>
      </c>
      <c r="E422" s="461" t="s">
        <v>2461</v>
      </c>
      <c r="F422" s="157" t="s">
        <v>7900</v>
      </c>
      <c r="G422" s="445" t="n">
        <v>44.2</v>
      </c>
      <c r="H422" s="431" t="n">
        <v>9503</v>
      </c>
      <c r="I422" s="457" t="n">
        <v>6</v>
      </c>
      <c r="J422" s="458" t="n">
        <v>1500</v>
      </c>
      <c r="K422" s="462" t="n">
        <v>12</v>
      </c>
      <c r="L422" s="463" t="n">
        <v>0</v>
      </c>
      <c r="M422" s="463" t="n">
        <v>0</v>
      </c>
      <c r="N422" s="431" t="n">
        <v>1947</v>
      </c>
      <c r="O422" s="446" t="n">
        <v>0</v>
      </c>
      <c r="Q422" s="157" t="n">
        <v>13</v>
      </c>
      <c r="R422" s="157" t="n">
        <v>3</v>
      </c>
      <c r="S422" s="157" t="n">
        <v>1</v>
      </c>
      <c r="T422" s="457" t="s">
        <v>7901</v>
      </c>
      <c r="U422" s="457" t="n">
        <v>398</v>
      </c>
      <c r="V422" s="458" t="n">
        <v>10315</v>
      </c>
      <c r="W422" s="458" t="n">
        <v>10000</v>
      </c>
      <c r="X422" s="464" t="s">
        <v>7103</v>
      </c>
      <c r="Y422" s="458" t="n">
        <v>2000</v>
      </c>
      <c r="Z422" s="457" t="s">
        <v>6638</v>
      </c>
      <c r="AC422" s="431"/>
      <c r="AD422" s="437"/>
      <c r="AE422" s="167"/>
      <c r="AF422" s="167"/>
      <c r="AG422" s="167"/>
      <c r="AH422" s="167"/>
      <c r="AI422" s="167"/>
      <c r="AJ422" s="167"/>
      <c r="AK422" s="465" t="s">
        <v>7902</v>
      </c>
      <c r="AM422" s="157"/>
    </row>
    <row r="423" customFormat="false" ht="12.75" hidden="false" customHeight="true" outlineLevel="0" collapsed="false">
      <c r="A423" s="441" t="n">
        <v>7</v>
      </c>
      <c r="B423" s="157" t="n">
        <v>416</v>
      </c>
      <c r="C423" s="437" t="s">
        <v>7523</v>
      </c>
      <c r="D423" s="157" t="s">
        <v>7903</v>
      </c>
      <c r="E423" s="461" t="s">
        <v>2461</v>
      </c>
      <c r="F423" s="157" t="s">
        <v>7904</v>
      </c>
      <c r="G423" s="445" t="n">
        <v>44.2</v>
      </c>
      <c r="H423" s="431" t="n">
        <v>9505</v>
      </c>
      <c r="I423" s="457" t="n">
        <v>0</v>
      </c>
      <c r="J423" s="458" t="n">
        <v>8389</v>
      </c>
      <c r="K423" s="462" t="n">
        <v>11.6581237334605</v>
      </c>
      <c r="L423" s="463" t="n">
        <v>0.27</v>
      </c>
      <c r="M423" s="463" t="n">
        <v>0.14821063394683</v>
      </c>
      <c r="N423" s="431" t="n">
        <v>1957</v>
      </c>
      <c r="O423" s="446" t="n">
        <v>1206</v>
      </c>
      <c r="Q423" s="157" t="n">
        <v>12</v>
      </c>
      <c r="R423" s="157" t="n">
        <v>3</v>
      </c>
      <c r="S423" s="157" t="n">
        <v>1</v>
      </c>
      <c r="T423" s="457" t="s">
        <v>7789</v>
      </c>
      <c r="U423" s="457" t="n">
        <v>398</v>
      </c>
      <c r="V423" s="458" t="n">
        <v>10500</v>
      </c>
      <c r="W423" s="458" t="n">
        <v>11000</v>
      </c>
      <c r="X423" s="464" t="s">
        <v>7103</v>
      </c>
      <c r="Y423" s="458" t="n">
        <v>8000</v>
      </c>
      <c r="Z423" s="457" t="s">
        <v>6638</v>
      </c>
      <c r="AC423" s="431"/>
      <c r="AD423" s="437" t="s">
        <v>7905</v>
      </c>
      <c r="AE423" s="167"/>
      <c r="AF423" s="167"/>
      <c r="AG423" s="167"/>
      <c r="AH423" s="167"/>
      <c r="AI423" s="167"/>
      <c r="AJ423" s="167"/>
      <c r="AK423" s="465"/>
      <c r="AM423" s="157"/>
    </row>
    <row r="424" customFormat="false" ht="12.75" hidden="false" customHeight="true" outlineLevel="0" collapsed="false">
      <c r="A424" s="441" t="n">
        <v>7</v>
      </c>
      <c r="B424" s="157" t="n">
        <v>417</v>
      </c>
      <c r="C424" s="437" t="s">
        <v>7523</v>
      </c>
      <c r="D424" s="157" t="s">
        <v>7906</v>
      </c>
      <c r="E424" s="461" t="s">
        <v>2461</v>
      </c>
      <c r="F424" s="157" t="s">
        <v>7907</v>
      </c>
      <c r="G424" s="431" t="n">
        <v>44.1</v>
      </c>
      <c r="H424" s="431" t="n">
        <v>9502</v>
      </c>
      <c r="I424" s="457" t="n">
        <v>0</v>
      </c>
      <c r="J424" s="458" t="n">
        <v>20217</v>
      </c>
      <c r="K424" s="462" t="n">
        <v>9.89998516100312</v>
      </c>
      <c r="L424" s="463" t="n">
        <v>0</v>
      </c>
      <c r="M424" s="463" t="n">
        <v>0</v>
      </c>
      <c r="N424" s="431" t="n">
        <v>1973</v>
      </c>
      <c r="O424" s="446" t="n">
        <v>2325</v>
      </c>
      <c r="Q424" s="157" t="n">
        <v>20</v>
      </c>
      <c r="R424" s="157" t="n">
        <v>1</v>
      </c>
      <c r="S424" s="157" t="n">
        <v>1</v>
      </c>
      <c r="T424" s="457" t="s">
        <v>7881</v>
      </c>
      <c r="U424" s="457" t="n">
        <v>398</v>
      </c>
      <c r="V424" s="458" t="n">
        <v>37564</v>
      </c>
      <c r="W424" s="458" t="n">
        <v>38000</v>
      </c>
      <c r="X424" s="464" t="s">
        <v>6675</v>
      </c>
      <c r="Y424" s="458" t="n">
        <v>20000</v>
      </c>
      <c r="Z424" s="457" t="s">
        <v>6638</v>
      </c>
      <c r="AC424" s="431"/>
      <c r="AD424" s="437"/>
      <c r="AE424" s="167"/>
      <c r="AF424" s="167"/>
      <c r="AG424" s="167"/>
      <c r="AH424" s="167"/>
      <c r="AI424" s="167"/>
      <c r="AJ424" s="167"/>
      <c r="AK424" s="465" t="s">
        <v>7527</v>
      </c>
      <c r="AM424" s="157"/>
    </row>
    <row r="425" customFormat="false" ht="12.75" hidden="false" customHeight="true" outlineLevel="0" collapsed="false">
      <c r="A425" s="441" t="n">
        <v>7</v>
      </c>
      <c r="B425" s="157" t="n">
        <v>418</v>
      </c>
      <c r="C425" s="437" t="s">
        <v>7523</v>
      </c>
      <c r="D425" s="157" t="s">
        <v>7178</v>
      </c>
      <c r="E425" s="461" t="s">
        <v>2461</v>
      </c>
      <c r="F425" s="157" t="s">
        <v>7908</v>
      </c>
      <c r="G425" s="431" t="n">
        <v>44.1</v>
      </c>
      <c r="H425" s="431" t="n">
        <v>9505</v>
      </c>
      <c r="I425" s="457" t="n">
        <v>0</v>
      </c>
      <c r="J425" s="458" t="n">
        <v>10600</v>
      </c>
      <c r="K425" s="462" t="n">
        <v>8.49056603773585</v>
      </c>
      <c r="L425" s="463" t="n">
        <v>0</v>
      </c>
      <c r="M425" s="463" t="n">
        <v>0</v>
      </c>
      <c r="N425" s="431" t="n">
        <v>1966</v>
      </c>
      <c r="O425" s="446" t="n">
        <v>3480</v>
      </c>
      <c r="Q425" s="157" t="n">
        <v>13</v>
      </c>
      <c r="R425" s="157" t="n">
        <v>8</v>
      </c>
      <c r="S425" s="157" t="n">
        <v>1</v>
      </c>
      <c r="T425" s="457" t="s">
        <v>7526</v>
      </c>
      <c r="U425" s="457" t="n">
        <v>397</v>
      </c>
      <c r="V425" s="458" t="n">
        <v>25019</v>
      </c>
      <c r="W425" s="458" t="n">
        <v>25000</v>
      </c>
      <c r="X425" s="464" t="s">
        <v>6650</v>
      </c>
      <c r="Y425" s="458" t="n">
        <v>11000</v>
      </c>
      <c r="Z425" s="457" t="s">
        <v>6638</v>
      </c>
      <c r="AC425" s="431"/>
      <c r="AD425" s="437" t="s">
        <v>7181</v>
      </c>
      <c r="AE425" s="167"/>
      <c r="AF425" s="167"/>
      <c r="AG425" s="167"/>
      <c r="AH425" s="167"/>
      <c r="AI425" s="167"/>
      <c r="AJ425" s="167"/>
      <c r="AK425" s="465"/>
      <c r="AM425" s="157"/>
    </row>
    <row r="426" customFormat="false" ht="12.75" hidden="false" customHeight="true" outlineLevel="0" collapsed="false">
      <c r="A426" s="441" t="n">
        <v>7</v>
      </c>
      <c r="B426" s="157" t="n">
        <v>419</v>
      </c>
      <c r="C426" s="437" t="s">
        <v>7523</v>
      </c>
      <c r="D426" s="157" t="s">
        <v>7909</v>
      </c>
      <c r="E426" s="461" t="s">
        <v>2461</v>
      </c>
      <c r="F426" s="157" t="s">
        <v>7910</v>
      </c>
      <c r="G426" s="431" t="n">
        <v>44.1</v>
      </c>
      <c r="H426" s="431" t="n">
        <v>9505</v>
      </c>
      <c r="I426" s="457" t="n">
        <v>3</v>
      </c>
      <c r="J426" s="458" t="n">
        <v>25080</v>
      </c>
      <c r="K426" s="462" t="n">
        <v>4.78468899521531</v>
      </c>
      <c r="L426" s="463" t="n">
        <v>0</v>
      </c>
      <c r="M426" s="463" t="n">
        <v>0</v>
      </c>
      <c r="N426" s="431" t="n">
        <v>1976</v>
      </c>
      <c r="O426" s="446" t="n">
        <v>0</v>
      </c>
      <c r="Q426" s="157" t="n">
        <v>13</v>
      </c>
      <c r="R426" s="157" t="n">
        <v>4</v>
      </c>
      <c r="S426" s="157" t="n">
        <v>1</v>
      </c>
      <c r="T426" s="457" t="s">
        <v>7890</v>
      </c>
      <c r="U426" s="457" t="n">
        <v>398</v>
      </c>
      <c r="V426" s="458" t="n">
        <v>32900</v>
      </c>
      <c r="W426" s="458" t="n">
        <v>33000</v>
      </c>
      <c r="X426" s="464" t="s">
        <v>7103</v>
      </c>
      <c r="Y426" s="458" t="n">
        <v>25000</v>
      </c>
      <c r="Z426" s="457" t="s">
        <v>6638</v>
      </c>
      <c r="AC426" s="431"/>
      <c r="AD426" s="437" t="s">
        <v>7911</v>
      </c>
      <c r="AE426" s="167"/>
      <c r="AF426" s="167"/>
      <c r="AG426" s="167"/>
      <c r="AH426" s="167"/>
      <c r="AI426" s="167"/>
      <c r="AJ426" s="167"/>
      <c r="AK426" s="465" t="s">
        <v>7635</v>
      </c>
      <c r="AM426" s="157"/>
    </row>
    <row r="427" customFormat="false" ht="12.75" hidden="false" customHeight="true" outlineLevel="0" collapsed="false">
      <c r="A427" s="441" t="n">
        <v>7</v>
      </c>
      <c r="B427" s="157" t="n">
        <v>420</v>
      </c>
      <c r="C427" s="437" t="s">
        <v>7523</v>
      </c>
      <c r="D427" s="157" t="s">
        <v>7182</v>
      </c>
      <c r="E427" s="461" t="s">
        <v>2461</v>
      </c>
      <c r="F427" s="157" t="s">
        <v>7912</v>
      </c>
      <c r="G427" s="431" t="n">
        <v>44.1</v>
      </c>
      <c r="H427" s="431" t="n">
        <v>9505</v>
      </c>
      <c r="I427" s="457" t="n">
        <v>0</v>
      </c>
      <c r="J427" s="458" t="n">
        <v>3300</v>
      </c>
      <c r="K427" s="462" t="n">
        <v>5.45454545454545</v>
      </c>
      <c r="L427" s="463" t="n">
        <v>0</v>
      </c>
      <c r="M427" s="463" t="n">
        <v>0.192888888888889</v>
      </c>
      <c r="N427" s="431" t="n">
        <v>1953</v>
      </c>
      <c r="O427" s="446" t="n">
        <v>325</v>
      </c>
      <c r="Q427" s="157" t="n">
        <v>13</v>
      </c>
      <c r="R427" s="157" t="n">
        <v>6</v>
      </c>
      <c r="S427" s="157" t="n">
        <v>1</v>
      </c>
      <c r="T427" s="457" t="s">
        <v>7531</v>
      </c>
      <c r="U427" s="457" t="n">
        <v>398</v>
      </c>
      <c r="V427" s="458" t="n">
        <v>25929</v>
      </c>
      <c r="W427" s="458" t="n">
        <v>26000</v>
      </c>
      <c r="X427" s="464" t="s">
        <v>7184</v>
      </c>
      <c r="Y427" s="458" t="n">
        <v>3000</v>
      </c>
      <c r="Z427" s="457" t="s">
        <v>6638</v>
      </c>
      <c r="AC427" s="431"/>
      <c r="AD427" s="437"/>
      <c r="AE427" s="167"/>
      <c r="AF427" s="167"/>
      <c r="AG427" s="167"/>
      <c r="AH427" s="167"/>
      <c r="AI427" s="167"/>
      <c r="AJ427" s="167"/>
      <c r="AK427" s="465"/>
      <c r="AM427" s="157"/>
    </row>
    <row r="428" customFormat="false" ht="25.5" hidden="false" customHeight="true" outlineLevel="0" collapsed="false">
      <c r="A428" s="441" t="n">
        <v>7</v>
      </c>
      <c r="B428" s="157" t="n">
        <v>421</v>
      </c>
      <c r="C428" s="437" t="s">
        <v>7523</v>
      </c>
      <c r="D428" s="157" t="s">
        <v>7913</v>
      </c>
      <c r="E428" s="461" t="s">
        <v>2461</v>
      </c>
      <c r="F428" s="157" t="s">
        <v>7914</v>
      </c>
      <c r="G428" s="445" t="n">
        <v>47.1</v>
      </c>
      <c r="H428" s="431" t="n">
        <v>9505</v>
      </c>
      <c r="I428" s="457" t="n">
        <v>0</v>
      </c>
      <c r="J428" s="458" t="n">
        <v>4848</v>
      </c>
      <c r="K428" s="462" t="n">
        <v>9.9009900990099</v>
      </c>
      <c r="L428" s="463" t="n">
        <v>0</v>
      </c>
      <c r="M428" s="463" t="n">
        <v>0</v>
      </c>
      <c r="N428" s="431" t="n">
        <v>1960</v>
      </c>
      <c r="O428" s="446" t="n">
        <v>1596</v>
      </c>
      <c r="Q428" s="157" t="n">
        <v>15</v>
      </c>
      <c r="R428" s="157" t="n">
        <v>3</v>
      </c>
      <c r="S428" s="157" t="n">
        <v>1</v>
      </c>
      <c r="T428" s="457" t="s">
        <v>7884</v>
      </c>
      <c r="U428" s="457" t="n">
        <v>401</v>
      </c>
      <c r="V428" s="458" t="n">
        <v>9940</v>
      </c>
      <c r="W428" s="458" t="n">
        <v>10000</v>
      </c>
      <c r="X428" s="464" t="s">
        <v>6754</v>
      </c>
      <c r="Y428" s="458" t="n">
        <v>5000</v>
      </c>
      <c r="Z428" s="457" t="s">
        <v>6638</v>
      </c>
      <c r="AC428" s="431"/>
      <c r="AD428" s="437" t="s">
        <v>7915</v>
      </c>
      <c r="AE428" s="167"/>
      <c r="AF428" s="167"/>
      <c r="AG428" s="167"/>
      <c r="AH428" s="167"/>
      <c r="AI428" s="167"/>
      <c r="AJ428" s="167"/>
      <c r="AK428" s="465" t="s">
        <v>7916</v>
      </c>
      <c r="AM428" s="157"/>
    </row>
    <row r="429" customFormat="false" ht="12.75" hidden="false" customHeight="true" outlineLevel="0" collapsed="false">
      <c r="A429" s="441" t="n">
        <v>7</v>
      </c>
      <c r="B429" s="157" t="n">
        <v>422</v>
      </c>
      <c r="C429" s="437" t="s">
        <v>7523</v>
      </c>
      <c r="D429" s="157" t="s">
        <v>7187</v>
      </c>
      <c r="E429" s="461" t="s">
        <v>2461</v>
      </c>
      <c r="F429" s="157" t="s">
        <v>7917</v>
      </c>
      <c r="G429" s="445" t="n">
        <v>44.2</v>
      </c>
      <c r="H429" s="431" t="n">
        <v>9505</v>
      </c>
      <c r="I429" s="457" t="n">
        <v>0</v>
      </c>
      <c r="J429" s="458" t="n">
        <v>32231</v>
      </c>
      <c r="K429" s="462" t="n">
        <v>5.45288697216965</v>
      </c>
      <c r="L429" s="463" t="n">
        <v>0</v>
      </c>
      <c r="M429" s="463" t="n">
        <v>0.0524830442896809</v>
      </c>
      <c r="N429" s="431" t="n">
        <v>1972</v>
      </c>
      <c r="O429" s="446" t="n">
        <v>5413</v>
      </c>
      <c r="Q429" s="157" t="n">
        <v>24</v>
      </c>
      <c r="R429" s="157" t="n">
        <v>14</v>
      </c>
      <c r="S429" s="157" t="n">
        <v>3</v>
      </c>
      <c r="T429" s="457" t="s">
        <v>7531</v>
      </c>
      <c r="U429" s="457" t="n">
        <v>398</v>
      </c>
      <c r="V429" s="458" t="n">
        <v>53550</v>
      </c>
      <c r="W429" s="458" t="n">
        <v>54000</v>
      </c>
      <c r="X429" s="464" t="s">
        <v>6954</v>
      </c>
      <c r="Y429" s="458" t="n">
        <v>32000</v>
      </c>
      <c r="Z429" s="457" t="s">
        <v>6638</v>
      </c>
      <c r="AC429" s="431"/>
      <c r="AD429" s="437"/>
      <c r="AE429" s="167"/>
      <c r="AF429" s="167"/>
      <c r="AG429" s="167"/>
      <c r="AH429" s="167"/>
      <c r="AI429" s="167"/>
      <c r="AJ429" s="167"/>
      <c r="AK429" s="465" t="s">
        <v>6697</v>
      </c>
      <c r="AM429" s="157"/>
    </row>
    <row r="430" customFormat="false" ht="25.5" hidden="false" customHeight="true" outlineLevel="0" collapsed="false">
      <c r="A430" s="441" t="n">
        <v>7</v>
      </c>
      <c r="B430" s="157" t="n">
        <v>423</v>
      </c>
      <c r="C430" s="437" t="s">
        <v>7523</v>
      </c>
      <c r="D430" s="157" t="s">
        <v>7193</v>
      </c>
      <c r="E430" s="461" t="s">
        <v>2461</v>
      </c>
      <c r="F430" s="157" t="s">
        <v>7918</v>
      </c>
      <c r="G430" s="445" t="n">
        <v>47.1</v>
      </c>
      <c r="H430" s="431" t="n">
        <v>9505</v>
      </c>
      <c r="I430" s="457" t="n">
        <v>0</v>
      </c>
      <c r="J430" s="458" t="n">
        <v>5328</v>
      </c>
      <c r="K430" s="462" t="n">
        <v>3.37837837837838</v>
      </c>
      <c r="L430" s="463" t="n">
        <v>0</v>
      </c>
      <c r="M430" s="463" t="n">
        <v>0</v>
      </c>
      <c r="N430" s="431" t="n">
        <v>1952</v>
      </c>
      <c r="O430" s="446" t="n">
        <v>0</v>
      </c>
      <c r="Q430" s="157" t="n">
        <v>12</v>
      </c>
      <c r="R430" s="157" t="n">
        <v>1</v>
      </c>
      <c r="S430" s="157" t="n">
        <v>1</v>
      </c>
      <c r="T430" s="457" t="s">
        <v>7531</v>
      </c>
      <c r="U430" s="457" t="n">
        <v>401</v>
      </c>
      <c r="V430" s="458" t="n">
        <v>10845</v>
      </c>
      <c r="W430" s="458" t="n">
        <v>11000</v>
      </c>
      <c r="X430" s="464" t="s">
        <v>7546</v>
      </c>
      <c r="Y430" s="458" t="n">
        <v>5000</v>
      </c>
      <c r="Z430" s="457" t="s">
        <v>6638</v>
      </c>
      <c r="AC430" s="431"/>
      <c r="AD430" s="437"/>
      <c r="AE430" s="167"/>
      <c r="AF430" s="167"/>
      <c r="AG430" s="167"/>
      <c r="AH430" s="167"/>
      <c r="AI430" s="167"/>
      <c r="AJ430" s="167"/>
      <c r="AK430" s="465" t="s">
        <v>7919</v>
      </c>
      <c r="AM430" s="157"/>
    </row>
    <row r="431" customFormat="false" ht="12.75" hidden="false" customHeight="true" outlineLevel="0" collapsed="false">
      <c r="A431" s="441" t="n">
        <v>7</v>
      </c>
      <c r="B431" s="157" t="n">
        <v>424</v>
      </c>
      <c r="C431" s="437" t="s">
        <v>7523</v>
      </c>
      <c r="D431" s="157" t="s">
        <v>7920</v>
      </c>
      <c r="E431" s="461" t="s">
        <v>2461</v>
      </c>
      <c r="F431" s="157" t="s">
        <v>7921</v>
      </c>
      <c r="G431" s="431" t="n">
        <v>44.1</v>
      </c>
      <c r="H431" s="431" t="n">
        <v>9505</v>
      </c>
      <c r="I431" s="457" t="n">
        <v>0</v>
      </c>
      <c r="J431" s="458" t="n">
        <v>7350</v>
      </c>
      <c r="K431" s="462" t="n">
        <v>11.4285714285714</v>
      </c>
      <c r="L431" s="463" t="n">
        <v>0</v>
      </c>
      <c r="M431" s="463" t="n">
        <v>0</v>
      </c>
      <c r="N431" s="431" t="n">
        <v>1973</v>
      </c>
      <c r="O431" s="446" t="n">
        <v>1898</v>
      </c>
      <c r="Q431" s="157" t="n">
        <v>20</v>
      </c>
      <c r="R431" s="157" t="n">
        <v>3</v>
      </c>
      <c r="S431" s="157" t="n">
        <v>1</v>
      </c>
      <c r="T431" s="457" t="s">
        <v>7531</v>
      </c>
      <c r="U431" s="457" t="n">
        <v>398</v>
      </c>
      <c r="V431" s="458" t="n">
        <v>12000</v>
      </c>
      <c r="W431" s="458" t="n">
        <v>12000</v>
      </c>
      <c r="X431" s="464" t="s">
        <v>6668</v>
      </c>
      <c r="Y431" s="458" t="n">
        <v>7000</v>
      </c>
      <c r="Z431" s="457" t="s">
        <v>6638</v>
      </c>
      <c r="AC431" s="431"/>
      <c r="AD431" s="437"/>
      <c r="AE431" s="167"/>
      <c r="AF431" s="167"/>
      <c r="AG431" s="167"/>
      <c r="AH431" s="167"/>
      <c r="AI431" s="167"/>
      <c r="AJ431" s="167"/>
      <c r="AK431" s="465"/>
      <c r="AM431" s="157"/>
    </row>
    <row r="432" customFormat="false" ht="12.75" hidden="false" customHeight="true" outlineLevel="0" collapsed="false">
      <c r="A432" s="441" t="n">
        <v>7</v>
      </c>
      <c r="B432" s="157" t="n">
        <v>425</v>
      </c>
      <c r="C432" s="437" t="s">
        <v>7523</v>
      </c>
      <c r="D432" s="157" t="s">
        <v>7200</v>
      </c>
      <c r="E432" s="461" t="s">
        <v>2461</v>
      </c>
      <c r="F432" s="157" t="s">
        <v>7922</v>
      </c>
      <c r="G432" s="431" t="n">
        <v>44.1</v>
      </c>
      <c r="H432" s="431" t="n">
        <v>9505</v>
      </c>
      <c r="I432" s="457" t="n">
        <v>0</v>
      </c>
      <c r="J432" s="458" t="n">
        <v>6035</v>
      </c>
      <c r="K432" s="462" t="n">
        <v>7.95360397680199</v>
      </c>
      <c r="L432" s="463" t="n">
        <v>0</v>
      </c>
      <c r="M432" s="463" t="n">
        <v>0.0835833333333333</v>
      </c>
      <c r="N432" s="431" t="n">
        <v>1963</v>
      </c>
      <c r="O432" s="446" t="n">
        <v>3240</v>
      </c>
      <c r="Q432" s="157" t="n">
        <v>14</v>
      </c>
      <c r="R432" s="157" t="n">
        <v>1</v>
      </c>
      <c r="S432" s="157" t="n">
        <v>2</v>
      </c>
      <c r="T432" s="457" t="s">
        <v>7531</v>
      </c>
      <c r="U432" s="457" t="n">
        <v>398</v>
      </c>
      <c r="V432" s="458" t="n">
        <v>13219</v>
      </c>
      <c r="W432" s="458" t="n">
        <v>13000</v>
      </c>
      <c r="X432" s="464" t="s">
        <v>6700</v>
      </c>
      <c r="Y432" s="458" t="n">
        <v>6000</v>
      </c>
      <c r="Z432" s="457" t="s">
        <v>6638</v>
      </c>
      <c r="AC432" s="431"/>
      <c r="AD432" s="437"/>
      <c r="AE432" s="167"/>
      <c r="AF432" s="167"/>
      <c r="AG432" s="167"/>
      <c r="AH432" s="167"/>
      <c r="AI432" s="167"/>
      <c r="AJ432" s="167"/>
      <c r="AK432" s="465"/>
      <c r="AM432" s="157"/>
    </row>
    <row r="433" customFormat="false" ht="12.75" hidden="false" customHeight="true" outlineLevel="0" collapsed="false">
      <c r="A433" s="441" t="n">
        <v>7</v>
      </c>
      <c r="B433" s="157" t="n">
        <v>426</v>
      </c>
      <c r="C433" s="437" t="s">
        <v>7523</v>
      </c>
      <c r="D433" s="157" t="s">
        <v>7923</v>
      </c>
      <c r="E433" s="461" t="s">
        <v>2461</v>
      </c>
      <c r="F433" s="157" t="s">
        <v>7924</v>
      </c>
      <c r="G433" s="431" t="n">
        <v>44.1</v>
      </c>
      <c r="H433" s="431" t="n">
        <v>9505</v>
      </c>
      <c r="I433" s="457" t="n">
        <v>0</v>
      </c>
      <c r="J433" s="458" t="n">
        <v>6792</v>
      </c>
      <c r="K433" s="462" t="n">
        <v>5.65842167255595</v>
      </c>
      <c r="L433" s="463" t="n">
        <v>0</v>
      </c>
      <c r="M433" s="463" t="n">
        <v>0.0442339716902581</v>
      </c>
      <c r="N433" s="431" t="n">
        <v>1964</v>
      </c>
      <c r="O433" s="446" t="n">
        <v>2199</v>
      </c>
      <c r="Q433" s="157" t="n">
        <v>14</v>
      </c>
      <c r="R433" s="157" t="n">
        <v>1</v>
      </c>
      <c r="S433" s="157" t="n">
        <v>1</v>
      </c>
      <c r="T433" s="457" t="s">
        <v>7531</v>
      </c>
      <c r="U433" s="457" t="n">
        <v>398</v>
      </c>
      <c r="V433" s="458" t="n">
        <v>17819</v>
      </c>
      <c r="W433" s="458" t="n">
        <v>18000</v>
      </c>
      <c r="X433" s="464" t="s">
        <v>6724</v>
      </c>
      <c r="Y433" s="458" t="n">
        <v>7000</v>
      </c>
      <c r="Z433" s="457" t="s">
        <v>6638</v>
      </c>
      <c r="AC433" s="431"/>
      <c r="AD433" s="437" t="s">
        <v>7925</v>
      </c>
      <c r="AE433" s="167"/>
      <c r="AF433" s="167"/>
      <c r="AG433" s="167"/>
      <c r="AH433" s="167"/>
      <c r="AI433" s="167"/>
      <c r="AJ433" s="167"/>
      <c r="AK433" s="465"/>
      <c r="AM433" s="157"/>
    </row>
    <row r="434" customFormat="false" ht="12.75" hidden="false" customHeight="true" outlineLevel="0" collapsed="false">
      <c r="A434" s="441" t="n">
        <v>7</v>
      </c>
      <c r="B434" s="157" t="n">
        <v>427</v>
      </c>
      <c r="C434" s="437" t="s">
        <v>7523</v>
      </c>
      <c r="D434" s="157" t="s">
        <v>7202</v>
      </c>
      <c r="E434" s="461" t="s">
        <v>2461</v>
      </c>
      <c r="F434" s="157" t="s">
        <v>7926</v>
      </c>
      <c r="G434" s="431" t="n">
        <v>44.1</v>
      </c>
      <c r="H434" s="431" t="n">
        <v>9505</v>
      </c>
      <c r="I434" s="457" t="n">
        <v>0</v>
      </c>
      <c r="J434" s="458" t="n">
        <v>5580</v>
      </c>
      <c r="K434" s="462" t="n">
        <v>11.8279569892473</v>
      </c>
      <c r="L434" s="463" t="n">
        <v>0</v>
      </c>
      <c r="M434" s="463" t="n">
        <v>0</v>
      </c>
      <c r="N434" s="431" t="n">
        <v>1965</v>
      </c>
      <c r="O434" s="446" t="n">
        <v>2737</v>
      </c>
      <c r="Q434" s="157" t="n">
        <v>15</v>
      </c>
      <c r="R434" s="157" t="n">
        <v>3</v>
      </c>
      <c r="S434" s="157" t="n">
        <v>1</v>
      </c>
      <c r="T434" s="457" t="s">
        <v>7526</v>
      </c>
      <c r="U434" s="457" t="n">
        <v>398</v>
      </c>
      <c r="V434" s="458" t="n">
        <v>8800</v>
      </c>
      <c r="W434" s="458" t="n">
        <v>9000</v>
      </c>
      <c r="X434" s="464" t="s">
        <v>6668</v>
      </c>
      <c r="Y434" s="458" t="n">
        <v>6000</v>
      </c>
      <c r="Z434" s="457" t="s">
        <v>6638</v>
      </c>
      <c r="AC434" s="431"/>
      <c r="AD434" s="437"/>
      <c r="AE434" s="167"/>
      <c r="AF434" s="167"/>
      <c r="AG434" s="167"/>
      <c r="AH434" s="167"/>
      <c r="AI434" s="167"/>
      <c r="AJ434" s="167"/>
      <c r="AK434" s="465"/>
      <c r="AM434" s="157"/>
    </row>
    <row r="435" customFormat="false" ht="25.5" hidden="false" customHeight="true" outlineLevel="0" collapsed="false">
      <c r="A435" s="441" t="n">
        <v>7</v>
      </c>
      <c r="B435" s="157" t="n">
        <v>428</v>
      </c>
      <c r="C435" s="437" t="s">
        <v>7523</v>
      </c>
      <c r="D435" s="157" t="s">
        <v>7206</v>
      </c>
      <c r="E435" s="461" t="s">
        <v>2461</v>
      </c>
      <c r="F435" s="157" t="s">
        <v>7927</v>
      </c>
      <c r="G435" s="431" t="n">
        <v>44.1</v>
      </c>
      <c r="H435" s="431" t="n">
        <v>9508</v>
      </c>
      <c r="I435" s="457" t="n">
        <v>0</v>
      </c>
      <c r="J435" s="458" t="n">
        <v>5000</v>
      </c>
      <c r="K435" s="462" t="n">
        <v>5.475</v>
      </c>
      <c r="L435" s="463" t="n">
        <v>0</v>
      </c>
      <c r="M435" s="463" t="n">
        <v>0</v>
      </c>
      <c r="N435" s="431" t="n">
        <v>1972</v>
      </c>
      <c r="O435" s="446" t="n">
        <v>1600</v>
      </c>
      <c r="Q435" s="157" t="n">
        <v>11</v>
      </c>
      <c r="R435" s="157" t="n">
        <v>8</v>
      </c>
      <c r="S435" s="157" t="n">
        <v>1</v>
      </c>
      <c r="T435" s="457" t="s">
        <v>7789</v>
      </c>
      <c r="U435" s="457" t="n">
        <v>398</v>
      </c>
      <c r="V435" s="458" t="n">
        <v>17464</v>
      </c>
      <c r="W435" s="458" t="n">
        <v>17000</v>
      </c>
      <c r="X435" s="464" t="s">
        <v>7208</v>
      </c>
      <c r="Y435" s="458" t="n">
        <v>5000</v>
      </c>
      <c r="Z435" s="457" t="s">
        <v>6638</v>
      </c>
      <c r="AC435" s="431"/>
      <c r="AD435" s="437" t="s">
        <v>7209</v>
      </c>
      <c r="AE435" s="167"/>
      <c r="AF435" s="167"/>
      <c r="AG435" s="167"/>
      <c r="AH435" s="167"/>
      <c r="AI435" s="167"/>
      <c r="AJ435" s="167"/>
      <c r="AK435" s="465" t="s">
        <v>6929</v>
      </c>
      <c r="AM435" s="157"/>
    </row>
    <row r="436" customFormat="false" ht="25.5" hidden="false" customHeight="true" outlineLevel="0" collapsed="false">
      <c r="A436" s="441" t="n">
        <v>7</v>
      </c>
      <c r="B436" s="157" t="n">
        <v>429</v>
      </c>
      <c r="C436" s="437" t="s">
        <v>7523</v>
      </c>
      <c r="D436" s="157" t="s">
        <v>7928</v>
      </c>
      <c r="E436" s="461" t="s">
        <v>2461</v>
      </c>
      <c r="F436" s="157" t="s">
        <v>7929</v>
      </c>
      <c r="G436" s="431" t="n">
        <v>44.1</v>
      </c>
      <c r="H436" s="431" t="n">
        <v>9508</v>
      </c>
      <c r="I436" s="457" t="n">
        <v>6</v>
      </c>
      <c r="J436" s="458" t="n">
        <v>4800</v>
      </c>
      <c r="K436" s="462" t="n">
        <v>7</v>
      </c>
      <c r="L436" s="463" t="n">
        <v>0</v>
      </c>
      <c r="M436" s="463" t="n">
        <v>0.0991071428571429</v>
      </c>
      <c r="N436" s="431" t="n">
        <v>1985</v>
      </c>
      <c r="O436" s="446" t="n">
        <v>2850</v>
      </c>
      <c r="Q436" s="157" t="n">
        <v>13</v>
      </c>
      <c r="R436" s="157" t="n">
        <v>3</v>
      </c>
      <c r="S436" s="157" t="n">
        <v>1</v>
      </c>
      <c r="T436" s="457" t="s">
        <v>7789</v>
      </c>
      <c r="U436" s="457" t="n">
        <v>398</v>
      </c>
      <c r="V436" s="458" t="n">
        <v>12500</v>
      </c>
      <c r="W436" s="458" t="n">
        <v>13000</v>
      </c>
      <c r="X436" s="464" t="s">
        <v>6724</v>
      </c>
      <c r="Y436" s="458" t="n">
        <v>5000</v>
      </c>
      <c r="Z436" s="457" t="s">
        <v>6638</v>
      </c>
      <c r="AC436" s="431"/>
      <c r="AD436" s="437" t="s">
        <v>7930</v>
      </c>
      <c r="AE436" s="167"/>
      <c r="AF436" s="167"/>
      <c r="AG436" s="167"/>
      <c r="AH436" s="167"/>
      <c r="AI436" s="167"/>
      <c r="AJ436" s="167"/>
      <c r="AK436" s="465" t="s">
        <v>7931</v>
      </c>
      <c r="AM436" s="157"/>
    </row>
    <row r="437" customFormat="false" ht="12.75" hidden="false" customHeight="true" outlineLevel="0" collapsed="false">
      <c r="A437" s="441" t="n">
        <v>7</v>
      </c>
      <c r="B437" s="157" t="n">
        <v>430</v>
      </c>
      <c r="C437" s="437" t="s">
        <v>7523</v>
      </c>
      <c r="D437" s="157" t="s">
        <v>7932</v>
      </c>
      <c r="E437" s="461" t="s">
        <v>2461</v>
      </c>
      <c r="F437" s="157" t="s">
        <v>7933</v>
      </c>
      <c r="G437" s="445" t="n">
        <v>44.2</v>
      </c>
      <c r="H437" s="431" t="n">
        <v>9508</v>
      </c>
      <c r="I437" s="457" t="n">
        <v>0</v>
      </c>
      <c r="J437" s="458" t="n">
        <v>17672</v>
      </c>
      <c r="K437" s="462" t="n">
        <v>7.46995246717972</v>
      </c>
      <c r="L437" s="463" t="n">
        <v>0</v>
      </c>
      <c r="M437" s="463" t="n">
        <v>0</v>
      </c>
      <c r="N437" s="431" t="n">
        <v>1968</v>
      </c>
      <c r="O437" s="446" t="n">
        <v>2000</v>
      </c>
      <c r="Q437" s="157" t="n">
        <v>12</v>
      </c>
      <c r="R437" s="157" t="n">
        <v>1</v>
      </c>
      <c r="S437" s="157" t="n">
        <v>1</v>
      </c>
      <c r="T437" s="457" t="s">
        <v>7526</v>
      </c>
      <c r="U437" s="457" t="n">
        <v>398</v>
      </c>
      <c r="V437" s="458" t="n">
        <v>30200</v>
      </c>
      <c r="W437" s="458" t="n">
        <v>30000</v>
      </c>
      <c r="X437" s="464" t="s">
        <v>6954</v>
      </c>
      <c r="Y437" s="458" t="n">
        <v>18000</v>
      </c>
      <c r="Z437" s="457" t="s">
        <v>6638</v>
      </c>
      <c r="AC437" s="431"/>
      <c r="AD437" s="437" t="s">
        <v>7934</v>
      </c>
      <c r="AE437" s="167"/>
      <c r="AF437" s="167"/>
      <c r="AG437" s="167"/>
      <c r="AH437" s="167"/>
      <c r="AI437" s="167"/>
      <c r="AJ437" s="167"/>
      <c r="AK437" s="465"/>
      <c r="AM437" s="157"/>
    </row>
    <row r="438" customFormat="false" ht="12.75" hidden="false" customHeight="true" outlineLevel="0" collapsed="false">
      <c r="A438" s="441" t="n">
        <v>7</v>
      </c>
      <c r="B438" s="157" t="n">
        <v>431</v>
      </c>
      <c r="C438" s="437" t="s">
        <v>7523</v>
      </c>
      <c r="D438" s="157" t="s">
        <v>7935</v>
      </c>
      <c r="E438" s="461" t="s">
        <v>2461</v>
      </c>
      <c r="F438" s="157" t="s">
        <v>7936</v>
      </c>
      <c r="G438" s="445" t="n">
        <v>47.1</v>
      </c>
      <c r="H438" s="431" t="n">
        <v>9508</v>
      </c>
      <c r="I438" s="457" t="n">
        <v>0</v>
      </c>
      <c r="J438" s="458" t="n">
        <v>4970</v>
      </c>
      <c r="K438" s="462" t="n">
        <v>8.27203219315895</v>
      </c>
      <c r="L438" s="463" t="n">
        <v>0</v>
      </c>
      <c r="M438" s="463" t="n">
        <v>0</v>
      </c>
      <c r="N438" s="431" t="n">
        <v>1962</v>
      </c>
      <c r="O438" s="446" t="n">
        <v>150</v>
      </c>
      <c r="Q438" s="157" t="n">
        <v>12</v>
      </c>
      <c r="R438" s="157" t="n">
        <v>3</v>
      </c>
      <c r="S438" s="157" t="n">
        <v>1</v>
      </c>
      <c r="T438" s="457" t="s">
        <v>7526</v>
      </c>
      <c r="U438" s="457" t="n">
        <v>401</v>
      </c>
      <c r="V438" s="458" t="n">
        <v>7000</v>
      </c>
      <c r="W438" s="458" t="n">
        <v>7000</v>
      </c>
      <c r="X438" s="464" t="s">
        <v>6710</v>
      </c>
      <c r="Y438" s="458" t="n">
        <v>5000</v>
      </c>
      <c r="Z438" s="457" t="s">
        <v>6638</v>
      </c>
      <c r="AC438" s="431"/>
      <c r="AD438" s="437"/>
      <c r="AE438" s="167"/>
      <c r="AF438" s="167"/>
      <c r="AG438" s="167"/>
      <c r="AH438" s="167"/>
      <c r="AI438" s="167"/>
      <c r="AJ438" s="167"/>
      <c r="AK438" s="465"/>
      <c r="AM438" s="157"/>
    </row>
    <row r="439" customFormat="false" ht="12.75" hidden="false" customHeight="true" outlineLevel="0" collapsed="false">
      <c r="A439" s="441" t="n">
        <v>7</v>
      </c>
      <c r="B439" s="157" t="n">
        <v>432</v>
      </c>
      <c r="C439" s="437" t="s">
        <v>7523</v>
      </c>
      <c r="D439" s="157" t="s">
        <v>7937</v>
      </c>
      <c r="E439" s="461" t="s">
        <v>2461</v>
      </c>
      <c r="F439" s="157" t="s">
        <v>7938</v>
      </c>
      <c r="G439" s="445" t="n">
        <v>44.2</v>
      </c>
      <c r="H439" s="431" t="n">
        <v>9508</v>
      </c>
      <c r="I439" s="457" t="n">
        <v>0</v>
      </c>
      <c r="J439" s="458" t="n">
        <v>9909</v>
      </c>
      <c r="K439" s="462" t="n">
        <v>5.49994954082148</v>
      </c>
      <c r="L439" s="463" t="n">
        <v>0</v>
      </c>
      <c r="M439" s="463" t="n">
        <v>0</v>
      </c>
      <c r="N439" s="431" t="n">
        <v>1999</v>
      </c>
      <c r="O439" s="446" t="n">
        <v>51</v>
      </c>
      <c r="Q439" s="157" t="n">
        <v>24</v>
      </c>
      <c r="R439" s="157" t="n">
        <v>3</v>
      </c>
      <c r="S439" s="157" t="n">
        <v>1</v>
      </c>
      <c r="T439" s="457" t="s">
        <v>7526</v>
      </c>
      <c r="U439" s="457" t="n">
        <v>398</v>
      </c>
      <c r="V439" s="458" t="n">
        <v>17500</v>
      </c>
      <c r="W439" s="458" t="n">
        <v>18000</v>
      </c>
      <c r="X439" s="464" t="s">
        <v>6863</v>
      </c>
      <c r="Y439" s="458" t="n">
        <v>10000</v>
      </c>
      <c r="Z439" s="457" t="s">
        <v>6638</v>
      </c>
      <c r="AC439" s="431"/>
      <c r="AD439" s="437" t="s">
        <v>6706</v>
      </c>
      <c r="AE439" s="167"/>
      <c r="AF439" s="167"/>
      <c r="AG439" s="167"/>
      <c r="AH439" s="167"/>
      <c r="AI439" s="167"/>
      <c r="AJ439" s="167"/>
      <c r="AK439" s="465"/>
      <c r="AM439" s="157"/>
    </row>
    <row r="440" customFormat="false" ht="12.75" hidden="false" customHeight="true" outlineLevel="0" collapsed="false">
      <c r="A440" s="441" t="n">
        <v>7</v>
      </c>
      <c r="B440" s="157" t="n">
        <v>433</v>
      </c>
      <c r="C440" s="437" t="s">
        <v>7523</v>
      </c>
      <c r="D440" s="157" t="s">
        <v>7939</v>
      </c>
      <c r="E440" s="461" t="s">
        <v>2461</v>
      </c>
      <c r="F440" s="157" t="s">
        <v>7940</v>
      </c>
      <c r="G440" s="445" t="n">
        <v>46.1</v>
      </c>
      <c r="H440" s="431" t="n">
        <v>9508</v>
      </c>
      <c r="I440" s="457" t="n">
        <v>0</v>
      </c>
      <c r="J440" s="458" t="n">
        <v>4990</v>
      </c>
      <c r="K440" s="462" t="n">
        <v>5.5</v>
      </c>
      <c r="L440" s="463" t="n">
        <v>0</v>
      </c>
      <c r="M440" s="463" t="n">
        <v>0</v>
      </c>
      <c r="N440" s="431" t="n">
        <v>1962</v>
      </c>
      <c r="O440" s="446" t="n">
        <v>120</v>
      </c>
      <c r="Q440" s="157" t="n">
        <v>13</v>
      </c>
      <c r="R440" s="157" t="n">
        <v>1</v>
      </c>
      <c r="S440" s="157" t="n">
        <v>1</v>
      </c>
      <c r="T440" s="457" t="s">
        <v>7526</v>
      </c>
      <c r="U440" s="457" t="n">
        <v>391</v>
      </c>
      <c r="V440" s="458" t="n">
        <v>7000</v>
      </c>
      <c r="W440" s="458" t="n">
        <v>7000</v>
      </c>
      <c r="X440" s="464" t="s">
        <v>6710</v>
      </c>
      <c r="Y440" s="458" t="n">
        <v>5000</v>
      </c>
      <c r="Z440" s="457" t="s">
        <v>6638</v>
      </c>
      <c r="AC440" s="431"/>
      <c r="AD440" s="437"/>
      <c r="AE440" s="167"/>
      <c r="AF440" s="167"/>
      <c r="AG440" s="167"/>
      <c r="AH440" s="167"/>
      <c r="AI440" s="167"/>
      <c r="AJ440" s="167"/>
      <c r="AK440" s="465"/>
      <c r="AM440" s="157"/>
    </row>
    <row r="441" customFormat="false" ht="12.75" hidden="false" customHeight="true" outlineLevel="0" collapsed="false">
      <c r="A441" s="441" t="n">
        <v>7</v>
      </c>
      <c r="B441" s="157" t="n">
        <v>434</v>
      </c>
      <c r="C441" s="437" t="s">
        <v>7523</v>
      </c>
      <c r="D441" s="157" t="s">
        <v>7941</v>
      </c>
      <c r="E441" s="461" t="s">
        <v>2461</v>
      </c>
      <c r="F441" s="157" t="s">
        <v>7942</v>
      </c>
      <c r="G441" s="445" t="n">
        <v>47.1</v>
      </c>
      <c r="H441" s="431" t="n">
        <v>9508</v>
      </c>
      <c r="I441" s="457" t="n">
        <v>0</v>
      </c>
      <c r="J441" s="458" t="n">
        <v>8252</v>
      </c>
      <c r="K441" s="462" t="n">
        <v>5.5</v>
      </c>
      <c r="L441" s="463" t="n">
        <v>0</v>
      </c>
      <c r="M441" s="463" t="n">
        <v>0</v>
      </c>
      <c r="N441" s="431" t="n">
        <v>1968</v>
      </c>
      <c r="O441" s="446" t="n">
        <v>0</v>
      </c>
      <c r="P441" s="446" t="n">
        <v>2108</v>
      </c>
      <c r="Q441" s="157" t="n">
        <v>14</v>
      </c>
      <c r="R441" s="157" t="n">
        <v>3</v>
      </c>
      <c r="S441" s="157" t="n">
        <v>1</v>
      </c>
      <c r="T441" s="457" t="s">
        <v>7526</v>
      </c>
      <c r="U441" s="457" t="n">
        <v>401</v>
      </c>
      <c r="V441" s="458" t="n">
        <v>11486</v>
      </c>
      <c r="W441" s="458" t="n">
        <v>11000</v>
      </c>
      <c r="X441" s="464" t="s">
        <v>6710</v>
      </c>
      <c r="Y441" s="458" t="n">
        <v>8000</v>
      </c>
      <c r="Z441" s="457" t="s">
        <v>6638</v>
      </c>
      <c r="AC441" s="431"/>
      <c r="AD441" s="437"/>
      <c r="AE441" s="167"/>
      <c r="AF441" s="167"/>
      <c r="AG441" s="167"/>
      <c r="AH441" s="167"/>
      <c r="AI441" s="167"/>
      <c r="AJ441" s="167"/>
      <c r="AK441" s="465"/>
      <c r="AM441" s="157"/>
    </row>
    <row r="442" customFormat="false" ht="25.5" hidden="false" customHeight="true" outlineLevel="0" collapsed="false">
      <c r="A442" s="441" t="n">
        <v>7</v>
      </c>
      <c r="B442" s="157" t="n">
        <v>435</v>
      </c>
      <c r="C442" s="437" t="s">
        <v>7523</v>
      </c>
      <c r="D442" s="157" t="s">
        <v>7943</v>
      </c>
      <c r="E442" s="461" t="s">
        <v>2461</v>
      </c>
      <c r="F442" s="157" t="s">
        <v>7944</v>
      </c>
      <c r="G442" s="431" t="n">
        <v>44.1</v>
      </c>
      <c r="H442" s="431" t="n">
        <v>9508</v>
      </c>
      <c r="I442" s="457" t="n">
        <v>0</v>
      </c>
      <c r="J442" s="458" t="n">
        <v>13500</v>
      </c>
      <c r="K442" s="462" t="n">
        <v>17.7777777777778</v>
      </c>
      <c r="L442" s="463" t="n">
        <v>1</v>
      </c>
      <c r="M442" s="463" t="n">
        <v>0</v>
      </c>
      <c r="N442" s="431" t="n">
        <v>1973</v>
      </c>
      <c r="O442" s="446" t="n">
        <v>6657</v>
      </c>
      <c r="Q442" s="157" t="n">
        <v>21</v>
      </c>
      <c r="R442" s="157" t="n">
        <v>14</v>
      </c>
      <c r="S442" s="157" t="n">
        <v>1</v>
      </c>
      <c r="T442" s="457" t="s">
        <v>7526</v>
      </c>
      <c r="U442" s="457" t="n">
        <v>398</v>
      </c>
      <c r="V442" s="458" t="n">
        <v>21000</v>
      </c>
      <c r="W442" s="458" t="n">
        <v>21000</v>
      </c>
      <c r="X442" s="464" t="s">
        <v>6668</v>
      </c>
      <c r="Y442" s="458" t="n">
        <v>14000</v>
      </c>
      <c r="Z442" s="457" t="s">
        <v>6638</v>
      </c>
      <c r="AC442" s="431"/>
      <c r="AD442" s="437" t="s">
        <v>7945</v>
      </c>
      <c r="AE442" s="167"/>
      <c r="AF442" s="167"/>
      <c r="AG442" s="167"/>
      <c r="AH442" s="167"/>
      <c r="AI442" s="167"/>
      <c r="AJ442" s="167"/>
      <c r="AK442" s="465" t="s">
        <v>7946</v>
      </c>
      <c r="AM442" s="157"/>
    </row>
    <row r="443" customFormat="false" ht="12.75" hidden="false" customHeight="true" outlineLevel="0" collapsed="false">
      <c r="A443" s="441" t="n">
        <v>7</v>
      </c>
      <c r="B443" s="157" t="n">
        <v>436</v>
      </c>
      <c r="C443" s="437" t="s">
        <v>7523</v>
      </c>
      <c r="D443" s="157" t="s">
        <v>7947</v>
      </c>
      <c r="E443" s="461" t="s">
        <v>2461</v>
      </c>
      <c r="F443" s="157" t="s">
        <v>7948</v>
      </c>
      <c r="G443" s="445" t="n">
        <v>46.1</v>
      </c>
      <c r="H443" s="431" t="n">
        <v>9508</v>
      </c>
      <c r="I443" s="457" t="n">
        <v>0</v>
      </c>
      <c r="J443" s="458" t="n">
        <v>33042</v>
      </c>
      <c r="K443" s="462" t="n">
        <v>5.69000060529024</v>
      </c>
      <c r="L443" s="463" t="n">
        <v>0</v>
      </c>
      <c r="M443" s="463" t="n">
        <v>0</v>
      </c>
      <c r="N443" s="431" t="n">
        <v>1970</v>
      </c>
      <c r="O443" s="446" t="n">
        <v>6537</v>
      </c>
      <c r="Q443" s="157" t="n">
        <v>16</v>
      </c>
      <c r="R443" s="157" t="n">
        <v>14</v>
      </c>
      <c r="S443" s="157" t="n">
        <v>1</v>
      </c>
      <c r="T443" s="457" t="s">
        <v>7526</v>
      </c>
      <c r="U443" s="457" t="n">
        <v>398</v>
      </c>
      <c r="V443" s="458" t="n">
        <v>73039</v>
      </c>
      <c r="W443" s="458" t="n">
        <v>73000</v>
      </c>
      <c r="X443" s="464" t="s">
        <v>6700</v>
      </c>
      <c r="Y443" s="458" t="n">
        <v>33000</v>
      </c>
      <c r="Z443" s="457" t="s">
        <v>6638</v>
      </c>
      <c r="AC443" s="431"/>
      <c r="AD443" s="437"/>
      <c r="AE443" s="167"/>
      <c r="AF443" s="167"/>
      <c r="AG443" s="167"/>
      <c r="AH443" s="167"/>
      <c r="AI443" s="167"/>
      <c r="AJ443" s="167"/>
      <c r="AK443" s="465"/>
      <c r="AM443" s="157"/>
    </row>
    <row r="444" customFormat="false" ht="12.75" hidden="false" customHeight="true" outlineLevel="0" collapsed="false">
      <c r="A444" s="441" t="n">
        <v>7</v>
      </c>
      <c r="B444" s="157" t="n">
        <v>437</v>
      </c>
      <c r="C444" s="437" t="s">
        <v>7523</v>
      </c>
      <c r="D444" s="157" t="s">
        <v>7216</v>
      </c>
      <c r="E444" s="461" t="s">
        <v>2461</v>
      </c>
      <c r="F444" s="157" t="s">
        <v>7949</v>
      </c>
      <c r="G444" s="445" t="n">
        <v>44.2</v>
      </c>
      <c r="H444" s="431" t="n">
        <v>9508</v>
      </c>
      <c r="I444" s="457" t="n">
        <v>0</v>
      </c>
      <c r="J444" s="458" t="n">
        <v>18000</v>
      </c>
      <c r="K444" s="462" t="n">
        <v>4</v>
      </c>
      <c r="L444" s="463" t="n">
        <v>0</v>
      </c>
      <c r="M444" s="463" t="n">
        <v>0.174166666666667</v>
      </c>
      <c r="N444" s="431" t="n">
        <v>1954</v>
      </c>
      <c r="O444" s="446" t="n">
        <v>4000</v>
      </c>
      <c r="Q444" s="157" t="n">
        <v>14</v>
      </c>
      <c r="R444" s="157" t="n">
        <v>1</v>
      </c>
      <c r="S444" s="157" t="n">
        <v>2</v>
      </c>
      <c r="T444" s="457" t="s">
        <v>7526</v>
      </c>
      <c r="U444" s="457" t="n">
        <v>398</v>
      </c>
      <c r="V444" s="458" t="n">
        <v>34375</v>
      </c>
      <c r="W444" s="458" t="n">
        <v>34000</v>
      </c>
      <c r="X444" s="464" t="s">
        <v>6675</v>
      </c>
      <c r="Y444" s="458" t="n">
        <v>18000</v>
      </c>
      <c r="Z444" s="457" t="s">
        <v>6638</v>
      </c>
      <c r="AC444" s="431"/>
      <c r="AD444" s="437" t="s">
        <v>7218</v>
      </c>
      <c r="AE444" s="167"/>
      <c r="AF444" s="167"/>
      <c r="AG444" s="167"/>
      <c r="AH444" s="167"/>
      <c r="AI444" s="167"/>
      <c r="AJ444" s="167"/>
      <c r="AK444" s="465"/>
      <c r="AM444" s="157"/>
    </row>
    <row r="445" customFormat="false" ht="12.75" hidden="false" customHeight="true" outlineLevel="0" collapsed="false">
      <c r="A445" s="441" t="n">
        <v>7</v>
      </c>
      <c r="B445" s="157" t="n">
        <v>438</v>
      </c>
      <c r="C445" s="437" t="s">
        <v>7523</v>
      </c>
      <c r="D445" s="157" t="s">
        <v>7219</v>
      </c>
      <c r="E445" s="461" t="s">
        <v>2461</v>
      </c>
      <c r="F445" s="157" t="s">
        <v>7950</v>
      </c>
      <c r="G445" s="431" t="n">
        <v>44.1</v>
      </c>
      <c r="H445" s="431" t="n">
        <v>9508</v>
      </c>
      <c r="I445" s="457" t="n">
        <v>0</v>
      </c>
      <c r="J445" s="458" t="n">
        <v>3704</v>
      </c>
      <c r="K445" s="462" t="n">
        <v>7.72138228941685</v>
      </c>
      <c r="L445" s="463" t="n">
        <v>0</v>
      </c>
      <c r="M445" s="463" t="n">
        <v>0.129370629370629</v>
      </c>
      <c r="N445" s="431" t="n">
        <v>1963</v>
      </c>
      <c r="O445" s="446" t="n">
        <v>644</v>
      </c>
      <c r="Q445" s="157" t="n">
        <v>11</v>
      </c>
      <c r="R445" s="157" t="n">
        <v>1</v>
      </c>
      <c r="S445" s="157" t="n">
        <v>1</v>
      </c>
      <c r="T445" s="457" t="s">
        <v>7526</v>
      </c>
      <c r="U445" s="457" t="n">
        <v>398</v>
      </c>
      <c r="V445" s="458" t="n">
        <v>6000</v>
      </c>
      <c r="W445" s="458" t="n">
        <v>6000</v>
      </c>
      <c r="X445" s="464" t="s">
        <v>6668</v>
      </c>
      <c r="Y445" s="458" t="n">
        <v>4000</v>
      </c>
      <c r="Z445" s="457" t="s">
        <v>6638</v>
      </c>
      <c r="AC445" s="431"/>
      <c r="AD445" s="437" t="s">
        <v>7221</v>
      </c>
      <c r="AE445" s="167"/>
      <c r="AF445" s="167"/>
      <c r="AG445" s="167"/>
      <c r="AH445" s="167"/>
      <c r="AI445" s="167"/>
      <c r="AJ445" s="167"/>
      <c r="AK445" s="465" t="s">
        <v>7951</v>
      </c>
      <c r="AM445" s="157"/>
    </row>
    <row r="446" customFormat="false" ht="12.75" hidden="false" customHeight="true" outlineLevel="0" collapsed="false">
      <c r="A446" s="441" t="n">
        <v>7</v>
      </c>
      <c r="B446" s="157" t="n">
        <v>439</v>
      </c>
      <c r="C446" s="437" t="s">
        <v>7523</v>
      </c>
      <c r="D446" s="157" t="s">
        <v>7226</v>
      </c>
      <c r="E446" s="461" t="s">
        <v>2461</v>
      </c>
      <c r="F446" s="157" t="s">
        <v>7952</v>
      </c>
      <c r="G446" s="431" t="n">
        <v>44.1</v>
      </c>
      <c r="H446" s="431" t="n">
        <v>9508</v>
      </c>
      <c r="I446" s="457" t="n">
        <v>0</v>
      </c>
      <c r="J446" s="458" t="n">
        <v>14000</v>
      </c>
      <c r="K446" s="462" t="n">
        <v>8.57142857142857</v>
      </c>
      <c r="L446" s="463" t="n">
        <v>0</v>
      </c>
      <c r="M446" s="463" t="n">
        <v>0.00463333333333333</v>
      </c>
      <c r="N446" s="431" t="n">
        <v>1972</v>
      </c>
      <c r="O446" s="446" t="n">
        <v>6213</v>
      </c>
      <c r="P446" s="446" t="n">
        <v>2500</v>
      </c>
      <c r="Q446" s="157" t="n">
        <v>18</v>
      </c>
      <c r="R446" s="157" t="n">
        <v>3</v>
      </c>
      <c r="S446" s="157" t="n">
        <v>1</v>
      </c>
      <c r="T446" s="457" t="s">
        <v>7529</v>
      </c>
      <c r="U446" s="457" t="n">
        <v>398</v>
      </c>
      <c r="V446" s="458" t="n">
        <v>27787</v>
      </c>
      <c r="W446" s="458" t="n">
        <v>28000</v>
      </c>
      <c r="X446" s="464" t="s">
        <v>7546</v>
      </c>
      <c r="Y446" s="458" t="n">
        <v>14000</v>
      </c>
      <c r="Z446" s="457" t="s">
        <v>6638</v>
      </c>
      <c r="AC446" s="431"/>
      <c r="AD446" s="437" t="s">
        <v>7228</v>
      </c>
      <c r="AE446" s="167"/>
      <c r="AF446" s="167"/>
      <c r="AG446" s="167"/>
      <c r="AH446" s="167"/>
      <c r="AI446" s="167"/>
      <c r="AJ446" s="167"/>
      <c r="AK446" s="465"/>
      <c r="AM446" s="157"/>
    </row>
    <row r="447" customFormat="false" ht="12.75" hidden="false" customHeight="true" outlineLevel="0" collapsed="false">
      <c r="A447" s="441" t="n">
        <v>7</v>
      </c>
      <c r="B447" s="157" t="n">
        <v>439.3</v>
      </c>
      <c r="C447" s="437" t="s">
        <v>7538</v>
      </c>
      <c r="D447" s="157" t="s">
        <v>7953</v>
      </c>
      <c r="E447" s="457" t="s">
        <v>2461</v>
      </c>
      <c r="F447" s="157" t="s">
        <v>7954</v>
      </c>
      <c r="G447" s="466" t="s">
        <v>7781</v>
      </c>
      <c r="H447" s="157" t="n">
        <v>9508</v>
      </c>
      <c r="I447" s="457" t="n">
        <v>0</v>
      </c>
      <c r="J447" s="446" t="n">
        <v>325858</v>
      </c>
      <c r="K447" s="176" t="n">
        <v>2.38</v>
      </c>
      <c r="L447" s="175" t="n">
        <f aca="false">40350/J447</f>
        <v>0.123826943024262</v>
      </c>
      <c r="M447" s="175" t="n">
        <f aca="false">(465642-304940-136035-25638)/(0.9*(K447*J447))</f>
        <v>-0.00139114172184514</v>
      </c>
      <c r="N447" s="157" t="n">
        <v>1964</v>
      </c>
      <c r="O447" s="157" t="n">
        <v>32410</v>
      </c>
      <c r="P447" s="157" t="n">
        <v>10000</v>
      </c>
      <c r="Q447" s="157" t="n">
        <v>26</v>
      </c>
      <c r="R447" s="157" t="n">
        <v>3</v>
      </c>
      <c r="S447" s="157" t="n">
        <v>11</v>
      </c>
      <c r="T447" s="457" t="s">
        <v>7870</v>
      </c>
      <c r="U447" s="157" t="n">
        <v>398</v>
      </c>
      <c r="V447" s="446" t="n">
        <v>487038</v>
      </c>
      <c r="W447" s="446" t="n">
        <v>500000</v>
      </c>
      <c r="X447" s="431" t="s">
        <v>7871</v>
      </c>
      <c r="Y447" s="446" t="n">
        <v>300000</v>
      </c>
      <c r="Z447" s="457" t="s">
        <v>461</v>
      </c>
      <c r="AA447" s="157" t="n">
        <v>3</v>
      </c>
      <c r="AB447" s="157" t="n">
        <v>3</v>
      </c>
      <c r="AC447" s="157" t="n">
        <v>33</v>
      </c>
      <c r="AD447" s="157" t="s">
        <v>7955</v>
      </c>
      <c r="AE447" s="430"/>
      <c r="AF447" s="167"/>
      <c r="AG447" s="167"/>
      <c r="AH447" s="167"/>
      <c r="AI447" s="167"/>
      <c r="AJ447" s="167"/>
      <c r="AK447" s="167"/>
      <c r="AL447" s="157" t="n">
        <f aca="false">IF(AND(ISNUMBER($S447),$S447&gt;0,ISNUMBER($K447),ISNUMBER($J447)),($K447*$J447)/$S447,"")</f>
        <v>70503.8218181818</v>
      </c>
    </row>
    <row r="448" customFormat="false" ht="12.75" hidden="false" customHeight="true" outlineLevel="0" collapsed="false">
      <c r="A448" s="441" t="n">
        <v>7</v>
      </c>
      <c r="B448" s="157" t="n">
        <v>440</v>
      </c>
      <c r="C448" s="437" t="s">
        <v>7523</v>
      </c>
      <c r="D448" s="157" t="s">
        <v>7956</v>
      </c>
      <c r="E448" s="461" t="s">
        <v>2461</v>
      </c>
      <c r="F448" s="157" t="s">
        <v>7957</v>
      </c>
      <c r="G448" s="445" t="n">
        <v>44.2</v>
      </c>
      <c r="H448" s="431" t="n">
        <v>9508</v>
      </c>
      <c r="I448" s="457" t="n">
        <v>0</v>
      </c>
      <c r="J448" s="458" t="n">
        <v>27700</v>
      </c>
      <c r="K448" s="462" t="n">
        <v>4.01956678700361</v>
      </c>
      <c r="L448" s="463" t="n">
        <v>0</v>
      </c>
      <c r="M448" s="463" t="n">
        <v>0.041224335830145</v>
      </c>
      <c r="N448" s="431" t="n">
        <v>1963</v>
      </c>
      <c r="O448" s="446" t="n">
        <v>9365</v>
      </c>
      <c r="Q448" s="157" t="n">
        <v>20</v>
      </c>
      <c r="R448" s="157" t="n">
        <v>14</v>
      </c>
      <c r="S448" s="157" t="n">
        <v>2</v>
      </c>
      <c r="T448" s="457" t="s">
        <v>7529</v>
      </c>
      <c r="U448" s="457" t="n">
        <v>398</v>
      </c>
      <c r="V448" s="458" t="n">
        <v>81431</v>
      </c>
      <c r="W448" s="458" t="n">
        <v>81000</v>
      </c>
      <c r="X448" s="464" t="s">
        <v>6837</v>
      </c>
      <c r="Y448" s="458" t="n">
        <v>28000</v>
      </c>
      <c r="Z448" s="457" t="s">
        <v>6638</v>
      </c>
      <c r="AC448" s="431"/>
      <c r="AD448" s="437" t="s">
        <v>7958</v>
      </c>
      <c r="AE448" s="167"/>
      <c r="AF448" s="167"/>
      <c r="AG448" s="167"/>
      <c r="AH448" s="167"/>
      <c r="AI448" s="167"/>
      <c r="AJ448" s="167"/>
      <c r="AK448" s="465"/>
      <c r="AM448" s="157"/>
    </row>
    <row r="449" customFormat="false" ht="25.5" hidden="false" customHeight="true" outlineLevel="0" collapsed="false">
      <c r="A449" s="441" t="n">
        <v>7</v>
      </c>
      <c r="B449" s="157" t="n">
        <v>441</v>
      </c>
      <c r="C449" s="437" t="s">
        <v>7523</v>
      </c>
      <c r="D449" s="157" t="s">
        <v>7959</v>
      </c>
      <c r="E449" s="461" t="s">
        <v>2461</v>
      </c>
      <c r="F449" s="157" t="s">
        <v>7960</v>
      </c>
      <c r="G449" s="445" t="n">
        <v>44.2</v>
      </c>
      <c r="H449" s="431" t="n">
        <v>9508</v>
      </c>
      <c r="I449" s="457" t="n">
        <v>0</v>
      </c>
      <c r="J449" s="458" t="n">
        <v>5000</v>
      </c>
      <c r="K449" s="462" t="n">
        <v>5.28</v>
      </c>
      <c r="L449" s="463" t="n">
        <v>0.29</v>
      </c>
      <c r="M449" s="463" t="n">
        <v>0.454469696969697</v>
      </c>
      <c r="N449" s="431" t="n">
        <v>1967</v>
      </c>
      <c r="O449" s="446" t="n">
        <v>9801</v>
      </c>
      <c r="Q449" s="157" t="n">
        <v>18</v>
      </c>
      <c r="R449" s="157" t="n">
        <v>10</v>
      </c>
      <c r="S449" s="157" t="n">
        <v>1</v>
      </c>
      <c r="T449" s="457" t="s">
        <v>7529</v>
      </c>
      <c r="U449" s="457" t="n">
        <v>398</v>
      </c>
      <c r="V449" s="458" t="n">
        <v>50661</v>
      </c>
      <c r="W449" s="458" t="n">
        <v>51000</v>
      </c>
      <c r="X449" s="464" t="s">
        <v>6650</v>
      </c>
      <c r="Y449" s="458" t="n">
        <v>5000</v>
      </c>
      <c r="Z449" s="457" t="s">
        <v>6638</v>
      </c>
      <c r="AC449" s="431"/>
      <c r="AD449" s="437" t="s">
        <v>6651</v>
      </c>
      <c r="AE449" s="167"/>
      <c r="AF449" s="167"/>
      <c r="AG449" s="167"/>
      <c r="AH449" s="167"/>
      <c r="AI449" s="167"/>
      <c r="AJ449" s="167"/>
      <c r="AK449" s="465" t="s">
        <v>7961</v>
      </c>
      <c r="AM449" s="157"/>
    </row>
    <row r="450" customFormat="false" ht="12.75" hidden="false" customHeight="true" outlineLevel="0" collapsed="false">
      <c r="A450" s="441" t="n">
        <v>7</v>
      </c>
      <c r="B450" s="157" t="n">
        <v>442</v>
      </c>
      <c r="C450" s="437" t="s">
        <v>7523</v>
      </c>
      <c r="D450" s="157" t="s">
        <v>7241</v>
      </c>
      <c r="E450" s="461" t="s">
        <v>2461</v>
      </c>
      <c r="F450" s="157" t="s">
        <v>7962</v>
      </c>
      <c r="G450" s="445" t="n">
        <v>44.2</v>
      </c>
      <c r="H450" s="431" t="n">
        <v>9505</v>
      </c>
      <c r="I450" s="457" t="n">
        <v>0</v>
      </c>
      <c r="J450" s="458" t="n">
        <v>12994</v>
      </c>
      <c r="K450" s="462" t="n">
        <v>4.61751577651224</v>
      </c>
      <c r="L450" s="463" t="n">
        <v>0</v>
      </c>
      <c r="M450" s="463" t="n">
        <v>0.119666666666667</v>
      </c>
      <c r="N450" s="431" t="n">
        <v>1959</v>
      </c>
      <c r="O450" s="446" t="n">
        <v>2548</v>
      </c>
      <c r="Q450" s="157" t="n">
        <v>16</v>
      </c>
      <c r="R450" s="157" t="n">
        <v>1</v>
      </c>
      <c r="S450" s="157" t="n">
        <v>1</v>
      </c>
      <c r="T450" s="457" t="s">
        <v>7526</v>
      </c>
      <c r="U450" s="457" t="n">
        <v>398</v>
      </c>
      <c r="V450" s="458" t="n">
        <v>20500</v>
      </c>
      <c r="W450" s="458" t="n">
        <v>21000</v>
      </c>
      <c r="X450" s="464" t="s">
        <v>6668</v>
      </c>
      <c r="Y450" s="458" t="n">
        <v>13000</v>
      </c>
      <c r="Z450" s="457" t="s">
        <v>6638</v>
      </c>
      <c r="AC450" s="431"/>
      <c r="AD450" s="437" t="s">
        <v>7243</v>
      </c>
      <c r="AE450" s="167"/>
      <c r="AF450" s="167"/>
      <c r="AG450" s="167"/>
      <c r="AH450" s="167"/>
      <c r="AI450" s="167"/>
      <c r="AJ450" s="167"/>
      <c r="AK450" s="465"/>
      <c r="AM450" s="157"/>
    </row>
    <row r="451" customFormat="false" ht="12.75" hidden="false" customHeight="true" outlineLevel="0" collapsed="false">
      <c r="A451" s="441" t="n">
        <v>7</v>
      </c>
      <c r="B451" s="157" t="n">
        <v>443</v>
      </c>
      <c r="C451" s="437" t="s">
        <v>7523</v>
      </c>
      <c r="D451" s="157" t="s">
        <v>7245</v>
      </c>
      <c r="E451" s="461" t="s">
        <v>2461</v>
      </c>
      <c r="F451" s="157" t="s">
        <v>7963</v>
      </c>
      <c r="G451" s="445" t="n">
        <v>44.2</v>
      </c>
      <c r="H451" s="431" t="n">
        <v>9505</v>
      </c>
      <c r="I451" s="457" t="n">
        <v>0</v>
      </c>
      <c r="J451" s="458" t="n">
        <v>8502</v>
      </c>
      <c r="K451" s="462" t="n">
        <v>7.05716302046577</v>
      </c>
      <c r="L451" s="463" t="n">
        <v>0</v>
      </c>
      <c r="M451" s="463" t="n">
        <v>0</v>
      </c>
      <c r="N451" s="431" t="n">
        <v>1968</v>
      </c>
      <c r="O451" s="446" t="n">
        <v>9109</v>
      </c>
      <c r="Q451" s="157" t="n">
        <v>16</v>
      </c>
      <c r="R451" s="157" t="n">
        <v>1</v>
      </c>
      <c r="S451" s="157" t="n">
        <v>1</v>
      </c>
      <c r="T451" s="457" t="s">
        <v>7526</v>
      </c>
      <c r="U451" s="457" t="n">
        <v>398</v>
      </c>
      <c r="V451" s="458" t="n">
        <v>12400</v>
      </c>
      <c r="W451" s="458" t="n">
        <v>12000</v>
      </c>
      <c r="X451" s="464" t="s">
        <v>6837</v>
      </c>
      <c r="Y451" s="458" t="n">
        <v>9000</v>
      </c>
      <c r="Z451" s="457" t="s">
        <v>6638</v>
      </c>
      <c r="AC451" s="431"/>
      <c r="AD451" s="437"/>
      <c r="AE451" s="167"/>
      <c r="AF451" s="167"/>
      <c r="AG451" s="167"/>
      <c r="AH451" s="167"/>
      <c r="AI451" s="167"/>
      <c r="AJ451" s="167"/>
      <c r="AK451" s="465"/>
      <c r="AM451" s="157"/>
    </row>
    <row r="452" customFormat="false" ht="12.75" hidden="false" customHeight="true" outlineLevel="0" collapsed="false">
      <c r="A452" s="441" t="n">
        <v>7</v>
      </c>
      <c r="B452" s="157" t="n">
        <v>444</v>
      </c>
      <c r="C452" s="437" t="s">
        <v>7523</v>
      </c>
      <c r="D452" s="157" t="s">
        <v>7964</v>
      </c>
      <c r="E452" s="461" t="s">
        <v>2461</v>
      </c>
      <c r="F452" s="157" t="s">
        <v>7965</v>
      </c>
      <c r="G452" s="431" t="n">
        <v>44.1</v>
      </c>
      <c r="H452" s="431" t="n">
        <v>9505</v>
      </c>
      <c r="I452" s="457" t="n">
        <v>0</v>
      </c>
      <c r="J452" s="458" t="n">
        <v>7200</v>
      </c>
      <c r="K452" s="462" t="n">
        <v>6.66666666666667</v>
      </c>
      <c r="L452" s="463" t="n">
        <v>0</v>
      </c>
      <c r="M452" s="463" t="n">
        <v>0</v>
      </c>
      <c r="N452" s="431" t="n">
        <v>1966</v>
      </c>
      <c r="O452" s="446" t="n">
        <v>4200</v>
      </c>
      <c r="Q452" s="157" t="n">
        <v>14</v>
      </c>
      <c r="R452" s="157" t="n">
        <v>3</v>
      </c>
      <c r="S452" s="157" t="n">
        <v>1</v>
      </c>
      <c r="T452" s="457" t="s">
        <v>7526</v>
      </c>
      <c r="U452" s="457" t="n">
        <v>398</v>
      </c>
      <c r="V452" s="458" t="n">
        <v>11917</v>
      </c>
      <c r="W452" s="458" t="n">
        <v>12000</v>
      </c>
      <c r="X452" s="464" t="s">
        <v>6954</v>
      </c>
      <c r="Y452" s="458" t="n">
        <v>7000</v>
      </c>
      <c r="Z452" s="457" t="s">
        <v>6638</v>
      </c>
      <c r="AC452" s="431"/>
      <c r="AD452" s="437"/>
      <c r="AE452" s="167"/>
      <c r="AF452" s="167"/>
      <c r="AG452" s="167"/>
      <c r="AH452" s="167"/>
      <c r="AI452" s="167"/>
      <c r="AJ452" s="167"/>
      <c r="AK452" s="465"/>
      <c r="AM452" s="157"/>
    </row>
    <row r="453" customFormat="false" ht="25.5" hidden="false" customHeight="true" outlineLevel="0" collapsed="false">
      <c r="A453" s="441" t="n">
        <v>7</v>
      </c>
      <c r="B453" s="157" t="n">
        <v>445</v>
      </c>
      <c r="C453" s="437" t="s">
        <v>7523</v>
      </c>
      <c r="D453" s="157" t="s">
        <v>7966</v>
      </c>
      <c r="E453" s="461" t="s">
        <v>2461</v>
      </c>
      <c r="F453" s="157" t="s">
        <v>7967</v>
      </c>
      <c r="G453" s="431" t="n">
        <v>44.1</v>
      </c>
      <c r="H453" s="431" t="n">
        <v>9505</v>
      </c>
      <c r="I453" s="457" t="n">
        <v>3</v>
      </c>
      <c r="J453" s="458" t="n">
        <v>21594</v>
      </c>
      <c r="K453" s="462" t="n">
        <v>7.850004630916</v>
      </c>
      <c r="L453" s="463" t="n">
        <v>0</v>
      </c>
      <c r="M453" s="463" t="n">
        <v>0.00592284957495885</v>
      </c>
      <c r="N453" s="431" t="n">
        <v>1975</v>
      </c>
      <c r="O453" s="446" t="n">
        <v>5148</v>
      </c>
      <c r="P453" s="446" t="n">
        <v>8100</v>
      </c>
      <c r="Q453" s="157" t="n">
        <v>17</v>
      </c>
      <c r="R453" s="157" t="n">
        <v>3</v>
      </c>
      <c r="S453" s="157" t="n">
        <v>3</v>
      </c>
      <c r="T453" s="457" t="s">
        <v>7789</v>
      </c>
      <c r="U453" s="457" t="n">
        <v>398</v>
      </c>
      <c r="V453" s="458" t="n">
        <v>26775</v>
      </c>
      <c r="W453" s="458" t="n">
        <v>27000</v>
      </c>
      <c r="X453" s="464" t="s">
        <v>6900</v>
      </c>
      <c r="Y453" s="458" t="n">
        <v>22000</v>
      </c>
      <c r="Z453" s="457" t="s">
        <v>6638</v>
      </c>
      <c r="AC453" s="431"/>
      <c r="AD453" s="437" t="s">
        <v>7968</v>
      </c>
      <c r="AE453" s="167"/>
      <c r="AF453" s="167"/>
      <c r="AG453" s="167"/>
      <c r="AH453" s="167"/>
      <c r="AI453" s="167"/>
      <c r="AJ453" s="167"/>
      <c r="AK453" s="465" t="s">
        <v>7969</v>
      </c>
      <c r="AM453" s="157"/>
    </row>
    <row r="454" customFormat="false" ht="12.75" hidden="false" customHeight="true" outlineLevel="0" collapsed="false">
      <c r="A454" s="441" t="n">
        <v>7</v>
      </c>
      <c r="B454" s="157" t="n">
        <v>446</v>
      </c>
      <c r="C454" s="437" t="s">
        <v>7523</v>
      </c>
      <c r="D454" s="157" t="s">
        <v>7970</v>
      </c>
      <c r="E454" s="461" t="s">
        <v>2461</v>
      </c>
      <c r="F454" s="157" t="s">
        <v>7971</v>
      </c>
      <c r="G454" s="431" t="n">
        <v>44.1</v>
      </c>
      <c r="H454" s="431" t="n">
        <v>9505</v>
      </c>
      <c r="I454" s="457" t="n">
        <v>3</v>
      </c>
      <c r="J454" s="458" t="n">
        <v>1995</v>
      </c>
      <c r="K454" s="462" t="n">
        <v>3.00751879699248</v>
      </c>
      <c r="L454" s="463" t="n">
        <v>0</v>
      </c>
      <c r="M454" s="463" t="n">
        <v>0</v>
      </c>
      <c r="N454" s="431" t="n">
        <v>1929</v>
      </c>
      <c r="O454" s="446" t="n">
        <v>0</v>
      </c>
      <c r="Q454" s="157" t="n">
        <v>14</v>
      </c>
      <c r="R454" s="157" t="n">
        <v>1</v>
      </c>
      <c r="S454" s="157" t="n">
        <v>2</v>
      </c>
      <c r="T454" s="457" t="s">
        <v>7789</v>
      </c>
      <c r="U454" s="457" t="n">
        <v>395</v>
      </c>
      <c r="V454" s="458" t="n">
        <v>17850</v>
      </c>
      <c r="W454" s="458" t="n">
        <v>18000</v>
      </c>
      <c r="X454" s="464" t="s">
        <v>7972</v>
      </c>
      <c r="Y454" s="458" t="n">
        <v>2000</v>
      </c>
      <c r="Z454" s="457" t="s">
        <v>463</v>
      </c>
      <c r="AC454" s="431"/>
      <c r="AD454" s="437" t="s">
        <v>7295</v>
      </c>
      <c r="AE454" s="167"/>
      <c r="AF454" s="167"/>
      <c r="AG454" s="167"/>
      <c r="AH454" s="167"/>
      <c r="AI454" s="167"/>
      <c r="AJ454" s="167"/>
      <c r="AK454" s="465" t="s">
        <v>7973</v>
      </c>
      <c r="AL454" s="157" t="n">
        <f aca="false">IF(AND(ISNUMBER($S454),$S454&gt;0,ISNUMBER($K454),ISNUMBER($J454)),($K454*$J454)/$S454,"")</f>
        <v>3000</v>
      </c>
    </row>
    <row r="455" customFormat="false" ht="25.5" hidden="false" customHeight="true" outlineLevel="0" collapsed="false">
      <c r="A455" s="441" t="n">
        <v>7</v>
      </c>
      <c r="B455" s="157" t="n">
        <v>447</v>
      </c>
      <c r="C455" s="437" t="s">
        <v>7523</v>
      </c>
      <c r="D455" s="157" t="s">
        <v>7974</v>
      </c>
      <c r="E455" s="461" t="s">
        <v>2461</v>
      </c>
      <c r="F455" s="157" t="s">
        <v>7975</v>
      </c>
      <c r="G455" s="431" t="n">
        <v>44.1</v>
      </c>
      <c r="H455" s="431" t="n">
        <v>9505</v>
      </c>
      <c r="I455" s="457" t="n">
        <v>3</v>
      </c>
      <c r="J455" s="458" t="n">
        <v>7555</v>
      </c>
      <c r="K455" s="462" t="n">
        <v>12.5744540039709</v>
      </c>
      <c r="L455" s="463" t="n">
        <v>0</v>
      </c>
      <c r="M455" s="463" t="n">
        <v>0.00315789473684211</v>
      </c>
      <c r="N455" s="431" t="n">
        <v>1975</v>
      </c>
      <c r="O455" s="446" t="n">
        <v>287</v>
      </c>
      <c r="Q455" s="157" t="n">
        <v>17</v>
      </c>
      <c r="R455" s="157" t="n">
        <v>3</v>
      </c>
      <c r="S455" s="157" t="n">
        <v>1</v>
      </c>
      <c r="T455" s="457" t="s">
        <v>7789</v>
      </c>
      <c r="U455" s="457" t="n">
        <v>398</v>
      </c>
      <c r="V455" s="458" t="n">
        <v>8925</v>
      </c>
      <c r="W455" s="458" t="n">
        <v>9000</v>
      </c>
      <c r="X455" s="464" t="s">
        <v>6900</v>
      </c>
      <c r="Y455" s="458" t="n">
        <v>8000</v>
      </c>
      <c r="Z455" s="457" t="s">
        <v>6638</v>
      </c>
      <c r="AC455" s="431"/>
      <c r="AD455" s="437" t="s">
        <v>7295</v>
      </c>
      <c r="AE455" s="167"/>
      <c r="AF455" s="167"/>
      <c r="AG455" s="167"/>
      <c r="AH455" s="167"/>
      <c r="AI455" s="167"/>
      <c r="AJ455" s="167"/>
      <c r="AK455" s="465" t="s">
        <v>7976</v>
      </c>
      <c r="AM455" s="157"/>
    </row>
    <row r="456" customFormat="false" ht="12.75" hidden="false" customHeight="true" outlineLevel="0" collapsed="false">
      <c r="A456" s="441" t="n">
        <v>7</v>
      </c>
      <c r="B456" s="157" t="n">
        <v>448</v>
      </c>
      <c r="C456" s="437" t="s">
        <v>7523</v>
      </c>
      <c r="D456" s="157" t="s">
        <v>7977</v>
      </c>
      <c r="E456" s="461" t="s">
        <v>2461</v>
      </c>
      <c r="F456" s="157" t="s">
        <v>7978</v>
      </c>
      <c r="G456" s="445" t="n">
        <v>42.1</v>
      </c>
      <c r="H456" s="431" t="n">
        <v>9505</v>
      </c>
      <c r="I456" s="457" t="n">
        <v>3</v>
      </c>
      <c r="J456" s="458" t="n">
        <v>4020</v>
      </c>
      <c r="K456" s="462" t="n">
        <v>7.99253731343284</v>
      </c>
      <c r="L456" s="463" t="n">
        <v>0</v>
      </c>
      <c r="M456" s="463" t="n">
        <v>0.0682539682539683</v>
      </c>
      <c r="N456" s="431" t="n">
        <v>1975</v>
      </c>
      <c r="O456" s="446" t="n">
        <v>705</v>
      </c>
      <c r="Q456" s="157" t="n">
        <v>17</v>
      </c>
      <c r="R456" s="157" t="n">
        <v>1</v>
      </c>
      <c r="S456" s="157" t="n">
        <v>1</v>
      </c>
      <c r="T456" s="457" t="s">
        <v>7789</v>
      </c>
      <c r="U456" s="457" t="n">
        <v>401</v>
      </c>
      <c r="V456" s="458" t="n">
        <v>5247</v>
      </c>
      <c r="W456" s="458" t="n">
        <v>5000</v>
      </c>
      <c r="X456" s="464" t="s">
        <v>7103</v>
      </c>
      <c r="Y456" s="458" t="n">
        <v>4000</v>
      </c>
      <c r="Z456" s="457" t="s">
        <v>6638</v>
      </c>
      <c r="AC456" s="431"/>
      <c r="AD456" s="437" t="s">
        <v>6676</v>
      </c>
      <c r="AE456" s="167"/>
      <c r="AF456" s="167"/>
      <c r="AG456" s="167"/>
      <c r="AH456" s="167"/>
      <c r="AI456" s="167"/>
      <c r="AJ456" s="167"/>
      <c r="AK456" s="465"/>
      <c r="AM456" s="157"/>
    </row>
    <row r="457" customFormat="false" ht="12.75" hidden="false" customHeight="true" outlineLevel="0" collapsed="false">
      <c r="A457" s="441" t="n">
        <v>7</v>
      </c>
      <c r="B457" s="157" t="n">
        <v>449</v>
      </c>
      <c r="C457" s="437" t="s">
        <v>7523</v>
      </c>
      <c r="D457" s="157" t="s">
        <v>7253</v>
      </c>
      <c r="E457" s="461" t="s">
        <v>2461</v>
      </c>
      <c r="F457" s="157" t="s">
        <v>7979</v>
      </c>
      <c r="G457" s="445" t="n">
        <v>44.2</v>
      </c>
      <c r="H457" s="431" t="n">
        <v>9505</v>
      </c>
      <c r="I457" s="457" t="n">
        <v>0</v>
      </c>
      <c r="J457" s="458" t="n">
        <v>17286</v>
      </c>
      <c r="K457" s="462" t="n">
        <v>5.32367233599445</v>
      </c>
      <c r="L457" s="463" t="n">
        <v>0</v>
      </c>
      <c r="M457" s="463" t="n">
        <v>0.0314045096441184</v>
      </c>
      <c r="N457" s="431" t="n">
        <v>1959</v>
      </c>
      <c r="O457" s="446" t="n">
        <v>2902</v>
      </c>
      <c r="Q457" s="157" t="n">
        <v>15</v>
      </c>
      <c r="R457" s="157" t="n">
        <v>3</v>
      </c>
      <c r="S457" s="157" t="n">
        <v>1</v>
      </c>
      <c r="T457" s="457" t="s">
        <v>7526</v>
      </c>
      <c r="U457" s="457" t="n">
        <v>398</v>
      </c>
      <c r="V457" s="458" t="n">
        <v>36500</v>
      </c>
      <c r="W457" s="458" t="n">
        <v>37000</v>
      </c>
      <c r="X457" s="464" t="s">
        <v>6754</v>
      </c>
      <c r="Y457" s="458" t="n">
        <v>17000</v>
      </c>
      <c r="Z457" s="457" t="s">
        <v>6638</v>
      </c>
      <c r="AC457" s="431"/>
      <c r="AD457" s="437" t="s">
        <v>7255</v>
      </c>
      <c r="AE457" s="167"/>
      <c r="AF457" s="167"/>
      <c r="AG457" s="167"/>
      <c r="AH457" s="167"/>
      <c r="AI457" s="167"/>
      <c r="AJ457" s="167"/>
      <c r="AK457" s="465" t="s">
        <v>7527</v>
      </c>
      <c r="AM457" s="157"/>
    </row>
    <row r="458" customFormat="false" ht="12.75" hidden="false" customHeight="true" outlineLevel="0" collapsed="false">
      <c r="A458" s="441" t="n">
        <v>7</v>
      </c>
      <c r="B458" s="157" t="n">
        <v>450</v>
      </c>
      <c r="C458" s="437" t="s">
        <v>7523</v>
      </c>
      <c r="D458" s="157" t="s">
        <v>7980</v>
      </c>
      <c r="E458" s="461" t="s">
        <v>2461</v>
      </c>
      <c r="F458" s="157" t="s">
        <v>7981</v>
      </c>
      <c r="G458" s="445" t="n">
        <v>44.2</v>
      </c>
      <c r="H458" s="431" t="n">
        <v>9505</v>
      </c>
      <c r="I458" s="457" t="n">
        <v>0</v>
      </c>
      <c r="J458" s="458" t="n">
        <v>7883</v>
      </c>
      <c r="K458" s="462" t="n">
        <v>3.19675250539135</v>
      </c>
      <c r="L458" s="463" t="n">
        <v>0</v>
      </c>
      <c r="M458" s="463" t="n">
        <v>0.0679761904761905</v>
      </c>
      <c r="N458" s="431" t="n">
        <v>1955</v>
      </c>
      <c r="O458" s="446" t="n">
        <v>3048</v>
      </c>
      <c r="Q458" s="157" t="n">
        <v>12</v>
      </c>
      <c r="R458" s="157" t="n">
        <v>3</v>
      </c>
      <c r="S458" s="157" t="n">
        <v>1</v>
      </c>
      <c r="T458" s="457" t="s">
        <v>7526</v>
      </c>
      <c r="U458" s="457" t="n">
        <v>398</v>
      </c>
      <c r="V458" s="458" t="n">
        <v>14243</v>
      </c>
      <c r="W458" s="458" t="n">
        <v>14000</v>
      </c>
      <c r="X458" s="464" t="s">
        <v>6863</v>
      </c>
      <c r="Y458" s="458" t="n">
        <v>8000</v>
      </c>
      <c r="Z458" s="457" t="s">
        <v>6638</v>
      </c>
      <c r="AC458" s="431"/>
      <c r="AD458" s="437"/>
      <c r="AE458" s="167"/>
      <c r="AF458" s="167"/>
      <c r="AG458" s="167"/>
      <c r="AH458" s="167"/>
      <c r="AI458" s="167"/>
      <c r="AJ458" s="167"/>
      <c r="AK458" s="465"/>
      <c r="AM458" s="157"/>
    </row>
    <row r="459" customFormat="false" ht="12.75" hidden="false" customHeight="true" outlineLevel="0" collapsed="false">
      <c r="A459" s="441" t="n">
        <v>7</v>
      </c>
      <c r="B459" s="157" t="n">
        <v>451</v>
      </c>
      <c r="C459" s="437" t="s">
        <v>7523</v>
      </c>
      <c r="D459" s="157" t="s">
        <v>7260</v>
      </c>
      <c r="E459" s="461" t="s">
        <v>2461</v>
      </c>
      <c r="F459" s="157" t="s">
        <v>7982</v>
      </c>
      <c r="G459" s="431" t="n">
        <v>44.1</v>
      </c>
      <c r="H459" s="431" t="n">
        <v>9505</v>
      </c>
      <c r="I459" s="457" t="n">
        <v>0</v>
      </c>
      <c r="J459" s="458" t="n">
        <v>9361</v>
      </c>
      <c r="K459" s="462" t="n">
        <v>4.42260442260442</v>
      </c>
      <c r="L459" s="463" t="n">
        <v>0</v>
      </c>
      <c r="M459" s="463" t="n">
        <v>0.0150966183574879</v>
      </c>
      <c r="N459" s="431" t="n">
        <v>1965</v>
      </c>
      <c r="O459" s="446" t="n">
        <v>1260</v>
      </c>
      <c r="Q459" s="157" t="n">
        <v>14</v>
      </c>
      <c r="R459" s="157" t="n">
        <v>1</v>
      </c>
      <c r="S459" s="157" t="n">
        <v>1</v>
      </c>
      <c r="T459" s="457" t="s">
        <v>7526</v>
      </c>
      <c r="U459" s="457" t="n">
        <v>398</v>
      </c>
      <c r="V459" s="458" t="n">
        <v>17908</v>
      </c>
      <c r="W459" s="458" t="n">
        <v>18000</v>
      </c>
      <c r="X459" s="464" t="s">
        <v>6675</v>
      </c>
      <c r="Y459" s="458" t="n">
        <v>9000</v>
      </c>
      <c r="Z459" s="457" t="s">
        <v>6638</v>
      </c>
      <c r="AC459" s="431"/>
      <c r="AD459" s="437"/>
      <c r="AE459" s="167"/>
      <c r="AF459" s="167"/>
      <c r="AG459" s="167"/>
      <c r="AH459" s="167"/>
      <c r="AI459" s="167"/>
      <c r="AJ459" s="167"/>
      <c r="AK459" s="465" t="s">
        <v>7983</v>
      </c>
      <c r="AM459" s="157"/>
    </row>
    <row r="460" customFormat="false" ht="12.75" hidden="false" customHeight="true" outlineLevel="0" collapsed="false">
      <c r="A460" s="441" t="n">
        <v>7</v>
      </c>
      <c r="B460" s="157" t="n">
        <v>452</v>
      </c>
      <c r="C460" s="437" t="s">
        <v>7523</v>
      </c>
      <c r="D460" s="157" t="s">
        <v>7984</v>
      </c>
      <c r="E460" s="461" t="s">
        <v>2461</v>
      </c>
      <c r="F460" s="157" t="s">
        <v>7985</v>
      </c>
      <c r="G460" s="431" t="n">
        <v>44.1</v>
      </c>
      <c r="H460" s="431" t="n">
        <v>9505</v>
      </c>
      <c r="I460" s="457" t="n">
        <v>0</v>
      </c>
      <c r="J460" s="458" t="n">
        <v>18270</v>
      </c>
      <c r="K460" s="462" t="n">
        <v>6.37181171319102</v>
      </c>
      <c r="L460" s="463" t="n">
        <v>0</v>
      </c>
      <c r="M460" s="463" t="n">
        <v>0.00438095401716303</v>
      </c>
      <c r="N460" s="431" t="n">
        <v>1982</v>
      </c>
      <c r="O460" s="446" t="n">
        <v>1128</v>
      </c>
      <c r="P460" s="446" t="n">
        <v>1293</v>
      </c>
      <c r="Q460" s="157" t="n">
        <v>17</v>
      </c>
      <c r="R460" s="157" t="n">
        <v>7</v>
      </c>
      <c r="S460" s="157" t="n">
        <v>1</v>
      </c>
      <c r="T460" s="457" t="s">
        <v>7526</v>
      </c>
      <c r="U460" s="457" t="n">
        <v>398</v>
      </c>
      <c r="V460" s="458" t="n">
        <v>29950</v>
      </c>
      <c r="W460" s="458" t="n">
        <v>30000</v>
      </c>
      <c r="X460" s="464" t="s">
        <v>6668</v>
      </c>
      <c r="Y460" s="458" t="n">
        <v>18000</v>
      </c>
      <c r="Z460" s="457" t="s">
        <v>6638</v>
      </c>
      <c r="AC460" s="431"/>
      <c r="AD460" s="437"/>
      <c r="AE460" s="167"/>
      <c r="AF460" s="167"/>
      <c r="AG460" s="167"/>
      <c r="AH460" s="167"/>
      <c r="AI460" s="167"/>
      <c r="AJ460" s="167"/>
      <c r="AK460" s="465"/>
      <c r="AM460" s="157"/>
    </row>
    <row r="461" customFormat="false" ht="12.75" hidden="false" customHeight="true" outlineLevel="0" collapsed="false">
      <c r="A461" s="441" t="n">
        <v>7</v>
      </c>
      <c r="B461" s="157" t="n">
        <v>453</v>
      </c>
      <c r="C461" s="437" t="s">
        <v>7523</v>
      </c>
      <c r="D461" s="157" t="s">
        <v>7986</v>
      </c>
      <c r="E461" s="461" t="s">
        <v>2461</v>
      </c>
      <c r="F461" s="157" t="s">
        <v>7987</v>
      </c>
      <c r="G461" s="445" t="n">
        <v>47.1</v>
      </c>
      <c r="H461" s="431" t="n">
        <v>9505</v>
      </c>
      <c r="I461" s="457" t="n">
        <v>0</v>
      </c>
      <c r="J461" s="458" t="n">
        <v>15531</v>
      </c>
      <c r="K461" s="462" t="n">
        <v>5.13489150730797</v>
      </c>
      <c r="L461" s="463" t="n">
        <v>0.75</v>
      </c>
      <c r="M461" s="463" t="n">
        <v>0</v>
      </c>
      <c r="N461" s="431" t="n">
        <v>1962</v>
      </c>
      <c r="O461" s="446" t="n">
        <v>978</v>
      </c>
      <c r="Q461" s="157" t="n">
        <v>16</v>
      </c>
      <c r="R461" s="157" t="n">
        <v>1</v>
      </c>
      <c r="S461" s="157" t="n">
        <v>1</v>
      </c>
      <c r="T461" s="457" t="s">
        <v>7526</v>
      </c>
      <c r="U461" s="457" t="n">
        <v>401</v>
      </c>
      <c r="V461" s="458" t="n">
        <v>27000</v>
      </c>
      <c r="W461" s="458" t="n">
        <v>27000</v>
      </c>
      <c r="X461" s="464" t="s">
        <v>6954</v>
      </c>
      <c r="Y461" s="458" t="n">
        <v>16000</v>
      </c>
      <c r="Z461" s="457" t="s">
        <v>6638</v>
      </c>
      <c r="AC461" s="431"/>
      <c r="AD461" s="437" t="s">
        <v>6928</v>
      </c>
      <c r="AE461" s="167"/>
      <c r="AF461" s="167"/>
      <c r="AG461" s="167"/>
      <c r="AH461" s="167"/>
      <c r="AI461" s="167"/>
      <c r="AJ461" s="167"/>
      <c r="AK461" s="465"/>
      <c r="AM461" s="157"/>
    </row>
    <row r="462" customFormat="false" ht="12.75" hidden="false" customHeight="true" outlineLevel="0" collapsed="false">
      <c r="A462" s="441" t="n">
        <v>7</v>
      </c>
      <c r="B462" s="157" t="n">
        <v>454</v>
      </c>
      <c r="C462" s="437" t="s">
        <v>7523</v>
      </c>
      <c r="D462" s="157" t="s">
        <v>7266</v>
      </c>
      <c r="E462" s="461" t="s">
        <v>2461</v>
      </c>
      <c r="F462" s="157" t="s">
        <v>7988</v>
      </c>
      <c r="G462" s="431" t="n">
        <v>44.1</v>
      </c>
      <c r="H462" s="431" t="n">
        <v>9505</v>
      </c>
      <c r="I462" s="457" t="n">
        <v>0</v>
      </c>
      <c r="J462" s="458" t="n">
        <v>2800</v>
      </c>
      <c r="K462" s="462" t="n">
        <v>9.945</v>
      </c>
      <c r="L462" s="463" t="n">
        <v>0</v>
      </c>
      <c r="M462" s="463" t="n">
        <v>0.0706385118149824</v>
      </c>
      <c r="N462" s="431" t="n">
        <v>1964</v>
      </c>
      <c r="O462" s="446" t="n">
        <v>198</v>
      </c>
      <c r="Q462" s="157" t="n">
        <v>14</v>
      </c>
      <c r="R462" s="157" t="n">
        <v>3</v>
      </c>
      <c r="S462" s="157" t="n">
        <v>1</v>
      </c>
      <c r="T462" s="457" t="s">
        <v>7526</v>
      </c>
      <c r="U462" s="457" t="n">
        <v>398</v>
      </c>
      <c r="V462" s="458" t="n">
        <v>6000</v>
      </c>
      <c r="W462" s="458" t="n">
        <v>6000</v>
      </c>
      <c r="X462" s="464" t="s">
        <v>6754</v>
      </c>
      <c r="Y462" s="458" t="n">
        <v>3000</v>
      </c>
      <c r="Z462" s="457" t="s">
        <v>6638</v>
      </c>
      <c r="AC462" s="431"/>
      <c r="AD462" s="437" t="s">
        <v>7268</v>
      </c>
      <c r="AE462" s="167"/>
      <c r="AF462" s="167"/>
      <c r="AG462" s="167"/>
      <c r="AH462" s="167"/>
      <c r="AI462" s="167"/>
      <c r="AJ462" s="167"/>
      <c r="AK462" s="465" t="s">
        <v>7527</v>
      </c>
      <c r="AM462" s="157"/>
    </row>
    <row r="463" customFormat="false" ht="25.5" hidden="false" customHeight="true" outlineLevel="0" collapsed="false">
      <c r="A463" s="441" t="n">
        <v>7</v>
      </c>
      <c r="B463" s="157" t="n">
        <v>455</v>
      </c>
      <c r="C463" s="437" t="s">
        <v>7523</v>
      </c>
      <c r="D463" s="157" t="s">
        <v>7271</v>
      </c>
      <c r="E463" s="461" t="s">
        <v>2461</v>
      </c>
      <c r="F463" s="157" t="s">
        <v>7989</v>
      </c>
      <c r="G463" s="445" t="n">
        <v>44.2</v>
      </c>
      <c r="H463" s="431" t="n">
        <v>9505</v>
      </c>
      <c r="I463" s="457" t="n">
        <v>0</v>
      </c>
      <c r="J463" s="458" t="n">
        <v>4928</v>
      </c>
      <c r="K463" s="462" t="n">
        <v>6.25</v>
      </c>
      <c r="L463" s="463" t="n">
        <v>0.59</v>
      </c>
      <c r="M463" s="463" t="n">
        <v>0.391038961038961</v>
      </c>
      <c r="N463" s="431" t="n">
        <v>1970</v>
      </c>
      <c r="O463" s="446" t="n">
        <v>5575</v>
      </c>
      <c r="Q463" s="157" t="n">
        <v>18</v>
      </c>
      <c r="R463" s="157" t="n">
        <v>1</v>
      </c>
      <c r="S463" s="157" t="n">
        <v>1</v>
      </c>
      <c r="T463" s="457" t="s">
        <v>7526</v>
      </c>
      <c r="U463" s="457" t="n">
        <v>398</v>
      </c>
      <c r="V463" s="458" t="n">
        <v>18000</v>
      </c>
      <c r="W463" s="458" t="n">
        <v>18000</v>
      </c>
      <c r="X463" s="464" t="s">
        <v>6837</v>
      </c>
      <c r="Y463" s="458" t="n">
        <v>5000</v>
      </c>
      <c r="Z463" s="457" t="s">
        <v>6638</v>
      </c>
      <c r="AC463" s="431"/>
      <c r="AD463" s="437" t="s">
        <v>6651</v>
      </c>
      <c r="AE463" s="167"/>
      <c r="AF463" s="167"/>
      <c r="AG463" s="167"/>
      <c r="AH463" s="167"/>
      <c r="AI463" s="167"/>
      <c r="AJ463" s="167"/>
      <c r="AK463" s="465" t="s">
        <v>7990</v>
      </c>
      <c r="AM463" s="157"/>
    </row>
    <row r="464" customFormat="false" ht="12.75" hidden="false" customHeight="true" outlineLevel="0" collapsed="false">
      <c r="A464" s="441" t="n">
        <v>7</v>
      </c>
      <c r="B464" s="157" t="n">
        <v>456</v>
      </c>
      <c r="C464" s="437" t="s">
        <v>7523</v>
      </c>
      <c r="D464" s="157" t="s">
        <v>7991</v>
      </c>
      <c r="E464" s="461" t="s">
        <v>2461</v>
      </c>
      <c r="F464" s="157" t="s">
        <v>7992</v>
      </c>
      <c r="G464" s="431" t="n">
        <v>44.1</v>
      </c>
      <c r="H464" s="431" t="n">
        <v>9505</v>
      </c>
      <c r="I464" s="457" t="n">
        <v>0</v>
      </c>
      <c r="J464" s="458" t="n">
        <v>28364</v>
      </c>
      <c r="K464" s="462" t="n">
        <v>5.9060781272035</v>
      </c>
      <c r="L464" s="463" t="n">
        <v>0</v>
      </c>
      <c r="M464" s="463" t="n">
        <v>0.0065365329512894</v>
      </c>
      <c r="N464" s="431" t="n">
        <v>1961</v>
      </c>
      <c r="O464" s="446" t="n">
        <v>1967</v>
      </c>
      <c r="Q464" s="157" t="n">
        <v>13</v>
      </c>
      <c r="R464" s="157" t="n">
        <v>3</v>
      </c>
      <c r="S464" s="157" t="n">
        <v>1</v>
      </c>
      <c r="T464" s="457" t="s">
        <v>7526</v>
      </c>
      <c r="U464" s="457" t="n">
        <v>398</v>
      </c>
      <c r="V464" s="458" t="n">
        <v>47476</v>
      </c>
      <c r="W464" s="458" t="n">
        <v>47000</v>
      </c>
      <c r="X464" s="464" t="s">
        <v>6954</v>
      </c>
      <c r="Y464" s="458" t="n">
        <v>28000</v>
      </c>
      <c r="Z464" s="457" t="s">
        <v>6638</v>
      </c>
      <c r="AC464" s="431"/>
      <c r="AD464" s="437"/>
      <c r="AE464" s="167"/>
      <c r="AF464" s="167"/>
      <c r="AG464" s="167"/>
      <c r="AH464" s="167"/>
      <c r="AI464" s="167"/>
      <c r="AJ464" s="167"/>
      <c r="AK464" s="465"/>
      <c r="AM464" s="157"/>
    </row>
    <row r="465" customFormat="false" ht="12.75" hidden="false" customHeight="true" outlineLevel="0" collapsed="false">
      <c r="A465" s="441" t="n">
        <v>7</v>
      </c>
      <c r="B465" s="157" t="n">
        <v>457</v>
      </c>
      <c r="C465" s="437" t="s">
        <v>7523</v>
      </c>
      <c r="D465" s="157" t="s">
        <v>7273</v>
      </c>
      <c r="E465" s="461" t="s">
        <v>2461</v>
      </c>
      <c r="F465" s="157" t="s">
        <v>7993</v>
      </c>
      <c r="G465" s="431" t="n">
        <v>44.1</v>
      </c>
      <c r="H465" s="431" t="n">
        <v>9508</v>
      </c>
      <c r="I465" s="457" t="n">
        <v>0</v>
      </c>
      <c r="J465" s="458" t="n">
        <v>4681</v>
      </c>
      <c r="K465" s="462" t="n">
        <v>11.0232856227302</v>
      </c>
      <c r="L465" s="463" t="n">
        <v>0</v>
      </c>
      <c r="M465" s="463" t="n">
        <v>0.0242635658914729</v>
      </c>
      <c r="N465" s="431" t="n">
        <v>1937</v>
      </c>
      <c r="O465" s="446" t="n">
        <v>700</v>
      </c>
      <c r="P465" s="446" t="n">
        <v>1922</v>
      </c>
      <c r="Q465" s="157" t="n">
        <v>18</v>
      </c>
      <c r="R465" s="157" t="n">
        <v>3</v>
      </c>
      <c r="S465" s="157" t="n">
        <v>1</v>
      </c>
      <c r="T465" s="457" t="s">
        <v>7526</v>
      </c>
      <c r="U465" s="457" t="n">
        <v>398</v>
      </c>
      <c r="V465" s="458" t="n">
        <v>14136</v>
      </c>
      <c r="W465" s="458" t="n">
        <v>14000</v>
      </c>
      <c r="X465" s="464" t="s">
        <v>7563</v>
      </c>
      <c r="Y465" s="458" t="n">
        <v>5000</v>
      </c>
      <c r="Z465" s="457" t="s">
        <v>6638</v>
      </c>
      <c r="AC465" s="431"/>
      <c r="AD465" s="437" t="s">
        <v>7275</v>
      </c>
      <c r="AE465" s="167"/>
      <c r="AF465" s="167"/>
      <c r="AG465" s="167"/>
      <c r="AH465" s="167"/>
      <c r="AI465" s="167"/>
      <c r="AJ465" s="167"/>
      <c r="AK465" s="465"/>
      <c r="AM465" s="157"/>
    </row>
    <row r="466" customFormat="false" ht="25.5" hidden="false" customHeight="true" outlineLevel="0" collapsed="false">
      <c r="A466" s="441" t="n">
        <v>7</v>
      </c>
      <c r="B466" s="157" t="n">
        <v>458</v>
      </c>
      <c r="C466" s="437" t="s">
        <v>7523</v>
      </c>
      <c r="D466" s="157" t="s">
        <v>7277</v>
      </c>
      <c r="E466" s="461" t="s">
        <v>2461</v>
      </c>
      <c r="F466" s="157" t="s">
        <v>7994</v>
      </c>
      <c r="G466" s="431" t="n">
        <v>44.1</v>
      </c>
      <c r="H466" s="431" t="n">
        <v>9508</v>
      </c>
      <c r="I466" s="457" t="n">
        <v>0</v>
      </c>
      <c r="J466" s="458" t="n">
        <v>6930</v>
      </c>
      <c r="K466" s="462" t="n">
        <v>6.14963924963925</v>
      </c>
      <c r="L466" s="463" t="n">
        <v>0</v>
      </c>
      <c r="M466" s="463" t="n">
        <v>0.30699016824272</v>
      </c>
      <c r="N466" s="431" t="n">
        <v>1965</v>
      </c>
      <c r="O466" s="446" t="n">
        <v>1260</v>
      </c>
      <c r="Q466" s="157" t="n">
        <v>13</v>
      </c>
      <c r="R466" s="157" t="n">
        <v>1</v>
      </c>
      <c r="S466" s="157" t="n">
        <v>1</v>
      </c>
      <c r="T466" s="457" t="s">
        <v>7526</v>
      </c>
      <c r="U466" s="457" t="n">
        <v>398</v>
      </c>
      <c r="V466" s="458" t="n">
        <v>18900</v>
      </c>
      <c r="W466" s="458" t="n">
        <v>19000</v>
      </c>
      <c r="X466" s="464" t="s">
        <v>6757</v>
      </c>
      <c r="Y466" s="458" t="n">
        <v>7000</v>
      </c>
      <c r="Z466" s="457" t="s">
        <v>6638</v>
      </c>
      <c r="AC466" s="431"/>
      <c r="AD466" s="437"/>
      <c r="AE466" s="167"/>
      <c r="AF466" s="167"/>
      <c r="AG466" s="167"/>
      <c r="AH466" s="167"/>
      <c r="AI466" s="167"/>
      <c r="AJ466" s="167"/>
      <c r="AK466" s="465" t="s">
        <v>7995</v>
      </c>
      <c r="AM466" s="157"/>
    </row>
    <row r="467" customFormat="false" ht="12.75" hidden="false" customHeight="true" outlineLevel="0" collapsed="false">
      <c r="A467" s="441" t="n">
        <v>7</v>
      </c>
      <c r="B467" s="157" t="n">
        <v>459</v>
      </c>
      <c r="C467" s="437" t="s">
        <v>7523</v>
      </c>
      <c r="D467" s="157" t="s">
        <v>7996</v>
      </c>
      <c r="E467" s="461" t="s">
        <v>2461</v>
      </c>
      <c r="F467" s="157" t="s">
        <v>7997</v>
      </c>
      <c r="G467" s="431" t="n">
        <v>44.1</v>
      </c>
      <c r="H467" s="431" t="n">
        <v>9508</v>
      </c>
      <c r="I467" s="457" t="n">
        <v>0</v>
      </c>
      <c r="J467" s="458" t="n">
        <v>6300</v>
      </c>
      <c r="K467" s="462" t="n">
        <v>5.71428571428571</v>
      </c>
      <c r="L467" s="463" t="n">
        <v>0</v>
      </c>
      <c r="M467" s="463" t="n">
        <v>0.151861111111111</v>
      </c>
      <c r="N467" s="431" t="n">
        <v>1982</v>
      </c>
      <c r="O467" s="446" t="n">
        <v>929</v>
      </c>
      <c r="Q467" s="157" t="n">
        <v>15</v>
      </c>
      <c r="R467" s="157" t="n">
        <v>3</v>
      </c>
      <c r="S467" s="157" t="n">
        <v>1</v>
      </c>
      <c r="T467" s="457" t="s">
        <v>7529</v>
      </c>
      <c r="U467" s="457" t="n">
        <v>398</v>
      </c>
      <c r="V467" s="458" t="n">
        <v>12500</v>
      </c>
      <c r="W467" s="458" t="n">
        <v>13000</v>
      </c>
      <c r="X467" s="464" t="s">
        <v>7546</v>
      </c>
      <c r="Y467" s="458" t="n">
        <v>6000</v>
      </c>
      <c r="Z467" s="457" t="s">
        <v>6638</v>
      </c>
      <c r="AC467" s="431"/>
      <c r="AD467" s="437"/>
      <c r="AE467" s="167"/>
      <c r="AF467" s="167"/>
      <c r="AG467" s="167"/>
      <c r="AH467" s="167"/>
      <c r="AI467" s="167"/>
      <c r="AJ467" s="167"/>
      <c r="AK467" s="465"/>
      <c r="AM467" s="157"/>
    </row>
    <row r="468" customFormat="false" ht="12.75" hidden="false" customHeight="true" outlineLevel="0" collapsed="false">
      <c r="A468" s="441" t="n">
        <v>7</v>
      </c>
      <c r="B468" s="157" t="n">
        <v>460</v>
      </c>
      <c r="C468" s="437" t="s">
        <v>7523</v>
      </c>
      <c r="D468" s="157" t="s">
        <v>7998</v>
      </c>
      <c r="E468" s="461" t="s">
        <v>2461</v>
      </c>
      <c r="F468" s="157" t="s">
        <v>7999</v>
      </c>
      <c r="G468" s="431" t="n">
        <v>44.1</v>
      </c>
      <c r="H468" s="431" t="n">
        <v>9508</v>
      </c>
      <c r="I468" s="457" t="n">
        <v>0</v>
      </c>
      <c r="J468" s="458" t="n">
        <v>3424</v>
      </c>
      <c r="K468" s="462" t="n">
        <v>7.00934579439252</v>
      </c>
      <c r="L468" s="463" t="n">
        <v>0</v>
      </c>
      <c r="M468" s="463" t="n">
        <v>0.285625</v>
      </c>
      <c r="N468" s="431" t="n">
        <v>1966</v>
      </c>
      <c r="O468" s="446" t="n">
        <v>1024</v>
      </c>
      <c r="Q468" s="157" t="n">
        <v>12</v>
      </c>
      <c r="R468" s="157" t="n">
        <v>7</v>
      </c>
      <c r="S468" s="157" t="n">
        <v>1</v>
      </c>
      <c r="T468" s="457" t="s">
        <v>7531</v>
      </c>
      <c r="U468" s="457" t="n">
        <v>398</v>
      </c>
      <c r="V468" s="458" t="n">
        <v>21106</v>
      </c>
      <c r="W468" s="458" t="n">
        <v>21000</v>
      </c>
      <c r="X468" s="464" t="s">
        <v>8000</v>
      </c>
      <c r="Y468" s="458" t="n">
        <v>3000</v>
      </c>
      <c r="Z468" s="457" t="s">
        <v>6638</v>
      </c>
      <c r="AC468" s="431"/>
      <c r="AD468" s="437" t="s">
        <v>8001</v>
      </c>
      <c r="AE468" s="167"/>
      <c r="AF468" s="167"/>
      <c r="AG468" s="167"/>
      <c r="AH468" s="167"/>
      <c r="AI468" s="167"/>
      <c r="AJ468" s="167"/>
      <c r="AK468" s="465" t="s">
        <v>7527</v>
      </c>
      <c r="AM468" s="157"/>
    </row>
    <row r="469" customFormat="false" ht="25.5" hidden="false" customHeight="true" outlineLevel="0" collapsed="false">
      <c r="A469" s="441" t="n">
        <v>7</v>
      </c>
      <c r="B469" s="157" t="n">
        <v>461</v>
      </c>
      <c r="C469" s="437" t="s">
        <v>7523</v>
      </c>
      <c r="D469" s="157" t="s">
        <v>8002</v>
      </c>
      <c r="E469" s="461" t="s">
        <v>2461</v>
      </c>
      <c r="F469" s="157" t="s">
        <v>8003</v>
      </c>
      <c r="G469" s="431" t="n">
        <v>44.1</v>
      </c>
      <c r="H469" s="431" t="n">
        <v>9508</v>
      </c>
      <c r="I469" s="457" t="n">
        <v>0</v>
      </c>
      <c r="J469" s="458" t="n">
        <v>5350</v>
      </c>
      <c r="K469" s="462" t="n">
        <v>6.28130841121495</v>
      </c>
      <c r="L469" s="463" t="n">
        <v>0</v>
      </c>
      <c r="M469" s="463" t="n">
        <v>0.257937806873977</v>
      </c>
      <c r="N469" s="431" t="n">
        <v>1977</v>
      </c>
      <c r="O469" s="446" t="n">
        <v>699</v>
      </c>
      <c r="Q469" s="157" t="n">
        <v>21</v>
      </c>
      <c r="R469" s="157" t="n">
        <v>14</v>
      </c>
      <c r="S469" s="157" t="n">
        <v>1</v>
      </c>
      <c r="T469" s="457" t="s">
        <v>7531</v>
      </c>
      <c r="U469" s="457" t="n">
        <v>398</v>
      </c>
      <c r="V469" s="458" t="n">
        <v>33457</v>
      </c>
      <c r="W469" s="458" t="n">
        <v>33000</v>
      </c>
      <c r="X469" s="464" t="s">
        <v>6837</v>
      </c>
      <c r="Y469" s="458" t="n">
        <v>5000</v>
      </c>
      <c r="Z469" s="457" t="s">
        <v>6638</v>
      </c>
      <c r="AC469" s="431"/>
      <c r="AD469" s="437" t="s">
        <v>6651</v>
      </c>
      <c r="AE469" s="167"/>
      <c r="AF469" s="167"/>
      <c r="AG469" s="167"/>
      <c r="AH469" s="167"/>
      <c r="AI469" s="167"/>
      <c r="AJ469" s="167"/>
      <c r="AK469" s="465" t="s">
        <v>8004</v>
      </c>
      <c r="AM469" s="157"/>
    </row>
    <row r="470" customFormat="false" ht="12.75" hidden="false" customHeight="true" outlineLevel="0" collapsed="false">
      <c r="A470" s="441" t="n">
        <v>7</v>
      </c>
      <c r="B470" s="157" t="n">
        <v>462</v>
      </c>
      <c r="C470" s="437" t="s">
        <v>7523</v>
      </c>
      <c r="D470" s="157" t="s">
        <v>8005</v>
      </c>
      <c r="E470" s="461" t="s">
        <v>2461</v>
      </c>
      <c r="F470" s="157" t="s">
        <v>8006</v>
      </c>
      <c r="G470" s="431" t="n">
        <v>44.1</v>
      </c>
      <c r="H470" s="431" t="n">
        <v>9508</v>
      </c>
      <c r="I470" s="457" t="n">
        <v>0</v>
      </c>
      <c r="J470" s="458" t="n">
        <v>17155</v>
      </c>
      <c r="K470" s="462" t="n">
        <v>12.5910813174002</v>
      </c>
      <c r="L470" s="463" t="n">
        <v>0</v>
      </c>
      <c r="M470" s="463" t="n">
        <v>0</v>
      </c>
      <c r="N470" s="431" t="n">
        <v>1987</v>
      </c>
      <c r="O470" s="446" t="n">
        <v>1227</v>
      </c>
      <c r="Q470" s="157" t="n">
        <v>22</v>
      </c>
      <c r="R470" s="157" t="n">
        <v>3</v>
      </c>
      <c r="S470" s="157" t="n">
        <v>1</v>
      </c>
      <c r="T470" s="457" t="s">
        <v>7531</v>
      </c>
      <c r="U470" s="457" t="n">
        <v>398</v>
      </c>
      <c r="V470" s="458" t="n">
        <v>29750</v>
      </c>
      <c r="W470" s="458" t="n">
        <v>30000</v>
      </c>
      <c r="X470" s="464" t="s">
        <v>6954</v>
      </c>
      <c r="Y470" s="458" t="n">
        <v>17000</v>
      </c>
      <c r="Z470" s="457" t="s">
        <v>6638</v>
      </c>
      <c r="AC470" s="431"/>
      <c r="AD470" s="437" t="s">
        <v>6676</v>
      </c>
      <c r="AE470" s="167"/>
      <c r="AF470" s="167"/>
      <c r="AG470" s="167"/>
      <c r="AH470" s="167"/>
      <c r="AI470" s="167"/>
      <c r="AJ470" s="167"/>
      <c r="AK470" s="465" t="s">
        <v>8007</v>
      </c>
      <c r="AM470" s="157"/>
    </row>
    <row r="471" customFormat="false" ht="12.75" hidden="false" customHeight="true" outlineLevel="0" collapsed="false">
      <c r="A471" s="441" t="n">
        <v>7</v>
      </c>
      <c r="B471" s="157" t="n">
        <v>463</v>
      </c>
      <c r="C471" s="437" t="s">
        <v>7523</v>
      </c>
      <c r="D471" s="157" t="s">
        <v>8008</v>
      </c>
      <c r="E471" s="461" t="s">
        <v>2461</v>
      </c>
      <c r="F471" s="157" t="s">
        <v>8009</v>
      </c>
      <c r="G471" s="431" t="n">
        <v>44.1</v>
      </c>
      <c r="H471" s="431" t="n">
        <v>9508</v>
      </c>
      <c r="I471" s="457" t="n">
        <v>0</v>
      </c>
      <c r="J471" s="458" t="n">
        <v>2905</v>
      </c>
      <c r="K471" s="462" t="n">
        <v>6.19621342512909</v>
      </c>
      <c r="L471" s="463" t="n">
        <v>0</v>
      </c>
      <c r="M471" s="463" t="n">
        <v>0</v>
      </c>
      <c r="N471" s="431" t="n">
        <v>1978</v>
      </c>
      <c r="O471" s="446" t="n">
        <v>350</v>
      </c>
      <c r="Q471" s="157" t="n">
        <v>14</v>
      </c>
      <c r="R471" s="157" t="n">
        <v>3</v>
      </c>
      <c r="S471" s="157" t="n">
        <v>1</v>
      </c>
      <c r="T471" s="457" t="s">
        <v>7529</v>
      </c>
      <c r="U471" s="457" t="n">
        <v>398</v>
      </c>
      <c r="V471" s="458" t="n">
        <v>6875</v>
      </c>
      <c r="W471" s="458" t="n">
        <v>7000</v>
      </c>
      <c r="X471" s="464" t="s">
        <v>6650</v>
      </c>
      <c r="Y471" s="458" t="n">
        <v>3000</v>
      </c>
      <c r="Z471" s="457" t="s">
        <v>6638</v>
      </c>
      <c r="AC471" s="431"/>
      <c r="AD471" s="437" t="s">
        <v>8010</v>
      </c>
      <c r="AE471" s="167"/>
      <c r="AF471" s="167"/>
      <c r="AG471" s="167"/>
      <c r="AH471" s="167"/>
      <c r="AI471" s="167"/>
      <c r="AJ471" s="167"/>
      <c r="AK471" s="465"/>
      <c r="AM471" s="157"/>
    </row>
    <row r="472" customFormat="false" ht="12.75" hidden="false" customHeight="true" outlineLevel="0" collapsed="false">
      <c r="A472" s="441" t="n">
        <v>7</v>
      </c>
      <c r="B472" s="157" t="n">
        <v>464</v>
      </c>
      <c r="C472" s="437" t="s">
        <v>7523</v>
      </c>
      <c r="D472" s="157" t="s">
        <v>7300</v>
      </c>
      <c r="E472" s="461" t="s">
        <v>2461</v>
      </c>
      <c r="F472" s="157" t="s">
        <v>8011</v>
      </c>
      <c r="G472" s="445" t="n">
        <v>44.2</v>
      </c>
      <c r="H472" s="431" t="n">
        <v>9508</v>
      </c>
      <c r="I472" s="457" t="n">
        <v>0</v>
      </c>
      <c r="J472" s="458" t="n">
        <v>4000</v>
      </c>
      <c r="K472" s="462" t="n">
        <v>6</v>
      </c>
      <c r="L472" s="463" t="n">
        <v>0</v>
      </c>
      <c r="M472" s="463" t="n">
        <v>0.483916666666667</v>
      </c>
      <c r="N472" s="431" t="n">
        <v>1979</v>
      </c>
      <c r="O472" s="446" t="n">
        <v>2242</v>
      </c>
      <c r="P472" s="446" t="n">
        <v>521</v>
      </c>
      <c r="Q472" s="157" t="n">
        <v>16</v>
      </c>
      <c r="R472" s="157" t="n">
        <v>3</v>
      </c>
      <c r="S472" s="157" t="n">
        <v>1</v>
      </c>
      <c r="T472" s="457" t="s">
        <v>7529</v>
      </c>
      <c r="U472" s="457" t="n">
        <v>398</v>
      </c>
      <c r="V472" s="458" t="n">
        <v>10000</v>
      </c>
      <c r="W472" s="458" t="n">
        <v>10000</v>
      </c>
      <c r="X472" s="464" t="s">
        <v>6754</v>
      </c>
      <c r="Y472" s="458" t="n">
        <v>4000</v>
      </c>
      <c r="Z472" s="457" t="s">
        <v>6638</v>
      </c>
      <c r="AC472" s="431"/>
      <c r="AD472" s="437" t="s">
        <v>7302</v>
      </c>
      <c r="AE472" s="167"/>
      <c r="AF472" s="167"/>
      <c r="AG472" s="167"/>
      <c r="AH472" s="167"/>
      <c r="AI472" s="167"/>
      <c r="AJ472" s="167"/>
      <c r="AK472" s="465" t="s">
        <v>6901</v>
      </c>
      <c r="AM472" s="157"/>
    </row>
    <row r="473" customFormat="false" ht="12.75" hidden="false" customHeight="true" outlineLevel="0" collapsed="false">
      <c r="A473" s="441" t="n">
        <v>7</v>
      </c>
      <c r="B473" s="157" t="n">
        <v>465</v>
      </c>
      <c r="C473" s="437" t="s">
        <v>7523</v>
      </c>
      <c r="D473" s="157" t="s">
        <v>8012</v>
      </c>
      <c r="E473" s="461" t="s">
        <v>2461</v>
      </c>
      <c r="F473" s="157" t="s">
        <v>8013</v>
      </c>
      <c r="G473" s="445" t="n">
        <v>44.2</v>
      </c>
      <c r="H473" s="431" t="n">
        <v>9508</v>
      </c>
      <c r="I473" s="457" t="n">
        <v>0</v>
      </c>
      <c r="J473" s="458" t="n">
        <v>6558</v>
      </c>
      <c r="K473" s="462" t="n">
        <v>5.41323574260445</v>
      </c>
      <c r="L473" s="463" t="n">
        <v>0</v>
      </c>
      <c r="M473" s="463" t="n">
        <v>0</v>
      </c>
      <c r="N473" s="431" t="n">
        <v>1980</v>
      </c>
      <c r="O473" s="446" t="n">
        <v>2350</v>
      </c>
      <c r="Q473" s="157" t="n">
        <v>14</v>
      </c>
      <c r="R473" s="157" t="n">
        <v>3</v>
      </c>
      <c r="S473" s="157" t="n">
        <v>1</v>
      </c>
      <c r="T473" s="457" t="s">
        <v>7529</v>
      </c>
      <c r="U473" s="457" t="n">
        <v>398</v>
      </c>
      <c r="V473" s="458" t="n">
        <v>12875</v>
      </c>
      <c r="W473" s="458" t="n">
        <v>13000</v>
      </c>
      <c r="X473" s="464" t="s">
        <v>7546</v>
      </c>
      <c r="Y473" s="458" t="n">
        <v>7000</v>
      </c>
      <c r="Z473" s="457" t="s">
        <v>6638</v>
      </c>
      <c r="AC473" s="431"/>
      <c r="AD473" s="437"/>
      <c r="AE473" s="167"/>
      <c r="AF473" s="167"/>
      <c r="AG473" s="167"/>
      <c r="AH473" s="167"/>
      <c r="AI473" s="167"/>
      <c r="AJ473" s="167"/>
      <c r="AK473" s="465" t="s">
        <v>8014</v>
      </c>
      <c r="AM473" s="157"/>
    </row>
    <row r="474" customFormat="false" ht="12.75" hidden="false" customHeight="true" outlineLevel="0" collapsed="false">
      <c r="A474" s="441" t="n">
        <v>7</v>
      </c>
      <c r="B474" s="157" t="n">
        <v>466</v>
      </c>
      <c r="C474" s="437" t="s">
        <v>7523</v>
      </c>
      <c r="D474" s="157" t="s">
        <v>7307</v>
      </c>
      <c r="E474" s="461" t="s">
        <v>2461</v>
      </c>
      <c r="F474" s="157" t="s">
        <v>8015</v>
      </c>
      <c r="G474" s="445" t="n">
        <v>44.2</v>
      </c>
      <c r="H474" s="431" t="n">
        <v>9508</v>
      </c>
      <c r="I474" s="457" t="n">
        <v>0</v>
      </c>
      <c r="J474" s="458" t="n">
        <v>2000</v>
      </c>
      <c r="K474" s="462" t="n">
        <v>7.2</v>
      </c>
      <c r="L474" s="463" t="n">
        <v>0</v>
      </c>
      <c r="M474" s="463" t="n">
        <v>0.153194444444444</v>
      </c>
      <c r="N474" s="431" t="n">
        <v>1984</v>
      </c>
      <c r="O474" s="446" t="n">
        <v>2738</v>
      </c>
      <c r="Q474" s="157" t="n">
        <v>14</v>
      </c>
      <c r="R474" s="157" t="n">
        <v>3</v>
      </c>
      <c r="S474" s="157" t="n">
        <v>2</v>
      </c>
      <c r="T474" s="457" t="s">
        <v>7529</v>
      </c>
      <c r="U474" s="457" t="n">
        <v>398</v>
      </c>
      <c r="V474" s="458" t="n">
        <v>12500</v>
      </c>
      <c r="W474" s="458" t="n">
        <v>13000</v>
      </c>
      <c r="X474" s="464" t="s">
        <v>6837</v>
      </c>
      <c r="Y474" s="458" t="n">
        <v>2000</v>
      </c>
      <c r="Z474" s="457" t="s">
        <v>6638</v>
      </c>
      <c r="AC474" s="431"/>
      <c r="AD474" s="437"/>
      <c r="AE474" s="167"/>
      <c r="AF474" s="167"/>
      <c r="AG474" s="167"/>
      <c r="AH474" s="167"/>
      <c r="AI474" s="167"/>
      <c r="AJ474" s="167"/>
      <c r="AK474" s="465" t="s">
        <v>8016</v>
      </c>
      <c r="AM474" s="157"/>
    </row>
    <row r="475" customFormat="false" ht="12.75" hidden="false" customHeight="true" outlineLevel="0" collapsed="false">
      <c r="A475" s="441" t="n">
        <v>7</v>
      </c>
      <c r="B475" s="157" t="n">
        <v>467</v>
      </c>
      <c r="C475" s="437" t="s">
        <v>7523</v>
      </c>
      <c r="D475" s="157" t="s">
        <v>8017</v>
      </c>
      <c r="E475" s="461" t="s">
        <v>2461</v>
      </c>
      <c r="F475" s="157" t="s">
        <v>8018</v>
      </c>
      <c r="G475" s="445" t="n">
        <v>44.2</v>
      </c>
      <c r="H475" s="431" t="n">
        <v>9505</v>
      </c>
      <c r="I475" s="457" t="n">
        <v>0</v>
      </c>
      <c r="J475" s="458" t="n">
        <v>4950</v>
      </c>
      <c r="K475" s="462" t="n">
        <v>6.4779797979798</v>
      </c>
      <c r="L475" s="463" t="n">
        <v>0</v>
      </c>
      <c r="M475" s="463" t="n">
        <v>0.061030374851868</v>
      </c>
      <c r="N475" s="431" t="n">
        <v>1966</v>
      </c>
      <c r="O475" s="446" t="n">
        <v>517</v>
      </c>
      <c r="Q475" s="157" t="n">
        <v>14</v>
      </c>
      <c r="R475" s="157" t="n">
        <v>3</v>
      </c>
      <c r="S475" s="157" t="n">
        <v>1</v>
      </c>
      <c r="T475" s="457" t="s">
        <v>7526</v>
      </c>
      <c r="U475" s="457" t="n">
        <v>397</v>
      </c>
      <c r="V475" s="458" t="n">
        <v>7582</v>
      </c>
      <c r="W475" s="458" t="n">
        <v>8000</v>
      </c>
      <c r="X475" s="464" t="s">
        <v>6837</v>
      </c>
      <c r="Y475" s="458" t="n">
        <v>5000</v>
      </c>
      <c r="Z475" s="457" t="s">
        <v>6638</v>
      </c>
      <c r="AC475" s="431"/>
      <c r="AD475" s="437" t="s">
        <v>8019</v>
      </c>
      <c r="AE475" s="167"/>
      <c r="AF475" s="167"/>
      <c r="AG475" s="167"/>
      <c r="AH475" s="167"/>
      <c r="AI475" s="167"/>
      <c r="AJ475" s="167"/>
      <c r="AK475" s="465" t="s">
        <v>6901</v>
      </c>
      <c r="AM475" s="157"/>
    </row>
    <row r="476" customFormat="false" ht="12.75" hidden="false" customHeight="true" outlineLevel="0" collapsed="false">
      <c r="A476" s="441" t="n">
        <v>7</v>
      </c>
      <c r="B476" s="157" t="n">
        <v>468</v>
      </c>
      <c r="C476" s="437" t="s">
        <v>7523</v>
      </c>
      <c r="D476" s="157" t="s">
        <v>7310</v>
      </c>
      <c r="E476" s="461" t="s">
        <v>2461</v>
      </c>
      <c r="F476" s="157" t="s">
        <v>8020</v>
      </c>
      <c r="G476" s="445" t="n">
        <v>47.2</v>
      </c>
      <c r="H476" s="431" t="n">
        <v>9505</v>
      </c>
      <c r="I476" s="457" t="n">
        <v>0</v>
      </c>
      <c r="J476" s="458" t="n">
        <v>7585</v>
      </c>
      <c r="K476" s="462" t="n">
        <v>7.11931443638761</v>
      </c>
      <c r="L476" s="463" t="n">
        <v>0</v>
      </c>
      <c r="M476" s="463" t="n">
        <v>0</v>
      </c>
      <c r="N476" s="431" t="n">
        <v>1957</v>
      </c>
      <c r="O476" s="446" t="n">
        <v>0</v>
      </c>
      <c r="Q476" s="157" t="n">
        <v>12</v>
      </c>
      <c r="R476" s="157" t="n">
        <v>3</v>
      </c>
      <c r="S476" s="157" t="n">
        <v>1</v>
      </c>
      <c r="T476" s="457" t="s">
        <v>7526</v>
      </c>
      <c r="U476" s="457" t="n">
        <v>401</v>
      </c>
      <c r="V476" s="458" t="n">
        <v>19000</v>
      </c>
      <c r="W476" s="458" t="n">
        <v>19000</v>
      </c>
      <c r="X476" s="464" t="s">
        <v>6692</v>
      </c>
      <c r="Y476" s="458" t="n">
        <v>8000</v>
      </c>
      <c r="Z476" s="457" t="s">
        <v>6638</v>
      </c>
      <c r="AC476" s="431"/>
      <c r="AD476" s="437"/>
      <c r="AE476" s="167"/>
      <c r="AF476" s="167"/>
      <c r="AG476" s="167"/>
      <c r="AH476" s="167"/>
      <c r="AI476" s="167"/>
      <c r="AJ476" s="167"/>
      <c r="AK476" s="465" t="s">
        <v>7527</v>
      </c>
      <c r="AM476" s="157"/>
    </row>
    <row r="477" customFormat="false" ht="12.75" hidden="false" customHeight="true" outlineLevel="0" collapsed="false">
      <c r="A477" s="441" t="n">
        <v>7</v>
      </c>
      <c r="B477" s="157" t="n">
        <v>469</v>
      </c>
      <c r="C477" s="437" t="s">
        <v>7523</v>
      </c>
      <c r="D477" s="157" t="s">
        <v>8021</v>
      </c>
      <c r="E477" s="461" t="s">
        <v>2461</v>
      </c>
      <c r="F477" s="157" t="s">
        <v>8022</v>
      </c>
      <c r="G477" s="431" t="n">
        <v>44.1</v>
      </c>
      <c r="H477" s="431" t="n">
        <v>9505</v>
      </c>
      <c r="I477" s="457" t="n">
        <v>0</v>
      </c>
      <c r="J477" s="458" t="n">
        <v>5467</v>
      </c>
      <c r="K477" s="462" t="n">
        <v>9.43844887506859</v>
      </c>
      <c r="L477" s="463" t="n">
        <v>0</v>
      </c>
      <c r="M477" s="463" t="n">
        <v>0.0324031007751938</v>
      </c>
      <c r="N477" s="431" t="n">
        <v>1968</v>
      </c>
      <c r="O477" s="446" t="n">
        <v>1510</v>
      </c>
      <c r="Q477" s="157" t="n">
        <v>18</v>
      </c>
      <c r="R477" s="157" t="n">
        <v>3</v>
      </c>
      <c r="S477" s="157" t="n">
        <v>1</v>
      </c>
      <c r="T477" s="457" t="s">
        <v>7526</v>
      </c>
      <c r="U477" s="457" t="n">
        <v>398</v>
      </c>
      <c r="V477" s="458" t="n">
        <v>11400</v>
      </c>
      <c r="W477" s="458" t="n">
        <v>11000</v>
      </c>
      <c r="X477" s="464" t="s">
        <v>6754</v>
      </c>
      <c r="Y477" s="458" t="n">
        <v>5000</v>
      </c>
      <c r="Z477" s="457" t="s">
        <v>6638</v>
      </c>
      <c r="AC477" s="431"/>
      <c r="AD477" s="437" t="s">
        <v>8023</v>
      </c>
      <c r="AE477" s="167"/>
      <c r="AF477" s="167"/>
      <c r="AG477" s="167"/>
      <c r="AH477" s="167"/>
      <c r="AI477" s="167"/>
      <c r="AJ477" s="167"/>
      <c r="AK477" s="465"/>
      <c r="AM477" s="157"/>
    </row>
    <row r="478" customFormat="false" ht="12.75" hidden="false" customHeight="true" outlineLevel="0" collapsed="false">
      <c r="A478" s="441" t="n">
        <v>7</v>
      </c>
      <c r="B478" s="157" t="n">
        <v>470</v>
      </c>
      <c r="C478" s="437" t="s">
        <v>7523</v>
      </c>
      <c r="D478" s="157" t="s">
        <v>7312</v>
      </c>
      <c r="E478" s="461" t="s">
        <v>2461</v>
      </c>
      <c r="F478" s="157" t="s">
        <v>8024</v>
      </c>
      <c r="G478" s="431" t="n">
        <v>44.1</v>
      </c>
      <c r="H478" s="431" t="n">
        <v>9505</v>
      </c>
      <c r="I478" s="457" t="n">
        <v>3</v>
      </c>
      <c r="J478" s="458" t="n">
        <v>6802</v>
      </c>
      <c r="K478" s="462" t="n">
        <v>7.70596883269627</v>
      </c>
      <c r="L478" s="463" t="n">
        <v>0</v>
      </c>
      <c r="M478" s="463" t="n">
        <v>0</v>
      </c>
      <c r="N478" s="431" t="n">
        <v>1971</v>
      </c>
      <c r="O478" s="446" t="n">
        <v>1338</v>
      </c>
      <c r="Q478" s="157" t="n">
        <v>20</v>
      </c>
      <c r="R478" s="157" t="n">
        <v>7</v>
      </c>
      <c r="S478" s="157" t="n">
        <v>1</v>
      </c>
      <c r="T478" s="457" t="s">
        <v>7526</v>
      </c>
      <c r="U478" s="457" t="n">
        <v>398</v>
      </c>
      <c r="V478" s="458" t="n">
        <v>13864</v>
      </c>
      <c r="W478" s="458" t="n">
        <v>14000</v>
      </c>
      <c r="X478" s="464" t="s">
        <v>7546</v>
      </c>
      <c r="Y478" s="458" t="n">
        <v>7000</v>
      </c>
      <c r="Z478" s="457" t="s">
        <v>6638</v>
      </c>
      <c r="AC478" s="431"/>
      <c r="AD478" s="437" t="s">
        <v>7314</v>
      </c>
      <c r="AE478" s="167"/>
      <c r="AF478" s="167"/>
      <c r="AG478" s="167"/>
      <c r="AH478" s="167"/>
      <c r="AI478" s="167"/>
      <c r="AJ478" s="167"/>
      <c r="AK478" s="465"/>
      <c r="AM478" s="157"/>
    </row>
    <row r="479" customFormat="false" ht="25.5" hidden="false" customHeight="true" outlineLevel="0" collapsed="false">
      <c r="A479" s="441" t="n">
        <v>7</v>
      </c>
      <c r="B479" s="157" t="n">
        <v>471</v>
      </c>
      <c r="C479" s="437" t="s">
        <v>7523</v>
      </c>
      <c r="D479" s="157" t="s">
        <v>8025</v>
      </c>
      <c r="E479" s="461" t="s">
        <v>2461</v>
      </c>
      <c r="F479" s="157" t="s">
        <v>8026</v>
      </c>
      <c r="G479" s="431" t="n">
        <v>44.1</v>
      </c>
      <c r="H479" s="431" t="n">
        <v>9505</v>
      </c>
      <c r="I479" s="457" t="n">
        <v>0</v>
      </c>
      <c r="J479" s="458" t="n">
        <v>1305</v>
      </c>
      <c r="K479" s="462" t="n">
        <v>9.93103448275862</v>
      </c>
      <c r="L479" s="463" t="n">
        <v>0</v>
      </c>
      <c r="M479" s="463" t="n">
        <v>0</v>
      </c>
      <c r="N479" s="431" t="n">
        <v>1948</v>
      </c>
      <c r="O479" s="458" t="n">
        <v>100</v>
      </c>
      <c r="P479" s="458"/>
      <c r="Q479" s="157" t="n">
        <v>10</v>
      </c>
      <c r="R479" s="157" t="n">
        <v>7</v>
      </c>
      <c r="S479" s="157" t="n">
        <v>1</v>
      </c>
      <c r="T479" s="457" t="s">
        <v>7535</v>
      </c>
      <c r="U479" s="457" t="n">
        <v>398</v>
      </c>
      <c r="V479" s="458" t="n">
        <v>5900</v>
      </c>
      <c r="W479" s="458" t="n">
        <v>6000</v>
      </c>
      <c r="X479" s="464" t="s">
        <v>7080</v>
      </c>
      <c r="Y479" s="458" t="n">
        <v>1000</v>
      </c>
      <c r="Z479" s="457" t="s">
        <v>6638</v>
      </c>
      <c r="AC479" s="431"/>
      <c r="AD479" s="437"/>
      <c r="AE479" s="167"/>
      <c r="AF479" s="167"/>
      <c r="AG479" s="167"/>
      <c r="AH479" s="167"/>
      <c r="AI479" s="167"/>
      <c r="AJ479" s="167"/>
      <c r="AK479" s="465" t="s">
        <v>8027</v>
      </c>
      <c r="AL479" s="157" t="n">
        <f aca="false">IF(AND(ISNUMBER($S479),$S479&gt;0,ISNUMBER($K479),ISNUMBER($J479)),($K479*$J479)/$S479,"")</f>
        <v>12960</v>
      </c>
    </row>
    <row r="480" customFormat="false" ht="12.75" hidden="false" customHeight="true" outlineLevel="0" collapsed="false">
      <c r="A480" s="441" t="n">
        <v>7</v>
      </c>
      <c r="B480" s="157" t="n">
        <v>472</v>
      </c>
      <c r="C480" s="437" t="s">
        <v>7523</v>
      </c>
      <c r="D480" s="157" t="s">
        <v>7318</v>
      </c>
      <c r="E480" s="461" t="s">
        <v>2461</v>
      </c>
      <c r="F480" s="157" t="s">
        <v>8028</v>
      </c>
      <c r="G480" s="445" t="n">
        <v>42.1</v>
      </c>
      <c r="H480" s="431" t="n">
        <v>9502</v>
      </c>
      <c r="I480" s="457" t="n">
        <v>0</v>
      </c>
      <c r="J480" s="458" t="n">
        <v>9147</v>
      </c>
      <c r="K480" s="462" t="n">
        <v>10.8867388214715</v>
      </c>
      <c r="L480" s="463" t="n">
        <v>0</v>
      </c>
      <c r="M480" s="463" t="n">
        <v>0.0547694841385405</v>
      </c>
      <c r="N480" s="431" t="n">
        <v>1935</v>
      </c>
      <c r="O480" s="446" t="n">
        <v>0</v>
      </c>
      <c r="Q480" s="157" t="n">
        <v>13</v>
      </c>
      <c r="R480" s="157" t="n">
        <v>1</v>
      </c>
      <c r="S480" s="157" t="n">
        <v>2</v>
      </c>
      <c r="T480" s="457" t="s">
        <v>7881</v>
      </c>
      <c r="U480" s="457" t="n">
        <v>401</v>
      </c>
      <c r="V480" s="458" t="n">
        <v>12500</v>
      </c>
      <c r="W480" s="458" t="n">
        <v>13000</v>
      </c>
      <c r="X480" s="464" t="s">
        <v>6710</v>
      </c>
      <c r="Y480" s="458" t="n">
        <v>9000</v>
      </c>
      <c r="Z480" s="457" t="s">
        <v>6638</v>
      </c>
      <c r="AC480" s="431"/>
      <c r="AD480" s="437" t="s">
        <v>7321</v>
      </c>
      <c r="AE480" s="167"/>
      <c r="AF480" s="167"/>
      <c r="AG480" s="167"/>
      <c r="AH480" s="167"/>
      <c r="AI480" s="167"/>
      <c r="AJ480" s="167"/>
      <c r="AK480" s="465"/>
      <c r="AM480" s="157"/>
    </row>
    <row r="481" customFormat="false" ht="12.75" hidden="false" customHeight="true" outlineLevel="0" collapsed="false">
      <c r="A481" s="441" t="n">
        <v>7</v>
      </c>
      <c r="B481" s="157" t="n">
        <v>473</v>
      </c>
      <c r="C481" s="437" t="s">
        <v>7523</v>
      </c>
      <c r="D481" s="157" t="s">
        <v>8029</v>
      </c>
      <c r="E481" s="461" t="s">
        <v>2461</v>
      </c>
      <c r="F481" s="157" t="s">
        <v>8030</v>
      </c>
      <c r="G481" s="445" t="n">
        <v>44.2</v>
      </c>
      <c r="H481" s="431" t="n">
        <v>9506</v>
      </c>
      <c r="I481" s="457" t="n">
        <v>0</v>
      </c>
      <c r="J481" s="458" t="n">
        <v>13570</v>
      </c>
      <c r="K481" s="462" t="n">
        <v>10.6116433308769</v>
      </c>
      <c r="L481" s="463" t="n">
        <v>0</v>
      </c>
      <c r="M481" s="463" t="n">
        <v>0</v>
      </c>
      <c r="N481" s="431" t="n">
        <v>1974</v>
      </c>
      <c r="O481" s="446" t="n">
        <v>3360</v>
      </c>
      <c r="Q481" s="157" t="n">
        <v>13</v>
      </c>
      <c r="R481" s="157" t="n">
        <v>3</v>
      </c>
      <c r="S481" s="157" t="n">
        <v>1</v>
      </c>
      <c r="T481" s="457" t="s">
        <v>7526</v>
      </c>
      <c r="U481" s="457" t="n">
        <v>398</v>
      </c>
      <c r="V481" s="458" t="n">
        <v>53150</v>
      </c>
      <c r="W481" s="458" t="n">
        <v>53000</v>
      </c>
      <c r="X481" s="464" t="s">
        <v>6637</v>
      </c>
      <c r="Y481" s="458" t="n">
        <v>14000</v>
      </c>
      <c r="Z481" s="457" t="s">
        <v>6638</v>
      </c>
      <c r="AC481" s="431"/>
      <c r="AD481" s="437"/>
      <c r="AE481" s="167"/>
      <c r="AF481" s="167"/>
      <c r="AG481" s="167"/>
      <c r="AH481" s="167"/>
      <c r="AI481" s="167"/>
      <c r="AJ481" s="167"/>
      <c r="AK481" s="465" t="s">
        <v>7527</v>
      </c>
      <c r="AM481" s="157"/>
    </row>
    <row r="482" customFormat="false" ht="25.5" hidden="false" customHeight="true" outlineLevel="0" collapsed="false">
      <c r="A482" s="441" t="n">
        <v>7</v>
      </c>
      <c r="B482" s="157" t="n">
        <v>474</v>
      </c>
      <c r="C482" s="437" t="s">
        <v>7523</v>
      </c>
      <c r="D482" s="157" t="s">
        <v>8031</v>
      </c>
      <c r="E482" s="461" t="s">
        <v>2461</v>
      </c>
      <c r="F482" s="157" t="s">
        <v>8032</v>
      </c>
      <c r="G482" s="445" t="n">
        <v>47.2</v>
      </c>
      <c r="H482" s="431" t="n">
        <v>9506</v>
      </c>
      <c r="I482" s="457" t="n">
        <v>0</v>
      </c>
      <c r="J482" s="458" t="n">
        <v>1626</v>
      </c>
      <c r="K482" s="462" t="n">
        <v>8.85608856088561</v>
      </c>
      <c r="L482" s="463" t="n">
        <v>0</v>
      </c>
      <c r="M482" s="463" t="n">
        <v>0.136597222222222</v>
      </c>
      <c r="N482" s="431" t="n">
        <v>1952</v>
      </c>
      <c r="O482" s="446" t="n">
        <v>126</v>
      </c>
      <c r="Q482" s="157" t="n">
        <v>12</v>
      </c>
      <c r="R482" s="157" t="n">
        <v>1</v>
      </c>
      <c r="S482" s="157" t="n">
        <v>1</v>
      </c>
      <c r="T482" s="457" t="s">
        <v>7529</v>
      </c>
      <c r="U482" s="457" t="n">
        <v>401</v>
      </c>
      <c r="V482" s="458" t="n">
        <v>19817</v>
      </c>
      <c r="W482" s="458" t="n">
        <v>20000</v>
      </c>
      <c r="X482" s="464" t="s">
        <v>7563</v>
      </c>
      <c r="Y482" s="458" t="n">
        <v>2000</v>
      </c>
      <c r="Z482" s="457" t="s">
        <v>6638</v>
      </c>
      <c r="AC482" s="431"/>
      <c r="AD482" s="437" t="s">
        <v>8033</v>
      </c>
      <c r="AE482" s="167"/>
      <c r="AF482" s="167"/>
      <c r="AG482" s="167"/>
      <c r="AH482" s="167"/>
      <c r="AI482" s="167"/>
      <c r="AJ482" s="167"/>
      <c r="AK482" s="465" t="s">
        <v>8034</v>
      </c>
      <c r="AM482" s="157"/>
    </row>
    <row r="483" customFormat="false" ht="12.75" hidden="false" customHeight="true" outlineLevel="0" collapsed="false">
      <c r="A483" s="441" t="n">
        <v>7</v>
      </c>
      <c r="B483" s="157" t="n">
        <v>475</v>
      </c>
      <c r="C483" s="437" t="s">
        <v>7523</v>
      </c>
      <c r="D483" s="157" t="s">
        <v>7334</v>
      </c>
      <c r="E483" s="461" t="s">
        <v>2461</v>
      </c>
      <c r="F483" s="157" t="s">
        <v>8035</v>
      </c>
      <c r="G483" s="445" t="n">
        <v>44.5</v>
      </c>
      <c r="H483" s="431" t="n">
        <v>9506</v>
      </c>
      <c r="I483" s="457" t="n">
        <v>0</v>
      </c>
      <c r="J483" s="458" t="n">
        <v>3485</v>
      </c>
      <c r="K483" s="462" t="n">
        <v>4.65423242467719</v>
      </c>
      <c r="L483" s="463" t="n">
        <v>0</v>
      </c>
      <c r="M483" s="463" t="n">
        <v>0.200184956843403</v>
      </c>
      <c r="N483" s="431" t="n">
        <v>1973</v>
      </c>
      <c r="O483" s="446" t="n">
        <v>0</v>
      </c>
      <c r="Q483" s="157" t="n">
        <v>12</v>
      </c>
      <c r="R483" s="157" t="n">
        <v>7</v>
      </c>
      <c r="S483" s="157" t="n">
        <v>20</v>
      </c>
      <c r="T483" s="457" t="s">
        <v>7529</v>
      </c>
      <c r="U483" s="457" t="n">
        <v>396</v>
      </c>
      <c r="V483" s="458" t="n">
        <v>9375</v>
      </c>
      <c r="W483" s="458" t="n">
        <v>9000</v>
      </c>
      <c r="X483" s="464" t="s">
        <v>6757</v>
      </c>
      <c r="Y483" s="458" t="n">
        <v>3000</v>
      </c>
      <c r="Z483" s="457" t="s">
        <v>6638</v>
      </c>
      <c r="AC483" s="431"/>
      <c r="AD483" s="437" t="s">
        <v>7336</v>
      </c>
      <c r="AE483" s="167"/>
      <c r="AF483" s="167"/>
      <c r="AG483" s="167"/>
      <c r="AH483" s="167"/>
      <c r="AI483" s="167"/>
      <c r="AJ483" s="167"/>
      <c r="AK483" s="465"/>
      <c r="AM483" s="157"/>
    </row>
    <row r="484" customFormat="false" ht="12.75" hidden="false" customHeight="true" outlineLevel="0" collapsed="false">
      <c r="A484" s="441" t="n">
        <v>7</v>
      </c>
      <c r="B484" s="157" t="n">
        <v>476</v>
      </c>
      <c r="C484" s="437" t="s">
        <v>7523</v>
      </c>
      <c r="D484" s="157" t="s">
        <v>7337</v>
      </c>
      <c r="E484" s="461" t="s">
        <v>2461</v>
      </c>
      <c r="F484" s="157" t="s">
        <v>8036</v>
      </c>
      <c r="G484" s="445" t="n">
        <v>44.2</v>
      </c>
      <c r="H484" s="431" t="n">
        <v>9506</v>
      </c>
      <c r="I484" s="457" t="n">
        <v>0</v>
      </c>
      <c r="J484" s="458" t="n">
        <v>6000</v>
      </c>
      <c r="K484" s="462" t="n">
        <v>6.4</v>
      </c>
      <c r="L484" s="463" t="n">
        <v>0</v>
      </c>
      <c r="M484" s="463" t="n">
        <v>0.262552083333333</v>
      </c>
      <c r="N484" s="431" t="n">
        <v>1971</v>
      </c>
      <c r="O484" s="446" t="n">
        <v>630</v>
      </c>
      <c r="Q484" s="157" t="n">
        <v>13</v>
      </c>
      <c r="R484" s="157" t="n">
        <v>3</v>
      </c>
      <c r="S484" s="157" t="n">
        <v>1</v>
      </c>
      <c r="T484" s="457" t="s">
        <v>7529</v>
      </c>
      <c r="U484" s="457" t="n">
        <v>398</v>
      </c>
      <c r="V484" s="458" t="n">
        <v>12500</v>
      </c>
      <c r="W484" s="458" t="n">
        <v>13000</v>
      </c>
      <c r="X484" s="464" t="s">
        <v>6754</v>
      </c>
      <c r="Y484" s="458" t="n">
        <v>6000</v>
      </c>
      <c r="Z484" s="457" t="s">
        <v>6638</v>
      </c>
      <c r="AC484" s="431"/>
      <c r="AD484" s="437"/>
      <c r="AE484" s="167"/>
      <c r="AF484" s="167"/>
      <c r="AG484" s="167"/>
      <c r="AH484" s="167"/>
      <c r="AI484" s="167"/>
      <c r="AJ484" s="167"/>
      <c r="AK484" s="465"/>
      <c r="AM484" s="157"/>
    </row>
    <row r="485" customFormat="false" ht="12.75" hidden="false" customHeight="true" outlineLevel="0" collapsed="false">
      <c r="A485" s="441" t="n">
        <v>7</v>
      </c>
      <c r="B485" s="157" t="n">
        <v>477</v>
      </c>
      <c r="C485" s="437" t="s">
        <v>7523</v>
      </c>
      <c r="D485" s="157" t="s">
        <v>8037</v>
      </c>
      <c r="E485" s="461" t="s">
        <v>2461</v>
      </c>
      <c r="F485" s="157" t="s">
        <v>8038</v>
      </c>
      <c r="G485" s="445" t="n">
        <v>44.2</v>
      </c>
      <c r="H485" s="431" t="n">
        <v>9506</v>
      </c>
      <c r="I485" s="457" t="n">
        <v>0</v>
      </c>
      <c r="J485" s="458" t="n">
        <v>18695</v>
      </c>
      <c r="K485" s="462" t="n">
        <v>3.20941428189355</v>
      </c>
      <c r="L485" s="463" t="n">
        <v>0</v>
      </c>
      <c r="M485" s="463" t="n">
        <v>0.0666666666666667</v>
      </c>
      <c r="N485" s="431" t="n">
        <v>1959</v>
      </c>
      <c r="O485" s="446" t="n">
        <v>1197</v>
      </c>
      <c r="Q485" s="157" t="n">
        <v>13</v>
      </c>
      <c r="R485" s="157" t="n">
        <v>1</v>
      </c>
      <c r="S485" s="157" t="n">
        <v>1</v>
      </c>
      <c r="T485" s="457" t="s">
        <v>7526</v>
      </c>
      <c r="U485" s="457" t="n">
        <v>398</v>
      </c>
      <c r="V485" s="458" t="n">
        <v>38285</v>
      </c>
      <c r="W485" s="458" t="n">
        <v>38000</v>
      </c>
      <c r="X485" s="464" t="s">
        <v>7546</v>
      </c>
      <c r="Y485" s="458" t="n">
        <v>19000</v>
      </c>
      <c r="Z485" s="457" t="s">
        <v>6638</v>
      </c>
      <c r="AC485" s="431"/>
      <c r="AD485" s="437"/>
      <c r="AE485" s="167"/>
      <c r="AF485" s="167"/>
      <c r="AG485" s="167"/>
      <c r="AH485" s="167"/>
      <c r="AI485" s="167"/>
      <c r="AJ485" s="167"/>
      <c r="AK485" s="465" t="s">
        <v>7527</v>
      </c>
      <c r="AM485" s="157"/>
    </row>
    <row r="486" customFormat="false" ht="12.75" hidden="false" customHeight="true" outlineLevel="0" collapsed="false">
      <c r="A486" s="441" t="n">
        <v>7</v>
      </c>
      <c r="B486" s="157" t="n">
        <v>478</v>
      </c>
      <c r="C486" s="437" t="s">
        <v>7523</v>
      </c>
      <c r="D486" s="157" t="s">
        <v>8039</v>
      </c>
      <c r="E486" s="461" t="s">
        <v>2461</v>
      </c>
      <c r="F486" s="157" t="s">
        <v>8040</v>
      </c>
      <c r="G486" s="431" t="n">
        <v>44.1</v>
      </c>
      <c r="H486" s="431" t="n">
        <v>9506</v>
      </c>
      <c r="I486" s="457" t="n">
        <v>0</v>
      </c>
      <c r="J486" s="458" t="n">
        <v>2432</v>
      </c>
      <c r="K486" s="462" t="n">
        <v>8.63486842105263</v>
      </c>
      <c r="L486" s="463" t="n">
        <v>0</v>
      </c>
      <c r="M486" s="463" t="n">
        <v>0</v>
      </c>
      <c r="N486" s="431" t="n">
        <v>1997</v>
      </c>
      <c r="O486" s="446" t="n">
        <v>0</v>
      </c>
      <c r="Q486" s="157" t="n">
        <v>21</v>
      </c>
      <c r="R486" s="157" t="n">
        <v>3</v>
      </c>
      <c r="S486" s="157" t="n">
        <v>1</v>
      </c>
      <c r="T486" s="457" t="s">
        <v>7529</v>
      </c>
      <c r="U486" s="457" t="n">
        <v>398</v>
      </c>
      <c r="V486" s="458" t="n">
        <v>37500</v>
      </c>
      <c r="W486" s="458" t="n">
        <v>38000</v>
      </c>
      <c r="X486" s="464" t="s">
        <v>8041</v>
      </c>
      <c r="Y486" s="458" t="n">
        <v>2000</v>
      </c>
      <c r="Z486" s="457" t="s">
        <v>6638</v>
      </c>
      <c r="AC486" s="431"/>
      <c r="AD486" s="437" t="s">
        <v>8042</v>
      </c>
      <c r="AE486" s="167"/>
      <c r="AF486" s="167"/>
      <c r="AG486" s="167"/>
      <c r="AH486" s="167"/>
      <c r="AI486" s="167"/>
      <c r="AJ486" s="167"/>
      <c r="AK486" s="465"/>
      <c r="AM486" s="157"/>
    </row>
    <row r="487" customFormat="false" ht="25.5" hidden="false" customHeight="true" outlineLevel="0" collapsed="false">
      <c r="A487" s="441" t="n">
        <v>7</v>
      </c>
      <c r="B487" s="157" t="n">
        <v>479</v>
      </c>
      <c r="C487" s="437" t="s">
        <v>7523</v>
      </c>
      <c r="D487" s="157" t="s">
        <v>7343</v>
      </c>
      <c r="E487" s="461" t="s">
        <v>2461</v>
      </c>
      <c r="F487" s="157" t="s">
        <v>8043</v>
      </c>
      <c r="G487" s="431" t="n">
        <v>44.1</v>
      </c>
      <c r="H487" s="431" t="n">
        <v>9506</v>
      </c>
      <c r="I487" s="457" t="n">
        <v>0</v>
      </c>
      <c r="J487" s="458" t="n">
        <v>2100</v>
      </c>
      <c r="K487" s="462" t="n">
        <v>6.85714285714286</v>
      </c>
      <c r="L487" s="463" t="n">
        <v>0</v>
      </c>
      <c r="M487" s="463" t="n">
        <v>0.385069444444445</v>
      </c>
      <c r="N487" s="431" t="n">
        <v>1963</v>
      </c>
      <c r="O487" s="446" t="n">
        <v>1057</v>
      </c>
      <c r="Q487" s="157" t="n">
        <v>13</v>
      </c>
      <c r="R487" s="157" t="n">
        <v>1</v>
      </c>
      <c r="S487" s="157" t="n">
        <v>2</v>
      </c>
      <c r="T487" s="457" t="s">
        <v>7526</v>
      </c>
      <c r="U487" s="457" t="n">
        <v>398</v>
      </c>
      <c r="V487" s="458" t="n">
        <v>10027</v>
      </c>
      <c r="W487" s="458" t="n">
        <v>10000</v>
      </c>
      <c r="X487" s="464" t="s">
        <v>6837</v>
      </c>
      <c r="Y487" s="458" t="n">
        <v>2000</v>
      </c>
      <c r="Z487" s="457" t="s">
        <v>6638</v>
      </c>
      <c r="AC487" s="431"/>
      <c r="AD487" s="437" t="s">
        <v>7345</v>
      </c>
      <c r="AE487" s="167"/>
      <c r="AF487" s="167"/>
      <c r="AG487" s="167"/>
      <c r="AH487" s="167"/>
      <c r="AI487" s="167"/>
      <c r="AJ487" s="167"/>
      <c r="AK487" s="465" t="s">
        <v>8044</v>
      </c>
      <c r="AM487" s="157"/>
    </row>
    <row r="488" customFormat="false" ht="12.75" hidden="false" customHeight="true" outlineLevel="0" collapsed="false">
      <c r="A488" s="441" t="n">
        <v>7</v>
      </c>
      <c r="B488" s="157" t="n">
        <v>480</v>
      </c>
      <c r="C488" s="437" t="s">
        <v>7523</v>
      </c>
      <c r="D488" s="157" t="s">
        <v>8045</v>
      </c>
      <c r="E488" s="461" t="s">
        <v>2461</v>
      </c>
      <c r="F488" s="157" t="s">
        <v>8046</v>
      </c>
      <c r="G488" s="445" t="n">
        <v>47.1</v>
      </c>
      <c r="H488" s="431" t="n">
        <v>9506</v>
      </c>
      <c r="I488" s="457" t="n">
        <v>0</v>
      </c>
      <c r="J488" s="458" t="n">
        <v>47216</v>
      </c>
      <c r="K488" s="462" t="n">
        <v>3.04981362250085</v>
      </c>
      <c r="L488" s="463" t="n">
        <v>0</v>
      </c>
      <c r="M488" s="463" t="n">
        <v>0.0694444444444445</v>
      </c>
      <c r="N488" s="431" t="n">
        <v>1956</v>
      </c>
      <c r="O488" s="446" t="n">
        <v>4642</v>
      </c>
      <c r="Q488" s="157" t="n">
        <v>14</v>
      </c>
      <c r="R488" s="157" t="n">
        <v>10</v>
      </c>
      <c r="S488" s="157" t="n">
        <v>1</v>
      </c>
      <c r="T488" s="457" t="s">
        <v>7526</v>
      </c>
      <c r="U488" s="457" t="n">
        <v>401</v>
      </c>
      <c r="V488" s="458" t="n">
        <v>89364</v>
      </c>
      <c r="W488" s="458" t="n">
        <v>89000</v>
      </c>
      <c r="X488" s="464" t="s">
        <v>6675</v>
      </c>
      <c r="Y488" s="458" t="n">
        <v>47000</v>
      </c>
      <c r="Z488" s="457" t="s">
        <v>6638</v>
      </c>
      <c r="AC488" s="431"/>
      <c r="AD488" s="437" t="s">
        <v>8047</v>
      </c>
      <c r="AE488" s="167"/>
      <c r="AF488" s="167"/>
      <c r="AG488" s="167"/>
      <c r="AH488" s="167"/>
      <c r="AI488" s="167"/>
      <c r="AJ488" s="167"/>
      <c r="AK488" s="465"/>
      <c r="AM488" s="157"/>
    </row>
    <row r="489" customFormat="false" ht="25.5" hidden="false" customHeight="true" outlineLevel="0" collapsed="false">
      <c r="A489" s="441" t="n">
        <v>7</v>
      </c>
      <c r="B489" s="157" t="n">
        <v>481</v>
      </c>
      <c r="C489" s="437" t="s">
        <v>7523</v>
      </c>
      <c r="D489" s="157" t="s">
        <v>8048</v>
      </c>
      <c r="E489" s="461" t="s">
        <v>2461</v>
      </c>
      <c r="F489" s="157" t="s">
        <v>8049</v>
      </c>
      <c r="G489" s="445" t="n">
        <v>44.2</v>
      </c>
      <c r="H489" s="431" t="n">
        <v>9506</v>
      </c>
      <c r="I489" s="457" t="n">
        <v>0</v>
      </c>
      <c r="J489" s="458" t="n">
        <v>3000</v>
      </c>
      <c r="K489" s="462" t="n">
        <v>5.6</v>
      </c>
      <c r="L489" s="463" t="n">
        <v>0.2</v>
      </c>
      <c r="M489" s="463" t="n">
        <v>0.0941071428571429</v>
      </c>
      <c r="N489" s="431" t="n">
        <v>1954</v>
      </c>
      <c r="O489" s="446" t="n">
        <v>6211</v>
      </c>
      <c r="P489" s="446" t="n">
        <v>651</v>
      </c>
      <c r="Q489" s="157" t="n">
        <v>9</v>
      </c>
      <c r="R489" s="157" t="n">
        <v>3</v>
      </c>
      <c r="S489" s="157" t="n">
        <v>4</v>
      </c>
      <c r="T489" s="457" t="s">
        <v>7526</v>
      </c>
      <c r="U489" s="457" t="n">
        <v>398</v>
      </c>
      <c r="V489" s="458" t="n">
        <v>52850</v>
      </c>
      <c r="W489" s="458" t="n">
        <v>53000</v>
      </c>
      <c r="X489" s="464" t="s">
        <v>7546</v>
      </c>
      <c r="Y489" s="458" t="n">
        <v>3000</v>
      </c>
      <c r="Z489" s="457" t="s">
        <v>6638</v>
      </c>
      <c r="AC489" s="431"/>
      <c r="AD489" s="437" t="s">
        <v>8050</v>
      </c>
      <c r="AE489" s="167"/>
      <c r="AF489" s="167"/>
      <c r="AG489" s="167"/>
      <c r="AH489" s="167"/>
      <c r="AI489" s="167"/>
      <c r="AJ489" s="167"/>
      <c r="AK489" s="465" t="s">
        <v>8051</v>
      </c>
      <c r="AM489" s="157"/>
    </row>
    <row r="490" customFormat="false" ht="12.75" hidden="false" customHeight="true" outlineLevel="0" collapsed="false">
      <c r="A490" s="441" t="n">
        <v>7</v>
      </c>
      <c r="B490" s="157" t="n">
        <v>482</v>
      </c>
      <c r="C490" s="437" t="s">
        <v>7523</v>
      </c>
      <c r="D490" s="157" t="s">
        <v>8052</v>
      </c>
      <c r="E490" s="461" t="s">
        <v>2461</v>
      </c>
      <c r="F490" s="157" t="s">
        <v>8053</v>
      </c>
      <c r="G490" s="431" t="n">
        <v>44.1</v>
      </c>
      <c r="H490" s="431" t="n">
        <v>9506</v>
      </c>
      <c r="I490" s="457" t="n">
        <v>0</v>
      </c>
      <c r="J490" s="458" t="n">
        <v>9000</v>
      </c>
      <c r="K490" s="462" t="n">
        <v>5.26</v>
      </c>
      <c r="L490" s="463" t="n">
        <v>0</v>
      </c>
      <c r="M490" s="463" t="n">
        <v>0.169286016054077</v>
      </c>
      <c r="N490" s="431" t="n">
        <v>1961</v>
      </c>
      <c r="O490" s="446" t="n">
        <v>5930</v>
      </c>
      <c r="Q490" s="157" t="n">
        <v>12</v>
      </c>
      <c r="R490" s="157" t="n">
        <v>1</v>
      </c>
      <c r="S490" s="157" t="n">
        <v>1</v>
      </c>
      <c r="T490" s="457" t="s">
        <v>7526</v>
      </c>
      <c r="U490" s="457" t="n">
        <v>398</v>
      </c>
      <c r="V490" s="458" t="n">
        <v>61862</v>
      </c>
      <c r="W490" s="458" t="n">
        <v>62000</v>
      </c>
      <c r="X490" s="464" t="s">
        <v>6668</v>
      </c>
      <c r="Y490" s="458" t="n">
        <v>9000</v>
      </c>
      <c r="Z490" s="457" t="s">
        <v>6638</v>
      </c>
      <c r="AC490" s="431"/>
      <c r="AD490" s="437" t="s">
        <v>8054</v>
      </c>
      <c r="AE490" s="167"/>
      <c r="AF490" s="167"/>
      <c r="AG490" s="167"/>
      <c r="AH490" s="167"/>
      <c r="AI490" s="167"/>
      <c r="AJ490" s="167"/>
      <c r="AK490" s="465"/>
      <c r="AM490" s="157"/>
    </row>
    <row r="491" customFormat="false" ht="25.5" hidden="false" customHeight="true" outlineLevel="0" collapsed="false">
      <c r="A491" s="441" t="n">
        <v>7</v>
      </c>
      <c r="B491" s="157" t="n">
        <v>483</v>
      </c>
      <c r="C491" s="437" t="s">
        <v>7523</v>
      </c>
      <c r="D491" s="157" t="s">
        <v>8055</v>
      </c>
      <c r="E491" s="461" t="s">
        <v>2461</v>
      </c>
      <c r="F491" s="157" t="s">
        <v>8056</v>
      </c>
      <c r="G491" s="445" t="n">
        <v>44.2</v>
      </c>
      <c r="H491" s="431" t="n">
        <v>9506</v>
      </c>
      <c r="I491" s="457" t="n">
        <v>0</v>
      </c>
      <c r="J491" s="458" t="n">
        <v>3835</v>
      </c>
      <c r="K491" s="462" t="n">
        <v>7.82268578878748</v>
      </c>
      <c r="L491" s="463" t="n">
        <v>0</v>
      </c>
      <c r="M491" s="463" t="n">
        <v>0</v>
      </c>
      <c r="N491" s="431" t="n">
        <v>1960</v>
      </c>
      <c r="O491" s="446" t="n">
        <v>672</v>
      </c>
      <c r="Q491" s="157" t="n">
        <v>12</v>
      </c>
      <c r="R491" s="157" t="n">
        <v>1</v>
      </c>
      <c r="S491" s="157" t="n">
        <v>1</v>
      </c>
      <c r="T491" s="457" t="s">
        <v>7529</v>
      </c>
      <c r="U491" s="457" t="n">
        <v>398</v>
      </c>
      <c r="V491" s="458" t="n">
        <v>11040</v>
      </c>
      <c r="W491" s="458" t="n">
        <v>11000</v>
      </c>
      <c r="X491" s="464" t="s">
        <v>7288</v>
      </c>
      <c r="Y491" s="458" t="n">
        <v>4000</v>
      </c>
      <c r="Z491" s="457" t="s">
        <v>6638</v>
      </c>
      <c r="AC491" s="431"/>
      <c r="AD491" s="437" t="s">
        <v>8057</v>
      </c>
      <c r="AE491" s="167"/>
      <c r="AF491" s="167"/>
      <c r="AG491" s="167"/>
      <c r="AH491" s="167"/>
      <c r="AI491" s="167"/>
      <c r="AJ491" s="167"/>
      <c r="AK491" s="465" t="s">
        <v>6929</v>
      </c>
      <c r="AM491" s="157"/>
    </row>
    <row r="492" customFormat="false" ht="12.75" hidden="false" customHeight="true" outlineLevel="0" collapsed="false">
      <c r="A492" s="441" t="n">
        <v>7</v>
      </c>
      <c r="B492" s="157" t="n">
        <v>484</v>
      </c>
      <c r="C492" s="437" t="s">
        <v>7523</v>
      </c>
      <c r="D492" s="157" t="s">
        <v>8058</v>
      </c>
      <c r="E492" s="461" t="s">
        <v>2461</v>
      </c>
      <c r="F492" s="157" t="s">
        <v>8059</v>
      </c>
      <c r="G492" s="445" t="n">
        <v>44.2</v>
      </c>
      <c r="H492" s="431" t="n">
        <v>9506</v>
      </c>
      <c r="I492" s="457" t="n">
        <v>0</v>
      </c>
      <c r="J492" s="458" t="n">
        <v>4147</v>
      </c>
      <c r="K492" s="462" t="n">
        <v>6.49987943091391</v>
      </c>
      <c r="L492" s="463" t="n">
        <v>0</v>
      </c>
      <c r="M492" s="463" t="n">
        <v>0</v>
      </c>
      <c r="N492" s="431" t="n">
        <v>1956</v>
      </c>
      <c r="O492" s="446" t="n">
        <v>135</v>
      </c>
      <c r="Q492" s="157" t="n">
        <v>13</v>
      </c>
      <c r="R492" s="157" t="n">
        <v>3</v>
      </c>
      <c r="S492" s="157" t="n">
        <v>1</v>
      </c>
      <c r="T492" s="457" t="s">
        <v>7526</v>
      </c>
      <c r="U492" s="457" t="n">
        <v>332</v>
      </c>
      <c r="V492" s="458" t="n">
        <v>11000</v>
      </c>
      <c r="W492" s="458" t="n">
        <v>11000</v>
      </c>
      <c r="X492" s="464" t="s">
        <v>6757</v>
      </c>
      <c r="Y492" s="458" t="n">
        <v>4000</v>
      </c>
      <c r="Z492" s="457" t="s">
        <v>6638</v>
      </c>
      <c r="AC492" s="431"/>
      <c r="AD492" s="437" t="s">
        <v>8060</v>
      </c>
      <c r="AE492" s="167"/>
      <c r="AF492" s="167"/>
      <c r="AG492" s="167"/>
      <c r="AH492" s="167"/>
      <c r="AI492" s="167"/>
      <c r="AJ492" s="167"/>
      <c r="AK492" s="465"/>
      <c r="AM492" s="157"/>
    </row>
    <row r="493" customFormat="false" ht="12.75" hidden="false" customHeight="true" outlineLevel="0" collapsed="false">
      <c r="A493" s="441" t="n">
        <v>7</v>
      </c>
      <c r="B493" s="157" t="n">
        <v>485</v>
      </c>
      <c r="C493" s="437" t="s">
        <v>7523</v>
      </c>
      <c r="D493" s="157" t="s">
        <v>8061</v>
      </c>
      <c r="E493" s="461" t="s">
        <v>2461</v>
      </c>
      <c r="F493" s="157" t="s">
        <v>8062</v>
      </c>
      <c r="G493" s="431" t="n">
        <v>44.1</v>
      </c>
      <c r="H493" s="431" t="n">
        <v>9506</v>
      </c>
      <c r="I493" s="457" t="n">
        <v>5</v>
      </c>
      <c r="J493" s="458" t="n">
        <v>5274</v>
      </c>
      <c r="K493" s="462" t="n">
        <v>2.27531285551763</v>
      </c>
      <c r="L493" s="463" t="n">
        <v>0</v>
      </c>
      <c r="M493" s="463" t="n">
        <v>0</v>
      </c>
      <c r="N493" s="431" t="n">
        <v>1975</v>
      </c>
      <c r="O493" s="446" t="n">
        <v>1027</v>
      </c>
      <c r="Q493" s="157" t="n">
        <v>18</v>
      </c>
      <c r="R493" s="157" t="n">
        <v>8</v>
      </c>
      <c r="S493" s="157" t="n">
        <v>1</v>
      </c>
      <c r="T493" s="457" t="s">
        <v>7789</v>
      </c>
      <c r="U493" s="457" t="n">
        <v>398</v>
      </c>
      <c r="V493" s="458" t="n">
        <v>14286</v>
      </c>
      <c r="W493" s="458" t="n">
        <v>14000</v>
      </c>
      <c r="X493" s="464" t="s">
        <v>6757</v>
      </c>
      <c r="Y493" s="458" t="n">
        <v>5000</v>
      </c>
      <c r="Z493" s="457" t="s">
        <v>6638</v>
      </c>
      <c r="AC493" s="431"/>
      <c r="AD493" s="437"/>
      <c r="AE493" s="167"/>
      <c r="AF493" s="167"/>
      <c r="AG493" s="167"/>
      <c r="AH493" s="167"/>
      <c r="AI493" s="167"/>
      <c r="AJ493" s="167"/>
      <c r="AK493" s="465"/>
      <c r="AM493" s="157"/>
    </row>
    <row r="494" customFormat="false" ht="12.75" hidden="false" customHeight="true" outlineLevel="0" collapsed="false">
      <c r="A494" s="441" t="n">
        <v>7</v>
      </c>
      <c r="B494" s="157" t="n">
        <v>486</v>
      </c>
      <c r="C494" s="437" t="s">
        <v>7523</v>
      </c>
      <c r="D494" s="157" t="s">
        <v>8063</v>
      </c>
      <c r="E494" s="461" t="s">
        <v>2461</v>
      </c>
      <c r="F494" s="157" t="s">
        <v>8064</v>
      </c>
      <c r="G494" s="431" t="n">
        <v>44.1</v>
      </c>
      <c r="H494" s="431" t="n">
        <v>9506</v>
      </c>
      <c r="I494" s="457" t="n">
        <v>5</v>
      </c>
      <c r="J494" s="458" t="n">
        <v>5077</v>
      </c>
      <c r="K494" s="462" t="n">
        <v>6.38172148906835</v>
      </c>
      <c r="L494" s="463" t="n">
        <v>0</v>
      </c>
      <c r="M494" s="463" t="n">
        <v>0</v>
      </c>
      <c r="N494" s="431" t="n">
        <v>1956</v>
      </c>
      <c r="O494" s="446" t="n">
        <v>480</v>
      </c>
      <c r="Q494" s="157" t="n">
        <v>15</v>
      </c>
      <c r="R494" s="157" t="n">
        <v>1</v>
      </c>
      <c r="S494" s="157" t="n">
        <v>1</v>
      </c>
      <c r="T494" s="457" t="s">
        <v>7789</v>
      </c>
      <c r="U494" s="457" t="n">
        <v>398</v>
      </c>
      <c r="V494" s="458" t="n">
        <v>15254</v>
      </c>
      <c r="W494" s="458" t="n">
        <v>15000</v>
      </c>
      <c r="X494" s="464" t="s">
        <v>7563</v>
      </c>
      <c r="Y494" s="458" t="n">
        <v>5000</v>
      </c>
      <c r="Z494" s="457" t="s">
        <v>6638</v>
      </c>
      <c r="AC494" s="431"/>
      <c r="AD494" s="437"/>
      <c r="AE494" s="167"/>
      <c r="AF494" s="167"/>
      <c r="AG494" s="167"/>
      <c r="AH494" s="167"/>
      <c r="AI494" s="167"/>
      <c r="AJ494" s="167"/>
      <c r="AK494" s="465"/>
      <c r="AM494" s="157"/>
    </row>
    <row r="495" customFormat="false" ht="12.75" hidden="false" customHeight="true" outlineLevel="0" collapsed="false">
      <c r="A495" s="441" t="n">
        <v>7</v>
      </c>
      <c r="B495" s="157" t="n">
        <v>487</v>
      </c>
      <c r="C495" s="437" t="s">
        <v>7523</v>
      </c>
      <c r="D495" s="157" t="s">
        <v>7359</v>
      </c>
      <c r="E495" s="461" t="s">
        <v>2461</v>
      </c>
      <c r="F495" s="157" t="s">
        <v>8065</v>
      </c>
      <c r="G495" s="431" t="n">
        <v>44.1</v>
      </c>
      <c r="H495" s="431" t="n">
        <v>9506</v>
      </c>
      <c r="I495" s="457" t="n">
        <v>0</v>
      </c>
      <c r="J495" s="458" t="n">
        <v>2873</v>
      </c>
      <c r="K495" s="462" t="n">
        <v>6.265227984685</v>
      </c>
      <c r="L495" s="463" t="n">
        <v>0</v>
      </c>
      <c r="M495" s="463" t="n">
        <v>0.190444444444444</v>
      </c>
      <c r="N495" s="431" t="n">
        <v>1946</v>
      </c>
      <c r="O495" s="446" t="n">
        <v>595</v>
      </c>
      <c r="Q495" s="157" t="n">
        <v>11</v>
      </c>
      <c r="R495" s="157" t="n">
        <v>3</v>
      </c>
      <c r="S495" s="157" t="n">
        <v>1</v>
      </c>
      <c r="T495" s="457" t="s">
        <v>7799</v>
      </c>
      <c r="U495" s="457" t="n">
        <v>398</v>
      </c>
      <c r="V495" s="458" t="n">
        <v>6350</v>
      </c>
      <c r="W495" s="458" t="n">
        <v>6000</v>
      </c>
      <c r="X495" s="464" t="s">
        <v>6700</v>
      </c>
      <c r="Y495" s="458" t="n">
        <v>3000</v>
      </c>
      <c r="Z495" s="457" t="s">
        <v>6638</v>
      </c>
      <c r="AC495" s="431"/>
      <c r="AD495" s="437" t="s">
        <v>7362</v>
      </c>
      <c r="AE495" s="167"/>
      <c r="AF495" s="167"/>
      <c r="AG495" s="167"/>
      <c r="AH495" s="167"/>
      <c r="AI495" s="167"/>
      <c r="AJ495" s="167"/>
      <c r="AK495" s="465"/>
      <c r="AM495" s="157"/>
    </row>
    <row r="496" customFormat="false" ht="12.75" hidden="false" customHeight="true" outlineLevel="0" collapsed="false">
      <c r="A496" s="441" t="n">
        <v>7</v>
      </c>
      <c r="B496" s="157" t="n">
        <v>488</v>
      </c>
      <c r="C496" s="437" t="s">
        <v>7523</v>
      </c>
      <c r="D496" s="157" t="s">
        <v>7369</v>
      </c>
      <c r="E496" s="461" t="s">
        <v>2461</v>
      </c>
      <c r="F496" s="157" t="s">
        <v>8066</v>
      </c>
      <c r="G496" s="445" t="n">
        <v>44.2</v>
      </c>
      <c r="H496" s="431" t="n">
        <v>9506</v>
      </c>
      <c r="I496" s="457" t="n">
        <v>0</v>
      </c>
      <c r="J496" s="458" t="n">
        <v>6919</v>
      </c>
      <c r="K496" s="462" t="n">
        <v>5.88235294117647</v>
      </c>
      <c r="L496" s="463" t="n">
        <v>0</v>
      </c>
      <c r="M496" s="463" t="n">
        <v>0.0962653562653563</v>
      </c>
      <c r="N496" s="431" t="n">
        <v>1961</v>
      </c>
      <c r="O496" s="446" t="n">
        <v>1014</v>
      </c>
      <c r="Q496" s="157" t="n">
        <v>14</v>
      </c>
      <c r="R496" s="157" t="n">
        <v>1</v>
      </c>
      <c r="S496" s="157" t="n">
        <v>1</v>
      </c>
      <c r="T496" s="457" t="s">
        <v>7531</v>
      </c>
      <c r="U496" s="457" t="n">
        <v>398</v>
      </c>
      <c r="V496" s="458" t="n">
        <v>19113</v>
      </c>
      <c r="W496" s="458" t="n">
        <v>19000</v>
      </c>
      <c r="X496" s="464" t="s">
        <v>6664</v>
      </c>
      <c r="Y496" s="458" t="n">
        <v>7000</v>
      </c>
      <c r="Z496" s="457" t="s">
        <v>6638</v>
      </c>
      <c r="AC496" s="431"/>
      <c r="AD496" s="437" t="s">
        <v>7371</v>
      </c>
      <c r="AE496" s="167"/>
      <c r="AF496" s="167"/>
      <c r="AG496" s="167"/>
      <c r="AH496" s="167"/>
      <c r="AI496" s="167"/>
      <c r="AJ496" s="167"/>
      <c r="AK496" s="465"/>
      <c r="AM496" s="157"/>
    </row>
    <row r="497" customFormat="false" ht="12.75" hidden="false" customHeight="true" outlineLevel="0" collapsed="false">
      <c r="A497" s="441" t="n">
        <v>7</v>
      </c>
      <c r="B497" s="157" t="n">
        <v>489</v>
      </c>
      <c r="C497" s="437" t="s">
        <v>7523</v>
      </c>
      <c r="D497" s="157" t="s">
        <v>7373</v>
      </c>
      <c r="E497" s="461" t="s">
        <v>2461</v>
      </c>
      <c r="F497" s="157" t="s">
        <v>8067</v>
      </c>
      <c r="G497" s="445" t="n">
        <v>44.2</v>
      </c>
      <c r="H497" s="431" t="n">
        <v>9506</v>
      </c>
      <c r="I497" s="457" t="n">
        <v>0</v>
      </c>
      <c r="J497" s="458" t="n">
        <v>8000</v>
      </c>
      <c r="K497" s="462" t="n">
        <v>4.2495</v>
      </c>
      <c r="L497" s="463" t="n">
        <v>0</v>
      </c>
      <c r="M497" s="463" t="n">
        <v>0</v>
      </c>
      <c r="N497" s="431" t="n">
        <v>1975</v>
      </c>
      <c r="O497" s="446" t="n">
        <v>1000</v>
      </c>
      <c r="P497" s="446" t="n">
        <v>2000</v>
      </c>
      <c r="Q497" s="157" t="n">
        <v>13</v>
      </c>
      <c r="R497" s="157" t="n">
        <v>1</v>
      </c>
      <c r="S497" s="157" t="n">
        <v>1</v>
      </c>
      <c r="T497" s="457" t="s">
        <v>7531</v>
      </c>
      <c r="U497" s="457" t="n">
        <v>398</v>
      </c>
      <c r="V497" s="458" t="n">
        <v>6477</v>
      </c>
      <c r="W497" s="458" t="n">
        <v>6000</v>
      </c>
      <c r="X497" s="464" t="s">
        <v>7375</v>
      </c>
      <c r="Y497" s="458" t="n">
        <v>8000</v>
      </c>
      <c r="Z497" s="457" t="s">
        <v>6638</v>
      </c>
      <c r="AC497" s="431"/>
      <c r="AD497" s="437"/>
      <c r="AE497" s="167"/>
      <c r="AF497" s="167"/>
      <c r="AG497" s="167"/>
      <c r="AH497" s="167"/>
      <c r="AI497" s="167"/>
      <c r="AJ497" s="167"/>
      <c r="AK497" s="465"/>
      <c r="AM497" s="157"/>
    </row>
    <row r="498" customFormat="false" ht="12.75" hidden="false" customHeight="true" outlineLevel="0" collapsed="false">
      <c r="A498" s="441" t="n">
        <v>7</v>
      </c>
      <c r="B498" s="157" t="n">
        <v>490</v>
      </c>
      <c r="C498" s="437" t="s">
        <v>7523</v>
      </c>
      <c r="D498" s="157" t="s">
        <v>7383</v>
      </c>
      <c r="E498" s="461" t="s">
        <v>2461</v>
      </c>
      <c r="F498" s="157" t="s">
        <v>8068</v>
      </c>
      <c r="G498" s="445" t="n">
        <v>44.2</v>
      </c>
      <c r="H498" s="431" t="n">
        <v>9506</v>
      </c>
      <c r="I498" s="457" t="n">
        <v>0</v>
      </c>
      <c r="J498" s="458" t="n">
        <v>2610</v>
      </c>
      <c r="K498" s="462" t="n">
        <v>8.00766283524904</v>
      </c>
      <c r="L498" s="463" t="n">
        <v>0</v>
      </c>
      <c r="M498" s="463" t="n">
        <v>0.406411483253589</v>
      </c>
      <c r="N498" s="431" t="n">
        <v>1962</v>
      </c>
      <c r="O498" s="446" t="n">
        <v>750</v>
      </c>
      <c r="Q498" s="157" t="n">
        <v>12</v>
      </c>
      <c r="R498" s="157" t="n">
        <v>1</v>
      </c>
      <c r="S498" s="157" t="n">
        <v>1</v>
      </c>
      <c r="T498" s="457" t="s">
        <v>7526</v>
      </c>
      <c r="U498" s="457" t="n">
        <v>398</v>
      </c>
      <c r="V498" s="458" t="n">
        <v>6350</v>
      </c>
      <c r="W498" s="458" t="n">
        <v>6000</v>
      </c>
      <c r="X498" s="464" t="s">
        <v>6650</v>
      </c>
      <c r="Y498" s="458" t="n">
        <v>3000</v>
      </c>
      <c r="Z498" s="457" t="s">
        <v>6638</v>
      </c>
      <c r="AC498" s="431"/>
      <c r="AD498" s="437" t="s">
        <v>7385</v>
      </c>
      <c r="AE498" s="167"/>
      <c r="AF498" s="167"/>
      <c r="AG498" s="167"/>
      <c r="AH498" s="167"/>
      <c r="AI498" s="167"/>
      <c r="AJ498" s="167"/>
      <c r="AK498" s="465" t="s">
        <v>7527</v>
      </c>
      <c r="AM498" s="157"/>
    </row>
    <row r="499" customFormat="false" ht="25.5" hidden="false" customHeight="true" outlineLevel="0" collapsed="false">
      <c r="A499" s="441" t="n">
        <v>7</v>
      </c>
      <c r="B499" s="157" t="n">
        <v>491</v>
      </c>
      <c r="C499" s="437" t="s">
        <v>7523</v>
      </c>
      <c r="D499" s="157" t="s">
        <v>8069</v>
      </c>
      <c r="E499" s="461" t="s">
        <v>2461</v>
      </c>
      <c r="F499" s="157" t="s">
        <v>8070</v>
      </c>
      <c r="G499" s="431" t="n">
        <v>44.1</v>
      </c>
      <c r="H499" s="431" t="n">
        <v>9506</v>
      </c>
      <c r="I499" s="457" t="n">
        <v>0</v>
      </c>
      <c r="J499" s="458" t="n">
        <v>600</v>
      </c>
      <c r="K499" s="462" t="n">
        <v>8.7</v>
      </c>
      <c r="L499" s="463" t="n">
        <v>0</v>
      </c>
      <c r="M499" s="463" t="n">
        <v>0.419731800766284</v>
      </c>
      <c r="N499" s="431" t="n">
        <v>1983</v>
      </c>
      <c r="O499" s="446" t="n">
        <v>775</v>
      </c>
      <c r="Q499" s="157" t="n">
        <v>14</v>
      </c>
      <c r="R499" s="157" t="n">
        <v>3</v>
      </c>
      <c r="S499" s="157" t="n">
        <v>1</v>
      </c>
      <c r="T499" s="457" t="s">
        <v>7526</v>
      </c>
      <c r="U499" s="457" t="n">
        <v>398</v>
      </c>
      <c r="V499" s="458" t="n">
        <v>4504</v>
      </c>
      <c r="W499" s="458" t="n">
        <v>5000</v>
      </c>
      <c r="X499" s="464" t="s">
        <v>6700</v>
      </c>
      <c r="Y499" s="458" t="n">
        <v>600</v>
      </c>
      <c r="Z499" s="457" t="s">
        <v>6638</v>
      </c>
      <c r="AC499" s="431"/>
      <c r="AD499" s="437" t="s">
        <v>8071</v>
      </c>
      <c r="AE499" s="167"/>
      <c r="AF499" s="167"/>
      <c r="AG499" s="167"/>
      <c r="AH499" s="167"/>
      <c r="AI499" s="167"/>
      <c r="AJ499" s="167"/>
      <c r="AK499" s="465" t="s">
        <v>8072</v>
      </c>
      <c r="AM499" s="157"/>
    </row>
    <row r="500" customFormat="false" ht="12.75" hidden="false" customHeight="true" outlineLevel="0" collapsed="false">
      <c r="A500" s="441" t="n">
        <v>7</v>
      </c>
      <c r="B500" s="157" t="n">
        <v>492</v>
      </c>
      <c r="C500" s="437" t="s">
        <v>7523</v>
      </c>
      <c r="D500" s="157" t="s">
        <v>8073</v>
      </c>
      <c r="E500" s="461" t="s">
        <v>2461</v>
      </c>
      <c r="F500" s="157" t="s">
        <v>8074</v>
      </c>
      <c r="G500" s="445" t="n">
        <v>44.2</v>
      </c>
      <c r="H500" s="431" t="n">
        <v>9506</v>
      </c>
      <c r="I500" s="457" t="n">
        <v>0</v>
      </c>
      <c r="J500" s="458" t="n">
        <v>2400</v>
      </c>
      <c r="K500" s="462" t="n">
        <v>5</v>
      </c>
      <c r="L500" s="463" t="n">
        <v>0</v>
      </c>
      <c r="M500" s="463" t="n">
        <v>0</v>
      </c>
      <c r="N500" s="431" t="n">
        <v>1977</v>
      </c>
      <c r="O500" s="446" t="n">
        <v>240</v>
      </c>
      <c r="P500" s="446" t="n">
        <v>2400</v>
      </c>
      <c r="Q500" s="157" t="n">
        <v>16</v>
      </c>
      <c r="R500" s="157" t="n">
        <v>8</v>
      </c>
      <c r="S500" s="157" t="n">
        <v>1</v>
      </c>
      <c r="T500" s="457" t="s">
        <v>7526</v>
      </c>
      <c r="U500" s="457" t="n">
        <v>398</v>
      </c>
      <c r="V500" s="458" t="n">
        <v>13500</v>
      </c>
      <c r="W500" s="458" t="n">
        <v>14000</v>
      </c>
      <c r="X500" s="464" t="s">
        <v>6664</v>
      </c>
      <c r="Y500" s="458" t="n">
        <v>2000</v>
      </c>
      <c r="Z500" s="457" t="s">
        <v>6638</v>
      </c>
      <c r="AC500" s="431"/>
      <c r="AD500" s="437" t="s">
        <v>8075</v>
      </c>
      <c r="AE500" s="167"/>
      <c r="AF500" s="167"/>
      <c r="AG500" s="167"/>
      <c r="AH500" s="167"/>
      <c r="AI500" s="167"/>
      <c r="AJ500" s="167"/>
      <c r="AK500" s="465" t="s">
        <v>8076</v>
      </c>
      <c r="AM500" s="157"/>
    </row>
    <row r="501" customFormat="false" ht="12.75" hidden="false" customHeight="true" outlineLevel="0" collapsed="false">
      <c r="A501" s="441" t="n">
        <v>7</v>
      </c>
      <c r="B501" s="157" t="n">
        <v>493</v>
      </c>
      <c r="C501" s="437" t="s">
        <v>7523</v>
      </c>
      <c r="D501" s="157" t="s">
        <v>8077</v>
      </c>
      <c r="E501" s="461" t="s">
        <v>2461</v>
      </c>
      <c r="F501" s="157" t="s">
        <v>8078</v>
      </c>
      <c r="G501" s="445" t="n">
        <v>44.2</v>
      </c>
      <c r="H501" s="431" t="n">
        <v>9506</v>
      </c>
      <c r="I501" s="457" t="n">
        <v>0</v>
      </c>
      <c r="J501" s="458" t="n">
        <v>9600</v>
      </c>
      <c r="K501" s="462" t="n">
        <v>6.4375</v>
      </c>
      <c r="L501" s="463" t="n">
        <v>0</v>
      </c>
      <c r="M501" s="463" t="n">
        <v>0.175760517799353</v>
      </c>
      <c r="N501" s="431" t="n">
        <v>1983</v>
      </c>
      <c r="O501" s="446" t="n">
        <v>1700</v>
      </c>
      <c r="Q501" s="157" t="n">
        <v>18</v>
      </c>
      <c r="R501" s="157" t="n">
        <v>3</v>
      </c>
      <c r="S501" s="157" t="n">
        <v>3</v>
      </c>
      <c r="T501" s="457" t="s">
        <v>7526</v>
      </c>
      <c r="U501" s="457" t="n">
        <v>398</v>
      </c>
      <c r="V501" s="458" t="n">
        <v>12700</v>
      </c>
      <c r="W501" s="458" t="n">
        <v>13000</v>
      </c>
      <c r="X501" s="464" t="s">
        <v>7103</v>
      </c>
      <c r="Y501" s="458" t="n">
        <v>10000</v>
      </c>
      <c r="Z501" s="457" t="s">
        <v>6638</v>
      </c>
      <c r="AC501" s="431"/>
      <c r="AD501" s="437" t="s">
        <v>8079</v>
      </c>
      <c r="AE501" s="167"/>
      <c r="AF501" s="167"/>
      <c r="AG501" s="167"/>
      <c r="AH501" s="167"/>
      <c r="AI501" s="167"/>
      <c r="AJ501" s="167"/>
      <c r="AK501" s="167" t="s">
        <v>8080</v>
      </c>
      <c r="AM501" s="157"/>
    </row>
    <row r="502" customFormat="false" ht="12.75" hidden="false" customHeight="true" outlineLevel="0" collapsed="false">
      <c r="A502" s="441" t="n">
        <v>7</v>
      </c>
      <c r="B502" s="157" t="n">
        <v>494</v>
      </c>
      <c r="C502" s="437" t="s">
        <v>7523</v>
      </c>
      <c r="D502" s="157" t="s">
        <v>8081</v>
      </c>
      <c r="E502" s="461" t="s">
        <v>2461</v>
      </c>
      <c r="F502" s="157" t="s">
        <v>8082</v>
      </c>
      <c r="G502" s="445" t="n">
        <v>44.2</v>
      </c>
      <c r="H502" s="431" t="n">
        <v>9506</v>
      </c>
      <c r="I502" s="457" t="n">
        <v>0</v>
      </c>
      <c r="J502" s="458" t="n">
        <v>7604</v>
      </c>
      <c r="K502" s="462" t="n">
        <v>5.60165702261967</v>
      </c>
      <c r="L502" s="463" t="n">
        <v>0</v>
      </c>
      <c r="M502" s="463" t="n">
        <v>0.140814649606761</v>
      </c>
      <c r="N502" s="431" t="n">
        <v>1961</v>
      </c>
      <c r="O502" s="446" t="n">
        <v>4601</v>
      </c>
      <c r="Q502" s="157" t="n">
        <v>12</v>
      </c>
      <c r="R502" s="157" t="n">
        <v>1</v>
      </c>
      <c r="S502" s="157" t="n">
        <v>2</v>
      </c>
      <c r="T502" s="457" t="s">
        <v>7526</v>
      </c>
      <c r="U502" s="457" t="n">
        <v>398</v>
      </c>
      <c r="V502" s="458" t="n">
        <v>27746</v>
      </c>
      <c r="W502" s="458" t="n">
        <v>28000</v>
      </c>
      <c r="X502" s="464" t="s">
        <v>6692</v>
      </c>
      <c r="Y502" s="458" t="n">
        <v>8000</v>
      </c>
      <c r="Z502" s="457" t="s">
        <v>6638</v>
      </c>
      <c r="AC502" s="431"/>
      <c r="AD502" s="437" t="s">
        <v>6651</v>
      </c>
      <c r="AE502" s="167"/>
      <c r="AF502" s="167"/>
      <c r="AG502" s="167"/>
      <c r="AH502" s="167"/>
      <c r="AI502" s="167"/>
      <c r="AJ502" s="167"/>
      <c r="AK502" s="167" t="s">
        <v>8083</v>
      </c>
      <c r="AM502" s="157"/>
    </row>
    <row r="503" customFormat="false" ht="12.75" hidden="false" customHeight="true" outlineLevel="0" collapsed="false">
      <c r="A503" s="441" t="n">
        <v>7</v>
      </c>
      <c r="B503" s="157" t="n">
        <v>495</v>
      </c>
      <c r="C503" s="437" t="s">
        <v>7523</v>
      </c>
      <c r="D503" s="157" t="s">
        <v>8084</v>
      </c>
      <c r="E503" s="461" t="s">
        <v>2461</v>
      </c>
      <c r="F503" s="157" t="s">
        <v>8085</v>
      </c>
      <c r="G503" s="445" t="n">
        <v>44.2</v>
      </c>
      <c r="H503" s="431" t="n">
        <v>9506</v>
      </c>
      <c r="I503" s="457" t="n">
        <v>0</v>
      </c>
      <c r="J503" s="458" t="n">
        <v>10000</v>
      </c>
      <c r="K503" s="462" t="n">
        <v>6</v>
      </c>
      <c r="L503" s="463" t="n">
        <v>0</v>
      </c>
      <c r="M503" s="463" t="n">
        <v>0</v>
      </c>
      <c r="N503" s="431" t="n">
        <v>1983</v>
      </c>
      <c r="O503" s="446" t="n">
        <v>2300</v>
      </c>
      <c r="Q503" s="157" t="n">
        <v>14</v>
      </c>
      <c r="R503" s="157" t="n">
        <v>3</v>
      </c>
      <c r="S503" s="157" t="n">
        <v>1</v>
      </c>
      <c r="T503" s="457" t="s">
        <v>7526</v>
      </c>
      <c r="U503" s="457" t="n">
        <v>398</v>
      </c>
      <c r="V503" s="458" t="n">
        <v>14224</v>
      </c>
      <c r="W503" s="458" t="n">
        <v>14000</v>
      </c>
      <c r="X503" s="464" t="s">
        <v>6710</v>
      </c>
      <c r="Y503" s="458" t="n">
        <v>10000</v>
      </c>
      <c r="Z503" s="457" t="s">
        <v>6638</v>
      </c>
      <c r="AC503" s="431"/>
      <c r="AD503" s="437" t="s">
        <v>8086</v>
      </c>
      <c r="AE503" s="167"/>
      <c r="AF503" s="167"/>
      <c r="AG503" s="167"/>
      <c r="AH503" s="167"/>
      <c r="AI503" s="167"/>
      <c r="AJ503" s="167"/>
      <c r="AK503" s="167"/>
      <c r="AM503" s="157"/>
    </row>
    <row r="504" customFormat="false" ht="12.75" hidden="false" customHeight="true" outlineLevel="0" collapsed="false">
      <c r="A504" s="441" t="n">
        <v>7</v>
      </c>
      <c r="B504" s="157" t="n">
        <v>496</v>
      </c>
      <c r="C504" s="437" t="s">
        <v>7523</v>
      </c>
      <c r="D504" s="157" t="s">
        <v>8087</v>
      </c>
      <c r="E504" s="461" t="s">
        <v>2461</v>
      </c>
      <c r="F504" s="157" t="s">
        <v>8088</v>
      </c>
      <c r="G504" s="445" t="n">
        <v>44.2</v>
      </c>
      <c r="H504" s="431" t="n">
        <v>9506</v>
      </c>
      <c r="I504" s="457" t="n">
        <v>0</v>
      </c>
      <c r="J504" s="458" t="n">
        <v>6801</v>
      </c>
      <c r="K504" s="462" t="n">
        <v>7.49889722099691</v>
      </c>
      <c r="L504" s="463" t="n">
        <v>0</v>
      </c>
      <c r="M504" s="463" t="n">
        <v>0.0392156862745098</v>
      </c>
      <c r="N504" s="431" t="n">
        <v>1997</v>
      </c>
      <c r="O504" s="446" t="n">
        <v>2664</v>
      </c>
      <c r="Q504" s="157" t="n">
        <v>16</v>
      </c>
      <c r="R504" s="157" t="n">
        <v>3</v>
      </c>
      <c r="S504" s="157" t="n">
        <v>1</v>
      </c>
      <c r="T504" s="457" t="s">
        <v>7526</v>
      </c>
      <c r="U504" s="457" t="n">
        <v>398</v>
      </c>
      <c r="V504" s="458" t="n">
        <v>11176</v>
      </c>
      <c r="W504" s="458" t="n">
        <v>11000</v>
      </c>
      <c r="X504" s="464" t="s">
        <v>6668</v>
      </c>
      <c r="Y504" s="458" t="n">
        <v>7000</v>
      </c>
      <c r="Z504" s="457" t="s">
        <v>6638</v>
      </c>
      <c r="AC504" s="431"/>
      <c r="AD504" s="437" t="s">
        <v>6758</v>
      </c>
      <c r="AE504" s="167"/>
      <c r="AF504" s="167"/>
      <c r="AG504" s="167"/>
      <c r="AH504" s="167"/>
      <c r="AI504" s="167"/>
      <c r="AJ504" s="167"/>
      <c r="AK504" s="167" t="s">
        <v>7527</v>
      </c>
      <c r="AM504" s="157"/>
    </row>
    <row r="505" customFormat="false" ht="12.75" hidden="false" customHeight="true" outlineLevel="0" collapsed="false">
      <c r="A505" s="441" t="n">
        <v>7</v>
      </c>
      <c r="B505" s="157" t="n">
        <v>497</v>
      </c>
      <c r="C505" s="437" t="s">
        <v>7523</v>
      </c>
      <c r="D505" s="157" t="s">
        <v>8089</v>
      </c>
      <c r="E505" s="461" t="s">
        <v>2461</v>
      </c>
      <c r="F505" s="157" t="s">
        <v>8090</v>
      </c>
      <c r="G505" s="445" t="n">
        <v>44.2</v>
      </c>
      <c r="H505" s="431" t="n">
        <v>9506</v>
      </c>
      <c r="I505" s="457" t="n">
        <v>0</v>
      </c>
      <c r="J505" s="458" t="n">
        <v>10246</v>
      </c>
      <c r="K505" s="462" t="n">
        <v>6.8199297286746</v>
      </c>
      <c r="L505" s="463" t="n">
        <v>0.21</v>
      </c>
      <c r="M505" s="463" t="n">
        <v>0.0993603045351117</v>
      </c>
      <c r="N505" s="431" t="n">
        <v>1997</v>
      </c>
      <c r="O505" s="446" t="n">
        <v>8666</v>
      </c>
      <c r="Q505" s="157" t="n">
        <v>26</v>
      </c>
      <c r="R505" s="157" t="n">
        <v>14</v>
      </c>
      <c r="S505" s="157" t="n">
        <v>4</v>
      </c>
      <c r="T505" s="457" t="s">
        <v>7529</v>
      </c>
      <c r="U505" s="457" t="n">
        <v>398</v>
      </c>
      <c r="V505" s="458" t="n">
        <v>99255</v>
      </c>
      <c r="W505" s="458" t="n">
        <v>99000</v>
      </c>
      <c r="X505" s="464" t="s">
        <v>7546</v>
      </c>
      <c r="Y505" s="458" t="n">
        <v>10000</v>
      </c>
      <c r="Z505" s="457" t="s">
        <v>6638</v>
      </c>
      <c r="AC505" s="431"/>
      <c r="AD505" s="437" t="s">
        <v>8091</v>
      </c>
      <c r="AE505" s="167"/>
      <c r="AF505" s="167"/>
      <c r="AG505" s="167"/>
      <c r="AH505" s="167"/>
      <c r="AI505" s="167"/>
      <c r="AJ505" s="167"/>
      <c r="AK505" s="167" t="s">
        <v>8092</v>
      </c>
      <c r="AM505" s="157"/>
    </row>
    <row r="506" customFormat="false" ht="12.75" hidden="false" customHeight="true" outlineLevel="0" collapsed="false">
      <c r="A506" s="441" t="n">
        <v>7</v>
      </c>
      <c r="B506" s="157" t="n">
        <v>498</v>
      </c>
      <c r="C506" s="437" t="s">
        <v>7523</v>
      </c>
      <c r="D506" s="157" t="s">
        <v>8093</v>
      </c>
      <c r="E506" s="461" t="s">
        <v>2461</v>
      </c>
      <c r="F506" s="157" t="s">
        <v>8094</v>
      </c>
      <c r="G506" s="445" t="n">
        <v>43.2</v>
      </c>
      <c r="H506" s="431" t="n">
        <v>9506</v>
      </c>
      <c r="I506" s="457" t="n">
        <v>0</v>
      </c>
      <c r="J506" s="458" t="n">
        <v>14976</v>
      </c>
      <c r="K506" s="462" t="n">
        <v>3.73931623931624</v>
      </c>
      <c r="L506" s="463" t="n">
        <v>0</v>
      </c>
      <c r="M506" s="463" t="n">
        <v>0</v>
      </c>
      <c r="N506" s="431" t="n">
        <v>1973</v>
      </c>
      <c r="O506" s="446" t="n">
        <v>7296</v>
      </c>
      <c r="Q506" s="157" t="n">
        <v>20</v>
      </c>
      <c r="R506" s="157" t="n">
        <v>14</v>
      </c>
      <c r="S506" s="157" t="n">
        <v>1</v>
      </c>
      <c r="T506" s="457" t="s">
        <v>7529</v>
      </c>
      <c r="U506" s="457" t="n">
        <v>401</v>
      </c>
      <c r="V506" s="458" t="n">
        <v>27318</v>
      </c>
      <c r="W506" s="458" t="n">
        <v>27000</v>
      </c>
      <c r="X506" s="464" t="s">
        <v>6863</v>
      </c>
      <c r="Y506" s="458" t="n">
        <v>15000</v>
      </c>
      <c r="Z506" s="457" t="s">
        <v>6638</v>
      </c>
      <c r="AC506" s="431"/>
      <c r="AD506" s="437" t="s">
        <v>8095</v>
      </c>
      <c r="AE506" s="167"/>
      <c r="AF506" s="167"/>
      <c r="AG506" s="167"/>
      <c r="AH506" s="167"/>
      <c r="AI506" s="167"/>
      <c r="AJ506" s="167"/>
      <c r="AK506" s="167"/>
      <c r="AM506" s="157"/>
    </row>
    <row r="507" customFormat="false" ht="12.75" hidden="false" customHeight="true" outlineLevel="0" collapsed="false">
      <c r="A507" s="441" t="n">
        <v>7</v>
      </c>
      <c r="B507" s="157" t="n">
        <v>499</v>
      </c>
      <c r="C507" s="437" t="s">
        <v>7523</v>
      </c>
      <c r="D507" s="157" t="s">
        <v>7390</v>
      </c>
      <c r="E507" s="461" t="s">
        <v>2461</v>
      </c>
      <c r="F507" s="157" t="s">
        <v>8096</v>
      </c>
      <c r="G507" s="431" t="n">
        <v>44.1</v>
      </c>
      <c r="H507" s="431" t="n">
        <v>9506</v>
      </c>
      <c r="I507" s="457" t="n">
        <v>0</v>
      </c>
      <c r="J507" s="458" t="n">
        <v>10120</v>
      </c>
      <c r="K507" s="462" t="n">
        <v>8.32885375494071</v>
      </c>
      <c r="L507" s="463" t="n">
        <v>1</v>
      </c>
      <c r="M507" s="463" t="n">
        <v>0</v>
      </c>
      <c r="N507" s="431" t="n">
        <v>1985</v>
      </c>
      <c r="O507" s="446" t="n">
        <v>2300</v>
      </c>
      <c r="Q507" s="157" t="n">
        <v>16</v>
      </c>
      <c r="R507" s="157" t="n">
        <v>3</v>
      </c>
      <c r="S507" s="157" t="n">
        <v>1</v>
      </c>
      <c r="T507" s="457" t="s">
        <v>7529</v>
      </c>
      <c r="U507" s="457" t="n">
        <v>397</v>
      </c>
      <c r="V507" s="458" t="n">
        <v>22600</v>
      </c>
      <c r="W507" s="458" t="n">
        <v>23000</v>
      </c>
      <c r="X507" s="464" t="s">
        <v>6700</v>
      </c>
      <c r="Y507" s="458" t="n">
        <v>10000</v>
      </c>
      <c r="Z507" s="457" t="s">
        <v>6638</v>
      </c>
      <c r="AC507" s="431"/>
      <c r="AD507" s="437"/>
      <c r="AE507" s="167"/>
      <c r="AF507" s="167"/>
      <c r="AG507" s="167"/>
      <c r="AH507" s="167"/>
      <c r="AI507" s="167"/>
      <c r="AJ507" s="167"/>
      <c r="AK507" s="167"/>
      <c r="AM507" s="157"/>
    </row>
    <row r="508" customFormat="false" ht="12.75" hidden="false" customHeight="true" outlineLevel="0" collapsed="false">
      <c r="A508" s="441" t="n">
        <v>7</v>
      </c>
      <c r="B508" s="157" t="n">
        <v>500</v>
      </c>
      <c r="C508" s="437" t="s">
        <v>7523</v>
      </c>
      <c r="D508" s="157" t="s">
        <v>7392</v>
      </c>
      <c r="E508" s="461" t="s">
        <v>2461</v>
      </c>
      <c r="F508" s="157" t="s">
        <v>8097</v>
      </c>
      <c r="G508" s="445" t="n">
        <v>44.2</v>
      </c>
      <c r="H508" s="431" t="n">
        <v>9509</v>
      </c>
      <c r="I508" s="457" t="n">
        <v>0</v>
      </c>
      <c r="J508" s="458" t="n">
        <v>4161</v>
      </c>
      <c r="K508" s="462" t="n">
        <v>7.78658976207642</v>
      </c>
      <c r="L508" s="463" t="n">
        <v>0</v>
      </c>
      <c r="M508" s="463" t="n">
        <v>0.106666666666667</v>
      </c>
      <c r="N508" s="431" t="n">
        <v>1919</v>
      </c>
      <c r="O508" s="446" t="n">
        <v>1720</v>
      </c>
      <c r="Q508" s="157" t="n">
        <v>13</v>
      </c>
      <c r="R508" s="157" t="n">
        <v>1</v>
      </c>
      <c r="S508" s="157" t="n">
        <v>1</v>
      </c>
      <c r="T508" s="457" t="s">
        <v>7789</v>
      </c>
      <c r="U508" s="457" t="n">
        <v>398</v>
      </c>
      <c r="V508" s="458" t="n">
        <v>10300</v>
      </c>
      <c r="W508" s="458" t="n">
        <v>10000</v>
      </c>
      <c r="X508" s="464" t="s">
        <v>6954</v>
      </c>
      <c r="Y508" s="458" t="n">
        <v>4000</v>
      </c>
      <c r="Z508" s="457" t="s">
        <v>6638</v>
      </c>
      <c r="AC508" s="431"/>
      <c r="AD508" s="437" t="s">
        <v>7394</v>
      </c>
      <c r="AE508" s="167"/>
      <c r="AF508" s="167"/>
      <c r="AG508" s="167"/>
      <c r="AH508" s="167"/>
      <c r="AI508" s="167"/>
      <c r="AJ508" s="167"/>
      <c r="AK508" s="167"/>
      <c r="AM508" s="157"/>
    </row>
    <row r="509" customFormat="false" ht="12.75" hidden="false" customHeight="true" outlineLevel="0" collapsed="false">
      <c r="A509" s="441" t="n">
        <v>7</v>
      </c>
      <c r="B509" s="157" t="n">
        <v>501</v>
      </c>
      <c r="C509" s="437" t="s">
        <v>7523</v>
      </c>
      <c r="D509" s="157" t="s">
        <v>7395</v>
      </c>
      <c r="E509" s="461" t="s">
        <v>2461</v>
      </c>
      <c r="F509" s="157" t="s">
        <v>8098</v>
      </c>
      <c r="G509" s="445" t="n">
        <v>44.2</v>
      </c>
      <c r="H509" s="431" t="n">
        <v>9509</v>
      </c>
      <c r="I509" s="457" t="n">
        <v>0</v>
      </c>
      <c r="J509" s="458" t="n">
        <v>8845</v>
      </c>
      <c r="K509" s="462" t="n">
        <v>7.14980214810628</v>
      </c>
      <c r="L509" s="463" t="n">
        <v>1</v>
      </c>
      <c r="M509" s="463" t="n">
        <v>0</v>
      </c>
      <c r="N509" s="431" t="n">
        <v>1957</v>
      </c>
      <c r="O509" s="446" t="n">
        <v>576</v>
      </c>
      <c r="Q509" s="157" t="n">
        <v>20</v>
      </c>
      <c r="R509" s="157" t="n">
        <v>3</v>
      </c>
      <c r="S509" s="157" t="n">
        <v>1</v>
      </c>
      <c r="T509" s="457" t="s">
        <v>7789</v>
      </c>
      <c r="U509" s="457" t="n">
        <v>398</v>
      </c>
      <c r="V509" s="458" t="n">
        <v>14300</v>
      </c>
      <c r="W509" s="458" t="n">
        <v>14000</v>
      </c>
      <c r="X509" s="464" t="s">
        <v>6668</v>
      </c>
      <c r="Y509" s="458" t="n">
        <v>9000</v>
      </c>
      <c r="Z509" s="457" t="s">
        <v>6638</v>
      </c>
      <c r="AC509" s="431"/>
      <c r="AD509" s="437" t="s">
        <v>7397</v>
      </c>
      <c r="AE509" s="167"/>
      <c r="AF509" s="167"/>
      <c r="AG509" s="167"/>
      <c r="AH509" s="167"/>
      <c r="AI509" s="167"/>
      <c r="AJ509" s="167"/>
      <c r="AK509" s="167"/>
      <c r="AM509" s="157"/>
    </row>
    <row r="510" customFormat="false" ht="12.75" hidden="false" customHeight="true" outlineLevel="0" collapsed="false">
      <c r="A510" s="441" t="n">
        <v>7</v>
      </c>
      <c r="B510" s="157" t="n">
        <v>502</v>
      </c>
      <c r="C510" s="437" t="s">
        <v>7523</v>
      </c>
      <c r="D510" s="157" t="s">
        <v>8099</v>
      </c>
      <c r="E510" s="461" t="s">
        <v>2461</v>
      </c>
      <c r="F510" s="157" t="s">
        <v>8100</v>
      </c>
      <c r="G510" s="431" t="n">
        <v>44.1</v>
      </c>
      <c r="H510" s="431" t="n">
        <v>9506</v>
      </c>
      <c r="I510" s="457" t="n">
        <v>0</v>
      </c>
      <c r="J510" s="458" t="n">
        <v>3000</v>
      </c>
      <c r="K510" s="462" t="n">
        <v>5.4</v>
      </c>
      <c r="L510" s="463" t="n">
        <v>0.17</v>
      </c>
      <c r="M510" s="463" t="n">
        <v>0.0177160493827161</v>
      </c>
      <c r="N510" s="431" t="n">
        <v>1959</v>
      </c>
      <c r="O510" s="446" t="n">
        <v>1850</v>
      </c>
      <c r="Q510" s="157" t="n">
        <v>16</v>
      </c>
      <c r="R510" s="157" t="n">
        <v>3</v>
      </c>
      <c r="S510" s="157" t="n">
        <v>1</v>
      </c>
      <c r="T510" s="457" t="s">
        <v>7526</v>
      </c>
      <c r="U510" s="457" t="n">
        <v>398</v>
      </c>
      <c r="V510" s="458" t="n">
        <v>15625</v>
      </c>
      <c r="W510" s="458" t="n">
        <v>16000</v>
      </c>
      <c r="X510" s="464" t="s">
        <v>7103</v>
      </c>
      <c r="Y510" s="458" t="n">
        <v>3000</v>
      </c>
      <c r="Z510" s="457" t="s">
        <v>6638</v>
      </c>
      <c r="AC510" s="431"/>
      <c r="AD510" s="437"/>
      <c r="AE510" s="167"/>
      <c r="AF510" s="167"/>
      <c r="AG510" s="167"/>
      <c r="AH510" s="167"/>
      <c r="AI510" s="167"/>
      <c r="AJ510" s="167"/>
      <c r="AK510" s="167" t="s">
        <v>8101</v>
      </c>
      <c r="AM510" s="157"/>
    </row>
    <row r="511" customFormat="false" ht="12.75" hidden="false" customHeight="true" outlineLevel="0" collapsed="false">
      <c r="A511" s="441" t="n">
        <v>7</v>
      </c>
      <c r="B511" s="157" t="n">
        <v>503</v>
      </c>
      <c r="C511" s="437" t="s">
        <v>7523</v>
      </c>
      <c r="D511" s="157" t="s">
        <v>7401</v>
      </c>
      <c r="E511" s="461" t="s">
        <v>2461</v>
      </c>
      <c r="F511" s="157" t="s">
        <v>8102</v>
      </c>
      <c r="G511" s="445" t="n">
        <v>44.2</v>
      </c>
      <c r="H511" s="431" t="n">
        <v>9506</v>
      </c>
      <c r="I511" s="457" t="n">
        <v>0</v>
      </c>
      <c r="J511" s="458" t="n">
        <v>4313</v>
      </c>
      <c r="K511" s="462" t="n">
        <v>11.1987015998145</v>
      </c>
      <c r="L511" s="463" t="n">
        <v>0</v>
      </c>
      <c r="M511" s="463" t="n">
        <v>0.0402691511387164</v>
      </c>
      <c r="N511" s="431" t="n">
        <v>2002</v>
      </c>
      <c r="O511" s="446" t="n">
        <v>0</v>
      </c>
      <c r="Q511" s="157" t="n">
        <v>24</v>
      </c>
      <c r="R511" s="157" t="n">
        <v>3</v>
      </c>
      <c r="S511" s="157" t="n">
        <v>1</v>
      </c>
      <c r="T511" s="457" t="s">
        <v>7526</v>
      </c>
      <c r="U511" s="457" t="n">
        <v>398</v>
      </c>
      <c r="V511" s="458" t="n">
        <v>6250</v>
      </c>
      <c r="W511" s="458" t="n">
        <v>6000</v>
      </c>
      <c r="X511" s="464" t="s">
        <v>6710</v>
      </c>
      <c r="Y511" s="458" t="n">
        <v>4000</v>
      </c>
      <c r="Z511" s="457" t="s">
        <v>6638</v>
      </c>
      <c r="AC511" s="431"/>
      <c r="AD511" s="437" t="s">
        <v>7403</v>
      </c>
      <c r="AE511" s="167"/>
      <c r="AF511" s="167"/>
      <c r="AG511" s="167"/>
      <c r="AH511" s="167"/>
      <c r="AI511" s="167"/>
      <c r="AJ511" s="167"/>
      <c r="AK511" s="167"/>
      <c r="AM511" s="157"/>
    </row>
    <row r="512" customFormat="false" ht="12.75" hidden="false" customHeight="true" outlineLevel="0" collapsed="false">
      <c r="A512" s="441" t="n">
        <v>7</v>
      </c>
      <c r="B512" s="157" t="n">
        <v>504</v>
      </c>
      <c r="C512" s="437" t="s">
        <v>7523</v>
      </c>
      <c r="D512" s="157" t="s">
        <v>7404</v>
      </c>
      <c r="E512" s="461" t="s">
        <v>2461</v>
      </c>
      <c r="F512" s="157" t="s">
        <v>8103</v>
      </c>
      <c r="G512" s="431" t="n">
        <v>44.1</v>
      </c>
      <c r="H512" s="431" t="n">
        <v>9506</v>
      </c>
      <c r="I512" s="457" t="n">
        <v>2</v>
      </c>
      <c r="J512" s="458" t="n">
        <v>1912</v>
      </c>
      <c r="K512" s="462" t="n">
        <v>13.0230125523013</v>
      </c>
      <c r="L512" s="463" t="n">
        <v>0</v>
      </c>
      <c r="M512" s="463" t="n">
        <v>0.0538152610441767</v>
      </c>
      <c r="N512" s="431" t="n">
        <v>1912</v>
      </c>
      <c r="O512" s="446" t="n">
        <v>1006</v>
      </c>
      <c r="Q512" s="157" t="n">
        <v>15</v>
      </c>
      <c r="R512" s="157" t="n">
        <v>1</v>
      </c>
      <c r="S512" s="157" t="n">
        <v>1</v>
      </c>
      <c r="T512" s="457" t="s">
        <v>7789</v>
      </c>
      <c r="U512" s="457" t="n">
        <v>398</v>
      </c>
      <c r="V512" s="458" t="n">
        <v>6250</v>
      </c>
      <c r="W512" s="458" t="n">
        <v>6000</v>
      </c>
      <c r="X512" s="464" t="s">
        <v>6643</v>
      </c>
      <c r="Y512" s="458" t="n">
        <v>2000</v>
      </c>
      <c r="Z512" s="457" t="s">
        <v>6638</v>
      </c>
      <c r="AC512" s="431"/>
      <c r="AD512" s="437" t="s">
        <v>7406</v>
      </c>
      <c r="AE512" s="167"/>
      <c r="AF512" s="167"/>
      <c r="AG512" s="167"/>
      <c r="AH512" s="167"/>
      <c r="AI512" s="167"/>
      <c r="AJ512" s="167"/>
      <c r="AK512" s="167"/>
      <c r="AM512" s="157"/>
    </row>
    <row r="513" customFormat="false" ht="12.75" hidden="false" customHeight="true" outlineLevel="0" collapsed="false">
      <c r="A513" s="441" t="n">
        <v>7</v>
      </c>
      <c r="B513" s="157" t="n">
        <v>505</v>
      </c>
      <c r="C513" s="437" t="s">
        <v>7523</v>
      </c>
      <c r="D513" s="157" t="s">
        <v>8104</v>
      </c>
      <c r="E513" s="461" t="s">
        <v>2461</v>
      </c>
      <c r="F513" s="157" t="s">
        <v>8105</v>
      </c>
      <c r="G513" s="431" t="n">
        <v>44.1</v>
      </c>
      <c r="H513" s="431" t="n">
        <v>9506</v>
      </c>
      <c r="I513" s="457" t="n">
        <v>0</v>
      </c>
      <c r="J513" s="458" t="n">
        <v>4699</v>
      </c>
      <c r="K513" s="462" t="n">
        <v>6.89508406043839</v>
      </c>
      <c r="L513" s="463" t="n">
        <v>0</v>
      </c>
      <c r="M513" s="463" t="n">
        <v>0.206327160493827</v>
      </c>
      <c r="N513" s="431" t="n">
        <v>1962</v>
      </c>
      <c r="O513" s="446" t="n">
        <v>798</v>
      </c>
      <c r="Q513" s="157" t="n">
        <v>14</v>
      </c>
      <c r="R513" s="157" t="n">
        <v>1</v>
      </c>
      <c r="S513" s="157" t="n">
        <v>1</v>
      </c>
      <c r="T513" s="457" t="s">
        <v>7526</v>
      </c>
      <c r="U513" s="457" t="n">
        <v>398</v>
      </c>
      <c r="V513" s="458" t="n">
        <v>6100</v>
      </c>
      <c r="W513" s="458" t="n">
        <v>6000</v>
      </c>
      <c r="X513" s="464" t="s">
        <v>7103</v>
      </c>
      <c r="Y513" s="458" t="n">
        <v>5000</v>
      </c>
      <c r="Z513" s="457" t="s">
        <v>6638</v>
      </c>
      <c r="AC513" s="431"/>
      <c r="AD513" s="437" t="s">
        <v>8106</v>
      </c>
      <c r="AE513" s="167"/>
      <c r="AF513" s="167"/>
      <c r="AG513" s="167"/>
      <c r="AH513" s="167"/>
      <c r="AI513" s="167"/>
      <c r="AJ513" s="167"/>
      <c r="AK513" s="167" t="s">
        <v>8107</v>
      </c>
      <c r="AM513" s="157"/>
    </row>
    <row r="514" customFormat="false" ht="12.75" hidden="false" customHeight="true" outlineLevel="0" collapsed="false">
      <c r="A514" s="441" t="n">
        <v>7</v>
      </c>
      <c r="B514" s="157" t="n">
        <v>506</v>
      </c>
      <c r="C514" s="437" t="s">
        <v>7523</v>
      </c>
      <c r="D514" s="157" t="s">
        <v>7414</v>
      </c>
      <c r="E514" s="461" t="s">
        <v>2461</v>
      </c>
      <c r="F514" s="157" t="s">
        <v>8108</v>
      </c>
      <c r="G514" s="445" t="n">
        <v>44.2</v>
      </c>
      <c r="H514" s="431" t="n">
        <v>9506</v>
      </c>
      <c r="I514" s="457" t="n">
        <v>0</v>
      </c>
      <c r="J514" s="458" t="n">
        <v>12860</v>
      </c>
      <c r="K514" s="462" t="n">
        <v>5.7400466562986</v>
      </c>
      <c r="L514" s="463" t="n">
        <v>0.13</v>
      </c>
      <c r="M514" s="463" t="n">
        <v>0</v>
      </c>
      <c r="N514" s="431" t="n">
        <v>1943</v>
      </c>
      <c r="O514" s="446" t="n">
        <v>5907</v>
      </c>
      <c r="Q514" s="157" t="n">
        <v>12</v>
      </c>
      <c r="R514" s="157" t="n">
        <v>1</v>
      </c>
      <c r="S514" s="157" t="n">
        <v>4</v>
      </c>
      <c r="T514" s="457" t="s">
        <v>7531</v>
      </c>
      <c r="U514" s="457" t="n">
        <v>398</v>
      </c>
      <c r="V514" s="458" t="n">
        <v>35250</v>
      </c>
      <c r="W514" s="458" t="n">
        <v>35000</v>
      </c>
      <c r="X514" s="464" t="s">
        <v>6675</v>
      </c>
      <c r="Y514" s="458" t="n">
        <v>13000</v>
      </c>
      <c r="Z514" s="457" t="s">
        <v>6638</v>
      </c>
      <c r="AC514" s="431"/>
      <c r="AD514" s="437" t="s">
        <v>6651</v>
      </c>
      <c r="AE514" s="167"/>
      <c r="AF514" s="167"/>
      <c r="AG514" s="167"/>
      <c r="AH514" s="167"/>
      <c r="AI514" s="167"/>
      <c r="AJ514" s="167"/>
      <c r="AK514" s="167" t="s">
        <v>8109</v>
      </c>
      <c r="AM514" s="157"/>
    </row>
    <row r="515" customFormat="false" ht="12.75" hidden="false" customHeight="true" outlineLevel="0" collapsed="false">
      <c r="A515" s="441" t="n">
        <v>7</v>
      </c>
      <c r="B515" s="157" t="n">
        <v>507</v>
      </c>
      <c r="C515" s="437" t="s">
        <v>7523</v>
      </c>
      <c r="D515" s="157" t="s">
        <v>7417</v>
      </c>
      <c r="E515" s="461" t="s">
        <v>2461</v>
      </c>
      <c r="F515" s="157" t="s">
        <v>8110</v>
      </c>
      <c r="G515" s="431" t="n">
        <v>44.1</v>
      </c>
      <c r="H515" s="431" t="n">
        <v>9506</v>
      </c>
      <c r="I515" s="457" t="n">
        <v>0</v>
      </c>
      <c r="J515" s="458" t="n">
        <v>3600</v>
      </c>
      <c r="K515" s="462" t="n">
        <v>13.1197222222222</v>
      </c>
      <c r="L515" s="463" t="n">
        <v>0</v>
      </c>
      <c r="M515" s="463" t="n">
        <v>0.179775994579831</v>
      </c>
      <c r="N515" s="431" t="n">
        <v>1985</v>
      </c>
      <c r="O515" s="446" t="n">
        <v>0</v>
      </c>
      <c r="Q515" s="157" t="n">
        <v>15</v>
      </c>
      <c r="R515" s="157" t="n">
        <v>7</v>
      </c>
      <c r="S515" s="157" t="n">
        <v>1</v>
      </c>
      <c r="T515" s="457" t="s">
        <v>7526</v>
      </c>
      <c r="U515" s="457" t="n">
        <v>398</v>
      </c>
      <c r="V515" s="458" t="n">
        <v>22750</v>
      </c>
      <c r="W515" s="458" t="n">
        <v>23000</v>
      </c>
      <c r="X515" s="464" t="s">
        <v>6671</v>
      </c>
      <c r="Y515" s="458" t="n">
        <v>4000</v>
      </c>
      <c r="Z515" s="457" t="s">
        <v>6638</v>
      </c>
      <c r="AC515" s="431"/>
      <c r="AD515" s="437" t="s">
        <v>6676</v>
      </c>
      <c r="AE515" s="167"/>
      <c r="AF515" s="167"/>
      <c r="AG515" s="167"/>
      <c r="AH515" s="167"/>
      <c r="AI515" s="167"/>
      <c r="AJ515" s="167"/>
      <c r="AK515" s="167" t="s">
        <v>8111</v>
      </c>
      <c r="AM515" s="157"/>
    </row>
    <row r="516" customFormat="false" ht="12.75" hidden="false" customHeight="true" outlineLevel="0" collapsed="false">
      <c r="A516" s="441" t="n">
        <v>7</v>
      </c>
      <c r="B516" s="157" t="n">
        <v>508</v>
      </c>
      <c r="C516" s="437" t="s">
        <v>7523</v>
      </c>
      <c r="D516" s="157" t="s">
        <v>7419</v>
      </c>
      <c r="E516" s="461" t="s">
        <v>2461</v>
      </c>
      <c r="F516" s="157" t="s">
        <v>8112</v>
      </c>
      <c r="G516" s="445" t="n">
        <v>44.2</v>
      </c>
      <c r="H516" s="431" t="n">
        <v>9506</v>
      </c>
      <c r="I516" s="457" t="n">
        <v>0</v>
      </c>
      <c r="J516" s="458" t="n">
        <v>2156</v>
      </c>
      <c r="K516" s="462" t="n">
        <v>9.74025974025974</v>
      </c>
      <c r="L516" s="463" t="n">
        <v>0</v>
      </c>
      <c r="M516" s="463" t="n">
        <v>0.144666666666667</v>
      </c>
      <c r="N516" s="431" t="n">
        <v>1957</v>
      </c>
      <c r="O516" s="446" t="n">
        <v>0</v>
      </c>
      <c r="Q516" s="157" t="n">
        <v>12</v>
      </c>
      <c r="R516" s="157" t="n">
        <v>3</v>
      </c>
      <c r="S516" s="157" t="n">
        <v>1</v>
      </c>
      <c r="T516" s="457" t="s">
        <v>7526</v>
      </c>
      <c r="U516" s="457" t="n">
        <v>398</v>
      </c>
      <c r="V516" s="458" t="n">
        <v>9370</v>
      </c>
      <c r="W516" s="458" t="n">
        <v>9000</v>
      </c>
      <c r="X516" s="464" t="s">
        <v>6705</v>
      </c>
      <c r="Y516" s="458" t="n">
        <v>2000</v>
      </c>
      <c r="Z516" s="457" t="s">
        <v>6638</v>
      </c>
      <c r="AC516" s="431"/>
      <c r="AD516" s="437"/>
      <c r="AE516" s="167"/>
      <c r="AF516" s="167"/>
      <c r="AG516" s="167"/>
      <c r="AH516" s="167"/>
      <c r="AI516" s="167"/>
      <c r="AJ516" s="167"/>
      <c r="AK516" s="167" t="s">
        <v>6661</v>
      </c>
      <c r="AM516" s="157"/>
    </row>
    <row r="517" customFormat="false" ht="12.75" hidden="false" customHeight="true" outlineLevel="0" collapsed="false">
      <c r="A517" s="441" t="n">
        <v>7</v>
      </c>
      <c r="B517" s="157" t="n">
        <v>509</v>
      </c>
      <c r="C517" s="437" t="s">
        <v>7523</v>
      </c>
      <c r="D517" s="157" t="s">
        <v>8113</v>
      </c>
      <c r="E517" s="461" t="s">
        <v>2461</v>
      </c>
      <c r="F517" s="157" t="s">
        <v>8114</v>
      </c>
      <c r="G517" s="445" t="n">
        <v>47.1</v>
      </c>
      <c r="H517" s="431" t="n">
        <v>9506</v>
      </c>
      <c r="I517" s="457" t="n">
        <v>0</v>
      </c>
      <c r="J517" s="458" t="n">
        <v>6800</v>
      </c>
      <c r="K517" s="462" t="n">
        <v>5.92279411764706</v>
      </c>
      <c r="L517" s="463" t="n">
        <v>0</v>
      </c>
      <c r="M517" s="463" t="n">
        <v>0.0985723153320919</v>
      </c>
      <c r="N517" s="431" t="n">
        <v>1967</v>
      </c>
      <c r="O517" s="446" t="n">
        <v>2000</v>
      </c>
      <c r="Q517" s="157" t="n">
        <v>16</v>
      </c>
      <c r="R517" s="157" t="n">
        <v>1</v>
      </c>
      <c r="S517" s="157" t="n">
        <v>1</v>
      </c>
      <c r="T517" s="457" t="s">
        <v>7526</v>
      </c>
      <c r="U517" s="457" t="n">
        <v>401</v>
      </c>
      <c r="V517" s="458" t="n">
        <v>11800</v>
      </c>
      <c r="W517" s="458" t="n">
        <v>12000</v>
      </c>
      <c r="X517" s="464" t="s">
        <v>6710</v>
      </c>
      <c r="Y517" s="458" t="n">
        <v>7000</v>
      </c>
      <c r="Z517" s="457" t="s">
        <v>6638</v>
      </c>
      <c r="AC517" s="431"/>
      <c r="AD517" s="437"/>
      <c r="AE517" s="167"/>
      <c r="AF517" s="167"/>
      <c r="AG517" s="167"/>
      <c r="AH517" s="167"/>
      <c r="AI517" s="167"/>
      <c r="AJ517" s="167"/>
      <c r="AK517" s="167"/>
      <c r="AM517" s="157"/>
    </row>
    <row r="518" customFormat="false" ht="12.75" hidden="false" customHeight="true" outlineLevel="0" collapsed="false">
      <c r="A518" s="441" t="n">
        <v>7</v>
      </c>
      <c r="B518" s="157" t="n">
        <v>510</v>
      </c>
      <c r="C518" s="437" t="s">
        <v>7523</v>
      </c>
      <c r="D518" s="157" t="s">
        <v>8115</v>
      </c>
      <c r="E518" s="461" t="s">
        <v>2461</v>
      </c>
      <c r="F518" s="157" t="s">
        <v>8116</v>
      </c>
      <c r="G518" s="445" t="n">
        <v>47.2</v>
      </c>
      <c r="H518" s="431" t="n">
        <v>9506</v>
      </c>
      <c r="I518" s="457" t="n">
        <v>0</v>
      </c>
      <c r="J518" s="458" t="n">
        <v>7720</v>
      </c>
      <c r="K518" s="462" t="n">
        <v>6.21761658031088</v>
      </c>
      <c r="L518" s="463" t="n">
        <v>0</v>
      </c>
      <c r="M518" s="463" t="n">
        <v>0.072625</v>
      </c>
      <c r="N518" s="431" t="n">
        <v>1967</v>
      </c>
      <c r="O518" s="446" t="n">
        <v>1068</v>
      </c>
      <c r="P518" s="446" t="n">
        <v>1005</v>
      </c>
      <c r="Q518" s="157" t="n">
        <v>13</v>
      </c>
      <c r="R518" s="157" t="n">
        <v>1</v>
      </c>
      <c r="S518" s="157" t="n">
        <v>1</v>
      </c>
      <c r="T518" s="457" t="s">
        <v>7526</v>
      </c>
      <c r="U518" s="457" t="n">
        <v>401</v>
      </c>
      <c r="V518" s="458" t="n">
        <v>12063</v>
      </c>
      <c r="W518" s="458" t="n">
        <v>12000</v>
      </c>
      <c r="X518" s="464" t="s">
        <v>6668</v>
      </c>
      <c r="Y518" s="458" t="n">
        <v>8000</v>
      </c>
      <c r="Z518" s="457" t="s">
        <v>6638</v>
      </c>
      <c r="AC518" s="431"/>
      <c r="AD518" s="437"/>
      <c r="AE518" s="167"/>
      <c r="AF518" s="167"/>
      <c r="AG518" s="167"/>
      <c r="AH518" s="167"/>
      <c r="AI518" s="167"/>
      <c r="AJ518" s="167"/>
      <c r="AK518" s="167"/>
      <c r="AM518" s="157"/>
    </row>
    <row r="519" customFormat="false" ht="12.75" hidden="false" customHeight="true" outlineLevel="0" collapsed="false">
      <c r="A519" s="441" t="n">
        <v>7</v>
      </c>
      <c r="B519" s="157" t="n">
        <v>511</v>
      </c>
      <c r="C519" s="437" t="s">
        <v>7523</v>
      </c>
      <c r="D519" s="157" t="s">
        <v>8117</v>
      </c>
      <c r="E519" s="461" t="s">
        <v>2461</v>
      </c>
      <c r="F519" s="157" t="s">
        <v>8118</v>
      </c>
      <c r="G519" s="431" t="n">
        <v>44.1</v>
      </c>
      <c r="H519" s="431" t="n">
        <v>9506</v>
      </c>
      <c r="I519" s="457" t="n">
        <v>0</v>
      </c>
      <c r="J519" s="458" t="n">
        <v>6176</v>
      </c>
      <c r="K519" s="462" t="n">
        <v>6.20903497409327</v>
      </c>
      <c r="L519" s="463" t="n">
        <v>0</v>
      </c>
      <c r="M519" s="463" t="n">
        <v>0.0807625107570344</v>
      </c>
      <c r="N519" s="431" t="n">
        <v>1971</v>
      </c>
      <c r="O519" s="446" t="n">
        <v>2875</v>
      </c>
      <c r="Q519" s="157" t="n">
        <v>18</v>
      </c>
      <c r="R519" s="157" t="n">
        <v>14</v>
      </c>
      <c r="S519" s="157" t="n">
        <v>1</v>
      </c>
      <c r="T519" s="457" t="s">
        <v>7531</v>
      </c>
      <c r="U519" s="457" t="n">
        <v>398</v>
      </c>
      <c r="V519" s="458" t="n">
        <v>12870</v>
      </c>
      <c r="W519" s="458" t="n">
        <v>13000</v>
      </c>
      <c r="X519" s="464" t="s">
        <v>6754</v>
      </c>
      <c r="Y519" s="458" t="n">
        <v>6000</v>
      </c>
      <c r="Z519" s="457" t="s">
        <v>6638</v>
      </c>
      <c r="AC519" s="431"/>
      <c r="AD519" s="437"/>
      <c r="AE519" s="167"/>
      <c r="AF519" s="167"/>
      <c r="AG519" s="167"/>
      <c r="AH519" s="167"/>
      <c r="AI519" s="167"/>
      <c r="AJ519" s="167"/>
      <c r="AK519" s="167"/>
      <c r="AM519" s="157"/>
    </row>
    <row r="520" customFormat="false" ht="12.75" hidden="false" customHeight="true" outlineLevel="0" collapsed="false">
      <c r="A520" s="441" t="n">
        <v>7</v>
      </c>
      <c r="B520" s="157" t="n">
        <v>512</v>
      </c>
      <c r="C520" s="437" t="s">
        <v>7523</v>
      </c>
      <c r="D520" s="157" t="s">
        <v>7434</v>
      </c>
      <c r="E520" s="461" t="s">
        <v>2461</v>
      </c>
      <c r="F520" s="157" t="s">
        <v>8119</v>
      </c>
      <c r="G520" s="445" t="n">
        <v>44.2</v>
      </c>
      <c r="H520" s="431" t="n">
        <v>9506</v>
      </c>
      <c r="I520" s="457" t="n">
        <v>0</v>
      </c>
      <c r="J520" s="458" t="n">
        <v>3000</v>
      </c>
      <c r="K520" s="462" t="n">
        <v>7.9</v>
      </c>
      <c r="L520" s="463" t="n">
        <v>0</v>
      </c>
      <c r="M520" s="463" t="n">
        <v>0.0759493670886076</v>
      </c>
      <c r="N520" s="431" t="n">
        <v>1998</v>
      </c>
      <c r="O520" s="446" t="n">
        <v>657</v>
      </c>
      <c r="Q520" s="157" t="n">
        <v>15</v>
      </c>
      <c r="R520" s="157" t="n">
        <v>7</v>
      </c>
      <c r="S520" s="157" t="n">
        <v>3</v>
      </c>
      <c r="T520" s="457" t="s">
        <v>7526</v>
      </c>
      <c r="U520" s="457" t="n">
        <v>398</v>
      </c>
      <c r="V520" s="458" t="n">
        <v>10950</v>
      </c>
      <c r="W520" s="458" t="n">
        <v>11000</v>
      </c>
      <c r="X520" s="464" t="s">
        <v>6650</v>
      </c>
      <c r="Y520" s="458" t="n">
        <v>3000</v>
      </c>
      <c r="Z520" s="457" t="s">
        <v>6638</v>
      </c>
      <c r="AC520" s="431"/>
      <c r="AD520" s="437" t="s">
        <v>7199</v>
      </c>
      <c r="AE520" s="167"/>
      <c r="AF520" s="167"/>
      <c r="AG520" s="167"/>
      <c r="AH520" s="167"/>
      <c r="AI520" s="167"/>
      <c r="AJ520" s="167"/>
      <c r="AK520" s="167"/>
      <c r="AM520" s="157"/>
    </row>
    <row r="521" customFormat="false" ht="12.75" hidden="false" customHeight="true" outlineLevel="0" collapsed="false">
      <c r="A521" s="441" t="n">
        <v>7</v>
      </c>
      <c r="B521" s="157" t="n">
        <v>513</v>
      </c>
      <c r="C521" s="157" t="s">
        <v>7538</v>
      </c>
      <c r="D521" s="157" t="s">
        <v>8120</v>
      </c>
      <c r="E521" s="157" t="s">
        <v>7647</v>
      </c>
      <c r="F521" s="157" t="s">
        <v>8121</v>
      </c>
      <c r="G521" s="157" t="n">
        <v>44.2</v>
      </c>
      <c r="H521" s="157" t="n">
        <v>9506</v>
      </c>
      <c r="I521" s="157" t="s">
        <v>8122</v>
      </c>
      <c r="J521" s="446" t="n">
        <v>39365</v>
      </c>
      <c r="K521" s="468" t="n">
        <v>4.05</v>
      </c>
      <c r="L521" s="175" t="n">
        <v>0</v>
      </c>
      <c r="M521" s="175" t="n">
        <v>0.09</v>
      </c>
      <c r="N521" s="157" t="n">
        <v>1957</v>
      </c>
      <c r="O521" s="446" t="n">
        <v>20042</v>
      </c>
      <c r="Q521" s="157" t="n">
        <v>20</v>
      </c>
      <c r="R521" s="157" t="n">
        <v>10</v>
      </c>
      <c r="S521" s="157" t="n">
        <v>8</v>
      </c>
      <c r="T521" s="157" t="s">
        <v>8123</v>
      </c>
      <c r="U521" s="157" t="n">
        <v>398</v>
      </c>
      <c r="V521" s="446" t="n">
        <v>60009</v>
      </c>
      <c r="W521" s="446" t="n">
        <v>60000</v>
      </c>
      <c r="X521" s="157" t="s">
        <v>8124</v>
      </c>
      <c r="Y521" s="446" t="n">
        <v>40000</v>
      </c>
      <c r="Z521" s="157" t="s">
        <v>461</v>
      </c>
      <c r="AA521" s="157" t="n">
        <v>3</v>
      </c>
      <c r="AB521" s="157" t="n">
        <v>3</v>
      </c>
      <c r="AC521" s="157" t="n">
        <v>33</v>
      </c>
      <c r="AD521" s="157" t="s">
        <v>8125</v>
      </c>
      <c r="AJ521" s="430"/>
      <c r="AK521" s="157" t="s">
        <v>8126</v>
      </c>
      <c r="AM521" s="157"/>
    </row>
    <row r="522" customFormat="false" ht="12.75" hidden="false" customHeight="true" outlineLevel="0" collapsed="false">
      <c r="A522" s="441" t="n">
        <v>7</v>
      </c>
      <c r="B522" s="157" t="n">
        <v>514</v>
      </c>
      <c r="C522" s="437" t="s">
        <v>7523</v>
      </c>
      <c r="D522" s="157" t="s">
        <v>8127</v>
      </c>
      <c r="E522" s="461" t="s">
        <v>2461</v>
      </c>
      <c r="F522" s="157" t="s">
        <v>8128</v>
      </c>
      <c r="G522" s="431" t="n">
        <v>44.1</v>
      </c>
      <c r="H522" s="431" t="n">
        <v>9506</v>
      </c>
      <c r="I522" s="457" t="n">
        <v>0</v>
      </c>
      <c r="J522" s="458" t="n">
        <v>6148</v>
      </c>
      <c r="K522" s="462" t="n">
        <v>5.46519193233572</v>
      </c>
      <c r="L522" s="463" t="n">
        <v>0</v>
      </c>
      <c r="M522" s="463" t="n">
        <v>0</v>
      </c>
      <c r="N522" s="431" t="n">
        <v>1955</v>
      </c>
      <c r="O522" s="446" t="n">
        <v>0</v>
      </c>
      <c r="Q522" s="157" t="n">
        <v>11</v>
      </c>
      <c r="R522" s="157" t="n">
        <v>3</v>
      </c>
      <c r="S522" s="157" t="n">
        <v>1</v>
      </c>
      <c r="T522" s="457" t="s">
        <v>7526</v>
      </c>
      <c r="U522" s="457" t="n">
        <v>398</v>
      </c>
      <c r="V522" s="458" t="n">
        <v>21984</v>
      </c>
      <c r="W522" s="458" t="n">
        <v>22000</v>
      </c>
      <c r="X522" s="464" t="s">
        <v>7012</v>
      </c>
      <c r="Y522" s="458" t="n">
        <v>6000</v>
      </c>
      <c r="Z522" s="457" t="s">
        <v>6638</v>
      </c>
      <c r="AC522" s="431"/>
      <c r="AD522" s="437" t="s">
        <v>8129</v>
      </c>
      <c r="AE522" s="167"/>
      <c r="AF522" s="167"/>
      <c r="AG522" s="167"/>
      <c r="AH522" s="167"/>
      <c r="AI522" s="167"/>
      <c r="AJ522" s="167"/>
      <c r="AK522" s="167"/>
      <c r="AM522" s="157"/>
    </row>
    <row r="523" customFormat="false" ht="12.75" hidden="false" customHeight="true" outlineLevel="0" collapsed="false">
      <c r="A523" s="441" t="n">
        <v>7</v>
      </c>
      <c r="B523" s="157" t="n">
        <v>515</v>
      </c>
      <c r="C523" s="437" t="s">
        <v>7523</v>
      </c>
      <c r="D523" s="157" t="s">
        <v>7436</v>
      </c>
      <c r="E523" s="461" t="s">
        <v>2461</v>
      </c>
      <c r="F523" s="157" t="s">
        <v>8130</v>
      </c>
      <c r="G523" s="445" t="n">
        <v>44.2</v>
      </c>
      <c r="H523" s="431" t="n">
        <v>9506</v>
      </c>
      <c r="I523" s="457" t="n">
        <v>0</v>
      </c>
      <c r="J523" s="458" t="n">
        <v>7000</v>
      </c>
      <c r="K523" s="462" t="n">
        <v>6.85714285714286</v>
      </c>
      <c r="L523" s="463" t="n">
        <v>0</v>
      </c>
      <c r="M523" s="463" t="n">
        <v>0.05375</v>
      </c>
      <c r="N523" s="431" t="n">
        <v>1967</v>
      </c>
      <c r="O523" s="446" t="n">
        <v>2500</v>
      </c>
      <c r="Q523" s="157" t="n">
        <v>14</v>
      </c>
      <c r="R523" s="157" t="n">
        <v>1</v>
      </c>
      <c r="S523" s="157" t="n">
        <v>1</v>
      </c>
      <c r="T523" s="457" t="s">
        <v>7526</v>
      </c>
      <c r="U523" s="457" t="n">
        <v>398</v>
      </c>
      <c r="V523" s="458" t="n">
        <v>12500</v>
      </c>
      <c r="W523" s="458" t="n">
        <v>13000</v>
      </c>
      <c r="X523" s="464" t="s">
        <v>6863</v>
      </c>
      <c r="Y523" s="458" t="n">
        <v>7000</v>
      </c>
      <c r="Z523" s="457" t="s">
        <v>6638</v>
      </c>
      <c r="AC523" s="431"/>
      <c r="AD523" s="437"/>
      <c r="AE523" s="167"/>
      <c r="AF523" s="167"/>
      <c r="AG523" s="167"/>
      <c r="AH523" s="167"/>
      <c r="AI523" s="167"/>
      <c r="AJ523" s="167"/>
      <c r="AK523" s="167" t="s">
        <v>8131</v>
      </c>
      <c r="AM523" s="157"/>
    </row>
    <row r="524" customFormat="false" ht="12.75" hidden="false" customHeight="true" outlineLevel="0" collapsed="false">
      <c r="A524" s="441" t="n">
        <v>7</v>
      </c>
      <c r="B524" s="157" t="n">
        <v>516</v>
      </c>
      <c r="C524" s="437" t="s">
        <v>7523</v>
      </c>
      <c r="D524" s="157" t="s">
        <v>8132</v>
      </c>
      <c r="E524" s="461" t="s">
        <v>2461</v>
      </c>
      <c r="F524" s="157" t="s">
        <v>8133</v>
      </c>
      <c r="G524" s="445" t="n">
        <v>44.2</v>
      </c>
      <c r="H524" s="431" t="n">
        <v>9506</v>
      </c>
      <c r="I524" s="457" t="n">
        <v>0</v>
      </c>
      <c r="J524" s="458" t="n">
        <v>4991</v>
      </c>
      <c r="K524" s="462" t="n">
        <v>10.8194750550992</v>
      </c>
      <c r="L524" s="463" t="n">
        <v>0</v>
      </c>
      <c r="M524" s="463" t="n">
        <v>0.106574074074074</v>
      </c>
      <c r="N524" s="431" t="n">
        <v>1970</v>
      </c>
      <c r="O524" s="446" t="n">
        <v>744</v>
      </c>
      <c r="Q524" s="157" t="n">
        <v>14</v>
      </c>
      <c r="R524" s="157" t="n">
        <v>3</v>
      </c>
      <c r="S524" s="157" t="n">
        <v>1</v>
      </c>
      <c r="T524" s="457" t="s">
        <v>7526</v>
      </c>
      <c r="U524" s="457" t="n">
        <v>398</v>
      </c>
      <c r="V524" s="458" t="n">
        <v>7751</v>
      </c>
      <c r="W524" s="458" t="n">
        <v>8000</v>
      </c>
      <c r="X524" s="464" t="s">
        <v>6668</v>
      </c>
      <c r="Y524" s="458" t="n">
        <v>5000</v>
      </c>
      <c r="Z524" s="457" t="s">
        <v>6638</v>
      </c>
      <c r="AC524" s="431"/>
      <c r="AD524" s="437" t="s">
        <v>8134</v>
      </c>
      <c r="AE524" s="167"/>
      <c r="AF524" s="167"/>
      <c r="AG524" s="167"/>
      <c r="AH524" s="167"/>
      <c r="AI524" s="167"/>
      <c r="AJ524" s="167"/>
      <c r="AK524" s="167" t="s">
        <v>6901</v>
      </c>
      <c r="AM524" s="157"/>
    </row>
    <row r="525" customFormat="false" ht="12.75" hidden="false" customHeight="true" outlineLevel="0" collapsed="false">
      <c r="A525" s="441" t="n">
        <v>7</v>
      </c>
      <c r="B525" s="157" t="n">
        <v>517</v>
      </c>
      <c r="C525" s="437" t="s">
        <v>7523</v>
      </c>
      <c r="D525" s="157" t="s">
        <v>8135</v>
      </c>
      <c r="E525" s="461" t="s">
        <v>2461</v>
      </c>
      <c r="F525" s="157" t="s">
        <v>8136</v>
      </c>
      <c r="G525" s="431" t="n">
        <v>44.1</v>
      </c>
      <c r="H525" s="431" t="n">
        <v>9506</v>
      </c>
      <c r="I525" s="457" t="n">
        <v>2</v>
      </c>
      <c r="J525" s="458" t="n">
        <v>3750</v>
      </c>
      <c r="K525" s="462" t="n">
        <v>4.48</v>
      </c>
      <c r="L525" s="463" t="n">
        <v>0</v>
      </c>
      <c r="M525" s="463" t="n">
        <v>0</v>
      </c>
      <c r="N525" s="431" t="n">
        <v>1954</v>
      </c>
      <c r="O525" s="446" t="n">
        <v>0</v>
      </c>
      <c r="Q525" s="157" t="n">
        <v>13</v>
      </c>
      <c r="R525" s="157" t="n">
        <v>3</v>
      </c>
      <c r="S525" s="157" t="n">
        <v>1</v>
      </c>
      <c r="T525" s="457" t="s">
        <v>7789</v>
      </c>
      <c r="U525" s="457" t="n">
        <v>398</v>
      </c>
      <c r="V525" s="458" t="n">
        <v>4687</v>
      </c>
      <c r="W525" s="458" t="n">
        <v>5000</v>
      </c>
      <c r="X525" s="464" t="s">
        <v>6900</v>
      </c>
      <c r="Y525" s="458" t="n">
        <v>4000</v>
      </c>
      <c r="Z525" s="457" t="s">
        <v>6735</v>
      </c>
      <c r="AC525" s="431"/>
      <c r="AD525" s="437"/>
      <c r="AE525" s="167"/>
      <c r="AF525" s="167"/>
      <c r="AG525" s="167"/>
      <c r="AH525" s="167"/>
      <c r="AI525" s="167"/>
      <c r="AJ525" s="167"/>
      <c r="AK525" s="167"/>
      <c r="AM525" s="157"/>
    </row>
    <row r="526" customFormat="false" ht="12.75" hidden="false" customHeight="true" outlineLevel="0" collapsed="false">
      <c r="A526" s="441" t="n">
        <v>7</v>
      </c>
      <c r="B526" s="157" t="n">
        <v>518</v>
      </c>
      <c r="C526" s="437" t="s">
        <v>7523</v>
      </c>
      <c r="D526" s="157" t="s">
        <v>8137</v>
      </c>
      <c r="E526" s="461" t="s">
        <v>2461</v>
      </c>
      <c r="F526" s="157" t="s">
        <v>8138</v>
      </c>
      <c r="G526" s="445" t="n">
        <v>44.2</v>
      </c>
      <c r="H526" s="431" t="n">
        <v>9506</v>
      </c>
      <c r="I526" s="457" t="n">
        <v>0</v>
      </c>
      <c r="J526" s="458" t="n">
        <v>4704</v>
      </c>
      <c r="K526" s="462" t="n">
        <v>7.25</v>
      </c>
      <c r="L526" s="463" t="n">
        <v>0</v>
      </c>
      <c r="M526" s="463" t="n">
        <v>0.133679333802487</v>
      </c>
      <c r="N526" s="431" t="n">
        <v>1958</v>
      </c>
      <c r="O526" s="446" t="n">
        <v>0</v>
      </c>
      <c r="P526" s="446" t="n">
        <v>1208</v>
      </c>
      <c r="Q526" s="157" t="n">
        <v>10</v>
      </c>
      <c r="R526" s="157" t="n">
        <v>1</v>
      </c>
      <c r="S526" s="157" t="n">
        <v>1</v>
      </c>
      <c r="T526" s="457" t="s">
        <v>7526</v>
      </c>
      <c r="U526" s="457" t="n">
        <v>398</v>
      </c>
      <c r="V526" s="458" t="n">
        <v>6250</v>
      </c>
      <c r="W526" s="458" t="n">
        <v>6000</v>
      </c>
      <c r="X526" s="464" t="s">
        <v>7103</v>
      </c>
      <c r="Y526" s="458" t="n">
        <v>5000</v>
      </c>
      <c r="Z526" s="457" t="s">
        <v>6638</v>
      </c>
      <c r="AC526" s="431"/>
      <c r="AD526" s="437" t="s">
        <v>7444</v>
      </c>
      <c r="AE526" s="167"/>
      <c r="AF526" s="167"/>
      <c r="AG526" s="167"/>
      <c r="AH526" s="167"/>
      <c r="AI526" s="167"/>
      <c r="AJ526" s="167"/>
      <c r="AK526" s="167"/>
      <c r="AM526" s="157"/>
    </row>
    <row r="527" customFormat="false" ht="12.75" hidden="false" customHeight="true" outlineLevel="0" collapsed="false">
      <c r="A527" s="441" t="n">
        <v>7</v>
      </c>
      <c r="B527" s="157" t="n">
        <v>519</v>
      </c>
      <c r="C527" s="437" t="s">
        <v>7523</v>
      </c>
      <c r="D527" s="157" t="s">
        <v>7445</v>
      </c>
      <c r="E527" s="461" t="s">
        <v>2461</v>
      </c>
      <c r="F527" s="157" t="s">
        <v>8139</v>
      </c>
      <c r="G527" s="431" t="n">
        <v>44.1</v>
      </c>
      <c r="H527" s="431" t="n">
        <v>9509</v>
      </c>
      <c r="I527" s="457" t="n">
        <v>0</v>
      </c>
      <c r="J527" s="458" t="n">
        <v>1912</v>
      </c>
      <c r="K527" s="462" t="n">
        <v>14.1715481171548</v>
      </c>
      <c r="L527" s="463" t="n">
        <v>0</v>
      </c>
      <c r="M527" s="463" t="n">
        <v>0.0967670504871568</v>
      </c>
      <c r="N527" s="431" t="n">
        <v>1955</v>
      </c>
      <c r="O527" s="446" t="n">
        <v>0</v>
      </c>
      <c r="P527" s="446" t="n">
        <v>800</v>
      </c>
      <c r="Q527" s="157" t="n">
        <v>12</v>
      </c>
      <c r="R527" s="157" t="n">
        <v>3</v>
      </c>
      <c r="S527" s="157" t="n">
        <v>1</v>
      </c>
      <c r="T527" s="457" t="s">
        <v>7881</v>
      </c>
      <c r="U527" s="457" t="n">
        <v>398</v>
      </c>
      <c r="V527" s="458" t="n">
        <v>3125</v>
      </c>
      <c r="W527" s="458" t="n">
        <v>3000</v>
      </c>
      <c r="X527" s="464" t="s">
        <v>6668</v>
      </c>
      <c r="Y527" s="458" t="n">
        <v>2000</v>
      </c>
      <c r="Z527" s="457" t="s">
        <v>6638</v>
      </c>
      <c r="AC527" s="431"/>
      <c r="AD527" s="437" t="s">
        <v>7447</v>
      </c>
      <c r="AE527" s="167"/>
      <c r="AF527" s="167"/>
      <c r="AG527" s="167"/>
      <c r="AH527" s="167"/>
      <c r="AI527" s="167"/>
      <c r="AJ527" s="167"/>
      <c r="AK527" s="167" t="s">
        <v>7527</v>
      </c>
      <c r="AM527" s="157"/>
    </row>
    <row r="528" customFormat="false" ht="12.75" hidden="false" customHeight="true" outlineLevel="0" collapsed="false">
      <c r="A528" s="441" t="n">
        <v>7</v>
      </c>
      <c r="B528" s="157" t="n">
        <v>520</v>
      </c>
      <c r="C528" s="437" t="s">
        <v>7523</v>
      </c>
      <c r="D528" s="157" t="s">
        <v>8140</v>
      </c>
      <c r="E528" s="461" t="s">
        <v>2461</v>
      </c>
      <c r="F528" s="157" t="s">
        <v>8141</v>
      </c>
      <c r="G528" s="431" t="n">
        <v>44.1</v>
      </c>
      <c r="H528" s="431" t="n">
        <v>9509</v>
      </c>
      <c r="I528" s="457" t="n">
        <v>0</v>
      </c>
      <c r="J528" s="458" t="n">
        <v>798</v>
      </c>
      <c r="K528" s="462" t="n">
        <v>15.0375939849624</v>
      </c>
      <c r="L528" s="463" t="n">
        <v>0</v>
      </c>
      <c r="M528" s="463" t="n">
        <v>0</v>
      </c>
      <c r="N528" s="431" t="n">
        <v>1956</v>
      </c>
      <c r="O528" s="446" t="n">
        <v>200</v>
      </c>
      <c r="Q528" s="157" t="n">
        <v>14</v>
      </c>
      <c r="R528" s="157" t="n">
        <v>3</v>
      </c>
      <c r="S528" s="157" t="n">
        <v>1</v>
      </c>
      <c r="T528" s="457" t="s">
        <v>7799</v>
      </c>
      <c r="U528" s="457" t="n">
        <v>398</v>
      </c>
      <c r="V528" s="458" t="n">
        <v>4700</v>
      </c>
      <c r="W528" s="458" t="n">
        <v>5000</v>
      </c>
      <c r="X528" s="464" t="s">
        <v>7191</v>
      </c>
      <c r="Y528" s="458" t="n">
        <v>800</v>
      </c>
      <c r="Z528" s="457" t="s">
        <v>6638</v>
      </c>
      <c r="AC528" s="431"/>
      <c r="AD528" s="437" t="s">
        <v>8142</v>
      </c>
      <c r="AE528" s="167"/>
      <c r="AF528" s="167"/>
      <c r="AG528" s="167"/>
      <c r="AH528" s="167"/>
      <c r="AI528" s="167"/>
      <c r="AJ528" s="167"/>
      <c r="AK528" s="167"/>
      <c r="AM528" s="157"/>
    </row>
    <row r="529" customFormat="false" ht="12.75" hidden="false" customHeight="true" outlineLevel="0" collapsed="false">
      <c r="A529" s="441" t="n">
        <v>7</v>
      </c>
      <c r="B529" s="157" t="n">
        <v>521</v>
      </c>
      <c r="C529" s="437" t="s">
        <v>7523</v>
      </c>
      <c r="D529" s="157" t="s">
        <v>8143</v>
      </c>
      <c r="E529" s="461" t="s">
        <v>2461</v>
      </c>
      <c r="F529" s="157" t="s">
        <v>8144</v>
      </c>
      <c r="G529" s="445" t="n">
        <v>44.2</v>
      </c>
      <c r="H529" s="431" t="n">
        <v>9506</v>
      </c>
      <c r="I529" s="457" t="n">
        <v>0</v>
      </c>
      <c r="J529" s="458" t="n">
        <v>6000</v>
      </c>
      <c r="K529" s="462" t="n">
        <v>7</v>
      </c>
      <c r="L529" s="463" t="n">
        <v>0</v>
      </c>
      <c r="M529" s="463" t="n">
        <v>0</v>
      </c>
      <c r="N529" s="431" t="n">
        <v>1999</v>
      </c>
      <c r="O529" s="446" t="n">
        <v>4153</v>
      </c>
      <c r="Q529" s="157" t="n">
        <v>14</v>
      </c>
      <c r="R529" s="157" t="n">
        <v>8</v>
      </c>
      <c r="S529" s="157" t="n">
        <v>2</v>
      </c>
      <c r="T529" s="457" t="s">
        <v>7526</v>
      </c>
      <c r="U529" s="457" t="n">
        <v>398</v>
      </c>
      <c r="V529" s="458" t="n">
        <v>6250</v>
      </c>
      <c r="W529" s="458" t="n">
        <v>6000</v>
      </c>
      <c r="X529" s="464" t="s">
        <v>8145</v>
      </c>
      <c r="Y529" s="458" t="n">
        <v>6000</v>
      </c>
      <c r="Z529" s="457" t="s">
        <v>6638</v>
      </c>
      <c r="AC529" s="431"/>
      <c r="AD529" s="437" t="s">
        <v>8146</v>
      </c>
      <c r="AE529" s="167"/>
      <c r="AF529" s="167"/>
      <c r="AG529" s="167"/>
      <c r="AH529" s="167"/>
      <c r="AI529" s="167"/>
      <c r="AJ529" s="167"/>
      <c r="AK529" s="167"/>
      <c r="AM529" s="157"/>
    </row>
    <row r="530" customFormat="false" ht="12.75" hidden="false" customHeight="true" outlineLevel="0" collapsed="false">
      <c r="A530" s="441" t="n">
        <v>7</v>
      </c>
      <c r="B530" s="157" t="n">
        <v>522</v>
      </c>
      <c r="C530" s="437" t="s">
        <v>7523</v>
      </c>
      <c r="D530" s="157" t="s">
        <v>8147</v>
      </c>
      <c r="E530" s="461" t="s">
        <v>2461</v>
      </c>
      <c r="F530" s="157" t="s">
        <v>8148</v>
      </c>
      <c r="G530" s="431" t="n">
        <v>44.1</v>
      </c>
      <c r="H530" s="431" t="n">
        <v>9506</v>
      </c>
      <c r="I530" s="457" t="n">
        <v>0</v>
      </c>
      <c r="J530" s="458" t="n">
        <v>2400</v>
      </c>
      <c r="K530" s="462" t="n">
        <v>6.875</v>
      </c>
      <c r="L530" s="463" t="n">
        <v>0</v>
      </c>
      <c r="M530" s="463" t="n">
        <v>0</v>
      </c>
      <c r="N530" s="431" t="n">
        <v>2008</v>
      </c>
      <c r="O530" s="446" t="n">
        <v>0</v>
      </c>
      <c r="Q530" s="157" t="n">
        <v>16</v>
      </c>
      <c r="R530" s="157" t="n">
        <v>2</v>
      </c>
      <c r="S530" s="157" t="n">
        <v>1</v>
      </c>
      <c r="T530" s="457" t="s">
        <v>7526</v>
      </c>
      <c r="U530" s="457" t="n">
        <v>398</v>
      </c>
      <c r="V530" s="458" t="n">
        <v>4690</v>
      </c>
      <c r="W530" s="458" t="n">
        <v>5000</v>
      </c>
      <c r="X530" s="464" t="s">
        <v>7546</v>
      </c>
      <c r="Y530" s="458" t="n">
        <v>2000</v>
      </c>
      <c r="Z530" s="457" t="s">
        <v>6638</v>
      </c>
      <c r="AC530" s="431"/>
      <c r="AD530" s="437"/>
      <c r="AE530" s="167"/>
      <c r="AF530" s="167"/>
      <c r="AG530" s="167"/>
      <c r="AH530" s="167"/>
      <c r="AI530" s="167"/>
      <c r="AJ530" s="167"/>
      <c r="AK530" s="167" t="s">
        <v>7527</v>
      </c>
      <c r="AM530" s="157"/>
    </row>
    <row r="531" customFormat="false" ht="12.75" hidden="false" customHeight="true" outlineLevel="0" collapsed="false">
      <c r="A531" s="441" t="n">
        <v>7</v>
      </c>
      <c r="B531" s="157" t="n">
        <v>523</v>
      </c>
      <c r="C531" s="437" t="s">
        <v>7523</v>
      </c>
      <c r="D531" s="157" t="s">
        <v>8149</v>
      </c>
      <c r="E531" s="461" t="s">
        <v>2461</v>
      </c>
      <c r="F531" s="157" t="s">
        <v>8150</v>
      </c>
      <c r="G531" s="445" t="n">
        <v>44.2</v>
      </c>
      <c r="H531" s="431" t="n">
        <v>9506</v>
      </c>
      <c r="I531" s="457" t="n">
        <v>0</v>
      </c>
      <c r="J531" s="458" t="n">
        <v>3594</v>
      </c>
      <c r="K531" s="462" t="n">
        <v>4.00667779632721</v>
      </c>
      <c r="L531" s="463" t="n">
        <v>0</v>
      </c>
      <c r="M531" s="463" t="n">
        <v>0.0451388888888889</v>
      </c>
      <c r="N531" s="431" t="n">
        <v>1953</v>
      </c>
      <c r="O531" s="446" t="n">
        <v>0</v>
      </c>
      <c r="Q531" s="157" t="n">
        <v>14</v>
      </c>
      <c r="R531" s="157" t="n">
        <v>3</v>
      </c>
      <c r="S531" s="157" t="n">
        <v>1</v>
      </c>
      <c r="T531" s="457" t="s">
        <v>7526</v>
      </c>
      <c r="U531" s="457" t="n">
        <v>398</v>
      </c>
      <c r="V531" s="458" t="n">
        <v>12500</v>
      </c>
      <c r="W531" s="458" t="n">
        <v>13000</v>
      </c>
      <c r="X531" s="464" t="s">
        <v>7208</v>
      </c>
      <c r="Y531" s="458" t="n">
        <v>4000</v>
      </c>
      <c r="Z531" s="457" t="s">
        <v>6638</v>
      </c>
      <c r="AC531" s="431"/>
      <c r="AD531" s="437" t="s">
        <v>8151</v>
      </c>
      <c r="AE531" s="167"/>
      <c r="AF531" s="167"/>
      <c r="AG531" s="167"/>
      <c r="AH531" s="167"/>
      <c r="AI531" s="167"/>
      <c r="AJ531" s="167"/>
      <c r="AK531" s="167"/>
      <c r="AM531" s="157"/>
    </row>
    <row r="532" customFormat="false" ht="12.75" hidden="false" customHeight="true" outlineLevel="0" collapsed="false">
      <c r="A532" s="441" t="n">
        <v>7</v>
      </c>
      <c r="B532" s="157" t="n">
        <v>524</v>
      </c>
      <c r="C532" s="437" t="s">
        <v>7523</v>
      </c>
      <c r="D532" s="157" t="s">
        <v>8152</v>
      </c>
      <c r="E532" s="461" t="s">
        <v>2461</v>
      </c>
      <c r="F532" s="157" t="s">
        <v>8153</v>
      </c>
      <c r="G532" s="445" t="n">
        <v>44.2</v>
      </c>
      <c r="H532" s="431" t="n">
        <v>9506</v>
      </c>
      <c r="I532" s="457" t="n">
        <v>0</v>
      </c>
      <c r="J532" s="458" t="n">
        <v>11266</v>
      </c>
      <c r="K532" s="462" t="n">
        <v>5.81404225102077</v>
      </c>
      <c r="L532" s="463" t="n">
        <v>0</v>
      </c>
      <c r="M532" s="463" t="n">
        <v>0</v>
      </c>
      <c r="N532" s="431" t="n">
        <v>1968</v>
      </c>
      <c r="O532" s="446" t="n">
        <v>612</v>
      </c>
      <c r="Q532" s="157" t="n">
        <v>13</v>
      </c>
      <c r="R532" s="157" t="n">
        <v>1</v>
      </c>
      <c r="S532" s="157" t="n">
        <v>1</v>
      </c>
      <c r="T532" s="457" t="s">
        <v>7526</v>
      </c>
      <c r="U532" s="457" t="n">
        <v>398</v>
      </c>
      <c r="V532" s="458" t="n">
        <v>15625</v>
      </c>
      <c r="W532" s="458" t="n">
        <v>16000</v>
      </c>
      <c r="X532" s="464" t="s">
        <v>6710</v>
      </c>
      <c r="Y532" s="458" t="n">
        <v>11000</v>
      </c>
      <c r="Z532" s="457" t="s">
        <v>6638</v>
      </c>
      <c r="AC532" s="431"/>
      <c r="AD532" s="437" t="s">
        <v>8154</v>
      </c>
      <c r="AE532" s="167"/>
      <c r="AF532" s="167"/>
      <c r="AG532" s="167"/>
      <c r="AH532" s="167"/>
      <c r="AI532" s="167"/>
      <c r="AJ532" s="167"/>
      <c r="AK532" s="167"/>
      <c r="AM532" s="157"/>
    </row>
    <row r="533" customFormat="false" ht="12.75" hidden="false" customHeight="true" outlineLevel="0" collapsed="false">
      <c r="A533" s="441" t="n">
        <v>7</v>
      </c>
      <c r="B533" s="157" t="n">
        <v>525</v>
      </c>
      <c r="C533" s="437" t="s">
        <v>7523</v>
      </c>
      <c r="D533" s="157" t="s">
        <v>8155</v>
      </c>
      <c r="E533" s="461" t="s">
        <v>2461</v>
      </c>
      <c r="F533" s="157" t="s">
        <v>8156</v>
      </c>
      <c r="G533" s="445" t="n">
        <v>47.2</v>
      </c>
      <c r="H533" s="431" t="n">
        <v>9506</v>
      </c>
      <c r="I533" s="457" t="n">
        <v>0</v>
      </c>
      <c r="J533" s="458" t="n">
        <v>30653</v>
      </c>
      <c r="K533" s="462" t="n">
        <v>4.8282386715819</v>
      </c>
      <c r="L533" s="463" t="n">
        <v>0</v>
      </c>
      <c r="M533" s="463" t="n">
        <v>0.0574054054054054</v>
      </c>
      <c r="N533" s="431" t="n">
        <v>1951</v>
      </c>
      <c r="O533" s="446" t="n">
        <v>1922</v>
      </c>
      <c r="Q533" s="157" t="n">
        <v>17</v>
      </c>
      <c r="R533" s="157" t="n">
        <v>3</v>
      </c>
      <c r="S533" s="157" t="n">
        <v>1</v>
      </c>
      <c r="T533" s="457" t="s">
        <v>7526</v>
      </c>
      <c r="U533" s="457" t="n">
        <v>401</v>
      </c>
      <c r="V533" s="458" t="n">
        <v>33750</v>
      </c>
      <c r="W533" s="458" t="n">
        <v>34000</v>
      </c>
      <c r="X533" s="464" t="s">
        <v>7043</v>
      </c>
      <c r="Y533" s="458" t="n">
        <v>31000</v>
      </c>
      <c r="Z533" s="457" t="s">
        <v>6638</v>
      </c>
      <c r="AC533" s="431"/>
      <c r="AD533" s="437" t="s">
        <v>8157</v>
      </c>
      <c r="AE533" s="167"/>
      <c r="AF533" s="167"/>
      <c r="AG533" s="167"/>
      <c r="AH533" s="167"/>
      <c r="AI533" s="167"/>
      <c r="AJ533" s="167"/>
      <c r="AK533" s="167"/>
      <c r="AM533" s="157"/>
    </row>
    <row r="534" customFormat="false" ht="12.75" hidden="false" customHeight="true" outlineLevel="0" collapsed="false">
      <c r="A534" s="441" t="n">
        <v>7</v>
      </c>
      <c r="B534" s="157" t="n">
        <v>526</v>
      </c>
      <c r="C534" s="437" t="s">
        <v>7523</v>
      </c>
      <c r="D534" s="157" t="s">
        <v>7453</v>
      </c>
      <c r="E534" s="461" t="s">
        <v>2461</v>
      </c>
      <c r="F534" s="157" t="s">
        <v>8158</v>
      </c>
      <c r="G534" s="445" t="n">
        <v>44.2</v>
      </c>
      <c r="H534" s="431" t="n">
        <v>9506</v>
      </c>
      <c r="I534" s="457" t="n">
        <v>0</v>
      </c>
      <c r="J534" s="458" t="n">
        <v>14970</v>
      </c>
      <c r="K534" s="462" t="n">
        <v>4.68350033400134</v>
      </c>
      <c r="L534" s="463" t="n">
        <v>0</v>
      </c>
      <c r="M534" s="463" t="n">
        <v>0.0865615015974441</v>
      </c>
      <c r="N534" s="431" t="n">
        <v>1960</v>
      </c>
      <c r="O534" s="446" t="n">
        <v>1407</v>
      </c>
      <c r="Q534" s="157" t="n">
        <v>13</v>
      </c>
      <c r="R534" s="157" t="n">
        <v>3</v>
      </c>
      <c r="S534" s="157" t="n">
        <v>1</v>
      </c>
      <c r="T534" s="457" t="s">
        <v>7526</v>
      </c>
      <c r="U534" s="457" t="n">
        <v>398</v>
      </c>
      <c r="V534" s="458" t="n">
        <v>17968</v>
      </c>
      <c r="W534" s="458" t="n">
        <v>18000</v>
      </c>
      <c r="X534" s="464" t="s">
        <v>6900</v>
      </c>
      <c r="Y534" s="458" t="n">
        <v>15000</v>
      </c>
      <c r="Z534" s="457" t="s">
        <v>6638</v>
      </c>
      <c r="AC534" s="431"/>
      <c r="AD534" s="437"/>
      <c r="AE534" s="167"/>
      <c r="AF534" s="167"/>
      <c r="AG534" s="167"/>
      <c r="AH534" s="167"/>
      <c r="AI534" s="167"/>
      <c r="AJ534" s="167"/>
      <c r="AK534" s="167"/>
      <c r="AM534" s="157"/>
    </row>
    <row r="535" customFormat="false" ht="12.75" hidden="false" customHeight="true" outlineLevel="0" collapsed="false">
      <c r="A535" s="441" t="n">
        <v>7</v>
      </c>
      <c r="B535" s="157" t="n">
        <v>527</v>
      </c>
      <c r="C535" s="437" t="s">
        <v>7523</v>
      </c>
      <c r="D535" s="157" t="s">
        <v>7455</v>
      </c>
      <c r="E535" s="461" t="s">
        <v>2461</v>
      </c>
      <c r="F535" s="157" t="s">
        <v>8159</v>
      </c>
      <c r="G535" s="445" t="n">
        <v>47.2</v>
      </c>
      <c r="H535" s="431" t="n">
        <v>9506</v>
      </c>
      <c r="I535" s="457" t="n">
        <v>0</v>
      </c>
      <c r="J535" s="458" t="n">
        <v>28581</v>
      </c>
      <c r="K535" s="462" t="n">
        <v>5.45463769637172</v>
      </c>
      <c r="L535" s="463" t="n">
        <v>0</v>
      </c>
      <c r="M535" s="463" t="n">
        <v>0.0414948139500574</v>
      </c>
      <c r="N535" s="431" t="n">
        <v>1961</v>
      </c>
      <c r="O535" s="446" t="n">
        <v>6364</v>
      </c>
      <c r="Q535" s="157" t="n">
        <v>13</v>
      </c>
      <c r="R535" s="157" t="n">
        <v>3</v>
      </c>
      <c r="S535" s="157" t="n">
        <v>1</v>
      </c>
      <c r="T535" s="457" t="s">
        <v>7526</v>
      </c>
      <c r="U535" s="457" t="n">
        <v>401</v>
      </c>
      <c r="V535" s="458" t="n">
        <v>38282</v>
      </c>
      <c r="W535" s="458" t="n">
        <v>38000</v>
      </c>
      <c r="X535" s="464" t="s">
        <v>7103</v>
      </c>
      <c r="Y535" s="458" t="n">
        <v>29000</v>
      </c>
      <c r="Z535" s="457" t="s">
        <v>6638</v>
      </c>
      <c r="AC535" s="431"/>
      <c r="AD535" s="437" t="s">
        <v>7457</v>
      </c>
      <c r="AE535" s="167"/>
      <c r="AF535" s="167"/>
      <c r="AG535" s="167"/>
      <c r="AH535" s="167"/>
      <c r="AI535" s="167"/>
      <c r="AJ535" s="167"/>
      <c r="AK535" s="167"/>
      <c r="AM535" s="157"/>
    </row>
    <row r="536" customFormat="false" ht="12.75" hidden="false" customHeight="true" outlineLevel="0" collapsed="false">
      <c r="A536" s="441" t="n">
        <v>7</v>
      </c>
      <c r="B536" s="157" t="n">
        <v>528</v>
      </c>
      <c r="C536" s="437" t="s">
        <v>7523</v>
      </c>
      <c r="D536" s="157" t="s">
        <v>7461</v>
      </c>
      <c r="E536" s="461" t="s">
        <v>2461</v>
      </c>
      <c r="F536" s="157" t="s">
        <v>8160</v>
      </c>
      <c r="G536" s="445" t="n">
        <v>47.1</v>
      </c>
      <c r="H536" s="431" t="n">
        <v>9506</v>
      </c>
      <c r="I536" s="457" t="n">
        <v>0</v>
      </c>
      <c r="J536" s="458" t="n">
        <v>2487</v>
      </c>
      <c r="K536" s="462" t="n">
        <v>9.65018094089264</v>
      </c>
      <c r="L536" s="463" t="n">
        <v>0</v>
      </c>
      <c r="M536" s="463" t="n">
        <v>0.183125</v>
      </c>
      <c r="N536" s="431" t="n">
        <v>1954</v>
      </c>
      <c r="O536" s="446" t="n">
        <v>0</v>
      </c>
      <c r="P536" s="446" t="n">
        <v>1188</v>
      </c>
      <c r="Q536" s="157" t="n">
        <v>16</v>
      </c>
      <c r="R536" s="157" t="n">
        <v>3</v>
      </c>
      <c r="S536" s="157" t="n">
        <v>1</v>
      </c>
      <c r="T536" s="457" t="s">
        <v>7529</v>
      </c>
      <c r="U536" s="457" t="n">
        <v>401</v>
      </c>
      <c r="V536" s="458" t="n">
        <v>12500</v>
      </c>
      <c r="W536" s="458" t="n">
        <v>13000</v>
      </c>
      <c r="X536" s="464" t="s">
        <v>7813</v>
      </c>
      <c r="Y536" s="458" t="n">
        <v>2000</v>
      </c>
      <c r="Z536" s="457" t="s">
        <v>6638</v>
      </c>
      <c r="AC536" s="431"/>
      <c r="AD536" s="437" t="s">
        <v>7463</v>
      </c>
      <c r="AE536" s="167"/>
      <c r="AF536" s="167"/>
      <c r="AG536" s="167"/>
      <c r="AH536" s="167"/>
      <c r="AI536" s="167"/>
      <c r="AJ536" s="167"/>
      <c r="AK536" s="167"/>
      <c r="AM536" s="157"/>
    </row>
    <row r="537" customFormat="false" ht="12.75" hidden="false" customHeight="true" outlineLevel="0" collapsed="false">
      <c r="A537" s="441" t="n">
        <v>7</v>
      </c>
      <c r="B537" s="157" t="n">
        <v>529</v>
      </c>
      <c r="C537" s="437" t="s">
        <v>7523</v>
      </c>
      <c r="D537" s="157" t="s">
        <v>8161</v>
      </c>
      <c r="E537" s="461" t="s">
        <v>2461</v>
      </c>
      <c r="F537" s="157" t="s">
        <v>8162</v>
      </c>
      <c r="G537" s="445" t="n">
        <v>44.2</v>
      </c>
      <c r="H537" s="431" t="n">
        <v>9506</v>
      </c>
      <c r="I537" s="457" t="n">
        <v>0</v>
      </c>
      <c r="J537" s="458" t="n">
        <v>4500</v>
      </c>
      <c r="K537" s="462" t="n">
        <v>5.33333333333333</v>
      </c>
      <c r="L537" s="463" t="n">
        <v>0</v>
      </c>
      <c r="M537" s="463" t="n">
        <v>0.4925</v>
      </c>
      <c r="N537" s="431" t="n">
        <v>1976</v>
      </c>
      <c r="O537" s="446" t="n">
        <v>1950</v>
      </c>
      <c r="Q537" s="157" t="n">
        <v>14</v>
      </c>
      <c r="R537" s="157" t="n">
        <v>3</v>
      </c>
      <c r="S537" s="157" t="n">
        <v>2</v>
      </c>
      <c r="T537" s="457" t="s">
        <v>7529</v>
      </c>
      <c r="U537" s="457" t="n">
        <v>398</v>
      </c>
      <c r="V537" s="458" t="n">
        <v>33135</v>
      </c>
      <c r="W537" s="458" t="n">
        <v>33000</v>
      </c>
      <c r="X537" s="464" t="s">
        <v>6643</v>
      </c>
      <c r="Y537" s="458" t="n">
        <v>5000</v>
      </c>
      <c r="Z537" s="457" t="s">
        <v>6638</v>
      </c>
      <c r="AC537" s="431"/>
      <c r="AD537" s="437" t="s">
        <v>8163</v>
      </c>
      <c r="AE537" s="167"/>
      <c r="AF537" s="167"/>
      <c r="AG537" s="167"/>
      <c r="AH537" s="167"/>
      <c r="AI537" s="167"/>
      <c r="AJ537" s="167"/>
      <c r="AK537" s="167" t="s">
        <v>8164</v>
      </c>
      <c r="AM537" s="157"/>
    </row>
    <row r="538" customFormat="false" ht="12.75" hidden="false" customHeight="true" outlineLevel="0" collapsed="false">
      <c r="A538" s="441" t="n">
        <v>7</v>
      </c>
      <c r="B538" s="157" t="n">
        <v>530</v>
      </c>
      <c r="C538" s="437" t="s">
        <v>7523</v>
      </c>
      <c r="D538" s="157" t="s">
        <v>7470</v>
      </c>
      <c r="E538" s="461" t="s">
        <v>2461</v>
      </c>
      <c r="F538" s="157" t="s">
        <v>8165</v>
      </c>
      <c r="G538" s="431" t="n">
        <v>44.1</v>
      </c>
      <c r="H538" s="431" t="n">
        <v>9506</v>
      </c>
      <c r="I538" s="457" t="n">
        <v>0</v>
      </c>
      <c r="J538" s="458" t="n">
        <v>9120</v>
      </c>
      <c r="K538" s="462" t="n">
        <v>6.76052631578947</v>
      </c>
      <c r="L538" s="463" t="n">
        <v>0</v>
      </c>
      <c r="M538" s="463" t="n">
        <v>0.0246366939146231</v>
      </c>
      <c r="N538" s="431" t="n">
        <v>1986</v>
      </c>
      <c r="O538" s="446" t="n">
        <v>1669</v>
      </c>
      <c r="Q538" s="157" t="n">
        <v>16</v>
      </c>
      <c r="R538" s="157" t="n">
        <v>3</v>
      </c>
      <c r="S538" s="157" t="n">
        <v>1</v>
      </c>
      <c r="T538" s="457" t="s">
        <v>7526</v>
      </c>
      <c r="U538" s="457" t="n">
        <v>398</v>
      </c>
      <c r="V538" s="458" t="n">
        <v>21128</v>
      </c>
      <c r="W538" s="458" t="n">
        <v>21000</v>
      </c>
      <c r="X538" s="464" t="s">
        <v>6646</v>
      </c>
      <c r="Y538" s="458" t="n">
        <v>9000</v>
      </c>
      <c r="Z538" s="457" t="s">
        <v>6638</v>
      </c>
      <c r="AC538" s="431"/>
      <c r="AD538" s="437"/>
      <c r="AE538" s="167"/>
      <c r="AF538" s="167"/>
      <c r="AG538" s="167"/>
      <c r="AH538" s="167"/>
      <c r="AI538" s="167"/>
      <c r="AJ538" s="167"/>
      <c r="AK538" s="167" t="s">
        <v>8166</v>
      </c>
      <c r="AM538" s="157"/>
    </row>
    <row r="539" customFormat="false" ht="12.75" hidden="false" customHeight="true" outlineLevel="0" collapsed="false">
      <c r="A539" s="441" t="n">
        <v>7</v>
      </c>
      <c r="B539" s="157" t="n">
        <v>531</v>
      </c>
      <c r="C539" s="437" t="s">
        <v>7523</v>
      </c>
      <c r="D539" s="157" t="s">
        <v>8167</v>
      </c>
      <c r="E539" s="461" t="s">
        <v>2461</v>
      </c>
      <c r="F539" s="157" t="s">
        <v>8168</v>
      </c>
      <c r="G539" s="445" t="n">
        <v>44.5</v>
      </c>
      <c r="H539" s="431" t="n">
        <v>9506</v>
      </c>
      <c r="I539" s="457" t="n">
        <v>0</v>
      </c>
      <c r="J539" s="458" t="n">
        <v>26357</v>
      </c>
      <c r="K539" s="462" t="n">
        <v>7.26061387866601</v>
      </c>
      <c r="L539" s="463" t="n">
        <v>0</v>
      </c>
      <c r="M539" s="463" t="n">
        <v>0.34838635508549</v>
      </c>
      <c r="N539" s="431" t="n">
        <v>2000</v>
      </c>
      <c r="O539" s="446" t="n">
        <v>379</v>
      </c>
      <c r="P539" s="446" t="n">
        <v>825</v>
      </c>
      <c r="Q539" s="157" t="n">
        <v>10</v>
      </c>
      <c r="R539" s="157" t="n">
        <v>1</v>
      </c>
      <c r="S539" s="157" t="n">
        <v>255</v>
      </c>
      <c r="T539" s="457" t="s">
        <v>7531</v>
      </c>
      <c r="U539" s="457" t="n">
        <v>396</v>
      </c>
      <c r="V539" s="458" t="n">
        <v>76475</v>
      </c>
      <c r="W539" s="458" t="n">
        <v>76000</v>
      </c>
      <c r="X539" s="464" t="s">
        <v>7288</v>
      </c>
      <c r="Y539" s="458" t="n">
        <v>26000</v>
      </c>
      <c r="Z539" s="457" t="s">
        <v>6638</v>
      </c>
      <c r="AC539" s="431"/>
      <c r="AD539" s="437" t="s">
        <v>8169</v>
      </c>
      <c r="AE539" s="167"/>
      <c r="AF539" s="167"/>
      <c r="AG539" s="167"/>
      <c r="AH539" s="167"/>
      <c r="AI539" s="167"/>
      <c r="AJ539" s="167"/>
      <c r="AK539" s="167" t="s">
        <v>8170</v>
      </c>
      <c r="AM539" s="157"/>
    </row>
    <row r="540" customFormat="false" ht="12.75" hidden="false" customHeight="true" outlineLevel="0" collapsed="false">
      <c r="A540" s="441" t="n">
        <v>7</v>
      </c>
      <c r="B540" s="157" t="n">
        <v>532</v>
      </c>
      <c r="C540" s="437" t="s">
        <v>7523</v>
      </c>
      <c r="D540" s="157" t="s">
        <v>8171</v>
      </c>
      <c r="E540" s="461" t="s">
        <v>2461</v>
      </c>
      <c r="F540" s="157" t="s">
        <v>8172</v>
      </c>
      <c r="G540" s="431" t="n">
        <v>44.1</v>
      </c>
      <c r="H540" s="431" t="n">
        <v>9506</v>
      </c>
      <c r="I540" s="457" t="n">
        <v>0</v>
      </c>
      <c r="J540" s="458" t="n">
        <v>2000</v>
      </c>
      <c r="K540" s="462" t="n">
        <v>4.8</v>
      </c>
      <c r="L540" s="463" t="n">
        <v>0</v>
      </c>
      <c r="M540" s="463" t="n">
        <v>0.147916666666667</v>
      </c>
      <c r="N540" s="431" t="n">
        <v>1943</v>
      </c>
      <c r="O540" s="446" t="n">
        <v>0</v>
      </c>
      <c r="Q540" s="157" t="n">
        <v>10</v>
      </c>
      <c r="R540" s="157" t="n">
        <v>7</v>
      </c>
      <c r="S540" s="157" t="n">
        <v>1</v>
      </c>
      <c r="T540" s="457" t="s">
        <v>7531</v>
      </c>
      <c r="U540" s="457" t="n">
        <v>398</v>
      </c>
      <c r="V540" s="458" t="n">
        <v>8650</v>
      </c>
      <c r="W540" s="458" t="n">
        <v>9000</v>
      </c>
      <c r="X540" s="464" t="s">
        <v>6705</v>
      </c>
      <c r="Y540" s="458" t="n">
        <v>2000</v>
      </c>
      <c r="Z540" s="457" t="s">
        <v>6638</v>
      </c>
      <c r="AC540" s="431"/>
      <c r="AD540" s="437" t="s">
        <v>6676</v>
      </c>
      <c r="AE540" s="167"/>
      <c r="AF540" s="167"/>
      <c r="AG540" s="167"/>
      <c r="AH540" s="167"/>
      <c r="AI540" s="167"/>
      <c r="AJ540" s="167"/>
      <c r="AK540" s="167" t="s">
        <v>8173</v>
      </c>
      <c r="AM540" s="157"/>
    </row>
    <row r="541" customFormat="false" ht="12.75" hidden="false" customHeight="true" outlineLevel="0" collapsed="false">
      <c r="A541" s="441" t="n">
        <v>7</v>
      </c>
      <c r="B541" s="157" t="n">
        <v>533</v>
      </c>
      <c r="C541" s="437" t="s">
        <v>7523</v>
      </c>
      <c r="D541" s="157" t="s">
        <v>8174</v>
      </c>
      <c r="E541" s="461" t="s">
        <v>2461</v>
      </c>
      <c r="F541" s="157" t="s">
        <v>8175</v>
      </c>
      <c r="G541" s="431" t="n">
        <v>44.1</v>
      </c>
      <c r="H541" s="431" t="n">
        <v>9506</v>
      </c>
      <c r="I541" s="457" t="n">
        <v>0</v>
      </c>
      <c r="J541" s="458" t="n">
        <v>7040</v>
      </c>
      <c r="K541" s="462" t="n">
        <v>6.82159090909091</v>
      </c>
      <c r="L541" s="463" t="n">
        <v>0.24</v>
      </c>
      <c r="M541" s="463" t="n">
        <v>0</v>
      </c>
      <c r="N541" s="431" t="n">
        <v>1973</v>
      </c>
      <c r="O541" s="446" t="n">
        <v>1212</v>
      </c>
      <c r="Q541" s="157" t="n">
        <v>11</v>
      </c>
      <c r="R541" s="157" t="n">
        <v>14</v>
      </c>
      <c r="S541" s="157" t="n">
        <v>1</v>
      </c>
      <c r="T541" s="457" t="s">
        <v>7531</v>
      </c>
      <c r="U541" s="457" t="n">
        <v>398</v>
      </c>
      <c r="V541" s="458" t="n">
        <v>31915</v>
      </c>
      <c r="W541" s="458" t="n">
        <v>32000</v>
      </c>
      <c r="X541" s="464" t="s">
        <v>6675</v>
      </c>
      <c r="Y541" s="458" t="n">
        <v>7000</v>
      </c>
      <c r="Z541" s="457" t="s">
        <v>6638</v>
      </c>
      <c r="AC541" s="431"/>
      <c r="AD541" s="437" t="s">
        <v>8176</v>
      </c>
      <c r="AE541" s="167"/>
      <c r="AF541" s="167"/>
      <c r="AG541" s="167"/>
      <c r="AH541" s="167"/>
      <c r="AI541" s="167"/>
      <c r="AJ541" s="167"/>
      <c r="AK541" s="167" t="s">
        <v>8177</v>
      </c>
      <c r="AM541" s="157"/>
    </row>
    <row r="542" customFormat="false" ht="12.75" hidden="false" customHeight="true" outlineLevel="0" collapsed="false">
      <c r="A542" s="441" t="n">
        <v>7</v>
      </c>
      <c r="B542" s="157" t="n">
        <v>534</v>
      </c>
      <c r="C542" s="437" t="s">
        <v>7523</v>
      </c>
      <c r="D542" s="157" t="s">
        <v>8178</v>
      </c>
      <c r="E542" s="461" t="s">
        <v>2461</v>
      </c>
      <c r="F542" s="157" t="s">
        <v>8179</v>
      </c>
      <c r="G542" s="445" t="n">
        <v>44.8</v>
      </c>
      <c r="H542" s="431" t="n">
        <v>9506</v>
      </c>
      <c r="I542" s="457" t="n">
        <v>0</v>
      </c>
      <c r="J542" s="458" t="n">
        <v>2102</v>
      </c>
      <c r="K542" s="462" t="n">
        <v>8.56327307326356</v>
      </c>
      <c r="L542" s="463" t="n">
        <v>0</v>
      </c>
      <c r="M542" s="463" t="n">
        <v>0</v>
      </c>
      <c r="N542" s="431" t="n">
        <v>1982</v>
      </c>
      <c r="O542" s="446" t="n">
        <v>0</v>
      </c>
      <c r="Q542" s="157" t="n">
        <v>16</v>
      </c>
      <c r="R542" s="157" t="n">
        <v>3</v>
      </c>
      <c r="S542" s="157" t="n">
        <v>1</v>
      </c>
      <c r="T542" s="457" t="s">
        <v>7526</v>
      </c>
      <c r="U542" s="457" t="n">
        <v>398</v>
      </c>
      <c r="V542" s="458" t="n">
        <v>3521</v>
      </c>
      <c r="W542" s="458" t="n">
        <v>4000</v>
      </c>
      <c r="X542" s="464" t="s">
        <v>6954</v>
      </c>
      <c r="Y542" s="458" t="n">
        <v>2000</v>
      </c>
      <c r="Z542" s="457" t="s">
        <v>6638</v>
      </c>
      <c r="AC542" s="431"/>
      <c r="AD542" s="437" t="s">
        <v>8180</v>
      </c>
      <c r="AE542" s="167"/>
      <c r="AF542" s="167"/>
      <c r="AG542" s="167"/>
      <c r="AH542" s="167"/>
      <c r="AI542" s="167"/>
      <c r="AJ542" s="167"/>
      <c r="AK542" s="167"/>
      <c r="AM542" s="157"/>
    </row>
    <row r="543" customFormat="false" ht="12.75" hidden="false" customHeight="true" outlineLevel="0" collapsed="false">
      <c r="A543" s="441" t="n">
        <v>7</v>
      </c>
      <c r="B543" s="157" t="n">
        <v>535</v>
      </c>
      <c r="C543" s="437" t="s">
        <v>7523</v>
      </c>
      <c r="D543" s="157" t="s">
        <v>8181</v>
      </c>
      <c r="E543" s="461" t="s">
        <v>2461</v>
      </c>
      <c r="F543" s="157" t="s">
        <v>8179</v>
      </c>
      <c r="G543" s="445" t="n">
        <v>44.8</v>
      </c>
      <c r="H543" s="431" t="n">
        <v>9506</v>
      </c>
      <c r="I543" s="457" t="n">
        <v>0</v>
      </c>
      <c r="J543" s="458" t="n">
        <v>2126</v>
      </c>
      <c r="K543" s="462" t="n">
        <v>8.46660395108184</v>
      </c>
      <c r="L543" s="463" t="n">
        <v>0</v>
      </c>
      <c r="M543" s="463" t="n">
        <v>0</v>
      </c>
      <c r="N543" s="431" t="n">
        <v>1982</v>
      </c>
      <c r="O543" s="446" t="n">
        <v>0</v>
      </c>
      <c r="Q543" s="157" t="n">
        <v>16</v>
      </c>
      <c r="R543" s="157" t="n">
        <v>3</v>
      </c>
      <c r="S543" s="157" t="n">
        <v>1</v>
      </c>
      <c r="T543" s="457" t="s">
        <v>7526</v>
      </c>
      <c r="U543" s="457" t="n">
        <v>398</v>
      </c>
      <c r="V543" s="458" t="n">
        <v>3586</v>
      </c>
      <c r="W543" s="458" t="n">
        <v>4000</v>
      </c>
      <c r="X543" s="464" t="s">
        <v>6954</v>
      </c>
      <c r="Y543" s="458" t="n">
        <v>2000</v>
      </c>
      <c r="Z543" s="457" t="s">
        <v>6638</v>
      </c>
      <c r="AC543" s="431"/>
      <c r="AD543" s="437" t="s">
        <v>8182</v>
      </c>
      <c r="AE543" s="167"/>
      <c r="AF543" s="167"/>
      <c r="AG543" s="167"/>
      <c r="AH543" s="167"/>
      <c r="AI543" s="167"/>
      <c r="AJ543" s="167"/>
      <c r="AK543" s="167"/>
      <c r="AM543" s="157"/>
    </row>
    <row r="544" customFormat="false" ht="12.75" hidden="false" customHeight="true" outlineLevel="0" collapsed="false">
      <c r="A544" s="441" t="n">
        <v>7</v>
      </c>
      <c r="B544" s="157" t="n">
        <v>536</v>
      </c>
      <c r="C544" s="437" t="s">
        <v>7523</v>
      </c>
      <c r="D544" s="157" t="s">
        <v>7475</v>
      </c>
      <c r="E544" s="461" t="s">
        <v>2461</v>
      </c>
      <c r="F544" s="157" t="s">
        <v>8183</v>
      </c>
      <c r="G544" s="431" t="n">
        <v>44.1</v>
      </c>
      <c r="H544" s="431" t="n">
        <v>9506</v>
      </c>
      <c r="I544" s="457" t="n">
        <v>0</v>
      </c>
      <c r="J544" s="458" t="n">
        <v>2000</v>
      </c>
      <c r="K544" s="462" t="n">
        <v>5.94</v>
      </c>
      <c r="L544" s="463" t="n">
        <v>0</v>
      </c>
      <c r="M544" s="463" t="n">
        <v>0.345875420875421</v>
      </c>
      <c r="N544" s="431" t="n">
        <v>1960</v>
      </c>
      <c r="O544" s="446" t="n">
        <v>0</v>
      </c>
      <c r="Q544" s="157" t="n">
        <v>12</v>
      </c>
      <c r="R544" s="157" t="n">
        <v>1</v>
      </c>
      <c r="S544" s="157" t="n">
        <v>2</v>
      </c>
      <c r="T544" s="457" t="s">
        <v>7526</v>
      </c>
      <c r="U544" s="457" t="n">
        <v>398</v>
      </c>
      <c r="V544" s="458" t="n">
        <v>9375</v>
      </c>
      <c r="W544" s="458" t="n">
        <v>9000</v>
      </c>
      <c r="X544" s="464" t="s">
        <v>6650</v>
      </c>
      <c r="Y544" s="458" t="n">
        <v>2000</v>
      </c>
      <c r="Z544" s="457" t="s">
        <v>6638</v>
      </c>
      <c r="AC544" s="431"/>
      <c r="AD544" s="437" t="s">
        <v>7477</v>
      </c>
      <c r="AE544" s="167"/>
      <c r="AF544" s="167"/>
      <c r="AG544" s="167"/>
      <c r="AH544" s="167"/>
      <c r="AI544" s="167"/>
      <c r="AJ544" s="167"/>
      <c r="AK544" s="167" t="s">
        <v>8184</v>
      </c>
      <c r="AM544" s="157"/>
    </row>
    <row r="545" customFormat="false" ht="12.75" hidden="false" customHeight="true" outlineLevel="0" collapsed="false">
      <c r="A545" s="441" t="n">
        <v>7</v>
      </c>
      <c r="B545" s="157" t="n">
        <v>537</v>
      </c>
      <c r="C545" s="437" t="s">
        <v>7523</v>
      </c>
      <c r="D545" s="157" t="s">
        <v>7478</v>
      </c>
      <c r="E545" s="461" t="s">
        <v>2461</v>
      </c>
      <c r="F545" s="157" t="s">
        <v>8185</v>
      </c>
      <c r="G545" s="431" t="n">
        <v>44.1</v>
      </c>
      <c r="H545" s="431" t="n">
        <v>9506</v>
      </c>
      <c r="I545" s="457" t="n">
        <v>0</v>
      </c>
      <c r="J545" s="458" t="n">
        <v>4000</v>
      </c>
      <c r="K545" s="462" t="n">
        <v>6.1</v>
      </c>
      <c r="L545" s="463" t="n">
        <v>0</v>
      </c>
      <c r="M545" s="463" t="n">
        <v>0.110327868852459</v>
      </c>
      <c r="N545" s="431" t="n">
        <v>1962</v>
      </c>
      <c r="O545" s="446" t="n">
        <v>0</v>
      </c>
      <c r="Q545" s="157" t="n">
        <v>12</v>
      </c>
      <c r="R545" s="157" t="n">
        <v>1</v>
      </c>
      <c r="S545" s="157" t="n">
        <v>1</v>
      </c>
      <c r="T545" s="457" t="s">
        <v>7526</v>
      </c>
      <c r="U545" s="457" t="n">
        <v>398</v>
      </c>
      <c r="V545" s="458" t="n">
        <v>9375</v>
      </c>
      <c r="W545" s="458" t="n">
        <v>9000</v>
      </c>
      <c r="X545" s="464" t="s">
        <v>6646</v>
      </c>
      <c r="Y545" s="458" t="n">
        <v>4000</v>
      </c>
      <c r="Z545" s="457" t="s">
        <v>6638</v>
      </c>
      <c r="AC545" s="431"/>
      <c r="AD545" s="437" t="s">
        <v>7480</v>
      </c>
      <c r="AE545" s="167"/>
      <c r="AF545" s="167"/>
      <c r="AG545" s="167"/>
      <c r="AH545" s="167"/>
      <c r="AI545" s="167"/>
      <c r="AJ545" s="167"/>
      <c r="AK545" s="167"/>
      <c r="AM545" s="157"/>
    </row>
    <row r="546" customFormat="false" ht="12.75" hidden="false" customHeight="true" outlineLevel="0" collapsed="false">
      <c r="A546" s="441" t="n">
        <v>7</v>
      </c>
      <c r="B546" s="157" t="n">
        <v>538</v>
      </c>
      <c r="C546" s="437" t="s">
        <v>7523</v>
      </c>
      <c r="D546" s="157" t="s">
        <v>7481</v>
      </c>
      <c r="E546" s="461" t="s">
        <v>2461</v>
      </c>
      <c r="F546" s="157" t="s">
        <v>8186</v>
      </c>
      <c r="G546" s="445" t="n">
        <v>47.2</v>
      </c>
      <c r="H546" s="431" t="n">
        <v>9506</v>
      </c>
      <c r="I546" s="457" t="n">
        <v>0</v>
      </c>
      <c r="J546" s="458" t="n">
        <v>4000</v>
      </c>
      <c r="K546" s="462" t="n">
        <v>6.3175</v>
      </c>
      <c r="L546" s="463" t="n">
        <v>0</v>
      </c>
      <c r="M546" s="463" t="n">
        <v>0.0923229125445192</v>
      </c>
      <c r="N546" s="431" t="n">
        <v>1956</v>
      </c>
      <c r="O546" s="446" t="n">
        <v>200</v>
      </c>
      <c r="Q546" s="157" t="n">
        <v>14</v>
      </c>
      <c r="R546" s="157" t="n">
        <v>1</v>
      </c>
      <c r="S546" s="157" t="n">
        <v>1</v>
      </c>
      <c r="T546" s="457" t="s">
        <v>7526</v>
      </c>
      <c r="U546" s="457" t="n">
        <v>401</v>
      </c>
      <c r="V546" s="458" t="n">
        <v>12500</v>
      </c>
      <c r="W546" s="458" t="n">
        <v>13000</v>
      </c>
      <c r="X546" s="464" t="s">
        <v>6751</v>
      </c>
      <c r="Y546" s="458" t="n">
        <v>4000</v>
      </c>
      <c r="Z546" s="457" t="s">
        <v>6638</v>
      </c>
      <c r="AC546" s="431"/>
      <c r="AD546" s="437" t="s">
        <v>7483</v>
      </c>
      <c r="AE546" s="167"/>
      <c r="AF546" s="167"/>
      <c r="AG546" s="167"/>
      <c r="AH546" s="167"/>
      <c r="AI546" s="167"/>
      <c r="AJ546" s="167"/>
      <c r="AK546" s="167"/>
      <c r="AM546" s="157"/>
    </row>
    <row r="547" customFormat="false" ht="12.75" hidden="false" customHeight="true" outlineLevel="0" collapsed="false">
      <c r="A547" s="441" t="n">
        <v>7</v>
      </c>
      <c r="B547" s="157" t="n">
        <v>539</v>
      </c>
      <c r="C547" s="437" t="s">
        <v>7523</v>
      </c>
      <c r="D547" s="157" t="s">
        <v>8187</v>
      </c>
      <c r="E547" s="461" t="s">
        <v>2461</v>
      </c>
      <c r="F547" s="157" t="s">
        <v>8188</v>
      </c>
      <c r="G547" s="431" t="n">
        <v>44.1</v>
      </c>
      <c r="H547" s="431" t="n">
        <v>9506</v>
      </c>
      <c r="I547" s="457" t="n">
        <v>0</v>
      </c>
      <c r="J547" s="458" t="n">
        <v>4000</v>
      </c>
      <c r="K547" s="462" t="n">
        <v>12</v>
      </c>
      <c r="L547" s="463" t="n">
        <v>0</v>
      </c>
      <c r="M547" s="463" t="n">
        <v>0</v>
      </c>
      <c r="N547" s="431" t="n">
        <v>1972</v>
      </c>
      <c r="O547" s="446" t="n">
        <v>0</v>
      </c>
      <c r="Q547" s="157" t="n">
        <v>0</v>
      </c>
      <c r="S547" s="157" t="n">
        <v>0</v>
      </c>
      <c r="T547" s="457" t="s">
        <v>7526</v>
      </c>
      <c r="U547" s="457" t="n">
        <v>397</v>
      </c>
      <c r="V547" s="458" t="n">
        <v>6250</v>
      </c>
      <c r="W547" s="458" t="n">
        <v>6000</v>
      </c>
      <c r="X547" s="464" t="s">
        <v>6668</v>
      </c>
      <c r="Y547" s="458" t="n">
        <v>4000</v>
      </c>
      <c r="Z547" s="457" t="s">
        <v>463</v>
      </c>
      <c r="AC547" s="431"/>
      <c r="AD547" s="437"/>
      <c r="AE547" s="167"/>
      <c r="AF547" s="167"/>
      <c r="AG547" s="167"/>
      <c r="AH547" s="167"/>
      <c r="AI547" s="167"/>
      <c r="AJ547" s="167"/>
      <c r="AK547" s="167"/>
      <c r="AM547" s="157"/>
    </row>
    <row r="548" customFormat="false" ht="12.75" hidden="false" customHeight="true" outlineLevel="0" collapsed="false">
      <c r="A548" s="441" t="n">
        <v>7</v>
      </c>
      <c r="B548" s="157" t="n">
        <v>540</v>
      </c>
      <c r="C548" s="437" t="s">
        <v>7523</v>
      </c>
      <c r="D548" s="157" t="s">
        <v>7484</v>
      </c>
      <c r="E548" s="461" t="s">
        <v>2461</v>
      </c>
      <c r="F548" s="157" t="s">
        <v>8189</v>
      </c>
      <c r="G548" s="445" t="n">
        <v>44.2</v>
      </c>
      <c r="H548" s="431" t="n">
        <v>9506</v>
      </c>
      <c r="I548" s="457" t="n">
        <v>0</v>
      </c>
      <c r="J548" s="458" t="n">
        <v>10010</v>
      </c>
      <c r="K548" s="462" t="n">
        <v>5.86933066933067</v>
      </c>
      <c r="L548" s="463" t="n">
        <v>0</v>
      </c>
      <c r="M548" s="463" t="n">
        <v>0.0528492647058824</v>
      </c>
      <c r="N548" s="431" t="n">
        <v>1961</v>
      </c>
      <c r="O548" s="446" t="n">
        <v>1135</v>
      </c>
      <c r="Q548" s="157" t="n">
        <v>14</v>
      </c>
      <c r="R548" s="157" t="n">
        <v>1</v>
      </c>
      <c r="S548" s="157" t="n">
        <v>1</v>
      </c>
      <c r="T548" s="457" t="s">
        <v>7526</v>
      </c>
      <c r="U548" s="457" t="n">
        <v>397</v>
      </c>
      <c r="V548" s="458" t="n">
        <v>15625</v>
      </c>
      <c r="W548" s="458" t="n">
        <v>16000</v>
      </c>
      <c r="X548" s="464" t="s">
        <v>6668</v>
      </c>
      <c r="Y548" s="458" t="n">
        <v>10000</v>
      </c>
      <c r="Z548" s="457" t="s">
        <v>6638</v>
      </c>
      <c r="AC548" s="431"/>
      <c r="AD548" s="437"/>
      <c r="AE548" s="167"/>
      <c r="AF548" s="167"/>
      <c r="AG548" s="167"/>
      <c r="AH548" s="167"/>
      <c r="AI548" s="167"/>
      <c r="AJ548" s="167"/>
      <c r="AK548" s="167"/>
      <c r="AM548" s="157"/>
    </row>
    <row r="549" customFormat="false" ht="12.75" hidden="false" customHeight="true" outlineLevel="0" collapsed="false">
      <c r="A549" s="441" t="n">
        <v>7</v>
      </c>
      <c r="B549" s="157" t="n">
        <v>541</v>
      </c>
      <c r="C549" s="437" t="s">
        <v>7523</v>
      </c>
      <c r="D549" s="157" t="s">
        <v>8190</v>
      </c>
      <c r="E549" s="461" t="s">
        <v>2461</v>
      </c>
      <c r="F549" s="157" t="s">
        <v>8191</v>
      </c>
      <c r="G549" s="431" t="n">
        <v>44.1</v>
      </c>
      <c r="H549" s="431" t="n">
        <v>9506</v>
      </c>
      <c r="I549" s="457" t="n">
        <v>0</v>
      </c>
      <c r="J549" s="458" t="n">
        <v>5000</v>
      </c>
      <c r="K549" s="462" t="n">
        <v>6</v>
      </c>
      <c r="L549" s="463" t="n">
        <v>0</v>
      </c>
      <c r="M549" s="463" t="n">
        <v>0.108033333333333</v>
      </c>
      <c r="N549" s="431" t="n">
        <v>1966</v>
      </c>
      <c r="O549" s="446" t="n">
        <v>521</v>
      </c>
      <c r="Q549" s="157" t="n">
        <v>14</v>
      </c>
      <c r="R549" s="157" t="n">
        <v>3</v>
      </c>
      <c r="S549" s="157" t="n">
        <v>1</v>
      </c>
      <c r="T549" s="457" t="s">
        <v>7526</v>
      </c>
      <c r="U549" s="457" t="n">
        <v>397</v>
      </c>
      <c r="V549" s="458" t="n">
        <v>6250</v>
      </c>
      <c r="W549" s="458" t="n">
        <v>6000</v>
      </c>
      <c r="X549" s="464" t="s">
        <v>7103</v>
      </c>
      <c r="Y549" s="458" t="n">
        <v>5000</v>
      </c>
      <c r="Z549" s="457" t="s">
        <v>6638</v>
      </c>
      <c r="AC549" s="431"/>
      <c r="AD549" s="437" t="s">
        <v>8192</v>
      </c>
      <c r="AE549" s="167"/>
      <c r="AF549" s="167"/>
      <c r="AG549" s="167"/>
      <c r="AH549" s="167"/>
      <c r="AI549" s="167"/>
      <c r="AJ549" s="167"/>
      <c r="AK549" s="167" t="s">
        <v>7527</v>
      </c>
      <c r="AM549" s="157"/>
    </row>
    <row r="550" customFormat="false" ht="12.75" hidden="false" customHeight="true" outlineLevel="0" collapsed="false">
      <c r="A550" s="441" t="n">
        <v>7</v>
      </c>
      <c r="B550" s="157" t="n">
        <v>542</v>
      </c>
      <c r="C550" s="437" t="s">
        <v>7523</v>
      </c>
      <c r="D550" s="157" t="s">
        <v>8193</v>
      </c>
      <c r="E550" s="461" t="s">
        <v>2461</v>
      </c>
      <c r="F550" s="157" t="s">
        <v>8194</v>
      </c>
      <c r="G550" s="431" t="n">
        <v>44.1</v>
      </c>
      <c r="H550" s="431" t="n">
        <v>9506</v>
      </c>
      <c r="I550" s="457" t="n">
        <v>0</v>
      </c>
      <c r="J550" s="458" t="n">
        <v>5425</v>
      </c>
      <c r="K550" s="462" t="n">
        <v>7.74193548387097</v>
      </c>
      <c r="L550" s="463" t="n">
        <v>0</v>
      </c>
      <c r="M550" s="463" t="n">
        <v>0.0801666666666667</v>
      </c>
      <c r="N550" s="431" t="n">
        <v>1974</v>
      </c>
      <c r="O550" s="446" t="n">
        <v>1116</v>
      </c>
      <c r="Q550" s="157" t="n">
        <v>13</v>
      </c>
      <c r="R550" s="157" t="n">
        <v>8</v>
      </c>
      <c r="S550" s="157" t="n">
        <v>1</v>
      </c>
      <c r="T550" s="457" t="s">
        <v>7526</v>
      </c>
      <c r="U550" s="457" t="n">
        <v>397</v>
      </c>
      <c r="V550" s="458" t="n">
        <v>12500</v>
      </c>
      <c r="W550" s="458" t="n">
        <v>13000</v>
      </c>
      <c r="X550" s="464" t="s">
        <v>6646</v>
      </c>
      <c r="Y550" s="458" t="n">
        <v>5000</v>
      </c>
      <c r="Z550" s="457" t="s">
        <v>6638</v>
      </c>
      <c r="AC550" s="431"/>
      <c r="AD550" s="437" t="s">
        <v>8195</v>
      </c>
      <c r="AE550" s="167"/>
      <c r="AF550" s="167"/>
      <c r="AG550" s="167"/>
      <c r="AH550" s="167"/>
      <c r="AI550" s="167"/>
      <c r="AJ550" s="167"/>
      <c r="AK550" s="167" t="s">
        <v>7527</v>
      </c>
      <c r="AM550" s="157"/>
    </row>
    <row r="551" customFormat="false" ht="12.75" hidden="false" customHeight="true" outlineLevel="0" collapsed="false">
      <c r="A551" s="441" t="n">
        <v>7</v>
      </c>
      <c r="B551" s="157" t="n">
        <v>543</v>
      </c>
      <c r="C551" s="437" t="s">
        <v>7523</v>
      </c>
      <c r="D551" s="157" t="s">
        <v>7486</v>
      </c>
      <c r="E551" s="461" t="s">
        <v>2461</v>
      </c>
      <c r="F551" s="157" t="s">
        <v>8196</v>
      </c>
      <c r="G551" s="445" t="n">
        <v>44.2</v>
      </c>
      <c r="H551" s="431" t="n">
        <v>9506</v>
      </c>
      <c r="I551" s="457" t="n">
        <v>0</v>
      </c>
      <c r="J551" s="458" t="n">
        <v>2000</v>
      </c>
      <c r="K551" s="462" t="n">
        <v>7.2</v>
      </c>
      <c r="L551" s="463" t="n">
        <v>0</v>
      </c>
      <c r="M551" s="463" t="n">
        <v>0.0791666666666667</v>
      </c>
      <c r="N551" s="431" t="n">
        <v>1962</v>
      </c>
      <c r="O551" s="446" t="n">
        <v>0</v>
      </c>
      <c r="Q551" s="157" t="n">
        <v>12</v>
      </c>
      <c r="R551" s="157" t="n">
        <v>3</v>
      </c>
      <c r="S551" s="157" t="n">
        <v>1</v>
      </c>
      <c r="T551" s="457" t="s">
        <v>7526</v>
      </c>
      <c r="U551" s="457" t="n">
        <v>398</v>
      </c>
      <c r="V551" s="458" t="n">
        <v>12500</v>
      </c>
      <c r="W551" s="458" t="n">
        <v>13000</v>
      </c>
      <c r="X551" s="464" t="s">
        <v>7488</v>
      </c>
      <c r="Y551" s="458" t="n">
        <v>2000</v>
      </c>
      <c r="Z551" s="457" t="s">
        <v>6638</v>
      </c>
      <c r="AC551" s="431"/>
      <c r="AD551" s="437" t="s">
        <v>7489</v>
      </c>
      <c r="AE551" s="167"/>
      <c r="AF551" s="167"/>
      <c r="AG551" s="167"/>
      <c r="AH551" s="167"/>
      <c r="AI551" s="167"/>
      <c r="AJ551" s="167"/>
      <c r="AK551" s="167" t="s">
        <v>7527</v>
      </c>
      <c r="AM551" s="157"/>
    </row>
    <row r="552" customFormat="false" ht="12.75" hidden="false" customHeight="true" outlineLevel="0" collapsed="false">
      <c r="A552" s="441" t="n">
        <v>7</v>
      </c>
      <c r="B552" s="157" t="n">
        <v>544</v>
      </c>
      <c r="C552" s="437" t="s">
        <v>7523</v>
      </c>
      <c r="D552" s="157" t="s">
        <v>8197</v>
      </c>
      <c r="E552" s="461" t="s">
        <v>2461</v>
      </c>
      <c r="F552" s="157" t="s">
        <v>8198</v>
      </c>
      <c r="G552" s="445" t="s">
        <v>7011</v>
      </c>
      <c r="H552" s="431" t="n">
        <v>9506</v>
      </c>
      <c r="I552" s="457" t="n">
        <v>0</v>
      </c>
      <c r="J552" s="458" t="n">
        <v>2490</v>
      </c>
      <c r="K552" s="462" t="n">
        <v>7.71084337349398</v>
      </c>
      <c r="L552" s="463" t="n">
        <v>0</v>
      </c>
      <c r="M552" s="463" t="n">
        <v>0</v>
      </c>
      <c r="N552" s="431" t="n">
        <v>1954</v>
      </c>
      <c r="O552" s="446" t="n">
        <v>0</v>
      </c>
      <c r="Q552" s="157" t="n">
        <v>10</v>
      </c>
      <c r="R552" s="157" t="n">
        <v>1</v>
      </c>
      <c r="S552" s="157" t="n">
        <v>1</v>
      </c>
      <c r="T552" s="457" t="s">
        <v>7526</v>
      </c>
      <c r="U552" s="457" t="n">
        <v>398</v>
      </c>
      <c r="V552" s="458" t="n">
        <v>29660</v>
      </c>
      <c r="W552" s="458" t="n">
        <v>30000</v>
      </c>
      <c r="X552" s="464" t="s">
        <v>8199</v>
      </c>
      <c r="Y552" s="458" t="n">
        <v>2000</v>
      </c>
      <c r="Z552" s="457" t="s">
        <v>6638</v>
      </c>
      <c r="AC552" s="431"/>
      <c r="AD552" s="437"/>
      <c r="AE552" s="167"/>
      <c r="AF552" s="167"/>
      <c r="AG552" s="167"/>
      <c r="AH552" s="167"/>
      <c r="AI552" s="167"/>
      <c r="AJ552" s="167"/>
      <c r="AK552" s="167"/>
      <c r="AM552" s="157"/>
    </row>
    <row r="553" customFormat="false" ht="12.75" hidden="false" customHeight="true" outlineLevel="0" collapsed="false">
      <c r="A553" s="441" t="n">
        <v>7</v>
      </c>
      <c r="B553" s="157" t="n">
        <v>545</v>
      </c>
      <c r="C553" s="437" t="s">
        <v>7523</v>
      </c>
      <c r="D553" s="157" t="s">
        <v>8200</v>
      </c>
      <c r="E553" s="461" t="s">
        <v>2461</v>
      </c>
      <c r="F553" s="157" t="s">
        <v>8201</v>
      </c>
      <c r="G553" s="431" t="n">
        <v>44.1</v>
      </c>
      <c r="H553" s="431" t="n">
        <v>9506</v>
      </c>
      <c r="I553" s="457" t="n">
        <v>0</v>
      </c>
      <c r="J553" s="458" t="n">
        <v>1360</v>
      </c>
      <c r="K553" s="462" t="n">
        <v>13.2352941176471</v>
      </c>
      <c r="L553" s="463" t="n">
        <v>0</v>
      </c>
      <c r="M553" s="463" t="n">
        <v>0</v>
      </c>
      <c r="N553" s="431" t="n">
        <v>1970</v>
      </c>
      <c r="O553" s="446" t="n">
        <v>200</v>
      </c>
      <c r="Q553" s="157" t="n">
        <v>12</v>
      </c>
      <c r="R553" s="157" t="n">
        <v>7</v>
      </c>
      <c r="S553" s="157" t="n">
        <v>1</v>
      </c>
      <c r="T553" s="457" t="s">
        <v>7526</v>
      </c>
      <c r="U553" s="457" t="n">
        <v>398</v>
      </c>
      <c r="V553" s="458" t="n">
        <v>9975</v>
      </c>
      <c r="W553" s="458" t="n">
        <v>10000</v>
      </c>
      <c r="X553" s="464" t="s">
        <v>6906</v>
      </c>
      <c r="Y553" s="458" t="n">
        <v>1000</v>
      </c>
      <c r="Z553" s="457" t="s">
        <v>6638</v>
      </c>
      <c r="AC553" s="431"/>
      <c r="AD553" s="437" t="s">
        <v>8202</v>
      </c>
      <c r="AE553" s="167"/>
      <c r="AF553" s="167"/>
      <c r="AG553" s="167"/>
      <c r="AH553" s="167"/>
      <c r="AI553" s="167"/>
      <c r="AJ553" s="167"/>
      <c r="AK553" s="167" t="s">
        <v>8203</v>
      </c>
      <c r="AM553" s="157"/>
    </row>
    <row r="554" customFormat="false" ht="12.75" hidden="false" customHeight="true" outlineLevel="0" collapsed="false">
      <c r="A554" s="441" t="n">
        <v>7</v>
      </c>
      <c r="B554" s="157" t="n">
        <v>546</v>
      </c>
      <c r="C554" s="437" t="s">
        <v>7523</v>
      </c>
      <c r="D554" s="157" t="s">
        <v>8204</v>
      </c>
      <c r="E554" s="461" t="s">
        <v>2461</v>
      </c>
      <c r="F554" s="157" t="s">
        <v>8205</v>
      </c>
      <c r="G554" s="445" t="n">
        <v>44.2</v>
      </c>
      <c r="H554" s="431" t="n">
        <v>9506</v>
      </c>
      <c r="I554" s="457" t="n">
        <v>0</v>
      </c>
      <c r="J554" s="458" t="n">
        <v>5500</v>
      </c>
      <c r="K554" s="462" t="n">
        <v>4.8</v>
      </c>
      <c r="L554" s="463" t="n">
        <v>0</v>
      </c>
      <c r="M554" s="463" t="n">
        <v>0</v>
      </c>
      <c r="N554" s="431" t="n">
        <v>1982</v>
      </c>
      <c r="O554" s="446" t="n">
        <v>1500</v>
      </c>
      <c r="Q554" s="157" t="n">
        <v>19</v>
      </c>
      <c r="R554" s="157" t="n">
        <v>7</v>
      </c>
      <c r="S554" s="157" t="n">
        <v>1</v>
      </c>
      <c r="T554" s="457" t="s">
        <v>7526</v>
      </c>
      <c r="U554" s="457" t="n">
        <v>398</v>
      </c>
      <c r="V554" s="458" t="n">
        <v>29925</v>
      </c>
      <c r="W554" s="458" t="n">
        <v>30000</v>
      </c>
      <c r="X554" s="464" t="s">
        <v>6646</v>
      </c>
      <c r="Y554" s="458" t="n">
        <v>6000</v>
      </c>
      <c r="Z554" s="457" t="s">
        <v>6638</v>
      </c>
      <c r="AC554" s="431"/>
      <c r="AD554" s="437"/>
      <c r="AE554" s="167"/>
      <c r="AF554" s="167"/>
      <c r="AG554" s="167"/>
      <c r="AH554" s="167"/>
      <c r="AI554" s="167"/>
      <c r="AJ554" s="167"/>
      <c r="AK554" s="167"/>
      <c r="AM554" s="157"/>
    </row>
    <row r="555" customFormat="false" ht="12.75" hidden="false" customHeight="true" outlineLevel="0" collapsed="false">
      <c r="A555" s="441" t="n">
        <v>7</v>
      </c>
      <c r="B555" s="157" t="n">
        <v>547</v>
      </c>
      <c r="C555" s="437" t="s">
        <v>7523</v>
      </c>
      <c r="D555" s="157" t="s">
        <v>8206</v>
      </c>
      <c r="E555" s="461" t="s">
        <v>2461</v>
      </c>
      <c r="F555" s="157" t="s">
        <v>8207</v>
      </c>
      <c r="G555" s="445" t="n">
        <v>44.2</v>
      </c>
      <c r="H555" s="431" t="n">
        <v>9506</v>
      </c>
      <c r="I555" s="457" t="n">
        <v>0</v>
      </c>
      <c r="J555" s="458" t="n">
        <v>1784</v>
      </c>
      <c r="K555" s="462" t="n">
        <v>9.08071748878924</v>
      </c>
      <c r="L555" s="463" t="n">
        <v>0</v>
      </c>
      <c r="M555" s="463" t="n">
        <v>0.354320987654321</v>
      </c>
      <c r="N555" s="431" t="n">
        <v>1980</v>
      </c>
      <c r="O555" s="446" t="n">
        <v>2205</v>
      </c>
      <c r="Q555" s="157" t="n">
        <v>19</v>
      </c>
      <c r="R555" s="157" t="n">
        <v>3</v>
      </c>
      <c r="S555" s="157" t="n">
        <v>1</v>
      </c>
      <c r="T555" s="457" t="s">
        <v>7535</v>
      </c>
      <c r="U555" s="457" t="n">
        <v>398</v>
      </c>
      <c r="V555" s="458" t="n">
        <v>15960</v>
      </c>
      <c r="W555" s="458" t="n">
        <v>16000</v>
      </c>
      <c r="X555" s="464" t="s">
        <v>6700</v>
      </c>
      <c r="Y555" s="458" t="n">
        <v>2000</v>
      </c>
      <c r="Z555" s="457" t="s">
        <v>6638</v>
      </c>
      <c r="AC555" s="431"/>
      <c r="AD555" s="437" t="s">
        <v>8208</v>
      </c>
      <c r="AE555" s="167"/>
      <c r="AF555" s="167"/>
      <c r="AG555" s="167"/>
      <c r="AH555" s="167"/>
      <c r="AI555" s="167"/>
      <c r="AJ555" s="167"/>
      <c r="AK555" s="167" t="s">
        <v>8209</v>
      </c>
      <c r="AM555" s="157"/>
    </row>
    <row r="556" customFormat="false" ht="12.75" hidden="false" customHeight="true" outlineLevel="0" collapsed="false">
      <c r="A556" s="441" t="n">
        <v>7</v>
      </c>
      <c r="B556" s="157" t="n">
        <v>548</v>
      </c>
      <c r="C556" s="437" t="s">
        <v>7523</v>
      </c>
      <c r="D556" s="157" t="s">
        <v>7493</v>
      </c>
      <c r="E556" s="461" t="s">
        <v>2461</v>
      </c>
      <c r="F556" s="157" t="s">
        <v>8210</v>
      </c>
      <c r="G556" s="431" t="n">
        <v>44.1</v>
      </c>
      <c r="H556" s="431" t="n">
        <v>9506</v>
      </c>
      <c r="I556" s="457" t="n">
        <v>0</v>
      </c>
      <c r="J556" s="458" t="n">
        <v>10005</v>
      </c>
      <c r="K556" s="462" t="n">
        <v>5.75712143928036</v>
      </c>
      <c r="L556" s="463" t="n">
        <v>0</v>
      </c>
      <c r="M556" s="463" t="n">
        <v>0.0223958333333333</v>
      </c>
      <c r="N556" s="431" t="n">
        <v>1965</v>
      </c>
      <c r="O556" s="446" t="n">
        <v>2142</v>
      </c>
      <c r="P556" s="446" t="n">
        <v>1188</v>
      </c>
      <c r="Q556" s="157" t="n">
        <v>13</v>
      </c>
      <c r="R556" s="157" t="n">
        <v>1</v>
      </c>
      <c r="S556" s="157" t="n">
        <v>1</v>
      </c>
      <c r="T556" s="457" t="s">
        <v>7526</v>
      </c>
      <c r="U556" s="457" t="n">
        <v>398</v>
      </c>
      <c r="V556" s="458" t="n">
        <v>12500</v>
      </c>
      <c r="W556" s="458" t="n">
        <v>13000</v>
      </c>
      <c r="X556" s="464" t="s">
        <v>6900</v>
      </c>
      <c r="Y556" s="458" t="n">
        <v>10000</v>
      </c>
      <c r="Z556" s="457" t="s">
        <v>6735</v>
      </c>
      <c r="AC556" s="431"/>
      <c r="AD556" s="437" t="s">
        <v>7495</v>
      </c>
      <c r="AE556" s="167"/>
      <c r="AF556" s="167"/>
      <c r="AG556" s="167"/>
      <c r="AH556" s="167"/>
      <c r="AI556" s="167"/>
      <c r="AJ556" s="167"/>
      <c r="AK556" s="167" t="s">
        <v>7527</v>
      </c>
      <c r="AM556" s="157"/>
    </row>
    <row r="557" customFormat="false" ht="12.75" hidden="false" customHeight="true" outlineLevel="0" collapsed="false">
      <c r="A557" s="441" t="n">
        <v>7</v>
      </c>
      <c r="B557" s="157" t="n">
        <v>549</v>
      </c>
      <c r="C557" s="437" t="s">
        <v>7523</v>
      </c>
      <c r="D557" s="157" t="s">
        <v>7499</v>
      </c>
      <c r="E557" s="461" t="s">
        <v>2461</v>
      </c>
      <c r="F557" s="157" t="s">
        <v>8211</v>
      </c>
      <c r="G557" s="445" t="n">
        <v>44.2</v>
      </c>
      <c r="H557" s="431" t="n">
        <v>9506</v>
      </c>
      <c r="I557" s="457" t="n">
        <v>0</v>
      </c>
      <c r="J557" s="458" t="n">
        <v>10073</v>
      </c>
      <c r="K557" s="462" t="n">
        <v>3.46470763426983</v>
      </c>
      <c r="L557" s="463" t="n">
        <v>0</v>
      </c>
      <c r="M557" s="463" t="n">
        <v>0.0916905444126075</v>
      </c>
      <c r="N557" s="431" t="n">
        <v>1973</v>
      </c>
      <c r="O557" s="446" t="n">
        <v>2805</v>
      </c>
      <c r="Q557" s="157" t="n">
        <v>12</v>
      </c>
      <c r="R557" s="157" t="n">
        <v>1</v>
      </c>
      <c r="S557" s="157" t="n">
        <v>1</v>
      </c>
      <c r="T557" s="457" t="s">
        <v>7526</v>
      </c>
      <c r="U557" s="457" t="n">
        <v>398</v>
      </c>
      <c r="V557" s="458" t="n">
        <v>12500</v>
      </c>
      <c r="W557" s="458" t="n">
        <v>13000</v>
      </c>
      <c r="X557" s="464" t="s">
        <v>6900</v>
      </c>
      <c r="Y557" s="458" t="n">
        <v>10000</v>
      </c>
      <c r="Z557" s="457" t="s">
        <v>6638</v>
      </c>
      <c r="AC557" s="431"/>
      <c r="AD557" s="437" t="s">
        <v>7501</v>
      </c>
      <c r="AE557" s="167"/>
      <c r="AF557" s="167"/>
      <c r="AG557" s="167"/>
      <c r="AH557" s="167"/>
      <c r="AI557" s="167"/>
      <c r="AJ557" s="167"/>
      <c r="AK557" s="167"/>
      <c r="AM557" s="157"/>
    </row>
    <row r="558" customFormat="false" ht="12.75" hidden="false" customHeight="true" outlineLevel="0" collapsed="false">
      <c r="A558" s="441" t="n">
        <v>7</v>
      </c>
      <c r="B558" s="157" t="n">
        <v>550</v>
      </c>
      <c r="C558" s="437" t="s">
        <v>7523</v>
      </c>
      <c r="D558" s="157" t="s">
        <v>7503</v>
      </c>
      <c r="E558" s="461" t="s">
        <v>2461</v>
      </c>
      <c r="F558" s="157" t="s">
        <v>8212</v>
      </c>
      <c r="G558" s="445" t="n">
        <v>44.2</v>
      </c>
      <c r="H558" s="431" t="n">
        <v>9506</v>
      </c>
      <c r="I558" s="457" t="n">
        <v>0</v>
      </c>
      <c r="J558" s="458" t="n">
        <v>6000</v>
      </c>
      <c r="K558" s="462" t="n">
        <v>6.3</v>
      </c>
      <c r="L558" s="463" t="n">
        <v>0</v>
      </c>
      <c r="M558" s="463" t="n">
        <v>0.294867724867725</v>
      </c>
      <c r="N558" s="431" t="n">
        <v>1973</v>
      </c>
      <c r="O558" s="446" t="n">
        <v>1440</v>
      </c>
      <c r="Q558" s="157" t="n">
        <v>14</v>
      </c>
      <c r="R558" s="157" t="n">
        <v>1</v>
      </c>
      <c r="S558" s="157" t="n">
        <v>1</v>
      </c>
      <c r="T558" s="457" t="s">
        <v>7526</v>
      </c>
      <c r="U558" s="457" t="n">
        <v>398</v>
      </c>
      <c r="V558" s="458" t="n">
        <v>18750</v>
      </c>
      <c r="W558" s="458" t="n">
        <v>19000</v>
      </c>
      <c r="X558" s="464" t="s">
        <v>6668</v>
      </c>
      <c r="Y558" s="458" t="n">
        <v>6000</v>
      </c>
      <c r="Z558" s="457" t="s">
        <v>6638</v>
      </c>
      <c r="AC558" s="431"/>
      <c r="AD558" s="437"/>
      <c r="AE558" s="167"/>
      <c r="AF558" s="167"/>
      <c r="AG558" s="167"/>
      <c r="AH558" s="167"/>
      <c r="AI558" s="167"/>
      <c r="AJ558" s="167"/>
      <c r="AK558" s="167" t="s">
        <v>8213</v>
      </c>
      <c r="AM558" s="157"/>
    </row>
    <row r="559" customFormat="false" ht="12.75" hidden="false" customHeight="true" outlineLevel="0" collapsed="false">
      <c r="A559" s="441" t="n">
        <v>7</v>
      </c>
      <c r="B559" s="157" t="n">
        <v>551</v>
      </c>
      <c r="C559" s="437" t="s">
        <v>7523</v>
      </c>
      <c r="D559" s="157" t="s">
        <v>8214</v>
      </c>
      <c r="E559" s="461" t="s">
        <v>2461</v>
      </c>
      <c r="F559" s="157" t="s">
        <v>8215</v>
      </c>
      <c r="G559" s="445" t="n">
        <v>44.2</v>
      </c>
      <c r="H559" s="431" t="n">
        <v>9506</v>
      </c>
      <c r="I559" s="457" t="n">
        <v>0</v>
      </c>
      <c r="J559" s="458" t="n">
        <v>4000</v>
      </c>
      <c r="K559" s="462" t="n">
        <v>6.45</v>
      </c>
      <c r="L559" s="463" t="n">
        <v>0</v>
      </c>
      <c r="M559" s="463" t="n">
        <v>0.17953488372093</v>
      </c>
      <c r="N559" s="431" t="n">
        <v>1973</v>
      </c>
      <c r="O559" s="446" t="n">
        <v>400</v>
      </c>
      <c r="Q559" s="157" t="n">
        <v>14</v>
      </c>
      <c r="R559" s="157" t="n">
        <v>1</v>
      </c>
      <c r="S559" s="157" t="n">
        <v>2</v>
      </c>
      <c r="T559" s="457" t="s">
        <v>7526</v>
      </c>
      <c r="U559" s="457" t="n">
        <v>398</v>
      </c>
      <c r="V559" s="458" t="n">
        <v>6250</v>
      </c>
      <c r="W559" s="458" t="n">
        <v>6000</v>
      </c>
      <c r="X559" s="464" t="s">
        <v>6668</v>
      </c>
      <c r="Y559" s="458" t="n">
        <v>4000</v>
      </c>
      <c r="Z559" s="457" t="s">
        <v>6638</v>
      </c>
      <c r="AC559" s="431"/>
      <c r="AD559" s="437" t="s">
        <v>6651</v>
      </c>
      <c r="AE559" s="167"/>
      <c r="AF559" s="167"/>
      <c r="AG559" s="167"/>
      <c r="AH559" s="167"/>
      <c r="AI559" s="167"/>
      <c r="AJ559" s="167"/>
      <c r="AK559" s="167"/>
      <c r="AM559" s="157"/>
    </row>
    <row r="560" customFormat="false" ht="12.75" hidden="false" customHeight="true" outlineLevel="0" collapsed="false">
      <c r="A560" s="441" t="n">
        <v>7</v>
      </c>
      <c r="B560" s="157" t="n">
        <v>552</v>
      </c>
      <c r="C560" s="437" t="s">
        <v>7523</v>
      </c>
      <c r="D560" s="157" t="s">
        <v>8216</v>
      </c>
      <c r="E560" s="461" t="s">
        <v>2461</v>
      </c>
      <c r="F560" s="157" t="s">
        <v>8217</v>
      </c>
      <c r="G560" s="445" t="n">
        <v>47.1</v>
      </c>
      <c r="H560" s="431" t="n">
        <v>9506</v>
      </c>
      <c r="I560" s="457" t="n">
        <v>0</v>
      </c>
      <c r="J560" s="458" t="n">
        <v>3260</v>
      </c>
      <c r="K560" s="462" t="n">
        <v>4.96932515337423</v>
      </c>
      <c r="L560" s="463" t="n">
        <v>0</v>
      </c>
      <c r="M560" s="463" t="n">
        <v>0.438271604938272</v>
      </c>
      <c r="N560" s="431" t="n">
        <v>1970</v>
      </c>
      <c r="O560" s="446" t="n">
        <v>180</v>
      </c>
      <c r="Q560" s="157" t="n">
        <v>14</v>
      </c>
      <c r="R560" s="157" t="n">
        <v>14</v>
      </c>
      <c r="S560" s="157" t="n">
        <v>1</v>
      </c>
      <c r="T560" s="457" t="s">
        <v>7789</v>
      </c>
      <c r="U560" s="457" t="n">
        <v>401</v>
      </c>
      <c r="V560" s="458" t="n">
        <v>14704</v>
      </c>
      <c r="W560" s="458" t="n">
        <v>15000</v>
      </c>
      <c r="X560" s="464" t="s">
        <v>7080</v>
      </c>
      <c r="Y560" s="458" t="n">
        <v>3000</v>
      </c>
      <c r="Z560" s="457" t="s">
        <v>6638</v>
      </c>
      <c r="AC560" s="431"/>
      <c r="AD560" s="437" t="s">
        <v>8218</v>
      </c>
      <c r="AE560" s="167"/>
      <c r="AF560" s="167"/>
      <c r="AG560" s="167"/>
      <c r="AH560" s="167"/>
      <c r="AI560" s="167"/>
      <c r="AJ560" s="167"/>
      <c r="AK560" s="167" t="s">
        <v>7527</v>
      </c>
      <c r="AM560" s="157"/>
    </row>
    <row r="561" customFormat="false" ht="12.75" hidden="false" customHeight="true" outlineLevel="0" collapsed="false">
      <c r="A561" s="441" t="n">
        <v>7</v>
      </c>
      <c r="B561" s="157" t="n">
        <v>553</v>
      </c>
      <c r="C561" s="437" t="s">
        <v>7523</v>
      </c>
      <c r="D561" s="157" t="s">
        <v>8219</v>
      </c>
      <c r="E561" s="461" t="s">
        <v>2461</v>
      </c>
      <c r="F561" s="157" t="s">
        <v>8220</v>
      </c>
      <c r="G561" s="431" t="n">
        <v>44.1</v>
      </c>
      <c r="H561" s="431" t="n">
        <v>9601</v>
      </c>
      <c r="I561" s="457" t="n">
        <v>0</v>
      </c>
      <c r="J561" s="458" t="n">
        <v>1500</v>
      </c>
      <c r="K561" s="462" t="n">
        <v>4.8</v>
      </c>
      <c r="L561" s="463" t="n">
        <v>0</v>
      </c>
      <c r="M561" s="463" t="n">
        <v>0</v>
      </c>
      <c r="N561" s="431" t="n">
        <v>1949</v>
      </c>
      <c r="O561" s="446" t="n">
        <v>0</v>
      </c>
      <c r="P561" s="446" t="n">
        <v>703</v>
      </c>
      <c r="Q561" s="157" t="n">
        <v>10</v>
      </c>
      <c r="R561" s="157" t="n">
        <v>7</v>
      </c>
      <c r="S561" s="157" t="n">
        <v>1</v>
      </c>
      <c r="T561" s="457" t="s">
        <v>8221</v>
      </c>
      <c r="U561" s="457" t="n">
        <v>398</v>
      </c>
      <c r="V561" s="458" t="n">
        <v>12200</v>
      </c>
      <c r="W561" s="458" t="n">
        <v>12000</v>
      </c>
      <c r="X561" s="464" t="s">
        <v>6664</v>
      </c>
      <c r="Y561" s="458" t="n">
        <v>2000</v>
      </c>
      <c r="Z561" s="457" t="s">
        <v>6638</v>
      </c>
      <c r="AC561" s="431"/>
      <c r="AD561" s="437" t="s">
        <v>8222</v>
      </c>
      <c r="AE561" s="167"/>
      <c r="AF561" s="167"/>
      <c r="AG561" s="167"/>
      <c r="AH561" s="167"/>
      <c r="AI561" s="167"/>
      <c r="AJ561" s="167"/>
      <c r="AK561" s="167" t="s">
        <v>8223</v>
      </c>
      <c r="AM561" s="157"/>
    </row>
    <row r="562" customFormat="false" ht="12.75" hidden="false" customHeight="true" outlineLevel="0" collapsed="false">
      <c r="A562" s="441" t="n">
        <v>7</v>
      </c>
      <c r="B562" s="157" t="n">
        <v>554</v>
      </c>
      <c r="C562" s="437" t="s">
        <v>7523</v>
      </c>
      <c r="D562" s="157" t="s">
        <v>8224</v>
      </c>
      <c r="E562" s="461" t="s">
        <v>2461</v>
      </c>
      <c r="F562" s="157" t="s">
        <v>8225</v>
      </c>
      <c r="G562" s="445" t="n">
        <v>44.2</v>
      </c>
      <c r="H562" s="431" t="n">
        <v>9601</v>
      </c>
      <c r="I562" s="457" t="n">
        <v>0</v>
      </c>
      <c r="J562" s="458" t="n">
        <v>5978</v>
      </c>
      <c r="K562" s="462" t="n">
        <v>4.51656072264972</v>
      </c>
      <c r="L562" s="463" t="n">
        <v>0</v>
      </c>
      <c r="M562" s="463" t="n">
        <v>0</v>
      </c>
      <c r="N562" s="431" t="n">
        <v>1964</v>
      </c>
      <c r="O562" s="446" t="n">
        <v>0</v>
      </c>
      <c r="Q562" s="157" t="n">
        <v>10</v>
      </c>
      <c r="R562" s="157" t="n">
        <v>3</v>
      </c>
      <c r="S562" s="157" t="n">
        <v>2</v>
      </c>
      <c r="T562" s="457" t="s">
        <v>8221</v>
      </c>
      <c r="U562" s="457" t="n">
        <v>398</v>
      </c>
      <c r="V562" s="458" t="n">
        <v>12200</v>
      </c>
      <c r="W562" s="458" t="n">
        <v>12000</v>
      </c>
      <c r="X562" s="464" t="s">
        <v>7546</v>
      </c>
      <c r="Y562" s="458" t="n">
        <v>6000</v>
      </c>
      <c r="Z562" s="457" t="s">
        <v>6638</v>
      </c>
      <c r="AC562" s="431"/>
      <c r="AD562" s="437"/>
      <c r="AE562" s="167"/>
      <c r="AF562" s="167"/>
      <c r="AG562" s="167"/>
      <c r="AH562" s="167"/>
      <c r="AI562" s="167"/>
      <c r="AJ562" s="167"/>
      <c r="AK562" s="167" t="s">
        <v>8226</v>
      </c>
      <c r="AM562" s="157"/>
    </row>
    <row r="563" customFormat="false" ht="12.75" hidden="false" customHeight="true" outlineLevel="0" collapsed="false">
      <c r="A563" s="441" t="n">
        <v>7</v>
      </c>
      <c r="B563" s="157" t="n">
        <v>555</v>
      </c>
      <c r="C563" s="437" t="s">
        <v>7523</v>
      </c>
      <c r="D563" s="157" t="s">
        <v>8227</v>
      </c>
      <c r="E563" s="461" t="s">
        <v>2461</v>
      </c>
      <c r="F563" s="157" t="s">
        <v>8228</v>
      </c>
      <c r="G563" s="445" t="n">
        <v>44.5</v>
      </c>
      <c r="H563" s="431" t="n">
        <v>9602</v>
      </c>
      <c r="I563" s="457" t="n">
        <v>9</v>
      </c>
      <c r="J563" s="458" t="n">
        <v>75160</v>
      </c>
      <c r="K563" s="462" t="n">
        <v>10.1161788185205</v>
      </c>
      <c r="L563" s="463" t="n">
        <v>0</v>
      </c>
      <c r="M563" s="463" t="n">
        <v>0.256210444910907</v>
      </c>
      <c r="N563" s="431" t="n">
        <v>2006</v>
      </c>
      <c r="O563" s="446" t="n">
        <v>0</v>
      </c>
      <c r="Q563" s="157" t="n">
        <v>18</v>
      </c>
      <c r="R563" s="157" t="n">
        <v>3</v>
      </c>
      <c r="S563" s="157" t="n">
        <v>651</v>
      </c>
      <c r="T563" s="457" t="s">
        <v>7535</v>
      </c>
      <c r="U563" s="457" t="n">
        <v>396</v>
      </c>
      <c r="V563" s="458" t="n">
        <v>95897</v>
      </c>
      <c r="W563" s="458" t="n">
        <v>96000</v>
      </c>
      <c r="X563" s="464" t="s">
        <v>7103</v>
      </c>
      <c r="Y563" s="458" t="n">
        <v>75000</v>
      </c>
      <c r="Z563" s="457" t="s">
        <v>6696</v>
      </c>
      <c r="AC563" s="431"/>
      <c r="AD563" s="437" t="s">
        <v>8229</v>
      </c>
      <c r="AE563" s="167"/>
      <c r="AF563" s="167"/>
      <c r="AG563" s="167"/>
      <c r="AH563" s="167"/>
      <c r="AI563" s="167"/>
      <c r="AJ563" s="167"/>
      <c r="AK563" s="167"/>
      <c r="AM563" s="157"/>
    </row>
    <row r="564" customFormat="false" ht="12.75" hidden="false" customHeight="true" outlineLevel="0" collapsed="false">
      <c r="A564" s="441" t="n">
        <v>7</v>
      </c>
      <c r="B564" s="157" t="n">
        <v>556</v>
      </c>
      <c r="C564" s="437" t="s">
        <v>7523</v>
      </c>
      <c r="D564" s="157" t="s">
        <v>8230</v>
      </c>
      <c r="E564" s="461" t="s">
        <v>2461</v>
      </c>
      <c r="F564" s="157" t="s">
        <v>8231</v>
      </c>
      <c r="G564" s="445" t="n">
        <v>44.2</v>
      </c>
      <c r="H564" s="431" t="n">
        <v>9603</v>
      </c>
      <c r="I564" s="457" t="n">
        <v>0</v>
      </c>
      <c r="J564" s="458" t="n">
        <v>3400</v>
      </c>
      <c r="K564" s="462" t="n">
        <v>8.84</v>
      </c>
      <c r="L564" s="463" t="n">
        <v>0</v>
      </c>
      <c r="M564" s="463" t="n">
        <v>0.108098216662231</v>
      </c>
      <c r="N564" s="431" t="n">
        <v>1977</v>
      </c>
      <c r="O564" s="446" t="n">
        <v>8901</v>
      </c>
      <c r="Q564" s="157" t="n">
        <v>19</v>
      </c>
      <c r="R564" s="157" t="n">
        <v>10</v>
      </c>
      <c r="S564" s="157" t="n">
        <v>3</v>
      </c>
      <c r="T564" s="457" t="s">
        <v>7526</v>
      </c>
      <c r="U564" s="457" t="n">
        <v>398</v>
      </c>
      <c r="V564" s="458" t="n">
        <v>41625</v>
      </c>
      <c r="W564" s="458" t="n">
        <v>42000</v>
      </c>
      <c r="X564" s="464" t="s">
        <v>6650</v>
      </c>
      <c r="Y564" s="458" t="n">
        <v>3000</v>
      </c>
      <c r="Z564" s="457" t="s">
        <v>6638</v>
      </c>
      <c r="AC564" s="431"/>
      <c r="AD564" s="437" t="s">
        <v>7295</v>
      </c>
      <c r="AE564" s="167"/>
      <c r="AF564" s="167"/>
      <c r="AG564" s="167"/>
      <c r="AH564" s="167"/>
      <c r="AI564" s="167"/>
      <c r="AJ564" s="167"/>
      <c r="AK564" s="167" t="s">
        <v>8232</v>
      </c>
      <c r="AM564" s="157"/>
    </row>
    <row r="565" customFormat="false" ht="12.75" hidden="false" customHeight="true" outlineLevel="0" collapsed="false">
      <c r="A565" s="441" t="n">
        <v>7</v>
      </c>
      <c r="B565" s="157" t="n">
        <v>557</v>
      </c>
      <c r="C565" s="437" t="s">
        <v>7523</v>
      </c>
      <c r="D565" s="157" t="s">
        <v>7511</v>
      </c>
      <c r="E565" s="461" t="s">
        <v>2461</v>
      </c>
      <c r="F565" s="157" t="s">
        <v>8233</v>
      </c>
      <c r="G565" s="431" t="n">
        <v>44.1</v>
      </c>
      <c r="H565" s="431" t="n">
        <v>9603</v>
      </c>
      <c r="I565" s="457" t="n">
        <v>0</v>
      </c>
      <c r="J565" s="458" t="n">
        <v>12244</v>
      </c>
      <c r="K565" s="462" t="n">
        <v>5.39039529565502</v>
      </c>
      <c r="L565" s="463" t="n">
        <v>0</v>
      </c>
      <c r="M565" s="463" t="n">
        <v>0.0854090909090909</v>
      </c>
      <c r="N565" s="431" t="n">
        <v>1960</v>
      </c>
      <c r="O565" s="446" t="n">
        <v>5891</v>
      </c>
      <c r="Q565" s="157" t="n">
        <v>13</v>
      </c>
      <c r="R565" s="157" t="n">
        <v>3</v>
      </c>
      <c r="S565" s="157" t="n">
        <v>1</v>
      </c>
      <c r="T565" s="457" t="s">
        <v>7529</v>
      </c>
      <c r="U565" s="457" t="n">
        <v>398</v>
      </c>
      <c r="V565" s="458" t="n">
        <v>43775</v>
      </c>
      <c r="W565" s="458" t="n">
        <v>44000</v>
      </c>
      <c r="X565" s="464" t="s">
        <v>7012</v>
      </c>
      <c r="Y565" s="458" t="n">
        <v>12000</v>
      </c>
      <c r="Z565" s="457" t="s">
        <v>6638</v>
      </c>
      <c r="AC565" s="431"/>
      <c r="AD565" s="437" t="s">
        <v>7513</v>
      </c>
      <c r="AE565" s="167"/>
      <c r="AF565" s="167"/>
      <c r="AG565" s="167"/>
      <c r="AH565" s="167"/>
      <c r="AI565" s="167"/>
      <c r="AJ565" s="167"/>
      <c r="AK565" s="167"/>
      <c r="AM565" s="157"/>
    </row>
    <row r="566" customFormat="false" ht="12.75" hidden="false" customHeight="true" outlineLevel="0" collapsed="false">
      <c r="A566" s="441" t="n">
        <v>7</v>
      </c>
      <c r="B566" s="157" t="n">
        <v>558</v>
      </c>
      <c r="C566" s="437" t="s">
        <v>7523</v>
      </c>
      <c r="D566" s="157" t="s">
        <v>8234</v>
      </c>
      <c r="E566" s="461" t="s">
        <v>2461</v>
      </c>
      <c r="F566" s="157" t="s">
        <v>8235</v>
      </c>
      <c r="G566" s="445" t="s">
        <v>7011</v>
      </c>
      <c r="H566" s="431" t="n">
        <v>9603</v>
      </c>
      <c r="I566" s="457" t="n">
        <v>0</v>
      </c>
      <c r="J566" s="458" t="n">
        <v>10200</v>
      </c>
      <c r="K566" s="462" t="n">
        <v>11.9470588235294</v>
      </c>
      <c r="L566" s="463" t="n">
        <v>0</v>
      </c>
      <c r="M566" s="463" t="n">
        <v>0.281010996225176</v>
      </c>
      <c r="N566" s="431" t="n">
        <v>1974</v>
      </c>
      <c r="O566" s="446" t="n">
        <v>0</v>
      </c>
      <c r="Q566" s="157" t="n">
        <v>10</v>
      </c>
      <c r="R566" s="157" t="n">
        <v>3</v>
      </c>
      <c r="S566" s="157" t="n">
        <v>56</v>
      </c>
      <c r="T566" s="457" t="s">
        <v>7529</v>
      </c>
      <c r="U566" s="457" t="n">
        <v>396</v>
      </c>
      <c r="V566" s="458" t="n">
        <v>34151</v>
      </c>
      <c r="W566" s="458" t="n">
        <v>34000</v>
      </c>
      <c r="X566" s="464" t="s">
        <v>6643</v>
      </c>
      <c r="Y566" s="458" t="n">
        <v>10000</v>
      </c>
      <c r="Z566" s="457" t="s">
        <v>6638</v>
      </c>
      <c r="AC566" s="431"/>
      <c r="AD566" s="437" t="s">
        <v>8236</v>
      </c>
      <c r="AE566" s="167"/>
      <c r="AF566" s="167"/>
      <c r="AG566" s="167"/>
      <c r="AH566" s="167"/>
      <c r="AI566" s="167"/>
      <c r="AJ566" s="167"/>
      <c r="AK566" s="167"/>
      <c r="AM566" s="157"/>
    </row>
    <row r="567" customFormat="false" ht="12.75" hidden="false" customHeight="true" outlineLevel="0" collapsed="false">
      <c r="A567" s="441" t="n">
        <v>7</v>
      </c>
      <c r="B567" s="157" t="n">
        <v>559</v>
      </c>
      <c r="C567" s="437" t="s">
        <v>7523</v>
      </c>
      <c r="D567" s="157" t="s">
        <v>8237</v>
      </c>
      <c r="E567" s="461" t="s">
        <v>2461</v>
      </c>
      <c r="F567" s="157" t="s">
        <v>8238</v>
      </c>
      <c r="G567" s="431" t="n">
        <v>44.1</v>
      </c>
      <c r="H567" s="431" t="n">
        <v>9603</v>
      </c>
      <c r="I567" s="457" t="n">
        <v>7</v>
      </c>
      <c r="J567" s="458" t="n">
        <v>40296</v>
      </c>
      <c r="K567" s="462" t="n">
        <v>4.64090728608299</v>
      </c>
      <c r="L567" s="463" t="n">
        <v>0</v>
      </c>
      <c r="M567" s="463" t="n">
        <v>0.00235281535746752</v>
      </c>
      <c r="N567" s="431" t="n">
        <v>1963</v>
      </c>
      <c r="O567" s="446" t="n">
        <v>11042</v>
      </c>
      <c r="P567" s="446" t="n">
        <v>5161</v>
      </c>
      <c r="Q567" s="157" t="n">
        <v>15</v>
      </c>
      <c r="R567" s="157" t="n">
        <v>1</v>
      </c>
      <c r="S567" s="157" t="n">
        <v>1</v>
      </c>
      <c r="T567" s="457" t="s">
        <v>7529</v>
      </c>
      <c r="U567" s="457" t="n">
        <v>398</v>
      </c>
      <c r="V567" s="458" t="n">
        <v>66517</v>
      </c>
      <c r="W567" s="458" t="n">
        <v>67000</v>
      </c>
      <c r="X567" s="464" t="s">
        <v>6954</v>
      </c>
      <c r="Y567" s="458" t="n">
        <v>40000</v>
      </c>
      <c r="Z567" s="457" t="s">
        <v>6638</v>
      </c>
      <c r="AC567" s="431"/>
      <c r="AD567" s="437" t="s">
        <v>8239</v>
      </c>
      <c r="AE567" s="167"/>
      <c r="AF567" s="167"/>
      <c r="AG567" s="167"/>
      <c r="AH567" s="167"/>
      <c r="AI567" s="167"/>
      <c r="AJ567" s="167"/>
      <c r="AK567" s="167"/>
      <c r="AM567" s="157"/>
    </row>
    <row r="568" customFormat="false" ht="12.75" hidden="false" customHeight="true" outlineLevel="0" collapsed="false">
      <c r="A568" s="441" t="n">
        <v>7</v>
      </c>
      <c r="B568" s="157" t="n">
        <v>560</v>
      </c>
      <c r="C568" s="437" t="s">
        <v>7523</v>
      </c>
      <c r="D568" s="157" t="s">
        <v>8240</v>
      </c>
      <c r="E568" s="461" t="s">
        <v>2461</v>
      </c>
      <c r="F568" s="157" t="s">
        <v>8241</v>
      </c>
      <c r="G568" s="431" t="n">
        <v>44.1</v>
      </c>
      <c r="H568" s="431" t="n">
        <v>9603</v>
      </c>
      <c r="I568" s="457" t="n">
        <v>0</v>
      </c>
      <c r="J568" s="458" t="n">
        <v>6752</v>
      </c>
      <c r="K568" s="462" t="n">
        <v>7.28672985781991</v>
      </c>
      <c r="L568" s="463" t="n">
        <v>0</v>
      </c>
      <c r="M568" s="463" t="n">
        <v>0</v>
      </c>
      <c r="N568" s="431" t="n">
        <v>1973</v>
      </c>
      <c r="O568" s="446" t="n">
        <v>2832</v>
      </c>
      <c r="Q568" s="157" t="n">
        <v>20</v>
      </c>
      <c r="R568" s="157" t="n">
        <v>14</v>
      </c>
      <c r="S568" s="157" t="n">
        <v>1</v>
      </c>
      <c r="T568" s="457" t="s">
        <v>7529</v>
      </c>
      <c r="U568" s="457" t="n">
        <v>398</v>
      </c>
      <c r="V568" s="458" t="n">
        <v>15625</v>
      </c>
      <c r="W568" s="458" t="n">
        <v>16000</v>
      </c>
      <c r="X568" s="464" t="s">
        <v>6646</v>
      </c>
      <c r="Y568" s="458" t="n">
        <v>7000</v>
      </c>
      <c r="Z568" s="457" t="s">
        <v>6638</v>
      </c>
      <c r="AC568" s="431"/>
      <c r="AD568" s="437" t="s">
        <v>8242</v>
      </c>
      <c r="AE568" s="167"/>
      <c r="AF568" s="167"/>
      <c r="AG568" s="167"/>
      <c r="AH568" s="167"/>
      <c r="AI568" s="167"/>
      <c r="AJ568" s="167"/>
      <c r="AK568" s="167"/>
      <c r="AM568" s="157"/>
    </row>
    <row r="569" customFormat="false" ht="12.75" hidden="false" customHeight="true" outlineLevel="0" collapsed="false">
      <c r="A569" s="441" t="n">
        <v>7</v>
      </c>
      <c r="B569" s="157" t="n">
        <v>561</v>
      </c>
      <c r="C569" s="437" t="s">
        <v>7523</v>
      </c>
      <c r="D569" s="157" t="s">
        <v>8243</v>
      </c>
      <c r="E569" s="461" t="s">
        <v>2461</v>
      </c>
      <c r="F569" s="157" t="s">
        <v>8244</v>
      </c>
      <c r="G569" s="431" t="n">
        <v>44.1</v>
      </c>
      <c r="H569" s="431" t="n">
        <v>9603</v>
      </c>
      <c r="I569" s="457" t="n">
        <v>0</v>
      </c>
      <c r="J569" s="458" t="n">
        <v>8512</v>
      </c>
      <c r="K569" s="462" t="n">
        <v>8.25011748120301</v>
      </c>
      <c r="L569" s="463" t="n">
        <v>0</v>
      </c>
      <c r="M569" s="463" t="n">
        <v>0.0971591313634746</v>
      </c>
      <c r="N569" s="431" t="n">
        <v>1973</v>
      </c>
      <c r="O569" s="446" t="n">
        <v>1054</v>
      </c>
      <c r="Q569" s="157" t="n">
        <v>14</v>
      </c>
      <c r="R569" s="157" t="n">
        <v>3</v>
      </c>
      <c r="S569" s="157" t="n">
        <v>1</v>
      </c>
      <c r="T569" s="457" t="s">
        <v>7529</v>
      </c>
      <c r="U569" s="457" t="n">
        <v>398</v>
      </c>
      <c r="V569" s="458" t="n">
        <v>19718</v>
      </c>
      <c r="W569" s="458" t="n">
        <v>20000</v>
      </c>
      <c r="X569" s="464" t="s">
        <v>6646</v>
      </c>
      <c r="Y569" s="458" t="n">
        <v>9000</v>
      </c>
      <c r="Z569" s="457" t="s">
        <v>6638</v>
      </c>
      <c r="AC569" s="431"/>
      <c r="AD569" s="437"/>
      <c r="AE569" s="167"/>
      <c r="AF569" s="167"/>
      <c r="AG569" s="167"/>
      <c r="AH569" s="167"/>
      <c r="AI569" s="167"/>
      <c r="AJ569" s="167"/>
      <c r="AK569" s="167" t="s">
        <v>8245</v>
      </c>
      <c r="AM569" s="157"/>
    </row>
    <row r="570" customFormat="false" ht="12.75" hidden="false" customHeight="true" outlineLevel="0" collapsed="false">
      <c r="A570" s="441" t="n">
        <v>8</v>
      </c>
      <c r="B570" s="157" t="n">
        <v>562</v>
      </c>
      <c r="C570" s="437" t="s">
        <v>8246</v>
      </c>
      <c r="D570" s="157" t="s">
        <v>7533</v>
      </c>
      <c r="E570" s="461" t="s">
        <v>2461</v>
      </c>
      <c r="F570" s="157" t="s">
        <v>8247</v>
      </c>
      <c r="G570" s="445" t="n">
        <v>44.5</v>
      </c>
      <c r="H570" s="431" t="n">
        <v>9102</v>
      </c>
      <c r="I570" s="457" t="n">
        <v>0</v>
      </c>
      <c r="J570" s="458" t="n">
        <v>59703</v>
      </c>
      <c r="K570" s="462" t="n">
        <v>10.2211949148284</v>
      </c>
      <c r="L570" s="463" t="n">
        <v>0.07</v>
      </c>
      <c r="M570" s="463" t="n">
        <v>0.107030722540132</v>
      </c>
      <c r="N570" s="431" t="n">
        <v>2000</v>
      </c>
      <c r="P570" s="446" t="n">
        <f aca="false">1294*2</f>
        <v>2588</v>
      </c>
      <c r="Q570" s="157" t="n">
        <v>9</v>
      </c>
      <c r="R570" s="157" t="n">
        <v>3</v>
      </c>
      <c r="S570" s="157" t="n">
        <v>1</v>
      </c>
      <c r="T570" s="457" t="s">
        <v>7535</v>
      </c>
      <c r="U570" s="457" t="n">
        <v>396</v>
      </c>
      <c r="V570" s="458" t="n">
        <v>223537</v>
      </c>
      <c r="W570" s="458" t="n">
        <v>220000</v>
      </c>
      <c r="X570" s="464" t="s">
        <v>6717</v>
      </c>
      <c r="Y570" s="458" t="n">
        <f aca="false">ROUND(J570,-4)</f>
        <v>60000</v>
      </c>
      <c r="Z570" s="457" t="s">
        <v>6638</v>
      </c>
      <c r="AA570" s="157" t="n">
        <v>3</v>
      </c>
      <c r="AB570" s="157" t="n">
        <v>3</v>
      </c>
      <c r="AC570" s="431" t="s">
        <v>586</v>
      </c>
      <c r="AD570" s="437" t="s">
        <v>7536</v>
      </c>
      <c r="AE570" s="167"/>
      <c r="AF570" s="167"/>
      <c r="AG570" s="167"/>
      <c r="AH570" s="167"/>
      <c r="AI570" s="167"/>
      <c r="AJ570" s="167"/>
      <c r="AK570" s="167" t="s">
        <v>8248</v>
      </c>
      <c r="AL570" s="157" t="n">
        <f aca="false">IF(AND(ISNUMBER($S570),$S570&gt;0,ISNUMBER($K570),ISNUMBER($J570)),($K570*$J570)/$S570,"")</f>
        <v>610236</v>
      </c>
    </row>
    <row r="571" customFormat="false" ht="12.75" hidden="false" customHeight="true" outlineLevel="0" collapsed="false">
      <c r="A571" s="441" t="n">
        <v>8</v>
      </c>
      <c r="B571" s="157" t="n">
        <v>563</v>
      </c>
      <c r="C571" s="437" t="s">
        <v>8246</v>
      </c>
      <c r="D571" s="157" t="s">
        <v>8249</v>
      </c>
      <c r="E571" s="461" t="s">
        <v>2461</v>
      </c>
      <c r="F571" s="157" t="s">
        <v>8250</v>
      </c>
      <c r="G571" s="445" t="n">
        <v>44.3</v>
      </c>
      <c r="H571" s="431" t="n">
        <v>9102</v>
      </c>
      <c r="I571" s="457" t="n">
        <v>0</v>
      </c>
      <c r="J571" s="458" t="n">
        <v>171880</v>
      </c>
      <c r="K571" s="462" t="n">
        <v>4.40846520828485</v>
      </c>
      <c r="L571" s="463" t="n">
        <v>0</v>
      </c>
      <c r="M571" s="463" t="n">
        <v>0.113762608432853</v>
      </c>
      <c r="N571" s="431" t="n">
        <v>1986</v>
      </c>
      <c r="O571" s="446" t="n">
        <v>2232</v>
      </c>
      <c r="Q571" s="157" t="n">
        <v>28</v>
      </c>
      <c r="R571" s="157" t="n">
        <v>14</v>
      </c>
      <c r="S571" s="157" t="n">
        <v>1</v>
      </c>
      <c r="T571" s="457" t="s">
        <v>7531</v>
      </c>
      <c r="U571" s="457" t="n">
        <v>398</v>
      </c>
      <c r="V571" s="458" t="n">
        <v>311753</v>
      </c>
      <c r="W571" s="458" t="n">
        <v>310000</v>
      </c>
      <c r="X571" s="464" t="s">
        <v>6863</v>
      </c>
      <c r="Y571" s="458" t="n">
        <f aca="false">ROUND(J571,-4)</f>
        <v>170000</v>
      </c>
      <c r="Z571" s="457" t="s">
        <v>6638</v>
      </c>
      <c r="AA571" s="157" t="n">
        <v>3</v>
      </c>
      <c r="AB571" s="157" t="n">
        <v>3</v>
      </c>
      <c r="AC571" s="431" t="s">
        <v>586</v>
      </c>
      <c r="AD571" s="437" t="s">
        <v>8251</v>
      </c>
      <c r="AE571" s="167"/>
      <c r="AF571" s="167"/>
      <c r="AG571" s="167"/>
      <c r="AH571" s="167"/>
      <c r="AI571" s="167"/>
      <c r="AJ571" s="167"/>
      <c r="AK571" s="167" t="s">
        <v>8252</v>
      </c>
      <c r="AL571" s="157" t="n">
        <f aca="false">IF(AND(ISNUMBER($S571),$S571&gt;0,ISNUMBER($K571),ISNUMBER($J571)),($K571*$J571)/$S571,"")</f>
        <v>757727</v>
      </c>
    </row>
    <row r="572" customFormat="false" ht="12.75" hidden="false" customHeight="true" outlineLevel="0" collapsed="false">
      <c r="A572" s="441" t="n">
        <v>8</v>
      </c>
      <c r="B572" s="157" t="n">
        <v>564</v>
      </c>
      <c r="C572" s="437" t="s">
        <v>8246</v>
      </c>
      <c r="D572" s="157" t="s">
        <v>7544</v>
      </c>
      <c r="E572" s="461" t="s">
        <v>2461</v>
      </c>
      <c r="F572" s="157" t="s">
        <v>8253</v>
      </c>
      <c r="G572" s="445" t="n">
        <v>44.4</v>
      </c>
      <c r="H572" s="431" t="n">
        <v>9102</v>
      </c>
      <c r="I572" s="457" t="n">
        <v>0</v>
      </c>
      <c r="J572" s="458" t="n">
        <v>168112</v>
      </c>
      <c r="K572" s="462" t="n">
        <v>4.91016703150281</v>
      </c>
      <c r="L572" s="463" t="n">
        <v>0</v>
      </c>
      <c r="M572" s="463" t="n">
        <v>0.128867852755682</v>
      </c>
      <c r="N572" s="431" t="n">
        <v>1985</v>
      </c>
      <c r="O572" s="446" t="n">
        <f aca="false">3650+1504+400+3422</f>
        <v>8976</v>
      </c>
      <c r="Q572" s="157" t="n">
        <v>20</v>
      </c>
      <c r="R572" s="157" t="n">
        <v>10</v>
      </c>
      <c r="S572" s="157" t="n">
        <v>5</v>
      </c>
      <c r="T572" s="457" t="s">
        <v>7531</v>
      </c>
      <c r="U572" s="457" t="n">
        <v>398</v>
      </c>
      <c r="V572" s="458" t="n">
        <v>339340</v>
      </c>
      <c r="W572" s="458" t="n">
        <v>340000</v>
      </c>
      <c r="X572" s="464" t="s">
        <v>7546</v>
      </c>
      <c r="Y572" s="458" t="n">
        <f aca="false">ROUND(J572,-4)</f>
        <v>170000</v>
      </c>
      <c r="Z572" s="457" t="s">
        <v>6638</v>
      </c>
      <c r="AA572" s="157" t="n">
        <v>3</v>
      </c>
      <c r="AB572" s="157" t="n">
        <v>3</v>
      </c>
      <c r="AC572" s="431" t="s">
        <v>586</v>
      </c>
      <c r="AD572" s="437" t="s">
        <v>7547</v>
      </c>
      <c r="AE572" s="167"/>
      <c r="AF572" s="167"/>
      <c r="AG572" s="167"/>
      <c r="AH572" s="167"/>
      <c r="AI572" s="167"/>
      <c r="AJ572" s="167"/>
      <c r="AK572" s="167" t="s">
        <v>8254</v>
      </c>
      <c r="AL572" s="157" t="n">
        <f aca="false">IF(AND(ISNUMBER($S572),$S572&gt;0,ISNUMBER($K572),ISNUMBER($J572)),($K572*$J572)/$S572,"")</f>
        <v>165091.6</v>
      </c>
    </row>
    <row r="573" customFormat="false" ht="12.75" hidden="false" customHeight="true" outlineLevel="0" collapsed="false">
      <c r="A573" s="441" t="n">
        <v>8</v>
      </c>
      <c r="B573" s="157" t="n">
        <v>565</v>
      </c>
      <c r="C573" s="437" t="s">
        <v>8246</v>
      </c>
      <c r="D573" s="157" t="s">
        <v>8255</v>
      </c>
      <c r="E573" s="461" t="s">
        <v>2461</v>
      </c>
      <c r="F573" s="157" t="s">
        <v>6635</v>
      </c>
      <c r="G573" s="445" t="n">
        <v>44.8</v>
      </c>
      <c r="H573" s="431" t="n">
        <v>9102</v>
      </c>
      <c r="I573" s="457" t="n">
        <v>3</v>
      </c>
      <c r="J573" s="458" t="n">
        <v>1780</v>
      </c>
      <c r="K573" s="462" t="n">
        <v>11.561797752809</v>
      </c>
      <c r="L573" s="463" t="n">
        <v>0</v>
      </c>
      <c r="M573" s="463" t="n">
        <v>0.125364431486881</v>
      </c>
      <c r="N573" s="431" t="n">
        <v>1985</v>
      </c>
      <c r="O573" s="446" t="n">
        <v>502</v>
      </c>
      <c r="Q573" s="157" t="n">
        <v>17</v>
      </c>
      <c r="R573" s="157" t="n">
        <v>10</v>
      </c>
      <c r="S573" s="157" t="n">
        <v>1</v>
      </c>
      <c r="T573" s="457" t="s">
        <v>7529</v>
      </c>
      <c r="U573" s="457" t="n">
        <v>398</v>
      </c>
      <c r="V573" s="458" t="n">
        <v>5810</v>
      </c>
      <c r="W573" s="458" t="n">
        <v>6000</v>
      </c>
      <c r="X573" s="464" t="s">
        <v>6643</v>
      </c>
      <c r="Y573" s="458" t="n">
        <f aca="false">ROUND(J573,-2)</f>
        <v>1800</v>
      </c>
      <c r="Z573" s="457" t="s">
        <v>6638</v>
      </c>
      <c r="AA573" s="157" t="n">
        <v>3</v>
      </c>
      <c r="AB573" s="157" t="n">
        <v>3</v>
      </c>
      <c r="AC573" s="431" t="s">
        <v>586</v>
      </c>
      <c r="AD573" s="437" t="s">
        <v>8256</v>
      </c>
      <c r="AE573" s="167"/>
      <c r="AF573" s="167"/>
      <c r="AG573" s="167"/>
      <c r="AH573" s="167"/>
      <c r="AI573" s="167"/>
      <c r="AJ573" s="167"/>
      <c r="AK573" s="167" t="s">
        <v>8257</v>
      </c>
      <c r="AL573" s="157" t="n">
        <f aca="false">IF(AND(ISNUMBER($S573),$S573&gt;0,ISNUMBER($K573),ISNUMBER($J573)),($K573*$J573)/$S573,"")</f>
        <v>20580</v>
      </c>
    </row>
    <row r="574" customFormat="false" ht="12.75" hidden="false" customHeight="true" outlineLevel="0" collapsed="false">
      <c r="A574" s="441" t="n">
        <v>8</v>
      </c>
      <c r="B574" s="157" t="n">
        <v>566</v>
      </c>
      <c r="C574" s="437" t="s">
        <v>8246</v>
      </c>
      <c r="D574" s="157" t="s">
        <v>6634</v>
      </c>
      <c r="E574" s="461" t="s">
        <v>2461</v>
      </c>
      <c r="F574" s="157" t="s">
        <v>6635</v>
      </c>
      <c r="G574" s="445" t="n">
        <v>44.8</v>
      </c>
      <c r="H574" s="431" t="n">
        <v>9102</v>
      </c>
      <c r="I574" s="457" t="n">
        <v>3</v>
      </c>
      <c r="J574" s="458" t="n">
        <v>1490</v>
      </c>
      <c r="K574" s="462" t="n">
        <v>9.66442953020134</v>
      </c>
      <c r="L574" s="463" t="n">
        <v>0</v>
      </c>
      <c r="M574" s="463" t="n">
        <v>0.173611111111111</v>
      </c>
      <c r="N574" s="431" t="n">
        <v>1985</v>
      </c>
      <c r="O574" s="446" t="n">
        <v>678</v>
      </c>
      <c r="Q574" s="157" t="n">
        <v>17</v>
      </c>
      <c r="R574" s="157" t="n">
        <v>10</v>
      </c>
      <c r="S574" s="157" t="n">
        <v>1</v>
      </c>
      <c r="T574" s="457" t="s">
        <v>7529</v>
      </c>
      <c r="U574" s="457" t="n">
        <v>398</v>
      </c>
      <c r="V574" s="458" t="n">
        <v>5810</v>
      </c>
      <c r="W574" s="458" t="n">
        <v>6000</v>
      </c>
      <c r="X574" s="464" t="s">
        <v>6637</v>
      </c>
      <c r="Y574" s="458" t="n">
        <f aca="false">ROUND(J574,-2)</f>
        <v>1500</v>
      </c>
      <c r="Z574" s="457" t="s">
        <v>6638</v>
      </c>
      <c r="AA574" s="157" t="n">
        <v>3</v>
      </c>
      <c r="AB574" s="157" t="n">
        <v>3</v>
      </c>
      <c r="AC574" s="431" t="s">
        <v>586</v>
      </c>
      <c r="AD574" s="437" t="s">
        <v>6639</v>
      </c>
      <c r="AE574" s="167"/>
      <c r="AF574" s="167"/>
      <c r="AG574" s="167"/>
      <c r="AH574" s="167"/>
      <c r="AI574" s="167"/>
      <c r="AJ574" s="167"/>
      <c r="AK574" s="167" t="s">
        <v>8257</v>
      </c>
      <c r="AL574" s="157" t="n">
        <f aca="false">IF(AND(ISNUMBER($S574),$S574&gt;0,ISNUMBER($K574),ISNUMBER($J574)),($K574*$J574)/$S574,"")</f>
        <v>14400</v>
      </c>
    </row>
    <row r="575" customFormat="false" ht="12.75" hidden="false" customHeight="true" outlineLevel="0" collapsed="false">
      <c r="A575" s="441" t="n">
        <v>8</v>
      </c>
      <c r="B575" s="157" t="n">
        <v>567</v>
      </c>
      <c r="C575" s="437" t="s">
        <v>8246</v>
      </c>
      <c r="D575" s="157" t="s">
        <v>8258</v>
      </c>
      <c r="E575" s="461" t="s">
        <v>2461</v>
      </c>
      <c r="F575" s="157" t="s">
        <v>8259</v>
      </c>
      <c r="G575" s="445" t="n">
        <v>44.4</v>
      </c>
      <c r="H575" s="431" t="n">
        <v>9102</v>
      </c>
      <c r="I575" s="457" t="n">
        <v>0</v>
      </c>
      <c r="J575" s="458" t="n">
        <v>151792</v>
      </c>
      <c r="K575" s="462" t="n">
        <v>6.03927084431327</v>
      </c>
      <c r="L575" s="463" t="n">
        <v>0.0981606408769896</v>
      </c>
      <c r="M575" s="463" t="n">
        <v>0.271489550164555</v>
      </c>
      <c r="N575" s="431" t="n">
        <v>1997</v>
      </c>
      <c r="O575" s="446" t="n">
        <v>15827</v>
      </c>
      <c r="Q575" s="157" t="n">
        <v>26</v>
      </c>
      <c r="R575" s="157" t="n">
        <v>14</v>
      </c>
      <c r="S575" s="157" t="n">
        <v>5</v>
      </c>
      <c r="T575" s="457" t="s">
        <v>7526</v>
      </c>
      <c r="U575" s="457" t="n">
        <v>398</v>
      </c>
      <c r="V575" s="458" t="n">
        <v>358383</v>
      </c>
      <c r="W575" s="458" t="n">
        <v>360000</v>
      </c>
      <c r="X575" s="464" t="s">
        <v>6650</v>
      </c>
      <c r="Y575" s="458" t="n">
        <f aca="false">ROUND(J575,-4)</f>
        <v>150000</v>
      </c>
      <c r="Z575" s="457" t="s">
        <v>6638</v>
      </c>
      <c r="AA575" s="157" t="n">
        <v>3</v>
      </c>
      <c r="AB575" s="157" t="n">
        <v>3</v>
      </c>
      <c r="AC575" s="431" t="s">
        <v>586</v>
      </c>
      <c r="AD575" s="437" t="s">
        <v>8260</v>
      </c>
      <c r="AE575" s="167"/>
      <c r="AF575" s="167"/>
      <c r="AG575" s="167"/>
      <c r="AH575" s="167"/>
      <c r="AI575" s="167"/>
      <c r="AJ575" s="167"/>
      <c r="AK575" s="167"/>
      <c r="AL575" s="157" t="n">
        <f aca="false">IF(AND(ISNUMBER($S575),$S575&gt;0,ISNUMBER($K575),ISNUMBER($J575)),($K575*$J575)/$S575,"")</f>
        <v>183342.6</v>
      </c>
    </row>
    <row r="576" customFormat="false" ht="12.75" hidden="false" customHeight="true" outlineLevel="0" collapsed="false">
      <c r="A576" s="441" t="n">
        <v>8</v>
      </c>
      <c r="B576" s="157" t="n">
        <v>568</v>
      </c>
      <c r="C576" s="437" t="s">
        <v>8246</v>
      </c>
      <c r="D576" s="157" t="s">
        <v>8261</v>
      </c>
      <c r="E576" s="461" t="s">
        <v>2461</v>
      </c>
      <c r="F576" s="157" t="s">
        <v>8262</v>
      </c>
      <c r="G576" s="445" t="n">
        <v>44.2</v>
      </c>
      <c r="H576" s="431" t="n">
        <v>9102</v>
      </c>
      <c r="I576" s="457" t="n">
        <v>0</v>
      </c>
      <c r="J576" s="458" t="n">
        <v>96836</v>
      </c>
      <c r="K576" s="462" t="n">
        <v>3.9702486678508</v>
      </c>
      <c r="L576" s="463" t="n">
        <v>0</v>
      </c>
      <c r="M576" s="463" t="n">
        <v>0</v>
      </c>
      <c r="N576" s="431" t="n">
        <v>1996</v>
      </c>
      <c r="O576" s="446" t="n">
        <v>9601</v>
      </c>
      <c r="Q576" s="157" t="n">
        <v>26</v>
      </c>
      <c r="R576" s="157" t="n">
        <v>14</v>
      </c>
      <c r="S576" s="157" t="n">
        <v>1</v>
      </c>
      <c r="T576" s="457" t="s">
        <v>7531</v>
      </c>
      <c r="U576" s="457" t="n">
        <v>398</v>
      </c>
      <c r="V576" s="458" t="n">
        <v>314024</v>
      </c>
      <c r="W576" s="458" t="n">
        <v>310000</v>
      </c>
      <c r="X576" s="464" t="s">
        <v>6695</v>
      </c>
      <c r="Y576" s="458" t="n">
        <f aca="false">ROUND(J576,-4)</f>
        <v>100000</v>
      </c>
      <c r="Z576" s="457" t="s">
        <v>6638</v>
      </c>
      <c r="AA576" s="157" t="n">
        <v>3</v>
      </c>
      <c r="AB576" s="157" t="n">
        <v>3</v>
      </c>
      <c r="AC576" s="431" t="s">
        <v>586</v>
      </c>
      <c r="AD576" s="437" t="s">
        <v>8263</v>
      </c>
      <c r="AE576" s="167"/>
      <c r="AF576" s="167"/>
      <c r="AG576" s="167"/>
      <c r="AH576" s="167"/>
      <c r="AI576" s="167"/>
      <c r="AJ576" s="167"/>
      <c r="AK576" s="167" t="s">
        <v>8257</v>
      </c>
      <c r="AL576" s="157" t="n">
        <f aca="false">IF(AND(ISNUMBER($S576),$S576&gt;0,ISNUMBER($K576),ISNUMBER($J576)),($K576*$J576)/$S576,"")</f>
        <v>384463</v>
      </c>
    </row>
    <row r="577" customFormat="false" ht="12.75" hidden="false" customHeight="true" outlineLevel="0" collapsed="false">
      <c r="A577" s="441" t="n">
        <v>8</v>
      </c>
      <c r="B577" s="157" t="n">
        <v>569</v>
      </c>
      <c r="C577" s="437" t="s">
        <v>8246</v>
      </c>
      <c r="D577" s="157" t="s">
        <v>8264</v>
      </c>
      <c r="E577" s="461" t="s">
        <v>2461</v>
      </c>
      <c r="F577" s="157" t="s">
        <v>8265</v>
      </c>
      <c r="G577" s="445" t="n">
        <v>44.2</v>
      </c>
      <c r="H577" s="431" t="n">
        <v>9102</v>
      </c>
      <c r="I577" s="457" t="n">
        <v>0</v>
      </c>
      <c r="J577" s="458" t="n">
        <v>22144</v>
      </c>
      <c r="K577" s="462" t="n">
        <v>7.58670520231214</v>
      </c>
      <c r="L577" s="463" t="n">
        <v>0</v>
      </c>
      <c r="M577" s="463" t="n">
        <v>0</v>
      </c>
      <c r="N577" s="431" t="n">
        <v>1980</v>
      </c>
      <c r="O577" s="446" t="n">
        <v>4080</v>
      </c>
      <c r="Q577" s="157" t="n">
        <v>21</v>
      </c>
      <c r="R577" s="157" t="n">
        <v>3</v>
      </c>
      <c r="S577" s="157" t="n">
        <v>1</v>
      </c>
      <c r="T577" s="457" t="s">
        <v>7531</v>
      </c>
      <c r="U577" s="457" t="n">
        <v>398</v>
      </c>
      <c r="V577" s="458" t="n">
        <v>61688</v>
      </c>
      <c r="W577" s="458" t="n">
        <v>60000</v>
      </c>
      <c r="X577" s="464" t="s">
        <v>6664</v>
      </c>
      <c r="Y577" s="458" t="n">
        <f aca="false">ROUND(J577,-3)</f>
        <v>22000</v>
      </c>
      <c r="Z577" s="457" t="s">
        <v>6638</v>
      </c>
      <c r="AA577" s="157" t="n">
        <v>3</v>
      </c>
      <c r="AB577" s="157" t="n">
        <v>3</v>
      </c>
      <c r="AC577" s="431" t="s">
        <v>586</v>
      </c>
      <c r="AD577" s="437"/>
      <c r="AE577" s="167"/>
      <c r="AF577" s="167"/>
      <c r="AG577" s="167"/>
      <c r="AH577" s="167"/>
      <c r="AI577" s="167"/>
      <c r="AJ577" s="167"/>
      <c r="AK577" s="167" t="s">
        <v>8257</v>
      </c>
      <c r="AL577" s="157" t="n">
        <f aca="false">IF(AND(ISNUMBER($S577),$S577&gt;0,ISNUMBER($K577),ISNUMBER($J577)),($K577*$J577)/$S577,"")</f>
        <v>168000</v>
      </c>
    </row>
    <row r="578" customFormat="false" ht="12.75" hidden="false" customHeight="true" outlineLevel="0" collapsed="false">
      <c r="A578" s="441" t="n">
        <v>8</v>
      </c>
      <c r="B578" s="157" t="n">
        <v>570</v>
      </c>
      <c r="C578" s="437" t="s">
        <v>8266</v>
      </c>
      <c r="D578" s="157" t="s">
        <v>8267</v>
      </c>
      <c r="E578" s="461" t="s">
        <v>2461</v>
      </c>
      <c r="F578" s="157" t="s">
        <v>8268</v>
      </c>
      <c r="G578" s="445" t="n">
        <v>44.2</v>
      </c>
      <c r="H578" s="431" t="n">
        <v>9102</v>
      </c>
      <c r="I578" s="457" t="n">
        <v>0</v>
      </c>
      <c r="J578" s="458" t="n">
        <v>236800</v>
      </c>
      <c r="K578" s="462" t="n">
        <f aca="false">870223/J578</f>
        <v>3.67492820945946</v>
      </c>
      <c r="L578" s="463" t="n">
        <v>0.35</v>
      </c>
      <c r="M578" s="463" t="n">
        <f aca="false">(870223-843917)/870223</f>
        <v>0.0302290332477997</v>
      </c>
      <c r="N578" s="431" t="n">
        <v>1996</v>
      </c>
      <c r="O578" s="446" t="n">
        <v>10121</v>
      </c>
      <c r="Q578" s="157" t="n">
        <v>32</v>
      </c>
      <c r="R578" s="157" t="n">
        <v>14</v>
      </c>
      <c r="S578" s="157" t="n">
        <v>5</v>
      </c>
      <c r="T578" s="457" t="s">
        <v>7542</v>
      </c>
      <c r="U578" s="457" t="n">
        <v>398</v>
      </c>
      <c r="V578" s="458" t="n">
        <v>492234</v>
      </c>
      <c r="W578" s="458" t="n">
        <v>500000</v>
      </c>
      <c r="X578" s="464" t="n">
        <f aca="false">5/2</f>
        <v>2.5</v>
      </c>
      <c r="Y578" s="458" t="n">
        <v>200000</v>
      </c>
      <c r="Z578" s="457" t="s">
        <v>461</v>
      </c>
      <c r="AA578" s="157" t="n">
        <v>3</v>
      </c>
      <c r="AB578" s="157" t="n">
        <v>3</v>
      </c>
      <c r="AC578" s="431" t="n">
        <v>33</v>
      </c>
      <c r="AD578" s="437" t="s">
        <v>8269</v>
      </c>
      <c r="AE578" s="167" t="n">
        <v>3.67</v>
      </c>
      <c r="AF578" s="167"/>
      <c r="AG578" s="167" t="n">
        <f aca="false">843917/236800</f>
        <v>3.56383868243243</v>
      </c>
      <c r="AH578" s="167" t="n">
        <f aca="false">AE578-AG578</f>
        <v>0.106161317567568</v>
      </c>
      <c r="AI578" s="167"/>
      <c r="AJ578" s="167"/>
      <c r="AK578" s="167" t="s">
        <v>8270</v>
      </c>
      <c r="AL578" s="157" t="n">
        <f aca="false">IF(AND(ISNUMBER($S578),$S578&gt;0,ISNUMBER($K578),ISNUMBER($J578)),($K578*$J578)/$S578,"")</f>
        <v>174044.6</v>
      </c>
    </row>
    <row r="579" customFormat="false" ht="12.75" hidden="false" customHeight="true" outlineLevel="0" collapsed="false">
      <c r="A579" s="441" t="n">
        <v>8</v>
      </c>
      <c r="B579" s="157" t="n">
        <v>571</v>
      </c>
      <c r="C579" s="437" t="s">
        <v>8246</v>
      </c>
      <c r="D579" s="157" t="s">
        <v>6644</v>
      </c>
      <c r="E579" s="461" t="s">
        <v>2461</v>
      </c>
      <c r="F579" s="157" t="s">
        <v>6645</v>
      </c>
      <c r="G579" s="445" t="n">
        <v>44.2</v>
      </c>
      <c r="H579" s="431" t="n">
        <v>9102</v>
      </c>
      <c r="I579" s="457" t="n">
        <v>0</v>
      </c>
      <c r="J579" s="458" t="n">
        <v>19715</v>
      </c>
      <c r="K579" s="462" t="n">
        <v>5.96500126807</v>
      </c>
      <c r="L579" s="463" t="n">
        <v>0</v>
      </c>
      <c r="M579" s="463" t="n">
        <v>0</v>
      </c>
      <c r="N579" s="431" t="n">
        <v>1985</v>
      </c>
      <c r="O579" s="446" t="n">
        <f aca="false">2371+1772</f>
        <v>4143</v>
      </c>
      <c r="Q579" s="157" t="n">
        <v>26</v>
      </c>
      <c r="R579" s="157" t="n">
        <v>3</v>
      </c>
      <c r="S579" s="157" t="n">
        <v>1</v>
      </c>
      <c r="T579" s="457" t="s">
        <v>7531</v>
      </c>
      <c r="U579" s="457" t="n">
        <v>398</v>
      </c>
      <c r="V579" s="458" t="n">
        <v>46294</v>
      </c>
      <c r="W579" s="458" t="n">
        <v>46000</v>
      </c>
      <c r="X579" s="464" t="s">
        <v>6646</v>
      </c>
      <c r="Y579" s="458" t="n">
        <f aca="false">ROUND(J579,-3)</f>
        <v>20000</v>
      </c>
      <c r="Z579" s="457" t="s">
        <v>6638</v>
      </c>
      <c r="AA579" s="157" t="n">
        <v>3</v>
      </c>
      <c r="AB579" s="157" t="n">
        <v>3</v>
      </c>
      <c r="AC579" s="431" t="s">
        <v>586</v>
      </c>
      <c r="AD579" s="437"/>
      <c r="AE579" s="167"/>
      <c r="AF579" s="167"/>
      <c r="AG579" s="167"/>
      <c r="AH579" s="167"/>
      <c r="AI579" s="167"/>
      <c r="AJ579" s="167"/>
      <c r="AK579" s="167" t="s">
        <v>8257</v>
      </c>
      <c r="AL579" s="157" t="n">
        <f aca="false">IF(AND(ISNUMBER($S579),$S579&gt;0,ISNUMBER($K579),ISNUMBER($J579)),($K579*$J579)/$S579,"")</f>
        <v>117600</v>
      </c>
    </row>
    <row r="580" customFormat="false" ht="12.75" hidden="false" customHeight="true" outlineLevel="0" collapsed="false">
      <c r="A580" s="441" t="n">
        <v>8</v>
      </c>
      <c r="B580" s="157" t="n">
        <v>572</v>
      </c>
      <c r="C580" s="437" t="s">
        <v>8246</v>
      </c>
      <c r="D580" s="157" t="s">
        <v>6648</v>
      </c>
      <c r="E580" s="461" t="s">
        <v>2461</v>
      </c>
      <c r="F580" s="157" t="s">
        <v>6649</v>
      </c>
      <c r="G580" s="445" t="n">
        <v>44.2</v>
      </c>
      <c r="H580" s="431" t="n">
        <v>9102</v>
      </c>
      <c r="I580" s="457" t="n">
        <v>0</v>
      </c>
      <c r="J580" s="458" t="n">
        <v>18782</v>
      </c>
      <c r="K580" s="462" t="n">
        <v>4.51160685762965</v>
      </c>
      <c r="L580" s="463" t="n">
        <v>0</v>
      </c>
      <c r="M580" s="463" t="n">
        <v>0</v>
      </c>
      <c r="N580" s="431" t="n">
        <v>1999</v>
      </c>
      <c r="O580" s="446" t="n">
        <f aca="false">4482+1185</f>
        <v>5667</v>
      </c>
      <c r="Q580" s="157" t="n">
        <v>25</v>
      </c>
      <c r="R580" s="157" t="n">
        <v>14</v>
      </c>
      <c r="S580" s="157" t="n">
        <v>5</v>
      </c>
      <c r="T580" s="457" t="s">
        <v>7531</v>
      </c>
      <c r="U580" s="457" t="n">
        <v>398</v>
      </c>
      <c r="V580" s="458" t="n">
        <v>87567</v>
      </c>
      <c r="W580" s="458" t="n">
        <v>90000</v>
      </c>
      <c r="X580" s="464" t="s">
        <v>6650</v>
      </c>
      <c r="Y580" s="458" t="n">
        <f aca="false">ROUND(J580,-3)</f>
        <v>19000</v>
      </c>
      <c r="Z580" s="457" t="s">
        <v>6638</v>
      </c>
      <c r="AA580" s="157" t="n">
        <v>3</v>
      </c>
      <c r="AB580" s="157" t="n">
        <v>3</v>
      </c>
      <c r="AC580" s="431" t="s">
        <v>586</v>
      </c>
      <c r="AD580" s="437" t="s">
        <v>6651</v>
      </c>
      <c r="AE580" s="167"/>
      <c r="AF580" s="167"/>
      <c r="AG580" s="167"/>
      <c r="AH580" s="167"/>
      <c r="AI580" s="167"/>
      <c r="AJ580" s="167"/>
      <c r="AK580" s="167" t="s">
        <v>8271</v>
      </c>
      <c r="AL580" s="157" t="n">
        <f aca="false">IF(AND(ISNUMBER($S580),$S580&gt;0,ISNUMBER($K580),ISNUMBER($J580)),($K580*$J580)/$S580,"")</f>
        <v>16947.4</v>
      </c>
    </row>
    <row r="581" customFormat="false" ht="12.75" hidden="false" customHeight="true" outlineLevel="0" collapsed="false">
      <c r="A581" s="441" t="n">
        <v>8</v>
      </c>
      <c r="B581" s="157" t="n">
        <v>573</v>
      </c>
      <c r="C581" s="437" t="s">
        <v>8246</v>
      </c>
      <c r="D581" s="157" t="s">
        <v>8272</v>
      </c>
      <c r="E581" s="461" t="s">
        <v>2461</v>
      </c>
      <c r="F581" s="157" t="s">
        <v>8273</v>
      </c>
      <c r="G581" s="445" t="n">
        <v>44.2</v>
      </c>
      <c r="H581" s="431" t="n">
        <v>9102</v>
      </c>
      <c r="I581" s="457" t="n">
        <v>0</v>
      </c>
      <c r="J581" s="458" t="n">
        <v>83072</v>
      </c>
      <c r="K581" s="462" t="n">
        <v>3.9160126155624</v>
      </c>
      <c r="L581" s="463" t="n">
        <v>0</v>
      </c>
      <c r="M581" s="463" t="n">
        <v>0.0332112962672643</v>
      </c>
      <c r="N581" s="431" t="n">
        <v>1984</v>
      </c>
      <c r="O581" s="446" t="n">
        <f aca="false">499+1123+9724</f>
        <v>11346</v>
      </c>
      <c r="P581" s="446" t="n">
        <f aca="false">2092+14006</f>
        <v>16098</v>
      </c>
      <c r="Q581" s="157" t="n">
        <v>25</v>
      </c>
      <c r="R581" s="157" t="n">
        <v>10</v>
      </c>
      <c r="S581" s="157" t="n">
        <v>1</v>
      </c>
      <c r="T581" s="457" t="s">
        <v>7531</v>
      </c>
      <c r="U581" s="457" t="n">
        <v>398</v>
      </c>
      <c r="V581" s="458" t="n">
        <v>174895</v>
      </c>
      <c r="W581" s="458" t="n">
        <v>170000</v>
      </c>
      <c r="X581" s="464" t="s">
        <v>6754</v>
      </c>
      <c r="Y581" s="458" t="n">
        <f aca="false">ROUND(J581,-4)</f>
        <v>80000</v>
      </c>
      <c r="Z581" s="457" t="s">
        <v>6638</v>
      </c>
      <c r="AA581" s="157" t="n">
        <v>3</v>
      </c>
      <c r="AB581" s="157" t="n">
        <v>3</v>
      </c>
      <c r="AC581" s="431" t="s">
        <v>586</v>
      </c>
      <c r="AD581" s="437" t="s">
        <v>8274</v>
      </c>
      <c r="AE581" s="167"/>
      <c r="AF581" s="167"/>
      <c r="AG581" s="167"/>
      <c r="AH581" s="167"/>
      <c r="AI581" s="167"/>
      <c r="AJ581" s="167"/>
      <c r="AK581" s="167" t="s">
        <v>8275</v>
      </c>
      <c r="AL581" s="157" t="n">
        <f aca="false">IF(AND(ISNUMBER($S581),$S581&gt;0,ISNUMBER($K581),ISNUMBER($J581)),($K581*$J581)/$S581,"")</f>
        <v>325311</v>
      </c>
    </row>
    <row r="582" customFormat="false" ht="12.75" hidden="false" customHeight="true" outlineLevel="0" collapsed="false">
      <c r="A582" s="441" t="n">
        <v>8</v>
      </c>
      <c r="B582" s="157" t="n">
        <v>574</v>
      </c>
      <c r="C582" s="437" t="s">
        <v>8246</v>
      </c>
      <c r="D582" s="157" t="s">
        <v>6657</v>
      </c>
      <c r="E582" s="461" t="s">
        <v>2461</v>
      </c>
      <c r="F582" s="157" t="s">
        <v>6658</v>
      </c>
      <c r="G582" s="445" t="n">
        <v>44.2</v>
      </c>
      <c r="H582" s="431" t="n">
        <v>9102</v>
      </c>
      <c r="I582" s="457" t="n">
        <v>0</v>
      </c>
      <c r="J582" s="458" t="n">
        <v>24319</v>
      </c>
      <c r="K582" s="462" t="n">
        <v>6.90817879024631</v>
      </c>
      <c r="L582" s="463" t="n">
        <v>0</v>
      </c>
      <c r="M582" s="463" t="n">
        <v>0</v>
      </c>
      <c r="N582" s="431" t="n">
        <v>1983</v>
      </c>
      <c r="O582" s="446" t="n">
        <v>462</v>
      </c>
      <c r="P582" s="446" t="n">
        <v>3519</v>
      </c>
      <c r="Q582" s="157" t="n">
        <v>23</v>
      </c>
      <c r="R582" s="157" t="n">
        <v>7</v>
      </c>
      <c r="S582" s="157" t="n">
        <v>1</v>
      </c>
      <c r="T582" s="457" t="s">
        <v>7531</v>
      </c>
      <c r="U582" s="457" t="n">
        <v>398</v>
      </c>
      <c r="V582" s="458" t="n">
        <v>100126</v>
      </c>
      <c r="W582" s="458" t="n">
        <v>100000</v>
      </c>
      <c r="X582" s="464" t="s">
        <v>6659</v>
      </c>
      <c r="Y582" s="458" t="n">
        <f aca="false">ROUND(J582,-3)</f>
        <v>24000</v>
      </c>
      <c r="Z582" s="457" t="s">
        <v>6638</v>
      </c>
      <c r="AA582" s="157" t="n">
        <v>3</v>
      </c>
      <c r="AB582" s="157" t="n">
        <v>3</v>
      </c>
      <c r="AC582" s="431" t="s">
        <v>586</v>
      </c>
      <c r="AD582" s="437" t="s">
        <v>6660</v>
      </c>
      <c r="AE582" s="167"/>
      <c r="AF582" s="167"/>
      <c r="AG582" s="167"/>
      <c r="AH582" s="167"/>
      <c r="AI582" s="167"/>
      <c r="AJ582" s="167"/>
      <c r="AK582" s="167" t="s">
        <v>8257</v>
      </c>
      <c r="AL582" s="157" t="n">
        <f aca="false">IF(AND(ISNUMBER($S582),$S582&gt;0,ISNUMBER($K582),ISNUMBER($J582)),($K582*$J582)/$S582,"")</f>
        <v>168000</v>
      </c>
    </row>
    <row r="583" customFormat="false" ht="12.75" hidden="false" customHeight="true" outlineLevel="0" collapsed="false">
      <c r="A583" s="441" t="n">
        <v>8</v>
      </c>
      <c r="B583" s="157" t="n">
        <v>575</v>
      </c>
      <c r="C583" s="437" t="s">
        <v>8246</v>
      </c>
      <c r="D583" s="157" t="s">
        <v>7553</v>
      </c>
      <c r="E583" s="461" t="s">
        <v>2461</v>
      </c>
      <c r="F583" s="157" t="s">
        <v>8276</v>
      </c>
      <c r="G583" s="445" t="n">
        <v>44.2</v>
      </c>
      <c r="H583" s="431" t="n">
        <v>9102</v>
      </c>
      <c r="I583" s="457" t="n">
        <v>0</v>
      </c>
      <c r="J583" s="458" t="n">
        <v>48000</v>
      </c>
      <c r="K583" s="462" t="n">
        <v>4.84964583333333</v>
      </c>
      <c r="L583" s="463" t="n">
        <v>0.5</v>
      </c>
      <c r="M583" s="463" t="n">
        <v>0.0530880691459428</v>
      </c>
      <c r="N583" s="431" t="n">
        <v>1973</v>
      </c>
      <c r="O583" s="446" t="n">
        <v>5467</v>
      </c>
      <c r="Q583" s="157" t="n">
        <v>26</v>
      </c>
      <c r="R583" s="157" t="n">
        <v>10</v>
      </c>
      <c r="S583" s="157" t="n">
        <v>3</v>
      </c>
      <c r="T583" s="457" t="s">
        <v>7531</v>
      </c>
      <c r="U583" s="457" t="n">
        <v>398</v>
      </c>
      <c r="V583" s="458" t="n">
        <v>104089</v>
      </c>
      <c r="W583" s="458" t="n">
        <v>100000</v>
      </c>
      <c r="X583" s="464" t="s">
        <v>6700</v>
      </c>
      <c r="Y583" s="458" t="n">
        <f aca="false">ROUND(J583,-3)</f>
        <v>48000</v>
      </c>
      <c r="Z583" s="457" t="s">
        <v>6638</v>
      </c>
      <c r="AA583" s="157" t="n">
        <v>3</v>
      </c>
      <c r="AB583" s="157" t="n">
        <v>3</v>
      </c>
      <c r="AC583" s="431" t="s">
        <v>586</v>
      </c>
      <c r="AD583" s="437" t="s">
        <v>7555</v>
      </c>
      <c r="AE583" s="167"/>
      <c r="AF583" s="167"/>
      <c r="AG583" s="167"/>
      <c r="AH583" s="167"/>
      <c r="AI583" s="167"/>
      <c r="AJ583" s="167"/>
      <c r="AK583" s="167" t="s">
        <v>8271</v>
      </c>
      <c r="AL583" s="157" t="n">
        <f aca="false">IF(AND(ISNUMBER($S583),$S583&gt;0,ISNUMBER($K583),ISNUMBER($J583)),($K583*$J583)/$S583,"")</f>
        <v>77594.3333333333</v>
      </c>
    </row>
    <row r="584" customFormat="false" ht="12.75" hidden="false" customHeight="true" outlineLevel="0" collapsed="false">
      <c r="A584" s="441" t="n">
        <v>8</v>
      </c>
      <c r="B584" s="157" t="n">
        <v>576</v>
      </c>
      <c r="C584" s="437" t="s">
        <v>8246</v>
      </c>
      <c r="D584" s="157" t="s">
        <v>7561</v>
      </c>
      <c r="E584" s="461" t="s">
        <v>2461</v>
      </c>
      <c r="F584" s="157" t="s">
        <v>8277</v>
      </c>
      <c r="G584" s="445" t="n">
        <v>44.2</v>
      </c>
      <c r="H584" s="431" t="n">
        <v>9102</v>
      </c>
      <c r="I584" s="457" t="n">
        <v>0</v>
      </c>
      <c r="J584" s="458" t="n">
        <v>57300</v>
      </c>
      <c r="K584" s="462" t="n">
        <v>6.58970331588133</v>
      </c>
      <c r="L584" s="463" t="n">
        <v>0</v>
      </c>
      <c r="M584" s="463" t="n">
        <v>0.198861198654625</v>
      </c>
      <c r="N584" s="431" t="n">
        <v>1973</v>
      </c>
      <c r="O584" s="446" t="n">
        <v>14305</v>
      </c>
      <c r="Q584" s="157" t="n">
        <v>14</v>
      </c>
      <c r="R584" s="157" t="n">
        <v>10</v>
      </c>
      <c r="S584" s="157" t="n">
        <v>7</v>
      </c>
      <c r="T584" s="457" t="s">
        <v>7531</v>
      </c>
      <c r="U584" s="457" t="n">
        <v>397</v>
      </c>
      <c r="V584" s="458" t="n">
        <v>169147</v>
      </c>
      <c r="W584" s="458" t="n">
        <v>170000</v>
      </c>
      <c r="X584" s="464" t="s">
        <v>7563</v>
      </c>
      <c r="Y584" s="458" t="n">
        <f aca="false">ROUND(J584,-4)</f>
        <v>60000</v>
      </c>
      <c r="Z584" s="457" t="s">
        <v>6638</v>
      </c>
      <c r="AA584" s="157" t="n">
        <v>3</v>
      </c>
      <c r="AB584" s="157" t="n">
        <v>3</v>
      </c>
      <c r="AC584" s="431" t="s">
        <v>586</v>
      </c>
      <c r="AD584" s="437" t="s">
        <v>7564</v>
      </c>
      <c r="AE584" s="167"/>
      <c r="AF584" s="167"/>
      <c r="AG584" s="167"/>
      <c r="AH584" s="167"/>
      <c r="AI584" s="167"/>
      <c r="AJ584" s="167"/>
      <c r="AK584" s="167" t="s">
        <v>8278</v>
      </c>
      <c r="AL584" s="157" t="n">
        <f aca="false">IF(AND(ISNUMBER($S584),$S584&gt;0,ISNUMBER($K584),ISNUMBER($J584)),($K584*$J584)/$S584,"")</f>
        <v>53941.4285714286</v>
      </c>
    </row>
    <row r="585" customFormat="false" ht="12.75" hidden="false" customHeight="true" outlineLevel="0" collapsed="false">
      <c r="A585" s="441" t="n">
        <v>8</v>
      </c>
      <c r="B585" s="157" t="n">
        <v>577</v>
      </c>
      <c r="C585" s="437" t="s">
        <v>8246</v>
      </c>
      <c r="D585" s="157" t="s">
        <v>8279</v>
      </c>
      <c r="E585" s="461" t="s">
        <v>2461</v>
      </c>
      <c r="F585" s="157" t="s">
        <v>8280</v>
      </c>
      <c r="G585" s="445" t="n">
        <v>44.2</v>
      </c>
      <c r="H585" s="431" t="n">
        <v>9102</v>
      </c>
      <c r="I585" s="457" t="n">
        <v>0</v>
      </c>
      <c r="J585" s="458" t="n">
        <v>25095</v>
      </c>
      <c r="K585" s="462" t="n">
        <v>2.05487148834429</v>
      </c>
      <c r="L585" s="463" t="n">
        <v>0</v>
      </c>
      <c r="M585" s="463" t="n">
        <v>0.356817344425699</v>
      </c>
      <c r="N585" s="431" t="n">
        <v>1969</v>
      </c>
      <c r="O585" s="446" t="n">
        <v>2430</v>
      </c>
      <c r="Q585" s="157" t="n">
        <v>24</v>
      </c>
      <c r="R585" s="157" t="n">
        <v>7</v>
      </c>
      <c r="S585" s="157" t="n">
        <v>1</v>
      </c>
      <c r="T585" s="457" t="s">
        <v>7531</v>
      </c>
      <c r="U585" s="457" t="n">
        <v>398</v>
      </c>
      <c r="V585" s="458" t="n">
        <v>72790</v>
      </c>
      <c r="W585" s="458" t="n">
        <v>70000</v>
      </c>
      <c r="X585" s="464" t="s">
        <v>6837</v>
      </c>
      <c r="Y585" s="458" t="n">
        <f aca="false">ROUND(J585,-3)</f>
        <v>25000</v>
      </c>
      <c r="Z585" s="457" t="s">
        <v>6638</v>
      </c>
      <c r="AA585" s="157" t="n">
        <v>2</v>
      </c>
      <c r="AB585" s="157" t="n">
        <v>3</v>
      </c>
      <c r="AC585" s="431" t="s">
        <v>537</v>
      </c>
      <c r="AD585" s="437" t="s">
        <v>8281</v>
      </c>
      <c r="AE585" s="167"/>
      <c r="AF585" s="167"/>
      <c r="AG585" s="167"/>
      <c r="AH585" s="167"/>
      <c r="AI585" s="167"/>
      <c r="AJ585" s="167"/>
      <c r="AK585" s="167" t="s">
        <v>8282</v>
      </c>
      <c r="AL585" s="157" t="n">
        <f aca="false">IF(AND(ISNUMBER($S585),$S585&gt;0,ISNUMBER($K585),ISNUMBER($J585)),($K585*$J585)/$S585,"")</f>
        <v>51567</v>
      </c>
    </row>
    <row r="586" customFormat="false" ht="12.75" hidden="false" customHeight="true" outlineLevel="0" collapsed="false">
      <c r="A586" s="441" t="n">
        <v>8</v>
      </c>
      <c r="B586" s="157" t="n">
        <v>578</v>
      </c>
      <c r="C586" s="437" t="s">
        <v>8246</v>
      </c>
      <c r="D586" s="157" t="s">
        <v>8283</v>
      </c>
      <c r="E586" s="461" t="s">
        <v>2461</v>
      </c>
      <c r="F586" s="157" t="s">
        <v>8284</v>
      </c>
      <c r="G586" s="445" t="n">
        <v>44.2</v>
      </c>
      <c r="H586" s="431" t="n">
        <v>9102</v>
      </c>
      <c r="I586" s="457" t="n">
        <v>0</v>
      </c>
      <c r="J586" s="458" t="n">
        <v>10604</v>
      </c>
      <c r="K586" s="462" t="n">
        <v>8.48736325914749</v>
      </c>
      <c r="L586" s="463" t="n">
        <v>0</v>
      </c>
      <c r="M586" s="463" t="n">
        <v>0</v>
      </c>
      <c r="N586" s="431" t="n">
        <v>1994</v>
      </c>
      <c r="O586" s="446" t="n">
        <v>3059</v>
      </c>
      <c r="Q586" s="157" t="n">
        <v>21</v>
      </c>
      <c r="R586" s="157" t="n">
        <v>6</v>
      </c>
      <c r="S586" s="157" t="n">
        <v>2</v>
      </c>
      <c r="T586" s="457" t="s">
        <v>7531</v>
      </c>
      <c r="U586" s="457" t="n">
        <v>332</v>
      </c>
      <c r="V586" s="458" t="n">
        <v>56150</v>
      </c>
      <c r="W586" s="458" t="n">
        <v>60000</v>
      </c>
      <c r="X586" s="464" t="s">
        <v>6654</v>
      </c>
      <c r="Y586" s="458" t="n">
        <f aca="false">ROUND(J586,-3)</f>
        <v>11000</v>
      </c>
      <c r="Z586" s="457" t="s">
        <v>6638</v>
      </c>
      <c r="AA586" s="157" t="n">
        <v>3</v>
      </c>
      <c r="AB586" s="157" t="n">
        <v>3</v>
      </c>
      <c r="AC586" s="431" t="n">
        <v>33</v>
      </c>
      <c r="AD586" s="437"/>
      <c r="AE586" s="167"/>
      <c r="AF586" s="167"/>
      <c r="AG586" s="167"/>
      <c r="AH586" s="167"/>
      <c r="AI586" s="167"/>
      <c r="AJ586" s="167"/>
      <c r="AK586" s="167"/>
      <c r="AL586" s="157" t="n">
        <f aca="false">IF(AND(ISNUMBER($S586),$S586&gt;0,ISNUMBER($K586),ISNUMBER($J586)),($K586*$J586)/$S586,"")</f>
        <v>45000</v>
      </c>
    </row>
    <row r="587" customFormat="false" ht="12.75" hidden="false" customHeight="true" outlineLevel="0" collapsed="false">
      <c r="A587" s="441" t="n">
        <v>8</v>
      </c>
      <c r="B587" s="157" t="n">
        <v>579</v>
      </c>
      <c r="C587" s="437" t="s">
        <v>8246</v>
      </c>
      <c r="D587" s="157" t="s">
        <v>8285</v>
      </c>
      <c r="E587" s="461" t="s">
        <v>2461</v>
      </c>
      <c r="F587" s="157" t="s">
        <v>8286</v>
      </c>
      <c r="G587" s="445" t="n">
        <v>44.2</v>
      </c>
      <c r="H587" s="431" t="n">
        <v>9102</v>
      </c>
      <c r="I587" s="457" t="n">
        <v>0</v>
      </c>
      <c r="J587" s="458" t="n">
        <v>14270</v>
      </c>
      <c r="K587" s="462" t="n">
        <v>6.20882971268395</v>
      </c>
      <c r="L587" s="463" t="n">
        <v>0</v>
      </c>
      <c r="M587" s="463" t="n">
        <v>0.280112866817156</v>
      </c>
      <c r="N587" s="431" t="n">
        <v>1987</v>
      </c>
      <c r="P587" s="446" t="n">
        <v>6822</v>
      </c>
      <c r="Q587" s="157" t="n">
        <v>16</v>
      </c>
      <c r="R587" s="157" t="n">
        <v>3</v>
      </c>
      <c r="S587" s="157" t="n">
        <v>1</v>
      </c>
      <c r="T587" s="457" t="s">
        <v>7531</v>
      </c>
      <c r="U587" s="457" t="n">
        <v>397</v>
      </c>
      <c r="V587" s="458" t="n">
        <v>48567</v>
      </c>
      <c r="W587" s="458" t="n">
        <v>49000</v>
      </c>
      <c r="X587" s="464" t="s">
        <v>7065</v>
      </c>
      <c r="Y587" s="458" t="n">
        <f aca="false">ROUND(J587,-3)</f>
        <v>14000</v>
      </c>
      <c r="Z587" s="457" t="s">
        <v>6638</v>
      </c>
      <c r="AA587" s="157" t="n">
        <v>3</v>
      </c>
      <c r="AB587" s="157" t="n">
        <v>3</v>
      </c>
      <c r="AC587" s="431" t="s">
        <v>586</v>
      </c>
      <c r="AD587" s="437" t="s">
        <v>8287</v>
      </c>
      <c r="AE587" s="167"/>
      <c r="AF587" s="167"/>
      <c r="AG587" s="167"/>
      <c r="AH587" s="167"/>
      <c r="AI587" s="167"/>
      <c r="AJ587" s="167"/>
      <c r="AK587" s="167" t="s">
        <v>8288</v>
      </c>
      <c r="AL587" s="157" t="n">
        <f aca="false">IF(AND(ISNUMBER($S587),$S587&gt;0,ISNUMBER($K587),ISNUMBER($J587)),($K587*$J587)/$S587,"")</f>
        <v>88600</v>
      </c>
    </row>
    <row r="588" customFormat="false" ht="12.75" hidden="false" customHeight="true" outlineLevel="0" collapsed="false">
      <c r="A588" s="441" t="n">
        <v>8</v>
      </c>
      <c r="B588" s="157" t="n">
        <v>580</v>
      </c>
      <c r="C588" s="437" t="s">
        <v>8246</v>
      </c>
      <c r="D588" s="157" t="s">
        <v>7567</v>
      </c>
      <c r="E588" s="461" t="s">
        <v>2461</v>
      </c>
      <c r="F588" s="157" t="s">
        <v>8289</v>
      </c>
      <c r="G588" s="445" t="n">
        <v>44.1</v>
      </c>
      <c r="H588" s="431" t="n">
        <v>9102</v>
      </c>
      <c r="I588" s="457" t="n">
        <v>0</v>
      </c>
      <c r="J588" s="458" t="n">
        <v>53947</v>
      </c>
      <c r="K588" s="462" t="n">
        <v>5.0716443917178</v>
      </c>
      <c r="L588" s="463" t="n">
        <v>0</v>
      </c>
      <c r="M588" s="463" t="n">
        <v>0</v>
      </c>
      <c r="N588" s="431" t="n">
        <v>1999</v>
      </c>
      <c r="O588" s="446" t="n">
        <v>2507</v>
      </c>
      <c r="Q588" s="157" t="n">
        <v>20</v>
      </c>
      <c r="R588" s="157" t="n">
        <v>14</v>
      </c>
      <c r="S588" s="157" t="n">
        <v>1</v>
      </c>
      <c r="T588" s="457" t="s">
        <v>7531</v>
      </c>
      <c r="U588" s="457" t="n">
        <v>398</v>
      </c>
      <c r="V588" s="458" t="n">
        <v>74836</v>
      </c>
      <c r="W588" s="458" t="n">
        <v>70000</v>
      </c>
      <c r="X588" s="464" t="s">
        <v>6710</v>
      </c>
      <c r="Y588" s="458" t="n">
        <f aca="false">ROUND(J588,-4)</f>
        <v>50000</v>
      </c>
      <c r="Z588" s="457" t="s">
        <v>6638</v>
      </c>
      <c r="AA588" s="157" t="n">
        <v>3</v>
      </c>
      <c r="AB588" s="157" t="n">
        <v>3</v>
      </c>
      <c r="AC588" s="431" t="s">
        <v>586</v>
      </c>
      <c r="AD588" s="437" t="s">
        <v>7569</v>
      </c>
      <c r="AE588" s="167"/>
      <c r="AF588" s="167"/>
      <c r="AG588" s="167"/>
      <c r="AH588" s="167"/>
      <c r="AI588" s="167"/>
      <c r="AJ588" s="167"/>
      <c r="AK588" s="167" t="s">
        <v>8290</v>
      </c>
      <c r="AL588" s="157" t="n">
        <f aca="false">IF(AND(ISNUMBER($S588),$S588&gt;0,ISNUMBER($K588),ISNUMBER($J588)),($K588*$J588)/$S588,"")</f>
        <v>273600</v>
      </c>
    </row>
    <row r="589" customFormat="false" ht="12.75" hidden="false" customHeight="true" outlineLevel="0" collapsed="false">
      <c r="A589" s="441" t="n">
        <v>8</v>
      </c>
      <c r="B589" s="157" t="n">
        <v>581</v>
      </c>
      <c r="C589" s="437" t="s">
        <v>8246</v>
      </c>
      <c r="D589" s="157" t="s">
        <v>8291</v>
      </c>
      <c r="E589" s="461" t="s">
        <v>2461</v>
      </c>
      <c r="F589" s="157" t="s">
        <v>8292</v>
      </c>
      <c r="G589" s="445" t="n">
        <v>43.2</v>
      </c>
      <c r="H589" s="431" t="n">
        <v>9102</v>
      </c>
      <c r="I589" s="457" t="n">
        <v>0</v>
      </c>
      <c r="J589" s="458" t="n">
        <v>45450</v>
      </c>
      <c r="K589" s="462" t="n">
        <v>5.80858085808581</v>
      </c>
      <c r="L589" s="463" t="n">
        <v>0</v>
      </c>
      <c r="M589" s="463" t="n">
        <v>0</v>
      </c>
      <c r="N589" s="431" t="n">
        <v>1980</v>
      </c>
      <c r="O589" s="446" t="n">
        <v>6453</v>
      </c>
      <c r="Q589" s="157" t="n">
        <v>26</v>
      </c>
      <c r="R589" s="157" t="n">
        <v>10</v>
      </c>
      <c r="S589" s="157" t="n">
        <v>1</v>
      </c>
      <c r="T589" s="457" t="s">
        <v>7531</v>
      </c>
      <c r="U589" s="457" t="n">
        <v>401</v>
      </c>
      <c r="V589" s="458" t="n">
        <v>78320</v>
      </c>
      <c r="W589" s="458" t="n">
        <v>80000</v>
      </c>
      <c r="X589" s="464" t="s">
        <v>6954</v>
      </c>
      <c r="Y589" s="458" t="n">
        <f aca="false">ROUND(J589,-3)</f>
        <v>45000</v>
      </c>
      <c r="Z589" s="457" t="s">
        <v>6638</v>
      </c>
      <c r="AA589" s="157" t="n">
        <v>3</v>
      </c>
      <c r="AB589" s="157" t="n">
        <v>3</v>
      </c>
      <c r="AC589" s="431" t="s">
        <v>586</v>
      </c>
      <c r="AD589" s="437" t="s">
        <v>8293</v>
      </c>
      <c r="AE589" s="167"/>
      <c r="AF589" s="167"/>
      <c r="AG589" s="167"/>
      <c r="AH589" s="167"/>
      <c r="AI589" s="167"/>
      <c r="AJ589" s="167"/>
      <c r="AK589" s="167" t="s">
        <v>8294</v>
      </c>
      <c r="AL589" s="157" t="n">
        <f aca="false">IF(AND(ISNUMBER($S589),$S589&gt;0,ISNUMBER($K589),ISNUMBER($J589)),($K589*$J589)/$S589,"")</f>
        <v>264000</v>
      </c>
    </row>
    <row r="590" customFormat="false" ht="12.75" hidden="false" customHeight="true" outlineLevel="0" collapsed="false">
      <c r="A590" s="441" t="n">
        <v>8</v>
      </c>
      <c r="B590" s="157" t="n">
        <v>582</v>
      </c>
      <c r="C590" s="437" t="s">
        <v>8246</v>
      </c>
      <c r="D590" s="157" t="s">
        <v>6673</v>
      </c>
      <c r="E590" s="461" t="s">
        <v>2461</v>
      </c>
      <c r="F590" s="157" t="s">
        <v>6674</v>
      </c>
      <c r="G590" s="445" t="n">
        <v>44.2</v>
      </c>
      <c r="H590" s="431" t="n">
        <v>9102</v>
      </c>
      <c r="I590" s="457" t="n">
        <v>0</v>
      </c>
      <c r="J590" s="458" t="n">
        <v>39832</v>
      </c>
      <c r="K590" s="462" t="n">
        <v>4.40751154850372</v>
      </c>
      <c r="L590" s="463" t="n">
        <v>0</v>
      </c>
      <c r="M590" s="463" t="n">
        <v>0.322413989519253</v>
      </c>
      <c r="N590" s="431" t="n">
        <v>1978</v>
      </c>
      <c r="O590" s="446" t="n">
        <f aca="false">114+219</f>
        <v>333</v>
      </c>
      <c r="P590" s="446" t="n">
        <v>3874</v>
      </c>
      <c r="Q590" s="157" t="n">
        <v>26</v>
      </c>
      <c r="R590" s="157" t="n">
        <v>10</v>
      </c>
      <c r="S590" s="157" t="n">
        <v>1</v>
      </c>
      <c r="T590" s="457" t="s">
        <v>7531</v>
      </c>
      <c r="U590" s="457" t="n">
        <v>398</v>
      </c>
      <c r="V590" s="458" t="n">
        <v>77488</v>
      </c>
      <c r="W590" s="458" t="n">
        <v>80000</v>
      </c>
      <c r="X590" s="464" t="s">
        <v>6675</v>
      </c>
      <c r="Y590" s="458" t="n">
        <f aca="false">ROUND(J590,-3)</f>
        <v>40000</v>
      </c>
      <c r="Z590" s="457" t="s">
        <v>6638</v>
      </c>
      <c r="AA590" s="157" t="n">
        <v>3</v>
      </c>
      <c r="AB590" s="157" t="n">
        <v>3</v>
      </c>
      <c r="AC590" s="431" t="s">
        <v>586</v>
      </c>
      <c r="AD590" s="437" t="s">
        <v>6676</v>
      </c>
      <c r="AE590" s="167"/>
      <c r="AF590" s="167"/>
      <c r="AG590" s="167"/>
      <c r="AH590" s="167"/>
      <c r="AI590" s="167"/>
      <c r="AJ590" s="167"/>
      <c r="AK590" s="167" t="s">
        <v>8295</v>
      </c>
      <c r="AL590" s="157" t="n">
        <f aca="false">IF(AND(ISNUMBER($S590),$S590&gt;0,ISNUMBER($K590),ISNUMBER($J590)),($K590*$J590)/$S590,"")</f>
        <v>175560</v>
      </c>
    </row>
    <row r="591" customFormat="false" ht="12.75" hidden="false" customHeight="true" outlineLevel="0" collapsed="false">
      <c r="A591" s="441" t="n">
        <v>8</v>
      </c>
      <c r="B591" s="157" t="n">
        <v>583</v>
      </c>
      <c r="C591" s="437" t="s">
        <v>8246</v>
      </c>
      <c r="D591" s="157" t="s">
        <v>8296</v>
      </c>
      <c r="E591" s="461" t="s">
        <v>2461</v>
      </c>
      <c r="F591" s="157" t="s">
        <v>8297</v>
      </c>
      <c r="G591" s="445" t="n">
        <v>44.2</v>
      </c>
      <c r="H591" s="431" t="n">
        <v>9102</v>
      </c>
      <c r="I591" s="457" t="n">
        <v>0</v>
      </c>
      <c r="J591" s="458" t="n">
        <v>14636</v>
      </c>
      <c r="K591" s="462" t="n">
        <v>7.18522820442744</v>
      </c>
      <c r="L591" s="463" t="n">
        <v>0</v>
      </c>
      <c r="M591" s="463" t="n">
        <v>0.30233066763025</v>
      </c>
      <c r="N591" s="431" t="n">
        <v>1981</v>
      </c>
      <c r="O591" s="446" t="n">
        <v>8545</v>
      </c>
      <c r="P591" s="446" t="n">
        <v>1046</v>
      </c>
      <c r="Q591" s="157" t="n">
        <v>20</v>
      </c>
      <c r="R591" s="157" t="n">
        <v>10</v>
      </c>
      <c r="S591" s="157" t="n">
        <v>1</v>
      </c>
      <c r="T591" s="457" t="s">
        <v>7529</v>
      </c>
      <c r="U591" s="457" t="n">
        <v>398</v>
      </c>
      <c r="V591" s="458" t="n">
        <v>33200</v>
      </c>
      <c r="W591" s="458" t="n">
        <v>33000</v>
      </c>
      <c r="X591" s="464" t="s">
        <v>6646</v>
      </c>
      <c r="Y591" s="458" t="n">
        <f aca="false">ROUND(J591,-3)</f>
        <v>15000</v>
      </c>
      <c r="Z591" s="457" t="s">
        <v>6638</v>
      </c>
      <c r="AA591" s="157" t="n">
        <v>3</v>
      </c>
      <c r="AB591" s="157" t="n">
        <v>3</v>
      </c>
      <c r="AC591" s="431" t="s">
        <v>586</v>
      </c>
      <c r="AD591" s="437" t="s">
        <v>8298</v>
      </c>
      <c r="AE591" s="167"/>
      <c r="AF591" s="167"/>
      <c r="AG591" s="167"/>
      <c r="AH591" s="167"/>
      <c r="AI591" s="167"/>
      <c r="AJ591" s="167"/>
      <c r="AK591" s="167" t="s">
        <v>8299</v>
      </c>
      <c r="AL591" s="157" t="n">
        <f aca="false">IF(AND(ISNUMBER($S591),$S591&gt;0,ISNUMBER($K591),ISNUMBER($J591)),($K591*$J591)/$S591,"")</f>
        <v>105163</v>
      </c>
    </row>
    <row r="592" customFormat="false" ht="12.75" hidden="false" customHeight="true" outlineLevel="0" collapsed="false">
      <c r="A592" s="441" t="n">
        <v>8</v>
      </c>
      <c r="B592" s="157" t="n">
        <v>584</v>
      </c>
      <c r="C592" s="437" t="s">
        <v>8246</v>
      </c>
      <c r="D592" s="157" t="s">
        <v>8300</v>
      </c>
      <c r="E592" s="461" t="s">
        <v>2461</v>
      </c>
      <c r="F592" s="157" t="s">
        <v>8301</v>
      </c>
      <c r="G592" s="445" t="n">
        <v>44.2</v>
      </c>
      <c r="H592" s="431" t="n">
        <v>9102</v>
      </c>
      <c r="I592" s="457" t="n">
        <v>0</v>
      </c>
      <c r="J592" s="458" t="n">
        <v>9376</v>
      </c>
      <c r="K592" s="462" t="n">
        <v>6.93259385665529</v>
      </c>
      <c r="L592" s="463" t="n">
        <v>0</v>
      </c>
      <c r="M592" s="463" t="n">
        <v>0</v>
      </c>
      <c r="N592" s="431" t="n">
        <v>1981</v>
      </c>
      <c r="O592" s="446" t="n">
        <v>1927</v>
      </c>
      <c r="P592" s="446" t="n">
        <v>952</v>
      </c>
      <c r="Q592" s="157" t="n">
        <v>19</v>
      </c>
      <c r="R592" s="157" t="n">
        <v>10</v>
      </c>
      <c r="S592" s="157" t="n">
        <v>1</v>
      </c>
      <c r="T592" s="457" t="s">
        <v>7529</v>
      </c>
      <c r="U592" s="457" t="n">
        <v>398</v>
      </c>
      <c r="V592" s="458" t="n">
        <v>27477</v>
      </c>
      <c r="W592" s="458" t="n">
        <v>27000</v>
      </c>
      <c r="X592" s="464" t="s">
        <v>7288</v>
      </c>
      <c r="Y592" s="458" t="n">
        <f aca="false">ROUND(J592,-3)</f>
        <v>9000</v>
      </c>
      <c r="Z592" s="457" t="s">
        <v>6638</v>
      </c>
      <c r="AA592" s="157" t="n">
        <v>3</v>
      </c>
      <c r="AB592" s="157" t="n">
        <v>3</v>
      </c>
      <c r="AC592" s="431" t="s">
        <v>586</v>
      </c>
      <c r="AD592" s="437"/>
      <c r="AE592" s="167"/>
      <c r="AF592" s="167"/>
      <c r="AG592" s="167"/>
      <c r="AH592" s="167"/>
      <c r="AI592" s="167"/>
      <c r="AJ592" s="167"/>
      <c r="AK592" s="167" t="s">
        <v>8257</v>
      </c>
      <c r="AL592" s="157" t="n">
        <f aca="false">IF(AND(ISNUMBER($S592),$S592&gt;0,ISNUMBER($K592),ISNUMBER($J592)),($K592*$J592)/$S592,"")</f>
        <v>65000</v>
      </c>
    </row>
    <row r="593" customFormat="false" ht="12.75" hidden="false" customHeight="true" outlineLevel="0" collapsed="false">
      <c r="A593" s="441" t="n">
        <v>8</v>
      </c>
      <c r="B593" s="157" t="n">
        <v>585</v>
      </c>
      <c r="C593" s="437" t="s">
        <v>8246</v>
      </c>
      <c r="D593" s="157" t="s">
        <v>7573</v>
      </c>
      <c r="E593" s="461" t="s">
        <v>2461</v>
      </c>
      <c r="F593" s="157" t="s">
        <v>8302</v>
      </c>
      <c r="G593" s="445" t="n">
        <v>44.2</v>
      </c>
      <c r="H593" s="431" t="n">
        <v>9102</v>
      </c>
      <c r="I593" s="457" t="n">
        <v>0</v>
      </c>
      <c r="J593" s="458" t="n">
        <v>9800</v>
      </c>
      <c r="K593" s="462" t="n">
        <v>8.19377551020408</v>
      </c>
      <c r="L593" s="463" t="n">
        <v>0</v>
      </c>
      <c r="M593" s="463" t="n">
        <v>0.0339232119951681</v>
      </c>
      <c r="N593" s="431" t="n">
        <v>2004</v>
      </c>
      <c r="O593" s="446" t="n">
        <v>2520</v>
      </c>
      <c r="Q593" s="157" t="n">
        <v>45</v>
      </c>
      <c r="R593" s="157" t="n">
        <v>22</v>
      </c>
      <c r="S593" s="157" t="n">
        <v>1</v>
      </c>
      <c r="T593" s="457" t="s">
        <v>7526</v>
      </c>
      <c r="U593" s="457" t="n">
        <v>398</v>
      </c>
      <c r="V593" s="458" t="n">
        <v>42336</v>
      </c>
      <c r="W593" s="458" t="n">
        <v>42000</v>
      </c>
      <c r="X593" s="464" t="s">
        <v>6705</v>
      </c>
      <c r="Y593" s="458" t="n">
        <f aca="false">ROUND(J593,-3)</f>
        <v>10000</v>
      </c>
      <c r="Z593" s="457" t="s">
        <v>6638</v>
      </c>
      <c r="AA593" s="157" t="n">
        <v>3</v>
      </c>
      <c r="AB593" s="157" t="n">
        <v>3</v>
      </c>
      <c r="AC593" s="431" t="s">
        <v>586</v>
      </c>
      <c r="AD593" s="437" t="s">
        <v>7575</v>
      </c>
      <c r="AE593" s="167"/>
      <c r="AF593" s="167"/>
      <c r="AG593" s="167"/>
      <c r="AH593" s="167"/>
      <c r="AI593" s="167"/>
      <c r="AJ593" s="167"/>
      <c r="AK593" s="167" t="s">
        <v>8303</v>
      </c>
      <c r="AL593" s="157" t="n">
        <f aca="false">IF(AND(ISNUMBER($S593),$S593&gt;0,ISNUMBER($K593),ISNUMBER($J593)),($K593*$J593)/$S593,"")</f>
        <v>80299</v>
      </c>
    </row>
    <row r="594" customFormat="false" ht="12.75" hidden="false" customHeight="true" outlineLevel="0" collapsed="false">
      <c r="A594" s="441" t="n">
        <v>8</v>
      </c>
      <c r="B594" s="157" t="n">
        <v>586</v>
      </c>
      <c r="C594" s="437" t="s">
        <v>8246</v>
      </c>
      <c r="D594" s="157" t="s">
        <v>7577</v>
      </c>
      <c r="E594" s="461" t="s">
        <v>2461</v>
      </c>
      <c r="F594" s="157" t="s">
        <v>8304</v>
      </c>
      <c r="G594" s="445" t="n">
        <v>47.2</v>
      </c>
      <c r="H594" s="431" t="n">
        <v>9102</v>
      </c>
      <c r="I594" s="457" t="n">
        <v>0</v>
      </c>
      <c r="J594" s="458" t="n">
        <v>10143</v>
      </c>
      <c r="K594" s="462" t="n">
        <v>9.3315587104407</v>
      </c>
      <c r="L594" s="463" t="n">
        <v>0</v>
      </c>
      <c r="M594" s="463" t="n">
        <v>0.00695192815636556</v>
      </c>
      <c r="N594" s="431" t="n">
        <v>1979</v>
      </c>
      <c r="O594" s="446" t="n">
        <v>1451</v>
      </c>
      <c r="Q594" s="157" t="n">
        <v>20</v>
      </c>
      <c r="R594" s="157" t="n">
        <v>10</v>
      </c>
      <c r="S594" s="157" t="n">
        <v>1</v>
      </c>
      <c r="T594" s="457" t="s">
        <v>7526</v>
      </c>
      <c r="U594" s="457" t="n">
        <v>401</v>
      </c>
      <c r="V594" s="458" t="n">
        <v>30504</v>
      </c>
      <c r="W594" s="458" t="n">
        <v>31000</v>
      </c>
      <c r="X594" s="464" t="s">
        <v>7563</v>
      </c>
      <c r="Y594" s="458" t="n">
        <f aca="false">ROUND(J594,-3)</f>
        <v>10000</v>
      </c>
      <c r="Z594" s="457" t="s">
        <v>6638</v>
      </c>
      <c r="AA594" s="157" t="n">
        <v>3</v>
      </c>
      <c r="AB594" s="157" t="n">
        <v>3</v>
      </c>
      <c r="AC594" s="431" t="s">
        <v>586</v>
      </c>
      <c r="AD594" s="437"/>
      <c r="AE594" s="167"/>
      <c r="AF594" s="167"/>
      <c r="AG594" s="167"/>
      <c r="AH594" s="167"/>
      <c r="AI594" s="167"/>
      <c r="AJ594" s="167"/>
      <c r="AK594" s="167" t="s">
        <v>8257</v>
      </c>
      <c r="AL594" s="157" t="n">
        <f aca="false">IF(AND(ISNUMBER($S594),$S594&gt;0,ISNUMBER($K594),ISNUMBER($J594)),($K594*$J594)/$S594,"")</f>
        <v>94650</v>
      </c>
    </row>
    <row r="595" customFormat="false" ht="12.75" hidden="false" customHeight="true" outlineLevel="0" collapsed="false">
      <c r="A595" s="441" t="n">
        <v>8</v>
      </c>
      <c r="B595" s="157" t="n">
        <v>587</v>
      </c>
      <c r="C595" s="437" t="s">
        <v>8246</v>
      </c>
      <c r="D595" s="157" t="s">
        <v>8305</v>
      </c>
      <c r="E595" s="461" t="s">
        <v>2461</v>
      </c>
      <c r="F595" s="157" t="s">
        <v>8306</v>
      </c>
      <c r="G595" s="445" t="n">
        <v>44.2</v>
      </c>
      <c r="H595" s="431" t="n">
        <v>9102</v>
      </c>
      <c r="I595" s="457" t="n">
        <v>0</v>
      </c>
      <c r="J595" s="458" t="n">
        <v>15550</v>
      </c>
      <c r="K595" s="462" t="n">
        <v>8.84244372990354</v>
      </c>
      <c r="L595" s="463" t="n">
        <v>0</v>
      </c>
      <c r="M595" s="463" t="n">
        <v>0</v>
      </c>
      <c r="N595" s="431" t="n">
        <v>1979</v>
      </c>
      <c r="O595" s="446" t="n">
        <v>2400</v>
      </c>
      <c r="P595" s="446" t="n">
        <v>1126</v>
      </c>
      <c r="Q595" s="157" t="n">
        <v>20</v>
      </c>
      <c r="R595" s="157" t="n">
        <v>10</v>
      </c>
      <c r="S595" s="157" t="n">
        <v>1</v>
      </c>
      <c r="T595" s="457" t="s">
        <v>7526</v>
      </c>
      <c r="U595" s="457" t="n">
        <v>397</v>
      </c>
      <c r="V595" s="458" t="n">
        <v>40424</v>
      </c>
      <c r="W595" s="458" t="n">
        <v>40000</v>
      </c>
      <c r="X595" s="464" t="s">
        <v>6724</v>
      </c>
      <c r="Y595" s="458" t="n">
        <f aca="false">ROUND(J595,-3)</f>
        <v>16000</v>
      </c>
      <c r="Z595" s="457" t="s">
        <v>6638</v>
      </c>
      <c r="AA595" s="157" t="n">
        <v>3</v>
      </c>
      <c r="AB595" s="157" t="n">
        <v>3</v>
      </c>
      <c r="AC595" s="431" t="s">
        <v>586</v>
      </c>
      <c r="AD595" s="437" t="s">
        <v>8307</v>
      </c>
      <c r="AE595" s="167"/>
      <c r="AF595" s="167"/>
      <c r="AG595" s="167"/>
      <c r="AH595" s="167"/>
      <c r="AI595" s="167"/>
      <c r="AJ595" s="167"/>
      <c r="AK595" s="167" t="s">
        <v>8257</v>
      </c>
      <c r="AL595" s="157" t="n">
        <f aca="false">IF(AND(ISNUMBER($S595),$S595&gt;0,ISNUMBER($K595),ISNUMBER($J595)),($K595*$J595)/$S595,"")</f>
        <v>137500</v>
      </c>
    </row>
    <row r="596" customFormat="false" ht="12.75" hidden="false" customHeight="true" outlineLevel="0" collapsed="false">
      <c r="A596" s="441" t="n">
        <v>8</v>
      </c>
      <c r="B596" s="157" t="n">
        <v>588</v>
      </c>
      <c r="C596" s="437" t="s">
        <v>8246</v>
      </c>
      <c r="D596" s="157" t="s">
        <v>6690</v>
      </c>
      <c r="E596" s="461" t="s">
        <v>2461</v>
      </c>
      <c r="F596" s="157" t="s">
        <v>6691</v>
      </c>
      <c r="G596" s="445" t="n">
        <v>44.2</v>
      </c>
      <c r="H596" s="431" t="n">
        <v>9102</v>
      </c>
      <c r="I596" s="457" t="n">
        <v>0</v>
      </c>
      <c r="J596" s="458" t="n">
        <v>16328</v>
      </c>
      <c r="K596" s="462" t="n">
        <v>5.30812101910828</v>
      </c>
      <c r="L596" s="463" t="n">
        <v>0</v>
      </c>
      <c r="M596" s="463" t="n">
        <v>0.0327214408510344</v>
      </c>
      <c r="N596" s="431" t="n">
        <v>1979</v>
      </c>
      <c r="O596" s="446" t="n">
        <v>2250</v>
      </c>
      <c r="Q596" s="157" t="n">
        <v>23</v>
      </c>
      <c r="R596" s="157" t="n">
        <v>10</v>
      </c>
      <c r="S596" s="157" t="n">
        <v>1</v>
      </c>
      <c r="T596" s="457" t="s">
        <v>7526</v>
      </c>
      <c r="U596" s="457" t="n">
        <v>398</v>
      </c>
      <c r="V596" s="458" t="n">
        <v>40424</v>
      </c>
      <c r="W596" s="458" t="n">
        <v>40000</v>
      </c>
      <c r="X596" s="464" t="s">
        <v>6692</v>
      </c>
      <c r="Y596" s="458" t="n">
        <f aca="false">ROUND(J596,-3)</f>
        <v>16000</v>
      </c>
      <c r="Z596" s="457" t="s">
        <v>6638</v>
      </c>
      <c r="AA596" s="157" t="n">
        <v>3</v>
      </c>
      <c r="AB596" s="157" t="n">
        <v>3</v>
      </c>
      <c r="AC596" s="431" t="s">
        <v>586</v>
      </c>
      <c r="AD596" s="437"/>
      <c r="AE596" s="167"/>
      <c r="AF596" s="167"/>
      <c r="AG596" s="167"/>
      <c r="AH596" s="167"/>
      <c r="AI596" s="167"/>
      <c r="AJ596" s="167"/>
      <c r="AK596" s="167" t="s">
        <v>8308</v>
      </c>
      <c r="AL596" s="157" t="n">
        <f aca="false">IF(AND(ISNUMBER($S596),$S596&gt;0,ISNUMBER($K596),ISNUMBER($J596)),($K596*$J596)/$S596,"")</f>
        <v>86671</v>
      </c>
    </row>
    <row r="597" customFormat="false" ht="12.75" hidden="false" customHeight="true" outlineLevel="0" collapsed="false">
      <c r="A597" s="441" t="n">
        <v>8</v>
      </c>
      <c r="B597" s="157" t="n">
        <v>589</v>
      </c>
      <c r="C597" s="437" t="s">
        <v>8246</v>
      </c>
      <c r="D597" s="157" t="s">
        <v>8309</v>
      </c>
      <c r="E597" s="461" t="s">
        <v>2461</v>
      </c>
      <c r="F597" s="157" t="s">
        <v>8310</v>
      </c>
      <c r="G597" s="445" t="n">
        <v>44.1</v>
      </c>
      <c r="H597" s="431" t="n">
        <v>9102</v>
      </c>
      <c r="I597" s="457" t="n">
        <v>0</v>
      </c>
      <c r="J597" s="458" t="n">
        <v>87133</v>
      </c>
      <c r="K597" s="462" t="n">
        <v>4.360024330621</v>
      </c>
      <c r="L597" s="463" t="n">
        <v>0</v>
      </c>
      <c r="M597" s="463" t="n">
        <v>0</v>
      </c>
      <c r="N597" s="431" t="n">
        <v>1974</v>
      </c>
      <c r="O597" s="446" t="n">
        <v>3944</v>
      </c>
      <c r="P597" s="446" t="n">
        <v>8659</v>
      </c>
      <c r="Q597" s="157" t="n">
        <v>27</v>
      </c>
      <c r="R597" s="157" t="n">
        <v>10</v>
      </c>
      <c r="S597" s="157" t="n">
        <v>1</v>
      </c>
      <c r="T597" s="457" t="s">
        <v>7531</v>
      </c>
      <c r="U597" s="457" t="n">
        <v>397</v>
      </c>
      <c r="V597" s="458" t="n">
        <v>211126</v>
      </c>
      <c r="W597" s="458" t="n">
        <v>210000</v>
      </c>
      <c r="X597" s="464" t="s">
        <v>6650</v>
      </c>
      <c r="Y597" s="458" t="n">
        <f aca="false">ROUND(J597,-4)</f>
        <v>90000</v>
      </c>
      <c r="Z597" s="457" t="s">
        <v>6696</v>
      </c>
      <c r="AA597" s="157" t="n">
        <v>3</v>
      </c>
      <c r="AB597" s="157" t="n">
        <v>3</v>
      </c>
      <c r="AC597" s="431" t="s">
        <v>586</v>
      </c>
      <c r="AD597" s="437" t="s">
        <v>8311</v>
      </c>
      <c r="AE597" s="167"/>
      <c r="AF597" s="167"/>
      <c r="AG597" s="167"/>
      <c r="AH597" s="167"/>
      <c r="AI597" s="167"/>
      <c r="AJ597" s="167"/>
      <c r="AK597" s="167" t="s">
        <v>8312</v>
      </c>
      <c r="AL597" s="157" t="n">
        <f aca="false">IF(AND(ISNUMBER($S597),$S597&gt;0,ISNUMBER($K597),ISNUMBER($J597)),($K597*$J597)/$S597,"")</f>
        <v>379902</v>
      </c>
    </row>
    <row r="598" customFormat="false" ht="12.75" hidden="false" customHeight="true" outlineLevel="0" collapsed="false">
      <c r="A598" s="441" t="n">
        <v>8</v>
      </c>
      <c r="B598" s="157" t="n">
        <v>590</v>
      </c>
      <c r="C598" s="437" t="s">
        <v>8246</v>
      </c>
      <c r="D598" s="157" t="s">
        <v>6702</v>
      </c>
      <c r="E598" s="461" t="s">
        <v>2461</v>
      </c>
      <c r="F598" s="157" t="s">
        <v>6703</v>
      </c>
      <c r="G598" s="445" t="n">
        <v>44.1</v>
      </c>
      <c r="H598" s="431" t="n">
        <v>9103</v>
      </c>
      <c r="I598" s="457" t="n">
        <v>0</v>
      </c>
      <c r="J598" s="458" t="n">
        <v>10530</v>
      </c>
      <c r="K598" s="462" t="n">
        <v>5.65052231718898</v>
      </c>
      <c r="L598" s="463" t="n">
        <v>0</v>
      </c>
      <c r="M598" s="463" t="n">
        <v>0</v>
      </c>
      <c r="N598" s="431" t="n">
        <v>2006</v>
      </c>
      <c r="O598" s="446" t="n">
        <v>3547</v>
      </c>
      <c r="Q598" s="157" t="n">
        <v>25</v>
      </c>
      <c r="R598" s="157" t="n">
        <v>14</v>
      </c>
      <c r="S598" s="157" t="n">
        <v>1</v>
      </c>
      <c r="T598" s="457" t="s">
        <v>7585</v>
      </c>
      <c r="U598" s="457" t="n">
        <v>398</v>
      </c>
      <c r="V598" s="458" t="n">
        <v>44907</v>
      </c>
      <c r="W598" s="458" t="n">
        <v>45000</v>
      </c>
      <c r="X598" s="464" t="s">
        <v>6705</v>
      </c>
      <c r="Y598" s="458" t="n">
        <f aca="false">ROUND(J598,-3)</f>
        <v>11000</v>
      </c>
      <c r="Z598" s="457" t="s">
        <v>6638</v>
      </c>
      <c r="AA598" s="157" t="n">
        <v>3</v>
      </c>
      <c r="AB598" s="157" t="n">
        <v>3</v>
      </c>
      <c r="AC598" s="431" t="s">
        <v>586</v>
      </c>
      <c r="AD598" s="437" t="s">
        <v>6706</v>
      </c>
      <c r="AE598" s="167"/>
      <c r="AF598" s="167"/>
      <c r="AG598" s="167"/>
      <c r="AH598" s="167"/>
      <c r="AI598" s="167"/>
      <c r="AJ598" s="167"/>
      <c r="AK598" s="167" t="s">
        <v>8313</v>
      </c>
      <c r="AL598" s="157" t="n">
        <f aca="false">IF(AND(ISNUMBER($S598),$S598&gt;0,ISNUMBER($K598),ISNUMBER($J598)),($K598*$J598)/$S598,"")</f>
        <v>59500</v>
      </c>
    </row>
    <row r="599" customFormat="false" ht="12.75" hidden="false" customHeight="true" outlineLevel="0" collapsed="false">
      <c r="A599" s="441" t="n">
        <v>8</v>
      </c>
      <c r="B599" s="157" t="n">
        <v>591</v>
      </c>
      <c r="C599" s="437" t="s">
        <v>8266</v>
      </c>
      <c r="D599" s="157" t="s">
        <v>8314</v>
      </c>
      <c r="E599" s="461" t="s">
        <v>2461</v>
      </c>
      <c r="F599" s="157" t="s">
        <v>8315</v>
      </c>
      <c r="G599" s="445" t="n">
        <v>44.4</v>
      </c>
      <c r="H599" s="431" t="n">
        <v>9103</v>
      </c>
      <c r="I599" s="457" t="n">
        <v>0</v>
      </c>
      <c r="J599" s="458" t="n">
        <v>323860</v>
      </c>
      <c r="K599" s="462" t="n">
        <v>3.76</v>
      </c>
      <c r="L599" s="463" t="n">
        <v>0</v>
      </c>
      <c r="M599" s="463" t="n">
        <v>0.01</v>
      </c>
      <c r="N599" s="431" t="n">
        <v>1998</v>
      </c>
      <c r="O599" s="446" t="n">
        <v>8739</v>
      </c>
      <c r="Q599" s="157" t="n">
        <v>35</v>
      </c>
      <c r="R599" s="157" t="n">
        <v>14</v>
      </c>
      <c r="S599" s="157" t="n">
        <v>4</v>
      </c>
      <c r="T599" s="457" t="s">
        <v>7585</v>
      </c>
      <c r="U599" s="457" t="n">
        <v>398</v>
      </c>
      <c r="V599" s="458" t="n">
        <v>857261</v>
      </c>
      <c r="W599" s="458" t="n">
        <v>900000</v>
      </c>
      <c r="X599" s="464" t="s">
        <v>6724</v>
      </c>
      <c r="Y599" s="458" t="n">
        <v>350000</v>
      </c>
      <c r="Z599" s="457" t="s">
        <v>461</v>
      </c>
      <c r="AA599" s="157" t="n">
        <v>3</v>
      </c>
      <c r="AB599" s="157" t="n">
        <v>3</v>
      </c>
      <c r="AC599" s="431" t="n">
        <v>33</v>
      </c>
      <c r="AD599" s="437" t="s">
        <v>8316</v>
      </c>
      <c r="AE599" s="167" t="n">
        <v>3.76</v>
      </c>
      <c r="AF599" s="167" t="n">
        <v>3.76</v>
      </c>
      <c r="AG599" s="167" t="n">
        <v>3.72</v>
      </c>
      <c r="AH599" s="167" t="n">
        <v>0.04</v>
      </c>
      <c r="AI599" s="167" t="s">
        <v>1310</v>
      </c>
      <c r="AJ599" s="167" t="s">
        <v>1310</v>
      </c>
      <c r="AK599" s="167"/>
      <c r="AL599" s="157" t="n">
        <f aca="false">IF(AND(ISNUMBER($S599),$S599&gt;0,ISNUMBER($K599),ISNUMBER($J599)),($K599*$J599)/$S599,"")</f>
        <v>304428.4</v>
      </c>
    </row>
    <row r="600" customFormat="false" ht="12.75" hidden="false" customHeight="true" outlineLevel="0" collapsed="false">
      <c r="A600" s="441" t="n">
        <v>8</v>
      </c>
      <c r="B600" s="157" t="n">
        <v>592</v>
      </c>
      <c r="C600" s="437" t="s">
        <v>8246</v>
      </c>
      <c r="D600" s="157" t="s">
        <v>8317</v>
      </c>
      <c r="E600" s="461" t="s">
        <v>2461</v>
      </c>
      <c r="F600" s="157" t="s">
        <v>8318</v>
      </c>
      <c r="G600" s="445" t="n">
        <v>46.7</v>
      </c>
      <c r="H600" s="431" t="n">
        <v>9103</v>
      </c>
      <c r="I600" s="457" t="n">
        <v>0</v>
      </c>
      <c r="J600" s="458" t="n">
        <v>34112</v>
      </c>
      <c r="K600" s="462" t="n">
        <v>12.2244371482176</v>
      </c>
      <c r="L600" s="463" t="n">
        <v>0</v>
      </c>
      <c r="M600" s="463" t="n">
        <v>0</v>
      </c>
      <c r="N600" s="431" t="n">
        <v>1998</v>
      </c>
      <c r="O600" s="446" t="n">
        <v>5312</v>
      </c>
      <c r="Q600" s="157" t="n">
        <v>26</v>
      </c>
      <c r="R600" s="157" t="n">
        <v>14</v>
      </c>
      <c r="S600" s="157" t="n">
        <v>1</v>
      </c>
      <c r="T600" s="457" t="s">
        <v>7585</v>
      </c>
      <c r="U600" s="457" t="n">
        <v>391</v>
      </c>
      <c r="V600" s="458" t="n">
        <v>206039</v>
      </c>
      <c r="W600" s="458" t="n">
        <v>210000</v>
      </c>
      <c r="X600" s="464" t="s">
        <v>8319</v>
      </c>
      <c r="Y600" s="458" t="n">
        <f aca="false">ROUND(J600,-3)</f>
        <v>34000</v>
      </c>
      <c r="Z600" s="457" t="s">
        <v>6638</v>
      </c>
      <c r="AA600" s="157" t="n">
        <v>3</v>
      </c>
      <c r="AB600" s="157" t="n">
        <v>3</v>
      </c>
      <c r="AC600" s="431" t="s">
        <v>586</v>
      </c>
      <c r="AD600" s="437" t="s">
        <v>8320</v>
      </c>
      <c r="AE600" s="167"/>
      <c r="AF600" s="167"/>
      <c r="AG600" s="167"/>
      <c r="AH600" s="167"/>
      <c r="AI600" s="167"/>
      <c r="AJ600" s="167"/>
      <c r="AK600" s="167" t="s">
        <v>8321</v>
      </c>
      <c r="AL600" s="157" t="n">
        <f aca="false">IF(AND(ISNUMBER($S600),$S600&gt;0,ISNUMBER($K600),ISNUMBER($J600)),($K600*$J600)/$S600,"")</f>
        <v>416999.999999999</v>
      </c>
    </row>
    <row r="601" customFormat="false" ht="12.75" hidden="false" customHeight="true" outlineLevel="0" collapsed="false">
      <c r="A601" s="441" t="n">
        <v>8</v>
      </c>
      <c r="B601" s="157" t="n">
        <v>593</v>
      </c>
      <c r="C601" s="437" t="s">
        <v>8246</v>
      </c>
      <c r="D601" s="157" t="s">
        <v>7586</v>
      </c>
      <c r="E601" s="461" t="s">
        <v>2461</v>
      </c>
      <c r="F601" s="157" t="s">
        <v>8322</v>
      </c>
      <c r="G601" s="445" t="n">
        <v>44.2</v>
      </c>
      <c r="H601" s="431" t="n">
        <v>9103</v>
      </c>
      <c r="I601" s="457" t="n">
        <v>0</v>
      </c>
      <c r="J601" s="458" t="n">
        <v>50533</v>
      </c>
      <c r="K601" s="462" t="n">
        <v>7.21429560881009</v>
      </c>
      <c r="L601" s="463" t="n">
        <v>0</v>
      </c>
      <c r="M601" s="463" t="n">
        <v>0</v>
      </c>
      <c r="N601" s="431" t="n">
        <v>1998</v>
      </c>
      <c r="O601" s="446" t="n">
        <v>11472</v>
      </c>
      <c r="P601" s="446" t="n">
        <v>12133</v>
      </c>
      <c r="Q601" s="157" t="n">
        <v>22</v>
      </c>
      <c r="R601" s="157" t="n">
        <v>14</v>
      </c>
      <c r="S601" s="157" t="n">
        <v>1</v>
      </c>
      <c r="T601" s="457" t="s">
        <v>7585</v>
      </c>
      <c r="U601" s="457" t="n">
        <v>398</v>
      </c>
      <c r="V601" s="458" t="n">
        <v>202118</v>
      </c>
      <c r="W601" s="458" t="n">
        <v>200000</v>
      </c>
      <c r="X601" s="464" t="s">
        <v>7588</v>
      </c>
      <c r="Y601" s="458" t="n">
        <f aca="false">ROUND(J601,-4)</f>
        <v>50000</v>
      </c>
      <c r="Z601" s="457" t="s">
        <v>6638</v>
      </c>
      <c r="AA601" s="157" t="n">
        <v>3</v>
      </c>
      <c r="AB601" s="157" t="n">
        <v>3</v>
      </c>
      <c r="AC601" s="431" t="s">
        <v>586</v>
      </c>
      <c r="AD601" s="437" t="s">
        <v>7589</v>
      </c>
      <c r="AE601" s="167"/>
      <c r="AF601" s="167"/>
      <c r="AG601" s="167"/>
      <c r="AH601" s="167"/>
      <c r="AI601" s="167"/>
      <c r="AJ601" s="167"/>
      <c r="AK601" s="167" t="s">
        <v>8295</v>
      </c>
      <c r="AL601" s="157" t="n">
        <f aca="false">IF(AND(ISNUMBER($S601),$S601&gt;0,ISNUMBER($K601),ISNUMBER($J601)),($K601*$J601)/$S601,"")</f>
        <v>364560</v>
      </c>
    </row>
    <row r="602" customFormat="false" ht="12.75" hidden="false" customHeight="true" outlineLevel="0" collapsed="false">
      <c r="A602" s="441" t="n">
        <v>8</v>
      </c>
      <c r="B602" s="157" t="n">
        <v>594</v>
      </c>
      <c r="C602" s="437" t="s">
        <v>8246</v>
      </c>
      <c r="D602" s="157" t="s">
        <v>7590</v>
      </c>
      <c r="E602" s="461" t="s">
        <v>2461</v>
      </c>
      <c r="F602" s="157" t="s">
        <v>8323</v>
      </c>
      <c r="G602" s="445" t="n">
        <v>44.2</v>
      </c>
      <c r="H602" s="431" t="n">
        <v>9103</v>
      </c>
      <c r="I602" s="457" t="n">
        <v>0</v>
      </c>
      <c r="J602" s="458" t="n">
        <v>20146</v>
      </c>
      <c r="K602" s="462" t="n">
        <v>5.55941626129256</v>
      </c>
      <c r="L602" s="463" t="n">
        <v>0</v>
      </c>
      <c r="M602" s="463" t="n">
        <v>0.0183839285714286</v>
      </c>
      <c r="N602" s="431" t="n">
        <v>2005</v>
      </c>
      <c r="O602" s="446" t="n">
        <v>964</v>
      </c>
      <c r="Q602" s="157" t="n">
        <v>28</v>
      </c>
      <c r="R602" s="157" t="n">
        <v>14</v>
      </c>
      <c r="S602" s="157" t="n">
        <v>1</v>
      </c>
      <c r="T602" s="457" t="s">
        <v>7585</v>
      </c>
      <c r="U602" s="457" t="n">
        <v>398</v>
      </c>
      <c r="V602" s="458" t="n">
        <v>71003</v>
      </c>
      <c r="W602" s="458" t="n">
        <v>70000</v>
      </c>
      <c r="X602" s="464" t="s">
        <v>7208</v>
      </c>
      <c r="Y602" s="458" t="n">
        <f aca="false">ROUND(J602,-3)</f>
        <v>20000</v>
      </c>
      <c r="Z602" s="457" t="s">
        <v>6638</v>
      </c>
      <c r="AA602" s="157" t="n">
        <v>3</v>
      </c>
      <c r="AB602" s="157" t="n">
        <v>3</v>
      </c>
      <c r="AC602" s="431" t="s">
        <v>586</v>
      </c>
      <c r="AD602" s="437" t="s">
        <v>7589</v>
      </c>
      <c r="AE602" s="167"/>
      <c r="AF602" s="167"/>
      <c r="AG602" s="167"/>
      <c r="AH602" s="167"/>
      <c r="AI602" s="167"/>
      <c r="AJ602" s="167"/>
      <c r="AK602" s="167" t="s">
        <v>8257</v>
      </c>
      <c r="AL602" s="157" t="n">
        <f aca="false">IF(AND(ISNUMBER($S602),$S602&gt;0,ISNUMBER($K602),ISNUMBER($J602)),($K602*$J602)/$S602,"")</f>
        <v>112000</v>
      </c>
    </row>
    <row r="603" customFormat="false" ht="12.75" hidden="false" customHeight="true" outlineLevel="0" collapsed="false">
      <c r="A603" s="441" t="n">
        <v>8</v>
      </c>
      <c r="B603" s="157" t="n">
        <v>595</v>
      </c>
      <c r="C603" s="437" t="s">
        <v>8246</v>
      </c>
      <c r="D603" s="157" t="s">
        <v>6715</v>
      </c>
      <c r="E603" s="461" t="s">
        <v>2461</v>
      </c>
      <c r="F603" s="157" t="s">
        <v>6716</v>
      </c>
      <c r="G603" s="445" t="n">
        <v>44.2</v>
      </c>
      <c r="H603" s="431" t="n">
        <v>9103</v>
      </c>
      <c r="I603" s="457" t="n">
        <v>0</v>
      </c>
      <c r="J603" s="458" t="n">
        <v>17750</v>
      </c>
      <c r="K603" s="462" t="n">
        <v>8.44101408450704</v>
      </c>
      <c r="L603" s="463" t="n">
        <v>0</v>
      </c>
      <c r="M603" s="463" t="n">
        <v>0.0741116480230665</v>
      </c>
      <c r="N603" s="431" t="n">
        <v>2004</v>
      </c>
      <c r="O603" s="446" t="n">
        <v>8277</v>
      </c>
      <c r="Q603" s="157" t="n">
        <v>30</v>
      </c>
      <c r="R603" s="157" t="n">
        <v>14</v>
      </c>
      <c r="S603" s="157" t="n">
        <v>1</v>
      </c>
      <c r="T603" s="457" t="s">
        <v>7585</v>
      </c>
      <c r="U603" s="457" t="n">
        <v>398</v>
      </c>
      <c r="V603" s="458" t="n">
        <v>65250</v>
      </c>
      <c r="W603" s="458" t="n">
        <v>70000</v>
      </c>
      <c r="X603" s="464" t="s">
        <v>6717</v>
      </c>
      <c r="Y603" s="458" t="n">
        <f aca="false">ROUND(J603,-3)</f>
        <v>18000</v>
      </c>
      <c r="Z603" s="457" t="s">
        <v>6638</v>
      </c>
      <c r="AA603" s="157" t="n">
        <v>3</v>
      </c>
      <c r="AB603" s="157" t="n">
        <v>3</v>
      </c>
      <c r="AC603" s="431" t="s">
        <v>586</v>
      </c>
      <c r="AD603" s="437" t="s">
        <v>6718</v>
      </c>
      <c r="AE603" s="167"/>
      <c r="AF603" s="167"/>
      <c r="AG603" s="167"/>
      <c r="AH603" s="167"/>
      <c r="AI603" s="167"/>
      <c r="AJ603" s="167"/>
      <c r="AK603" s="167" t="s">
        <v>8324</v>
      </c>
      <c r="AL603" s="157" t="n">
        <f aca="false">IF(AND(ISNUMBER($S603),$S603&gt;0,ISNUMBER($K603),ISNUMBER($J603)),($K603*$J603)/$S603,"")</f>
        <v>149828</v>
      </c>
    </row>
    <row r="604" customFormat="false" ht="12.75" hidden="false" customHeight="true" outlineLevel="0" collapsed="false">
      <c r="A604" s="441" t="n">
        <v>8</v>
      </c>
      <c r="B604" s="157" t="n">
        <v>596</v>
      </c>
      <c r="C604" s="437" t="s">
        <v>8246</v>
      </c>
      <c r="D604" s="157" t="s">
        <v>8325</v>
      </c>
      <c r="E604" s="461" t="s">
        <v>2461</v>
      </c>
      <c r="F604" s="157" t="s">
        <v>8326</v>
      </c>
      <c r="G604" s="445" t="n">
        <v>44.2</v>
      </c>
      <c r="H604" s="431" t="n">
        <v>9101</v>
      </c>
      <c r="I604" s="457" t="n">
        <v>5</v>
      </c>
      <c r="J604" s="458" t="n">
        <v>40896</v>
      </c>
      <c r="K604" s="462" t="n">
        <v>2.50347222222222</v>
      </c>
      <c r="L604" s="463" t="n">
        <v>0</v>
      </c>
      <c r="M604" s="463" t="n">
        <v>0.223388876951027</v>
      </c>
      <c r="N604" s="431" t="n">
        <v>1959</v>
      </c>
      <c r="O604" s="446" t="n">
        <v>1200</v>
      </c>
      <c r="P604" s="446" t="n">
        <v>2764</v>
      </c>
      <c r="Q604" s="157" t="n">
        <v>22</v>
      </c>
      <c r="R604" s="157" t="n">
        <v>1</v>
      </c>
      <c r="S604" s="157" t="n">
        <v>1</v>
      </c>
      <c r="T604" s="457" t="s">
        <v>7531</v>
      </c>
      <c r="U604" s="457" t="n">
        <v>398</v>
      </c>
      <c r="V604" s="458" t="n">
        <v>95733</v>
      </c>
      <c r="W604" s="458" t="n">
        <v>100000</v>
      </c>
      <c r="X604" s="464" t="s">
        <v>6646</v>
      </c>
      <c r="Y604" s="458" t="n">
        <f aca="false">ROUND(J604,-3)</f>
        <v>41000</v>
      </c>
      <c r="Z604" s="457" t="s">
        <v>6638</v>
      </c>
      <c r="AA604" s="157" t="n">
        <v>3</v>
      </c>
      <c r="AB604" s="157" t="n">
        <v>3</v>
      </c>
      <c r="AC604" s="431" t="s">
        <v>586</v>
      </c>
      <c r="AD604" s="437" t="s">
        <v>8311</v>
      </c>
      <c r="AE604" s="167"/>
      <c r="AF604" s="167"/>
      <c r="AG604" s="167"/>
      <c r="AH604" s="167"/>
      <c r="AI604" s="167"/>
      <c r="AJ604" s="167"/>
      <c r="AK604" s="167" t="s">
        <v>8295</v>
      </c>
      <c r="AL604" s="157" t="n">
        <f aca="false">IF(AND(ISNUMBER($S604),$S604&gt;0,ISNUMBER($K604),ISNUMBER($J604)),($K604*$J604)/$S604,"")</f>
        <v>102382</v>
      </c>
    </row>
    <row r="605" customFormat="false" ht="12.75" hidden="false" customHeight="true" outlineLevel="0" collapsed="false">
      <c r="A605" s="441" t="n">
        <v>8</v>
      </c>
      <c r="B605" s="157" t="n">
        <v>597</v>
      </c>
      <c r="C605" s="437" t="s">
        <v>8246</v>
      </c>
      <c r="D605" s="157" t="s">
        <v>8327</v>
      </c>
      <c r="E605" s="461" t="s">
        <v>2461</v>
      </c>
      <c r="F605" s="157" t="s">
        <v>8328</v>
      </c>
      <c r="G605" s="445" t="n">
        <v>44.2</v>
      </c>
      <c r="H605" s="431" t="n">
        <v>9101</v>
      </c>
      <c r="I605" s="457" t="n">
        <v>5</v>
      </c>
      <c r="J605" s="458" t="n">
        <v>15058</v>
      </c>
      <c r="K605" s="462" t="n">
        <v>4.59058307876212</v>
      </c>
      <c r="L605" s="463" t="n">
        <v>0</v>
      </c>
      <c r="M605" s="463" t="n">
        <v>0</v>
      </c>
      <c r="N605" s="431" t="n">
        <v>1964</v>
      </c>
      <c r="P605" s="446" t="n">
        <v>1872</v>
      </c>
      <c r="Q605" s="157" t="n">
        <v>19</v>
      </c>
      <c r="R605" s="157" t="n">
        <v>1</v>
      </c>
      <c r="S605" s="157" t="n">
        <v>1</v>
      </c>
      <c r="T605" s="457" t="s">
        <v>7531</v>
      </c>
      <c r="U605" s="457" t="n">
        <v>398</v>
      </c>
      <c r="V605" s="458" t="n">
        <v>59290</v>
      </c>
      <c r="W605" s="458" t="n">
        <v>60000</v>
      </c>
      <c r="X605" s="464" t="s">
        <v>6637</v>
      </c>
      <c r="Y605" s="458" t="n">
        <f aca="false">ROUND(J605,-3)</f>
        <v>15000</v>
      </c>
      <c r="Z605" s="457" t="s">
        <v>6638</v>
      </c>
      <c r="AA605" s="157" t="n">
        <v>3</v>
      </c>
      <c r="AB605" s="157" t="n">
        <v>3</v>
      </c>
      <c r="AC605" s="431" t="s">
        <v>586</v>
      </c>
      <c r="AD605" s="437" t="s">
        <v>8329</v>
      </c>
      <c r="AE605" s="167"/>
      <c r="AF605" s="167"/>
      <c r="AG605" s="167"/>
      <c r="AH605" s="167"/>
      <c r="AI605" s="167"/>
      <c r="AJ605" s="167"/>
      <c r="AK605" s="167" t="s">
        <v>8324</v>
      </c>
      <c r="AL605" s="157" t="n">
        <f aca="false">IF(AND(ISNUMBER($S605),$S605&gt;0,ISNUMBER($K605),ISNUMBER($J605)),($K605*$J605)/$S605,"")</f>
        <v>69125</v>
      </c>
    </row>
    <row r="606" customFormat="false" ht="12.75" hidden="false" customHeight="true" outlineLevel="0" collapsed="false">
      <c r="A606" s="441" t="n">
        <v>8</v>
      </c>
      <c r="B606" s="157" t="n">
        <v>598</v>
      </c>
      <c r="C606" s="437" t="s">
        <v>8246</v>
      </c>
      <c r="D606" s="157" t="s">
        <v>8330</v>
      </c>
      <c r="E606" s="461" t="s">
        <v>2461</v>
      </c>
      <c r="F606" s="157" t="s">
        <v>8331</v>
      </c>
      <c r="G606" s="445" t="n">
        <v>44.2</v>
      </c>
      <c r="H606" s="431" t="n">
        <v>9101</v>
      </c>
      <c r="I606" s="457" t="n">
        <v>5</v>
      </c>
      <c r="J606" s="458" t="n">
        <v>44780</v>
      </c>
      <c r="K606" s="462" t="n">
        <v>3.75230013398839</v>
      </c>
      <c r="L606" s="463" t="n">
        <v>0</v>
      </c>
      <c r="M606" s="463" t="n">
        <v>0</v>
      </c>
      <c r="N606" s="431" t="n">
        <v>1955</v>
      </c>
      <c r="P606" s="446" t="n">
        <v>4259</v>
      </c>
      <c r="Q606" s="157" t="n">
        <v>20</v>
      </c>
      <c r="R606" s="157" t="n">
        <v>10</v>
      </c>
      <c r="S606" s="157" t="n">
        <v>1</v>
      </c>
      <c r="T606" s="457" t="s">
        <v>7531</v>
      </c>
      <c r="U606" s="457" t="n">
        <v>398</v>
      </c>
      <c r="V606" s="458" t="n">
        <v>104790</v>
      </c>
      <c r="W606" s="458" t="n">
        <v>100000</v>
      </c>
      <c r="X606" s="464" t="s">
        <v>6646</v>
      </c>
      <c r="Y606" s="458" t="n">
        <f aca="false">ROUND(J606,-3)</f>
        <v>45000</v>
      </c>
      <c r="Z606" s="457" t="s">
        <v>6638</v>
      </c>
      <c r="AA606" s="157" t="n">
        <v>3</v>
      </c>
      <c r="AB606" s="157" t="n">
        <v>3</v>
      </c>
      <c r="AC606" s="431" t="s">
        <v>586</v>
      </c>
      <c r="AD606" s="437"/>
      <c r="AE606" s="167"/>
      <c r="AF606" s="167"/>
      <c r="AG606" s="167"/>
      <c r="AH606" s="167"/>
      <c r="AI606" s="167"/>
      <c r="AJ606" s="167"/>
      <c r="AK606" s="167" t="s">
        <v>8332</v>
      </c>
      <c r="AL606" s="157" t="n">
        <f aca="false">IF(AND(ISNUMBER($S606),$S606&gt;0,ISNUMBER($K606),ISNUMBER($J606)),($K606*$J606)/$S606,"")</f>
        <v>168028</v>
      </c>
    </row>
    <row r="607" customFormat="false" ht="12.75" hidden="false" customHeight="true" outlineLevel="0" collapsed="false">
      <c r="A607" s="441" t="n">
        <v>8</v>
      </c>
      <c r="B607" s="157" t="n">
        <v>599</v>
      </c>
      <c r="C607" s="437" t="s">
        <v>8246</v>
      </c>
      <c r="D607" s="157" t="s">
        <v>8333</v>
      </c>
      <c r="E607" s="461" t="s">
        <v>2461</v>
      </c>
      <c r="F607" s="157" t="s">
        <v>8334</v>
      </c>
      <c r="G607" s="445" t="n">
        <v>47.2</v>
      </c>
      <c r="H607" s="431" t="n">
        <v>9101</v>
      </c>
      <c r="I607" s="457" t="n">
        <v>0</v>
      </c>
      <c r="J607" s="458" t="n">
        <v>75608</v>
      </c>
      <c r="K607" s="462" t="n">
        <v>1.98391704581526</v>
      </c>
      <c r="L607" s="463" t="n">
        <v>0</v>
      </c>
      <c r="M607" s="463" t="n">
        <v>0</v>
      </c>
      <c r="N607" s="431" t="n">
        <v>1963</v>
      </c>
      <c r="O607" s="446" t="n">
        <f aca="false">4254+1382</f>
        <v>5636</v>
      </c>
      <c r="Q607" s="157" t="n">
        <v>15</v>
      </c>
      <c r="R607" s="157" t="n">
        <v>3</v>
      </c>
      <c r="S607" s="157" t="n">
        <v>1</v>
      </c>
      <c r="T607" s="457" t="s">
        <v>7531</v>
      </c>
      <c r="U607" s="457" t="n">
        <v>401</v>
      </c>
      <c r="V607" s="458" t="n">
        <v>110783</v>
      </c>
      <c r="W607" s="458" t="n">
        <v>110000</v>
      </c>
      <c r="X607" s="464" t="s">
        <v>6837</v>
      </c>
      <c r="Y607" s="458" t="n">
        <f aca="false">ROUND(J607,-4)</f>
        <v>80000</v>
      </c>
      <c r="Z607" s="457" t="s">
        <v>6638</v>
      </c>
      <c r="AA607" s="157" t="n">
        <v>2</v>
      </c>
      <c r="AB607" s="157" t="n">
        <v>2</v>
      </c>
      <c r="AC607" s="431" t="s">
        <v>533</v>
      </c>
      <c r="AD607" s="437"/>
      <c r="AE607" s="167"/>
      <c r="AF607" s="167"/>
      <c r="AG607" s="167"/>
      <c r="AH607" s="167"/>
      <c r="AI607" s="167"/>
      <c r="AJ607" s="167"/>
      <c r="AK607" s="167" t="s">
        <v>8335</v>
      </c>
      <c r="AL607" s="157" t="n">
        <f aca="false">IF(AND(ISNUMBER($S607),$S607&gt;0,ISNUMBER($K607),ISNUMBER($J607)),($K607*$J607)/$S607,"")</f>
        <v>150000</v>
      </c>
    </row>
    <row r="608" customFormat="false" ht="12.75" hidden="false" customHeight="true" outlineLevel="0" collapsed="false">
      <c r="A608" s="441" t="n">
        <v>8</v>
      </c>
      <c r="B608" s="157" t="n">
        <v>600</v>
      </c>
      <c r="C608" s="437" t="s">
        <v>8246</v>
      </c>
      <c r="D608" s="157" t="s">
        <v>7594</v>
      </c>
      <c r="E608" s="461" t="s">
        <v>2461</v>
      </c>
      <c r="F608" s="157" t="s">
        <v>8336</v>
      </c>
      <c r="G608" s="445" t="n">
        <v>44.2</v>
      </c>
      <c r="H608" s="431" t="n">
        <v>9101</v>
      </c>
      <c r="I608" s="457" t="n">
        <v>0</v>
      </c>
      <c r="J608" s="458" t="n">
        <v>19692</v>
      </c>
      <c r="K608" s="462" t="n">
        <v>2.58988421694089</v>
      </c>
      <c r="L608" s="463" t="n">
        <v>0</v>
      </c>
      <c r="M608" s="463" t="n">
        <v>0</v>
      </c>
      <c r="N608" s="431" t="n">
        <v>1959</v>
      </c>
      <c r="O608" s="446" t="n">
        <v>1400</v>
      </c>
      <c r="Q608" s="157" t="n">
        <v>17</v>
      </c>
      <c r="R608" s="157" t="n">
        <v>3</v>
      </c>
      <c r="S608" s="157" t="n">
        <v>1</v>
      </c>
      <c r="T608" s="457" t="s">
        <v>7531</v>
      </c>
      <c r="U608" s="457" t="n">
        <v>398</v>
      </c>
      <c r="V608" s="458" t="n">
        <v>45551</v>
      </c>
      <c r="W608" s="458" t="n">
        <v>46000</v>
      </c>
      <c r="X608" s="464" t="s">
        <v>6646</v>
      </c>
      <c r="Y608" s="458" t="n">
        <f aca="false">ROUND(J608,-3)</f>
        <v>20000</v>
      </c>
      <c r="Z608" s="457" t="s">
        <v>6638</v>
      </c>
      <c r="AA608" s="157" t="n">
        <v>2</v>
      </c>
      <c r="AB608" s="157" t="n">
        <v>2</v>
      </c>
      <c r="AC608" s="431" t="s">
        <v>533</v>
      </c>
      <c r="AD608" s="437"/>
      <c r="AE608" s="167"/>
      <c r="AF608" s="167"/>
      <c r="AG608" s="167"/>
      <c r="AH608" s="167"/>
      <c r="AI608" s="167"/>
      <c r="AJ608" s="167"/>
      <c r="AK608" s="167" t="s">
        <v>8337</v>
      </c>
      <c r="AL608" s="157" t="n">
        <f aca="false">IF(AND(ISNUMBER($S608),$S608&gt;0,ISNUMBER($K608),ISNUMBER($J608)),($K608*$J608)/$S608,"")</f>
        <v>51000</v>
      </c>
    </row>
    <row r="609" customFormat="false" ht="12.75" hidden="false" customHeight="true" outlineLevel="0" collapsed="false">
      <c r="A609" s="441" t="n">
        <v>8</v>
      </c>
      <c r="B609" s="157" t="n">
        <v>601</v>
      </c>
      <c r="C609" s="437" t="s">
        <v>8246</v>
      </c>
      <c r="D609" s="157" t="s">
        <v>8338</v>
      </c>
      <c r="E609" s="461" t="s">
        <v>2461</v>
      </c>
      <c r="F609" s="157" t="s">
        <v>8339</v>
      </c>
      <c r="G609" s="445" t="n">
        <v>44.2</v>
      </c>
      <c r="H609" s="431" t="n">
        <v>9101</v>
      </c>
      <c r="I609" s="457" t="n">
        <v>0</v>
      </c>
      <c r="J609" s="458" t="n">
        <v>26010</v>
      </c>
      <c r="K609" s="462" t="n">
        <v>13.840830449827</v>
      </c>
      <c r="L609" s="463" t="n">
        <v>0</v>
      </c>
      <c r="M609" s="463" t="n">
        <v>0</v>
      </c>
      <c r="N609" s="431" t="n">
        <v>1992</v>
      </c>
      <c r="O609" s="446" t="n">
        <f aca="false">2295*2</f>
        <v>4590</v>
      </c>
      <c r="P609" s="446" t="n">
        <v>330</v>
      </c>
      <c r="Q609" s="157" t="n">
        <v>20</v>
      </c>
      <c r="R609" s="157" t="n">
        <v>7</v>
      </c>
      <c r="S609" s="157" t="n">
        <v>1</v>
      </c>
      <c r="T609" s="457" t="s">
        <v>7531</v>
      </c>
      <c r="U609" s="457" t="n">
        <v>398</v>
      </c>
      <c r="V609" s="458" t="n">
        <v>81553</v>
      </c>
      <c r="W609" s="458" t="n">
        <v>80000</v>
      </c>
      <c r="X609" s="464" t="s">
        <v>6751</v>
      </c>
      <c r="Y609" s="458" t="n">
        <f aca="false">ROUND(J609,-3)</f>
        <v>26000</v>
      </c>
      <c r="Z609" s="457" t="s">
        <v>6638</v>
      </c>
      <c r="AA609" s="157" t="n">
        <v>3</v>
      </c>
      <c r="AB609" s="157" t="n">
        <v>3</v>
      </c>
      <c r="AC609" s="431" t="s">
        <v>586</v>
      </c>
      <c r="AD609" s="437" t="s">
        <v>8340</v>
      </c>
      <c r="AE609" s="167"/>
      <c r="AF609" s="167"/>
      <c r="AG609" s="167"/>
      <c r="AH609" s="167"/>
      <c r="AI609" s="167"/>
      <c r="AJ609" s="167"/>
      <c r="AK609" s="167" t="s">
        <v>8341</v>
      </c>
      <c r="AL609" s="157" t="n">
        <f aca="false">IF(AND(ISNUMBER($S609),$S609&gt;0,ISNUMBER($K609),ISNUMBER($J609)),($K609*$J609)/$S609,"")</f>
        <v>360000</v>
      </c>
    </row>
    <row r="610" customFormat="false" ht="12.75" hidden="false" customHeight="true" outlineLevel="0" collapsed="false">
      <c r="A610" s="441" t="n">
        <v>8</v>
      </c>
      <c r="B610" s="157" t="n">
        <v>602</v>
      </c>
      <c r="C610" s="437" t="s">
        <v>8246</v>
      </c>
      <c r="D610" s="157" t="s">
        <v>6727</v>
      </c>
      <c r="E610" s="461" t="s">
        <v>2461</v>
      </c>
      <c r="F610" s="157" t="s">
        <v>6728</v>
      </c>
      <c r="G610" s="445" t="n">
        <v>44.7</v>
      </c>
      <c r="H610" s="431" t="n">
        <v>9101</v>
      </c>
      <c r="I610" s="457" t="n">
        <v>0</v>
      </c>
      <c r="J610" s="458" t="n">
        <v>101883</v>
      </c>
      <c r="K610" s="462" t="n">
        <v>3.1826212420129</v>
      </c>
      <c r="L610" s="463" t="n">
        <v>0</v>
      </c>
      <c r="M610" s="463" t="n">
        <v>0</v>
      </c>
      <c r="N610" s="431" t="n">
        <v>1974</v>
      </c>
      <c r="O610" s="446" t="n">
        <f aca="false">16800+8047</f>
        <v>24847</v>
      </c>
      <c r="Q610" s="157" t="n">
        <v>24</v>
      </c>
      <c r="R610" s="157" t="n">
        <v>10</v>
      </c>
      <c r="S610" s="157" t="n">
        <v>1</v>
      </c>
      <c r="T610" s="457" t="s">
        <v>7531</v>
      </c>
      <c r="U610" s="457" t="n">
        <v>398</v>
      </c>
      <c r="V610" s="458" t="n">
        <v>261000</v>
      </c>
      <c r="W610" s="458" t="n">
        <v>260000</v>
      </c>
      <c r="X610" s="464" t="s">
        <v>6724</v>
      </c>
      <c r="Y610" s="458" t="n">
        <f aca="false">ROUND(J610,-4)</f>
        <v>100000</v>
      </c>
      <c r="Z610" s="457" t="s">
        <v>6638</v>
      </c>
      <c r="AA610" s="157" t="n">
        <v>3</v>
      </c>
      <c r="AB610" s="157" t="n">
        <v>3</v>
      </c>
      <c r="AC610" s="431" t="s">
        <v>586</v>
      </c>
      <c r="AD610" s="437" t="s">
        <v>6729</v>
      </c>
      <c r="AE610" s="167"/>
      <c r="AF610" s="167"/>
      <c r="AG610" s="167"/>
      <c r="AH610" s="167"/>
      <c r="AI610" s="167"/>
      <c r="AJ610" s="167"/>
      <c r="AK610" s="167" t="s">
        <v>8342</v>
      </c>
      <c r="AL610" s="157" t="n">
        <f aca="false">IF(AND(ISNUMBER($S610),$S610&gt;0,ISNUMBER($K610),ISNUMBER($J610)),($K610*$J610)/$S610,"")</f>
        <v>324255</v>
      </c>
    </row>
    <row r="611" customFormat="false" ht="12.75" hidden="false" customHeight="true" outlineLevel="0" collapsed="false">
      <c r="A611" s="441" t="n">
        <v>8</v>
      </c>
      <c r="B611" s="157" t="n">
        <v>603</v>
      </c>
      <c r="C611" s="437" t="s">
        <v>8246</v>
      </c>
      <c r="D611" s="157" t="s">
        <v>6730</v>
      </c>
      <c r="E611" s="461" t="s">
        <v>2461</v>
      </c>
      <c r="F611" s="157" t="s">
        <v>6731</v>
      </c>
      <c r="G611" s="445" t="n">
        <v>44.7</v>
      </c>
      <c r="H611" s="431" t="n">
        <v>9101</v>
      </c>
      <c r="I611" s="457" t="n">
        <v>0</v>
      </c>
      <c r="J611" s="458" t="n">
        <v>104748</v>
      </c>
      <c r="K611" s="462" t="n">
        <v>5.3141253293619</v>
      </c>
      <c r="L611" s="463" t="n">
        <v>0</v>
      </c>
      <c r="M611" s="463" t="n">
        <v>0</v>
      </c>
      <c r="N611" s="431" t="n">
        <v>1973</v>
      </c>
      <c r="O611" s="446" t="n">
        <f aca="false">529+2475+512</f>
        <v>3516</v>
      </c>
      <c r="Q611" s="157" t="n">
        <v>27</v>
      </c>
      <c r="R611" s="157" t="n">
        <v>3</v>
      </c>
      <c r="S611" s="157" t="n">
        <v>2</v>
      </c>
      <c r="T611" s="457" t="s">
        <v>7531</v>
      </c>
      <c r="U611" s="457" t="n">
        <v>398</v>
      </c>
      <c r="V611" s="458" t="n">
        <v>261359</v>
      </c>
      <c r="W611" s="458" t="n">
        <v>260000</v>
      </c>
      <c r="X611" s="464" t="s">
        <v>6692</v>
      </c>
      <c r="Y611" s="458" t="n">
        <f aca="false">ROUND(J611,-4)</f>
        <v>100000</v>
      </c>
      <c r="Z611" s="457" t="s">
        <v>6638</v>
      </c>
      <c r="AA611" s="157" t="n">
        <v>3</v>
      </c>
      <c r="AB611" s="157" t="n">
        <v>3</v>
      </c>
      <c r="AC611" s="431" t="s">
        <v>586</v>
      </c>
      <c r="AD611" s="437" t="s">
        <v>6732</v>
      </c>
      <c r="AE611" s="167"/>
      <c r="AF611" s="167"/>
      <c r="AG611" s="167"/>
      <c r="AH611" s="167"/>
      <c r="AI611" s="167"/>
      <c r="AJ611" s="167"/>
      <c r="AK611" s="167" t="s">
        <v>8343</v>
      </c>
      <c r="AL611" s="157" t="n">
        <f aca="false">IF(AND(ISNUMBER($S611),$S611&gt;0,ISNUMBER($K611),ISNUMBER($J611)),($K611*$J611)/$S611,"")</f>
        <v>278322</v>
      </c>
    </row>
    <row r="612" customFormat="false" ht="12.75" hidden="false" customHeight="true" outlineLevel="0" collapsed="false">
      <c r="A612" s="441" t="n">
        <v>8</v>
      </c>
      <c r="B612" s="157" t="n">
        <v>604</v>
      </c>
      <c r="C612" s="437" t="s">
        <v>8246</v>
      </c>
      <c r="D612" s="157" t="s">
        <v>6733</v>
      </c>
      <c r="E612" s="461" t="s">
        <v>2461</v>
      </c>
      <c r="F612" s="157" t="s">
        <v>6734</v>
      </c>
      <c r="G612" s="445" t="n">
        <v>44.7</v>
      </c>
      <c r="H612" s="431" t="n">
        <v>9101</v>
      </c>
      <c r="I612" s="457" t="n">
        <v>0</v>
      </c>
      <c r="J612" s="458" t="n">
        <v>13066</v>
      </c>
      <c r="K612" s="462" t="n">
        <v>3.73105770702587</v>
      </c>
      <c r="L612" s="463" t="n">
        <v>0</v>
      </c>
      <c r="M612" s="463" t="n">
        <v>0.00176410256410256</v>
      </c>
      <c r="N612" s="431" t="n">
        <v>1966</v>
      </c>
      <c r="O612" s="446" t="n">
        <v>1560</v>
      </c>
      <c r="Q612" s="157" t="n">
        <v>20</v>
      </c>
      <c r="R612" s="157" t="n">
        <v>3</v>
      </c>
      <c r="S612" s="157" t="n">
        <v>2</v>
      </c>
      <c r="T612" s="457" t="s">
        <v>7531</v>
      </c>
      <c r="U612" s="457" t="n">
        <v>398</v>
      </c>
      <c r="V612" s="458" t="n">
        <v>18315</v>
      </c>
      <c r="W612" s="458" t="n">
        <v>18000</v>
      </c>
      <c r="X612" s="464" t="s">
        <v>6710</v>
      </c>
      <c r="Y612" s="458" t="n">
        <f aca="false">ROUND(J612,-3)</f>
        <v>13000</v>
      </c>
      <c r="Z612" s="457" t="s">
        <v>6638</v>
      </c>
      <c r="AA612" s="157" t="n">
        <v>3</v>
      </c>
      <c r="AB612" s="157" t="n">
        <v>3</v>
      </c>
      <c r="AC612" s="431" t="s">
        <v>586</v>
      </c>
      <c r="AD612" s="437"/>
      <c r="AE612" s="167"/>
      <c r="AF612" s="167"/>
      <c r="AG612" s="167"/>
      <c r="AH612" s="167"/>
      <c r="AI612" s="167"/>
      <c r="AJ612" s="167"/>
      <c r="AK612" s="167" t="s">
        <v>8344</v>
      </c>
      <c r="AL612" s="157" t="n">
        <f aca="false">IF(AND(ISNUMBER($S612),$S612&gt;0,ISNUMBER($K612),ISNUMBER($J612)),($K612*$J612)/$S612,"")</f>
        <v>24375</v>
      </c>
    </row>
    <row r="613" customFormat="false" ht="12.75" hidden="false" customHeight="true" outlineLevel="0" collapsed="false">
      <c r="A613" s="441" t="n">
        <v>8</v>
      </c>
      <c r="B613" s="157" t="n">
        <v>605</v>
      </c>
      <c r="C613" s="437" t="s">
        <v>8246</v>
      </c>
      <c r="D613" s="157" t="s">
        <v>6736</v>
      </c>
      <c r="E613" s="461" t="s">
        <v>2461</v>
      </c>
      <c r="F613" s="157" t="s">
        <v>6737</v>
      </c>
      <c r="G613" s="445" t="n">
        <v>44.2</v>
      </c>
      <c r="H613" s="431" t="n">
        <v>9101</v>
      </c>
      <c r="I613" s="457" t="n">
        <v>0</v>
      </c>
      <c r="J613" s="458" t="n">
        <v>11440</v>
      </c>
      <c r="K613" s="462" t="n">
        <v>6.81818181818182</v>
      </c>
      <c r="L613" s="463" t="n">
        <v>0</v>
      </c>
      <c r="M613" s="463" t="n">
        <v>0.0461025641025641</v>
      </c>
      <c r="N613" s="431" t="n">
        <v>1974</v>
      </c>
      <c r="O613" s="446" t="n">
        <v>1564</v>
      </c>
      <c r="Q613" s="157" t="n">
        <v>22</v>
      </c>
      <c r="R613" s="157" t="n">
        <v>1</v>
      </c>
      <c r="S613" s="157" t="n">
        <v>1</v>
      </c>
      <c r="T613" s="457" t="s">
        <v>7531</v>
      </c>
      <c r="U613" s="457" t="n">
        <v>398</v>
      </c>
      <c r="V613" s="458" t="n">
        <v>21764</v>
      </c>
      <c r="W613" s="458" t="n">
        <v>22000</v>
      </c>
      <c r="X613" s="464" t="s">
        <v>6675</v>
      </c>
      <c r="Y613" s="458" t="n">
        <f aca="false">ROUND(J613,-3)</f>
        <v>11000</v>
      </c>
      <c r="Z613" s="457" t="s">
        <v>6638</v>
      </c>
      <c r="AA613" s="157" t="n">
        <v>3</v>
      </c>
      <c r="AB613" s="157" t="n">
        <v>3</v>
      </c>
      <c r="AC613" s="431" t="s">
        <v>586</v>
      </c>
      <c r="AD613" s="437"/>
      <c r="AE613" s="167"/>
      <c r="AF613" s="167"/>
      <c r="AG613" s="167"/>
      <c r="AH613" s="167"/>
      <c r="AI613" s="167"/>
      <c r="AJ613" s="167"/>
      <c r="AK613" s="167" t="s">
        <v>8271</v>
      </c>
      <c r="AL613" s="157" t="n">
        <f aca="false">IF(AND(ISNUMBER($S613),$S613&gt;0,ISNUMBER($K613),ISNUMBER($J613)),($K613*$J613)/$S613,"")</f>
        <v>78000</v>
      </c>
    </row>
    <row r="614" customFormat="false" ht="12.75" hidden="false" customHeight="true" outlineLevel="0" collapsed="false">
      <c r="A614" s="441" t="n">
        <v>8</v>
      </c>
      <c r="B614" s="157" t="n">
        <v>606</v>
      </c>
      <c r="C614" s="437" t="s">
        <v>8246</v>
      </c>
      <c r="D614" s="157" t="s">
        <v>8345</v>
      </c>
      <c r="E614" s="461" t="s">
        <v>2461</v>
      </c>
      <c r="F614" s="157" t="s">
        <v>8346</v>
      </c>
      <c r="G614" s="445" t="n">
        <v>44.2</v>
      </c>
      <c r="H614" s="431" t="n">
        <v>9101</v>
      </c>
      <c r="I614" s="457" t="n">
        <v>0</v>
      </c>
      <c r="J614" s="458" t="n">
        <v>81475</v>
      </c>
      <c r="K614" s="462" t="n">
        <v>5.10046026388463</v>
      </c>
      <c r="L614" s="463" t="n">
        <v>0</v>
      </c>
      <c r="M614" s="463" t="n">
        <v>0.321397632110887</v>
      </c>
      <c r="N614" s="431" t="n">
        <v>1966</v>
      </c>
      <c r="O614" s="446" t="n">
        <v>4080</v>
      </c>
      <c r="P614" s="446" t="n">
        <v>1225</v>
      </c>
      <c r="Q614" s="157" t="n">
        <v>30</v>
      </c>
      <c r="R614" s="157" t="n">
        <v>3</v>
      </c>
      <c r="S614" s="157" t="n">
        <v>1</v>
      </c>
      <c r="T614" s="457" t="s">
        <v>7531</v>
      </c>
      <c r="U614" s="457" t="n">
        <v>398</v>
      </c>
      <c r="V614" s="458" t="n">
        <v>169045</v>
      </c>
      <c r="W614" s="458" t="n">
        <v>170000</v>
      </c>
      <c r="X614" s="464" t="s">
        <v>6754</v>
      </c>
      <c r="Y614" s="458" t="n">
        <f aca="false">ROUND(J614,-4)</f>
        <v>80000</v>
      </c>
      <c r="Z614" s="457" t="s">
        <v>6638</v>
      </c>
      <c r="AA614" s="157" t="n">
        <v>3</v>
      </c>
      <c r="AB614" s="157" t="n">
        <v>3</v>
      </c>
      <c r="AC614" s="431" t="s">
        <v>586</v>
      </c>
      <c r="AD614" s="437" t="s">
        <v>8347</v>
      </c>
      <c r="AE614" s="167"/>
      <c r="AF614" s="167"/>
      <c r="AG614" s="167"/>
      <c r="AH614" s="167"/>
      <c r="AI614" s="167"/>
      <c r="AJ614" s="167"/>
      <c r="AK614" s="167" t="s">
        <v>8348</v>
      </c>
      <c r="AL614" s="157" t="n">
        <f aca="false">IF(AND(ISNUMBER($S614),$S614&gt;0,ISNUMBER($K614),ISNUMBER($J614)),($K614*$J614)/$S614,"")</f>
        <v>415560</v>
      </c>
    </row>
    <row r="615" customFormat="false" ht="12.75" hidden="false" customHeight="true" outlineLevel="0" collapsed="false">
      <c r="A615" s="441" t="n">
        <v>8</v>
      </c>
      <c r="B615" s="157" t="n">
        <v>607</v>
      </c>
      <c r="C615" s="437" t="s">
        <v>8246</v>
      </c>
      <c r="D615" s="157" t="s">
        <v>6738</v>
      </c>
      <c r="E615" s="461" t="s">
        <v>2461</v>
      </c>
      <c r="F615" s="157" t="s">
        <v>6739</v>
      </c>
      <c r="G615" s="445" t="n">
        <v>44.2</v>
      </c>
      <c r="H615" s="431" t="n">
        <v>9101</v>
      </c>
      <c r="I615" s="457" t="n">
        <v>0</v>
      </c>
      <c r="J615" s="458" t="n">
        <v>40200</v>
      </c>
      <c r="K615" s="462" t="n">
        <v>3.37485074626866</v>
      </c>
      <c r="L615" s="463" t="n">
        <v>0</v>
      </c>
      <c r="M615" s="463" t="n">
        <v>0.0390140710110637</v>
      </c>
      <c r="N615" s="431" t="n">
        <v>1966</v>
      </c>
      <c r="Q615" s="157" t="n">
        <v>30</v>
      </c>
      <c r="R615" s="157" t="n">
        <v>1</v>
      </c>
      <c r="S615" s="157" t="n">
        <v>1</v>
      </c>
      <c r="T615" s="457" t="s">
        <v>7531</v>
      </c>
      <c r="U615" s="457" t="n">
        <v>398</v>
      </c>
      <c r="V615" s="458" t="n">
        <v>102703</v>
      </c>
      <c r="W615" s="458" t="n">
        <v>100000</v>
      </c>
      <c r="X615" s="464" t="s">
        <v>6724</v>
      </c>
      <c r="Y615" s="458" t="n">
        <f aca="false">ROUND(J615,-3)</f>
        <v>40000</v>
      </c>
      <c r="Z615" s="457" t="s">
        <v>6638</v>
      </c>
      <c r="AA615" s="157" t="n">
        <v>2</v>
      </c>
      <c r="AB615" s="157" t="n">
        <v>3</v>
      </c>
      <c r="AC615" s="431" t="s">
        <v>537</v>
      </c>
      <c r="AD615" s="437" t="s">
        <v>6740</v>
      </c>
      <c r="AE615" s="167"/>
      <c r="AF615" s="167"/>
      <c r="AG615" s="167"/>
      <c r="AH615" s="167"/>
      <c r="AI615" s="167"/>
      <c r="AJ615" s="167"/>
      <c r="AK615" s="167" t="s">
        <v>8257</v>
      </c>
      <c r="AL615" s="157" t="n">
        <f aca="false">IF(AND(ISNUMBER($S615),$S615&gt;0,ISNUMBER($K615),ISNUMBER($J615)),($K615*$J615)/$S615,"")</f>
        <v>135669</v>
      </c>
    </row>
    <row r="616" customFormat="false" ht="12.75" hidden="false" customHeight="true" outlineLevel="0" collapsed="false">
      <c r="A616" s="441" t="n">
        <v>8</v>
      </c>
      <c r="B616" s="157" t="n">
        <v>608</v>
      </c>
      <c r="C616" s="437" t="s">
        <v>8246</v>
      </c>
      <c r="D616" s="157" t="s">
        <v>8349</v>
      </c>
      <c r="E616" s="461" t="s">
        <v>2461</v>
      </c>
      <c r="F616" s="157" t="s">
        <v>8350</v>
      </c>
      <c r="G616" s="445" t="n">
        <v>44.4</v>
      </c>
      <c r="H616" s="431" t="n">
        <v>9101</v>
      </c>
      <c r="I616" s="457" t="n">
        <v>0</v>
      </c>
      <c r="J616" s="458" t="n">
        <v>28015</v>
      </c>
      <c r="K616" s="462" t="n">
        <v>4.45796894520793</v>
      </c>
      <c r="L616" s="463" t="n">
        <v>0.228449045154382</v>
      </c>
      <c r="M616" s="463" t="n">
        <v>0.271775162142686</v>
      </c>
      <c r="N616" s="431" t="n">
        <v>1959</v>
      </c>
      <c r="O616" s="446" t="n">
        <f aca="false">2630+5166</f>
        <v>7796</v>
      </c>
      <c r="P616" s="446" t="n">
        <v>5142</v>
      </c>
      <c r="Q616" s="157" t="n">
        <v>22</v>
      </c>
      <c r="R616" s="157" t="n">
        <v>1</v>
      </c>
      <c r="S616" s="157" t="n">
        <v>1</v>
      </c>
      <c r="T616" s="457" t="s">
        <v>7531</v>
      </c>
      <c r="U616" s="457" t="n">
        <v>398</v>
      </c>
      <c r="V616" s="458" t="n">
        <v>239703</v>
      </c>
      <c r="W616" s="458" t="n">
        <v>240000</v>
      </c>
      <c r="X616" s="464" t="s">
        <v>6646</v>
      </c>
      <c r="Y616" s="458" t="n">
        <f aca="false">ROUND(J616,-3)</f>
        <v>28000</v>
      </c>
      <c r="Z616" s="457" t="s">
        <v>6638</v>
      </c>
      <c r="AA616" s="157" t="n">
        <v>3</v>
      </c>
      <c r="AB616" s="157" t="n">
        <v>3</v>
      </c>
      <c r="AC616" s="431" t="s">
        <v>586</v>
      </c>
      <c r="AD616" s="437" t="s">
        <v>8351</v>
      </c>
      <c r="AE616" s="167"/>
      <c r="AF616" s="167"/>
      <c r="AG616" s="167"/>
      <c r="AH616" s="167"/>
      <c r="AI616" s="167"/>
      <c r="AJ616" s="167"/>
      <c r="AK616" s="167" t="s">
        <v>8271</v>
      </c>
      <c r="AL616" s="157" t="n">
        <f aca="false">IF(AND(ISNUMBER($S616),$S616&gt;0,ISNUMBER($K616),ISNUMBER($J616)),($K616*$J616)/$S616,"")</f>
        <v>124890</v>
      </c>
    </row>
    <row r="617" customFormat="false" ht="12.75" hidden="false" customHeight="true" outlineLevel="0" collapsed="false">
      <c r="A617" s="441" t="n">
        <v>8</v>
      </c>
      <c r="B617" s="157" t="n">
        <v>609</v>
      </c>
      <c r="C617" s="437" t="s">
        <v>8246</v>
      </c>
      <c r="D617" s="157" t="s">
        <v>7600</v>
      </c>
      <c r="E617" s="461" t="s">
        <v>2461</v>
      </c>
      <c r="F617" s="157" t="s">
        <v>8352</v>
      </c>
      <c r="G617" s="445" t="n">
        <v>44.2</v>
      </c>
      <c r="H617" s="431" t="n">
        <v>9101</v>
      </c>
      <c r="I617" s="457" t="n">
        <v>0</v>
      </c>
      <c r="J617" s="458" t="n">
        <v>14222</v>
      </c>
      <c r="K617" s="462" t="n">
        <v>5.06257910279848</v>
      </c>
      <c r="L617" s="463" t="n">
        <v>0</v>
      </c>
      <c r="M617" s="463" t="n">
        <v>0</v>
      </c>
      <c r="N617" s="431" t="n">
        <v>1986</v>
      </c>
      <c r="O617" s="446" t="n">
        <v>1731</v>
      </c>
      <c r="Q617" s="157" t="n">
        <v>18</v>
      </c>
      <c r="R617" s="157" t="n">
        <v>8</v>
      </c>
      <c r="S617" s="157" t="n">
        <v>1</v>
      </c>
      <c r="T617" s="457" t="s">
        <v>7531</v>
      </c>
      <c r="U617" s="457" t="n">
        <v>398</v>
      </c>
      <c r="V617" s="458" t="n">
        <v>99260</v>
      </c>
      <c r="W617" s="458" t="n">
        <v>100000</v>
      </c>
      <c r="X617" s="464" t="s">
        <v>7602</v>
      </c>
      <c r="Y617" s="458" t="n">
        <f aca="false">ROUND(J617,-3)</f>
        <v>14000</v>
      </c>
      <c r="Z617" s="457" t="s">
        <v>6638</v>
      </c>
      <c r="AA617" s="157" t="n">
        <v>3</v>
      </c>
      <c r="AB617" s="157" t="n">
        <v>3</v>
      </c>
      <c r="AC617" s="431" t="s">
        <v>586</v>
      </c>
      <c r="AD617" s="437" t="s">
        <v>7603</v>
      </c>
      <c r="AE617" s="167"/>
      <c r="AF617" s="167"/>
      <c r="AG617" s="167"/>
      <c r="AH617" s="167"/>
      <c r="AI617" s="167"/>
      <c r="AJ617" s="167"/>
      <c r="AK617" s="167" t="s">
        <v>8257</v>
      </c>
      <c r="AL617" s="157" t="n">
        <f aca="false">IF(AND(ISNUMBER($S617),$S617&gt;0,ISNUMBER($K617),ISNUMBER($J617)),($K617*$J617)/$S617,"")</f>
        <v>72000</v>
      </c>
    </row>
    <row r="618" customFormat="false" ht="12.75" hidden="false" customHeight="true" outlineLevel="0" collapsed="false">
      <c r="A618" s="441" t="n">
        <v>8</v>
      </c>
      <c r="B618" s="157" t="n">
        <v>610</v>
      </c>
      <c r="C618" s="437" t="s">
        <v>8246</v>
      </c>
      <c r="D618" s="157" t="s">
        <v>6745</v>
      </c>
      <c r="E618" s="461" t="s">
        <v>2461</v>
      </c>
      <c r="F618" s="157" t="s">
        <v>6746</v>
      </c>
      <c r="G618" s="445" t="n">
        <v>44.2</v>
      </c>
      <c r="H618" s="431" t="n">
        <v>9101</v>
      </c>
      <c r="I618" s="457" t="n">
        <v>0</v>
      </c>
      <c r="J618" s="458" t="n">
        <v>6480</v>
      </c>
      <c r="K618" s="462" t="n">
        <v>9.25925925925926</v>
      </c>
      <c r="L618" s="463" t="n">
        <v>0</v>
      </c>
      <c r="M618" s="463" t="n">
        <v>0</v>
      </c>
      <c r="N618" s="431" t="n">
        <v>1987</v>
      </c>
      <c r="O618" s="446" t="n">
        <v>1744</v>
      </c>
      <c r="Q618" s="157" t="n">
        <v>16</v>
      </c>
      <c r="R618" s="157" t="n">
        <v>8</v>
      </c>
      <c r="S618" s="157" t="n">
        <v>1</v>
      </c>
      <c r="T618" s="457" t="s">
        <v>7531</v>
      </c>
      <c r="U618" s="457" t="n">
        <v>398</v>
      </c>
      <c r="V618" s="458" t="n">
        <v>45216</v>
      </c>
      <c r="W618" s="458" t="n">
        <v>45000</v>
      </c>
      <c r="X618" s="464" t="s">
        <v>7602</v>
      </c>
      <c r="Y618" s="458" t="n">
        <f aca="false">ROUND(J618,-3)</f>
        <v>6000</v>
      </c>
      <c r="Z618" s="457" t="s">
        <v>6638</v>
      </c>
      <c r="AA618" s="157" t="n">
        <v>3</v>
      </c>
      <c r="AB618" s="157" t="n">
        <v>3</v>
      </c>
      <c r="AC618" s="431" t="s">
        <v>586</v>
      </c>
      <c r="AD618" s="437" t="s">
        <v>6748</v>
      </c>
      <c r="AE618" s="167"/>
      <c r="AF618" s="167"/>
      <c r="AG618" s="167"/>
      <c r="AH618" s="167"/>
      <c r="AI618" s="167"/>
      <c r="AJ618" s="167"/>
      <c r="AK618" s="167" t="s">
        <v>8353</v>
      </c>
      <c r="AL618" s="157" t="n">
        <f aca="false">IF(AND(ISNUMBER($S618),$S618&gt;0,ISNUMBER($K618),ISNUMBER($J618)),($K618*$J618)/$S618,"")</f>
        <v>60000</v>
      </c>
    </row>
    <row r="619" customFormat="false" ht="12.75" hidden="false" customHeight="true" outlineLevel="0" collapsed="false">
      <c r="A619" s="441" t="n">
        <v>8</v>
      </c>
      <c r="B619" s="157" t="n">
        <v>611</v>
      </c>
      <c r="C619" s="437" t="s">
        <v>8246</v>
      </c>
      <c r="D619" s="157" t="s">
        <v>8354</v>
      </c>
      <c r="E619" s="461" t="s">
        <v>2461</v>
      </c>
      <c r="F619" s="157" t="s">
        <v>8355</v>
      </c>
      <c r="G619" s="445" t="n">
        <v>44.1</v>
      </c>
      <c r="H619" s="431" t="n">
        <v>9101</v>
      </c>
      <c r="I619" s="457" t="n">
        <v>0</v>
      </c>
      <c r="J619" s="458" t="n">
        <v>36789</v>
      </c>
      <c r="K619" s="462" t="n">
        <v>4.89276685965914</v>
      </c>
      <c r="L619" s="463" t="n">
        <v>0</v>
      </c>
      <c r="M619" s="463" t="n">
        <v>0</v>
      </c>
      <c r="N619" s="431" t="n">
        <v>1962</v>
      </c>
      <c r="O619" s="446" t="n">
        <f aca="false">686+686</f>
        <v>1372</v>
      </c>
      <c r="P619" s="446" t="n">
        <v>2245</v>
      </c>
      <c r="Q619" s="157" t="n">
        <v>18</v>
      </c>
      <c r="R619" s="157" t="n">
        <v>1</v>
      </c>
      <c r="S619" s="157" t="n">
        <v>1</v>
      </c>
      <c r="T619" s="457" t="s">
        <v>7531</v>
      </c>
      <c r="U619" s="457" t="n">
        <v>398</v>
      </c>
      <c r="V619" s="458" t="n">
        <v>157000</v>
      </c>
      <c r="W619" s="458" t="n">
        <v>160000</v>
      </c>
      <c r="X619" s="464" t="s">
        <v>6705</v>
      </c>
      <c r="Y619" s="458" t="n">
        <f aca="false">ROUND(J619,-3)</f>
        <v>37000</v>
      </c>
      <c r="Z619" s="457" t="s">
        <v>6638</v>
      </c>
      <c r="AA619" s="157" t="n">
        <v>3</v>
      </c>
      <c r="AB619" s="157" t="n">
        <v>3</v>
      </c>
      <c r="AC619" s="431" t="s">
        <v>586</v>
      </c>
      <c r="AD619" s="437" t="s">
        <v>8356</v>
      </c>
      <c r="AE619" s="167"/>
      <c r="AF619" s="167"/>
      <c r="AG619" s="167"/>
      <c r="AH619" s="167"/>
      <c r="AI619" s="167"/>
      <c r="AJ619" s="167"/>
      <c r="AK619" s="167" t="s">
        <v>8257</v>
      </c>
      <c r="AL619" s="157" t="n">
        <f aca="false">IF(AND(ISNUMBER($S619),$S619&gt;0,ISNUMBER($K619),ISNUMBER($J619)),($K619*$J619)/$S619,"")</f>
        <v>180000</v>
      </c>
    </row>
    <row r="620" customFormat="false" ht="12.75" hidden="false" customHeight="true" outlineLevel="0" collapsed="false">
      <c r="A620" s="441" t="n">
        <v>8</v>
      </c>
      <c r="B620" s="157" t="n">
        <v>612</v>
      </c>
      <c r="C620" s="437" t="s">
        <v>8246</v>
      </c>
      <c r="D620" s="157" t="s">
        <v>8357</v>
      </c>
      <c r="E620" s="461" t="s">
        <v>2461</v>
      </c>
      <c r="F620" s="157" t="s">
        <v>8358</v>
      </c>
      <c r="G620" s="445" t="n">
        <v>44.2</v>
      </c>
      <c r="H620" s="431" t="n">
        <v>9101</v>
      </c>
      <c r="I620" s="457" t="n">
        <v>0</v>
      </c>
      <c r="J620" s="458" t="n">
        <v>22808</v>
      </c>
      <c r="K620" s="462" t="n">
        <v>4.78656611715188</v>
      </c>
      <c r="L620" s="463" t="n">
        <v>0</v>
      </c>
      <c r="M620" s="463" t="n">
        <v>0</v>
      </c>
      <c r="N620" s="431" t="n">
        <v>1964</v>
      </c>
      <c r="P620" s="446" t="n">
        <v>2358</v>
      </c>
      <c r="Q620" s="157" t="n">
        <v>18</v>
      </c>
      <c r="R620" s="157" t="n">
        <v>3</v>
      </c>
      <c r="S620" s="157" t="n">
        <v>1</v>
      </c>
      <c r="T620" s="457" t="s">
        <v>7531</v>
      </c>
      <c r="U620" s="457" t="n">
        <v>398</v>
      </c>
      <c r="V620" s="458" t="n">
        <v>133478</v>
      </c>
      <c r="W620" s="458" t="n">
        <v>130000</v>
      </c>
      <c r="X620" s="464" t="s">
        <v>7191</v>
      </c>
      <c r="Y620" s="458" t="n">
        <f aca="false">ROUND(J620,-3)</f>
        <v>23000</v>
      </c>
      <c r="Z620" s="457" t="s">
        <v>6638</v>
      </c>
      <c r="AA620" s="157" t="n">
        <v>3</v>
      </c>
      <c r="AB620" s="157" t="n">
        <v>3</v>
      </c>
      <c r="AC620" s="431" t="s">
        <v>586</v>
      </c>
      <c r="AD620" s="437" t="s">
        <v>8359</v>
      </c>
      <c r="AE620" s="167"/>
      <c r="AF620" s="167"/>
      <c r="AG620" s="167"/>
      <c r="AH620" s="167"/>
      <c r="AI620" s="167"/>
      <c r="AJ620" s="167"/>
      <c r="AK620" s="167" t="s">
        <v>8257</v>
      </c>
      <c r="AL620" s="157" t="n">
        <f aca="false">IF(AND(ISNUMBER($S620),$S620&gt;0,ISNUMBER($K620),ISNUMBER($J620)),($K620*$J620)/$S620,"")</f>
        <v>109172</v>
      </c>
    </row>
    <row r="621" customFormat="false" ht="12.75" hidden="false" customHeight="true" outlineLevel="0" collapsed="false">
      <c r="A621" s="441" t="n">
        <v>8</v>
      </c>
      <c r="B621" s="157" t="n">
        <v>613</v>
      </c>
      <c r="C621" s="437" t="s">
        <v>8246</v>
      </c>
      <c r="D621" s="157" t="s">
        <v>8360</v>
      </c>
      <c r="E621" s="461" t="s">
        <v>2461</v>
      </c>
      <c r="F621" s="157" t="s">
        <v>8361</v>
      </c>
      <c r="G621" s="445" t="n">
        <v>44.1</v>
      </c>
      <c r="H621" s="431" t="n">
        <v>9101</v>
      </c>
      <c r="I621" s="457" t="n">
        <v>0</v>
      </c>
      <c r="J621" s="458" t="n">
        <v>25200</v>
      </c>
      <c r="K621" s="462" t="n">
        <v>4.81543650793651</v>
      </c>
      <c r="L621" s="463" t="n">
        <v>0</v>
      </c>
      <c r="M621" s="463" t="n">
        <v>0.0278453056885512</v>
      </c>
      <c r="N621" s="431" t="n">
        <v>1965</v>
      </c>
      <c r="O621" s="446" t="n">
        <v>890</v>
      </c>
      <c r="P621" s="446" t="n">
        <v>2400</v>
      </c>
      <c r="Q621" s="157" t="n">
        <v>26</v>
      </c>
      <c r="R621" s="157" t="n">
        <v>10</v>
      </c>
      <c r="S621" s="157" t="n">
        <v>1</v>
      </c>
      <c r="T621" s="457" t="s">
        <v>7531</v>
      </c>
      <c r="U621" s="457" t="n">
        <v>398</v>
      </c>
      <c r="V621" s="458" t="n">
        <v>102727</v>
      </c>
      <c r="W621" s="458" t="n">
        <v>100000</v>
      </c>
      <c r="X621" s="464" t="s">
        <v>6659</v>
      </c>
      <c r="Y621" s="458" t="n">
        <f aca="false">ROUND(J621,-3)</f>
        <v>25000</v>
      </c>
      <c r="Z621" s="457" t="s">
        <v>6638</v>
      </c>
      <c r="AA621" s="157" t="n">
        <v>3</v>
      </c>
      <c r="AB621" s="157" t="n">
        <v>3</v>
      </c>
      <c r="AC621" s="431" t="s">
        <v>586</v>
      </c>
      <c r="AD621" s="437"/>
      <c r="AE621" s="167"/>
      <c r="AF621" s="167"/>
      <c r="AG621" s="167"/>
      <c r="AH621" s="167"/>
      <c r="AI621" s="167"/>
      <c r="AJ621" s="167"/>
      <c r="AK621" s="167" t="s">
        <v>8257</v>
      </c>
      <c r="AL621" s="157" t="n">
        <f aca="false">IF(AND(ISNUMBER($S621),$S621&gt;0,ISNUMBER($K621),ISNUMBER($J621)),($K621*$J621)/$S621,"")</f>
        <v>121349</v>
      </c>
    </row>
    <row r="622" customFormat="false" ht="12.75" hidden="false" customHeight="true" outlineLevel="0" collapsed="false">
      <c r="A622" s="441" t="n">
        <v>8</v>
      </c>
      <c r="B622" s="157" t="n">
        <v>614</v>
      </c>
      <c r="C622" s="437" t="s">
        <v>8246</v>
      </c>
      <c r="D622" s="157" t="s">
        <v>8362</v>
      </c>
      <c r="E622" s="461" t="s">
        <v>2461</v>
      </c>
      <c r="F622" s="157" t="s">
        <v>8363</v>
      </c>
      <c r="G622" s="445" t="n">
        <v>44.1</v>
      </c>
      <c r="H622" s="431" t="n">
        <v>9101</v>
      </c>
      <c r="I622" s="457" t="n">
        <v>0</v>
      </c>
      <c r="J622" s="458" t="n">
        <v>82122</v>
      </c>
      <c r="K622" s="462" t="n">
        <v>3.33193297776479</v>
      </c>
      <c r="L622" s="463" t="n">
        <v>0</v>
      </c>
      <c r="M622" s="463" t="n">
        <v>0</v>
      </c>
      <c r="N622" s="431" t="n">
        <v>1957</v>
      </c>
      <c r="O622" s="446" t="n">
        <f aca="false">3330+16342</f>
        <v>19672</v>
      </c>
      <c r="Q622" s="157" t="n">
        <v>17</v>
      </c>
      <c r="R622" s="157" t="n">
        <v>1</v>
      </c>
      <c r="S622" s="157" t="n">
        <v>1</v>
      </c>
      <c r="T622" s="457" t="s">
        <v>7531</v>
      </c>
      <c r="U622" s="457" t="n">
        <v>398</v>
      </c>
      <c r="V622" s="458" t="n">
        <v>133546</v>
      </c>
      <c r="W622" s="458" t="n">
        <v>130000</v>
      </c>
      <c r="X622" s="464" t="s">
        <v>6668</v>
      </c>
      <c r="Y622" s="458" t="n">
        <f aca="false">ROUND(J622,-4)</f>
        <v>80000</v>
      </c>
      <c r="Z622" s="457" t="s">
        <v>6638</v>
      </c>
      <c r="AA622" s="157" t="n">
        <v>3</v>
      </c>
      <c r="AB622" s="157" t="n">
        <v>3</v>
      </c>
      <c r="AC622" s="431" t="s">
        <v>586</v>
      </c>
      <c r="AD622" s="437"/>
      <c r="AE622" s="167"/>
      <c r="AF622" s="167"/>
      <c r="AG622" s="167"/>
      <c r="AH622" s="167"/>
      <c r="AI622" s="167"/>
      <c r="AJ622" s="167"/>
      <c r="AK622" s="167" t="s">
        <v>8308</v>
      </c>
      <c r="AL622" s="157" t="n">
        <f aca="false">IF(AND(ISNUMBER($S622),$S622&gt;0,ISNUMBER($K622),ISNUMBER($J622)),($K622*$J622)/$S622,"")</f>
        <v>273625</v>
      </c>
    </row>
    <row r="623" customFormat="false" ht="12.75" hidden="false" customHeight="true" outlineLevel="0" collapsed="false">
      <c r="A623" s="441" t="n">
        <v>8</v>
      </c>
      <c r="B623" s="157" t="n">
        <v>615</v>
      </c>
      <c r="C623" s="437" t="s">
        <v>8246</v>
      </c>
      <c r="D623" s="157" t="s">
        <v>8364</v>
      </c>
      <c r="E623" s="461" t="s">
        <v>2461</v>
      </c>
      <c r="F623" s="157" t="s">
        <v>8365</v>
      </c>
      <c r="G623" s="445" t="n">
        <v>44.2</v>
      </c>
      <c r="H623" s="431" t="n">
        <v>9101</v>
      </c>
      <c r="I623" s="457" t="n">
        <v>0</v>
      </c>
      <c r="J623" s="458" t="n">
        <v>87758</v>
      </c>
      <c r="K623" s="462" t="n">
        <v>3.46636204106748</v>
      </c>
      <c r="L623" s="463" t="n">
        <v>0</v>
      </c>
      <c r="M623" s="463" t="n">
        <v>0.430136653068202</v>
      </c>
      <c r="N623" s="431" t="n">
        <v>1953</v>
      </c>
      <c r="O623" s="446" t="n">
        <f aca="false">3980+1982</f>
        <v>5962</v>
      </c>
      <c r="Q623" s="157" t="n">
        <v>18</v>
      </c>
      <c r="R623" s="157" t="n">
        <v>4</v>
      </c>
      <c r="S623" s="157" t="n">
        <v>1</v>
      </c>
      <c r="T623" s="457" t="s">
        <v>7531</v>
      </c>
      <c r="U623" s="457" t="n">
        <v>398</v>
      </c>
      <c r="V623" s="458" t="n">
        <v>193278</v>
      </c>
      <c r="W623" s="458" t="n">
        <v>190000</v>
      </c>
      <c r="X623" s="464" t="s">
        <v>6700</v>
      </c>
      <c r="Y623" s="458" t="n">
        <f aca="false">ROUND(J623,-4)</f>
        <v>90000</v>
      </c>
      <c r="Z623" s="457" t="s">
        <v>6638</v>
      </c>
      <c r="AA623" s="157" t="n">
        <v>3</v>
      </c>
      <c r="AB623" s="157" t="n">
        <v>3</v>
      </c>
      <c r="AC623" s="431" t="s">
        <v>586</v>
      </c>
      <c r="AD623" s="437" t="s">
        <v>8366</v>
      </c>
      <c r="AE623" s="167"/>
      <c r="AF623" s="167"/>
      <c r="AG623" s="167"/>
      <c r="AH623" s="167"/>
      <c r="AI623" s="167"/>
      <c r="AJ623" s="167"/>
      <c r="AK623" s="167" t="s">
        <v>8367</v>
      </c>
      <c r="AL623" s="157" t="n">
        <f aca="false">IF(AND(ISNUMBER($S623),$S623&gt;0,ISNUMBER($K623),ISNUMBER($J623)),($K623*$J623)/$S623,"")</f>
        <v>304201</v>
      </c>
    </row>
    <row r="624" customFormat="false" ht="12.75" hidden="false" customHeight="true" outlineLevel="0" collapsed="false">
      <c r="A624" s="441" t="n">
        <v>8</v>
      </c>
      <c r="B624" s="157" t="n">
        <v>616</v>
      </c>
      <c r="C624" s="437" t="s">
        <v>8246</v>
      </c>
      <c r="D624" s="157" t="s">
        <v>6755</v>
      </c>
      <c r="E624" s="461" t="s">
        <v>2461</v>
      </c>
      <c r="F624" s="157" t="s">
        <v>6756</v>
      </c>
      <c r="G624" s="445" t="n">
        <v>44.2</v>
      </c>
      <c r="H624" s="431" t="n">
        <v>9101</v>
      </c>
      <c r="I624" s="457" t="n">
        <v>0</v>
      </c>
      <c r="J624" s="458" t="n">
        <v>43824</v>
      </c>
      <c r="K624" s="462" t="n">
        <v>3.69658178167214</v>
      </c>
      <c r="L624" s="463" t="n">
        <v>0</v>
      </c>
      <c r="M624" s="463" t="n">
        <v>0.0338890980808524</v>
      </c>
      <c r="N624" s="431" t="n">
        <v>1973</v>
      </c>
      <c r="O624" s="446" t="n">
        <f aca="false">1474+1830</f>
        <v>3304</v>
      </c>
      <c r="Q624" s="157" t="n">
        <v>22</v>
      </c>
      <c r="R624" s="157" t="n">
        <v>10</v>
      </c>
      <c r="S624" s="157" t="n">
        <v>1</v>
      </c>
      <c r="T624" s="457" t="s">
        <v>7531</v>
      </c>
      <c r="U624" s="457" t="n">
        <v>398</v>
      </c>
      <c r="V624" s="458" t="n">
        <v>117172</v>
      </c>
      <c r="W624" s="458" t="n">
        <v>120000</v>
      </c>
      <c r="X624" s="464" t="s">
        <v>6757</v>
      </c>
      <c r="Y624" s="458" t="n">
        <f aca="false">ROUND(J624,-3)</f>
        <v>44000</v>
      </c>
      <c r="Z624" s="457" t="s">
        <v>6638</v>
      </c>
      <c r="AA624" s="157" t="n">
        <v>3</v>
      </c>
      <c r="AB624" s="157" t="n">
        <v>3</v>
      </c>
      <c r="AC624" s="431" t="s">
        <v>586</v>
      </c>
      <c r="AD624" s="437" t="s">
        <v>6758</v>
      </c>
      <c r="AE624" s="167"/>
      <c r="AF624" s="167"/>
      <c r="AG624" s="167"/>
      <c r="AH624" s="167"/>
      <c r="AI624" s="167"/>
      <c r="AJ624" s="167"/>
      <c r="AK624" s="167" t="s">
        <v>8368</v>
      </c>
      <c r="AL624" s="157" t="n">
        <f aca="false">IF(AND(ISNUMBER($S624),$S624&gt;0,ISNUMBER($K624),ISNUMBER($J624)),($K624*$J624)/$S624,"")</f>
        <v>161999</v>
      </c>
    </row>
    <row r="625" customFormat="false" ht="12.75" hidden="false" customHeight="true" outlineLevel="0" collapsed="false">
      <c r="A625" s="441" t="n">
        <v>8</v>
      </c>
      <c r="B625" s="157" t="n">
        <v>617</v>
      </c>
      <c r="C625" s="437" t="s">
        <v>8246</v>
      </c>
      <c r="D625" s="157" t="s">
        <v>7611</v>
      </c>
      <c r="E625" s="461" t="s">
        <v>2461</v>
      </c>
      <c r="F625" s="157" t="s">
        <v>8369</v>
      </c>
      <c r="G625" s="445" t="n">
        <v>44.2</v>
      </c>
      <c r="H625" s="431" t="n">
        <v>9101</v>
      </c>
      <c r="I625" s="457" t="n">
        <v>0</v>
      </c>
      <c r="J625" s="458" t="n">
        <v>12559</v>
      </c>
      <c r="K625" s="462" t="n">
        <v>3.93144358627279</v>
      </c>
      <c r="L625" s="463" t="n">
        <v>1</v>
      </c>
      <c r="M625" s="463" t="n">
        <v>0.521316455696203</v>
      </c>
      <c r="N625" s="431" t="n">
        <v>1953</v>
      </c>
      <c r="P625" s="446" t="n">
        <v>1233</v>
      </c>
      <c r="Q625" s="157" t="n">
        <v>15</v>
      </c>
      <c r="R625" s="157" t="n">
        <v>3</v>
      </c>
      <c r="S625" s="157" t="n">
        <v>1</v>
      </c>
      <c r="T625" s="457" t="s">
        <v>7531</v>
      </c>
      <c r="U625" s="457" t="n">
        <v>398</v>
      </c>
      <c r="V625" s="458" t="n">
        <v>25000</v>
      </c>
      <c r="W625" s="458" t="n">
        <v>25000</v>
      </c>
      <c r="X625" s="464" t="s">
        <v>7546</v>
      </c>
      <c r="Y625" s="458" t="n">
        <f aca="false">ROUND(J625,-3)</f>
        <v>13000</v>
      </c>
      <c r="Z625" s="457" t="s">
        <v>6638</v>
      </c>
      <c r="AA625" s="157" t="n">
        <v>3</v>
      </c>
      <c r="AB625" s="157" t="n">
        <v>2</v>
      </c>
      <c r="AC625" s="431" t="s">
        <v>582</v>
      </c>
      <c r="AD625" s="437"/>
      <c r="AE625" s="167"/>
      <c r="AF625" s="167"/>
      <c r="AG625" s="167"/>
      <c r="AH625" s="167"/>
      <c r="AI625" s="167"/>
      <c r="AJ625" s="167"/>
      <c r="AK625" s="167" t="s">
        <v>8257</v>
      </c>
      <c r="AL625" s="157" t="n">
        <f aca="false">IF(AND(ISNUMBER($S625),$S625&gt;0,ISNUMBER($K625),ISNUMBER($J625)),($K625*$J625)/$S625,"")</f>
        <v>49375</v>
      </c>
    </row>
    <row r="626" customFormat="false" ht="12.75" hidden="false" customHeight="true" outlineLevel="0" collapsed="false">
      <c r="A626" s="441" t="n">
        <v>8</v>
      </c>
      <c r="B626" s="157" t="n">
        <v>618</v>
      </c>
      <c r="C626" s="437" t="s">
        <v>8246</v>
      </c>
      <c r="D626" s="157" t="s">
        <v>8370</v>
      </c>
      <c r="E626" s="461" t="s">
        <v>2461</v>
      </c>
      <c r="F626" s="157" t="s">
        <v>8371</v>
      </c>
      <c r="G626" s="445" t="n">
        <v>44.2</v>
      </c>
      <c r="H626" s="431" t="n">
        <v>9101</v>
      </c>
      <c r="I626" s="457" t="n">
        <v>0</v>
      </c>
      <c r="J626" s="458" t="n">
        <v>17600</v>
      </c>
      <c r="K626" s="462" t="n">
        <v>5.26704545454545</v>
      </c>
      <c r="L626" s="463" t="n">
        <v>0</v>
      </c>
      <c r="M626" s="463" t="n">
        <v>0.1680690399137</v>
      </c>
      <c r="N626" s="431" t="n">
        <v>1973</v>
      </c>
      <c r="O626" s="446" t="n">
        <f aca="false">1900*2</f>
        <v>3800</v>
      </c>
      <c r="Q626" s="157" t="n">
        <v>24</v>
      </c>
      <c r="R626" s="157" t="n">
        <v>14</v>
      </c>
      <c r="S626" s="157" t="n">
        <v>1</v>
      </c>
      <c r="T626" s="457" t="s">
        <v>7531</v>
      </c>
      <c r="U626" s="457" t="n">
        <v>398</v>
      </c>
      <c r="V626" s="458" t="n">
        <v>43750</v>
      </c>
      <c r="W626" s="458" t="n">
        <v>44000</v>
      </c>
      <c r="X626" s="464" t="s">
        <v>6692</v>
      </c>
      <c r="Y626" s="458" t="n">
        <f aca="false">ROUND(J626,-3)</f>
        <v>18000</v>
      </c>
      <c r="Z626" s="457" t="s">
        <v>6638</v>
      </c>
      <c r="AA626" s="157" t="n">
        <v>3</v>
      </c>
      <c r="AB626" s="157" t="n">
        <v>3</v>
      </c>
      <c r="AC626" s="431" t="s">
        <v>586</v>
      </c>
      <c r="AD626" s="437" t="s">
        <v>8372</v>
      </c>
      <c r="AE626" s="167"/>
      <c r="AF626" s="167"/>
      <c r="AG626" s="167"/>
      <c r="AH626" s="167"/>
      <c r="AI626" s="167"/>
      <c r="AJ626" s="167"/>
      <c r="AK626" s="167" t="s">
        <v>8342</v>
      </c>
      <c r="AL626" s="157" t="n">
        <f aca="false">IF(AND(ISNUMBER($S626),$S626&gt;0,ISNUMBER($K626),ISNUMBER($J626)),($K626*$J626)/$S626,"")</f>
        <v>92699.9999999999</v>
      </c>
    </row>
    <row r="627" customFormat="false" ht="12.75" hidden="false" customHeight="true" outlineLevel="0" collapsed="false">
      <c r="A627" s="441" t="n">
        <v>8</v>
      </c>
      <c r="B627" s="157" t="n">
        <v>619</v>
      </c>
      <c r="C627" s="437" t="s">
        <v>8246</v>
      </c>
      <c r="D627" s="157" t="s">
        <v>8373</v>
      </c>
      <c r="E627" s="461" t="s">
        <v>2461</v>
      </c>
      <c r="F627" s="157" t="s">
        <v>8374</v>
      </c>
      <c r="G627" s="445" t="n">
        <v>44.1</v>
      </c>
      <c r="H627" s="431" t="n">
        <v>9101</v>
      </c>
      <c r="I627" s="457" t="n">
        <v>0</v>
      </c>
      <c r="J627" s="458" t="n">
        <v>3178</v>
      </c>
      <c r="K627" s="462" t="n">
        <v>4.60163624921334</v>
      </c>
      <c r="L627" s="463" t="n">
        <v>0</v>
      </c>
      <c r="M627" s="463" t="n">
        <v>0</v>
      </c>
      <c r="N627" s="431" t="n">
        <v>1963</v>
      </c>
      <c r="Q627" s="157" t="n">
        <v>14</v>
      </c>
      <c r="R627" s="157" t="n">
        <v>3</v>
      </c>
      <c r="S627" s="157" t="n">
        <v>1</v>
      </c>
      <c r="T627" s="457" t="s">
        <v>7529</v>
      </c>
      <c r="U627" s="457" t="n">
        <v>398</v>
      </c>
      <c r="V627" s="458" t="n">
        <v>12500</v>
      </c>
      <c r="W627" s="458" t="n">
        <v>13000</v>
      </c>
      <c r="X627" s="464" t="s">
        <v>6637</v>
      </c>
      <c r="Y627" s="458" t="n">
        <f aca="false">ROUND(J627,-3)</f>
        <v>3000</v>
      </c>
      <c r="Z627" s="457" t="s">
        <v>6638</v>
      </c>
      <c r="AA627" s="157" t="n">
        <v>3</v>
      </c>
      <c r="AB627" s="157" t="n">
        <v>3</v>
      </c>
      <c r="AC627" s="431" t="s">
        <v>586</v>
      </c>
      <c r="AD627" s="437" t="s">
        <v>8375</v>
      </c>
      <c r="AE627" s="167"/>
      <c r="AF627" s="167"/>
      <c r="AG627" s="167"/>
      <c r="AH627" s="167"/>
      <c r="AI627" s="167"/>
      <c r="AJ627" s="167"/>
      <c r="AK627" s="167" t="s">
        <v>8257</v>
      </c>
      <c r="AL627" s="157" t="n">
        <f aca="false">IF(AND(ISNUMBER($S627),$S627&gt;0,ISNUMBER($K627),ISNUMBER($J627)),($K627*$J627)/$S627,"")</f>
        <v>14624</v>
      </c>
    </row>
    <row r="628" customFormat="false" ht="12.75" hidden="false" customHeight="true" outlineLevel="0" collapsed="false">
      <c r="A628" s="441" t="n">
        <v>8</v>
      </c>
      <c r="B628" s="157" t="n">
        <v>620</v>
      </c>
      <c r="C628" s="437" t="s">
        <v>8246</v>
      </c>
      <c r="D628" s="157" t="s">
        <v>8376</v>
      </c>
      <c r="E628" s="461" t="s">
        <v>2461</v>
      </c>
      <c r="F628" s="157" t="s">
        <v>8377</v>
      </c>
      <c r="G628" s="445" t="n">
        <v>44.1</v>
      </c>
      <c r="H628" s="431" t="n">
        <v>9101</v>
      </c>
      <c r="I628" s="457" t="n">
        <v>0</v>
      </c>
      <c r="J628" s="458" t="n">
        <v>5949</v>
      </c>
      <c r="K628" s="462" t="n">
        <v>4.60178181206926</v>
      </c>
      <c r="L628" s="463" t="n">
        <v>0</v>
      </c>
      <c r="M628" s="463" t="n">
        <v>0</v>
      </c>
      <c r="N628" s="431" t="n">
        <v>1967</v>
      </c>
      <c r="O628" s="446" t="n">
        <f aca="false">1067+1287</f>
        <v>2354</v>
      </c>
      <c r="Q628" s="157" t="n">
        <v>15</v>
      </c>
      <c r="R628" s="157" t="n">
        <v>3</v>
      </c>
      <c r="S628" s="157" t="n">
        <v>1</v>
      </c>
      <c r="T628" s="457" t="s">
        <v>7529</v>
      </c>
      <c r="U628" s="457" t="n">
        <v>398</v>
      </c>
      <c r="V628" s="458" t="n">
        <v>11850</v>
      </c>
      <c r="W628" s="458" t="n">
        <v>12000</v>
      </c>
      <c r="X628" s="464" t="s">
        <v>7546</v>
      </c>
      <c r="Y628" s="458" t="n">
        <f aca="false">ROUND(J628,-3)</f>
        <v>6000</v>
      </c>
      <c r="Z628" s="457" t="s">
        <v>6638</v>
      </c>
      <c r="AA628" s="157" t="n">
        <v>3</v>
      </c>
      <c r="AB628" s="157" t="n">
        <v>3</v>
      </c>
      <c r="AC628" s="431" t="s">
        <v>586</v>
      </c>
      <c r="AD628" s="437" t="s">
        <v>8378</v>
      </c>
      <c r="AE628" s="167"/>
      <c r="AF628" s="167"/>
      <c r="AG628" s="167"/>
      <c r="AH628" s="167"/>
      <c r="AI628" s="167"/>
      <c r="AJ628" s="167"/>
      <c r="AK628" s="167" t="s">
        <v>8257</v>
      </c>
      <c r="AL628" s="157" t="n">
        <f aca="false">IF(AND(ISNUMBER($S628),$S628&gt;0,ISNUMBER($K628),ISNUMBER($J628)),($K628*$J628)/$S628,"")</f>
        <v>27376</v>
      </c>
    </row>
    <row r="629" customFormat="false" ht="12.75" hidden="false" customHeight="true" outlineLevel="0" collapsed="false">
      <c r="A629" s="441" t="n">
        <v>8</v>
      </c>
      <c r="B629" s="157" t="n">
        <v>621</v>
      </c>
      <c r="C629" s="437" t="s">
        <v>8246</v>
      </c>
      <c r="D629" s="157" t="s">
        <v>6765</v>
      </c>
      <c r="E629" s="461" t="s">
        <v>2461</v>
      </c>
      <c r="F629" s="157" t="s">
        <v>6766</v>
      </c>
      <c r="G629" s="445" t="n">
        <v>44.2</v>
      </c>
      <c r="H629" s="431" t="n">
        <v>9101</v>
      </c>
      <c r="I629" s="457" t="n">
        <v>0</v>
      </c>
      <c r="J629" s="458" t="n">
        <v>2000</v>
      </c>
      <c r="K629" s="462" t="n">
        <v>3.9</v>
      </c>
      <c r="L629" s="463" t="n">
        <v>0</v>
      </c>
      <c r="M629" s="463" t="n">
        <v>0.253589743589744</v>
      </c>
      <c r="N629" s="431" t="n">
        <v>1961</v>
      </c>
      <c r="O629" s="446" t="n">
        <f aca="false">756+2408</f>
        <v>3164</v>
      </c>
      <c r="Q629" s="157" t="n">
        <v>15</v>
      </c>
      <c r="R629" s="157" t="n">
        <v>3</v>
      </c>
      <c r="S629" s="157" t="n">
        <v>1</v>
      </c>
      <c r="T629" s="457" t="s">
        <v>7529</v>
      </c>
      <c r="U629" s="457" t="n">
        <v>398</v>
      </c>
      <c r="V629" s="458" t="n">
        <v>14387</v>
      </c>
      <c r="W629" s="458" t="n">
        <v>14000</v>
      </c>
      <c r="X629" s="464" t="s">
        <v>7546</v>
      </c>
      <c r="Y629" s="458" t="n">
        <f aca="false">ROUND(J629,-3)</f>
        <v>2000</v>
      </c>
      <c r="Z629" s="457" t="s">
        <v>6696</v>
      </c>
      <c r="AA629" s="157" t="n">
        <v>3</v>
      </c>
      <c r="AB629" s="157" t="n">
        <v>3</v>
      </c>
      <c r="AC629" s="431" t="s">
        <v>586</v>
      </c>
      <c r="AD629" s="437"/>
      <c r="AE629" s="167"/>
      <c r="AF629" s="167"/>
      <c r="AG629" s="167"/>
      <c r="AH629" s="167"/>
      <c r="AI629" s="167"/>
      <c r="AJ629" s="167"/>
      <c r="AK629" s="167" t="s">
        <v>8379</v>
      </c>
      <c r="AL629" s="157" t="n">
        <f aca="false">IF(AND(ISNUMBER($S629),$S629&gt;0,ISNUMBER($K629),ISNUMBER($J629)),($K629*$J629)/$S629,"")</f>
        <v>7800</v>
      </c>
    </row>
    <row r="630" customFormat="false" ht="12.75" hidden="false" customHeight="true" outlineLevel="0" collapsed="false">
      <c r="A630" s="441" t="n">
        <v>8</v>
      </c>
      <c r="B630" s="157" t="n">
        <v>622</v>
      </c>
      <c r="C630" s="437" t="s">
        <v>8246</v>
      </c>
      <c r="D630" s="157" t="s">
        <v>7615</v>
      </c>
      <c r="E630" s="461" t="s">
        <v>2461</v>
      </c>
      <c r="F630" s="157" t="s">
        <v>8380</v>
      </c>
      <c r="G630" s="445" t="n">
        <v>45.1</v>
      </c>
      <c r="H630" s="431" t="n">
        <v>9101</v>
      </c>
      <c r="I630" s="457" t="n">
        <v>0</v>
      </c>
      <c r="J630" s="458" t="n">
        <v>10250</v>
      </c>
      <c r="K630" s="462" t="n">
        <v>8.34146341463415</v>
      </c>
      <c r="L630" s="463" t="n">
        <v>0</v>
      </c>
      <c r="M630" s="463" t="n">
        <v>0</v>
      </c>
      <c r="N630" s="431" t="n">
        <v>1965</v>
      </c>
      <c r="O630" s="446" t="n">
        <v>2584</v>
      </c>
      <c r="Q630" s="157" t="n">
        <v>18</v>
      </c>
      <c r="R630" s="157" t="n">
        <v>1</v>
      </c>
      <c r="S630" s="157" t="n">
        <v>1</v>
      </c>
      <c r="T630" s="457" t="s">
        <v>7526</v>
      </c>
      <c r="U630" s="457" t="n">
        <v>401</v>
      </c>
      <c r="V630" s="458" t="n">
        <v>18500</v>
      </c>
      <c r="W630" s="458" t="n">
        <v>19000</v>
      </c>
      <c r="X630" s="464" t="s">
        <v>6863</v>
      </c>
      <c r="Y630" s="458" t="n">
        <f aca="false">ROUND(J630,-3)</f>
        <v>10000</v>
      </c>
      <c r="Z630" s="457" t="s">
        <v>6638</v>
      </c>
      <c r="AA630" s="157" t="n">
        <v>3</v>
      </c>
      <c r="AB630" s="157" t="n">
        <v>3</v>
      </c>
      <c r="AC630" s="431" t="s">
        <v>586</v>
      </c>
      <c r="AD630" s="437" t="s">
        <v>7617</v>
      </c>
      <c r="AE630" s="167"/>
      <c r="AF630" s="167"/>
      <c r="AG630" s="167"/>
      <c r="AH630" s="167"/>
      <c r="AI630" s="167"/>
      <c r="AJ630" s="167"/>
      <c r="AK630" s="167" t="s">
        <v>8381</v>
      </c>
      <c r="AL630" s="157" t="n">
        <f aca="false">IF(AND(ISNUMBER($S630),$S630&gt;0,ISNUMBER($K630),ISNUMBER($J630)),($K630*$J630)/$S630,"")</f>
        <v>85500</v>
      </c>
    </row>
    <row r="631" customFormat="false" ht="12.75" hidden="false" customHeight="true" outlineLevel="0" collapsed="false">
      <c r="A631" s="441" t="n">
        <v>8</v>
      </c>
      <c r="B631" s="157" t="n">
        <v>623</v>
      </c>
      <c r="C631" s="437" t="s">
        <v>8246</v>
      </c>
      <c r="D631" s="157" t="s">
        <v>8382</v>
      </c>
      <c r="E631" s="461" t="s">
        <v>2461</v>
      </c>
      <c r="F631" s="157" t="s">
        <v>6791</v>
      </c>
      <c r="G631" s="445" t="n">
        <v>44.2</v>
      </c>
      <c r="H631" s="431" t="n">
        <v>9101</v>
      </c>
      <c r="I631" s="457" t="n">
        <v>0</v>
      </c>
      <c r="J631" s="458" t="n">
        <v>27495</v>
      </c>
      <c r="K631" s="462" t="n">
        <v>5.08139661756683</v>
      </c>
      <c r="L631" s="463" t="n">
        <v>0</v>
      </c>
      <c r="M631" s="463" t="n">
        <v>0.0861623470972637</v>
      </c>
      <c r="N631" s="431" t="n">
        <v>1974</v>
      </c>
      <c r="O631" s="446" t="n">
        <v>6743</v>
      </c>
      <c r="Q631" s="157" t="n">
        <v>17</v>
      </c>
      <c r="R631" s="157" t="n">
        <v>14</v>
      </c>
      <c r="S631" s="157" t="n">
        <v>6</v>
      </c>
      <c r="T631" s="457" t="s">
        <v>7526</v>
      </c>
      <c r="U631" s="457" t="n">
        <v>398</v>
      </c>
      <c r="V631" s="458" t="n">
        <v>153000</v>
      </c>
      <c r="W631" s="458" t="n">
        <v>150000</v>
      </c>
      <c r="X631" s="464" t="s">
        <v>7546</v>
      </c>
      <c r="Y631" s="458" t="n">
        <f aca="false">ROUND(J631,-3)</f>
        <v>27000</v>
      </c>
      <c r="Z631" s="457" t="s">
        <v>6638</v>
      </c>
      <c r="AA631" s="157" t="n">
        <v>3</v>
      </c>
      <c r="AB631" s="157" t="n">
        <v>3</v>
      </c>
      <c r="AC631" s="431" t="s">
        <v>586</v>
      </c>
      <c r="AD631" s="437" t="s">
        <v>6792</v>
      </c>
      <c r="AE631" s="167"/>
      <c r="AF631" s="167"/>
      <c r="AG631" s="167"/>
      <c r="AH631" s="167"/>
      <c r="AI631" s="167"/>
      <c r="AJ631" s="167"/>
      <c r="AK631" s="167" t="s">
        <v>8383</v>
      </c>
      <c r="AL631" s="157" t="n">
        <f aca="false">IF(AND(ISNUMBER($S631),$S631&gt;0,ISNUMBER($K631),ISNUMBER($J631)),($K631*$J631)/$S631,"")</f>
        <v>23285.5</v>
      </c>
    </row>
    <row r="632" customFormat="false" ht="12.75" hidden="false" customHeight="true" outlineLevel="0" collapsed="false">
      <c r="A632" s="441" t="n">
        <v>8</v>
      </c>
      <c r="B632" s="157" t="n">
        <v>624</v>
      </c>
      <c r="C632" s="437" t="s">
        <v>8246</v>
      </c>
      <c r="D632" s="157" t="s">
        <v>6770</v>
      </c>
      <c r="E632" s="461" t="s">
        <v>2461</v>
      </c>
      <c r="F632" s="157" t="s">
        <v>6771</v>
      </c>
      <c r="G632" s="445" t="n">
        <v>44.2</v>
      </c>
      <c r="H632" s="431" t="n">
        <v>9101</v>
      </c>
      <c r="I632" s="457" t="n">
        <v>0</v>
      </c>
      <c r="J632" s="458" t="n">
        <v>16770</v>
      </c>
      <c r="K632" s="462" t="n">
        <v>5.84973166368515</v>
      </c>
      <c r="L632" s="463" t="n">
        <v>0</v>
      </c>
      <c r="M632" s="463" t="n">
        <v>0.279775739041794</v>
      </c>
      <c r="N632" s="431" t="n">
        <v>1980</v>
      </c>
      <c r="O632" s="446" t="n">
        <v>3949</v>
      </c>
      <c r="Q632" s="157" t="n">
        <v>14</v>
      </c>
      <c r="R632" s="157" t="n">
        <v>1</v>
      </c>
      <c r="S632" s="157" t="n">
        <v>1</v>
      </c>
      <c r="T632" s="457" t="s">
        <v>7526</v>
      </c>
      <c r="U632" s="457" t="n">
        <v>398</v>
      </c>
      <c r="V632" s="458" t="n">
        <v>39942</v>
      </c>
      <c r="W632" s="458" t="n">
        <v>40000</v>
      </c>
      <c r="X632" s="464" t="s">
        <v>6650</v>
      </c>
      <c r="Y632" s="458" t="n">
        <f aca="false">ROUND(J632,-3)</f>
        <v>17000</v>
      </c>
      <c r="Z632" s="457" t="s">
        <v>6638</v>
      </c>
      <c r="AA632" s="157" t="n">
        <v>3</v>
      </c>
      <c r="AB632" s="157" t="n">
        <v>3</v>
      </c>
      <c r="AC632" s="431" t="s">
        <v>586</v>
      </c>
      <c r="AD632" s="437" t="s">
        <v>6651</v>
      </c>
      <c r="AE632" s="167"/>
      <c r="AF632" s="167"/>
      <c r="AG632" s="167"/>
      <c r="AH632" s="167"/>
      <c r="AI632" s="167"/>
      <c r="AJ632" s="167"/>
      <c r="AK632" s="167" t="s">
        <v>8384</v>
      </c>
      <c r="AL632" s="157" t="n">
        <f aca="false">IF(AND(ISNUMBER($S632),$S632&gt;0,ISNUMBER($K632),ISNUMBER($J632)),($K632*$J632)/$S632,"")</f>
        <v>98100</v>
      </c>
    </row>
    <row r="633" customFormat="false" ht="12.75" hidden="false" customHeight="true" outlineLevel="0" collapsed="false">
      <c r="A633" s="441" t="n">
        <v>8</v>
      </c>
      <c r="B633" s="157" t="n">
        <v>625</v>
      </c>
      <c r="C633" s="437" t="s">
        <v>8246</v>
      </c>
      <c r="D633" s="157" t="s">
        <v>7621</v>
      </c>
      <c r="E633" s="461" t="s">
        <v>2461</v>
      </c>
      <c r="F633" s="157" t="s">
        <v>8385</v>
      </c>
      <c r="G633" s="445" t="n">
        <v>44.1</v>
      </c>
      <c r="H633" s="431" t="n">
        <v>9101</v>
      </c>
      <c r="I633" s="457" t="n">
        <v>0</v>
      </c>
      <c r="J633" s="458" t="n">
        <v>18901</v>
      </c>
      <c r="K633" s="462" t="n">
        <v>5.71398338712238</v>
      </c>
      <c r="L633" s="463" t="n">
        <v>0</v>
      </c>
      <c r="M633" s="463" t="n">
        <v>0</v>
      </c>
      <c r="N633" s="431" t="n">
        <v>1959</v>
      </c>
      <c r="O633" s="446" t="n">
        <v>3532</v>
      </c>
      <c r="Q633" s="157" t="n">
        <v>12</v>
      </c>
      <c r="R633" s="157" t="n">
        <v>1</v>
      </c>
      <c r="S633" s="157" t="n">
        <v>1</v>
      </c>
      <c r="T633" s="457" t="s">
        <v>7529</v>
      </c>
      <c r="U633" s="457" t="n">
        <v>398</v>
      </c>
      <c r="V633" s="458" t="n">
        <v>43080</v>
      </c>
      <c r="W633" s="458" t="n">
        <v>43000</v>
      </c>
      <c r="X633" s="464" t="s">
        <v>6646</v>
      </c>
      <c r="Y633" s="458" t="n">
        <f aca="false">ROUND(J633,-3)</f>
        <v>19000</v>
      </c>
      <c r="Z633" s="457" t="s">
        <v>6638</v>
      </c>
      <c r="AA633" s="157" t="n">
        <v>3</v>
      </c>
      <c r="AB633" s="157" t="n">
        <v>3</v>
      </c>
      <c r="AC633" s="431" t="s">
        <v>586</v>
      </c>
      <c r="AD633" s="437" t="s">
        <v>6758</v>
      </c>
      <c r="AE633" s="167"/>
      <c r="AF633" s="167"/>
      <c r="AG633" s="167"/>
      <c r="AH633" s="167"/>
      <c r="AI633" s="167"/>
      <c r="AJ633" s="167"/>
      <c r="AK633" s="167" t="s">
        <v>8386</v>
      </c>
      <c r="AL633" s="157" t="n">
        <f aca="false">IF(AND(ISNUMBER($S633),$S633&gt;0,ISNUMBER($K633),ISNUMBER($J633)),($K633*$J633)/$S633,"")</f>
        <v>108000</v>
      </c>
    </row>
    <row r="634" customFormat="false" ht="12.75" hidden="false" customHeight="true" outlineLevel="0" collapsed="false">
      <c r="A634" s="441" t="n">
        <v>8</v>
      </c>
      <c r="B634" s="157" t="n">
        <v>626</v>
      </c>
      <c r="C634" s="437" t="s">
        <v>8246</v>
      </c>
      <c r="D634" s="157" t="s">
        <v>8387</v>
      </c>
      <c r="E634" s="461" t="s">
        <v>2461</v>
      </c>
      <c r="F634" s="157" t="s">
        <v>8388</v>
      </c>
      <c r="G634" s="445" t="n">
        <v>44.1</v>
      </c>
      <c r="H634" s="431" t="n">
        <v>9101</v>
      </c>
      <c r="I634" s="457" t="n">
        <v>0</v>
      </c>
      <c r="J634" s="458" t="n">
        <v>8145</v>
      </c>
      <c r="K634" s="462" t="n">
        <v>3.86740331491713</v>
      </c>
      <c r="L634" s="463" t="n">
        <v>0</v>
      </c>
      <c r="M634" s="463" t="n">
        <v>0.1</v>
      </c>
      <c r="N634" s="431" t="n">
        <v>1969</v>
      </c>
      <c r="O634" s="446" t="n">
        <v>1780</v>
      </c>
      <c r="Q634" s="157" t="n">
        <v>17</v>
      </c>
      <c r="R634" s="157" t="n">
        <v>1</v>
      </c>
      <c r="S634" s="157" t="n">
        <v>1</v>
      </c>
      <c r="T634" s="457" t="s">
        <v>7529</v>
      </c>
      <c r="U634" s="457" t="n">
        <v>398</v>
      </c>
      <c r="V634" s="458" t="n">
        <v>16700</v>
      </c>
      <c r="W634" s="458" t="n">
        <v>17000</v>
      </c>
      <c r="X634" s="464" t="s">
        <v>6754</v>
      </c>
      <c r="Y634" s="458" t="n">
        <f aca="false">ROUND(J634,-3)</f>
        <v>8000</v>
      </c>
      <c r="Z634" s="457" t="s">
        <v>6638</v>
      </c>
      <c r="AA634" s="157" t="n">
        <v>3</v>
      </c>
      <c r="AB634" s="157" t="n">
        <v>3</v>
      </c>
      <c r="AC634" s="431" t="s">
        <v>586</v>
      </c>
      <c r="AD634" s="437" t="s">
        <v>8389</v>
      </c>
      <c r="AE634" s="167"/>
      <c r="AF634" s="167"/>
      <c r="AG634" s="167"/>
      <c r="AH634" s="167"/>
      <c r="AI634" s="167"/>
      <c r="AJ634" s="167"/>
      <c r="AK634" s="167" t="s">
        <v>8342</v>
      </c>
      <c r="AL634" s="157" t="n">
        <f aca="false">IF(AND(ISNUMBER($S634),$S634&gt;0,ISNUMBER($K634),ISNUMBER($J634)),($K634*$J634)/$S634,"")</f>
        <v>31500</v>
      </c>
    </row>
    <row r="635" customFormat="false" ht="12.75" hidden="false" customHeight="true" outlineLevel="0" collapsed="false">
      <c r="A635" s="441" t="n">
        <v>8</v>
      </c>
      <c r="B635" s="157" t="n">
        <v>627</v>
      </c>
      <c r="C635" s="437" t="s">
        <v>8246</v>
      </c>
      <c r="D635" s="157" t="s">
        <v>7623</v>
      </c>
      <c r="E635" s="461" t="s">
        <v>2461</v>
      </c>
      <c r="F635" s="157" t="s">
        <v>8390</v>
      </c>
      <c r="G635" s="445" t="n">
        <v>44.1</v>
      </c>
      <c r="H635" s="431" t="n">
        <v>9101</v>
      </c>
      <c r="I635" s="457" t="n">
        <v>0</v>
      </c>
      <c r="J635" s="458" t="n">
        <v>11308</v>
      </c>
      <c r="K635" s="462" t="n">
        <v>10.399717014503</v>
      </c>
      <c r="L635" s="463" t="n">
        <v>0</v>
      </c>
      <c r="M635" s="463" t="n">
        <v>0</v>
      </c>
      <c r="N635" s="431" t="n">
        <v>1976</v>
      </c>
      <c r="O635" s="446" t="n">
        <v>1392</v>
      </c>
      <c r="Q635" s="157" t="n">
        <v>19</v>
      </c>
      <c r="R635" s="157" t="n">
        <v>10</v>
      </c>
      <c r="S635" s="157" t="n">
        <v>1</v>
      </c>
      <c r="T635" s="457" t="s">
        <v>7526</v>
      </c>
      <c r="U635" s="457" t="n">
        <v>398</v>
      </c>
      <c r="V635" s="458" t="n">
        <v>35505</v>
      </c>
      <c r="W635" s="458" t="n">
        <v>36000</v>
      </c>
      <c r="X635" s="464" t="s">
        <v>6751</v>
      </c>
      <c r="Y635" s="458" t="n">
        <f aca="false">ROUND(J635,-3)</f>
        <v>11000</v>
      </c>
      <c r="Z635" s="457" t="s">
        <v>6638</v>
      </c>
      <c r="AA635" s="157" t="n">
        <v>3</v>
      </c>
      <c r="AB635" s="157" t="n">
        <v>3</v>
      </c>
      <c r="AC635" s="431" t="s">
        <v>586</v>
      </c>
      <c r="AD635" s="437"/>
      <c r="AE635" s="167"/>
      <c r="AF635" s="167"/>
      <c r="AG635" s="167"/>
      <c r="AH635" s="167"/>
      <c r="AI635" s="167"/>
      <c r="AJ635" s="167"/>
      <c r="AK635" s="167" t="s">
        <v>8257</v>
      </c>
      <c r="AL635" s="157" t="n">
        <f aca="false">IF(AND(ISNUMBER($S635),$S635&gt;0,ISNUMBER($K635),ISNUMBER($J635)),($K635*$J635)/$S635,"")</f>
        <v>117600</v>
      </c>
    </row>
    <row r="636" customFormat="false" ht="12.75" hidden="false" customHeight="true" outlineLevel="0" collapsed="false">
      <c r="A636" s="441" t="n">
        <v>8</v>
      </c>
      <c r="B636" s="157" t="n">
        <v>628</v>
      </c>
      <c r="C636" s="437" t="s">
        <v>8246</v>
      </c>
      <c r="D636" s="157" t="s">
        <v>6776</v>
      </c>
      <c r="E636" s="461" t="s">
        <v>2461</v>
      </c>
      <c r="F636" s="157" t="s">
        <v>6777</v>
      </c>
      <c r="G636" s="445" t="n">
        <v>44.1</v>
      </c>
      <c r="H636" s="431" t="n">
        <v>9101</v>
      </c>
      <c r="I636" s="457" t="n">
        <v>0</v>
      </c>
      <c r="J636" s="458" t="n">
        <v>6579</v>
      </c>
      <c r="K636" s="462" t="n">
        <v>2.27998176014592</v>
      </c>
      <c r="L636" s="463" t="n">
        <v>0</v>
      </c>
      <c r="M636" s="463" t="n">
        <v>0.4306</v>
      </c>
      <c r="N636" s="431" t="n">
        <v>1926</v>
      </c>
      <c r="O636" s="446" t="n">
        <v>1620</v>
      </c>
      <c r="Q636" s="157" t="n">
        <v>10</v>
      </c>
      <c r="R636" s="157" t="n">
        <v>1</v>
      </c>
      <c r="S636" s="157" t="n">
        <v>1</v>
      </c>
      <c r="T636" s="457" t="s">
        <v>7529</v>
      </c>
      <c r="U636" s="457" t="n">
        <v>398</v>
      </c>
      <c r="V636" s="458" t="n">
        <v>92437</v>
      </c>
      <c r="W636" s="458" t="n">
        <v>90000</v>
      </c>
      <c r="X636" s="464" t="s">
        <v>6778</v>
      </c>
      <c r="Y636" s="458" t="n">
        <f aca="false">ROUND(J636,-3)</f>
        <v>7000</v>
      </c>
      <c r="Z636" s="457" t="s">
        <v>6638</v>
      </c>
      <c r="AA636" s="157" t="n">
        <v>3</v>
      </c>
      <c r="AB636" s="157" t="n">
        <v>3</v>
      </c>
      <c r="AC636" s="431" t="s">
        <v>586</v>
      </c>
      <c r="AD636" s="437"/>
      <c r="AE636" s="167"/>
      <c r="AF636" s="167"/>
      <c r="AG636" s="167"/>
      <c r="AH636" s="167"/>
      <c r="AI636" s="167"/>
      <c r="AJ636" s="167"/>
      <c r="AK636" s="167" t="s">
        <v>8324</v>
      </c>
      <c r="AL636" s="157" t="n">
        <f aca="false">IF(AND(ISNUMBER($S636),$S636&gt;0,ISNUMBER($K636),ISNUMBER($J636)),($K636*$J636)/$S636,"")</f>
        <v>15000</v>
      </c>
    </row>
    <row r="637" customFormat="false" ht="12.75" hidden="false" customHeight="true" outlineLevel="0" collapsed="false">
      <c r="A637" s="441" t="n">
        <v>8</v>
      </c>
      <c r="B637" s="157" t="n">
        <v>629</v>
      </c>
      <c r="C637" s="437" t="s">
        <v>8246</v>
      </c>
      <c r="D637" s="157" t="s">
        <v>6782</v>
      </c>
      <c r="E637" s="461" t="s">
        <v>2461</v>
      </c>
      <c r="F637" s="157" t="s">
        <v>6783</v>
      </c>
      <c r="G637" s="445" t="n">
        <v>44.1</v>
      </c>
      <c r="H637" s="431" t="n">
        <v>9101</v>
      </c>
      <c r="I637" s="457" t="n">
        <v>0</v>
      </c>
      <c r="J637" s="458" t="n">
        <v>3540</v>
      </c>
      <c r="K637" s="462" t="n">
        <v>8.09689265536723</v>
      </c>
      <c r="L637" s="463" t="n">
        <v>0.11</v>
      </c>
      <c r="M637" s="463" t="n">
        <v>0.123364616404424</v>
      </c>
      <c r="N637" s="431" t="n">
        <v>1958</v>
      </c>
      <c r="O637" s="446" t="n">
        <v>2612</v>
      </c>
      <c r="Q637" s="157" t="n">
        <v>13</v>
      </c>
      <c r="R637" s="157" t="n">
        <v>1</v>
      </c>
      <c r="S637" s="157" t="n">
        <v>1</v>
      </c>
      <c r="T637" s="457" t="s">
        <v>7529</v>
      </c>
      <c r="U637" s="457" t="n">
        <v>398</v>
      </c>
      <c r="V637" s="458" t="n">
        <v>21300</v>
      </c>
      <c r="W637" s="458" t="n">
        <v>21000</v>
      </c>
      <c r="X637" s="464" t="s">
        <v>6754</v>
      </c>
      <c r="Y637" s="458" t="n">
        <f aca="false">ROUND(J637,-3)</f>
        <v>4000</v>
      </c>
      <c r="Z637" s="457" t="s">
        <v>6638</v>
      </c>
      <c r="AA637" s="157" t="n">
        <v>3</v>
      </c>
      <c r="AB637" s="157" t="n">
        <v>3</v>
      </c>
      <c r="AC637" s="431" t="s">
        <v>586</v>
      </c>
      <c r="AD637" s="437" t="s">
        <v>6784</v>
      </c>
      <c r="AE637" s="167"/>
      <c r="AF637" s="167"/>
      <c r="AG637" s="167"/>
      <c r="AH637" s="167"/>
      <c r="AI637" s="167"/>
      <c r="AJ637" s="167"/>
      <c r="AK637" s="167" t="s">
        <v>8391</v>
      </c>
      <c r="AL637" s="157" t="n">
        <f aca="false">IF(AND(ISNUMBER($S637),$S637&gt;0,ISNUMBER($K637),ISNUMBER($J637)),($K637*$J637)/$S637,"")</f>
        <v>28663</v>
      </c>
    </row>
    <row r="638" customFormat="false" ht="12.75" hidden="false" customHeight="true" outlineLevel="0" collapsed="false">
      <c r="A638" s="441" t="n">
        <v>8</v>
      </c>
      <c r="B638" s="157" t="n">
        <v>630</v>
      </c>
      <c r="C638" s="437" t="s">
        <v>8246</v>
      </c>
      <c r="D638" s="157" t="s">
        <v>8392</v>
      </c>
      <c r="E638" s="461" t="s">
        <v>2461</v>
      </c>
      <c r="F638" s="157" t="s">
        <v>8393</v>
      </c>
      <c r="G638" s="445" t="n">
        <v>44.8</v>
      </c>
      <c r="H638" s="431" t="n">
        <v>9101</v>
      </c>
      <c r="I638" s="457" t="n">
        <v>0</v>
      </c>
      <c r="J638" s="458" t="n">
        <v>6719</v>
      </c>
      <c r="K638" s="462" t="n">
        <v>7.85831224884656</v>
      </c>
      <c r="L638" s="463" t="n">
        <v>0</v>
      </c>
      <c r="M638" s="463" t="n">
        <v>0</v>
      </c>
      <c r="N638" s="431" t="n">
        <v>1962</v>
      </c>
      <c r="P638" s="446" t="n">
        <v>750</v>
      </c>
      <c r="Q638" s="157" t="n">
        <v>16</v>
      </c>
      <c r="R638" s="157" t="n">
        <v>1</v>
      </c>
      <c r="S638" s="157" t="n">
        <v>1</v>
      </c>
      <c r="T638" s="457" t="s">
        <v>7529</v>
      </c>
      <c r="U638" s="457" t="n">
        <v>398</v>
      </c>
      <c r="V638" s="458" t="n">
        <v>14654</v>
      </c>
      <c r="W638" s="458" t="n">
        <v>15000</v>
      </c>
      <c r="X638" s="464" t="s">
        <v>6700</v>
      </c>
      <c r="Y638" s="458" t="n">
        <f aca="false">ROUND(J638,-3)</f>
        <v>7000</v>
      </c>
      <c r="Z638" s="457" t="s">
        <v>6638</v>
      </c>
      <c r="AA638" s="157" t="n">
        <v>3</v>
      </c>
      <c r="AB638" s="157" t="n">
        <v>3</v>
      </c>
      <c r="AC638" s="431" t="s">
        <v>586</v>
      </c>
      <c r="AD638" s="437" t="s">
        <v>8394</v>
      </c>
      <c r="AE638" s="167"/>
      <c r="AF638" s="167"/>
      <c r="AG638" s="167"/>
      <c r="AH638" s="167"/>
      <c r="AI638" s="167"/>
      <c r="AJ638" s="167"/>
      <c r="AK638" s="167" t="s">
        <v>8257</v>
      </c>
      <c r="AL638" s="157" t="n">
        <f aca="false">IF(AND(ISNUMBER($S638),$S638&gt;0,ISNUMBER($K638),ISNUMBER($J638)),($K638*$J638)/$S638,"")</f>
        <v>52800</v>
      </c>
    </row>
    <row r="639" customFormat="false" ht="12.75" hidden="false" customHeight="true" outlineLevel="0" collapsed="false">
      <c r="A639" s="441" t="n">
        <v>8</v>
      </c>
      <c r="B639" s="157" t="n">
        <v>631</v>
      </c>
      <c r="C639" s="437" t="s">
        <v>8246</v>
      </c>
      <c r="D639" s="157" t="s">
        <v>8395</v>
      </c>
      <c r="E639" s="461" t="s">
        <v>2461</v>
      </c>
      <c r="F639" s="157" t="s">
        <v>8396</v>
      </c>
      <c r="G639" s="445" t="n">
        <v>44.2</v>
      </c>
      <c r="H639" s="431" t="n">
        <v>9101</v>
      </c>
      <c r="I639" s="457" t="n">
        <v>0</v>
      </c>
      <c r="J639" s="458" t="n">
        <v>29244</v>
      </c>
      <c r="K639" s="462" t="n">
        <v>4.04869374914512</v>
      </c>
      <c r="L639" s="463" t="n">
        <v>0.12</v>
      </c>
      <c r="M639" s="463" t="n">
        <v>0</v>
      </c>
      <c r="N639" s="431" t="n">
        <v>1973</v>
      </c>
      <c r="O639" s="446" t="n">
        <v>2590</v>
      </c>
      <c r="Q639" s="157" t="n">
        <v>21</v>
      </c>
      <c r="R639" s="157" t="n">
        <v>3</v>
      </c>
      <c r="S639" s="157" t="n">
        <v>4</v>
      </c>
      <c r="T639" s="457" t="s">
        <v>7526</v>
      </c>
      <c r="U639" s="457" t="n">
        <v>398</v>
      </c>
      <c r="V639" s="458" t="n">
        <v>75985</v>
      </c>
      <c r="W639" s="458" t="n">
        <v>80000</v>
      </c>
      <c r="X639" s="464" t="s">
        <v>6724</v>
      </c>
      <c r="Y639" s="458" t="n">
        <f aca="false">ROUND(J639,-3)</f>
        <v>29000</v>
      </c>
      <c r="Z639" s="457" t="s">
        <v>6638</v>
      </c>
      <c r="AA639" s="157" t="n">
        <v>2</v>
      </c>
      <c r="AB639" s="157" t="n">
        <v>2</v>
      </c>
      <c r="AC639" s="431" t="s">
        <v>533</v>
      </c>
      <c r="AD639" s="437" t="s">
        <v>8397</v>
      </c>
      <c r="AE639" s="167"/>
      <c r="AF639" s="167"/>
      <c r="AG639" s="167"/>
      <c r="AH639" s="167"/>
      <c r="AI639" s="167"/>
      <c r="AJ639" s="167"/>
      <c r="AK639" s="167" t="s">
        <v>8398</v>
      </c>
      <c r="AL639" s="157" t="n">
        <f aca="false">IF(AND(ISNUMBER($S639),$S639&gt;0,ISNUMBER($K639),ISNUMBER($J639)),($K639*$J639)/$S639,"")</f>
        <v>29600</v>
      </c>
    </row>
    <row r="640" customFormat="false" ht="12.75" hidden="false" customHeight="true" outlineLevel="0" collapsed="false">
      <c r="A640" s="441" t="n">
        <v>8</v>
      </c>
      <c r="B640" s="157" t="n">
        <v>632</v>
      </c>
      <c r="C640" s="437" t="s">
        <v>8246</v>
      </c>
      <c r="D640" s="157" t="s">
        <v>6797</v>
      </c>
      <c r="E640" s="461" t="s">
        <v>2461</v>
      </c>
      <c r="F640" s="157" t="s">
        <v>6798</v>
      </c>
      <c r="G640" s="445" t="n">
        <v>44.1</v>
      </c>
      <c r="H640" s="431" t="n">
        <v>9101</v>
      </c>
      <c r="I640" s="457" t="n">
        <v>0</v>
      </c>
      <c r="J640" s="458" t="n">
        <v>7200</v>
      </c>
      <c r="K640" s="462" t="n">
        <v>5.83333333333333</v>
      </c>
      <c r="L640" s="463" t="n">
        <v>0</v>
      </c>
      <c r="M640" s="463" t="n">
        <v>0.214071428571429</v>
      </c>
      <c r="N640" s="431" t="n">
        <v>1962</v>
      </c>
      <c r="O640" s="446" t="n">
        <v>2411</v>
      </c>
      <c r="Q640" s="157" t="n">
        <v>12</v>
      </c>
      <c r="R640" s="157" t="n">
        <v>3</v>
      </c>
      <c r="S640" s="157" t="n">
        <v>1</v>
      </c>
      <c r="T640" s="457" t="s">
        <v>7529</v>
      </c>
      <c r="U640" s="457" t="n">
        <v>398</v>
      </c>
      <c r="V640" s="458" t="n">
        <v>19800</v>
      </c>
      <c r="W640" s="458" t="n">
        <v>20000</v>
      </c>
      <c r="X640" s="464" t="s">
        <v>6664</v>
      </c>
      <c r="Y640" s="458" t="n">
        <f aca="false">ROUND(J640,-3)</f>
        <v>7000</v>
      </c>
      <c r="Z640" s="457" t="s">
        <v>6638</v>
      </c>
      <c r="AA640" s="157" t="n">
        <v>3</v>
      </c>
      <c r="AB640" s="157" t="n">
        <v>3</v>
      </c>
      <c r="AC640" s="431" t="s">
        <v>586</v>
      </c>
      <c r="AD640" s="437" t="s">
        <v>6799</v>
      </c>
      <c r="AE640" s="167"/>
      <c r="AF640" s="167"/>
      <c r="AG640" s="167"/>
      <c r="AH640" s="167"/>
      <c r="AI640" s="167"/>
      <c r="AJ640" s="167"/>
      <c r="AK640" s="167" t="s">
        <v>8257</v>
      </c>
      <c r="AL640" s="157" t="n">
        <f aca="false">IF(AND(ISNUMBER($S640),$S640&gt;0,ISNUMBER($K640),ISNUMBER($J640)),($K640*$J640)/$S640,"")</f>
        <v>42000</v>
      </c>
    </row>
    <row r="641" customFormat="false" ht="12.75" hidden="false" customHeight="true" outlineLevel="0" collapsed="false">
      <c r="A641" s="441" t="n">
        <v>8</v>
      </c>
      <c r="B641" s="157" t="n">
        <v>633</v>
      </c>
      <c r="C641" s="437" t="s">
        <v>8246</v>
      </c>
      <c r="D641" s="157" t="s">
        <v>6800</v>
      </c>
      <c r="E641" s="461" t="s">
        <v>2461</v>
      </c>
      <c r="F641" s="157" t="s">
        <v>6801</v>
      </c>
      <c r="G641" s="445" t="n">
        <v>43.2</v>
      </c>
      <c r="H641" s="431" t="n">
        <v>9101</v>
      </c>
      <c r="I641" s="457" t="n">
        <v>0</v>
      </c>
      <c r="J641" s="458" t="n">
        <v>6272</v>
      </c>
      <c r="K641" s="462" t="n">
        <v>6.97608418367347</v>
      </c>
      <c r="L641" s="463" t="n">
        <v>0</v>
      </c>
      <c r="M641" s="463" t="n">
        <v>0.0527723179595009</v>
      </c>
      <c r="N641" s="431" t="n">
        <v>1966</v>
      </c>
      <c r="O641" s="446" t="n">
        <v>1040</v>
      </c>
      <c r="Q641" s="157" t="n">
        <v>12</v>
      </c>
      <c r="R641" s="157" t="n">
        <v>1</v>
      </c>
      <c r="S641" s="157" t="n">
        <v>1</v>
      </c>
      <c r="T641" s="457" t="s">
        <v>7526</v>
      </c>
      <c r="U641" s="457" t="n">
        <v>401</v>
      </c>
      <c r="V641" s="458" t="n">
        <v>12951</v>
      </c>
      <c r="W641" s="458" t="n">
        <v>13000</v>
      </c>
      <c r="X641" s="464" t="s">
        <v>6754</v>
      </c>
      <c r="Y641" s="458" t="n">
        <f aca="false">ROUND(J641,-3)</f>
        <v>6000</v>
      </c>
      <c r="Z641" s="457" t="s">
        <v>6638</v>
      </c>
      <c r="AA641" s="157" t="n">
        <v>3</v>
      </c>
      <c r="AB641" s="157" t="n">
        <v>2</v>
      </c>
      <c r="AC641" s="431" t="s">
        <v>582</v>
      </c>
      <c r="AD641" s="437" t="s">
        <v>6802</v>
      </c>
      <c r="AE641" s="167"/>
      <c r="AF641" s="167"/>
      <c r="AG641" s="167"/>
      <c r="AH641" s="167"/>
      <c r="AI641" s="167"/>
      <c r="AJ641" s="167"/>
      <c r="AK641" s="167" t="s">
        <v>8399</v>
      </c>
      <c r="AL641" s="157" t="n">
        <f aca="false">IF(AND(ISNUMBER($S641),$S641&gt;0,ISNUMBER($K641),ISNUMBER($J641)),($K641*$J641)/$S641,"")</f>
        <v>43754</v>
      </c>
    </row>
    <row r="642" customFormat="false" ht="12.75" hidden="false" customHeight="true" outlineLevel="0" collapsed="false">
      <c r="A642" s="441" t="n">
        <v>8</v>
      </c>
      <c r="B642" s="157" t="n">
        <v>634</v>
      </c>
      <c r="C642" s="437" t="s">
        <v>8246</v>
      </c>
      <c r="D642" s="157" t="s">
        <v>8400</v>
      </c>
      <c r="E642" s="461" t="s">
        <v>2461</v>
      </c>
      <c r="F642" s="157" t="s">
        <v>8401</v>
      </c>
      <c r="G642" s="445" t="n">
        <v>44.1</v>
      </c>
      <c r="H642" s="431" t="n">
        <v>9101</v>
      </c>
      <c r="I642" s="457" t="n">
        <v>0</v>
      </c>
      <c r="J642" s="458" t="n">
        <v>5040</v>
      </c>
      <c r="K642" s="462" t="n">
        <v>7.14285714285714</v>
      </c>
      <c r="L642" s="463" t="n">
        <v>1</v>
      </c>
      <c r="M642" s="463" t="n">
        <v>0.119444444444445</v>
      </c>
      <c r="N642" s="431" t="n">
        <v>1966</v>
      </c>
      <c r="O642" s="446" t="n">
        <v>4080</v>
      </c>
      <c r="Q642" s="157" t="n">
        <v>14</v>
      </c>
      <c r="R642" s="157" t="n">
        <v>10</v>
      </c>
      <c r="S642" s="157" t="n">
        <v>1</v>
      </c>
      <c r="T642" s="457" t="s">
        <v>7526</v>
      </c>
      <c r="U642" s="457" t="n">
        <v>397</v>
      </c>
      <c r="V642" s="458" t="n">
        <v>12100</v>
      </c>
      <c r="W642" s="458" t="n">
        <v>12000</v>
      </c>
      <c r="X642" s="464" t="s">
        <v>6650</v>
      </c>
      <c r="Y642" s="458" t="n">
        <f aca="false">ROUND(J642,-3)</f>
        <v>5000</v>
      </c>
      <c r="Z642" s="457" t="s">
        <v>6638</v>
      </c>
      <c r="AA642" s="157" t="n">
        <v>3</v>
      </c>
      <c r="AB642" s="157" t="n">
        <v>3</v>
      </c>
      <c r="AC642" s="431" t="s">
        <v>586</v>
      </c>
      <c r="AD642" s="437"/>
      <c r="AE642" s="167"/>
      <c r="AF642" s="167"/>
      <c r="AG642" s="167"/>
      <c r="AH642" s="167"/>
      <c r="AI642" s="167"/>
      <c r="AJ642" s="167"/>
      <c r="AK642" s="167" t="s">
        <v>8324</v>
      </c>
      <c r="AL642" s="157" t="n">
        <f aca="false">IF(AND(ISNUMBER($S642),$S642&gt;0,ISNUMBER($K642),ISNUMBER($J642)),($K642*$J642)/$S642,"")</f>
        <v>36000</v>
      </c>
    </row>
    <row r="643" customFormat="false" ht="12.75" hidden="false" customHeight="true" outlineLevel="0" collapsed="false">
      <c r="A643" s="441" t="n">
        <v>8</v>
      </c>
      <c r="B643" s="157" t="n">
        <v>635</v>
      </c>
      <c r="C643" s="437" t="s">
        <v>8246</v>
      </c>
      <c r="D643" s="157" t="s">
        <v>6803</v>
      </c>
      <c r="E643" s="461" t="s">
        <v>2461</v>
      </c>
      <c r="F643" s="157" t="s">
        <v>6804</v>
      </c>
      <c r="G643" s="445" t="n">
        <v>44.2</v>
      </c>
      <c r="H643" s="431" t="n">
        <v>9101</v>
      </c>
      <c r="I643" s="457" t="n">
        <v>0</v>
      </c>
      <c r="J643" s="458" t="n">
        <v>18000</v>
      </c>
      <c r="K643" s="462" t="n">
        <v>5.22333333333333</v>
      </c>
      <c r="L643" s="463" t="n">
        <v>0</v>
      </c>
      <c r="M643" s="463" t="n">
        <v>0.132939800042544</v>
      </c>
      <c r="N643" s="431" t="n">
        <v>1962</v>
      </c>
      <c r="O643" s="446" t="n">
        <v>9120</v>
      </c>
      <c r="Q643" s="157" t="n">
        <v>13</v>
      </c>
      <c r="R643" s="157" t="n">
        <v>3</v>
      </c>
      <c r="S643" s="157" t="n">
        <v>6</v>
      </c>
      <c r="T643" s="457" t="s">
        <v>7529</v>
      </c>
      <c r="U643" s="457" t="n">
        <v>398</v>
      </c>
      <c r="V643" s="458" t="n">
        <v>41400</v>
      </c>
      <c r="W643" s="458" t="n">
        <v>41000</v>
      </c>
      <c r="X643" s="464" t="s">
        <v>6646</v>
      </c>
      <c r="Y643" s="458" t="n">
        <f aca="false">ROUND(J643,-3)</f>
        <v>18000</v>
      </c>
      <c r="Z643" s="457" t="s">
        <v>6638</v>
      </c>
      <c r="AA643" s="157" t="n">
        <v>3</v>
      </c>
      <c r="AB643" s="157" t="n">
        <v>3</v>
      </c>
      <c r="AC643" s="431" t="s">
        <v>586</v>
      </c>
      <c r="AD643" s="437" t="s">
        <v>6805</v>
      </c>
      <c r="AE643" s="167"/>
      <c r="AF643" s="167"/>
      <c r="AG643" s="167"/>
      <c r="AH643" s="167"/>
      <c r="AI643" s="167"/>
      <c r="AJ643" s="167"/>
      <c r="AK643" s="167" t="s">
        <v>8402</v>
      </c>
      <c r="AL643" s="157" t="n">
        <f aca="false">IF(AND(ISNUMBER($S643),$S643&gt;0,ISNUMBER($K643),ISNUMBER($J643)),($K643*$J643)/$S643,"")</f>
        <v>15670</v>
      </c>
    </row>
    <row r="644" customFormat="false" ht="12.75" hidden="false" customHeight="true" outlineLevel="0" collapsed="false">
      <c r="A644" s="441" t="n">
        <v>8</v>
      </c>
      <c r="B644" s="157" t="n">
        <v>636</v>
      </c>
      <c r="C644" s="437" t="s">
        <v>8246</v>
      </c>
      <c r="D644" s="157" t="s">
        <v>8403</v>
      </c>
      <c r="E644" s="461" t="s">
        <v>2461</v>
      </c>
      <c r="F644" s="157" t="s">
        <v>8404</v>
      </c>
      <c r="G644" s="445" t="n">
        <v>44.2</v>
      </c>
      <c r="H644" s="431" t="n">
        <v>9101</v>
      </c>
      <c r="I644" s="457" t="n">
        <v>0</v>
      </c>
      <c r="J644" s="458" t="n">
        <v>20221</v>
      </c>
      <c r="K644" s="462" t="n">
        <v>5.34098214727264</v>
      </c>
      <c r="L644" s="463" t="n">
        <v>0</v>
      </c>
      <c r="M644" s="463" t="n">
        <v>0.113888888888889</v>
      </c>
      <c r="N644" s="431" t="n">
        <v>1964</v>
      </c>
      <c r="O644" s="446" t="n">
        <v>1508</v>
      </c>
      <c r="Q644" s="157" t="n">
        <v>18</v>
      </c>
      <c r="R644" s="157" t="n">
        <v>3</v>
      </c>
      <c r="S644" s="157" t="n">
        <v>2</v>
      </c>
      <c r="T644" s="457" t="s">
        <v>7529</v>
      </c>
      <c r="U644" s="457" t="n">
        <v>398</v>
      </c>
      <c r="V644" s="458" t="n">
        <v>34330</v>
      </c>
      <c r="W644" s="458" t="n">
        <v>34000</v>
      </c>
      <c r="X644" s="464" t="s">
        <v>6954</v>
      </c>
      <c r="Y644" s="458" t="n">
        <f aca="false">ROUND(J644,-3)</f>
        <v>20000</v>
      </c>
      <c r="Z644" s="457" t="s">
        <v>6638</v>
      </c>
      <c r="AA644" s="157" t="n">
        <v>3</v>
      </c>
      <c r="AB644" s="157" t="n">
        <v>3</v>
      </c>
      <c r="AC644" s="431" t="s">
        <v>586</v>
      </c>
      <c r="AD644" s="437" t="s">
        <v>8405</v>
      </c>
      <c r="AE644" s="167"/>
      <c r="AF644" s="167"/>
      <c r="AG644" s="167"/>
      <c r="AH644" s="167"/>
      <c r="AI644" s="167"/>
      <c r="AJ644" s="167"/>
      <c r="AK644" s="167" t="s">
        <v>8406</v>
      </c>
      <c r="AL644" s="157" t="n">
        <f aca="false">IF(AND(ISNUMBER($S644),$S644&gt;0,ISNUMBER($K644),ISNUMBER($J644)),($K644*$J644)/$S644,"")</f>
        <v>54000</v>
      </c>
    </row>
    <row r="645" customFormat="false" ht="12.75" hidden="false" customHeight="true" outlineLevel="0" collapsed="false">
      <c r="A645" s="441" t="n">
        <v>8</v>
      </c>
      <c r="B645" s="157" t="n">
        <v>637</v>
      </c>
      <c r="C645" s="437" t="s">
        <v>8246</v>
      </c>
      <c r="D645" s="157" t="s">
        <v>6807</v>
      </c>
      <c r="E645" s="461" t="s">
        <v>2461</v>
      </c>
      <c r="F645" s="157" t="s">
        <v>6808</v>
      </c>
      <c r="G645" s="445" t="n">
        <v>44.2</v>
      </c>
      <c r="H645" s="431" t="n">
        <v>9101</v>
      </c>
      <c r="I645" s="457" t="n">
        <v>0</v>
      </c>
      <c r="J645" s="458" t="n">
        <v>20000</v>
      </c>
      <c r="K645" s="462" t="n">
        <v>4.4182</v>
      </c>
      <c r="L645" s="463" t="n">
        <v>0</v>
      </c>
      <c r="M645" s="463" t="n">
        <v>0.0893689737902313</v>
      </c>
      <c r="N645" s="431" t="n">
        <v>1969</v>
      </c>
      <c r="O645" s="446" t="n">
        <f aca="false">2350+420</f>
        <v>2770</v>
      </c>
      <c r="Q645" s="157" t="n">
        <v>20</v>
      </c>
      <c r="R645" s="157" t="n">
        <v>3</v>
      </c>
      <c r="S645" s="157" t="n">
        <v>1</v>
      </c>
      <c r="T645" s="457" t="s">
        <v>7531</v>
      </c>
      <c r="U645" s="457" t="n">
        <v>398</v>
      </c>
      <c r="V645" s="458" t="n">
        <v>63328</v>
      </c>
      <c r="W645" s="458" t="n">
        <v>60000</v>
      </c>
      <c r="X645" s="464" t="s">
        <v>6695</v>
      </c>
      <c r="Y645" s="458" t="n">
        <f aca="false">ROUND(J645,-3)</f>
        <v>20000</v>
      </c>
      <c r="Z645" s="457" t="s">
        <v>6638</v>
      </c>
      <c r="AA645" s="157" t="n">
        <v>3</v>
      </c>
      <c r="AB645" s="157" t="n">
        <v>3</v>
      </c>
      <c r="AC645" s="431" t="s">
        <v>586</v>
      </c>
      <c r="AD645" s="437"/>
      <c r="AE645" s="167"/>
      <c r="AF645" s="167"/>
      <c r="AG645" s="167"/>
      <c r="AH645" s="167"/>
      <c r="AI645" s="167"/>
      <c r="AJ645" s="167"/>
      <c r="AK645" s="167" t="s">
        <v>8257</v>
      </c>
      <c r="AL645" s="157" t="n">
        <f aca="false">IF(AND(ISNUMBER($S645),$S645&gt;0,ISNUMBER($K645),ISNUMBER($J645)),($K645*$J645)/$S645,"")</f>
        <v>88364</v>
      </c>
    </row>
    <row r="646" customFormat="false" ht="12.75" hidden="false" customHeight="true" outlineLevel="0" collapsed="false">
      <c r="A646" s="441" t="n">
        <v>8</v>
      </c>
      <c r="B646" s="157" t="n">
        <v>638</v>
      </c>
      <c r="C646" s="437" t="s">
        <v>8246</v>
      </c>
      <c r="D646" s="157" t="s">
        <v>8407</v>
      </c>
      <c r="E646" s="461" t="s">
        <v>2461</v>
      </c>
      <c r="F646" s="157" t="s">
        <v>8408</v>
      </c>
      <c r="G646" s="445" t="n">
        <v>44.2</v>
      </c>
      <c r="H646" s="431" t="n">
        <v>9101</v>
      </c>
      <c r="I646" s="457" t="n">
        <v>0</v>
      </c>
      <c r="J646" s="458" t="n">
        <v>15492</v>
      </c>
      <c r="K646" s="462" t="n">
        <v>3.4856700232378</v>
      </c>
      <c r="L646" s="463" t="n">
        <v>0</v>
      </c>
      <c r="M646" s="463" t="n">
        <v>0</v>
      </c>
      <c r="N646" s="431" t="n">
        <v>1974</v>
      </c>
      <c r="P646" s="446" t="n">
        <v>1508</v>
      </c>
      <c r="Q646" s="157" t="n">
        <v>20</v>
      </c>
      <c r="R646" s="157" t="n">
        <v>14</v>
      </c>
      <c r="S646" s="157" t="n">
        <v>1</v>
      </c>
      <c r="T646" s="457" t="s">
        <v>7531</v>
      </c>
      <c r="U646" s="457" t="n">
        <v>398</v>
      </c>
      <c r="V646" s="458" t="n">
        <v>87100</v>
      </c>
      <c r="W646" s="458" t="n">
        <v>90000</v>
      </c>
      <c r="X646" s="464" t="s">
        <v>7341</v>
      </c>
      <c r="Y646" s="458" t="n">
        <f aca="false">ROUND(J646,-3)</f>
        <v>15000</v>
      </c>
      <c r="Z646" s="457" t="s">
        <v>6638</v>
      </c>
      <c r="AA646" s="157" t="n">
        <v>3</v>
      </c>
      <c r="AB646" s="157" t="n">
        <v>3</v>
      </c>
      <c r="AC646" s="431" t="s">
        <v>586</v>
      </c>
      <c r="AD646" s="437"/>
      <c r="AE646" s="167"/>
      <c r="AF646" s="167"/>
      <c r="AG646" s="167"/>
      <c r="AH646" s="167"/>
      <c r="AI646" s="167"/>
      <c r="AJ646" s="167"/>
      <c r="AK646" s="167" t="s">
        <v>8257</v>
      </c>
      <c r="AL646" s="157" t="n">
        <f aca="false">IF(AND(ISNUMBER($S646),$S646&gt;0,ISNUMBER($K646),ISNUMBER($J646)),($K646*$J646)/$S646,"")</f>
        <v>54000</v>
      </c>
    </row>
    <row r="647" customFormat="false" ht="12.75" hidden="false" customHeight="true" outlineLevel="0" collapsed="false">
      <c r="A647" s="441" t="n">
        <v>8</v>
      </c>
      <c r="B647" s="157" t="n">
        <v>639</v>
      </c>
      <c r="C647" s="437" t="s">
        <v>8246</v>
      </c>
      <c r="D647" s="157" t="s">
        <v>8409</v>
      </c>
      <c r="E647" s="461" t="s">
        <v>2461</v>
      </c>
      <c r="F647" s="157" t="s">
        <v>8410</v>
      </c>
      <c r="G647" s="445" t="n">
        <v>47.1</v>
      </c>
      <c r="H647" s="431" t="n">
        <v>9101</v>
      </c>
      <c r="I647" s="457" t="n">
        <v>0</v>
      </c>
      <c r="J647" s="458" t="n">
        <v>19998</v>
      </c>
      <c r="K647" s="462" t="n">
        <v>8.23082308230823</v>
      </c>
      <c r="L647" s="463" t="n">
        <v>0</v>
      </c>
      <c r="M647" s="463" t="n">
        <v>0</v>
      </c>
      <c r="N647" s="431" t="n">
        <v>1970</v>
      </c>
      <c r="O647" s="446" t="n">
        <v>4632</v>
      </c>
      <c r="Q647" s="157" t="n">
        <v>17</v>
      </c>
      <c r="R647" s="157" t="n">
        <v>1</v>
      </c>
      <c r="S647" s="157" t="n">
        <v>1</v>
      </c>
      <c r="T647" s="457" t="s">
        <v>7531</v>
      </c>
      <c r="U647" s="457" t="n">
        <v>401</v>
      </c>
      <c r="V647" s="458" t="n">
        <v>51907</v>
      </c>
      <c r="W647" s="458" t="n">
        <v>50000</v>
      </c>
      <c r="X647" s="464" t="s">
        <v>6724</v>
      </c>
      <c r="Y647" s="458" t="n">
        <f aca="false">ROUND(J647,-3)</f>
        <v>20000</v>
      </c>
      <c r="Z647" s="457" t="s">
        <v>6638</v>
      </c>
      <c r="AA647" s="157" t="n">
        <v>3</v>
      </c>
      <c r="AB647" s="157" t="n">
        <v>3</v>
      </c>
      <c r="AC647" s="431" t="s">
        <v>586</v>
      </c>
      <c r="AD647" s="437" t="s">
        <v>8411</v>
      </c>
      <c r="AE647" s="167"/>
      <c r="AF647" s="167"/>
      <c r="AG647" s="167"/>
      <c r="AH647" s="167"/>
      <c r="AI647" s="167"/>
      <c r="AJ647" s="167"/>
      <c r="AK647" s="167" t="s">
        <v>8412</v>
      </c>
      <c r="AL647" s="157" t="n">
        <f aca="false">IF(AND(ISNUMBER($S647),$S647&gt;0,ISNUMBER($K647),ISNUMBER($J647)),($K647*$J647)/$S647,"")</f>
        <v>164600</v>
      </c>
    </row>
    <row r="648" customFormat="false" ht="12.75" hidden="false" customHeight="true" outlineLevel="0" collapsed="false">
      <c r="A648" s="441" t="n">
        <v>8</v>
      </c>
      <c r="B648" s="157" t="n">
        <v>640</v>
      </c>
      <c r="C648" s="437" t="s">
        <v>8246</v>
      </c>
      <c r="D648" s="157" t="s">
        <v>6810</v>
      </c>
      <c r="E648" s="461" t="s">
        <v>2461</v>
      </c>
      <c r="F648" s="157" t="s">
        <v>6811</v>
      </c>
      <c r="G648" s="445" t="n">
        <v>44.2</v>
      </c>
      <c r="H648" s="431" t="n">
        <v>9101</v>
      </c>
      <c r="I648" s="457" t="n">
        <v>0</v>
      </c>
      <c r="J648" s="458" t="n">
        <v>46464</v>
      </c>
      <c r="K648" s="462" t="n">
        <v>4.57074294077135</v>
      </c>
      <c r="L648" s="463" t="n">
        <v>0.125</v>
      </c>
      <c r="M648" s="463" t="n">
        <v>0.22975397292525</v>
      </c>
      <c r="N648" s="431" t="n">
        <v>1973</v>
      </c>
      <c r="O648" s="446" t="n">
        <v>5987</v>
      </c>
      <c r="Q648" s="157" t="n">
        <v>15</v>
      </c>
      <c r="R648" s="157" t="n">
        <v>10</v>
      </c>
      <c r="S648" s="157" t="n">
        <v>8</v>
      </c>
      <c r="T648" s="457" t="s">
        <v>7531</v>
      </c>
      <c r="U648" s="457" t="n">
        <v>398</v>
      </c>
      <c r="V648" s="458" t="n">
        <v>97473</v>
      </c>
      <c r="W648" s="458" t="n">
        <v>100000</v>
      </c>
      <c r="X648" s="464" t="s">
        <v>6754</v>
      </c>
      <c r="Y648" s="458" t="n">
        <f aca="false">ROUND(J648,-3)</f>
        <v>46000</v>
      </c>
      <c r="Z648" s="457" t="s">
        <v>6638</v>
      </c>
      <c r="AA648" s="157" t="n">
        <v>3</v>
      </c>
      <c r="AB648" s="157" t="n">
        <v>3</v>
      </c>
      <c r="AC648" s="431" t="s">
        <v>586</v>
      </c>
      <c r="AD648" s="437"/>
      <c r="AE648" s="167"/>
      <c r="AF648" s="167"/>
      <c r="AG648" s="167"/>
      <c r="AH648" s="167"/>
      <c r="AI648" s="167"/>
      <c r="AJ648" s="167"/>
      <c r="AK648" s="167" t="s">
        <v>8413</v>
      </c>
      <c r="AL648" s="157" t="n">
        <f aca="false">IF(AND(ISNUMBER($S648),$S648&gt;0,ISNUMBER($K648),ISNUMBER($J648)),($K648*$J648)/$S648,"")</f>
        <v>26546.875</v>
      </c>
    </row>
    <row r="649" customFormat="false" ht="12.75" hidden="false" customHeight="true" outlineLevel="0" collapsed="false">
      <c r="A649" s="441" t="n">
        <v>8</v>
      </c>
      <c r="B649" s="157" t="n">
        <v>641</v>
      </c>
      <c r="C649" s="437" t="s">
        <v>8246</v>
      </c>
      <c r="D649" s="157" t="s">
        <v>8414</v>
      </c>
      <c r="E649" s="461" t="s">
        <v>2461</v>
      </c>
      <c r="F649" s="157" t="s">
        <v>6816</v>
      </c>
      <c r="G649" s="445" t="n">
        <v>44.8</v>
      </c>
      <c r="H649" s="431" t="n">
        <v>9101</v>
      </c>
      <c r="I649" s="457" t="n">
        <v>0</v>
      </c>
      <c r="J649" s="458" t="n">
        <v>1510</v>
      </c>
      <c r="K649" s="462" t="n">
        <v>9.93377483443709</v>
      </c>
      <c r="L649" s="463" t="n">
        <v>0</v>
      </c>
      <c r="M649" s="463" t="n">
        <v>0.1384</v>
      </c>
      <c r="N649" s="431" t="n">
        <v>2004</v>
      </c>
      <c r="O649" s="446" t="n">
        <v>1510</v>
      </c>
      <c r="Q649" s="157" t="n">
        <v>18</v>
      </c>
      <c r="R649" s="157" t="n">
        <v>14</v>
      </c>
      <c r="S649" s="157" t="n">
        <v>1</v>
      </c>
      <c r="T649" s="457" t="s">
        <v>7531</v>
      </c>
      <c r="U649" s="457" t="n">
        <v>398</v>
      </c>
      <c r="V649" s="458" t="n">
        <v>4552</v>
      </c>
      <c r="W649" s="458" t="n">
        <v>5000</v>
      </c>
      <c r="X649" s="464" t="s">
        <v>7563</v>
      </c>
      <c r="Y649" s="458" t="n">
        <f aca="false">ROUND(J649,-2)</f>
        <v>1500</v>
      </c>
      <c r="Z649" s="457" t="s">
        <v>6638</v>
      </c>
      <c r="AA649" s="157" t="n">
        <v>3</v>
      </c>
      <c r="AB649" s="157" t="n">
        <v>3</v>
      </c>
      <c r="AC649" s="431" t="s">
        <v>586</v>
      </c>
      <c r="AD649" s="437" t="s">
        <v>8415</v>
      </c>
      <c r="AE649" s="167"/>
      <c r="AF649" s="167"/>
      <c r="AG649" s="167"/>
      <c r="AH649" s="167"/>
      <c r="AI649" s="167"/>
      <c r="AJ649" s="167"/>
      <c r="AK649" s="167" t="s">
        <v>8416</v>
      </c>
      <c r="AL649" s="157" t="n">
        <f aca="false">IF(AND(ISNUMBER($S649),$S649&gt;0,ISNUMBER($K649),ISNUMBER($J649)),($K649*$J649)/$S649,"")</f>
        <v>15000</v>
      </c>
    </row>
    <row r="650" customFormat="false" ht="12.75" hidden="false" customHeight="true" outlineLevel="0" collapsed="false">
      <c r="A650" s="441" t="n">
        <v>8</v>
      </c>
      <c r="B650" s="157" t="n">
        <v>642</v>
      </c>
      <c r="C650" s="437" t="s">
        <v>8246</v>
      </c>
      <c r="D650" s="157" t="s">
        <v>8417</v>
      </c>
      <c r="E650" s="461" t="s">
        <v>2461</v>
      </c>
      <c r="F650" s="157" t="s">
        <v>8418</v>
      </c>
      <c r="G650" s="445" t="n">
        <v>44.2</v>
      </c>
      <c r="H650" s="431" t="n">
        <v>9101</v>
      </c>
      <c r="I650" s="457" t="n">
        <v>0</v>
      </c>
      <c r="J650" s="458" t="n">
        <v>36000</v>
      </c>
      <c r="K650" s="462" t="n">
        <v>4.16666666666667</v>
      </c>
      <c r="L650" s="463" t="n">
        <v>0</v>
      </c>
      <c r="M650" s="463" t="n">
        <v>0</v>
      </c>
      <c r="N650" s="431" t="n">
        <v>1961</v>
      </c>
      <c r="O650" s="446" t="n">
        <v>6276</v>
      </c>
      <c r="Q650" s="157" t="n">
        <v>17</v>
      </c>
      <c r="R650" s="157" t="n">
        <v>10</v>
      </c>
      <c r="S650" s="157" t="n">
        <v>1</v>
      </c>
      <c r="T650" s="457" t="s">
        <v>7531</v>
      </c>
      <c r="U650" s="457" t="n">
        <v>398</v>
      </c>
      <c r="V650" s="458" t="n">
        <v>56220</v>
      </c>
      <c r="W650" s="458" t="n">
        <v>60000</v>
      </c>
      <c r="X650" s="464" t="s">
        <v>6668</v>
      </c>
      <c r="Y650" s="458" t="n">
        <f aca="false">ROUND(J650,-3)</f>
        <v>36000</v>
      </c>
      <c r="Z650" s="457" t="s">
        <v>6638</v>
      </c>
      <c r="AA650" s="157" t="n">
        <v>3</v>
      </c>
      <c r="AB650" s="157" t="n">
        <v>3</v>
      </c>
      <c r="AC650" s="431" t="s">
        <v>586</v>
      </c>
      <c r="AD650" s="437"/>
      <c r="AE650" s="167"/>
      <c r="AF650" s="167"/>
      <c r="AG650" s="167"/>
      <c r="AH650" s="167"/>
      <c r="AI650" s="167"/>
      <c r="AJ650" s="167"/>
      <c r="AK650" s="167" t="s">
        <v>8419</v>
      </c>
      <c r="AL650" s="157" t="n">
        <f aca="false">IF(AND(ISNUMBER($S650),$S650&gt;0,ISNUMBER($K650),ISNUMBER($J650)),($K650*$J650)/$S650,"")</f>
        <v>150000</v>
      </c>
    </row>
    <row r="651" customFormat="false" ht="12.75" hidden="false" customHeight="true" outlineLevel="0" collapsed="false">
      <c r="A651" s="441" t="n">
        <v>8</v>
      </c>
      <c r="B651" s="157" t="n">
        <v>643</v>
      </c>
      <c r="C651" s="437" t="s">
        <v>8246</v>
      </c>
      <c r="D651" s="157" t="s">
        <v>8420</v>
      </c>
      <c r="E651" s="461" t="s">
        <v>2461</v>
      </c>
      <c r="F651" s="157" t="s">
        <v>8421</v>
      </c>
      <c r="G651" s="445" t="n">
        <v>44.1</v>
      </c>
      <c r="H651" s="431" t="n">
        <v>9101</v>
      </c>
      <c r="I651" s="457" t="n">
        <v>0</v>
      </c>
      <c r="J651" s="458" t="n">
        <v>99494</v>
      </c>
      <c r="K651" s="462" t="n">
        <v>4.29372625484954</v>
      </c>
      <c r="L651" s="463" t="n">
        <v>0</v>
      </c>
      <c r="M651" s="463" t="n">
        <v>0</v>
      </c>
      <c r="N651" s="431" t="n">
        <v>1962</v>
      </c>
      <c r="O651" s="446" t="n">
        <f aca="false">6063+5460</f>
        <v>11523</v>
      </c>
      <c r="Q651" s="157" t="n">
        <v>21</v>
      </c>
      <c r="R651" s="157" t="n">
        <v>1</v>
      </c>
      <c r="S651" s="157" t="n">
        <v>1</v>
      </c>
      <c r="T651" s="457" t="s">
        <v>7531</v>
      </c>
      <c r="U651" s="457" t="n">
        <v>398</v>
      </c>
      <c r="V651" s="458" t="n">
        <v>235873</v>
      </c>
      <c r="W651" s="458" t="n">
        <v>240000</v>
      </c>
      <c r="X651" s="464" t="s">
        <v>6650</v>
      </c>
      <c r="Y651" s="458" t="n">
        <f aca="false">ROUND(J651,-4)</f>
        <v>100000</v>
      </c>
      <c r="Z651" s="457" t="s">
        <v>6638</v>
      </c>
      <c r="AA651" s="157" t="n">
        <v>3</v>
      </c>
      <c r="AB651" s="157" t="n">
        <v>3</v>
      </c>
      <c r="AC651" s="431" t="s">
        <v>586</v>
      </c>
      <c r="AD651" s="437" t="s">
        <v>8422</v>
      </c>
      <c r="AE651" s="167"/>
      <c r="AF651" s="167"/>
      <c r="AG651" s="167"/>
      <c r="AH651" s="167"/>
      <c r="AI651" s="167"/>
      <c r="AJ651" s="167"/>
      <c r="AK651" s="167" t="s">
        <v>8257</v>
      </c>
      <c r="AL651" s="157" t="n">
        <f aca="false">IF(AND(ISNUMBER($S651),$S651&gt;0,ISNUMBER($K651),ISNUMBER($J651)),($K651*$J651)/$S651,"")</f>
        <v>427200</v>
      </c>
    </row>
    <row r="652" customFormat="false" ht="12.75" hidden="false" customHeight="true" outlineLevel="0" collapsed="false">
      <c r="A652" s="441" t="n">
        <v>8</v>
      </c>
      <c r="B652" s="157" t="n">
        <v>644</v>
      </c>
      <c r="C652" s="437" t="s">
        <v>8246</v>
      </c>
      <c r="D652" s="157" t="s">
        <v>8423</v>
      </c>
      <c r="E652" s="461" t="s">
        <v>2461</v>
      </c>
      <c r="F652" s="157" t="s">
        <v>8424</v>
      </c>
      <c r="G652" s="445" t="n">
        <v>44.2</v>
      </c>
      <c r="H652" s="431" t="n">
        <v>9101</v>
      </c>
      <c r="I652" s="457" t="n">
        <v>0</v>
      </c>
      <c r="J652" s="458" t="n">
        <v>36742</v>
      </c>
      <c r="K652" s="462" t="n">
        <v>4.89902563823417</v>
      </c>
      <c r="L652" s="463" t="n">
        <v>0</v>
      </c>
      <c r="M652" s="463" t="n">
        <v>0</v>
      </c>
      <c r="N652" s="431" t="n">
        <v>1983</v>
      </c>
      <c r="O652" s="446" t="n">
        <v>7524</v>
      </c>
      <c r="Q652" s="157" t="n">
        <v>18</v>
      </c>
      <c r="R652" s="157" t="n">
        <v>3</v>
      </c>
      <c r="S652" s="157" t="n">
        <v>1</v>
      </c>
      <c r="T652" s="457" t="s">
        <v>7529</v>
      </c>
      <c r="U652" s="457" t="n">
        <v>398</v>
      </c>
      <c r="V652" s="458" t="n">
        <v>50800</v>
      </c>
      <c r="W652" s="458" t="n">
        <v>50000</v>
      </c>
      <c r="X652" s="464" t="s">
        <v>6710</v>
      </c>
      <c r="Y652" s="458" t="n">
        <f aca="false">ROUND(J652,-3)</f>
        <v>37000</v>
      </c>
      <c r="Z652" s="457" t="s">
        <v>6638</v>
      </c>
      <c r="AA652" s="157" t="n">
        <v>3</v>
      </c>
      <c r="AB652" s="157" t="n">
        <v>3</v>
      </c>
      <c r="AC652" s="431" t="s">
        <v>586</v>
      </c>
      <c r="AD652" s="437"/>
      <c r="AE652" s="167"/>
      <c r="AF652" s="167"/>
      <c r="AG652" s="167"/>
      <c r="AH652" s="167"/>
      <c r="AI652" s="167"/>
      <c r="AJ652" s="167"/>
      <c r="AK652" s="167" t="s">
        <v>8425</v>
      </c>
      <c r="AL652" s="157" t="n">
        <f aca="false">IF(AND(ISNUMBER($S652),$S652&gt;0,ISNUMBER($K652),ISNUMBER($J652)),($K652*$J652)/$S652,"")</f>
        <v>180000</v>
      </c>
    </row>
    <row r="653" customFormat="false" ht="12.75" hidden="false" customHeight="true" outlineLevel="0" collapsed="false">
      <c r="A653" s="441" t="n">
        <v>8</v>
      </c>
      <c r="B653" s="157" t="n">
        <v>645</v>
      </c>
      <c r="C653" s="437" t="s">
        <v>8246</v>
      </c>
      <c r="D653" s="157" t="s">
        <v>8426</v>
      </c>
      <c r="E653" s="461" t="s">
        <v>2461</v>
      </c>
      <c r="F653" s="157" t="s">
        <v>8427</v>
      </c>
      <c r="G653" s="445" t="n">
        <v>44.2</v>
      </c>
      <c r="H653" s="431" t="n">
        <v>9101</v>
      </c>
      <c r="I653" s="457" t="n">
        <v>0</v>
      </c>
      <c r="J653" s="458" t="n">
        <v>15454</v>
      </c>
      <c r="K653" s="462" t="n">
        <v>5.27513912255727</v>
      </c>
      <c r="L653" s="463" t="n">
        <v>0</v>
      </c>
      <c r="M653" s="463" t="n">
        <v>0.00498025072986433</v>
      </c>
      <c r="N653" s="431" t="n">
        <v>1972</v>
      </c>
      <c r="O653" s="446" t="n">
        <v>2179</v>
      </c>
      <c r="Q653" s="157" t="n">
        <v>15</v>
      </c>
      <c r="R653" s="157" t="n">
        <v>3</v>
      </c>
      <c r="S653" s="157" t="n">
        <v>1</v>
      </c>
      <c r="T653" s="457" t="s">
        <v>7526</v>
      </c>
      <c r="U653" s="457" t="n">
        <v>398</v>
      </c>
      <c r="V653" s="458" t="n">
        <v>22080</v>
      </c>
      <c r="W653" s="458" t="n">
        <v>22000</v>
      </c>
      <c r="X653" s="464" t="s">
        <v>6710</v>
      </c>
      <c r="Y653" s="458" t="n">
        <f aca="false">ROUND(J653,-3)</f>
        <v>15000</v>
      </c>
      <c r="Z653" s="457" t="s">
        <v>6638</v>
      </c>
      <c r="AA653" s="157" t="n">
        <v>3</v>
      </c>
      <c r="AB653" s="157" t="n">
        <v>3</v>
      </c>
      <c r="AC653" s="431" t="s">
        <v>586</v>
      </c>
      <c r="AD653" s="437"/>
      <c r="AE653" s="167"/>
      <c r="AF653" s="167"/>
      <c r="AG653" s="167"/>
      <c r="AH653" s="167"/>
      <c r="AI653" s="167"/>
      <c r="AJ653" s="167"/>
      <c r="AK653" s="167" t="s">
        <v>8428</v>
      </c>
      <c r="AL653" s="157" t="n">
        <f aca="false">IF(AND(ISNUMBER($S653),$S653&gt;0,ISNUMBER($K653),ISNUMBER($J653)),($K653*$J653)/$S653,"")</f>
        <v>81522.0000000001</v>
      </c>
    </row>
    <row r="654" customFormat="false" ht="12.75" hidden="false" customHeight="true" outlineLevel="0" collapsed="false">
      <c r="A654" s="441" t="n">
        <v>8</v>
      </c>
      <c r="B654" s="157" t="n">
        <v>646</v>
      </c>
      <c r="C654" s="437" t="s">
        <v>8246</v>
      </c>
      <c r="D654" s="157" t="s">
        <v>6835</v>
      </c>
      <c r="E654" s="461" t="s">
        <v>2461</v>
      </c>
      <c r="F654" s="157" t="s">
        <v>6836</v>
      </c>
      <c r="G654" s="445" t="n">
        <v>44.1</v>
      </c>
      <c r="H654" s="431" t="n">
        <v>9101</v>
      </c>
      <c r="I654" s="457" t="n">
        <v>0</v>
      </c>
      <c r="J654" s="458" t="n">
        <v>25212</v>
      </c>
      <c r="K654" s="462" t="n">
        <v>3.71037601142313</v>
      </c>
      <c r="L654" s="463" t="n">
        <v>0</v>
      </c>
      <c r="M654" s="463" t="n">
        <v>0.0351912428110235</v>
      </c>
      <c r="N654" s="431" t="n">
        <v>1966</v>
      </c>
      <c r="O654" s="446" t="n">
        <f aca="false">2989</f>
        <v>2989</v>
      </c>
      <c r="Q654" s="157" t="n">
        <v>17</v>
      </c>
      <c r="R654" s="157" t="n">
        <v>1</v>
      </c>
      <c r="S654" s="157" t="n">
        <v>1</v>
      </c>
      <c r="T654" s="457" t="s">
        <v>7526</v>
      </c>
      <c r="U654" s="457" t="n">
        <v>398</v>
      </c>
      <c r="V654" s="458" t="n">
        <v>38163</v>
      </c>
      <c r="W654" s="458" t="n">
        <v>38000</v>
      </c>
      <c r="X654" s="464" t="s">
        <v>6837</v>
      </c>
      <c r="Y654" s="458" t="n">
        <f aca="false">ROUND(J654,-3)</f>
        <v>25000</v>
      </c>
      <c r="Z654" s="457" t="s">
        <v>6638</v>
      </c>
      <c r="AA654" s="157" t="n">
        <v>3</v>
      </c>
      <c r="AB654" s="157" t="n">
        <v>3</v>
      </c>
      <c r="AC654" s="431" t="s">
        <v>586</v>
      </c>
      <c r="AD654" s="437"/>
      <c r="AE654" s="167"/>
      <c r="AF654" s="167"/>
      <c r="AG654" s="167"/>
      <c r="AH654" s="167"/>
      <c r="AI654" s="167"/>
      <c r="AJ654" s="167"/>
      <c r="AK654" s="167" t="s">
        <v>8308</v>
      </c>
      <c r="AL654" s="157" t="n">
        <f aca="false">IF(AND(ISNUMBER($S654),$S654&gt;0,ISNUMBER($K654),ISNUMBER($J654)),($K654*$J654)/$S654,"")</f>
        <v>93546</v>
      </c>
    </row>
    <row r="655" customFormat="false" ht="12.75" hidden="false" customHeight="true" outlineLevel="0" collapsed="false">
      <c r="A655" s="441" t="n">
        <v>8</v>
      </c>
      <c r="B655" s="157" t="n">
        <v>647</v>
      </c>
      <c r="C655" s="437" t="s">
        <v>8246</v>
      </c>
      <c r="D655" s="157" t="s">
        <v>8429</v>
      </c>
      <c r="E655" s="461" t="s">
        <v>2461</v>
      </c>
      <c r="F655" s="157" t="s">
        <v>8430</v>
      </c>
      <c r="G655" s="445" t="n">
        <v>44.1</v>
      </c>
      <c r="H655" s="431" t="n">
        <v>9101</v>
      </c>
      <c r="I655" s="457" t="n">
        <v>0</v>
      </c>
      <c r="J655" s="458" t="n">
        <v>60520</v>
      </c>
      <c r="K655" s="462" t="n">
        <v>4.16391275611368</v>
      </c>
      <c r="L655" s="463" t="n">
        <v>0</v>
      </c>
      <c r="M655" s="463" t="n">
        <v>0</v>
      </c>
      <c r="N655" s="431" t="n">
        <v>1969</v>
      </c>
      <c r="O655" s="446" t="n">
        <v>1566</v>
      </c>
      <c r="Q655" s="157" t="n">
        <v>22</v>
      </c>
      <c r="R655" s="157" t="n">
        <v>10</v>
      </c>
      <c r="S655" s="157" t="n">
        <v>1</v>
      </c>
      <c r="T655" s="457" t="s">
        <v>7529</v>
      </c>
      <c r="U655" s="457" t="n">
        <v>398</v>
      </c>
      <c r="V655" s="458" t="n">
        <v>127296</v>
      </c>
      <c r="W655" s="458" t="n">
        <v>130000</v>
      </c>
      <c r="X655" s="464" t="s">
        <v>6754</v>
      </c>
      <c r="Y655" s="458" t="n">
        <f aca="false">ROUND(J655,-4)</f>
        <v>60000</v>
      </c>
      <c r="Z655" s="457" t="s">
        <v>6638</v>
      </c>
      <c r="AA655" s="157" t="n">
        <v>3</v>
      </c>
      <c r="AB655" s="157" t="n">
        <v>3</v>
      </c>
      <c r="AC655" s="431" t="s">
        <v>586</v>
      </c>
      <c r="AD655" s="437"/>
      <c r="AE655" s="167"/>
      <c r="AF655" s="167"/>
      <c r="AG655" s="167"/>
      <c r="AH655" s="167"/>
      <c r="AI655" s="167"/>
      <c r="AJ655" s="167"/>
      <c r="AK655" s="167" t="s">
        <v>8257</v>
      </c>
      <c r="AL655" s="157" t="n">
        <f aca="false">IF(AND(ISNUMBER($S655),$S655&gt;0,ISNUMBER($K655),ISNUMBER($J655)),($K655*$J655)/$S655,"")</f>
        <v>252000</v>
      </c>
    </row>
    <row r="656" customFormat="false" ht="12.75" hidden="false" customHeight="true" outlineLevel="0" collapsed="false">
      <c r="A656" s="441" t="n">
        <v>8</v>
      </c>
      <c r="B656" s="157" t="n">
        <v>648</v>
      </c>
      <c r="C656" s="437" t="s">
        <v>8246</v>
      </c>
      <c r="D656" s="157" t="s">
        <v>8431</v>
      </c>
      <c r="E656" s="461" t="s">
        <v>2461</v>
      </c>
      <c r="F656" s="157" t="s">
        <v>8432</v>
      </c>
      <c r="G656" s="445" t="n">
        <v>44.1</v>
      </c>
      <c r="H656" s="431" t="n">
        <v>9101</v>
      </c>
      <c r="I656" s="457" t="n">
        <v>0</v>
      </c>
      <c r="J656" s="458" t="n">
        <v>38080</v>
      </c>
      <c r="K656" s="462" t="n">
        <v>3.92741596638656</v>
      </c>
      <c r="L656" s="463" t="n">
        <v>0</v>
      </c>
      <c r="M656" s="463" t="n">
        <v>0</v>
      </c>
      <c r="N656" s="431" t="n">
        <v>1971</v>
      </c>
      <c r="O656" s="446" t="n">
        <f aca="false">3600+616</f>
        <v>4216</v>
      </c>
      <c r="Q656" s="157" t="n">
        <v>22</v>
      </c>
      <c r="R656" s="157" t="n">
        <v>10</v>
      </c>
      <c r="S656" s="157" t="n">
        <v>1</v>
      </c>
      <c r="T656" s="457" t="s">
        <v>7529</v>
      </c>
      <c r="U656" s="457" t="n">
        <v>398</v>
      </c>
      <c r="V656" s="458" t="n">
        <v>78900</v>
      </c>
      <c r="W656" s="458" t="n">
        <v>80000</v>
      </c>
      <c r="X656" s="464" t="s">
        <v>6754</v>
      </c>
      <c r="Y656" s="458" t="n">
        <f aca="false">ROUND(J656,-3)</f>
        <v>38000</v>
      </c>
      <c r="Z656" s="457" t="s">
        <v>6638</v>
      </c>
      <c r="AA656" s="157" t="n">
        <v>3</v>
      </c>
      <c r="AB656" s="157" t="n">
        <v>3</v>
      </c>
      <c r="AC656" s="431" t="s">
        <v>586</v>
      </c>
      <c r="AD656" s="437" t="s">
        <v>8433</v>
      </c>
      <c r="AE656" s="167"/>
      <c r="AF656" s="167"/>
      <c r="AG656" s="167"/>
      <c r="AH656" s="167"/>
      <c r="AI656" s="167"/>
      <c r="AJ656" s="167"/>
      <c r="AK656" s="167" t="s">
        <v>8271</v>
      </c>
      <c r="AL656" s="157" t="n">
        <f aca="false">IF(AND(ISNUMBER($S656),$S656&gt;0,ISNUMBER($K656),ISNUMBER($J656)),($K656*$J656)/$S656,"")</f>
        <v>149556</v>
      </c>
    </row>
    <row r="657" customFormat="false" ht="12.75" hidden="false" customHeight="true" outlineLevel="0" collapsed="false">
      <c r="A657" s="441" t="n">
        <v>8</v>
      </c>
      <c r="B657" s="157" t="n">
        <v>649</v>
      </c>
      <c r="C657" s="437" t="s">
        <v>8246</v>
      </c>
      <c r="D657" s="157" t="s">
        <v>6838</v>
      </c>
      <c r="E657" s="461" t="s">
        <v>2461</v>
      </c>
      <c r="F657" s="157" t="s">
        <v>6839</v>
      </c>
      <c r="G657" s="445" t="n">
        <v>44.1</v>
      </c>
      <c r="H657" s="431" t="n">
        <v>9101</v>
      </c>
      <c r="I657" s="457" t="n">
        <v>0</v>
      </c>
      <c r="J657" s="458" t="n">
        <v>29376</v>
      </c>
      <c r="K657" s="462" t="n">
        <v>4.99649373638344</v>
      </c>
      <c r="L657" s="463" t="n">
        <v>0</v>
      </c>
      <c r="M657" s="463" t="n">
        <v>0</v>
      </c>
      <c r="N657" s="431" t="n">
        <v>1971</v>
      </c>
      <c r="O657" s="446" t="n">
        <f aca="false">5061+360</f>
        <v>5421</v>
      </c>
      <c r="Q657" s="157" t="n">
        <v>22</v>
      </c>
      <c r="R657" s="157" t="n">
        <v>10</v>
      </c>
      <c r="S657" s="157" t="n">
        <v>1</v>
      </c>
      <c r="T657" s="457" t="s">
        <v>7529</v>
      </c>
      <c r="U657" s="457" t="n">
        <v>398</v>
      </c>
      <c r="V657" s="458" t="n">
        <v>61218</v>
      </c>
      <c r="W657" s="458" t="n">
        <v>60000</v>
      </c>
      <c r="X657" s="464" t="s">
        <v>6754</v>
      </c>
      <c r="Y657" s="458" t="n">
        <f aca="false">ROUND(J657,-3)</f>
        <v>29000</v>
      </c>
      <c r="Z657" s="457" t="s">
        <v>6638</v>
      </c>
      <c r="AA657" s="157" t="n">
        <v>3</v>
      </c>
      <c r="AB657" s="157" t="n">
        <v>3</v>
      </c>
      <c r="AC657" s="431" t="s">
        <v>586</v>
      </c>
      <c r="AD657" s="437"/>
      <c r="AE657" s="167"/>
      <c r="AF657" s="167"/>
      <c r="AG657" s="167"/>
      <c r="AH657" s="167"/>
      <c r="AI657" s="167"/>
      <c r="AJ657" s="167"/>
      <c r="AK657" s="167" t="s">
        <v>8434</v>
      </c>
      <c r="AL657" s="157" t="n">
        <f aca="false">IF(AND(ISNUMBER($S657),$S657&gt;0,ISNUMBER($K657),ISNUMBER($J657)),($K657*$J657)/$S657,"")</f>
        <v>146777</v>
      </c>
    </row>
    <row r="658" customFormat="false" ht="12.75" hidden="false" customHeight="true" outlineLevel="0" collapsed="false">
      <c r="A658" s="441" t="n">
        <v>8</v>
      </c>
      <c r="B658" s="157" t="n">
        <v>650</v>
      </c>
      <c r="C658" s="437" t="s">
        <v>8246</v>
      </c>
      <c r="D658" s="157" t="s">
        <v>8435</v>
      </c>
      <c r="E658" s="461" t="s">
        <v>2461</v>
      </c>
      <c r="F658" s="157" t="s">
        <v>8436</v>
      </c>
      <c r="G658" s="445" t="n">
        <v>44.2</v>
      </c>
      <c r="H658" s="431" t="n">
        <v>9101</v>
      </c>
      <c r="I658" s="457" t="n">
        <v>0</v>
      </c>
      <c r="J658" s="458" t="n">
        <v>49046</v>
      </c>
      <c r="K658" s="462" t="n">
        <v>4.23887778819883</v>
      </c>
      <c r="L658" s="463" t="n">
        <v>0</v>
      </c>
      <c r="M658" s="463" t="n">
        <v>0.0682924482924483</v>
      </c>
      <c r="N658" s="431" t="n">
        <v>2002</v>
      </c>
      <c r="O658" s="446" t="n">
        <v>3032</v>
      </c>
      <c r="Q658" s="157" t="n">
        <v>24</v>
      </c>
      <c r="R658" s="157" t="n">
        <v>14</v>
      </c>
      <c r="S658" s="157" t="n">
        <v>1</v>
      </c>
      <c r="T658" s="457" t="s">
        <v>7526</v>
      </c>
      <c r="U658" s="457" t="n">
        <v>398</v>
      </c>
      <c r="V658" s="458" t="n">
        <v>107083</v>
      </c>
      <c r="W658" s="458" t="n">
        <v>110000</v>
      </c>
      <c r="X658" s="464" t="s">
        <v>6700</v>
      </c>
      <c r="Y658" s="458" t="n">
        <f aca="false">ROUND(J658,-3)</f>
        <v>49000</v>
      </c>
      <c r="Z658" s="457" t="s">
        <v>6638</v>
      </c>
      <c r="AA658" s="157" t="n">
        <v>3</v>
      </c>
      <c r="AB658" s="157" t="n">
        <v>3</v>
      </c>
      <c r="AC658" s="431" t="s">
        <v>586</v>
      </c>
      <c r="AD658" s="437"/>
      <c r="AE658" s="167"/>
      <c r="AF658" s="167"/>
      <c r="AG658" s="167"/>
      <c r="AH658" s="167"/>
      <c r="AI658" s="167"/>
      <c r="AJ658" s="167"/>
      <c r="AK658" s="167" t="s">
        <v>8437</v>
      </c>
      <c r="AL658" s="157" t="n">
        <f aca="false">IF(AND(ISNUMBER($S658),$S658&gt;0,ISNUMBER($K658),ISNUMBER($J658)),($K658*$J658)/$S658,"")</f>
        <v>207900</v>
      </c>
    </row>
    <row r="659" customFormat="false" ht="12.75" hidden="false" customHeight="true" outlineLevel="0" collapsed="false">
      <c r="A659" s="441" t="n">
        <v>8</v>
      </c>
      <c r="B659" s="157" t="n">
        <v>651</v>
      </c>
      <c r="C659" s="437" t="s">
        <v>8246</v>
      </c>
      <c r="D659" s="157" t="s">
        <v>8438</v>
      </c>
      <c r="E659" s="461" t="s">
        <v>2461</v>
      </c>
      <c r="F659" s="157" t="s">
        <v>8439</v>
      </c>
      <c r="G659" s="445" t="n">
        <v>44.2</v>
      </c>
      <c r="H659" s="431" t="n">
        <v>9101</v>
      </c>
      <c r="I659" s="457" t="n">
        <v>0</v>
      </c>
      <c r="J659" s="458" t="n">
        <v>49046</v>
      </c>
      <c r="K659" s="462" t="n">
        <v>4.02469110630836</v>
      </c>
      <c r="L659" s="463" t="n">
        <v>0</v>
      </c>
      <c r="M659" s="463" t="n">
        <v>0.0650371083360774</v>
      </c>
      <c r="N659" s="431" t="n">
        <v>1998</v>
      </c>
      <c r="O659" s="446" t="n">
        <v>6360</v>
      </c>
      <c r="Q659" s="157" t="n">
        <v>24</v>
      </c>
      <c r="R659" s="157" t="n">
        <v>14</v>
      </c>
      <c r="S659" s="157" t="n">
        <v>1</v>
      </c>
      <c r="T659" s="457" t="s">
        <v>7526</v>
      </c>
      <c r="U659" s="457" t="n">
        <v>398</v>
      </c>
      <c r="V659" s="458" t="n">
        <v>104440</v>
      </c>
      <c r="W659" s="458" t="n">
        <v>100000</v>
      </c>
      <c r="X659" s="464" t="s">
        <v>6754</v>
      </c>
      <c r="Y659" s="458" t="n">
        <f aca="false">ROUND(J659,-3)</f>
        <v>49000</v>
      </c>
      <c r="Z659" s="457" t="s">
        <v>6638</v>
      </c>
      <c r="AA659" s="157" t="n">
        <v>3</v>
      </c>
      <c r="AB659" s="157" t="n">
        <v>3</v>
      </c>
      <c r="AC659" s="431" t="s">
        <v>586</v>
      </c>
      <c r="AD659" s="437" t="s">
        <v>8440</v>
      </c>
      <c r="AE659" s="167"/>
      <c r="AF659" s="167"/>
      <c r="AG659" s="167"/>
      <c r="AH659" s="167"/>
      <c r="AI659" s="167"/>
      <c r="AJ659" s="167"/>
      <c r="AK659" s="167" t="s">
        <v>8441</v>
      </c>
      <c r="AL659" s="157" t="n">
        <f aca="false">IF(AND(ISNUMBER($S659),$S659&gt;0,ISNUMBER($K659),ISNUMBER($J659)),($K659*$J659)/$S659,"")</f>
        <v>197395</v>
      </c>
    </row>
    <row r="660" customFormat="false" ht="12.75" hidden="false" customHeight="true" outlineLevel="0" collapsed="false">
      <c r="A660" s="441" t="n">
        <v>8</v>
      </c>
      <c r="B660" s="157" t="n">
        <v>652</v>
      </c>
      <c r="C660" s="437" t="s">
        <v>8246</v>
      </c>
      <c r="D660" s="157" t="s">
        <v>8442</v>
      </c>
      <c r="E660" s="461" t="s">
        <v>2461</v>
      </c>
      <c r="F660" s="157" t="s">
        <v>8443</v>
      </c>
      <c r="G660" s="445" t="n">
        <v>44.2</v>
      </c>
      <c r="H660" s="431" t="n">
        <v>9101</v>
      </c>
      <c r="I660" s="457" t="n">
        <v>0</v>
      </c>
      <c r="J660" s="458" t="n">
        <v>42130</v>
      </c>
      <c r="K660" s="462" t="n">
        <v>4.86356515547116</v>
      </c>
      <c r="L660" s="463" t="n">
        <v>0</v>
      </c>
      <c r="M660" s="463" t="n">
        <v>0.108637299782335</v>
      </c>
      <c r="N660" s="431" t="n">
        <v>2000</v>
      </c>
      <c r="O660" s="446" t="n">
        <f aca="false">2485+6700</f>
        <v>9185</v>
      </c>
      <c r="Q660" s="157" t="n">
        <v>25</v>
      </c>
      <c r="R660" s="157" t="n">
        <v>14</v>
      </c>
      <c r="S660" s="157" t="n">
        <v>2</v>
      </c>
      <c r="T660" s="457" t="s">
        <v>7526</v>
      </c>
      <c r="U660" s="457" t="n">
        <v>398</v>
      </c>
      <c r="V660" s="458" t="n">
        <v>98955</v>
      </c>
      <c r="W660" s="458" t="n">
        <v>100000</v>
      </c>
      <c r="X660" s="464" t="s">
        <v>6646</v>
      </c>
      <c r="Y660" s="458" t="n">
        <f aca="false">ROUND(J660,-3)</f>
        <v>42000</v>
      </c>
      <c r="Z660" s="457" t="s">
        <v>6638</v>
      </c>
      <c r="AA660" s="157" t="n">
        <v>3</v>
      </c>
      <c r="AB660" s="157" t="n">
        <v>3</v>
      </c>
      <c r="AC660" s="431" t="s">
        <v>586</v>
      </c>
      <c r="AD660" s="437" t="s">
        <v>8444</v>
      </c>
      <c r="AE660" s="167"/>
      <c r="AF660" s="167"/>
      <c r="AG660" s="167"/>
      <c r="AH660" s="167"/>
      <c r="AI660" s="167"/>
      <c r="AJ660" s="167"/>
      <c r="AK660" s="167" t="s">
        <v>8445</v>
      </c>
      <c r="AL660" s="157" t="n">
        <f aca="false">IF(AND(ISNUMBER($S660),$S660&gt;0,ISNUMBER($K660),ISNUMBER($J660)),($K660*$J660)/$S660,"")</f>
        <v>102451</v>
      </c>
    </row>
    <row r="661" customFormat="false" ht="12.75" hidden="false" customHeight="true" outlineLevel="0" collapsed="false">
      <c r="A661" s="441" t="n">
        <v>8</v>
      </c>
      <c r="B661" s="157" t="n">
        <v>653</v>
      </c>
      <c r="C661" s="437" t="s">
        <v>8246</v>
      </c>
      <c r="D661" s="157" t="s">
        <v>8446</v>
      </c>
      <c r="E661" s="461" t="s">
        <v>2461</v>
      </c>
      <c r="F661" s="157" t="s">
        <v>8447</v>
      </c>
      <c r="G661" s="445" t="n">
        <v>44.1</v>
      </c>
      <c r="H661" s="431" t="n">
        <v>9101</v>
      </c>
      <c r="I661" s="457" t="n">
        <v>0</v>
      </c>
      <c r="J661" s="458" t="n">
        <v>2848</v>
      </c>
      <c r="K661" s="462" t="n">
        <v>3.79213483146067</v>
      </c>
      <c r="L661" s="463" t="n">
        <v>0</v>
      </c>
      <c r="M661" s="463" t="n">
        <v>0.194444444444444</v>
      </c>
      <c r="N661" s="431" t="n">
        <v>1959</v>
      </c>
      <c r="O661" s="446" t="n">
        <v>1923</v>
      </c>
      <c r="Q661" s="157" t="n">
        <v>13</v>
      </c>
      <c r="R661" s="157" t="n">
        <v>7</v>
      </c>
      <c r="S661" s="157" t="n">
        <v>2</v>
      </c>
      <c r="T661" s="457" t="s">
        <v>7526</v>
      </c>
      <c r="U661" s="457" t="n">
        <v>398</v>
      </c>
      <c r="V661" s="458" t="n">
        <v>11741</v>
      </c>
      <c r="W661" s="458" t="n">
        <v>12000</v>
      </c>
      <c r="X661" s="464" t="s">
        <v>6659</v>
      </c>
      <c r="Y661" s="458" t="n">
        <f aca="false">ROUND(J661,-3)</f>
        <v>3000</v>
      </c>
      <c r="Z661" s="457" t="s">
        <v>6638</v>
      </c>
      <c r="AA661" s="157" t="n">
        <v>3</v>
      </c>
      <c r="AB661" s="157" t="n">
        <v>3</v>
      </c>
      <c r="AC661" s="431" t="s">
        <v>586</v>
      </c>
      <c r="AD661" s="437" t="s">
        <v>8448</v>
      </c>
      <c r="AE661" s="167"/>
      <c r="AF661" s="167"/>
      <c r="AG661" s="167"/>
      <c r="AH661" s="167"/>
      <c r="AI661" s="167"/>
      <c r="AJ661" s="167"/>
      <c r="AK661" s="167" t="s">
        <v>8257</v>
      </c>
      <c r="AL661" s="157" t="n">
        <f aca="false">IF(AND(ISNUMBER($S661),$S661&gt;0,ISNUMBER($K661),ISNUMBER($J661)),($K661*$J661)/$S661,"")</f>
        <v>5399.99999999999</v>
      </c>
    </row>
    <row r="662" customFormat="false" ht="12.75" hidden="false" customHeight="true" outlineLevel="0" collapsed="false">
      <c r="A662" s="441" t="n">
        <v>8</v>
      </c>
      <c r="B662" s="157" t="n">
        <v>654</v>
      </c>
      <c r="C662" s="437" t="s">
        <v>8246</v>
      </c>
      <c r="D662" s="157" t="s">
        <v>7676</v>
      </c>
      <c r="E662" s="461" t="s">
        <v>2461</v>
      </c>
      <c r="F662" s="157" t="s">
        <v>8449</v>
      </c>
      <c r="G662" s="445" t="n">
        <v>44.2</v>
      </c>
      <c r="H662" s="431" t="n">
        <v>9101</v>
      </c>
      <c r="I662" s="457" t="n">
        <v>0</v>
      </c>
      <c r="J662" s="458" t="n">
        <v>25596</v>
      </c>
      <c r="K662" s="462" t="n">
        <v>7.91139240506329</v>
      </c>
      <c r="L662" s="463" t="n">
        <v>0.5</v>
      </c>
      <c r="M662" s="463" t="n">
        <v>0.0780246913580247</v>
      </c>
      <c r="N662" s="431" t="n">
        <v>1959</v>
      </c>
      <c r="O662" s="446" t="n">
        <v>10174</v>
      </c>
      <c r="Q662" s="157" t="n">
        <v>14</v>
      </c>
      <c r="R662" s="157" t="n">
        <v>1</v>
      </c>
      <c r="S662" s="157" t="n">
        <v>3</v>
      </c>
      <c r="T662" s="457" t="s">
        <v>7531</v>
      </c>
      <c r="U662" s="457" t="n">
        <v>398</v>
      </c>
      <c r="V662" s="458" t="n">
        <v>80527</v>
      </c>
      <c r="W662" s="458" t="n">
        <v>80000</v>
      </c>
      <c r="X662" s="464" t="s">
        <v>6863</v>
      </c>
      <c r="Y662" s="458" t="n">
        <f aca="false">ROUND(J662,-3)</f>
        <v>26000</v>
      </c>
      <c r="Z662" s="457" t="s">
        <v>6638</v>
      </c>
      <c r="AA662" s="157" t="n">
        <v>3</v>
      </c>
      <c r="AB662" s="157" t="n">
        <v>3</v>
      </c>
      <c r="AC662" s="431" t="s">
        <v>586</v>
      </c>
      <c r="AD662" s="437" t="s">
        <v>7678</v>
      </c>
      <c r="AE662" s="167"/>
      <c r="AF662" s="167"/>
      <c r="AG662" s="167"/>
      <c r="AH662" s="167"/>
      <c r="AI662" s="167"/>
      <c r="AJ662" s="167"/>
      <c r="AK662" s="167" t="s">
        <v>8450</v>
      </c>
      <c r="AL662" s="157" t="n">
        <f aca="false">IF(AND(ISNUMBER($S662),$S662&gt;0,ISNUMBER($K662),ISNUMBER($J662)),($K662*$J662)/$S662,"")</f>
        <v>67500</v>
      </c>
    </row>
    <row r="663" customFormat="false" ht="12.75" hidden="false" customHeight="true" outlineLevel="0" collapsed="false">
      <c r="A663" s="441" t="n">
        <v>8</v>
      </c>
      <c r="B663" s="157" t="n">
        <v>655</v>
      </c>
      <c r="C663" s="437" t="s">
        <v>8246</v>
      </c>
      <c r="D663" s="157" t="s">
        <v>8451</v>
      </c>
      <c r="E663" s="461" t="s">
        <v>2461</v>
      </c>
      <c r="F663" s="157" t="s">
        <v>8452</v>
      </c>
      <c r="G663" s="445" t="n">
        <v>44.2</v>
      </c>
      <c r="H663" s="431" t="n">
        <v>9102</v>
      </c>
      <c r="I663" s="457" t="n">
        <v>0</v>
      </c>
      <c r="J663" s="458" t="n">
        <v>62914</v>
      </c>
      <c r="K663" s="462" t="n">
        <v>8.82879804177131</v>
      </c>
      <c r="L663" s="463" t="n">
        <v>0.07</v>
      </c>
      <c r="M663" s="463" t="n">
        <v>0.297149184002304</v>
      </c>
      <c r="N663" s="431" t="n">
        <v>1984</v>
      </c>
      <c r="O663" s="446" t="n">
        <v>19937</v>
      </c>
      <c r="Q663" s="157" t="n">
        <v>15</v>
      </c>
      <c r="R663" s="157" t="n">
        <v>3</v>
      </c>
      <c r="S663" s="157" t="n">
        <v>3</v>
      </c>
      <c r="T663" s="457" t="s">
        <v>7890</v>
      </c>
      <c r="U663" s="457" t="n">
        <v>398</v>
      </c>
      <c r="V663" s="458" t="n">
        <v>231935</v>
      </c>
      <c r="W663" s="458" t="n">
        <v>230000</v>
      </c>
      <c r="X663" s="464" t="s">
        <v>6717</v>
      </c>
      <c r="Y663" s="458" t="n">
        <f aca="false">ROUND(J663,-4)</f>
        <v>60000</v>
      </c>
      <c r="Z663" s="457" t="s">
        <v>6638</v>
      </c>
      <c r="AA663" s="157" t="n">
        <v>3</v>
      </c>
      <c r="AB663" s="157" t="n">
        <v>3</v>
      </c>
      <c r="AC663" s="431" t="s">
        <v>586</v>
      </c>
      <c r="AD663" s="437" t="s">
        <v>8453</v>
      </c>
      <c r="AE663" s="167"/>
      <c r="AF663" s="167"/>
      <c r="AG663" s="167"/>
      <c r="AH663" s="167"/>
      <c r="AI663" s="167"/>
      <c r="AJ663" s="167"/>
      <c r="AK663" s="167" t="s">
        <v>8454</v>
      </c>
      <c r="AL663" s="157" t="n">
        <f aca="false">IF(AND(ISNUMBER($S663),$S663&gt;0,ISNUMBER($K663),ISNUMBER($J663)),($K663*$J663)/$S663,"")</f>
        <v>185151.666666667</v>
      </c>
    </row>
    <row r="664" customFormat="false" ht="12.75" hidden="false" customHeight="true" outlineLevel="0" collapsed="false">
      <c r="A664" s="441" t="n">
        <v>8</v>
      </c>
      <c r="B664" s="157" t="n">
        <v>656</v>
      </c>
      <c r="C664" s="437" t="s">
        <v>8246</v>
      </c>
      <c r="D664" s="157" t="s">
        <v>6849</v>
      </c>
      <c r="E664" s="461" t="s">
        <v>2461</v>
      </c>
      <c r="F664" s="157" t="s">
        <v>6850</v>
      </c>
      <c r="G664" s="445" t="n">
        <v>44.4</v>
      </c>
      <c r="H664" s="431" t="n">
        <v>9102</v>
      </c>
      <c r="I664" s="457" t="n">
        <v>0</v>
      </c>
      <c r="J664" s="458" t="n">
        <v>104891</v>
      </c>
      <c r="K664" s="462" t="n">
        <v>5.6182894623943</v>
      </c>
      <c r="L664" s="463" t="n">
        <v>0</v>
      </c>
      <c r="M664" s="463" t="n">
        <v>0.113254868421946</v>
      </c>
      <c r="N664" s="431" t="n">
        <v>1985</v>
      </c>
      <c r="O664" s="446" t="n">
        <v>14479</v>
      </c>
      <c r="Q664" s="157" t="n">
        <v>24</v>
      </c>
      <c r="R664" s="157" t="n">
        <v>14</v>
      </c>
      <c r="S664" s="157" t="n">
        <v>8</v>
      </c>
      <c r="T664" s="457" t="s">
        <v>7531</v>
      </c>
      <c r="U664" s="457" t="n">
        <v>398</v>
      </c>
      <c r="V664" s="458" t="n">
        <v>219619</v>
      </c>
      <c r="W664" s="458" t="n">
        <v>220000</v>
      </c>
      <c r="X664" s="464" t="s">
        <v>6754</v>
      </c>
      <c r="Y664" s="458" t="n">
        <f aca="false">ROUND(J664,-4)</f>
        <v>100000</v>
      </c>
      <c r="Z664" s="457" t="s">
        <v>6638</v>
      </c>
      <c r="AA664" s="157" t="n">
        <v>3</v>
      </c>
      <c r="AB664" s="157" t="n">
        <v>3</v>
      </c>
      <c r="AC664" s="431" t="s">
        <v>586</v>
      </c>
      <c r="AD664" s="437" t="s">
        <v>6851</v>
      </c>
      <c r="AE664" s="167"/>
      <c r="AF664" s="167"/>
      <c r="AG664" s="167"/>
      <c r="AH664" s="167"/>
      <c r="AI664" s="167"/>
      <c r="AJ664" s="167"/>
      <c r="AK664" s="167" t="s">
        <v>8455</v>
      </c>
      <c r="AL664" s="157" t="n">
        <f aca="false">IF(AND(ISNUMBER($S664),$S664&gt;0,ISNUMBER($K664),ISNUMBER($J664)),($K664*$J664)/$S664,"")</f>
        <v>73663.5000000001</v>
      </c>
    </row>
    <row r="665" customFormat="false" ht="12.75" hidden="false" customHeight="true" outlineLevel="0" collapsed="false">
      <c r="A665" s="441" t="n">
        <v>8</v>
      </c>
      <c r="B665" s="157" t="n">
        <v>657</v>
      </c>
      <c r="C665" s="437" t="s">
        <v>8266</v>
      </c>
      <c r="D665" s="157" t="s">
        <v>8456</v>
      </c>
      <c r="E665" s="457" t="s">
        <v>2461</v>
      </c>
      <c r="F665" s="157" t="s">
        <v>8457</v>
      </c>
      <c r="G665" s="445" t="n">
        <v>44.3</v>
      </c>
      <c r="H665" s="157" t="n">
        <v>9102</v>
      </c>
      <c r="I665" s="457" t="n">
        <v>0</v>
      </c>
      <c r="J665" s="446" t="n">
        <v>146721</v>
      </c>
      <c r="K665" s="176" t="n">
        <v>3.34</v>
      </c>
      <c r="L665" s="175" t="n">
        <v>0</v>
      </c>
      <c r="M665" s="175" t="n">
        <v>0.01</v>
      </c>
      <c r="N665" s="157" t="n">
        <v>1977</v>
      </c>
      <c r="O665" s="157" t="n">
        <v>4338</v>
      </c>
      <c r="P665" s="157"/>
      <c r="Q665" s="157" t="n">
        <v>29</v>
      </c>
      <c r="R665" s="157" t="n">
        <v>10</v>
      </c>
      <c r="S665" s="157" t="n">
        <v>1</v>
      </c>
      <c r="T665" s="457" t="s">
        <v>7542</v>
      </c>
      <c r="U665" s="157" t="n">
        <v>398</v>
      </c>
      <c r="V665" s="446" t="n">
        <v>307313</v>
      </c>
      <c r="W665" s="446" t="n">
        <v>300000</v>
      </c>
      <c r="X665" s="431" t="s">
        <v>7546</v>
      </c>
      <c r="Y665" s="446" t="n">
        <v>150000</v>
      </c>
      <c r="Z665" s="457" t="s">
        <v>463</v>
      </c>
      <c r="AA665" s="157" t="n">
        <v>3</v>
      </c>
      <c r="AB665" s="157" t="n">
        <v>3</v>
      </c>
      <c r="AC665" s="157" t="n">
        <v>33</v>
      </c>
      <c r="AD665" s="157" t="s">
        <v>8458</v>
      </c>
      <c r="AE665" s="430"/>
      <c r="AF665" s="467"/>
      <c r="AG665" s="467"/>
      <c r="AH665" s="430"/>
      <c r="AI665" s="167"/>
      <c r="AJ665" s="167"/>
      <c r="AK665" s="167"/>
      <c r="AL665" s="157" t="n">
        <f aca="false">IF(AND(ISNUMBER($S665),$S665&gt;0,ISNUMBER($K665),ISNUMBER($J665)),($K665*$J665)/$S665,"")</f>
        <v>490048.14</v>
      </c>
    </row>
    <row r="666" customFormat="false" ht="12.75" hidden="false" customHeight="true" outlineLevel="0" collapsed="false">
      <c r="A666" s="441" t="n">
        <v>8</v>
      </c>
      <c r="B666" s="157" t="n">
        <v>658</v>
      </c>
      <c r="C666" s="437" t="s">
        <v>8246</v>
      </c>
      <c r="D666" s="157" t="s">
        <v>8459</v>
      </c>
      <c r="E666" s="461" t="s">
        <v>2461</v>
      </c>
      <c r="F666" s="157" t="s">
        <v>8460</v>
      </c>
      <c r="G666" s="445" t="n">
        <v>44.1</v>
      </c>
      <c r="H666" s="431" t="n">
        <v>9102</v>
      </c>
      <c r="I666" s="457" t="n">
        <v>0</v>
      </c>
      <c r="J666" s="458" t="n">
        <v>10000</v>
      </c>
      <c r="K666" s="462" t="n">
        <v>4.24</v>
      </c>
      <c r="L666" s="463" t="n">
        <v>0</v>
      </c>
      <c r="M666" s="463" t="n">
        <v>0</v>
      </c>
      <c r="N666" s="431" t="n">
        <v>1969</v>
      </c>
      <c r="O666" s="446" t="n">
        <v>1120</v>
      </c>
      <c r="Q666" s="157" t="n">
        <v>22</v>
      </c>
      <c r="R666" s="157" t="n">
        <v>1</v>
      </c>
      <c r="S666" s="157" t="n">
        <v>1</v>
      </c>
      <c r="T666" s="457" t="s">
        <v>7531</v>
      </c>
      <c r="U666" s="457" t="n">
        <v>398</v>
      </c>
      <c r="V666" s="458" t="n">
        <v>25000</v>
      </c>
      <c r="W666" s="458" t="n">
        <v>25000</v>
      </c>
      <c r="X666" s="464" t="s">
        <v>6692</v>
      </c>
      <c r="Y666" s="458" t="n">
        <f aca="false">ROUND(J666,-3)</f>
        <v>10000</v>
      </c>
      <c r="Z666" s="457" t="s">
        <v>6638</v>
      </c>
      <c r="AA666" s="157" t="n">
        <v>3</v>
      </c>
      <c r="AB666" s="157" t="n">
        <v>3</v>
      </c>
      <c r="AC666" s="431" t="s">
        <v>586</v>
      </c>
      <c r="AD666" s="437" t="s">
        <v>8461</v>
      </c>
      <c r="AE666" s="167"/>
      <c r="AF666" s="167"/>
      <c r="AG666" s="167"/>
      <c r="AH666" s="167"/>
      <c r="AI666" s="167"/>
      <c r="AJ666" s="167"/>
      <c r="AK666" s="167" t="s">
        <v>8462</v>
      </c>
      <c r="AL666" s="157" t="n">
        <f aca="false">IF(AND(ISNUMBER($S666),$S666&gt;0,ISNUMBER($K666),ISNUMBER($J666)),($K666*$J666)/$S666,"")</f>
        <v>42400</v>
      </c>
    </row>
    <row r="667" customFormat="false" ht="12.75" hidden="false" customHeight="true" outlineLevel="0" collapsed="false">
      <c r="A667" s="441" t="n">
        <v>8</v>
      </c>
      <c r="B667" s="157" t="n">
        <v>659</v>
      </c>
      <c r="C667" s="437" t="s">
        <v>8246</v>
      </c>
      <c r="D667" s="157" t="s">
        <v>8463</v>
      </c>
      <c r="E667" s="461" t="s">
        <v>2461</v>
      </c>
      <c r="F667" s="157" t="s">
        <v>8464</v>
      </c>
      <c r="G667" s="445" t="n">
        <v>44.2</v>
      </c>
      <c r="H667" s="431" t="n">
        <v>9102</v>
      </c>
      <c r="I667" s="457" t="n">
        <v>0</v>
      </c>
      <c r="J667" s="458" t="n">
        <v>24750</v>
      </c>
      <c r="K667" s="462" t="n">
        <v>6.66666666666667</v>
      </c>
      <c r="L667" s="463" t="n">
        <v>0</v>
      </c>
      <c r="M667" s="463" t="n">
        <v>0</v>
      </c>
      <c r="N667" s="431" t="n">
        <v>1970</v>
      </c>
      <c r="O667" s="446" t="n">
        <f aca="false">3905+3631</f>
        <v>7536</v>
      </c>
      <c r="Q667" s="157" t="n">
        <v>16</v>
      </c>
      <c r="R667" s="157" t="n">
        <v>14</v>
      </c>
      <c r="S667" s="157" t="n">
        <v>3</v>
      </c>
      <c r="T667" s="457" t="s">
        <v>7531</v>
      </c>
      <c r="U667" s="457" t="n">
        <v>398</v>
      </c>
      <c r="V667" s="458" t="n">
        <v>44000</v>
      </c>
      <c r="W667" s="458" t="n">
        <v>44000</v>
      </c>
      <c r="X667" s="464" t="s">
        <v>6863</v>
      </c>
      <c r="Y667" s="458" t="n">
        <f aca="false">ROUND(J667,-3)</f>
        <v>25000</v>
      </c>
      <c r="Z667" s="457" t="s">
        <v>6638</v>
      </c>
      <c r="AA667" s="157" t="n">
        <v>3</v>
      </c>
      <c r="AB667" s="157" t="n">
        <v>3</v>
      </c>
      <c r="AC667" s="431" t="s">
        <v>586</v>
      </c>
      <c r="AD667" s="437"/>
      <c r="AE667" s="167"/>
      <c r="AF667" s="167"/>
      <c r="AG667" s="167"/>
      <c r="AH667" s="167"/>
      <c r="AI667" s="167"/>
      <c r="AJ667" s="167"/>
      <c r="AK667" s="167" t="s">
        <v>8419</v>
      </c>
      <c r="AL667" s="157" t="n">
        <f aca="false">IF(AND(ISNUMBER($S667),$S667&gt;0,ISNUMBER($K667),ISNUMBER($J667)),($K667*$J667)/$S667,"")</f>
        <v>55000</v>
      </c>
    </row>
    <row r="668" customFormat="false" ht="12.75" hidden="false" customHeight="true" outlineLevel="0" collapsed="false">
      <c r="A668" s="441" t="n">
        <v>8</v>
      </c>
      <c r="B668" s="157" t="n">
        <v>660</v>
      </c>
      <c r="C668" s="437" t="s">
        <v>8246</v>
      </c>
      <c r="D668" s="157" t="s">
        <v>8465</v>
      </c>
      <c r="E668" s="461" t="s">
        <v>2461</v>
      </c>
      <c r="F668" s="157" t="s">
        <v>8466</v>
      </c>
      <c r="G668" s="445" t="n">
        <v>44.2</v>
      </c>
      <c r="H668" s="431" t="n">
        <v>9102</v>
      </c>
      <c r="I668" s="457" t="n">
        <v>0</v>
      </c>
      <c r="J668" s="458" t="n">
        <v>1800</v>
      </c>
      <c r="K668" s="462" t="n">
        <v>7.66666666666667</v>
      </c>
      <c r="L668" s="463" t="n">
        <v>0</v>
      </c>
      <c r="M668" s="463" t="n">
        <v>0.163768115942029</v>
      </c>
      <c r="N668" s="431" t="n">
        <v>1968</v>
      </c>
      <c r="O668" s="446" t="n">
        <v>1936</v>
      </c>
      <c r="Q668" s="157" t="n">
        <v>14</v>
      </c>
      <c r="R668" s="157" t="n">
        <v>1</v>
      </c>
      <c r="S668" s="157" t="n">
        <v>2</v>
      </c>
      <c r="T668" s="457" t="s">
        <v>7531</v>
      </c>
      <c r="U668" s="457" t="n">
        <v>398</v>
      </c>
      <c r="V668" s="458" t="n">
        <v>14025</v>
      </c>
      <c r="W668" s="458" t="n">
        <v>14000</v>
      </c>
      <c r="X668" s="464" t="s">
        <v>6664</v>
      </c>
      <c r="Y668" s="458" t="n">
        <f aca="false">ROUND(J668,-2)</f>
        <v>1800</v>
      </c>
      <c r="Z668" s="457" t="s">
        <v>6638</v>
      </c>
      <c r="AA668" s="157" t="n">
        <v>3</v>
      </c>
      <c r="AB668" s="157" t="n">
        <v>3</v>
      </c>
      <c r="AC668" s="431" t="s">
        <v>586</v>
      </c>
      <c r="AD668" s="437"/>
      <c r="AE668" s="167"/>
      <c r="AF668" s="167"/>
      <c r="AG668" s="167"/>
      <c r="AH668" s="167"/>
      <c r="AI668" s="167"/>
      <c r="AJ668" s="167"/>
      <c r="AK668" s="167" t="s">
        <v>8467</v>
      </c>
      <c r="AL668" s="157" t="n">
        <f aca="false">IF(AND(ISNUMBER($S668),$S668&gt;0,ISNUMBER($K668),ISNUMBER($J668)),($K668*$J668)/$S668,"")</f>
        <v>6900</v>
      </c>
    </row>
    <row r="669" customFormat="false" ht="12.75" hidden="false" customHeight="true" outlineLevel="0" collapsed="false">
      <c r="A669" s="441" t="n">
        <v>8</v>
      </c>
      <c r="B669" s="157" t="n">
        <v>661</v>
      </c>
      <c r="C669" s="437" t="s">
        <v>8246</v>
      </c>
      <c r="D669" s="157" t="s">
        <v>6865</v>
      </c>
      <c r="E669" s="461" t="s">
        <v>2461</v>
      </c>
      <c r="F669" s="157" t="s">
        <v>6866</v>
      </c>
      <c r="G669" s="445" t="n">
        <v>44.1</v>
      </c>
      <c r="H669" s="431" t="n">
        <v>9102</v>
      </c>
      <c r="I669" s="457" t="n">
        <v>0</v>
      </c>
      <c r="J669" s="458" t="n">
        <v>14848</v>
      </c>
      <c r="K669" s="462" t="n">
        <v>5.45070043103448</v>
      </c>
      <c r="L669" s="463" t="n">
        <v>0</v>
      </c>
      <c r="M669" s="463" t="n">
        <v>0</v>
      </c>
      <c r="N669" s="431" t="n">
        <v>1969</v>
      </c>
      <c r="O669" s="446" t="n">
        <v>1239</v>
      </c>
      <c r="P669" s="446" t="n">
        <v>2528</v>
      </c>
      <c r="Q669" s="157" t="n">
        <v>22</v>
      </c>
      <c r="R669" s="157" t="n">
        <v>8</v>
      </c>
      <c r="S669" s="157" t="n">
        <v>1</v>
      </c>
      <c r="T669" s="457" t="s">
        <v>7531</v>
      </c>
      <c r="U669" s="457" t="n">
        <v>398</v>
      </c>
      <c r="V669" s="458" t="n">
        <v>44000</v>
      </c>
      <c r="W669" s="458" t="n">
        <v>44000</v>
      </c>
      <c r="X669" s="464" t="s">
        <v>7563</v>
      </c>
      <c r="Y669" s="458" t="n">
        <f aca="false">ROUND(J669,-3)</f>
        <v>15000</v>
      </c>
      <c r="Z669" s="457" t="s">
        <v>6638</v>
      </c>
      <c r="AA669" s="157" t="n">
        <v>3</v>
      </c>
      <c r="AB669" s="157" t="n">
        <v>3</v>
      </c>
      <c r="AC669" s="431" t="s">
        <v>586</v>
      </c>
      <c r="AD669" s="437" t="s">
        <v>6867</v>
      </c>
      <c r="AE669" s="167"/>
      <c r="AF669" s="167"/>
      <c r="AG669" s="167"/>
      <c r="AH669" s="167"/>
      <c r="AI669" s="167"/>
      <c r="AJ669" s="167"/>
      <c r="AK669" s="167" t="s">
        <v>8342</v>
      </c>
      <c r="AL669" s="157" t="n">
        <f aca="false">IF(AND(ISNUMBER($S669),$S669&gt;0,ISNUMBER($K669),ISNUMBER($J669)),($K669*$J669)/$S669,"")</f>
        <v>80932</v>
      </c>
    </row>
    <row r="670" customFormat="false" ht="12.75" hidden="false" customHeight="true" outlineLevel="0" collapsed="false">
      <c r="A670" s="441" t="n">
        <v>8</v>
      </c>
      <c r="B670" s="157" t="n">
        <v>662</v>
      </c>
      <c r="C670" s="437" t="s">
        <v>8246</v>
      </c>
      <c r="D670" s="157" t="s">
        <v>8468</v>
      </c>
      <c r="E670" s="461" t="s">
        <v>2461</v>
      </c>
      <c r="F670" s="157" t="s">
        <v>8469</v>
      </c>
      <c r="G670" s="445" t="n">
        <v>47.2</v>
      </c>
      <c r="H670" s="431" t="n">
        <v>9102</v>
      </c>
      <c r="I670" s="457" t="n">
        <v>0</v>
      </c>
      <c r="J670" s="458" t="n">
        <v>56296</v>
      </c>
      <c r="K670" s="462" t="n">
        <v>3.51268296148927</v>
      </c>
      <c r="L670" s="463" t="n">
        <v>0</v>
      </c>
      <c r="M670" s="463" t="n">
        <v>0.0606826801517067</v>
      </c>
      <c r="N670" s="431" t="n">
        <v>1968</v>
      </c>
      <c r="O670" s="446" t="n">
        <v>17654</v>
      </c>
      <c r="Q670" s="157" t="n">
        <v>21</v>
      </c>
      <c r="R670" s="157" t="n">
        <v>3</v>
      </c>
      <c r="S670" s="157" t="n">
        <v>1</v>
      </c>
      <c r="T670" s="457" t="s">
        <v>7531</v>
      </c>
      <c r="U670" s="457" t="n">
        <v>401</v>
      </c>
      <c r="V670" s="458" t="n">
        <v>183748</v>
      </c>
      <c r="W670" s="458" t="n">
        <v>180000</v>
      </c>
      <c r="X670" s="464" t="s">
        <v>6695</v>
      </c>
      <c r="Y670" s="458" t="n">
        <f aca="false">ROUND(J670,-4)</f>
        <v>60000</v>
      </c>
      <c r="Z670" s="457" t="s">
        <v>6638</v>
      </c>
      <c r="AA670" s="157" t="n">
        <v>3</v>
      </c>
      <c r="AB670" s="157" t="n">
        <v>3</v>
      </c>
      <c r="AC670" s="431" t="s">
        <v>586</v>
      </c>
      <c r="AD670" s="437" t="s">
        <v>8470</v>
      </c>
      <c r="AE670" s="167"/>
      <c r="AF670" s="167"/>
      <c r="AG670" s="167"/>
      <c r="AH670" s="167"/>
      <c r="AI670" s="167"/>
      <c r="AJ670" s="167"/>
      <c r="AK670" s="167" t="s">
        <v>8471</v>
      </c>
      <c r="AL670" s="157" t="n">
        <f aca="false">IF(AND(ISNUMBER($S670),$S670&gt;0,ISNUMBER($K670),ISNUMBER($J670)),($K670*$J670)/$S670,"")</f>
        <v>197750</v>
      </c>
    </row>
    <row r="671" customFormat="false" ht="12.75" hidden="false" customHeight="true" outlineLevel="0" collapsed="false">
      <c r="A671" s="441" t="n">
        <v>8</v>
      </c>
      <c r="B671" s="157" t="n">
        <v>663</v>
      </c>
      <c r="C671" s="437" t="s">
        <v>8246</v>
      </c>
      <c r="D671" s="157" t="s">
        <v>8472</v>
      </c>
      <c r="E671" s="461" t="s">
        <v>2461</v>
      </c>
      <c r="F671" s="157" t="s">
        <v>8473</v>
      </c>
      <c r="G671" s="445" t="n">
        <v>44.2</v>
      </c>
      <c r="H671" s="431" t="n">
        <v>9104</v>
      </c>
      <c r="I671" s="457" t="n">
        <v>0</v>
      </c>
      <c r="J671" s="458" t="n">
        <v>68916</v>
      </c>
      <c r="K671" s="462" t="n">
        <v>4.95683150502061</v>
      </c>
      <c r="L671" s="463" t="n">
        <v>0</v>
      </c>
      <c r="M671" s="463" t="n">
        <v>0.04806721213097</v>
      </c>
      <c r="N671" s="431" t="n">
        <v>1969</v>
      </c>
      <c r="O671" s="446" t="n">
        <f aca="false">7652+780+226</f>
        <v>8658</v>
      </c>
      <c r="Q671" s="157" t="n">
        <v>25</v>
      </c>
      <c r="R671" s="157" t="n">
        <v>3</v>
      </c>
      <c r="S671" s="157" t="n">
        <v>1</v>
      </c>
      <c r="T671" s="457" t="s">
        <v>7531</v>
      </c>
      <c r="U671" s="457" t="n">
        <v>398</v>
      </c>
      <c r="V671" s="458" t="n">
        <v>272263</v>
      </c>
      <c r="W671" s="458" t="n">
        <v>270000</v>
      </c>
      <c r="X671" s="464" t="s">
        <v>7588</v>
      </c>
      <c r="Y671" s="458" t="n">
        <f aca="false">ROUND(J671,-4)</f>
        <v>70000</v>
      </c>
      <c r="Z671" s="457" t="s">
        <v>6638</v>
      </c>
      <c r="AA671" s="157" t="n">
        <v>3</v>
      </c>
      <c r="AB671" s="157" t="n">
        <v>3</v>
      </c>
      <c r="AC671" s="431" t="s">
        <v>586</v>
      </c>
      <c r="AD671" s="437" t="s">
        <v>8474</v>
      </c>
      <c r="AE671" s="167"/>
      <c r="AF671" s="167"/>
      <c r="AG671" s="167"/>
      <c r="AH671" s="167"/>
      <c r="AI671" s="167"/>
      <c r="AJ671" s="167"/>
      <c r="AK671" s="167" t="s">
        <v>8475</v>
      </c>
      <c r="AL671" s="157" t="n">
        <f aca="false">IF(AND(ISNUMBER($S671),$S671&gt;0,ISNUMBER($K671),ISNUMBER($J671)),($K671*$J671)/$S671,"")</f>
        <v>341605</v>
      </c>
    </row>
    <row r="672" customFormat="false" ht="12.75" hidden="false" customHeight="true" outlineLevel="0" collapsed="false">
      <c r="A672" s="441" t="n">
        <v>8</v>
      </c>
      <c r="B672" s="157" t="n">
        <v>664</v>
      </c>
      <c r="C672" s="437" t="s">
        <v>8246</v>
      </c>
      <c r="D672" s="157" t="s">
        <v>7698</v>
      </c>
      <c r="E672" s="461" t="s">
        <v>2461</v>
      </c>
      <c r="F672" s="157" t="s">
        <v>8476</v>
      </c>
      <c r="G672" s="445" t="n">
        <v>44.2</v>
      </c>
      <c r="H672" s="431" t="n">
        <v>9104</v>
      </c>
      <c r="I672" s="457" t="n">
        <v>0</v>
      </c>
      <c r="J672" s="458" t="n">
        <v>86060</v>
      </c>
      <c r="K672" s="462" t="n">
        <v>4.42669068092029</v>
      </c>
      <c r="L672" s="463" t="n">
        <v>0</v>
      </c>
      <c r="M672" s="463" t="n">
        <v>0</v>
      </c>
      <c r="N672" s="431" t="n">
        <v>1973</v>
      </c>
      <c r="O672" s="446" t="n">
        <f aca="false">6420+6543</f>
        <v>12963</v>
      </c>
      <c r="P672" s="446" t="n">
        <v>15020</v>
      </c>
      <c r="Q672" s="157" t="n">
        <v>20</v>
      </c>
      <c r="R672" s="157" t="n">
        <v>8</v>
      </c>
      <c r="S672" s="157" t="n">
        <v>1</v>
      </c>
      <c r="T672" s="457" t="s">
        <v>7531</v>
      </c>
      <c r="U672" s="457" t="n">
        <v>398</v>
      </c>
      <c r="V672" s="458" t="n">
        <v>304924</v>
      </c>
      <c r="W672" s="458" t="n">
        <v>300000</v>
      </c>
      <c r="X672" s="464" t="s">
        <v>7208</v>
      </c>
      <c r="Y672" s="458" t="n">
        <f aca="false">ROUND(J672,-4)</f>
        <v>90000</v>
      </c>
      <c r="Z672" s="457" t="s">
        <v>6638</v>
      </c>
      <c r="AA672" s="157" t="n">
        <v>3</v>
      </c>
      <c r="AB672" s="157" t="n">
        <v>3</v>
      </c>
      <c r="AC672" s="431" t="s">
        <v>586</v>
      </c>
      <c r="AD672" s="437" t="s">
        <v>7700</v>
      </c>
      <c r="AE672" s="167"/>
      <c r="AF672" s="167"/>
      <c r="AG672" s="167"/>
      <c r="AH672" s="167"/>
      <c r="AI672" s="167"/>
      <c r="AJ672" s="167"/>
      <c r="AK672" s="167" t="s">
        <v>8257</v>
      </c>
      <c r="AL672" s="157" t="n">
        <f aca="false">IF(AND(ISNUMBER($S672),$S672&gt;0,ISNUMBER($K672),ISNUMBER($J672)),($K672*$J672)/$S672,"")</f>
        <v>380961</v>
      </c>
    </row>
    <row r="673" customFormat="false" ht="12.75" hidden="false" customHeight="true" outlineLevel="0" collapsed="false">
      <c r="A673" s="441" t="n">
        <v>8</v>
      </c>
      <c r="B673" s="157" t="n">
        <v>665</v>
      </c>
      <c r="C673" s="437" t="s">
        <v>8246</v>
      </c>
      <c r="D673" s="157" t="s">
        <v>8477</v>
      </c>
      <c r="E673" s="461" t="s">
        <v>2461</v>
      </c>
      <c r="F673" s="157" t="s">
        <v>8478</v>
      </c>
      <c r="G673" s="445" t="n">
        <v>47.1</v>
      </c>
      <c r="H673" s="431" t="n">
        <v>9104</v>
      </c>
      <c r="I673" s="457" t="n">
        <v>0</v>
      </c>
      <c r="J673" s="458" t="n">
        <v>85908</v>
      </c>
      <c r="K673" s="462" t="n">
        <v>4.20525445825767</v>
      </c>
      <c r="L673" s="463" t="n">
        <v>0</v>
      </c>
      <c r="M673" s="463" t="n">
        <v>0</v>
      </c>
      <c r="N673" s="431" t="n">
        <v>1967</v>
      </c>
      <c r="O673" s="446" t="n">
        <f aca="false">1611+6300</f>
        <v>7911</v>
      </c>
      <c r="Q673" s="157" t="n">
        <v>20</v>
      </c>
      <c r="R673" s="157" t="n">
        <v>8</v>
      </c>
      <c r="S673" s="157" t="n">
        <v>1</v>
      </c>
      <c r="T673" s="457" t="s">
        <v>7531</v>
      </c>
      <c r="U673" s="457" t="n">
        <v>401</v>
      </c>
      <c r="V673" s="458" t="n">
        <v>191876</v>
      </c>
      <c r="W673" s="458" t="n">
        <v>190000</v>
      </c>
      <c r="X673" s="464" t="s">
        <v>6700</v>
      </c>
      <c r="Y673" s="458" t="n">
        <f aca="false">ROUND(J673,-4)</f>
        <v>90000</v>
      </c>
      <c r="Z673" s="457" t="s">
        <v>6638</v>
      </c>
      <c r="AA673" s="157" t="n">
        <v>2</v>
      </c>
      <c r="AB673" s="157" t="n">
        <v>1</v>
      </c>
      <c r="AC673" s="431" t="s">
        <v>529</v>
      </c>
      <c r="AD673" s="437" t="s">
        <v>8479</v>
      </c>
      <c r="AE673" s="167"/>
      <c r="AF673" s="167"/>
      <c r="AG673" s="167"/>
      <c r="AH673" s="167"/>
      <c r="AI673" s="167"/>
      <c r="AJ673" s="167"/>
      <c r="AK673" s="167" t="s">
        <v>8480</v>
      </c>
      <c r="AL673" s="157" t="n">
        <f aca="false">IF(AND(ISNUMBER($S673),$S673&gt;0,ISNUMBER($K673),ISNUMBER($J673)),($K673*$J673)/$S673,"")</f>
        <v>361265</v>
      </c>
    </row>
    <row r="674" customFormat="false" ht="12.75" hidden="false" customHeight="true" outlineLevel="0" collapsed="false">
      <c r="A674" s="441" t="n">
        <v>8</v>
      </c>
      <c r="B674" s="157" t="n">
        <v>666</v>
      </c>
      <c r="C674" s="437" t="s">
        <v>8246</v>
      </c>
      <c r="D674" s="157" t="s">
        <v>7701</v>
      </c>
      <c r="E674" s="461" t="s">
        <v>2461</v>
      </c>
      <c r="F674" s="157" t="s">
        <v>8481</v>
      </c>
      <c r="G674" s="445" t="n">
        <v>44.2</v>
      </c>
      <c r="H674" s="431" t="n">
        <v>9104</v>
      </c>
      <c r="I674" s="457" t="n">
        <v>0</v>
      </c>
      <c r="J674" s="458" t="n">
        <v>14149</v>
      </c>
      <c r="K674" s="462" t="n">
        <v>7.83292105449148</v>
      </c>
      <c r="L674" s="463" t="n">
        <v>0</v>
      </c>
      <c r="M674" s="463" t="n">
        <v>0.153986357238243</v>
      </c>
      <c r="N674" s="431" t="n">
        <v>2000</v>
      </c>
      <c r="O674" s="446" t="n">
        <v>1629</v>
      </c>
      <c r="Q674" s="157" t="n">
        <v>19</v>
      </c>
      <c r="R674" s="157" t="n">
        <v>14</v>
      </c>
      <c r="S674" s="157" t="n">
        <v>1</v>
      </c>
      <c r="T674" s="457" t="s">
        <v>7526</v>
      </c>
      <c r="U674" s="457" t="n">
        <v>398</v>
      </c>
      <c r="V674" s="458" t="n">
        <v>36116</v>
      </c>
      <c r="W674" s="458" t="n">
        <v>36000</v>
      </c>
      <c r="X674" s="464" t="s">
        <v>6724</v>
      </c>
      <c r="Y674" s="458" t="n">
        <f aca="false">ROUND(J674,-3)</f>
        <v>14000</v>
      </c>
      <c r="Z674" s="457" t="s">
        <v>6638</v>
      </c>
      <c r="AA674" s="157" t="n">
        <v>3</v>
      </c>
      <c r="AB674" s="157" t="n">
        <v>3</v>
      </c>
      <c r="AC674" s="431" t="s">
        <v>586</v>
      </c>
      <c r="AD674" s="437"/>
      <c r="AE674" s="167"/>
      <c r="AF674" s="167"/>
      <c r="AG674" s="167"/>
      <c r="AH674" s="167"/>
      <c r="AI674" s="167"/>
      <c r="AJ674" s="167"/>
      <c r="AK674" s="167" t="s">
        <v>8482</v>
      </c>
      <c r="AL674" s="157" t="n">
        <f aca="false">IF(AND(ISNUMBER($S674),$S674&gt;0,ISNUMBER($K674),ISNUMBER($J674)),($K674*$J674)/$S674,"")</f>
        <v>110828</v>
      </c>
    </row>
    <row r="675" customFormat="false" ht="12.75" hidden="false" customHeight="true" outlineLevel="0" collapsed="false">
      <c r="A675" s="441" t="n">
        <v>8</v>
      </c>
      <c r="B675" s="157" t="n">
        <v>667</v>
      </c>
      <c r="C675" s="437" t="s">
        <v>8246</v>
      </c>
      <c r="D675" s="157" t="s">
        <v>6871</v>
      </c>
      <c r="E675" s="461" t="s">
        <v>2461</v>
      </c>
      <c r="F675" s="157" t="s">
        <v>6872</v>
      </c>
      <c r="G675" s="445" t="n">
        <v>44.2</v>
      </c>
      <c r="H675" s="431" t="n">
        <v>9104</v>
      </c>
      <c r="I675" s="457" t="n">
        <v>0</v>
      </c>
      <c r="J675" s="458" t="n">
        <v>20046</v>
      </c>
      <c r="K675" s="462" t="n">
        <v>6.31547440885962</v>
      </c>
      <c r="L675" s="463" t="n">
        <v>0</v>
      </c>
      <c r="M675" s="463" t="n">
        <v>0.12501579778831</v>
      </c>
      <c r="N675" s="431" t="n">
        <v>1978</v>
      </c>
      <c r="O675" s="446" t="n">
        <v>2278</v>
      </c>
      <c r="Q675" s="157" t="n">
        <v>20</v>
      </c>
      <c r="R675" s="157" t="n">
        <v>10</v>
      </c>
      <c r="S675" s="157" t="n">
        <v>1</v>
      </c>
      <c r="T675" s="457" t="s">
        <v>7531</v>
      </c>
      <c r="U675" s="457" t="n">
        <v>398</v>
      </c>
      <c r="V675" s="458" t="n">
        <v>43000</v>
      </c>
      <c r="W675" s="458" t="n">
        <v>43000</v>
      </c>
      <c r="X675" s="464" t="s">
        <v>6754</v>
      </c>
      <c r="Y675" s="458" t="n">
        <f aca="false">ROUND(J675,-3)</f>
        <v>20000</v>
      </c>
      <c r="Z675" s="457" t="s">
        <v>6638</v>
      </c>
      <c r="AA675" s="157" t="n">
        <v>3</v>
      </c>
      <c r="AB675" s="157" t="n">
        <v>3</v>
      </c>
      <c r="AC675" s="431" t="s">
        <v>586</v>
      </c>
      <c r="AD675" s="437"/>
      <c r="AE675" s="167"/>
      <c r="AF675" s="167"/>
      <c r="AG675" s="167"/>
      <c r="AH675" s="167"/>
      <c r="AI675" s="167"/>
      <c r="AJ675" s="167"/>
      <c r="AK675" s="167" t="s">
        <v>8483</v>
      </c>
      <c r="AL675" s="157" t="n">
        <f aca="false">IF(AND(ISNUMBER($S675),$S675&gt;0,ISNUMBER($K675),ISNUMBER($J675)),($K675*$J675)/$S675,"")</f>
        <v>126600</v>
      </c>
    </row>
    <row r="676" customFormat="false" ht="12.75" hidden="false" customHeight="true" outlineLevel="0" collapsed="false">
      <c r="A676" s="441" t="n">
        <v>8</v>
      </c>
      <c r="B676" s="157" t="n">
        <v>668</v>
      </c>
      <c r="C676" s="437" t="s">
        <v>8246</v>
      </c>
      <c r="D676" s="157" t="s">
        <v>8484</v>
      </c>
      <c r="E676" s="461" t="s">
        <v>2461</v>
      </c>
      <c r="F676" s="157" t="s">
        <v>8485</v>
      </c>
      <c r="G676" s="445" t="n">
        <v>44.2</v>
      </c>
      <c r="H676" s="431" t="n">
        <v>9104</v>
      </c>
      <c r="I676" s="457" t="n">
        <v>0</v>
      </c>
      <c r="J676" s="458" t="n">
        <v>6214</v>
      </c>
      <c r="K676" s="462" t="n">
        <v>6.03476021886064</v>
      </c>
      <c r="L676" s="463" t="n">
        <v>0</v>
      </c>
      <c r="M676" s="463" t="n">
        <v>0.106666666666667</v>
      </c>
      <c r="N676" s="431" t="n">
        <v>1984</v>
      </c>
      <c r="O676" s="446" t="n">
        <v>1775</v>
      </c>
      <c r="Q676" s="157" t="n">
        <v>20</v>
      </c>
      <c r="R676" s="157" t="n">
        <v>3</v>
      </c>
      <c r="S676" s="157" t="n">
        <v>2</v>
      </c>
      <c r="T676" s="457" t="s">
        <v>7531</v>
      </c>
      <c r="U676" s="457" t="n">
        <v>398</v>
      </c>
      <c r="V676" s="458" t="n">
        <v>22683</v>
      </c>
      <c r="W676" s="458" t="n">
        <v>23000</v>
      </c>
      <c r="X676" s="464" t="s">
        <v>6863</v>
      </c>
      <c r="Y676" s="458" t="n">
        <f aca="false">ROUND(J676,-3)</f>
        <v>6000</v>
      </c>
      <c r="Z676" s="457" t="s">
        <v>6638</v>
      </c>
      <c r="AA676" s="157" t="n">
        <v>3</v>
      </c>
      <c r="AB676" s="157" t="n">
        <v>3</v>
      </c>
      <c r="AC676" s="431" t="s">
        <v>586</v>
      </c>
      <c r="AD676" s="437"/>
      <c r="AE676" s="167"/>
      <c r="AF676" s="167"/>
      <c r="AG676" s="167"/>
      <c r="AH676" s="167"/>
      <c r="AI676" s="167"/>
      <c r="AJ676" s="167"/>
      <c r="AK676" s="167" t="s">
        <v>8486</v>
      </c>
      <c r="AL676" s="157" t="n">
        <f aca="false">IF(AND(ISNUMBER($S676),$S676&gt;0,ISNUMBER($K676),ISNUMBER($J676)),($K676*$J676)/$S676,"")</f>
        <v>18750</v>
      </c>
    </row>
    <row r="677" customFormat="false" ht="12.75" hidden="false" customHeight="true" outlineLevel="0" collapsed="false">
      <c r="A677" s="441" t="n">
        <v>8</v>
      </c>
      <c r="B677" s="157" t="n">
        <v>669</v>
      </c>
      <c r="C677" s="437" t="s">
        <v>8266</v>
      </c>
      <c r="D677" s="157" t="s">
        <v>8487</v>
      </c>
      <c r="E677" s="457" t="s">
        <v>2461</v>
      </c>
      <c r="F677" s="157" t="s">
        <v>8488</v>
      </c>
      <c r="G677" s="445" t="n">
        <v>44.4</v>
      </c>
      <c r="H677" s="157" t="n">
        <v>9102</v>
      </c>
      <c r="I677" s="457" t="n">
        <v>0</v>
      </c>
      <c r="J677" s="446" t="n">
        <v>587487</v>
      </c>
      <c r="K677" s="176" t="n">
        <v>4.31</v>
      </c>
      <c r="L677" s="175" t="n">
        <v>0.02</v>
      </c>
      <c r="M677" s="175"/>
      <c r="N677" s="157" t="n">
        <v>1999</v>
      </c>
      <c r="O677" s="157" t="n">
        <v>18645</v>
      </c>
      <c r="P677" s="157"/>
      <c r="Q677" s="157" t="n">
        <v>30</v>
      </c>
      <c r="R677" s="157" t="n">
        <v>14</v>
      </c>
      <c r="S677" s="157" t="n">
        <v>8</v>
      </c>
      <c r="T677" s="457" t="s">
        <v>8489</v>
      </c>
      <c r="U677" s="157" t="n">
        <v>398</v>
      </c>
      <c r="V677" s="446" t="n">
        <v>1400794</v>
      </c>
      <c r="W677" s="446" t="n">
        <v>1500000</v>
      </c>
      <c r="X677" s="431" t="s">
        <v>6692</v>
      </c>
      <c r="Y677" s="446" t="n">
        <v>600000</v>
      </c>
      <c r="Z677" s="457" t="s">
        <v>461</v>
      </c>
      <c r="AA677" s="157" t="n">
        <v>3</v>
      </c>
      <c r="AB677" s="157" t="n">
        <v>3</v>
      </c>
      <c r="AC677" s="157" t="n">
        <v>33</v>
      </c>
      <c r="AD677" s="157" t="s">
        <v>8490</v>
      </c>
      <c r="AE677" s="430"/>
      <c r="AF677" s="467"/>
      <c r="AG677" s="467"/>
      <c r="AH677" s="430"/>
      <c r="AI677" s="167"/>
      <c r="AJ677" s="167"/>
      <c r="AK677" s="157" t="s">
        <v>8491</v>
      </c>
      <c r="AL677" s="157" t="n">
        <f aca="false">IF(AND(ISNUMBER($S677),$S677&gt;0,ISNUMBER($K677),ISNUMBER($J677)),($K677*$J677)/$S677,"")</f>
        <v>316508.62125</v>
      </c>
    </row>
    <row r="678" customFormat="false" ht="12.75" hidden="false" customHeight="true" outlineLevel="0" collapsed="false">
      <c r="A678" s="441" t="n">
        <v>8</v>
      </c>
      <c r="B678" s="157" t="n">
        <v>670</v>
      </c>
      <c r="C678" s="437" t="s">
        <v>8246</v>
      </c>
      <c r="D678" s="157" t="s">
        <v>8492</v>
      </c>
      <c r="E678" s="461" t="s">
        <v>2461</v>
      </c>
      <c r="F678" s="157" t="s">
        <v>8493</v>
      </c>
      <c r="G678" s="445" t="n">
        <v>44.1</v>
      </c>
      <c r="H678" s="431" t="n">
        <v>9102</v>
      </c>
      <c r="I678" s="457" t="n">
        <v>0</v>
      </c>
      <c r="J678" s="458" t="n">
        <v>27584</v>
      </c>
      <c r="K678" s="462" t="n">
        <v>6.49985498839907</v>
      </c>
      <c r="L678" s="463" t="n">
        <v>0</v>
      </c>
      <c r="M678" s="463" t="n">
        <v>0</v>
      </c>
      <c r="N678" s="431" t="n">
        <v>2005</v>
      </c>
      <c r="O678" s="446" t="n">
        <v>6709</v>
      </c>
      <c r="Q678" s="157" t="n">
        <v>24</v>
      </c>
      <c r="R678" s="157" t="n">
        <v>2</v>
      </c>
      <c r="S678" s="157" t="n">
        <v>1</v>
      </c>
      <c r="T678" s="457" t="s">
        <v>7789</v>
      </c>
      <c r="U678" s="457" t="n">
        <v>398</v>
      </c>
      <c r="V678" s="458" t="n">
        <v>111372</v>
      </c>
      <c r="W678" s="458" t="n">
        <v>110000</v>
      </c>
      <c r="X678" s="464" t="s">
        <v>7588</v>
      </c>
      <c r="Y678" s="458" t="n">
        <f aca="false">ROUND(J678,-3)</f>
        <v>28000</v>
      </c>
      <c r="Z678" s="457" t="s">
        <v>6638</v>
      </c>
      <c r="AA678" s="157" t="n">
        <v>3</v>
      </c>
      <c r="AB678" s="157" t="n">
        <v>3</v>
      </c>
      <c r="AC678" s="431" t="s">
        <v>586</v>
      </c>
      <c r="AD678" s="437"/>
      <c r="AE678" s="167"/>
      <c r="AF678" s="167"/>
      <c r="AG678" s="167"/>
      <c r="AH678" s="167"/>
      <c r="AI678" s="167"/>
      <c r="AJ678" s="167"/>
      <c r="AK678" s="167" t="s">
        <v>8419</v>
      </c>
      <c r="AL678" s="157" t="n">
        <f aca="false">IF(AND(ISNUMBER($S678),$S678&gt;0,ISNUMBER($K678),ISNUMBER($J678)),($K678*$J678)/$S678,"")</f>
        <v>179292</v>
      </c>
    </row>
    <row r="679" customFormat="false" ht="12.75" hidden="false" customHeight="true" outlineLevel="0" collapsed="false">
      <c r="A679" s="441" t="n">
        <v>8</v>
      </c>
      <c r="B679" s="157" t="n">
        <v>671</v>
      </c>
      <c r="C679" s="437" t="s">
        <v>8266</v>
      </c>
      <c r="D679" s="157" t="s">
        <v>8494</v>
      </c>
      <c r="E679" s="457" t="s">
        <v>2461</v>
      </c>
      <c r="F679" s="157" t="s">
        <v>8495</v>
      </c>
      <c r="G679" s="445" t="n">
        <v>44.4</v>
      </c>
      <c r="H679" s="157" t="n">
        <v>9102</v>
      </c>
      <c r="I679" s="457" t="n">
        <v>0</v>
      </c>
      <c r="J679" s="446" t="n">
        <v>400000</v>
      </c>
      <c r="K679" s="176" t="n">
        <v>4.59</v>
      </c>
      <c r="L679" s="175" t="n">
        <v>0.09</v>
      </c>
      <c r="M679" s="175" t="n">
        <v>0.07</v>
      </c>
      <c r="N679" s="157" t="n">
        <v>1998</v>
      </c>
      <c r="O679" s="157" t="n">
        <v>59469</v>
      </c>
      <c r="P679" s="157"/>
      <c r="Q679" s="157" t="n">
        <v>28</v>
      </c>
      <c r="R679" s="157" t="n">
        <v>14</v>
      </c>
      <c r="S679" s="157" t="n">
        <v>16</v>
      </c>
      <c r="T679" s="457" t="s">
        <v>7667</v>
      </c>
      <c r="U679" s="157" t="n">
        <v>398</v>
      </c>
      <c r="V679" s="446" t="n">
        <v>998049</v>
      </c>
      <c r="W679" s="446" t="n">
        <v>1000000</v>
      </c>
      <c r="X679" s="431" t="s">
        <v>6692</v>
      </c>
      <c r="Y679" s="446" t="n">
        <v>400000</v>
      </c>
      <c r="Z679" s="457" t="s">
        <v>461</v>
      </c>
      <c r="AA679" s="157" t="n">
        <v>3</v>
      </c>
      <c r="AB679" s="157" t="n">
        <v>3</v>
      </c>
      <c r="AC679" s="157" t="n">
        <v>33</v>
      </c>
      <c r="AE679" s="430"/>
      <c r="AF679" s="467"/>
      <c r="AG679" s="467"/>
      <c r="AH679" s="430"/>
      <c r="AI679" s="467"/>
      <c r="AJ679" s="430"/>
      <c r="AL679" s="167"/>
    </row>
    <row r="680" customFormat="false" ht="12.75" hidden="false" customHeight="true" outlineLevel="0" collapsed="false">
      <c r="A680" s="441" t="n">
        <v>8</v>
      </c>
      <c r="B680" s="157" t="n">
        <v>672</v>
      </c>
      <c r="C680" s="437" t="s">
        <v>8246</v>
      </c>
      <c r="D680" s="157" t="s">
        <v>6879</v>
      </c>
      <c r="E680" s="461" t="s">
        <v>2461</v>
      </c>
      <c r="F680" s="157" t="s">
        <v>6880</v>
      </c>
      <c r="G680" s="445" t="n">
        <v>44.4</v>
      </c>
      <c r="H680" s="431" t="n">
        <v>9104</v>
      </c>
      <c r="I680" s="457" t="n">
        <v>0</v>
      </c>
      <c r="J680" s="458" t="n">
        <v>121360</v>
      </c>
      <c r="K680" s="462" t="n">
        <v>3.68457481872116</v>
      </c>
      <c r="L680" s="463" t="n">
        <v>0</v>
      </c>
      <c r="M680" s="463" t="n">
        <v>0.216683066463906</v>
      </c>
      <c r="N680" s="431" t="n">
        <v>1971</v>
      </c>
      <c r="O680" s="446" t="n">
        <v>6439</v>
      </c>
      <c r="P680" s="446" t="n">
        <v>1570</v>
      </c>
      <c r="Q680" s="157" t="n">
        <v>14</v>
      </c>
      <c r="R680" s="157" t="n">
        <v>3</v>
      </c>
      <c r="S680" s="157" t="n">
        <v>2</v>
      </c>
      <c r="T680" s="457" t="s">
        <v>7531</v>
      </c>
      <c r="U680" s="457" t="n">
        <v>398</v>
      </c>
      <c r="V680" s="458" t="n">
        <v>255000</v>
      </c>
      <c r="W680" s="458" t="n">
        <v>260000</v>
      </c>
      <c r="X680" s="464" t="s">
        <v>6754</v>
      </c>
      <c r="Y680" s="458" t="n">
        <f aca="false">ROUND(J680,-4)</f>
        <v>120000</v>
      </c>
      <c r="Z680" s="457" t="s">
        <v>6638</v>
      </c>
      <c r="AA680" s="157" t="n">
        <v>3</v>
      </c>
      <c r="AB680" s="157" t="n">
        <v>3</v>
      </c>
      <c r="AC680" s="431" t="s">
        <v>586</v>
      </c>
      <c r="AD680" s="437" t="s">
        <v>6881</v>
      </c>
      <c r="AE680" s="167"/>
      <c r="AF680" s="167"/>
      <c r="AG680" s="167"/>
      <c r="AH680" s="167"/>
      <c r="AI680" s="167"/>
      <c r="AJ680" s="167"/>
      <c r="AK680" s="167" t="s">
        <v>8496</v>
      </c>
      <c r="AL680" s="157" t="n">
        <f aca="false">IF(AND(ISNUMBER($S680),$S680&gt;0,ISNUMBER($K680),ISNUMBER($J680)),($K680*$J680)/$S680,"")</f>
        <v>223580</v>
      </c>
    </row>
    <row r="681" customFormat="false" ht="12.75" hidden="false" customHeight="true" outlineLevel="0" collapsed="false">
      <c r="A681" s="441" t="n">
        <v>8</v>
      </c>
      <c r="B681" s="157" t="n">
        <v>673</v>
      </c>
      <c r="C681" s="437" t="s">
        <v>8246</v>
      </c>
      <c r="D681" s="157" t="s">
        <v>6882</v>
      </c>
      <c r="E681" s="461" t="s">
        <v>2461</v>
      </c>
      <c r="F681" s="157" t="s">
        <v>6883</v>
      </c>
      <c r="G681" s="445" t="n">
        <v>44.1</v>
      </c>
      <c r="H681" s="431" t="n">
        <v>9104</v>
      </c>
      <c r="I681" s="457" t="n">
        <v>0</v>
      </c>
      <c r="J681" s="458" t="n">
        <v>25095</v>
      </c>
      <c r="K681" s="462" t="n">
        <v>4.30364614465033</v>
      </c>
      <c r="L681" s="463" t="n">
        <v>1</v>
      </c>
      <c r="M681" s="463" t="n">
        <v>0</v>
      </c>
      <c r="N681" s="431" t="n">
        <v>1990</v>
      </c>
      <c r="O681" s="446" t="n">
        <v>3274</v>
      </c>
      <c r="Q681" s="157" t="n">
        <v>24</v>
      </c>
      <c r="R681" s="157" t="n">
        <v>3</v>
      </c>
      <c r="S681" s="157" t="n">
        <v>1</v>
      </c>
      <c r="T681" s="457" t="s">
        <v>7531</v>
      </c>
      <c r="U681" s="457" t="n">
        <v>401</v>
      </c>
      <c r="V681" s="458" t="n">
        <v>45240</v>
      </c>
      <c r="W681" s="458" t="n">
        <v>45000</v>
      </c>
      <c r="X681" s="464" t="s">
        <v>6863</v>
      </c>
      <c r="Y681" s="458" t="n">
        <f aca="false">ROUND(J681,-3)</f>
        <v>25000</v>
      </c>
      <c r="Z681" s="457" t="s">
        <v>6638</v>
      </c>
      <c r="AA681" s="157" t="n">
        <v>3</v>
      </c>
      <c r="AB681" s="157" t="n">
        <v>3</v>
      </c>
      <c r="AC681" s="431" t="s">
        <v>586</v>
      </c>
      <c r="AD681" s="437" t="s">
        <v>6884</v>
      </c>
      <c r="AE681" s="167"/>
      <c r="AF681" s="167"/>
      <c r="AG681" s="167"/>
      <c r="AH681" s="167"/>
      <c r="AI681" s="167"/>
      <c r="AJ681" s="167"/>
      <c r="AK681" s="167"/>
      <c r="AL681" s="157" t="n">
        <f aca="false">IF(AND(ISNUMBER($S681),$S681&gt;0,ISNUMBER($K681),ISNUMBER($J681)),($K681*$J681)/$S681,"")</f>
        <v>108000</v>
      </c>
    </row>
    <row r="682" customFormat="false" ht="12.75" hidden="false" customHeight="true" outlineLevel="0" collapsed="false">
      <c r="A682" s="441" t="n">
        <v>8</v>
      </c>
      <c r="B682" s="157" t="n">
        <v>674</v>
      </c>
      <c r="C682" s="437" t="s">
        <v>8246</v>
      </c>
      <c r="D682" s="157" t="s">
        <v>6885</v>
      </c>
      <c r="E682" s="461" t="s">
        <v>2461</v>
      </c>
      <c r="F682" s="157" t="s">
        <v>6886</v>
      </c>
      <c r="G682" s="445" t="n">
        <v>44.2</v>
      </c>
      <c r="H682" s="431" t="n">
        <v>9104</v>
      </c>
      <c r="I682" s="457" t="n">
        <v>0</v>
      </c>
      <c r="J682" s="458" t="n">
        <v>6000</v>
      </c>
      <c r="K682" s="462" t="n">
        <v>4</v>
      </c>
      <c r="L682" s="463" t="n">
        <v>0</v>
      </c>
      <c r="M682" s="463" t="n">
        <v>0</v>
      </c>
      <c r="N682" s="431" t="n">
        <v>2000</v>
      </c>
      <c r="O682" s="446" t="n">
        <f aca="false">3823+3055</f>
        <v>6878</v>
      </c>
      <c r="Q682" s="157" t="n">
        <v>24</v>
      </c>
      <c r="R682" s="157" t="n">
        <v>3</v>
      </c>
      <c r="S682" s="157" t="n">
        <v>5</v>
      </c>
      <c r="T682" s="457" t="s">
        <v>7531</v>
      </c>
      <c r="U682" s="457" t="n">
        <v>398</v>
      </c>
      <c r="V682" s="458" t="n">
        <v>38408</v>
      </c>
      <c r="W682" s="458" t="n">
        <v>38000</v>
      </c>
      <c r="X682" s="464" t="s">
        <v>6695</v>
      </c>
      <c r="Y682" s="458" t="n">
        <f aca="false">ROUND(J682,-3)</f>
        <v>6000</v>
      </c>
      <c r="Z682" s="457" t="s">
        <v>6638</v>
      </c>
      <c r="AA682" s="157" t="n">
        <v>3</v>
      </c>
      <c r="AB682" s="157" t="n">
        <v>3</v>
      </c>
      <c r="AC682" s="431" t="s">
        <v>586</v>
      </c>
      <c r="AD682" s="437" t="s">
        <v>6651</v>
      </c>
      <c r="AE682" s="167"/>
      <c r="AF682" s="167"/>
      <c r="AG682" s="167"/>
      <c r="AH682" s="167"/>
      <c r="AI682" s="167"/>
      <c r="AJ682" s="167"/>
      <c r="AK682" s="167" t="s">
        <v>8497</v>
      </c>
      <c r="AL682" s="157" t="n">
        <f aca="false">IF(AND(ISNUMBER($S682),$S682&gt;0,ISNUMBER($K682),ISNUMBER($J682)),($K682*$J682)/$S682,"")</f>
        <v>4800</v>
      </c>
    </row>
    <row r="683" customFormat="false" ht="12.75" hidden="false" customHeight="true" outlineLevel="0" collapsed="false">
      <c r="A683" s="441" t="n">
        <v>8</v>
      </c>
      <c r="B683" s="157" t="n">
        <v>675</v>
      </c>
      <c r="C683" s="437" t="s">
        <v>8246</v>
      </c>
      <c r="D683" s="157" t="s">
        <v>8498</v>
      </c>
      <c r="E683" s="461" t="s">
        <v>2461</v>
      </c>
      <c r="F683" s="157" t="s">
        <v>8499</v>
      </c>
      <c r="G683" s="445" t="n">
        <v>44.1</v>
      </c>
      <c r="H683" s="431" t="n">
        <v>9104</v>
      </c>
      <c r="I683" s="457" t="n">
        <v>0</v>
      </c>
      <c r="J683" s="458" t="n">
        <v>15000</v>
      </c>
      <c r="K683" s="462" t="n">
        <v>9</v>
      </c>
      <c r="L683" s="463" t="n">
        <v>0</v>
      </c>
      <c r="M683" s="463" t="n">
        <v>0</v>
      </c>
      <c r="N683" s="431" t="n">
        <v>1997</v>
      </c>
      <c r="O683" s="446" t="n">
        <v>1953</v>
      </c>
      <c r="Q683" s="157" t="n">
        <v>20</v>
      </c>
      <c r="R683" s="157" t="n">
        <v>3</v>
      </c>
      <c r="S683" s="157" t="n">
        <v>1</v>
      </c>
      <c r="T683" s="457" t="s">
        <v>7531</v>
      </c>
      <c r="U683" s="457" t="n">
        <v>399</v>
      </c>
      <c r="V683" s="458" t="n">
        <v>111770</v>
      </c>
      <c r="W683" s="458" t="n">
        <v>110000</v>
      </c>
      <c r="X683" s="464" t="s">
        <v>8500</v>
      </c>
      <c r="Y683" s="458" t="n">
        <f aca="false">ROUND(J683,-3)</f>
        <v>15000</v>
      </c>
      <c r="Z683" s="457" t="s">
        <v>6638</v>
      </c>
      <c r="AA683" s="157" t="n">
        <v>3</v>
      </c>
      <c r="AB683" s="157" t="n">
        <v>3</v>
      </c>
      <c r="AC683" s="431" t="s">
        <v>586</v>
      </c>
      <c r="AD683" s="437" t="s">
        <v>8501</v>
      </c>
      <c r="AE683" s="167"/>
      <c r="AF683" s="167"/>
      <c r="AG683" s="167"/>
      <c r="AH683" s="167"/>
      <c r="AI683" s="167"/>
      <c r="AJ683" s="167"/>
      <c r="AK683" s="167" t="s">
        <v>8502</v>
      </c>
      <c r="AL683" s="157" t="n">
        <f aca="false">IF(AND(ISNUMBER($S683),$S683&gt;0,ISNUMBER($K683),ISNUMBER($J683)),($K683*$J683)/$S683,"")</f>
        <v>135000</v>
      </c>
    </row>
    <row r="684" customFormat="false" ht="12.75" hidden="false" customHeight="true" outlineLevel="0" collapsed="false">
      <c r="A684" s="441" t="n">
        <v>8</v>
      </c>
      <c r="B684" s="157" t="n">
        <v>676</v>
      </c>
      <c r="C684" s="437" t="s">
        <v>8246</v>
      </c>
      <c r="D684" s="157" t="s">
        <v>6889</v>
      </c>
      <c r="E684" s="461" t="s">
        <v>2461</v>
      </c>
      <c r="F684" s="157" t="s">
        <v>6890</v>
      </c>
      <c r="G684" s="445" t="n">
        <v>44.1</v>
      </c>
      <c r="H684" s="431" t="n">
        <v>9104</v>
      </c>
      <c r="I684" s="457" t="n">
        <v>0</v>
      </c>
      <c r="J684" s="458" t="n">
        <v>54662</v>
      </c>
      <c r="K684" s="462" t="n">
        <v>5.10189894259266</v>
      </c>
      <c r="L684" s="463" t="n">
        <v>0</v>
      </c>
      <c r="M684" s="463" t="n">
        <v>0.13075157773953</v>
      </c>
      <c r="N684" s="431" t="n">
        <v>1980</v>
      </c>
      <c r="O684" s="446" t="n">
        <v>3736</v>
      </c>
      <c r="Q684" s="157" t="n">
        <v>27</v>
      </c>
      <c r="R684" s="157" t="n">
        <v>14</v>
      </c>
      <c r="S684" s="157" t="n">
        <v>1</v>
      </c>
      <c r="T684" s="457" t="s">
        <v>7531</v>
      </c>
      <c r="U684" s="457" t="n">
        <v>398</v>
      </c>
      <c r="V684" s="458" t="n">
        <v>99319</v>
      </c>
      <c r="W684" s="458" t="n">
        <v>100000</v>
      </c>
      <c r="X684" s="464" t="s">
        <v>6863</v>
      </c>
      <c r="Y684" s="458" t="n">
        <f aca="false">ROUND(J684,-4)</f>
        <v>50000</v>
      </c>
      <c r="Z684" s="457" t="s">
        <v>6638</v>
      </c>
      <c r="AA684" s="157" t="n">
        <v>3</v>
      </c>
      <c r="AB684" s="157" t="n">
        <v>3</v>
      </c>
      <c r="AC684" s="431" t="s">
        <v>586</v>
      </c>
      <c r="AD684" s="437" t="s">
        <v>6891</v>
      </c>
      <c r="AE684" s="167"/>
      <c r="AF684" s="167"/>
      <c r="AG684" s="167"/>
      <c r="AH684" s="167"/>
      <c r="AI684" s="167"/>
      <c r="AJ684" s="167"/>
      <c r="AK684" s="167" t="s">
        <v>8503</v>
      </c>
      <c r="AL684" s="157" t="n">
        <f aca="false">IF(AND(ISNUMBER($S684),$S684&gt;0,ISNUMBER($K684),ISNUMBER($J684)),($K684*$J684)/$S684,"")</f>
        <v>278880</v>
      </c>
    </row>
    <row r="685" customFormat="false" ht="12.75" hidden="false" customHeight="true" outlineLevel="0" collapsed="false">
      <c r="A685" s="441" t="n">
        <v>8</v>
      </c>
      <c r="B685" s="157" t="n">
        <v>677</v>
      </c>
      <c r="C685" s="437" t="s">
        <v>8266</v>
      </c>
      <c r="D685" s="157" t="s">
        <v>8504</v>
      </c>
      <c r="E685" s="457" t="s">
        <v>2461</v>
      </c>
      <c r="F685" s="157" t="s">
        <v>8505</v>
      </c>
      <c r="G685" s="445" t="n">
        <v>44.3</v>
      </c>
      <c r="H685" s="157" t="n">
        <v>9104</v>
      </c>
      <c r="I685" s="457" t="n">
        <v>0</v>
      </c>
      <c r="J685" s="446" t="n">
        <v>153815</v>
      </c>
      <c r="K685" s="176" t="n">
        <v>3.27</v>
      </c>
      <c r="L685" s="175" t="n">
        <v>0</v>
      </c>
      <c r="M685" s="175" t="n">
        <v>0</v>
      </c>
      <c r="N685" s="157" t="n">
        <v>1973</v>
      </c>
      <c r="O685" s="446" t="n">
        <v>6892</v>
      </c>
      <c r="P685" s="157"/>
      <c r="Q685" s="157" t="n">
        <v>22</v>
      </c>
      <c r="R685" s="157" t="n">
        <v>10</v>
      </c>
      <c r="S685" s="157" t="n">
        <v>3</v>
      </c>
      <c r="T685" s="457" t="s">
        <v>8506</v>
      </c>
      <c r="U685" s="157" t="n">
        <v>398</v>
      </c>
      <c r="V685" s="446" t="n">
        <v>270532</v>
      </c>
      <c r="W685" s="446" t="n">
        <v>300000</v>
      </c>
      <c r="X685" s="431" t="s">
        <v>7546</v>
      </c>
      <c r="Y685" s="446" t="n">
        <v>150000</v>
      </c>
      <c r="Z685" s="457" t="s">
        <v>463</v>
      </c>
      <c r="AA685" s="157" t="n">
        <v>3</v>
      </c>
      <c r="AB685" s="157" t="n">
        <v>3</v>
      </c>
      <c r="AC685" s="157" t="n">
        <v>33</v>
      </c>
      <c r="AD685" s="157" t="s">
        <v>8507</v>
      </c>
      <c r="AE685" s="430" t="n">
        <v>3.27</v>
      </c>
      <c r="AF685" s="467" t="n">
        <v>3.27</v>
      </c>
      <c r="AG685" s="467" t="n">
        <v>3.27</v>
      </c>
      <c r="AH685" s="430" t="n">
        <v>0</v>
      </c>
      <c r="AI685" s="467" t="n">
        <v>0</v>
      </c>
      <c r="AJ685" s="430"/>
      <c r="AK685" s="157" t="s">
        <v>8508</v>
      </c>
      <c r="AL685" s="157" t="n">
        <f aca="false">IF(AND(ISNUMBER($S685),$S685&gt;0,ISNUMBER($K685),ISNUMBER($J685)),($K685*$J685)/$S685,"")</f>
        <v>167658.35</v>
      </c>
    </row>
    <row r="686" customFormat="false" ht="12.75" hidden="false" customHeight="true" outlineLevel="0" collapsed="false">
      <c r="A686" s="441" t="n">
        <v>8</v>
      </c>
      <c r="B686" s="157" t="n">
        <v>678</v>
      </c>
      <c r="C686" s="437" t="s">
        <v>8266</v>
      </c>
      <c r="D686" s="157" t="s">
        <v>8509</v>
      </c>
      <c r="E686" s="457" t="s">
        <v>2461</v>
      </c>
      <c r="F686" s="157" t="s">
        <v>8510</v>
      </c>
      <c r="G686" s="445" t="n">
        <v>44.3</v>
      </c>
      <c r="H686" s="157" t="n">
        <v>9104</v>
      </c>
      <c r="I686" s="457" t="n">
        <v>0</v>
      </c>
      <c r="J686" s="446" t="n">
        <v>200000</v>
      </c>
      <c r="K686" s="176" t="n">
        <v>3.34</v>
      </c>
      <c r="L686" s="175" t="n">
        <v>0.04</v>
      </c>
      <c r="M686" s="175" t="n">
        <v>0</v>
      </c>
      <c r="N686" s="157" t="n">
        <v>1974</v>
      </c>
      <c r="O686" s="446" t="n">
        <v>16178</v>
      </c>
      <c r="P686" s="157"/>
      <c r="Q686" s="157" t="n">
        <v>22</v>
      </c>
      <c r="R686" s="157" t="n">
        <v>10</v>
      </c>
      <c r="S686" s="157" t="n">
        <v>3</v>
      </c>
      <c r="T686" s="457" t="s">
        <v>7542</v>
      </c>
      <c r="U686" s="157" t="n">
        <v>398</v>
      </c>
      <c r="V686" s="446" t="n">
        <v>442561</v>
      </c>
      <c r="W686" s="446" t="n">
        <v>500000</v>
      </c>
      <c r="X686" s="431" t="s">
        <v>6700</v>
      </c>
      <c r="Y686" s="446" t="n">
        <v>200000</v>
      </c>
      <c r="Z686" s="457" t="s">
        <v>463</v>
      </c>
      <c r="AA686" s="157" t="n">
        <v>2</v>
      </c>
      <c r="AB686" s="157" t="n">
        <v>3</v>
      </c>
      <c r="AC686" s="157" t="n">
        <v>23</v>
      </c>
      <c r="AD686" s="157" t="s">
        <v>8511</v>
      </c>
      <c r="AE686" s="430" t="n">
        <v>3.34</v>
      </c>
      <c r="AF686" s="467" t="n">
        <f aca="false">AE686*0.96</f>
        <v>3.2064</v>
      </c>
      <c r="AG686" s="467" t="n">
        <v>3.21</v>
      </c>
      <c r="AH686" s="430" t="n">
        <v>0</v>
      </c>
      <c r="AI686" s="467" t="n">
        <v>0</v>
      </c>
      <c r="AJ686" s="430" t="n">
        <v>0</v>
      </c>
      <c r="AK686" s="157" t="s">
        <v>8512</v>
      </c>
      <c r="AL686" s="157" t="n">
        <f aca="false">IF(AND(ISNUMBER($S686),$S686&gt;0,ISNUMBER($K686),ISNUMBER($J686)),($K686*$J686)/$S686,"")</f>
        <v>222666.666666667</v>
      </c>
    </row>
    <row r="687" customFormat="false" ht="12.75" hidden="false" customHeight="true" outlineLevel="0" collapsed="false">
      <c r="A687" s="441" t="n">
        <v>8</v>
      </c>
      <c r="B687" s="157" t="n">
        <v>679</v>
      </c>
      <c r="C687" s="437" t="s">
        <v>8246</v>
      </c>
      <c r="D687" s="157" t="s">
        <v>7717</v>
      </c>
      <c r="E687" s="461" t="s">
        <v>2461</v>
      </c>
      <c r="F687" s="157" t="s">
        <v>8513</v>
      </c>
      <c r="G687" s="445" t="n">
        <v>44.2</v>
      </c>
      <c r="H687" s="431" t="n">
        <v>9104</v>
      </c>
      <c r="I687" s="457" t="n">
        <v>3</v>
      </c>
      <c r="J687" s="458" t="n">
        <v>16875</v>
      </c>
      <c r="K687" s="462" t="n">
        <v>8.17777777777778</v>
      </c>
      <c r="L687" s="463" t="n">
        <v>0.634074074074074</v>
      </c>
      <c r="M687" s="463" t="n">
        <v>0.075463768115942</v>
      </c>
      <c r="N687" s="431" t="n">
        <v>1973</v>
      </c>
      <c r="O687" s="446" t="n">
        <f aca="false">1172*2</f>
        <v>2344</v>
      </c>
      <c r="Q687" s="157" t="n">
        <v>20</v>
      </c>
      <c r="R687" s="157" t="n">
        <v>10</v>
      </c>
      <c r="S687" s="157" t="n">
        <v>2</v>
      </c>
      <c r="T687" s="457" t="s">
        <v>7531</v>
      </c>
      <c r="U687" s="457" t="n">
        <v>398</v>
      </c>
      <c r="V687" s="458" t="n">
        <v>31803</v>
      </c>
      <c r="W687" s="458" t="n">
        <v>32000</v>
      </c>
      <c r="X687" s="464" t="s">
        <v>6675</v>
      </c>
      <c r="Y687" s="458" t="n">
        <f aca="false">ROUND(J687,-3)</f>
        <v>17000</v>
      </c>
      <c r="Z687" s="457" t="s">
        <v>6638</v>
      </c>
      <c r="AA687" s="157" t="n">
        <v>3</v>
      </c>
      <c r="AB687" s="157" t="n">
        <v>3</v>
      </c>
      <c r="AC687" s="431" t="s">
        <v>586</v>
      </c>
      <c r="AD687" s="437" t="s">
        <v>7719</v>
      </c>
      <c r="AE687" s="167"/>
      <c r="AF687" s="167"/>
      <c r="AG687" s="167"/>
      <c r="AH687" s="167"/>
      <c r="AI687" s="167"/>
      <c r="AJ687" s="167"/>
      <c r="AK687" s="167" t="s">
        <v>8257</v>
      </c>
      <c r="AL687" s="157" t="n">
        <f aca="false">IF(AND(ISNUMBER($S687),$S687&gt;0,ISNUMBER($K687),ISNUMBER($J687)),($K687*$J687)/$S687,"")</f>
        <v>69000</v>
      </c>
    </row>
    <row r="688" customFormat="false" ht="12.75" hidden="false" customHeight="true" outlineLevel="0" collapsed="false">
      <c r="A688" s="441" t="n">
        <v>8</v>
      </c>
      <c r="B688" s="157" t="n">
        <v>680</v>
      </c>
      <c r="C688" s="437" t="s">
        <v>8246</v>
      </c>
      <c r="D688" s="157" t="s">
        <v>8514</v>
      </c>
      <c r="E688" s="461" t="s">
        <v>2461</v>
      </c>
      <c r="F688" s="157" t="s">
        <v>8515</v>
      </c>
      <c r="G688" s="445" t="n">
        <v>44.3</v>
      </c>
      <c r="H688" s="431" t="n">
        <v>9104</v>
      </c>
      <c r="I688" s="457" t="n">
        <v>0</v>
      </c>
      <c r="J688" s="458" t="n">
        <v>152503</v>
      </c>
      <c r="K688" s="462" t="n">
        <v>3.25606709376209</v>
      </c>
      <c r="L688" s="463" t="n">
        <v>0</v>
      </c>
      <c r="M688" s="463" t="n">
        <v>0</v>
      </c>
      <c r="N688" s="431" t="n">
        <v>1986</v>
      </c>
      <c r="O688" s="446" t="n">
        <f aca="false">1428+419</f>
        <v>1847</v>
      </c>
      <c r="P688" s="446" t="n">
        <f aca="false">(2592*2)</f>
        <v>5184</v>
      </c>
      <c r="Q688" s="157" t="n">
        <v>22</v>
      </c>
      <c r="R688" s="157" t="n">
        <v>14</v>
      </c>
      <c r="S688" s="157" t="n">
        <v>1</v>
      </c>
      <c r="T688" s="457" t="s">
        <v>7531</v>
      </c>
      <c r="U688" s="457" t="n">
        <v>398</v>
      </c>
      <c r="V688" s="458" t="n">
        <v>192587</v>
      </c>
      <c r="W688" s="458" t="n">
        <v>190000</v>
      </c>
      <c r="X688" s="464" t="s">
        <v>7103</v>
      </c>
      <c r="Y688" s="458" t="n">
        <f aca="false">ROUND(J688,-4)</f>
        <v>150000</v>
      </c>
      <c r="Z688" s="457" t="s">
        <v>6638</v>
      </c>
      <c r="AA688" s="157" t="n">
        <v>3</v>
      </c>
      <c r="AB688" s="157" t="n">
        <v>3</v>
      </c>
      <c r="AC688" s="431" t="s">
        <v>586</v>
      </c>
      <c r="AD688" s="437" t="s">
        <v>8516</v>
      </c>
      <c r="AE688" s="167"/>
      <c r="AF688" s="167"/>
      <c r="AG688" s="167"/>
      <c r="AH688" s="167"/>
      <c r="AI688" s="167"/>
      <c r="AJ688" s="167"/>
      <c r="AK688" s="167" t="s">
        <v>8308</v>
      </c>
      <c r="AL688" s="157" t="n">
        <f aca="false">IF(AND(ISNUMBER($S688),$S688&gt;0,ISNUMBER($K688),ISNUMBER($J688)),($K688*$J688)/$S688,"")</f>
        <v>496560</v>
      </c>
    </row>
    <row r="689" customFormat="false" ht="12.75" hidden="false" customHeight="true" outlineLevel="0" collapsed="false">
      <c r="A689" s="441" t="n">
        <v>8</v>
      </c>
      <c r="B689" s="157" t="n">
        <v>681</v>
      </c>
      <c r="C689" s="437" t="s">
        <v>8246</v>
      </c>
      <c r="D689" s="157" t="s">
        <v>8517</v>
      </c>
      <c r="E689" s="461" t="s">
        <v>2461</v>
      </c>
      <c r="F689" s="157" t="s">
        <v>8518</v>
      </c>
      <c r="G689" s="445" t="n">
        <v>44.1</v>
      </c>
      <c r="H689" s="431" t="n">
        <v>9101</v>
      </c>
      <c r="I689" s="457" t="n">
        <v>0</v>
      </c>
      <c r="J689" s="458" t="n">
        <v>983</v>
      </c>
      <c r="K689" s="462" t="n">
        <v>5.59511698880977</v>
      </c>
      <c r="L689" s="463" t="n">
        <v>0</v>
      </c>
      <c r="M689" s="463" t="n">
        <v>0.147090909090909</v>
      </c>
      <c r="N689" s="431" t="n">
        <v>1990</v>
      </c>
      <c r="Q689" s="157" t="n">
        <v>15</v>
      </c>
      <c r="R689" s="157" t="n">
        <v>3</v>
      </c>
      <c r="S689" s="157" t="n">
        <v>1</v>
      </c>
      <c r="T689" s="457" t="s">
        <v>8519</v>
      </c>
      <c r="U689" s="457" t="n">
        <v>398</v>
      </c>
      <c r="V689" s="458" t="n">
        <v>5050</v>
      </c>
      <c r="W689" s="458" t="n">
        <v>5000</v>
      </c>
      <c r="X689" s="464" t="s">
        <v>7184</v>
      </c>
      <c r="Y689" s="458" t="n">
        <f aca="false">ROUND(J689,-2)</f>
        <v>1000</v>
      </c>
      <c r="Z689" s="457" t="s">
        <v>6638</v>
      </c>
      <c r="AA689" s="157" t="n">
        <v>3</v>
      </c>
      <c r="AB689" s="157" t="n">
        <v>3</v>
      </c>
      <c r="AC689" s="431" t="s">
        <v>586</v>
      </c>
      <c r="AD689" s="437" t="s">
        <v>8520</v>
      </c>
      <c r="AE689" s="167"/>
      <c r="AF689" s="167"/>
      <c r="AG689" s="167"/>
      <c r="AH689" s="167"/>
      <c r="AI689" s="167"/>
      <c r="AJ689" s="167"/>
      <c r="AK689" s="167"/>
      <c r="AL689" s="157" t="n">
        <f aca="false">IF(AND(ISNUMBER($S689),$S689&gt;0,ISNUMBER($K689),ISNUMBER($J689)),($K689*$J689)/$S689,"")</f>
        <v>5500</v>
      </c>
    </row>
    <row r="690" customFormat="false" ht="12.75" hidden="false" customHeight="true" outlineLevel="0" collapsed="false">
      <c r="A690" s="441" t="n">
        <v>8</v>
      </c>
      <c r="B690" s="157" t="n">
        <v>682</v>
      </c>
      <c r="C690" s="437" t="s">
        <v>8246</v>
      </c>
      <c r="D690" s="157" t="s">
        <v>6909</v>
      </c>
      <c r="E690" s="461" t="s">
        <v>2461</v>
      </c>
      <c r="F690" s="157" t="s">
        <v>6910</v>
      </c>
      <c r="G690" s="445" t="n">
        <v>44.1</v>
      </c>
      <c r="H690" s="431" t="n">
        <v>9201</v>
      </c>
      <c r="I690" s="457" t="n">
        <v>0</v>
      </c>
      <c r="J690" s="458" t="n">
        <v>15699</v>
      </c>
      <c r="K690" s="462" t="n">
        <v>4.35696541180967</v>
      </c>
      <c r="L690" s="463" t="n">
        <v>0</v>
      </c>
      <c r="M690" s="463" t="n">
        <v>0.484137426900585</v>
      </c>
      <c r="N690" s="431" t="n">
        <v>1964</v>
      </c>
      <c r="O690" s="458" t="n">
        <v>778</v>
      </c>
      <c r="P690" s="458"/>
      <c r="Q690" s="157" t="n">
        <v>17</v>
      </c>
      <c r="R690" s="157" t="n">
        <v>3</v>
      </c>
      <c r="S690" s="157" t="n">
        <v>1</v>
      </c>
      <c r="T690" s="457" t="s">
        <v>7526</v>
      </c>
      <c r="U690" s="457" t="n">
        <v>332</v>
      </c>
      <c r="V690" s="458" t="n">
        <v>25000</v>
      </c>
      <c r="W690" s="458" t="n">
        <v>25000</v>
      </c>
      <c r="X690" s="464" t="s">
        <v>6668</v>
      </c>
      <c r="Y690" s="458" t="n">
        <f aca="false">ROUND(J690,-3)</f>
        <v>16000</v>
      </c>
      <c r="Z690" s="457" t="s">
        <v>6638</v>
      </c>
      <c r="AA690" s="157" t="n">
        <v>3</v>
      </c>
      <c r="AB690" s="157" t="n">
        <v>3</v>
      </c>
      <c r="AC690" s="431" t="n">
        <v>33</v>
      </c>
      <c r="AD690" s="437"/>
      <c r="AE690" s="167"/>
      <c r="AF690" s="167"/>
      <c r="AG690" s="167"/>
      <c r="AH690" s="167"/>
      <c r="AI690" s="167"/>
      <c r="AJ690" s="167"/>
      <c r="AK690" s="167"/>
      <c r="AL690" s="157" t="n">
        <f aca="false">IF(AND(ISNUMBER($S690),$S690&gt;0,ISNUMBER($K690),ISNUMBER($J690)),($K690*$J690)/$S690,"")</f>
        <v>68400</v>
      </c>
    </row>
    <row r="691" customFormat="false" ht="12.75" hidden="false" customHeight="true" outlineLevel="0" collapsed="false">
      <c r="A691" s="441" t="n">
        <v>8</v>
      </c>
      <c r="B691" s="157" t="n">
        <v>683</v>
      </c>
      <c r="C691" s="437" t="s">
        <v>8246</v>
      </c>
      <c r="D691" s="157" t="s">
        <v>8521</v>
      </c>
      <c r="E691" s="461" t="s">
        <v>2461</v>
      </c>
      <c r="F691" s="157" t="s">
        <v>8522</v>
      </c>
      <c r="G691" s="445" t="n">
        <v>44.1</v>
      </c>
      <c r="H691" s="431" t="n">
        <v>9201</v>
      </c>
      <c r="I691" s="457" t="n">
        <v>0</v>
      </c>
      <c r="J691" s="458" t="n">
        <v>1007</v>
      </c>
      <c r="K691" s="462" t="n">
        <v>13.1082423038729</v>
      </c>
      <c r="L691" s="463" t="n">
        <v>0</v>
      </c>
      <c r="M691" s="463" t="n">
        <v>0.0833333333333333</v>
      </c>
      <c r="N691" s="431" t="n">
        <v>1932</v>
      </c>
      <c r="Q691" s="157" t="n">
        <v>8</v>
      </c>
      <c r="R691" s="157" t="n">
        <v>2</v>
      </c>
      <c r="S691" s="157" t="n">
        <v>1</v>
      </c>
      <c r="T691" s="457" t="s">
        <v>7526</v>
      </c>
      <c r="U691" s="457" t="n">
        <v>398</v>
      </c>
      <c r="V691" s="458" t="n">
        <v>31875</v>
      </c>
      <c r="W691" s="458" t="n">
        <v>32000</v>
      </c>
      <c r="X691" s="464" t="s">
        <v>8523</v>
      </c>
      <c r="Y691" s="458" t="n">
        <f aca="false">ROUND(J691,-2)</f>
        <v>1000</v>
      </c>
      <c r="Z691" s="457" t="s">
        <v>6638</v>
      </c>
      <c r="AA691" s="157" t="n">
        <v>3</v>
      </c>
      <c r="AB691" s="157" t="n">
        <v>1</v>
      </c>
      <c r="AC691" s="431" t="s">
        <v>576</v>
      </c>
      <c r="AD691" s="437" t="s">
        <v>8524</v>
      </c>
      <c r="AE691" s="167"/>
      <c r="AF691" s="167"/>
      <c r="AG691" s="167"/>
      <c r="AH691" s="167"/>
      <c r="AI691" s="167"/>
      <c r="AJ691" s="167"/>
      <c r="AK691" s="167" t="s">
        <v>8257</v>
      </c>
      <c r="AL691" s="157" t="n">
        <f aca="false">IF(AND(ISNUMBER($S691),$S691&gt;0,ISNUMBER($K691),ISNUMBER($J691)),($K691*$J691)/$S691,"")</f>
        <v>13200</v>
      </c>
    </row>
    <row r="692" customFormat="false" ht="12.75" hidden="false" customHeight="true" outlineLevel="0" collapsed="false">
      <c r="A692" s="441" t="n">
        <v>8</v>
      </c>
      <c r="B692" s="157" t="n">
        <v>684</v>
      </c>
      <c r="C692" s="437" t="s">
        <v>8246</v>
      </c>
      <c r="D692" s="157" t="s">
        <v>7728</v>
      </c>
      <c r="E692" s="461" t="s">
        <v>2461</v>
      </c>
      <c r="F692" s="157" t="s">
        <v>8525</v>
      </c>
      <c r="G692" s="445" t="n">
        <v>44.1</v>
      </c>
      <c r="H692" s="431" t="n">
        <v>9201</v>
      </c>
      <c r="I692" s="457" t="n">
        <v>0</v>
      </c>
      <c r="J692" s="458" t="n">
        <v>6400</v>
      </c>
      <c r="K692" s="462" t="n">
        <v>3.46875</v>
      </c>
      <c r="L692" s="463" t="n">
        <v>0</v>
      </c>
      <c r="M692" s="463" t="n">
        <v>0.0722972972972973</v>
      </c>
      <c r="N692" s="431" t="n">
        <v>1972</v>
      </c>
      <c r="O692" s="446" t="n">
        <v>360</v>
      </c>
      <c r="Q692" s="157" t="n">
        <v>15</v>
      </c>
      <c r="R692" s="157" t="n">
        <v>7</v>
      </c>
      <c r="S692" s="157" t="n">
        <v>1</v>
      </c>
      <c r="T692" s="457" t="s">
        <v>7526</v>
      </c>
      <c r="U692" s="457" t="n">
        <v>398</v>
      </c>
      <c r="V692" s="458" t="n">
        <v>12750</v>
      </c>
      <c r="W692" s="458" t="n">
        <v>13000</v>
      </c>
      <c r="X692" s="464" t="s">
        <v>7546</v>
      </c>
      <c r="Y692" s="458" t="n">
        <f aca="false">ROUND(J692,-3)</f>
        <v>6000</v>
      </c>
      <c r="Z692" s="457" t="s">
        <v>6638</v>
      </c>
      <c r="AA692" s="157" t="n">
        <v>3</v>
      </c>
      <c r="AB692" s="157" t="n">
        <v>3</v>
      </c>
      <c r="AC692" s="431" t="s">
        <v>586</v>
      </c>
      <c r="AD692" s="437"/>
      <c r="AE692" s="167"/>
      <c r="AF692" s="167"/>
      <c r="AG692" s="167"/>
      <c r="AH692" s="167"/>
      <c r="AI692" s="167"/>
      <c r="AJ692" s="167"/>
      <c r="AK692" s="167" t="s">
        <v>8526</v>
      </c>
      <c r="AL692" s="157" t="n">
        <f aca="false">IF(AND(ISNUMBER($S692),$S692&gt;0,ISNUMBER($K692),ISNUMBER($J692)),($K692*$J692)/$S692,"")</f>
        <v>22200</v>
      </c>
    </row>
    <row r="693" customFormat="false" ht="12.75" hidden="false" customHeight="true" outlineLevel="0" collapsed="false">
      <c r="A693" s="441" t="n">
        <v>8</v>
      </c>
      <c r="B693" s="157" t="n">
        <v>685</v>
      </c>
      <c r="C693" s="437" t="s">
        <v>8246</v>
      </c>
      <c r="D693" s="157" t="s">
        <v>6915</v>
      </c>
      <c r="E693" s="461" t="s">
        <v>2461</v>
      </c>
      <c r="F693" s="157" t="s">
        <v>6916</v>
      </c>
      <c r="G693" s="445" t="n">
        <v>44.2</v>
      </c>
      <c r="H693" s="431" t="n">
        <v>9201</v>
      </c>
      <c r="I693" s="457" t="n">
        <v>0</v>
      </c>
      <c r="J693" s="458" t="n">
        <v>24250</v>
      </c>
      <c r="K693" s="462" t="n">
        <v>4.07257731958763</v>
      </c>
      <c r="L693" s="463" t="n">
        <v>0</v>
      </c>
      <c r="M693" s="463" t="n">
        <v>0.120646010530579</v>
      </c>
      <c r="N693" s="431" t="n">
        <v>1963</v>
      </c>
      <c r="O693" s="446" t="n">
        <v>2784</v>
      </c>
      <c r="Q693" s="157" t="n">
        <v>14</v>
      </c>
      <c r="R693" s="157" t="n">
        <v>3</v>
      </c>
      <c r="S693" s="157" t="n">
        <v>5</v>
      </c>
      <c r="T693" s="457" t="s">
        <v>7526</v>
      </c>
      <c r="U693" s="457" t="n">
        <v>398</v>
      </c>
      <c r="V693" s="458" t="n">
        <v>58000</v>
      </c>
      <c r="W693" s="458" t="n">
        <v>60000</v>
      </c>
      <c r="X693" s="464" t="s">
        <v>6650</v>
      </c>
      <c r="Y693" s="458" t="n">
        <f aca="false">ROUND(J693,-3)</f>
        <v>24000</v>
      </c>
      <c r="Z693" s="457" t="s">
        <v>6638</v>
      </c>
      <c r="AA693" s="157" t="n">
        <v>3</v>
      </c>
      <c r="AB693" s="157" t="n">
        <v>3</v>
      </c>
      <c r="AC693" s="431" t="s">
        <v>586</v>
      </c>
      <c r="AD693" s="437" t="s">
        <v>6917</v>
      </c>
      <c r="AE693" s="167"/>
      <c r="AF693" s="167"/>
      <c r="AG693" s="167"/>
      <c r="AH693" s="167"/>
      <c r="AI693" s="167"/>
      <c r="AJ693" s="167"/>
      <c r="AK693" s="167" t="s">
        <v>8527</v>
      </c>
      <c r="AL693" s="157" t="n">
        <f aca="false">IF(AND(ISNUMBER($S693),$S693&gt;0,ISNUMBER($K693),ISNUMBER($J693)),($K693*$J693)/$S693,"")</f>
        <v>19752</v>
      </c>
    </row>
    <row r="694" customFormat="false" ht="12.75" hidden="false" customHeight="true" outlineLevel="0" collapsed="false">
      <c r="A694" s="441" t="n">
        <v>8</v>
      </c>
      <c r="B694" s="157" t="n">
        <v>686</v>
      </c>
      <c r="C694" s="437" t="s">
        <v>8246</v>
      </c>
      <c r="D694" s="157" t="s">
        <v>8528</v>
      </c>
      <c r="E694" s="461" t="s">
        <v>2461</v>
      </c>
      <c r="F694" s="157" t="s">
        <v>8529</v>
      </c>
      <c r="G694" s="445" t="n">
        <v>44.2</v>
      </c>
      <c r="H694" s="431" t="n">
        <v>9201</v>
      </c>
      <c r="I694" s="457" t="n">
        <v>0</v>
      </c>
      <c r="J694" s="458" t="n">
        <v>43087</v>
      </c>
      <c r="K694" s="462" t="n">
        <v>7.80569545338501</v>
      </c>
      <c r="L694" s="463" t="n">
        <v>0</v>
      </c>
      <c r="M694" s="463" t="n">
        <v>0</v>
      </c>
      <c r="N694" s="431" t="n">
        <v>1950</v>
      </c>
      <c r="O694" s="446" t="n">
        <v>12200</v>
      </c>
      <c r="Q694" s="157" t="n">
        <v>17</v>
      </c>
      <c r="R694" s="157" t="n">
        <v>1</v>
      </c>
      <c r="S694" s="157" t="n">
        <v>1</v>
      </c>
      <c r="T694" s="457" t="s">
        <v>7526</v>
      </c>
      <c r="U694" s="457" t="n">
        <v>398</v>
      </c>
      <c r="V694" s="458" t="n">
        <v>195500</v>
      </c>
      <c r="W694" s="458" t="n">
        <v>200000</v>
      </c>
      <c r="X694" s="464" t="s">
        <v>7080</v>
      </c>
      <c r="Y694" s="458" t="n">
        <f aca="false">ROUND(J694,-3)</f>
        <v>43000</v>
      </c>
      <c r="Z694" s="457" t="s">
        <v>6638</v>
      </c>
      <c r="AA694" s="157" t="n">
        <v>3</v>
      </c>
      <c r="AB694" s="157" t="n">
        <v>3</v>
      </c>
      <c r="AC694" s="431" t="s">
        <v>586</v>
      </c>
      <c r="AD694" s="437" t="s">
        <v>8530</v>
      </c>
      <c r="AE694" s="167"/>
      <c r="AF694" s="167"/>
      <c r="AG694" s="167"/>
      <c r="AH694" s="167"/>
      <c r="AI694" s="167"/>
      <c r="AJ694" s="167"/>
      <c r="AK694" s="167" t="s">
        <v>8531</v>
      </c>
      <c r="AL694" s="157" t="n">
        <f aca="false">IF(AND(ISNUMBER($S694),$S694&gt;0,ISNUMBER($K694),ISNUMBER($J694)),($K694*$J694)/$S694,"")</f>
        <v>336324</v>
      </c>
    </row>
    <row r="695" customFormat="false" ht="12.75" hidden="false" customHeight="true" outlineLevel="0" collapsed="false">
      <c r="A695" s="441" t="n">
        <v>8</v>
      </c>
      <c r="B695" s="157" t="n">
        <v>687</v>
      </c>
      <c r="C695" s="437" t="s">
        <v>8246</v>
      </c>
      <c r="D695" s="157" t="s">
        <v>8532</v>
      </c>
      <c r="E695" s="461" t="s">
        <v>2461</v>
      </c>
      <c r="F695" s="157" t="s">
        <v>8533</v>
      </c>
      <c r="G695" s="445" t="n">
        <v>44.2</v>
      </c>
      <c r="H695" s="431" t="n">
        <v>9201</v>
      </c>
      <c r="I695" s="457" t="n">
        <v>0</v>
      </c>
      <c r="J695" s="458" t="n">
        <v>28581</v>
      </c>
      <c r="K695" s="462" t="n">
        <v>3.51978587173297</v>
      </c>
      <c r="L695" s="463" t="n">
        <v>0</v>
      </c>
      <c r="M695" s="463" t="n">
        <v>0.0457261006570642</v>
      </c>
      <c r="N695" s="431" t="n">
        <v>1967</v>
      </c>
      <c r="O695" s="458" t="n">
        <v>4984</v>
      </c>
      <c r="P695" s="458"/>
      <c r="Q695" s="157" t="n">
        <v>15</v>
      </c>
      <c r="R695" s="157" t="n">
        <v>4</v>
      </c>
      <c r="S695" s="157" t="n">
        <v>2</v>
      </c>
      <c r="T695" s="457" t="s">
        <v>7529</v>
      </c>
      <c r="U695" s="457" t="n">
        <v>332</v>
      </c>
      <c r="V695" s="458" t="n">
        <v>104879</v>
      </c>
      <c r="W695" s="458" t="n">
        <v>100000</v>
      </c>
      <c r="X695" s="464" t="s">
        <v>6717</v>
      </c>
      <c r="Y695" s="458" t="n">
        <f aca="false">ROUND(J695,-3)</f>
        <v>29000</v>
      </c>
      <c r="Z695" s="457" t="s">
        <v>6638</v>
      </c>
      <c r="AA695" s="157" t="n">
        <v>3</v>
      </c>
      <c r="AB695" s="157" t="n">
        <v>3</v>
      </c>
      <c r="AC695" s="431" t="n">
        <v>33</v>
      </c>
      <c r="AD695" s="437" t="s">
        <v>8534</v>
      </c>
      <c r="AE695" s="167"/>
      <c r="AF695" s="167"/>
      <c r="AG695" s="167"/>
      <c r="AH695" s="167"/>
      <c r="AI695" s="167"/>
      <c r="AJ695" s="167"/>
      <c r="AK695" s="167"/>
      <c r="AL695" s="157" t="n">
        <f aca="false">IF(AND(ISNUMBER($S695),$S695&gt;0,ISNUMBER($K695),ISNUMBER($J695)),($K695*$J695)/$S695,"")</f>
        <v>50299.5</v>
      </c>
    </row>
    <row r="696" customFormat="false" ht="12.75" hidden="false" customHeight="true" outlineLevel="0" collapsed="false">
      <c r="A696" s="441" t="n">
        <v>8</v>
      </c>
      <c r="B696" s="157" t="n">
        <v>688</v>
      </c>
      <c r="C696" s="437" t="s">
        <v>8246</v>
      </c>
      <c r="D696" s="157" t="s">
        <v>6919</v>
      </c>
      <c r="E696" s="461" t="s">
        <v>2461</v>
      </c>
      <c r="F696" s="157" t="s">
        <v>6920</v>
      </c>
      <c r="G696" s="445" t="n">
        <v>44.1</v>
      </c>
      <c r="H696" s="431" t="n">
        <v>9201</v>
      </c>
      <c r="I696" s="457" t="n">
        <v>0</v>
      </c>
      <c r="J696" s="458" t="n">
        <v>29787</v>
      </c>
      <c r="K696" s="462" t="n">
        <v>5.23718400644577</v>
      </c>
      <c r="L696" s="463" t="n">
        <v>0</v>
      </c>
      <c r="M696" s="463" t="n">
        <v>0</v>
      </c>
      <c r="N696" s="431" t="n">
        <v>1983</v>
      </c>
      <c r="O696" s="446" t="n">
        <v>1063</v>
      </c>
      <c r="Q696" s="157" t="n">
        <v>18</v>
      </c>
      <c r="R696" s="157" t="n">
        <v>10</v>
      </c>
      <c r="S696" s="157" t="n">
        <v>1</v>
      </c>
      <c r="T696" s="457" t="s">
        <v>7526</v>
      </c>
      <c r="U696" s="457" t="n">
        <v>398</v>
      </c>
      <c r="V696" s="458" t="n">
        <v>130639</v>
      </c>
      <c r="W696" s="458" t="n">
        <v>130000</v>
      </c>
      <c r="X696" s="464" t="s">
        <v>6895</v>
      </c>
      <c r="Y696" s="458" t="n">
        <f aca="false">ROUND(J696,-3)</f>
        <v>30000</v>
      </c>
      <c r="Z696" s="457" t="s">
        <v>6638</v>
      </c>
      <c r="AA696" s="157" t="n">
        <v>3</v>
      </c>
      <c r="AB696" s="157" t="n">
        <v>3</v>
      </c>
      <c r="AC696" s="431" t="s">
        <v>586</v>
      </c>
      <c r="AD696" s="437" t="s">
        <v>6921</v>
      </c>
      <c r="AE696" s="167"/>
      <c r="AF696" s="167"/>
      <c r="AG696" s="167"/>
      <c r="AH696" s="167"/>
      <c r="AI696" s="167"/>
      <c r="AJ696" s="167"/>
      <c r="AK696" s="167" t="s">
        <v>8419</v>
      </c>
      <c r="AL696" s="157" t="n">
        <f aca="false">IF(AND(ISNUMBER($S696),$S696&gt;0,ISNUMBER($K696),ISNUMBER($J696)),($K696*$J696)/$S696,"")</f>
        <v>156000</v>
      </c>
    </row>
    <row r="697" customFormat="false" ht="12.75" hidden="false" customHeight="true" outlineLevel="0" collapsed="false">
      <c r="A697" s="441" t="n">
        <v>8</v>
      </c>
      <c r="B697" s="157" t="n">
        <v>689</v>
      </c>
      <c r="C697" s="437" t="s">
        <v>8246</v>
      </c>
      <c r="D697" s="157" t="s">
        <v>8535</v>
      </c>
      <c r="E697" s="461" t="s">
        <v>2461</v>
      </c>
      <c r="F697" s="157" t="s">
        <v>8536</v>
      </c>
      <c r="G697" s="445" t="n">
        <v>44.2</v>
      </c>
      <c r="H697" s="431" t="n">
        <v>9201</v>
      </c>
      <c r="I697" s="457" t="n">
        <v>0</v>
      </c>
      <c r="J697" s="458" t="n">
        <v>10014</v>
      </c>
      <c r="K697" s="462" t="n">
        <v>5.75194727381666</v>
      </c>
      <c r="L697" s="463" t="n">
        <v>0</v>
      </c>
      <c r="M697" s="463" t="n">
        <v>0</v>
      </c>
      <c r="N697" s="431" t="n">
        <v>1958</v>
      </c>
      <c r="O697" s="446" t="n">
        <v>1620</v>
      </c>
      <c r="Q697" s="157" t="n">
        <v>15</v>
      </c>
      <c r="R697" s="157" t="n">
        <v>1</v>
      </c>
      <c r="S697" s="157" t="n">
        <v>1</v>
      </c>
      <c r="T697" s="457" t="s">
        <v>7526</v>
      </c>
      <c r="U697" s="457" t="n">
        <v>398</v>
      </c>
      <c r="V697" s="458" t="n">
        <v>23865</v>
      </c>
      <c r="W697" s="458" t="n">
        <v>24000</v>
      </c>
      <c r="X697" s="464" t="s">
        <v>6650</v>
      </c>
      <c r="Y697" s="458" t="n">
        <f aca="false">ROUND(J697,-3)</f>
        <v>10000</v>
      </c>
      <c r="Z697" s="457" t="s">
        <v>6638</v>
      </c>
      <c r="AA697" s="157" t="n">
        <v>3</v>
      </c>
      <c r="AB697" s="157" t="n">
        <v>3</v>
      </c>
      <c r="AC697" s="431" t="s">
        <v>586</v>
      </c>
      <c r="AD697" s="437"/>
      <c r="AE697" s="167"/>
      <c r="AF697" s="167"/>
      <c r="AG697" s="167"/>
      <c r="AH697" s="167"/>
      <c r="AI697" s="167"/>
      <c r="AJ697" s="167"/>
      <c r="AK697" s="167" t="s">
        <v>8537</v>
      </c>
      <c r="AL697" s="157" t="n">
        <f aca="false">IF(AND(ISNUMBER($S697),$S697&gt;0,ISNUMBER($K697),ISNUMBER($J697)),($K697*$J697)/$S697,"")</f>
        <v>57600</v>
      </c>
    </row>
    <row r="698" customFormat="false" ht="12.75" hidden="false" customHeight="true" outlineLevel="0" collapsed="false">
      <c r="A698" s="441" t="n">
        <v>8</v>
      </c>
      <c r="B698" s="157" t="n">
        <v>690</v>
      </c>
      <c r="C698" s="437" t="s">
        <v>8246</v>
      </c>
      <c r="D698" s="157" t="s">
        <v>8538</v>
      </c>
      <c r="E698" s="461" t="s">
        <v>2461</v>
      </c>
      <c r="F698" s="157" t="s">
        <v>8539</v>
      </c>
      <c r="G698" s="445" t="n">
        <v>44.2</v>
      </c>
      <c r="H698" s="431" t="n">
        <v>9201</v>
      </c>
      <c r="I698" s="457" t="n">
        <v>0</v>
      </c>
      <c r="J698" s="458" t="n">
        <v>62114</v>
      </c>
      <c r="K698" s="462" t="n">
        <v>1.73873844865892</v>
      </c>
      <c r="L698" s="463" t="n">
        <v>0</v>
      </c>
      <c r="M698" s="463" t="n">
        <v>0.0166666666666667</v>
      </c>
      <c r="N698" s="431" t="n">
        <v>1968</v>
      </c>
      <c r="O698" s="446" t="n">
        <v>7962</v>
      </c>
      <c r="Q698" s="157" t="n">
        <v>17</v>
      </c>
      <c r="R698" s="157" t="n">
        <v>3</v>
      </c>
      <c r="S698" s="157" t="n">
        <v>1</v>
      </c>
      <c r="T698" s="457" t="s">
        <v>7526</v>
      </c>
      <c r="U698" s="457" t="n">
        <v>398</v>
      </c>
      <c r="V698" s="458" t="n">
        <v>141100</v>
      </c>
      <c r="W698" s="458" t="n">
        <v>140000</v>
      </c>
      <c r="X698" s="464" t="s">
        <v>6646</v>
      </c>
      <c r="Y698" s="458" t="n">
        <f aca="false">ROUND(J698,-4)</f>
        <v>60000</v>
      </c>
      <c r="Z698" s="457" t="s">
        <v>6638</v>
      </c>
      <c r="AA698" s="157" t="n">
        <v>2</v>
      </c>
      <c r="AB698" s="157" t="n">
        <v>2</v>
      </c>
      <c r="AC698" s="431" t="s">
        <v>533</v>
      </c>
      <c r="AD698" s="437"/>
      <c r="AE698" s="167"/>
      <c r="AF698" s="167"/>
      <c r="AG698" s="167"/>
      <c r="AH698" s="167"/>
      <c r="AI698" s="167"/>
      <c r="AJ698" s="167"/>
      <c r="AK698" s="167" t="s">
        <v>8257</v>
      </c>
      <c r="AL698" s="157" t="n">
        <f aca="false">IF(AND(ISNUMBER($S698),$S698&gt;0,ISNUMBER($K698),ISNUMBER($J698)),($K698*$J698)/$S698,"")</f>
        <v>108000</v>
      </c>
    </row>
    <row r="699" customFormat="false" ht="12.75" hidden="false" customHeight="true" outlineLevel="0" collapsed="false">
      <c r="A699" s="441" t="n">
        <v>8</v>
      </c>
      <c r="B699" s="157" t="n">
        <v>691</v>
      </c>
      <c r="C699" s="437" t="s">
        <v>8246</v>
      </c>
      <c r="D699" s="157" t="s">
        <v>6930</v>
      </c>
      <c r="E699" s="461" t="s">
        <v>2461</v>
      </c>
      <c r="F699" s="157" t="s">
        <v>6931</v>
      </c>
      <c r="G699" s="445" t="n">
        <v>45.6</v>
      </c>
      <c r="H699" s="431" t="n">
        <v>9201</v>
      </c>
      <c r="I699" s="457" t="n">
        <v>0</v>
      </c>
      <c r="J699" s="458" t="n">
        <v>15977</v>
      </c>
      <c r="K699" s="462" t="n">
        <v>10.640295424673</v>
      </c>
      <c r="L699" s="463" t="n">
        <v>0</v>
      </c>
      <c r="M699" s="463" t="n">
        <v>0.0271352941176471</v>
      </c>
      <c r="N699" s="431" t="n">
        <v>1956</v>
      </c>
      <c r="O699" s="446" t="n">
        <v>851</v>
      </c>
      <c r="Q699" s="157" t="n">
        <v>15</v>
      </c>
      <c r="R699" s="157" t="n">
        <v>1</v>
      </c>
      <c r="S699" s="157" t="n">
        <v>1</v>
      </c>
      <c r="T699" s="457" t="s">
        <v>7526</v>
      </c>
      <c r="U699" s="457" t="n">
        <v>401</v>
      </c>
      <c r="V699" s="458" t="n">
        <v>31600</v>
      </c>
      <c r="W699" s="458" t="n">
        <v>32000</v>
      </c>
      <c r="X699" s="464" t="s">
        <v>7546</v>
      </c>
      <c r="Y699" s="458" t="n">
        <f aca="false">ROUND(J699,-3)</f>
        <v>16000</v>
      </c>
      <c r="Z699" s="457" t="s">
        <v>6638</v>
      </c>
      <c r="AA699" s="157" t="n">
        <v>3</v>
      </c>
      <c r="AB699" s="157" t="n">
        <v>3</v>
      </c>
      <c r="AC699" s="431" t="s">
        <v>586</v>
      </c>
      <c r="AD699" s="437" t="s">
        <v>6932</v>
      </c>
      <c r="AE699" s="167"/>
      <c r="AF699" s="167"/>
      <c r="AG699" s="167"/>
      <c r="AH699" s="167"/>
      <c r="AI699" s="167"/>
      <c r="AJ699" s="167"/>
      <c r="AK699" s="167" t="s">
        <v>8540</v>
      </c>
      <c r="AL699" s="157" t="n">
        <f aca="false">IF(AND(ISNUMBER($S699),$S699&gt;0,ISNUMBER($K699),ISNUMBER($J699)),($K699*$J699)/$S699,"")</f>
        <v>170000.000000001</v>
      </c>
    </row>
    <row r="700" customFormat="false" ht="12.75" hidden="false" customHeight="true" outlineLevel="0" collapsed="false">
      <c r="A700" s="441" t="n">
        <v>8</v>
      </c>
      <c r="B700" s="157" t="n">
        <v>692</v>
      </c>
      <c r="C700" s="437" t="s">
        <v>8246</v>
      </c>
      <c r="D700" s="157" t="s">
        <v>7751</v>
      </c>
      <c r="E700" s="461" t="s">
        <v>2461</v>
      </c>
      <c r="F700" s="157" t="s">
        <v>8541</v>
      </c>
      <c r="G700" s="445" t="n">
        <v>44.1</v>
      </c>
      <c r="H700" s="431" t="n">
        <v>9201</v>
      </c>
      <c r="I700" s="457" t="n">
        <v>0</v>
      </c>
      <c r="J700" s="458" t="n">
        <v>19989</v>
      </c>
      <c r="K700" s="462" t="n">
        <v>4.32237730751914</v>
      </c>
      <c r="L700" s="463" t="n">
        <v>0</v>
      </c>
      <c r="M700" s="463" t="n">
        <v>0</v>
      </c>
      <c r="N700" s="431" t="n">
        <v>1948</v>
      </c>
      <c r="O700" s="446" t="n">
        <f aca="false">2865*2</f>
        <v>5730</v>
      </c>
      <c r="Q700" s="157" t="n">
        <v>18</v>
      </c>
      <c r="R700" s="157" t="n">
        <v>1</v>
      </c>
      <c r="S700" s="157" t="n">
        <v>1</v>
      </c>
      <c r="T700" s="457" t="s">
        <v>7531</v>
      </c>
      <c r="U700" s="457" t="n">
        <v>398</v>
      </c>
      <c r="V700" s="458" t="n">
        <v>100554</v>
      </c>
      <c r="W700" s="458" t="n">
        <v>100000</v>
      </c>
      <c r="X700" s="464" t="s">
        <v>7813</v>
      </c>
      <c r="Y700" s="458" t="n">
        <f aca="false">ROUND(J700,-3)</f>
        <v>20000</v>
      </c>
      <c r="Z700" s="457" t="s">
        <v>6638</v>
      </c>
      <c r="AA700" s="157" t="n">
        <v>2</v>
      </c>
      <c r="AB700" s="157" t="n">
        <v>2</v>
      </c>
      <c r="AC700" s="431" t="s">
        <v>533</v>
      </c>
      <c r="AD700" s="437"/>
      <c r="AE700" s="167"/>
      <c r="AF700" s="167"/>
      <c r="AG700" s="167"/>
      <c r="AH700" s="167"/>
      <c r="AI700" s="167"/>
      <c r="AJ700" s="167"/>
      <c r="AK700" s="167" t="s">
        <v>8542</v>
      </c>
      <c r="AL700" s="157" t="n">
        <f aca="false">IF(AND(ISNUMBER($S700),$S700&gt;0,ISNUMBER($K700),ISNUMBER($J700)),($K700*$J700)/$S700,"")</f>
        <v>86400.0000000001</v>
      </c>
    </row>
    <row r="701" customFormat="false" ht="12.75" hidden="false" customHeight="true" outlineLevel="0" collapsed="false">
      <c r="A701" s="441" t="n">
        <v>8</v>
      </c>
      <c r="B701" s="157" t="n">
        <v>693</v>
      </c>
      <c r="C701" s="437" t="s">
        <v>8246</v>
      </c>
      <c r="D701" s="157" t="s">
        <v>8543</v>
      </c>
      <c r="E701" s="461" t="s">
        <v>2461</v>
      </c>
      <c r="F701" s="157" t="s">
        <v>8544</v>
      </c>
      <c r="G701" s="445" t="n">
        <v>44.2</v>
      </c>
      <c r="H701" s="431" t="n">
        <v>9201</v>
      </c>
      <c r="I701" s="457" t="n">
        <v>0</v>
      </c>
      <c r="J701" s="458" t="n">
        <v>3247</v>
      </c>
      <c r="K701" s="462" t="n">
        <v>22.1743147520788</v>
      </c>
      <c r="L701" s="463" t="n">
        <v>0</v>
      </c>
      <c r="M701" s="463" t="n">
        <v>0</v>
      </c>
      <c r="N701" s="431" t="n">
        <v>1979</v>
      </c>
      <c r="O701" s="446" t="n">
        <v>1224</v>
      </c>
      <c r="P701" s="446" t="n">
        <v>697</v>
      </c>
      <c r="Q701" s="157" t="n">
        <v>10</v>
      </c>
      <c r="R701" s="157" t="n">
        <v>1</v>
      </c>
      <c r="S701" s="157" t="n">
        <v>1</v>
      </c>
      <c r="T701" s="457" t="s">
        <v>7526</v>
      </c>
      <c r="U701" s="457" t="n">
        <v>397</v>
      </c>
      <c r="V701" s="458" t="n">
        <v>9380</v>
      </c>
      <c r="W701" s="458" t="n">
        <v>9000</v>
      </c>
      <c r="X701" s="464" t="s">
        <v>7288</v>
      </c>
      <c r="Y701" s="458" t="n">
        <f aca="false">ROUND(J701,-3)</f>
        <v>3000</v>
      </c>
      <c r="Z701" s="457" t="s">
        <v>6638</v>
      </c>
      <c r="AA701" s="157" t="n">
        <v>3</v>
      </c>
      <c r="AB701" s="157" t="n">
        <v>3</v>
      </c>
      <c r="AC701" s="431" t="s">
        <v>586</v>
      </c>
      <c r="AD701" s="437" t="s">
        <v>8545</v>
      </c>
      <c r="AE701" s="167"/>
      <c r="AF701" s="167"/>
      <c r="AG701" s="167"/>
      <c r="AH701" s="167"/>
      <c r="AI701" s="167"/>
      <c r="AJ701" s="167"/>
      <c r="AK701" s="167" t="s">
        <v>8257</v>
      </c>
      <c r="AL701" s="157" t="n">
        <f aca="false">IF(AND(ISNUMBER($S701),$S701&gt;0,ISNUMBER($K701),ISNUMBER($J701)),($K701*$J701)/$S701,"")</f>
        <v>71999.9999999999</v>
      </c>
    </row>
    <row r="702" customFormat="false" ht="12.75" hidden="false" customHeight="true" outlineLevel="0" collapsed="false">
      <c r="A702" s="441" t="n">
        <v>8</v>
      </c>
      <c r="B702" s="157" t="n">
        <v>694</v>
      </c>
      <c r="C702" s="437" t="s">
        <v>8246</v>
      </c>
      <c r="D702" s="157" t="s">
        <v>6943</v>
      </c>
      <c r="E702" s="461" t="s">
        <v>2461</v>
      </c>
      <c r="F702" s="157" t="s">
        <v>6944</v>
      </c>
      <c r="G702" s="445" t="n">
        <v>44.2</v>
      </c>
      <c r="H702" s="431" t="n">
        <v>9201</v>
      </c>
      <c r="I702" s="457" t="n">
        <v>0</v>
      </c>
      <c r="J702" s="458" t="n">
        <v>27624</v>
      </c>
      <c r="K702" s="462" t="n">
        <v>7.62380538662033</v>
      </c>
      <c r="L702" s="463" t="n">
        <v>0</v>
      </c>
      <c r="M702" s="463" t="n">
        <v>0</v>
      </c>
      <c r="N702" s="431" t="n">
        <v>1999</v>
      </c>
      <c r="O702" s="446" t="n">
        <v>4027</v>
      </c>
      <c r="P702" s="446" t="n">
        <v>1052</v>
      </c>
      <c r="Q702" s="157" t="n">
        <v>19</v>
      </c>
      <c r="R702" s="157" t="n">
        <v>3</v>
      </c>
      <c r="S702" s="157" t="n">
        <v>1</v>
      </c>
      <c r="T702" s="457" t="s">
        <v>7531</v>
      </c>
      <c r="U702" s="457" t="n">
        <v>398</v>
      </c>
      <c r="V702" s="458" t="n">
        <v>144374</v>
      </c>
      <c r="W702" s="458" t="n">
        <v>140000</v>
      </c>
      <c r="X702" s="464" t="s">
        <v>6945</v>
      </c>
      <c r="Y702" s="458" t="n">
        <f aca="false">ROUND(J702,-3)</f>
        <v>28000</v>
      </c>
      <c r="Z702" s="457" t="s">
        <v>6638</v>
      </c>
      <c r="AA702" s="157" t="n">
        <v>3</v>
      </c>
      <c r="AB702" s="157" t="n">
        <v>3</v>
      </c>
      <c r="AC702" s="431" t="s">
        <v>586</v>
      </c>
      <c r="AD702" s="437" t="s">
        <v>6676</v>
      </c>
      <c r="AE702" s="167"/>
      <c r="AF702" s="167"/>
      <c r="AG702" s="167"/>
      <c r="AH702" s="167"/>
      <c r="AI702" s="167"/>
      <c r="AJ702" s="167"/>
      <c r="AK702" s="167" t="s">
        <v>8475</v>
      </c>
      <c r="AL702" s="157" t="n">
        <f aca="false">IF(AND(ISNUMBER($S702),$S702&gt;0,ISNUMBER($K702),ISNUMBER($J702)),($K702*$J702)/$S702,"")</f>
        <v>210600</v>
      </c>
    </row>
    <row r="703" customFormat="false" ht="12.75" hidden="false" customHeight="true" outlineLevel="0" collapsed="false">
      <c r="A703" s="441" t="n">
        <v>8</v>
      </c>
      <c r="B703" s="157" t="n">
        <v>695</v>
      </c>
      <c r="C703" s="437" t="s">
        <v>8246</v>
      </c>
      <c r="D703" s="157" t="s">
        <v>8546</v>
      </c>
      <c r="E703" s="461" t="s">
        <v>2461</v>
      </c>
      <c r="F703" s="157" t="s">
        <v>8547</v>
      </c>
      <c r="G703" s="445" t="n">
        <v>44.1</v>
      </c>
      <c r="H703" s="431" t="n">
        <v>9201</v>
      </c>
      <c r="I703" s="457" t="n">
        <v>0</v>
      </c>
      <c r="J703" s="458" t="n">
        <v>21422</v>
      </c>
      <c r="K703" s="462" t="n">
        <v>4.1844832415274</v>
      </c>
      <c r="L703" s="463" t="n">
        <v>0</v>
      </c>
      <c r="M703" s="463" t="n">
        <v>0</v>
      </c>
      <c r="N703" s="431" t="n">
        <v>1983</v>
      </c>
      <c r="O703" s="446" t="n">
        <v>2148</v>
      </c>
      <c r="Q703" s="157" t="n">
        <v>20</v>
      </c>
      <c r="R703" s="157" t="n">
        <v>1</v>
      </c>
      <c r="S703" s="157" t="n">
        <v>1</v>
      </c>
      <c r="T703" s="457" t="s">
        <v>7531</v>
      </c>
      <c r="U703" s="457" t="n">
        <v>398</v>
      </c>
      <c r="V703" s="458" t="n">
        <v>59113</v>
      </c>
      <c r="W703" s="458" t="n">
        <v>60000</v>
      </c>
      <c r="X703" s="464" t="s">
        <v>6664</v>
      </c>
      <c r="Y703" s="458" t="n">
        <f aca="false">ROUND(J703,-3)</f>
        <v>21000</v>
      </c>
      <c r="Z703" s="457" t="s">
        <v>6638</v>
      </c>
      <c r="AA703" s="157" t="n">
        <v>3</v>
      </c>
      <c r="AB703" s="157" t="n">
        <v>3</v>
      </c>
      <c r="AC703" s="431" t="s">
        <v>586</v>
      </c>
      <c r="AD703" s="437"/>
      <c r="AE703" s="167"/>
      <c r="AF703" s="167"/>
      <c r="AG703" s="167"/>
      <c r="AH703" s="167"/>
      <c r="AI703" s="167"/>
      <c r="AJ703" s="167"/>
      <c r="AK703" s="167" t="s">
        <v>8475</v>
      </c>
      <c r="AL703" s="157" t="n">
        <f aca="false">IF(AND(ISNUMBER($S703),$S703&gt;0,ISNUMBER($K703),ISNUMBER($J703)),($K703*$J703)/$S703,"")</f>
        <v>89640</v>
      </c>
    </row>
    <row r="704" customFormat="false" ht="12.75" hidden="false" customHeight="true" outlineLevel="0" collapsed="false">
      <c r="A704" s="441" t="n">
        <v>8</v>
      </c>
      <c r="B704" s="157" t="n">
        <v>696</v>
      </c>
      <c r="C704" s="437" t="s">
        <v>8266</v>
      </c>
      <c r="D704" s="157" t="s">
        <v>8548</v>
      </c>
      <c r="E704" s="457" t="s">
        <v>2461</v>
      </c>
      <c r="F704" s="157" t="s">
        <v>8549</v>
      </c>
      <c r="G704" s="445" t="n">
        <v>44.2</v>
      </c>
      <c r="H704" s="157" t="n">
        <v>9201</v>
      </c>
      <c r="I704" s="457" t="n">
        <v>0</v>
      </c>
      <c r="J704" s="446" t="n">
        <v>56859</v>
      </c>
      <c r="K704" s="176" t="n">
        <v>3.96</v>
      </c>
      <c r="L704" s="175" t="n">
        <v>0</v>
      </c>
      <c r="M704" s="175" t="s">
        <v>8550</v>
      </c>
      <c r="N704" s="157" t="n">
        <v>1962</v>
      </c>
      <c r="O704" s="157" t="n">
        <v>6097</v>
      </c>
      <c r="P704" s="157" t="n">
        <v>8921</v>
      </c>
      <c r="Q704" s="157" t="n">
        <v>20</v>
      </c>
      <c r="R704" s="157" t="n">
        <v>3</v>
      </c>
      <c r="S704" s="157" t="n">
        <v>1</v>
      </c>
      <c r="T704" s="457" t="s">
        <v>7542</v>
      </c>
      <c r="U704" s="157" t="n">
        <v>398</v>
      </c>
      <c r="V704" s="446" t="n">
        <v>139000</v>
      </c>
      <c r="W704" s="446" t="n">
        <v>140000</v>
      </c>
      <c r="X704" s="431" t="s">
        <v>6646</v>
      </c>
      <c r="Y704" s="446" t="n">
        <v>60000</v>
      </c>
      <c r="Z704" s="457" t="s">
        <v>463</v>
      </c>
      <c r="AA704" s="157" t="n">
        <v>3</v>
      </c>
      <c r="AB704" s="157" t="n">
        <v>3</v>
      </c>
      <c r="AC704" s="157" t="n">
        <v>33</v>
      </c>
      <c r="AE704" s="430"/>
      <c r="AF704" s="467"/>
      <c r="AG704" s="467"/>
      <c r="AH704" s="430"/>
      <c r="AI704" s="467"/>
      <c r="AJ704" s="430"/>
      <c r="AL704" s="167"/>
      <c r="AM704" s="167"/>
      <c r="AN704" s="167"/>
    </row>
    <row r="705" customFormat="false" ht="12.75" hidden="false" customHeight="true" outlineLevel="0" collapsed="false">
      <c r="A705" s="441" t="n">
        <v>8</v>
      </c>
      <c r="B705" s="157" t="n">
        <v>697</v>
      </c>
      <c r="C705" s="437" t="s">
        <v>8246</v>
      </c>
      <c r="D705" s="157" t="s">
        <v>6949</v>
      </c>
      <c r="E705" s="461" t="s">
        <v>2461</v>
      </c>
      <c r="F705" s="157" t="s">
        <v>6950</v>
      </c>
      <c r="G705" s="445" t="n">
        <v>44.1</v>
      </c>
      <c r="H705" s="431" t="n">
        <v>9208</v>
      </c>
      <c r="I705" s="457" t="n">
        <v>0</v>
      </c>
      <c r="J705" s="458" t="n">
        <v>95263</v>
      </c>
      <c r="K705" s="462" t="n">
        <v>4.51225554517494</v>
      </c>
      <c r="L705" s="463" t="n">
        <v>0</v>
      </c>
      <c r="M705" s="463" t="n">
        <v>0.0345654657078848</v>
      </c>
      <c r="N705" s="431" t="n">
        <v>1977</v>
      </c>
      <c r="O705" s="446" t="n">
        <f aca="false">225+1313+397</f>
        <v>1935</v>
      </c>
      <c r="Q705" s="157" t="n">
        <v>24</v>
      </c>
      <c r="R705" s="157" t="n">
        <v>1</v>
      </c>
      <c r="S705" s="157" t="n">
        <v>1</v>
      </c>
      <c r="T705" s="457" t="s">
        <v>7531</v>
      </c>
      <c r="U705" s="457" t="n">
        <v>398</v>
      </c>
      <c r="V705" s="458" t="n">
        <v>153950</v>
      </c>
      <c r="W705" s="458" t="n">
        <v>150000</v>
      </c>
      <c r="X705" s="464" t="s">
        <v>6668</v>
      </c>
      <c r="Y705" s="458" t="n">
        <f aca="false">ROUND(J705,-4)</f>
        <v>100000</v>
      </c>
      <c r="Z705" s="457" t="s">
        <v>6638</v>
      </c>
      <c r="AA705" s="157" t="n">
        <v>3</v>
      </c>
      <c r="AB705" s="157" t="n">
        <v>3</v>
      </c>
      <c r="AC705" s="431" t="s">
        <v>586</v>
      </c>
      <c r="AD705" s="437" t="s">
        <v>6796</v>
      </c>
      <c r="AE705" s="167"/>
      <c r="AF705" s="167"/>
      <c r="AG705" s="167"/>
      <c r="AH705" s="167"/>
      <c r="AI705" s="167"/>
      <c r="AJ705" s="167"/>
      <c r="AK705" s="167" t="s">
        <v>8419</v>
      </c>
      <c r="AL705" s="157" t="n">
        <f aca="false">IF(AND(ISNUMBER($S705),$S705&gt;0,ISNUMBER($K705),ISNUMBER($J705)),($K705*$J705)/$S705,"")</f>
        <v>429851</v>
      </c>
    </row>
    <row r="706" customFormat="false" ht="12.75" hidden="false" customHeight="true" outlineLevel="0" collapsed="false">
      <c r="A706" s="441" t="n">
        <v>8</v>
      </c>
      <c r="B706" s="157" t="n">
        <v>698</v>
      </c>
      <c r="C706" s="437" t="s">
        <v>8246</v>
      </c>
      <c r="D706" s="157" t="s">
        <v>6952</v>
      </c>
      <c r="E706" s="461" t="s">
        <v>2461</v>
      </c>
      <c r="F706" s="157" t="s">
        <v>6953</v>
      </c>
      <c r="G706" s="445" t="n">
        <v>44.2</v>
      </c>
      <c r="H706" s="431" t="n">
        <v>9201</v>
      </c>
      <c r="I706" s="457" t="n">
        <v>0</v>
      </c>
      <c r="J706" s="458" t="n">
        <v>14000</v>
      </c>
      <c r="K706" s="462" t="n">
        <v>5.27142857142857</v>
      </c>
      <c r="L706" s="463" t="n">
        <v>0</v>
      </c>
      <c r="M706" s="463" t="n">
        <v>0.115704607046071</v>
      </c>
      <c r="N706" s="431" t="n">
        <v>1968</v>
      </c>
      <c r="O706" s="446" t="n">
        <v>1143</v>
      </c>
      <c r="Q706" s="157" t="n">
        <v>18</v>
      </c>
      <c r="R706" s="157" t="n">
        <v>1</v>
      </c>
      <c r="S706" s="157" t="n">
        <v>2</v>
      </c>
      <c r="T706" s="457" t="s">
        <v>7526</v>
      </c>
      <c r="U706" s="457" t="n">
        <v>398</v>
      </c>
      <c r="V706" s="458" t="n">
        <v>24000</v>
      </c>
      <c r="W706" s="458" t="n">
        <v>24000</v>
      </c>
      <c r="X706" s="464" t="s">
        <v>6954</v>
      </c>
      <c r="Y706" s="458" t="n">
        <f aca="false">ROUND(J706,-3)</f>
        <v>14000</v>
      </c>
      <c r="Z706" s="457" t="s">
        <v>6638</v>
      </c>
      <c r="AA706" s="157" t="n">
        <v>3</v>
      </c>
      <c r="AB706" s="157" t="n">
        <v>3</v>
      </c>
      <c r="AC706" s="431" t="s">
        <v>586</v>
      </c>
      <c r="AD706" s="437"/>
      <c r="AE706" s="167"/>
      <c r="AF706" s="167"/>
      <c r="AG706" s="167"/>
      <c r="AH706" s="167"/>
      <c r="AI706" s="167"/>
      <c r="AJ706" s="167"/>
      <c r="AK706" s="167" t="s">
        <v>8324</v>
      </c>
      <c r="AL706" s="157" t="n">
        <f aca="false">IF(AND(ISNUMBER($S706),$S706&gt;0,ISNUMBER($K706),ISNUMBER($J706)),($K706*$J706)/$S706,"")</f>
        <v>36900</v>
      </c>
    </row>
    <row r="707" customFormat="false" ht="12.75" hidden="false" customHeight="true" outlineLevel="0" collapsed="false">
      <c r="A707" s="441" t="n">
        <v>8</v>
      </c>
      <c r="B707" s="157" t="n">
        <v>699</v>
      </c>
      <c r="C707" s="437" t="s">
        <v>8246</v>
      </c>
      <c r="D707" s="157" t="s">
        <v>6956</v>
      </c>
      <c r="E707" s="461" t="s">
        <v>2461</v>
      </c>
      <c r="F707" s="157" t="s">
        <v>6957</v>
      </c>
      <c r="G707" s="445" t="n">
        <v>44.1</v>
      </c>
      <c r="H707" s="431" t="n">
        <v>9201</v>
      </c>
      <c r="I707" s="457" t="n">
        <v>0</v>
      </c>
      <c r="J707" s="458" t="n">
        <v>16140</v>
      </c>
      <c r="K707" s="462" t="n">
        <v>5.57620817843866</v>
      </c>
      <c r="L707" s="463" t="n">
        <v>0</v>
      </c>
      <c r="M707" s="463" t="n">
        <v>0</v>
      </c>
      <c r="N707" s="431" t="n">
        <v>1951</v>
      </c>
      <c r="Q707" s="157" t="n">
        <v>17</v>
      </c>
      <c r="R707" s="157" t="n">
        <v>2</v>
      </c>
      <c r="S707" s="157" t="n">
        <v>1</v>
      </c>
      <c r="T707" s="457" t="s">
        <v>7526</v>
      </c>
      <c r="U707" s="457" t="n">
        <v>398</v>
      </c>
      <c r="V707" s="458" t="n">
        <v>47915</v>
      </c>
      <c r="W707" s="458" t="n">
        <v>48000</v>
      </c>
      <c r="X707" s="464" t="s">
        <v>7563</v>
      </c>
      <c r="Y707" s="458" t="n">
        <f aca="false">ROUND(J707,-3)</f>
        <v>16000</v>
      </c>
      <c r="Z707" s="457" t="s">
        <v>6638</v>
      </c>
      <c r="AA707" s="157" t="n">
        <v>1</v>
      </c>
      <c r="AB707" s="157" t="n">
        <v>3</v>
      </c>
      <c r="AC707" s="431" t="s">
        <v>497</v>
      </c>
      <c r="AD707" s="437" t="s">
        <v>6958</v>
      </c>
      <c r="AE707" s="167"/>
      <c r="AF707" s="167"/>
      <c r="AG707" s="167"/>
      <c r="AH707" s="167"/>
      <c r="AI707" s="167"/>
      <c r="AJ707" s="167"/>
      <c r="AK707" s="167" t="s">
        <v>8551</v>
      </c>
      <c r="AL707" s="157" t="n">
        <f aca="false">IF(AND(ISNUMBER($S707),$S707&gt;0,ISNUMBER($K707),ISNUMBER($J707)),($K707*$J707)/$S707,"")</f>
        <v>90000</v>
      </c>
    </row>
    <row r="708" customFormat="false" ht="12.75" hidden="false" customHeight="true" outlineLevel="0" collapsed="false">
      <c r="A708" s="441" t="n">
        <v>8</v>
      </c>
      <c r="B708" s="157" t="n">
        <v>700</v>
      </c>
      <c r="C708" s="437" t="s">
        <v>8246</v>
      </c>
      <c r="D708" s="157" t="s">
        <v>6959</v>
      </c>
      <c r="E708" s="461" t="s">
        <v>2461</v>
      </c>
      <c r="F708" s="157" t="s">
        <v>6960</v>
      </c>
      <c r="G708" s="445" t="n">
        <v>46.2</v>
      </c>
      <c r="H708" s="431" t="n">
        <v>9201</v>
      </c>
      <c r="I708" s="457" t="n">
        <v>0</v>
      </c>
      <c r="J708" s="458" t="n">
        <v>10354</v>
      </c>
      <c r="K708" s="462" t="n">
        <v>5.27332431910373</v>
      </c>
      <c r="L708" s="463" t="n">
        <v>0</v>
      </c>
      <c r="M708" s="463" t="n">
        <v>0.135201465201465</v>
      </c>
      <c r="N708" s="431" t="n">
        <v>1967</v>
      </c>
      <c r="O708" s="446" t="n">
        <f aca="false">3174+200</f>
        <v>3374</v>
      </c>
      <c r="Q708" s="157" t="n">
        <v>17</v>
      </c>
      <c r="R708" s="157" t="n">
        <v>14</v>
      </c>
      <c r="S708" s="157" t="n">
        <v>3</v>
      </c>
      <c r="T708" s="457" t="s">
        <v>7526</v>
      </c>
      <c r="U708" s="457" t="n">
        <v>401</v>
      </c>
      <c r="V708" s="458" t="n">
        <v>21063</v>
      </c>
      <c r="W708" s="458" t="n">
        <v>21000</v>
      </c>
      <c r="X708" s="464" t="s">
        <v>7546</v>
      </c>
      <c r="Y708" s="458" t="n">
        <f aca="false">ROUND(J708,-3)</f>
        <v>10000</v>
      </c>
      <c r="Z708" s="457" t="s">
        <v>6638</v>
      </c>
      <c r="AA708" s="157" t="n">
        <v>3</v>
      </c>
      <c r="AB708" s="157" t="n">
        <v>3</v>
      </c>
      <c r="AC708" s="431" t="s">
        <v>586</v>
      </c>
      <c r="AD708" s="437"/>
      <c r="AE708" s="167"/>
      <c r="AF708" s="167"/>
      <c r="AG708" s="167"/>
      <c r="AH708" s="167"/>
      <c r="AI708" s="167"/>
      <c r="AJ708" s="167"/>
      <c r="AK708" s="167" t="s">
        <v>8552</v>
      </c>
      <c r="AL708" s="157" t="n">
        <f aca="false">IF(AND(ISNUMBER($S708),$S708&gt;0,ISNUMBER($K708),ISNUMBER($J708)),($K708*$J708)/$S708,"")</f>
        <v>18200</v>
      </c>
    </row>
    <row r="709" customFormat="false" ht="12.75" hidden="false" customHeight="true" outlineLevel="0" collapsed="false">
      <c r="A709" s="441" t="n">
        <v>8</v>
      </c>
      <c r="B709" s="157" t="n">
        <v>701</v>
      </c>
      <c r="C709" s="437" t="s">
        <v>8246</v>
      </c>
      <c r="D709" s="157" t="s">
        <v>6963</v>
      </c>
      <c r="E709" s="461" t="s">
        <v>2461</v>
      </c>
      <c r="F709" s="157" t="s">
        <v>6964</v>
      </c>
      <c r="G709" s="445" t="n">
        <v>44.1</v>
      </c>
      <c r="H709" s="431" t="n">
        <v>9201</v>
      </c>
      <c r="I709" s="457" t="n">
        <v>0</v>
      </c>
      <c r="J709" s="458" t="n">
        <v>23874</v>
      </c>
      <c r="K709" s="462" t="n">
        <v>5.30283990952501</v>
      </c>
      <c r="L709" s="463" t="n">
        <v>0</v>
      </c>
      <c r="M709" s="463" t="n">
        <v>0.151777251184834</v>
      </c>
      <c r="N709" s="431" t="n">
        <v>1969</v>
      </c>
      <c r="O709" s="446" t="n">
        <f aca="false">2173+432</f>
        <v>2605</v>
      </c>
      <c r="Q709" s="157" t="n">
        <v>23</v>
      </c>
      <c r="R709" s="157" t="n">
        <v>14</v>
      </c>
      <c r="S709" s="157" t="n">
        <v>2</v>
      </c>
      <c r="T709" s="457" t="s">
        <v>7529</v>
      </c>
      <c r="U709" s="457" t="n">
        <v>398</v>
      </c>
      <c r="V709" s="458" t="n">
        <v>47500</v>
      </c>
      <c r="W709" s="458" t="n">
        <v>48000</v>
      </c>
      <c r="X709" s="464" t="s">
        <v>7546</v>
      </c>
      <c r="Y709" s="458" t="n">
        <f aca="false">ROUND(J709,-3)</f>
        <v>24000</v>
      </c>
      <c r="Z709" s="457" t="s">
        <v>6638</v>
      </c>
      <c r="AA709" s="157" t="n">
        <v>3</v>
      </c>
      <c r="AB709" s="157" t="n">
        <v>3</v>
      </c>
      <c r="AC709" s="431" t="s">
        <v>586</v>
      </c>
      <c r="AD709" s="437" t="s">
        <v>6965</v>
      </c>
      <c r="AE709" s="167"/>
      <c r="AF709" s="167"/>
      <c r="AG709" s="167"/>
      <c r="AH709" s="167"/>
      <c r="AI709" s="167"/>
      <c r="AJ709" s="167"/>
      <c r="AK709" s="167" t="s">
        <v>8324</v>
      </c>
      <c r="AL709" s="157" t="n">
        <f aca="false">IF(AND(ISNUMBER($S709),$S709&gt;0,ISNUMBER($K709),ISNUMBER($J709)),($K709*$J709)/$S709,"")</f>
        <v>63300</v>
      </c>
    </row>
    <row r="710" customFormat="false" ht="12.75" hidden="false" customHeight="true" outlineLevel="0" collapsed="false">
      <c r="A710" s="441" t="n">
        <v>8</v>
      </c>
      <c r="B710" s="157" t="n">
        <v>702</v>
      </c>
      <c r="C710" s="437" t="s">
        <v>8246</v>
      </c>
      <c r="D710" s="157" t="s">
        <v>8553</v>
      </c>
      <c r="E710" s="461" t="s">
        <v>2461</v>
      </c>
      <c r="F710" s="157" t="s">
        <v>8554</v>
      </c>
      <c r="G710" s="445" t="n">
        <v>47.1</v>
      </c>
      <c r="H710" s="431" t="n">
        <v>9201</v>
      </c>
      <c r="I710" s="457" t="n">
        <v>0</v>
      </c>
      <c r="J710" s="458" t="n">
        <v>1778</v>
      </c>
      <c r="K710" s="462" t="n">
        <v>7.42407199100113</v>
      </c>
      <c r="L710" s="463" t="n">
        <v>0</v>
      </c>
      <c r="M710" s="463" t="n">
        <v>0.0467424242424243</v>
      </c>
      <c r="N710" s="431" t="n">
        <v>1890</v>
      </c>
      <c r="P710" s="446" t="n">
        <v>893</v>
      </c>
      <c r="Q710" s="157" t="n">
        <v>10</v>
      </c>
      <c r="R710" s="157" t="n">
        <v>7</v>
      </c>
      <c r="S710" s="157" t="n">
        <v>1</v>
      </c>
      <c r="T710" s="457" t="s">
        <v>7526</v>
      </c>
      <c r="U710" s="457" t="n">
        <v>401</v>
      </c>
      <c r="V710" s="458" t="n">
        <v>9810</v>
      </c>
      <c r="W710" s="458" t="n">
        <v>10000</v>
      </c>
      <c r="X710" s="464" t="s">
        <v>7674</v>
      </c>
      <c r="Y710" s="458" t="n">
        <f aca="false">ROUND(J710,-2)</f>
        <v>1800</v>
      </c>
      <c r="Z710" s="457" t="s">
        <v>6638</v>
      </c>
      <c r="AA710" s="157" t="n">
        <v>3</v>
      </c>
      <c r="AB710" s="157" t="n">
        <v>3</v>
      </c>
      <c r="AC710" s="431" t="s">
        <v>586</v>
      </c>
      <c r="AD710" s="437"/>
      <c r="AE710" s="167"/>
      <c r="AF710" s="167"/>
      <c r="AG710" s="167"/>
      <c r="AH710" s="167"/>
      <c r="AI710" s="167"/>
      <c r="AJ710" s="167"/>
      <c r="AK710" s="167" t="s">
        <v>8555</v>
      </c>
      <c r="AL710" s="157" t="n">
        <f aca="false">IF(AND(ISNUMBER($S710),$S710&gt;0,ISNUMBER($K710),ISNUMBER($J710)),($K710*$J710)/$S710,"")</f>
        <v>13200</v>
      </c>
    </row>
    <row r="711" customFormat="false" ht="12.75" hidden="false" customHeight="true" outlineLevel="0" collapsed="false">
      <c r="A711" s="441" t="n">
        <v>8</v>
      </c>
      <c r="B711" s="157" t="n">
        <v>703</v>
      </c>
      <c r="C711" s="437" t="s">
        <v>8246</v>
      </c>
      <c r="D711" s="157" t="s">
        <v>7774</v>
      </c>
      <c r="E711" s="461" t="s">
        <v>2461</v>
      </c>
      <c r="F711" s="157" t="s">
        <v>8556</v>
      </c>
      <c r="G711" s="445" t="n">
        <v>44.1</v>
      </c>
      <c r="H711" s="431" t="n">
        <v>9201</v>
      </c>
      <c r="I711" s="457" t="n">
        <v>0</v>
      </c>
      <c r="J711" s="458" t="n">
        <v>6000</v>
      </c>
      <c r="K711" s="462" t="n">
        <v>6.1475</v>
      </c>
      <c r="L711" s="463" t="n">
        <v>0.5</v>
      </c>
      <c r="M711" s="463" t="n">
        <v>0.0813338755591704</v>
      </c>
      <c r="N711" s="431" t="n">
        <v>1980</v>
      </c>
      <c r="O711" s="446" t="n">
        <v>702</v>
      </c>
      <c r="Q711" s="157" t="n">
        <v>14</v>
      </c>
      <c r="R711" s="157" t="n">
        <v>7</v>
      </c>
      <c r="S711" s="157" t="n">
        <v>1</v>
      </c>
      <c r="T711" s="457" t="s">
        <v>7526</v>
      </c>
      <c r="U711" s="457" t="n">
        <v>398</v>
      </c>
      <c r="V711" s="458" t="n">
        <v>19115</v>
      </c>
      <c r="W711" s="458" t="n">
        <v>19000</v>
      </c>
      <c r="X711" s="464" t="s">
        <v>6695</v>
      </c>
      <c r="Y711" s="458" t="n">
        <f aca="false">ROUND(J711,-3)</f>
        <v>6000</v>
      </c>
      <c r="Z711" s="457" t="s">
        <v>6638</v>
      </c>
      <c r="AA711" s="157" t="n">
        <v>3</v>
      </c>
      <c r="AB711" s="157" t="n">
        <v>3</v>
      </c>
      <c r="AC711" s="431" t="s">
        <v>586</v>
      </c>
      <c r="AD711" s="437"/>
      <c r="AE711" s="167"/>
      <c r="AF711" s="167"/>
      <c r="AG711" s="167"/>
      <c r="AH711" s="167"/>
      <c r="AI711" s="167"/>
      <c r="AJ711" s="167"/>
      <c r="AK711" s="167" t="s">
        <v>8257</v>
      </c>
      <c r="AL711" s="157" t="n">
        <f aca="false">IF(AND(ISNUMBER($S711),$S711&gt;0,ISNUMBER($K711),ISNUMBER($J711)),($K711*$J711)/$S711,"")</f>
        <v>36885</v>
      </c>
    </row>
    <row r="712" customFormat="false" ht="12.75" hidden="false" customHeight="true" outlineLevel="0" collapsed="false">
      <c r="A712" s="441" t="n">
        <v>8</v>
      </c>
      <c r="B712" s="157" t="n">
        <v>704</v>
      </c>
      <c r="C712" s="437" t="s">
        <v>8246</v>
      </c>
      <c r="D712" s="157" t="s">
        <v>8557</v>
      </c>
      <c r="E712" s="461" t="s">
        <v>2461</v>
      </c>
      <c r="F712" s="157" t="s">
        <v>8558</v>
      </c>
      <c r="G712" s="445" t="n">
        <v>44.2</v>
      </c>
      <c r="H712" s="431" t="n">
        <v>9208</v>
      </c>
      <c r="I712" s="457" t="n">
        <v>0</v>
      </c>
      <c r="J712" s="458" t="n">
        <v>35940</v>
      </c>
      <c r="K712" s="462" t="n">
        <v>4.67445742904841</v>
      </c>
      <c r="L712" s="463" t="n">
        <v>0</v>
      </c>
      <c r="M712" s="463" t="n">
        <v>0.0183690476190476</v>
      </c>
      <c r="N712" s="431" t="n">
        <v>1975</v>
      </c>
      <c r="O712" s="446" t="n">
        <f aca="false">4481+2571</f>
        <v>7052</v>
      </c>
      <c r="S712" s="157" t="n">
        <v>1</v>
      </c>
      <c r="T712" s="457" t="s">
        <v>7529</v>
      </c>
      <c r="U712" s="457" t="n">
        <v>398</v>
      </c>
      <c r="V712" s="458" t="n">
        <v>97490</v>
      </c>
      <c r="W712" s="458" t="n">
        <v>100000</v>
      </c>
      <c r="X712" s="464" t="s">
        <v>6757</v>
      </c>
      <c r="Y712" s="458" t="n">
        <f aca="false">ROUND(J712,-3)</f>
        <v>36000</v>
      </c>
      <c r="Z712" s="457" t="s">
        <v>6638</v>
      </c>
      <c r="AA712" s="157" t="n">
        <v>3</v>
      </c>
      <c r="AB712" s="157" t="n">
        <v>3</v>
      </c>
      <c r="AC712" s="431" t="s">
        <v>586</v>
      </c>
      <c r="AD712" s="437"/>
      <c r="AE712" s="167"/>
      <c r="AF712" s="167"/>
      <c r="AG712" s="167"/>
      <c r="AH712" s="167"/>
      <c r="AI712" s="167"/>
      <c r="AJ712" s="167"/>
      <c r="AK712" s="167" t="s">
        <v>8559</v>
      </c>
      <c r="AL712" s="157" t="n">
        <f aca="false">IF(AND(ISNUMBER($S712),$S712&gt;0,ISNUMBER($K712),ISNUMBER($J712)),($K712*$J712)/$S712,"")</f>
        <v>168000</v>
      </c>
    </row>
    <row r="713" customFormat="false" ht="12.75" hidden="false" customHeight="true" outlineLevel="0" collapsed="false">
      <c r="A713" s="441" t="n">
        <v>8</v>
      </c>
      <c r="B713" s="157" t="n">
        <v>705</v>
      </c>
      <c r="C713" s="437" t="s">
        <v>8246</v>
      </c>
      <c r="D713" s="157" t="s">
        <v>8560</v>
      </c>
      <c r="E713" s="461" t="s">
        <v>2461</v>
      </c>
      <c r="F713" s="157" t="s">
        <v>8561</v>
      </c>
      <c r="G713" s="445" t="n">
        <v>44.2</v>
      </c>
      <c r="H713" s="431" t="n">
        <v>9208</v>
      </c>
      <c r="I713" s="457" t="n">
        <v>0</v>
      </c>
      <c r="J713" s="458" t="n">
        <v>25864</v>
      </c>
      <c r="K713" s="462" t="n">
        <v>10.4045777915249</v>
      </c>
      <c r="L713" s="463" t="n">
        <v>0</v>
      </c>
      <c r="M713" s="463" t="n">
        <v>0.0574499078423212</v>
      </c>
      <c r="N713" s="431" t="n">
        <v>2005</v>
      </c>
      <c r="O713" s="446" t="n">
        <f aca="false">6421+2871</f>
        <v>9292</v>
      </c>
      <c r="S713" s="157" t="n">
        <v>4</v>
      </c>
      <c r="T713" s="457" t="s">
        <v>7529</v>
      </c>
      <c r="U713" s="457" t="n">
        <v>398</v>
      </c>
      <c r="V713" s="458" t="n">
        <v>87400</v>
      </c>
      <c r="W713" s="458" t="n">
        <v>90000</v>
      </c>
      <c r="X713" s="464" t="s">
        <v>7065</v>
      </c>
      <c r="Y713" s="458" t="n">
        <f aca="false">ROUND(J713,-3)</f>
        <v>26000</v>
      </c>
      <c r="Z713" s="457" t="s">
        <v>6638</v>
      </c>
      <c r="AA713" s="157" t="n">
        <v>3</v>
      </c>
      <c r="AB713" s="157" t="n">
        <v>3</v>
      </c>
      <c r="AC713" s="431" t="s">
        <v>586</v>
      </c>
      <c r="AD713" s="437" t="s">
        <v>8562</v>
      </c>
      <c r="AE713" s="167"/>
      <c r="AF713" s="167"/>
      <c r="AG713" s="167"/>
      <c r="AH713" s="167"/>
      <c r="AI713" s="167"/>
      <c r="AJ713" s="167"/>
      <c r="AK713" s="167" t="s">
        <v>8563</v>
      </c>
      <c r="AL713" s="157" t="n">
        <f aca="false">IF(AND(ISNUMBER($S713),$S713&gt;0,ISNUMBER($K713),ISNUMBER($J713)),($K713*$J713)/$S713,"")</f>
        <v>67276</v>
      </c>
    </row>
    <row r="714" customFormat="false" ht="12.75" hidden="false" customHeight="true" outlineLevel="0" collapsed="false">
      <c r="A714" s="441" t="n">
        <v>8</v>
      </c>
      <c r="B714" s="157" t="n">
        <v>706</v>
      </c>
      <c r="C714" s="437" t="s">
        <v>8246</v>
      </c>
      <c r="D714" s="157" t="s">
        <v>8564</v>
      </c>
      <c r="E714" s="461" t="s">
        <v>2461</v>
      </c>
      <c r="F714" s="157" t="s">
        <v>8565</v>
      </c>
      <c r="G714" s="445" t="s">
        <v>7011</v>
      </c>
      <c r="H714" s="431" t="n">
        <v>9208</v>
      </c>
      <c r="I714" s="457" t="n">
        <v>0</v>
      </c>
      <c r="J714" s="458" t="n">
        <v>5029</v>
      </c>
      <c r="K714" s="462" t="n">
        <v>7.15848081129449</v>
      </c>
      <c r="L714" s="463" t="n">
        <v>0.21</v>
      </c>
      <c r="M714" s="463" t="n">
        <v>0.248916666666667</v>
      </c>
      <c r="N714" s="431" t="n">
        <v>1936</v>
      </c>
      <c r="P714" s="446" t="n">
        <v>515</v>
      </c>
      <c r="Q714" s="157" t="n">
        <v>12</v>
      </c>
      <c r="R714" s="157" t="n">
        <v>1</v>
      </c>
      <c r="S714" s="157" t="n">
        <v>1</v>
      </c>
      <c r="T714" s="457" t="s">
        <v>7881</v>
      </c>
      <c r="U714" s="457" t="n">
        <v>398</v>
      </c>
      <c r="V714" s="458" t="n">
        <v>12500</v>
      </c>
      <c r="W714" s="458" t="n">
        <v>13000</v>
      </c>
      <c r="X714" s="464" t="s">
        <v>6977</v>
      </c>
      <c r="Y714" s="458" t="n">
        <f aca="false">ROUND(J714,-3)</f>
        <v>5000</v>
      </c>
      <c r="Z714" s="457" t="s">
        <v>6638</v>
      </c>
      <c r="AA714" s="157" t="n">
        <v>3</v>
      </c>
      <c r="AB714" s="157" t="n">
        <v>3</v>
      </c>
      <c r="AC714" s="431" t="s">
        <v>586</v>
      </c>
      <c r="AD714" s="437" t="s">
        <v>8566</v>
      </c>
      <c r="AE714" s="167"/>
      <c r="AF714" s="167"/>
      <c r="AG714" s="167"/>
      <c r="AH714" s="167"/>
      <c r="AI714" s="167"/>
      <c r="AJ714" s="167"/>
      <c r="AK714" s="167" t="s">
        <v>8567</v>
      </c>
      <c r="AL714" s="157" t="n">
        <f aca="false">IF(AND(ISNUMBER($S714),$S714&gt;0,ISNUMBER($K714),ISNUMBER($J714)),($K714*$J714)/$S714,"")</f>
        <v>36000</v>
      </c>
    </row>
    <row r="715" customFormat="false" ht="12.75" hidden="false" customHeight="true" outlineLevel="0" collapsed="false">
      <c r="A715" s="441" t="n">
        <v>8</v>
      </c>
      <c r="B715" s="157" t="n">
        <v>707</v>
      </c>
      <c r="C715" s="437" t="s">
        <v>8246</v>
      </c>
      <c r="D715" s="157" t="s">
        <v>8568</v>
      </c>
      <c r="E715" s="461" t="s">
        <v>2461</v>
      </c>
      <c r="F715" s="157" t="s">
        <v>8569</v>
      </c>
      <c r="G715" s="445" t="n">
        <v>44.8</v>
      </c>
      <c r="H715" s="431" t="n">
        <v>9208</v>
      </c>
      <c r="I715" s="457" t="n">
        <v>0</v>
      </c>
      <c r="J715" s="458" t="n">
        <v>1449</v>
      </c>
      <c r="K715" s="462" t="n">
        <v>7.45341614906832</v>
      </c>
      <c r="L715" s="463" t="n">
        <v>0</v>
      </c>
      <c r="M715" s="463" t="n">
        <v>0</v>
      </c>
      <c r="N715" s="431" t="n">
        <v>2005</v>
      </c>
      <c r="Q715" s="157" t="n">
        <v>9</v>
      </c>
      <c r="R715" s="157" t="n">
        <v>1</v>
      </c>
      <c r="S715" s="157" t="n">
        <v>1</v>
      </c>
      <c r="T715" s="457" t="s">
        <v>7529</v>
      </c>
      <c r="U715" s="457" t="n">
        <v>356</v>
      </c>
      <c r="V715" s="458" t="n">
        <v>3521</v>
      </c>
      <c r="W715" s="458" t="n">
        <v>4000</v>
      </c>
      <c r="X715" s="464" t="s">
        <v>6650</v>
      </c>
      <c r="Y715" s="458" t="n">
        <f aca="false">ROUND(J715,-2)</f>
        <v>1400</v>
      </c>
      <c r="Z715" s="457" t="s">
        <v>6638</v>
      </c>
      <c r="AA715" s="157" t="n">
        <v>3</v>
      </c>
      <c r="AB715" s="157" t="n">
        <v>3</v>
      </c>
      <c r="AC715" s="431" t="s">
        <v>586</v>
      </c>
      <c r="AD715" s="437" t="s">
        <v>8570</v>
      </c>
      <c r="AE715" s="167"/>
      <c r="AF715" s="167"/>
      <c r="AG715" s="167"/>
      <c r="AH715" s="167"/>
      <c r="AI715" s="167"/>
      <c r="AJ715" s="167"/>
      <c r="AK715" s="167" t="s">
        <v>8571</v>
      </c>
      <c r="AL715" s="157" t="n">
        <f aca="false">IF(AND(ISNUMBER($S715),$S715&gt;0,ISNUMBER($K715),ISNUMBER($J715)),($K715*$J715)/$S715,"")</f>
        <v>10800</v>
      </c>
    </row>
    <row r="716" customFormat="false" ht="12.75" hidden="false" customHeight="true" outlineLevel="0" collapsed="false">
      <c r="A716" s="441" t="n">
        <v>8</v>
      </c>
      <c r="B716" s="157" t="n">
        <v>708</v>
      </c>
      <c r="C716" s="437" t="s">
        <v>8246</v>
      </c>
      <c r="D716" s="157" t="s">
        <v>8572</v>
      </c>
      <c r="E716" s="461" t="s">
        <v>2461</v>
      </c>
      <c r="F716" s="157" t="s">
        <v>8573</v>
      </c>
      <c r="G716" s="445" t="n">
        <v>47.1</v>
      </c>
      <c r="H716" s="431" t="n">
        <v>9208</v>
      </c>
      <c r="I716" s="457" t="n">
        <v>0</v>
      </c>
      <c r="J716" s="458" t="n">
        <v>12000</v>
      </c>
      <c r="K716" s="462" t="n">
        <v>10</v>
      </c>
      <c r="L716" s="463" t="n">
        <v>0</v>
      </c>
      <c r="M716" s="463" t="n">
        <v>0.0756333333333333</v>
      </c>
      <c r="N716" s="431" t="n">
        <v>1971</v>
      </c>
      <c r="P716" s="446" t="n">
        <v>2470</v>
      </c>
      <c r="Q716" s="157" t="n">
        <v>16</v>
      </c>
      <c r="R716" s="157" t="n">
        <v>1</v>
      </c>
      <c r="S716" s="157" t="n">
        <v>1</v>
      </c>
      <c r="T716" s="457" t="s">
        <v>7526</v>
      </c>
      <c r="U716" s="457" t="n">
        <v>401</v>
      </c>
      <c r="V716" s="458" t="n">
        <v>42630</v>
      </c>
      <c r="W716" s="458" t="n">
        <v>43000</v>
      </c>
      <c r="X716" s="464" t="s">
        <v>7012</v>
      </c>
      <c r="Y716" s="458" t="n">
        <f aca="false">ROUND(J716,-3)</f>
        <v>12000</v>
      </c>
      <c r="Z716" s="457" t="s">
        <v>6638</v>
      </c>
      <c r="AA716" s="157" t="n">
        <v>3</v>
      </c>
      <c r="AB716" s="157" t="n">
        <v>3</v>
      </c>
      <c r="AC716" s="431" t="s">
        <v>586</v>
      </c>
      <c r="AD716" s="437"/>
      <c r="AE716" s="167"/>
      <c r="AF716" s="167"/>
      <c r="AG716" s="167"/>
      <c r="AH716" s="167"/>
      <c r="AI716" s="167"/>
      <c r="AJ716" s="167"/>
      <c r="AK716" s="167" t="s">
        <v>8475</v>
      </c>
      <c r="AL716" s="157" t="n">
        <f aca="false">IF(AND(ISNUMBER($S716),$S716&gt;0,ISNUMBER($K716),ISNUMBER($J716)),($K716*$J716)/$S716,"")</f>
        <v>120000</v>
      </c>
    </row>
    <row r="717" customFormat="false" ht="12.75" hidden="false" customHeight="true" outlineLevel="0" collapsed="false">
      <c r="A717" s="441" t="n">
        <v>8</v>
      </c>
      <c r="B717" s="157" t="n">
        <v>709</v>
      </c>
      <c r="C717" s="437" t="s">
        <v>8246</v>
      </c>
      <c r="D717" s="157" t="s">
        <v>6979</v>
      </c>
      <c r="E717" s="461" t="s">
        <v>2461</v>
      </c>
      <c r="F717" s="157" t="s">
        <v>6980</v>
      </c>
      <c r="G717" s="445" t="n">
        <v>44.1</v>
      </c>
      <c r="H717" s="431" t="n">
        <v>9208</v>
      </c>
      <c r="I717" s="457" t="n">
        <v>0</v>
      </c>
      <c r="J717" s="458" t="n">
        <v>4008</v>
      </c>
      <c r="K717" s="462" t="n">
        <v>6.73652694610779</v>
      </c>
      <c r="L717" s="463" t="n">
        <v>0.42</v>
      </c>
      <c r="M717" s="463" t="n">
        <v>0</v>
      </c>
      <c r="N717" s="431" t="n">
        <v>1980</v>
      </c>
      <c r="O717" s="446" t="n">
        <v>484</v>
      </c>
      <c r="Q717" s="157" t="n">
        <v>17</v>
      </c>
      <c r="R717" s="157" t="n">
        <v>3</v>
      </c>
      <c r="S717" s="157" t="n">
        <v>1</v>
      </c>
      <c r="T717" s="457" t="s">
        <v>7526</v>
      </c>
      <c r="U717" s="457" t="n">
        <v>398</v>
      </c>
      <c r="V717" s="458" t="n">
        <v>6625</v>
      </c>
      <c r="W717" s="458" t="n">
        <v>7000</v>
      </c>
      <c r="X717" s="464" t="s">
        <v>6954</v>
      </c>
      <c r="Y717" s="458" t="n">
        <f aca="false">ROUND(J717,-3)</f>
        <v>4000</v>
      </c>
      <c r="Z717" s="457" t="s">
        <v>6638</v>
      </c>
      <c r="AA717" s="157" t="n">
        <v>3</v>
      </c>
      <c r="AB717" s="157" t="n">
        <v>3</v>
      </c>
      <c r="AC717" s="431" t="s">
        <v>586</v>
      </c>
      <c r="AD717" s="437" t="s">
        <v>6981</v>
      </c>
      <c r="AE717" s="167"/>
      <c r="AF717" s="167"/>
      <c r="AG717" s="167"/>
      <c r="AH717" s="167"/>
      <c r="AI717" s="167"/>
      <c r="AJ717" s="167"/>
      <c r="AK717" s="167" t="s">
        <v>8574</v>
      </c>
      <c r="AL717" s="157" t="n">
        <f aca="false">IF(AND(ISNUMBER($S717),$S717&gt;0,ISNUMBER($K717),ISNUMBER($J717)),($K717*$J717)/$S717,"")</f>
        <v>27000</v>
      </c>
    </row>
    <row r="718" customFormat="false" ht="12.75" hidden="false" customHeight="true" outlineLevel="0" collapsed="false">
      <c r="A718" s="441" t="n">
        <v>8</v>
      </c>
      <c r="B718" s="157" t="n">
        <v>710</v>
      </c>
      <c r="C718" s="437" t="s">
        <v>8246</v>
      </c>
      <c r="D718" s="157" t="s">
        <v>8575</v>
      </c>
      <c r="E718" s="461" t="s">
        <v>2461</v>
      </c>
      <c r="F718" s="157" t="s">
        <v>8576</v>
      </c>
      <c r="G718" s="445" t="n">
        <v>44.1</v>
      </c>
      <c r="H718" s="431" t="n">
        <v>9208</v>
      </c>
      <c r="I718" s="457" t="n">
        <v>0</v>
      </c>
      <c r="J718" s="458" t="n">
        <v>15319</v>
      </c>
      <c r="K718" s="462" t="n">
        <v>3.13336379659247</v>
      </c>
      <c r="L718" s="463" t="n">
        <v>0</v>
      </c>
      <c r="M718" s="463" t="n">
        <v>0.247229166666667</v>
      </c>
      <c r="N718" s="431" t="n">
        <v>1955</v>
      </c>
      <c r="P718" s="446" t="n">
        <v>903</v>
      </c>
      <c r="Q718" s="157" t="n">
        <v>15</v>
      </c>
      <c r="R718" s="157" t="n">
        <v>1</v>
      </c>
      <c r="S718" s="157" t="n">
        <v>1</v>
      </c>
      <c r="T718" s="457" t="s">
        <v>7526</v>
      </c>
      <c r="U718" s="457" t="n">
        <v>398</v>
      </c>
      <c r="V718" s="458" t="n">
        <v>42100</v>
      </c>
      <c r="W718" s="458" t="n">
        <v>42000</v>
      </c>
      <c r="X718" s="464" t="s">
        <v>6757</v>
      </c>
      <c r="Y718" s="458" t="n">
        <f aca="false">ROUND(J718,-3)</f>
        <v>15000</v>
      </c>
      <c r="Z718" s="457" t="s">
        <v>6638</v>
      </c>
      <c r="AA718" s="157" t="n">
        <v>3</v>
      </c>
      <c r="AB718" s="157" t="n">
        <v>3</v>
      </c>
      <c r="AC718" s="431" t="s">
        <v>586</v>
      </c>
      <c r="AD718" s="437" t="s">
        <v>8577</v>
      </c>
      <c r="AE718" s="167"/>
      <c r="AF718" s="167"/>
      <c r="AG718" s="167"/>
      <c r="AH718" s="167"/>
      <c r="AI718" s="167"/>
      <c r="AJ718" s="167"/>
      <c r="AK718" s="167" t="s">
        <v>8313</v>
      </c>
      <c r="AL718" s="157" t="n">
        <f aca="false">IF(AND(ISNUMBER($S718),$S718&gt;0,ISNUMBER($K718),ISNUMBER($J718)),($K718*$J718)/$S718,"")</f>
        <v>48000</v>
      </c>
    </row>
    <row r="719" customFormat="false" ht="12.75" hidden="false" customHeight="true" outlineLevel="0" collapsed="false">
      <c r="A719" s="441" t="n">
        <v>8</v>
      </c>
      <c r="B719" s="157" t="n">
        <v>711</v>
      </c>
      <c r="C719" s="437" t="s">
        <v>8246</v>
      </c>
      <c r="D719" s="157" t="s">
        <v>8578</v>
      </c>
      <c r="E719" s="461" t="s">
        <v>2461</v>
      </c>
      <c r="F719" s="157" t="s">
        <v>8579</v>
      </c>
      <c r="G719" s="445" t="n">
        <v>44.1</v>
      </c>
      <c r="H719" s="431" t="n">
        <v>9208</v>
      </c>
      <c r="I719" s="457" t="n">
        <v>0</v>
      </c>
      <c r="J719" s="458" t="n">
        <v>10000</v>
      </c>
      <c r="K719" s="462" t="n">
        <v>5.1716</v>
      </c>
      <c r="L719" s="463" t="n">
        <v>0</v>
      </c>
      <c r="M719" s="463" t="n">
        <v>0</v>
      </c>
      <c r="N719" s="431" t="n">
        <v>1980</v>
      </c>
      <c r="O719" s="446" t="n">
        <f aca="false">926*2</f>
        <v>1852</v>
      </c>
      <c r="Q719" s="157" t="n">
        <v>34</v>
      </c>
      <c r="R719" s="157" t="n">
        <v>1</v>
      </c>
      <c r="S719" s="157" t="n">
        <v>2</v>
      </c>
      <c r="T719" s="457" t="s">
        <v>7526</v>
      </c>
      <c r="U719" s="457" t="n">
        <v>398</v>
      </c>
      <c r="V719" s="458" t="n">
        <v>128774</v>
      </c>
      <c r="W719" s="458" t="n">
        <v>130000</v>
      </c>
      <c r="X719" s="464" t="s">
        <v>6664</v>
      </c>
      <c r="Y719" s="458" t="n">
        <f aca="false">ROUND(J719,-3)</f>
        <v>10000</v>
      </c>
      <c r="Z719" s="457" t="s">
        <v>6638</v>
      </c>
      <c r="AA719" s="157" t="n">
        <v>3</v>
      </c>
      <c r="AB719" s="157" t="n">
        <v>3</v>
      </c>
      <c r="AC719" s="431" t="s">
        <v>586</v>
      </c>
      <c r="AD719" s="437" t="s">
        <v>8580</v>
      </c>
      <c r="AE719" s="167"/>
      <c r="AF719" s="167"/>
      <c r="AG719" s="167"/>
      <c r="AH719" s="167"/>
      <c r="AI719" s="167"/>
      <c r="AJ719" s="167"/>
      <c r="AK719" s="167" t="s">
        <v>8581</v>
      </c>
      <c r="AL719" s="157" t="n">
        <f aca="false">IF(AND(ISNUMBER($S719),$S719&gt;0,ISNUMBER($K719),ISNUMBER($J719)),($K719*$J719)/$S719,"")</f>
        <v>25858</v>
      </c>
    </row>
    <row r="720" customFormat="false" ht="12.75" hidden="false" customHeight="true" outlineLevel="0" collapsed="false">
      <c r="A720" s="441" t="n">
        <v>8</v>
      </c>
      <c r="B720" s="157" t="n">
        <v>712</v>
      </c>
      <c r="C720" s="437" t="s">
        <v>8246</v>
      </c>
      <c r="D720" s="157" t="s">
        <v>7795</v>
      </c>
      <c r="E720" s="461" t="s">
        <v>2461</v>
      </c>
      <c r="F720" s="157" t="s">
        <v>8582</v>
      </c>
      <c r="G720" s="445" t="n">
        <v>44.1</v>
      </c>
      <c r="H720" s="431" t="n">
        <v>9208</v>
      </c>
      <c r="I720" s="457" t="n">
        <v>0</v>
      </c>
      <c r="J720" s="458" t="n">
        <v>4130</v>
      </c>
      <c r="K720" s="462" t="n">
        <v>11.6222760290557</v>
      </c>
      <c r="L720" s="463" t="n">
        <v>0</v>
      </c>
      <c r="M720" s="463" t="n">
        <v>0</v>
      </c>
      <c r="N720" s="431" t="n">
        <v>1973</v>
      </c>
      <c r="O720" s="446" t="n">
        <f aca="false">590+885</f>
        <v>1475</v>
      </c>
      <c r="Q720" s="157" t="n">
        <v>14</v>
      </c>
      <c r="R720" s="157" t="n">
        <v>3</v>
      </c>
      <c r="S720" s="157" t="n">
        <v>1</v>
      </c>
      <c r="T720" s="457" t="s">
        <v>7526</v>
      </c>
      <c r="U720" s="457" t="n">
        <v>401</v>
      </c>
      <c r="V720" s="458" t="n">
        <v>6250</v>
      </c>
      <c r="W720" s="458" t="n">
        <v>6000</v>
      </c>
      <c r="X720" s="464" t="s">
        <v>6837</v>
      </c>
      <c r="Y720" s="458" t="n">
        <f aca="false">ROUND(J720,-3)</f>
        <v>4000</v>
      </c>
      <c r="Z720" s="457" t="s">
        <v>6638</v>
      </c>
      <c r="AA720" s="157" t="n">
        <v>3</v>
      </c>
      <c r="AB720" s="157" t="n">
        <v>3</v>
      </c>
      <c r="AC720" s="431" t="s">
        <v>586</v>
      </c>
      <c r="AD720" s="437" t="s">
        <v>6676</v>
      </c>
      <c r="AE720" s="167"/>
      <c r="AF720" s="167"/>
      <c r="AG720" s="167"/>
      <c r="AH720" s="167"/>
      <c r="AI720" s="167"/>
      <c r="AJ720" s="167"/>
      <c r="AK720" s="167" t="s">
        <v>8257</v>
      </c>
      <c r="AL720" s="157" t="n">
        <f aca="false">IF(AND(ISNUMBER($S720),$S720&gt;0,ISNUMBER($K720),ISNUMBER($J720)),($K720*$J720)/$S720,"")</f>
        <v>48000</v>
      </c>
    </row>
    <row r="721" customFormat="false" ht="12.75" hidden="false" customHeight="true" outlineLevel="0" collapsed="false">
      <c r="A721" s="441" t="n">
        <v>8</v>
      </c>
      <c r="B721" s="157" t="n">
        <v>713</v>
      </c>
      <c r="C721" s="437" t="s">
        <v>8246</v>
      </c>
      <c r="D721" s="157" t="s">
        <v>7800</v>
      </c>
      <c r="E721" s="461" t="s">
        <v>2461</v>
      </c>
      <c r="F721" s="157" t="s">
        <v>8583</v>
      </c>
      <c r="G721" s="445" t="n">
        <v>44.1</v>
      </c>
      <c r="H721" s="431" t="n">
        <v>9208</v>
      </c>
      <c r="I721" s="457" t="n">
        <v>0</v>
      </c>
      <c r="J721" s="458" t="n">
        <v>2320</v>
      </c>
      <c r="K721" s="462" t="n">
        <v>7.75862068965517</v>
      </c>
      <c r="L721" s="463" t="n">
        <v>0</v>
      </c>
      <c r="M721" s="463" t="n">
        <v>0</v>
      </c>
      <c r="N721" s="431" t="n">
        <v>1935</v>
      </c>
      <c r="O721" s="446" t="n">
        <v>1021</v>
      </c>
      <c r="Q721" s="157" t="n">
        <v>17</v>
      </c>
      <c r="R721" s="157" t="n">
        <v>1</v>
      </c>
      <c r="S721" s="157" t="n">
        <v>1</v>
      </c>
      <c r="T721" s="457" t="s">
        <v>7526</v>
      </c>
      <c r="U721" s="457" t="n">
        <v>398</v>
      </c>
      <c r="V721" s="458" t="n">
        <v>12500</v>
      </c>
      <c r="W721" s="458" t="n">
        <v>13000</v>
      </c>
      <c r="X721" s="464" t="s">
        <v>6671</v>
      </c>
      <c r="Y721" s="458" t="n">
        <f aca="false">ROUND(J721,-3)</f>
        <v>2000</v>
      </c>
      <c r="Z721" s="457" t="s">
        <v>6638</v>
      </c>
      <c r="AA721" s="157" t="n">
        <v>3</v>
      </c>
      <c r="AB721" s="157" t="n">
        <v>3</v>
      </c>
      <c r="AC721" s="431" t="s">
        <v>586</v>
      </c>
      <c r="AD721" s="437" t="s">
        <v>7802</v>
      </c>
      <c r="AE721" s="167"/>
      <c r="AF721" s="167"/>
      <c r="AG721" s="167"/>
      <c r="AH721" s="167"/>
      <c r="AI721" s="167"/>
      <c r="AJ721" s="167"/>
      <c r="AK721" s="167" t="s">
        <v>8419</v>
      </c>
      <c r="AL721" s="157" t="n">
        <f aca="false">IF(AND(ISNUMBER($S721),$S721&gt;0,ISNUMBER($K721),ISNUMBER($J721)),($K721*$J721)/$S721,"")</f>
        <v>18000</v>
      </c>
    </row>
    <row r="722" customFormat="false" ht="12.75" hidden="false" customHeight="true" outlineLevel="0" collapsed="false">
      <c r="A722" s="441" t="n">
        <v>8</v>
      </c>
      <c r="B722" s="157" t="n">
        <v>714</v>
      </c>
      <c r="C722" s="437" t="s">
        <v>8246</v>
      </c>
      <c r="D722" s="157" t="s">
        <v>6991</v>
      </c>
      <c r="E722" s="461" t="s">
        <v>2461</v>
      </c>
      <c r="F722" s="157" t="s">
        <v>6992</v>
      </c>
      <c r="G722" s="445" t="n">
        <v>44.1</v>
      </c>
      <c r="H722" s="431" t="n">
        <v>9208</v>
      </c>
      <c r="I722" s="457" t="n">
        <v>9</v>
      </c>
      <c r="J722" s="458" t="n">
        <v>6599</v>
      </c>
      <c r="K722" s="462" t="n">
        <v>7.31171389604486</v>
      </c>
      <c r="L722" s="463" t="n">
        <v>0</v>
      </c>
      <c r="M722" s="463" t="n">
        <v>0.0705077720207254</v>
      </c>
      <c r="N722" s="431" t="n">
        <v>1952</v>
      </c>
      <c r="Q722" s="157" t="n">
        <v>12</v>
      </c>
      <c r="R722" s="157" t="n">
        <v>3</v>
      </c>
      <c r="S722" s="157" t="n">
        <v>1</v>
      </c>
      <c r="T722" s="457" t="s">
        <v>7799</v>
      </c>
      <c r="U722" s="457" t="n">
        <v>401</v>
      </c>
      <c r="V722" s="458" t="n">
        <v>9440</v>
      </c>
      <c r="W722" s="458" t="n">
        <v>9000</v>
      </c>
      <c r="X722" s="464" t="s">
        <v>6710</v>
      </c>
      <c r="Y722" s="458" t="n">
        <f aca="false">ROUND(J722,-3)</f>
        <v>7000</v>
      </c>
      <c r="Z722" s="457" t="s">
        <v>6638</v>
      </c>
      <c r="AA722" s="157" t="n">
        <v>3</v>
      </c>
      <c r="AB722" s="157" t="n">
        <v>3</v>
      </c>
      <c r="AC722" s="431" t="s">
        <v>586</v>
      </c>
      <c r="AD722" s="437"/>
      <c r="AE722" s="167"/>
      <c r="AF722" s="167"/>
      <c r="AG722" s="167"/>
      <c r="AH722" s="167"/>
      <c r="AI722" s="167"/>
      <c r="AJ722" s="167"/>
      <c r="AK722" s="167" t="s">
        <v>8584</v>
      </c>
      <c r="AL722" s="157" t="n">
        <f aca="false">IF(AND(ISNUMBER($S722),$S722&gt;0,ISNUMBER($K722),ISNUMBER($J722)),($K722*$J722)/$S722,"")</f>
        <v>48250</v>
      </c>
    </row>
    <row r="723" customFormat="false" ht="12.75" hidden="false" customHeight="true" outlineLevel="0" collapsed="false">
      <c r="A723" s="441" t="n">
        <v>8</v>
      </c>
      <c r="B723" s="157" t="n">
        <v>715</v>
      </c>
      <c r="C723" s="437" t="s">
        <v>8246</v>
      </c>
      <c r="D723" s="157" t="s">
        <v>7803</v>
      </c>
      <c r="E723" s="461" t="s">
        <v>2461</v>
      </c>
      <c r="F723" s="157" t="s">
        <v>8585</v>
      </c>
      <c r="G723" s="445" t="n">
        <v>44.1</v>
      </c>
      <c r="H723" s="431" t="n">
        <v>9208</v>
      </c>
      <c r="I723" s="457" t="n">
        <v>0</v>
      </c>
      <c r="J723" s="458" t="n">
        <v>5980</v>
      </c>
      <c r="K723" s="462" t="n">
        <v>8.69565217391304</v>
      </c>
      <c r="L723" s="463" t="n">
        <v>0</v>
      </c>
      <c r="M723" s="463" t="n">
        <v>0.0316538461538462</v>
      </c>
      <c r="N723" s="431" t="n">
        <v>1955</v>
      </c>
      <c r="O723" s="446" t="n">
        <v>1552</v>
      </c>
      <c r="Q723" s="157" t="n">
        <v>13</v>
      </c>
      <c r="R723" s="157" t="n">
        <v>1</v>
      </c>
      <c r="S723" s="157" t="n">
        <v>1</v>
      </c>
      <c r="T723" s="457" t="s">
        <v>7789</v>
      </c>
      <c r="U723" s="457" t="n">
        <v>398</v>
      </c>
      <c r="V723" s="458" t="n">
        <v>12535</v>
      </c>
      <c r="W723" s="458" t="n">
        <v>13000</v>
      </c>
      <c r="X723" s="464" t="s">
        <v>6754</v>
      </c>
      <c r="Y723" s="458" t="n">
        <f aca="false">ROUND(J723,-3)</f>
        <v>6000</v>
      </c>
      <c r="Z723" s="457" t="s">
        <v>6638</v>
      </c>
      <c r="AA723" s="157" t="n">
        <v>3</v>
      </c>
      <c r="AB723" s="157" t="n">
        <v>3</v>
      </c>
      <c r="AC723" s="431" t="s">
        <v>586</v>
      </c>
      <c r="AD723" s="437"/>
      <c r="AE723" s="167"/>
      <c r="AF723" s="167"/>
      <c r="AG723" s="167"/>
      <c r="AH723" s="167"/>
      <c r="AI723" s="167"/>
      <c r="AJ723" s="167"/>
      <c r="AK723" s="167" t="s">
        <v>8586</v>
      </c>
      <c r="AL723" s="157" t="n">
        <f aca="false">IF(AND(ISNUMBER($S723),$S723&gt;0,ISNUMBER($K723),ISNUMBER($J723)),($K723*$J723)/$S723,"")</f>
        <v>52000</v>
      </c>
    </row>
    <row r="724" customFormat="false" ht="12.75" hidden="false" customHeight="true" outlineLevel="0" collapsed="false">
      <c r="A724" s="441" t="n">
        <v>8</v>
      </c>
      <c r="B724" s="157" t="n">
        <v>716</v>
      </c>
      <c r="C724" s="437" t="s">
        <v>8246</v>
      </c>
      <c r="D724" s="157" t="s">
        <v>8587</v>
      </c>
      <c r="E724" s="461" t="s">
        <v>2461</v>
      </c>
      <c r="F724" s="157" t="s">
        <v>8588</v>
      </c>
      <c r="G724" s="445" t="n">
        <v>44.1</v>
      </c>
      <c r="H724" s="431" t="n">
        <v>9208</v>
      </c>
      <c r="I724" s="457" t="n">
        <v>0</v>
      </c>
      <c r="J724" s="458" t="n">
        <v>7360</v>
      </c>
      <c r="K724" s="462" t="n">
        <v>5.29891304347826</v>
      </c>
      <c r="L724" s="463" t="n">
        <v>0</v>
      </c>
      <c r="M724" s="463" t="n">
        <v>0.0543589743589744</v>
      </c>
      <c r="N724" s="431" t="n">
        <v>1972</v>
      </c>
      <c r="O724" s="446" t="n">
        <v>430</v>
      </c>
      <c r="Q724" s="157" t="n">
        <v>23</v>
      </c>
      <c r="R724" s="157" t="n">
        <v>3</v>
      </c>
      <c r="S724" s="157" t="n">
        <v>1</v>
      </c>
      <c r="T724" s="457" t="s">
        <v>7529</v>
      </c>
      <c r="U724" s="457" t="n">
        <v>398</v>
      </c>
      <c r="V724" s="458" t="n">
        <v>18750</v>
      </c>
      <c r="W724" s="458" t="n">
        <v>19000</v>
      </c>
      <c r="X724" s="464" t="s">
        <v>6692</v>
      </c>
      <c r="Y724" s="458" t="n">
        <f aca="false">ROUND(J724,-3)</f>
        <v>7000</v>
      </c>
      <c r="Z724" s="457" t="s">
        <v>6638</v>
      </c>
      <c r="AA724" s="157" t="n">
        <v>3</v>
      </c>
      <c r="AB724" s="157" t="n">
        <v>3</v>
      </c>
      <c r="AC724" s="431" t="s">
        <v>586</v>
      </c>
      <c r="AD724" s="437"/>
      <c r="AE724" s="167"/>
      <c r="AF724" s="167"/>
      <c r="AG724" s="167"/>
      <c r="AH724" s="167"/>
      <c r="AI724" s="167"/>
      <c r="AJ724" s="167"/>
      <c r="AK724" s="167" t="s">
        <v>8589</v>
      </c>
      <c r="AL724" s="157" t="n">
        <f aca="false">IF(AND(ISNUMBER($S724),$S724&gt;0,ISNUMBER($K724),ISNUMBER($J724)),($K724*$J724)/$S724,"")</f>
        <v>39000</v>
      </c>
    </row>
    <row r="725" customFormat="false" ht="12.75" hidden="false" customHeight="true" outlineLevel="0" collapsed="false">
      <c r="A725" s="441" t="n">
        <v>8</v>
      </c>
      <c r="B725" s="157" t="n">
        <v>717</v>
      </c>
      <c r="C725" s="437" t="s">
        <v>8246</v>
      </c>
      <c r="D725" s="157" t="s">
        <v>8590</v>
      </c>
      <c r="E725" s="461" t="s">
        <v>2461</v>
      </c>
      <c r="F725" s="157" t="s">
        <v>8591</v>
      </c>
      <c r="G725" s="445" t="n">
        <v>44.1</v>
      </c>
      <c r="H725" s="431" t="n">
        <v>9201</v>
      </c>
      <c r="I725" s="457" t="n">
        <v>0</v>
      </c>
      <c r="J725" s="458" t="n">
        <v>1497</v>
      </c>
      <c r="K725" s="462" t="n">
        <v>24.0480961923848</v>
      </c>
      <c r="L725" s="463" t="n">
        <v>0</v>
      </c>
      <c r="M725" s="463" t="n">
        <v>0</v>
      </c>
      <c r="N725" s="431" t="n">
        <v>1886</v>
      </c>
      <c r="O725" s="446" t="n">
        <v>600</v>
      </c>
      <c r="Q725" s="157" t="n">
        <v>12</v>
      </c>
      <c r="R725" s="157" t="n">
        <v>7</v>
      </c>
      <c r="S725" s="157" t="n">
        <v>1</v>
      </c>
      <c r="T725" s="457" t="s">
        <v>7526</v>
      </c>
      <c r="U725" s="457" t="n">
        <v>398</v>
      </c>
      <c r="V725" s="458" t="n">
        <v>6834</v>
      </c>
      <c r="W725" s="458" t="n">
        <v>7000</v>
      </c>
      <c r="X725" s="464" t="s">
        <v>7807</v>
      </c>
      <c r="Y725" s="458" t="n">
        <f aca="false">ROUND(J725,-2)</f>
        <v>1500</v>
      </c>
      <c r="Z725" s="457" t="s">
        <v>6638</v>
      </c>
      <c r="AA725" s="157" t="n">
        <v>3</v>
      </c>
      <c r="AB725" s="157" t="n">
        <v>3</v>
      </c>
      <c r="AC725" s="431" t="s">
        <v>586</v>
      </c>
      <c r="AD725" s="437" t="s">
        <v>8592</v>
      </c>
      <c r="AE725" s="167"/>
      <c r="AF725" s="167"/>
      <c r="AG725" s="167"/>
      <c r="AH725" s="167"/>
      <c r="AI725" s="167"/>
      <c r="AJ725" s="167"/>
      <c r="AK725" s="167" t="s">
        <v>8257</v>
      </c>
      <c r="AL725" s="157" t="n">
        <f aca="false">IF(AND(ISNUMBER($S725),$S725&gt;0,ISNUMBER($K725),ISNUMBER($J725)),($K725*$J725)/$S725,"")</f>
        <v>36000</v>
      </c>
    </row>
    <row r="726" customFormat="false" ht="12.75" hidden="false" customHeight="true" outlineLevel="0" collapsed="false">
      <c r="A726" s="441" t="n">
        <v>8</v>
      </c>
      <c r="B726" s="157" t="n">
        <v>718</v>
      </c>
      <c r="C726" s="437" t="s">
        <v>8246</v>
      </c>
      <c r="D726" s="157" t="s">
        <v>8593</v>
      </c>
      <c r="E726" s="461" t="s">
        <v>2461</v>
      </c>
      <c r="F726" s="157" t="s">
        <v>8594</v>
      </c>
      <c r="G726" s="445" t="n">
        <v>44.1</v>
      </c>
      <c r="H726" s="431" t="n">
        <v>9208</v>
      </c>
      <c r="I726" s="457" t="n">
        <v>0</v>
      </c>
      <c r="J726" s="458" t="n">
        <v>13678</v>
      </c>
      <c r="K726" s="462" t="n">
        <v>15.353121801433</v>
      </c>
      <c r="L726" s="463" t="n">
        <v>0</v>
      </c>
      <c r="M726" s="463" t="n">
        <v>0.0193571428571429</v>
      </c>
      <c r="N726" s="431" t="n">
        <v>1963</v>
      </c>
      <c r="O726" s="446" t="n">
        <v>3272</v>
      </c>
      <c r="Q726" s="157" t="n">
        <v>13</v>
      </c>
      <c r="R726" s="157" t="n">
        <v>1</v>
      </c>
      <c r="S726" s="157" t="n">
        <v>1</v>
      </c>
      <c r="T726" s="457" t="s">
        <v>7531</v>
      </c>
      <c r="U726" s="457" t="n">
        <v>398</v>
      </c>
      <c r="V726" s="458" t="n">
        <v>29006</v>
      </c>
      <c r="W726" s="458" t="n">
        <v>29000</v>
      </c>
      <c r="X726" s="464" t="s">
        <v>6754</v>
      </c>
      <c r="Y726" s="458" t="n">
        <f aca="false">ROUND(J726,-3)</f>
        <v>14000</v>
      </c>
      <c r="Z726" s="457" t="s">
        <v>6638</v>
      </c>
      <c r="AA726" s="157" t="n">
        <v>3</v>
      </c>
      <c r="AB726" s="157" t="n">
        <v>3</v>
      </c>
      <c r="AC726" s="431" t="s">
        <v>586</v>
      </c>
      <c r="AD726" s="437" t="s">
        <v>8595</v>
      </c>
      <c r="AE726" s="167"/>
      <c r="AF726" s="167"/>
      <c r="AG726" s="167"/>
      <c r="AH726" s="167"/>
      <c r="AI726" s="167"/>
      <c r="AJ726" s="167"/>
      <c r="AK726" s="167" t="s">
        <v>8308</v>
      </c>
      <c r="AL726" s="157" t="n">
        <f aca="false">IF(AND(ISNUMBER($S726),$S726&gt;0,ISNUMBER($K726),ISNUMBER($J726)),($K726*$J726)/$S726,"")</f>
        <v>210000.000000001</v>
      </c>
    </row>
    <row r="727" customFormat="false" ht="12.75" hidden="false" customHeight="true" outlineLevel="0" collapsed="false">
      <c r="A727" s="441" t="n">
        <v>8</v>
      </c>
      <c r="B727" s="157" t="n">
        <v>719</v>
      </c>
      <c r="C727" s="437" t="s">
        <v>8246</v>
      </c>
      <c r="D727" s="157" t="s">
        <v>8596</v>
      </c>
      <c r="E727" s="461" t="s">
        <v>2461</v>
      </c>
      <c r="F727" s="157" t="s">
        <v>8597</v>
      </c>
      <c r="G727" s="445" t="n">
        <v>44.2</v>
      </c>
      <c r="H727" s="431" t="n">
        <v>9208</v>
      </c>
      <c r="I727" s="457" t="n">
        <v>0</v>
      </c>
      <c r="J727" s="458" t="n">
        <v>11507</v>
      </c>
      <c r="K727" s="462" t="n">
        <v>9.40123403145911</v>
      </c>
      <c r="L727" s="463" t="n">
        <v>0</v>
      </c>
      <c r="M727" s="463" t="n">
        <v>0</v>
      </c>
      <c r="N727" s="431" t="n">
        <v>1967</v>
      </c>
      <c r="O727" s="446" t="n">
        <v>4376</v>
      </c>
      <c r="Q727" s="157" t="n">
        <v>13</v>
      </c>
      <c r="R727" s="157" t="n">
        <v>3</v>
      </c>
      <c r="S727" s="157" t="n">
        <v>1</v>
      </c>
      <c r="T727" s="457" t="s">
        <v>7531</v>
      </c>
      <c r="U727" s="457" t="n">
        <v>398</v>
      </c>
      <c r="V727" s="458" t="n">
        <v>72660</v>
      </c>
      <c r="W727" s="458" t="n">
        <v>70000</v>
      </c>
      <c r="X727" s="464" t="s">
        <v>7488</v>
      </c>
      <c r="Y727" s="458" t="n">
        <f aca="false">ROUND(J727,-3)</f>
        <v>12000</v>
      </c>
      <c r="Z727" s="457" t="s">
        <v>6638</v>
      </c>
      <c r="AA727" s="157" t="n">
        <v>3</v>
      </c>
      <c r="AB727" s="157" t="n">
        <v>3</v>
      </c>
      <c r="AC727" s="431" t="s">
        <v>586</v>
      </c>
      <c r="AD727" s="437" t="s">
        <v>8598</v>
      </c>
      <c r="AE727" s="167"/>
      <c r="AF727" s="167"/>
      <c r="AG727" s="167"/>
      <c r="AH727" s="167"/>
      <c r="AI727" s="167"/>
      <c r="AJ727" s="167"/>
      <c r="AK727" s="167" t="s">
        <v>8257</v>
      </c>
      <c r="AL727" s="157" t="n">
        <f aca="false">IF(AND(ISNUMBER($S727),$S727&gt;0,ISNUMBER($K727),ISNUMBER($J727)),($K727*$J727)/$S727,"")</f>
        <v>108180</v>
      </c>
    </row>
    <row r="728" customFormat="false" ht="12.75" hidden="false" customHeight="true" outlineLevel="0" collapsed="false">
      <c r="A728" s="441" t="n">
        <v>8</v>
      </c>
      <c r="B728" s="157" t="n">
        <v>720</v>
      </c>
      <c r="C728" s="437" t="s">
        <v>8246</v>
      </c>
      <c r="D728" s="157" t="s">
        <v>8599</v>
      </c>
      <c r="E728" s="461" t="s">
        <v>2461</v>
      </c>
      <c r="F728" s="157" t="s">
        <v>8600</v>
      </c>
      <c r="G728" s="445" t="n">
        <v>44.1</v>
      </c>
      <c r="H728" s="431" t="n">
        <v>9208</v>
      </c>
      <c r="I728" s="457" t="n">
        <v>0</v>
      </c>
      <c r="J728" s="458" t="n">
        <v>1305</v>
      </c>
      <c r="K728" s="462" t="n">
        <v>5.51724137931035</v>
      </c>
      <c r="L728" s="463" t="n">
        <v>0</v>
      </c>
      <c r="M728" s="463" t="n">
        <v>0.169305555555556</v>
      </c>
      <c r="N728" s="431" t="n">
        <v>1953</v>
      </c>
      <c r="O728" s="446" t="n">
        <v>392</v>
      </c>
      <c r="Q728" s="157" t="n">
        <v>11</v>
      </c>
      <c r="R728" s="157" t="n">
        <v>3</v>
      </c>
      <c r="S728" s="157" t="n">
        <v>1</v>
      </c>
      <c r="T728" s="457" t="s">
        <v>7526</v>
      </c>
      <c r="U728" s="457" t="n">
        <v>398</v>
      </c>
      <c r="V728" s="458" t="n">
        <v>7519</v>
      </c>
      <c r="W728" s="458" t="n">
        <v>8000</v>
      </c>
      <c r="X728" s="464" t="s">
        <v>6650</v>
      </c>
      <c r="Y728" s="458" t="n">
        <f aca="false">ROUND(J728,-2)</f>
        <v>1300</v>
      </c>
      <c r="Z728" s="457" t="s">
        <v>6638</v>
      </c>
      <c r="AA728" s="157" t="n">
        <v>3</v>
      </c>
      <c r="AB728" s="157" t="n">
        <v>3</v>
      </c>
      <c r="AC728" s="431" t="s">
        <v>586</v>
      </c>
      <c r="AD728" s="437" t="s">
        <v>6676</v>
      </c>
      <c r="AE728" s="167"/>
      <c r="AF728" s="167"/>
      <c r="AG728" s="167"/>
      <c r="AH728" s="167"/>
      <c r="AI728" s="167"/>
      <c r="AJ728" s="167"/>
      <c r="AK728" s="167" t="s">
        <v>8601</v>
      </c>
      <c r="AL728" s="157" t="n">
        <f aca="false">IF(AND(ISNUMBER($S728),$S728&gt;0,ISNUMBER($K728),ISNUMBER($J728)),($K728*$J728)/$S728,"")</f>
        <v>7200.00000000001</v>
      </c>
    </row>
    <row r="729" customFormat="false" ht="12.75" hidden="false" customHeight="true" outlineLevel="0" collapsed="false">
      <c r="A729" s="441" t="n">
        <v>8</v>
      </c>
      <c r="B729" s="157" t="n">
        <v>721</v>
      </c>
      <c r="C729" s="437" t="s">
        <v>8246</v>
      </c>
      <c r="D729" s="157" t="s">
        <v>7009</v>
      </c>
      <c r="E729" s="461" t="s">
        <v>2461</v>
      </c>
      <c r="F729" s="157" t="s">
        <v>7010</v>
      </c>
      <c r="G729" s="445" t="s">
        <v>7011</v>
      </c>
      <c r="H729" s="431" t="n">
        <v>9208</v>
      </c>
      <c r="I729" s="457" t="n">
        <v>0</v>
      </c>
      <c r="J729" s="458" t="n">
        <v>2000</v>
      </c>
      <c r="K729" s="462" t="n">
        <v>4.2</v>
      </c>
      <c r="L729" s="463" t="n">
        <v>1</v>
      </c>
      <c r="M729" s="463" t="n">
        <v>0.10452380952381</v>
      </c>
      <c r="N729" s="431" t="n">
        <v>1978</v>
      </c>
      <c r="O729" s="446" t="n">
        <v>150</v>
      </c>
      <c r="Q729" s="157" t="n">
        <v>10</v>
      </c>
      <c r="R729" s="157" t="n">
        <v>7</v>
      </c>
      <c r="S729" s="157" t="n">
        <v>1</v>
      </c>
      <c r="T729" s="457" t="s">
        <v>7526</v>
      </c>
      <c r="U729" s="457" t="n">
        <v>398</v>
      </c>
      <c r="V729" s="458" t="n">
        <v>7175</v>
      </c>
      <c r="W729" s="458" t="n">
        <v>7000</v>
      </c>
      <c r="X729" s="464" t="s">
        <v>7012</v>
      </c>
      <c r="Y729" s="458" t="n">
        <f aca="false">ROUND(J729,-3)</f>
        <v>2000</v>
      </c>
      <c r="Z729" s="457" t="s">
        <v>6638</v>
      </c>
      <c r="AA729" s="157" t="n">
        <v>3</v>
      </c>
      <c r="AB729" s="157" t="n">
        <v>3</v>
      </c>
      <c r="AC729" s="431" t="s">
        <v>586</v>
      </c>
      <c r="AD729" s="437" t="s">
        <v>7013</v>
      </c>
      <c r="AE729" s="167"/>
      <c r="AF729" s="167"/>
      <c r="AG729" s="167"/>
      <c r="AH729" s="167"/>
      <c r="AI729" s="167"/>
      <c r="AJ729" s="167"/>
      <c r="AK729" s="167" t="s">
        <v>8419</v>
      </c>
      <c r="AL729" s="157" t="n">
        <f aca="false">IF(AND(ISNUMBER($S729),$S729&gt;0,ISNUMBER($K729),ISNUMBER($J729)),($K729*$J729)/$S729,"")</f>
        <v>8400</v>
      </c>
    </row>
    <row r="730" customFormat="false" ht="12.75" hidden="false" customHeight="true" outlineLevel="0" collapsed="false">
      <c r="A730" s="441" t="n">
        <v>8</v>
      </c>
      <c r="B730" s="157" t="n">
        <v>722</v>
      </c>
      <c r="C730" s="437" t="s">
        <v>8246</v>
      </c>
      <c r="D730" s="157" t="s">
        <v>7015</v>
      </c>
      <c r="E730" s="461" t="s">
        <v>2461</v>
      </c>
      <c r="F730" s="157" t="s">
        <v>7016</v>
      </c>
      <c r="G730" s="445" t="n">
        <v>44.1</v>
      </c>
      <c r="H730" s="431" t="n">
        <v>9208</v>
      </c>
      <c r="I730" s="457" t="n">
        <v>0</v>
      </c>
      <c r="J730" s="458" t="n">
        <v>6144</v>
      </c>
      <c r="K730" s="462" t="n">
        <v>6.42903645833333</v>
      </c>
      <c r="L730" s="463" t="n">
        <v>0</v>
      </c>
      <c r="M730" s="463" t="n">
        <v>0.0481012658227848</v>
      </c>
      <c r="N730" s="431" t="n">
        <v>1973</v>
      </c>
      <c r="O730" s="446" t="n">
        <v>1593</v>
      </c>
      <c r="Q730" s="157" t="n">
        <v>14</v>
      </c>
      <c r="R730" s="157" t="n">
        <v>14</v>
      </c>
      <c r="S730" s="157" t="n">
        <v>1</v>
      </c>
      <c r="T730" s="457" t="s">
        <v>7526</v>
      </c>
      <c r="U730" s="457" t="n">
        <v>398</v>
      </c>
      <c r="V730" s="458" t="n">
        <v>30805</v>
      </c>
      <c r="W730" s="458" t="n">
        <v>31000</v>
      </c>
      <c r="X730" s="464" t="s">
        <v>7813</v>
      </c>
      <c r="Y730" s="458" t="n">
        <f aca="false">ROUND(J730,-3)</f>
        <v>6000</v>
      </c>
      <c r="Z730" s="457" t="s">
        <v>6638</v>
      </c>
      <c r="AA730" s="157" t="n">
        <v>3</v>
      </c>
      <c r="AB730" s="157" t="n">
        <v>3</v>
      </c>
      <c r="AC730" s="431" t="s">
        <v>586</v>
      </c>
      <c r="AD730" s="437" t="s">
        <v>7018</v>
      </c>
      <c r="AE730" s="167"/>
      <c r="AF730" s="167"/>
      <c r="AG730" s="167"/>
      <c r="AH730" s="167"/>
      <c r="AI730" s="167"/>
      <c r="AJ730" s="167"/>
      <c r="AK730" s="167" t="s">
        <v>8324</v>
      </c>
      <c r="AL730" s="157" t="n">
        <f aca="false">IF(AND(ISNUMBER($S730),$S730&gt;0,ISNUMBER($K730),ISNUMBER($J730)),($K730*$J730)/$S730,"")</f>
        <v>39500</v>
      </c>
    </row>
    <row r="731" customFormat="false" ht="12.75" hidden="false" customHeight="true" outlineLevel="0" collapsed="false">
      <c r="A731" s="441" t="n">
        <v>8</v>
      </c>
      <c r="B731" s="157" t="n">
        <v>723</v>
      </c>
      <c r="C731" s="437" t="s">
        <v>8246</v>
      </c>
      <c r="D731" s="157" t="s">
        <v>8602</v>
      </c>
      <c r="E731" s="461" t="s">
        <v>2461</v>
      </c>
      <c r="F731" s="157" t="s">
        <v>8603</v>
      </c>
      <c r="G731" s="445" t="n">
        <v>44.8</v>
      </c>
      <c r="H731" s="431" t="n">
        <v>9208</v>
      </c>
      <c r="I731" s="457" t="n">
        <v>0</v>
      </c>
      <c r="J731" s="458" t="n">
        <v>2406</v>
      </c>
      <c r="K731" s="462" t="n">
        <v>12.4239401496259</v>
      </c>
      <c r="L731" s="463" t="n">
        <v>0</v>
      </c>
      <c r="M731" s="463" t="n">
        <v>0</v>
      </c>
      <c r="N731" s="431" t="n">
        <v>1962</v>
      </c>
      <c r="O731" s="446" t="n">
        <v>2149</v>
      </c>
      <c r="Q731" s="157" t="n">
        <v>13</v>
      </c>
      <c r="R731" s="157" t="n">
        <v>1</v>
      </c>
      <c r="S731" s="157" t="n">
        <v>1</v>
      </c>
      <c r="T731" s="457" t="s">
        <v>7526</v>
      </c>
      <c r="U731" s="457" t="n">
        <v>398</v>
      </c>
      <c r="V731" s="458" t="n">
        <v>4537</v>
      </c>
      <c r="W731" s="458" t="n">
        <v>5000</v>
      </c>
      <c r="X731" s="464" t="s">
        <v>6675</v>
      </c>
      <c r="Y731" s="458" t="n">
        <f aca="false">ROUND(J731,-3)</f>
        <v>2000</v>
      </c>
      <c r="Z731" s="457" t="s">
        <v>6638</v>
      </c>
      <c r="AA731" s="157" t="n">
        <v>3</v>
      </c>
      <c r="AB731" s="157" t="n">
        <v>3</v>
      </c>
      <c r="AC731" s="431" t="s">
        <v>586</v>
      </c>
      <c r="AD731" s="437" t="s">
        <v>8604</v>
      </c>
      <c r="AE731" s="167"/>
      <c r="AF731" s="167"/>
      <c r="AG731" s="167"/>
      <c r="AH731" s="167"/>
      <c r="AI731" s="167"/>
      <c r="AJ731" s="167"/>
      <c r="AK731" s="167" t="s">
        <v>8605</v>
      </c>
      <c r="AL731" s="157" t="n">
        <f aca="false">IF(AND(ISNUMBER($S731),$S731&gt;0,ISNUMBER($K731),ISNUMBER($J731)),($K731*$J731)/$S731,"")</f>
        <v>29891.9999999999</v>
      </c>
    </row>
    <row r="732" customFormat="false" ht="12.75" hidden="false" customHeight="true" outlineLevel="0" collapsed="false">
      <c r="A732" s="441" t="n">
        <v>8</v>
      </c>
      <c r="B732" s="157" t="n">
        <v>724</v>
      </c>
      <c r="C732" s="437" t="s">
        <v>8246</v>
      </c>
      <c r="D732" s="157" t="s">
        <v>8606</v>
      </c>
      <c r="E732" s="461" t="s">
        <v>2461</v>
      </c>
      <c r="F732" s="157" t="s">
        <v>8607</v>
      </c>
      <c r="G732" s="445" t="n">
        <v>44.1</v>
      </c>
      <c r="H732" s="431" t="n">
        <v>9208</v>
      </c>
      <c r="I732" s="457" t="n">
        <v>0</v>
      </c>
      <c r="J732" s="458" t="n">
        <v>4608</v>
      </c>
      <c r="K732" s="462" t="n">
        <v>9.11458333333333</v>
      </c>
      <c r="L732" s="463" t="n">
        <v>0</v>
      </c>
      <c r="M732" s="463" t="n">
        <v>0</v>
      </c>
      <c r="N732" s="431" t="n">
        <v>1973</v>
      </c>
      <c r="O732" s="446" t="n">
        <v>960</v>
      </c>
      <c r="Q732" s="157" t="n">
        <v>14</v>
      </c>
      <c r="R732" s="157" t="n">
        <v>14</v>
      </c>
      <c r="S732" s="157" t="n">
        <v>1</v>
      </c>
      <c r="T732" s="457" t="s">
        <v>7526</v>
      </c>
      <c r="U732" s="457" t="n">
        <v>398</v>
      </c>
      <c r="V732" s="458" t="n">
        <v>6250</v>
      </c>
      <c r="W732" s="458" t="n">
        <v>6000</v>
      </c>
      <c r="X732" s="464" t="s">
        <v>6710</v>
      </c>
      <c r="Y732" s="458" t="n">
        <f aca="false">ROUND(J732,-3)</f>
        <v>5000</v>
      </c>
      <c r="Z732" s="457" t="s">
        <v>6638</v>
      </c>
      <c r="AA732" s="157" t="n">
        <v>3</v>
      </c>
      <c r="AB732" s="157" t="n">
        <v>3</v>
      </c>
      <c r="AC732" s="431" t="s">
        <v>586</v>
      </c>
      <c r="AD732" s="437" t="s">
        <v>8608</v>
      </c>
      <c r="AE732" s="167"/>
      <c r="AF732" s="167"/>
      <c r="AG732" s="167"/>
      <c r="AH732" s="167"/>
      <c r="AI732" s="167"/>
      <c r="AJ732" s="167"/>
      <c r="AK732" s="167" t="s">
        <v>8609</v>
      </c>
      <c r="AL732" s="157" t="n">
        <f aca="false">IF(AND(ISNUMBER($S732),$S732&gt;0,ISNUMBER($K732),ISNUMBER($J732)),($K732*$J732)/$S732,"")</f>
        <v>42000</v>
      </c>
    </row>
    <row r="733" customFormat="false" ht="12.75" hidden="false" customHeight="true" outlineLevel="0" collapsed="false">
      <c r="A733" s="441" t="n">
        <v>8</v>
      </c>
      <c r="B733" s="157" t="n">
        <v>725</v>
      </c>
      <c r="C733" s="437" t="s">
        <v>8246</v>
      </c>
      <c r="D733" s="157" t="s">
        <v>8610</v>
      </c>
      <c r="E733" s="461" t="s">
        <v>2461</v>
      </c>
      <c r="F733" s="157" t="s">
        <v>8611</v>
      </c>
      <c r="G733" s="445" t="n">
        <v>44.1</v>
      </c>
      <c r="H733" s="431" t="n">
        <v>9201</v>
      </c>
      <c r="I733" s="457" t="n">
        <v>0</v>
      </c>
      <c r="J733" s="458" t="n">
        <v>10464</v>
      </c>
      <c r="K733" s="462" t="n">
        <v>5.8970756880734</v>
      </c>
      <c r="L733" s="463" t="n">
        <v>0</v>
      </c>
      <c r="M733" s="463" t="n">
        <v>0</v>
      </c>
      <c r="N733" s="431" t="n">
        <v>1983</v>
      </c>
      <c r="Q733" s="157" t="n">
        <v>20</v>
      </c>
      <c r="R733" s="157" t="n">
        <v>3</v>
      </c>
      <c r="S733" s="157" t="n">
        <v>1</v>
      </c>
      <c r="T733" s="457" t="s">
        <v>7526</v>
      </c>
      <c r="U733" s="457" t="n">
        <v>398</v>
      </c>
      <c r="V733" s="458" t="n">
        <v>12750</v>
      </c>
      <c r="W733" s="458" t="n">
        <v>13000</v>
      </c>
      <c r="X733" s="464" t="s">
        <v>6900</v>
      </c>
      <c r="Y733" s="458" t="n">
        <f aca="false">ROUND(J733,-3)</f>
        <v>10000</v>
      </c>
      <c r="Z733" s="457" t="s">
        <v>6638</v>
      </c>
      <c r="AA733" s="157" t="n">
        <v>3</v>
      </c>
      <c r="AB733" s="157" t="n">
        <v>3</v>
      </c>
      <c r="AC733" s="431" t="s">
        <v>586</v>
      </c>
      <c r="AD733" s="437" t="s">
        <v>8612</v>
      </c>
      <c r="AE733" s="167"/>
      <c r="AF733" s="167"/>
      <c r="AG733" s="167"/>
      <c r="AH733" s="167"/>
      <c r="AI733" s="167"/>
      <c r="AJ733" s="167"/>
      <c r="AK733" s="167"/>
      <c r="AL733" s="157" t="n">
        <f aca="false">IF(AND(ISNUMBER($S733),$S733&gt;0,ISNUMBER($K733),ISNUMBER($J733)),($K733*$J733)/$S733,"")</f>
        <v>61707.0000000001</v>
      </c>
    </row>
    <row r="734" customFormat="false" ht="12.75" hidden="false" customHeight="true" outlineLevel="0" collapsed="false">
      <c r="A734" s="441" t="n">
        <v>8</v>
      </c>
      <c r="B734" s="157" t="n">
        <v>726</v>
      </c>
      <c r="C734" s="437" t="s">
        <v>8246</v>
      </c>
      <c r="D734" s="157" t="s">
        <v>8613</v>
      </c>
      <c r="E734" s="461" t="s">
        <v>2461</v>
      </c>
      <c r="F734" s="157" t="s">
        <v>8614</v>
      </c>
      <c r="G734" s="445" t="n">
        <v>44.1</v>
      </c>
      <c r="H734" s="431" t="n">
        <v>9201</v>
      </c>
      <c r="I734" s="457" t="n">
        <v>0</v>
      </c>
      <c r="J734" s="458" t="n">
        <v>10009</v>
      </c>
      <c r="K734" s="462" t="n">
        <v>7.62313917474273</v>
      </c>
      <c r="L734" s="463" t="n">
        <v>0</v>
      </c>
      <c r="M734" s="463" t="n">
        <v>0.0458715596330275</v>
      </c>
      <c r="N734" s="431" t="n">
        <v>1985</v>
      </c>
      <c r="O734" s="446" t="n">
        <v>976</v>
      </c>
      <c r="Q734" s="157" t="n">
        <v>19</v>
      </c>
      <c r="R734" s="157" t="n">
        <v>3</v>
      </c>
      <c r="S734" s="157" t="n">
        <v>1</v>
      </c>
      <c r="T734" s="457" t="s">
        <v>7526</v>
      </c>
      <c r="U734" s="457" t="n">
        <v>398</v>
      </c>
      <c r="V734" s="458" t="n">
        <v>25628</v>
      </c>
      <c r="W734" s="458" t="n">
        <v>26000</v>
      </c>
      <c r="X734" s="464" t="s">
        <v>6724</v>
      </c>
      <c r="Y734" s="458" t="n">
        <f aca="false">ROUND(J734,-3)</f>
        <v>10000</v>
      </c>
      <c r="Z734" s="457" t="s">
        <v>6638</v>
      </c>
      <c r="AA734" s="157" t="n">
        <v>3</v>
      </c>
      <c r="AB734" s="157" t="n">
        <v>3</v>
      </c>
      <c r="AC734" s="431" t="s">
        <v>586</v>
      </c>
      <c r="AD734" s="437" t="s">
        <v>8615</v>
      </c>
      <c r="AE734" s="167"/>
      <c r="AF734" s="167"/>
      <c r="AG734" s="167"/>
      <c r="AH734" s="167"/>
      <c r="AI734" s="167"/>
      <c r="AJ734" s="167"/>
      <c r="AK734" s="167" t="s">
        <v>8616</v>
      </c>
      <c r="AL734" s="157" t="n">
        <f aca="false">IF(AND(ISNUMBER($S734),$S734&gt;0,ISNUMBER($K734),ISNUMBER($J734)),($K734*$J734)/$S734,"")</f>
        <v>76300</v>
      </c>
    </row>
    <row r="735" customFormat="false" ht="12.75" hidden="false" customHeight="true" outlineLevel="0" collapsed="false">
      <c r="A735" s="441" t="n">
        <v>8</v>
      </c>
      <c r="B735" s="157" t="n">
        <v>727</v>
      </c>
      <c r="C735" s="437" t="s">
        <v>8246</v>
      </c>
      <c r="D735" s="157" t="s">
        <v>8617</v>
      </c>
      <c r="E735" s="461" t="s">
        <v>2461</v>
      </c>
      <c r="F735" s="157" t="s">
        <v>8618</v>
      </c>
      <c r="G735" s="445" t="n">
        <v>44.1</v>
      </c>
      <c r="H735" s="431" t="n">
        <v>9201</v>
      </c>
      <c r="I735" s="457" t="n">
        <v>0</v>
      </c>
      <c r="J735" s="458" t="n">
        <v>3500</v>
      </c>
      <c r="K735" s="462" t="n">
        <v>12</v>
      </c>
      <c r="L735" s="463" t="n">
        <v>0</v>
      </c>
      <c r="M735" s="463" t="n">
        <v>0.0378095238095238</v>
      </c>
      <c r="N735" s="431" t="n">
        <v>1953</v>
      </c>
      <c r="O735" s="446" t="n">
        <v>469</v>
      </c>
      <c r="Q735" s="157" t="n">
        <v>14</v>
      </c>
      <c r="R735" s="157" t="n">
        <v>1</v>
      </c>
      <c r="S735" s="157" t="n">
        <v>1</v>
      </c>
      <c r="T735" s="457" t="s">
        <v>7526</v>
      </c>
      <c r="U735" s="457" t="n">
        <v>398</v>
      </c>
      <c r="V735" s="458" t="n">
        <v>7192</v>
      </c>
      <c r="W735" s="458" t="n">
        <v>7000</v>
      </c>
      <c r="X735" s="464" t="s">
        <v>6754</v>
      </c>
      <c r="Y735" s="458" t="n">
        <f aca="false">ROUND(J735,-3)</f>
        <v>4000</v>
      </c>
      <c r="Z735" s="457" t="s">
        <v>6638</v>
      </c>
      <c r="AA735" s="157" t="n">
        <v>3</v>
      </c>
      <c r="AB735" s="157" t="n">
        <v>3</v>
      </c>
      <c r="AC735" s="431" t="s">
        <v>586</v>
      </c>
      <c r="AD735" s="437" t="s">
        <v>8619</v>
      </c>
      <c r="AE735" s="167"/>
      <c r="AF735" s="167"/>
      <c r="AG735" s="167"/>
      <c r="AH735" s="167"/>
      <c r="AI735" s="167"/>
      <c r="AJ735" s="167"/>
      <c r="AK735" s="167" t="s">
        <v>8620</v>
      </c>
      <c r="AL735" s="157" t="n">
        <f aca="false">IF(AND(ISNUMBER($S735),$S735&gt;0,ISNUMBER($K735),ISNUMBER($J735)),($K735*$J735)/$S735,"")</f>
        <v>42000</v>
      </c>
    </row>
    <row r="736" customFormat="false" ht="12.75" hidden="false" customHeight="true" outlineLevel="0" collapsed="false">
      <c r="A736" s="441" t="n">
        <v>8</v>
      </c>
      <c r="B736" s="157" t="n">
        <v>728</v>
      </c>
      <c r="C736" s="437" t="s">
        <v>8246</v>
      </c>
      <c r="D736" s="157" t="s">
        <v>8621</v>
      </c>
      <c r="E736" s="461" t="s">
        <v>2461</v>
      </c>
      <c r="F736" s="157" t="s">
        <v>8622</v>
      </c>
      <c r="G736" s="445" t="n">
        <v>44.4</v>
      </c>
      <c r="H736" s="431" t="n">
        <v>9201</v>
      </c>
      <c r="I736" s="457" t="n">
        <v>0</v>
      </c>
      <c r="J736" s="458" t="n">
        <v>5600</v>
      </c>
      <c r="K736" s="462" t="n">
        <v>6.98964285714286</v>
      </c>
      <c r="L736" s="463" t="n">
        <v>0</v>
      </c>
      <c r="M736" s="463" t="n">
        <v>0.0932246691533391</v>
      </c>
      <c r="N736" s="431" t="n">
        <v>1952</v>
      </c>
      <c r="O736" s="446" t="n">
        <v>8274</v>
      </c>
      <c r="Q736" s="157" t="n">
        <v>18</v>
      </c>
      <c r="R736" s="157" t="n">
        <v>10</v>
      </c>
      <c r="S736" s="157" t="n">
        <v>1</v>
      </c>
      <c r="T736" s="457" t="s">
        <v>7526</v>
      </c>
      <c r="U736" s="457" t="n">
        <v>398</v>
      </c>
      <c r="V736" s="458" t="n">
        <v>208740</v>
      </c>
      <c r="W736" s="458" t="n">
        <v>210000</v>
      </c>
      <c r="X736" s="464" t="s">
        <v>6710</v>
      </c>
      <c r="Y736" s="458" t="n">
        <f aca="false">ROUND(J736,-3)</f>
        <v>6000</v>
      </c>
      <c r="Z736" s="457" t="s">
        <v>6638</v>
      </c>
      <c r="AA736" s="157" t="n">
        <v>3</v>
      </c>
      <c r="AB736" s="157" t="n">
        <v>3</v>
      </c>
      <c r="AC736" s="431" t="s">
        <v>586</v>
      </c>
      <c r="AD736" s="437" t="s">
        <v>8623</v>
      </c>
      <c r="AE736" s="167"/>
      <c r="AF736" s="167"/>
      <c r="AG736" s="167"/>
      <c r="AH736" s="167"/>
      <c r="AI736" s="167"/>
      <c r="AJ736" s="167"/>
      <c r="AK736" s="167" t="s">
        <v>8624</v>
      </c>
      <c r="AL736" s="157" t="n">
        <f aca="false">IF(AND(ISNUMBER($S736),$S736&gt;0,ISNUMBER($K736),ISNUMBER($J736)),($K736*$J736)/$S736,"")</f>
        <v>39142</v>
      </c>
    </row>
    <row r="737" customFormat="false" ht="12.75" hidden="false" customHeight="true" outlineLevel="0" collapsed="false">
      <c r="A737" s="441" t="n">
        <v>8</v>
      </c>
      <c r="B737" s="157" t="n">
        <v>729</v>
      </c>
      <c r="C737" s="437" t="s">
        <v>8246</v>
      </c>
      <c r="D737" s="157" t="s">
        <v>8625</v>
      </c>
      <c r="E737" s="461" t="s">
        <v>2461</v>
      </c>
      <c r="F737" s="157" t="s">
        <v>8626</v>
      </c>
      <c r="G737" s="445" t="n">
        <v>44.1</v>
      </c>
      <c r="H737" s="431" t="n">
        <v>9201</v>
      </c>
      <c r="I737" s="457" t="n">
        <v>0</v>
      </c>
      <c r="J737" s="458" t="n">
        <v>34608</v>
      </c>
      <c r="K737" s="462" t="n">
        <v>4.30825242718447</v>
      </c>
      <c r="L737" s="463" t="n">
        <v>0</v>
      </c>
      <c r="M737" s="463" t="n">
        <v>0</v>
      </c>
      <c r="N737" s="431" t="n">
        <v>1955</v>
      </c>
      <c r="P737" s="446" t="n">
        <v>3270</v>
      </c>
      <c r="Q737" s="157" t="n">
        <v>16</v>
      </c>
      <c r="R737" s="157" t="n">
        <v>3</v>
      </c>
      <c r="S737" s="157" t="n">
        <v>1</v>
      </c>
      <c r="T737" s="457" t="s">
        <v>7526</v>
      </c>
      <c r="U737" s="457" t="n">
        <v>398</v>
      </c>
      <c r="V737" s="458" t="n">
        <v>44471</v>
      </c>
      <c r="W737" s="458" t="n">
        <v>44000</v>
      </c>
      <c r="X737" s="464" t="s">
        <v>7103</v>
      </c>
      <c r="Y737" s="458" t="n">
        <f aca="false">ROUND(J737,-3)</f>
        <v>35000</v>
      </c>
      <c r="Z737" s="457" t="s">
        <v>6638</v>
      </c>
      <c r="AA737" s="157" t="n">
        <v>3</v>
      </c>
      <c r="AB737" s="157" t="n">
        <v>3</v>
      </c>
      <c r="AC737" s="431" t="s">
        <v>586</v>
      </c>
      <c r="AD737" s="437" t="s">
        <v>6676</v>
      </c>
      <c r="AE737" s="167"/>
      <c r="AF737" s="167"/>
      <c r="AG737" s="167"/>
      <c r="AH737" s="167"/>
      <c r="AI737" s="167"/>
      <c r="AJ737" s="167"/>
      <c r="AK737" s="167" t="s">
        <v>8627</v>
      </c>
      <c r="AL737" s="157" t="n">
        <f aca="false">IF(AND(ISNUMBER($S737),$S737&gt;0,ISNUMBER($K737),ISNUMBER($J737)),($K737*$J737)/$S737,"")</f>
        <v>149100</v>
      </c>
    </row>
    <row r="738" customFormat="false" ht="12.75" hidden="false" customHeight="true" outlineLevel="0" collapsed="false">
      <c r="A738" s="441" t="n">
        <v>8</v>
      </c>
      <c r="B738" s="157" t="n">
        <v>730</v>
      </c>
      <c r="C738" s="437" t="s">
        <v>8246</v>
      </c>
      <c r="D738" s="157" t="s">
        <v>8628</v>
      </c>
      <c r="E738" s="461" t="s">
        <v>2461</v>
      </c>
      <c r="F738" s="157" t="s">
        <v>8629</v>
      </c>
      <c r="G738" s="445" t="n">
        <v>47.1</v>
      </c>
      <c r="H738" s="431" t="n">
        <v>9201</v>
      </c>
      <c r="I738" s="457" t="n">
        <v>0</v>
      </c>
      <c r="J738" s="458" t="n">
        <v>8754</v>
      </c>
      <c r="K738" s="462" t="n">
        <v>3.42700479780672</v>
      </c>
      <c r="L738" s="463" t="n">
        <v>0</v>
      </c>
      <c r="M738" s="463" t="n">
        <v>0</v>
      </c>
      <c r="N738" s="431" t="n">
        <v>1986</v>
      </c>
      <c r="O738" s="446" t="n">
        <v>1400</v>
      </c>
      <c r="Q738" s="157" t="n">
        <v>18</v>
      </c>
      <c r="R738" s="157" t="n">
        <v>8</v>
      </c>
      <c r="S738" s="157" t="n">
        <v>1</v>
      </c>
      <c r="T738" s="457" t="s">
        <v>7531</v>
      </c>
      <c r="U738" s="457" t="n">
        <v>401</v>
      </c>
      <c r="V738" s="458" t="n">
        <v>14062</v>
      </c>
      <c r="W738" s="458" t="n">
        <v>14000</v>
      </c>
      <c r="X738" s="464" t="s">
        <v>6668</v>
      </c>
      <c r="Y738" s="458" t="n">
        <f aca="false">ROUND(J738,-3)</f>
        <v>9000</v>
      </c>
      <c r="Z738" s="457" t="s">
        <v>6638</v>
      </c>
      <c r="AA738" s="157" t="n">
        <v>3</v>
      </c>
      <c r="AB738" s="157" t="n">
        <v>3</v>
      </c>
      <c r="AC738" s="431" t="s">
        <v>586</v>
      </c>
      <c r="AD738" s="437"/>
      <c r="AE738" s="167"/>
      <c r="AF738" s="167"/>
      <c r="AG738" s="167"/>
      <c r="AH738" s="167"/>
      <c r="AI738" s="167"/>
      <c r="AJ738" s="167"/>
      <c r="AK738" s="167" t="s">
        <v>8630</v>
      </c>
      <c r="AL738" s="157" t="n">
        <f aca="false">IF(AND(ISNUMBER($S738),$S738&gt;0,ISNUMBER($K738),ISNUMBER($J738)),($K738*$J738)/$S738,"")</f>
        <v>30000</v>
      </c>
    </row>
    <row r="739" customFormat="false" ht="12.75" hidden="false" customHeight="true" outlineLevel="0" collapsed="false">
      <c r="A739" s="441" t="n">
        <v>8</v>
      </c>
      <c r="B739" s="157" t="n">
        <v>731</v>
      </c>
      <c r="C739" s="437" t="s">
        <v>8246</v>
      </c>
      <c r="D739" s="157" t="s">
        <v>8631</v>
      </c>
      <c r="E739" s="461" t="s">
        <v>2461</v>
      </c>
      <c r="F739" s="157" t="s">
        <v>8632</v>
      </c>
      <c r="G739" s="445" t="n">
        <v>44.3</v>
      </c>
      <c r="H739" s="431" t="n">
        <v>9201</v>
      </c>
      <c r="I739" s="457" t="n">
        <v>0</v>
      </c>
      <c r="J739" s="458" t="n">
        <v>12000</v>
      </c>
      <c r="K739" s="462" t="n">
        <v>8.5</v>
      </c>
      <c r="L739" s="463" t="n">
        <v>0</v>
      </c>
      <c r="M739" s="463" t="n">
        <v>0.0399705882352941</v>
      </c>
      <c r="N739" s="431" t="n">
        <v>1928</v>
      </c>
      <c r="P739" s="446" t="n">
        <v>3625</v>
      </c>
      <c r="Q739" s="157" t="n">
        <v>17</v>
      </c>
      <c r="R739" s="157" t="n">
        <v>3</v>
      </c>
      <c r="S739" s="157" t="n">
        <v>10</v>
      </c>
      <c r="T739" s="457" t="s">
        <v>7531</v>
      </c>
      <c r="U739" s="457" t="n">
        <v>398</v>
      </c>
      <c r="V739" s="458" t="n">
        <v>291789</v>
      </c>
      <c r="W739" s="458" t="n">
        <v>290000</v>
      </c>
      <c r="X739" s="464" t="s">
        <v>6710</v>
      </c>
      <c r="Y739" s="458" t="n">
        <f aca="false">ROUND(J739,-3)</f>
        <v>12000</v>
      </c>
      <c r="Z739" s="457" t="s">
        <v>6638</v>
      </c>
      <c r="AA739" s="157" t="n">
        <v>3</v>
      </c>
      <c r="AB739" s="157" t="n">
        <v>3</v>
      </c>
      <c r="AC739" s="431" t="s">
        <v>586</v>
      </c>
      <c r="AD739" s="437"/>
      <c r="AE739" s="167"/>
      <c r="AF739" s="167"/>
      <c r="AG739" s="167"/>
      <c r="AH739" s="167"/>
      <c r="AI739" s="167"/>
      <c r="AJ739" s="167"/>
      <c r="AK739" s="167" t="s">
        <v>8601</v>
      </c>
      <c r="AL739" s="157" t="n">
        <f aca="false">IF(AND(ISNUMBER($S739),$S739&gt;0,ISNUMBER($K739),ISNUMBER($J739)),($K739*$J739)/$S739,"")</f>
        <v>10200</v>
      </c>
    </row>
    <row r="740" customFormat="false" ht="12.75" hidden="false" customHeight="true" outlineLevel="0" collapsed="false">
      <c r="A740" s="441" t="n">
        <v>8</v>
      </c>
      <c r="B740" s="157" t="n">
        <v>732</v>
      </c>
      <c r="C740" s="437" t="s">
        <v>8246</v>
      </c>
      <c r="D740" s="157" t="s">
        <v>8633</v>
      </c>
      <c r="E740" s="461" t="s">
        <v>2461</v>
      </c>
      <c r="F740" s="157" t="s">
        <v>8634</v>
      </c>
      <c r="G740" s="445" t="n">
        <v>44.2</v>
      </c>
      <c r="H740" s="431" t="n">
        <v>9201</v>
      </c>
      <c r="I740" s="457" t="n">
        <v>0</v>
      </c>
      <c r="J740" s="458" t="n">
        <v>3850</v>
      </c>
      <c r="K740" s="462" t="n">
        <v>6.34571428571429</v>
      </c>
      <c r="L740" s="463" t="n">
        <v>0</v>
      </c>
      <c r="M740" s="463" t="n">
        <v>0</v>
      </c>
      <c r="N740" s="431" t="n">
        <v>1981</v>
      </c>
      <c r="P740" s="446" t="n">
        <v>486</v>
      </c>
      <c r="Q740" s="157" t="n">
        <v>16</v>
      </c>
      <c r="R740" s="157" t="n">
        <v>7</v>
      </c>
      <c r="S740" s="157" t="n">
        <v>1</v>
      </c>
      <c r="T740" s="457" t="s">
        <v>7531</v>
      </c>
      <c r="U740" s="457" t="n">
        <v>398</v>
      </c>
      <c r="V740" s="458" t="n">
        <v>26453</v>
      </c>
      <c r="W740" s="458" t="n">
        <v>26000</v>
      </c>
      <c r="X740" s="464" t="s">
        <v>8635</v>
      </c>
      <c r="Y740" s="458" t="n">
        <f aca="false">ROUND(J740,-3)</f>
        <v>4000</v>
      </c>
      <c r="Z740" s="457" t="s">
        <v>6638</v>
      </c>
      <c r="AA740" s="157" t="n">
        <v>3</v>
      </c>
      <c r="AB740" s="157" t="n">
        <v>3</v>
      </c>
      <c r="AC740" s="431" t="s">
        <v>586</v>
      </c>
      <c r="AD740" s="437" t="s">
        <v>6676</v>
      </c>
      <c r="AE740" s="167"/>
      <c r="AF740" s="167"/>
      <c r="AG740" s="167"/>
      <c r="AH740" s="167"/>
      <c r="AI740" s="167"/>
      <c r="AJ740" s="167"/>
      <c r="AK740" s="167" t="s">
        <v>8627</v>
      </c>
      <c r="AL740" s="157" t="n">
        <f aca="false">IF(AND(ISNUMBER($S740),$S740&gt;0,ISNUMBER($K740),ISNUMBER($J740)),($K740*$J740)/$S740,"")</f>
        <v>24431</v>
      </c>
    </row>
    <row r="741" customFormat="false" ht="12.75" hidden="false" customHeight="true" outlineLevel="0" collapsed="false">
      <c r="A741" s="441" t="n">
        <v>8</v>
      </c>
      <c r="B741" s="157" t="n">
        <v>733</v>
      </c>
      <c r="C741" s="437" t="s">
        <v>8246</v>
      </c>
      <c r="D741" s="157" t="s">
        <v>8636</v>
      </c>
      <c r="E741" s="461" t="s">
        <v>2461</v>
      </c>
      <c r="F741" s="157" t="s">
        <v>8637</v>
      </c>
      <c r="G741" s="445" t="n">
        <v>44.1</v>
      </c>
      <c r="H741" s="431" t="n">
        <v>9201</v>
      </c>
      <c r="I741" s="457" t="n">
        <v>0</v>
      </c>
      <c r="J741" s="458" t="n">
        <v>18000</v>
      </c>
      <c r="K741" s="462" t="n">
        <v>5</v>
      </c>
      <c r="L741" s="463" t="n">
        <v>0</v>
      </c>
      <c r="M741" s="463" t="n">
        <v>0</v>
      </c>
      <c r="N741" s="431" t="n">
        <v>1969</v>
      </c>
      <c r="O741" s="446" t="n">
        <v>3944</v>
      </c>
      <c r="Q741" s="157" t="n">
        <v>15</v>
      </c>
      <c r="R741" s="157" t="n">
        <v>1</v>
      </c>
      <c r="S741" s="157" t="n">
        <v>1</v>
      </c>
      <c r="T741" s="457" t="s">
        <v>7526</v>
      </c>
      <c r="U741" s="457" t="n">
        <v>398</v>
      </c>
      <c r="V741" s="458" t="n">
        <v>29936</v>
      </c>
      <c r="W741" s="458" t="n">
        <v>30000</v>
      </c>
      <c r="X741" s="464" t="s">
        <v>6668</v>
      </c>
      <c r="Y741" s="458" t="n">
        <f aca="false">ROUND(J741,-3)</f>
        <v>18000</v>
      </c>
      <c r="Z741" s="457" t="s">
        <v>6638</v>
      </c>
      <c r="AA741" s="157" t="n">
        <v>3</v>
      </c>
      <c r="AB741" s="157" t="n">
        <v>3</v>
      </c>
      <c r="AC741" s="431" t="s">
        <v>586</v>
      </c>
      <c r="AD741" s="437"/>
      <c r="AE741" s="167"/>
      <c r="AF741" s="167"/>
      <c r="AG741" s="167"/>
      <c r="AH741" s="167"/>
      <c r="AI741" s="167"/>
      <c r="AJ741" s="167"/>
      <c r="AK741" s="167" t="s">
        <v>8638</v>
      </c>
      <c r="AL741" s="157" t="n">
        <f aca="false">IF(AND(ISNUMBER($S741),$S741&gt;0,ISNUMBER($K741),ISNUMBER($J741)),($K741*$J741)/$S741,"")</f>
        <v>90000</v>
      </c>
    </row>
    <row r="742" customFormat="false" ht="12.75" hidden="false" customHeight="true" outlineLevel="0" collapsed="false">
      <c r="A742" s="441" t="n">
        <v>8</v>
      </c>
      <c r="B742" s="157" t="n">
        <v>734</v>
      </c>
      <c r="C742" s="437" t="s">
        <v>8246</v>
      </c>
      <c r="D742" s="157" t="s">
        <v>8639</v>
      </c>
      <c r="E742" s="461" t="s">
        <v>2461</v>
      </c>
      <c r="F742" s="157" t="s">
        <v>8640</v>
      </c>
      <c r="G742" s="445" t="n">
        <v>43.1</v>
      </c>
      <c r="H742" s="431" t="n">
        <v>9201</v>
      </c>
      <c r="I742" s="457" t="n">
        <v>0</v>
      </c>
      <c r="J742" s="458" t="n">
        <v>13201</v>
      </c>
      <c r="K742" s="462" t="n">
        <v>5.77228997803197</v>
      </c>
      <c r="L742" s="463" t="n">
        <v>0</v>
      </c>
      <c r="M742" s="463" t="n">
        <v>0</v>
      </c>
      <c r="N742" s="431" t="n">
        <v>1954</v>
      </c>
      <c r="O742" s="446" t="n">
        <v>3100</v>
      </c>
      <c r="Q742" s="157" t="n">
        <v>13</v>
      </c>
      <c r="R742" s="157" t="n">
        <v>3</v>
      </c>
      <c r="S742" s="157" t="n">
        <v>1</v>
      </c>
      <c r="T742" s="457" t="s">
        <v>7526</v>
      </c>
      <c r="U742" s="457" t="n">
        <v>401</v>
      </c>
      <c r="V742" s="458" t="n">
        <v>20801</v>
      </c>
      <c r="W742" s="458" t="n">
        <v>21000</v>
      </c>
      <c r="X742" s="464" t="s">
        <v>6668</v>
      </c>
      <c r="Y742" s="458" t="n">
        <f aca="false">ROUND(J742,-3)</f>
        <v>13000</v>
      </c>
      <c r="Z742" s="457" t="s">
        <v>6638</v>
      </c>
      <c r="AA742" s="157" t="n">
        <v>3</v>
      </c>
      <c r="AB742" s="157" t="n">
        <v>3</v>
      </c>
      <c r="AC742" s="431" t="s">
        <v>586</v>
      </c>
      <c r="AD742" s="437" t="s">
        <v>8641</v>
      </c>
      <c r="AE742" s="167"/>
      <c r="AF742" s="167"/>
      <c r="AG742" s="167"/>
      <c r="AH742" s="167"/>
      <c r="AI742" s="167"/>
      <c r="AJ742" s="167"/>
      <c r="AK742" s="167" t="s">
        <v>8642</v>
      </c>
      <c r="AL742" s="157" t="n">
        <f aca="false">IF(AND(ISNUMBER($S742),$S742&gt;0,ISNUMBER($K742),ISNUMBER($J742)),($K742*$J742)/$S742,"")</f>
        <v>76200</v>
      </c>
    </row>
    <row r="743" customFormat="false" ht="12.75" hidden="false" customHeight="true" outlineLevel="0" collapsed="false">
      <c r="A743" s="441" t="n">
        <v>8</v>
      </c>
      <c r="B743" s="157" t="n">
        <v>735</v>
      </c>
      <c r="C743" s="437" t="s">
        <v>8246</v>
      </c>
      <c r="D743" s="157" t="s">
        <v>7045</v>
      </c>
      <c r="E743" s="461" t="s">
        <v>2461</v>
      </c>
      <c r="F743" s="157" t="s">
        <v>7046</v>
      </c>
      <c r="G743" s="445" t="n">
        <v>44.1</v>
      </c>
      <c r="H743" s="431" t="n">
        <v>9201</v>
      </c>
      <c r="I743" s="457" t="n">
        <v>0</v>
      </c>
      <c r="J743" s="458" t="n">
        <v>3800</v>
      </c>
      <c r="K743" s="462" t="n">
        <v>6.94736842105263</v>
      </c>
      <c r="L743" s="463" t="n">
        <v>0.32</v>
      </c>
      <c r="M743" s="463" t="n">
        <v>0.0964772727272727</v>
      </c>
      <c r="N743" s="431" t="n">
        <v>1946</v>
      </c>
      <c r="O743" s="446" t="n">
        <v>1650</v>
      </c>
      <c r="Q743" s="157" t="n">
        <v>12</v>
      </c>
      <c r="R743" s="157" t="n">
        <v>3</v>
      </c>
      <c r="S743" s="157" t="n">
        <v>1</v>
      </c>
      <c r="T743" s="457" t="s">
        <v>7526</v>
      </c>
      <c r="U743" s="457" t="n">
        <v>398</v>
      </c>
      <c r="V743" s="458" t="n">
        <v>24533</v>
      </c>
      <c r="W743" s="458" t="n">
        <v>25000</v>
      </c>
      <c r="X743" s="464" t="s">
        <v>6863</v>
      </c>
      <c r="Y743" s="458" t="n">
        <f aca="false">ROUND(J743,-3)</f>
        <v>4000</v>
      </c>
      <c r="Z743" s="457" t="s">
        <v>6638</v>
      </c>
      <c r="AA743" s="157" t="n">
        <v>2</v>
      </c>
      <c r="AB743" s="157" t="n">
        <v>3</v>
      </c>
      <c r="AC743" s="431" t="s">
        <v>537</v>
      </c>
      <c r="AD743" s="437" t="s">
        <v>7047</v>
      </c>
      <c r="AE743" s="167"/>
      <c r="AF743" s="167"/>
      <c r="AG743" s="167"/>
      <c r="AH743" s="167"/>
      <c r="AI743" s="167"/>
      <c r="AJ743" s="167"/>
      <c r="AK743" s="167" t="s">
        <v>8643</v>
      </c>
      <c r="AL743" s="157" t="n">
        <f aca="false">IF(AND(ISNUMBER($S743),$S743&gt;0,ISNUMBER($K743),ISNUMBER($J743)),($K743*$J743)/$S743,"")</f>
        <v>26400</v>
      </c>
    </row>
    <row r="744" customFormat="false" ht="12.75" hidden="false" customHeight="true" outlineLevel="0" collapsed="false">
      <c r="A744" s="441" t="n">
        <v>8</v>
      </c>
      <c r="B744" s="157" t="n">
        <v>736</v>
      </c>
      <c r="C744" s="437" t="s">
        <v>8246</v>
      </c>
      <c r="D744" s="157" t="s">
        <v>7833</v>
      </c>
      <c r="E744" s="461" t="s">
        <v>2461</v>
      </c>
      <c r="F744" s="157" t="s">
        <v>8644</v>
      </c>
      <c r="G744" s="445" t="n">
        <v>47.2</v>
      </c>
      <c r="H744" s="431" t="n">
        <v>9201</v>
      </c>
      <c r="I744" s="457" t="n">
        <v>0</v>
      </c>
      <c r="J744" s="458" t="n">
        <v>18566</v>
      </c>
      <c r="K744" s="462" t="n">
        <v>3.19293331897016</v>
      </c>
      <c r="L744" s="463" t="n">
        <v>0</v>
      </c>
      <c r="M744" s="463" t="n">
        <v>0</v>
      </c>
      <c r="N744" s="431" t="n">
        <v>1950</v>
      </c>
      <c r="O744" s="446" t="n">
        <v>1000</v>
      </c>
      <c r="Q744" s="157" t="n">
        <v>18</v>
      </c>
      <c r="R744" s="157" t="n">
        <v>10</v>
      </c>
      <c r="S744" s="157" t="n">
        <v>1</v>
      </c>
      <c r="T744" s="457" t="s">
        <v>7526</v>
      </c>
      <c r="U744" s="457" t="n">
        <v>401</v>
      </c>
      <c r="V744" s="458" t="n">
        <v>32937</v>
      </c>
      <c r="W744" s="458" t="n">
        <v>33000</v>
      </c>
      <c r="X744" s="464" t="s">
        <v>6863</v>
      </c>
      <c r="Y744" s="458" t="n">
        <f aca="false">ROUND(J744,-3)</f>
        <v>19000</v>
      </c>
      <c r="Z744" s="457" t="s">
        <v>6638</v>
      </c>
      <c r="AA744" s="157" t="n">
        <v>2</v>
      </c>
      <c r="AB744" s="157" t="n">
        <v>3</v>
      </c>
      <c r="AC744" s="431" t="s">
        <v>537</v>
      </c>
      <c r="AD744" s="437"/>
      <c r="AE744" s="167"/>
      <c r="AF744" s="167"/>
      <c r="AG744" s="167"/>
      <c r="AH744" s="167"/>
      <c r="AI744" s="167"/>
      <c r="AJ744" s="167"/>
      <c r="AK744" s="167" t="s">
        <v>8645</v>
      </c>
      <c r="AL744" s="157" t="n">
        <f aca="false">IF(AND(ISNUMBER($S744),$S744&gt;0,ISNUMBER($K744),ISNUMBER($J744)),($K744*$J744)/$S744,"")</f>
        <v>59280</v>
      </c>
    </row>
    <row r="745" customFormat="false" ht="12.75" hidden="false" customHeight="true" outlineLevel="0" collapsed="false">
      <c r="A745" s="441" t="n">
        <v>8</v>
      </c>
      <c r="B745" s="157" t="n">
        <v>737</v>
      </c>
      <c r="C745" s="437" t="s">
        <v>8246</v>
      </c>
      <c r="D745" s="157" t="s">
        <v>8646</v>
      </c>
      <c r="E745" s="461" t="s">
        <v>2461</v>
      </c>
      <c r="F745" s="157" t="s">
        <v>8647</v>
      </c>
      <c r="G745" s="445" t="n">
        <v>44.2</v>
      </c>
      <c r="H745" s="431" t="n">
        <v>9201</v>
      </c>
      <c r="I745" s="457" t="n">
        <v>0</v>
      </c>
      <c r="J745" s="458" t="n">
        <v>10164</v>
      </c>
      <c r="K745" s="462" t="n">
        <v>6.47727272727273</v>
      </c>
      <c r="L745" s="463" t="n">
        <v>0</v>
      </c>
      <c r="M745" s="463" t="n">
        <v>0.18090681248576</v>
      </c>
      <c r="N745" s="431" t="n">
        <v>1982</v>
      </c>
      <c r="O745" s="446" t="n">
        <v>2216</v>
      </c>
      <c r="Q745" s="157" t="n">
        <v>12</v>
      </c>
      <c r="R745" s="157" t="n">
        <v>3</v>
      </c>
      <c r="S745" s="157" t="n">
        <v>1</v>
      </c>
      <c r="T745" s="457" t="s">
        <v>7526</v>
      </c>
      <c r="U745" s="457" t="n">
        <v>398</v>
      </c>
      <c r="V745" s="458" t="n">
        <v>9375</v>
      </c>
      <c r="W745" s="458" t="n">
        <v>9000</v>
      </c>
      <c r="X745" s="464" t="s">
        <v>7663</v>
      </c>
      <c r="Y745" s="458" t="n">
        <f aca="false">ROUND(J745,-3)</f>
        <v>10000</v>
      </c>
      <c r="Z745" s="457" t="s">
        <v>6638</v>
      </c>
      <c r="AA745" s="157" t="n">
        <v>3</v>
      </c>
      <c r="AB745" s="157" t="n">
        <v>1</v>
      </c>
      <c r="AC745" s="431" t="s">
        <v>576</v>
      </c>
      <c r="AD745" s="437" t="s">
        <v>8648</v>
      </c>
      <c r="AE745" s="167"/>
      <c r="AF745" s="167"/>
      <c r="AG745" s="167"/>
      <c r="AH745" s="167"/>
      <c r="AI745" s="167"/>
      <c r="AJ745" s="167"/>
      <c r="AK745" s="167" t="s">
        <v>8257</v>
      </c>
      <c r="AL745" s="157" t="n">
        <f aca="false">IF(AND(ISNUMBER($S745),$S745&gt;0,ISNUMBER($K745),ISNUMBER($J745)),($K745*$J745)/$S745,"")</f>
        <v>65835</v>
      </c>
    </row>
    <row r="746" customFormat="false" ht="12.75" hidden="false" customHeight="true" outlineLevel="0" collapsed="false">
      <c r="A746" s="441" t="n">
        <v>8</v>
      </c>
      <c r="B746" s="157" t="n">
        <v>738</v>
      </c>
      <c r="C746" s="437" t="s">
        <v>8246</v>
      </c>
      <c r="D746" s="157" t="s">
        <v>7071</v>
      </c>
      <c r="E746" s="461" t="s">
        <v>2461</v>
      </c>
      <c r="F746" s="157" t="s">
        <v>7072</v>
      </c>
      <c r="G746" s="445" t="n">
        <v>44.2</v>
      </c>
      <c r="H746" s="431" t="n">
        <v>9201</v>
      </c>
      <c r="I746" s="457" t="n">
        <v>0</v>
      </c>
      <c r="J746" s="458" t="n">
        <v>10591</v>
      </c>
      <c r="K746" s="462" t="n">
        <v>4.70210556132565</v>
      </c>
      <c r="L746" s="463" t="n">
        <v>0</v>
      </c>
      <c r="M746" s="463" t="n">
        <v>0</v>
      </c>
      <c r="N746" s="431" t="n">
        <v>1970</v>
      </c>
      <c r="O746" s="446" t="n">
        <v>760</v>
      </c>
      <c r="Q746" s="157" t="n">
        <v>13</v>
      </c>
      <c r="R746" s="157" t="n">
        <v>3</v>
      </c>
      <c r="S746" s="157" t="n">
        <v>1</v>
      </c>
      <c r="T746" s="457" t="s">
        <v>7529</v>
      </c>
      <c r="U746" s="457" t="n">
        <v>398</v>
      </c>
      <c r="V746" s="458" t="n">
        <v>19013</v>
      </c>
      <c r="W746" s="458" t="n">
        <v>19000</v>
      </c>
      <c r="X746" s="464" t="s">
        <v>6863</v>
      </c>
      <c r="Y746" s="458" t="n">
        <f aca="false">ROUND(J746,-3)</f>
        <v>11000</v>
      </c>
      <c r="Z746" s="457" t="s">
        <v>6638</v>
      </c>
      <c r="AA746" s="157" t="n">
        <v>3</v>
      </c>
      <c r="AB746" s="157" t="n">
        <v>3</v>
      </c>
      <c r="AC746" s="431" t="s">
        <v>586</v>
      </c>
      <c r="AD746" s="437" t="s">
        <v>7073</v>
      </c>
      <c r="AE746" s="167"/>
      <c r="AF746" s="167"/>
      <c r="AG746" s="167"/>
      <c r="AH746" s="167"/>
      <c r="AI746" s="167"/>
      <c r="AJ746" s="167"/>
      <c r="AK746" s="167" t="s">
        <v>8257</v>
      </c>
      <c r="AL746" s="157" t="n">
        <f aca="false">IF(AND(ISNUMBER($S746),$S746&gt;0,ISNUMBER($K746),ISNUMBER($J746)),($K746*$J746)/$S746,"")</f>
        <v>49800</v>
      </c>
    </row>
    <row r="747" customFormat="false" ht="12.75" hidden="false" customHeight="true" outlineLevel="0" collapsed="false">
      <c r="A747" s="441" t="n">
        <v>8</v>
      </c>
      <c r="B747" s="157" t="n">
        <v>739</v>
      </c>
      <c r="C747" s="437" t="s">
        <v>8246</v>
      </c>
      <c r="D747" s="157" t="s">
        <v>8649</v>
      </c>
      <c r="E747" s="461" t="s">
        <v>2461</v>
      </c>
      <c r="F747" s="157" t="s">
        <v>8650</v>
      </c>
      <c r="G747" s="445" t="n">
        <v>44.2</v>
      </c>
      <c r="H747" s="431" t="n">
        <v>9201</v>
      </c>
      <c r="I747" s="457" t="n">
        <v>0</v>
      </c>
      <c r="J747" s="458" t="n">
        <v>11135</v>
      </c>
      <c r="K747" s="462" t="n">
        <v>11.813560844185</v>
      </c>
      <c r="L747" s="463" t="n">
        <v>0</v>
      </c>
      <c r="M747" s="463" t="n">
        <v>0</v>
      </c>
      <c r="N747" s="431" t="n">
        <v>1977</v>
      </c>
      <c r="O747" s="446" t="n">
        <v>2178</v>
      </c>
      <c r="Q747" s="157" t="n">
        <v>14</v>
      </c>
      <c r="R747" s="157" t="n">
        <v>3</v>
      </c>
      <c r="S747" s="157" t="n">
        <v>1</v>
      </c>
      <c r="T747" s="457" t="s">
        <v>7526</v>
      </c>
      <c r="U747" s="457" t="n">
        <v>398</v>
      </c>
      <c r="V747" s="458" t="n">
        <v>26090</v>
      </c>
      <c r="W747" s="458" t="n">
        <v>26000</v>
      </c>
      <c r="X747" s="464" t="s">
        <v>6757</v>
      </c>
      <c r="Y747" s="458" t="n">
        <f aca="false">ROUND(J747,-3)</f>
        <v>11000</v>
      </c>
      <c r="Z747" s="457" t="s">
        <v>6638</v>
      </c>
      <c r="AA747" s="157" t="n">
        <v>3</v>
      </c>
      <c r="AB747" s="157" t="n">
        <v>3</v>
      </c>
      <c r="AC747" s="431" t="s">
        <v>586</v>
      </c>
      <c r="AD747" s="437" t="s">
        <v>8651</v>
      </c>
      <c r="AE747" s="167"/>
      <c r="AF747" s="167"/>
      <c r="AG747" s="167"/>
      <c r="AH747" s="167"/>
      <c r="AI747" s="167"/>
      <c r="AJ747" s="167"/>
      <c r="AK747" s="167" t="s">
        <v>8288</v>
      </c>
      <c r="AL747" s="157" t="n">
        <f aca="false">IF(AND(ISNUMBER($S747),$S747&gt;0,ISNUMBER($K747),ISNUMBER($J747)),($K747*$J747)/$S747,"")</f>
        <v>131544</v>
      </c>
    </row>
    <row r="748" customFormat="false" ht="12.75" hidden="false" customHeight="true" outlineLevel="0" collapsed="false">
      <c r="A748" s="441" t="n">
        <v>8</v>
      </c>
      <c r="B748" s="157" t="n">
        <v>740</v>
      </c>
      <c r="C748" s="437" t="s">
        <v>8246</v>
      </c>
      <c r="D748" s="157" t="s">
        <v>8652</v>
      </c>
      <c r="E748" s="461" t="s">
        <v>2461</v>
      </c>
      <c r="F748" s="157" t="s">
        <v>8653</v>
      </c>
      <c r="G748" s="445" t="n">
        <v>44.2</v>
      </c>
      <c r="H748" s="431" t="n">
        <v>9201</v>
      </c>
      <c r="I748" s="457" t="n">
        <v>0</v>
      </c>
      <c r="J748" s="458" t="n">
        <v>9658</v>
      </c>
      <c r="K748" s="462" t="n">
        <v>7.41406088217022</v>
      </c>
      <c r="L748" s="463" t="n">
        <v>0</v>
      </c>
      <c r="M748" s="463" t="n">
        <v>0.234187556734865</v>
      </c>
      <c r="N748" s="431" t="n">
        <v>1977</v>
      </c>
      <c r="O748" s="446" t="n">
        <f aca="false">4893+2308</f>
        <v>7201</v>
      </c>
      <c r="Q748" s="157" t="n">
        <v>14</v>
      </c>
      <c r="R748" s="157" t="n">
        <v>3</v>
      </c>
      <c r="S748" s="157" t="n">
        <v>1</v>
      </c>
      <c r="T748" s="457" t="s">
        <v>7526</v>
      </c>
      <c r="U748" s="457" t="n">
        <v>398</v>
      </c>
      <c r="V748" s="458" t="n">
        <v>32800</v>
      </c>
      <c r="W748" s="458" t="n">
        <v>33000</v>
      </c>
      <c r="X748" s="464" t="s">
        <v>7065</v>
      </c>
      <c r="Y748" s="458" t="n">
        <f aca="false">ROUND(J748,-3)</f>
        <v>10000</v>
      </c>
      <c r="Z748" s="457" t="s">
        <v>6638</v>
      </c>
      <c r="AA748" s="157" t="n">
        <v>3</v>
      </c>
      <c r="AB748" s="157" t="n">
        <v>3</v>
      </c>
      <c r="AC748" s="431" t="s">
        <v>586</v>
      </c>
      <c r="AD748" s="437" t="s">
        <v>8654</v>
      </c>
      <c r="AE748" s="167"/>
      <c r="AF748" s="167"/>
      <c r="AG748" s="167"/>
      <c r="AH748" s="167"/>
      <c r="AI748" s="167"/>
      <c r="AJ748" s="167"/>
      <c r="AK748" s="167" t="s">
        <v>8655</v>
      </c>
      <c r="AL748" s="157" t="n">
        <f aca="false">IF(AND(ISNUMBER($S748),$S748&gt;0,ISNUMBER($K748),ISNUMBER($J748)),($K748*$J748)/$S748,"")</f>
        <v>71605</v>
      </c>
    </row>
    <row r="749" customFormat="false" ht="12.75" hidden="false" customHeight="true" outlineLevel="0" collapsed="false">
      <c r="A749" s="441" t="n">
        <v>8</v>
      </c>
      <c r="B749" s="157" t="n">
        <v>741</v>
      </c>
      <c r="C749" s="437" t="s">
        <v>8246</v>
      </c>
      <c r="D749" s="157" t="s">
        <v>8656</v>
      </c>
      <c r="E749" s="461" t="s">
        <v>2461</v>
      </c>
      <c r="F749" s="157" t="s">
        <v>8657</v>
      </c>
      <c r="G749" s="445" t="n">
        <v>44.2</v>
      </c>
      <c r="H749" s="431" t="n">
        <v>9201</v>
      </c>
      <c r="I749" s="457" t="n">
        <v>0</v>
      </c>
      <c r="J749" s="458" t="n">
        <v>9594</v>
      </c>
      <c r="K749" s="462" t="n">
        <v>9.02824682092975</v>
      </c>
      <c r="L749" s="463" t="n">
        <v>0</v>
      </c>
      <c r="M749" s="463" t="n">
        <v>0</v>
      </c>
      <c r="N749" s="431" t="n">
        <v>1977</v>
      </c>
      <c r="O749" s="446" t="n">
        <v>4239</v>
      </c>
      <c r="Q749" s="157" t="n">
        <v>21</v>
      </c>
      <c r="R749" s="157" t="n">
        <v>14</v>
      </c>
      <c r="S749" s="157" t="n">
        <v>1</v>
      </c>
      <c r="T749" s="457" t="s">
        <v>7526</v>
      </c>
      <c r="U749" s="457" t="n">
        <v>398</v>
      </c>
      <c r="V749" s="458" t="n">
        <v>24615</v>
      </c>
      <c r="W749" s="458" t="n">
        <v>25000</v>
      </c>
      <c r="X749" s="464" t="s">
        <v>6724</v>
      </c>
      <c r="Y749" s="458" t="n">
        <f aca="false">ROUND(J749,-3)</f>
        <v>10000</v>
      </c>
      <c r="Z749" s="457" t="s">
        <v>6638</v>
      </c>
      <c r="AA749" s="157" t="n">
        <v>3</v>
      </c>
      <c r="AB749" s="157" t="n">
        <v>3</v>
      </c>
      <c r="AC749" s="431" t="s">
        <v>586</v>
      </c>
      <c r="AD749" s="437"/>
      <c r="AE749" s="167"/>
      <c r="AF749" s="167"/>
      <c r="AG749" s="167"/>
      <c r="AH749" s="167"/>
      <c r="AI749" s="167"/>
      <c r="AJ749" s="167"/>
      <c r="AK749" s="167" t="s">
        <v>8475</v>
      </c>
      <c r="AL749" s="157" t="n">
        <f aca="false">IF(AND(ISNUMBER($S749),$S749&gt;0,ISNUMBER($K749),ISNUMBER($J749)),($K749*$J749)/$S749,"")</f>
        <v>86617</v>
      </c>
    </row>
    <row r="750" customFormat="false" ht="12.75" hidden="false" customHeight="true" outlineLevel="0" collapsed="false">
      <c r="A750" s="441" t="n">
        <v>8</v>
      </c>
      <c r="B750" s="157" t="n">
        <v>742</v>
      </c>
      <c r="C750" s="437" t="s">
        <v>8246</v>
      </c>
      <c r="D750" s="157" t="s">
        <v>7083</v>
      </c>
      <c r="E750" s="461" t="s">
        <v>2461</v>
      </c>
      <c r="F750" s="157" t="s">
        <v>7084</v>
      </c>
      <c r="G750" s="445" t="n">
        <v>44.1</v>
      </c>
      <c r="H750" s="431" t="n">
        <v>9210</v>
      </c>
      <c r="I750" s="457" t="n">
        <v>0</v>
      </c>
      <c r="J750" s="458" t="n">
        <v>8312</v>
      </c>
      <c r="K750" s="462" t="n">
        <v>4.33108758421559</v>
      </c>
      <c r="L750" s="463" t="n">
        <v>0</v>
      </c>
      <c r="M750" s="463" t="n">
        <v>0</v>
      </c>
      <c r="N750" s="431" t="n">
        <v>1958</v>
      </c>
      <c r="O750" s="446" t="n">
        <v>1137</v>
      </c>
      <c r="Q750" s="157" t="n">
        <v>14</v>
      </c>
      <c r="R750" s="157" t="n">
        <v>3</v>
      </c>
      <c r="S750" s="157" t="n">
        <v>1</v>
      </c>
      <c r="T750" s="457" t="s">
        <v>7526</v>
      </c>
      <c r="U750" s="457" t="n">
        <v>398</v>
      </c>
      <c r="V750" s="458" t="n">
        <v>12488</v>
      </c>
      <c r="W750" s="458" t="n">
        <v>12000</v>
      </c>
      <c r="X750" s="464" t="s">
        <v>6837</v>
      </c>
      <c r="Y750" s="458" t="n">
        <f aca="false">ROUND(J750,-3)</f>
        <v>8000</v>
      </c>
      <c r="Z750" s="457" t="s">
        <v>6638</v>
      </c>
      <c r="AA750" s="157" t="n">
        <v>2</v>
      </c>
      <c r="AB750" s="157" t="n">
        <v>2</v>
      </c>
      <c r="AC750" s="431" t="s">
        <v>533</v>
      </c>
      <c r="AD750" s="437" t="s">
        <v>7085</v>
      </c>
      <c r="AE750" s="167"/>
      <c r="AF750" s="167"/>
      <c r="AG750" s="167"/>
      <c r="AH750" s="167"/>
      <c r="AI750" s="167"/>
      <c r="AJ750" s="167"/>
      <c r="AK750" s="167" t="s">
        <v>8257</v>
      </c>
      <c r="AL750" s="157" t="n">
        <f aca="false">IF(AND(ISNUMBER($S750),$S750&gt;0,ISNUMBER($K750),ISNUMBER($J750)),($K750*$J750)/$S750,"")</f>
        <v>36000</v>
      </c>
    </row>
    <row r="751" customFormat="false" ht="12.75" hidden="false" customHeight="true" outlineLevel="0" collapsed="false">
      <c r="A751" s="441" t="n">
        <v>8</v>
      </c>
      <c r="B751" s="157" t="n">
        <v>743</v>
      </c>
      <c r="C751" s="437" t="s">
        <v>8246</v>
      </c>
      <c r="D751" s="157" t="s">
        <v>7086</v>
      </c>
      <c r="E751" s="461" t="s">
        <v>2461</v>
      </c>
      <c r="F751" s="157" t="s">
        <v>7087</v>
      </c>
      <c r="G751" s="445" t="n">
        <v>44.1</v>
      </c>
      <c r="H751" s="431" t="n">
        <v>9210</v>
      </c>
      <c r="I751" s="457" t="n">
        <v>0</v>
      </c>
      <c r="J751" s="458" t="n">
        <v>7668</v>
      </c>
      <c r="K751" s="462" t="n">
        <v>5.94679186228482</v>
      </c>
      <c r="L751" s="463" t="n">
        <v>0</v>
      </c>
      <c r="M751" s="463" t="n">
        <v>0.128070175438597</v>
      </c>
      <c r="N751" s="431" t="n">
        <v>1948</v>
      </c>
      <c r="O751" s="446" t="n">
        <f aca="false">850*2</f>
        <v>1700</v>
      </c>
      <c r="Q751" s="157" t="n">
        <v>15</v>
      </c>
      <c r="R751" s="157" t="n">
        <v>1</v>
      </c>
      <c r="S751" s="157" t="n">
        <v>1</v>
      </c>
      <c r="T751" s="457" t="s">
        <v>7531</v>
      </c>
      <c r="U751" s="457" t="n">
        <v>398</v>
      </c>
      <c r="V751" s="458" t="n">
        <v>18830</v>
      </c>
      <c r="W751" s="458" t="n">
        <v>19000</v>
      </c>
      <c r="X751" s="464" t="s">
        <v>6692</v>
      </c>
      <c r="Y751" s="458" t="n">
        <f aca="false">ROUND(J751,-3)</f>
        <v>8000</v>
      </c>
      <c r="Z751" s="457" t="s">
        <v>6638</v>
      </c>
      <c r="AA751" s="157" t="n">
        <v>3</v>
      </c>
      <c r="AB751" s="157" t="n">
        <v>3</v>
      </c>
      <c r="AC751" s="431" t="s">
        <v>586</v>
      </c>
      <c r="AD751" s="437" t="s">
        <v>7089</v>
      </c>
      <c r="AE751" s="167"/>
      <c r="AF751" s="167"/>
      <c r="AG751" s="167"/>
      <c r="AH751" s="167"/>
      <c r="AI751" s="167"/>
      <c r="AJ751" s="167"/>
      <c r="AK751" s="167" t="s">
        <v>8658</v>
      </c>
      <c r="AL751" s="157" t="n">
        <f aca="false">IF(AND(ISNUMBER($S751),$S751&gt;0,ISNUMBER($K751),ISNUMBER($J751)),($K751*$J751)/$S751,"")</f>
        <v>45600</v>
      </c>
    </row>
    <row r="752" customFormat="false" ht="12.75" hidden="false" customHeight="true" outlineLevel="0" collapsed="false">
      <c r="A752" s="441" t="n">
        <v>8</v>
      </c>
      <c r="B752" s="157" t="n">
        <v>744</v>
      </c>
      <c r="C752" s="437" t="s">
        <v>8246</v>
      </c>
      <c r="D752" s="157" t="s">
        <v>8659</v>
      </c>
      <c r="E752" s="461" t="s">
        <v>2461</v>
      </c>
      <c r="F752" s="157" t="s">
        <v>8660</v>
      </c>
      <c r="G752" s="445" t="n">
        <v>44.1</v>
      </c>
      <c r="H752" s="431" t="n">
        <v>9210</v>
      </c>
      <c r="I752" s="457" t="n">
        <v>0</v>
      </c>
      <c r="J752" s="458" t="n">
        <v>7232</v>
      </c>
      <c r="K752" s="462" t="n">
        <v>6.05641592920354</v>
      </c>
      <c r="L752" s="463" t="n">
        <v>0</v>
      </c>
      <c r="M752" s="463" t="n">
        <v>0</v>
      </c>
      <c r="N752" s="431" t="n">
        <v>1975</v>
      </c>
      <c r="Q752" s="157" t="n">
        <v>13</v>
      </c>
      <c r="R752" s="157" t="n">
        <v>3</v>
      </c>
      <c r="S752" s="157" t="n">
        <v>1</v>
      </c>
      <c r="T752" s="457" t="s">
        <v>7526</v>
      </c>
      <c r="U752" s="457" t="n">
        <v>398</v>
      </c>
      <c r="V752" s="458" t="n">
        <v>9375</v>
      </c>
      <c r="W752" s="458" t="n">
        <v>9000</v>
      </c>
      <c r="X752" s="464" t="s">
        <v>7103</v>
      </c>
      <c r="Y752" s="458" t="n">
        <f aca="false">ROUND(J752,-3)</f>
        <v>7000</v>
      </c>
      <c r="Z752" s="457" t="s">
        <v>6638</v>
      </c>
      <c r="AA752" s="157" t="n">
        <v>3</v>
      </c>
      <c r="AB752" s="157" t="n">
        <v>3</v>
      </c>
      <c r="AC752" s="431" t="s">
        <v>586</v>
      </c>
      <c r="AD752" s="437" t="s">
        <v>8661</v>
      </c>
      <c r="AE752" s="167"/>
      <c r="AF752" s="167"/>
      <c r="AG752" s="167"/>
      <c r="AH752" s="167"/>
      <c r="AI752" s="167"/>
      <c r="AJ752" s="167"/>
      <c r="AK752" s="167" t="s">
        <v>8257</v>
      </c>
      <c r="AL752" s="157" t="n">
        <f aca="false">IF(AND(ISNUMBER($S752),$S752&gt;0,ISNUMBER($K752),ISNUMBER($J752)),($K752*$J752)/$S752,"")</f>
        <v>43800</v>
      </c>
    </row>
    <row r="753" customFormat="false" ht="12.75" hidden="false" customHeight="true" outlineLevel="0" collapsed="false">
      <c r="A753" s="441" t="n">
        <v>8</v>
      </c>
      <c r="B753" s="157" t="n">
        <v>745</v>
      </c>
      <c r="C753" s="437" t="s">
        <v>8246</v>
      </c>
      <c r="D753" s="157" t="s">
        <v>8662</v>
      </c>
      <c r="E753" s="461" t="s">
        <v>2461</v>
      </c>
      <c r="F753" s="157" t="s">
        <v>8663</v>
      </c>
      <c r="G753" s="445" t="n">
        <v>47.1</v>
      </c>
      <c r="H753" s="431" t="n">
        <v>9210</v>
      </c>
      <c r="I753" s="457" t="n">
        <v>0</v>
      </c>
      <c r="J753" s="458" t="n">
        <v>7331</v>
      </c>
      <c r="K753" s="462" t="n">
        <v>4.99249761287682</v>
      </c>
      <c r="L753" s="463" t="n">
        <v>0</v>
      </c>
      <c r="M753" s="463" t="n">
        <v>0</v>
      </c>
      <c r="N753" s="431" t="n">
        <v>1954</v>
      </c>
      <c r="O753" s="446" t="n">
        <v>672</v>
      </c>
      <c r="Q753" s="157" t="n">
        <v>20</v>
      </c>
      <c r="R753" s="157" t="n">
        <v>3</v>
      </c>
      <c r="S753" s="157" t="n">
        <v>1</v>
      </c>
      <c r="T753" s="457" t="s">
        <v>7526</v>
      </c>
      <c r="U753" s="457" t="n">
        <v>401</v>
      </c>
      <c r="V753" s="458" t="n">
        <v>21875</v>
      </c>
      <c r="W753" s="458" t="n">
        <v>22000</v>
      </c>
      <c r="X753" s="464" t="s">
        <v>7563</v>
      </c>
      <c r="Y753" s="458" t="n">
        <f aca="false">ROUND(J753,-3)</f>
        <v>7000</v>
      </c>
      <c r="Z753" s="457" t="s">
        <v>8664</v>
      </c>
      <c r="AA753" s="157" t="n">
        <v>3</v>
      </c>
      <c r="AB753" s="157" t="n">
        <v>3</v>
      </c>
      <c r="AC753" s="431" t="s">
        <v>586</v>
      </c>
      <c r="AD753" s="437"/>
      <c r="AE753" s="167"/>
      <c r="AF753" s="167"/>
      <c r="AG753" s="167"/>
      <c r="AH753" s="167"/>
      <c r="AI753" s="167"/>
      <c r="AJ753" s="167"/>
      <c r="AK753" s="167" t="s">
        <v>8665</v>
      </c>
      <c r="AL753" s="157" t="n">
        <f aca="false">IF(AND(ISNUMBER($S753),$S753&gt;0,ISNUMBER($K753),ISNUMBER($J753)),($K753*$J753)/$S753,"")</f>
        <v>36600</v>
      </c>
    </row>
    <row r="754" customFormat="false" ht="12.75" hidden="false" customHeight="true" outlineLevel="0" collapsed="false">
      <c r="A754" s="441" t="n">
        <v>8</v>
      </c>
      <c r="B754" s="157" t="n">
        <v>746</v>
      </c>
      <c r="C754" s="437" t="s">
        <v>8246</v>
      </c>
      <c r="D754" s="157" t="s">
        <v>8666</v>
      </c>
      <c r="E754" s="461" t="s">
        <v>2461</v>
      </c>
      <c r="F754" s="157" t="s">
        <v>8667</v>
      </c>
      <c r="G754" s="445" t="n">
        <v>44.1</v>
      </c>
      <c r="H754" s="431" t="n">
        <v>9210</v>
      </c>
      <c r="I754" s="457" t="n">
        <v>0</v>
      </c>
      <c r="J754" s="458" t="n">
        <v>7200</v>
      </c>
      <c r="K754" s="462" t="n">
        <v>7</v>
      </c>
      <c r="L754" s="463" t="n">
        <v>0</v>
      </c>
      <c r="M754" s="463" t="n">
        <v>0</v>
      </c>
      <c r="N754" s="431" t="n">
        <v>1972</v>
      </c>
      <c r="O754" s="446" t="n">
        <v>1037</v>
      </c>
      <c r="Q754" s="157" t="n">
        <v>16</v>
      </c>
      <c r="R754" s="157" t="n">
        <v>7</v>
      </c>
      <c r="S754" s="157" t="n">
        <v>1</v>
      </c>
      <c r="T754" s="457" t="s">
        <v>7526</v>
      </c>
      <c r="U754" s="457" t="n">
        <v>398</v>
      </c>
      <c r="V754" s="458" t="n">
        <v>18750</v>
      </c>
      <c r="W754" s="458" t="n">
        <v>19000</v>
      </c>
      <c r="X754" s="464" t="s">
        <v>6724</v>
      </c>
      <c r="Y754" s="458" t="n">
        <f aca="false">ROUND(J754,-3)</f>
        <v>7000</v>
      </c>
      <c r="Z754" s="457" t="s">
        <v>6638</v>
      </c>
      <c r="AA754" s="157" t="n">
        <v>3</v>
      </c>
      <c r="AB754" s="157" t="n">
        <v>3</v>
      </c>
      <c r="AC754" s="431" t="s">
        <v>586</v>
      </c>
      <c r="AD754" s="437" t="s">
        <v>8668</v>
      </c>
      <c r="AE754" s="167"/>
      <c r="AF754" s="167"/>
      <c r="AG754" s="167"/>
      <c r="AH754" s="167"/>
      <c r="AI754" s="167"/>
      <c r="AJ754" s="167"/>
      <c r="AK754" s="167" t="s">
        <v>8669</v>
      </c>
      <c r="AL754" s="157" t="n">
        <f aca="false">IF(AND(ISNUMBER($S754),$S754&gt;0,ISNUMBER($K754),ISNUMBER($J754)),($K754*$J754)/$S754,"")</f>
        <v>50400</v>
      </c>
    </row>
    <row r="755" customFormat="false" ht="12.75" hidden="false" customHeight="true" outlineLevel="0" collapsed="false">
      <c r="A755" s="441" t="n">
        <v>8</v>
      </c>
      <c r="B755" s="157" t="n">
        <v>747</v>
      </c>
      <c r="C755" s="437" t="s">
        <v>8246</v>
      </c>
      <c r="D755" s="157" t="s">
        <v>7090</v>
      </c>
      <c r="E755" s="461" t="s">
        <v>2461</v>
      </c>
      <c r="F755" s="157" t="s">
        <v>7091</v>
      </c>
      <c r="G755" s="445" t="n">
        <v>44.1</v>
      </c>
      <c r="H755" s="431" t="n">
        <v>9210</v>
      </c>
      <c r="I755" s="457" t="n">
        <v>0</v>
      </c>
      <c r="J755" s="458" t="n">
        <v>4400</v>
      </c>
      <c r="K755" s="462" t="n">
        <v>4.63636363636364</v>
      </c>
      <c r="L755" s="463" t="n">
        <v>0</v>
      </c>
      <c r="M755" s="463" t="n">
        <v>0.131862745098039</v>
      </c>
      <c r="N755" s="431" t="n">
        <v>1954</v>
      </c>
      <c r="O755" s="446" t="n">
        <v>247</v>
      </c>
      <c r="Q755" s="157" t="n">
        <v>13</v>
      </c>
      <c r="R755" s="157" t="n">
        <v>3</v>
      </c>
      <c r="S755" s="157" t="n">
        <v>1</v>
      </c>
      <c r="T755" s="457" t="s">
        <v>7526</v>
      </c>
      <c r="U755" s="457" t="n">
        <v>398</v>
      </c>
      <c r="V755" s="458" t="n">
        <v>17625</v>
      </c>
      <c r="W755" s="458" t="n">
        <v>18000</v>
      </c>
      <c r="X755" s="464" t="s">
        <v>7588</v>
      </c>
      <c r="Y755" s="458" t="n">
        <f aca="false">ROUND(J755,-3)</f>
        <v>4000</v>
      </c>
      <c r="Z755" s="457" t="s">
        <v>6638</v>
      </c>
      <c r="AA755" s="157" t="n">
        <v>3</v>
      </c>
      <c r="AB755" s="157" t="n">
        <v>3</v>
      </c>
      <c r="AC755" s="431" t="s">
        <v>586</v>
      </c>
      <c r="AD755" s="437" t="s">
        <v>7092</v>
      </c>
      <c r="AE755" s="167"/>
      <c r="AF755" s="167"/>
      <c r="AG755" s="167"/>
      <c r="AH755" s="167"/>
      <c r="AI755" s="167"/>
      <c r="AJ755" s="167"/>
      <c r="AK755" s="167" t="s">
        <v>8257</v>
      </c>
      <c r="AL755" s="157" t="n">
        <f aca="false">IF(AND(ISNUMBER($S755),$S755&gt;0,ISNUMBER($K755),ISNUMBER($J755)),($K755*$J755)/$S755,"")</f>
        <v>20400</v>
      </c>
    </row>
    <row r="756" customFormat="false" ht="12.75" hidden="false" customHeight="true" outlineLevel="0" collapsed="false">
      <c r="A756" s="441" t="n">
        <v>8</v>
      </c>
      <c r="B756" s="157" t="n">
        <v>748</v>
      </c>
      <c r="C756" s="437" t="s">
        <v>8246</v>
      </c>
      <c r="D756" s="157" t="s">
        <v>8670</v>
      </c>
      <c r="E756" s="461" t="s">
        <v>2461</v>
      </c>
      <c r="F756" s="157" t="s">
        <v>8671</v>
      </c>
      <c r="G756" s="445" t="n">
        <v>44.1</v>
      </c>
      <c r="H756" s="431" t="n">
        <v>9210</v>
      </c>
      <c r="I756" s="457" t="n">
        <v>0</v>
      </c>
      <c r="J756" s="458" t="n">
        <v>8500</v>
      </c>
      <c r="K756" s="462" t="n">
        <v>7.05882352941176</v>
      </c>
      <c r="L756" s="463" t="n">
        <v>0</v>
      </c>
      <c r="M756" s="463" t="n">
        <v>0</v>
      </c>
      <c r="N756" s="431" t="n">
        <v>1976</v>
      </c>
      <c r="O756" s="446" t="n">
        <v>1200</v>
      </c>
      <c r="Q756" s="157" t="n">
        <v>13</v>
      </c>
      <c r="R756" s="157" t="n">
        <v>3</v>
      </c>
      <c r="S756" s="157" t="n">
        <v>1</v>
      </c>
      <c r="T756" s="457" t="s">
        <v>7526</v>
      </c>
      <c r="U756" s="457" t="n">
        <v>398</v>
      </c>
      <c r="V756" s="458" t="n">
        <v>9375</v>
      </c>
      <c r="W756" s="458" t="n">
        <v>9000</v>
      </c>
      <c r="X756" s="464" t="s">
        <v>6668</v>
      </c>
      <c r="Y756" s="458" t="n">
        <f aca="false">ROUND(J756,-3)</f>
        <v>9000</v>
      </c>
      <c r="Z756" s="457" t="s">
        <v>6638</v>
      </c>
      <c r="AA756" s="157" t="n">
        <v>3</v>
      </c>
      <c r="AB756" s="157" t="n">
        <v>3</v>
      </c>
      <c r="AC756" s="431" t="s">
        <v>586</v>
      </c>
      <c r="AD756" s="437" t="s">
        <v>8672</v>
      </c>
      <c r="AE756" s="167"/>
      <c r="AF756" s="167"/>
      <c r="AG756" s="167"/>
      <c r="AH756" s="167"/>
      <c r="AI756" s="167"/>
      <c r="AJ756" s="167"/>
      <c r="AK756" s="167" t="s">
        <v>8342</v>
      </c>
      <c r="AL756" s="157" t="n">
        <f aca="false">IF(AND(ISNUMBER($S756),$S756&gt;0,ISNUMBER($K756),ISNUMBER($J756)),($K756*$J756)/$S756,"")</f>
        <v>60000</v>
      </c>
    </row>
    <row r="757" customFormat="false" ht="12.75" hidden="false" customHeight="true" outlineLevel="0" collapsed="false">
      <c r="A757" s="441" t="n">
        <v>8</v>
      </c>
      <c r="B757" s="157" t="n">
        <v>749</v>
      </c>
      <c r="C757" s="437" t="s">
        <v>8246</v>
      </c>
      <c r="D757" s="157" t="s">
        <v>7093</v>
      </c>
      <c r="E757" s="461" t="s">
        <v>2461</v>
      </c>
      <c r="F757" s="157" t="s">
        <v>7094</v>
      </c>
      <c r="G757" s="445" t="n">
        <v>44.2</v>
      </c>
      <c r="H757" s="431" t="n">
        <v>9210</v>
      </c>
      <c r="I757" s="457" t="n">
        <v>0</v>
      </c>
      <c r="J757" s="458" t="n">
        <v>5340</v>
      </c>
      <c r="K757" s="462" t="n">
        <v>4.9438202247191</v>
      </c>
      <c r="L757" s="463" t="n">
        <v>0</v>
      </c>
      <c r="M757" s="463" t="n">
        <v>0.201022727272727</v>
      </c>
      <c r="N757" s="431" t="n">
        <v>1955</v>
      </c>
      <c r="O757" s="446" t="n">
        <f aca="false">980+1000+980</f>
        <v>2960</v>
      </c>
      <c r="Q757" s="157" t="n">
        <v>16</v>
      </c>
      <c r="R757" s="157" t="n">
        <v>3</v>
      </c>
      <c r="S757" s="157" t="n">
        <v>1</v>
      </c>
      <c r="T757" s="457" t="s">
        <v>7526</v>
      </c>
      <c r="U757" s="457" t="n">
        <v>398</v>
      </c>
      <c r="V757" s="458" t="n">
        <v>6250</v>
      </c>
      <c r="W757" s="458" t="n">
        <v>6000</v>
      </c>
      <c r="X757" s="464" t="s">
        <v>6900</v>
      </c>
      <c r="Y757" s="458" t="n">
        <f aca="false">ROUND(J757,-3)</f>
        <v>5000</v>
      </c>
      <c r="Z757" s="457" t="s">
        <v>6638</v>
      </c>
      <c r="AA757" s="157" t="n">
        <v>2</v>
      </c>
      <c r="AB757" s="157" t="n">
        <v>1</v>
      </c>
      <c r="AC757" s="431" t="s">
        <v>529</v>
      </c>
      <c r="AD757" s="437"/>
      <c r="AE757" s="167"/>
      <c r="AF757" s="167"/>
      <c r="AG757" s="167"/>
      <c r="AH757" s="167"/>
      <c r="AI757" s="167"/>
      <c r="AJ757" s="167"/>
      <c r="AK757" s="167" t="s">
        <v>8308</v>
      </c>
      <c r="AL757" s="157" t="n">
        <f aca="false">IF(AND(ISNUMBER($S757),$S757&gt;0,ISNUMBER($K757),ISNUMBER($J757)),($K757*$J757)/$S757,"")</f>
        <v>26400</v>
      </c>
    </row>
    <row r="758" customFormat="false" ht="12.75" hidden="false" customHeight="true" outlineLevel="0" collapsed="false">
      <c r="A758" s="441" t="n">
        <v>8</v>
      </c>
      <c r="B758" s="157" t="n">
        <v>750</v>
      </c>
      <c r="C758" s="437" t="s">
        <v>8246</v>
      </c>
      <c r="D758" s="157" t="s">
        <v>8673</v>
      </c>
      <c r="E758" s="461" t="s">
        <v>2461</v>
      </c>
      <c r="F758" s="157" t="s">
        <v>8674</v>
      </c>
      <c r="G758" s="445" t="n">
        <v>46.1</v>
      </c>
      <c r="H758" s="431" t="n">
        <v>9210</v>
      </c>
      <c r="I758" s="457" t="n">
        <v>0</v>
      </c>
      <c r="J758" s="458" t="n">
        <v>4752</v>
      </c>
      <c r="K758" s="462" t="n">
        <v>7.57575757575758</v>
      </c>
      <c r="L758" s="463" t="n">
        <v>0</v>
      </c>
      <c r="M758" s="463" t="n">
        <v>0.16625</v>
      </c>
      <c r="N758" s="431" t="n">
        <v>1971</v>
      </c>
      <c r="O758" s="446" t="n">
        <f aca="false">920+720</f>
        <v>1640</v>
      </c>
      <c r="Q758" s="157" t="n">
        <v>15</v>
      </c>
      <c r="R758" s="157" t="n">
        <v>3</v>
      </c>
      <c r="S758" s="157" t="n">
        <v>1</v>
      </c>
      <c r="T758" s="457" t="s">
        <v>7526</v>
      </c>
      <c r="U758" s="457" t="n">
        <v>391</v>
      </c>
      <c r="V758" s="458" t="n">
        <v>8560</v>
      </c>
      <c r="W758" s="458" t="n">
        <v>9000</v>
      </c>
      <c r="X758" s="464" t="s">
        <v>6863</v>
      </c>
      <c r="Y758" s="458" t="n">
        <f aca="false">ROUND(J758,-3)</f>
        <v>5000</v>
      </c>
      <c r="Z758" s="457" t="s">
        <v>6638</v>
      </c>
      <c r="AA758" s="157" t="n">
        <v>3</v>
      </c>
      <c r="AB758" s="157" t="n">
        <v>3</v>
      </c>
      <c r="AC758" s="431" t="s">
        <v>586</v>
      </c>
      <c r="AD758" s="437"/>
      <c r="AE758" s="167"/>
      <c r="AF758" s="167"/>
      <c r="AG758" s="167"/>
      <c r="AH758" s="167"/>
      <c r="AI758" s="167"/>
      <c r="AJ758" s="167"/>
      <c r="AK758" s="167" t="s">
        <v>8675</v>
      </c>
      <c r="AL758" s="157" t="n">
        <f aca="false">IF(AND(ISNUMBER($S758),$S758&gt;0,ISNUMBER($K758),ISNUMBER($J758)),($K758*$J758)/$S758,"")</f>
        <v>36000</v>
      </c>
    </row>
    <row r="759" customFormat="false" ht="12.75" hidden="false" customHeight="true" outlineLevel="0" collapsed="false">
      <c r="A759" s="441" t="n">
        <v>8</v>
      </c>
      <c r="B759" s="157" t="n">
        <v>751</v>
      </c>
      <c r="C759" s="437" t="s">
        <v>8246</v>
      </c>
      <c r="D759" s="157" t="s">
        <v>7100</v>
      </c>
      <c r="E759" s="461" t="s">
        <v>2461</v>
      </c>
      <c r="F759" s="157" t="s">
        <v>7101</v>
      </c>
      <c r="G759" s="445" t="n">
        <v>44.1</v>
      </c>
      <c r="H759" s="431" t="n">
        <v>9210</v>
      </c>
      <c r="I759" s="457" t="n">
        <v>0</v>
      </c>
      <c r="J759" s="458" t="n">
        <v>9000</v>
      </c>
      <c r="K759" s="462" t="n">
        <v>10.8888888888889</v>
      </c>
      <c r="L759" s="463" t="n">
        <v>0</v>
      </c>
      <c r="M759" s="463" t="n">
        <v>0.286734693877551</v>
      </c>
      <c r="N759" s="431" t="n">
        <v>1973</v>
      </c>
      <c r="O759" s="446" t="n">
        <v>384</v>
      </c>
      <c r="Q759" s="157" t="n">
        <v>15</v>
      </c>
      <c r="R759" s="157" t="n">
        <v>3</v>
      </c>
      <c r="S759" s="157" t="n">
        <v>1</v>
      </c>
      <c r="T759" s="457" t="s">
        <v>7526</v>
      </c>
      <c r="U759" s="457" t="n">
        <v>398</v>
      </c>
      <c r="V759" s="458" t="n">
        <v>12500</v>
      </c>
      <c r="W759" s="458" t="n">
        <v>13000</v>
      </c>
      <c r="X759" s="464" t="s">
        <v>7103</v>
      </c>
      <c r="Y759" s="458" t="n">
        <f aca="false">ROUND(J759,-3)</f>
        <v>9000</v>
      </c>
      <c r="Z759" s="457" t="s">
        <v>6638</v>
      </c>
      <c r="AA759" s="157" t="n">
        <v>3</v>
      </c>
      <c r="AB759" s="157" t="n">
        <v>3</v>
      </c>
      <c r="AC759" s="431" t="s">
        <v>586</v>
      </c>
      <c r="AD759" s="437"/>
      <c r="AE759" s="167"/>
      <c r="AF759" s="167"/>
      <c r="AG759" s="167"/>
      <c r="AH759" s="167"/>
      <c r="AI759" s="167"/>
      <c r="AJ759" s="167"/>
      <c r="AK759" s="167" t="s">
        <v>8676</v>
      </c>
      <c r="AL759" s="157" t="n">
        <f aca="false">IF(AND(ISNUMBER($S759),$S759&gt;0,ISNUMBER($K759),ISNUMBER($J759)),($K759*$J759)/$S759,"")</f>
        <v>98000.0000000001</v>
      </c>
    </row>
    <row r="760" customFormat="false" ht="12.75" hidden="false" customHeight="true" outlineLevel="0" collapsed="false">
      <c r="A760" s="441" t="n">
        <v>8</v>
      </c>
      <c r="B760" s="157" t="n">
        <v>752</v>
      </c>
      <c r="C760" s="437" t="s">
        <v>8246</v>
      </c>
      <c r="D760" s="157" t="s">
        <v>8677</v>
      </c>
      <c r="E760" s="461" t="s">
        <v>2461</v>
      </c>
      <c r="F760" s="157" t="s">
        <v>8678</v>
      </c>
      <c r="G760" s="445" t="n">
        <v>44.1</v>
      </c>
      <c r="H760" s="431" t="n">
        <v>9210</v>
      </c>
      <c r="I760" s="457" t="n">
        <v>0</v>
      </c>
      <c r="J760" s="458" t="n">
        <v>3999</v>
      </c>
      <c r="K760" s="462" t="n">
        <v>6.30157539384846</v>
      </c>
      <c r="L760" s="463" t="n">
        <v>0</v>
      </c>
      <c r="M760" s="463" t="n">
        <v>0.131944444444444</v>
      </c>
      <c r="N760" s="431" t="n">
        <v>1920</v>
      </c>
      <c r="O760" s="446" t="n">
        <v>1215</v>
      </c>
      <c r="Q760" s="157" t="n">
        <v>14</v>
      </c>
      <c r="R760" s="157" t="n">
        <v>1</v>
      </c>
      <c r="S760" s="157" t="n">
        <v>1</v>
      </c>
      <c r="T760" s="457" t="s">
        <v>7526</v>
      </c>
      <c r="U760" s="457" t="n">
        <v>398</v>
      </c>
      <c r="V760" s="458" t="n">
        <v>18750</v>
      </c>
      <c r="W760" s="458" t="n">
        <v>19000</v>
      </c>
      <c r="X760" s="464" t="s">
        <v>8679</v>
      </c>
      <c r="Y760" s="458" t="n">
        <f aca="false">ROUND(J760,-3)</f>
        <v>4000</v>
      </c>
      <c r="Z760" s="457" t="s">
        <v>6638</v>
      </c>
      <c r="AA760" s="157" t="n">
        <v>3</v>
      </c>
      <c r="AB760" s="157" t="n">
        <v>3</v>
      </c>
      <c r="AC760" s="431" t="s">
        <v>586</v>
      </c>
      <c r="AD760" s="437" t="s">
        <v>8680</v>
      </c>
      <c r="AE760" s="167"/>
      <c r="AF760" s="167"/>
      <c r="AG760" s="167"/>
      <c r="AH760" s="167"/>
      <c r="AI760" s="167"/>
      <c r="AJ760" s="167"/>
      <c r="AK760" s="167" t="s">
        <v>8257</v>
      </c>
      <c r="AL760" s="157" t="n">
        <f aca="false">IF(AND(ISNUMBER($S760),$S760&gt;0,ISNUMBER($K760),ISNUMBER($J760)),($K760*$J760)/$S760,"")</f>
        <v>25200</v>
      </c>
    </row>
    <row r="761" customFormat="false" ht="12.75" hidden="false" customHeight="true" outlineLevel="0" collapsed="false">
      <c r="A761" s="441" t="n">
        <v>8</v>
      </c>
      <c r="B761" s="157" t="n">
        <v>753</v>
      </c>
      <c r="C761" s="437" t="s">
        <v>8246</v>
      </c>
      <c r="D761" s="157" t="s">
        <v>7105</v>
      </c>
      <c r="E761" s="461" t="s">
        <v>2461</v>
      </c>
      <c r="F761" s="157" t="s">
        <v>7106</v>
      </c>
      <c r="G761" s="445" t="n">
        <v>44.5</v>
      </c>
      <c r="H761" s="431" t="n">
        <v>9210</v>
      </c>
      <c r="I761" s="457" t="n">
        <v>0</v>
      </c>
      <c r="J761" s="458" t="n">
        <v>22640</v>
      </c>
      <c r="K761" s="462" t="n">
        <v>7.74191696113074</v>
      </c>
      <c r="L761" s="463" t="n">
        <v>0.06</v>
      </c>
      <c r="M761" s="463" t="n">
        <v>0.240773176172573</v>
      </c>
      <c r="N761" s="431" t="n">
        <v>1950</v>
      </c>
      <c r="Q761" s="157" t="n">
        <v>11</v>
      </c>
      <c r="R761" s="157" t="n">
        <v>1</v>
      </c>
      <c r="S761" s="157" t="n">
        <v>85</v>
      </c>
      <c r="T761" s="457" t="s">
        <v>7531</v>
      </c>
      <c r="U761" s="457" t="n">
        <v>396</v>
      </c>
      <c r="V761" s="458" t="n">
        <v>31250</v>
      </c>
      <c r="W761" s="458" t="n">
        <v>31000</v>
      </c>
      <c r="X761" s="464" t="s">
        <v>6710</v>
      </c>
      <c r="Y761" s="458" t="n">
        <f aca="false">ROUND(J761,-3)</f>
        <v>23000</v>
      </c>
      <c r="Z761" s="457" t="s">
        <v>6638</v>
      </c>
      <c r="AA761" s="157" t="n">
        <v>3</v>
      </c>
      <c r="AB761" s="157" t="n">
        <v>3</v>
      </c>
      <c r="AC761" s="431" t="s">
        <v>586</v>
      </c>
      <c r="AD761" s="437" t="s">
        <v>7107</v>
      </c>
      <c r="AE761" s="167"/>
      <c r="AF761" s="167"/>
      <c r="AG761" s="167"/>
      <c r="AH761" s="167"/>
      <c r="AI761" s="167"/>
      <c r="AJ761" s="167"/>
      <c r="AK761" s="167" t="s">
        <v>8681</v>
      </c>
      <c r="AL761" s="157" t="n">
        <f aca="false">IF(AND(ISNUMBER($S761),$S761&gt;0,ISNUMBER($K761),ISNUMBER($J761)),($K761*$J761)/$S761,"")</f>
        <v>2062.08235294118</v>
      </c>
    </row>
    <row r="762" customFormat="false" ht="12.75" hidden="false" customHeight="true" outlineLevel="0" collapsed="false">
      <c r="A762" s="441" t="n">
        <v>8</v>
      </c>
      <c r="B762" s="157" t="n">
        <v>754</v>
      </c>
      <c r="C762" s="437" t="s">
        <v>8246</v>
      </c>
      <c r="D762" s="157" t="s">
        <v>8682</v>
      </c>
      <c r="E762" s="461" t="s">
        <v>2461</v>
      </c>
      <c r="F762" s="157" t="s">
        <v>8683</v>
      </c>
      <c r="G762" s="445" t="n">
        <v>47.1</v>
      </c>
      <c r="H762" s="431" t="n">
        <v>9210</v>
      </c>
      <c r="I762" s="457" t="n">
        <v>0</v>
      </c>
      <c r="J762" s="458" t="n">
        <v>14065</v>
      </c>
      <c r="K762" s="462" t="n">
        <v>10.0551724137931</v>
      </c>
      <c r="L762" s="463" t="n">
        <v>0</v>
      </c>
      <c r="M762" s="463" t="n">
        <v>0</v>
      </c>
      <c r="N762" s="431" t="n">
        <v>2000</v>
      </c>
      <c r="O762" s="446" t="n">
        <v>2410</v>
      </c>
      <c r="Q762" s="157" t="n">
        <v>16</v>
      </c>
      <c r="R762" s="157" t="n">
        <v>3</v>
      </c>
      <c r="S762" s="157" t="n">
        <v>1</v>
      </c>
      <c r="T762" s="457" t="s">
        <v>7531</v>
      </c>
      <c r="U762" s="457" t="n">
        <v>401</v>
      </c>
      <c r="V762" s="458" t="n">
        <v>6875</v>
      </c>
      <c r="W762" s="458" t="n">
        <v>7000</v>
      </c>
      <c r="X762" s="464" t="s">
        <v>7170</v>
      </c>
      <c r="Y762" s="458" t="n">
        <f aca="false">ROUND(J762,-3)</f>
        <v>14000</v>
      </c>
      <c r="Z762" s="457" t="s">
        <v>6638</v>
      </c>
      <c r="AA762" s="157" t="n">
        <v>3</v>
      </c>
      <c r="AB762" s="157" t="n">
        <v>3</v>
      </c>
      <c r="AC762" s="431" t="s">
        <v>586</v>
      </c>
      <c r="AD762" s="437" t="s">
        <v>8684</v>
      </c>
      <c r="AE762" s="167"/>
      <c r="AF762" s="167"/>
      <c r="AG762" s="167"/>
      <c r="AH762" s="167"/>
      <c r="AI762" s="167"/>
      <c r="AJ762" s="167"/>
      <c r="AK762" s="167" t="s">
        <v>8685</v>
      </c>
      <c r="AL762" s="157" t="n">
        <f aca="false">IF(AND(ISNUMBER($S762),$S762&gt;0,ISNUMBER($K762),ISNUMBER($J762)),($K762*$J762)/$S762,"")</f>
        <v>141426</v>
      </c>
    </row>
    <row r="763" customFormat="false" ht="12.75" hidden="false" customHeight="true" outlineLevel="0" collapsed="false">
      <c r="A763" s="441" t="n">
        <v>8</v>
      </c>
      <c r="B763" s="157" t="n">
        <v>755</v>
      </c>
      <c r="C763" s="437" t="s">
        <v>8246</v>
      </c>
      <c r="D763" s="157" t="s">
        <v>7113</v>
      </c>
      <c r="E763" s="461" t="s">
        <v>2461</v>
      </c>
      <c r="F763" s="157" t="s">
        <v>7114</v>
      </c>
      <c r="G763" s="445" t="n">
        <v>44.1</v>
      </c>
      <c r="H763" s="431" t="n">
        <v>9210</v>
      </c>
      <c r="I763" s="457" t="n">
        <v>0</v>
      </c>
      <c r="J763" s="458" t="n">
        <v>7464</v>
      </c>
      <c r="K763" s="462" t="n">
        <v>4.82315112540193</v>
      </c>
      <c r="L763" s="463" t="n">
        <v>0</v>
      </c>
      <c r="M763" s="463" t="n">
        <v>0.111944444444444</v>
      </c>
      <c r="N763" s="431" t="n">
        <v>1931</v>
      </c>
      <c r="O763" s="446" t="n">
        <v>180</v>
      </c>
      <c r="Q763" s="157" t="n">
        <v>14</v>
      </c>
      <c r="R763" s="157" t="n">
        <v>7</v>
      </c>
      <c r="S763" s="157" t="n">
        <v>1</v>
      </c>
      <c r="T763" s="457" t="s">
        <v>7531</v>
      </c>
      <c r="U763" s="457" t="n">
        <v>398</v>
      </c>
      <c r="V763" s="458" t="n">
        <v>12500</v>
      </c>
      <c r="W763" s="458" t="n">
        <v>13000</v>
      </c>
      <c r="X763" s="464" t="s">
        <v>6954</v>
      </c>
      <c r="Y763" s="458" t="n">
        <f aca="false">ROUND(J763,-3)</f>
        <v>7000</v>
      </c>
      <c r="Z763" s="457" t="s">
        <v>6638</v>
      </c>
      <c r="AA763" s="157" t="n">
        <v>1</v>
      </c>
      <c r="AB763" s="157" t="n">
        <v>3</v>
      </c>
      <c r="AC763" s="431" t="s">
        <v>497</v>
      </c>
      <c r="AD763" s="437" t="s">
        <v>7116</v>
      </c>
      <c r="AE763" s="167"/>
      <c r="AF763" s="167"/>
      <c r="AG763" s="167"/>
      <c r="AH763" s="167"/>
      <c r="AI763" s="167"/>
      <c r="AJ763" s="167"/>
      <c r="AK763" s="167" t="s">
        <v>8257</v>
      </c>
      <c r="AL763" s="157" t="n">
        <f aca="false">IF(AND(ISNUMBER($S763),$S763&gt;0,ISNUMBER($K763),ISNUMBER($J763)),($K763*$J763)/$S763,"")</f>
        <v>36000</v>
      </c>
    </row>
    <row r="764" customFormat="false" ht="12.75" hidden="false" customHeight="true" outlineLevel="0" collapsed="false">
      <c r="A764" s="441" t="n">
        <v>8</v>
      </c>
      <c r="B764" s="157" t="n">
        <v>756</v>
      </c>
      <c r="C764" s="437" t="s">
        <v>8246</v>
      </c>
      <c r="D764" s="157" t="s">
        <v>8686</v>
      </c>
      <c r="E764" s="461" t="s">
        <v>2461</v>
      </c>
      <c r="F764" s="157" t="s">
        <v>8687</v>
      </c>
      <c r="G764" s="445" t="n">
        <v>44.2</v>
      </c>
      <c r="H764" s="431" t="n">
        <v>9210</v>
      </c>
      <c r="I764" s="457" t="n">
        <v>0</v>
      </c>
      <c r="J764" s="458" t="n">
        <v>600</v>
      </c>
      <c r="K764" s="462" t="n">
        <v>13.2</v>
      </c>
      <c r="L764" s="463" t="n">
        <v>0</v>
      </c>
      <c r="M764" s="463" t="n">
        <v>0</v>
      </c>
      <c r="N764" s="431" t="n">
        <v>1942</v>
      </c>
      <c r="P764" s="446" t="n">
        <f aca="false">2531+246</f>
        <v>2777</v>
      </c>
      <c r="Q764" s="157" t="n">
        <v>16</v>
      </c>
      <c r="R764" s="157" t="n">
        <v>1</v>
      </c>
      <c r="S764" s="157" t="n">
        <v>1</v>
      </c>
      <c r="T764" s="457" t="s">
        <v>7531</v>
      </c>
      <c r="U764" s="457" t="n">
        <v>398</v>
      </c>
      <c r="V764" s="458" t="n">
        <v>12402</v>
      </c>
      <c r="W764" s="458" t="n">
        <v>12000</v>
      </c>
      <c r="X764" s="464" t="s">
        <v>6646</v>
      </c>
      <c r="Y764" s="458" t="n">
        <f aca="false">ROUND(J764,-2)</f>
        <v>600</v>
      </c>
      <c r="Z764" s="457" t="s">
        <v>6638</v>
      </c>
      <c r="AA764" s="157" t="n">
        <v>3</v>
      </c>
      <c r="AB764" s="157" t="n">
        <v>1</v>
      </c>
      <c r="AC764" s="431" t="s">
        <v>576</v>
      </c>
      <c r="AD764" s="437" t="s">
        <v>6651</v>
      </c>
      <c r="AE764" s="167"/>
      <c r="AF764" s="167"/>
      <c r="AG764" s="167"/>
      <c r="AH764" s="167"/>
      <c r="AI764" s="167"/>
      <c r="AJ764" s="167"/>
      <c r="AK764" s="167" t="s">
        <v>8688</v>
      </c>
      <c r="AL764" s="157" t="n">
        <f aca="false">IF(AND(ISNUMBER($S764),$S764&gt;0,ISNUMBER($K764),ISNUMBER($J764)),($K764*$J764)/$S764,"")</f>
        <v>7920</v>
      </c>
    </row>
    <row r="765" customFormat="false" ht="12.75" hidden="false" customHeight="true" outlineLevel="0" collapsed="false">
      <c r="A765" s="441" t="n">
        <v>8</v>
      </c>
      <c r="B765" s="157" t="n">
        <v>757</v>
      </c>
      <c r="C765" s="437" t="s">
        <v>8246</v>
      </c>
      <c r="D765" s="157" t="s">
        <v>7118</v>
      </c>
      <c r="E765" s="461" t="s">
        <v>2461</v>
      </c>
      <c r="F765" s="157" t="s">
        <v>7119</v>
      </c>
      <c r="G765" s="445" t="n">
        <v>47.1</v>
      </c>
      <c r="H765" s="431" t="n">
        <v>9210</v>
      </c>
      <c r="I765" s="457" t="n">
        <v>0</v>
      </c>
      <c r="J765" s="458" t="n">
        <v>6832</v>
      </c>
      <c r="K765" s="462" t="n">
        <v>5.62060889929742</v>
      </c>
      <c r="L765" s="463" t="n">
        <v>0</v>
      </c>
      <c r="M765" s="463" t="n">
        <v>0.175520833333333</v>
      </c>
      <c r="N765" s="431" t="n">
        <v>1957</v>
      </c>
      <c r="Q765" s="157" t="n">
        <v>22</v>
      </c>
      <c r="R765" s="157" t="n">
        <v>3</v>
      </c>
      <c r="S765" s="157" t="n">
        <v>1</v>
      </c>
      <c r="T765" s="457" t="s">
        <v>7531</v>
      </c>
      <c r="U765" s="457" t="n">
        <v>401</v>
      </c>
      <c r="V765" s="458" t="n">
        <v>27680</v>
      </c>
      <c r="W765" s="458" t="n">
        <v>28000</v>
      </c>
      <c r="X765" s="464" t="s">
        <v>6659</v>
      </c>
      <c r="Y765" s="458" t="n">
        <f aca="false">ROUND(J765,-3)</f>
        <v>7000</v>
      </c>
      <c r="Z765" s="457" t="s">
        <v>6638</v>
      </c>
      <c r="AA765" s="157" t="n">
        <v>1</v>
      </c>
      <c r="AB765" s="157" t="n">
        <v>3</v>
      </c>
      <c r="AC765" s="431" t="s">
        <v>497</v>
      </c>
      <c r="AD765" s="437" t="s">
        <v>7120</v>
      </c>
      <c r="AE765" s="167"/>
      <c r="AF765" s="167"/>
      <c r="AG765" s="167"/>
      <c r="AH765" s="167"/>
      <c r="AI765" s="167"/>
      <c r="AJ765" s="167"/>
      <c r="AK765" s="167" t="s">
        <v>8689</v>
      </c>
      <c r="AL765" s="157" t="n">
        <f aca="false">IF(AND(ISNUMBER($S765),$S765&gt;0,ISNUMBER($K765),ISNUMBER($J765)),($K765*$J765)/$S765,"")</f>
        <v>38400</v>
      </c>
    </row>
    <row r="766" customFormat="false" ht="12.75" hidden="false" customHeight="true" outlineLevel="0" collapsed="false">
      <c r="A766" s="441" t="n">
        <v>8</v>
      </c>
      <c r="B766" s="157" t="n">
        <v>758</v>
      </c>
      <c r="C766" s="437" t="s">
        <v>8246</v>
      </c>
      <c r="D766" s="157" t="s">
        <v>8690</v>
      </c>
      <c r="E766" s="461" t="s">
        <v>2461</v>
      </c>
      <c r="F766" s="157" t="s">
        <v>8691</v>
      </c>
      <c r="G766" s="445" t="n">
        <v>44.1</v>
      </c>
      <c r="H766" s="431" t="n">
        <v>9210</v>
      </c>
      <c r="I766" s="457" t="n">
        <v>0</v>
      </c>
      <c r="J766" s="458" t="n">
        <v>9530</v>
      </c>
      <c r="K766" s="462" t="n">
        <v>12.591815320042</v>
      </c>
      <c r="L766" s="463" t="n">
        <v>0</v>
      </c>
      <c r="M766" s="463" t="n">
        <v>0</v>
      </c>
      <c r="N766" s="431" t="n">
        <v>1941</v>
      </c>
      <c r="P766" s="446" t="n">
        <v>1758</v>
      </c>
      <c r="Q766" s="157" t="n">
        <v>20</v>
      </c>
      <c r="R766" s="157" t="n">
        <v>1</v>
      </c>
      <c r="S766" s="157" t="n">
        <v>1</v>
      </c>
      <c r="T766" s="457" t="s">
        <v>7531</v>
      </c>
      <c r="U766" s="457" t="n">
        <v>398</v>
      </c>
      <c r="V766" s="458" t="n">
        <v>190539</v>
      </c>
      <c r="W766" s="458" t="n">
        <v>190000</v>
      </c>
      <c r="X766" s="464" t="s">
        <v>8692</v>
      </c>
      <c r="Y766" s="458" t="n">
        <f aca="false">ROUND(J766,-3)</f>
        <v>10000</v>
      </c>
      <c r="Z766" s="457" t="s">
        <v>6638</v>
      </c>
      <c r="AA766" s="157" t="n">
        <v>3</v>
      </c>
      <c r="AB766" s="157" t="n">
        <v>3</v>
      </c>
      <c r="AC766" s="431" t="s">
        <v>586</v>
      </c>
      <c r="AD766" s="437" t="s">
        <v>8693</v>
      </c>
      <c r="AE766" s="167"/>
      <c r="AF766" s="167"/>
      <c r="AG766" s="167"/>
      <c r="AH766" s="167"/>
      <c r="AI766" s="167"/>
      <c r="AJ766" s="167"/>
      <c r="AK766" s="167" t="s">
        <v>8694</v>
      </c>
      <c r="AL766" s="157" t="n">
        <f aca="false">IF(AND(ISNUMBER($S766),$S766&gt;0,ISNUMBER($K766),ISNUMBER($J766)),($K766*$J766)/$S766,"")</f>
        <v>120000</v>
      </c>
    </row>
    <row r="767" customFormat="false" ht="12.75" hidden="false" customHeight="true" outlineLevel="0" collapsed="false">
      <c r="A767" s="441" t="n">
        <v>8</v>
      </c>
      <c r="B767" s="157" t="n">
        <v>759</v>
      </c>
      <c r="C767" s="437" t="s">
        <v>8246</v>
      </c>
      <c r="D767" s="157" t="s">
        <v>8695</v>
      </c>
      <c r="E767" s="461" t="s">
        <v>2461</v>
      </c>
      <c r="F767" s="157" t="s">
        <v>8696</v>
      </c>
      <c r="G767" s="445" t="n">
        <v>44.1</v>
      </c>
      <c r="H767" s="431" t="n">
        <v>9210</v>
      </c>
      <c r="I767" s="457" t="n">
        <v>0</v>
      </c>
      <c r="J767" s="458" t="n">
        <v>7000</v>
      </c>
      <c r="K767" s="462" t="n">
        <v>2.91428571428571</v>
      </c>
      <c r="L767" s="463" t="n">
        <v>0</v>
      </c>
      <c r="M767" s="463" t="n">
        <v>0</v>
      </c>
      <c r="N767" s="431" t="n">
        <v>1973</v>
      </c>
      <c r="O767" s="446" t="n">
        <v>312</v>
      </c>
      <c r="Q767" s="157" t="n">
        <v>15</v>
      </c>
      <c r="R767" s="157" t="n">
        <v>3</v>
      </c>
      <c r="S767" s="157" t="n">
        <v>1</v>
      </c>
      <c r="T767" s="457" t="s">
        <v>7526</v>
      </c>
      <c r="U767" s="457" t="n">
        <v>398</v>
      </c>
      <c r="V767" s="458" t="n">
        <v>12500</v>
      </c>
      <c r="W767" s="458" t="n">
        <v>13000</v>
      </c>
      <c r="X767" s="464" t="s">
        <v>7103</v>
      </c>
      <c r="Y767" s="458" t="n">
        <f aca="false">ROUND(J767,-3)</f>
        <v>7000</v>
      </c>
      <c r="Z767" s="457" t="s">
        <v>6638</v>
      </c>
      <c r="AA767" s="157" t="n">
        <v>3</v>
      </c>
      <c r="AB767" s="157" t="n">
        <v>3</v>
      </c>
      <c r="AC767" s="431" t="s">
        <v>586</v>
      </c>
      <c r="AD767" s="437"/>
      <c r="AE767" s="167"/>
      <c r="AF767" s="167"/>
      <c r="AG767" s="167"/>
      <c r="AH767" s="167"/>
      <c r="AI767" s="167"/>
      <c r="AJ767" s="167"/>
      <c r="AK767" s="167" t="s">
        <v>8574</v>
      </c>
      <c r="AL767" s="157" t="n">
        <f aca="false">IF(AND(ISNUMBER($S767),$S767&gt;0,ISNUMBER($K767),ISNUMBER($J767)),($K767*$J767)/$S767,"")</f>
        <v>20400</v>
      </c>
    </row>
    <row r="768" customFormat="false" ht="12.75" hidden="false" customHeight="true" outlineLevel="0" collapsed="false">
      <c r="A768" s="441" t="n">
        <v>8</v>
      </c>
      <c r="B768" s="157" t="n">
        <v>760</v>
      </c>
      <c r="C768" s="437" t="s">
        <v>8246</v>
      </c>
      <c r="D768" s="157" t="s">
        <v>8697</v>
      </c>
      <c r="E768" s="461" t="s">
        <v>2461</v>
      </c>
      <c r="F768" s="157" t="s">
        <v>8698</v>
      </c>
      <c r="G768" s="445" t="n">
        <v>44.1</v>
      </c>
      <c r="H768" s="431" t="n">
        <v>9210</v>
      </c>
      <c r="I768" s="457" t="n">
        <v>0</v>
      </c>
      <c r="J768" s="458" t="n">
        <v>68924</v>
      </c>
      <c r="K768" s="462" t="n">
        <v>6.68562474609715</v>
      </c>
      <c r="L768" s="463" t="n">
        <v>0</v>
      </c>
      <c r="M768" s="463" t="n">
        <v>0</v>
      </c>
      <c r="N768" s="431" t="n">
        <v>1994</v>
      </c>
      <c r="P768" s="446" t="n">
        <v>7548</v>
      </c>
      <c r="Q768" s="157" t="n">
        <v>24</v>
      </c>
      <c r="R768" s="157" t="n">
        <v>9</v>
      </c>
      <c r="S768" s="157" t="n">
        <v>1</v>
      </c>
      <c r="T768" s="457" t="s">
        <v>7526</v>
      </c>
      <c r="U768" s="457" t="n">
        <v>398</v>
      </c>
      <c r="V768" s="458" t="n">
        <v>162548</v>
      </c>
      <c r="W768" s="458" t="n">
        <v>160000</v>
      </c>
      <c r="X768" s="464" t="s">
        <v>6650</v>
      </c>
      <c r="Y768" s="458" t="n">
        <f aca="false">ROUND(J768,-4)</f>
        <v>70000</v>
      </c>
      <c r="Z768" s="457" t="s">
        <v>6638</v>
      </c>
      <c r="AA768" s="157" t="n">
        <v>3</v>
      </c>
      <c r="AB768" s="157" t="n">
        <v>3</v>
      </c>
      <c r="AC768" s="431" t="s">
        <v>586</v>
      </c>
      <c r="AD768" s="437" t="s">
        <v>8699</v>
      </c>
      <c r="AE768" s="167"/>
      <c r="AF768" s="167"/>
      <c r="AG768" s="167"/>
      <c r="AH768" s="167"/>
      <c r="AI768" s="167"/>
      <c r="AJ768" s="167"/>
      <c r="AK768" s="167" t="s">
        <v>8700</v>
      </c>
      <c r="AL768" s="157" t="n">
        <f aca="false">IF(AND(ISNUMBER($S768),$S768&gt;0,ISNUMBER($K768),ISNUMBER($J768)),($K768*$J768)/$S768,"")</f>
        <v>460800</v>
      </c>
    </row>
    <row r="769" customFormat="false" ht="12.75" hidden="false" customHeight="true" outlineLevel="0" collapsed="false">
      <c r="A769" s="441" t="n">
        <v>8</v>
      </c>
      <c r="B769" s="157" t="n">
        <v>761</v>
      </c>
      <c r="C769" s="437" t="s">
        <v>8246</v>
      </c>
      <c r="D769" s="157" t="s">
        <v>7854</v>
      </c>
      <c r="E769" s="461" t="s">
        <v>2461</v>
      </c>
      <c r="F769" s="157" t="s">
        <v>8701</v>
      </c>
      <c r="G769" s="445" t="n">
        <v>44.2</v>
      </c>
      <c r="H769" s="431" t="n">
        <v>9210</v>
      </c>
      <c r="I769" s="457" t="n">
        <v>0</v>
      </c>
      <c r="J769" s="458" t="n">
        <v>7500</v>
      </c>
      <c r="K769" s="462" t="n">
        <v>4.8</v>
      </c>
      <c r="L769" s="463" t="n">
        <v>0</v>
      </c>
      <c r="M769" s="463" t="n">
        <v>0.172416666666667</v>
      </c>
      <c r="N769" s="431" t="n">
        <v>1968</v>
      </c>
      <c r="O769" s="446" t="n">
        <v>2908</v>
      </c>
      <c r="Q769" s="157" t="n">
        <v>15</v>
      </c>
      <c r="R769" s="157" t="n">
        <v>1</v>
      </c>
      <c r="S769" s="157" t="n">
        <v>1</v>
      </c>
      <c r="T769" s="457" t="s">
        <v>7531</v>
      </c>
      <c r="U769" s="457" t="n">
        <v>398</v>
      </c>
      <c r="V769" s="458" t="n">
        <v>21452</v>
      </c>
      <c r="W769" s="458" t="n">
        <v>21000</v>
      </c>
      <c r="X769" s="464" t="s">
        <v>7288</v>
      </c>
      <c r="Y769" s="458" t="n">
        <f aca="false">ROUND(J769,-3)</f>
        <v>8000</v>
      </c>
      <c r="Z769" s="457" t="s">
        <v>6638</v>
      </c>
      <c r="AA769" s="157" t="n">
        <v>3</v>
      </c>
      <c r="AB769" s="157" t="n">
        <v>3</v>
      </c>
      <c r="AC769" s="431" t="s">
        <v>586</v>
      </c>
      <c r="AD769" s="437" t="s">
        <v>7856</v>
      </c>
      <c r="AE769" s="167"/>
      <c r="AF769" s="167"/>
      <c r="AG769" s="167"/>
      <c r="AH769" s="167"/>
      <c r="AI769" s="167"/>
      <c r="AJ769" s="167"/>
      <c r="AK769" s="167" t="s">
        <v>8702</v>
      </c>
      <c r="AL769" s="157" t="n">
        <f aca="false">IF(AND(ISNUMBER($S769),$S769&gt;0,ISNUMBER($K769),ISNUMBER($J769)),($K769*$J769)/$S769,"")</f>
        <v>36000</v>
      </c>
    </row>
    <row r="770" customFormat="false" ht="12.75" hidden="false" customHeight="true" outlineLevel="0" collapsed="false">
      <c r="A770" s="441" t="n">
        <v>8</v>
      </c>
      <c r="B770" s="157" t="n">
        <v>762</v>
      </c>
      <c r="C770" s="437" t="s">
        <v>8246</v>
      </c>
      <c r="D770" s="157" t="s">
        <v>8703</v>
      </c>
      <c r="E770" s="461" t="s">
        <v>2461</v>
      </c>
      <c r="F770" s="157" t="s">
        <v>8704</v>
      </c>
      <c r="G770" s="445" t="n">
        <v>47.1</v>
      </c>
      <c r="H770" s="431" t="n">
        <v>9210</v>
      </c>
      <c r="I770" s="457" t="n">
        <v>0</v>
      </c>
      <c r="J770" s="458" t="n">
        <v>31638</v>
      </c>
      <c r="K770" s="462" t="n">
        <v>2.57917693912384</v>
      </c>
      <c r="L770" s="463" t="n">
        <v>0</v>
      </c>
      <c r="M770" s="463" t="n">
        <v>0.0680882352941176</v>
      </c>
      <c r="N770" s="431" t="n">
        <v>1953</v>
      </c>
      <c r="O770" s="446" t="n">
        <f aca="false">700+1034</f>
        <v>1734</v>
      </c>
      <c r="Q770" s="157" t="n">
        <v>17</v>
      </c>
      <c r="R770" s="157" t="n">
        <v>1</v>
      </c>
      <c r="S770" s="157" t="n">
        <v>1</v>
      </c>
      <c r="T770" s="457" t="s">
        <v>7531</v>
      </c>
      <c r="U770" s="457" t="n">
        <v>401</v>
      </c>
      <c r="V770" s="458" t="n">
        <v>77000</v>
      </c>
      <c r="W770" s="458" t="n">
        <v>80000</v>
      </c>
      <c r="X770" s="464" t="s">
        <v>6650</v>
      </c>
      <c r="Y770" s="458" t="n">
        <f aca="false">ROUND(J770,-3)</f>
        <v>32000</v>
      </c>
      <c r="Z770" s="457" t="s">
        <v>6638</v>
      </c>
      <c r="AA770" s="157" t="n">
        <v>3</v>
      </c>
      <c r="AB770" s="157" t="n">
        <v>3</v>
      </c>
      <c r="AC770" s="431" t="s">
        <v>586</v>
      </c>
      <c r="AD770" s="437" t="s">
        <v>8705</v>
      </c>
      <c r="AE770" s="167"/>
      <c r="AF770" s="167"/>
      <c r="AG770" s="167"/>
      <c r="AH770" s="167"/>
      <c r="AI770" s="167"/>
      <c r="AJ770" s="167"/>
      <c r="AK770" s="167" t="s">
        <v>8706</v>
      </c>
      <c r="AL770" s="157" t="n">
        <f aca="false">IF(AND(ISNUMBER($S770),$S770&gt;0,ISNUMBER($K770),ISNUMBER($J770)),($K770*$J770)/$S770,"")</f>
        <v>81600</v>
      </c>
    </row>
    <row r="771" customFormat="false" ht="12.75" hidden="false" customHeight="true" outlineLevel="0" collapsed="false">
      <c r="A771" s="441" t="n">
        <v>8</v>
      </c>
      <c r="B771" s="157" t="n">
        <v>763</v>
      </c>
      <c r="C771" s="437" t="s">
        <v>8246</v>
      </c>
      <c r="D771" s="157" t="s">
        <v>8707</v>
      </c>
      <c r="E771" s="461" t="s">
        <v>2461</v>
      </c>
      <c r="F771" s="157" t="s">
        <v>8708</v>
      </c>
      <c r="G771" s="445" t="n">
        <v>44.1</v>
      </c>
      <c r="H771" s="431" t="n">
        <v>9210</v>
      </c>
      <c r="I771" s="457" t="n">
        <v>0</v>
      </c>
      <c r="J771" s="458" t="n">
        <v>42845</v>
      </c>
      <c r="K771" s="462" t="n">
        <v>3.82775119617225</v>
      </c>
      <c r="L771" s="463" t="n">
        <v>0</v>
      </c>
      <c r="M771" s="463" t="n">
        <v>0</v>
      </c>
      <c r="N771" s="431" t="n">
        <v>1956</v>
      </c>
      <c r="O771" s="446" t="n">
        <v>2042</v>
      </c>
      <c r="Q771" s="157" t="n">
        <v>18</v>
      </c>
      <c r="R771" s="157" t="n">
        <v>5</v>
      </c>
      <c r="S771" s="157" t="n">
        <v>1</v>
      </c>
      <c r="T771" s="457" t="s">
        <v>7531</v>
      </c>
      <c r="U771" s="457" t="n">
        <v>398</v>
      </c>
      <c r="V771" s="458" t="n">
        <v>61325</v>
      </c>
      <c r="W771" s="458" t="n">
        <v>60000</v>
      </c>
      <c r="X771" s="464" t="s">
        <v>6710</v>
      </c>
      <c r="Y771" s="458" t="n">
        <f aca="false">ROUND(J771,-3)</f>
        <v>43000</v>
      </c>
      <c r="Z771" s="457" t="s">
        <v>6638</v>
      </c>
      <c r="AA771" s="157" t="n">
        <v>3</v>
      </c>
      <c r="AB771" s="157" t="n">
        <v>3</v>
      </c>
      <c r="AC771" s="431" t="s">
        <v>586</v>
      </c>
      <c r="AD771" s="437"/>
      <c r="AE771" s="167"/>
      <c r="AF771" s="167"/>
      <c r="AG771" s="167"/>
      <c r="AH771" s="167"/>
      <c r="AI771" s="167"/>
      <c r="AJ771" s="167"/>
      <c r="AK771" s="167" t="s">
        <v>8308</v>
      </c>
      <c r="AL771" s="157" t="n">
        <f aca="false">IF(AND(ISNUMBER($S771),$S771&gt;0,ISNUMBER($K771),ISNUMBER($J771)),($K771*$J771)/$S771,"")</f>
        <v>164000</v>
      </c>
    </row>
    <row r="772" customFormat="false" ht="12.75" hidden="false" customHeight="true" outlineLevel="0" collapsed="false">
      <c r="A772" s="441" t="n">
        <v>8</v>
      </c>
      <c r="B772" s="157" t="n">
        <v>764</v>
      </c>
      <c r="C772" s="437" t="s">
        <v>8246</v>
      </c>
      <c r="D772" s="157" t="s">
        <v>8709</v>
      </c>
      <c r="E772" s="461" t="s">
        <v>2461</v>
      </c>
      <c r="F772" s="157" t="s">
        <v>8710</v>
      </c>
      <c r="G772" s="445" t="n">
        <v>47.1</v>
      </c>
      <c r="H772" s="431" t="n">
        <v>9210</v>
      </c>
      <c r="I772" s="457" t="n">
        <v>0</v>
      </c>
      <c r="J772" s="458" t="n">
        <v>1400</v>
      </c>
      <c r="K772" s="462" t="n">
        <v>12.8571428571429</v>
      </c>
      <c r="L772" s="463" t="n">
        <v>0</v>
      </c>
      <c r="M772" s="463" t="n">
        <v>0.263222222222222</v>
      </c>
      <c r="N772" s="431" t="n">
        <v>1942</v>
      </c>
      <c r="Q772" s="157" t="n">
        <v>23</v>
      </c>
      <c r="R772" s="157" t="n">
        <v>6</v>
      </c>
      <c r="S772" s="157" t="n">
        <v>1</v>
      </c>
      <c r="T772" s="457" t="s">
        <v>7531</v>
      </c>
      <c r="U772" s="457" t="n">
        <v>401</v>
      </c>
      <c r="V772" s="458" t="n">
        <v>23990</v>
      </c>
      <c r="W772" s="458" t="n">
        <v>24000</v>
      </c>
      <c r="X772" s="464" t="s">
        <v>6705</v>
      </c>
      <c r="Y772" s="458" t="n">
        <f aca="false">ROUND(J772,-2)</f>
        <v>1400</v>
      </c>
      <c r="Z772" s="457" t="s">
        <v>6638</v>
      </c>
      <c r="AA772" s="157" t="n">
        <v>1</v>
      </c>
      <c r="AB772" s="157" t="n">
        <v>2</v>
      </c>
      <c r="AC772" s="431" t="s">
        <v>590</v>
      </c>
      <c r="AD772" s="437"/>
      <c r="AE772" s="167"/>
      <c r="AF772" s="167"/>
      <c r="AG772" s="167"/>
      <c r="AH772" s="167"/>
      <c r="AI772" s="167"/>
      <c r="AJ772" s="167"/>
      <c r="AK772" s="167" t="s">
        <v>8711</v>
      </c>
      <c r="AL772" s="157" t="n">
        <f aca="false">IF(AND(ISNUMBER($S772),$S772&gt;0,ISNUMBER($K772),ISNUMBER($J772)),($K772*$J772)/$S772,"")</f>
        <v>18000.0000000001</v>
      </c>
    </row>
    <row r="773" customFormat="false" ht="12.75" hidden="false" customHeight="true" outlineLevel="0" collapsed="false">
      <c r="A773" s="441" t="n">
        <v>8</v>
      </c>
      <c r="B773" s="157" t="n">
        <v>765</v>
      </c>
      <c r="C773" s="437" t="s">
        <v>8246</v>
      </c>
      <c r="D773" s="157" t="s">
        <v>8712</v>
      </c>
      <c r="E773" s="461" t="s">
        <v>2461</v>
      </c>
      <c r="F773" s="157" t="s">
        <v>8713</v>
      </c>
      <c r="G773" s="445" t="n">
        <v>44.1</v>
      </c>
      <c r="H773" s="431" t="n">
        <v>9210</v>
      </c>
      <c r="I773" s="457" t="n">
        <v>0</v>
      </c>
      <c r="J773" s="458" t="n">
        <v>8806</v>
      </c>
      <c r="K773" s="462" t="n">
        <v>8.17624347036112</v>
      </c>
      <c r="L773" s="463" t="n">
        <v>0</v>
      </c>
      <c r="M773" s="463" t="n">
        <v>0.187125</v>
      </c>
      <c r="N773" s="431" t="n">
        <v>1952</v>
      </c>
      <c r="Q773" s="157" t="n">
        <v>23</v>
      </c>
      <c r="R773" s="157" t="n">
        <v>7</v>
      </c>
      <c r="S773" s="157" t="n">
        <v>1</v>
      </c>
      <c r="T773" s="457" t="s">
        <v>7531</v>
      </c>
      <c r="U773" s="457" t="n">
        <v>398</v>
      </c>
      <c r="V773" s="458" t="n">
        <v>23626</v>
      </c>
      <c r="W773" s="458" t="n">
        <v>24000</v>
      </c>
      <c r="X773" s="464" t="s">
        <v>6757</v>
      </c>
      <c r="Y773" s="458" t="n">
        <f aca="false">ROUND(J773,-3)</f>
        <v>9000</v>
      </c>
      <c r="Z773" s="457" t="s">
        <v>6638</v>
      </c>
      <c r="AA773" s="157" t="n">
        <v>1</v>
      </c>
      <c r="AB773" s="157" t="n">
        <v>3</v>
      </c>
      <c r="AC773" s="431" t="s">
        <v>497</v>
      </c>
      <c r="AD773" s="437"/>
      <c r="AE773" s="167"/>
      <c r="AF773" s="167"/>
      <c r="AG773" s="167"/>
      <c r="AH773" s="167"/>
      <c r="AI773" s="167"/>
      <c r="AJ773" s="167"/>
      <c r="AK773" s="167" t="s">
        <v>8714</v>
      </c>
      <c r="AL773" s="157" t="n">
        <f aca="false">IF(AND(ISNUMBER($S773),$S773&gt;0,ISNUMBER($K773),ISNUMBER($J773)),($K773*$J773)/$S773,"")</f>
        <v>72000</v>
      </c>
    </row>
    <row r="774" customFormat="false" ht="12.75" hidden="false" customHeight="true" outlineLevel="0" collapsed="false">
      <c r="A774" s="441" t="n">
        <v>8</v>
      </c>
      <c r="B774" s="157" t="n">
        <v>766</v>
      </c>
      <c r="C774" s="437" t="s">
        <v>8246</v>
      </c>
      <c r="D774" s="157" t="s">
        <v>8715</v>
      </c>
      <c r="E774" s="461" t="s">
        <v>2461</v>
      </c>
      <c r="F774" s="157" t="s">
        <v>8716</v>
      </c>
      <c r="G774" s="445" t="n">
        <v>47.1</v>
      </c>
      <c r="H774" s="431" t="n">
        <v>9210</v>
      </c>
      <c r="I774" s="457" t="n">
        <v>0</v>
      </c>
      <c r="J774" s="458" t="n">
        <v>10463</v>
      </c>
      <c r="K774" s="462" t="n">
        <v>6.61129695116124</v>
      </c>
      <c r="L774" s="463" t="n">
        <v>0</v>
      </c>
      <c r="M774" s="463" t="n">
        <v>0</v>
      </c>
      <c r="N774" s="431" t="n">
        <v>1940</v>
      </c>
      <c r="O774" s="446" t="n">
        <v>1901</v>
      </c>
      <c r="Q774" s="157" t="n">
        <v>13</v>
      </c>
      <c r="R774" s="157" t="n">
        <v>1</v>
      </c>
      <c r="S774" s="157" t="n">
        <v>1</v>
      </c>
      <c r="T774" s="457" t="s">
        <v>7531</v>
      </c>
      <c r="U774" s="457" t="n">
        <v>401</v>
      </c>
      <c r="V774" s="458" t="n">
        <v>12530</v>
      </c>
      <c r="W774" s="458" t="n">
        <v>13000</v>
      </c>
      <c r="X774" s="464" t="s">
        <v>6900</v>
      </c>
      <c r="Y774" s="458" t="n">
        <f aca="false">ROUND(J774,-3)</f>
        <v>10000</v>
      </c>
      <c r="Z774" s="457" t="s">
        <v>6638</v>
      </c>
      <c r="AA774" s="157" t="n">
        <v>3</v>
      </c>
      <c r="AB774" s="157" t="n">
        <v>3</v>
      </c>
      <c r="AC774" s="431" t="s">
        <v>586</v>
      </c>
      <c r="AD774" s="437" t="s">
        <v>8717</v>
      </c>
      <c r="AE774" s="167"/>
      <c r="AF774" s="167"/>
      <c r="AG774" s="167"/>
      <c r="AH774" s="167"/>
      <c r="AI774" s="167"/>
      <c r="AJ774" s="167"/>
      <c r="AK774" s="167" t="s">
        <v>8480</v>
      </c>
      <c r="AL774" s="157" t="n">
        <f aca="false">IF(AND(ISNUMBER($S774),$S774&gt;0,ISNUMBER($K774),ISNUMBER($J774)),($K774*$J774)/$S774,"")</f>
        <v>69174.0000000001</v>
      </c>
    </row>
    <row r="775" customFormat="false" ht="12.75" hidden="false" customHeight="true" outlineLevel="0" collapsed="false">
      <c r="A775" s="441" t="n">
        <v>8</v>
      </c>
      <c r="B775" s="157" t="n">
        <v>767</v>
      </c>
      <c r="C775" s="437" t="s">
        <v>8246</v>
      </c>
      <c r="D775" s="157" t="s">
        <v>8718</v>
      </c>
      <c r="E775" s="461" t="s">
        <v>2461</v>
      </c>
      <c r="F775" s="157" t="s">
        <v>8719</v>
      </c>
      <c r="G775" s="445" t="n">
        <v>44.1</v>
      </c>
      <c r="H775" s="431" t="n">
        <v>9210</v>
      </c>
      <c r="I775" s="457" t="n">
        <v>0</v>
      </c>
      <c r="J775" s="458" t="n">
        <v>6250</v>
      </c>
      <c r="K775" s="462" t="n">
        <v>7.6512</v>
      </c>
      <c r="L775" s="463" t="n">
        <v>0</v>
      </c>
      <c r="M775" s="463" t="n">
        <v>0</v>
      </c>
      <c r="N775" s="431" t="n">
        <v>1945</v>
      </c>
      <c r="O775" s="446" t="n">
        <v>1350</v>
      </c>
      <c r="Q775" s="157" t="n">
        <v>14</v>
      </c>
      <c r="R775" s="157" t="n">
        <v>3</v>
      </c>
      <c r="S775" s="157" t="n">
        <v>1</v>
      </c>
      <c r="T775" s="457" t="s">
        <v>7531</v>
      </c>
      <c r="U775" s="457" t="n">
        <v>398</v>
      </c>
      <c r="V775" s="458" t="n">
        <v>6265</v>
      </c>
      <c r="W775" s="458" t="n">
        <v>6000</v>
      </c>
      <c r="X775" s="464" t="s">
        <v>8145</v>
      </c>
      <c r="Y775" s="458" t="n">
        <f aca="false">ROUND(J775,-3)</f>
        <v>6000</v>
      </c>
      <c r="Z775" s="457" t="s">
        <v>6638</v>
      </c>
      <c r="AA775" s="157" t="n">
        <v>3</v>
      </c>
      <c r="AB775" s="157" t="n">
        <v>3</v>
      </c>
      <c r="AC775" s="431" t="s">
        <v>586</v>
      </c>
      <c r="AD775" s="437" t="s">
        <v>6676</v>
      </c>
      <c r="AE775" s="167"/>
      <c r="AF775" s="167"/>
      <c r="AG775" s="167"/>
      <c r="AH775" s="167"/>
      <c r="AI775" s="167"/>
      <c r="AJ775" s="167"/>
      <c r="AK775" s="167" t="s">
        <v>8720</v>
      </c>
      <c r="AL775" s="157" t="n">
        <f aca="false">IF(AND(ISNUMBER($S775),$S775&gt;0,ISNUMBER($K775),ISNUMBER($J775)),($K775*$J775)/$S775,"")</f>
        <v>47820</v>
      </c>
    </row>
    <row r="776" customFormat="false" ht="12.75" hidden="false" customHeight="true" outlineLevel="0" collapsed="false">
      <c r="A776" s="441" t="n">
        <v>8</v>
      </c>
      <c r="B776" s="157" t="n">
        <v>768</v>
      </c>
      <c r="C776" s="437" t="s">
        <v>8246</v>
      </c>
      <c r="D776" s="157" t="s">
        <v>7872</v>
      </c>
      <c r="E776" s="461" t="s">
        <v>2461</v>
      </c>
      <c r="F776" s="157" t="s">
        <v>8721</v>
      </c>
      <c r="G776" s="445" t="n">
        <v>44.1</v>
      </c>
      <c r="H776" s="431" t="n">
        <v>9202</v>
      </c>
      <c r="I776" s="457" t="n">
        <v>0</v>
      </c>
      <c r="J776" s="458" t="n">
        <v>28647</v>
      </c>
      <c r="K776" s="462" t="n">
        <v>14.5180996264879</v>
      </c>
      <c r="L776" s="463" t="n">
        <v>0</v>
      </c>
      <c r="M776" s="463" t="n">
        <v>0.037436883866314</v>
      </c>
      <c r="N776" s="431" t="n">
        <v>1956</v>
      </c>
      <c r="P776" s="446" t="n">
        <v>14952</v>
      </c>
      <c r="Q776" s="157" t="n">
        <v>22</v>
      </c>
      <c r="R776" s="157" t="n">
        <v>1</v>
      </c>
      <c r="S776" s="157" t="n">
        <v>1</v>
      </c>
      <c r="T776" s="457" t="s">
        <v>7531</v>
      </c>
      <c r="U776" s="457" t="n">
        <v>398</v>
      </c>
      <c r="V776" s="458" t="n">
        <v>42092</v>
      </c>
      <c r="W776" s="458" t="n">
        <v>42000</v>
      </c>
      <c r="X776" s="464" t="s">
        <v>6837</v>
      </c>
      <c r="Y776" s="458" t="n">
        <f aca="false">ROUND(J776,-3)</f>
        <v>29000</v>
      </c>
      <c r="Z776" s="457" t="s">
        <v>6638</v>
      </c>
      <c r="AA776" s="157" t="n">
        <v>3</v>
      </c>
      <c r="AB776" s="157" t="n">
        <v>3</v>
      </c>
      <c r="AC776" s="431" t="s">
        <v>586</v>
      </c>
      <c r="AD776" s="437" t="s">
        <v>7874</v>
      </c>
      <c r="AE776" s="167"/>
      <c r="AF776" s="167"/>
      <c r="AG776" s="167"/>
      <c r="AH776" s="167"/>
      <c r="AI776" s="167"/>
      <c r="AJ776" s="167"/>
      <c r="AK776" s="167" t="s">
        <v>8711</v>
      </c>
      <c r="AL776" s="157" t="n">
        <f aca="false">IF(AND(ISNUMBER($S776),$S776&gt;0,ISNUMBER($K776),ISNUMBER($J776)),($K776*$J776)/$S776,"")</f>
        <v>415899.999999999</v>
      </c>
    </row>
    <row r="777" customFormat="false" ht="12.75" hidden="false" customHeight="true" outlineLevel="0" collapsed="false">
      <c r="A777" s="441" t="n">
        <v>8</v>
      </c>
      <c r="B777" s="157" t="n">
        <v>769</v>
      </c>
      <c r="C777" s="437" t="s">
        <v>8246</v>
      </c>
      <c r="D777" s="157" t="s">
        <v>8722</v>
      </c>
      <c r="E777" s="461" t="s">
        <v>2461</v>
      </c>
      <c r="F777" s="157" t="s">
        <v>8723</v>
      </c>
      <c r="G777" s="445" t="n">
        <v>47.1</v>
      </c>
      <c r="H777" s="431" t="n">
        <v>9210</v>
      </c>
      <c r="I777" s="457" t="n">
        <v>0</v>
      </c>
      <c r="J777" s="458" t="n">
        <v>42227</v>
      </c>
      <c r="K777" s="462" t="n">
        <v>5.20046415800317</v>
      </c>
      <c r="L777" s="463" t="n">
        <v>0</v>
      </c>
      <c r="M777" s="463" t="n">
        <v>0</v>
      </c>
      <c r="N777" s="431" t="n">
        <v>1932</v>
      </c>
      <c r="O777" s="446" t="n">
        <f aca="false">885+726</f>
        <v>1611</v>
      </c>
      <c r="P777" s="446" t="n">
        <v>885</v>
      </c>
      <c r="Q777" s="157" t="n">
        <v>18</v>
      </c>
      <c r="R777" s="157" t="n">
        <v>1</v>
      </c>
      <c r="S777" s="157" t="n">
        <v>1</v>
      </c>
      <c r="T777" s="457" t="s">
        <v>7531</v>
      </c>
      <c r="U777" s="457" t="n">
        <v>401</v>
      </c>
      <c r="V777" s="458" t="n">
        <v>71334</v>
      </c>
      <c r="W777" s="458" t="n">
        <v>70000</v>
      </c>
      <c r="X777" s="464" t="s">
        <v>6954</v>
      </c>
      <c r="Y777" s="458" t="n">
        <f aca="false">ROUND(J777,-3)</f>
        <v>42000</v>
      </c>
      <c r="Z777" s="457" t="s">
        <v>6638</v>
      </c>
      <c r="AA777" s="157" t="n">
        <v>2</v>
      </c>
      <c r="AB777" s="157" t="n">
        <v>3</v>
      </c>
      <c r="AC777" s="431" t="s">
        <v>537</v>
      </c>
      <c r="AD777" s="437" t="s">
        <v>8724</v>
      </c>
      <c r="AE777" s="167"/>
      <c r="AF777" s="167"/>
      <c r="AG777" s="167"/>
      <c r="AH777" s="167"/>
      <c r="AI777" s="167"/>
      <c r="AJ777" s="167"/>
      <c r="AK777" s="167" t="s">
        <v>8412</v>
      </c>
      <c r="AL777" s="157" t="n">
        <f aca="false">IF(AND(ISNUMBER($S777),$S777&gt;0,ISNUMBER($K777),ISNUMBER($J777)),($K777*$J777)/$S777,"")</f>
        <v>219600</v>
      </c>
    </row>
    <row r="778" customFormat="false" ht="12.75" hidden="false" customHeight="true" outlineLevel="0" collapsed="false">
      <c r="A778" s="441" t="n">
        <v>8</v>
      </c>
      <c r="B778" s="157" t="n">
        <v>770</v>
      </c>
      <c r="C778" s="437" t="s">
        <v>8246</v>
      </c>
      <c r="D778" s="157" t="s">
        <v>8725</v>
      </c>
      <c r="E778" s="461" t="s">
        <v>2461</v>
      </c>
      <c r="F778" s="157" t="s">
        <v>8726</v>
      </c>
      <c r="G778" s="445" t="n">
        <v>44.1</v>
      </c>
      <c r="H778" s="431" t="n">
        <v>9210</v>
      </c>
      <c r="I778" s="457" t="n">
        <v>0</v>
      </c>
      <c r="J778" s="458" t="n">
        <v>11780</v>
      </c>
      <c r="K778" s="462" t="n">
        <v>4.07470288624788</v>
      </c>
      <c r="L778" s="463" t="n">
        <v>0</v>
      </c>
      <c r="M778" s="463" t="n">
        <v>0</v>
      </c>
      <c r="N778" s="431" t="n">
        <v>1936</v>
      </c>
      <c r="O778" s="446" t="n">
        <v>240</v>
      </c>
      <c r="Q778" s="157" t="n">
        <v>13</v>
      </c>
      <c r="R778" s="157" t="n">
        <v>1</v>
      </c>
      <c r="S778" s="157" t="n">
        <v>1</v>
      </c>
      <c r="T778" s="457" t="s">
        <v>7531</v>
      </c>
      <c r="U778" s="457" t="n">
        <v>398</v>
      </c>
      <c r="V778" s="458" t="n">
        <v>12515</v>
      </c>
      <c r="W778" s="458" t="n">
        <v>13000</v>
      </c>
      <c r="X778" s="464" t="s">
        <v>7043</v>
      </c>
      <c r="Y778" s="458" t="n">
        <f aca="false">ROUND(J778,-3)</f>
        <v>12000</v>
      </c>
      <c r="Z778" s="457" t="s">
        <v>6638</v>
      </c>
      <c r="AA778" s="157" t="n">
        <v>3</v>
      </c>
      <c r="AB778" s="157" t="n">
        <v>3</v>
      </c>
      <c r="AC778" s="431" t="s">
        <v>586</v>
      </c>
      <c r="AD778" s="437" t="s">
        <v>8727</v>
      </c>
      <c r="AE778" s="167"/>
      <c r="AF778" s="167"/>
      <c r="AG778" s="167"/>
      <c r="AH778" s="167"/>
      <c r="AI778" s="167"/>
      <c r="AJ778" s="167"/>
      <c r="AK778" s="167" t="s">
        <v>8257</v>
      </c>
      <c r="AL778" s="157" t="n">
        <f aca="false">IF(AND(ISNUMBER($S778),$S778&gt;0,ISNUMBER($K778),ISNUMBER($J778)),($K778*$J778)/$S778,"")</f>
        <v>48000</v>
      </c>
    </row>
    <row r="779" customFormat="false" ht="12.75" hidden="false" customHeight="true" outlineLevel="0" collapsed="false">
      <c r="A779" s="441" t="n">
        <v>8</v>
      </c>
      <c r="B779" s="157" t="n">
        <v>771</v>
      </c>
      <c r="C779" s="437" t="s">
        <v>8246</v>
      </c>
      <c r="D779" s="157" t="s">
        <v>7134</v>
      </c>
      <c r="E779" s="461" t="s">
        <v>2461</v>
      </c>
      <c r="F779" s="157" t="s">
        <v>7135</v>
      </c>
      <c r="G779" s="445" t="n">
        <v>44.2</v>
      </c>
      <c r="H779" s="431" t="n">
        <v>9210</v>
      </c>
      <c r="I779" s="457" t="n">
        <v>0</v>
      </c>
      <c r="J779" s="458" t="n">
        <v>12500</v>
      </c>
      <c r="K779" s="462" t="n">
        <v>5.6</v>
      </c>
      <c r="L779" s="463" t="n">
        <v>0</v>
      </c>
      <c r="M779" s="463" t="n">
        <v>0.108828571428571</v>
      </c>
      <c r="N779" s="431" t="n">
        <v>1926</v>
      </c>
      <c r="O779" s="446" t="n">
        <v>1512</v>
      </c>
      <c r="Q779" s="157" t="n">
        <v>16</v>
      </c>
      <c r="R779" s="157" t="n">
        <v>1</v>
      </c>
      <c r="S779" s="157" t="n">
        <v>3</v>
      </c>
      <c r="T779" s="457" t="s">
        <v>7531</v>
      </c>
      <c r="U779" s="457" t="n">
        <v>398</v>
      </c>
      <c r="V779" s="458" t="n">
        <v>12525</v>
      </c>
      <c r="W779" s="458" t="n">
        <v>13000</v>
      </c>
      <c r="X779" s="464" t="s">
        <v>8145</v>
      </c>
      <c r="Y779" s="458" t="n">
        <f aca="false">ROUND(J779,-3)</f>
        <v>13000</v>
      </c>
      <c r="Z779" s="457" t="s">
        <v>6638</v>
      </c>
      <c r="AA779" s="157" t="n">
        <v>3</v>
      </c>
      <c r="AB779" s="157" t="n">
        <v>3</v>
      </c>
      <c r="AC779" s="431" t="s">
        <v>586</v>
      </c>
      <c r="AD779" s="437" t="s">
        <v>7136</v>
      </c>
      <c r="AE779" s="167"/>
      <c r="AF779" s="167"/>
      <c r="AG779" s="167"/>
      <c r="AH779" s="167"/>
      <c r="AI779" s="167"/>
      <c r="AJ779" s="167"/>
      <c r="AK779" s="167" t="s">
        <v>8342</v>
      </c>
      <c r="AL779" s="157" t="n">
        <f aca="false">IF(AND(ISNUMBER($S779),$S779&gt;0,ISNUMBER($K779),ISNUMBER($J779)),($K779*$J779)/$S779,"")</f>
        <v>23333.3333333333</v>
      </c>
    </row>
    <row r="780" customFormat="false" ht="12.75" hidden="false" customHeight="true" outlineLevel="0" collapsed="false">
      <c r="A780" s="441" t="n">
        <v>8</v>
      </c>
      <c r="B780" s="157" t="n">
        <v>772</v>
      </c>
      <c r="C780" s="437" t="s">
        <v>8246</v>
      </c>
      <c r="D780" s="157" t="s">
        <v>8728</v>
      </c>
      <c r="E780" s="461" t="s">
        <v>2461</v>
      </c>
      <c r="F780" s="157" t="s">
        <v>8729</v>
      </c>
      <c r="G780" s="445" t="n">
        <v>44.1</v>
      </c>
      <c r="H780" s="431" t="n">
        <v>9210</v>
      </c>
      <c r="I780" s="457" t="n">
        <v>0</v>
      </c>
      <c r="J780" s="458" t="n">
        <v>9300</v>
      </c>
      <c r="K780" s="462" t="n">
        <v>6.51075268817204</v>
      </c>
      <c r="L780" s="463" t="n">
        <v>0</v>
      </c>
      <c r="M780" s="463" t="n">
        <v>0</v>
      </c>
      <c r="N780" s="431" t="n">
        <v>1937</v>
      </c>
      <c r="Q780" s="157" t="n">
        <v>14</v>
      </c>
      <c r="R780" s="157" t="n">
        <v>1</v>
      </c>
      <c r="S780" s="157" t="n">
        <v>1</v>
      </c>
      <c r="T780" s="457" t="s">
        <v>7531</v>
      </c>
      <c r="U780" s="457" t="n">
        <v>398</v>
      </c>
      <c r="V780" s="458" t="n">
        <v>9390</v>
      </c>
      <c r="W780" s="458" t="n">
        <v>9000</v>
      </c>
      <c r="X780" s="464" t="s">
        <v>8145</v>
      </c>
      <c r="Y780" s="458" t="n">
        <f aca="false">ROUND(J780,-3)</f>
        <v>9000</v>
      </c>
      <c r="Z780" s="457" t="s">
        <v>6638</v>
      </c>
      <c r="AA780" s="157" t="n">
        <v>2</v>
      </c>
      <c r="AB780" s="157" t="n">
        <v>3</v>
      </c>
      <c r="AC780" s="431" t="s">
        <v>537</v>
      </c>
      <c r="AD780" s="437" t="s">
        <v>8730</v>
      </c>
      <c r="AE780" s="167"/>
      <c r="AF780" s="167"/>
      <c r="AG780" s="167"/>
      <c r="AH780" s="167"/>
      <c r="AI780" s="167"/>
      <c r="AJ780" s="167"/>
      <c r="AK780" s="167" t="s">
        <v>8257</v>
      </c>
      <c r="AL780" s="157" t="n">
        <f aca="false">IF(AND(ISNUMBER($S780),$S780&gt;0,ISNUMBER($K780),ISNUMBER($J780)),($K780*$J780)/$S780,"")</f>
        <v>60550</v>
      </c>
    </row>
    <row r="781" customFormat="false" ht="12.75" hidden="false" customHeight="true" outlineLevel="0" collapsed="false">
      <c r="A781" s="441" t="n">
        <v>8</v>
      </c>
      <c r="B781" s="157" t="n">
        <v>773</v>
      </c>
      <c r="C781" s="437" t="s">
        <v>8246</v>
      </c>
      <c r="D781" s="157" t="s">
        <v>8731</v>
      </c>
      <c r="E781" s="461" t="s">
        <v>2461</v>
      </c>
      <c r="F781" s="157" t="s">
        <v>8732</v>
      </c>
      <c r="G781" s="445" t="n">
        <v>44.1</v>
      </c>
      <c r="H781" s="431" t="n">
        <v>9209</v>
      </c>
      <c r="I781" s="457" t="n">
        <v>0</v>
      </c>
      <c r="J781" s="458" t="n">
        <v>9550</v>
      </c>
      <c r="K781" s="462" t="n">
        <v>8.16753926701571</v>
      </c>
      <c r="L781" s="463" t="n">
        <v>0</v>
      </c>
      <c r="M781" s="463" t="n">
        <v>0.0043974358974359</v>
      </c>
      <c r="N781" s="431" t="n">
        <v>1945</v>
      </c>
      <c r="Q781" s="157" t="n">
        <v>20</v>
      </c>
      <c r="R781" s="157" t="n">
        <v>3</v>
      </c>
      <c r="S781" s="157" t="n">
        <v>1</v>
      </c>
      <c r="T781" s="457" t="s">
        <v>7884</v>
      </c>
      <c r="U781" s="457" t="n">
        <v>398</v>
      </c>
      <c r="V781" s="458" t="n">
        <v>25186</v>
      </c>
      <c r="W781" s="458" t="n">
        <v>25000</v>
      </c>
      <c r="X781" s="464" t="s">
        <v>6724</v>
      </c>
      <c r="Y781" s="458" t="n">
        <f aca="false">ROUND(J781,-3)</f>
        <v>10000</v>
      </c>
      <c r="Z781" s="457" t="s">
        <v>6638</v>
      </c>
      <c r="AA781" s="157" t="n">
        <v>3</v>
      </c>
      <c r="AB781" s="157" t="n">
        <v>3</v>
      </c>
      <c r="AC781" s="431" t="s">
        <v>586</v>
      </c>
      <c r="AD781" s="437" t="s">
        <v>8733</v>
      </c>
      <c r="AE781" s="167"/>
      <c r="AF781" s="167"/>
      <c r="AG781" s="167"/>
      <c r="AH781" s="167"/>
      <c r="AI781" s="167"/>
      <c r="AJ781" s="167"/>
      <c r="AK781" s="167" t="s">
        <v>8257</v>
      </c>
      <c r="AL781" s="157" t="n">
        <f aca="false">IF(AND(ISNUMBER($S781),$S781&gt;0,ISNUMBER($K781),ISNUMBER($J781)),($K781*$J781)/$S781,"")</f>
        <v>78000</v>
      </c>
    </row>
    <row r="782" customFormat="false" ht="12.75" hidden="false" customHeight="true" outlineLevel="0" collapsed="false">
      <c r="A782" s="441" t="n">
        <v>8</v>
      </c>
      <c r="B782" s="157" t="n">
        <v>774</v>
      </c>
      <c r="C782" s="437" t="s">
        <v>8246</v>
      </c>
      <c r="D782" s="157" t="s">
        <v>8734</v>
      </c>
      <c r="E782" s="461" t="s">
        <v>2461</v>
      </c>
      <c r="F782" s="157" t="s">
        <v>8735</v>
      </c>
      <c r="G782" s="445" t="n">
        <v>44.3</v>
      </c>
      <c r="H782" s="431" t="n">
        <v>9209</v>
      </c>
      <c r="I782" s="457" t="n">
        <v>0</v>
      </c>
      <c r="J782" s="458" t="n">
        <v>253115</v>
      </c>
      <c r="K782" s="462" t="n">
        <v>3.25938802520593</v>
      </c>
      <c r="L782" s="463" t="n">
        <v>0</v>
      </c>
      <c r="M782" s="463" t="n">
        <v>0.0242424242424242</v>
      </c>
      <c r="N782" s="431" t="n">
        <v>1966</v>
      </c>
      <c r="O782" s="446" t="n">
        <v>104234</v>
      </c>
      <c r="Q782" s="157" t="n">
        <v>18</v>
      </c>
      <c r="R782" s="157" t="n">
        <v>1</v>
      </c>
      <c r="S782" s="157" t="n">
        <v>1</v>
      </c>
      <c r="T782" s="457" t="s">
        <v>7884</v>
      </c>
      <c r="U782" s="457" t="n">
        <v>398</v>
      </c>
      <c r="V782" s="458" t="n">
        <v>500067</v>
      </c>
      <c r="W782" s="458" t="n">
        <v>500000</v>
      </c>
      <c r="X782" s="464" t="s">
        <v>7546</v>
      </c>
      <c r="Y782" s="458" t="n">
        <f aca="false">ROUND(J782,-4)</f>
        <v>250000</v>
      </c>
      <c r="Z782" s="457" t="s">
        <v>6638</v>
      </c>
      <c r="AA782" s="157" t="n">
        <v>3</v>
      </c>
      <c r="AB782" s="157" t="n">
        <v>3</v>
      </c>
      <c r="AC782" s="431" t="s">
        <v>586</v>
      </c>
      <c r="AD782" s="437" t="s">
        <v>8736</v>
      </c>
      <c r="AE782" s="167"/>
      <c r="AF782" s="167"/>
      <c r="AG782" s="167"/>
      <c r="AH782" s="167"/>
      <c r="AI782" s="167"/>
      <c r="AJ782" s="167"/>
      <c r="AK782" s="167" t="s">
        <v>8419</v>
      </c>
      <c r="AL782" s="157" t="n">
        <f aca="false">IF(AND(ISNUMBER($S782),$S782&gt;0,ISNUMBER($K782),ISNUMBER($J782)),($K782*$J782)/$S782,"")</f>
        <v>824999.999999999</v>
      </c>
    </row>
    <row r="783" customFormat="false" ht="12.75" hidden="false" customHeight="true" outlineLevel="0" collapsed="false">
      <c r="A783" s="441" t="n">
        <v>8</v>
      </c>
      <c r="B783" s="157" t="n">
        <v>775</v>
      </c>
      <c r="C783" s="437" t="s">
        <v>8246</v>
      </c>
      <c r="D783" s="157" t="s">
        <v>8737</v>
      </c>
      <c r="E783" s="461" t="s">
        <v>2461</v>
      </c>
      <c r="F783" s="157" t="s">
        <v>8738</v>
      </c>
      <c r="G783" s="445" t="n">
        <v>47.1</v>
      </c>
      <c r="H783" s="431" t="n">
        <v>9208</v>
      </c>
      <c r="I783" s="457" t="n">
        <v>9</v>
      </c>
      <c r="J783" s="458" t="n">
        <v>3028</v>
      </c>
      <c r="K783" s="462" t="n">
        <v>3.17040951122853</v>
      </c>
      <c r="L783" s="463" t="n">
        <v>0</v>
      </c>
      <c r="M783" s="463" t="n">
        <v>0.1853125</v>
      </c>
      <c r="N783" s="431" t="n">
        <v>1948</v>
      </c>
      <c r="O783" s="446" t="n">
        <v>383</v>
      </c>
      <c r="Q783" s="157" t="n">
        <v>12</v>
      </c>
      <c r="R783" s="157" t="n">
        <v>3</v>
      </c>
      <c r="S783" s="157" t="n">
        <v>1</v>
      </c>
      <c r="T783" s="457" t="s">
        <v>7789</v>
      </c>
      <c r="U783" s="457" t="n">
        <v>401</v>
      </c>
      <c r="V783" s="458" t="n">
        <v>12500</v>
      </c>
      <c r="W783" s="458" t="n">
        <v>13000</v>
      </c>
      <c r="X783" s="464" t="s">
        <v>6659</v>
      </c>
      <c r="Y783" s="458" t="n">
        <f aca="false">ROUND(J783,-3)</f>
        <v>3000</v>
      </c>
      <c r="Z783" s="457" t="s">
        <v>6638</v>
      </c>
      <c r="AA783" s="157" t="n">
        <v>3</v>
      </c>
      <c r="AB783" s="157" t="n">
        <v>3</v>
      </c>
      <c r="AC783" s="431" t="s">
        <v>586</v>
      </c>
      <c r="AD783" s="437" t="s">
        <v>8739</v>
      </c>
      <c r="AE783" s="167"/>
      <c r="AF783" s="167"/>
      <c r="AG783" s="167"/>
      <c r="AH783" s="167"/>
      <c r="AI783" s="167"/>
      <c r="AJ783" s="167"/>
      <c r="AK783" s="167" t="s">
        <v>8740</v>
      </c>
      <c r="AL783" s="157" t="n">
        <f aca="false">IF(AND(ISNUMBER($S783),$S783&gt;0,ISNUMBER($K783),ISNUMBER($J783)),($K783*$J783)/$S783,"")</f>
        <v>9599.99999999999</v>
      </c>
    </row>
    <row r="784" customFormat="false" ht="12.75" hidden="false" customHeight="true" outlineLevel="0" collapsed="false">
      <c r="A784" s="441" t="n">
        <v>8</v>
      </c>
      <c r="B784" s="157" t="n">
        <v>776</v>
      </c>
      <c r="C784" s="437" t="s">
        <v>8246</v>
      </c>
      <c r="D784" s="157" t="s">
        <v>8741</v>
      </c>
      <c r="E784" s="461" t="s">
        <v>2461</v>
      </c>
      <c r="F784" s="157" t="s">
        <v>8742</v>
      </c>
      <c r="G784" s="445" t="n">
        <v>44.1</v>
      </c>
      <c r="H784" s="431" t="n">
        <v>9208</v>
      </c>
      <c r="I784" s="457" t="n">
        <v>0</v>
      </c>
      <c r="J784" s="458" t="n">
        <v>9374</v>
      </c>
      <c r="K784" s="462" t="n">
        <v>4.48047791764455</v>
      </c>
      <c r="L784" s="463" t="n">
        <v>0</v>
      </c>
      <c r="M784" s="463" t="n">
        <v>0.108190476190476</v>
      </c>
      <c r="N784" s="431" t="n">
        <v>1976</v>
      </c>
      <c r="O784" s="446" t="n">
        <v>279</v>
      </c>
      <c r="P784" s="446" t="n">
        <v>1999</v>
      </c>
      <c r="Q784" s="157" t="n">
        <v>14</v>
      </c>
      <c r="R784" s="157" t="n">
        <v>7</v>
      </c>
      <c r="S784" s="157" t="n">
        <v>1</v>
      </c>
      <c r="T784" s="457" t="s">
        <v>7884</v>
      </c>
      <c r="U784" s="457" t="n">
        <v>398</v>
      </c>
      <c r="V784" s="458" t="n">
        <v>21875</v>
      </c>
      <c r="W784" s="458" t="n">
        <v>22000</v>
      </c>
      <c r="X784" s="464" t="s">
        <v>6646</v>
      </c>
      <c r="Y784" s="458" t="n">
        <f aca="false">ROUND(J784,-3)</f>
        <v>9000</v>
      </c>
      <c r="Z784" s="457" t="s">
        <v>6638</v>
      </c>
      <c r="AA784" s="157" t="n">
        <v>3</v>
      </c>
      <c r="AB784" s="157" t="n">
        <v>3</v>
      </c>
      <c r="AC784" s="431" t="s">
        <v>586</v>
      </c>
      <c r="AD784" s="437" t="s">
        <v>8743</v>
      </c>
      <c r="AE784" s="167"/>
      <c r="AF784" s="167"/>
      <c r="AG784" s="167"/>
      <c r="AH784" s="167"/>
      <c r="AI784" s="167"/>
      <c r="AJ784" s="167"/>
      <c r="AK784" s="167" t="s">
        <v>8419</v>
      </c>
      <c r="AL784" s="157" t="n">
        <f aca="false">IF(AND(ISNUMBER($S784),$S784&gt;0,ISNUMBER($K784),ISNUMBER($J784)),($K784*$J784)/$S784,"")</f>
        <v>42000</v>
      </c>
    </row>
    <row r="785" customFormat="false" ht="12.75" hidden="false" customHeight="true" outlineLevel="0" collapsed="false">
      <c r="A785" s="441" t="n">
        <v>8</v>
      </c>
      <c r="B785" s="157" t="n">
        <v>777</v>
      </c>
      <c r="C785" s="437" t="s">
        <v>8246</v>
      </c>
      <c r="D785" s="157" t="s">
        <v>8744</v>
      </c>
      <c r="E785" s="461" t="s">
        <v>2461</v>
      </c>
      <c r="F785" s="157" t="s">
        <v>8745</v>
      </c>
      <c r="G785" s="445" t="n">
        <v>44.1</v>
      </c>
      <c r="H785" s="431" t="n">
        <v>9208</v>
      </c>
      <c r="I785" s="457" t="n">
        <v>0</v>
      </c>
      <c r="J785" s="458" t="n">
        <v>8829</v>
      </c>
      <c r="K785" s="462" t="n">
        <v>9.62736436742553</v>
      </c>
      <c r="L785" s="463" t="n">
        <v>0</v>
      </c>
      <c r="M785" s="463" t="n">
        <v>0.0224588235294118</v>
      </c>
      <c r="N785" s="431" t="n">
        <v>1965</v>
      </c>
      <c r="O785" s="446" t="n">
        <v>2604</v>
      </c>
      <c r="Q785" s="157" t="n">
        <v>18</v>
      </c>
      <c r="R785" s="157" t="n">
        <v>3</v>
      </c>
      <c r="S785" s="157" t="n">
        <v>1</v>
      </c>
      <c r="T785" s="457" t="s">
        <v>7884</v>
      </c>
      <c r="U785" s="457" t="n">
        <v>398</v>
      </c>
      <c r="V785" s="458" t="n">
        <v>9375</v>
      </c>
      <c r="W785" s="458" t="n">
        <v>9000</v>
      </c>
      <c r="X785" s="464" t="s">
        <v>7043</v>
      </c>
      <c r="Y785" s="458" t="n">
        <f aca="false">ROUND(J785,-3)</f>
        <v>9000</v>
      </c>
      <c r="Z785" s="457" t="s">
        <v>6638</v>
      </c>
      <c r="AA785" s="157" t="n">
        <v>3</v>
      </c>
      <c r="AB785" s="157" t="n">
        <v>3</v>
      </c>
      <c r="AC785" s="431" t="s">
        <v>586</v>
      </c>
      <c r="AD785" s="437" t="s">
        <v>8746</v>
      </c>
      <c r="AE785" s="167"/>
      <c r="AF785" s="167"/>
      <c r="AG785" s="167"/>
      <c r="AH785" s="167"/>
      <c r="AI785" s="167"/>
      <c r="AJ785" s="167"/>
      <c r="AK785" s="167" t="s">
        <v>8419</v>
      </c>
      <c r="AL785" s="157" t="n">
        <f aca="false">IF(AND(ISNUMBER($S785),$S785&gt;0,ISNUMBER($K785),ISNUMBER($J785)),($K785*$J785)/$S785,"")</f>
        <v>85000</v>
      </c>
    </row>
    <row r="786" customFormat="false" ht="12.75" hidden="false" customHeight="true" outlineLevel="0" collapsed="false">
      <c r="A786" s="441" t="n">
        <v>8</v>
      </c>
      <c r="B786" s="157" t="n">
        <v>778</v>
      </c>
      <c r="C786" s="437" t="s">
        <v>8246</v>
      </c>
      <c r="D786" s="157" t="s">
        <v>8747</v>
      </c>
      <c r="E786" s="461" t="s">
        <v>2461</v>
      </c>
      <c r="F786" s="157" t="s">
        <v>8748</v>
      </c>
      <c r="G786" s="445" t="n">
        <v>44.1</v>
      </c>
      <c r="H786" s="431" t="n">
        <v>9208</v>
      </c>
      <c r="I786" s="457" t="n">
        <v>0</v>
      </c>
      <c r="J786" s="458" t="n">
        <v>5775</v>
      </c>
      <c r="K786" s="462" t="n">
        <v>7.68831168831169</v>
      </c>
      <c r="L786" s="463" t="n">
        <v>0</v>
      </c>
      <c r="M786" s="463" t="n">
        <v>0.0608108108108108</v>
      </c>
      <c r="N786" s="431" t="n">
        <v>1973</v>
      </c>
      <c r="Q786" s="157" t="n">
        <v>14</v>
      </c>
      <c r="R786" s="157" t="n">
        <v>3</v>
      </c>
      <c r="S786" s="157" t="n">
        <v>1</v>
      </c>
      <c r="T786" s="457" t="s">
        <v>7884</v>
      </c>
      <c r="U786" s="457" t="n">
        <v>398</v>
      </c>
      <c r="V786" s="458" t="n">
        <v>9142</v>
      </c>
      <c r="W786" s="458" t="n">
        <v>9000</v>
      </c>
      <c r="X786" s="464" t="s">
        <v>6668</v>
      </c>
      <c r="Y786" s="458" t="n">
        <f aca="false">ROUND(J786,-3)</f>
        <v>6000</v>
      </c>
      <c r="Z786" s="457" t="s">
        <v>6638</v>
      </c>
      <c r="AA786" s="157" t="n">
        <v>3</v>
      </c>
      <c r="AB786" s="157" t="n">
        <v>3</v>
      </c>
      <c r="AC786" s="431" t="s">
        <v>586</v>
      </c>
      <c r="AD786" s="437"/>
      <c r="AE786" s="167"/>
      <c r="AF786" s="167"/>
      <c r="AG786" s="167"/>
      <c r="AH786" s="167"/>
      <c r="AI786" s="167"/>
      <c r="AJ786" s="167"/>
      <c r="AK786" s="167" t="s">
        <v>8257</v>
      </c>
      <c r="AL786" s="157" t="n">
        <f aca="false">IF(AND(ISNUMBER($S786),$S786&gt;0,ISNUMBER($K786),ISNUMBER($J786)),($K786*$J786)/$S786,"")</f>
        <v>44400</v>
      </c>
    </row>
    <row r="787" customFormat="false" ht="12.75" hidden="false" customHeight="true" outlineLevel="0" collapsed="false">
      <c r="A787" s="441" t="n">
        <v>8</v>
      </c>
      <c r="B787" s="157" t="n">
        <v>779</v>
      </c>
      <c r="C787" s="437" t="s">
        <v>8246</v>
      </c>
      <c r="D787" s="157" t="s">
        <v>8749</v>
      </c>
      <c r="E787" s="461" t="s">
        <v>2461</v>
      </c>
      <c r="F787" s="157" t="s">
        <v>8750</v>
      </c>
      <c r="G787" s="445" t="n">
        <v>44.2</v>
      </c>
      <c r="H787" s="431" t="n">
        <v>9208</v>
      </c>
      <c r="I787" s="457" t="n">
        <v>0</v>
      </c>
      <c r="J787" s="458" t="n">
        <v>36032</v>
      </c>
      <c r="K787" s="462" t="n">
        <v>4.64911745115453</v>
      </c>
      <c r="L787" s="463" t="n">
        <v>0.22</v>
      </c>
      <c r="M787" s="463" t="n">
        <v>0.287343971059654</v>
      </c>
      <c r="N787" s="431" t="n">
        <v>1921</v>
      </c>
      <c r="O787" s="446" t="n">
        <v>1815</v>
      </c>
      <c r="Q787" s="157" t="n">
        <v>14</v>
      </c>
      <c r="R787" s="157" t="n">
        <v>1</v>
      </c>
      <c r="S787" s="157" t="n">
        <v>2</v>
      </c>
      <c r="T787" s="457" t="s">
        <v>7789</v>
      </c>
      <c r="U787" s="457" t="n">
        <v>398</v>
      </c>
      <c r="V787" s="458" t="n">
        <v>35708</v>
      </c>
      <c r="W787" s="458" t="n">
        <v>36000</v>
      </c>
      <c r="X787" s="464" t="s">
        <v>8145</v>
      </c>
      <c r="Y787" s="458" t="n">
        <f aca="false">ROUND(J787,-3)</f>
        <v>36000</v>
      </c>
      <c r="Z787" s="457" t="s">
        <v>6638</v>
      </c>
      <c r="AA787" s="157" t="n">
        <v>3</v>
      </c>
      <c r="AB787" s="157" t="n">
        <v>3</v>
      </c>
      <c r="AC787" s="431" t="s">
        <v>586</v>
      </c>
      <c r="AD787" s="437"/>
      <c r="AE787" s="167"/>
      <c r="AF787" s="167"/>
      <c r="AG787" s="167"/>
      <c r="AH787" s="167"/>
      <c r="AI787" s="167"/>
      <c r="AJ787" s="167"/>
      <c r="AK787" s="167" t="s">
        <v>8751</v>
      </c>
      <c r="AL787" s="157" t="n">
        <f aca="false">IF(AND(ISNUMBER($S787),$S787&gt;0,ISNUMBER($K787),ISNUMBER($J787)),($K787*$J787)/$S787,"")</f>
        <v>83758.5</v>
      </c>
    </row>
    <row r="788" customFormat="false" ht="12.75" hidden="false" customHeight="true" outlineLevel="0" collapsed="false">
      <c r="A788" s="441" t="n">
        <v>8</v>
      </c>
      <c r="B788" s="157" t="n">
        <v>780</v>
      </c>
      <c r="C788" s="437" t="s">
        <v>8246</v>
      </c>
      <c r="D788" s="157" t="s">
        <v>8752</v>
      </c>
      <c r="E788" s="461" t="s">
        <v>2461</v>
      </c>
      <c r="F788" s="157" t="s">
        <v>8753</v>
      </c>
      <c r="G788" s="445" t="n">
        <v>44.1</v>
      </c>
      <c r="H788" s="431" t="n">
        <v>9208</v>
      </c>
      <c r="I788" s="457" t="n">
        <v>0</v>
      </c>
      <c r="J788" s="458" t="n">
        <v>1950</v>
      </c>
      <c r="K788" s="462" t="n">
        <v>6.10461538461539</v>
      </c>
      <c r="L788" s="463" t="n">
        <v>0</v>
      </c>
      <c r="M788" s="463" t="n">
        <v>0</v>
      </c>
      <c r="N788" s="431" t="n">
        <v>1954</v>
      </c>
      <c r="O788" s="446" t="n">
        <v>120</v>
      </c>
      <c r="Q788" s="157" t="n">
        <v>13</v>
      </c>
      <c r="R788" s="157" t="n">
        <v>3</v>
      </c>
      <c r="S788" s="157" t="n">
        <v>1</v>
      </c>
      <c r="T788" s="457" t="s">
        <v>7884</v>
      </c>
      <c r="U788" s="457" t="n">
        <v>398</v>
      </c>
      <c r="V788" s="458" t="n">
        <v>2250</v>
      </c>
      <c r="W788" s="458" t="n">
        <v>2000</v>
      </c>
      <c r="X788" s="464" t="s">
        <v>6900</v>
      </c>
      <c r="Y788" s="458" t="n">
        <f aca="false">ROUND(J788,-2)</f>
        <v>2000</v>
      </c>
      <c r="Z788" s="457" t="s">
        <v>6638</v>
      </c>
      <c r="AA788" s="157" t="n">
        <v>3</v>
      </c>
      <c r="AB788" s="157" t="n">
        <v>3</v>
      </c>
      <c r="AC788" s="431" t="s">
        <v>586</v>
      </c>
      <c r="AD788" s="437" t="s">
        <v>8754</v>
      </c>
      <c r="AE788" s="167"/>
      <c r="AF788" s="167"/>
      <c r="AG788" s="167"/>
      <c r="AH788" s="167"/>
      <c r="AI788" s="167"/>
      <c r="AJ788" s="167"/>
      <c r="AK788" s="167" t="s">
        <v>8308</v>
      </c>
      <c r="AL788" s="157" t="n">
        <f aca="false">IF(AND(ISNUMBER($S788),$S788&gt;0,ISNUMBER($K788),ISNUMBER($J788)),($K788*$J788)/$S788,"")</f>
        <v>11904</v>
      </c>
    </row>
    <row r="789" customFormat="false" ht="12.75" hidden="false" customHeight="true" outlineLevel="0" collapsed="false">
      <c r="A789" s="441" t="n">
        <v>8</v>
      </c>
      <c r="B789" s="157" t="n">
        <v>781</v>
      </c>
      <c r="C789" s="437" t="s">
        <v>8246</v>
      </c>
      <c r="D789" s="157" t="s">
        <v>8755</v>
      </c>
      <c r="E789" s="461" t="s">
        <v>2461</v>
      </c>
      <c r="F789" s="157" t="s">
        <v>8756</v>
      </c>
      <c r="G789" s="445" t="n">
        <v>44.1</v>
      </c>
      <c r="H789" s="431" t="n">
        <v>9208</v>
      </c>
      <c r="I789" s="457" t="n">
        <v>0</v>
      </c>
      <c r="J789" s="458" t="n">
        <v>1608</v>
      </c>
      <c r="K789" s="462" t="n">
        <v>6.34328358208955</v>
      </c>
      <c r="L789" s="463" t="n">
        <v>0.42</v>
      </c>
      <c r="M789" s="463" t="n">
        <v>0</v>
      </c>
      <c r="N789" s="431" t="n">
        <v>1977</v>
      </c>
      <c r="Q789" s="157" t="n">
        <v>11</v>
      </c>
      <c r="R789" s="157" t="n">
        <v>7</v>
      </c>
      <c r="S789" s="157" t="n">
        <v>1</v>
      </c>
      <c r="T789" s="457" t="s">
        <v>7789</v>
      </c>
      <c r="U789" s="457" t="n">
        <v>398</v>
      </c>
      <c r="V789" s="458" t="n">
        <v>2868</v>
      </c>
      <c r="W789" s="458" t="n">
        <v>3000</v>
      </c>
      <c r="X789" s="464" t="s">
        <v>6863</v>
      </c>
      <c r="Y789" s="458" t="n">
        <f aca="false">ROUND(J789,-2)</f>
        <v>1600</v>
      </c>
      <c r="Z789" s="457" t="s">
        <v>6638</v>
      </c>
      <c r="AA789" s="157" t="n">
        <v>3</v>
      </c>
      <c r="AB789" s="157" t="n">
        <v>2</v>
      </c>
      <c r="AC789" s="431" t="s">
        <v>582</v>
      </c>
      <c r="AD789" s="437" t="s">
        <v>6676</v>
      </c>
      <c r="AE789" s="167"/>
      <c r="AF789" s="167"/>
      <c r="AG789" s="167"/>
      <c r="AH789" s="167"/>
      <c r="AI789" s="167"/>
      <c r="AJ789" s="167"/>
      <c r="AK789" s="167" t="s">
        <v>8757</v>
      </c>
      <c r="AL789" s="157" t="n">
        <f aca="false">IF(AND(ISNUMBER($S789),$S789&gt;0,ISNUMBER($K789),ISNUMBER($J789)),($K789*$J789)/$S789,"")</f>
        <v>10200</v>
      </c>
    </row>
    <row r="790" customFormat="false" ht="12.75" hidden="false" customHeight="true" outlineLevel="0" collapsed="false">
      <c r="A790" s="441" t="n">
        <v>8</v>
      </c>
      <c r="B790" s="157" t="n">
        <v>782</v>
      </c>
      <c r="C790" s="437" t="s">
        <v>8246</v>
      </c>
      <c r="D790" s="157" t="s">
        <v>8758</v>
      </c>
      <c r="E790" s="461" t="s">
        <v>2461</v>
      </c>
      <c r="F790" s="157" t="s">
        <v>8759</v>
      </c>
      <c r="G790" s="445" t="n">
        <v>47.1</v>
      </c>
      <c r="H790" s="431" t="n">
        <v>9208</v>
      </c>
      <c r="I790" s="457" t="n">
        <v>0</v>
      </c>
      <c r="J790" s="458" t="n">
        <v>20782</v>
      </c>
      <c r="K790" s="462" t="n">
        <v>3.46453661822731</v>
      </c>
      <c r="L790" s="463" t="n">
        <v>0</v>
      </c>
      <c r="M790" s="463" t="n">
        <v>0</v>
      </c>
      <c r="N790" s="431" t="n">
        <v>1964</v>
      </c>
      <c r="O790" s="446" t="n">
        <v>581</v>
      </c>
      <c r="P790" s="446" t="n">
        <v>2205</v>
      </c>
      <c r="Q790" s="157" t="n">
        <v>13</v>
      </c>
      <c r="R790" s="157" t="n">
        <v>1</v>
      </c>
      <c r="S790" s="157" t="n">
        <v>1</v>
      </c>
      <c r="T790" s="457" t="s">
        <v>7884</v>
      </c>
      <c r="U790" s="457" t="n">
        <v>401</v>
      </c>
      <c r="V790" s="458" t="n">
        <v>41850</v>
      </c>
      <c r="W790" s="458" t="n">
        <v>42000</v>
      </c>
      <c r="X790" s="464" t="s">
        <v>7546</v>
      </c>
      <c r="Y790" s="458" t="n">
        <f aca="false">ROUND(J790,-3)</f>
        <v>21000</v>
      </c>
      <c r="Z790" s="457" t="s">
        <v>6638</v>
      </c>
      <c r="AA790" s="157" t="n">
        <v>3</v>
      </c>
      <c r="AB790" s="157" t="n">
        <v>3</v>
      </c>
      <c r="AC790" s="431" t="s">
        <v>586</v>
      </c>
      <c r="AD790" s="437"/>
      <c r="AE790" s="167"/>
      <c r="AF790" s="167"/>
      <c r="AG790" s="167"/>
      <c r="AH790" s="167"/>
      <c r="AI790" s="167"/>
      <c r="AJ790" s="167"/>
      <c r="AK790" s="167" t="s">
        <v>8257</v>
      </c>
      <c r="AL790" s="157" t="n">
        <f aca="false">IF(AND(ISNUMBER($S790),$S790&gt;0,ISNUMBER($K790),ISNUMBER($J790)),($K790*$J790)/$S790,"")</f>
        <v>72000</v>
      </c>
    </row>
    <row r="791" customFormat="false" ht="12.75" hidden="false" customHeight="true" outlineLevel="0" collapsed="false">
      <c r="A791" s="441" t="n">
        <v>8</v>
      </c>
      <c r="B791" s="157" t="n">
        <v>783</v>
      </c>
      <c r="C791" s="437" t="s">
        <v>8246</v>
      </c>
      <c r="D791" s="157" t="s">
        <v>8760</v>
      </c>
      <c r="E791" s="461" t="s">
        <v>2461</v>
      </c>
      <c r="F791" s="157" t="s">
        <v>8761</v>
      </c>
      <c r="G791" s="445" t="n">
        <v>44.1</v>
      </c>
      <c r="H791" s="431" t="n">
        <v>9208</v>
      </c>
      <c r="I791" s="457" t="n">
        <v>0</v>
      </c>
      <c r="J791" s="458" t="n">
        <v>15798</v>
      </c>
      <c r="K791" s="462" t="n">
        <v>3.49132801620458</v>
      </c>
      <c r="L791" s="463" t="n">
        <v>0</v>
      </c>
      <c r="M791" s="463" t="n">
        <v>0.0288635869171078</v>
      </c>
      <c r="N791" s="431" t="n">
        <v>1962</v>
      </c>
      <c r="O791" s="446" t="n">
        <v>675</v>
      </c>
      <c r="Q791" s="157" t="n">
        <v>15</v>
      </c>
      <c r="R791" s="157" t="n">
        <v>3</v>
      </c>
      <c r="S791" s="157" t="n">
        <v>1</v>
      </c>
      <c r="T791" s="457" t="s">
        <v>7884</v>
      </c>
      <c r="U791" s="457" t="n">
        <v>398</v>
      </c>
      <c r="V791" s="458" t="n">
        <v>37190</v>
      </c>
      <c r="W791" s="458" t="n">
        <v>37000</v>
      </c>
      <c r="X791" s="464" t="s">
        <v>6650</v>
      </c>
      <c r="Y791" s="458" t="n">
        <f aca="false">ROUND(J791,-3)</f>
        <v>16000</v>
      </c>
      <c r="Z791" s="457" t="s">
        <v>6638</v>
      </c>
      <c r="AA791" s="157" t="n">
        <v>3</v>
      </c>
      <c r="AB791" s="157" t="n">
        <v>3</v>
      </c>
      <c r="AC791" s="431" t="s">
        <v>586</v>
      </c>
      <c r="AD791" s="437"/>
      <c r="AE791" s="167"/>
      <c r="AF791" s="167"/>
      <c r="AG791" s="167"/>
      <c r="AH791" s="167"/>
      <c r="AI791" s="167"/>
      <c r="AJ791" s="167"/>
      <c r="AK791" s="167" t="s">
        <v>8324</v>
      </c>
      <c r="AL791" s="157" t="n">
        <f aca="false">IF(AND(ISNUMBER($S791),$S791&gt;0,ISNUMBER($K791),ISNUMBER($J791)),($K791*$J791)/$S791,"")</f>
        <v>55156</v>
      </c>
    </row>
    <row r="792" customFormat="false" ht="12.75" hidden="false" customHeight="true" outlineLevel="0" collapsed="false">
      <c r="A792" s="441" t="n">
        <v>8</v>
      </c>
      <c r="B792" s="157" t="n">
        <v>784</v>
      </c>
      <c r="C792" s="437" t="s">
        <v>8246</v>
      </c>
      <c r="D792" s="157" t="s">
        <v>8762</v>
      </c>
      <c r="E792" s="461" t="s">
        <v>2461</v>
      </c>
      <c r="F792" s="157" t="s">
        <v>8763</v>
      </c>
      <c r="G792" s="445" t="n">
        <v>44.1</v>
      </c>
      <c r="H792" s="431" t="n">
        <v>9208</v>
      </c>
      <c r="I792" s="457" t="n">
        <v>0</v>
      </c>
      <c r="J792" s="458" t="n">
        <v>700</v>
      </c>
      <c r="K792" s="462" t="n">
        <v>7.38142857142857</v>
      </c>
      <c r="L792" s="463" t="n">
        <v>0</v>
      </c>
      <c r="M792" s="463" t="n">
        <v>0.419392297271144</v>
      </c>
      <c r="N792" s="431" t="n">
        <v>1926</v>
      </c>
      <c r="O792" s="446" t="n">
        <v>827</v>
      </c>
      <c r="Q792" s="157" t="n">
        <v>8</v>
      </c>
      <c r="R792" s="157" t="n">
        <v>4</v>
      </c>
      <c r="S792" s="157" t="n">
        <v>1</v>
      </c>
      <c r="T792" s="457" t="s">
        <v>7881</v>
      </c>
      <c r="U792" s="457" t="n">
        <v>398</v>
      </c>
      <c r="V792" s="458" t="n">
        <v>6950</v>
      </c>
      <c r="W792" s="458" t="n">
        <v>7000</v>
      </c>
      <c r="X792" s="464" t="s">
        <v>7288</v>
      </c>
      <c r="Y792" s="458" t="n">
        <f aca="false">ROUND(J792,-2)</f>
        <v>700</v>
      </c>
      <c r="Z792" s="457" t="s">
        <v>6638</v>
      </c>
      <c r="AA792" s="157" t="n">
        <v>3</v>
      </c>
      <c r="AB792" s="157" t="n">
        <v>3</v>
      </c>
      <c r="AC792" s="431" t="s">
        <v>586</v>
      </c>
      <c r="AD792" s="437" t="s">
        <v>6676</v>
      </c>
      <c r="AE792" s="167"/>
      <c r="AF792" s="167"/>
      <c r="AG792" s="167"/>
      <c r="AH792" s="167"/>
      <c r="AI792" s="167"/>
      <c r="AJ792" s="167"/>
      <c r="AK792" s="167" t="s">
        <v>8764</v>
      </c>
      <c r="AL792" s="157" t="n">
        <f aca="false">IF(AND(ISNUMBER($S792),$S792&gt;0,ISNUMBER($K792),ISNUMBER($J792)),($K792*$J792)/$S792,"")</f>
        <v>5167</v>
      </c>
    </row>
    <row r="793" customFormat="false" ht="12.75" hidden="false" customHeight="true" outlineLevel="0" collapsed="false">
      <c r="A793" s="441" t="n">
        <v>8</v>
      </c>
      <c r="B793" s="157" t="n">
        <v>785</v>
      </c>
      <c r="C793" s="437" t="s">
        <v>8246</v>
      </c>
      <c r="D793" s="157" t="s">
        <v>7154</v>
      </c>
      <c r="E793" s="461" t="s">
        <v>2461</v>
      </c>
      <c r="F793" s="157" t="s">
        <v>7155</v>
      </c>
      <c r="G793" s="445" t="n">
        <v>44.2</v>
      </c>
      <c r="H793" s="431" t="n">
        <v>9208</v>
      </c>
      <c r="I793" s="457" t="n">
        <v>6</v>
      </c>
      <c r="J793" s="458" t="n">
        <v>6200</v>
      </c>
      <c r="K793" s="462" t="n">
        <v>5.00806451612903</v>
      </c>
      <c r="L793" s="463" t="n">
        <v>0.483870967741936</v>
      </c>
      <c r="M793" s="463" t="n">
        <v>0.110305958132045</v>
      </c>
      <c r="N793" s="431" t="n">
        <v>1962</v>
      </c>
      <c r="O793" s="446" t="n">
        <v>780</v>
      </c>
      <c r="Q793" s="157" t="n">
        <v>10</v>
      </c>
      <c r="R793" s="157" t="n">
        <v>1</v>
      </c>
      <c r="S793" s="157" t="n">
        <v>3</v>
      </c>
      <c r="T793" s="457" t="s">
        <v>7789</v>
      </c>
      <c r="U793" s="457" t="n">
        <v>398</v>
      </c>
      <c r="V793" s="458" t="n">
        <v>14360</v>
      </c>
      <c r="W793" s="458" t="n">
        <v>14000</v>
      </c>
      <c r="X793" s="464" t="s">
        <v>6646</v>
      </c>
      <c r="Y793" s="458" t="n">
        <f aca="false">ROUND(J793,-3)</f>
        <v>6000</v>
      </c>
      <c r="Z793" s="457" t="s">
        <v>6638</v>
      </c>
      <c r="AA793" s="157" t="n">
        <v>3</v>
      </c>
      <c r="AB793" s="157" t="n">
        <v>3</v>
      </c>
      <c r="AC793" s="431" t="s">
        <v>586</v>
      </c>
      <c r="AD793" s="437" t="s">
        <v>7156</v>
      </c>
      <c r="AE793" s="167"/>
      <c r="AF793" s="167"/>
      <c r="AG793" s="167"/>
      <c r="AH793" s="167"/>
      <c r="AI793" s="167"/>
      <c r="AJ793" s="167"/>
      <c r="AK793" s="167" t="s">
        <v>8765</v>
      </c>
      <c r="AL793" s="157" t="n">
        <f aca="false">IF(AND(ISNUMBER($S793),$S793&gt;0,ISNUMBER($K793),ISNUMBER($J793)),($K793*$J793)/$S793,"")</f>
        <v>10350</v>
      </c>
    </row>
    <row r="794" customFormat="false" ht="12.75" hidden="false" customHeight="true" outlineLevel="0" collapsed="false">
      <c r="A794" s="441" t="n">
        <v>8</v>
      </c>
      <c r="B794" s="157" t="n">
        <v>786</v>
      </c>
      <c r="C794" s="437" t="s">
        <v>8246</v>
      </c>
      <c r="D794" s="157" t="s">
        <v>8766</v>
      </c>
      <c r="E794" s="461" t="s">
        <v>2461</v>
      </c>
      <c r="F794" s="157" t="s">
        <v>8767</v>
      </c>
      <c r="G794" s="445" t="n">
        <v>44.1</v>
      </c>
      <c r="H794" s="431" t="n">
        <v>9202</v>
      </c>
      <c r="I794" s="457" t="n">
        <v>4</v>
      </c>
      <c r="J794" s="458" t="n">
        <v>1865</v>
      </c>
      <c r="K794" s="462" t="n">
        <v>12.8686327077748</v>
      </c>
      <c r="L794" s="463" t="n">
        <v>0.25</v>
      </c>
      <c r="M794" s="463" t="n">
        <v>0</v>
      </c>
      <c r="N794" s="431" t="n">
        <v>1942</v>
      </c>
      <c r="O794" s="446" t="n">
        <f aca="false">390+130</f>
        <v>520</v>
      </c>
      <c r="Q794" s="157" t="n">
        <v>14</v>
      </c>
      <c r="R794" s="157" t="n">
        <v>3</v>
      </c>
      <c r="S794" s="157" t="n">
        <v>1</v>
      </c>
      <c r="T794" s="457" t="s">
        <v>7895</v>
      </c>
      <c r="U794" s="457" t="n">
        <v>398</v>
      </c>
      <c r="V794" s="458" t="n">
        <v>6278</v>
      </c>
      <c r="W794" s="458" t="n">
        <v>6000</v>
      </c>
      <c r="X794" s="464" t="s">
        <v>7065</v>
      </c>
      <c r="Y794" s="458" t="n">
        <f aca="false">ROUND(J794,-2)</f>
        <v>1900</v>
      </c>
      <c r="Z794" s="457" t="s">
        <v>6638</v>
      </c>
      <c r="AA794" s="157" t="n">
        <v>3</v>
      </c>
      <c r="AB794" s="157" t="n">
        <v>3</v>
      </c>
      <c r="AC794" s="431" t="s">
        <v>586</v>
      </c>
      <c r="AD794" s="437" t="s">
        <v>8768</v>
      </c>
      <c r="AE794" s="167"/>
      <c r="AF794" s="167"/>
      <c r="AG794" s="167"/>
      <c r="AH794" s="167"/>
      <c r="AI794" s="167"/>
      <c r="AJ794" s="167"/>
      <c r="AK794" s="167" t="s">
        <v>8769</v>
      </c>
      <c r="AL794" s="157" t="n">
        <f aca="false">IF(AND(ISNUMBER($S794),$S794&gt;0,ISNUMBER($K794),ISNUMBER($J794)),($K794*$J794)/$S794,"")</f>
        <v>24000</v>
      </c>
    </row>
    <row r="795" customFormat="false" ht="12.75" hidden="false" customHeight="true" outlineLevel="0" collapsed="false">
      <c r="A795" s="441" t="n">
        <v>8</v>
      </c>
      <c r="B795" s="157" t="n">
        <v>787</v>
      </c>
      <c r="C795" s="437" t="s">
        <v>8246</v>
      </c>
      <c r="D795" s="157" t="s">
        <v>8770</v>
      </c>
      <c r="E795" s="461" t="s">
        <v>2461</v>
      </c>
      <c r="F795" s="157" t="s">
        <v>8771</v>
      </c>
      <c r="G795" s="445" t="n">
        <v>44.5</v>
      </c>
      <c r="H795" s="431" t="n">
        <v>9202</v>
      </c>
      <c r="I795" s="457" t="n">
        <v>1</v>
      </c>
      <c r="J795" s="458" t="n">
        <v>12556</v>
      </c>
      <c r="K795" s="462" t="n">
        <v>7.18222363810131</v>
      </c>
      <c r="L795" s="463" t="n">
        <v>0</v>
      </c>
      <c r="M795" s="463" t="n">
        <v>0.136294078509647</v>
      </c>
      <c r="N795" s="431" t="n">
        <v>1977</v>
      </c>
      <c r="Q795" s="157" t="n">
        <v>22</v>
      </c>
      <c r="R795" s="157" t="n">
        <v>3</v>
      </c>
      <c r="S795" s="157" t="n">
        <v>103</v>
      </c>
      <c r="T795" s="457" t="s">
        <v>7895</v>
      </c>
      <c r="U795" s="457" t="n">
        <v>396</v>
      </c>
      <c r="V795" s="458" t="n">
        <v>12639</v>
      </c>
      <c r="W795" s="458" t="n">
        <v>13000</v>
      </c>
      <c r="X795" s="464" t="s">
        <v>8145</v>
      </c>
      <c r="Y795" s="458" t="n">
        <f aca="false">ROUND(J795,-3)</f>
        <v>13000</v>
      </c>
      <c r="Z795" s="457" t="s">
        <v>6638</v>
      </c>
      <c r="AA795" s="157" t="n">
        <v>3</v>
      </c>
      <c r="AB795" s="157" t="n">
        <v>3</v>
      </c>
      <c r="AC795" s="431" t="s">
        <v>586</v>
      </c>
      <c r="AD795" s="437" t="s">
        <v>8772</v>
      </c>
      <c r="AE795" s="167"/>
      <c r="AF795" s="167"/>
      <c r="AG795" s="167"/>
      <c r="AH795" s="167"/>
      <c r="AI795" s="167"/>
      <c r="AJ795" s="167"/>
      <c r="AK795" s="167" t="s">
        <v>8773</v>
      </c>
      <c r="AL795" s="157" t="n">
        <f aca="false">IF(AND(ISNUMBER($S795),$S795&gt;0,ISNUMBER($K795),ISNUMBER($J795)),($K795*$J795)/$S795,"")</f>
        <v>875.533980582525</v>
      </c>
    </row>
    <row r="796" customFormat="false" ht="12.75" hidden="false" customHeight="true" outlineLevel="0" collapsed="false">
      <c r="A796" s="441" t="n">
        <v>8</v>
      </c>
      <c r="B796" s="157" t="n">
        <v>788</v>
      </c>
      <c r="C796" s="437" t="s">
        <v>8246</v>
      </c>
      <c r="D796" s="157" t="s">
        <v>8774</v>
      </c>
      <c r="E796" s="461" t="s">
        <v>2461</v>
      </c>
      <c r="F796" s="157" t="s">
        <v>8775</v>
      </c>
      <c r="G796" s="445" t="n">
        <v>44.1</v>
      </c>
      <c r="H796" s="431" t="n">
        <v>9202</v>
      </c>
      <c r="I796" s="457" t="n">
        <v>7</v>
      </c>
      <c r="J796" s="458" t="n">
        <v>4400</v>
      </c>
      <c r="K796" s="462" t="n">
        <v>8.18181818181818</v>
      </c>
      <c r="L796" s="463" t="n">
        <v>0</v>
      </c>
      <c r="M796" s="463" t="n">
        <v>0.162333333333333</v>
      </c>
      <c r="N796" s="431" t="n">
        <v>1920</v>
      </c>
      <c r="O796" s="446" t="n">
        <v>800</v>
      </c>
      <c r="Q796" s="157" t="n">
        <v>13</v>
      </c>
      <c r="R796" s="157" t="n">
        <v>1</v>
      </c>
      <c r="S796" s="157" t="n">
        <v>1</v>
      </c>
      <c r="T796" s="457" t="s">
        <v>7895</v>
      </c>
      <c r="U796" s="457" t="n">
        <v>398</v>
      </c>
      <c r="V796" s="458" t="n">
        <v>5028</v>
      </c>
      <c r="W796" s="458" t="n">
        <v>5000</v>
      </c>
      <c r="X796" s="464" t="s">
        <v>7043</v>
      </c>
      <c r="Y796" s="458" t="n">
        <f aca="false">ROUND(J796,-3)</f>
        <v>4000</v>
      </c>
      <c r="Z796" s="457" t="s">
        <v>6638</v>
      </c>
      <c r="AA796" s="157" t="n">
        <v>3</v>
      </c>
      <c r="AB796" s="157" t="n">
        <v>3</v>
      </c>
      <c r="AC796" s="431" t="s">
        <v>586</v>
      </c>
      <c r="AD796" s="437" t="s">
        <v>6676</v>
      </c>
      <c r="AE796" s="167"/>
      <c r="AF796" s="167"/>
      <c r="AG796" s="167"/>
      <c r="AH796" s="167"/>
      <c r="AI796" s="167"/>
      <c r="AJ796" s="167"/>
      <c r="AK796" s="167" t="s">
        <v>8776</v>
      </c>
      <c r="AL796" s="157" t="n">
        <f aca="false">IF(AND(ISNUMBER($S796),$S796&gt;0,ISNUMBER($K796),ISNUMBER($J796)),($K796*$J796)/$S796,"")</f>
        <v>36000</v>
      </c>
    </row>
    <row r="797" customFormat="false" ht="12.75" hidden="false" customHeight="true" outlineLevel="0" collapsed="false">
      <c r="A797" s="441" t="n">
        <v>8</v>
      </c>
      <c r="B797" s="157" t="n">
        <v>789</v>
      </c>
      <c r="C797" s="437" t="s">
        <v>8246</v>
      </c>
      <c r="D797" s="157" t="s">
        <v>8777</v>
      </c>
      <c r="E797" s="461" t="s">
        <v>2461</v>
      </c>
      <c r="F797" s="157" t="s">
        <v>8778</v>
      </c>
      <c r="G797" s="445" t="n">
        <v>44.2</v>
      </c>
      <c r="H797" s="431" t="n">
        <v>9202</v>
      </c>
      <c r="I797" s="457" t="n">
        <v>7</v>
      </c>
      <c r="J797" s="458" t="n">
        <v>8896</v>
      </c>
      <c r="K797" s="462" t="n">
        <v>7.41906474820144</v>
      </c>
      <c r="L797" s="463" t="n">
        <v>0</v>
      </c>
      <c r="M797" s="463" t="n">
        <v>0.0712121212121212</v>
      </c>
      <c r="N797" s="431" t="n">
        <v>1947</v>
      </c>
      <c r="O797" s="446" t="n">
        <v>3986</v>
      </c>
      <c r="Q797" s="157" t="n">
        <v>16</v>
      </c>
      <c r="R797" s="157" t="n">
        <v>3</v>
      </c>
      <c r="S797" s="157" t="n">
        <v>1</v>
      </c>
      <c r="T797" s="457" t="s">
        <v>7895</v>
      </c>
      <c r="U797" s="457" t="n">
        <v>398</v>
      </c>
      <c r="V797" s="458" t="n">
        <v>9396</v>
      </c>
      <c r="W797" s="458" t="n">
        <v>9000</v>
      </c>
      <c r="X797" s="464" t="s">
        <v>7043</v>
      </c>
      <c r="Y797" s="458" t="n">
        <f aca="false">ROUND(J797,-3)</f>
        <v>9000</v>
      </c>
      <c r="Z797" s="457" t="s">
        <v>6638</v>
      </c>
      <c r="AA797" s="157" t="n">
        <v>3</v>
      </c>
      <c r="AB797" s="157" t="n">
        <v>3</v>
      </c>
      <c r="AC797" s="431" t="s">
        <v>586</v>
      </c>
      <c r="AD797" s="437"/>
      <c r="AE797" s="167"/>
      <c r="AF797" s="167"/>
      <c r="AG797" s="167"/>
      <c r="AH797" s="167"/>
      <c r="AI797" s="167"/>
      <c r="AJ797" s="167"/>
      <c r="AK797" s="167" t="s">
        <v>8406</v>
      </c>
      <c r="AL797" s="157" t="n">
        <f aca="false">IF(AND(ISNUMBER($S797),$S797&gt;0,ISNUMBER($K797),ISNUMBER($J797)),($K797*$J797)/$S797,"")</f>
        <v>66000</v>
      </c>
    </row>
    <row r="798" customFormat="false" ht="12.75" hidden="false" customHeight="true" outlineLevel="0" collapsed="false">
      <c r="A798" s="441" t="n">
        <v>8</v>
      </c>
      <c r="B798" s="157" t="n">
        <v>790</v>
      </c>
      <c r="C798" s="437" t="s">
        <v>8246</v>
      </c>
      <c r="D798" s="157" t="s">
        <v>8779</v>
      </c>
      <c r="E798" s="461" t="s">
        <v>2461</v>
      </c>
      <c r="F798" s="157" t="s">
        <v>8780</v>
      </c>
      <c r="G798" s="445" t="n">
        <v>44.1</v>
      </c>
      <c r="H798" s="431" t="n">
        <v>9502</v>
      </c>
      <c r="I798" s="457" t="n">
        <v>0</v>
      </c>
      <c r="J798" s="458" t="n">
        <v>1300</v>
      </c>
      <c r="K798" s="462" t="n">
        <v>9.23076923076923</v>
      </c>
      <c r="L798" s="463" t="n">
        <v>0.63</v>
      </c>
      <c r="M798" s="463" t="n">
        <v>0.07575</v>
      </c>
      <c r="N798" s="431" t="n">
        <v>1901</v>
      </c>
      <c r="Q798" s="157" t="n">
        <v>11</v>
      </c>
      <c r="R798" s="157" t="n">
        <v>1</v>
      </c>
      <c r="S798" s="157" t="n">
        <v>1</v>
      </c>
      <c r="T798" s="457" t="s">
        <v>8781</v>
      </c>
      <c r="U798" s="457" t="n">
        <v>398</v>
      </c>
      <c r="V798" s="458" t="n">
        <v>3527</v>
      </c>
      <c r="W798" s="458" t="n">
        <v>4000</v>
      </c>
      <c r="X798" s="464" t="s">
        <v>6710</v>
      </c>
      <c r="Y798" s="458" t="n">
        <f aca="false">ROUND(J798,-2)</f>
        <v>1300</v>
      </c>
      <c r="Z798" s="457" t="s">
        <v>6638</v>
      </c>
      <c r="AA798" s="157" t="n">
        <v>3</v>
      </c>
      <c r="AB798" s="157" t="n">
        <v>3</v>
      </c>
      <c r="AC798" s="431" t="s">
        <v>586</v>
      </c>
      <c r="AD798" s="437" t="s">
        <v>6676</v>
      </c>
      <c r="AE798" s="167"/>
      <c r="AF798" s="167"/>
      <c r="AG798" s="167"/>
      <c r="AH798" s="167"/>
      <c r="AI798" s="167"/>
      <c r="AJ798" s="167"/>
      <c r="AK798" s="167" t="s">
        <v>8782</v>
      </c>
      <c r="AL798" s="157" t="n">
        <f aca="false">IF(AND(ISNUMBER($S798),$S798&gt;0,ISNUMBER($K798),ISNUMBER($J798)),($K798*$J798)/$S798,"")</f>
        <v>12000</v>
      </c>
    </row>
    <row r="799" customFormat="false" ht="12.75" hidden="false" customHeight="true" outlineLevel="0" collapsed="false">
      <c r="A799" s="441" t="n">
        <v>8</v>
      </c>
      <c r="B799" s="157" t="n">
        <v>791</v>
      </c>
      <c r="C799" s="437" t="s">
        <v>8246</v>
      </c>
      <c r="D799" s="157" t="s">
        <v>8783</v>
      </c>
      <c r="E799" s="461" t="s">
        <v>2461</v>
      </c>
      <c r="F799" s="157" t="s">
        <v>8784</v>
      </c>
      <c r="G799" s="445" t="n">
        <v>44.1</v>
      </c>
      <c r="H799" s="431" t="n">
        <v>9505</v>
      </c>
      <c r="I799" s="457" t="n">
        <v>0</v>
      </c>
      <c r="J799" s="458" t="n">
        <v>10866</v>
      </c>
      <c r="K799" s="462" t="n">
        <v>7.84097183876312</v>
      </c>
      <c r="L799" s="463" t="n">
        <v>0</v>
      </c>
      <c r="M799" s="463" t="n">
        <v>0</v>
      </c>
      <c r="N799" s="431" t="n">
        <v>1964</v>
      </c>
      <c r="O799" s="446" t="n">
        <v>5985</v>
      </c>
      <c r="Q799" s="157" t="n">
        <v>12</v>
      </c>
      <c r="R799" s="157" t="n">
        <v>3</v>
      </c>
      <c r="S799" s="157" t="n">
        <v>1</v>
      </c>
      <c r="T799" s="457" t="s">
        <v>7789</v>
      </c>
      <c r="U799" s="457" t="n">
        <v>398</v>
      </c>
      <c r="V799" s="458" t="n">
        <v>14800</v>
      </c>
      <c r="W799" s="458" t="n">
        <v>15000</v>
      </c>
      <c r="X799" s="464" t="s">
        <v>6710</v>
      </c>
      <c r="Y799" s="458" t="n">
        <f aca="false">ROUND(J799,-3)</f>
        <v>11000</v>
      </c>
      <c r="Z799" s="457" t="s">
        <v>6638</v>
      </c>
      <c r="AA799" s="157" t="n">
        <v>3</v>
      </c>
      <c r="AB799" s="157" t="n">
        <v>3</v>
      </c>
      <c r="AC799" s="431" t="s">
        <v>586</v>
      </c>
      <c r="AD799" s="437" t="s">
        <v>8785</v>
      </c>
      <c r="AE799" s="167"/>
      <c r="AF799" s="167"/>
      <c r="AG799" s="167"/>
      <c r="AH799" s="167"/>
      <c r="AI799" s="167"/>
      <c r="AJ799" s="167"/>
      <c r="AK799" s="167" t="s">
        <v>8786</v>
      </c>
      <c r="AL799" s="157" t="n">
        <f aca="false">IF(AND(ISNUMBER($S799),$S799&gt;0,ISNUMBER($K799),ISNUMBER($J799)),($K799*$J799)/$S799,"")</f>
        <v>85200.0000000001</v>
      </c>
    </row>
    <row r="800" customFormat="false" ht="12.75" hidden="false" customHeight="true" outlineLevel="0" collapsed="false">
      <c r="A800" s="441" t="n">
        <v>8</v>
      </c>
      <c r="B800" s="157" t="n">
        <v>792</v>
      </c>
      <c r="C800" s="437" t="s">
        <v>8246</v>
      </c>
      <c r="D800" s="157" t="s">
        <v>8787</v>
      </c>
      <c r="E800" s="461" t="s">
        <v>2461</v>
      </c>
      <c r="F800" s="157" t="s">
        <v>8788</v>
      </c>
      <c r="G800" s="445" t="n">
        <v>47.2</v>
      </c>
      <c r="H800" s="431" t="n">
        <v>9505</v>
      </c>
      <c r="I800" s="457" t="n">
        <v>3</v>
      </c>
      <c r="J800" s="458" t="n">
        <v>2000</v>
      </c>
      <c r="K800" s="462" t="n">
        <v>7.8</v>
      </c>
      <c r="L800" s="463" t="n">
        <v>0</v>
      </c>
      <c r="M800" s="463" t="n">
        <v>0.0672435897435897</v>
      </c>
      <c r="N800" s="431" t="n">
        <v>1938</v>
      </c>
      <c r="Q800" s="157" t="n">
        <v>14</v>
      </c>
      <c r="R800" s="157" t="n">
        <v>3</v>
      </c>
      <c r="S800" s="157" t="n">
        <v>1</v>
      </c>
      <c r="T800" s="457" t="s">
        <v>7789</v>
      </c>
      <c r="U800" s="457" t="n">
        <v>401</v>
      </c>
      <c r="V800" s="458" t="n">
        <v>2625</v>
      </c>
      <c r="W800" s="458" t="n">
        <v>3000</v>
      </c>
      <c r="X800" s="464" t="s">
        <v>7103</v>
      </c>
      <c r="Y800" s="458" t="n">
        <f aca="false">ROUND(J800,-3)</f>
        <v>2000</v>
      </c>
      <c r="Z800" s="457" t="s">
        <v>6638</v>
      </c>
      <c r="AA800" s="157" t="n">
        <v>3</v>
      </c>
      <c r="AB800" s="157" t="n">
        <v>3</v>
      </c>
      <c r="AC800" s="431" t="s">
        <v>586</v>
      </c>
      <c r="AD800" s="437" t="s">
        <v>8789</v>
      </c>
      <c r="AE800" s="167"/>
      <c r="AF800" s="167"/>
      <c r="AG800" s="167"/>
      <c r="AH800" s="167"/>
      <c r="AI800" s="167"/>
      <c r="AJ800" s="167"/>
      <c r="AK800" s="167" t="s">
        <v>8574</v>
      </c>
      <c r="AL800" s="157" t="n">
        <f aca="false">IF(AND(ISNUMBER($S800),$S800&gt;0,ISNUMBER($K800),ISNUMBER($J800)),($K800*$J800)/$S800,"")</f>
        <v>15600</v>
      </c>
    </row>
    <row r="801" customFormat="false" ht="12.75" hidden="false" customHeight="true" outlineLevel="0" collapsed="false">
      <c r="A801" s="441" t="n">
        <v>8</v>
      </c>
      <c r="B801" s="157" t="n">
        <v>793</v>
      </c>
      <c r="C801" s="437" t="s">
        <v>8246</v>
      </c>
      <c r="D801" s="157" t="s">
        <v>8790</v>
      </c>
      <c r="E801" s="461" t="s">
        <v>2461</v>
      </c>
      <c r="F801" s="157" t="s">
        <v>8791</v>
      </c>
      <c r="G801" s="445" t="n">
        <v>43.1</v>
      </c>
      <c r="H801" s="431" t="n">
        <v>9503</v>
      </c>
      <c r="I801" s="457" t="n">
        <v>0</v>
      </c>
      <c r="J801" s="458" t="n">
        <v>5288</v>
      </c>
      <c r="K801" s="462" t="n">
        <v>9.83358547655068</v>
      </c>
      <c r="L801" s="463" t="n">
        <v>0</v>
      </c>
      <c r="M801" s="463" t="n">
        <v>0</v>
      </c>
      <c r="N801" s="431" t="n">
        <v>1927</v>
      </c>
      <c r="O801" s="446" t="n">
        <v>3284</v>
      </c>
      <c r="Q801" s="157" t="n">
        <v>13</v>
      </c>
      <c r="R801" s="157" t="n">
        <v>1</v>
      </c>
      <c r="S801" s="157" t="n">
        <v>1</v>
      </c>
      <c r="T801" s="457" t="s">
        <v>7901</v>
      </c>
      <c r="U801" s="457" t="n">
        <v>401</v>
      </c>
      <c r="V801" s="458" t="n">
        <v>9370</v>
      </c>
      <c r="W801" s="458" t="n">
        <v>9000</v>
      </c>
      <c r="X801" s="464" t="s">
        <v>6863</v>
      </c>
      <c r="Y801" s="458" t="n">
        <f aca="false">ROUND(J801,-3)</f>
        <v>5000</v>
      </c>
      <c r="Z801" s="457" t="s">
        <v>6638</v>
      </c>
      <c r="AA801" s="157" t="n">
        <v>3</v>
      </c>
      <c r="AB801" s="157" t="n">
        <v>3</v>
      </c>
      <c r="AC801" s="431" t="s">
        <v>586</v>
      </c>
      <c r="AD801" s="437"/>
      <c r="AE801" s="167"/>
      <c r="AF801" s="167"/>
      <c r="AG801" s="167"/>
      <c r="AH801" s="167"/>
      <c r="AI801" s="167"/>
      <c r="AJ801" s="167"/>
      <c r="AK801" s="167" t="s">
        <v>8792</v>
      </c>
      <c r="AL801" s="157" t="n">
        <f aca="false">IF(AND(ISNUMBER($S801),$S801&gt;0,ISNUMBER($K801),ISNUMBER($J801)),($K801*$J801)/$S801,"")</f>
        <v>52000</v>
      </c>
    </row>
    <row r="802" customFormat="false" ht="12.75" hidden="false" customHeight="true" outlineLevel="0" collapsed="false">
      <c r="A802" s="441" t="n">
        <v>8</v>
      </c>
      <c r="B802" s="157" t="n">
        <v>794</v>
      </c>
      <c r="C802" s="437" t="s">
        <v>8246</v>
      </c>
      <c r="D802" s="157" t="s">
        <v>7178</v>
      </c>
      <c r="E802" s="461" t="s">
        <v>2461</v>
      </c>
      <c r="F802" s="157" t="s">
        <v>7179</v>
      </c>
      <c r="G802" s="445" t="n">
        <v>44.1</v>
      </c>
      <c r="H802" s="431" t="n">
        <v>9505</v>
      </c>
      <c r="I802" s="457" t="n">
        <v>0</v>
      </c>
      <c r="J802" s="458" t="n">
        <v>10600</v>
      </c>
      <c r="K802" s="462" t="n">
        <v>7.14150943396226</v>
      </c>
      <c r="L802" s="463" t="n">
        <v>0</v>
      </c>
      <c r="M802" s="463" t="n">
        <v>0</v>
      </c>
      <c r="N802" s="431" t="n">
        <v>1966</v>
      </c>
      <c r="O802" s="446" t="n">
        <v>3480</v>
      </c>
      <c r="Q802" s="157" t="n">
        <v>13</v>
      </c>
      <c r="R802" s="157" t="n">
        <v>8</v>
      </c>
      <c r="S802" s="157" t="n">
        <v>1</v>
      </c>
      <c r="T802" s="457" t="s">
        <v>7526</v>
      </c>
      <c r="U802" s="457" t="n">
        <v>397</v>
      </c>
      <c r="V802" s="458" t="n">
        <v>25019</v>
      </c>
      <c r="W802" s="458" t="n">
        <v>25000</v>
      </c>
      <c r="X802" s="464" t="s">
        <v>6650</v>
      </c>
      <c r="Y802" s="458" t="n">
        <f aca="false">ROUND(J802,-3)</f>
        <v>11000</v>
      </c>
      <c r="Z802" s="457" t="s">
        <v>6638</v>
      </c>
      <c r="AA802" s="157" t="n">
        <v>3</v>
      </c>
      <c r="AB802" s="157" t="n">
        <v>3</v>
      </c>
      <c r="AC802" s="431" t="s">
        <v>586</v>
      </c>
      <c r="AD802" s="437" t="s">
        <v>7181</v>
      </c>
      <c r="AE802" s="167"/>
      <c r="AF802" s="167"/>
      <c r="AG802" s="167"/>
      <c r="AH802" s="167"/>
      <c r="AI802" s="167"/>
      <c r="AJ802" s="167"/>
      <c r="AK802" s="167" t="s">
        <v>8257</v>
      </c>
      <c r="AL802" s="157" t="n">
        <f aca="false">IF(AND(ISNUMBER($S802),$S802&gt;0,ISNUMBER($K802),ISNUMBER($J802)),($K802*$J802)/$S802,"")</f>
        <v>75700</v>
      </c>
    </row>
    <row r="803" customFormat="false" ht="12.75" hidden="false" customHeight="true" outlineLevel="0" collapsed="false">
      <c r="A803" s="441" t="n">
        <v>8</v>
      </c>
      <c r="B803" s="157" t="n">
        <v>795</v>
      </c>
      <c r="C803" s="437" t="s">
        <v>8246</v>
      </c>
      <c r="D803" s="157" t="s">
        <v>8793</v>
      </c>
      <c r="E803" s="461" t="s">
        <v>2461</v>
      </c>
      <c r="F803" s="157" t="s">
        <v>8794</v>
      </c>
      <c r="G803" s="445" t="n">
        <v>44.6</v>
      </c>
      <c r="H803" s="431" t="n">
        <v>9505</v>
      </c>
      <c r="I803" s="457" t="n">
        <v>0</v>
      </c>
      <c r="J803" s="458" t="n">
        <v>39999</v>
      </c>
      <c r="K803" s="462" t="n">
        <v>7.71019275481887</v>
      </c>
      <c r="L803" s="463" t="n">
        <v>0</v>
      </c>
      <c r="M803" s="463" t="n">
        <v>0</v>
      </c>
      <c r="N803" s="431" t="n">
        <v>1963</v>
      </c>
      <c r="O803" s="446" t="n">
        <v>1344</v>
      </c>
      <c r="Q803" s="157" t="n">
        <v>20</v>
      </c>
      <c r="R803" s="157" t="n">
        <v>10</v>
      </c>
      <c r="S803" s="157" t="n">
        <v>1</v>
      </c>
      <c r="T803" s="457" t="s">
        <v>7531</v>
      </c>
      <c r="U803" s="457" t="n">
        <v>398</v>
      </c>
      <c r="V803" s="458" t="n">
        <v>73800</v>
      </c>
      <c r="W803" s="458" t="n">
        <v>70000</v>
      </c>
      <c r="X803" s="464" t="s">
        <v>6863</v>
      </c>
      <c r="Y803" s="458" t="n">
        <f aca="false">ROUND(J803,-3)</f>
        <v>40000</v>
      </c>
      <c r="Z803" s="457" t="s">
        <v>6638</v>
      </c>
      <c r="AA803" s="157" t="n">
        <v>3</v>
      </c>
      <c r="AB803" s="157" t="n">
        <v>3</v>
      </c>
      <c r="AC803" s="431" t="s">
        <v>586</v>
      </c>
      <c r="AD803" s="437"/>
      <c r="AE803" s="167"/>
      <c r="AF803" s="167"/>
      <c r="AG803" s="167"/>
      <c r="AH803" s="167"/>
      <c r="AI803" s="167"/>
      <c r="AJ803" s="167"/>
      <c r="AK803" s="167" t="s">
        <v>8795</v>
      </c>
      <c r="AL803" s="157" t="n">
        <f aca="false">IF(AND(ISNUMBER($S803),$S803&gt;0,ISNUMBER($K803),ISNUMBER($J803)),($K803*$J803)/$S803,"")</f>
        <v>308400</v>
      </c>
    </row>
    <row r="804" customFormat="false" ht="12.75" hidden="false" customHeight="true" outlineLevel="0" collapsed="false">
      <c r="A804" s="441" t="n">
        <v>8</v>
      </c>
      <c r="B804" s="157" t="n">
        <v>796</v>
      </c>
      <c r="C804" s="437" t="s">
        <v>8246</v>
      </c>
      <c r="D804" s="157" t="s">
        <v>7182</v>
      </c>
      <c r="E804" s="461" t="s">
        <v>2461</v>
      </c>
      <c r="F804" s="157" t="s">
        <v>7183</v>
      </c>
      <c r="G804" s="445" t="n">
        <v>44.1</v>
      </c>
      <c r="H804" s="431" t="n">
        <v>9505</v>
      </c>
      <c r="I804" s="457" t="n">
        <v>0</v>
      </c>
      <c r="J804" s="458" t="n">
        <v>5038</v>
      </c>
      <c r="K804" s="462" t="n">
        <v>3.57284636760619</v>
      </c>
      <c r="L804" s="463" t="n">
        <v>0</v>
      </c>
      <c r="M804" s="463" t="n">
        <v>0.212222222222222</v>
      </c>
      <c r="N804" s="431" t="n">
        <v>1953</v>
      </c>
      <c r="O804" s="446" t="n">
        <v>325</v>
      </c>
      <c r="Q804" s="157" t="n">
        <v>13</v>
      </c>
      <c r="R804" s="157" t="n">
        <v>6</v>
      </c>
      <c r="S804" s="157" t="n">
        <v>1</v>
      </c>
      <c r="T804" s="457" t="s">
        <v>7531</v>
      </c>
      <c r="U804" s="457" t="n">
        <v>398</v>
      </c>
      <c r="V804" s="458" t="n">
        <v>25929</v>
      </c>
      <c r="W804" s="458" t="n">
        <v>26000</v>
      </c>
      <c r="X804" s="464" t="s">
        <v>7184</v>
      </c>
      <c r="Y804" s="458" t="n">
        <f aca="false">ROUND(J804,-3)</f>
        <v>5000</v>
      </c>
      <c r="Z804" s="457" t="s">
        <v>6638</v>
      </c>
      <c r="AA804" s="157" t="n">
        <v>1</v>
      </c>
      <c r="AB804" s="157" t="n">
        <v>2</v>
      </c>
      <c r="AC804" s="431" t="s">
        <v>590</v>
      </c>
      <c r="AD804" s="437"/>
      <c r="AE804" s="167"/>
      <c r="AF804" s="167"/>
      <c r="AG804" s="167"/>
      <c r="AH804" s="167"/>
      <c r="AI804" s="167"/>
      <c r="AJ804" s="167"/>
      <c r="AK804" s="167" t="s">
        <v>8257</v>
      </c>
      <c r="AL804" s="157" t="n">
        <f aca="false">IF(AND(ISNUMBER($S804),$S804&gt;0,ISNUMBER($K804),ISNUMBER($J804)),($K804*$J804)/$S804,"")</f>
        <v>18000</v>
      </c>
    </row>
    <row r="805" customFormat="false" ht="12.75" hidden="false" customHeight="true" outlineLevel="0" collapsed="false">
      <c r="A805" s="441" t="n">
        <v>8</v>
      </c>
      <c r="B805" s="157" t="n">
        <v>797</v>
      </c>
      <c r="C805" s="437" t="s">
        <v>8246</v>
      </c>
      <c r="D805" s="157" t="s">
        <v>7185</v>
      </c>
      <c r="E805" s="461" t="s">
        <v>2461</v>
      </c>
      <c r="F805" s="157" t="s">
        <v>7186</v>
      </c>
      <c r="G805" s="445" t="n">
        <v>44.1</v>
      </c>
      <c r="H805" s="431" t="n">
        <v>9505</v>
      </c>
      <c r="I805" s="457" t="n">
        <v>0</v>
      </c>
      <c r="J805" s="458" t="n">
        <v>6022</v>
      </c>
      <c r="K805" s="462" t="n">
        <v>5.97808037196945</v>
      </c>
      <c r="L805" s="463" t="n">
        <v>0</v>
      </c>
      <c r="M805" s="463" t="n">
        <v>0.191833333333333</v>
      </c>
      <c r="N805" s="431" t="n">
        <v>1981</v>
      </c>
      <c r="O805" s="446" t="n">
        <v>1470</v>
      </c>
      <c r="Q805" s="157" t="n">
        <v>15</v>
      </c>
      <c r="R805" s="157" t="n">
        <v>3</v>
      </c>
      <c r="S805" s="157" t="n">
        <v>1</v>
      </c>
      <c r="T805" s="457" t="s">
        <v>7531</v>
      </c>
      <c r="U805" s="457" t="n">
        <v>398</v>
      </c>
      <c r="V805" s="458" t="n">
        <v>13115</v>
      </c>
      <c r="W805" s="458" t="n">
        <v>13000</v>
      </c>
      <c r="X805" s="464" t="s">
        <v>6700</v>
      </c>
      <c r="Y805" s="458" t="n">
        <f aca="false">ROUND(J805,-3)</f>
        <v>6000</v>
      </c>
      <c r="Z805" s="457" t="s">
        <v>6638</v>
      </c>
      <c r="AA805" s="157" t="n">
        <v>3</v>
      </c>
      <c r="AB805" s="157" t="n">
        <v>3</v>
      </c>
      <c r="AC805" s="431" t="s">
        <v>586</v>
      </c>
      <c r="AD805" s="437"/>
      <c r="AE805" s="167"/>
      <c r="AF805" s="167"/>
      <c r="AG805" s="167"/>
      <c r="AH805" s="167"/>
      <c r="AI805" s="167"/>
      <c r="AJ805" s="167"/>
      <c r="AK805" s="167" t="s">
        <v>8257</v>
      </c>
      <c r="AL805" s="157" t="n">
        <f aca="false">IF(AND(ISNUMBER($S805),$S805&gt;0,ISNUMBER($K805),ISNUMBER($J805)),($K805*$J805)/$S805,"")</f>
        <v>36000</v>
      </c>
    </row>
    <row r="806" customFormat="false" ht="12.75" hidden="false" customHeight="true" outlineLevel="0" collapsed="false">
      <c r="A806" s="441" t="n">
        <v>8</v>
      </c>
      <c r="B806" s="157" t="n">
        <v>798</v>
      </c>
      <c r="C806" s="437" t="s">
        <v>8246</v>
      </c>
      <c r="D806" s="157" t="s">
        <v>8796</v>
      </c>
      <c r="E806" s="461" t="s">
        <v>2461</v>
      </c>
      <c r="F806" s="157" t="s">
        <v>8797</v>
      </c>
      <c r="G806" s="445" t="n">
        <v>44.5</v>
      </c>
      <c r="H806" s="431" t="n">
        <v>9505</v>
      </c>
      <c r="I806" s="457" t="n">
        <v>0</v>
      </c>
      <c r="J806" s="458" t="n">
        <v>38952</v>
      </c>
      <c r="K806" s="462" t="n">
        <v>5.2956202505648</v>
      </c>
      <c r="L806" s="463" t="n">
        <v>0</v>
      </c>
      <c r="M806" s="463" t="n">
        <v>0</v>
      </c>
      <c r="N806" s="431" t="n">
        <v>1928</v>
      </c>
      <c r="O806" s="446" t="n">
        <v>1833</v>
      </c>
      <c r="Q806" s="157" t="n">
        <v>15</v>
      </c>
      <c r="R806" s="157" t="n">
        <v>1</v>
      </c>
      <c r="S806" s="157" t="n">
        <v>1</v>
      </c>
      <c r="T806" s="457" t="s">
        <v>7884</v>
      </c>
      <c r="U806" s="457" t="n">
        <v>396</v>
      </c>
      <c r="V806" s="458" t="n">
        <v>18750</v>
      </c>
      <c r="W806" s="458" t="n">
        <v>19000</v>
      </c>
      <c r="X806" s="464" t="s">
        <v>7170</v>
      </c>
      <c r="Y806" s="458" t="n">
        <f aca="false">ROUND(J806,-3)</f>
        <v>39000</v>
      </c>
      <c r="Z806" s="457" t="s">
        <v>6696</v>
      </c>
      <c r="AA806" s="157" t="n">
        <v>3</v>
      </c>
      <c r="AB806" s="157" t="n">
        <v>2</v>
      </c>
      <c r="AC806" s="431" t="s">
        <v>582</v>
      </c>
      <c r="AD806" s="437" t="s">
        <v>8798</v>
      </c>
      <c r="AE806" s="167"/>
      <c r="AF806" s="167"/>
      <c r="AG806" s="167"/>
      <c r="AH806" s="167"/>
      <c r="AI806" s="167"/>
      <c r="AJ806" s="167"/>
      <c r="AK806" s="167"/>
      <c r="AL806" s="157" t="n">
        <f aca="false">IF(AND(ISNUMBER($S806),$S806&gt;0,ISNUMBER($K806),ISNUMBER($J806)),($K806*$J806)/$S806,"")</f>
        <v>206275</v>
      </c>
    </row>
    <row r="807" customFormat="false" ht="12.75" hidden="false" customHeight="true" outlineLevel="0" collapsed="false">
      <c r="A807" s="441" t="n">
        <v>8</v>
      </c>
      <c r="B807" s="157" t="n">
        <v>799</v>
      </c>
      <c r="C807" s="437" t="s">
        <v>8246</v>
      </c>
      <c r="D807" s="157" t="s">
        <v>8799</v>
      </c>
      <c r="E807" s="461" t="s">
        <v>2461</v>
      </c>
      <c r="F807" s="157" t="s">
        <v>8800</v>
      </c>
      <c r="G807" s="445" t="n">
        <v>44.1</v>
      </c>
      <c r="H807" s="431" t="n">
        <v>9505</v>
      </c>
      <c r="I807" s="457" t="n">
        <v>0</v>
      </c>
      <c r="J807" s="458" t="n">
        <v>7700</v>
      </c>
      <c r="K807" s="462" t="n">
        <v>8.72727272727273</v>
      </c>
      <c r="L807" s="463" t="n">
        <v>0</v>
      </c>
      <c r="M807" s="463" t="n">
        <v>0.266324404761905</v>
      </c>
      <c r="N807" s="431" t="n">
        <v>1966</v>
      </c>
      <c r="P807" s="446" t="n">
        <v>4000</v>
      </c>
      <c r="Q807" s="157" t="n">
        <v>15</v>
      </c>
      <c r="R807" s="157" t="n">
        <v>3</v>
      </c>
      <c r="S807" s="157" t="n">
        <v>1</v>
      </c>
      <c r="T807" s="457" t="s">
        <v>7884</v>
      </c>
      <c r="U807" s="457" t="n">
        <v>398</v>
      </c>
      <c r="V807" s="458" t="n">
        <v>19240</v>
      </c>
      <c r="W807" s="458" t="n">
        <v>19000</v>
      </c>
      <c r="X807" s="464" t="s">
        <v>6692</v>
      </c>
      <c r="Y807" s="458" t="n">
        <f aca="false">ROUND(J807,-3)</f>
        <v>8000</v>
      </c>
      <c r="Z807" s="457" t="s">
        <v>6638</v>
      </c>
      <c r="AA807" s="157" t="n">
        <v>3</v>
      </c>
      <c r="AB807" s="157" t="n">
        <v>3</v>
      </c>
      <c r="AC807" s="431" t="s">
        <v>586</v>
      </c>
      <c r="AD807" s="437"/>
      <c r="AE807" s="167"/>
      <c r="AF807" s="167"/>
      <c r="AG807" s="167"/>
      <c r="AH807" s="167"/>
      <c r="AI807" s="167"/>
      <c r="AJ807" s="167"/>
      <c r="AK807" s="167" t="s">
        <v>8801</v>
      </c>
      <c r="AL807" s="157" t="n">
        <f aca="false">IF(AND(ISNUMBER($S807),$S807&gt;0,ISNUMBER($K807),ISNUMBER($J807)),($K807*$J807)/$S807,"")</f>
        <v>67200</v>
      </c>
    </row>
    <row r="808" customFormat="false" ht="12.75" hidden="false" customHeight="true" outlineLevel="0" collapsed="false">
      <c r="A808" s="441" t="n">
        <v>8</v>
      </c>
      <c r="B808" s="157" t="n">
        <v>800</v>
      </c>
      <c r="C808" s="437" t="s">
        <v>8246</v>
      </c>
      <c r="D808" s="157" t="s">
        <v>8802</v>
      </c>
      <c r="E808" s="461" t="s">
        <v>2461</v>
      </c>
      <c r="F808" s="157" t="s">
        <v>8803</v>
      </c>
      <c r="G808" s="445" t="n">
        <v>44.1</v>
      </c>
      <c r="H808" s="431" t="n">
        <v>9505</v>
      </c>
      <c r="I808" s="457" t="n">
        <v>0</v>
      </c>
      <c r="J808" s="458" t="n">
        <v>5057</v>
      </c>
      <c r="K808" s="462" t="n">
        <v>10.3333992485663</v>
      </c>
      <c r="L808" s="463" t="n">
        <v>0</v>
      </c>
      <c r="M808" s="463" t="n">
        <v>0.216951163502756</v>
      </c>
      <c r="N808" s="431" t="n">
        <v>1910</v>
      </c>
      <c r="Q808" s="157" t="n">
        <v>15</v>
      </c>
      <c r="R808" s="157" t="n">
        <v>3</v>
      </c>
      <c r="S808" s="157" t="n">
        <v>1</v>
      </c>
      <c r="T808" s="457" t="s">
        <v>7531</v>
      </c>
      <c r="U808" s="457" t="n">
        <v>398</v>
      </c>
      <c r="V808" s="458" t="n">
        <v>36943</v>
      </c>
      <c r="W808" s="458" t="n">
        <v>37000</v>
      </c>
      <c r="X808" s="464" t="s">
        <v>6906</v>
      </c>
      <c r="Y808" s="458" t="n">
        <f aca="false">ROUND(J808,-3)</f>
        <v>5000</v>
      </c>
      <c r="Z808" s="457" t="s">
        <v>6638</v>
      </c>
      <c r="AA808" s="157" t="n">
        <v>3</v>
      </c>
      <c r="AB808" s="157" t="n">
        <v>3</v>
      </c>
      <c r="AC808" s="431" t="s">
        <v>586</v>
      </c>
      <c r="AD808" s="437" t="s">
        <v>8804</v>
      </c>
      <c r="AE808" s="167"/>
      <c r="AF808" s="167"/>
      <c r="AG808" s="167"/>
      <c r="AH808" s="167"/>
      <c r="AI808" s="167"/>
      <c r="AJ808" s="167"/>
      <c r="AK808" s="167" t="s">
        <v>8324</v>
      </c>
      <c r="AL808" s="157" t="n">
        <f aca="false">IF(AND(ISNUMBER($S808),$S808&gt;0,ISNUMBER($K808),ISNUMBER($J808)),($K808*$J808)/$S808,"")</f>
        <v>52255.9999999998</v>
      </c>
    </row>
    <row r="809" customFormat="false" ht="12.75" hidden="false" customHeight="true" outlineLevel="0" collapsed="false">
      <c r="A809" s="441" t="n">
        <v>8</v>
      </c>
      <c r="B809" s="157" t="n">
        <v>801</v>
      </c>
      <c r="C809" s="437" t="s">
        <v>8246</v>
      </c>
      <c r="D809" s="157" t="s">
        <v>7913</v>
      </c>
      <c r="E809" s="461" t="s">
        <v>2461</v>
      </c>
      <c r="F809" s="157" t="s">
        <v>8805</v>
      </c>
      <c r="G809" s="445" t="n">
        <v>47.1</v>
      </c>
      <c r="H809" s="431" t="n">
        <v>9505</v>
      </c>
      <c r="I809" s="457" t="n">
        <v>0</v>
      </c>
      <c r="J809" s="458" t="n">
        <v>4848</v>
      </c>
      <c r="K809" s="462" t="n">
        <v>9.9009900990099</v>
      </c>
      <c r="L809" s="463" t="n">
        <v>0</v>
      </c>
      <c r="M809" s="463" t="n">
        <v>0</v>
      </c>
      <c r="N809" s="431" t="n">
        <v>1960</v>
      </c>
      <c r="O809" s="446" t="n">
        <f aca="false">798+798</f>
        <v>1596</v>
      </c>
      <c r="Q809" s="157" t="n">
        <v>15</v>
      </c>
      <c r="R809" s="157" t="n">
        <v>3</v>
      </c>
      <c r="S809" s="157" t="n">
        <v>1</v>
      </c>
      <c r="T809" s="457" t="s">
        <v>7884</v>
      </c>
      <c r="U809" s="457" t="n">
        <v>401</v>
      </c>
      <c r="V809" s="458" t="n">
        <v>9940</v>
      </c>
      <c r="W809" s="458" t="n">
        <v>10000</v>
      </c>
      <c r="X809" s="464" t="s">
        <v>6754</v>
      </c>
      <c r="Y809" s="458" t="n">
        <f aca="false">ROUND(J809,-3)</f>
        <v>5000</v>
      </c>
      <c r="Z809" s="457" t="s">
        <v>6638</v>
      </c>
      <c r="AA809" s="157" t="n">
        <v>3</v>
      </c>
      <c r="AB809" s="157" t="n">
        <v>3</v>
      </c>
      <c r="AC809" s="431" t="s">
        <v>586</v>
      </c>
      <c r="AD809" s="437" t="s">
        <v>7915</v>
      </c>
      <c r="AE809" s="167"/>
      <c r="AF809" s="167"/>
      <c r="AG809" s="167"/>
      <c r="AH809" s="167"/>
      <c r="AI809" s="167"/>
      <c r="AJ809" s="167"/>
      <c r="AK809" s="167" t="s">
        <v>8257</v>
      </c>
      <c r="AL809" s="157" t="n">
        <f aca="false">IF(AND(ISNUMBER($S809),$S809&gt;0,ISNUMBER($K809),ISNUMBER($J809)),($K809*$J809)/$S809,"")</f>
        <v>48000</v>
      </c>
    </row>
    <row r="810" customFormat="false" ht="12.75" hidden="false" customHeight="true" outlineLevel="0" collapsed="false">
      <c r="A810" s="441" t="n">
        <v>8</v>
      </c>
      <c r="B810" s="157" t="n">
        <v>802</v>
      </c>
      <c r="C810" s="437" t="s">
        <v>8246</v>
      </c>
      <c r="D810" s="157" t="s">
        <v>8806</v>
      </c>
      <c r="E810" s="461" t="s">
        <v>2461</v>
      </c>
      <c r="F810" s="157" t="s">
        <v>8807</v>
      </c>
      <c r="G810" s="445" t="n">
        <v>44.1</v>
      </c>
      <c r="H810" s="431" t="n">
        <v>9505</v>
      </c>
      <c r="I810" s="457" t="n">
        <v>0</v>
      </c>
      <c r="J810" s="458" t="n">
        <v>9920</v>
      </c>
      <c r="K810" s="462" t="n">
        <v>9.07258064516129</v>
      </c>
      <c r="L810" s="463" t="n">
        <v>0</v>
      </c>
      <c r="M810" s="463" t="n">
        <v>0</v>
      </c>
      <c r="N810" s="431" t="n">
        <v>1972</v>
      </c>
      <c r="O810" s="446" t="n">
        <f aca="false">3960+960</f>
        <v>4920</v>
      </c>
      <c r="Q810" s="157" t="n">
        <v>18</v>
      </c>
      <c r="R810" s="157" t="n">
        <v>10</v>
      </c>
      <c r="S810" s="157" t="n">
        <v>1</v>
      </c>
      <c r="T810" s="457" t="s">
        <v>7531</v>
      </c>
      <c r="U810" s="457" t="n">
        <v>398</v>
      </c>
      <c r="V810" s="458" t="n">
        <v>45472</v>
      </c>
      <c r="W810" s="458" t="n">
        <v>45000</v>
      </c>
      <c r="X810" s="464" t="s">
        <v>7807</v>
      </c>
      <c r="Y810" s="458" t="n">
        <f aca="false">ROUND(J810,-3)</f>
        <v>10000</v>
      </c>
      <c r="Z810" s="457" t="s">
        <v>6638</v>
      </c>
      <c r="AA810" s="157" t="n">
        <v>3</v>
      </c>
      <c r="AB810" s="157" t="n">
        <v>3</v>
      </c>
      <c r="AC810" s="431" t="s">
        <v>586</v>
      </c>
      <c r="AD810" s="437" t="s">
        <v>7295</v>
      </c>
      <c r="AE810" s="167"/>
      <c r="AF810" s="167"/>
      <c r="AG810" s="167"/>
      <c r="AH810" s="167"/>
      <c r="AI810" s="167"/>
      <c r="AJ810" s="167"/>
      <c r="AK810" s="167" t="s">
        <v>8257</v>
      </c>
      <c r="AL810" s="157" t="n">
        <f aca="false">IF(AND(ISNUMBER($S810),$S810&gt;0,ISNUMBER($K810),ISNUMBER($J810)),($K810*$J810)/$S810,"")</f>
        <v>90000</v>
      </c>
    </row>
    <row r="811" customFormat="false" ht="12.75" hidden="false" customHeight="true" outlineLevel="0" collapsed="false">
      <c r="A811" s="441" t="n">
        <v>8</v>
      </c>
      <c r="B811" s="157" t="n">
        <v>803</v>
      </c>
      <c r="C811" s="437" t="s">
        <v>8246</v>
      </c>
      <c r="D811" s="157" t="s">
        <v>8808</v>
      </c>
      <c r="E811" s="461" t="s">
        <v>2461</v>
      </c>
      <c r="F811" s="157" t="s">
        <v>8809</v>
      </c>
      <c r="G811" s="445" t="n">
        <v>44.1</v>
      </c>
      <c r="H811" s="431" t="n">
        <v>9505</v>
      </c>
      <c r="I811" s="457" t="n">
        <v>0</v>
      </c>
      <c r="J811" s="458" t="n">
        <v>9000</v>
      </c>
      <c r="K811" s="462" t="n">
        <v>7.55555555555556</v>
      </c>
      <c r="L811" s="463" t="n">
        <v>0</v>
      </c>
      <c r="M811" s="463" t="n">
        <v>0.0656176470588235</v>
      </c>
      <c r="N811" s="431" t="n">
        <v>1964</v>
      </c>
      <c r="O811" s="446" t="n">
        <v>1957</v>
      </c>
      <c r="Q811" s="157" t="n">
        <v>13</v>
      </c>
      <c r="R811" s="157" t="n">
        <v>7</v>
      </c>
      <c r="S811" s="157" t="n">
        <v>1</v>
      </c>
      <c r="T811" s="457" t="s">
        <v>7531</v>
      </c>
      <c r="U811" s="457" t="n">
        <v>398</v>
      </c>
      <c r="V811" s="458" t="n">
        <v>15062</v>
      </c>
      <c r="W811" s="458" t="n">
        <v>15000</v>
      </c>
      <c r="X811" s="464" t="s">
        <v>6954</v>
      </c>
      <c r="Y811" s="458" t="n">
        <f aca="false">ROUND(J811,-3)</f>
        <v>9000</v>
      </c>
      <c r="Z811" s="457" t="s">
        <v>6638</v>
      </c>
      <c r="AA811" s="157" t="n">
        <v>3</v>
      </c>
      <c r="AB811" s="157" t="n">
        <v>3</v>
      </c>
      <c r="AC811" s="431" t="s">
        <v>586</v>
      </c>
      <c r="AD811" s="437"/>
      <c r="AE811" s="167"/>
      <c r="AF811" s="167"/>
      <c r="AG811" s="167"/>
      <c r="AH811" s="167"/>
      <c r="AI811" s="167"/>
      <c r="AJ811" s="167"/>
      <c r="AK811" s="167" t="s">
        <v>8324</v>
      </c>
      <c r="AL811" s="157" t="n">
        <f aca="false">IF(AND(ISNUMBER($S811),$S811&gt;0,ISNUMBER($K811),ISNUMBER($J811)),($K811*$J811)/$S811,"")</f>
        <v>68000</v>
      </c>
    </row>
    <row r="812" customFormat="false" ht="12.75" hidden="false" customHeight="true" outlineLevel="0" collapsed="false">
      <c r="A812" s="441" t="n">
        <v>8</v>
      </c>
      <c r="B812" s="157" t="n">
        <v>804</v>
      </c>
      <c r="C812" s="437" t="s">
        <v>8246</v>
      </c>
      <c r="D812" s="157" t="s">
        <v>8810</v>
      </c>
      <c r="E812" s="461" t="s">
        <v>2461</v>
      </c>
      <c r="F812" s="157" t="s">
        <v>8811</v>
      </c>
      <c r="G812" s="445" t="n">
        <v>47.1</v>
      </c>
      <c r="H812" s="431" t="n">
        <v>9505</v>
      </c>
      <c r="I812" s="457" t="n">
        <v>0</v>
      </c>
      <c r="J812" s="458" t="n">
        <v>4006</v>
      </c>
      <c r="K812" s="462" t="n">
        <v>7.48876684972541</v>
      </c>
      <c r="L812" s="463" t="n">
        <v>0</v>
      </c>
      <c r="M812" s="463" t="n">
        <v>0.0333333333333333</v>
      </c>
      <c r="N812" s="431" t="n">
        <v>1962</v>
      </c>
      <c r="O812" s="446" t="n">
        <v>1483</v>
      </c>
      <c r="Q812" s="157" t="n">
        <v>14</v>
      </c>
      <c r="R812" s="157" t="n">
        <v>7</v>
      </c>
      <c r="S812" s="157" t="n">
        <v>1</v>
      </c>
      <c r="T812" s="457" t="s">
        <v>7531</v>
      </c>
      <c r="U812" s="457" t="n">
        <v>401</v>
      </c>
      <c r="V812" s="458" t="n">
        <v>28900</v>
      </c>
      <c r="W812" s="458" t="n">
        <v>29000</v>
      </c>
      <c r="X812" s="464" t="s">
        <v>8812</v>
      </c>
      <c r="Y812" s="458" t="n">
        <f aca="false">ROUND(J812,-3)</f>
        <v>4000</v>
      </c>
      <c r="Z812" s="457" t="s">
        <v>6638</v>
      </c>
      <c r="AA812" s="157" t="n">
        <v>2</v>
      </c>
      <c r="AB812" s="157" t="n">
        <v>2</v>
      </c>
      <c r="AC812" s="431" t="s">
        <v>533</v>
      </c>
      <c r="AD812" s="437" t="s">
        <v>8813</v>
      </c>
      <c r="AE812" s="167"/>
      <c r="AF812" s="167"/>
      <c r="AG812" s="167"/>
      <c r="AH812" s="167"/>
      <c r="AI812" s="167"/>
      <c r="AJ812" s="167"/>
      <c r="AK812" s="167" t="s">
        <v>8814</v>
      </c>
      <c r="AL812" s="157" t="n">
        <f aca="false">IF(AND(ISNUMBER($S812),$S812&gt;0,ISNUMBER($K812),ISNUMBER($J812)),($K812*$J812)/$S812,"")</f>
        <v>30000</v>
      </c>
    </row>
    <row r="813" customFormat="false" ht="12.75" hidden="false" customHeight="true" outlineLevel="0" collapsed="false">
      <c r="A813" s="441" t="n">
        <v>8</v>
      </c>
      <c r="B813" s="157" t="n">
        <v>805</v>
      </c>
      <c r="C813" s="437" t="s">
        <v>8246</v>
      </c>
      <c r="D813" s="157" t="s">
        <v>8815</v>
      </c>
      <c r="E813" s="461" t="s">
        <v>2461</v>
      </c>
      <c r="F813" s="157" t="s">
        <v>8816</v>
      </c>
      <c r="G813" s="445" t="n">
        <v>44.1</v>
      </c>
      <c r="H813" s="431" t="n">
        <v>9505</v>
      </c>
      <c r="I813" s="457" t="n">
        <v>0</v>
      </c>
      <c r="J813" s="458" t="n">
        <v>20724</v>
      </c>
      <c r="K813" s="462" t="n">
        <v>5.98147075854082</v>
      </c>
      <c r="L813" s="463" t="n">
        <v>0</v>
      </c>
      <c r="M813" s="463" t="n">
        <v>0</v>
      </c>
      <c r="N813" s="431" t="n">
        <v>1984</v>
      </c>
      <c r="O813" s="446" t="n">
        <v>582</v>
      </c>
      <c r="P813" s="446" t="n">
        <v>6060</v>
      </c>
      <c r="Q813" s="157" t="n">
        <v>13</v>
      </c>
      <c r="R813" s="157" t="n">
        <v>3</v>
      </c>
      <c r="S813" s="157" t="n">
        <v>1</v>
      </c>
      <c r="T813" s="457" t="s">
        <v>7531</v>
      </c>
      <c r="U813" s="457" t="n">
        <v>398</v>
      </c>
      <c r="V813" s="458" t="n">
        <v>122458</v>
      </c>
      <c r="W813" s="458" t="n">
        <v>120000</v>
      </c>
      <c r="X813" s="464" t="s">
        <v>7191</v>
      </c>
      <c r="Y813" s="458" t="n">
        <f aca="false">ROUND(J813,-3)</f>
        <v>21000</v>
      </c>
      <c r="Z813" s="457" t="s">
        <v>6638</v>
      </c>
      <c r="AA813" s="157" t="n">
        <v>3</v>
      </c>
      <c r="AB813" s="157" t="n">
        <v>3</v>
      </c>
      <c r="AC813" s="431" t="s">
        <v>586</v>
      </c>
      <c r="AD813" s="437" t="s">
        <v>8817</v>
      </c>
      <c r="AE813" s="167"/>
      <c r="AF813" s="167"/>
      <c r="AG813" s="167"/>
      <c r="AH813" s="167"/>
      <c r="AI813" s="167"/>
      <c r="AJ813" s="167"/>
      <c r="AK813" s="167" t="s">
        <v>8257</v>
      </c>
      <c r="AL813" s="157" t="n">
        <f aca="false">IF(AND(ISNUMBER($S813),$S813&gt;0,ISNUMBER($K813),ISNUMBER($J813)),($K813*$J813)/$S813,"")</f>
        <v>123960</v>
      </c>
    </row>
    <row r="814" customFormat="false" ht="12.75" hidden="false" customHeight="true" outlineLevel="0" collapsed="false">
      <c r="A814" s="441" t="n">
        <v>8</v>
      </c>
      <c r="B814" s="157" t="n">
        <v>806</v>
      </c>
      <c r="C814" s="437" t="s">
        <v>8246</v>
      </c>
      <c r="D814" s="157" t="s">
        <v>8818</v>
      </c>
      <c r="E814" s="461" t="s">
        <v>2461</v>
      </c>
      <c r="F814" s="157" t="s">
        <v>8819</v>
      </c>
      <c r="G814" s="445" t="n">
        <v>44.2</v>
      </c>
      <c r="H814" s="431" t="n">
        <v>9505</v>
      </c>
      <c r="I814" s="457" t="n">
        <v>0</v>
      </c>
      <c r="J814" s="458" t="n">
        <v>6000</v>
      </c>
      <c r="K814" s="462" t="n">
        <v>10</v>
      </c>
      <c r="L814" s="463" t="n">
        <v>0</v>
      </c>
      <c r="M814" s="463" t="n">
        <v>0</v>
      </c>
      <c r="N814" s="431" t="n">
        <v>1965</v>
      </c>
      <c r="P814" s="446" t="n">
        <v>2000</v>
      </c>
      <c r="Q814" s="157" t="n">
        <v>13</v>
      </c>
      <c r="R814" s="157" t="n">
        <v>3</v>
      </c>
      <c r="S814" s="157" t="n">
        <v>1</v>
      </c>
      <c r="T814" s="457" t="s">
        <v>7531</v>
      </c>
      <c r="U814" s="457" t="n">
        <v>398</v>
      </c>
      <c r="V814" s="458" t="n">
        <v>25117</v>
      </c>
      <c r="W814" s="458" t="n">
        <v>25000</v>
      </c>
      <c r="X814" s="464" t="s">
        <v>7654</v>
      </c>
      <c r="Y814" s="458" t="n">
        <f aca="false">ROUND(J814,-3)</f>
        <v>6000</v>
      </c>
      <c r="Z814" s="457" t="s">
        <v>6638</v>
      </c>
      <c r="AA814" s="157" t="n">
        <v>3</v>
      </c>
      <c r="AB814" s="157" t="n">
        <v>3</v>
      </c>
      <c r="AC814" s="431" t="s">
        <v>586</v>
      </c>
      <c r="AD814" s="437"/>
      <c r="AE814" s="167"/>
      <c r="AF814" s="167"/>
      <c r="AG814" s="167"/>
      <c r="AH814" s="167"/>
      <c r="AI814" s="167"/>
      <c r="AJ814" s="167"/>
      <c r="AK814" s="167" t="s">
        <v>8820</v>
      </c>
      <c r="AL814" s="157" t="n">
        <f aca="false">IF(AND(ISNUMBER($S814),$S814&gt;0,ISNUMBER($K814),ISNUMBER($J814)),($K814*$J814)/$S814,"")</f>
        <v>60000</v>
      </c>
    </row>
    <row r="815" customFormat="false" ht="12.75" hidden="false" customHeight="true" outlineLevel="0" collapsed="false">
      <c r="A815" s="441" t="n">
        <v>8</v>
      </c>
      <c r="B815" s="157" t="n">
        <v>807</v>
      </c>
      <c r="C815" s="437" t="s">
        <v>8246</v>
      </c>
      <c r="D815" s="157" t="s">
        <v>8821</v>
      </c>
      <c r="E815" s="461" t="s">
        <v>2461</v>
      </c>
      <c r="F815" s="157" t="s">
        <v>8822</v>
      </c>
      <c r="G815" s="445" t="n">
        <v>44.1</v>
      </c>
      <c r="H815" s="431" t="n">
        <v>9505</v>
      </c>
      <c r="I815" s="457" t="n">
        <v>3</v>
      </c>
      <c r="J815" s="458" t="n">
        <v>10657</v>
      </c>
      <c r="K815" s="462" t="n">
        <v>7.73200713146289</v>
      </c>
      <c r="L815" s="463" t="n">
        <v>0.77</v>
      </c>
      <c r="M815" s="463" t="n">
        <v>0.132233009708738</v>
      </c>
      <c r="N815" s="431" t="n">
        <v>1939</v>
      </c>
      <c r="O815" s="446" t="n">
        <v>1725</v>
      </c>
      <c r="Q815" s="157" t="n">
        <v>13</v>
      </c>
      <c r="R815" s="157" t="n">
        <v>1</v>
      </c>
      <c r="S815" s="157" t="n">
        <v>1</v>
      </c>
      <c r="T815" s="457" t="s">
        <v>7789</v>
      </c>
      <c r="U815" s="457" t="n">
        <v>398</v>
      </c>
      <c r="V815" s="458" t="n">
        <v>18330</v>
      </c>
      <c r="W815" s="458" t="n">
        <v>18000</v>
      </c>
      <c r="X815" s="464" t="s">
        <v>6954</v>
      </c>
      <c r="Y815" s="458" t="n">
        <f aca="false">ROUND(J815,-3)</f>
        <v>11000</v>
      </c>
      <c r="Z815" s="457" t="s">
        <v>6638</v>
      </c>
      <c r="AA815" s="157" t="n">
        <v>3</v>
      </c>
      <c r="AB815" s="157" t="n">
        <v>3</v>
      </c>
      <c r="AC815" s="431" t="s">
        <v>586</v>
      </c>
      <c r="AD815" s="437" t="s">
        <v>8823</v>
      </c>
      <c r="AE815" s="167"/>
      <c r="AF815" s="167"/>
      <c r="AG815" s="167"/>
      <c r="AH815" s="167"/>
      <c r="AI815" s="167"/>
      <c r="AJ815" s="167"/>
      <c r="AK815" s="167" t="s">
        <v>8574</v>
      </c>
      <c r="AL815" s="157" t="n">
        <f aca="false">IF(AND(ISNUMBER($S815),$S815&gt;0,ISNUMBER($K815),ISNUMBER($J815)),($K815*$J815)/$S815,"")</f>
        <v>82400</v>
      </c>
    </row>
    <row r="816" customFormat="false" ht="12.75" hidden="false" customHeight="true" outlineLevel="0" collapsed="false">
      <c r="A816" s="441" t="n">
        <v>8</v>
      </c>
      <c r="B816" s="157" t="n">
        <v>808</v>
      </c>
      <c r="C816" s="437" t="s">
        <v>8246</v>
      </c>
      <c r="D816" s="157" t="s">
        <v>8824</v>
      </c>
      <c r="E816" s="461" t="s">
        <v>2461</v>
      </c>
      <c r="F816" s="157" t="s">
        <v>8825</v>
      </c>
      <c r="G816" s="445" t="n">
        <v>44.1</v>
      </c>
      <c r="H816" s="431" t="n">
        <v>9505</v>
      </c>
      <c r="I816" s="457" t="n">
        <v>0</v>
      </c>
      <c r="J816" s="458" t="n">
        <v>3106</v>
      </c>
      <c r="K816" s="462" t="n">
        <v>11.9961365099807</v>
      </c>
      <c r="L816" s="463" t="n">
        <v>0</v>
      </c>
      <c r="M816" s="463" t="n">
        <v>0</v>
      </c>
      <c r="N816" s="431" t="n">
        <v>1983</v>
      </c>
      <c r="O816" s="446" t="n">
        <v>696</v>
      </c>
      <c r="P816" s="446" t="n">
        <v>722</v>
      </c>
      <c r="Q816" s="157" t="n">
        <v>16</v>
      </c>
      <c r="R816" s="157" t="n">
        <v>3</v>
      </c>
      <c r="S816" s="157" t="n">
        <v>1</v>
      </c>
      <c r="T816" s="457" t="s">
        <v>7526</v>
      </c>
      <c r="U816" s="457" t="n">
        <v>397</v>
      </c>
      <c r="V816" s="458" t="n">
        <v>3126</v>
      </c>
      <c r="W816" s="458" t="n">
        <v>3000</v>
      </c>
      <c r="X816" s="464" t="s">
        <v>8145</v>
      </c>
      <c r="Y816" s="458" t="n">
        <f aca="false">ROUND(J816,-3)</f>
        <v>3000</v>
      </c>
      <c r="Z816" s="457" t="s">
        <v>6638</v>
      </c>
      <c r="AA816" s="157" t="n">
        <v>3</v>
      </c>
      <c r="AB816" s="157" t="n">
        <v>3</v>
      </c>
      <c r="AC816" s="431" t="s">
        <v>586</v>
      </c>
      <c r="AD816" s="437" t="s">
        <v>8826</v>
      </c>
      <c r="AE816" s="167"/>
      <c r="AF816" s="167"/>
      <c r="AG816" s="167"/>
      <c r="AH816" s="167"/>
      <c r="AI816" s="167"/>
      <c r="AJ816" s="167"/>
      <c r="AK816" s="167" t="s">
        <v>8827</v>
      </c>
      <c r="AL816" s="157" t="n">
        <f aca="false">IF(AND(ISNUMBER($S816),$S816&gt;0,ISNUMBER($K816),ISNUMBER($J816)),($K816*$J816)/$S816,"")</f>
        <v>37260.0000000001</v>
      </c>
    </row>
    <row r="817" customFormat="false" ht="12.75" hidden="false" customHeight="true" outlineLevel="0" collapsed="false">
      <c r="A817" s="441" t="n">
        <v>8</v>
      </c>
      <c r="B817" s="157" t="n">
        <v>809</v>
      </c>
      <c r="C817" s="437" t="s">
        <v>8246</v>
      </c>
      <c r="D817" s="157" t="s">
        <v>8828</v>
      </c>
      <c r="E817" s="461" t="s">
        <v>2461</v>
      </c>
      <c r="F817" s="157" t="s">
        <v>8829</v>
      </c>
      <c r="G817" s="445" t="n">
        <v>44.2</v>
      </c>
      <c r="H817" s="431" t="n">
        <v>9505</v>
      </c>
      <c r="I817" s="457" t="n">
        <v>0</v>
      </c>
      <c r="J817" s="458" t="n">
        <v>1250</v>
      </c>
      <c r="K817" s="462" t="n">
        <v>9.6</v>
      </c>
      <c r="L817" s="463" t="n">
        <v>0</v>
      </c>
      <c r="M817" s="463" t="n">
        <v>0.36925</v>
      </c>
      <c r="N817" s="431" t="n">
        <v>1983</v>
      </c>
      <c r="O817" s="446" t="n">
        <v>1609</v>
      </c>
      <c r="P817" s="446" t="n">
        <v>696</v>
      </c>
      <c r="Q817" s="157" t="n">
        <v>16</v>
      </c>
      <c r="R817" s="157" t="n">
        <v>3</v>
      </c>
      <c r="S817" s="157" t="n">
        <v>1</v>
      </c>
      <c r="T817" s="457" t="s">
        <v>7526</v>
      </c>
      <c r="U817" s="457" t="n">
        <v>397</v>
      </c>
      <c r="V817" s="458" t="n">
        <v>3183</v>
      </c>
      <c r="W817" s="458" t="n">
        <v>3000</v>
      </c>
      <c r="X817" s="464" t="s">
        <v>8145</v>
      </c>
      <c r="Y817" s="458" t="n">
        <f aca="false">ROUND(J817,-2)</f>
        <v>1300</v>
      </c>
      <c r="Z817" s="457" t="s">
        <v>6638</v>
      </c>
      <c r="AA817" s="157" t="n">
        <v>3</v>
      </c>
      <c r="AB817" s="157" t="n">
        <v>3</v>
      </c>
      <c r="AC817" s="431" t="s">
        <v>586</v>
      </c>
      <c r="AD817" s="437" t="s">
        <v>8830</v>
      </c>
      <c r="AE817" s="167"/>
      <c r="AF817" s="167"/>
      <c r="AG817" s="167"/>
      <c r="AH817" s="167"/>
      <c r="AI817" s="167"/>
      <c r="AJ817" s="167"/>
      <c r="AK817" s="167" t="s">
        <v>8831</v>
      </c>
      <c r="AL817" s="157" t="n">
        <f aca="false">IF(AND(ISNUMBER($S817),$S817&gt;0,ISNUMBER($K817),ISNUMBER($J817)),($K817*$J817)/$S817,"")</f>
        <v>12000</v>
      </c>
    </row>
    <row r="818" customFormat="false" ht="12.75" hidden="false" customHeight="true" outlineLevel="0" collapsed="false">
      <c r="A818" s="441" t="n">
        <v>8</v>
      </c>
      <c r="B818" s="157" t="n">
        <v>810</v>
      </c>
      <c r="C818" s="437" t="s">
        <v>8246</v>
      </c>
      <c r="D818" s="157" t="s">
        <v>8832</v>
      </c>
      <c r="E818" s="461" t="s">
        <v>2461</v>
      </c>
      <c r="F818" s="157" t="s">
        <v>8833</v>
      </c>
      <c r="G818" s="445" t="n">
        <v>44.1</v>
      </c>
      <c r="H818" s="431" t="n">
        <v>9505</v>
      </c>
      <c r="I818" s="457" t="n">
        <v>0</v>
      </c>
      <c r="J818" s="458" t="n">
        <v>3240</v>
      </c>
      <c r="K818" s="462" t="n">
        <v>6.75</v>
      </c>
      <c r="L818" s="463" t="n">
        <v>0</v>
      </c>
      <c r="M818" s="463" t="n">
        <v>0.289437585733882</v>
      </c>
      <c r="N818" s="431" t="n">
        <v>2000</v>
      </c>
      <c r="O818" s="446" t="n">
        <v>743</v>
      </c>
      <c r="Q818" s="157" t="n">
        <v>17</v>
      </c>
      <c r="R818" s="157" t="n">
        <v>14</v>
      </c>
      <c r="S818" s="157" t="n">
        <v>1</v>
      </c>
      <c r="T818" s="457" t="s">
        <v>7526</v>
      </c>
      <c r="U818" s="457" t="n">
        <v>398</v>
      </c>
      <c r="V818" s="458" t="n">
        <v>18754</v>
      </c>
      <c r="W818" s="458" t="n">
        <v>19000</v>
      </c>
      <c r="X818" s="464" t="s">
        <v>6754</v>
      </c>
      <c r="Y818" s="458" t="n">
        <f aca="false">ROUND(J818,-3)</f>
        <v>3000</v>
      </c>
      <c r="Z818" s="457" t="s">
        <v>6638</v>
      </c>
      <c r="AA818" s="157" t="n">
        <v>3</v>
      </c>
      <c r="AB818" s="157" t="n">
        <v>3</v>
      </c>
      <c r="AC818" s="431" t="s">
        <v>586</v>
      </c>
      <c r="AD818" s="437"/>
      <c r="AE818" s="167"/>
      <c r="AF818" s="167"/>
      <c r="AG818" s="167"/>
      <c r="AH818" s="167"/>
      <c r="AI818" s="167"/>
      <c r="AJ818" s="167"/>
      <c r="AK818" s="167" t="s">
        <v>8834</v>
      </c>
      <c r="AL818" s="157" t="n">
        <f aca="false">IF(AND(ISNUMBER($S818),$S818&gt;0,ISNUMBER($K818),ISNUMBER($J818)),($K818*$J818)/$S818,"")</f>
        <v>21870</v>
      </c>
    </row>
    <row r="819" customFormat="false" ht="12.75" hidden="false" customHeight="true" outlineLevel="0" collapsed="false">
      <c r="A819" s="441" t="n">
        <v>8</v>
      </c>
      <c r="B819" s="157" t="n">
        <v>811</v>
      </c>
      <c r="C819" s="437" t="s">
        <v>8246</v>
      </c>
      <c r="D819" s="157" t="s">
        <v>8835</v>
      </c>
      <c r="E819" s="461" t="s">
        <v>2461</v>
      </c>
      <c r="F819" s="157" t="s">
        <v>8836</v>
      </c>
      <c r="G819" s="445" t="n">
        <v>44.2</v>
      </c>
      <c r="H819" s="431" t="n">
        <v>9505</v>
      </c>
      <c r="I819" s="457" t="n">
        <v>0</v>
      </c>
      <c r="J819" s="458" t="n">
        <v>14906</v>
      </c>
      <c r="K819" s="462" t="n">
        <v>7.50221387360794</v>
      </c>
      <c r="L819" s="463" t="n">
        <v>0</v>
      </c>
      <c r="M819" s="463" t="n">
        <v>0.115132167256859</v>
      </c>
      <c r="N819" s="431" t="n">
        <v>1963</v>
      </c>
      <c r="O819" s="446" t="n">
        <f aca="false">3187+1812</f>
        <v>4999</v>
      </c>
      <c r="Q819" s="157" t="n">
        <v>19</v>
      </c>
      <c r="R819" s="157" t="n">
        <v>3</v>
      </c>
      <c r="S819" s="157" t="n">
        <v>1</v>
      </c>
      <c r="T819" s="457" t="s">
        <v>7526</v>
      </c>
      <c r="U819" s="457" t="n">
        <v>398</v>
      </c>
      <c r="V819" s="458" t="n">
        <v>31900</v>
      </c>
      <c r="W819" s="458" t="n">
        <v>32000</v>
      </c>
      <c r="X819" s="464" t="s">
        <v>6754</v>
      </c>
      <c r="Y819" s="458" t="n">
        <f aca="false">ROUND(J819,-3)</f>
        <v>15000</v>
      </c>
      <c r="Z819" s="457" t="s">
        <v>6638</v>
      </c>
      <c r="AA819" s="157" t="n">
        <v>3</v>
      </c>
      <c r="AB819" s="157" t="n">
        <v>3</v>
      </c>
      <c r="AC819" s="431" t="s">
        <v>586</v>
      </c>
      <c r="AD819" s="437" t="s">
        <v>8837</v>
      </c>
      <c r="AE819" s="167"/>
      <c r="AF819" s="167"/>
      <c r="AG819" s="167"/>
      <c r="AH819" s="167"/>
      <c r="AI819" s="167"/>
      <c r="AJ819" s="167"/>
      <c r="AK819" s="167" t="s">
        <v>8303</v>
      </c>
      <c r="AL819" s="157" t="n">
        <f aca="false">IF(AND(ISNUMBER($S819),$S819&gt;0,ISNUMBER($K819),ISNUMBER($J819)),($K819*$J819)/$S819,"")</f>
        <v>111828</v>
      </c>
    </row>
    <row r="820" customFormat="false" ht="12.75" hidden="false" customHeight="true" outlineLevel="0" collapsed="false">
      <c r="A820" s="441" t="n">
        <v>8</v>
      </c>
      <c r="B820" s="157" t="n">
        <v>812</v>
      </c>
      <c r="C820" s="437" t="s">
        <v>8246</v>
      </c>
      <c r="D820" s="157" t="s">
        <v>8838</v>
      </c>
      <c r="E820" s="461" t="s">
        <v>2461</v>
      </c>
      <c r="F820" s="157" t="s">
        <v>8839</v>
      </c>
      <c r="G820" s="445" t="n">
        <v>44.1</v>
      </c>
      <c r="H820" s="431" t="n">
        <v>9508</v>
      </c>
      <c r="I820" s="457" t="n">
        <v>6</v>
      </c>
      <c r="J820" s="458" t="n">
        <v>7983</v>
      </c>
      <c r="K820" s="462" t="n">
        <v>9.01916572717024</v>
      </c>
      <c r="L820" s="463" t="n">
        <v>0</v>
      </c>
      <c r="M820" s="463" t="n">
        <v>0.119097222222222</v>
      </c>
      <c r="N820" s="431" t="n">
        <v>1962</v>
      </c>
      <c r="Q820" s="157" t="n">
        <v>13</v>
      </c>
      <c r="R820" s="157" t="n">
        <v>3</v>
      </c>
      <c r="S820" s="157" t="n">
        <v>1</v>
      </c>
      <c r="T820" s="457" t="s">
        <v>7789</v>
      </c>
      <c r="U820" s="457" t="n">
        <v>398</v>
      </c>
      <c r="V820" s="458" t="n">
        <v>17187</v>
      </c>
      <c r="W820" s="458" t="n">
        <v>17000</v>
      </c>
      <c r="X820" s="464" t="s">
        <v>6700</v>
      </c>
      <c r="Y820" s="458" t="n">
        <f aca="false">ROUND(J820,-3)</f>
        <v>8000</v>
      </c>
      <c r="Z820" s="457" t="s">
        <v>6638</v>
      </c>
      <c r="AA820" s="157" t="n">
        <v>2</v>
      </c>
      <c r="AB820" s="157" t="n">
        <v>3</v>
      </c>
      <c r="AC820" s="431" t="s">
        <v>537</v>
      </c>
      <c r="AD820" s="437" t="s">
        <v>6788</v>
      </c>
      <c r="AE820" s="167"/>
      <c r="AF820" s="167"/>
      <c r="AG820" s="167"/>
      <c r="AH820" s="167"/>
      <c r="AI820" s="167"/>
      <c r="AJ820" s="167"/>
      <c r="AK820" s="167" t="s">
        <v>8840</v>
      </c>
      <c r="AL820" s="157" t="n">
        <f aca="false">IF(AND(ISNUMBER($S820),$S820&gt;0,ISNUMBER($K820),ISNUMBER($J820)),($K820*$J820)/$S820,"")</f>
        <v>72000</v>
      </c>
    </row>
    <row r="821" customFormat="false" ht="12.75" hidden="false" customHeight="true" outlineLevel="0" collapsed="false">
      <c r="A821" s="441" t="n">
        <v>8</v>
      </c>
      <c r="B821" s="157" t="n">
        <v>813</v>
      </c>
      <c r="C821" s="437" t="s">
        <v>8246</v>
      </c>
      <c r="D821" s="157" t="s">
        <v>8841</v>
      </c>
      <c r="E821" s="461" t="s">
        <v>2461</v>
      </c>
      <c r="F821" s="157" t="s">
        <v>8842</v>
      </c>
      <c r="G821" s="445" t="n">
        <v>44.1</v>
      </c>
      <c r="H821" s="431" t="n">
        <v>9508</v>
      </c>
      <c r="I821" s="457" t="n">
        <v>0</v>
      </c>
      <c r="J821" s="458" t="n">
        <v>1208</v>
      </c>
      <c r="K821" s="462" t="n">
        <v>9.93377483443709</v>
      </c>
      <c r="L821" s="463" t="n">
        <v>0</v>
      </c>
      <c r="M821" s="463" t="n">
        <v>0.16975</v>
      </c>
      <c r="N821" s="431" t="n">
        <v>1987</v>
      </c>
      <c r="O821" s="446" t="n">
        <v>600</v>
      </c>
      <c r="Q821" s="157" t="n">
        <v>18</v>
      </c>
      <c r="R821" s="157" t="n">
        <v>3</v>
      </c>
      <c r="S821" s="157" t="n">
        <v>1</v>
      </c>
      <c r="T821" s="457" t="s">
        <v>7526</v>
      </c>
      <c r="U821" s="457" t="n">
        <v>398</v>
      </c>
      <c r="V821" s="458" t="n">
        <v>4690</v>
      </c>
      <c r="W821" s="458" t="n">
        <v>5000</v>
      </c>
      <c r="X821" s="464" t="s">
        <v>6637</v>
      </c>
      <c r="Y821" s="458" t="n">
        <f aca="false">ROUND(J821,-2)</f>
        <v>1200</v>
      </c>
      <c r="Z821" s="457" t="s">
        <v>6638</v>
      </c>
      <c r="AA821" s="157" t="n">
        <v>3</v>
      </c>
      <c r="AB821" s="157" t="n">
        <v>3</v>
      </c>
      <c r="AC821" s="431" t="s">
        <v>586</v>
      </c>
      <c r="AD821" s="437"/>
      <c r="AE821" s="167"/>
      <c r="AF821" s="167"/>
      <c r="AG821" s="167"/>
      <c r="AH821" s="167"/>
      <c r="AI821" s="167"/>
      <c r="AJ821" s="167"/>
      <c r="AK821" s="167" t="s">
        <v>8257</v>
      </c>
      <c r="AL821" s="157" t="n">
        <f aca="false">IF(AND(ISNUMBER($S821),$S821&gt;0,ISNUMBER($K821),ISNUMBER($J821)),($K821*$J821)/$S821,"")</f>
        <v>12000</v>
      </c>
    </row>
    <row r="822" customFormat="false" ht="12.75" hidden="false" customHeight="true" outlineLevel="0" collapsed="false">
      <c r="A822" s="441" t="n">
        <v>8</v>
      </c>
      <c r="B822" s="157" t="n">
        <v>814</v>
      </c>
      <c r="C822" s="437" t="s">
        <v>8246</v>
      </c>
      <c r="D822" s="157" t="s">
        <v>8843</v>
      </c>
      <c r="E822" s="461" t="s">
        <v>2461</v>
      </c>
      <c r="F822" s="157" t="s">
        <v>8844</v>
      </c>
      <c r="G822" s="445" t="n">
        <v>44.2</v>
      </c>
      <c r="H822" s="431" t="n">
        <v>9508</v>
      </c>
      <c r="I822" s="457" t="n">
        <v>0</v>
      </c>
      <c r="J822" s="458" t="n">
        <v>19832</v>
      </c>
      <c r="K822" s="462" t="n">
        <v>5.26542960871319</v>
      </c>
      <c r="L822" s="463" t="n">
        <v>0.09</v>
      </c>
      <c r="M822" s="463" t="n">
        <v>0.0681261012793994</v>
      </c>
      <c r="N822" s="431" t="n">
        <v>1952</v>
      </c>
      <c r="O822" s="446" t="n">
        <v>1144</v>
      </c>
      <c r="Q822" s="157" t="n">
        <v>14</v>
      </c>
      <c r="R822" s="157" t="n">
        <v>1</v>
      </c>
      <c r="S822" s="157" t="n">
        <v>1</v>
      </c>
      <c r="T822" s="457" t="s">
        <v>7526</v>
      </c>
      <c r="U822" s="457" t="n">
        <v>398</v>
      </c>
      <c r="V822" s="458" t="n">
        <v>28235</v>
      </c>
      <c r="W822" s="458" t="n">
        <v>28000</v>
      </c>
      <c r="X822" s="464" t="s">
        <v>6710</v>
      </c>
      <c r="Y822" s="458" t="n">
        <f aca="false">ROUND(J822,-3)</f>
        <v>20000</v>
      </c>
      <c r="Z822" s="457" t="s">
        <v>6638</v>
      </c>
      <c r="AA822" s="157" t="n">
        <v>3</v>
      </c>
      <c r="AB822" s="157" t="n">
        <v>3</v>
      </c>
      <c r="AC822" s="431" t="s">
        <v>586</v>
      </c>
      <c r="AD822" s="437"/>
      <c r="AE822" s="167"/>
      <c r="AF822" s="167"/>
      <c r="AG822" s="167"/>
      <c r="AH822" s="167"/>
      <c r="AI822" s="167"/>
      <c r="AJ822" s="167"/>
      <c r="AK822" s="167" t="s">
        <v>8845</v>
      </c>
      <c r="AL822" s="157" t="n">
        <f aca="false">IF(AND(ISNUMBER($S822),$S822&gt;0,ISNUMBER($K822),ISNUMBER($J822)),($K822*$J822)/$S822,"")</f>
        <v>104424</v>
      </c>
    </row>
    <row r="823" customFormat="false" ht="12.75" hidden="false" customHeight="true" outlineLevel="0" collapsed="false">
      <c r="A823" s="441" t="n">
        <v>8</v>
      </c>
      <c r="B823" s="157" t="n">
        <v>815</v>
      </c>
      <c r="C823" s="437" t="s">
        <v>8246</v>
      </c>
      <c r="D823" s="157" t="s">
        <v>8846</v>
      </c>
      <c r="E823" s="461" t="s">
        <v>2461</v>
      </c>
      <c r="F823" s="157" t="s">
        <v>8847</v>
      </c>
      <c r="G823" s="445" t="n">
        <v>47.1</v>
      </c>
      <c r="H823" s="431" t="n">
        <v>9508</v>
      </c>
      <c r="I823" s="457" t="n">
        <v>0</v>
      </c>
      <c r="J823" s="458" t="n">
        <v>8371</v>
      </c>
      <c r="K823" s="462" t="n">
        <v>4.53159718074304</v>
      </c>
      <c r="L823" s="463" t="n">
        <v>0</v>
      </c>
      <c r="M823" s="463" t="n">
        <v>0.376522380977487</v>
      </c>
      <c r="N823" s="431" t="n">
        <v>1964</v>
      </c>
      <c r="O823" s="446" t="n">
        <v>225</v>
      </c>
      <c r="Q823" s="157" t="n">
        <v>12</v>
      </c>
      <c r="R823" s="157" t="n">
        <v>1</v>
      </c>
      <c r="S823" s="157" t="n">
        <v>1</v>
      </c>
      <c r="T823" s="457" t="s">
        <v>7529</v>
      </c>
      <c r="U823" s="457" t="n">
        <v>401</v>
      </c>
      <c r="V823" s="458" t="n">
        <v>22050</v>
      </c>
      <c r="W823" s="458" t="n">
        <v>22000</v>
      </c>
      <c r="X823" s="464" t="s">
        <v>6724</v>
      </c>
      <c r="Y823" s="458" t="n">
        <f aca="false">ROUND(J823,-3)</f>
        <v>8000</v>
      </c>
      <c r="Z823" s="457" t="s">
        <v>6638</v>
      </c>
      <c r="AA823" s="157" t="n">
        <v>1</v>
      </c>
      <c r="AB823" s="157" t="n">
        <v>2</v>
      </c>
      <c r="AC823" s="431" t="s">
        <v>590</v>
      </c>
      <c r="AD823" s="437"/>
      <c r="AE823" s="167"/>
      <c r="AF823" s="167"/>
      <c r="AG823" s="167"/>
      <c r="AH823" s="167"/>
      <c r="AI823" s="167"/>
      <c r="AJ823" s="167"/>
      <c r="AK823" s="167" t="s">
        <v>8848</v>
      </c>
      <c r="AL823" s="157" t="n">
        <f aca="false">IF(AND(ISNUMBER($S823),$S823&gt;0,ISNUMBER($K823),ISNUMBER($J823)),($K823*$J823)/$S823,"")</f>
        <v>37934</v>
      </c>
    </row>
    <row r="824" customFormat="false" ht="12.75" hidden="false" customHeight="true" outlineLevel="0" collapsed="false">
      <c r="A824" s="441" t="n">
        <v>8</v>
      </c>
      <c r="B824" s="157" t="n">
        <v>816</v>
      </c>
      <c r="C824" s="437" t="s">
        <v>8246</v>
      </c>
      <c r="D824" s="157" t="s">
        <v>8849</v>
      </c>
      <c r="E824" s="461" t="s">
        <v>2461</v>
      </c>
      <c r="F824" s="157" t="s">
        <v>8850</v>
      </c>
      <c r="G824" s="445" t="n">
        <v>44.2</v>
      </c>
      <c r="H824" s="431" t="n">
        <v>9508</v>
      </c>
      <c r="I824" s="457" t="n">
        <v>0</v>
      </c>
      <c r="J824" s="458" t="n">
        <v>7697</v>
      </c>
      <c r="K824" s="462" t="n">
        <v>7.30804209432246</v>
      </c>
      <c r="L824" s="463" t="n">
        <v>0.5</v>
      </c>
      <c r="M824" s="463" t="n">
        <v>0.0971377777777778</v>
      </c>
      <c r="N824" s="431" t="n">
        <v>1971</v>
      </c>
      <c r="O824" s="446" t="n">
        <f aca="false">4399+2180</f>
        <v>6579</v>
      </c>
      <c r="Q824" s="157" t="n">
        <v>16</v>
      </c>
      <c r="R824" s="157" t="n">
        <v>3</v>
      </c>
      <c r="S824" s="157" t="n">
        <v>1</v>
      </c>
      <c r="T824" s="457" t="s">
        <v>7526</v>
      </c>
      <c r="U824" s="457" t="n">
        <v>397</v>
      </c>
      <c r="V824" s="458" t="n">
        <v>14000</v>
      </c>
      <c r="W824" s="458" t="n">
        <v>14000</v>
      </c>
      <c r="X824" s="464" t="s">
        <v>6863</v>
      </c>
      <c r="Y824" s="458" t="n">
        <f aca="false">ROUND(J824,-3)</f>
        <v>8000</v>
      </c>
      <c r="Z824" s="457" t="s">
        <v>6638</v>
      </c>
      <c r="AA824" s="157" t="n">
        <v>3</v>
      </c>
      <c r="AB824" s="157" t="n">
        <v>3</v>
      </c>
      <c r="AC824" s="431" t="s">
        <v>586</v>
      </c>
      <c r="AD824" s="437" t="s">
        <v>8851</v>
      </c>
      <c r="AE824" s="167"/>
      <c r="AF824" s="167"/>
      <c r="AG824" s="167"/>
      <c r="AH824" s="167"/>
      <c r="AI824" s="167"/>
      <c r="AJ824" s="167"/>
      <c r="AK824" s="167" t="s">
        <v>8308</v>
      </c>
      <c r="AL824" s="157" t="n">
        <f aca="false">IF(AND(ISNUMBER($S824),$S824&gt;0,ISNUMBER($K824),ISNUMBER($J824)),($K824*$J824)/$S824,"")</f>
        <v>56250</v>
      </c>
    </row>
    <row r="825" customFormat="false" ht="12.75" hidden="false" customHeight="true" outlineLevel="0" collapsed="false">
      <c r="A825" s="441" t="n">
        <v>8</v>
      </c>
      <c r="B825" s="157" t="n">
        <v>817</v>
      </c>
      <c r="C825" s="437" t="s">
        <v>8246</v>
      </c>
      <c r="D825" s="157" t="s">
        <v>7943</v>
      </c>
      <c r="E825" s="461" t="s">
        <v>2461</v>
      </c>
      <c r="F825" s="157" t="s">
        <v>8852</v>
      </c>
      <c r="G825" s="445" t="n">
        <v>44.1</v>
      </c>
      <c r="H825" s="431" t="n">
        <v>9508</v>
      </c>
      <c r="I825" s="457" t="n">
        <v>0</v>
      </c>
      <c r="J825" s="458" t="n">
        <v>13500</v>
      </c>
      <c r="K825" s="462" t="n">
        <v>18.5185185185185</v>
      </c>
      <c r="L825" s="463" t="n">
        <v>1</v>
      </c>
      <c r="M825" s="463" t="n">
        <v>0</v>
      </c>
      <c r="N825" s="431" t="n">
        <v>1973</v>
      </c>
      <c r="O825" s="446" t="n">
        <v>6657</v>
      </c>
      <c r="Q825" s="157" t="n">
        <v>21</v>
      </c>
      <c r="R825" s="157" t="n">
        <v>14</v>
      </c>
      <c r="S825" s="157" t="n">
        <v>1</v>
      </c>
      <c r="T825" s="457" t="s">
        <v>7526</v>
      </c>
      <c r="U825" s="457" t="n">
        <v>398</v>
      </c>
      <c r="V825" s="458" t="n">
        <v>21000</v>
      </c>
      <c r="W825" s="458" t="n">
        <v>21000</v>
      </c>
      <c r="X825" s="464" t="s">
        <v>6668</v>
      </c>
      <c r="Y825" s="458" t="n">
        <f aca="false">ROUND(J825,-3)</f>
        <v>14000</v>
      </c>
      <c r="Z825" s="457" t="s">
        <v>6638</v>
      </c>
      <c r="AA825" s="157" t="n">
        <v>3</v>
      </c>
      <c r="AB825" s="157" t="n">
        <v>3</v>
      </c>
      <c r="AC825" s="431" t="s">
        <v>586</v>
      </c>
      <c r="AD825" s="437" t="s">
        <v>7945</v>
      </c>
      <c r="AE825" s="167"/>
      <c r="AF825" s="167"/>
      <c r="AG825" s="167"/>
      <c r="AH825" s="167"/>
      <c r="AI825" s="167"/>
      <c r="AJ825" s="167"/>
      <c r="AK825" s="167" t="s">
        <v>8853</v>
      </c>
      <c r="AL825" s="157" t="n">
        <f aca="false">IF(AND(ISNUMBER($S825),$S825&gt;0,ISNUMBER($K825),ISNUMBER($J825)),($K825*$J825)/$S825,"")</f>
        <v>250000</v>
      </c>
    </row>
    <row r="826" customFormat="false" ht="12.75" hidden="false" customHeight="true" outlineLevel="0" collapsed="false">
      <c r="A826" s="441" t="n">
        <v>8</v>
      </c>
      <c r="B826" s="157" t="n">
        <v>818</v>
      </c>
      <c r="C826" s="437" t="s">
        <v>8246</v>
      </c>
      <c r="D826" s="157" t="s">
        <v>8854</v>
      </c>
      <c r="E826" s="461" t="s">
        <v>2461</v>
      </c>
      <c r="F826" s="157" t="s">
        <v>8855</v>
      </c>
      <c r="G826" s="445" t="n">
        <v>44.1</v>
      </c>
      <c r="H826" s="431" t="n">
        <v>9508</v>
      </c>
      <c r="I826" s="457" t="n">
        <v>0</v>
      </c>
      <c r="J826" s="458" t="n">
        <v>5450</v>
      </c>
      <c r="K826" s="462" t="n">
        <v>5.06422018348624</v>
      </c>
      <c r="L826" s="463" t="n">
        <v>1</v>
      </c>
      <c r="M826" s="463" t="n">
        <v>0</v>
      </c>
      <c r="N826" s="431" t="n">
        <v>1987</v>
      </c>
      <c r="O826" s="446" t="n">
        <v>296</v>
      </c>
      <c r="Q826" s="157" t="n">
        <v>115</v>
      </c>
      <c r="R826" s="157" t="n">
        <v>3</v>
      </c>
      <c r="S826" s="157" t="n">
        <v>1</v>
      </c>
      <c r="T826" s="457" t="s">
        <v>7526</v>
      </c>
      <c r="U826" s="457" t="n">
        <v>398</v>
      </c>
      <c r="V826" s="458" t="n">
        <v>7000</v>
      </c>
      <c r="W826" s="458" t="n">
        <v>7000</v>
      </c>
      <c r="X826" s="464" t="s">
        <v>7103</v>
      </c>
      <c r="Y826" s="458" t="n">
        <f aca="false">ROUND(J826,-3)</f>
        <v>5000</v>
      </c>
      <c r="Z826" s="457" t="s">
        <v>6638</v>
      </c>
      <c r="AA826" s="157" t="n">
        <v>3</v>
      </c>
      <c r="AB826" s="157" t="n">
        <v>3</v>
      </c>
      <c r="AC826" s="431" t="s">
        <v>586</v>
      </c>
      <c r="AD826" s="437" t="s">
        <v>8856</v>
      </c>
      <c r="AE826" s="167"/>
      <c r="AF826" s="167"/>
      <c r="AG826" s="167"/>
      <c r="AH826" s="167"/>
      <c r="AI826" s="167"/>
      <c r="AJ826" s="167"/>
      <c r="AK826" s="167" t="s">
        <v>8857</v>
      </c>
      <c r="AL826" s="157" t="n">
        <f aca="false">IF(AND(ISNUMBER($S826),$S826&gt;0,ISNUMBER($K826),ISNUMBER($J826)),($K826*$J826)/$S826,"")</f>
        <v>27600</v>
      </c>
    </row>
    <row r="827" customFormat="false" ht="12.75" hidden="false" customHeight="true" outlineLevel="0" collapsed="false">
      <c r="A827" s="441" t="n">
        <v>8</v>
      </c>
      <c r="B827" s="157" t="n">
        <v>819</v>
      </c>
      <c r="C827" s="437" t="s">
        <v>8266</v>
      </c>
      <c r="D827" s="157" t="s">
        <v>8858</v>
      </c>
      <c r="E827" s="457" t="s">
        <v>2461</v>
      </c>
      <c r="F827" s="157" t="s">
        <v>8859</v>
      </c>
      <c r="G827" s="445" t="n">
        <v>44.5</v>
      </c>
      <c r="H827" s="157" t="n">
        <v>9506</v>
      </c>
      <c r="I827" s="457" t="n">
        <v>8</v>
      </c>
      <c r="J827" s="446" t="n">
        <v>103200</v>
      </c>
      <c r="K827" s="176" t="n">
        <v>10.07</v>
      </c>
      <c r="L827" s="175" t="n">
        <v>0</v>
      </c>
      <c r="M827" s="175" t="n">
        <v>0.33</v>
      </c>
      <c r="N827" s="157" t="n">
        <v>1978</v>
      </c>
      <c r="O827" s="458" t="n">
        <v>0</v>
      </c>
      <c r="P827" s="458" t="n">
        <v>0</v>
      </c>
      <c r="Q827" s="157" t="n">
        <v>11</v>
      </c>
      <c r="R827" s="157" t="n">
        <v>1</v>
      </c>
      <c r="S827" s="157" t="n">
        <v>1</v>
      </c>
      <c r="T827" s="457" t="s">
        <v>7870</v>
      </c>
      <c r="U827" s="157" t="n">
        <v>396</v>
      </c>
      <c r="V827" s="446" t="n">
        <v>306575</v>
      </c>
      <c r="W827" s="446" t="n">
        <v>300000</v>
      </c>
      <c r="X827" s="431" t="s">
        <v>7563</v>
      </c>
      <c r="Y827" s="446" t="n">
        <v>100000</v>
      </c>
      <c r="Z827" s="457" t="s">
        <v>463</v>
      </c>
      <c r="AA827" s="157" t="n">
        <v>3</v>
      </c>
      <c r="AB827" s="157" t="n">
        <v>3</v>
      </c>
      <c r="AC827" s="157" t="n">
        <v>33</v>
      </c>
      <c r="AD827" s="157" t="s">
        <v>8860</v>
      </c>
      <c r="AE827" s="430" t="n">
        <v>10.07</v>
      </c>
      <c r="AF827" s="467" t="n">
        <v>10.07</v>
      </c>
      <c r="AG827" s="467" t="n">
        <v>6.9</v>
      </c>
      <c r="AH827" s="467" t="n">
        <v>3.17</v>
      </c>
      <c r="AI827" s="467" t="s">
        <v>1310</v>
      </c>
      <c r="AJ827" s="430" t="s">
        <v>1310</v>
      </c>
      <c r="AN827" s="167"/>
      <c r="AO827" s="167"/>
      <c r="AP827" s="167"/>
    </row>
    <row r="828" customFormat="false" ht="12.75" hidden="false" customHeight="true" outlineLevel="0" collapsed="false">
      <c r="A828" s="441" t="n">
        <v>8</v>
      </c>
      <c r="B828" s="157" t="n">
        <v>820</v>
      </c>
      <c r="C828" s="437" t="s">
        <v>8246</v>
      </c>
      <c r="D828" s="157" t="s">
        <v>8861</v>
      </c>
      <c r="E828" s="461" t="s">
        <v>2461</v>
      </c>
      <c r="F828" s="157" t="s">
        <v>8862</v>
      </c>
      <c r="G828" s="445" t="n">
        <v>44.2</v>
      </c>
      <c r="H828" s="431" t="n">
        <v>9508</v>
      </c>
      <c r="I828" s="457" t="n">
        <v>0</v>
      </c>
      <c r="J828" s="458" t="n">
        <v>3873</v>
      </c>
      <c r="K828" s="462" t="n">
        <v>6.19674670797831</v>
      </c>
      <c r="L828" s="463" t="n">
        <v>1</v>
      </c>
      <c r="M828" s="463" t="n">
        <v>0.39175</v>
      </c>
      <c r="N828" s="431" t="n">
        <v>1964</v>
      </c>
      <c r="O828" s="446" t="n">
        <v>1350</v>
      </c>
      <c r="Q828" s="157" t="n">
        <v>12</v>
      </c>
      <c r="R828" s="157" t="n">
        <v>3</v>
      </c>
      <c r="S828" s="157" t="n">
        <v>1</v>
      </c>
      <c r="T828" s="457" t="s">
        <v>7526</v>
      </c>
      <c r="U828" s="457" t="n">
        <v>398</v>
      </c>
      <c r="V828" s="458" t="n">
        <v>6250</v>
      </c>
      <c r="W828" s="458" t="n">
        <v>6000</v>
      </c>
      <c r="X828" s="464" t="s">
        <v>6668</v>
      </c>
      <c r="Y828" s="458" t="n">
        <f aca="false">ROUND(J828,-3)</f>
        <v>4000</v>
      </c>
      <c r="Z828" s="457" t="s">
        <v>6638</v>
      </c>
      <c r="AA828" s="157" t="n">
        <v>3</v>
      </c>
      <c r="AB828" s="157" t="n">
        <v>3</v>
      </c>
      <c r="AC828" s="431" t="s">
        <v>586</v>
      </c>
      <c r="AD828" s="437" t="s">
        <v>8863</v>
      </c>
      <c r="AE828" s="167"/>
      <c r="AF828" s="167"/>
      <c r="AG828" s="167"/>
      <c r="AH828" s="167"/>
      <c r="AI828" s="167"/>
      <c r="AJ828" s="167"/>
      <c r="AK828" s="167" t="s">
        <v>8257</v>
      </c>
      <c r="AL828" s="157" t="n">
        <f aca="false">IF(AND(ISNUMBER($S828),$S828&gt;0,ISNUMBER($K828),ISNUMBER($J828)),($K828*$J828)/$S828,"")</f>
        <v>24000</v>
      </c>
    </row>
    <row r="829" customFormat="false" ht="12.75" hidden="false" customHeight="true" outlineLevel="0" collapsed="false">
      <c r="A829" s="441" t="n">
        <v>8</v>
      </c>
      <c r="B829" s="157" t="n">
        <v>821</v>
      </c>
      <c r="C829" s="437" t="s">
        <v>8246</v>
      </c>
      <c r="D829" s="157" t="s">
        <v>7216</v>
      </c>
      <c r="E829" s="461" t="s">
        <v>2461</v>
      </c>
      <c r="F829" s="157" t="s">
        <v>7217</v>
      </c>
      <c r="G829" s="445" t="n">
        <v>44.2</v>
      </c>
      <c r="H829" s="431" t="n">
        <v>9508</v>
      </c>
      <c r="I829" s="457" t="n">
        <v>0</v>
      </c>
      <c r="J829" s="458" t="n">
        <v>18000</v>
      </c>
      <c r="K829" s="462" t="n">
        <v>6.01155555555556</v>
      </c>
      <c r="L829" s="463" t="n">
        <v>0</v>
      </c>
      <c r="M829" s="463" t="n">
        <v>0.063572009463256</v>
      </c>
      <c r="N829" s="431" t="n">
        <v>1954</v>
      </c>
      <c r="O829" s="446" t="n">
        <v>4000</v>
      </c>
      <c r="Q829" s="157" t="n">
        <v>14</v>
      </c>
      <c r="R829" s="157" t="n">
        <v>1</v>
      </c>
      <c r="S829" s="157" t="n">
        <v>2</v>
      </c>
      <c r="T829" s="457" t="s">
        <v>7526</v>
      </c>
      <c r="U829" s="457" t="n">
        <v>398</v>
      </c>
      <c r="V829" s="458" t="n">
        <v>34375</v>
      </c>
      <c r="W829" s="458" t="n">
        <v>34000</v>
      </c>
      <c r="X829" s="464" t="s">
        <v>6675</v>
      </c>
      <c r="Y829" s="458" t="n">
        <f aca="false">ROUND(J829,-3)</f>
        <v>18000</v>
      </c>
      <c r="Z829" s="457" t="s">
        <v>6638</v>
      </c>
      <c r="AA829" s="157" t="n">
        <v>3</v>
      </c>
      <c r="AB829" s="157" t="n">
        <v>3</v>
      </c>
      <c r="AC829" s="431" t="s">
        <v>586</v>
      </c>
      <c r="AD829" s="437" t="s">
        <v>7218</v>
      </c>
      <c r="AE829" s="167"/>
      <c r="AF829" s="167"/>
      <c r="AG829" s="167"/>
      <c r="AH829" s="167"/>
      <c r="AI829" s="167"/>
      <c r="AJ829" s="167"/>
      <c r="AK829" s="167" t="s">
        <v>8795</v>
      </c>
      <c r="AL829" s="157" t="n">
        <f aca="false">IF(AND(ISNUMBER($S829),$S829&gt;0,ISNUMBER($K829),ISNUMBER($J829)),($K829*$J829)/$S829,"")</f>
        <v>54104</v>
      </c>
    </row>
    <row r="830" customFormat="false" ht="12.75" hidden="false" customHeight="true" outlineLevel="0" collapsed="false">
      <c r="A830" s="441" t="n">
        <v>8</v>
      </c>
      <c r="B830" s="157" t="n">
        <v>822</v>
      </c>
      <c r="C830" s="437" t="s">
        <v>8246</v>
      </c>
      <c r="D830" s="157" t="s">
        <v>7219</v>
      </c>
      <c r="E830" s="461" t="s">
        <v>2461</v>
      </c>
      <c r="F830" s="157" t="s">
        <v>7220</v>
      </c>
      <c r="G830" s="445" t="n">
        <v>44.1</v>
      </c>
      <c r="H830" s="431" t="n">
        <v>9508</v>
      </c>
      <c r="I830" s="457" t="n">
        <v>0</v>
      </c>
      <c r="J830" s="458" t="n">
        <v>3704</v>
      </c>
      <c r="K830" s="462" t="n">
        <v>5.83153347732181</v>
      </c>
      <c r="L830" s="463" t="n">
        <v>0</v>
      </c>
      <c r="M830" s="463" t="n">
        <v>0.101851851851852</v>
      </c>
      <c r="N830" s="431" t="n">
        <v>1963</v>
      </c>
      <c r="O830" s="446" t="n">
        <v>644</v>
      </c>
      <c r="Q830" s="157" t="n">
        <v>13</v>
      </c>
      <c r="R830" s="157" t="n">
        <v>3</v>
      </c>
      <c r="S830" s="157" t="n">
        <v>1</v>
      </c>
      <c r="T830" s="457" t="s">
        <v>7526</v>
      </c>
      <c r="U830" s="457" t="n">
        <v>398</v>
      </c>
      <c r="V830" s="458" t="n">
        <v>6000</v>
      </c>
      <c r="W830" s="458" t="n">
        <v>6000</v>
      </c>
      <c r="X830" s="464" t="s">
        <v>6668</v>
      </c>
      <c r="Y830" s="458" t="n">
        <f aca="false">ROUND(J830,-3)</f>
        <v>4000</v>
      </c>
      <c r="Z830" s="457" t="s">
        <v>6638</v>
      </c>
      <c r="AA830" s="157" t="n">
        <v>3</v>
      </c>
      <c r="AB830" s="157" t="n">
        <v>3</v>
      </c>
      <c r="AC830" s="431" t="s">
        <v>586</v>
      </c>
      <c r="AD830" s="437" t="s">
        <v>7221</v>
      </c>
      <c r="AE830" s="167"/>
      <c r="AF830" s="167"/>
      <c r="AG830" s="167"/>
      <c r="AH830" s="167"/>
      <c r="AI830" s="167"/>
      <c r="AJ830" s="167"/>
      <c r="AK830" s="167" t="s">
        <v>8419</v>
      </c>
      <c r="AL830" s="157" t="n">
        <f aca="false">IF(AND(ISNUMBER($S830),$S830&gt;0,ISNUMBER($K830),ISNUMBER($J830)),($K830*$J830)/$S830,"")</f>
        <v>21600</v>
      </c>
    </row>
    <row r="831" customFormat="false" ht="12.75" hidden="false" customHeight="true" outlineLevel="0" collapsed="false">
      <c r="A831" s="441" t="n">
        <v>8</v>
      </c>
      <c r="B831" s="157" t="n">
        <v>823</v>
      </c>
      <c r="C831" s="437" t="s">
        <v>8246</v>
      </c>
      <c r="D831" s="157" t="s">
        <v>8864</v>
      </c>
      <c r="E831" s="461" t="s">
        <v>2461</v>
      </c>
      <c r="F831" s="157" t="s">
        <v>8865</v>
      </c>
      <c r="G831" s="445" t="n">
        <v>44.2</v>
      </c>
      <c r="H831" s="431" t="n">
        <v>9508</v>
      </c>
      <c r="I831" s="457" t="n">
        <v>0</v>
      </c>
      <c r="J831" s="458" t="n">
        <v>30000</v>
      </c>
      <c r="K831" s="462" t="n">
        <v>4</v>
      </c>
      <c r="L831" s="463" t="n">
        <v>0</v>
      </c>
      <c r="M831" s="463" t="n">
        <v>0</v>
      </c>
      <c r="N831" s="431" t="n">
        <v>1965</v>
      </c>
      <c r="O831" s="446" t="n">
        <f aca="false">20258+12347</f>
        <v>32605</v>
      </c>
      <c r="Q831" s="157" t="n">
        <v>13</v>
      </c>
      <c r="R831" s="157" t="n">
        <v>3</v>
      </c>
      <c r="S831" s="157" t="n">
        <v>1</v>
      </c>
      <c r="T831" s="457" t="s">
        <v>7526</v>
      </c>
      <c r="U831" s="457" t="n">
        <v>398</v>
      </c>
      <c r="V831" s="458" t="n">
        <v>93000</v>
      </c>
      <c r="W831" s="458" t="n">
        <v>90000</v>
      </c>
      <c r="X831" s="464" t="s">
        <v>6710</v>
      </c>
      <c r="Y831" s="458" t="n">
        <f aca="false">ROUND(J831,-3)</f>
        <v>30000</v>
      </c>
      <c r="Z831" s="457" t="s">
        <v>6638</v>
      </c>
      <c r="AA831" s="157" t="n">
        <v>3</v>
      </c>
      <c r="AB831" s="157" t="n">
        <v>3</v>
      </c>
      <c r="AC831" s="431" t="s">
        <v>586</v>
      </c>
      <c r="AD831" s="437" t="s">
        <v>8866</v>
      </c>
      <c r="AE831" s="167"/>
      <c r="AF831" s="167"/>
      <c r="AG831" s="167"/>
      <c r="AH831" s="167"/>
      <c r="AI831" s="167"/>
      <c r="AJ831" s="167"/>
      <c r="AK831" s="167" t="s">
        <v>8867</v>
      </c>
      <c r="AL831" s="157" t="n">
        <f aca="false">IF(AND(ISNUMBER($S831),$S831&gt;0,ISNUMBER($K831),ISNUMBER($J831)),($K831*$J831)/$S831,"")</f>
        <v>120000</v>
      </c>
    </row>
    <row r="832" customFormat="false" ht="12.75" hidden="false" customHeight="true" outlineLevel="0" collapsed="false">
      <c r="A832" s="441" t="n">
        <v>8</v>
      </c>
      <c r="B832" s="157" t="n">
        <v>824</v>
      </c>
      <c r="C832" s="437" t="s">
        <v>8246</v>
      </c>
      <c r="D832" s="157" t="s">
        <v>7222</v>
      </c>
      <c r="E832" s="461" t="s">
        <v>2461</v>
      </c>
      <c r="F832" s="157" t="s">
        <v>7223</v>
      </c>
      <c r="G832" s="445" t="n">
        <v>44.1</v>
      </c>
      <c r="H832" s="431" t="n">
        <v>9508</v>
      </c>
      <c r="I832" s="457" t="n">
        <v>0</v>
      </c>
      <c r="J832" s="458" t="n">
        <v>16096</v>
      </c>
      <c r="K832" s="462" t="n">
        <v>5.93961232604374</v>
      </c>
      <c r="L832" s="463" t="n">
        <v>0</v>
      </c>
      <c r="M832" s="463" t="n">
        <v>0</v>
      </c>
      <c r="N832" s="431" t="n">
        <v>1960</v>
      </c>
      <c r="O832" s="446" t="n">
        <v>4848</v>
      </c>
      <c r="Q832" s="157" t="n">
        <v>15</v>
      </c>
      <c r="R832" s="157" t="n">
        <v>3</v>
      </c>
      <c r="S832" s="157" t="n">
        <v>1</v>
      </c>
      <c r="T832" s="457" t="s">
        <v>7526</v>
      </c>
      <c r="U832" s="457" t="n">
        <v>398</v>
      </c>
      <c r="V832" s="458" t="n">
        <v>30000</v>
      </c>
      <c r="W832" s="458" t="n">
        <v>30000</v>
      </c>
      <c r="X832" s="464" t="s">
        <v>6675</v>
      </c>
      <c r="Y832" s="458" t="n">
        <f aca="false">ROUND(J832,-3)</f>
        <v>16000</v>
      </c>
      <c r="Z832" s="457" t="s">
        <v>6638</v>
      </c>
      <c r="AA832" s="157" t="n">
        <v>3</v>
      </c>
      <c r="AB832" s="157" t="n">
        <v>3</v>
      </c>
      <c r="AC832" s="431" t="s">
        <v>586</v>
      </c>
      <c r="AD832" s="437" t="s">
        <v>7224</v>
      </c>
      <c r="AE832" s="167"/>
      <c r="AF832" s="167"/>
      <c r="AG832" s="167"/>
      <c r="AH832" s="167"/>
      <c r="AI832" s="167"/>
      <c r="AJ832" s="167"/>
      <c r="AK832" s="167" t="s">
        <v>8574</v>
      </c>
      <c r="AL832" s="157" t="n">
        <f aca="false">IF(AND(ISNUMBER($S832),$S832&gt;0,ISNUMBER($K832),ISNUMBER($J832)),($K832*$J832)/$S832,"")</f>
        <v>95604</v>
      </c>
    </row>
    <row r="833" customFormat="false" ht="12.75" hidden="false" customHeight="true" outlineLevel="0" collapsed="false">
      <c r="A833" s="441" t="n">
        <v>8</v>
      </c>
      <c r="B833" s="157" t="n">
        <v>825</v>
      </c>
      <c r="C833" s="437" t="s">
        <v>8246</v>
      </c>
      <c r="D833" s="157" t="s">
        <v>7226</v>
      </c>
      <c r="E833" s="461" t="s">
        <v>2461</v>
      </c>
      <c r="F833" s="157" t="s">
        <v>7227</v>
      </c>
      <c r="G833" s="445" t="n">
        <v>44.1</v>
      </c>
      <c r="H833" s="431" t="n">
        <v>9508</v>
      </c>
      <c r="I833" s="457" t="n">
        <v>0</v>
      </c>
      <c r="J833" s="458" t="n">
        <v>14000</v>
      </c>
      <c r="K833" s="462" t="n">
        <v>8.57142857142857</v>
      </c>
      <c r="L833" s="463" t="n">
        <v>0</v>
      </c>
      <c r="M833" s="463" t="n">
        <v>0.0116333333333333</v>
      </c>
      <c r="N833" s="431" t="n">
        <v>1972</v>
      </c>
      <c r="O833" s="446" t="n">
        <f aca="false">6213+2500</f>
        <v>8713</v>
      </c>
      <c r="Q833" s="157" t="n">
        <v>18</v>
      </c>
      <c r="R833" s="157" t="n">
        <v>3</v>
      </c>
      <c r="S833" s="157" t="n">
        <v>1</v>
      </c>
      <c r="T833" s="457" t="s">
        <v>7529</v>
      </c>
      <c r="U833" s="457" t="n">
        <v>398</v>
      </c>
      <c r="V833" s="458" t="n">
        <v>27787</v>
      </c>
      <c r="W833" s="458" t="n">
        <v>28000</v>
      </c>
      <c r="X833" s="464" t="s">
        <v>7546</v>
      </c>
      <c r="Y833" s="458" t="n">
        <f aca="false">ROUND(J833,-3)</f>
        <v>14000</v>
      </c>
      <c r="Z833" s="457" t="s">
        <v>6638</v>
      </c>
      <c r="AA833" s="157" t="n">
        <v>3</v>
      </c>
      <c r="AB833" s="157" t="n">
        <v>3</v>
      </c>
      <c r="AC833" s="431" t="s">
        <v>586</v>
      </c>
      <c r="AD833" s="437" t="s">
        <v>7228</v>
      </c>
      <c r="AE833" s="167"/>
      <c r="AF833" s="167"/>
      <c r="AG833" s="167"/>
      <c r="AH833" s="167"/>
      <c r="AI833" s="167"/>
      <c r="AJ833" s="167"/>
      <c r="AK833" s="167" t="s">
        <v>8324</v>
      </c>
      <c r="AL833" s="157" t="n">
        <f aca="false">IF(AND(ISNUMBER($S833),$S833&gt;0,ISNUMBER($K833),ISNUMBER($J833)),($K833*$J833)/$S833,"")</f>
        <v>120000</v>
      </c>
    </row>
    <row r="834" customFormat="false" ht="12.75" hidden="false" customHeight="true" outlineLevel="0" collapsed="false">
      <c r="A834" s="441" t="n">
        <v>8</v>
      </c>
      <c r="B834" s="157" t="n">
        <v>826</v>
      </c>
      <c r="C834" s="437" t="s">
        <v>8246</v>
      </c>
      <c r="D834" s="157" t="s">
        <v>8868</v>
      </c>
      <c r="E834" s="461" t="s">
        <v>2461</v>
      </c>
      <c r="F834" s="157" t="s">
        <v>8869</v>
      </c>
      <c r="G834" s="445" t="n">
        <v>44.1</v>
      </c>
      <c r="H834" s="431" t="n">
        <v>9508</v>
      </c>
      <c r="I834" s="457" t="n">
        <v>6</v>
      </c>
      <c r="J834" s="458" t="n">
        <v>3800</v>
      </c>
      <c r="K834" s="462" t="n">
        <v>9.47368421052632</v>
      </c>
      <c r="L834" s="463" t="n">
        <v>0</v>
      </c>
      <c r="M834" s="463" t="n">
        <v>0.16825</v>
      </c>
      <c r="N834" s="431" t="n">
        <v>1974</v>
      </c>
      <c r="P834" s="446" t="n">
        <v>1750</v>
      </c>
      <c r="Q834" s="157" t="n">
        <v>14</v>
      </c>
      <c r="R834" s="157" t="n">
        <v>1</v>
      </c>
      <c r="S834" s="157" t="n">
        <v>1</v>
      </c>
      <c r="T834" s="457" t="s">
        <v>7789</v>
      </c>
      <c r="U834" s="457" t="n">
        <v>398</v>
      </c>
      <c r="V834" s="458" t="n">
        <v>6250</v>
      </c>
      <c r="W834" s="458" t="n">
        <v>6000</v>
      </c>
      <c r="X834" s="464" t="s">
        <v>6668</v>
      </c>
      <c r="Y834" s="458" t="n">
        <f aca="false">ROUND(J834,-3)</f>
        <v>4000</v>
      </c>
      <c r="Z834" s="457" t="s">
        <v>6638</v>
      </c>
      <c r="AA834" s="157" t="n">
        <v>3</v>
      </c>
      <c r="AB834" s="157" t="n">
        <v>3</v>
      </c>
      <c r="AC834" s="431" t="s">
        <v>586</v>
      </c>
      <c r="AD834" s="437" t="s">
        <v>8870</v>
      </c>
      <c r="AE834" s="167"/>
      <c r="AF834" s="167"/>
      <c r="AG834" s="167"/>
      <c r="AH834" s="167"/>
      <c r="AI834" s="167"/>
      <c r="AJ834" s="167"/>
      <c r="AK834" s="167" t="s">
        <v>8308</v>
      </c>
      <c r="AL834" s="157" t="n">
        <f aca="false">IF(AND(ISNUMBER($S834),$S834&gt;0,ISNUMBER($K834),ISNUMBER($J834)),($K834*$J834)/$S834,"")</f>
        <v>36000</v>
      </c>
    </row>
    <row r="835" customFormat="false" ht="12.75" hidden="false" customHeight="true" outlineLevel="0" collapsed="false">
      <c r="A835" s="441" t="n">
        <v>8</v>
      </c>
      <c r="B835" s="157" t="n">
        <v>827</v>
      </c>
      <c r="C835" s="437" t="s">
        <v>8246</v>
      </c>
      <c r="D835" s="157" t="s">
        <v>8871</v>
      </c>
      <c r="E835" s="461" t="s">
        <v>2461</v>
      </c>
      <c r="F835" s="157" t="s">
        <v>8872</v>
      </c>
      <c r="G835" s="445" t="n">
        <v>44.2</v>
      </c>
      <c r="H835" s="431" t="n">
        <v>9508</v>
      </c>
      <c r="I835" s="457" t="n">
        <v>0</v>
      </c>
      <c r="J835" s="458" t="n">
        <v>16640</v>
      </c>
      <c r="K835" s="462" t="n">
        <v>7.28581730769231</v>
      </c>
      <c r="L835" s="463" t="n">
        <v>0</v>
      </c>
      <c r="M835" s="463" t="n">
        <v>0.0822527961991488</v>
      </c>
      <c r="N835" s="431" t="n">
        <v>1969</v>
      </c>
      <c r="O835" s="446" t="n">
        <f aca="false">2867+2451</f>
        <v>5318</v>
      </c>
      <c r="Q835" s="157" t="n">
        <v>20</v>
      </c>
      <c r="R835" s="157" t="n">
        <v>14</v>
      </c>
      <c r="S835" s="157" t="n">
        <v>1</v>
      </c>
      <c r="T835" s="457" t="s">
        <v>7526</v>
      </c>
      <c r="U835" s="457" t="n">
        <v>398</v>
      </c>
      <c r="V835" s="458" t="n">
        <v>38742</v>
      </c>
      <c r="W835" s="458" t="n">
        <v>39000</v>
      </c>
      <c r="X835" s="464" t="s">
        <v>6646</v>
      </c>
      <c r="Y835" s="458" t="n">
        <f aca="false">ROUND(J835,-3)</f>
        <v>17000</v>
      </c>
      <c r="Z835" s="457" t="s">
        <v>6638</v>
      </c>
      <c r="AA835" s="157" t="n">
        <v>3</v>
      </c>
      <c r="AB835" s="157" t="n">
        <v>3</v>
      </c>
      <c r="AC835" s="431" t="s">
        <v>586</v>
      </c>
      <c r="AD835" s="437" t="s">
        <v>8873</v>
      </c>
      <c r="AE835" s="167"/>
      <c r="AF835" s="167"/>
      <c r="AG835" s="167"/>
      <c r="AH835" s="167"/>
      <c r="AI835" s="167"/>
      <c r="AJ835" s="167"/>
      <c r="AK835" s="167" t="s">
        <v>8419</v>
      </c>
      <c r="AL835" s="157" t="n">
        <f aca="false">IF(AND(ISNUMBER($S835),$S835&gt;0,ISNUMBER($K835),ISNUMBER($J835)),($K835*$J835)/$S835,"")</f>
        <v>121236</v>
      </c>
    </row>
    <row r="836" customFormat="false" ht="12.75" hidden="false" customHeight="true" outlineLevel="0" collapsed="false">
      <c r="A836" s="441" t="n">
        <v>8</v>
      </c>
      <c r="B836" s="157" t="n">
        <v>828</v>
      </c>
      <c r="C836" s="437" t="s">
        <v>8246</v>
      </c>
      <c r="D836" s="157" t="s">
        <v>8874</v>
      </c>
      <c r="E836" s="461" t="s">
        <v>2461</v>
      </c>
      <c r="F836" s="157" t="s">
        <v>8875</v>
      </c>
      <c r="G836" s="445" t="n">
        <v>44.2</v>
      </c>
      <c r="H836" s="431" t="n">
        <v>9508</v>
      </c>
      <c r="I836" s="457" t="n">
        <v>0</v>
      </c>
      <c r="J836" s="458" t="n">
        <v>34866</v>
      </c>
      <c r="K836" s="462" t="n">
        <v>8.36201457006826</v>
      </c>
      <c r="L836" s="463" t="n">
        <v>0.2</v>
      </c>
      <c r="M836" s="463" t="n">
        <v>0.0410632824558395</v>
      </c>
      <c r="N836" s="431" t="n">
        <v>1984</v>
      </c>
      <c r="O836" s="446" t="n">
        <v>5654</v>
      </c>
      <c r="Q836" s="157" t="n">
        <v>18</v>
      </c>
      <c r="R836" s="157" t="n">
        <v>3</v>
      </c>
      <c r="S836" s="157" t="n">
        <v>1</v>
      </c>
      <c r="T836" s="457" t="s">
        <v>7526</v>
      </c>
      <c r="U836" s="457" t="n">
        <v>398</v>
      </c>
      <c r="V836" s="458" t="n">
        <v>60428</v>
      </c>
      <c r="W836" s="458" t="n">
        <v>60000</v>
      </c>
      <c r="X836" s="464" t="s">
        <v>6668</v>
      </c>
      <c r="Y836" s="458" t="n">
        <f aca="false">ROUND(J836,-3)</f>
        <v>35000</v>
      </c>
      <c r="Z836" s="457" t="s">
        <v>6638</v>
      </c>
      <c r="AA836" s="157" t="n">
        <v>3</v>
      </c>
      <c r="AB836" s="157" t="n">
        <v>3</v>
      </c>
      <c r="AC836" s="431" t="s">
        <v>586</v>
      </c>
      <c r="AD836" s="437" t="s">
        <v>8876</v>
      </c>
      <c r="AE836" s="167"/>
      <c r="AF836" s="167"/>
      <c r="AG836" s="167"/>
      <c r="AH836" s="167"/>
      <c r="AI836" s="167"/>
      <c r="AJ836" s="167"/>
      <c r="AK836" s="167" t="s">
        <v>8877</v>
      </c>
      <c r="AL836" s="157" t="n">
        <f aca="false">IF(AND(ISNUMBER($S836),$S836&gt;0,ISNUMBER($K836),ISNUMBER($J836)),($K836*$J836)/$S836,"")</f>
        <v>291550</v>
      </c>
    </row>
    <row r="837" customFormat="false" ht="12.75" hidden="false" customHeight="true" outlineLevel="0" collapsed="false">
      <c r="A837" s="441" t="n">
        <v>8</v>
      </c>
      <c r="B837" s="157" t="n">
        <v>829</v>
      </c>
      <c r="C837" s="437" t="s">
        <v>8246</v>
      </c>
      <c r="D837" s="157" t="s">
        <v>8878</v>
      </c>
      <c r="E837" s="461" t="s">
        <v>2461</v>
      </c>
      <c r="F837" s="157" t="s">
        <v>8879</v>
      </c>
      <c r="G837" s="445" t="n">
        <v>44.1</v>
      </c>
      <c r="H837" s="431" t="n">
        <v>9508</v>
      </c>
      <c r="I837" s="457" t="n">
        <v>0</v>
      </c>
      <c r="J837" s="458" t="n">
        <v>4800</v>
      </c>
      <c r="K837" s="462" t="n">
        <v>7.5</v>
      </c>
      <c r="L837" s="463" t="n">
        <v>0</v>
      </c>
      <c r="M837" s="463" t="n">
        <v>0.105555555555556</v>
      </c>
      <c r="N837" s="431" t="n">
        <v>1972</v>
      </c>
      <c r="O837" s="446" t="n">
        <v>1458</v>
      </c>
      <c r="P837" s="446" t="n">
        <v>1020</v>
      </c>
      <c r="Q837" s="157" t="n">
        <v>15</v>
      </c>
      <c r="R837" s="157" t="n">
        <v>3</v>
      </c>
      <c r="S837" s="157" t="n">
        <v>1</v>
      </c>
      <c r="T837" s="457" t="s">
        <v>7526</v>
      </c>
      <c r="U837" s="457" t="n">
        <v>398</v>
      </c>
      <c r="V837" s="458" t="n">
        <v>15330</v>
      </c>
      <c r="W837" s="458" t="n">
        <v>15000</v>
      </c>
      <c r="X837" s="464" t="s">
        <v>6695</v>
      </c>
      <c r="Y837" s="458" t="n">
        <f aca="false">ROUND(J837,-3)</f>
        <v>5000</v>
      </c>
      <c r="Z837" s="457" t="s">
        <v>6638</v>
      </c>
      <c r="AA837" s="157" t="n">
        <v>3</v>
      </c>
      <c r="AB837" s="157" t="n">
        <v>3</v>
      </c>
      <c r="AC837" s="431" t="s">
        <v>586</v>
      </c>
      <c r="AD837" s="437" t="s">
        <v>6676</v>
      </c>
      <c r="AE837" s="167"/>
      <c r="AF837" s="167"/>
      <c r="AG837" s="167"/>
      <c r="AH837" s="167"/>
      <c r="AI837" s="167"/>
      <c r="AJ837" s="167"/>
      <c r="AK837" s="167" t="s">
        <v>8257</v>
      </c>
      <c r="AL837" s="157" t="n">
        <f aca="false">IF(AND(ISNUMBER($S837),$S837&gt;0,ISNUMBER($K837),ISNUMBER($J837)),($K837*$J837)/$S837,"")</f>
        <v>36000</v>
      </c>
    </row>
    <row r="838" customFormat="false" ht="12.75" hidden="false" customHeight="true" outlineLevel="0" collapsed="false">
      <c r="A838" s="441" t="n">
        <v>8</v>
      </c>
      <c r="B838" s="157" t="n">
        <v>830</v>
      </c>
      <c r="C838" s="437" t="s">
        <v>8246</v>
      </c>
      <c r="D838" s="157" t="s">
        <v>8880</v>
      </c>
      <c r="E838" s="461" t="s">
        <v>2461</v>
      </c>
      <c r="F838" s="157" t="s">
        <v>8881</v>
      </c>
      <c r="G838" s="445" t="n">
        <v>44.1</v>
      </c>
      <c r="H838" s="431" t="n">
        <v>9508</v>
      </c>
      <c r="I838" s="457" t="n">
        <v>0</v>
      </c>
      <c r="J838" s="458" t="n">
        <v>10000</v>
      </c>
      <c r="K838" s="462" t="n">
        <v>8.2062</v>
      </c>
      <c r="L838" s="463" t="n">
        <v>0</v>
      </c>
      <c r="M838" s="463" t="n">
        <v>0.0999488191854939</v>
      </c>
      <c r="N838" s="431" t="n">
        <v>1963</v>
      </c>
      <c r="O838" s="446" t="n">
        <v>4291</v>
      </c>
      <c r="Q838" s="157" t="n">
        <v>15</v>
      </c>
      <c r="R838" s="157" t="n">
        <v>3</v>
      </c>
      <c r="S838" s="157" t="n">
        <v>1</v>
      </c>
      <c r="T838" s="457" t="s">
        <v>7529</v>
      </c>
      <c r="U838" s="457" t="n">
        <v>398</v>
      </c>
      <c r="V838" s="458" t="n">
        <v>18722</v>
      </c>
      <c r="W838" s="458" t="n">
        <v>19000</v>
      </c>
      <c r="X838" s="464" t="s">
        <v>6675</v>
      </c>
      <c r="Y838" s="458" t="n">
        <f aca="false">ROUND(J838,-3)</f>
        <v>10000</v>
      </c>
      <c r="Z838" s="457" t="s">
        <v>6638</v>
      </c>
      <c r="AA838" s="157" t="n">
        <v>3</v>
      </c>
      <c r="AB838" s="157" t="n">
        <v>3</v>
      </c>
      <c r="AC838" s="431" t="s">
        <v>586</v>
      </c>
      <c r="AD838" s="437"/>
      <c r="AE838" s="167"/>
      <c r="AF838" s="167"/>
      <c r="AG838" s="167"/>
      <c r="AH838" s="167"/>
      <c r="AI838" s="167"/>
      <c r="AJ838" s="167"/>
      <c r="AK838" s="167" t="s">
        <v>8290</v>
      </c>
      <c r="AL838" s="157" t="n">
        <f aca="false">IF(AND(ISNUMBER($S838),$S838&gt;0,ISNUMBER($K838),ISNUMBER($J838)),($K838*$J838)/$S838,"")</f>
        <v>82062</v>
      </c>
    </row>
    <row r="839" customFormat="false" ht="12.75" hidden="false" customHeight="true" outlineLevel="0" collapsed="false">
      <c r="A839" s="441" t="n">
        <v>8</v>
      </c>
      <c r="B839" s="157" t="n">
        <v>831</v>
      </c>
      <c r="C839" s="437" t="s">
        <v>8246</v>
      </c>
      <c r="D839" s="157" t="s">
        <v>7231</v>
      </c>
      <c r="E839" s="461" t="s">
        <v>2461</v>
      </c>
      <c r="F839" s="157" t="s">
        <v>7232</v>
      </c>
      <c r="G839" s="445" t="n">
        <v>44.1</v>
      </c>
      <c r="H839" s="431" t="n">
        <v>9508</v>
      </c>
      <c r="I839" s="457" t="n">
        <v>0</v>
      </c>
      <c r="J839" s="458" t="n">
        <v>7692</v>
      </c>
      <c r="K839" s="462" t="n">
        <v>15.600624024961</v>
      </c>
      <c r="L839" s="463" t="n">
        <v>0</v>
      </c>
      <c r="M839" s="463" t="n">
        <v>0</v>
      </c>
      <c r="N839" s="431" t="n">
        <v>1974</v>
      </c>
      <c r="P839" s="446" t="n">
        <v>3161</v>
      </c>
      <c r="Q839" s="157" t="n">
        <v>18</v>
      </c>
      <c r="R839" s="157" t="n">
        <v>14</v>
      </c>
      <c r="S839" s="157" t="n">
        <v>1</v>
      </c>
      <c r="T839" s="457" t="s">
        <v>7529</v>
      </c>
      <c r="U839" s="457" t="n">
        <v>398</v>
      </c>
      <c r="V839" s="458" t="n">
        <v>16250</v>
      </c>
      <c r="W839" s="458" t="n">
        <v>16000</v>
      </c>
      <c r="X839" s="464" t="s">
        <v>6754</v>
      </c>
      <c r="Y839" s="458" t="n">
        <f aca="false">ROUND(J839,-3)</f>
        <v>8000</v>
      </c>
      <c r="Z839" s="457" t="s">
        <v>6638</v>
      </c>
      <c r="AA839" s="157" t="n">
        <v>3</v>
      </c>
      <c r="AB839" s="157" t="n">
        <v>3</v>
      </c>
      <c r="AC839" s="431" t="s">
        <v>586</v>
      </c>
      <c r="AD839" s="437"/>
      <c r="AE839" s="167"/>
      <c r="AF839" s="167"/>
      <c r="AG839" s="167"/>
      <c r="AH839" s="167"/>
      <c r="AI839" s="167"/>
      <c r="AJ839" s="167"/>
      <c r="AK839" s="167" t="s">
        <v>8324</v>
      </c>
      <c r="AL839" s="157" t="n">
        <f aca="false">IF(AND(ISNUMBER($S839),$S839&gt;0,ISNUMBER($K839),ISNUMBER($J839)),($K839*$J839)/$S839,"")</f>
        <v>120000</v>
      </c>
    </row>
    <row r="840" customFormat="false" ht="12.75" hidden="false" customHeight="true" outlineLevel="0" collapsed="false">
      <c r="A840" s="441" t="n">
        <v>8</v>
      </c>
      <c r="B840" s="157" t="n">
        <v>832</v>
      </c>
      <c r="C840" s="437" t="s">
        <v>8246</v>
      </c>
      <c r="D840" s="157" t="s">
        <v>8882</v>
      </c>
      <c r="E840" s="461" t="s">
        <v>2461</v>
      </c>
      <c r="F840" s="157" t="s">
        <v>8883</v>
      </c>
      <c r="G840" s="445" t="n">
        <v>44.2</v>
      </c>
      <c r="H840" s="431" t="n">
        <v>9508</v>
      </c>
      <c r="I840" s="457" t="n">
        <v>0</v>
      </c>
      <c r="J840" s="458" t="n">
        <v>6448</v>
      </c>
      <c r="K840" s="462" t="n">
        <v>7.11150744416873</v>
      </c>
      <c r="L840" s="463" t="n">
        <v>0</v>
      </c>
      <c r="M840" s="463" t="n">
        <v>0.0363755315668957</v>
      </c>
      <c r="N840" s="431" t="n">
        <v>1982</v>
      </c>
      <c r="O840" s="446" t="n">
        <v>1805</v>
      </c>
      <c r="Q840" s="157" t="n">
        <v>16</v>
      </c>
      <c r="R840" s="157" t="n">
        <v>3</v>
      </c>
      <c r="S840" s="157" t="n">
        <v>1</v>
      </c>
      <c r="T840" s="457" t="s">
        <v>7529</v>
      </c>
      <c r="U840" s="457" t="n">
        <v>398</v>
      </c>
      <c r="V840" s="458" t="n">
        <v>17875</v>
      </c>
      <c r="W840" s="458" t="n">
        <v>18000</v>
      </c>
      <c r="X840" s="464" t="s">
        <v>6664</v>
      </c>
      <c r="Y840" s="458" t="n">
        <f aca="false">ROUND(J840,-3)</f>
        <v>6000</v>
      </c>
      <c r="Z840" s="457" t="s">
        <v>6638</v>
      </c>
      <c r="AA840" s="157" t="n">
        <v>3</v>
      </c>
      <c r="AB840" s="157" t="n">
        <v>3</v>
      </c>
      <c r="AC840" s="431" t="s">
        <v>586</v>
      </c>
      <c r="AD840" s="437"/>
      <c r="AE840" s="167"/>
      <c r="AF840" s="167"/>
      <c r="AG840" s="167"/>
      <c r="AH840" s="167"/>
      <c r="AI840" s="167"/>
      <c r="AJ840" s="167"/>
      <c r="AK840" s="167" t="s">
        <v>8308</v>
      </c>
      <c r="AL840" s="157" t="n">
        <f aca="false">IF(AND(ISNUMBER($S840),$S840&gt;0,ISNUMBER($K840),ISNUMBER($J840)),($K840*$J840)/$S840,"")</f>
        <v>45855</v>
      </c>
    </row>
    <row r="841" customFormat="false" ht="12.75" hidden="false" customHeight="true" outlineLevel="0" collapsed="false">
      <c r="A841" s="441" t="n">
        <v>8</v>
      </c>
      <c r="B841" s="157" t="n">
        <v>833</v>
      </c>
      <c r="C841" s="437" t="s">
        <v>8246</v>
      </c>
      <c r="D841" s="157" t="s">
        <v>8884</v>
      </c>
      <c r="E841" s="461" t="s">
        <v>2461</v>
      </c>
      <c r="F841" s="157" t="s">
        <v>7235</v>
      </c>
      <c r="G841" s="445" t="n">
        <v>44.8</v>
      </c>
      <c r="H841" s="431" t="n">
        <v>9508</v>
      </c>
      <c r="I841" s="457" t="n">
        <v>0</v>
      </c>
      <c r="J841" s="458" t="n">
        <v>8586</v>
      </c>
      <c r="K841" s="462" t="n">
        <v>10.4821802935011</v>
      </c>
      <c r="L841" s="463" t="n">
        <v>0</v>
      </c>
      <c r="M841" s="463" t="n">
        <v>0</v>
      </c>
      <c r="N841" s="431" t="n">
        <v>1968</v>
      </c>
      <c r="Q841" s="157" t="n">
        <v>20</v>
      </c>
      <c r="R841" s="157" t="n">
        <v>14</v>
      </c>
      <c r="S841" s="157" t="n">
        <v>1</v>
      </c>
      <c r="T841" s="457" t="s">
        <v>7526</v>
      </c>
      <c r="U841" s="457" t="n">
        <v>398</v>
      </c>
      <c r="V841" s="458" t="n">
        <v>17648</v>
      </c>
      <c r="W841" s="458" t="n">
        <v>18000</v>
      </c>
      <c r="X841" s="464" t="s">
        <v>6754</v>
      </c>
      <c r="Y841" s="458" t="n">
        <f aca="false">ROUND(J841,-3)</f>
        <v>9000</v>
      </c>
      <c r="Z841" s="457" t="s">
        <v>6638</v>
      </c>
      <c r="AA841" s="157" t="n">
        <v>3</v>
      </c>
      <c r="AB841" s="157" t="n">
        <v>3</v>
      </c>
      <c r="AC841" s="431" t="s">
        <v>586</v>
      </c>
      <c r="AD841" s="437" t="s">
        <v>8885</v>
      </c>
      <c r="AE841" s="167"/>
      <c r="AF841" s="167"/>
      <c r="AG841" s="167"/>
      <c r="AH841" s="167"/>
      <c r="AI841" s="167"/>
      <c r="AJ841" s="167"/>
      <c r="AK841" s="167" t="s">
        <v>8886</v>
      </c>
      <c r="AL841" s="157" t="n">
        <f aca="false">IF(AND(ISNUMBER($S841),$S841&gt;0,ISNUMBER($K841),ISNUMBER($J841)),($K841*$J841)/$S841,"")</f>
        <v>90000.0000000005</v>
      </c>
    </row>
    <row r="842" customFormat="false" ht="12.75" hidden="false" customHeight="true" outlineLevel="0" collapsed="false">
      <c r="A842" s="441" t="n">
        <v>8</v>
      </c>
      <c r="B842" s="157" t="n">
        <v>834</v>
      </c>
      <c r="C842" s="437" t="s">
        <v>8246</v>
      </c>
      <c r="D842" s="157" t="s">
        <v>8887</v>
      </c>
      <c r="E842" s="461" t="s">
        <v>2461</v>
      </c>
      <c r="F842" s="157" t="s">
        <v>8888</v>
      </c>
      <c r="G842" s="445" t="n">
        <v>44.2</v>
      </c>
      <c r="H842" s="431" t="n">
        <v>9505</v>
      </c>
      <c r="I842" s="457" t="n">
        <v>0</v>
      </c>
      <c r="J842" s="458" t="n">
        <v>51985</v>
      </c>
      <c r="K842" s="462" t="n">
        <v>5.4</v>
      </c>
      <c r="L842" s="463" t="n">
        <v>0</v>
      </c>
      <c r="M842" s="463" t="n">
        <v>0</v>
      </c>
      <c r="N842" s="431" t="n">
        <v>1973</v>
      </c>
      <c r="O842" s="446" t="n">
        <v>2478</v>
      </c>
      <c r="Q842" s="157" t="n">
        <v>22</v>
      </c>
      <c r="R842" s="157" t="n">
        <v>14</v>
      </c>
      <c r="S842" s="157" t="n">
        <v>1</v>
      </c>
      <c r="T842" s="457" t="s">
        <v>7526</v>
      </c>
      <c r="U842" s="457" t="n">
        <v>398</v>
      </c>
      <c r="V842" s="458" t="n">
        <v>54671</v>
      </c>
      <c r="W842" s="458" t="n">
        <v>50000</v>
      </c>
      <c r="X842" s="464" t="s">
        <v>7043</v>
      </c>
      <c r="Y842" s="458" t="n">
        <f aca="false">ROUND(J842,-4)</f>
        <v>50000</v>
      </c>
      <c r="Z842" s="457" t="s">
        <v>6638</v>
      </c>
      <c r="AA842" s="157" t="n">
        <v>2</v>
      </c>
      <c r="AB842" s="157" t="n">
        <v>1</v>
      </c>
      <c r="AC842" s="431" t="s">
        <v>529</v>
      </c>
      <c r="AD842" s="437"/>
      <c r="AE842" s="167"/>
      <c r="AF842" s="167"/>
      <c r="AG842" s="167"/>
      <c r="AH842" s="167"/>
      <c r="AI842" s="167"/>
      <c r="AJ842" s="167"/>
      <c r="AK842" s="167" t="s">
        <v>8257</v>
      </c>
      <c r="AL842" s="157" t="n">
        <f aca="false">IF(AND(ISNUMBER($S842),$S842&gt;0,ISNUMBER($K842),ISNUMBER($J842)),($K842*$J842)/$S842,"")</f>
        <v>280719</v>
      </c>
    </row>
    <row r="843" customFormat="false" ht="12.75" hidden="false" customHeight="true" outlineLevel="0" collapsed="false">
      <c r="A843" s="441" t="n">
        <v>8</v>
      </c>
      <c r="B843" s="157" t="n">
        <v>835</v>
      </c>
      <c r="C843" s="437" t="s">
        <v>8246</v>
      </c>
      <c r="D843" s="157" t="s">
        <v>7241</v>
      </c>
      <c r="E843" s="461" t="s">
        <v>2461</v>
      </c>
      <c r="F843" s="157" t="s">
        <v>7242</v>
      </c>
      <c r="G843" s="445" t="n">
        <v>44.2</v>
      </c>
      <c r="H843" s="431" t="n">
        <v>9505</v>
      </c>
      <c r="I843" s="457" t="n">
        <v>0</v>
      </c>
      <c r="J843" s="458" t="n">
        <v>12994</v>
      </c>
      <c r="K843" s="462" t="n">
        <v>7.10728028320763</v>
      </c>
      <c r="L843" s="463" t="n">
        <v>0</v>
      </c>
      <c r="M843" s="463" t="n">
        <v>0.137463184338184</v>
      </c>
      <c r="N843" s="431" t="n">
        <v>1959</v>
      </c>
      <c r="O843" s="446" t="n">
        <v>2548</v>
      </c>
      <c r="Q843" s="157" t="n">
        <v>16</v>
      </c>
      <c r="R843" s="157" t="n">
        <v>1</v>
      </c>
      <c r="S843" s="157" t="n">
        <v>1</v>
      </c>
      <c r="T843" s="457" t="s">
        <v>7526</v>
      </c>
      <c r="U843" s="457" t="n">
        <v>398</v>
      </c>
      <c r="V843" s="458" t="n">
        <v>20500</v>
      </c>
      <c r="W843" s="458" t="n">
        <v>21000</v>
      </c>
      <c r="X843" s="464" t="s">
        <v>6668</v>
      </c>
      <c r="Y843" s="458" t="n">
        <f aca="false">ROUND(J843,-3)</f>
        <v>13000</v>
      </c>
      <c r="Z843" s="457" t="s">
        <v>6638</v>
      </c>
      <c r="AA843" s="157" t="n">
        <v>3</v>
      </c>
      <c r="AB843" s="157" t="n">
        <v>3</v>
      </c>
      <c r="AC843" s="431" t="s">
        <v>586</v>
      </c>
      <c r="AD843" s="437" t="s">
        <v>7243</v>
      </c>
      <c r="AE843" s="167"/>
      <c r="AF843" s="167"/>
      <c r="AG843" s="167"/>
      <c r="AH843" s="167"/>
      <c r="AI843" s="167"/>
      <c r="AJ843" s="167"/>
      <c r="AK843" s="167" t="s">
        <v>8324</v>
      </c>
      <c r="AL843" s="157" t="n">
        <f aca="false">IF(AND(ISNUMBER($S843),$S843&gt;0,ISNUMBER($K843),ISNUMBER($J843)),($K843*$J843)/$S843,"")</f>
        <v>92351.9999999999</v>
      </c>
    </row>
    <row r="844" customFormat="false" ht="12.75" hidden="false" customHeight="true" outlineLevel="0" collapsed="false">
      <c r="A844" s="441" t="n">
        <v>8</v>
      </c>
      <c r="B844" s="157" t="n">
        <v>836</v>
      </c>
      <c r="C844" s="437" t="s">
        <v>8246</v>
      </c>
      <c r="D844" s="157" t="s">
        <v>7245</v>
      </c>
      <c r="E844" s="461" t="s">
        <v>2461</v>
      </c>
      <c r="F844" s="157" t="s">
        <v>7246</v>
      </c>
      <c r="G844" s="445" t="n">
        <v>44.2</v>
      </c>
      <c r="H844" s="431" t="n">
        <v>9505</v>
      </c>
      <c r="I844" s="457" t="n">
        <v>0</v>
      </c>
      <c r="J844" s="458" t="n">
        <v>8502</v>
      </c>
      <c r="K844" s="462" t="n">
        <v>7.3394495412844</v>
      </c>
      <c r="L844" s="463" t="n">
        <v>0</v>
      </c>
      <c r="M844" s="463" t="n">
        <v>0</v>
      </c>
      <c r="N844" s="431" t="n">
        <v>1968</v>
      </c>
      <c r="O844" s="446" t="n">
        <f aca="false">7467+1642</f>
        <v>9109</v>
      </c>
      <c r="Q844" s="157" t="n">
        <v>16</v>
      </c>
      <c r="R844" s="157" t="n">
        <v>1</v>
      </c>
      <c r="S844" s="157" t="n">
        <v>1</v>
      </c>
      <c r="T844" s="457" t="s">
        <v>7526</v>
      </c>
      <c r="U844" s="457" t="n">
        <v>398</v>
      </c>
      <c r="V844" s="458" t="n">
        <v>12400</v>
      </c>
      <c r="W844" s="458" t="n">
        <v>12000</v>
      </c>
      <c r="X844" s="464" t="s">
        <v>6837</v>
      </c>
      <c r="Y844" s="458" t="n">
        <f aca="false">ROUND(J844,-3)</f>
        <v>9000</v>
      </c>
      <c r="Z844" s="457" t="s">
        <v>6638</v>
      </c>
      <c r="AA844" s="157" t="n">
        <v>3</v>
      </c>
      <c r="AB844" s="157" t="n">
        <v>3</v>
      </c>
      <c r="AC844" s="431" t="s">
        <v>586</v>
      </c>
      <c r="AD844" s="437"/>
      <c r="AE844" s="167"/>
      <c r="AF844" s="167"/>
      <c r="AG844" s="167"/>
      <c r="AH844" s="167"/>
      <c r="AI844" s="167"/>
      <c r="AJ844" s="167"/>
      <c r="AK844" s="167" t="s">
        <v>8324</v>
      </c>
      <c r="AL844" s="157" t="n">
        <f aca="false">IF(AND(ISNUMBER($S844),$S844&gt;0,ISNUMBER($K844),ISNUMBER($J844)),($K844*$J844)/$S844,"")</f>
        <v>62400</v>
      </c>
    </row>
    <row r="845" customFormat="false" ht="12.75" hidden="false" customHeight="true" outlineLevel="0" collapsed="false">
      <c r="A845" s="441" t="n">
        <v>8</v>
      </c>
      <c r="B845" s="157" t="n">
        <v>837</v>
      </c>
      <c r="C845" s="437" t="s">
        <v>8246</v>
      </c>
      <c r="D845" s="157" t="s">
        <v>7964</v>
      </c>
      <c r="E845" s="461" t="s">
        <v>2461</v>
      </c>
      <c r="F845" s="157" t="s">
        <v>8889</v>
      </c>
      <c r="G845" s="445" t="n">
        <v>44.1</v>
      </c>
      <c r="H845" s="431" t="n">
        <v>9505</v>
      </c>
      <c r="I845" s="457" t="n">
        <v>0</v>
      </c>
      <c r="J845" s="458" t="n">
        <v>7200</v>
      </c>
      <c r="K845" s="462" t="n">
        <v>6.66666666666667</v>
      </c>
      <c r="L845" s="463" t="n">
        <v>0</v>
      </c>
      <c r="M845" s="463" t="n">
        <v>0</v>
      </c>
      <c r="N845" s="431" t="n">
        <v>1966</v>
      </c>
      <c r="O845" s="446" t="n">
        <v>4200</v>
      </c>
      <c r="Q845" s="157" t="n">
        <v>14</v>
      </c>
      <c r="R845" s="157" t="n">
        <v>3</v>
      </c>
      <c r="S845" s="157" t="n">
        <v>1</v>
      </c>
      <c r="T845" s="457" t="s">
        <v>7526</v>
      </c>
      <c r="U845" s="457" t="n">
        <v>398</v>
      </c>
      <c r="V845" s="458" t="n">
        <v>11917</v>
      </c>
      <c r="W845" s="458" t="n">
        <v>12000</v>
      </c>
      <c r="X845" s="464" t="s">
        <v>6954</v>
      </c>
      <c r="Y845" s="458" t="n">
        <f aca="false">ROUND(J845,-3)</f>
        <v>7000</v>
      </c>
      <c r="Z845" s="457" t="s">
        <v>6638</v>
      </c>
      <c r="AA845" s="157" t="n">
        <v>3</v>
      </c>
      <c r="AB845" s="157" t="n">
        <v>3</v>
      </c>
      <c r="AC845" s="431" t="s">
        <v>586</v>
      </c>
      <c r="AD845" s="437"/>
      <c r="AE845" s="167"/>
      <c r="AF845" s="167"/>
      <c r="AG845" s="167"/>
      <c r="AH845" s="167"/>
      <c r="AI845" s="167"/>
      <c r="AJ845" s="167"/>
      <c r="AK845" s="167" t="s">
        <v>8303</v>
      </c>
      <c r="AL845" s="157" t="n">
        <f aca="false">IF(AND(ISNUMBER($S845),$S845&gt;0,ISNUMBER($K845),ISNUMBER($J845)),($K845*$J845)/$S845,"")</f>
        <v>48000</v>
      </c>
    </row>
    <row r="846" customFormat="false" ht="12.75" hidden="false" customHeight="true" outlineLevel="0" collapsed="false">
      <c r="A846" s="441" t="n">
        <v>8</v>
      </c>
      <c r="B846" s="157" t="n">
        <v>838</v>
      </c>
      <c r="C846" s="437" t="s">
        <v>8246</v>
      </c>
      <c r="D846" s="157" t="s">
        <v>8890</v>
      </c>
      <c r="E846" s="461" t="s">
        <v>2461</v>
      </c>
      <c r="F846" s="157" t="s">
        <v>8891</v>
      </c>
      <c r="G846" s="445" t="n">
        <v>44.1</v>
      </c>
      <c r="H846" s="431" t="n">
        <v>9505</v>
      </c>
      <c r="I846" s="457" t="n">
        <v>0</v>
      </c>
      <c r="J846" s="458" t="n">
        <v>19565</v>
      </c>
      <c r="K846" s="462" t="n">
        <v>6.13340148223869</v>
      </c>
      <c r="L846" s="463" t="n">
        <v>0</v>
      </c>
      <c r="M846" s="463" t="n">
        <v>0.001125</v>
      </c>
      <c r="N846" s="431" t="n">
        <v>1960</v>
      </c>
      <c r="O846" s="446" t="n">
        <v>2015</v>
      </c>
      <c r="Q846" s="157" t="n">
        <v>17</v>
      </c>
      <c r="R846" s="157" t="n">
        <v>3</v>
      </c>
      <c r="S846" s="157" t="n">
        <v>1</v>
      </c>
      <c r="T846" s="457" t="s">
        <v>7526</v>
      </c>
      <c r="U846" s="457" t="n">
        <v>398</v>
      </c>
      <c r="V846" s="458" t="n">
        <v>43372</v>
      </c>
      <c r="W846" s="458" t="n">
        <v>43000</v>
      </c>
      <c r="X846" s="464" t="s">
        <v>6700</v>
      </c>
      <c r="Y846" s="458" t="n">
        <f aca="false">ROUND(J846,-3)</f>
        <v>20000</v>
      </c>
      <c r="Z846" s="457" t="s">
        <v>6638</v>
      </c>
      <c r="AA846" s="157" t="n">
        <v>3</v>
      </c>
      <c r="AB846" s="157" t="n">
        <v>3</v>
      </c>
      <c r="AC846" s="431" t="s">
        <v>586</v>
      </c>
      <c r="AD846" s="437" t="s">
        <v>8892</v>
      </c>
      <c r="AE846" s="167"/>
      <c r="AF846" s="167"/>
      <c r="AG846" s="167"/>
      <c r="AH846" s="167"/>
      <c r="AI846" s="167"/>
      <c r="AJ846" s="167"/>
      <c r="AK846" s="167" t="s">
        <v>8419</v>
      </c>
      <c r="AL846" s="157" t="n">
        <f aca="false">IF(AND(ISNUMBER($S846),$S846&gt;0,ISNUMBER($K846),ISNUMBER($J846)),($K846*$J846)/$S846,"")</f>
        <v>120000</v>
      </c>
    </row>
    <row r="847" customFormat="false" ht="12.75" hidden="false" customHeight="true" outlineLevel="0" collapsed="false">
      <c r="A847" s="441" t="n">
        <v>8</v>
      </c>
      <c r="B847" s="157" t="n">
        <v>839</v>
      </c>
      <c r="C847" s="437" t="s">
        <v>8246</v>
      </c>
      <c r="D847" s="157" t="s">
        <v>8893</v>
      </c>
      <c r="E847" s="461" t="s">
        <v>2461</v>
      </c>
      <c r="F847" s="157" t="s">
        <v>8894</v>
      </c>
      <c r="G847" s="445" t="n">
        <v>44.1</v>
      </c>
      <c r="H847" s="431" t="n">
        <v>9505</v>
      </c>
      <c r="I847" s="457" t="n">
        <v>0</v>
      </c>
      <c r="J847" s="458" t="n">
        <v>51633</v>
      </c>
      <c r="K847" s="462" t="n">
        <v>4.06999399608777</v>
      </c>
      <c r="L847" s="463" t="n">
        <v>0</v>
      </c>
      <c r="M847" s="463" t="n">
        <v>0</v>
      </c>
      <c r="N847" s="431" t="n">
        <v>1957</v>
      </c>
      <c r="O847" s="446" t="n">
        <v>6565</v>
      </c>
      <c r="Q847" s="157" t="n">
        <v>14</v>
      </c>
      <c r="R847" s="157" t="n">
        <v>3</v>
      </c>
      <c r="S847" s="157" t="n">
        <v>1</v>
      </c>
      <c r="T847" s="457" t="s">
        <v>7526</v>
      </c>
      <c r="U847" s="457" t="n">
        <v>398</v>
      </c>
      <c r="V847" s="458" t="n">
        <v>74400</v>
      </c>
      <c r="W847" s="458" t="n">
        <v>70000</v>
      </c>
      <c r="X847" s="464" t="s">
        <v>6710</v>
      </c>
      <c r="Y847" s="458" t="n">
        <f aca="false">ROUND(J847,-4)</f>
        <v>50000</v>
      </c>
      <c r="Z847" s="457" t="s">
        <v>8664</v>
      </c>
      <c r="AA847" s="157" t="n">
        <v>3</v>
      </c>
      <c r="AB847" s="157" t="n">
        <v>3</v>
      </c>
      <c r="AC847" s="431" t="s">
        <v>586</v>
      </c>
      <c r="AD847" s="437" t="s">
        <v>8895</v>
      </c>
      <c r="AE847" s="167"/>
      <c r="AF847" s="167"/>
      <c r="AG847" s="167"/>
      <c r="AH847" s="167"/>
      <c r="AI847" s="167"/>
      <c r="AJ847" s="167"/>
      <c r="AK847" s="167" t="s">
        <v>8324</v>
      </c>
      <c r="AL847" s="157" t="n">
        <f aca="false">IF(AND(ISNUMBER($S847),$S847&gt;0,ISNUMBER($K847),ISNUMBER($J847)),($K847*$J847)/$S847,"")</f>
        <v>210146</v>
      </c>
    </row>
    <row r="848" customFormat="false" ht="12.75" hidden="false" customHeight="true" outlineLevel="0" collapsed="false">
      <c r="A848" s="441" t="n">
        <v>8</v>
      </c>
      <c r="B848" s="157" t="n">
        <v>840</v>
      </c>
      <c r="C848" s="437" t="s">
        <v>8246</v>
      </c>
      <c r="D848" s="157" t="s">
        <v>8896</v>
      </c>
      <c r="E848" s="461" t="s">
        <v>2461</v>
      </c>
      <c r="F848" s="157" t="s">
        <v>8897</v>
      </c>
      <c r="G848" s="445" t="n">
        <v>44.2</v>
      </c>
      <c r="H848" s="431" t="n">
        <v>9505</v>
      </c>
      <c r="I848" s="457" t="n">
        <v>0</v>
      </c>
      <c r="J848" s="458" t="n">
        <v>37478</v>
      </c>
      <c r="K848" s="462" t="n">
        <v>5.94460750306847</v>
      </c>
      <c r="L848" s="463" t="n">
        <v>0</v>
      </c>
      <c r="M848" s="463" t="n">
        <v>0</v>
      </c>
      <c r="N848" s="431" t="n">
        <v>1962</v>
      </c>
      <c r="Q848" s="157" t="n">
        <v>21</v>
      </c>
      <c r="R848" s="157" t="n">
        <v>3</v>
      </c>
      <c r="S848" s="157" t="n">
        <v>1</v>
      </c>
      <c r="T848" s="457" t="s">
        <v>7531</v>
      </c>
      <c r="U848" s="457" t="n">
        <v>398</v>
      </c>
      <c r="V848" s="458" t="n">
        <v>117467</v>
      </c>
      <c r="W848" s="458" t="n">
        <v>120000</v>
      </c>
      <c r="X848" s="464" t="s">
        <v>6751</v>
      </c>
      <c r="Y848" s="458" t="n">
        <f aca="false">ROUND(J848,-3)</f>
        <v>37000</v>
      </c>
      <c r="Z848" s="457" t="s">
        <v>6638</v>
      </c>
      <c r="AA848" s="157" t="n">
        <v>2</v>
      </c>
      <c r="AB848" s="157" t="n">
        <v>3</v>
      </c>
      <c r="AC848" s="431" t="s">
        <v>537</v>
      </c>
      <c r="AD848" s="437" t="s">
        <v>8898</v>
      </c>
      <c r="AE848" s="167"/>
      <c r="AF848" s="167"/>
      <c r="AG848" s="167"/>
      <c r="AH848" s="167"/>
      <c r="AI848" s="167"/>
      <c r="AJ848" s="167"/>
      <c r="AK848" s="167" t="s">
        <v>8257</v>
      </c>
      <c r="AL848" s="157" t="n">
        <f aca="false">IF(AND(ISNUMBER($S848),$S848&gt;0,ISNUMBER($K848),ISNUMBER($J848)),($K848*$J848)/$S848,"")</f>
        <v>222792</v>
      </c>
    </row>
    <row r="849" customFormat="false" ht="12.75" hidden="false" customHeight="true" outlineLevel="0" collapsed="false">
      <c r="A849" s="441" t="n">
        <v>8</v>
      </c>
      <c r="B849" s="157" t="n">
        <v>841</v>
      </c>
      <c r="C849" s="437" t="s">
        <v>8246</v>
      </c>
      <c r="D849" s="157" t="s">
        <v>8899</v>
      </c>
      <c r="E849" s="461" t="s">
        <v>2461</v>
      </c>
      <c r="F849" s="157" t="s">
        <v>8900</v>
      </c>
      <c r="G849" s="445" t="n">
        <v>44.1</v>
      </c>
      <c r="H849" s="431" t="n">
        <v>9505</v>
      </c>
      <c r="I849" s="457" t="n">
        <v>0</v>
      </c>
      <c r="J849" s="458" t="n">
        <v>13440</v>
      </c>
      <c r="K849" s="462" t="n">
        <v>4.06994047619048</v>
      </c>
      <c r="L849" s="463" t="n">
        <v>0</v>
      </c>
      <c r="M849" s="463" t="n">
        <v>0</v>
      </c>
      <c r="N849" s="431" t="n">
        <v>1952</v>
      </c>
      <c r="O849" s="446" t="n">
        <v>2360</v>
      </c>
      <c r="Q849" s="157" t="n">
        <v>17</v>
      </c>
      <c r="R849" s="157" t="n">
        <v>1</v>
      </c>
      <c r="S849" s="157" t="n">
        <v>1</v>
      </c>
      <c r="T849" s="457" t="s">
        <v>7526</v>
      </c>
      <c r="U849" s="457" t="n">
        <v>398</v>
      </c>
      <c r="V849" s="458" t="n">
        <v>34439</v>
      </c>
      <c r="W849" s="458" t="n">
        <v>34000</v>
      </c>
      <c r="X849" s="464" t="s">
        <v>6724</v>
      </c>
      <c r="Y849" s="458" t="n">
        <f aca="false">ROUND(J849,-3)</f>
        <v>13000</v>
      </c>
      <c r="Z849" s="457" t="s">
        <v>6638</v>
      </c>
      <c r="AA849" s="157" t="n">
        <v>3</v>
      </c>
      <c r="AB849" s="157" t="n">
        <v>3</v>
      </c>
      <c r="AC849" s="431" t="s">
        <v>586</v>
      </c>
      <c r="AD849" s="437" t="s">
        <v>8901</v>
      </c>
      <c r="AE849" s="167"/>
      <c r="AF849" s="167"/>
      <c r="AG849" s="167"/>
      <c r="AH849" s="167"/>
      <c r="AI849" s="167"/>
      <c r="AJ849" s="167"/>
      <c r="AK849" s="167" t="s">
        <v>8324</v>
      </c>
      <c r="AL849" s="157" t="n">
        <f aca="false">IF(AND(ISNUMBER($S849),$S849&gt;0,ISNUMBER($K849),ISNUMBER($J849)),($K849*$J849)/$S849,"")</f>
        <v>54700.0000000001</v>
      </c>
    </row>
    <row r="850" customFormat="false" ht="12.75" hidden="false" customHeight="true" outlineLevel="0" collapsed="false">
      <c r="A850" s="441" t="n">
        <v>8</v>
      </c>
      <c r="B850" s="157" t="n">
        <v>842</v>
      </c>
      <c r="C850" s="437" t="s">
        <v>8246</v>
      </c>
      <c r="D850" s="157" t="s">
        <v>7247</v>
      </c>
      <c r="E850" s="461" t="s">
        <v>2461</v>
      </c>
      <c r="F850" s="157" t="s">
        <v>7248</v>
      </c>
      <c r="G850" s="445" t="n">
        <v>43.1</v>
      </c>
      <c r="H850" s="431" t="n">
        <v>9505</v>
      </c>
      <c r="I850" s="457" t="n">
        <v>3</v>
      </c>
      <c r="J850" s="458" t="n">
        <v>2380</v>
      </c>
      <c r="K850" s="462" t="n">
        <v>6.05042016806723</v>
      </c>
      <c r="L850" s="463" t="n">
        <v>0.5</v>
      </c>
      <c r="M850" s="463" t="n">
        <v>0</v>
      </c>
      <c r="N850" s="431" t="n">
        <v>1942</v>
      </c>
      <c r="Q850" s="157" t="n">
        <v>10</v>
      </c>
      <c r="R850" s="157" t="n">
        <v>3</v>
      </c>
      <c r="S850" s="157" t="n">
        <v>1</v>
      </c>
      <c r="T850" s="457" t="s">
        <v>7789</v>
      </c>
      <c r="U850" s="457" t="n">
        <v>401</v>
      </c>
      <c r="V850" s="458" t="n">
        <v>2624</v>
      </c>
      <c r="W850" s="458" t="n">
        <v>3000</v>
      </c>
      <c r="X850" s="464" t="s">
        <v>7043</v>
      </c>
      <c r="Y850" s="458" t="n">
        <f aca="false">ROUND(J850,-3)</f>
        <v>2000</v>
      </c>
      <c r="Z850" s="457" t="s">
        <v>6638</v>
      </c>
      <c r="AA850" s="157" t="n">
        <v>3</v>
      </c>
      <c r="AB850" s="157" t="n">
        <v>3</v>
      </c>
      <c r="AC850" s="431" t="s">
        <v>586</v>
      </c>
      <c r="AD850" s="437" t="s">
        <v>7249</v>
      </c>
      <c r="AE850" s="167"/>
      <c r="AF850" s="167"/>
      <c r="AG850" s="167"/>
      <c r="AH850" s="167"/>
      <c r="AI850" s="167"/>
      <c r="AJ850" s="167"/>
      <c r="AK850" s="167" t="s">
        <v>8257</v>
      </c>
      <c r="AL850" s="157" t="n">
        <f aca="false">IF(AND(ISNUMBER($S850),$S850&gt;0,ISNUMBER($K850),ISNUMBER($J850)),($K850*$J850)/$S850,"")</f>
        <v>14400</v>
      </c>
    </row>
    <row r="851" customFormat="false" ht="12.75" hidden="false" customHeight="true" outlineLevel="0" collapsed="false">
      <c r="A851" s="441" t="n">
        <v>8</v>
      </c>
      <c r="B851" s="157" t="n">
        <v>843</v>
      </c>
      <c r="C851" s="437" t="s">
        <v>8246</v>
      </c>
      <c r="D851" s="157" t="s">
        <v>7966</v>
      </c>
      <c r="E851" s="461" t="s">
        <v>2461</v>
      </c>
      <c r="F851" s="157" t="s">
        <v>8902</v>
      </c>
      <c r="G851" s="445" t="n">
        <v>44.1</v>
      </c>
      <c r="H851" s="431" t="n">
        <v>9505</v>
      </c>
      <c r="I851" s="457" t="n">
        <v>3</v>
      </c>
      <c r="J851" s="458" t="n">
        <v>21594</v>
      </c>
      <c r="K851" s="462" t="n">
        <v>7.21969065481152</v>
      </c>
      <c r="L851" s="463" t="n">
        <v>0</v>
      </c>
      <c r="M851" s="463" t="n">
        <v>0</v>
      </c>
      <c r="N851" s="431" t="n">
        <v>1975</v>
      </c>
      <c r="O851" s="446" t="n">
        <v>5148</v>
      </c>
      <c r="P851" s="446" t="n">
        <v>8100</v>
      </c>
      <c r="Q851" s="157" t="n">
        <v>17</v>
      </c>
      <c r="R851" s="157" t="n">
        <v>3</v>
      </c>
      <c r="S851" s="157" t="n">
        <v>3</v>
      </c>
      <c r="T851" s="457" t="s">
        <v>7789</v>
      </c>
      <c r="U851" s="457" t="n">
        <v>398</v>
      </c>
      <c r="V851" s="458" t="n">
        <v>26775</v>
      </c>
      <c r="W851" s="458" t="n">
        <v>27000</v>
      </c>
      <c r="X851" s="464" t="s">
        <v>6900</v>
      </c>
      <c r="Y851" s="458" t="n">
        <f aca="false">ROUND(J851,-3)</f>
        <v>22000</v>
      </c>
      <c r="Z851" s="457" t="s">
        <v>6638</v>
      </c>
      <c r="AA851" s="157" t="n">
        <v>3</v>
      </c>
      <c r="AB851" s="157" t="n">
        <v>3</v>
      </c>
      <c r="AC851" s="431" t="s">
        <v>586</v>
      </c>
      <c r="AD851" s="437" t="s">
        <v>7968</v>
      </c>
      <c r="AE851" s="167"/>
      <c r="AF851" s="167"/>
      <c r="AG851" s="167"/>
      <c r="AH851" s="167"/>
      <c r="AI851" s="167"/>
      <c r="AJ851" s="167"/>
      <c r="AK851" s="167" t="s">
        <v>8903</v>
      </c>
      <c r="AL851" s="157" t="n">
        <f aca="false">IF(AND(ISNUMBER($S851),$S851&gt;0,ISNUMBER($K851),ISNUMBER($J851)),($K851*$J851)/$S851,"")</f>
        <v>51967.3333333333</v>
      </c>
    </row>
    <row r="852" customFormat="false" ht="12.75" hidden="false" customHeight="true" outlineLevel="0" collapsed="false">
      <c r="A852" s="441" t="n">
        <v>8</v>
      </c>
      <c r="B852" s="157" t="n">
        <v>844</v>
      </c>
      <c r="C852" s="437" t="s">
        <v>8246</v>
      </c>
      <c r="D852" s="157" t="s">
        <v>8904</v>
      </c>
      <c r="E852" s="461" t="s">
        <v>2461</v>
      </c>
      <c r="F852" s="157" t="s">
        <v>8905</v>
      </c>
      <c r="G852" s="445" t="n">
        <v>44.1</v>
      </c>
      <c r="H852" s="431" t="n">
        <v>9505</v>
      </c>
      <c r="I852" s="457" t="n">
        <v>3</v>
      </c>
      <c r="J852" s="458" t="n">
        <v>1995</v>
      </c>
      <c r="K852" s="462" t="n">
        <v>3.00751879699248</v>
      </c>
      <c r="L852" s="463" t="n">
        <v>0</v>
      </c>
      <c r="M852" s="463" t="n">
        <v>0</v>
      </c>
      <c r="N852" s="431" t="n">
        <v>1929</v>
      </c>
      <c r="Q852" s="157" t="n">
        <v>14</v>
      </c>
      <c r="R852" s="157" t="n">
        <v>1</v>
      </c>
      <c r="S852" s="157" t="n">
        <v>1</v>
      </c>
      <c r="T852" s="457" t="s">
        <v>7789</v>
      </c>
      <c r="U852" s="457" t="n">
        <v>398</v>
      </c>
      <c r="V852" s="458" t="n">
        <v>17850</v>
      </c>
      <c r="W852" s="458" t="n">
        <v>18000</v>
      </c>
      <c r="X852" s="464" t="s">
        <v>7972</v>
      </c>
      <c r="Y852" s="458" t="n">
        <f aca="false">ROUND(J852,-2)</f>
        <v>2000</v>
      </c>
      <c r="Z852" s="457" t="s">
        <v>6638</v>
      </c>
      <c r="AA852" s="157" t="n">
        <v>3</v>
      </c>
      <c r="AB852" s="157" t="n">
        <v>3</v>
      </c>
      <c r="AC852" s="431" t="s">
        <v>586</v>
      </c>
      <c r="AD852" s="437" t="s">
        <v>7295</v>
      </c>
      <c r="AE852" s="167"/>
      <c r="AF852" s="167"/>
      <c r="AG852" s="167"/>
      <c r="AH852" s="167"/>
      <c r="AI852" s="167"/>
      <c r="AJ852" s="167"/>
      <c r="AK852" s="167"/>
      <c r="AL852" s="157" t="n">
        <f aca="false">IF(AND(ISNUMBER($S852),$S852&gt;0,ISNUMBER($K852),ISNUMBER($J852)),($K852*$J852)/$S852,"")</f>
        <v>6000</v>
      </c>
    </row>
    <row r="853" customFormat="false" ht="12.75" hidden="false" customHeight="true" outlineLevel="0" collapsed="false">
      <c r="A853" s="441" t="n">
        <v>8</v>
      </c>
      <c r="B853" s="157" t="n">
        <v>845</v>
      </c>
      <c r="C853" s="437" t="s">
        <v>8246</v>
      </c>
      <c r="D853" s="157" t="s">
        <v>7974</v>
      </c>
      <c r="E853" s="461" t="s">
        <v>2461</v>
      </c>
      <c r="F853" s="157" t="s">
        <v>8902</v>
      </c>
      <c r="G853" s="445" t="n">
        <v>44.1</v>
      </c>
      <c r="H853" s="431" t="n">
        <v>9505</v>
      </c>
      <c r="I853" s="457" t="n">
        <v>3</v>
      </c>
      <c r="J853" s="458" t="n">
        <v>7555</v>
      </c>
      <c r="K853" s="462" t="n">
        <v>11.5679682329583</v>
      </c>
      <c r="L853" s="463" t="n">
        <v>0</v>
      </c>
      <c r="M853" s="463" t="n">
        <v>0</v>
      </c>
      <c r="N853" s="431" t="n">
        <v>1975</v>
      </c>
      <c r="O853" s="446" t="n">
        <v>287</v>
      </c>
      <c r="Q853" s="157" t="n">
        <v>17</v>
      </c>
      <c r="R853" s="157" t="n">
        <v>3</v>
      </c>
      <c r="S853" s="157" t="n">
        <v>1</v>
      </c>
      <c r="T853" s="457" t="s">
        <v>7789</v>
      </c>
      <c r="U853" s="457" t="n">
        <v>398</v>
      </c>
      <c r="V853" s="458" t="n">
        <v>8925</v>
      </c>
      <c r="W853" s="458" t="n">
        <v>9000</v>
      </c>
      <c r="X853" s="464" t="s">
        <v>6900</v>
      </c>
      <c r="Y853" s="458" t="n">
        <f aca="false">ROUND(J853,-3)</f>
        <v>8000</v>
      </c>
      <c r="Z853" s="457" t="s">
        <v>6638</v>
      </c>
      <c r="AA853" s="157" t="n">
        <v>3</v>
      </c>
      <c r="AB853" s="157" t="n">
        <v>3</v>
      </c>
      <c r="AC853" s="431" t="s">
        <v>586</v>
      </c>
      <c r="AD853" s="437" t="s">
        <v>7295</v>
      </c>
      <c r="AE853" s="167"/>
      <c r="AF853" s="167"/>
      <c r="AG853" s="167"/>
      <c r="AH853" s="167"/>
      <c r="AI853" s="167"/>
      <c r="AJ853" s="167"/>
      <c r="AK853" s="167"/>
      <c r="AL853" s="157" t="n">
        <f aca="false">IF(AND(ISNUMBER($S853),$S853&gt;0,ISNUMBER($K853),ISNUMBER($J853)),($K853*$J853)/$S853,"")</f>
        <v>87396</v>
      </c>
    </row>
    <row r="854" customFormat="false" ht="12.75" hidden="false" customHeight="true" outlineLevel="0" collapsed="false">
      <c r="A854" s="441" t="n">
        <v>8</v>
      </c>
      <c r="B854" s="157" t="n">
        <v>846</v>
      </c>
      <c r="C854" s="437" t="s">
        <v>8246</v>
      </c>
      <c r="D854" s="157" t="s">
        <v>7250</v>
      </c>
      <c r="E854" s="461" t="s">
        <v>2461</v>
      </c>
      <c r="F854" s="157" t="s">
        <v>7251</v>
      </c>
      <c r="G854" s="445" t="n">
        <v>44.1</v>
      </c>
      <c r="H854" s="431" t="n">
        <v>9505</v>
      </c>
      <c r="I854" s="457" t="n">
        <v>0</v>
      </c>
      <c r="J854" s="458" t="n">
        <v>2500</v>
      </c>
      <c r="K854" s="462" t="n">
        <v>4.8</v>
      </c>
      <c r="L854" s="463" t="n">
        <v>0</v>
      </c>
      <c r="M854" s="463" t="n">
        <v>0.10025</v>
      </c>
      <c r="N854" s="431" t="n">
        <v>1973</v>
      </c>
      <c r="O854" s="446" t="n">
        <v>336</v>
      </c>
      <c r="Q854" s="157" t="n">
        <v>13</v>
      </c>
      <c r="R854" s="157" t="n">
        <v>3</v>
      </c>
      <c r="S854" s="157" t="n">
        <v>1</v>
      </c>
      <c r="T854" s="457" t="s">
        <v>7526</v>
      </c>
      <c r="U854" s="457" t="n">
        <v>398</v>
      </c>
      <c r="V854" s="458" t="n">
        <v>3900</v>
      </c>
      <c r="W854" s="458" t="n">
        <v>4000</v>
      </c>
      <c r="X854" s="464" t="s">
        <v>6668</v>
      </c>
      <c r="Y854" s="458" t="n">
        <f aca="false">ROUND(J854,-3)</f>
        <v>3000</v>
      </c>
      <c r="Z854" s="457" t="s">
        <v>6638</v>
      </c>
      <c r="AA854" s="157" t="n">
        <v>3</v>
      </c>
      <c r="AB854" s="157" t="n">
        <v>3</v>
      </c>
      <c r="AC854" s="431" t="s">
        <v>586</v>
      </c>
      <c r="AD854" s="437" t="s">
        <v>7252</v>
      </c>
      <c r="AE854" s="167"/>
      <c r="AF854" s="167"/>
      <c r="AG854" s="167"/>
      <c r="AH854" s="167"/>
      <c r="AI854" s="167"/>
      <c r="AJ854" s="167"/>
      <c r="AK854" s="167"/>
      <c r="AL854" s="157" t="n">
        <f aca="false">IF(AND(ISNUMBER($S854),$S854&gt;0,ISNUMBER($K854),ISNUMBER($J854)),($K854*$J854)/$S854,"")</f>
        <v>12000</v>
      </c>
    </row>
    <row r="855" customFormat="false" ht="12.75" hidden="false" customHeight="true" outlineLevel="0" collapsed="false">
      <c r="A855" s="441" t="n">
        <v>8</v>
      </c>
      <c r="B855" s="157" t="n">
        <v>847</v>
      </c>
      <c r="C855" s="437" t="s">
        <v>8246</v>
      </c>
      <c r="D855" s="157" t="s">
        <v>8906</v>
      </c>
      <c r="E855" s="461" t="s">
        <v>2461</v>
      </c>
      <c r="F855" s="157" t="s">
        <v>8907</v>
      </c>
      <c r="G855" s="445" t="n">
        <v>44.1</v>
      </c>
      <c r="H855" s="431" t="n">
        <v>9505</v>
      </c>
      <c r="I855" s="457" t="n">
        <v>0</v>
      </c>
      <c r="J855" s="458" t="n">
        <v>16340</v>
      </c>
      <c r="K855" s="462" t="n">
        <v>6.53610771113831</v>
      </c>
      <c r="L855" s="463" t="n">
        <v>0</v>
      </c>
      <c r="M855" s="463" t="n">
        <v>0</v>
      </c>
      <c r="N855" s="431" t="n">
        <v>1958</v>
      </c>
      <c r="O855" s="446" t="n">
        <f aca="false">980+1118+658</f>
        <v>2756</v>
      </c>
      <c r="P855" s="446" t="n">
        <f aca="false">1466*2</f>
        <v>2932</v>
      </c>
      <c r="Q855" s="157" t="n">
        <v>16</v>
      </c>
      <c r="R855" s="157" t="n">
        <v>7</v>
      </c>
      <c r="S855" s="157" t="n">
        <v>1</v>
      </c>
      <c r="T855" s="457" t="s">
        <v>7526</v>
      </c>
      <c r="U855" s="457" t="n">
        <v>398</v>
      </c>
      <c r="V855" s="458" t="n">
        <v>35625</v>
      </c>
      <c r="W855" s="458" t="n">
        <v>36000</v>
      </c>
      <c r="X855" s="464" t="s">
        <v>6700</v>
      </c>
      <c r="Y855" s="458" t="n">
        <f aca="false">ROUND(J855,-3)</f>
        <v>16000</v>
      </c>
      <c r="Z855" s="457" t="s">
        <v>6638</v>
      </c>
      <c r="AA855" s="157" t="n">
        <v>3</v>
      </c>
      <c r="AB855" s="157" t="n">
        <v>1</v>
      </c>
      <c r="AC855" s="431" t="s">
        <v>576</v>
      </c>
      <c r="AD855" s="437" t="s">
        <v>8908</v>
      </c>
      <c r="AE855" s="167"/>
      <c r="AF855" s="167"/>
      <c r="AG855" s="167"/>
      <c r="AH855" s="167"/>
      <c r="AI855" s="167"/>
      <c r="AJ855" s="167"/>
      <c r="AK855" s="167"/>
      <c r="AL855" s="157" t="n">
        <f aca="false">IF(AND(ISNUMBER($S855),$S855&gt;0,ISNUMBER($K855),ISNUMBER($J855)),($K855*$J855)/$S855,"")</f>
        <v>106800</v>
      </c>
    </row>
    <row r="856" customFormat="false" ht="12.75" hidden="false" customHeight="true" outlineLevel="0" collapsed="false">
      <c r="A856" s="441" t="n">
        <v>8</v>
      </c>
      <c r="B856" s="157" t="n">
        <v>848</v>
      </c>
      <c r="C856" s="437" t="s">
        <v>8246</v>
      </c>
      <c r="D856" s="157" t="s">
        <v>8909</v>
      </c>
      <c r="E856" s="461" t="s">
        <v>2461</v>
      </c>
      <c r="F856" s="157" t="s">
        <v>8910</v>
      </c>
      <c r="G856" s="445" t="n">
        <v>44.2</v>
      </c>
      <c r="H856" s="431" t="n">
        <v>9505</v>
      </c>
      <c r="I856" s="457" t="n">
        <v>3</v>
      </c>
      <c r="J856" s="458" t="n">
        <v>8925</v>
      </c>
      <c r="K856" s="462" t="n">
        <v>5.3781512605042</v>
      </c>
      <c r="L856" s="463" t="n">
        <v>0</v>
      </c>
      <c r="M856" s="463" t="n">
        <v>0</v>
      </c>
      <c r="N856" s="431" t="n">
        <v>1959</v>
      </c>
      <c r="O856" s="446" t="n">
        <v>2775</v>
      </c>
      <c r="Q856" s="157" t="n">
        <v>11</v>
      </c>
      <c r="R856" s="157" t="n">
        <v>1</v>
      </c>
      <c r="S856" s="157" t="n">
        <v>1</v>
      </c>
      <c r="T856" s="457" t="s">
        <v>7789</v>
      </c>
      <c r="U856" s="457" t="n">
        <v>398</v>
      </c>
      <c r="V856" s="458" t="n">
        <v>8925</v>
      </c>
      <c r="W856" s="458" t="n">
        <v>9000</v>
      </c>
      <c r="X856" s="464" t="s">
        <v>8145</v>
      </c>
      <c r="Y856" s="458" t="n">
        <f aca="false">ROUND(J856,-3)</f>
        <v>9000</v>
      </c>
      <c r="Z856" s="457" t="s">
        <v>6638</v>
      </c>
      <c r="AA856" s="157" t="n">
        <v>3</v>
      </c>
      <c r="AB856" s="157" t="n">
        <v>3</v>
      </c>
      <c r="AC856" s="431" t="s">
        <v>586</v>
      </c>
      <c r="AD856" s="437" t="s">
        <v>6676</v>
      </c>
      <c r="AE856" s="167"/>
      <c r="AF856" s="167"/>
      <c r="AG856" s="167"/>
      <c r="AH856" s="167"/>
      <c r="AI856" s="167"/>
      <c r="AJ856" s="167"/>
      <c r="AK856" s="167"/>
      <c r="AL856" s="157" t="n">
        <f aca="false">IF(AND(ISNUMBER($S856),$S856&gt;0,ISNUMBER($K856),ISNUMBER($J856)),($K856*$J856)/$S856,"")</f>
        <v>48000</v>
      </c>
    </row>
    <row r="857" customFormat="false" ht="12.75" hidden="false" customHeight="true" outlineLevel="0" collapsed="false">
      <c r="A857" s="441" t="n">
        <v>8</v>
      </c>
      <c r="B857" s="157" t="n">
        <v>849</v>
      </c>
      <c r="C857" s="437" t="s">
        <v>8246</v>
      </c>
      <c r="D857" s="157" t="s">
        <v>7977</v>
      </c>
      <c r="E857" s="461" t="s">
        <v>2461</v>
      </c>
      <c r="F857" s="157" t="s">
        <v>8911</v>
      </c>
      <c r="G857" s="445" t="n">
        <v>42.1</v>
      </c>
      <c r="H857" s="431" t="n">
        <v>9505</v>
      </c>
      <c r="I857" s="457" t="n">
        <v>3</v>
      </c>
      <c r="J857" s="458" t="n">
        <v>4020</v>
      </c>
      <c r="K857" s="462" t="n">
        <v>5.97014925373134</v>
      </c>
      <c r="L857" s="463" t="n">
        <v>0</v>
      </c>
      <c r="M857" s="463" t="n">
        <v>0.0416666666666667</v>
      </c>
      <c r="N857" s="431" t="n">
        <v>1975</v>
      </c>
      <c r="O857" s="446" t="n">
        <v>705</v>
      </c>
      <c r="Q857" s="157" t="n">
        <v>17</v>
      </c>
      <c r="R857" s="157" t="n">
        <v>1</v>
      </c>
      <c r="S857" s="157" t="n">
        <v>1</v>
      </c>
      <c r="T857" s="457" t="s">
        <v>7789</v>
      </c>
      <c r="U857" s="457" t="n">
        <v>401</v>
      </c>
      <c r="V857" s="458" t="n">
        <v>5247</v>
      </c>
      <c r="W857" s="458" t="n">
        <v>5000</v>
      </c>
      <c r="X857" s="464" t="s">
        <v>7103</v>
      </c>
      <c r="Y857" s="458" t="n">
        <f aca="false">ROUND(J857,-3)</f>
        <v>4000</v>
      </c>
      <c r="Z857" s="457" t="s">
        <v>6638</v>
      </c>
      <c r="AA857" s="157" t="n">
        <v>3</v>
      </c>
      <c r="AB857" s="157" t="n">
        <v>3</v>
      </c>
      <c r="AC857" s="431" t="s">
        <v>586</v>
      </c>
      <c r="AD857" s="437" t="s">
        <v>6676</v>
      </c>
      <c r="AE857" s="167"/>
      <c r="AF857" s="167"/>
      <c r="AG857" s="167"/>
      <c r="AH857" s="167"/>
      <c r="AI857" s="167"/>
      <c r="AJ857" s="167"/>
      <c r="AK857" s="167"/>
      <c r="AL857" s="157" t="n">
        <f aca="false">IF(AND(ISNUMBER($S857),$S857&gt;0,ISNUMBER($K857),ISNUMBER($J857)),($K857*$J857)/$S857,"")</f>
        <v>24000</v>
      </c>
    </row>
    <row r="858" customFormat="false" ht="12.75" hidden="false" customHeight="true" outlineLevel="0" collapsed="false">
      <c r="A858" s="441" t="n">
        <v>8</v>
      </c>
      <c r="B858" s="157" t="n">
        <v>850</v>
      </c>
      <c r="C858" s="437" t="s">
        <v>8246</v>
      </c>
      <c r="D858" s="157" t="s">
        <v>8912</v>
      </c>
      <c r="E858" s="461" t="s">
        <v>2461</v>
      </c>
      <c r="F858" s="157" t="s">
        <v>8913</v>
      </c>
      <c r="G858" s="445" t="n">
        <v>44.2</v>
      </c>
      <c r="H858" s="431" t="n">
        <v>9505</v>
      </c>
      <c r="I858" s="457" t="n">
        <v>3</v>
      </c>
      <c r="J858" s="458" t="n">
        <v>1615</v>
      </c>
      <c r="K858" s="462" t="n">
        <v>6.31578947368421</v>
      </c>
      <c r="L858" s="463" t="n">
        <v>0</v>
      </c>
      <c r="M858" s="463" t="n">
        <v>0.0509803921568627</v>
      </c>
      <c r="N858" s="431" t="n">
        <v>1983</v>
      </c>
      <c r="O858" s="446" t="n">
        <v>324</v>
      </c>
      <c r="Q858" s="157" t="n">
        <v>14</v>
      </c>
      <c r="R858" s="157" t="n">
        <v>1</v>
      </c>
      <c r="S858" s="157" t="n">
        <v>1</v>
      </c>
      <c r="T858" s="457" t="s">
        <v>7789</v>
      </c>
      <c r="U858" s="457" t="n">
        <v>398</v>
      </c>
      <c r="V858" s="458" t="n">
        <v>2698</v>
      </c>
      <c r="W858" s="458" t="n">
        <v>3000</v>
      </c>
      <c r="X858" s="464" t="s">
        <v>6954</v>
      </c>
      <c r="Y858" s="458" t="n">
        <f aca="false">ROUND(J858,-2)</f>
        <v>1600</v>
      </c>
      <c r="Z858" s="457" t="s">
        <v>6638</v>
      </c>
      <c r="AA858" s="157" t="n">
        <v>3</v>
      </c>
      <c r="AB858" s="157" t="n">
        <v>3</v>
      </c>
      <c r="AC858" s="431" t="s">
        <v>586</v>
      </c>
      <c r="AD858" s="437" t="s">
        <v>8914</v>
      </c>
      <c r="AE858" s="167"/>
      <c r="AF858" s="167"/>
      <c r="AG858" s="167"/>
      <c r="AH858" s="167"/>
      <c r="AI858" s="167"/>
      <c r="AJ858" s="167"/>
      <c r="AK858" s="167"/>
      <c r="AL858" s="157" t="n">
        <f aca="false">IF(AND(ISNUMBER($S858),$S858&gt;0,ISNUMBER($K858),ISNUMBER($J858)),($K858*$J858)/$S858,"")</f>
        <v>10200</v>
      </c>
    </row>
    <row r="859" customFormat="false" ht="12.75" hidden="false" customHeight="true" outlineLevel="0" collapsed="false">
      <c r="A859" s="441" t="n">
        <v>8</v>
      </c>
      <c r="B859" s="157" t="n">
        <v>851</v>
      </c>
      <c r="C859" s="437" t="s">
        <v>8246</v>
      </c>
      <c r="D859" s="157" t="s">
        <v>8915</v>
      </c>
      <c r="E859" s="461" t="s">
        <v>2461</v>
      </c>
      <c r="F859" s="157" t="s">
        <v>8916</v>
      </c>
      <c r="G859" s="445" t="n">
        <v>47.2</v>
      </c>
      <c r="H859" s="431" t="n">
        <v>9505</v>
      </c>
      <c r="I859" s="457" t="n">
        <v>3</v>
      </c>
      <c r="J859" s="458" t="n">
        <v>8271</v>
      </c>
      <c r="K859" s="462" t="n">
        <v>4.3525571273123</v>
      </c>
      <c r="L859" s="463" t="n">
        <v>0</v>
      </c>
      <c r="M859" s="463" t="n">
        <v>0.05</v>
      </c>
      <c r="N859" s="431" t="n">
        <v>1957</v>
      </c>
      <c r="O859" s="446" t="n">
        <v>945</v>
      </c>
      <c r="Q859" s="157" t="n">
        <v>11</v>
      </c>
      <c r="R859" s="157" t="n">
        <v>3</v>
      </c>
      <c r="S859" s="157" t="n">
        <v>1</v>
      </c>
      <c r="T859" s="457" t="s">
        <v>7789</v>
      </c>
      <c r="U859" s="457" t="n">
        <v>401</v>
      </c>
      <c r="V859" s="458" t="n">
        <v>11591</v>
      </c>
      <c r="W859" s="458" t="n">
        <v>12000</v>
      </c>
      <c r="X859" s="464" t="s">
        <v>6710</v>
      </c>
      <c r="Y859" s="458" t="n">
        <f aca="false">ROUND(J859,-3)</f>
        <v>8000</v>
      </c>
      <c r="Z859" s="457" t="s">
        <v>6638</v>
      </c>
      <c r="AA859" s="157" t="n">
        <v>3</v>
      </c>
      <c r="AB859" s="157" t="n">
        <v>2</v>
      </c>
      <c r="AC859" s="431" t="s">
        <v>582</v>
      </c>
      <c r="AD859" s="437"/>
      <c r="AE859" s="167"/>
      <c r="AF859" s="167"/>
      <c r="AG859" s="167"/>
      <c r="AH859" s="167"/>
      <c r="AI859" s="167"/>
      <c r="AJ859" s="167"/>
      <c r="AK859" s="167" t="s">
        <v>8917</v>
      </c>
      <c r="AL859" s="157" t="n">
        <f aca="false">IF(AND(ISNUMBER($S859),$S859&gt;0,ISNUMBER($K859),ISNUMBER($J859)),($K859*$J859)/$S859,"")</f>
        <v>36000</v>
      </c>
    </row>
    <row r="860" customFormat="false" ht="12.75" hidden="false" customHeight="true" outlineLevel="0" collapsed="false">
      <c r="A860" s="441" t="n">
        <v>8</v>
      </c>
      <c r="B860" s="157" t="n">
        <v>852</v>
      </c>
      <c r="C860" s="437" t="s">
        <v>8246</v>
      </c>
      <c r="D860" s="157" t="s">
        <v>7253</v>
      </c>
      <c r="E860" s="461" t="s">
        <v>2461</v>
      </c>
      <c r="F860" s="157" t="s">
        <v>7254</v>
      </c>
      <c r="G860" s="445" t="n">
        <v>44.2</v>
      </c>
      <c r="H860" s="431" t="n">
        <v>9505</v>
      </c>
      <c r="I860" s="457" t="n">
        <v>0</v>
      </c>
      <c r="J860" s="458" t="n">
        <v>17286</v>
      </c>
      <c r="K860" s="462" t="n">
        <v>3.36237417563346</v>
      </c>
      <c r="L860" s="463" t="n">
        <v>0</v>
      </c>
      <c r="M860" s="463" t="n">
        <v>0.0458518289115997</v>
      </c>
      <c r="N860" s="431" t="n">
        <v>1959</v>
      </c>
      <c r="O860" s="446" t="n">
        <v>2902</v>
      </c>
      <c r="Q860" s="157" t="n">
        <v>15</v>
      </c>
      <c r="R860" s="157" t="n">
        <v>3</v>
      </c>
      <c r="S860" s="157" t="n">
        <v>1</v>
      </c>
      <c r="T860" s="457" t="s">
        <v>7526</v>
      </c>
      <c r="U860" s="457" t="n">
        <v>398</v>
      </c>
      <c r="V860" s="458" t="n">
        <v>36500</v>
      </c>
      <c r="W860" s="458" t="n">
        <v>37000</v>
      </c>
      <c r="X860" s="464" t="s">
        <v>6754</v>
      </c>
      <c r="Y860" s="458" t="n">
        <f aca="false">ROUND(J860,-3)</f>
        <v>17000</v>
      </c>
      <c r="Z860" s="457" t="s">
        <v>6638</v>
      </c>
      <c r="AA860" s="157" t="n">
        <v>3</v>
      </c>
      <c r="AB860" s="157" t="n">
        <v>3</v>
      </c>
      <c r="AC860" s="431" t="s">
        <v>586</v>
      </c>
      <c r="AD860" s="437" t="s">
        <v>7255</v>
      </c>
      <c r="AE860" s="167"/>
      <c r="AF860" s="167"/>
      <c r="AG860" s="167"/>
      <c r="AH860" s="167"/>
      <c r="AI860" s="167"/>
      <c r="AJ860" s="167"/>
      <c r="AK860" s="167" t="s">
        <v>8917</v>
      </c>
      <c r="AL860" s="157" t="n">
        <f aca="false">IF(AND(ISNUMBER($S860),$S860&gt;0,ISNUMBER($K860),ISNUMBER($J860)),($K860*$J860)/$S860,"")</f>
        <v>58122</v>
      </c>
    </row>
    <row r="861" customFormat="false" ht="12.75" hidden="false" customHeight="true" outlineLevel="0" collapsed="false">
      <c r="A861" s="441" t="n">
        <v>8</v>
      </c>
      <c r="B861" s="157" t="n">
        <v>853</v>
      </c>
      <c r="C861" s="437" t="s">
        <v>8246</v>
      </c>
      <c r="D861" s="157" t="s">
        <v>8918</v>
      </c>
      <c r="E861" s="461" t="s">
        <v>2461</v>
      </c>
      <c r="F861" s="157" t="s">
        <v>8919</v>
      </c>
      <c r="G861" s="445" t="n">
        <v>44.2</v>
      </c>
      <c r="H861" s="431" t="n">
        <v>9505</v>
      </c>
      <c r="I861" s="457" t="n">
        <v>0</v>
      </c>
      <c r="J861" s="458" t="n">
        <v>17945</v>
      </c>
      <c r="K861" s="462" t="n">
        <v>4.46330454165506</v>
      </c>
      <c r="L861" s="463" t="n">
        <v>0</v>
      </c>
      <c r="M861" s="463" t="n">
        <v>0.01498239568507</v>
      </c>
      <c r="N861" s="431" t="n">
        <v>1952</v>
      </c>
      <c r="O861" s="446" t="n">
        <v>3083</v>
      </c>
      <c r="Q861" s="157" t="n">
        <v>14</v>
      </c>
      <c r="R861" s="157" t="n">
        <v>1</v>
      </c>
      <c r="S861" s="157" t="n">
        <v>1</v>
      </c>
      <c r="T861" s="457" t="s">
        <v>7526</v>
      </c>
      <c r="U861" s="457" t="n">
        <v>398</v>
      </c>
      <c r="V861" s="458" t="n">
        <v>34960</v>
      </c>
      <c r="W861" s="458" t="n">
        <v>35000</v>
      </c>
      <c r="X861" s="464" t="s">
        <v>6675</v>
      </c>
      <c r="Y861" s="458" t="n">
        <f aca="false">ROUND(J861,-3)</f>
        <v>18000</v>
      </c>
      <c r="Z861" s="457" t="s">
        <v>6638</v>
      </c>
      <c r="AA861" s="157" t="n">
        <v>3</v>
      </c>
      <c r="AB861" s="157" t="n">
        <v>3</v>
      </c>
      <c r="AC861" s="431" t="s">
        <v>586</v>
      </c>
      <c r="AD861" s="437" t="s">
        <v>8920</v>
      </c>
      <c r="AE861" s="167"/>
      <c r="AF861" s="167"/>
      <c r="AG861" s="167"/>
      <c r="AH861" s="167"/>
      <c r="AI861" s="167"/>
      <c r="AJ861" s="167"/>
      <c r="AK861" s="167" t="s">
        <v>8921</v>
      </c>
      <c r="AL861" s="157" t="n">
        <f aca="false">IF(AND(ISNUMBER($S861),$S861&gt;0,ISNUMBER($K861),ISNUMBER($J861)),($K861*$J861)/$S861,"")</f>
        <v>80094.0000000001</v>
      </c>
    </row>
    <row r="862" customFormat="false" ht="12.75" hidden="false" customHeight="true" outlineLevel="0" collapsed="false">
      <c r="A862" s="441" t="n">
        <v>8</v>
      </c>
      <c r="B862" s="157" t="n">
        <v>854</v>
      </c>
      <c r="C862" s="437" t="s">
        <v>8246</v>
      </c>
      <c r="D862" s="157" t="s">
        <v>7256</v>
      </c>
      <c r="E862" s="461" t="s">
        <v>2461</v>
      </c>
      <c r="F862" s="157" t="s">
        <v>7257</v>
      </c>
      <c r="G862" s="445" t="n">
        <v>44.2</v>
      </c>
      <c r="H862" s="431" t="n">
        <v>9505</v>
      </c>
      <c r="I862" s="457" t="n">
        <v>0</v>
      </c>
      <c r="J862" s="458" t="n">
        <v>11626</v>
      </c>
      <c r="K862" s="462" t="n">
        <v>3.57130569413384</v>
      </c>
      <c r="L862" s="463" t="n">
        <v>0</v>
      </c>
      <c r="M862" s="463" t="n">
        <v>0.0947013487475915</v>
      </c>
      <c r="N862" s="431" t="n">
        <v>1957</v>
      </c>
      <c r="O862" s="446" t="n">
        <v>3018</v>
      </c>
      <c r="Q862" s="157" t="n">
        <v>14</v>
      </c>
      <c r="R862" s="157" t="n">
        <v>1</v>
      </c>
      <c r="S862" s="157" t="n">
        <v>1</v>
      </c>
      <c r="T862" s="457" t="s">
        <v>7526</v>
      </c>
      <c r="U862" s="457" t="n">
        <v>398</v>
      </c>
      <c r="V862" s="458" t="n">
        <v>17625</v>
      </c>
      <c r="W862" s="458" t="n">
        <v>18000</v>
      </c>
      <c r="X862" s="464" t="s">
        <v>6837</v>
      </c>
      <c r="Y862" s="458" t="n">
        <f aca="false">ROUND(J862,-3)</f>
        <v>12000</v>
      </c>
      <c r="Z862" s="457" t="s">
        <v>6638</v>
      </c>
      <c r="AA862" s="157" t="n">
        <v>3</v>
      </c>
      <c r="AB862" s="157" t="n">
        <v>3</v>
      </c>
      <c r="AC862" s="431" t="s">
        <v>586</v>
      </c>
      <c r="AD862" s="437" t="s">
        <v>7258</v>
      </c>
      <c r="AE862" s="167"/>
      <c r="AF862" s="167"/>
      <c r="AG862" s="167"/>
      <c r="AH862" s="167"/>
      <c r="AI862" s="167"/>
      <c r="AJ862" s="167"/>
      <c r="AK862" s="167" t="s">
        <v>8922</v>
      </c>
      <c r="AL862" s="157" t="n">
        <f aca="false">IF(AND(ISNUMBER($S862),$S862&gt;0,ISNUMBER($K862),ISNUMBER($J862)),($K862*$J862)/$S862,"")</f>
        <v>41520</v>
      </c>
    </row>
    <row r="863" customFormat="false" ht="12.75" hidden="false" customHeight="true" outlineLevel="0" collapsed="false">
      <c r="A863" s="441" t="n">
        <v>8</v>
      </c>
      <c r="B863" s="157" t="n">
        <v>855</v>
      </c>
      <c r="C863" s="437" t="s">
        <v>8246</v>
      </c>
      <c r="D863" s="157" t="s">
        <v>8923</v>
      </c>
      <c r="E863" s="461" t="s">
        <v>2461</v>
      </c>
      <c r="F863" s="157" t="s">
        <v>8924</v>
      </c>
      <c r="G863" s="445" t="n">
        <v>44.1</v>
      </c>
      <c r="H863" s="431" t="n">
        <v>9505</v>
      </c>
      <c r="I863" s="457" t="n">
        <v>0</v>
      </c>
      <c r="J863" s="458" t="n">
        <v>22750</v>
      </c>
      <c r="K863" s="462" t="n">
        <v>6.15384615384615</v>
      </c>
      <c r="L863" s="463" t="n">
        <v>0.63010989010989</v>
      </c>
      <c r="M863" s="463" t="n">
        <v>0</v>
      </c>
      <c r="N863" s="431" t="n">
        <v>1956</v>
      </c>
      <c r="O863" s="446" t="n">
        <v>6221</v>
      </c>
      <c r="Q863" s="157" t="n">
        <v>14</v>
      </c>
      <c r="R863" s="157" t="n">
        <v>1</v>
      </c>
      <c r="S863" s="157" t="n">
        <v>1</v>
      </c>
      <c r="T863" s="457" t="s">
        <v>7526</v>
      </c>
      <c r="U863" s="457" t="n">
        <v>398</v>
      </c>
      <c r="V863" s="458" t="n">
        <v>50000</v>
      </c>
      <c r="W863" s="458" t="n">
        <v>50000</v>
      </c>
      <c r="X863" s="464" t="s">
        <v>6700</v>
      </c>
      <c r="Y863" s="458" t="n">
        <f aca="false">ROUND(J863,-3)</f>
        <v>23000</v>
      </c>
      <c r="Z863" s="457" t="s">
        <v>6638</v>
      </c>
      <c r="AA863" s="157" t="n">
        <v>3</v>
      </c>
      <c r="AB863" s="157" t="n">
        <v>3</v>
      </c>
      <c r="AC863" s="431" t="s">
        <v>586</v>
      </c>
      <c r="AD863" s="437"/>
      <c r="AE863" s="167"/>
      <c r="AF863" s="167"/>
      <c r="AG863" s="167"/>
      <c r="AH863" s="167"/>
      <c r="AI863" s="167"/>
      <c r="AJ863" s="167"/>
      <c r="AK863" s="167"/>
      <c r="AL863" s="157" t="n">
        <f aca="false">IF(AND(ISNUMBER($S863),$S863&gt;0,ISNUMBER($K863),ISNUMBER($J863)),($K863*$J863)/$S863,"")</f>
        <v>140000</v>
      </c>
    </row>
    <row r="864" customFormat="false" ht="12.75" hidden="false" customHeight="true" outlineLevel="0" collapsed="false">
      <c r="A864" s="441" t="n">
        <v>8</v>
      </c>
      <c r="B864" s="157" t="n">
        <v>856</v>
      </c>
      <c r="C864" s="437" t="s">
        <v>8246</v>
      </c>
      <c r="D864" s="157" t="s">
        <v>7260</v>
      </c>
      <c r="E864" s="461" t="s">
        <v>2461</v>
      </c>
      <c r="F864" s="157" t="s">
        <v>7261</v>
      </c>
      <c r="G864" s="445" t="n">
        <v>44.1</v>
      </c>
      <c r="H864" s="431" t="n">
        <v>9505</v>
      </c>
      <c r="I864" s="457" t="n">
        <v>0</v>
      </c>
      <c r="J864" s="458" t="n">
        <v>9361</v>
      </c>
      <c r="K864" s="462" t="n">
        <v>6.70302318128405</v>
      </c>
      <c r="L864" s="463" t="n">
        <v>0</v>
      </c>
      <c r="M864" s="463" t="n">
        <v>0.00111559118364225</v>
      </c>
      <c r="N864" s="431" t="n">
        <v>1965</v>
      </c>
      <c r="O864" s="446" t="n">
        <v>1260</v>
      </c>
      <c r="Q864" s="157" t="n">
        <v>14</v>
      </c>
      <c r="R864" s="157" t="n">
        <v>1</v>
      </c>
      <c r="S864" s="157" t="n">
        <v>1</v>
      </c>
      <c r="T864" s="457" t="s">
        <v>7526</v>
      </c>
      <c r="U864" s="457" t="n">
        <v>398</v>
      </c>
      <c r="V864" s="458" t="n">
        <v>17908</v>
      </c>
      <c r="W864" s="458" t="n">
        <v>18000</v>
      </c>
      <c r="X864" s="464" t="s">
        <v>6675</v>
      </c>
      <c r="Y864" s="458" t="n">
        <f aca="false">ROUND(J864,-3)</f>
        <v>9000</v>
      </c>
      <c r="Z864" s="457" t="s">
        <v>6638</v>
      </c>
      <c r="AA864" s="157" t="n">
        <v>3</v>
      </c>
      <c r="AB864" s="157" t="n">
        <v>3</v>
      </c>
      <c r="AC864" s="431" t="s">
        <v>586</v>
      </c>
      <c r="AD864" s="437"/>
      <c r="AE864" s="167"/>
      <c r="AF864" s="167"/>
      <c r="AG864" s="167"/>
      <c r="AH864" s="167"/>
      <c r="AI864" s="167"/>
      <c r="AJ864" s="167"/>
      <c r="AK864" s="167"/>
      <c r="AL864" s="157" t="n">
        <f aca="false">IF(AND(ISNUMBER($S864),$S864&gt;0,ISNUMBER($K864),ISNUMBER($J864)),($K864*$J864)/$S864,"")</f>
        <v>62747</v>
      </c>
    </row>
    <row r="865" customFormat="false" ht="12.75" hidden="false" customHeight="true" outlineLevel="0" collapsed="false">
      <c r="A865" s="441" t="n">
        <v>8</v>
      </c>
      <c r="B865" s="157" t="n">
        <v>857</v>
      </c>
      <c r="C865" s="437" t="s">
        <v>8246</v>
      </c>
      <c r="D865" s="157" t="s">
        <v>8925</v>
      </c>
      <c r="E865" s="461" t="s">
        <v>2461</v>
      </c>
      <c r="F865" s="157" t="s">
        <v>8926</v>
      </c>
      <c r="G865" s="445" t="n">
        <v>44.1</v>
      </c>
      <c r="H865" s="431" t="n">
        <v>9505</v>
      </c>
      <c r="I865" s="457" t="n">
        <v>0</v>
      </c>
      <c r="J865" s="458" t="n">
        <v>10702</v>
      </c>
      <c r="K865" s="462" t="n">
        <v>5.60642870491497</v>
      </c>
      <c r="L865" s="463" t="n">
        <v>0</v>
      </c>
      <c r="M865" s="463" t="n">
        <v>0</v>
      </c>
      <c r="N865" s="431" t="n">
        <v>1933</v>
      </c>
      <c r="O865" s="446" t="n">
        <f aca="false">1200+384+4384</f>
        <v>5968</v>
      </c>
      <c r="Q865" s="157" t="n">
        <v>12</v>
      </c>
      <c r="R865" s="157" t="n">
        <v>1</v>
      </c>
      <c r="S865" s="157" t="n">
        <v>1</v>
      </c>
      <c r="T865" s="457" t="s">
        <v>7526</v>
      </c>
      <c r="U865" s="457" t="n">
        <v>398</v>
      </c>
      <c r="V865" s="458" t="n">
        <v>28801</v>
      </c>
      <c r="W865" s="458" t="n">
        <v>29000</v>
      </c>
      <c r="X865" s="464" t="s">
        <v>6757</v>
      </c>
      <c r="Y865" s="458" t="n">
        <f aca="false">ROUND(J865,-3)</f>
        <v>11000</v>
      </c>
      <c r="Z865" s="457" t="s">
        <v>6638</v>
      </c>
      <c r="AA865" s="157" t="n">
        <v>3</v>
      </c>
      <c r="AB865" s="157" t="n">
        <v>3</v>
      </c>
      <c r="AC865" s="431" t="s">
        <v>586</v>
      </c>
      <c r="AD865" s="437" t="s">
        <v>8927</v>
      </c>
      <c r="AE865" s="167"/>
      <c r="AF865" s="167"/>
      <c r="AG865" s="167"/>
      <c r="AH865" s="167"/>
      <c r="AI865" s="167"/>
      <c r="AJ865" s="167"/>
      <c r="AK865" s="167" t="s">
        <v>8928</v>
      </c>
      <c r="AL865" s="157" t="n">
        <f aca="false">IF(AND(ISNUMBER($S865),$S865&gt;0,ISNUMBER($K865),ISNUMBER($J865)),($K865*$J865)/$S865,"")</f>
        <v>60000</v>
      </c>
    </row>
    <row r="866" customFormat="false" ht="12.75" hidden="false" customHeight="true" outlineLevel="0" collapsed="false">
      <c r="A866" s="441" t="n">
        <v>8</v>
      </c>
      <c r="B866" s="157" t="n">
        <v>858</v>
      </c>
      <c r="C866" s="437" t="s">
        <v>8246</v>
      </c>
      <c r="D866" s="157" t="s">
        <v>8929</v>
      </c>
      <c r="E866" s="461" t="s">
        <v>2461</v>
      </c>
      <c r="F866" s="157" t="s">
        <v>8930</v>
      </c>
      <c r="G866" s="445" t="n">
        <v>47.1</v>
      </c>
      <c r="H866" s="431" t="n">
        <v>9505</v>
      </c>
      <c r="I866" s="457" t="n">
        <v>0</v>
      </c>
      <c r="J866" s="458" t="n">
        <v>12791</v>
      </c>
      <c r="K866" s="462" t="n">
        <v>7.11687905558596</v>
      </c>
      <c r="L866" s="463" t="n">
        <v>0</v>
      </c>
      <c r="M866" s="463" t="n">
        <v>0.0998220406011073</v>
      </c>
      <c r="N866" s="431" t="n">
        <v>1959</v>
      </c>
      <c r="O866" s="446" t="n">
        <f aca="false">1431+150</f>
        <v>1581</v>
      </c>
      <c r="Q866" s="157" t="n">
        <v>24</v>
      </c>
      <c r="R866" s="157" t="n">
        <v>3</v>
      </c>
      <c r="S866" s="157" t="n">
        <v>1</v>
      </c>
      <c r="T866" s="457" t="s">
        <v>7526</v>
      </c>
      <c r="U866" s="457" t="n">
        <v>401</v>
      </c>
      <c r="V866" s="458" t="n">
        <v>51701</v>
      </c>
      <c r="W866" s="458" t="n">
        <v>50000</v>
      </c>
      <c r="X866" s="464" t="s">
        <v>7588</v>
      </c>
      <c r="Y866" s="458" t="n">
        <f aca="false">ROUND(J866,-3)</f>
        <v>13000</v>
      </c>
      <c r="Z866" s="457" t="s">
        <v>6638</v>
      </c>
      <c r="AA866" s="157" t="n">
        <v>3</v>
      </c>
      <c r="AB866" s="157" t="n">
        <v>3</v>
      </c>
      <c r="AC866" s="431" t="s">
        <v>586</v>
      </c>
      <c r="AD866" s="437"/>
      <c r="AE866" s="167"/>
      <c r="AF866" s="167"/>
      <c r="AG866" s="167"/>
      <c r="AH866" s="167"/>
      <c r="AI866" s="167"/>
      <c r="AJ866" s="167"/>
      <c r="AK866" s="167" t="s">
        <v>8931</v>
      </c>
      <c r="AL866" s="157" t="n">
        <f aca="false">IF(AND(ISNUMBER($S866),$S866&gt;0,ISNUMBER($K866),ISNUMBER($J866)),($K866*$J866)/$S866,"")</f>
        <v>91032</v>
      </c>
    </row>
    <row r="867" customFormat="false" ht="12.75" hidden="false" customHeight="true" outlineLevel="0" collapsed="false">
      <c r="A867" s="441" t="n">
        <v>8</v>
      </c>
      <c r="B867" s="157" t="n">
        <v>859</v>
      </c>
      <c r="C867" s="437" t="s">
        <v>8246</v>
      </c>
      <c r="D867" s="157" t="s">
        <v>7984</v>
      </c>
      <c r="E867" s="461" t="s">
        <v>2461</v>
      </c>
      <c r="F867" s="157" t="s">
        <v>8932</v>
      </c>
      <c r="G867" s="445" t="n">
        <v>44.1</v>
      </c>
      <c r="H867" s="431" t="n">
        <v>9505</v>
      </c>
      <c r="I867" s="457" t="n">
        <v>0</v>
      </c>
      <c r="J867" s="458" t="n">
        <v>18270</v>
      </c>
      <c r="K867" s="462" t="n">
        <v>5.28938149972633</v>
      </c>
      <c r="L867" s="463" t="n">
        <v>0</v>
      </c>
      <c r="M867" s="463" t="n">
        <v>0.00413920134110123</v>
      </c>
      <c r="N867" s="431" t="n">
        <v>1982</v>
      </c>
      <c r="O867" s="446" t="n">
        <v>1128</v>
      </c>
      <c r="P867" s="446" t="n">
        <v>1293</v>
      </c>
      <c r="Q867" s="157" t="n">
        <v>17</v>
      </c>
      <c r="R867" s="157" t="n">
        <v>7</v>
      </c>
      <c r="S867" s="157" t="n">
        <v>1</v>
      </c>
      <c r="T867" s="457" t="s">
        <v>7526</v>
      </c>
      <c r="U867" s="457" t="n">
        <v>398</v>
      </c>
      <c r="V867" s="458" t="n">
        <v>29950</v>
      </c>
      <c r="W867" s="458" t="n">
        <v>30000</v>
      </c>
      <c r="X867" s="464" t="s">
        <v>6668</v>
      </c>
      <c r="Y867" s="458" t="n">
        <f aca="false">ROUND(J867,-3)</f>
        <v>18000</v>
      </c>
      <c r="Z867" s="457" t="s">
        <v>6638</v>
      </c>
      <c r="AA867" s="157" t="n">
        <v>3</v>
      </c>
      <c r="AB867" s="157" t="n">
        <v>3</v>
      </c>
      <c r="AC867" s="431" t="s">
        <v>586</v>
      </c>
      <c r="AD867" s="437"/>
      <c r="AE867" s="167"/>
      <c r="AF867" s="167"/>
      <c r="AG867" s="167"/>
      <c r="AH867" s="167"/>
      <c r="AI867" s="167"/>
      <c r="AJ867" s="167"/>
      <c r="AK867" s="167"/>
      <c r="AL867" s="157" t="n">
        <f aca="false">IF(AND(ISNUMBER($S867),$S867&gt;0,ISNUMBER($K867),ISNUMBER($J867)),($K867*$J867)/$S867,"")</f>
        <v>96637.0000000001</v>
      </c>
    </row>
    <row r="868" customFormat="false" ht="12.75" hidden="false" customHeight="true" outlineLevel="0" collapsed="false">
      <c r="A868" s="441" t="n">
        <v>8</v>
      </c>
      <c r="B868" s="157" t="n">
        <v>860</v>
      </c>
      <c r="C868" s="437" t="s">
        <v>8246</v>
      </c>
      <c r="D868" s="157" t="s">
        <v>8933</v>
      </c>
      <c r="E868" s="461" t="s">
        <v>2461</v>
      </c>
      <c r="F868" s="157" t="s">
        <v>8934</v>
      </c>
      <c r="G868" s="445" t="n">
        <v>47.1</v>
      </c>
      <c r="H868" s="431" t="n">
        <v>9505</v>
      </c>
      <c r="I868" s="457" t="n">
        <v>0</v>
      </c>
      <c r="J868" s="458" t="n">
        <v>9000</v>
      </c>
      <c r="K868" s="462" t="n">
        <v>4</v>
      </c>
      <c r="L868" s="463" t="n">
        <v>0.114656613160247</v>
      </c>
      <c r="M868" s="463" t="n">
        <v>0.236111111111111</v>
      </c>
      <c r="N868" s="431" t="n">
        <v>1969</v>
      </c>
      <c r="O868" s="446" t="n">
        <v>668</v>
      </c>
      <c r="P868" s="446" t="n">
        <f aca="false">2942*2</f>
        <v>5884</v>
      </c>
      <c r="Q868" s="157" t="n">
        <v>12</v>
      </c>
      <c r="R868" s="157" t="n">
        <v>14</v>
      </c>
      <c r="S868" s="157" t="n">
        <v>1</v>
      </c>
      <c r="T868" s="457" t="s">
        <v>7526</v>
      </c>
      <c r="U868" s="457" t="n">
        <v>401</v>
      </c>
      <c r="V868" s="458" t="n">
        <v>50950</v>
      </c>
      <c r="W868" s="458" t="n">
        <v>50000</v>
      </c>
      <c r="X868" s="464" t="s">
        <v>7546</v>
      </c>
      <c r="Y868" s="458" t="n">
        <f aca="false">ROUND(J868,-3)</f>
        <v>9000</v>
      </c>
      <c r="Z868" s="457" t="s">
        <v>6638</v>
      </c>
      <c r="AA868" s="157" t="n">
        <v>3</v>
      </c>
      <c r="AB868" s="157" t="n">
        <v>3</v>
      </c>
      <c r="AC868" s="431" t="s">
        <v>586</v>
      </c>
      <c r="AD868" s="437"/>
      <c r="AE868" s="167"/>
      <c r="AF868" s="167"/>
      <c r="AG868" s="167"/>
      <c r="AH868" s="167"/>
      <c r="AI868" s="167"/>
      <c r="AJ868" s="167"/>
      <c r="AK868" s="167" t="s">
        <v>8935</v>
      </c>
      <c r="AL868" s="157" t="n">
        <f aca="false">IF(AND(ISNUMBER($S868),$S868&gt;0,ISNUMBER($K868),ISNUMBER($J868)),($K868*$J868)/$S868,"")</f>
        <v>36000</v>
      </c>
    </row>
    <row r="869" customFormat="false" ht="12.75" hidden="false" customHeight="true" outlineLevel="0" collapsed="false">
      <c r="A869" s="441" t="n">
        <v>8</v>
      </c>
      <c r="B869" s="157" t="n">
        <v>861</v>
      </c>
      <c r="C869" s="437" t="s">
        <v>8246</v>
      </c>
      <c r="D869" s="157" t="s">
        <v>7266</v>
      </c>
      <c r="E869" s="461" t="s">
        <v>2461</v>
      </c>
      <c r="F869" s="157" t="s">
        <v>7267</v>
      </c>
      <c r="G869" s="445" t="n">
        <v>44.1</v>
      </c>
      <c r="H869" s="431" t="n">
        <v>9505</v>
      </c>
      <c r="I869" s="457" t="n">
        <v>0</v>
      </c>
      <c r="J869" s="458" t="n">
        <v>2800</v>
      </c>
      <c r="K869" s="462" t="n">
        <v>8.20714285714286</v>
      </c>
      <c r="L869" s="463" t="n">
        <v>0</v>
      </c>
      <c r="M869" s="463" t="n">
        <v>0</v>
      </c>
      <c r="N869" s="431" t="n">
        <v>1964</v>
      </c>
      <c r="O869" s="446" t="n">
        <v>198</v>
      </c>
      <c r="Q869" s="157" t="n">
        <v>14</v>
      </c>
      <c r="R869" s="157" t="n">
        <v>3</v>
      </c>
      <c r="S869" s="157" t="n">
        <v>1</v>
      </c>
      <c r="T869" s="457" t="s">
        <v>7526</v>
      </c>
      <c r="U869" s="457" t="n">
        <v>398</v>
      </c>
      <c r="V869" s="458" t="n">
        <v>6000</v>
      </c>
      <c r="W869" s="458" t="n">
        <v>6000</v>
      </c>
      <c r="X869" s="464" t="s">
        <v>6754</v>
      </c>
      <c r="Y869" s="458" t="n">
        <f aca="false">ROUND(J869,-3)</f>
        <v>3000</v>
      </c>
      <c r="Z869" s="457" t="s">
        <v>6638</v>
      </c>
      <c r="AA869" s="157" t="n">
        <v>3</v>
      </c>
      <c r="AB869" s="157" t="n">
        <v>3</v>
      </c>
      <c r="AC869" s="431" t="s">
        <v>586</v>
      </c>
      <c r="AD869" s="437" t="s">
        <v>7268</v>
      </c>
      <c r="AE869" s="167"/>
      <c r="AF869" s="167"/>
      <c r="AG869" s="167"/>
      <c r="AH869" s="167"/>
      <c r="AI869" s="167"/>
      <c r="AJ869" s="167"/>
      <c r="AK869" s="167" t="s">
        <v>8936</v>
      </c>
      <c r="AL869" s="157" t="n">
        <f aca="false">IF(AND(ISNUMBER($S869),$S869&gt;0,ISNUMBER($K869),ISNUMBER($J869)),($K869*$J869)/$S869,"")</f>
        <v>22980</v>
      </c>
    </row>
    <row r="870" customFormat="false" ht="12.75" hidden="false" customHeight="true" outlineLevel="0" collapsed="false">
      <c r="A870" s="441" t="n">
        <v>8</v>
      </c>
      <c r="B870" s="157" t="n">
        <v>862</v>
      </c>
      <c r="C870" s="437" t="s">
        <v>8246</v>
      </c>
      <c r="D870" s="157" t="s">
        <v>7271</v>
      </c>
      <c r="E870" s="461" t="s">
        <v>2461</v>
      </c>
      <c r="F870" s="157" t="s">
        <v>7272</v>
      </c>
      <c r="G870" s="445" t="n">
        <v>44.2</v>
      </c>
      <c r="H870" s="431" t="n">
        <v>9505</v>
      </c>
      <c r="I870" s="457" t="n">
        <v>0</v>
      </c>
      <c r="J870" s="458" t="n">
        <v>11867</v>
      </c>
      <c r="K870" s="462" t="n">
        <v>6.28119996629308</v>
      </c>
      <c r="L870" s="463" t="n">
        <v>0.405409960394371</v>
      </c>
      <c r="M870" s="463" t="n">
        <v>0.138222943693905</v>
      </c>
      <c r="N870" s="431" t="n">
        <v>1970</v>
      </c>
      <c r="O870" s="446" t="n">
        <v>5575</v>
      </c>
      <c r="Q870" s="157" t="n">
        <v>18</v>
      </c>
      <c r="R870" s="157" t="n">
        <v>1</v>
      </c>
      <c r="S870" s="157" t="n">
        <v>1</v>
      </c>
      <c r="T870" s="457" t="s">
        <v>7526</v>
      </c>
      <c r="U870" s="457" t="n">
        <v>398</v>
      </c>
      <c r="V870" s="458" t="n">
        <v>18000</v>
      </c>
      <c r="W870" s="458" t="n">
        <v>18000</v>
      </c>
      <c r="X870" s="464" t="s">
        <v>6837</v>
      </c>
      <c r="Y870" s="458" t="n">
        <f aca="false">ROUND(J870,-3)</f>
        <v>12000</v>
      </c>
      <c r="Z870" s="457" t="s">
        <v>6638</v>
      </c>
      <c r="AA870" s="157" t="n">
        <v>3</v>
      </c>
      <c r="AB870" s="157" t="n">
        <v>3</v>
      </c>
      <c r="AC870" s="431" t="s">
        <v>586</v>
      </c>
      <c r="AD870" s="437" t="s">
        <v>6651</v>
      </c>
      <c r="AE870" s="167"/>
      <c r="AF870" s="167"/>
      <c r="AG870" s="167"/>
      <c r="AH870" s="167"/>
      <c r="AI870" s="167"/>
      <c r="AJ870" s="167"/>
      <c r="AK870" s="167" t="s">
        <v>8917</v>
      </c>
      <c r="AL870" s="157" t="n">
        <f aca="false">IF(AND(ISNUMBER($S870),$S870&gt;0,ISNUMBER($K870),ISNUMBER($J870)),($K870*$J870)/$S870,"")</f>
        <v>74539</v>
      </c>
    </row>
    <row r="871" customFormat="false" ht="12.75" hidden="false" customHeight="true" outlineLevel="0" collapsed="false">
      <c r="A871" s="441" t="n">
        <v>8</v>
      </c>
      <c r="B871" s="157" t="n">
        <v>863</v>
      </c>
      <c r="C871" s="437" t="s">
        <v>8246</v>
      </c>
      <c r="D871" s="157" t="s">
        <v>7273</v>
      </c>
      <c r="E871" s="461" t="s">
        <v>2461</v>
      </c>
      <c r="F871" s="157" t="s">
        <v>7274</v>
      </c>
      <c r="G871" s="445" t="n">
        <v>44.1</v>
      </c>
      <c r="H871" s="431" t="n">
        <v>9508</v>
      </c>
      <c r="I871" s="457" t="n">
        <v>0</v>
      </c>
      <c r="J871" s="458" t="n">
        <v>4681</v>
      </c>
      <c r="K871" s="462" t="n">
        <v>9.67741935483871</v>
      </c>
      <c r="L871" s="463" t="n">
        <v>0</v>
      </c>
      <c r="M871" s="463" t="n">
        <v>0.0418763796909492</v>
      </c>
      <c r="N871" s="431" t="n">
        <v>1937</v>
      </c>
      <c r="O871" s="446" t="n">
        <f aca="false">1100+1922</f>
        <v>3022</v>
      </c>
      <c r="Q871" s="157" t="n">
        <v>18</v>
      </c>
      <c r="R871" s="157" t="n">
        <v>3</v>
      </c>
      <c r="S871" s="157" t="n">
        <v>1</v>
      </c>
      <c r="T871" s="457" t="s">
        <v>7526</v>
      </c>
      <c r="U871" s="457" t="n">
        <v>398</v>
      </c>
      <c r="V871" s="458" t="n">
        <v>14136</v>
      </c>
      <c r="W871" s="458" t="n">
        <v>14000</v>
      </c>
      <c r="X871" s="464" t="s">
        <v>7563</v>
      </c>
      <c r="Y871" s="458" t="n">
        <f aca="false">ROUND(J871,-3)</f>
        <v>5000</v>
      </c>
      <c r="Z871" s="457" t="s">
        <v>6638</v>
      </c>
      <c r="AA871" s="157" t="n">
        <v>3</v>
      </c>
      <c r="AB871" s="157" t="n">
        <v>3</v>
      </c>
      <c r="AC871" s="431" t="s">
        <v>586</v>
      </c>
      <c r="AD871" s="437" t="s">
        <v>7275</v>
      </c>
      <c r="AE871" s="167"/>
      <c r="AF871" s="167"/>
      <c r="AG871" s="167"/>
      <c r="AH871" s="167"/>
      <c r="AI871" s="167"/>
      <c r="AJ871" s="167"/>
      <c r="AK871" s="167" t="s">
        <v>8937</v>
      </c>
      <c r="AL871" s="157" t="n">
        <f aca="false">IF(AND(ISNUMBER($S871),$S871&gt;0,ISNUMBER($K871),ISNUMBER($J871)),($K871*$J871)/$S871,"")</f>
        <v>45300</v>
      </c>
    </row>
    <row r="872" customFormat="false" ht="12.75" hidden="false" customHeight="true" outlineLevel="0" collapsed="false">
      <c r="A872" s="441" t="n">
        <v>8</v>
      </c>
      <c r="B872" s="157" t="n">
        <v>864</v>
      </c>
      <c r="C872" s="437" t="s">
        <v>8246</v>
      </c>
      <c r="D872" s="157" t="s">
        <v>8938</v>
      </c>
      <c r="E872" s="461" t="s">
        <v>2461</v>
      </c>
      <c r="F872" s="157" t="s">
        <v>8939</v>
      </c>
      <c r="G872" s="445" t="n">
        <v>47.1</v>
      </c>
      <c r="H872" s="431" t="n">
        <v>9508</v>
      </c>
      <c r="I872" s="457" t="n">
        <v>0</v>
      </c>
      <c r="J872" s="458" t="n">
        <v>7203</v>
      </c>
      <c r="K872" s="462" t="n">
        <v>3.66513952519783</v>
      </c>
      <c r="L872" s="463" t="n">
        <v>0</v>
      </c>
      <c r="M872" s="463" t="n">
        <v>0</v>
      </c>
      <c r="N872" s="431" t="n">
        <v>1965</v>
      </c>
      <c r="O872" s="446" t="n">
        <v>640</v>
      </c>
      <c r="Q872" s="157" t="n">
        <v>13</v>
      </c>
      <c r="R872" s="157" t="n">
        <v>3</v>
      </c>
      <c r="S872" s="157" t="n">
        <v>1</v>
      </c>
      <c r="T872" s="457" t="s">
        <v>7531</v>
      </c>
      <c r="U872" s="457" t="n">
        <v>401</v>
      </c>
      <c r="V872" s="458" t="n">
        <v>14230</v>
      </c>
      <c r="W872" s="458" t="n">
        <v>14000</v>
      </c>
      <c r="X872" s="464" t="s">
        <v>7546</v>
      </c>
      <c r="Y872" s="458" t="n">
        <f aca="false">ROUND(J872,-3)</f>
        <v>7000</v>
      </c>
      <c r="Z872" s="457" t="s">
        <v>6638</v>
      </c>
      <c r="AA872" s="157" t="n">
        <v>3</v>
      </c>
      <c r="AB872" s="157" t="n">
        <v>3</v>
      </c>
      <c r="AC872" s="431" t="s">
        <v>586</v>
      </c>
      <c r="AD872" s="437"/>
      <c r="AE872" s="167"/>
      <c r="AF872" s="167"/>
      <c r="AG872" s="167"/>
      <c r="AH872" s="167"/>
      <c r="AI872" s="167"/>
      <c r="AJ872" s="167"/>
      <c r="AK872" s="167" t="s">
        <v>8940</v>
      </c>
      <c r="AL872" s="157" t="n">
        <f aca="false">IF(AND(ISNUMBER($S872),$S872&gt;0,ISNUMBER($K872),ISNUMBER($J872)),($K872*$J872)/$S872,"")</f>
        <v>26400</v>
      </c>
    </row>
    <row r="873" customFormat="false" ht="12.75" hidden="false" customHeight="true" outlineLevel="0" collapsed="false">
      <c r="A873" s="441" t="n">
        <v>8</v>
      </c>
      <c r="B873" s="157" t="n">
        <v>865</v>
      </c>
      <c r="C873" s="437" t="s">
        <v>8246</v>
      </c>
      <c r="D873" s="157" t="s">
        <v>8941</v>
      </c>
      <c r="E873" s="461" t="s">
        <v>2461</v>
      </c>
      <c r="F873" s="157" t="s">
        <v>8942</v>
      </c>
      <c r="G873" s="445" t="n">
        <v>45.7</v>
      </c>
      <c r="H873" s="431" t="n">
        <v>9508</v>
      </c>
      <c r="I873" s="457" t="n">
        <v>0</v>
      </c>
      <c r="J873" s="458" t="n">
        <v>15659</v>
      </c>
      <c r="K873" s="462" t="n">
        <v>3.92496327990293</v>
      </c>
      <c r="L873" s="463" t="n">
        <v>0</v>
      </c>
      <c r="M873" s="463" t="n">
        <v>0.0246497779079416</v>
      </c>
      <c r="N873" s="431" t="n">
        <v>1977</v>
      </c>
      <c r="O873" s="446" t="n">
        <v>2787</v>
      </c>
      <c r="Q873" s="157" t="n">
        <v>14</v>
      </c>
      <c r="R873" s="157" t="n">
        <v>3</v>
      </c>
      <c r="S873" s="157" t="n">
        <v>1</v>
      </c>
      <c r="T873" s="457" t="s">
        <v>7526</v>
      </c>
      <c r="U873" s="457" t="n">
        <v>391</v>
      </c>
      <c r="V873" s="458" t="n">
        <v>35054</v>
      </c>
      <c r="W873" s="458" t="n">
        <v>35000</v>
      </c>
      <c r="X873" s="464" t="s">
        <v>6700</v>
      </c>
      <c r="Y873" s="458" t="n">
        <f aca="false">ROUND(J873,-3)</f>
        <v>16000</v>
      </c>
      <c r="Z873" s="457" t="s">
        <v>6638</v>
      </c>
      <c r="AA873" s="157" t="n">
        <v>5</v>
      </c>
      <c r="AB873" s="157" t="n">
        <v>3</v>
      </c>
      <c r="AC873" s="431" t="s">
        <v>8943</v>
      </c>
      <c r="AD873" s="437" t="s">
        <v>8944</v>
      </c>
      <c r="AE873" s="167"/>
      <c r="AF873" s="167"/>
      <c r="AG873" s="167"/>
      <c r="AH873" s="167"/>
      <c r="AI873" s="167"/>
      <c r="AJ873" s="167"/>
      <c r="AK873" s="167"/>
      <c r="AL873" s="157" t="n">
        <f aca="false">IF(AND(ISNUMBER($S873),$S873&gt;0,ISNUMBER($K873),ISNUMBER($J873)),($K873*$J873)/$S873,"")</f>
        <v>61461</v>
      </c>
    </row>
    <row r="874" customFormat="false" ht="12.75" hidden="false" customHeight="true" outlineLevel="0" collapsed="false">
      <c r="A874" s="441" t="n">
        <v>8</v>
      </c>
      <c r="B874" s="157" t="n">
        <v>866</v>
      </c>
      <c r="C874" s="437" t="s">
        <v>8246</v>
      </c>
      <c r="D874" s="157" t="s">
        <v>8945</v>
      </c>
      <c r="E874" s="461" t="s">
        <v>2461</v>
      </c>
      <c r="F874" s="157" t="s">
        <v>8946</v>
      </c>
      <c r="G874" s="445" t="n">
        <v>44.1</v>
      </c>
      <c r="H874" s="431" t="n">
        <v>9508</v>
      </c>
      <c r="I874" s="457" t="n">
        <v>0</v>
      </c>
      <c r="J874" s="458" t="n">
        <v>5500</v>
      </c>
      <c r="K874" s="462" t="n">
        <v>8.62454545454546</v>
      </c>
      <c r="L874" s="463" t="n">
        <v>0</v>
      </c>
      <c r="M874" s="463" t="n">
        <v>0.0207230947612522</v>
      </c>
      <c r="N874" s="431" t="n">
        <v>1964</v>
      </c>
      <c r="O874" s="446" t="n">
        <v>1150</v>
      </c>
      <c r="Q874" s="157" t="n">
        <v>13</v>
      </c>
      <c r="R874" s="157" t="n">
        <v>1</v>
      </c>
      <c r="S874" s="157" t="n">
        <v>1</v>
      </c>
      <c r="T874" s="457" t="s">
        <v>7526</v>
      </c>
      <c r="U874" s="457" t="n">
        <v>398</v>
      </c>
      <c r="V874" s="458" t="n">
        <v>17250</v>
      </c>
      <c r="W874" s="458" t="n">
        <v>17000</v>
      </c>
      <c r="X874" s="464" t="s">
        <v>6751</v>
      </c>
      <c r="Y874" s="458" t="n">
        <f aca="false">ROUND(J874,-3)</f>
        <v>6000</v>
      </c>
      <c r="Z874" s="457" t="s">
        <v>6638</v>
      </c>
      <c r="AA874" s="157" t="n">
        <v>3</v>
      </c>
      <c r="AB874" s="157" t="n">
        <v>3</v>
      </c>
      <c r="AC874" s="431" t="s">
        <v>586</v>
      </c>
      <c r="AD874" s="437" t="s">
        <v>8947</v>
      </c>
      <c r="AE874" s="167"/>
      <c r="AF874" s="167"/>
      <c r="AG874" s="167"/>
      <c r="AH874" s="167"/>
      <c r="AI874" s="167"/>
      <c r="AJ874" s="167"/>
      <c r="AK874" s="167"/>
      <c r="AL874" s="157" t="n">
        <f aca="false">IF(AND(ISNUMBER($S874),$S874&gt;0,ISNUMBER($K874),ISNUMBER($J874)),($K874*$J874)/$S874,"")</f>
        <v>47435</v>
      </c>
    </row>
    <row r="875" customFormat="false" ht="12.75" hidden="false" customHeight="true" outlineLevel="0" collapsed="false">
      <c r="A875" s="441" t="n">
        <v>8</v>
      </c>
      <c r="B875" s="157" t="n">
        <v>867</v>
      </c>
      <c r="C875" s="437" t="s">
        <v>8246</v>
      </c>
      <c r="D875" s="157" t="s">
        <v>7277</v>
      </c>
      <c r="E875" s="461" t="s">
        <v>2461</v>
      </c>
      <c r="F875" s="157" t="s">
        <v>7278</v>
      </c>
      <c r="G875" s="445" t="n">
        <v>44.1</v>
      </c>
      <c r="H875" s="431" t="n">
        <v>9508</v>
      </c>
      <c r="I875" s="457" t="n">
        <v>0</v>
      </c>
      <c r="J875" s="458" t="n">
        <v>6930</v>
      </c>
      <c r="K875" s="462" t="n">
        <v>5.96969696969697</v>
      </c>
      <c r="L875" s="463" t="n">
        <v>0</v>
      </c>
      <c r="M875" s="463" t="n">
        <v>0.122673434856176</v>
      </c>
      <c r="N875" s="431" t="n">
        <v>1965</v>
      </c>
      <c r="O875" s="446" t="n">
        <v>1260</v>
      </c>
      <c r="Q875" s="157" t="n">
        <v>13</v>
      </c>
      <c r="R875" s="157" t="n">
        <v>1</v>
      </c>
      <c r="S875" s="157" t="n">
        <v>1</v>
      </c>
      <c r="T875" s="457" t="s">
        <v>7526</v>
      </c>
      <c r="U875" s="457" t="n">
        <v>398</v>
      </c>
      <c r="V875" s="458" t="n">
        <v>18900</v>
      </c>
      <c r="W875" s="458" t="n">
        <v>19000</v>
      </c>
      <c r="X875" s="464" t="s">
        <v>6757</v>
      </c>
      <c r="Y875" s="458" t="n">
        <f aca="false">ROUND(J875,-3)</f>
        <v>7000</v>
      </c>
      <c r="Z875" s="457" t="s">
        <v>6638</v>
      </c>
      <c r="AA875" s="157" t="n">
        <v>3</v>
      </c>
      <c r="AB875" s="157" t="n">
        <v>3</v>
      </c>
      <c r="AC875" s="431" t="s">
        <v>586</v>
      </c>
      <c r="AD875" s="437"/>
      <c r="AE875" s="167"/>
      <c r="AF875" s="167"/>
      <c r="AG875" s="167"/>
      <c r="AH875" s="167"/>
      <c r="AI875" s="167"/>
      <c r="AJ875" s="167"/>
      <c r="AK875" s="167" t="s">
        <v>8948</v>
      </c>
      <c r="AL875" s="157" t="n">
        <f aca="false">IF(AND(ISNUMBER($S875),$S875&gt;0,ISNUMBER($K875),ISNUMBER($J875)),($K875*$J875)/$S875,"")</f>
        <v>41370</v>
      </c>
    </row>
    <row r="876" customFormat="false" ht="12.75" hidden="false" customHeight="true" outlineLevel="0" collapsed="false">
      <c r="A876" s="441" t="n">
        <v>8</v>
      </c>
      <c r="B876" s="157" t="n">
        <v>868</v>
      </c>
      <c r="C876" s="437" t="s">
        <v>8246</v>
      </c>
      <c r="D876" s="157" t="s">
        <v>8949</v>
      </c>
      <c r="E876" s="461" t="s">
        <v>2461</v>
      </c>
      <c r="F876" s="157" t="s">
        <v>8950</v>
      </c>
      <c r="G876" s="445" t="n">
        <v>44.1</v>
      </c>
      <c r="H876" s="431" t="n">
        <v>9508</v>
      </c>
      <c r="I876" s="457" t="n">
        <v>0</v>
      </c>
      <c r="J876" s="458" t="n">
        <v>2400</v>
      </c>
      <c r="K876" s="462" t="n">
        <v>9</v>
      </c>
      <c r="L876" s="463" t="n">
        <v>0</v>
      </c>
      <c r="M876" s="463" t="n">
        <v>0.143611111111111</v>
      </c>
      <c r="N876" s="431" t="n">
        <v>1982</v>
      </c>
      <c r="O876" s="446" t="n">
        <v>678</v>
      </c>
      <c r="Q876" s="157" t="n">
        <v>15</v>
      </c>
      <c r="R876" s="157" t="n">
        <v>7</v>
      </c>
      <c r="S876" s="157" t="n">
        <v>1</v>
      </c>
      <c r="T876" s="457" t="s">
        <v>7529</v>
      </c>
      <c r="U876" s="457" t="n">
        <v>398</v>
      </c>
      <c r="V876" s="458" t="n">
        <v>9375</v>
      </c>
      <c r="W876" s="458" t="n">
        <v>9000</v>
      </c>
      <c r="X876" s="464" t="s">
        <v>6637</v>
      </c>
      <c r="Y876" s="458" t="n">
        <f aca="false">ROUND(J876,-3)</f>
        <v>2000</v>
      </c>
      <c r="Z876" s="457" t="s">
        <v>6638</v>
      </c>
      <c r="AA876" s="157" t="n">
        <v>3</v>
      </c>
      <c r="AB876" s="157" t="n">
        <v>3</v>
      </c>
      <c r="AC876" s="431" t="s">
        <v>586</v>
      </c>
      <c r="AD876" s="437" t="s">
        <v>8951</v>
      </c>
      <c r="AE876" s="167"/>
      <c r="AF876" s="167"/>
      <c r="AG876" s="167"/>
      <c r="AH876" s="167"/>
      <c r="AI876" s="167"/>
      <c r="AJ876" s="167"/>
      <c r="AK876" s="167"/>
      <c r="AL876" s="157" t="n">
        <f aca="false">IF(AND(ISNUMBER($S876),$S876&gt;0,ISNUMBER($K876),ISNUMBER($J876)),($K876*$J876)/$S876,"")</f>
        <v>21600</v>
      </c>
    </row>
    <row r="877" customFormat="false" ht="12.75" hidden="false" customHeight="true" outlineLevel="0" collapsed="false">
      <c r="A877" s="441" t="n">
        <v>8</v>
      </c>
      <c r="B877" s="157" t="n">
        <v>869</v>
      </c>
      <c r="C877" s="437" t="s">
        <v>8246</v>
      </c>
      <c r="D877" s="157" t="s">
        <v>8952</v>
      </c>
      <c r="E877" s="461" t="s">
        <v>2461</v>
      </c>
      <c r="F877" s="157" t="s">
        <v>8953</v>
      </c>
      <c r="G877" s="445" t="n">
        <v>44.1</v>
      </c>
      <c r="H877" s="431" t="n">
        <v>9508</v>
      </c>
      <c r="I877" s="457" t="n">
        <v>0</v>
      </c>
      <c r="J877" s="458" t="n">
        <v>3531</v>
      </c>
      <c r="K877" s="462" t="n">
        <v>11.4698385726423</v>
      </c>
      <c r="L877" s="463" t="n">
        <v>0</v>
      </c>
      <c r="M877" s="463" t="n">
        <v>0.323530864197531</v>
      </c>
      <c r="N877" s="431" t="n">
        <v>1983</v>
      </c>
      <c r="O877" s="446" t="n">
        <f aca="false">1983+1194</f>
        <v>3177</v>
      </c>
      <c r="Q877" s="157" t="n">
        <v>17</v>
      </c>
      <c r="R877" s="157" t="n">
        <v>1</v>
      </c>
      <c r="S877" s="157" t="n">
        <v>1</v>
      </c>
      <c r="T877" s="457" t="s">
        <v>7529</v>
      </c>
      <c r="U877" s="457" t="n">
        <v>398</v>
      </c>
      <c r="V877" s="458" t="n">
        <v>6875</v>
      </c>
      <c r="W877" s="458" t="n">
        <v>7000</v>
      </c>
      <c r="X877" s="464" t="s">
        <v>6675</v>
      </c>
      <c r="Y877" s="458" t="n">
        <f aca="false">ROUND(J877,-3)</f>
        <v>4000</v>
      </c>
      <c r="Z877" s="457" t="s">
        <v>6638</v>
      </c>
      <c r="AA877" s="157" t="n">
        <v>3</v>
      </c>
      <c r="AB877" s="157" t="n">
        <v>3</v>
      </c>
      <c r="AC877" s="431" t="s">
        <v>586</v>
      </c>
      <c r="AD877" s="437" t="s">
        <v>8954</v>
      </c>
      <c r="AE877" s="167"/>
      <c r="AF877" s="167"/>
      <c r="AG877" s="167"/>
      <c r="AH877" s="167"/>
      <c r="AI877" s="167"/>
      <c r="AJ877" s="167"/>
      <c r="AK877" s="167"/>
      <c r="AL877" s="157" t="n">
        <f aca="false">IF(AND(ISNUMBER($S877),$S877&gt;0,ISNUMBER($K877),ISNUMBER($J877)),($K877*$J877)/$S877,"")</f>
        <v>40500</v>
      </c>
    </row>
    <row r="878" customFormat="false" ht="12.75" hidden="false" customHeight="true" outlineLevel="0" collapsed="false">
      <c r="A878" s="441" t="n">
        <v>8</v>
      </c>
      <c r="B878" s="157" t="n">
        <v>870</v>
      </c>
      <c r="C878" s="437" t="s">
        <v>8246</v>
      </c>
      <c r="D878" s="157" t="s">
        <v>7279</v>
      </c>
      <c r="E878" s="461" t="s">
        <v>2461</v>
      </c>
      <c r="F878" s="157" t="s">
        <v>7280</v>
      </c>
      <c r="G878" s="445" t="n">
        <v>44.2</v>
      </c>
      <c r="H878" s="431" t="n">
        <v>9508</v>
      </c>
      <c r="I878" s="457" t="n">
        <v>0</v>
      </c>
      <c r="J878" s="458" t="n">
        <v>2550</v>
      </c>
      <c r="K878" s="462" t="n">
        <v>6.58823529411765</v>
      </c>
      <c r="L878" s="463" t="n">
        <v>0</v>
      </c>
      <c r="M878" s="463" t="n">
        <v>0</v>
      </c>
      <c r="N878" s="431" t="n">
        <v>1977</v>
      </c>
      <c r="O878" s="446" t="n">
        <v>648</v>
      </c>
      <c r="Q878" s="157" t="n">
        <v>14</v>
      </c>
      <c r="R878" s="157" t="n">
        <v>1</v>
      </c>
      <c r="S878" s="157" t="n">
        <v>2</v>
      </c>
      <c r="T878" s="457" t="s">
        <v>7529</v>
      </c>
      <c r="U878" s="457" t="n">
        <v>398</v>
      </c>
      <c r="V878" s="458" t="n">
        <v>6250</v>
      </c>
      <c r="W878" s="458" t="n">
        <v>6000</v>
      </c>
      <c r="X878" s="464" t="s">
        <v>6692</v>
      </c>
      <c r="Y878" s="458" t="n">
        <f aca="false">ROUND(J878,-3)</f>
        <v>3000</v>
      </c>
      <c r="Z878" s="457" t="s">
        <v>6638</v>
      </c>
      <c r="AA878" s="157" t="n">
        <v>3</v>
      </c>
      <c r="AB878" s="157" t="n">
        <v>3</v>
      </c>
      <c r="AC878" s="431" t="s">
        <v>586</v>
      </c>
      <c r="AD878" s="437" t="s">
        <v>6651</v>
      </c>
      <c r="AE878" s="167"/>
      <c r="AF878" s="167"/>
      <c r="AG878" s="167"/>
      <c r="AH878" s="167"/>
      <c r="AI878" s="167"/>
      <c r="AJ878" s="167"/>
      <c r="AK878" s="167" t="s">
        <v>8955</v>
      </c>
      <c r="AL878" s="157" t="n">
        <f aca="false">IF(AND(ISNUMBER($S878),$S878&gt;0,ISNUMBER($K878),ISNUMBER($J878)),($K878*$J878)/$S878,"")</f>
        <v>8400</v>
      </c>
    </row>
    <row r="879" customFormat="false" ht="12.75" hidden="false" customHeight="true" outlineLevel="0" collapsed="false">
      <c r="A879" s="441" t="n">
        <v>8</v>
      </c>
      <c r="B879" s="157" t="n">
        <v>871</v>
      </c>
      <c r="C879" s="437" t="s">
        <v>8246</v>
      </c>
      <c r="D879" s="157" t="s">
        <v>8956</v>
      </c>
      <c r="E879" s="461" t="s">
        <v>2461</v>
      </c>
      <c r="F879" s="157" t="s">
        <v>8957</v>
      </c>
      <c r="G879" s="445" t="n">
        <v>44.1</v>
      </c>
      <c r="H879" s="431" t="n">
        <v>9508</v>
      </c>
      <c r="I879" s="457" t="n">
        <v>0</v>
      </c>
      <c r="J879" s="458" t="n">
        <v>6200</v>
      </c>
      <c r="K879" s="462" t="n">
        <v>7.58064516129032</v>
      </c>
      <c r="L879" s="463" t="n">
        <v>0</v>
      </c>
      <c r="M879" s="463" t="n">
        <v>0.0197234042553192</v>
      </c>
      <c r="N879" s="431" t="n">
        <v>1983</v>
      </c>
      <c r="O879" s="446" t="n">
        <v>962</v>
      </c>
      <c r="Q879" s="157" t="n">
        <v>13</v>
      </c>
      <c r="R879" s="157" t="n">
        <v>3</v>
      </c>
      <c r="S879" s="157" t="n">
        <v>1</v>
      </c>
      <c r="T879" s="457" t="s">
        <v>7529</v>
      </c>
      <c r="U879" s="457" t="n">
        <v>398</v>
      </c>
      <c r="V879" s="458" t="n">
        <v>12500</v>
      </c>
      <c r="W879" s="458" t="n">
        <v>13000</v>
      </c>
      <c r="X879" s="464" t="s">
        <v>7546</v>
      </c>
      <c r="Y879" s="458" t="n">
        <f aca="false">ROUND(J879,-3)</f>
        <v>6000</v>
      </c>
      <c r="Z879" s="457" t="s">
        <v>6638</v>
      </c>
      <c r="AA879" s="157" t="n">
        <v>3</v>
      </c>
      <c r="AB879" s="157" t="n">
        <v>3</v>
      </c>
      <c r="AC879" s="431" t="s">
        <v>586</v>
      </c>
      <c r="AD879" s="437"/>
      <c r="AE879" s="167"/>
      <c r="AF879" s="167"/>
      <c r="AG879" s="167"/>
      <c r="AH879" s="167"/>
      <c r="AI879" s="167"/>
      <c r="AJ879" s="167"/>
      <c r="AK879" s="167" t="s">
        <v>8958</v>
      </c>
      <c r="AL879" s="157" t="n">
        <f aca="false">IF(AND(ISNUMBER($S879),$S879&gt;0,ISNUMBER($K879),ISNUMBER($J879)),($K879*$J879)/$S879,"")</f>
        <v>47000</v>
      </c>
    </row>
    <row r="880" customFormat="false" ht="12.75" hidden="false" customHeight="true" outlineLevel="0" collapsed="false">
      <c r="A880" s="441" t="n">
        <v>8</v>
      </c>
      <c r="B880" s="157" t="n">
        <v>872</v>
      </c>
      <c r="C880" s="437" t="s">
        <v>8246</v>
      </c>
      <c r="D880" s="157" t="s">
        <v>8959</v>
      </c>
      <c r="E880" s="461" t="s">
        <v>2461</v>
      </c>
      <c r="F880" s="157" t="s">
        <v>8960</v>
      </c>
      <c r="G880" s="445" t="n">
        <v>44.2</v>
      </c>
      <c r="H880" s="431" t="n">
        <v>9508</v>
      </c>
      <c r="I880" s="457" t="n">
        <v>0</v>
      </c>
      <c r="J880" s="458" t="n">
        <v>19008</v>
      </c>
      <c r="K880" s="462" t="n">
        <v>5.90004208754209</v>
      </c>
      <c r="L880" s="463" t="n">
        <v>0</v>
      </c>
      <c r="M880" s="463" t="n">
        <v>0.300272853729001</v>
      </c>
      <c r="N880" s="431" t="n">
        <v>1998</v>
      </c>
      <c r="O880" s="446" t="n">
        <v>2117</v>
      </c>
      <c r="Q880" s="157" t="n">
        <v>19</v>
      </c>
      <c r="R880" s="157" t="n">
        <v>14</v>
      </c>
      <c r="S880" s="157" t="n">
        <v>1</v>
      </c>
      <c r="T880" s="457" t="s">
        <v>7529</v>
      </c>
      <c r="U880" s="457" t="n">
        <v>398</v>
      </c>
      <c r="V880" s="458" t="n">
        <v>25000</v>
      </c>
      <c r="W880" s="458" t="n">
        <v>25000</v>
      </c>
      <c r="X880" s="464" t="s">
        <v>7103</v>
      </c>
      <c r="Y880" s="458" t="n">
        <f aca="false">ROUND(J880,-3)</f>
        <v>19000</v>
      </c>
      <c r="Z880" s="457" t="s">
        <v>6638</v>
      </c>
      <c r="AA880" s="157" t="n">
        <v>3</v>
      </c>
      <c r="AB880" s="157" t="n">
        <v>3</v>
      </c>
      <c r="AC880" s="431" t="s">
        <v>586</v>
      </c>
      <c r="AD880" s="437" t="s">
        <v>8961</v>
      </c>
      <c r="AE880" s="167"/>
      <c r="AF880" s="167"/>
      <c r="AG880" s="167"/>
      <c r="AH880" s="167"/>
      <c r="AI880" s="167"/>
      <c r="AJ880" s="167"/>
      <c r="AK880" s="167" t="s">
        <v>8962</v>
      </c>
      <c r="AL880" s="157" t="n">
        <f aca="false">IF(AND(ISNUMBER($S880),$S880&gt;0,ISNUMBER($K880),ISNUMBER($J880)),($K880*$J880)/$S880,"")</f>
        <v>112148</v>
      </c>
    </row>
    <row r="881" customFormat="false" ht="12.75" hidden="false" customHeight="true" outlineLevel="0" collapsed="false">
      <c r="A881" s="441" t="n">
        <v>8</v>
      </c>
      <c r="B881" s="157" t="n">
        <v>873</v>
      </c>
      <c r="C881" s="437" t="s">
        <v>8246</v>
      </c>
      <c r="D881" s="157" t="s">
        <v>8963</v>
      </c>
      <c r="E881" s="461" t="s">
        <v>2461</v>
      </c>
      <c r="F881" s="157" t="s">
        <v>8964</v>
      </c>
      <c r="G881" s="445" t="n">
        <v>44.1</v>
      </c>
      <c r="H881" s="431" t="n">
        <v>9508</v>
      </c>
      <c r="I881" s="457" t="n">
        <v>0</v>
      </c>
      <c r="J881" s="458" t="n">
        <v>3333</v>
      </c>
      <c r="K881" s="462" t="n">
        <v>11.1611161116112</v>
      </c>
      <c r="L881" s="463" t="n">
        <v>0</v>
      </c>
      <c r="M881" s="463" t="n">
        <v>0.456532258064516</v>
      </c>
      <c r="N881" s="431" t="n">
        <v>1987</v>
      </c>
      <c r="O881" s="446" t="n">
        <f aca="false">1140*2</f>
        <v>2280</v>
      </c>
      <c r="Q881" s="157" t="n">
        <v>18</v>
      </c>
      <c r="R881" s="157" t="n">
        <v>1</v>
      </c>
      <c r="S881" s="157" t="n">
        <v>1</v>
      </c>
      <c r="T881" s="457" t="s">
        <v>7529</v>
      </c>
      <c r="U881" s="457" t="n">
        <v>398</v>
      </c>
      <c r="V881" s="458" t="n">
        <v>6870</v>
      </c>
      <c r="W881" s="458" t="n">
        <v>7000</v>
      </c>
      <c r="X881" s="464" t="s">
        <v>6754</v>
      </c>
      <c r="Y881" s="458" t="n">
        <f aca="false">ROUND(J881,-3)</f>
        <v>3000</v>
      </c>
      <c r="Z881" s="457" t="s">
        <v>6638</v>
      </c>
      <c r="AA881" s="157" t="n">
        <v>3</v>
      </c>
      <c r="AB881" s="157" t="n">
        <v>3</v>
      </c>
      <c r="AC881" s="431" t="s">
        <v>586</v>
      </c>
      <c r="AD881" s="437" t="s">
        <v>8965</v>
      </c>
      <c r="AE881" s="167"/>
      <c r="AF881" s="167"/>
      <c r="AG881" s="167"/>
      <c r="AH881" s="167"/>
      <c r="AI881" s="167"/>
      <c r="AJ881" s="167"/>
      <c r="AK881" s="167"/>
      <c r="AL881" s="157" t="n">
        <f aca="false">IF(AND(ISNUMBER($S881),$S881&gt;0,ISNUMBER($K881),ISNUMBER($J881)),($K881*$J881)/$S881,"")</f>
        <v>37200.0000000001</v>
      </c>
    </row>
    <row r="882" customFormat="false" ht="12.75" hidden="false" customHeight="true" outlineLevel="0" collapsed="false">
      <c r="A882" s="441" t="n">
        <v>8</v>
      </c>
      <c r="B882" s="157" t="n">
        <v>874</v>
      </c>
      <c r="C882" s="437" t="s">
        <v>8246</v>
      </c>
      <c r="D882" s="157" t="s">
        <v>7998</v>
      </c>
      <c r="E882" s="461" t="s">
        <v>2461</v>
      </c>
      <c r="F882" s="157" t="s">
        <v>8966</v>
      </c>
      <c r="G882" s="445" t="n">
        <v>44.1</v>
      </c>
      <c r="H882" s="431" t="n">
        <v>9508</v>
      </c>
      <c r="I882" s="457" t="n">
        <v>0</v>
      </c>
      <c r="J882" s="458" t="n">
        <v>3424</v>
      </c>
      <c r="K882" s="462" t="n">
        <v>8.41121495327103</v>
      </c>
      <c r="L882" s="463" t="n">
        <v>0</v>
      </c>
      <c r="M882" s="463" t="n">
        <v>0.0288888888888889</v>
      </c>
      <c r="N882" s="431" t="n">
        <v>1966</v>
      </c>
      <c r="O882" s="446" t="n">
        <v>1024</v>
      </c>
      <c r="Q882" s="157" t="n">
        <v>12</v>
      </c>
      <c r="R882" s="157" t="n">
        <v>7</v>
      </c>
      <c r="S882" s="157" t="n">
        <v>1</v>
      </c>
      <c r="T882" s="457" t="s">
        <v>7531</v>
      </c>
      <c r="U882" s="457" t="n">
        <v>398</v>
      </c>
      <c r="V882" s="458" t="n">
        <v>21106</v>
      </c>
      <c r="W882" s="458" t="n">
        <v>21000</v>
      </c>
      <c r="X882" s="464" t="s">
        <v>8000</v>
      </c>
      <c r="Y882" s="458" t="n">
        <f aca="false">ROUND(J882,-3)</f>
        <v>3000</v>
      </c>
      <c r="Z882" s="457" t="s">
        <v>6638</v>
      </c>
      <c r="AA882" s="157" t="n">
        <v>3</v>
      </c>
      <c r="AB882" s="157" t="n">
        <v>3</v>
      </c>
      <c r="AC882" s="431" t="s">
        <v>586</v>
      </c>
      <c r="AD882" s="437" t="s">
        <v>8001</v>
      </c>
      <c r="AE882" s="167"/>
      <c r="AF882" s="167"/>
      <c r="AG882" s="167"/>
      <c r="AH882" s="167"/>
      <c r="AI882" s="167"/>
      <c r="AJ882" s="167"/>
      <c r="AK882" s="167"/>
      <c r="AL882" s="157" t="n">
        <f aca="false">IF(AND(ISNUMBER($S882),$S882&gt;0,ISNUMBER($K882),ISNUMBER($J882)),($K882*$J882)/$S882,"")</f>
        <v>28800</v>
      </c>
    </row>
    <row r="883" customFormat="false" ht="12.75" hidden="false" customHeight="true" outlineLevel="0" collapsed="false">
      <c r="A883" s="441" t="n">
        <v>8</v>
      </c>
      <c r="B883" s="157" t="n">
        <v>875</v>
      </c>
      <c r="C883" s="437" t="s">
        <v>8246</v>
      </c>
      <c r="D883" s="157" t="s">
        <v>7293</v>
      </c>
      <c r="E883" s="461" t="s">
        <v>2461</v>
      </c>
      <c r="F883" s="157" t="s">
        <v>7294</v>
      </c>
      <c r="G883" s="445" t="n">
        <v>44.2</v>
      </c>
      <c r="H883" s="431" t="n">
        <v>9508</v>
      </c>
      <c r="I883" s="457" t="n">
        <v>0</v>
      </c>
      <c r="J883" s="458" t="n">
        <v>5238</v>
      </c>
      <c r="K883" s="462" t="n">
        <v>5.74417716685758</v>
      </c>
      <c r="L883" s="463" t="n">
        <v>0</v>
      </c>
      <c r="M883" s="463" t="n">
        <v>0.267016750864132</v>
      </c>
      <c r="N883" s="431" t="n">
        <v>1985</v>
      </c>
      <c r="O883" s="446" t="n">
        <f aca="false">522+800</f>
        <v>1322</v>
      </c>
      <c r="Q883" s="157" t="n">
        <v>13</v>
      </c>
      <c r="R883" s="157" t="n">
        <v>3</v>
      </c>
      <c r="S883" s="157" t="n">
        <v>3</v>
      </c>
      <c r="T883" s="457" t="s">
        <v>7529</v>
      </c>
      <c r="U883" s="457" t="n">
        <v>398</v>
      </c>
      <c r="V883" s="458" t="n">
        <v>19950</v>
      </c>
      <c r="W883" s="458" t="n">
        <v>20000</v>
      </c>
      <c r="X883" s="464" t="s">
        <v>6954</v>
      </c>
      <c r="Y883" s="458" t="n">
        <f aca="false">ROUND(J883,-3)</f>
        <v>5000</v>
      </c>
      <c r="Z883" s="457" t="s">
        <v>6638</v>
      </c>
      <c r="AA883" s="157" t="n">
        <v>3</v>
      </c>
      <c r="AB883" s="157" t="n">
        <v>3</v>
      </c>
      <c r="AC883" s="431" t="s">
        <v>586</v>
      </c>
      <c r="AD883" s="437" t="s">
        <v>7295</v>
      </c>
      <c r="AE883" s="167"/>
      <c r="AF883" s="167"/>
      <c r="AG883" s="167"/>
      <c r="AH883" s="167"/>
      <c r="AI883" s="167"/>
      <c r="AJ883" s="167"/>
      <c r="AK883" s="167" t="s">
        <v>8967</v>
      </c>
      <c r="AL883" s="157" t="n">
        <f aca="false">IF(AND(ISNUMBER($S883),$S883&gt;0,ISNUMBER($K883),ISNUMBER($J883)),($K883*$J883)/$S883,"")</f>
        <v>10029.3333333333</v>
      </c>
    </row>
    <row r="884" customFormat="false" ht="12.75" hidden="false" customHeight="true" outlineLevel="0" collapsed="false">
      <c r="A884" s="441" t="n">
        <v>8</v>
      </c>
      <c r="B884" s="157" t="n">
        <v>876</v>
      </c>
      <c r="C884" s="437" t="s">
        <v>8246</v>
      </c>
      <c r="D884" s="157" t="s">
        <v>8002</v>
      </c>
      <c r="E884" s="461" t="s">
        <v>2461</v>
      </c>
      <c r="F884" s="157" t="s">
        <v>8968</v>
      </c>
      <c r="G884" s="445" t="n">
        <v>44.1</v>
      </c>
      <c r="H884" s="431" t="n">
        <v>9508</v>
      </c>
      <c r="I884" s="457" t="n">
        <v>0</v>
      </c>
      <c r="J884" s="458" t="n">
        <v>21450</v>
      </c>
      <c r="K884" s="462" t="n">
        <v>4.88484848484849</v>
      </c>
      <c r="L884" s="463" t="n">
        <v>0</v>
      </c>
      <c r="M884" s="463" t="n">
        <v>0.237077686581409</v>
      </c>
      <c r="N884" s="431" t="n">
        <v>1977</v>
      </c>
      <c r="O884" s="446" t="n">
        <f aca="false">-168+531</f>
        <v>363</v>
      </c>
      <c r="P884" s="446" t="n">
        <v>3381</v>
      </c>
      <c r="Q884" s="157" t="n">
        <v>21</v>
      </c>
      <c r="R884" s="157" t="n">
        <v>14</v>
      </c>
      <c r="S884" s="157" t="n">
        <v>1</v>
      </c>
      <c r="T884" s="457" t="s">
        <v>7531</v>
      </c>
      <c r="U884" s="457" t="n">
        <v>398</v>
      </c>
      <c r="V884" s="458" t="n">
        <v>33457</v>
      </c>
      <c r="W884" s="458" t="n">
        <v>33000</v>
      </c>
      <c r="X884" s="464" t="s">
        <v>6837</v>
      </c>
      <c r="Y884" s="458" t="n">
        <f aca="false">ROUND(J884,-3)</f>
        <v>21000</v>
      </c>
      <c r="Z884" s="457" t="s">
        <v>6638</v>
      </c>
      <c r="AA884" s="157" t="n">
        <v>3</v>
      </c>
      <c r="AB884" s="157" t="n">
        <v>2</v>
      </c>
      <c r="AC884" s="431" t="s">
        <v>582</v>
      </c>
      <c r="AD884" s="437" t="s">
        <v>6651</v>
      </c>
      <c r="AE884" s="167"/>
      <c r="AF884" s="167"/>
      <c r="AG884" s="167"/>
      <c r="AH884" s="167"/>
      <c r="AI884" s="167"/>
      <c r="AJ884" s="167"/>
      <c r="AK884" s="167" t="s">
        <v>8969</v>
      </c>
      <c r="AL884" s="157" t="n">
        <f aca="false">IF(AND(ISNUMBER($S884),$S884&gt;0,ISNUMBER($K884),ISNUMBER($J884)),($K884*$J884)/$S884,"")</f>
        <v>104780</v>
      </c>
    </row>
    <row r="885" customFormat="false" ht="12.75" hidden="false" customHeight="true" outlineLevel="0" collapsed="false">
      <c r="A885" s="441" t="n">
        <v>8</v>
      </c>
      <c r="B885" s="157" t="n">
        <v>877</v>
      </c>
      <c r="C885" s="437" t="s">
        <v>8246</v>
      </c>
      <c r="D885" s="157" t="s">
        <v>8970</v>
      </c>
      <c r="E885" s="461" t="s">
        <v>2461</v>
      </c>
      <c r="F885" s="157" t="s">
        <v>8971</v>
      </c>
      <c r="G885" s="445" t="n">
        <v>44.1</v>
      </c>
      <c r="H885" s="431" t="n">
        <v>9508</v>
      </c>
      <c r="I885" s="457" t="n">
        <v>0</v>
      </c>
      <c r="J885" s="458" t="n">
        <v>25496</v>
      </c>
      <c r="K885" s="462" t="n">
        <v>6.16841857546282</v>
      </c>
      <c r="L885" s="463" t="n">
        <v>0</v>
      </c>
      <c r="M885" s="463" t="n">
        <v>0.208463152540218</v>
      </c>
      <c r="N885" s="431" t="n">
        <v>1996</v>
      </c>
      <c r="O885" s="446" t="n">
        <v>1703</v>
      </c>
      <c r="Q885" s="157" t="n">
        <v>24</v>
      </c>
      <c r="R885" s="157" t="n">
        <v>4</v>
      </c>
      <c r="S885" s="157" t="n">
        <v>2</v>
      </c>
      <c r="T885" s="457" t="s">
        <v>7531</v>
      </c>
      <c r="U885" s="457" t="n">
        <v>398</v>
      </c>
      <c r="V885" s="458" t="n">
        <v>36816</v>
      </c>
      <c r="W885" s="458" t="n">
        <v>37000</v>
      </c>
      <c r="X885" s="464" t="s">
        <v>6710</v>
      </c>
      <c r="Y885" s="458" t="n">
        <f aca="false">ROUND(J885,-3)</f>
        <v>25000</v>
      </c>
      <c r="Z885" s="457" t="s">
        <v>6638</v>
      </c>
      <c r="AA885" s="157" t="n">
        <v>3</v>
      </c>
      <c r="AB885" s="157" t="n">
        <v>3</v>
      </c>
      <c r="AC885" s="431" t="s">
        <v>586</v>
      </c>
      <c r="AD885" s="437" t="s">
        <v>7569</v>
      </c>
      <c r="AE885" s="167"/>
      <c r="AF885" s="167"/>
      <c r="AG885" s="167"/>
      <c r="AH885" s="167"/>
      <c r="AI885" s="167"/>
      <c r="AJ885" s="167"/>
      <c r="AK885" s="167"/>
      <c r="AL885" s="157" t="n">
        <f aca="false">IF(AND(ISNUMBER($S885),$S885&gt;0,ISNUMBER($K885),ISNUMBER($J885)),($K885*$J885)/$S885,"")</f>
        <v>78635</v>
      </c>
    </row>
    <row r="886" customFormat="false" ht="12.75" hidden="false" customHeight="true" outlineLevel="0" collapsed="false">
      <c r="A886" s="441" t="n">
        <v>8</v>
      </c>
      <c r="B886" s="157" t="n">
        <v>878</v>
      </c>
      <c r="C886" s="437" t="s">
        <v>8246</v>
      </c>
      <c r="D886" s="157" t="s">
        <v>8008</v>
      </c>
      <c r="E886" s="461" t="s">
        <v>2461</v>
      </c>
      <c r="F886" s="157" t="s">
        <v>8972</v>
      </c>
      <c r="G886" s="445" t="n">
        <v>44.1</v>
      </c>
      <c r="H886" s="431" t="n">
        <v>9508</v>
      </c>
      <c r="I886" s="457" t="n">
        <v>0</v>
      </c>
      <c r="J886" s="458" t="n">
        <v>2905</v>
      </c>
      <c r="K886" s="462" t="n">
        <v>4.13080895008606</v>
      </c>
      <c r="L886" s="463" t="n">
        <v>0</v>
      </c>
      <c r="M886" s="463" t="n">
        <v>0</v>
      </c>
      <c r="N886" s="431" t="n">
        <v>1978</v>
      </c>
      <c r="O886" s="446" t="n">
        <v>350</v>
      </c>
      <c r="Q886" s="157" t="n">
        <v>14</v>
      </c>
      <c r="R886" s="157" t="n">
        <v>3</v>
      </c>
      <c r="S886" s="157" t="n">
        <v>1</v>
      </c>
      <c r="T886" s="457" t="s">
        <v>7529</v>
      </c>
      <c r="U886" s="457" t="n">
        <v>398</v>
      </c>
      <c r="V886" s="458" t="n">
        <v>6875</v>
      </c>
      <c r="W886" s="458" t="n">
        <v>7000</v>
      </c>
      <c r="X886" s="464" t="s">
        <v>6650</v>
      </c>
      <c r="Y886" s="458" t="n">
        <f aca="false">ROUND(J886,-3)</f>
        <v>3000</v>
      </c>
      <c r="Z886" s="457" t="s">
        <v>6638</v>
      </c>
      <c r="AA886" s="157" t="n">
        <v>3</v>
      </c>
      <c r="AB886" s="157" t="n">
        <v>3</v>
      </c>
      <c r="AC886" s="431" t="s">
        <v>586</v>
      </c>
      <c r="AD886" s="437" t="s">
        <v>8010</v>
      </c>
      <c r="AE886" s="167"/>
      <c r="AF886" s="167"/>
      <c r="AG886" s="167"/>
      <c r="AH886" s="167"/>
      <c r="AI886" s="167"/>
      <c r="AJ886" s="167"/>
      <c r="AK886" s="167"/>
      <c r="AL886" s="157" t="n">
        <f aca="false">IF(AND(ISNUMBER($S886),$S886&gt;0,ISNUMBER($K886),ISNUMBER($J886)),($K886*$J886)/$S886,"")</f>
        <v>12000</v>
      </c>
    </row>
    <row r="887" customFormat="false" ht="12.75" hidden="false" customHeight="true" outlineLevel="0" collapsed="false">
      <c r="A887" s="441" t="n">
        <v>8</v>
      </c>
      <c r="B887" s="157" t="n">
        <v>879</v>
      </c>
      <c r="C887" s="437" t="s">
        <v>8246</v>
      </c>
      <c r="D887" s="157" t="s">
        <v>7297</v>
      </c>
      <c r="E887" s="461" t="s">
        <v>2461</v>
      </c>
      <c r="F887" s="157" t="s">
        <v>7298</v>
      </c>
      <c r="G887" s="445" t="n">
        <v>44.2</v>
      </c>
      <c r="H887" s="431" t="n">
        <v>9508</v>
      </c>
      <c r="I887" s="457" t="n">
        <v>0</v>
      </c>
      <c r="J887" s="458" t="n">
        <v>8000</v>
      </c>
      <c r="K887" s="462" t="n">
        <v>6.374375</v>
      </c>
      <c r="L887" s="463" t="n">
        <v>0</v>
      </c>
      <c r="M887" s="463" t="n">
        <v>0.133856260417688</v>
      </c>
      <c r="N887" s="431" t="n">
        <v>1978</v>
      </c>
      <c r="O887" s="446" t="n">
        <v>1376</v>
      </c>
      <c r="Q887" s="157" t="n">
        <v>14</v>
      </c>
      <c r="R887" s="157" t="n">
        <v>3</v>
      </c>
      <c r="S887" s="157" t="n">
        <v>1</v>
      </c>
      <c r="T887" s="457" t="s">
        <v>7529</v>
      </c>
      <c r="U887" s="457" t="n">
        <v>398</v>
      </c>
      <c r="V887" s="458" t="n">
        <v>17187</v>
      </c>
      <c r="W887" s="458" t="n">
        <v>17000</v>
      </c>
      <c r="X887" s="464" t="s">
        <v>6754</v>
      </c>
      <c r="Y887" s="458" t="n">
        <f aca="false">ROUND(J887,-3)</f>
        <v>8000</v>
      </c>
      <c r="Z887" s="457" t="s">
        <v>6638</v>
      </c>
      <c r="AA887" s="157" t="n">
        <v>3</v>
      </c>
      <c r="AB887" s="157" t="n">
        <v>3</v>
      </c>
      <c r="AC887" s="431" t="s">
        <v>586</v>
      </c>
      <c r="AD887" s="437" t="s">
        <v>7299</v>
      </c>
      <c r="AE887" s="167"/>
      <c r="AF887" s="167"/>
      <c r="AG887" s="167"/>
      <c r="AH887" s="167"/>
      <c r="AI887" s="167"/>
      <c r="AJ887" s="167"/>
      <c r="AK887" s="167" t="s">
        <v>8973</v>
      </c>
      <c r="AL887" s="157" t="n">
        <f aca="false">IF(AND(ISNUMBER($S887),$S887&gt;0,ISNUMBER($K887),ISNUMBER($J887)),($K887*$J887)/$S887,"")</f>
        <v>50995</v>
      </c>
    </row>
    <row r="888" customFormat="false" ht="12.75" hidden="false" customHeight="true" outlineLevel="0" collapsed="false">
      <c r="A888" s="441" t="n">
        <v>8</v>
      </c>
      <c r="B888" s="157" t="n">
        <v>880</v>
      </c>
      <c r="C888" s="437" t="s">
        <v>8246</v>
      </c>
      <c r="D888" s="157" t="s">
        <v>8012</v>
      </c>
      <c r="E888" s="461" t="s">
        <v>2461</v>
      </c>
      <c r="F888" s="157" t="s">
        <v>8974</v>
      </c>
      <c r="G888" s="445" t="n">
        <v>44.2</v>
      </c>
      <c r="H888" s="431" t="n">
        <v>9508</v>
      </c>
      <c r="I888" s="457" t="n">
        <v>0</v>
      </c>
      <c r="J888" s="458" t="n">
        <v>6558</v>
      </c>
      <c r="K888" s="462" t="n">
        <v>9.14913083257091</v>
      </c>
      <c r="L888" s="463" t="n">
        <v>0</v>
      </c>
      <c r="M888" s="463" t="n">
        <v>0</v>
      </c>
      <c r="N888" s="431" t="n">
        <v>1980</v>
      </c>
      <c r="O888" s="446" t="n">
        <v>2350</v>
      </c>
      <c r="Q888" s="157" t="n">
        <v>14</v>
      </c>
      <c r="R888" s="157" t="n">
        <v>3</v>
      </c>
      <c r="S888" s="157" t="n">
        <v>1</v>
      </c>
      <c r="T888" s="457" t="s">
        <v>7529</v>
      </c>
      <c r="U888" s="457" t="n">
        <v>398</v>
      </c>
      <c r="V888" s="458" t="n">
        <v>12875</v>
      </c>
      <c r="W888" s="458" t="n">
        <v>13000</v>
      </c>
      <c r="X888" s="464" t="s">
        <v>7546</v>
      </c>
      <c r="Y888" s="458" t="n">
        <f aca="false">ROUND(J888,-3)</f>
        <v>7000</v>
      </c>
      <c r="Z888" s="457" t="s">
        <v>6638</v>
      </c>
      <c r="AA888" s="157" t="n">
        <v>3</v>
      </c>
      <c r="AB888" s="157" t="n">
        <v>3</v>
      </c>
      <c r="AC888" s="431" t="s">
        <v>586</v>
      </c>
      <c r="AD888" s="437"/>
      <c r="AE888" s="167"/>
      <c r="AF888" s="167"/>
      <c r="AG888" s="167"/>
      <c r="AH888" s="167"/>
      <c r="AI888" s="167"/>
      <c r="AJ888" s="167"/>
      <c r="AK888" s="167"/>
      <c r="AL888" s="157" t="n">
        <f aca="false">IF(AND(ISNUMBER($S888),$S888&gt;0,ISNUMBER($K888),ISNUMBER($J888)),($K888*$J888)/$S888,"")</f>
        <v>60000</v>
      </c>
    </row>
    <row r="889" customFormat="false" ht="12.75" hidden="false" customHeight="true" outlineLevel="0" collapsed="false">
      <c r="A889" s="441" t="n">
        <v>8</v>
      </c>
      <c r="B889" s="157" t="n">
        <v>881</v>
      </c>
      <c r="C889" s="437" t="s">
        <v>8246</v>
      </c>
      <c r="D889" s="157" t="s">
        <v>8975</v>
      </c>
      <c r="E889" s="461" t="s">
        <v>2461</v>
      </c>
      <c r="F889" s="157" t="s">
        <v>8976</v>
      </c>
      <c r="G889" s="445" t="n">
        <v>44.1</v>
      </c>
      <c r="H889" s="431" t="n">
        <v>9508</v>
      </c>
      <c r="I889" s="457" t="n">
        <v>0</v>
      </c>
      <c r="J889" s="458" t="n">
        <v>8588</v>
      </c>
      <c r="K889" s="462" t="n">
        <v>7.46739636702375</v>
      </c>
      <c r="L889" s="463" t="n">
        <v>0</v>
      </c>
      <c r="M889" s="463" t="n">
        <v>0.268220801496959</v>
      </c>
      <c r="N889" s="431" t="n">
        <v>1984</v>
      </c>
      <c r="O889" s="446" t="n">
        <f aca="false">930+1920</f>
        <v>2850</v>
      </c>
      <c r="Q889" s="157" t="n">
        <v>21</v>
      </c>
      <c r="R889" s="157" t="n">
        <v>3</v>
      </c>
      <c r="S889" s="157" t="n">
        <v>1</v>
      </c>
      <c r="T889" s="457" t="s">
        <v>7529</v>
      </c>
      <c r="U889" s="457" t="n">
        <v>398</v>
      </c>
      <c r="V889" s="458" t="n">
        <v>15459</v>
      </c>
      <c r="W889" s="458" t="n">
        <v>15000</v>
      </c>
      <c r="X889" s="464" t="s">
        <v>6863</v>
      </c>
      <c r="Y889" s="458" t="n">
        <f aca="false">ROUND(J889,-3)</f>
        <v>9000</v>
      </c>
      <c r="Z889" s="457" t="s">
        <v>6638</v>
      </c>
      <c r="AA889" s="157" t="n">
        <v>3</v>
      </c>
      <c r="AB889" s="157" t="n">
        <v>3</v>
      </c>
      <c r="AC889" s="431" t="s">
        <v>586</v>
      </c>
      <c r="AD889" s="437" t="s">
        <v>8977</v>
      </c>
      <c r="AE889" s="167"/>
      <c r="AF889" s="167"/>
      <c r="AG889" s="167"/>
      <c r="AH889" s="167"/>
      <c r="AI889" s="167"/>
      <c r="AJ889" s="167"/>
      <c r="AK889" s="167"/>
      <c r="AL889" s="157" t="n">
        <f aca="false">IF(AND(ISNUMBER($S889),$S889&gt;0,ISNUMBER($K889),ISNUMBER($J889)),($K889*$J889)/$S889,"")</f>
        <v>64130</v>
      </c>
    </row>
    <row r="890" customFormat="false" ht="12.75" hidden="false" customHeight="true" outlineLevel="0" collapsed="false">
      <c r="A890" s="441" t="n">
        <v>8</v>
      </c>
      <c r="B890" s="157" t="n">
        <v>882</v>
      </c>
      <c r="C890" s="437" t="s">
        <v>8246</v>
      </c>
      <c r="D890" s="157" t="s">
        <v>8978</v>
      </c>
      <c r="E890" s="461" t="s">
        <v>2461</v>
      </c>
      <c r="F890" s="157" t="s">
        <v>8979</v>
      </c>
      <c r="G890" s="445" t="n">
        <v>44.2</v>
      </c>
      <c r="H890" s="431" t="n">
        <v>9505</v>
      </c>
      <c r="I890" s="457" t="n">
        <v>3</v>
      </c>
      <c r="J890" s="458" t="n">
        <v>36508</v>
      </c>
      <c r="K890" s="462" t="n">
        <v>4.10868850662868</v>
      </c>
      <c r="L890" s="463" t="n">
        <v>0</v>
      </c>
      <c r="M890" s="463" t="n">
        <v>0</v>
      </c>
      <c r="N890" s="431" t="n">
        <v>1955</v>
      </c>
      <c r="P890" s="446" t="n">
        <v>2944</v>
      </c>
      <c r="Q890" s="157" t="n">
        <v>14</v>
      </c>
      <c r="R890" s="157" t="n">
        <v>3</v>
      </c>
      <c r="S890" s="157" t="n">
        <v>1</v>
      </c>
      <c r="T890" s="457" t="s">
        <v>7531</v>
      </c>
      <c r="U890" s="457" t="n">
        <v>398</v>
      </c>
      <c r="V890" s="458" t="n">
        <v>75794</v>
      </c>
      <c r="W890" s="458" t="n">
        <v>80000</v>
      </c>
      <c r="X890" s="464" t="s">
        <v>6754</v>
      </c>
      <c r="Y890" s="458" t="n">
        <f aca="false">ROUND(J890,-3)</f>
        <v>37000</v>
      </c>
      <c r="Z890" s="457" t="s">
        <v>6638</v>
      </c>
      <c r="AA890" s="157" t="n">
        <v>3</v>
      </c>
      <c r="AB890" s="157" t="n">
        <v>3</v>
      </c>
      <c r="AC890" s="431" t="s">
        <v>586</v>
      </c>
      <c r="AD890" s="437"/>
      <c r="AE890" s="167"/>
      <c r="AF890" s="167"/>
      <c r="AG890" s="167"/>
      <c r="AH890" s="167"/>
      <c r="AI890" s="167"/>
      <c r="AJ890" s="167"/>
      <c r="AK890" s="167"/>
      <c r="AL890" s="157" t="n">
        <f aca="false">IF(AND(ISNUMBER($S890),$S890&gt;0,ISNUMBER($K890),ISNUMBER($J890)),($K890*$J890)/$S890,"")</f>
        <v>150000</v>
      </c>
    </row>
    <row r="891" customFormat="false" ht="12.75" hidden="false" customHeight="true" outlineLevel="0" collapsed="false">
      <c r="A891" s="441" t="n">
        <v>8</v>
      </c>
      <c r="B891" s="157" t="n">
        <v>883</v>
      </c>
      <c r="C891" s="437" t="s">
        <v>8246</v>
      </c>
      <c r="D891" s="157" t="s">
        <v>8980</v>
      </c>
      <c r="E891" s="461" t="s">
        <v>2461</v>
      </c>
      <c r="F891" s="157" t="s">
        <v>8981</v>
      </c>
      <c r="G891" s="445" t="n">
        <v>44.2</v>
      </c>
      <c r="H891" s="431" t="n">
        <v>9505</v>
      </c>
      <c r="I891" s="457" t="n">
        <v>0</v>
      </c>
      <c r="J891" s="458" t="n">
        <v>27373</v>
      </c>
      <c r="K891" s="462" t="n">
        <v>9.4984108428013</v>
      </c>
      <c r="L891" s="463" t="n">
        <v>0</v>
      </c>
      <c r="M891" s="463" t="n">
        <v>0</v>
      </c>
      <c r="N891" s="431" t="n">
        <v>2002</v>
      </c>
      <c r="O891" s="446" t="n">
        <f aca="false">6950+7220</f>
        <v>14170</v>
      </c>
      <c r="Q891" s="157" t="n">
        <v>31</v>
      </c>
      <c r="R891" s="157" t="n">
        <v>7</v>
      </c>
      <c r="S891" s="157" t="n">
        <v>1</v>
      </c>
      <c r="T891" s="457" t="s">
        <v>7526</v>
      </c>
      <c r="U891" s="457" t="n">
        <v>398</v>
      </c>
      <c r="V891" s="458" t="n">
        <v>51308</v>
      </c>
      <c r="W891" s="458" t="n">
        <v>50000</v>
      </c>
      <c r="X891" s="464" t="s">
        <v>6675</v>
      </c>
      <c r="Y891" s="458" t="n">
        <f aca="false">ROUND(J891,-3)</f>
        <v>27000</v>
      </c>
      <c r="Z891" s="457" t="s">
        <v>6638</v>
      </c>
      <c r="AA891" s="157" t="n">
        <v>3</v>
      </c>
      <c r="AB891" s="157" t="n">
        <v>3</v>
      </c>
      <c r="AC891" s="431" t="s">
        <v>586</v>
      </c>
      <c r="AD891" s="437" t="s">
        <v>8982</v>
      </c>
      <c r="AE891" s="167"/>
      <c r="AF891" s="167"/>
      <c r="AG891" s="167"/>
      <c r="AH891" s="167"/>
      <c r="AI891" s="167"/>
      <c r="AJ891" s="167"/>
      <c r="AK891" s="167"/>
      <c r="AL891" s="157" t="n">
        <f aca="false">IF(AND(ISNUMBER($S891),$S891&gt;0,ISNUMBER($K891),ISNUMBER($J891)),($K891*$J891)/$S891,"")</f>
        <v>260000</v>
      </c>
    </row>
    <row r="892" customFormat="false" ht="12.75" hidden="false" customHeight="true" outlineLevel="0" collapsed="false">
      <c r="A892" s="441" t="n">
        <v>8</v>
      </c>
      <c r="B892" s="157" t="n">
        <v>884</v>
      </c>
      <c r="C892" s="437" t="s">
        <v>8246</v>
      </c>
      <c r="D892" s="157" t="s">
        <v>8983</v>
      </c>
      <c r="E892" s="461" t="s">
        <v>2461</v>
      </c>
      <c r="F892" s="157" t="s">
        <v>8984</v>
      </c>
      <c r="G892" s="445" t="n">
        <v>44.1</v>
      </c>
      <c r="H892" s="431" t="n">
        <v>9505</v>
      </c>
      <c r="I892" s="457" t="n">
        <v>3</v>
      </c>
      <c r="J892" s="458" t="n">
        <v>33831</v>
      </c>
      <c r="K892" s="462" t="n">
        <v>5.07581803671189</v>
      </c>
      <c r="L892" s="463" t="n">
        <v>0</v>
      </c>
      <c r="M892" s="463" t="n">
        <v>0</v>
      </c>
      <c r="N892" s="431" t="n">
        <v>1974</v>
      </c>
      <c r="O892" s="446" t="n">
        <f aca="false">832+640</f>
        <v>1472</v>
      </c>
      <c r="P892" s="446" t="n">
        <v>3025</v>
      </c>
      <c r="Q892" s="157" t="n">
        <v>16</v>
      </c>
      <c r="R892" s="157" t="n">
        <v>7</v>
      </c>
      <c r="S892" s="157" t="n">
        <v>1</v>
      </c>
      <c r="T892" s="457" t="s">
        <v>7526</v>
      </c>
      <c r="U892" s="457" t="n">
        <v>398</v>
      </c>
      <c r="V892" s="458" t="n">
        <v>42180</v>
      </c>
      <c r="W892" s="458" t="n">
        <v>42000</v>
      </c>
      <c r="X892" s="464" t="s">
        <v>6900</v>
      </c>
      <c r="Y892" s="458" t="n">
        <f aca="false">ROUND(J892,-3)</f>
        <v>34000</v>
      </c>
      <c r="Z892" s="457" t="s">
        <v>6638</v>
      </c>
      <c r="AA892" s="157" t="n">
        <v>2</v>
      </c>
      <c r="AB892" s="157" t="n">
        <v>2</v>
      </c>
      <c r="AC892" s="431" t="s">
        <v>533</v>
      </c>
      <c r="AD892" s="437" t="s">
        <v>7569</v>
      </c>
      <c r="AE892" s="167"/>
      <c r="AF892" s="167"/>
      <c r="AG892" s="167"/>
      <c r="AH892" s="167"/>
      <c r="AI892" s="167"/>
      <c r="AJ892" s="167"/>
      <c r="AK892" s="167"/>
      <c r="AL892" s="157" t="n">
        <f aca="false">IF(AND(ISNUMBER($S892),$S892&gt;0,ISNUMBER($K892),ISNUMBER($J892)),($K892*$J892)/$S892,"")</f>
        <v>171720</v>
      </c>
    </row>
    <row r="893" customFormat="false" ht="12.75" hidden="false" customHeight="true" outlineLevel="0" collapsed="false">
      <c r="A893" s="441" t="n">
        <v>8</v>
      </c>
      <c r="B893" s="157" t="n">
        <v>885</v>
      </c>
      <c r="C893" s="437" t="s">
        <v>8246</v>
      </c>
      <c r="D893" s="157" t="s">
        <v>8985</v>
      </c>
      <c r="E893" s="461" t="s">
        <v>2461</v>
      </c>
      <c r="F893" s="157" t="s">
        <v>8986</v>
      </c>
      <c r="G893" s="445" t="n">
        <v>44.1</v>
      </c>
      <c r="H893" s="431" t="n">
        <v>9505</v>
      </c>
      <c r="I893" s="457" t="n">
        <v>0</v>
      </c>
      <c r="J893" s="458" t="n">
        <v>43000</v>
      </c>
      <c r="K893" s="462" t="n">
        <v>5.02325581395349</v>
      </c>
      <c r="L893" s="463" t="n">
        <v>0</v>
      </c>
      <c r="M893" s="463" t="n">
        <v>0</v>
      </c>
      <c r="N893" s="431" t="n">
        <v>1937</v>
      </c>
      <c r="O893" s="446" t="n">
        <v>1540</v>
      </c>
      <c r="Q893" s="157" t="n">
        <v>10</v>
      </c>
      <c r="R893" s="157" t="n">
        <v>1</v>
      </c>
      <c r="S893" s="157" t="n">
        <v>1</v>
      </c>
      <c r="T893" s="457" t="s">
        <v>7526</v>
      </c>
      <c r="U893" s="457" t="n">
        <v>398</v>
      </c>
      <c r="V893" s="458" t="n">
        <v>79830</v>
      </c>
      <c r="W893" s="458" t="n">
        <v>80000</v>
      </c>
      <c r="X893" s="464" t="s">
        <v>7563</v>
      </c>
      <c r="Y893" s="458" t="n">
        <f aca="false">ROUND(J893,-3)</f>
        <v>43000</v>
      </c>
      <c r="Z893" s="457" t="s">
        <v>6638</v>
      </c>
      <c r="AA893" s="157" t="n">
        <v>3</v>
      </c>
      <c r="AB893" s="157" t="n">
        <v>3</v>
      </c>
      <c r="AC893" s="431" t="s">
        <v>586</v>
      </c>
      <c r="AD893" s="437" t="s">
        <v>8987</v>
      </c>
      <c r="AE893" s="167"/>
      <c r="AF893" s="167"/>
      <c r="AG893" s="167"/>
      <c r="AH893" s="167"/>
      <c r="AI893" s="167"/>
      <c r="AJ893" s="167"/>
      <c r="AK893" s="167" t="s">
        <v>8988</v>
      </c>
      <c r="AL893" s="157" t="n">
        <f aca="false">IF(AND(ISNUMBER($S893),$S893&gt;0,ISNUMBER($K893),ISNUMBER($J893)),($K893*$J893)/$S893,"")</f>
        <v>216000</v>
      </c>
    </row>
    <row r="894" customFormat="false" ht="12.75" hidden="false" customHeight="true" outlineLevel="0" collapsed="false">
      <c r="A894" s="441" t="n">
        <v>8</v>
      </c>
      <c r="B894" s="157" t="n">
        <v>886</v>
      </c>
      <c r="C894" s="437" t="s">
        <v>8246</v>
      </c>
      <c r="D894" s="157" t="s">
        <v>8989</v>
      </c>
      <c r="E894" s="461" t="s">
        <v>2461</v>
      </c>
      <c r="F894" s="157" t="s">
        <v>8990</v>
      </c>
      <c r="G894" s="445" t="n">
        <v>44.2</v>
      </c>
      <c r="H894" s="431" t="n">
        <v>9505</v>
      </c>
      <c r="I894" s="457" t="n">
        <v>0</v>
      </c>
      <c r="J894" s="458" t="n">
        <v>3479</v>
      </c>
      <c r="K894" s="462" t="n">
        <v>12.0724346076459</v>
      </c>
      <c r="L894" s="463" t="n">
        <v>0</v>
      </c>
      <c r="M894" s="463" t="n">
        <v>0</v>
      </c>
      <c r="N894" s="431" t="n">
        <v>1965</v>
      </c>
      <c r="O894" s="446" t="n">
        <v>1779</v>
      </c>
      <c r="Q894" s="157" t="n">
        <v>14</v>
      </c>
      <c r="R894" s="157" t="n">
        <v>3</v>
      </c>
      <c r="S894" s="157" t="n">
        <v>1</v>
      </c>
      <c r="T894" s="457" t="s">
        <v>7526</v>
      </c>
      <c r="U894" s="457" t="n">
        <v>398</v>
      </c>
      <c r="V894" s="458" t="n">
        <v>5576</v>
      </c>
      <c r="W894" s="458" t="n">
        <v>6000</v>
      </c>
      <c r="X894" s="464" t="s">
        <v>6668</v>
      </c>
      <c r="Y894" s="458" t="n">
        <f aca="false">ROUND(J894,-3)</f>
        <v>3000</v>
      </c>
      <c r="Z894" s="457" t="s">
        <v>6638</v>
      </c>
      <c r="AA894" s="157" t="n">
        <v>3</v>
      </c>
      <c r="AB894" s="157" t="n">
        <v>3</v>
      </c>
      <c r="AC894" s="431" t="s">
        <v>586</v>
      </c>
      <c r="AD894" s="437" t="s">
        <v>8991</v>
      </c>
      <c r="AE894" s="167"/>
      <c r="AF894" s="167"/>
      <c r="AG894" s="167"/>
      <c r="AH894" s="167"/>
      <c r="AI894" s="167"/>
      <c r="AJ894" s="167"/>
      <c r="AK894" s="167"/>
      <c r="AL894" s="157" t="n">
        <f aca="false">IF(AND(ISNUMBER($S894),$S894&gt;0,ISNUMBER($K894),ISNUMBER($J894)),($K894*$J894)/$S894,"")</f>
        <v>42000.0000000001</v>
      </c>
    </row>
    <row r="895" customFormat="false" ht="12.75" hidden="false" customHeight="true" outlineLevel="0" collapsed="false">
      <c r="A895" s="441" t="n">
        <v>8</v>
      </c>
      <c r="B895" s="157" t="n">
        <v>887</v>
      </c>
      <c r="C895" s="437" t="s">
        <v>8246</v>
      </c>
      <c r="D895" s="157" t="s">
        <v>8017</v>
      </c>
      <c r="E895" s="461" t="s">
        <v>2461</v>
      </c>
      <c r="F895" s="157" t="s">
        <v>8992</v>
      </c>
      <c r="G895" s="445" t="n">
        <v>44.2</v>
      </c>
      <c r="H895" s="431" t="n">
        <v>9505</v>
      </c>
      <c r="I895" s="457" t="n">
        <v>0</v>
      </c>
      <c r="J895" s="458" t="n">
        <v>4950</v>
      </c>
      <c r="K895" s="462" t="n">
        <v>6.39858585858586</v>
      </c>
      <c r="L895" s="463" t="n">
        <v>0</v>
      </c>
      <c r="M895" s="463" t="n">
        <v>0.0535156126669403</v>
      </c>
      <c r="N895" s="431" t="n">
        <v>1966</v>
      </c>
      <c r="O895" s="446" t="n">
        <v>517</v>
      </c>
      <c r="Q895" s="157" t="n">
        <v>14</v>
      </c>
      <c r="R895" s="157" t="n">
        <v>3</v>
      </c>
      <c r="S895" s="157" t="n">
        <v>1</v>
      </c>
      <c r="T895" s="457" t="s">
        <v>7526</v>
      </c>
      <c r="U895" s="457" t="n">
        <v>397</v>
      </c>
      <c r="V895" s="458" t="n">
        <v>7582</v>
      </c>
      <c r="W895" s="458" t="n">
        <v>8000</v>
      </c>
      <c r="X895" s="464" t="s">
        <v>6837</v>
      </c>
      <c r="Y895" s="458" t="n">
        <f aca="false">ROUND(J895,-3)</f>
        <v>5000</v>
      </c>
      <c r="Z895" s="457" t="s">
        <v>6638</v>
      </c>
      <c r="AA895" s="157" t="n">
        <v>3</v>
      </c>
      <c r="AB895" s="157" t="n">
        <v>3</v>
      </c>
      <c r="AC895" s="431" t="s">
        <v>586</v>
      </c>
      <c r="AD895" s="437" t="s">
        <v>8019</v>
      </c>
      <c r="AE895" s="167"/>
      <c r="AF895" s="167"/>
      <c r="AG895" s="167"/>
      <c r="AH895" s="167"/>
      <c r="AI895" s="167"/>
      <c r="AJ895" s="167"/>
      <c r="AK895" s="167"/>
      <c r="AL895" s="157" t="n">
        <f aca="false">IF(AND(ISNUMBER($S895),$S895&gt;0,ISNUMBER($K895),ISNUMBER($J895)),($K895*$J895)/$S895,"")</f>
        <v>31673</v>
      </c>
    </row>
    <row r="896" customFormat="false" ht="12.75" hidden="false" customHeight="true" outlineLevel="0" collapsed="false">
      <c r="A896" s="441" t="n">
        <v>8</v>
      </c>
      <c r="B896" s="157" t="n">
        <v>888</v>
      </c>
      <c r="C896" s="437" t="s">
        <v>8246</v>
      </c>
      <c r="D896" s="157" t="s">
        <v>8993</v>
      </c>
      <c r="E896" s="461" t="s">
        <v>2461</v>
      </c>
      <c r="F896" s="157" t="s">
        <v>8994</v>
      </c>
      <c r="G896" s="445" t="n">
        <v>44.1</v>
      </c>
      <c r="H896" s="431" t="n">
        <v>9505</v>
      </c>
      <c r="I896" s="457" t="n">
        <v>0</v>
      </c>
      <c r="J896" s="458" t="n">
        <v>17250</v>
      </c>
      <c r="K896" s="462" t="n">
        <v>5.56521739130435</v>
      </c>
      <c r="L896" s="463" t="n">
        <v>0</v>
      </c>
      <c r="M896" s="463" t="n">
        <v>0</v>
      </c>
      <c r="N896" s="431" t="n">
        <v>1972</v>
      </c>
      <c r="O896" s="446" t="n">
        <v>2500</v>
      </c>
      <c r="Q896" s="157" t="n">
        <v>12</v>
      </c>
      <c r="R896" s="157" t="n">
        <v>3</v>
      </c>
      <c r="S896" s="157" t="n">
        <v>1</v>
      </c>
      <c r="T896" s="457" t="s">
        <v>7526</v>
      </c>
      <c r="U896" s="457" t="n">
        <v>398</v>
      </c>
      <c r="V896" s="458" t="n">
        <v>21875</v>
      </c>
      <c r="W896" s="458" t="n">
        <v>22000</v>
      </c>
      <c r="X896" s="464" t="s">
        <v>7103</v>
      </c>
      <c r="Y896" s="458" t="n">
        <f aca="false">ROUND(J896,-3)</f>
        <v>17000</v>
      </c>
      <c r="Z896" s="457" t="s">
        <v>6638</v>
      </c>
      <c r="AA896" s="157" t="n">
        <v>3</v>
      </c>
      <c r="AB896" s="157" t="n">
        <v>3</v>
      </c>
      <c r="AC896" s="431" t="s">
        <v>586</v>
      </c>
      <c r="AD896" s="437" t="s">
        <v>8995</v>
      </c>
      <c r="AE896" s="167"/>
      <c r="AF896" s="167"/>
      <c r="AG896" s="167"/>
      <c r="AH896" s="167"/>
      <c r="AI896" s="167"/>
      <c r="AJ896" s="167"/>
      <c r="AK896" s="167"/>
      <c r="AL896" s="157" t="n">
        <f aca="false">IF(AND(ISNUMBER($S896),$S896&gt;0,ISNUMBER($K896),ISNUMBER($J896)),($K896*$J896)/$S896,"")</f>
        <v>96000</v>
      </c>
    </row>
    <row r="897" customFormat="false" ht="12.75" hidden="false" customHeight="true" outlineLevel="0" collapsed="false">
      <c r="A897" s="441" t="n">
        <v>8</v>
      </c>
      <c r="B897" s="157" t="n">
        <v>889</v>
      </c>
      <c r="C897" s="437" t="s">
        <v>8246</v>
      </c>
      <c r="D897" s="157" t="s">
        <v>7312</v>
      </c>
      <c r="E897" s="461" t="s">
        <v>2461</v>
      </c>
      <c r="F897" s="157" t="s">
        <v>7313</v>
      </c>
      <c r="G897" s="445" t="n">
        <v>44.1</v>
      </c>
      <c r="H897" s="431" t="n">
        <v>9505</v>
      </c>
      <c r="I897" s="457" t="n">
        <v>3</v>
      </c>
      <c r="J897" s="458" t="n">
        <v>6802</v>
      </c>
      <c r="K897" s="462" t="n">
        <v>7.33901793590121</v>
      </c>
      <c r="L897" s="463" t="n">
        <v>0</v>
      </c>
      <c r="M897" s="463" t="n">
        <v>0</v>
      </c>
      <c r="N897" s="431" t="n">
        <v>1971</v>
      </c>
      <c r="O897" s="446" t="n">
        <v>1338</v>
      </c>
      <c r="Q897" s="157" t="n">
        <v>20</v>
      </c>
      <c r="R897" s="157" t="n">
        <v>7</v>
      </c>
      <c r="S897" s="157" t="n">
        <v>1</v>
      </c>
      <c r="T897" s="457" t="s">
        <v>7526</v>
      </c>
      <c r="U897" s="457" t="n">
        <v>398</v>
      </c>
      <c r="V897" s="458" t="n">
        <v>13864</v>
      </c>
      <c r="W897" s="458" t="n">
        <v>14000</v>
      </c>
      <c r="X897" s="464" t="s">
        <v>7546</v>
      </c>
      <c r="Y897" s="458" t="n">
        <f aca="false">ROUND(J897,-3)</f>
        <v>7000</v>
      </c>
      <c r="Z897" s="457" t="s">
        <v>6638</v>
      </c>
      <c r="AA897" s="157" t="n">
        <v>3</v>
      </c>
      <c r="AB897" s="157" t="n">
        <v>3</v>
      </c>
      <c r="AC897" s="431" t="s">
        <v>586</v>
      </c>
      <c r="AD897" s="437" t="s">
        <v>7314</v>
      </c>
      <c r="AE897" s="167"/>
      <c r="AF897" s="167"/>
      <c r="AG897" s="167"/>
      <c r="AH897" s="167"/>
      <c r="AI897" s="167"/>
      <c r="AJ897" s="167"/>
      <c r="AK897" s="167"/>
      <c r="AL897" s="157" t="n">
        <f aca="false">IF(AND(ISNUMBER($S897),$S897&gt;0,ISNUMBER($K897),ISNUMBER($J897)),($K897*$J897)/$S897,"")</f>
        <v>49920</v>
      </c>
    </row>
    <row r="898" customFormat="false" ht="12.75" hidden="false" customHeight="true" outlineLevel="0" collapsed="false">
      <c r="A898" s="441" t="n">
        <v>8</v>
      </c>
      <c r="B898" s="157" t="n">
        <v>890</v>
      </c>
      <c r="C898" s="437" t="s">
        <v>8246</v>
      </c>
      <c r="D898" s="157" t="s">
        <v>8996</v>
      </c>
      <c r="E898" s="461" t="s">
        <v>2461</v>
      </c>
      <c r="F898" s="157" t="s">
        <v>8997</v>
      </c>
      <c r="G898" s="445" t="n">
        <v>44.2</v>
      </c>
      <c r="H898" s="431" t="n">
        <v>9505</v>
      </c>
      <c r="I898" s="457" t="n">
        <v>0</v>
      </c>
      <c r="J898" s="458" t="n">
        <v>19962</v>
      </c>
      <c r="K898" s="462" t="n">
        <v>5.42751227331931</v>
      </c>
      <c r="L898" s="463" t="n">
        <v>0</v>
      </c>
      <c r="M898" s="463" t="n">
        <v>0</v>
      </c>
      <c r="N898" s="431" t="n">
        <v>1951</v>
      </c>
      <c r="Q898" s="157" t="n">
        <v>16</v>
      </c>
      <c r="R898" s="157" t="n">
        <v>1</v>
      </c>
      <c r="S898" s="157" t="n">
        <v>1</v>
      </c>
      <c r="T898" s="457" t="s">
        <v>7890</v>
      </c>
      <c r="U898" s="457" t="n">
        <v>398</v>
      </c>
      <c r="V898" s="458" t="n">
        <v>22875</v>
      </c>
      <c r="W898" s="458" t="n">
        <v>23000</v>
      </c>
      <c r="X898" s="464" t="s">
        <v>7043</v>
      </c>
      <c r="Y898" s="458" t="n">
        <f aca="false">ROUND(J898,-3)</f>
        <v>20000</v>
      </c>
      <c r="Z898" s="457" t="s">
        <v>6638</v>
      </c>
      <c r="AA898" s="157" t="n">
        <v>3</v>
      </c>
      <c r="AB898" s="157" t="n">
        <v>3</v>
      </c>
      <c r="AC898" s="431" t="s">
        <v>586</v>
      </c>
      <c r="AD898" s="437" t="s">
        <v>8998</v>
      </c>
      <c r="AE898" s="167"/>
      <c r="AF898" s="167"/>
      <c r="AG898" s="167"/>
      <c r="AH898" s="167"/>
      <c r="AI898" s="167"/>
      <c r="AJ898" s="167"/>
      <c r="AK898" s="167"/>
      <c r="AL898" s="157" t="n">
        <f aca="false">IF(AND(ISNUMBER($S898),$S898&gt;0,ISNUMBER($K898),ISNUMBER($J898)),($K898*$J898)/$S898,"")</f>
        <v>108344</v>
      </c>
    </row>
    <row r="899" customFormat="false" ht="12.75" hidden="false" customHeight="true" outlineLevel="0" collapsed="false">
      <c r="A899" s="441" t="n">
        <v>8</v>
      </c>
      <c r="B899" s="157" t="n">
        <v>891</v>
      </c>
      <c r="C899" s="437" t="s">
        <v>8246</v>
      </c>
      <c r="D899" s="157" t="s">
        <v>8999</v>
      </c>
      <c r="E899" s="461" t="s">
        <v>2461</v>
      </c>
      <c r="F899" s="157" t="s">
        <v>9000</v>
      </c>
      <c r="G899" s="445" t="n">
        <v>47.1</v>
      </c>
      <c r="H899" s="431" t="n">
        <v>9505</v>
      </c>
      <c r="I899" s="457" t="n">
        <v>0</v>
      </c>
      <c r="J899" s="458" t="n">
        <v>16394</v>
      </c>
      <c r="K899" s="462" t="n">
        <v>4.94296693912407</v>
      </c>
      <c r="L899" s="463" t="n">
        <v>0</v>
      </c>
      <c r="M899" s="463" t="n">
        <v>0.220707101869563</v>
      </c>
      <c r="N899" s="431" t="n">
        <v>1952</v>
      </c>
      <c r="O899" s="446" t="n">
        <v>3133</v>
      </c>
      <c r="Q899" s="157" t="n">
        <v>14</v>
      </c>
      <c r="R899" s="157" t="n">
        <v>3</v>
      </c>
      <c r="S899" s="157" t="n">
        <v>1</v>
      </c>
      <c r="T899" s="457" t="s">
        <v>7890</v>
      </c>
      <c r="U899" s="457" t="n">
        <v>401</v>
      </c>
      <c r="V899" s="458" t="n">
        <v>22875</v>
      </c>
      <c r="W899" s="458" t="n">
        <v>23000</v>
      </c>
      <c r="X899" s="464" t="s">
        <v>6710</v>
      </c>
      <c r="Y899" s="458" t="n">
        <f aca="false">ROUND(J899,-3)</f>
        <v>16000</v>
      </c>
      <c r="Z899" s="457" t="s">
        <v>6638</v>
      </c>
      <c r="AA899" s="157" t="n">
        <v>3</v>
      </c>
      <c r="AB899" s="157" t="n">
        <v>3</v>
      </c>
      <c r="AC899" s="431" t="s">
        <v>586</v>
      </c>
      <c r="AD899" s="437" t="s">
        <v>9001</v>
      </c>
      <c r="AE899" s="167"/>
      <c r="AF899" s="167"/>
      <c r="AG899" s="167"/>
      <c r="AH899" s="167"/>
      <c r="AI899" s="167"/>
      <c r="AJ899" s="167"/>
      <c r="AK899" s="167" t="s">
        <v>9002</v>
      </c>
      <c r="AL899" s="157" t="n">
        <f aca="false">IF(AND(ISNUMBER($S899),$S899&gt;0,ISNUMBER($K899),ISNUMBER($J899)),($K899*$J899)/$S899,"")</f>
        <v>81035</v>
      </c>
    </row>
    <row r="900" customFormat="false" ht="12.75" hidden="false" customHeight="true" outlineLevel="0" collapsed="false">
      <c r="A900" s="441" t="n">
        <v>8</v>
      </c>
      <c r="B900" s="157" t="n">
        <v>892</v>
      </c>
      <c r="C900" s="437" t="s">
        <v>8246</v>
      </c>
      <c r="D900" s="157" t="s">
        <v>9003</v>
      </c>
      <c r="E900" s="461" t="s">
        <v>2461</v>
      </c>
      <c r="F900" s="157" t="s">
        <v>9004</v>
      </c>
      <c r="G900" s="445" t="n">
        <v>44.1</v>
      </c>
      <c r="H900" s="431" t="n">
        <v>9505</v>
      </c>
      <c r="I900" s="457" t="n">
        <v>0</v>
      </c>
      <c r="J900" s="458" t="n">
        <v>16987</v>
      </c>
      <c r="K900" s="462" t="n">
        <v>6.60799434861953</v>
      </c>
      <c r="L900" s="463" t="n">
        <v>0</v>
      </c>
      <c r="M900" s="463" t="n">
        <v>0</v>
      </c>
      <c r="N900" s="431" t="n">
        <v>1974</v>
      </c>
      <c r="O900" s="446" t="n">
        <v>1044</v>
      </c>
      <c r="Q900" s="157" t="n">
        <v>19</v>
      </c>
      <c r="R900" s="157" t="n">
        <v>10</v>
      </c>
      <c r="S900" s="157" t="n">
        <v>1</v>
      </c>
      <c r="T900" s="457" t="s">
        <v>7531</v>
      </c>
      <c r="U900" s="457" t="n">
        <v>398</v>
      </c>
      <c r="V900" s="458" t="n">
        <v>84931</v>
      </c>
      <c r="W900" s="458" t="n">
        <v>80000</v>
      </c>
      <c r="X900" s="464" t="s">
        <v>6724</v>
      </c>
      <c r="Y900" s="458" t="n">
        <f aca="false">ROUND(J900,-3)</f>
        <v>17000</v>
      </c>
      <c r="Z900" s="457" t="s">
        <v>6638</v>
      </c>
      <c r="AA900" s="157" t="n">
        <v>3</v>
      </c>
      <c r="AB900" s="157" t="n">
        <v>3</v>
      </c>
      <c r="AC900" s="431" t="s">
        <v>586</v>
      </c>
      <c r="AD900" s="437" t="s">
        <v>9005</v>
      </c>
      <c r="AE900" s="167"/>
      <c r="AF900" s="167"/>
      <c r="AG900" s="167"/>
      <c r="AH900" s="167"/>
      <c r="AI900" s="167"/>
      <c r="AJ900" s="167"/>
      <c r="AK900" s="167" t="s">
        <v>9006</v>
      </c>
      <c r="AL900" s="157" t="n">
        <f aca="false">IF(AND(ISNUMBER($S900),$S900&gt;0,ISNUMBER($K900),ISNUMBER($J900)),($K900*$J900)/$S900,"")</f>
        <v>112250</v>
      </c>
    </row>
    <row r="901" customFormat="false" ht="12.75" hidden="false" customHeight="true" outlineLevel="0" collapsed="false">
      <c r="A901" s="441" t="n">
        <v>8</v>
      </c>
      <c r="B901" s="157" t="n">
        <v>893</v>
      </c>
      <c r="C901" s="437" t="s">
        <v>8246</v>
      </c>
      <c r="D901" s="157" t="s">
        <v>9007</v>
      </c>
      <c r="E901" s="461" t="s">
        <v>2461</v>
      </c>
      <c r="F901" s="157" t="s">
        <v>9008</v>
      </c>
      <c r="G901" s="445" t="n">
        <v>44.1</v>
      </c>
      <c r="H901" s="431" t="n">
        <v>9505</v>
      </c>
      <c r="I901" s="457" t="n">
        <v>0</v>
      </c>
      <c r="J901" s="458" t="n">
        <v>4503</v>
      </c>
      <c r="K901" s="462" t="n">
        <v>3.99733510992672</v>
      </c>
      <c r="L901" s="463" t="n">
        <v>0</v>
      </c>
      <c r="M901" s="463" t="n">
        <v>0.2</v>
      </c>
      <c r="N901" s="431" t="n">
        <v>1947</v>
      </c>
      <c r="P901" s="446" t="n">
        <f aca="false">462+462+379</f>
        <v>1303</v>
      </c>
      <c r="Q901" s="157" t="n">
        <v>11</v>
      </c>
      <c r="R901" s="157" t="n">
        <v>1</v>
      </c>
      <c r="S901" s="157" t="n">
        <v>1</v>
      </c>
      <c r="T901" s="457" t="s">
        <v>7526</v>
      </c>
      <c r="U901" s="457" t="n">
        <v>398</v>
      </c>
      <c r="V901" s="458" t="n">
        <v>12500</v>
      </c>
      <c r="W901" s="458" t="n">
        <v>13000</v>
      </c>
      <c r="X901" s="464" t="s">
        <v>6664</v>
      </c>
      <c r="Y901" s="458" t="n">
        <f aca="false">ROUND(J901,-3)</f>
        <v>5000</v>
      </c>
      <c r="Z901" s="457" t="s">
        <v>6638</v>
      </c>
      <c r="AA901" s="157" t="n">
        <v>3</v>
      </c>
      <c r="AB901" s="157" t="n">
        <v>1</v>
      </c>
      <c r="AC901" s="431" t="s">
        <v>576</v>
      </c>
      <c r="AD901" s="437" t="s">
        <v>9009</v>
      </c>
      <c r="AE901" s="167"/>
      <c r="AF901" s="167"/>
      <c r="AG901" s="167"/>
      <c r="AH901" s="167"/>
      <c r="AI901" s="167"/>
      <c r="AJ901" s="167"/>
      <c r="AK901" s="167"/>
      <c r="AL901" s="157" t="n">
        <f aca="false">IF(AND(ISNUMBER($S901),$S901&gt;0,ISNUMBER($K901),ISNUMBER($J901)),($K901*$J901)/$S901,"")</f>
        <v>18000</v>
      </c>
    </row>
    <row r="902" customFormat="false" ht="12.75" hidden="false" customHeight="true" outlineLevel="0" collapsed="false">
      <c r="A902" s="441" t="n">
        <v>8</v>
      </c>
      <c r="B902" s="157" t="n">
        <v>894</v>
      </c>
      <c r="C902" s="437" t="s">
        <v>8246</v>
      </c>
      <c r="D902" s="157" t="s">
        <v>9010</v>
      </c>
      <c r="E902" s="461" t="s">
        <v>2461</v>
      </c>
      <c r="F902" s="157" t="s">
        <v>9011</v>
      </c>
      <c r="G902" s="445" t="n">
        <v>44.2</v>
      </c>
      <c r="H902" s="431" t="n">
        <v>9505</v>
      </c>
      <c r="I902" s="457" t="n">
        <v>0</v>
      </c>
      <c r="J902" s="458" t="n">
        <v>3750</v>
      </c>
      <c r="K902" s="462" t="n">
        <v>5.44</v>
      </c>
      <c r="L902" s="463" t="n">
        <v>0</v>
      </c>
      <c r="M902" s="463" t="n">
        <v>0.156862745098039</v>
      </c>
      <c r="N902" s="431" t="n">
        <v>1935</v>
      </c>
      <c r="O902" s="446" t="n">
        <v>1340</v>
      </c>
      <c r="P902" s="446" t="n">
        <v>572</v>
      </c>
      <c r="Q902" s="157" t="n">
        <v>15</v>
      </c>
      <c r="R902" s="157" t="n">
        <v>1</v>
      </c>
      <c r="S902" s="157" t="n">
        <v>1</v>
      </c>
      <c r="T902" s="457" t="s">
        <v>7526</v>
      </c>
      <c r="U902" s="457" t="n">
        <v>398</v>
      </c>
      <c r="V902" s="458" t="n">
        <v>25000</v>
      </c>
      <c r="W902" s="458" t="n">
        <v>25000</v>
      </c>
      <c r="X902" s="464" t="s">
        <v>9012</v>
      </c>
      <c r="Y902" s="458" t="n">
        <f aca="false">ROUND(J902,-3)</f>
        <v>4000</v>
      </c>
      <c r="Z902" s="457" t="s">
        <v>6638</v>
      </c>
      <c r="AA902" s="157" t="n">
        <v>2</v>
      </c>
      <c r="AB902" s="157" t="n">
        <v>2</v>
      </c>
      <c r="AC902" s="431" t="s">
        <v>533</v>
      </c>
      <c r="AD902" s="437" t="s">
        <v>9013</v>
      </c>
      <c r="AE902" s="167"/>
      <c r="AF902" s="167"/>
      <c r="AG902" s="167"/>
      <c r="AH902" s="167"/>
      <c r="AI902" s="167"/>
      <c r="AJ902" s="167"/>
      <c r="AK902" s="167"/>
      <c r="AL902" s="157" t="n">
        <f aca="false">IF(AND(ISNUMBER($S902),$S902&gt;0,ISNUMBER($K902),ISNUMBER($J902)),($K902*$J902)/$S902,"")</f>
        <v>20400</v>
      </c>
    </row>
    <row r="903" customFormat="false" ht="12.75" hidden="false" customHeight="true" outlineLevel="0" collapsed="false">
      <c r="A903" s="441" t="n">
        <v>8</v>
      </c>
      <c r="B903" s="157" t="n">
        <v>895</v>
      </c>
      <c r="C903" s="437" t="s">
        <v>8246</v>
      </c>
      <c r="D903" s="157" t="s">
        <v>7315</v>
      </c>
      <c r="E903" s="461" t="s">
        <v>2461</v>
      </c>
      <c r="F903" s="157" t="s">
        <v>7316</v>
      </c>
      <c r="G903" s="445" t="n">
        <v>47.2</v>
      </c>
      <c r="H903" s="431" t="n">
        <v>9505</v>
      </c>
      <c r="I903" s="457" t="n">
        <v>0</v>
      </c>
      <c r="J903" s="458" t="n">
        <v>6624</v>
      </c>
      <c r="K903" s="462" t="n">
        <v>8.07065217391304</v>
      </c>
      <c r="L903" s="463" t="n">
        <v>0</v>
      </c>
      <c r="M903" s="463" t="n">
        <v>0.149195660306771</v>
      </c>
      <c r="N903" s="431" t="n">
        <v>1976</v>
      </c>
      <c r="O903" s="446" t="n">
        <v>4224</v>
      </c>
      <c r="Q903" s="157" t="n">
        <v>12</v>
      </c>
      <c r="R903" s="157" t="n">
        <v>3</v>
      </c>
      <c r="S903" s="157" t="n">
        <v>1</v>
      </c>
      <c r="T903" s="457" t="s">
        <v>7526</v>
      </c>
      <c r="U903" s="457" t="n">
        <v>401</v>
      </c>
      <c r="V903" s="458" t="n">
        <v>18200</v>
      </c>
      <c r="W903" s="458" t="n">
        <v>18000</v>
      </c>
      <c r="X903" s="464" t="s">
        <v>6757</v>
      </c>
      <c r="Y903" s="458" t="n">
        <f aca="false">ROUND(J903,-3)</f>
        <v>7000</v>
      </c>
      <c r="Z903" s="457" t="s">
        <v>6638</v>
      </c>
      <c r="AA903" s="157" t="n">
        <v>5</v>
      </c>
      <c r="AB903" s="157" t="n">
        <v>3</v>
      </c>
      <c r="AC903" s="431" t="s">
        <v>8943</v>
      </c>
      <c r="AD903" s="437" t="s">
        <v>7317</v>
      </c>
      <c r="AE903" s="167"/>
      <c r="AF903" s="167"/>
      <c r="AG903" s="167"/>
      <c r="AH903" s="167"/>
      <c r="AI903" s="167"/>
      <c r="AJ903" s="167"/>
      <c r="AK903" s="167"/>
      <c r="AL903" s="157" t="n">
        <f aca="false">IF(AND(ISNUMBER($S903),$S903&gt;0,ISNUMBER($K903),ISNUMBER($J903)),($K903*$J903)/$S903,"")</f>
        <v>53460</v>
      </c>
    </row>
    <row r="904" customFormat="false" ht="12.75" hidden="false" customHeight="true" outlineLevel="0" collapsed="false">
      <c r="A904" s="441" t="n">
        <v>8</v>
      </c>
      <c r="B904" s="157" t="n">
        <v>896</v>
      </c>
      <c r="C904" s="437" t="s">
        <v>8246</v>
      </c>
      <c r="D904" s="157" t="s">
        <v>9014</v>
      </c>
      <c r="E904" s="461" t="s">
        <v>2461</v>
      </c>
      <c r="F904" s="157" t="s">
        <v>9015</v>
      </c>
      <c r="G904" s="445" t="n">
        <v>47.1</v>
      </c>
      <c r="H904" s="431" t="n">
        <v>9502</v>
      </c>
      <c r="I904" s="457" t="n">
        <v>0</v>
      </c>
      <c r="J904" s="458" t="n">
        <v>4660</v>
      </c>
      <c r="K904" s="462" t="n">
        <v>9.78540772532189</v>
      </c>
      <c r="L904" s="463" t="n">
        <v>0</v>
      </c>
      <c r="M904" s="463" t="n">
        <v>0.043859649122807</v>
      </c>
      <c r="N904" s="431" t="n">
        <v>1955</v>
      </c>
      <c r="Q904" s="157" t="n">
        <v>10</v>
      </c>
      <c r="R904" s="157" t="n">
        <v>1</v>
      </c>
      <c r="S904" s="157" t="n">
        <v>1</v>
      </c>
      <c r="T904" s="457" t="s">
        <v>7881</v>
      </c>
      <c r="U904" s="457" t="n">
        <v>401</v>
      </c>
      <c r="V904" s="458" t="n">
        <v>4687</v>
      </c>
      <c r="W904" s="458" t="n">
        <v>5000</v>
      </c>
      <c r="X904" s="464" t="s">
        <v>8145</v>
      </c>
      <c r="Y904" s="458" t="n">
        <f aca="false">ROUND(J904,-3)</f>
        <v>5000</v>
      </c>
      <c r="Z904" s="457" t="s">
        <v>6638</v>
      </c>
      <c r="AA904" s="157" t="n">
        <v>3</v>
      </c>
      <c r="AB904" s="157" t="n">
        <v>3</v>
      </c>
      <c r="AC904" s="431" t="s">
        <v>586</v>
      </c>
      <c r="AD904" s="437"/>
      <c r="AE904" s="167"/>
      <c r="AF904" s="167"/>
      <c r="AG904" s="167"/>
      <c r="AH904" s="167"/>
      <c r="AI904" s="167"/>
      <c r="AJ904" s="167"/>
      <c r="AK904" s="167"/>
      <c r="AL904" s="157" t="n">
        <f aca="false">IF(AND(ISNUMBER($S904),$S904&gt;0,ISNUMBER($K904),ISNUMBER($J904)),($K904*$J904)/$S904,"")</f>
        <v>45600</v>
      </c>
    </row>
    <row r="905" customFormat="false" ht="12.75" hidden="false" customHeight="true" outlineLevel="0" collapsed="false">
      <c r="A905" s="441" t="n">
        <v>8</v>
      </c>
      <c r="B905" s="157" t="n">
        <v>897</v>
      </c>
      <c r="C905" s="437" t="s">
        <v>8246</v>
      </c>
      <c r="D905" s="157" t="s">
        <v>9016</v>
      </c>
      <c r="E905" s="461" t="s">
        <v>2461</v>
      </c>
      <c r="F905" s="157" t="s">
        <v>9017</v>
      </c>
      <c r="G905" s="445" t="n">
        <v>44.1</v>
      </c>
      <c r="H905" s="431" t="n">
        <v>9506</v>
      </c>
      <c r="I905" s="457" t="n">
        <v>0</v>
      </c>
      <c r="J905" s="458" t="n">
        <v>30204</v>
      </c>
      <c r="K905" s="462" t="n">
        <v>5.61101178651834</v>
      </c>
      <c r="L905" s="463" t="n">
        <v>0</v>
      </c>
      <c r="M905" s="463" t="n">
        <v>0</v>
      </c>
      <c r="N905" s="431" t="n">
        <v>1972</v>
      </c>
      <c r="O905" s="446" t="n">
        <f aca="false">3325+3963</f>
        <v>7288</v>
      </c>
      <c r="P905" s="446" t="n">
        <f aca="false">1800+1404</f>
        <v>3204</v>
      </c>
      <c r="Q905" s="157" t="n">
        <v>24</v>
      </c>
      <c r="R905" s="157" t="n">
        <v>10</v>
      </c>
      <c r="S905" s="157" t="n">
        <v>1</v>
      </c>
      <c r="T905" s="457" t="s">
        <v>7526</v>
      </c>
      <c r="U905" s="457" t="n">
        <v>398</v>
      </c>
      <c r="V905" s="458" t="n">
        <v>61900</v>
      </c>
      <c r="W905" s="458" t="n">
        <v>60000</v>
      </c>
      <c r="X905" s="464" t="s">
        <v>7546</v>
      </c>
      <c r="Y905" s="458" t="n">
        <f aca="false">ROUND(J905,-3)</f>
        <v>30000</v>
      </c>
      <c r="Z905" s="457" t="s">
        <v>6638</v>
      </c>
      <c r="AA905" s="157" t="n">
        <v>3</v>
      </c>
      <c r="AB905" s="157" t="n">
        <v>3</v>
      </c>
      <c r="AC905" s="431" t="s">
        <v>586</v>
      </c>
      <c r="AD905" s="437"/>
      <c r="AE905" s="167"/>
      <c r="AF905" s="167"/>
      <c r="AG905" s="167"/>
      <c r="AH905" s="167"/>
      <c r="AI905" s="167"/>
      <c r="AJ905" s="167"/>
      <c r="AK905" s="167"/>
      <c r="AL905" s="157" t="n">
        <f aca="false">IF(AND(ISNUMBER($S905),$S905&gt;0,ISNUMBER($K905),ISNUMBER($J905)),($K905*$J905)/$S905,"")</f>
        <v>169475</v>
      </c>
    </row>
    <row r="906" customFormat="false" ht="12.75" hidden="false" customHeight="true" outlineLevel="0" collapsed="false">
      <c r="A906" s="441" t="n">
        <v>8</v>
      </c>
      <c r="B906" s="157" t="n">
        <v>898</v>
      </c>
      <c r="C906" s="437" t="s">
        <v>8246</v>
      </c>
      <c r="D906" s="157" t="s">
        <v>9018</v>
      </c>
      <c r="E906" s="461" t="s">
        <v>2461</v>
      </c>
      <c r="F906" s="157" t="s">
        <v>9019</v>
      </c>
      <c r="G906" s="445" t="n">
        <v>44.2</v>
      </c>
      <c r="H906" s="431" t="n">
        <v>9506</v>
      </c>
      <c r="I906" s="457" t="n">
        <v>0</v>
      </c>
      <c r="J906" s="458" t="n">
        <v>35000</v>
      </c>
      <c r="K906" s="462" t="n">
        <v>6.576</v>
      </c>
      <c r="L906" s="463" t="n">
        <v>0</v>
      </c>
      <c r="M906" s="463" t="n">
        <v>0.146211331247828</v>
      </c>
      <c r="N906" s="431" t="n">
        <v>1974</v>
      </c>
      <c r="O906" s="446" t="n">
        <f aca="false">2782+748+748+2782</f>
        <v>7060</v>
      </c>
      <c r="Q906" s="157" t="n">
        <v>21</v>
      </c>
      <c r="R906" s="157" t="n">
        <v>14</v>
      </c>
      <c r="S906" s="157" t="n">
        <v>1</v>
      </c>
      <c r="T906" s="457" t="s">
        <v>7526</v>
      </c>
      <c r="U906" s="457" t="n">
        <v>398</v>
      </c>
      <c r="V906" s="458" t="n">
        <v>70320</v>
      </c>
      <c r="W906" s="458" t="n">
        <v>70000</v>
      </c>
      <c r="X906" s="464" t="s">
        <v>7546</v>
      </c>
      <c r="Y906" s="458" t="n">
        <f aca="false">ROUND(J906,-3)</f>
        <v>35000</v>
      </c>
      <c r="Z906" s="457" t="s">
        <v>6638</v>
      </c>
      <c r="AA906" s="157" t="n">
        <v>3</v>
      </c>
      <c r="AB906" s="157" t="n">
        <v>3</v>
      </c>
      <c r="AC906" s="431" t="s">
        <v>586</v>
      </c>
      <c r="AD906" s="437" t="s">
        <v>6651</v>
      </c>
      <c r="AE906" s="167"/>
      <c r="AF906" s="167"/>
      <c r="AG906" s="167"/>
      <c r="AH906" s="167"/>
      <c r="AI906" s="167"/>
      <c r="AJ906" s="167"/>
      <c r="AK906" s="167" t="s">
        <v>9020</v>
      </c>
      <c r="AL906" s="157" t="n">
        <f aca="false">IF(AND(ISNUMBER($S906),$S906&gt;0,ISNUMBER($K906),ISNUMBER($J906)),($K906*$J906)/$S906,"")</f>
        <v>230160</v>
      </c>
    </row>
    <row r="907" customFormat="false" ht="12.75" hidden="false" customHeight="true" outlineLevel="0" collapsed="false">
      <c r="A907" s="441" t="n">
        <v>8</v>
      </c>
      <c r="B907" s="157" t="n">
        <v>899</v>
      </c>
      <c r="C907" s="437" t="s">
        <v>8246</v>
      </c>
      <c r="D907" s="157" t="s">
        <v>8029</v>
      </c>
      <c r="E907" s="461" t="s">
        <v>2461</v>
      </c>
      <c r="F907" s="157" t="s">
        <v>9021</v>
      </c>
      <c r="G907" s="445" t="n">
        <v>44.2</v>
      </c>
      <c r="H907" s="431" t="n">
        <v>9506</v>
      </c>
      <c r="I907" s="457" t="n">
        <v>0</v>
      </c>
      <c r="J907" s="458" t="n">
        <v>13570</v>
      </c>
      <c r="K907" s="462" t="n">
        <v>7.9587324981577</v>
      </c>
      <c r="L907" s="463" t="n">
        <v>0</v>
      </c>
      <c r="M907" s="463" t="n">
        <v>0</v>
      </c>
      <c r="N907" s="431" t="n">
        <v>1974</v>
      </c>
      <c r="O907" s="446" t="n">
        <v>3360</v>
      </c>
      <c r="Q907" s="157" t="n">
        <v>13</v>
      </c>
      <c r="R907" s="157" t="n">
        <v>3</v>
      </c>
      <c r="S907" s="157" t="n">
        <v>1</v>
      </c>
      <c r="T907" s="457" t="s">
        <v>7526</v>
      </c>
      <c r="U907" s="457" t="n">
        <v>398</v>
      </c>
      <c r="V907" s="458" t="n">
        <v>53150</v>
      </c>
      <c r="W907" s="458" t="n">
        <v>50000</v>
      </c>
      <c r="X907" s="464" t="s">
        <v>6637</v>
      </c>
      <c r="Y907" s="458" t="n">
        <f aca="false">ROUND(J907,-3)</f>
        <v>14000</v>
      </c>
      <c r="Z907" s="457" t="s">
        <v>6638</v>
      </c>
      <c r="AA907" s="157" t="n">
        <v>3</v>
      </c>
      <c r="AB907" s="157" t="n">
        <v>3</v>
      </c>
      <c r="AC907" s="431" t="s">
        <v>586</v>
      </c>
      <c r="AD907" s="437"/>
      <c r="AE907" s="167"/>
      <c r="AF907" s="167"/>
      <c r="AG907" s="167"/>
      <c r="AH907" s="167"/>
      <c r="AI907" s="167"/>
      <c r="AJ907" s="167"/>
      <c r="AK907" s="167" t="s">
        <v>9022</v>
      </c>
      <c r="AL907" s="157" t="n">
        <f aca="false">IF(AND(ISNUMBER($S907),$S907&gt;0,ISNUMBER($K907),ISNUMBER($J907)),($K907*$J907)/$S907,"")</f>
        <v>108000</v>
      </c>
    </row>
    <row r="908" customFormat="false" ht="12.75" hidden="false" customHeight="true" outlineLevel="0" collapsed="false">
      <c r="A908" s="441" t="n">
        <v>8</v>
      </c>
      <c r="B908" s="157" t="n">
        <v>900</v>
      </c>
      <c r="C908" s="437" t="s">
        <v>8246</v>
      </c>
      <c r="D908" s="157" t="s">
        <v>9023</v>
      </c>
      <c r="E908" s="461" t="s">
        <v>2461</v>
      </c>
      <c r="F908" s="157" t="s">
        <v>9024</v>
      </c>
      <c r="G908" s="445" t="n">
        <v>44.1</v>
      </c>
      <c r="H908" s="431" t="n">
        <v>9506</v>
      </c>
      <c r="I908" s="457" t="n">
        <v>0</v>
      </c>
      <c r="J908" s="458" t="n">
        <v>69120</v>
      </c>
      <c r="K908" s="462" t="n">
        <v>4.53214699074074</v>
      </c>
      <c r="L908" s="463" t="n">
        <v>0</v>
      </c>
      <c r="M908" s="463" t="n">
        <v>0.00540761407384234</v>
      </c>
      <c r="N908" s="431" t="n">
        <v>1974</v>
      </c>
      <c r="O908" s="446" t="n">
        <f aca="false">5480+10619</f>
        <v>16099</v>
      </c>
      <c r="Q908" s="157" t="n">
        <v>24</v>
      </c>
      <c r="R908" s="157" t="n">
        <v>1</v>
      </c>
      <c r="S908" s="157" t="n">
        <v>1</v>
      </c>
      <c r="T908" s="457" t="s">
        <v>7526</v>
      </c>
      <c r="U908" s="457" t="n">
        <v>398</v>
      </c>
      <c r="V908" s="458" t="n">
        <v>124000</v>
      </c>
      <c r="W908" s="458" t="n">
        <v>120000</v>
      </c>
      <c r="X908" s="464" t="s">
        <v>6863</v>
      </c>
      <c r="Y908" s="458" t="n">
        <f aca="false">ROUND(J908,-4)</f>
        <v>70000</v>
      </c>
      <c r="Z908" s="457" t="s">
        <v>6638</v>
      </c>
      <c r="AA908" s="157" t="n">
        <v>3</v>
      </c>
      <c r="AB908" s="157" t="n">
        <v>3</v>
      </c>
      <c r="AC908" s="431" t="s">
        <v>586</v>
      </c>
      <c r="AD908" s="437"/>
      <c r="AE908" s="167"/>
      <c r="AF908" s="167"/>
      <c r="AG908" s="167"/>
      <c r="AH908" s="167"/>
      <c r="AI908" s="167"/>
      <c r="AJ908" s="167"/>
      <c r="AK908" s="167"/>
      <c r="AL908" s="157" t="n">
        <f aca="false">IF(AND(ISNUMBER($S908),$S908&gt;0,ISNUMBER($K908),ISNUMBER($J908)),($K908*$J908)/$S908,"")</f>
        <v>313262</v>
      </c>
    </row>
    <row r="909" customFormat="false" ht="12.75" hidden="false" customHeight="true" outlineLevel="0" collapsed="false">
      <c r="A909" s="441" t="n">
        <v>8</v>
      </c>
      <c r="B909" s="157" t="n">
        <v>901</v>
      </c>
      <c r="C909" s="437" t="s">
        <v>8246</v>
      </c>
      <c r="D909" s="157" t="s">
        <v>9025</v>
      </c>
      <c r="E909" s="461" t="s">
        <v>2461</v>
      </c>
      <c r="F909" s="157" t="s">
        <v>9026</v>
      </c>
      <c r="G909" s="445" t="n">
        <v>44.1</v>
      </c>
      <c r="H909" s="431" t="n">
        <v>9506</v>
      </c>
      <c r="I909" s="457" t="n">
        <v>0</v>
      </c>
      <c r="J909" s="458" t="n">
        <v>3027</v>
      </c>
      <c r="K909" s="462" t="n">
        <v>9.80773042616452</v>
      </c>
      <c r="L909" s="463" t="n">
        <v>0</v>
      </c>
      <c r="M909" s="463" t="n">
        <v>0</v>
      </c>
      <c r="N909" s="431" t="n">
        <v>1959</v>
      </c>
      <c r="O909" s="446" t="n">
        <v>629</v>
      </c>
      <c r="Q909" s="157" t="n">
        <v>11</v>
      </c>
      <c r="R909" s="157" t="n">
        <v>3</v>
      </c>
      <c r="S909" s="157" t="n">
        <v>1</v>
      </c>
      <c r="T909" s="457" t="s">
        <v>7526</v>
      </c>
      <c r="U909" s="457" t="n">
        <v>398</v>
      </c>
      <c r="V909" s="458" t="n">
        <v>4837</v>
      </c>
      <c r="W909" s="458" t="n">
        <v>5000</v>
      </c>
      <c r="X909" s="464" t="s">
        <v>6668</v>
      </c>
      <c r="Y909" s="458" t="n">
        <f aca="false">ROUND(J909,-3)</f>
        <v>3000</v>
      </c>
      <c r="Z909" s="457" t="s">
        <v>6638</v>
      </c>
      <c r="AA909" s="157" t="n">
        <v>3</v>
      </c>
      <c r="AB909" s="157" t="n">
        <v>3</v>
      </c>
      <c r="AC909" s="431" t="s">
        <v>586</v>
      </c>
      <c r="AD909" s="437" t="s">
        <v>9027</v>
      </c>
      <c r="AE909" s="167"/>
      <c r="AF909" s="167"/>
      <c r="AG909" s="167"/>
      <c r="AH909" s="167"/>
      <c r="AI909" s="167"/>
      <c r="AJ909" s="167"/>
      <c r="AK909" s="167" t="s">
        <v>9028</v>
      </c>
      <c r="AL909" s="157" t="n">
        <f aca="false">IF(AND(ISNUMBER($S909),$S909&gt;0,ISNUMBER($K909),ISNUMBER($J909)),($K909*$J909)/$S909,"")</f>
        <v>29688</v>
      </c>
    </row>
    <row r="910" customFormat="false" ht="12.75" hidden="false" customHeight="true" outlineLevel="0" collapsed="false">
      <c r="A910" s="441" t="n">
        <v>8</v>
      </c>
      <c r="B910" s="157" t="n">
        <v>902</v>
      </c>
      <c r="C910" s="437" t="s">
        <v>8246</v>
      </c>
      <c r="D910" s="157" t="s">
        <v>9029</v>
      </c>
      <c r="E910" s="461" t="s">
        <v>2461</v>
      </c>
      <c r="F910" s="157" t="s">
        <v>9030</v>
      </c>
      <c r="G910" s="445" t="n">
        <v>46.1</v>
      </c>
      <c r="H910" s="431" t="n">
        <v>9506</v>
      </c>
      <c r="I910" s="457" t="n">
        <v>0</v>
      </c>
      <c r="J910" s="458" t="n">
        <v>4000</v>
      </c>
      <c r="K910" s="462" t="n">
        <v>5.4</v>
      </c>
      <c r="L910" s="463" t="n">
        <v>0</v>
      </c>
      <c r="M910" s="463" t="n">
        <v>0</v>
      </c>
      <c r="N910" s="431" t="n">
        <v>1966</v>
      </c>
      <c r="O910" s="446" t="n">
        <v>500</v>
      </c>
      <c r="Q910" s="157" t="n">
        <v>14</v>
      </c>
      <c r="R910" s="157" t="n">
        <v>3</v>
      </c>
      <c r="S910" s="157" t="n">
        <v>1</v>
      </c>
      <c r="T910" s="457" t="s">
        <v>7529</v>
      </c>
      <c r="U910" s="457" t="n">
        <v>401</v>
      </c>
      <c r="V910" s="458" t="n">
        <v>10000</v>
      </c>
      <c r="W910" s="458" t="n">
        <v>10000</v>
      </c>
      <c r="X910" s="464" t="s">
        <v>6692</v>
      </c>
      <c r="Y910" s="458" t="n">
        <f aca="false">ROUND(J910,-3)</f>
        <v>4000</v>
      </c>
      <c r="Z910" s="457" t="s">
        <v>6638</v>
      </c>
      <c r="AA910" s="157" t="n">
        <v>3</v>
      </c>
      <c r="AB910" s="157" t="n">
        <v>3</v>
      </c>
      <c r="AC910" s="431" t="s">
        <v>586</v>
      </c>
      <c r="AD910" s="437" t="s">
        <v>9031</v>
      </c>
      <c r="AE910" s="167"/>
      <c r="AF910" s="167"/>
      <c r="AG910" s="167"/>
      <c r="AH910" s="167"/>
      <c r="AI910" s="167"/>
      <c r="AJ910" s="167"/>
      <c r="AK910" s="167"/>
      <c r="AL910" s="157" t="n">
        <f aca="false">IF(AND(ISNUMBER($S910),$S910&gt;0,ISNUMBER($K910),ISNUMBER($J910)),($K910*$J910)/$S910,"")</f>
        <v>21600</v>
      </c>
    </row>
    <row r="911" customFormat="false" ht="12.75" hidden="false" customHeight="true" outlineLevel="0" collapsed="false">
      <c r="A911" s="441" t="n">
        <v>8</v>
      </c>
      <c r="B911" s="157" t="n">
        <v>903</v>
      </c>
      <c r="C911" s="437" t="s">
        <v>8246</v>
      </c>
      <c r="D911" s="157" t="s">
        <v>9032</v>
      </c>
      <c r="E911" s="461" t="s">
        <v>2461</v>
      </c>
      <c r="F911" s="157" t="s">
        <v>9033</v>
      </c>
      <c r="G911" s="445" t="n">
        <v>44.2</v>
      </c>
      <c r="H911" s="431" t="n">
        <v>9506</v>
      </c>
      <c r="I911" s="457" t="n">
        <v>0</v>
      </c>
      <c r="J911" s="458" t="n">
        <v>7881</v>
      </c>
      <c r="K911" s="462" t="n">
        <v>7.91777693186144</v>
      </c>
      <c r="L911" s="463" t="n">
        <v>0</v>
      </c>
      <c r="M911" s="463" t="n">
        <v>0.17088141025641</v>
      </c>
      <c r="N911" s="431" t="n">
        <v>1981</v>
      </c>
      <c r="O911" s="446" t="n">
        <f aca="false">1487+603</f>
        <v>2090</v>
      </c>
      <c r="Q911" s="157" t="n">
        <v>17</v>
      </c>
      <c r="R911" s="157" t="n">
        <v>3</v>
      </c>
      <c r="S911" s="157" t="n">
        <v>1</v>
      </c>
      <c r="T911" s="457" t="s">
        <v>7526</v>
      </c>
      <c r="U911" s="457" t="n">
        <v>398</v>
      </c>
      <c r="V911" s="458" t="n">
        <v>12500</v>
      </c>
      <c r="W911" s="458" t="n">
        <v>13000</v>
      </c>
      <c r="X911" s="464" t="s">
        <v>6668</v>
      </c>
      <c r="Y911" s="458" t="n">
        <f aca="false">ROUND(J911,-3)</f>
        <v>8000</v>
      </c>
      <c r="Z911" s="457" t="s">
        <v>6638</v>
      </c>
      <c r="AA911" s="157" t="n">
        <v>3</v>
      </c>
      <c r="AB911" s="157" t="n">
        <v>3</v>
      </c>
      <c r="AC911" s="431" t="s">
        <v>586</v>
      </c>
      <c r="AD911" s="437"/>
      <c r="AE911" s="167"/>
      <c r="AF911" s="167"/>
      <c r="AG911" s="167"/>
      <c r="AH911" s="167"/>
      <c r="AI911" s="167"/>
      <c r="AJ911" s="167"/>
      <c r="AK911" s="167"/>
      <c r="AL911" s="157" t="n">
        <f aca="false">IF(AND(ISNUMBER($S911),$S911&gt;0,ISNUMBER($K911),ISNUMBER($J911)),($K911*$J911)/$S911,"")</f>
        <v>62400</v>
      </c>
    </row>
    <row r="912" customFormat="false" ht="12.75" hidden="false" customHeight="true" outlineLevel="0" collapsed="false">
      <c r="A912" s="441" t="n">
        <v>8</v>
      </c>
      <c r="B912" s="157" t="n">
        <v>904</v>
      </c>
      <c r="C912" s="437" t="s">
        <v>8246</v>
      </c>
      <c r="D912" s="157" t="s">
        <v>7334</v>
      </c>
      <c r="E912" s="461" t="s">
        <v>2461</v>
      </c>
      <c r="F912" s="157" t="s">
        <v>7335</v>
      </c>
      <c r="G912" s="445" t="n">
        <v>44.5</v>
      </c>
      <c r="H912" s="431" t="n">
        <v>9506</v>
      </c>
      <c r="I912" s="457" t="n">
        <v>0</v>
      </c>
      <c r="J912" s="458" t="n">
        <v>3285</v>
      </c>
      <c r="K912" s="462" t="n">
        <v>6.21004566210046</v>
      </c>
      <c r="L912" s="463" t="n">
        <v>0.631276901004304</v>
      </c>
      <c r="M912" s="463" t="n">
        <v>0</v>
      </c>
      <c r="N912" s="431" t="n">
        <v>1973</v>
      </c>
      <c r="Q912" s="157" t="n">
        <v>12</v>
      </c>
      <c r="R912" s="157" t="n">
        <v>7</v>
      </c>
      <c r="S912" s="157" t="n">
        <v>20</v>
      </c>
      <c r="T912" s="457" t="s">
        <v>7529</v>
      </c>
      <c r="U912" s="457" t="n">
        <v>396</v>
      </c>
      <c r="V912" s="458" t="n">
        <v>9375</v>
      </c>
      <c r="W912" s="458" t="n">
        <v>9000</v>
      </c>
      <c r="X912" s="464" t="s">
        <v>6757</v>
      </c>
      <c r="Y912" s="458" t="n">
        <f aca="false">ROUND(J912,-3)</f>
        <v>3000</v>
      </c>
      <c r="Z912" s="457" t="s">
        <v>6638</v>
      </c>
      <c r="AA912" s="157" t="n">
        <v>3</v>
      </c>
      <c r="AB912" s="157" t="n">
        <v>3</v>
      </c>
      <c r="AC912" s="431" t="s">
        <v>586</v>
      </c>
      <c r="AD912" s="437" t="s">
        <v>7336</v>
      </c>
      <c r="AE912" s="167"/>
      <c r="AF912" s="167"/>
      <c r="AG912" s="167"/>
      <c r="AH912" s="167"/>
      <c r="AI912" s="167"/>
      <c r="AJ912" s="167"/>
      <c r="AK912" s="167" t="s">
        <v>9034</v>
      </c>
      <c r="AL912" s="157" t="n">
        <f aca="false">IF(AND(ISNUMBER($S912),$S912&gt;0,ISNUMBER($K912),ISNUMBER($J912)),($K912*$J912)/$S912,"")</f>
        <v>1020</v>
      </c>
    </row>
    <row r="913" customFormat="false" ht="12.75" hidden="false" customHeight="true" outlineLevel="0" collapsed="false">
      <c r="A913" s="441" t="n">
        <v>8</v>
      </c>
      <c r="B913" s="157" t="n">
        <v>905</v>
      </c>
      <c r="C913" s="437" t="s">
        <v>8246</v>
      </c>
      <c r="D913" s="157" t="s">
        <v>7337</v>
      </c>
      <c r="E913" s="461" t="s">
        <v>2461</v>
      </c>
      <c r="F913" s="157" t="s">
        <v>7338</v>
      </c>
      <c r="G913" s="445" t="n">
        <v>44.2</v>
      </c>
      <c r="H913" s="431" t="n">
        <v>9506</v>
      </c>
      <c r="I913" s="457" t="n">
        <v>0</v>
      </c>
      <c r="J913" s="458" t="n">
        <v>6000</v>
      </c>
      <c r="K913" s="462" t="n">
        <v>5.72916666666667</v>
      </c>
      <c r="L913" s="463" t="n">
        <v>0</v>
      </c>
      <c r="M913" s="463" t="n">
        <v>0.0605381818181818</v>
      </c>
      <c r="N913" s="431" t="n">
        <v>1971</v>
      </c>
      <c r="O913" s="446" t="n">
        <v>630</v>
      </c>
      <c r="Q913" s="157" t="n">
        <v>13</v>
      </c>
      <c r="R913" s="157" t="n">
        <v>3</v>
      </c>
      <c r="S913" s="157" t="n">
        <v>1</v>
      </c>
      <c r="T913" s="457" t="s">
        <v>7529</v>
      </c>
      <c r="U913" s="457" t="n">
        <v>398</v>
      </c>
      <c r="V913" s="458" t="n">
        <v>12500</v>
      </c>
      <c r="W913" s="458" t="n">
        <v>13000</v>
      </c>
      <c r="X913" s="464" t="s">
        <v>6754</v>
      </c>
      <c r="Y913" s="458" t="n">
        <f aca="false">ROUND(J913,-3)</f>
        <v>6000</v>
      </c>
      <c r="Z913" s="457" t="s">
        <v>6638</v>
      </c>
      <c r="AA913" s="157" t="n">
        <v>3</v>
      </c>
      <c r="AB913" s="157" t="n">
        <v>3</v>
      </c>
      <c r="AC913" s="431" t="s">
        <v>586</v>
      </c>
      <c r="AD913" s="437"/>
      <c r="AE913" s="167"/>
      <c r="AF913" s="167"/>
      <c r="AG913" s="167"/>
      <c r="AH913" s="167"/>
      <c r="AI913" s="167"/>
      <c r="AJ913" s="167"/>
      <c r="AK913" s="167" t="s">
        <v>9035</v>
      </c>
      <c r="AL913" s="157" t="n">
        <f aca="false">IF(AND(ISNUMBER($S913),$S913&gt;0,ISNUMBER($K913),ISNUMBER($J913)),($K913*$J913)/$S913,"")</f>
        <v>34375</v>
      </c>
    </row>
    <row r="914" customFormat="false" ht="12.75" hidden="false" customHeight="true" outlineLevel="0" collapsed="false">
      <c r="A914" s="441" t="n">
        <v>8</v>
      </c>
      <c r="B914" s="157" t="n">
        <v>906</v>
      </c>
      <c r="C914" s="437" t="s">
        <v>8246</v>
      </c>
      <c r="D914" s="157" t="s">
        <v>9036</v>
      </c>
      <c r="E914" s="461" t="s">
        <v>2461</v>
      </c>
      <c r="F914" s="157" t="s">
        <v>9037</v>
      </c>
      <c r="G914" s="445" t="n">
        <v>44.2</v>
      </c>
      <c r="H914" s="431" t="n">
        <v>9506</v>
      </c>
      <c r="I914" s="457" t="n">
        <v>0</v>
      </c>
      <c r="J914" s="458" t="n">
        <v>7775</v>
      </c>
      <c r="K914" s="462" t="n">
        <v>13.4245659163987</v>
      </c>
      <c r="L914" s="463" t="n">
        <v>0</v>
      </c>
      <c r="M914" s="463" t="n">
        <v>0.21188779029662</v>
      </c>
      <c r="N914" s="431" t="n">
        <v>2000</v>
      </c>
      <c r="O914" s="446" t="n">
        <v>4188</v>
      </c>
      <c r="Q914" s="157" t="n">
        <v>16</v>
      </c>
      <c r="R914" s="157" t="n">
        <v>1</v>
      </c>
      <c r="S914" s="157" t="n">
        <v>3</v>
      </c>
      <c r="T914" s="457" t="s">
        <v>7529</v>
      </c>
      <c r="U914" s="457" t="n">
        <v>398</v>
      </c>
      <c r="V914" s="458" t="n">
        <v>18750</v>
      </c>
      <c r="W914" s="458" t="n">
        <v>19000</v>
      </c>
      <c r="X914" s="464" t="s">
        <v>6650</v>
      </c>
      <c r="Y914" s="458" t="n">
        <f aca="false">ROUND(J914,-3)</f>
        <v>8000</v>
      </c>
      <c r="Z914" s="457" t="s">
        <v>6638</v>
      </c>
      <c r="AA914" s="157" t="n">
        <v>3</v>
      </c>
      <c r="AB914" s="157" t="n">
        <v>3</v>
      </c>
      <c r="AC914" s="431" t="s">
        <v>586</v>
      </c>
      <c r="AD914" s="437" t="s">
        <v>6651</v>
      </c>
      <c r="AE914" s="167"/>
      <c r="AF914" s="167"/>
      <c r="AG914" s="167"/>
      <c r="AH914" s="167"/>
      <c r="AI914" s="167"/>
      <c r="AJ914" s="167"/>
      <c r="AK914" s="167" t="s">
        <v>9038</v>
      </c>
      <c r="AL914" s="157" t="n">
        <f aca="false">IF(AND(ISNUMBER($S914),$S914&gt;0,ISNUMBER($K914),ISNUMBER($J914)),($K914*$J914)/$S914,"")</f>
        <v>34792</v>
      </c>
    </row>
    <row r="915" customFormat="false" ht="12.75" hidden="false" customHeight="true" outlineLevel="0" collapsed="false">
      <c r="A915" s="441" t="n">
        <v>8</v>
      </c>
      <c r="B915" s="157" t="n">
        <v>907</v>
      </c>
      <c r="C915" s="437" t="s">
        <v>8246</v>
      </c>
      <c r="D915" s="157" t="s">
        <v>9039</v>
      </c>
      <c r="E915" s="461" t="s">
        <v>2461</v>
      </c>
      <c r="F915" s="157" t="s">
        <v>9040</v>
      </c>
      <c r="G915" s="445" t="n">
        <v>43.1</v>
      </c>
      <c r="H915" s="431" t="n">
        <v>9506</v>
      </c>
      <c r="I915" s="457" t="n">
        <v>0</v>
      </c>
      <c r="J915" s="458" t="n">
        <v>9132</v>
      </c>
      <c r="K915" s="462" t="n">
        <v>3.94218134034166</v>
      </c>
      <c r="L915" s="463" t="n">
        <v>0</v>
      </c>
      <c r="M915" s="463" t="n">
        <v>0</v>
      </c>
      <c r="N915" s="431" t="n">
        <v>1969</v>
      </c>
      <c r="O915" s="446" t="n">
        <v>7162</v>
      </c>
      <c r="Q915" s="157" t="n">
        <v>12</v>
      </c>
      <c r="R915" s="157" t="n">
        <v>3</v>
      </c>
      <c r="S915" s="157" t="n">
        <v>1</v>
      </c>
      <c r="T915" s="457" t="s">
        <v>7529</v>
      </c>
      <c r="U915" s="457" t="n">
        <v>401</v>
      </c>
      <c r="V915" s="458" t="n">
        <v>16500</v>
      </c>
      <c r="W915" s="458" t="n">
        <v>17000</v>
      </c>
      <c r="X915" s="464" t="s">
        <v>6863</v>
      </c>
      <c r="Y915" s="458" t="n">
        <f aca="false">ROUND(J915,-3)</f>
        <v>9000</v>
      </c>
      <c r="Z915" s="457" t="s">
        <v>6638</v>
      </c>
      <c r="AA915" s="157" t="n">
        <v>3</v>
      </c>
      <c r="AB915" s="157" t="n">
        <v>3</v>
      </c>
      <c r="AC915" s="431" t="s">
        <v>586</v>
      </c>
      <c r="AD915" s="437" t="s">
        <v>9041</v>
      </c>
      <c r="AE915" s="167"/>
      <c r="AF915" s="167"/>
      <c r="AG915" s="167"/>
      <c r="AH915" s="167"/>
      <c r="AI915" s="167"/>
      <c r="AJ915" s="167"/>
      <c r="AK915" s="167" t="s">
        <v>8922</v>
      </c>
      <c r="AL915" s="157" t="n">
        <f aca="false">IF(AND(ISNUMBER($S915),$S915&gt;0,ISNUMBER($K915),ISNUMBER($J915)),($K915*$J915)/$S915,"")</f>
        <v>36000</v>
      </c>
    </row>
    <row r="916" customFormat="false" ht="12.75" hidden="false" customHeight="true" outlineLevel="0" collapsed="false">
      <c r="A916" s="441" t="n">
        <v>8</v>
      </c>
      <c r="B916" s="157" t="n">
        <v>908</v>
      </c>
      <c r="C916" s="437" t="s">
        <v>8246</v>
      </c>
      <c r="D916" s="157" t="s">
        <v>9042</v>
      </c>
      <c r="E916" s="461" t="s">
        <v>2461</v>
      </c>
      <c r="F916" s="157" t="s">
        <v>9043</v>
      </c>
      <c r="G916" s="445" t="n">
        <v>44.2</v>
      </c>
      <c r="H916" s="431" t="n">
        <v>9506</v>
      </c>
      <c r="I916" s="457" t="n">
        <v>0</v>
      </c>
      <c r="J916" s="458" t="n">
        <v>5000</v>
      </c>
      <c r="K916" s="462" t="n">
        <v>6.7</v>
      </c>
      <c r="L916" s="463" t="n">
        <v>0</v>
      </c>
      <c r="M916" s="463" t="n">
        <v>0</v>
      </c>
      <c r="N916" s="431" t="n">
        <v>1995</v>
      </c>
      <c r="O916" s="446" t="n">
        <v>576</v>
      </c>
      <c r="Q916" s="157" t="n">
        <v>16</v>
      </c>
      <c r="R916" s="157" t="n">
        <v>8</v>
      </c>
      <c r="S916" s="157" t="n">
        <v>1</v>
      </c>
      <c r="T916" s="457" t="s">
        <v>7529</v>
      </c>
      <c r="U916" s="457" t="n">
        <v>398</v>
      </c>
      <c r="V916" s="458" t="n">
        <v>15625</v>
      </c>
      <c r="W916" s="458" t="n">
        <v>16000</v>
      </c>
      <c r="X916" s="464" t="s">
        <v>6751</v>
      </c>
      <c r="Y916" s="458" t="n">
        <f aca="false">ROUND(J916,-3)</f>
        <v>5000</v>
      </c>
      <c r="Z916" s="457" t="s">
        <v>6638</v>
      </c>
      <c r="AA916" s="157" t="n">
        <v>3</v>
      </c>
      <c r="AB916" s="157" t="n">
        <v>3</v>
      </c>
      <c r="AC916" s="431" t="s">
        <v>586</v>
      </c>
      <c r="AD916" s="437" t="s">
        <v>9044</v>
      </c>
      <c r="AE916" s="167"/>
      <c r="AF916" s="167"/>
      <c r="AG916" s="167"/>
      <c r="AH916" s="167"/>
      <c r="AI916" s="167"/>
      <c r="AJ916" s="167"/>
      <c r="AK916" s="167" t="s">
        <v>9045</v>
      </c>
      <c r="AL916" s="157" t="n">
        <f aca="false">IF(AND(ISNUMBER($S916),$S916&gt;0,ISNUMBER($K916),ISNUMBER($J916)),($K916*$J916)/$S916,"")</f>
        <v>33500</v>
      </c>
    </row>
    <row r="917" customFormat="false" ht="12.75" hidden="false" customHeight="true" outlineLevel="0" collapsed="false">
      <c r="A917" s="441" t="n">
        <v>8</v>
      </c>
      <c r="B917" s="157" t="n">
        <v>909</v>
      </c>
      <c r="C917" s="437" t="s">
        <v>8246</v>
      </c>
      <c r="D917" s="157" t="s">
        <v>7343</v>
      </c>
      <c r="E917" s="461" t="s">
        <v>2461</v>
      </c>
      <c r="F917" s="157" t="s">
        <v>7344</v>
      </c>
      <c r="G917" s="445" t="n">
        <v>44.1</v>
      </c>
      <c r="H917" s="431" t="n">
        <v>9506</v>
      </c>
      <c r="I917" s="457" t="n">
        <v>0</v>
      </c>
      <c r="J917" s="458" t="n">
        <v>5615</v>
      </c>
      <c r="K917" s="462" t="n">
        <v>7.21282279608192</v>
      </c>
      <c r="L917" s="463" t="n">
        <v>0</v>
      </c>
      <c r="M917" s="463" t="n">
        <v>0.102469135802469</v>
      </c>
      <c r="N917" s="431" t="n">
        <v>1963</v>
      </c>
      <c r="O917" s="446" t="n">
        <v>1057</v>
      </c>
      <c r="Q917" s="157" t="n">
        <v>13</v>
      </c>
      <c r="R917" s="157" t="n">
        <v>1</v>
      </c>
      <c r="S917" s="157" t="n">
        <v>2</v>
      </c>
      <c r="T917" s="457" t="s">
        <v>7526</v>
      </c>
      <c r="U917" s="457" t="n">
        <v>398</v>
      </c>
      <c r="V917" s="458" t="n">
        <v>10027</v>
      </c>
      <c r="W917" s="458" t="n">
        <v>10000</v>
      </c>
      <c r="X917" s="464" t="s">
        <v>6837</v>
      </c>
      <c r="Y917" s="458" t="n">
        <f aca="false">ROUND(J917,-3)</f>
        <v>6000</v>
      </c>
      <c r="Z917" s="457" t="s">
        <v>6638</v>
      </c>
      <c r="AA917" s="157" t="n">
        <v>3</v>
      </c>
      <c r="AB917" s="157" t="n">
        <v>3</v>
      </c>
      <c r="AC917" s="431" t="s">
        <v>586</v>
      </c>
      <c r="AD917" s="437" t="s">
        <v>7345</v>
      </c>
      <c r="AE917" s="167"/>
      <c r="AF917" s="167"/>
      <c r="AG917" s="167"/>
      <c r="AH917" s="167"/>
      <c r="AI917" s="167"/>
      <c r="AJ917" s="167"/>
      <c r="AK917" s="167" t="s">
        <v>9046</v>
      </c>
      <c r="AL917" s="157" t="n">
        <f aca="false">IF(AND(ISNUMBER($S917),$S917&gt;0,ISNUMBER($K917),ISNUMBER($J917)),($K917*$J917)/$S917,"")</f>
        <v>20250</v>
      </c>
    </row>
    <row r="918" customFormat="false" ht="12.75" hidden="false" customHeight="true" outlineLevel="0" collapsed="false">
      <c r="A918" s="441" t="n">
        <v>8</v>
      </c>
      <c r="B918" s="157" t="n">
        <v>910</v>
      </c>
      <c r="C918" s="437" t="s">
        <v>8246</v>
      </c>
      <c r="D918" s="157" t="s">
        <v>8045</v>
      </c>
      <c r="E918" s="461" t="s">
        <v>2461</v>
      </c>
      <c r="F918" s="157" t="s">
        <v>9047</v>
      </c>
      <c r="G918" s="445" t="n">
        <v>47.1</v>
      </c>
      <c r="H918" s="431" t="n">
        <v>9506</v>
      </c>
      <c r="I918" s="457" t="n">
        <v>0</v>
      </c>
      <c r="J918" s="458" t="n">
        <v>47216</v>
      </c>
      <c r="K918" s="462" t="n">
        <v>5.08302270416808</v>
      </c>
      <c r="L918" s="463" t="n">
        <v>0</v>
      </c>
      <c r="M918" s="463" t="n">
        <v>0</v>
      </c>
      <c r="N918" s="431" t="n">
        <v>1956</v>
      </c>
      <c r="O918" s="446" t="n">
        <f aca="false">4222+420</f>
        <v>4642</v>
      </c>
      <c r="Q918" s="157" t="n">
        <v>14</v>
      </c>
      <c r="R918" s="157" t="n">
        <v>10</v>
      </c>
      <c r="S918" s="157" t="n">
        <v>1</v>
      </c>
      <c r="T918" s="457" t="s">
        <v>7526</v>
      </c>
      <c r="U918" s="457" t="n">
        <v>401</v>
      </c>
      <c r="V918" s="458" t="n">
        <v>89364</v>
      </c>
      <c r="W918" s="458" t="n">
        <v>90000</v>
      </c>
      <c r="X918" s="464" t="s">
        <v>6675</v>
      </c>
      <c r="Y918" s="458" t="n">
        <f aca="false">ROUND(J918,-3)</f>
        <v>47000</v>
      </c>
      <c r="Z918" s="457" t="s">
        <v>6638</v>
      </c>
      <c r="AA918" s="157" t="n">
        <v>3</v>
      </c>
      <c r="AB918" s="157" t="n">
        <v>3</v>
      </c>
      <c r="AC918" s="431" t="s">
        <v>586</v>
      </c>
      <c r="AD918" s="437" t="s">
        <v>8047</v>
      </c>
      <c r="AE918" s="167"/>
      <c r="AF918" s="167"/>
      <c r="AG918" s="167"/>
      <c r="AH918" s="167"/>
      <c r="AI918" s="167"/>
      <c r="AJ918" s="167"/>
      <c r="AK918" s="167"/>
      <c r="AL918" s="157" t="n">
        <f aca="false">IF(AND(ISNUMBER($S918),$S918&gt;0,ISNUMBER($K918),ISNUMBER($J918)),($K918*$J918)/$S918,"")</f>
        <v>240000</v>
      </c>
    </row>
    <row r="919" customFormat="false" ht="12.75" hidden="false" customHeight="true" outlineLevel="0" collapsed="false">
      <c r="A919" s="441" t="n">
        <v>8</v>
      </c>
      <c r="B919" s="157" t="n">
        <v>911</v>
      </c>
      <c r="C919" s="437" t="s">
        <v>8246</v>
      </c>
      <c r="D919" s="157" t="s">
        <v>8048</v>
      </c>
      <c r="E919" s="461" t="s">
        <v>2461</v>
      </c>
      <c r="F919" s="157" t="s">
        <v>9048</v>
      </c>
      <c r="G919" s="445" t="n">
        <v>44.2</v>
      </c>
      <c r="H919" s="431" t="n">
        <v>9506</v>
      </c>
      <c r="I919" s="457" t="n">
        <v>0</v>
      </c>
      <c r="J919" s="458" t="n">
        <v>22290</v>
      </c>
      <c r="K919" s="462" t="n">
        <v>4.58613728129206</v>
      </c>
      <c r="L919" s="463" t="n">
        <v>0.278151637505608</v>
      </c>
      <c r="M919" s="463" t="n">
        <v>0.469278552213255</v>
      </c>
      <c r="N919" s="431" t="n">
        <v>1954</v>
      </c>
      <c r="O919" s="446" t="n">
        <f aca="false">2507+2517</f>
        <v>5024</v>
      </c>
      <c r="P919" s="446" t="n">
        <v>651</v>
      </c>
      <c r="Q919" s="157" t="n">
        <v>9</v>
      </c>
      <c r="R919" s="157" t="n">
        <v>3</v>
      </c>
      <c r="S919" s="157" t="n">
        <v>4</v>
      </c>
      <c r="T919" s="457" t="s">
        <v>7526</v>
      </c>
      <c r="U919" s="457" t="n">
        <v>398</v>
      </c>
      <c r="V919" s="458" t="n">
        <v>52850</v>
      </c>
      <c r="W919" s="458" t="n">
        <v>50000</v>
      </c>
      <c r="X919" s="464" t="s">
        <v>7546</v>
      </c>
      <c r="Y919" s="458" t="n">
        <f aca="false">ROUND(J919,-3)</f>
        <v>22000</v>
      </c>
      <c r="Z919" s="457" t="s">
        <v>6638</v>
      </c>
      <c r="AA919" s="157" t="n">
        <v>3</v>
      </c>
      <c r="AB919" s="157" t="n">
        <v>2</v>
      </c>
      <c r="AC919" s="431" t="s">
        <v>582</v>
      </c>
      <c r="AD919" s="437" t="s">
        <v>8050</v>
      </c>
      <c r="AE919" s="167"/>
      <c r="AF919" s="167"/>
      <c r="AG919" s="167"/>
      <c r="AH919" s="167"/>
      <c r="AI919" s="167"/>
      <c r="AJ919" s="167"/>
      <c r="AK919" s="167" t="s">
        <v>9049</v>
      </c>
      <c r="AL919" s="157" t="n">
        <f aca="false">IF(AND(ISNUMBER($S919),$S919&gt;0,ISNUMBER($K919),ISNUMBER($J919)),($K919*$J919)/$S919,"")</f>
        <v>25556.25</v>
      </c>
    </row>
    <row r="920" customFormat="false" ht="12.75" hidden="false" customHeight="true" outlineLevel="0" collapsed="false">
      <c r="A920" s="441" t="n">
        <v>8</v>
      </c>
      <c r="B920" s="157" t="n">
        <v>912</v>
      </c>
      <c r="C920" s="437" t="s">
        <v>8266</v>
      </c>
      <c r="D920" s="157" t="s">
        <v>9050</v>
      </c>
      <c r="E920" s="457" t="s">
        <v>2461</v>
      </c>
      <c r="F920" s="157" t="s">
        <v>9051</v>
      </c>
      <c r="G920" s="445" t="n">
        <v>44.2</v>
      </c>
      <c r="H920" s="157" t="n">
        <v>9506</v>
      </c>
      <c r="I920" s="457" t="n">
        <v>0</v>
      </c>
      <c r="J920" s="446" t="n">
        <v>26251</v>
      </c>
      <c r="K920" s="176" t="n">
        <v>5.23</v>
      </c>
      <c r="L920" s="175" t="n">
        <v>0.39</v>
      </c>
      <c r="M920" s="175" t="n">
        <v>0</v>
      </c>
      <c r="N920" s="157" t="n">
        <v>1954</v>
      </c>
      <c r="O920" s="458" t="n">
        <v>6211</v>
      </c>
      <c r="P920" s="458" t="n">
        <v>651</v>
      </c>
      <c r="Q920" s="157" t="n">
        <v>9</v>
      </c>
      <c r="R920" s="157" t="n">
        <v>3</v>
      </c>
      <c r="S920" s="157" t="n">
        <v>5</v>
      </c>
      <c r="T920" s="457" t="s">
        <v>7870</v>
      </c>
      <c r="U920" s="457" t="n">
        <v>398</v>
      </c>
      <c r="V920" s="446" t="n">
        <v>52850</v>
      </c>
      <c r="W920" s="446" t="n">
        <v>50000</v>
      </c>
      <c r="X920" s="431" t="s">
        <v>7546</v>
      </c>
      <c r="Y920" s="446" t="n">
        <v>25000</v>
      </c>
      <c r="Z920" s="457" t="s">
        <v>463</v>
      </c>
      <c r="AA920" s="157" t="n">
        <v>2</v>
      </c>
      <c r="AB920" s="157" t="n">
        <v>2</v>
      </c>
      <c r="AC920" s="157" t="n">
        <v>22</v>
      </c>
      <c r="AD920" s="157" t="s">
        <v>9052</v>
      </c>
      <c r="AE920" s="430" t="n">
        <v>5.23</v>
      </c>
      <c r="AF920" s="467" t="n">
        <f aca="false">AE920*0.61</f>
        <v>3.1903</v>
      </c>
      <c r="AG920" s="467" t="n">
        <v>3.19</v>
      </c>
      <c r="AH920" s="467" t="n">
        <v>0</v>
      </c>
      <c r="AI920" s="467"/>
      <c r="AJ920" s="430"/>
      <c r="AK920" s="157" t="s">
        <v>9053</v>
      </c>
      <c r="AN920" s="167"/>
      <c r="AO920" s="167"/>
      <c r="AP920" s="167"/>
    </row>
    <row r="921" customFormat="false" ht="12.75" hidden="false" customHeight="true" outlineLevel="0" collapsed="false">
      <c r="A921" s="441" t="n">
        <v>8</v>
      </c>
      <c r="B921" s="157" t="n">
        <v>913</v>
      </c>
      <c r="C921" s="437" t="s">
        <v>8246</v>
      </c>
      <c r="D921" s="157" t="s">
        <v>9054</v>
      </c>
      <c r="E921" s="461" t="s">
        <v>2461</v>
      </c>
      <c r="F921" s="157" t="s">
        <v>9055</v>
      </c>
      <c r="G921" s="445" t="n">
        <v>44.1</v>
      </c>
      <c r="H921" s="431" t="n">
        <v>9506</v>
      </c>
      <c r="I921" s="457" t="n">
        <v>0</v>
      </c>
      <c r="J921" s="458" t="n">
        <v>17064</v>
      </c>
      <c r="K921" s="462" t="n">
        <v>3.88185654008439</v>
      </c>
      <c r="L921" s="463" t="n">
        <v>0</v>
      </c>
      <c r="M921" s="463" t="n">
        <v>0</v>
      </c>
      <c r="N921" s="431" t="n">
        <v>2000</v>
      </c>
      <c r="Q921" s="157" t="n">
        <v>25</v>
      </c>
      <c r="R921" s="157" t="n">
        <v>7</v>
      </c>
      <c r="S921" s="157" t="n">
        <v>1</v>
      </c>
      <c r="T921" s="457" t="s">
        <v>7526</v>
      </c>
      <c r="U921" s="457" t="n">
        <v>398</v>
      </c>
      <c r="V921" s="458" t="n">
        <v>93000</v>
      </c>
      <c r="W921" s="458" t="n">
        <v>90000</v>
      </c>
      <c r="X921" s="464" t="s">
        <v>7674</v>
      </c>
      <c r="Y921" s="458" t="n">
        <f aca="false">ROUND(J921,-3)</f>
        <v>17000</v>
      </c>
      <c r="Z921" s="457" t="s">
        <v>6638</v>
      </c>
      <c r="AA921" s="157" t="n">
        <v>3</v>
      </c>
      <c r="AB921" s="157" t="n">
        <v>1</v>
      </c>
      <c r="AC921" s="431" t="s">
        <v>576</v>
      </c>
      <c r="AD921" s="437" t="s">
        <v>9056</v>
      </c>
      <c r="AE921" s="167"/>
      <c r="AF921" s="167"/>
      <c r="AG921" s="167"/>
      <c r="AH921" s="167"/>
      <c r="AI921" s="167"/>
      <c r="AJ921" s="167"/>
      <c r="AK921" s="167" t="s">
        <v>9057</v>
      </c>
      <c r="AL921" s="157" t="n">
        <f aca="false">IF(AND(ISNUMBER($S921),$S921&gt;0,ISNUMBER($K921),ISNUMBER($J921)),($K921*$J921)/$S921,"")</f>
        <v>66240</v>
      </c>
    </row>
    <row r="922" customFormat="false" ht="12.75" hidden="false" customHeight="true" outlineLevel="0" collapsed="false">
      <c r="A922" s="441" t="n">
        <v>8</v>
      </c>
      <c r="B922" s="157" t="n">
        <v>914</v>
      </c>
      <c r="C922" s="437" t="s">
        <v>8246</v>
      </c>
      <c r="D922" s="157" t="s">
        <v>9058</v>
      </c>
      <c r="E922" s="461" t="s">
        <v>2461</v>
      </c>
      <c r="F922" s="157" t="s">
        <v>9059</v>
      </c>
      <c r="G922" s="445" t="n">
        <v>44.1</v>
      </c>
      <c r="H922" s="431" t="n">
        <v>9506</v>
      </c>
      <c r="I922" s="457" t="n">
        <v>0</v>
      </c>
      <c r="J922" s="458" t="n">
        <v>2746</v>
      </c>
      <c r="K922" s="462" t="n">
        <v>9.06773488710852</v>
      </c>
      <c r="L922" s="463" t="n">
        <v>0</v>
      </c>
      <c r="M922" s="463" t="n">
        <v>0</v>
      </c>
      <c r="N922" s="431" t="n">
        <v>1959</v>
      </c>
      <c r="O922" s="446" t="n">
        <v>197</v>
      </c>
      <c r="Q922" s="157" t="n">
        <v>11</v>
      </c>
      <c r="R922" s="157" t="n">
        <v>3</v>
      </c>
      <c r="S922" s="157" t="n">
        <v>1</v>
      </c>
      <c r="T922" s="457" t="s">
        <v>7529</v>
      </c>
      <c r="U922" s="457" t="n">
        <v>398</v>
      </c>
      <c r="V922" s="458" t="n">
        <v>9910</v>
      </c>
      <c r="W922" s="458" t="n">
        <v>10000</v>
      </c>
      <c r="X922" s="464" t="s">
        <v>7012</v>
      </c>
      <c r="Y922" s="458" t="n">
        <f aca="false">ROUND(J922,-3)</f>
        <v>3000</v>
      </c>
      <c r="Z922" s="457" t="s">
        <v>6638</v>
      </c>
      <c r="AA922" s="157" t="n">
        <v>3</v>
      </c>
      <c r="AB922" s="157" t="n">
        <v>3</v>
      </c>
      <c r="AC922" s="431" t="s">
        <v>586</v>
      </c>
      <c r="AD922" s="437" t="s">
        <v>6676</v>
      </c>
      <c r="AE922" s="167"/>
      <c r="AF922" s="167"/>
      <c r="AG922" s="167"/>
      <c r="AH922" s="167"/>
      <c r="AI922" s="167"/>
      <c r="AJ922" s="167"/>
      <c r="AK922" s="167"/>
      <c r="AL922" s="157" t="n">
        <f aca="false">IF(AND(ISNUMBER($S922),$S922&gt;0,ISNUMBER($K922),ISNUMBER($J922)),($K922*$J922)/$S922,"")</f>
        <v>24900</v>
      </c>
    </row>
    <row r="923" customFormat="false" ht="12.75" hidden="false" customHeight="true" outlineLevel="0" collapsed="false">
      <c r="A923" s="441" t="n">
        <v>8</v>
      </c>
      <c r="B923" s="157" t="n">
        <v>915</v>
      </c>
      <c r="C923" s="437" t="s">
        <v>8266</v>
      </c>
      <c r="D923" s="157" t="s">
        <v>9060</v>
      </c>
      <c r="E923" s="457" t="s">
        <v>2461</v>
      </c>
      <c r="F923" s="157" t="s">
        <v>9061</v>
      </c>
      <c r="G923" s="445" t="n">
        <v>44.2</v>
      </c>
      <c r="H923" s="157" t="n">
        <v>9506</v>
      </c>
      <c r="I923" s="457" t="n">
        <v>0</v>
      </c>
      <c r="J923" s="446" t="n">
        <v>14819</v>
      </c>
      <c r="K923" s="176" t="n">
        <v>4.8</v>
      </c>
      <c r="L923" s="175" t="n">
        <v>0</v>
      </c>
      <c r="M923" s="175" t="n">
        <v>0.17</v>
      </c>
      <c r="N923" s="157" t="n">
        <v>1963</v>
      </c>
      <c r="O923" s="458" t="n">
        <v>1824</v>
      </c>
      <c r="P923" s="458" t="n">
        <v>0</v>
      </c>
      <c r="Q923" s="157" t="n">
        <v>14</v>
      </c>
      <c r="R923" s="157" t="n">
        <v>1</v>
      </c>
      <c r="S923" s="157" t="n">
        <v>1</v>
      </c>
      <c r="T923" s="457" t="s">
        <v>7870</v>
      </c>
      <c r="U923" s="157" t="n">
        <v>398</v>
      </c>
      <c r="V923" s="446" t="n">
        <v>20000</v>
      </c>
      <c r="W923" s="446" t="n">
        <v>20000</v>
      </c>
      <c r="X923" s="431" t="s">
        <v>7103</v>
      </c>
      <c r="Y923" s="446" t="n">
        <v>15000</v>
      </c>
      <c r="Z923" s="457" t="s">
        <v>463</v>
      </c>
      <c r="AA923" s="157" t="n">
        <v>3</v>
      </c>
      <c r="AB923" s="157" t="n">
        <v>3</v>
      </c>
      <c r="AC923" s="157" t="n">
        <v>33</v>
      </c>
      <c r="AE923" s="430" t="n">
        <v>4.8</v>
      </c>
      <c r="AF923" s="467" t="n">
        <v>4.05</v>
      </c>
      <c r="AG923" s="467" t="n">
        <v>3.34</v>
      </c>
      <c r="AH923" s="467" t="n">
        <v>0.7</v>
      </c>
      <c r="AI923" s="467" t="s">
        <v>1310</v>
      </c>
      <c r="AJ923" s="430" t="s">
        <v>1310</v>
      </c>
      <c r="AN923" s="167"/>
      <c r="AO923" s="167"/>
      <c r="AP923" s="167"/>
    </row>
    <row r="924" customFormat="false" ht="12.75" hidden="false" customHeight="true" outlineLevel="0" collapsed="false">
      <c r="A924" s="441" t="n">
        <v>8</v>
      </c>
      <c r="B924" s="157" t="n">
        <v>916</v>
      </c>
      <c r="C924" s="437" t="s">
        <v>8246</v>
      </c>
      <c r="D924" s="157" t="s">
        <v>9062</v>
      </c>
      <c r="E924" s="461" t="s">
        <v>2461</v>
      </c>
      <c r="F924" s="157" t="s">
        <v>9063</v>
      </c>
      <c r="G924" s="445" t="n">
        <v>44.1</v>
      </c>
      <c r="H924" s="431" t="n">
        <v>9506</v>
      </c>
      <c r="I924" s="457" t="n">
        <v>0</v>
      </c>
      <c r="J924" s="458" t="n">
        <v>71142</v>
      </c>
      <c r="K924" s="462" t="n">
        <v>6.51851227123218</v>
      </c>
      <c r="L924" s="463" t="n">
        <v>0</v>
      </c>
      <c r="M924" s="463" t="n">
        <v>0</v>
      </c>
      <c r="N924" s="431" t="n">
        <v>2001</v>
      </c>
      <c r="Q924" s="157" t="n">
        <v>22</v>
      </c>
      <c r="R924" s="157" t="n">
        <v>7</v>
      </c>
      <c r="S924" s="157" t="n">
        <v>1</v>
      </c>
      <c r="T924" s="457" t="s">
        <v>7526</v>
      </c>
      <c r="U924" s="457" t="n">
        <v>398</v>
      </c>
      <c r="V924" s="458" t="n">
        <v>187236</v>
      </c>
      <c r="W924" s="458" t="n">
        <v>190000</v>
      </c>
      <c r="X924" s="464" t="s">
        <v>6724</v>
      </c>
      <c r="Y924" s="458" t="n">
        <f aca="false">ROUND(J924,-4)</f>
        <v>70000</v>
      </c>
      <c r="Z924" s="457" t="s">
        <v>6638</v>
      </c>
      <c r="AA924" s="157" t="n">
        <v>3</v>
      </c>
      <c r="AB924" s="157" t="n">
        <v>3</v>
      </c>
      <c r="AC924" s="431" t="s">
        <v>586</v>
      </c>
      <c r="AD924" s="437" t="s">
        <v>9064</v>
      </c>
      <c r="AE924" s="167"/>
      <c r="AF924" s="167"/>
      <c r="AG924" s="167"/>
      <c r="AH924" s="167"/>
      <c r="AI924" s="167"/>
      <c r="AJ924" s="167"/>
      <c r="AK924" s="167" t="s">
        <v>8922</v>
      </c>
      <c r="AL924" s="157" t="n">
        <f aca="false">IF(AND(ISNUMBER($S924),$S924&gt;0,ISNUMBER($K924),ISNUMBER($J924)),($K924*$J924)/$S924,"")</f>
        <v>463740</v>
      </c>
    </row>
    <row r="925" customFormat="false" ht="12.75" hidden="false" customHeight="true" outlineLevel="0" collapsed="false">
      <c r="A925" s="441" t="n">
        <v>8</v>
      </c>
      <c r="B925" s="157" t="n">
        <v>917</v>
      </c>
      <c r="C925" s="437" t="s">
        <v>8246</v>
      </c>
      <c r="D925" s="157" t="s">
        <v>8063</v>
      </c>
      <c r="E925" s="461" t="s">
        <v>2461</v>
      </c>
      <c r="F925" s="157" t="s">
        <v>9065</v>
      </c>
      <c r="G925" s="445" t="n">
        <v>44.1</v>
      </c>
      <c r="H925" s="431" t="n">
        <v>9506</v>
      </c>
      <c r="I925" s="457" t="n">
        <v>5</v>
      </c>
      <c r="J925" s="458" t="n">
        <v>5077</v>
      </c>
      <c r="K925" s="462" t="n">
        <v>7.09080165452039</v>
      </c>
      <c r="L925" s="463" t="n">
        <v>0</v>
      </c>
      <c r="M925" s="463" t="n">
        <v>0</v>
      </c>
      <c r="N925" s="431" t="n">
        <v>1956</v>
      </c>
      <c r="O925" s="446" t="n">
        <v>480</v>
      </c>
      <c r="Q925" s="157" t="n">
        <v>15</v>
      </c>
      <c r="R925" s="157" t="n">
        <v>1</v>
      </c>
      <c r="S925" s="157" t="n">
        <v>1</v>
      </c>
      <c r="T925" s="457" t="s">
        <v>7789</v>
      </c>
      <c r="U925" s="457" t="n">
        <v>398</v>
      </c>
      <c r="V925" s="458" t="n">
        <v>15254</v>
      </c>
      <c r="W925" s="458" t="n">
        <v>15000</v>
      </c>
      <c r="X925" s="464" t="s">
        <v>7563</v>
      </c>
      <c r="Y925" s="458" t="n">
        <f aca="false">ROUND(J925,-3)</f>
        <v>5000</v>
      </c>
      <c r="Z925" s="457" t="s">
        <v>6638</v>
      </c>
      <c r="AA925" s="157" t="n">
        <v>3</v>
      </c>
      <c r="AB925" s="157" t="n">
        <v>3</v>
      </c>
      <c r="AC925" s="431" t="s">
        <v>586</v>
      </c>
      <c r="AD925" s="437"/>
      <c r="AE925" s="167"/>
      <c r="AF925" s="167"/>
      <c r="AG925" s="167"/>
      <c r="AH925" s="167"/>
      <c r="AI925" s="167"/>
      <c r="AJ925" s="167"/>
      <c r="AK925" s="167"/>
      <c r="AL925" s="157" t="n">
        <f aca="false">IF(AND(ISNUMBER($S925),$S925&gt;0,ISNUMBER($K925),ISNUMBER($J925)),($K925*$J925)/$S925,"")</f>
        <v>36000</v>
      </c>
    </row>
    <row r="926" customFormat="false" ht="12.75" hidden="false" customHeight="true" outlineLevel="0" collapsed="false">
      <c r="A926" s="441" t="n">
        <v>8</v>
      </c>
      <c r="B926" s="157" t="n">
        <v>918</v>
      </c>
      <c r="C926" s="437" t="s">
        <v>8246</v>
      </c>
      <c r="D926" s="157" t="s">
        <v>9066</v>
      </c>
      <c r="E926" s="461" t="s">
        <v>2461</v>
      </c>
      <c r="F926" s="157" t="s">
        <v>9067</v>
      </c>
      <c r="G926" s="445" t="n">
        <v>44.5</v>
      </c>
      <c r="H926" s="431" t="n">
        <v>9506</v>
      </c>
      <c r="I926" s="457" t="n">
        <v>0</v>
      </c>
      <c r="J926" s="458" t="n">
        <v>88065</v>
      </c>
      <c r="K926" s="462" t="n">
        <v>8.17985578833816</v>
      </c>
      <c r="L926" s="463" t="n">
        <v>0</v>
      </c>
      <c r="M926" s="463" t="n">
        <v>0.360109334373555</v>
      </c>
      <c r="N926" s="431" t="n">
        <v>1977</v>
      </c>
      <c r="O926" s="446" t="n">
        <f aca="false">14230+6035</f>
        <v>20265</v>
      </c>
      <c r="Q926" s="157" t="n">
        <v>18</v>
      </c>
      <c r="R926" s="157" t="n">
        <v>1</v>
      </c>
      <c r="S926" s="157" t="n">
        <v>1</v>
      </c>
      <c r="T926" s="457" t="s">
        <v>7531</v>
      </c>
      <c r="U926" s="457" t="n">
        <v>396</v>
      </c>
      <c r="V926" s="458" t="n">
        <v>161280</v>
      </c>
      <c r="W926" s="458" t="n">
        <v>160000</v>
      </c>
      <c r="X926" s="464" t="s">
        <v>6863</v>
      </c>
      <c r="Y926" s="458" t="n">
        <f aca="false">ROUND(J926,-4)</f>
        <v>90000</v>
      </c>
      <c r="Z926" s="457" t="s">
        <v>6638</v>
      </c>
      <c r="AA926" s="157" t="n">
        <v>3</v>
      </c>
      <c r="AB926" s="157" t="n">
        <v>3</v>
      </c>
      <c r="AC926" s="431" t="s">
        <v>586</v>
      </c>
      <c r="AD926" s="437" t="s">
        <v>9068</v>
      </c>
      <c r="AE926" s="167"/>
      <c r="AF926" s="167"/>
      <c r="AG926" s="167"/>
      <c r="AH926" s="167"/>
      <c r="AI926" s="167"/>
      <c r="AJ926" s="167"/>
      <c r="AK926" s="167"/>
      <c r="AL926" s="157" t="n">
        <f aca="false">IF(AND(ISNUMBER($S926),$S926&gt;0,ISNUMBER($K926),ISNUMBER($J926)),($K926*$J926)/$S926,"")</f>
        <v>720359</v>
      </c>
    </row>
    <row r="927" customFormat="false" ht="12.75" hidden="false" customHeight="true" outlineLevel="0" collapsed="false">
      <c r="A927" s="441" t="n">
        <v>8</v>
      </c>
      <c r="B927" s="157" t="n">
        <v>919</v>
      </c>
      <c r="C927" s="437" t="s">
        <v>8246</v>
      </c>
      <c r="D927" s="157" t="s">
        <v>9069</v>
      </c>
      <c r="E927" s="461" t="s">
        <v>2461</v>
      </c>
      <c r="F927" s="157" t="s">
        <v>9070</v>
      </c>
      <c r="G927" s="445" t="n">
        <v>44.1</v>
      </c>
      <c r="H927" s="431" t="n">
        <v>9506</v>
      </c>
      <c r="I927" s="457" t="n">
        <v>0</v>
      </c>
      <c r="J927" s="458" t="n">
        <v>3720</v>
      </c>
      <c r="K927" s="462" t="n">
        <v>6.91317204301075</v>
      </c>
      <c r="L927" s="463" t="n">
        <v>0</v>
      </c>
      <c r="M927" s="463" t="n">
        <v>0.169071042501069</v>
      </c>
      <c r="N927" s="431" t="n">
        <v>1965</v>
      </c>
      <c r="O927" s="446" t="n">
        <v>1347</v>
      </c>
      <c r="Q927" s="157" t="n">
        <v>12</v>
      </c>
      <c r="R927" s="157" t="n">
        <v>1</v>
      </c>
      <c r="S927" s="157" t="n">
        <v>1</v>
      </c>
      <c r="T927" s="457" t="s">
        <v>7531</v>
      </c>
      <c r="U927" s="457" t="n">
        <v>398</v>
      </c>
      <c r="V927" s="458" t="n">
        <v>11135</v>
      </c>
      <c r="W927" s="458" t="n">
        <v>11000</v>
      </c>
      <c r="X927" s="464" t="s">
        <v>7563</v>
      </c>
      <c r="Y927" s="458" t="n">
        <f aca="false">ROUND(J927,-3)</f>
        <v>4000</v>
      </c>
      <c r="Z927" s="457" t="s">
        <v>6638</v>
      </c>
      <c r="AA927" s="157" t="n">
        <v>3</v>
      </c>
      <c r="AB927" s="157" t="n">
        <v>3</v>
      </c>
      <c r="AC927" s="431" t="s">
        <v>586</v>
      </c>
      <c r="AD927" s="437"/>
      <c r="AE927" s="167"/>
      <c r="AF927" s="167"/>
      <c r="AG927" s="167"/>
      <c r="AH927" s="167"/>
      <c r="AI927" s="167"/>
      <c r="AJ927" s="167"/>
      <c r="AK927" s="167" t="s">
        <v>8419</v>
      </c>
      <c r="AL927" s="157" t="n">
        <f aca="false">IF(AND(ISNUMBER($S927),$S927&gt;0,ISNUMBER($K927),ISNUMBER($J927)),($K927*$J927)/$S927,"")</f>
        <v>25717</v>
      </c>
    </row>
    <row r="928" customFormat="false" ht="12.75" hidden="false" customHeight="true" outlineLevel="0" collapsed="false">
      <c r="A928" s="441" t="n">
        <v>8</v>
      </c>
      <c r="B928" s="157" t="n">
        <v>920</v>
      </c>
      <c r="C928" s="437" t="s">
        <v>8246</v>
      </c>
      <c r="D928" s="157" t="s">
        <v>9071</v>
      </c>
      <c r="E928" s="461" t="s">
        <v>2461</v>
      </c>
      <c r="F928" s="157" t="s">
        <v>9072</v>
      </c>
      <c r="G928" s="445" t="n">
        <v>44.1</v>
      </c>
      <c r="H928" s="431" t="n">
        <v>9506</v>
      </c>
      <c r="I928" s="457" t="n">
        <v>0</v>
      </c>
      <c r="J928" s="458" t="n">
        <v>9274</v>
      </c>
      <c r="K928" s="462" t="n">
        <v>6.25</v>
      </c>
      <c r="L928" s="463" t="n">
        <v>0</v>
      </c>
      <c r="M928" s="463" t="n">
        <v>0.1</v>
      </c>
      <c r="N928" s="431" t="n">
        <v>1959</v>
      </c>
      <c r="O928" s="446" t="n">
        <v>1584</v>
      </c>
      <c r="Q928" s="157" t="n">
        <v>17</v>
      </c>
      <c r="R928" s="157" t="n">
        <v>1</v>
      </c>
      <c r="S928" s="157" t="n">
        <v>1</v>
      </c>
      <c r="T928" s="457" t="s">
        <v>7531</v>
      </c>
      <c r="U928" s="457" t="n">
        <v>398</v>
      </c>
      <c r="V928" s="458" t="n">
        <v>20250</v>
      </c>
      <c r="W928" s="458" t="n">
        <v>20000</v>
      </c>
      <c r="X928" s="464" t="s">
        <v>6700</v>
      </c>
      <c r="Y928" s="458" t="n">
        <f aca="false">ROUND(J928,-3)</f>
        <v>9000</v>
      </c>
      <c r="Z928" s="457" t="s">
        <v>6638</v>
      </c>
      <c r="AA928" s="157" t="n">
        <v>3</v>
      </c>
      <c r="AB928" s="157" t="n">
        <v>3</v>
      </c>
      <c r="AC928" s="431" t="s">
        <v>586</v>
      </c>
      <c r="AD928" s="437" t="s">
        <v>9073</v>
      </c>
      <c r="AE928" s="167"/>
      <c r="AF928" s="167"/>
      <c r="AG928" s="167"/>
      <c r="AH928" s="167"/>
      <c r="AI928" s="167"/>
      <c r="AJ928" s="167"/>
      <c r="AK928" s="167"/>
      <c r="AL928" s="157" t="n">
        <f aca="false">IF(AND(ISNUMBER($S928),$S928&gt;0,ISNUMBER($K928),ISNUMBER($J928)),($K928*$J928)/$S928,"")</f>
        <v>57962.5</v>
      </c>
    </row>
    <row r="929" customFormat="false" ht="12.75" hidden="false" customHeight="true" outlineLevel="0" collapsed="false">
      <c r="A929" s="441" t="n">
        <v>8</v>
      </c>
      <c r="B929" s="157" t="n">
        <v>921</v>
      </c>
      <c r="C929" s="437" t="s">
        <v>8266</v>
      </c>
      <c r="D929" s="157" t="s">
        <v>9074</v>
      </c>
      <c r="E929" s="457" t="s">
        <v>2461</v>
      </c>
      <c r="F929" s="157" t="s">
        <v>9075</v>
      </c>
      <c r="G929" s="445" t="n">
        <v>44.2</v>
      </c>
      <c r="H929" s="157" t="n">
        <v>9506</v>
      </c>
      <c r="I929" s="457" t="n">
        <v>0</v>
      </c>
      <c r="J929" s="446" t="n">
        <v>6919</v>
      </c>
      <c r="K929" s="176" t="n">
        <v>6.2</v>
      </c>
      <c r="L929" s="175" t="n">
        <v>0</v>
      </c>
      <c r="M929" s="175" t="n">
        <v>0.07</v>
      </c>
      <c r="N929" s="157" t="n">
        <v>1961</v>
      </c>
      <c r="O929" s="458" t="n">
        <v>1014</v>
      </c>
      <c r="P929" s="458" t="n">
        <v>0</v>
      </c>
      <c r="Q929" s="157" t="n">
        <v>14</v>
      </c>
      <c r="R929" s="157" t="n">
        <v>1</v>
      </c>
      <c r="S929" s="157" t="n">
        <v>1</v>
      </c>
      <c r="T929" s="457" t="s">
        <v>7542</v>
      </c>
      <c r="U929" s="457" t="n">
        <v>398</v>
      </c>
      <c r="V929" s="458" t="n">
        <v>19113</v>
      </c>
      <c r="W929" s="458" t="n">
        <v>20000</v>
      </c>
      <c r="X929" s="431" t="s">
        <v>7288</v>
      </c>
      <c r="Y929" s="458" t="n">
        <v>7000</v>
      </c>
      <c r="Z929" s="457" t="s">
        <v>463</v>
      </c>
      <c r="AA929" s="157" t="n">
        <v>3</v>
      </c>
      <c r="AB929" s="157" t="n">
        <v>3</v>
      </c>
      <c r="AC929" s="157" t="n">
        <v>33</v>
      </c>
      <c r="AE929" s="430" t="n">
        <v>6.2</v>
      </c>
      <c r="AF929" s="467" t="n">
        <v>6.2</v>
      </c>
      <c r="AG929" s="467" t="n">
        <v>5.75</v>
      </c>
      <c r="AH929" s="467" t="n">
        <v>0.44</v>
      </c>
      <c r="AI929" s="467" t="n">
        <v>0</v>
      </c>
      <c r="AJ929" s="430" t="n">
        <v>0</v>
      </c>
      <c r="AN929" s="167"/>
      <c r="AO929" s="167"/>
    </row>
    <row r="930" customFormat="false" ht="12.75" hidden="false" customHeight="true" outlineLevel="0" collapsed="false">
      <c r="A930" s="441" t="n">
        <v>8</v>
      </c>
      <c r="B930" s="157" t="n">
        <v>922</v>
      </c>
      <c r="C930" s="437" t="s">
        <v>8246</v>
      </c>
      <c r="D930" s="157" t="s">
        <v>9076</v>
      </c>
      <c r="E930" s="461" t="s">
        <v>2461</v>
      </c>
      <c r="F930" s="157" t="s">
        <v>9077</v>
      </c>
      <c r="G930" s="445" t="n">
        <v>44.2</v>
      </c>
      <c r="H930" s="431" t="n">
        <v>9506</v>
      </c>
      <c r="I930" s="457" t="n">
        <v>0</v>
      </c>
      <c r="J930" s="458" t="n">
        <v>5906</v>
      </c>
      <c r="K930" s="462" t="n">
        <v>8.63528614967829</v>
      </c>
      <c r="L930" s="463" t="n">
        <v>0</v>
      </c>
      <c r="M930" s="463" t="n">
        <v>0</v>
      </c>
      <c r="N930" s="431" t="n">
        <v>1964</v>
      </c>
      <c r="O930" s="446" t="n">
        <v>1414</v>
      </c>
      <c r="Q930" s="157" t="n">
        <v>13</v>
      </c>
      <c r="R930" s="157" t="n">
        <v>4</v>
      </c>
      <c r="S930" s="157" t="n">
        <v>1</v>
      </c>
      <c r="T930" s="457" t="s">
        <v>7531</v>
      </c>
      <c r="U930" s="457" t="n">
        <v>398</v>
      </c>
      <c r="V930" s="458" t="n">
        <v>9652</v>
      </c>
      <c r="W930" s="458" t="n">
        <v>10000</v>
      </c>
      <c r="X930" s="464" t="s">
        <v>6668</v>
      </c>
      <c r="Y930" s="458" t="n">
        <f aca="false">ROUND(J930,-3)</f>
        <v>6000</v>
      </c>
      <c r="Z930" s="457" t="s">
        <v>6638</v>
      </c>
      <c r="AA930" s="157" t="n">
        <v>3</v>
      </c>
      <c r="AB930" s="157" t="n">
        <v>3</v>
      </c>
      <c r="AC930" s="431" t="s">
        <v>586</v>
      </c>
      <c r="AD930" s="437" t="s">
        <v>9078</v>
      </c>
      <c r="AE930" s="167"/>
      <c r="AF930" s="167"/>
      <c r="AG930" s="167"/>
      <c r="AH930" s="167"/>
      <c r="AI930" s="167"/>
      <c r="AJ930" s="167"/>
      <c r="AK930" s="167" t="s">
        <v>8795</v>
      </c>
      <c r="AL930" s="157" t="n">
        <f aca="false">IF(AND(ISNUMBER($S930),$S930&gt;0,ISNUMBER($K930),ISNUMBER($J930)),($K930*$J930)/$S930,"")</f>
        <v>51000</v>
      </c>
    </row>
    <row r="931" customFormat="false" ht="12.75" hidden="false" customHeight="true" outlineLevel="0" collapsed="false">
      <c r="A931" s="441" t="n">
        <v>8</v>
      </c>
      <c r="B931" s="157" t="n">
        <v>923</v>
      </c>
      <c r="C931" s="437" t="s">
        <v>8266</v>
      </c>
      <c r="D931" s="157" t="s">
        <v>9079</v>
      </c>
      <c r="E931" s="457" t="s">
        <v>2461</v>
      </c>
      <c r="F931" s="157" t="s">
        <v>9080</v>
      </c>
      <c r="G931" s="445" t="n">
        <v>44.2</v>
      </c>
      <c r="H931" s="157" t="n">
        <v>9506</v>
      </c>
      <c r="I931" s="457" t="n">
        <v>0</v>
      </c>
      <c r="J931" s="446" t="n">
        <v>8000</v>
      </c>
      <c r="K931" s="176" t="n">
        <v>5</v>
      </c>
      <c r="L931" s="175" t="n">
        <v>0</v>
      </c>
      <c r="M931" s="175" t="n">
        <v>0.04</v>
      </c>
      <c r="N931" s="157" t="n">
        <v>1975</v>
      </c>
      <c r="O931" s="458" t="n">
        <v>1000</v>
      </c>
      <c r="P931" s="458" t="n">
        <v>2000</v>
      </c>
      <c r="Q931" s="157" t="n">
        <v>13</v>
      </c>
      <c r="R931" s="157" t="n">
        <v>1</v>
      </c>
      <c r="S931" s="157" t="n">
        <v>1</v>
      </c>
      <c r="T931" s="457" t="s">
        <v>7542</v>
      </c>
      <c r="U931" s="457" t="n">
        <v>398</v>
      </c>
      <c r="V931" s="458" t="n">
        <v>6477</v>
      </c>
      <c r="W931" s="446" t="n">
        <v>6500</v>
      </c>
      <c r="X931" s="431" t="s">
        <v>7375</v>
      </c>
      <c r="Y931" s="446" t="n">
        <v>8000</v>
      </c>
      <c r="Z931" s="457" t="s">
        <v>463</v>
      </c>
      <c r="AA931" s="157" t="n">
        <v>2</v>
      </c>
      <c r="AB931" s="157" t="n">
        <v>2</v>
      </c>
      <c r="AC931" s="157" t="n">
        <v>22</v>
      </c>
      <c r="AE931" s="430" t="n">
        <v>5</v>
      </c>
      <c r="AF931" s="467" t="n">
        <v>5</v>
      </c>
      <c r="AG931" s="467" t="n">
        <v>4.4</v>
      </c>
      <c r="AH931" s="467" t="n">
        <v>0.21</v>
      </c>
      <c r="AI931" s="467" t="n">
        <v>0.86</v>
      </c>
      <c r="AJ931" s="430" t="s">
        <v>1310</v>
      </c>
      <c r="AN931" s="167"/>
      <c r="AO931" s="167"/>
      <c r="AP931" s="167"/>
    </row>
    <row r="932" customFormat="false" ht="12.75" hidden="false" customHeight="true" outlineLevel="0" collapsed="false">
      <c r="A932" s="441" t="n">
        <v>8</v>
      </c>
      <c r="B932" s="157" t="n">
        <v>924</v>
      </c>
      <c r="C932" s="437" t="s">
        <v>8246</v>
      </c>
      <c r="D932" s="157" t="s">
        <v>9081</v>
      </c>
      <c r="E932" s="461" t="s">
        <v>2461</v>
      </c>
      <c r="F932" s="157" t="s">
        <v>9082</v>
      </c>
      <c r="G932" s="445" t="n">
        <v>44.2</v>
      </c>
      <c r="H932" s="431" t="n">
        <v>9506</v>
      </c>
      <c r="I932" s="457" t="n">
        <v>0</v>
      </c>
      <c r="J932" s="458" t="n">
        <v>7329</v>
      </c>
      <c r="K932" s="462" t="n">
        <v>7.6545231273025</v>
      </c>
      <c r="L932" s="463" t="n">
        <v>0</v>
      </c>
      <c r="M932" s="463" t="n">
        <v>0.124420677361854</v>
      </c>
      <c r="N932" s="431" t="n">
        <v>1986</v>
      </c>
      <c r="O932" s="446" t="n">
        <v>2167</v>
      </c>
      <c r="Q932" s="157" t="n">
        <v>14</v>
      </c>
      <c r="R932" s="157" t="n">
        <v>3</v>
      </c>
      <c r="S932" s="157" t="n">
        <v>5</v>
      </c>
      <c r="T932" s="457" t="s">
        <v>7529</v>
      </c>
      <c r="U932" s="457" t="n">
        <v>398</v>
      </c>
      <c r="V932" s="458" t="n">
        <v>15625</v>
      </c>
      <c r="W932" s="458" t="n">
        <v>16000</v>
      </c>
      <c r="X932" s="464" t="s">
        <v>6754</v>
      </c>
      <c r="Y932" s="458" t="n">
        <f aca="false">ROUND(J932,-3)</f>
        <v>7000</v>
      </c>
      <c r="Z932" s="457" t="s">
        <v>6638</v>
      </c>
      <c r="AA932" s="157" t="n">
        <v>3</v>
      </c>
      <c r="AB932" s="157" t="n">
        <v>3</v>
      </c>
      <c r="AC932" s="431" t="s">
        <v>586</v>
      </c>
      <c r="AD932" s="437" t="s">
        <v>7295</v>
      </c>
      <c r="AE932" s="167"/>
      <c r="AF932" s="167"/>
      <c r="AG932" s="167"/>
      <c r="AH932" s="167"/>
      <c r="AI932" s="167"/>
      <c r="AJ932" s="167"/>
      <c r="AK932" s="167" t="s">
        <v>9083</v>
      </c>
      <c r="AL932" s="157" t="n">
        <f aca="false">IF(AND(ISNUMBER($S932),$S932&gt;0,ISNUMBER($K932),ISNUMBER($J932)),($K932*$J932)/$S932,"")</f>
        <v>11220</v>
      </c>
    </row>
    <row r="933" customFormat="false" ht="12.75" hidden="false" customHeight="true" outlineLevel="0" collapsed="false">
      <c r="A933" s="441" t="n">
        <v>8</v>
      </c>
      <c r="B933" s="157" t="n">
        <v>925</v>
      </c>
      <c r="C933" s="437" t="s">
        <v>8246</v>
      </c>
      <c r="D933" s="157" t="s">
        <v>7379</v>
      </c>
      <c r="E933" s="461" t="s">
        <v>2461</v>
      </c>
      <c r="F933" s="157" t="s">
        <v>7380</v>
      </c>
      <c r="G933" s="445" t="n">
        <v>44.2</v>
      </c>
      <c r="H933" s="431" t="n">
        <v>9506</v>
      </c>
      <c r="I933" s="457" t="n">
        <v>0</v>
      </c>
      <c r="J933" s="458" t="n">
        <v>1345</v>
      </c>
      <c r="K933" s="462" t="n">
        <v>10.7063197026022</v>
      </c>
      <c r="L933" s="463" t="n">
        <v>0</v>
      </c>
      <c r="M933" s="463" t="n">
        <v>0.127638888888889</v>
      </c>
      <c r="N933" s="431" t="n">
        <v>1959</v>
      </c>
      <c r="Q933" s="157" t="n">
        <v>14</v>
      </c>
      <c r="R933" s="157" t="n">
        <v>8</v>
      </c>
      <c r="S933" s="157" t="n">
        <v>1</v>
      </c>
      <c r="T933" s="457" t="s">
        <v>7529</v>
      </c>
      <c r="U933" s="457" t="n">
        <v>398</v>
      </c>
      <c r="V933" s="458" t="n">
        <v>12700</v>
      </c>
      <c r="W933" s="458" t="n">
        <v>13000</v>
      </c>
      <c r="X933" s="464" t="s">
        <v>7381</v>
      </c>
      <c r="Y933" s="458" t="n">
        <f aca="false">ROUND(J933,-2)</f>
        <v>1300</v>
      </c>
      <c r="Z933" s="457" t="s">
        <v>6638</v>
      </c>
      <c r="AA933" s="157" t="n">
        <v>3</v>
      </c>
      <c r="AB933" s="157" t="n">
        <v>3</v>
      </c>
      <c r="AC933" s="431" t="s">
        <v>586</v>
      </c>
      <c r="AD933" s="437" t="s">
        <v>7382</v>
      </c>
      <c r="AE933" s="167"/>
      <c r="AF933" s="167"/>
      <c r="AG933" s="167"/>
      <c r="AH933" s="167"/>
      <c r="AI933" s="167"/>
      <c r="AJ933" s="167"/>
      <c r="AK933" s="167" t="s">
        <v>8313</v>
      </c>
      <c r="AL933" s="157" t="n">
        <f aca="false">IF(AND(ISNUMBER($S933),$S933&gt;0,ISNUMBER($K933),ISNUMBER($J933)),($K933*$J933)/$S933,"")</f>
        <v>14400</v>
      </c>
    </row>
    <row r="934" customFormat="false" ht="12.75" hidden="false" customHeight="true" outlineLevel="0" collapsed="false">
      <c r="A934" s="441" t="n">
        <v>8</v>
      </c>
      <c r="B934" s="157" t="n">
        <v>926</v>
      </c>
      <c r="C934" s="437" t="s">
        <v>8246</v>
      </c>
      <c r="D934" s="157" t="s">
        <v>9084</v>
      </c>
      <c r="E934" s="461" t="s">
        <v>2461</v>
      </c>
      <c r="F934" s="157" t="s">
        <v>9085</v>
      </c>
      <c r="G934" s="445" t="n">
        <v>44.2</v>
      </c>
      <c r="H934" s="431" t="n">
        <v>9506</v>
      </c>
      <c r="I934" s="457" t="n">
        <v>0</v>
      </c>
      <c r="J934" s="458" t="n">
        <v>2404</v>
      </c>
      <c r="K934" s="462" t="n">
        <v>5.99001663893511</v>
      </c>
      <c r="L934" s="463" t="n">
        <v>0</v>
      </c>
      <c r="M934" s="463" t="n">
        <v>0.0650694444444444</v>
      </c>
      <c r="N934" s="431" t="n">
        <v>1942</v>
      </c>
      <c r="O934" s="446" t="n">
        <v>904</v>
      </c>
      <c r="Q934" s="157" t="n">
        <v>8</v>
      </c>
      <c r="R934" s="157" t="n">
        <v>1</v>
      </c>
      <c r="S934" s="157" t="n">
        <v>1</v>
      </c>
      <c r="T934" s="457" t="s">
        <v>7529</v>
      </c>
      <c r="U934" s="457" t="n">
        <v>398</v>
      </c>
      <c r="V934" s="458" t="n">
        <v>12700</v>
      </c>
      <c r="W934" s="458" t="n">
        <v>13000</v>
      </c>
      <c r="X934" s="464" t="s">
        <v>6654</v>
      </c>
      <c r="Y934" s="458" t="n">
        <f aca="false">ROUND(J934,-3)</f>
        <v>2000</v>
      </c>
      <c r="Z934" s="457" t="s">
        <v>6638</v>
      </c>
      <c r="AA934" s="157" t="n">
        <v>2</v>
      </c>
      <c r="AB934" s="157" t="n">
        <v>3</v>
      </c>
      <c r="AC934" s="431" t="s">
        <v>537</v>
      </c>
      <c r="AD934" s="437" t="s">
        <v>6676</v>
      </c>
      <c r="AE934" s="167"/>
      <c r="AF934" s="167"/>
      <c r="AG934" s="167"/>
      <c r="AH934" s="167"/>
      <c r="AI934" s="167"/>
      <c r="AJ934" s="167"/>
      <c r="AK934" s="167" t="s">
        <v>8313</v>
      </c>
      <c r="AL934" s="157" t="n">
        <f aca="false">IF(AND(ISNUMBER($S934),$S934&gt;0,ISNUMBER($K934),ISNUMBER($J934)),($K934*$J934)/$S934,"")</f>
        <v>14400</v>
      </c>
    </row>
    <row r="935" customFormat="false" ht="12.75" hidden="false" customHeight="true" outlineLevel="0" collapsed="false">
      <c r="A935" s="441" t="n">
        <v>8</v>
      </c>
      <c r="B935" s="157" t="n">
        <v>927</v>
      </c>
      <c r="C935" s="437" t="s">
        <v>8246</v>
      </c>
      <c r="D935" s="157" t="s">
        <v>9086</v>
      </c>
      <c r="E935" s="461" t="s">
        <v>2461</v>
      </c>
      <c r="F935" s="157" t="s">
        <v>9087</v>
      </c>
      <c r="G935" s="445" t="n">
        <v>47.2</v>
      </c>
      <c r="H935" s="431" t="n">
        <v>9506</v>
      </c>
      <c r="I935" s="457" t="n">
        <v>0</v>
      </c>
      <c r="J935" s="458" t="n">
        <v>4900</v>
      </c>
      <c r="K935" s="462" t="n">
        <v>7.3469387755102</v>
      </c>
      <c r="L935" s="463" t="n">
        <v>0</v>
      </c>
      <c r="M935" s="463" t="n">
        <v>0.0253611111111111</v>
      </c>
      <c r="N935" s="431" t="n">
        <v>1960</v>
      </c>
      <c r="O935" s="446" t="n">
        <v>850</v>
      </c>
      <c r="Q935" s="157" t="n">
        <v>8</v>
      </c>
      <c r="R935" s="157" t="n">
        <v>1</v>
      </c>
      <c r="S935" s="157" t="n">
        <v>1</v>
      </c>
      <c r="T935" s="457" t="s">
        <v>7529</v>
      </c>
      <c r="U935" s="457" t="n">
        <v>401</v>
      </c>
      <c r="V935" s="458" t="n">
        <v>15875</v>
      </c>
      <c r="W935" s="458" t="n">
        <v>16000</v>
      </c>
      <c r="X935" s="464" t="s">
        <v>6695</v>
      </c>
      <c r="Y935" s="458" t="n">
        <f aca="false">ROUND(J935,-3)</f>
        <v>5000</v>
      </c>
      <c r="Z935" s="457" t="s">
        <v>6638</v>
      </c>
      <c r="AA935" s="157" t="n">
        <v>2</v>
      </c>
      <c r="AB935" s="157" t="n">
        <v>2</v>
      </c>
      <c r="AC935" s="431" t="s">
        <v>533</v>
      </c>
      <c r="AD935" s="437" t="s">
        <v>9088</v>
      </c>
      <c r="AE935" s="167"/>
      <c r="AF935" s="167"/>
      <c r="AG935" s="167"/>
      <c r="AH935" s="167"/>
      <c r="AI935" s="167"/>
      <c r="AJ935" s="167"/>
      <c r="AK935" s="167" t="s">
        <v>8419</v>
      </c>
      <c r="AL935" s="157" t="n">
        <f aca="false">IF(AND(ISNUMBER($S935),$S935&gt;0,ISNUMBER($K935),ISNUMBER($J935)),($K935*$J935)/$S935,"")</f>
        <v>36000</v>
      </c>
    </row>
    <row r="936" customFormat="false" ht="12.75" hidden="false" customHeight="true" outlineLevel="0" collapsed="false">
      <c r="A936" s="441" t="n">
        <v>8</v>
      </c>
      <c r="B936" s="157" t="n">
        <v>928</v>
      </c>
      <c r="C936" s="437" t="s">
        <v>8246</v>
      </c>
      <c r="D936" s="157" t="s">
        <v>9089</v>
      </c>
      <c r="E936" s="461" t="s">
        <v>2461</v>
      </c>
      <c r="F936" s="157" t="s">
        <v>9090</v>
      </c>
      <c r="G936" s="445" t="s">
        <v>7011</v>
      </c>
      <c r="H936" s="431" t="n">
        <v>9506</v>
      </c>
      <c r="I936" s="457" t="n">
        <v>0</v>
      </c>
      <c r="J936" s="458" t="n">
        <v>1426</v>
      </c>
      <c r="K936" s="462" t="n">
        <v>4.62833099579243</v>
      </c>
      <c r="L936" s="463" t="n">
        <v>0</v>
      </c>
      <c r="M936" s="463" t="n">
        <v>0.242424242424242</v>
      </c>
      <c r="N936" s="431" t="n">
        <v>1963</v>
      </c>
      <c r="Q936" s="157" t="n">
        <v>11</v>
      </c>
      <c r="R936" s="157" t="n">
        <v>1</v>
      </c>
      <c r="S936" s="157" t="n">
        <v>1</v>
      </c>
      <c r="T936" s="457" t="s">
        <v>7526</v>
      </c>
      <c r="U936" s="457" t="n">
        <v>398</v>
      </c>
      <c r="V936" s="458" t="n">
        <v>12700</v>
      </c>
      <c r="W936" s="458" t="n">
        <v>13000</v>
      </c>
      <c r="X936" s="464" t="s">
        <v>7972</v>
      </c>
      <c r="Y936" s="458" t="n">
        <f aca="false">ROUND(J936,-2)</f>
        <v>1400</v>
      </c>
      <c r="Z936" s="457" t="s">
        <v>6638</v>
      </c>
      <c r="AA936" s="157" t="n">
        <v>3</v>
      </c>
      <c r="AB936" s="157" t="n">
        <v>3</v>
      </c>
      <c r="AC936" s="431" t="s">
        <v>586</v>
      </c>
      <c r="AD936" s="437" t="s">
        <v>6676</v>
      </c>
      <c r="AE936" s="167"/>
      <c r="AF936" s="167"/>
      <c r="AG936" s="167"/>
      <c r="AH936" s="167"/>
      <c r="AI936" s="167"/>
      <c r="AJ936" s="167"/>
      <c r="AK936" s="167" t="s">
        <v>8419</v>
      </c>
      <c r="AL936" s="157" t="n">
        <f aca="false">IF(AND(ISNUMBER($S936),$S936&gt;0,ISNUMBER($K936),ISNUMBER($J936)),($K936*$J936)/$S936,"")</f>
        <v>6600.00000000001</v>
      </c>
    </row>
    <row r="937" customFormat="false" ht="12.75" hidden="false" customHeight="true" outlineLevel="0" collapsed="false">
      <c r="A937" s="441" t="n">
        <v>8</v>
      </c>
      <c r="B937" s="157" t="n">
        <v>929</v>
      </c>
      <c r="C937" s="437" t="s">
        <v>8246</v>
      </c>
      <c r="D937" s="157" t="s">
        <v>9091</v>
      </c>
      <c r="E937" s="461" t="s">
        <v>2461</v>
      </c>
      <c r="F937" s="157" t="s">
        <v>9092</v>
      </c>
      <c r="G937" s="445" t="n">
        <v>44.2</v>
      </c>
      <c r="H937" s="431" t="n">
        <v>9506</v>
      </c>
      <c r="I937" s="457" t="n">
        <v>0</v>
      </c>
      <c r="J937" s="458" t="n">
        <v>4350</v>
      </c>
      <c r="K937" s="462" t="n">
        <v>15.1993103448276</v>
      </c>
      <c r="L937" s="463" t="n">
        <v>0</v>
      </c>
      <c r="M937" s="463" t="n">
        <v>0.0432415263850447</v>
      </c>
      <c r="N937" s="431" t="n">
        <v>1968</v>
      </c>
      <c r="O937" s="446" t="n">
        <v>2300</v>
      </c>
      <c r="Q937" s="157" t="n">
        <v>12</v>
      </c>
      <c r="R937" s="157" t="n">
        <v>3</v>
      </c>
      <c r="S937" s="157" t="n">
        <v>1</v>
      </c>
      <c r="T937" s="457" t="s">
        <v>7526</v>
      </c>
      <c r="U937" s="457" t="n">
        <v>398</v>
      </c>
      <c r="V937" s="458" t="n">
        <v>9525</v>
      </c>
      <c r="W937" s="458" t="n">
        <v>10000</v>
      </c>
      <c r="X937" s="464" t="s">
        <v>6700</v>
      </c>
      <c r="Y937" s="458" t="n">
        <f aca="false">ROUND(J937,-3)</f>
        <v>4000</v>
      </c>
      <c r="Z937" s="457" t="s">
        <v>6638</v>
      </c>
      <c r="AA937" s="157" t="n">
        <v>3</v>
      </c>
      <c r="AB937" s="157" t="n">
        <v>3</v>
      </c>
      <c r="AC937" s="431" t="s">
        <v>586</v>
      </c>
      <c r="AD937" s="437" t="s">
        <v>9093</v>
      </c>
      <c r="AE937" s="167"/>
      <c r="AF937" s="167"/>
      <c r="AG937" s="167"/>
      <c r="AH937" s="167"/>
      <c r="AI937" s="167"/>
      <c r="AJ937" s="167"/>
      <c r="AK937" s="167" t="s">
        <v>8308</v>
      </c>
      <c r="AL937" s="157" t="n">
        <f aca="false">IF(AND(ISNUMBER($S937),$S937&gt;0,ISNUMBER($K937),ISNUMBER($J937)),($K937*$J937)/$S937,"")</f>
        <v>66117.0000000001</v>
      </c>
    </row>
    <row r="938" customFormat="false" ht="12.75" hidden="false" customHeight="true" outlineLevel="0" collapsed="false">
      <c r="A938" s="441" t="n">
        <v>8</v>
      </c>
      <c r="B938" s="157" t="n">
        <v>930</v>
      </c>
      <c r="C938" s="437" t="s">
        <v>8246</v>
      </c>
      <c r="D938" s="157" t="s">
        <v>8073</v>
      </c>
      <c r="E938" s="461" t="s">
        <v>2461</v>
      </c>
      <c r="F938" s="157" t="s">
        <v>9094</v>
      </c>
      <c r="G938" s="445" t="n">
        <v>44.2</v>
      </c>
      <c r="H938" s="431" t="n">
        <v>9506</v>
      </c>
      <c r="I938" s="457" t="n">
        <v>0</v>
      </c>
      <c r="J938" s="458" t="n">
        <v>4867</v>
      </c>
      <c r="K938" s="462" t="n">
        <v>7.39675364701048</v>
      </c>
      <c r="L938" s="463" t="n">
        <v>1</v>
      </c>
      <c r="M938" s="463" t="n">
        <v>0</v>
      </c>
      <c r="N938" s="431" t="n">
        <v>1977</v>
      </c>
      <c r="O938" s="446" t="n">
        <v>240</v>
      </c>
      <c r="P938" s="446" t="n">
        <v>2400</v>
      </c>
      <c r="Q938" s="157" t="n">
        <v>16</v>
      </c>
      <c r="R938" s="157" t="n">
        <v>8</v>
      </c>
      <c r="S938" s="157" t="n">
        <v>1</v>
      </c>
      <c r="T938" s="457" t="s">
        <v>7526</v>
      </c>
      <c r="U938" s="457" t="n">
        <v>398</v>
      </c>
      <c r="V938" s="458" t="n">
        <v>13500</v>
      </c>
      <c r="W938" s="458" t="n">
        <v>14000</v>
      </c>
      <c r="X938" s="464" t="s">
        <v>6664</v>
      </c>
      <c r="Y938" s="458" t="n">
        <f aca="false">ROUND(J938,-3)</f>
        <v>5000</v>
      </c>
      <c r="Z938" s="457" t="s">
        <v>6638</v>
      </c>
      <c r="AA938" s="157" t="n">
        <v>3</v>
      </c>
      <c r="AB938" s="157" t="n">
        <v>3</v>
      </c>
      <c r="AC938" s="431" t="s">
        <v>586</v>
      </c>
      <c r="AD938" s="437" t="s">
        <v>8075</v>
      </c>
      <c r="AE938" s="167"/>
      <c r="AF938" s="167"/>
      <c r="AG938" s="167"/>
      <c r="AH938" s="167"/>
      <c r="AI938" s="167"/>
      <c r="AJ938" s="167"/>
      <c r="AK938" s="167" t="s">
        <v>8295</v>
      </c>
      <c r="AL938" s="157" t="n">
        <f aca="false">IF(AND(ISNUMBER($S938),$S938&gt;0,ISNUMBER($K938),ISNUMBER($J938)),($K938*$J938)/$S938,"")</f>
        <v>36000</v>
      </c>
    </row>
    <row r="939" customFormat="false" ht="12.75" hidden="false" customHeight="true" outlineLevel="0" collapsed="false">
      <c r="A939" s="441" t="n">
        <v>8</v>
      </c>
      <c r="B939" s="157" t="n">
        <v>931</v>
      </c>
      <c r="C939" s="437" t="s">
        <v>8246</v>
      </c>
      <c r="D939" s="157" t="s">
        <v>9095</v>
      </c>
      <c r="E939" s="461" t="s">
        <v>2461</v>
      </c>
      <c r="F939" s="157" t="s">
        <v>9096</v>
      </c>
      <c r="G939" s="445" t="n">
        <v>44.2</v>
      </c>
      <c r="H939" s="431" t="n">
        <v>9506</v>
      </c>
      <c r="I939" s="457" t="n">
        <v>0</v>
      </c>
      <c r="J939" s="458" t="n">
        <v>12495</v>
      </c>
      <c r="K939" s="462" t="n">
        <v>4.32172869147659</v>
      </c>
      <c r="L939" s="463" t="n">
        <v>0</v>
      </c>
      <c r="M939" s="463" t="n">
        <v>0.157907407407407</v>
      </c>
      <c r="N939" s="431" t="n">
        <v>1984</v>
      </c>
      <c r="O939" s="446" t="n">
        <f aca="false">109+1550</f>
        <v>1659</v>
      </c>
      <c r="Q939" s="157" t="n">
        <v>23</v>
      </c>
      <c r="R939" s="157" t="n">
        <v>7</v>
      </c>
      <c r="S939" s="157" t="n">
        <v>1</v>
      </c>
      <c r="T939" s="457" t="s">
        <v>7526</v>
      </c>
      <c r="U939" s="457" t="n">
        <v>398</v>
      </c>
      <c r="V939" s="458" t="n">
        <v>20250</v>
      </c>
      <c r="W939" s="458" t="n">
        <v>20000</v>
      </c>
      <c r="X939" s="464" t="s">
        <v>6668</v>
      </c>
      <c r="Y939" s="458" t="n">
        <f aca="false">ROUND(J939,-3)</f>
        <v>12000</v>
      </c>
      <c r="Z939" s="457" t="s">
        <v>6638</v>
      </c>
      <c r="AA939" s="157" t="n">
        <v>3</v>
      </c>
      <c r="AB939" s="157" t="n">
        <v>3</v>
      </c>
      <c r="AC939" s="431" t="s">
        <v>586</v>
      </c>
      <c r="AD939" s="437" t="s">
        <v>9097</v>
      </c>
      <c r="AE939" s="167"/>
      <c r="AF939" s="167"/>
      <c r="AG939" s="167"/>
      <c r="AH939" s="167"/>
      <c r="AI939" s="167"/>
      <c r="AJ939" s="167"/>
      <c r="AK939" s="167" t="s">
        <v>8257</v>
      </c>
      <c r="AL939" s="157" t="n">
        <f aca="false">IF(AND(ISNUMBER($S939),$S939&gt;0,ISNUMBER($K939),ISNUMBER($J939)),($K939*$J939)/$S939,"")</f>
        <v>54000</v>
      </c>
    </row>
    <row r="940" customFormat="false" ht="12.75" hidden="false" customHeight="true" outlineLevel="0" collapsed="false">
      <c r="A940" s="441" t="n">
        <v>8</v>
      </c>
      <c r="B940" s="157" t="n">
        <v>932</v>
      </c>
      <c r="C940" s="437" t="s">
        <v>8246</v>
      </c>
      <c r="D940" s="157" t="s">
        <v>9098</v>
      </c>
      <c r="E940" s="461" t="s">
        <v>2461</v>
      </c>
      <c r="F940" s="157" t="s">
        <v>9099</v>
      </c>
      <c r="G940" s="445" t="n">
        <v>44.1</v>
      </c>
      <c r="H940" s="431" t="n">
        <v>9506</v>
      </c>
      <c r="I940" s="457" t="n">
        <v>0</v>
      </c>
      <c r="J940" s="458" t="n">
        <v>4000</v>
      </c>
      <c r="K940" s="462" t="n">
        <v>4.95</v>
      </c>
      <c r="L940" s="463" t="n">
        <v>0</v>
      </c>
      <c r="M940" s="463" t="n">
        <v>0.116666666666667</v>
      </c>
      <c r="N940" s="431" t="n">
        <v>1965</v>
      </c>
      <c r="O940" s="446" t="n">
        <v>1100</v>
      </c>
      <c r="Q940" s="157" t="n">
        <v>13</v>
      </c>
      <c r="R940" s="157" t="n">
        <v>11</v>
      </c>
      <c r="S940" s="157" t="n">
        <v>1</v>
      </c>
      <c r="T940" s="457" t="s">
        <v>7526</v>
      </c>
      <c r="U940" s="457" t="n">
        <v>397</v>
      </c>
      <c r="V940" s="458" t="n">
        <v>12700</v>
      </c>
      <c r="W940" s="458" t="n">
        <v>13000</v>
      </c>
      <c r="X940" s="464" t="s">
        <v>7546</v>
      </c>
      <c r="Y940" s="458" t="n">
        <f aca="false">ROUND(J940,-3)</f>
        <v>4000</v>
      </c>
      <c r="Z940" s="457" t="s">
        <v>6638</v>
      </c>
      <c r="AA940" s="157" t="n">
        <v>3</v>
      </c>
      <c r="AB940" s="157" t="n">
        <v>3</v>
      </c>
      <c r="AC940" s="431" t="s">
        <v>586</v>
      </c>
      <c r="AD940" s="437" t="s">
        <v>9100</v>
      </c>
      <c r="AE940" s="167"/>
      <c r="AF940" s="167"/>
      <c r="AG940" s="167"/>
      <c r="AH940" s="167"/>
      <c r="AI940" s="167"/>
      <c r="AJ940" s="167"/>
      <c r="AK940" s="167" t="s">
        <v>9101</v>
      </c>
      <c r="AL940" s="157" t="n">
        <f aca="false">IF(AND(ISNUMBER($S940),$S940&gt;0,ISNUMBER($K940),ISNUMBER($J940)),($K940*$J940)/$S940,"")</f>
        <v>19800</v>
      </c>
    </row>
    <row r="941" customFormat="false" ht="12.75" hidden="false" customHeight="true" outlineLevel="0" collapsed="false">
      <c r="A941" s="441" t="n">
        <v>8</v>
      </c>
      <c r="B941" s="157" t="n">
        <v>933</v>
      </c>
      <c r="C941" s="437" t="s">
        <v>8246</v>
      </c>
      <c r="D941" s="157" t="s">
        <v>9102</v>
      </c>
      <c r="E941" s="461" t="s">
        <v>2461</v>
      </c>
      <c r="F941" s="157" t="s">
        <v>9103</v>
      </c>
      <c r="G941" s="445" t="n">
        <v>44.2</v>
      </c>
      <c r="H941" s="431" t="n">
        <v>9506</v>
      </c>
      <c r="I941" s="457" t="n">
        <v>0</v>
      </c>
      <c r="J941" s="458" t="n">
        <v>6000</v>
      </c>
      <c r="K941" s="462" t="n">
        <v>3.01</v>
      </c>
      <c r="L941" s="463" t="n">
        <v>0</v>
      </c>
      <c r="M941" s="463" t="n">
        <v>0.080952380952381</v>
      </c>
      <c r="N941" s="431" t="n">
        <v>1968</v>
      </c>
      <c r="O941" s="446" t="n">
        <v>375</v>
      </c>
      <c r="Q941" s="157" t="n">
        <v>12</v>
      </c>
      <c r="R941" s="157" t="n">
        <v>3</v>
      </c>
      <c r="S941" s="157" t="n">
        <v>1</v>
      </c>
      <c r="T941" s="457" t="s">
        <v>7526</v>
      </c>
      <c r="U941" s="457" t="n">
        <v>397</v>
      </c>
      <c r="V941" s="458" t="n">
        <v>9525</v>
      </c>
      <c r="W941" s="458" t="n">
        <v>10000</v>
      </c>
      <c r="X941" s="464" t="s">
        <v>6900</v>
      </c>
      <c r="Y941" s="458" t="n">
        <f aca="false">ROUND(J941,-3)</f>
        <v>6000</v>
      </c>
      <c r="Z941" s="457" t="s">
        <v>6638</v>
      </c>
      <c r="AA941" s="157" t="n">
        <v>3</v>
      </c>
      <c r="AB941" s="157" t="n">
        <v>3</v>
      </c>
      <c r="AC941" s="431" t="s">
        <v>586</v>
      </c>
      <c r="AD941" s="437"/>
      <c r="AE941" s="167"/>
      <c r="AF941" s="167"/>
      <c r="AG941" s="167"/>
      <c r="AH941" s="167"/>
      <c r="AI941" s="167"/>
      <c r="AJ941" s="167"/>
      <c r="AK941" s="167" t="s">
        <v>8711</v>
      </c>
      <c r="AL941" s="157" t="n">
        <f aca="false">IF(AND(ISNUMBER($S941),$S941&gt;0,ISNUMBER($K941),ISNUMBER($J941)),($K941*$J941)/$S941,"")</f>
        <v>18060</v>
      </c>
    </row>
    <row r="942" customFormat="false" ht="12.75" hidden="false" customHeight="true" outlineLevel="0" collapsed="false">
      <c r="A942" s="441" t="n">
        <v>8</v>
      </c>
      <c r="B942" s="157" t="n">
        <v>934</v>
      </c>
      <c r="C942" s="437" t="s">
        <v>8246</v>
      </c>
      <c r="D942" s="157" t="s">
        <v>8084</v>
      </c>
      <c r="E942" s="461" t="s">
        <v>2461</v>
      </c>
      <c r="F942" s="157" t="s">
        <v>9104</v>
      </c>
      <c r="G942" s="445" t="n">
        <v>44.2</v>
      </c>
      <c r="H942" s="431" t="n">
        <v>9506</v>
      </c>
      <c r="I942" s="457" t="n">
        <v>0</v>
      </c>
      <c r="J942" s="458" t="n">
        <v>10500</v>
      </c>
      <c r="K942" s="462" t="n">
        <v>5.71428571428571</v>
      </c>
      <c r="L942" s="463" t="n">
        <v>0</v>
      </c>
      <c r="M942" s="463" t="n">
        <v>0.01175</v>
      </c>
      <c r="N942" s="431" t="n">
        <v>1983</v>
      </c>
      <c r="O942" s="446" t="n">
        <v>2300</v>
      </c>
      <c r="Q942" s="157" t="n">
        <v>14</v>
      </c>
      <c r="R942" s="157" t="n">
        <v>3</v>
      </c>
      <c r="S942" s="157" t="n">
        <v>1</v>
      </c>
      <c r="T942" s="457" t="s">
        <v>7526</v>
      </c>
      <c r="U942" s="457" t="n">
        <v>398</v>
      </c>
      <c r="V942" s="458" t="n">
        <v>14224</v>
      </c>
      <c r="W942" s="458" t="n">
        <v>14000</v>
      </c>
      <c r="X942" s="464" t="s">
        <v>6710</v>
      </c>
      <c r="Y942" s="458" t="n">
        <f aca="false">ROUND(J942,-3)</f>
        <v>11000</v>
      </c>
      <c r="Z942" s="457" t="s">
        <v>6638</v>
      </c>
      <c r="AA942" s="157" t="n">
        <v>3</v>
      </c>
      <c r="AB942" s="157" t="n">
        <v>3</v>
      </c>
      <c r="AC942" s="431" t="s">
        <v>586</v>
      </c>
      <c r="AD942" s="437" t="s">
        <v>8086</v>
      </c>
      <c r="AE942" s="167"/>
      <c r="AF942" s="167"/>
      <c r="AG942" s="167"/>
      <c r="AH942" s="167"/>
      <c r="AI942" s="167"/>
      <c r="AJ942" s="167"/>
      <c r="AK942" s="167" t="s">
        <v>9105</v>
      </c>
      <c r="AL942" s="157" t="n">
        <f aca="false">IF(AND(ISNUMBER($S942),$S942&gt;0,ISNUMBER($K942),ISNUMBER($J942)),($K942*$J942)/$S942,"")</f>
        <v>60000</v>
      </c>
    </row>
    <row r="943" customFormat="false" ht="12.75" hidden="false" customHeight="true" outlineLevel="0" collapsed="false">
      <c r="A943" s="441" t="n">
        <v>8</v>
      </c>
      <c r="B943" s="157" t="n">
        <v>935</v>
      </c>
      <c r="C943" s="437" t="s">
        <v>8246</v>
      </c>
      <c r="D943" s="157" t="s">
        <v>8087</v>
      </c>
      <c r="E943" s="461" t="s">
        <v>2461</v>
      </c>
      <c r="F943" s="157" t="s">
        <v>9106</v>
      </c>
      <c r="G943" s="445" t="n">
        <v>44.2</v>
      </c>
      <c r="H943" s="431" t="n">
        <v>9506</v>
      </c>
      <c r="I943" s="457" t="n">
        <v>0</v>
      </c>
      <c r="J943" s="458" t="n">
        <v>6801</v>
      </c>
      <c r="K943" s="462" t="n">
        <v>7.00397000441112</v>
      </c>
      <c r="L943" s="463" t="n">
        <v>0</v>
      </c>
      <c r="M943" s="463" t="n">
        <v>0.0200487047067221</v>
      </c>
      <c r="N943" s="431" t="n">
        <v>1997</v>
      </c>
      <c r="O943" s="446" t="n">
        <v>2664</v>
      </c>
      <c r="Q943" s="157" t="n">
        <v>16</v>
      </c>
      <c r="R943" s="157" t="n">
        <v>3</v>
      </c>
      <c r="S943" s="157" t="n">
        <v>1</v>
      </c>
      <c r="T943" s="457" t="s">
        <v>7526</v>
      </c>
      <c r="U943" s="457" t="n">
        <v>398</v>
      </c>
      <c r="V943" s="458" t="n">
        <v>11176</v>
      </c>
      <c r="W943" s="458" t="n">
        <v>11000</v>
      </c>
      <c r="X943" s="464" t="s">
        <v>6668</v>
      </c>
      <c r="Y943" s="458" t="n">
        <f aca="false">ROUND(J943,-3)</f>
        <v>7000</v>
      </c>
      <c r="Z943" s="457" t="s">
        <v>6638</v>
      </c>
      <c r="AA943" s="157" t="n">
        <v>3</v>
      </c>
      <c r="AB943" s="157" t="n">
        <v>3</v>
      </c>
      <c r="AC943" s="431" t="s">
        <v>586</v>
      </c>
      <c r="AD943" s="437" t="s">
        <v>6758</v>
      </c>
      <c r="AE943" s="167"/>
      <c r="AF943" s="167"/>
      <c r="AG943" s="167"/>
      <c r="AH943" s="167"/>
      <c r="AI943" s="167"/>
      <c r="AJ943" s="167"/>
      <c r="AK943" s="167" t="s">
        <v>8257</v>
      </c>
      <c r="AL943" s="157" t="n">
        <f aca="false">IF(AND(ISNUMBER($S943),$S943&gt;0,ISNUMBER($K943),ISNUMBER($J943)),($K943*$J943)/$S943,"")</f>
        <v>47634</v>
      </c>
    </row>
    <row r="944" customFormat="false" ht="12.75" hidden="false" customHeight="true" outlineLevel="0" collapsed="false">
      <c r="A944" s="441" t="n">
        <v>8</v>
      </c>
      <c r="B944" s="157" t="n">
        <v>936</v>
      </c>
      <c r="C944" s="437" t="s">
        <v>8246</v>
      </c>
      <c r="D944" s="157" t="s">
        <v>8089</v>
      </c>
      <c r="E944" s="461" t="s">
        <v>2461</v>
      </c>
      <c r="F944" s="157" t="s">
        <v>9107</v>
      </c>
      <c r="G944" s="445" t="n">
        <v>44.2</v>
      </c>
      <c r="H944" s="431" t="n">
        <v>9506</v>
      </c>
      <c r="I944" s="457" t="n">
        <v>0</v>
      </c>
      <c r="J944" s="458" t="n">
        <v>9464</v>
      </c>
      <c r="K944" s="462" t="n">
        <v>5.80663567202029</v>
      </c>
      <c r="L944" s="463" t="n">
        <v>0</v>
      </c>
      <c r="M944" s="463" t="n">
        <v>0.236761655202533</v>
      </c>
      <c r="N944" s="431" t="n">
        <v>1997</v>
      </c>
      <c r="O944" s="446" t="n">
        <v>8666</v>
      </c>
      <c r="Q944" s="157" t="n">
        <v>26</v>
      </c>
      <c r="R944" s="157" t="n">
        <v>14</v>
      </c>
      <c r="S944" s="157" t="n">
        <v>4</v>
      </c>
      <c r="T944" s="457" t="s">
        <v>7529</v>
      </c>
      <c r="U944" s="457" t="n">
        <v>398</v>
      </c>
      <c r="V944" s="458" t="n">
        <v>99255</v>
      </c>
      <c r="W944" s="458" t="n">
        <v>100000</v>
      </c>
      <c r="X944" s="464" t="s">
        <v>7546</v>
      </c>
      <c r="Y944" s="458" t="n">
        <f aca="false">ROUND(J944,-3)</f>
        <v>9000</v>
      </c>
      <c r="Z944" s="457" t="s">
        <v>6638</v>
      </c>
      <c r="AA944" s="157" t="n">
        <v>3</v>
      </c>
      <c r="AB944" s="157" t="n">
        <v>3</v>
      </c>
      <c r="AC944" s="431" t="s">
        <v>586</v>
      </c>
      <c r="AD944" s="437" t="s">
        <v>8091</v>
      </c>
      <c r="AE944" s="167"/>
      <c r="AF944" s="167"/>
      <c r="AG944" s="167"/>
      <c r="AH944" s="167"/>
      <c r="AI944" s="167"/>
      <c r="AJ944" s="167"/>
      <c r="AK944" s="167" t="s">
        <v>9108</v>
      </c>
      <c r="AL944" s="157" t="n">
        <f aca="false">IF(AND(ISNUMBER($S944),$S944&gt;0,ISNUMBER($K944),ISNUMBER($J944)),($K944*$J944)/$S944,"")</f>
        <v>13738.5</v>
      </c>
    </row>
    <row r="945" customFormat="false" ht="12.75" hidden="false" customHeight="true" outlineLevel="0" collapsed="false">
      <c r="A945" s="441" t="n">
        <v>8</v>
      </c>
      <c r="B945" s="157" t="n">
        <v>937</v>
      </c>
      <c r="C945" s="437" t="s">
        <v>8246</v>
      </c>
      <c r="D945" s="157" t="s">
        <v>9109</v>
      </c>
      <c r="E945" s="461" t="s">
        <v>2461</v>
      </c>
      <c r="F945" s="157" t="s">
        <v>9110</v>
      </c>
      <c r="G945" s="445" t="n">
        <v>44.2</v>
      </c>
      <c r="H945" s="431" t="n">
        <v>9506</v>
      </c>
      <c r="I945" s="457" t="n">
        <v>0</v>
      </c>
      <c r="J945" s="458" t="n">
        <v>25780</v>
      </c>
      <c r="K945" s="462" t="n">
        <v>7.95190069821567</v>
      </c>
      <c r="L945" s="463" t="n">
        <v>0</v>
      </c>
      <c r="M945" s="463" t="n">
        <v>0</v>
      </c>
      <c r="N945" s="431" t="n">
        <v>1973</v>
      </c>
      <c r="O945" s="446" t="n">
        <f aca="false">4991*2</f>
        <v>9982</v>
      </c>
      <c r="Q945" s="157" t="n">
        <v>27</v>
      </c>
      <c r="R945" s="157" t="n">
        <v>3</v>
      </c>
      <c r="S945" s="157" t="n">
        <v>1</v>
      </c>
      <c r="T945" s="457" t="s">
        <v>7529</v>
      </c>
      <c r="U945" s="457" t="n">
        <v>397</v>
      </c>
      <c r="V945" s="458" t="n">
        <v>66660</v>
      </c>
      <c r="W945" s="458" t="n">
        <v>70000</v>
      </c>
      <c r="X945" s="464" t="s">
        <v>6724</v>
      </c>
      <c r="Y945" s="458" t="n">
        <f aca="false">ROUND(J945,-3)</f>
        <v>26000</v>
      </c>
      <c r="Z945" s="457" t="s">
        <v>6638</v>
      </c>
      <c r="AA945" s="157" t="n">
        <v>3</v>
      </c>
      <c r="AB945" s="157" t="n">
        <v>3</v>
      </c>
      <c r="AC945" s="431" t="s">
        <v>586</v>
      </c>
      <c r="AD945" s="437" t="s">
        <v>9111</v>
      </c>
      <c r="AE945" s="167"/>
      <c r="AF945" s="167"/>
      <c r="AG945" s="167"/>
      <c r="AH945" s="167"/>
      <c r="AI945" s="167"/>
      <c r="AJ945" s="167"/>
      <c r="AK945" s="167" t="s">
        <v>8308</v>
      </c>
      <c r="AL945" s="157" t="n">
        <f aca="false">IF(AND(ISNUMBER($S945),$S945&gt;0,ISNUMBER($K945),ISNUMBER($J945)),($K945*$J945)/$S945,"")</f>
        <v>205000</v>
      </c>
    </row>
    <row r="946" customFormat="false" ht="12.75" hidden="false" customHeight="true" outlineLevel="0" collapsed="false">
      <c r="A946" s="441" t="n">
        <v>8</v>
      </c>
      <c r="B946" s="157" t="n">
        <v>938</v>
      </c>
      <c r="C946" s="437" t="s">
        <v>8246</v>
      </c>
      <c r="D946" s="157" t="s">
        <v>7390</v>
      </c>
      <c r="E946" s="461" t="s">
        <v>2461</v>
      </c>
      <c r="F946" s="157" t="s">
        <v>7391</v>
      </c>
      <c r="G946" s="445" t="n">
        <v>44.1</v>
      </c>
      <c r="H946" s="431" t="n">
        <v>9506</v>
      </c>
      <c r="I946" s="457" t="n">
        <v>0</v>
      </c>
      <c r="J946" s="458" t="n">
        <v>10120</v>
      </c>
      <c r="K946" s="462" t="n">
        <v>12.2716403162055</v>
      </c>
      <c r="L946" s="463" t="n">
        <v>0</v>
      </c>
      <c r="M946" s="463" t="n">
        <v>0.029261850888565</v>
      </c>
      <c r="N946" s="431" t="n">
        <v>1985</v>
      </c>
      <c r="O946" s="446" t="n">
        <v>2300</v>
      </c>
      <c r="Q946" s="157" t="n">
        <v>16</v>
      </c>
      <c r="R946" s="157" t="n">
        <v>3</v>
      </c>
      <c r="S946" s="157" t="n">
        <v>1</v>
      </c>
      <c r="T946" s="457" t="s">
        <v>7529</v>
      </c>
      <c r="U946" s="457" t="n">
        <v>397</v>
      </c>
      <c r="V946" s="458" t="n">
        <v>22600</v>
      </c>
      <c r="W946" s="458" t="n">
        <v>23000</v>
      </c>
      <c r="X946" s="464" t="s">
        <v>6700</v>
      </c>
      <c r="Y946" s="458" t="n">
        <f aca="false">ROUND(J946,-3)</f>
        <v>10000</v>
      </c>
      <c r="Z946" s="457" t="s">
        <v>6638</v>
      </c>
      <c r="AA946" s="157" t="n">
        <v>3</v>
      </c>
      <c r="AB946" s="157" t="n">
        <v>3</v>
      </c>
      <c r="AC946" s="431" t="s">
        <v>586</v>
      </c>
      <c r="AD946" s="437"/>
      <c r="AE946" s="167"/>
      <c r="AF946" s="167"/>
      <c r="AG946" s="167"/>
      <c r="AH946" s="167"/>
      <c r="AI946" s="167"/>
      <c r="AJ946" s="167"/>
      <c r="AK946" s="167" t="s">
        <v>8419</v>
      </c>
      <c r="AL946" s="157" t="n">
        <f aca="false">IF(AND(ISNUMBER($S946),$S946&gt;0,ISNUMBER($K946),ISNUMBER($J946)),($K946*$J946)/$S946,"")</f>
        <v>124189</v>
      </c>
    </row>
    <row r="947" customFormat="false" ht="12.75" hidden="false" customHeight="true" outlineLevel="0" collapsed="false">
      <c r="A947" s="441" t="n">
        <v>8</v>
      </c>
      <c r="B947" s="157" t="n">
        <v>939</v>
      </c>
      <c r="C947" s="437" t="s">
        <v>8246</v>
      </c>
      <c r="D947" s="157" t="s">
        <v>7392</v>
      </c>
      <c r="E947" s="461" t="s">
        <v>2461</v>
      </c>
      <c r="F947" s="157" t="s">
        <v>7393</v>
      </c>
      <c r="G947" s="445" t="n">
        <v>44.1</v>
      </c>
      <c r="H947" s="431" t="n">
        <v>9509</v>
      </c>
      <c r="I947" s="457" t="n">
        <v>0</v>
      </c>
      <c r="J947" s="458" t="n">
        <v>5974</v>
      </c>
      <c r="K947" s="462" t="n">
        <v>5.15567458988952</v>
      </c>
      <c r="L947" s="463" t="n">
        <v>0</v>
      </c>
      <c r="M947" s="463" t="n">
        <v>0.186785714285714</v>
      </c>
      <c r="N947" s="431" t="n">
        <v>1919</v>
      </c>
      <c r="O947" s="446" t="n">
        <v>1720</v>
      </c>
      <c r="Q947" s="157" t="n">
        <v>13</v>
      </c>
      <c r="R947" s="157" t="n">
        <v>1</v>
      </c>
      <c r="S947" s="157" t="n">
        <v>1</v>
      </c>
      <c r="T947" s="457" t="s">
        <v>7789</v>
      </c>
      <c r="U947" s="457" t="n">
        <v>398</v>
      </c>
      <c r="V947" s="458" t="n">
        <v>10300</v>
      </c>
      <c r="W947" s="458" t="n">
        <v>10000</v>
      </c>
      <c r="X947" s="464" t="s">
        <v>6954</v>
      </c>
      <c r="Y947" s="458" t="n">
        <f aca="false">ROUND(J947,-3)</f>
        <v>6000</v>
      </c>
      <c r="Z947" s="457" t="s">
        <v>6638</v>
      </c>
      <c r="AA947" s="157" t="n">
        <v>3</v>
      </c>
      <c r="AB947" s="157" t="n">
        <v>3</v>
      </c>
      <c r="AC947" s="431" t="s">
        <v>586</v>
      </c>
      <c r="AD947" s="437" t="s">
        <v>7394</v>
      </c>
      <c r="AE947" s="167"/>
      <c r="AF947" s="167"/>
      <c r="AG947" s="167"/>
      <c r="AH947" s="167"/>
      <c r="AI947" s="167"/>
      <c r="AJ947" s="167"/>
      <c r="AK947" s="167" t="s">
        <v>9112</v>
      </c>
      <c r="AL947" s="157" t="n">
        <f aca="false">IF(AND(ISNUMBER($S947),$S947&gt;0,ISNUMBER($K947),ISNUMBER($J947)),($K947*$J947)/$S947,"")</f>
        <v>30800</v>
      </c>
    </row>
    <row r="948" customFormat="false" ht="12.75" hidden="false" customHeight="true" outlineLevel="0" collapsed="false">
      <c r="A948" s="441" t="n">
        <v>8</v>
      </c>
      <c r="B948" s="157" t="n">
        <v>940</v>
      </c>
      <c r="C948" s="437" t="s">
        <v>8246</v>
      </c>
      <c r="D948" s="157" t="s">
        <v>7395</v>
      </c>
      <c r="E948" s="461" t="s">
        <v>2461</v>
      </c>
      <c r="F948" s="157" t="s">
        <v>7396</v>
      </c>
      <c r="G948" s="445" t="n">
        <v>44.2</v>
      </c>
      <c r="H948" s="431" t="n">
        <v>9509</v>
      </c>
      <c r="I948" s="457" t="n">
        <v>0</v>
      </c>
      <c r="J948" s="458" t="n">
        <v>8845</v>
      </c>
      <c r="K948" s="462" t="n">
        <v>6.78349349915206</v>
      </c>
      <c r="L948" s="463" t="n">
        <v>0</v>
      </c>
      <c r="M948" s="463" t="n">
        <v>0.0695333333333333</v>
      </c>
      <c r="N948" s="431" t="n">
        <v>1957</v>
      </c>
      <c r="O948" s="446" t="n">
        <v>576</v>
      </c>
      <c r="Q948" s="157" t="n">
        <v>20</v>
      </c>
      <c r="R948" s="157" t="n">
        <v>3</v>
      </c>
      <c r="S948" s="157" t="n">
        <v>1</v>
      </c>
      <c r="T948" s="457" t="s">
        <v>7789</v>
      </c>
      <c r="U948" s="457" t="n">
        <v>398</v>
      </c>
      <c r="V948" s="458" t="n">
        <v>14300</v>
      </c>
      <c r="W948" s="458" t="n">
        <v>14000</v>
      </c>
      <c r="X948" s="464" t="s">
        <v>6668</v>
      </c>
      <c r="Y948" s="458" t="n">
        <f aca="false">ROUND(J948,-3)</f>
        <v>9000</v>
      </c>
      <c r="Z948" s="457" t="s">
        <v>6638</v>
      </c>
      <c r="AA948" s="157" t="n">
        <v>3</v>
      </c>
      <c r="AB948" s="157" t="n">
        <v>3</v>
      </c>
      <c r="AC948" s="431" t="s">
        <v>586</v>
      </c>
      <c r="AD948" s="437" t="s">
        <v>7397</v>
      </c>
      <c r="AE948" s="167"/>
      <c r="AF948" s="167"/>
      <c r="AG948" s="167"/>
      <c r="AH948" s="167"/>
      <c r="AI948" s="167"/>
      <c r="AJ948" s="167"/>
      <c r="AK948" s="167" t="s">
        <v>8257</v>
      </c>
      <c r="AL948" s="157" t="n">
        <f aca="false">IF(AND(ISNUMBER($S948),$S948&gt;0,ISNUMBER($K948),ISNUMBER($J948)),($K948*$J948)/$S948,"")</f>
        <v>60000</v>
      </c>
    </row>
    <row r="949" customFormat="false" ht="12.75" hidden="false" customHeight="true" outlineLevel="0" collapsed="false">
      <c r="A949" s="441" t="n">
        <v>8</v>
      </c>
      <c r="B949" s="157" t="n">
        <v>941</v>
      </c>
      <c r="C949" s="437" t="s">
        <v>8246</v>
      </c>
      <c r="D949" s="157" t="s">
        <v>9113</v>
      </c>
      <c r="E949" s="461" t="s">
        <v>2461</v>
      </c>
      <c r="F949" s="157" t="s">
        <v>9114</v>
      </c>
      <c r="G949" s="445" t="n">
        <v>47.1</v>
      </c>
      <c r="H949" s="431" t="n">
        <v>9506</v>
      </c>
      <c r="I949" s="457" t="n">
        <v>2</v>
      </c>
      <c r="J949" s="458" t="n">
        <v>43525</v>
      </c>
      <c r="K949" s="462" t="n">
        <v>3.91407237219989</v>
      </c>
      <c r="L949" s="463" t="n">
        <v>0</v>
      </c>
      <c r="M949" s="463" t="n">
        <v>0</v>
      </c>
      <c r="N949" s="431" t="n">
        <v>1975</v>
      </c>
      <c r="P949" s="446" t="n">
        <v>8745</v>
      </c>
      <c r="Q949" s="157" t="n">
        <v>20</v>
      </c>
      <c r="R949" s="157" t="n">
        <v>10</v>
      </c>
      <c r="S949" s="157" t="n">
        <v>1</v>
      </c>
      <c r="T949" s="457" t="s">
        <v>7526</v>
      </c>
      <c r="U949" s="457" t="n">
        <v>401</v>
      </c>
      <c r="V949" s="458" t="n">
        <v>90659</v>
      </c>
      <c r="W949" s="458" t="n">
        <v>90000</v>
      </c>
      <c r="X949" s="464" t="s">
        <v>6754</v>
      </c>
      <c r="Y949" s="458" t="n">
        <f aca="false">ROUND(J949,-3)</f>
        <v>44000</v>
      </c>
      <c r="Z949" s="457" t="s">
        <v>6638</v>
      </c>
      <c r="AA949" s="157" t="n">
        <v>3</v>
      </c>
      <c r="AB949" s="157" t="n">
        <v>3</v>
      </c>
      <c r="AC949" s="431" t="s">
        <v>586</v>
      </c>
      <c r="AD949" s="437"/>
      <c r="AE949" s="167"/>
      <c r="AF949" s="167"/>
      <c r="AG949" s="167"/>
      <c r="AH949" s="167"/>
      <c r="AI949" s="167"/>
      <c r="AJ949" s="167"/>
      <c r="AK949" s="167" t="s">
        <v>8257</v>
      </c>
      <c r="AL949" s="157" t="n">
        <f aca="false">IF(AND(ISNUMBER($S949),$S949&gt;0,ISNUMBER($K949),ISNUMBER($J949)),($K949*$J949)/$S949,"")</f>
        <v>170360</v>
      </c>
    </row>
    <row r="950" customFormat="false" ht="12.75" hidden="false" customHeight="true" outlineLevel="0" collapsed="false">
      <c r="A950" s="441" t="n">
        <v>8</v>
      </c>
      <c r="B950" s="157" t="n">
        <v>942</v>
      </c>
      <c r="C950" s="437" t="s">
        <v>8266</v>
      </c>
      <c r="D950" s="157" t="s">
        <v>9115</v>
      </c>
      <c r="E950" s="457" t="s">
        <v>2461</v>
      </c>
      <c r="F950" s="157" t="s">
        <v>9116</v>
      </c>
      <c r="G950" s="445" t="n">
        <v>44.2</v>
      </c>
      <c r="H950" s="157" t="n">
        <v>9506</v>
      </c>
      <c r="I950" s="457" t="n">
        <v>0</v>
      </c>
      <c r="J950" s="458" t="n">
        <v>7826</v>
      </c>
      <c r="K950" s="462" t="n">
        <v>6.51</v>
      </c>
      <c r="L950" s="175" t="n">
        <v>0</v>
      </c>
      <c r="M950" s="175" t="n">
        <v>0.06</v>
      </c>
      <c r="N950" s="157" t="n">
        <v>1979</v>
      </c>
      <c r="O950" s="458" t="n">
        <v>812</v>
      </c>
      <c r="P950" s="458" t="n">
        <v>0</v>
      </c>
      <c r="Q950" s="157" t="n">
        <v>15</v>
      </c>
      <c r="R950" s="157" t="n">
        <v>3</v>
      </c>
      <c r="S950" s="157" t="n">
        <v>4</v>
      </c>
      <c r="T950" s="457" t="s">
        <v>7870</v>
      </c>
      <c r="U950" s="457" t="n">
        <v>398</v>
      </c>
      <c r="V950" s="458" t="n">
        <v>12500</v>
      </c>
      <c r="W950" s="458" t="n">
        <v>12000</v>
      </c>
      <c r="X950" s="464" t="str">
        <f aca="false">FIXED(ROUND(W950/Y950,1),1,TRUE())&amp;":1"</f>
        <v>1.5:1</v>
      </c>
      <c r="Y950" s="458" t="n">
        <v>8000</v>
      </c>
      <c r="Z950" s="457" t="s">
        <v>463</v>
      </c>
      <c r="AA950" s="157" t="n">
        <v>3</v>
      </c>
      <c r="AB950" s="157" t="n">
        <v>3</v>
      </c>
      <c r="AC950" s="157" t="n">
        <v>33</v>
      </c>
      <c r="AE950" s="430" t="n">
        <v>6.51</v>
      </c>
      <c r="AF950" s="467" t="n">
        <v>6.51</v>
      </c>
      <c r="AG950" s="467" t="n">
        <v>6.14</v>
      </c>
      <c r="AH950" s="467" t="n">
        <v>0.37</v>
      </c>
      <c r="AI950" s="467" t="n">
        <v>0</v>
      </c>
      <c r="AJ950" s="430" t="s">
        <v>9117</v>
      </c>
      <c r="AK950" s="157" t="s">
        <v>9118</v>
      </c>
      <c r="AN950" s="167"/>
      <c r="AO950" s="167"/>
      <c r="AP950" s="167"/>
    </row>
    <row r="951" customFormat="false" ht="12.75" hidden="false" customHeight="true" outlineLevel="0" collapsed="false">
      <c r="A951" s="441" t="n">
        <v>8</v>
      </c>
      <c r="B951" s="157" t="n">
        <v>943</v>
      </c>
      <c r="C951" s="437" t="s">
        <v>8246</v>
      </c>
      <c r="D951" s="157" t="s">
        <v>9119</v>
      </c>
      <c r="E951" s="461" t="s">
        <v>2461</v>
      </c>
      <c r="F951" s="157" t="s">
        <v>9120</v>
      </c>
      <c r="G951" s="445" t="n">
        <v>44.2</v>
      </c>
      <c r="H951" s="431" t="n">
        <v>9506</v>
      </c>
      <c r="I951" s="457" t="n">
        <v>0</v>
      </c>
      <c r="J951" s="458" t="n">
        <v>5105</v>
      </c>
      <c r="K951" s="462" t="n">
        <v>31.7335945151812</v>
      </c>
      <c r="L951" s="463" t="n">
        <v>0</v>
      </c>
      <c r="M951" s="463" t="n">
        <v>0</v>
      </c>
      <c r="N951" s="431" t="n">
        <v>1980</v>
      </c>
      <c r="O951" s="446" t="n">
        <v>1674</v>
      </c>
      <c r="Q951" s="157" t="n">
        <v>14</v>
      </c>
      <c r="R951" s="157" t="n">
        <v>1</v>
      </c>
      <c r="S951" s="157" t="n">
        <v>1</v>
      </c>
      <c r="T951" s="457" t="s">
        <v>7526</v>
      </c>
      <c r="U951" s="457" t="n">
        <v>398</v>
      </c>
      <c r="V951" s="458" t="n">
        <v>15627</v>
      </c>
      <c r="W951" s="458" t="n">
        <v>16000</v>
      </c>
      <c r="X951" s="464" t="s">
        <v>6751</v>
      </c>
      <c r="Y951" s="458" t="n">
        <f aca="false">ROUND(J951,-3)</f>
        <v>5000</v>
      </c>
      <c r="Z951" s="457" t="s">
        <v>6638</v>
      </c>
      <c r="AA951" s="157" t="n">
        <v>3</v>
      </c>
      <c r="AB951" s="157" t="n">
        <v>3</v>
      </c>
      <c r="AC951" s="431" t="s">
        <v>586</v>
      </c>
      <c r="AD951" s="437" t="s">
        <v>9121</v>
      </c>
      <c r="AE951" s="167"/>
      <c r="AF951" s="167"/>
      <c r="AG951" s="167"/>
      <c r="AH951" s="167"/>
      <c r="AI951" s="167"/>
      <c r="AJ951" s="167"/>
      <c r="AK951" s="167" t="s">
        <v>8257</v>
      </c>
      <c r="AL951" s="157" t="n">
        <f aca="false">IF(AND(ISNUMBER($S951),$S951&gt;0,ISNUMBER($K951),ISNUMBER($J951)),($K951*$J951)/$S951,"")</f>
        <v>162000</v>
      </c>
    </row>
    <row r="952" customFormat="false" ht="12.75" hidden="false" customHeight="true" outlineLevel="0" collapsed="false">
      <c r="A952" s="441" t="n">
        <v>8</v>
      </c>
      <c r="B952" s="157" t="n">
        <v>944</v>
      </c>
      <c r="C952" s="437" t="s">
        <v>8246</v>
      </c>
      <c r="D952" s="157" t="s">
        <v>9122</v>
      </c>
      <c r="E952" s="461" t="s">
        <v>2461</v>
      </c>
      <c r="F952" s="157" t="s">
        <v>9123</v>
      </c>
      <c r="G952" s="445" t="n">
        <v>44.1</v>
      </c>
      <c r="H952" s="431" t="n">
        <v>9506</v>
      </c>
      <c r="I952" s="457" t="n">
        <v>0</v>
      </c>
      <c r="J952" s="458" t="n">
        <v>6162</v>
      </c>
      <c r="K952" s="462" t="n">
        <v>6.03700097370983</v>
      </c>
      <c r="L952" s="463" t="n">
        <v>0</v>
      </c>
      <c r="M952" s="463" t="n">
        <v>0</v>
      </c>
      <c r="N952" s="431" t="n">
        <v>1959</v>
      </c>
      <c r="O952" s="458" t="n">
        <v>792</v>
      </c>
      <c r="P952" s="458"/>
      <c r="Q952" s="157" t="n">
        <v>13</v>
      </c>
      <c r="R952" s="157" t="n">
        <v>3</v>
      </c>
      <c r="S952" s="157" t="n">
        <v>1</v>
      </c>
      <c r="T952" s="457" t="s">
        <v>7526</v>
      </c>
      <c r="U952" s="457" t="n">
        <v>332</v>
      </c>
      <c r="V952" s="458" t="n">
        <v>9370</v>
      </c>
      <c r="W952" s="458" t="n">
        <v>9000</v>
      </c>
      <c r="X952" s="464" t="s">
        <v>6837</v>
      </c>
      <c r="Y952" s="458" t="n">
        <f aca="false">ROUND(J952,-3)</f>
        <v>6000</v>
      </c>
      <c r="Z952" s="457" t="s">
        <v>6638</v>
      </c>
      <c r="AA952" s="157" t="n">
        <v>3</v>
      </c>
      <c r="AB952" s="157" t="n">
        <v>3</v>
      </c>
      <c r="AC952" s="431" t="n">
        <v>33</v>
      </c>
      <c r="AD952" s="437"/>
      <c r="AE952" s="167"/>
      <c r="AF952" s="167"/>
      <c r="AG952" s="167"/>
      <c r="AH952" s="167"/>
      <c r="AI952" s="167"/>
      <c r="AJ952" s="167"/>
      <c r="AK952" s="167" t="s">
        <v>9124</v>
      </c>
      <c r="AL952" s="157" t="n">
        <f aca="false">IF(AND(ISNUMBER($S952),$S952&gt;0,ISNUMBER($K952),ISNUMBER($J952)),($K952*$J952)/$S952,"")</f>
        <v>37200</v>
      </c>
    </row>
    <row r="953" customFormat="false" ht="12.75" hidden="false" customHeight="true" outlineLevel="0" collapsed="false">
      <c r="A953" s="441" t="n">
        <v>8</v>
      </c>
      <c r="B953" s="157" t="n">
        <v>945</v>
      </c>
      <c r="C953" s="437" t="s">
        <v>8246</v>
      </c>
      <c r="D953" s="157" t="s">
        <v>7419</v>
      </c>
      <c r="E953" s="461" t="s">
        <v>2461</v>
      </c>
      <c r="F953" s="157" t="s">
        <v>7420</v>
      </c>
      <c r="G953" s="445" t="n">
        <v>44.2</v>
      </c>
      <c r="H953" s="431" t="n">
        <v>9506</v>
      </c>
      <c r="I953" s="457" t="n">
        <v>0</v>
      </c>
      <c r="J953" s="458" t="n">
        <v>2156</v>
      </c>
      <c r="K953" s="462" t="n">
        <v>9.18367346938776</v>
      </c>
      <c r="L953" s="463" t="n">
        <v>0</v>
      </c>
      <c r="M953" s="463" t="n">
        <v>0.067020202020202</v>
      </c>
      <c r="N953" s="431" t="n">
        <v>1957</v>
      </c>
      <c r="Q953" s="157" t="n">
        <v>12</v>
      </c>
      <c r="R953" s="157" t="n">
        <v>3</v>
      </c>
      <c r="S953" s="157" t="n">
        <v>1</v>
      </c>
      <c r="T953" s="457" t="s">
        <v>7526</v>
      </c>
      <c r="U953" s="457" t="n">
        <v>398</v>
      </c>
      <c r="V953" s="458" t="n">
        <v>9370</v>
      </c>
      <c r="W953" s="458" t="n">
        <v>9000</v>
      </c>
      <c r="X953" s="464" t="s">
        <v>6705</v>
      </c>
      <c r="Y953" s="458" t="n">
        <f aca="false">ROUND(J953,-3)</f>
        <v>2000</v>
      </c>
      <c r="Z953" s="457" t="s">
        <v>6638</v>
      </c>
      <c r="AA953" s="157" t="n">
        <v>3</v>
      </c>
      <c r="AB953" s="157" t="n">
        <v>3</v>
      </c>
      <c r="AC953" s="431" t="s">
        <v>586</v>
      </c>
      <c r="AD953" s="437"/>
      <c r="AE953" s="167"/>
      <c r="AF953" s="167"/>
      <c r="AG953" s="167"/>
      <c r="AH953" s="167"/>
      <c r="AI953" s="167"/>
      <c r="AJ953" s="167"/>
      <c r="AK953" s="167" t="s">
        <v>8295</v>
      </c>
      <c r="AL953" s="157" t="n">
        <f aca="false">IF(AND(ISNUMBER($S953),$S953&gt;0,ISNUMBER($K953),ISNUMBER($J953)),($K953*$J953)/$S953,"")</f>
        <v>19800</v>
      </c>
    </row>
    <row r="954" customFormat="false" ht="12.75" hidden="false" customHeight="true" outlineLevel="0" collapsed="false">
      <c r="A954" s="441" t="n">
        <v>8</v>
      </c>
      <c r="B954" s="157" t="n">
        <v>946</v>
      </c>
      <c r="C954" s="437" t="s">
        <v>8246</v>
      </c>
      <c r="D954" s="157" t="s">
        <v>8113</v>
      </c>
      <c r="E954" s="461" t="s">
        <v>2461</v>
      </c>
      <c r="F954" s="157" t="s">
        <v>9125</v>
      </c>
      <c r="G954" s="445" t="n">
        <v>47.1</v>
      </c>
      <c r="H954" s="431" t="n">
        <v>9506</v>
      </c>
      <c r="I954" s="457" t="n">
        <v>0</v>
      </c>
      <c r="J954" s="458" t="n">
        <v>6800</v>
      </c>
      <c r="K954" s="462" t="n">
        <v>6</v>
      </c>
      <c r="L954" s="463" t="n">
        <v>0</v>
      </c>
      <c r="M954" s="463" t="n">
        <v>0.0910539215686275</v>
      </c>
      <c r="N954" s="431" t="n">
        <v>1967</v>
      </c>
      <c r="O954" s="446" t="n">
        <v>2000</v>
      </c>
      <c r="Q954" s="157" t="n">
        <v>16</v>
      </c>
      <c r="R954" s="157" t="n">
        <v>1</v>
      </c>
      <c r="S954" s="157" t="n">
        <v>1</v>
      </c>
      <c r="T954" s="457" t="s">
        <v>7526</v>
      </c>
      <c r="U954" s="457" t="n">
        <v>401</v>
      </c>
      <c r="V954" s="458" t="n">
        <v>11800</v>
      </c>
      <c r="W954" s="458" t="n">
        <v>12000</v>
      </c>
      <c r="X954" s="464" t="s">
        <v>6710</v>
      </c>
      <c r="Y954" s="458" t="n">
        <f aca="false">ROUND(J954,-3)</f>
        <v>7000</v>
      </c>
      <c r="Z954" s="457" t="s">
        <v>6638</v>
      </c>
      <c r="AA954" s="157" t="n">
        <v>3</v>
      </c>
      <c r="AB954" s="157" t="n">
        <v>3</v>
      </c>
      <c r="AC954" s="431" t="s">
        <v>586</v>
      </c>
      <c r="AD954" s="437"/>
      <c r="AE954" s="167"/>
      <c r="AF954" s="167"/>
      <c r="AG954" s="167"/>
      <c r="AH954" s="167"/>
      <c r="AI954" s="167"/>
      <c r="AJ954" s="167"/>
      <c r="AK954" s="167" t="s">
        <v>8383</v>
      </c>
      <c r="AL954" s="157" t="n">
        <f aca="false">IF(AND(ISNUMBER($S954),$S954&gt;0,ISNUMBER($K954),ISNUMBER($J954)),($K954*$J954)/$S954,"")</f>
        <v>40800</v>
      </c>
    </row>
    <row r="955" customFormat="false" ht="12.75" hidden="false" customHeight="true" outlineLevel="0" collapsed="false">
      <c r="A955" s="441" t="n">
        <v>8</v>
      </c>
      <c r="B955" s="157" t="n">
        <v>947</v>
      </c>
      <c r="C955" s="437" t="s">
        <v>8246</v>
      </c>
      <c r="D955" s="157" t="s">
        <v>8115</v>
      </c>
      <c r="E955" s="461" t="s">
        <v>2461</v>
      </c>
      <c r="F955" s="157" t="s">
        <v>9126</v>
      </c>
      <c r="G955" s="445" t="n">
        <v>47.2</v>
      </c>
      <c r="H955" s="431" t="n">
        <v>9506</v>
      </c>
      <c r="I955" s="457" t="n">
        <v>0</v>
      </c>
      <c r="J955" s="458" t="n">
        <v>7720</v>
      </c>
      <c r="K955" s="462" t="n">
        <v>3.32953367875648</v>
      </c>
      <c r="L955" s="463" t="n">
        <v>0</v>
      </c>
      <c r="M955" s="463" t="n">
        <v>0.127023031434796</v>
      </c>
      <c r="N955" s="431" t="n">
        <v>1967</v>
      </c>
      <c r="O955" s="446" t="n">
        <v>1068</v>
      </c>
      <c r="P955" s="446" t="n">
        <v>1005</v>
      </c>
      <c r="Q955" s="157" t="n">
        <v>13</v>
      </c>
      <c r="R955" s="157" t="n">
        <v>1</v>
      </c>
      <c r="S955" s="157" t="n">
        <v>1</v>
      </c>
      <c r="T955" s="457" t="s">
        <v>7526</v>
      </c>
      <c r="U955" s="457" t="n">
        <v>401</v>
      </c>
      <c r="V955" s="458" t="n">
        <v>12063</v>
      </c>
      <c r="W955" s="458" t="n">
        <v>12000</v>
      </c>
      <c r="X955" s="464" t="s">
        <v>6668</v>
      </c>
      <c r="Y955" s="458" t="n">
        <f aca="false">ROUND(J955,-3)</f>
        <v>8000</v>
      </c>
      <c r="Z955" s="457" t="s">
        <v>6638</v>
      </c>
      <c r="AA955" s="157" t="n">
        <v>3</v>
      </c>
      <c r="AB955" s="157" t="n">
        <v>3</v>
      </c>
      <c r="AC955" s="431" t="s">
        <v>586</v>
      </c>
      <c r="AD955" s="437"/>
      <c r="AE955" s="167"/>
      <c r="AF955" s="167"/>
      <c r="AG955" s="167"/>
      <c r="AH955" s="167"/>
      <c r="AI955" s="167"/>
      <c r="AJ955" s="167"/>
      <c r="AK955" s="167" t="s">
        <v>8814</v>
      </c>
      <c r="AL955" s="157" t="n">
        <f aca="false">IF(AND(ISNUMBER($S955),$S955&gt;0,ISNUMBER($K955),ISNUMBER($J955)),($K955*$J955)/$S955,"")</f>
        <v>25704</v>
      </c>
    </row>
    <row r="956" customFormat="false" ht="12.75" hidden="false" customHeight="true" outlineLevel="0" collapsed="false">
      <c r="A956" s="441" t="n">
        <v>8</v>
      </c>
      <c r="B956" s="157" t="n">
        <v>948</v>
      </c>
      <c r="C956" s="437" t="s">
        <v>8246</v>
      </c>
      <c r="D956" s="157" t="s">
        <v>7428</v>
      </c>
      <c r="E956" s="461" t="s">
        <v>2461</v>
      </c>
      <c r="F956" s="157" t="s">
        <v>7429</v>
      </c>
      <c r="G956" s="445" t="n">
        <v>44.2</v>
      </c>
      <c r="H956" s="431" t="n">
        <v>9506</v>
      </c>
      <c r="I956" s="457" t="n">
        <v>0</v>
      </c>
      <c r="J956" s="458" t="n">
        <v>5048</v>
      </c>
      <c r="K956" s="462" t="n">
        <v>2.85261489698891</v>
      </c>
      <c r="L956" s="463" t="n">
        <v>0</v>
      </c>
      <c r="M956" s="463" t="n">
        <v>0.0608333333333333</v>
      </c>
      <c r="N956" s="431" t="n">
        <v>1945</v>
      </c>
      <c r="O956" s="446" t="n">
        <v>293</v>
      </c>
      <c r="Q956" s="157" t="n">
        <v>13</v>
      </c>
      <c r="R956" s="157" t="n">
        <v>3</v>
      </c>
      <c r="S956" s="157" t="n">
        <v>1</v>
      </c>
      <c r="T956" s="457" t="s">
        <v>7526</v>
      </c>
      <c r="U956" s="457" t="n">
        <v>398</v>
      </c>
      <c r="V956" s="458" t="n">
        <v>7620</v>
      </c>
      <c r="W956" s="458" t="n">
        <v>8000</v>
      </c>
      <c r="X956" s="464" t="s">
        <v>6837</v>
      </c>
      <c r="Y956" s="458" t="n">
        <f aca="false">ROUND(J956,-3)</f>
        <v>5000</v>
      </c>
      <c r="Z956" s="457" t="s">
        <v>6638</v>
      </c>
      <c r="AA956" s="157" t="n">
        <v>2</v>
      </c>
      <c r="AB956" s="157" t="n">
        <v>1</v>
      </c>
      <c r="AC956" s="431" t="s">
        <v>529</v>
      </c>
      <c r="AD956" s="437"/>
      <c r="AE956" s="167"/>
      <c r="AF956" s="167"/>
      <c r="AG956" s="167"/>
      <c r="AH956" s="167"/>
      <c r="AI956" s="167"/>
      <c r="AJ956" s="167"/>
      <c r="AK956" s="167" t="s">
        <v>9127</v>
      </c>
      <c r="AL956" s="157" t="n">
        <f aca="false">IF(AND(ISNUMBER($S956),$S956&gt;0,ISNUMBER($K956),ISNUMBER($J956)),($K956*$J956)/$S956,"")</f>
        <v>14400</v>
      </c>
    </row>
    <row r="957" customFormat="false" ht="12.75" hidden="false" customHeight="true" outlineLevel="0" collapsed="false">
      <c r="A957" s="441" t="n">
        <v>8</v>
      </c>
      <c r="B957" s="157" t="n">
        <v>949</v>
      </c>
      <c r="C957" s="437" t="s">
        <v>8246</v>
      </c>
      <c r="D957" s="157" t="s">
        <v>9128</v>
      </c>
      <c r="E957" s="461" t="s">
        <v>2461</v>
      </c>
      <c r="F957" s="157" t="s">
        <v>9129</v>
      </c>
      <c r="G957" s="445" t="n">
        <v>44.2</v>
      </c>
      <c r="H957" s="431" t="n">
        <v>9506</v>
      </c>
      <c r="I957" s="457" t="n">
        <v>0</v>
      </c>
      <c r="J957" s="458" t="n">
        <v>9984</v>
      </c>
      <c r="K957" s="462" t="n">
        <v>7.21153846153846</v>
      </c>
      <c r="L957" s="463" t="n">
        <v>0</v>
      </c>
      <c r="M957" s="463" t="n">
        <v>0.0138888888888889</v>
      </c>
      <c r="N957" s="431" t="n">
        <v>1995</v>
      </c>
      <c r="O957" s="446" t="n">
        <f aca="false">1650+1398</f>
        <v>3048</v>
      </c>
      <c r="Q957" s="157" t="n">
        <v>20</v>
      </c>
      <c r="R957" s="157" t="n">
        <v>3</v>
      </c>
      <c r="S957" s="157" t="n">
        <v>1</v>
      </c>
      <c r="T957" s="457" t="s">
        <v>7531</v>
      </c>
      <c r="U957" s="457" t="n">
        <v>398</v>
      </c>
      <c r="V957" s="458" t="n">
        <v>16886</v>
      </c>
      <c r="W957" s="458" t="n">
        <v>17000</v>
      </c>
      <c r="X957" s="464" t="s">
        <v>6954</v>
      </c>
      <c r="Y957" s="458" t="n">
        <f aca="false">ROUND(J957,-3)</f>
        <v>10000</v>
      </c>
      <c r="Z957" s="457" t="s">
        <v>6638</v>
      </c>
      <c r="AA957" s="157" t="n">
        <v>3</v>
      </c>
      <c r="AB957" s="157" t="n">
        <v>3</v>
      </c>
      <c r="AC957" s="431" t="s">
        <v>586</v>
      </c>
      <c r="AD957" s="437" t="s">
        <v>6796</v>
      </c>
      <c r="AE957" s="167"/>
      <c r="AF957" s="167"/>
      <c r="AG957" s="167"/>
      <c r="AH957" s="167"/>
      <c r="AI957" s="167"/>
      <c r="AJ957" s="167"/>
      <c r="AK957" s="167" t="s">
        <v>8324</v>
      </c>
      <c r="AL957" s="157" t="n">
        <f aca="false">IF(AND(ISNUMBER($S957),$S957&gt;0,ISNUMBER($K957),ISNUMBER($J957)),($K957*$J957)/$S957,"")</f>
        <v>72000</v>
      </c>
    </row>
    <row r="958" customFormat="false" ht="12.75" hidden="false" customHeight="true" outlineLevel="0" collapsed="false">
      <c r="A958" s="441" t="n">
        <v>8</v>
      </c>
      <c r="B958" s="157" t="n">
        <v>950</v>
      </c>
      <c r="C958" s="437" t="s">
        <v>8246</v>
      </c>
      <c r="D958" s="157" t="s">
        <v>9130</v>
      </c>
      <c r="E958" s="461" t="s">
        <v>2461</v>
      </c>
      <c r="F958" s="157" t="s">
        <v>9131</v>
      </c>
      <c r="G958" s="445" t="n">
        <v>44.1</v>
      </c>
      <c r="H958" s="431" t="n">
        <v>9506</v>
      </c>
      <c r="I958" s="457" t="n">
        <v>0</v>
      </c>
      <c r="J958" s="458" t="n">
        <v>11667</v>
      </c>
      <c r="K958" s="462" t="n">
        <v>5.99982857632639</v>
      </c>
      <c r="L958" s="463" t="n">
        <v>0</v>
      </c>
      <c r="M958" s="463" t="n">
        <v>0</v>
      </c>
      <c r="N958" s="431" t="n">
        <v>1954</v>
      </c>
      <c r="O958" s="446" t="n">
        <v>1351</v>
      </c>
      <c r="Q958" s="157" t="n">
        <v>14</v>
      </c>
      <c r="R958" s="157" t="n">
        <v>3</v>
      </c>
      <c r="S958" s="157" t="n">
        <v>1</v>
      </c>
      <c r="T958" s="457" t="s">
        <v>7526</v>
      </c>
      <c r="U958" s="457" t="n">
        <v>398</v>
      </c>
      <c r="V958" s="458" t="n">
        <v>13750</v>
      </c>
      <c r="W958" s="458" t="n">
        <v>14000</v>
      </c>
      <c r="X958" s="464" t="s">
        <v>6754</v>
      </c>
      <c r="Y958" s="458" t="n">
        <f aca="false">ROUND(J958,-3)</f>
        <v>12000</v>
      </c>
      <c r="Z958" s="457" t="s">
        <v>6638</v>
      </c>
      <c r="AA958" s="157" t="n">
        <v>3</v>
      </c>
      <c r="AB958" s="157" t="n">
        <v>3</v>
      </c>
      <c r="AC958" s="431" t="s">
        <v>586</v>
      </c>
      <c r="AD958" s="437" t="s">
        <v>9132</v>
      </c>
      <c r="AE958" s="167"/>
      <c r="AF958" s="167"/>
      <c r="AG958" s="167"/>
      <c r="AH958" s="167"/>
      <c r="AI958" s="167"/>
      <c r="AJ958" s="167"/>
      <c r="AK958" s="167" t="s">
        <v>9133</v>
      </c>
      <c r="AL958" s="157" t="n">
        <f aca="false">IF(AND(ISNUMBER($S958),$S958&gt;0,ISNUMBER($K958),ISNUMBER($J958)),($K958*$J958)/$S958,"")</f>
        <v>70000</v>
      </c>
    </row>
    <row r="959" customFormat="false" ht="12.75" hidden="false" customHeight="true" outlineLevel="0" collapsed="false">
      <c r="A959" s="441" t="n">
        <v>8</v>
      </c>
      <c r="B959" s="157" t="n">
        <v>951</v>
      </c>
      <c r="C959" s="437" t="s">
        <v>8246</v>
      </c>
      <c r="D959" s="157" t="s">
        <v>7434</v>
      </c>
      <c r="E959" s="461" t="s">
        <v>2461</v>
      </c>
      <c r="F959" s="157" t="s">
        <v>7435</v>
      </c>
      <c r="G959" s="445" t="n">
        <v>44.2</v>
      </c>
      <c r="H959" s="431" t="n">
        <v>9506</v>
      </c>
      <c r="I959" s="457" t="n">
        <v>0</v>
      </c>
      <c r="J959" s="458" t="n">
        <v>3400</v>
      </c>
      <c r="K959" s="462" t="n">
        <v>7.05882352941176</v>
      </c>
      <c r="L959" s="463" t="n">
        <v>0</v>
      </c>
      <c r="M959" s="463" t="n">
        <v>0.0766666666666667</v>
      </c>
      <c r="N959" s="431" t="n">
        <v>1998</v>
      </c>
      <c r="O959" s="446" t="n">
        <f aca="false">207+450</f>
        <v>657</v>
      </c>
      <c r="Q959" s="157" t="n">
        <v>15</v>
      </c>
      <c r="R959" s="157" t="n">
        <v>7</v>
      </c>
      <c r="S959" s="157" t="n">
        <v>3</v>
      </c>
      <c r="T959" s="457" t="s">
        <v>7526</v>
      </c>
      <c r="U959" s="457" t="n">
        <v>398</v>
      </c>
      <c r="V959" s="458" t="n">
        <v>10950</v>
      </c>
      <c r="W959" s="458" t="n">
        <v>11000</v>
      </c>
      <c r="X959" s="464" t="s">
        <v>6650</v>
      </c>
      <c r="Y959" s="458" t="n">
        <f aca="false">ROUND(J959,-3)</f>
        <v>3000</v>
      </c>
      <c r="Z959" s="457" t="s">
        <v>6638</v>
      </c>
      <c r="AA959" s="157" t="n">
        <v>3</v>
      </c>
      <c r="AB959" s="157" t="n">
        <v>3</v>
      </c>
      <c r="AC959" s="431" t="s">
        <v>586</v>
      </c>
      <c r="AD959" s="437" t="s">
        <v>7199</v>
      </c>
      <c r="AE959" s="167"/>
      <c r="AF959" s="167"/>
      <c r="AG959" s="167"/>
      <c r="AH959" s="167"/>
      <c r="AI959" s="167"/>
      <c r="AJ959" s="167"/>
      <c r="AK959" s="167" t="s">
        <v>9134</v>
      </c>
      <c r="AL959" s="157" t="n">
        <f aca="false">IF(AND(ISNUMBER($S959),$S959&gt;0,ISNUMBER($K959),ISNUMBER($J959)),($K959*$J959)/$S959,"")</f>
        <v>8000</v>
      </c>
    </row>
    <row r="960" customFormat="false" ht="12.75" hidden="false" customHeight="true" outlineLevel="0" collapsed="false">
      <c r="A960" s="441" t="n">
        <v>8</v>
      </c>
      <c r="B960" s="157" t="n">
        <v>952</v>
      </c>
      <c r="C960" s="437" t="s">
        <v>8246</v>
      </c>
      <c r="D960" s="157" t="s">
        <v>9135</v>
      </c>
      <c r="E960" s="461" t="s">
        <v>2461</v>
      </c>
      <c r="F960" s="157" t="s">
        <v>9136</v>
      </c>
      <c r="G960" s="445" t="n">
        <v>44.2</v>
      </c>
      <c r="H960" s="431" t="n">
        <v>9506</v>
      </c>
      <c r="I960" s="457" t="n">
        <v>0</v>
      </c>
      <c r="J960" s="458" t="n">
        <v>3486</v>
      </c>
      <c r="K960" s="462" t="n">
        <v>6.41135972461274</v>
      </c>
      <c r="L960" s="463" t="n">
        <v>0</v>
      </c>
      <c r="M960" s="463" t="n">
        <v>0.0699776286353468</v>
      </c>
      <c r="N960" s="431" t="n">
        <v>1963</v>
      </c>
      <c r="O960" s="446" t="n">
        <v>775</v>
      </c>
      <c r="Q960" s="157" t="n">
        <v>13</v>
      </c>
      <c r="R960" s="157" t="n">
        <v>1</v>
      </c>
      <c r="S960" s="157" t="n">
        <v>2</v>
      </c>
      <c r="T960" s="457" t="s">
        <v>7526</v>
      </c>
      <c r="U960" s="457" t="n">
        <v>398</v>
      </c>
      <c r="V960" s="458" t="n">
        <v>6248</v>
      </c>
      <c r="W960" s="458" t="n">
        <v>6000</v>
      </c>
      <c r="X960" s="464" t="s">
        <v>6863</v>
      </c>
      <c r="Y960" s="458" t="n">
        <f aca="false">ROUND(J960,-3)</f>
        <v>3000</v>
      </c>
      <c r="Z960" s="457" t="s">
        <v>6638</v>
      </c>
      <c r="AA960" s="157" t="n">
        <v>3</v>
      </c>
      <c r="AB960" s="157" t="n">
        <v>3</v>
      </c>
      <c r="AC960" s="431" t="s">
        <v>586</v>
      </c>
      <c r="AD960" s="437" t="s">
        <v>9137</v>
      </c>
      <c r="AE960" s="167"/>
      <c r="AF960" s="167"/>
      <c r="AG960" s="167"/>
      <c r="AH960" s="167"/>
      <c r="AI960" s="167"/>
      <c r="AJ960" s="167"/>
      <c r="AK960" s="167" t="s">
        <v>9138</v>
      </c>
      <c r="AL960" s="157" t="n">
        <f aca="false">IF(AND(ISNUMBER($S960),$S960&gt;0,ISNUMBER($K960),ISNUMBER($J960)),($K960*$J960)/$S960,"")</f>
        <v>11175</v>
      </c>
    </row>
    <row r="961" customFormat="false" ht="12.75" hidden="false" customHeight="true" outlineLevel="0" collapsed="false">
      <c r="A961" s="441" t="n">
        <v>8</v>
      </c>
      <c r="B961" s="157" t="n">
        <v>953</v>
      </c>
      <c r="C961" s="437" t="s">
        <v>8246</v>
      </c>
      <c r="D961" s="157" t="s">
        <v>7436</v>
      </c>
      <c r="E961" s="461" t="s">
        <v>2461</v>
      </c>
      <c r="F961" s="157" t="s">
        <v>7437</v>
      </c>
      <c r="G961" s="445" t="n">
        <v>44.2</v>
      </c>
      <c r="H961" s="431" t="n">
        <v>9506</v>
      </c>
      <c r="I961" s="457" t="n">
        <v>0</v>
      </c>
      <c r="J961" s="458" t="n">
        <v>7000</v>
      </c>
      <c r="K961" s="462" t="n">
        <v>6.85714285714286</v>
      </c>
      <c r="L961" s="463" t="n">
        <v>0.25</v>
      </c>
      <c r="M961" s="463" t="n">
        <v>0</v>
      </c>
      <c r="N961" s="431" t="n">
        <v>1967</v>
      </c>
      <c r="O961" s="446" t="n">
        <v>2500</v>
      </c>
      <c r="Q961" s="157" t="n">
        <v>14</v>
      </c>
      <c r="R961" s="157" t="n">
        <v>1</v>
      </c>
      <c r="S961" s="157" t="n">
        <v>1</v>
      </c>
      <c r="T961" s="457" t="s">
        <v>7526</v>
      </c>
      <c r="U961" s="457" t="n">
        <v>398</v>
      </c>
      <c r="V961" s="458" t="n">
        <v>12500</v>
      </c>
      <c r="W961" s="458" t="n">
        <v>13000</v>
      </c>
      <c r="X961" s="464" t="s">
        <v>6863</v>
      </c>
      <c r="Y961" s="458" t="n">
        <f aca="false">ROUND(J961,-3)</f>
        <v>7000</v>
      </c>
      <c r="Z961" s="457" t="s">
        <v>6638</v>
      </c>
      <c r="AA961" s="157" t="n">
        <v>3</v>
      </c>
      <c r="AB961" s="157" t="n">
        <v>3</v>
      </c>
      <c r="AC961" s="431" t="s">
        <v>586</v>
      </c>
      <c r="AD961" s="437"/>
      <c r="AE961" s="167"/>
      <c r="AF961" s="167"/>
      <c r="AG961" s="167"/>
      <c r="AH961" s="167"/>
      <c r="AI961" s="167"/>
      <c r="AJ961" s="167"/>
      <c r="AK961" s="167" t="s">
        <v>9139</v>
      </c>
      <c r="AL961" s="157" t="n">
        <f aca="false">IF(AND(ISNUMBER($S961),$S961&gt;0,ISNUMBER($K961),ISNUMBER($J961)),($K961*$J961)/$S961,"")</f>
        <v>48000</v>
      </c>
    </row>
    <row r="962" customFormat="false" ht="12.75" hidden="false" customHeight="true" outlineLevel="0" collapsed="false">
      <c r="A962" s="441" t="n">
        <v>8</v>
      </c>
      <c r="B962" s="157" t="n">
        <v>954</v>
      </c>
      <c r="C962" s="437" t="s">
        <v>8246</v>
      </c>
      <c r="D962" s="157" t="s">
        <v>7438</v>
      </c>
      <c r="E962" s="461" t="s">
        <v>2461</v>
      </c>
      <c r="F962" s="157" t="s">
        <v>7439</v>
      </c>
      <c r="G962" s="445" t="n">
        <v>44.2</v>
      </c>
      <c r="H962" s="431" t="n">
        <v>9506</v>
      </c>
      <c r="I962" s="457" t="n">
        <v>2</v>
      </c>
      <c r="J962" s="458" t="n">
        <v>12500</v>
      </c>
      <c r="K962" s="462" t="n">
        <v>6.98592</v>
      </c>
      <c r="L962" s="463" t="n">
        <v>0</v>
      </c>
      <c r="M962" s="463" t="n">
        <v>0</v>
      </c>
      <c r="N962" s="431" t="n">
        <v>1932</v>
      </c>
      <c r="O962" s="446" t="n">
        <v>1800</v>
      </c>
      <c r="Q962" s="157" t="n">
        <v>16</v>
      </c>
      <c r="R962" s="157" t="n">
        <v>1</v>
      </c>
      <c r="S962" s="157" t="n">
        <v>1</v>
      </c>
      <c r="T962" s="457" t="s">
        <v>7789</v>
      </c>
      <c r="U962" s="457" t="n">
        <v>398</v>
      </c>
      <c r="V962" s="458" t="n">
        <v>15624</v>
      </c>
      <c r="W962" s="458" t="n">
        <v>16000</v>
      </c>
      <c r="X962" s="464" t="s">
        <v>8145</v>
      </c>
      <c r="Y962" s="458" t="n">
        <f aca="false">ROUND(J962,-3)</f>
        <v>13000</v>
      </c>
      <c r="Z962" s="457" t="s">
        <v>6638</v>
      </c>
      <c r="AA962" s="157" t="n">
        <v>3</v>
      </c>
      <c r="AB962" s="157" t="n">
        <v>3</v>
      </c>
      <c r="AC962" s="431" t="s">
        <v>586</v>
      </c>
      <c r="AD962" s="437"/>
      <c r="AE962" s="167"/>
      <c r="AF962" s="167"/>
      <c r="AG962" s="167"/>
      <c r="AH962" s="167"/>
      <c r="AI962" s="167"/>
      <c r="AJ962" s="167"/>
      <c r="AK962" s="167" t="s">
        <v>9140</v>
      </c>
      <c r="AL962" s="157" t="n">
        <f aca="false">IF(AND(ISNUMBER($S962),$S962&gt;0,ISNUMBER($K962),ISNUMBER($J962)),($K962*$J962)/$S962,"")</f>
        <v>87324</v>
      </c>
    </row>
    <row r="963" customFormat="false" ht="12.75" hidden="false" customHeight="true" outlineLevel="0" collapsed="false">
      <c r="A963" s="441" t="n">
        <v>8</v>
      </c>
      <c r="B963" s="157" t="n">
        <v>955</v>
      </c>
      <c r="C963" s="437" t="s">
        <v>8246</v>
      </c>
      <c r="D963" s="157" t="s">
        <v>7440</v>
      </c>
      <c r="E963" s="461" t="s">
        <v>2461</v>
      </c>
      <c r="F963" s="157" t="s">
        <v>7441</v>
      </c>
      <c r="G963" s="445" t="n">
        <v>44.2</v>
      </c>
      <c r="H963" s="431" t="n">
        <v>9506</v>
      </c>
      <c r="I963" s="457" t="n">
        <v>0</v>
      </c>
      <c r="J963" s="458" t="n">
        <v>5920</v>
      </c>
      <c r="K963" s="462" t="n">
        <v>6.99324324324324</v>
      </c>
      <c r="L963" s="463" t="n">
        <v>0</v>
      </c>
      <c r="M963" s="463" t="n">
        <v>0.124975845410628</v>
      </c>
      <c r="N963" s="431" t="n">
        <v>1972</v>
      </c>
      <c r="O963" s="446" t="n">
        <v>1406</v>
      </c>
      <c r="Q963" s="157" t="n">
        <v>13</v>
      </c>
      <c r="R963" s="157" t="n">
        <v>3</v>
      </c>
      <c r="S963" s="157" t="n">
        <v>4</v>
      </c>
      <c r="T963" s="457" t="s">
        <v>7526</v>
      </c>
      <c r="U963" s="457" t="n">
        <v>398</v>
      </c>
      <c r="V963" s="458" t="n">
        <v>9430</v>
      </c>
      <c r="W963" s="458" t="n">
        <v>9000</v>
      </c>
      <c r="X963" s="464" t="s">
        <v>6668</v>
      </c>
      <c r="Y963" s="458" t="n">
        <f aca="false">ROUND(J963,-3)</f>
        <v>6000</v>
      </c>
      <c r="Z963" s="457" t="s">
        <v>6638</v>
      </c>
      <c r="AA963" s="157" t="n">
        <v>3</v>
      </c>
      <c r="AB963" s="157" t="n">
        <v>3</v>
      </c>
      <c r="AC963" s="431" t="s">
        <v>586</v>
      </c>
      <c r="AD963" s="437"/>
      <c r="AE963" s="167"/>
      <c r="AF963" s="167"/>
      <c r="AG963" s="167"/>
      <c r="AH963" s="167"/>
      <c r="AI963" s="167"/>
      <c r="AJ963" s="167"/>
      <c r="AK963" s="167" t="s">
        <v>8567</v>
      </c>
      <c r="AL963" s="157" t="n">
        <f aca="false">IF(AND(ISNUMBER($S963),$S963&gt;0,ISNUMBER($K963),ISNUMBER($J963)),($K963*$J963)/$S963,"")</f>
        <v>10350</v>
      </c>
    </row>
    <row r="964" customFormat="false" ht="12.75" hidden="false" customHeight="true" outlineLevel="0" collapsed="false">
      <c r="A964" s="441" t="n">
        <v>8</v>
      </c>
      <c r="B964" s="157" t="n">
        <v>956</v>
      </c>
      <c r="C964" s="437" t="s">
        <v>8246</v>
      </c>
      <c r="D964" s="157" t="s">
        <v>9141</v>
      </c>
      <c r="E964" s="461" t="s">
        <v>2461</v>
      </c>
      <c r="F964" s="157" t="s">
        <v>9142</v>
      </c>
      <c r="G964" s="445" t="n">
        <v>44.2</v>
      </c>
      <c r="H964" s="431" t="n">
        <v>9506</v>
      </c>
      <c r="I964" s="457" t="n">
        <v>0</v>
      </c>
      <c r="J964" s="458" t="n">
        <v>4312</v>
      </c>
      <c r="K964" s="462" t="n">
        <v>6.95732838589982</v>
      </c>
      <c r="L964" s="463" t="n">
        <v>0</v>
      </c>
      <c r="M964" s="463" t="n">
        <v>0</v>
      </c>
      <c r="N964" s="431" t="n">
        <v>1973</v>
      </c>
      <c r="O964" s="446" t="n">
        <v>390</v>
      </c>
      <c r="Q964" s="157" t="n">
        <v>18</v>
      </c>
      <c r="R964" s="157" t="n">
        <v>9</v>
      </c>
      <c r="S964" s="157" t="n">
        <v>1</v>
      </c>
      <c r="T964" s="457" t="s">
        <v>7526</v>
      </c>
      <c r="U964" s="457" t="n">
        <v>398</v>
      </c>
      <c r="V964" s="458" t="n">
        <v>6327</v>
      </c>
      <c r="W964" s="458" t="n">
        <v>6000</v>
      </c>
      <c r="X964" s="464" t="s">
        <v>6837</v>
      </c>
      <c r="Y964" s="458" t="n">
        <f aca="false">ROUND(J964,-3)</f>
        <v>4000</v>
      </c>
      <c r="Z964" s="457" t="s">
        <v>6638</v>
      </c>
      <c r="AA964" s="157" t="n">
        <v>3</v>
      </c>
      <c r="AB964" s="157" t="n">
        <v>3</v>
      </c>
      <c r="AC964" s="431" t="s">
        <v>586</v>
      </c>
      <c r="AD964" s="437" t="s">
        <v>9143</v>
      </c>
      <c r="AE964" s="167"/>
      <c r="AF964" s="167"/>
      <c r="AG964" s="167"/>
      <c r="AH964" s="167"/>
      <c r="AI964" s="167"/>
      <c r="AJ964" s="167"/>
      <c r="AK964" s="167" t="s">
        <v>8303</v>
      </c>
      <c r="AL964" s="157" t="n">
        <f aca="false">IF(AND(ISNUMBER($S964),$S964&gt;0,ISNUMBER($K964),ISNUMBER($J964)),($K964*$J964)/$S964,"")</f>
        <v>30000</v>
      </c>
    </row>
    <row r="965" customFormat="false" ht="12.75" hidden="false" customHeight="true" outlineLevel="0" collapsed="false">
      <c r="A965" s="441" t="n">
        <v>8</v>
      </c>
      <c r="B965" s="157" t="n">
        <v>957</v>
      </c>
      <c r="C965" s="437" t="s">
        <v>8246</v>
      </c>
      <c r="D965" s="157" t="s">
        <v>8132</v>
      </c>
      <c r="E965" s="461" t="s">
        <v>2461</v>
      </c>
      <c r="F965" s="157" t="s">
        <v>9144</v>
      </c>
      <c r="G965" s="445" t="n">
        <v>44.2</v>
      </c>
      <c r="H965" s="431" t="n">
        <v>9506</v>
      </c>
      <c r="I965" s="457" t="n">
        <v>0</v>
      </c>
      <c r="J965" s="458" t="n">
        <v>4991</v>
      </c>
      <c r="K965" s="462" t="n">
        <v>5.40973752754959</v>
      </c>
      <c r="L965" s="463" t="n">
        <v>0</v>
      </c>
      <c r="M965" s="463" t="n">
        <v>0.0892222222222222</v>
      </c>
      <c r="N965" s="431" t="n">
        <v>1970</v>
      </c>
      <c r="O965" s="446" t="n">
        <v>744</v>
      </c>
      <c r="Q965" s="157" t="n">
        <v>14</v>
      </c>
      <c r="R965" s="157" t="n">
        <v>3</v>
      </c>
      <c r="S965" s="157" t="n">
        <v>1</v>
      </c>
      <c r="T965" s="457" t="s">
        <v>7526</v>
      </c>
      <c r="U965" s="457" t="n">
        <v>398</v>
      </c>
      <c r="V965" s="458" t="n">
        <v>7751</v>
      </c>
      <c r="W965" s="458" t="n">
        <v>8000</v>
      </c>
      <c r="X965" s="464" t="s">
        <v>6668</v>
      </c>
      <c r="Y965" s="458" t="n">
        <f aca="false">ROUND(J965,-3)</f>
        <v>5000</v>
      </c>
      <c r="Z965" s="457" t="s">
        <v>6638</v>
      </c>
      <c r="AA965" s="157" t="n">
        <v>3</v>
      </c>
      <c r="AB965" s="157" t="n">
        <v>3</v>
      </c>
      <c r="AC965" s="431" t="s">
        <v>586</v>
      </c>
      <c r="AD965" s="437" t="s">
        <v>8134</v>
      </c>
      <c r="AE965" s="167"/>
      <c r="AF965" s="167"/>
      <c r="AG965" s="167"/>
      <c r="AH965" s="167"/>
      <c r="AI965" s="167"/>
      <c r="AJ965" s="167"/>
      <c r="AK965" s="167" t="s">
        <v>8502</v>
      </c>
      <c r="AL965" s="157" t="n">
        <f aca="false">IF(AND(ISNUMBER($S965),$S965&gt;0,ISNUMBER($K965),ISNUMBER($J965)),($K965*$J965)/$S965,"")</f>
        <v>27000</v>
      </c>
    </row>
    <row r="966" customFormat="false" ht="12.75" hidden="false" customHeight="true" outlineLevel="0" collapsed="false">
      <c r="A966" s="441" t="n">
        <v>8</v>
      </c>
      <c r="B966" s="157" t="n">
        <v>958</v>
      </c>
      <c r="C966" s="437" t="s">
        <v>8246</v>
      </c>
      <c r="D966" s="157" t="s">
        <v>8137</v>
      </c>
      <c r="E966" s="461" t="s">
        <v>2461</v>
      </c>
      <c r="F966" s="157" t="s">
        <v>9145</v>
      </c>
      <c r="G966" s="445" t="n">
        <v>44.2</v>
      </c>
      <c r="H966" s="431" t="n">
        <v>9506</v>
      </c>
      <c r="I966" s="457" t="n">
        <v>0</v>
      </c>
      <c r="J966" s="458" t="n">
        <v>4704</v>
      </c>
      <c r="K966" s="462" t="n">
        <v>4.0391156462585</v>
      </c>
      <c r="L966" s="463" t="n">
        <v>0</v>
      </c>
      <c r="M966" s="463" t="n">
        <v>0</v>
      </c>
      <c r="N966" s="431" t="n">
        <v>1958</v>
      </c>
      <c r="P966" s="446" t="n">
        <v>1208</v>
      </c>
      <c r="Q966" s="157" t="n">
        <v>10</v>
      </c>
      <c r="R966" s="157" t="n">
        <v>1</v>
      </c>
      <c r="S966" s="157" t="n">
        <v>1</v>
      </c>
      <c r="T966" s="457" t="s">
        <v>7526</v>
      </c>
      <c r="U966" s="457" t="n">
        <v>398</v>
      </c>
      <c r="V966" s="458" t="n">
        <v>6250</v>
      </c>
      <c r="W966" s="458" t="n">
        <v>6000</v>
      </c>
      <c r="X966" s="464" t="s">
        <v>7103</v>
      </c>
      <c r="Y966" s="458" t="n">
        <f aca="false">ROUND(J966,-3)</f>
        <v>5000</v>
      </c>
      <c r="Z966" s="457" t="s">
        <v>6638</v>
      </c>
      <c r="AA966" s="157" t="n">
        <v>3</v>
      </c>
      <c r="AB966" s="157" t="n">
        <v>3</v>
      </c>
      <c r="AC966" s="431" t="s">
        <v>586</v>
      </c>
      <c r="AD966" s="437" t="s">
        <v>7444</v>
      </c>
      <c r="AE966" s="167"/>
      <c r="AF966" s="167"/>
      <c r="AG966" s="167"/>
      <c r="AH966" s="167"/>
      <c r="AI966" s="167"/>
      <c r="AJ966" s="167"/>
      <c r="AK966" s="167" t="s">
        <v>8574</v>
      </c>
      <c r="AL966" s="157" t="n">
        <f aca="false">IF(AND(ISNUMBER($S966),$S966&gt;0,ISNUMBER($K966),ISNUMBER($J966)),($K966*$J966)/$S966,"")</f>
        <v>19000</v>
      </c>
    </row>
    <row r="967" customFormat="false" ht="12.75" hidden="false" customHeight="true" outlineLevel="0" collapsed="false">
      <c r="A967" s="441" t="n">
        <v>8</v>
      </c>
      <c r="B967" s="157" t="n">
        <v>959</v>
      </c>
      <c r="C967" s="437" t="s">
        <v>8246</v>
      </c>
      <c r="D967" s="157" t="s">
        <v>8140</v>
      </c>
      <c r="E967" s="461" t="s">
        <v>2461</v>
      </c>
      <c r="F967" s="157" t="s">
        <v>9146</v>
      </c>
      <c r="G967" s="445" t="n">
        <v>44.1</v>
      </c>
      <c r="H967" s="431" t="n">
        <v>9509</v>
      </c>
      <c r="I967" s="457" t="n">
        <v>0</v>
      </c>
      <c r="J967" s="458" t="n">
        <v>798</v>
      </c>
      <c r="K967" s="462" t="n">
        <v>11.2781954887218</v>
      </c>
      <c r="L967" s="463" t="n">
        <v>0</v>
      </c>
      <c r="M967" s="463" t="n">
        <v>0</v>
      </c>
      <c r="N967" s="431" t="n">
        <v>1956</v>
      </c>
      <c r="O967" s="446" t="n">
        <v>200</v>
      </c>
      <c r="Q967" s="157" t="n">
        <v>14</v>
      </c>
      <c r="R967" s="157" t="n">
        <v>3</v>
      </c>
      <c r="S967" s="157" t="n">
        <v>1</v>
      </c>
      <c r="T967" s="457" t="s">
        <v>7799</v>
      </c>
      <c r="U967" s="457" t="n">
        <v>398</v>
      </c>
      <c r="V967" s="458" t="n">
        <v>4700</v>
      </c>
      <c r="W967" s="458" t="n">
        <v>5000</v>
      </c>
      <c r="X967" s="464" t="s">
        <v>7191</v>
      </c>
      <c r="Y967" s="458" t="n">
        <f aca="false">ROUND(J967,-2)</f>
        <v>800</v>
      </c>
      <c r="Z967" s="457" t="s">
        <v>6638</v>
      </c>
      <c r="AA967" s="157" t="n">
        <v>3</v>
      </c>
      <c r="AB967" s="157" t="n">
        <v>3</v>
      </c>
      <c r="AC967" s="431" t="s">
        <v>586</v>
      </c>
      <c r="AD967" s="437" t="s">
        <v>8142</v>
      </c>
      <c r="AE967" s="167"/>
      <c r="AF967" s="167"/>
      <c r="AG967" s="167"/>
      <c r="AH967" s="167"/>
      <c r="AI967" s="167"/>
      <c r="AJ967" s="167"/>
      <c r="AK967" s="167" t="s">
        <v>9147</v>
      </c>
      <c r="AL967" s="157" t="n">
        <f aca="false">IF(AND(ISNUMBER($S967),$S967&gt;0,ISNUMBER($K967),ISNUMBER($J967)),($K967*$J967)/$S967,"")</f>
        <v>9000</v>
      </c>
    </row>
    <row r="968" customFormat="false" ht="12.75" hidden="false" customHeight="true" outlineLevel="0" collapsed="false">
      <c r="A968" s="441" t="n">
        <v>8</v>
      </c>
      <c r="B968" s="157" t="n">
        <v>960</v>
      </c>
      <c r="C968" s="437" t="s">
        <v>8246</v>
      </c>
      <c r="D968" s="157" t="s">
        <v>8149</v>
      </c>
      <c r="E968" s="461" t="s">
        <v>2461</v>
      </c>
      <c r="F968" s="157" t="s">
        <v>9148</v>
      </c>
      <c r="G968" s="445" t="n">
        <v>44.2</v>
      </c>
      <c r="H968" s="431" t="n">
        <v>9506</v>
      </c>
      <c r="I968" s="457" t="n">
        <v>0</v>
      </c>
      <c r="J968" s="458" t="n">
        <v>3594</v>
      </c>
      <c r="K968" s="462" t="n">
        <v>4.00667779632721</v>
      </c>
      <c r="L968" s="463" t="n">
        <v>0</v>
      </c>
      <c r="M968" s="463" t="n">
        <v>0</v>
      </c>
      <c r="N968" s="431" t="n">
        <v>1953</v>
      </c>
      <c r="Q968" s="157" t="n">
        <v>14</v>
      </c>
      <c r="R968" s="157" t="n">
        <v>3</v>
      </c>
      <c r="S968" s="157" t="n">
        <v>1</v>
      </c>
      <c r="T968" s="457" t="s">
        <v>7526</v>
      </c>
      <c r="U968" s="457" t="n">
        <v>398</v>
      </c>
      <c r="V968" s="458" t="n">
        <v>12500</v>
      </c>
      <c r="W968" s="458" t="n">
        <v>13000</v>
      </c>
      <c r="X968" s="464" t="s">
        <v>7208</v>
      </c>
      <c r="Y968" s="458" t="n">
        <f aca="false">ROUND(J968,-3)</f>
        <v>4000</v>
      </c>
      <c r="Z968" s="457" t="s">
        <v>6638</v>
      </c>
      <c r="AA968" s="157" t="n">
        <v>3</v>
      </c>
      <c r="AB968" s="157" t="n">
        <v>3</v>
      </c>
      <c r="AC968" s="431" t="s">
        <v>586</v>
      </c>
      <c r="AD968" s="437" t="s">
        <v>8151</v>
      </c>
      <c r="AE968" s="167"/>
      <c r="AF968" s="167"/>
      <c r="AG968" s="167"/>
      <c r="AH968" s="167"/>
      <c r="AI968" s="167"/>
      <c r="AJ968" s="167"/>
      <c r="AK968" s="167" t="s">
        <v>8257</v>
      </c>
      <c r="AL968" s="157" t="n">
        <f aca="false">IF(AND(ISNUMBER($S968),$S968&gt;0,ISNUMBER($K968),ISNUMBER($J968)),($K968*$J968)/$S968,"")</f>
        <v>14400</v>
      </c>
    </row>
    <row r="969" customFormat="false" ht="12.75" hidden="false" customHeight="true" outlineLevel="0" collapsed="false">
      <c r="A969" s="441" t="n">
        <v>8</v>
      </c>
      <c r="B969" s="157" t="n">
        <v>961</v>
      </c>
      <c r="C969" s="437" t="s">
        <v>8246</v>
      </c>
      <c r="D969" s="157" t="s">
        <v>8152</v>
      </c>
      <c r="E969" s="461" t="s">
        <v>2461</v>
      </c>
      <c r="F969" s="157" t="s">
        <v>9149</v>
      </c>
      <c r="G969" s="445" t="n">
        <v>44.2</v>
      </c>
      <c r="H969" s="431" t="n">
        <v>9506</v>
      </c>
      <c r="I969" s="457" t="n">
        <v>0</v>
      </c>
      <c r="J969" s="458" t="n">
        <v>11266</v>
      </c>
      <c r="K969" s="462" t="n">
        <v>5.81404225102077</v>
      </c>
      <c r="L969" s="463" t="n">
        <v>0</v>
      </c>
      <c r="M969" s="463" t="n">
        <v>0</v>
      </c>
      <c r="N969" s="431" t="n">
        <v>1968</v>
      </c>
      <c r="O969" s="446" t="n">
        <v>612</v>
      </c>
      <c r="Q969" s="157" t="n">
        <v>13</v>
      </c>
      <c r="R969" s="157" t="n">
        <v>1</v>
      </c>
      <c r="S969" s="157" t="n">
        <v>1</v>
      </c>
      <c r="T969" s="457" t="s">
        <v>7526</v>
      </c>
      <c r="U969" s="457" t="n">
        <v>398</v>
      </c>
      <c r="V969" s="458" t="n">
        <v>15625</v>
      </c>
      <c r="W969" s="458" t="n">
        <v>16000</v>
      </c>
      <c r="X969" s="464" t="s">
        <v>6710</v>
      </c>
      <c r="Y969" s="458" t="n">
        <f aca="false">ROUND(J969,-3)</f>
        <v>11000</v>
      </c>
      <c r="Z969" s="457" t="s">
        <v>6638</v>
      </c>
      <c r="AA969" s="157" t="n">
        <v>3</v>
      </c>
      <c r="AB969" s="157" t="n">
        <v>3</v>
      </c>
      <c r="AC969" s="431" t="s">
        <v>586</v>
      </c>
      <c r="AD969" s="437" t="s">
        <v>8154</v>
      </c>
      <c r="AE969" s="167"/>
      <c r="AF969" s="167"/>
      <c r="AG969" s="167"/>
      <c r="AH969" s="167"/>
      <c r="AI969" s="167"/>
      <c r="AJ969" s="167"/>
      <c r="AK969" s="167" t="s">
        <v>8257</v>
      </c>
      <c r="AL969" s="157" t="n">
        <f aca="false">IF(AND(ISNUMBER($S969),$S969&gt;0,ISNUMBER($K969),ISNUMBER($J969)),($K969*$J969)/$S969,"")</f>
        <v>65501</v>
      </c>
    </row>
    <row r="970" customFormat="false" ht="12.75" hidden="false" customHeight="true" outlineLevel="0" collapsed="false">
      <c r="A970" s="441" t="n">
        <v>8</v>
      </c>
      <c r="B970" s="157" t="n">
        <v>962</v>
      </c>
      <c r="C970" s="437" t="s">
        <v>8246</v>
      </c>
      <c r="D970" s="157" t="s">
        <v>9150</v>
      </c>
      <c r="E970" s="461" t="s">
        <v>2461</v>
      </c>
      <c r="F970" s="157" t="s">
        <v>9151</v>
      </c>
      <c r="G970" s="445" t="n">
        <v>44.2</v>
      </c>
      <c r="H970" s="431" t="n">
        <v>9506</v>
      </c>
      <c r="I970" s="457" t="n">
        <v>0</v>
      </c>
      <c r="J970" s="458" t="n">
        <v>9529</v>
      </c>
      <c r="K970" s="462" t="n">
        <v>6.29656837023822</v>
      </c>
      <c r="L970" s="463" t="n">
        <v>0</v>
      </c>
      <c r="M970" s="463" t="n">
        <v>0</v>
      </c>
      <c r="N970" s="431" t="n">
        <v>1958</v>
      </c>
      <c r="O970" s="446" t="n">
        <v>480</v>
      </c>
      <c r="Q970" s="157" t="n">
        <v>16</v>
      </c>
      <c r="R970" s="157" t="n">
        <v>3</v>
      </c>
      <c r="S970" s="157" t="n">
        <v>1</v>
      </c>
      <c r="T970" s="457" t="s">
        <v>7526</v>
      </c>
      <c r="U970" s="457" t="n">
        <v>398</v>
      </c>
      <c r="V970" s="458" t="n">
        <v>12500</v>
      </c>
      <c r="W970" s="458" t="n">
        <v>13000</v>
      </c>
      <c r="X970" s="464" t="s">
        <v>7103</v>
      </c>
      <c r="Y970" s="458" t="n">
        <f aca="false">ROUND(J970,-3)</f>
        <v>10000</v>
      </c>
      <c r="Z970" s="457" t="s">
        <v>6638</v>
      </c>
      <c r="AA970" s="157" t="n">
        <v>3</v>
      </c>
      <c r="AB970" s="157" t="n">
        <v>3</v>
      </c>
      <c r="AC970" s="431" t="s">
        <v>586</v>
      </c>
      <c r="AD970" s="437" t="s">
        <v>9152</v>
      </c>
      <c r="AE970" s="167"/>
      <c r="AF970" s="167"/>
      <c r="AG970" s="167"/>
      <c r="AH970" s="167"/>
      <c r="AI970" s="167"/>
      <c r="AJ970" s="167"/>
      <c r="AK970" s="167" t="s">
        <v>9153</v>
      </c>
      <c r="AL970" s="157" t="n">
        <f aca="false">IF(AND(ISNUMBER($S970),$S970&gt;0,ISNUMBER($K970),ISNUMBER($J970)),($K970*$J970)/$S970,"")</f>
        <v>60000</v>
      </c>
    </row>
    <row r="971" customFormat="false" ht="12.75" hidden="false" customHeight="true" outlineLevel="0" collapsed="false">
      <c r="A971" s="441" t="n">
        <v>8</v>
      </c>
      <c r="B971" s="157" t="n">
        <v>963</v>
      </c>
      <c r="C971" s="437" t="s">
        <v>8246</v>
      </c>
      <c r="D971" s="157" t="s">
        <v>9154</v>
      </c>
      <c r="E971" s="461" t="s">
        <v>2461</v>
      </c>
      <c r="F971" s="157" t="s">
        <v>9155</v>
      </c>
      <c r="G971" s="445" t="n">
        <v>44.2</v>
      </c>
      <c r="H971" s="431" t="n">
        <v>9506</v>
      </c>
      <c r="I971" s="457" t="n">
        <v>0</v>
      </c>
      <c r="J971" s="458" t="n">
        <v>3158</v>
      </c>
      <c r="K971" s="462" t="n">
        <v>6.42178594046865</v>
      </c>
      <c r="L971" s="463" t="n">
        <v>0</v>
      </c>
      <c r="M971" s="463" t="n">
        <v>0</v>
      </c>
      <c r="N971" s="431" t="n">
        <v>1959</v>
      </c>
      <c r="Q971" s="157" t="n">
        <v>12</v>
      </c>
      <c r="R971" s="157" t="n">
        <v>1</v>
      </c>
      <c r="S971" s="157" t="n">
        <v>1</v>
      </c>
      <c r="T971" s="457" t="s">
        <v>7526</v>
      </c>
      <c r="U971" s="457" t="n">
        <v>398</v>
      </c>
      <c r="V971" s="458" t="n">
        <v>6250</v>
      </c>
      <c r="W971" s="458" t="n">
        <v>6000</v>
      </c>
      <c r="X971" s="464" t="s">
        <v>7546</v>
      </c>
      <c r="Y971" s="458" t="n">
        <f aca="false">ROUND(J971,-3)</f>
        <v>3000</v>
      </c>
      <c r="Z971" s="457" t="s">
        <v>6638</v>
      </c>
      <c r="AA971" s="157" t="n">
        <v>3</v>
      </c>
      <c r="AB971" s="157" t="n">
        <v>3</v>
      </c>
      <c r="AC971" s="431" t="s">
        <v>586</v>
      </c>
      <c r="AD971" s="437" t="s">
        <v>9156</v>
      </c>
      <c r="AE971" s="167"/>
      <c r="AF971" s="167"/>
      <c r="AG971" s="167"/>
      <c r="AH971" s="167"/>
      <c r="AI971" s="167"/>
      <c r="AJ971" s="167"/>
      <c r="AK971" s="167" t="s">
        <v>8257</v>
      </c>
      <c r="AL971" s="157" t="n">
        <f aca="false">IF(AND(ISNUMBER($S971),$S971&gt;0,ISNUMBER($K971),ISNUMBER($J971)),($K971*$J971)/$S971,"")</f>
        <v>20280</v>
      </c>
    </row>
    <row r="972" customFormat="false" ht="12.75" hidden="false" customHeight="true" outlineLevel="0" collapsed="false">
      <c r="A972" s="441" t="n">
        <v>8</v>
      </c>
      <c r="B972" s="157" t="n">
        <v>964</v>
      </c>
      <c r="C972" s="437" t="s">
        <v>8246</v>
      </c>
      <c r="D972" s="157" t="s">
        <v>9157</v>
      </c>
      <c r="E972" s="461" t="s">
        <v>2461</v>
      </c>
      <c r="F972" s="157" t="s">
        <v>9158</v>
      </c>
      <c r="G972" s="445" t="s">
        <v>7011</v>
      </c>
      <c r="H972" s="431" t="n">
        <v>9506</v>
      </c>
      <c r="I972" s="457" t="n">
        <v>0</v>
      </c>
      <c r="J972" s="458" t="n">
        <v>1815</v>
      </c>
      <c r="K972" s="462" t="n">
        <v>5.05785123966942</v>
      </c>
      <c r="L972" s="463" t="n">
        <v>0</v>
      </c>
      <c r="M972" s="463" t="n">
        <v>0.10479302832244</v>
      </c>
      <c r="N972" s="431" t="n">
        <v>1986</v>
      </c>
      <c r="Q972" s="157" t="n">
        <v>10</v>
      </c>
      <c r="R972" s="157" t="n">
        <v>2</v>
      </c>
      <c r="S972" s="157" t="n">
        <v>1</v>
      </c>
      <c r="T972" s="457" t="s">
        <v>7526</v>
      </c>
      <c r="U972" s="457" t="n">
        <v>398</v>
      </c>
      <c r="V972" s="458" t="n">
        <v>6250</v>
      </c>
      <c r="W972" s="458" t="n">
        <v>6000</v>
      </c>
      <c r="X972" s="464" t="s">
        <v>7065</v>
      </c>
      <c r="Y972" s="458" t="n">
        <f aca="false">ROUND(J972,-2)</f>
        <v>1800</v>
      </c>
      <c r="Z972" s="457" t="s">
        <v>6638</v>
      </c>
      <c r="AA972" s="157" t="n">
        <v>3</v>
      </c>
      <c r="AB972" s="157" t="n">
        <v>1</v>
      </c>
      <c r="AC972" s="431" t="s">
        <v>576</v>
      </c>
      <c r="AD972" s="437"/>
      <c r="AE972" s="167"/>
      <c r="AF972" s="167"/>
      <c r="AG972" s="167"/>
      <c r="AH972" s="167"/>
      <c r="AI972" s="167"/>
      <c r="AJ972" s="167"/>
      <c r="AK972" s="167" t="s">
        <v>9159</v>
      </c>
      <c r="AL972" s="157" t="n">
        <f aca="false">IF(AND(ISNUMBER($S972),$S972&gt;0,ISNUMBER($K972),ISNUMBER($J972)),($K972*$J972)/$S972,"")</f>
        <v>9180</v>
      </c>
    </row>
    <row r="973" customFormat="false" ht="12.75" hidden="false" customHeight="true" outlineLevel="0" collapsed="false">
      <c r="A973" s="441" t="n">
        <v>8</v>
      </c>
      <c r="B973" s="157" t="n">
        <v>965</v>
      </c>
      <c r="C973" s="437" t="s">
        <v>8246</v>
      </c>
      <c r="D973" s="157" t="s">
        <v>9160</v>
      </c>
      <c r="E973" s="461" t="s">
        <v>2461</v>
      </c>
      <c r="F973" s="157" t="s">
        <v>9161</v>
      </c>
      <c r="G973" s="445" t="n">
        <v>44.2</v>
      </c>
      <c r="H973" s="431" t="n">
        <v>9506</v>
      </c>
      <c r="I973" s="457" t="n">
        <v>0</v>
      </c>
      <c r="J973" s="458" t="n">
        <v>15906</v>
      </c>
      <c r="K973" s="462" t="n">
        <v>2.7159562429272</v>
      </c>
      <c r="L973" s="463" t="n">
        <v>0</v>
      </c>
      <c r="M973" s="463" t="n">
        <v>0</v>
      </c>
      <c r="N973" s="431" t="n">
        <v>1915</v>
      </c>
      <c r="Q973" s="157" t="n">
        <v>16</v>
      </c>
      <c r="R973" s="157" t="n">
        <v>1</v>
      </c>
      <c r="S973" s="157" t="n">
        <v>1</v>
      </c>
      <c r="T973" s="457" t="s">
        <v>7526</v>
      </c>
      <c r="U973" s="457" t="n">
        <v>398</v>
      </c>
      <c r="V973" s="458" t="n">
        <v>35250</v>
      </c>
      <c r="W973" s="458" t="n">
        <v>35000</v>
      </c>
      <c r="X973" s="464" t="s">
        <v>6700</v>
      </c>
      <c r="Y973" s="458" t="n">
        <f aca="false">ROUND(J973,-3)</f>
        <v>16000</v>
      </c>
      <c r="Z973" s="457" t="s">
        <v>6638</v>
      </c>
      <c r="AA973" s="157" t="n">
        <v>3</v>
      </c>
      <c r="AB973" s="157" t="n">
        <v>3</v>
      </c>
      <c r="AC973" s="431" t="s">
        <v>586</v>
      </c>
      <c r="AD973" s="437"/>
      <c r="AE973" s="167"/>
      <c r="AF973" s="167"/>
      <c r="AG973" s="167"/>
      <c r="AH973" s="167"/>
      <c r="AI973" s="167"/>
      <c r="AJ973" s="167"/>
      <c r="AK973" s="167" t="s">
        <v>8257</v>
      </c>
      <c r="AL973" s="157" t="n">
        <f aca="false">IF(AND(ISNUMBER($S973),$S973&gt;0,ISNUMBER($K973),ISNUMBER($J973)),($K973*$J973)/$S973,"")</f>
        <v>43200</v>
      </c>
    </row>
    <row r="974" customFormat="false" ht="12.75" hidden="false" customHeight="true" outlineLevel="0" collapsed="false">
      <c r="A974" s="441" t="n">
        <v>8</v>
      </c>
      <c r="B974" s="157" t="n">
        <v>966</v>
      </c>
      <c r="C974" s="437" t="s">
        <v>8266</v>
      </c>
      <c r="D974" s="157" t="s">
        <v>9162</v>
      </c>
      <c r="E974" s="457" t="s">
        <v>2461</v>
      </c>
      <c r="F974" s="157" t="s">
        <v>9163</v>
      </c>
      <c r="G974" s="445" t="n">
        <v>44.1</v>
      </c>
      <c r="H974" s="157" t="n">
        <v>9509</v>
      </c>
      <c r="I974" s="457" t="n">
        <v>0</v>
      </c>
      <c r="J974" s="446" t="n">
        <v>7934</v>
      </c>
      <c r="K974" s="462" t="n">
        <v>6.81</v>
      </c>
      <c r="L974" s="175" t="n">
        <v>0</v>
      </c>
      <c r="M974" s="175" t="n">
        <v>0</v>
      </c>
      <c r="N974" s="157" t="n">
        <v>1974</v>
      </c>
      <c r="O974" s="458" t="n">
        <v>0</v>
      </c>
      <c r="P974" s="458" t="n">
        <v>2556</v>
      </c>
      <c r="Q974" s="157" t="n">
        <v>13</v>
      </c>
      <c r="R974" s="157" t="n">
        <v>3</v>
      </c>
      <c r="S974" s="157" t="n">
        <v>1</v>
      </c>
      <c r="T974" s="457" t="s">
        <v>8489</v>
      </c>
      <c r="U974" s="457" t="n">
        <v>398</v>
      </c>
      <c r="V974" s="458" t="n">
        <v>7812</v>
      </c>
      <c r="W974" s="458" t="n">
        <v>8000</v>
      </c>
      <c r="X974" s="431" t="s">
        <v>8145</v>
      </c>
      <c r="Y974" s="458" t="n">
        <v>8000</v>
      </c>
      <c r="Z974" s="457" t="s">
        <v>463</v>
      </c>
      <c r="AA974" s="157" t="n">
        <v>3</v>
      </c>
      <c r="AB974" s="157" t="n">
        <v>3</v>
      </c>
      <c r="AC974" s="157" t="n">
        <v>33</v>
      </c>
      <c r="AE974" s="430" t="n">
        <v>6.81</v>
      </c>
      <c r="AF974" s="467" t="n">
        <v>6.81</v>
      </c>
      <c r="AG974" s="467" t="n">
        <v>6.81</v>
      </c>
      <c r="AH974" s="467" t="n">
        <v>0</v>
      </c>
      <c r="AI974" s="467" t="s">
        <v>1310</v>
      </c>
      <c r="AJ974" s="430" t="s">
        <v>1310</v>
      </c>
      <c r="AN974" s="167"/>
      <c r="AO974" s="167"/>
      <c r="AP974" s="167"/>
    </row>
    <row r="975" customFormat="false" ht="12.75" hidden="false" customHeight="true" outlineLevel="0" collapsed="false">
      <c r="A975" s="441" t="n">
        <v>8</v>
      </c>
      <c r="B975" s="157" t="n">
        <v>967</v>
      </c>
      <c r="C975" s="437" t="s">
        <v>8246</v>
      </c>
      <c r="D975" s="157" t="s">
        <v>9164</v>
      </c>
      <c r="E975" s="461" t="s">
        <v>2461</v>
      </c>
      <c r="F975" s="157" t="s">
        <v>9165</v>
      </c>
      <c r="G975" s="445" t="n">
        <v>44.1</v>
      </c>
      <c r="H975" s="431" t="n">
        <v>9506</v>
      </c>
      <c r="I975" s="457" t="n">
        <v>0</v>
      </c>
      <c r="J975" s="458" t="n">
        <v>2500</v>
      </c>
      <c r="K975" s="462" t="n">
        <v>9.12</v>
      </c>
      <c r="L975" s="463" t="n">
        <v>0.33</v>
      </c>
      <c r="M975" s="463" t="n">
        <v>0.0887280701754386</v>
      </c>
      <c r="N975" s="431" t="n">
        <v>1959</v>
      </c>
      <c r="O975" s="446" t="n">
        <v>625</v>
      </c>
      <c r="Q975" s="157" t="n">
        <v>10</v>
      </c>
      <c r="R975" s="157" t="n">
        <v>1</v>
      </c>
      <c r="S975" s="157" t="n">
        <v>1</v>
      </c>
      <c r="T975" s="457" t="s">
        <v>7529</v>
      </c>
      <c r="U975" s="457" t="n">
        <v>398</v>
      </c>
      <c r="V975" s="458" t="n">
        <v>7753</v>
      </c>
      <c r="W975" s="458" t="n">
        <v>8000</v>
      </c>
      <c r="X975" s="464" t="s">
        <v>6751</v>
      </c>
      <c r="Y975" s="458" t="n">
        <f aca="false">ROUND(J975,-3)</f>
        <v>3000</v>
      </c>
      <c r="Z975" s="457" t="s">
        <v>6638</v>
      </c>
      <c r="AA975" s="157" t="n">
        <v>3</v>
      </c>
      <c r="AB975" s="157" t="n">
        <v>3</v>
      </c>
      <c r="AC975" s="431" t="s">
        <v>586</v>
      </c>
      <c r="AD975" s="437" t="s">
        <v>9166</v>
      </c>
      <c r="AE975" s="167"/>
      <c r="AF975" s="167"/>
      <c r="AG975" s="167"/>
      <c r="AH975" s="167"/>
      <c r="AI975" s="167"/>
      <c r="AJ975" s="167"/>
      <c r="AK975" s="167" t="s">
        <v>8257</v>
      </c>
      <c r="AL975" s="157" t="n">
        <f aca="false">IF(AND(ISNUMBER($S975),$S975&gt;0,ISNUMBER($K975),ISNUMBER($J975)),($K975*$J975)/$S975,"")</f>
        <v>22800</v>
      </c>
    </row>
    <row r="976" customFormat="false" ht="12.75" hidden="false" customHeight="true" outlineLevel="0" collapsed="false">
      <c r="A976" s="441" t="n">
        <v>8</v>
      </c>
      <c r="B976" s="157" t="n">
        <v>968</v>
      </c>
      <c r="C976" s="437" t="s">
        <v>8246</v>
      </c>
      <c r="D976" s="157" t="s">
        <v>9167</v>
      </c>
      <c r="E976" s="461" t="s">
        <v>2461</v>
      </c>
      <c r="F976" s="157" t="s">
        <v>9168</v>
      </c>
      <c r="G976" s="445" t="n">
        <v>44.1</v>
      </c>
      <c r="H976" s="431" t="n">
        <v>9506</v>
      </c>
      <c r="I976" s="457" t="n">
        <v>0</v>
      </c>
      <c r="J976" s="458" t="n">
        <v>3136</v>
      </c>
      <c r="K976" s="462" t="n">
        <v>6.69642857142857</v>
      </c>
      <c r="L976" s="463" t="n">
        <v>0</v>
      </c>
      <c r="M976" s="463" t="n">
        <v>0</v>
      </c>
      <c r="N976" s="431" t="n">
        <v>1981</v>
      </c>
      <c r="P976" s="446" t="n">
        <v>729</v>
      </c>
      <c r="Q976" s="157" t="n">
        <v>14</v>
      </c>
      <c r="R976" s="157" t="n">
        <v>8</v>
      </c>
      <c r="S976" s="157" t="n">
        <v>1</v>
      </c>
      <c r="T976" s="457" t="s">
        <v>7789</v>
      </c>
      <c r="U976" s="457" t="n">
        <v>398</v>
      </c>
      <c r="V976" s="458" t="n">
        <v>14258</v>
      </c>
      <c r="W976" s="458" t="n">
        <v>14000</v>
      </c>
      <c r="X976" s="464" t="s">
        <v>7080</v>
      </c>
      <c r="Y976" s="458" t="n">
        <f aca="false">ROUND(J976,-3)</f>
        <v>3000</v>
      </c>
      <c r="Z976" s="457" t="s">
        <v>6638</v>
      </c>
      <c r="AA976" s="157" t="n">
        <v>3</v>
      </c>
      <c r="AB976" s="157" t="n">
        <v>2</v>
      </c>
      <c r="AC976" s="431" t="s">
        <v>582</v>
      </c>
      <c r="AD976" s="437" t="s">
        <v>9169</v>
      </c>
      <c r="AE976" s="167"/>
      <c r="AF976" s="167"/>
      <c r="AG976" s="167"/>
      <c r="AH976" s="167"/>
      <c r="AI976" s="167"/>
      <c r="AJ976" s="167"/>
      <c r="AK976" s="167" t="s">
        <v>8324</v>
      </c>
      <c r="AL976" s="157" t="n">
        <f aca="false">IF(AND(ISNUMBER($S976),$S976&gt;0,ISNUMBER($K976),ISNUMBER($J976)),($K976*$J976)/$S976,"")</f>
        <v>21000</v>
      </c>
    </row>
    <row r="977" customFormat="false" ht="12.75" hidden="false" customHeight="true" outlineLevel="0" collapsed="false">
      <c r="A977" s="441" t="n">
        <v>8</v>
      </c>
      <c r="B977" s="157" t="n">
        <v>969</v>
      </c>
      <c r="C977" s="437" t="s">
        <v>8246</v>
      </c>
      <c r="D977" s="157" t="s">
        <v>7453</v>
      </c>
      <c r="E977" s="461" t="s">
        <v>2461</v>
      </c>
      <c r="F977" s="157" t="s">
        <v>7454</v>
      </c>
      <c r="G977" s="445" t="n">
        <v>44.2</v>
      </c>
      <c r="H977" s="431" t="n">
        <v>9506</v>
      </c>
      <c r="I977" s="457" t="n">
        <v>0</v>
      </c>
      <c r="J977" s="458" t="n">
        <v>14970</v>
      </c>
      <c r="K977" s="462" t="n">
        <v>4.00801603206413</v>
      </c>
      <c r="L977" s="463" t="n">
        <v>0</v>
      </c>
      <c r="M977" s="463" t="n">
        <v>0</v>
      </c>
      <c r="N977" s="431" t="n">
        <v>1960</v>
      </c>
      <c r="O977" s="446" t="n">
        <v>1407</v>
      </c>
      <c r="Q977" s="157" t="n">
        <v>13</v>
      </c>
      <c r="R977" s="157" t="n">
        <v>3</v>
      </c>
      <c r="S977" s="157" t="n">
        <v>1</v>
      </c>
      <c r="T977" s="457" t="s">
        <v>7526</v>
      </c>
      <c r="U977" s="457" t="n">
        <v>398</v>
      </c>
      <c r="V977" s="458" t="n">
        <v>17968</v>
      </c>
      <c r="W977" s="458" t="n">
        <v>18000</v>
      </c>
      <c r="X977" s="464" t="s">
        <v>6900</v>
      </c>
      <c r="Y977" s="458" t="n">
        <f aca="false">ROUND(J977,-3)</f>
        <v>15000</v>
      </c>
      <c r="Z977" s="457" t="s">
        <v>6638</v>
      </c>
      <c r="AA977" s="157" t="n">
        <v>3</v>
      </c>
      <c r="AB977" s="157" t="n">
        <v>1</v>
      </c>
      <c r="AC977" s="431" t="s">
        <v>576</v>
      </c>
      <c r="AD977" s="437"/>
      <c r="AE977" s="167"/>
      <c r="AF977" s="167"/>
      <c r="AG977" s="167"/>
      <c r="AH977" s="167"/>
      <c r="AI977" s="167"/>
      <c r="AJ977" s="167"/>
      <c r="AK977" s="167" t="s">
        <v>8308</v>
      </c>
      <c r="AL977" s="157" t="n">
        <f aca="false">IF(AND(ISNUMBER($S977),$S977&gt;0,ISNUMBER($K977),ISNUMBER($J977)),($K977*$J977)/$S977,"")</f>
        <v>60000</v>
      </c>
    </row>
    <row r="978" customFormat="false" ht="12.75" hidden="false" customHeight="true" outlineLevel="0" collapsed="false">
      <c r="A978" s="441" t="n">
        <v>8</v>
      </c>
      <c r="B978" s="157" t="n">
        <v>970</v>
      </c>
      <c r="C978" s="437" t="s">
        <v>8246</v>
      </c>
      <c r="D978" s="157" t="s">
        <v>7455</v>
      </c>
      <c r="E978" s="461" t="s">
        <v>2461</v>
      </c>
      <c r="F978" s="157" t="s">
        <v>7456</v>
      </c>
      <c r="G978" s="445" t="n">
        <v>47.2</v>
      </c>
      <c r="H978" s="431" t="n">
        <v>9506</v>
      </c>
      <c r="I978" s="457" t="n">
        <v>0</v>
      </c>
      <c r="J978" s="458" t="n">
        <v>28581</v>
      </c>
      <c r="K978" s="462" t="n">
        <v>3.9886637976278</v>
      </c>
      <c r="L978" s="463" t="n">
        <v>0</v>
      </c>
      <c r="M978" s="463" t="n">
        <v>0</v>
      </c>
      <c r="N978" s="431" t="n">
        <v>1961</v>
      </c>
      <c r="O978" s="446" t="n">
        <v>6364</v>
      </c>
      <c r="Q978" s="157" t="n">
        <v>13</v>
      </c>
      <c r="R978" s="157" t="n">
        <v>3</v>
      </c>
      <c r="S978" s="157" t="n">
        <v>1</v>
      </c>
      <c r="T978" s="457" t="s">
        <v>7526</v>
      </c>
      <c r="U978" s="457" t="n">
        <v>401</v>
      </c>
      <c r="V978" s="458" t="n">
        <v>38282</v>
      </c>
      <c r="W978" s="458" t="n">
        <v>38000</v>
      </c>
      <c r="X978" s="464" t="s">
        <v>7103</v>
      </c>
      <c r="Y978" s="458" t="n">
        <f aca="false">ROUND(J978,-3)</f>
        <v>29000</v>
      </c>
      <c r="Z978" s="457" t="s">
        <v>6638</v>
      </c>
      <c r="AA978" s="157" t="n">
        <v>3</v>
      </c>
      <c r="AB978" s="157" t="n">
        <v>2</v>
      </c>
      <c r="AC978" s="431" t="s">
        <v>582</v>
      </c>
      <c r="AD978" s="437" t="s">
        <v>7457</v>
      </c>
      <c r="AE978" s="167"/>
      <c r="AF978" s="167"/>
      <c r="AG978" s="167"/>
      <c r="AH978" s="167"/>
      <c r="AI978" s="167"/>
      <c r="AJ978" s="167"/>
      <c r="AK978" s="167" t="s">
        <v>8308</v>
      </c>
      <c r="AL978" s="157" t="n">
        <f aca="false">IF(AND(ISNUMBER($S978),$S978&gt;0,ISNUMBER($K978),ISNUMBER($J978)),($K978*$J978)/$S978,"")</f>
        <v>114000</v>
      </c>
    </row>
    <row r="979" customFormat="false" ht="12.75" hidden="false" customHeight="true" outlineLevel="0" collapsed="false">
      <c r="A979" s="441" t="n">
        <v>8</v>
      </c>
      <c r="B979" s="157" t="n">
        <v>971</v>
      </c>
      <c r="C979" s="437" t="s">
        <v>8246</v>
      </c>
      <c r="D979" s="157" t="s">
        <v>9170</v>
      </c>
      <c r="E979" s="461" t="s">
        <v>2461</v>
      </c>
      <c r="F979" s="157" t="s">
        <v>9171</v>
      </c>
      <c r="G979" s="445" t="n">
        <v>47.1</v>
      </c>
      <c r="H979" s="431" t="n">
        <v>9506</v>
      </c>
      <c r="I979" s="457" t="n">
        <v>0</v>
      </c>
      <c r="J979" s="458" t="n">
        <v>63727</v>
      </c>
      <c r="K979" s="462" t="n">
        <v>3.12426444050403</v>
      </c>
      <c r="L979" s="463" t="n">
        <v>0</v>
      </c>
      <c r="M979" s="463" t="n">
        <v>0</v>
      </c>
      <c r="N979" s="431" t="n">
        <v>1964</v>
      </c>
      <c r="O979" s="446" t="n">
        <v>3520</v>
      </c>
      <c r="Q979" s="157" t="n">
        <v>19</v>
      </c>
      <c r="R979" s="157" t="n">
        <v>10</v>
      </c>
      <c r="S979" s="157" t="n">
        <v>1</v>
      </c>
      <c r="T979" s="457" t="s">
        <v>7526</v>
      </c>
      <c r="U979" s="457" t="n">
        <v>401</v>
      </c>
      <c r="V979" s="458" t="n">
        <v>192233</v>
      </c>
      <c r="W979" s="458" t="n">
        <v>190000</v>
      </c>
      <c r="X979" s="464" t="s">
        <v>7563</v>
      </c>
      <c r="Y979" s="458" t="n">
        <f aca="false">ROUND(J979,-4)</f>
        <v>60000</v>
      </c>
      <c r="Z979" s="457" t="s">
        <v>6638</v>
      </c>
      <c r="AA979" s="157" t="n">
        <v>1</v>
      </c>
      <c r="AB979" s="157" t="n">
        <v>3</v>
      </c>
      <c r="AC979" s="431" t="s">
        <v>497</v>
      </c>
      <c r="AD979" s="437"/>
      <c r="AE979" s="167"/>
      <c r="AF979" s="167"/>
      <c r="AG979" s="167"/>
      <c r="AH979" s="167"/>
      <c r="AI979" s="167"/>
      <c r="AJ979" s="167"/>
      <c r="AK979" s="167" t="s">
        <v>8412</v>
      </c>
      <c r="AL979" s="157" t="n">
        <f aca="false">IF(AND(ISNUMBER($S979),$S979&gt;0,ISNUMBER($K979),ISNUMBER($J979)),($K979*$J979)/$S979,"")</f>
        <v>199100</v>
      </c>
    </row>
    <row r="980" customFormat="false" ht="12.75" hidden="false" customHeight="true" outlineLevel="0" collapsed="false">
      <c r="A980" s="441" t="n">
        <v>8</v>
      </c>
      <c r="B980" s="157" t="n">
        <v>972</v>
      </c>
      <c r="C980" s="437" t="s">
        <v>8246</v>
      </c>
      <c r="D980" s="157" t="s">
        <v>9172</v>
      </c>
      <c r="E980" s="461" t="s">
        <v>2461</v>
      </c>
      <c r="F980" s="157" t="s">
        <v>9173</v>
      </c>
      <c r="G980" s="445" t="n">
        <v>44.2</v>
      </c>
      <c r="H980" s="431" t="n">
        <v>9506</v>
      </c>
      <c r="I980" s="457" t="n">
        <v>0</v>
      </c>
      <c r="J980" s="458" t="n">
        <v>5640</v>
      </c>
      <c r="K980" s="462" t="n">
        <v>3.87234042553192</v>
      </c>
      <c r="L980" s="463" t="n">
        <v>1</v>
      </c>
      <c r="M980" s="463" t="n">
        <v>0.0562271062271062</v>
      </c>
      <c r="N980" s="431" t="n">
        <v>1999</v>
      </c>
      <c r="O980" s="446" t="n">
        <v>734</v>
      </c>
      <c r="Q980" s="157" t="n">
        <v>18</v>
      </c>
      <c r="R980" s="157" t="n">
        <v>3</v>
      </c>
      <c r="S980" s="157" t="n">
        <v>1</v>
      </c>
      <c r="T980" s="457" t="s">
        <v>7529</v>
      </c>
      <c r="U980" s="457" t="n">
        <v>398</v>
      </c>
      <c r="V980" s="458" t="n">
        <v>12500</v>
      </c>
      <c r="W980" s="458" t="n">
        <v>13000</v>
      </c>
      <c r="X980" s="464" t="s">
        <v>6700</v>
      </c>
      <c r="Y980" s="458" t="n">
        <f aca="false">ROUND(J980,-3)</f>
        <v>6000</v>
      </c>
      <c r="Z980" s="457" t="s">
        <v>6638</v>
      </c>
      <c r="AA980" s="157" t="n">
        <v>3</v>
      </c>
      <c r="AB980" s="157" t="n">
        <v>3</v>
      </c>
      <c r="AC980" s="431" t="s">
        <v>586</v>
      </c>
      <c r="AD980" s="437"/>
      <c r="AE980" s="167"/>
      <c r="AF980" s="167"/>
      <c r="AG980" s="167"/>
      <c r="AH980" s="167"/>
      <c r="AI980" s="167"/>
      <c r="AJ980" s="167"/>
      <c r="AK980" s="167" t="s">
        <v>9147</v>
      </c>
      <c r="AL980" s="157" t="n">
        <f aca="false">IF(AND(ISNUMBER($S980),$S980&gt;0,ISNUMBER($K980),ISNUMBER($J980)),($K980*$J980)/$S980,"")</f>
        <v>21840</v>
      </c>
    </row>
    <row r="981" customFormat="false" ht="12.75" hidden="false" customHeight="true" outlineLevel="0" collapsed="false">
      <c r="A981" s="441" t="n">
        <v>8</v>
      </c>
      <c r="B981" s="157" t="n">
        <v>973</v>
      </c>
      <c r="C981" s="437" t="s">
        <v>8246</v>
      </c>
      <c r="D981" s="157" t="s">
        <v>7461</v>
      </c>
      <c r="E981" s="461" t="s">
        <v>2461</v>
      </c>
      <c r="F981" s="157" t="s">
        <v>7462</v>
      </c>
      <c r="G981" s="445" t="n">
        <v>47.1</v>
      </c>
      <c r="H981" s="431" t="n">
        <v>9506</v>
      </c>
      <c r="I981" s="457" t="n">
        <v>0</v>
      </c>
      <c r="J981" s="458" t="n">
        <v>2487</v>
      </c>
      <c r="K981" s="462" t="n">
        <v>9.65018094089264</v>
      </c>
      <c r="L981" s="463" t="n">
        <v>0</v>
      </c>
      <c r="M981" s="463" t="n">
        <v>0.140125</v>
      </c>
      <c r="N981" s="431" t="n">
        <v>1954</v>
      </c>
      <c r="P981" s="446" t="n">
        <v>1188</v>
      </c>
      <c r="Q981" s="157" t="n">
        <v>16</v>
      </c>
      <c r="R981" s="157" t="n">
        <v>3</v>
      </c>
      <c r="S981" s="157" t="n">
        <v>1</v>
      </c>
      <c r="T981" s="457" t="s">
        <v>7529</v>
      </c>
      <c r="U981" s="457" t="n">
        <v>401</v>
      </c>
      <c r="V981" s="458" t="n">
        <v>12500</v>
      </c>
      <c r="W981" s="458" t="n">
        <v>13000</v>
      </c>
      <c r="X981" s="464" t="s">
        <v>7813</v>
      </c>
      <c r="Y981" s="458" t="n">
        <f aca="false">ROUND(J981,-3)</f>
        <v>2000</v>
      </c>
      <c r="Z981" s="457" t="s">
        <v>6638</v>
      </c>
      <c r="AA981" s="157" t="n">
        <v>3</v>
      </c>
      <c r="AB981" s="157" t="n">
        <v>3</v>
      </c>
      <c r="AC981" s="431" t="s">
        <v>586</v>
      </c>
      <c r="AD981" s="437" t="s">
        <v>7463</v>
      </c>
      <c r="AE981" s="167"/>
      <c r="AF981" s="167"/>
      <c r="AG981" s="167"/>
      <c r="AH981" s="167"/>
      <c r="AI981" s="167"/>
      <c r="AJ981" s="167"/>
      <c r="AK981" s="167" t="s">
        <v>8574</v>
      </c>
      <c r="AL981" s="157" t="n">
        <f aca="false">IF(AND(ISNUMBER($S981),$S981&gt;0,ISNUMBER($K981),ISNUMBER($J981)),($K981*$J981)/$S981,"")</f>
        <v>24000</v>
      </c>
    </row>
    <row r="982" customFormat="false" ht="12.75" hidden="false" customHeight="true" outlineLevel="0" collapsed="false">
      <c r="A982" s="441" t="n">
        <v>8</v>
      </c>
      <c r="B982" s="157" t="n">
        <v>974</v>
      </c>
      <c r="C982" s="437" t="s">
        <v>8246</v>
      </c>
      <c r="D982" s="157" t="s">
        <v>7466</v>
      </c>
      <c r="E982" s="461" t="s">
        <v>2461</v>
      </c>
      <c r="F982" s="157" t="s">
        <v>7467</v>
      </c>
      <c r="G982" s="445" t="n">
        <v>44.1</v>
      </c>
      <c r="H982" s="431" t="n">
        <v>9509</v>
      </c>
      <c r="I982" s="457" t="n">
        <v>2</v>
      </c>
      <c r="J982" s="458" t="n">
        <v>2535</v>
      </c>
      <c r="K982" s="462" t="n">
        <v>5.68047337278107</v>
      </c>
      <c r="L982" s="463" t="n">
        <v>0</v>
      </c>
      <c r="M982" s="463" t="n">
        <v>0.0389583333333333</v>
      </c>
      <c r="N982" s="431" t="n">
        <v>1951</v>
      </c>
      <c r="P982" s="446" t="n">
        <v>1217</v>
      </c>
      <c r="Q982" s="157" t="n">
        <v>9</v>
      </c>
      <c r="R982" s="157" t="n">
        <v>1</v>
      </c>
      <c r="S982" s="157" t="n">
        <v>1</v>
      </c>
      <c r="T982" s="457" t="s">
        <v>7789</v>
      </c>
      <c r="U982" s="457" t="n">
        <v>398</v>
      </c>
      <c r="V982" s="458" t="n">
        <v>4687</v>
      </c>
      <c r="W982" s="458" t="n">
        <v>5000</v>
      </c>
      <c r="X982" s="464" t="s">
        <v>6863</v>
      </c>
      <c r="Y982" s="458" t="n">
        <f aca="false">ROUND(J982,-3)</f>
        <v>3000</v>
      </c>
      <c r="Z982" s="457" t="s">
        <v>6638</v>
      </c>
      <c r="AA982" s="157" t="n">
        <v>3</v>
      </c>
      <c r="AB982" s="157" t="n">
        <v>3</v>
      </c>
      <c r="AC982" s="431" t="s">
        <v>586</v>
      </c>
      <c r="AD982" s="437" t="s">
        <v>7468</v>
      </c>
      <c r="AE982" s="167"/>
      <c r="AF982" s="167"/>
      <c r="AG982" s="167"/>
      <c r="AH982" s="167"/>
      <c r="AI982" s="167"/>
      <c r="AJ982" s="167"/>
      <c r="AK982" s="167" t="s">
        <v>8324</v>
      </c>
      <c r="AL982" s="157" t="n">
        <f aca="false">IF(AND(ISNUMBER($S982),$S982&gt;0,ISNUMBER($K982),ISNUMBER($J982)),($K982*$J982)/$S982,"")</f>
        <v>14400</v>
      </c>
    </row>
    <row r="983" customFormat="false" ht="12.75" hidden="false" customHeight="true" outlineLevel="0" collapsed="false">
      <c r="A983" s="441" t="n">
        <v>8</v>
      </c>
      <c r="B983" s="157" t="n">
        <v>975</v>
      </c>
      <c r="C983" s="437" t="s">
        <v>8246</v>
      </c>
      <c r="D983" s="157" t="s">
        <v>9174</v>
      </c>
      <c r="E983" s="461" t="s">
        <v>2461</v>
      </c>
      <c r="F983" s="157" t="s">
        <v>9175</v>
      </c>
      <c r="G983" s="445" t="n">
        <v>44.1</v>
      </c>
      <c r="H983" s="431" t="n">
        <v>9506</v>
      </c>
      <c r="I983" s="457" t="n">
        <v>0</v>
      </c>
      <c r="J983" s="458" t="n">
        <v>6181</v>
      </c>
      <c r="K983" s="462" t="n">
        <v>12.6193172625789</v>
      </c>
      <c r="L983" s="463" t="n">
        <v>0</v>
      </c>
      <c r="M983" s="463" t="n">
        <v>0.0512820512820513</v>
      </c>
      <c r="N983" s="431" t="n">
        <v>1969</v>
      </c>
      <c r="P983" s="446" t="n">
        <v>2605</v>
      </c>
      <c r="Q983" s="157" t="n">
        <v>15</v>
      </c>
      <c r="R983" s="157" t="n">
        <v>3</v>
      </c>
      <c r="S983" s="157" t="n">
        <v>1</v>
      </c>
      <c r="T983" s="457" t="s">
        <v>7529</v>
      </c>
      <c r="U983" s="457" t="n">
        <v>398</v>
      </c>
      <c r="V983" s="458" t="n">
        <v>37500</v>
      </c>
      <c r="W983" s="458" t="n">
        <v>38000</v>
      </c>
      <c r="X983" s="464" t="s">
        <v>6681</v>
      </c>
      <c r="Y983" s="458" t="n">
        <f aca="false">ROUND(J983,-3)</f>
        <v>6000</v>
      </c>
      <c r="Z983" s="457" t="s">
        <v>6638</v>
      </c>
      <c r="AA983" s="157" t="n">
        <v>3</v>
      </c>
      <c r="AB983" s="157" t="n">
        <v>3</v>
      </c>
      <c r="AC983" s="431" t="s">
        <v>586</v>
      </c>
      <c r="AD983" s="437" t="s">
        <v>9176</v>
      </c>
      <c r="AE983" s="167"/>
      <c r="AF983" s="167"/>
      <c r="AG983" s="167"/>
      <c r="AH983" s="167"/>
      <c r="AI983" s="167"/>
      <c r="AJ983" s="167"/>
      <c r="AK983" s="167" t="s">
        <v>9177</v>
      </c>
      <c r="AL983" s="157" t="n">
        <f aca="false">IF(AND(ISNUMBER($S983),$S983&gt;0,ISNUMBER($K983),ISNUMBER($J983)),($K983*$J983)/$S983,"")</f>
        <v>78000.0000000002</v>
      </c>
    </row>
    <row r="984" customFormat="false" ht="12.75" hidden="false" customHeight="true" outlineLevel="0" collapsed="false">
      <c r="A984" s="441" t="n">
        <v>8</v>
      </c>
      <c r="B984" s="157" t="n">
        <v>976</v>
      </c>
      <c r="C984" s="437" t="s">
        <v>8246</v>
      </c>
      <c r="D984" s="157" t="s">
        <v>9178</v>
      </c>
      <c r="E984" s="461" t="s">
        <v>2461</v>
      </c>
      <c r="F984" s="157" t="s">
        <v>9179</v>
      </c>
      <c r="G984" s="445" t="n">
        <v>44.5</v>
      </c>
      <c r="H984" s="431" t="n">
        <v>9506</v>
      </c>
      <c r="I984" s="457" t="n">
        <v>0</v>
      </c>
      <c r="J984" s="458" t="n">
        <v>29799</v>
      </c>
      <c r="K984" s="462" t="n">
        <v>8.12107788851975</v>
      </c>
      <c r="L984" s="463" t="n">
        <v>0</v>
      </c>
      <c r="M984" s="463" t="n">
        <v>0.259710743801653</v>
      </c>
      <c r="N984" s="431" t="n">
        <v>2000</v>
      </c>
      <c r="O984" s="446" t="n">
        <v>379</v>
      </c>
      <c r="P984" s="446" t="n">
        <v>825</v>
      </c>
      <c r="Q984" s="157" t="n">
        <v>10</v>
      </c>
      <c r="R984" s="157" t="n">
        <v>1</v>
      </c>
      <c r="S984" s="157" t="n">
        <v>255</v>
      </c>
      <c r="T984" s="457" t="s">
        <v>7531</v>
      </c>
      <c r="U984" s="457" t="n">
        <v>396</v>
      </c>
      <c r="V984" s="458" t="n">
        <v>33300</v>
      </c>
      <c r="W984" s="458" t="n">
        <v>33000</v>
      </c>
      <c r="X984" s="464" t="s">
        <v>7043</v>
      </c>
      <c r="Y984" s="458" t="n">
        <f aca="false">ROUND(J984,-3)</f>
        <v>30000</v>
      </c>
      <c r="Z984" s="457" t="s">
        <v>6638</v>
      </c>
      <c r="AA984" s="157" t="n">
        <v>3</v>
      </c>
      <c r="AB984" s="157" t="n">
        <v>3</v>
      </c>
      <c r="AC984" s="431" t="s">
        <v>586</v>
      </c>
      <c r="AD984" s="437" t="s">
        <v>8169</v>
      </c>
      <c r="AE984" s="167"/>
      <c r="AF984" s="167"/>
      <c r="AG984" s="167"/>
      <c r="AH984" s="167"/>
      <c r="AI984" s="167"/>
      <c r="AJ984" s="167"/>
      <c r="AK984" s="167"/>
      <c r="AL984" s="157" t="n">
        <f aca="false">IF(AND(ISNUMBER($S984),$S984&gt;0,ISNUMBER($K984),ISNUMBER($J984)),($K984*$J984)/$S984,"")</f>
        <v>949.019607843137</v>
      </c>
    </row>
    <row r="985" customFormat="false" ht="12.75" hidden="false" customHeight="true" outlineLevel="0" collapsed="false">
      <c r="A985" s="441" t="n">
        <v>8</v>
      </c>
      <c r="B985" s="157" t="n">
        <v>977</v>
      </c>
      <c r="C985" s="437" t="s">
        <v>8246</v>
      </c>
      <c r="D985" s="157" t="s">
        <v>9180</v>
      </c>
      <c r="E985" s="461" t="s">
        <v>2461</v>
      </c>
      <c r="F985" s="157" t="s">
        <v>9181</v>
      </c>
      <c r="G985" s="445" t="n">
        <v>44.1</v>
      </c>
      <c r="H985" s="431" t="n">
        <v>9506</v>
      </c>
      <c r="I985" s="457" t="n">
        <v>0</v>
      </c>
      <c r="J985" s="458" t="n">
        <v>3850</v>
      </c>
      <c r="K985" s="462" t="n">
        <v>7.79220779220779</v>
      </c>
      <c r="L985" s="463" t="n">
        <v>0</v>
      </c>
      <c r="M985" s="463" t="n">
        <v>0.145</v>
      </c>
      <c r="N985" s="431" t="n">
        <v>1962</v>
      </c>
      <c r="Q985" s="157" t="n">
        <v>13</v>
      </c>
      <c r="R985" s="157" t="n">
        <v>3</v>
      </c>
      <c r="S985" s="157" t="n">
        <v>1</v>
      </c>
      <c r="T985" s="457" t="s">
        <v>7531</v>
      </c>
      <c r="U985" s="457" t="n">
        <v>398</v>
      </c>
      <c r="V985" s="458" t="n">
        <v>5988</v>
      </c>
      <c r="W985" s="458" t="n">
        <v>6000</v>
      </c>
      <c r="X985" s="464" t="s">
        <v>6668</v>
      </c>
      <c r="Y985" s="458" t="n">
        <f aca="false">ROUND(J985,-3)</f>
        <v>4000</v>
      </c>
      <c r="Z985" s="457" t="s">
        <v>6638</v>
      </c>
      <c r="AA985" s="157" t="n">
        <v>1</v>
      </c>
      <c r="AB985" s="157" t="n">
        <v>3</v>
      </c>
      <c r="AC985" s="431" t="s">
        <v>497</v>
      </c>
      <c r="AD985" s="437"/>
      <c r="AE985" s="167"/>
      <c r="AF985" s="167"/>
      <c r="AG985" s="167"/>
      <c r="AH985" s="167"/>
      <c r="AI985" s="167"/>
      <c r="AJ985" s="167"/>
      <c r="AK985" s="167" t="s">
        <v>8257</v>
      </c>
      <c r="AL985" s="157" t="n">
        <f aca="false">IF(AND(ISNUMBER($S985),$S985&gt;0,ISNUMBER($K985),ISNUMBER($J985)),($K985*$J985)/$S985,"")</f>
        <v>30000</v>
      </c>
    </row>
    <row r="986" customFormat="false" ht="12.75" hidden="false" customHeight="true" outlineLevel="0" collapsed="false">
      <c r="A986" s="441" t="n">
        <v>8</v>
      </c>
      <c r="B986" s="157" t="n">
        <v>978</v>
      </c>
      <c r="C986" s="437" t="s">
        <v>8246</v>
      </c>
      <c r="D986" s="157" t="s">
        <v>9182</v>
      </c>
      <c r="E986" s="461" t="s">
        <v>2461</v>
      </c>
      <c r="F986" s="157" t="s">
        <v>9183</v>
      </c>
      <c r="G986" s="445" t="n">
        <v>44.1</v>
      </c>
      <c r="H986" s="431" t="n">
        <v>9506</v>
      </c>
      <c r="I986" s="457" t="n">
        <v>0</v>
      </c>
      <c r="J986" s="458" t="n">
        <v>7065</v>
      </c>
      <c r="K986" s="462" t="n">
        <v>6.79405520169851</v>
      </c>
      <c r="L986" s="463" t="n">
        <v>0</v>
      </c>
      <c r="M986" s="463" t="n">
        <v>0</v>
      </c>
      <c r="N986" s="431" t="n">
        <v>1977</v>
      </c>
      <c r="O986" s="446" t="n">
        <f aca="false">1174+1259</f>
        <v>2433</v>
      </c>
      <c r="Q986" s="157" t="n">
        <v>12</v>
      </c>
      <c r="R986" s="157" t="n">
        <v>1</v>
      </c>
      <c r="S986" s="157" t="n">
        <v>1</v>
      </c>
      <c r="T986" s="457" t="s">
        <v>7526</v>
      </c>
      <c r="U986" s="457" t="n">
        <v>398</v>
      </c>
      <c r="V986" s="458" t="n">
        <v>21875</v>
      </c>
      <c r="W986" s="458" t="n">
        <v>22000</v>
      </c>
      <c r="X986" s="464" t="s">
        <v>6751</v>
      </c>
      <c r="Y986" s="458" t="n">
        <f aca="false">ROUND(J986,-3)</f>
        <v>7000</v>
      </c>
      <c r="Z986" s="457" t="s">
        <v>6638</v>
      </c>
      <c r="AA986" s="157" t="n">
        <v>3</v>
      </c>
      <c r="AB986" s="157" t="n">
        <v>3</v>
      </c>
      <c r="AC986" s="431" t="s">
        <v>586</v>
      </c>
      <c r="AD986" s="437" t="s">
        <v>9184</v>
      </c>
      <c r="AE986" s="167"/>
      <c r="AF986" s="167"/>
      <c r="AG986" s="167"/>
      <c r="AH986" s="167"/>
      <c r="AI986" s="167"/>
      <c r="AJ986" s="167"/>
      <c r="AK986" s="167" t="s">
        <v>8419</v>
      </c>
      <c r="AL986" s="157" t="n">
        <f aca="false">IF(AND(ISNUMBER($S986),$S986&gt;0,ISNUMBER($K986),ISNUMBER($J986)),($K986*$J986)/$S986,"")</f>
        <v>48000</v>
      </c>
    </row>
    <row r="987" customFormat="false" ht="12.75" hidden="false" customHeight="true" outlineLevel="0" collapsed="false">
      <c r="A987" s="441" t="n">
        <v>8</v>
      </c>
      <c r="B987" s="157" t="n">
        <v>979</v>
      </c>
      <c r="C987" s="437" t="s">
        <v>8246</v>
      </c>
      <c r="D987" s="157" t="s">
        <v>7472</v>
      </c>
      <c r="E987" s="461" t="s">
        <v>2461</v>
      </c>
      <c r="F987" s="157" t="s">
        <v>7473</v>
      </c>
      <c r="G987" s="445" t="n">
        <v>44.2</v>
      </c>
      <c r="H987" s="431" t="n">
        <v>9506</v>
      </c>
      <c r="I987" s="457" t="n">
        <v>0</v>
      </c>
      <c r="J987" s="458" t="n">
        <v>4000</v>
      </c>
      <c r="K987" s="462" t="n">
        <v>6.2</v>
      </c>
      <c r="L987" s="463" t="n">
        <v>0</v>
      </c>
      <c r="M987" s="463" t="n">
        <v>0.109677419354839</v>
      </c>
      <c r="N987" s="431" t="n">
        <v>1957</v>
      </c>
      <c r="O987" s="446" t="n">
        <v>369</v>
      </c>
      <c r="Q987" s="157" t="n">
        <v>12</v>
      </c>
      <c r="R987" s="157" t="n">
        <v>1</v>
      </c>
      <c r="S987" s="157" t="n">
        <v>2</v>
      </c>
      <c r="T987" s="457" t="s">
        <v>7526</v>
      </c>
      <c r="U987" s="457" t="n">
        <v>398</v>
      </c>
      <c r="V987" s="458" t="n">
        <v>9375</v>
      </c>
      <c r="W987" s="458" t="n">
        <v>9000</v>
      </c>
      <c r="X987" s="464" t="s">
        <v>6646</v>
      </c>
      <c r="Y987" s="458" t="n">
        <f aca="false">ROUND(J987,-3)</f>
        <v>4000</v>
      </c>
      <c r="Z987" s="457" t="s">
        <v>6638</v>
      </c>
      <c r="AA987" s="157" t="n">
        <v>3</v>
      </c>
      <c r="AB987" s="157" t="n">
        <v>3</v>
      </c>
      <c r="AC987" s="431" t="s">
        <v>586</v>
      </c>
      <c r="AD987" s="437" t="s">
        <v>7474</v>
      </c>
      <c r="AE987" s="167"/>
      <c r="AF987" s="167"/>
      <c r="AG987" s="167"/>
      <c r="AH987" s="167"/>
      <c r="AI987" s="167"/>
      <c r="AJ987" s="167"/>
      <c r="AK987" s="167" t="s">
        <v>9185</v>
      </c>
      <c r="AL987" s="157" t="n">
        <f aca="false">IF(AND(ISNUMBER($S987),$S987&gt;0,ISNUMBER($K987),ISNUMBER($J987)),($K987*$J987)/$S987,"")</f>
        <v>12400</v>
      </c>
    </row>
    <row r="988" customFormat="false" ht="12.75" hidden="false" customHeight="true" outlineLevel="0" collapsed="false">
      <c r="A988" s="441" t="n">
        <v>8</v>
      </c>
      <c r="B988" s="157" t="n">
        <v>980</v>
      </c>
      <c r="C988" s="437" t="s">
        <v>8246</v>
      </c>
      <c r="D988" s="157" t="s">
        <v>7475</v>
      </c>
      <c r="E988" s="461" t="s">
        <v>2461</v>
      </c>
      <c r="F988" s="157" t="s">
        <v>7476</v>
      </c>
      <c r="G988" s="445" t="n">
        <v>44.1</v>
      </c>
      <c r="H988" s="431" t="n">
        <v>9506</v>
      </c>
      <c r="I988" s="457" t="n">
        <v>0</v>
      </c>
      <c r="J988" s="458" t="n">
        <v>3987</v>
      </c>
      <c r="K988" s="462" t="n">
        <v>5.472786556308</v>
      </c>
      <c r="L988" s="463" t="n">
        <v>0</v>
      </c>
      <c r="M988" s="463" t="n">
        <v>0.0992667277726856</v>
      </c>
      <c r="N988" s="431" t="n">
        <v>1960</v>
      </c>
      <c r="Q988" s="157" t="n">
        <v>12</v>
      </c>
      <c r="R988" s="157" t="n">
        <v>1</v>
      </c>
      <c r="S988" s="157" t="n">
        <v>2</v>
      </c>
      <c r="T988" s="457" t="s">
        <v>7526</v>
      </c>
      <c r="U988" s="457" t="n">
        <v>398</v>
      </c>
      <c r="V988" s="458" t="n">
        <v>9375</v>
      </c>
      <c r="W988" s="458" t="n">
        <v>9000</v>
      </c>
      <c r="X988" s="464" t="s">
        <v>6650</v>
      </c>
      <c r="Y988" s="458" t="n">
        <f aca="false">ROUND(J988,-3)</f>
        <v>4000</v>
      </c>
      <c r="Z988" s="457" t="s">
        <v>6638</v>
      </c>
      <c r="AA988" s="157" t="n">
        <v>3</v>
      </c>
      <c r="AB988" s="157" t="n">
        <v>3</v>
      </c>
      <c r="AC988" s="431" t="s">
        <v>586</v>
      </c>
      <c r="AD988" s="437" t="s">
        <v>7477</v>
      </c>
      <c r="AE988" s="167"/>
      <c r="AF988" s="167"/>
      <c r="AG988" s="167"/>
      <c r="AH988" s="167"/>
      <c r="AI988" s="167"/>
      <c r="AJ988" s="167"/>
      <c r="AK988" s="167" t="s">
        <v>9186</v>
      </c>
      <c r="AL988" s="157" t="n">
        <f aca="false">IF(AND(ISNUMBER($S988),$S988&gt;0,ISNUMBER($K988),ISNUMBER($J988)),($K988*$J988)/$S988,"")</f>
        <v>10910</v>
      </c>
    </row>
    <row r="989" customFormat="false" ht="12.75" hidden="false" customHeight="true" outlineLevel="0" collapsed="false">
      <c r="A989" s="441" t="n">
        <v>8</v>
      </c>
      <c r="B989" s="157" t="n">
        <v>981</v>
      </c>
      <c r="C989" s="437" t="s">
        <v>8246</v>
      </c>
      <c r="D989" s="157" t="s">
        <v>7478</v>
      </c>
      <c r="E989" s="461" t="s">
        <v>2461</v>
      </c>
      <c r="F989" s="157" t="s">
        <v>7479</v>
      </c>
      <c r="G989" s="445" t="n">
        <v>44.1</v>
      </c>
      <c r="H989" s="431" t="n">
        <v>9506</v>
      </c>
      <c r="I989" s="457" t="n">
        <v>0</v>
      </c>
      <c r="J989" s="458" t="n">
        <v>4000</v>
      </c>
      <c r="K989" s="462" t="n">
        <v>5.665</v>
      </c>
      <c r="L989" s="463" t="n">
        <v>0</v>
      </c>
      <c r="M989" s="463" t="n">
        <v>0.0972639011473963</v>
      </c>
      <c r="N989" s="431" t="n">
        <v>1962</v>
      </c>
      <c r="Q989" s="157" t="n">
        <v>12</v>
      </c>
      <c r="R989" s="157" t="n">
        <v>1</v>
      </c>
      <c r="S989" s="157" t="n">
        <v>1</v>
      </c>
      <c r="T989" s="457" t="s">
        <v>7526</v>
      </c>
      <c r="U989" s="457" t="n">
        <v>398</v>
      </c>
      <c r="V989" s="458" t="n">
        <v>9375</v>
      </c>
      <c r="W989" s="458" t="n">
        <v>9000</v>
      </c>
      <c r="X989" s="464" t="s">
        <v>6646</v>
      </c>
      <c r="Y989" s="458" t="n">
        <f aca="false">ROUND(J989,-3)</f>
        <v>4000</v>
      </c>
      <c r="Z989" s="457" t="s">
        <v>6638</v>
      </c>
      <c r="AA989" s="157" t="n">
        <v>3</v>
      </c>
      <c r="AB989" s="157" t="n">
        <v>3</v>
      </c>
      <c r="AC989" s="431" t="s">
        <v>586</v>
      </c>
      <c r="AD989" s="437" t="s">
        <v>7480</v>
      </c>
      <c r="AE989" s="167"/>
      <c r="AF989" s="167"/>
      <c r="AG989" s="167"/>
      <c r="AH989" s="167"/>
      <c r="AI989" s="167"/>
      <c r="AJ989" s="167"/>
      <c r="AK989" s="167" t="s">
        <v>9186</v>
      </c>
      <c r="AL989" s="157" t="n">
        <f aca="false">IF(AND(ISNUMBER($S989),$S989&gt;0,ISNUMBER($K989),ISNUMBER($J989)),($K989*$J989)/$S989,"")</f>
        <v>22660</v>
      </c>
    </row>
    <row r="990" customFormat="false" ht="12.75" hidden="false" customHeight="true" outlineLevel="0" collapsed="false">
      <c r="A990" s="441" t="n">
        <v>8</v>
      </c>
      <c r="B990" s="157" t="n">
        <v>982</v>
      </c>
      <c r="C990" s="437" t="s">
        <v>8246</v>
      </c>
      <c r="D990" s="157" t="s">
        <v>7481</v>
      </c>
      <c r="E990" s="461" t="s">
        <v>2461</v>
      </c>
      <c r="F990" s="157" t="s">
        <v>7482</v>
      </c>
      <c r="G990" s="445" t="n">
        <v>47.2</v>
      </c>
      <c r="H990" s="431" t="n">
        <v>9506</v>
      </c>
      <c r="I990" s="457" t="n">
        <v>0</v>
      </c>
      <c r="J990" s="458" t="n">
        <v>4000</v>
      </c>
      <c r="K990" s="462" t="n">
        <v>5.657</v>
      </c>
      <c r="L990" s="463" t="n">
        <v>0</v>
      </c>
      <c r="M990" s="463" t="n">
        <v>0.267367862824819</v>
      </c>
      <c r="N990" s="431" t="n">
        <v>1956</v>
      </c>
      <c r="O990" s="446" t="n">
        <v>200</v>
      </c>
      <c r="Q990" s="157" t="n">
        <v>14</v>
      </c>
      <c r="R990" s="157" t="n">
        <v>1</v>
      </c>
      <c r="S990" s="157" t="n">
        <v>1</v>
      </c>
      <c r="T990" s="457" t="s">
        <v>7526</v>
      </c>
      <c r="U990" s="457" t="n">
        <v>401</v>
      </c>
      <c r="V990" s="458" t="n">
        <v>12500</v>
      </c>
      <c r="W990" s="458" t="n">
        <v>13000</v>
      </c>
      <c r="X990" s="464" t="s">
        <v>6751</v>
      </c>
      <c r="Y990" s="458" t="n">
        <f aca="false">ROUND(J990,-3)</f>
        <v>4000</v>
      </c>
      <c r="Z990" s="457" t="s">
        <v>6638</v>
      </c>
      <c r="AA990" s="157" t="n">
        <v>3</v>
      </c>
      <c r="AB990" s="157" t="n">
        <v>3</v>
      </c>
      <c r="AC990" s="431" t="s">
        <v>586</v>
      </c>
      <c r="AD990" s="437" t="s">
        <v>7483</v>
      </c>
      <c r="AE990" s="167"/>
      <c r="AF990" s="167"/>
      <c r="AG990" s="167"/>
      <c r="AH990" s="167"/>
      <c r="AI990" s="167"/>
      <c r="AJ990" s="167"/>
      <c r="AK990" s="167" t="s">
        <v>9187</v>
      </c>
      <c r="AL990" s="157" t="n">
        <f aca="false">IF(AND(ISNUMBER($S990),$S990&gt;0,ISNUMBER($K990),ISNUMBER($J990)),($K990*$J990)/$S990,"")</f>
        <v>22628</v>
      </c>
    </row>
    <row r="991" customFormat="false" ht="12.75" hidden="false" customHeight="true" outlineLevel="0" collapsed="false">
      <c r="A991" s="441" t="n">
        <v>8</v>
      </c>
      <c r="B991" s="157" t="n">
        <v>983</v>
      </c>
      <c r="C991" s="437" t="s">
        <v>8246</v>
      </c>
      <c r="D991" s="157" t="s">
        <v>9188</v>
      </c>
      <c r="E991" s="461" t="s">
        <v>2461</v>
      </c>
      <c r="F991" s="157" t="s">
        <v>9189</v>
      </c>
      <c r="G991" s="445" t="n">
        <v>44.2</v>
      </c>
      <c r="H991" s="431" t="n">
        <v>9506</v>
      </c>
      <c r="I991" s="457" t="n">
        <v>0</v>
      </c>
      <c r="J991" s="458" t="n">
        <v>11532</v>
      </c>
      <c r="K991" s="462" t="n">
        <v>5.72320499479709</v>
      </c>
      <c r="L991" s="463" t="n">
        <v>0</v>
      </c>
      <c r="M991" s="463" t="n">
        <v>0.0936212121212121</v>
      </c>
      <c r="N991" s="431" t="n">
        <v>1960</v>
      </c>
      <c r="O991" s="446" t="n">
        <v>909</v>
      </c>
      <c r="Q991" s="157" t="n">
        <v>12</v>
      </c>
      <c r="R991" s="157" t="n">
        <v>3</v>
      </c>
      <c r="S991" s="157" t="n">
        <v>1</v>
      </c>
      <c r="T991" s="457" t="s">
        <v>7526</v>
      </c>
      <c r="U991" s="457" t="n">
        <v>397</v>
      </c>
      <c r="V991" s="458" t="n">
        <v>18750</v>
      </c>
      <c r="W991" s="458" t="n">
        <v>19000</v>
      </c>
      <c r="X991" s="464" t="s">
        <v>6668</v>
      </c>
      <c r="Y991" s="458" t="n">
        <f aca="false">ROUND(J991,-3)</f>
        <v>12000</v>
      </c>
      <c r="Z991" s="457" t="s">
        <v>6638</v>
      </c>
      <c r="AA991" s="157" t="n">
        <v>3</v>
      </c>
      <c r="AB991" s="157" t="n">
        <v>3</v>
      </c>
      <c r="AC991" s="431" t="s">
        <v>586</v>
      </c>
      <c r="AD991" s="437" t="s">
        <v>9190</v>
      </c>
      <c r="AE991" s="167"/>
      <c r="AF991" s="167"/>
      <c r="AG991" s="167"/>
      <c r="AH991" s="167"/>
      <c r="AI991" s="167"/>
      <c r="AJ991" s="167"/>
      <c r="AK991" s="167" t="s">
        <v>9191</v>
      </c>
      <c r="AL991" s="157" t="n">
        <f aca="false">IF(AND(ISNUMBER($S991),$S991&gt;0,ISNUMBER($K991),ISNUMBER($J991)),($K991*$J991)/$S991,"")</f>
        <v>66000</v>
      </c>
    </row>
    <row r="992" customFormat="false" ht="12.75" hidden="false" customHeight="true" outlineLevel="0" collapsed="false">
      <c r="A992" s="441" t="n">
        <v>8</v>
      </c>
      <c r="B992" s="157" t="n">
        <v>984</v>
      </c>
      <c r="C992" s="437" t="s">
        <v>8246</v>
      </c>
      <c r="D992" s="157" t="s">
        <v>7484</v>
      </c>
      <c r="E992" s="461" t="s">
        <v>2461</v>
      </c>
      <c r="F992" s="157" t="s">
        <v>7485</v>
      </c>
      <c r="G992" s="445" t="n">
        <v>44.2</v>
      </c>
      <c r="H992" s="431" t="n">
        <v>9506</v>
      </c>
      <c r="I992" s="457" t="n">
        <v>0</v>
      </c>
      <c r="J992" s="458" t="n">
        <v>10010</v>
      </c>
      <c r="K992" s="462" t="n">
        <v>6.60719280719281</v>
      </c>
      <c r="L992" s="463" t="n">
        <v>0</v>
      </c>
      <c r="M992" s="463" t="n">
        <v>0.0154978983337869</v>
      </c>
      <c r="N992" s="431" t="n">
        <v>1961</v>
      </c>
      <c r="O992" s="446" t="n">
        <v>1135</v>
      </c>
      <c r="Q992" s="157" t="n">
        <v>14</v>
      </c>
      <c r="R992" s="157" t="n">
        <v>1</v>
      </c>
      <c r="S992" s="157" t="n">
        <v>1</v>
      </c>
      <c r="T992" s="457" t="s">
        <v>7526</v>
      </c>
      <c r="U992" s="457" t="n">
        <v>397</v>
      </c>
      <c r="V992" s="458" t="n">
        <v>15625</v>
      </c>
      <c r="W992" s="458" t="n">
        <v>16000</v>
      </c>
      <c r="X992" s="464" t="s">
        <v>6668</v>
      </c>
      <c r="Y992" s="458" t="n">
        <f aca="false">ROUND(J992,-3)</f>
        <v>10000</v>
      </c>
      <c r="Z992" s="457" t="s">
        <v>6638</v>
      </c>
      <c r="AA992" s="157" t="n">
        <v>3</v>
      </c>
      <c r="AB992" s="157" t="n">
        <v>3</v>
      </c>
      <c r="AC992" s="431" t="s">
        <v>586</v>
      </c>
      <c r="AD992" s="437"/>
      <c r="AE992" s="167"/>
      <c r="AF992" s="167"/>
      <c r="AG992" s="167"/>
      <c r="AH992" s="167"/>
      <c r="AI992" s="167"/>
      <c r="AJ992" s="167"/>
      <c r="AK992" s="167" t="s">
        <v>9192</v>
      </c>
      <c r="AL992" s="157" t="n">
        <f aca="false">IF(AND(ISNUMBER($S992),$S992&gt;0,ISNUMBER($K992),ISNUMBER($J992)),($K992*$J992)/$S992,"")</f>
        <v>66138</v>
      </c>
    </row>
    <row r="993" customFormat="false" ht="12.75" hidden="false" customHeight="true" outlineLevel="0" collapsed="false">
      <c r="A993" s="441" t="n">
        <v>8</v>
      </c>
      <c r="B993" s="157" t="n">
        <v>985</v>
      </c>
      <c r="C993" s="437" t="s">
        <v>8246</v>
      </c>
      <c r="D993" s="157" t="s">
        <v>9193</v>
      </c>
      <c r="E993" s="461" t="s">
        <v>2461</v>
      </c>
      <c r="F993" s="157" t="s">
        <v>9194</v>
      </c>
      <c r="G993" s="445" t="n">
        <v>44.2</v>
      </c>
      <c r="H993" s="431" t="n">
        <v>9506</v>
      </c>
      <c r="I993" s="457" t="n">
        <v>0</v>
      </c>
      <c r="J993" s="458" t="n">
        <v>5169</v>
      </c>
      <c r="K993" s="462" t="n">
        <v>12.149351905591</v>
      </c>
      <c r="L993" s="463" t="n">
        <v>0</v>
      </c>
      <c r="M993" s="463" t="n">
        <v>0.24937898089172</v>
      </c>
      <c r="N993" s="431" t="n">
        <v>1977</v>
      </c>
      <c r="O993" s="446" t="n">
        <f aca="false">1017+495</f>
        <v>1512</v>
      </c>
      <c r="Q993" s="157" t="n">
        <v>14</v>
      </c>
      <c r="R993" s="157" t="n">
        <v>3</v>
      </c>
      <c r="S993" s="157" t="n">
        <v>1</v>
      </c>
      <c r="T993" s="457" t="s">
        <v>7526</v>
      </c>
      <c r="U993" s="457" t="n">
        <v>398</v>
      </c>
      <c r="V993" s="458" t="n">
        <v>15625</v>
      </c>
      <c r="W993" s="458" t="n">
        <v>16000</v>
      </c>
      <c r="X993" s="464" t="s">
        <v>7563</v>
      </c>
      <c r="Y993" s="458" t="n">
        <f aca="false">ROUND(J993,-3)</f>
        <v>5000</v>
      </c>
      <c r="Z993" s="457" t="s">
        <v>6638</v>
      </c>
      <c r="AA993" s="157" t="n">
        <v>3</v>
      </c>
      <c r="AB993" s="157" t="n">
        <v>3</v>
      </c>
      <c r="AC993" s="431" t="s">
        <v>586</v>
      </c>
      <c r="AD993" s="437" t="s">
        <v>9195</v>
      </c>
      <c r="AE993" s="167"/>
      <c r="AF993" s="167"/>
      <c r="AG993" s="167"/>
      <c r="AH993" s="167"/>
      <c r="AI993" s="167"/>
      <c r="AJ993" s="167"/>
      <c r="AK993" s="167" t="s">
        <v>8257</v>
      </c>
      <c r="AL993" s="157" t="n">
        <f aca="false">IF(AND(ISNUMBER($S993),$S993&gt;0,ISNUMBER($K993),ISNUMBER($J993)),($K993*$J993)/$S993,"")</f>
        <v>62799.9999999999</v>
      </c>
    </row>
    <row r="994" customFormat="false" ht="12.75" hidden="false" customHeight="true" outlineLevel="0" collapsed="false">
      <c r="A994" s="441" t="n">
        <v>8</v>
      </c>
      <c r="B994" s="157" t="n">
        <v>986</v>
      </c>
      <c r="C994" s="437" t="s">
        <v>8246</v>
      </c>
      <c r="D994" s="157" t="s">
        <v>9196</v>
      </c>
      <c r="E994" s="461" t="s">
        <v>2461</v>
      </c>
      <c r="F994" s="157" t="s">
        <v>9197</v>
      </c>
      <c r="G994" s="445" t="n">
        <v>44.2</v>
      </c>
      <c r="H994" s="431" t="n">
        <v>9506</v>
      </c>
      <c r="I994" s="457" t="n">
        <v>0</v>
      </c>
      <c r="J994" s="458" t="n">
        <v>4993</v>
      </c>
      <c r="K994" s="462" t="n">
        <v>3.92229120769077</v>
      </c>
      <c r="L994" s="463" t="n">
        <v>0</v>
      </c>
      <c r="M994" s="463" t="n">
        <v>0</v>
      </c>
      <c r="N994" s="431" t="n">
        <v>1959</v>
      </c>
      <c r="O994" s="446" t="n">
        <v>1668</v>
      </c>
      <c r="Q994" s="157" t="n">
        <v>12</v>
      </c>
      <c r="R994" s="157" t="n">
        <v>1</v>
      </c>
      <c r="S994" s="157" t="n">
        <v>1</v>
      </c>
      <c r="T994" s="457" t="s">
        <v>7526</v>
      </c>
      <c r="U994" s="457" t="n">
        <v>397</v>
      </c>
      <c r="V994" s="458" t="n">
        <v>9375</v>
      </c>
      <c r="W994" s="458" t="n">
        <v>9000</v>
      </c>
      <c r="X994" s="464" t="s">
        <v>6675</v>
      </c>
      <c r="Y994" s="458" t="n">
        <f aca="false">ROUND(J994,-3)</f>
        <v>5000</v>
      </c>
      <c r="Z994" s="457" t="s">
        <v>6638</v>
      </c>
      <c r="AA994" s="157" t="n">
        <v>3</v>
      </c>
      <c r="AB994" s="157" t="n">
        <v>3</v>
      </c>
      <c r="AC994" s="431" t="s">
        <v>586</v>
      </c>
      <c r="AD994" s="437"/>
      <c r="AE994" s="167"/>
      <c r="AF994" s="167"/>
      <c r="AG994" s="167"/>
      <c r="AH994" s="167"/>
      <c r="AI994" s="167"/>
      <c r="AJ994" s="167"/>
      <c r="AK994" s="167" t="s">
        <v>8257</v>
      </c>
      <c r="AL994" s="157" t="n">
        <f aca="false">IF(AND(ISNUMBER($S994),$S994&gt;0,ISNUMBER($K994),ISNUMBER($J994)),($K994*$J994)/$S994,"")</f>
        <v>19584</v>
      </c>
    </row>
    <row r="995" customFormat="false" ht="12.75" hidden="false" customHeight="true" outlineLevel="0" collapsed="false">
      <c r="A995" s="441" t="n">
        <v>8</v>
      </c>
      <c r="B995" s="157" t="n">
        <v>987</v>
      </c>
      <c r="C995" s="437" t="s">
        <v>8246</v>
      </c>
      <c r="D995" s="157" t="s">
        <v>8190</v>
      </c>
      <c r="E995" s="461" t="s">
        <v>2461</v>
      </c>
      <c r="F995" s="157" t="s">
        <v>9198</v>
      </c>
      <c r="G995" s="445" t="n">
        <v>44.1</v>
      </c>
      <c r="H995" s="431" t="n">
        <v>9506</v>
      </c>
      <c r="I995" s="457" t="n">
        <v>0</v>
      </c>
      <c r="J995" s="458" t="n">
        <v>5000</v>
      </c>
      <c r="K995" s="462" t="n">
        <v>6</v>
      </c>
      <c r="L995" s="463" t="n">
        <v>0</v>
      </c>
      <c r="M995" s="463" t="n">
        <v>0.1857</v>
      </c>
      <c r="N995" s="431" t="n">
        <v>1966</v>
      </c>
      <c r="O995" s="446" t="n">
        <v>521</v>
      </c>
      <c r="Q995" s="157" t="n">
        <v>14</v>
      </c>
      <c r="R995" s="157" t="n">
        <v>3</v>
      </c>
      <c r="S995" s="157" t="n">
        <v>1</v>
      </c>
      <c r="T995" s="457" t="s">
        <v>7526</v>
      </c>
      <c r="U995" s="457" t="n">
        <v>397</v>
      </c>
      <c r="V995" s="458" t="n">
        <v>6250</v>
      </c>
      <c r="W995" s="458" t="n">
        <v>6000</v>
      </c>
      <c r="X995" s="464" t="s">
        <v>7103</v>
      </c>
      <c r="Y995" s="458" t="n">
        <f aca="false">ROUND(J995,-3)</f>
        <v>5000</v>
      </c>
      <c r="Z995" s="457" t="s">
        <v>6638</v>
      </c>
      <c r="AA995" s="157" t="n">
        <v>3</v>
      </c>
      <c r="AB995" s="157" t="n">
        <v>3</v>
      </c>
      <c r="AC995" s="431" t="s">
        <v>586</v>
      </c>
      <c r="AD995" s="437" t="s">
        <v>8192</v>
      </c>
      <c r="AE995" s="167"/>
      <c r="AF995" s="167"/>
      <c r="AG995" s="167"/>
      <c r="AH995" s="167"/>
      <c r="AI995" s="167"/>
      <c r="AJ995" s="167"/>
      <c r="AK995" s="167" t="s">
        <v>8257</v>
      </c>
      <c r="AL995" s="157" t="n">
        <f aca="false">IF(AND(ISNUMBER($S995),$S995&gt;0,ISNUMBER($K995),ISNUMBER($J995)),($K995*$J995)/$S995,"")</f>
        <v>30000</v>
      </c>
    </row>
    <row r="996" customFormat="false" ht="12.75" hidden="false" customHeight="true" outlineLevel="0" collapsed="false">
      <c r="A996" s="441" t="n">
        <v>8</v>
      </c>
      <c r="B996" s="157" t="n">
        <v>988</v>
      </c>
      <c r="C996" s="437" t="s">
        <v>8246</v>
      </c>
      <c r="D996" s="157" t="s">
        <v>8193</v>
      </c>
      <c r="E996" s="461" t="s">
        <v>2461</v>
      </c>
      <c r="F996" s="157" t="s">
        <v>9199</v>
      </c>
      <c r="G996" s="445" t="n">
        <v>44.1</v>
      </c>
      <c r="H996" s="431" t="n">
        <v>9506</v>
      </c>
      <c r="I996" s="457" t="n">
        <v>0</v>
      </c>
      <c r="J996" s="458" t="n">
        <v>5425</v>
      </c>
      <c r="K996" s="462" t="n">
        <v>8.11059907834101</v>
      </c>
      <c r="L996" s="463" t="n">
        <v>0</v>
      </c>
      <c r="M996" s="463" t="n">
        <v>0.0852954545454546</v>
      </c>
      <c r="N996" s="431" t="n">
        <v>1974</v>
      </c>
      <c r="O996" s="446" t="n">
        <v>336</v>
      </c>
      <c r="Q996" s="157" t="n">
        <v>13</v>
      </c>
      <c r="R996" s="157" t="n">
        <v>8</v>
      </c>
      <c r="S996" s="157" t="n">
        <v>1</v>
      </c>
      <c r="T996" s="457" t="s">
        <v>7526</v>
      </c>
      <c r="U996" s="457" t="n">
        <v>397</v>
      </c>
      <c r="V996" s="458" t="n">
        <v>12500</v>
      </c>
      <c r="W996" s="458" t="n">
        <v>13000</v>
      </c>
      <c r="X996" s="464" t="s">
        <v>6646</v>
      </c>
      <c r="Y996" s="458" t="n">
        <f aca="false">ROUND(J996,-3)</f>
        <v>5000</v>
      </c>
      <c r="Z996" s="457" t="s">
        <v>6638</v>
      </c>
      <c r="AA996" s="157" t="n">
        <v>3</v>
      </c>
      <c r="AB996" s="157" t="n">
        <v>3</v>
      </c>
      <c r="AC996" s="431" t="s">
        <v>586</v>
      </c>
      <c r="AD996" s="437" t="s">
        <v>8195</v>
      </c>
      <c r="AE996" s="167"/>
      <c r="AF996" s="167"/>
      <c r="AG996" s="167"/>
      <c r="AH996" s="167"/>
      <c r="AI996" s="167"/>
      <c r="AJ996" s="167"/>
      <c r="AK996" s="167" t="s">
        <v>8257</v>
      </c>
      <c r="AL996" s="157" t="n">
        <f aca="false">IF(AND(ISNUMBER($S996),$S996&gt;0,ISNUMBER($K996),ISNUMBER($J996)),($K996*$J996)/$S996,"")</f>
        <v>44000</v>
      </c>
    </row>
    <row r="997" customFormat="false" ht="12.75" hidden="false" customHeight="true" outlineLevel="0" collapsed="false">
      <c r="A997" s="441" t="n">
        <v>8</v>
      </c>
      <c r="B997" s="157" t="n">
        <v>989</v>
      </c>
      <c r="C997" s="437" t="s">
        <v>8246</v>
      </c>
      <c r="D997" s="157" t="s">
        <v>9200</v>
      </c>
      <c r="E997" s="461" t="s">
        <v>2461</v>
      </c>
      <c r="F997" s="157" t="s">
        <v>9201</v>
      </c>
      <c r="G997" s="445" t="n">
        <v>44.2</v>
      </c>
      <c r="H997" s="431" t="n">
        <v>9506</v>
      </c>
      <c r="I997" s="457" t="n">
        <v>0</v>
      </c>
      <c r="J997" s="458" t="n">
        <v>9943</v>
      </c>
      <c r="K997" s="462" t="n">
        <v>7.14693754400081</v>
      </c>
      <c r="L997" s="463" t="n">
        <v>0</v>
      </c>
      <c r="M997" s="463" t="n">
        <v>0</v>
      </c>
      <c r="N997" s="431" t="n">
        <v>1959</v>
      </c>
      <c r="O997" s="446" t="n">
        <v>1920</v>
      </c>
      <c r="Q997" s="157" t="n">
        <v>12</v>
      </c>
      <c r="R997" s="157" t="n">
        <v>1</v>
      </c>
      <c r="S997" s="157" t="n">
        <v>1</v>
      </c>
      <c r="T997" s="457" t="s">
        <v>7526</v>
      </c>
      <c r="U997" s="457" t="n">
        <v>398</v>
      </c>
      <c r="V997" s="458" t="n">
        <v>21875</v>
      </c>
      <c r="W997" s="458" t="n">
        <v>22000</v>
      </c>
      <c r="X997" s="464" t="s">
        <v>6700</v>
      </c>
      <c r="Y997" s="458" t="n">
        <f aca="false">ROUND(J997,-3)</f>
        <v>10000</v>
      </c>
      <c r="Z997" s="457" t="s">
        <v>6638</v>
      </c>
      <c r="AA997" s="157" t="n">
        <v>3</v>
      </c>
      <c r="AB997" s="157" t="n">
        <v>3</v>
      </c>
      <c r="AC997" s="431" t="s">
        <v>586</v>
      </c>
      <c r="AD997" s="437" t="s">
        <v>9202</v>
      </c>
      <c r="AE997" s="167"/>
      <c r="AF997" s="167"/>
      <c r="AG997" s="167"/>
      <c r="AH997" s="167"/>
      <c r="AI997" s="167"/>
      <c r="AJ997" s="167"/>
      <c r="AK997" s="167" t="s">
        <v>9203</v>
      </c>
      <c r="AL997" s="157" t="n">
        <f aca="false">IF(AND(ISNUMBER($S997),$S997&gt;0,ISNUMBER($K997),ISNUMBER($J997)),($K997*$J997)/$S997,"")</f>
        <v>71062.0000000001</v>
      </c>
    </row>
    <row r="998" customFormat="false" ht="12.75" hidden="false" customHeight="true" outlineLevel="0" collapsed="false">
      <c r="A998" s="441" t="n">
        <v>8</v>
      </c>
      <c r="B998" s="157" t="n">
        <v>990</v>
      </c>
      <c r="C998" s="437" t="s">
        <v>8246</v>
      </c>
      <c r="D998" s="157" t="s">
        <v>9204</v>
      </c>
      <c r="E998" s="461" t="s">
        <v>2461</v>
      </c>
      <c r="F998" s="157" t="s">
        <v>9205</v>
      </c>
      <c r="G998" s="445" t="n">
        <v>44.1</v>
      </c>
      <c r="H998" s="431" t="n">
        <v>9506</v>
      </c>
      <c r="I998" s="457" t="n">
        <v>0</v>
      </c>
      <c r="J998" s="458" t="n">
        <v>5013</v>
      </c>
      <c r="K998" s="462" t="n">
        <v>11.0113704368642</v>
      </c>
      <c r="L998" s="463" t="n">
        <v>0</v>
      </c>
      <c r="M998" s="463" t="n">
        <v>0.130960144927536</v>
      </c>
      <c r="N998" s="431" t="n">
        <v>1961</v>
      </c>
      <c r="O998" s="446" t="n">
        <v>2346</v>
      </c>
      <c r="Q998" s="157" t="n">
        <v>13</v>
      </c>
      <c r="R998" s="157" t="n">
        <v>4</v>
      </c>
      <c r="S998" s="157" t="n">
        <v>1</v>
      </c>
      <c r="T998" s="457" t="s">
        <v>7526</v>
      </c>
      <c r="U998" s="457" t="n">
        <v>398</v>
      </c>
      <c r="V998" s="458" t="n">
        <v>9375</v>
      </c>
      <c r="W998" s="458" t="n">
        <v>9000</v>
      </c>
      <c r="X998" s="464" t="s">
        <v>6675</v>
      </c>
      <c r="Y998" s="458" t="n">
        <f aca="false">ROUND(J998,-3)</f>
        <v>5000</v>
      </c>
      <c r="Z998" s="457" t="s">
        <v>6638</v>
      </c>
      <c r="AA998" s="157" t="n">
        <v>3</v>
      </c>
      <c r="AB998" s="157" t="n">
        <v>3</v>
      </c>
      <c r="AC998" s="431" t="s">
        <v>586</v>
      </c>
      <c r="AD998" s="437" t="s">
        <v>9206</v>
      </c>
      <c r="AE998" s="167"/>
      <c r="AF998" s="167"/>
      <c r="AG998" s="167"/>
      <c r="AH998" s="167"/>
      <c r="AI998" s="167"/>
      <c r="AJ998" s="167"/>
      <c r="AK998" s="167" t="s">
        <v>9207</v>
      </c>
      <c r="AL998" s="157" t="n">
        <f aca="false">IF(AND(ISNUMBER($S998),$S998&gt;0,ISNUMBER($K998),ISNUMBER($J998)),($K998*$J998)/$S998,"")</f>
        <v>55200.0000000002</v>
      </c>
    </row>
    <row r="999" customFormat="false" ht="12.75" hidden="false" customHeight="true" outlineLevel="0" collapsed="false">
      <c r="A999" s="441" t="n">
        <v>8</v>
      </c>
      <c r="B999" s="157" t="n">
        <v>991</v>
      </c>
      <c r="C999" s="437" t="s">
        <v>8246</v>
      </c>
      <c r="D999" s="157" t="s">
        <v>9208</v>
      </c>
      <c r="E999" s="461" t="s">
        <v>2461</v>
      </c>
      <c r="F999" s="157" t="s">
        <v>9209</v>
      </c>
      <c r="G999" s="445" t="n">
        <v>43.1</v>
      </c>
      <c r="H999" s="431" t="n">
        <v>9506</v>
      </c>
      <c r="I999" s="457" t="n">
        <v>0</v>
      </c>
      <c r="J999" s="458" t="n">
        <v>16423</v>
      </c>
      <c r="K999" s="462" t="n">
        <v>3.65341289654753</v>
      </c>
      <c r="L999" s="463" t="n">
        <v>0</v>
      </c>
      <c r="M999" s="463" t="n">
        <v>0</v>
      </c>
      <c r="N999" s="431" t="n">
        <v>1972</v>
      </c>
      <c r="O999" s="446" t="n">
        <v>2155</v>
      </c>
      <c r="Q999" s="157" t="n">
        <v>17</v>
      </c>
      <c r="R999" s="157" t="n">
        <v>7</v>
      </c>
      <c r="S999" s="157" t="n">
        <v>1</v>
      </c>
      <c r="T999" s="457" t="s">
        <v>7526</v>
      </c>
      <c r="U999" s="457" t="n">
        <v>401</v>
      </c>
      <c r="V999" s="458" t="n">
        <v>25000</v>
      </c>
      <c r="W999" s="458" t="n">
        <v>25000</v>
      </c>
      <c r="X999" s="464" t="s">
        <v>6837</v>
      </c>
      <c r="Y999" s="458" t="n">
        <f aca="false">ROUND(J999,-3)</f>
        <v>16000</v>
      </c>
      <c r="Z999" s="457" t="s">
        <v>6638</v>
      </c>
      <c r="AA999" s="157" t="n">
        <v>3</v>
      </c>
      <c r="AB999" s="157" t="n">
        <v>3</v>
      </c>
      <c r="AC999" s="431" t="s">
        <v>586</v>
      </c>
      <c r="AD999" s="437" t="s">
        <v>9210</v>
      </c>
      <c r="AE999" s="167"/>
      <c r="AF999" s="167"/>
      <c r="AG999" s="167"/>
      <c r="AH999" s="167"/>
      <c r="AI999" s="167"/>
      <c r="AJ999" s="167"/>
      <c r="AK999" s="167" t="s">
        <v>8814</v>
      </c>
      <c r="AL999" s="157" t="n">
        <f aca="false">IF(AND(ISNUMBER($S999),$S999&gt;0,ISNUMBER($K999),ISNUMBER($J999)),($K999*$J999)/$S999,"")</f>
        <v>60000.0000000001</v>
      </c>
    </row>
    <row r="1000" customFormat="false" ht="12.75" hidden="false" customHeight="true" outlineLevel="0" collapsed="false">
      <c r="A1000" s="441" t="n">
        <v>8</v>
      </c>
      <c r="B1000" s="157" t="n">
        <v>992</v>
      </c>
      <c r="C1000" s="437" t="s">
        <v>8246</v>
      </c>
      <c r="D1000" s="157" t="s">
        <v>7486</v>
      </c>
      <c r="E1000" s="461" t="s">
        <v>2461</v>
      </c>
      <c r="F1000" s="157" t="s">
        <v>7487</v>
      </c>
      <c r="G1000" s="445" t="n">
        <v>44.2</v>
      </c>
      <c r="H1000" s="431" t="n">
        <v>9506</v>
      </c>
      <c r="I1000" s="457" t="n">
        <v>0</v>
      </c>
      <c r="J1000" s="458" t="n">
        <v>2000</v>
      </c>
      <c r="K1000" s="462" t="n">
        <v>6.571</v>
      </c>
      <c r="L1000" s="463" t="n">
        <v>0</v>
      </c>
      <c r="M1000" s="463" t="n">
        <v>0.0780703089331913</v>
      </c>
      <c r="N1000" s="431" t="n">
        <v>1962</v>
      </c>
      <c r="Q1000" s="157" t="n">
        <v>12</v>
      </c>
      <c r="R1000" s="157" t="n">
        <v>3</v>
      </c>
      <c r="S1000" s="157" t="n">
        <v>1</v>
      </c>
      <c r="T1000" s="457" t="s">
        <v>7526</v>
      </c>
      <c r="U1000" s="457" t="n">
        <v>398</v>
      </c>
      <c r="V1000" s="458" t="n">
        <v>12500</v>
      </c>
      <c r="W1000" s="458" t="n">
        <v>13000</v>
      </c>
      <c r="X1000" s="464" t="s">
        <v>7488</v>
      </c>
      <c r="Y1000" s="458" t="n">
        <f aca="false">ROUND(J1000,-3)</f>
        <v>2000</v>
      </c>
      <c r="Z1000" s="457" t="s">
        <v>6638</v>
      </c>
      <c r="AA1000" s="157" t="n">
        <v>3</v>
      </c>
      <c r="AB1000" s="157" t="n">
        <v>3</v>
      </c>
      <c r="AC1000" s="431" t="s">
        <v>586</v>
      </c>
      <c r="AD1000" s="437" t="s">
        <v>7489</v>
      </c>
      <c r="AE1000" s="167"/>
      <c r="AF1000" s="167"/>
      <c r="AG1000" s="167"/>
      <c r="AH1000" s="167"/>
      <c r="AI1000" s="167"/>
      <c r="AJ1000" s="167"/>
      <c r="AK1000" s="167" t="s">
        <v>8308</v>
      </c>
      <c r="AL1000" s="157" t="n">
        <f aca="false">IF(AND(ISNUMBER($S1000),$S1000&gt;0,ISNUMBER($K1000),ISNUMBER($J1000)),($K1000*$J1000)/$S1000,"")</f>
        <v>13142</v>
      </c>
    </row>
    <row r="1001" customFormat="false" ht="12.75" hidden="false" customHeight="true" outlineLevel="0" collapsed="false">
      <c r="A1001" s="441" t="n">
        <v>8</v>
      </c>
      <c r="B1001" s="157" t="n">
        <v>993</v>
      </c>
      <c r="C1001" s="437" t="s">
        <v>8246</v>
      </c>
      <c r="D1001" s="157" t="s">
        <v>9211</v>
      </c>
      <c r="E1001" s="461" t="s">
        <v>2461</v>
      </c>
      <c r="F1001" s="157" t="s">
        <v>9212</v>
      </c>
      <c r="G1001" s="445" t="n">
        <v>44.2</v>
      </c>
      <c r="H1001" s="431" t="n">
        <v>9506</v>
      </c>
      <c r="I1001" s="457" t="n">
        <v>0</v>
      </c>
      <c r="J1001" s="458" t="n">
        <v>4460</v>
      </c>
      <c r="K1001" s="462" t="n">
        <v>7.53363228699552</v>
      </c>
      <c r="L1001" s="463" t="n">
        <v>0</v>
      </c>
      <c r="M1001" s="463" t="n">
        <v>0.0440178571428571</v>
      </c>
      <c r="N1001" s="431" t="n">
        <v>2000</v>
      </c>
      <c r="O1001" s="446" t="n">
        <f aca="false">322+288</f>
        <v>610</v>
      </c>
      <c r="Q1001" s="157" t="n">
        <v>18</v>
      </c>
      <c r="R1001" s="157" t="n">
        <v>1</v>
      </c>
      <c r="S1001" s="157" t="n">
        <v>1</v>
      </c>
      <c r="T1001" s="457" t="s">
        <v>7526</v>
      </c>
      <c r="U1001" s="457" t="n">
        <v>398</v>
      </c>
      <c r="V1001" s="458" t="n">
        <v>6250</v>
      </c>
      <c r="W1001" s="458" t="n">
        <v>6000</v>
      </c>
      <c r="X1001" s="464" t="s">
        <v>6710</v>
      </c>
      <c r="Y1001" s="458" t="n">
        <f aca="false">ROUND(J1001,-3)</f>
        <v>4000</v>
      </c>
      <c r="Z1001" s="457" t="s">
        <v>6638</v>
      </c>
      <c r="AA1001" s="157" t="n">
        <v>3</v>
      </c>
      <c r="AB1001" s="157" t="n">
        <v>3</v>
      </c>
      <c r="AC1001" s="431" t="s">
        <v>586</v>
      </c>
      <c r="AD1001" s="437" t="s">
        <v>9213</v>
      </c>
      <c r="AE1001" s="167"/>
      <c r="AF1001" s="167"/>
      <c r="AG1001" s="167"/>
      <c r="AH1001" s="167"/>
      <c r="AI1001" s="167"/>
      <c r="AJ1001" s="167"/>
      <c r="AK1001" s="167" t="s">
        <v>8574</v>
      </c>
      <c r="AL1001" s="157" t="n">
        <f aca="false">IF(AND(ISNUMBER($S1001),$S1001&gt;0,ISNUMBER($K1001),ISNUMBER($J1001)),($K1001*$J1001)/$S1001,"")</f>
        <v>33600</v>
      </c>
    </row>
    <row r="1002" customFormat="false" ht="12.75" hidden="false" customHeight="true" outlineLevel="0" collapsed="false">
      <c r="A1002" s="441" t="n">
        <v>8</v>
      </c>
      <c r="B1002" s="157" t="n">
        <v>994</v>
      </c>
      <c r="C1002" s="437" t="s">
        <v>8246</v>
      </c>
      <c r="D1002" s="157" t="s">
        <v>9214</v>
      </c>
      <c r="E1002" s="461" t="s">
        <v>2461</v>
      </c>
      <c r="F1002" s="157" t="s">
        <v>9215</v>
      </c>
      <c r="G1002" s="445" t="n">
        <v>44.2</v>
      </c>
      <c r="H1002" s="431" t="n">
        <v>9506</v>
      </c>
      <c r="I1002" s="457" t="n">
        <v>0</v>
      </c>
      <c r="J1002" s="458" t="n">
        <v>2400</v>
      </c>
      <c r="K1002" s="462" t="n">
        <v>20</v>
      </c>
      <c r="L1002" s="463" t="n">
        <v>0</v>
      </c>
      <c r="M1002" s="463" t="n">
        <v>0</v>
      </c>
      <c r="N1002" s="431" t="n">
        <v>1964</v>
      </c>
      <c r="O1002" s="458" t="n">
        <v>560</v>
      </c>
      <c r="P1002" s="458"/>
      <c r="Q1002" s="157" t="n">
        <v>10</v>
      </c>
      <c r="R1002" s="157" t="n">
        <v>7</v>
      </c>
      <c r="S1002" s="157" t="n">
        <v>2</v>
      </c>
      <c r="T1002" s="457" t="s">
        <v>7526</v>
      </c>
      <c r="U1002" s="457" t="n">
        <v>332</v>
      </c>
      <c r="V1002" s="458" t="n">
        <v>26000</v>
      </c>
      <c r="W1002" s="458" t="n">
        <v>26000</v>
      </c>
      <c r="X1002" s="464" t="s">
        <v>9216</v>
      </c>
      <c r="Y1002" s="458" t="n">
        <f aca="false">ROUND(J1002,-3)</f>
        <v>2000</v>
      </c>
      <c r="Z1002" s="457" t="s">
        <v>6638</v>
      </c>
      <c r="AA1002" s="157" t="n">
        <v>3</v>
      </c>
      <c r="AB1002" s="157" t="n">
        <v>3</v>
      </c>
      <c r="AC1002" s="431" t="n">
        <v>33</v>
      </c>
      <c r="AD1002" s="437" t="s">
        <v>9217</v>
      </c>
      <c r="AE1002" s="167"/>
      <c r="AF1002" s="167"/>
      <c r="AG1002" s="167"/>
      <c r="AH1002" s="167"/>
      <c r="AI1002" s="167"/>
      <c r="AJ1002" s="167"/>
      <c r="AK1002" s="167" t="s">
        <v>9218</v>
      </c>
      <c r="AL1002" s="157" t="n">
        <f aca="false">IF(AND(ISNUMBER($S1002),$S1002&gt;0,ISNUMBER($K1002),ISNUMBER($J1002)),($K1002*$J1002)/$S1002,"")</f>
        <v>24000</v>
      </c>
    </row>
    <row r="1003" customFormat="false" ht="12.75" hidden="false" customHeight="true" outlineLevel="0" collapsed="false">
      <c r="A1003" s="441" t="n">
        <v>8</v>
      </c>
      <c r="B1003" s="157" t="n">
        <v>995</v>
      </c>
      <c r="C1003" s="437" t="s">
        <v>8246</v>
      </c>
      <c r="D1003" s="157" t="s">
        <v>9219</v>
      </c>
      <c r="E1003" s="461" t="s">
        <v>2461</v>
      </c>
      <c r="F1003" s="157" t="s">
        <v>9220</v>
      </c>
      <c r="G1003" s="445" t="n">
        <v>44.1</v>
      </c>
      <c r="H1003" s="431" t="n">
        <v>9506</v>
      </c>
      <c r="I1003" s="457" t="n">
        <v>0</v>
      </c>
      <c r="J1003" s="458" t="n">
        <v>14990</v>
      </c>
      <c r="K1003" s="462" t="n">
        <v>5.66224149432955</v>
      </c>
      <c r="L1003" s="463" t="n">
        <v>0</v>
      </c>
      <c r="M1003" s="463" t="n">
        <v>0.0152809359425993</v>
      </c>
      <c r="N1003" s="431" t="n">
        <v>1980</v>
      </c>
      <c r="O1003" s="446" t="n">
        <v>795</v>
      </c>
      <c r="Q1003" s="157" t="n">
        <v>15</v>
      </c>
      <c r="R1003" s="157" t="n">
        <v>1</v>
      </c>
      <c r="S1003" s="157" t="n">
        <v>1</v>
      </c>
      <c r="T1003" s="457" t="s">
        <v>7526</v>
      </c>
      <c r="U1003" s="457" t="n">
        <v>398</v>
      </c>
      <c r="V1003" s="458" t="n">
        <v>18750</v>
      </c>
      <c r="W1003" s="458" t="n">
        <v>19000</v>
      </c>
      <c r="X1003" s="464" t="s">
        <v>7103</v>
      </c>
      <c r="Y1003" s="458" t="n">
        <f aca="false">ROUND(J1003,-3)</f>
        <v>15000</v>
      </c>
      <c r="Z1003" s="457" t="s">
        <v>6638</v>
      </c>
      <c r="AA1003" s="157" t="n">
        <v>3</v>
      </c>
      <c r="AB1003" s="157" t="n">
        <v>3</v>
      </c>
      <c r="AC1003" s="431" t="s">
        <v>586</v>
      </c>
      <c r="AD1003" s="437" t="s">
        <v>9221</v>
      </c>
      <c r="AE1003" s="167"/>
      <c r="AF1003" s="167"/>
      <c r="AG1003" s="167"/>
      <c r="AH1003" s="167"/>
      <c r="AI1003" s="167"/>
      <c r="AJ1003" s="167"/>
      <c r="AK1003" s="167" t="s">
        <v>8257</v>
      </c>
      <c r="AL1003" s="157" t="n">
        <f aca="false">IF(AND(ISNUMBER($S1003),$S1003&gt;0,ISNUMBER($K1003),ISNUMBER($J1003)),($K1003*$J1003)/$S1003,"")</f>
        <v>84876.9999999999</v>
      </c>
    </row>
    <row r="1004" customFormat="false" ht="12.75" hidden="false" customHeight="true" outlineLevel="0" collapsed="false">
      <c r="A1004" s="441" t="n">
        <v>8</v>
      </c>
      <c r="B1004" s="157" t="n">
        <v>996</v>
      </c>
      <c r="C1004" s="437" t="s">
        <v>8246</v>
      </c>
      <c r="D1004" s="157" t="s">
        <v>8206</v>
      </c>
      <c r="E1004" s="461" t="s">
        <v>2461</v>
      </c>
      <c r="F1004" s="157" t="s">
        <v>9222</v>
      </c>
      <c r="G1004" s="445" t="n">
        <v>44.2</v>
      </c>
      <c r="H1004" s="431" t="n">
        <v>9506</v>
      </c>
      <c r="I1004" s="457" t="n">
        <v>0</v>
      </c>
      <c r="J1004" s="458" t="n">
        <v>1800</v>
      </c>
      <c r="K1004" s="462" t="n">
        <v>9</v>
      </c>
      <c r="L1004" s="463" t="n">
        <v>0</v>
      </c>
      <c r="M1004" s="463" t="n">
        <v>0.425864197530864</v>
      </c>
      <c r="N1004" s="431" t="n">
        <v>1980</v>
      </c>
      <c r="O1004" s="446" t="n">
        <f aca="false">735+1470</f>
        <v>2205</v>
      </c>
      <c r="Q1004" s="157" t="n">
        <v>19</v>
      </c>
      <c r="R1004" s="157" t="n">
        <v>3</v>
      </c>
      <c r="S1004" s="157" t="n">
        <v>1</v>
      </c>
      <c r="T1004" s="457" t="s">
        <v>7535</v>
      </c>
      <c r="U1004" s="457" t="n">
        <v>398</v>
      </c>
      <c r="V1004" s="458" t="n">
        <v>15960</v>
      </c>
      <c r="W1004" s="458" t="n">
        <v>16000</v>
      </c>
      <c r="X1004" s="464" t="s">
        <v>6700</v>
      </c>
      <c r="Y1004" s="458" t="n">
        <f aca="false">ROUND(J1004,-2)</f>
        <v>1800</v>
      </c>
      <c r="Z1004" s="457" t="s">
        <v>6638</v>
      </c>
      <c r="AA1004" s="157" t="n">
        <v>3</v>
      </c>
      <c r="AB1004" s="157" t="n">
        <v>3</v>
      </c>
      <c r="AC1004" s="431" t="s">
        <v>586</v>
      </c>
      <c r="AD1004" s="437" t="s">
        <v>8208</v>
      </c>
      <c r="AE1004" s="167"/>
      <c r="AF1004" s="167"/>
      <c r="AG1004" s="167"/>
      <c r="AH1004" s="167"/>
      <c r="AI1004" s="167"/>
      <c r="AJ1004" s="167"/>
      <c r="AK1004" s="167" t="s">
        <v>9223</v>
      </c>
      <c r="AL1004" s="157" t="n">
        <f aca="false">IF(AND(ISNUMBER($S1004),$S1004&gt;0,ISNUMBER($K1004),ISNUMBER($J1004)),($K1004*$J1004)/$S1004,"")</f>
        <v>16200</v>
      </c>
    </row>
    <row r="1005" customFormat="false" ht="12.75" hidden="false" customHeight="true" outlineLevel="0" collapsed="false">
      <c r="A1005" s="441" t="n">
        <v>8</v>
      </c>
      <c r="B1005" s="157" t="n">
        <v>997</v>
      </c>
      <c r="C1005" s="437" t="s">
        <v>8246</v>
      </c>
      <c r="D1005" s="157" t="s">
        <v>7493</v>
      </c>
      <c r="E1005" s="461" t="s">
        <v>2461</v>
      </c>
      <c r="F1005" s="157" t="s">
        <v>7494</v>
      </c>
      <c r="G1005" s="445" t="n">
        <v>44.1</v>
      </c>
      <c r="H1005" s="431" t="n">
        <v>9506</v>
      </c>
      <c r="I1005" s="457" t="n">
        <v>0</v>
      </c>
      <c r="J1005" s="458" t="n">
        <v>10005</v>
      </c>
      <c r="K1005" s="462" t="n">
        <v>5.39730134932534</v>
      </c>
      <c r="L1005" s="463" t="n">
        <v>0</v>
      </c>
      <c r="M1005" s="463" t="n">
        <v>0.0425925925925926</v>
      </c>
      <c r="N1005" s="431" t="n">
        <v>1965</v>
      </c>
      <c r="O1005" s="446" t="n">
        <v>2142</v>
      </c>
      <c r="P1005" s="446" t="n">
        <f aca="false">1188</f>
        <v>1188</v>
      </c>
      <c r="Q1005" s="157" t="n">
        <v>13</v>
      </c>
      <c r="R1005" s="157" t="n">
        <v>1</v>
      </c>
      <c r="S1005" s="157" t="n">
        <v>1</v>
      </c>
      <c r="T1005" s="457" t="s">
        <v>7526</v>
      </c>
      <c r="U1005" s="457" t="n">
        <v>398</v>
      </c>
      <c r="V1005" s="458" t="n">
        <v>12500</v>
      </c>
      <c r="W1005" s="458" t="n">
        <v>13000</v>
      </c>
      <c r="X1005" s="464" t="s">
        <v>6900</v>
      </c>
      <c r="Y1005" s="458" t="n">
        <f aca="false">ROUND(J1005,-3)</f>
        <v>10000</v>
      </c>
      <c r="Z1005" s="457" t="s">
        <v>6638</v>
      </c>
      <c r="AA1005" s="157" t="n">
        <v>3</v>
      </c>
      <c r="AB1005" s="157" t="n">
        <v>3</v>
      </c>
      <c r="AC1005" s="431" t="s">
        <v>586</v>
      </c>
      <c r="AD1005" s="437" t="s">
        <v>7495</v>
      </c>
      <c r="AE1005" s="167"/>
      <c r="AF1005" s="167"/>
      <c r="AG1005" s="167"/>
      <c r="AH1005" s="167"/>
      <c r="AI1005" s="167"/>
      <c r="AJ1005" s="167"/>
      <c r="AK1005" s="167" t="s">
        <v>8257</v>
      </c>
      <c r="AL1005" s="157" t="n">
        <f aca="false">IF(AND(ISNUMBER($S1005),$S1005&gt;0,ISNUMBER($K1005),ISNUMBER($J1005)),($K1005*$J1005)/$S1005,"")</f>
        <v>54000</v>
      </c>
    </row>
    <row r="1006" customFormat="false" ht="12.75" hidden="false" customHeight="true" outlineLevel="0" collapsed="false">
      <c r="A1006" s="441" t="n">
        <v>8</v>
      </c>
      <c r="B1006" s="157" t="n">
        <v>998</v>
      </c>
      <c r="C1006" s="437" t="s">
        <v>8246</v>
      </c>
      <c r="D1006" s="157" t="s">
        <v>7503</v>
      </c>
      <c r="E1006" s="461" t="s">
        <v>2461</v>
      </c>
      <c r="F1006" s="157" t="s">
        <v>7504</v>
      </c>
      <c r="G1006" s="445" t="n">
        <v>44.2</v>
      </c>
      <c r="H1006" s="431" t="n">
        <v>9506</v>
      </c>
      <c r="I1006" s="457" t="n">
        <v>0</v>
      </c>
      <c r="J1006" s="458" t="n">
        <v>6000</v>
      </c>
      <c r="K1006" s="462" t="n">
        <v>5.4</v>
      </c>
      <c r="L1006" s="463" t="n">
        <v>0</v>
      </c>
      <c r="M1006" s="463" t="n">
        <v>0.0880864197530864</v>
      </c>
      <c r="N1006" s="431" t="n">
        <v>1973</v>
      </c>
      <c r="O1006" s="446" t="n">
        <v>1440</v>
      </c>
      <c r="Q1006" s="157" t="n">
        <v>14</v>
      </c>
      <c r="R1006" s="157" t="n">
        <v>1</v>
      </c>
      <c r="S1006" s="157" t="n">
        <v>1</v>
      </c>
      <c r="T1006" s="457" t="s">
        <v>7526</v>
      </c>
      <c r="U1006" s="457" t="n">
        <v>398</v>
      </c>
      <c r="V1006" s="458" t="n">
        <v>18750</v>
      </c>
      <c r="W1006" s="458" t="n">
        <v>19000</v>
      </c>
      <c r="X1006" s="464" t="s">
        <v>6668</v>
      </c>
      <c r="Y1006" s="458" t="n">
        <f aca="false">ROUND(J1006,-3)</f>
        <v>6000</v>
      </c>
      <c r="Z1006" s="457" t="s">
        <v>6638</v>
      </c>
      <c r="AA1006" s="157" t="n">
        <v>3</v>
      </c>
      <c r="AB1006" s="157" t="n">
        <v>3</v>
      </c>
      <c r="AC1006" s="431" t="s">
        <v>586</v>
      </c>
      <c r="AD1006" s="437"/>
      <c r="AE1006" s="167"/>
      <c r="AF1006" s="167"/>
      <c r="AG1006" s="167"/>
      <c r="AH1006" s="167"/>
      <c r="AI1006" s="167"/>
      <c r="AJ1006" s="167"/>
      <c r="AK1006" s="167" t="s">
        <v>9224</v>
      </c>
      <c r="AL1006" s="157" t="n">
        <f aca="false">IF(AND(ISNUMBER($S1006),$S1006&gt;0,ISNUMBER($K1006),ISNUMBER($J1006)),($K1006*$J1006)/$S1006,"")</f>
        <v>32400</v>
      </c>
    </row>
    <row r="1007" customFormat="false" ht="12.75" hidden="false" customHeight="true" outlineLevel="0" collapsed="false">
      <c r="A1007" s="441" t="n">
        <v>8</v>
      </c>
      <c r="B1007" s="157" t="n">
        <v>999</v>
      </c>
      <c r="C1007" s="437" t="s">
        <v>8246</v>
      </c>
      <c r="D1007" s="157" t="s">
        <v>9225</v>
      </c>
      <c r="E1007" s="461" t="s">
        <v>2461</v>
      </c>
      <c r="F1007" s="157" t="s">
        <v>9226</v>
      </c>
      <c r="G1007" s="445" t="n">
        <v>44.2</v>
      </c>
      <c r="H1007" s="431" t="n">
        <v>9506</v>
      </c>
      <c r="I1007" s="457" t="n">
        <v>0</v>
      </c>
      <c r="J1007" s="458" t="n">
        <v>11090</v>
      </c>
      <c r="K1007" s="462" t="n">
        <v>10.4418394950406</v>
      </c>
      <c r="L1007" s="463" t="n">
        <v>0.360685302073941</v>
      </c>
      <c r="M1007" s="463" t="n">
        <v>0</v>
      </c>
      <c r="N1007" s="431" t="n">
        <v>1995</v>
      </c>
      <c r="O1007" s="446" t="n">
        <v>1671</v>
      </c>
      <c r="P1007" s="446" t="n">
        <v>3922</v>
      </c>
      <c r="Q1007" s="157" t="n">
        <v>15</v>
      </c>
      <c r="R1007" s="157" t="n">
        <v>3</v>
      </c>
      <c r="S1007" s="157" t="n">
        <v>1</v>
      </c>
      <c r="T1007" s="457" t="s">
        <v>7526</v>
      </c>
      <c r="U1007" s="457" t="n">
        <v>398</v>
      </c>
      <c r="V1007" s="458" t="n">
        <v>40625</v>
      </c>
      <c r="W1007" s="458" t="n">
        <v>41000</v>
      </c>
      <c r="X1007" s="464" t="s">
        <v>6717</v>
      </c>
      <c r="Y1007" s="458" t="n">
        <f aca="false">ROUND(J1007,-3)</f>
        <v>11000</v>
      </c>
      <c r="Z1007" s="457" t="s">
        <v>6638</v>
      </c>
      <c r="AA1007" s="157" t="n">
        <v>3</v>
      </c>
      <c r="AB1007" s="157" t="n">
        <v>3</v>
      </c>
      <c r="AC1007" s="431" t="s">
        <v>586</v>
      </c>
      <c r="AD1007" s="437" t="s">
        <v>9227</v>
      </c>
      <c r="AE1007" s="167"/>
      <c r="AF1007" s="167"/>
      <c r="AG1007" s="167"/>
      <c r="AH1007" s="167"/>
      <c r="AI1007" s="167"/>
      <c r="AJ1007" s="167"/>
      <c r="AK1007" s="167" t="s">
        <v>9228</v>
      </c>
      <c r="AL1007" s="157" t="n">
        <f aca="false">IF(AND(ISNUMBER($S1007),$S1007&gt;0,ISNUMBER($K1007),ISNUMBER($J1007)),($K1007*$J1007)/$S1007,"")</f>
        <v>115800</v>
      </c>
    </row>
    <row r="1008" customFormat="false" ht="12.75" hidden="false" customHeight="true" outlineLevel="0" collapsed="false">
      <c r="A1008" s="441" t="n">
        <v>8</v>
      </c>
      <c r="B1008" s="157" t="n">
        <v>1000</v>
      </c>
      <c r="C1008" s="437" t="s">
        <v>8246</v>
      </c>
      <c r="D1008" s="157" t="s">
        <v>9229</v>
      </c>
      <c r="E1008" s="461" t="s">
        <v>2461</v>
      </c>
      <c r="F1008" s="157" t="s">
        <v>9230</v>
      </c>
      <c r="G1008" s="445" t="n">
        <v>47.2</v>
      </c>
      <c r="H1008" s="431" t="n">
        <v>9506</v>
      </c>
      <c r="I1008" s="457" t="n">
        <v>0</v>
      </c>
      <c r="J1008" s="458" t="n">
        <v>49245</v>
      </c>
      <c r="K1008" s="462" t="n">
        <v>4.04629911666159</v>
      </c>
      <c r="L1008" s="463" t="n">
        <v>0</v>
      </c>
      <c r="M1008" s="463" t="n">
        <v>0.0561075981130182</v>
      </c>
      <c r="N1008" s="431" t="n">
        <v>1965</v>
      </c>
      <c r="O1008" s="446" t="n">
        <v>5002</v>
      </c>
      <c r="Q1008" s="157" t="n">
        <v>14</v>
      </c>
      <c r="R1008" s="157" t="n">
        <v>1</v>
      </c>
      <c r="S1008" s="157" t="n">
        <v>1</v>
      </c>
      <c r="T1008" s="457" t="s">
        <v>7531</v>
      </c>
      <c r="U1008" s="457" t="n">
        <v>401</v>
      </c>
      <c r="V1008" s="458" t="n">
        <v>66500</v>
      </c>
      <c r="W1008" s="458" t="n">
        <v>70000</v>
      </c>
      <c r="X1008" s="464" t="s">
        <v>6710</v>
      </c>
      <c r="Y1008" s="458" t="n">
        <f aca="false">ROUND(J1008,-3)</f>
        <v>49000</v>
      </c>
      <c r="Z1008" s="457" t="s">
        <v>6638</v>
      </c>
      <c r="AA1008" s="157" t="n">
        <v>3</v>
      </c>
      <c r="AB1008" s="157" t="n">
        <v>2</v>
      </c>
      <c r="AC1008" s="431" t="s">
        <v>582</v>
      </c>
      <c r="AD1008" s="437"/>
      <c r="AE1008" s="167"/>
      <c r="AF1008" s="167"/>
      <c r="AG1008" s="167"/>
      <c r="AH1008" s="167"/>
      <c r="AI1008" s="167"/>
      <c r="AJ1008" s="167"/>
      <c r="AK1008" s="167" t="s">
        <v>8412</v>
      </c>
      <c r="AL1008" s="157" t="n">
        <f aca="false">IF(AND(ISNUMBER($S1008),$S1008&gt;0,ISNUMBER($K1008),ISNUMBER($J1008)),($K1008*$J1008)/$S1008,"")</f>
        <v>199260</v>
      </c>
    </row>
    <row r="1009" customFormat="false" ht="12.75" hidden="false" customHeight="true" outlineLevel="0" collapsed="false">
      <c r="A1009" s="441" t="n">
        <v>8</v>
      </c>
      <c r="B1009" s="157" t="n">
        <v>1001</v>
      </c>
      <c r="C1009" s="437" t="s">
        <v>8246</v>
      </c>
      <c r="D1009" s="157" t="s">
        <v>9231</v>
      </c>
      <c r="E1009" s="461" t="s">
        <v>2461</v>
      </c>
      <c r="F1009" s="157" t="s">
        <v>9232</v>
      </c>
      <c r="G1009" s="445" t="n">
        <v>44.2</v>
      </c>
      <c r="H1009" s="431" t="n">
        <v>9603</v>
      </c>
      <c r="I1009" s="457" t="n">
        <v>0</v>
      </c>
      <c r="J1009" s="458" t="n">
        <v>39152</v>
      </c>
      <c r="K1009" s="462" t="n">
        <v>5.94605639558643</v>
      </c>
      <c r="L1009" s="463" t="n">
        <v>0.05</v>
      </c>
      <c r="M1009" s="463" t="n">
        <v>0.442418384879725</v>
      </c>
      <c r="N1009" s="431" t="n">
        <v>1974</v>
      </c>
      <c r="O1009" s="446" t="n">
        <f aca="false">12488+5868</f>
        <v>18356</v>
      </c>
      <c r="Q1009" s="157" t="n">
        <v>22</v>
      </c>
      <c r="R1009" s="157" t="n">
        <v>10</v>
      </c>
      <c r="S1009" s="157" t="n">
        <v>12</v>
      </c>
      <c r="T1009" s="457" t="s">
        <v>7526</v>
      </c>
      <c r="U1009" s="457" t="n">
        <v>397</v>
      </c>
      <c r="V1009" s="458" t="n">
        <v>94290</v>
      </c>
      <c r="W1009" s="458" t="n">
        <v>90000</v>
      </c>
      <c r="X1009" s="464" t="s">
        <v>6650</v>
      </c>
      <c r="Y1009" s="458" t="n">
        <f aca="false">ROUND(J1009,-3)</f>
        <v>39000</v>
      </c>
      <c r="Z1009" s="457" t="s">
        <v>6638</v>
      </c>
      <c r="AA1009" s="157" t="n">
        <v>3</v>
      </c>
      <c r="AB1009" s="157" t="n">
        <v>3</v>
      </c>
      <c r="AC1009" s="431" t="s">
        <v>586</v>
      </c>
      <c r="AD1009" s="437" t="s">
        <v>7295</v>
      </c>
      <c r="AE1009" s="167"/>
      <c r="AF1009" s="167"/>
      <c r="AG1009" s="167"/>
      <c r="AH1009" s="167"/>
      <c r="AI1009" s="167"/>
      <c r="AJ1009" s="167"/>
      <c r="AK1009" s="167" t="s">
        <v>9233</v>
      </c>
      <c r="AL1009" s="157" t="n">
        <f aca="false">IF(AND(ISNUMBER($S1009),$S1009&gt;0,ISNUMBER($K1009),ISNUMBER($J1009)),($K1009*$J1009)/$S1009,"")</f>
        <v>19400</v>
      </c>
    </row>
    <row r="1010" customFormat="false" ht="12.75" hidden="false" customHeight="true" outlineLevel="0" collapsed="false">
      <c r="A1010" s="441" t="n">
        <v>8</v>
      </c>
      <c r="B1010" s="157" t="n">
        <v>1002</v>
      </c>
      <c r="C1010" s="437" t="s">
        <v>8246</v>
      </c>
      <c r="D1010" s="157" t="s">
        <v>9234</v>
      </c>
      <c r="E1010" s="461" t="s">
        <v>2461</v>
      </c>
      <c r="F1010" s="157" t="s">
        <v>9235</v>
      </c>
      <c r="G1010" s="445" t="n">
        <v>44.1</v>
      </c>
      <c r="H1010" s="431" t="n">
        <v>9603</v>
      </c>
      <c r="I1010" s="457" t="n">
        <v>0</v>
      </c>
      <c r="J1010" s="458" t="n">
        <v>11360</v>
      </c>
      <c r="K1010" s="462" t="n">
        <v>6.64859154929578</v>
      </c>
      <c r="L1010" s="463" t="n">
        <v>0</v>
      </c>
      <c r="M1010" s="463" t="n">
        <v>0.0264802457366804</v>
      </c>
      <c r="N1010" s="431" t="n">
        <v>1976</v>
      </c>
      <c r="O1010" s="446" t="n">
        <v>370</v>
      </c>
      <c r="P1010" s="446" t="n">
        <v>1210</v>
      </c>
      <c r="Q1010" s="157" t="n">
        <v>17</v>
      </c>
      <c r="R1010" s="157" t="n">
        <v>7</v>
      </c>
      <c r="S1010" s="157" t="n">
        <v>1</v>
      </c>
      <c r="T1010" s="457" t="s">
        <v>7526</v>
      </c>
      <c r="U1010" s="457" t="n">
        <v>398</v>
      </c>
      <c r="V1010" s="458" t="n">
        <v>22110</v>
      </c>
      <c r="W1010" s="458" t="n">
        <v>22000</v>
      </c>
      <c r="X1010" s="464" t="s">
        <v>6675</v>
      </c>
      <c r="Y1010" s="458" t="n">
        <f aca="false">ROUND(J1010,-3)</f>
        <v>11000</v>
      </c>
      <c r="Z1010" s="457" t="s">
        <v>6638</v>
      </c>
      <c r="AA1010" s="157" t="n">
        <v>3</v>
      </c>
      <c r="AB1010" s="157" t="n">
        <v>3</v>
      </c>
      <c r="AC1010" s="431" t="s">
        <v>586</v>
      </c>
      <c r="AD1010" s="437" t="s">
        <v>9236</v>
      </c>
      <c r="AE1010" s="167"/>
      <c r="AF1010" s="167"/>
      <c r="AG1010" s="167"/>
      <c r="AH1010" s="167"/>
      <c r="AI1010" s="167"/>
      <c r="AJ1010" s="167"/>
      <c r="AK1010" s="167" t="s">
        <v>8475</v>
      </c>
      <c r="AL1010" s="157" t="n">
        <f aca="false">IF(AND(ISNUMBER($S1010),$S1010&gt;0,ISNUMBER($K1010),ISNUMBER($J1010)),($K1010*$J1010)/$S1010,"")</f>
        <v>75528.0000000001</v>
      </c>
    </row>
    <row r="1011" customFormat="false" ht="12.75" hidden="false" customHeight="true" outlineLevel="0" collapsed="false">
      <c r="A1011" s="441" t="n">
        <v>8</v>
      </c>
      <c r="B1011" s="157" t="n">
        <v>1003</v>
      </c>
      <c r="C1011" s="437" t="s">
        <v>8246</v>
      </c>
      <c r="D1011" s="157" t="s">
        <v>9237</v>
      </c>
      <c r="E1011" s="461" t="s">
        <v>2461</v>
      </c>
      <c r="F1011" s="157" t="s">
        <v>9238</v>
      </c>
      <c r="G1011" s="445" t="n">
        <v>43.1</v>
      </c>
      <c r="H1011" s="431" t="n">
        <v>9603</v>
      </c>
      <c r="I1011" s="457" t="n">
        <v>7</v>
      </c>
      <c r="J1011" s="458" t="n">
        <v>2700</v>
      </c>
      <c r="K1011" s="462" t="n">
        <v>8.88888888888889</v>
      </c>
      <c r="L1011" s="463" t="n">
        <v>0</v>
      </c>
      <c r="M1011" s="463" t="n">
        <v>0.375</v>
      </c>
      <c r="N1011" s="431" t="n">
        <v>1960</v>
      </c>
      <c r="O1011" s="446" t="n">
        <v>3332</v>
      </c>
      <c r="Q1011" s="157" t="n">
        <v>14</v>
      </c>
      <c r="R1011" s="157" t="n">
        <v>1</v>
      </c>
      <c r="S1011" s="157" t="n">
        <v>1</v>
      </c>
      <c r="T1011" s="457" t="s">
        <v>7529</v>
      </c>
      <c r="U1011" s="457" t="n">
        <v>401</v>
      </c>
      <c r="V1011" s="458" t="n">
        <v>24500</v>
      </c>
      <c r="W1011" s="458" t="n">
        <v>25000</v>
      </c>
      <c r="X1011" s="464" t="s">
        <v>7654</v>
      </c>
      <c r="Y1011" s="458" t="n">
        <f aca="false">ROUND(J1011,-3)</f>
        <v>3000</v>
      </c>
      <c r="Z1011" s="457" t="s">
        <v>6638</v>
      </c>
      <c r="AA1011" s="157" t="n">
        <v>3</v>
      </c>
      <c r="AB1011" s="157" t="n">
        <v>3</v>
      </c>
      <c r="AC1011" s="431" t="s">
        <v>586</v>
      </c>
      <c r="AD1011" s="437"/>
      <c r="AE1011" s="167"/>
      <c r="AF1011" s="167"/>
      <c r="AG1011" s="167"/>
      <c r="AH1011" s="167"/>
      <c r="AI1011" s="167"/>
      <c r="AJ1011" s="167"/>
      <c r="AK1011" s="167" t="s">
        <v>9239</v>
      </c>
      <c r="AL1011" s="157" t="n">
        <f aca="false">IF(AND(ISNUMBER($S1011),$S1011&gt;0,ISNUMBER($K1011),ISNUMBER($J1011)),($K1011*$J1011)/$S1011,"")</f>
        <v>24000</v>
      </c>
    </row>
    <row r="1012" customFormat="false" ht="12.75" hidden="false" customHeight="true" outlineLevel="0" collapsed="false">
      <c r="A1012" s="441" t="n">
        <v>8</v>
      </c>
      <c r="B1012" s="157" t="n">
        <v>1004</v>
      </c>
      <c r="C1012" s="437" t="s">
        <v>8246</v>
      </c>
      <c r="D1012" s="157" t="s">
        <v>9240</v>
      </c>
      <c r="E1012" s="461" t="s">
        <v>2461</v>
      </c>
      <c r="F1012" s="157" t="s">
        <v>9241</v>
      </c>
      <c r="G1012" s="445" t="n">
        <v>44.1</v>
      </c>
      <c r="H1012" s="431" t="n">
        <v>9603</v>
      </c>
      <c r="I1012" s="457" t="n">
        <v>0</v>
      </c>
      <c r="J1012" s="458" t="n">
        <v>8684</v>
      </c>
      <c r="K1012" s="462" t="n">
        <v>4.14555504375864</v>
      </c>
      <c r="L1012" s="463" t="n">
        <v>0</v>
      </c>
      <c r="M1012" s="463" t="n">
        <v>0.05</v>
      </c>
      <c r="N1012" s="431" t="n">
        <v>1971</v>
      </c>
      <c r="O1012" s="446" t="n">
        <v>937</v>
      </c>
      <c r="Q1012" s="157" t="n">
        <v>15</v>
      </c>
      <c r="R1012" s="157" t="n">
        <v>3</v>
      </c>
      <c r="S1012" s="157" t="n">
        <v>1</v>
      </c>
      <c r="T1012" s="457" t="s">
        <v>7529</v>
      </c>
      <c r="U1012" s="457" t="n">
        <v>398</v>
      </c>
      <c r="V1012" s="458" t="n">
        <v>24969</v>
      </c>
      <c r="W1012" s="458" t="n">
        <v>25000</v>
      </c>
      <c r="X1012" s="464" t="s">
        <v>7288</v>
      </c>
      <c r="Y1012" s="458" t="n">
        <f aca="false">ROUND(J1012,-3)</f>
        <v>9000</v>
      </c>
      <c r="Z1012" s="457" t="s">
        <v>6638</v>
      </c>
      <c r="AA1012" s="157" t="n">
        <v>3</v>
      </c>
      <c r="AB1012" s="157" t="n">
        <v>3</v>
      </c>
      <c r="AC1012" s="431" t="s">
        <v>586</v>
      </c>
      <c r="AD1012" s="437" t="s">
        <v>9242</v>
      </c>
      <c r="AE1012" s="167"/>
      <c r="AF1012" s="167"/>
      <c r="AG1012" s="167"/>
      <c r="AH1012" s="167"/>
      <c r="AI1012" s="167"/>
      <c r="AJ1012" s="167"/>
      <c r="AK1012" s="167" t="s">
        <v>8313</v>
      </c>
      <c r="AL1012" s="157" t="n">
        <f aca="false">IF(AND(ISNUMBER($S1012),$S1012&gt;0,ISNUMBER($K1012),ISNUMBER($J1012)),($K1012*$J1012)/$S1012,"")</f>
        <v>36000</v>
      </c>
    </row>
    <row r="1013" customFormat="false" ht="12.75" hidden="false" customHeight="true" outlineLevel="0" collapsed="false">
      <c r="A1013" s="441" t="n">
        <v>8</v>
      </c>
      <c r="B1013" s="157" t="n">
        <v>1005</v>
      </c>
      <c r="C1013" s="437" t="s">
        <v>8246</v>
      </c>
      <c r="D1013" s="157" t="s">
        <v>9243</v>
      </c>
      <c r="E1013" s="461" t="s">
        <v>2461</v>
      </c>
      <c r="F1013" s="157" t="s">
        <v>9244</v>
      </c>
      <c r="G1013" s="445" t="n">
        <v>44.1</v>
      </c>
      <c r="H1013" s="431" t="n">
        <v>9603</v>
      </c>
      <c r="I1013" s="457" t="n">
        <v>0</v>
      </c>
      <c r="J1013" s="458" t="n">
        <v>7241</v>
      </c>
      <c r="K1013" s="462" t="n">
        <v>6.62891865764397</v>
      </c>
      <c r="L1013" s="463" t="n">
        <v>0</v>
      </c>
      <c r="M1013" s="463" t="n">
        <v>0</v>
      </c>
      <c r="N1013" s="431" t="n">
        <v>1973</v>
      </c>
      <c r="P1013" s="446" t="n">
        <v>2537</v>
      </c>
      <c r="Q1013" s="157" t="n">
        <v>19</v>
      </c>
      <c r="R1013" s="157" t="n">
        <v>4</v>
      </c>
      <c r="S1013" s="157" t="n">
        <v>1</v>
      </c>
      <c r="T1013" s="457" t="s">
        <v>7529</v>
      </c>
      <c r="U1013" s="457" t="n">
        <v>398</v>
      </c>
      <c r="V1013" s="458" t="n">
        <v>20149</v>
      </c>
      <c r="W1013" s="458" t="n">
        <v>20000</v>
      </c>
      <c r="X1013" s="464" t="s">
        <v>6664</v>
      </c>
      <c r="Y1013" s="458" t="n">
        <f aca="false">ROUND(J1013,-3)</f>
        <v>7000</v>
      </c>
      <c r="Z1013" s="457" t="s">
        <v>6638</v>
      </c>
      <c r="AA1013" s="157" t="n">
        <v>3</v>
      </c>
      <c r="AB1013" s="157" t="n">
        <v>3</v>
      </c>
      <c r="AC1013" s="431" t="s">
        <v>586</v>
      </c>
      <c r="AD1013" s="437"/>
      <c r="AE1013" s="167"/>
      <c r="AF1013" s="167"/>
      <c r="AG1013" s="167"/>
      <c r="AH1013" s="167"/>
      <c r="AI1013" s="167"/>
      <c r="AJ1013" s="167"/>
      <c r="AK1013" s="167" t="s">
        <v>9245</v>
      </c>
      <c r="AL1013" s="157" t="n">
        <f aca="false">IF(AND(ISNUMBER($S1013),$S1013&gt;0,ISNUMBER($K1013),ISNUMBER($J1013)),($K1013*$J1013)/$S1013,"")</f>
        <v>48000</v>
      </c>
    </row>
    <row r="1014" customFormat="false" ht="12.75" hidden="false" customHeight="true" outlineLevel="0" collapsed="false">
      <c r="A1014" s="441" t="n">
        <v>8</v>
      </c>
      <c r="B1014" s="157" t="n">
        <v>1006</v>
      </c>
      <c r="C1014" s="437" t="s">
        <v>8246</v>
      </c>
      <c r="D1014" s="157" t="s">
        <v>7511</v>
      </c>
      <c r="E1014" s="461" t="s">
        <v>2461</v>
      </c>
      <c r="F1014" s="157" t="s">
        <v>7512</v>
      </c>
      <c r="G1014" s="445" t="n">
        <v>44.1</v>
      </c>
      <c r="H1014" s="431" t="n">
        <v>9603</v>
      </c>
      <c r="I1014" s="457" t="n">
        <v>0</v>
      </c>
      <c r="J1014" s="458" t="n">
        <v>12244</v>
      </c>
      <c r="K1014" s="462" t="n">
        <v>8.19176739627573</v>
      </c>
      <c r="L1014" s="463" t="n">
        <v>1</v>
      </c>
      <c r="M1014" s="463" t="n">
        <v>0.0299102691924227</v>
      </c>
      <c r="N1014" s="431" t="n">
        <v>1970</v>
      </c>
      <c r="O1014" s="446" t="n">
        <v>5891</v>
      </c>
      <c r="Q1014" s="157" t="n">
        <v>13</v>
      </c>
      <c r="R1014" s="157" t="n">
        <v>3</v>
      </c>
      <c r="S1014" s="157" t="n">
        <v>1</v>
      </c>
      <c r="T1014" s="457" t="s">
        <v>7529</v>
      </c>
      <c r="U1014" s="457" t="n">
        <v>398</v>
      </c>
      <c r="V1014" s="458" t="n">
        <v>43775</v>
      </c>
      <c r="W1014" s="458" t="n">
        <v>44000</v>
      </c>
      <c r="X1014" s="464" t="s">
        <v>7012</v>
      </c>
      <c r="Y1014" s="458" t="n">
        <f aca="false">ROUND(J1014,-3)</f>
        <v>12000</v>
      </c>
      <c r="Z1014" s="457" t="s">
        <v>6638</v>
      </c>
      <c r="AA1014" s="157" t="n">
        <v>3</v>
      </c>
      <c r="AB1014" s="157" t="n">
        <v>3</v>
      </c>
      <c r="AC1014" s="431" t="s">
        <v>586</v>
      </c>
      <c r="AD1014" s="437" t="s">
        <v>7513</v>
      </c>
      <c r="AE1014" s="167"/>
      <c r="AF1014" s="167"/>
      <c r="AG1014" s="167"/>
      <c r="AH1014" s="167"/>
      <c r="AI1014" s="167"/>
      <c r="AJ1014" s="167"/>
      <c r="AK1014" s="167" t="s">
        <v>8720</v>
      </c>
      <c r="AL1014" s="157" t="n">
        <f aca="false">IF(AND(ISNUMBER($S1014),$S1014&gt;0,ISNUMBER($K1014),ISNUMBER($J1014)),($K1014*$J1014)/$S1014,"")</f>
        <v>100300</v>
      </c>
    </row>
    <row r="1015" customFormat="false" ht="12.75" hidden="false" customHeight="true" outlineLevel="0" collapsed="false">
      <c r="A1015" s="441" t="n">
        <v>8</v>
      </c>
      <c r="B1015" s="157" t="n">
        <v>1007</v>
      </c>
      <c r="C1015" s="437" t="s">
        <v>8246</v>
      </c>
      <c r="D1015" s="157" t="s">
        <v>9246</v>
      </c>
      <c r="E1015" s="461" t="s">
        <v>2461</v>
      </c>
      <c r="F1015" s="157" t="s">
        <v>9247</v>
      </c>
      <c r="G1015" s="445" t="n">
        <v>44.1</v>
      </c>
      <c r="H1015" s="431" t="n">
        <v>9603</v>
      </c>
      <c r="I1015" s="457" t="n">
        <v>0</v>
      </c>
      <c r="J1015" s="458" t="n">
        <v>18069</v>
      </c>
      <c r="K1015" s="462" t="n">
        <v>6.30195362222591</v>
      </c>
      <c r="L1015" s="463" t="n">
        <v>0</v>
      </c>
      <c r="M1015" s="463" t="n">
        <v>0.0142091859137613</v>
      </c>
      <c r="N1015" s="431" t="n">
        <v>1978</v>
      </c>
      <c r="O1015" s="446" t="n">
        <v>1466</v>
      </c>
      <c r="P1015" s="446" t="n">
        <f aca="false">1523+3537+3651</f>
        <v>8711</v>
      </c>
      <c r="Q1015" s="157" t="n">
        <v>15</v>
      </c>
      <c r="R1015" s="157" t="n">
        <v>10</v>
      </c>
      <c r="S1015" s="157" t="n">
        <v>1</v>
      </c>
      <c r="T1015" s="457" t="s">
        <v>7529</v>
      </c>
      <c r="U1015" s="457" t="n">
        <v>398</v>
      </c>
      <c r="V1015" s="458" t="n">
        <v>36834</v>
      </c>
      <c r="W1015" s="458" t="n">
        <v>37000</v>
      </c>
      <c r="X1015" s="464" t="s">
        <v>7546</v>
      </c>
      <c r="Y1015" s="458" t="n">
        <f aca="false">ROUND(J1015,-3)</f>
        <v>18000</v>
      </c>
      <c r="Z1015" s="457" t="s">
        <v>6638</v>
      </c>
      <c r="AA1015" s="157" t="n">
        <v>3</v>
      </c>
      <c r="AB1015" s="157" t="n">
        <v>3</v>
      </c>
      <c r="AC1015" s="431" t="s">
        <v>586</v>
      </c>
      <c r="AD1015" s="437" t="s">
        <v>9248</v>
      </c>
      <c r="AE1015" s="167"/>
      <c r="AF1015" s="167"/>
      <c r="AG1015" s="167"/>
      <c r="AH1015" s="167"/>
      <c r="AI1015" s="167"/>
      <c r="AJ1015" s="167"/>
      <c r="AK1015" s="167" t="s">
        <v>8702</v>
      </c>
      <c r="AL1015" s="157" t="n">
        <f aca="false">IF(AND(ISNUMBER($S1015),$S1015&gt;0,ISNUMBER($K1015),ISNUMBER($J1015)),($K1015*$J1015)/$S1015,"")</f>
        <v>113870</v>
      </c>
    </row>
    <row r="1016" customFormat="false" ht="12.75" hidden="false" customHeight="true" outlineLevel="0" collapsed="false">
      <c r="A1016" s="441" t="n">
        <v>8</v>
      </c>
      <c r="B1016" s="157" t="n">
        <v>1008</v>
      </c>
      <c r="C1016" s="437" t="s">
        <v>8246</v>
      </c>
      <c r="D1016" s="157" t="s">
        <v>8237</v>
      </c>
      <c r="E1016" s="461" t="s">
        <v>2461</v>
      </c>
      <c r="F1016" s="157" t="s">
        <v>9249</v>
      </c>
      <c r="G1016" s="445" t="n">
        <v>44.1</v>
      </c>
      <c r="H1016" s="431" t="n">
        <v>9603</v>
      </c>
      <c r="I1016" s="457" t="n">
        <v>7</v>
      </c>
      <c r="J1016" s="458" t="n">
        <v>40296</v>
      </c>
      <c r="K1016" s="462" t="n">
        <v>4.52268215207465</v>
      </c>
      <c r="L1016" s="463" t="n">
        <v>0</v>
      </c>
      <c r="M1016" s="463" t="n">
        <v>0.00538832128002809</v>
      </c>
      <c r="N1016" s="431" t="n">
        <v>1963</v>
      </c>
      <c r="O1016" s="446" t="n">
        <v>11042</v>
      </c>
      <c r="P1016" s="446" t="n">
        <v>5161</v>
      </c>
      <c r="Q1016" s="157" t="n">
        <v>15</v>
      </c>
      <c r="R1016" s="157" t="n">
        <v>1</v>
      </c>
      <c r="S1016" s="157" t="n">
        <v>1</v>
      </c>
      <c r="T1016" s="457" t="s">
        <v>7529</v>
      </c>
      <c r="U1016" s="457" t="n">
        <v>398</v>
      </c>
      <c r="V1016" s="458" t="n">
        <v>66517</v>
      </c>
      <c r="W1016" s="458" t="n">
        <v>70000</v>
      </c>
      <c r="X1016" s="464" t="s">
        <v>6954</v>
      </c>
      <c r="Y1016" s="458" t="n">
        <f aca="false">ROUND(J1016,-3)</f>
        <v>40000</v>
      </c>
      <c r="Z1016" s="457" t="s">
        <v>6638</v>
      </c>
      <c r="AA1016" s="157" t="n">
        <v>3</v>
      </c>
      <c r="AB1016" s="157" t="n">
        <v>3</v>
      </c>
      <c r="AC1016" s="431" t="s">
        <v>586</v>
      </c>
      <c r="AD1016" s="437" t="s">
        <v>8239</v>
      </c>
      <c r="AE1016" s="167"/>
      <c r="AF1016" s="167"/>
      <c r="AG1016" s="167"/>
      <c r="AH1016" s="167"/>
      <c r="AI1016" s="167"/>
      <c r="AJ1016" s="167"/>
      <c r="AK1016" s="167" t="s">
        <v>8462</v>
      </c>
      <c r="AL1016" s="157" t="n">
        <f aca="false">IF(AND(ISNUMBER($S1016),$S1016&gt;0,ISNUMBER($K1016),ISNUMBER($J1016)),($K1016*$J1016)/$S1016,"")</f>
        <v>182246</v>
      </c>
    </row>
    <row r="1017" customFormat="false" ht="12.75" hidden="false" customHeight="true" outlineLevel="0" collapsed="false">
      <c r="A1017" s="441" t="n">
        <v>8</v>
      </c>
      <c r="B1017" s="157" t="n">
        <v>1009</v>
      </c>
      <c r="C1017" s="437" t="s">
        <v>8246</v>
      </c>
      <c r="D1017" s="157" t="s">
        <v>7514</v>
      </c>
      <c r="E1017" s="461" t="s">
        <v>2461</v>
      </c>
      <c r="F1017" s="157" t="s">
        <v>7515</v>
      </c>
      <c r="G1017" s="445" t="n">
        <v>44.2</v>
      </c>
      <c r="H1017" s="431" t="n">
        <v>9603</v>
      </c>
      <c r="I1017" s="457" t="n">
        <v>0</v>
      </c>
      <c r="J1017" s="458" t="n">
        <v>1800</v>
      </c>
      <c r="K1017" s="462" t="n">
        <v>7.93666666666667</v>
      </c>
      <c r="L1017" s="463" t="n">
        <v>0</v>
      </c>
      <c r="M1017" s="463" t="n">
        <v>0.159666806663867</v>
      </c>
      <c r="N1017" s="431" t="n">
        <v>1957</v>
      </c>
      <c r="O1017" s="446" t="n">
        <v>1537</v>
      </c>
      <c r="Q1017" s="157" t="n">
        <v>10</v>
      </c>
      <c r="R1017" s="157" t="n">
        <v>1</v>
      </c>
      <c r="S1017" s="157" t="n">
        <v>1</v>
      </c>
      <c r="T1017" s="457" t="s">
        <v>7529</v>
      </c>
      <c r="U1017" s="457" t="n">
        <v>398</v>
      </c>
      <c r="V1017" s="458" t="n">
        <v>16345</v>
      </c>
      <c r="W1017" s="458" t="n">
        <v>16000</v>
      </c>
      <c r="X1017" s="464" t="s">
        <v>7065</v>
      </c>
      <c r="Y1017" s="458" t="n">
        <f aca="false">ROUND(J1017,-2)</f>
        <v>1800</v>
      </c>
      <c r="Z1017" s="457" t="s">
        <v>6638</v>
      </c>
      <c r="AA1017" s="157" t="n">
        <v>3</v>
      </c>
      <c r="AB1017" s="157" t="n">
        <v>3</v>
      </c>
      <c r="AC1017" s="431" t="s">
        <v>586</v>
      </c>
      <c r="AD1017" s="437" t="s">
        <v>7516</v>
      </c>
      <c r="AE1017" s="167"/>
      <c r="AF1017" s="167"/>
      <c r="AG1017" s="167"/>
      <c r="AH1017" s="167"/>
      <c r="AI1017" s="167"/>
      <c r="AJ1017" s="167"/>
      <c r="AK1017" s="167" t="s">
        <v>8428</v>
      </c>
      <c r="AL1017" s="157" t="n">
        <f aca="false">IF(AND(ISNUMBER($S1017),$S1017&gt;0,ISNUMBER($K1017),ISNUMBER($J1017)),($K1017*$J1017)/$S1017,"")</f>
        <v>14286</v>
      </c>
    </row>
    <row r="1018" customFormat="false" ht="12.75" hidden="false" customHeight="true" outlineLevel="0" collapsed="false">
      <c r="A1018" s="441" t="n">
        <v>8</v>
      </c>
      <c r="B1018" s="157" t="n">
        <v>1010</v>
      </c>
      <c r="C1018" s="437" t="s">
        <v>8246</v>
      </c>
      <c r="D1018" s="157" t="s">
        <v>7517</v>
      </c>
      <c r="E1018" s="461" t="s">
        <v>2461</v>
      </c>
      <c r="F1018" s="157" t="s">
        <v>7518</v>
      </c>
      <c r="G1018" s="445" t="n">
        <v>44.1</v>
      </c>
      <c r="H1018" s="431" t="n">
        <v>9603</v>
      </c>
      <c r="I1018" s="457" t="n">
        <v>0</v>
      </c>
      <c r="J1018" s="458" t="n">
        <v>7684</v>
      </c>
      <c r="K1018" s="462" t="n">
        <v>7.14354502863092</v>
      </c>
      <c r="L1018" s="463" t="n">
        <v>0</v>
      </c>
      <c r="M1018" s="463" t="n">
        <v>0.164926855039988</v>
      </c>
      <c r="N1018" s="431" t="n">
        <v>1970</v>
      </c>
      <c r="O1018" s="446" t="n">
        <v>1211</v>
      </c>
      <c r="P1018" s="446" t="n">
        <f aca="false">971+1529+484</f>
        <v>2984</v>
      </c>
      <c r="Q1018" s="157" t="n">
        <v>14</v>
      </c>
      <c r="R1018" s="157" t="n">
        <v>1</v>
      </c>
      <c r="S1018" s="157" t="n">
        <v>2</v>
      </c>
      <c r="T1018" s="457" t="s">
        <v>7529</v>
      </c>
      <c r="U1018" s="457" t="n">
        <v>398</v>
      </c>
      <c r="V1018" s="458" t="n">
        <v>39818</v>
      </c>
      <c r="W1018" s="458" t="n">
        <v>40000</v>
      </c>
      <c r="X1018" s="464" t="s">
        <v>7546</v>
      </c>
      <c r="Y1018" s="458" t="n">
        <f aca="false">ROUND(J1018,-3)</f>
        <v>8000</v>
      </c>
      <c r="Z1018" s="457" t="s">
        <v>6638</v>
      </c>
      <c r="AA1018" s="157" t="n">
        <v>3</v>
      </c>
      <c r="AB1018" s="157" t="n">
        <v>3</v>
      </c>
      <c r="AC1018" s="431" t="s">
        <v>586</v>
      </c>
      <c r="AD1018" s="437" t="s">
        <v>7519</v>
      </c>
      <c r="AE1018" s="167"/>
      <c r="AF1018" s="167"/>
      <c r="AG1018" s="167"/>
      <c r="AH1018" s="167"/>
      <c r="AI1018" s="167"/>
      <c r="AJ1018" s="167"/>
      <c r="AK1018" s="167" t="s">
        <v>9250</v>
      </c>
      <c r="AL1018" s="157" t="n">
        <f aca="false">IF(AND(ISNUMBER($S1018),$S1018&gt;0,ISNUMBER($K1018),ISNUMBER($J1018)),($K1018*$J1018)/$S1018,"")</f>
        <v>27445.5</v>
      </c>
    </row>
    <row r="1019" customFormat="false" ht="12.75" hidden="false" customHeight="true" outlineLevel="0" collapsed="false">
      <c r="A1019" s="441" t="n">
        <v>8</v>
      </c>
      <c r="B1019" s="157" t="n">
        <v>1011</v>
      </c>
      <c r="C1019" s="437" t="s">
        <v>8246</v>
      </c>
      <c r="D1019" s="157" t="s">
        <v>9251</v>
      </c>
      <c r="E1019" s="461" t="s">
        <v>2461</v>
      </c>
      <c r="F1019" s="157" t="s">
        <v>9252</v>
      </c>
      <c r="G1019" s="445" t="n">
        <v>44.2</v>
      </c>
      <c r="H1019" s="431" t="n">
        <v>9603</v>
      </c>
      <c r="I1019" s="457" t="n">
        <v>0</v>
      </c>
      <c r="J1019" s="458" t="n">
        <v>11091</v>
      </c>
      <c r="K1019" s="462" t="n">
        <v>7.66315030204671</v>
      </c>
      <c r="L1019" s="463" t="n">
        <v>0</v>
      </c>
      <c r="M1019" s="463" t="n">
        <v>0</v>
      </c>
      <c r="N1019" s="431" t="n">
        <v>1960</v>
      </c>
      <c r="O1019" s="446" t="n">
        <v>6067</v>
      </c>
      <c r="Q1019" s="157" t="n">
        <v>12</v>
      </c>
      <c r="R1019" s="157" t="n">
        <v>1</v>
      </c>
      <c r="S1019" s="157" t="n">
        <v>1</v>
      </c>
      <c r="T1019" s="457" t="s">
        <v>7529</v>
      </c>
      <c r="U1019" s="457" t="n">
        <v>398</v>
      </c>
      <c r="V1019" s="458" t="n">
        <v>26900</v>
      </c>
      <c r="W1019" s="458" t="n">
        <v>27000</v>
      </c>
      <c r="X1019" s="464" t="s">
        <v>6650</v>
      </c>
      <c r="Y1019" s="458" t="n">
        <f aca="false">ROUND(J1019,-3)</f>
        <v>11000</v>
      </c>
      <c r="Z1019" s="457" t="s">
        <v>6638</v>
      </c>
      <c r="AA1019" s="157" t="n">
        <v>3</v>
      </c>
      <c r="AB1019" s="157" t="n">
        <v>3</v>
      </c>
      <c r="AC1019" s="431" t="s">
        <v>586</v>
      </c>
      <c r="AD1019" s="437" t="s">
        <v>9253</v>
      </c>
      <c r="AE1019" s="167"/>
      <c r="AF1019" s="167"/>
      <c r="AG1019" s="167"/>
      <c r="AH1019" s="167"/>
      <c r="AI1019" s="167"/>
      <c r="AJ1019" s="167"/>
      <c r="AK1019" s="167" t="s">
        <v>8257</v>
      </c>
      <c r="AL1019" s="157" t="n">
        <f aca="false">IF(AND(ISNUMBER($S1019),$S1019&gt;0,ISNUMBER($K1019),ISNUMBER($J1019)),($K1019*$J1019)/$S1019,"")</f>
        <v>84992.0000000001</v>
      </c>
    </row>
  </sheetData>
  <autoFilter ref="A1:AK1019"/>
  <conditionalFormatting sqref="A2:AK1019">
    <cfRule type="expression" priority="2" aboveAverage="0" equalAverage="0" bottom="0" percent="0" rank="0" text="" dxfId="9">
      <formula>MOD(ROW(),2)=0</formula>
    </cfRule>
  </conditionalFormatting>
  <printOptions headings="false" gridLines="false" gridLinesSet="true" horizontalCentered="false" verticalCentered="false"/>
  <pageMargins left="0" right="0" top="1" bottom="1" header="0.511811023622047" footer="0.511811023622047"/>
  <pageSetup paperSize="5" scale="100" fitToWidth="2"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A1:M15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B63" activeCellId="0" sqref="B63"/>
    </sheetView>
  </sheetViews>
  <sheetFormatPr defaultColWidth="10.29296875" defaultRowHeight="12" zeroHeight="false" outlineLevelRow="0" outlineLevelCol="0"/>
  <cols>
    <col collapsed="false" customWidth="true" hidden="false" outlineLevel="0" max="1" min="1" style="128" width="6.86"/>
    <col collapsed="false" customWidth="true" hidden="false" outlineLevel="0" max="2" min="2" style="1" width="31.86"/>
    <col collapsed="false" customWidth="true" hidden="false" outlineLevel="0" max="3" min="3" style="1" width="12.86"/>
    <col collapsed="false" customWidth="true" hidden="false" outlineLevel="0" max="4" min="4" style="1" width="8"/>
    <col collapsed="false" customWidth="true" hidden="false" outlineLevel="0" max="5" min="5" style="1" width="17.14"/>
    <col collapsed="false" customWidth="true" hidden="false" outlineLevel="0" max="6" min="6" style="1" width="6.14"/>
    <col collapsed="false" customWidth="true" hidden="false" outlineLevel="0" max="8" min="7" style="1" width="19.43"/>
    <col collapsed="false" customWidth="true" hidden="false" outlineLevel="0" max="9" min="9" style="1" width="6.14"/>
    <col collapsed="false" customWidth="true" hidden="false" outlineLevel="0" max="10" min="10" style="1" width="22"/>
    <col collapsed="false" customWidth="true" hidden="false" outlineLevel="0" max="11" min="11" style="1" width="19.14"/>
    <col collapsed="false" customWidth="true" hidden="false" outlineLevel="0" max="12" min="12" style="1" width="8"/>
  </cols>
  <sheetData>
    <row r="1" customFormat="false" ht="12.75" hidden="false" customHeight="true" outlineLevel="0" collapsed="false">
      <c r="A1" s="128" t="n">
        <v>0</v>
      </c>
      <c r="B1" s="327" t="s">
        <v>1966</v>
      </c>
      <c r="C1" s="327"/>
      <c r="F1" s="157"/>
      <c r="G1" s="469" t="s">
        <v>2203</v>
      </c>
      <c r="H1" s="469" t="s">
        <v>2203</v>
      </c>
      <c r="J1" s="470"/>
      <c r="K1" s="470"/>
      <c r="L1" s="471" t="b">
        <f aca="false">FALSE()</f>
        <v>0</v>
      </c>
      <c r="M1" s="472"/>
    </row>
    <row r="2" customFormat="false" ht="12.75" hidden="false" customHeight="true" outlineLevel="0" collapsed="false">
      <c r="A2" s="128" t="n">
        <v>1</v>
      </c>
      <c r="B2" s="327" t="s">
        <v>9254</v>
      </c>
      <c r="C2" s="473"/>
      <c r="F2" s="437"/>
      <c r="G2" s="469" t="s">
        <v>4743</v>
      </c>
      <c r="H2" s="469" t="s">
        <v>4743</v>
      </c>
      <c r="J2" s="474"/>
      <c r="K2" s="475"/>
      <c r="L2" s="471" t="b">
        <f aca="false">FALSE()</f>
        <v>0</v>
      </c>
    </row>
    <row r="3" customFormat="false" ht="12.75" hidden="false" customHeight="true" outlineLevel="0" collapsed="false">
      <c r="A3" s="128" t="n">
        <v>2</v>
      </c>
      <c r="B3" s="327" t="s">
        <v>555</v>
      </c>
      <c r="C3" s="473"/>
      <c r="F3" s="157"/>
      <c r="G3" s="469" t="s">
        <v>4516</v>
      </c>
      <c r="H3" s="469" t="s">
        <v>4516</v>
      </c>
      <c r="J3" s="470"/>
      <c r="K3" s="470"/>
      <c r="L3" s="471" t="b">
        <f aca="false">FALSE()</f>
        <v>0</v>
      </c>
    </row>
    <row r="4" customFormat="false" ht="12.75" hidden="false" customHeight="true" outlineLevel="0" collapsed="false">
      <c r="A4" s="128" t="n">
        <v>3</v>
      </c>
      <c r="B4" s="327" t="s">
        <v>73</v>
      </c>
      <c r="F4" s="437"/>
      <c r="G4" s="469" t="s">
        <v>1929</v>
      </c>
      <c r="H4" s="469" t="s">
        <v>1929</v>
      </c>
      <c r="J4" s="474"/>
      <c r="K4" s="475"/>
      <c r="L4" s="471" t="b">
        <f aca="false">FALSE()</f>
        <v>0</v>
      </c>
    </row>
    <row r="5" customFormat="false" ht="12.75" hidden="false" customHeight="true" outlineLevel="0" collapsed="false">
      <c r="A5" s="128" t="n">
        <v>4</v>
      </c>
      <c r="B5" s="327" t="s">
        <v>483</v>
      </c>
      <c r="D5" s="327"/>
      <c r="E5" s="437"/>
      <c r="F5" s="437"/>
      <c r="G5" s="469" t="s">
        <v>4420</v>
      </c>
      <c r="H5" s="469" t="s">
        <v>4420</v>
      </c>
      <c r="J5" s="470"/>
      <c r="K5" s="470"/>
      <c r="L5" s="471" t="b">
        <f aca="false">FALSE()</f>
        <v>0</v>
      </c>
    </row>
    <row r="6" customFormat="false" ht="12.75" hidden="false" customHeight="true" outlineLevel="0" collapsed="false">
      <c r="D6" s="327"/>
      <c r="E6" s="157"/>
      <c r="F6" s="157"/>
      <c r="G6" s="469" t="s">
        <v>4440</v>
      </c>
      <c r="H6" s="469" t="s">
        <v>4440</v>
      </c>
      <c r="J6" s="474"/>
      <c r="K6" s="475"/>
      <c r="L6" s="471" t="b">
        <f aca="false">FALSE()</f>
        <v>0</v>
      </c>
    </row>
    <row r="7" customFormat="false" ht="12.75" hidden="false" customHeight="true" outlineLevel="0" collapsed="false">
      <c r="D7" s="327"/>
      <c r="E7" s="476"/>
      <c r="F7" s="157"/>
      <c r="G7" s="469" t="s">
        <v>4325</v>
      </c>
      <c r="H7" s="469" t="s">
        <v>4325</v>
      </c>
      <c r="J7" s="474"/>
      <c r="K7" s="475"/>
      <c r="L7" s="471" t="b">
        <f aca="false">FALSE()</f>
        <v>0</v>
      </c>
    </row>
    <row r="8" customFormat="false" ht="12.75" hidden="false" customHeight="true" outlineLevel="0" collapsed="false">
      <c r="D8" s="327"/>
      <c r="E8" s="476"/>
      <c r="F8" s="157"/>
      <c r="G8" s="469" t="s">
        <v>9255</v>
      </c>
      <c r="H8" s="469" t="s">
        <v>9255</v>
      </c>
      <c r="J8" s="474"/>
      <c r="K8" s="475"/>
      <c r="L8" s="471" t="b">
        <f aca="false">FALSE()</f>
        <v>0</v>
      </c>
    </row>
    <row r="9" customFormat="false" ht="12.75" hidden="false" customHeight="true" outlineLevel="0" collapsed="false">
      <c r="D9" s="475" t="n">
        <v>10</v>
      </c>
      <c r="E9" s="475" t="s">
        <v>1966</v>
      </c>
      <c r="F9" s="157"/>
      <c r="G9" s="469" t="s">
        <v>9256</v>
      </c>
      <c r="H9" s="469" t="s">
        <v>9256</v>
      </c>
      <c r="J9" s="474"/>
      <c r="K9" s="475"/>
      <c r="L9" s="471" t="b">
        <f aca="false">FALSE()</f>
        <v>0</v>
      </c>
    </row>
    <row r="10" customFormat="false" ht="12.75" hidden="false" customHeight="true" outlineLevel="0" collapsed="false">
      <c r="C10" s="477"/>
      <c r="D10" s="475" t="n">
        <v>11</v>
      </c>
      <c r="E10" s="475" t="s">
        <v>9257</v>
      </c>
      <c r="F10" s="157"/>
      <c r="G10" s="469" t="s">
        <v>4368</v>
      </c>
      <c r="H10" s="469" t="s">
        <v>4368</v>
      </c>
      <c r="J10" s="474"/>
      <c r="K10" s="475"/>
      <c r="L10" s="471" t="b">
        <f aca="false">FALSE()</f>
        <v>0</v>
      </c>
    </row>
    <row r="11" customFormat="false" ht="12.75" hidden="false" customHeight="true" outlineLevel="0" collapsed="false">
      <c r="B11" s="478"/>
      <c r="D11" s="475" t="n">
        <v>12</v>
      </c>
      <c r="E11" s="475" t="s">
        <v>9257</v>
      </c>
      <c r="F11" s="437"/>
      <c r="G11" s="469" t="s">
        <v>4407</v>
      </c>
      <c r="H11" s="469" t="s">
        <v>4407</v>
      </c>
      <c r="J11" s="474"/>
      <c r="K11" s="475"/>
      <c r="L11" s="471" t="b">
        <f aca="false">FALSE()</f>
        <v>0</v>
      </c>
    </row>
    <row r="12" customFormat="false" ht="12.75" hidden="false" customHeight="true" outlineLevel="0" collapsed="false">
      <c r="A12" s="128" t="n">
        <v>1</v>
      </c>
      <c r="B12" s="327" t="s">
        <v>9254</v>
      </c>
      <c r="D12" s="475" t="n">
        <v>13</v>
      </c>
      <c r="E12" s="475" t="s">
        <v>9254</v>
      </c>
      <c r="F12" s="437"/>
      <c r="G12" s="469" t="s">
        <v>9258</v>
      </c>
      <c r="H12" s="469" t="s">
        <v>9258</v>
      </c>
      <c r="J12" s="474"/>
      <c r="K12" s="475"/>
      <c r="L12" s="471" t="b">
        <f aca="false">FALSE()</f>
        <v>0</v>
      </c>
    </row>
    <row r="13" customFormat="false" ht="12.75" hidden="false" customHeight="true" outlineLevel="0" collapsed="false">
      <c r="A13" s="128" t="n">
        <v>2</v>
      </c>
      <c r="B13" s="327" t="s">
        <v>555</v>
      </c>
      <c r="D13" s="475" t="n">
        <v>14</v>
      </c>
      <c r="E13" s="474" t="s">
        <v>9254</v>
      </c>
      <c r="F13" s="437"/>
      <c r="G13" s="469" t="s">
        <v>9259</v>
      </c>
      <c r="H13" s="469" t="s">
        <v>9259</v>
      </c>
      <c r="J13" s="474"/>
      <c r="K13" s="475"/>
      <c r="L13" s="471" t="b">
        <f aca="false">FALSE()</f>
        <v>0</v>
      </c>
    </row>
    <row r="14" customFormat="false" ht="12.75" hidden="false" customHeight="true" outlineLevel="0" collapsed="false">
      <c r="A14" s="128" t="n">
        <v>3</v>
      </c>
      <c r="B14" s="327" t="s">
        <v>73</v>
      </c>
      <c r="D14" s="475" t="n">
        <v>20</v>
      </c>
      <c r="E14" s="475" t="s">
        <v>9254</v>
      </c>
      <c r="F14" s="437"/>
      <c r="G14" s="469" t="s">
        <v>9260</v>
      </c>
      <c r="H14" s="469" t="s">
        <v>9260</v>
      </c>
      <c r="J14" s="470"/>
      <c r="K14" s="470"/>
      <c r="L14" s="471" t="b">
        <f aca="false">FALSE()</f>
        <v>0</v>
      </c>
    </row>
    <row r="15" customFormat="false" ht="12.75" hidden="false" customHeight="true" outlineLevel="0" collapsed="false">
      <c r="A15" s="128" t="n">
        <v>4</v>
      </c>
      <c r="B15" s="327" t="s">
        <v>483</v>
      </c>
      <c r="C15" s="477"/>
      <c r="D15" s="475" t="n">
        <v>21</v>
      </c>
      <c r="E15" s="475" t="s">
        <v>9254</v>
      </c>
      <c r="F15" s="437"/>
      <c r="G15" s="469"/>
      <c r="H15" s="469"/>
      <c r="J15" s="474"/>
      <c r="K15" s="475"/>
      <c r="L15" s="471" t="b">
        <f aca="false">FALSE()</f>
        <v>0</v>
      </c>
    </row>
    <row r="16" customFormat="false" ht="12.75" hidden="false" customHeight="true" outlineLevel="0" collapsed="false">
      <c r="A16" s="128" t="n">
        <v>5</v>
      </c>
      <c r="B16" s="327" t="s">
        <v>9261</v>
      </c>
      <c r="C16" s="477"/>
      <c r="D16" s="475" t="n">
        <v>22</v>
      </c>
      <c r="E16" s="474" t="s">
        <v>555</v>
      </c>
      <c r="F16" s="437"/>
      <c r="G16" s="469"/>
      <c r="H16" s="469"/>
      <c r="J16" s="474"/>
      <c r="K16" s="475"/>
      <c r="L16" s="471" t="b">
        <f aca="false">FALSE()</f>
        <v>0</v>
      </c>
    </row>
    <row r="17" customFormat="false" ht="12.75" hidden="false" customHeight="true" outlineLevel="0" collapsed="false">
      <c r="C17" s="477"/>
      <c r="D17" s="475" t="n">
        <v>23</v>
      </c>
      <c r="E17" s="475" t="s">
        <v>9262</v>
      </c>
      <c r="F17" s="437"/>
      <c r="G17" s="469"/>
      <c r="H17" s="469"/>
      <c r="J17" s="474"/>
      <c r="K17" s="475"/>
      <c r="L17" s="471" t="b">
        <f aca="false">FALSE()</f>
        <v>0</v>
      </c>
    </row>
    <row r="18" customFormat="false" ht="12.75" hidden="false" customHeight="true" outlineLevel="0" collapsed="false">
      <c r="C18" s="477"/>
      <c r="D18" s="475" t="n">
        <v>24</v>
      </c>
      <c r="E18" s="475" t="s">
        <v>9262</v>
      </c>
      <c r="F18" s="437"/>
      <c r="G18" s="469"/>
      <c r="H18" s="469"/>
      <c r="J18" s="327"/>
      <c r="K18" s="327"/>
      <c r="L18" s="471" t="b">
        <f aca="false">FALSE()</f>
        <v>0</v>
      </c>
    </row>
    <row r="19" customFormat="false" ht="12.75" hidden="false" customHeight="true" outlineLevel="0" collapsed="false">
      <c r="A19" s="479" t="n">
        <v>1</v>
      </c>
      <c r="B19" s="480" t="s">
        <v>1367</v>
      </c>
      <c r="C19" s="477"/>
      <c r="D19" s="475" t="n">
        <v>30</v>
      </c>
      <c r="E19" s="475" t="s">
        <v>9254</v>
      </c>
      <c r="F19" s="437"/>
      <c r="G19" s="469"/>
      <c r="H19" s="469"/>
      <c r="J19" s="327"/>
      <c r="K19" s="327"/>
      <c r="L19" s="471" t="b">
        <f aca="false">FALSE()</f>
        <v>0</v>
      </c>
    </row>
    <row r="20" customFormat="false" ht="12" hidden="false" customHeight="true" outlineLevel="0" collapsed="false">
      <c r="A20" s="479" t="n">
        <v>99</v>
      </c>
      <c r="B20" s="480" t="s">
        <v>1347</v>
      </c>
      <c r="C20" s="477"/>
      <c r="D20" s="475" t="n">
        <v>31</v>
      </c>
      <c r="E20" s="475" t="s">
        <v>555</v>
      </c>
      <c r="F20" s="481"/>
      <c r="G20" s="469"/>
      <c r="H20" s="469"/>
      <c r="J20" s="474"/>
      <c r="K20" s="475"/>
      <c r="L20" s="471" t="b">
        <f aca="false">FALSE()</f>
        <v>0</v>
      </c>
    </row>
    <row r="21" customFormat="false" ht="12" hidden="false" customHeight="true" outlineLevel="0" collapsed="false">
      <c r="A21" s="479" t="n">
        <v>100</v>
      </c>
      <c r="B21" s="480" t="s">
        <v>9263</v>
      </c>
      <c r="C21" s="477"/>
      <c r="D21" s="475" t="n">
        <v>32</v>
      </c>
      <c r="E21" s="475" t="s">
        <v>9264</v>
      </c>
      <c r="F21" s="481"/>
      <c r="G21" s="469"/>
      <c r="H21" s="469"/>
      <c r="J21" s="474"/>
      <c r="K21" s="475"/>
      <c r="L21" s="471" t="b">
        <f aca="false">FALSE()</f>
        <v>0</v>
      </c>
    </row>
    <row r="22" customFormat="false" ht="12" hidden="false" customHeight="true" outlineLevel="0" collapsed="false">
      <c r="A22" s="479" t="n">
        <v>118</v>
      </c>
      <c r="B22" s="480" t="s">
        <v>1360</v>
      </c>
      <c r="C22" s="477"/>
      <c r="D22" s="475" t="n">
        <v>33</v>
      </c>
      <c r="E22" s="475" t="s">
        <v>279</v>
      </c>
      <c r="F22" s="481"/>
      <c r="G22" s="469"/>
      <c r="H22" s="469"/>
      <c r="J22" s="474"/>
      <c r="K22" s="474"/>
      <c r="L22" s="471" t="b">
        <f aca="false">FALSE()</f>
        <v>0</v>
      </c>
    </row>
    <row r="23" customFormat="false" ht="12" hidden="false" customHeight="true" outlineLevel="0" collapsed="false">
      <c r="A23" s="479" t="n">
        <v>140</v>
      </c>
      <c r="B23" s="480" t="s">
        <v>1411</v>
      </c>
      <c r="C23" s="477"/>
      <c r="D23" s="475" t="n">
        <v>34</v>
      </c>
      <c r="E23" s="475" t="s">
        <v>279</v>
      </c>
      <c r="G23" s="469"/>
      <c r="H23" s="469"/>
      <c r="J23" s="474"/>
      <c r="K23" s="475"/>
      <c r="L23" s="471" t="b">
        <f aca="false">FALSE()</f>
        <v>0</v>
      </c>
    </row>
    <row r="24" customFormat="false" ht="12" hidden="false" customHeight="true" outlineLevel="0" collapsed="false">
      <c r="A24" s="479" t="n">
        <v>186</v>
      </c>
      <c r="B24" s="480" t="s">
        <v>9265</v>
      </c>
      <c r="C24" s="477"/>
      <c r="D24" s="475" t="n">
        <v>40</v>
      </c>
      <c r="E24" s="475" t="s">
        <v>279</v>
      </c>
      <c r="G24" s="469"/>
      <c r="H24" s="469"/>
      <c r="J24" s="474"/>
      <c r="K24" s="475"/>
      <c r="L24" s="471" t="b">
        <f aca="false">FALSE()</f>
        <v>0</v>
      </c>
    </row>
    <row r="25" customFormat="false" ht="12" hidden="false" customHeight="true" outlineLevel="0" collapsed="false">
      <c r="A25" s="479" t="n">
        <v>209</v>
      </c>
      <c r="B25" s="480" t="s">
        <v>1361</v>
      </c>
      <c r="C25" s="477"/>
      <c r="D25" s="475" t="n">
        <v>41</v>
      </c>
      <c r="E25" s="475" t="s">
        <v>279</v>
      </c>
      <c r="G25" s="469"/>
      <c r="H25" s="482"/>
      <c r="J25" s="474"/>
      <c r="K25" s="475"/>
      <c r="L25" s="471" t="b">
        <f aca="false">FALSE()</f>
        <v>0</v>
      </c>
    </row>
    <row r="26" customFormat="false" ht="12" hidden="false" customHeight="true" outlineLevel="0" collapsed="false">
      <c r="A26" s="479" t="n">
        <v>210</v>
      </c>
      <c r="B26" s="480" t="s">
        <v>9266</v>
      </c>
      <c r="C26" s="477"/>
      <c r="D26" s="475" t="n">
        <v>42</v>
      </c>
      <c r="E26" s="474" t="s">
        <v>9264</v>
      </c>
      <c r="G26" s="469"/>
      <c r="H26" s="469"/>
      <c r="J26" s="474"/>
      <c r="K26" s="474"/>
      <c r="L26" s="471" t="b">
        <f aca="false">FALSE()</f>
        <v>0</v>
      </c>
    </row>
    <row r="27" customFormat="false" ht="12" hidden="false" customHeight="true" outlineLevel="0" collapsed="false">
      <c r="A27" s="479" t="n">
        <v>213</v>
      </c>
      <c r="B27" s="483" t="s">
        <v>9267</v>
      </c>
      <c r="C27" s="477"/>
      <c r="D27" s="475" t="n">
        <v>43</v>
      </c>
      <c r="E27" s="475" t="s">
        <v>483</v>
      </c>
      <c r="G27" s="469"/>
      <c r="H27" s="469"/>
      <c r="J27" s="470"/>
      <c r="K27" s="470"/>
      <c r="L27" s="471" t="b">
        <f aca="false">FALSE()</f>
        <v>0</v>
      </c>
    </row>
    <row r="28" customFormat="false" ht="12" hidden="false" customHeight="true" outlineLevel="0" collapsed="false">
      <c r="A28" s="479" t="n">
        <v>304</v>
      </c>
      <c r="B28" s="483" t="s">
        <v>1334</v>
      </c>
      <c r="C28" s="477"/>
      <c r="D28" s="475" t="n">
        <v>44</v>
      </c>
      <c r="E28" s="475" t="s">
        <v>483</v>
      </c>
      <c r="G28" s="469"/>
      <c r="H28" s="482"/>
      <c r="J28" s="474"/>
      <c r="K28" s="475"/>
      <c r="L28" s="471" t="b">
        <f aca="false">FALSE()</f>
        <v>0</v>
      </c>
    </row>
    <row r="29" customFormat="false" ht="12" hidden="false" customHeight="true" outlineLevel="0" collapsed="false">
      <c r="A29" s="479" t="n">
        <v>306</v>
      </c>
      <c r="B29" s="483" t="s">
        <v>1336</v>
      </c>
      <c r="C29" s="477"/>
      <c r="D29" s="475" t="n">
        <v>50</v>
      </c>
      <c r="E29" s="474" t="s">
        <v>9268</v>
      </c>
      <c r="G29" s="469"/>
      <c r="H29" s="469"/>
      <c r="J29" s="474"/>
      <c r="K29" s="474"/>
      <c r="L29" s="471" t="b">
        <f aca="false">FALSE()</f>
        <v>0</v>
      </c>
    </row>
    <row r="30" customFormat="false" ht="12" hidden="false" customHeight="true" outlineLevel="0" collapsed="false">
      <c r="A30" s="479" t="n">
        <v>311</v>
      </c>
      <c r="B30" s="483" t="s">
        <v>1339</v>
      </c>
      <c r="C30" s="477"/>
      <c r="D30" s="475" t="n">
        <v>51</v>
      </c>
      <c r="E30" s="474" t="s">
        <v>9269</v>
      </c>
      <c r="G30" s="469"/>
      <c r="H30" s="469"/>
      <c r="J30" s="474"/>
      <c r="K30" s="475"/>
      <c r="L30" s="471" t="b">
        <f aca="false">FALSE()</f>
        <v>0</v>
      </c>
    </row>
    <row r="31" customFormat="false" ht="12" hidden="false" customHeight="true" outlineLevel="0" collapsed="false">
      <c r="A31" s="484" t="n">
        <v>319</v>
      </c>
      <c r="B31" s="480" t="s">
        <v>1343</v>
      </c>
      <c r="C31" s="477"/>
      <c r="D31" s="475" t="n">
        <v>52</v>
      </c>
      <c r="E31" s="475" t="s">
        <v>9269</v>
      </c>
      <c r="G31" s="469"/>
      <c r="H31" s="469"/>
      <c r="J31" s="474"/>
      <c r="K31" s="475"/>
      <c r="L31" s="471" t="b">
        <f aca="false">FALSE()</f>
        <v>0</v>
      </c>
    </row>
    <row r="32" customFormat="false" ht="12" hidden="false" customHeight="true" outlineLevel="0" collapsed="false">
      <c r="A32" s="484" t="n">
        <v>321</v>
      </c>
      <c r="B32" s="480" t="s">
        <v>1326</v>
      </c>
      <c r="C32" s="477"/>
      <c r="D32" s="475" t="n">
        <v>53</v>
      </c>
      <c r="E32" s="475" t="s">
        <v>9270</v>
      </c>
      <c r="G32" s="469"/>
      <c r="H32" s="469"/>
      <c r="J32" s="470"/>
      <c r="K32" s="470"/>
      <c r="L32" s="471" t="b">
        <f aca="false">FALSE()</f>
        <v>0</v>
      </c>
      <c r="M32" s="472"/>
    </row>
    <row r="33" customFormat="false" ht="12" hidden="false" customHeight="true" outlineLevel="0" collapsed="false">
      <c r="A33" s="484" t="n">
        <v>322</v>
      </c>
      <c r="B33" s="480" t="s">
        <v>9271</v>
      </c>
      <c r="C33" s="477"/>
      <c r="D33" s="475" t="n">
        <v>54</v>
      </c>
      <c r="E33" s="474" t="s">
        <v>9272</v>
      </c>
      <c r="G33" s="469"/>
      <c r="H33" s="469"/>
      <c r="J33" s="470"/>
      <c r="K33" s="470"/>
      <c r="L33" s="471" t="b">
        <f aca="false">FALSE()</f>
        <v>0</v>
      </c>
      <c r="M33" s="472"/>
    </row>
    <row r="34" customFormat="false" ht="12" hidden="false" customHeight="true" outlineLevel="0" collapsed="false">
      <c r="A34" s="128" t="n">
        <v>325</v>
      </c>
      <c r="B34" s="480" t="s">
        <v>1347</v>
      </c>
      <c r="C34" s="477"/>
      <c r="D34" s="327"/>
      <c r="E34" s="475"/>
      <c r="G34" s="469"/>
      <c r="H34" s="469"/>
      <c r="J34" s="470"/>
      <c r="K34" s="470"/>
      <c r="L34" s="471" t="b">
        <f aca="false">FALSE()</f>
        <v>0</v>
      </c>
      <c r="M34" s="472"/>
    </row>
    <row r="35" customFormat="false" ht="12" hidden="false" customHeight="true" outlineLevel="0" collapsed="false">
      <c r="A35" s="128" t="n">
        <v>331</v>
      </c>
      <c r="B35" s="480" t="s">
        <v>1350</v>
      </c>
      <c r="C35" s="477"/>
      <c r="D35" s="327"/>
      <c r="E35" s="476"/>
      <c r="G35" s="469"/>
      <c r="H35" s="469"/>
      <c r="J35" s="474"/>
      <c r="K35" s="475"/>
      <c r="L35" s="471" t="b">
        <f aca="false">FALSE()</f>
        <v>0</v>
      </c>
      <c r="M35" s="472"/>
    </row>
    <row r="36" customFormat="false" ht="12" hidden="false" customHeight="true" outlineLevel="0" collapsed="false">
      <c r="A36" s="128" t="n">
        <v>332</v>
      </c>
      <c r="B36" s="480" t="s">
        <v>1351</v>
      </c>
      <c r="C36" s="477"/>
      <c r="D36" s="327"/>
      <c r="E36" s="476"/>
      <c r="G36" s="469"/>
      <c r="H36" s="469"/>
      <c r="J36" s="474"/>
      <c r="K36" s="475"/>
      <c r="L36" s="471" t="b">
        <f aca="false">FALSE()</f>
        <v>0</v>
      </c>
      <c r="M36" s="472"/>
    </row>
    <row r="37" customFormat="false" ht="12" hidden="false" customHeight="true" outlineLevel="0" collapsed="false">
      <c r="A37" s="128" t="n">
        <v>334</v>
      </c>
      <c r="B37" s="480" t="s">
        <v>9273</v>
      </c>
      <c r="C37" s="477"/>
      <c r="D37" s="327"/>
      <c r="E37" s="476"/>
      <c r="G37" s="469"/>
      <c r="H37" s="469"/>
      <c r="J37" s="474"/>
      <c r="K37" s="475"/>
      <c r="L37" s="471" t="b">
        <f aca="false">FALSE()</f>
        <v>0</v>
      </c>
      <c r="M37" s="472"/>
    </row>
    <row r="38" customFormat="false" ht="12" hidden="false" customHeight="true" outlineLevel="0" collapsed="false">
      <c r="A38" s="128" t="n">
        <v>336</v>
      </c>
      <c r="B38" s="480" t="s">
        <v>1355</v>
      </c>
      <c r="C38" s="477"/>
      <c r="D38" s="327"/>
      <c r="E38" s="476"/>
      <c r="G38" s="469"/>
      <c r="H38" s="469"/>
      <c r="J38" s="474"/>
      <c r="K38" s="475"/>
      <c r="L38" s="471" t="b">
        <f aca="false">FALSE()</f>
        <v>0</v>
      </c>
      <c r="M38" s="472"/>
    </row>
    <row r="39" customFormat="false" ht="12" hidden="false" customHeight="true" outlineLevel="0" collapsed="false">
      <c r="A39" s="128" t="n">
        <v>339</v>
      </c>
      <c r="B39" s="480" t="s">
        <v>9274</v>
      </c>
      <c r="C39" s="477"/>
      <c r="D39" s="327"/>
      <c r="E39" s="476"/>
      <c r="G39" s="469"/>
      <c r="H39" s="469"/>
      <c r="J39" s="470"/>
      <c r="K39" s="470"/>
      <c r="L39" s="471" t="b">
        <f aca="false">FALSE()</f>
        <v>0</v>
      </c>
      <c r="M39" s="472"/>
    </row>
    <row r="40" customFormat="false" ht="12" hidden="false" customHeight="true" outlineLevel="0" collapsed="false">
      <c r="A40" s="128" t="n">
        <v>340</v>
      </c>
      <c r="B40" s="480" t="s">
        <v>1357</v>
      </c>
      <c r="C40" s="477"/>
      <c r="D40" s="327"/>
      <c r="E40" s="476"/>
      <c r="G40" s="469"/>
      <c r="H40" s="469"/>
      <c r="J40" s="474"/>
      <c r="K40" s="475"/>
      <c r="L40" s="471" t="b">
        <f aca="false">FALSE()</f>
        <v>0</v>
      </c>
      <c r="M40" s="472"/>
    </row>
    <row r="41" customFormat="false" ht="12" hidden="false" customHeight="true" outlineLevel="0" collapsed="false">
      <c r="A41" s="128" t="n">
        <v>341</v>
      </c>
      <c r="B41" s="480" t="s">
        <v>9275</v>
      </c>
      <c r="C41" s="477"/>
      <c r="D41" s="327"/>
      <c r="E41" s="476"/>
      <c r="G41" s="469"/>
      <c r="H41" s="469"/>
      <c r="J41" s="470"/>
      <c r="K41" s="470"/>
      <c r="L41" s="471" t="b">
        <f aca="false">FALSE()</f>
        <v>0</v>
      </c>
      <c r="M41" s="472"/>
    </row>
    <row r="42" customFormat="false" ht="12" hidden="false" customHeight="true" outlineLevel="0" collapsed="false">
      <c r="A42" s="128" t="n">
        <v>342</v>
      </c>
      <c r="B42" s="480" t="s">
        <v>1359</v>
      </c>
      <c r="C42" s="477"/>
      <c r="D42" s="327"/>
      <c r="E42" s="476"/>
      <c r="G42" s="469"/>
      <c r="H42" s="469"/>
      <c r="J42" s="474"/>
      <c r="K42" s="475"/>
      <c r="L42" s="471" t="b">
        <f aca="false">FALSE()</f>
        <v>0</v>
      </c>
      <c r="M42" s="453"/>
    </row>
    <row r="43" customFormat="false" ht="12" hidden="false" customHeight="true" outlineLevel="0" collapsed="false">
      <c r="A43" s="128" t="n">
        <v>343</v>
      </c>
      <c r="B43" s="480" t="s">
        <v>1360</v>
      </c>
      <c r="C43" s="477"/>
      <c r="D43" s="327"/>
      <c r="E43" s="476"/>
      <c r="G43" s="469"/>
      <c r="H43" s="469"/>
      <c r="J43" s="474"/>
      <c r="K43" s="475"/>
      <c r="L43" s="471" t="b">
        <f aca="false">FALSE()</f>
        <v>0</v>
      </c>
      <c r="M43" s="453"/>
    </row>
    <row r="44" customFormat="false" ht="12" hidden="false" customHeight="true" outlineLevel="0" collapsed="false">
      <c r="A44" s="128" t="n">
        <v>344</v>
      </c>
      <c r="B44" s="480" t="s">
        <v>1361</v>
      </c>
      <c r="C44" s="477"/>
      <c r="D44" s="327"/>
      <c r="E44" s="476"/>
      <c r="J44" s="474"/>
      <c r="K44" s="475"/>
      <c r="L44" s="471" t="b">
        <f aca="false">FALSE()</f>
        <v>0</v>
      </c>
      <c r="M44" s="283"/>
    </row>
    <row r="45" customFormat="false" ht="12" hidden="false" customHeight="true" outlineLevel="0" collapsed="false">
      <c r="A45" s="128" t="n">
        <v>349</v>
      </c>
      <c r="B45" s="480" t="s">
        <v>1364</v>
      </c>
      <c r="C45" s="477"/>
      <c r="D45" s="327"/>
      <c r="E45" s="476"/>
      <c r="J45" s="470"/>
      <c r="K45" s="470"/>
      <c r="L45" s="471" t="b">
        <f aca="false">FALSE()</f>
        <v>0</v>
      </c>
      <c r="M45" s="472"/>
    </row>
    <row r="46" customFormat="false" ht="12" hidden="false" customHeight="true" outlineLevel="0" collapsed="false">
      <c r="A46" s="128" t="n">
        <v>350</v>
      </c>
      <c r="B46" s="480" t="s">
        <v>1365</v>
      </c>
      <c r="C46" s="477"/>
      <c r="D46" s="327"/>
      <c r="E46" s="476"/>
      <c r="J46" s="474"/>
      <c r="K46" s="475"/>
      <c r="L46" s="471" t="b">
        <f aca="false">FALSE()</f>
        <v>0</v>
      </c>
      <c r="M46" s="472"/>
    </row>
    <row r="47" customFormat="false" ht="12" hidden="false" customHeight="true" outlineLevel="0" collapsed="false">
      <c r="A47" s="128" t="n">
        <v>353</v>
      </c>
      <c r="B47" s="480" t="s">
        <v>1367</v>
      </c>
      <c r="C47" s="477"/>
      <c r="D47" s="327"/>
      <c r="E47" s="475"/>
      <c r="J47" s="474"/>
      <c r="K47" s="475"/>
      <c r="L47" s="471" t="b">
        <f aca="false">FALSE()</f>
        <v>0</v>
      </c>
      <c r="M47" s="472"/>
    </row>
    <row r="48" customFormat="false" ht="12" hidden="false" customHeight="true" outlineLevel="0" collapsed="false">
      <c r="A48" s="128" t="n">
        <v>359</v>
      </c>
      <c r="B48" s="480" t="s">
        <v>9276</v>
      </c>
      <c r="C48" s="477"/>
      <c r="D48" s="327"/>
      <c r="E48" s="475"/>
      <c r="J48" s="474"/>
      <c r="K48" s="475"/>
      <c r="L48" s="471" t="b">
        <f aca="false">FALSE()</f>
        <v>0</v>
      </c>
      <c r="M48" s="472"/>
    </row>
    <row r="49" customFormat="false" ht="12" hidden="false" customHeight="true" outlineLevel="0" collapsed="false">
      <c r="A49" s="128" t="n">
        <v>381</v>
      </c>
      <c r="B49" s="480" t="s">
        <v>9277</v>
      </c>
      <c r="C49" s="477"/>
      <c r="D49" s="327"/>
      <c r="E49" s="475"/>
      <c r="J49" s="474"/>
      <c r="K49" s="475"/>
      <c r="L49" s="471" t="b">
        <f aca="false">FALSE()</f>
        <v>0</v>
      </c>
      <c r="M49" s="472"/>
    </row>
    <row r="50" customFormat="false" ht="12" hidden="false" customHeight="true" outlineLevel="0" collapsed="false">
      <c r="A50" s="128" t="n">
        <v>386</v>
      </c>
      <c r="B50" s="480" t="s">
        <v>1377</v>
      </c>
      <c r="C50" s="477"/>
      <c r="D50" s="327"/>
      <c r="E50" s="475"/>
      <c r="J50" s="474"/>
      <c r="K50" s="475"/>
      <c r="L50" s="471" t="b">
        <f aca="false">FALSE()</f>
        <v>0</v>
      </c>
      <c r="M50" s="453"/>
    </row>
    <row r="51" customFormat="false" ht="12" hidden="false" customHeight="true" outlineLevel="0" collapsed="false">
      <c r="A51" s="128" t="n">
        <v>387</v>
      </c>
      <c r="B51" s="480" t="s">
        <v>1378</v>
      </c>
      <c r="C51" s="477"/>
      <c r="D51" s="327"/>
      <c r="E51" s="475"/>
      <c r="J51" s="474"/>
      <c r="K51" s="475"/>
      <c r="L51" s="471" t="b">
        <f aca="false">FALSE()</f>
        <v>0</v>
      </c>
      <c r="M51" s="453"/>
    </row>
    <row r="52" customFormat="false" ht="12" hidden="false" customHeight="true" outlineLevel="0" collapsed="false">
      <c r="A52" s="128" t="n">
        <v>406</v>
      </c>
      <c r="B52" s="480" t="s">
        <v>1388</v>
      </c>
      <c r="C52" s="477"/>
      <c r="D52" s="327"/>
      <c r="E52" s="485"/>
      <c r="J52" s="474"/>
      <c r="K52" s="475"/>
      <c r="L52" s="471" t="b">
        <f aca="false">FALSE()</f>
        <v>0</v>
      </c>
      <c r="M52" s="453"/>
    </row>
    <row r="53" customFormat="false" ht="12" hidden="false" customHeight="true" outlineLevel="0" collapsed="false">
      <c r="A53" s="128" t="n">
        <v>407</v>
      </c>
      <c r="B53" s="480" t="s">
        <v>1389</v>
      </c>
      <c r="C53" s="477"/>
      <c r="D53" s="327"/>
      <c r="J53" s="474"/>
      <c r="K53" s="475"/>
      <c r="L53" s="471" t="b">
        <f aca="false">FALSE()</f>
        <v>0</v>
      </c>
      <c r="M53" s="453"/>
    </row>
    <row r="54" customFormat="false" ht="12" hidden="false" customHeight="true" outlineLevel="0" collapsed="false">
      <c r="A54" s="128" t="n">
        <v>412</v>
      </c>
      <c r="B54" s="480" t="s">
        <v>9278</v>
      </c>
      <c r="C54" s="477"/>
      <c r="D54" s="327"/>
      <c r="E54" s="475"/>
      <c r="J54" s="474"/>
      <c r="K54" s="475"/>
      <c r="L54" s="471" t="b">
        <f aca="false">FALSE()</f>
        <v>0</v>
      </c>
      <c r="M54" s="472"/>
    </row>
    <row r="55" customFormat="false" ht="12" hidden="false" customHeight="true" outlineLevel="0" collapsed="false">
      <c r="A55" s="128" t="n">
        <v>413</v>
      </c>
      <c r="B55" s="480" t="s">
        <v>9279</v>
      </c>
      <c r="C55" s="477"/>
      <c r="D55" s="327"/>
      <c r="E55" s="485"/>
      <c r="J55" s="474"/>
      <c r="K55" s="475"/>
      <c r="L55" s="471" t="b">
        <f aca="false">FALSE()</f>
        <v>0</v>
      </c>
      <c r="M55" s="472"/>
    </row>
    <row r="56" customFormat="false" ht="12" hidden="false" customHeight="true" outlineLevel="0" collapsed="false">
      <c r="A56" s="128" t="n">
        <v>419</v>
      </c>
      <c r="B56" s="480" t="s">
        <v>1396</v>
      </c>
      <c r="C56" s="477"/>
      <c r="D56" s="327"/>
      <c r="E56" s="485"/>
      <c r="J56" s="474"/>
      <c r="K56" s="475"/>
      <c r="L56" s="471" t="b">
        <f aca="false">FALSE()</f>
        <v>0</v>
      </c>
      <c r="M56" s="472"/>
    </row>
    <row r="57" customFormat="false" ht="12" hidden="false" customHeight="true" outlineLevel="0" collapsed="false">
      <c r="A57" s="128" t="n">
        <v>423</v>
      </c>
      <c r="B57" s="480" t="s">
        <v>9280</v>
      </c>
      <c r="C57" s="477"/>
      <c r="D57" s="327"/>
      <c r="E57" s="475"/>
      <c r="J57" s="474"/>
      <c r="K57" s="475"/>
      <c r="L57" s="471" t="b">
        <f aca="false">FALSE()</f>
        <v>0</v>
      </c>
      <c r="M57" s="472"/>
    </row>
    <row r="58" customFormat="false" ht="12" hidden="false" customHeight="true" outlineLevel="0" collapsed="false">
      <c r="A58" s="128" t="n">
        <v>425</v>
      </c>
      <c r="B58" s="480" t="s">
        <v>9281</v>
      </c>
      <c r="C58" s="477"/>
      <c r="D58" s="327"/>
      <c r="E58" s="475"/>
      <c r="J58" s="474"/>
      <c r="K58" s="475"/>
      <c r="L58" s="471" t="b">
        <f aca="false">FALSE()</f>
        <v>0</v>
      </c>
      <c r="M58" s="472"/>
    </row>
    <row r="59" customFormat="false" ht="12" hidden="false" customHeight="true" outlineLevel="0" collapsed="false">
      <c r="A59" s="128" t="n">
        <v>426</v>
      </c>
      <c r="B59" s="480" t="s">
        <v>1400</v>
      </c>
      <c r="C59" s="477"/>
      <c r="D59" s="327"/>
      <c r="E59" s="485"/>
      <c r="J59" s="470"/>
      <c r="K59" s="470"/>
      <c r="L59" s="471" t="b">
        <f aca="false">FALSE()</f>
        <v>0</v>
      </c>
      <c r="M59" s="472"/>
    </row>
    <row r="60" customFormat="false" ht="12" hidden="false" customHeight="true" outlineLevel="0" collapsed="false">
      <c r="A60" s="128" t="n">
        <v>434</v>
      </c>
      <c r="B60" s="480" t="s">
        <v>9282</v>
      </c>
      <c r="C60" s="477"/>
      <c r="D60" s="327"/>
      <c r="E60" s="485"/>
      <c r="J60" s="474"/>
      <c r="K60" s="475"/>
      <c r="L60" s="471" t="b">
        <f aca="false">FALSE()</f>
        <v>0</v>
      </c>
      <c r="M60" s="472"/>
    </row>
    <row r="61" customFormat="false" ht="12" hidden="false" customHeight="true" outlineLevel="0" collapsed="false">
      <c r="A61" s="128" t="n">
        <v>534</v>
      </c>
      <c r="B61" s="480" t="s">
        <v>9283</v>
      </c>
      <c r="C61" s="477"/>
      <c r="D61" s="327"/>
      <c r="E61" s="476"/>
      <c r="J61" s="474"/>
      <c r="K61" s="475"/>
      <c r="L61" s="471" t="b">
        <f aca="false">FALSE()</f>
        <v>0</v>
      </c>
      <c r="M61" s="472"/>
    </row>
    <row r="62" customFormat="false" ht="12" hidden="false" customHeight="true" outlineLevel="0" collapsed="false">
      <c r="A62" s="128" t="n">
        <v>584</v>
      </c>
      <c r="B62" s="480" t="s">
        <v>1426</v>
      </c>
      <c r="C62" s="477"/>
      <c r="D62" s="327"/>
      <c r="E62" s="476"/>
      <c r="J62" s="474"/>
      <c r="K62" s="475"/>
      <c r="L62" s="471" t="b">
        <f aca="false">FALSE()</f>
        <v>0</v>
      </c>
      <c r="M62" s="472"/>
    </row>
    <row r="63" customFormat="false" ht="12.75" hidden="false" customHeight="true" outlineLevel="0" collapsed="false">
      <c r="B63" s="480"/>
      <c r="C63" s="477"/>
      <c r="D63" s="327"/>
      <c r="E63" s="475"/>
      <c r="F63" s="87"/>
      <c r="G63" s="469"/>
      <c r="H63" s="469"/>
      <c r="I63" s="87"/>
      <c r="J63" s="474"/>
      <c r="K63" s="475"/>
      <c r="L63" s="471" t="b">
        <f aca="false">FALSE()</f>
        <v>0</v>
      </c>
      <c r="M63" s="453"/>
    </row>
    <row r="64" customFormat="false" ht="12.75" hidden="false" customHeight="true" outlineLevel="0" collapsed="false">
      <c r="B64" s="480"/>
      <c r="C64" s="477"/>
      <c r="D64" s="327"/>
      <c r="E64" s="475"/>
      <c r="F64" s="87"/>
      <c r="G64" s="469"/>
      <c r="H64" s="469"/>
      <c r="I64" s="87"/>
      <c r="J64" s="474"/>
      <c r="K64" s="475"/>
      <c r="L64" s="471" t="b">
        <f aca="false">FALSE()</f>
        <v>0</v>
      </c>
      <c r="M64" s="453"/>
    </row>
    <row r="65" customFormat="false" ht="12.75" hidden="false" customHeight="true" outlineLevel="0" collapsed="false">
      <c r="C65" s="486"/>
      <c r="D65" s="327"/>
      <c r="F65" s="87"/>
      <c r="G65" s="469"/>
      <c r="H65" s="469"/>
      <c r="I65" s="87"/>
      <c r="J65" s="474"/>
      <c r="K65" s="475"/>
      <c r="L65" s="471" t="b">
        <f aca="false">FALSE()</f>
        <v>0</v>
      </c>
      <c r="M65" s="453"/>
    </row>
    <row r="66" customFormat="false" ht="12.75" hidden="false" customHeight="true" outlineLevel="0" collapsed="false">
      <c r="C66" s="486"/>
      <c r="D66" s="327"/>
      <c r="E66" s="475"/>
      <c r="F66" s="87"/>
      <c r="G66" s="469"/>
      <c r="H66" s="469"/>
      <c r="I66" s="87"/>
      <c r="J66" s="474"/>
      <c r="K66" s="475"/>
      <c r="L66" s="471" t="b">
        <f aca="false">FALSE()</f>
        <v>0</v>
      </c>
      <c r="M66" s="453"/>
    </row>
    <row r="67" customFormat="false" ht="12.75" hidden="false" customHeight="true" outlineLevel="0" collapsed="false">
      <c r="C67" s="486"/>
      <c r="D67" s="327"/>
      <c r="E67" s="485"/>
      <c r="F67" s="87"/>
      <c r="G67" s="469"/>
      <c r="H67" s="469"/>
      <c r="I67" s="87"/>
      <c r="J67" s="470"/>
      <c r="K67" s="470"/>
      <c r="L67" s="471" t="b">
        <f aca="false">FALSE()</f>
        <v>0</v>
      </c>
      <c r="M67" s="453"/>
    </row>
    <row r="68" customFormat="false" ht="12.75" hidden="false" customHeight="true" outlineLevel="0" collapsed="false">
      <c r="C68" s="486"/>
      <c r="D68" s="327"/>
      <c r="E68" s="475"/>
      <c r="F68" s="87"/>
      <c r="G68" s="469"/>
      <c r="H68" s="469"/>
      <c r="I68" s="87"/>
      <c r="J68" s="474"/>
      <c r="K68" s="475"/>
      <c r="L68" s="471" t="b">
        <f aca="false">FALSE()</f>
        <v>0</v>
      </c>
      <c r="M68" s="453"/>
    </row>
    <row r="69" customFormat="false" ht="12.75" hidden="false" customHeight="true" outlineLevel="0" collapsed="false">
      <c r="C69" s="486"/>
      <c r="D69" s="327"/>
      <c r="F69" s="87"/>
      <c r="G69" s="469"/>
      <c r="H69" s="469"/>
      <c r="I69" s="87"/>
      <c r="J69" s="474"/>
      <c r="K69" s="475"/>
      <c r="L69" s="471" t="b">
        <f aca="false">FALSE()</f>
        <v>0</v>
      </c>
      <c r="M69" s="453"/>
    </row>
    <row r="70" customFormat="false" ht="12.75" hidden="false" customHeight="true" outlineLevel="0" collapsed="false">
      <c r="C70" s="486"/>
      <c r="D70" s="327"/>
      <c r="E70" s="475"/>
      <c r="G70" s="469"/>
      <c r="H70" s="469"/>
      <c r="J70" s="474"/>
      <c r="K70" s="475"/>
      <c r="L70" s="471" t="b">
        <f aca="false">FALSE()</f>
        <v>0</v>
      </c>
      <c r="M70" s="453"/>
    </row>
    <row r="71" customFormat="false" ht="12.75" hidden="false" customHeight="true" outlineLevel="0" collapsed="false">
      <c r="B71" s="480"/>
      <c r="C71" s="486"/>
      <c r="D71" s="327"/>
      <c r="E71" s="475"/>
      <c r="G71" s="469"/>
      <c r="H71" s="469"/>
      <c r="J71" s="474"/>
      <c r="K71" s="475"/>
      <c r="L71" s="471" t="b">
        <f aca="false">FALSE()</f>
        <v>0</v>
      </c>
      <c r="M71" s="453"/>
    </row>
    <row r="72" customFormat="false" ht="12" hidden="false" customHeight="true" outlineLevel="0" collapsed="false">
      <c r="B72" s="480"/>
      <c r="C72" s="477"/>
      <c r="D72" s="327"/>
      <c r="E72" s="475"/>
      <c r="G72" s="469"/>
      <c r="H72" s="469"/>
      <c r="J72" s="474"/>
      <c r="K72" s="475"/>
      <c r="L72" s="471" t="b">
        <f aca="false">FALSE()</f>
        <v>0</v>
      </c>
      <c r="M72" s="453"/>
    </row>
    <row r="73" customFormat="false" ht="12" hidden="false" customHeight="true" outlineLevel="0" collapsed="false">
      <c r="A73" s="484"/>
      <c r="B73" s="480"/>
      <c r="C73" s="477"/>
      <c r="D73" s="327"/>
      <c r="E73" s="476"/>
      <c r="G73" s="469"/>
      <c r="H73" s="469"/>
      <c r="J73" s="487"/>
      <c r="K73" s="487"/>
      <c r="L73" s="471" t="b">
        <f aca="false">FALSE()</f>
        <v>0</v>
      </c>
      <c r="M73" s="472"/>
    </row>
    <row r="74" customFormat="false" ht="12" hidden="false" customHeight="true" outlineLevel="0" collapsed="false">
      <c r="B74" s="480"/>
      <c r="C74" s="477"/>
      <c r="D74" s="327"/>
      <c r="E74" s="476"/>
      <c r="G74" s="469"/>
      <c r="H74" s="469"/>
      <c r="J74" s="474"/>
      <c r="K74" s="475"/>
      <c r="L74" s="471" t="b">
        <f aca="false">FALSE()</f>
        <v>0</v>
      </c>
      <c r="M74" s="283"/>
    </row>
    <row r="75" customFormat="false" ht="12" hidden="false" customHeight="true" outlineLevel="0" collapsed="false">
      <c r="A75" s="484"/>
      <c r="B75" s="480"/>
      <c r="C75" s="477"/>
      <c r="D75" s="327"/>
      <c r="E75" s="476"/>
      <c r="J75" s="474"/>
      <c r="K75" s="475"/>
      <c r="L75" s="471" t="b">
        <f aca="false">FALSE()</f>
        <v>0</v>
      </c>
      <c r="M75" s="472"/>
    </row>
    <row r="76" customFormat="false" ht="12" hidden="false" customHeight="true" outlineLevel="0" collapsed="false">
      <c r="A76" s="484"/>
      <c r="B76" s="480"/>
      <c r="C76" s="477"/>
      <c r="D76" s="327"/>
      <c r="E76" s="475"/>
      <c r="J76" s="474"/>
      <c r="K76" s="475"/>
      <c r="L76" s="471" t="b">
        <f aca="false">FALSE()</f>
        <v>0</v>
      </c>
      <c r="M76" s="472"/>
    </row>
    <row r="77" customFormat="false" ht="12.75" hidden="false" customHeight="true" outlineLevel="0" collapsed="false">
      <c r="C77" s="477"/>
      <c r="D77" s="327"/>
      <c r="E77" s="475"/>
      <c r="G77" s="87"/>
      <c r="H77" s="87"/>
      <c r="J77" s="487"/>
      <c r="K77" s="487"/>
      <c r="L77" s="471" t="b">
        <f aca="false">FALSE()</f>
        <v>0</v>
      </c>
      <c r="M77" s="472"/>
    </row>
    <row r="78" customFormat="false" ht="12.75" hidden="false" customHeight="true" outlineLevel="0" collapsed="false">
      <c r="C78" s="477"/>
      <c r="D78" s="327"/>
      <c r="E78" s="475"/>
      <c r="G78" s="87"/>
      <c r="H78" s="87"/>
      <c r="J78" s="487"/>
      <c r="K78" s="487"/>
      <c r="L78" s="471" t="b">
        <f aca="false">FALSE()</f>
        <v>0</v>
      </c>
      <c r="M78" s="472"/>
    </row>
    <row r="79" customFormat="false" ht="12.75" hidden="false" customHeight="true" outlineLevel="0" collapsed="false">
      <c r="C79" s="477"/>
      <c r="D79" s="327"/>
      <c r="E79" s="485"/>
      <c r="G79" s="87"/>
      <c r="H79" s="87"/>
      <c r="J79" s="474"/>
      <c r="K79" s="475"/>
      <c r="L79" s="471" t="b">
        <f aca="false">FALSE()</f>
        <v>0</v>
      </c>
      <c r="M79" s="472"/>
    </row>
    <row r="80" customFormat="false" ht="12.75" hidden="false" customHeight="true" outlineLevel="0" collapsed="false">
      <c r="C80" s="477"/>
      <c r="D80" s="327"/>
      <c r="E80" s="485"/>
      <c r="G80" s="87"/>
      <c r="H80" s="87"/>
      <c r="J80" s="470"/>
      <c r="K80" s="470"/>
      <c r="L80" s="471" t="b">
        <f aca="false">FALSE()</f>
        <v>0</v>
      </c>
      <c r="M80" s="472"/>
    </row>
    <row r="81" customFormat="false" ht="12.75" hidden="false" customHeight="true" outlineLevel="0" collapsed="false">
      <c r="C81" s="477"/>
      <c r="D81" s="327"/>
      <c r="E81" s="485"/>
      <c r="G81" s="87"/>
      <c r="H81" s="87"/>
      <c r="J81" s="474"/>
      <c r="K81" s="475"/>
      <c r="L81" s="471" t="b">
        <f aca="false">FALSE()</f>
        <v>0</v>
      </c>
      <c r="M81" s="472"/>
    </row>
    <row r="82" customFormat="false" ht="12.75" hidden="false" customHeight="true" outlineLevel="0" collapsed="false">
      <c r="C82" s="477"/>
      <c r="D82" s="327"/>
      <c r="E82" s="485"/>
      <c r="G82" s="87"/>
      <c r="H82" s="87"/>
      <c r="J82" s="474"/>
      <c r="K82" s="475"/>
      <c r="L82" s="471" t="b">
        <f aca="false">FALSE()</f>
        <v>0</v>
      </c>
      <c r="M82" s="472"/>
    </row>
    <row r="83" customFormat="false" ht="12.75" hidden="false" customHeight="true" outlineLevel="0" collapsed="false">
      <c r="C83" s="477"/>
      <c r="D83" s="327"/>
      <c r="E83" s="485"/>
      <c r="G83" s="87"/>
      <c r="H83" s="87"/>
      <c r="J83" s="474"/>
      <c r="K83" s="475"/>
      <c r="L83" s="471" t="b">
        <f aca="false">FALSE()</f>
        <v>0</v>
      </c>
      <c r="M83" s="283"/>
    </row>
    <row r="84" customFormat="false" ht="12" hidden="false" customHeight="true" outlineLevel="0" collapsed="false">
      <c r="C84" s="477"/>
      <c r="D84" s="327"/>
      <c r="E84" s="485"/>
      <c r="J84" s="474"/>
      <c r="K84" s="475"/>
      <c r="L84" s="471" t="b">
        <f aca="false">FALSE()</f>
        <v>0</v>
      </c>
      <c r="M84" s="283"/>
    </row>
    <row r="85" customFormat="false" ht="12" hidden="false" customHeight="true" outlineLevel="0" collapsed="false">
      <c r="C85" s="477"/>
      <c r="D85" s="327"/>
      <c r="E85" s="485"/>
      <c r="J85" s="474"/>
      <c r="K85" s="475"/>
      <c r="L85" s="471" t="b">
        <f aca="false">FALSE()</f>
        <v>0</v>
      </c>
      <c r="M85" s="283"/>
    </row>
    <row r="86" customFormat="false" ht="12" hidden="false" customHeight="true" outlineLevel="0" collapsed="false">
      <c r="C86" s="477"/>
      <c r="D86" s="327"/>
      <c r="E86" s="485"/>
      <c r="J86" s="474"/>
      <c r="K86" s="475"/>
      <c r="L86" s="471" t="b">
        <f aca="false">FALSE()</f>
        <v>0</v>
      </c>
      <c r="M86" s="472"/>
    </row>
    <row r="87" customFormat="false" ht="12" hidden="false" customHeight="true" outlineLevel="0" collapsed="false">
      <c r="C87" s="477"/>
      <c r="D87" s="327"/>
      <c r="E87" s="485"/>
      <c r="J87" s="474"/>
      <c r="K87" s="475"/>
      <c r="L87" s="471" t="b">
        <f aca="false">FALSE()</f>
        <v>0</v>
      </c>
      <c r="M87" s="453"/>
    </row>
    <row r="88" customFormat="false" ht="12" hidden="false" customHeight="true" outlineLevel="0" collapsed="false">
      <c r="C88" s="477"/>
      <c r="D88" s="327"/>
      <c r="E88" s="485"/>
      <c r="J88" s="474"/>
      <c r="K88" s="475"/>
      <c r="L88" s="471" t="b">
        <f aca="false">FALSE()</f>
        <v>0</v>
      </c>
      <c r="M88" s="453"/>
    </row>
    <row r="89" customFormat="false" ht="12" hidden="false" customHeight="true" outlineLevel="0" collapsed="false">
      <c r="C89" s="477"/>
      <c r="D89" s="327"/>
      <c r="E89" s="485"/>
      <c r="J89" s="474"/>
      <c r="K89" s="475"/>
      <c r="M89" s="453"/>
    </row>
    <row r="90" customFormat="false" ht="12" hidden="false" customHeight="true" outlineLevel="0" collapsed="false">
      <c r="C90" s="477"/>
      <c r="D90" s="327"/>
      <c r="E90" s="485"/>
      <c r="J90" s="474"/>
      <c r="K90" s="475"/>
      <c r="M90" s="283"/>
    </row>
    <row r="91" customFormat="false" ht="12" hidden="false" customHeight="true" outlineLevel="0" collapsed="false">
      <c r="C91" s="477"/>
      <c r="D91" s="327"/>
      <c r="E91" s="485"/>
      <c r="J91" s="474"/>
      <c r="K91" s="475"/>
      <c r="M91" s="472"/>
    </row>
    <row r="92" customFormat="false" ht="12" hidden="false" customHeight="true" outlineLevel="0" collapsed="false">
      <c r="C92" s="477"/>
      <c r="D92" s="327"/>
      <c r="E92" s="485"/>
      <c r="J92" s="474"/>
      <c r="K92" s="475"/>
      <c r="M92" s="472"/>
    </row>
    <row r="93" customFormat="false" ht="12" hidden="false" customHeight="true" outlineLevel="0" collapsed="false">
      <c r="A93" s="128" t="s">
        <v>456</v>
      </c>
      <c r="B93" s="327" t="s">
        <v>483</v>
      </c>
      <c r="C93" s="477"/>
      <c r="D93" s="327"/>
      <c r="E93" s="485"/>
      <c r="J93" s="474"/>
      <c r="K93" s="475"/>
      <c r="M93" s="472"/>
    </row>
    <row r="94" customFormat="false" ht="12" hidden="false" customHeight="true" outlineLevel="0" collapsed="false">
      <c r="A94" s="128" t="s">
        <v>9284</v>
      </c>
      <c r="B94" s="327" t="s">
        <v>483</v>
      </c>
      <c r="C94" s="477"/>
      <c r="D94" s="327"/>
      <c r="E94" s="485"/>
      <c r="J94" s="474"/>
      <c r="K94" s="475"/>
      <c r="M94" s="453"/>
    </row>
    <row r="95" customFormat="false" ht="12" hidden="false" customHeight="true" outlineLevel="0" collapsed="false">
      <c r="A95" s="128" t="s">
        <v>9285</v>
      </c>
      <c r="B95" s="327" t="s">
        <v>483</v>
      </c>
      <c r="D95" s="327"/>
      <c r="E95" s="485"/>
      <c r="J95" s="470"/>
      <c r="K95" s="470"/>
      <c r="M95" s="472"/>
    </row>
    <row r="96" customFormat="false" ht="12" hidden="false" customHeight="true" outlineLevel="0" collapsed="false">
      <c r="A96" s="128" t="s">
        <v>461</v>
      </c>
      <c r="B96" s="327" t="s">
        <v>9286</v>
      </c>
      <c r="D96" s="327"/>
      <c r="E96" s="485"/>
      <c r="J96" s="470"/>
      <c r="K96" s="470"/>
      <c r="M96" s="472"/>
    </row>
    <row r="97" customFormat="false" ht="12" hidden="false" customHeight="true" outlineLevel="0" collapsed="false">
      <c r="A97" s="128" t="s">
        <v>9287</v>
      </c>
      <c r="B97" s="327" t="s">
        <v>9286</v>
      </c>
      <c r="D97" s="327"/>
      <c r="E97" s="485"/>
      <c r="J97" s="470"/>
      <c r="K97" s="470"/>
      <c r="M97" s="472"/>
    </row>
    <row r="98" customFormat="false" ht="12" hidden="false" customHeight="true" outlineLevel="0" collapsed="false">
      <c r="A98" s="128" t="s">
        <v>9288</v>
      </c>
      <c r="B98" s="327" t="s">
        <v>9286</v>
      </c>
      <c r="D98" s="327"/>
      <c r="E98" s="485"/>
      <c r="J98" s="470"/>
      <c r="K98" s="470"/>
      <c r="M98" s="487"/>
    </row>
    <row r="99" customFormat="false" ht="12" hidden="false" customHeight="true" outlineLevel="0" collapsed="false">
      <c r="A99" s="128" t="s">
        <v>463</v>
      </c>
      <c r="B99" s="327" t="s">
        <v>279</v>
      </c>
      <c r="D99" s="327"/>
      <c r="E99" s="485"/>
      <c r="J99" s="470"/>
      <c r="K99" s="470"/>
      <c r="M99" s="487"/>
    </row>
    <row r="100" customFormat="false" ht="12" hidden="false" customHeight="true" outlineLevel="0" collapsed="false">
      <c r="A100" s="128" t="s">
        <v>6848</v>
      </c>
      <c r="B100" s="327" t="s">
        <v>279</v>
      </c>
      <c r="D100" s="327"/>
      <c r="E100" s="485"/>
      <c r="J100" s="474"/>
      <c r="K100" s="474"/>
      <c r="M100" s="487"/>
    </row>
    <row r="101" customFormat="false" ht="12" hidden="false" customHeight="true" outlineLevel="0" collapsed="false">
      <c r="A101" s="128" t="s">
        <v>6735</v>
      </c>
      <c r="B101" s="327" t="s">
        <v>279</v>
      </c>
      <c r="D101" s="327"/>
      <c r="E101" s="485"/>
      <c r="J101" s="470"/>
      <c r="K101" s="470"/>
      <c r="M101" s="487"/>
    </row>
    <row r="102" customFormat="false" ht="12" hidden="false" customHeight="true" outlineLevel="0" collapsed="false">
      <c r="A102" s="128" t="s">
        <v>9289</v>
      </c>
      <c r="B102" s="327" t="s">
        <v>485</v>
      </c>
      <c r="D102" s="327"/>
      <c r="E102" s="485"/>
      <c r="J102" s="470"/>
      <c r="K102" s="470"/>
      <c r="M102" s="474"/>
    </row>
    <row r="103" customFormat="false" ht="12" hidden="false" customHeight="true" outlineLevel="0" collapsed="false">
      <c r="A103" s="128" t="s">
        <v>9290</v>
      </c>
      <c r="B103" s="327" t="s">
        <v>485</v>
      </c>
      <c r="D103" s="327"/>
      <c r="E103" s="485"/>
      <c r="J103" s="470"/>
      <c r="K103" s="470"/>
      <c r="M103" s="474"/>
    </row>
    <row r="104" customFormat="false" ht="12" hidden="false" customHeight="true" outlineLevel="0" collapsed="false">
      <c r="A104" s="128" t="s">
        <v>9291</v>
      </c>
      <c r="B104" s="327" t="s">
        <v>485</v>
      </c>
      <c r="J104" s="474"/>
      <c r="K104" s="474"/>
      <c r="M104" s="474"/>
    </row>
    <row r="105" customFormat="false" ht="12" hidden="false" customHeight="true" outlineLevel="0" collapsed="false">
      <c r="J105" s="470"/>
      <c r="K105" s="470"/>
      <c r="M105" s="474"/>
    </row>
    <row r="106" customFormat="false" ht="12" hidden="false" customHeight="true" outlineLevel="0" collapsed="false">
      <c r="M106" s="474"/>
    </row>
    <row r="107" customFormat="false" ht="12" hidden="false" customHeight="true" outlineLevel="0" collapsed="false">
      <c r="M107" s="474"/>
    </row>
    <row r="108" customFormat="false" ht="12.75" hidden="false" customHeight="true" outlineLevel="0" collapsed="false">
      <c r="A108" s="488"/>
      <c r="B108" s="478"/>
      <c r="M108" s="474"/>
    </row>
    <row r="109" customFormat="false" ht="12" hidden="false" customHeight="true" outlineLevel="0" collapsed="false">
      <c r="M109" s="474"/>
    </row>
    <row r="110" customFormat="false" ht="12" hidden="false" customHeight="true" outlineLevel="0" collapsed="false">
      <c r="M110" s="474"/>
    </row>
    <row r="111" customFormat="false" ht="12" hidden="false" customHeight="true" outlineLevel="0" collapsed="false">
      <c r="M111" s="474"/>
    </row>
    <row r="112" customFormat="false" ht="12" hidden="false" customHeight="true" outlineLevel="0" collapsed="false">
      <c r="M112" s="474"/>
    </row>
    <row r="113" customFormat="false" ht="12" hidden="false" customHeight="true" outlineLevel="0" collapsed="false">
      <c r="M113" s="474"/>
    </row>
    <row r="114" customFormat="false" ht="12" hidden="false" customHeight="true" outlineLevel="0" collapsed="false">
      <c r="M114" s="474"/>
    </row>
    <row r="115" customFormat="false" ht="12" hidden="false" customHeight="true" outlineLevel="0" collapsed="false">
      <c r="M115" s="474"/>
    </row>
    <row r="116" customFormat="false" ht="12" hidden="false" customHeight="true" outlineLevel="0" collapsed="false">
      <c r="M116" s="474"/>
    </row>
    <row r="117" customFormat="false" ht="12" hidden="false" customHeight="true" outlineLevel="0" collapsed="false">
      <c r="M117" s="474"/>
    </row>
    <row r="118" customFormat="false" ht="12" hidden="false" customHeight="true" outlineLevel="0" collapsed="false">
      <c r="M118" s="474"/>
    </row>
    <row r="119" customFormat="false" ht="12" hidden="false" customHeight="true" outlineLevel="0" collapsed="false">
      <c r="M119" s="474"/>
    </row>
    <row r="120" customFormat="false" ht="12" hidden="false" customHeight="true" outlineLevel="0" collapsed="false">
      <c r="M120" s="474"/>
    </row>
    <row r="121" customFormat="false" ht="12" hidden="false" customHeight="true" outlineLevel="0" collapsed="false">
      <c r="M121" s="474"/>
    </row>
    <row r="122" customFormat="false" ht="12" hidden="false" customHeight="true" outlineLevel="0" collapsed="false">
      <c r="M122" s="474"/>
    </row>
    <row r="123" customFormat="false" ht="12" hidden="false" customHeight="true" outlineLevel="0" collapsed="false">
      <c r="M123" s="474"/>
    </row>
    <row r="124" customFormat="false" ht="12" hidden="false" customHeight="true" outlineLevel="0" collapsed="false">
      <c r="M124" s="474"/>
    </row>
    <row r="125" customFormat="false" ht="12" hidden="false" customHeight="true" outlineLevel="0" collapsed="false">
      <c r="M125" s="474"/>
    </row>
    <row r="126" customFormat="false" ht="12" hidden="false" customHeight="true" outlineLevel="0" collapsed="false">
      <c r="M126" s="474"/>
    </row>
    <row r="127" customFormat="false" ht="12" hidden="false" customHeight="true" outlineLevel="0" collapsed="false">
      <c r="M127" s="474"/>
    </row>
    <row r="128" customFormat="false" ht="12" hidden="false" customHeight="true" outlineLevel="0" collapsed="false">
      <c r="M128" s="474"/>
    </row>
    <row r="129" customFormat="false" ht="12" hidden="false" customHeight="true" outlineLevel="0" collapsed="false">
      <c r="M129" s="474"/>
    </row>
    <row r="130" customFormat="false" ht="12" hidden="false" customHeight="true" outlineLevel="0" collapsed="false">
      <c r="M130" s="474"/>
    </row>
    <row r="131" customFormat="false" ht="12" hidden="false" customHeight="true" outlineLevel="0" collapsed="false">
      <c r="M131" s="474"/>
    </row>
    <row r="132" customFormat="false" ht="12.75" hidden="false" customHeight="true" outlineLevel="0" collapsed="false">
      <c r="A132" s="488"/>
      <c r="B132" s="478"/>
      <c r="M132" s="474"/>
    </row>
    <row r="133" customFormat="false" ht="12.75" hidden="false" customHeight="true" outlineLevel="0" collapsed="false">
      <c r="A133" s="488"/>
      <c r="B133" s="478"/>
      <c r="M133" s="474"/>
    </row>
    <row r="134" customFormat="false" ht="12.75" hidden="false" customHeight="true" outlineLevel="0" collapsed="false">
      <c r="A134" s="488"/>
      <c r="B134" s="478"/>
      <c r="M134" s="487"/>
    </row>
    <row r="135" customFormat="false" ht="12.75" hidden="false" customHeight="true" outlineLevel="0" collapsed="false">
      <c r="A135" s="488"/>
      <c r="B135" s="478"/>
      <c r="M135" s="487"/>
    </row>
    <row r="136" customFormat="false" ht="12.75" hidden="false" customHeight="true" outlineLevel="0" collapsed="false">
      <c r="A136" s="488"/>
      <c r="B136" s="478"/>
      <c r="M136" s="487"/>
    </row>
    <row r="137" customFormat="false" ht="12.75" hidden="false" customHeight="true" outlineLevel="0" collapsed="false">
      <c r="A137" s="488"/>
      <c r="B137" s="478"/>
      <c r="M137" s="487"/>
    </row>
    <row r="138" customFormat="false" ht="12.75" hidden="false" customHeight="true" outlineLevel="0" collapsed="false">
      <c r="A138" s="488"/>
      <c r="B138" s="478"/>
      <c r="M138" s="487"/>
    </row>
    <row r="139" customFormat="false" ht="12" hidden="false" customHeight="true" outlineLevel="0" collapsed="false">
      <c r="M139" s="487"/>
    </row>
    <row r="140" customFormat="false" ht="12" hidden="false" customHeight="true" outlineLevel="0" collapsed="false">
      <c r="M140" s="487"/>
    </row>
    <row r="141" customFormat="false" ht="12" hidden="false" customHeight="true" outlineLevel="0" collapsed="false">
      <c r="M141" s="487"/>
    </row>
    <row r="142" customFormat="false" ht="12" hidden="false" customHeight="true" outlineLevel="0" collapsed="false">
      <c r="M142" s="487"/>
    </row>
    <row r="143" customFormat="false" ht="12" hidden="false" customHeight="true" outlineLevel="0" collapsed="false">
      <c r="M143" s="487"/>
    </row>
    <row r="144" customFormat="false" ht="12" hidden="false" customHeight="true" outlineLevel="0" collapsed="false">
      <c r="M144" s="487"/>
    </row>
    <row r="145" customFormat="false" ht="12" hidden="false" customHeight="true" outlineLevel="0" collapsed="false">
      <c r="M145" s="487"/>
    </row>
    <row r="146" customFormat="false" ht="12" hidden="false" customHeight="true" outlineLevel="0" collapsed="false">
      <c r="M146" s="487"/>
    </row>
    <row r="147" customFormat="false" ht="12" hidden="false" customHeight="true" outlineLevel="0" collapsed="false">
      <c r="M147" s="487"/>
    </row>
    <row r="148" customFormat="false" ht="12" hidden="false" customHeight="true" outlineLevel="0" collapsed="false">
      <c r="M148" s="487"/>
    </row>
    <row r="149" customFormat="false" ht="12" hidden="false" customHeight="true" outlineLevel="0" collapsed="false">
      <c r="M149" s="487"/>
    </row>
    <row r="150" customFormat="false" ht="12" hidden="false" customHeight="true" outlineLevel="0" collapsed="false">
      <c r="M150" s="487"/>
    </row>
    <row r="151" customFormat="false" ht="12" hidden="false" customHeight="true" outlineLevel="0" collapsed="false">
      <c r="M151" s="487"/>
    </row>
    <row r="152" customFormat="false" ht="12" hidden="false" customHeight="true" outlineLevel="0" collapsed="false">
      <c r="M152" s="487"/>
    </row>
    <row r="153" customFormat="false" ht="12" hidden="false" customHeight="true" outlineLevel="0" collapsed="false">
      <c r="M153" s="487"/>
    </row>
    <row r="154" customFormat="false" ht="12" hidden="false" customHeight="true" outlineLevel="0" collapsed="false">
      <c r="M154" s="487"/>
    </row>
    <row r="155" customFormat="false" ht="12" hidden="false" customHeight="true" outlineLevel="0" collapsed="false">
      <c r="M155" s="487"/>
    </row>
    <row r="156" customFormat="false" ht="12" hidden="false" customHeight="true" outlineLevel="0" collapsed="false">
      <c r="M156" s="487"/>
    </row>
    <row r="157" customFormat="false" ht="12" hidden="false" customHeight="true" outlineLevel="0" collapsed="false">
      <c r="M157" s="487"/>
    </row>
    <row r="158" customFormat="false" ht="12" hidden="false" customHeight="true" outlineLevel="0" collapsed="false">
      <c r="M158" s="487"/>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B1:F19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5" topLeftCell="B6" activePane="bottomRight" state="frozen"/>
      <selection pane="topLeft" activeCell="A1" activeCellId="0" sqref="A1"/>
      <selection pane="topRight" activeCell="B1" activeCellId="0" sqref="B1"/>
      <selection pane="bottomLeft" activeCell="A6" activeCellId="0" sqref="A6"/>
      <selection pane="bottomRight" activeCell="A1" activeCellId="0" sqref="A1"/>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59.29"/>
    <col collapsed="false" customWidth="true" hidden="false" outlineLevel="0" max="3" min="3" style="1" width="13.71"/>
    <col collapsed="false" customWidth="true" hidden="false" outlineLevel="0" max="4" min="4" style="1" width="6.86"/>
    <col collapsed="false" customWidth="true" hidden="false" outlineLevel="0" max="5" min="5" style="1" width="59.29"/>
    <col collapsed="false" customWidth="true" hidden="false" outlineLevel="0" max="6" min="6" style="1" width="57"/>
  </cols>
  <sheetData>
    <row r="1" customFormat="false" ht="31.5" hidden="false" customHeight="true" outlineLevel="0" collapsed="false">
      <c r="B1" s="275" t="s">
        <v>9292</v>
      </c>
    </row>
    <row r="2" customFormat="false" ht="52.5" hidden="false" customHeight="true" outlineLevel="0" collapsed="false">
      <c r="B2" s="489" t="s">
        <v>9293</v>
      </c>
    </row>
    <row r="3" customFormat="false" ht="63" hidden="false" customHeight="true" outlineLevel="0" collapsed="false">
      <c r="B3" s="489" t="s">
        <v>9294</v>
      </c>
    </row>
    <row r="5" customFormat="false" ht="12" hidden="false" customHeight="true" outlineLevel="0" collapsed="false">
      <c r="B5" s="490" t="s">
        <v>9295</v>
      </c>
      <c r="C5" s="491" t="s">
        <v>9296</v>
      </c>
      <c r="D5" s="491" t="s">
        <v>9297</v>
      </c>
      <c r="E5" s="490" t="s">
        <v>9298</v>
      </c>
      <c r="F5" s="73" t="s">
        <v>9299</v>
      </c>
    </row>
    <row r="6" customFormat="false" ht="12" hidden="false" customHeight="true" outlineLevel="0" collapsed="false">
      <c r="B6" s="281" t="n">
        <v>26</v>
      </c>
      <c r="C6" s="1" t="s">
        <v>2706</v>
      </c>
      <c r="D6" s="1" t="n">
        <v>1</v>
      </c>
      <c r="E6" s="281" t="s">
        <v>1315</v>
      </c>
      <c r="F6" s="1" t="str">
        <f aca="false">B6&amp;" - "&amp;E6</f>
        <v>26 - Studio Loft</v>
      </c>
    </row>
    <row r="7" customFormat="false" ht="12" hidden="false" customHeight="true" outlineLevel="0" collapsed="false">
      <c r="B7" s="281" t="n">
        <v>90</v>
      </c>
      <c r="C7" s="1" t="s">
        <v>2706</v>
      </c>
      <c r="D7" s="1" t="n">
        <v>2</v>
      </c>
      <c r="E7" s="281" t="s">
        <v>1437</v>
      </c>
      <c r="F7" s="1" t="str">
        <f aca="false">B7&amp;" - "&amp;E7</f>
        <v>90 - Residential Out Structure</v>
      </c>
    </row>
    <row r="8" customFormat="false" ht="12" hidden="false" customHeight="true" outlineLevel="0" collapsed="false">
      <c r="B8" s="281" t="n">
        <v>99</v>
      </c>
      <c r="C8" s="1" t="s">
        <v>2706</v>
      </c>
      <c r="D8" s="1" t="n">
        <v>6</v>
      </c>
      <c r="E8" s="281" t="s">
        <v>1439</v>
      </c>
      <c r="F8" s="1" t="str">
        <f aca="false">B8&amp;" - "&amp;E8</f>
        <v>99 - Detached Garage</v>
      </c>
    </row>
    <row r="9" customFormat="false" ht="12" hidden="false" customHeight="true" outlineLevel="0" collapsed="false">
      <c r="B9" s="281" t="n">
        <v>100</v>
      </c>
      <c r="C9" s="1" t="s">
        <v>2706</v>
      </c>
      <c r="D9" s="1" t="n">
        <v>75</v>
      </c>
      <c r="E9" s="281" t="s">
        <v>1316</v>
      </c>
      <c r="F9" s="1" t="str">
        <f aca="false">B9&amp;" - "&amp;E9</f>
        <v>100 - Single Family Residential</v>
      </c>
    </row>
    <row r="10" customFormat="false" ht="12" hidden="false" customHeight="true" outlineLevel="0" collapsed="false">
      <c r="B10" s="281" t="n">
        <v>100</v>
      </c>
      <c r="C10" s="1" t="s">
        <v>2692</v>
      </c>
      <c r="D10" s="1" t="n">
        <v>2</v>
      </c>
      <c r="E10" s="281" t="s">
        <v>1316</v>
      </c>
      <c r="F10" s="1" t="str">
        <f aca="false">B10&amp;" - "&amp;E10</f>
        <v>100 - Single Family Residential</v>
      </c>
    </row>
    <row r="11" customFormat="false" ht="12" hidden="false" customHeight="true" outlineLevel="0" collapsed="false">
      <c r="B11" s="281" t="n">
        <v>101</v>
      </c>
      <c r="C11" s="1" t="s">
        <v>2706</v>
      </c>
      <c r="D11" s="1" t="n">
        <v>2</v>
      </c>
      <c r="E11" s="281" t="s">
        <v>1317</v>
      </c>
      <c r="F11" s="1" t="str">
        <f aca="false">B11&amp;" - "&amp;E11</f>
        <v>101 - Ag Single Family Residential-not integral</v>
      </c>
    </row>
    <row r="12" customFormat="false" ht="12" hidden="false" customHeight="true" outlineLevel="0" collapsed="false">
      <c r="B12" s="281" t="n">
        <v>102</v>
      </c>
      <c r="C12" s="1" t="s">
        <v>2706</v>
      </c>
      <c r="D12" s="1" t="n">
        <v>1</v>
      </c>
      <c r="E12" s="281" t="s">
        <v>1318</v>
      </c>
      <c r="F12" s="1" t="str">
        <f aca="false">B12&amp;" - "&amp;E12</f>
        <v>102 - Duplex</v>
      </c>
    </row>
    <row r="13" customFormat="false" ht="12" hidden="false" customHeight="true" outlineLevel="0" collapsed="false">
      <c r="B13" s="281" t="n">
        <v>105</v>
      </c>
      <c r="C13" s="1" t="s">
        <v>2706</v>
      </c>
      <c r="D13" s="1" t="n">
        <v>6</v>
      </c>
      <c r="E13" s="281" t="s">
        <v>1319</v>
      </c>
      <c r="F13" s="1" t="str">
        <f aca="false">B13&amp;" - "&amp;E13</f>
        <v>105 - Attached Single Family Residential</v>
      </c>
    </row>
    <row r="14" customFormat="false" ht="12" hidden="false" customHeight="true" outlineLevel="0" collapsed="false">
      <c r="B14" s="281" t="n">
        <v>116</v>
      </c>
      <c r="C14" s="1" t="s">
        <v>2706</v>
      </c>
      <c r="D14" s="1" t="n">
        <v>3</v>
      </c>
      <c r="E14" s="281" t="s">
        <v>1320</v>
      </c>
      <c r="F14" s="1" t="str">
        <f aca="false">B14&amp;" - "&amp;E14</f>
        <v>116 - Apartment w/4-8 Units</v>
      </c>
    </row>
    <row r="15" customFormat="false" ht="12" hidden="false" customHeight="true" outlineLevel="0" collapsed="false">
      <c r="B15" s="281" t="n">
        <v>118</v>
      </c>
      <c r="C15" s="1" t="s">
        <v>2706</v>
      </c>
      <c r="D15" s="1" t="n">
        <v>12</v>
      </c>
      <c r="E15" s="281" t="s">
        <v>1321</v>
      </c>
      <c r="F15" s="1" t="str">
        <f aca="false">B15&amp;" - "&amp;E15</f>
        <v>118 - Apartment w/9 + Units</v>
      </c>
    </row>
    <row r="16" customFormat="false" ht="12" hidden="false" customHeight="true" outlineLevel="0" collapsed="false">
      <c r="B16" s="281" t="n">
        <v>140</v>
      </c>
      <c r="C16" s="1" t="s">
        <v>2706</v>
      </c>
      <c r="D16" s="1" t="n">
        <v>66</v>
      </c>
      <c r="E16" s="281" t="s">
        <v>1441</v>
      </c>
      <c r="F16" s="1" t="str">
        <f aca="false">B16&amp;" - "&amp;E16</f>
        <v>140 - Parking Lot</v>
      </c>
    </row>
    <row r="17" customFormat="false" ht="12" hidden="false" customHeight="true" outlineLevel="0" collapsed="false">
      <c r="B17" s="281" t="n">
        <v>140</v>
      </c>
      <c r="C17" s="1" t="s">
        <v>2692</v>
      </c>
      <c r="D17" s="1" t="n">
        <v>1</v>
      </c>
      <c r="E17" s="281" t="s">
        <v>1441</v>
      </c>
      <c r="F17" s="1" t="str">
        <f aca="false">B17&amp;" - "&amp;E17</f>
        <v>140 - Parking Lot</v>
      </c>
    </row>
    <row r="18" customFormat="false" ht="12" hidden="false" customHeight="true" outlineLevel="0" collapsed="false">
      <c r="B18" s="281" t="n">
        <v>186</v>
      </c>
      <c r="C18" s="1" t="s">
        <v>2692</v>
      </c>
      <c r="D18" s="1" t="n">
        <v>2</v>
      </c>
      <c r="E18" s="281" t="s">
        <v>1322</v>
      </c>
      <c r="F18" s="1" t="str">
        <f aca="false">B18&amp;" - "&amp;E18</f>
        <v>186 - Light Commercial - Manufacturing Utility Bldg</v>
      </c>
    </row>
    <row r="19" customFormat="false" ht="12" hidden="false" customHeight="true" outlineLevel="0" collapsed="false">
      <c r="B19" s="281" t="n">
        <v>204</v>
      </c>
      <c r="C19" s="1" t="s">
        <v>2706</v>
      </c>
      <c r="D19" s="1" t="n">
        <v>1</v>
      </c>
      <c r="E19" s="281" t="s">
        <v>1323</v>
      </c>
      <c r="F19" s="1" t="str">
        <f aca="false">B19&amp;" - "&amp;E19</f>
        <v>204 - Computer Centers</v>
      </c>
    </row>
    <row r="20" customFormat="false" ht="12" hidden="false" customHeight="true" outlineLevel="0" collapsed="false">
      <c r="B20" s="281" t="n">
        <v>207</v>
      </c>
      <c r="C20" s="1" t="s">
        <v>2706</v>
      </c>
      <c r="D20" s="1" t="n">
        <v>1</v>
      </c>
      <c r="E20" s="281" t="s">
        <v>1443</v>
      </c>
      <c r="F20" s="1" t="str">
        <f aca="false">B20&amp;" - "&amp;E20</f>
        <v>207 - Firing Range Buildings</v>
      </c>
    </row>
    <row r="21" customFormat="false" ht="12" hidden="false" customHeight="true" outlineLevel="0" collapsed="false">
      <c r="B21" s="281" t="n">
        <v>208</v>
      </c>
      <c r="C21" s="1" t="s">
        <v>2706</v>
      </c>
      <c r="D21" s="1" t="n">
        <v>14</v>
      </c>
      <c r="E21" s="281" t="s">
        <v>1445</v>
      </c>
      <c r="F21" s="1" t="str">
        <f aca="false">B21&amp;" - "&amp;E21</f>
        <v>208 - Golf Course *CODE</v>
      </c>
    </row>
    <row r="22" customFormat="false" ht="12" hidden="false" customHeight="true" outlineLevel="0" collapsed="false">
      <c r="B22" s="281" t="n">
        <v>209</v>
      </c>
      <c r="C22" s="1" t="s">
        <v>2706</v>
      </c>
      <c r="D22" s="1" t="n">
        <v>2</v>
      </c>
      <c r="E22" s="281" t="s">
        <v>1324</v>
      </c>
      <c r="F22" s="1" t="str">
        <f aca="false">B22&amp;" - "&amp;E22</f>
        <v>209 - Nursery/Greenhouse</v>
      </c>
    </row>
    <row r="23" customFormat="false" ht="12" hidden="false" customHeight="true" outlineLevel="0" collapsed="false">
      <c r="B23" s="281" t="n">
        <v>210</v>
      </c>
      <c r="C23" s="1" t="s">
        <v>2706</v>
      </c>
      <c r="D23" s="1" t="n">
        <v>35</v>
      </c>
      <c r="E23" s="281" t="s">
        <v>1325</v>
      </c>
      <c r="F23" s="1" t="str">
        <f aca="false">B23&amp;" - "&amp;E23</f>
        <v>210 - Industrial Flex Mall Building</v>
      </c>
    </row>
    <row r="24" customFormat="false" ht="12" hidden="false" customHeight="true" outlineLevel="0" collapsed="false">
      <c r="B24" s="281" t="n">
        <v>210</v>
      </c>
      <c r="C24" s="1" t="s">
        <v>2692</v>
      </c>
      <c r="D24" s="1" t="n">
        <v>14</v>
      </c>
      <c r="E24" s="281" t="s">
        <v>1325</v>
      </c>
      <c r="F24" s="1" t="str">
        <f aca="false">B24&amp;" - "&amp;E24</f>
        <v>210 - Industrial Flex Mall Building</v>
      </c>
    </row>
    <row r="25" customFormat="false" ht="12" hidden="false" customHeight="true" outlineLevel="0" collapsed="false">
      <c r="B25" s="281" t="n">
        <v>211</v>
      </c>
      <c r="C25" s="1" t="s">
        <v>2692</v>
      </c>
      <c r="D25" s="1" t="n">
        <v>2</v>
      </c>
      <c r="E25" s="281" t="s">
        <v>1447</v>
      </c>
      <c r="F25" s="1" t="str">
        <f aca="false">B25&amp;" - "&amp;E25</f>
        <v>211 - Industiral Interior Office Space</v>
      </c>
    </row>
    <row r="26" customFormat="false" ht="12" hidden="false" customHeight="true" outlineLevel="0" collapsed="false">
      <c r="B26" s="281" t="n">
        <v>212</v>
      </c>
      <c r="C26" s="1" t="s">
        <v>2692</v>
      </c>
      <c r="D26" s="1" t="n">
        <v>2</v>
      </c>
      <c r="E26" s="281" t="s">
        <v>1326</v>
      </c>
      <c r="F26" s="1" t="str">
        <f aca="false">B26&amp;" - "&amp;E26</f>
        <v>212 - Laboratories</v>
      </c>
    </row>
    <row r="27" customFormat="false" ht="12" hidden="false" customHeight="true" outlineLevel="0" collapsed="false">
      <c r="B27" s="281" t="n">
        <v>213</v>
      </c>
      <c r="C27" s="1" t="s">
        <v>2706</v>
      </c>
      <c r="D27" s="1" t="n">
        <v>1</v>
      </c>
      <c r="E27" s="281" t="s">
        <v>1327</v>
      </c>
      <c r="F27" s="1" t="str">
        <f aca="false">B27&amp;" - "&amp;E27</f>
        <v>213 - Light Industrial Shell Buildings</v>
      </c>
    </row>
    <row r="28" customFormat="false" ht="12" hidden="false" customHeight="true" outlineLevel="0" collapsed="false">
      <c r="B28" s="281" t="n">
        <v>213</v>
      </c>
      <c r="C28" s="1" t="s">
        <v>2692</v>
      </c>
      <c r="D28" s="1" t="n">
        <v>2</v>
      </c>
      <c r="E28" s="281" t="s">
        <v>1327</v>
      </c>
      <c r="F28" s="1" t="str">
        <f aca="false">B28&amp;" - "&amp;E28</f>
        <v>213 - Light Industrial Shell Buildings</v>
      </c>
    </row>
    <row r="29" customFormat="false" ht="12" hidden="false" customHeight="true" outlineLevel="0" collapsed="false">
      <c r="B29" s="281" t="n">
        <v>217</v>
      </c>
      <c r="C29" s="1" t="s">
        <v>2706</v>
      </c>
      <c r="D29" s="1" t="n">
        <v>1</v>
      </c>
      <c r="E29" s="281" t="s">
        <v>1449</v>
      </c>
      <c r="F29" s="1" t="str">
        <f aca="false">B29&amp;" - "&amp;E29</f>
        <v>217 - Miscellaneous OB</v>
      </c>
    </row>
    <row r="30" customFormat="false" ht="12" hidden="false" customHeight="true" outlineLevel="0" collapsed="false">
      <c r="B30" s="281" t="n">
        <v>220</v>
      </c>
      <c r="C30" s="1" t="s">
        <v>2706</v>
      </c>
      <c r="D30" s="1" t="n">
        <v>1</v>
      </c>
      <c r="E30" s="281" t="s">
        <v>1328</v>
      </c>
      <c r="F30" s="1" t="str">
        <f aca="false">B30&amp;" - "&amp;E30</f>
        <v>220 - Recreational Pool Enclosure</v>
      </c>
    </row>
    <row r="31" customFormat="false" ht="12" hidden="false" customHeight="true" outlineLevel="0" collapsed="false">
      <c r="B31" s="281" t="n">
        <v>227</v>
      </c>
      <c r="C31" s="1" t="s">
        <v>2706</v>
      </c>
      <c r="D31" s="1" t="n">
        <v>20</v>
      </c>
      <c r="E31" s="281" t="s">
        <v>1329</v>
      </c>
      <c r="F31" s="1" t="str">
        <f aca="false">B31&amp;" - "&amp;E31</f>
        <v>227 - Complete Auto Dealership</v>
      </c>
    </row>
    <row r="32" customFormat="false" ht="12" hidden="false" customHeight="true" outlineLevel="0" collapsed="false">
      <c r="B32" s="281" t="n">
        <v>228</v>
      </c>
      <c r="C32" s="1" t="s">
        <v>2706</v>
      </c>
      <c r="D32" s="1" t="n">
        <v>3</v>
      </c>
      <c r="E32" s="281" t="s">
        <v>1330</v>
      </c>
      <c r="F32" s="1" t="str">
        <f aca="false">B32&amp;" - "&amp;E32</f>
        <v>228 - Kennel</v>
      </c>
    </row>
    <row r="33" customFormat="false" ht="12" hidden="false" customHeight="true" outlineLevel="0" collapsed="false">
      <c r="B33" s="281" t="n">
        <v>228</v>
      </c>
      <c r="C33" s="1" t="s">
        <v>2692</v>
      </c>
      <c r="D33" s="1" t="n">
        <v>1</v>
      </c>
      <c r="E33" s="281" t="s">
        <v>1330</v>
      </c>
      <c r="F33" s="1" t="str">
        <f aca="false">B33&amp;" - "&amp;E33</f>
        <v>228 - Kennel</v>
      </c>
    </row>
    <row r="34" customFormat="false" ht="12" hidden="false" customHeight="true" outlineLevel="0" collapsed="false">
      <c r="B34" s="281" t="n">
        <v>300</v>
      </c>
      <c r="C34" s="1" t="s">
        <v>2706</v>
      </c>
      <c r="D34" s="1" t="n">
        <v>1</v>
      </c>
      <c r="E34" s="281" t="s">
        <v>1331</v>
      </c>
      <c r="F34" s="1" t="str">
        <f aca="false">B34&amp;" - "&amp;E34</f>
        <v>300 - Apartments (Hi-Rise)</v>
      </c>
    </row>
    <row r="35" customFormat="false" ht="12" hidden="false" customHeight="true" outlineLevel="0" collapsed="false">
      <c r="B35" s="281" t="n">
        <v>302</v>
      </c>
      <c r="C35" s="1" t="s">
        <v>2706</v>
      </c>
      <c r="D35" s="1" t="n">
        <v>2</v>
      </c>
      <c r="E35" s="281" t="s">
        <v>1332</v>
      </c>
      <c r="F35" s="1" t="str">
        <f aca="false">B35&amp;" - "&amp;E35</f>
        <v>302 - Auditorium</v>
      </c>
    </row>
    <row r="36" customFormat="false" ht="12" hidden="false" customHeight="true" outlineLevel="0" collapsed="false">
      <c r="B36" s="281" t="n">
        <v>303</v>
      </c>
      <c r="C36" s="1" t="s">
        <v>2706</v>
      </c>
      <c r="D36" s="1" t="n">
        <v>11</v>
      </c>
      <c r="E36" s="281" t="s">
        <v>1333</v>
      </c>
      <c r="F36" s="1" t="str">
        <f aca="false">B36&amp;" - "&amp;E36</f>
        <v>303 - Showroom</v>
      </c>
    </row>
    <row r="37" customFormat="false" ht="12" hidden="false" customHeight="true" outlineLevel="0" collapsed="false">
      <c r="B37" s="281" t="n">
        <v>304</v>
      </c>
      <c r="C37" s="1" t="s">
        <v>2706</v>
      </c>
      <c r="D37" s="1" t="n">
        <v>89</v>
      </c>
      <c r="E37" s="281" t="s">
        <v>1334</v>
      </c>
      <c r="F37" s="1" t="str">
        <f aca="false">B37&amp;" - "&amp;E37</f>
        <v>304 - Bank</v>
      </c>
    </row>
    <row r="38" customFormat="false" ht="12" hidden="false" customHeight="true" outlineLevel="0" collapsed="false">
      <c r="B38" s="281" t="n">
        <v>305</v>
      </c>
      <c r="C38" s="1" t="s">
        <v>2706</v>
      </c>
      <c r="D38" s="1" t="n">
        <v>1</v>
      </c>
      <c r="E38" s="281" t="s">
        <v>1335</v>
      </c>
      <c r="F38" s="1" t="str">
        <f aca="false">B38&amp;" - "&amp;E38</f>
        <v>305 - Drive-up Mini Banks</v>
      </c>
    </row>
    <row r="39" customFormat="false" ht="12" hidden="false" customHeight="true" outlineLevel="0" collapsed="false">
      <c r="B39" s="281" t="n">
        <v>306</v>
      </c>
      <c r="C39" s="1" t="s">
        <v>2706</v>
      </c>
      <c r="D39" s="1" t="n">
        <v>6</v>
      </c>
      <c r="E39" s="281" t="s">
        <v>1336</v>
      </c>
      <c r="F39" s="1" t="str">
        <f aca="false">B39&amp;" - "&amp;E39</f>
        <v>306 - Bowling Alley</v>
      </c>
    </row>
    <row r="40" customFormat="false" ht="12" hidden="false" customHeight="true" outlineLevel="0" collapsed="false">
      <c r="B40" s="281" t="n">
        <v>309</v>
      </c>
      <c r="C40" s="1" t="s">
        <v>2706</v>
      </c>
      <c r="D40" s="1" t="n">
        <v>18</v>
      </c>
      <c r="E40" s="281" t="s">
        <v>1337</v>
      </c>
      <c r="F40" s="1" t="str">
        <f aca="false">B40&amp;" - "&amp;E40</f>
        <v>309 - Church</v>
      </c>
    </row>
    <row r="41" customFormat="false" ht="12" hidden="false" customHeight="true" outlineLevel="0" collapsed="false">
      <c r="B41" s="281" t="n">
        <v>310</v>
      </c>
      <c r="C41" s="1" t="s">
        <v>2706</v>
      </c>
      <c r="D41" s="1" t="n">
        <v>1</v>
      </c>
      <c r="E41" s="281" t="s">
        <v>1338</v>
      </c>
      <c r="F41" s="1" t="str">
        <f aca="false">B41&amp;" - "&amp;E41</f>
        <v>310 - City Club</v>
      </c>
    </row>
    <row r="42" customFormat="false" ht="12" hidden="false" customHeight="true" outlineLevel="0" collapsed="false">
      <c r="B42" s="281" t="n">
        <v>311</v>
      </c>
      <c r="C42" s="1" t="s">
        <v>2706</v>
      </c>
      <c r="D42" s="1" t="n">
        <v>5</v>
      </c>
      <c r="E42" s="281" t="s">
        <v>1339</v>
      </c>
      <c r="F42" s="1" t="str">
        <f aca="false">B42&amp;" - "&amp;E42</f>
        <v>311 - Clubhouse</v>
      </c>
    </row>
    <row r="43" customFormat="false" ht="12" hidden="false" customHeight="true" outlineLevel="0" collapsed="false">
      <c r="B43" s="281" t="n">
        <v>313</v>
      </c>
      <c r="C43" s="1" t="s">
        <v>2706</v>
      </c>
      <c r="D43" s="1" t="n">
        <v>1</v>
      </c>
      <c r="E43" s="281" t="s">
        <v>1340</v>
      </c>
      <c r="F43" s="1" t="str">
        <f aca="false">B43&amp;" - "&amp;E43</f>
        <v>313 - Convlsnt Hosp Nursing Home</v>
      </c>
    </row>
    <row r="44" customFormat="false" ht="12" hidden="false" customHeight="true" outlineLevel="0" collapsed="false">
      <c r="B44" s="281" t="n">
        <v>314</v>
      </c>
      <c r="C44" s="1" t="s">
        <v>2706</v>
      </c>
      <c r="D44" s="1" t="n">
        <v>1</v>
      </c>
      <c r="E44" s="281" t="s">
        <v>1341</v>
      </c>
      <c r="F44" s="1" t="str">
        <f aca="false">B44&amp;" - "&amp;E44</f>
        <v>314 - Country Club</v>
      </c>
    </row>
    <row r="45" customFormat="false" ht="12" hidden="false" customHeight="true" outlineLevel="0" collapsed="false">
      <c r="B45" s="281" t="n">
        <v>318</v>
      </c>
      <c r="C45" s="1" t="s">
        <v>2706</v>
      </c>
      <c r="D45" s="1" t="n">
        <v>3</v>
      </c>
      <c r="E45" s="281" t="s">
        <v>1342</v>
      </c>
      <c r="F45" s="1" t="str">
        <f aca="false">B45&amp;" - "&amp;E45</f>
        <v>318 - Department Store</v>
      </c>
    </row>
    <row r="46" customFormat="false" ht="12" hidden="false" customHeight="true" outlineLevel="0" collapsed="false">
      <c r="B46" s="281" t="n">
        <v>319</v>
      </c>
      <c r="C46" s="1" t="s">
        <v>2706</v>
      </c>
      <c r="D46" s="1" t="n">
        <v>47</v>
      </c>
      <c r="E46" s="281" t="s">
        <v>1343</v>
      </c>
      <c r="F46" s="1" t="str">
        <f aca="false">B46&amp;" - "&amp;E46</f>
        <v>319 - Discount Store</v>
      </c>
    </row>
    <row r="47" customFormat="false" ht="12" hidden="false" customHeight="true" outlineLevel="0" collapsed="false">
      <c r="B47" s="281" t="n">
        <v>320</v>
      </c>
      <c r="C47" s="1" t="s">
        <v>2706</v>
      </c>
      <c r="D47" s="1" t="n">
        <v>3</v>
      </c>
      <c r="E47" s="281" t="s">
        <v>1344</v>
      </c>
      <c r="F47" s="1" t="str">
        <f aca="false">B47&amp;" - "&amp;E47</f>
        <v>320 - Dispensary</v>
      </c>
    </row>
    <row r="48" customFormat="false" ht="12" hidden="false" customHeight="true" outlineLevel="0" collapsed="false">
      <c r="B48" s="281" t="n">
        <v>320</v>
      </c>
      <c r="C48" s="1" t="s">
        <v>2692</v>
      </c>
      <c r="D48" s="1" t="n">
        <v>1</v>
      </c>
      <c r="E48" s="281" t="s">
        <v>1344</v>
      </c>
      <c r="F48" s="1" t="str">
        <f aca="false">B48&amp;" - "&amp;E48</f>
        <v>320 - Dispensary</v>
      </c>
    </row>
    <row r="49" customFormat="false" ht="12" hidden="false" customHeight="true" outlineLevel="0" collapsed="false">
      <c r="B49" s="281" t="n">
        <v>321</v>
      </c>
      <c r="C49" s="1" t="s">
        <v>2706</v>
      </c>
      <c r="D49" s="1" t="n">
        <v>1</v>
      </c>
      <c r="E49" s="281" t="s">
        <v>1345</v>
      </c>
      <c r="F49" s="1" t="str">
        <f aca="false">B49&amp;" - "&amp;E49</f>
        <v>321 - Dormitory Residence Halls</v>
      </c>
    </row>
    <row r="50" customFormat="false" ht="12" hidden="false" customHeight="true" outlineLevel="0" collapsed="false">
      <c r="B50" s="281" t="n">
        <v>323</v>
      </c>
      <c r="C50" s="1" t="s">
        <v>2706</v>
      </c>
      <c r="D50" s="1" t="n">
        <v>5</v>
      </c>
      <c r="E50" s="281" t="s">
        <v>1346</v>
      </c>
      <c r="F50" s="1" t="str">
        <f aca="false">B50&amp;" - "&amp;E50</f>
        <v>323 - Fraternal Building</v>
      </c>
    </row>
    <row r="51" customFormat="false" ht="12" hidden="false" customHeight="true" outlineLevel="0" collapsed="false">
      <c r="B51" s="281" t="n">
        <v>325</v>
      </c>
      <c r="C51" s="1" t="s">
        <v>2706</v>
      </c>
      <c r="D51" s="1" t="n">
        <v>573</v>
      </c>
      <c r="E51" s="281" t="s">
        <v>1347</v>
      </c>
      <c r="F51" s="1" t="str">
        <f aca="false">B51&amp;" - "&amp;E51</f>
        <v>325 - Service Garage</v>
      </c>
    </row>
    <row r="52" customFormat="false" ht="12" hidden="false" customHeight="true" outlineLevel="0" collapsed="false">
      <c r="B52" s="281" t="n">
        <v>325</v>
      </c>
      <c r="C52" s="1" t="s">
        <v>2692</v>
      </c>
      <c r="D52" s="1" t="n">
        <v>38</v>
      </c>
      <c r="E52" s="281" t="s">
        <v>1347</v>
      </c>
      <c r="F52" s="1" t="str">
        <f aca="false">B52&amp;" - "&amp;E52</f>
        <v>325 - Service Garage</v>
      </c>
    </row>
    <row r="53" customFormat="false" ht="12" hidden="false" customHeight="true" outlineLevel="0" collapsed="false">
      <c r="B53" s="281" t="n">
        <v>326</v>
      </c>
      <c r="C53" s="1" t="s">
        <v>2706</v>
      </c>
      <c r="D53" s="1" t="n">
        <v>28</v>
      </c>
      <c r="E53" s="281" t="s">
        <v>1348</v>
      </c>
      <c r="F53" s="1" t="str">
        <f aca="false">B53&amp;" - "&amp;E53</f>
        <v>326 - Storage Garage</v>
      </c>
    </row>
    <row r="54" customFormat="false" ht="12" hidden="false" customHeight="true" outlineLevel="0" collapsed="false">
      <c r="B54" s="281" t="n">
        <v>326</v>
      </c>
      <c r="C54" s="1" t="s">
        <v>2692</v>
      </c>
      <c r="D54" s="1" t="n">
        <v>4</v>
      </c>
      <c r="E54" s="281" t="s">
        <v>1348</v>
      </c>
      <c r="F54" s="1" t="str">
        <f aca="false">B54&amp;" - "&amp;E54</f>
        <v>326 - Storage Garage</v>
      </c>
    </row>
    <row r="55" customFormat="false" ht="12" hidden="false" customHeight="true" outlineLevel="0" collapsed="false">
      <c r="B55" s="281" t="n">
        <v>328</v>
      </c>
      <c r="C55" s="1" t="s">
        <v>2706</v>
      </c>
      <c r="D55" s="1" t="n">
        <v>163</v>
      </c>
      <c r="E55" s="281" t="s">
        <v>1349</v>
      </c>
      <c r="F55" s="1" t="str">
        <f aca="false">B55&amp;" - "&amp;E55</f>
        <v>328 - Storage Hanger</v>
      </c>
    </row>
    <row r="56" customFormat="false" ht="12" hidden="false" customHeight="true" outlineLevel="0" collapsed="false">
      <c r="B56" s="281" t="n">
        <v>331</v>
      </c>
      <c r="C56" s="1" t="s">
        <v>2706</v>
      </c>
      <c r="D56" s="1" t="n">
        <v>4</v>
      </c>
      <c r="E56" s="281" t="s">
        <v>1350</v>
      </c>
      <c r="F56" s="1" t="str">
        <f aca="false">B56&amp;" - "&amp;E56</f>
        <v>331 - Hospital</v>
      </c>
    </row>
    <row r="57" customFormat="false" ht="12" hidden="false" customHeight="true" outlineLevel="0" collapsed="false">
      <c r="B57" s="281" t="n">
        <v>332</v>
      </c>
      <c r="C57" s="1" t="s">
        <v>2706</v>
      </c>
      <c r="D57" s="1" t="n">
        <v>13</v>
      </c>
      <c r="E57" s="281" t="s">
        <v>1351</v>
      </c>
      <c r="F57" s="1" t="str">
        <f aca="false">B57&amp;" - "&amp;E57</f>
        <v>332 - Hotel - Full Service</v>
      </c>
    </row>
    <row r="58" customFormat="false" ht="12" hidden="false" customHeight="true" outlineLevel="0" collapsed="false">
      <c r="B58" s="281" t="n">
        <v>333</v>
      </c>
      <c r="C58" s="1" t="s">
        <v>2706</v>
      </c>
      <c r="D58" s="1" t="n">
        <v>2</v>
      </c>
      <c r="E58" s="281" t="s">
        <v>1352</v>
      </c>
      <c r="F58" s="1" t="str">
        <f aca="false">B58&amp;" - "&amp;E58</f>
        <v>333 - Indust Heavy Manufacturing</v>
      </c>
    </row>
    <row r="59" customFormat="false" ht="12" hidden="false" customHeight="true" outlineLevel="0" collapsed="false">
      <c r="B59" s="281" t="n">
        <v>333</v>
      </c>
      <c r="C59" s="1" t="s">
        <v>2692</v>
      </c>
      <c r="D59" s="1" t="n">
        <v>1</v>
      </c>
      <c r="E59" s="281" t="s">
        <v>1352</v>
      </c>
      <c r="F59" s="1" t="str">
        <f aca="false">B59&amp;" - "&amp;E59</f>
        <v>333 - Indust Heavy Manufacturing</v>
      </c>
    </row>
    <row r="60" customFormat="false" ht="12" hidden="false" customHeight="true" outlineLevel="0" collapsed="false">
      <c r="B60" s="281" t="n">
        <v>334</v>
      </c>
      <c r="C60" s="1" t="s">
        <v>2706</v>
      </c>
      <c r="D60" s="1" t="n">
        <v>47</v>
      </c>
      <c r="E60" s="281" t="s">
        <v>1353</v>
      </c>
      <c r="F60" s="1" t="str">
        <f aca="false">B60&amp;" - "&amp;E60</f>
        <v>334 - Indust Lght Manufacturing</v>
      </c>
    </row>
    <row r="61" customFormat="false" ht="12" hidden="false" customHeight="true" outlineLevel="0" collapsed="false">
      <c r="B61" s="281" t="n">
        <v>334</v>
      </c>
      <c r="C61" s="1" t="s">
        <v>2692</v>
      </c>
      <c r="D61" s="1" t="n">
        <v>79</v>
      </c>
      <c r="E61" s="281" t="s">
        <v>1353</v>
      </c>
      <c r="F61" s="1" t="str">
        <f aca="false">B61&amp;" - "&amp;E61</f>
        <v>334 - Indust Lght Manufacturing</v>
      </c>
    </row>
    <row r="62" customFormat="false" ht="12" hidden="false" customHeight="true" outlineLevel="0" collapsed="false">
      <c r="B62" s="281" t="n">
        <v>335</v>
      </c>
      <c r="C62" s="1" t="s">
        <v>2706</v>
      </c>
      <c r="D62" s="1" t="n">
        <v>1</v>
      </c>
      <c r="E62" s="281" t="s">
        <v>1354</v>
      </c>
      <c r="F62" s="1" t="str">
        <f aca="false">B62&amp;" - "&amp;E62</f>
        <v>335 - Jail - Correctional Facility</v>
      </c>
    </row>
    <row r="63" customFormat="false" ht="12" hidden="false" customHeight="true" outlineLevel="0" collapsed="false">
      <c r="B63" s="281" t="n">
        <v>336</v>
      </c>
      <c r="C63" s="1" t="s">
        <v>2706</v>
      </c>
      <c r="D63" s="1" t="n">
        <v>5</v>
      </c>
      <c r="E63" s="281" t="s">
        <v>1355</v>
      </c>
      <c r="F63" s="1" t="str">
        <f aca="false">B63&amp;" - "&amp;E63</f>
        <v>336 - Laundromat</v>
      </c>
    </row>
    <row r="64" customFormat="false" ht="12" hidden="false" customHeight="true" outlineLevel="0" collapsed="false">
      <c r="B64" s="281" t="n">
        <v>339</v>
      </c>
      <c r="C64" s="1" t="s">
        <v>2706</v>
      </c>
      <c r="D64" s="1" t="n">
        <v>16</v>
      </c>
      <c r="E64" s="281" t="s">
        <v>1356</v>
      </c>
      <c r="F64" s="1" t="str">
        <f aca="false">B64&amp;" - "&amp;E64</f>
        <v>339 - Lumber Storage - Horizontal</v>
      </c>
    </row>
    <row r="65" customFormat="false" ht="12" hidden="false" customHeight="true" outlineLevel="0" collapsed="false">
      <c r="B65" s="281" t="n">
        <v>339</v>
      </c>
      <c r="C65" s="1" t="s">
        <v>2692</v>
      </c>
      <c r="D65" s="1" t="n">
        <v>2</v>
      </c>
      <c r="E65" s="281" t="s">
        <v>1356</v>
      </c>
      <c r="F65" s="1" t="str">
        <f aca="false">B65&amp;" - "&amp;E65</f>
        <v>339 - Lumber Storage - Horizontal</v>
      </c>
    </row>
    <row r="66" customFormat="false" ht="12" hidden="false" customHeight="true" outlineLevel="0" collapsed="false">
      <c r="B66" s="281" t="n">
        <v>340</v>
      </c>
      <c r="C66" s="1" t="s">
        <v>2706</v>
      </c>
      <c r="D66" s="1" t="n">
        <v>9</v>
      </c>
      <c r="E66" s="281" t="s">
        <v>1357</v>
      </c>
      <c r="F66" s="1" t="str">
        <f aca="false">B66&amp;" - "&amp;E66</f>
        <v>340 - Market</v>
      </c>
    </row>
    <row r="67" customFormat="false" ht="12" hidden="false" customHeight="true" outlineLevel="0" collapsed="false">
      <c r="B67" s="281" t="n">
        <v>341</v>
      </c>
      <c r="C67" s="1" t="s">
        <v>2706</v>
      </c>
      <c r="D67" s="1" t="n">
        <v>307</v>
      </c>
      <c r="E67" s="281" t="s">
        <v>1358</v>
      </c>
      <c r="F67" s="1" t="str">
        <f aca="false">B67&amp;" - "&amp;E67</f>
        <v>341 - Medical Offices</v>
      </c>
    </row>
    <row r="68" customFormat="false" ht="12" hidden="false" customHeight="true" outlineLevel="0" collapsed="false">
      <c r="B68" s="281" t="n">
        <v>342</v>
      </c>
      <c r="C68" s="1" t="s">
        <v>2706</v>
      </c>
      <c r="D68" s="1" t="n">
        <v>6</v>
      </c>
      <c r="E68" s="281" t="s">
        <v>1359</v>
      </c>
      <c r="F68" s="1" t="str">
        <f aca="false">B68&amp;" - "&amp;E68</f>
        <v>342 - Mortuary</v>
      </c>
    </row>
    <row r="69" customFormat="false" ht="12" hidden="false" customHeight="true" outlineLevel="0" collapsed="false">
      <c r="B69" s="281" t="n">
        <v>343</v>
      </c>
      <c r="C69" s="1" t="s">
        <v>2706</v>
      </c>
      <c r="D69" s="1" t="n">
        <v>16</v>
      </c>
      <c r="E69" s="281" t="s">
        <v>1360</v>
      </c>
      <c r="F69" s="1" t="str">
        <f aca="false">B69&amp;" - "&amp;E69</f>
        <v>343 - Motel</v>
      </c>
    </row>
    <row r="70" customFormat="false" ht="12" hidden="false" customHeight="true" outlineLevel="0" collapsed="false">
      <c r="B70" s="281" t="n">
        <v>344</v>
      </c>
      <c r="C70" s="1" t="s">
        <v>2706</v>
      </c>
      <c r="D70" s="1" t="n">
        <v>509</v>
      </c>
      <c r="E70" s="281" t="s">
        <v>1361</v>
      </c>
      <c r="F70" s="1" t="str">
        <f aca="false">B70&amp;" - "&amp;E70</f>
        <v>344 - Office Building</v>
      </c>
    </row>
    <row r="71" customFormat="false" ht="12" hidden="false" customHeight="true" outlineLevel="0" collapsed="false">
      <c r="B71" s="281" t="n">
        <v>344</v>
      </c>
      <c r="C71" s="1" t="s">
        <v>2692</v>
      </c>
      <c r="D71" s="1" t="n">
        <v>57</v>
      </c>
      <c r="E71" s="281" t="s">
        <v>1361</v>
      </c>
      <c r="F71" s="1" t="str">
        <f aca="false">B71&amp;" - "&amp;E71</f>
        <v>344 - Office Building</v>
      </c>
    </row>
    <row r="72" customFormat="false" ht="12" hidden="false" customHeight="true" outlineLevel="0" collapsed="false">
      <c r="B72" s="281" t="n">
        <v>345</v>
      </c>
      <c r="C72" s="1" t="s">
        <v>2706</v>
      </c>
      <c r="D72" s="1" t="n">
        <v>5</v>
      </c>
      <c r="E72" s="281" t="s">
        <v>1362</v>
      </c>
      <c r="F72" s="1" t="str">
        <f aca="false">B72&amp;" - "&amp;E72</f>
        <v>345 - Parking Structure</v>
      </c>
    </row>
    <row r="73" customFormat="false" ht="12" hidden="false" customHeight="true" outlineLevel="0" collapsed="false">
      <c r="B73" s="281" t="n">
        <v>345</v>
      </c>
      <c r="C73" s="1" t="s">
        <v>2692</v>
      </c>
      <c r="D73" s="1" t="n">
        <v>1</v>
      </c>
      <c r="E73" s="281" t="s">
        <v>1362</v>
      </c>
      <c r="F73" s="1" t="str">
        <f aca="false">B73&amp;" - "&amp;E73</f>
        <v>345 - Parking Structure</v>
      </c>
    </row>
    <row r="74" customFormat="false" ht="12" hidden="false" customHeight="true" outlineLevel="0" collapsed="false">
      <c r="B74" s="281" t="n">
        <v>346</v>
      </c>
      <c r="C74" s="1" t="s">
        <v>2706</v>
      </c>
      <c r="D74" s="1" t="n">
        <v>12</v>
      </c>
      <c r="E74" s="281" t="s">
        <v>1363</v>
      </c>
      <c r="F74" s="1" t="str">
        <f aca="false">B74&amp;" - "&amp;E74</f>
        <v>346 - Post Office</v>
      </c>
    </row>
    <row r="75" customFormat="false" ht="12" hidden="false" customHeight="true" outlineLevel="0" collapsed="false">
      <c r="B75" s="281" t="n">
        <v>349</v>
      </c>
      <c r="C75" s="1" t="s">
        <v>2706</v>
      </c>
      <c r="D75" s="1" t="n">
        <v>194</v>
      </c>
      <c r="E75" s="281" t="s">
        <v>1364</v>
      </c>
      <c r="F75" s="1" t="str">
        <f aca="false">B75&amp;" - "&amp;E75</f>
        <v>349 - Fast Food Restaurant</v>
      </c>
    </row>
    <row r="76" customFormat="false" ht="12" hidden="false" customHeight="true" outlineLevel="0" collapsed="false">
      <c r="B76" s="281" t="n">
        <v>350</v>
      </c>
      <c r="C76" s="1" t="s">
        <v>2706</v>
      </c>
      <c r="D76" s="1" t="n">
        <v>186</v>
      </c>
      <c r="E76" s="281" t="s">
        <v>1365</v>
      </c>
      <c r="F76" s="1" t="str">
        <f aca="false">B76&amp;" - "&amp;E76</f>
        <v>350 - Restaurant</v>
      </c>
    </row>
    <row r="77" customFormat="false" ht="12" hidden="false" customHeight="true" outlineLevel="0" collapsed="false">
      <c r="B77" s="281" t="n">
        <v>352</v>
      </c>
      <c r="C77" s="1" t="s">
        <v>2706</v>
      </c>
      <c r="D77" s="1" t="n">
        <v>6</v>
      </c>
      <c r="E77" s="281" t="s">
        <v>1366</v>
      </c>
      <c r="F77" s="1" t="str">
        <f aca="false">B77&amp;" - "&amp;E77</f>
        <v>352 - Multiple - Residential</v>
      </c>
    </row>
    <row r="78" customFormat="false" ht="12" hidden="false" customHeight="true" outlineLevel="0" collapsed="false">
      <c r="B78" s="281" t="n">
        <v>352</v>
      </c>
      <c r="C78" s="1" t="s">
        <v>2692</v>
      </c>
      <c r="D78" s="1" t="n">
        <v>1</v>
      </c>
      <c r="E78" s="281" t="s">
        <v>1366</v>
      </c>
      <c r="F78" s="1" t="str">
        <f aca="false">B78&amp;" - "&amp;E78</f>
        <v>352 - Multiple - Residential</v>
      </c>
    </row>
    <row r="79" customFormat="false" ht="12" hidden="false" customHeight="true" outlineLevel="0" collapsed="false">
      <c r="B79" s="281" t="n">
        <v>353</v>
      </c>
      <c r="C79" s="1" t="s">
        <v>2706</v>
      </c>
      <c r="D79" s="1" t="n">
        <v>698</v>
      </c>
      <c r="E79" s="281" t="s">
        <v>1367</v>
      </c>
      <c r="F79" s="1" t="str">
        <f aca="false">B79&amp;" - "&amp;E79</f>
        <v>353 - Retail Store</v>
      </c>
    </row>
    <row r="80" customFormat="false" ht="12" hidden="false" customHeight="true" outlineLevel="0" collapsed="false">
      <c r="B80" s="281" t="n">
        <v>353</v>
      </c>
      <c r="C80" s="1" t="s">
        <v>2692</v>
      </c>
      <c r="D80" s="1" t="n">
        <v>2</v>
      </c>
      <c r="E80" s="281" t="s">
        <v>1367</v>
      </c>
      <c r="F80" s="1" t="str">
        <f aca="false">B80&amp;" - "&amp;E80</f>
        <v>353 - Retail Store</v>
      </c>
    </row>
    <row r="81" customFormat="false" ht="12" hidden="false" customHeight="true" outlineLevel="0" collapsed="false">
      <c r="B81" s="281" t="n">
        <v>356</v>
      </c>
      <c r="C81" s="1" t="s">
        <v>2706</v>
      </c>
      <c r="D81" s="1" t="n">
        <v>1</v>
      </c>
      <c r="E81" s="281" t="s">
        <v>1368</v>
      </c>
      <c r="F81" s="1" t="str">
        <f aca="false">B81&amp;" - "&amp;E81</f>
        <v>356 - School - Classroom</v>
      </c>
    </row>
    <row r="82" customFormat="false" ht="12" hidden="false" customHeight="true" outlineLevel="0" collapsed="false">
      <c r="B82" s="281" t="n">
        <v>358</v>
      </c>
      <c r="C82" s="1" t="s">
        <v>2706</v>
      </c>
      <c r="D82" s="1" t="n">
        <v>5</v>
      </c>
      <c r="E82" s="281" t="s">
        <v>1369</v>
      </c>
      <c r="F82" s="1" t="str">
        <f aca="false">B82&amp;" - "&amp;E82</f>
        <v>358 - School - Gymnasium</v>
      </c>
    </row>
    <row r="83" customFormat="false" ht="12" hidden="false" customHeight="true" outlineLevel="0" collapsed="false">
      <c r="B83" s="281" t="n">
        <v>359</v>
      </c>
      <c r="C83" s="1" t="s">
        <v>2706</v>
      </c>
      <c r="D83" s="1" t="n">
        <v>2</v>
      </c>
      <c r="E83" s="281" t="s">
        <v>1370</v>
      </c>
      <c r="F83" s="1" t="str">
        <f aca="false">B83&amp;" - "&amp;E83</f>
        <v>359 - School - Lecture Hall</v>
      </c>
    </row>
    <row r="84" customFormat="false" ht="12" hidden="false" customHeight="true" outlineLevel="0" collapsed="false">
      <c r="B84" s="281" t="n">
        <v>361</v>
      </c>
      <c r="C84" s="1" t="s">
        <v>2706</v>
      </c>
      <c r="D84" s="1" t="n">
        <v>2</v>
      </c>
      <c r="E84" s="281" t="s">
        <v>1371</v>
      </c>
      <c r="F84" s="1" t="str">
        <f aca="false">B84&amp;" - "&amp;E84</f>
        <v>361 - School - Manual Arts</v>
      </c>
    </row>
    <row r="85" customFormat="false" ht="12" hidden="false" customHeight="true" outlineLevel="0" collapsed="false">
      <c r="B85" s="281" t="n">
        <v>368</v>
      </c>
      <c r="C85" s="1" t="s">
        <v>2706</v>
      </c>
      <c r="D85" s="1" t="n">
        <v>2</v>
      </c>
      <c r="E85" s="281" t="s">
        <v>1372</v>
      </c>
      <c r="F85" s="1" t="str">
        <f aca="false">B85&amp;" - "&amp;E85</f>
        <v>368 - College - Classrooms</v>
      </c>
    </row>
    <row r="86" customFormat="false" ht="12" hidden="false" customHeight="true" outlineLevel="0" collapsed="false">
      <c r="B86" s="281" t="n">
        <v>378</v>
      </c>
      <c r="C86" s="1" t="s">
        <v>2706</v>
      </c>
      <c r="D86" s="1" t="n">
        <v>1</v>
      </c>
      <c r="E86" s="281" t="s">
        <v>1373</v>
      </c>
      <c r="F86" s="1" t="str">
        <f aca="false">B86&amp;" - "&amp;E86</f>
        <v>378 - Stable</v>
      </c>
    </row>
    <row r="87" customFormat="false" ht="12" hidden="false" customHeight="true" outlineLevel="0" collapsed="false">
      <c r="B87" s="281" t="n">
        <v>380</v>
      </c>
      <c r="C87" s="1" t="s">
        <v>2706</v>
      </c>
      <c r="D87" s="1" t="n">
        <v>2</v>
      </c>
      <c r="E87" s="281" t="s">
        <v>1374</v>
      </c>
      <c r="F87" s="1" t="str">
        <f aca="false">B87&amp;" - "&amp;E87</f>
        <v>380 - Theatre - Motion</v>
      </c>
    </row>
    <row r="88" customFormat="false" ht="12" hidden="false" customHeight="true" outlineLevel="0" collapsed="false">
      <c r="B88" s="281" t="n">
        <v>381</v>
      </c>
      <c r="C88" s="1" t="s">
        <v>2706</v>
      </c>
      <c r="D88" s="1" t="n">
        <v>21</v>
      </c>
      <c r="E88" s="281" t="s">
        <v>1375</v>
      </c>
      <c r="F88" s="1" t="str">
        <f aca="false">B88&amp;" - "&amp;E88</f>
        <v>381 - Veterinary Hospital</v>
      </c>
    </row>
    <row r="89" customFormat="false" ht="12" hidden="false" customHeight="true" outlineLevel="0" collapsed="false">
      <c r="B89" s="281" t="n">
        <v>382</v>
      </c>
      <c r="C89" s="1" t="s">
        <v>2706</v>
      </c>
      <c r="D89" s="1" t="n">
        <v>1</v>
      </c>
      <c r="E89" s="281" t="s">
        <v>878</v>
      </c>
      <c r="F89" s="1" t="str">
        <f aca="false">B89&amp;" - "&amp;E89</f>
        <v>382 - Medical Office Buildings</v>
      </c>
    </row>
    <row r="90" customFormat="false" ht="12" hidden="false" customHeight="true" outlineLevel="0" collapsed="false">
      <c r="B90" s="281" t="n">
        <v>384</v>
      </c>
      <c r="C90" s="1" t="s">
        <v>2706</v>
      </c>
      <c r="D90" s="1" t="n">
        <v>9</v>
      </c>
      <c r="E90" s="281" t="s">
        <v>1376</v>
      </c>
      <c r="F90" s="1" t="str">
        <f aca="false">B90&amp;" - "&amp;E90</f>
        <v>384 - Barber/Beauty Shop</v>
      </c>
    </row>
    <row r="91" customFormat="false" ht="12" hidden="false" customHeight="true" outlineLevel="0" collapsed="false">
      <c r="B91" s="281" t="n">
        <v>386</v>
      </c>
      <c r="C91" s="1" t="s">
        <v>2706</v>
      </c>
      <c r="D91" s="1" t="n">
        <v>77</v>
      </c>
      <c r="E91" s="281" t="s">
        <v>1377</v>
      </c>
      <c r="F91" s="1" t="str">
        <f aca="false">B91&amp;" - "&amp;E91</f>
        <v>386 - Mini Warehouse</v>
      </c>
    </row>
    <row r="92" customFormat="false" ht="12" hidden="false" customHeight="true" outlineLevel="0" collapsed="false">
      <c r="B92" s="281" t="n">
        <v>386</v>
      </c>
      <c r="C92" s="1" t="s">
        <v>2692</v>
      </c>
      <c r="D92" s="1" t="n">
        <v>4</v>
      </c>
      <c r="E92" s="281" t="s">
        <v>1377</v>
      </c>
      <c r="F92" s="1" t="str">
        <f aca="false">B92&amp;" - "&amp;E92</f>
        <v>386 - Mini Warehouse</v>
      </c>
    </row>
    <row r="93" customFormat="false" ht="12" hidden="false" customHeight="true" outlineLevel="0" collapsed="false">
      <c r="B93" s="281" t="n">
        <v>387</v>
      </c>
      <c r="C93" s="1" t="s">
        <v>2706</v>
      </c>
      <c r="D93" s="1" t="n">
        <v>27</v>
      </c>
      <c r="E93" s="281" t="s">
        <v>1378</v>
      </c>
      <c r="F93" s="1" t="str">
        <f aca="false">B93&amp;" - "&amp;E93</f>
        <v>387 - Transit Warehouse</v>
      </c>
    </row>
    <row r="94" customFormat="false" ht="12" hidden="false" customHeight="true" outlineLevel="0" collapsed="false">
      <c r="B94" s="281" t="n">
        <v>387</v>
      </c>
      <c r="C94" s="1" t="s">
        <v>2692</v>
      </c>
      <c r="D94" s="1" t="n">
        <v>4</v>
      </c>
      <c r="E94" s="281" t="s">
        <v>1378</v>
      </c>
      <c r="F94" s="1" t="str">
        <f aca="false">B94&amp;" - "&amp;E94</f>
        <v>387 - Transit Warehouse</v>
      </c>
    </row>
    <row r="95" customFormat="false" ht="12" hidden="false" customHeight="true" outlineLevel="0" collapsed="false">
      <c r="B95" s="281" t="n">
        <v>389</v>
      </c>
      <c r="C95" s="1" t="s">
        <v>2706</v>
      </c>
      <c r="D95" s="1" t="n">
        <v>7</v>
      </c>
      <c r="E95" s="281" t="s">
        <v>1379</v>
      </c>
      <c r="F95" s="1" t="str">
        <f aca="false">B95&amp;" - "&amp;E95</f>
        <v>389 - Equipment Implement</v>
      </c>
    </row>
    <row r="96" customFormat="false" ht="12" hidden="false" customHeight="true" outlineLevel="0" collapsed="false">
      <c r="B96" s="281" t="n">
        <v>389</v>
      </c>
      <c r="C96" s="1" t="s">
        <v>2692</v>
      </c>
      <c r="D96" s="1" t="n">
        <v>3</v>
      </c>
      <c r="E96" s="281" t="s">
        <v>1379</v>
      </c>
      <c r="F96" s="1" t="str">
        <f aca="false">B96&amp;" - "&amp;E96</f>
        <v>389 - Equipment Implement</v>
      </c>
    </row>
    <row r="97" customFormat="false" ht="12" hidden="false" customHeight="true" outlineLevel="0" collapsed="false">
      <c r="B97" s="281" t="n">
        <v>390</v>
      </c>
      <c r="C97" s="1" t="s">
        <v>2706</v>
      </c>
      <c r="D97" s="1" t="n">
        <v>4</v>
      </c>
      <c r="E97" s="281" t="s">
        <v>1380</v>
      </c>
      <c r="F97" s="1" t="str">
        <f aca="false">B97&amp;" - "&amp;E97</f>
        <v>390 - Lumber Storage - Vertical</v>
      </c>
    </row>
    <row r="98" customFormat="false" ht="12" hidden="false" customHeight="true" outlineLevel="0" collapsed="false">
      <c r="B98" s="281" t="n">
        <v>391</v>
      </c>
      <c r="C98" s="1" t="s">
        <v>2706</v>
      </c>
      <c r="D98" s="1" t="n">
        <v>10</v>
      </c>
      <c r="E98" s="281" t="s">
        <v>1381</v>
      </c>
      <c r="F98" s="1" t="str">
        <f aca="false">B98&amp;" - "&amp;E98</f>
        <v>391 - Storage - Material</v>
      </c>
    </row>
    <row r="99" customFormat="false" ht="12" hidden="false" customHeight="true" outlineLevel="0" collapsed="false">
      <c r="B99" s="281" t="n">
        <v>391</v>
      </c>
      <c r="C99" s="1" t="s">
        <v>2692</v>
      </c>
      <c r="D99" s="1" t="n">
        <v>3</v>
      </c>
      <c r="E99" s="281" t="s">
        <v>1381</v>
      </c>
      <c r="F99" s="1" t="str">
        <f aca="false">B99&amp;" - "&amp;E99</f>
        <v>391 - Storage - Material</v>
      </c>
    </row>
    <row r="100" customFormat="false" ht="12" hidden="false" customHeight="true" outlineLevel="0" collapsed="false">
      <c r="B100" s="281" t="n">
        <v>392</v>
      </c>
      <c r="C100" s="1" t="s">
        <v>2706</v>
      </c>
      <c r="D100" s="1" t="n">
        <v>2</v>
      </c>
      <c r="E100" s="281" t="s">
        <v>1382</v>
      </c>
      <c r="F100" s="1" t="str">
        <f aca="false">B100&amp;" - "&amp;E100</f>
        <v>392 - Industrial Engineering &amp; Research</v>
      </c>
    </row>
    <row r="101" customFormat="false" ht="12" hidden="false" customHeight="true" outlineLevel="0" collapsed="false">
      <c r="B101" s="281" t="n">
        <v>392</v>
      </c>
      <c r="C101" s="1" t="s">
        <v>2692</v>
      </c>
      <c r="D101" s="1" t="n">
        <v>2</v>
      </c>
      <c r="E101" s="281" t="s">
        <v>1382</v>
      </c>
      <c r="F101" s="1" t="str">
        <f aca="false">B101&amp;" - "&amp;E101</f>
        <v>392 - Industrial Engineering &amp; Research</v>
      </c>
    </row>
    <row r="102" customFormat="false" ht="12" hidden="false" customHeight="true" outlineLevel="0" collapsed="false">
      <c r="B102" s="281" t="n">
        <v>397</v>
      </c>
      <c r="C102" s="1" t="s">
        <v>2706</v>
      </c>
      <c r="D102" s="1" t="n">
        <v>2</v>
      </c>
      <c r="E102" s="281" t="s">
        <v>1383</v>
      </c>
      <c r="F102" s="1" t="str">
        <f aca="false">B102&amp;" - "&amp;E102</f>
        <v>397 - Barn</v>
      </c>
    </row>
    <row r="103" customFormat="false" ht="12" hidden="false" customHeight="true" outlineLevel="0" collapsed="false">
      <c r="B103" s="281" t="n">
        <v>401</v>
      </c>
      <c r="C103" s="1" t="s">
        <v>2706</v>
      </c>
      <c r="D103" s="1" t="n">
        <v>16</v>
      </c>
      <c r="E103" s="281" t="s">
        <v>1384</v>
      </c>
      <c r="F103" s="1" t="str">
        <f aca="false">B103&amp;" - "&amp;E103</f>
        <v>401 - Shed - Equipment</v>
      </c>
    </row>
    <row r="104" customFormat="false" ht="12" hidden="false" customHeight="true" outlineLevel="0" collapsed="false">
      <c r="B104" s="281" t="n">
        <v>401</v>
      </c>
      <c r="C104" s="1" t="s">
        <v>2692</v>
      </c>
      <c r="D104" s="1" t="n">
        <v>5</v>
      </c>
      <c r="E104" s="281" t="s">
        <v>1384</v>
      </c>
      <c r="F104" s="1" t="str">
        <f aca="false">B104&amp;" - "&amp;E104</f>
        <v>401 - Shed - Equipment</v>
      </c>
    </row>
    <row r="105" customFormat="false" ht="12" hidden="false" customHeight="true" outlineLevel="0" collapsed="false">
      <c r="B105" s="281" t="n">
        <v>403</v>
      </c>
      <c r="C105" s="1" t="s">
        <v>2706</v>
      </c>
      <c r="D105" s="1" t="n">
        <v>2</v>
      </c>
      <c r="E105" s="281" t="s">
        <v>1385</v>
      </c>
      <c r="F105" s="1" t="str">
        <f aca="false">B105&amp;" - "&amp;E105</f>
        <v>403 - Shower Building</v>
      </c>
    </row>
    <row r="106" customFormat="false" ht="12" hidden="false" customHeight="true" outlineLevel="0" collapsed="false">
      <c r="B106" s="281" t="n">
        <v>403</v>
      </c>
      <c r="C106" s="1" t="s">
        <v>2692</v>
      </c>
      <c r="D106" s="1" t="n">
        <v>2</v>
      </c>
      <c r="E106" s="281" t="s">
        <v>1385</v>
      </c>
      <c r="F106" s="1" t="str">
        <f aca="false">B106&amp;" - "&amp;E106</f>
        <v>403 - Shower Building</v>
      </c>
    </row>
    <row r="107" customFormat="false" ht="12" hidden="false" customHeight="true" outlineLevel="0" collapsed="false">
      <c r="B107" s="281" t="n">
        <v>404</v>
      </c>
      <c r="C107" s="1" t="s">
        <v>2706</v>
      </c>
      <c r="D107" s="1" t="n">
        <v>28</v>
      </c>
      <c r="E107" s="281" t="s">
        <v>1386</v>
      </c>
      <c r="F107" s="1" t="str">
        <f aca="false">B107&amp;" - "&amp;E107</f>
        <v>404 - Farm Utility Building</v>
      </c>
    </row>
    <row r="108" customFormat="false" ht="12" hidden="false" customHeight="true" outlineLevel="0" collapsed="false">
      <c r="B108" s="281" t="n">
        <v>404</v>
      </c>
      <c r="C108" s="1" t="s">
        <v>2692</v>
      </c>
      <c r="D108" s="1" t="n">
        <v>6</v>
      </c>
      <c r="E108" s="281" t="s">
        <v>1386</v>
      </c>
      <c r="F108" s="1" t="str">
        <f aca="false">B108&amp;" - "&amp;E108</f>
        <v>404 - Farm Utility Building</v>
      </c>
    </row>
    <row r="109" customFormat="false" ht="12" hidden="false" customHeight="true" outlineLevel="0" collapsed="false">
      <c r="B109" s="281" t="n">
        <v>405</v>
      </c>
      <c r="C109" s="1" t="s">
        <v>2706</v>
      </c>
      <c r="D109" s="1" t="n">
        <v>2</v>
      </c>
      <c r="E109" s="281" t="s">
        <v>1387</v>
      </c>
      <c r="F109" s="1" t="str">
        <f aca="false">B109&amp;" - "&amp;E109</f>
        <v>405 - Skating Rink</v>
      </c>
    </row>
    <row r="110" customFormat="false" ht="12" hidden="false" customHeight="true" outlineLevel="0" collapsed="false">
      <c r="B110" s="281" t="n">
        <v>406</v>
      </c>
      <c r="C110" s="1" t="s">
        <v>2706</v>
      </c>
      <c r="D110" s="1" t="n">
        <v>642</v>
      </c>
      <c r="E110" s="281" t="s">
        <v>1388</v>
      </c>
      <c r="F110" s="1" t="str">
        <f aca="false">B110&amp;" - "&amp;E110</f>
        <v>406 - Storage Warehouse</v>
      </c>
    </row>
    <row r="111" customFormat="false" ht="12" hidden="false" customHeight="true" outlineLevel="0" collapsed="false">
      <c r="B111" s="281" t="n">
        <v>406</v>
      </c>
      <c r="C111" s="1" t="s">
        <v>2692</v>
      </c>
      <c r="D111" s="1" t="n">
        <v>75</v>
      </c>
      <c r="E111" s="281" t="s">
        <v>1388</v>
      </c>
      <c r="F111" s="1" t="str">
        <f aca="false">B111&amp;" - "&amp;E111</f>
        <v>406 - Storage Warehouse</v>
      </c>
    </row>
    <row r="112" customFormat="false" ht="12" hidden="false" customHeight="true" outlineLevel="0" collapsed="false">
      <c r="B112" s="281" t="n">
        <v>407</v>
      </c>
      <c r="C112" s="1" t="s">
        <v>2706</v>
      </c>
      <c r="D112" s="1" t="n">
        <v>501</v>
      </c>
      <c r="E112" s="281" t="s">
        <v>1389</v>
      </c>
      <c r="F112" s="1" t="str">
        <f aca="false">B112&amp;" - "&amp;E112</f>
        <v>407 - Distribution Warehouse</v>
      </c>
    </row>
    <row r="113" customFormat="false" ht="12" hidden="false" customHeight="true" outlineLevel="0" collapsed="false">
      <c r="B113" s="281" t="n">
        <v>407</v>
      </c>
      <c r="C113" s="1" t="s">
        <v>2692</v>
      </c>
      <c r="D113" s="1" t="n">
        <v>154</v>
      </c>
      <c r="E113" s="281" t="s">
        <v>1389</v>
      </c>
      <c r="F113" s="1" t="str">
        <f aca="false">B113&amp;" - "&amp;E113</f>
        <v>407 - Distribution Warehouse</v>
      </c>
    </row>
    <row r="114" customFormat="false" ht="12" hidden="false" customHeight="true" outlineLevel="0" collapsed="false">
      <c r="B114" s="281" t="n">
        <v>408</v>
      </c>
      <c r="C114" s="1" t="s">
        <v>2706</v>
      </c>
      <c r="D114" s="1" t="n">
        <v>10</v>
      </c>
      <c r="E114" s="281" t="s">
        <v>1451</v>
      </c>
      <c r="F114" s="1" t="str">
        <f aca="false">B114&amp;" - "&amp;E114</f>
        <v>408 - Service Station</v>
      </c>
    </row>
    <row r="115" customFormat="false" ht="12" hidden="false" customHeight="true" outlineLevel="0" collapsed="false">
      <c r="B115" s="281" t="n">
        <v>409</v>
      </c>
      <c r="C115" s="1" t="s">
        <v>2706</v>
      </c>
      <c r="D115" s="1" t="n">
        <v>23</v>
      </c>
      <c r="E115" s="281" t="s">
        <v>1390</v>
      </c>
      <c r="F115" s="1" t="str">
        <f aca="false">B115&amp;" - "&amp;E115</f>
        <v>409 - T-Hanger</v>
      </c>
    </row>
    <row r="116" customFormat="false" ht="12" hidden="false" customHeight="true" outlineLevel="0" collapsed="false">
      <c r="B116" s="281" t="n">
        <v>410</v>
      </c>
      <c r="C116" s="1" t="s">
        <v>2706</v>
      </c>
      <c r="D116" s="1" t="n">
        <v>7</v>
      </c>
      <c r="E116" s="281" t="s">
        <v>1391</v>
      </c>
      <c r="F116" s="1" t="str">
        <f aca="false">B116&amp;" - "&amp;E116</f>
        <v>410 - Automotive Center</v>
      </c>
    </row>
    <row r="117" customFormat="false" ht="12" hidden="false" customHeight="true" outlineLevel="0" collapsed="false">
      <c r="B117" s="281" t="n">
        <v>412</v>
      </c>
      <c r="C117" s="1" t="s">
        <v>2706</v>
      </c>
      <c r="D117" s="1" t="n">
        <v>43</v>
      </c>
      <c r="E117" s="281" t="s">
        <v>1392</v>
      </c>
      <c r="F117" s="1" t="str">
        <f aca="false">B117&amp;" - "&amp;E117</f>
        <v>412 - Neighborhood Shopping Center</v>
      </c>
    </row>
    <row r="118" customFormat="false" ht="12" hidden="false" customHeight="true" outlineLevel="0" collapsed="false">
      <c r="B118" s="281" t="n">
        <v>413</v>
      </c>
      <c r="C118" s="1" t="s">
        <v>2706</v>
      </c>
      <c r="D118" s="1" t="n">
        <v>20</v>
      </c>
      <c r="E118" s="281" t="s">
        <v>1393</v>
      </c>
      <c r="F118" s="1" t="str">
        <f aca="false">B118&amp;" - "&amp;E118</f>
        <v>413 - Community Shopping Center</v>
      </c>
    </row>
    <row r="119" customFormat="false" ht="12" hidden="false" customHeight="true" outlineLevel="0" collapsed="false">
      <c r="B119" s="281" t="n">
        <v>414</v>
      </c>
      <c r="C119" s="1" t="s">
        <v>2706</v>
      </c>
      <c r="D119" s="1" t="n">
        <v>8</v>
      </c>
      <c r="E119" s="281" t="s">
        <v>1394</v>
      </c>
      <c r="F119" s="1" t="str">
        <f aca="false">B119&amp;" - "&amp;E119</f>
        <v>414 - Regional Shopping Center</v>
      </c>
    </row>
    <row r="120" customFormat="false" ht="12" hidden="false" customHeight="true" outlineLevel="0" collapsed="false">
      <c r="B120" s="281" t="n">
        <v>415</v>
      </c>
      <c r="C120" s="1" t="s">
        <v>2706</v>
      </c>
      <c r="D120" s="1" t="n">
        <v>2</v>
      </c>
      <c r="E120" s="281" t="s">
        <v>1453</v>
      </c>
      <c r="F120" s="1" t="str">
        <f aca="false">B120&amp;" - "&amp;E120</f>
        <v>415 - Utility Bldg Res</v>
      </c>
    </row>
    <row r="121" customFormat="false" ht="12" hidden="false" customHeight="true" outlineLevel="0" collapsed="false">
      <c r="B121" s="281" t="n">
        <v>418</v>
      </c>
      <c r="C121" s="1" t="s">
        <v>2706</v>
      </c>
      <c r="D121" s="1" t="n">
        <v>2</v>
      </c>
      <c r="E121" s="281" t="s">
        <v>1395</v>
      </c>
      <c r="F121" s="1" t="str">
        <f aca="false">B121&amp;" - "&amp;E121</f>
        <v>418 - Health Club</v>
      </c>
    </row>
    <row r="122" customFormat="false" ht="12" hidden="false" customHeight="true" outlineLevel="0" collapsed="false">
      <c r="B122" s="281" t="n">
        <v>419</v>
      </c>
      <c r="C122" s="1" t="s">
        <v>2706</v>
      </c>
      <c r="D122" s="1" t="n">
        <v>139</v>
      </c>
      <c r="E122" s="281" t="s">
        <v>1396</v>
      </c>
      <c r="F122" s="1" t="str">
        <f aca="false">B122&amp;" - "&amp;E122</f>
        <v>419 - Convenience Store</v>
      </c>
    </row>
    <row r="123" customFormat="false" ht="12" hidden="false" customHeight="true" outlineLevel="0" collapsed="false">
      <c r="B123" s="281" t="n">
        <v>419</v>
      </c>
      <c r="C123" s="1" t="s">
        <v>2692</v>
      </c>
      <c r="D123" s="1" t="n">
        <v>1</v>
      </c>
      <c r="E123" s="281" t="s">
        <v>1396</v>
      </c>
      <c r="F123" s="1" t="str">
        <f aca="false">B123&amp;" - "&amp;E123</f>
        <v>419 - Convenience Store</v>
      </c>
    </row>
    <row r="124" customFormat="false" ht="12" hidden="false" customHeight="true" outlineLevel="0" collapsed="false">
      <c r="B124" s="281" t="n">
        <v>421</v>
      </c>
      <c r="C124" s="1" t="s">
        <v>2706</v>
      </c>
      <c r="D124" s="1" t="n">
        <v>1</v>
      </c>
      <c r="E124" s="281" t="s">
        <v>1397</v>
      </c>
      <c r="F124" s="1" t="str">
        <f aca="false">B124&amp;" - "&amp;E124</f>
        <v>421 - Shed - Tool</v>
      </c>
    </row>
    <row r="125" customFormat="false" ht="12" hidden="false" customHeight="true" outlineLevel="0" collapsed="false">
      <c r="B125" s="281" t="n">
        <v>423</v>
      </c>
      <c r="C125" s="1" t="s">
        <v>2706</v>
      </c>
      <c r="D125" s="1" t="n">
        <v>23</v>
      </c>
      <c r="E125" s="281" t="s">
        <v>1398</v>
      </c>
      <c r="F125" s="1" t="str">
        <f aca="false">B125&amp;" - "&amp;E125</f>
        <v>423 - Mini Lube Garage</v>
      </c>
    </row>
    <row r="126" customFormat="false" ht="12" hidden="false" customHeight="true" outlineLevel="0" collapsed="false">
      <c r="B126" s="281" t="n">
        <v>425</v>
      </c>
      <c r="C126" s="1" t="s">
        <v>2706</v>
      </c>
      <c r="D126" s="1" t="n">
        <v>356</v>
      </c>
      <c r="E126" s="281" t="s">
        <v>1399</v>
      </c>
      <c r="F126" s="1" t="str">
        <f aca="false">B126&amp;" - "&amp;E126</f>
        <v>425 - Industrial WH Condo</v>
      </c>
    </row>
    <row r="127" customFormat="false" ht="12" hidden="false" customHeight="true" outlineLevel="0" collapsed="false">
      <c r="B127" s="281" t="n">
        <v>425</v>
      </c>
      <c r="C127" s="1" t="s">
        <v>2692</v>
      </c>
      <c r="D127" s="1" t="n">
        <v>12</v>
      </c>
      <c r="E127" s="281" t="s">
        <v>1399</v>
      </c>
      <c r="F127" s="1" t="str">
        <f aca="false">B127&amp;" - "&amp;E127</f>
        <v>425 - Industrial WH Condo</v>
      </c>
    </row>
    <row r="128" customFormat="false" ht="12" hidden="false" customHeight="true" outlineLevel="0" collapsed="false">
      <c r="B128" s="281" t="n">
        <v>426</v>
      </c>
      <c r="C128" s="1" t="s">
        <v>2706</v>
      </c>
      <c r="D128" s="1" t="n">
        <v>35</v>
      </c>
      <c r="E128" s="281" t="s">
        <v>1400</v>
      </c>
      <c r="F128" s="1" t="str">
        <f aca="false">B128&amp;" - "&amp;E128</f>
        <v>426 - Day Care Center</v>
      </c>
    </row>
    <row r="129" customFormat="false" ht="12" hidden="false" customHeight="true" outlineLevel="0" collapsed="false">
      <c r="B129" s="281" t="n">
        <v>430</v>
      </c>
      <c r="C129" s="1" t="s">
        <v>2692</v>
      </c>
      <c r="D129" s="1" t="n">
        <v>1</v>
      </c>
      <c r="E129" s="281" t="s">
        <v>1401</v>
      </c>
      <c r="F129" s="1" t="str">
        <f aca="false">B129&amp;" - "&amp;E129</f>
        <v>430 - Storage - Utility Grain</v>
      </c>
    </row>
    <row r="130" customFormat="false" ht="12" hidden="false" customHeight="true" outlineLevel="0" collapsed="false">
      <c r="B130" s="281" t="n">
        <v>431</v>
      </c>
      <c r="C130" s="1" t="s">
        <v>2706</v>
      </c>
      <c r="D130" s="1" t="n">
        <v>1</v>
      </c>
      <c r="E130" s="281" t="s">
        <v>1402</v>
      </c>
      <c r="F130" s="1" t="str">
        <f aca="false">B130&amp;" - "&amp;E130</f>
        <v>431 - Surgical Center - Out patient</v>
      </c>
    </row>
    <row r="131" customFormat="false" ht="12" hidden="false" customHeight="true" outlineLevel="0" collapsed="false">
      <c r="B131" s="281" t="n">
        <v>432</v>
      </c>
      <c r="C131" s="1" t="s">
        <v>2692</v>
      </c>
      <c r="D131" s="1" t="n">
        <v>1</v>
      </c>
      <c r="E131" s="281" t="s">
        <v>1403</v>
      </c>
      <c r="F131" s="1" t="str">
        <f aca="false">B131&amp;" - "&amp;E131</f>
        <v>432 - Restroom Building/Concessions</v>
      </c>
    </row>
    <row r="132" customFormat="false" ht="12" hidden="false" customHeight="true" outlineLevel="0" collapsed="false">
      <c r="B132" s="281" t="n">
        <v>434</v>
      </c>
      <c r="C132" s="1" t="s">
        <v>2706</v>
      </c>
      <c r="D132" s="1" t="n">
        <v>55</v>
      </c>
      <c r="E132" s="281" t="s">
        <v>1455</v>
      </c>
      <c r="F132" s="1" t="str">
        <f aca="false">B132&amp;" - "&amp;E132</f>
        <v>434 - Car Wash - Self Service</v>
      </c>
    </row>
    <row r="133" customFormat="false" ht="12" hidden="false" customHeight="true" outlineLevel="0" collapsed="false">
      <c r="B133" s="281" t="n">
        <v>434</v>
      </c>
      <c r="C133" s="1" t="s">
        <v>2692</v>
      </c>
      <c r="D133" s="1" t="n">
        <v>1</v>
      </c>
      <c r="E133" s="281" t="s">
        <v>1455</v>
      </c>
      <c r="F133" s="1" t="str">
        <f aca="false">B133&amp;" - "&amp;E133</f>
        <v>434 - Car Wash - Self Service</v>
      </c>
    </row>
    <row r="134" customFormat="false" ht="12" hidden="false" customHeight="true" outlineLevel="0" collapsed="false">
      <c r="B134" s="281" t="n">
        <v>435</v>
      </c>
      <c r="C134" s="1" t="s">
        <v>2706</v>
      </c>
      <c r="D134" s="1" t="n">
        <v>22</v>
      </c>
      <c r="E134" s="281" t="s">
        <v>1457</v>
      </c>
      <c r="F134" s="1" t="str">
        <f aca="false">B134&amp;" - "&amp;E134</f>
        <v>435 - Car Wash - Drive thru</v>
      </c>
    </row>
    <row r="135" customFormat="false" ht="12" hidden="false" customHeight="true" outlineLevel="0" collapsed="false">
      <c r="B135" s="281" t="n">
        <v>436</v>
      </c>
      <c r="C135" s="1" t="s">
        <v>2706</v>
      </c>
      <c r="D135" s="1" t="n">
        <v>52</v>
      </c>
      <c r="E135" s="281" t="s">
        <v>1459</v>
      </c>
      <c r="F135" s="1" t="str">
        <f aca="false">B135&amp;" - "&amp;E135</f>
        <v>436 - Car Wash - Automatic</v>
      </c>
    </row>
    <row r="136" customFormat="false" ht="12" hidden="false" customHeight="true" outlineLevel="0" collapsed="false">
      <c r="B136" s="281" t="n">
        <v>438</v>
      </c>
      <c r="C136" s="1" t="s">
        <v>2692</v>
      </c>
      <c r="D136" s="1" t="n">
        <v>1</v>
      </c>
      <c r="E136" s="281" t="s">
        <v>1461</v>
      </c>
      <c r="F136" s="1" t="str">
        <f aca="false">B136&amp;" - "&amp;E136</f>
        <v>438 - Prefab Metal Building *CODE</v>
      </c>
    </row>
    <row r="137" customFormat="false" ht="12" hidden="false" customHeight="true" outlineLevel="0" collapsed="false">
      <c r="B137" s="281" t="n">
        <v>441</v>
      </c>
      <c r="C137" s="1" t="s">
        <v>2706</v>
      </c>
      <c r="D137" s="1" t="n">
        <v>2</v>
      </c>
      <c r="E137" s="281" t="s">
        <v>1404</v>
      </c>
      <c r="F137" s="1" t="str">
        <f aca="false">B137&amp;" - "&amp;E137</f>
        <v>441 - Cocktail Lounge</v>
      </c>
    </row>
    <row r="138" customFormat="false" ht="12" hidden="false" customHeight="true" outlineLevel="0" collapsed="false">
      <c r="B138" s="281" t="n">
        <v>442</v>
      </c>
      <c r="C138" s="1" t="s">
        <v>2706</v>
      </c>
      <c r="D138" s="1" t="n">
        <v>41</v>
      </c>
      <c r="E138" s="281" t="s">
        <v>1405</v>
      </c>
      <c r="F138" s="1" t="str">
        <f aca="false">B138&amp;" - "&amp;E138</f>
        <v>442 - Bar/Tavern</v>
      </c>
    </row>
    <row r="139" customFormat="false" ht="12" hidden="false" customHeight="true" outlineLevel="0" collapsed="false">
      <c r="B139" s="281" t="n">
        <v>442</v>
      </c>
      <c r="C139" s="1" t="s">
        <v>2692</v>
      </c>
      <c r="D139" s="1" t="n">
        <v>1</v>
      </c>
      <c r="E139" s="281" t="s">
        <v>1405</v>
      </c>
      <c r="F139" s="1" t="str">
        <f aca="false">B139&amp;" - "&amp;E139</f>
        <v>442 - Bar/Tavern</v>
      </c>
    </row>
    <row r="140" customFormat="false" ht="12" hidden="false" customHeight="true" outlineLevel="0" collapsed="false">
      <c r="B140" s="281" t="n">
        <v>444</v>
      </c>
      <c r="C140" s="1" t="s">
        <v>2706</v>
      </c>
      <c r="D140" s="1" t="n">
        <v>18</v>
      </c>
      <c r="E140" s="281" t="s">
        <v>1406</v>
      </c>
      <c r="F140" s="1" t="str">
        <f aca="false">B140&amp;" - "&amp;E140</f>
        <v>444 - Dental Office/ Clinic</v>
      </c>
    </row>
    <row r="141" customFormat="false" ht="12" hidden="false" customHeight="true" outlineLevel="0" collapsed="false">
      <c r="B141" s="281" t="n">
        <v>446</v>
      </c>
      <c r="C141" s="1" t="s">
        <v>2706</v>
      </c>
      <c r="D141" s="1" t="n">
        <v>30</v>
      </c>
      <c r="E141" s="281" t="s">
        <v>1407</v>
      </c>
      <c r="F141" s="1" t="str">
        <f aca="false">B141&amp;" - "&amp;E141</f>
        <v>446 - SuperMarket</v>
      </c>
    </row>
    <row r="142" customFormat="false" ht="12" hidden="false" customHeight="true" outlineLevel="0" collapsed="false">
      <c r="B142" s="281" t="n">
        <v>447</v>
      </c>
      <c r="C142" s="1" t="s">
        <v>2706</v>
      </c>
      <c r="D142" s="1" t="n">
        <v>8</v>
      </c>
      <c r="E142" s="281" t="s">
        <v>1408</v>
      </c>
      <c r="F142" s="1" t="str">
        <f aca="false">B142&amp;" - "&amp;E142</f>
        <v>447 - Cold Storage Warehouse</v>
      </c>
    </row>
    <row r="143" customFormat="false" ht="12" hidden="false" customHeight="true" outlineLevel="0" collapsed="false">
      <c r="B143" s="281" t="n">
        <v>447</v>
      </c>
      <c r="C143" s="1" t="s">
        <v>2692</v>
      </c>
      <c r="D143" s="1" t="n">
        <v>2</v>
      </c>
      <c r="E143" s="281" t="s">
        <v>1408</v>
      </c>
      <c r="F143" s="1" t="str">
        <f aca="false">B143&amp;" - "&amp;E143</f>
        <v>447 - Cold Storage Warehouse</v>
      </c>
    </row>
    <row r="144" customFormat="false" ht="12" hidden="false" customHeight="true" outlineLevel="0" collapsed="false">
      <c r="B144" s="281" t="n">
        <v>448</v>
      </c>
      <c r="C144" s="1" t="s">
        <v>2706</v>
      </c>
      <c r="D144" s="1" t="n">
        <v>7</v>
      </c>
      <c r="E144" s="281" t="s">
        <v>1463</v>
      </c>
      <c r="F144" s="1" t="str">
        <f aca="false">B144&amp;" - "&amp;E144</f>
        <v>448 - Self Service Booth</v>
      </c>
    </row>
    <row r="145" customFormat="false" ht="12" hidden="false" customHeight="true" outlineLevel="0" collapsed="false">
      <c r="B145" s="281" t="n">
        <v>451</v>
      </c>
      <c r="C145" s="1" t="s">
        <v>2706</v>
      </c>
      <c r="D145" s="1" t="n">
        <v>2</v>
      </c>
      <c r="E145" s="281" t="s">
        <v>1465</v>
      </c>
      <c r="F145" s="1" t="str">
        <f aca="false">B145&amp;" - "&amp;E145</f>
        <v>451 - Grain Elevator Concrete</v>
      </c>
    </row>
    <row r="146" customFormat="false" ht="12" hidden="false" customHeight="true" outlineLevel="0" collapsed="false">
      <c r="B146" s="281" t="n">
        <v>452</v>
      </c>
      <c r="C146" s="1" t="s">
        <v>2706</v>
      </c>
      <c r="D146" s="1" t="n">
        <v>1</v>
      </c>
      <c r="E146" s="281" t="s">
        <v>1467</v>
      </c>
      <c r="F146" s="1" t="str">
        <f aca="false">B146&amp;" - "&amp;E146</f>
        <v>452 - Grain Elevator Conc Annex</v>
      </c>
    </row>
    <row r="147" customFormat="false" ht="12" hidden="false" customHeight="true" outlineLevel="0" collapsed="false">
      <c r="B147" s="281" t="n">
        <v>464</v>
      </c>
      <c r="C147" s="1" t="s">
        <v>2706</v>
      </c>
      <c r="D147" s="1" t="n">
        <v>2</v>
      </c>
      <c r="E147" s="281" t="s">
        <v>1469</v>
      </c>
      <c r="F147" s="1" t="str">
        <f aca="false">B147&amp;" - "&amp;E147</f>
        <v>464 - Grain Elevator Low</v>
      </c>
    </row>
    <row r="148" customFormat="false" ht="12" hidden="false" customHeight="true" outlineLevel="0" collapsed="false">
      <c r="B148" s="281" t="n">
        <v>465</v>
      </c>
      <c r="C148" s="1" t="s">
        <v>2706</v>
      </c>
      <c r="D148" s="1" t="n">
        <v>3</v>
      </c>
      <c r="E148" s="281" t="s">
        <v>1471</v>
      </c>
      <c r="F148" s="1" t="str">
        <f aca="false">B148&amp;" - "&amp;E148</f>
        <v>465 - Grain Elevator Average</v>
      </c>
    </row>
    <row r="149" customFormat="false" ht="12" hidden="false" customHeight="true" outlineLevel="0" collapsed="false">
      <c r="B149" s="281" t="n">
        <v>468</v>
      </c>
      <c r="C149" s="1" t="s">
        <v>2706</v>
      </c>
      <c r="D149" s="1" t="n">
        <v>1</v>
      </c>
      <c r="E149" s="281" t="s">
        <v>1409</v>
      </c>
      <c r="F149" s="1" t="str">
        <f aca="false">B149&amp;" - "&amp;E149</f>
        <v>468 - Farm Office</v>
      </c>
    </row>
    <row r="150" customFormat="false" ht="12" hidden="false" customHeight="true" outlineLevel="0" collapsed="false">
      <c r="B150" s="281" t="n">
        <v>468</v>
      </c>
      <c r="C150" s="1" t="s">
        <v>2692</v>
      </c>
      <c r="D150" s="1" t="n">
        <v>1</v>
      </c>
      <c r="E150" s="281" t="s">
        <v>1409</v>
      </c>
      <c r="F150" s="1" t="str">
        <f aca="false">B150&amp;" - "&amp;E150</f>
        <v>468 - Farm Office</v>
      </c>
    </row>
    <row r="151" customFormat="false" ht="12" hidden="false" customHeight="true" outlineLevel="0" collapsed="false">
      <c r="B151" s="281" t="n">
        <v>473</v>
      </c>
      <c r="C151" s="1" t="s">
        <v>2706</v>
      </c>
      <c r="D151" s="1" t="n">
        <v>9</v>
      </c>
      <c r="E151" s="281" t="s">
        <v>1410</v>
      </c>
      <c r="F151" s="1" t="str">
        <f aca="false">B151&amp;" - "&amp;E151</f>
        <v>473 - Equipment Building</v>
      </c>
    </row>
    <row r="152" customFormat="false" ht="12" hidden="false" customHeight="true" outlineLevel="0" collapsed="false">
      <c r="B152" s="281" t="n">
        <v>473</v>
      </c>
      <c r="C152" s="1" t="s">
        <v>2692</v>
      </c>
      <c r="D152" s="1" t="n">
        <v>1</v>
      </c>
      <c r="E152" s="281" t="s">
        <v>1410</v>
      </c>
      <c r="F152" s="1" t="str">
        <f aca="false">B152&amp;" - "&amp;E152</f>
        <v>473 - Equipment Building</v>
      </c>
    </row>
    <row r="153" customFormat="false" ht="12" hidden="false" customHeight="true" outlineLevel="0" collapsed="false">
      <c r="B153" s="281" t="n">
        <v>474</v>
      </c>
      <c r="C153" s="1" t="s">
        <v>2706</v>
      </c>
      <c r="D153" s="1" t="n">
        <v>19</v>
      </c>
      <c r="E153" s="281" t="s">
        <v>1411</v>
      </c>
      <c r="F153" s="1" t="str">
        <f aca="false">B153&amp;" - "&amp;E153</f>
        <v>474 - Modular Office</v>
      </c>
    </row>
    <row r="154" customFormat="false" ht="12" hidden="false" customHeight="true" outlineLevel="0" collapsed="false">
      <c r="B154" s="281" t="n">
        <v>474</v>
      </c>
      <c r="C154" s="1" t="s">
        <v>2692</v>
      </c>
      <c r="D154" s="1" t="n">
        <v>4</v>
      </c>
      <c r="E154" s="281" t="s">
        <v>1411</v>
      </c>
      <c r="F154" s="1" t="str">
        <f aca="false">B154&amp;" - "&amp;E154</f>
        <v>474 - Modular Office</v>
      </c>
    </row>
    <row r="155" customFormat="false" ht="12" hidden="false" customHeight="true" outlineLevel="0" collapsed="false">
      <c r="B155" s="281" t="n">
        <v>480</v>
      </c>
      <c r="C155" s="1" t="s">
        <v>2706</v>
      </c>
      <c r="D155" s="1" t="n">
        <v>1</v>
      </c>
      <c r="E155" s="281" t="s">
        <v>1412</v>
      </c>
      <c r="F155" s="1" t="str">
        <f aca="false">B155&amp;" - "&amp;E155</f>
        <v>480 - Vegetable Building</v>
      </c>
    </row>
    <row r="156" customFormat="false" ht="12" hidden="false" customHeight="true" outlineLevel="0" collapsed="false">
      <c r="B156" s="281" t="n">
        <v>482</v>
      </c>
      <c r="C156" s="1" t="s">
        <v>2706</v>
      </c>
      <c r="D156" s="1" t="n">
        <v>3</v>
      </c>
      <c r="E156" s="281" t="s">
        <v>1413</v>
      </c>
      <c r="F156" s="1" t="str">
        <f aca="false">B156&amp;" - "&amp;E156</f>
        <v>482 - Convention Center</v>
      </c>
    </row>
    <row r="157" customFormat="false" ht="12" hidden="false" customHeight="true" outlineLevel="0" collapsed="false">
      <c r="B157" s="281" t="n">
        <v>483</v>
      </c>
      <c r="C157" s="1" t="s">
        <v>2706</v>
      </c>
      <c r="D157" s="1" t="n">
        <v>4</v>
      </c>
      <c r="E157" s="281" t="s">
        <v>1414</v>
      </c>
      <c r="F157" s="1" t="str">
        <f aca="false">B157&amp;" - "&amp;E157</f>
        <v>483 - Fitness Center</v>
      </c>
    </row>
    <row r="158" customFormat="false" ht="12" hidden="false" customHeight="true" outlineLevel="0" collapsed="false">
      <c r="B158" s="281" t="n">
        <v>499</v>
      </c>
      <c r="C158" s="1" t="s">
        <v>2706</v>
      </c>
      <c r="D158" s="1" t="n">
        <v>3</v>
      </c>
      <c r="E158" s="281" t="s">
        <v>1473</v>
      </c>
      <c r="F158" s="1" t="str">
        <f aca="false">B158&amp;" - "&amp;E158</f>
        <v>499 - Salvage</v>
      </c>
    </row>
    <row r="159" customFormat="false" ht="12" hidden="false" customHeight="true" outlineLevel="0" collapsed="false">
      <c r="B159" s="281" t="n">
        <v>500</v>
      </c>
      <c r="C159" s="1" t="s">
        <v>2706</v>
      </c>
      <c r="D159" s="1" t="n">
        <v>3</v>
      </c>
      <c r="E159" s="281" t="s">
        <v>1475</v>
      </c>
      <c r="F159" s="1" t="str">
        <f aca="false">B159&amp;" - "&amp;E159</f>
        <v>500 - R V Parks *CODE</v>
      </c>
    </row>
    <row r="160" customFormat="false" ht="12" hidden="false" customHeight="true" outlineLevel="0" collapsed="false">
      <c r="B160" s="281" t="n">
        <v>501</v>
      </c>
      <c r="C160" s="1" t="s">
        <v>2706</v>
      </c>
      <c r="D160" s="1" t="n">
        <v>13</v>
      </c>
      <c r="E160" s="281" t="s">
        <v>702</v>
      </c>
      <c r="F160" s="1" t="str">
        <f aca="false">B160&amp;" - "&amp;E160</f>
        <v>501 - Mini-Mart Convenience Stores</v>
      </c>
    </row>
    <row r="161" customFormat="false" ht="12" hidden="false" customHeight="true" outlineLevel="0" collapsed="false">
      <c r="B161" s="281" t="n">
        <v>501</v>
      </c>
      <c r="C161" s="1" t="s">
        <v>2692</v>
      </c>
      <c r="D161" s="1" t="n">
        <v>2</v>
      </c>
      <c r="E161" s="281" t="s">
        <v>1449</v>
      </c>
      <c r="F161" s="1" t="str">
        <f aca="false">B161&amp;" - "&amp;E161</f>
        <v>501 - Miscellaneous OB</v>
      </c>
    </row>
    <row r="162" customFormat="false" ht="12" hidden="false" customHeight="true" outlineLevel="0" collapsed="false">
      <c r="B162" s="281" t="n">
        <v>519</v>
      </c>
      <c r="C162" s="1" t="s">
        <v>2706</v>
      </c>
      <c r="D162" s="1" t="n">
        <v>1</v>
      </c>
      <c r="E162" s="281" t="s">
        <v>1064</v>
      </c>
      <c r="F162" s="1" t="str">
        <f aca="false">B162&amp;" - "&amp;E162</f>
        <v>519 - Greenhouse Shade Shelters</v>
      </c>
    </row>
    <row r="163" customFormat="false" ht="12" hidden="false" customHeight="true" outlineLevel="0" collapsed="false">
      <c r="B163" s="281" t="n">
        <v>523</v>
      </c>
      <c r="C163" s="1" t="s">
        <v>2706</v>
      </c>
      <c r="D163" s="1" t="n">
        <v>1</v>
      </c>
      <c r="E163" s="281" t="s">
        <v>1415</v>
      </c>
      <c r="F163" s="1" t="str">
        <f aca="false">B163&amp;" - "&amp;E163</f>
        <v>523 - Golf Cart Storage Bldgs</v>
      </c>
    </row>
    <row r="164" customFormat="false" ht="12" hidden="false" customHeight="true" outlineLevel="0" collapsed="false">
      <c r="B164" s="281" t="n">
        <v>525</v>
      </c>
      <c r="C164" s="1" t="s">
        <v>2706</v>
      </c>
      <c r="D164" s="1" t="n">
        <v>1</v>
      </c>
      <c r="E164" s="281" t="s">
        <v>1416</v>
      </c>
      <c r="F164" s="1" t="str">
        <f aca="false">B164&amp;" - "&amp;E164</f>
        <v>525 - Mini Warehouse Hi-rise</v>
      </c>
    </row>
    <row r="165" customFormat="false" ht="12" hidden="false" customHeight="true" outlineLevel="0" collapsed="false">
      <c r="B165" s="281" t="n">
        <v>526</v>
      </c>
      <c r="C165" s="1" t="s">
        <v>2706</v>
      </c>
      <c r="D165" s="1" t="n">
        <v>3</v>
      </c>
      <c r="E165" s="281" t="s">
        <v>844</v>
      </c>
      <c r="F165" s="1" t="str">
        <f aca="false">B165&amp;" - "&amp;E165</f>
        <v>526 - Service Garage Sheds</v>
      </c>
    </row>
    <row r="166" customFormat="false" ht="12" hidden="false" customHeight="true" outlineLevel="0" collapsed="false">
      <c r="B166" s="281" t="n">
        <v>529</v>
      </c>
      <c r="C166" s="1" t="s">
        <v>2706</v>
      </c>
      <c r="D166" s="1" t="n">
        <v>1</v>
      </c>
      <c r="E166" s="281" t="s">
        <v>1417</v>
      </c>
      <c r="F166" s="1" t="str">
        <f aca="false">B166&amp;" - "&amp;E166</f>
        <v>529 - Snack Bar</v>
      </c>
    </row>
    <row r="167" customFormat="false" ht="12" hidden="false" customHeight="true" outlineLevel="0" collapsed="false">
      <c r="B167" s="281" t="n">
        <v>531</v>
      </c>
      <c r="C167" s="1" t="s">
        <v>2706</v>
      </c>
      <c r="D167" s="1" t="n">
        <v>2</v>
      </c>
      <c r="E167" s="281" t="s">
        <v>1477</v>
      </c>
      <c r="F167" s="1" t="str">
        <f aca="false">B167&amp;" - "&amp;E167</f>
        <v>531 - Mobile Home Parks *CODE</v>
      </c>
    </row>
    <row r="168" customFormat="false" ht="12" hidden="false" customHeight="true" outlineLevel="0" collapsed="false">
      <c r="B168" s="281" t="n">
        <v>533</v>
      </c>
      <c r="C168" s="1" t="s">
        <v>2706</v>
      </c>
      <c r="D168" s="1" t="n">
        <v>2</v>
      </c>
      <c r="E168" s="281" t="s">
        <v>1418</v>
      </c>
      <c r="F168" s="1" t="str">
        <f aca="false">B168&amp;" - "&amp;E168</f>
        <v>533 - Warehouse Food Store</v>
      </c>
    </row>
    <row r="169" customFormat="false" ht="12" hidden="false" customHeight="true" outlineLevel="0" collapsed="false">
      <c r="B169" s="281" t="n">
        <v>534</v>
      </c>
      <c r="C169" s="1" t="s">
        <v>2706</v>
      </c>
      <c r="D169" s="1" t="n">
        <v>10</v>
      </c>
      <c r="E169" s="281" t="s">
        <v>1419</v>
      </c>
      <c r="F169" s="1" t="str">
        <f aca="false">B169&amp;" - "&amp;E169</f>
        <v>534 - Warehouse Showroom Store</v>
      </c>
    </row>
    <row r="170" customFormat="false" ht="12" hidden="false" customHeight="true" outlineLevel="0" collapsed="false">
      <c r="B170" s="281" t="n">
        <v>534</v>
      </c>
      <c r="C170" s="1" t="s">
        <v>2692</v>
      </c>
      <c r="D170" s="1" t="n">
        <v>1</v>
      </c>
      <c r="E170" s="281" t="s">
        <v>1419</v>
      </c>
      <c r="F170" s="1" t="str">
        <f aca="false">B170&amp;" - "&amp;E170</f>
        <v>534 - Warehouse Showroom Store</v>
      </c>
    </row>
    <row r="171" customFormat="false" ht="12" hidden="false" customHeight="true" outlineLevel="0" collapsed="false">
      <c r="B171" s="281" t="n">
        <v>540</v>
      </c>
      <c r="C171" s="1" t="s">
        <v>2706</v>
      </c>
      <c r="D171" s="1" t="n">
        <v>1</v>
      </c>
      <c r="E171" s="281" t="s">
        <v>606</v>
      </c>
      <c r="F171" s="1" t="str">
        <f aca="false">B171&amp;" - "&amp;E171</f>
        <v>540 - Motel Guest Rooms</v>
      </c>
    </row>
    <row r="172" customFormat="false" ht="12" hidden="false" customHeight="true" outlineLevel="0" collapsed="false">
      <c r="B172" s="281" t="n">
        <v>544</v>
      </c>
      <c r="C172" s="1" t="s">
        <v>2706</v>
      </c>
      <c r="D172" s="1" t="n">
        <v>4</v>
      </c>
      <c r="E172" s="281" t="s">
        <v>1420</v>
      </c>
      <c r="F172" s="1" t="str">
        <f aca="false">B172&amp;" - "&amp;E172</f>
        <v>544 - Office-Apartment</v>
      </c>
    </row>
    <row r="173" customFormat="false" ht="12" hidden="false" customHeight="true" outlineLevel="0" collapsed="false">
      <c r="B173" s="281" t="n">
        <v>557</v>
      </c>
      <c r="C173" s="1" t="s">
        <v>2706</v>
      </c>
      <c r="D173" s="1" t="n">
        <v>2</v>
      </c>
      <c r="E173" s="281" t="s">
        <v>1421</v>
      </c>
      <c r="F173" s="1" t="str">
        <f aca="false">B173&amp;" - "&amp;E173</f>
        <v>557 - Arch-Rib Quonset Utility</v>
      </c>
    </row>
    <row r="174" customFormat="false" ht="12" hidden="false" customHeight="true" outlineLevel="0" collapsed="false">
      <c r="B174" s="281" t="n">
        <v>558</v>
      </c>
      <c r="C174" s="1" t="s">
        <v>2706</v>
      </c>
      <c r="D174" s="1" t="n">
        <v>1</v>
      </c>
      <c r="E174" s="281" t="s">
        <v>1422</v>
      </c>
      <c r="F174" s="1" t="str">
        <f aca="false">B174&amp;" - "&amp;E174</f>
        <v>558 - Arch-Rib Quonset Farm Implement</v>
      </c>
    </row>
    <row r="175" customFormat="false" ht="12" hidden="false" customHeight="true" outlineLevel="0" collapsed="false">
      <c r="B175" s="281" t="n">
        <v>573</v>
      </c>
      <c r="C175" s="1" t="s">
        <v>2706</v>
      </c>
      <c r="D175" s="1" t="n">
        <v>1</v>
      </c>
      <c r="E175" s="281" t="s">
        <v>1423</v>
      </c>
      <c r="F175" s="1" t="str">
        <f aca="false">B175&amp;" - "&amp;E175</f>
        <v>573 - Arcade</v>
      </c>
    </row>
    <row r="176" customFormat="false" ht="12" hidden="false" customHeight="true" outlineLevel="0" collapsed="false">
      <c r="B176" s="281" t="n">
        <v>580</v>
      </c>
      <c r="C176" s="1" t="s">
        <v>2706</v>
      </c>
      <c r="D176" s="1" t="n">
        <v>2</v>
      </c>
      <c r="E176" s="281" t="s">
        <v>1424</v>
      </c>
      <c r="F176" s="1" t="str">
        <f aca="false">B176&amp;" - "&amp;E176</f>
        <v>580 - Truck Stop Restaurant</v>
      </c>
    </row>
    <row r="177" customFormat="false" ht="12" hidden="false" customHeight="true" outlineLevel="0" collapsed="false">
      <c r="B177" s="281" t="n">
        <v>582</v>
      </c>
      <c r="C177" s="1" t="s">
        <v>2706</v>
      </c>
      <c r="D177" s="1" t="n">
        <v>1</v>
      </c>
      <c r="E177" s="281" t="s">
        <v>1425</v>
      </c>
      <c r="F177" s="1" t="str">
        <f aca="false">B177&amp;" - "&amp;E177</f>
        <v>582 - Branch Post Office</v>
      </c>
    </row>
    <row r="178" customFormat="false" ht="12" hidden="false" customHeight="true" outlineLevel="0" collapsed="false">
      <c r="B178" s="281" t="n">
        <v>584</v>
      </c>
      <c r="C178" s="1" t="s">
        <v>2706</v>
      </c>
      <c r="D178" s="1" t="n">
        <v>56</v>
      </c>
      <c r="E178" s="281" t="s">
        <v>1426</v>
      </c>
      <c r="F178" s="1" t="str">
        <f aca="false">B178&amp;" - "&amp;E178</f>
        <v>584 - Mega Warehouse</v>
      </c>
    </row>
    <row r="179" customFormat="false" ht="12" hidden="false" customHeight="true" outlineLevel="0" collapsed="false">
      <c r="B179" s="281" t="n">
        <v>584</v>
      </c>
      <c r="C179" s="1" t="s">
        <v>2692</v>
      </c>
      <c r="D179" s="1" t="n">
        <v>21</v>
      </c>
      <c r="E179" s="281" t="s">
        <v>1426</v>
      </c>
      <c r="F179" s="1" t="str">
        <f aca="false">B179&amp;" - "&amp;E179</f>
        <v>584 - Mega Warehouse</v>
      </c>
    </row>
    <row r="180" customFormat="false" ht="12" hidden="false" customHeight="true" outlineLevel="0" collapsed="false">
      <c r="B180" s="281" t="n">
        <v>718</v>
      </c>
      <c r="C180" s="1" t="s">
        <v>2706</v>
      </c>
      <c r="D180" s="1" t="n">
        <v>3</v>
      </c>
      <c r="E180" s="281" t="s">
        <v>684</v>
      </c>
      <c r="F180" s="1" t="str">
        <f aca="false">B180&amp;" - "&amp;E180</f>
        <v>718 - Banquet Halls</v>
      </c>
    </row>
    <row r="181" customFormat="false" ht="12" hidden="false" customHeight="true" outlineLevel="0" collapsed="false">
      <c r="B181" s="281" t="n">
        <v>1104</v>
      </c>
      <c r="C181" s="1" t="s">
        <v>2706</v>
      </c>
      <c r="D181" s="1" t="n">
        <v>1</v>
      </c>
      <c r="E181" s="281" t="s">
        <v>1427</v>
      </c>
      <c r="F181" s="1" t="str">
        <f aca="false">B181&amp;" - "&amp;E181</f>
        <v>1104 - Light Commercial-Commodity Warehouse</v>
      </c>
    </row>
    <row r="182" customFormat="false" ht="12" hidden="false" customHeight="true" outlineLevel="0" collapsed="false">
      <c r="B182" s="281" t="n">
        <v>1104</v>
      </c>
      <c r="C182" s="1" t="s">
        <v>2692</v>
      </c>
      <c r="D182" s="1" t="n">
        <v>1</v>
      </c>
      <c r="E182" s="281" t="s">
        <v>1427</v>
      </c>
      <c r="F182" s="1" t="str">
        <f aca="false">B182&amp;" - "&amp;E182</f>
        <v>1104 - Light Commercial-Commodity Warehouse</v>
      </c>
    </row>
    <row r="183" customFormat="false" ht="12" hidden="false" customHeight="true" outlineLevel="0" collapsed="false">
      <c r="B183" s="281" t="n">
        <v>1111</v>
      </c>
      <c r="C183" s="1" t="s">
        <v>2706</v>
      </c>
      <c r="D183" s="1" t="n">
        <v>2</v>
      </c>
      <c r="E183" s="281" t="s">
        <v>1441</v>
      </c>
      <c r="F183" s="1" t="str">
        <f aca="false">B183&amp;" - "&amp;E183</f>
        <v>1111 - Parking Lot</v>
      </c>
    </row>
    <row r="184" customFormat="false" ht="12" hidden="false" customHeight="true" outlineLevel="0" collapsed="false">
      <c r="B184" s="281" t="n">
        <v>1112</v>
      </c>
      <c r="C184" s="1" t="s">
        <v>2706</v>
      </c>
      <c r="D184" s="1" t="n">
        <v>1</v>
      </c>
      <c r="E184" s="281" t="s">
        <v>1480</v>
      </c>
      <c r="F184" s="1" t="str">
        <f aca="false">B184&amp;" - "&amp;E184</f>
        <v>1112 - Parking Lot Income Producing</v>
      </c>
    </row>
    <row r="185" customFormat="false" ht="12" hidden="false" customHeight="true" outlineLevel="0" collapsed="false">
      <c r="B185" s="281" t="n">
        <v>1157</v>
      </c>
      <c r="C185" s="1" t="s">
        <v>2706</v>
      </c>
      <c r="D185" s="1" t="n">
        <v>2</v>
      </c>
      <c r="E185" s="281" t="s">
        <v>1260</v>
      </c>
      <c r="F185" s="1" t="str">
        <f aca="false">B185&amp;" - "&amp;E185</f>
        <v>1157 - Maintenance (Storage) Buildings</v>
      </c>
    </row>
    <row r="186" customFormat="false" ht="12" hidden="false" customHeight="true" outlineLevel="0" collapsed="false">
      <c r="B186" s="281" t="n">
        <v>1332</v>
      </c>
      <c r="C186" s="1" t="s">
        <v>2706</v>
      </c>
      <c r="D186" s="1" t="n">
        <v>39</v>
      </c>
      <c r="E186" s="281" t="s">
        <v>1428</v>
      </c>
      <c r="F186" s="1" t="str">
        <f aca="false">B186&amp;" - "&amp;E186</f>
        <v>1332 - Hotels - Limited Service</v>
      </c>
    </row>
    <row r="187" customFormat="false" ht="12" hidden="false" customHeight="true" outlineLevel="0" collapsed="false">
      <c r="B187" s="281" t="n">
        <v>1332</v>
      </c>
      <c r="C187" s="1" t="s">
        <v>2692</v>
      </c>
      <c r="D187" s="1" t="n">
        <v>1</v>
      </c>
      <c r="E187" s="281" t="s">
        <v>1428</v>
      </c>
      <c r="F187" s="1" t="str">
        <f aca="false">B187&amp;" - "&amp;E187</f>
        <v>1332 - Hotels - Limited Service</v>
      </c>
    </row>
    <row r="188" customFormat="false" ht="12" hidden="false" customHeight="true" outlineLevel="0" collapsed="false">
      <c r="B188" s="281" t="n">
        <v>1343</v>
      </c>
      <c r="C188" s="1" t="s">
        <v>2706</v>
      </c>
      <c r="D188" s="1" t="n">
        <v>4</v>
      </c>
      <c r="E188" s="281" t="s">
        <v>1429</v>
      </c>
      <c r="F188" s="1" t="str">
        <f aca="false">B188&amp;" - "&amp;E188</f>
        <v>1343 - Extended Stay Motels</v>
      </c>
    </row>
    <row r="189" customFormat="false" ht="12" hidden="false" customHeight="true" outlineLevel="0" collapsed="false">
      <c r="B189" s="281" t="n">
        <v>1344</v>
      </c>
      <c r="C189" s="1" t="s">
        <v>2706</v>
      </c>
      <c r="D189" s="1" t="n">
        <v>173</v>
      </c>
      <c r="E189" s="281" t="s">
        <v>1430</v>
      </c>
      <c r="F189" s="1" t="str">
        <f aca="false">B189&amp;" - "&amp;E189</f>
        <v>1344 - Office Building - Condo</v>
      </c>
    </row>
    <row r="190" customFormat="false" ht="12" hidden="false" customHeight="true" outlineLevel="0" collapsed="false">
      <c r="B190" s="281" t="n">
        <v>1353</v>
      </c>
      <c r="C190" s="1" t="s">
        <v>2706</v>
      </c>
      <c r="D190" s="1" t="n">
        <v>20</v>
      </c>
      <c r="E190" s="281" t="s">
        <v>1431</v>
      </c>
      <c r="F190" s="1" t="str">
        <f aca="false">B190&amp;" - "&amp;E190</f>
        <v>1353 - Retail Store - Condo</v>
      </c>
    </row>
    <row r="191" customFormat="false" ht="12" hidden="false" customHeight="true" outlineLevel="0" collapsed="false">
      <c r="B191" s="281" t="n">
        <v>1458</v>
      </c>
      <c r="C191" s="1" t="s">
        <v>2706</v>
      </c>
      <c r="D191" s="1" t="n">
        <v>8</v>
      </c>
      <c r="E191" s="281" t="s">
        <v>1432</v>
      </c>
      <c r="F191" s="1" t="str">
        <f aca="false">B191&amp;" - "&amp;E191</f>
        <v>1458 - Warehouse Discount Store</v>
      </c>
    </row>
    <row r="192" customFormat="false" ht="12" hidden="false" customHeight="true" outlineLevel="0" collapsed="false">
      <c r="B192" s="281" t="n">
        <v>1467</v>
      </c>
      <c r="C192" s="1" t="s">
        <v>2706</v>
      </c>
      <c r="D192" s="1" t="n">
        <v>2</v>
      </c>
      <c r="E192" s="281" t="s">
        <v>1031</v>
      </c>
      <c r="F192" s="1" t="str">
        <f aca="false">B192&amp;" - "&amp;E192</f>
        <v>1467 - Boat Storage Buildings</v>
      </c>
    </row>
    <row r="193" customFormat="false" ht="12" hidden="false" customHeight="true" outlineLevel="0" collapsed="false">
      <c r="B193" s="281" t="n">
        <v>1468</v>
      </c>
      <c r="C193" s="1" t="s">
        <v>2706</v>
      </c>
      <c r="D193" s="1" t="n">
        <v>7</v>
      </c>
      <c r="E193" s="281" t="s">
        <v>1022</v>
      </c>
      <c r="F193" s="1" t="str">
        <f aca="false">B193&amp;" - "&amp;E193</f>
        <v>1468 - Material Storage Sheds</v>
      </c>
    </row>
    <row r="194" customFormat="false" ht="12" hidden="false" customHeight="true" outlineLevel="0" collapsed="false">
      <c r="B194" s="281" t="n">
        <v>1468</v>
      </c>
      <c r="C194" s="1" t="s">
        <v>2692</v>
      </c>
      <c r="D194" s="1" t="n">
        <v>1</v>
      </c>
      <c r="E194" s="281" t="s">
        <v>1022</v>
      </c>
      <c r="F194" s="1" t="str">
        <f aca="false">B194&amp;" - "&amp;E194</f>
        <v>1468 - Material Storage Sheds</v>
      </c>
    </row>
    <row r="195" customFormat="false" ht="12" hidden="false" customHeight="true" outlineLevel="0" collapsed="false">
      <c r="B195" s="281" t="n">
        <v>1471</v>
      </c>
      <c r="C195" s="1" t="s">
        <v>2706</v>
      </c>
      <c r="D195" s="1" t="n">
        <v>1</v>
      </c>
      <c r="E195" s="281" t="s">
        <v>1433</v>
      </c>
      <c r="F195" s="1" t="str">
        <f aca="false">B195&amp;" - "&amp;E195</f>
        <v>1471 - Light Commercial Utility</v>
      </c>
    </row>
    <row r="196" customFormat="false" ht="12" hidden="false" customHeight="true" outlineLevel="0" collapsed="false">
      <c r="B196" s="281" t="n">
        <v>1473</v>
      </c>
      <c r="C196" s="1" t="s">
        <v>2706</v>
      </c>
      <c r="D196" s="1" t="n">
        <v>5</v>
      </c>
      <c r="E196" s="281" t="s">
        <v>1434</v>
      </c>
      <c r="F196" s="1" t="str">
        <f aca="false">B196&amp;" - "&amp;E196</f>
        <v>1473 - Material Shelters</v>
      </c>
    </row>
    <row r="197" customFormat="false" ht="12" hidden="false" customHeight="true" outlineLevel="0" collapsed="false">
      <c r="B197" s="281" t="n">
        <v>1473</v>
      </c>
      <c r="C197" s="1" t="s">
        <v>2692</v>
      </c>
      <c r="D197" s="1" t="n">
        <v>1</v>
      </c>
      <c r="E197" s="281" t="s">
        <v>1434</v>
      </c>
      <c r="F197" s="1" t="str">
        <f aca="false">B197&amp;" - "&amp;E197</f>
        <v>1473 - Material Shelters</v>
      </c>
    </row>
    <row r="198" customFormat="false" ht="12" hidden="false" customHeight="true" outlineLevel="0" collapsed="false">
      <c r="B198" s="281" t="n">
        <v>1513</v>
      </c>
      <c r="C198" s="1" t="s">
        <v>2706</v>
      </c>
      <c r="D198" s="1" t="n">
        <v>4</v>
      </c>
      <c r="E198" s="281" t="s">
        <v>752</v>
      </c>
      <c r="F198" s="1" t="str">
        <f aca="false">B198&amp;" - "&amp;E198</f>
        <v>1513 - Regional Discount Shopping Centers</v>
      </c>
    </row>
    <row r="199" customFormat="false" ht="12" hidden="false" customHeight="true" outlineLevel="0" collapsed="false">
      <c r="B199" s="281" t="n">
        <v>3441</v>
      </c>
      <c r="C199" s="1" t="s">
        <v>2706</v>
      </c>
      <c r="D199" s="1" t="n">
        <v>41</v>
      </c>
      <c r="E199" s="281" t="s">
        <v>1435</v>
      </c>
      <c r="F199" s="1" t="str">
        <f aca="false">B199&amp;" - "&amp;E199</f>
        <v>3441 - Office Conversion</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B1:M10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A1" activeCellId="0" sqref="A1"/>
    </sheetView>
  </sheetViews>
  <sheetFormatPr defaultColWidth="10.29296875" defaultRowHeight="12" zeroHeight="false" outlineLevelRow="0" outlineLevelCol="0"/>
  <cols>
    <col collapsed="false" customWidth="true" hidden="false" outlineLevel="0" max="2" min="2" style="1" width="29.57"/>
    <col collapsed="false" customWidth="true" hidden="false" outlineLevel="0" max="6" min="6" style="1" width="16"/>
    <col collapsed="false" customWidth="true" hidden="false" outlineLevel="0" max="7" min="7" style="1" width="11.43"/>
    <col collapsed="false" customWidth="true" hidden="false" outlineLevel="0" max="9" min="8" style="1" width="18.29"/>
    <col collapsed="false" customWidth="true" hidden="false" outlineLevel="0" max="10" min="10" style="1" width="13.71"/>
    <col collapsed="false" customWidth="true" hidden="false" outlineLevel="0" max="11" min="11" style="1" width="16"/>
    <col collapsed="false" customWidth="true" hidden="false" outlineLevel="0" max="12" min="12" style="1" width="27.43"/>
    <col collapsed="false" customWidth="true" hidden="false" outlineLevel="0" max="13" min="13" style="1" width="14.86"/>
  </cols>
  <sheetData>
    <row r="1" customFormat="false" ht="15.75" hidden="false" customHeight="true" outlineLevel="0" collapsed="false">
      <c r="B1" s="492" t="s">
        <v>9300</v>
      </c>
    </row>
    <row r="2" customFormat="false" ht="39.75" hidden="false" customHeight="true" outlineLevel="0" collapsed="false">
      <c r="B2" s="79" t="s">
        <v>9301</v>
      </c>
      <c r="C2" s="79"/>
      <c r="D2" s="79"/>
      <c r="E2" s="79"/>
    </row>
    <row r="4" customFormat="false" ht="12" hidden="false" customHeight="true" outlineLevel="0" collapsed="false">
      <c r="B4" s="73" t="s">
        <v>9302</v>
      </c>
      <c r="D4" s="73" t="s">
        <v>9303</v>
      </c>
    </row>
    <row r="5" customFormat="false" ht="12" hidden="false" customHeight="true" outlineLevel="0" collapsed="false">
      <c r="D5" s="83" t="s">
        <v>2757</v>
      </c>
      <c r="E5" s="83" t="s">
        <v>2595</v>
      </c>
      <c r="F5" s="83" t="s">
        <v>3320</v>
      </c>
      <c r="G5" s="83" t="s">
        <v>260</v>
      </c>
      <c r="H5" s="83" t="s">
        <v>2921</v>
      </c>
      <c r="I5" s="83" t="s">
        <v>3272</v>
      </c>
      <c r="J5" s="83" t="s">
        <v>2566</v>
      </c>
      <c r="K5" s="83" t="s">
        <v>2705</v>
      </c>
      <c r="L5" s="83" t="s">
        <v>2677</v>
      </c>
      <c r="M5" s="83" t="s">
        <v>2581</v>
      </c>
    </row>
    <row r="6" customFormat="false" ht="12" hidden="false" customHeight="true" outlineLevel="0" collapsed="false">
      <c r="B6" s="1" t="s">
        <v>4523</v>
      </c>
      <c r="D6" s="1" t="s">
        <v>3803</v>
      </c>
      <c r="E6" s="1" t="s">
        <v>4743</v>
      </c>
      <c r="F6" s="1" t="s">
        <v>4523</v>
      </c>
      <c r="G6" s="1" t="s">
        <v>1929</v>
      </c>
      <c r="H6" s="1" t="s">
        <v>3280</v>
      </c>
      <c r="I6" s="1" t="s">
        <v>3273</v>
      </c>
      <c r="J6" s="1" t="s">
        <v>2658</v>
      </c>
      <c r="K6" s="1" t="s">
        <v>4523</v>
      </c>
      <c r="L6" s="1" t="s">
        <v>1952</v>
      </c>
      <c r="M6" s="1" t="s">
        <v>2990</v>
      </c>
    </row>
    <row r="7" customFormat="false" ht="12" hidden="false" customHeight="true" outlineLevel="0" collapsed="false">
      <c r="B7" s="1" t="s">
        <v>4743</v>
      </c>
      <c r="D7" s="1" t="s">
        <v>2758</v>
      </c>
      <c r="E7" s="1" t="s">
        <v>4813</v>
      </c>
      <c r="F7" s="1" t="s">
        <v>4516</v>
      </c>
      <c r="G7" s="1" t="s">
        <v>3066</v>
      </c>
      <c r="H7" s="1" t="s">
        <v>3388</v>
      </c>
      <c r="I7" s="1" t="s">
        <v>4440</v>
      </c>
      <c r="J7" s="1" t="s">
        <v>3569</v>
      </c>
      <c r="K7" s="1" t="s">
        <v>2706</v>
      </c>
      <c r="L7" s="1" t="s">
        <v>5567</v>
      </c>
      <c r="M7" s="1" t="s">
        <v>3486</v>
      </c>
    </row>
    <row r="8" customFormat="false" ht="12" hidden="false" customHeight="true" outlineLevel="0" collapsed="false">
      <c r="B8" s="1" t="s">
        <v>2990</v>
      </c>
      <c r="D8" s="1" t="s">
        <v>4238</v>
      </c>
      <c r="E8" s="1" t="s">
        <v>3381</v>
      </c>
      <c r="G8" s="1" t="s">
        <v>3500</v>
      </c>
      <c r="H8" s="1" t="s">
        <v>3022</v>
      </c>
      <c r="J8" s="1" t="s">
        <v>3300</v>
      </c>
      <c r="L8" s="1" t="s">
        <v>3307</v>
      </c>
      <c r="M8" s="1" t="s">
        <v>4586</v>
      </c>
    </row>
    <row r="9" customFormat="false" ht="12" hidden="false" customHeight="true" outlineLevel="0" collapsed="false">
      <c r="B9" s="1" t="s">
        <v>3803</v>
      </c>
      <c r="E9" s="1" t="s">
        <v>6221</v>
      </c>
      <c r="G9" s="1" t="s">
        <v>2896</v>
      </c>
      <c r="H9" s="1" t="s">
        <v>4420</v>
      </c>
      <c r="J9" s="1" t="s">
        <v>5560</v>
      </c>
      <c r="L9" s="1" t="s">
        <v>4427</v>
      </c>
      <c r="M9" s="1" t="s">
        <v>2588</v>
      </c>
    </row>
    <row r="10" customFormat="false" ht="12" hidden="false" customHeight="true" outlineLevel="0" collapsed="false">
      <c r="B10" s="1" t="s">
        <v>4813</v>
      </c>
      <c r="E10" s="1" t="s">
        <v>4066</v>
      </c>
      <c r="G10" s="1" t="s">
        <v>4447</v>
      </c>
      <c r="H10" s="1" t="s">
        <v>3293</v>
      </c>
      <c r="J10" s="1" t="s">
        <v>2983</v>
      </c>
      <c r="L10" s="1" t="s">
        <v>3413</v>
      </c>
      <c r="M10" s="1" t="s">
        <v>3047</v>
      </c>
    </row>
    <row r="11" customFormat="false" ht="12" hidden="false" customHeight="true" outlineLevel="0" collapsed="false">
      <c r="B11" s="1" t="s">
        <v>3381</v>
      </c>
      <c r="E11" s="1" t="s">
        <v>2713</v>
      </c>
      <c r="G11" s="1" t="s">
        <v>3265</v>
      </c>
      <c r="H11" s="1" t="s">
        <v>2922</v>
      </c>
      <c r="J11" s="1" t="s">
        <v>4325</v>
      </c>
      <c r="L11" s="1" t="s">
        <v>2678</v>
      </c>
      <c r="M11" s="1" t="s">
        <v>4407</v>
      </c>
    </row>
    <row r="12" customFormat="false" ht="12" hidden="false" customHeight="true" outlineLevel="0" collapsed="false">
      <c r="B12" s="1" t="s">
        <v>9304</v>
      </c>
      <c r="E12" s="1" t="s">
        <v>2807</v>
      </c>
      <c r="G12" s="1" t="s">
        <v>2765</v>
      </c>
      <c r="H12" s="1" t="s">
        <v>3009</v>
      </c>
      <c r="J12" s="1" t="s">
        <v>3600</v>
      </c>
      <c r="L12" s="1" t="s">
        <v>5988</v>
      </c>
    </row>
    <row r="13" customFormat="false" ht="12" hidden="false" customHeight="true" outlineLevel="0" collapsed="false">
      <c r="B13" s="1" t="s">
        <v>8489</v>
      </c>
      <c r="E13" s="1" t="s">
        <v>2597</v>
      </c>
      <c r="G13" s="1" t="s">
        <v>261</v>
      </c>
      <c r="H13" s="1" t="s">
        <v>3181</v>
      </c>
      <c r="J13" s="1" t="s">
        <v>2568</v>
      </c>
      <c r="L13" s="1" t="s">
        <v>4368</v>
      </c>
    </row>
    <row r="14" customFormat="false" ht="12" hidden="false" customHeight="true" outlineLevel="0" collapsed="false">
      <c r="B14" s="1" t="s">
        <v>9305</v>
      </c>
      <c r="E14" s="1" t="s">
        <v>3108</v>
      </c>
      <c r="G14" s="1" t="s">
        <v>5039</v>
      </c>
      <c r="H14" s="1" t="s">
        <v>2692</v>
      </c>
      <c r="J14" s="1" t="s">
        <v>3924</v>
      </c>
    </row>
    <row r="15" customFormat="false" ht="12" hidden="false" customHeight="true" outlineLevel="0" collapsed="false">
      <c r="B15" s="1" t="s">
        <v>9306</v>
      </c>
      <c r="E15" s="1" t="s">
        <v>3493</v>
      </c>
      <c r="H15" s="1" t="s">
        <v>4047</v>
      </c>
      <c r="J15" s="1" t="s">
        <v>5341</v>
      </c>
    </row>
    <row r="16" customFormat="false" ht="12" hidden="false" customHeight="true" outlineLevel="0" collapsed="false">
      <c r="B16" s="1" t="s">
        <v>9307</v>
      </c>
      <c r="E16" s="1" t="s">
        <v>3507</v>
      </c>
      <c r="H16" s="1" t="s">
        <v>3977</v>
      </c>
    </row>
    <row r="17" customFormat="false" ht="12" hidden="false" customHeight="true" outlineLevel="0" collapsed="false">
      <c r="B17" s="1" t="s">
        <v>4516</v>
      </c>
    </row>
    <row r="18" customFormat="false" ht="12" hidden="false" customHeight="true" outlineLevel="0" collapsed="false">
      <c r="B18" s="1" t="s">
        <v>1929</v>
      </c>
    </row>
    <row r="19" customFormat="false" ht="12" hidden="false" customHeight="true" outlineLevel="0" collapsed="false">
      <c r="B19" s="1" t="s">
        <v>1952</v>
      </c>
    </row>
    <row r="20" customFormat="false" ht="12" hidden="false" customHeight="true" outlineLevel="0" collapsed="false">
      <c r="B20" s="1" t="s">
        <v>2658</v>
      </c>
    </row>
    <row r="21" customFormat="false" ht="12" hidden="false" customHeight="true" outlineLevel="0" collapsed="false">
      <c r="B21" s="1" t="s">
        <v>3066</v>
      </c>
    </row>
    <row r="22" customFormat="false" ht="12" hidden="false" customHeight="true" outlineLevel="0" collapsed="false">
      <c r="B22" s="1" t="s">
        <v>3280</v>
      </c>
    </row>
    <row r="23" customFormat="false" ht="12" hidden="false" customHeight="true" outlineLevel="0" collapsed="false">
      <c r="B23" s="1" t="s">
        <v>3273</v>
      </c>
    </row>
    <row r="24" customFormat="false" ht="12" hidden="false" customHeight="true" outlineLevel="0" collapsed="false">
      <c r="B24" s="1" t="s">
        <v>3486</v>
      </c>
    </row>
    <row r="25" customFormat="false" ht="12" hidden="false" customHeight="true" outlineLevel="0" collapsed="false">
      <c r="B25" s="1" t="s">
        <v>3500</v>
      </c>
    </row>
    <row r="26" customFormat="false" ht="12" hidden="false" customHeight="true" outlineLevel="0" collapsed="false">
      <c r="B26" s="1" t="s">
        <v>3388</v>
      </c>
    </row>
    <row r="27" customFormat="false" ht="12" hidden="false" customHeight="true" outlineLevel="0" collapsed="false">
      <c r="B27" s="1" t="s">
        <v>2896</v>
      </c>
    </row>
    <row r="28" customFormat="false" ht="12" hidden="false" customHeight="true" outlineLevel="0" collapsed="false">
      <c r="B28" s="1" t="s">
        <v>3022</v>
      </c>
    </row>
    <row r="29" customFormat="false" ht="12" hidden="false" customHeight="true" outlineLevel="0" collapsed="false">
      <c r="B29" s="1" t="s">
        <v>3569</v>
      </c>
    </row>
    <row r="30" customFormat="false" ht="12" hidden="false" customHeight="true" outlineLevel="0" collapsed="false">
      <c r="B30" s="1" t="s">
        <v>3300</v>
      </c>
    </row>
    <row r="31" customFormat="false" ht="12" hidden="false" customHeight="true" outlineLevel="0" collapsed="false">
      <c r="B31" s="1" t="s">
        <v>5560</v>
      </c>
    </row>
    <row r="32" customFormat="false" ht="12" hidden="false" customHeight="true" outlineLevel="0" collapsed="false">
      <c r="B32" s="1" t="s">
        <v>9308</v>
      </c>
    </row>
    <row r="33" customFormat="false" ht="12" hidden="false" customHeight="true" outlineLevel="0" collapsed="false">
      <c r="B33" s="1" t="s">
        <v>9309</v>
      </c>
    </row>
    <row r="34" customFormat="false" ht="12" hidden="false" customHeight="true" outlineLevel="0" collapsed="false">
      <c r="B34" s="1" t="s">
        <v>9310</v>
      </c>
    </row>
    <row r="35" customFormat="false" ht="12" hidden="false" customHeight="true" outlineLevel="0" collapsed="false">
      <c r="B35" s="1" t="s">
        <v>9311</v>
      </c>
    </row>
    <row r="36" customFormat="false" ht="12" hidden="false" customHeight="true" outlineLevel="0" collapsed="false">
      <c r="B36" s="1" t="s">
        <v>9312</v>
      </c>
    </row>
    <row r="37" customFormat="false" ht="12" hidden="false" customHeight="true" outlineLevel="0" collapsed="false">
      <c r="B37" s="1" t="s">
        <v>4447</v>
      </c>
    </row>
    <row r="38" customFormat="false" ht="12" hidden="false" customHeight="true" outlineLevel="0" collapsed="false">
      <c r="B38" s="1" t="s">
        <v>7585</v>
      </c>
    </row>
    <row r="39" customFormat="false" ht="12" hidden="false" customHeight="true" outlineLevel="0" collapsed="false">
      <c r="B39" s="1" t="s">
        <v>5567</v>
      </c>
    </row>
    <row r="40" customFormat="false" ht="12" hidden="false" customHeight="true" outlineLevel="0" collapsed="false">
      <c r="B40" s="1" t="s">
        <v>4420</v>
      </c>
    </row>
    <row r="41" customFormat="false" ht="12" hidden="false" customHeight="true" outlineLevel="0" collapsed="false">
      <c r="B41" s="1" t="s">
        <v>2706</v>
      </c>
    </row>
    <row r="42" customFormat="false" ht="12" hidden="false" customHeight="true" outlineLevel="0" collapsed="false">
      <c r="B42" s="1" t="s">
        <v>3307</v>
      </c>
    </row>
    <row r="43" customFormat="false" ht="12" hidden="false" customHeight="true" outlineLevel="0" collapsed="false">
      <c r="B43" s="1" t="s">
        <v>9313</v>
      </c>
    </row>
    <row r="44" customFormat="false" ht="12" hidden="false" customHeight="true" outlineLevel="0" collapsed="false">
      <c r="B44" s="1" t="s">
        <v>3265</v>
      </c>
    </row>
    <row r="45" customFormat="false" ht="12" hidden="false" customHeight="true" outlineLevel="0" collapsed="false">
      <c r="B45" s="1" t="s">
        <v>6221</v>
      </c>
    </row>
    <row r="46" customFormat="false" ht="12" hidden="false" customHeight="true" outlineLevel="0" collapsed="false">
      <c r="B46" s="1" t="s">
        <v>9314</v>
      </c>
    </row>
    <row r="47" customFormat="false" ht="12" hidden="false" customHeight="true" outlineLevel="0" collapsed="false">
      <c r="B47" s="1" t="s">
        <v>9315</v>
      </c>
    </row>
    <row r="48" customFormat="false" ht="12" hidden="false" customHeight="true" outlineLevel="0" collapsed="false">
      <c r="B48" s="1" t="s">
        <v>4427</v>
      </c>
    </row>
    <row r="49" customFormat="false" ht="12" hidden="false" customHeight="true" outlineLevel="0" collapsed="false">
      <c r="B49" s="1" t="s">
        <v>4066</v>
      </c>
    </row>
    <row r="50" customFormat="false" ht="12" hidden="false" customHeight="true" outlineLevel="0" collapsed="false">
      <c r="B50" s="1" t="s">
        <v>4440</v>
      </c>
    </row>
    <row r="51" customFormat="false" ht="12" hidden="false" customHeight="true" outlineLevel="0" collapsed="false">
      <c r="B51" s="1" t="s">
        <v>9316</v>
      </c>
    </row>
    <row r="52" customFormat="false" ht="12" hidden="false" customHeight="true" outlineLevel="0" collapsed="false">
      <c r="B52" s="1" t="s">
        <v>9317</v>
      </c>
    </row>
    <row r="53" customFormat="false" ht="12" hidden="false" customHeight="true" outlineLevel="0" collapsed="false">
      <c r="B53" s="1" t="s">
        <v>2758</v>
      </c>
    </row>
    <row r="54" customFormat="false" ht="12" hidden="false" customHeight="true" outlineLevel="0" collapsed="false">
      <c r="B54" s="1" t="s">
        <v>2765</v>
      </c>
    </row>
    <row r="55" customFormat="false" ht="12" hidden="false" customHeight="true" outlineLevel="0" collapsed="false">
      <c r="B55" s="1" t="s">
        <v>3293</v>
      </c>
    </row>
    <row r="56" customFormat="false" ht="12" hidden="false" customHeight="true" outlineLevel="0" collapsed="false">
      <c r="B56" s="1" t="s">
        <v>2922</v>
      </c>
    </row>
    <row r="57" customFormat="false" ht="12" hidden="false" customHeight="true" outlineLevel="0" collapsed="false">
      <c r="B57" s="1" t="s">
        <v>4238</v>
      </c>
    </row>
    <row r="58" customFormat="false" ht="12" hidden="false" customHeight="true" outlineLevel="0" collapsed="false">
      <c r="B58" s="1" t="s">
        <v>3009</v>
      </c>
    </row>
    <row r="59" customFormat="false" ht="12" hidden="false" customHeight="true" outlineLevel="0" collapsed="false">
      <c r="B59" s="1" t="s">
        <v>2983</v>
      </c>
    </row>
    <row r="60" customFormat="false" ht="12" hidden="false" customHeight="true" outlineLevel="0" collapsed="false">
      <c r="B60" s="1" t="s">
        <v>3181</v>
      </c>
    </row>
    <row r="61" customFormat="false" ht="12" hidden="false" customHeight="true" outlineLevel="0" collapsed="false">
      <c r="B61" s="1" t="s">
        <v>9318</v>
      </c>
    </row>
    <row r="62" customFormat="false" ht="12" hidden="false" customHeight="true" outlineLevel="0" collapsed="false">
      <c r="B62" s="1" t="s">
        <v>9319</v>
      </c>
    </row>
    <row r="63" customFormat="false" ht="12" hidden="false" customHeight="true" outlineLevel="0" collapsed="false">
      <c r="B63" s="1" t="s">
        <v>9320</v>
      </c>
    </row>
    <row r="64" customFormat="false" ht="12" hidden="false" customHeight="true" outlineLevel="0" collapsed="false">
      <c r="B64" s="1" t="s">
        <v>9321</v>
      </c>
    </row>
    <row r="65" customFormat="false" ht="12" hidden="false" customHeight="true" outlineLevel="0" collapsed="false">
      <c r="B65" s="1" t="s">
        <v>9322</v>
      </c>
    </row>
    <row r="66" customFormat="false" ht="12" hidden="false" customHeight="true" outlineLevel="0" collapsed="false">
      <c r="B66" s="1" t="s">
        <v>7667</v>
      </c>
    </row>
    <row r="67" customFormat="false" ht="12" hidden="false" customHeight="true" outlineLevel="0" collapsed="false">
      <c r="B67" s="1" t="s">
        <v>7870</v>
      </c>
    </row>
    <row r="68" customFormat="false" ht="12" hidden="false" customHeight="true" outlineLevel="0" collapsed="false">
      <c r="B68" s="1" t="s">
        <v>7542</v>
      </c>
    </row>
    <row r="69" customFormat="false" ht="12" hidden="false" customHeight="true" outlineLevel="0" collapsed="false">
      <c r="B69" s="1" t="s">
        <v>7860</v>
      </c>
    </row>
    <row r="70" customFormat="false" ht="12" hidden="false" customHeight="true" outlineLevel="0" collapsed="false">
      <c r="B70" s="1" t="s">
        <v>2692</v>
      </c>
    </row>
    <row r="71" customFormat="false" ht="12" hidden="false" customHeight="true" outlineLevel="0" collapsed="false">
      <c r="B71" s="1" t="s">
        <v>2713</v>
      </c>
    </row>
    <row r="72" customFormat="false" ht="12" hidden="false" customHeight="true" outlineLevel="0" collapsed="false">
      <c r="B72" s="1" t="s">
        <v>4586</v>
      </c>
    </row>
    <row r="73" customFormat="false" ht="12" hidden="false" customHeight="true" outlineLevel="0" collapsed="false">
      <c r="B73" s="1" t="s">
        <v>2807</v>
      </c>
    </row>
    <row r="74" customFormat="false" ht="12" hidden="false" customHeight="true" outlineLevel="0" collapsed="false">
      <c r="B74" s="1" t="s">
        <v>2597</v>
      </c>
    </row>
    <row r="75" customFormat="false" ht="12" hidden="false" customHeight="true" outlineLevel="0" collapsed="false">
      <c r="B75" s="1" t="s">
        <v>9323</v>
      </c>
    </row>
    <row r="76" customFormat="false" ht="12" hidden="false" customHeight="true" outlineLevel="0" collapsed="false">
      <c r="B76" s="1" t="s">
        <v>4325</v>
      </c>
    </row>
    <row r="77" customFormat="false" ht="12" hidden="false" customHeight="true" outlineLevel="0" collapsed="false">
      <c r="B77" s="1" t="s">
        <v>3108</v>
      </c>
    </row>
    <row r="78" customFormat="false" ht="12" hidden="false" customHeight="true" outlineLevel="0" collapsed="false">
      <c r="B78" s="1" t="s">
        <v>3493</v>
      </c>
    </row>
    <row r="79" customFormat="false" ht="12" hidden="false" customHeight="true" outlineLevel="0" collapsed="false">
      <c r="B79" s="1" t="s">
        <v>3507</v>
      </c>
    </row>
    <row r="80" customFormat="false" ht="12" hidden="false" customHeight="true" outlineLevel="0" collapsed="false">
      <c r="B80" s="1" t="s">
        <v>9324</v>
      </c>
    </row>
    <row r="81" customFormat="false" ht="12" hidden="false" customHeight="true" outlineLevel="0" collapsed="false">
      <c r="B81" s="1" t="s">
        <v>50</v>
      </c>
    </row>
    <row r="82" customFormat="false" ht="12" hidden="false" customHeight="true" outlineLevel="0" collapsed="false">
      <c r="B82" s="1" t="s">
        <v>261</v>
      </c>
    </row>
    <row r="83" customFormat="false" ht="12" hidden="false" customHeight="true" outlineLevel="0" collapsed="false">
      <c r="B83" s="1" t="s">
        <v>4047</v>
      </c>
    </row>
    <row r="84" customFormat="false" ht="12" hidden="false" customHeight="true" outlineLevel="0" collapsed="false">
      <c r="B84" s="1" t="s">
        <v>3600</v>
      </c>
    </row>
    <row r="85" customFormat="false" ht="12" hidden="false" customHeight="true" outlineLevel="0" collapsed="false">
      <c r="B85" s="1" t="s">
        <v>2588</v>
      </c>
    </row>
    <row r="86" customFormat="false" ht="12" hidden="false" customHeight="true" outlineLevel="0" collapsed="false">
      <c r="B86" s="1" t="s">
        <v>3413</v>
      </c>
    </row>
    <row r="87" customFormat="false" ht="12" hidden="false" customHeight="true" outlineLevel="0" collapsed="false">
      <c r="B87" s="1" t="s">
        <v>2750</v>
      </c>
    </row>
    <row r="88" customFormat="false" ht="12" hidden="false" customHeight="true" outlineLevel="0" collapsed="false">
      <c r="B88" s="1" t="s">
        <v>2568</v>
      </c>
    </row>
    <row r="89" customFormat="false" ht="12" hidden="false" customHeight="true" outlineLevel="0" collapsed="false">
      <c r="B89" s="1" t="s">
        <v>3924</v>
      </c>
    </row>
    <row r="90" customFormat="false" ht="12" hidden="false" customHeight="true" outlineLevel="0" collapsed="false">
      <c r="B90" s="1" t="s">
        <v>5039</v>
      </c>
    </row>
    <row r="91" customFormat="false" ht="12" hidden="false" customHeight="true" outlineLevel="0" collapsed="false">
      <c r="B91" s="1" t="s">
        <v>3977</v>
      </c>
    </row>
    <row r="92" customFormat="false" ht="12" hidden="false" customHeight="true" outlineLevel="0" collapsed="false">
      <c r="B92" s="1" t="s">
        <v>5341</v>
      </c>
    </row>
    <row r="93" customFormat="false" ht="12" hidden="false" customHeight="true" outlineLevel="0" collapsed="false">
      <c r="B93" s="1" t="s">
        <v>9325</v>
      </c>
    </row>
    <row r="94" customFormat="false" ht="12" hidden="false" customHeight="true" outlineLevel="0" collapsed="false">
      <c r="B94" s="1" t="s">
        <v>9326</v>
      </c>
    </row>
    <row r="95" customFormat="false" ht="12" hidden="false" customHeight="true" outlineLevel="0" collapsed="false">
      <c r="B95" s="1" t="s">
        <v>9327</v>
      </c>
    </row>
    <row r="96" customFormat="false" ht="12" hidden="false" customHeight="true" outlineLevel="0" collapsed="false">
      <c r="B96" s="1" t="s">
        <v>9328</v>
      </c>
    </row>
    <row r="97" customFormat="false" ht="12" hidden="false" customHeight="true" outlineLevel="0" collapsed="false">
      <c r="B97" s="1" t="s">
        <v>7725</v>
      </c>
    </row>
    <row r="98" customFormat="false" ht="12" hidden="false" customHeight="true" outlineLevel="0" collapsed="false">
      <c r="B98" s="1" t="s">
        <v>2678</v>
      </c>
    </row>
    <row r="99" customFormat="false" ht="12" hidden="false" customHeight="true" outlineLevel="0" collapsed="false">
      <c r="B99" s="1" t="s">
        <v>4349</v>
      </c>
    </row>
    <row r="100" customFormat="false" ht="12" hidden="false" customHeight="true" outlineLevel="0" collapsed="false">
      <c r="B100" s="1" t="s">
        <v>3047</v>
      </c>
    </row>
    <row r="101" customFormat="false" ht="12" hidden="false" customHeight="true" outlineLevel="0" collapsed="false">
      <c r="B101" s="1" t="s">
        <v>5988</v>
      </c>
    </row>
    <row r="102" customFormat="false" ht="12" hidden="false" customHeight="true" outlineLevel="0" collapsed="false">
      <c r="B102" s="1" t="s">
        <v>4368</v>
      </c>
    </row>
    <row r="103" customFormat="false" ht="12" hidden="false" customHeight="true" outlineLevel="0" collapsed="false">
      <c r="B103" s="1" t="s">
        <v>9329</v>
      </c>
    </row>
    <row r="104" customFormat="false" ht="12" hidden="false" customHeight="true" outlineLevel="0" collapsed="false">
      <c r="B104" s="1" t="s">
        <v>9330</v>
      </c>
    </row>
    <row r="105" customFormat="false" ht="12" hidden="false" customHeight="true" outlineLevel="0" collapsed="false">
      <c r="B105" s="1" t="s">
        <v>9331</v>
      </c>
    </row>
    <row r="106" customFormat="false" ht="12" hidden="false" customHeight="true" outlineLevel="0" collapsed="false">
      <c r="B106" s="1" t="s">
        <v>9332</v>
      </c>
    </row>
    <row r="107" customFormat="false" ht="12" hidden="false" customHeight="true" outlineLevel="0" collapsed="false">
      <c r="B107" s="1" t="s">
        <v>4407</v>
      </c>
    </row>
    <row r="108" customFormat="false" ht="12" hidden="false" customHeight="true" outlineLevel="0" collapsed="false">
      <c r="B108" s="1" t="s">
        <v>8506</v>
      </c>
    </row>
  </sheetData>
  <mergeCells count="1">
    <mergeCell ref="B2:E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55A11"/>
    <pageSetUpPr fitToPage="false"/>
  </sheetPr>
  <dimension ref="B1:Y5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15" activePane="bottomLeft" state="frozen"/>
      <selection pane="topLeft" activeCell="A1" activeCellId="0" sqref="A1"/>
      <selection pane="bottomLeft" activeCell="E50" activeCellId="0" sqref="E50"/>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41"/>
    <col collapsed="false" customWidth="true" hidden="false" outlineLevel="0" max="3" min="3" style="1" width="25.14"/>
    <col collapsed="false" customWidth="true" hidden="false" outlineLevel="0" max="5" min="4" style="1" width="22.86"/>
    <col collapsed="false" customWidth="true" hidden="false" outlineLevel="0" max="6" min="6" style="1" width="25.14"/>
    <col collapsed="false" customWidth="true" hidden="false" outlineLevel="0" max="7" min="7" style="1" width="20.57"/>
    <col collapsed="false" customWidth="true" hidden="false" outlineLevel="0" max="8" min="8" style="1" width="16"/>
    <col collapsed="false" customWidth="true" hidden="false" outlineLevel="0" max="10" min="9" style="1" width="22.86"/>
    <col collapsed="false" customWidth="true" hidden="false" outlineLevel="0" max="11" min="11" style="1" width="18.29"/>
    <col collapsed="false" customWidth="true" hidden="false" outlineLevel="0" max="12" min="12" style="1" width="13.71"/>
    <col collapsed="false" customWidth="true" hidden="false" outlineLevel="0" max="13" min="13" style="1" width="11.43"/>
    <col collapsed="false" customWidth="true" hidden="false" outlineLevel="0" max="14" min="14" style="1" width="52.43"/>
    <col collapsed="false" customWidth="true" hidden="true" outlineLevel="0" max="25" min="16" style="1" width="14.86"/>
  </cols>
  <sheetData>
    <row r="1" customFormat="false" ht="19.5" hidden="false" customHeight="true" outlineLevel="0" collapsed="false">
      <c r="B1" s="102" t="s">
        <v>9333</v>
      </c>
    </row>
    <row r="2" customFormat="false" ht="52.5" hidden="false" customHeight="true" outlineLevel="0" collapsed="false">
      <c r="B2" s="281" t="s">
        <v>9334</v>
      </c>
    </row>
    <row r="4" customFormat="false" ht="12" hidden="false" customHeight="true" outlineLevel="0" collapsed="false">
      <c r="B4" s="241" t="s">
        <v>9335</v>
      </c>
      <c r="C4" s="493"/>
      <c r="D4" s="493"/>
      <c r="E4" s="493"/>
      <c r="F4" s="493"/>
    </row>
    <row r="5" customFormat="false" ht="15.75" hidden="false" customHeight="true" outlineLevel="0" collapsed="false">
      <c r="B5" s="83" t="s">
        <v>9336</v>
      </c>
      <c r="C5" s="494" t="s">
        <v>9337</v>
      </c>
      <c r="E5" s="1" t="str">
        <f aca="false">IF(Subj_Address="","", "Subject Property on file: "&amp;Subj_Address)</f>
        <v>Subject Property on file: 22600 Interstate 76</v>
      </c>
    </row>
    <row r="6" customFormat="false" ht="12" hidden="false" customHeight="true" outlineLevel="0" collapsed="false">
      <c r="B6" s="495" t="str">
        <f aca="false">INDEX(RES_MATRIX_NOTE,MATCH($C$5,RES_MATRIX_JUR,0))</f>
        <v>Use county land-use and permit resources only when the parcel is outside an incorporated city or town.</v>
      </c>
      <c r="C6" s="495"/>
      <c r="D6" s="495"/>
      <c r="E6" s="495"/>
      <c r="F6" s="495"/>
    </row>
    <row r="8" customFormat="false" ht="12" hidden="false" customHeight="true" outlineLevel="0" collapsed="false">
      <c r="B8" s="241" t="s">
        <v>9338</v>
      </c>
      <c r="C8" s="493"/>
      <c r="D8" s="493"/>
      <c r="E8" s="493"/>
      <c r="F8" s="493"/>
    </row>
    <row r="9" customFormat="false" ht="12" hidden="false" customHeight="true" outlineLevel="0" collapsed="false">
      <c r="B9" s="496" t="s">
        <v>9339</v>
      </c>
      <c r="C9" s="497" t="str">
        <f aca="false">HYPERLINK(INDEX(RES_MATRIX_C,MATCH($C$5,RES_MATRIX_JUR,0)),INDEX(RES_MATRIX_C,MATCH($C$5,RES_MATRIX_JUR,0)))</f>
        <v>https://adamscountyco.gov/</v>
      </c>
      <c r="D9" s="497"/>
      <c r="E9" s="497"/>
      <c r="F9" s="497"/>
    </row>
    <row r="10" customFormat="false" ht="12" hidden="false" customHeight="true" outlineLevel="0" collapsed="false">
      <c r="B10" s="496" t="s">
        <v>9340</v>
      </c>
      <c r="C10" s="497" t="str">
        <f aca="false">HYPERLINK(INDEX(RES_MATRIX_D,MATCH($C$5,RES_MATRIX_JUR,0)),INDEX(RES_MATRIX_D,MATCH($C$5,RES_MATRIX_JUR,0)))</f>
        <v>https://adamscountyco.gov/service/gis-interactive-maps/</v>
      </c>
      <c r="D10" s="497"/>
      <c r="E10" s="497"/>
      <c r="F10" s="497"/>
    </row>
    <row r="11" customFormat="false" ht="12" hidden="false" customHeight="true" outlineLevel="0" collapsed="false">
      <c r="B11" s="496" t="s">
        <v>9341</v>
      </c>
      <c r="C11" s="497" t="str">
        <f aca="false">HYPERLINK(INDEX(RES_MATRIX_E,MATCH($C$5,RES_MATRIX_JUR,0)),INDEX(RES_MATRIX_E,MATCH($C$5,RES_MATRIX_JUR,0)))</f>
        <v>https://adamscountyco.gov/our-county/community-economic-development/planning-development/development-standards-regulations/</v>
      </c>
      <c r="D11" s="497"/>
      <c r="E11" s="497"/>
      <c r="F11" s="497"/>
    </row>
    <row r="12" customFormat="false" ht="12" hidden="false" customHeight="true" outlineLevel="0" collapsed="false">
      <c r="B12" s="496" t="s">
        <v>9342</v>
      </c>
      <c r="C12" s="497" t="str">
        <f aca="false">HYPERLINK(INDEX(RES_MATRIX_F,MATCH($C$5,RES_MATRIX_JUR,0)),INDEX(RES_MATRIX_F,MATCH($C$5,RES_MATRIX_JUR,0)))</f>
        <v>https://adamscountyco.gov/our-county/community-economic-development/planning-development/</v>
      </c>
      <c r="D12" s="497"/>
      <c r="E12" s="497"/>
      <c r="F12" s="497"/>
    </row>
    <row r="13" customFormat="false" ht="12" hidden="false" customHeight="true" outlineLevel="0" collapsed="false">
      <c r="B13" s="496" t="s">
        <v>9343</v>
      </c>
      <c r="C13" s="497" t="str">
        <f aca="false">HYPERLINK(INDEX(RES_MATRIX_G,MATCH($C$5,RES_MATRIX_JUR,0)),INDEX(RES_MATRIX_G,MATCH($C$5,RES_MATRIX_JUR,0)))</f>
        <v>https://adamscountyco.gov/our-county/community-economic-development/planning-development/current-land-use-cases/</v>
      </c>
      <c r="D13" s="497"/>
      <c r="E13" s="497"/>
      <c r="F13" s="497"/>
    </row>
    <row r="14" customFormat="false" ht="12" hidden="false" customHeight="true" outlineLevel="0" collapsed="false">
      <c r="B14" s="496" t="s">
        <v>9344</v>
      </c>
      <c r="C14" s="497" t="str">
        <f aca="false">HYPERLINK(INDEX(RES_MATRIX_H,MATCH($C$5,RES_MATRIX_JUR,0)),INDEX(RES_MATRIX_H,MATCH($C$5,RES_MATRIX_JUR,0)))</f>
        <v>https://adamscountyco.gov/our-county/community-economic-development/building-safety/building-permit/</v>
      </c>
      <c r="D14" s="497"/>
      <c r="E14" s="497"/>
      <c r="F14" s="497"/>
    </row>
    <row r="15" customFormat="false" ht="12" hidden="false" customHeight="true" outlineLevel="0" collapsed="false">
      <c r="B15" s="496" t="s">
        <v>9345</v>
      </c>
      <c r="C15" s="497" t="str">
        <f aca="false">HYPERLINK(INDEX(RES_MATRIX_I,MATCH($C$5,RES_MATRIX_JUR,0)),INDEX(RES_MATRIX_I,MATCH($C$5,RES_MATRIX_JUR,0)))</f>
        <v>https://adamscountyco.gov/our-county/community-economic-development/advancing-adams/comprehensive-plan/</v>
      </c>
      <c r="D15" s="497"/>
      <c r="E15" s="497"/>
      <c r="F15" s="497"/>
    </row>
    <row r="16" customFormat="false" ht="12" hidden="false" customHeight="true" outlineLevel="0" collapsed="false">
      <c r="B16" s="496" t="s">
        <v>9346</v>
      </c>
      <c r="C16" s="497" t="str">
        <f aca="false">HYPERLINK(INDEX(RES_MATRIX_J,MATCH($C$5,RES_MATRIX_JUR,0)),INDEX(RES_MATRIX_J,MATCH($C$5,RES_MATRIX_JUR,0)))</f>
        <v>https://adamscountyco.gov/about-adams-county/public-meetings/</v>
      </c>
      <c r="D16" s="497"/>
      <c r="E16" s="497"/>
      <c r="F16" s="497"/>
    </row>
    <row r="17" customFormat="false" ht="12" hidden="false" customHeight="true" outlineLevel="0" collapsed="false">
      <c r="B17" s="496" t="s">
        <v>9347</v>
      </c>
      <c r="C17" s="497" t="str">
        <f aca="false">HYPERLINK(INDEX(RES_MATRIX_K,MATCH($C$5,RES_MATRIX_JUR,0)),INDEX(RES_MATRIX_K,MATCH($C$5,RES_MATRIX_JUR,0)))</f>
        <v>https://adamscountyco.gov/our-county/community-economic-development/planning-development/current-land-use-cases/</v>
      </c>
      <c r="D17" s="497"/>
      <c r="E17" s="497"/>
      <c r="F17" s="497"/>
    </row>
    <row r="18" customFormat="false" ht="12" hidden="false" customHeight="true" outlineLevel="0" collapsed="false">
      <c r="B18" s="496" t="s">
        <v>9348</v>
      </c>
      <c r="C18" s="497" t="str">
        <f aca="false">HYPERLINK(INDEX(RES_MATRIX_L,MATCH($C$5,RES_MATRIX_JUR,0)),INDEX(RES_MATRIX_L,MATCH($C$5,RES_MATRIX_JUR,0)))</f>
        <v>https://adamscountyco.gov/about-adams-county/news/</v>
      </c>
      <c r="D18" s="497"/>
      <c r="E18" s="497"/>
      <c r="F18" s="497"/>
    </row>
    <row r="20" customFormat="false" ht="12" hidden="false" customHeight="true" outlineLevel="0" collapsed="false">
      <c r="B20" s="241" t="s">
        <v>9349</v>
      </c>
      <c r="C20" s="493"/>
      <c r="D20" s="493"/>
      <c r="E20" s="493"/>
      <c r="F20" s="493"/>
    </row>
    <row r="21" customFormat="false" ht="12" hidden="false" customHeight="true" outlineLevel="0" collapsed="false">
      <c r="B21" s="496" t="s">
        <v>9350</v>
      </c>
      <c r="C21" s="497" t="s">
        <v>9351</v>
      </c>
      <c r="D21" s="497"/>
      <c r="E21" s="497"/>
      <c r="F21" s="497"/>
    </row>
    <row r="22" customFormat="false" ht="12" hidden="false" customHeight="true" outlineLevel="0" collapsed="false">
      <c r="B22" s="496" t="s">
        <v>9352</v>
      </c>
      <c r="C22" s="497" t="s">
        <v>9353</v>
      </c>
      <c r="D22" s="497"/>
      <c r="E22" s="497"/>
      <c r="F22" s="497"/>
    </row>
    <row r="23" customFormat="false" ht="12" hidden="false" customHeight="true" outlineLevel="0" collapsed="false">
      <c r="B23" s="496" t="s">
        <v>9354</v>
      </c>
      <c r="C23" s="497" t="s">
        <v>9355</v>
      </c>
      <c r="D23" s="497"/>
      <c r="E23" s="497"/>
      <c r="F23" s="497"/>
    </row>
    <row r="24" customFormat="false" ht="12" hidden="false" customHeight="true" outlineLevel="0" collapsed="false">
      <c r="B24" s="496" t="s">
        <v>9356</v>
      </c>
      <c r="C24" s="497" t="s">
        <v>9357</v>
      </c>
      <c r="D24" s="497"/>
      <c r="E24" s="497"/>
      <c r="F24" s="497"/>
    </row>
    <row r="25" customFormat="false" ht="12" hidden="false" customHeight="true" outlineLevel="0" collapsed="false">
      <c r="B25" s="496" t="s">
        <v>9358</v>
      </c>
      <c r="C25" s="497" t="s">
        <v>9359</v>
      </c>
      <c r="D25" s="497"/>
      <c r="E25" s="497"/>
      <c r="F25" s="497"/>
    </row>
    <row r="26" customFormat="false" ht="12" hidden="false" customHeight="true" outlineLevel="0" collapsed="false">
      <c r="B26" s="496" t="s">
        <v>9360</v>
      </c>
      <c r="C26" s="497" t="s">
        <v>9361</v>
      </c>
      <c r="D26" s="497"/>
      <c r="E26" s="497"/>
      <c r="F26" s="497"/>
    </row>
    <row r="27" customFormat="false" ht="12" hidden="false" customHeight="true" outlineLevel="0" collapsed="false">
      <c r="B27" s="496" t="s">
        <v>9362</v>
      </c>
      <c r="C27" s="497" t="s">
        <v>9363</v>
      </c>
      <c r="D27" s="497"/>
      <c r="E27" s="497"/>
      <c r="F27" s="497"/>
    </row>
    <row r="28" customFormat="false" ht="12" hidden="false" customHeight="true" outlineLevel="0" collapsed="false">
      <c r="B28" s="496" t="s">
        <v>9364</v>
      </c>
      <c r="C28" s="497" t="s">
        <v>9365</v>
      </c>
      <c r="D28" s="497"/>
      <c r="E28" s="497"/>
      <c r="F28" s="497"/>
    </row>
    <row r="29" customFormat="false" ht="12" hidden="false" customHeight="true" outlineLevel="0" collapsed="false">
      <c r="B29" s="496" t="s">
        <v>9366</v>
      </c>
      <c r="C29" s="497" t="s">
        <v>9367</v>
      </c>
      <c r="D29" s="497"/>
      <c r="E29" s="497"/>
      <c r="F29" s="497"/>
    </row>
    <row r="30" customFormat="false" ht="12" hidden="false" customHeight="true" outlineLevel="0" collapsed="false">
      <c r="B30" s="496" t="s">
        <v>9368</v>
      </c>
      <c r="C30" s="497" t="s">
        <v>9369</v>
      </c>
      <c r="D30" s="497"/>
      <c r="E30" s="497"/>
      <c r="F30" s="497"/>
    </row>
    <row r="32" customFormat="false" ht="12" hidden="false" customHeight="true" outlineLevel="0" collapsed="false">
      <c r="B32" s="241" t="s">
        <v>9370</v>
      </c>
      <c r="C32" s="493"/>
      <c r="D32" s="493"/>
      <c r="E32" s="493"/>
      <c r="F32" s="493"/>
    </row>
    <row r="33" customFormat="false" ht="12" hidden="false" customHeight="true" outlineLevel="0" collapsed="false">
      <c r="B33" s="496" t="s">
        <v>9371</v>
      </c>
      <c r="C33" s="497" t="s">
        <v>9372</v>
      </c>
      <c r="D33" s="497"/>
      <c r="E33" s="497"/>
      <c r="F33" s="497"/>
    </row>
    <row r="34" customFormat="false" ht="12" hidden="false" customHeight="true" outlineLevel="0" collapsed="false">
      <c r="B34" s="496" t="s">
        <v>9373</v>
      </c>
      <c r="C34" s="497" t="s">
        <v>9374</v>
      </c>
      <c r="D34" s="497"/>
      <c r="E34" s="497"/>
      <c r="F34" s="497"/>
    </row>
    <row r="35" customFormat="false" ht="12" hidden="false" customHeight="true" outlineLevel="0" collapsed="false">
      <c r="B35" s="496" t="s">
        <v>9375</v>
      </c>
      <c r="C35" s="497" t="s">
        <v>9374</v>
      </c>
      <c r="D35" s="497"/>
      <c r="E35" s="497"/>
      <c r="F35" s="497"/>
    </row>
    <row r="36" customFormat="false" ht="12" hidden="false" customHeight="true" outlineLevel="0" collapsed="false">
      <c r="B36" s="496" t="s">
        <v>9376</v>
      </c>
      <c r="C36" s="497" t="s">
        <v>9374</v>
      </c>
      <c r="D36" s="497"/>
      <c r="E36" s="497"/>
      <c r="F36" s="497"/>
    </row>
    <row r="37" customFormat="false" ht="12" hidden="false" customHeight="true" outlineLevel="0" collapsed="false">
      <c r="B37" s="496" t="s">
        <v>9377</v>
      </c>
      <c r="C37" s="497" t="s">
        <v>9378</v>
      </c>
      <c r="D37" s="497"/>
      <c r="E37" s="497"/>
      <c r="F37" s="497"/>
    </row>
    <row r="38" customFormat="false" ht="12" hidden="false" customHeight="true" outlineLevel="0" collapsed="false">
      <c r="B38" s="496" t="s">
        <v>9379</v>
      </c>
      <c r="C38" s="497" t="s">
        <v>9380</v>
      </c>
      <c r="D38" s="497"/>
      <c r="E38" s="497"/>
      <c r="F38" s="497"/>
    </row>
    <row r="39" customFormat="false" ht="12" hidden="false" customHeight="true" outlineLevel="0" collapsed="false">
      <c r="B39" s="496" t="s">
        <v>9381</v>
      </c>
      <c r="C39" s="497" t="s">
        <v>9382</v>
      </c>
      <c r="D39" s="497"/>
      <c r="E39" s="497"/>
      <c r="F39" s="497"/>
    </row>
    <row r="40" customFormat="false" ht="12" hidden="false" customHeight="true" outlineLevel="0" collapsed="false">
      <c r="B40" s="496" t="s">
        <v>9383</v>
      </c>
      <c r="C40" s="497" t="s">
        <v>9384</v>
      </c>
      <c r="D40" s="497"/>
      <c r="E40" s="497"/>
      <c r="F40" s="497"/>
    </row>
    <row r="41" customFormat="false" ht="12" hidden="false" customHeight="true" outlineLevel="0" collapsed="false">
      <c r="B41" s="496" t="s">
        <v>9385</v>
      </c>
      <c r="C41" s="497" t="s">
        <v>9386</v>
      </c>
      <c r="D41" s="497"/>
      <c r="E41" s="497"/>
      <c r="F41" s="497"/>
    </row>
    <row r="42" customFormat="false" ht="12" hidden="false" customHeight="true" outlineLevel="0" collapsed="false">
      <c r="B42" s="498" t="s">
        <v>9387</v>
      </c>
    </row>
    <row r="44" customFormat="false" ht="12" hidden="false" customHeight="true" outlineLevel="0" collapsed="false">
      <c r="B44" s="241" t="s">
        <v>9388</v>
      </c>
      <c r="C44" s="493"/>
      <c r="D44" s="493"/>
      <c r="E44" s="493"/>
      <c r="F44" s="493"/>
      <c r="G44" s="493"/>
      <c r="H44" s="493"/>
      <c r="I44" s="493"/>
      <c r="J44" s="493"/>
      <c r="K44" s="493"/>
      <c r="L44" s="493"/>
      <c r="M44" s="493"/>
    </row>
    <row r="45" customFormat="false" ht="12" hidden="false" customHeight="true" outlineLevel="0" collapsed="false">
      <c r="B45" s="242" t="s">
        <v>9389</v>
      </c>
      <c r="C45" s="242" t="s">
        <v>1510</v>
      </c>
      <c r="D45" s="242" t="s">
        <v>9390</v>
      </c>
      <c r="E45" s="242" t="s">
        <v>9391</v>
      </c>
      <c r="F45" s="242" t="s">
        <v>9392</v>
      </c>
      <c r="G45" s="242" t="s">
        <v>9393</v>
      </c>
      <c r="H45" s="242" t="s">
        <v>9394</v>
      </c>
      <c r="I45" s="242" t="s">
        <v>9344</v>
      </c>
      <c r="J45" s="242" t="s">
        <v>9395</v>
      </c>
      <c r="K45" s="242" t="s">
        <v>9396</v>
      </c>
      <c r="L45" s="242" t="s">
        <v>9397</v>
      </c>
      <c r="M45" s="242" t="s">
        <v>9348</v>
      </c>
      <c r="N45" s="242" t="s">
        <v>9398</v>
      </c>
      <c r="P45" s="499" t="s">
        <v>9399</v>
      </c>
    </row>
    <row r="46" customFormat="false" ht="21" hidden="false" customHeight="true" outlineLevel="0" collapsed="false">
      <c r="B46" s="496" t="s">
        <v>9337</v>
      </c>
      <c r="C46" s="500" t="s">
        <v>9400</v>
      </c>
      <c r="D46" s="497" t="s">
        <v>9390</v>
      </c>
      <c r="E46" s="497" t="s">
        <v>9391</v>
      </c>
      <c r="F46" s="497" t="s">
        <v>9392</v>
      </c>
      <c r="G46" s="497" t="s">
        <v>9393</v>
      </c>
      <c r="H46" s="497" t="s">
        <v>9394</v>
      </c>
      <c r="I46" s="497" t="s">
        <v>9344</v>
      </c>
      <c r="J46" s="497" t="s">
        <v>9395</v>
      </c>
      <c r="K46" s="497" t="s">
        <v>9396</v>
      </c>
      <c r="L46" s="497" t="s">
        <v>9397</v>
      </c>
      <c r="M46" s="497" t="s">
        <v>9348</v>
      </c>
      <c r="N46" s="501" t="s">
        <v>9401</v>
      </c>
      <c r="P46" s="1" t="s">
        <v>9402</v>
      </c>
      <c r="Q46" s="1" t="s">
        <v>9355</v>
      </c>
      <c r="R46" s="1" t="s">
        <v>9403</v>
      </c>
      <c r="S46" s="1" t="s">
        <v>9365</v>
      </c>
      <c r="T46" s="1" t="s">
        <v>9367</v>
      </c>
      <c r="U46" s="1" t="s">
        <v>9369</v>
      </c>
      <c r="V46" s="1" t="s">
        <v>9404</v>
      </c>
      <c r="W46" s="1" t="s">
        <v>9405</v>
      </c>
      <c r="X46" s="1" t="s">
        <v>9367</v>
      </c>
      <c r="Y46" s="1" t="s">
        <v>9406</v>
      </c>
    </row>
    <row r="47" customFormat="false" ht="21" hidden="false" customHeight="true" outlineLevel="0" collapsed="false">
      <c r="B47" s="496" t="s">
        <v>2203</v>
      </c>
      <c r="C47" s="500" t="s">
        <v>38</v>
      </c>
      <c r="D47" s="497" t="s">
        <v>9390</v>
      </c>
      <c r="E47" s="497" t="s">
        <v>9391</v>
      </c>
      <c r="F47" s="497" t="s">
        <v>9392</v>
      </c>
      <c r="G47" s="497" t="s">
        <v>9393</v>
      </c>
      <c r="H47" s="497" t="s">
        <v>9394</v>
      </c>
      <c r="I47" s="497" t="s">
        <v>9344</v>
      </c>
      <c r="J47" s="497" t="s">
        <v>9395</v>
      </c>
      <c r="K47" s="497" t="s">
        <v>9396</v>
      </c>
      <c r="L47" s="497" t="s">
        <v>9397</v>
      </c>
      <c r="M47" s="497" t="s">
        <v>9348</v>
      </c>
      <c r="N47" s="501" t="s">
        <v>9407</v>
      </c>
      <c r="P47" s="1" t="s">
        <v>9408</v>
      </c>
      <c r="Q47" s="1" t="s">
        <v>9409</v>
      </c>
      <c r="R47" s="1" t="s">
        <v>9410</v>
      </c>
      <c r="S47" s="1" t="s">
        <v>9411</v>
      </c>
      <c r="T47" s="1" t="s">
        <v>9412</v>
      </c>
      <c r="U47" s="1" t="s">
        <v>9413</v>
      </c>
      <c r="V47" s="1" t="s">
        <v>9414</v>
      </c>
      <c r="W47" s="1" t="s">
        <v>9415</v>
      </c>
      <c r="X47" s="1" t="s">
        <v>9416</v>
      </c>
      <c r="Y47" s="1" t="s">
        <v>9417</v>
      </c>
    </row>
    <row r="48" customFormat="false" ht="21" hidden="false" customHeight="true" outlineLevel="0" collapsed="false">
      <c r="B48" s="496" t="s">
        <v>4743</v>
      </c>
      <c r="C48" s="500" t="s">
        <v>38</v>
      </c>
      <c r="D48" s="497" t="s">
        <v>9390</v>
      </c>
      <c r="E48" s="497" t="s">
        <v>9391</v>
      </c>
      <c r="F48" s="497" t="s">
        <v>9392</v>
      </c>
      <c r="G48" s="497" t="s">
        <v>9393</v>
      </c>
      <c r="H48" s="497" t="s">
        <v>9394</v>
      </c>
      <c r="I48" s="497" t="s">
        <v>9344</v>
      </c>
      <c r="J48" s="497" t="s">
        <v>9395</v>
      </c>
      <c r="K48" s="497" t="s">
        <v>9396</v>
      </c>
      <c r="L48" s="497" t="s">
        <v>9397</v>
      </c>
      <c r="M48" s="497" t="s">
        <v>9348</v>
      </c>
      <c r="N48" s="501" t="s">
        <v>9418</v>
      </c>
      <c r="P48" s="1" t="s">
        <v>9419</v>
      </c>
      <c r="Q48" s="1" t="s">
        <v>9420</v>
      </c>
      <c r="R48" s="1" t="s">
        <v>9421</v>
      </c>
      <c r="S48" s="1" t="s">
        <v>9422</v>
      </c>
      <c r="T48" s="1" t="s">
        <v>9423</v>
      </c>
      <c r="U48" s="1" t="s">
        <v>9424</v>
      </c>
      <c r="V48" s="1" t="s">
        <v>9425</v>
      </c>
      <c r="W48" s="1" t="s">
        <v>9426</v>
      </c>
      <c r="X48" s="1" t="s">
        <v>9427</v>
      </c>
      <c r="Y48" s="1" t="s">
        <v>9428</v>
      </c>
    </row>
    <row r="49" customFormat="false" ht="21" hidden="false" customHeight="true" outlineLevel="0" collapsed="false">
      <c r="B49" s="496" t="s">
        <v>4516</v>
      </c>
      <c r="C49" s="500" t="s">
        <v>9429</v>
      </c>
      <c r="D49" s="497" t="s">
        <v>9390</v>
      </c>
      <c r="E49" s="497" t="s">
        <v>9391</v>
      </c>
      <c r="F49" s="497" t="s">
        <v>9392</v>
      </c>
      <c r="G49" s="497" t="s">
        <v>9393</v>
      </c>
      <c r="H49" s="497" t="s">
        <v>9394</v>
      </c>
      <c r="I49" s="497" t="s">
        <v>9344</v>
      </c>
      <c r="J49" s="497" t="s">
        <v>9395</v>
      </c>
      <c r="K49" s="497" t="s">
        <v>9396</v>
      </c>
      <c r="L49" s="497" t="s">
        <v>9397</v>
      </c>
      <c r="M49" s="497" t="s">
        <v>9348</v>
      </c>
      <c r="N49" s="501" t="s">
        <v>9430</v>
      </c>
      <c r="P49" s="1" t="s">
        <v>9431</v>
      </c>
      <c r="Q49" s="1" t="s">
        <v>9432</v>
      </c>
      <c r="R49" s="1" t="s">
        <v>9433</v>
      </c>
      <c r="S49" s="1" t="s">
        <v>9434</v>
      </c>
      <c r="T49" s="1" t="s">
        <v>9435</v>
      </c>
      <c r="U49" s="1" t="s">
        <v>9436</v>
      </c>
      <c r="V49" s="1" t="s">
        <v>9437</v>
      </c>
      <c r="W49" s="1" t="s">
        <v>9438</v>
      </c>
      <c r="X49" s="1" t="s">
        <v>9439</v>
      </c>
      <c r="Y49" s="1" t="s">
        <v>9440</v>
      </c>
    </row>
    <row r="50" customFormat="false" ht="21" hidden="false" customHeight="true" outlineLevel="0" collapsed="false">
      <c r="B50" s="496" t="s">
        <v>1929</v>
      </c>
      <c r="C50" s="500" t="s">
        <v>38</v>
      </c>
      <c r="D50" s="497" t="s">
        <v>9390</v>
      </c>
      <c r="E50" s="497" t="s">
        <v>9391</v>
      </c>
      <c r="F50" s="497" t="s">
        <v>9392</v>
      </c>
      <c r="G50" s="497" t="s">
        <v>9393</v>
      </c>
      <c r="H50" s="497" t="s">
        <v>9394</v>
      </c>
      <c r="I50" s="497" t="s">
        <v>9344</v>
      </c>
      <c r="J50" s="497" t="s">
        <v>9395</v>
      </c>
      <c r="K50" s="497" t="s">
        <v>9396</v>
      </c>
      <c r="L50" s="497" t="s">
        <v>9397</v>
      </c>
      <c r="M50" s="497" t="s">
        <v>9348</v>
      </c>
      <c r="N50" s="501" t="s">
        <v>9441</v>
      </c>
      <c r="P50" s="1" t="s">
        <v>9442</v>
      </c>
      <c r="Q50" s="1" t="s">
        <v>9443</v>
      </c>
      <c r="R50" s="1" t="s">
        <v>9444</v>
      </c>
      <c r="S50" s="1" t="s">
        <v>9445</v>
      </c>
      <c r="T50" s="1" t="s">
        <v>9446</v>
      </c>
      <c r="U50" s="1" t="s">
        <v>9447</v>
      </c>
      <c r="V50" s="1" t="s">
        <v>9448</v>
      </c>
      <c r="W50" s="1" t="s">
        <v>9449</v>
      </c>
      <c r="X50" s="1" t="s">
        <v>9450</v>
      </c>
      <c r="Y50" s="1" t="s">
        <v>9451</v>
      </c>
    </row>
    <row r="51" customFormat="false" ht="31.5" hidden="false" customHeight="true" outlineLevel="0" collapsed="false">
      <c r="B51" s="496" t="s">
        <v>4420</v>
      </c>
      <c r="C51" s="500" t="s">
        <v>38</v>
      </c>
      <c r="D51" s="497" t="s">
        <v>9390</v>
      </c>
      <c r="E51" s="497" t="s">
        <v>9391</v>
      </c>
      <c r="F51" s="497" t="s">
        <v>9392</v>
      </c>
      <c r="G51" s="497" t="s">
        <v>9393</v>
      </c>
      <c r="H51" s="497" t="s">
        <v>9394</v>
      </c>
      <c r="I51" s="497" t="s">
        <v>9344</v>
      </c>
      <c r="J51" s="497" t="s">
        <v>9395</v>
      </c>
      <c r="K51" s="497" t="s">
        <v>9396</v>
      </c>
      <c r="L51" s="497" t="s">
        <v>9397</v>
      </c>
      <c r="M51" s="497" t="s">
        <v>9348</v>
      </c>
      <c r="N51" s="501" t="s">
        <v>9452</v>
      </c>
      <c r="P51" s="1" t="s">
        <v>9453</v>
      </c>
      <c r="Q51" s="1" t="s">
        <v>9454</v>
      </c>
      <c r="R51" s="1" t="s">
        <v>9455</v>
      </c>
      <c r="S51" s="1" t="s">
        <v>9456</v>
      </c>
      <c r="T51" s="1" t="s">
        <v>9457</v>
      </c>
      <c r="U51" s="1" t="s">
        <v>9458</v>
      </c>
      <c r="V51" s="1" t="s">
        <v>9459</v>
      </c>
      <c r="W51" s="1" t="s">
        <v>9460</v>
      </c>
      <c r="X51" s="1" t="s">
        <v>9461</v>
      </c>
      <c r="Y51" s="1" t="s">
        <v>9462</v>
      </c>
    </row>
    <row r="52" customFormat="false" ht="21" hidden="false" customHeight="true" outlineLevel="0" collapsed="false">
      <c r="B52" s="496" t="s">
        <v>4440</v>
      </c>
      <c r="C52" s="500" t="s">
        <v>38</v>
      </c>
      <c r="D52" s="497" t="s">
        <v>9390</v>
      </c>
      <c r="E52" s="497" t="s">
        <v>9391</v>
      </c>
      <c r="F52" s="497" t="s">
        <v>9392</v>
      </c>
      <c r="G52" s="497" t="s">
        <v>9393</v>
      </c>
      <c r="H52" s="497" t="s">
        <v>9394</v>
      </c>
      <c r="I52" s="497" t="s">
        <v>9344</v>
      </c>
      <c r="J52" s="497" t="s">
        <v>9395</v>
      </c>
      <c r="K52" s="497" t="s">
        <v>9396</v>
      </c>
      <c r="L52" s="497" t="s">
        <v>9397</v>
      </c>
      <c r="M52" s="497" t="s">
        <v>9348</v>
      </c>
      <c r="N52" s="501" t="s">
        <v>9463</v>
      </c>
      <c r="P52" s="1" t="s">
        <v>9464</v>
      </c>
      <c r="Q52" s="1" t="s">
        <v>9465</v>
      </c>
      <c r="R52" s="1" t="s">
        <v>9466</v>
      </c>
      <c r="S52" s="1" t="s">
        <v>9467</v>
      </c>
      <c r="T52" s="1" t="s">
        <v>9468</v>
      </c>
      <c r="U52" s="1" t="s">
        <v>9469</v>
      </c>
      <c r="V52" s="1" t="s">
        <v>9470</v>
      </c>
      <c r="W52" s="1" t="s">
        <v>9471</v>
      </c>
      <c r="X52" s="1" t="s">
        <v>9472</v>
      </c>
      <c r="Y52" s="1" t="s">
        <v>9473</v>
      </c>
    </row>
    <row r="53" customFormat="false" ht="21" hidden="false" customHeight="true" outlineLevel="0" collapsed="false">
      <c r="B53" s="496" t="s">
        <v>9474</v>
      </c>
      <c r="C53" s="500" t="s">
        <v>9429</v>
      </c>
      <c r="D53" s="497" t="s">
        <v>9390</v>
      </c>
      <c r="E53" s="497" t="s">
        <v>9391</v>
      </c>
      <c r="F53" s="497" t="s">
        <v>9392</v>
      </c>
      <c r="G53" s="497" t="s">
        <v>9393</v>
      </c>
      <c r="H53" s="497" t="s">
        <v>9394</v>
      </c>
      <c r="I53" s="497" t="s">
        <v>9344</v>
      </c>
      <c r="J53" s="497" t="s">
        <v>9395</v>
      </c>
      <c r="K53" s="497" t="s">
        <v>9396</v>
      </c>
      <c r="L53" s="497" t="s">
        <v>9397</v>
      </c>
      <c r="M53" s="497" t="s">
        <v>9348</v>
      </c>
      <c r="N53" s="501" t="s">
        <v>9475</v>
      </c>
      <c r="P53" s="1" t="s">
        <v>9476</v>
      </c>
      <c r="Q53" s="1" t="s">
        <v>9477</v>
      </c>
      <c r="R53" s="1" t="s">
        <v>9478</v>
      </c>
      <c r="S53" s="1" t="s">
        <v>9479</v>
      </c>
      <c r="T53" s="1" t="s">
        <v>9480</v>
      </c>
      <c r="U53" s="1" t="s">
        <v>9481</v>
      </c>
      <c r="V53" s="1" t="s">
        <v>9482</v>
      </c>
      <c r="W53" s="1" t="s">
        <v>9483</v>
      </c>
      <c r="X53" s="1" t="s">
        <v>9484</v>
      </c>
      <c r="Y53" s="1" t="s">
        <v>9485</v>
      </c>
    </row>
    <row r="54" customFormat="false" ht="21" hidden="false" customHeight="true" outlineLevel="0" collapsed="false">
      <c r="B54" s="496" t="s">
        <v>4325</v>
      </c>
      <c r="C54" s="500" t="s">
        <v>38</v>
      </c>
      <c r="D54" s="497" t="s">
        <v>9390</v>
      </c>
      <c r="E54" s="497" t="s">
        <v>9391</v>
      </c>
      <c r="F54" s="497" t="s">
        <v>9392</v>
      </c>
      <c r="G54" s="497" t="s">
        <v>9393</v>
      </c>
      <c r="H54" s="497" t="s">
        <v>9394</v>
      </c>
      <c r="I54" s="497" t="s">
        <v>9344</v>
      </c>
      <c r="J54" s="497" t="s">
        <v>9395</v>
      </c>
      <c r="K54" s="497" t="s">
        <v>9396</v>
      </c>
      <c r="L54" s="497" t="s">
        <v>9397</v>
      </c>
      <c r="M54" s="497" t="s">
        <v>9348</v>
      </c>
      <c r="N54" s="501" t="s">
        <v>9486</v>
      </c>
      <c r="P54" s="1" t="s">
        <v>9487</v>
      </c>
      <c r="Q54" s="1" t="s">
        <v>9488</v>
      </c>
      <c r="R54" s="1" t="s">
        <v>9489</v>
      </c>
      <c r="S54" s="1" t="s">
        <v>9490</v>
      </c>
      <c r="T54" s="1" t="s">
        <v>9491</v>
      </c>
      <c r="U54" s="1" t="s">
        <v>9492</v>
      </c>
      <c r="V54" s="1" t="s">
        <v>9493</v>
      </c>
      <c r="W54" s="1" t="s">
        <v>9494</v>
      </c>
      <c r="X54" s="1" t="s">
        <v>9494</v>
      </c>
      <c r="Y54" s="1" t="s">
        <v>9495</v>
      </c>
    </row>
    <row r="55" customFormat="false" ht="21" hidden="false" customHeight="true" outlineLevel="0" collapsed="false">
      <c r="B55" s="496" t="s">
        <v>4368</v>
      </c>
      <c r="C55" s="500" t="s">
        <v>38</v>
      </c>
      <c r="D55" s="497" t="s">
        <v>9390</v>
      </c>
      <c r="E55" s="497" t="s">
        <v>9391</v>
      </c>
      <c r="F55" s="497" t="s">
        <v>9392</v>
      </c>
      <c r="G55" s="497" t="s">
        <v>9393</v>
      </c>
      <c r="H55" s="497" t="s">
        <v>9394</v>
      </c>
      <c r="I55" s="497" t="s">
        <v>9344</v>
      </c>
      <c r="J55" s="497" t="s">
        <v>9395</v>
      </c>
      <c r="K55" s="497" t="s">
        <v>9396</v>
      </c>
      <c r="L55" s="497" t="s">
        <v>9397</v>
      </c>
      <c r="M55" s="497" t="s">
        <v>9348</v>
      </c>
      <c r="N55" s="501" t="s">
        <v>9496</v>
      </c>
      <c r="P55" s="1" t="s">
        <v>9497</v>
      </c>
      <c r="Q55" s="1" t="s">
        <v>9498</v>
      </c>
      <c r="R55" s="1" t="s">
        <v>9499</v>
      </c>
      <c r="S55" s="1" t="s">
        <v>9500</v>
      </c>
      <c r="T55" s="1" t="s">
        <v>9501</v>
      </c>
      <c r="U55" s="1" t="s">
        <v>9502</v>
      </c>
      <c r="V55" s="1" t="s">
        <v>9503</v>
      </c>
      <c r="W55" s="1" t="s">
        <v>9504</v>
      </c>
      <c r="X55" s="1" t="s">
        <v>9505</v>
      </c>
      <c r="Y55" s="1" t="s">
        <v>9506</v>
      </c>
    </row>
    <row r="56" customFormat="false" ht="21" hidden="false" customHeight="true" outlineLevel="0" collapsed="false">
      <c r="B56" s="496" t="s">
        <v>4407</v>
      </c>
      <c r="C56" s="500" t="s">
        <v>38</v>
      </c>
      <c r="D56" s="497" t="s">
        <v>9390</v>
      </c>
      <c r="E56" s="497" t="s">
        <v>9391</v>
      </c>
      <c r="F56" s="497" t="s">
        <v>9392</v>
      </c>
      <c r="G56" s="497" t="s">
        <v>9393</v>
      </c>
      <c r="H56" s="497" t="s">
        <v>9394</v>
      </c>
      <c r="I56" s="497" t="s">
        <v>9344</v>
      </c>
      <c r="J56" s="497" t="s">
        <v>9395</v>
      </c>
      <c r="K56" s="497" t="s">
        <v>9396</v>
      </c>
      <c r="L56" s="497" t="s">
        <v>9397</v>
      </c>
      <c r="M56" s="497" t="s">
        <v>9348</v>
      </c>
      <c r="N56" s="501" t="s">
        <v>9486</v>
      </c>
      <c r="P56" s="1" t="s">
        <v>9507</v>
      </c>
      <c r="Q56" s="1" t="s">
        <v>9508</v>
      </c>
      <c r="R56" s="1" t="s">
        <v>9509</v>
      </c>
      <c r="S56" s="1" t="s">
        <v>9510</v>
      </c>
      <c r="T56" s="1" t="s">
        <v>9511</v>
      </c>
      <c r="U56" s="1" t="s">
        <v>9512</v>
      </c>
      <c r="V56" s="1" t="s">
        <v>9513</v>
      </c>
      <c r="W56" s="1" t="s">
        <v>9514</v>
      </c>
      <c r="X56" s="1" t="s">
        <v>9515</v>
      </c>
      <c r="Y56" s="1" t="s">
        <v>9516</v>
      </c>
    </row>
  </sheetData>
  <mergeCells count="30">
    <mergeCell ref="B6:F6"/>
    <mergeCell ref="C9:F9"/>
    <mergeCell ref="C10:F10"/>
    <mergeCell ref="C11:F11"/>
    <mergeCell ref="C12:F12"/>
    <mergeCell ref="C13:F13"/>
    <mergeCell ref="C14:F14"/>
    <mergeCell ref="C15:F15"/>
    <mergeCell ref="C16:F16"/>
    <mergeCell ref="C17:F17"/>
    <mergeCell ref="C18:F18"/>
    <mergeCell ref="C21:F21"/>
    <mergeCell ref="C22:F22"/>
    <mergeCell ref="C23:F23"/>
    <mergeCell ref="C24:F24"/>
    <mergeCell ref="C25:F25"/>
    <mergeCell ref="C26:F26"/>
    <mergeCell ref="C27:F27"/>
    <mergeCell ref="C28:F28"/>
    <mergeCell ref="C29:F29"/>
    <mergeCell ref="C30:F30"/>
    <mergeCell ref="C33:F33"/>
    <mergeCell ref="C34:F34"/>
    <mergeCell ref="C35:F35"/>
    <mergeCell ref="C36:F36"/>
    <mergeCell ref="C37:F37"/>
    <mergeCell ref="C38:F38"/>
    <mergeCell ref="C39:F39"/>
    <mergeCell ref="C40:F40"/>
    <mergeCell ref="C41:F41"/>
  </mergeCells>
  <dataValidations count="1">
    <dataValidation allowBlank="false" errorStyle="stop" operator="between" showDropDown="false" showErrorMessage="false" showInputMessage="false" sqref="C5" type="list">
      <formula1>"Unincorporated Adams County,Arvada,Aurora,Bennett,Brighton,Commerce City,Federal Heights,Lochbuie,Northglenn,Thornton,Westminster"</formula1>
      <formula2>0</formula2>
    </dataValidation>
  </dataValidations>
  <hyperlinks>
    <hyperlink ref="C21" r:id="rId1" display="https://adamscountyco.gov/service/search-real-property/"/>
    <hyperlink ref="C22" r:id="rId2" display="https://gisapp.adcogov.org/quicksearch/"/>
    <hyperlink ref="C23" r:id="rId3" display="https://adamscountyco.gov/service/gis-interactive-maps/"/>
    <hyperlink ref="C24" r:id="rId4" display="https://recording.adamscountyco.gov/landmarkweb/"/>
    <hyperlink ref="C25" r:id="rId5" display="https://adamscountyco.gov/our-county/elected-officials/clerk-recorder/recording/land-survey-plats/"/>
    <hyperlink ref="C26" r:id="rId6" display="https://adcotax.com/"/>
    <hyperlink ref="C27" r:id="rId7" display="https://apps.adcogov.org/PTForeclosureSearch/?ds=1"/>
    <hyperlink ref="C28" r:id="rId8" display="https://adamscountyco.gov/our-county/community-economic-development/planning-development/"/>
    <hyperlink ref="C29" r:id="rId9" display="https://adamscountyco.gov/our-county/community-economic-development/planning-development/current-land-use-cases/"/>
    <hyperlink ref="C30" r:id="rId10" display="https://adamscountyco.gov/our-county/community-economic-development/building-safety/building-permit/"/>
    <hyperlink ref="C33" r:id="rId11" display="https://co.colorado.gov/search-business-records"/>
    <hyperlink ref="C34" r:id="rId12" display="https://gis.dola.colorado.gov/CO_SpecialDistrict/"/>
    <hyperlink ref="C35" r:id="rId13" display="https://gis.dola.colorado.gov/CO_SpecialDistrict/"/>
    <hyperlink ref="C36" r:id="rId14" display="https://gis.dola.colorado.gov/CO_SpecialDistrict/"/>
    <hyperlink ref="C37" r:id="rId15" display="https://ecmc.state.co.us/maps.html"/>
    <hyperlink ref="C38" r:id="rId16" display="https://www.fema.gov/flood-maps"/>
    <hyperlink ref="C39" r:id="rId17" display="https://cdphe.colorado.gov/maps-and-gis-for-health-and-environment"/>
    <hyperlink ref="C40" r:id="rId18" display="https://websoilsurvey.nrcs.usda.gov/"/>
    <hyperlink ref="C41" r:id="rId19" display="https://dtdapps.codot.gov/otis"/>
    <hyperlink ref="D46" r:id="rId20" display="Official Home"/>
    <hyperlink ref="E46" r:id="rId21" display="Property / GIS"/>
    <hyperlink ref="F46" r:id="rId22" display="Zoning / Code"/>
    <hyperlink ref="G46" r:id="rId23" display="Planning"/>
    <hyperlink ref="H46" r:id="rId24" display="Development / Projects"/>
    <hyperlink ref="I46" r:id="rId25" display="Permits"/>
    <hyperlink ref="J46" r:id="rId26" display="Long-Range Plan"/>
    <hyperlink ref="K46" r:id="rId27" display="Agendas / Meetings"/>
    <hyperlink ref="L46" r:id="rId28" display="Public Notices"/>
    <hyperlink ref="M46" r:id="rId29" display="News"/>
    <hyperlink ref="D47" r:id="rId30" display="Official Home"/>
    <hyperlink ref="E47" r:id="rId31" display="Property / GIS"/>
    <hyperlink ref="F47" r:id="rId32" display="Zoning / Code"/>
    <hyperlink ref="G47" r:id="rId33" display="Planning"/>
    <hyperlink ref="H47" r:id="rId34" display="Development / Projects"/>
    <hyperlink ref="I47" r:id="rId35" display="Permits"/>
    <hyperlink ref="J47" r:id="rId36" display="Long-Range Plan"/>
    <hyperlink ref="K47" r:id="rId37" display="Agendas / Meetings"/>
    <hyperlink ref="L47" r:id="rId38" display="Public Notices"/>
    <hyperlink ref="M47" r:id="rId39" display="News"/>
    <hyperlink ref="D48" r:id="rId40" display="Official Home"/>
    <hyperlink ref="E48" r:id="rId41" display="Property / GIS"/>
    <hyperlink ref="F48" r:id="rId42" display="Zoning / Code"/>
    <hyperlink ref="G48" r:id="rId43" display="Planning"/>
    <hyperlink ref="H48" r:id="rId44" display="Development / Projects"/>
    <hyperlink ref="I48" r:id="rId45" display="Permits"/>
    <hyperlink ref="J48" r:id="rId46" display="Long-Range Plan"/>
    <hyperlink ref="K48" r:id="rId47" display="Agendas / Meetings"/>
    <hyperlink ref="L48" r:id="rId48" display="Public Notices"/>
    <hyperlink ref="M48" r:id="rId49" display="News"/>
    <hyperlink ref="D49" r:id="rId50" display="Official Home"/>
    <hyperlink ref="E49" r:id="rId51" display="Property / GIS"/>
    <hyperlink ref="F49" r:id="rId52" display="Zoning / Code"/>
    <hyperlink ref="G49" r:id="rId53" display="Planning"/>
    <hyperlink ref="H49" r:id="rId54" display="Development / Projects"/>
    <hyperlink ref="I49" r:id="rId55" display="Permits"/>
    <hyperlink ref="J49" r:id="rId56" display="Long-Range Plan"/>
    <hyperlink ref="K49" r:id="rId57" display="Agendas / Meetings"/>
    <hyperlink ref="L49" r:id="rId58" display="Public Notices"/>
    <hyperlink ref="M49" r:id="rId59" display="News"/>
    <hyperlink ref="D50" r:id="rId60" display="Official Home"/>
    <hyperlink ref="E50" r:id="rId61" display="Property / GIS"/>
    <hyperlink ref="F50" r:id="rId62" display="Zoning / Code"/>
    <hyperlink ref="G50" r:id="rId63" display="Planning"/>
    <hyperlink ref="H50" r:id="rId64" display="Development / Projects"/>
    <hyperlink ref="I50" r:id="rId65" display="Permits"/>
    <hyperlink ref="J50" r:id="rId66" display="Long-Range Plan"/>
    <hyperlink ref="K50" r:id="rId67" display="Agendas / Meetings"/>
    <hyperlink ref="L50" r:id="rId68" display="Public Notices"/>
    <hyperlink ref="M50" r:id="rId69" display="News"/>
    <hyperlink ref="D51" r:id="rId70" display="Official Home"/>
    <hyperlink ref="E51" r:id="rId71" display="Property / GIS"/>
    <hyperlink ref="F51" r:id="rId72" display="Zoning / Code"/>
    <hyperlink ref="G51" r:id="rId73" display="Planning"/>
    <hyperlink ref="H51" r:id="rId74" display="Development / Projects"/>
    <hyperlink ref="I51" r:id="rId75" display="Permits"/>
    <hyperlink ref="J51" r:id="rId76" display="Long-Range Plan"/>
    <hyperlink ref="K51" r:id="rId77" display="Agendas / Meetings"/>
    <hyperlink ref="L51" r:id="rId78" display="Public Notices"/>
    <hyperlink ref="M51" r:id="rId79" display="News"/>
    <hyperlink ref="D52" r:id="rId80" display="Official Home"/>
    <hyperlink ref="E52" r:id="rId81" display="Property / GIS"/>
    <hyperlink ref="F52" r:id="rId82" display="Zoning / Code"/>
    <hyperlink ref="G52" r:id="rId83" display="Planning"/>
    <hyperlink ref="H52" r:id="rId84" display="Development / Projects"/>
    <hyperlink ref="I52" r:id="rId85" display="Permits"/>
    <hyperlink ref="J52" r:id="rId86" display="Long-Range Plan"/>
    <hyperlink ref="K52" r:id="rId87" display="Agendas / Meetings"/>
    <hyperlink ref="L52" r:id="rId88" display="Public Notices"/>
    <hyperlink ref="M52" r:id="rId89" display="News"/>
    <hyperlink ref="D53" r:id="rId90" display="Official Home"/>
    <hyperlink ref="E53" r:id="rId91" display="Property / GIS"/>
    <hyperlink ref="F53" r:id="rId92" display="Zoning / Code"/>
    <hyperlink ref="G53" r:id="rId93" display="Planning"/>
    <hyperlink ref="H53" r:id="rId94" display="Development / Projects"/>
    <hyperlink ref="I53" r:id="rId95" display="Permits"/>
    <hyperlink ref="J53" r:id="rId96" display="Long-Range Plan"/>
    <hyperlink ref="K53" r:id="rId97" display="Agendas / Meetings"/>
    <hyperlink ref="L53" r:id="rId98" display="Public Notices"/>
    <hyperlink ref="M53" r:id="rId99" display="News"/>
    <hyperlink ref="D54" r:id="rId100" display="Official Home"/>
    <hyperlink ref="E54" r:id="rId101" display="Property / GIS"/>
    <hyperlink ref="F54" r:id="rId102" display="Zoning / Code"/>
    <hyperlink ref="G54" r:id="rId103" display="Planning"/>
    <hyperlink ref="H54" r:id="rId104" display="Development / Projects"/>
    <hyperlink ref="I54" r:id="rId105" display="Permits"/>
    <hyperlink ref="J54" r:id="rId106" display="Long-Range Plan"/>
    <hyperlink ref="K54" r:id="rId107" display="Agendas / Meetings"/>
    <hyperlink ref="L54" r:id="rId108" display="Public Notices"/>
    <hyperlink ref="M54" r:id="rId109" display="News"/>
    <hyperlink ref="D55" r:id="rId110" display="Official Home"/>
    <hyperlink ref="E55" r:id="rId111" display="Property / GIS"/>
    <hyperlink ref="F55" r:id="rId112" display="Zoning / Code"/>
    <hyperlink ref="G55" r:id="rId113" display="Planning"/>
    <hyperlink ref="H55" r:id="rId114" display="Development / Projects"/>
    <hyperlink ref="I55" r:id="rId115" display="Permits"/>
    <hyperlink ref="J55" r:id="rId116" display="Long-Range Plan"/>
    <hyperlink ref="K55" r:id="rId117" display="Agendas / Meetings"/>
    <hyperlink ref="L55" r:id="rId118" display="Public Notices"/>
    <hyperlink ref="M55" r:id="rId119" display="News"/>
    <hyperlink ref="D56" r:id="rId120" display="Official Home"/>
    <hyperlink ref="E56" r:id="rId121" display="Property / GIS"/>
    <hyperlink ref="F56" r:id="rId122" display="Zoning / Code"/>
    <hyperlink ref="G56" r:id="rId123" display="Planning"/>
    <hyperlink ref="H56" r:id="rId124" display="Development / Projects"/>
    <hyperlink ref="I56" r:id="rId125" display="Permits"/>
    <hyperlink ref="J56" r:id="rId126" display="Long-Range Plan"/>
    <hyperlink ref="K56" r:id="rId127" display="Agendas / Meetings"/>
    <hyperlink ref="L56" r:id="rId128" display="Public Notices"/>
    <hyperlink ref="M56" r:id="rId129" display="News"/>
  </hyperlink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55A11"/>
    <pageSetUpPr fitToPage="false"/>
  </sheetPr>
  <dimension ref="B1:J33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A1" activeCellId="0" sqref="A1"/>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29.57"/>
    <col collapsed="false" customWidth="true" hidden="false" outlineLevel="0" max="3" min="3" style="1" width="27.43"/>
    <col collapsed="false" customWidth="true" hidden="false" outlineLevel="0" max="4" min="4" style="1" width="38.71"/>
    <col collapsed="false" customWidth="true" hidden="false" outlineLevel="0" max="6" min="5" style="1" width="52.43"/>
    <col collapsed="false" customWidth="true" hidden="false" outlineLevel="0" max="7" min="7" style="1" width="59.29"/>
    <col collapsed="false" customWidth="true" hidden="false" outlineLevel="0" max="8" min="8" style="1" width="13.71"/>
    <col collapsed="false" customWidth="true" hidden="false" outlineLevel="0" max="9" min="9" style="1" width="16"/>
    <col collapsed="false" customWidth="true" hidden="false" outlineLevel="0" max="10" min="10" style="1" width="27.43"/>
  </cols>
  <sheetData>
    <row r="1" customFormat="false" ht="19.5" hidden="false" customHeight="true" outlineLevel="0" collapsed="false">
      <c r="B1" s="102" t="s">
        <v>9517</v>
      </c>
    </row>
    <row r="2" customFormat="false" ht="126" hidden="false" customHeight="true" outlineLevel="0" collapsed="false">
      <c r="B2" s="281" t="s">
        <v>9518</v>
      </c>
    </row>
    <row r="4" customFormat="false" ht="12" hidden="false" customHeight="true" outlineLevel="0" collapsed="false">
      <c r="B4" s="242" t="s">
        <v>9519</v>
      </c>
      <c r="C4" s="242" t="s">
        <v>2471</v>
      </c>
      <c r="D4" s="242" t="s">
        <v>9520</v>
      </c>
      <c r="E4" s="242" t="s">
        <v>9521</v>
      </c>
      <c r="F4" s="242" t="s">
        <v>9522</v>
      </c>
      <c r="G4" s="242" t="s">
        <v>9523</v>
      </c>
      <c r="H4" s="242" t="s">
        <v>9524</v>
      </c>
    </row>
    <row r="5" customFormat="false" ht="31.5" hidden="false" customHeight="true" outlineLevel="0" collapsed="false">
      <c r="B5" s="500" t="s">
        <v>9525</v>
      </c>
      <c r="C5" s="500" t="s">
        <v>9526</v>
      </c>
      <c r="D5" s="500" t="s">
        <v>9527</v>
      </c>
      <c r="E5" s="501" t="s">
        <v>9528</v>
      </c>
      <c r="F5" s="501" t="s">
        <v>9529</v>
      </c>
      <c r="G5" s="497" t="s">
        <v>9530</v>
      </c>
      <c r="H5" s="500" t="s">
        <v>9531</v>
      </c>
    </row>
    <row r="6" customFormat="false" ht="21" hidden="false" customHeight="true" outlineLevel="0" collapsed="false">
      <c r="B6" s="500" t="s">
        <v>9525</v>
      </c>
      <c r="C6" s="500" t="s">
        <v>9532</v>
      </c>
      <c r="D6" s="500" t="s">
        <v>9533</v>
      </c>
      <c r="E6" s="501" t="s">
        <v>9534</v>
      </c>
      <c r="F6" s="501" t="s">
        <v>9535</v>
      </c>
      <c r="G6" s="497" t="s">
        <v>9351</v>
      </c>
      <c r="H6" s="500" t="s">
        <v>9531</v>
      </c>
    </row>
    <row r="7" customFormat="false" ht="21" hidden="false" customHeight="true" outlineLevel="0" collapsed="false">
      <c r="B7" s="500" t="s">
        <v>9525</v>
      </c>
      <c r="C7" s="500" t="s">
        <v>9532</v>
      </c>
      <c r="D7" s="500" t="s">
        <v>9536</v>
      </c>
      <c r="E7" s="501" t="s">
        <v>9537</v>
      </c>
      <c r="F7" s="501" t="s">
        <v>9538</v>
      </c>
      <c r="G7" s="497" t="s">
        <v>9353</v>
      </c>
      <c r="H7" s="500" t="s">
        <v>9531</v>
      </c>
    </row>
    <row r="8" customFormat="false" ht="21" hidden="false" customHeight="true" outlineLevel="0" collapsed="false">
      <c r="B8" s="500" t="s">
        <v>9525</v>
      </c>
      <c r="C8" s="500" t="s">
        <v>9539</v>
      </c>
      <c r="D8" s="500" t="s">
        <v>9540</v>
      </c>
      <c r="E8" s="501" t="s">
        <v>9541</v>
      </c>
      <c r="F8" s="501" t="s">
        <v>9542</v>
      </c>
      <c r="G8" s="497" t="s">
        <v>9543</v>
      </c>
      <c r="H8" s="500" t="s">
        <v>2014</v>
      </c>
    </row>
    <row r="9" customFormat="false" ht="21" hidden="false" customHeight="true" outlineLevel="0" collapsed="false">
      <c r="B9" s="500" t="s">
        <v>9525</v>
      </c>
      <c r="C9" s="500" t="s">
        <v>9544</v>
      </c>
      <c r="D9" s="500" t="s">
        <v>9545</v>
      </c>
      <c r="E9" s="501" t="s">
        <v>9546</v>
      </c>
      <c r="F9" s="501" t="s">
        <v>9547</v>
      </c>
      <c r="G9" s="497" t="s">
        <v>9548</v>
      </c>
      <c r="H9" s="500" t="s">
        <v>2014</v>
      </c>
    </row>
    <row r="10" customFormat="false" ht="21" hidden="false" customHeight="true" outlineLevel="0" collapsed="false">
      <c r="B10" s="500" t="s">
        <v>9525</v>
      </c>
      <c r="C10" s="500" t="s">
        <v>9544</v>
      </c>
      <c r="D10" s="500" t="s">
        <v>9549</v>
      </c>
      <c r="E10" s="501" t="s">
        <v>9550</v>
      </c>
      <c r="F10" s="501" t="s">
        <v>9551</v>
      </c>
      <c r="G10" s="497" t="s">
        <v>9355</v>
      </c>
      <c r="H10" s="500" t="s">
        <v>9531</v>
      </c>
    </row>
    <row r="11" customFormat="false" ht="21" hidden="false" customHeight="true" outlineLevel="0" collapsed="false">
      <c r="B11" s="500" t="s">
        <v>9525</v>
      </c>
      <c r="C11" s="500" t="s">
        <v>9544</v>
      </c>
      <c r="D11" s="500" t="s">
        <v>9552</v>
      </c>
      <c r="E11" s="501" t="s">
        <v>9553</v>
      </c>
      <c r="F11" s="501" t="s">
        <v>9554</v>
      </c>
      <c r="G11" s="497" t="s">
        <v>9555</v>
      </c>
      <c r="H11" s="500" t="s">
        <v>2014</v>
      </c>
    </row>
    <row r="12" customFormat="false" ht="21" hidden="false" customHeight="true" outlineLevel="0" collapsed="false">
      <c r="B12" s="500" t="s">
        <v>9525</v>
      </c>
      <c r="C12" s="500" t="s">
        <v>9556</v>
      </c>
      <c r="D12" s="500" t="s">
        <v>9557</v>
      </c>
      <c r="E12" s="501" t="s">
        <v>9558</v>
      </c>
      <c r="F12" s="501" t="s">
        <v>9559</v>
      </c>
      <c r="G12" s="497" t="s">
        <v>9560</v>
      </c>
      <c r="H12" s="500" t="s">
        <v>9531</v>
      </c>
    </row>
    <row r="13" customFormat="false" ht="21" hidden="false" customHeight="true" outlineLevel="0" collapsed="false">
      <c r="B13" s="500" t="s">
        <v>9525</v>
      </c>
      <c r="C13" s="500" t="s">
        <v>9556</v>
      </c>
      <c r="D13" s="500" t="s">
        <v>9561</v>
      </c>
      <c r="E13" s="501" t="s">
        <v>9562</v>
      </c>
      <c r="F13" s="501" t="s">
        <v>9563</v>
      </c>
      <c r="G13" s="497" t="s">
        <v>9357</v>
      </c>
      <c r="H13" s="500" t="s">
        <v>9531</v>
      </c>
    </row>
    <row r="14" customFormat="false" ht="21" hidden="false" customHeight="true" outlineLevel="0" collapsed="false">
      <c r="B14" s="500" t="s">
        <v>9525</v>
      </c>
      <c r="C14" s="500" t="s">
        <v>9556</v>
      </c>
      <c r="D14" s="500" t="s">
        <v>9564</v>
      </c>
      <c r="E14" s="501" t="s">
        <v>9565</v>
      </c>
      <c r="F14" s="501" t="s">
        <v>9566</v>
      </c>
      <c r="G14" s="497" t="s">
        <v>9567</v>
      </c>
      <c r="H14" s="500" t="s">
        <v>2014</v>
      </c>
    </row>
    <row r="15" customFormat="false" ht="21" hidden="false" customHeight="true" outlineLevel="0" collapsed="false">
      <c r="B15" s="500" t="s">
        <v>9525</v>
      </c>
      <c r="C15" s="500" t="s">
        <v>9568</v>
      </c>
      <c r="D15" s="500" t="s">
        <v>9569</v>
      </c>
      <c r="E15" s="501" t="s">
        <v>9570</v>
      </c>
      <c r="F15" s="501" t="s">
        <v>9571</v>
      </c>
      <c r="G15" s="497" t="s">
        <v>9359</v>
      </c>
      <c r="H15" s="500" t="s">
        <v>2014</v>
      </c>
    </row>
    <row r="16" customFormat="false" ht="21" hidden="false" customHeight="true" outlineLevel="0" collapsed="false">
      <c r="B16" s="500" t="s">
        <v>9525</v>
      </c>
      <c r="C16" s="500" t="s">
        <v>9572</v>
      </c>
      <c r="D16" s="500" t="s">
        <v>9573</v>
      </c>
      <c r="E16" s="501" t="s">
        <v>9574</v>
      </c>
      <c r="F16" s="501" t="s">
        <v>9575</v>
      </c>
      <c r="G16" s="497" t="s">
        <v>9576</v>
      </c>
      <c r="H16" s="500" t="s">
        <v>9577</v>
      </c>
    </row>
    <row r="17" customFormat="false" ht="21" hidden="false" customHeight="true" outlineLevel="0" collapsed="false">
      <c r="B17" s="500" t="s">
        <v>9525</v>
      </c>
      <c r="C17" s="500" t="s">
        <v>9578</v>
      </c>
      <c r="D17" s="500" t="s">
        <v>9579</v>
      </c>
      <c r="E17" s="501" t="s">
        <v>9580</v>
      </c>
      <c r="F17" s="501" t="s">
        <v>9581</v>
      </c>
      <c r="G17" s="497" t="s">
        <v>9361</v>
      </c>
      <c r="H17" s="500" t="s">
        <v>9531</v>
      </c>
    </row>
    <row r="18" customFormat="false" ht="21" hidden="false" customHeight="true" outlineLevel="0" collapsed="false">
      <c r="B18" s="500" t="s">
        <v>9525</v>
      </c>
      <c r="C18" s="500" t="s">
        <v>9578</v>
      </c>
      <c r="D18" s="500" t="s">
        <v>9582</v>
      </c>
      <c r="E18" s="501" t="s">
        <v>9583</v>
      </c>
      <c r="F18" s="501" t="s">
        <v>9584</v>
      </c>
      <c r="G18" s="497" t="s">
        <v>9585</v>
      </c>
      <c r="H18" s="500" t="s">
        <v>2014</v>
      </c>
    </row>
    <row r="19" customFormat="false" ht="21" hidden="false" customHeight="true" outlineLevel="0" collapsed="false">
      <c r="B19" s="500" t="s">
        <v>9525</v>
      </c>
      <c r="C19" s="500" t="s">
        <v>9578</v>
      </c>
      <c r="D19" s="500" t="s">
        <v>9586</v>
      </c>
      <c r="E19" s="501" t="s">
        <v>9587</v>
      </c>
      <c r="F19" s="501" t="s">
        <v>9588</v>
      </c>
      <c r="G19" s="497" t="s">
        <v>9589</v>
      </c>
      <c r="H19" s="500" t="s">
        <v>2014</v>
      </c>
    </row>
    <row r="20" customFormat="false" ht="12" hidden="false" customHeight="true" outlineLevel="0" collapsed="false">
      <c r="B20" s="500" t="s">
        <v>9525</v>
      </c>
      <c r="C20" s="500" t="s">
        <v>9590</v>
      </c>
      <c r="D20" s="500" t="s">
        <v>9591</v>
      </c>
      <c r="E20" s="501" t="s">
        <v>9592</v>
      </c>
      <c r="F20" s="501" t="s">
        <v>9593</v>
      </c>
      <c r="G20" s="497" t="s">
        <v>9594</v>
      </c>
      <c r="H20" s="500" t="s">
        <v>2014</v>
      </c>
    </row>
    <row r="21" customFormat="false" ht="21" hidden="false" customHeight="true" outlineLevel="0" collapsed="false">
      <c r="B21" s="500" t="s">
        <v>9525</v>
      </c>
      <c r="C21" s="500" t="s">
        <v>9590</v>
      </c>
      <c r="D21" s="500" t="s">
        <v>9595</v>
      </c>
      <c r="E21" s="501" t="s">
        <v>9596</v>
      </c>
      <c r="F21" s="501" t="s">
        <v>9597</v>
      </c>
      <c r="G21" s="497" t="s">
        <v>9598</v>
      </c>
      <c r="H21" s="500" t="s">
        <v>2014</v>
      </c>
    </row>
    <row r="22" customFormat="false" ht="21" hidden="false" customHeight="true" outlineLevel="0" collapsed="false">
      <c r="B22" s="500" t="s">
        <v>9525</v>
      </c>
      <c r="C22" s="500" t="s">
        <v>9599</v>
      </c>
      <c r="D22" s="500" t="s">
        <v>9600</v>
      </c>
      <c r="E22" s="501" t="s">
        <v>9601</v>
      </c>
      <c r="F22" s="501" t="s">
        <v>9602</v>
      </c>
      <c r="G22" s="497" t="s">
        <v>9603</v>
      </c>
      <c r="H22" s="500" t="s">
        <v>2014</v>
      </c>
    </row>
    <row r="23" customFormat="false" ht="21" hidden="false" customHeight="true" outlineLevel="0" collapsed="false">
      <c r="B23" s="500" t="s">
        <v>9525</v>
      </c>
      <c r="C23" s="500" t="s">
        <v>9599</v>
      </c>
      <c r="D23" s="500" t="s">
        <v>9604</v>
      </c>
      <c r="E23" s="501" t="s">
        <v>9605</v>
      </c>
      <c r="F23" s="501" t="s">
        <v>9606</v>
      </c>
      <c r="G23" s="497" t="s">
        <v>9363</v>
      </c>
      <c r="H23" s="500" t="s">
        <v>9531</v>
      </c>
    </row>
    <row r="24" customFormat="false" ht="12" hidden="false" customHeight="true" outlineLevel="0" collapsed="false">
      <c r="B24" s="500" t="s">
        <v>9525</v>
      </c>
      <c r="C24" s="500" t="s">
        <v>9599</v>
      </c>
      <c r="D24" s="500" t="s">
        <v>9607</v>
      </c>
      <c r="E24" s="501" t="s">
        <v>9608</v>
      </c>
      <c r="F24" s="501" t="s">
        <v>9609</v>
      </c>
      <c r="G24" s="497" t="s">
        <v>9610</v>
      </c>
      <c r="H24" s="500" t="s">
        <v>2014</v>
      </c>
    </row>
    <row r="25" customFormat="false" ht="21" hidden="false" customHeight="true" outlineLevel="0" collapsed="false">
      <c r="B25" s="500" t="s">
        <v>9525</v>
      </c>
      <c r="C25" s="500" t="s">
        <v>9611</v>
      </c>
      <c r="D25" s="500" t="s">
        <v>9612</v>
      </c>
      <c r="E25" s="501" t="s">
        <v>9613</v>
      </c>
      <c r="F25" s="501" t="s">
        <v>9614</v>
      </c>
      <c r="G25" s="497" t="s">
        <v>9365</v>
      </c>
      <c r="H25" s="500" t="s">
        <v>9531</v>
      </c>
    </row>
    <row r="26" customFormat="false" ht="31.5" hidden="false" customHeight="true" outlineLevel="0" collapsed="false">
      <c r="B26" s="500" t="s">
        <v>9525</v>
      </c>
      <c r="C26" s="500" t="s">
        <v>9611</v>
      </c>
      <c r="D26" s="500" t="s">
        <v>9615</v>
      </c>
      <c r="E26" s="501" t="s">
        <v>9616</v>
      </c>
      <c r="F26" s="501" t="s">
        <v>9617</v>
      </c>
      <c r="G26" s="497" t="s">
        <v>9403</v>
      </c>
      <c r="H26" s="500" t="s">
        <v>9531</v>
      </c>
    </row>
    <row r="27" customFormat="false" ht="21" hidden="false" customHeight="true" outlineLevel="0" collapsed="false">
      <c r="B27" s="500" t="s">
        <v>9525</v>
      </c>
      <c r="C27" s="500" t="s">
        <v>9611</v>
      </c>
      <c r="D27" s="500" t="s">
        <v>9618</v>
      </c>
      <c r="E27" s="501" t="s">
        <v>9619</v>
      </c>
      <c r="F27" s="501" t="s">
        <v>9620</v>
      </c>
      <c r="G27" s="497" t="s">
        <v>9367</v>
      </c>
      <c r="H27" s="500" t="s">
        <v>9531</v>
      </c>
    </row>
    <row r="28" customFormat="false" ht="21" hidden="false" customHeight="true" outlineLevel="0" collapsed="false">
      <c r="B28" s="500" t="s">
        <v>9525</v>
      </c>
      <c r="C28" s="500" t="s">
        <v>9621</v>
      </c>
      <c r="D28" s="500" t="s">
        <v>9622</v>
      </c>
      <c r="E28" s="501" t="s">
        <v>9623</v>
      </c>
      <c r="F28" s="501" t="s">
        <v>9624</v>
      </c>
      <c r="G28" s="497" t="s">
        <v>9404</v>
      </c>
      <c r="H28" s="500" t="s">
        <v>2014</v>
      </c>
    </row>
    <row r="29" customFormat="false" ht="21" hidden="false" customHeight="true" outlineLevel="0" collapsed="false">
      <c r="B29" s="500" t="s">
        <v>9525</v>
      </c>
      <c r="C29" s="500" t="s">
        <v>9621</v>
      </c>
      <c r="D29" s="500" t="s">
        <v>9625</v>
      </c>
      <c r="E29" s="501" t="s">
        <v>9626</v>
      </c>
      <c r="F29" s="501" t="s">
        <v>9627</v>
      </c>
      <c r="G29" s="497" t="s">
        <v>9628</v>
      </c>
      <c r="H29" s="500" t="s">
        <v>2014</v>
      </c>
    </row>
    <row r="30" customFormat="false" ht="21" hidden="false" customHeight="true" outlineLevel="0" collapsed="false">
      <c r="B30" s="500" t="s">
        <v>9525</v>
      </c>
      <c r="C30" s="500" t="s">
        <v>9344</v>
      </c>
      <c r="D30" s="500" t="s">
        <v>9629</v>
      </c>
      <c r="E30" s="501" t="s">
        <v>9630</v>
      </c>
      <c r="F30" s="501" t="s">
        <v>9631</v>
      </c>
      <c r="G30" s="497" t="s">
        <v>9632</v>
      </c>
      <c r="H30" s="500" t="s">
        <v>9531</v>
      </c>
    </row>
    <row r="31" customFormat="false" ht="21" hidden="false" customHeight="true" outlineLevel="0" collapsed="false">
      <c r="B31" s="500" t="s">
        <v>9525</v>
      </c>
      <c r="C31" s="500" t="s">
        <v>9344</v>
      </c>
      <c r="D31" s="500" t="s">
        <v>9633</v>
      </c>
      <c r="E31" s="501" t="s">
        <v>9634</v>
      </c>
      <c r="F31" s="501" t="s">
        <v>9635</v>
      </c>
      <c r="G31" s="497" t="s">
        <v>9369</v>
      </c>
      <c r="H31" s="500" t="s">
        <v>9531</v>
      </c>
    </row>
    <row r="32" customFormat="false" ht="21" hidden="false" customHeight="true" outlineLevel="0" collapsed="false">
      <c r="B32" s="500" t="s">
        <v>9525</v>
      </c>
      <c r="C32" s="500" t="s">
        <v>9344</v>
      </c>
      <c r="D32" s="500" t="s">
        <v>9636</v>
      </c>
      <c r="E32" s="501" t="s">
        <v>9637</v>
      </c>
      <c r="F32" s="501" t="s">
        <v>9638</v>
      </c>
      <c r="G32" s="497" t="s">
        <v>9639</v>
      </c>
      <c r="H32" s="500" t="s">
        <v>2014</v>
      </c>
    </row>
    <row r="33" customFormat="false" ht="21" hidden="false" customHeight="true" outlineLevel="0" collapsed="false">
      <c r="B33" s="500" t="s">
        <v>9525</v>
      </c>
      <c r="C33" s="500" t="s">
        <v>9344</v>
      </c>
      <c r="D33" s="500" t="s">
        <v>9640</v>
      </c>
      <c r="E33" s="501" t="s">
        <v>9641</v>
      </c>
      <c r="F33" s="501" t="s">
        <v>9642</v>
      </c>
      <c r="G33" s="497" t="s">
        <v>9643</v>
      </c>
      <c r="H33" s="500" t="s">
        <v>9577</v>
      </c>
    </row>
    <row r="34" customFormat="false" ht="12" hidden="false" customHeight="true" outlineLevel="0" collapsed="false">
      <c r="B34" s="500" t="s">
        <v>9525</v>
      </c>
      <c r="C34" s="500" t="s">
        <v>9344</v>
      </c>
      <c r="D34" s="500" t="s">
        <v>9644</v>
      </c>
      <c r="E34" s="501" t="s">
        <v>9645</v>
      </c>
      <c r="F34" s="501" t="s">
        <v>9646</v>
      </c>
      <c r="G34" s="497" t="s">
        <v>9647</v>
      </c>
      <c r="H34" s="500" t="s">
        <v>2014</v>
      </c>
    </row>
    <row r="35" customFormat="false" ht="21" hidden="false" customHeight="true" outlineLevel="0" collapsed="false">
      <c r="B35" s="500" t="s">
        <v>9525</v>
      </c>
      <c r="C35" s="500" t="s">
        <v>9648</v>
      </c>
      <c r="D35" s="500" t="s">
        <v>9649</v>
      </c>
      <c r="E35" s="501" t="s">
        <v>9650</v>
      </c>
      <c r="F35" s="501" t="s">
        <v>9651</v>
      </c>
      <c r="G35" s="497" t="s">
        <v>9652</v>
      </c>
      <c r="H35" s="500" t="s">
        <v>2014</v>
      </c>
    </row>
    <row r="36" customFormat="false" ht="21" hidden="false" customHeight="true" outlineLevel="0" collapsed="false">
      <c r="B36" s="500" t="s">
        <v>9525</v>
      </c>
      <c r="C36" s="500" t="s">
        <v>9653</v>
      </c>
      <c r="D36" s="500" t="s">
        <v>9654</v>
      </c>
      <c r="E36" s="501" t="s">
        <v>9655</v>
      </c>
      <c r="F36" s="501" t="s">
        <v>9656</v>
      </c>
      <c r="G36" s="497" t="s">
        <v>9657</v>
      </c>
      <c r="H36" s="500" t="s">
        <v>9577</v>
      </c>
    </row>
    <row r="37" customFormat="false" ht="21" hidden="false" customHeight="true" outlineLevel="0" collapsed="false">
      <c r="B37" s="500" t="s">
        <v>9525</v>
      </c>
      <c r="C37" s="500" t="s">
        <v>9658</v>
      </c>
      <c r="D37" s="500" t="s">
        <v>9659</v>
      </c>
      <c r="E37" s="501" t="s">
        <v>9660</v>
      </c>
      <c r="F37" s="501" t="s">
        <v>9661</v>
      </c>
      <c r="G37" s="497" t="s">
        <v>9662</v>
      </c>
      <c r="H37" s="500" t="s">
        <v>2014</v>
      </c>
    </row>
    <row r="38" customFormat="false" ht="21" hidden="false" customHeight="true" outlineLevel="0" collapsed="false">
      <c r="B38" s="500" t="s">
        <v>9525</v>
      </c>
      <c r="C38" s="500" t="s">
        <v>9663</v>
      </c>
      <c r="D38" s="500" t="s">
        <v>9664</v>
      </c>
      <c r="E38" s="501" t="s">
        <v>9665</v>
      </c>
      <c r="F38" s="501" t="s">
        <v>9666</v>
      </c>
      <c r="G38" s="497" t="s">
        <v>9405</v>
      </c>
      <c r="H38" s="500" t="s">
        <v>2014</v>
      </c>
    </row>
    <row r="39" customFormat="false" ht="21" hidden="false" customHeight="true" outlineLevel="0" collapsed="false">
      <c r="B39" s="500" t="s">
        <v>9525</v>
      </c>
      <c r="C39" s="500" t="s">
        <v>9663</v>
      </c>
      <c r="D39" s="500" t="s">
        <v>9667</v>
      </c>
      <c r="E39" s="501" t="s">
        <v>9668</v>
      </c>
      <c r="F39" s="501" t="s">
        <v>9669</v>
      </c>
      <c r="G39" s="497" t="s">
        <v>9670</v>
      </c>
      <c r="H39" s="500" t="s">
        <v>2014</v>
      </c>
    </row>
    <row r="40" customFormat="false" ht="21" hidden="false" customHeight="true" outlineLevel="0" collapsed="false">
      <c r="B40" s="500" t="s">
        <v>9525</v>
      </c>
      <c r="C40" s="500" t="s">
        <v>9348</v>
      </c>
      <c r="D40" s="500" t="s">
        <v>9671</v>
      </c>
      <c r="E40" s="501" t="s">
        <v>9672</v>
      </c>
      <c r="F40" s="501" t="s">
        <v>9673</v>
      </c>
      <c r="G40" s="497" t="s">
        <v>9406</v>
      </c>
      <c r="H40" s="500" t="s">
        <v>2014</v>
      </c>
    </row>
    <row r="41" customFormat="false" ht="21" hidden="false" customHeight="true" outlineLevel="0" collapsed="false">
      <c r="B41" s="500" t="s">
        <v>9525</v>
      </c>
      <c r="C41" s="500" t="s">
        <v>9348</v>
      </c>
      <c r="D41" s="500" t="s">
        <v>9674</v>
      </c>
      <c r="E41" s="501" t="s">
        <v>9675</v>
      </c>
      <c r="F41" s="501" t="s">
        <v>9676</v>
      </c>
      <c r="G41" s="497" t="s">
        <v>9677</v>
      </c>
      <c r="H41" s="500" t="s">
        <v>2014</v>
      </c>
    </row>
    <row r="42" customFormat="false" ht="12" hidden="false" customHeight="true" outlineLevel="0" collapsed="false">
      <c r="B42" s="500" t="s">
        <v>2203</v>
      </c>
      <c r="C42" s="500" t="s">
        <v>9678</v>
      </c>
      <c r="D42" s="500" t="s">
        <v>9679</v>
      </c>
      <c r="E42" s="501" t="s">
        <v>9680</v>
      </c>
      <c r="F42" s="501" t="s">
        <v>9681</v>
      </c>
      <c r="G42" s="497" t="s">
        <v>9408</v>
      </c>
      <c r="H42" s="500" t="s">
        <v>9682</v>
      </c>
    </row>
    <row r="43" customFormat="false" ht="12" hidden="false" customHeight="true" outlineLevel="0" collapsed="false">
      <c r="B43" s="500" t="s">
        <v>2203</v>
      </c>
      <c r="C43" s="500" t="s">
        <v>9683</v>
      </c>
      <c r="D43" s="500" t="s">
        <v>9684</v>
      </c>
      <c r="E43" s="501" t="s">
        <v>9685</v>
      </c>
      <c r="F43" s="501" t="s">
        <v>9686</v>
      </c>
      <c r="G43" s="497" t="s">
        <v>9409</v>
      </c>
      <c r="H43" s="500" t="s">
        <v>9531</v>
      </c>
    </row>
    <row r="44" customFormat="false" ht="12" hidden="false" customHeight="true" outlineLevel="0" collapsed="false">
      <c r="B44" s="500" t="s">
        <v>2203</v>
      </c>
      <c r="C44" s="500" t="s">
        <v>49</v>
      </c>
      <c r="D44" s="500" t="s">
        <v>49</v>
      </c>
      <c r="E44" s="501" t="s">
        <v>9687</v>
      </c>
      <c r="F44" s="501" t="s">
        <v>9688</v>
      </c>
      <c r="G44" s="497" t="s">
        <v>9410</v>
      </c>
      <c r="H44" s="500" t="s">
        <v>9531</v>
      </c>
    </row>
    <row r="45" customFormat="false" ht="21" hidden="false" customHeight="true" outlineLevel="0" collapsed="false">
      <c r="B45" s="500" t="s">
        <v>2203</v>
      </c>
      <c r="C45" s="500" t="s">
        <v>9393</v>
      </c>
      <c r="D45" s="500" t="s">
        <v>9689</v>
      </c>
      <c r="E45" s="501" t="s">
        <v>9690</v>
      </c>
      <c r="F45" s="501" t="s">
        <v>9691</v>
      </c>
      <c r="G45" s="497" t="s">
        <v>9411</v>
      </c>
      <c r="H45" s="500" t="s">
        <v>9531</v>
      </c>
    </row>
    <row r="46" customFormat="false" ht="12" hidden="false" customHeight="true" outlineLevel="0" collapsed="false">
      <c r="B46" s="500" t="s">
        <v>2203</v>
      </c>
      <c r="C46" s="500" t="s">
        <v>9692</v>
      </c>
      <c r="D46" s="500" t="s">
        <v>9693</v>
      </c>
      <c r="E46" s="501" t="s">
        <v>9694</v>
      </c>
      <c r="F46" s="501" t="s">
        <v>9695</v>
      </c>
      <c r="G46" s="497" t="s">
        <v>9696</v>
      </c>
      <c r="H46" s="500" t="s">
        <v>9531</v>
      </c>
    </row>
    <row r="47" customFormat="false" ht="21" hidden="false" customHeight="true" outlineLevel="0" collapsed="false">
      <c r="B47" s="500" t="s">
        <v>2203</v>
      </c>
      <c r="C47" s="500" t="s">
        <v>9697</v>
      </c>
      <c r="D47" s="500" t="s">
        <v>9698</v>
      </c>
      <c r="E47" s="501" t="s">
        <v>9699</v>
      </c>
      <c r="F47" s="501" t="s">
        <v>9700</v>
      </c>
      <c r="G47" s="497" t="s">
        <v>9412</v>
      </c>
      <c r="H47" s="500" t="s">
        <v>2014</v>
      </c>
    </row>
    <row r="48" customFormat="false" ht="12" hidden="false" customHeight="true" outlineLevel="0" collapsed="false">
      <c r="B48" s="500" t="s">
        <v>2203</v>
      </c>
      <c r="C48" s="500" t="s">
        <v>9697</v>
      </c>
      <c r="D48" s="500" t="s">
        <v>9701</v>
      </c>
      <c r="E48" s="501" t="s">
        <v>9702</v>
      </c>
      <c r="F48" s="501" t="s">
        <v>9703</v>
      </c>
      <c r="G48" s="497" t="s">
        <v>9704</v>
      </c>
      <c r="H48" s="500" t="s">
        <v>2014</v>
      </c>
    </row>
    <row r="49" customFormat="false" ht="21" hidden="false" customHeight="true" outlineLevel="0" collapsed="false">
      <c r="B49" s="500" t="s">
        <v>2203</v>
      </c>
      <c r="C49" s="500" t="s">
        <v>9705</v>
      </c>
      <c r="D49" s="500" t="s">
        <v>9706</v>
      </c>
      <c r="E49" s="501" t="s">
        <v>9707</v>
      </c>
      <c r="F49" s="501" t="s">
        <v>9708</v>
      </c>
      <c r="G49" s="497" t="s">
        <v>9709</v>
      </c>
      <c r="H49" s="500" t="s">
        <v>9577</v>
      </c>
    </row>
    <row r="50" customFormat="false" ht="12" hidden="false" customHeight="true" outlineLevel="0" collapsed="false">
      <c r="B50" s="500" t="s">
        <v>2203</v>
      </c>
      <c r="C50" s="500" t="s">
        <v>9344</v>
      </c>
      <c r="D50" s="500" t="s">
        <v>9344</v>
      </c>
      <c r="E50" s="501" t="s">
        <v>9710</v>
      </c>
      <c r="F50" s="501" t="s">
        <v>9711</v>
      </c>
      <c r="G50" s="497" t="s">
        <v>9413</v>
      </c>
      <c r="H50" s="500" t="s">
        <v>2014</v>
      </c>
    </row>
    <row r="51" customFormat="false" ht="12" hidden="false" customHeight="true" outlineLevel="0" collapsed="false">
      <c r="B51" s="500" t="s">
        <v>2203</v>
      </c>
      <c r="C51" s="500" t="s">
        <v>9344</v>
      </c>
      <c r="D51" s="500" t="s">
        <v>9712</v>
      </c>
      <c r="E51" s="501" t="s">
        <v>9713</v>
      </c>
      <c r="F51" s="501" t="s">
        <v>9714</v>
      </c>
      <c r="G51" s="497" t="s">
        <v>9715</v>
      </c>
      <c r="H51" s="500" t="s">
        <v>9531</v>
      </c>
    </row>
    <row r="52" customFormat="false" ht="12" hidden="false" customHeight="true" outlineLevel="0" collapsed="false">
      <c r="B52" s="500" t="s">
        <v>2203</v>
      </c>
      <c r="C52" s="500" t="s">
        <v>9344</v>
      </c>
      <c r="D52" s="500" t="s">
        <v>9716</v>
      </c>
      <c r="E52" s="501" t="s">
        <v>9717</v>
      </c>
      <c r="F52" s="501" t="s">
        <v>9718</v>
      </c>
      <c r="G52" s="497" t="s">
        <v>9719</v>
      </c>
      <c r="H52" s="500" t="s">
        <v>2014</v>
      </c>
    </row>
    <row r="53" customFormat="false" ht="12" hidden="false" customHeight="true" outlineLevel="0" collapsed="false">
      <c r="B53" s="500" t="s">
        <v>2203</v>
      </c>
      <c r="C53" s="500" t="s">
        <v>9720</v>
      </c>
      <c r="D53" s="500" t="s">
        <v>9721</v>
      </c>
      <c r="E53" s="501" t="s">
        <v>9722</v>
      </c>
      <c r="F53" s="501" t="s">
        <v>9723</v>
      </c>
      <c r="G53" s="497" t="s">
        <v>9724</v>
      </c>
      <c r="H53" s="500" t="s">
        <v>2014</v>
      </c>
    </row>
    <row r="54" customFormat="false" ht="12" hidden="false" customHeight="true" outlineLevel="0" collapsed="false">
      <c r="B54" s="500" t="s">
        <v>2203</v>
      </c>
      <c r="C54" s="500" t="s">
        <v>9621</v>
      </c>
      <c r="D54" s="500" t="s">
        <v>9725</v>
      </c>
      <c r="E54" s="501" t="s">
        <v>9726</v>
      </c>
      <c r="F54" s="501" t="s">
        <v>9727</v>
      </c>
      <c r="G54" s="497" t="s">
        <v>9414</v>
      </c>
      <c r="H54" s="500" t="s">
        <v>2014</v>
      </c>
    </row>
    <row r="55" customFormat="false" ht="12" hidden="false" customHeight="true" outlineLevel="0" collapsed="false">
      <c r="B55" s="500" t="s">
        <v>2203</v>
      </c>
      <c r="C55" s="500" t="s">
        <v>9728</v>
      </c>
      <c r="D55" s="500" t="s">
        <v>9729</v>
      </c>
      <c r="E55" s="501" t="s">
        <v>9730</v>
      </c>
      <c r="F55" s="501" t="s">
        <v>9731</v>
      </c>
      <c r="G55" s="497" t="s">
        <v>9732</v>
      </c>
      <c r="H55" s="500" t="s">
        <v>9577</v>
      </c>
    </row>
    <row r="56" customFormat="false" ht="21" hidden="false" customHeight="true" outlineLevel="0" collapsed="false">
      <c r="B56" s="500" t="s">
        <v>2203</v>
      </c>
      <c r="C56" s="500" t="s">
        <v>9663</v>
      </c>
      <c r="D56" s="500" t="s">
        <v>9733</v>
      </c>
      <c r="E56" s="501" t="s">
        <v>9734</v>
      </c>
      <c r="F56" s="501" t="s">
        <v>9735</v>
      </c>
      <c r="G56" s="497" t="s">
        <v>9736</v>
      </c>
      <c r="H56" s="500" t="s">
        <v>2014</v>
      </c>
    </row>
    <row r="57" customFormat="false" ht="12" hidden="false" customHeight="true" outlineLevel="0" collapsed="false">
      <c r="B57" s="500" t="s">
        <v>2203</v>
      </c>
      <c r="C57" s="500" t="s">
        <v>9663</v>
      </c>
      <c r="D57" s="500" t="s">
        <v>9737</v>
      </c>
      <c r="E57" s="501" t="s">
        <v>9738</v>
      </c>
      <c r="F57" s="501" t="s">
        <v>9739</v>
      </c>
      <c r="G57" s="497" t="s">
        <v>9415</v>
      </c>
      <c r="H57" s="500" t="s">
        <v>2014</v>
      </c>
    </row>
    <row r="58" customFormat="false" ht="12" hidden="false" customHeight="true" outlineLevel="0" collapsed="false">
      <c r="B58" s="500" t="s">
        <v>2203</v>
      </c>
      <c r="C58" s="500" t="s">
        <v>9397</v>
      </c>
      <c r="D58" s="500" t="s">
        <v>9740</v>
      </c>
      <c r="E58" s="501" t="s">
        <v>9741</v>
      </c>
      <c r="F58" s="501" t="s">
        <v>9742</v>
      </c>
      <c r="G58" s="497" t="s">
        <v>9416</v>
      </c>
      <c r="H58" s="500" t="s">
        <v>2014</v>
      </c>
    </row>
    <row r="59" customFormat="false" ht="21" hidden="false" customHeight="true" outlineLevel="0" collapsed="false">
      <c r="B59" s="500" t="s">
        <v>2203</v>
      </c>
      <c r="C59" s="500" t="s">
        <v>9348</v>
      </c>
      <c r="D59" s="500" t="s">
        <v>9743</v>
      </c>
      <c r="E59" s="501" t="s">
        <v>9744</v>
      </c>
      <c r="F59" s="501" t="s">
        <v>9745</v>
      </c>
      <c r="G59" s="497" t="s">
        <v>9417</v>
      </c>
      <c r="H59" s="500" t="s">
        <v>9577</v>
      </c>
    </row>
    <row r="60" customFormat="false" ht="12" hidden="false" customHeight="true" outlineLevel="0" collapsed="false">
      <c r="B60" s="500" t="s">
        <v>2203</v>
      </c>
      <c r="C60" s="500" t="s">
        <v>9746</v>
      </c>
      <c r="D60" s="500" t="s">
        <v>9747</v>
      </c>
      <c r="E60" s="501" t="s">
        <v>9748</v>
      </c>
      <c r="F60" s="501" t="s">
        <v>9749</v>
      </c>
      <c r="G60" s="497" t="s">
        <v>9750</v>
      </c>
      <c r="H60" s="500" t="s">
        <v>2014</v>
      </c>
    </row>
    <row r="61" customFormat="false" ht="12" hidden="false" customHeight="true" outlineLevel="0" collapsed="false">
      <c r="B61" s="500" t="s">
        <v>4743</v>
      </c>
      <c r="C61" s="500" t="s">
        <v>9678</v>
      </c>
      <c r="D61" s="500" t="s">
        <v>9751</v>
      </c>
      <c r="E61" s="501" t="s">
        <v>9752</v>
      </c>
      <c r="F61" s="501" t="s">
        <v>9753</v>
      </c>
      <c r="G61" s="497" t="s">
        <v>9419</v>
      </c>
      <c r="H61" s="500" t="s">
        <v>9682</v>
      </c>
    </row>
    <row r="62" customFormat="false" ht="21" hidden="false" customHeight="true" outlineLevel="0" collapsed="false">
      <c r="B62" s="500" t="s">
        <v>4743</v>
      </c>
      <c r="C62" s="500" t="s">
        <v>9683</v>
      </c>
      <c r="D62" s="500" t="s">
        <v>9754</v>
      </c>
      <c r="E62" s="501" t="s">
        <v>9755</v>
      </c>
      <c r="F62" s="501" t="s">
        <v>9756</v>
      </c>
      <c r="G62" s="497" t="s">
        <v>9420</v>
      </c>
      <c r="H62" s="500" t="s">
        <v>9531</v>
      </c>
    </row>
    <row r="63" customFormat="false" ht="12" hidden="false" customHeight="true" outlineLevel="0" collapsed="false">
      <c r="B63" s="500" t="s">
        <v>4743</v>
      </c>
      <c r="C63" s="500" t="s">
        <v>9757</v>
      </c>
      <c r="D63" s="500" t="s">
        <v>9758</v>
      </c>
      <c r="E63" s="501" t="s">
        <v>9759</v>
      </c>
      <c r="F63" s="501" t="s">
        <v>9760</v>
      </c>
      <c r="G63" s="497" t="s">
        <v>9761</v>
      </c>
      <c r="H63" s="500" t="s">
        <v>9577</v>
      </c>
    </row>
    <row r="64" customFormat="false" ht="12" hidden="false" customHeight="true" outlineLevel="0" collapsed="false">
      <c r="B64" s="500" t="s">
        <v>4743</v>
      </c>
      <c r="C64" s="500" t="s">
        <v>49</v>
      </c>
      <c r="D64" s="500" t="s">
        <v>9762</v>
      </c>
      <c r="E64" s="501" t="s">
        <v>9763</v>
      </c>
      <c r="F64" s="501" t="s">
        <v>9764</v>
      </c>
      <c r="G64" s="497" t="s">
        <v>9421</v>
      </c>
      <c r="H64" s="500" t="s">
        <v>9531</v>
      </c>
    </row>
    <row r="65" customFormat="false" ht="21" hidden="false" customHeight="true" outlineLevel="0" collapsed="false">
      <c r="B65" s="500" t="s">
        <v>4743</v>
      </c>
      <c r="C65" s="500" t="s">
        <v>9393</v>
      </c>
      <c r="D65" s="500" t="s">
        <v>9393</v>
      </c>
      <c r="E65" s="501" t="s">
        <v>9765</v>
      </c>
      <c r="F65" s="501" t="s">
        <v>9766</v>
      </c>
      <c r="G65" s="497" t="s">
        <v>9422</v>
      </c>
      <c r="H65" s="500" t="s">
        <v>9531</v>
      </c>
    </row>
    <row r="66" customFormat="false" ht="21" hidden="false" customHeight="true" outlineLevel="0" collapsed="false">
      <c r="B66" s="500" t="s">
        <v>4743</v>
      </c>
      <c r="C66" s="500" t="s">
        <v>9393</v>
      </c>
      <c r="D66" s="500" t="s">
        <v>9767</v>
      </c>
      <c r="E66" s="501" t="s">
        <v>9768</v>
      </c>
      <c r="F66" s="501" t="s">
        <v>9769</v>
      </c>
      <c r="G66" s="497" t="s">
        <v>9770</v>
      </c>
      <c r="H66" s="500" t="s">
        <v>2014</v>
      </c>
    </row>
    <row r="67" customFormat="false" ht="21" hidden="false" customHeight="true" outlineLevel="0" collapsed="false">
      <c r="B67" s="500" t="s">
        <v>4743</v>
      </c>
      <c r="C67" s="500" t="s">
        <v>9692</v>
      </c>
      <c r="D67" s="500" t="s">
        <v>9771</v>
      </c>
      <c r="E67" s="501" t="s">
        <v>9772</v>
      </c>
      <c r="F67" s="501" t="s">
        <v>9773</v>
      </c>
      <c r="G67" s="497" t="s">
        <v>9774</v>
      </c>
      <c r="H67" s="500" t="s">
        <v>9531</v>
      </c>
    </row>
    <row r="68" customFormat="false" ht="12" hidden="false" customHeight="true" outlineLevel="0" collapsed="false">
      <c r="B68" s="500" t="s">
        <v>4743</v>
      </c>
      <c r="C68" s="500" t="s">
        <v>9648</v>
      </c>
      <c r="D68" s="500" t="s">
        <v>9775</v>
      </c>
      <c r="E68" s="501" t="s">
        <v>9776</v>
      </c>
      <c r="F68" s="501" t="s">
        <v>9777</v>
      </c>
      <c r="G68" s="497" t="s">
        <v>9778</v>
      </c>
      <c r="H68" s="500" t="s">
        <v>2014</v>
      </c>
    </row>
    <row r="69" customFormat="false" ht="12" hidden="false" customHeight="true" outlineLevel="0" collapsed="false">
      <c r="B69" s="500" t="s">
        <v>4743</v>
      </c>
      <c r="C69" s="500" t="s">
        <v>9697</v>
      </c>
      <c r="D69" s="500" t="s">
        <v>9779</v>
      </c>
      <c r="E69" s="501" t="s">
        <v>9780</v>
      </c>
      <c r="F69" s="501" t="s">
        <v>9781</v>
      </c>
      <c r="G69" s="497" t="s">
        <v>9423</v>
      </c>
      <c r="H69" s="500" t="s">
        <v>9531</v>
      </c>
    </row>
    <row r="70" customFormat="false" ht="12" hidden="false" customHeight="true" outlineLevel="0" collapsed="false">
      <c r="B70" s="500" t="s">
        <v>4743</v>
      </c>
      <c r="C70" s="500" t="s">
        <v>9697</v>
      </c>
      <c r="D70" s="500" t="s">
        <v>9782</v>
      </c>
      <c r="E70" s="501" t="s">
        <v>9783</v>
      </c>
      <c r="F70" s="501" t="s">
        <v>9784</v>
      </c>
      <c r="G70" s="497" t="s">
        <v>9785</v>
      </c>
      <c r="H70" s="500" t="s">
        <v>2014</v>
      </c>
    </row>
    <row r="71" customFormat="false" ht="12" hidden="false" customHeight="true" outlineLevel="0" collapsed="false">
      <c r="B71" s="500" t="s">
        <v>4743</v>
      </c>
      <c r="C71" s="500" t="s">
        <v>9697</v>
      </c>
      <c r="D71" s="500" t="s">
        <v>9786</v>
      </c>
      <c r="E71" s="501" t="s">
        <v>9787</v>
      </c>
      <c r="F71" s="501" t="s">
        <v>9788</v>
      </c>
      <c r="G71" s="497" t="s">
        <v>9789</v>
      </c>
      <c r="H71" s="500" t="s">
        <v>2014</v>
      </c>
    </row>
    <row r="72" customFormat="false" ht="12" hidden="false" customHeight="true" outlineLevel="0" collapsed="false">
      <c r="B72" s="500" t="s">
        <v>4743</v>
      </c>
      <c r="C72" s="500" t="s">
        <v>9621</v>
      </c>
      <c r="D72" s="500" t="s">
        <v>9790</v>
      </c>
      <c r="E72" s="501" t="s">
        <v>9791</v>
      </c>
      <c r="F72" s="501" t="s">
        <v>9792</v>
      </c>
      <c r="G72" s="497" t="s">
        <v>9425</v>
      </c>
      <c r="H72" s="500" t="s">
        <v>2014</v>
      </c>
    </row>
    <row r="73" customFormat="false" ht="12" hidden="false" customHeight="true" outlineLevel="0" collapsed="false">
      <c r="B73" s="500" t="s">
        <v>4743</v>
      </c>
      <c r="C73" s="500" t="s">
        <v>9793</v>
      </c>
      <c r="D73" s="500" t="s">
        <v>9793</v>
      </c>
      <c r="E73" s="501" t="s">
        <v>9794</v>
      </c>
      <c r="F73" s="501" t="s">
        <v>9795</v>
      </c>
      <c r="G73" s="497" t="s">
        <v>9796</v>
      </c>
      <c r="H73" s="500" t="s">
        <v>9577</v>
      </c>
    </row>
    <row r="74" customFormat="false" ht="12" hidden="false" customHeight="true" outlineLevel="0" collapsed="false">
      <c r="B74" s="500" t="s">
        <v>4743</v>
      </c>
      <c r="C74" s="500" t="s">
        <v>9344</v>
      </c>
      <c r="D74" s="500" t="s">
        <v>9712</v>
      </c>
      <c r="E74" s="501" t="s">
        <v>9797</v>
      </c>
      <c r="F74" s="501" t="s">
        <v>9798</v>
      </c>
      <c r="G74" s="497" t="s">
        <v>9424</v>
      </c>
      <c r="H74" s="500" t="s">
        <v>9531</v>
      </c>
    </row>
    <row r="75" customFormat="false" ht="12" hidden="false" customHeight="true" outlineLevel="0" collapsed="false">
      <c r="B75" s="500" t="s">
        <v>4743</v>
      </c>
      <c r="C75" s="500" t="s">
        <v>9344</v>
      </c>
      <c r="D75" s="500" t="s">
        <v>9799</v>
      </c>
      <c r="E75" s="501" t="s">
        <v>9800</v>
      </c>
      <c r="F75" s="501" t="s">
        <v>9801</v>
      </c>
      <c r="G75" s="497" t="s">
        <v>9802</v>
      </c>
      <c r="H75" s="500" t="s">
        <v>2014</v>
      </c>
    </row>
    <row r="76" customFormat="false" ht="12" hidden="false" customHeight="true" outlineLevel="0" collapsed="false">
      <c r="B76" s="500" t="s">
        <v>4743</v>
      </c>
      <c r="C76" s="500" t="s">
        <v>9803</v>
      </c>
      <c r="D76" s="500" t="s">
        <v>9804</v>
      </c>
      <c r="E76" s="501" t="s">
        <v>9805</v>
      </c>
      <c r="F76" s="501" t="s">
        <v>9806</v>
      </c>
      <c r="G76" s="497" t="s">
        <v>9807</v>
      </c>
      <c r="H76" s="500" t="s">
        <v>2014</v>
      </c>
    </row>
    <row r="77" customFormat="false" ht="21" hidden="false" customHeight="true" outlineLevel="0" collapsed="false">
      <c r="B77" s="500" t="s">
        <v>4743</v>
      </c>
      <c r="C77" s="500" t="s">
        <v>9663</v>
      </c>
      <c r="D77" s="500" t="s">
        <v>9808</v>
      </c>
      <c r="E77" s="501" t="s">
        <v>9809</v>
      </c>
      <c r="F77" s="501" t="s">
        <v>9810</v>
      </c>
      <c r="G77" s="497" t="s">
        <v>9811</v>
      </c>
      <c r="H77" s="500" t="s">
        <v>2014</v>
      </c>
    </row>
    <row r="78" customFormat="false" ht="12" hidden="false" customHeight="true" outlineLevel="0" collapsed="false">
      <c r="B78" s="500" t="s">
        <v>4743</v>
      </c>
      <c r="C78" s="500" t="s">
        <v>9663</v>
      </c>
      <c r="D78" s="500" t="s">
        <v>9812</v>
      </c>
      <c r="E78" s="501" t="s">
        <v>9813</v>
      </c>
      <c r="F78" s="501" t="s">
        <v>9814</v>
      </c>
      <c r="G78" s="497" t="s">
        <v>9426</v>
      </c>
      <c r="H78" s="500" t="s">
        <v>2014</v>
      </c>
    </row>
    <row r="79" customFormat="false" ht="21" hidden="false" customHeight="true" outlineLevel="0" collapsed="false">
      <c r="B79" s="500" t="s">
        <v>4743</v>
      </c>
      <c r="C79" s="500" t="s">
        <v>9397</v>
      </c>
      <c r="D79" s="500" t="s">
        <v>9815</v>
      </c>
      <c r="E79" s="501" t="s">
        <v>9816</v>
      </c>
      <c r="F79" s="501" t="s">
        <v>9817</v>
      </c>
      <c r="G79" s="497" t="s">
        <v>9427</v>
      </c>
      <c r="H79" s="500" t="s">
        <v>2014</v>
      </c>
    </row>
    <row r="80" customFormat="false" ht="21" hidden="false" customHeight="true" outlineLevel="0" collapsed="false">
      <c r="B80" s="500" t="s">
        <v>4743</v>
      </c>
      <c r="C80" s="500" t="s">
        <v>9746</v>
      </c>
      <c r="D80" s="500" t="s">
        <v>9746</v>
      </c>
      <c r="E80" s="501" t="s">
        <v>9818</v>
      </c>
      <c r="F80" s="501" t="s">
        <v>9819</v>
      </c>
      <c r="G80" s="497" t="s">
        <v>9820</v>
      </c>
      <c r="H80" s="500" t="s">
        <v>2014</v>
      </c>
    </row>
    <row r="81" customFormat="false" ht="12" hidden="false" customHeight="true" outlineLevel="0" collapsed="false">
      <c r="B81" s="500" t="s">
        <v>4743</v>
      </c>
      <c r="C81" s="500" t="s">
        <v>9348</v>
      </c>
      <c r="D81" s="500" t="s">
        <v>9821</v>
      </c>
      <c r="E81" s="501" t="s">
        <v>9822</v>
      </c>
      <c r="F81" s="501" t="s">
        <v>9823</v>
      </c>
      <c r="G81" s="497" t="s">
        <v>9428</v>
      </c>
      <c r="H81" s="500" t="s">
        <v>9577</v>
      </c>
    </row>
    <row r="82" customFormat="false" ht="12" hidden="false" customHeight="true" outlineLevel="0" collapsed="false">
      <c r="B82" s="500" t="s">
        <v>4516</v>
      </c>
      <c r="C82" s="500" t="s">
        <v>9678</v>
      </c>
      <c r="D82" s="500" t="s">
        <v>9824</v>
      </c>
      <c r="E82" s="501" t="s">
        <v>9825</v>
      </c>
      <c r="F82" s="501" t="s">
        <v>9826</v>
      </c>
      <c r="G82" s="497" t="s">
        <v>9431</v>
      </c>
      <c r="H82" s="500" t="s">
        <v>9682</v>
      </c>
    </row>
    <row r="83" customFormat="false" ht="12" hidden="false" customHeight="true" outlineLevel="0" collapsed="false">
      <c r="B83" s="500" t="s">
        <v>4516</v>
      </c>
      <c r="C83" s="500" t="s">
        <v>49</v>
      </c>
      <c r="D83" s="500" t="s">
        <v>9827</v>
      </c>
      <c r="E83" s="501" t="s">
        <v>9828</v>
      </c>
      <c r="F83" s="501" t="s">
        <v>9829</v>
      </c>
      <c r="G83" s="497" t="s">
        <v>9432</v>
      </c>
      <c r="H83" s="500" t="s">
        <v>9531</v>
      </c>
    </row>
    <row r="84" customFormat="false" ht="12" hidden="false" customHeight="true" outlineLevel="0" collapsed="false">
      <c r="B84" s="500" t="s">
        <v>4516</v>
      </c>
      <c r="C84" s="500" t="s">
        <v>9393</v>
      </c>
      <c r="D84" s="500" t="s">
        <v>9830</v>
      </c>
      <c r="E84" s="501" t="s">
        <v>9831</v>
      </c>
      <c r="F84" s="501" t="s">
        <v>9832</v>
      </c>
      <c r="G84" s="497" t="s">
        <v>9434</v>
      </c>
      <c r="H84" s="500" t="s">
        <v>9531</v>
      </c>
    </row>
    <row r="85" customFormat="false" ht="21" hidden="false" customHeight="true" outlineLevel="0" collapsed="false">
      <c r="B85" s="500" t="s">
        <v>4516</v>
      </c>
      <c r="C85" s="500" t="s">
        <v>9393</v>
      </c>
      <c r="D85" s="500" t="s">
        <v>9833</v>
      </c>
      <c r="E85" s="501" t="s">
        <v>9834</v>
      </c>
      <c r="F85" s="501" t="s">
        <v>9835</v>
      </c>
      <c r="G85" s="497" t="s">
        <v>9836</v>
      </c>
      <c r="H85" s="500" t="s">
        <v>2014</v>
      </c>
    </row>
    <row r="86" customFormat="false" ht="21" hidden="false" customHeight="true" outlineLevel="0" collapsed="false">
      <c r="B86" s="500" t="s">
        <v>4516</v>
      </c>
      <c r="C86" s="500" t="s">
        <v>9692</v>
      </c>
      <c r="D86" s="500" t="s">
        <v>9837</v>
      </c>
      <c r="E86" s="501" t="s">
        <v>9838</v>
      </c>
      <c r="F86" s="501" t="s">
        <v>9839</v>
      </c>
      <c r="G86" s="497" t="s">
        <v>9433</v>
      </c>
      <c r="H86" s="500" t="s">
        <v>9531</v>
      </c>
    </row>
    <row r="87" customFormat="false" ht="12" hidden="false" customHeight="true" outlineLevel="0" collapsed="false">
      <c r="B87" s="500" t="s">
        <v>4516</v>
      </c>
      <c r="C87" s="500" t="s">
        <v>9697</v>
      </c>
      <c r="D87" s="500" t="s">
        <v>9840</v>
      </c>
      <c r="E87" s="501" t="s">
        <v>9841</v>
      </c>
      <c r="F87" s="501" t="s">
        <v>9842</v>
      </c>
      <c r="G87" s="497" t="s">
        <v>9843</v>
      </c>
      <c r="H87" s="500" t="s">
        <v>2014</v>
      </c>
    </row>
    <row r="88" customFormat="false" ht="12" hidden="false" customHeight="true" outlineLevel="0" collapsed="false">
      <c r="B88" s="500" t="s">
        <v>4516</v>
      </c>
      <c r="C88" s="500" t="s">
        <v>9697</v>
      </c>
      <c r="D88" s="500" t="s">
        <v>9844</v>
      </c>
      <c r="E88" s="501" t="s">
        <v>9845</v>
      </c>
      <c r="F88" s="501" t="s">
        <v>9846</v>
      </c>
      <c r="G88" s="497" t="s">
        <v>9435</v>
      </c>
      <c r="H88" s="500" t="s">
        <v>2014</v>
      </c>
    </row>
    <row r="89" customFormat="false" ht="12" hidden="false" customHeight="true" outlineLevel="0" collapsed="false">
      <c r="B89" s="500" t="s">
        <v>4516</v>
      </c>
      <c r="C89" s="500" t="s">
        <v>9697</v>
      </c>
      <c r="D89" s="500" t="s">
        <v>9847</v>
      </c>
      <c r="E89" s="501" t="s">
        <v>9848</v>
      </c>
      <c r="F89" s="501" t="s">
        <v>9849</v>
      </c>
      <c r="G89" s="497" t="s">
        <v>9850</v>
      </c>
      <c r="H89" s="500" t="s">
        <v>2014</v>
      </c>
    </row>
    <row r="90" customFormat="false" ht="12" hidden="false" customHeight="true" outlineLevel="0" collapsed="false">
      <c r="B90" s="500" t="s">
        <v>4516</v>
      </c>
      <c r="C90" s="500" t="s">
        <v>9344</v>
      </c>
      <c r="D90" s="500" t="s">
        <v>9851</v>
      </c>
      <c r="E90" s="501" t="s">
        <v>9852</v>
      </c>
      <c r="F90" s="501" t="s">
        <v>9853</v>
      </c>
      <c r="G90" s="497" t="s">
        <v>9854</v>
      </c>
      <c r="H90" s="500" t="s">
        <v>2014</v>
      </c>
    </row>
    <row r="91" customFormat="false" ht="12" hidden="false" customHeight="true" outlineLevel="0" collapsed="false">
      <c r="B91" s="500" t="s">
        <v>4516</v>
      </c>
      <c r="C91" s="500" t="s">
        <v>9344</v>
      </c>
      <c r="D91" s="500" t="s">
        <v>9855</v>
      </c>
      <c r="E91" s="501" t="s">
        <v>9856</v>
      </c>
      <c r="F91" s="501" t="s">
        <v>9857</v>
      </c>
      <c r="G91" s="497" t="s">
        <v>9436</v>
      </c>
      <c r="H91" s="500" t="s">
        <v>9531</v>
      </c>
    </row>
    <row r="92" customFormat="false" ht="12" hidden="false" customHeight="true" outlineLevel="0" collapsed="false">
      <c r="B92" s="500" t="s">
        <v>4516</v>
      </c>
      <c r="C92" s="500" t="s">
        <v>9344</v>
      </c>
      <c r="D92" s="500" t="s">
        <v>9858</v>
      </c>
      <c r="E92" s="501" t="s">
        <v>9859</v>
      </c>
      <c r="F92" s="501" t="s">
        <v>9860</v>
      </c>
      <c r="G92" s="497" t="s">
        <v>9861</v>
      </c>
      <c r="H92" s="500" t="s">
        <v>2014</v>
      </c>
    </row>
    <row r="93" customFormat="false" ht="12" hidden="false" customHeight="true" outlineLevel="0" collapsed="false">
      <c r="B93" s="500" t="s">
        <v>4516</v>
      </c>
      <c r="C93" s="500" t="s">
        <v>9621</v>
      </c>
      <c r="D93" s="500" t="s">
        <v>9862</v>
      </c>
      <c r="E93" s="501" t="s">
        <v>9863</v>
      </c>
      <c r="F93" s="501" t="s">
        <v>9864</v>
      </c>
      <c r="G93" s="497" t="s">
        <v>9437</v>
      </c>
      <c r="H93" s="500" t="s">
        <v>2014</v>
      </c>
    </row>
    <row r="94" customFormat="false" ht="12" hidden="false" customHeight="true" outlineLevel="0" collapsed="false">
      <c r="B94" s="500" t="s">
        <v>4516</v>
      </c>
      <c r="C94" s="500" t="s">
        <v>9663</v>
      </c>
      <c r="D94" s="500" t="s">
        <v>9808</v>
      </c>
      <c r="E94" s="501" t="s">
        <v>9865</v>
      </c>
      <c r="F94" s="501" t="s">
        <v>9866</v>
      </c>
      <c r="G94" s="497" t="s">
        <v>9867</v>
      </c>
      <c r="H94" s="500" t="s">
        <v>2014</v>
      </c>
    </row>
    <row r="95" customFormat="false" ht="12" hidden="false" customHeight="true" outlineLevel="0" collapsed="false">
      <c r="B95" s="500" t="s">
        <v>4516</v>
      </c>
      <c r="C95" s="500" t="s">
        <v>9663</v>
      </c>
      <c r="D95" s="500" t="s">
        <v>9868</v>
      </c>
      <c r="E95" s="501" t="s">
        <v>9869</v>
      </c>
      <c r="F95" s="501" t="s">
        <v>9870</v>
      </c>
      <c r="G95" s="497" t="s">
        <v>9438</v>
      </c>
      <c r="H95" s="500" t="s">
        <v>2014</v>
      </c>
    </row>
    <row r="96" customFormat="false" ht="12" hidden="false" customHeight="true" outlineLevel="0" collapsed="false">
      <c r="B96" s="500" t="s">
        <v>4516</v>
      </c>
      <c r="C96" s="500" t="s">
        <v>9746</v>
      </c>
      <c r="D96" s="500" t="s">
        <v>9746</v>
      </c>
      <c r="E96" s="501" t="s">
        <v>9871</v>
      </c>
      <c r="F96" s="501" t="s">
        <v>9872</v>
      </c>
      <c r="G96" s="497" t="s">
        <v>9439</v>
      </c>
      <c r="H96" s="500" t="s">
        <v>2014</v>
      </c>
    </row>
    <row r="97" customFormat="false" ht="21" hidden="false" customHeight="true" outlineLevel="0" collapsed="false">
      <c r="B97" s="500" t="s">
        <v>4516</v>
      </c>
      <c r="C97" s="500" t="s">
        <v>9348</v>
      </c>
      <c r="D97" s="500" t="s">
        <v>9873</v>
      </c>
      <c r="E97" s="501" t="s">
        <v>9874</v>
      </c>
      <c r="F97" s="501" t="s">
        <v>9875</v>
      </c>
      <c r="G97" s="497" t="s">
        <v>9440</v>
      </c>
      <c r="H97" s="500" t="s">
        <v>2014</v>
      </c>
    </row>
    <row r="98" customFormat="false" ht="12" hidden="false" customHeight="true" outlineLevel="0" collapsed="false">
      <c r="B98" s="500" t="s">
        <v>1929</v>
      </c>
      <c r="C98" s="500" t="s">
        <v>9678</v>
      </c>
      <c r="D98" s="500" t="s">
        <v>9876</v>
      </c>
      <c r="E98" s="501" t="s">
        <v>9752</v>
      </c>
      <c r="F98" s="501" t="s">
        <v>9877</v>
      </c>
      <c r="G98" s="497" t="s">
        <v>9442</v>
      </c>
      <c r="H98" s="500" t="s">
        <v>9682</v>
      </c>
    </row>
    <row r="99" customFormat="false" ht="21" hidden="false" customHeight="true" outlineLevel="0" collapsed="false">
      <c r="B99" s="500" t="s">
        <v>1929</v>
      </c>
      <c r="C99" s="500" t="s">
        <v>9683</v>
      </c>
      <c r="D99" s="500" t="s">
        <v>9552</v>
      </c>
      <c r="E99" s="501" t="s">
        <v>9878</v>
      </c>
      <c r="F99" s="501" t="s">
        <v>9879</v>
      </c>
      <c r="G99" s="497" t="s">
        <v>9443</v>
      </c>
      <c r="H99" s="500" t="s">
        <v>9531</v>
      </c>
    </row>
    <row r="100" customFormat="false" ht="12" hidden="false" customHeight="true" outlineLevel="0" collapsed="false">
      <c r="B100" s="500" t="s">
        <v>1929</v>
      </c>
      <c r="C100" s="500" t="s">
        <v>9880</v>
      </c>
      <c r="D100" s="500" t="s">
        <v>9881</v>
      </c>
      <c r="E100" s="501" t="s">
        <v>9882</v>
      </c>
      <c r="F100" s="501" t="s">
        <v>9883</v>
      </c>
      <c r="G100" s="497" t="s">
        <v>9445</v>
      </c>
      <c r="H100" s="500" t="s">
        <v>9531</v>
      </c>
    </row>
    <row r="101" customFormat="false" ht="21" hidden="false" customHeight="true" outlineLevel="0" collapsed="false">
      <c r="B101" s="500" t="s">
        <v>1929</v>
      </c>
      <c r="C101" s="500" t="s">
        <v>9692</v>
      </c>
      <c r="D101" s="500" t="s">
        <v>9884</v>
      </c>
      <c r="E101" s="501" t="s">
        <v>9885</v>
      </c>
      <c r="F101" s="501" t="s">
        <v>9886</v>
      </c>
      <c r="G101" s="497" t="s">
        <v>9444</v>
      </c>
      <c r="H101" s="500" t="s">
        <v>9531</v>
      </c>
    </row>
    <row r="102" customFormat="false" ht="12" hidden="false" customHeight="true" outlineLevel="0" collapsed="false">
      <c r="B102" s="500" t="s">
        <v>1929</v>
      </c>
      <c r="C102" s="500" t="s">
        <v>9697</v>
      </c>
      <c r="D102" s="500" t="s">
        <v>9887</v>
      </c>
      <c r="E102" s="501" t="s">
        <v>9888</v>
      </c>
      <c r="F102" s="501" t="s">
        <v>9889</v>
      </c>
      <c r="G102" s="497" t="s">
        <v>9890</v>
      </c>
      <c r="H102" s="500" t="s">
        <v>2014</v>
      </c>
    </row>
    <row r="103" customFormat="false" ht="12" hidden="false" customHeight="true" outlineLevel="0" collapsed="false">
      <c r="B103" s="500" t="s">
        <v>1929</v>
      </c>
      <c r="C103" s="500" t="s">
        <v>9697</v>
      </c>
      <c r="D103" s="500" t="s">
        <v>9891</v>
      </c>
      <c r="E103" s="501" t="s">
        <v>9892</v>
      </c>
      <c r="F103" s="501" t="s">
        <v>9893</v>
      </c>
      <c r="G103" s="497" t="s">
        <v>9446</v>
      </c>
      <c r="H103" s="500" t="s">
        <v>9531</v>
      </c>
    </row>
    <row r="104" customFormat="false" ht="21" hidden="false" customHeight="true" outlineLevel="0" collapsed="false">
      <c r="B104" s="500" t="s">
        <v>1929</v>
      </c>
      <c r="C104" s="500" t="s">
        <v>9697</v>
      </c>
      <c r="D104" s="500" t="s">
        <v>9894</v>
      </c>
      <c r="E104" s="501" t="s">
        <v>9895</v>
      </c>
      <c r="F104" s="501" t="s">
        <v>9896</v>
      </c>
      <c r="G104" s="497" t="s">
        <v>9897</v>
      </c>
      <c r="H104" s="500" t="s">
        <v>2014</v>
      </c>
    </row>
    <row r="105" customFormat="false" ht="12" hidden="false" customHeight="true" outlineLevel="0" collapsed="false">
      <c r="B105" s="500" t="s">
        <v>1929</v>
      </c>
      <c r="C105" s="500" t="s">
        <v>9344</v>
      </c>
      <c r="D105" s="500" t="s">
        <v>9898</v>
      </c>
      <c r="E105" s="501" t="s">
        <v>9899</v>
      </c>
      <c r="F105" s="501" t="s">
        <v>9900</v>
      </c>
      <c r="G105" s="497" t="s">
        <v>9447</v>
      </c>
      <c r="H105" s="500" t="s">
        <v>9531</v>
      </c>
    </row>
    <row r="106" customFormat="false" ht="12" hidden="false" customHeight="true" outlineLevel="0" collapsed="false">
      <c r="B106" s="500" t="s">
        <v>1929</v>
      </c>
      <c r="C106" s="500" t="s">
        <v>9648</v>
      </c>
      <c r="D106" s="500" t="s">
        <v>9648</v>
      </c>
      <c r="E106" s="501" t="s">
        <v>9901</v>
      </c>
      <c r="F106" s="501" t="s">
        <v>9902</v>
      </c>
      <c r="G106" s="497" t="s">
        <v>9903</v>
      </c>
      <c r="H106" s="500" t="s">
        <v>2014</v>
      </c>
    </row>
    <row r="107" customFormat="false" ht="12" hidden="false" customHeight="true" outlineLevel="0" collapsed="false">
      <c r="B107" s="500" t="s">
        <v>1929</v>
      </c>
      <c r="C107" s="500" t="s">
        <v>9621</v>
      </c>
      <c r="D107" s="500" t="s">
        <v>9625</v>
      </c>
      <c r="E107" s="501" t="s">
        <v>9904</v>
      </c>
      <c r="F107" s="501" t="s">
        <v>9905</v>
      </c>
      <c r="G107" s="497" t="s">
        <v>9448</v>
      </c>
      <c r="H107" s="500" t="s">
        <v>2014</v>
      </c>
    </row>
    <row r="108" customFormat="false" ht="12" hidden="false" customHeight="true" outlineLevel="0" collapsed="false">
      <c r="B108" s="500" t="s">
        <v>1929</v>
      </c>
      <c r="C108" s="500" t="s">
        <v>9663</v>
      </c>
      <c r="D108" s="500" t="s">
        <v>9733</v>
      </c>
      <c r="E108" s="501" t="s">
        <v>9906</v>
      </c>
      <c r="F108" s="501" t="s">
        <v>9810</v>
      </c>
      <c r="G108" s="497" t="s">
        <v>9907</v>
      </c>
      <c r="H108" s="500" t="s">
        <v>2014</v>
      </c>
    </row>
    <row r="109" customFormat="false" ht="12" hidden="false" customHeight="true" outlineLevel="0" collapsed="false">
      <c r="B109" s="500" t="s">
        <v>1929</v>
      </c>
      <c r="C109" s="500" t="s">
        <v>9663</v>
      </c>
      <c r="D109" s="500" t="s">
        <v>9737</v>
      </c>
      <c r="E109" s="501" t="s">
        <v>9908</v>
      </c>
      <c r="F109" s="501" t="s">
        <v>9909</v>
      </c>
      <c r="G109" s="497" t="s">
        <v>9449</v>
      </c>
      <c r="H109" s="500" t="s">
        <v>2014</v>
      </c>
    </row>
    <row r="110" customFormat="false" ht="12" hidden="false" customHeight="true" outlineLevel="0" collapsed="false">
      <c r="B110" s="500" t="s">
        <v>1929</v>
      </c>
      <c r="C110" s="500" t="s">
        <v>9397</v>
      </c>
      <c r="D110" s="500" t="s">
        <v>9910</v>
      </c>
      <c r="E110" s="501" t="s">
        <v>9911</v>
      </c>
      <c r="F110" s="501" t="s">
        <v>9912</v>
      </c>
      <c r="G110" s="497" t="s">
        <v>9450</v>
      </c>
      <c r="H110" s="500" t="s">
        <v>2014</v>
      </c>
    </row>
    <row r="111" customFormat="false" ht="12" hidden="false" customHeight="true" outlineLevel="0" collapsed="false">
      <c r="B111" s="500" t="s">
        <v>1929</v>
      </c>
      <c r="C111" s="500" t="s">
        <v>9348</v>
      </c>
      <c r="D111" s="500" t="s">
        <v>9913</v>
      </c>
      <c r="E111" s="501" t="s">
        <v>9822</v>
      </c>
      <c r="F111" s="501" t="s">
        <v>9914</v>
      </c>
      <c r="G111" s="497" t="s">
        <v>9451</v>
      </c>
      <c r="H111" s="500" t="s">
        <v>9577</v>
      </c>
    </row>
    <row r="112" customFormat="false" ht="12" hidden="false" customHeight="true" outlineLevel="0" collapsed="false">
      <c r="B112" s="500" t="s">
        <v>1929</v>
      </c>
      <c r="C112" s="500" t="s">
        <v>9915</v>
      </c>
      <c r="D112" s="500" t="s">
        <v>9916</v>
      </c>
      <c r="E112" s="501" t="s">
        <v>9917</v>
      </c>
      <c r="F112" s="501" t="s">
        <v>9918</v>
      </c>
      <c r="G112" s="497" t="s">
        <v>9919</v>
      </c>
      <c r="H112" s="500" t="s">
        <v>9577</v>
      </c>
    </row>
    <row r="113" customFormat="false" ht="12" hidden="false" customHeight="true" outlineLevel="0" collapsed="false">
      <c r="B113" s="500" t="s">
        <v>4420</v>
      </c>
      <c r="C113" s="500" t="s">
        <v>9678</v>
      </c>
      <c r="D113" s="500" t="s">
        <v>4420</v>
      </c>
      <c r="E113" s="501" t="s">
        <v>9752</v>
      </c>
      <c r="F113" s="501" t="s">
        <v>9753</v>
      </c>
      <c r="G113" s="497" t="s">
        <v>9453</v>
      </c>
      <c r="H113" s="500" t="s">
        <v>9682</v>
      </c>
    </row>
    <row r="114" customFormat="false" ht="21" hidden="false" customHeight="true" outlineLevel="0" collapsed="false">
      <c r="B114" s="500" t="s">
        <v>4420</v>
      </c>
      <c r="C114" s="500" t="s">
        <v>9683</v>
      </c>
      <c r="D114" s="500" t="s">
        <v>9920</v>
      </c>
      <c r="E114" s="501" t="s">
        <v>9921</v>
      </c>
      <c r="F114" s="501" t="s">
        <v>9922</v>
      </c>
      <c r="G114" s="497" t="s">
        <v>9454</v>
      </c>
      <c r="H114" s="500" t="s">
        <v>9531</v>
      </c>
    </row>
    <row r="115" customFormat="false" ht="21" hidden="false" customHeight="true" outlineLevel="0" collapsed="false">
      <c r="B115" s="500" t="s">
        <v>4420</v>
      </c>
      <c r="C115" s="500" t="s">
        <v>9692</v>
      </c>
      <c r="D115" s="500" t="s">
        <v>9693</v>
      </c>
      <c r="E115" s="501" t="s">
        <v>9923</v>
      </c>
      <c r="F115" s="501" t="s">
        <v>9924</v>
      </c>
      <c r="G115" s="497" t="s">
        <v>9455</v>
      </c>
      <c r="H115" s="500" t="s">
        <v>9531</v>
      </c>
    </row>
    <row r="116" customFormat="false" ht="21" hidden="false" customHeight="true" outlineLevel="0" collapsed="false">
      <c r="B116" s="500" t="s">
        <v>4420</v>
      </c>
      <c r="C116" s="500" t="s">
        <v>9692</v>
      </c>
      <c r="D116" s="500" t="s">
        <v>9925</v>
      </c>
      <c r="E116" s="501" t="s">
        <v>9926</v>
      </c>
      <c r="F116" s="501" t="s">
        <v>9927</v>
      </c>
      <c r="G116" s="497" t="s">
        <v>9928</v>
      </c>
      <c r="H116" s="500" t="s">
        <v>2014</v>
      </c>
    </row>
    <row r="117" customFormat="false" ht="12" hidden="false" customHeight="true" outlineLevel="0" collapsed="false">
      <c r="B117" s="500" t="s">
        <v>4420</v>
      </c>
      <c r="C117" s="500" t="s">
        <v>9929</v>
      </c>
      <c r="D117" s="500" t="s">
        <v>9930</v>
      </c>
      <c r="E117" s="501" t="s">
        <v>9931</v>
      </c>
      <c r="F117" s="501" t="s">
        <v>9932</v>
      </c>
      <c r="G117" s="497" t="s">
        <v>9933</v>
      </c>
      <c r="H117" s="500" t="s">
        <v>9531</v>
      </c>
    </row>
    <row r="118" customFormat="false" ht="21" hidden="false" customHeight="true" outlineLevel="0" collapsed="false">
      <c r="B118" s="500" t="s">
        <v>4420</v>
      </c>
      <c r="C118" s="500" t="s">
        <v>9393</v>
      </c>
      <c r="D118" s="500" t="s">
        <v>9934</v>
      </c>
      <c r="E118" s="501" t="s">
        <v>9935</v>
      </c>
      <c r="F118" s="501" t="s">
        <v>9936</v>
      </c>
      <c r="G118" s="497" t="s">
        <v>9456</v>
      </c>
      <c r="H118" s="500" t="s">
        <v>2014</v>
      </c>
    </row>
    <row r="119" customFormat="false" ht="12" hidden="false" customHeight="true" outlineLevel="0" collapsed="false">
      <c r="B119" s="500" t="s">
        <v>4420</v>
      </c>
      <c r="C119" s="500" t="s">
        <v>9697</v>
      </c>
      <c r="D119" s="500" t="s">
        <v>9937</v>
      </c>
      <c r="E119" s="501" t="s">
        <v>9938</v>
      </c>
      <c r="F119" s="501" t="s">
        <v>9939</v>
      </c>
      <c r="G119" s="497" t="s">
        <v>9940</v>
      </c>
      <c r="H119" s="500" t="s">
        <v>2014</v>
      </c>
    </row>
    <row r="120" customFormat="false" ht="12" hidden="false" customHeight="true" outlineLevel="0" collapsed="false">
      <c r="B120" s="500" t="s">
        <v>4420</v>
      </c>
      <c r="C120" s="500" t="s">
        <v>9697</v>
      </c>
      <c r="D120" s="500" t="s">
        <v>9941</v>
      </c>
      <c r="E120" s="501" t="s">
        <v>9942</v>
      </c>
      <c r="F120" s="501" t="s">
        <v>9943</v>
      </c>
      <c r="G120" s="497" t="s">
        <v>9944</v>
      </c>
      <c r="H120" s="500" t="s">
        <v>2014</v>
      </c>
    </row>
    <row r="121" customFormat="false" ht="12" hidden="false" customHeight="true" outlineLevel="0" collapsed="false">
      <c r="B121" s="500" t="s">
        <v>4420</v>
      </c>
      <c r="C121" s="500" t="s">
        <v>9697</v>
      </c>
      <c r="D121" s="500" t="s">
        <v>9945</v>
      </c>
      <c r="E121" s="501" t="s">
        <v>9946</v>
      </c>
      <c r="F121" s="501" t="s">
        <v>9947</v>
      </c>
      <c r="G121" s="497" t="s">
        <v>9457</v>
      </c>
      <c r="H121" s="500" t="s">
        <v>9531</v>
      </c>
    </row>
    <row r="122" customFormat="false" ht="12" hidden="false" customHeight="true" outlineLevel="0" collapsed="false">
      <c r="B122" s="500" t="s">
        <v>4420</v>
      </c>
      <c r="C122" s="500" t="s">
        <v>9344</v>
      </c>
      <c r="D122" s="500" t="s">
        <v>9948</v>
      </c>
      <c r="E122" s="501" t="s">
        <v>9949</v>
      </c>
      <c r="F122" s="501" t="s">
        <v>9950</v>
      </c>
      <c r="G122" s="497" t="s">
        <v>9458</v>
      </c>
      <c r="H122" s="500" t="s">
        <v>9531</v>
      </c>
    </row>
    <row r="123" customFormat="false" ht="12" hidden="false" customHeight="true" outlineLevel="0" collapsed="false">
      <c r="B123" s="500" t="s">
        <v>4420</v>
      </c>
      <c r="C123" s="500" t="s">
        <v>9803</v>
      </c>
      <c r="D123" s="500" t="s">
        <v>9951</v>
      </c>
      <c r="E123" s="501" t="s">
        <v>9952</v>
      </c>
      <c r="F123" s="501" t="s">
        <v>9718</v>
      </c>
      <c r="G123" s="497" t="s">
        <v>9953</v>
      </c>
      <c r="H123" s="500" t="s">
        <v>2014</v>
      </c>
    </row>
    <row r="124" customFormat="false" ht="12" hidden="false" customHeight="true" outlineLevel="0" collapsed="false">
      <c r="B124" s="500" t="s">
        <v>4420</v>
      </c>
      <c r="C124" s="500" t="s">
        <v>9621</v>
      </c>
      <c r="D124" s="500" t="s">
        <v>9790</v>
      </c>
      <c r="E124" s="501" t="s">
        <v>9954</v>
      </c>
      <c r="F124" s="501" t="s">
        <v>9955</v>
      </c>
      <c r="G124" s="497" t="s">
        <v>9459</v>
      </c>
      <c r="H124" s="500" t="s">
        <v>2014</v>
      </c>
    </row>
    <row r="125" customFormat="false" ht="12" hidden="false" customHeight="true" outlineLevel="0" collapsed="false">
      <c r="B125" s="500" t="s">
        <v>4420</v>
      </c>
      <c r="C125" s="500" t="s">
        <v>9663</v>
      </c>
      <c r="D125" s="500" t="s">
        <v>9733</v>
      </c>
      <c r="E125" s="501" t="s">
        <v>9956</v>
      </c>
      <c r="F125" s="501" t="s">
        <v>9866</v>
      </c>
      <c r="G125" s="497" t="s">
        <v>9957</v>
      </c>
      <c r="H125" s="500" t="s">
        <v>2014</v>
      </c>
    </row>
    <row r="126" customFormat="false" ht="12" hidden="false" customHeight="true" outlineLevel="0" collapsed="false">
      <c r="B126" s="500" t="s">
        <v>4420</v>
      </c>
      <c r="C126" s="500" t="s">
        <v>9663</v>
      </c>
      <c r="D126" s="500" t="s">
        <v>9958</v>
      </c>
      <c r="E126" s="501" t="s">
        <v>9959</v>
      </c>
      <c r="F126" s="501" t="s">
        <v>9960</v>
      </c>
      <c r="G126" s="497" t="s">
        <v>9460</v>
      </c>
      <c r="H126" s="500" t="s">
        <v>2014</v>
      </c>
    </row>
    <row r="127" customFormat="false" ht="21" hidden="false" customHeight="true" outlineLevel="0" collapsed="false">
      <c r="B127" s="500" t="s">
        <v>4420</v>
      </c>
      <c r="C127" s="500" t="s">
        <v>9397</v>
      </c>
      <c r="D127" s="500" t="s">
        <v>9961</v>
      </c>
      <c r="E127" s="501" t="s">
        <v>9962</v>
      </c>
      <c r="F127" s="501" t="s">
        <v>9963</v>
      </c>
      <c r="G127" s="497" t="s">
        <v>9461</v>
      </c>
      <c r="H127" s="500" t="s">
        <v>2014</v>
      </c>
    </row>
    <row r="128" customFormat="false" ht="12" hidden="false" customHeight="true" outlineLevel="0" collapsed="false">
      <c r="B128" s="500" t="s">
        <v>4420</v>
      </c>
      <c r="C128" s="500" t="s">
        <v>9348</v>
      </c>
      <c r="D128" s="500" t="s">
        <v>9964</v>
      </c>
      <c r="E128" s="501" t="s">
        <v>9822</v>
      </c>
      <c r="F128" s="501" t="s">
        <v>9965</v>
      </c>
      <c r="G128" s="497" t="s">
        <v>9462</v>
      </c>
      <c r="H128" s="500" t="s">
        <v>9577</v>
      </c>
    </row>
    <row r="129" customFormat="false" ht="12" hidden="false" customHeight="true" outlineLevel="0" collapsed="false">
      <c r="B129" s="500" t="s">
        <v>4440</v>
      </c>
      <c r="C129" s="500" t="s">
        <v>9678</v>
      </c>
      <c r="D129" s="500" t="s">
        <v>9966</v>
      </c>
      <c r="E129" s="501" t="s">
        <v>9752</v>
      </c>
      <c r="F129" s="501" t="s">
        <v>9877</v>
      </c>
      <c r="G129" s="497" t="s">
        <v>9464</v>
      </c>
      <c r="H129" s="500" t="s">
        <v>9682</v>
      </c>
    </row>
    <row r="130" customFormat="false" ht="12" hidden="false" customHeight="true" outlineLevel="0" collapsed="false">
      <c r="B130" s="500" t="s">
        <v>4440</v>
      </c>
      <c r="C130" s="500" t="s">
        <v>9683</v>
      </c>
      <c r="D130" s="500" t="s">
        <v>9967</v>
      </c>
      <c r="E130" s="501" t="s">
        <v>9968</v>
      </c>
      <c r="F130" s="501" t="s">
        <v>9969</v>
      </c>
      <c r="G130" s="497" t="s">
        <v>9465</v>
      </c>
      <c r="H130" s="500" t="s">
        <v>9531</v>
      </c>
    </row>
    <row r="131" customFormat="false" ht="12" hidden="false" customHeight="true" outlineLevel="0" collapsed="false">
      <c r="B131" s="500" t="s">
        <v>4440</v>
      </c>
      <c r="C131" s="500" t="s">
        <v>49</v>
      </c>
      <c r="D131" s="500" t="s">
        <v>9970</v>
      </c>
      <c r="E131" s="501" t="s">
        <v>9971</v>
      </c>
      <c r="F131" s="501" t="s">
        <v>9972</v>
      </c>
      <c r="G131" s="497" t="s">
        <v>9466</v>
      </c>
      <c r="H131" s="500" t="s">
        <v>9531</v>
      </c>
    </row>
    <row r="132" customFormat="false" ht="12" hidden="false" customHeight="true" outlineLevel="0" collapsed="false">
      <c r="B132" s="500" t="s">
        <v>4440</v>
      </c>
      <c r="C132" s="500" t="s">
        <v>9393</v>
      </c>
      <c r="D132" s="500" t="s">
        <v>9393</v>
      </c>
      <c r="E132" s="501" t="s">
        <v>9973</v>
      </c>
      <c r="F132" s="501" t="s">
        <v>9974</v>
      </c>
      <c r="G132" s="497" t="s">
        <v>9467</v>
      </c>
      <c r="H132" s="500" t="s">
        <v>9531</v>
      </c>
    </row>
    <row r="133" customFormat="false" ht="12" hidden="false" customHeight="true" outlineLevel="0" collapsed="false">
      <c r="B133" s="500" t="s">
        <v>4440</v>
      </c>
      <c r="C133" s="500" t="s">
        <v>9692</v>
      </c>
      <c r="D133" s="500" t="s">
        <v>9975</v>
      </c>
      <c r="E133" s="501" t="s">
        <v>9976</v>
      </c>
      <c r="F133" s="501" t="s">
        <v>9977</v>
      </c>
      <c r="G133" s="497" t="s">
        <v>9978</v>
      </c>
      <c r="H133" s="500" t="s">
        <v>2014</v>
      </c>
    </row>
    <row r="134" customFormat="false" ht="12" hidden="false" customHeight="true" outlineLevel="0" collapsed="false">
      <c r="B134" s="500" t="s">
        <v>4440</v>
      </c>
      <c r="C134" s="500" t="s">
        <v>9344</v>
      </c>
      <c r="D134" s="500" t="s">
        <v>9855</v>
      </c>
      <c r="E134" s="501" t="s">
        <v>9979</v>
      </c>
      <c r="F134" s="501" t="s">
        <v>9980</v>
      </c>
      <c r="G134" s="497" t="s">
        <v>9469</v>
      </c>
      <c r="H134" s="500" t="s">
        <v>9531</v>
      </c>
    </row>
    <row r="135" customFormat="false" ht="12" hidden="false" customHeight="true" outlineLevel="0" collapsed="false">
      <c r="B135" s="500" t="s">
        <v>4440</v>
      </c>
      <c r="C135" s="500" t="s">
        <v>9344</v>
      </c>
      <c r="D135" s="500" t="s">
        <v>9981</v>
      </c>
      <c r="E135" s="501" t="s">
        <v>9982</v>
      </c>
      <c r="F135" s="501" t="s">
        <v>9983</v>
      </c>
      <c r="G135" s="497" t="s">
        <v>9984</v>
      </c>
      <c r="H135" s="500" t="s">
        <v>2014</v>
      </c>
    </row>
    <row r="136" customFormat="false" ht="12" hidden="false" customHeight="true" outlineLevel="0" collapsed="false">
      <c r="B136" s="500" t="s">
        <v>4440</v>
      </c>
      <c r="C136" s="500" t="s">
        <v>9720</v>
      </c>
      <c r="D136" s="500" t="s">
        <v>9985</v>
      </c>
      <c r="E136" s="501" t="s">
        <v>9986</v>
      </c>
      <c r="F136" s="501" t="s">
        <v>9987</v>
      </c>
      <c r="G136" s="497" t="s">
        <v>9468</v>
      </c>
      <c r="H136" s="500" t="s">
        <v>2014</v>
      </c>
    </row>
    <row r="137" customFormat="false" ht="12" hidden="false" customHeight="true" outlineLevel="0" collapsed="false">
      <c r="B137" s="500" t="s">
        <v>4440</v>
      </c>
      <c r="C137" s="500" t="s">
        <v>9621</v>
      </c>
      <c r="D137" s="500" t="s">
        <v>9790</v>
      </c>
      <c r="E137" s="501" t="s">
        <v>9988</v>
      </c>
      <c r="F137" s="501" t="s">
        <v>9989</v>
      </c>
      <c r="G137" s="497" t="s">
        <v>9470</v>
      </c>
      <c r="H137" s="500" t="s">
        <v>2014</v>
      </c>
    </row>
    <row r="138" customFormat="false" ht="12" hidden="false" customHeight="true" outlineLevel="0" collapsed="false">
      <c r="B138" s="500" t="s">
        <v>4440</v>
      </c>
      <c r="C138" s="500" t="s">
        <v>9663</v>
      </c>
      <c r="D138" s="500" t="s">
        <v>9990</v>
      </c>
      <c r="E138" s="501" t="s">
        <v>9991</v>
      </c>
      <c r="F138" s="501" t="s">
        <v>9992</v>
      </c>
      <c r="G138" s="497" t="s">
        <v>9471</v>
      </c>
      <c r="H138" s="500" t="s">
        <v>2014</v>
      </c>
    </row>
    <row r="139" customFormat="false" ht="21" hidden="false" customHeight="true" outlineLevel="0" collapsed="false">
      <c r="B139" s="500" t="s">
        <v>4440</v>
      </c>
      <c r="C139" s="500" t="s">
        <v>9746</v>
      </c>
      <c r="D139" s="500" t="s">
        <v>9746</v>
      </c>
      <c r="E139" s="501" t="s">
        <v>9993</v>
      </c>
      <c r="F139" s="501" t="s">
        <v>9994</v>
      </c>
      <c r="G139" s="497" t="s">
        <v>9472</v>
      </c>
      <c r="H139" s="500" t="s">
        <v>2014</v>
      </c>
    </row>
    <row r="140" customFormat="false" ht="12" hidden="false" customHeight="true" outlineLevel="0" collapsed="false">
      <c r="B140" s="500" t="s">
        <v>4440</v>
      </c>
      <c r="C140" s="500" t="s">
        <v>9348</v>
      </c>
      <c r="D140" s="500" t="s">
        <v>9995</v>
      </c>
      <c r="E140" s="501" t="s">
        <v>9996</v>
      </c>
      <c r="F140" s="501" t="s">
        <v>9997</v>
      </c>
      <c r="G140" s="497" t="s">
        <v>9473</v>
      </c>
      <c r="H140" s="500" t="s">
        <v>9577</v>
      </c>
    </row>
    <row r="141" customFormat="false" ht="12" hidden="false" customHeight="true" outlineLevel="0" collapsed="false">
      <c r="B141" s="500" t="s">
        <v>4440</v>
      </c>
      <c r="C141" s="500" t="s">
        <v>9998</v>
      </c>
      <c r="D141" s="500" t="s">
        <v>9999</v>
      </c>
      <c r="E141" s="501" t="s">
        <v>10000</v>
      </c>
      <c r="F141" s="501" t="s">
        <v>10001</v>
      </c>
      <c r="G141" s="497" t="s">
        <v>10002</v>
      </c>
      <c r="H141" s="500" t="s">
        <v>9577</v>
      </c>
    </row>
    <row r="142" customFormat="false" ht="12" hidden="false" customHeight="true" outlineLevel="0" collapsed="false">
      <c r="B142" s="500" t="s">
        <v>9474</v>
      </c>
      <c r="C142" s="500" t="s">
        <v>9678</v>
      </c>
      <c r="D142" s="500" t="s">
        <v>10003</v>
      </c>
      <c r="E142" s="501" t="s">
        <v>9825</v>
      </c>
      <c r="F142" s="501" t="s">
        <v>9826</v>
      </c>
      <c r="G142" s="497" t="s">
        <v>9476</v>
      </c>
      <c r="H142" s="500" t="s">
        <v>9682</v>
      </c>
    </row>
    <row r="143" customFormat="false" ht="12" hidden="false" customHeight="true" outlineLevel="0" collapsed="false">
      <c r="B143" s="500" t="s">
        <v>9474</v>
      </c>
      <c r="C143" s="500" t="s">
        <v>9683</v>
      </c>
      <c r="D143" s="500" t="s">
        <v>10004</v>
      </c>
      <c r="E143" s="501" t="s">
        <v>10005</v>
      </c>
      <c r="F143" s="501" t="s">
        <v>10006</v>
      </c>
      <c r="G143" s="497" t="s">
        <v>9477</v>
      </c>
      <c r="H143" s="500" t="s">
        <v>9531</v>
      </c>
    </row>
    <row r="144" customFormat="false" ht="12" hidden="false" customHeight="true" outlineLevel="0" collapsed="false">
      <c r="B144" s="500" t="s">
        <v>9474</v>
      </c>
      <c r="C144" s="500" t="s">
        <v>10007</v>
      </c>
      <c r="D144" s="500" t="s">
        <v>10008</v>
      </c>
      <c r="E144" s="501" t="s">
        <v>10009</v>
      </c>
      <c r="F144" s="501" t="s">
        <v>10010</v>
      </c>
      <c r="G144" s="497" t="s">
        <v>10011</v>
      </c>
      <c r="H144" s="500" t="s">
        <v>2014</v>
      </c>
    </row>
    <row r="145" customFormat="false" ht="12" hidden="false" customHeight="true" outlineLevel="0" collapsed="false">
      <c r="B145" s="500" t="s">
        <v>9474</v>
      </c>
      <c r="C145" s="500" t="s">
        <v>49</v>
      </c>
      <c r="D145" s="500" t="s">
        <v>10012</v>
      </c>
      <c r="E145" s="501" t="s">
        <v>9828</v>
      </c>
      <c r="F145" s="501" t="s">
        <v>10013</v>
      </c>
      <c r="G145" s="497" t="s">
        <v>9478</v>
      </c>
      <c r="H145" s="500" t="s">
        <v>9531</v>
      </c>
    </row>
    <row r="146" customFormat="false" ht="12" hidden="false" customHeight="true" outlineLevel="0" collapsed="false">
      <c r="B146" s="500" t="s">
        <v>9474</v>
      </c>
      <c r="C146" s="500" t="s">
        <v>9393</v>
      </c>
      <c r="D146" s="500" t="s">
        <v>10014</v>
      </c>
      <c r="E146" s="501" t="s">
        <v>10015</v>
      </c>
      <c r="F146" s="501" t="s">
        <v>10016</v>
      </c>
      <c r="G146" s="497" t="s">
        <v>9479</v>
      </c>
      <c r="H146" s="500" t="s">
        <v>9531</v>
      </c>
    </row>
    <row r="147" customFormat="false" ht="12" hidden="false" customHeight="true" outlineLevel="0" collapsed="false">
      <c r="B147" s="500" t="s">
        <v>9474</v>
      </c>
      <c r="C147" s="500" t="s">
        <v>9393</v>
      </c>
      <c r="D147" s="500" t="s">
        <v>9934</v>
      </c>
      <c r="E147" s="501" t="s">
        <v>10017</v>
      </c>
      <c r="F147" s="501" t="s">
        <v>10018</v>
      </c>
      <c r="G147" s="497" t="s">
        <v>10019</v>
      </c>
      <c r="H147" s="500" t="s">
        <v>2014</v>
      </c>
    </row>
    <row r="148" customFormat="false" ht="12" hidden="false" customHeight="true" outlineLevel="0" collapsed="false">
      <c r="B148" s="500" t="s">
        <v>9474</v>
      </c>
      <c r="C148" s="500" t="s">
        <v>9697</v>
      </c>
      <c r="D148" s="500" t="s">
        <v>10020</v>
      </c>
      <c r="E148" s="501" t="s">
        <v>10021</v>
      </c>
      <c r="F148" s="501" t="s">
        <v>10022</v>
      </c>
      <c r="G148" s="497" t="s">
        <v>10023</v>
      </c>
      <c r="H148" s="500" t="s">
        <v>2014</v>
      </c>
    </row>
    <row r="149" customFormat="false" ht="12" hidden="false" customHeight="true" outlineLevel="0" collapsed="false">
      <c r="B149" s="500" t="s">
        <v>9474</v>
      </c>
      <c r="C149" s="500" t="s">
        <v>9697</v>
      </c>
      <c r="D149" s="500" t="s">
        <v>9894</v>
      </c>
      <c r="E149" s="501" t="s">
        <v>10024</v>
      </c>
      <c r="F149" s="501" t="s">
        <v>10025</v>
      </c>
      <c r="G149" s="497" t="s">
        <v>10026</v>
      </c>
      <c r="H149" s="500" t="s">
        <v>2014</v>
      </c>
    </row>
    <row r="150" customFormat="false" ht="12" hidden="false" customHeight="true" outlineLevel="0" collapsed="false">
      <c r="B150" s="500" t="s">
        <v>9474</v>
      </c>
      <c r="C150" s="500" t="s">
        <v>9697</v>
      </c>
      <c r="D150" s="500" t="s">
        <v>9844</v>
      </c>
      <c r="E150" s="501" t="s">
        <v>10027</v>
      </c>
      <c r="F150" s="501" t="s">
        <v>10028</v>
      </c>
      <c r="G150" s="497" t="s">
        <v>9480</v>
      </c>
      <c r="H150" s="500" t="s">
        <v>2014</v>
      </c>
    </row>
    <row r="151" customFormat="false" ht="12" hidden="false" customHeight="true" outlineLevel="0" collapsed="false">
      <c r="B151" s="500" t="s">
        <v>9474</v>
      </c>
      <c r="C151" s="500" t="s">
        <v>9344</v>
      </c>
      <c r="D151" s="500" t="s">
        <v>10029</v>
      </c>
      <c r="E151" s="501" t="s">
        <v>10030</v>
      </c>
      <c r="F151" s="501" t="s">
        <v>9857</v>
      </c>
      <c r="G151" s="497" t="s">
        <v>9481</v>
      </c>
      <c r="H151" s="500" t="s">
        <v>9531</v>
      </c>
    </row>
    <row r="152" customFormat="false" ht="21" hidden="false" customHeight="true" outlineLevel="0" collapsed="false">
      <c r="B152" s="500" t="s">
        <v>9474</v>
      </c>
      <c r="C152" s="500" t="s">
        <v>9621</v>
      </c>
      <c r="D152" s="500" t="s">
        <v>10031</v>
      </c>
      <c r="E152" s="501" t="s">
        <v>10032</v>
      </c>
      <c r="F152" s="501" t="s">
        <v>9792</v>
      </c>
      <c r="G152" s="497" t="s">
        <v>9482</v>
      </c>
      <c r="H152" s="500" t="s">
        <v>2014</v>
      </c>
    </row>
    <row r="153" customFormat="false" ht="12" hidden="false" customHeight="true" outlineLevel="0" collapsed="false">
      <c r="B153" s="500" t="s">
        <v>9474</v>
      </c>
      <c r="C153" s="500" t="s">
        <v>9621</v>
      </c>
      <c r="D153" s="500" t="s">
        <v>9621</v>
      </c>
      <c r="E153" s="501" t="s">
        <v>10033</v>
      </c>
      <c r="F153" s="501" t="s">
        <v>10034</v>
      </c>
      <c r="G153" s="497" t="s">
        <v>10035</v>
      </c>
      <c r="H153" s="500" t="s">
        <v>2014</v>
      </c>
    </row>
    <row r="154" customFormat="false" ht="12" hidden="false" customHeight="true" outlineLevel="0" collapsed="false">
      <c r="B154" s="500" t="s">
        <v>9474</v>
      </c>
      <c r="C154" s="500" t="s">
        <v>9692</v>
      </c>
      <c r="D154" s="500" t="s">
        <v>10036</v>
      </c>
      <c r="E154" s="501" t="s">
        <v>10037</v>
      </c>
      <c r="F154" s="501" t="s">
        <v>10038</v>
      </c>
      <c r="G154" s="497" t="s">
        <v>10039</v>
      </c>
      <c r="H154" s="500" t="s">
        <v>2014</v>
      </c>
    </row>
    <row r="155" customFormat="false" ht="12" hidden="false" customHeight="true" outlineLevel="0" collapsed="false">
      <c r="B155" s="500" t="s">
        <v>9474</v>
      </c>
      <c r="C155" s="500" t="s">
        <v>9663</v>
      </c>
      <c r="D155" s="500" t="s">
        <v>10040</v>
      </c>
      <c r="E155" s="501" t="s">
        <v>10041</v>
      </c>
      <c r="F155" s="501" t="s">
        <v>10042</v>
      </c>
      <c r="G155" s="497" t="s">
        <v>9483</v>
      </c>
      <c r="H155" s="500" t="s">
        <v>2014</v>
      </c>
    </row>
    <row r="156" customFormat="false" ht="12" hidden="false" customHeight="true" outlineLevel="0" collapsed="false">
      <c r="B156" s="500" t="s">
        <v>9474</v>
      </c>
      <c r="C156" s="500" t="s">
        <v>9397</v>
      </c>
      <c r="D156" s="500" t="s">
        <v>9397</v>
      </c>
      <c r="E156" s="501" t="s">
        <v>10043</v>
      </c>
      <c r="F156" s="501" t="s">
        <v>10044</v>
      </c>
      <c r="G156" s="497" t="s">
        <v>9484</v>
      </c>
      <c r="H156" s="500" t="s">
        <v>2014</v>
      </c>
    </row>
    <row r="157" customFormat="false" ht="12" hidden="false" customHeight="true" outlineLevel="0" collapsed="false">
      <c r="B157" s="500" t="s">
        <v>9474</v>
      </c>
      <c r="C157" s="500" t="s">
        <v>9348</v>
      </c>
      <c r="D157" s="500" t="s">
        <v>9873</v>
      </c>
      <c r="E157" s="501" t="s">
        <v>10045</v>
      </c>
      <c r="F157" s="501" t="s">
        <v>10046</v>
      </c>
      <c r="G157" s="497" t="s">
        <v>9485</v>
      </c>
      <c r="H157" s="500" t="s">
        <v>9577</v>
      </c>
    </row>
    <row r="158" customFormat="false" ht="12" hidden="false" customHeight="true" outlineLevel="0" collapsed="false">
      <c r="B158" s="500" t="s">
        <v>9474</v>
      </c>
      <c r="C158" s="500" t="s">
        <v>9915</v>
      </c>
      <c r="D158" s="500" t="s">
        <v>10047</v>
      </c>
      <c r="E158" s="501" t="s">
        <v>10048</v>
      </c>
      <c r="F158" s="501" t="s">
        <v>10049</v>
      </c>
      <c r="G158" s="497" t="s">
        <v>10050</v>
      </c>
      <c r="H158" s="500" t="s">
        <v>9577</v>
      </c>
    </row>
    <row r="159" customFormat="false" ht="12" hidden="false" customHeight="true" outlineLevel="0" collapsed="false">
      <c r="B159" s="500" t="s">
        <v>4325</v>
      </c>
      <c r="C159" s="500" t="s">
        <v>9678</v>
      </c>
      <c r="D159" s="500" t="s">
        <v>10051</v>
      </c>
      <c r="E159" s="501" t="s">
        <v>9752</v>
      </c>
      <c r="F159" s="501" t="s">
        <v>9877</v>
      </c>
      <c r="G159" s="497" t="s">
        <v>9487</v>
      </c>
      <c r="H159" s="500" t="s">
        <v>9682</v>
      </c>
    </row>
    <row r="160" customFormat="false" ht="21" hidden="false" customHeight="true" outlineLevel="0" collapsed="false">
      <c r="B160" s="500" t="s">
        <v>4325</v>
      </c>
      <c r="C160" s="500" t="s">
        <v>9393</v>
      </c>
      <c r="D160" s="500" t="s">
        <v>9612</v>
      </c>
      <c r="E160" s="501" t="s">
        <v>10052</v>
      </c>
      <c r="F160" s="501" t="s">
        <v>9936</v>
      </c>
      <c r="G160" s="497" t="s">
        <v>9490</v>
      </c>
      <c r="H160" s="500" t="s">
        <v>9531</v>
      </c>
    </row>
    <row r="161" customFormat="false" ht="12" hidden="false" customHeight="true" outlineLevel="0" collapsed="false">
      <c r="B161" s="500" t="s">
        <v>4325</v>
      </c>
      <c r="C161" s="500" t="s">
        <v>49</v>
      </c>
      <c r="D161" s="500" t="s">
        <v>10053</v>
      </c>
      <c r="E161" s="501" t="s">
        <v>10054</v>
      </c>
      <c r="F161" s="501" t="s">
        <v>10055</v>
      </c>
      <c r="G161" s="497" t="s">
        <v>10056</v>
      </c>
      <c r="H161" s="500" t="s">
        <v>9531</v>
      </c>
    </row>
    <row r="162" customFormat="false" ht="12" hidden="false" customHeight="true" outlineLevel="0" collapsed="false">
      <c r="B162" s="500" t="s">
        <v>4325</v>
      </c>
      <c r="C162" s="500" t="s">
        <v>10057</v>
      </c>
      <c r="D162" s="500" t="s">
        <v>10012</v>
      </c>
      <c r="E162" s="501" t="s">
        <v>10058</v>
      </c>
      <c r="F162" s="501" t="s">
        <v>10059</v>
      </c>
      <c r="G162" s="497" t="s">
        <v>10060</v>
      </c>
      <c r="H162" s="500" t="s">
        <v>9531</v>
      </c>
    </row>
    <row r="163" customFormat="false" ht="12" hidden="false" customHeight="true" outlineLevel="0" collapsed="false">
      <c r="B163" s="500" t="s">
        <v>4325</v>
      </c>
      <c r="C163" s="500" t="s">
        <v>9683</v>
      </c>
      <c r="D163" s="500" t="s">
        <v>10061</v>
      </c>
      <c r="E163" s="501" t="s">
        <v>10062</v>
      </c>
      <c r="F163" s="501" t="s">
        <v>10063</v>
      </c>
      <c r="G163" s="497" t="s">
        <v>9488</v>
      </c>
      <c r="H163" s="500" t="s">
        <v>9531</v>
      </c>
    </row>
    <row r="164" customFormat="false" ht="21" hidden="false" customHeight="true" outlineLevel="0" collapsed="false">
      <c r="B164" s="500" t="s">
        <v>4325</v>
      </c>
      <c r="C164" s="500" t="s">
        <v>9692</v>
      </c>
      <c r="D164" s="500" t="s">
        <v>9771</v>
      </c>
      <c r="E164" s="501" t="s">
        <v>10064</v>
      </c>
      <c r="F164" s="501" t="s">
        <v>10065</v>
      </c>
      <c r="G164" s="497" t="s">
        <v>9489</v>
      </c>
      <c r="H164" s="500" t="s">
        <v>9531</v>
      </c>
    </row>
    <row r="165" customFormat="false" ht="12" hidden="false" customHeight="true" outlineLevel="0" collapsed="false">
      <c r="B165" s="500" t="s">
        <v>4325</v>
      </c>
      <c r="C165" s="500" t="s">
        <v>9697</v>
      </c>
      <c r="D165" s="500" t="s">
        <v>10020</v>
      </c>
      <c r="E165" s="501" t="s">
        <v>10066</v>
      </c>
      <c r="F165" s="501" t="s">
        <v>10067</v>
      </c>
      <c r="G165" s="497" t="s">
        <v>10068</v>
      </c>
      <c r="H165" s="500" t="s">
        <v>2014</v>
      </c>
    </row>
    <row r="166" customFormat="false" ht="12" hidden="false" customHeight="true" outlineLevel="0" collapsed="false">
      <c r="B166" s="500" t="s">
        <v>4325</v>
      </c>
      <c r="C166" s="500" t="s">
        <v>9697</v>
      </c>
      <c r="D166" s="500" t="s">
        <v>9701</v>
      </c>
      <c r="E166" s="501" t="s">
        <v>10069</v>
      </c>
      <c r="F166" s="501" t="s">
        <v>10070</v>
      </c>
      <c r="G166" s="497" t="s">
        <v>10071</v>
      </c>
      <c r="H166" s="500" t="s">
        <v>2014</v>
      </c>
    </row>
    <row r="167" customFormat="false" ht="12" hidden="false" customHeight="true" outlineLevel="0" collapsed="false">
      <c r="B167" s="500" t="s">
        <v>4325</v>
      </c>
      <c r="C167" s="500" t="s">
        <v>9697</v>
      </c>
      <c r="D167" s="500" t="s">
        <v>10072</v>
      </c>
      <c r="E167" s="501" t="s">
        <v>10073</v>
      </c>
      <c r="F167" s="501" t="s">
        <v>10074</v>
      </c>
      <c r="G167" s="497" t="s">
        <v>9491</v>
      </c>
      <c r="H167" s="500" t="s">
        <v>2014</v>
      </c>
    </row>
    <row r="168" customFormat="false" ht="12" hidden="false" customHeight="true" outlineLevel="0" collapsed="false">
      <c r="B168" s="500" t="s">
        <v>4325</v>
      </c>
      <c r="C168" s="500" t="s">
        <v>9344</v>
      </c>
      <c r="D168" s="500" t="s">
        <v>10075</v>
      </c>
      <c r="E168" s="501" t="s">
        <v>10076</v>
      </c>
      <c r="F168" s="501" t="s">
        <v>10077</v>
      </c>
      <c r="G168" s="497" t="s">
        <v>10078</v>
      </c>
      <c r="H168" s="500" t="s">
        <v>2014</v>
      </c>
    </row>
    <row r="169" customFormat="false" ht="12" hidden="false" customHeight="true" outlineLevel="0" collapsed="false">
      <c r="B169" s="500" t="s">
        <v>4325</v>
      </c>
      <c r="C169" s="500" t="s">
        <v>9344</v>
      </c>
      <c r="D169" s="500" t="s">
        <v>10079</v>
      </c>
      <c r="E169" s="501" t="s">
        <v>10080</v>
      </c>
      <c r="F169" s="501" t="s">
        <v>10081</v>
      </c>
      <c r="G169" s="497" t="s">
        <v>9492</v>
      </c>
      <c r="H169" s="500" t="s">
        <v>9531</v>
      </c>
    </row>
    <row r="170" customFormat="false" ht="12" hidden="false" customHeight="true" outlineLevel="0" collapsed="false">
      <c r="B170" s="500" t="s">
        <v>4325</v>
      </c>
      <c r="C170" s="500" t="s">
        <v>9621</v>
      </c>
      <c r="D170" s="500" t="s">
        <v>9790</v>
      </c>
      <c r="E170" s="501" t="s">
        <v>10082</v>
      </c>
      <c r="F170" s="501" t="s">
        <v>9955</v>
      </c>
      <c r="G170" s="497" t="s">
        <v>9493</v>
      </c>
      <c r="H170" s="500" t="s">
        <v>2014</v>
      </c>
    </row>
    <row r="171" customFormat="false" ht="12" hidden="false" customHeight="true" outlineLevel="0" collapsed="false">
      <c r="B171" s="500" t="s">
        <v>4325</v>
      </c>
      <c r="C171" s="500" t="s">
        <v>9728</v>
      </c>
      <c r="D171" s="500" t="s">
        <v>10083</v>
      </c>
      <c r="E171" s="501" t="s">
        <v>10084</v>
      </c>
      <c r="F171" s="501" t="s">
        <v>10085</v>
      </c>
      <c r="G171" s="497" t="s">
        <v>10086</v>
      </c>
      <c r="H171" s="500" t="s">
        <v>9577</v>
      </c>
    </row>
    <row r="172" customFormat="false" ht="12" hidden="false" customHeight="true" outlineLevel="0" collapsed="false">
      <c r="B172" s="500" t="s">
        <v>4325</v>
      </c>
      <c r="C172" s="500" t="s">
        <v>9663</v>
      </c>
      <c r="D172" s="500" t="s">
        <v>9733</v>
      </c>
      <c r="E172" s="501" t="s">
        <v>9906</v>
      </c>
      <c r="F172" s="501" t="s">
        <v>9810</v>
      </c>
      <c r="G172" s="497" t="s">
        <v>10087</v>
      </c>
      <c r="H172" s="500" t="s">
        <v>2014</v>
      </c>
    </row>
    <row r="173" customFormat="false" ht="21" hidden="false" customHeight="true" outlineLevel="0" collapsed="false">
      <c r="B173" s="500" t="s">
        <v>4325</v>
      </c>
      <c r="C173" s="500" t="s">
        <v>10088</v>
      </c>
      <c r="D173" s="500" t="s">
        <v>10089</v>
      </c>
      <c r="E173" s="501" t="s">
        <v>10090</v>
      </c>
      <c r="F173" s="501" t="s">
        <v>10091</v>
      </c>
      <c r="G173" s="497" t="s">
        <v>9494</v>
      </c>
      <c r="H173" s="500" t="s">
        <v>2014</v>
      </c>
    </row>
    <row r="174" customFormat="false" ht="12" hidden="false" customHeight="true" outlineLevel="0" collapsed="false">
      <c r="B174" s="500" t="s">
        <v>4325</v>
      </c>
      <c r="C174" s="500" t="s">
        <v>9348</v>
      </c>
      <c r="D174" s="500" t="s">
        <v>10092</v>
      </c>
      <c r="E174" s="501" t="s">
        <v>9822</v>
      </c>
      <c r="F174" s="501" t="s">
        <v>10093</v>
      </c>
      <c r="G174" s="497" t="s">
        <v>9495</v>
      </c>
      <c r="H174" s="500" t="s">
        <v>9577</v>
      </c>
    </row>
    <row r="175" customFormat="false" ht="21" hidden="false" customHeight="true" outlineLevel="0" collapsed="false">
      <c r="B175" s="500" t="s">
        <v>4325</v>
      </c>
      <c r="C175" s="500" t="s">
        <v>9915</v>
      </c>
      <c r="D175" s="500" t="s">
        <v>10094</v>
      </c>
      <c r="E175" s="501" t="s">
        <v>10095</v>
      </c>
      <c r="F175" s="501" t="s">
        <v>10096</v>
      </c>
      <c r="G175" s="497" t="s">
        <v>10097</v>
      </c>
      <c r="H175" s="500" t="s">
        <v>9577</v>
      </c>
    </row>
    <row r="176" customFormat="false" ht="12" hidden="false" customHeight="true" outlineLevel="0" collapsed="false">
      <c r="B176" s="500" t="s">
        <v>4368</v>
      </c>
      <c r="C176" s="500" t="s">
        <v>9678</v>
      </c>
      <c r="D176" s="500" t="s">
        <v>10098</v>
      </c>
      <c r="E176" s="501" t="s">
        <v>9752</v>
      </c>
      <c r="F176" s="501" t="s">
        <v>9877</v>
      </c>
      <c r="G176" s="497" t="s">
        <v>9497</v>
      </c>
      <c r="H176" s="500" t="s">
        <v>9682</v>
      </c>
    </row>
    <row r="177" customFormat="false" ht="21" hidden="false" customHeight="true" outlineLevel="0" collapsed="false">
      <c r="B177" s="500" t="s">
        <v>4368</v>
      </c>
      <c r="C177" s="500" t="s">
        <v>9393</v>
      </c>
      <c r="D177" s="500" t="s">
        <v>10099</v>
      </c>
      <c r="E177" s="501" t="s">
        <v>10100</v>
      </c>
      <c r="F177" s="501" t="s">
        <v>10101</v>
      </c>
      <c r="G177" s="497" t="s">
        <v>9500</v>
      </c>
      <c r="H177" s="500" t="s">
        <v>9531</v>
      </c>
    </row>
    <row r="178" customFormat="false" ht="21" hidden="false" customHeight="true" outlineLevel="0" collapsed="false">
      <c r="B178" s="500" t="s">
        <v>4368</v>
      </c>
      <c r="C178" s="500" t="s">
        <v>49</v>
      </c>
      <c r="D178" s="500" t="s">
        <v>10102</v>
      </c>
      <c r="E178" s="501" t="s">
        <v>10103</v>
      </c>
      <c r="F178" s="501" t="s">
        <v>10104</v>
      </c>
      <c r="G178" s="497" t="s">
        <v>10105</v>
      </c>
      <c r="H178" s="500" t="s">
        <v>9531</v>
      </c>
    </row>
    <row r="179" customFormat="false" ht="12" hidden="false" customHeight="true" outlineLevel="0" collapsed="false">
      <c r="B179" s="500" t="s">
        <v>4368</v>
      </c>
      <c r="C179" s="500" t="s">
        <v>49</v>
      </c>
      <c r="D179" s="500" t="s">
        <v>10106</v>
      </c>
      <c r="E179" s="501" t="s">
        <v>10107</v>
      </c>
      <c r="F179" s="501" t="s">
        <v>10108</v>
      </c>
      <c r="G179" s="497" t="s">
        <v>9499</v>
      </c>
      <c r="H179" s="500" t="s">
        <v>9531</v>
      </c>
    </row>
    <row r="180" customFormat="false" ht="21" hidden="false" customHeight="true" outlineLevel="0" collapsed="false">
      <c r="B180" s="500" t="s">
        <v>4368</v>
      </c>
      <c r="C180" s="500" t="s">
        <v>9683</v>
      </c>
      <c r="D180" s="500" t="s">
        <v>10109</v>
      </c>
      <c r="E180" s="501" t="s">
        <v>10110</v>
      </c>
      <c r="F180" s="501" t="s">
        <v>10111</v>
      </c>
      <c r="G180" s="497" t="s">
        <v>9498</v>
      </c>
      <c r="H180" s="500" t="s">
        <v>9531</v>
      </c>
    </row>
    <row r="181" customFormat="false" ht="12" hidden="false" customHeight="true" outlineLevel="0" collapsed="false">
      <c r="B181" s="500" t="s">
        <v>4368</v>
      </c>
      <c r="C181" s="500" t="s">
        <v>9757</v>
      </c>
      <c r="D181" s="500" t="s">
        <v>10112</v>
      </c>
      <c r="E181" s="501" t="s">
        <v>10113</v>
      </c>
      <c r="F181" s="501" t="s">
        <v>10114</v>
      </c>
      <c r="G181" s="497" t="s">
        <v>10115</v>
      </c>
      <c r="H181" s="500" t="s">
        <v>9577</v>
      </c>
    </row>
    <row r="182" customFormat="false" ht="12" hidden="false" customHeight="true" outlineLevel="0" collapsed="false">
      <c r="B182" s="500" t="s">
        <v>4368</v>
      </c>
      <c r="C182" s="500" t="s">
        <v>9697</v>
      </c>
      <c r="D182" s="500" t="s">
        <v>10116</v>
      </c>
      <c r="E182" s="501" t="s">
        <v>10117</v>
      </c>
      <c r="F182" s="501" t="s">
        <v>10118</v>
      </c>
      <c r="G182" s="497" t="s">
        <v>10119</v>
      </c>
      <c r="H182" s="500" t="s">
        <v>9531</v>
      </c>
    </row>
    <row r="183" customFormat="false" ht="12" hidden="false" customHeight="true" outlineLevel="0" collapsed="false">
      <c r="B183" s="500" t="s">
        <v>4368</v>
      </c>
      <c r="C183" s="500" t="s">
        <v>9697</v>
      </c>
      <c r="D183" s="500" t="s">
        <v>10120</v>
      </c>
      <c r="E183" s="501" t="s">
        <v>10121</v>
      </c>
      <c r="F183" s="501" t="s">
        <v>10122</v>
      </c>
      <c r="G183" s="497" t="s">
        <v>9501</v>
      </c>
      <c r="H183" s="500" t="s">
        <v>9531</v>
      </c>
    </row>
    <row r="184" customFormat="false" ht="12" hidden="false" customHeight="true" outlineLevel="0" collapsed="false">
      <c r="B184" s="500" t="s">
        <v>4368</v>
      </c>
      <c r="C184" s="500" t="s">
        <v>9697</v>
      </c>
      <c r="D184" s="500" t="s">
        <v>10123</v>
      </c>
      <c r="E184" s="501" t="s">
        <v>10124</v>
      </c>
      <c r="F184" s="501" t="s">
        <v>10125</v>
      </c>
      <c r="G184" s="497" t="s">
        <v>10126</v>
      </c>
      <c r="H184" s="500" t="s">
        <v>2014</v>
      </c>
    </row>
    <row r="185" customFormat="false" ht="21" hidden="false" customHeight="true" outlineLevel="0" collapsed="false">
      <c r="B185" s="500" t="s">
        <v>4368</v>
      </c>
      <c r="C185" s="500" t="s">
        <v>9697</v>
      </c>
      <c r="D185" s="500" t="s">
        <v>10127</v>
      </c>
      <c r="E185" s="501" t="s">
        <v>10128</v>
      </c>
      <c r="F185" s="501" t="s">
        <v>10129</v>
      </c>
      <c r="G185" s="497" t="s">
        <v>10130</v>
      </c>
      <c r="H185" s="500" t="s">
        <v>2014</v>
      </c>
    </row>
    <row r="186" customFormat="false" ht="12" hidden="false" customHeight="true" outlineLevel="0" collapsed="false">
      <c r="B186" s="500" t="s">
        <v>4368</v>
      </c>
      <c r="C186" s="500" t="s">
        <v>9344</v>
      </c>
      <c r="D186" s="500" t="s">
        <v>9948</v>
      </c>
      <c r="E186" s="501" t="s">
        <v>10131</v>
      </c>
      <c r="F186" s="501" t="s">
        <v>10132</v>
      </c>
      <c r="G186" s="497" t="s">
        <v>9502</v>
      </c>
      <c r="H186" s="500" t="s">
        <v>9531</v>
      </c>
    </row>
    <row r="187" customFormat="false" ht="12" hidden="false" customHeight="true" outlineLevel="0" collapsed="false">
      <c r="B187" s="500" t="s">
        <v>4368</v>
      </c>
      <c r="C187" s="500" t="s">
        <v>9344</v>
      </c>
      <c r="D187" s="500" t="s">
        <v>10133</v>
      </c>
      <c r="E187" s="501" t="s">
        <v>10134</v>
      </c>
      <c r="F187" s="501" t="s">
        <v>10135</v>
      </c>
      <c r="G187" s="497" t="s">
        <v>10136</v>
      </c>
      <c r="H187" s="500" t="s">
        <v>9531</v>
      </c>
    </row>
    <row r="188" customFormat="false" ht="12" hidden="false" customHeight="true" outlineLevel="0" collapsed="false">
      <c r="B188" s="500" t="s">
        <v>4368</v>
      </c>
      <c r="C188" s="500" t="s">
        <v>9803</v>
      </c>
      <c r="D188" s="500" t="s">
        <v>10137</v>
      </c>
      <c r="E188" s="501" t="s">
        <v>10138</v>
      </c>
      <c r="F188" s="501" t="s">
        <v>10139</v>
      </c>
      <c r="G188" s="497" t="s">
        <v>10140</v>
      </c>
      <c r="H188" s="500" t="s">
        <v>2014</v>
      </c>
    </row>
    <row r="189" customFormat="false" ht="12" hidden="false" customHeight="true" outlineLevel="0" collapsed="false">
      <c r="B189" s="500" t="s">
        <v>4368</v>
      </c>
      <c r="C189" s="500" t="s">
        <v>9621</v>
      </c>
      <c r="D189" s="500" t="s">
        <v>9625</v>
      </c>
      <c r="E189" s="501" t="s">
        <v>10141</v>
      </c>
      <c r="F189" s="501" t="s">
        <v>10142</v>
      </c>
      <c r="G189" s="497" t="s">
        <v>10143</v>
      </c>
      <c r="H189" s="500" t="s">
        <v>2014</v>
      </c>
    </row>
    <row r="190" customFormat="false" ht="12" hidden="false" customHeight="true" outlineLevel="0" collapsed="false">
      <c r="B190" s="500" t="s">
        <v>4368</v>
      </c>
      <c r="C190" s="500" t="s">
        <v>9621</v>
      </c>
      <c r="D190" s="500" t="s">
        <v>10144</v>
      </c>
      <c r="E190" s="501" t="s">
        <v>10145</v>
      </c>
      <c r="F190" s="501" t="s">
        <v>10146</v>
      </c>
      <c r="G190" s="497" t="s">
        <v>9503</v>
      </c>
      <c r="H190" s="500" t="s">
        <v>2014</v>
      </c>
    </row>
    <row r="191" customFormat="false" ht="12" hidden="false" customHeight="true" outlineLevel="0" collapsed="false">
      <c r="B191" s="500" t="s">
        <v>4368</v>
      </c>
      <c r="C191" s="500" t="s">
        <v>9621</v>
      </c>
      <c r="D191" s="500" t="s">
        <v>10147</v>
      </c>
      <c r="E191" s="501" t="s">
        <v>10148</v>
      </c>
      <c r="F191" s="501" t="s">
        <v>10149</v>
      </c>
      <c r="G191" s="497" t="s">
        <v>10150</v>
      </c>
      <c r="H191" s="500" t="s">
        <v>2014</v>
      </c>
    </row>
    <row r="192" customFormat="false" ht="12" hidden="false" customHeight="true" outlineLevel="0" collapsed="false">
      <c r="B192" s="500" t="s">
        <v>4368</v>
      </c>
      <c r="C192" s="500" t="s">
        <v>9663</v>
      </c>
      <c r="D192" s="500" t="s">
        <v>10151</v>
      </c>
      <c r="E192" s="501" t="s">
        <v>10152</v>
      </c>
      <c r="F192" s="501" t="s">
        <v>10153</v>
      </c>
      <c r="G192" s="497" t="s">
        <v>10154</v>
      </c>
      <c r="H192" s="500" t="s">
        <v>2014</v>
      </c>
    </row>
    <row r="193" customFormat="false" ht="12" hidden="false" customHeight="true" outlineLevel="0" collapsed="false">
      <c r="B193" s="500" t="s">
        <v>4368</v>
      </c>
      <c r="C193" s="500" t="s">
        <v>9663</v>
      </c>
      <c r="D193" s="500" t="s">
        <v>10040</v>
      </c>
      <c r="E193" s="501" t="s">
        <v>10155</v>
      </c>
      <c r="F193" s="501" t="s">
        <v>10156</v>
      </c>
      <c r="G193" s="497" t="s">
        <v>9504</v>
      </c>
      <c r="H193" s="500" t="s">
        <v>2014</v>
      </c>
    </row>
    <row r="194" customFormat="false" ht="21" hidden="false" customHeight="true" outlineLevel="0" collapsed="false">
      <c r="B194" s="500" t="s">
        <v>4368</v>
      </c>
      <c r="C194" s="500" t="s">
        <v>9397</v>
      </c>
      <c r="D194" s="500" t="s">
        <v>9397</v>
      </c>
      <c r="E194" s="501" t="s">
        <v>10157</v>
      </c>
      <c r="F194" s="501" t="s">
        <v>10158</v>
      </c>
      <c r="G194" s="497" t="s">
        <v>9505</v>
      </c>
      <c r="H194" s="500" t="s">
        <v>2014</v>
      </c>
    </row>
    <row r="195" customFormat="false" ht="12" hidden="false" customHeight="true" outlineLevel="0" collapsed="false">
      <c r="B195" s="500" t="s">
        <v>4368</v>
      </c>
      <c r="C195" s="500" t="s">
        <v>9348</v>
      </c>
      <c r="D195" s="500" t="s">
        <v>10159</v>
      </c>
      <c r="E195" s="501" t="s">
        <v>10160</v>
      </c>
      <c r="F195" s="501" t="s">
        <v>10161</v>
      </c>
      <c r="G195" s="497" t="s">
        <v>9506</v>
      </c>
      <c r="H195" s="500" t="s">
        <v>9577</v>
      </c>
    </row>
    <row r="196" customFormat="false" ht="21" hidden="false" customHeight="true" outlineLevel="0" collapsed="false">
      <c r="B196" s="500" t="s">
        <v>4368</v>
      </c>
      <c r="C196" s="500" t="s">
        <v>9915</v>
      </c>
      <c r="D196" s="500" t="s">
        <v>10162</v>
      </c>
      <c r="E196" s="501" t="s">
        <v>10163</v>
      </c>
      <c r="F196" s="501" t="s">
        <v>10164</v>
      </c>
      <c r="G196" s="497" t="s">
        <v>10165</v>
      </c>
      <c r="H196" s="500" t="s">
        <v>9577</v>
      </c>
    </row>
    <row r="197" customFormat="false" ht="12" hidden="false" customHeight="true" outlineLevel="0" collapsed="false">
      <c r="B197" s="500" t="s">
        <v>4407</v>
      </c>
      <c r="C197" s="500" t="s">
        <v>9678</v>
      </c>
      <c r="D197" s="500" t="s">
        <v>10166</v>
      </c>
      <c r="E197" s="501" t="s">
        <v>9752</v>
      </c>
      <c r="F197" s="501" t="s">
        <v>9877</v>
      </c>
      <c r="G197" s="497" t="s">
        <v>9507</v>
      </c>
      <c r="H197" s="500" t="s">
        <v>9682</v>
      </c>
    </row>
    <row r="198" customFormat="false" ht="12" hidden="false" customHeight="true" outlineLevel="0" collapsed="false">
      <c r="B198" s="500" t="s">
        <v>4407</v>
      </c>
      <c r="C198" s="500" t="s">
        <v>9683</v>
      </c>
      <c r="D198" s="500" t="s">
        <v>10008</v>
      </c>
      <c r="E198" s="501" t="s">
        <v>10167</v>
      </c>
      <c r="F198" s="501" t="s">
        <v>10168</v>
      </c>
      <c r="G198" s="497" t="s">
        <v>9508</v>
      </c>
      <c r="H198" s="500" t="s">
        <v>9531</v>
      </c>
    </row>
    <row r="199" customFormat="false" ht="12" hidden="false" customHeight="true" outlineLevel="0" collapsed="false">
      <c r="B199" s="500" t="s">
        <v>4407</v>
      </c>
      <c r="C199" s="500" t="s">
        <v>49</v>
      </c>
      <c r="D199" s="500" t="s">
        <v>49</v>
      </c>
      <c r="E199" s="501" t="s">
        <v>10169</v>
      </c>
      <c r="F199" s="501" t="s">
        <v>10170</v>
      </c>
      <c r="G199" s="497" t="s">
        <v>9509</v>
      </c>
      <c r="H199" s="500" t="s">
        <v>9531</v>
      </c>
    </row>
    <row r="200" customFormat="false" ht="12" hidden="false" customHeight="true" outlineLevel="0" collapsed="false">
      <c r="B200" s="500" t="s">
        <v>4407</v>
      </c>
      <c r="C200" s="500" t="s">
        <v>9393</v>
      </c>
      <c r="D200" s="500" t="s">
        <v>9393</v>
      </c>
      <c r="E200" s="501" t="s">
        <v>10171</v>
      </c>
      <c r="F200" s="501" t="s">
        <v>9832</v>
      </c>
      <c r="G200" s="497" t="s">
        <v>9510</v>
      </c>
      <c r="H200" s="500" t="s">
        <v>9531</v>
      </c>
    </row>
    <row r="201" customFormat="false" ht="12" hidden="false" customHeight="true" outlineLevel="0" collapsed="false">
      <c r="B201" s="500" t="s">
        <v>4407</v>
      </c>
      <c r="C201" s="500" t="s">
        <v>9697</v>
      </c>
      <c r="D201" s="500" t="s">
        <v>10172</v>
      </c>
      <c r="E201" s="501" t="s">
        <v>10173</v>
      </c>
      <c r="F201" s="501" t="s">
        <v>10174</v>
      </c>
      <c r="G201" s="497" t="s">
        <v>10175</v>
      </c>
      <c r="H201" s="500" t="s">
        <v>2014</v>
      </c>
    </row>
    <row r="202" customFormat="false" ht="12" hidden="false" customHeight="true" outlineLevel="0" collapsed="false">
      <c r="B202" s="500" t="s">
        <v>4407</v>
      </c>
      <c r="C202" s="500" t="s">
        <v>9697</v>
      </c>
      <c r="D202" s="500" t="s">
        <v>10176</v>
      </c>
      <c r="E202" s="501" t="s">
        <v>10177</v>
      </c>
      <c r="F202" s="501" t="s">
        <v>10178</v>
      </c>
      <c r="G202" s="497" t="s">
        <v>9511</v>
      </c>
      <c r="H202" s="500" t="s">
        <v>9531</v>
      </c>
    </row>
    <row r="203" customFormat="false" ht="12" hidden="false" customHeight="true" outlineLevel="0" collapsed="false">
      <c r="B203" s="500" t="s">
        <v>4407</v>
      </c>
      <c r="C203" s="500" t="s">
        <v>9697</v>
      </c>
      <c r="D203" s="500" t="s">
        <v>10179</v>
      </c>
      <c r="E203" s="501" t="s">
        <v>10180</v>
      </c>
      <c r="F203" s="501" t="s">
        <v>10181</v>
      </c>
      <c r="G203" s="497" t="s">
        <v>10182</v>
      </c>
      <c r="H203" s="500" t="s">
        <v>2014</v>
      </c>
    </row>
    <row r="204" customFormat="false" ht="12" hidden="false" customHeight="true" outlineLevel="0" collapsed="false">
      <c r="B204" s="500" t="s">
        <v>4407</v>
      </c>
      <c r="C204" s="500" t="s">
        <v>9344</v>
      </c>
      <c r="D204" s="500" t="s">
        <v>10183</v>
      </c>
      <c r="E204" s="501" t="s">
        <v>10184</v>
      </c>
      <c r="F204" s="501" t="s">
        <v>10185</v>
      </c>
      <c r="G204" s="497" t="s">
        <v>10186</v>
      </c>
      <c r="H204" s="500" t="s">
        <v>2014</v>
      </c>
    </row>
    <row r="205" customFormat="false" ht="12" hidden="false" customHeight="true" outlineLevel="0" collapsed="false">
      <c r="B205" s="500" t="s">
        <v>4407</v>
      </c>
      <c r="C205" s="500" t="s">
        <v>9344</v>
      </c>
      <c r="D205" s="500" t="s">
        <v>10187</v>
      </c>
      <c r="E205" s="501" t="s">
        <v>10188</v>
      </c>
      <c r="F205" s="501" t="s">
        <v>10189</v>
      </c>
      <c r="G205" s="497" t="s">
        <v>9512</v>
      </c>
      <c r="H205" s="500" t="s">
        <v>9531</v>
      </c>
    </row>
    <row r="206" customFormat="false" ht="12" hidden="false" customHeight="true" outlineLevel="0" collapsed="false">
      <c r="B206" s="500" t="s">
        <v>4407</v>
      </c>
      <c r="C206" s="500" t="s">
        <v>9621</v>
      </c>
      <c r="D206" s="500" t="s">
        <v>10190</v>
      </c>
      <c r="E206" s="501" t="s">
        <v>10191</v>
      </c>
      <c r="F206" s="501" t="s">
        <v>10192</v>
      </c>
      <c r="G206" s="497" t="s">
        <v>9513</v>
      </c>
      <c r="H206" s="500" t="s">
        <v>2014</v>
      </c>
    </row>
    <row r="207" customFormat="false" ht="21" hidden="false" customHeight="true" outlineLevel="0" collapsed="false">
      <c r="B207" s="500" t="s">
        <v>4407</v>
      </c>
      <c r="C207" s="500" t="s">
        <v>10193</v>
      </c>
      <c r="D207" s="500" t="s">
        <v>10194</v>
      </c>
      <c r="E207" s="501" t="s">
        <v>10195</v>
      </c>
      <c r="F207" s="501" t="s">
        <v>10196</v>
      </c>
      <c r="G207" s="497" t="s">
        <v>10197</v>
      </c>
      <c r="H207" s="500" t="s">
        <v>2014</v>
      </c>
    </row>
    <row r="208" customFormat="false" ht="12" hidden="false" customHeight="true" outlineLevel="0" collapsed="false">
      <c r="B208" s="500" t="s">
        <v>4407</v>
      </c>
      <c r="C208" s="500" t="s">
        <v>10198</v>
      </c>
      <c r="D208" s="500" t="s">
        <v>10198</v>
      </c>
      <c r="E208" s="501" t="s">
        <v>10199</v>
      </c>
      <c r="F208" s="501" t="s">
        <v>10200</v>
      </c>
      <c r="G208" s="497" t="s">
        <v>10201</v>
      </c>
      <c r="H208" s="500" t="s">
        <v>9577</v>
      </c>
    </row>
    <row r="209" customFormat="false" ht="12" hidden="false" customHeight="true" outlineLevel="0" collapsed="false">
      <c r="B209" s="500" t="s">
        <v>4407</v>
      </c>
      <c r="C209" s="500" t="s">
        <v>9663</v>
      </c>
      <c r="D209" s="500" t="s">
        <v>9733</v>
      </c>
      <c r="E209" s="501" t="s">
        <v>9956</v>
      </c>
      <c r="F209" s="501" t="s">
        <v>9810</v>
      </c>
      <c r="G209" s="497" t="s">
        <v>10202</v>
      </c>
      <c r="H209" s="500" t="s">
        <v>2014</v>
      </c>
    </row>
    <row r="210" customFormat="false" ht="12" hidden="false" customHeight="true" outlineLevel="0" collapsed="false">
      <c r="B210" s="500" t="s">
        <v>4407</v>
      </c>
      <c r="C210" s="500" t="s">
        <v>9663</v>
      </c>
      <c r="D210" s="500" t="s">
        <v>9737</v>
      </c>
      <c r="E210" s="501" t="s">
        <v>10203</v>
      </c>
      <c r="F210" s="501" t="s">
        <v>10204</v>
      </c>
      <c r="G210" s="497" t="s">
        <v>9514</v>
      </c>
      <c r="H210" s="500" t="s">
        <v>2014</v>
      </c>
    </row>
    <row r="211" customFormat="false" ht="12" hidden="false" customHeight="true" outlineLevel="0" collapsed="false">
      <c r="B211" s="500" t="s">
        <v>4407</v>
      </c>
      <c r="C211" s="500" t="s">
        <v>9397</v>
      </c>
      <c r="D211" s="500" t="s">
        <v>9397</v>
      </c>
      <c r="E211" s="501" t="s">
        <v>10205</v>
      </c>
      <c r="F211" s="501" t="s">
        <v>10206</v>
      </c>
      <c r="G211" s="497" t="s">
        <v>9515</v>
      </c>
      <c r="H211" s="500" t="s">
        <v>2014</v>
      </c>
    </row>
    <row r="212" customFormat="false" ht="12" hidden="false" customHeight="true" outlineLevel="0" collapsed="false">
      <c r="B212" s="500" t="s">
        <v>4407</v>
      </c>
      <c r="C212" s="500" t="s">
        <v>9348</v>
      </c>
      <c r="D212" s="500" t="s">
        <v>9913</v>
      </c>
      <c r="E212" s="501" t="s">
        <v>10207</v>
      </c>
      <c r="F212" s="501" t="s">
        <v>10208</v>
      </c>
      <c r="G212" s="497" t="s">
        <v>9516</v>
      </c>
      <c r="H212" s="500" t="s">
        <v>9577</v>
      </c>
    </row>
    <row r="213" customFormat="false" ht="12" hidden="false" customHeight="true" outlineLevel="0" collapsed="false">
      <c r="B213" s="500" t="s">
        <v>4407</v>
      </c>
      <c r="C213" s="500" t="s">
        <v>9746</v>
      </c>
      <c r="D213" s="500" t="s">
        <v>10209</v>
      </c>
      <c r="E213" s="501" t="s">
        <v>10210</v>
      </c>
      <c r="F213" s="501" t="s">
        <v>10211</v>
      </c>
      <c r="G213" s="497" t="s">
        <v>10212</v>
      </c>
      <c r="H213" s="500" t="s">
        <v>2014</v>
      </c>
    </row>
    <row r="214" customFormat="false" ht="21" hidden="false" customHeight="true" outlineLevel="0" collapsed="false">
      <c r="B214" s="500" t="s">
        <v>9525</v>
      </c>
      <c r="C214" s="500" t="s">
        <v>10213</v>
      </c>
      <c r="D214" s="500" t="s">
        <v>10214</v>
      </c>
      <c r="E214" s="501" t="s">
        <v>10215</v>
      </c>
      <c r="F214" s="501" t="s">
        <v>10216</v>
      </c>
      <c r="G214" s="497" t="s">
        <v>9405</v>
      </c>
      <c r="H214" s="500" t="s">
        <v>9531</v>
      </c>
    </row>
    <row r="215" customFormat="false" ht="21" hidden="false" customHeight="true" outlineLevel="0" collapsed="false">
      <c r="B215" s="500" t="s">
        <v>9525</v>
      </c>
      <c r="C215" s="500" t="s">
        <v>10217</v>
      </c>
      <c r="D215" s="500" t="s">
        <v>9618</v>
      </c>
      <c r="E215" s="501" t="s">
        <v>10218</v>
      </c>
      <c r="F215" s="501" t="s">
        <v>10219</v>
      </c>
      <c r="G215" s="497" t="s">
        <v>9367</v>
      </c>
      <c r="H215" s="500" t="s">
        <v>9531</v>
      </c>
    </row>
    <row r="216" customFormat="false" ht="12" hidden="false" customHeight="true" outlineLevel="0" collapsed="false">
      <c r="B216" s="500" t="s">
        <v>9525</v>
      </c>
      <c r="C216" s="500" t="s">
        <v>10220</v>
      </c>
      <c r="D216" s="500" t="s">
        <v>9667</v>
      </c>
      <c r="E216" s="501" t="s">
        <v>10221</v>
      </c>
      <c r="F216" s="501" t="s">
        <v>10222</v>
      </c>
      <c r="G216" s="497" t="s">
        <v>9670</v>
      </c>
      <c r="H216" s="500" t="s">
        <v>9531</v>
      </c>
    </row>
    <row r="217" customFormat="false" ht="21" hidden="false" customHeight="true" outlineLevel="0" collapsed="false">
      <c r="B217" s="500" t="s">
        <v>9525</v>
      </c>
      <c r="C217" s="500" t="s">
        <v>10223</v>
      </c>
      <c r="D217" s="500" t="s">
        <v>10224</v>
      </c>
      <c r="E217" s="501" t="s">
        <v>10225</v>
      </c>
      <c r="F217" s="501" t="s">
        <v>10226</v>
      </c>
      <c r="G217" s="497" t="s">
        <v>10227</v>
      </c>
      <c r="H217" s="500" t="s">
        <v>2014</v>
      </c>
    </row>
    <row r="218" customFormat="false" ht="21" hidden="false" customHeight="true" outlineLevel="0" collapsed="false">
      <c r="B218" s="500" t="s">
        <v>9525</v>
      </c>
      <c r="C218" s="500" t="s">
        <v>10228</v>
      </c>
      <c r="D218" s="500" t="s">
        <v>9671</v>
      </c>
      <c r="E218" s="501" t="s">
        <v>10229</v>
      </c>
      <c r="F218" s="501" t="s">
        <v>10230</v>
      </c>
      <c r="G218" s="497" t="s">
        <v>9406</v>
      </c>
      <c r="H218" s="500" t="s">
        <v>2014</v>
      </c>
    </row>
    <row r="219" customFormat="false" ht="21" hidden="false" customHeight="true" outlineLevel="0" collapsed="false">
      <c r="B219" s="500" t="s">
        <v>9525</v>
      </c>
      <c r="C219" s="500" t="s">
        <v>10231</v>
      </c>
      <c r="D219" s="500" t="s">
        <v>10232</v>
      </c>
      <c r="E219" s="501" t="s">
        <v>10233</v>
      </c>
      <c r="F219" s="501" t="s">
        <v>10234</v>
      </c>
      <c r="G219" s="497" t="s">
        <v>9677</v>
      </c>
      <c r="H219" s="500" t="s">
        <v>2014</v>
      </c>
    </row>
    <row r="220" customFormat="false" ht="12" hidden="false" customHeight="true" outlineLevel="0" collapsed="false">
      <c r="B220" s="500" t="s">
        <v>9525</v>
      </c>
      <c r="C220" s="500" t="s">
        <v>10235</v>
      </c>
      <c r="D220" s="500" t="s">
        <v>9573</v>
      </c>
      <c r="E220" s="501" t="s">
        <v>10236</v>
      </c>
      <c r="F220" s="501" t="s">
        <v>10237</v>
      </c>
      <c r="G220" s="497" t="s">
        <v>9576</v>
      </c>
      <c r="H220" s="500" t="s">
        <v>9577</v>
      </c>
    </row>
    <row r="221" customFormat="false" ht="21" hidden="false" customHeight="true" outlineLevel="0" collapsed="false">
      <c r="B221" s="500" t="s">
        <v>2203</v>
      </c>
      <c r="C221" s="500" t="s">
        <v>10220</v>
      </c>
      <c r="D221" s="500" t="s">
        <v>9737</v>
      </c>
      <c r="E221" s="501" t="s">
        <v>10238</v>
      </c>
      <c r="F221" s="501" t="s">
        <v>10239</v>
      </c>
      <c r="G221" s="497" t="s">
        <v>9415</v>
      </c>
      <c r="H221" s="500" t="s">
        <v>2014</v>
      </c>
    </row>
    <row r="222" customFormat="false" ht="12" hidden="false" customHeight="true" outlineLevel="0" collapsed="false">
      <c r="B222" s="500" t="s">
        <v>2203</v>
      </c>
      <c r="C222" s="500" t="s">
        <v>10240</v>
      </c>
      <c r="D222" s="500" t="s">
        <v>9740</v>
      </c>
      <c r="E222" s="501" t="s">
        <v>10241</v>
      </c>
      <c r="F222" s="501" t="s">
        <v>10242</v>
      </c>
      <c r="G222" s="497" t="s">
        <v>9416</v>
      </c>
      <c r="H222" s="500" t="s">
        <v>2014</v>
      </c>
    </row>
    <row r="223" customFormat="false" ht="12" hidden="false" customHeight="true" outlineLevel="0" collapsed="false">
      <c r="B223" s="500" t="s">
        <v>2203</v>
      </c>
      <c r="C223" s="500" t="s">
        <v>10228</v>
      </c>
      <c r="D223" s="500" t="s">
        <v>9743</v>
      </c>
      <c r="E223" s="501" t="s">
        <v>10243</v>
      </c>
      <c r="F223" s="501" t="s">
        <v>10244</v>
      </c>
      <c r="G223" s="497" t="s">
        <v>9417</v>
      </c>
      <c r="H223" s="500" t="s">
        <v>9577</v>
      </c>
    </row>
    <row r="224" customFormat="false" ht="21" hidden="false" customHeight="true" outlineLevel="0" collapsed="false">
      <c r="B224" s="500" t="s">
        <v>4743</v>
      </c>
      <c r="C224" s="500" t="s">
        <v>10245</v>
      </c>
      <c r="D224" s="500" t="s">
        <v>9808</v>
      </c>
      <c r="E224" s="501" t="s">
        <v>10246</v>
      </c>
      <c r="F224" s="501" t="s">
        <v>10247</v>
      </c>
      <c r="G224" s="497" t="s">
        <v>9811</v>
      </c>
      <c r="H224" s="500" t="s">
        <v>2014</v>
      </c>
    </row>
    <row r="225" customFormat="false" ht="12" hidden="false" customHeight="true" outlineLevel="0" collapsed="false">
      <c r="B225" s="500" t="s">
        <v>4743</v>
      </c>
      <c r="C225" s="500" t="s">
        <v>10248</v>
      </c>
      <c r="D225" s="500" t="s">
        <v>9812</v>
      </c>
      <c r="E225" s="501" t="s">
        <v>10249</v>
      </c>
      <c r="F225" s="501" t="s">
        <v>10250</v>
      </c>
      <c r="G225" s="497" t="s">
        <v>9426</v>
      </c>
      <c r="H225" s="500" t="s">
        <v>2014</v>
      </c>
    </row>
    <row r="226" customFormat="false" ht="12" hidden="false" customHeight="true" outlineLevel="0" collapsed="false">
      <c r="B226" s="500" t="s">
        <v>4743</v>
      </c>
      <c r="C226" s="500" t="s">
        <v>10251</v>
      </c>
      <c r="D226" s="500" t="s">
        <v>9815</v>
      </c>
      <c r="E226" s="501" t="s">
        <v>10252</v>
      </c>
      <c r="F226" s="501" t="s">
        <v>10253</v>
      </c>
      <c r="G226" s="497" t="s">
        <v>9427</v>
      </c>
      <c r="H226" s="500" t="s">
        <v>9531</v>
      </c>
    </row>
    <row r="227" customFormat="false" ht="12" hidden="false" customHeight="true" outlineLevel="0" collapsed="false">
      <c r="B227" s="500" t="s">
        <v>4743</v>
      </c>
      <c r="C227" s="500" t="s">
        <v>10228</v>
      </c>
      <c r="D227" s="500" t="s">
        <v>9821</v>
      </c>
      <c r="E227" s="501" t="s">
        <v>10254</v>
      </c>
      <c r="F227" s="501" t="s">
        <v>10255</v>
      </c>
      <c r="G227" s="497" t="s">
        <v>9428</v>
      </c>
      <c r="H227" s="500" t="s">
        <v>9577</v>
      </c>
    </row>
    <row r="228" customFormat="false" ht="12" hidden="false" customHeight="true" outlineLevel="0" collapsed="false">
      <c r="B228" s="500" t="s">
        <v>4516</v>
      </c>
      <c r="C228" s="500" t="s">
        <v>10256</v>
      </c>
      <c r="D228" s="500" t="s">
        <v>9868</v>
      </c>
      <c r="E228" s="501" t="s">
        <v>10257</v>
      </c>
      <c r="F228" s="501" t="s">
        <v>10258</v>
      </c>
      <c r="G228" s="497" t="s">
        <v>9438</v>
      </c>
      <c r="H228" s="500" t="s">
        <v>2014</v>
      </c>
    </row>
    <row r="229" customFormat="false" ht="12" hidden="false" customHeight="true" outlineLevel="0" collapsed="false">
      <c r="B229" s="500" t="s">
        <v>4516</v>
      </c>
      <c r="C229" s="500" t="s">
        <v>10245</v>
      </c>
      <c r="D229" s="500" t="s">
        <v>9808</v>
      </c>
      <c r="E229" s="501" t="s">
        <v>10259</v>
      </c>
      <c r="F229" s="501" t="s">
        <v>10260</v>
      </c>
      <c r="G229" s="497" t="s">
        <v>9867</v>
      </c>
      <c r="H229" s="500" t="s">
        <v>2014</v>
      </c>
    </row>
    <row r="230" customFormat="false" ht="12" hidden="false" customHeight="true" outlineLevel="0" collapsed="false">
      <c r="B230" s="500" t="s">
        <v>4516</v>
      </c>
      <c r="C230" s="500" t="s">
        <v>10228</v>
      </c>
      <c r="D230" s="500" t="s">
        <v>9873</v>
      </c>
      <c r="E230" s="501" t="s">
        <v>10261</v>
      </c>
      <c r="F230" s="501" t="s">
        <v>10262</v>
      </c>
      <c r="G230" s="497" t="s">
        <v>9440</v>
      </c>
      <c r="H230" s="500" t="s">
        <v>2014</v>
      </c>
    </row>
    <row r="231" customFormat="false" ht="12" hidden="false" customHeight="true" outlineLevel="0" collapsed="false">
      <c r="B231" s="500" t="s">
        <v>1929</v>
      </c>
      <c r="C231" s="500" t="s">
        <v>10220</v>
      </c>
      <c r="D231" s="500" t="s">
        <v>9737</v>
      </c>
      <c r="E231" s="501" t="s">
        <v>10263</v>
      </c>
      <c r="F231" s="501" t="s">
        <v>10264</v>
      </c>
      <c r="G231" s="497" t="s">
        <v>9449</v>
      </c>
      <c r="H231" s="500" t="s">
        <v>2014</v>
      </c>
    </row>
    <row r="232" customFormat="false" ht="12" hidden="false" customHeight="true" outlineLevel="0" collapsed="false">
      <c r="B232" s="500" t="s">
        <v>1929</v>
      </c>
      <c r="C232" s="500" t="s">
        <v>10240</v>
      </c>
      <c r="D232" s="500" t="s">
        <v>9910</v>
      </c>
      <c r="E232" s="501" t="s">
        <v>10265</v>
      </c>
      <c r="F232" s="501" t="s">
        <v>10266</v>
      </c>
      <c r="G232" s="497" t="s">
        <v>9450</v>
      </c>
      <c r="H232" s="500" t="s">
        <v>9531</v>
      </c>
    </row>
    <row r="233" customFormat="false" ht="12" hidden="false" customHeight="true" outlineLevel="0" collapsed="false">
      <c r="B233" s="500" t="s">
        <v>1929</v>
      </c>
      <c r="C233" s="500" t="s">
        <v>10228</v>
      </c>
      <c r="D233" s="500" t="s">
        <v>9913</v>
      </c>
      <c r="E233" s="501" t="s">
        <v>10243</v>
      </c>
      <c r="F233" s="501" t="s">
        <v>10267</v>
      </c>
      <c r="G233" s="497" t="s">
        <v>9451</v>
      </c>
      <c r="H233" s="500" t="s">
        <v>9577</v>
      </c>
    </row>
    <row r="234" customFormat="false" ht="12" hidden="false" customHeight="true" outlineLevel="0" collapsed="false">
      <c r="B234" s="500" t="s">
        <v>1929</v>
      </c>
      <c r="C234" s="500" t="s">
        <v>10268</v>
      </c>
      <c r="D234" s="500" t="s">
        <v>9916</v>
      </c>
      <c r="E234" s="501" t="s">
        <v>10269</v>
      </c>
      <c r="F234" s="501" t="s">
        <v>10270</v>
      </c>
      <c r="G234" s="497" t="s">
        <v>9919</v>
      </c>
      <c r="H234" s="500" t="s">
        <v>9577</v>
      </c>
    </row>
    <row r="235" customFormat="false" ht="12" hidden="false" customHeight="true" outlineLevel="0" collapsed="false">
      <c r="B235" s="500" t="s">
        <v>4420</v>
      </c>
      <c r="C235" s="500" t="s">
        <v>10220</v>
      </c>
      <c r="D235" s="500" t="s">
        <v>9958</v>
      </c>
      <c r="E235" s="501" t="s">
        <v>10271</v>
      </c>
      <c r="F235" s="501" t="s">
        <v>10272</v>
      </c>
      <c r="G235" s="497" t="s">
        <v>9460</v>
      </c>
      <c r="H235" s="500" t="s">
        <v>2014</v>
      </c>
    </row>
    <row r="236" customFormat="false" ht="12" hidden="false" customHeight="true" outlineLevel="0" collapsed="false">
      <c r="B236" s="500" t="s">
        <v>4420</v>
      </c>
      <c r="C236" s="500" t="s">
        <v>10240</v>
      </c>
      <c r="D236" s="500" t="s">
        <v>9961</v>
      </c>
      <c r="E236" s="501" t="s">
        <v>10273</v>
      </c>
      <c r="F236" s="501" t="s">
        <v>10274</v>
      </c>
      <c r="G236" s="497" t="s">
        <v>9461</v>
      </c>
      <c r="H236" s="500" t="s">
        <v>9531</v>
      </c>
    </row>
    <row r="237" customFormat="false" ht="12" hidden="false" customHeight="true" outlineLevel="0" collapsed="false">
      <c r="B237" s="500" t="s">
        <v>4420</v>
      </c>
      <c r="C237" s="500" t="s">
        <v>10228</v>
      </c>
      <c r="D237" s="500" t="s">
        <v>9964</v>
      </c>
      <c r="E237" s="501" t="s">
        <v>10254</v>
      </c>
      <c r="F237" s="501" t="s">
        <v>10275</v>
      </c>
      <c r="G237" s="497" t="s">
        <v>9462</v>
      </c>
      <c r="H237" s="500" t="s">
        <v>9577</v>
      </c>
    </row>
    <row r="238" customFormat="false" ht="12" hidden="false" customHeight="true" outlineLevel="0" collapsed="false">
      <c r="B238" s="500" t="s">
        <v>4440</v>
      </c>
      <c r="C238" s="500" t="s">
        <v>10256</v>
      </c>
      <c r="D238" s="500" t="s">
        <v>9990</v>
      </c>
      <c r="E238" s="501" t="s">
        <v>10276</v>
      </c>
      <c r="F238" s="501" t="s">
        <v>10277</v>
      </c>
      <c r="G238" s="497" t="s">
        <v>9471</v>
      </c>
      <c r="H238" s="500" t="s">
        <v>2014</v>
      </c>
    </row>
    <row r="239" customFormat="false" ht="12" hidden="false" customHeight="true" outlineLevel="0" collapsed="false">
      <c r="B239" s="500" t="s">
        <v>4440</v>
      </c>
      <c r="C239" s="500" t="s">
        <v>10228</v>
      </c>
      <c r="D239" s="500" t="s">
        <v>9995</v>
      </c>
      <c r="E239" s="501" t="s">
        <v>10278</v>
      </c>
      <c r="F239" s="501" t="s">
        <v>10279</v>
      </c>
      <c r="G239" s="497" t="s">
        <v>9473</v>
      </c>
      <c r="H239" s="500" t="s">
        <v>9577</v>
      </c>
    </row>
    <row r="240" customFormat="false" ht="12" hidden="false" customHeight="true" outlineLevel="0" collapsed="false">
      <c r="B240" s="500" t="s">
        <v>4440</v>
      </c>
      <c r="C240" s="500" t="s">
        <v>10280</v>
      </c>
      <c r="D240" s="500" t="s">
        <v>10281</v>
      </c>
      <c r="E240" s="501" t="s">
        <v>10282</v>
      </c>
      <c r="F240" s="501" t="s">
        <v>10283</v>
      </c>
      <c r="G240" s="497" t="s">
        <v>10002</v>
      </c>
      <c r="H240" s="500" t="s">
        <v>9577</v>
      </c>
    </row>
    <row r="241" customFormat="false" ht="12" hidden="false" customHeight="true" outlineLevel="0" collapsed="false">
      <c r="B241" s="500" t="s">
        <v>9474</v>
      </c>
      <c r="C241" s="500" t="s">
        <v>10256</v>
      </c>
      <c r="D241" s="500" t="s">
        <v>10040</v>
      </c>
      <c r="E241" s="501" t="s">
        <v>10284</v>
      </c>
      <c r="F241" s="501" t="s">
        <v>10285</v>
      </c>
      <c r="G241" s="497" t="s">
        <v>9483</v>
      </c>
      <c r="H241" s="500" t="s">
        <v>2014</v>
      </c>
    </row>
    <row r="242" customFormat="false" ht="12" hidden="false" customHeight="true" outlineLevel="0" collapsed="false">
      <c r="B242" s="500" t="s">
        <v>9474</v>
      </c>
      <c r="C242" s="500" t="s">
        <v>10286</v>
      </c>
      <c r="D242" s="500" t="s">
        <v>9397</v>
      </c>
      <c r="E242" s="501" t="s">
        <v>10287</v>
      </c>
      <c r="F242" s="501" t="s">
        <v>10288</v>
      </c>
      <c r="G242" s="497" t="s">
        <v>9484</v>
      </c>
      <c r="H242" s="500" t="s">
        <v>9531</v>
      </c>
    </row>
    <row r="243" customFormat="false" ht="12" hidden="false" customHeight="true" outlineLevel="0" collapsed="false">
      <c r="B243" s="500" t="s">
        <v>9474</v>
      </c>
      <c r="C243" s="500" t="s">
        <v>10228</v>
      </c>
      <c r="D243" s="500" t="s">
        <v>9873</v>
      </c>
      <c r="E243" s="501" t="s">
        <v>10289</v>
      </c>
      <c r="F243" s="501" t="s">
        <v>10290</v>
      </c>
      <c r="G243" s="497" t="s">
        <v>9485</v>
      </c>
      <c r="H243" s="500" t="s">
        <v>9577</v>
      </c>
    </row>
    <row r="244" customFormat="false" ht="21" hidden="false" customHeight="true" outlineLevel="0" collapsed="false">
      <c r="B244" s="500" t="s">
        <v>4325</v>
      </c>
      <c r="C244" s="500" t="s">
        <v>10291</v>
      </c>
      <c r="D244" s="500" t="s">
        <v>10089</v>
      </c>
      <c r="E244" s="501" t="s">
        <v>10292</v>
      </c>
      <c r="F244" s="501" t="s">
        <v>10293</v>
      </c>
      <c r="G244" s="497" t="s">
        <v>9494</v>
      </c>
      <c r="H244" s="500" t="s">
        <v>9531</v>
      </c>
    </row>
    <row r="245" customFormat="false" ht="12" hidden="false" customHeight="true" outlineLevel="0" collapsed="false">
      <c r="B245" s="500" t="s">
        <v>4325</v>
      </c>
      <c r="C245" s="500" t="s">
        <v>10228</v>
      </c>
      <c r="D245" s="500" t="s">
        <v>10092</v>
      </c>
      <c r="E245" s="501" t="s">
        <v>10254</v>
      </c>
      <c r="F245" s="501" t="s">
        <v>10294</v>
      </c>
      <c r="G245" s="497" t="s">
        <v>9495</v>
      </c>
      <c r="H245" s="500" t="s">
        <v>9577</v>
      </c>
    </row>
    <row r="246" customFormat="false" ht="12" hidden="false" customHeight="true" outlineLevel="0" collapsed="false">
      <c r="B246" s="500" t="s">
        <v>4325</v>
      </c>
      <c r="C246" s="500" t="s">
        <v>10295</v>
      </c>
      <c r="D246" s="500" t="s">
        <v>10296</v>
      </c>
      <c r="E246" s="501" t="s">
        <v>10297</v>
      </c>
      <c r="F246" s="501" t="s">
        <v>10298</v>
      </c>
      <c r="G246" s="497" t="s">
        <v>10097</v>
      </c>
      <c r="H246" s="500" t="s">
        <v>9577</v>
      </c>
    </row>
    <row r="247" customFormat="false" ht="12" hidden="false" customHeight="true" outlineLevel="0" collapsed="false">
      <c r="B247" s="500" t="s">
        <v>4368</v>
      </c>
      <c r="C247" s="500" t="s">
        <v>10256</v>
      </c>
      <c r="D247" s="500" t="s">
        <v>10040</v>
      </c>
      <c r="E247" s="501" t="s">
        <v>10299</v>
      </c>
      <c r="F247" s="501" t="s">
        <v>10300</v>
      </c>
      <c r="G247" s="497" t="s">
        <v>9504</v>
      </c>
      <c r="H247" s="500" t="s">
        <v>2014</v>
      </c>
    </row>
    <row r="248" customFormat="false" ht="21" hidden="false" customHeight="true" outlineLevel="0" collapsed="false">
      <c r="B248" s="500" t="s">
        <v>4368</v>
      </c>
      <c r="C248" s="500" t="s">
        <v>10286</v>
      </c>
      <c r="D248" s="500" t="s">
        <v>9397</v>
      </c>
      <c r="E248" s="501" t="s">
        <v>10301</v>
      </c>
      <c r="F248" s="501" t="s">
        <v>10302</v>
      </c>
      <c r="G248" s="497" t="s">
        <v>9505</v>
      </c>
      <c r="H248" s="500" t="s">
        <v>9531</v>
      </c>
    </row>
    <row r="249" customFormat="false" ht="21" hidden="false" customHeight="true" outlineLevel="0" collapsed="false">
      <c r="B249" s="500" t="s">
        <v>4368</v>
      </c>
      <c r="C249" s="500" t="s">
        <v>10228</v>
      </c>
      <c r="D249" s="500" t="s">
        <v>10159</v>
      </c>
      <c r="E249" s="501" t="s">
        <v>10303</v>
      </c>
      <c r="F249" s="501" t="s">
        <v>10304</v>
      </c>
      <c r="G249" s="497" t="s">
        <v>9506</v>
      </c>
      <c r="H249" s="500" t="s">
        <v>9577</v>
      </c>
    </row>
    <row r="250" customFormat="false" ht="21" hidden="false" customHeight="true" outlineLevel="0" collapsed="false">
      <c r="B250" s="500" t="s">
        <v>4368</v>
      </c>
      <c r="C250" s="500" t="s">
        <v>10268</v>
      </c>
      <c r="D250" s="500" t="s">
        <v>10162</v>
      </c>
      <c r="E250" s="501" t="s">
        <v>10305</v>
      </c>
      <c r="F250" s="501" t="s">
        <v>10306</v>
      </c>
      <c r="G250" s="497" t="s">
        <v>10165</v>
      </c>
      <c r="H250" s="500" t="s">
        <v>9577</v>
      </c>
    </row>
    <row r="251" customFormat="false" ht="12" hidden="false" customHeight="true" outlineLevel="0" collapsed="false">
      <c r="B251" s="500" t="s">
        <v>4407</v>
      </c>
      <c r="C251" s="500" t="s">
        <v>10220</v>
      </c>
      <c r="D251" s="500" t="s">
        <v>9737</v>
      </c>
      <c r="E251" s="501" t="s">
        <v>10263</v>
      </c>
      <c r="F251" s="501" t="s">
        <v>10307</v>
      </c>
      <c r="G251" s="497" t="s">
        <v>9514</v>
      </c>
      <c r="H251" s="500" t="s">
        <v>2014</v>
      </c>
    </row>
    <row r="252" customFormat="false" ht="21" hidden="false" customHeight="true" outlineLevel="0" collapsed="false">
      <c r="B252" s="500" t="s">
        <v>4407</v>
      </c>
      <c r="C252" s="500" t="s">
        <v>10286</v>
      </c>
      <c r="D252" s="500" t="s">
        <v>9397</v>
      </c>
      <c r="E252" s="501" t="s">
        <v>10308</v>
      </c>
      <c r="F252" s="501" t="s">
        <v>10309</v>
      </c>
      <c r="G252" s="497" t="s">
        <v>9515</v>
      </c>
      <c r="H252" s="500" t="s">
        <v>9531</v>
      </c>
    </row>
    <row r="253" customFormat="false" ht="21" hidden="false" customHeight="true" outlineLevel="0" collapsed="false">
      <c r="B253" s="500" t="s">
        <v>4407</v>
      </c>
      <c r="C253" s="500" t="s">
        <v>10228</v>
      </c>
      <c r="D253" s="500" t="s">
        <v>9913</v>
      </c>
      <c r="E253" s="501" t="s">
        <v>10254</v>
      </c>
      <c r="F253" s="501" t="s">
        <v>10310</v>
      </c>
      <c r="G253" s="497" t="s">
        <v>9516</v>
      </c>
      <c r="H253" s="500" t="s">
        <v>9577</v>
      </c>
    </row>
    <row r="254" customFormat="false" ht="21" hidden="false" customHeight="true" outlineLevel="0" collapsed="false">
      <c r="B254" s="500" t="s">
        <v>10311</v>
      </c>
      <c r="C254" s="500" t="s">
        <v>10312</v>
      </c>
      <c r="D254" s="500" t="s">
        <v>10313</v>
      </c>
      <c r="E254" s="501" t="s">
        <v>10314</v>
      </c>
      <c r="F254" s="501" t="s">
        <v>10315</v>
      </c>
      <c r="G254" s="497" t="s">
        <v>10316</v>
      </c>
      <c r="H254" s="500" t="s">
        <v>9577</v>
      </c>
    </row>
    <row r="255" customFormat="false" ht="21" hidden="false" customHeight="true" outlineLevel="0" collapsed="false">
      <c r="B255" s="500" t="s">
        <v>10317</v>
      </c>
      <c r="C255" s="500" t="s">
        <v>10312</v>
      </c>
      <c r="D255" s="500" t="s">
        <v>10318</v>
      </c>
      <c r="E255" s="501" t="s">
        <v>10319</v>
      </c>
      <c r="F255" s="501" t="s">
        <v>10320</v>
      </c>
      <c r="G255" s="497" t="s">
        <v>10321</v>
      </c>
      <c r="H255" s="500" t="s">
        <v>9577</v>
      </c>
    </row>
    <row r="256" customFormat="false" ht="21" hidden="false" customHeight="true" outlineLevel="0" collapsed="false">
      <c r="B256" s="500" t="s">
        <v>2203</v>
      </c>
      <c r="C256" s="500" t="s">
        <v>10312</v>
      </c>
      <c r="D256" s="500" t="s">
        <v>10322</v>
      </c>
      <c r="E256" s="501" t="s">
        <v>10323</v>
      </c>
      <c r="F256" s="501" t="s">
        <v>10324</v>
      </c>
      <c r="G256" s="497" t="s">
        <v>10325</v>
      </c>
      <c r="H256" s="500" t="s">
        <v>9577</v>
      </c>
    </row>
    <row r="257" customFormat="false" ht="21" hidden="false" customHeight="true" outlineLevel="0" collapsed="false">
      <c r="B257" s="500" t="s">
        <v>10326</v>
      </c>
      <c r="C257" s="500" t="s">
        <v>10312</v>
      </c>
      <c r="D257" s="500" t="s">
        <v>10327</v>
      </c>
      <c r="E257" s="501" t="s">
        <v>10328</v>
      </c>
      <c r="F257" s="501" t="s">
        <v>10329</v>
      </c>
      <c r="G257" s="497" t="s">
        <v>10330</v>
      </c>
      <c r="H257" s="500" t="s">
        <v>9577</v>
      </c>
    </row>
    <row r="258" customFormat="false" ht="21" hidden="false" customHeight="true" outlineLevel="0" collapsed="false">
      <c r="B258" s="500" t="s">
        <v>4407</v>
      </c>
      <c r="C258" s="500" t="s">
        <v>10312</v>
      </c>
      <c r="D258" s="500" t="s">
        <v>10331</v>
      </c>
      <c r="E258" s="501" t="s">
        <v>10332</v>
      </c>
      <c r="F258" s="501" t="s">
        <v>10333</v>
      </c>
      <c r="G258" s="497" t="s">
        <v>10334</v>
      </c>
      <c r="H258" s="500" t="s">
        <v>9577</v>
      </c>
    </row>
    <row r="259" customFormat="false" ht="21" hidden="false" customHeight="true" outlineLevel="0" collapsed="false">
      <c r="B259" s="500" t="s">
        <v>10335</v>
      </c>
      <c r="C259" s="500" t="s">
        <v>10336</v>
      </c>
      <c r="D259" s="500" t="s">
        <v>10337</v>
      </c>
      <c r="E259" s="501" t="s">
        <v>10338</v>
      </c>
      <c r="F259" s="501" t="s">
        <v>10339</v>
      </c>
      <c r="G259" s="497" t="s">
        <v>9372</v>
      </c>
      <c r="H259" s="500" t="s">
        <v>2014</v>
      </c>
    </row>
    <row r="260" customFormat="false" ht="21" hidden="false" customHeight="true" outlineLevel="0" collapsed="false">
      <c r="B260" s="500" t="s">
        <v>10335</v>
      </c>
      <c r="C260" s="500" t="s">
        <v>10340</v>
      </c>
      <c r="D260" s="500" t="s">
        <v>10341</v>
      </c>
      <c r="E260" s="501" t="s">
        <v>10342</v>
      </c>
      <c r="F260" s="501" t="s">
        <v>10343</v>
      </c>
      <c r="G260" s="497" t="s">
        <v>10344</v>
      </c>
      <c r="H260" s="500" t="s">
        <v>2014</v>
      </c>
    </row>
    <row r="261" customFormat="false" ht="21" hidden="false" customHeight="true" outlineLevel="0" collapsed="false">
      <c r="B261" s="500" t="s">
        <v>10345</v>
      </c>
      <c r="C261" s="500" t="s">
        <v>10346</v>
      </c>
      <c r="D261" s="500" t="s">
        <v>10347</v>
      </c>
      <c r="E261" s="501" t="s">
        <v>10348</v>
      </c>
      <c r="F261" s="501" t="s">
        <v>10349</v>
      </c>
      <c r="G261" s="497" t="s">
        <v>9374</v>
      </c>
      <c r="H261" s="500" t="s">
        <v>9531</v>
      </c>
    </row>
    <row r="262" customFormat="false" ht="21" hidden="false" customHeight="true" outlineLevel="0" collapsed="false">
      <c r="B262" s="500" t="s">
        <v>10345</v>
      </c>
      <c r="C262" s="500" t="s">
        <v>10350</v>
      </c>
      <c r="D262" s="500" t="s">
        <v>10351</v>
      </c>
      <c r="E262" s="501" t="s">
        <v>10352</v>
      </c>
      <c r="F262" s="501" t="s">
        <v>10353</v>
      </c>
      <c r="G262" s="497" t="s">
        <v>10354</v>
      </c>
      <c r="H262" s="500" t="s">
        <v>2014</v>
      </c>
    </row>
    <row r="263" customFormat="false" ht="21" hidden="false" customHeight="true" outlineLevel="0" collapsed="false">
      <c r="B263" s="500" t="s">
        <v>10345</v>
      </c>
      <c r="C263" s="500" t="s">
        <v>10355</v>
      </c>
      <c r="D263" s="500" t="s">
        <v>10356</v>
      </c>
      <c r="E263" s="501" t="s">
        <v>10357</v>
      </c>
      <c r="F263" s="501" t="s">
        <v>10358</v>
      </c>
      <c r="G263" s="497" t="s">
        <v>10359</v>
      </c>
      <c r="H263" s="500" t="s">
        <v>2014</v>
      </c>
    </row>
    <row r="264" customFormat="false" ht="21" hidden="false" customHeight="true" outlineLevel="0" collapsed="false">
      <c r="B264" s="500" t="s">
        <v>10345</v>
      </c>
      <c r="C264" s="500" t="s">
        <v>10360</v>
      </c>
      <c r="D264" s="500" t="s">
        <v>10361</v>
      </c>
      <c r="E264" s="501" t="s">
        <v>10362</v>
      </c>
      <c r="F264" s="501" t="s">
        <v>10363</v>
      </c>
      <c r="G264" s="497" t="s">
        <v>10364</v>
      </c>
      <c r="H264" s="500" t="s">
        <v>9531</v>
      </c>
    </row>
    <row r="265" customFormat="false" ht="21" hidden="false" customHeight="true" outlineLevel="0" collapsed="false">
      <c r="B265" s="500" t="s">
        <v>10345</v>
      </c>
      <c r="C265" s="500" t="s">
        <v>10365</v>
      </c>
      <c r="D265" s="500" t="s">
        <v>10366</v>
      </c>
      <c r="E265" s="501" t="s">
        <v>10367</v>
      </c>
      <c r="F265" s="501" t="s">
        <v>10368</v>
      </c>
      <c r="G265" s="497" t="s">
        <v>10369</v>
      </c>
      <c r="H265" s="500" t="s">
        <v>9577</v>
      </c>
    </row>
    <row r="266" customFormat="false" ht="12" hidden="false" customHeight="true" outlineLevel="0" collapsed="false">
      <c r="B266" s="500" t="s">
        <v>10370</v>
      </c>
      <c r="C266" s="500" t="s">
        <v>192</v>
      </c>
      <c r="D266" s="500" t="s">
        <v>10371</v>
      </c>
      <c r="E266" s="501" t="s">
        <v>10372</v>
      </c>
      <c r="F266" s="501" t="s">
        <v>10373</v>
      </c>
      <c r="G266" s="497" t="s">
        <v>10374</v>
      </c>
      <c r="H266" s="500" t="s">
        <v>9577</v>
      </c>
    </row>
    <row r="267" customFormat="false" ht="21" hidden="false" customHeight="true" outlineLevel="0" collapsed="false">
      <c r="B267" s="500" t="s">
        <v>10375</v>
      </c>
      <c r="C267" s="500" t="s">
        <v>9757</v>
      </c>
      <c r="D267" s="500" t="s">
        <v>10375</v>
      </c>
      <c r="E267" s="501" t="s">
        <v>10376</v>
      </c>
      <c r="F267" s="501" t="s">
        <v>10377</v>
      </c>
      <c r="G267" s="497" t="s">
        <v>10378</v>
      </c>
      <c r="H267" s="500" t="s">
        <v>2014</v>
      </c>
    </row>
    <row r="268" customFormat="false" ht="12" hidden="false" customHeight="true" outlineLevel="0" collapsed="false">
      <c r="B268" s="500" t="s">
        <v>10379</v>
      </c>
      <c r="C268" s="500" t="s">
        <v>10380</v>
      </c>
      <c r="D268" s="500" t="s">
        <v>10381</v>
      </c>
      <c r="E268" s="501" t="s">
        <v>10382</v>
      </c>
      <c r="F268" s="501" t="s">
        <v>10383</v>
      </c>
      <c r="G268" s="497" t="s">
        <v>10384</v>
      </c>
      <c r="H268" s="500" t="s">
        <v>9577</v>
      </c>
    </row>
    <row r="269" customFormat="false" ht="21" hidden="false" customHeight="true" outlineLevel="0" collapsed="false">
      <c r="B269" s="500" t="s">
        <v>10385</v>
      </c>
      <c r="C269" s="500" t="s">
        <v>10386</v>
      </c>
      <c r="D269" s="500" t="s">
        <v>10387</v>
      </c>
      <c r="E269" s="501" t="s">
        <v>10388</v>
      </c>
      <c r="F269" s="501" t="s">
        <v>10389</v>
      </c>
      <c r="G269" s="497" t="s">
        <v>10390</v>
      </c>
      <c r="H269" s="500" t="s">
        <v>2014</v>
      </c>
    </row>
    <row r="270" customFormat="false" ht="21" hidden="false" customHeight="true" outlineLevel="0" collapsed="false">
      <c r="B270" s="500" t="s">
        <v>10391</v>
      </c>
      <c r="C270" s="500" t="s">
        <v>10392</v>
      </c>
      <c r="D270" s="500" t="s">
        <v>10393</v>
      </c>
      <c r="E270" s="501" t="s">
        <v>10394</v>
      </c>
      <c r="F270" s="501" t="s">
        <v>10395</v>
      </c>
      <c r="G270" s="497" t="s">
        <v>10396</v>
      </c>
      <c r="H270" s="500" t="s">
        <v>9531</v>
      </c>
    </row>
    <row r="271" customFormat="false" ht="12" hidden="false" customHeight="true" outlineLevel="0" collapsed="false">
      <c r="B271" s="500" t="s">
        <v>10391</v>
      </c>
      <c r="C271" s="500" t="s">
        <v>10397</v>
      </c>
      <c r="D271" s="500" t="s">
        <v>10398</v>
      </c>
      <c r="E271" s="501" t="s">
        <v>10399</v>
      </c>
      <c r="F271" s="501" t="s">
        <v>10400</v>
      </c>
      <c r="G271" s="497" t="s">
        <v>10401</v>
      </c>
      <c r="H271" s="500" t="s">
        <v>9531</v>
      </c>
    </row>
    <row r="272" customFormat="false" ht="21" hidden="false" customHeight="true" outlineLevel="0" collapsed="false">
      <c r="B272" s="500" t="s">
        <v>10402</v>
      </c>
      <c r="C272" s="500" t="s">
        <v>10403</v>
      </c>
      <c r="D272" s="500" t="s">
        <v>10404</v>
      </c>
      <c r="E272" s="501" t="s">
        <v>10405</v>
      </c>
      <c r="F272" s="501" t="s">
        <v>10406</v>
      </c>
      <c r="G272" s="497" t="s">
        <v>9378</v>
      </c>
      <c r="H272" s="500" t="s">
        <v>9531</v>
      </c>
    </row>
    <row r="273" customFormat="false" ht="12" hidden="false" customHeight="true" outlineLevel="0" collapsed="false">
      <c r="B273" s="500" t="s">
        <v>10402</v>
      </c>
      <c r="C273" s="500" t="s">
        <v>10407</v>
      </c>
      <c r="D273" s="500" t="s">
        <v>10408</v>
      </c>
      <c r="E273" s="501" t="s">
        <v>10409</v>
      </c>
      <c r="F273" s="501" t="s">
        <v>10410</v>
      </c>
      <c r="G273" s="497" t="s">
        <v>10411</v>
      </c>
      <c r="H273" s="500" t="s">
        <v>2014</v>
      </c>
    </row>
    <row r="274" customFormat="false" ht="21" hidden="false" customHeight="true" outlineLevel="0" collapsed="false">
      <c r="B274" s="500" t="s">
        <v>10412</v>
      </c>
      <c r="C274" s="500" t="s">
        <v>10413</v>
      </c>
      <c r="D274" s="500" t="s">
        <v>10414</v>
      </c>
      <c r="E274" s="501" t="s">
        <v>10415</v>
      </c>
      <c r="F274" s="501" t="s">
        <v>10416</v>
      </c>
      <c r="G274" s="497" t="s">
        <v>9382</v>
      </c>
      <c r="H274" s="500" t="s">
        <v>9531</v>
      </c>
    </row>
    <row r="275" customFormat="false" ht="21" hidden="false" customHeight="true" outlineLevel="0" collapsed="false">
      <c r="B275" s="500" t="s">
        <v>10412</v>
      </c>
      <c r="C275" s="500" t="s">
        <v>10417</v>
      </c>
      <c r="D275" s="500" t="s">
        <v>10418</v>
      </c>
      <c r="E275" s="501" t="s">
        <v>10419</v>
      </c>
      <c r="F275" s="501" t="s">
        <v>10420</v>
      </c>
      <c r="G275" s="497" t="s">
        <v>10421</v>
      </c>
      <c r="H275" s="500" t="s">
        <v>9531</v>
      </c>
    </row>
    <row r="276" customFormat="false" ht="21" hidden="false" customHeight="true" outlineLevel="0" collapsed="false">
      <c r="B276" s="500" t="s">
        <v>10412</v>
      </c>
      <c r="C276" s="500" t="s">
        <v>10417</v>
      </c>
      <c r="D276" s="500" t="s">
        <v>10422</v>
      </c>
      <c r="E276" s="501" t="s">
        <v>10423</v>
      </c>
      <c r="F276" s="501" t="s">
        <v>10424</v>
      </c>
      <c r="G276" s="497" t="s">
        <v>10425</v>
      </c>
      <c r="H276" s="500" t="s">
        <v>2014</v>
      </c>
    </row>
    <row r="277" customFormat="false" ht="21" hidden="false" customHeight="true" outlineLevel="0" collapsed="false">
      <c r="B277" s="500" t="s">
        <v>10412</v>
      </c>
      <c r="C277" s="500" t="s">
        <v>10426</v>
      </c>
      <c r="D277" s="500" t="s">
        <v>10427</v>
      </c>
      <c r="E277" s="501" t="s">
        <v>10428</v>
      </c>
      <c r="F277" s="501" t="s">
        <v>10429</v>
      </c>
      <c r="G277" s="497" t="s">
        <v>10430</v>
      </c>
      <c r="H277" s="500" t="s">
        <v>2014</v>
      </c>
    </row>
    <row r="278" customFormat="false" ht="12" hidden="false" customHeight="true" outlineLevel="0" collapsed="false">
      <c r="B278" s="500" t="s">
        <v>10412</v>
      </c>
      <c r="C278" s="500" t="s">
        <v>10431</v>
      </c>
      <c r="D278" s="500" t="s">
        <v>10432</v>
      </c>
      <c r="E278" s="501" t="s">
        <v>10433</v>
      </c>
      <c r="F278" s="501" t="s">
        <v>10434</v>
      </c>
      <c r="G278" s="497" t="s">
        <v>10435</v>
      </c>
      <c r="H278" s="500" t="s">
        <v>9577</v>
      </c>
    </row>
    <row r="279" customFormat="false" ht="12" hidden="false" customHeight="true" outlineLevel="0" collapsed="false">
      <c r="B279" s="500" t="s">
        <v>10436</v>
      </c>
      <c r="C279" s="500" t="s">
        <v>10437</v>
      </c>
      <c r="D279" s="500" t="s">
        <v>10438</v>
      </c>
      <c r="E279" s="501" t="s">
        <v>10439</v>
      </c>
      <c r="F279" s="501" t="s">
        <v>10440</v>
      </c>
      <c r="G279" s="497" t="s">
        <v>9380</v>
      </c>
      <c r="H279" s="500" t="s">
        <v>9531</v>
      </c>
    </row>
    <row r="280" customFormat="false" ht="21" hidden="false" customHeight="true" outlineLevel="0" collapsed="false">
      <c r="B280" s="500" t="s">
        <v>10436</v>
      </c>
      <c r="C280" s="500" t="s">
        <v>10437</v>
      </c>
      <c r="D280" s="500" t="s">
        <v>10441</v>
      </c>
      <c r="E280" s="501" t="s">
        <v>10442</v>
      </c>
      <c r="F280" s="501" t="s">
        <v>10443</v>
      </c>
      <c r="G280" s="497" t="s">
        <v>10444</v>
      </c>
      <c r="H280" s="500" t="s">
        <v>9531</v>
      </c>
    </row>
    <row r="281" customFormat="false" ht="12" hidden="false" customHeight="true" outlineLevel="0" collapsed="false">
      <c r="B281" s="500" t="s">
        <v>10436</v>
      </c>
      <c r="C281" s="500" t="s">
        <v>10445</v>
      </c>
      <c r="D281" s="500" t="s">
        <v>10446</v>
      </c>
      <c r="E281" s="501" t="s">
        <v>10447</v>
      </c>
      <c r="F281" s="501" t="s">
        <v>10448</v>
      </c>
      <c r="G281" s="497" t="s">
        <v>10449</v>
      </c>
      <c r="H281" s="500" t="s">
        <v>2014</v>
      </c>
    </row>
    <row r="282" customFormat="false" ht="12" hidden="false" customHeight="true" outlineLevel="0" collapsed="false">
      <c r="B282" s="500" t="s">
        <v>10450</v>
      </c>
      <c r="C282" s="500" t="s">
        <v>10413</v>
      </c>
      <c r="D282" s="500" t="s">
        <v>10451</v>
      </c>
      <c r="E282" s="501" t="s">
        <v>10452</v>
      </c>
      <c r="F282" s="501" t="s">
        <v>10453</v>
      </c>
      <c r="G282" s="497" t="s">
        <v>10454</v>
      </c>
      <c r="H282" s="500" t="s">
        <v>9531</v>
      </c>
    </row>
    <row r="283" customFormat="false" ht="12" hidden="false" customHeight="true" outlineLevel="0" collapsed="false">
      <c r="B283" s="500" t="s">
        <v>10450</v>
      </c>
      <c r="C283" s="500" t="s">
        <v>10413</v>
      </c>
      <c r="D283" s="500" t="s">
        <v>10455</v>
      </c>
      <c r="E283" s="501" t="s">
        <v>10456</v>
      </c>
      <c r="F283" s="501" t="s">
        <v>10457</v>
      </c>
      <c r="G283" s="497" t="s">
        <v>10458</v>
      </c>
      <c r="H283" s="500" t="s">
        <v>2014</v>
      </c>
    </row>
    <row r="284" customFormat="false" ht="21" hidden="false" customHeight="true" outlineLevel="0" collapsed="false">
      <c r="B284" s="500" t="s">
        <v>10450</v>
      </c>
      <c r="C284" s="500" t="s">
        <v>10459</v>
      </c>
      <c r="D284" s="500" t="s">
        <v>10460</v>
      </c>
      <c r="E284" s="501" t="s">
        <v>10461</v>
      </c>
      <c r="F284" s="501" t="s">
        <v>10462</v>
      </c>
      <c r="G284" s="497" t="s">
        <v>10463</v>
      </c>
      <c r="H284" s="500" t="s">
        <v>2014</v>
      </c>
    </row>
    <row r="285" customFormat="false" ht="21" hidden="false" customHeight="true" outlineLevel="0" collapsed="false">
      <c r="B285" s="500" t="s">
        <v>10464</v>
      </c>
      <c r="C285" s="500" t="s">
        <v>10465</v>
      </c>
      <c r="D285" s="500" t="s">
        <v>10466</v>
      </c>
      <c r="E285" s="501" t="s">
        <v>10467</v>
      </c>
      <c r="F285" s="501" t="s">
        <v>10468</v>
      </c>
      <c r="G285" s="497" t="s">
        <v>9384</v>
      </c>
      <c r="H285" s="500" t="s">
        <v>9531</v>
      </c>
    </row>
    <row r="286" customFormat="false" ht="21" hidden="false" customHeight="true" outlineLevel="0" collapsed="false">
      <c r="B286" s="500" t="s">
        <v>10469</v>
      </c>
      <c r="C286" s="500" t="s">
        <v>10470</v>
      </c>
      <c r="D286" s="500" t="s">
        <v>10471</v>
      </c>
      <c r="E286" s="501" t="s">
        <v>10472</v>
      </c>
      <c r="F286" s="501" t="s">
        <v>10473</v>
      </c>
      <c r="G286" s="497" t="s">
        <v>10474</v>
      </c>
      <c r="H286" s="500" t="s">
        <v>2014</v>
      </c>
    </row>
    <row r="287" customFormat="false" ht="21" hidden="false" customHeight="true" outlineLevel="0" collapsed="false">
      <c r="B287" s="500" t="s">
        <v>10475</v>
      </c>
      <c r="C287" s="500" t="s">
        <v>10476</v>
      </c>
      <c r="D287" s="500" t="s">
        <v>10477</v>
      </c>
      <c r="E287" s="501" t="s">
        <v>10478</v>
      </c>
      <c r="F287" s="501" t="s">
        <v>10479</v>
      </c>
      <c r="G287" s="497" t="s">
        <v>9386</v>
      </c>
      <c r="H287" s="500" t="s">
        <v>9531</v>
      </c>
    </row>
    <row r="288" customFormat="false" ht="21" hidden="false" customHeight="true" outlineLevel="0" collapsed="false">
      <c r="B288" s="500" t="s">
        <v>10475</v>
      </c>
      <c r="C288" s="500" t="s">
        <v>10476</v>
      </c>
      <c r="D288" s="500" t="s">
        <v>10480</v>
      </c>
      <c r="E288" s="501" t="s">
        <v>10481</v>
      </c>
      <c r="F288" s="501" t="s">
        <v>10482</v>
      </c>
      <c r="G288" s="497" t="s">
        <v>10483</v>
      </c>
      <c r="H288" s="500" t="s">
        <v>2014</v>
      </c>
    </row>
    <row r="289" customFormat="false" ht="12" hidden="false" customHeight="true" outlineLevel="0" collapsed="false">
      <c r="B289" s="500" t="s">
        <v>10475</v>
      </c>
      <c r="C289" s="500" t="s">
        <v>10484</v>
      </c>
      <c r="D289" s="500" t="s">
        <v>10485</v>
      </c>
      <c r="E289" s="501" t="s">
        <v>10486</v>
      </c>
      <c r="F289" s="501" t="s">
        <v>10487</v>
      </c>
      <c r="G289" s="497" t="s">
        <v>10488</v>
      </c>
      <c r="H289" s="500" t="s">
        <v>2014</v>
      </c>
    </row>
    <row r="290" customFormat="false" ht="21" hidden="false" customHeight="true" outlineLevel="0" collapsed="false">
      <c r="B290" s="500" t="s">
        <v>10489</v>
      </c>
      <c r="C290" s="500" t="s">
        <v>10490</v>
      </c>
      <c r="D290" s="500" t="s">
        <v>10491</v>
      </c>
      <c r="E290" s="501" t="s">
        <v>10492</v>
      </c>
      <c r="F290" s="501" t="s">
        <v>10493</v>
      </c>
      <c r="G290" s="497" t="s">
        <v>10494</v>
      </c>
      <c r="H290" s="500" t="s">
        <v>2014</v>
      </c>
    </row>
    <row r="291" customFormat="false" ht="12" hidden="false" customHeight="true" outlineLevel="0" collapsed="false">
      <c r="B291" s="500" t="s">
        <v>10489</v>
      </c>
      <c r="C291" s="500" t="s">
        <v>10490</v>
      </c>
      <c r="D291" s="500" t="s">
        <v>10495</v>
      </c>
      <c r="E291" s="501" t="s">
        <v>10496</v>
      </c>
      <c r="F291" s="501" t="s">
        <v>10497</v>
      </c>
      <c r="G291" s="497" t="s">
        <v>10498</v>
      </c>
      <c r="H291" s="500" t="s">
        <v>2014</v>
      </c>
    </row>
    <row r="292" customFormat="false" ht="21" hidden="false" customHeight="true" outlineLevel="0" collapsed="false">
      <c r="B292" s="500" t="s">
        <v>10499</v>
      </c>
      <c r="C292" s="500" t="s">
        <v>10500</v>
      </c>
      <c r="D292" s="500" t="s">
        <v>10501</v>
      </c>
      <c r="E292" s="501" t="s">
        <v>10502</v>
      </c>
      <c r="F292" s="501" t="s">
        <v>10503</v>
      </c>
      <c r="G292" s="497" t="s">
        <v>10504</v>
      </c>
      <c r="H292" s="500" t="s">
        <v>2014</v>
      </c>
    </row>
    <row r="293" customFormat="false" ht="21" hidden="false" customHeight="true" outlineLevel="0" collapsed="false">
      <c r="B293" s="500" t="s">
        <v>10499</v>
      </c>
      <c r="C293" s="500" t="s">
        <v>10500</v>
      </c>
      <c r="D293" s="500" t="s">
        <v>10505</v>
      </c>
      <c r="E293" s="501" t="s">
        <v>10506</v>
      </c>
      <c r="F293" s="501" t="s">
        <v>10507</v>
      </c>
      <c r="G293" s="497" t="s">
        <v>10508</v>
      </c>
      <c r="H293" s="500" t="s">
        <v>2014</v>
      </c>
    </row>
    <row r="294" customFormat="false" ht="21" hidden="false" customHeight="true" outlineLevel="0" collapsed="false">
      <c r="B294" s="500" t="s">
        <v>10509</v>
      </c>
      <c r="C294" s="500" t="s">
        <v>10510</v>
      </c>
      <c r="D294" s="500" t="s">
        <v>10511</v>
      </c>
      <c r="E294" s="501" t="s">
        <v>10512</v>
      </c>
      <c r="F294" s="501" t="s">
        <v>10513</v>
      </c>
      <c r="G294" s="497" t="s">
        <v>10514</v>
      </c>
      <c r="H294" s="500" t="s">
        <v>9577</v>
      </c>
    </row>
    <row r="295" customFormat="false" ht="21" hidden="false" customHeight="true" outlineLevel="0" collapsed="false">
      <c r="B295" s="500" t="s">
        <v>10515</v>
      </c>
      <c r="C295" s="500" t="s">
        <v>10516</v>
      </c>
      <c r="D295" s="500" t="s">
        <v>10517</v>
      </c>
      <c r="E295" s="501" t="s">
        <v>10518</v>
      </c>
      <c r="F295" s="501" t="s">
        <v>10519</v>
      </c>
      <c r="G295" s="497" t="s">
        <v>10520</v>
      </c>
      <c r="H295" s="500" t="s">
        <v>9577</v>
      </c>
    </row>
    <row r="296" customFormat="false" ht="12" hidden="false" customHeight="true" outlineLevel="0" collapsed="false">
      <c r="B296" s="500" t="s">
        <v>10521</v>
      </c>
      <c r="C296" s="500" t="s">
        <v>10522</v>
      </c>
      <c r="D296" s="500" t="s">
        <v>10523</v>
      </c>
      <c r="E296" s="501" t="s">
        <v>10524</v>
      </c>
      <c r="F296" s="501" t="s">
        <v>10525</v>
      </c>
      <c r="G296" s="497" t="s">
        <v>10526</v>
      </c>
      <c r="H296" s="500" t="s">
        <v>9577</v>
      </c>
    </row>
    <row r="299" customFormat="false" ht="12" hidden="false" customHeight="true" outlineLevel="0" collapsed="false">
      <c r="B299" s="241" t="s">
        <v>10527</v>
      </c>
      <c r="C299" s="493"/>
      <c r="D299" s="493"/>
      <c r="E299" s="493"/>
      <c r="F299" s="493"/>
      <c r="G299" s="493"/>
      <c r="H299" s="493"/>
      <c r="I299" s="493"/>
    </row>
    <row r="300" customFormat="false" ht="12" hidden="false" customHeight="true" outlineLevel="0" collapsed="false">
      <c r="B300" s="242" t="s">
        <v>10528</v>
      </c>
      <c r="C300" s="242" t="s">
        <v>10529</v>
      </c>
      <c r="D300" s="242" t="s">
        <v>10530</v>
      </c>
      <c r="E300" s="242" t="s">
        <v>10531</v>
      </c>
      <c r="F300" s="242" t="s">
        <v>9523</v>
      </c>
      <c r="G300" s="242" t="s">
        <v>10532</v>
      </c>
      <c r="H300" s="242" t="s">
        <v>10533</v>
      </c>
      <c r="I300" s="242" t="s">
        <v>251</v>
      </c>
      <c r="J300" s="242" t="s">
        <v>1907</v>
      </c>
    </row>
    <row r="301" customFormat="false" ht="73.5" hidden="false" customHeight="true" outlineLevel="0" collapsed="false">
      <c r="B301" s="500" t="n">
        <v>1</v>
      </c>
      <c r="C301" s="500" t="s">
        <v>10534</v>
      </c>
      <c r="D301" s="501" t="s">
        <v>10535</v>
      </c>
      <c r="E301" s="501" t="s">
        <v>10536</v>
      </c>
      <c r="F301" s="497" t="s">
        <v>10537</v>
      </c>
      <c r="G301" s="501" t="s">
        <v>10538</v>
      </c>
      <c r="H301" s="501" t="s">
        <v>10539</v>
      </c>
      <c r="I301" s="500" t="s">
        <v>10540</v>
      </c>
      <c r="J301" s="500"/>
    </row>
    <row r="302" customFormat="false" ht="63" hidden="false" customHeight="true" outlineLevel="0" collapsed="false">
      <c r="B302" s="500" t="n">
        <v>2</v>
      </c>
      <c r="C302" s="500" t="s">
        <v>9389</v>
      </c>
      <c r="D302" s="501" t="s">
        <v>10541</v>
      </c>
      <c r="E302" s="501" t="s">
        <v>10542</v>
      </c>
      <c r="F302" s="497" t="s">
        <v>10537</v>
      </c>
      <c r="G302" s="501" t="s">
        <v>10543</v>
      </c>
      <c r="H302" s="501" t="s">
        <v>10544</v>
      </c>
      <c r="I302" s="500" t="s">
        <v>10540</v>
      </c>
      <c r="J302" s="500"/>
    </row>
    <row r="303" customFormat="false" ht="52.5" hidden="false" customHeight="true" outlineLevel="0" collapsed="false">
      <c r="B303" s="500" t="n">
        <v>3</v>
      </c>
      <c r="C303" s="500" t="s">
        <v>10545</v>
      </c>
      <c r="D303" s="501" t="s">
        <v>10546</v>
      </c>
      <c r="E303" s="501" t="s">
        <v>10547</v>
      </c>
      <c r="F303" s="497" t="s">
        <v>10537</v>
      </c>
      <c r="G303" s="501" t="s">
        <v>10548</v>
      </c>
      <c r="H303" s="501" t="s">
        <v>10549</v>
      </c>
      <c r="I303" s="500" t="s">
        <v>10540</v>
      </c>
      <c r="J303" s="500"/>
    </row>
    <row r="304" customFormat="false" ht="63" hidden="false" customHeight="true" outlineLevel="0" collapsed="false">
      <c r="B304" s="500" t="n">
        <v>4</v>
      </c>
      <c r="C304" s="500" t="s">
        <v>10550</v>
      </c>
      <c r="D304" s="501" t="s">
        <v>10551</v>
      </c>
      <c r="E304" s="501" t="s">
        <v>10552</v>
      </c>
      <c r="F304" s="497" t="s">
        <v>10537</v>
      </c>
      <c r="G304" s="501" t="s">
        <v>10553</v>
      </c>
      <c r="H304" s="501" t="s">
        <v>10554</v>
      </c>
      <c r="I304" s="500" t="s">
        <v>10540</v>
      </c>
      <c r="J304" s="500"/>
    </row>
    <row r="305" customFormat="false" ht="84" hidden="false" customHeight="true" outlineLevel="0" collapsed="false">
      <c r="B305" s="500" t="n">
        <v>5</v>
      </c>
      <c r="C305" s="500" t="s">
        <v>10555</v>
      </c>
      <c r="D305" s="501" t="s">
        <v>10556</v>
      </c>
      <c r="E305" s="501" t="s">
        <v>10552</v>
      </c>
      <c r="F305" s="497" t="s">
        <v>10537</v>
      </c>
      <c r="G305" s="501" t="s">
        <v>10557</v>
      </c>
      <c r="H305" s="501" t="s">
        <v>10558</v>
      </c>
      <c r="I305" s="500" t="s">
        <v>10540</v>
      </c>
      <c r="J305" s="500"/>
    </row>
    <row r="306" customFormat="false" ht="73.5" hidden="false" customHeight="true" outlineLevel="0" collapsed="false">
      <c r="B306" s="500" t="n">
        <v>6</v>
      </c>
      <c r="C306" s="500" t="s">
        <v>10559</v>
      </c>
      <c r="D306" s="501" t="s">
        <v>10560</v>
      </c>
      <c r="E306" s="501" t="s">
        <v>10561</v>
      </c>
      <c r="F306" s="497" t="s">
        <v>10537</v>
      </c>
      <c r="G306" s="501" t="s">
        <v>10562</v>
      </c>
      <c r="H306" s="501" t="s">
        <v>10563</v>
      </c>
      <c r="I306" s="500" t="s">
        <v>10540</v>
      </c>
      <c r="J306" s="500"/>
    </row>
    <row r="307" customFormat="false" ht="84" hidden="false" customHeight="true" outlineLevel="0" collapsed="false">
      <c r="B307" s="500" t="n">
        <v>7</v>
      </c>
      <c r="C307" s="500" t="s">
        <v>10564</v>
      </c>
      <c r="D307" s="501" t="s">
        <v>10565</v>
      </c>
      <c r="E307" s="501" t="s">
        <v>10566</v>
      </c>
      <c r="F307" s="500"/>
      <c r="G307" s="501" t="s">
        <v>10567</v>
      </c>
      <c r="H307" s="501" t="s">
        <v>10568</v>
      </c>
      <c r="I307" s="500" t="s">
        <v>10540</v>
      </c>
      <c r="J307" s="500"/>
    </row>
    <row r="308" customFormat="false" ht="42" hidden="false" customHeight="true" outlineLevel="0" collapsed="false">
      <c r="B308" s="500" t="n">
        <v>8</v>
      </c>
      <c r="C308" s="500" t="s">
        <v>10569</v>
      </c>
      <c r="D308" s="501" t="s">
        <v>10570</v>
      </c>
      <c r="E308" s="501" t="s">
        <v>9579</v>
      </c>
      <c r="F308" s="497" t="s">
        <v>10537</v>
      </c>
      <c r="G308" s="501" t="s">
        <v>10571</v>
      </c>
      <c r="H308" s="501" t="s">
        <v>10572</v>
      </c>
      <c r="I308" s="500" t="s">
        <v>10540</v>
      </c>
      <c r="J308" s="500"/>
    </row>
    <row r="309" customFormat="false" ht="63" hidden="false" customHeight="true" outlineLevel="0" collapsed="false">
      <c r="B309" s="500" t="n">
        <v>9</v>
      </c>
      <c r="C309" s="500" t="s">
        <v>10573</v>
      </c>
      <c r="D309" s="501" t="s">
        <v>10574</v>
      </c>
      <c r="E309" s="501" t="s">
        <v>10575</v>
      </c>
      <c r="F309" s="497" t="s">
        <v>10537</v>
      </c>
      <c r="G309" s="501" t="s">
        <v>10576</v>
      </c>
      <c r="H309" s="501" t="s">
        <v>10577</v>
      </c>
      <c r="I309" s="500" t="s">
        <v>10540</v>
      </c>
      <c r="J309" s="500"/>
    </row>
    <row r="310" customFormat="false" ht="73.5" hidden="false" customHeight="true" outlineLevel="0" collapsed="false">
      <c r="B310" s="500" t="n">
        <v>10</v>
      </c>
      <c r="C310" s="500" t="s">
        <v>9599</v>
      </c>
      <c r="D310" s="501" t="s">
        <v>10578</v>
      </c>
      <c r="E310" s="501" t="s">
        <v>10579</v>
      </c>
      <c r="F310" s="497" t="s">
        <v>10537</v>
      </c>
      <c r="G310" s="501" t="s">
        <v>10580</v>
      </c>
      <c r="H310" s="501" t="s">
        <v>10581</v>
      </c>
      <c r="I310" s="500" t="s">
        <v>10540</v>
      </c>
      <c r="J310" s="500"/>
    </row>
    <row r="311" customFormat="false" ht="73.5" hidden="false" customHeight="true" outlineLevel="0" collapsed="false">
      <c r="B311" s="500" t="n">
        <v>11</v>
      </c>
      <c r="C311" s="500" t="s">
        <v>10582</v>
      </c>
      <c r="D311" s="501" t="s">
        <v>10583</v>
      </c>
      <c r="E311" s="501" t="s">
        <v>10584</v>
      </c>
      <c r="F311" s="497" t="s">
        <v>10537</v>
      </c>
      <c r="G311" s="501" t="s">
        <v>10585</v>
      </c>
      <c r="H311" s="501" t="s">
        <v>10586</v>
      </c>
      <c r="I311" s="500" t="s">
        <v>10540</v>
      </c>
      <c r="J311" s="500"/>
    </row>
    <row r="312" customFormat="false" ht="73.5" hidden="false" customHeight="true" outlineLevel="0" collapsed="false">
      <c r="B312" s="500" t="n">
        <v>12</v>
      </c>
      <c r="C312" s="500" t="s">
        <v>10587</v>
      </c>
      <c r="D312" s="501" t="s">
        <v>10588</v>
      </c>
      <c r="E312" s="501" t="s">
        <v>10589</v>
      </c>
      <c r="F312" s="500"/>
      <c r="G312" s="501" t="s">
        <v>10590</v>
      </c>
      <c r="H312" s="501" t="s">
        <v>10591</v>
      </c>
      <c r="I312" s="500" t="s">
        <v>10540</v>
      </c>
      <c r="J312" s="500"/>
    </row>
    <row r="313" customFormat="false" ht="63" hidden="false" customHeight="true" outlineLevel="0" collapsed="false">
      <c r="B313" s="500" t="n">
        <v>13</v>
      </c>
      <c r="C313" s="500" t="s">
        <v>10592</v>
      </c>
      <c r="D313" s="501" t="s">
        <v>10593</v>
      </c>
      <c r="E313" s="501" t="s">
        <v>10594</v>
      </c>
      <c r="F313" s="500"/>
      <c r="G313" s="501" t="s">
        <v>10595</v>
      </c>
      <c r="H313" s="501" t="s">
        <v>10596</v>
      </c>
      <c r="I313" s="500" t="s">
        <v>10540</v>
      </c>
      <c r="J313" s="500"/>
    </row>
    <row r="314" customFormat="false" ht="52.5" hidden="false" customHeight="true" outlineLevel="0" collapsed="false">
      <c r="B314" s="500" t="n">
        <v>14</v>
      </c>
      <c r="C314" s="500" t="s">
        <v>10597</v>
      </c>
      <c r="D314" s="501" t="s">
        <v>10598</v>
      </c>
      <c r="E314" s="501" t="s">
        <v>10599</v>
      </c>
      <c r="F314" s="500"/>
      <c r="G314" s="501" t="s">
        <v>10600</v>
      </c>
      <c r="H314" s="501" t="s">
        <v>10601</v>
      </c>
      <c r="I314" s="500" t="s">
        <v>10540</v>
      </c>
      <c r="J314" s="500"/>
    </row>
    <row r="315" customFormat="false" ht="52.5" hidden="false" customHeight="true" outlineLevel="0" collapsed="false">
      <c r="B315" s="500" t="n">
        <v>15</v>
      </c>
      <c r="C315" s="500" t="s">
        <v>10602</v>
      </c>
      <c r="D315" s="501" t="s">
        <v>10603</v>
      </c>
      <c r="E315" s="501" t="s">
        <v>10604</v>
      </c>
      <c r="F315" s="500"/>
      <c r="G315" s="501" t="s">
        <v>10605</v>
      </c>
      <c r="H315" s="501" t="s">
        <v>10606</v>
      </c>
      <c r="I315" s="500" t="s">
        <v>10540</v>
      </c>
      <c r="J315" s="500"/>
    </row>
    <row r="316" customFormat="false" ht="84" hidden="false" customHeight="true" outlineLevel="0" collapsed="false">
      <c r="B316" s="500" t="n">
        <v>16</v>
      </c>
      <c r="C316" s="500" t="s">
        <v>10607</v>
      </c>
      <c r="D316" s="501" t="s">
        <v>10608</v>
      </c>
      <c r="E316" s="501" t="s">
        <v>10609</v>
      </c>
      <c r="F316" s="500"/>
      <c r="G316" s="501" t="s">
        <v>10610</v>
      </c>
      <c r="H316" s="501" t="s">
        <v>10611</v>
      </c>
      <c r="I316" s="500" t="s">
        <v>10540</v>
      </c>
      <c r="J316" s="500"/>
    </row>
    <row r="317" customFormat="false" ht="94.5" hidden="false" customHeight="true" outlineLevel="0" collapsed="false">
      <c r="B317" s="500" t="n">
        <v>17</v>
      </c>
      <c r="C317" s="500" t="s">
        <v>10612</v>
      </c>
      <c r="D317" s="501" t="s">
        <v>10613</v>
      </c>
      <c r="E317" s="501" t="s">
        <v>10614</v>
      </c>
      <c r="F317" s="500"/>
      <c r="G317" s="501" t="s">
        <v>10615</v>
      </c>
      <c r="H317" s="501" t="s">
        <v>10616</v>
      </c>
      <c r="I317" s="500" t="s">
        <v>10540</v>
      </c>
      <c r="J317" s="500"/>
    </row>
    <row r="318" customFormat="false" ht="73.5" hidden="false" customHeight="true" outlineLevel="0" collapsed="false">
      <c r="B318" s="500" t="n">
        <v>18</v>
      </c>
      <c r="C318" s="500" t="s">
        <v>10617</v>
      </c>
      <c r="D318" s="501" t="s">
        <v>10618</v>
      </c>
      <c r="E318" s="501" t="s">
        <v>10619</v>
      </c>
      <c r="F318" s="500"/>
      <c r="G318" s="501" t="s">
        <v>10620</v>
      </c>
      <c r="H318" s="501" t="s">
        <v>10621</v>
      </c>
      <c r="I318" s="500" t="s">
        <v>10540</v>
      </c>
      <c r="J318" s="500"/>
    </row>
    <row r="319" customFormat="false" ht="73.5" hidden="false" customHeight="true" outlineLevel="0" collapsed="false">
      <c r="B319" s="500" t="n">
        <v>19</v>
      </c>
      <c r="C319" s="500" t="s">
        <v>10622</v>
      </c>
      <c r="D319" s="501" t="s">
        <v>10623</v>
      </c>
      <c r="E319" s="501" t="s">
        <v>10624</v>
      </c>
      <c r="F319" s="500"/>
      <c r="G319" s="501" t="s">
        <v>10625</v>
      </c>
      <c r="H319" s="501" t="s">
        <v>10626</v>
      </c>
      <c r="I319" s="500" t="s">
        <v>10540</v>
      </c>
      <c r="J319" s="500"/>
    </row>
    <row r="320" customFormat="false" ht="73.5" hidden="false" customHeight="true" outlineLevel="0" collapsed="false">
      <c r="B320" s="500" t="n">
        <v>20</v>
      </c>
      <c r="C320" s="500" t="s">
        <v>10627</v>
      </c>
      <c r="D320" s="501" t="s">
        <v>10628</v>
      </c>
      <c r="E320" s="501" t="s">
        <v>10629</v>
      </c>
      <c r="F320" s="500"/>
      <c r="G320" s="501" t="s">
        <v>10630</v>
      </c>
      <c r="H320" s="501" t="s">
        <v>10631</v>
      </c>
      <c r="I320" s="500" t="s">
        <v>10540</v>
      </c>
      <c r="J320" s="500"/>
    </row>
    <row r="321" customFormat="false" ht="63" hidden="false" customHeight="true" outlineLevel="0" collapsed="false">
      <c r="B321" s="500" t="n">
        <v>21</v>
      </c>
      <c r="C321" s="500" t="s">
        <v>10632</v>
      </c>
      <c r="D321" s="501" t="s">
        <v>10633</v>
      </c>
      <c r="E321" s="501" t="s">
        <v>10347</v>
      </c>
      <c r="F321" s="497" t="s">
        <v>10537</v>
      </c>
      <c r="G321" s="501" t="s">
        <v>10634</v>
      </c>
      <c r="H321" s="501" t="s">
        <v>10635</v>
      </c>
      <c r="I321" s="500" t="s">
        <v>10540</v>
      </c>
      <c r="J321" s="500"/>
    </row>
    <row r="322" customFormat="false" ht="63" hidden="false" customHeight="true" outlineLevel="0" collapsed="false">
      <c r="B322" s="500" t="n">
        <v>22</v>
      </c>
      <c r="C322" s="500" t="s">
        <v>10636</v>
      </c>
      <c r="D322" s="501" t="s">
        <v>10637</v>
      </c>
      <c r="E322" s="501" t="s">
        <v>10638</v>
      </c>
      <c r="F322" s="497" t="s">
        <v>10537</v>
      </c>
      <c r="G322" s="501" t="s">
        <v>10639</v>
      </c>
      <c r="H322" s="501" t="s">
        <v>10640</v>
      </c>
      <c r="I322" s="500" t="s">
        <v>10540</v>
      </c>
      <c r="J322" s="500"/>
    </row>
    <row r="323" customFormat="false" ht="84" hidden="false" customHeight="true" outlineLevel="0" collapsed="false">
      <c r="B323" s="500" t="n">
        <v>23</v>
      </c>
      <c r="C323" s="500" t="s">
        <v>10641</v>
      </c>
      <c r="D323" s="501" t="s">
        <v>10642</v>
      </c>
      <c r="E323" s="501" t="s">
        <v>191</v>
      </c>
      <c r="F323" s="497" t="s">
        <v>10537</v>
      </c>
      <c r="G323" s="501" t="s">
        <v>10643</v>
      </c>
      <c r="H323" s="501" t="s">
        <v>10644</v>
      </c>
      <c r="I323" s="500" t="s">
        <v>10540</v>
      </c>
      <c r="J323" s="500"/>
    </row>
    <row r="324" customFormat="false" ht="63" hidden="false" customHeight="true" outlineLevel="0" collapsed="false">
      <c r="B324" s="500" t="n">
        <v>24</v>
      </c>
      <c r="C324" s="500" t="s">
        <v>10645</v>
      </c>
      <c r="D324" s="501" t="s">
        <v>10646</v>
      </c>
      <c r="E324" s="501" t="s">
        <v>10647</v>
      </c>
      <c r="F324" s="497" t="s">
        <v>10537</v>
      </c>
      <c r="G324" s="501" t="s">
        <v>10648</v>
      </c>
      <c r="H324" s="501" t="s">
        <v>10649</v>
      </c>
      <c r="I324" s="500" t="s">
        <v>10540</v>
      </c>
      <c r="J324" s="500"/>
    </row>
    <row r="325" customFormat="false" ht="63" hidden="false" customHeight="true" outlineLevel="0" collapsed="false">
      <c r="B325" s="500" t="n">
        <v>25</v>
      </c>
      <c r="C325" s="500" t="s">
        <v>10650</v>
      </c>
      <c r="D325" s="501" t="s">
        <v>10651</v>
      </c>
      <c r="E325" s="501" t="s">
        <v>10652</v>
      </c>
      <c r="F325" s="497" t="s">
        <v>10537</v>
      </c>
      <c r="G325" s="501" t="s">
        <v>10653</v>
      </c>
      <c r="H325" s="501" t="s">
        <v>10654</v>
      </c>
      <c r="I325" s="500" t="s">
        <v>10540</v>
      </c>
      <c r="J325" s="500"/>
    </row>
    <row r="326" customFormat="false" ht="73.5" hidden="false" customHeight="true" outlineLevel="0" collapsed="false">
      <c r="B326" s="500" t="n">
        <v>26</v>
      </c>
      <c r="C326" s="500" t="s">
        <v>10413</v>
      </c>
      <c r="D326" s="501" t="s">
        <v>10655</v>
      </c>
      <c r="E326" s="501" t="s">
        <v>10656</v>
      </c>
      <c r="F326" s="497" t="s">
        <v>10537</v>
      </c>
      <c r="G326" s="501" t="s">
        <v>10657</v>
      </c>
      <c r="H326" s="501" t="s">
        <v>10658</v>
      </c>
      <c r="I326" s="500" t="s">
        <v>10540</v>
      </c>
      <c r="J326" s="500"/>
    </row>
    <row r="327" customFormat="false" ht="84" hidden="false" customHeight="true" outlineLevel="0" collapsed="false">
      <c r="B327" s="500" t="n">
        <v>27</v>
      </c>
      <c r="C327" s="500" t="s">
        <v>10659</v>
      </c>
      <c r="D327" s="501" t="s">
        <v>10660</v>
      </c>
      <c r="E327" s="501" t="s">
        <v>10404</v>
      </c>
      <c r="F327" s="497" t="s">
        <v>10537</v>
      </c>
      <c r="G327" s="501" t="s">
        <v>10661</v>
      </c>
      <c r="H327" s="501" t="s">
        <v>10662</v>
      </c>
      <c r="I327" s="500" t="s">
        <v>10540</v>
      </c>
      <c r="J327" s="500"/>
    </row>
    <row r="328" customFormat="false" ht="94.5" hidden="false" customHeight="true" outlineLevel="0" collapsed="false">
      <c r="B328" s="500" t="n">
        <v>28</v>
      </c>
      <c r="C328" s="500" t="s">
        <v>10663</v>
      </c>
      <c r="D328" s="501" t="s">
        <v>10664</v>
      </c>
      <c r="E328" s="501" t="s">
        <v>10665</v>
      </c>
      <c r="F328" s="497" t="s">
        <v>10537</v>
      </c>
      <c r="G328" s="501" t="s">
        <v>10666</v>
      </c>
      <c r="H328" s="501" t="s">
        <v>10667</v>
      </c>
      <c r="I328" s="500" t="s">
        <v>10540</v>
      </c>
      <c r="J328" s="500"/>
    </row>
    <row r="329" customFormat="false" ht="63" hidden="false" customHeight="true" outlineLevel="0" collapsed="false">
      <c r="B329" s="500" t="n">
        <v>29</v>
      </c>
      <c r="C329" s="500" t="s">
        <v>10668</v>
      </c>
      <c r="D329" s="501" t="s">
        <v>10669</v>
      </c>
      <c r="E329" s="501" t="s">
        <v>10670</v>
      </c>
      <c r="F329" s="497" t="s">
        <v>10537</v>
      </c>
      <c r="G329" s="501" t="s">
        <v>10671</v>
      </c>
      <c r="H329" s="501" t="s">
        <v>10672</v>
      </c>
      <c r="I329" s="500" t="s">
        <v>10540</v>
      </c>
      <c r="J329" s="500"/>
    </row>
    <row r="330" customFormat="false" ht="73.5" hidden="false" customHeight="true" outlineLevel="0" collapsed="false">
      <c r="B330" s="500" t="n">
        <v>30</v>
      </c>
      <c r="C330" s="500" t="s">
        <v>10673</v>
      </c>
      <c r="D330" s="501" t="s">
        <v>10674</v>
      </c>
      <c r="E330" s="501" t="s">
        <v>10675</v>
      </c>
      <c r="F330" s="497" t="s">
        <v>10537</v>
      </c>
      <c r="G330" s="501" t="s">
        <v>10676</v>
      </c>
      <c r="H330" s="501" t="s">
        <v>10677</v>
      </c>
      <c r="I330" s="500" t="s">
        <v>10540</v>
      </c>
      <c r="J330" s="500"/>
    </row>
    <row r="331" customFormat="false" ht="73.5" hidden="false" customHeight="true" outlineLevel="0" collapsed="false">
      <c r="B331" s="500" t="n">
        <v>31</v>
      </c>
      <c r="C331" s="500" t="s">
        <v>10678</v>
      </c>
      <c r="D331" s="501" t="s">
        <v>10679</v>
      </c>
      <c r="E331" s="501" t="s">
        <v>10680</v>
      </c>
      <c r="F331" s="497" t="s">
        <v>10537</v>
      </c>
      <c r="G331" s="501" t="s">
        <v>10681</v>
      </c>
      <c r="H331" s="501" t="s">
        <v>10682</v>
      </c>
      <c r="I331" s="500" t="s">
        <v>10540</v>
      </c>
      <c r="J331" s="500"/>
    </row>
    <row r="332" customFormat="false" ht="63" hidden="false" customHeight="true" outlineLevel="0" collapsed="false">
      <c r="B332" s="500" t="n">
        <v>32</v>
      </c>
      <c r="C332" s="500" t="s">
        <v>10683</v>
      </c>
      <c r="D332" s="501" t="s">
        <v>10684</v>
      </c>
      <c r="E332" s="501" t="s">
        <v>10685</v>
      </c>
      <c r="F332" s="500"/>
      <c r="G332" s="501" t="s">
        <v>10686</v>
      </c>
      <c r="H332" s="501" t="s">
        <v>10687</v>
      </c>
      <c r="I332" s="500" t="s">
        <v>10540</v>
      </c>
      <c r="J332" s="500"/>
    </row>
  </sheetData>
  <autoFilter ref="B4:H296"/>
  <dataValidations count="1">
    <dataValidation allowBlank="true" errorStyle="stop" operator="between" showDropDown="false" showErrorMessage="false" showInputMessage="false" sqref="I301:I332" type="list">
      <formula1>"Not Started,In Progress,Complete,N/A"</formula1>
      <formula2>0</formula2>
    </dataValidation>
  </dataValidations>
  <hyperlinks>
    <hyperlink ref="G5" r:id="rId1" display="https://adamscountyco.gov/about-adams-county/cities-towns/"/>
    <hyperlink ref="G6" r:id="rId2" display="https://adamscountyco.gov/service/search-real-property/"/>
    <hyperlink ref="G7" r:id="rId3" display="https://gisapp.adcogov.org/quicksearch/"/>
    <hyperlink ref="G8" r:id="rId4" display="https://adamscountyco.gov/our-county/elected-officials/assessor/"/>
    <hyperlink ref="G9" r:id="rId5" display="https://adamscountyco.gov/our-county/elected-officials/assessor/maps-data/"/>
    <hyperlink ref="G10" r:id="rId6" display="https://adamscountyco.gov/service/gis-interactive-maps/"/>
    <hyperlink ref="G11" r:id="rId7" display="https://adamscountyco.gov/our-county/information-technology-innovation/geographic-information-systems/"/>
    <hyperlink ref="G12" r:id="rId8" display="https://adamscountyco.gov/service/find-public-records-recorded-documents/"/>
    <hyperlink ref="G13" r:id="rId9" display="https://recording.adamscountyco.gov/landmarkweb/"/>
    <hyperlink ref="G14" r:id="rId10" display="https://adamscountyco.gov/our-county/elected-officials/clerk-recorder/recording/"/>
    <hyperlink ref="G15" r:id="rId11" display="https://adamscountyco.gov/our-county/elected-officials/clerk-recorder/recording/land-survey-plats/"/>
    <hyperlink ref="G16" r:id="rId12" display="https://adamscountyco.gov/our-county/elected-officials/clerk-recorder/recording/public-document-postings/"/>
    <hyperlink ref="G17" r:id="rId13" display="https://adcotax.com/"/>
    <hyperlink ref="G18" r:id="rId14" display="https://adamscountyco.gov/our-county/elected-officials/treasurer-public-trustee/treasurer-division/"/>
    <hyperlink ref="G19" r:id="rId15" display="https://adamscountyco.gov/our-county/elected-officials/treasurer-public-trustee/treasurer-division/property-tax-information/"/>
    <hyperlink ref="G20" r:id="rId16" display="https://adamscountyco.gov/our-county/elected-officials/treasurer-public-trustee/treasurer-division/tax-lien-sale/"/>
    <hyperlink ref="G21" r:id="rId17" display="https://adamscountyco.gov/our-county/elected-officials/treasurer-public-trustee/treasurer-division/tax-lien-sale/treasurers-deed/"/>
    <hyperlink ref="G22" r:id="rId18" display="https://adamscountyco.gov/our-county/elected-officials/treasurer-public-trustee/public-trustee-division/"/>
    <hyperlink ref="G23" r:id="rId19" display="https://apps.adcogov.org/PTForeclosureSearch/?ds=1"/>
    <hyperlink ref="G24" r:id="rId20" display="https://apps.adcogov.org/PTForeclosureSearch/reports"/>
    <hyperlink ref="G25" r:id="rId21" display="https://adamscountyco.gov/our-county/community-economic-development/planning-development/"/>
    <hyperlink ref="G26" r:id="rId22" display="https://adamscountyco.gov/our-county/community-economic-development/planning-development/development-standards-regulations/"/>
    <hyperlink ref="G27" r:id="rId23" display="https://adamscountyco.gov/our-county/community-economic-development/planning-development/current-land-use-cases/"/>
    <hyperlink ref="G28" r:id="rId24" display="https://adamscountyco.gov/our-county/community-economic-development/advancing-adams/comprehensive-plan/"/>
    <hyperlink ref="G29" r:id="rId25" display="https://adamscountyco.gov/our-county/community-economic-development/planning-development/long-range-planning/"/>
    <hyperlink ref="G30" r:id="rId26" display="https://adamscountyco.gov/our-county/community-economic-development/permits-licensing/"/>
    <hyperlink ref="G31" r:id="rId27" display="https://adamscountyco.gov/our-county/community-economic-development/building-safety/building-permit/"/>
    <hyperlink ref="G32" r:id="rId28" display="https://adamscountyco.gov/service/apply-for-a-building-permit/"/>
    <hyperlink ref="G33" r:id="rId29" display="https://adamscountyco.gov/our-county/community-economic-development/building-safety/permit-fees-contractor-registration/"/>
    <hyperlink ref="G34" r:id="rId30" display="https://adamscountyco.gov/our-county/community-economic-development/submittal-checklists/"/>
    <hyperlink ref="G35" r:id="rId31" display="https://adamscountyco.gov/our-county/community-economic-development/permits-licensing/codes-information/"/>
    <hyperlink ref="G36" r:id="rId32" display="https://adamscountyco.gov/our-county/community-economic-development/online-resources/"/>
    <hyperlink ref="G37" r:id="rId33" display="https://adamscountyco.gov/our-county/public-works/"/>
    <hyperlink ref="G38" r:id="rId34" display="https://adamscountyco.gov/about-adams-county/public-meetings/"/>
    <hyperlink ref="G39" r:id="rId35" display="https://adamscountyco.gov/our-county/elected-officials/board-of-county-commissioners/current-meeting-agendas-archives/"/>
    <hyperlink ref="G40" r:id="rId36" display="https://adamscountyco.gov/about-adams-county/news/"/>
    <hyperlink ref="G41" r:id="rId37" display="https://adamscountyco.gov/our-county/community-economic-development/planning-development/news-updates/"/>
    <hyperlink ref="G42" r:id="rId38" display="https://www.arvadaco.gov/"/>
    <hyperlink ref="G43" r:id="rId39" display="https://www.arvadaco.gov/702/Maps-and-Property-Search"/>
    <hyperlink ref="G44" r:id="rId40" display="https://www.arvadaco.gov/168/Zoning"/>
    <hyperlink ref="G45" r:id="rId41" display="https://www.arvadaco.gov/1369/Planning-and-Development"/>
    <hyperlink ref="G46" r:id="rId42" display="https://www.arvadaco.gov/1397/Land-Development-Code"/>
    <hyperlink ref="G47" r:id="rId43" display="https://www.arvadaco.gov/1394/Active-Development-Projects"/>
    <hyperlink ref="G48" r:id="rId44" display="https://www.arvadaco.gov/1393/Development-Review-Process"/>
    <hyperlink ref="G49" r:id="rId45" display="https://www.arvadaco.gov/363/Documents-and-Downloads"/>
    <hyperlink ref="G50" r:id="rId46" display="https://www.arvadaco.gov/330/Permits"/>
    <hyperlink ref="G51" r:id="rId47" display="https://www.arvadaco.gov/332/Building-Permits"/>
    <hyperlink ref="G52" r:id="rId48" display="https://www.arvadaco.gov/593/eTRAKiT-Help/permithelp"/>
    <hyperlink ref="G53" r:id="rId49" display="https://www.arvadaco.gov/627/Researching-Permits"/>
    <hyperlink ref="G54" r:id="rId50" display="https://www.arvadaco.gov/1374/2026-27-Comprehensive-Plan"/>
    <hyperlink ref="G55" r:id="rId51" display="https://www.arvadaco.gov/304/City-Plans"/>
    <hyperlink ref="G56" r:id="rId52" display="https://www.arvadaco.gov/276/Planning-Commission"/>
    <hyperlink ref="G57" r:id="rId53" display="https://www.arvadaco.gov/AgendaCenter"/>
    <hyperlink ref="G58" r:id="rId54" display="https://www.arvadaco.gov/245/Meetings-and-Other-Legal-Notices"/>
    <hyperlink ref="G59" r:id="rId55" display="https://www.arvadaco.gov/908/News-Releases"/>
    <hyperlink ref="G60" r:id="rId56" display="https://www.arvadaco.gov/247/Records-and-Requests"/>
    <hyperlink ref="G61" r:id="rId57" display="https://www.auroragov.org/"/>
    <hyperlink ref="G62" r:id="rId58" display="https://www.auroragov.org/city_hall/maps/planning_and_zoning_maps"/>
    <hyperlink ref="G63" r:id="rId59" display="https://ags.auroragov.org/aurora/rest/services/OpenData/MapServer"/>
    <hyperlink ref="G64" r:id="rId60" display="https://zoning.auroragov.org/"/>
    <hyperlink ref="G65" r:id="rId61" display="https://www.auroragov.org/business_services/planning"/>
    <hyperlink ref="G66" r:id="rId62" display="https://www.auroragov.org/city_hall/departments/planning___development_services"/>
    <hyperlink ref="G67" r:id="rId63" display="https://www.auroragov.org/business_services/development_center/codes_rules/building___zoning_code/unified_development_ordinance"/>
    <hyperlink ref="G68" r:id="rId64" display="https://www.auroragov.org/business_services/development_center/codes_rules/building___zoning_code"/>
    <hyperlink ref="G69" r:id="rId65" display="https://coaapps.auroragov.org/ProjectStatus/search.aspx"/>
    <hyperlink ref="G70" r:id="rId66" display="https://www.auroragov.org/business_services/development_center/development_process/forms_and_applications"/>
    <hyperlink ref="G71" r:id="rId67" display="https://www.auroragov.org/business_services/planning/projects__plans___studies"/>
    <hyperlink ref="G72" r:id="rId68" display="https://www.auroragov.org/business_services/planning/projects__plans___studies/comprehensive_plan"/>
    <hyperlink ref="G73" r:id="rId69" display="https://www.auroragov.org/residents/neighborhood_planning"/>
    <hyperlink ref="G74" r:id="rId70" display="https://www.auroragov.org/business_services/building_division/permits"/>
    <hyperlink ref="G75" r:id="rId71" display="https://www.auroragov.org/business_services/development_center/permitting"/>
    <hyperlink ref="G76" r:id="rId72" display="https://www.auroragov.org/business_services/aurora4biz"/>
    <hyperlink ref="G77" r:id="rId73" display="https://www.auroragov.org/city_hall/boards___commissions/planning___zoning_commission"/>
    <hyperlink ref="G78" r:id="rId74" display="https://www.auroragov.org/city_hall/mayor___city_council/council_meetings"/>
    <hyperlink ref="G79" r:id="rId75" display="https://www.auroragov.org/city_hall/public_records/legal_notices/public_hearings"/>
    <hyperlink ref="G80" r:id="rId76" display="https://www.auroragov.org/city_hall/public_records"/>
    <hyperlink ref="G81" r:id="rId77" display="https://www.auroragov.org/news/whats_new"/>
    <hyperlink ref="G82" r:id="rId78" display="https://www.bennettco.gov/"/>
    <hyperlink ref="G83" r:id="rId79" display="https://www.bennettco.gov/business/page/bennett-zoning-map"/>
    <hyperlink ref="G84" r:id="rId80" display="https://www.bennettco.gov/planning-economic-development/page/planning-and-zoning"/>
    <hyperlink ref="G85" r:id="rId81" display="https://www.bennettco.gov/planning-economic-development"/>
    <hyperlink ref="G86" r:id="rId82" display="https://www.bennettco.gov/planning-economic-development/page/zoning-and-subdivision-regulations"/>
    <hyperlink ref="G87" r:id="rId83" display="https://www.bennettco.gov/development"/>
    <hyperlink ref="G88" r:id="rId84" display="https://www.bennettco.gov/projects"/>
    <hyperlink ref="G89" r:id="rId85" display="https://www.bennettco.gov/planning-economic-development/page/applicant-guides"/>
    <hyperlink ref="G90" r:id="rId86" display="https://www.bennettco.gov/community-development/page/self-service-guide-permits-and-zoning"/>
    <hyperlink ref="G91" r:id="rId87" display="https://www.bennettco.gov/community-development/page/building-department"/>
    <hyperlink ref="G92" r:id="rId88" display="https://www.bennettco.gov/community-development/page/how-obtain-permit"/>
    <hyperlink ref="G93" r:id="rId89" display="https://www.bennettco.gov/planning-economic-development/page/master-plans-and-guiding-documents"/>
    <hyperlink ref="G94" r:id="rId90" display="https://www.bennettco.gov/planning-and-zoning-commission"/>
    <hyperlink ref="G95" r:id="rId91" display="https://www.bennettco.gov/meetings/recent"/>
    <hyperlink ref="G96" r:id="rId92" display="https://www.bennettco.gov/town-clerk/page/public-records"/>
    <hyperlink ref="G97" r:id="rId93" display="https://www.bennettco.gov/news"/>
    <hyperlink ref="G98" r:id="rId94" display="https://www.brightonco.gov/"/>
    <hyperlink ref="G99" r:id="rId95" display="https://www.brightonco.gov/248/Geographic-Information-Systems"/>
    <hyperlink ref="G100" r:id="rId96" display="https://www.brightonco.gov/224/Planning-Zoning"/>
    <hyperlink ref="G101" r:id="rId97" display="https://www.brightonco.gov/363/Land-Use-Development-Code"/>
    <hyperlink ref="G102" r:id="rId98" display="https://www.brightonco.gov/1142/Land-Use-Development-Applications"/>
    <hyperlink ref="G103" r:id="rId99" display="https://www.brightonco.gov/1596/Interactive-Development-Map"/>
    <hyperlink ref="G104" r:id="rId100" display="https://www.brightonco.gov/1146/Development-Resources"/>
    <hyperlink ref="G105" r:id="rId101" display="https://www.brightonco.gov/222/Permitting"/>
    <hyperlink ref="G106" r:id="rId102" display="https://www.brightonco.gov/1194/Codes"/>
    <hyperlink ref="G107" r:id="rId103" display="https://www.brightonco.gov/553/Long-Range-Planning"/>
    <hyperlink ref="G108" r:id="rId104" display="https://www.brightonco.gov/197/Planning-Commission"/>
    <hyperlink ref="G109" r:id="rId105" display="https://www.brightonco.gov/agendacenter"/>
    <hyperlink ref="G110" r:id="rId106" display="https://www.brightonco.gov/453/Legal-Notices"/>
    <hyperlink ref="G111" r:id="rId107" display="https://www.brightonco.gov/175/News"/>
    <hyperlink ref="G112" r:id="rId108" display="https://www.brightonco.gov/notifyme"/>
    <hyperlink ref="G113" r:id="rId109" display="https://www.c3gov.com/Home"/>
    <hyperlink ref="G114" r:id="rId110" display="https://www.c3gov.com/Residents/Maps-Data-GIS"/>
    <hyperlink ref="G115" r:id="rId111" display="https://www.c3gov.com/Government/City-Codes/Land-Development-Code"/>
    <hyperlink ref="G116" r:id="rId112" display="https://www.c3gov.com/Government/City-Codes/Land-Development-Code/Land-Development-Code-Transition"/>
    <hyperlink ref="G117" r:id="rId113" display="https://www.c3gov.com/Business-Development/Developing-in-Commerce-City/Land-Use-Standards"/>
    <hyperlink ref="G118" r:id="rId114" display="https://www.c3gov.com/Government/Departments-Divisions/Community-Development"/>
    <hyperlink ref="G119" r:id="rId115" display="https://www.c3gov.com/Business-Development/Developing-in-Commerce-City"/>
    <hyperlink ref="G120" r:id="rId116" display="https://www.c3gov.com/Business-Development/Developing-in-Commerce-City/Land-Use-Approvals"/>
    <hyperlink ref="G121" r:id="rId117" display="https://www.c3gov.com/Business-Development/Development-Projects-Map"/>
    <hyperlink ref="G122" r:id="rId118" display="https://www.c3gov.com/Business-Development/Building-Permits-Inspections"/>
    <hyperlink ref="G123" r:id="rId119" display="https://www.c3gov.com/Business-Development/eTRAKiT-Portal"/>
    <hyperlink ref="G124" r:id="rId120" display="https://www.c3gov.com/Government/City-Charter-Master-Plans/Comprehensive-Plan"/>
    <hyperlink ref="G125" r:id="rId121" display="https://www.c3gov.com/Government/Boards-Commissions/Planning-Commission"/>
    <hyperlink ref="G126" r:id="rId122" display="https://www.c3gov.com/Site-Footer/Footer-Widgets/Quick-Links/Meeting-Agendas-and-Schedules"/>
    <hyperlink ref="G127" r:id="rId123" display="https://www.c3gov.com/Government/Departments-Divisions/City-Clerks-Office/Legal-Notices-Ordinances"/>
    <hyperlink ref="G128" r:id="rId124" display="https://www.c3gov.com/Government/Media-News/News-Announcements"/>
    <hyperlink ref="G129" r:id="rId125" display="https://www.fedheights.org/"/>
    <hyperlink ref="G130" r:id="rId126" display="https://www.fedheights.org/index.asp?SEC=D1A883BE-0C29-4602-8CC9-5D6A08DA5503"/>
    <hyperlink ref="G131" r:id="rId127" display="https://www.fedheights.org/index.asp?SEC=D7AA9940-8607-468A-8215-7308DD3BF799"/>
    <hyperlink ref="G132" r:id="rId128" display="https://www.fedheights.org/planning"/>
    <hyperlink ref="G133" r:id="rId129" display="https://www.fedheights.org/index.asp?SEC=E0D5E6BC-02A8-4AEF-88A1-9093297C3662"/>
    <hyperlink ref="G134" r:id="rId130" display="https://www.fedheights.org/index.asp?SEC=D1CB6EB6-9C4B-4FA8-B119-EF1785E54CB6"/>
    <hyperlink ref="G135" r:id="rId131" display="https://www.fedheights.org/index.asp?SEC=%7BCB7135BC-846F-468B-B85D-0ECE8B03FFCD%7D&amp;persistdesign=none"/>
    <hyperlink ref="G136" r:id="rId132" display="https://www.fedheights.org/index.asp?SEC=%7B76F23E1D-0819-4BAB-BD73-23D6092E8A3B%7D&amp;persistdesign=none"/>
    <hyperlink ref="G137" r:id="rId133" display="https://www.fedheights.org/index.asp?SEC=%7B5CF1D2C4-3E29-4A1A-BBFA-2BE19B3ABFD0%7D"/>
    <hyperlink ref="G138" r:id="rId134" display="https://www.fedheights.org/index.asp?SEC=%7BE66D34DF-8290-4807-83DA-3AF56D110C00%7D"/>
    <hyperlink ref="G139" r:id="rId135" display="https://www.fedheights.org/index.asp?SEC=%7B13723B89-BA4A-47C1-9634-50363F8CD1D2%7D&amp;persistdesign=none"/>
    <hyperlink ref="G140" r:id="rId136" display="https://www.fedheights.org/index.asp?SEC=407F7286-34E9-495F-B5F7-88E905D7C9A5"/>
    <hyperlink ref="G141" r:id="rId137" display="https://www.fedheights.org/index.asp?SEC=%7B2E7DCCA1-1FEF-4EA7-8AE7-6C3F92D19EF3%7D&amp;persistdesign=none"/>
    <hyperlink ref="G142" r:id="rId138" display="https://www.lochbuie.org/"/>
    <hyperlink ref="G143" r:id="rId139" display="https://www.lochbuie.org/community-dev/page/interactive-land-use-map"/>
    <hyperlink ref="G144" r:id="rId140" display="https://www.lochbuie.org/community-dev/page/maps"/>
    <hyperlink ref="G145" r:id="rId141" display="https://www.lochbuie.org/administration/page/zoning-map"/>
    <hyperlink ref="G146" r:id="rId142" display="https://www.lochbuie.org/community-dev/page/current-planning"/>
    <hyperlink ref="G147" r:id="rId143" display="https://www.lochbuie.org/community-dev"/>
    <hyperlink ref="G148" r:id="rId144" display="https://www.lochbuie.org/community-dev/page/land-use-applications"/>
    <hyperlink ref="G149" r:id="rId145" display="https://www.lochbuie.org/community-dev/page/development-resources"/>
    <hyperlink ref="G150" r:id="rId146" display="https://www.lochbuie.org/projects"/>
    <hyperlink ref="G151" r:id="rId147" display="https://www.lochbuie.org/community-dev/page/building-permits-and-inspections"/>
    <hyperlink ref="G152" r:id="rId148" display="https://www.lochbuie.org/community-dev/page/documents"/>
    <hyperlink ref="G153" r:id="rId149" display="https://www.lochbuie.org/community-dev/page/long-range-planning"/>
    <hyperlink ref="G154" r:id="rId150" display="https://www.lochbuie.org/publicnotice/page/ordinances"/>
    <hyperlink ref="G155" r:id="rId151" display="https://www.lochbuie.org/meetings"/>
    <hyperlink ref="G156" r:id="rId152" display="https://www.lochbuie.org/publicnotice"/>
    <hyperlink ref="G157" r:id="rId153" display="https://www.lochbuie.org/news"/>
    <hyperlink ref="G158" r:id="rId154" display="https://www.lochbuie.org/portal"/>
    <hyperlink ref="G159" r:id="rId155" display="https://www.northglenn.org/"/>
    <hyperlink ref="G160" r:id="rId156" display="https://www.northglenn.org/government/departments/planning_development/index.php"/>
    <hyperlink ref="G161" r:id="rId157" display="https://www.northglenn.org/government/land_use_zoning/index.php"/>
    <hyperlink ref="G162" r:id="rId158" display="https://www.northglenn.org/government/land_use_zoning/zoning_map.php"/>
    <hyperlink ref="G163" r:id="rId159" display="https://biz.northglenn.org/quickzone"/>
    <hyperlink ref="G164" r:id="rId160" display="https://www.northglenn.org/government/land_use_zoning/new_code_northglenn.php"/>
    <hyperlink ref="G165" r:id="rId161" display="https://www.northglenn.org/government/land_use_zoning/land_use_applications.php"/>
    <hyperlink ref="G166" r:id="rId162" display="https://www.northglenn.org/government/departments/planning_development/development_review_process.php"/>
    <hyperlink ref="G167" r:id="rId163" display="https://www.northglenn.org/government/project_updates/"/>
    <hyperlink ref="G168" r:id="rId164" display="https://www.northglenn.org/services/licenses_and_permits/index.php"/>
    <hyperlink ref="G169" r:id="rId165" display="https://www.northglenn.org/government/departments/building/pull_a_permit.php"/>
    <hyperlink ref="G170" r:id="rId166" display="https://www.northglenn.org/government/land_use_zoning/comprehensive_plan.php"/>
    <hyperlink ref="G171" r:id="rId167" display="https://www.northglenn.org/government/land_use_zoning/area_plans/index.php"/>
    <hyperlink ref="G172" r:id="rId168" display="https://www.northglenn.org/government/boards_commissions/planning_commission.php"/>
    <hyperlink ref="G173" r:id="rId169" display="https://webdocs.northglenn.org/"/>
    <hyperlink ref="G174" r:id="rId170" display="https://www.northglenn.org/newslist.php"/>
    <hyperlink ref="G175" r:id="rId171" display="https://www.northglenn.org/community/communications/textmygov.php"/>
    <hyperlink ref="G176" r:id="rId172" display="https://www.thorntonco.gov/"/>
    <hyperlink ref="G177" r:id="rId173" display="https://www.thorntonco.gov/business-development/city-development"/>
    <hyperlink ref="G178" r:id="rId174" display="https://www.thorntonco.gov/business-development/city-development/current-planning-zoning"/>
    <hyperlink ref="G179" r:id="rId175" display="https://www.thorntonco.gov/business-development/city-development/current-planning-zoning/zoning-districts-uses-and-regulations"/>
    <hyperlink ref="G180" r:id="rId176" display="https://cityofthornton.maps.arcgis.com/apps/webappviewer/index.html?id=643abe02e8b8446586b6eb6d8ed43f84"/>
    <hyperlink ref="G181" r:id="rId177" display="https://data-cityofthornton.opendata.arcgis.com/"/>
    <hyperlink ref="G182" r:id="rId178" display="https://cityviewportal.thorntonco.gov/Planning/Locator"/>
    <hyperlink ref="G183" r:id="rId179" display="https://www.thorntonco.gov/business-development/active-development"/>
    <hyperlink ref="G184" r:id="rId180" display="https://www.thorntonco.gov/business-development/city-development/current-planning-zoning/development-applications"/>
    <hyperlink ref="G185" r:id="rId181" display="https://www.thorntonco.gov/business-development/city-development/development-engineering-construction"/>
    <hyperlink ref="G186" r:id="rId182" display="https://www.thorntonco.gov/business-development/city-development/building-permits-inspections"/>
    <hyperlink ref="G187" r:id="rId183" display="https://cityviewportal.thorntonco.gov/Permit/LocatorSubmittals"/>
    <hyperlink ref="G188" r:id="rId184" display="https://permits.thorntonco.gov/"/>
    <hyperlink ref="G189" r:id="rId185" display="https://www.thorntonco.gov/business-development/city-development/long-range-planning"/>
    <hyperlink ref="G190" r:id="rId186" display="https://www.thorntonco.gov/business-development/city-development/long-range-planning/plans/thornton-comprehensive-plan"/>
    <hyperlink ref="G191" r:id="rId187" display="https://www.thorntonco.gov/business-development/city-development/long-range-planning/current-projects"/>
    <hyperlink ref="G192" r:id="rId188" display="https://www.thorntonco.gov/government/boards-commissions/planning-commission-board-adjustment"/>
    <hyperlink ref="G193" r:id="rId189" display="https://www.thorntonco.gov/government/mayor-council/upcoming-meetings"/>
    <hyperlink ref="G194" r:id="rId190" display="https://www.thorntonco.gov/government/public-notices"/>
    <hyperlink ref="G195" r:id="rId191" display="https://www.thorntonco.gov/news"/>
    <hyperlink ref="G196" r:id="rId192" display="https://talerts.thorntonco.gov/"/>
    <hyperlink ref="G197" r:id="rId193" display="https://www.westminsterco.gov/"/>
    <hyperlink ref="G198" r:id="rId194" display="https://www.westminsterco.gov/471/Maps"/>
    <hyperlink ref="G199" r:id="rId195" display="https://www.westminsterco.gov/727/Zoning"/>
    <hyperlink ref="G200" r:id="rId196" display="https://www.westminsterco.gov/707/Planning"/>
    <hyperlink ref="G201" r:id="rId197" display="https://www.westminsterco.gov/703/Develop-in-Westminster"/>
    <hyperlink ref="G202" r:id="rId198" display="https://www.westminsterco.gov/855/Current-Development-Project-Map"/>
    <hyperlink ref="G203" r:id="rId199" display="https://www.westminsterco.gov/1060/Redevelopment"/>
    <hyperlink ref="G204" r:id="rId200" display="https://www.westminsterco.gov/833/Permits-Licenses"/>
    <hyperlink ref="G205" r:id="rId201" display="https://www.westminsterco.gov/617/Apply-for-a-Permit-Project"/>
    <hyperlink ref="G206" r:id="rId202" display="https://www.westminsterco.gov/DocumentCenter/View/5605/Comprehensive-Plan_November2025-LR"/>
    <hyperlink ref="G207" r:id="rId203" display="https://www.westminsterco.gov/747/City-Standards-Specifications"/>
    <hyperlink ref="G208" r:id="rId204" display="https://www.westminsterco.gov/639/Code-Enforcement"/>
    <hyperlink ref="G209" r:id="rId205" display="https://www.westminsterco.gov/614/Planning-Commission"/>
    <hyperlink ref="G210" r:id="rId206" display="https://www.westminsterco.gov/AgendaCenter"/>
    <hyperlink ref="G211" r:id="rId207" display="https://www.westminsterco.gov/1098/Public-Notices"/>
    <hyperlink ref="G212" r:id="rId208" display="https://www.westminsterco.gov/m/NewsFlash"/>
    <hyperlink ref="G213" r:id="rId209" display="https://www.westminsterco.gov/565/Public-Records-Request"/>
    <hyperlink ref="G214" r:id="rId210" display="https://adamscountyco.gov/about-adams-county/public-meetings/"/>
    <hyperlink ref="G215" r:id="rId211" display="https://adamscountyco.gov/our-county/community-economic-development/planning-development/current-land-use-cases/"/>
    <hyperlink ref="G216" r:id="rId212" display="https://adamscountyco.gov/our-county/elected-officials/board-of-county-commissioners/current-meeting-agendas-archives/"/>
    <hyperlink ref="G217" r:id="rId213" display="https://adamscountyco.gov/about-adams-county/public-meetings/archived-hearing-agendas-audio/"/>
    <hyperlink ref="G218" r:id="rId214" display="https://adamscountyco.gov/about-adams-county/news/"/>
    <hyperlink ref="G219" r:id="rId215" display="https://adamscountyco.gov/our-county/community-economic-development/planning-development/news-updates/"/>
    <hyperlink ref="G220" r:id="rId216" display="https://adamscountyco.gov/our-county/elected-officials/clerk-recorder/recording/public-document-postings/"/>
    <hyperlink ref="G221" r:id="rId217" display="https://www.arvadaco.gov/AgendaCenter"/>
    <hyperlink ref="G222" r:id="rId218" display="https://www.arvadaco.gov/245/Meetings-and-Other-Legal-Notices"/>
    <hyperlink ref="G223" r:id="rId219" display="https://www.arvadaco.gov/908/News-Releases"/>
    <hyperlink ref="G224" r:id="rId220" display="https://www.auroragov.org/city_hall/boards___commissions/planning___zoning_commission"/>
    <hyperlink ref="G225" r:id="rId221" display="https://www.auroragov.org/city_hall/mayor___city_council/council_meetings"/>
    <hyperlink ref="G226" r:id="rId222" display="https://www.auroragov.org/city_hall/public_records/legal_notices/public_hearings"/>
    <hyperlink ref="G227" r:id="rId223" display="https://www.auroragov.org/news/whats_new"/>
    <hyperlink ref="G228" r:id="rId224" display="https://www.bennettco.gov/meetings/recent"/>
    <hyperlink ref="G229" r:id="rId225" display="https://www.bennettco.gov/planning-and-zoning-commission"/>
    <hyperlink ref="G230" r:id="rId226" display="https://www.bennettco.gov/news"/>
    <hyperlink ref="G231" r:id="rId227" display="https://www.brightonco.gov/agendacenter"/>
    <hyperlink ref="G232" r:id="rId228" display="https://www.brightonco.gov/453/Legal-Notices"/>
    <hyperlink ref="G233" r:id="rId229" display="https://www.brightonco.gov/175/News"/>
    <hyperlink ref="G234" r:id="rId230" display="https://www.brightonco.gov/notifyme"/>
    <hyperlink ref="G235" r:id="rId231" display="https://www.c3gov.com/Site-Footer/Footer-Widgets/Quick-Links/Meeting-Agendas-and-Schedules"/>
    <hyperlink ref="G236" r:id="rId232" display="https://www.c3gov.com/Government/Departments-Divisions/City-Clerks-Office/Legal-Notices-Ordinances"/>
    <hyperlink ref="G237" r:id="rId233" display="https://www.c3gov.com/Government/Media-News/News-Announcements"/>
    <hyperlink ref="G238" r:id="rId234" display="https://www.fedheights.org/index.asp?SEC=%7BE66D34DF-8290-4807-83DA-3AF56D110C00%7D"/>
    <hyperlink ref="G239" r:id="rId235" display="https://www.fedheights.org/index.asp?SEC=407F7286-34E9-495F-B5F7-88E905D7C9A5"/>
    <hyperlink ref="G240" r:id="rId236" display="https://www.fedheights.org/index.asp?SEC=%7B2E7DCCA1-1FEF-4EA7-8AE7-6C3F92D19EF3%7D&amp;persistdesign=none"/>
    <hyperlink ref="G241" r:id="rId237" display="https://www.lochbuie.org/meetings"/>
    <hyperlink ref="G242" r:id="rId238" display="https://www.lochbuie.org/publicnotice"/>
    <hyperlink ref="G243" r:id="rId239" display="https://www.lochbuie.org/news"/>
    <hyperlink ref="G244" r:id="rId240" display="https://webdocs.northglenn.org/"/>
    <hyperlink ref="G245" r:id="rId241" display="https://www.northglenn.org/newslist.php"/>
    <hyperlink ref="G246" r:id="rId242" display="https://www.northglenn.org/community/communications/textmygov.php"/>
    <hyperlink ref="G247" r:id="rId243" display="https://www.thorntonco.gov/government/mayor-council/upcoming-meetings"/>
    <hyperlink ref="G248" r:id="rId244" display="https://www.thorntonco.gov/government/public-notices"/>
    <hyperlink ref="G249" r:id="rId245" display="https://www.thorntonco.gov/news"/>
    <hyperlink ref="G250" r:id="rId246" display="https://talerts.thorntonco.gov/"/>
    <hyperlink ref="G251" r:id="rId247" display="https://www.westminsterco.gov/AgendaCenter"/>
    <hyperlink ref="G252" r:id="rId248" display="https://www.westminsterco.gov/1098/Public-Notices"/>
    <hyperlink ref="G253" r:id="rId249" display="https://www.westminsterco.gov/m/NewsFlash"/>
    <hyperlink ref="G254" r:id="rId250" display="https://sentinelcolorado.com/"/>
    <hyperlink ref="G255" r:id="rId251" display="https://i-70scout.com/blog/"/>
    <hyperlink ref="G256" r:id="rId252" display="https://arvadapress.presspatron.com/"/>
    <hyperlink ref="G257" r:id="rId253" display="https://local.coloradocommunitymedia.com/"/>
    <hyperlink ref="G258" r:id="rId254" display="https://westminster-window-colorado-trust.beehiiv.com/"/>
    <hyperlink ref="G259" r:id="rId255" display="https://co.colorado.gov/search-business-records"/>
    <hyperlink ref="G260" r:id="rId256" display="https://www.sos.state.co.us/ucc/pages/home.xhtml"/>
    <hyperlink ref="G261" r:id="rId257" display="https://gis.dola.colorado.gov/CO_SpecialDistrict/"/>
    <hyperlink ref="G262" r:id="rId258" display="https://dola.colorado.gov/dlg_lgis_ui_pu/"/>
    <hyperlink ref="G263" r:id="rId259" display="https://dola.colorado.gov/dlg_lgis_ui_pu/publicLGTaxEntities.jsf"/>
    <hyperlink ref="G264" r:id="rId260" display="https://gis.dola.colorado.gov/CO_Muni/"/>
    <hyperlink ref="G265" r:id="rId261" display="https://demography.dola.colorado.gov/assets/html/gis_data.html"/>
    <hyperlink ref="G266" r:id="rId262" display="https://demography.dola.colorado.gov/assets/lookups/dashboard_lookup.html"/>
    <hyperlink ref="G267" r:id="rId263" display="https://geodata.colorado.gov/"/>
    <hyperlink ref="G268" r:id="rId264" display="https://gis.colorado.gov/viewer/?page=Home"/>
    <hyperlink ref="G269" r:id="rId265" display="https://drcog.org/data-maps-modeling"/>
    <hyperlink ref="G270" r:id="rId266" display="https://dwr.state.co.us/Tools"/>
    <hyperlink ref="G271" r:id="rId267" display="https://dwr.state.co.us/Tools/WellPermits"/>
    <hyperlink ref="G272" r:id="rId268" display="https://ecmc.state.co.us/maps.html"/>
    <hyperlink ref="G273" r:id="rId269" display="https://ecmc.state.co.us/data.html"/>
    <hyperlink ref="G274" r:id="rId270" display="https://cdphe.colorado.gov/maps-and-gis-for-health-and-environment"/>
    <hyperlink ref="G275" r:id="rId271" display="https://cdphe.colorado.gov/hm/gis-data"/>
    <hyperlink ref="G276" r:id="rId272" display="https://cdphe.colorado.gov/hm/if-site-contaminated"/>
    <hyperlink ref="G277" r:id="rId273" display="https://cdphe.colorado.gov/clean-water-gis-maps"/>
    <hyperlink ref="G278" r:id="rId274" display="https://cdphe.colorado.gov/pfas/mapping"/>
    <hyperlink ref="G279" r:id="rId275" display="https://www.fema.gov/flood-maps"/>
    <hyperlink ref="G280" r:id="rId276" display="https://msc.fema.gov/portal/search"/>
    <hyperlink ref="G281" r:id="rId277" display="https://www.fema.gov/flood-maps/national-flood-hazard-layer"/>
    <hyperlink ref="G282" r:id="rId278" display="https://www.epa.gov/cleanups/cleanups-my-community"/>
    <hyperlink ref="G283" r:id="rId279" display="https://map22.epa.gov/cimc/"/>
    <hyperlink ref="G284" r:id="rId280" display="https://www.epa.gov/superfund/search-superfund-sites-where-you-live"/>
    <hyperlink ref="G285" r:id="rId281" display="https://websoilsurvey.nrcs.usda.gov/"/>
    <hyperlink ref="G286" r:id="rId282" display="https://www.fws.gov/program/national-wetlands-inventory/wetlands-mapper"/>
    <hyperlink ref="G287" r:id="rId283" display="https://dtdapps.codot.gov/otis"/>
    <hyperlink ref="G288" r:id="rId284" display="https://dtdapps.codot.gov/otis/HighwayData"/>
    <hyperlink ref="G289" r:id="rId285" display="https://dtdapps.codot.gov/otis/TrafficData"/>
    <hyperlink ref="G290" r:id="rId286" display="https://www.historycolorado.org/compass-information"/>
    <hyperlink ref="G291" r:id="rId287" display="https://www.historycolorado.org/national-state-register-listed-properties"/>
    <hyperlink ref="G292" r:id="rId288" display="https://dre.colorado.gov/hoa-center"/>
    <hyperlink ref="G293" r:id="rId289" display="https://dre.colorado.gov/hoa-registration-services"/>
    <hyperlink ref="G294" r:id="rId290" display="https://co.colorado.gov/verify-status-professionals-license"/>
    <hyperlink ref="G295" r:id="rId291" display="https://secure.slb.colorado.gov/"/>
    <hyperlink ref="G296" r:id="rId292" display="https://www.blm.gov/maps/frequently-requested/colorado/gis-datasets"/>
    <hyperlink ref="F301" r:id="rId293" display="Open"/>
    <hyperlink ref="F302" r:id="rId294" display="Open"/>
    <hyperlink ref="F303" r:id="rId295" display="Open"/>
    <hyperlink ref="F304" r:id="rId296" display="Open"/>
    <hyperlink ref="F305" r:id="rId297" display="Open"/>
    <hyperlink ref="F306" r:id="rId298" display="Open"/>
    <hyperlink ref="F308" r:id="rId299" display="Open"/>
    <hyperlink ref="F309" r:id="rId300" display="Open"/>
    <hyperlink ref="F310" r:id="rId301" display="Open"/>
    <hyperlink ref="F311" r:id="rId302" display="Open"/>
    <hyperlink ref="F321" r:id="rId303" display="Open"/>
    <hyperlink ref="F322" r:id="rId304" display="Open"/>
    <hyperlink ref="F323" r:id="rId305" display="Open"/>
    <hyperlink ref="F324" r:id="rId306" display="Open"/>
    <hyperlink ref="F325" r:id="rId307" display="Open"/>
    <hyperlink ref="F326" r:id="rId308" display="Open"/>
    <hyperlink ref="F327" r:id="rId309" display="Open"/>
    <hyperlink ref="F328" r:id="rId310" display="Open"/>
    <hyperlink ref="F329" r:id="rId311" display="Open"/>
    <hyperlink ref="F330" r:id="rId312" display="Open"/>
    <hyperlink ref="F331" r:id="rId313" display="Open"/>
  </hyperlink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314"/>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A1:Q10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4" activeCellId="0" sqref="A4"/>
    </sheetView>
  </sheetViews>
  <sheetFormatPr defaultColWidth="10.29296875" defaultRowHeight="12" zeroHeight="false" outlineLevelRow="0" outlineLevelCol="0"/>
  <cols>
    <col collapsed="false" customWidth="true" hidden="false" outlineLevel="0" max="1" min="1" style="1" width="9.14"/>
    <col collapsed="false" customWidth="true" hidden="false" outlineLevel="0" max="2" min="2" style="1" width="11.43"/>
    <col collapsed="false" customWidth="true" hidden="false" outlineLevel="0" max="3" min="3" style="1" width="31.86"/>
    <col collapsed="false" customWidth="true" hidden="false" outlineLevel="0" max="4" min="4" style="1" width="59.29"/>
    <col collapsed="false" customWidth="true" hidden="false" outlineLevel="0" max="5" min="5" style="1" width="17.14"/>
    <col collapsed="false" customWidth="true" hidden="false" outlineLevel="0" max="6" min="6" style="1" width="8"/>
    <col collapsed="false" customWidth="true" hidden="false" outlineLevel="0" max="7" min="7" style="1" width="28.43"/>
    <col collapsed="false" customWidth="true" hidden="false" outlineLevel="0" max="8" min="8" style="1" width="59.29"/>
    <col collapsed="false" customWidth="true" hidden="false" outlineLevel="0" max="9" min="9" style="1" width="14.86"/>
    <col collapsed="false" customWidth="true" hidden="false" outlineLevel="0" max="12" min="12" style="1" width="31.86"/>
    <col collapsed="false" customWidth="true" hidden="false" outlineLevel="0" max="13" min="13" style="1" width="36.43"/>
    <col collapsed="false" customWidth="true" hidden="false" outlineLevel="0" max="14" min="14" style="1" width="59.29"/>
    <col collapsed="false" customWidth="true" hidden="false" outlineLevel="0" max="15" min="15" style="1" width="13.71"/>
    <col collapsed="false" customWidth="true" hidden="false" outlineLevel="0" max="16" min="16" style="1" width="59.29"/>
    <col collapsed="false" customWidth="true" hidden="false" outlineLevel="0" max="17" min="17" style="1" width="34.14"/>
  </cols>
  <sheetData>
    <row r="1" customFormat="false" ht="24" hidden="false" customHeight="true" outlineLevel="0" collapsed="false">
      <c r="A1" s="502" t="s">
        <v>10688</v>
      </c>
      <c r="B1" s="502"/>
      <c r="C1" s="502"/>
      <c r="D1" s="502"/>
      <c r="E1" s="502"/>
      <c r="F1" s="502"/>
      <c r="G1" s="502"/>
      <c r="H1" s="502"/>
      <c r="I1" s="502"/>
      <c r="J1" s="502"/>
      <c r="K1" s="502"/>
      <c r="L1" s="502"/>
      <c r="M1" s="502"/>
      <c r="N1" s="502"/>
    </row>
    <row r="2" customFormat="false" ht="15.75" hidden="false" customHeight="true" outlineLevel="0" collapsed="false">
      <c r="A2" s="503" t="s">
        <v>10689</v>
      </c>
      <c r="B2" s="503"/>
      <c r="C2" s="503"/>
      <c r="D2" s="503"/>
      <c r="E2" s="503"/>
      <c r="F2" s="503"/>
      <c r="G2" s="503"/>
      <c r="H2" s="503"/>
      <c r="I2" s="503"/>
      <c r="J2" s="503"/>
      <c r="K2" s="503"/>
      <c r="L2" s="503"/>
      <c r="M2" s="503"/>
      <c r="N2" s="503"/>
    </row>
    <row r="3" customFormat="false" ht="30" hidden="false" customHeight="true" outlineLevel="0" collapsed="false">
      <c r="A3" s="504" t="s">
        <v>10690</v>
      </c>
      <c r="B3" s="505" t="s">
        <v>10691</v>
      </c>
      <c r="C3" s="505" t="s">
        <v>2310</v>
      </c>
      <c r="D3" s="506" t="s">
        <v>129</v>
      </c>
      <c r="E3" s="504" t="s">
        <v>38</v>
      </c>
      <c r="F3" s="504" t="s">
        <v>10692</v>
      </c>
      <c r="G3" s="504" t="s">
        <v>133</v>
      </c>
      <c r="H3" s="506" t="s">
        <v>10693</v>
      </c>
      <c r="I3" s="504" t="s">
        <v>230</v>
      </c>
      <c r="J3" s="504" t="s">
        <v>292</v>
      </c>
      <c r="K3" s="504" t="s">
        <v>10694</v>
      </c>
      <c r="L3" s="504" t="s">
        <v>10695</v>
      </c>
      <c r="M3" s="504" t="s">
        <v>10696</v>
      </c>
      <c r="N3" s="506" t="s">
        <v>1945</v>
      </c>
      <c r="O3" s="504" t="s">
        <v>10697</v>
      </c>
      <c r="P3" s="506" t="s">
        <v>1907</v>
      </c>
      <c r="Q3" s="73" t="s">
        <v>10698</v>
      </c>
    </row>
    <row r="4" customFormat="false" ht="42" hidden="false" customHeight="true" outlineLevel="0" collapsed="false">
      <c r="A4" s="507" t="s">
        <v>10699</v>
      </c>
      <c r="B4" s="508" t="n">
        <v>407</v>
      </c>
      <c r="C4" s="509" t="s">
        <v>10700</v>
      </c>
      <c r="D4" s="507" t="s">
        <v>10701</v>
      </c>
      <c r="E4" s="507" t="s">
        <v>4420</v>
      </c>
      <c r="F4" s="507" t="s">
        <v>10702</v>
      </c>
      <c r="G4" s="507" t="s">
        <v>9267</v>
      </c>
      <c r="H4" s="507" t="s">
        <v>1389</v>
      </c>
      <c r="I4" s="510" t="n">
        <v>1988</v>
      </c>
      <c r="J4" s="510" t="n">
        <v>21000</v>
      </c>
      <c r="K4" s="510" t="n">
        <v>66700</v>
      </c>
      <c r="L4" s="507" t="s">
        <v>10703</v>
      </c>
      <c r="M4" s="507" t="s">
        <v>10704</v>
      </c>
      <c r="N4" s="507" t="s">
        <v>10705</v>
      </c>
      <c r="O4" s="507" t="s">
        <v>10706</v>
      </c>
      <c r="P4" s="507" t="s">
        <v>10707</v>
      </c>
      <c r="Q4" s="290" t="str">
        <f aca="false">IF(B4="","",IFERROR(INDEX(OCC_TABLE_DESC,MATCH(B4,OCC_TABLE_CODE,0)),"Unrecognized code"))</f>
        <v>Distribution Warehouse</v>
      </c>
    </row>
    <row r="5" customFormat="false" ht="39.75" hidden="false" customHeight="true" outlineLevel="0" collapsed="false">
      <c r="A5" s="507" t="s">
        <v>10708</v>
      </c>
      <c r="B5" s="508" t="n">
        <v>344</v>
      </c>
      <c r="C5" s="509" t="s">
        <v>10709</v>
      </c>
      <c r="D5" s="507" t="s">
        <v>10710</v>
      </c>
      <c r="E5" s="507" t="s">
        <v>9525</v>
      </c>
      <c r="F5" s="507" t="s">
        <v>10702</v>
      </c>
      <c r="G5" s="507" t="s">
        <v>10711</v>
      </c>
      <c r="H5" s="507" t="s">
        <v>10712</v>
      </c>
      <c r="I5" s="507"/>
      <c r="J5" s="507"/>
      <c r="K5" s="507"/>
      <c r="L5" s="507" t="s">
        <v>10709</v>
      </c>
      <c r="M5" s="507" t="s">
        <v>10713</v>
      </c>
      <c r="N5" s="507" t="s">
        <v>10714</v>
      </c>
      <c r="O5" s="507" t="s">
        <v>10706</v>
      </c>
      <c r="P5" s="507" t="s">
        <v>10715</v>
      </c>
      <c r="Q5" s="290" t="str">
        <f aca="false">IF(B5="","",IFERROR(INDEX(OCC_TABLE_DESC,MATCH(B5,OCC_TABLE_CODE,0)),"Unrecognized code"))</f>
        <v>Office Building</v>
      </c>
    </row>
    <row r="6" customFormat="false" ht="39.75" hidden="false" customHeight="true" outlineLevel="0" collapsed="false">
      <c r="A6" s="507" t="s">
        <v>10716</v>
      </c>
      <c r="B6" s="508" t="n">
        <v>344</v>
      </c>
      <c r="C6" s="509" t="s">
        <v>10717</v>
      </c>
      <c r="D6" s="507" t="s">
        <v>10718</v>
      </c>
      <c r="E6" s="507" t="s">
        <v>4407</v>
      </c>
      <c r="F6" s="507" t="s">
        <v>10702</v>
      </c>
      <c r="G6" s="507" t="s">
        <v>10719</v>
      </c>
      <c r="H6" s="507" t="s">
        <v>10720</v>
      </c>
      <c r="I6" s="507"/>
      <c r="J6" s="510" t="n">
        <v>49479</v>
      </c>
      <c r="K6" s="507"/>
      <c r="L6" s="507" t="s">
        <v>10717</v>
      </c>
      <c r="M6" s="507" t="s">
        <v>10721</v>
      </c>
      <c r="N6" s="507" t="s">
        <v>10722</v>
      </c>
      <c r="O6" s="507" t="s">
        <v>10706</v>
      </c>
      <c r="P6" s="507" t="s">
        <v>10723</v>
      </c>
      <c r="Q6" s="290" t="str">
        <f aca="false">IF(B6="","",IFERROR(INDEX(OCC_TABLE_DESC,MATCH(B6,OCC_TABLE_CODE,0)),"Unrecognized code"))</f>
        <v>Office Building</v>
      </c>
    </row>
    <row r="7" customFormat="false" ht="39.75" hidden="false" customHeight="true" outlineLevel="0" collapsed="false">
      <c r="A7" s="507" t="s">
        <v>10724</v>
      </c>
      <c r="B7" s="508" t="n">
        <v>412</v>
      </c>
      <c r="C7" s="509" t="s">
        <v>10725</v>
      </c>
      <c r="D7" s="507" t="s">
        <v>10726</v>
      </c>
      <c r="E7" s="507" t="s">
        <v>9525</v>
      </c>
      <c r="F7" s="507" t="s">
        <v>10702</v>
      </c>
      <c r="G7" s="507" t="s">
        <v>10727</v>
      </c>
      <c r="H7" s="507" t="s">
        <v>10728</v>
      </c>
      <c r="I7" s="507"/>
      <c r="J7" s="510" t="n">
        <v>65850</v>
      </c>
      <c r="K7" s="507"/>
      <c r="L7" s="507" t="s">
        <v>10725</v>
      </c>
      <c r="M7" s="507" t="s">
        <v>10729</v>
      </c>
      <c r="N7" s="507" t="s">
        <v>10730</v>
      </c>
      <c r="O7" s="507" t="s">
        <v>10706</v>
      </c>
      <c r="P7" s="507" t="s">
        <v>10731</v>
      </c>
      <c r="Q7" s="290" t="str">
        <f aca="false">IF(B7="","",IFERROR(INDEX(OCC_TABLE_DESC,MATCH(B7,OCC_TABLE_CODE,0)),"Unrecognized code"))</f>
        <v>Neighborhood Shopping Center</v>
      </c>
    </row>
    <row r="8" customFormat="false" ht="39.75" hidden="false" customHeight="true" outlineLevel="0" collapsed="false">
      <c r="A8" s="507" t="s">
        <v>10732</v>
      </c>
      <c r="B8" s="508" t="n">
        <v>344</v>
      </c>
      <c r="C8" s="509" t="s">
        <v>4366</v>
      </c>
      <c r="D8" s="507" t="s">
        <v>10733</v>
      </c>
      <c r="E8" s="507" t="s">
        <v>4368</v>
      </c>
      <c r="F8" s="507" t="s">
        <v>10702</v>
      </c>
      <c r="G8" s="507" t="s">
        <v>10719</v>
      </c>
      <c r="H8" s="507" t="s">
        <v>10734</v>
      </c>
      <c r="I8" s="507"/>
      <c r="J8" s="510" t="n">
        <v>91646</v>
      </c>
      <c r="K8" s="507"/>
      <c r="L8" s="507" t="s">
        <v>4366</v>
      </c>
      <c r="M8" s="507" t="s">
        <v>10735</v>
      </c>
      <c r="N8" s="507" t="s">
        <v>10736</v>
      </c>
      <c r="O8" s="507" t="s">
        <v>10706</v>
      </c>
      <c r="P8" s="507" t="s">
        <v>10737</v>
      </c>
      <c r="Q8" s="290" t="str">
        <f aca="false">IF(B8="","",IFERROR(INDEX(OCC_TABLE_DESC,MATCH(B8,OCC_TABLE_CODE,0)),"Unrecognized code"))</f>
        <v>Office Building</v>
      </c>
    </row>
    <row r="9" customFormat="false" ht="39.75" hidden="false" customHeight="true" outlineLevel="0" collapsed="false">
      <c r="A9" s="507" t="s">
        <v>10738</v>
      </c>
      <c r="B9" s="508" t="n">
        <v>210</v>
      </c>
      <c r="C9" s="509" t="s">
        <v>10739</v>
      </c>
      <c r="D9" s="507" t="s">
        <v>10740</v>
      </c>
      <c r="E9" s="507" t="s">
        <v>4407</v>
      </c>
      <c r="F9" s="507" t="s">
        <v>10702</v>
      </c>
      <c r="G9" s="507" t="s">
        <v>10741</v>
      </c>
      <c r="H9" s="507" t="s">
        <v>10712</v>
      </c>
      <c r="I9" s="507"/>
      <c r="J9" s="510" t="n">
        <v>37078</v>
      </c>
      <c r="K9" s="507"/>
      <c r="L9" s="507" t="s">
        <v>10739</v>
      </c>
      <c r="M9" s="507" t="s">
        <v>10709</v>
      </c>
      <c r="N9" s="507" t="s">
        <v>10742</v>
      </c>
      <c r="O9" s="507" t="s">
        <v>10706</v>
      </c>
      <c r="P9" s="507" t="s">
        <v>10743</v>
      </c>
      <c r="Q9" s="290" t="str">
        <f aca="false">IF(B9="","",IFERROR(INDEX(OCC_TABLE_DESC,MATCH(B9,OCC_TABLE_CODE,0)),"Unrecognized code"))</f>
        <v>Industrial Flex Mall Building</v>
      </c>
    </row>
    <row r="10" customFormat="false" ht="39.75" hidden="false" customHeight="true" outlineLevel="0" collapsed="false">
      <c r="A10" s="507" t="s">
        <v>10744</v>
      </c>
      <c r="B10" s="508" t="n">
        <v>341</v>
      </c>
      <c r="C10" s="509" t="s">
        <v>10745</v>
      </c>
      <c r="D10" s="507" t="s">
        <v>10746</v>
      </c>
      <c r="E10" s="507" t="s">
        <v>9525</v>
      </c>
      <c r="F10" s="507" t="s">
        <v>10702</v>
      </c>
      <c r="G10" s="507" t="s">
        <v>9275</v>
      </c>
      <c r="H10" s="507" t="s">
        <v>10712</v>
      </c>
      <c r="I10" s="507"/>
      <c r="J10" s="510" t="n">
        <v>19430</v>
      </c>
      <c r="K10" s="507"/>
      <c r="L10" s="507" t="s">
        <v>10745</v>
      </c>
      <c r="M10" s="507" t="s">
        <v>10747</v>
      </c>
      <c r="N10" s="507" t="s">
        <v>10748</v>
      </c>
      <c r="O10" s="507" t="s">
        <v>10706</v>
      </c>
      <c r="P10" s="507" t="s">
        <v>10749</v>
      </c>
      <c r="Q10" s="290" t="str">
        <f aca="false">IF(B10="","",IFERROR(INDEX(OCC_TABLE_DESC,MATCH(B10,OCC_TABLE_CODE,0)),"Unrecognized code"))</f>
        <v>Medical Offices</v>
      </c>
    </row>
    <row r="11" customFormat="false" ht="39.75" hidden="false" customHeight="true" outlineLevel="0" collapsed="false">
      <c r="A11" s="507" t="s">
        <v>10750</v>
      </c>
      <c r="B11" s="508" t="n">
        <v>210</v>
      </c>
      <c r="C11" s="509" t="s">
        <v>10751</v>
      </c>
      <c r="D11" s="507" t="s">
        <v>10752</v>
      </c>
      <c r="E11" s="507" t="s">
        <v>9525</v>
      </c>
      <c r="F11" s="507" t="s">
        <v>10702</v>
      </c>
      <c r="G11" s="507" t="s">
        <v>2692</v>
      </c>
      <c r="H11" s="507" t="s">
        <v>10753</v>
      </c>
      <c r="I11" s="507"/>
      <c r="J11" s="510" t="n">
        <v>330935</v>
      </c>
      <c r="K11" s="507"/>
      <c r="L11" s="507" t="s">
        <v>10751</v>
      </c>
      <c r="M11" s="507" t="s">
        <v>10754</v>
      </c>
      <c r="N11" s="507" t="s">
        <v>10730</v>
      </c>
      <c r="O11" s="507" t="s">
        <v>10706</v>
      </c>
      <c r="P11" s="507" t="s">
        <v>10755</v>
      </c>
      <c r="Q11" s="290" t="str">
        <f aca="false">IF(B11="","",IFERROR(INDEX(OCC_TABLE_DESC,MATCH(B11,OCC_TABLE_CODE,0)),"Unrecognized code"))</f>
        <v>Industrial Flex Mall Building</v>
      </c>
    </row>
    <row r="12" customFormat="false" ht="39.75" hidden="false" customHeight="true" outlineLevel="0" collapsed="false">
      <c r="A12" s="507" t="s">
        <v>10756</v>
      </c>
      <c r="B12" s="508" t="n">
        <v>407</v>
      </c>
      <c r="C12" s="509" t="s">
        <v>10757</v>
      </c>
      <c r="D12" s="507" t="s">
        <v>10758</v>
      </c>
      <c r="E12" s="507" t="s">
        <v>9525</v>
      </c>
      <c r="F12" s="507" t="s">
        <v>10702</v>
      </c>
      <c r="G12" s="507" t="s">
        <v>2692</v>
      </c>
      <c r="H12" s="507" t="s">
        <v>10759</v>
      </c>
      <c r="I12" s="507"/>
      <c r="J12" s="507"/>
      <c r="K12" s="507"/>
      <c r="L12" s="507" t="s">
        <v>10757</v>
      </c>
      <c r="M12" s="507" t="s">
        <v>10760</v>
      </c>
      <c r="N12" s="507" t="s">
        <v>10761</v>
      </c>
      <c r="O12" s="507" t="s">
        <v>10706</v>
      </c>
      <c r="P12" s="507" t="s">
        <v>10762</v>
      </c>
      <c r="Q12" s="290" t="str">
        <f aca="false">IF(B12="","",IFERROR(INDEX(OCC_TABLE_DESC,MATCH(B12,OCC_TABLE_CODE,0)),"Unrecognized code"))</f>
        <v>Distribution Warehouse</v>
      </c>
    </row>
    <row r="13" customFormat="false" ht="39.75" hidden="false" customHeight="true" outlineLevel="0" collapsed="false">
      <c r="A13" s="507" t="s">
        <v>10763</v>
      </c>
      <c r="B13" s="508" t="n">
        <v>210</v>
      </c>
      <c r="C13" s="509" t="s">
        <v>10764</v>
      </c>
      <c r="D13" s="507" t="s">
        <v>10765</v>
      </c>
      <c r="E13" s="507" t="s">
        <v>1557</v>
      </c>
      <c r="F13" s="507" t="s">
        <v>10702</v>
      </c>
      <c r="G13" s="507" t="s">
        <v>10766</v>
      </c>
      <c r="H13" s="507" t="s">
        <v>10767</v>
      </c>
      <c r="I13" s="507"/>
      <c r="J13" s="510" t="n">
        <v>105000</v>
      </c>
      <c r="K13" s="507"/>
      <c r="L13" s="507" t="s">
        <v>10764</v>
      </c>
      <c r="M13" s="507" t="s">
        <v>10768</v>
      </c>
      <c r="N13" s="507" t="s">
        <v>10748</v>
      </c>
      <c r="O13" s="507" t="s">
        <v>10706</v>
      </c>
      <c r="P13" s="507" t="s">
        <v>10769</v>
      </c>
      <c r="Q13" s="290" t="str">
        <f aca="false">IF(B13="","",IFERROR(INDEX(OCC_TABLE_DESC,MATCH(B13,OCC_TABLE_CODE,0)),"Unrecognized code"))</f>
        <v>Industrial Flex Mall Building</v>
      </c>
    </row>
    <row r="14" customFormat="false" ht="39.75" hidden="false" customHeight="true" outlineLevel="0" collapsed="false">
      <c r="A14" s="507" t="s">
        <v>10770</v>
      </c>
      <c r="B14" s="508" t="n">
        <v>210</v>
      </c>
      <c r="C14" s="509" t="s">
        <v>2387</v>
      </c>
      <c r="D14" s="507" t="s">
        <v>10771</v>
      </c>
      <c r="E14" s="507" t="s">
        <v>9525</v>
      </c>
      <c r="F14" s="507" t="s">
        <v>10702</v>
      </c>
      <c r="G14" s="507" t="s">
        <v>10772</v>
      </c>
      <c r="H14" s="507" t="s">
        <v>10712</v>
      </c>
      <c r="I14" s="507"/>
      <c r="J14" s="507"/>
      <c r="K14" s="507"/>
      <c r="L14" s="507" t="s">
        <v>2387</v>
      </c>
      <c r="M14" s="507" t="s">
        <v>10709</v>
      </c>
      <c r="N14" s="507" t="s">
        <v>10773</v>
      </c>
      <c r="O14" s="507" t="s">
        <v>10706</v>
      </c>
      <c r="P14" s="507" t="s">
        <v>10774</v>
      </c>
      <c r="Q14" s="290" t="str">
        <f aca="false">IF(B14="","",IFERROR(INDEX(OCC_TABLE_DESC,MATCH(B14,OCC_TABLE_CODE,0)),"Unrecognized code"))</f>
        <v>Industrial Flex Mall Building</v>
      </c>
    </row>
    <row r="15" customFormat="false" ht="39.75" hidden="false" customHeight="true" outlineLevel="0" collapsed="false">
      <c r="A15" s="507" t="s">
        <v>10775</v>
      </c>
      <c r="B15" s="508" t="n">
        <v>344</v>
      </c>
      <c r="C15" s="509" t="s">
        <v>10776</v>
      </c>
      <c r="D15" s="507" t="s">
        <v>10777</v>
      </c>
      <c r="E15" s="507" t="s">
        <v>9525</v>
      </c>
      <c r="F15" s="507" t="s">
        <v>10702</v>
      </c>
      <c r="G15" s="507" t="s">
        <v>10719</v>
      </c>
      <c r="H15" s="507" t="s">
        <v>10712</v>
      </c>
      <c r="I15" s="507"/>
      <c r="J15" s="510" t="n">
        <v>20170</v>
      </c>
      <c r="K15" s="507"/>
      <c r="L15" s="507" t="s">
        <v>10776</v>
      </c>
      <c r="M15" s="507" t="s">
        <v>10709</v>
      </c>
      <c r="N15" s="507" t="s">
        <v>10778</v>
      </c>
      <c r="O15" s="507" t="s">
        <v>10706</v>
      </c>
      <c r="P15" s="507" t="s">
        <v>10779</v>
      </c>
      <c r="Q15" s="290" t="str">
        <f aca="false">IF(B15="","",IFERROR(INDEX(OCC_TABLE_DESC,MATCH(B15,OCC_TABLE_CODE,0)),"Unrecognized code"))</f>
        <v>Office Building</v>
      </c>
    </row>
    <row r="16" customFormat="false" ht="39.75" hidden="false" customHeight="true" outlineLevel="0" collapsed="false">
      <c r="A16" s="507" t="s">
        <v>10780</v>
      </c>
      <c r="B16" s="508" t="n">
        <v>353</v>
      </c>
      <c r="C16" s="509" t="s">
        <v>10781</v>
      </c>
      <c r="D16" s="507" t="s">
        <v>10782</v>
      </c>
      <c r="E16" s="507" t="s">
        <v>9525</v>
      </c>
      <c r="F16" s="507" t="s">
        <v>10702</v>
      </c>
      <c r="G16" s="507" t="s">
        <v>10783</v>
      </c>
      <c r="H16" s="507" t="s">
        <v>10712</v>
      </c>
      <c r="I16" s="510" t="n">
        <v>2023</v>
      </c>
      <c r="J16" s="507"/>
      <c r="K16" s="507"/>
      <c r="L16" s="507" t="s">
        <v>10781</v>
      </c>
      <c r="M16" s="507" t="s">
        <v>10709</v>
      </c>
      <c r="N16" s="507" t="s">
        <v>10784</v>
      </c>
      <c r="O16" s="507" t="s">
        <v>10706</v>
      </c>
      <c r="P16" s="507" t="s">
        <v>10785</v>
      </c>
      <c r="Q16" s="290" t="str">
        <f aca="false">IF(B16="","",IFERROR(INDEX(OCC_TABLE_DESC,MATCH(B16,OCC_TABLE_CODE,0)),"Unrecognized code"))</f>
        <v>Retail Store</v>
      </c>
    </row>
    <row r="17" customFormat="false" ht="39.75" hidden="false" customHeight="true" outlineLevel="0" collapsed="false">
      <c r="A17" s="507" t="s">
        <v>10786</v>
      </c>
      <c r="B17" s="508" t="n">
        <v>407</v>
      </c>
      <c r="C17" s="509" t="s">
        <v>10787</v>
      </c>
      <c r="D17" s="507" t="s">
        <v>10788</v>
      </c>
      <c r="E17" s="507" t="s">
        <v>4743</v>
      </c>
      <c r="F17" s="507" t="s">
        <v>10702</v>
      </c>
      <c r="G17" s="507" t="s">
        <v>10789</v>
      </c>
      <c r="H17" s="507" t="s">
        <v>10790</v>
      </c>
      <c r="I17" s="507"/>
      <c r="J17" s="510" t="n">
        <v>555840</v>
      </c>
      <c r="K17" s="507"/>
      <c r="L17" s="507" t="s">
        <v>10787</v>
      </c>
      <c r="M17" s="507" t="s">
        <v>10791</v>
      </c>
      <c r="N17" s="507" t="s">
        <v>10792</v>
      </c>
      <c r="O17" s="507" t="s">
        <v>10706</v>
      </c>
      <c r="P17" s="507" t="s">
        <v>10793</v>
      </c>
      <c r="Q17" s="290" t="str">
        <f aca="false">IF(B17="","",IFERROR(INDEX(OCC_TABLE_DESC,MATCH(B17,OCC_TABLE_CODE,0)),"Unrecognized code"))</f>
        <v>Distribution Warehouse</v>
      </c>
    </row>
    <row r="18" customFormat="false" ht="12.75" hidden="false" customHeight="true" outlineLevel="0" collapsed="false">
      <c r="A18" s="511" t="s">
        <v>10794</v>
      </c>
      <c r="B18" s="508" t="n">
        <v>407</v>
      </c>
      <c r="C18" s="509" t="s">
        <v>2158</v>
      </c>
      <c r="D18" s="512" t="s">
        <v>10795</v>
      </c>
      <c r="E18" s="511" t="s">
        <v>4743</v>
      </c>
      <c r="F18" s="511" t="s">
        <v>10702</v>
      </c>
      <c r="G18" s="511" t="s">
        <v>2692</v>
      </c>
      <c r="H18" s="512" t="s">
        <v>10796</v>
      </c>
      <c r="I18" s="511" t="n">
        <v>2019</v>
      </c>
      <c r="J18" s="511" t="n">
        <v>163386</v>
      </c>
      <c r="K18" s="511"/>
      <c r="L18" s="511" t="s">
        <v>2158</v>
      </c>
      <c r="M18" s="511"/>
      <c r="N18" s="512" t="s">
        <v>10797</v>
      </c>
      <c r="O18" s="511" t="s">
        <v>10706</v>
      </c>
      <c r="P18" s="512" t="s">
        <v>10798</v>
      </c>
      <c r="Q18" s="290" t="str">
        <f aca="false">IF(B18="","",IFERROR(INDEX(OCC_TABLE_DESC,MATCH(B18,OCC_TABLE_CODE,0)),"Unrecognized code"))</f>
        <v>Distribution Warehouse</v>
      </c>
    </row>
    <row r="19" customFormat="false" ht="12.75" hidden="false" customHeight="true" outlineLevel="0" collapsed="false">
      <c r="A19" s="513" t="s">
        <v>10799</v>
      </c>
      <c r="B19" s="508" t="n">
        <v>584</v>
      </c>
      <c r="C19" s="509" t="s">
        <v>10800</v>
      </c>
      <c r="D19" s="514" t="s">
        <v>10801</v>
      </c>
      <c r="E19" s="513" t="s">
        <v>4743</v>
      </c>
      <c r="F19" s="513" t="s">
        <v>10702</v>
      </c>
      <c r="G19" s="513" t="s">
        <v>2692</v>
      </c>
      <c r="H19" s="514" t="s">
        <v>10802</v>
      </c>
      <c r="I19" s="513" t="n">
        <v>1983</v>
      </c>
      <c r="J19" s="513" t="n">
        <v>384953</v>
      </c>
      <c r="K19" s="513"/>
      <c r="L19" s="513" t="s">
        <v>10800</v>
      </c>
      <c r="M19" s="513"/>
      <c r="N19" s="514" t="s">
        <v>10803</v>
      </c>
      <c r="O19" s="513" t="s">
        <v>10706</v>
      </c>
      <c r="P19" s="514" t="s">
        <v>10804</v>
      </c>
      <c r="Q19" s="290" t="str">
        <f aca="false">IF(B19="","",IFERROR(INDEX(OCC_TABLE_DESC,MATCH(B19,OCC_TABLE_CODE,0)),"Unrecognized code"))</f>
        <v>Mega Warehouse</v>
      </c>
    </row>
    <row r="20" customFormat="false" ht="12.75" hidden="false" customHeight="true" outlineLevel="0" collapsed="false">
      <c r="A20" s="511" t="s">
        <v>10805</v>
      </c>
      <c r="B20" s="508" t="n">
        <v>210</v>
      </c>
      <c r="C20" s="509" t="s">
        <v>10806</v>
      </c>
      <c r="D20" s="512" t="s">
        <v>10807</v>
      </c>
      <c r="E20" s="511" t="s">
        <v>1557</v>
      </c>
      <c r="F20" s="511" t="s">
        <v>10702</v>
      </c>
      <c r="G20" s="511" t="s">
        <v>2692</v>
      </c>
      <c r="H20" s="512" t="s">
        <v>10808</v>
      </c>
      <c r="I20" s="511" t="n">
        <v>1972</v>
      </c>
      <c r="J20" s="511" t="n">
        <v>63348</v>
      </c>
      <c r="K20" s="511"/>
      <c r="L20" s="511" t="s">
        <v>10806</v>
      </c>
      <c r="M20" s="511"/>
      <c r="N20" s="512" t="s">
        <v>10803</v>
      </c>
      <c r="O20" s="511" t="s">
        <v>10706</v>
      </c>
      <c r="P20" s="512" t="s">
        <v>10809</v>
      </c>
      <c r="Q20" s="290" t="str">
        <f aca="false">IF(B20="","",IFERROR(INDEX(OCC_TABLE_DESC,MATCH(B20,OCC_TABLE_CODE,0)),"Unrecognized code"))</f>
        <v>Industrial Flex Mall Building</v>
      </c>
    </row>
    <row r="21" customFormat="false" ht="12.75" hidden="false" customHeight="true" outlineLevel="0" collapsed="false">
      <c r="A21" s="513" t="s">
        <v>10810</v>
      </c>
      <c r="B21" s="508" t="n">
        <v>406</v>
      </c>
      <c r="C21" s="509" t="s">
        <v>10811</v>
      </c>
      <c r="D21" s="514" t="s">
        <v>10812</v>
      </c>
      <c r="E21" s="513" t="s">
        <v>1557</v>
      </c>
      <c r="F21" s="513" t="s">
        <v>10702</v>
      </c>
      <c r="G21" s="513" t="s">
        <v>2692</v>
      </c>
      <c r="H21" s="514" t="s">
        <v>10813</v>
      </c>
      <c r="I21" s="513" t="n">
        <v>2004</v>
      </c>
      <c r="J21" s="513" t="n">
        <v>18720</v>
      </c>
      <c r="K21" s="513"/>
      <c r="L21" s="513" t="s">
        <v>10811</v>
      </c>
      <c r="M21" s="513"/>
      <c r="N21" s="514" t="s">
        <v>10814</v>
      </c>
      <c r="O21" s="513" t="s">
        <v>10706</v>
      </c>
      <c r="P21" s="514" t="s">
        <v>10815</v>
      </c>
      <c r="Q21" s="290" t="str">
        <f aca="false">IF(B21="","",IFERROR(INDEX(OCC_TABLE_DESC,MATCH(B21,OCC_TABLE_CODE,0)),"Unrecognized code"))</f>
        <v>Storage Warehouse</v>
      </c>
    </row>
    <row r="22" customFormat="false" ht="12.75" hidden="false" customHeight="true" outlineLevel="0" collapsed="false">
      <c r="A22" s="511" t="s">
        <v>10816</v>
      </c>
      <c r="B22" s="508" t="n">
        <v>407</v>
      </c>
      <c r="C22" s="509" t="s">
        <v>10817</v>
      </c>
      <c r="D22" s="512" t="s">
        <v>10818</v>
      </c>
      <c r="E22" s="511" t="s">
        <v>4420</v>
      </c>
      <c r="F22" s="511" t="s">
        <v>10702</v>
      </c>
      <c r="G22" s="511" t="s">
        <v>2692</v>
      </c>
      <c r="H22" s="512" t="s">
        <v>10819</v>
      </c>
      <c r="I22" s="511" t="n">
        <v>2021</v>
      </c>
      <c r="J22" s="511" t="n">
        <v>329940</v>
      </c>
      <c r="K22" s="511"/>
      <c r="L22" s="511" t="s">
        <v>10817</v>
      </c>
      <c r="M22" s="511"/>
      <c r="N22" s="512" t="s">
        <v>10820</v>
      </c>
      <c r="O22" s="511" t="s">
        <v>10706</v>
      </c>
      <c r="P22" s="512" t="s">
        <v>10821</v>
      </c>
      <c r="Q22" s="290" t="str">
        <f aca="false">IF(B22="","",IFERROR(INDEX(OCC_TABLE_DESC,MATCH(B22,OCC_TABLE_CODE,0)),"Unrecognized code"))</f>
        <v>Distribution Warehouse</v>
      </c>
    </row>
    <row r="23" customFormat="false" ht="25.5" hidden="false" customHeight="true" outlineLevel="0" collapsed="false">
      <c r="A23" s="513" t="s">
        <v>10822</v>
      </c>
      <c r="B23" s="508" t="n">
        <v>584</v>
      </c>
      <c r="C23" s="509" t="s">
        <v>2157</v>
      </c>
      <c r="D23" s="514" t="s">
        <v>10823</v>
      </c>
      <c r="E23" s="513" t="s">
        <v>4420</v>
      </c>
      <c r="F23" s="513" t="s">
        <v>10702</v>
      </c>
      <c r="G23" s="513" t="s">
        <v>2692</v>
      </c>
      <c r="H23" s="514" t="s">
        <v>10824</v>
      </c>
      <c r="I23" s="513" t="n">
        <v>2021</v>
      </c>
      <c r="J23" s="513" t="n">
        <v>999780</v>
      </c>
      <c r="K23" s="513"/>
      <c r="L23" s="513" t="s">
        <v>2157</v>
      </c>
      <c r="M23" s="513"/>
      <c r="N23" s="514" t="s">
        <v>10797</v>
      </c>
      <c r="O23" s="513" t="s">
        <v>10706</v>
      </c>
      <c r="P23" s="514" t="s">
        <v>10825</v>
      </c>
      <c r="Q23" s="290" t="str">
        <f aca="false">IF(B23="","",IFERROR(INDEX(OCC_TABLE_DESC,MATCH(B23,OCC_TABLE_CODE,0)),"Unrecognized code"))</f>
        <v>Mega Warehouse</v>
      </c>
    </row>
    <row r="24" customFormat="false" ht="12.75" hidden="false" customHeight="true" outlineLevel="0" collapsed="false">
      <c r="A24" s="511" t="s">
        <v>10826</v>
      </c>
      <c r="B24" s="508" t="n">
        <v>210</v>
      </c>
      <c r="C24" s="509" t="s">
        <v>10827</v>
      </c>
      <c r="D24" s="512" t="s">
        <v>10828</v>
      </c>
      <c r="E24" s="511" t="s">
        <v>4420</v>
      </c>
      <c r="F24" s="511" t="s">
        <v>10702</v>
      </c>
      <c r="G24" s="511" t="s">
        <v>2692</v>
      </c>
      <c r="H24" s="512" t="s">
        <v>10829</v>
      </c>
      <c r="I24" s="511" t="n">
        <v>1999</v>
      </c>
      <c r="J24" s="511" t="n">
        <v>90000</v>
      </c>
      <c r="K24" s="511"/>
      <c r="L24" s="511" t="s">
        <v>10827</v>
      </c>
      <c r="M24" s="511"/>
      <c r="N24" s="512" t="s">
        <v>10830</v>
      </c>
      <c r="O24" s="511" t="s">
        <v>10831</v>
      </c>
      <c r="P24" s="512" t="s">
        <v>10832</v>
      </c>
      <c r="Q24" s="290" t="str">
        <f aca="false">IF(B24="","",IFERROR(INDEX(OCC_TABLE_DESC,MATCH(B24,OCC_TABLE_CODE,0)),"Unrecognized code"))</f>
        <v>Industrial Flex Mall Building</v>
      </c>
    </row>
    <row r="25" customFormat="false" ht="25.5" hidden="false" customHeight="true" outlineLevel="0" collapsed="false">
      <c r="A25" s="513" t="s">
        <v>10833</v>
      </c>
      <c r="B25" s="508" t="n">
        <v>210</v>
      </c>
      <c r="C25" s="509" t="s">
        <v>10834</v>
      </c>
      <c r="D25" s="514" t="s">
        <v>10835</v>
      </c>
      <c r="E25" s="513" t="s">
        <v>4743</v>
      </c>
      <c r="F25" s="513" t="s">
        <v>10702</v>
      </c>
      <c r="G25" s="513" t="s">
        <v>2692</v>
      </c>
      <c r="H25" s="514" t="s">
        <v>10836</v>
      </c>
      <c r="I25" s="513"/>
      <c r="J25" s="513"/>
      <c r="K25" s="513"/>
      <c r="L25" s="513" t="s">
        <v>10834</v>
      </c>
      <c r="M25" s="513"/>
      <c r="N25" s="514" t="s">
        <v>10837</v>
      </c>
      <c r="O25" s="513" t="s">
        <v>10831</v>
      </c>
      <c r="P25" s="514" t="s">
        <v>10838</v>
      </c>
      <c r="Q25" s="290" t="str">
        <f aca="false">IF(B25="","",IFERROR(INDEX(OCC_TABLE_DESC,MATCH(B25,OCC_TABLE_CODE,0)),"Unrecognized code"))</f>
        <v>Industrial Flex Mall Building</v>
      </c>
    </row>
    <row r="26" customFormat="false" ht="25.5" hidden="false" customHeight="true" outlineLevel="0" collapsed="false">
      <c r="A26" s="511" t="s">
        <v>10839</v>
      </c>
      <c r="B26" s="508" t="n">
        <v>407</v>
      </c>
      <c r="C26" s="509" t="s">
        <v>10840</v>
      </c>
      <c r="D26" s="512" t="s">
        <v>10841</v>
      </c>
      <c r="E26" s="511" t="s">
        <v>4743</v>
      </c>
      <c r="F26" s="511" t="s">
        <v>10702</v>
      </c>
      <c r="G26" s="511" t="s">
        <v>2692</v>
      </c>
      <c r="H26" s="512" t="s">
        <v>10842</v>
      </c>
      <c r="I26" s="511"/>
      <c r="J26" s="511" t="n">
        <v>155033</v>
      </c>
      <c r="K26" s="511"/>
      <c r="L26" s="511" t="s">
        <v>10840</v>
      </c>
      <c r="M26" s="511"/>
      <c r="N26" s="512" t="s">
        <v>10837</v>
      </c>
      <c r="O26" s="511" t="s">
        <v>10831</v>
      </c>
      <c r="P26" s="512" t="s">
        <v>10843</v>
      </c>
      <c r="Q26" s="290" t="str">
        <f aca="false">IF(B26="","",IFERROR(INDEX(OCC_TABLE_DESC,MATCH(B26,OCC_TABLE_CODE,0)),"Unrecognized code"))</f>
        <v>Distribution Warehouse</v>
      </c>
    </row>
    <row r="27" customFormat="false" ht="25.5" hidden="false" customHeight="true" outlineLevel="0" collapsed="false">
      <c r="A27" s="513" t="s">
        <v>10844</v>
      </c>
      <c r="B27" s="508" t="n">
        <v>407</v>
      </c>
      <c r="C27" s="509" t="s">
        <v>10845</v>
      </c>
      <c r="D27" s="514" t="s">
        <v>10846</v>
      </c>
      <c r="E27" s="513" t="s">
        <v>4743</v>
      </c>
      <c r="F27" s="513" t="s">
        <v>10702</v>
      </c>
      <c r="G27" s="513" t="s">
        <v>2692</v>
      </c>
      <c r="H27" s="514" t="s">
        <v>10842</v>
      </c>
      <c r="I27" s="513"/>
      <c r="J27" s="513" t="n">
        <v>200000</v>
      </c>
      <c r="K27" s="513"/>
      <c r="L27" s="513" t="s">
        <v>10845</v>
      </c>
      <c r="M27" s="513"/>
      <c r="N27" s="514" t="s">
        <v>10837</v>
      </c>
      <c r="O27" s="513" t="s">
        <v>10831</v>
      </c>
      <c r="P27" s="514" t="s">
        <v>10847</v>
      </c>
      <c r="Q27" s="290" t="str">
        <f aca="false">IF(B27="","",IFERROR(INDEX(OCC_TABLE_DESC,MATCH(B27,OCC_TABLE_CODE,0)),"Unrecognized code"))</f>
        <v>Distribution Warehouse</v>
      </c>
    </row>
    <row r="28" customFormat="false" ht="12.75" hidden="false" customHeight="true" outlineLevel="0" collapsed="false">
      <c r="A28" s="511" t="s">
        <v>10848</v>
      </c>
      <c r="B28" s="508" t="n">
        <v>210</v>
      </c>
      <c r="C28" s="509" t="s">
        <v>10849</v>
      </c>
      <c r="D28" s="512" t="s">
        <v>10850</v>
      </c>
      <c r="E28" s="511" t="s">
        <v>4743</v>
      </c>
      <c r="F28" s="511" t="s">
        <v>10702</v>
      </c>
      <c r="G28" s="511" t="s">
        <v>2692</v>
      </c>
      <c r="H28" s="512" t="s">
        <v>10851</v>
      </c>
      <c r="I28" s="511"/>
      <c r="J28" s="511" t="n">
        <v>159047</v>
      </c>
      <c r="K28" s="511"/>
      <c r="L28" s="511" t="s">
        <v>10849</v>
      </c>
      <c r="M28" s="511"/>
      <c r="N28" s="512" t="s">
        <v>10837</v>
      </c>
      <c r="O28" s="511" t="s">
        <v>10831</v>
      </c>
      <c r="P28" s="512" t="s">
        <v>10852</v>
      </c>
      <c r="Q28" s="290" t="str">
        <f aca="false">IF(B28="","",IFERROR(INDEX(OCC_TABLE_DESC,MATCH(B28,OCC_TABLE_CODE,0)),"Unrecognized code"))</f>
        <v>Industrial Flex Mall Building</v>
      </c>
    </row>
    <row r="29" customFormat="false" ht="25.5" hidden="false" customHeight="true" outlineLevel="0" collapsed="false">
      <c r="A29" s="513" t="s">
        <v>10853</v>
      </c>
      <c r="B29" s="508" t="n">
        <v>406</v>
      </c>
      <c r="C29" s="509" t="s">
        <v>3862</v>
      </c>
      <c r="D29" s="514" t="s">
        <v>10854</v>
      </c>
      <c r="E29" s="513" t="s">
        <v>4420</v>
      </c>
      <c r="F29" s="513" t="s">
        <v>10702</v>
      </c>
      <c r="G29" s="513" t="s">
        <v>2692</v>
      </c>
      <c r="H29" s="514" t="s">
        <v>10855</v>
      </c>
      <c r="I29" s="513"/>
      <c r="J29" s="513" t="n">
        <v>29512</v>
      </c>
      <c r="K29" s="513"/>
      <c r="L29" s="513" t="s">
        <v>3862</v>
      </c>
      <c r="M29" s="513"/>
      <c r="N29" s="514" t="s">
        <v>10856</v>
      </c>
      <c r="O29" s="513" t="s">
        <v>10831</v>
      </c>
      <c r="P29" s="514" t="s">
        <v>10857</v>
      </c>
      <c r="Q29" s="290" t="str">
        <f aca="false">IF(B29="","",IFERROR(INDEX(OCC_TABLE_DESC,MATCH(B29,OCC_TABLE_CODE,0)),"Unrecognized code"))</f>
        <v>Storage Warehouse</v>
      </c>
    </row>
    <row r="30" customFormat="false" ht="12.75" hidden="false" customHeight="true" outlineLevel="0" collapsed="false">
      <c r="A30" s="511" t="s">
        <v>10858</v>
      </c>
      <c r="B30" s="508" t="n">
        <v>407</v>
      </c>
      <c r="C30" s="509" t="s">
        <v>2343</v>
      </c>
      <c r="D30" s="512" t="s">
        <v>10859</v>
      </c>
      <c r="E30" s="511" t="s">
        <v>4420</v>
      </c>
      <c r="F30" s="511" t="s">
        <v>10702</v>
      </c>
      <c r="G30" s="511" t="s">
        <v>2692</v>
      </c>
      <c r="H30" s="512" t="s">
        <v>10860</v>
      </c>
      <c r="I30" s="511" t="n">
        <v>2001</v>
      </c>
      <c r="J30" s="511" t="n">
        <v>200094</v>
      </c>
      <c r="K30" s="511"/>
      <c r="L30" s="511" t="s">
        <v>2343</v>
      </c>
      <c r="M30" s="511"/>
      <c r="N30" s="512" t="s">
        <v>10861</v>
      </c>
      <c r="O30" s="511" t="s">
        <v>10831</v>
      </c>
      <c r="P30" s="512" t="s">
        <v>10862</v>
      </c>
      <c r="Q30" s="290" t="str">
        <f aca="false">IF(B30="","",IFERROR(INDEX(OCC_TABLE_DESC,MATCH(B30,OCC_TABLE_CODE,0)),"Unrecognized code"))</f>
        <v>Distribution Warehouse</v>
      </c>
    </row>
    <row r="31" customFormat="false" ht="12.75" hidden="false" customHeight="true" outlineLevel="0" collapsed="false">
      <c r="A31" s="513" t="s">
        <v>10863</v>
      </c>
      <c r="B31" s="508" t="n">
        <v>407</v>
      </c>
      <c r="C31" s="509" t="s">
        <v>10864</v>
      </c>
      <c r="D31" s="514" t="s">
        <v>10865</v>
      </c>
      <c r="E31" s="513" t="s">
        <v>4420</v>
      </c>
      <c r="F31" s="513" t="s">
        <v>10702</v>
      </c>
      <c r="G31" s="513" t="s">
        <v>2692</v>
      </c>
      <c r="H31" s="514" t="s">
        <v>10860</v>
      </c>
      <c r="I31" s="513" t="n">
        <v>1997</v>
      </c>
      <c r="J31" s="513" t="n">
        <v>177736</v>
      </c>
      <c r="K31" s="513"/>
      <c r="L31" s="513" t="s">
        <v>10864</v>
      </c>
      <c r="M31" s="513"/>
      <c r="N31" s="514" t="s">
        <v>10861</v>
      </c>
      <c r="O31" s="513" t="s">
        <v>10831</v>
      </c>
      <c r="P31" s="514" t="s">
        <v>10862</v>
      </c>
      <c r="Q31" s="290" t="str">
        <f aca="false">IF(B31="","",IFERROR(INDEX(OCC_TABLE_DESC,MATCH(B31,OCC_TABLE_CODE,0)),"Unrecognized code"))</f>
        <v>Distribution Warehouse</v>
      </c>
    </row>
    <row r="32" customFormat="false" ht="12.75" hidden="false" customHeight="true" outlineLevel="0" collapsed="false">
      <c r="A32" s="511" t="s">
        <v>10866</v>
      </c>
      <c r="B32" s="508" t="n">
        <v>407</v>
      </c>
      <c r="C32" s="509" t="s">
        <v>10867</v>
      </c>
      <c r="D32" s="512" t="s">
        <v>10868</v>
      </c>
      <c r="E32" s="511" t="s">
        <v>4420</v>
      </c>
      <c r="F32" s="511" t="s">
        <v>10702</v>
      </c>
      <c r="G32" s="511" t="s">
        <v>2692</v>
      </c>
      <c r="H32" s="512" t="s">
        <v>10860</v>
      </c>
      <c r="I32" s="511" t="n">
        <v>1997</v>
      </c>
      <c r="J32" s="511" t="n">
        <v>200371</v>
      </c>
      <c r="K32" s="511"/>
      <c r="L32" s="511" t="s">
        <v>10867</v>
      </c>
      <c r="M32" s="511"/>
      <c r="N32" s="512" t="s">
        <v>10861</v>
      </c>
      <c r="O32" s="511" t="s">
        <v>10831</v>
      </c>
      <c r="P32" s="512" t="s">
        <v>10862</v>
      </c>
      <c r="Q32" s="290" t="str">
        <f aca="false">IF(B32="","",IFERROR(INDEX(OCC_TABLE_DESC,MATCH(B32,OCC_TABLE_CODE,0)),"Unrecognized code"))</f>
        <v>Distribution Warehouse</v>
      </c>
    </row>
    <row r="33" customFormat="false" ht="12.75" hidden="false" customHeight="true" outlineLevel="0" collapsed="false">
      <c r="A33" s="513" t="s">
        <v>10869</v>
      </c>
      <c r="B33" s="508" t="n">
        <v>584</v>
      </c>
      <c r="C33" s="509" t="s">
        <v>10870</v>
      </c>
      <c r="D33" s="514" t="s">
        <v>10871</v>
      </c>
      <c r="E33" s="513" t="s">
        <v>4420</v>
      </c>
      <c r="F33" s="513" t="s">
        <v>10702</v>
      </c>
      <c r="G33" s="513" t="s">
        <v>2692</v>
      </c>
      <c r="H33" s="514" t="s">
        <v>10802</v>
      </c>
      <c r="I33" s="513" t="n">
        <v>2021</v>
      </c>
      <c r="J33" s="513" t="n">
        <v>548510</v>
      </c>
      <c r="K33" s="513"/>
      <c r="L33" s="513" t="s">
        <v>10870</v>
      </c>
      <c r="M33" s="513"/>
      <c r="N33" s="514" t="s">
        <v>10861</v>
      </c>
      <c r="O33" s="513" t="s">
        <v>10831</v>
      </c>
      <c r="P33" s="514" t="s">
        <v>10872</v>
      </c>
      <c r="Q33" s="290" t="str">
        <f aca="false">IF(B33="","",IFERROR(INDEX(OCC_TABLE_DESC,MATCH(B33,OCC_TABLE_CODE,0)),"Unrecognized code"))</f>
        <v>Mega Warehouse</v>
      </c>
    </row>
    <row r="34" customFormat="false" ht="12.75" hidden="false" customHeight="true" outlineLevel="0" collapsed="false">
      <c r="A34" s="511" t="s">
        <v>10873</v>
      </c>
      <c r="B34" s="508" t="n">
        <v>407</v>
      </c>
      <c r="C34" s="509" t="s">
        <v>10874</v>
      </c>
      <c r="D34" s="512" t="s">
        <v>10875</v>
      </c>
      <c r="E34" s="511" t="s">
        <v>4420</v>
      </c>
      <c r="F34" s="511" t="s">
        <v>10702</v>
      </c>
      <c r="G34" s="511" t="s">
        <v>2692</v>
      </c>
      <c r="H34" s="512" t="s">
        <v>10860</v>
      </c>
      <c r="I34" s="511" t="n">
        <v>2000</v>
      </c>
      <c r="J34" s="511" t="n">
        <v>149175</v>
      </c>
      <c r="K34" s="511"/>
      <c r="L34" s="511" t="s">
        <v>10874</v>
      </c>
      <c r="M34" s="511"/>
      <c r="N34" s="512" t="s">
        <v>10861</v>
      </c>
      <c r="O34" s="511" t="s">
        <v>10831</v>
      </c>
      <c r="P34" s="512" t="s">
        <v>10876</v>
      </c>
      <c r="Q34" s="290" t="str">
        <f aca="false">IF(B34="","",IFERROR(INDEX(OCC_TABLE_DESC,MATCH(B34,OCC_TABLE_CODE,0)),"Unrecognized code"))</f>
        <v>Distribution Warehouse</v>
      </c>
    </row>
    <row r="35" customFormat="false" ht="12.75" hidden="false" customHeight="true" outlineLevel="0" collapsed="false">
      <c r="A35" s="513" t="s">
        <v>10877</v>
      </c>
      <c r="B35" s="508" t="n">
        <v>407</v>
      </c>
      <c r="C35" s="509" t="s">
        <v>10878</v>
      </c>
      <c r="D35" s="514" t="s">
        <v>10879</v>
      </c>
      <c r="E35" s="513" t="s">
        <v>4420</v>
      </c>
      <c r="F35" s="513" t="s">
        <v>10702</v>
      </c>
      <c r="G35" s="513" t="s">
        <v>2692</v>
      </c>
      <c r="H35" s="514" t="s">
        <v>10860</v>
      </c>
      <c r="I35" s="513" t="n">
        <v>1999</v>
      </c>
      <c r="J35" s="513" t="n">
        <v>279640</v>
      </c>
      <c r="K35" s="513"/>
      <c r="L35" s="513" t="s">
        <v>10878</v>
      </c>
      <c r="M35" s="513"/>
      <c r="N35" s="514" t="s">
        <v>10861</v>
      </c>
      <c r="O35" s="513" t="s">
        <v>10831</v>
      </c>
      <c r="P35" s="514" t="s">
        <v>10862</v>
      </c>
      <c r="Q35" s="290" t="str">
        <f aca="false">IF(B35="","",IFERROR(INDEX(OCC_TABLE_DESC,MATCH(B35,OCC_TABLE_CODE,0)),"Unrecognized code"))</f>
        <v>Distribution Warehouse</v>
      </c>
    </row>
    <row r="36" customFormat="false" ht="12.75" hidden="false" customHeight="true" outlineLevel="0" collapsed="false">
      <c r="A36" s="511" t="s">
        <v>10880</v>
      </c>
      <c r="B36" s="508" t="n">
        <v>407</v>
      </c>
      <c r="C36" s="509" t="s">
        <v>10881</v>
      </c>
      <c r="D36" s="512" t="s">
        <v>10882</v>
      </c>
      <c r="E36" s="511" t="s">
        <v>4420</v>
      </c>
      <c r="F36" s="511" t="s">
        <v>10702</v>
      </c>
      <c r="G36" s="511" t="s">
        <v>2692</v>
      </c>
      <c r="H36" s="512" t="s">
        <v>10860</v>
      </c>
      <c r="I36" s="511" t="n">
        <v>2002</v>
      </c>
      <c r="J36" s="511" t="n">
        <v>280098</v>
      </c>
      <c r="K36" s="511"/>
      <c r="L36" s="511" t="s">
        <v>10881</v>
      </c>
      <c r="M36" s="511"/>
      <c r="N36" s="512" t="s">
        <v>10861</v>
      </c>
      <c r="O36" s="511" t="s">
        <v>10831</v>
      </c>
      <c r="P36" s="512" t="s">
        <v>10862</v>
      </c>
      <c r="Q36" s="290" t="str">
        <f aca="false">IF(B36="","",IFERROR(INDEX(OCC_TABLE_DESC,MATCH(B36,OCC_TABLE_CODE,0)),"Unrecognized code"))</f>
        <v>Distribution Warehouse</v>
      </c>
    </row>
    <row r="37" customFormat="false" ht="12.75" hidden="false" customHeight="true" outlineLevel="0" collapsed="false">
      <c r="A37" s="513" t="s">
        <v>10883</v>
      </c>
      <c r="B37" s="508" t="n">
        <v>407</v>
      </c>
      <c r="C37" s="509" t="s">
        <v>10884</v>
      </c>
      <c r="D37" s="514" t="s">
        <v>10885</v>
      </c>
      <c r="E37" s="513" t="s">
        <v>4420</v>
      </c>
      <c r="F37" s="513" t="s">
        <v>10702</v>
      </c>
      <c r="G37" s="513" t="s">
        <v>2692</v>
      </c>
      <c r="H37" s="514" t="s">
        <v>10860</v>
      </c>
      <c r="I37" s="513" t="n">
        <v>2008</v>
      </c>
      <c r="J37" s="513" t="n">
        <v>215461</v>
      </c>
      <c r="K37" s="513"/>
      <c r="L37" s="513" t="s">
        <v>10884</v>
      </c>
      <c r="M37" s="513"/>
      <c r="N37" s="514" t="s">
        <v>10861</v>
      </c>
      <c r="O37" s="513" t="s">
        <v>10831</v>
      </c>
      <c r="P37" s="514" t="s">
        <v>10862</v>
      </c>
      <c r="Q37" s="290" t="str">
        <f aca="false">IF(B37="","",IFERROR(INDEX(OCC_TABLE_DESC,MATCH(B37,OCC_TABLE_CODE,0)),"Unrecognized code"))</f>
        <v>Distribution Warehouse</v>
      </c>
    </row>
    <row r="38" customFormat="false" ht="12.75" hidden="false" customHeight="true" outlineLevel="0" collapsed="false">
      <c r="A38" s="511" t="s">
        <v>10886</v>
      </c>
      <c r="B38" s="508" t="n">
        <v>407</v>
      </c>
      <c r="C38" s="509" t="s">
        <v>10887</v>
      </c>
      <c r="D38" s="512" t="s">
        <v>10888</v>
      </c>
      <c r="E38" s="511" t="s">
        <v>4420</v>
      </c>
      <c r="F38" s="511" t="s">
        <v>10702</v>
      </c>
      <c r="G38" s="511" t="s">
        <v>2692</v>
      </c>
      <c r="H38" s="512" t="s">
        <v>10860</v>
      </c>
      <c r="I38" s="511" t="n">
        <v>2007</v>
      </c>
      <c r="J38" s="511" t="n">
        <v>215560</v>
      </c>
      <c r="K38" s="511"/>
      <c r="L38" s="511" t="s">
        <v>10887</v>
      </c>
      <c r="M38" s="511"/>
      <c r="N38" s="512" t="s">
        <v>10861</v>
      </c>
      <c r="O38" s="511" t="s">
        <v>10831</v>
      </c>
      <c r="P38" s="512" t="s">
        <v>10862</v>
      </c>
      <c r="Q38" s="290" t="str">
        <f aca="false">IF(B38="","",IFERROR(INDEX(OCC_TABLE_DESC,MATCH(B38,OCC_TABLE_CODE,0)),"Unrecognized code"))</f>
        <v>Distribution Warehouse</v>
      </c>
    </row>
    <row r="39" customFormat="false" ht="12.75" hidden="false" customHeight="true" outlineLevel="0" collapsed="false">
      <c r="A39" s="513" t="s">
        <v>10889</v>
      </c>
      <c r="B39" s="508" t="n">
        <v>407</v>
      </c>
      <c r="C39" s="509" t="s">
        <v>10890</v>
      </c>
      <c r="D39" s="514" t="s">
        <v>10891</v>
      </c>
      <c r="E39" s="513" t="s">
        <v>4420</v>
      </c>
      <c r="F39" s="513" t="s">
        <v>10702</v>
      </c>
      <c r="G39" s="513" t="s">
        <v>2692</v>
      </c>
      <c r="H39" s="514" t="s">
        <v>10860</v>
      </c>
      <c r="I39" s="513" t="n">
        <v>2007</v>
      </c>
      <c r="J39" s="513" t="n">
        <v>202091</v>
      </c>
      <c r="K39" s="513"/>
      <c r="L39" s="513" t="s">
        <v>10890</v>
      </c>
      <c r="M39" s="513"/>
      <c r="N39" s="514" t="s">
        <v>10861</v>
      </c>
      <c r="O39" s="513" t="s">
        <v>10831</v>
      </c>
      <c r="P39" s="514" t="s">
        <v>10862</v>
      </c>
      <c r="Q39" s="290" t="str">
        <f aca="false">IF(B39="","",IFERROR(INDEX(OCC_TABLE_DESC,MATCH(B39,OCC_TABLE_CODE,0)),"Unrecognized code"))</f>
        <v>Distribution Warehouse</v>
      </c>
    </row>
    <row r="40" customFormat="false" ht="12.75" hidden="false" customHeight="true" outlineLevel="0" collapsed="false">
      <c r="A40" s="511" t="s">
        <v>10892</v>
      </c>
      <c r="B40" s="508" t="n">
        <v>407</v>
      </c>
      <c r="C40" s="509" t="s">
        <v>10893</v>
      </c>
      <c r="D40" s="512" t="s">
        <v>10894</v>
      </c>
      <c r="E40" s="511" t="s">
        <v>4420</v>
      </c>
      <c r="F40" s="511" t="s">
        <v>10702</v>
      </c>
      <c r="G40" s="511" t="s">
        <v>2692</v>
      </c>
      <c r="H40" s="512" t="s">
        <v>10860</v>
      </c>
      <c r="I40" s="511" t="n">
        <v>2001</v>
      </c>
      <c r="J40" s="511" t="n">
        <v>150027</v>
      </c>
      <c r="K40" s="511"/>
      <c r="L40" s="511" t="s">
        <v>10893</v>
      </c>
      <c r="M40" s="511"/>
      <c r="N40" s="512" t="s">
        <v>10861</v>
      </c>
      <c r="O40" s="511" t="s">
        <v>10831</v>
      </c>
      <c r="P40" s="512" t="s">
        <v>10862</v>
      </c>
      <c r="Q40" s="290" t="str">
        <f aca="false">IF(B40="","",IFERROR(INDEX(OCC_TABLE_DESC,MATCH(B40,OCC_TABLE_CODE,0)),"Unrecognized code"))</f>
        <v>Distribution Warehouse</v>
      </c>
    </row>
    <row r="41" customFormat="false" ht="12.75" hidden="false" customHeight="true" outlineLevel="0" collapsed="false">
      <c r="A41" s="513" t="s">
        <v>10895</v>
      </c>
      <c r="B41" s="508" t="n">
        <v>584</v>
      </c>
      <c r="C41" s="509" t="s">
        <v>10896</v>
      </c>
      <c r="D41" s="514" t="s">
        <v>10897</v>
      </c>
      <c r="E41" s="513" t="s">
        <v>4420</v>
      </c>
      <c r="F41" s="513" t="s">
        <v>10702</v>
      </c>
      <c r="G41" s="513" t="s">
        <v>2692</v>
      </c>
      <c r="H41" s="514" t="s">
        <v>10802</v>
      </c>
      <c r="I41" s="513" t="n">
        <v>2013</v>
      </c>
      <c r="J41" s="513" t="n">
        <v>500358</v>
      </c>
      <c r="K41" s="513"/>
      <c r="L41" s="513" t="s">
        <v>10896</v>
      </c>
      <c r="M41" s="513"/>
      <c r="N41" s="514" t="s">
        <v>10861</v>
      </c>
      <c r="O41" s="513" t="s">
        <v>10831</v>
      </c>
      <c r="P41" s="514" t="s">
        <v>10862</v>
      </c>
      <c r="Q41" s="290" t="str">
        <f aca="false">IF(B41="","",IFERROR(INDEX(OCC_TABLE_DESC,MATCH(B41,OCC_TABLE_CODE,0)),"Unrecognized code"))</f>
        <v>Mega Warehouse</v>
      </c>
    </row>
    <row r="42" customFormat="false" ht="12.75" hidden="false" customHeight="true" outlineLevel="0" collapsed="false">
      <c r="A42" s="511" t="s">
        <v>10898</v>
      </c>
      <c r="B42" s="508" t="n">
        <v>584</v>
      </c>
      <c r="C42" s="509" t="s">
        <v>10899</v>
      </c>
      <c r="D42" s="512" t="s">
        <v>10900</v>
      </c>
      <c r="E42" s="511" t="s">
        <v>4420</v>
      </c>
      <c r="F42" s="511" t="s">
        <v>10702</v>
      </c>
      <c r="G42" s="511" t="s">
        <v>2692</v>
      </c>
      <c r="H42" s="512" t="s">
        <v>10802</v>
      </c>
      <c r="I42" s="511" t="n">
        <v>2017</v>
      </c>
      <c r="J42" s="511" t="n">
        <v>522120</v>
      </c>
      <c r="K42" s="511"/>
      <c r="L42" s="511" t="s">
        <v>10899</v>
      </c>
      <c r="M42" s="511"/>
      <c r="N42" s="512" t="s">
        <v>10861</v>
      </c>
      <c r="O42" s="511" t="s">
        <v>10831</v>
      </c>
      <c r="P42" s="512" t="s">
        <v>10862</v>
      </c>
      <c r="Q42" s="290" t="str">
        <f aca="false">IF(B42="","",IFERROR(INDEX(OCC_TABLE_DESC,MATCH(B42,OCC_TABLE_CODE,0)),"Unrecognized code"))</f>
        <v>Mega Warehouse</v>
      </c>
    </row>
    <row r="43" customFormat="false" ht="12.75" hidden="false" customHeight="true" outlineLevel="0" collapsed="false">
      <c r="A43" s="513" t="s">
        <v>10901</v>
      </c>
      <c r="B43" s="508" t="n">
        <v>407</v>
      </c>
      <c r="C43" s="509" t="s">
        <v>10902</v>
      </c>
      <c r="D43" s="514" t="s">
        <v>10903</v>
      </c>
      <c r="E43" s="513" t="s">
        <v>10904</v>
      </c>
      <c r="F43" s="513" t="s">
        <v>10702</v>
      </c>
      <c r="G43" s="513" t="s">
        <v>2692</v>
      </c>
      <c r="H43" s="514" t="s">
        <v>10905</v>
      </c>
      <c r="I43" s="513"/>
      <c r="J43" s="513"/>
      <c r="K43" s="513"/>
      <c r="L43" s="513" t="s">
        <v>10902</v>
      </c>
      <c r="M43" s="513" t="s">
        <v>10906</v>
      </c>
      <c r="N43" s="514" t="s">
        <v>10907</v>
      </c>
      <c r="O43" s="513" t="s">
        <v>10831</v>
      </c>
      <c r="P43" s="514" t="s">
        <v>10908</v>
      </c>
      <c r="Q43" s="290" t="str">
        <f aca="false">IF(B43="","",IFERROR(INDEX(OCC_TABLE_DESC,MATCH(B43,OCC_TABLE_CODE,0)),"Unrecognized code"))</f>
        <v>Distribution Warehouse</v>
      </c>
    </row>
    <row r="44" customFormat="false" ht="12.75" hidden="false" customHeight="true" outlineLevel="0" collapsed="false">
      <c r="A44" s="511" t="s">
        <v>10909</v>
      </c>
      <c r="B44" s="508" t="n">
        <v>386</v>
      </c>
      <c r="C44" s="509" t="s">
        <v>10910</v>
      </c>
      <c r="D44" s="512" t="s">
        <v>10911</v>
      </c>
      <c r="E44" s="511" t="s">
        <v>4368</v>
      </c>
      <c r="F44" s="511" t="s">
        <v>10702</v>
      </c>
      <c r="G44" s="511" t="s">
        <v>10912</v>
      </c>
      <c r="H44" s="512" t="s">
        <v>10913</v>
      </c>
      <c r="I44" s="511"/>
      <c r="J44" s="511" t="n">
        <v>65766</v>
      </c>
      <c r="K44" s="511"/>
      <c r="L44" s="511" t="s">
        <v>10910</v>
      </c>
      <c r="M44" s="511"/>
      <c r="N44" s="512" t="s">
        <v>10914</v>
      </c>
      <c r="O44" s="511" t="s">
        <v>10831</v>
      </c>
      <c r="P44" s="512" t="s">
        <v>10915</v>
      </c>
      <c r="Q44" s="290" t="str">
        <f aca="false">IF(B44="","",IFERROR(INDEX(OCC_TABLE_DESC,MATCH(B44,OCC_TABLE_CODE,0)),"Unrecognized code"))</f>
        <v>Mini Warehouse</v>
      </c>
    </row>
    <row r="45" customFormat="false" ht="12.75" hidden="false" customHeight="true" outlineLevel="0" collapsed="false">
      <c r="A45" s="513" t="s">
        <v>10916</v>
      </c>
      <c r="B45" s="508" t="n">
        <v>386</v>
      </c>
      <c r="C45" s="509" t="s">
        <v>10917</v>
      </c>
      <c r="D45" s="514" t="s">
        <v>10918</v>
      </c>
      <c r="E45" s="513" t="s">
        <v>4325</v>
      </c>
      <c r="F45" s="513" t="s">
        <v>10702</v>
      </c>
      <c r="G45" s="513" t="s">
        <v>10912</v>
      </c>
      <c r="H45" s="514" t="s">
        <v>10913</v>
      </c>
      <c r="I45" s="513"/>
      <c r="J45" s="513" t="n">
        <v>79950</v>
      </c>
      <c r="K45" s="513"/>
      <c r="L45" s="513" t="s">
        <v>10917</v>
      </c>
      <c r="M45" s="513"/>
      <c r="N45" s="514" t="s">
        <v>10914</v>
      </c>
      <c r="O45" s="513" t="s">
        <v>10831</v>
      </c>
      <c r="P45" s="514" t="s">
        <v>10919</v>
      </c>
      <c r="Q45" s="290" t="str">
        <f aca="false">IF(B45="","",IFERROR(INDEX(OCC_TABLE_DESC,MATCH(B45,OCC_TABLE_CODE,0)),"Unrecognized code"))</f>
        <v>Mini Warehouse</v>
      </c>
    </row>
    <row r="46" customFormat="false" ht="12.75" hidden="false" customHeight="true" outlineLevel="0" collapsed="false">
      <c r="A46" s="511" t="s">
        <v>10920</v>
      </c>
      <c r="B46" s="508" t="n">
        <v>386</v>
      </c>
      <c r="C46" s="509" t="s">
        <v>10921</v>
      </c>
      <c r="D46" s="512" t="s">
        <v>10922</v>
      </c>
      <c r="E46" s="511" t="s">
        <v>4325</v>
      </c>
      <c r="F46" s="511" t="s">
        <v>10702</v>
      </c>
      <c r="G46" s="511" t="s">
        <v>10912</v>
      </c>
      <c r="H46" s="512" t="s">
        <v>10923</v>
      </c>
      <c r="I46" s="511"/>
      <c r="J46" s="511" t="n">
        <v>83756</v>
      </c>
      <c r="K46" s="511"/>
      <c r="L46" s="511" t="s">
        <v>10921</v>
      </c>
      <c r="M46" s="511"/>
      <c r="N46" s="512" t="s">
        <v>10914</v>
      </c>
      <c r="O46" s="511" t="s">
        <v>10831</v>
      </c>
      <c r="P46" s="512" t="s">
        <v>10924</v>
      </c>
      <c r="Q46" s="290" t="str">
        <f aca="false">IF(B46="","",IFERROR(INDEX(OCC_TABLE_DESC,MATCH(B46,OCC_TABLE_CODE,0)),"Unrecognized code"))</f>
        <v>Mini Warehouse</v>
      </c>
    </row>
    <row r="47" customFormat="false" ht="12.75" hidden="false" customHeight="true" outlineLevel="0" collapsed="false">
      <c r="A47" s="513" t="s">
        <v>10925</v>
      </c>
      <c r="B47" s="508" t="n">
        <v>386</v>
      </c>
      <c r="C47" s="509" t="s">
        <v>10926</v>
      </c>
      <c r="D47" s="514" t="s">
        <v>10927</v>
      </c>
      <c r="E47" s="513" t="s">
        <v>4368</v>
      </c>
      <c r="F47" s="513" t="s">
        <v>10702</v>
      </c>
      <c r="G47" s="513" t="s">
        <v>10912</v>
      </c>
      <c r="H47" s="514" t="s">
        <v>10923</v>
      </c>
      <c r="I47" s="513"/>
      <c r="J47" s="513" t="n">
        <v>71909</v>
      </c>
      <c r="K47" s="513"/>
      <c r="L47" s="513" t="s">
        <v>10926</v>
      </c>
      <c r="M47" s="513"/>
      <c r="N47" s="514" t="s">
        <v>10914</v>
      </c>
      <c r="O47" s="513" t="s">
        <v>10831</v>
      </c>
      <c r="P47" s="514" t="s">
        <v>10928</v>
      </c>
      <c r="Q47" s="290" t="str">
        <f aca="false">IF(B47="","",IFERROR(INDEX(OCC_TABLE_DESC,MATCH(B47,OCC_TABLE_CODE,0)),"Unrecognized code"))</f>
        <v>Mini Warehouse</v>
      </c>
    </row>
    <row r="48" customFormat="false" ht="12.75" hidden="false" customHeight="true" outlineLevel="0" collapsed="false">
      <c r="A48" s="511" t="s">
        <v>10929</v>
      </c>
      <c r="B48" s="508" t="n">
        <v>386</v>
      </c>
      <c r="C48" s="509" t="s">
        <v>10930</v>
      </c>
      <c r="D48" s="512" t="s">
        <v>10931</v>
      </c>
      <c r="E48" s="511" t="s">
        <v>4368</v>
      </c>
      <c r="F48" s="511" t="s">
        <v>10702</v>
      </c>
      <c r="G48" s="511" t="s">
        <v>10912</v>
      </c>
      <c r="H48" s="512" t="s">
        <v>10923</v>
      </c>
      <c r="I48" s="511"/>
      <c r="J48" s="511" t="n">
        <v>41900</v>
      </c>
      <c r="K48" s="511"/>
      <c r="L48" s="511" t="s">
        <v>10930</v>
      </c>
      <c r="M48" s="511"/>
      <c r="N48" s="512" t="s">
        <v>10932</v>
      </c>
      <c r="O48" s="511" t="s">
        <v>10831</v>
      </c>
      <c r="P48" s="512" t="s">
        <v>10933</v>
      </c>
      <c r="Q48" s="290" t="str">
        <f aca="false">IF(B48="","",IFERROR(INDEX(OCC_TABLE_DESC,MATCH(B48,OCC_TABLE_CODE,0)),"Unrecognized code"))</f>
        <v>Mini Warehouse</v>
      </c>
    </row>
    <row r="49" customFormat="false" ht="12.75" hidden="false" customHeight="true" outlineLevel="0" collapsed="false">
      <c r="A49" s="513" t="s">
        <v>10934</v>
      </c>
      <c r="B49" s="508" t="n">
        <v>386</v>
      </c>
      <c r="C49" s="509" t="s">
        <v>6447</v>
      </c>
      <c r="D49" s="514" t="s">
        <v>10935</v>
      </c>
      <c r="E49" s="513" t="s">
        <v>9525</v>
      </c>
      <c r="F49" s="513" t="s">
        <v>10702</v>
      </c>
      <c r="G49" s="513" t="s">
        <v>10912</v>
      </c>
      <c r="H49" s="514" t="s">
        <v>10913</v>
      </c>
      <c r="I49" s="513"/>
      <c r="J49" s="513" t="n">
        <v>94736</v>
      </c>
      <c r="K49" s="513"/>
      <c r="L49" s="513" t="s">
        <v>6447</v>
      </c>
      <c r="M49" s="513"/>
      <c r="N49" s="514" t="s">
        <v>10936</v>
      </c>
      <c r="O49" s="513" t="s">
        <v>10831</v>
      </c>
      <c r="P49" s="514" t="s">
        <v>10937</v>
      </c>
      <c r="Q49" s="290" t="str">
        <f aca="false">IF(B49="","",IFERROR(INDEX(OCC_TABLE_DESC,MATCH(B49,OCC_TABLE_CODE,0)),"Unrecognized code"))</f>
        <v>Mini Warehouse</v>
      </c>
    </row>
    <row r="50" customFormat="false" ht="12.75" hidden="false" customHeight="true" outlineLevel="0" collapsed="false">
      <c r="A50" s="511" t="s">
        <v>10938</v>
      </c>
      <c r="B50" s="508" t="n">
        <v>386</v>
      </c>
      <c r="C50" s="509" t="s">
        <v>10939</v>
      </c>
      <c r="D50" s="512" t="s">
        <v>10940</v>
      </c>
      <c r="E50" s="511" t="s">
        <v>9525</v>
      </c>
      <c r="F50" s="511" t="s">
        <v>10702</v>
      </c>
      <c r="G50" s="511" t="s">
        <v>10912</v>
      </c>
      <c r="H50" s="512" t="s">
        <v>10923</v>
      </c>
      <c r="I50" s="511"/>
      <c r="J50" s="511" t="n">
        <v>73500</v>
      </c>
      <c r="K50" s="511"/>
      <c r="L50" s="511" t="s">
        <v>10939</v>
      </c>
      <c r="M50" s="511"/>
      <c r="N50" s="512" t="s">
        <v>10936</v>
      </c>
      <c r="O50" s="511" t="s">
        <v>10831</v>
      </c>
      <c r="P50" s="512" t="s">
        <v>10941</v>
      </c>
      <c r="Q50" s="290" t="str">
        <f aca="false">IF(B50="","",IFERROR(INDEX(OCC_TABLE_DESC,MATCH(B50,OCC_TABLE_CODE,0)),"Unrecognized code"))</f>
        <v>Mini Warehouse</v>
      </c>
    </row>
    <row r="51" customFormat="false" ht="12.75" hidden="false" customHeight="true" outlineLevel="0" collapsed="false">
      <c r="A51" s="513" t="s">
        <v>10942</v>
      </c>
      <c r="B51" s="508" t="n">
        <v>386</v>
      </c>
      <c r="C51" s="509" t="s">
        <v>10943</v>
      </c>
      <c r="D51" s="514" t="s">
        <v>10944</v>
      </c>
      <c r="E51" s="513" t="s">
        <v>9525</v>
      </c>
      <c r="F51" s="513" t="s">
        <v>10702</v>
      </c>
      <c r="G51" s="513" t="s">
        <v>10912</v>
      </c>
      <c r="H51" s="514" t="s">
        <v>10923</v>
      </c>
      <c r="I51" s="513"/>
      <c r="J51" s="513" t="n">
        <v>44975</v>
      </c>
      <c r="K51" s="513"/>
      <c r="L51" s="513" t="s">
        <v>10943</v>
      </c>
      <c r="M51" s="513"/>
      <c r="N51" s="514" t="s">
        <v>10936</v>
      </c>
      <c r="O51" s="513" t="s">
        <v>10831</v>
      </c>
      <c r="P51" s="514" t="s">
        <v>10945</v>
      </c>
      <c r="Q51" s="290" t="str">
        <f aca="false">IF(B51="","",IFERROR(INDEX(OCC_TABLE_DESC,MATCH(B51,OCC_TABLE_CODE,0)),"Unrecognized code"))</f>
        <v>Mini Warehouse</v>
      </c>
    </row>
    <row r="52" customFormat="false" ht="12.75" hidden="false" customHeight="true" outlineLevel="0" collapsed="false">
      <c r="A52" s="511" t="s">
        <v>10946</v>
      </c>
      <c r="B52" s="508" t="n">
        <v>386</v>
      </c>
      <c r="C52" s="509" t="s">
        <v>10947</v>
      </c>
      <c r="D52" s="512" t="s">
        <v>10948</v>
      </c>
      <c r="E52" s="511" t="s">
        <v>4743</v>
      </c>
      <c r="F52" s="511" t="s">
        <v>10702</v>
      </c>
      <c r="G52" s="511" t="s">
        <v>10912</v>
      </c>
      <c r="H52" s="512" t="s">
        <v>10913</v>
      </c>
      <c r="I52" s="511"/>
      <c r="J52" s="511" t="n">
        <v>94797</v>
      </c>
      <c r="K52" s="511"/>
      <c r="L52" s="511" t="s">
        <v>10947</v>
      </c>
      <c r="M52" s="511"/>
      <c r="N52" s="512" t="s">
        <v>10936</v>
      </c>
      <c r="O52" s="511" t="s">
        <v>10831</v>
      </c>
      <c r="P52" s="512" t="s">
        <v>10949</v>
      </c>
      <c r="Q52" s="290" t="str">
        <f aca="false">IF(B52="","",IFERROR(INDEX(OCC_TABLE_DESC,MATCH(B52,OCC_TABLE_CODE,0)),"Unrecognized code"))</f>
        <v>Mini Warehouse</v>
      </c>
    </row>
    <row r="53" customFormat="false" ht="12.75" hidden="false" customHeight="true" outlineLevel="0" collapsed="false">
      <c r="A53" s="513" t="s">
        <v>10950</v>
      </c>
      <c r="B53" s="508" t="n">
        <v>386</v>
      </c>
      <c r="C53" s="509" t="s">
        <v>10951</v>
      </c>
      <c r="D53" s="514" t="s">
        <v>10952</v>
      </c>
      <c r="E53" s="513" t="s">
        <v>9525</v>
      </c>
      <c r="F53" s="513" t="s">
        <v>10702</v>
      </c>
      <c r="G53" s="513" t="s">
        <v>10912</v>
      </c>
      <c r="H53" s="514" t="s">
        <v>10923</v>
      </c>
      <c r="I53" s="513"/>
      <c r="J53" s="513" t="n">
        <v>39525</v>
      </c>
      <c r="K53" s="513"/>
      <c r="L53" s="513" t="s">
        <v>10951</v>
      </c>
      <c r="M53" s="513"/>
      <c r="N53" s="514" t="s">
        <v>10936</v>
      </c>
      <c r="O53" s="513" t="s">
        <v>10831</v>
      </c>
      <c r="P53" s="514" t="s">
        <v>10953</v>
      </c>
      <c r="Q53" s="290" t="str">
        <f aca="false">IF(B53="","",IFERROR(INDEX(OCC_TABLE_DESC,MATCH(B53,OCC_TABLE_CODE,0)),"Unrecognized code"))</f>
        <v>Mini Warehouse</v>
      </c>
    </row>
    <row r="54" customFormat="false" ht="12.75" hidden="false" customHeight="true" outlineLevel="0" collapsed="false">
      <c r="A54" s="511" t="s">
        <v>10954</v>
      </c>
      <c r="B54" s="508" t="n">
        <v>386</v>
      </c>
      <c r="C54" s="509" t="s">
        <v>10955</v>
      </c>
      <c r="D54" s="512" t="s">
        <v>10956</v>
      </c>
      <c r="E54" s="511" t="s">
        <v>9525</v>
      </c>
      <c r="F54" s="511" t="s">
        <v>10702</v>
      </c>
      <c r="G54" s="511" t="s">
        <v>10912</v>
      </c>
      <c r="H54" s="512" t="s">
        <v>10957</v>
      </c>
      <c r="I54" s="511"/>
      <c r="J54" s="511" t="n">
        <v>45980</v>
      </c>
      <c r="K54" s="511"/>
      <c r="L54" s="511" t="s">
        <v>10955</v>
      </c>
      <c r="M54" s="511"/>
      <c r="N54" s="512" t="s">
        <v>10936</v>
      </c>
      <c r="O54" s="511" t="s">
        <v>10831</v>
      </c>
      <c r="P54" s="512" t="s">
        <v>10958</v>
      </c>
      <c r="Q54" s="290" t="str">
        <f aca="false">IF(B54="","",IFERROR(INDEX(OCC_TABLE_DESC,MATCH(B54,OCC_TABLE_CODE,0)),"Unrecognized code"))</f>
        <v>Mini Warehouse</v>
      </c>
    </row>
    <row r="55" customFormat="false" ht="12.75" hidden="false" customHeight="true" outlineLevel="0" collapsed="false">
      <c r="A55" s="513" t="s">
        <v>10959</v>
      </c>
      <c r="B55" s="508" t="n">
        <v>386</v>
      </c>
      <c r="C55" s="509" t="s">
        <v>10960</v>
      </c>
      <c r="D55" s="514" t="s">
        <v>10961</v>
      </c>
      <c r="E55" s="513" t="s">
        <v>9525</v>
      </c>
      <c r="F55" s="513" t="s">
        <v>10702</v>
      </c>
      <c r="G55" s="513" t="s">
        <v>10912</v>
      </c>
      <c r="H55" s="514" t="s">
        <v>10923</v>
      </c>
      <c r="I55" s="513"/>
      <c r="J55" s="513" t="n">
        <v>88043</v>
      </c>
      <c r="K55" s="513"/>
      <c r="L55" s="513" t="s">
        <v>10960</v>
      </c>
      <c r="M55" s="513"/>
      <c r="N55" s="514" t="s">
        <v>10936</v>
      </c>
      <c r="O55" s="513" t="s">
        <v>10831</v>
      </c>
      <c r="P55" s="514" t="s">
        <v>10962</v>
      </c>
      <c r="Q55" s="290" t="str">
        <f aca="false">IF(B55="","",IFERROR(INDEX(OCC_TABLE_DESC,MATCH(B55,OCC_TABLE_CODE,0)),"Unrecognized code"))</f>
        <v>Mini Warehouse</v>
      </c>
    </row>
    <row r="56" customFormat="false" ht="12.75" hidden="false" customHeight="true" outlineLevel="0" collapsed="false">
      <c r="A56" s="511" t="s">
        <v>10963</v>
      </c>
      <c r="B56" s="508" t="n">
        <v>386</v>
      </c>
      <c r="C56" s="509" t="s">
        <v>10964</v>
      </c>
      <c r="D56" s="512" t="s">
        <v>10965</v>
      </c>
      <c r="E56" s="511" t="s">
        <v>9525</v>
      </c>
      <c r="F56" s="511" t="s">
        <v>10702</v>
      </c>
      <c r="G56" s="511" t="s">
        <v>10912</v>
      </c>
      <c r="H56" s="512" t="s">
        <v>10923</v>
      </c>
      <c r="I56" s="511"/>
      <c r="J56" s="511" t="n">
        <v>41764</v>
      </c>
      <c r="K56" s="511"/>
      <c r="L56" s="511" t="s">
        <v>10964</v>
      </c>
      <c r="M56" s="511"/>
      <c r="N56" s="512" t="s">
        <v>10936</v>
      </c>
      <c r="O56" s="511" t="s">
        <v>10831</v>
      </c>
      <c r="P56" s="512" t="s">
        <v>10966</v>
      </c>
      <c r="Q56" s="290" t="str">
        <f aca="false">IF(B56="","",IFERROR(INDEX(OCC_TABLE_DESC,MATCH(B56,OCC_TABLE_CODE,0)),"Unrecognized code"))</f>
        <v>Mini Warehouse</v>
      </c>
    </row>
    <row r="57" customFormat="false" ht="25.5" hidden="false" customHeight="true" outlineLevel="0" collapsed="false">
      <c r="A57" s="511" t="s">
        <v>10967</v>
      </c>
      <c r="B57" s="508" t="n">
        <v>210</v>
      </c>
      <c r="C57" s="509" t="s">
        <v>2155</v>
      </c>
      <c r="D57" s="512" t="s">
        <v>10968</v>
      </c>
      <c r="E57" s="511" t="s">
        <v>4743</v>
      </c>
      <c r="F57" s="511" t="s">
        <v>10702</v>
      </c>
      <c r="G57" s="511" t="s">
        <v>2692</v>
      </c>
      <c r="H57" s="512" t="s">
        <v>10969</v>
      </c>
      <c r="I57" s="511"/>
      <c r="J57" s="511"/>
      <c r="K57" s="511"/>
      <c r="L57" s="511" t="s">
        <v>2155</v>
      </c>
      <c r="M57" s="511" t="s">
        <v>10970</v>
      </c>
      <c r="N57" s="512" t="s">
        <v>10971</v>
      </c>
      <c r="O57" s="511" t="s">
        <v>10831</v>
      </c>
      <c r="P57" s="512" t="s">
        <v>10972</v>
      </c>
      <c r="Q57" s="290" t="str">
        <f aca="false">IF(B57="","",IFERROR(INDEX(OCC_TABLE_DESC,MATCH(B57,OCC_TABLE_CODE,0)),"Unrecognized code"))</f>
        <v>Industrial Flex Mall Building</v>
      </c>
    </row>
    <row r="58" customFormat="false" ht="25.5" hidden="false" customHeight="true" outlineLevel="0" collapsed="false">
      <c r="A58" s="513" t="s">
        <v>10973</v>
      </c>
      <c r="B58" s="508" t="n">
        <v>407</v>
      </c>
      <c r="C58" s="509" t="s">
        <v>10974</v>
      </c>
      <c r="D58" s="514" t="s">
        <v>10975</v>
      </c>
      <c r="E58" s="513" t="s">
        <v>4743</v>
      </c>
      <c r="F58" s="513" t="s">
        <v>10702</v>
      </c>
      <c r="G58" s="513" t="s">
        <v>2692</v>
      </c>
      <c r="H58" s="514" t="s">
        <v>10976</v>
      </c>
      <c r="I58" s="513"/>
      <c r="J58" s="513"/>
      <c r="K58" s="513"/>
      <c r="L58" s="513" t="s">
        <v>10974</v>
      </c>
      <c r="M58" s="513" t="s">
        <v>10977</v>
      </c>
      <c r="N58" s="514" t="s">
        <v>10971</v>
      </c>
      <c r="O58" s="513" t="s">
        <v>10831</v>
      </c>
      <c r="P58" s="514" t="s">
        <v>10978</v>
      </c>
      <c r="Q58" s="290" t="str">
        <f aca="false">IF(B58="","",IFERROR(INDEX(OCC_TABLE_DESC,MATCH(B58,OCC_TABLE_CODE,0)),"Unrecognized code"))</f>
        <v>Distribution Warehouse</v>
      </c>
    </row>
    <row r="59" customFormat="false" ht="25.5" hidden="false" customHeight="true" outlineLevel="0" collapsed="false">
      <c r="A59" s="511" t="s">
        <v>10979</v>
      </c>
      <c r="B59" s="508" t="n">
        <v>407</v>
      </c>
      <c r="C59" s="509" t="s">
        <v>10980</v>
      </c>
      <c r="D59" s="512" t="s">
        <v>10981</v>
      </c>
      <c r="E59" s="511" t="s">
        <v>4368</v>
      </c>
      <c r="F59" s="511" t="s">
        <v>10702</v>
      </c>
      <c r="G59" s="511" t="s">
        <v>2692</v>
      </c>
      <c r="H59" s="512" t="s">
        <v>10819</v>
      </c>
      <c r="I59" s="511" t="n">
        <v>2022</v>
      </c>
      <c r="J59" s="511"/>
      <c r="K59" s="511"/>
      <c r="L59" s="511" t="s">
        <v>10980</v>
      </c>
      <c r="M59" s="511" t="s">
        <v>10982</v>
      </c>
      <c r="N59" s="512" t="s">
        <v>10971</v>
      </c>
      <c r="O59" s="511" t="s">
        <v>10831</v>
      </c>
      <c r="P59" s="512" t="s">
        <v>10983</v>
      </c>
      <c r="Q59" s="290" t="str">
        <f aca="false">IF(B59="","",IFERROR(INDEX(OCC_TABLE_DESC,MATCH(B59,OCC_TABLE_CODE,0)),"Unrecognized code"))</f>
        <v>Distribution Warehouse</v>
      </c>
    </row>
    <row r="60" customFormat="false" ht="25.5" hidden="false" customHeight="true" outlineLevel="0" collapsed="false">
      <c r="A60" s="513" t="s">
        <v>10984</v>
      </c>
      <c r="B60" s="508" t="n">
        <v>407</v>
      </c>
      <c r="C60" s="509" t="s">
        <v>10985</v>
      </c>
      <c r="D60" s="514" t="s">
        <v>10986</v>
      </c>
      <c r="E60" s="513" t="s">
        <v>4368</v>
      </c>
      <c r="F60" s="513" t="s">
        <v>10702</v>
      </c>
      <c r="G60" s="513" t="s">
        <v>2692</v>
      </c>
      <c r="H60" s="514" t="s">
        <v>10819</v>
      </c>
      <c r="I60" s="513" t="n">
        <v>2022</v>
      </c>
      <c r="J60" s="513"/>
      <c r="K60" s="513"/>
      <c r="L60" s="513" t="s">
        <v>10985</v>
      </c>
      <c r="M60" s="513" t="s">
        <v>10982</v>
      </c>
      <c r="N60" s="514" t="s">
        <v>10971</v>
      </c>
      <c r="O60" s="513" t="s">
        <v>10831</v>
      </c>
      <c r="P60" s="514" t="s">
        <v>10983</v>
      </c>
      <c r="Q60" s="290" t="str">
        <f aca="false">IF(B60="","",IFERROR(INDEX(OCC_TABLE_DESC,MATCH(B60,OCC_TABLE_CODE,0)),"Unrecognized code"))</f>
        <v>Distribution Warehouse</v>
      </c>
    </row>
    <row r="61" customFormat="false" ht="12.75" hidden="false" customHeight="true" outlineLevel="0" collapsed="false">
      <c r="A61" s="511" t="s">
        <v>10987</v>
      </c>
      <c r="B61" s="508" t="n">
        <v>407</v>
      </c>
      <c r="C61" s="509" t="s">
        <v>10988</v>
      </c>
      <c r="D61" s="512" t="s">
        <v>10989</v>
      </c>
      <c r="E61" s="511" t="s">
        <v>4743</v>
      </c>
      <c r="F61" s="511" t="s">
        <v>10702</v>
      </c>
      <c r="G61" s="511" t="s">
        <v>2692</v>
      </c>
      <c r="H61" s="512" t="s">
        <v>10990</v>
      </c>
      <c r="I61" s="511" t="n">
        <v>1995</v>
      </c>
      <c r="J61" s="511" t="n">
        <v>32600</v>
      </c>
      <c r="K61" s="511"/>
      <c r="L61" s="511" t="s">
        <v>10988</v>
      </c>
      <c r="M61" s="511"/>
      <c r="N61" s="512" t="s">
        <v>10971</v>
      </c>
      <c r="O61" s="511" t="s">
        <v>10831</v>
      </c>
      <c r="P61" s="512" t="s">
        <v>10991</v>
      </c>
      <c r="Q61" s="290" t="str">
        <f aca="false">IF(B61="","",IFERROR(INDEX(OCC_TABLE_DESC,MATCH(B61,OCC_TABLE_CODE,0)),"Unrecognized code"))</f>
        <v>Distribution Warehouse</v>
      </c>
    </row>
    <row r="62" customFormat="false" ht="25.5" hidden="false" customHeight="true" outlineLevel="0" collapsed="false">
      <c r="A62" s="513" t="s">
        <v>10992</v>
      </c>
      <c r="B62" s="508" t="n">
        <v>407</v>
      </c>
      <c r="C62" s="509" t="s">
        <v>10993</v>
      </c>
      <c r="D62" s="514" t="s">
        <v>10994</v>
      </c>
      <c r="E62" s="513" t="s">
        <v>4743</v>
      </c>
      <c r="F62" s="513" t="s">
        <v>10702</v>
      </c>
      <c r="G62" s="513" t="s">
        <v>2692</v>
      </c>
      <c r="H62" s="514" t="s">
        <v>10990</v>
      </c>
      <c r="I62" s="513"/>
      <c r="J62" s="513"/>
      <c r="K62" s="513"/>
      <c r="L62" s="513" t="s">
        <v>10993</v>
      </c>
      <c r="M62" s="513"/>
      <c r="N62" s="514" t="s">
        <v>10971</v>
      </c>
      <c r="O62" s="513" t="s">
        <v>10831</v>
      </c>
      <c r="P62" s="514" t="s">
        <v>10995</v>
      </c>
      <c r="Q62" s="290" t="str">
        <f aca="false">IF(B62="","",IFERROR(INDEX(OCC_TABLE_DESC,MATCH(B62,OCC_TABLE_CODE,0)),"Unrecognized code"))</f>
        <v>Distribution Warehouse</v>
      </c>
    </row>
    <row r="63" customFormat="false" ht="12.75" hidden="false" customHeight="true" outlineLevel="0" collapsed="false">
      <c r="A63" s="511" t="s">
        <v>10996</v>
      </c>
      <c r="B63" s="508" t="n">
        <v>407</v>
      </c>
      <c r="C63" s="509" t="s">
        <v>10997</v>
      </c>
      <c r="D63" s="512" t="s">
        <v>10998</v>
      </c>
      <c r="E63" s="511" t="s">
        <v>4743</v>
      </c>
      <c r="F63" s="511" t="s">
        <v>10702</v>
      </c>
      <c r="G63" s="511" t="s">
        <v>2692</v>
      </c>
      <c r="H63" s="512" t="s">
        <v>10990</v>
      </c>
      <c r="I63" s="511"/>
      <c r="J63" s="511"/>
      <c r="K63" s="511"/>
      <c r="L63" s="511" t="s">
        <v>10997</v>
      </c>
      <c r="M63" s="511"/>
      <c r="N63" s="512" t="s">
        <v>10971</v>
      </c>
      <c r="O63" s="511" t="s">
        <v>10831</v>
      </c>
      <c r="P63" s="512" t="s">
        <v>10999</v>
      </c>
      <c r="Q63" s="290" t="str">
        <f aca="false">IF(B63="","",IFERROR(INDEX(OCC_TABLE_DESC,MATCH(B63,OCC_TABLE_CODE,0)),"Unrecognized code"))</f>
        <v>Distribution Warehouse</v>
      </c>
    </row>
    <row r="64" customFormat="false" ht="25.5" hidden="false" customHeight="true" outlineLevel="0" collapsed="false">
      <c r="A64" s="513" t="s">
        <v>11000</v>
      </c>
      <c r="B64" s="508" t="n">
        <v>584</v>
      </c>
      <c r="C64" s="509" t="s">
        <v>11001</v>
      </c>
      <c r="D64" s="514" t="s">
        <v>11002</v>
      </c>
      <c r="E64" s="513" t="s">
        <v>4743</v>
      </c>
      <c r="F64" s="513" t="s">
        <v>10702</v>
      </c>
      <c r="G64" s="513" t="s">
        <v>2692</v>
      </c>
      <c r="H64" s="514" t="s">
        <v>10802</v>
      </c>
      <c r="I64" s="513"/>
      <c r="J64" s="513" t="n">
        <v>278538</v>
      </c>
      <c r="K64" s="513"/>
      <c r="L64" s="513" t="s">
        <v>11001</v>
      </c>
      <c r="M64" s="513" t="s">
        <v>11003</v>
      </c>
      <c r="N64" s="514" t="s">
        <v>11004</v>
      </c>
      <c r="O64" s="513" t="s">
        <v>10831</v>
      </c>
      <c r="P64" s="514" t="s">
        <v>11005</v>
      </c>
      <c r="Q64" s="290" t="str">
        <f aca="false">IF(B64="","",IFERROR(INDEX(OCC_TABLE_DESC,MATCH(B64,OCC_TABLE_CODE,0)),"Unrecognized code"))</f>
        <v>Mega Warehouse</v>
      </c>
    </row>
    <row r="65" customFormat="false" ht="25.5" hidden="false" customHeight="true" outlineLevel="0" collapsed="false">
      <c r="A65" s="511" t="s">
        <v>11006</v>
      </c>
      <c r="B65" s="508" t="n">
        <v>407</v>
      </c>
      <c r="C65" s="509" t="s">
        <v>11007</v>
      </c>
      <c r="D65" s="512" t="s">
        <v>11008</v>
      </c>
      <c r="E65" s="511" t="s">
        <v>4743</v>
      </c>
      <c r="F65" s="511" t="s">
        <v>10702</v>
      </c>
      <c r="G65" s="511" t="s">
        <v>2692</v>
      </c>
      <c r="H65" s="512" t="s">
        <v>10842</v>
      </c>
      <c r="I65" s="511" t="n">
        <v>2019</v>
      </c>
      <c r="J65" s="511" t="n">
        <v>36212</v>
      </c>
      <c r="K65" s="511"/>
      <c r="L65" s="511" t="s">
        <v>11007</v>
      </c>
      <c r="M65" s="511" t="s">
        <v>11009</v>
      </c>
      <c r="N65" s="512" t="s">
        <v>11010</v>
      </c>
      <c r="O65" s="511" t="s">
        <v>10831</v>
      </c>
      <c r="P65" s="512" t="s">
        <v>11011</v>
      </c>
      <c r="Q65" s="290" t="str">
        <f aca="false">IF(B65="","",IFERROR(INDEX(OCC_TABLE_DESC,MATCH(B65,OCC_TABLE_CODE,0)),"Unrecognized code"))</f>
        <v>Distribution Warehouse</v>
      </c>
    </row>
    <row r="66" customFormat="false" ht="12.75" hidden="false" customHeight="true" outlineLevel="0" collapsed="false">
      <c r="A66" s="513" t="s">
        <v>11012</v>
      </c>
      <c r="B66" s="508" t="n">
        <v>344</v>
      </c>
      <c r="C66" s="509" t="s">
        <v>3361</v>
      </c>
      <c r="D66" s="514" t="s">
        <v>11013</v>
      </c>
      <c r="E66" s="513" t="s">
        <v>4368</v>
      </c>
      <c r="F66" s="513" t="s">
        <v>10702</v>
      </c>
      <c r="G66" s="513" t="s">
        <v>10719</v>
      </c>
      <c r="H66" s="514" t="s">
        <v>11014</v>
      </c>
      <c r="I66" s="513"/>
      <c r="J66" s="513" t="n">
        <v>19764</v>
      </c>
      <c r="K66" s="513"/>
      <c r="L66" s="513" t="s">
        <v>3361</v>
      </c>
      <c r="M66" s="513"/>
      <c r="N66" s="514" t="s">
        <v>11015</v>
      </c>
      <c r="O66" s="513" t="s">
        <v>10831</v>
      </c>
      <c r="P66" s="514" t="s">
        <v>11016</v>
      </c>
      <c r="Q66" s="290" t="str">
        <f aca="false">IF(B66="","",IFERROR(INDEX(OCC_TABLE_DESC,MATCH(B66,OCC_TABLE_CODE,0)),"Unrecognized code"))</f>
        <v>Office Building</v>
      </c>
    </row>
    <row r="67" customFormat="false" ht="12.75" hidden="false" customHeight="true" outlineLevel="0" collapsed="false">
      <c r="A67" s="511" t="s">
        <v>11017</v>
      </c>
      <c r="B67" s="508" t="n">
        <v>344</v>
      </c>
      <c r="C67" s="509" t="s">
        <v>4366</v>
      </c>
      <c r="D67" s="512" t="s">
        <v>11018</v>
      </c>
      <c r="E67" s="511" t="s">
        <v>4368</v>
      </c>
      <c r="F67" s="511" t="s">
        <v>10702</v>
      </c>
      <c r="G67" s="511" t="s">
        <v>10719</v>
      </c>
      <c r="H67" s="512" t="s">
        <v>11014</v>
      </c>
      <c r="I67" s="511"/>
      <c r="J67" s="511"/>
      <c r="K67" s="511"/>
      <c r="L67" s="511" t="s">
        <v>4366</v>
      </c>
      <c r="M67" s="511" t="s">
        <v>11019</v>
      </c>
      <c r="N67" s="512" t="s">
        <v>11015</v>
      </c>
      <c r="O67" s="511" t="s">
        <v>10831</v>
      </c>
      <c r="P67" s="512" t="s">
        <v>11020</v>
      </c>
      <c r="Q67" s="290" t="str">
        <f aca="false">IF(B67="","",IFERROR(INDEX(OCC_TABLE_DESC,MATCH(B67,OCC_TABLE_CODE,0)),"Unrecognized code"))</f>
        <v>Office Building</v>
      </c>
    </row>
    <row r="68" customFormat="false" ht="12.75" hidden="false" customHeight="true" outlineLevel="0" collapsed="false">
      <c r="A68" s="513" t="s">
        <v>11021</v>
      </c>
      <c r="B68" s="508" t="n">
        <v>344</v>
      </c>
      <c r="C68" s="509" t="s">
        <v>11022</v>
      </c>
      <c r="D68" s="514" t="s">
        <v>11023</v>
      </c>
      <c r="E68" s="513" t="s">
        <v>1557</v>
      </c>
      <c r="F68" s="513" t="s">
        <v>10702</v>
      </c>
      <c r="G68" s="513" t="s">
        <v>10719</v>
      </c>
      <c r="H68" s="514" t="s">
        <v>11014</v>
      </c>
      <c r="I68" s="513"/>
      <c r="J68" s="513" t="n">
        <v>114843</v>
      </c>
      <c r="K68" s="513"/>
      <c r="L68" s="513" t="s">
        <v>11022</v>
      </c>
      <c r="M68" s="513"/>
      <c r="N68" s="514" t="s">
        <v>11015</v>
      </c>
      <c r="O68" s="513" t="s">
        <v>10831</v>
      </c>
      <c r="P68" s="514" t="s">
        <v>11024</v>
      </c>
      <c r="Q68" s="290" t="str">
        <f aca="false">IF(B68="","",IFERROR(INDEX(OCC_TABLE_DESC,MATCH(B68,OCC_TABLE_CODE,0)),"Unrecognized code"))</f>
        <v>Office Building</v>
      </c>
    </row>
    <row r="69" customFormat="false" ht="12.75" hidden="false" customHeight="true" outlineLevel="0" collapsed="false">
      <c r="A69" s="511" t="s">
        <v>11025</v>
      </c>
      <c r="B69" s="508" t="n">
        <v>344</v>
      </c>
      <c r="C69" s="509" t="s">
        <v>11026</v>
      </c>
      <c r="D69" s="512" t="s">
        <v>11027</v>
      </c>
      <c r="E69" s="511" t="s">
        <v>4420</v>
      </c>
      <c r="F69" s="511" t="s">
        <v>10702</v>
      </c>
      <c r="G69" s="511" t="s">
        <v>10719</v>
      </c>
      <c r="H69" s="512" t="s">
        <v>11014</v>
      </c>
      <c r="I69" s="511"/>
      <c r="J69" s="511" t="n">
        <v>8218</v>
      </c>
      <c r="K69" s="511"/>
      <c r="L69" s="511" t="s">
        <v>11026</v>
      </c>
      <c r="M69" s="511"/>
      <c r="N69" s="512" t="s">
        <v>11015</v>
      </c>
      <c r="O69" s="511" t="s">
        <v>10831</v>
      </c>
      <c r="P69" s="512" t="s">
        <v>11028</v>
      </c>
      <c r="Q69" s="290" t="str">
        <f aca="false">IF(B69="","",IFERROR(INDEX(OCC_TABLE_DESC,MATCH(B69,OCC_TABLE_CODE,0)),"Unrecognized code"))</f>
        <v>Office Building</v>
      </c>
    </row>
    <row r="70" customFormat="false" ht="12.75" hidden="false" customHeight="true" outlineLevel="0" collapsed="false">
      <c r="A70" s="513" t="s">
        <v>11029</v>
      </c>
      <c r="B70" s="508" t="n">
        <v>344</v>
      </c>
      <c r="C70" s="509" t="s">
        <v>11030</v>
      </c>
      <c r="D70" s="514" t="s">
        <v>11031</v>
      </c>
      <c r="E70" s="513" t="s">
        <v>4743</v>
      </c>
      <c r="F70" s="513" t="s">
        <v>10702</v>
      </c>
      <c r="G70" s="513" t="s">
        <v>10719</v>
      </c>
      <c r="H70" s="514" t="s">
        <v>11014</v>
      </c>
      <c r="I70" s="513"/>
      <c r="J70" s="513"/>
      <c r="K70" s="513"/>
      <c r="L70" s="513" t="s">
        <v>11030</v>
      </c>
      <c r="M70" s="513"/>
      <c r="N70" s="514" t="s">
        <v>11015</v>
      </c>
      <c r="O70" s="513" t="s">
        <v>10831</v>
      </c>
      <c r="P70" s="514" t="s">
        <v>11032</v>
      </c>
      <c r="Q70" s="290" t="str">
        <f aca="false">IF(B70="","",IFERROR(INDEX(OCC_TABLE_DESC,MATCH(B70,OCC_TABLE_CODE,0)),"Unrecognized code"))</f>
        <v>Office Building</v>
      </c>
    </row>
    <row r="71" customFormat="false" ht="25.5" hidden="false" customHeight="true" outlineLevel="0" collapsed="false">
      <c r="A71" s="511" t="s">
        <v>11033</v>
      </c>
      <c r="B71" s="508" t="n">
        <v>344</v>
      </c>
      <c r="C71" s="509" t="s">
        <v>11034</v>
      </c>
      <c r="D71" s="512" t="s">
        <v>11035</v>
      </c>
      <c r="E71" s="511" t="s">
        <v>1557</v>
      </c>
      <c r="F71" s="511" t="s">
        <v>10702</v>
      </c>
      <c r="G71" s="511" t="s">
        <v>10719</v>
      </c>
      <c r="H71" s="512" t="s">
        <v>11036</v>
      </c>
      <c r="I71" s="511"/>
      <c r="J71" s="511" t="n">
        <v>41979</v>
      </c>
      <c r="K71" s="511"/>
      <c r="L71" s="511" t="s">
        <v>11034</v>
      </c>
      <c r="M71" s="511"/>
      <c r="N71" s="512" t="s">
        <v>11015</v>
      </c>
      <c r="O71" s="511" t="s">
        <v>10831</v>
      </c>
      <c r="P71" s="512" t="s">
        <v>11037</v>
      </c>
      <c r="Q71" s="290" t="str">
        <f aca="false">IF(B71="","",IFERROR(INDEX(OCC_TABLE_DESC,MATCH(B71,OCC_TABLE_CODE,0)),"Unrecognized code"))</f>
        <v>Office Building</v>
      </c>
    </row>
    <row r="72" customFormat="false" ht="25.5" hidden="false" customHeight="true" outlineLevel="0" collapsed="false">
      <c r="A72" s="513" t="s">
        <v>11038</v>
      </c>
      <c r="B72" s="508" t="n">
        <v>210</v>
      </c>
      <c r="C72" s="509" t="s">
        <v>11039</v>
      </c>
      <c r="D72" s="514" t="s">
        <v>11040</v>
      </c>
      <c r="E72" s="513" t="s">
        <v>4420</v>
      </c>
      <c r="F72" s="513" t="s">
        <v>10702</v>
      </c>
      <c r="G72" s="513" t="s">
        <v>11041</v>
      </c>
      <c r="H72" s="514" t="s">
        <v>11042</v>
      </c>
      <c r="I72" s="513"/>
      <c r="J72" s="513" t="n">
        <v>278538</v>
      </c>
      <c r="K72" s="513"/>
      <c r="L72" s="513" t="s">
        <v>11039</v>
      </c>
      <c r="M72" s="513"/>
      <c r="N72" s="514" t="s">
        <v>11015</v>
      </c>
      <c r="O72" s="513" t="s">
        <v>10831</v>
      </c>
      <c r="P72" s="514" t="s">
        <v>11043</v>
      </c>
      <c r="Q72" s="290" t="str">
        <f aca="false">IF(B72="","",IFERROR(INDEX(OCC_TABLE_DESC,MATCH(B72,OCC_TABLE_CODE,0)),"Unrecognized code"))</f>
        <v>Industrial Flex Mall Building</v>
      </c>
    </row>
    <row r="73" customFormat="false" ht="25.5" hidden="false" customHeight="true" outlineLevel="0" collapsed="false">
      <c r="A73" s="511" t="s">
        <v>11044</v>
      </c>
      <c r="B73" s="508" t="n">
        <v>210</v>
      </c>
      <c r="C73" s="509" t="s">
        <v>11045</v>
      </c>
      <c r="D73" s="512" t="s">
        <v>11046</v>
      </c>
      <c r="E73" s="511" t="s">
        <v>4743</v>
      </c>
      <c r="F73" s="511" t="s">
        <v>10702</v>
      </c>
      <c r="G73" s="511" t="s">
        <v>2692</v>
      </c>
      <c r="H73" s="512" t="s">
        <v>10851</v>
      </c>
      <c r="I73" s="511"/>
      <c r="J73" s="511"/>
      <c r="K73" s="511"/>
      <c r="L73" s="511" t="s">
        <v>11045</v>
      </c>
      <c r="M73" s="511" t="s">
        <v>11047</v>
      </c>
      <c r="N73" s="512" t="s">
        <v>11048</v>
      </c>
      <c r="O73" s="511" t="s">
        <v>10831</v>
      </c>
      <c r="P73" s="512" t="s">
        <v>11049</v>
      </c>
      <c r="Q73" s="290" t="str">
        <f aca="false">IF(B73="","",IFERROR(INDEX(OCC_TABLE_DESC,MATCH(B73,OCC_TABLE_CODE,0)),"Unrecognized code"))</f>
        <v>Industrial Flex Mall Building</v>
      </c>
    </row>
    <row r="74" customFormat="false" ht="12.75" hidden="false" customHeight="true" outlineLevel="0" collapsed="false">
      <c r="A74" s="513" t="s">
        <v>11050</v>
      </c>
      <c r="B74" s="508" t="n">
        <v>210</v>
      </c>
      <c r="C74" s="509" t="s">
        <v>11051</v>
      </c>
      <c r="D74" s="514" t="s">
        <v>11052</v>
      </c>
      <c r="E74" s="513" t="s">
        <v>4743</v>
      </c>
      <c r="F74" s="513" t="s">
        <v>10702</v>
      </c>
      <c r="G74" s="513" t="s">
        <v>2692</v>
      </c>
      <c r="H74" s="514" t="s">
        <v>10851</v>
      </c>
      <c r="I74" s="513"/>
      <c r="J74" s="513"/>
      <c r="K74" s="513"/>
      <c r="L74" s="513" t="s">
        <v>11051</v>
      </c>
      <c r="M74" s="513" t="s">
        <v>11047</v>
      </c>
      <c r="N74" s="514" t="s">
        <v>11048</v>
      </c>
      <c r="O74" s="513" t="s">
        <v>10831</v>
      </c>
      <c r="P74" s="514" t="s">
        <v>11053</v>
      </c>
      <c r="Q74" s="290" t="str">
        <f aca="false">IF(B74="","",IFERROR(INDEX(OCC_TABLE_DESC,MATCH(B74,OCC_TABLE_CODE,0)),"Unrecognized code"))</f>
        <v>Industrial Flex Mall Building</v>
      </c>
    </row>
    <row r="75" customFormat="false" ht="25.5" hidden="false" customHeight="true" outlineLevel="0" collapsed="false">
      <c r="A75" s="511" t="s">
        <v>11054</v>
      </c>
      <c r="B75" s="508" t="n">
        <v>210</v>
      </c>
      <c r="C75" s="509" t="s">
        <v>11055</v>
      </c>
      <c r="D75" s="512" t="s">
        <v>11056</v>
      </c>
      <c r="E75" s="511" t="s">
        <v>4743</v>
      </c>
      <c r="F75" s="511" t="s">
        <v>10702</v>
      </c>
      <c r="G75" s="511" t="s">
        <v>2692</v>
      </c>
      <c r="H75" s="512" t="s">
        <v>10851</v>
      </c>
      <c r="I75" s="511"/>
      <c r="J75" s="511"/>
      <c r="K75" s="511"/>
      <c r="L75" s="511" t="s">
        <v>11055</v>
      </c>
      <c r="M75" s="511" t="s">
        <v>11047</v>
      </c>
      <c r="N75" s="512" t="s">
        <v>11048</v>
      </c>
      <c r="O75" s="511" t="s">
        <v>10831</v>
      </c>
      <c r="P75" s="512" t="s">
        <v>11057</v>
      </c>
      <c r="Q75" s="290" t="str">
        <f aca="false">IF(B75="","",IFERROR(INDEX(OCC_TABLE_DESC,MATCH(B75,OCC_TABLE_CODE,0)),"Unrecognized code"))</f>
        <v>Industrial Flex Mall Building</v>
      </c>
    </row>
    <row r="76" customFormat="false" ht="12.75" hidden="false" customHeight="true" outlineLevel="0" collapsed="false">
      <c r="A76" s="513" t="s">
        <v>11058</v>
      </c>
      <c r="B76" s="508" t="n">
        <v>210</v>
      </c>
      <c r="C76" s="509" t="s">
        <v>11059</v>
      </c>
      <c r="D76" s="514" t="s">
        <v>11060</v>
      </c>
      <c r="E76" s="513" t="s">
        <v>4743</v>
      </c>
      <c r="F76" s="513" t="s">
        <v>10702</v>
      </c>
      <c r="G76" s="513" t="s">
        <v>2692</v>
      </c>
      <c r="H76" s="514" t="s">
        <v>10851</v>
      </c>
      <c r="I76" s="513"/>
      <c r="J76" s="513"/>
      <c r="K76" s="513"/>
      <c r="L76" s="513" t="s">
        <v>11059</v>
      </c>
      <c r="M76" s="513" t="s">
        <v>11047</v>
      </c>
      <c r="N76" s="514" t="s">
        <v>11048</v>
      </c>
      <c r="O76" s="513" t="s">
        <v>10831</v>
      </c>
      <c r="P76" s="514" t="s">
        <v>11053</v>
      </c>
      <c r="Q76" s="290" t="str">
        <f aca="false">IF(B76="","",IFERROR(INDEX(OCC_TABLE_DESC,MATCH(B76,OCC_TABLE_CODE,0)),"Unrecognized code"))</f>
        <v>Industrial Flex Mall Building</v>
      </c>
    </row>
    <row r="77" customFormat="false" ht="25.5" hidden="false" customHeight="true" outlineLevel="0" collapsed="false">
      <c r="A77" s="511" t="s">
        <v>11061</v>
      </c>
      <c r="B77" s="508" t="n">
        <v>210</v>
      </c>
      <c r="C77" s="509" t="s">
        <v>11062</v>
      </c>
      <c r="D77" s="512" t="s">
        <v>11063</v>
      </c>
      <c r="E77" s="511" t="s">
        <v>4743</v>
      </c>
      <c r="F77" s="511" t="s">
        <v>10702</v>
      </c>
      <c r="G77" s="511" t="s">
        <v>2692</v>
      </c>
      <c r="H77" s="512" t="s">
        <v>10851</v>
      </c>
      <c r="I77" s="511"/>
      <c r="J77" s="511"/>
      <c r="K77" s="511"/>
      <c r="L77" s="511" t="s">
        <v>11062</v>
      </c>
      <c r="M77" s="511" t="s">
        <v>11047</v>
      </c>
      <c r="N77" s="512" t="s">
        <v>11048</v>
      </c>
      <c r="O77" s="511" t="s">
        <v>10831</v>
      </c>
      <c r="P77" s="512" t="s">
        <v>11064</v>
      </c>
      <c r="Q77" s="290" t="str">
        <f aca="false">IF(B77="","",IFERROR(INDEX(OCC_TABLE_DESC,MATCH(B77,OCC_TABLE_CODE,0)),"Unrecognized code"))</f>
        <v>Industrial Flex Mall Building</v>
      </c>
    </row>
    <row r="78" customFormat="false" ht="25.5" hidden="false" customHeight="true" outlineLevel="0" collapsed="false">
      <c r="A78" s="513" t="s">
        <v>11065</v>
      </c>
      <c r="B78" s="508" t="n">
        <v>210</v>
      </c>
      <c r="C78" s="509" t="s">
        <v>11066</v>
      </c>
      <c r="D78" s="514" t="s">
        <v>11067</v>
      </c>
      <c r="E78" s="513" t="s">
        <v>4743</v>
      </c>
      <c r="F78" s="513" t="s">
        <v>10702</v>
      </c>
      <c r="G78" s="513" t="s">
        <v>2692</v>
      </c>
      <c r="H78" s="514" t="s">
        <v>10851</v>
      </c>
      <c r="I78" s="513"/>
      <c r="J78" s="513"/>
      <c r="K78" s="513"/>
      <c r="L78" s="513" t="s">
        <v>11066</v>
      </c>
      <c r="M78" s="513" t="s">
        <v>11047</v>
      </c>
      <c r="N78" s="514" t="s">
        <v>11048</v>
      </c>
      <c r="O78" s="513" t="s">
        <v>10831</v>
      </c>
      <c r="P78" s="514" t="s">
        <v>11068</v>
      </c>
      <c r="Q78" s="290" t="str">
        <f aca="false">IF(B78="","",IFERROR(INDEX(OCC_TABLE_DESC,MATCH(B78,OCC_TABLE_CODE,0)),"Unrecognized code"))</f>
        <v>Industrial Flex Mall Building</v>
      </c>
    </row>
    <row r="79" customFormat="false" ht="12.75" hidden="false" customHeight="true" outlineLevel="0" collapsed="false">
      <c r="A79" s="511" t="s">
        <v>11069</v>
      </c>
      <c r="B79" s="508" t="n">
        <v>210</v>
      </c>
      <c r="C79" s="509" t="s">
        <v>11070</v>
      </c>
      <c r="D79" s="512" t="s">
        <v>11071</v>
      </c>
      <c r="E79" s="511" t="s">
        <v>4743</v>
      </c>
      <c r="F79" s="511" t="s">
        <v>10702</v>
      </c>
      <c r="G79" s="511" t="s">
        <v>2692</v>
      </c>
      <c r="H79" s="512" t="s">
        <v>10851</v>
      </c>
      <c r="I79" s="511"/>
      <c r="J79" s="511"/>
      <c r="K79" s="511"/>
      <c r="L79" s="511" t="s">
        <v>11070</v>
      </c>
      <c r="M79" s="511" t="s">
        <v>11047</v>
      </c>
      <c r="N79" s="512" t="s">
        <v>11048</v>
      </c>
      <c r="O79" s="511" t="s">
        <v>10831</v>
      </c>
      <c r="P79" s="512" t="s">
        <v>11072</v>
      </c>
      <c r="Q79" s="290" t="str">
        <f aca="false">IF(B79="","",IFERROR(INDEX(OCC_TABLE_DESC,MATCH(B79,OCC_TABLE_CODE,0)),"Unrecognized code"))</f>
        <v>Industrial Flex Mall Building</v>
      </c>
    </row>
    <row r="80" customFormat="false" ht="25.5" hidden="false" customHeight="true" outlineLevel="0" collapsed="false">
      <c r="A80" s="513" t="s">
        <v>11073</v>
      </c>
      <c r="B80" s="508" t="n">
        <v>210</v>
      </c>
      <c r="C80" s="509" t="s">
        <v>11070</v>
      </c>
      <c r="D80" s="514" t="s">
        <v>11074</v>
      </c>
      <c r="E80" s="513" t="s">
        <v>4743</v>
      </c>
      <c r="F80" s="513" t="s">
        <v>10702</v>
      </c>
      <c r="G80" s="513" t="s">
        <v>2692</v>
      </c>
      <c r="H80" s="514" t="s">
        <v>10851</v>
      </c>
      <c r="I80" s="513"/>
      <c r="J80" s="513"/>
      <c r="K80" s="513"/>
      <c r="L80" s="513" t="s">
        <v>11070</v>
      </c>
      <c r="M80" s="513" t="s">
        <v>11047</v>
      </c>
      <c r="N80" s="514" t="s">
        <v>11048</v>
      </c>
      <c r="O80" s="513" t="s">
        <v>10831</v>
      </c>
      <c r="P80" s="514" t="s">
        <v>11075</v>
      </c>
      <c r="Q80" s="290" t="str">
        <f aca="false">IF(B80="","",IFERROR(INDEX(OCC_TABLE_DESC,MATCH(B80,OCC_TABLE_CODE,0)),"Unrecognized code"))</f>
        <v>Industrial Flex Mall Building</v>
      </c>
    </row>
    <row r="81" customFormat="false" ht="25.5" hidden="false" customHeight="true" outlineLevel="0" collapsed="false">
      <c r="A81" s="511" t="s">
        <v>11076</v>
      </c>
      <c r="B81" s="508" t="n">
        <v>210</v>
      </c>
      <c r="C81" s="509" t="s">
        <v>11070</v>
      </c>
      <c r="D81" s="512" t="s">
        <v>11077</v>
      </c>
      <c r="E81" s="511" t="s">
        <v>4743</v>
      </c>
      <c r="F81" s="511" t="s">
        <v>10702</v>
      </c>
      <c r="G81" s="511" t="s">
        <v>2692</v>
      </c>
      <c r="H81" s="512" t="s">
        <v>10851</v>
      </c>
      <c r="I81" s="511"/>
      <c r="J81" s="511"/>
      <c r="K81" s="511"/>
      <c r="L81" s="511" t="s">
        <v>11070</v>
      </c>
      <c r="M81" s="511" t="s">
        <v>11047</v>
      </c>
      <c r="N81" s="512" t="s">
        <v>11048</v>
      </c>
      <c r="O81" s="511" t="s">
        <v>10831</v>
      </c>
      <c r="P81" s="512" t="s">
        <v>11078</v>
      </c>
      <c r="Q81" s="290" t="str">
        <f aca="false">IF(B81="","",IFERROR(INDEX(OCC_TABLE_DESC,MATCH(B81,OCC_TABLE_CODE,0)),"Unrecognized code"))</f>
        <v>Industrial Flex Mall Building</v>
      </c>
    </row>
    <row r="82" customFormat="false" ht="25.5" hidden="false" customHeight="true" outlineLevel="0" collapsed="false">
      <c r="A82" s="513" t="s">
        <v>11079</v>
      </c>
      <c r="B82" s="508" t="n">
        <v>584</v>
      </c>
      <c r="C82" s="509" t="s">
        <v>11080</v>
      </c>
      <c r="D82" s="514" t="s">
        <v>11081</v>
      </c>
      <c r="E82" s="513" t="s">
        <v>4743</v>
      </c>
      <c r="F82" s="513" t="s">
        <v>10702</v>
      </c>
      <c r="G82" s="513" t="s">
        <v>2692</v>
      </c>
      <c r="H82" s="514" t="s">
        <v>10802</v>
      </c>
      <c r="I82" s="513"/>
      <c r="J82" s="513"/>
      <c r="K82" s="513"/>
      <c r="L82" s="513" t="s">
        <v>11080</v>
      </c>
      <c r="M82" s="513" t="s">
        <v>11047</v>
      </c>
      <c r="N82" s="514" t="s">
        <v>11048</v>
      </c>
      <c r="O82" s="513" t="s">
        <v>10831</v>
      </c>
      <c r="P82" s="514" t="s">
        <v>11082</v>
      </c>
      <c r="Q82" s="290" t="str">
        <f aca="false">IF(B82="","",IFERROR(INDEX(OCC_TABLE_DESC,MATCH(B82,OCC_TABLE_CODE,0)),"Unrecognized code"))</f>
        <v>Mega Warehouse</v>
      </c>
    </row>
    <row r="83" customFormat="false" ht="25.5" hidden="false" customHeight="true" outlineLevel="0" collapsed="false">
      <c r="A83" s="511" t="s">
        <v>11083</v>
      </c>
      <c r="B83" s="508" t="n">
        <v>407</v>
      </c>
      <c r="C83" s="509" t="s">
        <v>11084</v>
      </c>
      <c r="D83" s="512" t="s">
        <v>11085</v>
      </c>
      <c r="E83" s="511" t="s">
        <v>4420</v>
      </c>
      <c r="F83" s="511" t="s">
        <v>10702</v>
      </c>
      <c r="G83" s="511" t="s">
        <v>2692</v>
      </c>
      <c r="H83" s="512" t="s">
        <v>10819</v>
      </c>
      <c r="I83" s="511"/>
      <c r="J83" s="511"/>
      <c r="K83" s="511"/>
      <c r="L83" s="511" t="s">
        <v>11084</v>
      </c>
      <c r="M83" s="511" t="s">
        <v>11086</v>
      </c>
      <c r="N83" s="512" t="s">
        <v>11087</v>
      </c>
      <c r="O83" s="511" t="s">
        <v>10831</v>
      </c>
      <c r="P83" s="512" t="s">
        <v>11088</v>
      </c>
      <c r="Q83" s="290" t="str">
        <f aca="false">IF(B83="","",IFERROR(INDEX(OCC_TABLE_DESC,MATCH(B83,OCC_TABLE_CODE,0)),"Unrecognized code"))</f>
        <v>Distribution Warehouse</v>
      </c>
    </row>
    <row r="84" customFormat="false" ht="25.5" hidden="false" customHeight="true" outlineLevel="0" collapsed="false">
      <c r="A84" s="513" t="s">
        <v>11089</v>
      </c>
      <c r="B84" s="508" t="n">
        <v>407</v>
      </c>
      <c r="C84" s="509" t="s">
        <v>11090</v>
      </c>
      <c r="D84" s="514" t="s">
        <v>11091</v>
      </c>
      <c r="E84" s="513" t="s">
        <v>4743</v>
      </c>
      <c r="F84" s="513" t="s">
        <v>10702</v>
      </c>
      <c r="G84" s="513" t="s">
        <v>2692</v>
      </c>
      <c r="H84" s="514" t="s">
        <v>10819</v>
      </c>
      <c r="I84" s="513"/>
      <c r="J84" s="513"/>
      <c r="K84" s="513"/>
      <c r="L84" s="513" t="s">
        <v>11090</v>
      </c>
      <c r="M84" s="513" t="s">
        <v>11086</v>
      </c>
      <c r="N84" s="514" t="s">
        <v>11087</v>
      </c>
      <c r="O84" s="513" t="s">
        <v>10831</v>
      </c>
      <c r="P84" s="514" t="s">
        <v>11092</v>
      </c>
      <c r="Q84" s="290" t="str">
        <f aca="false">IF(B84="","",IFERROR(INDEX(OCC_TABLE_DESC,MATCH(B84,OCC_TABLE_CODE,0)),"Unrecognized code"))</f>
        <v>Distribution Warehouse</v>
      </c>
    </row>
    <row r="85" customFormat="false" ht="25.5" hidden="false" customHeight="true" outlineLevel="0" collapsed="false">
      <c r="A85" s="511" t="s">
        <v>11093</v>
      </c>
      <c r="B85" s="508" t="n">
        <v>407</v>
      </c>
      <c r="C85" s="509" t="s">
        <v>2156</v>
      </c>
      <c r="D85" s="512" t="s">
        <v>11094</v>
      </c>
      <c r="E85" s="511" t="s">
        <v>4743</v>
      </c>
      <c r="F85" s="511" t="s">
        <v>10702</v>
      </c>
      <c r="G85" s="511" t="s">
        <v>2692</v>
      </c>
      <c r="H85" s="512" t="s">
        <v>10819</v>
      </c>
      <c r="I85" s="511"/>
      <c r="J85" s="511"/>
      <c r="K85" s="511"/>
      <c r="L85" s="511" t="s">
        <v>2156</v>
      </c>
      <c r="M85" s="511" t="s">
        <v>11095</v>
      </c>
      <c r="N85" s="512" t="s">
        <v>11096</v>
      </c>
      <c r="O85" s="511" t="s">
        <v>10831</v>
      </c>
      <c r="P85" s="512" t="s">
        <v>11097</v>
      </c>
      <c r="Q85" s="290" t="str">
        <f aca="false">IF(B85="","",IFERROR(INDEX(OCC_TABLE_DESC,MATCH(B85,OCC_TABLE_CODE,0)),"Unrecognized code"))</f>
        <v>Distribution Warehouse</v>
      </c>
    </row>
    <row r="86" customFormat="false" ht="25.5" hidden="false" customHeight="true" outlineLevel="0" collapsed="false">
      <c r="A86" s="513" t="s">
        <v>11098</v>
      </c>
      <c r="B86" s="508" t="n">
        <v>407</v>
      </c>
      <c r="C86" s="509" t="s">
        <v>2156</v>
      </c>
      <c r="D86" s="514" t="s">
        <v>11099</v>
      </c>
      <c r="E86" s="513" t="s">
        <v>4743</v>
      </c>
      <c r="F86" s="513" t="s">
        <v>10702</v>
      </c>
      <c r="G86" s="513" t="s">
        <v>2692</v>
      </c>
      <c r="H86" s="514" t="s">
        <v>10819</v>
      </c>
      <c r="I86" s="513"/>
      <c r="J86" s="513"/>
      <c r="K86" s="513"/>
      <c r="L86" s="513" t="s">
        <v>2156</v>
      </c>
      <c r="M86" s="513" t="s">
        <v>11095</v>
      </c>
      <c r="N86" s="514" t="s">
        <v>11096</v>
      </c>
      <c r="O86" s="513" t="s">
        <v>10831</v>
      </c>
      <c r="P86" s="514" t="s">
        <v>11100</v>
      </c>
      <c r="Q86" s="290" t="str">
        <f aca="false">IF(B86="","",IFERROR(INDEX(OCC_TABLE_DESC,MATCH(B86,OCC_TABLE_CODE,0)),"Unrecognized code"))</f>
        <v>Distribution Warehouse</v>
      </c>
    </row>
    <row r="87" customFormat="false" ht="25.5" hidden="false" customHeight="true" outlineLevel="0" collapsed="false">
      <c r="A87" s="511" t="s">
        <v>11101</v>
      </c>
      <c r="B87" s="508" t="n">
        <v>407</v>
      </c>
      <c r="C87" s="509" t="s">
        <v>2156</v>
      </c>
      <c r="D87" s="512" t="s">
        <v>11102</v>
      </c>
      <c r="E87" s="511" t="s">
        <v>4743</v>
      </c>
      <c r="F87" s="511" t="s">
        <v>10702</v>
      </c>
      <c r="G87" s="511" t="s">
        <v>2692</v>
      </c>
      <c r="H87" s="512" t="s">
        <v>10819</v>
      </c>
      <c r="I87" s="511"/>
      <c r="J87" s="511"/>
      <c r="K87" s="511"/>
      <c r="L87" s="511" t="s">
        <v>2156</v>
      </c>
      <c r="M87" s="511" t="s">
        <v>11095</v>
      </c>
      <c r="N87" s="512" t="s">
        <v>11096</v>
      </c>
      <c r="O87" s="511" t="s">
        <v>10831</v>
      </c>
      <c r="P87" s="512" t="s">
        <v>11103</v>
      </c>
      <c r="Q87" s="290" t="str">
        <f aca="false">IF(B87="","",IFERROR(INDEX(OCC_TABLE_DESC,MATCH(B87,OCC_TABLE_CODE,0)),"Unrecognized code"))</f>
        <v>Distribution Warehouse</v>
      </c>
    </row>
    <row r="88" customFormat="false" ht="12.75" hidden="false" customHeight="true" outlineLevel="0" collapsed="false">
      <c r="A88" s="511" t="s">
        <v>11104</v>
      </c>
      <c r="B88" s="508" t="n">
        <v>210</v>
      </c>
      <c r="C88" s="509" t="s">
        <v>11105</v>
      </c>
      <c r="D88" s="512" t="s">
        <v>11106</v>
      </c>
      <c r="E88" s="511" t="s">
        <v>1557</v>
      </c>
      <c r="F88" s="511" t="s">
        <v>10702</v>
      </c>
      <c r="G88" s="511" t="s">
        <v>2692</v>
      </c>
      <c r="H88" s="512" t="s">
        <v>11107</v>
      </c>
      <c r="I88" s="511"/>
      <c r="J88" s="511" t="n">
        <v>33057</v>
      </c>
      <c r="K88" s="511"/>
      <c r="L88" s="511" t="s">
        <v>11105</v>
      </c>
      <c r="M88" s="511"/>
      <c r="N88" s="512" t="s">
        <v>11108</v>
      </c>
      <c r="O88" s="511" t="s">
        <v>11109</v>
      </c>
      <c r="P88" s="512" t="s">
        <v>11110</v>
      </c>
      <c r="Q88" s="290" t="str">
        <f aca="false">IF(B88="","",IFERROR(INDEX(OCC_TABLE_DESC,MATCH(B88,OCC_TABLE_CODE,0)),"Unrecognized code"))</f>
        <v>Industrial Flex Mall Building</v>
      </c>
    </row>
    <row r="89" customFormat="false" ht="25.5" hidden="false" customHeight="true" outlineLevel="0" collapsed="false">
      <c r="A89" s="513" t="s">
        <v>11111</v>
      </c>
      <c r="B89" s="508" t="n">
        <v>406</v>
      </c>
      <c r="C89" s="509" t="s">
        <v>11112</v>
      </c>
      <c r="D89" s="514" t="s">
        <v>11113</v>
      </c>
      <c r="E89" s="513" t="s">
        <v>4743</v>
      </c>
      <c r="F89" s="513" t="s">
        <v>10702</v>
      </c>
      <c r="G89" s="513" t="s">
        <v>2692</v>
      </c>
      <c r="H89" s="514" t="s">
        <v>10855</v>
      </c>
      <c r="I89" s="513" t="n">
        <v>1980</v>
      </c>
      <c r="J89" s="513" t="n">
        <v>233808</v>
      </c>
      <c r="K89" s="513"/>
      <c r="L89" s="513" t="s">
        <v>11112</v>
      </c>
      <c r="M89" s="513"/>
      <c r="N89" s="514" t="s">
        <v>11114</v>
      </c>
      <c r="O89" s="513" t="s">
        <v>11109</v>
      </c>
      <c r="P89" s="514" t="s">
        <v>11115</v>
      </c>
      <c r="Q89" s="290" t="str">
        <f aca="false">IF(B89="","",IFERROR(INDEX(OCC_TABLE_DESC,MATCH(B89,OCC_TABLE_CODE,0)),"Unrecognized code"))</f>
        <v>Storage Warehouse</v>
      </c>
    </row>
    <row r="90" customFormat="false" ht="25.5" hidden="false" customHeight="true" outlineLevel="0" collapsed="false">
      <c r="A90" s="511" t="s">
        <v>11116</v>
      </c>
      <c r="B90" s="508" t="n">
        <v>407</v>
      </c>
      <c r="C90" s="509" t="s">
        <v>6065</v>
      </c>
      <c r="D90" s="512" t="s">
        <v>11117</v>
      </c>
      <c r="E90" s="511" t="s">
        <v>2203</v>
      </c>
      <c r="F90" s="511" t="s">
        <v>10702</v>
      </c>
      <c r="G90" s="511" t="s">
        <v>2692</v>
      </c>
      <c r="H90" s="512" t="s">
        <v>11118</v>
      </c>
      <c r="I90" s="511" t="n">
        <v>2000</v>
      </c>
      <c r="J90" s="511" t="n">
        <v>80640</v>
      </c>
      <c r="K90" s="511"/>
      <c r="L90" s="511" t="s">
        <v>6065</v>
      </c>
      <c r="M90" s="511"/>
      <c r="N90" s="512" t="s">
        <v>11114</v>
      </c>
      <c r="O90" s="511" t="s">
        <v>11109</v>
      </c>
      <c r="P90" s="512" t="s">
        <v>11119</v>
      </c>
      <c r="Q90" s="290" t="str">
        <f aca="false">IF(B90="","",IFERROR(INDEX(OCC_TABLE_DESC,MATCH(B90,OCC_TABLE_CODE,0)),"Unrecognized code"))</f>
        <v>Distribution Warehouse</v>
      </c>
    </row>
    <row r="91" customFormat="false" ht="12.75" hidden="false" customHeight="true" outlineLevel="0" collapsed="false">
      <c r="A91" s="513" t="s">
        <v>11120</v>
      </c>
      <c r="B91" s="508" t="n">
        <v>210</v>
      </c>
      <c r="C91" s="509" t="s">
        <v>11121</v>
      </c>
      <c r="D91" s="514" t="s">
        <v>11122</v>
      </c>
      <c r="E91" s="513" t="s">
        <v>4420</v>
      </c>
      <c r="F91" s="513" t="s">
        <v>10702</v>
      </c>
      <c r="G91" s="513" t="s">
        <v>2692</v>
      </c>
      <c r="H91" s="514" t="s">
        <v>11123</v>
      </c>
      <c r="I91" s="513"/>
      <c r="J91" s="513" t="n">
        <v>42299</v>
      </c>
      <c r="K91" s="513"/>
      <c r="L91" s="513" t="s">
        <v>11121</v>
      </c>
      <c r="M91" s="513"/>
      <c r="N91" s="514" t="s">
        <v>11108</v>
      </c>
      <c r="O91" s="513" t="s">
        <v>11109</v>
      </c>
      <c r="P91" s="514" t="s">
        <v>11124</v>
      </c>
      <c r="Q91" s="290" t="str">
        <f aca="false">IF(B91="","",IFERROR(INDEX(OCC_TABLE_DESC,MATCH(B91,OCC_TABLE_CODE,0)),"Unrecognized code"))</f>
        <v>Industrial Flex Mall Building</v>
      </c>
    </row>
    <row r="92" customFormat="false" ht="25.5" hidden="false" customHeight="true" outlineLevel="0" collapsed="false">
      <c r="A92" s="511" t="s">
        <v>11125</v>
      </c>
      <c r="B92" s="508" t="n">
        <v>407</v>
      </c>
      <c r="C92" s="509" t="s">
        <v>11126</v>
      </c>
      <c r="D92" s="512" t="s">
        <v>11127</v>
      </c>
      <c r="E92" s="511" t="s">
        <v>9525</v>
      </c>
      <c r="F92" s="511" t="s">
        <v>10702</v>
      </c>
      <c r="G92" s="511" t="s">
        <v>2692</v>
      </c>
      <c r="H92" s="512" t="s">
        <v>11118</v>
      </c>
      <c r="I92" s="511" t="n">
        <v>2016</v>
      </c>
      <c r="J92" s="511" t="n">
        <v>122106</v>
      </c>
      <c r="K92" s="511"/>
      <c r="L92" s="511" t="s">
        <v>11126</v>
      </c>
      <c r="M92" s="511"/>
      <c r="N92" s="512" t="s">
        <v>11128</v>
      </c>
      <c r="O92" s="511" t="s">
        <v>11109</v>
      </c>
      <c r="P92" s="512" t="s">
        <v>11129</v>
      </c>
      <c r="Q92" s="290" t="str">
        <f aca="false">IF(B92="","",IFERROR(INDEX(OCC_TABLE_DESC,MATCH(B92,OCC_TABLE_CODE,0)),"Unrecognized code"))</f>
        <v>Distribution Warehouse</v>
      </c>
    </row>
    <row r="93" customFormat="false" ht="25.5" hidden="false" customHeight="true" outlineLevel="0" collapsed="false">
      <c r="A93" s="513" t="s">
        <v>11130</v>
      </c>
      <c r="B93" s="508" t="n">
        <v>407</v>
      </c>
      <c r="C93" s="509" t="s">
        <v>11131</v>
      </c>
      <c r="D93" s="514" t="s">
        <v>11132</v>
      </c>
      <c r="E93" s="513" t="s">
        <v>9525</v>
      </c>
      <c r="F93" s="513" t="s">
        <v>10702</v>
      </c>
      <c r="G93" s="513" t="s">
        <v>2692</v>
      </c>
      <c r="H93" s="514" t="s">
        <v>11118</v>
      </c>
      <c r="I93" s="513" t="n">
        <v>2000</v>
      </c>
      <c r="J93" s="513" t="n">
        <v>85200</v>
      </c>
      <c r="K93" s="513"/>
      <c r="L93" s="513" t="s">
        <v>11131</v>
      </c>
      <c r="M93" s="513"/>
      <c r="N93" s="514" t="s">
        <v>11128</v>
      </c>
      <c r="O93" s="513" t="s">
        <v>11109</v>
      </c>
      <c r="P93" s="514" t="s">
        <v>11133</v>
      </c>
      <c r="Q93" s="290" t="str">
        <f aca="false">IF(B93="","",IFERROR(INDEX(OCC_TABLE_DESC,MATCH(B93,OCC_TABLE_CODE,0)),"Unrecognized code"))</f>
        <v>Distribution Warehouse</v>
      </c>
    </row>
    <row r="94" customFormat="false" ht="25.5" hidden="false" customHeight="true" outlineLevel="0" collapsed="false">
      <c r="A94" s="511" t="s">
        <v>11134</v>
      </c>
      <c r="B94" s="508" t="n">
        <v>584</v>
      </c>
      <c r="C94" s="509" t="s">
        <v>10787</v>
      </c>
      <c r="D94" s="512" t="s">
        <v>11135</v>
      </c>
      <c r="E94" s="511" t="s">
        <v>9525</v>
      </c>
      <c r="F94" s="511" t="s">
        <v>10702</v>
      </c>
      <c r="G94" s="511" t="s">
        <v>2692</v>
      </c>
      <c r="H94" s="512" t="s">
        <v>11136</v>
      </c>
      <c r="I94" s="511" t="n">
        <v>2019</v>
      </c>
      <c r="J94" s="511" t="n">
        <v>555867</v>
      </c>
      <c r="K94" s="511"/>
      <c r="L94" s="511" t="s">
        <v>10787</v>
      </c>
      <c r="M94" s="511"/>
      <c r="N94" s="512" t="s">
        <v>11137</v>
      </c>
      <c r="O94" s="511" t="s">
        <v>11109</v>
      </c>
      <c r="P94" s="512" t="s">
        <v>11138</v>
      </c>
      <c r="Q94" s="290" t="str">
        <f aca="false">IF(B94="","",IFERROR(INDEX(OCC_TABLE_DESC,MATCH(B94,OCC_TABLE_CODE,0)),"Unrecognized code"))</f>
        <v>Mega Warehouse</v>
      </c>
    </row>
    <row r="95" customFormat="false" ht="25.5" hidden="false" customHeight="true" outlineLevel="0" collapsed="false">
      <c r="A95" s="513" t="s">
        <v>11139</v>
      </c>
      <c r="B95" s="508" t="n">
        <v>447</v>
      </c>
      <c r="C95" s="509" t="s">
        <v>2325</v>
      </c>
      <c r="D95" s="514" t="s">
        <v>11140</v>
      </c>
      <c r="E95" s="513" t="s">
        <v>9525</v>
      </c>
      <c r="F95" s="513" t="s">
        <v>10702</v>
      </c>
      <c r="G95" s="513" t="s">
        <v>2692</v>
      </c>
      <c r="H95" s="514" t="s">
        <v>11141</v>
      </c>
      <c r="I95" s="513" t="n">
        <v>2012</v>
      </c>
      <c r="J95" s="513" t="n">
        <v>550031</v>
      </c>
      <c r="K95" s="513"/>
      <c r="L95" s="513" t="s">
        <v>2325</v>
      </c>
      <c r="M95" s="513"/>
      <c r="N95" s="514" t="s">
        <v>11137</v>
      </c>
      <c r="O95" s="513" t="s">
        <v>11109</v>
      </c>
      <c r="P95" s="514" t="s">
        <v>11142</v>
      </c>
      <c r="Q95" s="290" t="str">
        <f aca="false">IF(B95="","",IFERROR(INDEX(OCC_TABLE_DESC,MATCH(B95,OCC_TABLE_CODE,0)),"Unrecognized code"))</f>
        <v>Cold Storage Warehouse</v>
      </c>
    </row>
    <row r="96" customFormat="false" ht="25.5" hidden="false" customHeight="true" outlineLevel="0" collapsed="false">
      <c r="A96" s="511" t="s">
        <v>11143</v>
      </c>
      <c r="B96" s="508" t="n">
        <v>407</v>
      </c>
      <c r="C96" s="509" t="s">
        <v>11144</v>
      </c>
      <c r="D96" s="512" t="s">
        <v>11145</v>
      </c>
      <c r="E96" s="511" t="s">
        <v>9525</v>
      </c>
      <c r="F96" s="511" t="s">
        <v>10702</v>
      </c>
      <c r="G96" s="511" t="s">
        <v>2692</v>
      </c>
      <c r="H96" s="512" t="s">
        <v>11118</v>
      </c>
      <c r="I96" s="511" t="n">
        <v>1998</v>
      </c>
      <c r="J96" s="511" t="n">
        <v>64501</v>
      </c>
      <c r="K96" s="511"/>
      <c r="L96" s="511" t="s">
        <v>11144</v>
      </c>
      <c r="M96" s="511"/>
      <c r="N96" s="512" t="s">
        <v>11128</v>
      </c>
      <c r="O96" s="511" t="s">
        <v>11109</v>
      </c>
      <c r="P96" s="512" t="s">
        <v>11146</v>
      </c>
      <c r="Q96" s="290" t="str">
        <f aca="false">IF(B96="","",IFERROR(INDEX(OCC_TABLE_DESC,MATCH(B96,OCC_TABLE_CODE,0)),"Unrecognized code"))</f>
        <v>Distribution Warehouse</v>
      </c>
    </row>
    <row r="97" customFormat="false" ht="25.5" hidden="false" customHeight="true" outlineLevel="0" collapsed="false">
      <c r="A97" s="511" t="s">
        <v>11147</v>
      </c>
      <c r="B97" s="508" t="n">
        <v>407</v>
      </c>
      <c r="C97" s="509" t="s">
        <v>11148</v>
      </c>
      <c r="D97" s="512" t="s">
        <v>11149</v>
      </c>
      <c r="E97" s="511" t="s">
        <v>1557</v>
      </c>
      <c r="F97" s="511" t="s">
        <v>10702</v>
      </c>
      <c r="G97" s="511" t="s">
        <v>2692</v>
      </c>
      <c r="H97" s="512" t="s">
        <v>1389</v>
      </c>
      <c r="I97" s="511" t="n">
        <v>1971</v>
      </c>
      <c r="J97" s="511" t="n">
        <v>127900</v>
      </c>
      <c r="K97" s="511"/>
      <c r="L97" s="511" t="s">
        <v>11148</v>
      </c>
      <c r="M97" s="511"/>
      <c r="N97" s="512" t="s">
        <v>11150</v>
      </c>
      <c r="O97" s="511" t="s">
        <v>11109</v>
      </c>
      <c r="P97" s="512" t="s">
        <v>11151</v>
      </c>
      <c r="Q97" s="290" t="str">
        <f aca="false">IF(B97="","",IFERROR(INDEX(OCC_TABLE_DESC,MATCH(B97,OCC_TABLE_CODE,0)),"Unrecognized code"))</f>
        <v>Distribution Warehouse</v>
      </c>
    </row>
    <row r="98" customFormat="false" ht="25.5" hidden="false" customHeight="true" outlineLevel="0" collapsed="false">
      <c r="A98" s="513" t="s">
        <v>11152</v>
      </c>
      <c r="B98" s="508" t="n">
        <v>386</v>
      </c>
      <c r="C98" s="509" t="s">
        <v>11153</v>
      </c>
      <c r="D98" s="514" t="s">
        <v>11154</v>
      </c>
      <c r="E98" s="513" t="s">
        <v>4743</v>
      </c>
      <c r="F98" s="513" t="s">
        <v>10702</v>
      </c>
      <c r="G98" s="513" t="s">
        <v>10912</v>
      </c>
      <c r="H98" s="514" t="s">
        <v>10912</v>
      </c>
      <c r="I98" s="513" t="n">
        <v>1984</v>
      </c>
      <c r="J98" s="513" t="n">
        <v>63989</v>
      </c>
      <c r="K98" s="513"/>
      <c r="L98" s="513" t="s">
        <v>11153</v>
      </c>
      <c r="M98" s="513"/>
      <c r="N98" s="514" t="s">
        <v>11155</v>
      </c>
      <c r="O98" s="513" t="s">
        <v>11109</v>
      </c>
      <c r="P98" s="514" t="s">
        <v>11156</v>
      </c>
      <c r="Q98" s="290" t="str">
        <f aca="false">IF(B98="","",IFERROR(INDEX(OCC_TABLE_DESC,MATCH(B98,OCC_TABLE_CODE,0)),"Unrecognized code"))</f>
        <v>Mini Warehouse</v>
      </c>
    </row>
    <row r="99" customFormat="false" ht="25.5" hidden="false" customHeight="true" outlineLevel="0" collapsed="false">
      <c r="A99" s="511" t="s">
        <v>11157</v>
      </c>
      <c r="B99" s="508" t="n">
        <v>407</v>
      </c>
      <c r="C99" s="509" t="s">
        <v>11158</v>
      </c>
      <c r="D99" s="512" t="s">
        <v>11159</v>
      </c>
      <c r="E99" s="511" t="s">
        <v>4743</v>
      </c>
      <c r="F99" s="511" t="s">
        <v>10702</v>
      </c>
      <c r="G99" s="511" t="s">
        <v>2692</v>
      </c>
      <c r="H99" s="512" t="s">
        <v>11160</v>
      </c>
      <c r="I99" s="511"/>
      <c r="J99" s="511" t="n">
        <v>117280</v>
      </c>
      <c r="K99" s="511"/>
      <c r="L99" s="511" t="s">
        <v>11158</v>
      </c>
      <c r="M99" s="511"/>
      <c r="N99" s="512" t="s">
        <v>11161</v>
      </c>
      <c r="O99" s="511" t="s">
        <v>11109</v>
      </c>
      <c r="P99" s="512" t="s">
        <v>11162</v>
      </c>
      <c r="Q99" s="290" t="str">
        <f aca="false">IF(B99="","",IFERROR(INDEX(OCC_TABLE_DESC,MATCH(B99,OCC_TABLE_CODE,0)),"Unrecognized code"))</f>
        <v>Distribution Warehouse</v>
      </c>
    </row>
    <row r="100" customFormat="false" ht="12.75" hidden="false" customHeight="true" outlineLevel="0" collapsed="false">
      <c r="A100" s="513" t="s">
        <v>11163</v>
      </c>
      <c r="B100" s="508" t="n">
        <v>210</v>
      </c>
      <c r="C100" s="509" t="s">
        <v>11164</v>
      </c>
      <c r="D100" s="514" t="s">
        <v>11165</v>
      </c>
      <c r="E100" s="513" t="s">
        <v>4420</v>
      </c>
      <c r="F100" s="513" t="s">
        <v>10702</v>
      </c>
      <c r="G100" s="513" t="s">
        <v>2692</v>
      </c>
      <c r="H100" s="514" t="s">
        <v>11123</v>
      </c>
      <c r="I100" s="513"/>
      <c r="J100" s="513" t="n">
        <v>57200</v>
      </c>
      <c r="K100" s="513"/>
      <c r="L100" s="513" t="s">
        <v>11164</v>
      </c>
      <c r="M100" s="513"/>
      <c r="N100" s="514" t="s">
        <v>11166</v>
      </c>
      <c r="O100" s="513" t="s">
        <v>11109</v>
      </c>
      <c r="P100" s="514" t="s">
        <v>11167</v>
      </c>
      <c r="Q100" s="290" t="str">
        <f aca="false">IF(B100="","",IFERROR(INDEX(OCC_TABLE_DESC,MATCH(B100,OCC_TABLE_CODE,0)),"Unrecognized code"))</f>
        <v>Industrial Flex Mall Building</v>
      </c>
    </row>
    <row r="101" customFormat="false" ht="25.5" hidden="false" customHeight="true" outlineLevel="0" collapsed="false">
      <c r="A101" s="511" t="s">
        <v>11168</v>
      </c>
      <c r="B101" s="508" t="n">
        <v>210</v>
      </c>
      <c r="C101" s="509" t="s">
        <v>11169</v>
      </c>
      <c r="D101" s="512" t="s">
        <v>11170</v>
      </c>
      <c r="E101" s="511" t="s">
        <v>1557</v>
      </c>
      <c r="F101" s="511" t="s">
        <v>10702</v>
      </c>
      <c r="G101" s="511" t="s">
        <v>2692</v>
      </c>
      <c r="H101" s="512" t="s">
        <v>11171</v>
      </c>
      <c r="I101" s="511"/>
      <c r="J101" s="511" t="n">
        <v>70000</v>
      </c>
      <c r="K101" s="511"/>
      <c r="L101" s="511" t="s">
        <v>11169</v>
      </c>
      <c r="M101" s="511"/>
      <c r="N101" s="512" t="s">
        <v>11161</v>
      </c>
      <c r="O101" s="511" t="s">
        <v>11109</v>
      </c>
      <c r="P101" s="512" t="s">
        <v>11172</v>
      </c>
      <c r="Q101" s="290" t="str">
        <f aca="false">IF(B101="","",IFERROR(INDEX(OCC_TABLE_DESC,MATCH(B101,OCC_TABLE_CODE,0)),"Unrecognized code"))</f>
        <v>Industrial Flex Mall Building</v>
      </c>
    </row>
    <row r="102" customFormat="false" ht="25.5" hidden="false" customHeight="true" outlineLevel="0" collapsed="false">
      <c r="A102" s="513" t="s">
        <v>11173</v>
      </c>
      <c r="B102" s="508" t="n">
        <v>210</v>
      </c>
      <c r="C102" s="509" t="s">
        <v>11174</v>
      </c>
      <c r="D102" s="514" t="s">
        <v>11175</v>
      </c>
      <c r="E102" s="513" t="s">
        <v>4743</v>
      </c>
      <c r="F102" s="513" t="s">
        <v>10702</v>
      </c>
      <c r="G102" s="513" t="s">
        <v>2692</v>
      </c>
      <c r="H102" s="514" t="s">
        <v>11176</v>
      </c>
      <c r="I102" s="513"/>
      <c r="J102" s="513" t="n">
        <v>33574</v>
      </c>
      <c r="K102" s="513"/>
      <c r="L102" s="513" t="s">
        <v>11174</v>
      </c>
      <c r="M102" s="513"/>
      <c r="N102" s="514" t="s">
        <v>11161</v>
      </c>
      <c r="O102" s="513" t="s">
        <v>11109</v>
      </c>
      <c r="P102" s="514" t="s">
        <v>11177</v>
      </c>
      <c r="Q102" s="290" t="str">
        <f aca="false">IF(B102="","",IFERROR(INDEX(OCC_TABLE_DESC,MATCH(B102,OCC_TABLE_CODE,0)),"Unrecognized code"))</f>
        <v>Industrial Flex Mall Building</v>
      </c>
    </row>
    <row r="103" customFormat="false" ht="25.5" hidden="false" customHeight="true" outlineLevel="0" collapsed="false">
      <c r="A103" s="511" t="s">
        <v>11178</v>
      </c>
      <c r="B103" s="508" t="n">
        <v>1332</v>
      </c>
      <c r="C103" s="509" t="s">
        <v>11179</v>
      </c>
      <c r="D103" s="512" t="s">
        <v>11180</v>
      </c>
      <c r="E103" s="511" t="s">
        <v>4368</v>
      </c>
      <c r="F103" s="511" t="s">
        <v>10702</v>
      </c>
      <c r="G103" s="511" t="s">
        <v>11181</v>
      </c>
      <c r="H103" s="512" t="s">
        <v>11182</v>
      </c>
      <c r="I103" s="511" t="n">
        <v>1998</v>
      </c>
      <c r="J103" s="511"/>
      <c r="K103" s="511"/>
      <c r="L103" s="511" t="s">
        <v>11179</v>
      </c>
      <c r="M103" s="511"/>
      <c r="N103" s="512" t="s">
        <v>11183</v>
      </c>
      <c r="O103" s="511" t="s">
        <v>11109</v>
      </c>
      <c r="P103" s="512" t="s">
        <v>11184</v>
      </c>
      <c r="Q103" s="290" t="str">
        <f aca="false">IF(B103="","",IFERROR(INDEX(OCC_TABLE_DESC,MATCH(B103,OCC_TABLE_CODE,0)),"Unrecognized code"))</f>
        <v>Hotels - Limited Service</v>
      </c>
    </row>
    <row r="104" customFormat="false" ht="25.5" hidden="false" customHeight="true" outlineLevel="0" collapsed="false">
      <c r="A104" s="513" t="s">
        <v>11185</v>
      </c>
      <c r="B104" s="508" t="n">
        <v>332</v>
      </c>
      <c r="C104" s="509" t="s">
        <v>11186</v>
      </c>
      <c r="D104" s="514" t="s">
        <v>11187</v>
      </c>
      <c r="E104" s="513" t="s">
        <v>4743</v>
      </c>
      <c r="F104" s="513" t="s">
        <v>10702</v>
      </c>
      <c r="G104" s="513" t="s">
        <v>11181</v>
      </c>
      <c r="H104" s="514" t="s">
        <v>11188</v>
      </c>
      <c r="I104" s="513" t="n">
        <v>2023</v>
      </c>
      <c r="J104" s="513"/>
      <c r="K104" s="513"/>
      <c r="L104" s="513" t="s">
        <v>11186</v>
      </c>
      <c r="M104" s="513"/>
      <c r="N104" s="514" t="s">
        <v>11183</v>
      </c>
      <c r="O104" s="513" t="s">
        <v>11109</v>
      </c>
      <c r="P104" s="514" t="s">
        <v>11189</v>
      </c>
      <c r="Q104" s="290" t="str">
        <f aca="false">IF(B104="","",IFERROR(INDEX(OCC_TABLE_DESC,MATCH(B104,OCC_TABLE_CODE,0)),"Unrecognized code"))</f>
        <v>Hotel - Full Service</v>
      </c>
    </row>
    <row r="105" customFormat="false" ht="25.5" hidden="false" customHeight="true" outlineLevel="0" collapsed="false">
      <c r="A105" s="511" t="s">
        <v>11190</v>
      </c>
      <c r="B105" s="508" t="n">
        <v>332</v>
      </c>
      <c r="C105" s="509" t="s">
        <v>11191</v>
      </c>
      <c r="D105" s="512" t="s">
        <v>11192</v>
      </c>
      <c r="E105" s="511" t="s">
        <v>4368</v>
      </c>
      <c r="F105" s="511" t="s">
        <v>10702</v>
      </c>
      <c r="G105" s="511" t="s">
        <v>11181</v>
      </c>
      <c r="H105" s="512" t="s">
        <v>11188</v>
      </c>
      <c r="I105" s="511" t="n">
        <v>1984</v>
      </c>
      <c r="J105" s="511" t="n">
        <v>114796</v>
      </c>
      <c r="K105" s="511"/>
      <c r="L105" s="511" t="s">
        <v>11191</v>
      </c>
      <c r="M105" s="511"/>
      <c r="N105" s="512" t="s">
        <v>11183</v>
      </c>
      <c r="O105" s="511" t="s">
        <v>11109</v>
      </c>
      <c r="P105" s="512" t="s">
        <v>11193</v>
      </c>
      <c r="Q105" s="290" t="str">
        <f aca="false">IF(B105="","",IFERROR(INDEX(OCC_TABLE_DESC,MATCH(B105,OCC_TABLE_CODE,0)),"Unrecognized code"))</f>
        <v>Hotel - Full Service</v>
      </c>
    </row>
    <row r="106" customFormat="false" ht="12.75" hidden="false" customHeight="true" outlineLevel="0" collapsed="false">
      <c r="A106" s="513" t="s">
        <v>11194</v>
      </c>
      <c r="B106" s="508" t="n">
        <v>407</v>
      </c>
      <c r="C106" s="509" t="s">
        <v>10757</v>
      </c>
      <c r="D106" s="514" t="s">
        <v>11195</v>
      </c>
      <c r="E106" s="513" t="s">
        <v>4420</v>
      </c>
      <c r="F106" s="513" t="s">
        <v>10702</v>
      </c>
      <c r="G106" s="513" t="s">
        <v>2692</v>
      </c>
      <c r="H106" s="514" t="s">
        <v>11118</v>
      </c>
      <c r="I106" s="513"/>
      <c r="J106" s="513" t="n">
        <v>30000</v>
      </c>
      <c r="K106" s="513"/>
      <c r="L106" s="513" t="s">
        <v>10757</v>
      </c>
      <c r="M106" s="513"/>
      <c r="N106" s="514" t="s">
        <v>11161</v>
      </c>
      <c r="O106" s="513" t="s">
        <v>11109</v>
      </c>
      <c r="P106" s="514" t="s">
        <v>11196</v>
      </c>
      <c r="Q106" s="290" t="str">
        <f aca="false">IF(B106="","",IFERROR(INDEX(OCC_TABLE_DESC,MATCH(B106,OCC_TABLE_CODE,0)),"Unrecognized code"))</f>
        <v>Distribution Warehouse</v>
      </c>
    </row>
    <row r="107" customFormat="false" ht="21" hidden="false" customHeight="true" outlineLevel="0" collapsed="false">
      <c r="A107" s="1" t="s">
        <v>11197</v>
      </c>
      <c r="B107" s="508" t="n">
        <v>210</v>
      </c>
      <c r="C107" s="1" t="s">
        <v>11198</v>
      </c>
      <c r="D107" s="281" t="s">
        <v>11199</v>
      </c>
      <c r="E107" s="515" t="s">
        <v>4743</v>
      </c>
      <c r="F107" s="515" t="s">
        <v>10702</v>
      </c>
      <c r="G107" s="515" t="s">
        <v>2692</v>
      </c>
      <c r="H107" s="281" t="s">
        <v>11200</v>
      </c>
      <c r="J107" s="1" t="n">
        <v>187720</v>
      </c>
      <c r="L107" s="1" t="s">
        <v>11198</v>
      </c>
      <c r="M107" s="1" t="s">
        <v>11201</v>
      </c>
      <c r="N107" s="281" t="s">
        <v>11202</v>
      </c>
      <c r="O107" s="1" t="s">
        <v>11109</v>
      </c>
      <c r="P107" s="281" t="s">
        <v>11203</v>
      </c>
      <c r="Q107" s="290" t="str">
        <f aca="false">IF(B107="","",IFERROR(INDEX(OCC_TABLE_DESC,MATCH(B107,OCC_TABLE_CODE,0)),"Unrecognized code"))</f>
        <v>Industrial Flex Mall Building</v>
      </c>
    </row>
  </sheetData>
  <mergeCells count="2">
    <mergeCell ref="A1:N1"/>
    <mergeCell ref="A2:N2"/>
  </mergeCells>
  <dataValidations count="4">
    <dataValidation allowBlank="true" error="Pick a valid OCC code from the Occ Codes tab." errorStyle="stop" operator="between" showDropDown="false" showErrorMessage="true" showInputMessage="false" sqref="B4:B107" type="list">
      <formula1>OCC_TABLE_CODE</formula1>
      <formula2>0</formula2>
    </dataValidation>
    <dataValidation allowBlank="true" errorStyle="stop" operator="between" showDropDown="false" showErrorMessage="false" showInputMessage="false" sqref="E4:E107" type="list">
      <formula1>"Adams County,Arvada,Aurora,Commerce City,Denver,Henderson,Northglenn,Thornton,Westminster"</formula1>
      <formula2>0</formula2>
    </dataValidation>
    <dataValidation allowBlank="true" errorStyle="stop" operator="between" showDropDown="false" showErrorMessage="false" showInputMessage="false" sqref="F4:F107" type="list">
      <formula1>"CO,Other"</formula1>
      <formula2>0</formula2>
    </dataValidation>
    <dataValidation allowBlank="true" errorStyle="stop" operator="between" showDropDown="false" showErrorMessage="false" showInputMessage="false" sqref="G4:G107" type="list">
      <formula1>"Flex/Industrial,Hospitality,Office/Commercial,Self-Storage,Office/Flex,Office,Retail/Office,Medical Office,Industrial/Flex,Industrial/Distribution,Retail,Office/Industrial,Industrial,Light Industrial"</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A1:AR20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4" activeCellId="0" sqref="A4"/>
    </sheetView>
  </sheetViews>
  <sheetFormatPr defaultColWidth="10.29296875" defaultRowHeight="12" zeroHeight="false" outlineLevelRow="0" outlineLevelCol="0"/>
  <cols>
    <col collapsed="false" customWidth="true" hidden="false" outlineLevel="0" max="1" min="1" style="1" width="9.14"/>
    <col collapsed="false" customWidth="true" hidden="false" outlineLevel="0" max="2" min="2" style="1" width="11.43"/>
    <col collapsed="false" customWidth="true" hidden="false" outlineLevel="0" max="3" min="3" style="1" width="31.86"/>
    <col collapsed="false" customWidth="true" hidden="false" outlineLevel="0" max="4" min="4" style="1" width="59.29"/>
    <col collapsed="false" customWidth="true" hidden="false" outlineLevel="0" max="5" min="5" style="1" width="17.14"/>
    <col collapsed="false" customWidth="true" hidden="false" outlineLevel="0" max="6" min="6" style="1" width="8"/>
    <col collapsed="false" customWidth="true" hidden="false" outlineLevel="0" max="7" min="7" style="1" width="28.43"/>
    <col collapsed="false" customWidth="true" hidden="false" outlineLevel="0" max="8" min="8" style="1" width="59.29"/>
    <col collapsed="false" customWidth="true" hidden="false" outlineLevel="0" max="9" min="9" style="1" width="13.71"/>
    <col collapsed="false" customWidth="true" hidden="false" outlineLevel="0" max="11" min="11" style="1" width="6.86"/>
    <col collapsed="false" customWidth="true" hidden="false" outlineLevel="0" max="12" min="12" style="1" width="24"/>
    <col collapsed="false" customWidth="true" hidden="false" outlineLevel="0" max="14" min="13" style="1" width="14.86"/>
    <col collapsed="false" customWidth="true" hidden="false" outlineLevel="0" max="15" min="15" style="1" width="12.57"/>
    <col collapsed="false" customWidth="true" hidden="false" outlineLevel="0" max="17" min="16" style="1" width="14.86"/>
    <col collapsed="false" customWidth="true" hidden="false" outlineLevel="0" max="18" min="18" style="1" width="18.29"/>
    <col collapsed="false" customWidth="true" hidden="false" outlineLevel="0" max="19" min="19" style="1" width="14.86"/>
    <col collapsed="false" customWidth="true" hidden="false" outlineLevel="0" max="20" min="20" style="1" width="25.14"/>
    <col collapsed="false" customWidth="true" hidden="false" outlineLevel="0" max="21" min="21" style="1" width="12.57"/>
    <col collapsed="false" customWidth="true" hidden="false" outlineLevel="0" max="22" min="22" style="1" width="21.71"/>
    <col collapsed="false" customWidth="true" hidden="false" outlineLevel="0" max="23" min="23" style="1" width="24"/>
    <col collapsed="false" customWidth="true" hidden="false" outlineLevel="0" max="24" min="24" style="1" width="28.43"/>
    <col collapsed="false" customWidth="true" hidden="false" outlineLevel="0" max="25" min="25" style="1" width="14.86"/>
    <col collapsed="false" customWidth="true" hidden="false" outlineLevel="0" max="26" min="26" style="1" width="12.57"/>
    <col collapsed="false" customWidth="true" hidden="false" outlineLevel="0" max="28" min="27" style="1" width="14.86"/>
    <col collapsed="false" customWidth="true" hidden="false" outlineLevel="0" max="29" min="29" style="1" width="24"/>
    <col collapsed="false" customWidth="true" hidden="false" outlineLevel="0" max="30" min="30" style="1" width="17.14"/>
    <col collapsed="false" customWidth="true" hidden="false" outlineLevel="0" max="31" min="31" style="1" width="14.86"/>
    <col collapsed="false" customWidth="true" hidden="false" outlineLevel="0" max="32" min="32" style="1" width="19.43"/>
    <col collapsed="false" customWidth="true" hidden="false" outlineLevel="0" max="33" min="33" style="1" width="22.86"/>
    <col collapsed="false" customWidth="true" hidden="false" outlineLevel="0" max="34" min="34" style="1" width="28.43"/>
    <col collapsed="false" customWidth="true" hidden="false" outlineLevel="0" max="35" min="35" style="1" width="21.71"/>
    <col collapsed="false" customWidth="true" hidden="false" outlineLevel="0" max="36" min="36" style="1" width="28.43"/>
    <col collapsed="false" customWidth="true" hidden="false" outlineLevel="0" max="37" min="37" style="1" width="14.86"/>
    <col collapsed="false" customWidth="true" hidden="false" outlineLevel="0" max="38" min="38" style="1" width="18.29"/>
    <col collapsed="false" customWidth="true" hidden="false" outlineLevel="0" max="39" min="39" style="1" width="59.29"/>
    <col collapsed="false" customWidth="true" hidden="true" outlineLevel="0" max="41" min="40" style="1" width="14.86"/>
    <col collapsed="false" customWidth="true" hidden="false" outlineLevel="0" max="44" min="44" style="1" width="34.14"/>
  </cols>
  <sheetData>
    <row r="1" customFormat="false" ht="24" hidden="false" customHeight="true" outlineLevel="0" collapsed="false">
      <c r="A1" s="516" t="s">
        <v>11204</v>
      </c>
      <c r="B1" s="516"/>
      <c r="C1" s="516"/>
      <c r="D1" s="516"/>
      <c r="E1" s="516"/>
      <c r="F1" s="516"/>
      <c r="G1" s="516"/>
      <c r="H1" s="516"/>
      <c r="I1" s="516"/>
      <c r="J1" s="516"/>
      <c r="K1" s="516"/>
      <c r="L1" s="516"/>
      <c r="M1" s="516"/>
      <c r="N1" s="516"/>
      <c r="O1" s="516"/>
      <c r="P1" s="516"/>
      <c r="Q1" s="516"/>
      <c r="R1" s="516"/>
      <c r="S1" s="516"/>
      <c r="T1" s="516"/>
      <c r="U1" s="516"/>
      <c r="V1" s="516"/>
      <c r="W1" s="516"/>
      <c r="X1" s="516"/>
      <c r="Y1" s="516"/>
      <c r="Z1" s="516"/>
      <c r="AA1" s="516"/>
      <c r="AB1" s="516"/>
      <c r="AC1" s="516"/>
      <c r="AD1" s="516"/>
      <c r="AE1" s="516"/>
      <c r="AF1" s="516"/>
      <c r="AG1" s="516"/>
      <c r="AH1" s="516"/>
    </row>
    <row r="2" customFormat="false" ht="15.75" hidden="false" customHeight="true" outlineLevel="0" collapsed="false">
      <c r="A2" s="503" t="s">
        <v>11205</v>
      </c>
      <c r="B2" s="503"/>
      <c r="C2" s="503"/>
      <c r="D2" s="503"/>
      <c r="E2" s="503"/>
      <c r="F2" s="503"/>
      <c r="G2" s="503"/>
      <c r="H2" s="503"/>
      <c r="I2" s="503"/>
      <c r="J2" s="503"/>
      <c r="K2" s="503"/>
      <c r="L2" s="503"/>
      <c r="M2" s="503"/>
      <c r="N2" s="503"/>
      <c r="O2" s="503"/>
      <c r="P2" s="503"/>
      <c r="Q2" s="503"/>
      <c r="R2" s="503"/>
      <c r="S2" s="503"/>
      <c r="T2" s="503"/>
      <c r="U2" s="503"/>
      <c r="V2" s="503"/>
      <c r="W2" s="503"/>
      <c r="X2" s="503"/>
      <c r="Y2" s="503"/>
      <c r="Z2" s="503"/>
      <c r="AA2" s="503"/>
      <c r="AB2" s="503"/>
      <c r="AC2" s="503"/>
      <c r="AD2" s="503"/>
      <c r="AE2" s="503"/>
      <c r="AF2" s="503"/>
      <c r="AG2" s="503"/>
      <c r="AH2" s="503"/>
    </row>
    <row r="3" customFormat="false" ht="42" hidden="false" customHeight="true" outlineLevel="0" collapsed="false">
      <c r="A3" s="504" t="s">
        <v>10690</v>
      </c>
      <c r="B3" s="505" t="s">
        <v>10691</v>
      </c>
      <c r="C3" s="517" t="s">
        <v>2310</v>
      </c>
      <c r="D3" s="506" t="s">
        <v>129</v>
      </c>
      <c r="E3" s="504" t="s">
        <v>38</v>
      </c>
      <c r="F3" s="504" t="s">
        <v>10692</v>
      </c>
      <c r="G3" s="504" t="s">
        <v>11206</v>
      </c>
      <c r="H3" s="506" t="s">
        <v>10693</v>
      </c>
      <c r="I3" s="504" t="s">
        <v>230</v>
      </c>
      <c r="J3" s="504" t="s">
        <v>292</v>
      </c>
      <c r="K3" s="504" t="s">
        <v>293</v>
      </c>
      <c r="L3" s="504" t="s">
        <v>11207</v>
      </c>
      <c r="M3" s="504" t="s">
        <v>11208</v>
      </c>
      <c r="N3" s="504" t="s">
        <v>6627</v>
      </c>
      <c r="O3" s="504" t="s">
        <v>2462</v>
      </c>
      <c r="P3" s="504" t="s">
        <v>11209</v>
      </c>
      <c r="Q3" s="504" t="s">
        <v>11210</v>
      </c>
      <c r="R3" s="504" t="s">
        <v>11211</v>
      </c>
      <c r="S3" s="504" t="s">
        <v>11212</v>
      </c>
      <c r="T3" s="504" t="s">
        <v>11213</v>
      </c>
      <c r="U3" s="504" t="s">
        <v>11214</v>
      </c>
      <c r="V3" s="504" t="s">
        <v>11215</v>
      </c>
      <c r="W3" s="504" t="s">
        <v>11216</v>
      </c>
      <c r="X3" s="504" t="s">
        <v>11217</v>
      </c>
      <c r="Y3" s="504" t="s">
        <v>11218</v>
      </c>
      <c r="Z3" s="504" t="s">
        <v>11219</v>
      </c>
      <c r="AA3" s="504" t="s">
        <v>11220</v>
      </c>
      <c r="AB3" s="504" t="s">
        <v>11221</v>
      </c>
      <c r="AC3" s="504" t="s">
        <v>11222</v>
      </c>
      <c r="AD3" s="504" t="s">
        <v>11223</v>
      </c>
      <c r="AE3" s="504" t="s">
        <v>11224</v>
      </c>
      <c r="AF3" s="504" t="s">
        <v>11225</v>
      </c>
      <c r="AG3" s="504" t="s">
        <v>11226</v>
      </c>
      <c r="AH3" s="504" t="s">
        <v>11227</v>
      </c>
      <c r="AI3" s="504" t="s">
        <v>2460</v>
      </c>
      <c r="AJ3" s="504" t="s">
        <v>11228</v>
      </c>
      <c r="AK3" s="504" t="s">
        <v>6628</v>
      </c>
      <c r="AL3" s="504" t="s">
        <v>11229</v>
      </c>
      <c r="AM3" s="506" t="s">
        <v>1907</v>
      </c>
      <c r="AN3" s="435" t="s">
        <v>2561</v>
      </c>
      <c r="AO3" s="1" t="s">
        <v>2562</v>
      </c>
      <c r="AR3" s="73" t="s">
        <v>10698</v>
      </c>
    </row>
    <row r="4" customFormat="false" ht="18" hidden="false" customHeight="true" outlineLevel="0" collapsed="false">
      <c r="A4" s="518" t="s">
        <v>10699</v>
      </c>
      <c r="B4" s="508" t="n">
        <v>407</v>
      </c>
      <c r="C4" s="519" t="s">
        <v>10700</v>
      </c>
      <c r="D4" s="507" t="s">
        <v>10701</v>
      </c>
      <c r="E4" s="518" t="s">
        <v>4420</v>
      </c>
      <c r="F4" s="518" t="s">
        <v>10702</v>
      </c>
      <c r="G4" s="518" t="s">
        <v>9267</v>
      </c>
      <c r="H4" s="507" t="s">
        <v>1389</v>
      </c>
      <c r="I4" s="520" t="n">
        <v>1988</v>
      </c>
      <c r="J4" s="520" t="n">
        <v>21000</v>
      </c>
      <c r="K4" s="520" t="n">
        <v>2021</v>
      </c>
      <c r="L4" s="521" t="n">
        <v>282764.52</v>
      </c>
      <c r="M4" s="521" t="n">
        <v>6372</v>
      </c>
      <c r="N4" s="522" t="n">
        <v>289136.52</v>
      </c>
      <c r="O4" s="521" t="n">
        <v>4893</v>
      </c>
      <c r="P4" s="521" t="n">
        <v>0</v>
      </c>
      <c r="Q4" s="521" t="n">
        <v>1144</v>
      </c>
      <c r="R4" s="521" t="n">
        <v>0</v>
      </c>
      <c r="S4" s="521" t="n">
        <v>198.75</v>
      </c>
      <c r="T4" s="521" t="n">
        <v>0</v>
      </c>
      <c r="U4" s="521" t="n">
        <v>280</v>
      </c>
      <c r="V4" s="521" t="n">
        <v>846</v>
      </c>
      <c r="W4" s="521" t="n">
        <v>2923</v>
      </c>
      <c r="X4" s="522" t="n">
        <v>0</v>
      </c>
      <c r="Y4" s="521" t="n">
        <v>5391.75</v>
      </c>
      <c r="Z4" s="521" t="n">
        <v>6710.19</v>
      </c>
      <c r="AA4" s="521" t="n">
        <v>3875</v>
      </c>
      <c r="AB4" s="521" t="n">
        <v>870</v>
      </c>
      <c r="AC4" s="522" t="n">
        <v>11455.19</v>
      </c>
      <c r="AD4" s="521" t="n">
        <v>3344.39</v>
      </c>
      <c r="AE4" s="521" t="n">
        <v>648.33</v>
      </c>
      <c r="AF4" s="522" t="n">
        <v>3992.72</v>
      </c>
      <c r="AG4" s="521" t="n">
        <v>762.49</v>
      </c>
      <c r="AH4" s="523" t="n">
        <v>26515.15</v>
      </c>
      <c r="AI4" s="523" t="n">
        <v>48263.72</v>
      </c>
      <c r="AJ4" s="524" t="n">
        <v>74778.87</v>
      </c>
      <c r="AK4" s="522" t="n">
        <v>214357.65</v>
      </c>
      <c r="AL4" s="521" t="n">
        <v>2642.04</v>
      </c>
      <c r="AM4" s="507" t="s">
        <v>11230</v>
      </c>
      <c r="AN4" s="1" t="e">
        <f aca="false">IF(AND($B4=Subj_OccCode,Subj_BldgSF&gt;0,ABS($J4-Subj_BldgSF)&lt;=Subj_BldgSF*Subj_SizeTol),ABS($J4-Subj_BldgSF),NA())</f>
        <v>#N/A</v>
      </c>
      <c r="AO4" s="1" t="e">
        <f aca="false">IF(ISNA(AN4),NA(),AN4+ROW()/10000000)</f>
        <v>#N/A</v>
      </c>
      <c r="AR4" s="290" t="str">
        <f aca="false">IF(B4="","",IFERROR(INDEX(OCC_TABLE_DESC,MATCH(B4,OCC_TABLE_CODE,0)),"Unrecognized code"))</f>
        <v>Distribution Warehouse</v>
      </c>
    </row>
    <row r="5" customFormat="false" ht="18" hidden="false" customHeight="true" outlineLevel="0" collapsed="false">
      <c r="A5" s="518" t="s">
        <v>10699</v>
      </c>
      <c r="B5" s="508" t="n">
        <v>407</v>
      </c>
      <c r="C5" s="519" t="s">
        <v>10700</v>
      </c>
      <c r="D5" s="507" t="s">
        <v>10701</v>
      </c>
      <c r="E5" s="518" t="s">
        <v>4420</v>
      </c>
      <c r="F5" s="518" t="s">
        <v>10702</v>
      </c>
      <c r="G5" s="518" t="s">
        <v>9267</v>
      </c>
      <c r="H5" s="507" t="s">
        <v>1389</v>
      </c>
      <c r="I5" s="520" t="n">
        <v>1988</v>
      </c>
      <c r="J5" s="520" t="n">
        <v>21000</v>
      </c>
      <c r="K5" s="520" t="n">
        <v>2022</v>
      </c>
      <c r="L5" s="521" t="n">
        <v>255992.67</v>
      </c>
      <c r="M5" s="521" t="n">
        <v>3000</v>
      </c>
      <c r="N5" s="522" t="n">
        <v>258992.67</v>
      </c>
      <c r="O5" s="521" t="n">
        <v>5276</v>
      </c>
      <c r="P5" s="521" t="n">
        <v>0</v>
      </c>
      <c r="Q5" s="521" t="n">
        <v>4115</v>
      </c>
      <c r="R5" s="521" t="n">
        <v>611</v>
      </c>
      <c r="S5" s="521" t="n">
        <v>2333.33</v>
      </c>
      <c r="T5" s="521" t="n">
        <v>0</v>
      </c>
      <c r="U5" s="521" t="n">
        <v>0</v>
      </c>
      <c r="V5" s="521" t="n">
        <v>0</v>
      </c>
      <c r="W5" s="521" t="n">
        <v>780</v>
      </c>
      <c r="X5" s="522" t="n">
        <v>0</v>
      </c>
      <c r="Y5" s="521" t="n">
        <v>7839.33</v>
      </c>
      <c r="Z5" s="521" t="n">
        <v>8303.97</v>
      </c>
      <c r="AA5" s="521" t="n">
        <v>4280</v>
      </c>
      <c r="AB5" s="521" t="n">
        <v>0</v>
      </c>
      <c r="AC5" s="522" t="n">
        <v>12583.97</v>
      </c>
      <c r="AD5" s="521" t="n">
        <v>3043.11</v>
      </c>
      <c r="AE5" s="521" t="n">
        <v>887.54</v>
      </c>
      <c r="AF5" s="522" t="n">
        <v>3930.65</v>
      </c>
      <c r="AG5" s="521" t="n">
        <v>658.98</v>
      </c>
      <c r="AH5" s="523" t="n">
        <v>30288.93</v>
      </c>
      <c r="AI5" s="523" t="n">
        <v>66104.78</v>
      </c>
      <c r="AJ5" s="524" t="n">
        <v>96393.71</v>
      </c>
      <c r="AK5" s="522" t="n">
        <v>162598.96</v>
      </c>
      <c r="AL5" s="521" t="n">
        <v>5791.72</v>
      </c>
      <c r="AM5" s="507" t="s">
        <v>11231</v>
      </c>
      <c r="AN5" s="1" t="e">
        <f aca="false">IF(AND($B5=Subj_OccCode,Subj_BldgSF&gt;0,ABS($J5-Subj_BldgSF)&lt;=Subj_BldgSF*Subj_SizeTol),ABS($J5-Subj_BldgSF),NA())</f>
        <v>#N/A</v>
      </c>
      <c r="AO5" s="1" t="e">
        <f aca="false">IF(ISNA(AN5),NA(),AN5+ROW()/10000000)</f>
        <v>#N/A</v>
      </c>
      <c r="AR5" s="290" t="str">
        <f aca="false">IF(B5="","",IFERROR(INDEX(OCC_TABLE_DESC,MATCH(B5,OCC_TABLE_CODE,0)),"Unrecognized code"))</f>
        <v>Distribution Warehouse</v>
      </c>
    </row>
    <row r="6" customFormat="false" ht="18" hidden="false" customHeight="true" outlineLevel="0" collapsed="false">
      <c r="A6" s="518" t="s">
        <v>10699</v>
      </c>
      <c r="B6" s="508" t="n">
        <v>407</v>
      </c>
      <c r="C6" s="519" t="s">
        <v>10700</v>
      </c>
      <c r="D6" s="507" t="s">
        <v>10701</v>
      </c>
      <c r="E6" s="518" t="s">
        <v>4420</v>
      </c>
      <c r="F6" s="518" t="s">
        <v>10702</v>
      </c>
      <c r="G6" s="518" t="s">
        <v>9267</v>
      </c>
      <c r="H6" s="507" t="s">
        <v>1389</v>
      </c>
      <c r="I6" s="520" t="n">
        <v>1988</v>
      </c>
      <c r="J6" s="520" t="n">
        <v>21000</v>
      </c>
      <c r="K6" s="520" t="n">
        <v>2023</v>
      </c>
      <c r="L6" s="521" t="n">
        <v>256200</v>
      </c>
      <c r="M6" s="521" t="n">
        <v>0</v>
      </c>
      <c r="N6" s="522" t="n">
        <v>256200</v>
      </c>
      <c r="O6" s="521" t="n">
        <v>5867.85</v>
      </c>
      <c r="P6" s="521" t="n">
        <v>800</v>
      </c>
      <c r="Q6" s="521" t="n">
        <v>1094.49</v>
      </c>
      <c r="R6" s="521" t="n">
        <v>990</v>
      </c>
      <c r="S6" s="521" t="n">
        <v>0</v>
      </c>
      <c r="T6" s="521" t="n">
        <v>3870.75</v>
      </c>
      <c r="U6" s="521" t="n">
        <v>480</v>
      </c>
      <c r="V6" s="521" t="n">
        <v>618</v>
      </c>
      <c r="W6" s="521" t="n">
        <v>0</v>
      </c>
      <c r="X6" s="522" t="n">
        <v>480</v>
      </c>
      <c r="Y6" s="521" t="n">
        <v>7533.24</v>
      </c>
      <c r="Z6" s="521" t="n">
        <v>9561.9</v>
      </c>
      <c r="AA6" s="521" t="n">
        <v>2200</v>
      </c>
      <c r="AB6" s="521" t="n">
        <v>2800</v>
      </c>
      <c r="AC6" s="522" t="n">
        <v>14561.9</v>
      </c>
      <c r="AD6" s="521" t="n">
        <v>7111.97</v>
      </c>
      <c r="AE6" s="521" t="n">
        <v>760.15</v>
      </c>
      <c r="AF6" s="522" t="n">
        <v>7872.12</v>
      </c>
      <c r="AG6" s="521" t="n">
        <v>597.59</v>
      </c>
      <c r="AH6" s="523" t="n">
        <v>31952.7</v>
      </c>
      <c r="AI6" s="523" t="n">
        <v>59985.48</v>
      </c>
      <c r="AJ6" s="524" t="n">
        <v>91938.18</v>
      </c>
      <c r="AK6" s="522" t="n">
        <v>164261.82</v>
      </c>
      <c r="AL6" s="521" t="n">
        <v>0</v>
      </c>
      <c r="AM6" s="518"/>
      <c r="AN6" s="1" t="e">
        <f aca="false">IF(AND($B6=Subj_OccCode,Subj_BldgSF&gt;0,ABS($J6-Subj_BldgSF)&lt;=Subj_BldgSF*Subj_SizeTol),ABS($J6-Subj_BldgSF),NA())</f>
        <v>#N/A</v>
      </c>
      <c r="AO6" s="1" t="e">
        <f aca="false">IF(ISNA(AN6),NA(),AN6+ROW()/10000000)</f>
        <v>#N/A</v>
      </c>
      <c r="AR6" s="290" t="str">
        <f aca="false">IF(B6="","",IFERROR(INDEX(OCC_TABLE_DESC,MATCH(B6,OCC_TABLE_CODE,0)),"Unrecognized code"))</f>
        <v>Distribution Warehouse</v>
      </c>
    </row>
    <row r="7" customFormat="false" ht="18" hidden="false" customHeight="true" outlineLevel="0" collapsed="false">
      <c r="A7" s="518" t="s">
        <v>10699</v>
      </c>
      <c r="B7" s="508" t="n">
        <v>407</v>
      </c>
      <c r="C7" s="519" t="s">
        <v>10700</v>
      </c>
      <c r="D7" s="507" t="s">
        <v>10701</v>
      </c>
      <c r="E7" s="518" t="s">
        <v>4420</v>
      </c>
      <c r="F7" s="518" t="s">
        <v>10702</v>
      </c>
      <c r="G7" s="518" t="s">
        <v>9267</v>
      </c>
      <c r="H7" s="507" t="s">
        <v>1389</v>
      </c>
      <c r="I7" s="520" t="n">
        <v>1988</v>
      </c>
      <c r="J7" s="520" t="n">
        <v>21000</v>
      </c>
      <c r="K7" s="520" t="n">
        <v>2024</v>
      </c>
      <c r="L7" s="521" t="n">
        <v>229531</v>
      </c>
      <c r="M7" s="521" t="n">
        <v>0</v>
      </c>
      <c r="N7" s="522" t="n">
        <v>229531</v>
      </c>
      <c r="O7" s="521" t="n">
        <v>1834.57</v>
      </c>
      <c r="P7" s="521" t="n">
        <v>1570</v>
      </c>
      <c r="Q7" s="521" t="n">
        <v>0</v>
      </c>
      <c r="R7" s="521" t="n">
        <v>0</v>
      </c>
      <c r="S7" s="521" t="n">
        <v>8000</v>
      </c>
      <c r="T7" s="521" t="n">
        <v>8299.8</v>
      </c>
      <c r="U7" s="521" t="n">
        <v>0</v>
      </c>
      <c r="V7" s="521" t="n">
        <v>175</v>
      </c>
      <c r="W7" s="521" t="n">
        <v>0</v>
      </c>
      <c r="X7" s="522" t="n">
        <v>819.88</v>
      </c>
      <c r="Y7" s="521" t="n">
        <v>17294.68</v>
      </c>
      <c r="Z7" s="521" t="n">
        <v>8500.75</v>
      </c>
      <c r="AA7" s="521" t="n">
        <v>3350</v>
      </c>
      <c r="AB7" s="521" t="n">
        <v>1050</v>
      </c>
      <c r="AC7" s="522" t="n">
        <v>12900.75</v>
      </c>
      <c r="AD7" s="521" t="n">
        <v>3438.85</v>
      </c>
      <c r="AE7" s="521" t="n">
        <v>712.77</v>
      </c>
      <c r="AF7" s="522" t="n">
        <v>4151.62</v>
      </c>
      <c r="AG7" s="521" t="n">
        <v>600.11</v>
      </c>
      <c r="AH7" s="523" t="n">
        <v>38151.7</v>
      </c>
      <c r="AI7" s="523" t="n">
        <v>69401.6</v>
      </c>
      <c r="AJ7" s="524" t="n">
        <v>107553.3</v>
      </c>
      <c r="AK7" s="522" t="n">
        <v>121977.7</v>
      </c>
      <c r="AL7" s="521" t="n">
        <v>0</v>
      </c>
      <c r="AM7" s="518"/>
      <c r="AN7" s="1" t="e">
        <f aca="false">IF(AND($B7=Subj_OccCode,Subj_BldgSF&gt;0,ABS($J7-Subj_BldgSF)&lt;=Subj_BldgSF*Subj_SizeTol),ABS($J7-Subj_BldgSF),NA())</f>
        <v>#N/A</v>
      </c>
      <c r="AO7" s="1" t="e">
        <f aca="false">IF(ISNA(AN7),NA(),AN7+ROW()/10000000)</f>
        <v>#N/A</v>
      </c>
      <c r="AR7" s="290" t="str">
        <f aca="false">IF(B7="","",IFERROR(INDEX(OCC_TABLE_DESC,MATCH(B7,OCC_TABLE_CODE,0)),"Unrecognized code"))</f>
        <v>Distribution Warehouse</v>
      </c>
    </row>
    <row r="8" customFormat="false" ht="18" hidden="false" customHeight="true" outlineLevel="0" collapsed="false">
      <c r="A8" s="518" t="s">
        <v>10708</v>
      </c>
      <c r="B8" s="508" t="n">
        <v>344</v>
      </c>
      <c r="C8" s="519" t="s">
        <v>10709</v>
      </c>
      <c r="D8" s="507" t="s">
        <v>10710</v>
      </c>
      <c r="E8" s="518" t="s">
        <v>9525</v>
      </c>
      <c r="F8" s="518" t="s">
        <v>10702</v>
      </c>
      <c r="G8" s="518" t="s">
        <v>10711</v>
      </c>
      <c r="H8" s="507" t="s">
        <v>10712</v>
      </c>
      <c r="I8" s="520"/>
      <c r="J8" s="520"/>
      <c r="K8" s="520" t="n">
        <v>2023</v>
      </c>
      <c r="L8" s="518"/>
      <c r="M8" s="518"/>
      <c r="N8" s="525" t="n">
        <v>258808</v>
      </c>
      <c r="O8" s="521" t="n">
        <v>3292</v>
      </c>
      <c r="P8" s="521" t="n">
        <v>18539</v>
      </c>
      <c r="Q8" s="518"/>
      <c r="R8" s="518"/>
      <c r="S8" s="518"/>
      <c r="T8" s="518"/>
      <c r="U8" s="518"/>
      <c r="V8" s="518"/>
      <c r="W8" s="518"/>
      <c r="X8" s="521" t="n">
        <v>24750</v>
      </c>
      <c r="Y8" s="522" t="n">
        <v>24750</v>
      </c>
      <c r="Z8" s="518"/>
      <c r="AA8" s="521" t="n">
        <v>13331</v>
      </c>
      <c r="AB8" s="518"/>
      <c r="AC8" s="522" t="n">
        <v>13331</v>
      </c>
      <c r="AD8" s="518"/>
      <c r="AE8" s="518"/>
      <c r="AF8" s="522" t="n">
        <v>3990</v>
      </c>
      <c r="AG8" s="521" t="n">
        <v>11264</v>
      </c>
      <c r="AH8" s="523" t="n">
        <v>75327</v>
      </c>
      <c r="AI8" s="523" t="n">
        <v>51707</v>
      </c>
      <c r="AJ8" s="523" t="n">
        <v>127034</v>
      </c>
      <c r="AK8" s="523" t="n">
        <v>131774</v>
      </c>
      <c r="AL8" s="518"/>
      <c r="AM8" s="507" t="s">
        <v>11232</v>
      </c>
      <c r="AN8" s="1" t="e">
        <f aca="false">IF(AND($B8=Subj_OccCode,Subj_BldgSF&gt;0,ABS($J8-Subj_BldgSF)&lt;=Subj_BldgSF*Subj_SizeTol),ABS($J8-Subj_BldgSF),NA())</f>
        <v>#N/A</v>
      </c>
      <c r="AO8" s="1" t="e">
        <f aca="false">IF(ISNA(AN8),NA(),AN8+ROW()/10000000)</f>
        <v>#N/A</v>
      </c>
      <c r="AR8" s="290" t="str">
        <f aca="false">IF(B8="","",IFERROR(INDEX(OCC_TABLE_DESC,MATCH(B8,OCC_TABLE_CODE,0)),"Unrecognized code"))</f>
        <v>Office Building</v>
      </c>
    </row>
    <row r="9" customFormat="false" ht="18" hidden="false" customHeight="true" outlineLevel="0" collapsed="false">
      <c r="A9" s="518" t="s">
        <v>10708</v>
      </c>
      <c r="B9" s="508" t="n">
        <v>344</v>
      </c>
      <c r="C9" s="519" t="s">
        <v>10709</v>
      </c>
      <c r="D9" s="507" t="s">
        <v>10710</v>
      </c>
      <c r="E9" s="518" t="s">
        <v>9525</v>
      </c>
      <c r="F9" s="518" t="s">
        <v>10702</v>
      </c>
      <c r="G9" s="518" t="s">
        <v>10711</v>
      </c>
      <c r="H9" s="507" t="s">
        <v>10712</v>
      </c>
      <c r="I9" s="520"/>
      <c r="J9" s="520"/>
      <c r="K9" s="520" t="n">
        <v>2024</v>
      </c>
      <c r="L9" s="518"/>
      <c r="M9" s="518"/>
      <c r="N9" s="525" t="n">
        <v>264959</v>
      </c>
      <c r="O9" s="521" t="n">
        <v>7442</v>
      </c>
      <c r="P9" s="521" t="n">
        <v>18228</v>
      </c>
      <c r="Q9" s="518"/>
      <c r="R9" s="518"/>
      <c r="S9" s="518"/>
      <c r="T9" s="518"/>
      <c r="U9" s="518"/>
      <c r="V9" s="518"/>
      <c r="W9" s="518"/>
      <c r="X9" s="521" t="n">
        <v>37394</v>
      </c>
      <c r="Y9" s="522" t="n">
        <v>37394</v>
      </c>
      <c r="Z9" s="518"/>
      <c r="AA9" s="521" t="n">
        <v>11888</v>
      </c>
      <c r="AB9" s="518"/>
      <c r="AC9" s="522" t="n">
        <v>11888</v>
      </c>
      <c r="AD9" s="518"/>
      <c r="AE9" s="518"/>
      <c r="AF9" s="522" t="n">
        <v>5290</v>
      </c>
      <c r="AG9" s="521" t="n">
        <v>13341</v>
      </c>
      <c r="AH9" s="523" t="n">
        <v>93583</v>
      </c>
      <c r="AI9" s="523" t="n">
        <v>44649</v>
      </c>
      <c r="AJ9" s="523" t="n">
        <v>138232</v>
      </c>
      <c r="AK9" s="523" t="n">
        <v>126727</v>
      </c>
      <c r="AL9" s="518"/>
      <c r="AM9" s="507" t="s">
        <v>11233</v>
      </c>
      <c r="AN9" s="1" t="e">
        <f aca="false">IF(AND($B9=Subj_OccCode,Subj_BldgSF&gt;0,ABS($J9-Subj_BldgSF)&lt;=Subj_BldgSF*Subj_SizeTol),ABS($J9-Subj_BldgSF),NA())</f>
        <v>#N/A</v>
      </c>
      <c r="AO9" s="1" t="e">
        <f aca="false">IF(ISNA(AN9),NA(),AN9+ROW()/10000000)</f>
        <v>#N/A</v>
      </c>
      <c r="AR9" s="290" t="str">
        <f aca="false">IF(B9="","",IFERROR(INDEX(OCC_TABLE_DESC,MATCH(B9,OCC_TABLE_CODE,0)),"Unrecognized code"))</f>
        <v>Office Building</v>
      </c>
    </row>
    <row r="10" customFormat="false" ht="18" hidden="false" customHeight="true" outlineLevel="0" collapsed="false">
      <c r="A10" s="518" t="s">
        <v>10716</v>
      </c>
      <c r="B10" s="508" t="n">
        <v>344</v>
      </c>
      <c r="C10" s="519" t="s">
        <v>10717</v>
      </c>
      <c r="D10" s="507" t="s">
        <v>11234</v>
      </c>
      <c r="E10" s="518" t="s">
        <v>4407</v>
      </c>
      <c r="F10" s="518" t="s">
        <v>10702</v>
      </c>
      <c r="G10" s="518" t="s">
        <v>10719</v>
      </c>
      <c r="H10" s="507" t="s">
        <v>10720</v>
      </c>
      <c r="I10" s="520"/>
      <c r="J10" s="520" t="n">
        <v>49479</v>
      </c>
      <c r="K10" s="520" t="n">
        <v>2023</v>
      </c>
      <c r="L10" s="521" t="n">
        <v>1017928</v>
      </c>
      <c r="M10" s="521" t="n">
        <v>93575</v>
      </c>
      <c r="N10" s="525" t="n">
        <v>1111503</v>
      </c>
      <c r="O10" s="518"/>
      <c r="P10" s="518"/>
      <c r="Q10" s="518"/>
      <c r="R10" s="518"/>
      <c r="S10" s="518"/>
      <c r="T10" s="518"/>
      <c r="U10" s="518"/>
      <c r="V10" s="518"/>
      <c r="W10" s="518"/>
      <c r="X10" s="518"/>
      <c r="Y10" s="526"/>
      <c r="Z10" s="518"/>
      <c r="AA10" s="518"/>
      <c r="AB10" s="518"/>
      <c r="AC10" s="526"/>
      <c r="AD10" s="518"/>
      <c r="AE10" s="518"/>
      <c r="AF10" s="526"/>
      <c r="AG10" s="518"/>
      <c r="AH10" s="523" t="n">
        <v>453480</v>
      </c>
      <c r="AI10" s="523" t="n">
        <v>184874</v>
      </c>
      <c r="AJ10" s="523" t="n">
        <v>638354</v>
      </c>
      <c r="AK10" s="523" t="n">
        <v>473149</v>
      </c>
      <c r="AL10" s="518"/>
      <c r="AM10" s="507" t="s">
        <v>11235</v>
      </c>
      <c r="AN10" s="1" t="e">
        <f aca="false">IF(AND($B10=Subj_OccCode,Subj_BldgSF&gt;0,ABS($J10-Subj_BldgSF)&lt;=Subj_BldgSF*Subj_SizeTol),ABS($J10-Subj_BldgSF),NA())</f>
        <v>#N/A</v>
      </c>
      <c r="AO10" s="1" t="e">
        <f aca="false">IF(ISNA(AN10),NA(),AN10+ROW()/10000000)</f>
        <v>#N/A</v>
      </c>
      <c r="AR10" s="290" t="str">
        <f aca="false">IF(B10="","",IFERROR(INDEX(OCC_TABLE_DESC,MATCH(B10,OCC_TABLE_CODE,0)),"Unrecognized code"))</f>
        <v>Office Building</v>
      </c>
    </row>
    <row r="11" customFormat="false" ht="18" hidden="false" customHeight="true" outlineLevel="0" collapsed="false">
      <c r="A11" s="518" t="s">
        <v>10716</v>
      </c>
      <c r="B11" s="508" t="n">
        <v>344</v>
      </c>
      <c r="C11" s="519" t="s">
        <v>10717</v>
      </c>
      <c r="D11" s="507" t="s">
        <v>11234</v>
      </c>
      <c r="E11" s="518" t="s">
        <v>4407</v>
      </c>
      <c r="F11" s="518" t="s">
        <v>10702</v>
      </c>
      <c r="G11" s="518" t="s">
        <v>10719</v>
      </c>
      <c r="H11" s="507" t="s">
        <v>10720</v>
      </c>
      <c r="I11" s="520"/>
      <c r="J11" s="520" t="n">
        <v>49479</v>
      </c>
      <c r="K11" s="520" t="n">
        <v>2024</v>
      </c>
      <c r="L11" s="521" t="n">
        <v>944040</v>
      </c>
      <c r="M11" s="521" t="n">
        <v>77962</v>
      </c>
      <c r="N11" s="525" t="n">
        <v>1022002</v>
      </c>
      <c r="O11" s="518"/>
      <c r="P11" s="518"/>
      <c r="Q11" s="518"/>
      <c r="R11" s="518"/>
      <c r="S11" s="518"/>
      <c r="T11" s="518"/>
      <c r="U11" s="518"/>
      <c r="V11" s="518"/>
      <c r="W11" s="518"/>
      <c r="X11" s="518"/>
      <c r="Y11" s="526"/>
      <c r="Z11" s="518"/>
      <c r="AA11" s="518"/>
      <c r="AB11" s="518"/>
      <c r="AC11" s="526"/>
      <c r="AD11" s="518"/>
      <c r="AE11" s="518"/>
      <c r="AF11" s="526"/>
      <c r="AG11" s="518"/>
      <c r="AH11" s="523" t="n">
        <v>488239</v>
      </c>
      <c r="AI11" s="523" t="n">
        <v>179568</v>
      </c>
      <c r="AJ11" s="523" t="n">
        <v>667807</v>
      </c>
      <c r="AK11" s="523" t="n">
        <v>354195</v>
      </c>
      <c r="AL11" s="518"/>
      <c r="AM11" s="507" t="s">
        <v>11236</v>
      </c>
      <c r="AN11" s="1" t="e">
        <f aca="false">IF(AND($B11=Subj_OccCode,Subj_BldgSF&gt;0,ABS($J11-Subj_BldgSF)&lt;=Subj_BldgSF*Subj_SizeTol),ABS($J11-Subj_BldgSF),NA())</f>
        <v>#N/A</v>
      </c>
      <c r="AO11" s="1" t="e">
        <f aca="false">IF(ISNA(AN11),NA(),AN11+ROW()/10000000)</f>
        <v>#N/A</v>
      </c>
      <c r="AR11" s="290" t="str">
        <f aca="false">IF(B11="","",IFERROR(INDEX(OCC_TABLE_DESC,MATCH(B11,OCC_TABLE_CODE,0)),"Unrecognized code"))</f>
        <v>Office Building</v>
      </c>
    </row>
    <row r="12" customFormat="false" ht="18" hidden="false" customHeight="true" outlineLevel="0" collapsed="false">
      <c r="A12" s="518" t="s">
        <v>10724</v>
      </c>
      <c r="B12" s="508" t="n">
        <v>412</v>
      </c>
      <c r="C12" s="519" t="s">
        <v>10725</v>
      </c>
      <c r="D12" s="507" t="s">
        <v>10726</v>
      </c>
      <c r="E12" s="518" t="s">
        <v>9525</v>
      </c>
      <c r="F12" s="518" t="s">
        <v>10702</v>
      </c>
      <c r="G12" s="518" t="s">
        <v>10727</v>
      </c>
      <c r="H12" s="507" t="s">
        <v>10728</v>
      </c>
      <c r="I12" s="520"/>
      <c r="J12" s="520" t="n">
        <v>65850</v>
      </c>
      <c r="K12" s="520" t="n">
        <v>2023</v>
      </c>
      <c r="L12" s="518"/>
      <c r="M12" s="518"/>
      <c r="N12" s="525" t="n">
        <v>570777</v>
      </c>
      <c r="O12" s="518"/>
      <c r="P12" s="518"/>
      <c r="Q12" s="518"/>
      <c r="R12" s="518"/>
      <c r="S12" s="518"/>
      <c r="T12" s="518"/>
      <c r="U12" s="518"/>
      <c r="V12" s="518"/>
      <c r="W12" s="518"/>
      <c r="X12" s="518"/>
      <c r="Y12" s="526"/>
      <c r="Z12" s="518"/>
      <c r="AA12" s="518"/>
      <c r="AB12" s="518"/>
      <c r="AC12" s="526"/>
      <c r="AD12" s="518"/>
      <c r="AE12" s="518"/>
      <c r="AF12" s="526"/>
      <c r="AG12" s="518"/>
      <c r="AH12" s="527"/>
      <c r="AI12" s="523" t="n">
        <v>74000</v>
      </c>
      <c r="AJ12" s="523" t="n">
        <v>269935</v>
      </c>
      <c r="AK12" s="523" t="n">
        <v>300842</v>
      </c>
      <c r="AL12" s="518"/>
      <c r="AM12" s="507" t="s">
        <v>11237</v>
      </c>
      <c r="AN12" s="1" t="e">
        <f aca="false">IF(AND($B12=Subj_OccCode,Subj_BldgSF&gt;0,ABS($J12-Subj_BldgSF)&lt;=Subj_BldgSF*Subj_SizeTol),ABS($J12-Subj_BldgSF),NA())</f>
        <v>#N/A</v>
      </c>
      <c r="AO12" s="1" t="e">
        <f aca="false">IF(ISNA(AN12),NA(),AN12+ROW()/10000000)</f>
        <v>#N/A</v>
      </c>
      <c r="AR12" s="290" t="str">
        <f aca="false">IF(B12="","",IFERROR(INDEX(OCC_TABLE_DESC,MATCH(B12,OCC_TABLE_CODE,0)),"Unrecognized code"))</f>
        <v>Neighborhood Shopping Center</v>
      </c>
    </row>
    <row r="13" customFormat="false" ht="18" hidden="false" customHeight="true" outlineLevel="0" collapsed="false">
      <c r="A13" s="518" t="s">
        <v>10724</v>
      </c>
      <c r="B13" s="508" t="n">
        <v>412</v>
      </c>
      <c r="C13" s="519" t="s">
        <v>10725</v>
      </c>
      <c r="D13" s="507" t="s">
        <v>10726</v>
      </c>
      <c r="E13" s="518" t="s">
        <v>9525</v>
      </c>
      <c r="F13" s="518" t="s">
        <v>10702</v>
      </c>
      <c r="G13" s="518" t="s">
        <v>10727</v>
      </c>
      <c r="H13" s="507" t="s">
        <v>10728</v>
      </c>
      <c r="I13" s="520"/>
      <c r="J13" s="520" t="n">
        <v>65850</v>
      </c>
      <c r="K13" s="520" t="n">
        <v>2024</v>
      </c>
      <c r="L13" s="518"/>
      <c r="M13" s="518"/>
      <c r="N13" s="525" t="n">
        <v>587819</v>
      </c>
      <c r="O13" s="521" t="n">
        <v>51223</v>
      </c>
      <c r="P13" s="518"/>
      <c r="Q13" s="518"/>
      <c r="R13" s="518"/>
      <c r="S13" s="518"/>
      <c r="T13" s="518"/>
      <c r="U13" s="518"/>
      <c r="V13" s="518"/>
      <c r="W13" s="518"/>
      <c r="X13" s="521" t="n">
        <v>28919</v>
      </c>
      <c r="Y13" s="522" t="n">
        <v>28919</v>
      </c>
      <c r="Z13" s="521" t="n">
        <v>17561</v>
      </c>
      <c r="AA13" s="521" t="n">
        <v>2002</v>
      </c>
      <c r="AB13" s="521" t="n">
        <v>3485</v>
      </c>
      <c r="AC13" s="522" t="n">
        <v>23048</v>
      </c>
      <c r="AD13" s="521" t="n">
        <v>12892</v>
      </c>
      <c r="AE13" s="521" t="n">
        <v>7120</v>
      </c>
      <c r="AF13" s="522" t="n">
        <v>20012</v>
      </c>
      <c r="AG13" s="521" t="n">
        <v>10978</v>
      </c>
      <c r="AH13" s="523" t="n">
        <v>159331</v>
      </c>
      <c r="AI13" s="523" t="n">
        <v>105466</v>
      </c>
      <c r="AJ13" s="523" t="n">
        <v>264797</v>
      </c>
      <c r="AK13" s="523" t="n">
        <v>323022</v>
      </c>
      <c r="AL13" s="518"/>
      <c r="AM13" s="507" t="s">
        <v>11238</v>
      </c>
      <c r="AN13" s="1" t="e">
        <f aca="false">IF(AND($B13=Subj_OccCode,Subj_BldgSF&gt;0,ABS($J13-Subj_BldgSF)&lt;=Subj_BldgSF*Subj_SizeTol),ABS($J13-Subj_BldgSF),NA())</f>
        <v>#N/A</v>
      </c>
      <c r="AO13" s="1" t="e">
        <f aca="false">IF(ISNA(AN13),NA(),AN13+ROW()/10000000)</f>
        <v>#N/A</v>
      </c>
      <c r="AR13" s="290" t="str">
        <f aca="false">IF(B13="","",IFERROR(INDEX(OCC_TABLE_DESC,MATCH(B13,OCC_TABLE_CODE,0)),"Unrecognized code"))</f>
        <v>Neighborhood Shopping Center</v>
      </c>
    </row>
    <row r="14" customFormat="false" ht="18" hidden="false" customHeight="true" outlineLevel="0" collapsed="false">
      <c r="A14" s="518" t="s">
        <v>10732</v>
      </c>
      <c r="B14" s="508" t="n">
        <v>344</v>
      </c>
      <c r="C14" s="519" t="s">
        <v>4366</v>
      </c>
      <c r="D14" s="507" t="s">
        <v>10733</v>
      </c>
      <c r="E14" s="518" t="s">
        <v>4368</v>
      </c>
      <c r="F14" s="518" t="s">
        <v>10702</v>
      </c>
      <c r="G14" s="518" t="s">
        <v>10719</v>
      </c>
      <c r="H14" s="507" t="s">
        <v>11239</v>
      </c>
      <c r="I14" s="520"/>
      <c r="J14" s="520" t="n">
        <v>91646</v>
      </c>
      <c r="K14" s="520" t="n">
        <v>2023</v>
      </c>
      <c r="L14" s="521" t="n">
        <v>2011958</v>
      </c>
      <c r="M14" s="521" t="n">
        <v>227276</v>
      </c>
      <c r="N14" s="525" t="n">
        <v>2239234</v>
      </c>
      <c r="O14" s="521" t="n">
        <v>24425</v>
      </c>
      <c r="P14" s="521" t="n">
        <v>132014</v>
      </c>
      <c r="Q14" s="518"/>
      <c r="R14" s="518"/>
      <c r="S14" s="518"/>
      <c r="T14" s="518"/>
      <c r="U14" s="518"/>
      <c r="V14" s="518"/>
      <c r="W14" s="518"/>
      <c r="X14" s="521" t="n">
        <v>144543</v>
      </c>
      <c r="Y14" s="522" t="n">
        <v>144543</v>
      </c>
      <c r="Z14" s="518"/>
      <c r="AA14" s="521" t="n">
        <v>108773</v>
      </c>
      <c r="AB14" s="521" t="n">
        <v>65183</v>
      </c>
      <c r="AC14" s="522" t="n">
        <v>273332</v>
      </c>
      <c r="AD14" s="521" t="n">
        <v>14762</v>
      </c>
      <c r="AE14" s="521" t="n">
        <v>225588</v>
      </c>
      <c r="AF14" s="522" t="n">
        <v>240350</v>
      </c>
      <c r="AG14" s="521" t="n">
        <v>32925</v>
      </c>
      <c r="AH14" s="523" t="n">
        <v>845814</v>
      </c>
      <c r="AI14" s="523" t="n">
        <v>372013</v>
      </c>
      <c r="AJ14" s="523" t="n">
        <v>1217827</v>
      </c>
      <c r="AK14" s="523" t="n">
        <v>1021407</v>
      </c>
      <c r="AL14" s="518"/>
      <c r="AM14" s="507" t="s">
        <v>11240</v>
      </c>
      <c r="AN14" s="1" t="e">
        <f aca="false">IF(AND($B14=Subj_OccCode,Subj_BldgSF&gt;0,ABS($J14-Subj_BldgSF)&lt;=Subj_BldgSF*Subj_SizeTol),ABS($J14-Subj_BldgSF),NA())</f>
        <v>#N/A</v>
      </c>
      <c r="AO14" s="1" t="e">
        <f aca="false">IF(ISNA(AN14),NA(),AN14+ROW()/10000000)</f>
        <v>#N/A</v>
      </c>
      <c r="AR14" s="290" t="str">
        <f aca="false">IF(B14="","",IFERROR(INDEX(OCC_TABLE_DESC,MATCH(B14,OCC_TABLE_CODE,0)),"Unrecognized code"))</f>
        <v>Office Building</v>
      </c>
    </row>
    <row r="15" customFormat="false" ht="18" hidden="false" customHeight="true" outlineLevel="0" collapsed="false">
      <c r="A15" s="518" t="s">
        <v>10732</v>
      </c>
      <c r="B15" s="508" t="n">
        <v>344</v>
      </c>
      <c r="C15" s="519" t="s">
        <v>4366</v>
      </c>
      <c r="D15" s="507" t="s">
        <v>10733</v>
      </c>
      <c r="E15" s="518" t="s">
        <v>4368</v>
      </c>
      <c r="F15" s="518" t="s">
        <v>10702</v>
      </c>
      <c r="G15" s="518" t="s">
        <v>10719</v>
      </c>
      <c r="H15" s="507" t="s">
        <v>11239</v>
      </c>
      <c r="I15" s="520"/>
      <c r="J15" s="520" t="n">
        <v>91646</v>
      </c>
      <c r="K15" s="520" t="n">
        <v>2024</v>
      </c>
      <c r="L15" s="521" t="n">
        <v>2052556</v>
      </c>
      <c r="M15" s="521" t="n">
        <v>269597</v>
      </c>
      <c r="N15" s="525" t="n">
        <v>2322153</v>
      </c>
      <c r="O15" s="521" t="n">
        <v>24269</v>
      </c>
      <c r="P15" s="521" t="n">
        <v>149428</v>
      </c>
      <c r="Q15" s="518"/>
      <c r="R15" s="518"/>
      <c r="S15" s="518"/>
      <c r="T15" s="518"/>
      <c r="U15" s="518"/>
      <c r="V15" s="518"/>
      <c r="W15" s="518"/>
      <c r="X15" s="521" t="n">
        <v>150462</v>
      </c>
      <c r="Y15" s="522" t="n">
        <v>150462</v>
      </c>
      <c r="Z15" s="518"/>
      <c r="AA15" s="521" t="n">
        <v>109178</v>
      </c>
      <c r="AB15" s="518"/>
      <c r="AC15" s="522" t="n">
        <v>262640</v>
      </c>
      <c r="AD15" s="518"/>
      <c r="AE15" s="518"/>
      <c r="AF15" s="522" t="n">
        <v>232174</v>
      </c>
      <c r="AG15" s="521" t="n">
        <v>37416</v>
      </c>
      <c r="AH15" s="523" t="n">
        <v>856390</v>
      </c>
      <c r="AI15" s="523" t="n">
        <v>413583</v>
      </c>
      <c r="AJ15" s="523" t="n">
        <v>1269973</v>
      </c>
      <c r="AK15" s="523" t="n">
        <v>1052180</v>
      </c>
      <c r="AL15" s="518"/>
      <c r="AM15" s="507" t="s">
        <v>11241</v>
      </c>
      <c r="AN15" s="1" t="e">
        <f aca="false">IF(AND($B15=Subj_OccCode,Subj_BldgSF&gt;0,ABS($J15-Subj_BldgSF)&lt;=Subj_BldgSF*Subj_SizeTol),ABS($J15-Subj_BldgSF),NA())</f>
        <v>#N/A</v>
      </c>
      <c r="AO15" s="1" t="e">
        <f aca="false">IF(ISNA(AN15),NA(),AN15+ROW()/10000000)</f>
        <v>#N/A</v>
      </c>
      <c r="AR15" s="290" t="str">
        <f aca="false">IF(B15="","",IFERROR(INDEX(OCC_TABLE_DESC,MATCH(B15,OCC_TABLE_CODE,0)),"Unrecognized code"))</f>
        <v>Office Building</v>
      </c>
    </row>
    <row r="16" customFormat="false" ht="18" hidden="false" customHeight="true" outlineLevel="0" collapsed="false">
      <c r="A16" s="518" t="s">
        <v>10738</v>
      </c>
      <c r="B16" s="508" t="n">
        <v>210</v>
      </c>
      <c r="C16" s="519" t="s">
        <v>10739</v>
      </c>
      <c r="D16" s="507" t="s">
        <v>10740</v>
      </c>
      <c r="E16" s="518" t="s">
        <v>4407</v>
      </c>
      <c r="F16" s="518" t="s">
        <v>10702</v>
      </c>
      <c r="G16" s="518" t="s">
        <v>10741</v>
      </c>
      <c r="H16" s="507" t="s">
        <v>10712</v>
      </c>
      <c r="I16" s="520"/>
      <c r="J16" s="520" t="n">
        <v>37078</v>
      </c>
      <c r="K16" s="520" t="n">
        <v>2020</v>
      </c>
      <c r="L16" s="518"/>
      <c r="M16" s="518"/>
      <c r="N16" s="528"/>
      <c r="O16" s="521" t="n">
        <v>5777</v>
      </c>
      <c r="P16" s="521" t="n">
        <v>19499</v>
      </c>
      <c r="Q16" s="518"/>
      <c r="R16" s="518"/>
      <c r="S16" s="518"/>
      <c r="T16" s="518"/>
      <c r="U16" s="518"/>
      <c r="V16" s="518"/>
      <c r="W16" s="518"/>
      <c r="X16" s="518"/>
      <c r="Y16" s="526"/>
      <c r="Z16" s="518"/>
      <c r="AA16" s="518"/>
      <c r="AB16" s="518"/>
      <c r="AC16" s="522" t="n">
        <v>133689</v>
      </c>
      <c r="AD16" s="518"/>
      <c r="AE16" s="518"/>
      <c r="AF16" s="522" t="n">
        <v>116321</v>
      </c>
      <c r="AG16" s="518"/>
      <c r="AH16" s="523" t="n">
        <v>275286</v>
      </c>
      <c r="AI16" s="523" t="n">
        <v>88705</v>
      </c>
      <c r="AJ16" s="523" t="n">
        <v>363991</v>
      </c>
      <c r="AK16" s="527"/>
      <c r="AL16" s="518"/>
      <c r="AM16" s="507" t="s">
        <v>11242</v>
      </c>
      <c r="AN16" s="1" t="e">
        <f aca="false">IF(AND($B16=Subj_OccCode,Subj_BldgSF&gt;0,ABS($J16-Subj_BldgSF)&lt;=Subj_BldgSF*Subj_SizeTol),ABS($J16-Subj_BldgSF),NA())</f>
        <v>#N/A</v>
      </c>
      <c r="AO16" s="1" t="e">
        <f aca="false">IF(ISNA(AN16),NA(),AN16+ROW()/10000000)</f>
        <v>#N/A</v>
      </c>
      <c r="AR16" s="290" t="str">
        <f aca="false">IF(B16="","",IFERROR(INDEX(OCC_TABLE_DESC,MATCH(B16,OCC_TABLE_CODE,0)),"Unrecognized code"))</f>
        <v>Industrial Flex Mall Building</v>
      </c>
    </row>
    <row r="17" customFormat="false" ht="18" hidden="false" customHeight="true" outlineLevel="0" collapsed="false">
      <c r="A17" s="518" t="s">
        <v>10738</v>
      </c>
      <c r="B17" s="508" t="n">
        <v>210</v>
      </c>
      <c r="C17" s="519" t="s">
        <v>10739</v>
      </c>
      <c r="D17" s="507" t="s">
        <v>10740</v>
      </c>
      <c r="E17" s="518" t="s">
        <v>4407</v>
      </c>
      <c r="F17" s="518" t="s">
        <v>10702</v>
      </c>
      <c r="G17" s="518" t="s">
        <v>10741</v>
      </c>
      <c r="H17" s="507" t="s">
        <v>10712</v>
      </c>
      <c r="I17" s="520"/>
      <c r="J17" s="520" t="n">
        <v>37078</v>
      </c>
      <c r="K17" s="520" t="n">
        <v>2021</v>
      </c>
      <c r="L17" s="518"/>
      <c r="M17" s="518"/>
      <c r="N17" s="528"/>
      <c r="O17" s="521" t="n">
        <v>6826</v>
      </c>
      <c r="P17" s="521" t="n">
        <v>18000</v>
      </c>
      <c r="Q17" s="518"/>
      <c r="R17" s="518"/>
      <c r="S17" s="518"/>
      <c r="T17" s="518"/>
      <c r="U17" s="518"/>
      <c r="V17" s="518"/>
      <c r="W17" s="518"/>
      <c r="X17" s="518"/>
      <c r="Y17" s="526"/>
      <c r="Z17" s="518"/>
      <c r="AA17" s="518"/>
      <c r="AB17" s="518"/>
      <c r="AC17" s="522" t="n">
        <v>104519</v>
      </c>
      <c r="AD17" s="518"/>
      <c r="AE17" s="518"/>
      <c r="AF17" s="522" t="n">
        <v>108857</v>
      </c>
      <c r="AG17" s="518"/>
      <c r="AH17" s="523" t="n">
        <v>238202</v>
      </c>
      <c r="AI17" s="523" t="n">
        <v>84200</v>
      </c>
      <c r="AJ17" s="523" t="n">
        <v>322402</v>
      </c>
      <c r="AK17" s="527"/>
      <c r="AL17" s="518"/>
      <c r="AM17" s="507" t="s">
        <v>11243</v>
      </c>
      <c r="AN17" s="1" t="e">
        <f aca="false">IF(AND($B17=Subj_OccCode,Subj_BldgSF&gt;0,ABS($J17-Subj_BldgSF)&lt;=Subj_BldgSF*Subj_SizeTol),ABS($J17-Subj_BldgSF),NA())</f>
        <v>#N/A</v>
      </c>
      <c r="AO17" s="1" t="e">
        <f aca="false">IF(ISNA(AN17),NA(),AN17+ROW()/10000000)</f>
        <v>#N/A</v>
      </c>
      <c r="AR17" s="290" t="str">
        <f aca="false">IF(B17="","",IFERROR(INDEX(OCC_TABLE_DESC,MATCH(B17,OCC_TABLE_CODE,0)),"Unrecognized code"))</f>
        <v>Industrial Flex Mall Building</v>
      </c>
    </row>
    <row r="18" customFormat="false" ht="18" hidden="false" customHeight="true" outlineLevel="0" collapsed="false">
      <c r="A18" s="518" t="s">
        <v>10738</v>
      </c>
      <c r="B18" s="508" t="n">
        <v>210</v>
      </c>
      <c r="C18" s="519" t="s">
        <v>10739</v>
      </c>
      <c r="D18" s="507" t="s">
        <v>10740</v>
      </c>
      <c r="E18" s="518" t="s">
        <v>4407</v>
      </c>
      <c r="F18" s="518" t="s">
        <v>10702</v>
      </c>
      <c r="G18" s="518" t="s">
        <v>10741</v>
      </c>
      <c r="H18" s="507" t="s">
        <v>10712</v>
      </c>
      <c r="I18" s="520"/>
      <c r="J18" s="520" t="n">
        <v>37078</v>
      </c>
      <c r="K18" s="520" t="n">
        <v>2022</v>
      </c>
      <c r="L18" s="518"/>
      <c r="M18" s="518"/>
      <c r="N18" s="528"/>
      <c r="O18" s="521" t="n">
        <v>7867</v>
      </c>
      <c r="P18" s="521" t="n">
        <v>20952</v>
      </c>
      <c r="Q18" s="518"/>
      <c r="R18" s="518"/>
      <c r="S18" s="518"/>
      <c r="T18" s="518"/>
      <c r="U18" s="518"/>
      <c r="V18" s="518"/>
      <c r="W18" s="518"/>
      <c r="X18" s="518"/>
      <c r="Y18" s="526"/>
      <c r="Z18" s="518"/>
      <c r="AA18" s="518"/>
      <c r="AB18" s="518"/>
      <c r="AC18" s="522" t="n">
        <v>112201</v>
      </c>
      <c r="AD18" s="518"/>
      <c r="AE18" s="518"/>
      <c r="AF18" s="522" t="n">
        <v>111968</v>
      </c>
      <c r="AG18" s="518"/>
      <c r="AH18" s="523" t="n">
        <v>252988</v>
      </c>
      <c r="AI18" s="523" t="n">
        <v>137142</v>
      </c>
      <c r="AJ18" s="523" t="n">
        <v>390130</v>
      </c>
      <c r="AK18" s="527"/>
      <c r="AL18" s="518"/>
      <c r="AM18" s="507" t="s">
        <v>11244</v>
      </c>
      <c r="AN18" s="1" t="e">
        <f aca="false">IF(AND($B18=Subj_OccCode,Subj_BldgSF&gt;0,ABS($J18-Subj_BldgSF)&lt;=Subj_BldgSF*Subj_SizeTol),ABS($J18-Subj_BldgSF),NA())</f>
        <v>#N/A</v>
      </c>
      <c r="AO18" s="1" t="e">
        <f aca="false">IF(ISNA(AN18),NA(),AN18+ROW()/10000000)</f>
        <v>#N/A</v>
      </c>
      <c r="AR18" s="290" t="str">
        <f aca="false">IF(B18="","",IFERROR(INDEX(OCC_TABLE_DESC,MATCH(B18,OCC_TABLE_CODE,0)),"Unrecognized code"))</f>
        <v>Industrial Flex Mall Building</v>
      </c>
    </row>
    <row r="19" customFormat="false" ht="18" hidden="false" customHeight="true" outlineLevel="0" collapsed="false">
      <c r="A19" s="518" t="s">
        <v>10738</v>
      </c>
      <c r="B19" s="508" t="n">
        <v>210</v>
      </c>
      <c r="C19" s="519" t="s">
        <v>10739</v>
      </c>
      <c r="D19" s="507" t="s">
        <v>10740</v>
      </c>
      <c r="E19" s="518" t="s">
        <v>4407</v>
      </c>
      <c r="F19" s="518" t="s">
        <v>10702</v>
      </c>
      <c r="G19" s="518" t="s">
        <v>10741</v>
      </c>
      <c r="H19" s="507" t="s">
        <v>10712</v>
      </c>
      <c r="I19" s="520"/>
      <c r="J19" s="520" t="n">
        <v>37078</v>
      </c>
      <c r="K19" s="520" t="n">
        <v>2023</v>
      </c>
      <c r="L19" s="518"/>
      <c r="M19" s="518"/>
      <c r="N19" s="528"/>
      <c r="O19" s="521" t="n">
        <v>8654</v>
      </c>
      <c r="P19" s="521" t="n">
        <v>18000</v>
      </c>
      <c r="Q19" s="518"/>
      <c r="R19" s="518"/>
      <c r="S19" s="518"/>
      <c r="T19" s="518"/>
      <c r="U19" s="518"/>
      <c r="V19" s="518"/>
      <c r="W19" s="518"/>
      <c r="X19" s="518"/>
      <c r="Y19" s="526"/>
      <c r="Z19" s="518"/>
      <c r="AA19" s="518"/>
      <c r="AB19" s="518"/>
      <c r="AC19" s="522" t="n">
        <v>116495</v>
      </c>
      <c r="AD19" s="518"/>
      <c r="AE19" s="518"/>
      <c r="AF19" s="522" t="n">
        <v>111903</v>
      </c>
      <c r="AG19" s="518"/>
      <c r="AH19" s="523" t="n">
        <v>255052</v>
      </c>
      <c r="AI19" s="523" t="n">
        <v>131777</v>
      </c>
      <c r="AJ19" s="523" t="n">
        <v>386829</v>
      </c>
      <c r="AK19" s="527"/>
      <c r="AL19" s="518"/>
      <c r="AM19" s="507" t="s">
        <v>11245</v>
      </c>
      <c r="AN19" s="1" t="e">
        <f aca="false">IF(AND($B19=Subj_OccCode,Subj_BldgSF&gt;0,ABS($J19-Subj_BldgSF)&lt;=Subj_BldgSF*Subj_SizeTol),ABS($J19-Subj_BldgSF),NA())</f>
        <v>#N/A</v>
      </c>
      <c r="AO19" s="1" t="e">
        <f aca="false">IF(ISNA(AN19),NA(),AN19+ROW()/10000000)</f>
        <v>#N/A</v>
      </c>
      <c r="AR19" s="290" t="str">
        <f aca="false">IF(B19="","",IFERROR(INDEX(OCC_TABLE_DESC,MATCH(B19,OCC_TABLE_CODE,0)),"Unrecognized code"))</f>
        <v>Industrial Flex Mall Building</v>
      </c>
    </row>
    <row r="20" customFormat="false" ht="18" hidden="false" customHeight="true" outlineLevel="0" collapsed="false">
      <c r="A20" s="518" t="s">
        <v>10738</v>
      </c>
      <c r="B20" s="508" t="n">
        <v>210</v>
      </c>
      <c r="C20" s="519" t="s">
        <v>10739</v>
      </c>
      <c r="D20" s="507" t="s">
        <v>10740</v>
      </c>
      <c r="E20" s="518" t="s">
        <v>4407</v>
      </c>
      <c r="F20" s="518" t="s">
        <v>10702</v>
      </c>
      <c r="G20" s="518" t="s">
        <v>10741</v>
      </c>
      <c r="H20" s="507" t="s">
        <v>10712</v>
      </c>
      <c r="I20" s="520"/>
      <c r="J20" s="520" t="n">
        <v>37078</v>
      </c>
      <c r="K20" s="520" t="n">
        <v>2024</v>
      </c>
      <c r="L20" s="518"/>
      <c r="M20" s="518"/>
      <c r="N20" s="528"/>
      <c r="O20" s="521" t="n">
        <v>8654</v>
      </c>
      <c r="P20" s="521" t="n">
        <v>21600</v>
      </c>
      <c r="Q20" s="518"/>
      <c r="R20" s="518"/>
      <c r="S20" s="518"/>
      <c r="T20" s="518"/>
      <c r="U20" s="518"/>
      <c r="V20" s="518"/>
      <c r="W20" s="518"/>
      <c r="X20" s="518"/>
      <c r="Y20" s="526"/>
      <c r="Z20" s="518"/>
      <c r="AA20" s="518"/>
      <c r="AB20" s="518"/>
      <c r="AC20" s="522" t="n">
        <v>139794</v>
      </c>
      <c r="AD20" s="518"/>
      <c r="AE20" s="518"/>
      <c r="AF20" s="522" t="n">
        <v>134284</v>
      </c>
      <c r="AG20" s="518"/>
      <c r="AH20" s="523" t="n">
        <v>304332</v>
      </c>
      <c r="AI20" s="523" t="n">
        <v>131777</v>
      </c>
      <c r="AJ20" s="523" t="n">
        <v>436109</v>
      </c>
      <c r="AK20" s="527"/>
      <c r="AL20" s="518"/>
      <c r="AM20" s="507" t="s">
        <v>11246</v>
      </c>
      <c r="AN20" s="1" t="e">
        <f aca="false">IF(AND($B20=Subj_OccCode,Subj_BldgSF&gt;0,ABS($J20-Subj_BldgSF)&lt;=Subj_BldgSF*Subj_SizeTol),ABS($J20-Subj_BldgSF),NA())</f>
        <v>#N/A</v>
      </c>
      <c r="AO20" s="1" t="e">
        <f aca="false">IF(ISNA(AN20),NA(),AN20+ROW()/10000000)</f>
        <v>#N/A</v>
      </c>
      <c r="AR20" s="290" t="str">
        <f aca="false">IF(B20="","",IFERROR(INDEX(OCC_TABLE_DESC,MATCH(B20,OCC_TABLE_CODE,0)),"Unrecognized code"))</f>
        <v>Industrial Flex Mall Building</v>
      </c>
    </row>
    <row r="21" customFormat="false" ht="18" hidden="false" customHeight="true" outlineLevel="0" collapsed="false">
      <c r="A21" s="518" t="s">
        <v>10744</v>
      </c>
      <c r="B21" s="508" t="n">
        <v>341</v>
      </c>
      <c r="C21" s="519" t="s">
        <v>10745</v>
      </c>
      <c r="D21" s="507" t="s">
        <v>10746</v>
      </c>
      <c r="E21" s="518" t="s">
        <v>9525</v>
      </c>
      <c r="F21" s="518" t="s">
        <v>10702</v>
      </c>
      <c r="G21" s="518" t="s">
        <v>9275</v>
      </c>
      <c r="H21" s="507" t="s">
        <v>10712</v>
      </c>
      <c r="I21" s="520"/>
      <c r="J21" s="520" t="n">
        <v>19430</v>
      </c>
      <c r="K21" s="520" t="n">
        <v>2023</v>
      </c>
      <c r="L21" s="518"/>
      <c r="M21" s="518"/>
      <c r="N21" s="525" t="n">
        <v>393809</v>
      </c>
      <c r="O21" s="521" t="n">
        <v>9485</v>
      </c>
      <c r="P21" s="521" t="n">
        <v>10200</v>
      </c>
      <c r="Q21" s="518"/>
      <c r="R21" s="518"/>
      <c r="S21" s="518"/>
      <c r="T21" s="518"/>
      <c r="U21" s="521" t="n">
        <v>21615</v>
      </c>
      <c r="V21" s="518"/>
      <c r="W21" s="518"/>
      <c r="X21" s="521" t="n">
        <v>26521</v>
      </c>
      <c r="Y21" s="522" t="n">
        <v>26521</v>
      </c>
      <c r="Z21" s="521" t="n">
        <v>2032</v>
      </c>
      <c r="AA21" s="521" t="n">
        <v>11685</v>
      </c>
      <c r="AB21" s="521" t="n">
        <v>6338</v>
      </c>
      <c r="AC21" s="522" t="n">
        <v>20055</v>
      </c>
      <c r="AD21" s="521" t="n">
        <v>7660</v>
      </c>
      <c r="AE21" s="521" t="n">
        <v>37676</v>
      </c>
      <c r="AF21" s="522" t="n">
        <v>45336</v>
      </c>
      <c r="AG21" s="521" t="n">
        <v>18144</v>
      </c>
      <c r="AH21" s="523" t="n">
        <v>151355</v>
      </c>
      <c r="AI21" s="523" t="n">
        <v>53397</v>
      </c>
      <c r="AJ21" s="523" t="n">
        <v>204752</v>
      </c>
      <c r="AK21" s="523" t="n">
        <v>189057</v>
      </c>
      <c r="AL21" s="518"/>
      <c r="AM21" s="507" t="s">
        <v>11247</v>
      </c>
      <c r="AN21" s="1" t="e">
        <f aca="false">IF(AND($B21=Subj_OccCode,Subj_BldgSF&gt;0,ABS($J21-Subj_BldgSF)&lt;=Subj_BldgSF*Subj_SizeTol),ABS($J21-Subj_BldgSF),NA())</f>
        <v>#N/A</v>
      </c>
      <c r="AO21" s="1" t="e">
        <f aca="false">IF(ISNA(AN21),NA(),AN21+ROW()/10000000)</f>
        <v>#N/A</v>
      </c>
      <c r="AR21" s="290" t="str">
        <f aca="false">IF(B21="","",IFERROR(INDEX(OCC_TABLE_DESC,MATCH(B21,OCC_TABLE_CODE,0)),"Unrecognized code"))</f>
        <v>Medical Offices</v>
      </c>
    </row>
    <row r="22" customFormat="false" ht="18" hidden="false" customHeight="true" outlineLevel="0" collapsed="false">
      <c r="A22" s="518" t="s">
        <v>10744</v>
      </c>
      <c r="B22" s="508" t="n">
        <v>341</v>
      </c>
      <c r="C22" s="519" t="s">
        <v>10745</v>
      </c>
      <c r="D22" s="507" t="s">
        <v>10746</v>
      </c>
      <c r="E22" s="518" t="s">
        <v>9525</v>
      </c>
      <c r="F22" s="518" t="s">
        <v>10702</v>
      </c>
      <c r="G22" s="518" t="s">
        <v>9275</v>
      </c>
      <c r="H22" s="507" t="s">
        <v>10712</v>
      </c>
      <c r="I22" s="520"/>
      <c r="J22" s="520" t="n">
        <v>19430</v>
      </c>
      <c r="K22" s="520" t="n">
        <v>2024</v>
      </c>
      <c r="L22" s="518"/>
      <c r="M22" s="518"/>
      <c r="N22" s="525" t="n">
        <v>390497</v>
      </c>
      <c r="O22" s="521" t="n">
        <v>13960</v>
      </c>
      <c r="P22" s="521" t="n">
        <v>38622</v>
      </c>
      <c r="Q22" s="518"/>
      <c r="R22" s="518"/>
      <c r="S22" s="518"/>
      <c r="T22" s="518"/>
      <c r="U22" s="521" t="n">
        <v>13067</v>
      </c>
      <c r="V22" s="518"/>
      <c r="W22" s="518"/>
      <c r="X22" s="521" t="n">
        <v>25835</v>
      </c>
      <c r="Y22" s="522" t="n">
        <v>25835</v>
      </c>
      <c r="Z22" s="521" t="n">
        <v>1958</v>
      </c>
      <c r="AA22" s="521" t="n">
        <v>15696</v>
      </c>
      <c r="AB22" s="521" t="n">
        <v>5885</v>
      </c>
      <c r="AC22" s="522" t="n">
        <v>23539</v>
      </c>
      <c r="AD22" s="521" t="n">
        <v>6421</v>
      </c>
      <c r="AE22" s="521" t="n">
        <v>33074</v>
      </c>
      <c r="AF22" s="522" t="n">
        <v>39495</v>
      </c>
      <c r="AG22" s="521" t="n">
        <v>16022</v>
      </c>
      <c r="AH22" s="523" t="n">
        <v>170540</v>
      </c>
      <c r="AI22" s="523" t="n">
        <v>63200</v>
      </c>
      <c r="AJ22" s="523" t="n">
        <v>233740</v>
      </c>
      <c r="AK22" s="523" t="n">
        <v>156757</v>
      </c>
      <c r="AL22" s="518"/>
      <c r="AM22" s="507" t="s">
        <v>11248</v>
      </c>
      <c r="AN22" s="1" t="e">
        <f aca="false">IF(AND($B22=Subj_OccCode,Subj_BldgSF&gt;0,ABS($J22-Subj_BldgSF)&lt;=Subj_BldgSF*Subj_SizeTol),ABS($J22-Subj_BldgSF),NA())</f>
        <v>#N/A</v>
      </c>
      <c r="AO22" s="1" t="e">
        <f aca="false">IF(ISNA(AN22),NA(),AN22+ROW()/10000000)</f>
        <v>#N/A</v>
      </c>
      <c r="AR22" s="290" t="str">
        <f aca="false">IF(B22="","",IFERROR(INDEX(OCC_TABLE_DESC,MATCH(B22,OCC_TABLE_CODE,0)),"Unrecognized code"))</f>
        <v>Medical Offices</v>
      </c>
    </row>
    <row r="23" customFormat="false" ht="18" hidden="false" customHeight="true" outlineLevel="0" collapsed="false">
      <c r="A23" s="518" t="s">
        <v>10750</v>
      </c>
      <c r="B23" s="508" t="n">
        <v>210</v>
      </c>
      <c r="C23" s="519" t="s">
        <v>10751</v>
      </c>
      <c r="D23" s="507" t="s">
        <v>10752</v>
      </c>
      <c r="E23" s="518" t="s">
        <v>9525</v>
      </c>
      <c r="F23" s="518" t="s">
        <v>10702</v>
      </c>
      <c r="G23" s="518" t="s">
        <v>2692</v>
      </c>
      <c r="H23" s="507" t="s">
        <v>10753</v>
      </c>
      <c r="I23" s="520"/>
      <c r="J23" s="520" t="n">
        <v>330935</v>
      </c>
      <c r="K23" s="520" t="n">
        <v>2024</v>
      </c>
      <c r="L23" s="518"/>
      <c r="M23" s="518"/>
      <c r="N23" s="525" t="n">
        <v>2750538</v>
      </c>
      <c r="O23" s="518"/>
      <c r="P23" s="518"/>
      <c r="Q23" s="518"/>
      <c r="R23" s="518"/>
      <c r="S23" s="518"/>
      <c r="T23" s="518"/>
      <c r="U23" s="518"/>
      <c r="V23" s="518"/>
      <c r="W23" s="518"/>
      <c r="X23" s="518"/>
      <c r="Y23" s="526"/>
      <c r="Z23" s="518"/>
      <c r="AA23" s="518"/>
      <c r="AB23" s="518"/>
      <c r="AC23" s="526"/>
      <c r="AD23" s="518"/>
      <c r="AE23" s="518"/>
      <c r="AF23" s="526"/>
      <c r="AG23" s="518"/>
      <c r="AH23" s="527"/>
      <c r="AI23" s="527"/>
      <c r="AJ23" s="523" t="n">
        <v>1338440</v>
      </c>
      <c r="AK23" s="523" t="n">
        <v>1412098</v>
      </c>
      <c r="AL23" s="518"/>
      <c r="AM23" s="507" t="s">
        <v>11249</v>
      </c>
      <c r="AN23" s="1" t="e">
        <f aca="false">IF(AND($B23=Subj_OccCode,Subj_BldgSF&gt;0,ABS($J23-Subj_BldgSF)&lt;=Subj_BldgSF*Subj_SizeTol),ABS($J23-Subj_BldgSF),NA())</f>
        <v>#N/A</v>
      </c>
      <c r="AO23" s="1" t="e">
        <f aca="false">IF(ISNA(AN23),NA(),AN23+ROW()/10000000)</f>
        <v>#N/A</v>
      </c>
      <c r="AR23" s="290" t="str">
        <f aca="false">IF(B23="","",IFERROR(INDEX(OCC_TABLE_DESC,MATCH(B23,OCC_TABLE_CODE,0)),"Unrecognized code"))</f>
        <v>Industrial Flex Mall Building</v>
      </c>
    </row>
    <row r="24" customFormat="false" ht="18" hidden="false" customHeight="true" outlineLevel="0" collapsed="false">
      <c r="A24" s="518" t="s">
        <v>10756</v>
      </c>
      <c r="B24" s="508" t="n">
        <v>407</v>
      </c>
      <c r="C24" s="519" t="s">
        <v>10757</v>
      </c>
      <c r="D24" s="507" t="s">
        <v>10758</v>
      </c>
      <c r="E24" s="518" t="s">
        <v>9525</v>
      </c>
      <c r="F24" s="518" t="s">
        <v>10702</v>
      </c>
      <c r="G24" s="518" t="s">
        <v>2692</v>
      </c>
      <c r="H24" s="507" t="s">
        <v>10759</v>
      </c>
      <c r="I24" s="520"/>
      <c r="J24" s="520"/>
      <c r="K24" s="520" t="n">
        <v>2023</v>
      </c>
      <c r="L24" s="518"/>
      <c r="M24" s="518"/>
      <c r="N24" s="525" t="n">
        <v>332759</v>
      </c>
      <c r="O24" s="521" t="n">
        <v>22784</v>
      </c>
      <c r="P24" s="521" t="n">
        <v>4000</v>
      </c>
      <c r="Q24" s="518"/>
      <c r="R24" s="518"/>
      <c r="S24" s="518"/>
      <c r="T24" s="518"/>
      <c r="U24" s="518"/>
      <c r="V24" s="518"/>
      <c r="W24" s="518"/>
      <c r="X24" s="521" t="n">
        <v>12804</v>
      </c>
      <c r="Y24" s="522" t="n">
        <v>12804</v>
      </c>
      <c r="Z24" s="518"/>
      <c r="AA24" s="521" t="n">
        <v>6910</v>
      </c>
      <c r="AB24" s="521" t="n">
        <v>1800</v>
      </c>
      <c r="AC24" s="522" t="n">
        <v>8710</v>
      </c>
      <c r="AD24" s="521" t="n">
        <v>2209</v>
      </c>
      <c r="AE24" s="521" t="n">
        <v>1956</v>
      </c>
      <c r="AF24" s="522" t="n">
        <v>4165</v>
      </c>
      <c r="AG24" s="521" t="n">
        <v>8397</v>
      </c>
      <c r="AH24" s="523" t="n">
        <v>127005</v>
      </c>
      <c r="AI24" s="523" t="n">
        <v>60552</v>
      </c>
      <c r="AJ24" s="523" t="n">
        <v>187557</v>
      </c>
      <c r="AK24" s="523" t="n">
        <v>265550</v>
      </c>
      <c r="AL24" s="518"/>
      <c r="AM24" s="507" t="s">
        <v>11250</v>
      </c>
      <c r="AN24" s="1" t="e">
        <f aca="false">IF(AND($B24=Subj_OccCode,Subj_BldgSF&gt;0,ABS($J24-Subj_BldgSF)&lt;=Subj_BldgSF*Subj_SizeTol),ABS($J24-Subj_BldgSF),NA())</f>
        <v>#N/A</v>
      </c>
      <c r="AO24" s="1" t="e">
        <f aca="false">IF(ISNA(AN24),NA(),AN24+ROW()/10000000)</f>
        <v>#N/A</v>
      </c>
      <c r="AR24" s="290" t="str">
        <f aca="false">IF(B24="","",IFERROR(INDEX(OCC_TABLE_DESC,MATCH(B24,OCC_TABLE_CODE,0)),"Unrecognized code"))</f>
        <v>Distribution Warehouse</v>
      </c>
    </row>
    <row r="25" customFormat="false" ht="18" hidden="false" customHeight="true" outlineLevel="0" collapsed="false">
      <c r="A25" s="518" t="s">
        <v>10756</v>
      </c>
      <c r="B25" s="508" t="n">
        <v>407</v>
      </c>
      <c r="C25" s="519" t="s">
        <v>10757</v>
      </c>
      <c r="D25" s="507" t="s">
        <v>10758</v>
      </c>
      <c r="E25" s="518" t="s">
        <v>9525</v>
      </c>
      <c r="F25" s="518" t="s">
        <v>10702</v>
      </c>
      <c r="G25" s="518" t="s">
        <v>2692</v>
      </c>
      <c r="H25" s="507" t="s">
        <v>10759</v>
      </c>
      <c r="I25" s="520"/>
      <c r="J25" s="520"/>
      <c r="K25" s="520" t="n">
        <v>2024</v>
      </c>
      <c r="L25" s="518"/>
      <c r="M25" s="518"/>
      <c r="N25" s="525" t="n">
        <v>359583</v>
      </c>
      <c r="O25" s="521" t="n">
        <v>27489</v>
      </c>
      <c r="P25" s="521" t="n">
        <v>6000</v>
      </c>
      <c r="Q25" s="518"/>
      <c r="R25" s="518"/>
      <c r="S25" s="518"/>
      <c r="T25" s="518"/>
      <c r="U25" s="518"/>
      <c r="V25" s="518"/>
      <c r="W25" s="518"/>
      <c r="X25" s="521" t="n">
        <v>9601</v>
      </c>
      <c r="Y25" s="522" t="n">
        <v>9601</v>
      </c>
      <c r="Z25" s="518"/>
      <c r="AA25" s="521" t="n">
        <v>3045</v>
      </c>
      <c r="AB25" s="521" t="n">
        <v>1960</v>
      </c>
      <c r="AC25" s="522" t="n">
        <v>5005</v>
      </c>
      <c r="AD25" s="521" t="n">
        <v>3555</v>
      </c>
      <c r="AE25" s="521" t="n">
        <v>1567</v>
      </c>
      <c r="AF25" s="522" t="n">
        <v>5122</v>
      </c>
      <c r="AG25" s="521" t="n">
        <v>10035</v>
      </c>
      <c r="AH25" s="523" t="n">
        <v>69350</v>
      </c>
      <c r="AI25" s="523" t="n">
        <v>101114</v>
      </c>
      <c r="AJ25" s="523" t="n">
        <v>170464</v>
      </c>
      <c r="AK25" s="523" t="n">
        <v>290993</v>
      </c>
      <c r="AL25" s="518"/>
      <c r="AM25" s="507" t="s">
        <v>11251</v>
      </c>
      <c r="AN25" s="1" t="e">
        <f aca="false">IF(AND($B25=Subj_OccCode,Subj_BldgSF&gt;0,ABS($J25-Subj_BldgSF)&lt;=Subj_BldgSF*Subj_SizeTol),ABS($J25-Subj_BldgSF),NA())</f>
        <v>#N/A</v>
      </c>
      <c r="AO25" s="1" t="e">
        <f aca="false">IF(ISNA(AN25),NA(),AN25+ROW()/10000000)</f>
        <v>#N/A</v>
      </c>
      <c r="AR25" s="290" t="str">
        <f aca="false">IF(B25="","",IFERROR(INDEX(OCC_TABLE_DESC,MATCH(B25,OCC_TABLE_CODE,0)),"Unrecognized code"))</f>
        <v>Distribution Warehouse</v>
      </c>
    </row>
    <row r="26" customFormat="false" ht="18" hidden="false" customHeight="true" outlineLevel="0" collapsed="false">
      <c r="A26" s="518" t="s">
        <v>10763</v>
      </c>
      <c r="B26" s="508" t="n">
        <v>210</v>
      </c>
      <c r="C26" s="519" t="s">
        <v>10764</v>
      </c>
      <c r="D26" s="507" t="s">
        <v>10765</v>
      </c>
      <c r="E26" s="518" t="s">
        <v>1557</v>
      </c>
      <c r="F26" s="518" t="s">
        <v>10702</v>
      </c>
      <c r="G26" s="518" t="s">
        <v>10766</v>
      </c>
      <c r="H26" s="507" t="s">
        <v>10767</v>
      </c>
      <c r="I26" s="520"/>
      <c r="J26" s="520" t="n">
        <v>105000</v>
      </c>
      <c r="K26" s="520" t="n">
        <v>2023</v>
      </c>
      <c r="L26" s="521" t="n">
        <v>737984</v>
      </c>
      <c r="M26" s="521" t="n">
        <v>508740</v>
      </c>
      <c r="N26" s="525" t="n">
        <v>1246724</v>
      </c>
      <c r="O26" s="521" t="n">
        <v>48903</v>
      </c>
      <c r="P26" s="521" t="n">
        <v>104311</v>
      </c>
      <c r="Q26" s="518"/>
      <c r="R26" s="518"/>
      <c r="S26" s="518"/>
      <c r="T26" s="518"/>
      <c r="U26" s="518"/>
      <c r="V26" s="518"/>
      <c r="W26" s="518"/>
      <c r="X26" s="521" t="n">
        <v>66445</v>
      </c>
      <c r="Y26" s="522" t="n">
        <v>66445</v>
      </c>
      <c r="Z26" s="521" t="n">
        <v>49021</v>
      </c>
      <c r="AA26" s="521" t="n">
        <v>22802</v>
      </c>
      <c r="AB26" s="521" t="n">
        <v>58641</v>
      </c>
      <c r="AC26" s="522" t="n">
        <v>130464</v>
      </c>
      <c r="AD26" s="521" t="n">
        <v>53517</v>
      </c>
      <c r="AE26" s="518"/>
      <c r="AF26" s="522" t="n">
        <v>75845</v>
      </c>
      <c r="AG26" s="518"/>
      <c r="AH26" s="523" t="n">
        <v>484485</v>
      </c>
      <c r="AI26" s="523" t="n">
        <v>229515</v>
      </c>
      <c r="AJ26" s="523" t="n">
        <v>714000</v>
      </c>
      <c r="AK26" s="523" t="n">
        <v>533000</v>
      </c>
      <c r="AL26" s="518"/>
      <c r="AM26" s="507" t="s">
        <v>11252</v>
      </c>
      <c r="AN26" s="1" t="e">
        <f aca="false">IF(AND($B26=Subj_OccCode,Subj_BldgSF&gt;0,ABS($J26-Subj_BldgSF)&lt;=Subj_BldgSF*Subj_SizeTol),ABS($J26-Subj_BldgSF),NA())</f>
        <v>#N/A</v>
      </c>
      <c r="AO26" s="1" t="e">
        <f aca="false">IF(ISNA(AN26),NA(),AN26+ROW()/10000000)</f>
        <v>#N/A</v>
      </c>
      <c r="AR26" s="290" t="str">
        <f aca="false">IF(B26="","",IFERROR(INDEX(OCC_TABLE_DESC,MATCH(B26,OCC_TABLE_CODE,0)),"Unrecognized code"))</f>
        <v>Industrial Flex Mall Building</v>
      </c>
    </row>
    <row r="27" customFormat="false" ht="18" hidden="false" customHeight="true" outlineLevel="0" collapsed="false">
      <c r="A27" s="518" t="s">
        <v>10763</v>
      </c>
      <c r="B27" s="508" t="n">
        <v>210</v>
      </c>
      <c r="C27" s="519" t="s">
        <v>10764</v>
      </c>
      <c r="D27" s="507" t="s">
        <v>10765</v>
      </c>
      <c r="E27" s="518" t="s">
        <v>1557</v>
      </c>
      <c r="F27" s="518" t="s">
        <v>10702</v>
      </c>
      <c r="G27" s="518" t="s">
        <v>10766</v>
      </c>
      <c r="H27" s="507" t="s">
        <v>10767</v>
      </c>
      <c r="I27" s="520"/>
      <c r="J27" s="520" t="n">
        <v>105000</v>
      </c>
      <c r="K27" s="520" t="n">
        <v>2024</v>
      </c>
      <c r="L27" s="521" t="n">
        <v>902782</v>
      </c>
      <c r="M27" s="521" t="n">
        <v>784277</v>
      </c>
      <c r="N27" s="525" t="n">
        <v>1687059</v>
      </c>
      <c r="O27" s="521" t="n">
        <v>50508</v>
      </c>
      <c r="P27" s="521" t="n">
        <v>123399</v>
      </c>
      <c r="Q27" s="518"/>
      <c r="R27" s="518"/>
      <c r="S27" s="518"/>
      <c r="T27" s="518"/>
      <c r="U27" s="518"/>
      <c r="V27" s="518"/>
      <c r="W27" s="518"/>
      <c r="X27" s="521" t="n">
        <v>75128</v>
      </c>
      <c r="Y27" s="522" t="n">
        <v>75128</v>
      </c>
      <c r="Z27" s="521" t="n">
        <v>58998</v>
      </c>
      <c r="AA27" s="521" t="n">
        <v>18144</v>
      </c>
      <c r="AB27" s="521" t="n">
        <v>52328</v>
      </c>
      <c r="AC27" s="522" t="n">
        <v>129470</v>
      </c>
      <c r="AD27" s="521" t="n">
        <v>87196</v>
      </c>
      <c r="AE27" s="518"/>
      <c r="AF27" s="522" t="n">
        <v>100191</v>
      </c>
      <c r="AG27" s="518"/>
      <c r="AH27" s="523" t="n">
        <v>502686</v>
      </c>
      <c r="AI27" s="523" t="n">
        <v>544314</v>
      </c>
      <c r="AJ27" s="523" t="n">
        <v>1047000</v>
      </c>
      <c r="AK27" s="523" t="n">
        <v>640000</v>
      </c>
      <c r="AL27" s="518"/>
      <c r="AM27" s="507" t="s">
        <v>11253</v>
      </c>
      <c r="AN27" s="1" t="e">
        <f aca="false">IF(AND($B27=Subj_OccCode,Subj_BldgSF&gt;0,ABS($J27-Subj_BldgSF)&lt;=Subj_BldgSF*Subj_SizeTol),ABS($J27-Subj_BldgSF),NA())</f>
        <v>#N/A</v>
      </c>
      <c r="AO27" s="1" t="e">
        <f aca="false">IF(ISNA(AN27),NA(),AN27+ROW()/10000000)</f>
        <v>#N/A</v>
      </c>
      <c r="AR27" s="290" t="str">
        <f aca="false">IF(B27="","",IFERROR(INDEX(OCC_TABLE_DESC,MATCH(B27,OCC_TABLE_CODE,0)),"Unrecognized code"))</f>
        <v>Industrial Flex Mall Building</v>
      </c>
    </row>
    <row r="28" customFormat="false" ht="18" hidden="false" customHeight="true" outlineLevel="0" collapsed="false">
      <c r="A28" s="518" t="s">
        <v>10770</v>
      </c>
      <c r="B28" s="508" t="n">
        <v>210</v>
      </c>
      <c r="C28" s="519" t="s">
        <v>2387</v>
      </c>
      <c r="D28" s="507" t="s">
        <v>10771</v>
      </c>
      <c r="E28" s="518" t="s">
        <v>9525</v>
      </c>
      <c r="F28" s="518" t="s">
        <v>10702</v>
      </c>
      <c r="G28" s="518" t="s">
        <v>10772</v>
      </c>
      <c r="H28" s="507" t="s">
        <v>10712</v>
      </c>
      <c r="I28" s="520"/>
      <c r="J28" s="520"/>
      <c r="K28" s="520" t="n">
        <v>2022</v>
      </c>
      <c r="L28" s="518"/>
      <c r="M28" s="518"/>
      <c r="N28" s="525" t="n">
        <v>502006</v>
      </c>
      <c r="O28" s="521" t="n">
        <v>16872</v>
      </c>
      <c r="P28" s="521" t="n">
        <v>54025</v>
      </c>
      <c r="Q28" s="518"/>
      <c r="R28" s="518"/>
      <c r="S28" s="518"/>
      <c r="T28" s="518"/>
      <c r="U28" s="518"/>
      <c r="V28" s="518"/>
      <c r="W28" s="518"/>
      <c r="X28" s="521" t="n">
        <v>71762</v>
      </c>
      <c r="Y28" s="522" t="n">
        <v>71762</v>
      </c>
      <c r="Z28" s="518"/>
      <c r="AA28" s="521" t="n">
        <v>6528</v>
      </c>
      <c r="AB28" s="518"/>
      <c r="AC28" s="522" t="n">
        <v>6528</v>
      </c>
      <c r="AD28" s="521" t="n">
        <v>4858</v>
      </c>
      <c r="AE28" s="521" t="n">
        <v>525</v>
      </c>
      <c r="AF28" s="522" t="n">
        <v>5383</v>
      </c>
      <c r="AG28" s="518"/>
      <c r="AH28" s="523" t="n">
        <v>209625</v>
      </c>
      <c r="AI28" s="523" t="n">
        <v>64792</v>
      </c>
      <c r="AJ28" s="523" t="n">
        <v>274417</v>
      </c>
      <c r="AK28" s="523" t="n">
        <v>227649</v>
      </c>
      <c r="AL28" s="518"/>
      <c r="AM28" s="507" t="s">
        <v>11254</v>
      </c>
      <c r="AN28" s="1" t="e">
        <f aca="false">IF(AND($B28=Subj_OccCode,Subj_BldgSF&gt;0,ABS($J28-Subj_BldgSF)&lt;=Subj_BldgSF*Subj_SizeTol),ABS($J28-Subj_BldgSF),NA())</f>
        <v>#N/A</v>
      </c>
      <c r="AO28" s="1" t="e">
        <f aca="false">IF(ISNA(AN28),NA(),AN28+ROW()/10000000)</f>
        <v>#N/A</v>
      </c>
      <c r="AR28" s="290" t="str">
        <f aca="false">IF(B28="","",IFERROR(INDEX(OCC_TABLE_DESC,MATCH(B28,OCC_TABLE_CODE,0)),"Unrecognized code"))</f>
        <v>Industrial Flex Mall Building</v>
      </c>
    </row>
    <row r="29" customFormat="false" ht="18" hidden="false" customHeight="true" outlineLevel="0" collapsed="false">
      <c r="A29" s="518" t="s">
        <v>10770</v>
      </c>
      <c r="B29" s="508" t="n">
        <v>210</v>
      </c>
      <c r="C29" s="519" t="s">
        <v>2387</v>
      </c>
      <c r="D29" s="507" t="s">
        <v>10771</v>
      </c>
      <c r="E29" s="518" t="s">
        <v>9525</v>
      </c>
      <c r="F29" s="518" t="s">
        <v>10702</v>
      </c>
      <c r="G29" s="518" t="s">
        <v>10772</v>
      </c>
      <c r="H29" s="507" t="s">
        <v>10712</v>
      </c>
      <c r="I29" s="520"/>
      <c r="J29" s="520"/>
      <c r="K29" s="520" t="n">
        <v>2023</v>
      </c>
      <c r="L29" s="518"/>
      <c r="M29" s="518"/>
      <c r="N29" s="525" t="n">
        <v>532468</v>
      </c>
      <c r="O29" s="521" t="n">
        <v>15442</v>
      </c>
      <c r="P29" s="518"/>
      <c r="Q29" s="518"/>
      <c r="R29" s="518"/>
      <c r="S29" s="518"/>
      <c r="T29" s="518"/>
      <c r="U29" s="518"/>
      <c r="V29" s="518"/>
      <c r="W29" s="518"/>
      <c r="X29" s="521" t="n">
        <v>83293</v>
      </c>
      <c r="Y29" s="522" t="n">
        <v>83293</v>
      </c>
      <c r="Z29" s="518"/>
      <c r="AA29" s="521" t="n">
        <v>6029</v>
      </c>
      <c r="AB29" s="518"/>
      <c r="AC29" s="522" t="n">
        <v>6029</v>
      </c>
      <c r="AD29" s="521" t="n">
        <v>6487</v>
      </c>
      <c r="AE29" s="518"/>
      <c r="AF29" s="522" t="n">
        <v>6487</v>
      </c>
      <c r="AG29" s="518"/>
      <c r="AH29" s="523" t="n">
        <v>141304</v>
      </c>
      <c r="AI29" s="523" t="n">
        <v>63133</v>
      </c>
      <c r="AJ29" s="523" t="n">
        <v>204437</v>
      </c>
      <c r="AK29" s="523" t="n">
        <v>328030</v>
      </c>
      <c r="AL29" s="518"/>
      <c r="AM29" s="507" t="s">
        <v>11255</v>
      </c>
      <c r="AN29" s="1" t="e">
        <f aca="false">IF(AND($B29=Subj_OccCode,Subj_BldgSF&gt;0,ABS($J29-Subj_BldgSF)&lt;=Subj_BldgSF*Subj_SizeTol),ABS($J29-Subj_BldgSF),NA())</f>
        <v>#N/A</v>
      </c>
      <c r="AO29" s="1" t="e">
        <f aca="false">IF(ISNA(AN29),NA(),AN29+ROW()/10000000)</f>
        <v>#N/A</v>
      </c>
      <c r="AR29" s="290" t="str">
        <f aca="false">IF(B29="","",IFERROR(INDEX(OCC_TABLE_DESC,MATCH(B29,OCC_TABLE_CODE,0)),"Unrecognized code"))</f>
        <v>Industrial Flex Mall Building</v>
      </c>
    </row>
    <row r="30" customFormat="false" ht="18" hidden="false" customHeight="true" outlineLevel="0" collapsed="false">
      <c r="A30" s="518" t="s">
        <v>10770</v>
      </c>
      <c r="B30" s="508" t="n">
        <v>210</v>
      </c>
      <c r="C30" s="519" t="s">
        <v>2387</v>
      </c>
      <c r="D30" s="507" t="s">
        <v>10771</v>
      </c>
      <c r="E30" s="518" t="s">
        <v>9525</v>
      </c>
      <c r="F30" s="518" t="s">
        <v>10702</v>
      </c>
      <c r="G30" s="518" t="s">
        <v>10772</v>
      </c>
      <c r="H30" s="507" t="s">
        <v>10712</v>
      </c>
      <c r="I30" s="520"/>
      <c r="J30" s="520"/>
      <c r="K30" s="520" t="n">
        <v>2024</v>
      </c>
      <c r="L30" s="518"/>
      <c r="M30" s="518"/>
      <c r="N30" s="525" t="n">
        <v>517234</v>
      </c>
      <c r="O30" s="521" t="n">
        <v>20795</v>
      </c>
      <c r="P30" s="518"/>
      <c r="Q30" s="518"/>
      <c r="R30" s="518"/>
      <c r="S30" s="518"/>
      <c r="T30" s="518"/>
      <c r="U30" s="518"/>
      <c r="V30" s="518"/>
      <c r="W30" s="518"/>
      <c r="X30" s="521" t="n">
        <v>32385</v>
      </c>
      <c r="Y30" s="522" t="n">
        <v>32385</v>
      </c>
      <c r="Z30" s="518"/>
      <c r="AA30" s="521" t="n">
        <v>4814</v>
      </c>
      <c r="AB30" s="518"/>
      <c r="AC30" s="522" t="n">
        <v>4814</v>
      </c>
      <c r="AD30" s="521" t="n">
        <v>5690</v>
      </c>
      <c r="AE30" s="518"/>
      <c r="AF30" s="522" t="n">
        <v>5690</v>
      </c>
      <c r="AG30" s="518"/>
      <c r="AH30" s="527"/>
      <c r="AI30" s="527"/>
      <c r="AJ30" s="523" t="n">
        <v>331645</v>
      </c>
      <c r="AK30" s="523" t="n">
        <v>185389</v>
      </c>
      <c r="AL30" s="518"/>
      <c r="AM30" s="507" t="s">
        <v>11256</v>
      </c>
      <c r="AN30" s="1" t="e">
        <f aca="false">IF(AND($B30=Subj_OccCode,Subj_BldgSF&gt;0,ABS($J30-Subj_BldgSF)&lt;=Subj_BldgSF*Subj_SizeTol),ABS($J30-Subj_BldgSF),NA())</f>
        <v>#N/A</v>
      </c>
      <c r="AO30" s="1" t="e">
        <f aca="false">IF(ISNA(AN30),NA(),AN30+ROW()/10000000)</f>
        <v>#N/A</v>
      </c>
      <c r="AR30" s="290" t="str">
        <f aca="false">IF(B30="","",IFERROR(INDEX(OCC_TABLE_DESC,MATCH(B30,OCC_TABLE_CODE,0)),"Unrecognized code"))</f>
        <v>Industrial Flex Mall Building</v>
      </c>
    </row>
    <row r="31" customFormat="false" ht="18" hidden="false" customHeight="true" outlineLevel="0" collapsed="false">
      <c r="A31" s="518" t="s">
        <v>10775</v>
      </c>
      <c r="B31" s="508" t="n">
        <v>344</v>
      </c>
      <c r="C31" s="519" t="s">
        <v>10776</v>
      </c>
      <c r="D31" s="507" t="s">
        <v>10777</v>
      </c>
      <c r="E31" s="518" t="s">
        <v>9525</v>
      </c>
      <c r="F31" s="518" t="s">
        <v>10702</v>
      </c>
      <c r="G31" s="518" t="s">
        <v>10719</v>
      </c>
      <c r="H31" s="507" t="s">
        <v>10712</v>
      </c>
      <c r="I31" s="520"/>
      <c r="J31" s="520" t="n">
        <v>20170</v>
      </c>
      <c r="K31" s="520" t="n">
        <v>2023</v>
      </c>
      <c r="L31" s="518"/>
      <c r="M31" s="518"/>
      <c r="N31" s="525" t="n">
        <v>275740</v>
      </c>
      <c r="O31" s="518"/>
      <c r="P31" s="518"/>
      <c r="Q31" s="518"/>
      <c r="R31" s="518"/>
      <c r="S31" s="518"/>
      <c r="T31" s="518"/>
      <c r="U31" s="518"/>
      <c r="V31" s="518"/>
      <c r="W31" s="518"/>
      <c r="X31" s="518"/>
      <c r="Y31" s="526"/>
      <c r="Z31" s="518"/>
      <c r="AA31" s="518"/>
      <c r="AB31" s="518"/>
      <c r="AC31" s="526"/>
      <c r="AD31" s="518"/>
      <c r="AE31" s="518"/>
      <c r="AF31" s="526"/>
      <c r="AG31" s="518"/>
      <c r="AH31" s="523" t="n">
        <v>108096</v>
      </c>
      <c r="AI31" s="523" t="n">
        <v>45179</v>
      </c>
      <c r="AJ31" s="523" t="n">
        <v>153275</v>
      </c>
      <c r="AK31" s="523" t="n">
        <v>167644</v>
      </c>
      <c r="AL31" s="518"/>
      <c r="AM31" s="507" t="s">
        <v>11257</v>
      </c>
      <c r="AN31" s="1" t="e">
        <f aca="false">IF(AND($B31=Subj_OccCode,Subj_BldgSF&gt;0,ABS($J31-Subj_BldgSF)&lt;=Subj_BldgSF*Subj_SizeTol),ABS($J31-Subj_BldgSF),NA())</f>
        <v>#N/A</v>
      </c>
      <c r="AO31" s="1" t="e">
        <f aca="false">IF(ISNA(AN31),NA(),AN31+ROW()/10000000)</f>
        <v>#N/A</v>
      </c>
      <c r="AR31" s="290" t="str">
        <f aca="false">IF(B31="","",IFERROR(INDEX(OCC_TABLE_DESC,MATCH(B31,OCC_TABLE_CODE,0)),"Unrecognized code"))</f>
        <v>Office Building</v>
      </c>
    </row>
    <row r="32" customFormat="false" ht="18" hidden="false" customHeight="true" outlineLevel="0" collapsed="false">
      <c r="A32" s="518" t="s">
        <v>10775</v>
      </c>
      <c r="B32" s="508" t="n">
        <v>344</v>
      </c>
      <c r="C32" s="519" t="s">
        <v>10776</v>
      </c>
      <c r="D32" s="507" t="s">
        <v>10777</v>
      </c>
      <c r="E32" s="518" t="s">
        <v>9525</v>
      </c>
      <c r="F32" s="518" t="s">
        <v>10702</v>
      </c>
      <c r="G32" s="518" t="s">
        <v>10719</v>
      </c>
      <c r="H32" s="507" t="s">
        <v>10712</v>
      </c>
      <c r="I32" s="520"/>
      <c r="J32" s="520" t="n">
        <v>20170</v>
      </c>
      <c r="K32" s="520" t="n">
        <v>2024</v>
      </c>
      <c r="L32" s="518"/>
      <c r="M32" s="518"/>
      <c r="N32" s="525" t="n">
        <v>298556</v>
      </c>
      <c r="O32" s="518"/>
      <c r="P32" s="518"/>
      <c r="Q32" s="518"/>
      <c r="R32" s="518"/>
      <c r="S32" s="518"/>
      <c r="T32" s="518"/>
      <c r="U32" s="518"/>
      <c r="V32" s="518"/>
      <c r="W32" s="518"/>
      <c r="X32" s="518"/>
      <c r="Y32" s="526"/>
      <c r="Z32" s="518"/>
      <c r="AA32" s="518"/>
      <c r="AB32" s="518"/>
      <c r="AC32" s="526"/>
      <c r="AD32" s="518"/>
      <c r="AE32" s="518"/>
      <c r="AF32" s="526"/>
      <c r="AG32" s="518"/>
      <c r="AH32" s="523" t="n">
        <v>127491</v>
      </c>
      <c r="AI32" s="523" t="n">
        <v>43698</v>
      </c>
      <c r="AJ32" s="523" t="n">
        <v>185189</v>
      </c>
      <c r="AK32" s="523" t="n">
        <v>171065</v>
      </c>
      <c r="AL32" s="518"/>
      <c r="AM32" s="507" t="s">
        <v>11258</v>
      </c>
      <c r="AN32" s="1" t="e">
        <f aca="false">IF(AND($B32=Subj_OccCode,Subj_BldgSF&gt;0,ABS($J32-Subj_BldgSF)&lt;=Subj_BldgSF*Subj_SizeTol),ABS($J32-Subj_BldgSF),NA())</f>
        <v>#N/A</v>
      </c>
      <c r="AO32" s="1" t="e">
        <f aca="false">IF(ISNA(AN32),NA(),AN32+ROW()/10000000)</f>
        <v>#N/A</v>
      </c>
      <c r="AR32" s="290" t="str">
        <f aca="false">IF(B32="","",IFERROR(INDEX(OCC_TABLE_DESC,MATCH(B32,OCC_TABLE_CODE,0)),"Unrecognized code"))</f>
        <v>Office Building</v>
      </c>
    </row>
    <row r="33" customFormat="false" ht="18" hidden="false" customHeight="true" outlineLevel="0" collapsed="false">
      <c r="A33" s="518" t="s">
        <v>10780</v>
      </c>
      <c r="B33" s="508" t="n">
        <v>353</v>
      </c>
      <c r="C33" s="519" t="s">
        <v>10781</v>
      </c>
      <c r="D33" s="507" t="s">
        <v>11259</v>
      </c>
      <c r="E33" s="518" t="s">
        <v>9525</v>
      </c>
      <c r="F33" s="518" t="s">
        <v>10702</v>
      </c>
      <c r="G33" s="518" t="s">
        <v>10783</v>
      </c>
      <c r="H33" s="507" t="s">
        <v>10712</v>
      </c>
      <c r="I33" s="520" t="n">
        <v>2023</v>
      </c>
      <c r="J33" s="520"/>
      <c r="K33" s="520" t="n">
        <v>2023</v>
      </c>
      <c r="L33" s="521" t="n">
        <v>270793</v>
      </c>
      <c r="M33" s="521" t="n">
        <v>258323</v>
      </c>
      <c r="N33" s="525" t="n">
        <v>524533</v>
      </c>
      <c r="O33" s="521" t="n">
        <v>16865</v>
      </c>
      <c r="P33" s="521" t="n">
        <v>26496</v>
      </c>
      <c r="Q33" s="518"/>
      <c r="R33" s="518"/>
      <c r="S33" s="518"/>
      <c r="T33" s="518"/>
      <c r="U33" s="518"/>
      <c r="V33" s="518"/>
      <c r="W33" s="518"/>
      <c r="X33" s="521" t="n">
        <v>50972</v>
      </c>
      <c r="Y33" s="522" t="n">
        <v>50972</v>
      </c>
      <c r="Z33" s="518"/>
      <c r="AA33" s="521" t="n">
        <v>7543</v>
      </c>
      <c r="AB33" s="518"/>
      <c r="AC33" s="522" t="n">
        <v>7543</v>
      </c>
      <c r="AD33" s="521" t="n">
        <v>4602</v>
      </c>
      <c r="AE33" s="521" t="n">
        <v>51467</v>
      </c>
      <c r="AF33" s="522" t="n">
        <v>56069</v>
      </c>
      <c r="AG33" s="518"/>
      <c r="AH33" s="523" t="n">
        <v>157946</v>
      </c>
      <c r="AI33" s="523" t="n">
        <v>125577</v>
      </c>
      <c r="AJ33" s="523" t="n">
        <v>283523</v>
      </c>
      <c r="AK33" s="523" t="n">
        <v>241009</v>
      </c>
      <c r="AL33" s="518"/>
      <c r="AM33" s="507" t="s">
        <v>11260</v>
      </c>
      <c r="AN33" s="1" t="e">
        <f aca="false">IF(AND($B33=Subj_OccCode,Subj_BldgSF&gt;0,ABS($J33-Subj_BldgSF)&lt;=Subj_BldgSF*Subj_SizeTol),ABS($J33-Subj_BldgSF),NA())</f>
        <v>#N/A</v>
      </c>
      <c r="AO33" s="1" t="e">
        <f aca="false">IF(ISNA(AN33),NA(),AN33+ROW()/10000000)</f>
        <v>#N/A</v>
      </c>
      <c r="AR33" s="290" t="str">
        <f aca="false">IF(B33="","",IFERROR(INDEX(OCC_TABLE_DESC,MATCH(B33,OCC_TABLE_CODE,0)),"Unrecognized code"))</f>
        <v>Retail Store</v>
      </c>
    </row>
    <row r="34" customFormat="false" ht="18" hidden="false" customHeight="true" outlineLevel="0" collapsed="false">
      <c r="A34" s="518" t="s">
        <v>10780</v>
      </c>
      <c r="B34" s="508" t="n">
        <v>353</v>
      </c>
      <c r="C34" s="519" t="s">
        <v>10781</v>
      </c>
      <c r="D34" s="507" t="s">
        <v>11259</v>
      </c>
      <c r="E34" s="518" t="s">
        <v>9525</v>
      </c>
      <c r="F34" s="518" t="s">
        <v>10702</v>
      </c>
      <c r="G34" s="518" t="s">
        <v>10783</v>
      </c>
      <c r="H34" s="507" t="s">
        <v>10712</v>
      </c>
      <c r="I34" s="520" t="n">
        <v>2023</v>
      </c>
      <c r="J34" s="520"/>
      <c r="K34" s="520" t="n">
        <v>2024</v>
      </c>
      <c r="L34" s="521" t="n">
        <v>260040</v>
      </c>
      <c r="M34" s="521" t="n">
        <v>337015</v>
      </c>
      <c r="N34" s="525" t="n">
        <v>597056</v>
      </c>
      <c r="O34" s="521" t="n">
        <v>12437</v>
      </c>
      <c r="P34" s="521" t="n">
        <v>26717</v>
      </c>
      <c r="Q34" s="518"/>
      <c r="R34" s="518"/>
      <c r="S34" s="518"/>
      <c r="T34" s="518"/>
      <c r="U34" s="518"/>
      <c r="V34" s="518"/>
      <c r="W34" s="518"/>
      <c r="X34" s="521" t="n">
        <v>36931</v>
      </c>
      <c r="Y34" s="522" t="n">
        <v>36931</v>
      </c>
      <c r="Z34" s="518"/>
      <c r="AA34" s="521" t="n">
        <v>27159</v>
      </c>
      <c r="AB34" s="518"/>
      <c r="AC34" s="522" t="n">
        <v>27159</v>
      </c>
      <c r="AD34" s="521" t="n">
        <v>5043</v>
      </c>
      <c r="AE34" s="521" t="n">
        <v>54230</v>
      </c>
      <c r="AF34" s="522" t="n">
        <v>59273</v>
      </c>
      <c r="AG34" s="518"/>
      <c r="AH34" s="523" t="n">
        <v>162518</v>
      </c>
      <c r="AI34" s="523" t="n">
        <v>156074</v>
      </c>
      <c r="AJ34" s="523" t="n">
        <v>318592</v>
      </c>
      <c r="AK34" s="523" t="n">
        <v>278464</v>
      </c>
      <c r="AL34" s="518"/>
      <c r="AM34" s="507" t="s">
        <v>11261</v>
      </c>
      <c r="AN34" s="1" t="e">
        <f aca="false">IF(AND($B34=Subj_OccCode,Subj_BldgSF&gt;0,ABS($J34-Subj_BldgSF)&lt;=Subj_BldgSF*Subj_SizeTol),ABS($J34-Subj_BldgSF),NA())</f>
        <v>#N/A</v>
      </c>
      <c r="AO34" s="1" t="e">
        <f aca="false">IF(ISNA(AN34),NA(),AN34+ROW()/10000000)</f>
        <v>#N/A</v>
      </c>
      <c r="AR34" s="290" t="str">
        <f aca="false">IF(B34="","",IFERROR(INDEX(OCC_TABLE_DESC,MATCH(B34,OCC_TABLE_CODE,0)),"Unrecognized code"))</f>
        <v>Retail Store</v>
      </c>
    </row>
    <row r="35" customFormat="false" ht="18" hidden="false" customHeight="true" outlineLevel="0" collapsed="false">
      <c r="A35" s="518" t="s">
        <v>10786</v>
      </c>
      <c r="B35" s="508" t="n">
        <v>407</v>
      </c>
      <c r="C35" s="519" t="s">
        <v>10787</v>
      </c>
      <c r="D35" s="507" t="s">
        <v>10788</v>
      </c>
      <c r="E35" s="518" t="s">
        <v>4743</v>
      </c>
      <c r="F35" s="518" t="s">
        <v>10702</v>
      </c>
      <c r="G35" s="518" t="s">
        <v>10789</v>
      </c>
      <c r="H35" s="507" t="s">
        <v>10790</v>
      </c>
      <c r="I35" s="520"/>
      <c r="J35" s="520" t="n">
        <v>555840</v>
      </c>
      <c r="K35" s="520" t="n">
        <v>2023</v>
      </c>
      <c r="L35" s="521" t="n">
        <v>3123377</v>
      </c>
      <c r="M35" s="518"/>
      <c r="N35" s="525" t="n">
        <v>3123377</v>
      </c>
      <c r="O35" s="521" t="n">
        <v>86084</v>
      </c>
      <c r="P35" s="521" t="n">
        <v>62468</v>
      </c>
      <c r="Q35" s="518"/>
      <c r="R35" s="518"/>
      <c r="S35" s="518"/>
      <c r="T35" s="518"/>
      <c r="U35" s="518"/>
      <c r="V35" s="518"/>
      <c r="W35" s="518"/>
      <c r="X35" s="518"/>
      <c r="Y35" s="526"/>
      <c r="Z35" s="518"/>
      <c r="AA35" s="518"/>
      <c r="AB35" s="518"/>
      <c r="AC35" s="522" t="n">
        <v>22360</v>
      </c>
      <c r="AD35" s="518"/>
      <c r="AE35" s="518"/>
      <c r="AF35" s="522" t="n">
        <v>1107</v>
      </c>
      <c r="AG35" s="518"/>
      <c r="AH35" s="523" t="n">
        <v>197351</v>
      </c>
      <c r="AI35" s="523" t="n">
        <v>1617282</v>
      </c>
      <c r="AJ35" s="523" t="n">
        <v>1814633</v>
      </c>
      <c r="AK35" s="527"/>
      <c r="AL35" s="518"/>
      <c r="AM35" s="507" t="s">
        <v>11262</v>
      </c>
      <c r="AN35" s="1" t="e">
        <f aca="false">IF(AND($B35=Subj_OccCode,Subj_BldgSF&gt;0,ABS($J35-Subj_BldgSF)&lt;=Subj_BldgSF*Subj_SizeTol),ABS($J35-Subj_BldgSF),NA())</f>
        <v>#N/A</v>
      </c>
      <c r="AO35" s="1" t="e">
        <f aca="false">IF(ISNA(AN35),NA(),AN35+ROW()/10000000)</f>
        <v>#N/A</v>
      </c>
      <c r="AR35" s="290" t="str">
        <f aca="false">IF(B35="","",IFERROR(INDEX(OCC_TABLE_DESC,MATCH(B35,OCC_TABLE_CODE,0)),"Unrecognized code"))</f>
        <v>Distribution Warehouse</v>
      </c>
    </row>
    <row r="36" customFormat="false" ht="18" hidden="false" customHeight="true" outlineLevel="0" collapsed="false">
      <c r="A36" s="518" t="s">
        <v>10786</v>
      </c>
      <c r="B36" s="508" t="n">
        <v>407</v>
      </c>
      <c r="C36" s="519" t="s">
        <v>10787</v>
      </c>
      <c r="D36" s="507" t="s">
        <v>10788</v>
      </c>
      <c r="E36" s="518" t="s">
        <v>4743</v>
      </c>
      <c r="F36" s="518" t="s">
        <v>10702</v>
      </c>
      <c r="G36" s="518" t="s">
        <v>10789</v>
      </c>
      <c r="H36" s="507" t="s">
        <v>10790</v>
      </c>
      <c r="I36" s="520"/>
      <c r="J36" s="520" t="n">
        <v>555840</v>
      </c>
      <c r="K36" s="520" t="n">
        <v>2024</v>
      </c>
      <c r="L36" s="521" t="n">
        <v>3201462</v>
      </c>
      <c r="M36" s="518"/>
      <c r="N36" s="525" t="n">
        <v>3201462</v>
      </c>
      <c r="O36" s="521" t="n">
        <v>89809</v>
      </c>
      <c r="P36" s="521" t="n">
        <v>64029</v>
      </c>
      <c r="Q36" s="518"/>
      <c r="R36" s="518"/>
      <c r="S36" s="518"/>
      <c r="T36" s="518"/>
      <c r="U36" s="518"/>
      <c r="V36" s="518"/>
      <c r="W36" s="518"/>
      <c r="X36" s="518"/>
      <c r="Y36" s="526"/>
      <c r="Z36" s="518"/>
      <c r="AA36" s="518"/>
      <c r="AB36" s="521" t="n">
        <v>2110</v>
      </c>
      <c r="AC36" s="522" t="n">
        <v>17455</v>
      </c>
      <c r="AD36" s="518"/>
      <c r="AE36" s="518"/>
      <c r="AF36" s="522" t="n">
        <v>2024</v>
      </c>
      <c r="AG36" s="518"/>
      <c r="AH36" s="523" t="n">
        <v>154693</v>
      </c>
      <c r="AI36" s="523" t="n">
        <v>2161856</v>
      </c>
      <c r="AJ36" s="523" t="n">
        <v>2316549</v>
      </c>
      <c r="AK36" s="527"/>
      <c r="AL36" s="518"/>
      <c r="AM36" s="507" t="s">
        <v>11263</v>
      </c>
      <c r="AN36" s="1" t="e">
        <f aca="false">IF(AND($B36=Subj_OccCode,Subj_BldgSF&gt;0,ABS($J36-Subj_BldgSF)&lt;=Subj_BldgSF*Subj_SizeTol),ABS($J36-Subj_BldgSF),NA())</f>
        <v>#N/A</v>
      </c>
      <c r="AO36" s="1" t="e">
        <f aca="false">IF(ISNA(AN36),NA(),AN36+ROW()/10000000)</f>
        <v>#N/A</v>
      </c>
      <c r="AR36" s="290" t="str">
        <f aca="false">IF(B36="","",IFERROR(INDEX(OCC_TABLE_DESC,MATCH(B36,OCC_TABLE_CODE,0)),"Unrecognized code"))</f>
        <v>Distribution Warehouse</v>
      </c>
    </row>
    <row r="37" customFormat="false" ht="12.75" hidden="false" customHeight="true" outlineLevel="0" collapsed="false">
      <c r="A37" s="519" t="s">
        <v>10794</v>
      </c>
      <c r="B37" s="508" t="n">
        <v>407</v>
      </c>
      <c r="C37" s="519" t="s">
        <v>2158</v>
      </c>
      <c r="D37" s="529" t="s">
        <v>10795</v>
      </c>
      <c r="E37" s="519" t="s">
        <v>4743</v>
      </c>
      <c r="F37" s="519" t="s">
        <v>10702</v>
      </c>
      <c r="G37" s="519" t="s">
        <v>2692</v>
      </c>
      <c r="H37" s="529" t="s">
        <v>10796</v>
      </c>
      <c r="I37" s="519" t="n">
        <v>2019</v>
      </c>
      <c r="J37" s="519" t="n">
        <v>163386</v>
      </c>
      <c r="K37" s="519" t="n">
        <v>2023</v>
      </c>
      <c r="L37" s="530" t="n">
        <v>2096086</v>
      </c>
      <c r="M37" s="519"/>
      <c r="N37" s="530" t="n">
        <v>2096086</v>
      </c>
      <c r="O37" s="530" t="n">
        <v>40706</v>
      </c>
      <c r="P37" s="530" t="n">
        <v>55071</v>
      </c>
      <c r="Q37" s="519"/>
      <c r="R37" s="519"/>
      <c r="S37" s="519"/>
      <c r="T37" s="519"/>
      <c r="U37" s="519"/>
      <c r="V37" s="519"/>
      <c r="W37" s="519"/>
      <c r="X37" s="519"/>
      <c r="Y37" s="530" t="n">
        <v>6447</v>
      </c>
      <c r="Z37" s="519"/>
      <c r="AA37" s="530" t="n">
        <v>14502</v>
      </c>
      <c r="AB37" s="530" t="n">
        <v>55450</v>
      </c>
      <c r="AC37" s="519"/>
      <c r="AD37" s="519"/>
      <c r="AE37" s="519"/>
      <c r="AF37" s="530" t="n">
        <v>43911</v>
      </c>
      <c r="AG37" s="530" t="n">
        <v>159500</v>
      </c>
      <c r="AH37" s="530" t="n">
        <v>379886</v>
      </c>
      <c r="AI37" s="530" t="n">
        <v>923586</v>
      </c>
      <c r="AJ37" s="530" t="n">
        <v>1303472</v>
      </c>
      <c r="AK37" s="530" t="n">
        <v>792614</v>
      </c>
      <c r="AL37" s="519"/>
      <c r="AM37" s="529" t="s">
        <v>11264</v>
      </c>
      <c r="AN37" s="1" t="e">
        <f aca="false">IF(AND($B37=Subj_OccCode,Subj_BldgSF&gt;0,ABS($J37-Subj_BldgSF)&lt;=Subj_BldgSF*Subj_SizeTol),ABS($J37-Subj_BldgSF),NA())</f>
        <v>#N/A</v>
      </c>
      <c r="AO37" s="1" t="e">
        <f aca="false">IF(ISNA(AN37),NA(),AN37+ROW()/10000000)</f>
        <v>#N/A</v>
      </c>
      <c r="AR37" s="290" t="str">
        <f aca="false">IF(B37="","",IFERROR(INDEX(OCC_TABLE_DESC,MATCH(B37,OCC_TABLE_CODE,0)),"Unrecognized code"))</f>
        <v>Distribution Warehouse</v>
      </c>
    </row>
    <row r="38" customFormat="false" ht="12.75" hidden="false" customHeight="true" outlineLevel="0" collapsed="false">
      <c r="A38" s="519" t="s">
        <v>10794</v>
      </c>
      <c r="B38" s="508" t="n">
        <v>407</v>
      </c>
      <c r="C38" s="519" t="s">
        <v>2158</v>
      </c>
      <c r="D38" s="529" t="s">
        <v>10795</v>
      </c>
      <c r="E38" s="519" t="s">
        <v>4743</v>
      </c>
      <c r="F38" s="519" t="s">
        <v>10702</v>
      </c>
      <c r="G38" s="519" t="s">
        <v>2692</v>
      </c>
      <c r="H38" s="529" t="s">
        <v>10796</v>
      </c>
      <c r="I38" s="519" t="n">
        <v>2019</v>
      </c>
      <c r="J38" s="519" t="n">
        <v>163386</v>
      </c>
      <c r="K38" s="519" t="n">
        <v>2024</v>
      </c>
      <c r="L38" s="530" t="n">
        <v>2154019</v>
      </c>
      <c r="M38" s="519"/>
      <c r="N38" s="530" t="n">
        <v>2154019</v>
      </c>
      <c r="O38" s="530" t="n">
        <v>48091</v>
      </c>
      <c r="P38" s="530" t="n">
        <v>74844</v>
      </c>
      <c r="Q38" s="519"/>
      <c r="R38" s="519"/>
      <c r="S38" s="519"/>
      <c r="T38" s="519"/>
      <c r="U38" s="519"/>
      <c r="V38" s="519"/>
      <c r="W38" s="519"/>
      <c r="X38" s="519"/>
      <c r="Y38" s="530" t="n">
        <v>5257</v>
      </c>
      <c r="Z38" s="519"/>
      <c r="AA38" s="530" t="n">
        <v>13438</v>
      </c>
      <c r="AB38" s="530" t="n">
        <v>46667</v>
      </c>
      <c r="AC38" s="519"/>
      <c r="AD38" s="519"/>
      <c r="AE38" s="519"/>
      <c r="AF38" s="530" t="n">
        <v>53895</v>
      </c>
      <c r="AG38" s="530" t="n">
        <v>132552</v>
      </c>
      <c r="AH38" s="530" t="n">
        <v>394495</v>
      </c>
      <c r="AI38" s="530" t="n">
        <v>912402</v>
      </c>
      <c r="AJ38" s="530" t="n">
        <v>1306897</v>
      </c>
      <c r="AK38" s="530" t="n">
        <v>847122</v>
      </c>
      <c r="AL38" s="519"/>
      <c r="AM38" s="529" t="s">
        <v>11265</v>
      </c>
      <c r="AN38" s="1" t="e">
        <f aca="false">IF(AND($B38=Subj_OccCode,Subj_BldgSF&gt;0,ABS($J38-Subj_BldgSF)&lt;=Subj_BldgSF*Subj_SizeTol),ABS($J38-Subj_BldgSF),NA())</f>
        <v>#N/A</v>
      </c>
      <c r="AO38" s="1" t="e">
        <f aca="false">IF(ISNA(AN38),NA(),AN38+ROW()/10000000)</f>
        <v>#N/A</v>
      </c>
      <c r="AR38" s="290" t="str">
        <f aca="false">IF(B38="","",IFERROR(INDEX(OCC_TABLE_DESC,MATCH(B38,OCC_TABLE_CODE,0)),"Unrecognized code"))</f>
        <v>Distribution Warehouse</v>
      </c>
    </row>
    <row r="39" customFormat="false" ht="25.5" hidden="false" customHeight="true" outlineLevel="0" collapsed="false">
      <c r="A39" s="519" t="s">
        <v>10799</v>
      </c>
      <c r="B39" s="508" t="n">
        <v>584</v>
      </c>
      <c r="C39" s="519" t="s">
        <v>10800</v>
      </c>
      <c r="D39" s="529" t="s">
        <v>10801</v>
      </c>
      <c r="E39" s="519" t="s">
        <v>4743</v>
      </c>
      <c r="F39" s="519" t="s">
        <v>10702</v>
      </c>
      <c r="G39" s="519" t="s">
        <v>2692</v>
      </c>
      <c r="H39" s="529" t="s">
        <v>10802</v>
      </c>
      <c r="I39" s="519" t="n">
        <v>1983</v>
      </c>
      <c r="J39" s="519" t="n">
        <v>384953</v>
      </c>
      <c r="K39" s="519" t="n">
        <v>2024</v>
      </c>
      <c r="L39" s="519"/>
      <c r="M39" s="519"/>
      <c r="N39" s="519"/>
      <c r="O39" s="519"/>
      <c r="P39" s="519"/>
      <c r="Q39" s="519"/>
      <c r="R39" s="519"/>
      <c r="S39" s="519"/>
      <c r="T39" s="519"/>
      <c r="U39" s="519"/>
      <c r="V39" s="519"/>
      <c r="W39" s="519"/>
      <c r="X39" s="519"/>
      <c r="Y39" s="519"/>
      <c r="Z39" s="519"/>
      <c r="AA39" s="519"/>
      <c r="AB39" s="519"/>
      <c r="AC39" s="519"/>
      <c r="AD39" s="519"/>
      <c r="AE39" s="519"/>
      <c r="AF39" s="519"/>
      <c r="AG39" s="519"/>
      <c r="AH39" s="519"/>
      <c r="AI39" s="519"/>
      <c r="AJ39" s="519"/>
      <c r="AK39" s="519"/>
      <c r="AL39" s="519"/>
      <c r="AM39" s="529" t="s">
        <v>11266</v>
      </c>
      <c r="AN39" s="1" t="n">
        <f aca="false">IF(AND($B39=Subj_OccCode,Subj_BldgSF&gt;0,ABS($J39-Subj_BldgSF)&lt;=Subj_BldgSF*Subj_SizeTol),ABS($J39-Subj_BldgSF),NA())</f>
        <v>32713</v>
      </c>
      <c r="AO39" s="1" t="n">
        <f aca="false">IF(ISNA(AN39),NA(),AN39+ROW()/10000000)</f>
        <v>32713.0000039</v>
      </c>
      <c r="AR39" s="290" t="str">
        <f aca="false">IF(B39="","",IFERROR(INDEX(OCC_TABLE_DESC,MATCH(B39,OCC_TABLE_CODE,0)),"Unrecognized code"))</f>
        <v>Mega Warehouse</v>
      </c>
    </row>
    <row r="40" customFormat="false" ht="25.5" hidden="false" customHeight="true" outlineLevel="0" collapsed="false">
      <c r="A40" s="519" t="s">
        <v>10805</v>
      </c>
      <c r="B40" s="508" t="n">
        <v>210</v>
      </c>
      <c r="C40" s="519" t="s">
        <v>10806</v>
      </c>
      <c r="D40" s="529" t="s">
        <v>10807</v>
      </c>
      <c r="E40" s="519" t="s">
        <v>1557</v>
      </c>
      <c r="F40" s="519" t="s">
        <v>10702</v>
      </c>
      <c r="G40" s="519" t="s">
        <v>2692</v>
      </c>
      <c r="H40" s="529" t="s">
        <v>10808</v>
      </c>
      <c r="I40" s="519" t="n">
        <v>1972</v>
      </c>
      <c r="J40" s="519" t="n">
        <v>63348</v>
      </c>
      <c r="K40" s="519" t="n">
        <v>2024</v>
      </c>
      <c r="L40" s="519"/>
      <c r="M40" s="519"/>
      <c r="N40" s="519"/>
      <c r="O40" s="519"/>
      <c r="P40" s="519"/>
      <c r="Q40" s="519"/>
      <c r="R40" s="519"/>
      <c r="S40" s="519"/>
      <c r="T40" s="519"/>
      <c r="U40" s="519"/>
      <c r="V40" s="519"/>
      <c r="W40" s="519"/>
      <c r="X40" s="519"/>
      <c r="Y40" s="519"/>
      <c r="Z40" s="519"/>
      <c r="AA40" s="519"/>
      <c r="AB40" s="519"/>
      <c r="AC40" s="519"/>
      <c r="AD40" s="519"/>
      <c r="AE40" s="519"/>
      <c r="AF40" s="519"/>
      <c r="AG40" s="519"/>
      <c r="AH40" s="519"/>
      <c r="AI40" s="519"/>
      <c r="AJ40" s="519"/>
      <c r="AK40" s="519"/>
      <c r="AL40" s="519"/>
      <c r="AM40" s="529" t="s">
        <v>11267</v>
      </c>
      <c r="AN40" s="1" t="e">
        <f aca="false">IF(AND($B40=Subj_OccCode,Subj_BldgSF&gt;0,ABS($J40-Subj_BldgSF)&lt;=Subj_BldgSF*Subj_SizeTol),ABS($J40-Subj_BldgSF),NA())</f>
        <v>#N/A</v>
      </c>
      <c r="AO40" s="1" t="e">
        <f aca="false">IF(ISNA(AN40),NA(),AN40+ROW()/10000000)</f>
        <v>#N/A</v>
      </c>
      <c r="AR40" s="290" t="str">
        <f aca="false">IF(B40="","",IFERROR(INDEX(OCC_TABLE_DESC,MATCH(B40,OCC_TABLE_CODE,0)),"Unrecognized code"))</f>
        <v>Industrial Flex Mall Building</v>
      </c>
    </row>
    <row r="41" customFormat="false" ht="25.5" hidden="false" customHeight="true" outlineLevel="0" collapsed="false">
      <c r="A41" s="519" t="s">
        <v>10810</v>
      </c>
      <c r="B41" s="508" t="n">
        <v>406</v>
      </c>
      <c r="C41" s="519" t="s">
        <v>10811</v>
      </c>
      <c r="D41" s="529" t="s">
        <v>10812</v>
      </c>
      <c r="E41" s="519" t="s">
        <v>1557</v>
      </c>
      <c r="F41" s="519" t="s">
        <v>10702</v>
      </c>
      <c r="G41" s="519" t="s">
        <v>2692</v>
      </c>
      <c r="H41" s="529" t="s">
        <v>10813</v>
      </c>
      <c r="I41" s="519" t="n">
        <v>2004</v>
      </c>
      <c r="J41" s="519" t="n">
        <v>18720</v>
      </c>
      <c r="K41" s="519" t="n">
        <v>2024</v>
      </c>
      <c r="L41" s="530" t="n">
        <v>248796</v>
      </c>
      <c r="M41" s="519"/>
      <c r="N41" s="530" t="n">
        <v>299942</v>
      </c>
      <c r="O41" s="530" t="n">
        <v>3858</v>
      </c>
      <c r="P41" s="519"/>
      <c r="Q41" s="519"/>
      <c r="R41" s="519"/>
      <c r="S41" s="519"/>
      <c r="T41" s="519"/>
      <c r="U41" s="519"/>
      <c r="V41" s="519"/>
      <c r="W41" s="519"/>
      <c r="X41" s="519"/>
      <c r="Y41" s="519"/>
      <c r="Z41" s="519"/>
      <c r="AA41" s="519"/>
      <c r="AB41" s="519"/>
      <c r="AC41" s="530" t="n">
        <v>2427</v>
      </c>
      <c r="AD41" s="519"/>
      <c r="AE41" s="519"/>
      <c r="AF41" s="519"/>
      <c r="AG41" s="519"/>
      <c r="AH41" s="530" t="n">
        <v>6285</v>
      </c>
      <c r="AI41" s="530" t="n">
        <v>44860</v>
      </c>
      <c r="AJ41" s="530" t="n">
        <v>51145</v>
      </c>
      <c r="AK41" s="530" t="n">
        <v>248797</v>
      </c>
      <c r="AL41" s="519"/>
      <c r="AM41" s="529" t="s">
        <v>11268</v>
      </c>
      <c r="AN41" s="1" t="e">
        <f aca="false">IF(AND($B41=Subj_OccCode,Subj_BldgSF&gt;0,ABS($J41-Subj_BldgSF)&lt;=Subj_BldgSF*Subj_SizeTol),ABS($J41-Subj_BldgSF),NA())</f>
        <v>#N/A</v>
      </c>
      <c r="AO41" s="1" t="e">
        <f aca="false">IF(ISNA(AN41),NA(),AN41+ROW()/10000000)</f>
        <v>#N/A</v>
      </c>
      <c r="AR41" s="290" t="str">
        <f aca="false">IF(B41="","",IFERROR(INDEX(OCC_TABLE_DESC,MATCH(B41,OCC_TABLE_CODE,0)),"Unrecognized code"))</f>
        <v>Storage Warehouse</v>
      </c>
    </row>
    <row r="42" customFormat="false" ht="25.5" hidden="false" customHeight="true" outlineLevel="0" collapsed="false">
      <c r="A42" s="519" t="s">
        <v>10810</v>
      </c>
      <c r="B42" s="508" t="n">
        <v>406</v>
      </c>
      <c r="C42" s="519" t="s">
        <v>10811</v>
      </c>
      <c r="D42" s="529" t="s">
        <v>10812</v>
      </c>
      <c r="E42" s="519" t="s">
        <v>1557</v>
      </c>
      <c r="F42" s="519" t="s">
        <v>10702</v>
      </c>
      <c r="G42" s="519" t="s">
        <v>2692</v>
      </c>
      <c r="H42" s="529" t="s">
        <v>10813</v>
      </c>
      <c r="I42" s="519" t="n">
        <v>2004</v>
      </c>
      <c r="J42" s="519" t="n">
        <v>18720</v>
      </c>
      <c r="K42" s="519" t="n">
        <v>2023</v>
      </c>
      <c r="L42" s="530" t="n">
        <v>243918</v>
      </c>
      <c r="M42" s="519"/>
      <c r="N42" s="530" t="n">
        <v>295063</v>
      </c>
      <c r="O42" s="530" t="n">
        <v>3858</v>
      </c>
      <c r="P42" s="519"/>
      <c r="Q42" s="519"/>
      <c r="R42" s="519"/>
      <c r="S42" s="519"/>
      <c r="T42" s="519"/>
      <c r="U42" s="519"/>
      <c r="V42" s="519"/>
      <c r="W42" s="519"/>
      <c r="X42" s="519"/>
      <c r="Y42" s="519"/>
      <c r="Z42" s="519"/>
      <c r="AA42" s="519"/>
      <c r="AB42" s="519"/>
      <c r="AC42" s="530" t="n">
        <v>2427</v>
      </c>
      <c r="AD42" s="519"/>
      <c r="AE42" s="519"/>
      <c r="AF42" s="519"/>
      <c r="AG42" s="519"/>
      <c r="AH42" s="530" t="n">
        <v>6285</v>
      </c>
      <c r="AI42" s="530" t="n">
        <v>44860</v>
      </c>
      <c r="AJ42" s="530" t="n">
        <v>51145</v>
      </c>
      <c r="AK42" s="530" t="n">
        <v>243918</v>
      </c>
      <c r="AL42" s="519"/>
      <c r="AM42" s="529" t="s">
        <v>11268</v>
      </c>
      <c r="AN42" s="1" t="e">
        <f aca="false">IF(AND($B42=Subj_OccCode,Subj_BldgSF&gt;0,ABS($J42-Subj_BldgSF)&lt;=Subj_BldgSF*Subj_SizeTol),ABS($J42-Subj_BldgSF),NA())</f>
        <v>#N/A</v>
      </c>
      <c r="AO42" s="1" t="e">
        <f aca="false">IF(ISNA(AN42),NA(),AN42+ROW()/10000000)</f>
        <v>#N/A</v>
      </c>
      <c r="AR42" s="290" t="str">
        <f aca="false">IF(B42="","",IFERROR(INDEX(OCC_TABLE_DESC,MATCH(B42,OCC_TABLE_CODE,0)),"Unrecognized code"))</f>
        <v>Storage Warehouse</v>
      </c>
    </row>
    <row r="43" customFormat="false" ht="12.75" hidden="false" customHeight="true" outlineLevel="0" collapsed="false">
      <c r="A43" s="519" t="s">
        <v>10816</v>
      </c>
      <c r="B43" s="508" t="n">
        <v>407</v>
      </c>
      <c r="C43" s="519" t="s">
        <v>10817</v>
      </c>
      <c r="D43" s="529" t="s">
        <v>10818</v>
      </c>
      <c r="E43" s="519" t="s">
        <v>4420</v>
      </c>
      <c r="F43" s="519" t="s">
        <v>10702</v>
      </c>
      <c r="G43" s="519" t="s">
        <v>2692</v>
      </c>
      <c r="H43" s="529" t="s">
        <v>10819</v>
      </c>
      <c r="I43" s="519" t="n">
        <v>2021</v>
      </c>
      <c r="J43" s="519" t="n">
        <v>329940</v>
      </c>
      <c r="K43" s="519" t="n">
        <v>2024</v>
      </c>
      <c r="L43" s="519"/>
      <c r="M43" s="519"/>
      <c r="N43" s="519"/>
      <c r="O43" s="519"/>
      <c r="P43" s="519"/>
      <c r="Q43" s="519"/>
      <c r="R43" s="519"/>
      <c r="S43" s="519"/>
      <c r="T43" s="519"/>
      <c r="U43" s="519"/>
      <c r="V43" s="519"/>
      <c r="W43" s="519"/>
      <c r="X43" s="519"/>
      <c r="Y43" s="519"/>
      <c r="Z43" s="519"/>
      <c r="AA43" s="519"/>
      <c r="AB43" s="519"/>
      <c r="AC43" s="519"/>
      <c r="AD43" s="519"/>
      <c r="AE43" s="519"/>
      <c r="AF43" s="519"/>
      <c r="AG43" s="519"/>
      <c r="AH43" s="519"/>
      <c r="AI43" s="519"/>
      <c r="AJ43" s="519"/>
      <c r="AK43" s="519"/>
      <c r="AL43" s="519"/>
      <c r="AM43" s="529" t="s">
        <v>11269</v>
      </c>
      <c r="AN43" s="1" t="e">
        <f aca="false">IF(AND($B43=Subj_OccCode,Subj_BldgSF&gt;0,ABS($J43-Subj_BldgSF)&lt;=Subj_BldgSF*Subj_SizeTol),ABS($J43-Subj_BldgSF),NA())</f>
        <v>#N/A</v>
      </c>
      <c r="AO43" s="1" t="e">
        <f aca="false">IF(ISNA(AN43),NA(),AN43+ROW()/10000000)</f>
        <v>#N/A</v>
      </c>
      <c r="AR43" s="290" t="str">
        <f aca="false">IF(B43="","",IFERROR(INDEX(OCC_TABLE_DESC,MATCH(B43,OCC_TABLE_CODE,0)),"Unrecognized code"))</f>
        <v>Distribution Warehouse</v>
      </c>
    </row>
    <row r="44" customFormat="false" ht="25.5" hidden="false" customHeight="true" outlineLevel="0" collapsed="false">
      <c r="A44" s="519" t="s">
        <v>10822</v>
      </c>
      <c r="B44" s="508" t="n">
        <v>584</v>
      </c>
      <c r="C44" s="519" t="s">
        <v>2157</v>
      </c>
      <c r="D44" s="529" t="s">
        <v>10823</v>
      </c>
      <c r="E44" s="519" t="s">
        <v>4420</v>
      </c>
      <c r="F44" s="519" t="s">
        <v>10702</v>
      </c>
      <c r="G44" s="519" t="s">
        <v>2692</v>
      </c>
      <c r="H44" s="529" t="s">
        <v>10824</v>
      </c>
      <c r="I44" s="519" t="n">
        <v>2021</v>
      </c>
      <c r="J44" s="519" t="n">
        <v>999780</v>
      </c>
      <c r="K44" s="519" t="n">
        <v>2023</v>
      </c>
      <c r="L44" s="530" t="n">
        <v>12396458</v>
      </c>
      <c r="M44" s="519"/>
      <c r="N44" s="530" t="n">
        <v>12396458</v>
      </c>
      <c r="O44" s="530" t="n">
        <v>150453</v>
      </c>
      <c r="P44" s="530" t="n">
        <v>100437</v>
      </c>
      <c r="Q44" s="519"/>
      <c r="R44" s="519"/>
      <c r="S44" s="519"/>
      <c r="T44" s="519"/>
      <c r="U44" s="519"/>
      <c r="V44" s="519"/>
      <c r="W44" s="519"/>
      <c r="X44" s="519"/>
      <c r="Y44" s="530" t="n">
        <v>53276</v>
      </c>
      <c r="Z44" s="519"/>
      <c r="AA44" s="530" t="n">
        <v>50764</v>
      </c>
      <c r="AB44" s="530" t="n">
        <v>117765</v>
      </c>
      <c r="AC44" s="519"/>
      <c r="AD44" s="519"/>
      <c r="AE44" s="519"/>
      <c r="AF44" s="519"/>
      <c r="AG44" s="530" t="n">
        <v>8384</v>
      </c>
      <c r="AH44" s="530" t="n">
        <v>1354674</v>
      </c>
      <c r="AI44" s="530" t="n">
        <v>4922300</v>
      </c>
      <c r="AJ44" s="530" t="n">
        <v>8277752</v>
      </c>
      <c r="AK44" s="530" t="n">
        <v>4118706</v>
      </c>
      <c r="AL44" s="519"/>
      <c r="AM44" s="529" t="s">
        <v>11270</v>
      </c>
      <c r="AN44" s="1" t="e">
        <f aca="false">IF(AND($B44=Subj_OccCode,Subj_BldgSF&gt;0,ABS($J44-Subj_BldgSF)&lt;=Subj_BldgSF*Subj_SizeTol),ABS($J44-Subj_BldgSF),NA())</f>
        <v>#N/A</v>
      </c>
      <c r="AO44" s="1" t="e">
        <f aca="false">IF(ISNA(AN44),NA(),AN44+ROW()/10000000)</f>
        <v>#N/A</v>
      </c>
      <c r="AR44" s="290" t="str">
        <f aca="false">IF(B44="","",IFERROR(INDEX(OCC_TABLE_DESC,MATCH(B44,OCC_TABLE_CODE,0)),"Unrecognized code"))</f>
        <v>Mega Warehouse</v>
      </c>
    </row>
    <row r="45" customFormat="false" ht="12.75" hidden="false" customHeight="true" outlineLevel="0" collapsed="false">
      <c r="A45" s="519" t="s">
        <v>10822</v>
      </c>
      <c r="B45" s="508" t="n">
        <v>584</v>
      </c>
      <c r="C45" s="519" t="s">
        <v>2157</v>
      </c>
      <c r="D45" s="529" t="s">
        <v>10823</v>
      </c>
      <c r="E45" s="519" t="s">
        <v>4420</v>
      </c>
      <c r="F45" s="519" t="s">
        <v>10702</v>
      </c>
      <c r="G45" s="519" t="s">
        <v>2692</v>
      </c>
      <c r="H45" s="529" t="s">
        <v>10824</v>
      </c>
      <c r="I45" s="519" t="n">
        <v>2021</v>
      </c>
      <c r="J45" s="519" t="n">
        <v>999780</v>
      </c>
      <c r="K45" s="519" t="n">
        <v>2024</v>
      </c>
      <c r="L45" s="530" t="n">
        <v>10000751</v>
      </c>
      <c r="M45" s="519"/>
      <c r="N45" s="530" t="n">
        <v>10000751</v>
      </c>
      <c r="O45" s="530" t="n">
        <v>171963</v>
      </c>
      <c r="P45" s="530" t="n">
        <v>101559</v>
      </c>
      <c r="Q45" s="519"/>
      <c r="R45" s="519"/>
      <c r="S45" s="519"/>
      <c r="T45" s="519"/>
      <c r="U45" s="519"/>
      <c r="V45" s="519"/>
      <c r="W45" s="519"/>
      <c r="X45" s="519"/>
      <c r="Y45" s="530" t="n">
        <v>120481</v>
      </c>
      <c r="Z45" s="519"/>
      <c r="AA45" s="530" t="n">
        <v>37766</v>
      </c>
      <c r="AB45" s="530" t="n">
        <v>131877</v>
      </c>
      <c r="AC45" s="519"/>
      <c r="AD45" s="519"/>
      <c r="AE45" s="519"/>
      <c r="AF45" s="519"/>
      <c r="AG45" s="530" t="n">
        <v>30799</v>
      </c>
      <c r="AH45" s="530" t="n">
        <v>797409</v>
      </c>
      <c r="AI45" s="530" t="n">
        <v>4996600</v>
      </c>
      <c r="AJ45" s="530" t="n">
        <v>5794009</v>
      </c>
      <c r="AK45" s="530" t="n">
        <v>4206742</v>
      </c>
      <c r="AL45" s="519"/>
      <c r="AM45" s="529" t="s">
        <v>11271</v>
      </c>
      <c r="AN45" s="1" t="e">
        <f aca="false">IF(AND($B45=Subj_OccCode,Subj_BldgSF&gt;0,ABS($J45-Subj_BldgSF)&lt;=Subj_BldgSF*Subj_SizeTol),ABS($J45-Subj_BldgSF),NA())</f>
        <v>#N/A</v>
      </c>
      <c r="AO45" s="1" t="e">
        <f aca="false">IF(ISNA(AN45),NA(),AN45+ROW()/10000000)</f>
        <v>#N/A</v>
      </c>
      <c r="AR45" s="290" t="str">
        <f aca="false">IF(B45="","",IFERROR(INDEX(OCC_TABLE_DESC,MATCH(B45,OCC_TABLE_CODE,0)),"Unrecognized code"))</f>
        <v>Mega Warehouse</v>
      </c>
    </row>
    <row r="46" customFormat="false" ht="25.5" hidden="false" customHeight="true" outlineLevel="0" collapsed="false">
      <c r="A46" s="519" t="s">
        <v>10826</v>
      </c>
      <c r="B46" s="508" t="n">
        <v>210</v>
      </c>
      <c r="C46" s="519" t="s">
        <v>10827</v>
      </c>
      <c r="D46" s="529" t="s">
        <v>10828</v>
      </c>
      <c r="E46" s="519" t="s">
        <v>4420</v>
      </c>
      <c r="F46" s="519" t="s">
        <v>10702</v>
      </c>
      <c r="G46" s="519" t="s">
        <v>2692</v>
      </c>
      <c r="H46" s="529" t="s">
        <v>10829</v>
      </c>
      <c r="I46" s="519" t="n">
        <v>1999</v>
      </c>
      <c r="J46" s="519" t="n">
        <v>90000</v>
      </c>
      <c r="K46" s="519" t="n">
        <v>2023</v>
      </c>
      <c r="L46" s="530" t="n">
        <v>949132</v>
      </c>
      <c r="M46" s="519"/>
      <c r="N46" s="530" t="n">
        <v>1238350</v>
      </c>
      <c r="O46" s="530" t="n">
        <v>15839</v>
      </c>
      <c r="P46" s="530" t="n">
        <v>46438</v>
      </c>
      <c r="Q46" s="530" t="n">
        <v>3968</v>
      </c>
      <c r="R46" s="519"/>
      <c r="S46" s="530" t="n">
        <v>27292</v>
      </c>
      <c r="T46" s="530" t="n">
        <v>6577</v>
      </c>
      <c r="U46" s="519"/>
      <c r="V46" s="519"/>
      <c r="W46" s="519"/>
      <c r="X46" s="530" t="n">
        <v>23213</v>
      </c>
      <c r="Y46" s="530" t="n">
        <v>61050</v>
      </c>
      <c r="Z46" s="530" t="n">
        <v>930</v>
      </c>
      <c r="AA46" s="530" t="n">
        <v>4777</v>
      </c>
      <c r="AB46" s="530" t="n">
        <v>11271</v>
      </c>
      <c r="AC46" s="530" t="n">
        <v>16978</v>
      </c>
      <c r="AD46" s="530" t="n">
        <v>14167</v>
      </c>
      <c r="AE46" s="530" t="n">
        <v>5593</v>
      </c>
      <c r="AF46" s="530" t="n">
        <v>19760</v>
      </c>
      <c r="AG46" s="519"/>
      <c r="AH46" s="530" t="n">
        <v>162482</v>
      </c>
      <c r="AI46" s="530" t="n">
        <v>283603</v>
      </c>
      <c r="AJ46" s="530" t="n">
        <v>446085</v>
      </c>
      <c r="AK46" s="530" t="n">
        <v>792265</v>
      </c>
      <c r="AL46" s="519"/>
      <c r="AM46" s="529" t="s">
        <v>11272</v>
      </c>
      <c r="AN46" s="1" t="e">
        <f aca="false">IF(AND($B46=Subj_OccCode,Subj_BldgSF&gt;0,ABS($J46-Subj_BldgSF)&lt;=Subj_BldgSF*Subj_SizeTol),ABS($J46-Subj_BldgSF),NA())</f>
        <v>#N/A</v>
      </c>
      <c r="AO46" s="1" t="e">
        <f aca="false">IF(ISNA(AN46),NA(),AN46+ROW()/10000000)</f>
        <v>#N/A</v>
      </c>
      <c r="AR46" s="290" t="str">
        <f aca="false">IF(B46="","",IFERROR(INDEX(OCC_TABLE_DESC,MATCH(B46,OCC_TABLE_CODE,0)),"Unrecognized code"))</f>
        <v>Industrial Flex Mall Building</v>
      </c>
    </row>
    <row r="47" customFormat="false" ht="25.5" hidden="false" customHeight="true" outlineLevel="0" collapsed="false">
      <c r="A47" s="519" t="s">
        <v>10826</v>
      </c>
      <c r="B47" s="508" t="n">
        <v>210</v>
      </c>
      <c r="C47" s="519" t="s">
        <v>10827</v>
      </c>
      <c r="D47" s="529" t="s">
        <v>10828</v>
      </c>
      <c r="E47" s="519" t="s">
        <v>4420</v>
      </c>
      <c r="F47" s="519" t="s">
        <v>10702</v>
      </c>
      <c r="G47" s="519" t="s">
        <v>2692</v>
      </c>
      <c r="H47" s="529" t="s">
        <v>10829</v>
      </c>
      <c r="I47" s="519" t="n">
        <v>1999</v>
      </c>
      <c r="J47" s="519" t="n">
        <v>90000</v>
      </c>
      <c r="K47" s="519" t="n">
        <v>2024</v>
      </c>
      <c r="L47" s="530" t="n">
        <v>911911</v>
      </c>
      <c r="M47" s="519"/>
      <c r="N47" s="530" t="n">
        <v>1307178</v>
      </c>
      <c r="O47" s="530" t="n">
        <v>15815</v>
      </c>
      <c r="P47" s="530" t="n">
        <v>65253</v>
      </c>
      <c r="Q47" s="530" t="n">
        <v>620</v>
      </c>
      <c r="R47" s="519"/>
      <c r="S47" s="530" t="n">
        <v>35961</v>
      </c>
      <c r="T47" s="530" t="n">
        <v>7833</v>
      </c>
      <c r="U47" s="519"/>
      <c r="V47" s="519"/>
      <c r="W47" s="519"/>
      <c r="X47" s="530" t="n">
        <v>22008</v>
      </c>
      <c r="Y47" s="530" t="n">
        <v>66422</v>
      </c>
      <c r="Z47" s="530" t="n">
        <v>1176</v>
      </c>
      <c r="AA47" s="530" t="n">
        <v>4463</v>
      </c>
      <c r="AB47" s="530" t="n">
        <v>14953</v>
      </c>
      <c r="AC47" s="530" t="n">
        <v>20592</v>
      </c>
      <c r="AD47" s="530" t="n">
        <v>15736</v>
      </c>
      <c r="AE47" s="530" t="n">
        <v>5731</v>
      </c>
      <c r="AF47" s="530" t="n">
        <v>21467</v>
      </c>
      <c r="AG47" s="519"/>
      <c r="AH47" s="530" t="n">
        <v>158481</v>
      </c>
      <c r="AI47" s="530" t="n">
        <v>290988</v>
      </c>
      <c r="AJ47" s="530" t="n">
        <v>449469</v>
      </c>
      <c r="AK47" s="530" t="n">
        <v>842728</v>
      </c>
      <c r="AL47" s="519"/>
      <c r="AM47" s="529" t="s">
        <v>11273</v>
      </c>
      <c r="AN47" s="1" t="e">
        <f aca="false">IF(AND($B47=Subj_OccCode,Subj_BldgSF&gt;0,ABS($J47-Subj_BldgSF)&lt;=Subj_BldgSF*Subj_SizeTol),ABS($J47-Subj_BldgSF),NA())</f>
        <v>#N/A</v>
      </c>
      <c r="AO47" s="1" t="e">
        <f aca="false">IF(ISNA(AN47),NA(),AN47+ROW()/10000000)</f>
        <v>#N/A</v>
      </c>
      <c r="AR47" s="290" t="str">
        <f aca="false">IF(B47="","",IFERROR(INDEX(OCC_TABLE_DESC,MATCH(B47,OCC_TABLE_CODE,0)),"Unrecognized code"))</f>
        <v>Industrial Flex Mall Building</v>
      </c>
    </row>
    <row r="48" customFormat="false" ht="25.5" hidden="false" customHeight="true" outlineLevel="0" collapsed="false">
      <c r="A48" s="519" t="s">
        <v>10833</v>
      </c>
      <c r="B48" s="508" t="n">
        <v>210</v>
      </c>
      <c r="C48" s="519" t="s">
        <v>10834</v>
      </c>
      <c r="D48" s="529" t="s">
        <v>10835</v>
      </c>
      <c r="E48" s="519" t="s">
        <v>4743</v>
      </c>
      <c r="F48" s="519" t="s">
        <v>10702</v>
      </c>
      <c r="G48" s="519" t="s">
        <v>2692</v>
      </c>
      <c r="H48" s="529" t="s">
        <v>10836</v>
      </c>
      <c r="I48" s="519"/>
      <c r="J48" s="519"/>
      <c r="K48" s="519" t="n">
        <v>2024</v>
      </c>
      <c r="L48" s="530" t="n">
        <v>548918</v>
      </c>
      <c r="M48" s="519"/>
      <c r="N48" s="530" t="n">
        <v>766859</v>
      </c>
      <c r="O48" s="530" t="n">
        <v>23025</v>
      </c>
      <c r="P48" s="519"/>
      <c r="Q48" s="519"/>
      <c r="R48" s="519"/>
      <c r="S48" s="519"/>
      <c r="T48" s="519"/>
      <c r="U48" s="519"/>
      <c r="V48" s="519"/>
      <c r="W48" s="519"/>
      <c r="X48" s="519"/>
      <c r="Y48" s="519"/>
      <c r="Z48" s="519"/>
      <c r="AA48" s="519"/>
      <c r="AB48" s="519"/>
      <c r="AC48" s="519"/>
      <c r="AD48" s="530" t="n">
        <v>7986</v>
      </c>
      <c r="AE48" s="530" t="n">
        <v>33669</v>
      </c>
      <c r="AF48" s="530" t="n">
        <v>41655</v>
      </c>
      <c r="AG48" s="519"/>
      <c r="AH48" s="519"/>
      <c r="AI48" s="530" t="n">
        <v>129107</v>
      </c>
      <c r="AJ48" s="530" t="n">
        <v>250157</v>
      </c>
      <c r="AK48" s="530" t="n">
        <v>374789</v>
      </c>
      <c r="AL48" s="519"/>
      <c r="AM48" s="529" t="s">
        <v>11274</v>
      </c>
      <c r="AN48" s="1" t="e">
        <f aca="false">IF(AND($B48=Subj_OccCode,Subj_BldgSF&gt;0,ABS($J48-Subj_BldgSF)&lt;=Subj_BldgSF*Subj_SizeTol),ABS($J48-Subj_BldgSF),NA())</f>
        <v>#N/A</v>
      </c>
      <c r="AO48" s="1" t="e">
        <f aca="false">IF(ISNA(AN48),NA(),AN48+ROW()/10000000)</f>
        <v>#N/A</v>
      </c>
      <c r="AR48" s="290" t="str">
        <f aca="false">IF(B48="","",IFERROR(INDEX(OCC_TABLE_DESC,MATCH(B48,OCC_TABLE_CODE,0)),"Unrecognized code"))</f>
        <v>Industrial Flex Mall Building</v>
      </c>
    </row>
    <row r="49" customFormat="false" ht="25.5" hidden="false" customHeight="true" outlineLevel="0" collapsed="false">
      <c r="A49" s="519" t="s">
        <v>10839</v>
      </c>
      <c r="B49" s="508" t="n">
        <v>407</v>
      </c>
      <c r="C49" s="519" t="s">
        <v>10840</v>
      </c>
      <c r="D49" s="529" t="s">
        <v>10841</v>
      </c>
      <c r="E49" s="519" t="s">
        <v>4743</v>
      </c>
      <c r="F49" s="519" t="s">
        <v>10702</v>
      </c>
      <c r="G49" s="519" t="s">
        <v>2692</v>
      </c>
      <c r="H49" s="529" t="s">
        <v>10842</v>
      </c>
      <c r="I49" s="519"/>
      <c r="J49" s="519" t="n">
        <v>155033</v>
      </c>
      <c r="K49" s="519" t="n">
        <v>2023</v>
      </c>
      <c r="L49" s="530" t="n">
        <v>969912</v>
      </c>
      <c r="M49" s="519"/>
      <c r="N49" s="530" t="n">
        <v>968340</v>
      </c>
      <c r="O49" s="530" t="n">
        <v>20444</v>
      </c>
      <c r="P49" s="530" t="n">
        <v>29946</v>
      </c>
      <c r="Q49" s="519"/>
      <c r="R49" s="519"/>
      <c r="S49" s="519"/>
      <c r="T49" s="519"/>
      <c r="U49" s="519"/>
      <c r="V49" s="519"/>
      <c r="W49" s="519"/>
      <c r="X49" s="519"/>
      <c r="Y49" s="519"/>
      <c r="Z49" s="519"/>
      <c r="AA49" s="530" t="n">
        <v>3990</v>
      </c>
      <c r="AB49" s="519"/>
      <c r="AC49" s="519"/>
      <c r="AD49" s="530" t="n">
        <v>37966</v>
      </c>
      <c r="AE49" s="530" t="n">
        <v>13715</v>
      </c>
      <c r="AF49" s="530" t="n">
        <v>51681</v>
      </c>
      <c r="AG49" s="519"/>
      <c r="AH49" s="530" t="n">
        <v>295391</v>
      </c>
      <c r="AI49" s="530" t="n">
        <v>92518</v>
      </c>
      <c r="AJ49" s="530" t="n">
        <v>387909</v>
      </c>
      <c r="AK49" s="530" t="n">
        <v>580431</v>
      </c>
      <c r="AL49" s="519"/>
      <c r="AM49" s="529" t="s">
        <v>11275</v>
      </c>
      <c r="AN49" s="1" t="e">
        <f aca="false">IF(AND($B49=Subj_OccCode,Subj_BldgSF&gt;0,ABS($J49-Subj_BldgSF)&lt;=Subj_BldgSF*Subj_SizeTol),ABS($J49-Subj_BldgSF),NA())</f>
        <v>#N/A</v>
      </c>
      <c r="AO49" s="1" t="e">
        <f aca="false">IF(ISNA(AN49),NA(),AN49+ROW()/10000000)</f>
        <v>#N/A</v>
      </c>
      <c r="AR49" s="290" t="str">
        <f aca="false">IF(B49="","",IFERROR(INDEX(OCC_TABLE_DESC,MATCH(B49,OCC_TABLE_CODE,0)),"Unrecognized code"))</f>
        <v>Distribution Warehouse</v>
      </c>
    </row>
    <row r="50" customFormat="false" ht="12.75" hidden="false" customHeight="true" outlineLevel="0" collapsed="false">
      <c r="A50" s="519" t="s">
        <v>10839</v>
      </c>
      <c r="B50" s="508" t="n">
        <v>407</v>
      </c>
      <c r="C50" s="519" t="s">
        <v>10840</v>
      </c>
      <c r="D50" s="529" t="s">
        <v>10841</v>
      </c>
      <c r="E50" s="519" t="s">
        <v>4743</v>
      </c>
      <c r="F50" s="519" t="s">
        <v>10702</v>
      </c>
      <c r="G50" s="519" t="s">
        <v>2692</v>
      </c>
      <c r="H50" s="529" t="s">
        <v>10842</v>
      </c>
      <c r="I50" s="519"/>
      <c r="J50" s="519" t="n">
        <v>155033</v>
      </c>
      <c r="K50" s="519" t="n">
        <v>2024</v>
      </c>
      <c r="L50" s="530" t="n">
        <v>1011167</v>
      </c>
      <c r="M50" s="519"/>
      <c r="N50" s="530" t="n">
        <v>1011168</v>
      </c>
      <c r="O50" s="530" t="n">
        <v>28366</v>
      </c>
      <c r="P50" s="530" t="n">
        <v>29365</v>
      </c>
      <c r="Q50" s="519"/>
      <c r="R50" s="519"/>
      <c r="S50" s="519"/>
      <c r="T50" s="519"/>
      <c r="U50" s="519"/>
      <c r="V50" s="519"/>
      <c r="W50" s="519"/>
      <c r="X50" s="519"/>
      <c r="Y50" s="519"/>
      <c r="Z50" s="519"/>
      <c r="AA50" s="519"/>
      <c r="AB50" s="519"/>
      <c r="AC50" s="519"/>
      <c r="AD50" s="530" t="n">
        <v>36662</v>
      </c>
      <c r="AE50" s="530" t="n">
        <v>27344</v>
      </c>
      <c r="AF50" s="530" t="n">
        <v>64006</v>
      </c>
      <c r="AG50" s="519"/>
      <c r="AH50" s="530" t="n">
        <v>264833</v>
      </c>
      <c r="AI50" s="530" t="n">
        <v>120903</v>
      </c>
      <c r="AJ50" s="530" t="n">
        <v>385736</v>
      </c>
      <c r="AK50" s="530" t="n">
        <v>625432</v>
      </c>
      <c r="AL50" s="519"/>
      <c r="AM50" s="529" t="s">
        <v>11276</v>
      </c>
      <c r="AN50" s="1" t="e">
        <f aca="false">IF(AND($B50=Subj_OccCode,Subj_BldgSF&gt;0,ABS($J50-Subj_BldgSF)&lt;=Subj_BldgSF*Subj_SizeTol),ABS($J50-Subj_BldgSF),NA())</f>
        <v>#N/A</v>
      </c>
      <c r="AO50" s="1" t="e">
        <f aca="false">IF(ISNA(AN50),NA(),AN50+ROW()/10000000)</f>
        <v>#N/A</v>
      </c>
      <c r="AR50" s="290" t="str">
        <f aca="false">IF(B50="","",IFERROR(INDEX(OCC_TABLE_DESC,MATCH(B50,OCC_TABLE_CODE,0)),"Unrecognized code"))</f>
        <v>Distribution Warehouse</v>
      </c>
    </row>
    <row r="51" customFormat="false" ht="25.5" hidden="false" customHeight="true" outlineLevel="0" collapsed="false">
      <c r="A51" s="519" t="s">
        <v>10844</v>
      </c>
      <c r="B51" s="508" t="n">
        <v>407</v>
      </c>
      <c r="C51" s="519" t="s">
        <v>10845</v>
      </c>
      <c r="D51" s="529" t="s">
        <v>10846</v>
      </c>
      <c r="E51" s="519" t="s">
        <v>4743</v>
      </c>
      <c r="F51" s="519" t="s">
        <v>10702</v>
      </c>
      <c r="G51" s="519" t="s">
        <v>2692</v>
      </c>
      <c r="H51" s="529" t="s">
        <v>10842</v>
      </c>
      <c r="I51" s="519"/>
      <c r="J51" s="519" t="n">
        <v>200000</v>
      </c>
      <c r="K51" s="519" t="n">
        <v>2023</v>
      </c>
      <c r="L51" s="530" t="n">
        <v>1391167</v>
      </c>
      <c r="M51" s="519"/>
      <c r="N51" s="530" t="n">
        <v>1357167</v>
      </c>
      <c r="O51" s="530" t="n">
        <v>4008</v>
      </c>
      <c r="P51" s="519"/>
      <c r="Q51" s="519"/>
      <c r="R51" s="519"/>
      <c r="S51" s="519"/>
      <c r="T51" s="519"/>
      <c r="U51" s="519"/>
      <c r="V51" s="519"/>
      <c r="W51" s="519"/>
      <c r="X51" s="519"/>
      <c r="Y51" s="519"/>
      <c r="Z51" s="519"/>
      <c r="AA51" s="519"/>
      <c r="AB51" s="519"/>
      <c r="AC51" s="519"/>
      <c r="AD51" s="519"/>
      <c r="AE51" s="530" t="n">
        <v>2419</v>
      </c>
      <c r="AF51" s="530" t="n">
        <v>2419</v>
      </c>
      <c r="AG51" s="519"/>
      <c r="AH51" s="530" t="n">
        <v>235792</v>
      </c>
      <c r="AI51" s="530" t="n">
        <v>3481</v>
      </c>
      <c r="AJ51" s="530" t="n">
        <v>239273</v>
      </c>
      <c r="AK51" s="530" t="n">
        <v>1117893</v>
      </c>
      <c r="AL51" s="519"/>
      <c r="AM51" s="529" t="s">
        <v>11277</v>
      </c>
      <c r="AN51" s="1" t="e">
        <f aca="false">IF(AND($B51=Subj_OccCode,Subj_BldgSF&gt;0,ABS($J51-Subj_BldgSF)&lt;=Subj_BldgSF*Subj_SizeTol),ABS($J51-Subj_BldgSF),NA())</f>
        <v>#N/A</v>
      </c>
      <c r="AO51" s="1" t="e">
        <f aca="false">IF(ISNA(AN51),NA(),AN51+ROW()/10000000)</f>
        <v>#N/A</v>
      </c>
      <c r="AR51" s="290" t="str">
        <f aca="false">IF(B51="","",IFERROR(INDEX(OCC_TABLE_DESC,MATCH(B51,OCC_TABLE_CODE,0)),"Unrecognized code"))</f>
        <v>Distribution Warehouse</v>
      </c>
    </row>
    <row r="52" customFormat="false" ht="25.5" hidden="false" customHeight="true" outlineLevel="0" collapsed="false">
      <c r="A52" s="519" t="s">
        <v>10848</v>
      </c>
      <c r="B52" s="508" t="n">
        <v>210</v>
      </c>
      <c r="C52" s="519" t="s">
        <v>10849</v>
      </c>
      <c r="D52" s="529" t="s">
        <v>10850</v>
      </c>
      <c r="E52" s="519" t="s">
        <v>4743</v>
      </c>
      <c r="F52" s="519" t="s">
        <v>10702</v>
      </c>
      <c r="G52" s="519" t="s">
        <v>2692</v>
      </c>
      <c r="H52" s="529" t="s">
        <v>10851</v>
      </c>
      <c r="I52" s="519"/>
      <c r="J52" s="519" t="n">
        <v>159047</v>
      </c>
      <c r="K52" s="519" t="n">
        <v>2023</v>
      </c>
      <c r="L52" s="519"/>
      <c r="M52" s="519"/>
      <c r="N52" s="530" t="n">
        <v>2146251</v>
      </c>
      <c r="O52" s="519"/>
      <c r="P52" s="530" t="n">
        <v>5837</v>
      </c>
      <c r="Q52" s="519"/>
      <c r="R52" s="519"/>
      <c r="S52" s="519"/>
      <c r="T52" s="519"/>
      <c r="U52" s="519"/>
      <c r="V52" s="519"/>
      <c r="W52" s="519"/>
      <c r="X52" s="519"/>
      <c r="Y52" s="519"/>
      <c r="Z52" s="519"/>
      <c r="AA52" s="519"/>
      <c r="AB52" s="530" t="n">
        <v>2813</v>
      </c>
      <c r="AC52" s="519"/>
      <c r="AD52" s="519"/>
      <c r="AE52" s="519"/>
      <c r="AF52" s="519"/>
      <c r="AG52" s="519"/>
      <c r="AH52" s="519"/>
      <c r="AI52" s="519"/>
      <c r="AJ52" s="530" t="n">
        <v>1015103</v>
      </c>
      <c r="AK52" s="530" t="n">
        <v>1131148</v>
      </c>
      <c r="AL52" s="519"/>
      <c r="AM52" s="529" t="s">
        <v>11278</v>
      </c>
      <c r="AN52" s="1" t="e">
        <f aca="false">IF(AND($B52=Subj_OccCode,Subj_BldgSF&gt;0,ABS($J52-Subj_BldgSF)&lt;=Subj_BldgSF*Subj_SizeTol),ABS($J52-Subj_BldgSF),NA())</f>
        <v>#N/A</v>
      </c>
      <c r="AO52" s="1" t="e">
        <f aca="false">IF(ISNA(AN52),NA(),AN52+ROW()/10000000)</f>
        <v>#N/A</v>
      </c>
      <c r="AR52" s="290" t="str">
        <f aca="false">IF(B52="","",IFERROR(INDEX(OCC_TABLE_DESC,MATCH(B52,OCC_TABLE_CODE,0)),"Unrecognized code"))</f>
        <v>Industrial Flex Mall Building</v>
      </c>
    </row>
    <row r="53" customFormat="false" ht="25.5" hidden="false" customHeight="true" outlineLevel="0" collapsed="false">
      <c r="A53" s="519" t="s">
        <v>10848</v>
      </c>
      <c r="B53" s="508" t="n">
        <v>210</v>
      </c>
      <c r="C53" s="519" t="s">
        <v>10849</v>
      </c>
      <c r="D53" s="529" t="s">
        <v>10850</v>
      </c>
      <c r="E53" s="519" t="s">
        <v>4743</v>
      </c>
      <c r="F53" s="519" t="s">
        <v>10702</v>
      </c>
      <c r="G53" s="519" t="s">
        <v>2692</v>
      </c>
      <c r="H53" s="529" t="s">
        <v>10851</v>
      </c>
      <c r="I53" s="519"/>
      <c r="J53" s="519" t="n">
        <v>159047</v>
      </c>
      <c r="K53" s="519" t="n">
        <v>2024</v>
      </c>
      <c r="L53" s="519"/>
      <c r="M53" s="519"/>
      <c r="N53" s="530" t="n">
        <v>2148251</v>
      </c>
      <c r="O53" s="519"/>
      <c r="P53" s="519"/>
      <c r="Q53" s="519"/>
      <c r="R53" s="519"/>
      <c r="S53" s="519"/>
      <c r="T53" s="519"/>
      <c r="U53" s="519"/>
      <c r="V53" s="519"/>
      <c r="W53" s="519"/>
      <c r="X53" s="519"/>
      <c r="Y53" s="519"/>
      <c r="Z53" s="519"/>
      <c r="AA53" s="519"/>
      <c r="AB53" s="530" t="n">
        <v>2813</v>
      </c>
      <c r="AC53" s="519"/>
      <c r="AD53" s="519"/>
      <c r="AE53" s="519"/>
      <c r="AF53" s="519"/>
      <c r="AG53" s="519"/>
      <c r="AH53" s="519"/>
      <c r="AI53" s="519"/>
      <c r="AJ53" s="530" t="n">
        <v>1176766</v>
      </c>
      <c r="AK53" s="530" t="n">
        <v>971485</v>
      </c>
      <c r="AL53" s="519"/>
      <c r="AM53" s="529" t="s">
        <v>11278</v>
      </c>
      <c r="AN53" s="1" t="e">
        <f aca="false">IF(AND($B53=Subj_OccCode,Subj_BldgSF&gt;0,ABS($J53-Subj_BldgSF)&lt;=Subj_BldgSF*Subj_SizeTol),ABS($J53-Subj_BldgSF),NA())</f>
        <v>#N/A</v>
      </c>
      <c r="AO53" s="1" t="e">
        <f aca="false">IF(ISNA(AN53),NA(),AN53+ROW()/10000000)</f>
        <v>#N/A</v>
      </c>
      <c r="AR53" s="290" t="str">
        <f aca="false">IF(B53="","",IFERROR(INDEX(OCC_TABLE_DESC,MATCH(B53,OCC_TABLE_CODE,0)),"Unrecognized code"))</f>
        <v>Industrial Flex Mall Building</v>
      </c>
    </row>
    <row r="54" customFormat="false" ht="25.5" hidden="false" customHeight="true" outlineLevel="0" collapsed="false">
      <c r="A54" s="519" t="s">
        <v>10853</v>
      </c>
      <c r="B54" s="508" t="n">
        <v>406</v>
      </c>
      <c r="C54" s="519" t="s">
        <v>3862</v>
      </c>
      <c r="D54" s="529" t="s">
        <v>10854</v>
      </c>
      <c r="E54" s="519" t="s">
        <v>4420</v>
      </c>
      <c r="F54" s="519" t="s">
        <v>10702</v>
      </c>
      <c r="G54" s="519" t="s">
        <v>2692</v>
      </c>
      <c r="H54" s="529" t="s">
        <v>10855</v>
      </c>
      <c r="I54" s="519"/>
      <c r="J54" s="519" t="n">
        <v>29512</v>
      </c>
      <c r="K54" s="519" t="n">
        <v>2024</v>
      </c>
      <c r="L54" s="519"/>
      <c r="M54" s="519"/>
      <c r="N54" s="530" t="n">
        <v>419456</v>
      </c>
      <c r="O54" s="530" t="n">
        <v>4427</v>
      </c>
      <c r="P54" s="530" t="n">
        <v>10486</v>
      </c>
      <c r="Q54" s="519"/>
      <c r="R54" s="519"/>
      <c r="S54" s="519"/>
      <c r="T54" s="519"/>
      <c r="U54" s="519"/>
      <c r="V54" s="519"/>
      <c r="W54" s="519"/>
      <c r="X54" s="530" t="n">
        <v>16232</v>
      </c>
      <c r="Y54" s="530" t="n">
        <v>16232</v>
      </c>
      <c r="Z54" s="519"/>
      <c r="AA54" s="519"/>
      <c r="AB54" s="519"/>
      <c r="AC54" s="519"/>
      <c r="AD54" s="519"/>
      <c r="AE54" s="519"/>
      <c r="AF54" s="530" t="n">
        <v>7378</v>
      </c>
      <c r="AG54" s="530" t="n">
        <v>14756</v>
      </c>
      <c r="AH54" s="530" t="n">
        <v>59181</v>
      </c>
      <c r="AI54" s="530" t="n">
        <v>97831</v>
      </c>
      <c r="AJ54" s="530" t="n">
        <v>157012</v>
      </c>
      <c r="AK54" s="530" t="n">
        <v>262444</v>
      </c>
      <c r="AL54" s="530" t="n">
        <v>5902</v>
      </c>
      <c r="AM54" s="529" t="s">
        <v>11279</v>
      </c>
      <c r="AN54" s="1" t="e">
        <f aca="false">IF(AND($B54=Subj_OccCode,Subj_BldgSF&gt;0,ABS($J54-Subj_BldgSF)&lt;=Subj_BldgSF*Subj_SizeTol),ABS($J54-Subj_BldgSF),NA())</f>
        <v>#N/A</v>
      </c>
      <c r="AO54" s="1" t="e">
        <f aca="false">IF(ISNA(AN54),NA(),AN54+ROW()/10000000)</f>
        <v>#N/A</v>
      </c>
      <c r="AR54" s="290" t="str">
        <f aca="false">IF(B54="","",IFERROR(INDEX(OCC_TABLE_DESC,MATCH(B54,OCC_TABLE_CODE,0)),"Unrecognized code"))</f>
        <v>Storage Warehouse</v>
      </c>
    </row>
    <row r="55" customFormat="false" ht="25.5" hidden="false" customHeight="true" outlineLevel="0" collapsed="false">
      <c r="A55" s="519" t="s">
        <v>10833</v>
      </c>
      <c r="B55" s="508" t="n">
        <v>210</v>
      </c>
      <c r="C55" s="519" t="s">
        <v>10834</v>
      </c>
      <c r="D55" s="529" t="s">
        <v>10835</v>
      </c>
      <c r="E55" s="519" t="s">
        <v>4743</v>
      </c>
      <c r="F55" s="519" t="s">
        <v>10702</v>
      </c>
      <c r="G55" s="519" t="s">
        <v>2692</v>
      </c>
      <c r="H55" s="529" t="s">
        <v>10836</v>
      </c>
      <c r="I55" s="519" t="n">
        <v>1998</v>
      </c>
      <c r="J55" s="519" t="n">
        <v>123603</v>
      </c>
      <c r="K55" s="519" t="n">
        <v>2021</v>
      </c>
      <c r="L55" s="519"/>
      <c r="M55" s="519"/>
      <c r="N55" s="519"/>
      <c r="O55" s="530" t="n">
        <v>10376</v>
      </c>
      <c r="P55" s="530" t="n">
        <v>43384</v>
      </c>
      <c r="Q55" s="519"/>
      <c r="R55" s="519"/>
      <c r="S55" s="519"/>
      <c r="T55" s="519"/>
      <c r="U55" s="519"/>
      <c r="V55" s="519"/>
      <c r="W55" s="519"/>
      <c r="X55" s="519"/>
      <c r="Y55" s="519"/>
      <c r="Z55" s="519"/>
      <c r="AA55" s="519"/>
      <c r="AB55" s="519"/>
      <c r="AC55" s="530" t="n">
        <v>88626</v>
      </c>
      <c r="AD55" s="519"/>
      <c r="AE55" s="519"/>
      <c r="AF55" s="530" t="n">
        <v>37062</v>
      </c>
      <c r="AG55" s="519"/>
      <c r="AH55" s="530" t="n">
        <v>179448</v>
      </c>
      <c r="AI55" s="530" t="n">
        <v>289126</v>
      </c>
      <c r="AJ55" s="530" t="n">
        <v>468574</v>
      </c>
      <c r="AK55" s="519"/>
      <c r="AL55" s="519"/>
      <c r="AM55" s="529" t="s">
        <v>11280</v>
      </c>
      <c r="AN55" s="1" t="e">
        <f aca="false">IF(AND($B55=Subj_OccCode,Subj_BldgSF&gt;0,ABS($J55-Subj_BldgSF)&lt;=Subj_BldgSF*Subj_SizeTol),ABS($J55-Subj_BldgSF),NA())</f>
        <v>#N/A</v>
      </c>
      <c r="AO55" s="1" t="e">
        <f aca="false">IF(ISNA(AN55),NA(),AN55+ROW()/10000000)</f>
        <v>#N/A</v>
      </c>
      <c r="AR55" s="290" t="str">
        <f aca="false">IF(B55="","",IFERROR(INDEX(OCC_TABLE_DESC,MATCH(B55,OCC_TABLE_CODE,0)),"Unrecognized code"))</f>
        <v>Industrial Flex Mall Building</v>
      </c>
    </row>
    <row r="56" customFormat="false" ht="25.5" hidden="false" customHeight="true" outlineLevel="0" collapsed="false">
      <c r="A56" s="519" t="s">
        <v>10833</v>
      </c>
      <c r="B56" s="508" t="n">
        <v>210</v>
      </c>
      <c r="C56" s="519" t="s">
        <v>10834</v>
      </c>
      <c r="D56" s="529" t="s">
        <v>10835</v>
      </c>
      <c r="E56" s="519" t="s">
        <v>4743</v>
      </c>
      <c r="F56" s="519" t="s">
        <v>10702</v>
      </c>
      <c r="G56" s="519" t="s">
        <v>2692</v>
      </c>
      <c r="H56" s="529" t="s">
        <v>10836</v>
      </c>
      <c r="I56" s="519" t="n">
        <v>1998</v>
      </c>
      <c r="J56" s="519" t="n">
        <v>123603</v>
      </c>
      <c r="K56" s="519" t="n">
        <v>2022</v>
      </c>
      <c r="L56" s="519"/>
      <c r="M56" s="519"/>
      <c r="N56" s="519"/>
      <c r="O56" s="530" t="n">
        <v>11039</v>
      </c>
      <c r="P56" s="530" t="n">
        <v>39811</v>
      </c>
      <c r="Q56" s="519"/>
      <c r="R56" s="519"/>
      <c r="S56" s="519"/>
      <c r="T56" s="519"/>
      <c r="U56" s="519"/>
      <c r="V56" s="519"/>
      <c r="W56" s="519"/>
      <c r="X56" s="519"/>
      <c r="Y56" s="519"/>
      <c r="Z56" s="519"/>
      <c r="AA56" s="519"/>
      <c r="AB56" s="519"/>
      <c r="AC56" s="530" t="n">
        <v>91945</v>
      </c>
      <c r="AD56" s="519"/>
      <c r="AE56" s="519"/>
      <c r="AF56" s="530" t="n">
        <v>38461</v>
      </c>
      <c r="AG56" s="519"/>
      <c r="AH56" s="530" t="n">
        <v>181256</v>
      </c>
      <c r="AI56" s="530" t="n">
        <v>318845</v>
      </c>
      <c r="AJ56" s="530" t="n">
        <v>500101</v>
      </c>
      <c r="AK56" s="519"/>
      <c r="AL56" s="519"/>
      <c r="AM56" s="529" t="s">
        <v>11280</v>
      </c>
      <c r="AN56" s="1" t="e">
        <f aca="false">IF(AND($B56=Subj_OccCode,Subj_BldgSF&gt;0,ABS($J56-Subj_BldgSF)&lt;=Subj_BldgSF*Subj_SizeTol),ABS($J56-Subj_BldgSF),NA())</f>
        <v>#N/A</v>
      </c>
      <c r="AO56" s="1" t="e">
        <f aca="false">IF(ISNA(AN56),NA(),AN56+ROW()/10000000)</f>
        <v>#N/A</v>
      </c>
      <c r="AR56" s="290" t="str">
        <f aca="false">IF(B56="","",IFERROR(INDEX(OCC_TABLE_DESC,MATCH(B56,OCC_TABLE_CODE,0)),"Unrecognized code"))</f>
        <v>Industrial Flex Mall Building</v>
      </c>
    </row>
    <row r="57" customFormat="false" ht="25.5" hidden="false" customHeight="true" outlineLevel="0" collapsed="false">
      <c r="A57" s="519" t="s">
        <v>10844</v>
      </c>
      <c r="B57" s="508" t="n">
        <v>407</v>
      </c>
      <c r="C57" s="519" t="s">
        <v>10845</v>
      </c>
      <c r="D57" s="529" t="s">
        <v>10846</v>
      </c>
      <c r="E57" s="519" t="s">
        <v>4743</v>
      </c>
      <c r="F57" s="519" t="s">
        <v>10702</v>
      </c>
      <c r="G57" s="519" t="s">
        <v>2692</v>
      </c>
      <c r="H57" s="529" t="s">
        <v>10842</v>
      </c>
      <c r="I57" s="519" t="n">
        <v>1998</v>
      </c>
      <c r="J57" s="519" t="n">
        <v>199962</v>
      </c>
      <c r="K57" s="519" t="n">
        <v>2019</v>
      </c>
      <c r="L57" s="519"/>
      <c r="M57" s="519"/>
      <c r="N57" s="519"/>
      <c r="O57" s="530" t="n">
        <v>8457</v>
      </c>
      <c r="P57" s="530" t="n">
        <v>26194</v>
      </c>
      <c r="Q57" s="519"/>
      <c r="R57" s="519"/>
      <c r="S57" s="519"/>
      <c r="T57" s="519"/>
      <c r="U57" s="519"/>
      <c r="V57" s="519"/>
      <c r="W57" s="519"/>
      <c r="X57" s="519"/>
      <c r="Y57" s="519"/>
      <c r="Z57" s="519"/>
      <c r="AA57" s="519"/>
      <c r="AB57" s="519"/>
      <c r="AC57" s="530" t="n">
        <v>261694</v>
      </c>
      <c r="AD57" s="519"/>
      <c r="AE57" s="519"/>
      <c r="AF57" s="519"/>
      <c r="AG57" s="519"/>
      <c r="AH57" s="530" t="n">
        <v>296345</v>
      </c>
      <c r="AI57" s="530" t="n">
        <v>494719</v>
      </c>
      <c r="AJ57" s="530" t="n">
        <v>791064</v>
      </c>
      <c r="AK57" s="519"/>
      <c r="AL57" s="519"/>
      <c r="AM57" s="529" t="s">
        <v>11280</v>
      </c>
      <c r="AN57" s="1" t="e">
        <f aca="false">IF(AND($B57=Subj_OccCode,Subj_BldgSF&gt;0,ABS($J57-Subj_BldgSF)&lt;=Subj_BldgSF*Subj_SizeTol),ABS($J57-Subj_BldgSF),NA())</f>
        <v>#N/A</v>
      </c>
      <c r="AO57" s="1" t="e">
        <f aca="false">IF(ISNA(AN57),NA(),AN57+ROW()/10000000)</f>
        <v>#N/A</v>
      </c>
      <c r="AR57" s="290" t="str">
        <f aca="false">IF(B57="","",IFERROR(INDEX(OCC_TABLE_DESC,MATCH(B57,OCC_TABLE_CODE,0)),"Unrecognized code"))</f>
        <v>Distribution Warehouse</v>
      </c>
    </row>
    <row r="58" customFormat="false" ht="25.5" hidden="false" customHeight="true" outlineLevel="0" collapsed="false">
      <c r="A58" s="519" t="s">
        <v>10844</v>
      </c>
      <c r="B58" s="508" t="n">
        <v>407</v>
      </c>
      <c r="C58" s="519" t="s">
        <v>10845</v>
      </c>
      <c r="D58" s="529" t="s">
        <v>10846</v>
      </c>
      <c r="E58" s="519" t="s">
        <v>4743</v>
      </c>
      <c r="F58" s="519" t="s">
        <v>10702</v>
      </c>
      <c r="G58" s="519" t="s">
        <v>2692</v>
      </c>
      <c r="H58" s="529" t="s">
        <v>10842</v>
      </c>
      <c r="I58" s="519" t="n">
        <v>1998</v>
      </c>
      <c r="J58" s="519" t="n">
        <v>199962</v>
      </c>
      <c r="K58" s="519" t="n">
        <v>2020</v>
      </c>
      <c r="L58" s="519"/>
      <c r="M58" s="519"/>
      <c r="N58" s="519"/>
      <c r="O58" s="530" t="n">
        <v>9678</v>
      </c>
      <c r="P58" s="530" t="n">
        <v>26625</v>
      </c>
      <c r="Q58" s="519"/>
      <c r="R58" s="519"/>
      <c r="S58" s="519"/>
      <c r="T58" s="519"/>
      <c r="U58" s="519"/>
      <c r="V58" s="519"/>
      <c r="W58" s="519"/>
      <c r="X58" s="519"/>
      <c r="Y58" s="519"/>
      <c r="Z58" s="519"/>
      <c r="AA58" s="519"/>
      <c r="AB58" s="519"/>
      <c r="AC58" s="530" t="n">
        <v>144817</v>
      </c>
      <c r="AD58" s="519"/>
      <c r="AE58" s="519"/>
      <c r="AF58" s="519"/>
      <c r="AG58" s="519"/>
      <c r="AH58" s="530" t="n">
        <v>181120</v>
      </c>
      <c r="AI58" s="530" t="n">
        <v>415592</v>
      </c>
      <c r="AJ58" s="530" t="n">
        <v>596712</v>
      </c>
      <c r="AK58" s="519"/>
      <c r="AL58" s="519"/>
      <c r="AM58" s="529" t="s">
        <v>11280</v>
      </c>
      <c r="AN58" s="1" t="e">
        <f aca="false">IF(AND($B58=Subj_OccCode,Subj_BldgSF&gt;0,ABS($J58-Subj_BldgSF)&lt;=Subj_BldgSF*Subj_SizeTol),ABS($J58-Subj_BldgSF),NA())</f>
        <v>#N/A</v>
      </c>
      <c r="AO58" s="1" t="e">
        <f aca="false">IF(ISNA(AN58),NA(),AN58+ROW()/10000000)</f>
        <v>#N/A</v>
      </c>
      <c r="AR58" s="290" t="str">
        <f aca="false">IF(B58="","",IFERROR(INDEX(OCC_TABLE_DESC,MATCH(B58,OCC_TABLE_CODE,0)),"Unrecognized code"))</f>
        <v>Distribution Warehouse</v>
      </c>
    </row>
    <row r="59" customFormat="false" ht="25.5" hidden="false" customHeight="true" outlineLevel="0" collapsed="false">
      <c r="A59" s="519" t="s">
        <v>10848</v>
      </c>
      <c r="B59" s="508" t="n">
        <v>210</v>
      </c>
      <c r="C59" s="519" t="s">
        <v>10849</v>
      </c>
      <c r="D59" s="529" t="s">
        <v>10850</v>
      </c>
      <c r="E59" s="519" t="s">
        <v>4743</v>
      </c>
      <c r="F59" s="519" t="s">
        <v>10702</v>
      </c>
      <c r="G59" s="519" t="s">
        <v>2692</v>
      </c>
      <c r="H59" s="529" t="s">
        <v>10851</v>
      </c>
      <c r="I59" s="519" t="n">
        <v>2017</v>
      </c>
      <c r="J59" s="519" t="n">
        <v>159047</v>
      </c>
      <c r="K59" s="519" t="n">
        <v>2021</v>
      </c>
      <c r="L59" s="519"/>
      <c r="M59" s="519"/>
      <c r="N59" s="519"/>
      <c r="O59" s="530" t="n">
        <v>15209</v>
      </c>
      <c r="P59" s="530" t="n">
        <v>53747</v>
      </c>
      <c r="Q59" s="519"/>
      <c r="R59" s="519"/>
      <c r="S59" s="519"/>
      <c r="T59" s="519"/>
      <c r="U59" s="519"/>
      <c r="V59" s="519"/>
      <c r="W59" s="519"/>
      <c r="X59" s="519"/>
      <c r="Y59" s="519"/>
      <c r="Z59" s="519"/>
      <c r="AA59" s="519"/>
      <c r="AB59" s="519"/>
      <c r="AC59" s="530" t="n">
        <v>59915</v>
      </c>
      <c r="AD59" s="519"/>
      <c r="AE59" s="519"/>
      <c r="AF59" s="530" t="n">
        <v>46324</v>
      </c>
      <c r="AG59" s="519"/>
      <c r="AH59" s="530" t="n">
        <v>175195</v>
      </c>
      <c r="AI59" s="530" t="n">
        <v>554960</v>
      </c>
      <c r="AJ59" s="530" t="n">
        <v>730155</v>
      </c>
      <c r="AK59" s="519"/>
      <c r="AL59" s="519"/>
      <c r="AM59" s="529" t="s">
        <v>11280</v>
      </c>
      <c r="AN59" s="1" t="e">
        <f aca="false">IF(AND($B59=Subj_OccCode,Subj_BldgSF&gt;0,ABS($J59-Subj_BldgSF)&lt;=Subj_BldgSF*Subj_SizeTol),ABS($J59-Subj_BldgSF),NA())</f>
        <v>#N/A</v>
      </c>
      <c r="AO59" s="1" t="e">
        <f aca="false">IF(ISNA(AN59),NA(),AN59+ROW()/10000000)</f>
        <v>#N/A</v>
      </c>
      <c r="AR59" s="290" t="str">
        <f aca="false">IF(B59="","",IFERROR(INDEX(OCC_TABLE_DESC,MATCH(B59,OCC_TABLE_CODE,0)),"Unrecognized code"))</f>
        <v>Industrial Flex Mall Building</v>
      </c>
    </row>
    <row r="60" customFormat="false" ht="25.5" hidden="false" customHeight="true" outlineLevel="0" collapsed="false">
      <c r="A60" s="519" t="s">
        <v>10848</v>
      </c>
      <c r="B60" s="508" t="n">
        <v>210</v>
      </c>
      <c r="C60" s="519" t="s">
        <v>10849</v>
      </c>
      <c r="D60" s="529" t="s">
        <v>10850</v>
      </c>
      <c r="E60" s="519" t="s">
        <v>4743</v>
      </c>
      <c r="F60" s="519" t="s">
        <v>10702</v>
      </c>
      <c r="G60" s="519" t="s">
        <v>2692</v>
      </c>
      <c r="H60" s="529" t="s">
        <v>10851</v>
      </c>
      <c r="I60" s="519" t="n">
        <v>2017</v>
      </c>
      <c r="J60" s="519" t="n">
        <v>159047</v>
      </c>
      <c r="K60" s="519" t="n">
        <v>2022</v>
      </c>
      <c r="L60" s="519"/>
      <c r="M60" s="519"/>
      <c r="N60" s="519"/>
      <c r="O60" s="530" t="n">
        <v>16181</v>
      </c>
      <c r="P60" s="530" t="n">
        <v>49338</v>
      </c>
      <c r="Q60" s="519"/>
      <c r="R60" s="519"/>
      <c r="S60" s="519"/>
      <c r="T60" s="519"/>
      <c r="U60" s="519"/>
      <c r="V60" s="519"/>
      <c r="W60" s="519"/>
      <c r="X60" s="519"/>
      <c r="Y60" s="519"/>
      <c r="Z60" s="519"/>
      <c r="AA60" s="519"/>
      <c r="AB60" s="519"/>
      <c r="AC60" s="530" t="n">
        <v>53323</v>
      </c>
      <c r="AD60" s="519"/>
      <c r="AE60" s="519"/>
      <c r="AF60" s="530" t="n">
        <v>51404</v>
      </c>
      <c r="AG60" s="519"/>
      <c r="AH60" s="530" t="n">
        <v>170246</v>
      </c>
      <c r="AI60" s="530" t="n">
        <v>468848</v>
      </c>
      <c r="AJ60" s="530" t="n">
        <v>639094</v>
      </c>
      <c r="AK60" s="519"/>
      <c r="AL60" s="519"/>
      <c r="AM60" s="529" t="s">
        <v>11280</v>
      </c>
      <c r="AN60" s="1" t="e">
        <f aca="false">IF(AND($B60=Subj_OccCode,Subj_BldgSF&gt;0,ABS($J60-Subj_BldgSF)&lt;=Subj_BldgSF*Subj_SizeTol),ABS($J60-Subj_BldgSF),NA())</f>
        <v>#N/A</v>
      </c>
      <c r="AO60" s="1" t="e">
        <f aca="false">IF(ISNA(AN60),NA(),AN60+ROW()/10000000)</f>
        <v>#N/A</v>
      </c>
      <c r="AR60" s="290" t="str">
        <f aca="false">IF(B60="","",IFERROR(INDEX(OCC_TABLE_DESC,MATCH(B60,OCC_TABLE_CODE,0)),"Unrecognized code"))</f>
        <v>Industrial Flex Mall Building</v>
      </c>
    </row>
    <row r="61" customFormat="false" ht="25.5" hidden="false" customHeight="true" outlineLevel="0" collapsed="false">
      <c r="A61" s="519" t="s">
        <v>10858</v>
      </c>
      <c r="B61" s="508" t="n">
        <v>407</v>
      </c>
      <c r="C61" s="519" t="s">
        <v>2343</v>
      </c>
      <c r="D61" s="529" t="s">
        <v>10859</v>
      </c>
      <c r="E61" s="519" t="s">
        <v>4420</v>
      </c>
      <c r="F61" s="519" t="s">
        <v>10702</v>
      </c>
      <c r="G61" s="519" t="s">
        <v>2692</v>
      </c>
      <c r="H61" s="529" t="s">
        <v>10860</v>
      </c>
      <c r="I61" s="519" t="n">
        <v>2001</v>
      </c>
      <c r="J61" s="519" t="n">
        <v>200094</v>
      </c>
      <c r="K61" s="519" t="n">
        <v>2021</v>
      </c>
      <c r="L61" s="519"/>
      <c r="M61" s="519"/>
      <c r="N61" s="519"/>
      <c r="O61" s="530" t="n">
        <v>14313</v>
      </c>
      <c r="P61" s="530" t="n">
        <v>53036</v>
      </c>
      <c r="Q61" s="519"/>
      <c r="R61" s="519"/>
      <c r="S61" s="519"/>
      <c r="T61" s="519"/>
      <c r="U61" s="519"/>
      <c r="V61" s="519"/>
      <c r="W61" s="519"/>
      <c r="X61" s="519"/>
      <c r="Y61" s="519"/>
      <c r="Z61" s="519"/>
      <c r="AA61" s="519"/>
      <c r="AB61" s="519"/>
      <c r="AC61" s="530" t="n">
        <v>98037</v>
      </c>
      <c r="AD61" s="519"/>
      <c r="AE61" s="519"/>
      <c r="AF61" s="530" t="n">
        <v>70815</v>
      </c>
      <c r="AG61" s="519"/>
      <c r="AH61" s="530" t="n">
        <v>236201</v>
      </c>
      <c r="AI61" s="530" t="n">
        <v>570651</v>
      </c>
      <c r="AJ61" s="530" t="n">
        <v>806852</v>
      </c>
      <c r="AK61" s="519"/>
      <c r="AL61" s="519"/>
      <c r="AM61" s="529" t="s">
        <v>11281</v>
      </c>
      <c r="AN61" s="1" t="e">
        <f aca="false">IF(AND($B61=Subj_OccCode,Subj_BldgSF&gt;0,ABS($J61-Subj_BldgSF)&lt;=Subj_BldgSF*Subj_SizeTol),ABS($J61-Subj_BldgSF),NA())</f>
        <v>#N/A</v>
      </c>
      <c r="AO61" s="1" t="e">
        <f aca="false">IF(ISNA(AN61),NA(),AN61+ROW()/10000000)</f>
        <v>#N/A</v>
      </c>
      <c r="AR61" s="290" t="str">
        <f aca="false">IF(B61="","",IFERROR(INDEX(OCC_TABLE_DESC,MATCH(B61,OCC_TABLE_CODE,0)),"Unrecognized code"))</f>
        <v>Distribution Warehouse</v>
      </c>
    </row>
    <row r="62" customFormat="false" ht="25.5" hidden="false" customHeight="true" outlineLevel="0" collapsed="false">
      <c r="A62" s="519" t="s">
        <v>10858</v>
      </c>
      <c r="B62" s="508" t="n">
        <v>407</v>
      </c>
      <c r="C62" s="519" t="s">
        <v>2343</v>
      </c>
      <c r="D62" s="529" t="s">
        <v>10859</v>
      </c>
      <c r="E62" s="519" t="s">
        <v>4420</v>
      </c>
      <c r="F62" s="519" t="s">
        <v>10702</v>
      </c>
      <c r="G62" s="519" t="s">
        <v>2692</v>
      </c>
      <c r="H62" s="529" t="s">
        <v>10860</v>
      </c>
      <c r="I62" s="519" t="n">
        <v>2001</v>
      </c>
      <c r="J62" s="519" t="n">
        <v>200094</v>
      </c>
      <c r="K62" s="519" t="n">
        <v>2022</v>
      </c>
      <c r="L62" s="519"/>
      <c r="M62" s="519"/>
      <c r="N62" s="519"/>
      <c r="O62" s="530" t="n">
        <v>15228</v>
      </c>
      <c r="P62" s="530" t="n">
        <v>49506</v>
      </c>
      <c r="Q62" s="519"/>
      <c r="R62" s="519"/>
      <c r="S62" s="519"/>
      <c r="T62" s="519"/>
      <c r="U62" s="519"/>
      <c r="V62" s="519"/>
      <c r="W62" s="519"/>
      <c r="X62" s="519"/>
      <c r="Y62" s="519"/>
      <c r="Z62" s="519"/>
      <c r="AA62" s="519"/>
      <c r="AB62" s="519"/>
      <c r="AC62" s="530" t="n">
        <v>98037</v>
      </c>
      <c r="AD62" s="519"/>
      <c r="AE62" s="519"/>
      <c r="AF62" s="530" t="n">
        <v>70815</v>
      </c>
      <c r="AG62" s="519"/>
      <c r="AH62" s="530" t="n">
        <v>233586</v>
      </c>
      <c r="AI62" s="530" t="n">
        <v>451706</v>
      </c>
      <c r="AJ62" s="530" t="n">
        <v>685292</v>
      </c>
      <c r="AK62" s="519"/>
      <c r="AL62" s="519"/>
      <c r="AM62" s="529" t="s">
        <v>11281</v>
      </c>
      <c r="AN62" s="1" t="e">
        <f aca="false">IF(AND($B62=Subj_OccCode,Subj_BldgSF&gt;0,ABS($J62-Subj_BldgSF)&lt;=Subj_BldgSF*Subj_SizeTol),ABS($J62-Subj_BldgSF),NA())</f>
        <v>#N/A</v>
      </c>
      <c r="AO62" s="1" t="e">
        <f aca="false">IF(ISNA(AN62),NA(),AN62+ROW()/10000000)</f>
        <v>#N/A</v>
      </c>
      <c r="AR62" s="290" t="str">
        <f aca="false">IF(B62="","",IFERROR(INDEX(OCC_TABLE_DESC,MATCH(B62,OCC_TABLE_CODE,0)),"Unrecognized code"))</f>
        <v>Distribution Warehouse</v>
      </c>
    </row>
    <row r="63" customFormat="false" ht="25.5" hidden="false" customHeight="true" outlineLevel="0" collapsed="false">
      <c r="A63" s="519" t="s">
        <v>10863</v>
      </c>
      <c r="B63" s="508" t="n">
        <v>407</v>
      </c>
      <c r="C63" s="519" t="s">
        <v>10864</v>
      </c>
      <c r="D63" s="529" t="s">
        <v>10865</v>
      </c>
      <c r="E63" s="519" t="s">
        <v>4420</v>
      </c>
      <c r="F63" s="519" t="s">
        <v>10702</v>
      </c>
      <c r="G63" s="519" t="s">
        <v>2692</v>
      </c>
      <c r="H63" s="529" t="s">
        <v>10860</v>
      </c>
      <c r="I63" s="519" t="n">
        <v>1997</v>
      </c>
      <c r="J63" s="519" t="n">
        <v>177736</v>
      </c>
      <c r="K63" s="519" t="n">
        <v>2021</v>
      </c>
      <c r="L63" s="519"/>
      <c r="M63" s="519"/>
      <c r="N63" s="519"/>
      <c r="O63" s="530" t="n">
        <v>13073</v>
      </c>
      <c r="P63" s="530" t="n">
        <v>55346</v>
      </c>
      <c r="Q63" s="519"/>
      <c r="R63" s="519"/>
      <c r="S63" s="519"/>
      <c r="T63" s="519"/>
      <c r="U63" s="519"/>
      <c r="V63" s="519"/>
      <c r="W63" s="519"/>
      <c r="X63" s="519"/>
      <c r="Y63" s="519"/>
      <c r="Z63" s="519"/>
      <c r="AA63" s="519"/>
      <c r="AB63" s="519"/>
      <c r="AC63" s="530" t="n">
        <v>98118</v>
      </c>
      <c r="AD63" s="519"/>
      <c r="AE63" s="519"/>
      <c r="AF63" s="530" t="n">
        <v>51405</v>
      </c>
      <c r="AG63" s="519"/>
      <c r="AH63" s="530" t="n">
        <v>217942</v>
      </c>
      <c r="AI63" s="530" t="n">
        <v>483220</v>
      </c>
      <c r="AJ63" s="530" t="n">
        <v>701162</v>
      </c>
      <c r="AK63" s="519"/>
      <c r="AL63" s="519"/>
      <c r="AM63" s="529" t="s">
        <v>11282</v>
      </c>
      <c r="AN63" s="1" t="e">
        <f aca="false">IF(AND($B63=Subj_OccCode,Subj_BldgSF&gt;0,ABS($J63-Subj_BldgSF)&lt;=Subj_BldgSF*Subj_SizeTol),ABS($J63-Subj_BldgSF),NA())</f>
        <v>#N/A</v>
      </c>
      <c r="AO63" s="1" t="e">
        <f aca="false">IF(ISNA(AN63),NA(),AN63+ROW()/10000000)</f>
        <v>#N/A</v>
      </c>
      <c r="AR63" s="290" t="str">
        <f aca="false">IF(B63="","",IFERROR(INDEX(OCC_TABLE_DESC,MATCH(B63,OCC_TABLE_CODE,0)),"Unrecognized code"))</f>
        <v>Distribution Warehouse</v>
      </c>
    </row>
    <row r="64" customFormat="false" ht="25.5" hidden="false" customHeight="true" outlineLevel="0" collapsed="false">
      <c r="A64" s="519" t="s">
        <v>10863</v>
      </c>
      <c r="B64" s="508" t="n">
        <v>407</v>
      </c>
      <c r="C64" s="519" t="s">
        <v>10864</v>
      </c>
      <c r="D64" s="529" t="s">
        <v>10865</v>
      </c>
      <c r="E64" s="519" t="s">
        <v>4420</v>
      </c>
      <c r="F64" s="519" t="s">
        <v>10702</v>
      </c>
      <c r="G64" s="519" t="s">
        <v>2692</v>
      </c>
      <c r="H64" s="529" t="s">
        <v>10860</v>
      </c>
      <c r="I64" s="519" t="n">
        <v>1997</v>
      </c>
      <c r="J64" s="519" t="n">
        <v>177736</v>
      </c>
      <c r="K64" s="519" t="n">
        <v>2022</v>
      </c>
      <c r="L64" s="519"/>
      <c r="M64" s="519"/>
      <c r="N64" s="519"/>
      <c r="O64" s="530" t="n">
        <v>13909</v>
      </c>
      <c r="P64" s="530" t="n">
        <v>55347</v>
      </c>
      <c r="Q64" s="519"/>
      <c r="R64" s="519"/>
      <c r="S64" s="519"/>
      <c r="T64" s="519"/>
      <c r="U64" s="519"/>
      <c r="V64" s="519"/>
      <c r="W64" s="519"/>
      <c r="X64" s="519"/>
      <c r="Y64" s="519"/>
      <c r="Z64" s="519"/>
      <c r="AA64" s="519"/>
      <c r="AB64" s="519"/>
      <c r="AC64" s="530" t="n">
        <v>117141</v>
      </c>
      <c r="AD64" s="519"/>
      <c r="AE64" s="519"/>
      <c r="AF64" s="530" t="n">
        <v>63264</v>
      </c>
      <c r="AG64" s="519"/>
      <c r="AH64" s="530" t="n">
        <v>249661</v>
      </c>
      <c r="AI64" s="530" t="n">
        <v>506747</v>
      </c>
      <c r="AJ64" s="530" t="n">
        <v>756408</v>
      </c>
      <c r="AK64" s="519"/>
      <c r="AL64" s="519"/>
      <c r="AM64" s="529" t="s">
        <v>11282</v>
      </c>
      <c r="AN64" s="1" t="e">
        <f aca="false">IF(AND($B64=Subj_OccCode,Subj_BldgSF&gt;0,ABS($J64-Subj_BldgSF)&lt;=Subj_BldgSF*Subj_SizeTol),ABS($J64-Subj_BldgSF),NA())</f>
        <v>#N/A</v>
      </c>
      <c r="AO64" s="1" t="e">
        <f aca="false">IF(ISNA(AN64),NA(),AN64+ROW()/10000000)</f>
        <v>#N/A</v>
      </c>
      <c r="AR64" s="290" t="str">
        <f aca="false">IF(B64="","",IFERROR(INDEX(OCC_TABLE_DESC,MATCH(B64,OCC_TABLE_CODE,0)),"Unrecognized code"))</f>
        <v>Distribution Warehouse</v>
      </c>
    </row>
    <row r="65" customFormat="false" ht="25.5" hidden="false" customHeight="true" outlineLevel="0" collapsed="false">
      <c r="A65" s="519" t="s">
        <v>10866</v>
      </c>
      <c r="B65" s="508" t="n">
        <v>407</v>
      </c>
      <c r="C65" s="519" t="s">
        <v>10867</v>
      </c>
      <c r="D65" s="529" t="s">
        <v>10868</v>
      </c>
      <c r="E65" s="519" t="s">
        <v>4420</v>
      </c>
      <c r="F65" s="519" t="s">
        <v>10702</v>
      </c>
      <c r="G65" s="519" t="s">
        <v>2692</v>
      </c>
      <c r="H65" s="529" t="s">
        <v>10860</v>
      </c>
      <c r="I65" s="519" t="n">
        <v>1997</v>
      </c>
      <c r="J65" s="519" t="n">
        <v>200371</v>
      </c>
      <c r="K65" s="519" t="n">
        <v>2021</v>
      </c>
      <c r="L65" s="519"/>
      <c r="M65" s="519"/>
      <c r="N65" s="519"/>
      <c r="O65" s="530" t="n">
        <v>13750</v>
      </c>
      <c r="P65" s="530" t="n">
        <v>32155</v>
      </c>
      <c r="Q65" s="519"/>
      <c r="R65" s="519"/>
      <c r="S65" s="519"/>
      <c r="T65" s="519"/>
      <c r="U65" s="519"/>
      <c r="V65" s="519"/>
      <c r="W65" s="519"/>
      <c r="X65" s="519"/>
      <c r="Y65" s="519"/>
      <c r="Z65" s="519"/>
      <c r="AA65" s="519"/>
      <c r="AB65" s="519"/>
      <c r="AC65" s="530" t="n">
        <v>117597</v>
      </c>
      <c r="AD65" s="519"/>
      <c r="AE65" s="519"/>
      <c r="AF65" s="519"/>
      <c r="AG65" s="519"/>
      <c r="AH65" s="530" t="n">
        <v>163502</v>
      </c>
      <c r="AI65" s="530" t="n">
        <v>499309</v>
      </c>
      <c r="AJ65" s="530" t="n">
        <v>662811</v>
      </c>
      <c r="AK65" s="519"/>
      <c r="AL65" s="519"/>
      <c r="AM65" s="529" t="s">
        <v>11283</v>
      </c>
      <c r="AN65" s="1" t="e">
        <f aca="false">IF(AND($B65=Subj_OccCode,Subj_BldgSF&gt;0,ABS($J65-Subj_BldgSF)&lt;=Subj_BldgSF*Subj_SizeTol),ABS($J65-Subj_BldgSF),NA())</f>
        <v>#N/A</v>
      </c>
      <c r="AO65" s="1" t="e">
        <f aca="false">IF(ISNA(AN65),NA(),AN65+ROW()/10000000)</f>
        <v>#N/A</v>
      </c>
      <c r="AR65" s="290" t="str">
        <f aca="false">IF(B65="","",IFERROR(INDEX(OCC_TABLE_DESC,MATCH(B65,OCC_TABLE_CODE,0)),"Unrecognized code"))</f>
        <v>Distribution Warehouse</v>
      </c>
    </row>
    <row r="66" customFormat="false" ht="25.5" hidden="false" customHeight="true" outlineLevel="0" collapsed="false">
      <c r="A66" s="519" t="s">
        <v>10866</v>
      </c>
      <c r="B66" s="508" t="n">
        <v>407</v>
      </c>
      <c r="C66" s="519" t="s">
        <v>10867</v>
      </c>
      <c r="D66" s="529" t="s">
        <v>10868</v>
      </c>
      <c r="E66" s="519" t="s">
        <v>4420</v>
      </c>
      <c r="F66" s="519" t="s">
        <v>10702</v>
      </c>
      <c r="G66" s="519" t="s">
        <v>2692</v>
      </c>
      <c r="H66" s="529" t="s">
        <v>10860</v>
      </c>
      <c r="I66" s="519" t="n">
        <v>1997</v>
      </c>
      <c r="J66" s="519" t="n">
        <v>200371</v>
      </c>
      <c r="K66" s="519" t="n">
        <v>2022</v>
      </c>
      <c r="L66" s="519"/>
      <c r="M66" s="519"/>
      <c r="N66" s="519"/>
      <c r="O66" s="530" t="n">
        <v>14629</v>
      </c>
      <c r="P66" s="530" t="n">
        <v>29974</v>
      </c>
      <c r="Q66" s="519"/>
      <c r="R66" s="519"/>
      <c r="S66" s="519"/>
      <c r="T66" s="519"/>
      <c r="U66" s="519"/>
      <c r="V66" s="519"/>
      <c r="W66" s="519"/>
      <c r="X66" s="519"/>
      <c r="Y66" s="519"/>
      <c r="Z66" s="519"/>
      <c r="AA66" s="519"/>
      <c r="AB66" s="519"/>
      <c r="AC66" s="530" t="n">
        <v>103927</v>
      </c>
      <c r="AD66" s="519"/>
      <c r="AE66" s="519"/>
      <c r="AF66" s="519"/>
      <c r="AG66" s="519"/>
      <c r="AH66" s="530" t="n">
        <v>148530</v>
      </c>
      <c r="AI66" s="530" t="n">
        <v>518816</v>
      </c>
      <c r="AJ66" s="530" t="n">
        <v>667346</v>
      </c>
      <c r="AK66" s="519"/>
      <c r="AL66" s="519"/>
      <c r="AM66" s="529" t="s">
        <v>11283</v>
      </c>
      <c r="AN66" s="1" t="e">
        <f aca="false">IF(AND($B66=Subj_OccCode,Subj_BldgSF&gt;0,ABS($J66-Subj_BldgSF)&lt;=Subj_BldgSF*Subj_SizeTol),ABS($J66-Subj_BldgSF),NA())</f>
        <v>#N/A</v>
      </c>
      <c r="AO66" s="1" t="e">
        <f aca="false">IF(ISNA(AN66),NA(),AN66+ROW()/10000000)</f>
        <v>#N/A</v>
      </c>
      <c r="AR66" s="290" t="str">
        <f aca="false">IF(B66="","",IFERROR(INDEX(OCC_TABLE_DESC,MATCH(B66,OCC_TABLE_CODE,0)),"Unrecognized code"))</f>
        <v>Distribution Warehouse</v>
      </c>
    </row>
    <row r="67" customFormat="false" ht="25.5" hidden="false" customHeight="true" outlineLevel="0" collapsed="false">
      <c r="A67" s="519" t="s">
        <v>10869</v>
      </c>
      <c r="B67" s="508" t="n">
        <v>584</v>
      </c>
      <c r="C67" s="519" t="s">
        <v>10870</v>
      </c>
      <c r="D67" s="529" t="s">
        <v>10871</v>
      </c>
      <c r="E67" s="519" t="s">
        <v>4420</v>
      </c>
      <c r="F67" s="519" t="s">
        <v>10702</v>
      </c>
      <c r="G67" s="519" t="s">
        <v>2692</v>
      </c>
      <c r="H67" s="529" t="s">
        <v>10860</v>
      </c>
      <c r="I67" s="519" t="n">
        <v>2021</v>
      </c>
      <c r="J67" s="519" t="n">
        <v>548510</v>
      </c>
      <c r="K67" s="519" t="n">
        <v>2022</v>
      </c>
      <c r="L67" s="519"/>
      <c r="M67" s="519"/>
      <c r="N67" s="519"/>
      <c r="O67" s="530" t="n">
        <v>64009</v>
      </c>
      <c r="P67" s="530" t="n">
        <v>58266</v>
      </c>
      <c r="Q67" s="519"/>
      <c r="R67" s="519"/>
      <c r="S67" s="519"/>
      <c r="T67" s="519"/>
      <c r="U67" s="519"/>
      <c r="V67" s="519"/>
      <c r="W67" s="519"/>
      <c r="X67" s="519"/>
      <c r="Y67" s="519"/>
      <c r="Z67" s="519"/>
      <c r="AA67" s="519"/>
      <c r="AB67" s="519"/>
      <c r="AC67" s="530" t="n">
        <v>96936</v>
      </c>
      <c r="AD67" s="519"/>
      <c r="AE67" s="519"/>
      <c r="AF67" s="530" t="n">
        <v>20844</v>
      </c>
      <c r="AG67" s="519"/>
      <c r="AH67" s="530" t="n">
        <v>240055</v>
      </c>
      <c r="AI67" s="530" t="n">
        <v>1245681</v>
      </c>
      <c r="AJ67" s="530" t="n">
        <v>1485736</v>
      </c>
      <c r="AK67" s="519"/>
      <c r="AL67" s="519"/>
      <c r="AM67" s="529" t="s">
        <v>11284</v>
      </c>
      <c r="AN67" s="1" t="e">
        <f aca="false">IF(AND($B67=Subj_OccCode,Subj_BldgSF&gt;0,ABS($J67-Subj_BldgSF)&lt;=Subj_BldgSF*Subj_SizeTol),ABS($J67-Subj_BldgSF),NA())</f>
        <v>#N/A</v>
      </c>
      <c r="AO67" s="1" t="e">
        <f aca="false">IF(ISNA(AN67),NA(),AN67+ROW()/10000000)</f>
        <v>#N/A</v>
      </c>
      <c r="AR67" s="290" t="str">
        <f aca="false">IF(B67="","",IFERROR(INDEX(OCC_TABLE_DESC,MATCH(B67,OCC_TABLE_CODE,0)),"Unrecognized code"))</f>
        <v>Mega Warehouse</v>
      </c>
    </row>
    <row r="68" customFormat="false" ht="25.5" hidden="false" customHeight="true" outlineLevel="0" collapsed="false">
      <c r="A68" s="519" t="s">
        <v>10873</v>
      </c>
      <c r="B68" s="508" t="n">
        <v>407</v>
      </c>
      <c r="C68" s="519" t="s">
        <v>10874</v>
      </c>
      <c r="D68" s="529" t="s">
        <v>10875</v>
      </c>
      <c r="E68" s="519" t="s">
        <v>4420</v>
      </c>
      <c r="F68" s="519" t="s">
        <v>10702</v>
      </c>
      <c r="G68" s="519" t="s">
        <v>2692</v>
      </c>
      <c r="H68" s="529" t="s">
        <v>10860</v>
      </c>
      <c r="I68" s="519" t="n">
        <v>2000</v>
      </c>
      <c r="J68" s="519" t="n">
        <v>149175</v>
      </c>
      <c r="K68" s="519" t="n">
        <v>2019</v>
      </c>
      <c r="L68" s="519"/>
      <c r="M68" s="519"/>
      <c r="N68" s="519"/>
      <c r="O68" s="530" t="n">
        <v>6519</v>
      </c>
      <c r="P68" s="530" t="n">
        <v>22700</v>
      </c>
      <c r="Q68" s="519"/>
      <c r="R68" s="519"/>
      <c r="S68" s="519"/>
      <c r="T68" s="519"/>
      <c r="U68" s="519"/>
      <c r="V68" s="519"/>
      <c r="W68" s="519"/>
      <c r="X68" s="519"/>
      <c r="Y68" s="519"/>
      <c r="Z68" s="519"/>
      <c r="AA68" s="519"/>
      <c r="AB68" s="519"/>
      <c r="AC68" s="530" t="n">
        <v>101769</v>
      </c>
      <c r="AD68" s="519"/>
      <c r="AE68" s="519"/>
      <c r="AF68" s="519"/>
      <c r="AG68" s="519"/>
      <c r="AH68" s="530" t="n">
        <v>130988</v>
      </c>
      <c r="AI68" s="530" t="n">
        <v>281972</v>
      </c>
      <c r="AJ68" s="530" t="n">
        <v>412960</v>
      </c>
      <c r="AK68" s="519"/>
      <c r="AL68" s="519"/>
      <c r="AM68" s="529" t="s">
        <v>11285</v>
      </c>
      <c r="AN68" s="1" t="e">
        <f aca="false">IF(AND($B68=Subj_OccCode,Subj_BldgSF&gt;0,ABS($J68-Subj_BldgSF)&lt;=Subj_BldgSF*Subj_SizeTol),ABS($J68-Subj_BldgSF),NA())</f>
        <v>#N/A</v>
      </c>
      <c r="AO68" s="1" t="e">
        <f aca="false">IF(ISNA(AN68),NA(),AN68+ROW()/10000000)</f>
        <v>#N/A</v>
      </c>
      <c r="AR68" s="290" t="str">
        <f aca="false">IF(B68="","",IFERROR(INDEX(OCC_TABLE_DESC,MATCH(B68,OCC_TABLE_CODE,0)),"Unrecognized code"))</f>
        <v>Distribution Warehouse</v>
      </c>
    </row>
    <row r="69" customFormat="false" ht="25.5" hidden="false" customHeight="true" outlineLevel="0" collapsed="false">
      <c r="A69" s="519" t="s">
        <v>10873</v>
      </c>
      <c r="B69" s="508" t="n">
        <v>407</v>
      </c>
      <c r="C69" s="519" t="s">
        <v>10874</v>
      </c>
      <c r="D69" s="529" t="s">
        <v>10875</v>
      </c>
      <c r="E69" s="519" t="s">
        <v>4420</v>
      </c>
      <c r="F69" s="519" t="s">
        <v>10702</v>
      </c>
      <c r="G69" s="519" t="s">
        <v>2692</v>
      </c>
      <c r="H69" s="529" t="s">
        <v>10860</v>
      </c>
      <c r="I69" s="519" t="n">
        <v>2000</v>
      </c>
      <c r="J69" s="519" t="n">
        <v>149175</v>
      </c>
      <c r="K69" s="519" t="n">
        <v>2020</v>
      </c>
      <c r="L69" s="519"/>
      <c r="M69" s="519"/>
      <c r="N69" s="519"/>
      <c r="O69" s="530" t="n">
        <v>7450</v>
      </c>
      <c r="P69" s="530" t="n">
        <v>3942</v>
      </c>
      <c r="Q69" s="519"/>
      <c r="R69" s="519"/>
      <c r="S69" s="519"/>
      <c r="T69" s="519"/>
      <c r="U69" s="519"/>
      <c r="V69" s="519"/>
      <c r="W69" s="519"/>
      <c r="X69" s="519"/>
      <c r="Y69" s="519"/>
      <c r="Z69" s="519"/>
      <c r="AA69" s="519"/>
      <c r="AB69" s="519"/>
      <c r="AC69" s="530" t="n">
        <v>23921</v>
      </c>
      <c r="AD69" s="519"/>
      <c r="AE69" s="519"/>
      <c r="AF69" s="530" t="n">
        <v>165141</v>
      </c>
      <c r="AG69" s="519"/>
      <c r="AH69" s="530" t="n">
        <v>200454</v>
      </c>
      <c r="AI69" s="530" t="n">
        <v>282989</v>
      </c>
      <c r="AJ69" s="530" t="n">
        <v>483443</v>
      </c>
      <c r="AK69" s="519"/>
      <c r="AL69" s="519"/>
      <c r="AM69" s="529" t="s">
        <v>11285</v>
      </c>
      <c r="AN69" s="1" t="e">
        <f aca="false">IF(AND($B69=Subj_OccCode,Subj_BldgSF&gt;0,ABS($J69-Subj_BldgSF)&lt;=Subj_BldgSF*Subj_SizeTol),ABS($J69-Subj_BldgSF),NA())</f>
        <v>#N/A</v>
      </c>
      <c r="AO69" s="1" t="e">
        <f aca="false">IF(ISNA(AN69),NA(),AN69+ROW()/10000000)</f>
        <v>#N/A</v>
      </c>
      <c r="AR69" s="290" t="str">
        <f aca="false">IF(B69="","",IFERROR(INDEX(OCC_TABLE_DESC,MATCH(B69,OCC_TABLE_CODE,0)),"Unrecognized code"))</f>
        <v>Distribution Warehouse</v>
      </c>
    </row>
    <row r="70" customFormat="false" ht="25.5" hidden="false" customHeight="true" outlineLevel="0" collapsed="false">
      <c r="A70" s="519" t="s">
        <v>10877</v>
      </c>
      <c r="B70" s="508" t="n">
        <v>407</v>
      </c>
      <c r="C70" s="519" t="s">
        <v>10878</v>
      </c>
      <c r="D70" s="529" t="s">
        <v>10879</v>
      </c>
      <c r="E70" s="519" t="s">
        <v>4420</v>
      </c>
      <c r="F70" s="519" t="s">
        <v>10702</v>
      </c>
      <c r="G70" s="519" t="s">
        <v>2692</v>
      </c>
      <c r="H70" s="529" t="s">
        <v>10860</v>
      </c>
      <c r="I70" s="519" t="n">
        <v>1999</v>
      </c>
      <c r="J70" s="519" t="n">
        <v>279640</v>
      </c>
      <c r="K70" s="519" t="n">
        <v>2021</v>
      </c>
      <c r="L70" s="519"/>
      <c r="M70" s="519"/>
      <c r="N70" s="519"/>
      <c r="O70" s="530" t="n">
        <v>24629</v>
      </c>
      <c r="P70" s="530" t="n">
        <v>62870</v>
      </c>
      <c r="Q70" s="519"/>
      <c r="R70" s="519"/>
      <c r="S70" s="519"/>
      <c r="T70" s="519"/>
      <c r="U70" s="519"/>
      <c r="V70" s="519"/>
      <c r="W70" s="519"/>
      <c r="X70" s="519"/>
      <c r="Y70" s="519"/>
      <c r="Z70" s="519"/>
      <c r="AA70" s="519"/>
      <c r="AB70" s="519"/>
      <c r="AC70" s="530" t="n">
        <v>100363</v>
      </c>
      <c r="AD70" s="519"/>
      <c r="AE70" s="519"/>
      <c r="AF70" s="519"/>
      <c r="AG70" s="519"/>
      <c r="AH70" s="530" t="n">
        <v>187862</v>
      </c>
      <c r="AI70" s="530" t="n">
        <v>640886</v>
      </c>
      <c r="AJ70" s="530" t="n">
        <v>828748</v>
      </c>
      <c r="AK70" s="519"/>
      <c r="AL70" s="519"/>
      <c r="AM70" s="529" t="s">
        <v>11286</v>
      </c>
      <c r="AN70" s="1" t="e">
        <f aca="false">IF(AND($B70=Subj_OccCode,Subj_BldgSF&gt;0,ABS($J70-Subj_BldgSF)&lt;=Subj_BldgSF*Subj_SizeTol),ABS($J70-Subj_BldgSF),NA())</f>
        <v>#N/A</v>
      </c>
      <c r="AO70" s="1" t="e">
        <f aca="false">IF(ISNA(AN70),NA(),AN70+ROW()/10000000)</f>
        <v>#N/A</v>
      </c>
      <c r="AR70" s="290" t="str">
        <f aca="false">IF(B70="","",IFERROR(INDEX(OCC_TABLE_DESC,MATCH(B70,OCC_TABLE_CODE,0)),"Unrecognized code"))</f>
        <v>Distribution Warehouse</v>
      </c>
    </row>
    <row r="71" customFormat="false" ht="25.5" hidden="false" customHeight="true" outlineLevel="0" collapsed="false">
      <c r="A71" s="519" t="s">
        <v>10877</v>
      </c>
      <c r="B71" s="508" t="n">
        <v>407</v>
      </c>
      <c r="C71" s="519" t="s">
        <v>10878</v>
      </c>
      <c r="D71" s="529" t="s">
        <v>10879</v>
      </c>
      <c r="E71" s="519" t="s">
        <v>4420</v>
      </c>
      <c r="F71" s="519" t="s">
        <v>10702</v>
      </c>
      <c r="G71" s="519" t="s">
        <v>2692</v>
      </c>
      <c r="H71" s="529" t="s">
        <v>10860</v>
      </c>
      <c r="I71" s="519" t="n">
        <v>1999</v>
      </c>
      <c r="J71" s="519" t="n">
        <v>279640</v>
      </c>
      <c r="K71" s="519" t="n">
        <v>2022</v>
      </c>
      <c r="L71" s="519"/>
      <c r="M71" s="519"/>
      <c r="N71" s="519"/>
      <c r="O71" s="530" t="n">
        <v>26204</v>
      </c>
      <c r="P71" s="530" t="n">
        <v>63433</v>
      </c>
      <c r="Q71" s="519"/>
      <c r="R71" s="519"/>
      <c r="S71" s="519"/>
      <c r="T71" s="519"/>
      <c r="U71" s="519"/>
      <c r="V71" s="519"/>
      <c r="W71" s="519"/>
      <c r="X71" s="519"/>
      <c r="Y71" s="519"/>
      <c r="Z71" s="519"/>
      <c r="AA71" s="519"/>
      <c r="AB71" s="519"/>
      <c r="AC71" s="530" t="n">
        <v>18197</v>
      </c>
      <c r="AD71" s="519"/>
      <c r="AE71" s="519"/>
      <c r="AF71" s="519"/>
      <c r="AG71" s="519"/>
      <c r="AH71" s="530" t="n">
        <v>107834</v>
      </c>
      <c r="AI71" s="530" t="n">
        <v>657060</v>
      </c>
      <c r="AJ71" s="530" t="n">
        <v>764894</v>
      </c>
      <c r="AK71" s="519"/>
      <c r="AL71" s="519"/>
      <c r="AM71" s="529" t="s">
        <v>11286</v>
      </c>
      <c r="AN71" s="1" t="e">
        <f aca="false">IF(AND($B71=Subj_OccCode,Subj_BldgSF&gt;0,ABS($J71-Subj_BldgSF)&lt;=Subj_BldgSF*Subj_SizeTol),ABS($J71-Subj_BldgSF),NA())</f>
        <v>#N/A</v>
      </c>
      <c r="AO71" s="1" t="e">
        <f aca="false">IF(ISNA(AN71),NA(),AN71+ROW()/10000000)</f>
        <v>#N/A</v>
      </c>
      <c r="AR71" s="290" t="str">
        <f aca="false">IF(B71="","",IFERROR(INDEX(OCC_TABLE_DESC,MATCH(B71,OCC_TABLE_CODE,0)),"Unrecognized code"))</f>
        <v>Distribution Warehouse</v>
      </c>
    </row>
    <row r="72" customFormat="false" ht="25.5" hidden="false" customHeight="true" outlineLevel="0" collapsed="false">
      <c r="A72" s="519" t="s">
        <v>10880</v>
      </c>
      <c r="B72" s="508" t="n">
        <v>407</v>
      </c>
      <c r="C72" s="519" t="s">
        <v>10881</v>
      </c>
      <c r="D72" s="529" t="s">
        <v>10882</v>
      </c>
      <c r="E72" s="519" t="s">
        <v>4420</v>
      </c>
      <c r="F72" s="519" t="s">
        <v>10702</v>
      </c>
      <c r="G72" s="519" t="s">
        <v>2692</v>
      </c>
      <c r="H72" s="529" t="s">
        <v>10860</v>
      </c>
      <c r="I72" s="519" t="n">
        <v>2002</v>
      </c>
      <c r="J72" s="519" t="n">
        <v>280098</v>
      </c>
      <c r="K72" s="519" t="n">
        <v>2021</v>
      </c>
      <c r="L72" s="519"/>
      <c r="M72" s="519"/>
      <c r="N72" s="519"/>
      <c r="O72" s="530" t="n">
        <v>19984</v>
      </c>
      <c r="P72" s="530" t="n">
        <v>64701</v>
      </c>
      <c r="Q72" s="519"/>
      <c r="R72" s="519"/>
      <c r="S72" s="519"/>
      <c r="T72" s="519"/>
      <c r="U72" s="519"/>
      <c r="V72" s="519"/>
      <c r="W72" s="519"/>
      <c r="X72" s="519"/>
      <c r="Y72" s="519"/>
      <c r="Z72" s="519"/>
      <c r="AA72" s="519"/>
      <c r="AB72" s="519"/>
      <c r="AC72" s="530" t="n">
        <v>73763</v>
      </c>
      <c r="AD72" s="519"/>
      <c r="AE72" s="519"/>
      <c r="AF72" s="530" t="n">
        <v>85895</v>
      </c>
      <c r="AG72" s="519"/>
      <c r="AH72" s="530" t="n">
        <v>244343</v>
      </c>
      <c r="AI72" s="530" t="n">
        <v>639063</v>
      </c>
      <c r="AJ72" s="530" t="n">
        <v>883406</v>
      </c>
      <c r="AK72" s="519"/>
      <c r="AL72" s="519"/>
      <c r="AM72" s="529" t="s">
        <v>11287</v>
      </c>
      <c r="AN72" s="1" t="e">
        <f aca="false">IF(AND($B72=Subj_OccCode,Subj_BldgSF&gt;0,ABS($J72-Subj_BldgSF)&lt;=Subj_BldgSF*Subj_SizeTol),ABS($J72-Subj_BldgSF),NA())</f>
        <v>#N/A</v>
      </c>
      <c r="AO72" s="1" t="e">
        <f aca="false">IF(ISNA(AN72),NA(),AN72+ROW()/10000000)</f>
        <v>#N/A</v>
      </c>
      <c r="AR72" s="290" t="str">
        <f aca="false">IF(B72="","",IFERROR(INDEX(OCC_TABLE_DESC,MATCH(B72,OCC_TABLE_CODE,0)),"Unrecognized code"))</f>
        <v>Distribution Warehouse</v>
      </c>
    </row>
    <row r="73" customFormat="false" ht="25.5" hidden="false" customHeight="true" outlineLevel="0" collapsed="false">
      <c r="A73" s="519" t="s">
        <v>10880</v>
      </c>
      <c r="B73" s="508" t="n">
        <v>407</v>
      </c>
      <c r="C73" s="519" t="s">
        <v>10881</v>
      </c>
      <c r="D73" s="529" t="s">
        <v>10882</v>
      </c>
      <c r="E73" s="519" t="s">
        <v>4420</v>
      </c>
      <c r="F73" s="519" t="s">
        <v>10702</v>
      </c>
      <c r="G73" s="519" t="s">
        <v>2692</v>
      </c>
      <c r="H73" s="529" t="s">
        <v>10860</v>
      </c>
      <c r="I73" s="519" t="n">
        <v>2002</v>
      </c>
      <c r="J73" s="519" t="n">
        <v>280098</v>
      </c>
      <c r="K73" s="519" t="n">
        <v>2022</v>
      </c>
      <c r="L73" s="519"/>
      <c r="M73" s="519"/>
      <c r="N73" s="519"/>
      <c r="O73" s="530" t="n">
        <v>21261</v>
      </c>
      <c r="P73" s="530" t="n">
        <v>59067</v>
      </c>
      <c r="Q73" s="519"/>
      <c r="R73" s="519"/>
      <c r="S73" s="519"/>
      <c r="T73" s="519"/>
      <c r="U73" s="519"/>
      <c r="V73" s="519"/>
      <c r="W73" s="519"/>
      <c r="X73" s="519"/>
      <c r="Y73" s="519"/>
      <c r="Z73" s="519"/>
      <c r="AA73" s="519"/>
      <c r="AB73" s="519"/>
      <c r="AC73" s="530" t="n">
        <v>120936</v>
      </c>
      <c r="AD73" s="519"/>
      <c r="AE73" s="519"/>
      <c r="AF73" s="530" t="n">
        <v>94786</v>
      </c>
      <c r="AG73" s="519"/>
      <c r="AH73" s="530" t="n">
        <v>296050</v>
      </c>
      <c r="AI73" s="530" t="n">
        <v>669090</v>
      </c>
      <c r="AJ73" s="530" t="n">
        <v>965140</v>
      </c>
      <c r="AK73" s="519"/>
      <c r="AL73" s="519"/>
      <c r="AM73" s="529" t="s">
        <v>11287</v>
      </c>
      <c r="AN73" s="1" t="e">
        <f aca="false">IF(AND($B73=Subj_OccCode,Subj_BldgSF&gt;0,ABS($J73-Subj_BldgSF)&lt;=Subj_BldgSF*Subj_SizeTol),ABS($J73-Subj_BldgSF),NA())</f>
        <v>#N/A</v>
      </c>
      <c r="AO73" s="1" t="e">
        <f aca="false">IF(ISNA(AN73),NA(),AN73+ROW()/10000000)</f>
        <v>#N/A</v>
      </c>
      <c r="AR73" s="290" t="str">
        <f aca="false">IF(B73="","",IFERROR(INDEX(OCC_TABLE_DESC,MATCH(B73,OCC_TABLE_CODE,0)),"Unrecognized code"))</f>
        <v>Distribution Warehouse</v>
      </c>
    </row>
    <row r="74" customFormat="false" ht="25.5" hidden="false" customHeight="true" outlineLevel="0" collapsed="false">
      <c r="A74" s="519" t="s">
        <v>10883</v>
      </c>
      <c r="B74" s="508" t="n">
        <v>407</v>
      </c>
      <c r="C74" s="519" t="s">
        <v>10884</v>
      </c>
      <c r="D74" s="529" t="s">
        <v>10885</v>
      </c>
      <c r="E74" s="519" t="s">
        <v>4420</v>
      </c>
      <c r="F74" s="519" t="s">
        <v>10702</v>
      </c>
      <c r="G74" s="519" t="s">
        <v>2692</v>
      </c>
      <c r="H74" s="529" t="s">
        <v>10860</v>
      </c>
      <c r="I74" s="519" t="n">
        <v>2008</v>
      </c>
      <c r="J74" s="519" t="n">
        <v>215461</v>
      </c>
      <c r="K74" s="519" t="n">
        <v>2021</v>
      </c>
      <c r="L74" s="519"/>
      <c r="M74" s="519"/>
      <c r="N74" s="519"/>
      <c r="O74" s="530" t="n">
        <v>17428</v>
      </c>
      <c r="P74" s="530" t="n">
        <v>65798</v>
      </c>
      <c r="Q74" s="519"/>
      <c r="R74" s="519"/>
      <c r="S74" s="519"/>
      <c r="T74" s="519"/>
      <c r="U74" s="519"/>
      <c r="V74" s="519"/>
      <c r="W74" s="519"/>
      <c r="X74" s="519"/>
      <c r="Y74" s="519"/>
      <c r="Z74" s="519"/>
      <c r="AA74" s="519"/>
      <c r="AB74" s="519"/>
      <c r="AC74" s="530" t="n">
        <v>100975</v>
      </c>
      <c r="AD74" s="519"/>
      <c r="AE74" s="519"/>
      <c r="AF74" s="530" t="n">
        <v>73139</v>
      </c>
      <c r="AG74" s="519"/>
      <c r="AH74" s="530" t="n">
        <v>257340</v>
      </c>
      <c r="AI74" s="530" t="n">
        <v>614041</v>
      </c>
      <c r="AJ74" s="530" t="n">
        <v>871381</v>
      </c>
      <c r="AK74" s="519"/>
      <c r="AL74" s="519"/>
      <c r="AM74" s="529" t="s">
        <v>11288</v>
      </c>
      <c r="AN74" s="1" t="e">
        <f aca="false">IF(AND($B74=Subj_OccCode,Subj_BldgSF&gt;0,ABS($J74-Subj_BldgSF)&lt;=Subj_BldgSF*Subj_SizeTol),ABS($J74-Subj_BldgSF),NA())</f>
        <v>#N/A</v>
      </c>
      <c r="AO74" s="1" t="e">
        <f aca="false">IF(ISNA(AN74),NA(),AN74+ROW()/10000000)</f>
        <v>#N/A</v>
      </c>
      <c r="AR74" s="290" t="str">
        <f aca="false">IF(B74="","",IFERROR(INDEX(OCC_TABLE_DESC,MATCH(B74,OCC_TABLE_CODE,0)),"Unrecognized code"))</f>
        <v>Distribution Warehouse</v>
      </c>
    </row>
    <row r="75" customFormat="false" ht="25.5" hidden="false" customHeight="true" outlineLevel="0" collapsed="false">
      <c r="A75" s="519" t="s">
        <v>10883</v>
      </c>
      <c r="B75" s="508" t="n">
        <v>407</v>
      </c>
      <c r="C75" s="519" t="s">
        <v>10884</v>
      </c>
      <c r="D75" s="529" t="s">
        <v>10885</v>
      </c>
      <c r="E75" s="519" t="s">
        <v>4420</v>
      </c>
      <c r="F75" s="519" t="s">
        <v>10702</v>
      </c>
      <c r="G75" s="519" t="s">
        <v>2692</v>
      </c>
      <c r="H75" s="529" t="s">
        <v>10860</v>
      </c>
      <c r="I75" s="519" t="n">
        <v>2008</v>
      </c>
      <c r="J75" s="519" t="n">
        <v>215461</v>
      </c>
      <c r="K75" s="519" t="n">
        <v>2022</v>
      </c>
      <c r="L75" s="519"/>
      <c r="M75" s="519"/>
      <c r="N75" s="519"/>
      <c r="O75" s="530" t="n">
        <v>18350</v>
      </c>
      <c r="P75" s="530" t="n">
        <v>62443</v>
      </c>
      <c r="Q75" s="519"/>
      <c r="R75" s="519"/>
      <c r="S75" s="519"/>
      <c r="T75" s="519"/>
      <c r="U75" s="519"/>
      <c r="V75" s="519"/>
      <c r="W75" s="519"/>
      <c r="X75" s="519"/>
      <c r="Y75" s="519"/>
      <c r="Z75" s="519"/>
      <c r="AA75" s="519"/>
      <c r="AB75" s="519"/>
      <c r="AC75" s="530" t="n">
        <v>73459</v>
      </c>
      <c r="AD75" s="519"/>
      <c r="AE75" s="519"/>
      <c r="AF75" s="530" t="n">
        <v>74975</v>
      </c>
      <c r="AG75" s="519"/>
      <c r="AH75" s="530" t="n">
        <v>229227</v>
      </c>
      <c r="AI75" s="530" t="n">
        <v>590782</v>
      </c>
      <c r="AJ75" s="530" t="n">
        <v>820009</v>
      </c>
      <c r="AK75" s="519"/>
      <c r="AL75" s="519"/>
      <c r="AM75" s="529" t="s">
        <v>11288</v>
      </c>
      <c r="AN75" s="1" t="e">
        <f aca="false">IF(AND($B75=Subj_OccCode,Subj_BldgSF&gt;0,ABS($J75-Subj_BldgSF)&lt;=Subj_BldgSF*Subj_SizeTol),ABS($J75-Subj_BldgSF),NA())</f>
        <v>#N/A</v>
      </c>
      <c r="AO75" s="1" t="e">
        <f aca="false">IF(ISNA(AN75),NA(),AN75+ROW()/10000000)</f>
        <v>#N/A</v>
      </c>
      <c r="AR75" s="290" t="str">
        <f aca="false">IF(B75="","",IFERROR(INDEX(OCC_TABLE_DESC,MATCH(B75,OCC_TABLE_CODE,0)),"Unrecognized code"))</f>
        <v>Distribution Warehouse</v>
      </c>
    </row>
    <row r="76" customFormat="false" ht="25.5" hidden="false" customHeight="true" outlineLevel="0" collapsed="false">
      <c r="A76" s="519" t="s">
        <v>10886</v>
      </c>
      <c r="B76" s="508" t="n">
        <v>407</v>
      </c>
      <c r="C76" s="519" t="s">
        <v>10887</v>
      </c>
      <c r="D76" s="529" t="s">
        <v>10888</v>
      </c>
      <c r="E76" s="519" t="s">
        <v>4420</v>
      </c>
      <c r="F76" s="519" t="s">
        <v>10702</v>
      </c>
      <c r="G76" s="519" t="s">
        <v>2692</v>
      </c>
      <c r="H76" s="529" t="s">
        <v>10860</v>
      </c>
      <c r="I76" s="519" t="n">
        <v>2007</v>
      </c>
      <c r="J76" s="519" t="n">
        <v>215560</v>
      </c>
      <c r="K76" s="519" t="n">
        <v>2021</v>
      </c>
      <c r="L76" s="519"/>
      <c r="M76" s="519"/>
      <c r="N76" s="519"/>
      <c r="O76" s="530" t="n">
        <v>21017</v>
      </c>
      <c r="P76" s="530" t="n">
        <v>52362</v>
      </c>
      <c r="Q76" s="519"/>
      <c r="R76" s="519"/>
      <c r="S76" s="519"/>
      <c r="T76" s="519"/>
      <c r="U76" s="519"/>
      <c r="V76" s="519"/>
      <c r="W76" s="519"/>
      <c r="X76" s="519"/>
      <c r="Y76" s="519"/>
      <c r="Z76" s="519"/>
      <c r="AA76" s="519"/>
      <c r="AB76" s="519"/>
      <c r="AC76" s="530" t="n">
        <v>64218</v>
      </c>
      <c r="AD76" s="519"/>
      <c r="AE76" s="519"/>
      <c r="AF76" s="530" t="n">
        <v>67129</v>
      </c>
      <c r="AG76" s="519"/>
      <c r="AH76" s="530" t="n">
        <v>204726</v>
      </c>
      <c r="AI76" s="530" t="n">
        <v>537207</v>
      </c>
      <c r="AJ76" s="530" t="n">
        <v>741933</v>
      </c>
      <c r="AK76" s="519"/>
      <c r="AL76" s="519"/>
      <c r="AM76" s="529" t="s">
        <v>11289</v>
      </c>
      <c r="AN76" s="1" t="e">
        <f aca="false">IF(AND($B76=Subj_OccCode,Subj_BldgSF&gt;0,ABS($J76-Subj_BldgSF)&lt;=Subj_BldgSF*Subj_SizeTol),ABS($J76-Subj_BldgSF),NA())</f>
        <v>#N/A</v>
      </c>
      <c r="AO76" s="1" t="e">
        <f aca="false">IF(ISNA(AN76),NA(),AN76+ROW()/10000000)</f>
        <v>#N/A</v>
      </c>
      <c r="AR76" s="290" t="str">
        <f aca="false">IF(B76="","",IFERROR(INDEX(OCC_TABLE_DESC,MATCH(B76,OCC_TABLE_CODE,0)),"Unrecognized code"))</f>
        <v>Distribution Warehouse</v>
      </c>
    </row>
    <row r="77" customFormat="false" ht="25.5" hidden="false" customHeight="true" outlineLevel="0" collapsed="false">
      <c r="A77" s="519" t="s">
        <v>10886</v>
      </c>
      <c r="B77" s="508" t="n">
        <v>407</v>
      </c>
      <c r="C77" s="519" t="s">
        <v>10887</v>
      </c>
      <c r="D77" s="529" t="s">
        <v>10888</v>
      </c>
      <c r="E77" s="519" t="s">
        <v>4420</v>
      </c>
      <c r="F77" s="519" t="s">
        <v>10702</v>
      </c>
      <c r="G77" s="519" t="s">
        <v>2692</v>
      </c>
      <c r="H77" s="529" t="s">
        <v>10860</v>
      </c>
      <c r="I77" s="519" t="n">
        <v>2007</v>
      </c>
      <c r="J77" s="519" t="n">
        <v>215560</v>
      </c>
      <c r="K77" s="519" t="n">
        <v>2022</v>
      </c>
      <c r="L77" s="519"/>
      <c r="M77" s="519"/>
      <c r="N77" s="519"/>
      <c r="O77" s="530" t="n">
        <v>22360</v>
      </c>
      <c r="P77" s="530" t="n">
        <v>55092</v>
      </c>
      <c r="Q77" s="519"/>
      <c r="R77" s="519"/>
      <c r="S77" s="519"/>
      <c r="T77" s="519"/>
      <c r="U77" s="519"/>
      <c r="V77" s="519"/>
      <c r="W77" s="519"/>
      <c r="X77" s="519"/>
      <c r="Y77" s="519"/>
      <c r="Z77" s="519"/>
      <c r="AA77" s="519"/>
      <c r="AB77" s="519"/>
      <c r="AC77" s="530" t="n">
        <v>67277</v>
      </c>
      <c r="AD77" s="519"/>
      <c r="AE77" s="519"/>
      <c r="AF77" s="530" t="n">
        <v>72040</v>
      </c>
      <c r="AG77" s="519"/>
      <c r="AH77" s="530" t="n">
        <v>216769</v>
      </c>
      <c r="AI77" s="530" t="n">
        <v>558214</v>
      </c>
      <c r="AJ77" s="530" t="n">
        <v>774983</v>
      </c>
      <c r="AK77" s="519"/>
      <c r="AL77" s="519"/>
      <c r="AM77" s="529" t="s">
        <v>11289</v>
      </c>
      <c r="AN77" s="1" t="e">
        <f aca="false">IF(AND($B77=Subj_OccCode,Subj_BldgSF&gt;0,ABS($J77-Subj_BldgSF)&lt;=Subj_BldgSF*Subj_SizeTol),ABS($J77-Subj_BldgSF),NA())</f>
        <v>#N/A</v>
      </c>
      <c r="AO77" s="1" t="e">
        <f aca="false">IF(ISNA(AN77),NA(),AN77+ROW()/10000000)</f>
        <v>#N/A</v>
      </c>
      <c r="AR77" s="290" t="str">
        <f aca="false">IF(B77="","",IFERROR(INDEX(OCC_TABLE_DESC,MATCH(B77,OCC_TABLE_CODE,0)),"Unrecognized code"))</f>
        <v>Distribution Warehouse</v>
      </c>
    </row>
    <row r="78" customFormat="false" ht="25.5" hidden="false" customHeight="true" outlineLevel="0" collapsed="false">
      <c r="A78" s="519" t="s">
        <v>10889</v>
      </c>
      <c r="B78" s="508" t="n">
        <v>407</v>
      </c>
      <c r="C78" s="519" t="s">
        <v>10890</v>
      </c>
      <c r="D78" s="529" t="s">
        <v>10891</v>
      </c>
      <c r="E78" s="519" t="s">
        <v>4420</v>
      </c>
      <c r="F78" s="519" t="s">
        <v>10702</v>
      </c>
      <c r="G78" s="519" t="s">
        <v>2692</v>
      </c>
      <c r="H78" s="529" t="s">
        <v>10860</v>
      </c>
      <c r="I78" s="519" t="n">
        <v>2007</v>
      </c>
      <c r="J78" s="519" t="n">
        <v>202091</v>
      </c>
      <c r="K78" s="519" t="n">
        <v>2021</v>
      </c>
      <c r="L78" s="519"/>
      <c r="M78" s="519"/>
      <c r="N78" s="519"/>
      <c r="O78" s="530" t="n">
        <v>17434</v>
      </c>
      <c r="P78" s="530" t="n">
        <v>31149</v>
      </c>
      <c r="Q78" s="519"/>
      <c r="R78" s="519"/>
      <c r="S78" s="519"/>
      <c r="T78" s="519"/>
      <c r="U78" s="519"/>
      <c r="V78" s="519"/>
      <c r="W78" s="519"/>
      <c r="X78" s="519"/>
      <c r="Y78" s="519"/>
      <c r="Z78" s="519"/>
      <c r="AA78" s="519"/>
      <c r="AB78" s="519"/>
      <c r="AC78" s="530" t="n">
        <v>83142</v>
      </c>
      <c r="AD78" s="519"/>
      <c r="AE78" s="519"/>
      <c r="AF78" s="519"/>
      <c r="AG78" s="519"/>
      <c r="AH78" s="530" t="n">
        <v>131725</v>
      </c>
      <c r="AI78" s="530" t="n">
        <v>499000</v>
      </c>
      <c r="AJ78" s="530" t="n">
        <v>630725</v>
      </c>
      <c r="AK78" s="519"/>
      <c r="AL78" s="519"/>
      <c r="AM78" s="529" t="s">
        <v>11290</v>
      </c>
      <c r="AN78" s="1" t="e">
        <f aca="false">IF(AND($B78=Subj_OccCode,Subj_BldgSF&gt;0,ABS($J78-Subj_BldgSF)&lt;=Subj_BldgSF*Subj_SizeTol),ABS($J78-Subj_BldgSF),NA())</f>
        <v>#N/A</v>
      </c>
      <c r="AO78" s="1" t="e">
        <f aca="false">IF(ISNA(AN78),NA(),AN78+ROW()/10000000)</f>
        <v>#N/A</v>
      </c>
      <c r="AR78" s="290" t="str">
        <f aca="false">IF(B78="","",IFERROR(INDEX(OCC_TABLE_DESC,MATCH(B78,OCC_TABLE_CODE,0)),"Unrecognized code"))</f>
        <v>Distribution Warehouse</v>
      </c>
    </row>
    <row r="79" customFormat="false" ht="25.5" hidden="false" customHeight="true" outlineLevel="0" collapsed="false">
      <c r="A79" s="519" t="s">
        <v>10889</v>
      </c>
      <c r="B79" s="508" t="n">
        <v>407</v>
      </c>
      <c r="C79" s="519" t="s">
        <v>10890</v>
      </c>
      <c r="D79" s="529" t="s">
        <v>10891</v>
      </c>
      <c r="E79" s="519" t="s">
        <v>4420</v>
      </c>
      <c r="F79" s="519" t="s">
        <v>10702</v>
      </c>
      <c r="G79" s="519" t="s">
        <v>2692</v>
      </c>
      <c r="H79" s="529" t="s">
        <v>10860</v>
      </c>
      <c r="I79" s="519" t="n">
        <v>2007</v>
      </c>
      <c r="J79" s="519" t="n">
        <v>202091</v>
      </c>
      <c r="K79" s="519" t="n">
        <v>2022</v>
      </c>
      <c r="L79" s="519"/>
      <c r="M79" s="519"/>
      <c r="N79" s="519"/>
      <c r="O79" s="530" t="n">
        <v>18548</v>
      </c>
      <c r="P79" s="530" t="n">
        <v>27554</v>
      </c>
      <c r="Q79" s="519"/>
      <c r="R79" s="519"/>
      <c r="S79" s="519"/>
      <c r="T79" s="519"/>
      <c r="U79" s="519"/>
      <c r="V79" s="519"/>
      <c r="W79" s="519"/>
      <c r="X79" s="519"/>
      <c r="Y79" s="519"/>
      <c r="Z79" s="519"/>
      <c r="AA79" s="519"/>
      <c r="AB79" s="519"/>
      <c r="AC79" s="530" t="n">
        <v>66184</v>
      </c>
      <c r="AD79" s="519"/>
      <c r="AE79" s="519"/>
      <c r="AF79" s="519"/>
      <c r="AG79" s="519"/>
      <c r="AH79" s="530" t="n">
        <v>112286</v>
      </c>
      <c r="AI79" s="530" t="n">
        <v>509649</v>
      </c>
      <c r="AJ79" s="530" t="n">
        <v>621935</v>
      </c>
      <c r="AK79" s="519"/>
      <c r="AL79" s="519"/>
      <c r="AM79" s="529" t="s">
        <v>11290</v>
      </c>
      <c r="AN79" s="1" t="e">
        <f aca="false">IF(AND($B79=Subj_OccCode,Subj_BldgSF&gt;0,ABS($J79-Subj_BldgSF)&lt;=Subj_BldgSF*Subj_SizeTol),ABS($J79-Subj_BldgSF),NA())</f>
        <v>#N/A</v>
      </c>
      <c r="AO79" s="1" t="e">
        <f aca="false">IF(ISNA(AN79),NA(),AN79+ROW()/10000000)</f>
        <v>#N/A</v>
      </c>
      <c r="AR79" s="290" t="str">
        <f aca="false">IF(B79="","",IFERROR(INDEX(OCC_TABLE_DESC,MATCH(B79,OCC_TABLE_CODE,0)),"Unrecognized code"))</f>
        <v>Distribution Warehouse</v>
      </c>
    </row>
    <row r="80" customFormat="false" ht="25.5" hidden="false" customHeight="true" outlineLevel="0" collapsed="false">
      <c r="A80" s="519" t="s">
        <v>10892</v>
      </c>
      <c r="B80" s="508" t="n">
        <v>407</v>
      </c>
      <c r="C80" s="519" t="s">
        <v>10893</v>
      </c>
      <c r="D80" s="529" t="s">
        <v>10894</v>
      </c>
      <c r="E80" s="519" t="s">
        <v>4420</v>
      </c>
      <c r="F80" s="519" t="s">
        <v>10702</v>
      </c>
      <c r="G80" s="519" t="s">
        <v>2692</v>
      </c>
      <c r="H80" s="529" t="s">
        <v>10860</v>
      </c>
      <c r="I80" s="519" t="n">
        <v>2001</v>
      </c>
      <c r="J80" s="519" t="n">
        <v>150027</v>
      </c>
      <c r="K80" s="519" t="n">
        <v>2021</v>
      </c>
      <c r="L80" s="519"/>
      <c r="M80" s="519"/>
      <c r="N80" s="519"/>
      <c r="O80" s="530" t="n">
        <v>11682</v>
      </c>
      <c r="P80" s="530" t="n">
        <v>41521</v>
      </c>
      <c r="Q80" s="519"/>
      <c r="R80" s="519"/>
      <c r="S80" s="519"/>
      <c r="T80" s="519"/>
      <c r="U80" s="519"/>
      <c r="V80" s="519"/>
      <c r="W80" s="519"/>
      <c r="X80" s="519"/>
      <c r="Y80" s="519"/>
      <c r="Z80" s="519"/>
      <c r="AA80" s="519"/>
      <c r="AB80" s="519"/>
      <c r="AC80" s="530" t="n">
        <v>49834</v>
      </c>
      <c r="AD80" s="519"/>
      <c r="AE80" s="519"/>
      <c r="AF80" s="519"/>
      <c r="AG80" s="519"/>
      <c r="AH80" s="530" t="n">
        <v>103037</v>
      </c>
      <c r="AI80" s="530" t="n">
        <v>427951</v>
      </c>
      <c r="AJ80" s="530" t="n">
        <v>530988</v>
      </c>
      <c r="AK80" s="519"/>
      <c r="AL80" s="519"/>
      <c r="AM80" s="529" t="s">
        <v>11291</v>
      </c>
      <c r="AN80" s="1" t="e">
        <f aca="false">IF(AND($B80=Subj_OccCode,Subj_BldgSF&gt;0,ABS($J80-Subj_BldgSF)&lt;=Subj_BldgSF*Subj_SizeTol),ABS($J80-Subj_BldgSF),NA())</f>
        <v>#N/A</v>
      </c>
      <c r="AO80" s="1" t="e">
        <f aca="false">IF(ISNA(AN80),NA(),AN80+ROW()/10000000)</f>
        <v>#N/A</v>
      </c>
      <c r="AR80" s="290" t="str">
        <f aca="false">IF(B80="","",IFERROR(INDEX(OCC_TABLE_DESC,MATCH(B80,OCC_TABLE_CODE,0)),"Unrecognized code"))</f>
        <v>Distribution Warehouse</v>
      </c>
    </row>
    <row r="81" customFormat="false" ht="25.5" hidden="false" customHeight="true" outlineLevel="0" collapsed="false">
      <c r="A81" s="519" t="s">
        <v>10892</v>
      </c>
      <c r="B81" s="508" t="n">
        <v>407</v>
      </c>
      <c r="C81" s="519" t="s">
        <v>10893</v>
      </c>
      <c r="D81" s="529" t="s">
        <v>10894</v>
      </c>
      <c r="E81" s="519" t="s">
        <v>4420</v>
      </c>
      <c r="F81" s="519" t="s">
        <v>10702</v>
      </c>
      <c r="G81" s="519" t="s">
        <v>2692</v>
      </c>
      <c r="H81" s="529" t="s">
        <v>10860</v>
      </c>
      <c r="I81" s="519" t="n">
        <v>2001</v>
      </c>
      <c r="J81" s="519" t="n">
        <v>150027</v>
      </c>
      <c r="K81" s="519" t="n">
        <v>2022</v>
      </c>
      <c r="L81" s="519"/>
      <c r="M81" s="519"/>
      <c r="N81" s="519"/>
      <c r="O81" s="530" t="n">
        <v>12428</v>
      </c>
      <c r="P81" s="530" t="n">
        <v>34409</v>
      </c>
      <c r="Q81" s="519"/>
      <c r="R81" s="519"/>
      <c r="S81" s="519"/>
      <c r="T81" s="519"/>
      <c r="U81" s="519"/>
      <c r="V81" s="519"/>
      <c r="W81" s="519"/>
      <c r="X81" s="519"/>
      <c r="Y81" s="519"/>
      <c r="Z81" s="519"/>
      <c r="AA81" s="519"/>
      <c r="AB81" s="519"/>
      <c r="AC81" s="530" t="n">
        <v>54262</v>
      </c>
      <c r="AD81" s="519"/>
      <c r="AE81" s="519"/>
      <c r="AF81" s="519"/>
      <c r="AG81" s="519"/>
      <c r="AH81" s="530" t="n">
        <v>101099</v>
      </c>
      <c r="AI81" s="530" t="n">
        <v>410892</v>
      </c>
      <c r="AJ81" s="530" t="n">
        <v>511991</v>
      </c>
      <c r="AK81" s="519"/>
      <c r="AL81" s="519"/>
      <c r="AM81" s="529" t="s">
        <v>11291</v>
      </c>
      <c r="AN81" s="1" t="e">
        <f aca="false">IF(AND($B81=Subj_OccCode,Subj_BldgSF&gt;0,ABS($J81-Subj_BldgSF)&lt;=Subj_BldgSF*Subj_SizeTol),ABS($J81-Subj_BldgSF),NA())</f>
        <v>#N/A</v>
      </c>
      <c r="AO81" s="1" t="e">
        <f aca="false">IF(ISNA(AN81),NA(),AN81+ROW()/10000000)</f>
        <v>#N/A</v>
      </c>
      <c r="AR81" s="290" t="str">
        <f aca="false">IF(B81="","",IFERROR(INDEX(OCC_TABLE_DESC,MATCH(B81,OCC_TABLE_CODE,0)),"Unrecognized code"))</f>
        <v>Distribution Warehouse</v>
      </c>
    </row>
    <row r="82" customFormat="false" ht="25.5" hidden="false" customHeight="true" outlineLevel="0" collapsed="false">
      <c r="A82" s="519" t="s">
        <v>10895</v>
      </c>
      <c r="B82" s="508" t="n">
        <v>584</v>
      </c>
      <c r="C82" s="519" t="s">
        <v>10896</v>
      </c>
      <c r="D82" s="529" t="s">
        <v>10897</v>
      </c>
      <c r="E82" s="519" t="s">
        <v>4420</v>
      </c>
      <c r="F82" s="519" t="s">
        <v>10702</v>
      </c>
      <c r="G82" s="519" t="s">
        <v>2692</v>
      </c>
      <c r="H82" s="529" t="s">
        <v>10860</v>
      </c>
      <c r="I82" s="519" t="n">
        <v>2013</v>
      </c>
      <c r="J82" s="519" t="n">
        <v>500358</v>
      </c>
      <c r="K82" s="519" t="n">
        <v>2021</v>
      </c>
      <c r="L82" s="519"/>
      <c r="M82" s="519"/>
      <c r="N82" s="519"/>
      <c r="O82" s="530" t="n">
        <v>37172</v>
      </c>
      <c r="P82" s="530" t="n">
        <v>117764</v>
      </c>
      <c r="Q82" s="519"/>
      <c r="R82" s="519"/>
      <c r="S82" s="519"/>
      <c r="T82" s="519"/>
      <c r="U82" s="519"/>
      <c r="V82" s="519"/>
      <c r="W82" s="519"/>
      <c r="X82" s="519"/>
      <c r="Y82" s="519"/>
      <c r="Z82" s="519"/>
      <c r="AA82" s="519"/>
      <c r="AB82" s="519"/>
      <c r="AC82" s="530" t="n">
        <v>156518</v>
      </c>
      <c r="AD82" s="519"/>
      <c r="AE82" s="519"/>
      <c r="AF82" s="530" t="n">
        <v>117148</v>
      </c>
      <c r="AG82" s="519"/>
      <c r="AH82" s="530" t="n">
        <v>428602</v>
      </c>
      <c r="AI82" s="530" t="n">
        <v>1142695</v>
      </c>
      <c r="AJ82" s="530" t="n">
        <v>1571297</v>
      </c>
      <c r="AK82" s="519"/>
      <c r="AL82" s="519"/>
      <c r="AM82" s="529" t="s">
        <v>11292</v>
      </c>
      <c r="AN82" s="1" t="e">
        <f aca="false">IF(AND($B82=Subj_OccCode,Subj_BldgSF&gt;0,ABS($J82-Subj_BldgSF)&lt;=Subj_BldgSF*Subj_SizeTol),ABS($J82-Subj_BldgSF),NA())</f>
        <v>#N/A</v>
      </c>
      <c r="AO82" s="1" t="e">
        <f aca="false">IF(ISNA(AN82),NA(),AN82+ROW()/10000000)</f>
        <v>#N/A</v>
      </c>
      <c r="AR82" s="290" t="str">
        <f aca="false">IF(B82="","",IFERROR(INDEX(OCC_TABLE_DESC,MATCH(B82,OCC_TABLE_CODE,0)),"Unrecognized code"))</f>
        <v>Mega Warehouse</v>
      </c>
    </row>
    <row r="83" customFormat="false" ht="25.5" hidden="false" customHeight="true" outlineLevel="0" collapsed="false">
      <c r="A83" s="519" t="s">
        <v>10895</v>
      </c>
      <c r="B83" s="508" t="n">
        <v>584</v>
      </c>
      <c r="C83" s="519" t="s">
        <v>10896</v>
      </c>
      <c r="D83" s="529" t="s">
        <v>10897</v>
      </c>
      <c r="E83" s="519" t="s">
        <v>4420</v>
      </c>
      <c r="F83" s="519" t="s">
        <v>10702</v>
      </c>
      <c r="G83" s="519" t="s">
        <v>2692</v>
      </c>
      <c r="H83" s="529" t="s">
        <v>10860</v>
      </c>
      <c r="I83" s="519" t="n">
        <v>2013</v>
      </c>
      <c r="J83" s="519" t="n">
        <v>500358</v>
      </c>
      <c r="K83" s="519" t="n">
        <v>2022</v>
      </c>
      <c r="L83" s="519"/>
      <c r="M83" s="519"/>
      <c r="N83" s="519"/>
      <c r="O83" s="530" t="n">
        <v>39548</v>
      </c>
      <c r="P83" s="530" t="n">
        <v>100791</v>
      </c>
      <c r="Q83" s="519"/>
      <c r="R83" s="519"/>
      <c r="S83" s="519"/>
      <c r="T83" s="519"/>
      <c r="U83" s="519"/>
      <c r="V83" s="519"/>
      <c r="W83" s="519"/>
      <c r="X83" s="519"/>
      <c r="Y83" s="519"/>
      <c r="Z83" s="519"/>
      <c r="AA83" s="519"/>
      <c r="AB83" s="519"/>
      <c r="AC83" s="530" t="n">
        <v>116474</v>
      </c>
      <c r="AD83" s="519"/>
      <c r="AE83" s="519"/>
      <c r="AF83" s="530" t="n">
        <v>113231</v>
      </c>
      <c r="AG83" s="519"/>
      <c r="AH83" s="530" t="n">
        <v>370044</v>
      </c>
      <c r="AI83" s="530" t="n">
        <v>1270807</v>
      </c>
      <c r="AJ83" s="530" t="n">
        <v>1640851</v>
      </c>
      <c r="AK83" s="519"/>
      <c r="AL83" s="519"/>
      <c r="AM83" s="529" t="s">
        <v>11292</v>
      </c>
      <c r="AN83" s="1" t="e">
        <f aca="false">IF(AND($B83=Subj_OccCode,Subj_BldgSF&gt;0,ABS($J83-Subj_BldgSF)&lt;=Subj_BldgSF*Subj_SizeTol),ABS($J83-Subj_BldgSF),NA())</f>
        <v>#N/A</v>
      </c>
      <c r="AO83" s="1" t="e">
        <f aca="false">IF(ISNA(AN83),NA(),AN83+ROW()/10000000)</f>
        <v>#N/A</v>
      </c>
      <c r="AR83" s="290" t="str">
        <f aca="false">IF(B83="","",IFERROR(INDEX(OCC_TABLE_DESC,MATCH(B83,OCC_TABLE_CODE,0)),"Unrecognized code"))</f>
        <v>Mega Warehouse</v>
      </c>
    </row>
    <row r="84" customFormat="false" ht="25.5" hidden="false" customHeight="true" outlineLevel="0" collapsed="false">
      <c r="A84" s="519" t="s">
        <v>10898</v>
      </c>
      <c r="B84" s="508" t="n">
        <v>584</v>
      </c>
      <c r="C84" s="519" t="s">
        <v>10899</v>
      </c>
      <c r="D84" s="529" t="s">
        <v>10900</v>
      </c>
      <c r="E84" s="519" t="s">
        <v>4420</v>
      </c>
      <c r="F84" s="519" t="s">
        <v>10702</v>
      </c>
      <c r="G84" s="519" t="s">
        <v>2692</v>
      </c>
      <c r="H84" s="529" t="s">
        <v>10860</v>
      </c>
      <c r="I84" s="519" t="n">
        <v>2017</v>
      </c>
      <c r="J84" s="519" t="n">
        <v>522120</v>
      </c>
      <c r="K84" s="519" t="n">
        <v>2021</v>
      </c>
      <c r="L84" s="519"/>
      <c r="M84" s="519"/>
      <c r="N84" s="519"/>
      <c r="O84" s="530" t="n">
        <v>42908</v>
      </c>
      <c r="P84" s="530" t="n">
        <v>134812</v>
      </c>
      <c r="Q84" s="519"/>
      <c r="R84" s="519"/>
      <c r="S84" s="519"/>
      <c r="T84" s="519"/>
      <c r="U84" s="519"/>
      <c r="V84" s="519"/>
      <c r="W84" s="519"/>
      <c r="X84" s="519"/>
      <c r="Y84" s="519"/>
      <c r="Z84" s="519"/>
      <c r="AA84" s="519"/>
      <c r="AB84" s="519"/>
      <c r="AC84" s="530" t="n">
        <v>147507</v>
      </c>
      <c r="AD84" s="519"/>
      <c r="AE84" s="519"/>
      <c r="AF84" s="530" t="n">
        <v>93640</v>
      </c>
      <c r="AG84" s="519"/>
      <c r="AH84" s="530" t="n">
        <v>418867</v>
      </c>
      <c r="AI84" s="530" t="n">
        <v>1137439</v>
      </c>
      <c r="AJ84" s="530" t="n">
        <v>1556306</v>
      </c>
      <c r="AK84" s="519"/>
      <c r="AL84" s="519"/>
      <c r="AM84" s="529" t="s">
        <v>11293</v>
      </c>
      <c r="AN84" s="1" t="e">
        <f aca="false">IF(AND($B84=Subj_OccCode,Subj_BldgSF&gt;0,ABS($J84-Subj_BldgSF)&lt;=Subj_BldgSF*Subj_SizeTol),ABS($J84-Subj_BldgSF),NA())</f>
        <v>#N/A</v>
      </c>
      <c r="AO84" s="1" t="e">
        <f aca="false">IF(ISNA(AN84),NA(),AN84+ROW()/10000000)</f>
        <v>#N/A</v>
      </c>
      <c r="AR84" s="290" t="str">
        <f aca="false">IF(B84="","",IFERROR(INDEX(OCC_TABLE_DESC,MATCH(B84,OCC_TABLE_CODE,0)),"Unrecognized code"))</f>
        <v>Mega Warehouse</v>
      </c>
    </row>
    <row r="85" customFormat="false" ht="25.5" hidden="false" customHeight="true" outlineLevel="0" collapsed="false">
      <c r="A85" s="519" t="s">
        <v>10898</v>
      </c>
      <c r="B85" s="508" t="n">
        <v>584</v>
      </c>
      <c r="C85" s="519" t="s">
        <v>10899</v>
      </c>
      <c r="D85" s="529" t="s">
        <v>10900</v>
      </c>
      <c r="E85" s="519" t="s">
        <v>4420</v>
      </c>
      <c r="F85" s="519" t="s">
        <v>10702</v>
      </c>
      <c r="G85" s="519" t="s">
        <v>2692</v>
      </c>
      <c r="H85" s="529" t="s">
        <v>10860</v>
      </c>
      <c r="I85" s="519" t="n">
        <v>2017</v>
      </c>
      <c r="J85" s="519" t="n">
        <v>522120</v>
      </c>
      <c r="K85" s="519" t="n">
        <v>2022</v>
      </c>
      <c r="L85" s="519"/>
      <c r="M85" s="519"/>
      <c r="N85" s="519"/>
      <c r="O85" s="530" t="n">
        <v>45651</v>
      </c>
      <c r="P85" s="530" t="n">
        <v>115853</v>
      </c>
      <c r="Q85" s="519"/>
      <c r="R85" s="519"/>
      <c r="S85" s="519"/>
      <c r="T85" s="519"/>
      <c r="U85" s="519"/>
      <c r="V85" s="519"/>
      <c r="W85" s="519"/>
      <c r="X85" s="519"/>
      <c r="Y85" s="519"/>
      <c r="Z85" s="519"/>
      <c r="AA85" s="519"/>
      <c r="AB85" s="519"/>
      <c r="AC85" s="530" t="n">
        <v>89739</v>
      </c>
      <c r="AD85" s="519"/>
      <c r="AE85" s="519"/>
      <c r="AF85" s="530" t="n">
        <v>90763</v>
      </c>
      <c r="AG85" s="519"/>
      <c r="AH85" s="530" t="n">
        <v>342006</v>
      </c>
      <c r="AI85" s="530" t="n">
        <v>1169645</v>
      </c>
      <c r="AJ85" s="530" t="n">
        <v>1511651</v>
      </c>
      <c r="AK85" s="519"/>
      <c r="AL85" s="519"/>
      <c r="AM85" s="529" t="s">
        <v>11293</v>
      </c>
      <c r="AN85" s="1" t="e">
        <f aca="false">IF(AND($B85=Subj_OccCode,Subj_BldgSF&gt;0,ABS($J85-Subj_BldgSF)&lt;=Subj_BldgSF*Subj_SizeTol),ABS($J85-Subj_BldgSF),NA())</f>
        <v>#N/A</v>
      </c>
      <c r="AO85" s="1" t="e">
        <f aca="false">IF(ISNA(AN85),NA(),AN85+ROW()/10000000)</f>
        <v>#N/A</v>
      </c>
      <c r="AR85" s="290" t="str">
        <f aca="false">IF(B85="","",IFERROR(INDEX(OCC_TABLE_DESC,MATCH(B85,OCC_TABLE_CODE,0)),"Unrecognized code"))</f>
        <v>Mega Warehouse</v>
      </c>
    </row>
    <row r="86" customFormat="false" ht="25.5" hidden="false" customHeight="true" outlineLevel="0" collapsed="false">
      <c r="A86" s="519" t="s">
        <v>10901</v>
      </c>
      <c r="B86" s="508" t="n">
        <v>407</v>
      </c>
      <c r="C86" s="519" t="s">
        <v>10902</v>
      </c>
      <c r="D86" s="529" t="s">
        <v>10903</v>
      </c>
      <c r="E86" s="519" t="s">
        <v>10904</v>
      </c>
      <c r="F86" s="519" t="s">
        <v>10702</v>
      </c>
      <c r="G86" s="519" t="s">
        <v>2692</v>
      </c>
      <c r="H86" s="529" t="s">
        <v>10905</v>
      </c>
      <c r="I86" s="519"/>
      <c r="J86" s="519"/>
      <c r="K86" s="519" t="n">
        <v>2021</v>
      </c>
      <c r="L86" s="530" t="n">
        <v>2633716</v>
      </c>
      <c r="M86" s="519"/>
      <c r="N86" s="530" t="n">
        <v>3256403</v>
      </c>
      <c r="O86" s="530" t="n">
        <v>56624</v>
      </c>
      <c r="P86" s="519"/>
      <c r="Q86" s="530" t="n">
        <v>300</v>
      </c>
      <c r="R86" s="519"/>
      <c r="S86" s="519"/>
      <c r="T86" s="519"/>
      <c r="U86" s="519"/>
      <c r="V86" s="519"/>
      <c r="W86" s="519"/>
      <c r="X86" s="530" t="n">
        <v>29535</v>
      </c>
      <c r="Y86" s="530" t="n">
        <v>30138</v>
      </c>
      <c r="Z86" s="519"/>
      <c r="AA86" s="530" t="n">
        <v>54136</v>
      </c>
      <c r="AB86" s="530" t="n">
        <v>127274</v>
      </c>
      <c r="AC86" s="519"/>
      <c r="AD86" s="519"/>
      <c r="AE86" s="519"/>
      <c r="AF86" s="530" t="n">
        <v>18748</v>
      </c>
      <c r="AG86" s="519"/>
      <c r="AH86" s="530" t="n">
        <v>731951</v>
      </c>
      <c r="AI86" s="519"/>
      <c r="AJ86" s="519"/>
      <c r="AK86" s="530" t="n">
        <v>2524452</v>
      </c>
      <c r="AL86" s="519"/>
      <c r="AM86" s="529" t="s">
        <v>11294</v>
      </c>
      <c r="AN86" s="1" t="e">
        <f aca="false">IF(AND($B86=Subj_OccCode,Subj_BldgSF&gt;0,ABS($J86-Subj_BldgSF)&lt;=Subj_BldgSF*Subj_SizeTol),ABS($J86-Subj_BldgSF),NA())</f>
        <v>#N/A</v>
      </c>
      <c r="AO86" s="1" t="e">
        <f aca="false">IF(ISNA(AN86),NA(),AN86+ROW()/10000000)</f>
        <v>#N/A</v>
      </c>
      <c r="AR86" s="290" t="str">
        <f aca="false">IF(B86="","",IFERROR(INDEX(OCC_TABLE_DESC,MATCH(B86,OCC_TABLE_CODE,0)),"Unrecognized code"))</f>
        <v>Distribution Warehouse</v>
      </c>
    </row>
    <row r="87" customFormat="false" ht="25.5" hidden="false" customHeight="true" outlineLevel="0" collapsed="false">
      <c r="A87" s="519" t="s">
        <v>10901</v>
      </c>
      <c r="B87" s="508" t="n">
        <v>407</v>
      </c>
      <c r="C87" s="519" t="s">
        <v>10902</v>
      </c>
      <c r="D87" s="529" t="s">
        <v>10903</v>
      </c>
      <c r="E87" s="519" t="s">
        <v>10904</v>
      </c>
      <c r="F87" s="519" t="s">
        <v>10702</v>
      </c>
      <c r="G87" s="519" t="s">
        <v>2692</v>
      </c>
      <c r="H87" s="529" t="s">
        <v>10905</v>
      </c>
      <c r="I87" s="519"/>
      <c r="J87" s="519"/>
      <c r="K87" s="519" t="n">
        <v>2022</v>
      </c>
      <c r="L87" s="519"/>
      <c r="M87" s="519"/>
      <c r="N87" s="519"/>
      <c r="O87" s="519"/>
      <c r="P87" s="530" t="n">
        <v>69999</v>
      </c>
      <c r="Q87" s="519"/>
      <c r="R87" s="519"/>
      <c r="S87" s="519"/>
      <c r="T87" s="519"/>
      <c r="U87" s="519"/>
      <c r="V87" s="519"/>
      <c r="W87" s="519"/>
      <c r="X87" s="519"/>
      <c r="Y87" s="519"/>
      <c r="Z87" s="519"/>
      <c r="AA87" s="519"/>
      <c r="AB87" s="519"/>
      <c r="AC87" s="519"/>
      <c r="AD87" s="519"/>
      <c r="AE87" s="519"/>
      <c r="AF87" s="519"/>
      <c r="AG87" s="519"/>
      <c r="AH87" s="519"/>
      <c r="AI87" s="530" t="n">
        <v>1080500</v>
      </c>
      <c r="AJ87" s="530" t="n">
        <v>1527913</v>
      </c>
      <c r="AK87" s="530" t="n">
        <v>2475461</v>
      </c>
      <c r="AL87" s="519"/>
      <c r="AM87" s="529" t="s">
        <v>11295</v>
      </c>
      <c r="AN87" s="1" t="e">
        <f aca="false">IF(AND($B87=Subj_OccCode,Subj_BldgSF&gt;0,ABS($J87-Subj_BldgSF)&lt;=Subj_BldgSF*Subj_SizeTol),ABS($J87-Subj_BldgSF),NA())</f>
        <v>#N/A</v>
      </c>
      <c r="AO87" s="1" t="e">
        <f aca="false">IF(ISNA(AN87),NA(),AN87+ROW()/10000000)</f>
        <v>#N/A</v>
      </c>
      <c r="AR87" s="290" t="str">
        <f aca="false">IF(B87="","",IFERROR(INDEX(OCC_TABLE_DESC,MATCH(B87,OCC_TABLE_CODE,0)),"Unrecognized code"))</f>
        <v>Distribution Warehouse</v>
      </c>
    </row>
    <row r="88" customFormat="false" ht="25.5" hidden="false" customHeight="true" outlineLevel="0" collapsed="false">
      <c r="A88" s="519" t="s">
        <v>10909</v>
      </c>
      <c r="B88" s="508" t="n">
        <v>386</v>
      </c>
      <c r="C88" s="519" t="s">
        <v>10910</v>
      </c>
      <c r="D88" s="529" t="s">
        <v>10911</v>
      </c>
      <c r="E88" s="519" t="s">
        <v>4368</v>
      </c>
      <c r="F88" s="519" t="s">
        <v>10702</v>
      </c>
      <c r="G88" s="519" t="s">
        <v>10912</v>
      </c>
      <c r="H88" s="529" t="s">
        <v>10913</v>
      </c>
      <c r="I88" s="519"/>
      <c r="J88" s="519" t="n">
        <v>65766</v>
      </c>
      <c r="K88" s="519" t="n">
        <v>2021</v>
      </c>
      <c r="L88" s="519"/>
      <c r="M88" s="519"/>
      <c r="N88" s="530" t="n">
        <v>879992</v>
      </c>
      <c r="O88" s="519"/>
      <c r="P88" s="519"/>
      <c r="Q88" s="519"/>
      <c r="R88" s="519"/>
      <c r="S88" s="519"/>
      <c r="T88" s="519"/>
      <c r="U88" s="519"/>
      <c r="V88" s="519"/>
      <c r="W88" s="519"/>
      <c r="X88" s="519"/>
      <c r="Y88" s="519"/>
      <c r="Z88" s="519"/>
      <c r="AA88" s="519"/>
      <c r="AB88" s="519"/>
      <c r="AC88" s="519"/>
      <c r="AD88" s="519"/>
      <c r="AE88" s="519"/>
      <c r="AF88" s="519"/>
      <c r="AG88" s="519"/>
      <c r="AH88" s="519"/>
      <c r="AI88" s="519"/>
      <c r="AJ88" s="530" t="n">
        <v>418098</v>
      </c>
      <c r="AK88" s="530" t="n">
        <v>461894</v>
      </c>
      <c r="AL88" s="519"/>
      <c r="AM88" s="529" t="s">
        <v>11296</v>
      </c>
      <c r="AN88" s="1" t="e">
        <f aca="false">IF(AND($B88=Subj_OccCode,Subj_BldgSF&gt;0,ABS($J88-Subj_BldgSF)&lt;=Subj_BldgSF*Subj_SizeTol),ABS($J88-Subj_BldgSF),NA())</f>
        <v>#N/A</v>
      </c>
      <c r="AO88" s="1" t="e">
        <f aca="false">IF(ISNA(AN88),NA(),AN88+ROW()/10000000)</f>
        <v>#N/A</v>
      </c>
      <c r="AR88" s="290" t="str">
        <f aca="false">IF(B88="","",IFERROR(INDEX(OCC_TABLE_DESC,MATCH(B88,OCC_TABLE_CODE,0)),"Unrecognized code"))</f>
        <v>Mini Warehouse</v>
      </c>
    </row>
    <row r="89" customFormat="false" ht="25.5" hidden="false" customHeight="true" outlineLevel="0" collapsed="false">
      <c r="A89" s="519" t="s">
        <v>10909</v>
      </c>
      <c r="B89" s="508" t="n">
        <v>386</v>
      </c>
      <c r="C89" s="519" t="s">
        <v>10910</v>
      </c>
      <c r="D89" s="529" t="s">
        <v>10911</v>
      </c>
      <c r="E89" s="519" t="s">
        <v>4368</v>
      </c>
      <c r="F89" s="519" t="s">
        <v>10702</v>
      </c>
      <c r="G89" s="519" t="s">
        <v>10912</v>
      </c>
      <c r="H89" s="529" t="s">
        <v>10913</v>
      </c>
      <c r="I89" s="519"/>
      <c r="J89" s="519" t="n">
        <v>65766</v>
      </c>
      <c r="K89" s="519" t="n">
        <v>2022</v>
      </c>
      <c r="L89" s="519"/>
      <c r="M89" s="519"/>
      <c r="N89" s="530" t="n">
        <v>924824</v>
      </c>
      <c r="O89" s="519"/>
      <c r="P89" s="519"/>
      <c r="Q89" s="519"/>
      <c r="R89" s="519"/>
      <c r="S89" s="519"/>
      <c r="T89" s="519"/>
      <c r="U89" s="519"/>
      <c r="V89" s="519"/>
      <c r="W89" s="519"/>
      <c r="X89" s="519"/>
      <c r="Y89" s="519"/>
      <c r="Z89" s="519"/>
      <c r="AA89" s="519"/>
      <c r="AB89" s="519"/>
      <c r="AC89" s="519"/>
      <c r="AD89" s="519"/>
      <c r="AE89" s="519"/>
      <c r="AF89" s="519"/>
      <c r="AG89" s="519"/>
      <c r="AH89" s="519"/>
      <c r="AI89" s="519"/>
      <c r="AJ89" s="530" t="n">
        <v>455769</v>
      </c>
      <c r="AK89" s="530" t="n">
        <v>469055</v>
      </c>
      <c r="AL89" s="519"/>
      <c r="AM89" s="529" t="s">
        <v>11296</v>
      </c>
      <c r="AN89" s="1" t="e">
        <f aca="false">IF(AND($B89=Subj_OccCode,Subj_BldgSF&gt;0,ABS($J89-Subj_BldgSF)&lt;=Subj_BldgSF*Subj_SizeTol),ABS($J89-Subj_BldgSF),NA())</f>
        <v>#N/A</v>
      </c>
      <c r="AO89" s="1" t="e">
        <f aca="false">IF(ISNA(AN89),NA(),AN89+ROW()/10000000)</f>
        <v>#N/A</v>
      </c>
      <c r="AR89" s="290" t="str">
        <f aca="false">IF(B89="","",IFERROR(INDEX(OCC_TABLE_DESC,MATCH(B89,OCC_TABLE_CODE,0)),"Unrecognized code"))</f>
        <v>Mini Warehouse</v>
      </c>
    </row>
    <row r="90" customFormat="false" ht="25.5" hidden="false" customHeight="true" outlineLevel="0" collapsed="false">
      <c r="A90" s="519" t="s">
        <v>10909</v>
      </c>
      <c r="B90" s="508" t="n">
        <v>386</v>
      </c>
      <c r="C90" s="519" t="s">
        <v>10910</v>
      </c>
      <c r="D90" s="529" t="s">
        <v>10911</v>
      </c>
      <c r="E90" s="519" t="s">
        <v>4368</v>
      </c>
      <c r="F90" s="519" t="s">
        <v>10702</v>
      </c>
      <c r="G90" s="519" t="s">
        <v>10912</v>
      </c>
      <c r="H90" s="529" t="s">
        <v>10913</v>
      </c>
      <c r="I90" s="519"/>
      <c r="J90" s="519" t="n">
        <v>65766</v>
      </c>
      <c r="K90" s="519" t="n">
        <v>2023</v>
      </c>
      <c r="L90" s="519"/>
      <c r="M90" s="519"/>
      <c r="N90" s="530" t="n">
        <v>931247</v>
      </c>
      <c r="O90" s="530" t="n">
        <v>41471</v>
      </c>
      <c r="P90" s="530" t="n">
        <v>104101</v>
      </c>
      <c r="Q90" s="519"/>
      <c r="R90" s="519"/>
      <c r="S90" s="519"/>
      <c r="T90" s="519"/>
      <c r="U90" s="519"/>
      <c r="V90" s="519"/>
      <c r="W90" s="519"/>
      <c r="X90" s="519"/>
      <c r="Y90" s="530" t="n">
        <v>15564</v>
      </c>
      <c r="Z90" s="519"/>
      <c r="AA90" s="519"/>
      <c r="AB90" s="519"/>
      <c r="AC90" s="519"/>
      <c r="AD90" s="519"/>
      <c r="AE90" s="519"/>
      <c r="AF90" s="530" t="n">
        <v>37120</v>
      </c>
      <c r="AG90" s="519"/>
      <c r="AH90" s="530" t="n">
        <v>294563</v>
      </c>
      <c r="AI90" s="530" t="n">
        <v>179920</v>
      </c>
      <c r="AJ90" s="530" t="n">
        <v>474483</v>
      </c>
      <c r="AK90" s="530" t="n">
        <v>469746</v>
      </c>
      <c r="AL90" s="519"/>
      <c r="AM90" s="529" t="s">
        <v>11296</v>
      </c>
      <c r="AN90" s="1" t="e">
        <f aca="false">IF(AND($B90=Subj_OccCode,Subj_BldgSF&gt;0,ABS($J90-Subj_BldgSF)&lt;=Subj_BldgSF*Subj_SizeTol),ABS($J90-Subj_BldgSF),NA())</f>
        <v>#N/A</v>
      </c>
      <c r="AO90" s="1" t="e">
        <f aca="false">IF(ISNA(AN90),NA(),AN90+ROW()/10000000)</f>
        <v>#N/A</v>
      </c>
      <c r="AR90" s="290" t="str">
        <f aca="false">IF(B90="","",IFERROR(INDEX(OCC_TABLE_DESC,MATCH(B90,OCC_TABLE_CODE,0)),"Unrecognized code"))</f>
        <v>Mini Warehouse</v>
      </c>
    </row>
    <row r="91" customFormat="false" ht="12.75" hidden="false" customHeight="true" outlineLevel="0" collapsed="false">
      <c r="A91" s="519" t="s">
        <v>10916</v>
      </c>
      <c r="B91" s="508" t="n">
        <v>386</v>
      </c>
      <c r="C91" s="519" t="s">
        <v>10917</v>
      </c>
      <c r="D91" s="529" t="s">
        <v>10918</v>
      </c>
      <c r="E91" s="519" t="s">
        <v>4325</v>
      </c>
      <c r="F91" s="519" t="s">
        <v>10702</v>
      </c>
      <c r="G91" s="519" t="s">
        <v>10912</v>
      </c>
      <c r="H91" s="529" t="s">
        <v>10913</v>
      </c>
      <c r="I91" s="519"/>
      <c r="J91" s="519" t="n">
        <v>79950</v>
      </c>
      <c r="K91" s="519" t="n">
        <v>2021</v>
      </c>
      <c r="L91" s="519"/>
      <c r="M91" s="519"/>
      <c r="N91" s="530" t="n">
        <v>956337</v>
      </c>
      <c r="O91" s="519"/>
      <c r="P91" s="519"/>
      <c r="Q91" s="519"/>
      <c r="R91" s="519"/>
      <c r="S91" s="519"/>
      <c r="T91" s="519"/>
      <c r="U91" s="519"/>
      <c r="V91" s="519"/>
      <c r="W91" s="519"/>
      <c r="X91" s="519"/>
      <c r="Y91" s="519"/>
      <c r="Z91" s="519"/>
      <c r="AA91" s="519"/>
      <c r="AB91" s="519"/>
      <c r="AC91" s="519"/>
      <c r="AD91" s="519"/>
      <c r="AE91" s="519"/>
      <c r="AF91" s="519"/>
      <c r="AG91" s="519"/>
      <c r="AH91" s="519"/>
      <c r="AI91" s="519"/>
      <c r="AJ91" s="530" t="n">
        <v>481614</v>
      </c>
      <c r="AK91" s="530" t="n">
        <v>514723</v>
      </c>
      <c r="AL91" s="519"/>
      <c r="AM91" s="529" t="s">
        <v>11297</v>
      </c>
      <c r="AN91" s="1" t="e">
        <f aca="false">IF(AND($B91=Subj_OccCode,Subj_BldgSF&gt;0,ABS($J91-Subj_BldgSF)&lt;=Subj_BldgSF*Subj_SizeTol),ABS($J91-Subj_BldgSF),NA())</f>
        <v>#N/A</v>
      </c>
      <c r="AO91" s="1" t="e">
        <f aca="false">IF(ISNA(AN91),NA(),AN91+ROW()/10000000)</f>
        <v>#N/A</v>
      </c>
      <c r="AR91" s="290" t="str">
        <f aca="false">IF(B91="","",IFERROR(INDEX(OCC_TABLE_DESC,MATCH(B91,OCC_TABLE_CODE,0)),"Unrecognized code"))</f>
        <v>Mini Warehouse</v>
      </c>
    </row>
    <row r="92" customFormat="false" ht="12.75" hidden="false" customHeight="true" outlineLevel="0" collapsed="false">
      <c r="A92" s="519" t="s">
        <v>10916</v>
      </c>
      <c r="B92" s="508" t="n">
        <v>386</v>
      </c>
      <c r="C92" s="519" t="s">
        <v>10917</v>
      </c>
      <c r="D92" s="529" t="s">
        <v>10918</v>
      </c>
      <c r="E92" s="519" t="s">
        <v>4325</v>
      </c>
      <c r="F92" s="519" t="s">
        <v>10702</v>
      </c>
      <c r="G92" s="519" t="s">
        <v>10912</v>
      </c>
      <c r="H92" s="529" t="s">
        <v>10913</v>
      </c>
      <c r="I92" s="519"/>
      <c r="J92" s="519" t="n">
        <v>79950</v>
      </c>
      <c r="K92" s="519" t="n">
        <v>2022</v>
      </c>
      <c r="L92" s="519"/>
      <c r="M92" s="519"/>
      <c r="N92" s="530" t="n">
        <v>1017929</v>
      </c>
      <c r="O92" s="519"/>
      <c r="P92" s="519"/>
      <c r="Q92" s="519"/>
      <c r="R92" s="519"/>
      <c r="S92" s="519"/>
      <c r="T92" s="519"/>
      <c r="U92" s="519"/>
      <c r="V92" s="519"/>
      <c r="W92" s="519"/>
      <c r="X92" s="519"/>
      <c r="Y92" s="519"/>
      <c r="Z92" s="519"/>
      <c r="AA92" s="519"/>
      <c r="AB92" s="519"/>
      <c r="AC92" s="519"/>
      <c r="AD92" s="519"/>
      <c r="AE92" s="519"/>
      <c r="AF92" s="519"/>
      <c r="AG92" s="519"/>
      <c r="AH92" s="519"/>
      <c r="AI92" s="519"/>
      <c r="AJ92" s="530" t="n">
        <v>432239</v>
      </c>
      <c r="AK92" s="530" t="n">
        <v>585690</v>
      </c>
      <c r="AL92" s="519"/>
      <c r="AM92" s="529" t="s">
        <v>11297</v>
      </c>
      <c r="AN92" s="1" t="e">
        <f aca="false">IF(AND($B92=Subj_OccCode,Subj_BldgSF&gt;0,ABS($J92-Subj_BldgSF)&lt;=Subj_BldgSF*Subj_SizeTol),ABS($J92-Subj_BldgSF),NA())</f>
        <v>#N/A</v>
      </c>
      <c r="AO92" s="1" t="e">
        <f aca="false">IF(ISNA(AN92),NA(),AN92+ROW()/10000000)</f>
        <v>#N/A</v>
      </c>
      <c r="AR92" s="290" t="str">
        <f aca="false">IF(B92="","",IFERROR(INDEX(OCC_TABLE_DESC,MATCH(B92,OCC_TABLE_CODE,0)),"Unrecognized code"))</f>
        <v>Mini Warehouse</v>
      </c>
    </row>
    <row r="93" customFormat="false" ht="12.75" hidden="false" customHeight="true" outlineLevel="0" collapsed="false">
      <c r="A93" s="519" t="s">
        <v>10916</v>
      </c>
      <c r="B93" s="508" t="n">
        <v>386</v>
      </c>
      <c r="C93" s="519" t="s">
        <v>10917</v>
      </c>
      <c r="D93" s="529" t="s">
        <v>10918</v>
      </c>
      <c r="E93" s="519" t="s">
        <v>4325</v>
      </c>
      <c r="F93" s="519" t="s">
        <v>10702</v>
      </c>
      <c r="G93" s="519" t="s">
        <v>10912</v>
      </c>
      <c r="H93" s="529" t="s">
        <v>10913</v>
      </c>
      <c r="I93" s="519"/>
      <c r="J93" s="519" t="n">
        <v>79950</v>
      </c>
      <c r="K93" s="519" t="n">
        <v>2023</v>
      </c>
      <c r="L93" s="519"/>
      <c r="M93" s="519"/>
      <c r="N93" s="530" t="n">
        <v>954605</v>
      </c>
      <c r="O93" s="530" t="n">
        <v>40815</v>
      </c>
      <c r="P93" s="530" t="n">
        <v>108523</v>
      </c>
      <c r="Q93" s="519"/>
      <c r="R93" s="519"/>
      <c r="S93" s="519"/>
      <c r="T93" s="519"/>
      <c r="U93" s="519"/>
      <c r="V93" s="519"/>
      <c r="W93" s="519"/>
      <c r="X93" s="519"/>
      <c r="Y93" s="530" t="n">
        <v>24068</v>
      </c>
      <c r="Z93" s="519"/>
      <c r="AA93" s="519"/>
      <c r="AB93" s="519"/>
      <c r="AC93" s="519"/>
      <c r="AD93" s="519"/>
      <c r="AE93" s="519"/>
      <c r="AF93" s="530" t="n">
        <v>20683</v>
      </c>
      <c r="AG93" s="519"/>
      <c r="AH93" s="530" t="n">
        <v>274666</v>
      </c>
      <c r="AI93" s="530" t="n">
        <v>244725</v>
      </c>
      <c r="AJ93" s="530" t="n">
        <v>519391</v>
      </c>
      <c r="AK93" s="530" t="n">
        <v>435215</v>
      </c>
      <c r="AL93" s="519"/>
      <c r="AM93" s="529" t="s">
        <v>11297</v>
      </c>
      <c r="AN93" s="1" t="e">
        <f aca="false">IF(AND($B93=Subj_OccCode,Subj_BldgSF&gt;0,ABS($J93-Subj_BldgSF)&lt;=Subj_BldgSF*Subj_SizeTol),ABS($J93-Subj_BldgSF),NA())</f>
        <v>#N/A</v>
      </c>
      <c r="AO93" s="1" t="e">
        <f aca="false">IF(ISNA(AN93),NA(),AN93+ROW()/10000000)</f>
        <v>#N/A</v>
      </c>
      <c r="AR93" s="290" t="str">
        <f aca="false">IF(B93="","",IFERROR(INDEX(OCC_TABLE_DESC,MATCH(B93,OCC_TABLE_CODE,0)),"Unrecognized code"))</f>
        <v>Mini Warehouse</v>
      </c>
    </row>
    <row r="94" customFormat="false" ht="12.75" hidden="false" customHeight="true" outlineLevel="0" collapsed="false">
      <c r="A94" s="519" t="s">
        <v>10920</v>
      </c>
      <c r="B94" s="508" t="n">
        <v>386</v>
      </c>
      <c r="C94" s="519" t="s">
        <v>10921</v>
      </c>
      <c r="D94" s="529" t="s">
        <v>10922</v>
      </c>
      <c r="E94" s="519" t="s">
        <v>4325</v>
      </c>
      <c r="F94" s="519" t="s">
        <v>10702</v>
      </c>
      <c r="G94" s="519" t="s">
        <v>10912</v>
      </c>
      <c r="H94" s="529" t="s">
        <v>10923</v>
      </c>
      <c r="I94" s="519"/>
      <c r="J94" s="519" t="n">
        <v>83756</v>
      </c>
      <c r="K94" s="519" t="n">
        <v>2021</v>
      </c>
      <c r="L94" s="519"/>
      <c r="M94" s="519"/>
      <c r="N94" s="530" t="n">
        <v>814763</v>
      </c>
      <c r="O94" s="519"/>
      <c r="P94" s="519"/>
      <c r="Q94" s="519"/>
      <c r="R94" s="519"/>
      <c r="S94" s="519"/>
      <c r="T94" s="519"/>
      <c r="U94" s="519"/>
      <c r="V94" s="519"/>
      <c r="W94" s="519"/>
      <c r="X94" s="519"/>
      <c r="Y94" s="519"/>
      <c r="Z94" s="519"/>
      <c r="AA94" s="519"/>
      <c r="AB94" s="519"/>
      <c r="AC94" s="519"/>
      <c r="AD94" s="519"/>
      <c r="AE94" s="519"/>
      <c r="AF94" s="519"/>
      <c r="AG94" s="519"/>
      <c r="AH94" s="519"/>
      <c r="AI94" s="519"/>
      <c r="AJ94" s="530" t="n">
        <v>436596</v>
      </c>
      <c r="AK94" s="530" t="n">
        <v>378167</v>
      </c>
      <c r="AL94" s="519"/>
      <c r="AM94" s="529" t="s">
        <v>11297</v>
      </c>
      <c r="AN94" s="1" t="e">
        <f aca="false">IF(AND($B94=Subj_OccCode,Subj_BldgSF&gt;0,ABS($J94-Subj_BldgSF)&lt;=Subj_BldgSF*Subj_SizeTol),ABS($J94-Subj_BldgSF),NA())</f>
        <v>#N/A</v>
      </c>
      <c r="AO94" s="1" t="e">
        <f aca="false">IF(ISNA(AN94),NA(),AN94+ROW()/10000000)</f>
        <v>#N/A</v>
      </c>
      <c r="AR94" s="290" t="str">
        <f aca="false">IF(B94="","",IFERROR(INDEX(OCC_TABLE_DESC,MATCH(B94,OCC_TABLE_CODE,0)),"Unrecognized code"))</f>
        <v>Mini Warehouse</v>
      </c>
    </row>
    <row r="95" customFormat="false" ht="12.75" hidden="false" customHeight="true" outlineLevel="0" collapsed="false">
      <c r="A95" s="519" t="s">
        <v>10920</v>
      </c>
      <c r="B95" s="508" t="n">
        <v>386</v>
      </c>
      <c r="C95" s="519" t="s">
        <v>10921</v>
      </c>
      <c r="D95" s="529" t="s">
        <v>10922</v>
      </c>
      <c r="E95" s="519" t="s">
        <v>4325</v>
      </c>
      <c r="F95" s="519" t="s">
        <v>10702</v>
      </c>
      <c r="G95" s="519" t="s">
        <v>10912</v>
      </c>
      <c r="H95" s="529" t="s">
        <v>10923</v>
      </c>
      <c r="I95" s="519"/>
      <c r="J95" s="519" t="n">
        <v>83756</v>
      </c>
      <c r="K95" s="519" t="n">
        <v>2022</v>
      </c>
      <c r="L95" s="519"/>
      <c r="M95" s="519"/>
      <c r="N95" s="530" t="n">
        <v>980798</v>
      </c>
      <c r="O95" s="519"/>
      <c r="P95" s="519"/>
      <c r="Q95" s="519"/>
      <c r="R95" s="519"/>
      <c r="S95" s="519"/>
      <c r="T95" s="519"/>
      <c r="U95" s="519"/>
      <c r="V95" s="519"/>
      <c r="W95" s="519"/>
      <c r="X95" s="519"/>
      <c r="Y95" s="519"/>
      <c r="Z95" s="519"/>
      <c r="AA95" s="519"/>
      <c r="AB95" s="519"/>
      <c r="AC95" s="519"/>
      <c r="AD95" s="519"/>
      <c r="AE95" s="519"/>
      <c r="AF95" s="519"/>
      <c r="AG95" s="519"/>
      <c r="AH95" s="519"/>
      <c r="AI95" s="519"/>
      <c r="AJ95" s="530" t="n">
        <v>455854</v>
      </c>
      <c r="AK95" s="530" t="n">
        <v>524944</v>
      </c>
      <c r="AL95" s="519"/>
      <c r="AM95" s="529" t="s">
        <v>11297</v>
      </c>
      <c r="AN95" s="1" t="e">
        <f aca="false">IF(AND($B95=Subj_OccCode,Subj_BldgSF&gt;0,ABS($J95-Subj_BldgSF)&lt;=Subj_BldgSF*Subj_SizeTol),ABS($J95-Subj_BldgSF),NA())</f>
        <v>#N/A</v>
      </c>
      <c r="AO95" s="1" t="e">
        <f aca="false">IF(ISNA(AN95),NA(),AN95+ROW()/10000000)</f>
        <v>#N/A</v>
      </c>
      <c r="AR95" s="290" t="str">
        <f aca="false">IF(B95="","",IFERROR(INDEX(OCC_TABLE_DESC,MATCH(B95,OCC_TABLE_CODE,0)),"Unrecognized code"))</f>
        <v>Mini Warehouse</v>
      </c>
    </row>
    <row r="96" customFormat="false" ht="12.75" hidden="false" customHeight="true" outlineLevel="0" collapsed="false">
      <c r="A96" s="519" t="s">
        <v>10920</v>
      </c>
      <c r="B96" s="508" t="n">
        <v>386</v>
      </c>
      <c r="C96" s="519" t="s">
        <v>10921</v>
      </c>
      <c r="D96" s="529" t="s">
        <v>10922</v>
      </c>
      <c r="E96" s="519" t="s">
        <v>4325</v>
      </c>
      <c r="F96" s="519" t="s">
        <v>10702</v>
      </c>
      <c r="G96" s="519" t="s">
        <v>10912</v>
      </c>
      <c r="H96" s="529" t="s">
        <v>10923</v>
      </c>
      <c r="I96" s="519"/>
      <c r="J96" s="519" t="n">
        <v>83756</v>
      </c>
      <c r="K96" s="519" t="n">
        <v>2023</v>
      </c>
      <c r="L96" s="519"/>
      <c r="M96" s="519"/>
      <c r="N96" s="530" t="n">
        <v>1011950</v>
      </c>
      <c r="O96" s="530" t="n">
        <v>47107</v>
      </c>
      <c r="P96" s="530" t="n">
        <v>111748</v>
      </c>
      <c r="Q96" s="519"/>
      <c r="R96" s="519"/>
      <c r="S96" s="519"/>
      <c r="T96" s="519"/>
      <c r="U96" s="519"/>
      <c r="V96" s="519"/>
      <c r="W96" s="519"/>
      <c r="X96" s="519"/>
      <c r="Y96" s="530" t="n">
        <v>10236</v>
      </c>
      <c r="Z96" s="519"/>
      <c r="AA96" s="519"/>
      <c r="AB96" s="519"/>
      <c r="AC96" s="519"/>
      <c r="AD96" s="519"/>
      <c r="AE96" s="519"/>
      <c r="AF96" s="530" t="n">
        <v>15944</v>
      </c>
      <c r="AG96" s="519"/>
      <c r="AH96" s="530" t="n">
        <v>257858</v>
      </c>
      <c r="AI96" s="530" t="n">
        <v>202686</v>
      </c>
      <c r="AJ96" s="530" t="n">
        <v>460544</v>
      </c>
      <c r="AK96" s="530" t="n">
        <v>551606</v>
      </c>
      <c r="AL96" s="519"/>
      <c r="AM96" s="529" t="s">
        <v>11297</v>
      </c>
      <c r="AN96" s="1" t="e">
        <f aca="false">IF(AND($B96=Subj_OccCode,Subj_BldgSF&gt;0,ABS($J96-Subj_BldgSF)&lt;=Subj_BldgSF*Subj_SizeTol),ABS($J96-Subj_BldgSF),NA())</f>
        <v>#N/A</v>
      </c>
      <c r="AO96" s="1" t="e">
        <f aca="false">IF(ISNA(AN96),NA(),AN96+ROW()/10000000)</f>
        <v>#N/A</v>
      </c>
      <c r="AR96" s="290" t="str">
        <f aca="false">IF(B96="","",IFERROR(INDEX(OCC_TABLE_DESC,MATCH(B96,OCC_TABLE_CODE,0)),"Unrecognized code"))</f>
        <v>Mini Warehouse</v>
      </c>
    </row>
    <row r="97" customFormat="false" ht="25.5" hidden="false" customHeight="true" outlineLevel="0" collapsed="false">
      <c r="A97" s="519" t="s">
        <v>10925</v>
      </c>
      <c r="B97" s="508" t="n">
        <v>386</v>
      </c>
      <c r="C97" s="519" t="s">
        <v>10926</v>
      </c>
      <c r="D97" s="529" t="s">
        <v>10927</v>
      </c>
      <c r="E97" s="519" t="s">
        <v>4368</v>
      </c>
      <c r="F97" s="519" t="s">
        <v>10702</v>
      </c>
      <c r="G97" s="519" t="s">
        <v>10912</v>
      </c>
      <c r="H97" s="529" t="s">
        <v>10923</v>
      </c>
      <c r="I97" s="519"/>
      <c r="J97" s="519" t="n">
        <v>71909</v>
      </c>
      <c r="K97" s="519" t="n">
        <v>2021</v>
      </c>
      <c r="L97" s="519"/>
      <c r="M97" s="519"/>
      <c r="N97" s="530" t="n">
        <v>837430</v>
      </c>
      <c r="O97" s="519"/>
      <c r="P97" s="519"/>
      <c r="Q97" s="519"/>
      <c r="R97" s="519"/>
      <c r="S97" s="519"/>
      <c r="T97" s="519"/>
      <c r="U97" s="519"/>
      <c r="V97" s="519"/>
      <c r="W97" s="519"/>
      <c r="X97" s="519"/>
      <c r="Y97" s="519"/>
      <c r="Z97" s="519"/>
      <c r="AA97" s="519"/>
      <c r="AB97" s="519"/>
      <c r="AC97" s="519"/>
      <c r="AD97" s="519"/>
      <c r="AE97" s="519"/>
      <c r="AF97" s="519"/>
      <c r="AG97" s="519"/>
      <c r="AH97" s="519"/>
      <c r="AI97" s="519"/>
      <c r="AJ97" s="530" t="n">
        <v>445701</v>
      </c>
      <c r="AK97" s="530" t="n">
        <v>391729</v>
      </c>
      <c r="AL97" s="519"/>
      <c r="AM97" s="529" t="s">
        <v>11298</v>
      </c>
      <c r="AN97" s="1" t="e">
        <f aca="false">IF(AND($B97=Subj_OccCode,Subj_BldgSF&gt;0,ABS($J97-Subj_BldgSF)&lt;=Subj_BldgSF*Subj_SizeTol),ABS($J97-Subj_BldgSF),NA())</f>
        <v>#N/A</v>
      </c>
      <c r="AO97" s="1" t="e">
        <f aca="false">IF(ISNA(AN97),NA(),AN97+ROW()/10000000)</f>
        <v>#N/A</v>
      </c>
      <c r="AR97" s="290" t="str">
        <f aca="false">IF(B97="","",IFERROR(INDEX(OCC_TABLE_DESC,MATCH(B97,OCC_TABLE_CODE,0)),"Unrecognized code"))</f>
        <v>Mini Warehouse</v>
      </c>
    </row>
    <row r="98" customFormat="false" ht="25.5" hidden="false" customHeight="true" outlineLevel="0" collapsed="false">
      <c r="A98" s="519" t="s">
        <v>10925</v>
      </c>
      <c r="B98" s="508" t="n">
        <v>386</v>
      </c>
      <c r="C98" s="519" t="s">
        <v>10926</v>
      </c>
      <c r="D98" s="529" t="s">
        <v>10927</v>
      </c>
      <c r="E98" s="519" t="s">
        <v>4368</v>
      </c>
      <c r="F98" s="519" t="s">
        <v>10702</v>
      </c>
      <c r="G98" s="519" t="s">
        <v>10912</v>
      </c>
      <c r="H98" s="529" t="s">
        <v>10923</v>
      </c>
      <c r="I98" s="519"/>
      <c r="J98" s="519" t="n">
        <v>71909</v>
      </c>
      <c r="K98" s="519" t="n">
        <v>2022</v>
      </c>
      <c r="L98" s="519"/>
      <c r="M98" s="519"/>
      <c r="N98" s="530" t="n">
        <v>945562</v>
      </c>
      <c r="O98" s="519"/>
      <c r="P98" s="519"/>
      <c r="Q98" s="519"/>
      <c r="R98" s="519"/>
      <c r="S98" s="519"/>
      <c r="T98" s="519"/>
      <c r="U98" s="519"/>
      <c r="V98" s="519"/>
      <c r="W98" s="519"/>
      <c r="X98" s="519"/>
      <c r="Y98" s="519"/>
      <c r="Z98" s="519"/>
      <c r="AA98" s="519"/>
      <c r="AB98" s="519"/>
      <c r="AC98" s="519"/>
      <c r="AD98" s="519"/>
      <c r="AE98" s="519"/>
      <c r="AF98" s="519"/>
      <c r="AG98" s="519"/>
      <c r="AH98" s="519"/>
      <c r="AI98" s="519"/>
      <c r="AJ98" s="530" t="n">
        <v>445701</v>
      </c>
      <c r="AK98" s="530" t="n">
        <v>466302</v>
      </c>
      <c r="AL98" s="519"/>
      <c r="AM98" s="529" t="s">
        <v>11298</v>
      </c>
      <c r="AN98" s="1" t="e">
        <f aca="false">IF(AND($B98=Subj_OccCode,Subj_BldgSF&gt;0,ABS($J98-Subj_BldgSF)&lt;=Subj_BldgSF*Subj_SizeTol),ABS($J98-Subj_BldgSF),NA())</f>
        <v>#N/A</v>
      </c>
      <c r="AO98" s="1" t="e">
        <f aca="false">IF(ISNA(AN98),NA(),AN98+ROW()/10000000)</f>
        <v>#N/A</v>
      </c>
      <c r="AR98" s="290" t="str">
        <f aca="false">IF(B98="","",IFERROR(INDEX(OCC_TABLE_DESC,MATCH(B98,OCC_TABLE_CODE,0)),"Unrecognized code"))</f>
        <v>Mini Warehouse</v>
      </c>
    </row>
    <row r="99" customFormat="false" ht="25.5" hidden="false" customHeight="true" outlineLevel="0" collapsed="false">
      <c r="A99" s="519" t="s">
        <v>10925</v>
      </c>
      <c r="B99" s="508" t="n">
        <v>386</v>
      </c>
      <c r="C99" s="519" t="s">
        <v>10926</v>
      </c>
      <c r="D99" s="529" t="s">
        <v>10927</v>
      </c>
      <c r="E99" s="519" t="s">
        <v>4368</v>
      </c>
      <c r="F99" s="519" t="s">
        <v>10702</v>
      </c>
      <c r="G99" s="519" t="s">
        <v>10912</v>
      </c>
      <c r="H99" s="529" t="s">
        <v>10923</v>
      </c>
      <c r="I99" s="519"/>
      <c r="J99" s="519" t="n">
        <v>71909</v>
      </c>
      <c r="K99" s="519" t="n">
        <v>2023</v>
      </c>
      <c r="L99" s="519"/>
      <c r="M99" s="519"/>
      <c r="N99" s="530" t="n">
        <v>980778</v>
      </c>
      <c r="O99" s="530" t="n">
        <v>43407</v>
      </c>
      <c r="P99" s="530" t="n">
        <v>141702</v>
      </c>
      <c r="Q99" s="519"/>
      <c r="R99" s="519"/>
      <c r="S99" s="519"/>
      <c r="T99" s="519"/>
      <c r="U99" s="519"/>
      <c r="V99" s="519"/>
      <c r="W99" s="519"/>
      <c r="X99" s="519"/>
      <c r="Y99" s="530" t="n">
        <v>17835</v>
      </c>
      <c r="Z99" s="519"/>
      <c r="AA99" s="519"/>
      <c r="AB99" s="519"/>
      <c r="AC99" s="519"/>
      <c r="AD99" s="519"/>
      <c r="AE99" s="519"/>
      <c r="AF99" s="530" t="n">
        <v>21431</v>
      </c>
      <c r="AG99" s="519"/>
      <c r="AH99" s="530" t="n">
        <v>298955</v>
      </c>
      <c r="AI99" s="530" t="n">
        <v>186365</v>
      </c>
      <c r="AJ99" s="530" t="n">
        <v>485320</v>
      </c>
      <c r="AK99" s="530" t="n">
        <v>492300</v>
      </c>
      <c r="AL99" s="519"/>
      <c r="AM99" s="529" t="s">
        <v>11298</v>
      </c>
      <c r="AN99" s="1" t="e">
        <f aca="false">IF(AND($B99=Subj_OccCode,Subj_BldgSF&gt;0,ABS($J99-Subj_BldgSF)&lt;=Subj_BldgSF*Subj_SizeTol),ABS($J99-Subj_BldgSF),NA())</f>
        <v>#N/A</v>
      </c>
      <c r="AO99" s="1" t="e">
        <f aca="false">IF(ISNA(AN99),NA(),AN99+ROW()/10000000)</f>
        <v>#N/A</v>
      </c>
      <c r="AR99" s="290" t="str">
        <f aca="false">IF(B99="","",IFERROR(INDEX(OCC_TABLE_DESC,MATCH(B99,OCC_TABLE_CODE,0)),"Unrecognized code"))</f>
        <v>Mini Warehouse</v>
      </c>
    </row>
    <row r="100" customFormat="false" ht="25.5" hidden="false" customHeight="true" outlineLevel="0" collapsed="false">
      <c r="A100" s="519" t="s">
        <v>10929</v>
      </c>
      <c r="B100" s="508" t="n">
        <v>386</v>
      </c>
      <c r="C100" s="519" t="s">
        <v>10930</v>
      </c>
      <c r="D100" s="529" t="s">
        <v>11299</v>
      </c>
      <c r="E100" s="519" t="s">
        <v>4368</v>
      </c>
      <c r="F100" s="519" t="s">
        <v>10702</v>
      </c>
      <c r="G100" s="519" t="s">
        <v>10912</v>
      </c>
      <c r="H100" s="529" t="s">
        <v>10923</v>
      </c>
      <c r="I100" s="519"/>
      <c r="J100" s="519" t="n">
        <v>41900</v>
      </c>
      <c r="K100" s="519" t="n">
        <v>2024</v>
      </c>
      <c r="L100" s="519"/>
      <c r="M100" s="519"/>
      <c r="N100" s="530" t="n">
        <v>718060</v>
      </c>
      <c r="O100" s="530" t="n">
        <v>19037</v>
      </c>
      <c r="P100" s="530" t="n">
        <v>93975</v>
      </c>
      <c r="Q100" s="519"/>
      <c r="R100" s="519"/>
      <c r="S100" s="519"/>
      <c r="T100" s="519"/>
      <c r="U100" s="519"/>
      <c r="V100" s="519"/>
      <c r="W100" s="519"/>
      <c r="X100" s="519"/>
      <c r="Y100" s="530" t="n">
        <v>11768</v>
      </c>
      <c r="Z100" s="519"/>
      <c r="AA100" s="519"/>
      <c r="AB100" s="519"/>
      <c r="AC100" s="519"/>
      <c r="AD100" s="519"/>
      <c r="AE100" s="519"/>
      <c r="AF100" s="530" t="n">
        <v>5417</v>
      </c>
      <c r="AG100" s="519"/>
      <c r="AH100" s="530" t="n">
        <v>208790</v>
      </c>
      <c r="AI100" s="530" t="n">
        <v>176524</v>
      </c>
      <c r="AJ100" s="530" t="n">
        <v>385314</v>
      </c>
      <c r="AK100" s="530" t="n">
        <v>332746</v>
      </c>
      <c r="AL100" s="519"/>
      <c r="AM100" s="529" t="s">
        <v>11300</v>
      </c>
      <c r="AN100" s="1" t="e">
        <f aca="false">IF(AND($B100=Subj_OccCode,Subj_BldgSF&gt;0,ABS($J100-Subj_BldgSF)&lt;=Subj_BldgSF*Subj_SizeTol),ABS($J100-Subj_BldgSF),NA())</f>
        <v>#N/A</v>
      </c>
      <c r="AO100" s="1" t="e">
        <f aca="false">IF(ISNA(AN100),NA(),AN100+ROW()/10000000)</f>
        <v>#N/A</v>
      </c>
      <c r="AR100" s="290" t="str">
        <f aca="false">IF(B100="","",IFERROR(INDEX(OCC_TABLE_DESC,MATCH(B100,OCC_TABLE_CODE,0)),"Unrecognized code"))</f>
        <v>Mini Warehouse</v>
      </c>
    </row>
    <row r="101" customFormat="false" ht="25.5" hidden="false" customHeight="true" outlineLevel="0" collapsed="false">
      <c r="A101" s="519" t="s">
        <v>10934</v>
      </c>
      <c r="B101" s="508" t="n">
        <v>386</v>
      </c>
      <c r="C101" s="519" t="s">
        <v>6447</v>
      </c>
      <c r="D101" s="529" t="s">
        <v>10935</v>
      </c>
      <c r="E101" s="519" t="s">
        <v>9525</v>
      </c>
      <c r="F101" s="519" t="s">
        <v>10702</v>
      </c>
      <c r="G101" s="519" t="s">
        <v>10912</v>
      </c>
      <c r="H101" s="529" t="s">
        <v>10913</v>
      </c>
      <c r="I101" s="519"/>
      <c r="J101" s="519" t="n">
        <v>94736</v>
      </c>
      <c r="K101" s="519"/>
      <c r="L101" s="519"/>
      <c r="M101" s="519"/>
      <c r="N101" s="530" t="n">
        <v>1582087</v>
      </c>
      <c r="O101" s="530" t="n">
        <v>39625</v>
      </c>
      <c r="P101" s="530" t="n">
        <v>167356</v>
      </c>
      <c r="Q101" s="519"/>
      <c r="R101" s="519"/>
      <c r="S101" s="519"/>
      <c r="T101" s="519"/>
      <c r="U101" s="519"/>
      <c r="V101" s="519"/>
      <c r="W101" s="519"/>
      <c r="X101" s="519"/>
      <c r="Y101" s="530" t="n">
        <v>38582</v>
      </c>
      <c r="Z101" s="519"/>
      <c r="AA101" s="519"/>
      <c r="AB101" s="519"/>
      <c r="AC101" s="519"/>
      <c r="AD101" s="519"/>
      <c r="AE101" s="519"/>
      <c r="AF101" s="530" t="n">
        <v>19609</v>
      </c>
      <c r="AG101" s="519"/>
      <c r="AH101" s="530" t="n">
        <v>349253</v>
      </c>
      <c r="AI101" s="530" t="n">
        <v>423847</v>
      </c>
      <c r="AJ101" s="530" t="n">
        <v>773100</v>
      </c>
      <c r="AK101" s="530" t="n">
        <v>808987</v>
      </c>
      <c r="AL101" s="519"/>
      <c r="AM101" s="529" t="s">
        <v>11301</v>
      </c>
      <c r="AN101" s="1" t="e">
        <f aca="false">IF(AND($B101=Subj_OccCode,Subj_BldgSF&gt;0,ABS($J101-Subj_BldgSF)&lt;=Subj_BldgSF*Subj_SizeTol),ABS($J101-Subj_BldgSF),NA())</f>
        <v>#N/A</v>
      </c>
      <c r="AO101" s="1" t="e">
        <f aca="false">IF(ISNA(AN101),NA(),AN101+ROW()/10000000)</f>
        <v>#N/A</v>
      </c>
      <c r="AR101" s="290" t="str">
        <f aca="false">IF(B101="","",IFERROR(INDEX(OCC_TABLE_DESC,MATCH(B101,OCC_TABLE_CODE,0)),"Unrecognized code"))</f>
        <v>Mini Warehouse</v>
      </c>
    </row>
    <row r="102" customFormat="false" ht="25.5" hidden="false" customHeight="true" outlineLevel="0" collapsed="false">
      <c r="A102" s="519" t="s">
        <v>10938</v>
      </c>
      <c r="B102" s="508" t="n">
        <v>386</v>
      </c>
      <c r="C102" s="519" t="s">
        <v>10939</v>
      </c>
      <c r="D102" s="529" t="s">
        <v>10940</v>
      </c>
      <c r="E102" s="519" t="s">
        <v>9525</v>
      </c>
      <c r="F102" s="519" t="s">
        <v>10702</v>
      </c>
      <c r="G102" s="519" t="s">
        <v>10912</v>
      </c>
      <c r="H102" s="529" t="s">
        <v>10923</v>
      </c>
      <c r="I102" s="519"/>
      <c r="J102" s="519" t="n">
        <v>73500</v>
      </c>
      <c r="K102" s="519"/>
      <c r="L102" s="519"/>
      <c r="M102" s="519"/>
      <c r="N102" s="530" t="n">
        <v>834358</v>
      </c>
      <c r="O102" s="530" t="n">
        <v>18408</v>
      </c>
      <c r="P102" s="530" t="n">
        <v>65010</v>
      </c>
      <c r="Q102" s="519"/>
      <c r="R102" s="519"/>
      <c r="S102" s="519"/>
      <c r="T102" s="519"/>
      <c r="U102" s="519"/>
      <c r="V102" s="519"/>
      <c r="W102" s="519"/>
      <c r="X102" s="519"/>
      <c r="Y102" s="530" t="n">
        <v>24753</v>
      </c>
      <c r="Z102" s="519"/>
      <c r="AA102" s="519"/>
      <c r="AB102" s="519"/>
      <c r="AC102" s="519"/>
      <c r="AD102" s="519"/>
      <c r="AE102" s="519"/>
      <c r="AF102" s="530" t="n">
        <v>17255</v>
      </c>
      <c r="AG102" s="519"/>
      <c r="AH102" s="530" t="n">
        <v>198623</v>
      </c>
      <c r="AI102" s="530" t="n">
        <v>157582</v>
      </c>
      <c r="AJ102" s="530" t="n">
        <v>356205</v>
      </c>
      <c r="AK102" s="530" t="n">
        <v>478153</v>
      </c>
      <c r="AL102" s="519"/>
      <c r="AM102" s="529" t="s">
        <v>11302</v>
      </c>
      <c r="AN102" s="1" t="e">
        <f aca="false">IF(AND($B102=Subj_OccCode,Subj_BldgSF&gt;0,ABS($J102-Subj_BldgSF)&lt;=Subj_BldgSF*Subj_SizeTol),ABS($J102-Subj_BldgSF),NA())</f>
        <v>#N/A</v>
      </c>
      <c r="AO102" s="1" t="e">
        <f aca="false">IF(ISNA(AN102),NA(),AN102+ROW()/10000000)</f>
        <v>#N/A</v>
      </c>
      <c r="AR102" s="290" t="str">
        <f aca="false">IF(B102="","",IFERROR(INDEX(OCC_TABLE_DESC,MATCH(B102,OCC_TABLE_CODE,0)),"Unrecognized code"))</f>
        <v>Mini Warehouse</v>
      </c>
    </row>
    <row r="103" customFormat="false" ht="25.5" hidden="false" customHeight="true" outlineLevel="0" collapsed="false">
      <c r="A103" s="519" t="s">
        <v>10942</v>
      </c>
      <c r="B103" s="508" t="n">
        <v>386</v>
      </c>
      <c r="C103" s="519" t="s">
        <v>10943</v>
      </c>
      <c r="D103" s="529" t="s">
        <v>10944</v>
      </c>
      <c r="E103" s="519" t="s">
        <v>9525</v>
      </c>
      <c r="F103" s="519" t="s">
        <v>10702</v>
      </c>
      <c r="G103" s="519" t="s">
        <v>10912</v>
      </c>
      <c r="H103" s="529" t="s">
        <v>10923</v>
      </c>
      <c r="I103" s="519"/>
      <c r="J103" s="519" t="n">
        <v>44975</v>
      </c>
      <c r="K103" s="519"/>
      <c r="L103" s="519"/>
      <c r="M103" s="519"/>
      <c r="N103" s="530" t="n">
        <v>588827</v>
      </c>
      <c r="O103" s="530" t="n">
        <v>22185</v>
      </c>
      <c r="P103" s="530" t="n">
        <v>38503</v>
      </c>
      <c r="Q103" s="519"/>
      <c r="R103" s="519"/>
      <c r="S103" s="519"/>
      <c r="T103" s="519"/>
      <c r="U103" s="519"/>
      <c r="V103" s="519"/>
      <c r="W103" s="519"/>
      <c r="X103" s="519"/>
      <c r="Y103" s="530" t="n">
        <v>38667</v>
      </c>
      <c r="Z103" s="519"/>
      <c r="AA103" s="519"/>
      <c r="AB103" s="519"/>
      <c r="AC103" s="519"/>
      <c r="AD103" s="519"/>
      <c r="AE103" s="519"/>
      <c r="AF103" s="530" t="n">
        <v>31243</v>
      </c>
      <c r="AG103" s="519"/>
      <c r="AH103" s="530" t="n">
        <v>143905</v>
      </c>
      <c r="AI103" s="530" t="n">
        <v>128521</v>
      </c>
      <c r="AJ103" s="530" t="n">
        <v>272426</v>
      </c>
      <c r="AK103" s="530" t="n">
        <v>316401</v>
      </c>
      <c r="AL103" s="519"/>
      <c r="AM103" s="529" t="s">
        <v>11303</v>
      </c>
      <c r="AN103" s="1" t="e">
        <f aca="false">IF(AND($B103=Subj_OccCode,Subj_BldgSF&gt;0,ABS($J103-Subj_BldgSF)&lt;=Subj_BldgSF*Subj_SizeTol),ABS($J103-Subj_BldgSF),NA())</f>
        <v>#N/A</v>
      </c>
      <c r="AO103" s="1" t="e">
        <f aca="false">IF(ISNA(AN103),NA(),AN103+ROW()/10000000)</f>
        <v>#N/A</v>
      </c>
      <c r="AR103" s="290" t="str">
        <f aca="false">IF(B103="","",IFERROR(INDEX(OCC_TABLE_DESC,MATCH(B103,OCC_TABLE_CODE,0)),"Unrecognized code"))</f>
        <v>Mini Warehouse</v>
      </c>
    </row>
    <row r="104" customFormat="false" ht="25.5" hidden="false" customHeight="true" outlineLevel="0" collapsed="false">
      <c r="A104" s="519" t="s">
        <v>10946</v>
      </c>
      <c r="B104" s="508" t="n">
        <v>386</v>
      </c>
      <c r="C104" s="519" t="s">
        <v>10947</v>
      </c>
      <c r="D104" s="529" t="s">
        <v>11304</v>
      </c>
      <c r="E104" s="519" t="s">
        <v>9525</v>
      </c>
      <c r="F104" s="519" t="s">
        <v>10702</v>
      </c>
      <c r="G104" s="519" t="s">
        <v>10912</v>
      </c>
      <c r="H104" s="529" t="s">
        <v>10913</v>
      </c>
      <c r="I104" s="519"/>
      <c r="J104" s="519" t="n">
        <v>94797</v>
      </c>
      <c r="K104" s="519"/>
      <c r="L104" s="519"/>
      <c r="M104" s="519"/>
      <c r="N104" s="530" t="n">
        <v>1184503</v>
      </c>
      <c r="O104" s="530" t="n">
        <v>25293</v>
      </c>
      <c r="P104" s="530" t="n">
        <v>206702</v>
      </c>
      <c r="Q104" s="519"/>
      <c r="R104" s="519"/>
      <c r="S104" s="519"/>
      <c r="T104" s="519"/>
      <c r="U104" s="519"/>
      <c r="V104" s="519"/>
      <c r="W104" s="519"/>
      <c r="X104" s="519"/>
      <c r="Y104" s="530" t="n">
        <v>28562</v>
      </c>
      <c r="Z104" s="519"/>
      <c r="AA104" s="519"/>
      <c r="AB104" s="519"/>
      <c r="AC104" s="519"/>
      <c r="AD104" s="519"/>
      <c r="AE104" s="519"/>
      <c r="AF104" s="530" t="n">
        <v>49493</v>
      </c>
      <c r="AG104" s="519"/>
      <c r="AH104" s="530" t="n">
        <v>434049</v>
      </c>
      <c r="AI104" s="530" t="n">
        <v>259535</v>
      </c>
      <c r="AJ104" s="530" t="n">
        <v>693584</v>
      </c>
      <c r="AK104" s="530" t="n">
        <v>490919</v>
      </c>
      <c r="AL104" s="519"/>
      <c r="AM104" s="529" t="s">
        <v>11305</v>
      </c>
      <c r="AN104" s="1" t="e">
        <f aca="false">IF(AND($B104=Subj_OccCode,Subj_BldgSF&gt;0,ABS($J104-Subj_BldgSF)&lt;=Subj_BldgSF*Subj_SizeTol),ABS($J104-Subj_BldgSF),NA())</f>
        <v>#N/A</v>
      </c>
      <c r="AO104" s="1" t="e">
        <f aca="false">IF(ISNA(AN104),NA(),AN104+ROW()/10000000)</f>
        <v>#N/A</v>
      </c>
      <c r="AR104" s="290" t="str">
        <f aca="false">IF(B104="","",IFERROR(INDEX(OCC_TABLE_DESC,MATCH(B104,OCC_TABLE_CODE,0)),"Unrecognized code"))</f>
        <v>Mini Warehouse</v>
      </c>
    </row>
    <row r="105" customFormat="false" ht="25.5" hidden="false" customHeight="true" outlineLevel="0" collapsed="false">
      <c r="A105" s="519" t="s">
        <v>10950</v>
      </c>
      <c r="B105" s="508" t="n">
        <v>386</v>
      </c>
      <c r="C105" s="519" t="s">
        <v>10951</v>
      </c>
      <c r="D105" s="529" t="s">
        <v>10952</v>
      </c>
      <c r="E105" s="519" t="s">
        <v>9525</v>
      </c>
      <c r="F105" s="519" t="s">
        <v>10702</v>
      </c>
      <c r="G105" s="519" t="s">
        <v>10912</v>
      </c>
      <c r="H105" s="529" t="s">
        <v>10923</v>
      </c>
      <c r="I105" s="519"/>
      <c r="J105" s="519" t="n">
        <v>39525</v>
      </c>
      <c r="K105" s="519"/>
      <c r="L105" s="519"/>
      <c r="M105" s="519"/>
      <c r="N105" s="530" t="n">
        <v>541974</v>
      </c>
      <c r="O105" s="530" t="n">
        <v>8307</v>
      </c>
      <c r="P105" s="530" t="n">
        <v>94279</v>
      </c>
      <c r="Q105" s="519"/>
      <c r="R105" s="519"/>
      <c r="S105" s="519"/>
      <c r="T105" s="519"/>
      <c r="U105" s="519"/>
      <c r="V105" s="519"/>
      <c r="W105" s="519"/>
      <c r="X105" s="519"/>
      <c r="Y105" s="530" t="n">
        <v>21292</v>
      </c>
      <c r="Z105" s="519"/>
      <c r="AA105" s="519"/>
      <c r="AB105" s="519"/>
      <c r="AC105" s="519"/>
      <c r="AD105" s="519"/>
      <c r="AE105" s="519"/>
      <c r="AF105" s="530" t="n">
        <v>16489</v>
      </c>
      <c r="AG105" s="519"/>
      <c r="AH105" s="530" t="n">
        <v>149627</v>
      </c>
      <c r="AI105" s="530" t="n">
        <v>209139</v>
      </c>
      <c r="AJ105" s="530" t="n">
        <v>358766</v>
      </c>
      <c r="AK105" s="530" t="n">
        <v>183208</v>
      </c>
      <c r="AL105" s="519"/>
      <c r="AM105" s="529" t="s">
        <v>11306</v>
      </c>
      <c r="AN105" s="1" t="e">
        <f aca="false">IF(AND($B105=Subj_OccCode,Subj_BldgSF&gt;0,ABS($J105-Subj_BldgSF)&lt;=Subj_BldgSF*Subj_SizeTol),ABS($J105-Subj_BldgSF),NA())</f>
        <v>#N/A</v>
      </c>
      <c r="AO105" s="1" t="e">
        <f aca="false">IF(ISNA(AN105),NA(),AN105+ROW()/10000000)</f>
        <v>#N/A</v>
      </c>
      <c r="AR105" s="290" t="str">
        <f aca="false">IF(B105="","",IFERROR(INDEX(OCC_TABLE_DESC,MATCH(B105,OCC_TABLE_CODE,0)),"Unrecognized code"))</f>
        <v>Mini Warehouse</v>
      </c>
    </row>
    <row r="106" customFormat="false" ht="25.5" hidden="false" customHeight="true" outlineLevel="0" collapsed="false">
      <c r="A106" s="519" t="s">
        <v>10954</v>
      </c>
      <c r="B106" s="508" t="n">
        <v>386</v>
      </c>
      <c r="C106" s="519" t="s">
        <v>10955</v>
      </c>
      <c r="D106" s="529" t="s">
        <v>10956</v>
      </c>
      <c r="E106" s="519" t="s">
        <v>9525</v>
      </c>
      <c r="F106" s="519" t="s">
        <v>10702</v>
      </c>
      <c r="G106" s="519" t="s">
        <v>10912</v>
      </c>
      <c r="H106" s="529" t="s">
        <v>10957</v>
      </c>
      <c r="I106" s="519"/>
      <c r="J106" s="519" t="n">
        <v>45980</v>
      </c>
      <c r="K106" s="519"/>
      <c r="L106" s="519"/>
      <c r="M106" s="519"/>
      <c r="N106" s="530" t="n">
        <v>646496</v>
      </c>
      <c r="O106" s="530" t="n">
        <v>4989</v>
      </c>
      <c r="P106" s="530" t="n">
        <v>70000</v>
      </c>
      <c r="Q106" s="519"/>
      <c r="R106" s="519"/>
      <c r="S106" s="519"/>
      <c r="T106" s="519"/>
      <c r="U106" s="519"/>
      <c r="V106" s="519"/>
      <c r="W106" s="519"/>
      <c r="X106" s="519"/>
      <c r="Y106" s="530" t="n">
        <v>12000</v>
      </c>
      <c r="Z106" s="519"/>
      <c r="AA106" s="519"/>
      <c r="AB106" s="519"/>
      <c r="AC106" s="519"/>
      <c r="AD106" s="519"/>
      <c r="AE106" s="519"/>
      <c r="AF106" s="530" t="n">
        <v>11972</v>
      </c>
      <c r="AG106" s="519"/>
      <c r="AH106" s="530" t="n">
        <v>146795</v>
      </c>
      <c r="AI106" s="530" t="n">
        <v>83042</v>
      </c>
      <c r="AJ106" s="530" t="n">
        <v>229837</v>
      </c>
      <c r="AK106" s="530" t="n">
        <v>416659</v>
      </c>
      <c r="AL106" s="519"/>
      <c r="AM106" s="529" t="s">
        <v>11307</v>
      </c>
      <c r="AN106" s="1" t="e">
        <f aca="false">IF(AND($B106=Subj_OccCode,Subj_BldgSF&gt;0,ABS($J106-Subj_BldgSF)&lt;=Subj_BldgSF*Subj_SizeTol),ABS($J106-Subj_BldgSF),NA())</f>
        <v>#N/A</v>
      </c>
      <c r="AO106" s="1" t="e">
        <f aca="false">IF(ISNA(AN106),NA(),AN106+ROW()/10000000)</f>
        <v>#N/A</v>
      </c>
      <c r="AR106" s="290" t="str">
        <f aca="false">IF(B106="","",IFERROR(INDEX(OCC_TABLE_DESC,MATCH(B106,OCC_TABLE_CODE,0)),"Unrecognized code"))</f>
        <v>Mini Warehouse</v>
      </c>
    </row>
    <row r="107" customFormat="false" ht="25.5" hidden="false" customHeight="true" outlineLevel="0" collapsed="false">
      <c r="A107" s="519" t="s">
        <v>10959</v>
      </c>
      <c r="B107" s="508" t="n">
        <v>386</v>
      </c>
      <c r="C107" s="519" t="s">
        <v>10960</v>
      </c>
      <c r="D107" s="529" t="s">
        <v>10961</v>
      </c>
      <c r="E107" s="519" t="s">
        <v>9525</v>
      </c>
      <c r="F107" s="519" t="s">
        <v>10702</v>
      </c>
      <c r="G107" s="519" t="s">
        <v>10912</v>
      </c>
      <c r="H107" s="529" t="s">
        <v>10923</v>
      </c>
      <c r="I107" s="519"/>
      <c r="J107" s="519" t="n">
        <v>88043</v>
      </c>
      <c r="K107" s="519"/>
      <c r="L107" s="519"/>
      <c r="M107" s="519"/>
      <c r="N107" s="530" t="n">
        <v>1206603</v>
      </c>
      <c r="O107" s="530" t="n">
        <v>12478</v>
      </c>
      <c r="P107" s="530" t="n">
        <v>179092</v>
      </c>
      <c r="Q107" s="519"/>
      <c r="R107" s="519"/>
      <c r="S107" s="519"/>
      <c r="T107" s="519"/>
      <c r="U107" s="519"/>
      <c r="V107" s="519"/>
      <c r="W107" s="519"/>
      <c r="X107" s="519"/>
      <c r="Y107" s="530" t="n">
        <v>20272</v>
      </c>
      <c r="Z107" s="519"/>
      <c r="AA107" s="519"/>
      <c r="AB107" s="519"/>
      <c r="AC107" s="519"/>
      <c r="AD107" s="519"/>
      <c r="AE107" s="519"/>
      <c r="AF107" s="530" t="n">
        <v>16957</v>
      </c>
      <c r="AG107" s="519"/>
      <c r="AH107" s="530" t="n">
        <v>284089</v>
      </c>
      <c r="AI107" s="530" t="n">
        <v>389500</v>
      </c>
      <c r="AJ107" s="530" t="n">
        <v>673589</v>
      </c>
      <c r="AK107" s="530" t="n">
        <v>533014</v>
      </c>
      <c r="AL107" s="519"/>
      <c r="AM107" s="529" t="s">
        <v>11308</v>
      </c>
      <c r="AN107" s="1" t="e">
        <f aca="false">IF(AND($B107=Subj_OccCode,Subj_BldgSF&gt;0,ABS($J107-Subj_BldgSF)&lt;=Subj_BldgSF*Subj_SizeTol),ABS($J107-Subj_BldgSF),NA())</f>
        <v>#N/A</v>
      </c>
      <c r="AO107" s="1" t="e">
        <f aca="false">IF(ISNA(AN107),NA(),AN107+ROW()/10000000)</f>
        <v>#N/A</v>
      </c>
      <c r="AR107" s="290" t="str">
        <f aca="false">IF(B107="","",IFERROR(INDEX(OCC_TABLE_DESC,MATCH(B107,OCC_TABLE_CODE,0)),"Unrecognized code"))</f>
        <v>Mini Warehouse</v>
      </c>
    </row>
    <row r="108" customFormat="false" ht="25.5" hidden="false" customHeight="true" outlineLevel="0" collapsed="false">
      <c r="A108" s="519" t="s">
        <v>10963</v>
      </c>
      <c r="B108" s="508" t="n">
        <v>386</v>
      </c>
      <c r="C108" s="519" t="s">
        <v>10964</v>
      </c>
      <c r="D108" s="529" t="s">
        <v>10965</v>
      </c>
      <c r="E108" s="519" t="s">
        <v>9525</v>
      </c>
      <c r="F108" s="519" t="s">
        <v>10702</v>
      </c>
      <c r="G108" s="519" t="s">
        <v>10912</v>
      </c>
      <c r="H108" s="529" t="s">
        <v>10923</v>
      </c>
      <c r="I108" s="519"/>
      <c r="J108" s="519" t="n">
        <v>41764</v>
      </c>
      <c r="K108" s="519"/>
      <c r="L108" s="519"/>
      <c r="M108" s="519"/>
      <c r="N108" s="530" t="n">
        <v>787364</v>
      </c>
      <c r="O108" s="530" t="n">
        <v>9652</v>
      </c>
      <c r="P108" s="530" t="n">
        <v>83320</v>
      </c>
      <c r="Q108" s="519"/>
      <c r="R108" s="519"/>
      <c r="S108" s="519"/>
      <c r="T108" s="519"/>
      <c r="U108" s="519"/>
      <c r="V108" s="519"/>
      <c r="W108" s="519"/>
      <c r="X108" s="519"/>
      <c r="Y108" s="530" t="n">
        <v>25639</v>
      </c>
      <c r="Z108" s="519"/>
      <c r="AA108" s="519"/>
      <c r="AB108" s="519"/>
      <c r="AC108" s="519"/>
      <c r="AD108" s="519"/>
      <c r="AE108" s="519"/>
      <c r="AF108" s="530" t="n">
        <v>15956</v>
      </c>
      <c r="AG108" s="519"/>
      <c r="AH108" s="530" t="n">
        <v>192632</v>
      </c>
      <c r="AI108" s="530" t="n">
        <v>203116</v>
      </c>
      <c r="AJ108" s="530" t="n">
        <v>395748</v>
      </c>
      <c r="AK108" s="530" t="n">
        <v>391616</v>
      </c>
      <c r="AL108" s="519"/>
      <c r="AM108" s="529" t="s">
        <v>11309</v>
      </c>
      <c r="AN108" s="1" t="e">
        <f aca="false">IF(AND($B108=Subj_OccCode,Subj_BldgSF&gt;0,ABS($J108-Subj_BldgSF)&lt;=Subj_BldgSF*Subj_SizeTol),ABS($J108-Subj_BldgSF),NA())</f>
        <v>#N/A</v>
      </c>
      <c r="AO108" s="1" t="e">
        <f aca="false">IF(ISNA(AN108),NA(),AN108+ROW()/10000000)</f>
        <v>#N/A</v>
      </c>
      <c r="AR108" s="290" t="str">
        <f aca="false">IF(B108="","",IFERROR(INDEX(OCC_TABLE_DESC,MATCH(B108,OCC_TABLE_CODE,0)),"Unrecognized code"))</f>
        <v>Mini Warehouse</v>
      </c>
    </row>
    <row r="109" customFormat="false" ht="38.25" hidden="false" customHeight="true" outlineLevel="0" collapsed="false">
      <c r="A109" s="519" t="s">
        <v>10799</v>
      </c>
      <c r="B109" s="508" t="n">
        <v>584</v>
      </c>
      <c r="C109" s="519" t="s">
        <v>10800</v>
      </c>
      <c r="D109" s="529" t="s">
        <v>10801</v>
      </c>
      <c r="E109" s="519" t="s">
        <v>4743</v>
      </c>
      <c r="F109" s="519" t="s">
        <v>10702</v>
      </c>
      <c r="G109" s="519" t="s">
        <v>2692</v>
      </c>
      <c r="H109" s="529" t="s">
        <v>10802</v>
      </c>
      <c r="I109" s="531" t="n">
        <v>1983</v>
      </c>
      <c r="J109" s="532" t="n">
        <v>377729</v>
      </c>
      <c r="K109" s="531" t="n">
        <v>2023</v>
      </c>
      <c r="L109" s="533" t="n">
        <v>2979661</v>
      </c>
      <c r="M109" s="534" t="n">
        <v>18</v>
      </c>
      <c r="N109" s="533" t="n">
        <v>2979679</v>
      </c>
      <c r="O109" s="534"/>
      <c r="P109" s="533" t="n">
        <v>20451</v>
      </c>
      <c r="Q109" s="534"/>
      <c r="R109" s="534"/>
      <c r="S109" s="534"/>
      <c r="T109" s="534"/>
      <c r="U109" s="534"/>
      <c r="V109" s="534"/>
      <c r="W109" s="534"/>
      <c r="X109" s="534" t="n">
        <v>2206</v>
      </c>
      <c r="Y109" s="534" t="n">
        <v>2206</v>
      </c>
      <c r="Z109" s="534"/>
      <c r="AA109" s="534"/>
      <c r="AB109" s="534"/>
      <c r="AC109" s="534" t="n">
        <v>0</v>
      </c>
      <c r="AD109" s="534"/>
      <c r="AE109" s="534"/>
      <c r="AF109" s="534" t="n">
        <v>687</v>
      </c>
      <c r="AG109" s="533" t="n">
        <v>5895</v>
      </c>
      <c r="AH109" s="533" t="n">
        <v>29239</v>
      </c>
      <c r="AI109" s="533" t="n">
        <v>0</v>
      </c>
      <c r="AJ109" s="533" t="n">
        <v>29239</v>
      </c>
      <c r="AK109" s="533" t="n">
        <v>2950440</v>
      </c>
      <c r="AL109" s="534"/>
      <c r="AM109" s="529" t="s">
        <v>11310</v>
      </c>
      <c r="AN109" s="1" t="n">
        <f aca="false">IF(AND($B109=Subj_OccCode,Subj_BldgSF&gt;0,ABS($J109-Subj_BldgSF)&lt;=Subj_BldgSF*Subj_SizeTol),ABS($J109-Subj_BldgSF),NA())</f>
        <v>25489</v>
      </c>
      <c r="AO109" s="1" t="n">
        <f aca="false">IF(ISNA(AN109),NA(),AN109+ROW()/10000000)</f>
        <v>25489.0000109</v>
      </c>
      <c r="AR109" s="290" t="str">
        <f aca="false">IF(B109="","",IFERROR(INDEX(OCC_TABLE_DESC,MATCH(B109,OCC_TABLE_CODE,0)),"Unrecognized code"))</f>
        <v>Mega Warehouse</v>
      </c>
    </row>
    <row r="110" customFormat="false" ht="38.25" hidden="false" customHeight="true" outlineLevel="0" collapsed="false">
      <c r="A110" s="519" t="s">
        <v>10799</v>
      </c>
      <c r="B110" s="508" t="n">
        <v>584</v>
      </c>
      <c r="C110" s="519" t="s">
        <v>10800</v>
      </c>
      <c r="D110" s="529" t="s">
        <v>10801</v>
      </c>
      <c r="E110" s="519" t="s">
        <v>4743</v>
      </c>
      <c r="F110" s="519" t="s">
        <v>10702</v>
      </c>
      <c r="G110" s="519" t="s">
        <v>2692</v>
      </c>
      <c r="H110" s="529" t="s">
        <v>10802</v>
      </c>
      <c r="I110" s="531" t="n">
        <v>1983</v>
      </c>
      <c r="J110" s="532" t="n">
        <v>377729</v>
      </c>
      <c r="K110" s="531" t="n">
        <v>2024</v>
      </c>
      <c r="L110" s="533" t="n">
        <v>3047376</v>
      </c>
      <c r="M110" s="534" t="n">
        <v>0</v>
      </c>
      <c r="N110" s="533" t="n">
        <v>3047376</v>
      </c>
      <c r="O110" s="534"/>
      <c r="P110" s="533" t="n">
        <v>20011</v>
      </c>
      <c r="Q110" s="534"/>
      <c r="R110" s="534"/>
      <c r="S110" s="534"/>
      <c r="T110" s="534"/>
      <c r="U110" s="534"/>
      <c r="V110" s="534"/>
      <c r="W110" s="534"/>
      <c r="X110" s="534" t="n">
        <v>14830</v>
      </c>
      <c r="Y110" s="534" t="n">
        <v>14830</v>
      </c>
      <c r="Z110" s="534"/>
      <c r="AA110" s="534"/>
      <c r="AB110" s="534"/>
      <c r="AC110" s="534" t="n">
        <v>0</v>
      </c>
      <c r="AD110" s="534"/>
      <c r="AE110" s="534"/>
      <c r="AF110" s="534" t="n">
        <v>0</v>
      </c>
      <c r="AG110" s="533" t="n">
        <v>12139</v>
      </c>
      <c r="AH110" s="533" t="n">
        <v>46980</v>
      </c>
      <c r="AI110" s="533" t="n">
        <v>0</v>
      </c>
      <c r="AJ110" s="533" t="n">
        <v>46980</v>
      </c>
      <c r="AK110" s="533" t="n">
        <v>3000396</v>
      </c>
      <c r="AL110" s="534"/>
      <c r="AM110" s="529" t="s">
        <v>11311</v>
      </c>
      <c r="AN110" s="1" t="n">
        <f aca="false">IF(AND($B110=Subj_OccCode,Subj_BldgSF&gt;0,ABS($J110-Subj_BldgSF)&lt;=Subj_BldgSF*Subj_SizeTol),ABS($J110-Subj_BldgSF),NA())</f>
        <v>25489</v>
      </c>
      <c r="AO110" s="1" t="n">
        <f aca="false">IF(ISNA(AN110),NA(),AN110+ROW()/10000000)</f>
        <v>25489.000011</v>
      </c>
      <c r="AR110" s="290" t="str">
        <f aca="false">IF(B110="","",IFERROR(INDEX(OCC_TABLE_DESC,MATCH(B110,OCC_TABLE_CODE,0)),"Unrecognized code"))</f>
        <v>Mega Warehouse</v>
      </c>
    </row>
    <row r="111" customFormat="false" ht="25.5" hidden="false" customHeight="true" outlineLevel="0" collapsed="false">
      <c r="A111" s="519" t="s">
        <v>10883</v>
      </c>
      <c r="B111" s="508" t="n">
        <v>407</v>
      </c>
      <c r="C111" s="519" t="s">
        <v>10884</v>
      </c>
      <c r="D111" s="529" t="s">
        <v>10885</v>
      </c>
      <c r="E111" s="519" t="s">
        <v>4420</v>
      </c>
      <c r="F111" s="519" t="s">
        <v>10702</v>
      </c>
      <c r="G111" s="519" t="s">
        <v>2692</v>
      </c>
      <c r="H111" s="529" t="s">
        <v>10860</v>
      </c>
      <c r="I111" s="519" t="n">
        <v>2008</v>
      </c>
      <c r="J111" s="519" t="n">
        <v>215461</v>
      </c>
      <c r="K111" s="519" t="n">
        <v>2024</v>
      </c>
      <c r="L111" s="530" t="n">
        <v>1540283</v>
      </c>
      <c r="M111" s="519"/>
      <c r="N111" s="530" t="n">
        <v>1540283</v>
      </c>
      <c r="O111" s="519"/>
      <c r="P111" s="519"/>
      <c r="Q111" s="519"/>
      <c r="R111" s="519"/>
      <c r="S111" s="519"/>
      <c r="T111" s="519"/>
      <c r="U111" s="519"/>
      <c r="V111" s="519"/>
      <c r="W111" s="519"/>
      <c r="X111" s="519"/>
      <c r="Y111" s="519"/>
      <c r="Z111" s="519"/>
      <c r="AA111" s="530" t="n">
        <v>9880</v>
      </c>
      <c r="AB111" s="530" t="n">
        <v>29880</v>
      </c>
      <c r="AC111" s="519"/>
      <c r="AD111" s="519"/>
      <c r="AE111" s="519"/>
      <c r="AF111" s="519"/>
      <c r="AG111" s="519"/>
      <c r="AH111" s="519"/>
      <c r="AI111" s="519"/>
      <c r="AJ111" s="519"/>
      <c r="AK111" s="519"/>
      <c r="AL111" s="519"/>
      <c r="AM111" s="529" t="s">
        <v>11312</v>
      </c>
      <c r="AN111" s="1" t="e">
        <f aca="false">IF(AND($B111=Subj_OccCode,Subj_BldgSF&gt;0,ABS($J111-Subj_BldgSF)&lt;=Subj_BldgSF*Subj_SizeTol),ABS($J111-Subj_BldgSF),NA())</f>
        <v>#N/A</v>
      </c>
      <c r="AO111" s="1" t="e">
        <f aca="false">IF(ISNA(AN111),NA(),AN111+ROW()/10000000)</f>
        <v>#N/A</v>
      </c>
      <c r="AR111" s="290" t="str">
        <f aca="false">IF(B111="","",IFERROR(INDEX(OCC_TABLE_DESC,MATCH(B111,OCC_TABLE_CODE,0)),"Unrecognized code"))</f>
        <v>Distribution Warehouse</v>
      </c>
    </row>
    <row r="112" customFormat="false" ht="12.75" hidden="false" customHeight="true" outlineLevel="0" collapsed="false">
      <c r="A112" s="519" t="s">
        <v>10889</v>
      </c>
      <c r="B112" s="508" t="n">
        <v>407</v>
      </c>
      <c r="C112" s="519" t="s">
        <v>10890</v>
      </c>
      <c r="D112" s="529" t="s">
        <v>10891</v>
      </c>
      <c r="E112" s="519" t="s">
        <v>4420</v>
      </c>
      <c r="F112" s="519" t="s">
        <v>10702</v>
      </c>
      <c r="G112" s="519" t="s">
        <v>2692</v>
      </c>
      <c r="H112" s="529" t="s">
        <v>10860</v>
      </c>
      <c r="I112" s="519" t="n">
        <v>2007</v>
      </c>
      <c r="J112" s="519" t="n">
        <v>202091</v>
      </c>
      <c r="K112" s="519" t="n">
        <v>2024</v>
      </c>
      <c r="L112" s="519"/>
      <c r="M112" s="519"/>
      <c r="N112" s="530" t="n">
        <v>1057537</v>
      </c>
      <c r="O112" s="519"/>
      <c r="P112" s="519"/>
      <c r="Q112" s="519"/>
      <c r="R112" s="519"/>
      <c r="S112" s="519"/>
      <c r="T112" s="519"/>
      <c r="U112" s="519"/>
      <c r="V112" s="519"/>
      <c r="W112" s="519"/>
      <c r="X112" s="519"/>
      <c r="Y112" s="519"/>
      <c r="Z112" s="519"/>
      <c r="AA112" s="519"/>
      <c r="AB112" s="519"/>
      <c r="AC112" s="519"/>
      <c r="AD112" s="519"/>
      <c r="AE112" s="519"/>
      <c r="AF112" s="519"/>
      <c r="AG112" s="519"/>
      <c r="AH112" s="530" t="n">
        <v>722093</v>
      </c>
      <c r="AI112" s="519"/>
      <c r="AJ112" s="530" t="n">
        <v>722093</v>
      </c>
      <c r="AK112" s="530" t="n">
        <v>335444</v>
      </c>
      <c r="AL112" s="519"/>
      <c r="AM112" s="529" t="s">
        <v>11313</v>
      </c>
      <c r="AN112" s="1" t="e">
        <f aca="false">IF(AND($B112=Subj_OccCode,Subj_BldgSF&gt;0,ABS($J112-Subj_BldgSF)&lt;=Subj_BldgSF*Subj_SizeTol),ABS($J112-Subj_BldgSF),NA())</f>
        <v>#N/A</v>
      </c>
      <c r="AO112" s="1" t="e">
        <f aca="false">IF(ISNA(AN112),NA(),AN112+ROW()/10000000)</f>
        <v>#N/A</v>
      </c>
      <c r="AR112" s="290" t="str">
        <f aca="false">IF(B112="","",IFERROR(INDEX(OCC_TABLE_DESC,MATCH(B112,OCC_TABLE_CODE,0)),"Unrecognized code"))</f>
        <v>Distribution Warehouse</v>
      </c>
    </row>
    <row r="113" customFormat="false" ht="25.5" hidden="false" customHeight="true" outlineLevel="0" collapsed="false">
      <c r="A113" s="519" t="s">
        <v>10967</v>
      </c>
      <c r="B113" s="508" t="n">
        <v>210</v>
      </c>
      <c r="C113" s="519" t="s">
        <v>2155</v>
      </c>
      <c r="D113" s="529" t="s">
        <v>10968</v>
      </c>
      <c r="E113" s="519" t="s">
        <v>4743</v>
      </c>
      <c r="F113" s="519" t="s">
        <v>10702</v>
      </c>
      <c r="G113" s="519" t="s">
        <v>2692</v>
      </c>
      <c r="H113" s="529" t="s">
        <v>10969</v>
      </c>
      <c r="I113" s="519"/>
      <c r="J113" s="519"/>
      <c r="K113" s="519" t="n">
        <v>2023</v>
      </c>
      <c r="L113" s="519"/>
      <c r="M113" s="519"/>
      <c r="N113" s="530" t="n">
        <v>2454080</v>
      </c>
      <c r="O113" s="530" t="n">
        <v>41179</v>
      </c>
      <c r="P113" s="530" t="n">
        <v>58394</v>
      </c>
      <c r="Q113" s="519"/>
      <c r="R113" s="519"/>
      <c r="S113" s="530" t="n">
        <v>36166</v>
      </c>
      <c r="T113" s="530" t="n">
        <v>1942</v>
      </c>
      <c r="U113" s="519"/>
      <c r="V113" s="519"/>
      <c r="W113" s="519"/>
      <c r="X113" s="530" t="n">
        <v>549</v>
      </c>
      <c r="Y113" s="530" t="n">
        <v>38657</v>
      </c>
      <c r="Z113" s="519"/>
      <c r="AA113" s="530" t="n">
        <v>15068</v>
      </c>
      <c r="AB113" s="530" t="n">
        <v>55875</v>
      </c>
      <c r="AC113" s="530" t="n">
        <v>70943</v>
      </c>
      <c r="AD113" s="530" t="n">
        <v>25682</v>
      </c>
      <c r="AE113" s="519"/>
      <c r="AF113" s="530" t="n">
        <v>25682</v>
      </c>
      <c r="AG113" s="530" t="n">
        <v>1654</v>
      </c>
      <c r="AH113" s="530" t="n">
        <v>220784</v>
      </c>
      <c r="AI113" s="530" t="n">
        <v>1347168</v>
      </c>
      <c r="AJ113" s="530" t="n">
        <v>1568172</v>
      </c>
      <c r="AK113" s="530" t="n">
        <v>885908</v>
      </c>
      <c r="AL113" s="519"/>
      <c r="AM113" s="529" t="s">
        <v>11314</v>
      </c>
      <c r="AN113" s="1" t="e">
        <f aca="false">IF(AND($B113=Subj_OccCode,Subj_BldgSF&gt;0,ABS($J113-Subj_BldgSF)&lt;=Subj_BldgSF*Subj_SizeTol),ABS($J113-Subj_BldgSF),NA())</f>
        <v>#N/A</v>
      </c>
      <c r="AO113" s="1" t="e">
        <f aca="false">IF(ISNA(AN113),NA(),AN113+ROW()/10000000)</f>
        <v>#N/A</v>
      </c>
      <c r="AR113" s="290" t="str">
        <f aca="false">IF(B113="","",IFERROR(INDEX(OCC_TABLE_DESC,MATCH(B113,OCC_TABLE_CODE,0)),"Unrecognized code"))</f>
        <v>Industrial Flex Mall Building</v>
      </c>
    </row>
    <row r="114" customFormat="false" ht="25.5" hidden="false" customHeight="true" outlineLevel="0" collapsed="false">
      <c r="A114" s="519" t="s">
        <v>10967</v>
      </c>
      <c r="B114" s="508" t="n">
        <v>210</v>
      </c>
      <c r="C114" s="519" t="s">
        <v>2155</v>
      </c>
      <c r="D114" s="529" t="s">
        <v>10968</v>
      </c>
      <c r="E114" s="519" t="s">
        <v>4743</v>
      </c>
      <c r="F114" s="519" t="s">
        <v>10702</v>
      </c>
      <c r="G114" s="519" t="s">
        <v>2692</v>
      </c>
      <c r="H114" s="529" t="s">
        <v>10969</v>
      </c>
      <c r="I114" s="519"/>
      <c r="J114" s="519"/>
      <c r="K114" s="519" t="n">
        <v>2024</v>
      </c>
      <c r="L114" s="519"/>
      <c r="M114" s="519"/>
      <c r="N114" s="530" t="n">
        <v>2720117</v>
      </c>
      <c r="O114" s="530" t="n">
        <v>53324</v>
      </c>
      <c r="P114" s="530" t="n">
        <v>85426</v>
      </c>
      <c r="Q114" s="519"/>
      <c r="R114" s="519"/>
      <c r="S114" s="530" t="n">
        <v>10052</v>
      </c>
      <c r="T114" s="530" t="n">
        <v>12752</v>
      </c>
      <c r="U114" s="519"/>
      <c r="V114" s="519"/>
      <c r="W114" s="519"/>
      <c r="X114" s="530" t="n">
        <v>789</v>
      </c>
      <c r="Y114" s="530" t="n">
        <v>23593</v>
      </c>
      <c r="Z114" s="519"/>
      <c r="AA114" s="530" t="n">
        <v>16126</v>
      </c>
      <c r="AB114" s="530" t="n">
        <v>57314</v>
      </c>
      <c r="AC114" s="530" t="n">
        <v>73440</v>
      </c>
      <c r="AD114" s="530" t="n">
        <v>21725</v>
      </c>
      <c r="AE114" s="519"/>
      <c r="AF114" s="530" t="n">
        <v>21725</v>
      </c>
      <c r="AG114" s="530" t="n">
        <v>2601</v>
      </c>
      <c r="AH114" s="530" t="n">
        <v>265585</v>
      </c>
      <c r="AI114" s="530" t="n">
        <v>1331347</v>
      </c>
      <c r="AJ114" s="530" t="n">
        <v>1596932</v>
      </c>
      <c r="AK114" s="530" t="n">
        <v>1123184</v>
      </c>
      <c r="AL114" s="519"/>
      <c r="AM114" s="529" t="s">
        <v>11315</v>
      </c>
      <c r="AN114" s="1" t="e">
        <f aca="false">IF(AND($B114=Subj_OccCode,Subj_BldgSF&gt;0,ABS($J114-Subj_BldgSF)&lt;=Subj_BldgSF*Subj_SizeTol),ABS($J114-Subj_BldgSF),NA())</f>
        <v>#N/A</v>
      </c>
      <c r="AO114" s="1" t="e">
        <f aca="false">IF(ISNA(AN114),NA(),AN114+ROW()/10000000)</f>
        <v>#N/A</v>
      </c>
      <c r="AR114" s="290" t="str">
        <f aca="false">IF(B114="","",IFERROR(INDEX(OCC_TABLE_DESC,MATCH(B114,OCC_TABLE_CODE,0)),"Unrecognized code"))</f>
        <v>Industrial Flex Mall Building</v>
      </c>
    </row>
    <row r="115" customFormat="false" ht="25.5" hidden="false" customHeight="true" outlineLevel="0" collapsed="false">
      <c r="A115" s="519" t="s">
        <v>10973</v>
      </c>
      <c r="B115" s="508" t="n">
        <v>407</v>
      </c>
      <c r="C115" s="519" t="s">
        <v>10974</v>
      </c>
      <c r="D115" s="529" t="s">
        <v>10975</v>
      </c>
      <c r="E115" s="519" t="s">
        <v>4743</v>
      </c>
      <c r="F115" s="519" t="s">
        <v>10702</v>
      </c>
      <c r="G115" s="519" t="s">
        <v>2692</v>
      </c>
      <c r="H115" s="529" t="s">
        <v>10819</v>
      </c>
      <c r="I115" s="519"/>
      <c r="J115" s="519"/>
      <c r="K115" s="519" t="n">
        <v>2023</v>
      </c>
      <c r="L115" s="530" t="n">
        <v>1865903</v>
      </c>
      <c r="M115" s="519"/>
      <c r="N115" s="530" t="n">
        <v>2819460</v>
      </c>
      <c r="O115" s="530" t="n">
        <v>30551</v>
      </c>
      <c r="P115" s="530" t="n">
        <v>174961</v>
      </c>
      <c r="Q115" s="519"/>
      <c r="R115" s="519"/>
      <c r="S115" s="530" t="n">
        <v>38995</v>
      </c>
      <c r="T115" s="530" t="n">
        <v>27460</v>
      </c>
      <c r="U115" s="519"/>
      <c r="V115" s="519"/>
      <c r="W115" s="519"/>
      <c r="X115" s="530" t="n">
        <v>2475</v>
      </c>
      <c r="Y115" s="530" t="n">
        <v>68930</v>
      </c>
      <c r="Z115" s="519"/>
      <c r="AA115" s="530" t="n">
        <v>18672</v>
      </c>
      <c r="AB115" s="530" t="n">
        <v>19945</v>
      </c>
      <c r="AC115" s="530" t="n">
        <v>38617</v>
      </c>
      <c r="AD115" s="519"/>
      <c r="AE115" s="519"/>
      <c r="AF115" s="530" t="n">
        <v>58172</v>
      </c>
      <c r="AG115" s="530" t="n">
        <v>18488</v>
      </c>
      <c r="AH115" s="530" t="n">
        <v>379535</v>
      </c>
      <c r="AI115" s="530" t="n">
        <v>895967</v>
      </c>
      <c r="AJ115" s="530" t="n">
        <v>1013502</v>
      </c>
      <c r="AK115" s="530" t="n">
        <v>1805958</v>
      </c>
      <c r="AL115" s="519"/>
      <c r="AM115" s="529" t="s">
        <v>11316</v>
      </c>
      <c r="AN115" s="1" t="e">
        <f aca="false">IF(AND($B115=Subj_OccCode,Subj_BldgSF&gt;0,ABS($J115-Subj_BldgSF)&lt;=Subj_BldgSF*Subj_SizeTol),ABS($J115-Subj_BldgSF),NA())</f>
        <v>#N/A</v>
      </c>
      <c r="AO115" s="1" t="e">
        <f aca="false">IF(ISNA(AN115),NA(),AN115+ROW()/10000000)</f>
        <v>#N/A</v>
      </c>
      <c r="AR115" s="290" t="str">
        <f aca="false">IF(B115="","",IFERROR(INDEX(OCC_TABLE_DESC,MATCH(B115,OCC_TABLE_CODE,0)),"Unrecognized code"))</f>
        <v>Distribution Warehouse</v>
      </c>
    </row>
    <row r="116" customFormat="false" ht="25.5" hidden="false" customHeight="true" outlineLevel="0" collapsed="false">
      <c r="A116" s="519" t="s">
        <v>10973</v>
      </c>
      <c r="B116" s="508" t="n">
        <v>407</v>
      </c>
      <c r="C116" s="519" t="s">
        <v>10974</v>
      </c>
      <c r="D116" s="529" t="s">
        <v>10975</v>
      </c>
      <c r="E116" s="519" t="s">
        <v>4743</v>
      </c>
      <c r="F116" s="519" t="s">
        <v>10702</v>
      </c>
      <c r="G116" s="519" t="s">
        <v>2692</v>
      </c>
      <c r="H116" s="529" t="s">
        <v>10819</v>
      </c>
      <c r="I116" s="519"/>
      <c r="J116" s="519"/>
      <c r="K116" s="519" t="n">
        <v>2024</v>
      </c>
      <c r="L116" s="530" t="n">
        <v>2075908</v>
      </c>
      <c r="M116" s="519"/>
      <c r="N116" s="530" t="n">
        <v>3348615</v>
      </c>
      <c r="O116" s="530" t="n">
        <v>35750</v>
      </c>
      <c r="P116" s="530" t="n">
        <v>200286</v>
      </c>
      <c r="Q116" s="519"/>
      <c r="R116" s="519"/>
      <c r="S116" s="530" t="n">
        <v>22119</v>
      </c>
      <c r="T116" s="530" t="n">
        <v>33962</v>
      </c>
      <c r="U116" s="519"/>
      <c r="V116" s="519"/>
      <c r="W116" s="519"/>
      <c r="X116" s="530" t="n">
        <v>3333</v>
      </c>
      <c r="Y116" s="530" t="n">
        <v>59414</v>
      </c>
      <c r="Z116" s="519"/>
      <c r="AA116" s="530" t="n">
        <v>26689</v>
      </c>
      <c r="AB116" s="530" t="n">
        <v>56296</v>
      </c>
      <c r="AC116" s="530" t="n">
        <v>82985</v>
      </c>
      <c r="AD116" s="519"/>
      <c r="AE116" s="519"/>
      <c r="AF116" s="530" t="n">
        <v>34195</v>
      </c>
      <c r="AG116" s="530" t="n">
        <v>4284</v>
      </c>
      <c r="AH116" s="530" t="n">
        <v>341787</v>
      </c>
      <c r="AI116" s="530" t="n">
        <v>989805</v>
      </c>
      <c r="AJ116" s="530" t="n">
        <v>1331592</v>
      </c>
      <c r="AK116" s="530" t="n">
        <v>2017023</v>
      </c>
      <c r="AL116" s="519"/>
      <c r="AM116" s="529" t="s">
        <v>11317</v>
      </c>
      <c r="AN116" s="1" t="e">
        <f aca="false">IF(AND($B116=Subj_OccCode,Subj_BldgSF&gt;0,ABS($J116-Subj_BldgSF)&lt;=Subj_BldgSF*Subj_SizeTol),ABS($J116-Subj_BldgSF),NA())</f>
        <v>#N/A</v>
      </c>
      <c r="AO116" s="1" t="e">
        <f aca="false">IF(ISNA(AN116),NA(),AN116+ROW()/10000000)</f>
        <v>#N/A</v>
      </c>
      <c r="AR116" s="290" t="str">
        <f aca="false">IF(B116="","",IFERROR(INDEX(OCC_TABLE_DESC,MATCH(B116,OCC_TABLE_CODE,0)),"Unrecognized code"))</f>
        <v>Distribution Warehouse</v>
      </c>
    </row>
    <row r="117" customFormat="false" ht="25.5" hidden="false" customHeight="true" outlineLevel="0" collapsed="false">
      <c r="A117" s="519" t="s">
        <v>10979</v>
      </c>
      <c r="B117" s="508" t="n">
        <v>407</v>
      </c>
      <c r="C117" s="519" t="s">
        <v>10980</v>
      </c>
      <c r="D117" s="529" t="s">
        <v>10981</v>
      </c>
      <c r="E117" s="519" t="s">
        <v>4368</v>
      </c>
      <c r="F117" s="519" t="s">
        <v>10702</v>
      </c>
      <c r="G117" s="519" t="s">
        <v>2692</v>
      </c>
      <c r="H117" s="529" t="s">
        <v>10819</v>
      </c>
      <c r="I117" s="519" t="n">
        <v>2022</v>
      </c>
      <c r="J117" s="519"/>
      <c r="K117" s="519" t="n">
        <v>2024</v>
      </c>
      <c r="L117" s="530" t="n">
        <v>646186</v>
      </c>
      <c r="M117" s="519"/>
      <c r="N117" s="530" t="n">
        <v>839307</v>
      </c>
      <c r="O117" s="530" t="n">
        <v>11813</v>
      </c>
      <c r="P117" s="530" t="n">
        <v>47295</v>
      </c>
      <c r="Q117" s="519"/>
      <c r="R117" s="519"/>
      <c r="S117" s="519"/>
      <c r="T117" s="530" t="n">
        <v>9156</v>
      </c>
      <c r="U117" s="519"/>
      <c r="V117" s="519"/>
      <c r="W117" s="519"/>
      <c r="X117" s="530" t="n">
        <v>3898</v>
      </c>
      <c r="Y117" s="530" t="n">
        <v>13054</v>
      </c>
      <c r="Z117" s="519"/>
      <c r="AA117" s="530" t="n">
        <v>11343</v>
      </c>
      <c r="AB117" s="530" t="n">
        <v>24799</v>
      </c>
      <c r="AC117" s="530" t="n">
        <v>36142</v>
      </c>
      <c r="AD117" s="519"/>
      <c r="AE117" s="519"/>
      <c r="AF117" s="530" t="n">
        <v>27895</v>
      </c>
      <c r="AG117" s="519"/>
      <c r="AH117" s="530" t="n">
        <v>146517</v>
      </c>
      <c r="AI117" s="530" t="n">
        <v>558285</v>
      </c>
      <c r="AJ117" s="530" t="n">
        <v>705154</v>
      </c>
      <c r="AK117" s="530" t="n">
        <v>134153</v>
      </c>
      <c r="AL117" s="519"/>
      <c r="AM117" s="529" t="s">
        <v>11318</v>
      </c>
      <c r="AN117" s="1" t="e">
        <f aca="false">IF(AND($B117=Subj_OccCode,Subj_BldgSF&gt;0,ABS($J117-Subj_BldgSF)&lt;=Subj_BldgSF*Subj_SizeTol),ABS($J117-Subj_BldgSF),NA())</f>
        <v>#N/A</v>
      </c>
      <c r="AO117" s="1" t="e">
        <f aca="false">IF(ISNA(AN117),NA(),AN117+ROW()/10000000)</f>
        <v>#N/A</v>
      </c>
      <c r="AR117" s="290" t="str">
        <f aca="false">IF(B117="","",IFERROR(INDEX(OCC_TABLE_DESC,MATCH(B117,OCC_TABLE_CODE,0)),"Unrecognized code"))</f>
        <v>Distribution Warehouse</v>
      </c>
    </row>
    <row r="118" customFormat="false" ht="25.5" hidden="false" customHeight="true" outlineLevel="0" collapsed="false">
      <c r="A118" s="519" t="s">
        <v>10984</v>
      </c>
      <c r="B118" s="508" t="n">
        <v>407</v>
      </c>
      <c r="C118" s="519" t="s">
        <v>10985</v>
      </c>
      <c r="D118" s="529" t="s">
        <v>10986</v>
      </c>
      <c r="E118" s="519" t="s">
        <v>4368</v>
      </c>
      <c r="F118" s="519" t="s">
        <v>10702</v>
      </c>
      <c r="G118" s="519" t="s">
        <v>2692</v>
      </c>
      <c r="H118" s="529" t="s">
        <v>10819</v>
      </c>
      <c r="I118" s="519" t="n">
        <v>2022</v>
      </c>
      <c r="J118" s="519"/>
      <c r="K118" s="519" t="n">
        <v>2024</v>
      </c>
      <c r="L118" s="530" t="n">
        <v>898845</v>
      </c>
      <c r="M118" s="519"/>
      <c r="N118" s="530" t="n">
        <v>1373599</v>
      </c>
      <c r="O118" s="530" t="n">
        <v>21888</v>
      </c>
      <c r="P118" s="530" t="n">
        <v>72220</v>
      </c>
      <c r="Q118" s="519"/>
      <c r="R118" s="519"/>
      <c r="S118" s="519"/>
      <c r="T118" s="530" t="n">
        <v>8438</v>
      </c>
      <c r="U118" s="519"/>
      <c r="V118" s="519"/>
      <c r="W118" s="519"/>
      <c r="X118" s="530" t="n">
        <v>5773</v>
      </c>
      <c r="Y118" s="530" t="n">
        <v>14211</v>
      </c>
      <c r="Z118" s="519"/>
      <c r="AA118" s="530" t="n">
        <v>21287</v>
      </c>
      <c r="AB118" s="530" t="n">
        <v>29625</v>
      </c>
      <c r="AC118" s="530" t="n">
        <v>50912</v>
      </c>
      <c r="AD118" s="519"/>
      <c r="AE118" s="519"/>
      <c r="AF118" s="530" t="n">
        <v>51235</v>
      </c>
      <c r="AG118" s="519"/>
      <c r="AH118" s="530" t="n">
        <v>209004</v>
      </c>
      <c r="AI118" s="530" t="n">
        <v>762465</v>
      </c>
      <c r="AJ118" s="530" t="n">
        <v>971469</v>
      </c>
      <c r="AK118" s="530" t="n">
        <v>402131</v>
      </c>
      <c r="AL118" s="519"/>
      <c r="AM118" s="529" t="s">
        <v>11318</v>
      </c>
      <c r="AN118" s="1" t="e">
        <f aca="false">IF(AND($B118=Subj_OccCode,Subj_BldgSF&gt;0,ABS($J118-Subj_BldgSF)&lt;=Subj_BldgSF*Subj_SizeTol),ABS($J118-Subj_BldgSF),NA())</f>
        <v>#N/A</v>
      </c>
      <c r="AO118" s="1" t="e">
        <f aca="false">IF(ISNA(AN118),NA(),AN118+ROW()/10000000)</f>
        <v>#N/A</v>
      </c>
      <c r="AR118" s="290" t="str">
        <f aca="false">IF(B118="","",IFERROR(INDEX(OCC_TABLE_DESC,MATCH(B118,OCC_TABLE_CODE,0)),"Unrecognized code"))</f>
        <v>Distribution Warehouse</v>
      </c>
    </row>
    <row r="119" customFormat="false" ht="12.75" hidden="false" customHeight="true" outlineLevel="0" collapsed="false">
      <c r="A119" s="519" t="s">
        <v>10987</v>
      </c>
      <c r="B119" s="508" t="n">
        <v>407</v>
      </c>
      <c r="C119" s="519" t="s">
        <v>10988</v>
      </c>
      <c r="D119" s="529" t="s">
        <v>10989</v>
      </c>
      <c r="E119" s="519" t="s">
        <v>4743</v>
      </c>
      <c r="F119" s="519" t="s">
        <v>10702</v>
      </c>
      <c r="G119" s="519" t="s">
        <v>2692</v>
      </c>
      <c r="H119" s="529" t="s">
        <v>10990</v>
      </c>
      <c r="I119" s="519" t="n">
        <v>1995</v>
      </c>
      <c r="J119" s="519" t="n">
        <v>32600</v>
      </c>
      <c r="K119" s="519" t="n">
        <v>2023</v>
      </c>
      <c r="L119" s="530" t="n">
        <v>296766</v>
      </c>
      <c r="M119" s="519"/>
      <c r="N119" s="530" t="n">
        <v>449003</v>
      </c>
      <c r="O119" s="530" t="n">
        <v>5808</v>
      </c>
      <c r="P119" s="530" t="n">
        <v>16857</v>
      </c>
      <c r="Q119" s="530" t="n">
        <v>1204</v>
      </c>
      <c r="R119" s="519"/>
      <c r="S119" s="530" t="n">
        <v>10015</v>
      </c>
      <c r="T119" s="530" t="n">
        <v>500</v>
      </c>
      <c r="U119" s="519"/>
      <c r="V119" s="519"/>
      <c r="W119" s="519"/>
      <c r="X119" s="530" t="n">
        <v>7760</v>
      </c>
      <c r="Y119" s="530" t="n">
        <v>19479</v>
      </c>
      <c r="Z119" s="530" t="n">
        <v>1359</v>
      </c>
      <c r="AA119" s="519"/>
      <c r="AB119" s="519"/>
      <c r="AC119" s="530" t="n">
        <v>1359</v>
      </c>
      <c r="AD119" s="530" t="n">
        <v>6103</v>
      </c>
      <c r="AE119" s="519"/>
      <c r="AF119" s="530" t="n">
        <v>6103</v>
      </c>
      <c r="AG119" s="530" t="n">
        <v>7749</v>
      </c>
      <c r="AH119" s="530" t="n">
        <v>57071</v>
      </c>
      <c r="AI119" s="530" t="n">
        <v>102701</v>
      </c>
      <c r="AJ119" s="530" t="n">
        <v>159537</v>
      </c>
      <c r="AK119" s="530" t="n">
        <v>289466</v>
      </c>
      <c r="AL119" s="519"/>
      <c r="AM119" s="529" t="s">
        <v>11319</v>
      </c>
      <c r="AN119" s="1" t="e">
        <f aca="false">IF(AND($B119=Subj_OccCode,Subj_BldgSF&gt;0,ABS($J119-Subj_BldgSF)&lt;=Subj_BldgSF*Subj_SizeTol),ABS($J119-Subj_BldgSF),NA())</f>
        <v>#N/A</v>
      </c>
      <c r="AO119" s="1" t="e">
        <f aca="false">IF(ISNA(AN119),NA(),AN119+ROW()/10000000)</f>
        <v>#N/A</v>
      </c>
      <c r="AR119" s="290" t="str">
        <f aca="false">IF(B119="","",IFERROR(INDEX(OCC_TABLE_DESC,MATCH(B119,OCC_TABLE_CODE,0)),"Unrecognized code"))</f>
        <v>Distribution Warehouse</v>
      </c>
    </row>
    <row r="120" customFormat="false" ht="12.75" hidden="false" customHeight="true" outlineLevel="0" collapsed="false">
      <c r="A120" s="519" t="s">
        <v>10987</v>
      </c>
      <c r="B120" s="508" t="n">
        <v>407</v>
      </c>
      <c r="C120" s="519" t="s">
        <v>10988</v>
      </c>
      <c r="D120" s="529" t="s">
        <v>10989</v>
      </c>
      <c r="E120" s="519" t="s">
        <v>4743</v>
      </c>
      <c r="F120" s="519" t="s">
        <v>10702</v>
      </c>
      <c r="G120" s="519" t="s">
        <v>2692</v>
      </c>
      <c r="H120" s="529" t="s">
        <v>10990</v>
      </c>
      <c r="I120" s="519" t="n">
        <v>1995</v>
      </c>
      <c r="J120" s="519" t="n">
        <v>32600</v>
      </c>
      <c r="K120" s="519" t="n">
        <v>2024</v>
      </c>
      <c r="L120" s="530" t="n">
        <v>312397</v>
      </c>
      <c r="M120" s="519"/>
      <c r="N120" s="530" t="n">
        <v>497987</v>
      </c>
      <c r="O120" s="530" t="n">
        <v>5897</v>
      </c>
      <c r="P120" s="530" t="n">
        <v>18574</v>
      </c>
      <c r="Q120" s="530" t="n">
        <v>1251</v>
      </c>
      <c r="R120" s="519"/>
      <c r="S120" s="530" t="n">
        <v>7535</v>
      </c>
      <c r="T120" s="530" t="n">
        <v>1222</v>
      </c>
      <c r="U120" s="519"/>
      <c r="V120" s="519"/>
      <c r="W120" s="519"/>
      <c r="X120" s="530" t="n">
        <v>7269</v>
      </c>
      <c r="Y120" s="530" t="n">
        <v>17277</v>
      </c>
      <c r="Z120" s="530" t="n">
        <v>1376</v>
      </c>
      <c r="AA120" s="519"/>
      <c r="AB120" s="519"/>
      <c r="AC120" s="530" t="n">
        <v>1376</v>
      </c>
      <c r="AD120" s="530" t="n">
        <v>6829</v>
      </c>
      <c r="AE120" s="519"/>
      <c r="AF120" s="530" t="n">
        <v>6829</v>
      </c>
      <c r="AG120" s="530" t="n">
        <v>25153</v>
      </c>
      <c r="AH120" s="530" t="n">
        <v>69242</v>
      </c>
      <c r="AI120" s="530" t="n">
        <v>105852</v>
      </c>
      <c r="AJ120" s="530" t="n">
        <v>172094</v>
      </c>
      <c r="AK120" s="530" t="n">
        <v>325893</v>
      </c>
      <c r="AL120" s="519"/>
      <c r="AM120" s="529" t="s">
        <v>11320</v>
      </c>
      <c r="AN120" s="1" t="e">
        <f aca="false">IF(AND($B120=Subj_OccCode,Subj_BldgSF&gt;0,ABS($J120-Subj_BldgSF)&lt;=Subj_BldgSF*Subj_SizeTol),ABS($J120-Subj_BldgSF),NA())</f>
        <v>#N/A</v>
      </c>
      <c r="AO120" s="1" t="e">
        <f aca="false">IF(ISNA(AN120),NA(),AN120+ROW()/10000000)</f>
        <v>#N/A</v>
      </c>
      <c r="AR120" s="290" t="str">
        <f aca="false">IF(B120="","",IFERROR(INDEX(OCC_TABLE_DESC,MATCH(B120,OCC_TABLE_CODE,0)),"Unrecognized code"))</f>
        <v>Distribution Warehouse</v>
      </c>
    </row>
    <row r="121" customFormat="false" ht="25.5" hidden="false" customHeight="true" outlineLevel="0" collapsed="false">
      <c r="A121" s="519" t="s">
        <v>10992</v>
      </c>
      <c r="B121" s="508" t="n">
        <v>407</v>
      </c>
      <c r="C121" s="519" t="s">
        <v>10993</v>
      </c>
      <c r="D121" s="529" t="s">
        <v>11321</v>
      </c>
      <c r="E121" s="519" t="s">
        <v>4743</v>
      </c>
      <c r="F121" s="519" t="s">
        <v>10702</v>
      </c>
      <c r="G121" s="519" t="s">
        <v>2692</v>
      </c>
      <c r="H121" s="529" t="s">
        <v>10990</v>
      </c>
      <c r="I121" s="519"/>
      <c r="J121" s="519"/>
      <c r="K121" s="519" t="n">
        <v>2023</v>
      </c>
      <c r="L121" s="530" t="n">
        <v>340825</v>
      </c>
      <c r="M121" s="519"/>
      <c r="N121" s="530" t="n">
        <v>817280</v>
      </c>
      <c r="O121" s="530" t="n">
        <v>396</v>
      </c>
      <c r="P121" s="530" t="n">
        <v>24226</v>
      </c>
      <c r="Q121" s="530" t="n">
        <v>2790</v>
      </c>
      <c r="R121" s="519"/>
      <c r="S121" s="530" t="n">
        <v>17586</v>
      </c>
      <c r="T121" s="519"/>
      <c r="U121" s="519"/>
      <c r="V121" s="519"/>
      <c r="W121" s="519"/>
      <c r="X121" s="530" t="n">
        <v>1690</v>
      </c>
      <c r="Y121" s="530" t="n">
        <v>22066</v>
      </c>
      <c r="Z121" s="530" t="n">
        <v>1690</v>
      </c>
      <c r="AA121" s="530" t="n">
        <v>10029</v>
      </c>
      <c r="AB121" s="530" t="n">
        <v>13406</v>
      </c>
      <c r="AC121" s="530" t="n">
        <v>15096</v>
      </c>
      <c r="AD121" s="530" t="n">
        <v>8414</v>
      </c>
      <c r="AE121" s="519"/>
      <c r="AF121" s="530" t="n">
        <v>8414</v>
      </c>
      <c r="AG121" s="530" t="n">
        <v>7749</v>
      </c>
      <c r="AH121" s="530" t="n">
        <v>82990</v>
      </c>
      <c r="AI121" s="530" t="n">
        <v>262422</v>
      </c>
      <c r="AJ121" s="530" t="n">
        <v>345412</v>
      </c>
      <c r="AK121" s="530" t="n">
        <v>471868</v>
      </c>
      <c r="AL121" s="519"/>
      <c r="AM121" s="529" t="s">
        <v>11322</v>
      </c>
      <c r="AN121" s="1" t="e">
        <f aca="false">IF(AND($B121=Subj_OccCode,Subj_BldgSF&gt;0,ABS($J121-Subj_BldgSF)&lt;=Subj_BldgSF*Subj_SizeTol),ABS($J121-Subj_BldgSF),NA())</f>
        <v>#N/A</v>
      </c>
      <c r="AO121" s="1" t="e">
        <f aca="false">IF(ISNA(AN121),NA(),AN121+ROW()/10000000)</f>
        <v>#N/A</v>
      </c>
      <c r="AR121" s="290" t="str">
        <f aca="false">IF(B121="","",IFERROR(INDEX(OCC_TABLE_DESC,MATCH(B121,OCC_TABLE_CODE,0)),"Unrecognized code"))</f>
        <v>Distribution Warehouse</v>
      </c>
    </row>
    <row r="122" customFormat="false" ht="25.5" hidden="false" customHeight="true" outlineLevel="0" collapsed="false">
      <c r="A122" s="519" t="s">
        <v>10992</v>
      </c>
      <c r="B122" s="508" t="n">
        <v>407</v>
      </c>
      <c r="C122" s="519" t="s">
        <v>10993</v>
      </c>
      <c r="D122" s="529" t="s">
        <v>11321</v>
      </c>
      <c r="E122" s="519" t="s">
        <v>4743</v>
      </c>
      <c r="F122" s="519" t="s">
        <v>10702</v>
      </c>
      <c r="G122" s="519" t="s">
        <v>2692</v>
      </c>
      <c r="H122" s="529" t="s">
        <v>10990</v>
      </c>
      <c r="I122" s="519"/>
      <c r="J122" s="519"/>
      <c r="K122" s="519" t="n">
        <v>2024</v>
      </c>
      <c r="L122" s="530" t="n">
        <v>343350</v>
      </c>
      <c r="M122" s="519"/>
      <c r="N122" s="530" t="n">
        <v>632272</v>
      </c>
      <c r="O122" s="530" t="n">
        <v>9737</v>
      </c>
      <c r="P122" s="519"/>
      <c r="Q122" s="519"/>
      <c r="R122" s="519"/>
      <c r="S122" s="519"/>
      <c r="T122" s="519"/>
      <c r="U122" s="519"/>
      <c r="V122" s="519"/>
      <c r="W122" s="519"/>
      <c r="X122" s="519"/>
      <c r="Y122" s="519"/>
      <c r="Z122" s="519"/>
      <c r="AA122" s="519"/>
      <c r="AB122" s="519"/>
      <c r="AC122" s="519"/>
      <c r="AD122" s="519"/>
      <c r="AE122" s="519"/>
      <c r="AF122" s="519"/>
      <c r="AG122" s="519"/>
      <c r="AH122" s="530" t="n">
        <v>119649</v>
      </c>
      <c r="AI122" s="530" t="n">
        <v>159461</v>
      </c>
      <c r="AJ122" s="530" t="n">
        <v>279110</v>
      </c>
      <c r="AK122" s="530" t="n">
        <v>353163</v>
      </c>
      <c r="AL122" s="519"/>
      <c r="AM122" s="529" t="s">
        <v>11323</v>
      </c>
      <c r="AN122" s="1" t="e">
        <f aca="false">IF(AND($B122=Subj_OccCode,Subj_BldgSF&gt;0,ABS($J122-Subj_BldgSF)&lt;=Subj_BldgSF*Subj_SizeTol),ABS($J122-Subj_BldgSF),NA())</f>
        <v>#N/A</v>
      </c>
      <c r="AO122" s="1" t="e">
        <f aca="false">IF(ISNA(AN122),NA(),AN122+ROW()/10000000)</f>
        <v>#N/A</v>
      </c>
      <c r="AR122" s="290" t="str">
        <f aca="false">IF(B122="","",IFERROR(INDEX(OCC_TABLE_DESC,MATCH(B122,OCC_TABLE_CODE,0)),"Unrecognized code"))</f>
        <v>Distribution Warehouse</v>
      </c>
    </row>
    <row r="123" customFormat="false" ht="12.75" hidden="false" customHeight="true" outlineLevel="0" collapsed="false">
      <c r="A123" s="519" t="s">
        <v>10996</v>
      </c>
      <c r="B123" s="508" t="n">
        <v>407</v>
      </c>
      <c r="C123" s="519" t="s">
        <v>10997</v>
      </c>
      <c r="D123" s="529" t="s">
        <v>10998</v>
      </c>
      <c r="E123" s="519" t="s">
        <v>4743</v>
      </c>
      <c r="F123" s="519" t="s">
        <v>10702</v>
      </c>
      <c r="G123" s="519" t="s">
        <v>2692</v>
      </c>
      <c r="H123" s="529" t="s">
        <v>10990</v>
      </c>
      <c r="I123" s="519"/>
      <c r="J123" s="519"/>
      <c r="K123" s="519" t="n">
        <v>2023</v>
      </c>
      <c r="L123" s="530" t="n">
        <v>246837</v>
      </c>
      <c r="M123" s="519"/>
      <c r="N123" s="530" t="n">
        <v>340193</v>
      </c>
      <c r="O123" s="530" t="n">
        <v>7355</v>
      </c>
      <c r="P123" s="530" t="n">
        <v>12734</v>
      </c>
      <c r="Q123" s="530" t="n">
        <v>1711</v>
      </c>
      <c r="R123" s="519"/>
      <c r="S123" s="530" t="n">
        <v>24740</v>
      </c>
      <c r="T123" s="530" t="n">
        <v>6577</v>
      </c>
      <c r="U123" s="519"/>
      <c r="V123" s="519"/>
      <c r="W123" s="519"/>
      <c r="X123" s="530" t="n">
        <v>10612</v>
      </c>
      <c r="Y123" s="530" t="n">
        <v>43640</v>
      </c>
      <c r="Z123" s="530" t="n">
        <v>2451</v>
      </c>
      <c r="AA123" s="530" t="n">
        <v>2474</v>
      </c>
      <c r="AB123" s="530" t="n">
        <v>9457</v>
      </c>
      <c r="AC123" s="530" t="n">
        <v>14382</v>
      </c>
      <c r="AD123" s="530" t="n">
        <v>4092</v>
      </c>
      <c r="AE123" s="519"/>
      <c r="AF123" s="530" t="n">
        <v>4092</v>
      </c>
      <c r="AG123" s="519"/>
      <c r="AH123" s="530" t="n">
        <v>68233</v>
      </c>
      <c r="AI123" s="530" t="n">
        <v>92861</v>
      </c>
      <c r="AJ123" s="530" t="n">
        <v>161094</v>
      </c>
      <c r="AK123" s="530" t="n">
        <v>179099</v>
      </c>
      <c r="AL123" s="519"/>
      <c r="AM123" s="529" t="s">
        <v>11324</v>
      </c>
      <c r="AN123" s="1" t="e">
        <f aca="false">IF(AND($B123=Subj_OccCode,Subj_BldgSF&gt;0,ABS($J123-Subj_BldgSF)&lt;=Subj_BldgSF*Subj_SizeTol),ABS($J123-Subj_BldgSF),NA())</f>
        <v>#N/A</v>
      </c>
      <c r="AO123" s="1" t="e">
        <f aca="false">IF(ISNA(AN123),NA(),AN123+ROW()/10000000)</f>
        <v>#N/A</v>
      </c>
      <c r="AR123" s="290" t="str">
        <f aca="false">IF(B123="","",IFERROR(INDEX(OCC_TABLE_DESC,MATCH(B123,OCC_TABLE_CODE,0)),"Unrecognized code"))</f>
        <v>Distribution Warehouse</v>
      </c>
    </row>
    <row r="124" customFormat="false" ht="12.75" hidden="false" customHeight="true" outlineLevel="0" collapsed="false">
      <c r="A124" s="519" t="s">
        <v>10996</v>
      </c>
      <c r="B124" s="508" t="n">
        <v>407</v>
      </c>
      <c r="C124" s="519" t="s">
        <v>10997</v>
      </c>
      <c r="D124" s="529" t="s">
        <v>10998</v>
      </c>
      <c r="E124" s="519" t="s">
        <v>4743</v>
      </c>
      <c r="F124" s="519" t="s">
        <v>10702</v>
      </c>
      <c r="G124" s="519" t="s">
        <v>2692</v>
      </c>
      <c r="H124" s="529" t="s">
        <v>10990</v>
      </c>
      <c r="I124" s="519"/>
      <c r="J124" s="519"/>
      <c r="K124" s="519" t="n">
        <v>2024</v>
      </c>
      <c r="L124" s="530" t="n">
        <v>239823</v>
      </c>
      <c r="M124" s="519"/>
      <c r="N124" s="530" t="n">
        <v>375845</v>
      </c>
      <c r="O124" s="530" t="n">
        <v>7287</v>
      </c>
      <c r="P124" s="530" t="n">
        <v>18575</v>
      </c>
      <c r="Q124" s="530" t="n">
        <v>816</v>
      </c>
      <c r="R124" s="519"/>
      <c r="S124" s="530" t="n">
        <v>25607</v>
      </c>
      <c r="T124" s="530" t="n">
        <v>7834</v>
      </c>
      <c r="U124" s="519"/>
      <c r="V124" s="519"/>
      <c r="W124" s="519"/>
      <c r="X124" s="530" t="n">
        <v>8752</v>
      </c>
      <c r="Y124" s="530" t="n">
        <v>42009</v>
      </c>
      <c r="Z124" s="530" t="n">
        <v>2982</v>
      </c>
      <c r="AA124" s="530" t="n">
        <v>2720</v>
      </c>
      <c r="AB124" s="530" t="n">
        <v>10994</v>
      </c>
      <c r="AC124" s="530" t="n">
        <v>16696</v>
      </c>
      <c r="AD124" s="530" t="n">
        <v>4502</v>
      </c>
      <c r="AE124" s="519"/>
      <c r="AF124" s="530" t="n">
        <v>4502</v>
      </c>
      <c r="AG124" s="519"/>
      <c r="AH124" s="530" t="n">
        <v>69570</v>
      </c>
      <c r="AI124" s="530" t="n">
        <v>102524</v>
      </c>
      <c r="AJ124" s="530" t="n">
        <v>172094</v>
      </c>
      <c r="AK124" s="530" t="n">
        <v>203752</v>
      </c>
      <c r="AL124" s="519"/>
      <c r="AM124" s="529" t="s">
        <v>11324</v>
      </c>
      <c r="AN124" s="1" t="e">
        <f aca="false">IF(AND($B124=Subj_OccCode,Subj_BldgSF&gt;0,ABS($J124-Subj_BldgSF)&lt;=Subj_BldgSF*Subj_SizeTol),ABS($J124-Subj_BldgSF),NA())</f>
        <v>#N/A</v>
      </c>
      <c r="AO124" s="1" t="e">
        <f aca="false">IF(ISNA(AN124),NA(),AN124+ROW()/10000000)</f>
        <v>#N/A</v>
      </c>
      <c r="AR124" s="290" t="str">
        <f aca="false">IF(B124="","",IFERROR(INDEX(OCC_TABLE_DESC,MATCH(B124,OCC_TABLE_CODE,0)),"Unrecognized code"))</f>
        <v>Distribution Warehouse</v>
      </c>
    </row>
    <row r="125" customFormat="false" ht="25.5" hidden="false" customHeight="true" outlineLevel="0" collapsed="false">
      <c r="A125" s="519" t="s">
        <v>11000</v>
      </c>
      <c r="B125" s="508" t="n">
        <v>584</v>
      </c>
      <c r="C125" s="519" t="s">
        <v>11001</v>
      </c>
      <c r="D125" s="529" t="s">
        <v>11325</v>
      </c>
      <c r="E125" s="519" t="s">
        <v>4743</v>
      </c>
      <c r="F125" s="519" t="s">
        <v>10702</v>
      </c>
      <c r="G125" s="519" t="s">
        <v>2692</v>
      </c>
      <c r="H125" s="529" t="s">
        <v>10802</v>
      </c>
      <c r="I125" s="519"/>
      <c r="J125" s="519" t="n">
        <v>278538</v>
      </c>
      <c r="K125" s="519" t="n">
        <v>2024</v>
      </c>
      <c r="L125" s="530" t="n">
        <v>1242512</v>
      </c>
      <c r="M125" s="519"/>
      <c r="N125" s="530" t="n">
        <v>2952901</v>
      </c>
      <c r="O125" s="519"/>
      <c r="P125" s="519"/>
      <c r="Q125" s="519"/>
      <c r="R125" s="519"/>
      <c r="S125" s="519"/>
      <c r="T125" s="519"/>
      <c r="U125" s="519"/>
      <c r="V125" s="519"/>
      <c r="W125" s="519"/>
      <c r="X125" s="519"/>
      <c r="Y125" s="519"/>
      <c r="Z125" s="519"/>
      <c r="AA125" s="519"/>
      <c r="AB125" s="519"/>
      <c r="AC125" s="519"/>
      <c r="AD125" s="519"/>
      <c r="AE125" s="519"/>
      <c r="AF125" s="530" t="n">
        <v>195945</v>
      </c>
      <c r="AG125" s="519"/>
      <c r="AH125" s="519"/>
      <c r="AI125" s="519"/>
      <c r="AJ125" s="519"/>
      <c r="AK125" s="519"/>
      <c r="AL125" s="519"/>
      <c r="AM125" s="529" t="s">
        <v>11326</v>
      </c>
      <c r="AN125" s="1" t="n">
        <f aca="false">IF(AND($B125=Subj_OccCode,Subj_BldgSF&gt;0,ABS($J125-Subj_BldgSF)&lt;=Subj_BldgSF*Subj_SizeTol),ABS($J125-Subj_BldgSF),NA())</f>
        <v>73702</v>
      </c>
      <c r="AO125" s="1" t="n">
        <f aca="false">IF(ISNA(AN125),NA(),AN125+ROW()/10000000)</f>
        <v>73702.0000125</v>
      </c>
      <c r="AR125" s="290" t="str">
        <f aca="false">IF(B125="","",IFERROR(INDEX(OCC_TABLE_DESC,MATCH(B125,OCC_TABLE_CODE,0)),"Unrecognized code"))</f>
        <v>Mega Warehouse</v>
      </c>
    </row>
    <row r="126" customFormat="false" ht="25.5" hidden="false" customHeight="true" outlineLevel="0" collapsed="false">
      <c r="A126" s="519" t="s">
        <v>11006</v>
      </c>
      <c r="B126" s="508" t="n">
        <v>407</v>
      </c>
      <c r="C126" s="519" t="s">
        <v>11007</v>
      </c>
      <c r="D126" s="529" t="s">
        <v>11008</v>
      </c>
      <c r="E126" s="519" t="s">
        <v>4743</v>
      </c>
      <c r="F126" s="519" t="s">
        <v>10702</v>
      </c>
      <c r="G126" s="519" t="s">
        <v>2692</v>
      </c>
      <c r="H126" s="529" t="s">
        <v>10842</v>
      </c>
      <c r="I126" s="519" t="n">
        <v>2019</v>
      </c>
      <c r="J126" s="519" t="n">
        <v>36212</v>
      </c>
      <c r="K126" s="519" t="n">
        <v>2023</v>
      </c>
      <c r="L126" s="530" t="n">
        <v>272278</v>
      </c>
      <c r="M126" s="519"/>
      <c r="N126" s="530" t="n">
        <v>272278</v>
      </c>
      <c r="O126" s="519"/>
      <c r="P126" s="519"/>
      <c r="Q126" s="519"/>
      <c r="R126" s="519"/>
      <c r="S126" s="519"/>
      <c r="T126" s="519"/>
      <c r="U126" s="519"/>
      <c r="V126" s="519"/>
      <c r="W126" s="519"/>
      <c r="X126" s="519"/>
      <c r="Y126" s="519"/>
      <c r="Z126" s="519"/>
      <c r="AA126" s="519"/>
      <c r="AB126" s="519"/>
      <c r="AC126" s="519"/>
      <c r="AD126" s="519"/>
      <c r="AE126" s="519"/>
      <c r="AF126" s="519"/>
      <c r="AG126" s="519"/>
      <c r="AH126" s="519"/>
      <c r="AI126" s="519"/>
      <c r="AJ126" s="519"/>
      <c r="AK126" s="519"/>
      <c r="AL126" s="519"/>
      <c r="AM126" s="529" t="s">
        <v>11327</v>
      </c>
      <c r="AN126" s="1" t="e">
        <f aca="false">IF(AND($B126=Subj_OccCode,Subj_BldgSF&gt;0,ABS($J126-Subj_BldgSF)&lt;=Subj_BldgSF*Subj_SizeTol),ABS($J126-Subj_BldgSF),NA())</f>
        <v>#N/A</v>
      </c>
      <c r="AO126" s="1" t="e">
        <f aca="false">IF(ISNA(AN126),NA(),AN126+ROW()/10000000)</f>
        <v>#N/A</v>
      </c>
      <c r="AR126" s="290" t="str">
        <f aca="false">IF(B126="","",IFERROR(INDEX(OCC_TABLE_DESC,MATCH(B126,OCC_TABLE_CODE,0)),"Unrecognized code"))</f>
        <v>Distribution Warehouse</v>
      </c>
    </row>
    <row r="127" customFormat="false" ht="25.5" hidden="false" customHeight="true" outlineLevel="0" collapsed="false">
      <c r="A127" s="519" t="s">
        <v>11006</v>
      </c>
      <c r="B127" s="508" t="n">
        <v>407</v>
      </c>
      <c r="C127" s="519" t="s">
        <v>11007</v>
      </c>
      <c r="D127" s="529" t="s">
        <v>11008</v>
      </c>
      <c r="E127" s="519" t="s">
        <v>4743</v>
      </c>
      <c r="F127" s="519" t="s">
        <v>10702</v>
      </c>
      <c r="G127" s="519" t="s">
        <v>2692</v>
      </c>
      <c r="H127" s="529" t="s">
        <v>10842</v>
      </c>
      <c r="I127" s="519" t="n">
        <v>2019</v>
      </c>
      <c r="J127" s="519" t="n">
        <v>36212</v>
      </c>
      <c r="K127" s="519" t="n">
        <v>2024</v>
      </c>
      <c r="L127" s="530" t="n">
        <v>280448</v>
      </c>
      <c r="M127" s="519"/>
      <c r="N127" s="530" t="n">
        <v>280448</v>
      </c>
      <c r="O127" s="519"/>
      <c r="P127" s="519"/>
      <c r="Q127" s="519"/>
      <c r="R127" s="519"/>
      <c r="S127" s="519"/>
      <c r="T127" s="519"/>
      <c r="U127" s="519"/>
      <c r="V127" s="519"/>
      <c r="W127" s="519"/>
      <c r="X127" s="519"/>
      <c r="Y127" s="519"/>
      <c r="Z127" s="519"/>
      <c r="AA127" s="519"/>
      <c r="AB127" s="519"/>
      <c r="AC127" s="519"/>
      <c r="AD127" s="519"/>
      <c r="AE127" s="519"/>
      <c r="AF127" s="519"/>
      <c r="AG127" s="519"/>
      <c r="AH127" s="519"/>
      <c r="AI127" s="519"/>
      <c r="AJ127" s="519"/>
      <c r="AK127" s="519"/>
      <c r="AL127" s="519"/>
      <c r="AM127" s="529" t="s">
        <v>11328</v>
      </c>
      <c r="AN127" s="1" t="e">
        <f aca="false">IF(AND($B127=Subj_OccCode,Subj_BldgSF&gt;0,ABS($J127-Subj_BldgSF)&lt;=Subj_BldgSF*Subj_SizeTol),ABS($J127-Subj_BldgSF),NA())</f>
        <v>#N/A</v>
      </c>
      <c r="AO127" s="1" t="e">
        <f aca="false">IF(ISNA(AN127),NA(),AN127+ROW()/10000000)</f>
        <v>#N/A</v>
      </c>
      <c r="AR127" s="290" t="str">
        <f aca="false">IF(B127="","",IFERROR(INDEX(OCC_TABLE_DESC,MATCH(B127,OCC_TABLE_CODE,0)),"Unrecognized code"))</f>
        <v>Distribution Warehouse</v>
      </c>
    </row>
    <row r="128" customFormat="false" ht="25.5" hidden="false" customHeight="true" outlineLevel="0" collapsed="false">
      <c r="A128" s="519" t="s">
        <v>11012</v>
      </c>
      <c r="B128" s="508" t="n">
        <v>344</v>
      </c>
      <c r="C128" s="519" t="s">
        <v>3361</v>
      </c>
      <c r="D128" s="529" t="s">
        <v>11013</v>
      </c>
      <c r="E128" s="519" t="s">
        <v>4368</v>
      </c>
      <c r="F128" s="519" t="s">
        <v>10702</v>
      </c>
      <c r="G128" s="519" t="s">
        <v>10719</v>
      </c>
      <c r="H128" s="529" t="s">
        <v>11014</v>
      </c>
      <c r="I128" s="519"/>
      <c r="J128" s="519" t="n">
        <v>19764</v>
      </c>
      <c r="K128" s="519" t="n">
        <v>2023</v>
      </c>
      <c r="L128" s="519"/>
      <c r="M128" s="519"/>
      <c r="N128" s="519"/>
      <c r="O128" s="530" t="n">
        <v>3132</v>
      </c>
      <c r="P128" s="530" t="n">
        <v>9187</v>
      </c>
      <c r="Q128" s="519"/>
      <c r="R128" s="519"/>
      <c r="S128" s="519"/>
      <c r="T128" s="519"/>
      <c r="U128" s="519"/>
      <c r="V128" s="519"/>
      <c r="W128" s="519"/>
      <c r="X128" s="530" t="n">
        <v>48128</v>
      </c>
      <c r="Y128" s="530" t="n">
        <v>48128</v>
      </c>
      <c r="Z128" s="519"/>
      <c r="AA128" s="530" t="n">
        <v>9835</v>
      </c>
      <c r="AB128" s="519"/>
      <c r="AC128" s="530" t="n">
        <v>9835</v>
      </c>
      <c r="AD128" s="519"/>
      <c r="AE128" s="519"/>
      <c r="AF128" s="530" t="n">
        <v>37547</v>
      </c>
      <c r="AG128" s="530" t="n">
        <v>8244</v>
      </c>
      <c r="AH128" s="530" t="n">
        <v>133351</v>
      </c>
      <c r="AI128" s="530" t="n">
        <v>40716</v>
      </c>
      <c r="AJ128" s="530" t="n">
        <v>174067</v>
      </c>
      <c r="AK128" s="530" t="n">
        <v>54413</v>
      </c>
      <c r="AL128" s="519"/>
      <c r="AM128" s="529" t="s">
        <v>11329</v>
      </c>
      <c r="AN128" s="1" t="e">
        <f aca="false">IF(AND($B128=Subj_OccCode,Subj_BldgSF&gt;0,ABS($J128-Subj_BldgSF)&lt;=Subj_BldgSF*Subj_SizeTol),ABS($J128-Subj_BldgSF),NA())</f>
        <v>#N/A</v>
      </c>
      <c r="AO128" s="1" t="e">
        <f aca="false">IF(ISNA(AN128),NA(),AN128+ROW()/10000000)</f>
        <v>#N/A</v>
      </c>
      <c r="AR128" s="290" t="str">
        <f aca="false">IF(B128="","",IFERROR(INDEX(OCC_TABLE_DESC,MATCH(B128,OCC_TABLE_CODE,0)),"Unrecognized code"))</f>
        <v>Office Building</v>
      </c>
    </row>
    <row r="129" customFormat="false" ht="12.75" hidden="false" customHeight="true" outlineLevel="0" collapsed="false">
      <c r="A129" s="519" t="s">
        <v>11012</v>
      </c>
      <c r="B129" s="508" t="n">
        <v>344</v>
      </c>
      <c r="C129" s="519" t="s">
        <v>3361</v>
      </c>
      <c r="D129" s="529" t="s">
        <v>11013</v>
      </c>
      <c r="E129" s="519" t="s">
        <v>4368</v>
      </c>
      <c r="F129" s="519" t="s">
        <v>10702</v>
      </c>
      <c r="G129" s="519" t="s">
        <v>10719</v>
      </c>
      <c r="H129" s="529" t="s">
        <v>11014</v>
      </c>
      <c r="I129" s="519"/>
      <c r="J129" s="519" t="n">
        <v>19764</v>
      </c>
      <c r="K129" s="519" t="n">
        <v>2024</v>
      </c>
      <c r="L129" s="519"/>
      <c r="M129" s="519"/>
      <c r="N129" s="519"/>
      <c r="O129" s="530" t="n">
        <v>11171</v>
      </c>
      <c r="P129" s="530" t="n">
        <v>9000</v>
      </c>
      <c r="Q129" s="519"/>
      <c r="R129" s="519"/>
      <c r="S129" s="519"/>
      <c r="T129" s="519"/>
      <c r="U129" s="519"/>
      <c r="V129" s="519"/>
      <c r="W129" s="519"/>
      <c r="X129" s="530" t="n">
        <v>48665</v>
      </c>
      <c r="Y129" s="530" t="n">
        <v>48665</v>
      </c>
      <c r="Z129" s="519"/>
      <c r="AA129" s="530" t="n">
        <v>11638</v>
      </c>
      <c r="AB129" s="519"/>
      <c r="AC129" s="530" t="n">
        <v>11638</v>
      </c>
      <c r="AD129" s="519"/>
      <c r="AE129" s="519"/>
      <c r="AF129" s="530" t="n">
        <v>47748</v>
      </c>
      <c r="AG129" s="530" t="n">
        <v>6178</v>
      </c>
      <c r="AH129" s="530" t="n">
        <v>134405</v>
      </c>
      <c r="AI129" s="530" t="n">
        <v>40064</v>
      </c>
      <c r="AJ129" s="530" t="n">
        <v>174469</v>
      </c>
      <c r="AK129" s="530" t="n">
        <v>54011</v>
      </c>
      <c r="AL129" s="519"/>
      <c r="AM129" s="529" t="s">
        <v>11330</v>
      </c>
      <c r="AN129" s="1" t="e">
        <f aca="false">IF(AND($B129=Subj_OccCode,Subj_BldgSF&gt;0,ABS($J129-Subj_BldgSF)&lt;=Subj_BldgSF*Subj_SizeTol),ABS($J129-Subj_BldgSF),NA())</f>
        <v>#N/A</v>
      </c>
      <c r="AO129" s="1" t="e">
        <f aca="false">IF(ISNA(AN129),NA(),AN129+ROW()/10000000)</f>
        <v>#N/A</v>
      </c>
      <c r="AR129" s="290" t="str">
        <f aca="false">IF(B129="","",IFERROR(INDEX(OCC_TABLE_DESC,MATCH(B129,OCC_TABLE_CODE,0)),"Unrecognized code"))</f>
        <v>Office Building</v>
      </c>
    </row>
    <row r="130" customFormat="false" ht="25.5" hidden="false" customHeight="true" outlineLevel="0" collapsed="false">
      <c r="A130" s="519" t="s">
        <v>11017</v>
      </c>
      <c r="B130" s="508" t="n">
        <v>344</v>
      </c>
      <c r="C130" s="519" t="s">
        <v>4366</v>
      </c>
      <c r="D130" s="529" t="s">
        <v>11018</v>
      </c>
      <c r="E130" s="519" t="s">
        <v>4368</v>
      </c>
      <c r="F130" s="519" t="s">
        <v>10702</v>
      </c>
      <c r="G130" s="519" t="s">
        <v>10719</v>
      </c>
      <c r="H130" s="529" t="s">
        <v>11014</v>
      </c>
      <c r="I130" s="519"/>
      <c r="J130" s="519"/>
      <c r="K130" s="519" t="n">
        <v>2023</v>
      </c>
      <c r="L130" s="530" t="n">
        <v>2011958</v>
      </c>
      <c r="M130" s="519"/>
      <c r="N130" s="530" t="n">
        <v>2239234</v>
      </c>
      <c r="O130" s="519"/>
      <c r="P130" s="519"/>
      <c r="Q130" s="519"/>
      <c r="R130" s="519"/>
      <c r="S130" s="519"/>
      <c r="T130" s="519"/>
      <c r="U130" s="519"/>
      <c r="V130" s="519"/>
      <c r="W130" s="519"/>
      <c r="X130" s="530" t="n">
        <v>144543</v>
      </c>
      <c r="Y130" s="530" t="n">
        <v>144543</v>
      </c>
      <c r="Z130" s="519"/>
      <c r="AA130" s="519"/>
      <c r="AB130" s="519"/>
      <c r="AC130" s="519"/>
      <c r="AD130" s="519"/>
      <c r="AE130" s="519"/>
      <c r="AF130" s="530" t="n">
        <v>240350</v>
      </c>
      <c r="AG130" s="530" t="n">
        <v>279549</v>
      </c>
      <c r="AH130" s="530" t="n">
        <v>719555</v>
      </c>
      <c r="AI130" s="530" t="n">
        <v>497852</v>
      </c>
      <c r="AJ130" s="530" t="n">
        <v>1217407</v>
      </c>
      <c r="AK130" s="530" t="n">
        <v>1021827</v>
      </c>
      <c r="AL130" s="519"/>
      <c r="AM130" s="529" t="s">
        <v>11331</v>
      </c>
      <c r="AN130" s="1" t="e">
        <f aca="false">IF(AND($B130=Subj_OccCode,Subj_BldgSF&gt;0,ABS($J130-Subj_BldgSF)&lt;=Subj_BldgSF*Subj_SizeTol),ABS($J130-Subj_BldgSF),NA())</f>
        <v>#N/A</v>
      </c>
      <c r="AO130" s="1" t="e">
        <f aca="false">IF(ISNA(AN130),NA(),AN130+ROW()/10000000)</f>
        <v>#N/A</v>
      </c>
      <c r="AR130" s="290" t="str">
        <f aca="false">IF(B130="","",IFERROR(INDEX(OCC_TABLE_DESC,MATCH(B130,OCC_TABLE_CODE,0)),"Unrecognized code"))</f>
        <v>Office Building</v>
      </c>
    </row>
    <row r="131" customFormat="false" ht="25.5" hidden="false" customHeight="true" outlineLevel="0" collapsed="false">
      <c r="A131" s="519" t="s">
        <v>11021</v>
      </c>
      <c r="B131" s="508" t="n">
        <v>344</v>
      </c>
      <c r="C131" s="519" t="s">
        <v>11022</v>
      </c>
      <c r="D131" s="529" t="s">
        <v>11023</v>
      </c>
      <c r="E131" s="519" t="s">
        <v>1557</v>
      </c>
      <c r="F131" s="519" t="s">
        <v>10702</v>
      </c>
      <c r="G131" s="519" t="s">
        <v>10719</v>
      </c>
      <c r="H131" s="529" t="s">
        <v>11014</v>
      </c>
      <c r="I131" s="519"/>
      <c r="J131" s="519" t="n">
        <v>114843</v>
      </c>
      <c r="K131" s="519" t="n">
        <v>2023</v>
      </c>
      <c r="L131" s="519"/>
      <c r="M131" s="519"/>
      <c r="N131" s="530" t="n">
        <v>618988</v>
      </c>
      <c r="O131" s="519"/>
      <c r="P131" s="519"/>
      <c r="Q131" s="519"/>
      <c r="R131" s="519"/>
      <c r="S131" s="519"/>
      <c r="T131" s="519"/>
      <c r="U131" s="519"/>
      <c r="V131" s="519"/>
      <c r="W131" s="519"/>
      <c r="X131" s="519"/>
      <c r="Y131" s="519"/>
      <c r="Z131" s="519"/>
      <c r="AA131" s="530" t="n">
        <v>10029</v>
      </c>
      <c r="AB131" s="519"/>
      <c r="AC131" s="519"/>
      <c r="AD131" s="519"/>
      <c r="AE131" s="519"/>
      <c r="AF131" s="519"/>
      <c r="AG131" s="519"/>
      <c r="AH131" s="530" t="n">
        <v>303578</v>
      </c>
      <c r="AI131" s="530" t="n">
        <v>262422</v>
      </c>
      <c r="AJ131" s="530" t="n">
        <v>566000</v>
      </c>
      <c r="AK131" s="530" t="n">
        <v>53141</v>
      </c>
      <c r="AL131" s="519"/>
      <c r="AM131" s="529" t="s">
        <v>11332</v>
      </c>
      <c r="AN131" s="1" t="e">
        <f aca="false">IF(AND($B131=Subj_OccCode,Subj_BldgSF&gt;0,ABS($J131-Subj_BldgSF)&lt;=Subj_BldgSF*Subj_SizeTol),ABS($J131-Subj_BldgSF),NA())</f>
        <v>#N/A</v>
      </c>
      <c r="AO131" s="1" t="e">
        <f aca="false">IF(ISNA(AN131),NA(),AN131+ROW()/10000000)</f>
        <v>#N/A</v>
      </c>
      <c r="AR131" s="290" t="str">
        <f aca="false">IF(B131="","",IFERROR(INDEX(OCC_TABLE_DESC,MATCH(B131,OCC_TABLE_CODE,0)),"Unrecognized code"))</f>
        <v>Office Building</v>
      </c>
    </row>
    <row r="132" customFormat="false" ht="12.75" hidden="false" customHeight="true" outlineLevel="0" collapsed="false">
      <c r="A132" s="519" t="s">
        <v>11021</v>
      </c>
      <c r="B132" s="508" t="n">
        <v>344</v>
      </c>
      <c r="C132" s="519" t="s">
        <v>11022</v>
      </c>
      <c r="D132" s="529" t="s">
        <v>11023</v>
      </c>
      <c r="E132" s="519" t="s">
        <v>1557</v>
      </c>
      <c r="F132" s="519" t="s">
        <v>10702</v>
      </c>
      <c r="G132" s="519" t="s">
        <v>10719</v>
      </c>
      <c r="H132" s="529" t="s">
        <v>11014</v>
      </c>
      <c r="I132" s="519"/>
      <c r="J132" s="519" t="n">
        <v>114843</v>
      </c>
      <c r="K132" s="519" t="n">
        <v>2024</v>
      </c>
      <c r="L132" s="519"/>
      <c r="M132" s="519"/>
      <c r="N132" s="530" t="n">
        <v>1353745</v>
      </c>
      <c r="O132" s="519"/>
      <c r="P132" s="519"/>
      <c r="Q132" s="519"/>
      <c r="R132" s="519"/>
      <c r="S132" s="519"/>
      <c r="T132" s="519"/>
      <c r="U132" s="519"/>
      <c r="V132" s="519"/>
      <c r="W132" s="519"/>
      <c r="X132" s="519"/>
      <c r="Y132" s="519"/>
      <c r="Z132" s="519"/>
      <c r="AA132" s="519"/>
      <c r="AB132" s="519"/>
      <c r="AC132" s="519"/>
      <c r="AD132" s="519"/>
      <c r="AE132" s="519"/>
      <c r="AF132" s="519"/>
      <c r="AG132" s="519"/>
      <c r="AH132" s="530" t="n">
        <v>1025000</v>
      </c>
      <c r="AI132" s="519"/>
      <c r="AJ132" s="530" t="n">
        <v>1287000</v>
      </c>
      <c r="AK132" s="530" t="n">
        <v>66677</v>
      </c>
      <c r="AL132" s="519"/>
      <c r="AM132" s="529" t="s">
        <v>11333</v>
      </c>
      <c r="AN132" s="1" t="e">
        <f aca="false">IF(AND($B132=Subj_OccCode,Subj_BldgSF&gt;0,ABS($J132-Subj_BldgSF)&lt;=Subj_BldgSF*Subj_SizeTol),ABS($J132-Subj_BldgSF),NA())</f>
        <v>#N/A</v>
      </c>
      <c r="AO132" s="1" t="e">
        <f aca="false">IF(ISNA(AN132),NA(),AN132+ROW()/10000000)</f>
        <v>#N/A</v>
      </c>
      <c r="AR132" s="290" t="str">
        <f aca="false">IF(B132="","",IFERROR(INDEX(OCC_TABLE_DESC,MATCH(B132,OCC_TABLE_CODE,0)),"Unrecognized code"))</f>
        <v>Office Building</v>
      </c>
    </row>
    <row r="133" customFormat="false" ht="25.5" hidden="false" customHeight="true" outlineLevel="0" collapsed="false">
      <c r="A133" s="519" t="s">
        <v>11025</v>
      </c>
      <c r="B133" s="508" t="n">
        <v>344</v>
      </c>
      <c r="C133" s="519" t="s">
        <v>11026</v>
      </c>
      <c r="D133" s="529" t="s">
        <v>11027</v>
      </c>
      <c r="E133" s="519" t="s">
        <v>4420</v>
      </c>
      <c r="F133" s="519" t="s">
        <v>10702</v>
      </c>
      <c r="G133" s="519" t="s">
        <v>10719</v>
      </c>
      <c r="H133" s="529" t="s">
        <v>11014</v>
      </c>
      <c r="I133" s="519"/>
      <c r="J133" s="519" t="n">
        <v>8218</v>
      </c>
      <c r="K133" s="519" t="n">
        <v>2023</v>
      </c>
      <c r="L133" s="530" t="n">
        <v>96674</v>
      </c>
      <c r="M133" s="519"/>
      <c r="N133" s="530" t="n">
        <v>109164</v>
      </c>
      <c r="O133" s="530" t="n">
        <v>2384</v>
      </c>
      <c r="P133" s="530" t="n">
        <v>5400</v>
      </c>
      <c r="Q133" s="519"/>
      <c r="R133" s="519"/>
      <c r="S133" s="519"/>
      <c r="T133" s="519"/>
      <c r="U133" s="519"/>
      <c r="V133" s="519"/>
      <c r="W133" s="519"/>
      <c r="X133" s="530" t="n">
        <v>18169</v>
      </c>
      <c r="Y133" s="530" t="n">
        <v>18169</v>
      </c>
      <c r="Z133" s="519"/>
      <c r="AA133" s="519"/>
      <c r="AB133" s="519"/>
      <c r="AC133" s="519"/>
      <c r="AD133" s="519"/>
      <c r="AE133" s="519"/>
      <c r="AF133" s="530" t="n">
        <v>12971</v>
      </c>
      <c r="AG133" s="530" t="n">
        <v>4012</v>
      </c>
      <c r="AH133" s="530" t="n">
        <v>39724</v>
      </c>
      <c r="AI133" s="530" t="n">
        <v>16276</v>
      </c>
      <c r="AJ133" s="530" t="n">
        <v>56000</v>
      </c>
      <c r="AK133" s="530" t="n">
        <v>53000</v>
      </c>
      <c r="AL133" s="519"/>
      <c r="AM133" s="529" t="s">
        <v>11334</v>
      </c>
      <c r="AN133" s="1" t="e">
        <f aca="false">IF(AND($B133=Subj_OccCode,Subj_BldgSF&gt;0,ABS($J133-Subj_BldgSF)&lt;=Subj_BldgSF*Subj_SizeTol),ABS($J133-Subj_BldgSF),NA())</f>
        <v>#N/A</v>
      </c>
      <c r="AO133" s="1" t="e">
        <f aca="false">IF(ISNA(AN133),NA(),AN133+ROW()/10000000)</f>
        <v>#N/A</v>
      </c>
      <c r="AR133" s="290" t="str">
        <f aca="false">IF(B133="","",IFERROR(INDEX(OCC_TABLE_DESC,MATCH(B133,OCC_TABLE_CODE,0)),"Unrecognized code"))</f>
        <v>Office Building</v>
      </c>
    </row>
    <row r="134" customFormat="false" ht="12.75" hidden="false" customHeight="true" outlineLevel="0" collapsed="false">
      <c r="A134" s="519" t="s">
        <v>11029</v>
      </c>
      <c r="B134" s="508" t="n">
        <v>344</v>
      </c>
      <c r="C134" s="519" t="s">
        <v>11030</v>
      </c>
      <c r="D134" s="529" t="s">
        <v>11031</v>
      </c>
      <c r="E134" s="519" t="s">
        <v>4743</v>
      </c>
      <c r="F134" s="519" t="s">
        <v>10702</v>
      </c>
      <c r="G134" s="519" t="s">
        <v>10719</v>
      </c>
      <c r="H134" s="529" t="s">
        <v>11014</v>
      </c>
      <c r="I134" s="519"/>
      <c r="J134" s="519"/>
      <c r="K134" s="519" t="n">
        <v>2023</v>
      </c>
      <c r="L134" s="530" t="n">
        <v>326779</v>
      </c>
      <c r="M134" s="519"/>
      <c r="N134" s="530" t="n">
        <v>315661</v>
      </c>
      <c r="O134" s="519"/>
      <c r="P134" s="519"/>
      <c r="Q134" s="519"/>
      <c r="R134" s="519"/>
      <c r="S134" s="519"/>
      <c r="T134" s="519"/>
      <c r="U134" s="519"/>
      <c r="V134" s="519"/>
      <c r="W134" s="519"/>
      <c r="X134" s="519"/>
      <c r="Y134" s="519"/>
      <c r="Z134" s="519"/>
      <c r="AA134" s="530" t="n">
        <v>16009</v>
      </c>
      <c r="AB134" s="519"/>
      <c r="AC134" s="519"/>
      <c r="AD134" s="519"/>
      <c r="AE134" s="519"/>
      <c r="AF134" s="519"/>
      <c r="AG134" s="519"/>
      <c r="AH134" s="530" t="n">
        <v>78034</v>
      </c>
      <c r="AI134" s="530" t="n">
        <v>66966</v>
      </c>
      <c r="AJ134" s="530" t="n">
        <v>145000</v>
      </c>
      <c r="AK134" s="530" t="n">
        <v>170661</v>
      </c>
      <c r="AL134" s="519"/>
      <c r="AM134" s="529" t="s">
        <v>11335</v>
      </c>
      <c r="AN134" s="1" t="e">
        <f aca="false">IF(AND($B134=Subj_OccCode,Subj_BldgSF&gt;0,ABS($J134-Subj_BldgSF)&lt;=Subj_BldgSF*Subj_SizeTol),ABS($J134-Subj_BldgSF),NA())</f>
        <v>#N/A</v>
      </c>
      <c r="AO134" s="1" t="e">
        <f aca="false">IF(ISNA(AN134),NA(),AN134+ROW()/10000000)</f>
        <v>#N/A</v>
      </c>
      <c r="AR134" s="290" t="str">
        <f aca="false">IF(B134="","",IFERROR(INDEX(OCC_TABLE_DESC,MATCH(B134,OCC_TABLE_CODE,0)),"Unrecognized code"))</f>
        <v>Office Building</v>
      </c>
    </row>
    <row r="135" customFormat="false" ht="12.75" hidden="false" customHeight="true" outlineLevel="0" collapsed="false">
      <c r="A135" s="519" t="s">
        <v>11029</v>
      </c>
      <c r="B135" s="508" t="n">
        <v>344</v>
      </c>
      <c r="C135" s="519" t="s">
        <v>11030</v>
      </c>
      <c r="D135" s="529" t="s">
        <v>11031</v>
      </c>
      <c r="E135" s="519" t="s">
        <v>4743</v>
      </c>
      <c r="F135" s="519" t="s">
        <v>10702</v>
      </c>
      <c r="G135" s="519" t="s">
        <v>10719</v>
      </c>
      <c r="H135" s="529" t="s">
        <v>11014</v>
      </c>
      <c r="I135" s="519"/>
      <c r="J135" s="519"/>
      <c r="K135" s="519" t="n">
        <v>2024</v>
      </c>
      <c r="L135" s="530" t="n">
        <v>357674</v>
      </c>
      <c r="M135" s="519"/>
      <c r="N135" s="530" t="n">
        <v>335977</v>
      </c>
      <c r="O135" s="530" t="n">
        <v>9791</v>
      </c>
      <c r="P135" s="530" t="n">
        <v>7884</v>
      </c>
      <c r="Q135" s="519"/>
      <c r="R135" s="519"/>
      <c r="S135" s="519"/>
      <c r="T135" s="519"/>
      <c r="U135" s="519"/>
      <c r="V135" s="519"/>
      <c r="W135" s="519"/>
      <c r="X135" s="530" t="n">
        <v>41510</v>
      </c>
      <c r="Y135" s="530" t="n">
        <v>41510</v>
      </c>
      <c r="Z135" s="519"/>
      <c r="AA135" s="530" t="n">
        <v>12092</v>
      </c>
      <c r="AB135" s="519"/>
      <c r="AC135" s="519"/>
      <c r="AD135" s="519"/>
      <c r="AE135" s="519"/>
      <c r="AF135" s="530" t="n">
        <v>9302</v>
      </c>
      <c r="AG135" s="530" t="n">
        <v>10772</v>
      </c>
      <c r="AH135" s="530" t="n">
        <v>109544</v>
      </c>
      <c r="AI135" s="530" t="n">
        <v>68307</v>
      </c>
      <c r="AJ135" s="530" t="n">
        <v>177851</v>
      </c>
      <c r="AK135" s="530" t="n">
        <v>158126</v>
      </c>
      <c r="AL135" s="519"/>
      <c r="AM135" s="529" t="s">
        <v>11336</v>
      </c>
      <c r="AN135" s="1" t="e">
        <f aca="false">IF(AND($B135=Subj_OccCode,Subj_BldgSF&gt;0,ABS($J135-Subj_BldgSF)&lt;=Subj_BldgSF*Subj_SizeTol),ABS($J135-Subj_BldgSF),NA())</f>
        <v>#N/A</v>
      </c>
      <c r="AO135" s="1" t="e">
        <f aca="false">IF(ISNA(AN135),NA(),AN135+ROW()/10000000)</f>
        <v>#N/A</v>
      </c>
      <c r="AR135" s="290" t="str">
        <f aca="false">IF(B135="","",IFERROR(INDEX(OCC_TABLE_DESC,MATCH(B135,OCC_TABLE_CODE,0)),"Unrecognized code"))</f>
        <v>Office Building</v>
      </c>
    </row>
    <row r="136" customFormat="false" ht="25.5" hidden="false" customHeight="true" outlineLevel="0" collapsed="false">
      <c r="A136" s="519" t="s">
        <v>11033</v>
      </c>
      <c r="B136" s="508" t="n">
        <v>344</v>
      </c>
      <c r="C136" s="519" t="s">
        <v>11034</v>
      </c>
      <c r="D136" s="529" t="s">
        <v>11035</v>
      </c>
      <c r="E136" s="519" t="s">
        <v>1557</v>
      </c>
      <c r="F136" s="519" t="s">
        <v>10702</v>
      </c>
      <c r="G136" s="519" t="s">
        <v>10719</v>
      </c>
      <c r="H136" s="529" t="s">
        <v>11036</v>
      </c>
      <c r="I136" s="519"/>
      <c r="J136" s="519" t="n">
        <v>41979</v>
      </c>
      <c r="K136" s="519" t="n">
        <v>2023</v>
      </c>
      <c r="L136" s="530" t="n">
        <v>975573</v>
      </c>
      <c r="M136" s="519"/>
      <c r="N136" s="530" t="n">
        <v>1351329</v>
      </c>
      <c r="O136" s="530" t="n">
        <v>30649</v>
      </c>
      <c r="P136" s="530" t="n">
        <v>86480</v>
      </c>
      <c r="Q136" s="519"/>
      <c r="R136" s="519"/>
      <c r="S136" s="519"/>
      <c r="T136" s="519"/>
      <c r="U136" s="519"/>
      <c r="V136" s="519"/>
      <c r="W136" s="519"/>
      <c r="X136" s="530" t="n">
        <v>136077</v>
      </c>
      <c r="Y136" s="530" t="n">
        <v>136077</v>
      </c>
      <c r="Z136" s="519"/>
      <c r="AA136" s="519"/>
      <c r="AB136" s="519"/>
      <c r="AC136" s="519"/>
      <c r="AD136" s="519"/>
      <c r="AE136" s="519"/>
      <c r="AF136" s="530" t="n">
        <v>144650</v>
      </c>
      <c r="AG136" s="530" t="n">
        <v>24922</v>
      </c>
      <c r="AH136" s="530" t="n">
        <v>422677</v>
      </c>
      <c r="AI136" s="530" t="n">
        <v>86236</v>
      </c>
      <c r="AJ136" s="530" t="n">
        <v>508913</v>
      </c>
      <c r="AK136" s="530" t="n">
        <v>842416</v>
      </c>
      <c r="AL136" s="519"/>
      <c r="AM136" s="529" t="s">
        <v>11337</v>
      </c>
      <c r="AN136" s="1" t="e">
        <f aca="false">IF(AND($B136=Subj_OccCode,Subj_BldgSF&gt;0,ABS($J136-Subj_BldgSF)&lt;=Subj_BldgSF*Subj_SizeTol),ABS($J136-Subj_BldgSF),NA())</f>
        <v>#N/A</v>
      </c>
      <c r="AO136" s="1" t="e">
        <f aca="false">IF(ISNA(AN136),NA(),AN136+ROW()/10000000)</f>
        <v>#N/A</v>
      </c>
      <c r="AR136" s="290" t="str">
        <f aca="false">IF(B136="","",IFERROR(INDEX(OCC_TABLE_DESC,MATCH(B136,OCC_TABLE_CODE,0)),"Unrecognized code"))</f>
        <v>Office Building</v>
      </c>
    </row>
    <row r="137" customFormat="false" ht="25.5" hidden="false" customHeight="true" outlineLevel="0" collapsed="false">
      <c r="A137" s="519" t="s">
        <v>11033</v>
      </c>
      <c r="B137" s="508" t="n">
        <v>344</v>
      </c>
      <c r="C137" s="519" t="s">
        <v>11034</v>
      </c>
      <c r="D137" s="529" t="s">
        <v>11035</v>
      </c>
      <c r="E137" s="519" t="s">
        <v>1557</v>
      </c>
      <c r="F137" s="519" t="s">
        <v>10702</v>
      </c>
      <c r="G137" s="519" t="s">
        <v>10719</v>
      </c>
      <c r="H137" s="529" t="s">
        <v>11036</v>
      </c>
      <c r="I137" s="519"/>
      <c r="J137" s="519" t="n">
        <v>41979</v>
      </c>
      <c r="K137" s="519" t="n">
        <v>2024</v>
      </c>
      <c r="L137" s="530" t="n">
        <v>858704</v>
      </c>
      <c r="M137" s="519"/>
      <c r="N137" s="530" t="n">
        <v>1393201</v>
      </c>
      <c r="O137" s="530" t="n">
        <v>34798</v>
      </c>
      <c r="P137" s="530" t="n">
        <v>89439</v>
      </c>
      <c r="Q137" s="519"/>
      <c r="R137" s="519"/>
      <c r="S137" s="519"/>
      <c r="T137" s="519"/>
      <c r="U137" s="519"/>
      <c r="V137" s="519"/>
      <c r="W137" s="519"/>
      <c r="X137" s="530" t="n">
        <v>116522</v>
      </c>
      <c r="Y137" s="530" t="n">
        <v>116522</v>
      </c>
      <c r="Z137" s="519"/>
      <c r="AA137" s="519"/>
      <c r="AB137" s="519"/>
      <c r="AC137" s="519"/>
      <c r="AD137" s="519"/>
      <c r="AE137" s="519"/>
      <c r="AF137" s="530" t="n">
        <v>150007</v>
      </c>
      <c r="AG137" s="530" t="n">
        <v>29708</v>
      </c>
      <c r="AH137" s="530" t="n">
        <v>425475</v>
      </c>
      <c r="AI137" s="530" t="n">
        <v>86738</v>
      </c>
      <c r="AJ137" s="530" t="n">
        <v>512213</v>
      </c>
      <c r="AK137" s="530" t="n">
        <v>880988</v>
      </c>
      <c r="AL137" s="519"/>
      <c r="AM137" s="529" t="s">
        <v>11337</v>
      </c>
      <c r="AN137" s="1" t="e">
        <f aca="false">IF(AND($B137=Subj_OccCode,Subj_BldgSF&gt;0,ABS($J137-Subj_BldgSF)&lt;=Subj_BldgSF*Subj_SizeTol),ABS($J137-Subj_BldgSF),NA())</f>
        <v>#N/A</v>
      </c>
      <c r="AO137" s="1" t="e">
        <f aca="false">IF(ISNA(AN137),NA(),AN137+ROW()/10000000)</f>
        <v>#N/A</v>
      </c>
      <c r="AR137" s="290" t="str">
        <f aca="false">IF(B137="","",IFERROR(INDEX(OCC_TABLE_DESC,MATCH(B137,OCC_TABLE_CODE,0)),"Unrecognized code"))</f>
        <v>Office Building</v>
      </c>
    </row>
    <row r="138" customFormat="false" ht="25.5" hidden="false" customHeight="true" outlineLevel="0" collapsed="false">
      <c r="A138" s="519" t="s">
        <v>11038</v>
      </c>
      <c r="B138" s="508" t="n">
        <v>210</v>
      </c>
      <c r="C138" s="519" t="s">
        <v>11039</v>
      </c>
      <c r="D138" s="529" t="s">
        <v>11040</v>
      </c>
      <c r="E138" s="519" t="s">
        <v>4420</v>
      </c>
      <c r="F138" s="519" t="s">
        <v>10702</v>
      </c>
      <c r="G138" s="519" t="s">
        <v>11041</v>
      </c>
      <c r="H138" s="529" t="s">
        <v>11042</v>
      </c>
      <c r="I138" s="519"/>
      <c r="J138" s="519" t="n">
        <v>278538</v>
      </c>
      <c r="K138" s="519" t="n">
        <v>2023</v>
      </c>
      <c r="L138" s="530" t="n">
        <v>1636029</v>
      </c>
      <c r="M138" s="519"/>
      <c r="N138" s="530" t="n">
        <v>1610567</v>
      </c>
      <c r="O138" s="530" t="n">
        <v>5093</v>
      </c>
      <c r="P138" s="530" t="n">
        <v>21945</v>
      </c>
      <c r="Q138" s="519"/>
      <c r="R138" s="519"/>
      <c r="S138" s="519"/>
      <c r="T138" s="519"/>
      <c r="U138" s="519"/>
      <c r="V138" s="519"/>
      <c r="W138" s="519"/>
      <c r="X138" s="530" t="n">
        <v>256338</v>
      </c>
      <c r="Y138" s="530" t="n">
        <v>256338</v>
      </c>
      <c r="Z138" s="519"/>
      <c r="AA138" s="530" t="n">
        <v>58025</v>
      </c>
      <c r="AB138" s="530" t="n">
        <v>3239</v>
      </c>
      <c r="AC138" s="530" t="n">
        <v>61264</v>
      </c>
      <c r="AD138" s="519"/>
      <c r="AE138" s="519"/>
      <c r="AF138" s="530" t="n">
        <v>31915</v>
      </c>
      <c r="AG138" s="519"/>
      <c r="AH138" s="530" t="n">
        <v>375619</v>
      </c>
      <c r="AI138" s="530" t="n">
        <v>0</v>
      </c>
      <c r="AJ138" s="530" t="n">
        <v>375619</v>
      </c>
      <c r="AK138" s="530" t="n">
        <v>76629</v>
      </c>
      <c r="AL138" s="519"/>
      <c r="AM138" s="529" t="s">
        <v>11338</v>
      </c>
      <c r="AN138" s="1" t="e">
        <f aca="false">IF(AND($B138=Subj_OccCode,Subj_BldgSF&gt;0,ABS($J138-Subj_BldgSF)&lt;=Subj_BldgSF*Subj_SizeTol),ABS($J138-Subj_BldgSF),NA())</f>
        <v>#N/A</v>
      </c>
      <c r="AO138" s="1" t="e">
        <f aca="false">IF(ISNA(AN138),NA(),AN138+ROW()/10000000)</f>
        <v>#N/A</v>
      </c>
      <c r="AR138" s="290" t="str">
        <f aca="false">IF(B138="","",IFERROR(INDEX(OCC_TABLE_DESC,MATCH(B138,OCC_TABLE_CODE,0)),"Unrecognized code"))</f>
        <v>Industrial Flex Mall Building</v>
      </c>
    </row>
    <row r="139" customFormat="false" ht="12.75" hidden="false" customHeight="true" outlineLevel="0" collapsed="false">
      <c r="A139" s="519" t="s">
        <v>11038</v>
      </c>
      <c r="B139" s="508" t="n">
        <v>210</v>
      </c>
      <c r="C139" s="519" t="s">
        <v>11039</v>
      </c>
      <c r="D139" s="529" t="s">
        <v>11040</v>
      </c>
      <c r="E139" s="519" t="s">
        <v>4420</v>
      </c>
      <c r="F139" s="519" t="s">
        <v>10702</v>
      </c>
      <c r="G139" s="519" t="s">
        <v>11041</v>
      </c>
      <c r="H139" s="529" t="s">
        <v>11042</v>
      </c>
      <c r="I139" s="519"/>
      <c r="J139" s="519" t="n">
        <v>278538</v>
      </c>
      <c r="K139" s="519" t="n">
        <v>2024</v>
      </c>
      <c r="L139" s="530" t="n">
        <v>1520916</v>
      </c>
      <c r="M139" s="519"/>
      <c r="N139" s="530" t="n">
        <v>1520916</v>
      </c>
      <c r="O139" s="530" t="n">
        <v>8912</v>
      </c>
      <c r="P139" s="530" t="n">
        <v>25573</v>
      </c>
      <c r="Q139" s="519"/>
      <c r="R139" s="519"/>
      <c r="S139" s="519"/>
      <c r="T139" s="519"/>
      <c r="U139" s="519"/>
      <c r="V139" s="519"/>
      <c r="W139" s="519"/>
      <c r="X139" s="530" t="n">
        <v>125263</v>
      </c>
      <c r="Y139" s="530" t="n">
        <v>125263</v>
      </c>
      <c r="Z139" s="519"/>
      <c r="AA139" s="530" t="n">
        <v>58025</v>
      </c>
      <c r="AB139" s="530" t="n">
        <v>9957</v>
      </c>
      <c r="AC139" s="530" t="n">
        <v>67982</v>
      </c>
      <c r="AD139" s="519"/>
      <c r="AE139" s="519"/>
      <c r="AF139" s="530" t="n">
        <v>31915</v>
      </c>
      <c r="AG139" s="519"/>
      <c r="AH139" s="530" t="n">
        <v>259645</v>
      </c>
      <c r="AI139" s="530" t="n">
        <v>0</v>
      </c>
      <c r="AJ139" s="530" t="n">
        <v>259645</v>
      </c>
      <c r="AK139" s="530" t="n">
        <v>93985</v>
      </c>
      <c r="AL139" s="519"/>
      <c r="AM139" s="529" t="s">
        <v>11339</v>
      </c>
      <c r="AN139" s="1" t="e">
        <f aca="false">IF(AND($B139=Subj_OccCode,Subj_BldgSF&gt;0,ABS($J139-Subj_BldgSF)&lt;=Subj_BldgSF*Subj_SizeTol),ABS($J139-Subj_BldgSF),NA())</f>
        <v>#N/A</v>
      </c>
      <c r="AO139" s="1" t="e">
        <f aca="false">IF(ISNA(AN139),NA(),AN139+ROW()/10000000)</f>
        <v>#N/A</v>
      </c>
      <c r="AR139" s="290" t="str">
        <f aca="false">IF(B139="","",IFERROR(INDEX(OCC_TABLE_DESC,MATCH(B139,OCC_TABLE_CODE,0)),"Unrecognized code"))</f>
        <v>Industrial Flex Mall Building</v>
      </c>
    </row>
    <row r="140" customFormat="false" ht="25.5" hidden="false" customHeight="true" outlineLevel="0" collapsed="false">
      <c r="A140" s="519" t="s">
        <v>11044</v>
      </c>
      <c r="B140" s="508" t="n">
        <v>210</v>
      </c>
      <c r="C140" s="519" t="s">
        <v>11045</v>
      </c>
      <c r="D140" s="529" t="s">
        <v>11340</v>
      </c>
      <c r="E140" s="519" t="s">
        <v>4743</v>
      </c>
      <c r="F140" s="519" t="s">
        <v>10702</v>
      </c>
      <c r="G140" s="519" t="s">
        <v>2692</v>
      </c>
      <c r="H140" s="529" t="s">
        <v>10851</v>
      </c>
      <c r="I140" s="519"/>
      <c r="J140" s="519"/>
      <c r="K140" s="519" t="n">
        <v>2024</v>
      </c>
      <c r="L140" s="530" t="n">
        <v>693913</v>
      </c>
      <c r="M140" s="519"/>
      <c r="N140" s="530" t="n">
        <v>1038740</v>
      </c>
      <c r="O140" s="530" t="n">
        <v>10142</v>
      </c>
      <c r="P140" s="530" t="n">
        <v>11589</v>
      </c>
      <c r="Q140" s="519"/>
      <c r="R140" s="519"/>
      <c r="S140" s="530" t="n">
        <v>10801</v>
      </c>
      <c r="T140" s="530" t="n">
        <v>2121</v>
      </c>
      <c r="U140" s="519"/>
      <c r="V140" s="519"/>
      <c r="W140" s="519"/>
      <c r="X140" s="530" t="n">
        <v>1602</v>
      </c>
      <c r="Y140" s="530" t="n">
        <v>14524</v>
      </c>
      <c r="Z140" s="519"/>
      <c r="AA140" s="530" t="n">
        <v>10822</v>
      </c>
      <c r="AB140" s="530" t="n">
        <v>32162</v>
      </c>
      <c r="AC140" s="530" t="n">
        <v>3096</v>
      </c>
      <c r="AD140" s="530" t="n">
        <v>10863</v>
      </c>
      <c r="AE140" s="519"/>
      <c r="AF140" s="530" t="n">
        <v>10863</v>
      </c>
      <c r="AG140" s="519"/>
      <c r="AH140" s="530" t="n">
        <v>103843</v>
      </c>
      <c r="AI140" s="530" t="n">
        <v>285245</v>
      </c>
      <c r="AJ140" s="530" t="n">
        <v>389088</v>
      </c>
      <c r="AK140" s="530" t="n">
        <v>649652</v>
      </c>
      <c r="AL140" s="519"/>
      <c r="AM140" s="529" t="s">
        <v>11341</v>
      </c>
      <c r="AN140" s="1" t="e">
        <f aca="false">IF(AND($B140=Subj_OccCode,Subj_BldgSF&gt;0,ABS($J140-Subj_BldgSF)&lt;=Subj_BldgSF*Subj_SizeTol),ABS($J140-Subj_BldgSF),NA())</f>
        <v>#N/A</v>
      </c>
      <c r="AO140" s="1" t="e">
        <f aca="false">IF(ISNA(AN140),NA(),AN140+ROW()/10000000)</f>
        <v>#N/A</v>
      </c>
      <c r="AR140" s="290" t="str">
        <f aca="false">IF(B140="","",IFERROR(INDEX(OCC_TABLE_DESC,MATCH(B140,OCC_TABLE_CODE,0)),"Unrecognized code"))</f>
        <v>Industrial Flex Mall Building</v>
      </c>
    </row>
    <row r="141" customFormat="false" ht="25.5" hidden="false" customHeight="true" outlineLevel="0" collapsed="false">
      <c r="A141" s="519" t="s">
        <v>11044</v>
      </c>
      <c r="B141" s="508" t="n">
        <v>210</v>
      </c>
      <c r="C141" s="519" t="s">
        <v>11045</v>
      </c>
      <c r="D141" s="529" t="s">
        <v>11340</v>
      </c>
      <c r="E141" s="519" t="s">
        <v>4743</v>
      </c>
      <c r="F141" s="519" t="s">
        <v>10702</v>
      </c>
      <c r="G141" s="519" t="s">
        <v>2692</v>
      </c>
      <c r="H141" s="529" t="s">
        <v>10851</v>
      </c>
      <c r="I141" s="519"/>
      <c r="J141" s="519"/>
      <c r="K141" s="519" t="n">
        <v>2023</v>
      </c>
      <c r="L141" s="530" t="n">
        <v>636291</v>
      </c>
      <c r="M141" s="519"/>
      <c r="N141" s="530" t="n">
        <v>1062200</v>
      </c>
      <c r="O141" s="530" t="n">
        <v>7751</v>
      </c>
      <c r="P141" s="530" t="n">
        <v>9831</v>
      </c>
      <c r="Q141" s="519"/>
      <c r="R141" s="519"/>
      <c r="S141" s="530" t="n">
        <v>6802</v>
      </c>
      <c r="T141" s="530" t="n">
        <v>2340</v>
      </c>
      <c r="U141" s="519"/>
      <c r="V141" s="519"/>
      <c r="W141" s="519"/>
      <c r="X141" s="530" t="n">
        <v>1498</v>
      </c>
      <c r="Y141" s="530" t="n">
        <v>10640</v>
      </c>
      <c r="Z141" s="519"/>
      <c r="AA141" s="530" t="n">
        <v>12695</v>
      </c>
      <c r="AB141" s="530" t="n">
        <v>15327</v>
      </c>
      <c r="AC141" s="530" t="n">
        <v>3871</v>
      </c>
      <c r="AD141" s="530" t="n">
        <v>18104</v>
      </c>
      <c r="AE141" s="519"/>
      <c r="AF141" s="530" t="n">
        <v>18104</v>
      </c>
      <c r="AG141" s="519"/>
      <c r="AH141" s="530" t="n">
        <v>93172</v>
      </c>
      <c r="AI141" s="530" t="n">
        <v>284308</v>
      </c>
      <c r="AJ141" s="530" t="n">
        <v>377480</v>
      </c>
      <c r="AK141" s="530" t="n">
        <v>684720</v>
      </c>
      <c r="AL141" s="519"/>
      <c r="AM141" s="529" t="s">
        <v>11342</v>
      </c>
      <c r="AN141" s="1" t="e">
        <f aca="false">IF(AND($B141=Subj_OccCode,Subj_BldgSF&gt;0,ABS($J141-Subj_BldgSF)&lt;=Subj_BldgSF*Subj_SizeTol),ABS($J141-Subj_BldgSF),NA())</f>
        <v>#N/A</v>
      </c>
      <c r="AO141" s="1" t="e">
        <f aca="false">IF(ISNA(AN141),NA(),AN141+ROW()/10000000)</f>
        <v>#N/A</v>
      </c>
      <c r="AR141" s="290" t="str">
        <f aca="false">IF(B141="","",IFERROR(INDEX(OCC_TABLE_DESC,MATCH(B141,OCC_TABLE_CODE,0)),"Unrecognized code"))</f>
        <v>Industrial Flex Mall Building</v>
      </c>
    </row>
    <row r="142" customFormat="false" ht="12.75" hidden="false" customHeight="true" outlineLevel="0" collapsed="false">
      <c r="A142" s="519" t="s">
        <v>11050</v>
      </c>
      <c r="B142" s="508" t="n">
        <v>210</v>
      </c>
      <c r="C142" s="519" t="s">
        <v>11051</v>
      </c>
      <c r="D142" s="529" t="s">
        <v>11343</v>
      </c>
      <c r="E142" s="519" t="s">
        <v>4743</v>
      </c>
      <c r="F142" s="519" t="s">
        <v>10702</v>
      </c>
      <c r="G142" s="519" t="s">
        <v>2692</v>
      </c>
      <c r="H142" s="529" t="s">
        <v>10851</v>
      </c>
      <c r="I142" s="519"/>
      <c r="J142" s="519"/>
      <c r="K142" s="519" t="n">
        <v>2024</v>
      </c>
      <c r="L142" s="530" t="n">
        <v>559154</v>
      </c>
      <c r="M142" s="519"/>
      <c r="N142" s="530" t="n">
        <v>904777</v>
      </c>
      <c r="O142" s="530" t="n">
        <v>9318</v>
      </c>
      <c r="P142" s="530" t="n">
        <v>8966</v>
      </c>
      <c r="Q142" s="519"/>
      <c r="R142" s="519"/>
      <c r="S142" s="530" t="n">
        <v>5962</v>
      </c>
      <c r="T142" s="530" t="n">
        <v>2221</v>
      </c>
      <c r="U142" s="530" t="n">
        <v>2465</v>
      </c>
      <c r="V142" s="519"/>
      <c r="W142" s="519"/>
      <c r="X142" s="530" t="n">
        <v>1589</v>
      </c>
      <c r="Y142" s="530" t="n">
        <v>12237</v>
      </c>
      <c r="Z142" s="519"/>
      <c r="AA142" s="530" t="n">
        <v>11302</v>
      </c>
      <c r="AB142" s="530" t="n">
        <v>32413</v>
      </c>
      <c r="AC142" s="530" t="n">
        <v>3096</v>
      </c>
      <c r="AD142" s="530" t="n">
        <v>23773</v>
      </c>
      <c r="AE142" s="519"/>
      <c r="AF142" s="530" t="n">
        <v>23773</v>
      </c>
      <c r="AG142" s="519"/>
      <c r="AH142" s="530" t="n">
        <v>130296</v>
      </c>
      <c r="AI142" s="530" t="n">
        <v>265848</v>
      </c>
      <c r="AJ142" s="530" t="n">
        <v>396144</v>
      </c>
      <c r="AK142" s="530" t="n">
        <v>508633</v>
      </c>
      <c r="AL142" s="519"/>
      <c r="AM142" s="529" t="s">
        <v>11344</v>
      </c>
      <c r="AN142" s="1" t="e">
        <f aca="false">IF(AND($B142=Subj_OccCode,Subj_BldgSF&gt;0,ABS($J142-Subj_BldgSF)&lt;=Subj_BldgSF*Subj_SizeTol),ABS($J142-Subj_BldgSF),NA())</f>
        <v>#N/A</v>
      </c>
      <c r="AO142" s="1" t="e">
        <f aca="false">IF(ISNA(AN142),NA(),AN142+ROW()/10000000)</f>
        <v>#N/A</v>
      </c>
      <c r="AR142" s="290" t="str">
        <f aca="false">IF(B142="","",IFERROR(INDEX(OCC_TABLE_DESC,MATCH(B142,OCC_TABLE_CODE,0)),"Unrecognized code"))</f>
        <v>Industrial Flex Mall Building</v>
      </c>
    </row>
    <row r="143" customFormat="false" ht="12.75" hidden="false" customHeight="true" outlineLevel="0" collapsed="false">
      <c r="A143" s="519" t="s">
        <v>11050</v>
      </c>
      <c r="B143" s="508" t="n">
        <v>210</v>
      </c>
      <c r="C143" s="519" t="s">
        <v>11051</v>
      </c>
      <c r="D143" s="529" t="s">
        <v>11343</v>
      </c>
      <c r="E143" s="519" t="s">
        <v>4743</v>
      </c>
      <c r="F143" s="519" t="s">
        <v>10702</v>
      </c>
      <c r="G143" s="519" t="s">
        <v>2692</v>
      </c>
      <c r="H143" s="529" t="s">
        <v>10851</v>
      </c>
      <c r="I143" s="519"/>
      <c r="J143" s="519"/>
      <c r="K143" s="519" t="n">
        <v>2023</v>
      </c>
      <c r="L143" s="530" t="n">
        <v>671895</v>
      </c>
      <c r="M143" s="519"/>
      <c r="N143" s="530" t="n">
        <v>1034507</v>
      </c>
      <c r="O143" s="530" t="n">
        <v>7124</v>
      </c>
      <c r="P143" s="530" t="n">
        <v>9660</v>
      </c>
      <c r="Q143" s="519"/>
      <c r="R143" s="519"/>
      <c r="S143" s="530" t="n">
        <v>5338</v>
      </c>
      <c r="T143" s="530" t="n">
        <v>2480</v>
      </c>
      <c r="U143" s="530" t="n">
        <v>875</v>
      </c>
      <c r="V143" s="519"/>
      <c r="W143" s="519"/>
      <c r="X143" s="530" t="n">
        <v>1484</v>
      </c>
      <c r="Y143" s="530" t="n">
        <v>10177</v>
      </c>
      <c r="Z143" s="519"/>
      <c r="AA143" s="530" t="n">
        <v>8120</v>
      </c>
      <c r="AB143" s="530" t="n">
        <v>15088</v>
      </c>
      <c r="AC143" s="530" t="n">
        <v>3871</v>
      </c>
      <c r="AD143" s="530" t="n">
        <v>13983</v>
      </c>
      <c r="AE143" s="519"/>
      <c r="AF143" s="530" t="n">
        <v>13983</v>
      </c>
      <c r="AG143" s="519"/>
      <c r="AH143" s="530" t="n">
        <v>29277</v>
      </c>
      <c r="AI143" s="530" t="n">
        <v>265936</v>
      </c>
      <c r="AJ143" s="530" t="n">
        <v>295213</v>
      </c>
      <c r="AK143" s="530" t="n">
        <v>739294</v>
      </c>
      <c r="AL143" s="519"/>
      <c r="AM143" s="529" t="s">
        <v>11344</v>
      </c>
      <c r="AN143" s="1" t="e">
        <f aca="false">IF(AND($B143=Subj_OccCode,Subj_BldgSF&gt;0,ABS($J143-Subj_BldgSF)&lt;=Subj_BldgSF*Subj_SizeTol),ABS($J143-Subj_BldgSF),NA())</f>
        <v>#N/A</v>
      </c>
      <c r="AO143" s="1" t="e">
        <f aca="false">IF(ISNA(AN143),NA(),AN143+ROW()/10000000)</f>
        <v>#N/A</v>
      </c>
      <c r="AR143" s="290" t="str">
        <f aca="false">IF(B143="","",IFERROR(INDEX(OCC_TABLE_DESC,MATCH(B143,OCC_TABLE_CODE,0)),"Unrecognized code"))</f>
        <v>Industrial Flex Mall Building</v>
      </c>
    </row>
    <row r="144" customFormat="false" ht="25.5" hidden="false" customHeight="true" outlineLevel="0" collapsed="false">
      <c r="A144" s="519" t="s">
        <v>11054</v>
      </c>
      <c r="B144" s="508" t="n">
        <v>210</v>
      </c>
      <c r="C144" s="519" t="s">
        <v>11055</v>
      </c>
      <c r="D144" s="529" t="s">
        <v>11345</v>
      </c>
      <c r="E144" s="519" t="s">
        <v>4743</v>
      </c>
      <c r="F144" s="519" t="s">
        <v>10702</v>
      </c>
      <c r="G144" s="519" t="s">
        <v>2692</v>
      </c>
      <c r="H144" s="529" t="s">
        <v>10851</v>
      </c>
      <c r="I144" s="519"/>
      <c r="J144" s="519"/>
      <c r="K144" s="519" t="n">
        <v>2023</v>
      </c>
      <c r="L144" s="530" t="n">
        <v>633240</v>
      </c>
      <c r="M144" s="519"/>
      <c r="N144" s="530" t="n">
        <v>1026818</v>
      </c>
      <c r="O144" s="530" t="n">
        <v>6101</v>
      </c>
      <c r="P144" s="530" t="n">
        <v>8518</v>
      </c>
      <c r="Q144" s="519"/>
      <c r="R144" s="519"/>
      <c r="S144" s="530" t="n">
        <v>32990</v>
      </c>
      <c r="T144" s="530" t="n">
        <v>1965</v>
      </c>
      <c r="U144" s="519"/>
      <c r="V144" s="519"/>
      <c r="W144" s="519"/>
      <c r="X144" s="530" t="n">
        <v>1498</v>
      </c>
      <c r="Y144" s="530" t="n">
        <v>34453</v>
      </c>
      <c r="Z144" s="519"/>
      <c r="AA144" s="530" t="n">
        <v>11861</v>
      </c>
      <c r="AB144" s="530" t="n">
        <v>15620</v>
      </c>
      <c r="AC144" s="530" t="n">
        <v>3871</v>
      </c>
      <c r="AD144" s="530" t="n">
        <v>5672</v>
      </c>
      <c r="AE144" s="530" t="n">
        <v>3430</v>
      </c>
      <c r="AF144" s="530" t="n">
        <v>9102</v>
      </c>
      <c r="AG144" s="519"/>
      <c r="AH144" s="530" t="n">
        <v>107544</v>
      </c>
      <c r="AI144" s="530" t="n">
        <v>284308</v>
      </c>
      <c r="AJ144" s="530" t="n">
        <v>391852</v>
      </c>
      <c r="AK144" s="530" t="n">
        <v>634966</v>
      </c>
      <c r="AL144" s="519"/>
      <c r="AM144" s="529" t="s">
        <v>11346</v>
      </c>
      <c r="AN144" s="1" t="e">
        <f aca="false">IF(AND($B144=Subj_OccCode,Subj_BldgSF&gt;0,ABS($J144-Subj_BldgSF)&lt;=Subj_BldgSF*Subj_SizeTol),ABS($J144-Subj_BldgSF),NA())</f>
        <v>#N/A</v>
      </c>
      <c r="AO144" s="1" t="e">
        <f aca="false">IF(ISNA(AN144),NA(),AN144+ROW()/10000000)</f>
        <v>#N/A</v>
      </c>
      <c r="AR144" s="290" t="str">
        <f aca="false">IF(B144="","",IFERROR(INDEX(OCC_TABLE_DESC,MATCH(B144,OCC_TABLE_CODE,0)),"Unrecognized code"))</f>
        <v>Industrial Flex Mall Building</v>
      </c>
    </row>
    <row r="145" customFormat="false" ht="12.75" hidden="false" customHeight="true" outlineLevel="0" collapsed="false">
      <c r="A145" s="519" t="s">
        <v>11058</v>
      </c>
      <c r="B145" s="508" t="n">
        <v>210</v>
      </c>
      <c r="C145" s="519" t="s">
        <v>11059</v>
      </c>
      <c r="D145" s="529" t="s">
        <v>11060</v>
      </c>
      <c r="E145" s="519" t="s">
        <v>4743</v>
      </c>
      <c r="F145" s="519" t="s">
        <v>10702</v>
      </c>
      <c r="G145" s="519" t="s">
        <v>2692</v>
      </c>
      <c r="H145" s="529" t="s">
        <v>10851</v>
      </c>
      <c r="I145" s="519"/>
      <c r="J145" s="519"/>
      <c r="K145" s="519" t="n">
        <v>2024</v>
      </c>
      <c r="L145" s="530" t="n">
        <v>318721</v>
      </c>
      <c r="M145" s="519"/>
      <c r="N145" s="530" t="n">
        <v>578332</v>
      </c>
      <c r="O145" s="530" t="n">
        <v>7156</v>
      </c>
      <c r="P145" s="530" t="n">
        <v>5471</v>
      </c>
      <c r="Q145" s="519"/>
      <c r="R145" s="519"/>
      <c r="S145" s="530" t="n">
        <v>8874</v>
      </c>
      <c r="T145" s="530" t="n">
        <v>1655</v>
      </c>
      <c r="U145" s="519"/>
      <c r="V145" s="519"/>
      <c r="W145" s="519"/>
      <c r="X145" s="530" t="n">
        <v>1556</v>
      </c>
      <c r="Y145" s="530" t="n">
        <v>12085</v>
      </c>
      <c r="Z145" s="519"/>
      <c r="AA145" s="530" t="n">
        <v>9686</v>
      </c>
      <c r="AB145" s="530" t="n">
        <v>20653</v>
      </c>
      <c r="AC145" s="530" t="n">
        <v>6987</v>
      </c>
      <c r="AD145" s="530" t="n">
        <v>10547</v>
      </c>
      <c r="AE145" s="530" t="n">
        <v>1600</v>
      </c>
      <c r="AF145" s="530" t="n">
        <v>12147</v>
      </c>
      <c r="AG145" s="519"/>
      <c r="AH145" s="530" t="n">
        <v>91002</v>
      </c>
      <c r="AI145" s="530" t="n">
        <v>204010</v>
      </c>
      <c r="AJ145" s="530" t="n">
        <v>295012</v>
      </c>
      <c r="AK145" s="530" t="n">
        <v>283320</v>
      </c>
      <c r="AL145" s="519"/>
      <c r="AM145" s="529" t="s">
        <v>11344</v>
      </c>
      <c r="AN145" s="1" t="e">
        <f aca="false">IF(AND($B145=Subj_OccCode,Subj_BldgSF&gt;0,ABS($J145-Subj_BldgSF)&lt;=Subj_BldgSF*Subj_SizeTol),ABS($J145-Subj_BldgSF),NA())</f>
        <v>#N/A</v>
      </c>
      <c r="AO145" s="1" t="e">
        <f aca="false">IF(ISNA(AN145),NA(),AN145+ROW()/10000000)</f>
        <v>#N/A</v>
      </c>
      <c r="AR145" s="290" t="str">
        <f aca="false">IF(B145="","",IFERROR(INDEX(OCC_TABLE_DESC,MATCH(B145,OCC_TABLE_CODE,0)),"Unrecognized code"))</f>
        <v>Industrial Flex Mall Building</v>
      </c>
    </row>
    <row r="146" customFormat="false" ht="12.75" hidden="false" customHeight="true" outlineLevel="0" collapsed="false">
      <c r="A146" s="519" t="s">
        <v>11058</v>
      </c>
      <c r="B146" s="508" t="n">
        <v>210</v>
      </c>
      <c r="C146" s="519" t="s">
        <v>11059</v>
      </c>
      <c r="D146" s="529" t="s">
        <v>11060</v>
      </c>
      <c r="E146" s="519" t="s">
        <v>4743</v>
      </c>
      <c r="F146" s="519" t="s">
        <v>10702</v>
      </c>
      <c r="G146" s="519" t="s">
        <v>2692</v>
      </c>
      <c r="H146" s="529" t="s">
        <v>10851</v>
      </c>
      <c r="I146" s="519"/>
      <c r="J146" s="519"/>
      <c r="K146" s="519" t="n">
        <v>2023</v>
      </c>
      <c r="L146" s="530" t="n">
        <v>394581</v>
      </c>
      <c r="M146" s="519"/>
      <c r="N146" s="530" t="n">
        <v>671481</v>
      </c>
      <c r="O146" s="530" t="n">
        <v>6075</v>
      </c>
      <c r="P146" s="530" t="n">
        <v>5987</v>
      </c>
      <c r="Q146" s="519"/>
      <c r="R146" s="519"/>
      <c r="S146" s="530" t="n">
        <v>7762</v>
      </c>
      <c r="T146" s="530" t="n">
        <v>1575</v>
      </c>
      <c r="U146" s="519"/>
      <c r="V146" s="519"/>
      <c r="W146" s="519"/>
      <c r="X146" s="530" t="n">
        <v>1452</v>
      </c>
      <c r="Y146" s="530" t="n">
        <v>10789</v>
      </c>
      <c r="Z146" s="519"/>
      <c r="AA146" s="530" t="n">
        <v>11249</v>
      </c>
      <c r="AB146" s="530" t="n">
        <v>12318</v>
      </c>
      <c r="AC146" s="530" t="n">
        <v>6967</v>
      </c>
      <c r="AD146" s="530" t="n">
        <v>11424</v>
      </c>
      <c r="AE146" s="530" t="n">
        <v>1898</v>
      </c>
      <c r="AF146" s="530" t="n">
        <v>13322</v>
      </c>
      <c r="AG146" s="519"/>
      <c r="AH146" s="530" t="n">
        <v>37127</v>
      </c>
      <c r="AI146" s="530" t="n">
        <v>204497</v>
      </c>
      <c r="AJ146" s="530" t="n">
        <v>241624</v>
      </c>
      <c r="AK146" s="530" t="n">
        <v>429857</v>
      </c>
      <c r="AL146" s="519"/>
      <c r="AM146" s="529" t="s">
        <v>11344</v>
      </c>
      <c r="AN146" s="1" t="e">
        <f aca="false">IF(AND($B146=Subj_OccCode,Subj_BldgSF&gt;0,ABS($J146-Subj_BldgSF)&lt;=Subj_BldgSF*Subj_SizeTol),ABS($J146-Subj_BldgSF),NA())</f>
        <v>#N/A</v>
      </c>
      <c r="AO146" s="1" t="e">
        <f aca="false">IF(ISNA(AN146),NA(),AN146+ROW()/10000000)</f>
        <v>#N/A</v>
      </c>
      <c r="AR146" s="290" t="str">
        <f aca="false">IF(B146="","",IFERROR(INDEX(OCC_TABLE_DESC,MATCH(B146,OCC_TABLE_CODE,0)),"Unrecognized code"))</f>
        <v>Industrial Flex Mall Building</v>
      </c>
    </row>
    <row r="147" customFormat="false" ht="25.5" hidden="false" customHeight="true" outlineLevel="0" collapsed="false">
      <c r="A147" s="519" t="s">
        <v>11061</v>
      </c>
      <c r="B147" s="508" t="n">
        <v>210</v>
      </c>
      <c r="C147" s="519" t="s">
        <v>11062</v>
      </c>
      <c r="D147" s="529" t="s">
        <v>11063</v>
      </c>
      <c r="E147" s="519" t="s">
        <v>4743</v>
      </c>
      <c r="F147" s="519" t="s">
        <v>10702</v>
      </c>
      <c r="G147" s="519" t="s">
        <v>2692</v>
      </c>
      <c r="H147" s="529" t="s">
        <v>10851</v>
      </c>
      <c r="I147" s="519"/>
      <c r="J147" s="519"/>
      <c r="K147" s="519" t="n">
        <v>2024</v>
      </c>
      <c r="L147" s="530" t="n">
        <v>352733</v>
      </c>
      <c r="M147" s="519"/>
      <c r="N147" s="530" t="n">
        <v>649568</v>
      </c>
      <c r="O147" s="530" t="n">
        <v>6988</v>
      </c>
      <c r="P147" s="530" t="n">
        <v>6207</v>
      </c>
      <c r="Q147" s="519"/>
      <c r="R147" s="519"/>
      <c r="S147" s="530" t="n">
        <v>16981</v>
      </c>
      <c r="T147" s="530" t="n">
        <v>1800</v>
      </c>
      <c r="U147" s="519"/>
      <c r="V147" s="519"/>
      <c r="W147" s="519"/>
      <c r="X147" s="530" t="n">
        <v>1556</v>
      </c>
      <c r="Y147" s="530" t="n">
        <v>20337</v>
      </c>
      <c r="Z147" s="519"/>
      <c r="AA147" s="530" t="n">
        <v>8036</v>
      </c>
      <c r="AB147" s="530" t="n">
        <v>22795</v>
      </c>
      <c r="AC147" s="530" t="n">
        <v>6988</v>
      </c>
      <c r="AD147" s="530" t="n">
        <v>8875</v>
      </c>
      <c r="AE147" s="519"/>
      <c r="AF147" s="530" t="n">
        <v>8875</v>
      </c>
      <c r="AG147" s="519"/>
      <c r="AH147" s="530" t="n">
        <v>94654</v>
      </c>
      <c r="AI147" s="530" t="n">
        <v>204010</v>
      </c>
      <c r="AJ147" s="530" t="n">
        <v>298664</v>
      </c>
      <c r="AK147" s="530" t="n">
        <v>350904</v>
      </c>
      <c r="AL147" s="519"/>
      <c r="AM147" s="529" t="s">
        <v>11347</v>
      </c>
      <c r="AN147" s="1" t="e">
        <f aca="false">IF(AND($B147=Subj_OccCode,Subj_BldgSF&gt;0,ABS($J147-Subj_BldgSF)&lt;=Subj_BldgSF*Subj_SizeTol),ABS($J147-Subj_BldgSF),NA())</f>
        <v>#N/A</v>
      </c>
      <c r="AO147" s="1" t="e">
        <f aca="false">IF(ISNA(AN147),NA(),AN147+ROW()/10000000)</f>
        <v>#N/A</v>
      </c>
      <c r="AR147" s="290" t="str">
        <f aca="false">IF(B147="","",IFERROR(INDEX(OCC_TABLE_DESC,MATCH(B147,OCC_TABLE_CODE,0)),"Unrecognized code"))</f>
        <v>Industrial Flex Mall Building</v>
      </c>
    </row>
    <row r="148" customFormat="false" ht="25.5" hidden="false" customHeight="true" outlineLevel="0" collapsed="false">
      <c r="A148" s="519" t="s">
        <v>11061</v>
      </c>
      <c r="B148" s="508" t="n">
        <v>210</v>
      </c>
      <c r="C148" s="519" t="s">
        <v>11062</v>
      </c>
      <c r="D148" s="529" t="s">
        <v>11063</v>
      </c>
      <c r="E148" s="519" t="s">
        <v>4743</v>
      </c>
      <c r="F148" s="519" t="s">
        <v>10702</v>
      </c>
      <c r="G148" s="519" t="s">
        <v>2692</v>
      </c>
      <c r="H148" s="529" t="s">
        <v>10851</v>
      </c>
      <c r="I148" s="519"/>
      <c r="J148" s="519"/>
      <c r="K148" s="519" t="n">
        <v>2023</v>
      </c>
      <c r="L148" s="530" t="n">
        <v>345583</v>
      </c>
      <c r="M148" s="519"/>
      <c r="N148" s="530" t="n">
        <v>582999</v>
      </c>
      <c r="O148" s="530" t="n">
        <v>6051</v>
      </c>
      <c r="P148" s="530" t="n">
        <v>6115</v>
      </c>
      <c r="Q148" s="519"/>
      <c r="R148" s="519"/>
      <c r="S148" s="530" t="n">
        <v>4932</v>
      </c>
      <c r="T148" s="530" t="n">
        <v>1822</v>
      </c>
      <c r="U148" s="519"/>
      <c r="V148" s="519"/>
      <c r="W148" s="519"/>
      <c r="X148" s="530" t="n">
        <v>1452</v>
      </c>
      <c r="Y148" s="530" t="n">
        <v>8206</v>
      </c>
      <c r="Z148" s="519"/>
      <c r="AA148" s="530" t="n">
        <v>6275</v>
      </c>
      <c r="AB148" s="530" t="n">
        <v>13573</v>
      </c>
      <c r="AC148" s="530" t="n">
        <v>6967</v>
      </c>
      <c r="AD148" s="530" t="n">
        <v>11933</v>
      </c>
      <c r="AE148" s="519"/>
      <c r="AF148" s="530" t="n">
        <v>11933</v>
      </c>
      <c r="AG148" s="519"/>
      <c r="AH148" s="530" t="n">
        <v>71541</v>
      </c>
      <c r="AI148" s="530" t="n">
        <v>162088</v>
      </c>
      <c r="AJ148" s="530" t="n">
        <v>233629</v>
      </c>
      <c r="AK148" s="530" t="n">
        <v>349370</v>
      </c>
      <c r="AL148" s="519"/>
      <c r="AM148" s="529" t="s">
        <v>11347</v>
      </c>
      <c r="AN148" s="1" t="e">
        <f aca="false">IF(AND($B148=Subj_OccCode,Subj_BldgSF&gt;0,ABS($J148-Subj_BldgSF)&lt;=Subj_BldgSF*Subj_SizeTol),ABS($J148-Subj_BldgSF),NA())</f>
        <v>#N/A</v>
      </c>
      <c r="AO148" s="1" t="e">
        <f aca="false">IF(ISNA(AN148),NA(),AN148+ROW()/10000000)</f>
        <v>#N/A</v>
      </c>
      <c r="AR148" s="290" t="str">
        <f aca="false">IF(B148="","",IFERROR(INDEX(OCC_TABLE_DESC,MATCH(B148,OCC_TABLE_CODE,0)),"Unrecognized code"))</f>
        <v>Industrial Flex Mall Building</v>
      </c>
    </row>
    <row r="149" customFormat="false" ht="38.25" hidden="false" customHeight="true" outlineLevel="0" collapsed="false">
      <c r="A149" s="519" t="s">
        <v>11065</v>
      </c>
      <c r="B149" s="508" t="n">
        <v>210</v>
      </c>
      <c r="C149" s="519" t="s">
        <v>11066</v>
      </c>
      <c r="D149" s="529" t="s">
        <v>11067</v>
      </c>
      <c r="E149" s="519" t="s">
        <v>4743</v>
      </c>
      <c r="F149" s="519" t="s">
        <v>10702</v>
      </c>
      <c r="G149" s="519" t="s">
        <v>2692</v>
      </c>
      <c r="H149" s="529" t="s">
        <v>10851</v>
      </c>
      <c r="I149" s="519"/>
      <c r="J149" s="519"/>
      <c r="K149" s="519" t="n">
        <v>2024</v>
      </c>
      <c r="L149" s="530" t="n">
        <v>406844</v>
      </c>
      <c r="M149" s="519"/>
      <c r="N149" s="530" t="n">
        <v>797212</v>
      </c>
      <c r="O149" s="530" t="n">
        <v>45992</v>
      </c>
      <c r="P149" s="530" t="n">
        <v>6921</v>
      </c>
      <c r="Q149" s="519"/>
      <c r="R149" s="519"/>
      <c r="S149" s="530" t="n">
        <v>10380</v>
      </c>
      <c r="T149" s="530" t="n">
        <v>3470</v>
      </c>
      <c r="U149" s="530" t="n">
        <v>2000</v>
      </c>
      <c r="V149" s="519"/>
      <c r="W149" s="519"/>
      <c r="X149" s="530" t="n">
        <v>1676</v>
      </c>
      <c r="Y149" s="530" t="n">
        <v>17526</v>
      </c>
      <c r="Z149" s="519"/>
      <c r="AA149" s="530" t="n">
        <v>8417</v>
      </c>
      <c r="AB149" s="530" t="n">
        <v>30101</v>
      </c>
      <c r="AC149" s="530" t="n">
        <v>8211</v>
      </c>
      <c r="AD149" s="530" t="n">
        <v>12042</v>
      </c>
      <c r="AE149" s="530" t="n">
        <v>3218</v>
      </c>
      <c r="AF149" s="530" t="n">
        <v>15260</v>
      </c>
      <c r="AG149" s="519"/>
      <c r="AH149" s="530" t="n">
        <v>180865</v>
      </c>
      <c r="AI149" s="530" t="n">
        <v>410137</v>
      </c>
      <c r="AJ149" s="530" t="n">
        <v>591002</v>
      </c>
      <c r="AK149" s="530" t="n">
        <v>206210</v>
      </c>
      <c r="AL149" s="519"/>
      <c r="AM149" s="529" t="s">
        <v>11348</v>
      </c>
      <c r="AN149" s="1" t="e">
        <f aca="false">IF(AND($B149=Subj_OccCode,Subj_BldgSF&gt;0,ABS($J149-Subj_BldgSF)&lt;=Subj_BldgSF*Subj_SizeTol),ABS($J149-Subj_BldgSF),NA())</f>
        <v>#N/A</v>
      </c>
      <c r="AO149" s="1" t="e">
        <f aca="false">IF(ISNA(AN149),NA(),AN149+ROW()/10000000)</f>
        <v>#N/A</v>
      </c>
      <c r="AR149" s="290" t="str">
        <f aca="false">IF(B149="","",IFERROR(INDEX(OCC_TABLE_DESC,MATCH(B149,OCC_TABLE_CODE,0)),"Unrecognized code"))</f>
        <v>Industrial Flex Mall Building</v>
      </c>
    </row>
    <row r="150" customFormat="false" ht="25.5" hidden="false" customHeight="true" outlineLevel="0" collapsed="false">
      <c r="A150" s="519" t="s">
        <v>11065</v>
      </c>
      <c r="B150" s="508" t="n">
        <v>210</v>
      </c>
      <c r="C150" s="519" t="s">
        <v>11066</v>
      </c>
      <c r="D150" s="529" t="s">
        <v>11067</v>
      </c>
      <c r="E150" s="519" t="s">
        <v>4743</v>
      </c>
      <c r="F150" s="519" t="s">
        <v>10702</v>
      </c>
      <c r="G150" s="519" t="s">
        <v>2692</v>
      </c>
      <c r="H150" s="529" t="s">
        <v>10851</v>
      </c>
      <c r="I150" s="519"/>
      <c r="J150" s="519"/>
      <c r="K150" s="519" t="n">
        <v>2023</v>
      </c>
      <c r="L150" s="530" t="n">
        <v>787792</v>
      </c>
      <c r="M150" s="519"/>
      <c r="N150" s="530" t="n">
        <v>1333856</v>
      </c>
      <c r="O150" s="530" t="n">
        <v>12351</v>
      </c>
      <c r="P150" s="530" t="n">
        <v>13140</v>
      </c>
      <c r="Q150" s="519"/>
      <c r="R150" s="519"/>
      <c r="S150" s="530" t="n">
        <v>10370</v>
      </c>
      <c r="T150" s="530" t="n">
        <v>3061</v>
      </c>
      <c r="U150" s="530" t="n">
        <v>0</v>
      </c>
      <c r="V150" s="519"/>
      <c r="W150" s="519"/>
      <c r="X150" s="530" t="n">
        <v>1572</v>
      </c>
      <c r="Y150" s="530" t="n">
        <v>15003</v>
      </c>
      <c r="Z150" s="519"/>
      <c r="AA150" s="530" t="n">
        <v>24879</v>
      </c>
      <c r="AB150" s="530" t="n">
        <v>16871</v>
      </c>
      <c r="AC150" s="530" t="n">
        <v>7678</v>
      </c>
      <c r="AD150" s="530" t="n">
        <v>12785</v>
      </c>
      <c r="AE150" s="519"/>
      <c r="AF150" s="530" t="n">
        <v>12785</v>
      </c>
      <c r="AG150" s="519"/>
      <c r="AH150" s="530" t="n">
        <v>123031</v>
      </c>
      <c r="AI150" s="530" t="n">
        <v>409295</v>
      </c>
      <c r="AJ150" s="530" t="n">
        <v>532326</v>
      </c>
      <c r="AK150" s="530" t="n">
        <v>801530</v>
      </c>
      <c r="AL150" s="519"/>
      <c r="AM150" s="529" t="s">
        <v>11349</v>
      </c>
      <c r="AN150" s="1" t="e">
        <f aca="false">IF(AND($B150=Subj_OccCode,Subj_BldgSF&gt;0,ABS($J150-Subj_BldgSF)&lt;=Subj_BldgSF*Subj_SizeTol),ABS($J150-Subj_BldgSF),NA())</f>
        <v>#N/A</v>
      </c>
      <c r="AO150" s="1" t="e">
        <f aca="false">IF(ISNA(AN150),NA(),AN150+ROW()/10000000)</f>
        <v>#N/A</v>
      </c>
      <c r="AR150" s="290" t="str">
        <f aca="false">IF(B150="","",IFERROR(INDEX(OCC_TABLE_DESC,MATCH(B150,OCC_TABLE_CODE,0)),"Unrecognized code"))</f>
        <v>Industrial Flex Mall Building</v>
      </c>
    </row>
    <row r="151" customFormat="false" ht="25.5" hidden="false" customHeight="true" outlineLevel="0" collapsed="false">
      <c r="A151" s="519" t="s">
        <v>11069</v>
      </c>
      <c r="B151" s="508" t="n">
        <v>210</v>
      </c>
      <c r="C151" s="519" t="s">
        <v>11070</v>
      </c>
      <c r="D151" s="529" t="s">
        <v>11350</v>
      </c>
      <c r="E151" s="519" t="s">
        <v>4743</v>
      </c>
      <c r="F151" s="519" t="s">
        <v>10702</v>
      </c>
      <c r="G151" s="519" t="s">
        <v>2692</v>
      </c>
      <c r="H151" s="529" t="s">
        <v>10851</v>
      </c>
      <c r="I151" s="519"/>
      <c r="J151" s="519"/>
      <c r="K151" s="519" t="n">
        <v>2024</v>
      </c>
      <c r="L151" s="530" t="n">
        <v>987101</v>
      </c>
      <c r="M151" s="519"/>
      <c r="N151" s="530" t="n">
        <v>1613814</v>
      </c>
      <c r="O151" s="530" t="n">
        <v>26027</v>
      </c>
      <c r="P151" s="530" t="n">
        <v>17785</v>
      </c>
      <c r="Q151" s="519"/>
      <c r="R151" s="519"/>
      <c r="S151" s="530" t="n">
        <v>9496</v>
      </c>
      <c r="T151" s="530" t="n">
        <v>2104</v>
      </c>
      <c r="U151" s="519"/>
      <c r="V151" s="519"/>
      <c r="W151" s="519"/>
      <c r="X151" s="530" t="n">
        <v>1676</v>
      </c>
      <c r="Y151" s="530" t="n">
        <v>13276</v>
      </c>
      <c r="Z151" s="519"/>
      <c r="AA151" s="530" t="n">
        <v>11885</v>
      </c>
      <c r="AB151" s="530" t="n">
        <v>37419</v>
      </c>
      <c r="AC151" s="530" t="n">
        <v>5705</v>
      </c>
      <c r="AD151" s="530" t="n">
        <v>39182</v>
      </c>
      <c r="AE151" s="530" t="n">
        <v>1573</v>
      </c>
      <c r="AF151" s="530" t="n">
        <v>40755</v>
      </c>
      <c r="AG151" s="519"/>
      <c r="AH151" s="530" t="n">
        <v>178810</v>
      </c>
      <c r="AI151" s="530" t="n">
        <v>442744</v>
      </c>
      <c r="AJ151" s="530" t="n">
        <v>621554</v>
      </c>
      <c r="AK151" s="530" t="n">
        <v>992260</v>
      </c>
      <c r="AL151" s="519"/>
      <c r="AM151" s="529" t="s">
        <v>11351</v>
      </c>
      <c r="AN151" s="1" t="e">
        <f aca="false">IF(AND($B151=Subj_OccCode,Subj_BldgSF&gt;0,ABS($J151-Subj_BldgSF)&lt;=Subj_BldgSF*Subj_SizeTol),ABS($J151-Subj_BldgSF),NA())</f>
        <v>#N/A</v>
      </c>
      <c r="AO151" s="1" t="e">
        <f aca="false">IF(ISNA(AN151),NA(),AN151+ROW()/10000000)</f>
        <v>#N/A</v>
      </c>
      <c r="AR151" s="290" t="str">
        <f aca="false">IF(B151="","",IFERROR(INDEX(OCC_TABLE_DESC,MATCH(B151,OCC_TABLE_CODE,0)),"Unrecognized code"))</f>
        <v>Industrial Flex Mall Building</v>
      </c>
    </row>
    <row r="152" customFormat="false" ht="25.5" hidden="false" customHeight="true" outlineLevel="0" collapsed="false">
      <c r="A152" s="519" t="s">
        <v>11069</v>
      </c>
      <c r="B152" s="508" t="n">
        <v>210</v>
      </c>
      <c r="C152" s="519" t="s">
        <v>11070</v>
      </c>
      <c r="D152" s="529" t="s">
        <v>11350</v>
      </c>
      <c r="E152" s="519" t="s">
        <v>4743</v>
      </c>
      <c r="F152" s="519" t="s">
        <v>10702</v>
      </c>
      <c r="G152" s="519" t="s">
        <v>2692</v>
      </c>
      <c r="H152" s="529" t="s">
        <v>10851</v>
      </c>
      <c r="I152" s="519"/>
      <c r="J152" s="519"/>
      <c r="K152" s="519" t="n">
        <v>2023</v>
      </c>
      <c r="L152" s="530" t="n">
        <v>932587</v>
      </c>
      <c r="M152" s="519"/>
      <c r="N152" s="530" t="n">
        <v>1610926</v>
      </c>
      <c r="O152" s="530" t="n">
        <v>12903</v>
      </c>
      <c r="P152" s="530" t="n">
        <v>15271</v>
      </c>
      <c r="Q152" s="519"/>
      <c r="R152" s="519"/>
      <c r="S152" s="530" t="n">
        <v>16438</v>
      </c>
      <c r="T152" s="530" t="n">
        <v>17000</v>
      </c>
      <c r="U152" s="519"/>
      <c r="V152" s="519"/>
      <c r="W152" s="519"/>
      <c r="X152" s="530" t="n">
        <v>1572</v>
      </c>
      <c r="Y152" s="530" t="n">
        <v>35010</v>
      </c>
      <c r="Z152" s="519"/>
      <c r="AA152" s="530" t="n">
        <v>11941</v>
      </c>
      <c r="AB152" s="530" t="n">
        <v>21409</v>
      </c>
      <c r="AC152" s="530" t="n">
        <v>54490</v>
      </c>
      <c r="AD152" s="530" t="n">
        <v>34733</v>
      </c>
      <c r="AE152" s="530" t="n">
        <v>1638</v>
      </c>
      <c r="AF152" s="530" t="n">
        <v>36371</v>
      </c>
      <c r="AG152" s="519"/>
      <c r="AH152" s="530" t="n">
        <v>211012</v>
      </c>
      <c r="AI152" s="530" t="n">
        <v>441491</v>
      </c>
      <c r="AJ152" s="530" t="n">
        <v>652503</v>
      </c>
      <c r="AK152" s="530" t="n">
        <v>958423</v>
      </c>
      <c r="AL152" s="519"/>
      <c r="AM152" s="529" t="s">
        <v>11351</v>
      </c>
      <c r="AN152" s="1" t="e">
        <f aca="false">IF(AND($B152=Subj_OccCode,Subj_BldgSF&gt;0,ABS($J152-Subj_BldgSF)&lt;=Subj_BldgSF*Subj_SizeTol),ABS($J152-Subj_BldgSF),NA())</f>
        <v>#N/A</v>
      </c>
      <c r="AO152" s="1" t="e">
        <f aca="false">IF(ISNA(AN152),NA(),AN152+ROW()/10000000)</f>
        <v>#N/A</v>
      </c>
      <c r="AR152" s="290" t="str">
        <f aca="false">IF(B152="","",IFERROR(INDEX(OCC_TABLE_DESC,MATCH(B152,OCC_TABLE_CODE,0)),"Unrecognized code"))</f>
        <v>Industrial Flex Mall Building</v>
      </c>
    </row>
    <row r="153" customFormat="false" ht="25.5" hidden="false" customHeight="true" outlineLevel="0" collapsed="false">
      <c r="A153" s="519" t="s">
        <v>11073</v>
      </c>
      <c r="B153" s="508" t="n">
        <v>210</v>
      </c>
      <c r="C153" s="519" t="s">
        <v>11070</v>
      </c>
      <c r="D153" s="529" t="s">
        <v>11352</v>
      </c>
      <c r="E153" s="519" t="s">
        <v>4743</v>
      </c>
      <c r="F153" s="519" t="s">
        <v>10702</v>
      </c>
      <c r="G153" s="519" t="s">
        <v>2692</v>
      </c>
      <c r="H153" s="529" t="s">
        <v>10851</v>
      </c>
      <c r="I153" s="519"/>
      <c r="J153" s="519"/>
      <c r="K153" s="519" t="n">
        <v>2024</v>
      </c>
      <c r="L153" s="530" t="n">
        <v>977394</v>
      </c>
      <c r="M153" s="519"/>
      <c r="N153" s="530" t="n">
        <v>1537076</v>
      </c>
      <c r="O153" s="530" t="n">
        <v>12170</v>
      </c>
      <c r="P153" s="530" t="n">
        <v>17077</v>
      </c>
      <c r="Q153" s="519"/>
      <c r="R153" s="519"/>
      <c r="S153" s="530" t="n">
        <v>10377</v>
      </c>
      <c r="T153" s="530" t="n">
        <v>1760</v>
      </c>
      <c r="U153" s="530" t="n">
        <v>265</v>
      </c>
      <c r="V153" s="519"/>
      <c r="W153" s="519"/>
      <c r="X153" s="530" t="n">
        <v>1636</v>
      </c>
      <c r="Y153" s="530" t="n">
        <v>13036</v>
      </c>
      <c r="Z153" s="519"/>
      <c r="AA153" s="530" t="n">
        <v>10043</v>
      </c>
      <c r="AB153" s="530" t="n">
        <v>41626</v>
      </c>
      <c r="AC153" s="530" t="n">
        <v>5705</v>
      </c>
      <c r="AD153" s="530" t="n">
        <v>19336</v>
      </c>
      <c r="AE153" s="530" t="n">
        <v>2462</v>
      </c>
      <c r="AF153" s="530" t="n">
        <v>21798</v>
      </c>
      <c r="AG153" s="519"/>
      <c r="AH153" s="530" t="n">
        <v>228019</v>
      </c>
      <c r="AI153" s="530" t="n">
        <v>364330</v>
      </c>
      <c r="AJ153" s="530" t="n">
        <v>592349</v>
      </c>
      <c r="AK153" s="530" t="n">
        <v>944727</v>
      </c>
      <c r="AL153" s="519"/>
      <c r="AM153" s="529" t="s">
        <v>11353</v>
      </c>
      <c r="AN153" s="1" t="e">
        <f aca="false">IF(AND($B153=Subj_OccCode,Subj_BldgSF&gt;0,ABS($J153-Subj_BldgSF)&lt;=Subj_BldgSF*Subj_SizeTol),ABS($J153-Subj_BldgSF),NA())</f>
        <v>#N/A</v>
      </c>
      <c r="AO153" s="1" t="e">
        <f aca="false">IF(ISNA(AN153),NA(),AN153+ROW()/10000000)</f>
        <v>#N/A</v>
      </c>
      <c r="AR153" s="290" t="str">
        <f aca="false">IF(B153="","",IFERROR(INDEX(OCC_TABLE_DESC,MATCH(B153,OCC_TABLE_CODE,0)),"Unrecognized code"))</f>
        <v>Industrial Flex Mall Building</v>
      </c>
    </row>
    <row r="154" customFormat="false" ht="25.5" hidden="false" customHeight="true" outlineLevel="0" collapsed="false">
      <c r="A154" s="519" t="s">
        <v>11076</v>
      </c>
      <c r="B154" s="508" t="n">
        <v>210</v>
      </c>
      <c r="C154" s="519" t="s">
        <v>11070</v>
      </c>
      <c r="D154" s="529" t="s">
        <v>11354</v>
      </c>
      <c r="E154" s="519" t="s">
        <v>4743</v>
      </c>
      <c r="F154" s="519" t="s">
        <v>10702</v>
      </c>
      <c r="G154" s="519" t="s">
        <v>2692</v>
      </c>
      <c r="H154" s="529" t="s">
        <v>10851</v>
      </c>
      <c r="I154" s="519"/>
      <c r="J154" s="519"/>
      <c r="K154" s="519" t="n">
        <v>2024</v>
      </c>
      <c r="L154" s="530" t="n">
        <v>436928</v>
      </c>
      <c r="M154" s="519"/>
      <c r="N154" s="530" t="n">
        <v>714461</v>
      </c>
      <c r="O154" s="530" t="n">
        <v>6456</v>
      </c>
      <c r="P154" s="530" t="n">
        <v>6962</v>
      </c>
      <c r="Q154" s="519"/>
      <c r="R154" s="519"/>
      <c r="S154" s="530" t="n">
        <v>6889</v>
      </c>
      <c r="T154" s="530" t="n">
        <v>1125</v>
      </c>
      <c r="U154" s="530" t="n">
        <v>285</v>
      </c>
      <c r="V154" s="519"/>
      <c r="W154" s="519"/>
      <c r="X154" s="530" t="n">
        <v>1546</v>
      </c>
      <c r="Y154" s="530" t="n">
        <v>9845</v>
      </c>
      <c r="Z154" s="519"/>
      <c r="AA154" s="530" t="n">
        <v>6931</v>
      </c>
      <c r="AB154" s="530" t="n">
        <v>27052</v>
      </c>
      <c r="AC154" s="530" t="n">
        <v>5705</v>
      </c>
      <c r="AD154" s="519"/>
      <c r="AE154" s="530" t="n">
        <v>929</v>
      </c>
      <c r="AF154" s="530" t="n">
        <v>929</v>
      </c>
      <c r="AG154" s="519"/>
      <c r="AH154" s="530" t="n">
        <v>77944</v>
      </c>
      <c r="AI154" s="530" t="n">
        <v>188633</v>
      </c>
      <c r="AJ154" s="530" t="n">
        <v>266577</v>
      </c>
      <c r="AK154" s="530" t="n">
        <v>447884</v>
      </c>
      <c r="AL154" s="519"/>
      <c r="AM154" s="529" t="s">
        <v>11355</v>
      </c>
      <c r="AN154" s="1" t="e">
        <f aca="false">IF(AND($B154=Subj_OccCode,Subj_BldgSF&gt;0,ABS($J154-Subj_BldgSF)&lt;=Subj_BldgSF*Subj_SizeTol),ABS($J154-Subj_BldgSF),NA())</f>
        <v>#N/A</v>
      </c>
      <c r="AO154" s="1" t="e">
        <f aca="false">IF(ISNA(AN154),NA(),AN154+ROW()/10000000)</f>
        <v>#N/A</v>
      </c>
      <c r="AR154" s="290" t="str">
        <f aca="false">IF(B154="","",IFERROR(INDEX(OCC_TABLE_DESC,MATCH(B154,OCC_TABLE_CODE,0)),"Unrecognized code"))</f>
        <v>Industrial Flex Mall Building</v>
      </c>
    </row>
    <row r="155" customFormat="false" ht="25.5" hidden="false" customHeight="true" outlineLevel="0" collapsed="false">
      <c r="A155" s="519" t="s">
        <v>11079</v>
      </c>
      <c r="B155" s="508" t="n">
        <v>584</v>
      </c>
      <c r="C155" s="519" t="s">
        <v>11080</v>
      </c>
      <c r="D155" s="529" t="s">
        <v>11356</v>
      </c>
      <c r="E155" s="519" t="s">
        <v>4743</v>
      </c>
      <c r="F155" s="519" t="s">
        <v>10702</v>
      </c>
      <c r="G155" s="519" t="s">
        <v>2692</v>
      </c>
      <c r="H155" s="529" t="s">
        <v>10802</v>
      </c>
      <c r="I155" s="519"/>
      <c r="J155" s="519"/>
      <c r="K155" s="519" t="n">
        <v>2024</v>
      </c>
      <c r="L155" s="530" t="n">
        <v>3771986</v>
      </c>
      <c r="M155" s="519"/>
      <c r="N155" s="530" t="n">
        <v>7045455</v>
      </c>
      <c r="O155" s="530" t="n">
        <v>83764</v>
      </c>
      <c r="P155" s="530" t="n">
        <v>67999</v>
      </c>
      <c r="Q155" s="519"/>
      <c r="R155" s="519"/>
      <c r="S155" s="519"/>
      <c r="T155" s="519"/>
      <c r="U155" s="519"/>
      <c r="V155" s="519"/>
      <c r="W155" s="519"/>
      <c r="X155" s="530" t="n">
        <v>5829</v>
      </c>
      <c r="Y155" s="530" t="n">
        <v>5829</v>
      </c>
      <c r="Z155" s="519"/>
      <c r="AA155" s="519"/>
      <c r="AB155" s="519"/>
      <c r="AC155" s="519"/>
      <c r="AD155" s="519"/>
      <c r="AE155" s="519"/>
      <c r="AF155" s="519"/>
      <c r="AG155" s="519"/>
      <c r="AH155" s="530" t="n">
        <v>381011</v>
      </c>
      <c r="AI155" s="530" t="n">
        <v>2407392</v>
      </c>
      <c r="AJ155" s="530" t="n">
        <v>2788403</v>
      </c>
      <c r="AK155" s="530" t="n">
        <v>4257052</v>
      </c>
      <c r="AL155" s="519"/>
      <c r="AM155" s="529" t="s">
        <v>11357</v>
      </c>
      <c r="AN155" s="1" t="e">
        <f aca="false">IF(AND($B155=Subj_OccCode,Subj_BldgSF&gt;0,ABS($J155-Subj_BldgSF)&lt;=Subj_BldgSF*Subj_SizeTol),ABS($J155-Subj_BldgSF),NA())</f>
        <v>#N/A</v>
      </c>
      <c r="AO155" s="1" t="e">
        <f aca="false">IF(ISNA(AN155),NA(),AN155+ROW()/10000000)</f>
        <v>#N/A</v>
      </c>
      <c r="AR155" s="290" t="str">
        <f aca="false">IF(B155="","",IFERROR(INDEX(OCC_TABLE_DESC,MATCH(B155,OCC_TABLE_CODE,0)),"Unrecognized code"))</f>
        <v>Mega Warehouse</v>
      </c>
    </row>
    <row r="156" customFormat="false" ht="25.5" hidden="false" customHeight="true" outlineLevel="0" collapsed="false">
      <c r="A156" s="519" t="s">
        <v>11079</v>
      </c>
      <c r="B156" s="508" t="n">
        <v>584</v>
      </c>
      <c r="C156" s="519" t="s">
        <v>11080</v>
      </c>
      <c r="D156" s="529" t="s">
        <v>11356</v>
      </c>
      <c r="E156" s="519" t="s">
        <v>4743</v>
      </c>
      <c r="F156" s="519" t="s">
        <v>10702</v>
      </c>
      <c r="G156" s="519" t="s">
        <v>2692</v>
      </c>
      <c r="H156" s="529" t="s">
        <v>10802</v>
      </c>
      <c r="I156" s="519"/>
      <c r="J156" s="519"/>
      <c r="K156" s="519" t="n">
        <v>2023</v>
      </c>
      <c r="L156" s="530" t="n">
        <v>3679986</v>
      </c>
      <c r="M156" s="519"/>
      <c r="N156" s="530" t="n">
        <v>6546351</v>
      </c>
      <c r="O156" s="530" t="n">
        <v>60105</v>
      </c>
      <c r="P156" s="530" t="n">
        <v>54144</v>
      </c>
      <c r="Q156" s="519"/>
      <c r="R156" s="519"/>
      <c r="S156" s="519"/>
      <c r="T156" s="519"/>
      <c r="U156" s="519"/>
      <c r="V156" s="519"/>
      <c r="W156" s="519"/>
      <c r="X156" s="530" t="n">
        <v>4184</v>
      </c>
      <c r="Y156" s="530" t="n">
        <v>4184</v>
      </c>
      <c r="Z156" s="519"/>
      <c r="AA156" s="519"/>
      <c r="AB156" s="519"/>
      <c r="AC156" s="519"/>
      <c r="AD156" s="519"/>
      <c r="AE156" s="519"/>
      <c r="AF156" s="519"/>
      <c r="AG156" s="519"/>
      <c r="AH156" s="530" t="n">
        <v>101213</v>
      </c>
      <c r="AI156" s="530" t="n">
        <v>2175995</v>
      </c>
      <c r="AJ156" s="530" t="n">
        <v>2277208</v>
      </c>
      <c r="AK156" s="530" t="n">
        <v>4269143</v>
      </c>
      <c r="AL156" s="519"/>
      <c r="AM156" s="529" t="s">
        <v>11357</v>
      </c>
      <c r="AN156" s="1" t="e">
        <f aca="false">IF(AND($B156=Subj_OccCode,Subj_BldgSF&gt;0,ABS($J156-Subj_BldgSF)&lt;=Subj_BldgSF*Subj_SizeTol),ABS($J156-Subj_BldgSF),NA())</f>
        <v>#N/A</v>
      </c>
      <c r="AO156" s="1" t="e">
        <f aca="false">IF(ISNA(AN156),NA(),AN156+ROW()/10000000)</f>
        <v>#N/A</v>
      </c>
      <c r="AR156" s="290" t="str">
        <f aca="false">IF(B156="","",IFERROR(INDEX(OCC_TABLE_DESC,MATCH(B156,OCC_TABLE_CODE,0)),"Unrecognized code"))</f>
        <v>Mega Warehouse</v>
      </c>
    </row>
    <row r="157" customFormat="false" ht="25.5" hidden="false" customHeight="true" outlineLevel="0" collapsed="false">
      <c r="A157" s="519" t="s">
        <v>11083</v>
      </c>
      <c r="B157" s="508" t="n">
        <v>407</v>
      </c>
      <c r="C157" s="519" t="s">
        <v>11084</v>
      </c>
      <c r="D157" s="529" t="s">
        <v>11085</v>
      </c>
      <c r="E157" s="519" t="s">
        <v>4420</v>
      </c>
      <c r="F157" s="519" t="s">
        <v>10702</v>
      </c>
      <c r="G157" s="519" t="s">
        <v>2692</v>
      </c>
      <c r="H157" s="529" t="s">
        <v>10819</v>
      </c>
      <c r="I157" s="519"/>
      <c r="J157" s="519"/>
      <c r="K157" s="519" t="n">
        <v>2024</v>
      </c>
      <c r="L157" s="530" t="n">
        <v>2966529</v>
      </c>
      <c r="M157" s="519"/>
      <c r="N157" s="530" t="n">
        <v>7433451</v>
      </c>
      <c r="O157" s="530" t="n">
        <v>32539</v>
      </c>
      <c r="P157" s="530" t="n">
        <v>86633</v>
      </c>
      <c r="Q157" s="519"/>
      <c r="R157" s="519"/>
      <c r="S157" s="530" t="n">
        <v>21784</v>
      </c>
      <c r="T157" s="519"/>
      <c r="U157" s="519"/>
      <c r="V157" s="519"/>
      <c r="W157" s="519"/>
      <c r="X157" s="519"/>
      <c r="Y157" s="530" t="n">
        <v>21784</v>
      </c>
      <c r="Z157" s="519"/>
      <c r="AA157" s="530" t="n">
        <v>30810</v>
      </c>
      <c r="AB157" s="530" t="n">
        <v>188483</v>
      </c>
      <c r="AC157" s="519"/>
      <c r="AD157" s="530" t="n">
        <v>29080</v>
      </c>
      <c r="AE157" s="519"/>
      <c r="AF157" s="530" t="n">
        <v>29080</v>
      </c>
      <c r="AG157" s="519"/>
      <c r="AH157" s="530" t="n">
        <v>1433299</v>
      </c>
      <c r="AI157" s="530" t="n">
        <v>3137254</v>
      </c>
      <c r="AJ157" s="530" t="n">
        <v>4570553</v>
      </c>
      <c r="AK157" s="530" t="n">
        <v>2862898</v>
      </c>
      <c r="AL157" s="519"/>
      <c r="AM157" s="529" t="s">
        <v>11358</v>
      </c>
      <c r="AN157" s="1" t="e">
        <f aca="false">IF(AND($B157=Subj_OccCode,Subj_BldgSF&gt;0,ABS($J157-Subj_BldgSF)&lt;=Subj_BldgSF*Subj_SizeTol),ABS($J157-Subj_BldgSF),NA())</f>
        <v>#N/A</v>
      </c>
      <c r="AO157" s="1" t="e">
        <f aca="false">IF(ISNA(AN157),NA(),AN157+ROW()/10000000)</f>
        <v>#N/A</v>
      </c>
      <c r="AR157" s="290" t="str">
        <f aca="false">IF(B157="","",IFERROR(INDEX(OCC_TABLE_DESC,MATCH(B157,OCC_TABLE_CODE,0)),"Unrecognized code"))</f>
        <v>Distribution Warehouse</v>
      </c>
    </row>
    <row r="158" customFormat="false" ht="12.75" hidden="false" customHeight="true" outlineLevel="0" collapsed="false">
      <c r="A158" s="519" t="s">
        <v>11083</v>
      </c>
      <c r="B158" s="508" t="n">
        <v>407</v>
      </c>
      <c r="C158" s="519" t="s">
        <v>11084</v>
      </c>
      <c r="D158" s="529" t="s">
        <v>11085</v>
      </c>
      <c r="E158" s="519" t="s">
        <v>4420</v>
      </c>
      <c r="F158" s="519" t="s">
        <v>10702</v>
      </c>
      <c r="G158" s="519" t="s">
        <v>2692</v>
      </c>
      <c r="H158" s="529" t="s">
        <v>10819</v>
      </c>
      <c r="I158" s="519"/>
      <c r="J158" s="519"/>
      <c r="K158" s="519" t="n">
        <v>2023</v>
      </c>
      <c r="L158" s="530" t="n">
        <v>2897673</v>
      </c>
      <c r="M158" s="519"/>
      <c r="N158" s="530" t="n">
        <v>5335437</v>
      </c>
      <c r="O158" s="530" t="n">
        <v>29390</v>
      </c>
      <c r="P158" s="530" t="n">
        <v>83488</v>
      </c>
      <c r="Q158" s="519"/>
      <c r="R158" s="519"/>
      <c r="S158" s="530" t="n">
        <v>35137</v>
      </c>
      <c r="T158" s="519"/>
      <c r="U158" s="519"/>
      <c r="V158" s="519"/>
      <c r="W158" s="519"/>
      <c r="X158" s="519"/>
      <c r="Y158" s="530" t="n">
        <v>35137</v>
      </c>
      <c r="Z158" s="519"/>
      <c r="AA158" s="530" t="n">
        <v>33419</v>
      </c>
      <c r="AB158" s="530" t="n">
        <v>151223</v>
      </c>
      <c r="AC158" s="519"/>
      <c r="AD158" s="530" t="n">
        <v>24034</v>
      </c>
      <c r="AE158" s="519"/>
      <c r="AF158" s="530" t="n">
        <v>24034</v>
      </c>
      <c r="AG158" s="519"/>
      <c r="AH158" s="530" t="n">
        <v>541522</v>
      </c>
      <c r="AI158" s="530" t="n">
        <v>2045093</v>
      </c>
      <c r="AJ158" s="530" t="n">
        <v>2586615</v>
      </c>
      <c r="AK158" s="530" t="n">
        <v>2748822</v>
      </c>
      <c r="AL158" s="519"/>
      <c r="AM158" s="529" t="s">
        <v>11359</v>
      </c>
      <c r="AN158" s="1" t="e">
        <f aca="false">IF(AND($B158=Subj_OccCode,Subj_BldgSF&gt;0,ABS($J158-Subj_BldgSF)&lt;=Subj_BldgSF*Subj_SizeTol),ABS($J158-Subj_BldgSF),NA())</f>
        <v>#N/A</v>
      </c>
      <c r="AO158" s="1" t="e">
        <f aca="false">IF(ISNA(AN158),NA(),AN158+ROW()/10000000)</f>
        <v>#N/A</v>
      </c>
      <c r="AR158" s="290" t="str">
        <f aca="false">IF(B158="","",IFERROR(INDEX(OCC_TABLE_DESC,MATCH(B158,OCC_TABLE_CODE,0)),"Unrecognized code"))</f>
        <v>Distribution Warehouse</v>
      </c>
    </row>
    <row r="159" customFormat="false" ht="25.5" hidden="false" customHeight="true" outlineLevel="0" collapsed="false">
      <c r="A159" s="519" t="s">
        <v>11089</v>
      </c>
      <c r="B159" s="508" t="n">
        <v>407</v>
      </c>
      <c r="C159" s="519" t="s">
        <v>11090</v>
      </c>
      <c r="D159" s="529" t="s">
        <v>11091</v>
      </c>
      <c r="E159" s="519" t="s">
        <v>4743</v>
      </c>
      <c r="F159" s="519" t="s">
        <v>10702</v>
      </c>
      <c r="G159" s="519" t="s">
        <v>2692</v>
      </c>
      <c r="H159" s="529" t="s">
        <v>10819</v>
      </c>
      <c r="I159" s="519"/>
      <c r="J159" s="519"/>
      <c r="K159" s="519" t="n">
        <v>2024</v>
      </c>
      <c r="L159" s="530" t="n">
        <v>1502445</v>
      </c>
      <c r="M159" s="519"/>
      <c r="N159" s="530" t="n">
        <v>1698847</v>
      </c>
      <c r="O159" s="530" t="n">
        <v>18279</v>
      </c>
      <c r="P159" s="530" t="n">
        <v>45073</v>
      </c>
      <c r="Q159" s="519"/>
      <c r="R159" s="519"/>
      <c r="S159" s="530" t="n">
        <v>14583</v>
      </c>
      <c r="T159" s="519"/>
      <c r="U159" s="519"/>
      <c r="V159" s="519"/>
      <c r="W159" s="519"/>
      <c r="X159" s="519"/>
      <c r="Y159" s="530" t="n">
        <v>14583</v>
      </c>
      <c r="Z159" s="519"/>
      <c r="AA159" s="530" t="n">
        <v>30156</v>
      </c>
      <c r="AB159" s="530" t="n">
        <v>117922</v>
      </c>
      <c r="AC159" s="519"/>
      <c r="AD159" s="519"/>
      <c r="AE159" s="519"/>
      <c r="AF159" s="519"/>
      <c r="AG159" s="519"/>
      <c r="AH159" s="530" t="n">
        <v>268829</v>
      </c>
      <c r="AI159" s="530" t="n">
        <v>0</v>
      </c>
      <c r="AJ159" s="530" t="n">
        <v>268829</v>
      </c>
      <c r="AK159" s="530" t="n">
        <v>1430018</v>
      </c>
      <c r="AL159" s="519"/>
      <c r="AM159" s="529" t="s">
        <v>11360</v>
      </c>
      <c r="AN159" s="1" t="e">
        <f aca="false">IF(AND($B159=Subj_OccCode,Subj_BldgSF&gt;0,ABS($J159-Subj_BldgSF)&lt;=Subj_BldgSF*Subj_SizeTol),ABS($J159-Subj_BldgSF),NA())</f>
        <v>#N/A</v>
      </c>
      <c r="AO159" s="1" t="e">
        <f aca="false">IF(ISNA(AN159),NA(),AN159+ROW()/10000000)</f>
        <v>#N/A</v>
      </c>
      <c r="AR159" s="290" t="str">
        <f aca="false">IF(B159="","",IFERROR(INDEX(OCC_TABLE_DESC,MATCH(B159,OCC_TABLE_CODE,0)),"Unrecognized code"))</f>
        <v>Distribution Warehouse</v>
      </c>
    </row>
    <row r="160" customFormat="false" ht="25.5" hidden="false" customHeight="true" outlineLevel="0" collapsed="false">
      <c r="A160" s="519" t="s">
        <v>11089</v>
      </c>
      <c r="B160" s="508" t="n">
        <v>407</v>
      </c>
      <c r="C160" s="519" t="s">
        <v>11090</v>
      </c>
      <c r="D160" s="529" t="s">
        <v>11091</v>
      </c>
      <c r="E160" s="519" t="s">
        <v>4743</v>
      </c>
      <c r="F160" s="519" t="s">
        <v>10702</v>
      </c>
      <c r="G160" s="519" t="s">
        <v>2692</v>
      </c>
      <c r="H160" s="529" t="s">
        <v>10819</v>
      </c>
      <c r="I160" s="519"/>
      <c r="J160" s="519"/>
      <c r="K160" s="519" t="n">
        <v>2023</v>
      </c>
      <c r="L160" s="530" t="n">
        <v>1458685</v>
      </c>
      <c r="M160" s="519"/>
      <c r="N160" s="530" t="n">
        <v>1647477</v>
      </c>
      <c r="O160" s="530" t="n">
        <v>15865</v>
      </c>
      <c r="P160" s="530" t="n">
        <v>43761</v>
      </c>
      <c r="Q160" s="519"/>
      <c r="R160" s="519"/>
      <c r="S160" s="530" t="n">
        <v>12850</v>
      </c>
      <c r="T160" s="519"/>
      <c r="U160" s="519"/>
      <c r="V160" s="519"/>
      <c r="W160" s="519"/>
      <c r="X160" s="519"/>
      <c r="Y160" s="530" t="n">
        <v>12850</v>
      </c>
      <c r="Z160" s="519"/>
      <c r="AA160" s="530" t="n">
        <v>31555</v>
      </c>
      <c r="AB160" s="530" t="n">
        <v>112261</v>
      </c>
      <c r="AC160" s="519"/>
      <c r="AD160" s="519"/>
      <c r="AE160" s="519"/>
      <c r="AF160" s="519"/>
      <c r="AG160" s="519"/>
      <c r="AH160" s="530" t="n">
        <v>238940</v>
      </c>
      <c r="AI160" s="530" t="n">
        <v>0</v>
      </c>
      <c r="AJ160" s="530" t="n">
        <v>238940</v>
      </c>
      <c r="AK160" s="530" t="n">
        <v>1408537</v>
      </c>
      <c r="AL160" s="519"/>
      <c r="AM160" s="529" t="s">
        <v>11360</v>
      </c>
      <c r="AN160" s="1" t="e">
        <f aca="false">IF(AND($B160=Subj_OccCode,Subj_BldgSF&gt;0,ABS($J160-Subj_BldgSF)&lt;=Subj_BldgSF*Subj_SizeTol),ABS($J160-Subj_BldgSF),NA())</f>
        <v>#N/A</v>
      </c>
      <c r="AO160" s="1" t="e">
        <f aca="false">IF(ISNA(AN160),NA(),AN160+ROW()/10000000)</f>
        <v>#N/A</v>
      </c>
      <c r="AR160" s="290" t="str">
        <f aca="false">IF(B160="","",IFERROR(INDEX(OCC_TABLE_DESC,MATCH(B160,OCC_TABLE_CODE,0)),"Unrecognized code"))</f>
        <v>Distribution Warehouse</v>
      </c>
    </row>
    <row r="161" customFormat="false" ht="25.5" hidden="false" customHeight="true" outlineLevel="0" collapsed="false">
      <c r="A161" s="519" t="s">
        <v>11093</v>
      </c>
      <c r="B161" s="508" t="n">
        <v>407</v>
      </c>
      <c r="C161" s="519" t="s">
        <v>2156</v>
      </c>
      <c r="D161" s="529" t="s">
        <v>11094</v>
      </c>
      <c r="E161" s="519" t="s">
        <v>4743</v>
      </c>
      <c r="F161" s="519" t="s">
        <v>10702</v>
      </c>
      <c r="G161" s="519" t="s">
        <v>2692</v>
      </c>
      <c r="H161" s="529" t="s">
        <v>10819</v>
      </c>
      <c r="I161" s="519"/>
      <c r="J161" s="519"/>
      <c r="K161" s="519" t="n">
        <v>2024</v>
      </c>
      <c r="L161" s="530" t="n">
        <v>187536</v>
      </c>
      <c r="M161" s="519"/>
      <c r="N161" s="530" t="n">
        <v>335936</v>
      </c>
      <c r="O161" s="530" t="n">
        <v>185</v>
      </c>
      <c r="P161" s="530" t="n">
        <v>6539</v>
      </c>
      <c r="Q161" s="519"/>
      <c r="R161" s="519"/>
      <c r="S161" s="530" t="n">
        <v>6694</v>
      </c>
      <c r="T161" s="519"/>
      <c r="U161" s="519"/>
      <c r="V161" s="519"/>
      <c r="W161" s="519"/>
      <c r="X161" s="519"/>
      <c r="Y161" s="530" t="n">
        <v>6694</v>
      </c>
      <c r="Z161" s="519"/>
      <c r="AA161" s="530" t="n">
        <v>1378</v>
      </c>
      <c r="AB161" s="530" t="n">
        <v>13095</v>
      </c>
      <c r="AC161" s="519"/>
      <c r="AD161" s="530" t="n">
        <v>52</v>
      </c>
      <c r="AE161" s="530" t="n">
        <v>6714</v>
      </c>
      <c r="AF161" s="530" t="n">
        <v>6766</v>
      </c>
      <c r="AG161" s="519"/>
      <c r="AH161" s="530" t="n">
        <v>42252</v>
      </c>
      <c r="AI161" s="530" t="n">
        <v>100794</v>
      </c>
      <c r="AJ161" s="530" t="n">
        <v>143046</v>
      </c>
      <c r="AK161" s="530" t="n">
        <v>181918</v>
      </c>
      <c r="AL161" s="519"/>
      <c r="AM161" s="529" t="s">
        <v>11361</v>
      </c>
      <c r="AN161" s="1" t="e">
        <f aca="false">IF(AND($B161=Subj_OccCode,Subj_BldgSF&gt;0,ABS($J161-Subj_BldgSF)&lt;=Subj_BldgSF*Subj_SizeTol),ABS($J161-Subj_BldgSF),NA())</f>
        <v>#N/A</v>
      </c>
      <c r="AO161" s="1" t="e">
        <f aca="false">IF(ISNA(AN161),NA(),AN161+ROW()/10000000)</f>
        <v>#N/A</v>
      </c>
      <c r="AR161" s="290" t="str">
        <f aca="false">IF(B161="","",IFERROR(INDEX(OCC_TABLE_DESC,MATCH(B161,OCC_TABLE_CODE,0)),"Unrecognized code"))</f>
        <v>Distribution Warehouse</v>
      </c>
    </row>
    <row r="162" customFormat="false" ht="25.5" hidden="false" customHeight="true" outlineLevel="0" collapsed="false">
      <c r="A162" s="519" t="s">
        <v>11098</v>
      </c>
      <c r="B162" s="508" t="n">
        <v>407</v>
      </c>
      <c r="C162" s="519" t="s">
        <v>2156</v>
      </c>
      <c r="D162" s="529" t="s">
        <v>11099</v>
      </c>
      <c r="E162" s="519" t="s">
        <v>4743</v>
      </c>
      <c r="F162" s="519" t="s">
        <v>10702</v>
      </c>
      <c r="G162" s="519" t="s">
        <v>2692</v>
      </c>
      <c r="H162" s="529" t="s">
        <v>10819</v>
      </c>
      <c r="I162" s="519"/>
      <c r="J162" s="519"/>
      <c r="K162" s="519" t="n">
        <v>2024</v>
      </c>
      <c r="L162" s="530" t="n">
        <v>143974</v>
      </c>
      <c r="M162" s="519"/>
      <c r="N162" s="530" t="n">
        <v>314952</v>
      </c>
      <c r="O162" s="530" t="n">
        <v>375</v>
      </c>
      <c r="P162" s="530" t="n">
        <v>6224</v>
      </c>
      <c r="Q162" s="519"/>
      <c r="R162" s="519"/>
      <c r="S162" s="530" t="n">
        <v>13434</v>
      </c>
      <c r="T162" s="519"/>
      <c r="U162" s="519"/>
      <c r="V162" s="519"/>
      <c r="W162" s="519"/>
      <c r="X162" s="519"/>
      <c r="Y162" s="530" t="n">
        <v>13434</v>
      </c>
      <c r="Z162" s="519"/>
      <c r="AA162" s="530" t="n">
        <v>1877</v>
      </c>
      <c r="AB162" s="530" t="n">
        <v>25288</v>
      </c>
      <c r="AC162" s="519"/>
      <c r="AD162" s="530" t="n">
        <v>104</v>
      </c>
      <c r="AE162" s="530" t="n">
        <v>11552</v>
      </c>
      <c r="AF162" s="530" t="n">
        <v>11656</v>
      </c>
      <c r="AG162" s="519"/>
      <c r="AH162" s="530" t="n">
        <v>70908</v>
      </c>
      <c r="AI162" s="530" t="n">
        <v>203797</v>
      </c>
      <c r="AJ162" s="530" t="n">
        <v>274705</v>
      </c>
      <c r="AK162" s="530" t="n">
        <v>22624</v>
      </c>
      <c r="AL162" s="519"/>
      <c r="AM162" s="529" t="s">
        <v>11361</v>
      </c>
      <c r="AN162" s="1" t="e">
        <f aca="false">IF(AND($B162=Subj_OccCode,Subj_BldgSF&gt;0,ABS($J162-Subj_BldgSF)&lt;=Subj_BldgSF*Subj_SizeTol),ABS($J162-Subj_BldgSF),NA())</f>
        <v>#N/A</v>
      </c>
      <c r="AO162" s="1" t="e">
        <f aca="false">IF(ISNA(AN162),NA(),AN162+ROW()/10000000)</f>
        <v>#N/A</v>
      </c>
      <c r="AR162" s="290" t="str">
        <f aca="false">IF(B162="","",IFERROR(INDEX(OCC_TABLE_DESC,MATCH(B162,OCC_TABLE_CODE,0)),"Unrecognized code"))</f>
        <v>Distribution Warehouse</v>
      </c>
    </row>
    <row r="163" customFormat="false" ht="25.5" hidden="false" customHeight="true" outlineLevel="0" collapsed="false">
      <c r="A163" s="519" t="s">
        <v>11101</v>
      </c>
      <c r="B163" s="508" t="n">
        <v>407</v>
      </c>
      <c r="C163" s="519" t="s">
        <v>2156</v>
      </c>
      <c r="D163" s="529" t="s">
        <v>11102</v>
      </c>
      <c r="E163" s="519" t="s">
        <v>4743</v>
      </c>
      <c r="F163" s="519" t="s">
        <v>10702</v>
      </c>
      <c r="G163" s="519" t="s">
        <v>2692</v>
      </c>
      <c r="H163" s="529" t="s">
        <v>10819</v>
      </c>
      <c r="I163" s="519"/>
      <c r="J163" s="519"/>
      <c r="K163" s="519" t="n">
        <v>2024</v>
      </c>
      <c r="L163" s="530" t="n">
        <v>49334</v>
      </c>
      <c r="M163" s="519"/>
      <c r="N163" s="530" t="n">
        <v>85139</v>
      </c>
      <c r="O163" s="530" t="n">
        <v>153</v>
      </c>
      <c r="P163" s="530" t="n">
        <v>5032</v>
      </c>
      <c r="Q163" s="519"/>
      <c r="R163" s="519"/>
      <c r="S163" s="530" t="n">
        <v>10772</v>
      </c>
      <c r="T163" s="519"/>
      <c r="U163" s="519"/>
      <c r="V163" s="519"/>
      <c r="W163" s="519"/>
      <c r="X163" s="519"/>
      <c r="Y163" s="530" t="n">
        <v>10772</v>
      </c>
      <c r="Z163" s="519"/>
      <c r="AA163" s="530" t="n">
        <v>949</v>
      </c>
      <c r="AB163" s="530" t="n">
        <v>10894</v>
      </c>
      <c r="AC163" s="519"/>
      <c r="AD163" s="530" t="n">
        <v>207</v>
      </c>
      <c r="AE163" s="530" t="n">
        <v>8484</v>
      </c>
      <c r="AF163" s="530" t="n">
        <v>8691</v>
      </c>
      <c r="AG163" s="519"/>
      <c r="AH163" s="530" t="n">
        <v>57603</v>
      </c>
      <c r="AI163" s="530" t="n">
        <v>83077</v>
      </c>
      <c r="AJ163" s="530" t="n">
        <v>140680</v>
      </c>
      <c r="AK163" s="530" t="n">
        <v>-69674</v>
      </c>
      <c r="AL163" s="519"/>
      <c r="AM163" s="529" t="s">
        <v>11361</v>
      </c>
      <c r="AN163" s="1" t="e">
        <f aca="false">IF(AND($B163=Subj_OccCode,Subj_BldgSF&gt;0,ABS($J163-Subj_BldgSF)&lt;=Subj_BldgSF*Subj_SizeTol),ABS($J163-Subj_BldgSF),NA())</f>
        <v>#N/A</v>
      </c>
      <c r="AO163" s="1" t="e">
        <f aca="false">IF(ISNA(AN163),NA(),AN163+ROW()/10000000)</f>
        <v>#N/A</v>
      </c>
      <c r="AR163" s="290" t="str">
        <f aca="false">IF(B163="","",IFERROR(INDEX(OCC_TABLE_DESC,MATCH(B163,OCC_TABLE_CODE,0)),"Unrecognized code"))</f>
        <v>Distribution Warehouse</v>
      </c>
    </row>
    <row r="164" customFormat="false" ht="38.25" hidden="false" customHeight="true" outlineLevel="0" collapsed="false">
      <c r="A164" s="519" t="s">
        <v>11104</v>
      </c>
      <c r="B164" s="508" t="n">
        <v>210</v>
      </c>
      <c r="C164" s="519" t="s">
        <v>11105</v>
      </c>
      <c r="D164" s="529" t="s">
        <v>11106</v>
      </c>
      <c r="E164" s="519" t="s">
        <v>1557</v>
      </c>
      <c r="F164" s="519" t="s">
        <v>10702</v>
      </c>
      <c r="G164" s="519" t="s">
        <v>2692</v>
      </c>
      <c r="H164" s="529" t="s">
        <v>11107</v>
      </c>
      <c r="I164" s="519"/>
      <c r="J164" s="519" t="n">
        <v>33057</v>
      </c>
      <c r="K164" s="519" t="n">
        <v>2024</v>
      </c>
      <c r="L164" s="519"/>
      <c r="M164" s="519"/>
      <c r="N164" s="530" t="n">
        <v>388335</v>
      </c>
      <c r="O164" s="530" t="n">
        <v>27979</v>
      </c>
      <c r="P164" s="530" t="n">
        <v>15595</v>
      </c>
      <c r="Q164" s="519"/>
      <c r="R164" s="519"/>
      <c r="S164" s="519"/>
      <c r="T164" s="519"/>
      <c r="U164" s="530" t="n">
        <v>8229</v>
      </c>
      <c r="V164" s="519"/>
      <c r="W164" s="519"/>
      <c r="X164" s="530" t="n">
        <v>91284</v>
      </c>
      <c r="Y164" s="519"/>
      <c r="Z164" s="519"/>
      <c r="AA164" s="530" t="n">
        <v>4573</v>
      </c>
      <c r="AB164" s="530" t="n">
        <v>2505</v>
      </c>
      <c r="AC164" s="530" t="n">
        <v>52966</v>
      </c>
      <c r="AD164" s="519"/>
      <c r="AE164" s="519"/>
      <c r="AF164" s="530" t="n">
        <v>53314</v>
      </c>
      <c r="AG164" s="519"/>
      <c r="AH164" s="530" t="n">
        <v>247389</v>
      </c>
      <c r="AI164" s="519"/>
      <c r="AJ164" s="530" t="n">
        <v>247389</v>
      </c>
      <c r="AK164" s="530" t="n">
        <v>140946</v>
      </c>
      <c r="AL164" s="519"/>
      <c r="AM164" s="529" t="s">
        <v>11362</v>
      </c>
      <c r="AN164" s="1" t="e">
        <f aca="false">IF(AND($B164=Subj_OccCode,Subj_BldgSF&gt;0,ABS($J164-Subj_BldgSF)&lt;=Subj_BldgSF*Subj_SizeTol),ABS($J164-Subj_BldgSF),NA())</f>
        <v>#N/A</v>
      </c>
      <c r="AO164" s="1" t="e">
        <f aca="false">IF(ISNA(AN164),NA(),AN164+ROW()/10000000)</f>
        <v>#N/A</v>
      </c>
      <c r="AR164" s="290" t="str">
        <f aca="false">IF(B164="","",IFERROR(INDEX(OCC_TABLE_DESC,MATCH(B164,OCC_TABLE_CODE,0)),"Unrecognized code"))</f>
        <v>Industrial Flex Mall Building</v>
      </c>
    </row>
    <row r="165" customFormat="false" ht="25.5" hidden="false" customHeight="true" outlineLevel="0" collapsed="false">
      <c r="A165" s="519" t="s">
        <v>11111</v>
      </c>
      <c r="B165" s="508" t="n">
        <v>406</v>
      </c>
      <c r="C165" s="519" t="s">
        <v>11112</v>
      </c>
      <c r="D165" s="529" t="s">
        <v>11113</v>
      </c>
      <c r="E165" s="519" t="s">
        <v>4743</v>
      </c>
      <c r="F165" s="519" t="s">
        <v>10702</v>
      </c>
      <c r="G165" s="519" t="s">
        <v>2692</v>
      </c>
      <c r="H165" s="529" t="s">
        <v>10855</v>
      </c>
      <c r="I165" s="519" t="n">
        <v>1980</v>
      </c>
      <c r="J165" s="519" t="n">
        <v>233808</v>
      </c>
      <c r="K165" s="519" t="n">
        <v>2023</v>
      </c>
      <c r="L165" s="519"/>
      <c r="M165" s="519"/>
      <c r="N165" s="530" t="n">
        <v>2012921</v>
      </c>
      <c r="O165" s="530" t="n">
        <v>12170</v>
      </c>
      <c r="P165" s="530" t="n">
        <v>39036</v>
      </c>
      <c r="Q165" s="519"/>
      <c r="R165" s="519"/>
      <c r="S165" s="519"/>
      <c r="T165" s="519"/>
      <c r="U165" s="519"/>
      <c r="V165" s="519"/>
      <c r="W165" s="519"/>
      <c r="X165" s="530" t="n">
        <v>43894</v>
      </c>
      <c r="Y165" s="530" t="n">
        <v>43894</v>
      </c>
      <c r="Z165" s="519"/>
      <c r="AA165" s="530" t="n">
        <v>12324</v>
      </c>
      <c r="AB165" s="530" t="n">
        <v>32256</v>
      </c>
      <c r="AC165" s="530" t="n">
        <v>50799</v>
      </c>
      <c r="AD165" s="530" t="n">
        <v>28587</v>
      </c>
      <c r="AE165" s="519"/>
      <c r="AF165" s="530" t="n">
        <v>28587</v>
      </c>
      <c r="AG165" s="519"/>
      <c r="AH165" s="530" t="n">
        <v>184120</v>
      </c>
      <c r="AI165" s="530" t="n">
        <v>608865</v>
      </c>
      <c r="AJ165" s="530" t="n">
        <v>792985</v>
      </c>
      <c r="AK165" s="530" t="n">
        <v>1219936</v>
      </c>
      <c r="AL165" s="519"/>
      <c r="AM165" s="529" t="s">
        <v>11363</v>
      </c>
      <c r="AN165" s="1" t="e">
        <f aca="false">IF(AND($B165=Subj_OccCode,Subj_BldgSF&gt;0,ABS($J165-Subj_BldgSF)&lt;=Subj_BldgSF*Subj_SizeTol),ABS($J165-Subj_BldgSF),NA())</f>
        <v>#N/A</v>
      </c>
      <c r="AO165" s="1" t="e">
        <f aca="false">IF(ISNA(AN165),NA(),AN165+ROW()/10000000)</f>
        <v>#N/A</v>
      </c>
      <c r="AR165" s="290" t="str">
        <f aca="false">IF(B165="","",IFERROR(INDEX(OCC_TABLE_DESC,MATCH(B165,OCC_TABLE_CODE,0)),"Unrecognized code"))</f>
        <v>Storage Warehouse</v>
      </c>
    </row>
    <row r="166" customFormat="false" ht="25.5" hidden="false" customHeight="true" outlineLevel="0" collapsed="false">
      <c r="A166" s="519" t="s">
        <v>11111</v>
      </c>
      <c r="B166" s="508" t="n">
        <v>406</v>
      </c>
      <c r="C166" s="519" t="s">
        <v>11112</v>
      </c>
      <c r="D166" s="529" t="s">
        <v>11113</v>
      </c>
      <c r="E166" s="519" t="s">
        <v>4743</v>
      </c>
      <c r="F166" s="519" t="s">
        <v>10702</v>
      </c>
      <c r="G166" s="519" t="s">
        <v>2692</v>
      </c>
      <c r="H166" s="529" t="s">
        <v>10855</v>
      </c>
      <c r="I166" s="519" t="n">
        <v>1980</v>
      </c>
      <c r="J166" s="519" t="n">
        <v>233808</v>
      </c>
      <c r="K166" s="519" t="n">
        <v>2024</v>
      </c>
      <c r="L166" s="519"/>
      <c r="M166" s="519"/>
      <c r="N166" s="530" t="n">
        <v>2041933</v>
      </c>
      <c r="O166" s="519"/>
      <c r="P166" s="519"/>
      <c r="Q166" s="519"/>
      <c r="R166" s="519"/>
      <c r="S166" s="519"/>
      <c r="T166" s="519"/>
      <c r="U166" s="519"/>
      <c r="V166" s="519"/>
      <c r="W166" s="519"/>
      <c r="X166" s="519"/>
      <c r="Y166" s="519"/>
      <c r="Z166" s="519"/>
      <c r="AA166" s="519"/>
      <c r="AB166" s="519"/>
      <c r="AC166" s="519"/>
      <c r="AD166" s="519"/>
      <c r="AE166" s="519"/>
      <c r="AF166" s="519"/>
      <c r="AG166" s="519"/>
      <c r="AH166" s="519"/>
      <c r="AI166" s="519"/>
      <c r="AJ166" s="530" t="n">
        <v>835113</v>
      </c>
      <c r="AK166" s="530" t="n">
        <v>1206819</v>
      </c>
      <c r="AL166" s="519"/>
      <c r="AM166" s="529" t="s">
        <v>11364</v>
      </c>
      <c r="AN166" s="1" t="e">
        <f aca="false">IF(AND($B166=Subj_OccCode,Subj_BldgSF&gt;0,ABS($J166-Subj_BldgSF)&lt;=Subj_BldgSF*Subj_SizeTol),ABS($J166-Subj_BldgSF),NA())</f>
        <v>#N/A</v>
      </c>
      <c r="AO166" s="1" t="e">
        <f aca="false">IF(ISNA(AN166),NA(),AN166+ROW()/10000000)</f>
        <v>#N/A</v>
      </c>
      <c r="AR166" s="290" t="str">
        <f aca="false">IF(B166="","",IFERROR(INDEX(OCC_TABLE_DESC,MATCH(B166,OCC_TABLE_CODE,0)),"Unrecognized code"))</f>
        <v>Storage Warehouse</v>
      </c>
    </row>
    <row r="167" customFormat="false" ht="25.5" hidden="false" customHeight="true" outlineLevel="0" collapsed="false">
      <c r="A167" s="519" t="s">
        <v>11116</v>
      </c>
      <c r="B167" s="508" t="n">
        <v>407</v>
      </c>
      <c r="C167" s="519" t="s">
        <v>6065</v>
      </c>
      <c r="D167" s="529" t="s">
        <v>11117</v>
      </c>
      <c r="E167" s="519" t="s">
        <v>2203</v>
      </c>
      <c r="F167" s="519" t="s">
        <v>10702</v>
      </c>
      <c r="G167" s="519" t="s">
        <v>2692</v>
      </c>
      <c r="H167" s="529" t="s">
        <v>11118</v>
      </c>
      <c r="I167" s="519" t="n">
        <v>2000</v>
      </c>
      <c r="J167" s="519" t="n">
        <v>80640</v>
      </c>
      <c r="K167" s="519" t="n">
        <v>2023</v>
      </c>
      <c r="L167" s="530" t="n">
        <v>503016</v>
      </c>
      <c r="M167" s="519"/>
      <c r="N167" s="519"/>
      <c r="O167" s="519"/>
      <c r="P167" s="519"/>
      <c r="Q167" s="519"/>
      <c r="R167" s="519"/>
      <c r="S167" s="519"/>
      <c r="T167" s="519"/>
      <c r="U167" s="519"/>
      <c r="V167" s="519"/>
      <c r="W167" s="519"/>
      <c r="X167" s="519"/>
      <c r="Y167" s="519"/>
      <c r="Z167" s="519"/>
      <c r="AA167" s="519"/>
      <c r="AB167" s="519"/>
      <c r="AC167" s="519"/>
      <c r="AD167" s="519"/>
      <c r="AE167" s="519"/>
      <c r="AF167" s="519"/>
      <c r="AG167" s="519"/>
      <c r="AH167" s="530" t="n">
        <v>16587</v>
      </c>
      <c r="AI167" s="519"/>
      <c r="AJ167" s="530" t="n">
        <v>16587</v>
      </c>
      <c r="AK167" s="530" t="n">
        <v>486429</v>
      </c>
      <c r="AL167" s="519"/>
      <c r="AM167" s="529" t="s">
        <v>11365</v>
      </c>
      <c r="AN167" s="1" t="e">
        <f aca="false">IF(AND($B167=Subj_OccCode,Subj_BldgSF&gt;0,ABS($J167-Subj_BldgSF)&lt;=Subj_BldgSF*Subj_SizeTol),ABS($J167-Subj_BldgSF),NA())</f>
        <v>#N/A</v>
      </c>
      <c r="AO167" s="1" t="e">
        <f aca="false">IF(ISNA(AN167),NA(),AN167+ROW()/10000000)</f>
        <v>#N/A</v>
      </c>
      <c r="AR167" s="290" t="str">
        <f aca="false">IF(B167="","",IFERROR(INDEX(OCC_TABLE_DESC,MATCH(B167,OCC_TABLE_CODE,0)),"Unrecognized code"))</f>
        <v>Distribution Warehouse</v>
      </c>
    </row>
    <row r="168" customFormat="false" ht="25.5" hidden="false" customHeight="true" outlineLevel="0" collapsed="false">
      <c r="A168" s="519" t="s">
        <v>11116</v>
      </c>
      <c r="B168" s="508" t="n">
        <v>407</v>
      </c>
      <c r="C168" s="519" t="s">
        <v>6065</v>
      </c>
      <c r="D168" s="529" t="s">
        <v>11117</v>
      </c>
      <c r="E168" s="519" t="s">
        <v>2203</v>
      </c>
      <c r="F168" s="519" t="s">
        <v>10702</v>
      </c>
      <c r="G168" s="519" t="s">
        <v>2692</v>
      </c>
      <c r="H168" s="529" t="s">
        <v>11118</v>
      </c>
      <c r="I168" s="519" t="n">
        <v>2000</v>
      </c>
      <c r="J168" s="519" t="n">
        <v>80640</v>
      </c>
      <c r="K168" s="519" t="n">
        <v>2024</v>
      </c>
      <c r="L168" s="530" t="n">
        <v>513072</v>
      </c>
      <c r="M168" s="519"/>
      <c r="N168" s="519"/>
      <c r="O168" s="519"/>
      <c r="P168" s="519"/>
      <c r="Q168" s="519"/>
      <c r="R168" s="519"/>
      <c r="S168" s="519"/>
      <c r="T168" s="519"/>
      <c r="U168" s="519"/>
      <c r="V168" s="519"/>
      <c r="W168" s="519"/>
      <c r="X168" s="519"/>
      <c r="Y168" s="519"/>
      <c r="Z168" s="519"/>
      <c r="AA168" s="519"/>
      <c r="AB168" s="519"/>
      <c r="AC168" s="519"/>
      <c r="AD168" s="519"/>
      <c r="AE168" s="519"/>
      <c r="AF168" s="519"/>
      <c r="AG168" s="519"/>
      <c r="AH168" s="530" t="n">
        <v>15492</v>
      </c>
      <c r="AI168" s="519"/>
      <c r="AJ168" s="530" t="n">
        <v>15492</v>
      </c>
      <c r="AK168" s="530" t="n">
        <v>497580</v>
      </c>
      <c r="AL168" s="519"/>
      <c r="AM168" s="529" t="s">
        <v>11366</v>
      </c>
      <c r="AN168" s="1" t="e">
        <f aca="false">IF(AND($B168=Subj_OccCode,Subj_BldgSF&gt;0,ABS($J168-Subj_BldgSF)&lt;=Subj_BldgSF*Subj_SizeTol),ABS($J168-Subj_BldgSF),NA())</f>
        <v>#N/A</v>
      </c>
      <c r="AO168" s="1" t="e">
        <f aca="false">IF(ISNA(AN168),NA(),AN168+ROW()/10000000)</f>
        <v>#N/A</v>
      </c>
      <c r="AR168" s="290" t="str">
        <f aca="false">IF(B168="","",IFERROR(INDEX(OCC_TABLE_DESC,MATCH(B168,OCC_TABLE_CODE,0)),"Unrecognized code"))</f>
        <v>Distribution Warehouse</v>
      </c>
    </row>
    <row r="169" customFormat="false" ht="25.5" hidden="false" customHeight="true" outlineLevel="0" collapsed="false">
      <c r="A169" s="519" t="s">
        <v>11120</v>
      </c>
      <c r="B169" s="508" t="n">
        <v>210</v>
      </c>
      <c r="C169" s="519" t="s">
        <v>11121</v>
      </c>
      <c r="D169" s="529" t="s">
        <v>11122</v>
      </c>
      <c r="E169" s="519" t="s">
        <v>4420</v>
      </c>
      <c r="F169" s="519" t="s">
        <v>10702</v>
      </c>
      <c r="G169" s="519" t="s">
        <v>2692</v>
      </c>
      <c r="H169" s="529" t="s">
        <v>11123</v>
      </c>
      <c r="I169" s="519"/>
      <c r="J169" s="519" t="n">
        <v>42299</v>
      </c>
      <c r="K169" s="519" t="n">
        <v>2024</v>
      </c>
      <c r="L169" s="519"/>
      <c r="M169" s="519"/>
      <c r="N169" s="530" t="n">
        <v>391669</v>
      </c>
      <c r="O169" s="519"/>
      <c r="P169" s="519"/>
      <c r="Q169" s="519"/>
      <c r="R169" s="519"/>
      <c r="S169" s="519"/>
      <c r="T169" s="519"/>
      <c r="U169" s="519"/>
      <c r="V169" s="519"/>
      <c r="W169" s="519"/>
      <c r="X169" s="519"/>
      <c r="Y169" s="519"/>
      <c r="Z169" s="519"/>
      <c r="AA169" s="519"/>
      <c r="AB169" s="519"/>
      <c r="AC169" s="519"/>
      <c r="AD169" s="519"/>
      <c r="AE169" s="519"/>
      <c r="AF169" s="519"/>
      <c r="AG169" s="519"/>
      <c r="AH169" s="530" t="n">
        <v>31334</v>
      </c>
      <c r="AI169" s="519"/>
      <c r="AJ169" s="530" t="n">
        <v>31334</v>
      </c>
      <c r="AK169" s="530" t="n">
        <v>360335</v>
      </c>
      <c r="AL169" s="519"/>
      <c r="AM169" s="529" t="s">
        <v>11367</v>
      </c>
      <c r="AN169" s="1" t="e">
        <f aca="false">IF(AND($B169=Subj_OccCode,Subj_BldgSF&gt;0,ABS($J169-Subj_BldgSF)&lt;=Subj_BldgSF*Subj_SizeTol),ABS($J169-Subj_BldgSF),NA())</f>
        <v>#N/A</v>
      </c>
      <c r="AO169" s="1" t="e">
        <f aca="false">IF(ISNA(AN169),NA(),AN169+ROW()/10000000)</f>
        <v>#N/A</v>
      </c>
      <c r="AR169" s="290" t="str">
        <f aca="false">IF(B169="","",IFERROR(INDEX(OCC_TABLE_DESC,MATCH(B169,OCC_TABLE_CODE,0)),"Unrecognized code"))</f>
        <v>Industrial Flex Mall Building</v>
      </c>
    </row>
    <row r="170" customFormat="false" ht="38.25" hidden="false" customHeight="true" outlineLevel="0" collapsed="false">
      <c r="A170" s="519" t="s">
        <v>11125</v>
      </c>
      <c r="B170" s="508" t="n">
        <v>407</v>
      </c>
      <c r="C170" s="519" t="s">
        <v>11126</v>
      </c>
      <c r="D170" s="529" t="s">
        <v>11127</v>
      </c>
      <c r="E170" s="519" t="s">
        <v>9525</v>
      </c>
      <c r="F170" s="519" t="s">
        <v>10702</v>
      </c>
      <c r="G170" s="519" t="s">
        <v>2692</v>
      </c>
      <c r="H170" s="529" t="s">
        <v>11118</v>
      </c>
      <c r="I170" s="519" t="n">
        <v>2016</v>
      </c>
      <c r="J170" s="519" t="n">
        <v>122106</v>
      </c>
      <c r="K170" s="519" t="n">
        <v>2023</v>
      </c>
      <c r="L170" s="519"/>
      <c r="M170" s="519"/>
      <c r="N170" s="519"/>
      <c r="O170" s="530" t="n">
        <v>7435</v>
      </c>
      <c r="P170" s="519"/>
      <c r="Q170" s="519"/>
      <c r="R170" s="519"/>
      <c r="S170" s="519"/>
      <c r="T170" s="519"/>
      <c r="U170" s="519"/>
      <c r="V170" s="519"/>
      <c r="W170" s="519"/>
      <c r="X170" s="519"/>
      <c r="Y170" s="519"/>
      <c r="Z170" s="519"/>
      <c r="AA170" s="519"/>
      <c r="AB170" s="519"/>
      <c r="AC170" s="530" t="n">
        <v>50680</v>
      </c>
      <c r="AD170" s="530" t="n">
        <v>58541</v>
      </c>
      <c r="AE170" s="519"/>
      <c r="AF170" s="530" t="n">
        <v>58541</v>
      </c>
      <c r="AG170" s="519"/>
      <c r="AH170" s="519"/>
      <c r="AI170" s="530" t="n">
        <v>394774</v>
      </c>
      <c r="AJ170" s="530" t="n">
        <v>511430</v>
      </c>
      <c r="AK170" s="519"/>
      <c r="AL170" s="519"/>
      <c r="AM170" s="529" t="s">
        <v>11368</v>
      </c>
      <c r="AN170" s="1" t="e">
        <f aca="false">IF(AND($B170=Subj_OccCode,Subj_BldgSF&gt;0,ABS($J170-Subj_BldgSF)&lt;=Subj_BldgSF*Subj_SizeTol),ABS($J170-Subj_BldgSF),NA())</f>
        <v>#N/A</v>
      </c>
      <c r="AO170" s="1" t="e">
        <f aca="false">IF(ISNA(AN170),NA(),AN170+ROW()/10000000)</f>
        <v>#N/A</v>
      </c>
      <c r="AR170" s="290" t="str">
        <f aca="false">IF(B170="","",IFERROR(INDEX(OCC_TABLE_DESC,MATCH(B170,OCC_TABLE_CODE,0)),"Unrecognized code"))</f>
        <v>Distribution Warehouse</v>
      </c>
    </row>
    <row r="171" customFormat="false" ht="38.25" hidden="false" customHeight="true" outlineLevel="0" collapsed="false">
      <c r="A171" s="519" t="s">
        <v>11125</v>
      </c>
      <c r="B171" s="508" t="n">
        <v>407</v>
      </c>
      <c r="C171" s="519" t="s">
        <v>11126</v>
      </c>
      <c r="D171" s="529" t="s">
        <v>11127</v>
      </c>
      <c r="E171" s="519" t="s">
        <v>9525</v>
      </c>
      <c r="F171" s="519" t="s">
        <v>10702</v>
      </c>
      <c r="G171" s="519" t="s">
        <v>2692</v>
      </c>
      <c r="H171" s="529" t="s">
        <v>11118</v>
      </c>
      <c r="I171" s="519" t="n">
        <v>2016</v>
      </c>
      <c r="J171" s="519" t="n">
        <v>122106</v>
      </c>
      <c r="K171" s="519" t="n">
        <v>2024</v>
      </c>
      <c r="L171" s="519"/>
      <c r="M171" s="519"/>
      <c r="N171" s="519"/>
      <c r="O171" s="530" t="n">
        <v>7635</v>
      </c>
      <c r="P171" s="519"/>
      <c r="Q171" s="519"/>
      <c r="R171" s="519"/>
      <c r="S171" s="519"/>
      <c r="T171" s="519"/>
      <c r="U171" s="519"/>
      <c r="V171" s="519"/>
      <c r="W171" s="519"/>
      <c r="X171" s="519"/>
      <c r="Y171" s="519"/>
      <c r="Z171" s="519"/>
      <c r="AA171" s="519"/>
      <c r="AB171" s="519"/>
      <c r="AC171" s="530" t="n">
        <v>64465</v>
      </c>
      <c r="AD171" s="530" t="n">
        <v>58541</v>
      </c>
      <c r="AE171" s="519"/>
      <c r="AF171" s="530" t="n">
        <v>58541</v>
      </c>
      <c r="AG171" s="519"/>
      <c r="AH171" s="519"/>
      <c r="AI171" s="530" t="n">
        <v>532140</v>
      </c>
      <c r="AJ171" s="530" t="n">
        <v>662781</v>
      </c>
      <c r="AK171" s="519"/>
      <c r="AL171" s="519"/>
      <c r="AM171" s="529" t="s">
        <v>11369</v>
      </c>
      <c r="AN171" s="1" t="e">
        <f aca="false">IF(AND($B171=Subj_OccCode,Subj_BldgSF&gt;0,ABS($J171-Subj_BldgSF)&lt;=Subj_BldgSF*Subj_SizeTol),ABS($J171-Subj_BldgSF),NA())</f>
        <v>#N/A</v>
      </c>
      <c r="AO171" s="1" t="e">
        <f aca="false">IF(ISNA(AN171),NA(),AN171+ROW()/10000000)</f>
        <v>#N/A</v>
      </c>
      <c r="AR171" s="290" t="str">
        <f aca="false">IF(B171="","",IFERROR(INDEX(OCC_TABLE_DESC,MATCH(B171,OCC_TABLE_CODE,0)),"Unrecognized code"))</f>
        <v>Distribution Warehouse</v>
      </c>
    </row>
    <row r="172" customFormat="false" ht="38.25" hidden="false" customHeight="true" outlineLevel="0" collapsed="false">
      <c r="A172" s="519" t="s">
        <v>11130</v>
      </c>
      <c r="B172" s="508" t="n">
        <v>407</v>
      </c>
      <c r="C172" s="519" t="s">
        <v>11131</v>
      </c>
      <c r="D172" s="529" t="s">
        <v>11132</v>
      </c>
      <c r="E172" s="519" t="s">
        <v>9525</v>
      </c>
      <c r="F172" s="519" t="s">
        <v>10702</v>
      </c>
      <c r="G172" s="519" t="s">
        <v>2692</v>
      </c>
      <c r="H172" s="529" t="s">
        <v>11118</v>
      </c>
      <c r="I172" s="519" t="n">
        <v>2000</v>
      </c>
      <c r="J172" s="519" t="n">
        <v>85200</v>
      </c>
      <c r="K172" s="519" t="n">
        <v>2023</v>
      </c>
      <c r="L172" s="519"/>
      <c r="M172" s="519"/>
      <c r="N172" s="519"/>
      <c r="O172" s="530" t="n">
        <v>20559</v>
      </c>
      <c r="P172" s="519"/>
      <c r="Q172" s="519"/>
      <c r="R172" s="519"/>
      <c r="S172" s="519"/>
      <c r="T172" s="519"/>
      <c r="U172" s="519"/>
      <c r="V172" s="519"/>
      <c r="W172" s="519"/>
      <c r="X172" s="519"/>
      <c r="Y172" s="519"/>
      <c r="Z172" s="519"/>
      <c r="AA172" s="519"/>
      <c r="AB172" s="519"/>
      <c r="AC172" s="530" t="n">
        <v>18539</v>
      </c>
      <c r="AD172" s="519"/>
      <c r="AE172" s="519"/>
      <c r="AF172" s="519"/>
      <c r="AG172" s="519"/>
      <c r="AH172" s="519"/>
      <c r="AI172" s="530" t="n">
        <v>305241</v>
      </c>
      <c r="AJ172" s="530" t="n">
        <v>344339</v>
      </c>
      <c r="AK172" s="519"/>
      <c r="AL172" s="519"/>
      <c r="AM172" s="529" t="s">
        <v>11370</v>
      </c>
      <c r="AN172" s="1" t="e">
        <f aca="false">IF(AND($B172=Subj_OccCode,Subj_BldgSF&gt;0,ABS($J172-Subj_BldgSF)&lt;=Subj_BldgSF*Subj_SizeTol),ABS($J172-Subj_BldgSF),NA())</f>
        <v>#N/A</v>
      </c>
      <c r="AO172" s="1" t="e">
        <f aca="false">IF(ISNA(AN172),NA(),AN172+ROW()/10000000)</f>
        <v>#N/A</v>
      </c>
      <c r="AR172" s="290" t="str">
        <f aca="false">IF(B172="","",IFERROR(INDEX(OCC_TABLE_DESC,MATCH(B172,OCC_TABLE_CODE,0)),"Unrecognized code"))</f>
        <v>Distribution Warehouse</v>
      </c>
    </row>
    <row r="173" customFormat="false" ht="38.25" hidden="false" customHeight="true" outlineLevel="0" collapsed="false">
      <c r="A173" s="519" t="s">
        <v>11130</v>
      </c>
      <c r="B173" s="508" t="n">
        <v>407</v>
      </c>
      <c r="C173" s="519" t="s">
        <v>11131</v>
      </c>
      <c r="D173" s="529" t="s">
        <v>11132</v>
      </c>
      <c r="E173" s="519" t="s">
        <v>9525</v>
      </c>
      <c r="F173" s="519" t="s">
        <v>10702</v>
      </c>
      <c r="G173" s="519" t="s">
        <v>2692</v>
      </c>
      <c r="H173" s="529" t="s">
        <v>11118</v>
      </c>
      <c r="I173" s="519" t="n">
        <v>2000</v>
      </c>
      <c r="J173" s="519" t="n">
        <v>85200</v>
      </c>
      <c r="K173" s="519" t="n">
        <v>2024</v>
      </c>
      <c r="L173" s="519"/>
      <c r="M173" s="519"/>
      <c r="N173" s="519"/>
      <c r="O173" s="530" t="n">
        <v>25578</v>
      </c>
      <c r="P173" s="519"/>
      <c r="Q173" s="519"/>
      <c r="R173" s="519"/>
      <c r="S173" s="519"/>
      <c r="T173" s="519"/>
      <c r="U173" s="519"/>
      <c r="V173" s="519"/>
      <c r="W173" s="519"/>
      <c r="X173" s="519"/>
      <c r="Y173" s="519"/>
      <c r="Z173" s="519"/>
      <c r="AA173" s="519"/>
      <c r="AB173" s="519"/>
      <c r="AC173" s="530" t="n">
        <v>21372</v>
      </c>
      <c r="AD173" s="519"/>
      <c r="AE173" s="519"/>
      <c r="AF173" s="519"/>
      <c r="AG173" s="519"/>
      <c r="AH173" s="519"/>
      <c r="AI173" s="530" t="n">
        <v>331811</v>
      </c>
      <c r="AJ173" s="530" t="n">
        <v>378761</v>
      </c>
      <c r="AK173" s="519"/>
      <c r="AL173" s="519"/>
      <c r="AM173" s="529" t="s">
        <v>11371</v>
      </c>
      <c r="AN173" s="1" t="e">
        <f aca="false">IF(AND($B173=Subj_OccCode,Subj_BldgSF&gt;0,ABS($J173-Subj_BldgSF)&lt;=Subj_BldgSF*Subj_SizeTol),ABS($J173-Subj_BldgSF),NA())</f>
        <v>#N/A</v>
      </c>
      <c r="AO173" s="1" t="e">
        <f aca="false">IF(ISNA(AN173),NA(),AN173+ROW()/10000000)</f>
        <v>#N/A</v>
      </c>
      <c r="AR173" s="290" t="str">
        <f aca="false">IF(B173="","",IFERROR(INDEX(OCC_TABLE_DESC,MATCH(B173,OCC_TABLE_CODE,0)),"Unrecognized code"))</f>
        <v>Distribution Warehouse</v>
      </c>
    </row>
    <row r="174" customFormat="false" ht="38.25" hidden="false" customHeight="true" outlineLevel="0" collapsed="false">
      <c r="A174" s="519" t="s">
        <v>11134</v>
      </c>
      <c r="B174" s="508" t="n">
        <v>584</v>
      </c>
      <c r="C174" s="519" t="s">
        <v>10787</v>
      </c>
      <c r="D174" s="529" t="s">
        <v>11135</v>
      </c>
      <c r="E174" s="519" t="s">
        <v>9525</v>
      </c>
      <c r="F174" s="519" t="s">
        <v>10702</v>
      </c>
      <c r="G174" s="519" t="s">
        <v>2692</v>
      </c>
      <c r="H174" s="529" t="s">
        <v>11136</v>
      </c>
      <c r="I174" s="519" t="n">
        <v>2019</v>
      </c>
      <c r="J174" s="519" t="n">
        <v>555867</v>
      </c>
      <c r="K174" s="519" t="n">
        <v>2024</v>
      </c>
      <c r="L174" s="519"/>
      <c r="M174" s="519"/>
      <c r="N174" s="519"/>
      <c r="O174" s="530" t="n">
        <v>86084</v>
      </c>
      <c r="P174" s="530" t="n">
        <v>64029</v>
      </c>
      <c r="Q174" s="519"/>
      <c r="R174" s="519"/>
      <c r="S174" s="519"/>
      <c r="T174" s="519"/>
      <c r="U174" s="519"/>
      <c r="V174" s="519"/>
      <c r="W174" s="519"/>
      <c r="X174" s="519"/>
      <c r="Y174" s="519"/>
      <c r="Z174" s="519"/>
      <c r="AA174" s="519"/>
      <c r="AB174" s="519"/>
      <c r="AC174" s="519"/>
      <c r="AD174" s="519"/>
      <c r="AE174" s="519"/>
      <c r="AF174" s="519"/>
      <c r="AG174" s="519"/>
      <c r="AH174" s="519"/>
      <c r="AI174" s="530" t="n">
        <v>2160792</v>
      </c>
      <c r="AJ174" s="530" t="n">
        <v>2310905</v>
      </c>
      <c r="AK174" s="519"/>
      <c r="AL174" s="519"/>
      <c r="AM174" s="529" t="s">
        <v>11372</v>
      </c>
      <c r="AN174" s="1" t="e">
        <f aca="false">IF(AND($B174=Subj_OccCode,Subj_BldgSF&gt;0,ABS($J174-Subj_BldgSF)&lt;=Subj_BldgSF*Subj_SizeTol),ABS($J174-Subj_BldgSF),NA())</f>
        <v>#N/A</v>
      </c>
      <c r="AO174" s="1" t="e">
        <f aca="false">IF(ISNA(AN174),NA(),AN174+ROW()/10000000)</f>
        <v>#N/A</v>
      </c>
      <c r="AR174" s="290" t="str">
        <f aca="false">IF(B174="","",IFERROR(INDEX(OCC_TABLE_DESC,MATCH(B174,OCC_TABLE_CODE,0)),"Unrecognized code"))</f>
        <v>Mega Warehouse</v>
      </c>
    </row>
    <row r="175" customFormat="false" ht="38.25" hidden="false" customHeight="true" outlineLevel="0" collapsed="false">
      <c r="A175" s="519" t="s">
        <v>11139</v>
      </c>
      <c r="B175" s="508" t="n">
        <v>447</v>
      </c>
      <c r="C175" s="519" t="s">
        <v>2325</v>
      </c>
      <c r="D175" s="529" t="s">
        <v>2503</v>
      </c>
      <c r="E175" s="519" t="s">
        <v>9525</v>
      </c>
      <c r="F175" s="519" t="s">
        <v>10702</v>
      </c>
      <c r="G175" s="519" t="s">
        <v>2692</v>
      </c>
      <c r="H175" s="529" t="s">
        <v>11141</v>
      </c>
      <c r="I175" s="531" t="n">
        <v>2012</v>
      </c>
      <c r="J175" s="532" t="n">
        <v>553757</v>
      </c>
      <c r="K175" s="531" t="n">
        <v>2024</v>
      </c>
      <c r="L175" s="534" t="n">
        <v>3608516.04</v>
      </c>
      <c r="M175" s="534" t="n">
        <v>1683786.17</v>
      </c>
      <c r="N175" s="534" t="n">
        <v>5292302.21</v>
      </c>
      <c r="O175" s="533" t="n">
        <v>77116.59</v>
      </c>
      <c r="P175" s="533" t="n">
        <v>207080.18</v>
      </c>
      <c r="Q175" s="534"/>
      <c r="R175" s="534"/>
      <c r="S175" s="534" t="n">
        <v>2878.86</v>
      </c>
      <c r="T175" s="534"/>
      <c r="U175" s="534"/>
      <c r="V175" s="534"/>
      <c r="W175" s="534"/>
      <c r="X175" s="534" t="n">
        <v>21548.5</v>
      </c>
      <c r="Y175" s="534" t="n">
        <v>24427.36</v>
      </c>
      <c r="Z175" s="534"/>
      <c r="AA175" s="534"/>
      <c r="AB175" s="534"/>
      <c r="AC175" s="534" t="n">
        <v>0</v>
      </c>
      <c r="AD175" s="534"/>
      <c r="AE175" s="534"/>
      <c r="AF175" s="534" t="n">
        <v>34</v>
      </c>
      <c r="AG175" s="534" t="n">
        <v>7161.11</v>
      </c>
      <c r="AH175" s="534" t="n">
        <v>315819.24</v>
      </c>
      <c r="AI175" s="533" t="n">
        <v>2060754.14</v>
      </c>
      <c r="AJ175" s="533" t="n">
        <v>2376573.38</v>
      </c>
      <c r="AK175" s="534" t="n">
        <v>2915728.83</v>
      </c>
      <c r="AL175" s="534"/>
      <c r="AM175" s="529" t="s">
        <v>11373</v>
      </c>
      <c r="AN175" s="1" t="e">
        <f aca="false">IF(AND($B175=Subj_OccCode,Subj_BldgSF&gt;0,ABS($J175-Subj_BldgSF)&lt;=Subj_BldgSF*Subj_SizeTol),ABS($J175-Subj_BldgSF),NA())</f>
        <v>#N/A</v>
      </c>
      <c r="AO175" s="1" t="e">
        <f aca="false">IF(ISNA(AN175),NA(),AN175+ROW()/10000000)</f>
        <v>#N/A</v>
      </c>
      <c r="AR175" s="290" t="str">
        <f aca="false">IF(B175="","",IFERROR(INDEX(OCC_TABLE_DESC,MATCH(B175,OCC_TABLE_CODE,0)),"Unrecognized code"))</f>
        <v>Cold Storage Warehouse</v>
      </c>
    </row>
    <row r="176" customFormat="false" ht="25.5" hidden="false" customHeight="true" outlineLevel="0" collapsed="false">
      <c r="A176" s="519" t="s">
        <v>11143</v>
      </c>
      <c r="B176" s="508" t="n">
        <v>407</v>
      </c>
      <c r="C176" s="519" t="s">
        <v>11144</v>
      </c>
      <c r="D176" s="529" t="s">
        <v>11145</v>
      </c>
      <c r="E176" s="519" t="s">
        <v>9525</v>
      </c>
      <c r="F176" s="519" t="s">
        <v>10702</v>
      </c>
      <c r="G176" s="519" t="s">
        <v>2692</v>
      </c>
      <c r="H176" s="529" t="s">
        <v>11118</v>
      </c>
      <c r="I176" s="519" t="n">
        <v>1998</v>
      </c>
      <c r="J176" s="519" t="n">
        <v>64501</v>
      </c>
      <c r="K176" s="519" t="n">
        <v>2023</v>
      </c>
      <c r="L176" s="519"/>
      <c r="M176" s="519"/>
      <c r="N176" s="519"/>
      <c r="O176" s="530" t="n">
        <v>9589</v>
      </c>
      <c r="P176" s="530" t="n">
        <v>23542</v>
      </c>
      <c r="Q176" s="519"/>
      <c r="R176" s="519"/>
      <c r="S176" s="519"/>
      <c r="T176" s="519"/>
      <c r="U176" s="519"/>
      <c r="V176" s="519"/>
      <c r="W176" s="519"/>
      <c r="X176" s="519"/>
      <c r="Y176" s="519"/>
      <c r="Z176" s="519"/>
      <c r="AA176" s="519"/>
      <c r="AB176" s="519"/>
      <c r="AC176" s="519"/>
      <c r="AD176" s="519"/>
      <c r="AE176" s="519"/>
      <c r="AF176" s="519"/>
      <c r="AG176" s="519"/>
      <c r="AH176" s="519"/>
      <c r="AI176" s="530" t="n">
        <v>201248</v>
      </c>
      <c r="AJ176" s="530" t="n">
        <v>234379</v>
      </c>
      <c r="AK176" s="519"/>
      <c r="AL176" s="519"/>
      <c r="AM176" s="529" t="s">
        <v>11374</v>
      </c>
      <c r="AN176" s="1" t="e">
        <f aca="false">IF(AND($B176=Subj_OccCode,Subj_BldgSF&gt;0,ABS($J176-Subj_BldgSF)&lt;=Subj_BldgSF*Subj_SizeTol),ABS($J176-Subj_BldgSF),NA())</f>
        <v>#N/A</v>
      </c>
      <c r="AO176" s="1" t="e">
        <f aca="false">IF(ISNA(AN176),NA(),AN176+ROW()/10000000)</f>
        <v>#N/A</v>
      </c>
      <c r="AR176" s="290" t="str">
        <f aca="false">IF(B176="","",IFERROR(INDEX(OCC_TABLE_DESC,MATCH(B176,OCC_TABLE_CODE,0)),"Unrecognized code"))</f>
        <v>Distribution Warehouse</v>
      </c>
    </row>
    <row r="177" customFormat="false" ht="25.5" hidden="false" customHeight="true" outlineLevel="0" collapsed="false">
      <c r="A177" s="519" t="s">
        <v>11143</v>
      </c>
      <c r="B177" s="508" t="n">
        <v>407</v>
      </c>
      <c r="C177" s="519" t="s">
        <v>11144</v>
      </c>
      <c r="D177" s="529" t="s">
        <v>11145</v>
      </c>
      <c r="E177" s="519" t="s">
        <v>9525</v>
      </c>
      <c r="F177" s="519" t="s">
        <v>10702</v>
      </c>
      <c r="G177" s="519" t="s">
        <v>2692</v>
      </c>
      <c r="H177" s="529" t="s">
        <v>11118</v>
      </c>
      <c r="I177" s="519" t="n">
        <v>1998</v>
      </c>
      <c r="J177" s="519" t="n">
        <v>64501</v>
      </c>
      <c r="K177" s="519" t="n">
        <v>2024</v>
      </c>
      <c r="L177" s="519"/>
      <c r="M177" s="519"/>
      <c r="N177" s="519"/>
      <c r="O177" s="530" t="n">
        <v>7536</v>
      </c>
      <c r="P177" s="530" t="n">
        <v>23889</v>
      </c>
      <c r="Q177" s="519"/>
      <c r="R177" s="519"/>
      <c r="S177" s="519"/>
      <c r="T177" s="519"/>
      <c r="U177" s="519"/>
      <c r="V177" s="519"/>
      <c r="W177" s="519"/>
      <c r="X177" s="519"/>
      <c r="Y177" s="519"/>
      <c r="Z177" s="519"/>
      <c r="AA177" s="519"/>
      <c r="AB177" s="519"/>
      <c r="AC177" s="519"/>
      <c r="AD177" s="519"/>
      <c r="AE177" s="519"/>
      <c r="AF177" s="519"/>
      <c r="AG177" s="519"/>
      <c r="AH177" s="519"/>
      <c r="AI177" s="530" t="n">
        <v>244551</v>
      </c>
      <c r="AJ177" s="530" t="n">
        <v>275976</v>
      </c>
      <c r="AK177" s="519"/>
      <c r="AL177" s="519"/>
      <c r="AM177" s="529" t="s">
        <v>11375</v>
      </c>
      <c r="AN177" s="1" t="e">
        <f aca="false">IF(AND($B177=Subj_OccCode,Subj_BldgSF&gt;0,ABS($J177-Subj_BldgSF)&lt;=Subj_BldgSF*Subj_SizeTol),ABS($J177-Subj_BldgSF),NA())</f>
        <v>#N/A</v>
      </c>
      <c r="AO177" s="1" t="e">
        <f aca="false">IF(ISNA(AN177),NA(),AN177+ROW()/10000000)</f>
        <v>#N/A</v>
      </c>
      <c r="AR177" s="290" t="str">
        <f aca="false">IF(B177="","",IFERROR(INDEX(OCC_TABLE_DESC,MATCH(B177,OCC_TABLE_CODE,0)),"Unrecognized code"))</f>
        <v>Distribution Warehouse</v>
      </c>
    </row>
    <row r="178" customFormat="false" ht="38.25" hidden="false" customHeight="true" outlineLevel="0" collapsed="false">
      <c r="A178" s="519" t="s">
        <v>10858</v>
      </c>
      <c r="B178" s="508" t="n">
        <v>407</v>
      </c>
      <c r="C178" s="519" t="s">
        <v>2343</v>
      </c>
      <c r="D178" s="529" t="s">
        <v>2505</v>
      </c>
      <c r="E178" s="519" t="s">
        <v>4743</v>
      </c>
      <c r="F178" s="519" t="s">
        <v>10702</v>
      </c>
      <c r="G178" s="519" t="s">
        <v>2692</v>
      </c>
      <c r="H178" s="529" t="s">
        <v>11376</v>
      </c>
      <c r="I178" s="531" t="n">
        <v>2001</v>
      </c>
      <c r="J178" s="532" t="n">
        <v>200090</v>
      </c>
      <c r="K178" s="531" t="n">
        <v>2024</v>
      </c>
      <c r="L178" s="534" t="n">
        <v>865747.06</v>
      </c>
      <c r="M178" s="534" t="n">
        <v>782696.19</v>
      </c>
      <c r="N178" s="534" t="n">
        <v>1648443.25</v>
      </c>
      <c r="O178" s="533" t="n">
        <v>26308</v>
      </c>
      <c r="P178" s="533" t="n">
        <v>48882.34</v>
      </c>
      <c r="Q178" s="534" t="n">
        <v>1039.79</v>
      </c>
      <c r="R178" s="534" t="n">
        <v>1716.63</v>
      </c>
      <c r="S178" s="534" t="n">
        <v>56856.86</v>
      </c>
      <c r="T178" s="534" t="n">
        <v>6070.35</v>
      </c>
      <c r="U178" s="534" t="n">
        <v>7131.74</v>
      </c>
      <c r="V178" s="534" t="n">
        <v>6855</v>
      </c>
      <c r="W178" s="534" t="n">
        <v>2263.28</v>
      </c>
      <c r="X178" s="534" t="n">
        <v>19731.49</v>
      </c>
      <c r="Y178" s="534" t="n">
        <v>101665.14</v>
      </c>
      <c r="Z178" s="534"/>
      <c r="AA178" s="534" t="n">
        <v>20192.54</v>
      </c>
      <c r="AB178" s="534" t="n">
        <v>20425.46</v>
      </c>
      <c r="AC178" s="533" t="n">
        <v>40618</v>
      </c>
      <c r="AD178" s="533" t="n">
        <v>30337.63</v>
      </c>
      <c r="AE178" s="534" t="n">
        <v>18166.87</v>
      </c>
      <c r="AF178" s="533" t="n">
        <v>72124.12</v>
      </c>
      <c r="AG178" s="534" t="n">
        <v>22350.74</v>
      </c>
      <c r="AH178" s="534" t="n">
        <v>311948.34</v>
      </c>
      <c r="AI178" s="533" t="n">
        <v>560527.09</v>
      </c>
      <c r="AJ178" s="533" t="n">
        <v>872475.43</v>
      </c>
      <c r="AK178" s="534" t="n">
        <v>775967.82</v>
      </c>
      <c r="AL178" s="534"/>
      <c r="AM178" s="529" t="s">
        <v>11377</v>
      </c>
      <c r="AN178" s="1" t="e">
        <f aca="false">IF(AND($B178=Subj_OccCode,Subj_BldgSF&gt;0,ABS($J178-Subj_BldgSF)&lt;=Subj_BldgSF*Subj_SizeTol),ABS($J178-Subj_BldgSF),NA())</f>
        <v>#N/A</v>
      </c>
      <c r="AO178" s="1" t="e">
        <f aca="false">IF(ISNA(AN178),NA(),AN178+ROW()/10000000)</f>
        <v>#N/A</v>
      </c>
      <c r="AR178" s="290" t="str">
        <f aca="false">IF(B178="","",IFERROR(INDEX(OCC_TABLE_DESC,MATCH(B178,OCC_TABLE_CODE,0)),"Unrecognized code"))</f>
        <v>Distribution Warehouse</v>
      </c>
    </row>
    <row r="179" customFormat="false" ht="38.25" hidden="false" customHeight="true" outlineLevel="0" collapsed="false">
      <c r="A179" s="519" t="s">
        <v>10863</v>
      </c>
      <c r="B179" s="508" t="n">
        <v>407</v>
      </c>
      <c r="C179" s="519" t="s">
        <v>10864</v>
      </c>
      <c r="D179" s="529" t="s">
        <v>11378</v>
      </c>
      <c r="E179" s="519" t="s">
        <v>9525</v>
      </c>
      <c r="F179" s="519" t="s">
        <v>10702</v>
      </c>
      <c r="G179" s="519" t="s">
        <v>2692</v>
      </c>
      <c r="H179" s="529" t="s">
        <v>11118</v>
      </c>
      <c r="I179" s="519"/>
      <c r="J179" s="519"/>
      <c r="K179" s="519" t="n">
        <v>2024</v>
      </c>
      <c r="L179" s="519"/>
      <c r="M179" s="519"/>
      <c r="N179" s="519"/>
      <c r="O179" s="530" t="n">
        <v>24025</v>
      </c>
      <c r="P179" s="530" t="n">
        <v>65817</v>
      </c>
      <c r="Q179" s="519"/>
      <c r="R179" s="519"/>
      <c r="S179" s="519"/>
      <c r="T179" s="519"/>
      <c r="U179" s="519"/>
      <c r="V179" s="519"/>
      <c r="W179" s="519"/>
      <c r="X179" s="519"/>
      <c r="Y179" s="519"/>
      <c r="Z179" s="519"/>
      <c r="AA179" s="519"/>
      <c r="AB179" s="519"/>
      <c r="AC179" s="530" t="n">
        <v>128840</v>
      </c>
      <c r="AD179" s="530" t="n">
        <v>69481</v>
      </c>
      <c r="AE179" s="519"/>
      <c r="AF179" s="530" t="n">
        <v>69481</v>
      </c>
      <c r="AG179" s="519"/>
      <c r="AH179" s="519"/>
      <c r="AI179" s="530" t="n">
        <v>598274</v>
      </c>
      <c r="AJ179" s="530" t="n">
        <v>886437</v>
      </c>
      <c r="AK179" s="519"/>
      <c r="AL179" s="519"/>
      <c r="AM179" s="529" t="s">
        <v>11379</v>
      </c>
      <c r="AN179" s="1" t="e">
        <f aca="false">IF(AND($B179=Subj_OccCode,Subj_BldgSF&gt;0,ABS($J179-Subj_BldgSF)&lt;=Subj_BldgSF*Subj_SizeTol),ABS($J179-Subj_BldgSF),NA())</f>
        <v>#N/A</v>
      </c>
      <c r="AO179" s="1" t="e">
        <f aca="false">IF(ISNA(AN179),NA(),AN179+ROW()/10000000)</f>
        <v>#N/A</v>
      </c>
      <c r="AR179" s="290" t="str">
        <f aca="false">IF(B179="","",IFERROR(INDEX(OCC_TABLE_DESC,MATCH(B179,OCC_TABLE_CODE,0)),"Unrecognized code"))</f>
        <v>Distribution Warehouse</v>
      </c>
    </row>
    <row r="180" customFormat="false" ht="38.25" hidden="false" customHeight="true" outlineLevel="0" collapsed="false">
      <c r="A180" s="519" t="s">
        <v>10883</v>
      </c>
      <c r="B180" s="508" t="n">
        <v>407</v>
      </c>
      <c r="C180" s="519" t="s">
        <v>10884</v>
      </c>
      <c r="D180" s="529" t="s">
        <v>11380</v>
      </c>
      <c r="E180" s="519" t="s">
        <v>9525</v>
      </c>
      <c r="F180" s="519" t="s">
        <v>10702</v>
      </c>
      <c r="G180" s="519" t="s">
        <v>2692</v>
      </c>
      <c r="H180" s="529" t="s">
        <v>11118</v>
      </c>
      <c r="I180" s="519"/>
      <c r="J180" s="519" t="n">
        <v>215461</v>
      </c>
      <c r="K180" s="519" t="n">
        <v>2024</v>
      </c>
      <c r="L180" s="519"/>
      <c r="M180" s="519"/>
      <c r="N180" s="519"/>
      <c r="O180" s="530" t="n">
        <v>30832</v>
      </c>
      <c r="P180" s="530" t="n">
        <v>71321</v>
      </c>
      <c r="Q180" s="519"/>
      <c r="R180" s="519"/>
      <c r="S180" s="519"/>
      <c r="T180" s="519"/>
      <c r="U180" s="519"/>
      <c r="V180" s="519"/>
      <c r="W180" s="519"/>
      <c r="X180" s="519"/>
      <c r="Y180" s="519"/>
      <c r="Z180" s="519"/>
      <c r="AA180" s="519"/>
      <c r="AB180" s="519"/>
      <c r="AC180" s="530" t="n">
        <v>127177</v>
      </c>
      <c r="AD180" s="530" t="n">
        <v>101924</v>
      </c>
      <c r="AE180" s="519"/>
      <c r="AF180" s="530" t="n">
        <v>101924</v>
      </c>
      <c r="AG180" s="519"/>
      <c r="AH180" s="519"/>
      <c r="AI180" s="530" t="n">
        <v>564450</v>
      </c>
      <c r="AJ180" s="530" t="n">
        <v>895704</v>
      </c>
      <c r="AK180" s="519"/>
      <c r="AL180" s="519"/>
      <c r="AM180" s="529" t="s">
        <v>11381</v>
      </c>
      <c r="AN180" s="1" t="e">
        <f aca="false">IF(AND($B180=Subj_OccCode,Subj_BldgSF&gt;0,ABS($J180-Subj_BldgSF)&lt;=Subj_BldgSF*Subj_SizeTol),ABS($J180-Subj_BldgSF),NA())</f>
        <v>#N/A</v>
      </c>
      <c r="AO180" s="1" t="e">
        <f aca="false">IF(ISNA(AN180),NA(),AN180+ROW()/10000000)</f>
        <v>#N/A</v>
      </c>
      <c r="AR180" s="290" t="str">
        <f aca="false">IF(B180="","",IFERROR(INDEX(OCC_TABLE_DESC,MATCH(B180,OCC_TABLE_CODE,0)),"Unrecognized code"))</f>
        <v>Distribution Warehouse</v>
      </c>
    </row>
    <row r="181" customFormat="false" ht="25.5" hidden="false" customHeight="true" outlineLevel="0" collapsed="false">
      <c r="A181" s="519" t="s">
        <v>10889</v>
      </c>
      <c r="B181" s="508" t="n">
        <v>407</v>
      </c>
      <c r="C181" s="519" t="s">
        <v>10890</v>
      </c>
      <c r="D181" s="529" t="s">
        <v>11382</v>
      </c>
      <c r="E181" s="519" t="s">
        <v>9525</v>
      </c>
      <c r="F181" s="519" t="s">
        <v>10702</v>
      </c>
      <c r="G181" s="519" t="s">
        <v>2692</v>
      </c>
      <c r="H181" s="529" t="s">
        <v>11118</v>
      </c>
      <c r="I181" s="519"/>
      <c r="J181" s="519" t="n">
        <v>200000</v>
      </c>
      <c r="K181" s="519" t="n">
        <v>2024</v>
      </c>
      <c r="L181" s="519"/>
      <c r="M181" s="519"/>
      <c r="N181" s="519"/>
      <c r="O181" s="530" t="n">
        <v>30594</v>
      </c>
      <c r="P181" s="530" t="n">
        <v>36085</v>
      </c>
      <c r="Q181" s="519"/>
      <c r="R181" s="519"/>
      <c r="S181" s="519"/>
      <c r="T181" s="519"/>
      <c r="U181" s="519"/>
      <c r="V181" s="519"/>
      <c r="W181" s="519"/>
      <c r="X181" s="519"/>
      <c r="Y181" s="519"/>
      <c r="Z181" s="519"/>
      <c r="AA181" s="519"/>
      <c r="AB181" s="519"/>
      <c r="AC181" s="530" t="n">
        <v>95792</v>
      </c>
      <c r="AD181" s="519"/>
      <c r="AE181" s="519"/>
      <c r="AF181" s="519"/>
      <c r="AG181" s="519"/>
      <c r="AH181" s="519"/>
      <c r="AI181" s="530" t="n">
        <v>608209</v>
      </c>
      <c r="AJ181" s="530" t="n">
        <v>770680</v>
      </c>
      <c r="AK181" s="519"/>
      <c r="AL181" s="519"/>
      <c r="AM181" s="529" t="s">
        <v>11383</v>
      </c>
      <c r="AN181" s="1" t="e">
        <f aca="false">IF(AND($B181=Subj_OccCode,Subj_BldgSF&gt;0,ABS($J181-Subj_BldgSF)&lt;=Subj_BldgSF*Subj_SizeTol),ABS($J181-Subj_BldgSF),NA())</f>
        <v>#N/A</v>
      </c>
      <c r="AO181" s="1" t="e">
        <f aca="false">IF(ISNA(AN181),NA(),AN181+ROW()/10000000)</f>
        <v>#N/A</v>
      </c>
      <c r="AR181" s="290" t="str">
        <f aca="false">IF(B181="","",IFERROR(INDEX(OCC_TABLE_DESC,MATCH(B181,OCC_TABLE_CODE,0)),"Unrecognized code"))</f>
        <v>Distribution Warehouse</v>
      </c>
    </row>
    <row r="182" customFormat="false" ht="38.25" hidden="false" customHeight="true" outlineLevel="0" collapsed="false">
      <c r="A182" s="519" t="s">
        <v>11000</v>
      </c>
      <c r="B182" s="508" t="n">
        <v>584</v>
      </c>
      <c r="C182" s="519" t="s">
        <v>11001</v>
      </c>
      <c r="D182" s="529" t="s">
        <v>11384</v>
      </c>
      <c r="E182" s="519" t="s">
        <v>9525</v>
      </c>
      <c r="F182" s="519" t="s">
        <v>10702</v>
      </c>
      <c r="G182" s="519" t="s">
        <v>2692</v>
      </c>
      <c r="H182" s="529" t="s">
        <v>11118</v>
      </c>
      <c r="I182" s="519"/>
      <c r="J182" s="519" t="n">
        <v>277690</v>
      </c>
      <c r="K182" s="519" t="n">
        <v>2024</v>
      </c>
      <c r="L182" s="519"/>
      <c r="M182" s="519"/>
      <c r="N182" s="519"/>
      <c r="O182" s="530" t="n">
        <v>80849</v>
      </c>
      <c r="P182" s="530" t="n">
        <v>172937</v>
      </c>
      <c r="Q182" s="519"/>
      <c r="R182" s="519"/>
      <c r="S182" s="519"/>
      <c r="T182" s="519"/>
      <c r="U182" s="519"/>
      <c r="V182" s="519"/>
      <c r="W182" s="519"/>
      <c r="X182" s="519"/>
      <c r="Y182" s="519"/>
      <c r="Z182" s="519"/>
      <c r="AA182" s="519"/>
      <c r="AB182" s="519"/>
      <c r="AC182" s="530" t="n">
        <v>282651</v>
      </c>
      <c r="AD182" s="530" t="n">
        <v>195945</v>
      </c>
      <c r="AE182" s="519"/>
      <c r="AF182" s="530" t="n">
        <v>195945</v>
      </c>
      <c r="AG182" s="519"/>
      <c r="AH182" s="519"/>
      <c r="AI182" s="530" t="n">
        <v>788195</v>
      </c>
      <c r="AJ182" s="530" t="n">
        <v>1520577</v>
      </c>
      <c r="AK182" s="519"/>
      <c r="AL182" s="519"/>
      <c r="AM182" s="529" t="s">
        <v>11385</v>
      </c>
      <c r="AN182" s="1" t="n">
        <f aca="false">IF(AND($B182=Subj_OccCode,Subj_BldgSF&gt;0,ABS($J182-Subj_BldgSF)&lt;=Subj_BldgSF*Subj_SizeTol),ABS($J182-Subj_BldgSF),NA())</f>
        <v>74550</v>
      </c>
      <c r="AO182" s="1" t="n">
        <f aca="false">IF(ISNA(AN182),NA(),AN182+ROW()/10000000)</f>
        <v>74550.0000182</v>
      </c>
      <c r="AR182" s="290" t="str">
        <f aca="false">IF(B182="","",IFERROR(INDEX(OCC_TABLE_DESC,MATCH(B182,OCC_TABLE_CODE,0)),"Unrecognized code"))</f>
        <v>Mega Warehouse</v>
      </c>
    </row>
    <row r="183" customFormat="false" ht="25.5" hidden="false" customHeight="true" outlineLevel="0" collapsed="false">
      <c r="A183" s="519" t="s">
        <v>11038</v>
      </c>
      <c r="B183" s="508" t="n">
        <v>210</v>
      </c>
      <c r="C183" s="519" t="s">
        <v>11039</v>
      </c>
      <c r="D183" s="529" t="s">
        <v>11386</v>
      </c>
      <c r="E183" s="519" t="s">
        <v>9525</v>
      </c>
      <c r="F183" s="519" t="s">
        <v>10702</v>
      </c>
      <c r="G183" s="519" t="s">
        <v>2692</v>
      </c>
      <c r="H183" s="529" t="s">
        <v>2692</v>
      </c>
      <c r="I183" s="519"/>
      <c r="J183" s="519"/>
      <c r="K183" s="519" t="n">
        <v>2023</v>
      </c>
      <c r="L183" s="519"/>
      <c r="M183" s="519"/>
      <c r="N183" s="519"/>
      <c r="O183" s="519"/>
      <c r="P183" s="519"/>
      <c r="Q183" s="519"/>
      <c r="R183" s="519"/>
      <c r="S183" s="519"/>
      <c r="T183" s="519"/>
      <c r="U183" s="519"/>
      <c r="V183" s="519"/>
      <c r="W183" s="519"/>
      <c r="X183" s="519"/>
      <c r="Y183" s="519"/>
      <c r="Z183" s="519"/>
      <c r="AA183" s="519"/>
      <c r="AB183" s="519"/>
      <c r="AC183" s="519"/>
      <c r="AD183" s="519"/>
      <c r="AE183" s="519"/>
      <c r="AF183" s="519"/>
      <c r="AG183" s="519"/>
      <c r="AH183" s="519"/>
      <c r="AI183" s="519"/>
      <c r="AJ183" s="519"/>
      <c r="AK183" s="530" t="n">
        <v>951113</v>
      </c>
      <c r="AL183" s="519"/>
      <c r="AM183" s="529" t="s">
        <v>11387</v>
      </c>
      <c r="AN183" s="1" t="e">
        <f aca="false">IF(AND($B183=Subj_OccCode,Subj_BldgSF&gt;0,ABS($J183-Subj_BldgSF)&lt;=Subj_BldgSF*Subj_SizeTol),ABS($J183-Subj_BldgSF),NA())</f>
        <v>#N/A</v>
      </c>
      <c r="AO183" s="1" t="e">
        <f aca="false">IF(ISNA(AN183),NA(),AN183+ROW()/10000000)</f>
        <v>#N/A</v>
      </c>
      <c r="AR183" s="290" t="str">
        <f aca="false">IF(B183="","",IFERROR(INDEX(OCC_TABLE_DESC,MATCH(B183,OCC_TABLE_CODE,0)),"Unrecognized code"))</f>
        <v>Industrial Flex Mall Building</v>
      </c>
    </row>
    <row r="184" customFormat="false" ht="25.5" hidden="false" customHeight="true" outlineLevel="0" collapsed="false">
      <c r="A184" s="519" t="s">
        <v>11038</v>
      </c>
      <c r="B184" s="508" t="n">
        <v>210</v>
      </c>
      <c r="C184" s="519" t="s">
        <v>11039</v>
      </c>
      <c r="D184" s="529" t="s">
        <v>11386</v>
      </c>
      <c r="E184" s="519" t="s">
        <v>9525</v>
      </c>
      <c r="F184" s="519" t="s">
        <v>10702</v>
      </c>
      <c r="G184" s="519" t="s">
        <v>2692</v>
      </c>
      <c r="H184" s="529" t="s">
        <v>2692</v>
      </c>
      <c r="I184" s="519"/>
      <c r="J184" s="519"/>
      <c r="K184" s="519" t="n">
        <v>2024</v>
      </c>
      <c r="L184" s="519"/>
      <c r="M184" s="519"/>
      <c r="N184" s="519"/>
      <c r="O184" s="519"/>
      <c r="P184" s="519"/>
      <c r="Q184" s="519"/>
      <c r="R184" s="519"/>
      <c r="S184" s="519"/>
      <c r="T184" s="519"/>
      <c r="U184" s="519"/>
      <c r="V184" s="519"/>
      <c r="W184" s="519"/>
      <c r="X184" s="519"/>
      <c r="Y184" s="519"/>
      <c r="Z184" s="519"/>
      <c r="AA184" s="519"/>
      <c r="AB184" s="519"/>
      <c r="AC184" s="519"/>
      <c r="AD184" s="519"/>
      <c r="AE184" s="519"/>
      <c r="AF184" s="519"/>
      <c r="AG184" s="519"/>
      <c r="AH184" s="519"/>
      <c r="AI184" s="519"/>
      <c r="AJ184" s="519"/>
      <c r="AK184" s="530" t="n">
        <v>1005999</v>
      </c>
      <c r="AL184" s="519"/>
      <c r="AM184" s="529" t="s">
        <v>11388</v>
      </c>
      <c r="AN184" s="1" t="e">
        <f aca="false">IF(AND($B184=Subj_OccCode,Subj_BldgSF&gt;0,ABS($J184-Subj_BldgSF)&lt;=Subj_BldgSF*Subj_SizeTol),ABS($J184-Subj_BldgSF),NA())</f>
        <v>#N/A</v>
      </c>
      <c r="AO184" s="1" t="e">
        <f aca="false">IF(ISNA(AN184),NA(),AN184+ROW()/10000000)</f>
        <v>#N/A</v>
      </c>
      <c r="AR184" s="290" t="str">
        <f aca="false">IF(B184="","",IFERROR(INDEX(OCC_TABLE_DESC,MATCH(B184,OCC_TABLE_CODE,0)),"Unrecognized code"))</f>
        <v>Industrial Flex Mall Building</v>
      </c>
    </row>
    <row r="185" customFormat="false" ht="38.25" hidden="false" customHeight="true" outlineLevel="0" collapsed="false">
      <c r="A185" s="519" t="s">
        <v>11147</v>
      </c>
      <c r="B185" s="508" t="n">
        <v>407</v>
      </c>
      <c r="C185" s="519" t="s">
        <v>11148</v>
      </c>
      <c r="D185" s="529" t="s">
        <v>11149</v>
      </c>
      <c r="E185" s="519" t="s">
        <v>1557</v>
      </c>
      <c r="F185" s="519" t="s">
        <v>10702</v>
      </c>
      <c r="G185" s="519" t="s">
        <v>2692</v>
      </c>
      <c r="H185" s="529" t="s">
        <v>1389</v>
      </c>
      <c r="I185" s="519" t="n">
        <v>1971</v>
      </c>
      <c r="J185" s="519" t="n">
        <v>127900</v>
      </c>
      <c r="K185" s="519" t="n">
        <v>2024</v>
      </c>
      <c r="L185" s="530" t="n">
        <v>831350</v>
      </c>
      <c r="M185" s="519"/>
      <c r="N185" s="530" t="n">
        <v>781469</v>
      </c>
      <c r="O185" s="519"/>
      <c r="P185" s="519"/>
      <c r="Q185" s="519"/>
      <c r="R185" s="519"/>
      <c r="S185" s="519"/>
      <c r="T185" s="519"/>
      <c r="U185" s="519"/>
      <c r="V185" s="519"/>
      <c r="W185" s="519"/>
      <c r="X185" s="519"/>
      <c r="Y185" s="519"/>
      <c r="Z185" s="519"/>
      <c r="AA185" s="519"/>
      <c r="AB185" s="519"/>
      <c r="AC185" s="519"/>
      <c r="AD185" s="519"/>
      <c r="AE185" s="519"/>
      <c r="AF185" s="519"/>
      <c r="AG185" s="519"/>
      <c r="AH185" s="530" t="n">
        <v>62518</v>
      </c>
      <c r="AI185" s="519"/>
      <c r="AJ185" s="530" t="n">
        <v>62518</v>
      </c>
      <c r="AK185" s="530" t="n">
        <v>718951</v>
      </c>
      <c r="AL185" s="519"/>
      <c r="AM185" s="529" t="s">
        <v>11389</v>
      </c>
      <c r="AN185" s="1" t="e">
        <f aca="false">IF(AND($B185=Subj_OccCode,Subj_BldgSF&gt;0,ABS($J185-Subj_BldgSF)&lt;=Subj_BldgSF*Subj_SizeTol),ABS($J185-Subj_BldgSF),NA())</f>
        <v>#N/A</v>
      </c>
      <c r="AO185" s="1" t="e">
        <f aca="false">IF(ISNA(AN185),NA(),AN185+ROW()/10000000)</f>
        <v>#N/A</v>
      </c>
      <c r="AR185" s="290" t="str">
        <f aca="false">IF(B185="","",IFERROR(INDEX(OCC_TABLE_DESC,MATCH(B185,OCC_TABLE_CODE,0)),"Unrecognized code"))</f>
        <v>Distribution Warehouse</v>
      </c>
    </row>
    <row r="186" customFormat="false" ht="38.25" hidden="false" customHeight="true" outlineLevel="0" collapsed="false">
      <c r="A186" s="519" t="s">
        <v>11152</v>
      </c>
      <c r="B186" s="508" t="n">
        <v>386</v>
      </c>
      <c r="C186" s="519" t="s">
        <v>11153</v>
      </c>
      <c r="D186" s="529" t="s">
        <v>11154</v>
      </c>
      <c r="E186" s="519" t="s">
        <v>4743</v>
      </c>
      <c r="F186" s="519" t="s">
        <v>10702</v>
      </c>
      <c r="G186" s="519" t="s">
        <v>10912</v>
      </c>
      <c r="H186" s="529" t="s">
        <v>10912</v>
      </c>
      <c r="I186" s="519" t="n">
        <v>1984</v>
      </c>
      <c r="J186" s="519" t="n">
        <v>63989</v>
      </c>
      <c r="K186" s="519" t="n">
        <v>2024</v>
      </c>
      <c r="L186" s="530" t="n">
        <v>963336</v>
      </c>
      <c r="M186" s="530" t="n">
        <v>12500</v>
      </c>
      <c r="N186" s="530" t="n">
        <v>831336</v>
      </c>
      <c r="O186" s="519"/>
      <c r="P186" s="519"/>
      <c r="Q186" s="519"/>
      <c r="R186" s="519"/>
      <c r="S186" s="519"/>
      <c r="T186" s="519"/>
      <c r="U186" s="519"/>
      <c r="V186" s="519"/>
      <c r="W186" s="519"/>
      <c r="X186" s="519"/>
      <c r="Y186" s="519"/>
      <c r="Z186" s="519"/>
      <c r="AA186" s="519"/>
      <c r="AB186" s="519"/>
      <c r="AC186" s="519"/>
      <c r="AD186" s="519"/>
      <c r="AE186" s="519"/>
      <c r="AF186" s="519"/>
      <c r="AG186" s="519"/>
      <c r="AH186" s="530" t="n">
        <v>166267</v>
      </c>
      <c r="AI186" s="519"/>
      <c r="AJ186" s="530" t="n">
        <v>199520</v>
      </c>
      <c r="AK186" s="530" t="n">
        <v>631815</v>
      </c>
      <c r="AL186" s="530" t="n">
        <v>33253</v>
      </c>
      <c r="AM186" s="529" t="s">
        <v>11390</v>
      </c>
      <c r="AN186" s="1" t="e">
        <f aca="false">IF(AND($B186=Subj_OccCode,Subj_BldgSF&gt;0,ABS($J186-Subj_BldgSF)&lt;=Subj_BldgSF*Subj_SizeTol),ABS($J186-Subj_BldgSF),NA())</f>
        <v>#N/A</v>
      </c>
      <c r="AO186" s="1" t="e">
        <f aca="false">IF(ISNA(AN186),NA(),AN186+ROW()/10000000)</f>
        <v>#N/A</v>
      </c>
      <c r="AR186" s="290" t="str">
        <f aca="false">IF(B186="","",IFERROR(INDEX(OCC_TABLE_DESC,MATCH(B186,OCC_TABLE_CODE,0)),"Unrecognized code"))</f>
        <v>Mini Warehouse</v>
      </c>
    </row>
    <row r="187" customFormat="false" ht="38.25" hidden="false" customHeight="true" outlineLevel="0" collapsed="false">
      <c r="A187" s="519" t="s">
        <v>11157</v>
      </c>
      <c r="B187" s="508" t="n">
        <v>407</v>
      </c>
      <c r="C187" s="519" t="s">
        <v>11158</v>
      </c>
      <c r="D187" s="529" t="s">
        <v>11159</v>
      </c>
      <c r="E187" s="519" t="s">
        <v>4743</v>
      </c>
      <c r="F187" s="519" t="s">
        <v>10702</v>
      </c>
      <c r="G187" s="519" t="s">
        <v>2692</v>
      </c>
      <c r="H187" s="529" t="s">
        <v>11160</v>
      </c>
      <c r="I187" s="519"/>
      <c r="J187" s="519" t="n">
        <v>117280</v>
      </c>
      <c r="K187" s="519" t="n">
        <v>2024</v>
      </c>
      <c r="L187" s="519"/>
      <c r="M187" s="519"/>
      <c r="N187" s="519"/>
      <c r="O187" s="530" t="n">
        <v>56500</v>
      </c>
      <c r="P187" s="530" t="n">
        <v>452446</v>
      </c>
      <c r="Q187" s="519"/>
      <c r="R187" s="519"/>
      <c r="S187" s="519"/>
      <c r="T187" s="519"/>
      <c r="U187" s="519"/>
      <c r="V187" s="519"/>
      <c r="W187" s="519"/>
      <c r="X187" s="530" t="n">
        <v>219534</v>
      </c>
      <c r="Y187" s="530" t="n">
        <v>219534</v>
      </c>
      <c r="Z187" s="530" t="n">
        <v>13813</v>
      </c>
      <c r="AA187" s="530" t="n">
        <v>4696</v>
      </c>
      <c r="AB187" s="519"/>
      <c r="AC187" s="530" t="n">
        <v>18509</v>
      </c>
      <c r="AD187" s="519"/>
      <c r="AE187" s="519"/>
      <c r="AF187" s="530" t="n">
        <v>371508</v>
      </c>
      <c r="AG187" s="519"/>
      <c r="AH187" s="530" t="n">
        <v>1118497</v>
      </c>
      <c r="AI187" s="519"/>
      <c r="AJ187" s="530" t="n">
        <v>1118497</v>
      </c>
      <c r="AK187" s="519"/>
      <c r="AL187" s="519"/>
      <c r="AM187" s="529" t="s">
        <v>11391</v>
      </c>
      <c r="AN187" s="1" t="e">
        <f aca="false">IF(AND($B187=Subj_OccCode,Subj_BldgSF&gt;0,ABS($J187-Subj_BldgSF)&lt;=Subj_BldgSF*Subj_SizeTol),ABS($J187-Subj_BldgSF),NA())</f>
        <v>#N/A</v>
      </c>
      <c r="AO187" s="1" t="e">
        <f aca="false">IF(ISNA(AN187),NA(),AN187+ROW()/10000000)</f>
        <v>#N/A</v>
      </c>
      <c r="AR187" s="290" t="str">
        <f aca="false">IF(B187="","",IFERROR(INDEX(OCC_TABLE_DESC,MATCH(B187,OCC_TABLE_CODE,0)),"Unrecognized code"))</f>
        <v>Distribution Warehouse</v>
      </c>
    </row>
    <row r="188" customFormat="false" ht="25.5" hidden="false" customHeight="true" outlineLevel="0" collapsed="false">
      <c r="A188" s="519" t="s">
        <v>11163</v>
      </c>
      <c r="B188" s="508" t="n">
        <v>210</v>
      </c>
      <c r="C188" s="519" t="s">
        <v>11164</v>
      </c>
      <c r="D188" s="529" t="s">
        <v>11165</v>
      </c>
      <c r="E188" s="519" t="s">
        <v>4420</v>
      </c>
      <c r="F188" s="519" t="s">
        <v>10702</v>
      </c>
      <c r="G188" s="519" t="s">
        <v>2692</v>
      </c>
      <c r="H188" s="529" t="s">
        <v>11123</v>
      </c>
      <c r="I188" s="519"/>
      <c r="J188" s="519" t="n">
        <v>57200</v>
      </c>
      <c r="K188" s="519" t="n">
        <v>2023</v>
      </c>
      <c r="L188" s="530" t="n">
        <v>803900</v>
      </c>
      <c r="M188" s="519"/>
      <c r="N188" s="519"/>
      <c r="O188" s="530" t="n">
        <v>12548</v>
      </c>
      <c r="P188" s="530" t="n">
        <v>56144</v>
      </c>
      <c r="Q188" s="519"/>
      <c r="R188" s="519"/>
      <c r="S188" s="519"/>
      <c r="T188" s="519"/>
      <c r="U188" s="519"/>
      <c r="V188" s="519"/>
      <c r="W188" s="519"/>
      <c r="X188" s="530" t="n">
        <v>39723</v>
      </c>
      <c r="Y188" s="530" t="n">
        <v>39723</v>
      </c>
      <c r="Z188" s="530" t="n">
        <v>22410</v>
      </c>
      <c r="AA188" s="530" t="n">
        <v>1470</v>
      </c>
      <c r="AB188" s="519"/>
      <c r="AC188" s="530" t="n">
        <v>23880</v>
      </c>
      <c r="AD188" s="519"/>
      <c r="AE188" s="530" t="n">
        <v>6687</v>
      </c>
      <c r="AF188" s="530" t="n">
        <v>6687</v>
      </c>
      <c r="AG188" s="519"/>
      <c r="AH188" s="530" t="n">
        <v>138802</v>
      </c>
      <c r="AI188" s="519"/>
      <c r="AJ188" s="530" t="n">
        <v>138802</v>
      </c>
      <c r="AK188" s="519"/>
      <c r="AL188" s="519"/>
      <c r="AM188" s="529" t="s">
        <v>11392</v>
      </c>
      <c r="AN188" s="1" t="e">
        <f aca="false">IF(AND($B188=Subj_OccCode,Subj_BldgSF&gt;0,ABS($J188-Subj_BldgSF)&lt;=Subj_BldgSF*Subj_SizeTol),ABS($J188-Subj_BldgSF),NA())</f>
        <v>#N/A</v>
      </c>
      <c r="AO188" s="1" t="e">
        <f aca="false">IF(ISNA(AN188),NA(),AN188+ROW()/10000000)</f>
        <v>#N/A</v>
      </c>
      <c r="AR188" s="290" t="str">
        <f aca="false">IF(B188="","",IFERROR(INDEX(OCC_TABLE_DESC,MATCH(B188,OCC_TABLE_CODE,0)),"Unrecognized code"))</f>
        <v>Industrial Flex Mall Building</v>
      </c>
    </row>
    <row r="189" customFormat="false" ht="38.25" hidden="false" customHeight="true" outlineLevel="0" collapsed="false">
      <c r="A189" s="519" t="s">
        <v>11168</v>
      </c>
      <c r="B189" s="508" t="n">
        <v>210</v>
      </c>
      <c r="C189" s="519" t="s">
        <v>11169</v>
      </c>
      <c r="D189" s="529" t="s">
        <v>11170</v>
      </c>
      <c r="E189" s="519" t="s">
        <v>1557</v>
      </c>
      <c r="F189" s="519" t="s">
        <v>10702</v>
      </c>
      <c r="G189" s="519" t="s">
        <v>2692</v>
      </c>
      <c r="H189" s="529" t="s">
        <v>11171</v>
      </c>
      <c r="I189" s="519"/>
      <c r="J189" s="519" t="n">
        <v>70000</v>
      </c>
      <c r="K189" s="519" t="n">
        <v>2024</v>
      </c>
      <c r="L189" s="530" t="n">
        <v>539000</v>
      </c>
      <c r="M189" s="519"/>
      <c r="N189" s="519"/>
      <c r="O189" s="519"/>
      <c r="P189" s="530" t="n">
        <v>16170</v>
      </c>
      <c r="Q189" s="519"/>
      <c r="R189" s="519"/>
      <c r="S189" s="519"/>
      <c r="T189" s="519"/>
      <c r="U189" s="519"/>
      <c r="V189" s="519"/>
      <c r="W189" s="519"/>
      <c r="X189" s="530" t="n">
        <v>3600</v>
      </c>
      <c r="Y189" s="530" t="n">
        <v>3600</v>
      </c>
      <c r="Z189" s="519"/>
      <c r="AA189" s="530" t="n">
        <v>4000</v>
      </c>
      <c r="AB189" s="519"/>
      <c r="AC189" s="530" t="n">
        <v>4000</v>
      </c>
      <c r="AD189" s="519"/>
      <c r="AE189" s="519"/>
      <c r="AF189" s="519"/>
      <c r="AG189" s="519"/>
      <c r="AH189" s="530" t="n">
        <v>23770</v>
      </c>
      <c r="AI189" s="519"/>
      <c r="AJ189" s="530" t="n">
        <v>23770</v>
      </c>
      <c r="AK189" s="519"/>
      <c r="AL189" s="519"/>
      <c r="AM189" s="529" t="s">
        <v>11393</v>
      </c>
      <c r="AN189" s="1" t="e">
        <f aca="false">IF(AND($B189=Subj_OccCode,Subj_BldgSF&gt;0,ABS($J189-Subj_BldgSF)&lt;=Subj_BldgSF*Subj_SizeTol),ABS($J189-Subj_BldgSF),NA())</f>
        <v>#N/A</v>
      </c>
      <c r="AO189" s="1" t="e">
        <f aca="false">IF(ISNA(AN189),NA(),AN189+ROW()/10000000)</f>
        <v>#N/A</v>
      </c>
      <c r="AR189" s="290" t="str">
        <f aca="false">IF(B189="","",IFERROR(INDEX(OCC_TABLE_DESC,MATCH(B189,OCC_TABLE_CODE,0)),"Unrecognized code"))</f>
        <v>Industrial Flex Mall Building</v>
      </c>
    </row>
    <row r="190" customFormat="false" ht="25.5" hidden="false" customHeight="true" outlineLevel="0" collapsed="false">
      <c r="A190" s="519" t="s">
        <v>11173</v>
      </c>
      <c r="B190" s="508" t="n">
        <v>210</v>
      </c>
      <c r="C190" s="519" t="s">
        <v>11174</v>
      </c>
      <c r="D190" s="529" t="s">
        <v>11175</v>
      </c>
      <c r="E190" s="519" t="s">
        <v>4743</v>
      </c>
      <c r="F190" s="519" t="s">
        <v>10702</v>
      </c>
      <c r="G190" s="519" t="s">
        <v>2692</v>
      </c>
      <c r="H190" s="529" t="s">
        <v>11176</v>
      </c>
      <c r="I190" s="519"/>
      <c r="J190" s="519" t="n">
        <v>33574</v>
      </c>
      <c r="K190" s="519" t="n">
        <v>2024</v>
      </c>
      <c r="L190" s="530" t="n">
        <v>330000</v>
      </c>
      <c r="M190" s="519"/>
      <c r="N190" s="530" t="n">
        <v>330000</v>
      </c>
      <c r="O190" s="530" t="n">
        <v>8310</v>
      </c>
      <c r="P190" s="530" t="n">
        <v>16500</v>
      </c>
      <c r="Q190" s="519"/>
      <c r="R190" s="519"/>
      <c r="S190" s="519"/>
      <c r="T190" s="519"/>
      <c r="U190" s="519"/>
      <c r="V190" s="519"/>
      <c r="W190" s="519"/>
      <c r="X190" s="530" t="n">
        <v>18881</v>
      </c>
      <c r="Y190" s="530" t="n">
        <v>18881</v>
      </c>
      <c r="Z190" s="530" t="n">
        <v>9900</v>
      </c>
      <c r="AA190" s="530" t="n">
        <v>11300</v>
      </c>
      <c r="AB190" s="519"/>
      <c r="AC190" s="530" t="n">
        <v>21200</v>
      </c>
      <c r="AD190" s="519"/>
      <c r="AE190" s="530" t="n">
        <v>11540</v>
      </c>
      <c r="AF190" s="530" t="n">
        <v>11540</v>
      </c>
      <c r="AG190" s="519"/>
      <c r="AH190" s="530" t="n">
        <v>76431</v>
      </c>
      <c r="AI190" s="519"/>
      <c r="AJ190" s="530" t="n">
        <v>76431</v>
      </c>
      <c r="AK190" s="530" t="n">
        <v>253569</v>
      </c>
      <c r="AL190" s="519"/>
      <c r="AM190" s="529" t="s">
        <v>11394</v>
      </c>
      <c r="AN190" s="1" t="e">
        <f aca="false">IF(AND($B190=Subj_OccCode,Subj_BldgSF&gt;0,ABS($J190-Subj_BldgSF)&lt;=Subj_BldgSF*Subj_SizeTol),ABS($J190-Subj_BldgSF),NA())</f>
        <v>#N/A</v>
      </c>
      <c r="AO190" s="1" t="e">
        <f aca="false">IF(ISNA(AN190),NA(),AN190+ROW()/10000000)</f>
        <v>#N/A</v>
      </c>
      <c r="AR190" s="290" t="str">
        <f aca="false">IF(B190="","",IFERROR(INDEX(OCC_TABLE_DESC,MATCH(B190,OCC_TABLE_CODE,0)),"Unrecognized code"))</f>
        <v>Industrial Flex Mall Building</v>
      </c>
    </row>
    <row r="191" customFormat="false" ht="51" hidden="false" customHeight="true" outlineLevel="0" collapsed="false">
      <c r="A191" s="519" t="s">
        <v>11178</v>
      </c>
      <c r="B191" s="508" t="n">
        <v>1332</v>
      </c>
      <c r="C191" s="519" t="s">
        <v>11179</v>
      </c>
      <c r="D191" s="529" t="s">
        <v>11180</v>
      </c>
      <c r="E191" s="519" t="s">
        <v>4368</v>
      </c>
      <c r="F191" s="519" t="s">
        <v>10702</v>
      </c>
      <c r="G191" s="519" t="s">
        <v>11181</v>
      </c>
      <c r="H191" s="529" t="s">
        <v>11182</v>
      </c>
      <c r="I191" s="519" t="n">
        <v>1998</v>
      </c>
      <c r="J191" s="519"/>
      <c r="K191" s="519" t="n">
        <v>2024</v>
      </c>
      <c r="L191" s="530" t="n">
        <v>3007421</v>
      </c>
      <c r="M191" s="519"/>
      <c r="N191" s="530" t="n">
        <v>3007421</v>
      </c>
      <c r="O191" s="530" t="n">
        <v>45111</v>
      </c>
      <c r="P191" s="519"/>
      <c r="Q191" s="519"/>
      <c r="R191" s="519"/>
      <c r="S191" s="519"/>
      <c r="T191" s="519"/>
      <c r="U191" s="519"/>
      <c r="V191" s="519"/>
      <c r="W191" s="519"/>
      <c r="X191" s="519"/>
      <c r="Y191" s="519"/>
      <c r="Z191" s="519"/>
      <c r="AA191" s="519"/>
      <c r="AB191" s="519"/>
      <c r="AC191" s="519"/>
      <c r="AD191" s="519"/>
      <c r="AE191" s="519"/>
      <c r="AF191" s="519"/>
      <c r="AG191" s="530" t="n">
        <v>1975907</v>
      </c>
      <c r="AH191" s="530" t="n">
        <v>2143856</v>
      </c>
      <c r="AI191" s="519"/>
      <c r="AJ191" s="530" t="n">
        <v>2143856</v>
      </c>
      <c r="AK191" s="530" t="n">
        <v>863565</v>
      </c>
      <c r="AL191" s="519"/>
      <c r="AM191" s="529" t="s">
        <v>11395</v>
      </c>
      <c r="AN191" s="1" t="e">
        <f aca="false">IF(AND($B191=Subj_OccCode,Subj_BldgSF&gt;0,ABS($J191-Subj_BldgSF)&lt;=Subj_BldgSF*Subj_SizeTol),ABS($J191-Subj_BldgSF),NA())</f>
        <v>#N/A</v>
      </c>
      <c r="AO191" s="1" t="e">
        <f aca="false">IF(ISNA(AN191),NA(),AN191+ROW()/10000000)</f>
        <v>#N/A</v>
      </c>
      <c r="AR191" s="290" t="str">
        <f aca="false">IF(B191="","",IFERROR(INDEX(OCC_TABLE_DESC,MATCH(B191,OCC_TABLE_CODE,0)),"Unrecognized code"))</f>
        <v>Hotels - Limited Service</v>
      </c>
    </row>
    <row r="192" customFormat="false" ht="51" hidden="false" customHeight="true" outlineLevel="0" collapsed="false">
      <c r="A192" s="519" t="s">
        <v>11185</v>
      </c>
      <c r="B192" s="508" t="n">
        <v>332</v>
      </c>
      <c r="C192" s="519" t="s">
        <v>11186</v>
      </c>
      <c r="D192" s="529" t="s">
        <v>11187</v>
      </c>
      <c r="E192" s="519" t="s">
        <v>4743</v>
      </c>
      <c r="F192" s="519" t="s">
        <v>10702</v>
      </c>
      <c r="G192" s="519" t="s">
        <v>11181</v>
      </c>
      <c r="H192" s="529" t="s">
        <v>11188</v>
      </c>
      <c r="I192" s="519" t="n">
        <v>2023</v>
      </c>
      <c r="J192" s="519"/>
      <c r="K192" s="519" t="n">
        <v>2024</v>
      </c>
      <c r="L192" s="530" t="n">
        <v>11899487</v>
      </c>
      <c r="M192" s="519"/>
      <c r="N192" s="530" t="n">
        <v>11899487</v>
      </c>
      <c r="O192" s="530" t="n">
        <v>154693</v>
      </c>
      <c r="P192" s="519"/>
      <c r="Q192" s="519"/>
      <c r="R192" s="519"/>
      <c r="S192" s="519"/>
      <c r="T192" s="519"/>
      <c r="U192" s="519"/>
      <c r="V192" s="519"/>
      <c r="W192" s="519"/>
      <c r="X192" s="519"/>
      <c r="Y192" s="519"/>
      <c r="Z192" s="519"/>
      <c r="AA192" s="519"/>
      <c r="AB192" s="519"/>
      <c r="AC192" s="519"/>
      <c r="AD192" s="519"/>
      <c r="AE192" s="519"/>
      <c r="AF192" s="519"/>
      <c r="AG192" s="530" t="n">
        <v>8760469</v>
      </c>
      <c r="AH192" s="530" t="n">
        <v>8915468</v>
      </c>
      <c r="AI192" s="519"/>
      <c r="AJ192" s="530" t="n">
        <v>9391447</v>
      </c>
      <c r="AK192" s="530" t="n">
        <v>2984019</v>
      </c>
      <c r="AL192" s="530" t="n">
        <v>475979</v>
      </c>
      <c r="AM192" s="529" t="s">
        <v>11396</v>
      </c>
      <c r="AN192" s="1" t="e">
        <f aca="false">IF(AND($B192=Subj_OccCode,Subj_BldgSF&gt;0,ABS($J192-Subj_BldgSF)&lt;=Subj_BldgSF*Subj_SizeTol),ABS($J192-Subj_BldgSF),NA())</f>
        <v>#N/A</v>
      </c>
      <c r="AO192" s="1" t="e">
        <f aca="false">IF(ISNA(AN192),NA(),AN192+ROW()/10000000)</f>
        <v>#N/A</v>
      </c>
      <c r="AR192" s="290" t="str">
        <f aca="false">IF(B192="","",IFERROR(INDEX(OCC_TABLE_DESC,MATCH(B192,OCC_TABLE_CODE,0)),"Unrecognized code"))</f>
        <v>Hotel - Full Service</v>
      </c>
    </row>
    <row r="193" customFormat="false" ht="63.75" hidden="false" customHeight="true" outlineLevel="0" collapsed="false">
      <c r="A193" s="519" t="s">
        <v>11190</v>
      </c>
      <c r="B193" s="508" t="n">
        <v>332</v>
      </c>
      <c r="C193" s="519" t="s">
        <v>11191</v>
      </c>
      <c r="D193" s="529" t="s">
        <v>11192</v>
      </c>
      <c r="E193" s="519" t="s">
        <v>4368</v>
      </c>
      <c r="F193" s="519" t="s">
        <v>10702</v>
      </c>
      <c r="G193" s="519" t="s">
        <v>11181</v>
      </c>
      <c r="H193" s="529" t="s">
        <v>11188</v>
      </c>
      <c r="I193" s="519" t="n">
        <v>1984</v>
      </c>
      <c r="J193" s="519" t="n">
        <v>114796</v>
      </c>
      <c r="K193" s="519" t="n">
        <v>2024</v>
      </c>
      <c r="L193" s="530" t="n">
        <v>7626796</v>
      </c>
      <c r="M193" s="519"/>
      <c r="N193" s="530" t="n">
        <v>7626796</v>
      </c>
      <c r="O193" s="530" t="n">
        <v>99148</v>
      </c>
      <c r="P193" s="519"/>
      <c r="Q193" s="519"/>
      <c r="R193" s="519"/>
      <c r="S193" s="519"/>
      <c r="T193" s="519"/>
      <c r="U193" s="519"/>
      <c r="V193" s="519"/>
      <c r="W193" s="519"/>
      <c r="X193" s="519"/>
      <c r="Y193" s="519"/>
      <c r="Z193" s="519"/>
      <c r="AA193" s="519"/>
      <c r="AB193" s="519"/>
      <c r="AC193" s="519"/>
      <c r="AD193" s="519"/>
      <c r="AE193" s="519"/>
      <c r="AF193" s="519"/>
      <c r="AG193" s="530" t="n">
        <v>5596452</v>
      </c>
      <c r="AH193" s="530" t="n">
        <v>5901380</v>
      </c>
      <c r="AI193" s="519"/>
      <c r="AJ193" s="530" t="n">
        <v>6206452</v>
      </c>
      <c r="AK193" s="530" t="n">
        <v>1725416</v>
      </c>
      <c r="AL193" s="530" t="n">
        <v>305072</v>
      </c>
      <c r="AM193" s="529" t="s">
        <v>11397</v>
      </c>
      <c r="AN193" s="1" t="e">
        <f aca="false">IF(AND($B193=Subj_OccCode,Subj_BldgSF&gt;0,ABS($J193-Subj_BldgSF)&lt;=Subj_BldgSF*Subj_SizeTol),ABS($J193-Subj_BldgSF),NA())</f>
        <v>#N/A</v>
      </c>
      <c r="AO193" s="1" t="e">
        <f aca="false">IF(ISNA(AN193),NA(),AN193+ROW()/10000000)</f>
        <v>#N/A</v>
      </c>
      <c r="AR193" s="290" t="str">
        <f aca="false">IF(B193="","",IFERROR(INDEX(OCC_TABLE_DESC,MATCH(B193,OCC_TABLE_CODE,0)),"Unrecognized code"))</f>
        <v>Hotel - Full Service</v>
      </c>
    </row>
    <row r="194" customFormat="false" ht="25.5" hidden="false" customHeight="true" outlineLevel="0" collapsed="false">
      <c r="A194" s="519" t="s">
        <v>11194</v>
      </c>
      <c r="B194" s="508" t="n">
        <v>407</v>
      </c>
      <c r="C194" s="519" t="s">
        <v>10757</v>
      </c>
      <c r="D194" s="529" t="s">
        <v>11195</v>
      </c>
      <c r="E194" s="519" t="s">
        <v>4420</v>
      </c>
      <c r="F194" s="519" t="s">
        <v>10702</v>
      </c>
      <c r="G194" s="519" t="s">
        <v>2692</v>
      </c>
      <c r="H194" s="529" t="s">
        <v>11118</v>
      </c>
      <c r="I194" s="519"/>
      <c r="J194" s="519" t="n">
        <v>30000</v>
      </c>
      <c r="K194" s="519" t="n">
        <v>2024</v>
      </c>
      <c r="L194" s="530" t="n">
        <v>252000</v>
      </c>
      <c r="M194" s="519"/>
      <c r="N194" s="519"/>
      <c r="O194" s="530" t="n">
        <v>22704</v>
      </c>
      <c r="P194" s="530" t="n">
        <v>9500</v>
      </c>
      <c r="Q194" s="519"/>
      <c r="R194" s="519"/>
      <c r="S194" s="519"/>
      <c r="T194" s="519"/>
      <c r="U194" s="519"/>
      <c r="V194" s="519"/>
      <c r="W194" s="519"/>
      <c r="X194" s="530" t="n">
        <v>10941</v>
      </c>
      <c r="Y194" s="530" t="n">
        <v>10941</v>
      </c>
      <c r="Z194" s="530" t="n">
        <v>3493</v>
      </c>
      <c r="AA194" s="530" t="n">
        <v>6910</v>
      </c>
      <c r="AB194" s="519"/>
      <c r="AC194" s="530" t="n">
        <v>10403</v>
      </c>
      <c r="AD194" s="519"/>
      <c r="AE194" s="530" t="n">
        <v>1956</v>
      </c>
      <c r="AF194" s="530" t="n">
        <v>1956</v>
      </c>
      <c r="AG194" s="519"/>
      <c r="AH194" s="530" t="n">
        <v>55504</v>
      </c>
      <c r="AI194" s="519"/>
      <c r="AJ194" s="530" t="n">
        <v>55504</v>
      </c>
      <c r="AK194" s="519"/>
      <c r="AL194" s="519"/>
      <c r="AM194" s="529" t="s">
        <v>11398</v>
      </c>
      <c r="AN194" s="1" t="e">
        <f aca="false">IF(AND($B194=Subj_OccCode,Subj_BldgSF&gt;0,ABS($J194-Subj_BldgSF)&lt;=Subj_BldgSF*Subj_SizeTol),ABS($J194-Subj_BldgSF),NA())</f>
        <v>#N/A</v>
      </c>
      <c r="AO194" s="1" t="e">
        <f aca="false">IF(ISNA(AN194),NA(),AN194+ROW()/10000000)</f>
        <v>#N/A</v>
      </c>
      <c r="AR194" s="290" t="str">
        <f aca="false">IF(B194="","",IFERROR(INDEX(OCC_TABLE_DESC,MATCH(B194,OCC_TABLE_CODE,0)),"Unrecognized code"))</f>
        <v>Distribution Warehouse</v>
      </c>
    </row>
    <row r="195" customFormat="false" ht="51" hidden="false" customHeight="true" outlineLevel="0" collapsed="false">
      <c r="A195" s="519" t="s">
        <v>11125</v>
      </c>
      <c r="B195" s="508" t="n">
        <v>407</v>
      </c>
      <c r="C195" s="519" t="s">
        <v>11126</v>
      </c>
      <c r="D195" s="529" t="s">
        <v>11399</v>
      </c>
      <c r="E195" s="519" t="s">
        <v>4743</v>
      </c>
      <c r="F195" s="519" t="s">
        <v>10702</v>
      </c>
      <c r="G195" s="519" t="s">
        <v>2692</v>
      </c>
      <c r="H195" s="529" t="s">
        <v>11118</v>
      </c>
      <c r="I195" s="519" t="n">
        <v>2016</v>
      </c>
      <c r="J195" s="519" t="n">
        <v>122106</v>
      </c>
      <c r="K195" s="519" t="n">
        <v>2024</v>
      </c>
      <c r="L195" s="519"/>
      <c r="M195" s="519"/>
      <c r="N195" s="519"/>
      <c r="O195" s="530" t="n">
        <v>7635</v>
      </c>
      <c r="P195" s="519"/>
      <c r="Q195" s="519"/>
      <c r="R195" s="519"/>
      <c r="S195" s="519"/>
      <c r="T195" s="519"/>
      <c r="U195" s="519"/>
      <c r="V195" s="519"/>
      <c r="W195" s="519"/>
      <c r="X195" s="530" t="n">
        <v>38871</v>
      </c>
      <c r="Y195" s="530" t="n">
        <v>38871</v>
      </c>
      <c r="Z195" s="530" t="n">
        <v>13785</v>
      </c>
      <c r="AA195" s="530" t="n">
        <v>11809</v>
      </c>
      <c r="AB195" s="519"/>
      <c r="AC195" s="530" t="n">
        <v>25594</v>
      </c>
      <c r="AD195" s="530" t="n">
        <v>58541</v>
      </c>
      <c r="AE195" s="519"/>
      <c r="AF195" s="530" t="n">
        <v>58541</v>
      </c>
      <c r="AG195" s="519"/>
      <c r="AH195" s="519"/>
      <c r="AI195" s="530" t="n">
        <v>532140</v>
      </c>
      <c r="AJ195" s="530" t="n">
        <v>662781</v>
      </c>
      <c r="AK195" s="519"/>
      <c r="AL195" s="519"/>
      <c r="AM195" s="529" t="s">
        <v>11400</v>
      </c>
      <c r="AN195" s="1" t="e">
        <f aca="false">IF(AND($B195=Subj_OccCode,Subj_BldgSF&gt;0,ABS($J195-Subj_BldgSF)&lt;=Subj_BldgSF*Subj_SizeTol),ABS($J195-Subj_BldgSF),NA())</f>
        <v>#N/A</v>
      </c>
      <c r="AO195" s="1" t="e">
        <f aca="false">IF(ISNA(AN195),NA(),AN195+ROW()/10000000)</f>
        <v>#N/A</v>
      </c>
      <c r="AR195" s="290" t="str">
        <f aca="false">IF(B195="","",IFERROR(INDEX(OCC_TABLE_DESC,MATCH(B195,OCC_TABLE_CODE,0)),"Unrecognized code"))</f>
        <v>Distribution Warehouse</v>
      </c>
    </row>
    <row r="196" customFormat="false" ht="52.5" hidden="false" customHeight="true" outlineLevel="0" collapsed="false">
      <c r="A196" s="1" t="s">
        <v>11197</v>
      </c>
      <c r="B196" s="508" t="n">
        <v>210</v>
      </c>
      <c r="C196" s="1" t="s">
        <v>11198</v>
      </c>
      <c r="D196" s="281" t="s">
        <v>11199</v>
      </c>
      <c r="E196" s="515" t="s">
        <v>4743</v>
      </c>
      <c r="F196" s="515" t="s">
        <v>10702</v>
      </c>
      <c r="G196" s="515" t="s">
        <v>2692</v>
      </c>
      <c r="H196" s="281" t="s">
        <v>11200</v>
      </c>
      <c r="J196" s="1" t="n">
        <v>187720</v>
      </c>
      <c r="K196" s="1" t="n">
        <v>2024</v>
      </c>
      <c r="L196" s="1" t="n">
        <v>1379735.79</v>
      </c>
      <c r="M196" s="1" t="n">
        <v>1145329.3</v>
      </c>
      <c r="N196" s="1" t="n">
        <v>2525065.09</v>
      </c>
      <c r="O196" s="1" t="n">
        <v>176616.01</v>
      </c>
      <c r="P196" s="1" t="n">
        <v>113481.13</v>
      </c>
      <c r="S196" s="1" t="n">
        <v>17075.9</v>
      </c>
      <c r="T196" s="1" t="n">
        <v>2503.95</v>
      </c>
      <c r="V196" s="1" t="n">
        <v>5930.82</v>
      </c>
      <c r="W196" s="1" t="n">
        <v>13699.17</v>
      </c>
      <c r="X196" s="1" t="n">
        <v>16241.98</v>
      </c>
      <c r="Y196" s="1" t="n">
        <v>55451.82</v>
      </c>
      <c r="AA196" s="1" t="n">
        <v>9292.15</v>
      </c>
      <c r="AB196" s="1" t="n">
        <v>32179.95</v>
      </c>
      <c r="AC196" s="1" t="n">
        <v>68623.1</v>
      </c>
      <c r="AD196" s="1" t="n">
        <v>29263.75</v>
      </c>
      <c r="AE196" s="1" t="n">
        <v>11425.16</v>
      </c>
      <c r="AF196" s="1" t="n">
        <v>40688.91</v>
      </c>
      <c r="AG196" s="1" t="n">
        <v>4476.68</v>
      </c>
      <c r="AH196" s="1" t="n">
        <v>592603.42</v>
      </c>
      <c r="AI196" s="1" t="n">
        <v>681745.35</v>
      </c>
      <c r="AJ196" s="1" t="n">
        <v>1274348.77</v>
      </c>
      <c r="AK196" s="1" t="n">
        <v>1250716.32</v>
      </c>
      <c r="AM196" s="281" t="s">
        <v>11401</v>
      </c>
      <c r="AN196" s="1" t="e">
        <f aca="false">IF(AND($B196=Subj_OccCode,Subj_BldgSF&gt;0,ABS($J196-Subj_BldgSF)&lt;=Subj_BldgSF*Subj_SizeTol),ABS($J196-Subj_BldgSF),NA())</f>
        <v>#N/A</v>
      </c>
      <c r="AO196" s="1" t="e">
        <f aca="false">IF(ISNA(AN196),NA(),AN196+ROW()/10000000)</f>
        <v>#N/A</v>
      </c>
      <c r="AR196" s="290" t="str">
        <f aca="false">IF(B196="","",IFERROR(INDEX(OCC_TABLE_DESC,MATCH(B196,OCC_TABLE_CODE,0)),"Unrecognized code"))</f>
        <v>Industrial Flex Mall Building</v>
      </c>
    </row>
    <row r="197" customFormat="false" ht="52.5" hidden="false" customHeight="true" outlineLevel="0" collapsed="false">
      <c r="A197" s="1" t="s">
        <v>11197</v>
      </c>
      <c r="B197" s="508" t="n">
        <v>210</v>
      </c>
      <c r="C197" s="1" t="s">
        <v>11198</v>
      </c>
      <c r="D197" s="281" t="s">
        <v>11199</v>
      </c>
      <c r="E197" s="515" t="s">
        <v>4743</v>
      </c>
      <c r="F197" s="515" t="s">
        <v>10702</v>
      </c>
      <c r="G197" s="515" t="s">
        <v>2692</v>
      </c>
      <c r="H197" s="281" t="s">
        <v>11200</v>
      </c>
      <c r="J197" s="1" t="n">
        <v>187720</v>
      </c>
      <c r="K197" s="1" t="n">
        <v>2023</v>
      </c>
      <c r="L197" s="1" t="n">
        <v>1185113.75</v>
      </c>
      <c r="M197" s="1" t="n">
        <v>1132267.35</v>
      </c>
      <c r="N197" s="1" t="n">
        <v>2317381.1</v>
      </c>
      <c r="O197" s="1" t="n">
        <v>116967.52</v>
      </c>
      <c r="P197" s="1" t="n">
        <v>106274.14</v>
      </c>
      <c r="S197" s="1" t="n">
        <v>3365.97</v>
      </c>
      <c r="T197" s="1" t="n">
        <v>4470.25</v>
      </c>
      <c r="V197" s="1" t="n">
        <v>27567.8</v>
      </c>
      <c r="W197" s="1" t="n">
        <v>17386.24</v>
      </c>
      <c r="X197" s="1" t="n">
        <v>15567.46</v>
      </c>
      <c r="Y197" s="1" t="n">
        <v>68357.72</v>
      </c>
      <c r="AA197" s="1" t="n">
        <v>10701.13</v>
      </c>
      <c r="AB197" s="1" t="n">
        <v>28242.53</v>
      </c>
      <c r="AC197" s="1" t="n">
        <v>91036.77</v>
      </c>
      <c r="AD197" s="1" t="n">
        <v>25899.28</v>
      </c>
      <c r="AE197" s="1" t="n">
        <v>11031.13</v>
      </c>
      <c r="AF197" s="1" t="n">
        <v>36930.41</v>
      </c>
      <c r="AG197" s="1" t="n">
        <v>9341.34</v>
      </c>
      <c r="AH197" s="1" t="n">
        <v>540838.58</v>
      </c>
      <c r="AI197" s="1" t="n">
        <v>659137.36</v>
      </c>
      <c r="AJ197" s="1" t="n">
        <v>1199975.94</v>
      </c>
      <c r="AK197" s="1" t="n">
        <v>1117405.16</v>
      </c>
      <c r="AM197" s="281" t="s">
        <v>11402</v>
      </c>
      <c r="AN197" s="1" t="e">
        <f aca="false">IF(AND($B197=Subj_OccCode,Subj_BldgSF&gt;0,ABS($J197-Subj_BldgSF)&lt;=Subj_BldgSF*Subj_SizeTol),ABS($J197-Subj_BldgSF),NA())</f>
        <v>#N/A</v>
      </c>
      <c r="AO197" s="1" t="e">
        <f aca="false">IF(ISNA(AN197),NA(),AN197+ROW()/10000000)</f>
        <v>#N/A</v>
      </c>
      <c r="AR197" s="290" t="str">
        <f aca="false">IF(B197="","",IFERROR(INDEX(OCC_TABLE_DESC,MATCH(B197,OCC_TABLE_CODE,0)),"Unrecognized code"))</f>
        <v>Industrial Flex Mall Building</v>
      </c>
    </row>
    <row r="198" customFormat="false" ht="12" hidden="false" customHeight="false" outlineLevel="0" collapsed="false">
      <c r="A198" s="1" t="s">
        <v>11403</v>
      </c>
      <c r="B198" s="1" t="n">
        <v>407</v>
      </c>
      <c r="C198" s="1" t="s">
        <v>2355</v>
      </c>
      <c r="D198" s="1" t="s">
        <v>11404</v>
      </c>
      <c r="E198" s="1" t="s">
        <v>4743</v>
      </c>
      <c r="F198" s="1" t="s">
        <v>10702</v>
      </c>
      <c r="G198" s="1" t="s">
        <v>2692</v>
      </c>
      <c r="H198" s="1" t="s">
        <v>11405</v>
      </c>
      <c r="I198" s="535" t="n">
        <v>1985</v>
      </c>
      <c r="J198" s="536" t="n">
        <v>200000</v>
      </c>
      <c r="K198" s="535" t="n">
        <v>2024</v>
      </c>
      <c r="L198" s="537" t="n">
        <v>698747.99</v>
      </c>
      <c r="M198" s="537" t="n">
        <v>663224.8</v>
      </c>
      <c r="N198" s="537" t="n">
        <v>1361972.79</v>
      </c>
      <c r="O198" s="537" t="n">
        <v>65797</v>
      </c>
      <c r="P198" s="537" t="n">
        <v>43037.28</v>
      </c>
      <c r="Q198" s="537"/>
      <c r="R198" s="537" t="n">
        <v>4433.48</v>
      </c>
      <c r="S198" s="537" t="n">
        <v>15031.6</v>
      </c>
      <c r="T198" s="537" t="n">
        <v>4079.61</v>
      </c>
      <c r="U198" s="537" t="n">
        <v>5126.45</v>
      </c>
      <c r="V198" s="537"/>
      <c r="W198" s="537"/>
      <c r="X198" s="537" t="n">
        <v>310</v>
      </c>
      <c r="Y198" s="537" t="n">
        <v>28981.14</v>
      </c>
      <c r="Z198" s="537"/>
      <c r="AA198" s="537" t="n">
        <v>10960.97</v>
      </c>
      <c r="AB198" s="537" t="n">
        <v>12925.25</v>
      </c>
      <c r="AC198" s="537" t="n">
        <v>23886.22</v>
      </c>
      <c r="AD198" s="537" t="n">
        <v>24928.96</v>
      </c>
      <c r="AE198" s="537"/>
      <c r="AF198" s="537" t="n">
        <v>24928.96</v>
      </c>
      <c r="AG198" s="537" t="n">
        <v>2310</v>
      </c>
      <c r="AH198" s="537" t="n">
        <v>188940.6</v>
      </c>
      <c r="AI198" s="537" t="n">
        <v>423808.38</v>
      </c>
      <c r="AJ198" s="537" t="n">
        <v>612748.98</v>
      </c>
      <c r="AK198" s="537" t="n">
        <v>749223.81</v>
      </c>
      <c r="AL198" s="537"/>
      <c r="AM198" s="1" t="s">
        <v>11406</v>
      </c>
      <c r="AN198" s="1" t="e">
        <f aca="false">IF(AND($B198=Subj_OccCode,Subj_BldgSF&gt;0,ABS($J198-Subj_BldgSF)&lt;=Subj_BldgSF*Subj_SizeTol),ABS($J198-Subj_BldgSF),NA())</f>
        <v>#N/A</v>
      </c>
      <c r="AO198" s="1" t="e">
        <f aca="false">IF(ISNA(AN198),NA(),AN198+ROW()/10000000)</f>
        <v>#N/A</v>
      </c>
      <c r="AR198" s="1" t="str">
        <f aca="false">IF(B198="","",IFERROR(INDEX(OCC_TABLE_DESC,MATCH(B198,OCC_TABLE_CODE,0)),"Unrecognized code"))</f>
        <v>Distribution Warehouse</v>
      </c>
    </row>
    <row r="199" customFormat="false" ht="12" hidden="false" customHeight="false" outlineLevel="0" collapsed="false">
      <c r="A199" s="1" t="s">
        <v>11403</v>
      </c>
      <c r="B199" s="1" t="n">
        <v>407</v>
      </c>
      <c r="C199" s="1" t="s">
        <v>2355</v>
      </c>
      <c r="D199" s="1" t="s">
        <v>11404</v>
      </c>
      <c r="E199" s="1" t="s">
        <v>4743</v>
      </c>
      <c r="F199" s="1" t="s">
        <v>10702</v>
      </c>
      <c r="G199" s="1" t="s">
        <v>2692</v>
      </c>
      <c r="H199" s="1" t="s">
        <v>11405</v>
      </c>
      <c r="I199" s="535" t="n">
        <v>1985</v>
      </c>
      <c r="J199" s="536" t="n">
        <v>200000</v>
      </c>
      <c r="K199" s="535" t="n">
        <v>2023</v>
      </c>
      <c r="L199" s="537" t="n">
        <v>675674.68</v>
      </c>
      <c r="M199" s="537" t="n">
        <v>656555.27</v>
      </c>
      <c r="N199" s="537" t="n">
        <v>1332229.95</v>
      </c>
      <c r="O199" s="537" t="n">
        <v>29399</v>
      </c>
      <c r="P199" s="537" t="n">
        <v>38009.45</v>
      </c>
      <c r="Q199" s="537"/>
      <c r="R199" s="537" t="n">
        <v>2154.09</v>
      </c>
      <c r="S199" s="537" t="n">
        <v>46760.87</v>
      </c>
      <c r="T199" s="537" t="n">
        <v>1930</v>
      </c>
      <c r="U199" s="537" t="n">
        <v>19024.59</v>
      </c>
      <c r="V199" s="537"/>
      <c r="W199" s="537"/>
      <c r="X199" s="537" t="n">
        <v>3437</v>
      </c>
      <c r="Y199" s="537" t="n">
        <v>73306.55</v>
      </c>
      <c r="Z199" s="537"/>
      <c r="AA199" s="537" t="n">
        <v>21159.44</v>
      </c>
      <c r="AB199" s="537" t="n">
        <v>12819.5</v>
      </c>
      <c r="AC199" s="537" t="n">
        <v>33978.94</v>
      </c>
      <c r="AD199" s="537" t="n">
        <v>24936.52</v>
      </c>
      <c r="AE199" s="537"/>
      <c r="AF199" s="537" t="n">
        <v>24936.52</v>
      </c>
      <c r="AG199" s="537" t="n">
        <v>2910</v>
      </c>
      <c r="AH199" s="537" t="n">
        <v>202540.46</v>
      </c>
      <c r="AI199" s="537" t="n">
        <v>331843.02</v>
      </c>
      <c r="AJ199" s="537" t="n">
        <v>534383.48</v>
      </c>
      <c r="AK199" s="537" t="n">
        <v>797846.47</v>
      </c>
      <c r="AL199" s="537"/>
      <c r="AM199" s="1" t="s">
        <v>11407</v>
      </c>
      <c r="AN199" s="1" t="e">
        <f aca="false">IF(AND($B199=Subj_OccCode,Subj_BldgSF&gt;0,ABS($J199-Subj_BldgSF)&lt;=Subj_BldgSF*Subj_SizeTol),ABS($J199-Subj_BldgSF),NA())</f>
        <v>#N/A</v>
      </c>
      <c r="AO199" s="1" t="e">
        <f aca="false">IF(ISNA(AN199),NA(),AN199+ROW()/10000000)</f>
        <v>#N/A</v>
      </c>
      <c r="AR199" s="1" t="str">
        <f aca="false">IF(B199="","",IFERROR(INDEX(OCC_TABLE_DESC,MATCH(B199,OCC_TABLE_CODE,0)),"Unrecognized code"))</f>
        <v>Distribution Warehouse</v>
      </c>
    </row>
    <row r="200" customFormat="false" ht="12" hidden="false" customHeight="false" outlineLevel="0" collapsed="false">
      <c r="A200" s="1" t="s">
        <v>11403</v>
      </c>
      <c r="B200" s="1" t="n">
        <v>407</v>
      </c>
      <c r="C200" s="1" t="s">
        <v>2355</v>
      </c>
      <c r="D200" s="1" t="s">
        <v>11404</v>
      </c>
      <c r="E200" s="1" t="s">
        <v>4743</v>
      </c>
      <c r="F200" s="1" t="s">
        <v>10702</v>
      </c>
      <c r="G200" s="1" t="s">
        <v>2692</v>
      </c>
      <c r="H200" s="1" t="s">
        <v>11405</v>
      </c>
      <c r="I200" s="535" t="n">
        <v>1985</v>
      </c>
      <c r="J200" s="536" t="n">
        <v>200000</v>
      </c>
      <c r="K200" s="535" t="n">
        <v>2022</v>
      </c>
      <c r="L200" s="537" t="n">
        <v>652664.67</v>
      </c>
      <c r="M200" s="537" t="n">
        <v>505926.68</v>
      </c>
      <c r="N200" s="537" t="n">
        <v>1158591.35</v>
      </c>
      <c r="O200" s="537" t="n">
        <v>21571</v>
      </c>
      <c r="P200" s="537" t="n">
        <v>35162.86</v>
      </c>
      <c r="Q200" s="537"/>
      <c r="R200" s="537" t="n">
        <v>646</v>
      </c>
      <c r="S200" s="537" t="n">
        <v>20753.13</v>
      </c>
      <c r="T200" s="537" t="n">
        <v>3326</v>
      </c>
      <c r="U200" s="537" t="n">
        <v>1022.84</v>
      </c>
      <c r="V200" s="537"/>
      <c r="W200" s="537"/>
      <c r="X200" s="537" t="n">
        <v>2175</v>
      </c>
      <c r="Y200" s="537" t="n">
        <v>27922.97</v>
      </c>
      <c r="Z200" s="537"/>
      <c r="AA200" s="537" t="n">
        <v>13440.66</v>
      </c>
      <c r="AB200" s="537" t="n">
        <v>19352.66</v>
      </c>
      <c r="AC200" s="537" t="n">
        <v>32793.32</v>
      </c>
      <c r="AD200" s="537" t="n">
        <v>31675.08</v>
      </c>
      <c r="AE200" s="537" t="n">
        <v>216.16</v>
      </c>
      <c r="AF200" s="537" t="n">
        <v>31891.24</v>
      </c>
      <c r="AG200" s="537" t="n">
        <v>2421.59</v>
      </c>
      <c r="AH200" s="537" t="n">
        <v>151762.98</v>
      </c>
      <c r="AI200" s="537" t="n">
        <v>366203.26</v>
      </c>
      <c r="AJ200" s="537" t="n">
        <v>517966.24</v>
      </c>
      <c r="AK200" s="537" t="n">
        <v>640625.11</v>
      </c>
      <c r="AL200" s="537"/>
      <c r="AM200" s="1" t="s">
        <v>11408</v>
      </c>
      <c r="AN200" s="1" t="e">
        <f aca="false">IF(AND($B200=Subj_OccCode,Subj_BldgSF&gt;0,ABS($J200-Subj_BldgSF)&lt;=Subj_BldgSF*Subj_SizeTol),ABS($J200-Subj_BldgSF),NA())</f>
        <v>#N/A</v>
      </c>
      <c r="AO200" s="1" t="e">
        <f aca="false">IF(ISNA(AN200),NA(),AN200+ROW()/10000000)</f>
        <v>#N/A</v>
      </c>
      <c r="AR200" s="1" t="str">
        <f aca="false">IF(B200="","",IFERROR(INDEX(OCC_TABLE_DESC,MATCH(B200,OCC_TABLE_CODE,0)),"Unrecognized code"))</f>
        <v>Distribution Warehouse</v>
      </c>
    </row>
    <row r="201" customFormat="false" ht="12" hidden="false" customHeight="false" outlineLevel="0" collapsed="false">
      <c r="A201" s="1" t="s">
        <v>11409</v>
      </c>
      <c r="B201" s="1" t="n">
        <v>210</v>
      </c>
      <c r="C201" s="1" t="s">
        <v>11410</v>
      </c>
      <c r="D201" s="1" t="s">
        <v>2424</v>
      </c>
      <c r="E201" s="1" t="s">
        <v>1557</v>
      </c>
      <c r="F201" s="1" t="s">
        <v>10702</v>
      </c>
      <c r="G201" s="1" t="s">
        <v>2692</v>
      </c>
      <c r="H201" s="1" t="s">
        <v>11411</v>
      </c>
      <c r="I201" s="535"/>
      <c r="J201" s="536" t="n">
        <v>14400</v>
      </c>
      <c r="K201" s="535" t="n">
        <v>2024</v>
      </c>
      <c r="L201" s="537" t="n">
        <v>168399.6</v>
      </c>
      <c r="M201" s="537" t="n">
        <v>81272.6</v>
      </c>
      <c r="N201" s="537" t="n">
        <v>249672.2</v>
      </c>
      <c r="O201" s="537" t="n">
        <v>10241.26</v>
      </c>
      <c r="P201" s="537" t="n">
        <v>6000</v>
      </c>
      <c r="Q201" s="537"/>
      <c r="R201" s="537"/>
      <c r="S201" s="537"/>
      <c r="T201" s="537"/>
      <c r="U201" s="537"/>
      <c r="V201" s="537"/>
      <c r="W201" s="537" t="n">
        <v>200</v>
      </c>
      <c r="X201" s="537"/>
      <c r="Y201" s="537" t="n">
        <v>200</v>
      </c>
      <c r="Z201" s="537"/>
      <c r="AA201" s="537"/>
      <c r="AB201" s="537" t="n">
        <v>927.47</v>
      </c>
      <c r="AC201" s="537" t="n">
        <v>927.47</v>
      </c>
      <c r="AD201" s="537" t="n">
        <v>2569.85</v>
      </c>
      <c r="AE201" s="537"/>
      <c r="AF201" s="537" t="n">
        <v>2569.85</v>
      </c>
      <c r="AG201" s="537" t="n">
        <v>1658.68</v>
      </c>
      <c r="AH201" s="537" t="n">
        <v>21597.26</v>
      </c>
      <c r="AI201" s="537" t="n">
        <v>62852.62</v>
      </c>
      <c r="AJ201" s="537" t="n">
        <v>84449.88</v>
      </c>
      <c r="AK201" s="537" t="n">
        <v>165222.32</v>
      </c>
      <c r="AL201" s="537"/>
      <c r="AM201" s="1" t="s">
        <v>11412</v>
      </c>
      <c r="AN201" s="1" t="e">
        <f aca="false">IF(AND($B201=Subj_OccCode,Subj_BldgSF&gt;0,ABS($J201-Subj_BldgSF)&lt;=Subj_BldgSF*Subj_SizeTol),ABS($J201-Subj_BldgSF),NA())</f>
        <v>#N/A</v>
      </c>
      <c r="AO201" s="1" t="e">
        <f aca="false">IF(ISNA(AN201),NA(),AN201+ROW()/10000000)</f>
        <v>#N/A</v>
      </c>
      <c r="AR201" s="1" t="str">
        <f aca="false">IF(B201="","",IFERROR(INDEX(OCC_TABLE_DESC,MATCH(B201,OCC_TABLE_CODE,0)),"Unrecognized code"))</f>
        <v>Industrial Flex Mall Building</v>
      </c>
    </row>
    <row r="202" customFormat="false" ht="12" hidden="false" customHeight="false" outlineLevel="0" collapsed="false">
      <c r="A202" s="1" t="s">
        <v>11409</v>
      </c>
      <c r="B202" s="1" t="n">
        <v>210</v>
      </c>
      <c r="C202" s="1" t="s">
        <v>11410</v>
      </c>
      <c r="D202" s="1" t="s">
        <v>2424</v>
      </c>
      <c r="E202" s="1" t="s">
        <v>1557</v>
      </c>
      <c r="F202" s="1" t="s">
        <v>10702</v>
      </c>
      <c r="G202" s="1" t="s">
        <v>2692</v>
      </c>
      <c r="H202" s="1" t="s">
        <v>11411</v>
      </c>
      <c r="I202" s="535"/>
      <c r="J202" s="536" t="n">
        <v>14400</v>
      </c>
      <c r="K202" s="535" t="n">
        <v>2023</v>
      </c>
      <c r="L202" s="537" t="n">
        <v>157145.5</v>
      </c>
      <c r="M202" s="537" t="n">
        <v>90166.05</v>
      </c>
      <c r="N202" s="537" t="n">
        <v>247311.55</v>
      </c>
      <c r="O202" s="537" t="n">
        <v>8640.99</v>
      </c>
      <c r="P202" s="537" t="n">
        <v>6000</v>
      </c>
      <c r="Q202" s="537"/>
      <c r="R202" s="537" t="n">
        <v>1550</v>
      </c>
      <c r="S202" s="537" t="n">
        <v>47000</v>
      </c>
      <c r="T202" s="537"/>
      <c r="U202" s="537"/>
      <c r="V202" s="537" t="n">
        <v>810</v>
      </c>
      <c r="W202" s="537"/>
      <c r="X202" s="537"/>
      <c r="Y202" s="537" t="n">
        <v>49360</v>
      </c>
      <c r="Z202" s="537" t="n">
        <v>151.01</v>
      </c>
      <c r="AA202" s="537"/>
      <c r="AB202" s="537" t="n">
        <v>1016.31</v>
      </c>
      <c r="AC202" s="537" t="n">
        <v>1167.32</v>
      </c>
      <c r="AD202" s="537" t="n">
        <v>2157.08</v>
      </c>
      <c r="AE202" s="537"/>
      <c r="AF202" s="537" t="n">
        <v>2157.08</v>
      </c>
      <c r="AG202" s="537" t="n">
        <v>5258.83</v>
      </c>
      <c r="AH202" s="537" t="n">
        <v>72584.22</v>
      </c>
      <c r="AI202" s="537" t="n">
        <v>37726.76</v>
      </c>
      <c r="AJ202" s="537" t="n">
        <v>110310.98</v>
      </c>
      <c r="AK202" s="537" t="n">
        <v>137000.57</v>
      </c>
      <c r="AL202" s="537"/>
      <c r="AM202" s="1" t="s">
        <v>11413</v>
      </c>
      <c r="AN202" s="1" t="e">
        <f aca="false">IF(AND($B202=Subj_OccCode,Subj_BldgSF&gt;0,ABS($J202-Subj_BldgSF)&lt;=Subj_BldgSF*Subj_SizeTol),ABS($J202-Subj_BldgSF),NA())</f>
        <v>#N/A</v>
      </c>
      <c r="AO202" s="1" t="e">
        <f aca="false">IF(ISNA(AN202),NA(),AN202+ROW()/10000000)</f>
        <v>#N/A</v>
      </c>
      <c r="AR202" s="1" t="str">
        <f aca="false">IF(B202="","",IFERROR(INDEX(OCC_TABLE_DESC,MATCH(B202,OCC_TABLE_CODE,0)),"Unrecognized code"))</f>
        <v>Industrial Flex Mall Building</v>
      </c>
    </row>
    <row r="203" customFormat="false" ht="12" hidden="false" customHeight="false" outlineLevel="0" collapsed="false">
      <c r="A203" s="1" t="s">
        <v>11414</v>
      </c>
      <c r="B203" s="1" t="n">
        <v>406</v>
      </c>
      <c r="C203" s="1" t="s">
        <v>11415</v>
      </c>
      <c r="D203" s="1" t="s">
        <v>11416</v>
      </c>
      <c r="E203" s="1" t="s">
        <v>1557</v>
      </c>
      <c r="F203" s="1" t="s">
        <v>10702</v>
      </c>
      <c r="G203" s="1" t="s">
        <v>2692</v>
      </c>
      <c r="H203" s="1" t="s">
        <v>11417</v>
      </c>
      <c r="I203" s="535"/>
      <c r="J203" s="536" t="n">
        <v>17000</v>
      </c>
      <c r="K203" s="535" t="n">
        <v>2024</v>
      </c>
      <c r="L203" s="537"/>
      <c r="M203" s="537"/>
      <c r="N203" s="537"/>
      <c r="O203" s="537" t="n">
        <v>14050</v>
      </c>
      <c r="P203" s="537"/>
      <c r="Q203" s="537"/>
      <c r="R203" s="537"/>
      <c r="S203" s="537"/>
      <c r="T203" s="537"/>
      <c r="U203" s="537"/>
      <c r="V203" s="537"/>
      <c r="W203" s="537"/>
      <c r="X203" s="537" t="n">
        <v>10000</v>
      </c>
      <c r="Y203" s="537" t="n">
        <v>10000</v>
      </c>
      <c r="Z203" s="537"/>
      <c r="AA203" s="537"/>
      <c r="AB203" s="537" t="n">
        <v>12000</v>
      </c>
      <c r="AC203" s="537" t="n">
        <v>12000</v>
      </c>
      <c r="AD203" s="537"/>
      <c r="AE203" s="537"/>
      <c r="AF203" s="537" t="n">
        <v>102000</v>
      </c>
      <c r="AG203" s="537"/>
      <c r="AH203" s="537" t="n">
        <v>138050</v>
      </c>
      <c r="AI203" s="537"/>
      <c r="AJ203" s="537" t="n">
        <v>138050</v>
      </c>
      <c r="AK203" s="537"/>
      <c r="AL203" s="537"/>
      <c r="AM203" s="1" t="s">
        <v>11418</v>
      </c>
      <c r="AN203" s="1" t="e">
        <f aca="false">IF(AND($B203=Subj_OccCode,Subj_BldgSF&gt;0,ABS($J203-Subj_BldgSF)&lt;=Subj_BldgSF*Subj_SizeTol),ABS($J203-Subj_BldgSF),NA())</f>
        <v>#N/A</v>
      </c>
      <c r="AO203" s="1" t="e">
        <f aca="false">IF(ISNA(AN203),NA(),AN203+ROW()/10000000)</f>
        <v>#N/A</v>
      </c>
      <c r="AR203" s="1" t="str">
        <f aca="false">IF(B203="","",IFERROR(INDEX(OCC_TABLE_DESC,MATCH(B203,OCC_TABLE_CODE,0)),"Unrecognized code"))</f>
        <v>Storage Warehouse</v>
      </c>
    </row>
    <row r="204" customFormat="false" ht="12" hidden="false" customHeight="false" outlineLevel="0" collapsed="false">
      <c r="A204" s="1" t="s">
        <v>11419</v>
      </c>
      <c r="B204" s="1" t="n">
        <v>210</v>
      </c>
      <c r="C204" s="1" t="s">
        <v>2394</v>
      </c>
      <c r="D204" s="1" t="s">
        <v>11420</v>
      </c>
      <c r="E204" s="1" t="s">
        <v>1929</v>
      </c>
      <c r="F204" s="1" t="s">
        <v>10702</v>
      </c>
      <c r="G204" s="1" t="s">
        <v>2706</v>
      </c>
      <c r="H204" s="1" t="s">
        <v>11421</v>
      </c>
      <c r="I204" s="535"/>
      <c r="J204" s="536"/>
      <c r="K204" s="535" t="n">
        <v>2024</v>
      </c>
      <c r="L204" s="537" t="n">
        <v>307817</v>
      </c>
      <c r="M204" s="537"/>
      <c r="N204" s="537" t="n">
        <v>307817</v>
      </c>
      <c r="O204" s="537" t="n">
        <v>12004</v>
      </c>
      <c r="P204" s="537"/>
      <c r="Q204" s="537"/>
      <c r="R204" s="537"/>
      <c r="S204" s="537"/>
      <c r="T204" s="537"/>
      <c r="U204" s="537"/>
      <c r="V204" s="537"/>
      <c r="W204" s="537"/>
      <c r="X204" s="537" t="n">
        <v>100279</v>
      </c>
      <c r="Y204" s="537" t="n">
        <v>100279</v>
      </c>
      <c r="Z204" s="537"/>
      <c r="AA204" s="537"/>
      <c r="AB204" s="537"/>
      <c r="AC204" s="537" t="n">
        <v>0</v>
      </c>
      <c r="AD204" s="537"/>
      <c r="AE204" s="537"/>
      <c r="AF204" s="537" t="n">
        <v>4731</v>
      </c>
      <c r="AG204" s="537" t="n">
        <v>50754</v>
      </c>
      <c r="AH204" s="537" t="n">
        <v>167768</v>
      </c>
      <c r="AI204" s="537"/>
      <c r="AJ204" s="537" t="n">
        <v>167768</v>
      </c>
      <c r="AK204" s="537" t="n">
        <v>140049</v>
      </c>
      <c r="AL204" s="537"/>
      <c r="AM204" s="1" t="s">
        <v>11422</v>
      </c>
      <c r="AN204" s="1" t="e">
        <f aca="false">IF(AND($B204=Subj_OccCode,Subj_BldgSF&gt;0,ABS($J204-Subj_BldgSF)&lt;=Subj_BldgSF*Subj_SizeTol),ABS($J204-Subj_BldgSF),NA())</f>
        <v>#N/A</v>
      </c>
      <c r="AO204" s="1" t="e">
        <f aca="false">IF(ISNA(AN204),NA(),AN204+ROW()/10000000)</f>
        <v>#N/A</v>
      </c>
      <c r="AR204" s="1" t="str">
        <f aca="false">IF(B204="","",IFERROR(INDEX(OCC_TABLE_DESC,MATCH(B204,OCC_TABLE_CODE,0)),"Unrecognized code"))</f>
        <v>Industrial Flex Mall Building</v>
      </c>
    </row>
  </sheetData>
  <mergeCells count="2">
    <mergeCell ref="A1:AH1"/>
    <mergeCell ref="A2:AH2"/>
  </mergeCells>
  <dataValidations count="4">
    <dataValidation allowBlank="true" error="Pick a valid OCC code from the Occ Codes tab." errorStyle="stop" operator="between" showDropDown="false" showErrorMessage="true" showInputMessage="false" sqref="B4:B197" type="list">
      <formula1>OCC_TABLE_CODE</formula1>
      <formula2>0</formula2>
    </dataValidation>
    <dataValidation allowBlank="true" errorStyle="stop" operator="between" showDropDown="false" showErrorMessage="false" showInputMessage="false" sqref="E4:E197" type="list">
      <formula1>"Adams County,Arvada,Aurora,Commerce City,Denver,Henderson,Northglenn,Thornton,Westminster"</formula1>
      <formula2>0</formula2>
    </dataValidation>
    <dataValidation allowBlank="true" errorStyle="stop" operator="between" showDropDown="false" showErrorMessage="false" showInputMessage="false" sqref="F4:F197" type="list">
      <formula1>"CO,Other"</formula1>
      <formula2>0</formula2>
    </dataValidation>
    <dataValidation allowBlank="true" errorStyle="stop" operator="between" showDropDown="false" showErrorMessage="false" showInputMessage="false" sqref="G4:G197" type="list">
      <formula1>"Flex/Industrial,Hospitality,Office/Commercial,Self-Storage,Office/Flex,Office,Retail/Office,Medical Office,Industrial/Flex,Industrial/Distribution,Retail,Office/Industrial,Industrial,Light Industrial"</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A1:AM20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4" activeCellId="0" sqref="A4"/>
    </sheetView>
  </sheetViews>
  <sheetFormatPr defaultColWidth="10.29296875" defaultRowHeight="12" zeroHeight="false" outlineLevelRow="0" outlineLevelCol="0"/>
  <cols>
    <col collapsed="false" customWidth="true" hidden="false" outlineLevel="0" max="1" min="1" style="1" width="9.14"/>
    <col collapsed="false" customWidth="true" hidden="false" outlineLevel="0" max="2" min="2" style="1" width="11.43"/>
    <col collapsed="false" customWidth="true" hidden="false" outlineLevel="0" max="3" min="3" style="1" width="31.86"/>
    <col collapsed="false" customWidth="true" hidden="false" outlineLevel="0" max="4" min="4" style="1" width="59.29"/>
    <col collapsed="false" customWidth="true" hidden="false" outlineLevel="0" max="5" min="5" style="1" width="17.14"/>
    <col collapsed="false" customWidth="true" hidden="false" outlineLevel="0" max="6" min="6" style="1" width="8"/>
    <col collapsed="false" customWidth="true" hidden="false" outlineLevel="0" max="7" min="7" style="1" width="28.43"/>
    <col collapsed="false" customWidth="true" hidden="false" outlineLevel="0" max="8" min="8" style="1" width="59.29"/>
    <col collapsed="false" customWidth="true" hidden="false" outlineLevel="0" max="9" min="9" style="1" width="13.71"/>
    <col collapsed="false" customWidth="true" hidden="false" outlineLevel="0" max="11" min="11" style="1" width="6.86"/>
    <col collapsed="false" customWidth="true" hidden="false" outlineLevel="0" max="12" min="12" style="1" width="24"/>
    <col collapsed="false" customWidth="true" hidden="false" outlineLevel="0" max="13" min="13" style="1" width="16"/>
    <col collapsed="false" customWidth="true" hidden="false" outlineLevel="0" max="14" min="14" style="1" width="12.71"/>
    <col collapsed="false" customWidth="true" hidden="false" outlineLevel="0" max="15" min="15" style="1" width="12.57"/>
    <col collapsed="false" customWidth="true" hidden="false" outlineLevel="0" max="17" min="16" style="1" width="14.86"/>
    <col collapsed="false" customWidth="true" hidden="false" outlineLevel="0" max="18" min="18" style="1" width="18.29"/>
    <col collapsed="false" customWidth="true" hidden="false" outlineLevel="0" max="19" min="19" style="1" width="14.86"/>
    <col collapsed="false" customWidth="true" hidden="false" outlineLevel="0" max="20" min="20" style="1" width="25.14"/>
    <col collapsed="false" customWidth="true" hidden="false" outlineLevel="0" max="21" min="21" style="1" width="11.43"/>
    <col collapsed="false" customWidth="true" hidden="false" outlineLevel="0" max="22" min="22" style="1" width="21.71"/>
    <col collapsed="false" customWidth="true" hidden="false" outlineLevel="0" max="23" min="23" style="1" width="24"/>
    <col collapsed="false" customWidth="true" hidden="false" outlineLevel="0" max="24" min="24" style="1" width="28.43"/>
    <col collapsed="false" customWidth="true" hidden="false" outlineLevel="0" max="25" min="25" style="1" width="12.57"/>
    <col collapsed="false" customWidth="true" hidden="false" outlineLevel="0" max="26" min="26" style="1" width="8"/>
    <col collapsed="false" customWidth="true" hidden="false" outlineLevel="0" max="27" min="27" style="1" width="12.57"/>
    <col collapsed="false" customWidth="true" hidden="false" outlineLevel="0" max="28" min="28" style="1" width="14.86"/>
    <col collapsed="false" customWidth="true" hidden="false" outlineLevel="0" max="29" min="29" style="1" width="24"/>
    <col collapsed="false" customWidth="true" hidden="false" outlineLevel="0" max="30" min="30" style="1" width="17.14"/>
    <col collapsed="false" customWidth="true" hidden="false" outlineLevel="0" max="31" min="31" style="1" width="11.43"/>
    <col collapsed="false" customWidth="true" hidden="false" outlineLevel="0" max="32" min="32" style="1" width="19.43"/>
    <col collapsed="false" customWidth="true" hidden="false" outlineLevel="0" max="33" min="33" style="1" width="22.86"/>
    <col collapsed="false" customWidth="true" hidden="false" outlineLevel="0" max="34" min="34" style="1" width="28.43"/>
    <col collapsed="false" customWidth="true" hidden="false" outlineLevel="0" max="35" min="35" style="1" width="21.71"/>
    <col collapsed="false" customWidth="true" hidden="false" outlineLevel="0" max="36" min="36" style="1" width="28.43"/>
    <col collapsed="false" customWidth="true" hidden="false" outlineLevel="0" max="37" min="37" style="1" width="12.57"/>
    <col collapsed="false" customWidth="true" hidden="false" outlineLevel="0" max="38" min="38" style="1" width="18.29"/>
    <col collapsed="false" customWidth="true" hidden="false" outlineLevel="0" max="39" min="39" style="1" width="59.29"/>
  </cols>
  <sheetData>
    <row r="1" customFormat="false" ht="19.5" hidden="false" customHeight="true" outlineLevel="0" collapsed="false">
      <c r="A1" s="538" t="s">
        <v>11423</v>
      </c>
      <c r="B1" s="538"/>
      <c r="C1" s="538"/>
      <c r="D1" s="538"/>
      <c r="E1" s="538"/>
      <c r="F1" s="538"/>
      <c r="G1" s="538"/>
      <c r="H1" s="538"/>
      <c r="I1" s="538"/>
      <c r="J1" s="538"/>
      <c r="K1" s="538"/>
      <c r="L1" s="538"/>
      <c r="M1" s="538"/>
      <c r="N1" s="538"/>
      <c r="O1" s="538"/>
      <c r="P1" s="538"/>
      <c r="Q1" s="538"/>
      <c r="R1" s="538"/>
      <c r="S1" s="538"/>
      <c r="T1" s="538"/>
      <c r="U1" s="538"/>
      <c r="V1" s="538"/>
      <c r="W1" s="538"/>
      <c r="X1" s="538"/>
      <c r="Y1" s="538"/>
      <c r="Z1" s="538"/>
      <c r="AA1" s="538"/>
      <c r="AB1" s="538"/>
      <c r="AC1" s="538"/>
      <c r="AD1" s="538"/>
      <c r="AE1" s="538"/>
      <c r="AF1" s="538"/>
      <c r="AG1" s="538"/>
      <c r="AH1" s="538"/>
      <c r="AI1" s="538"/>
      <c r="AJ1" s="538"/>
      <c r="AK1" s="538"/>
      <c r="AL1" s="538"/>
      <c r="AM1" s="538"/>
    </row>
    <row r="2" customFormat="false" ht="13.5" hidden="false" customHeight="true" outlineLevel="0" collapsed="false">
      <c r="A2" s="539" t="s">
        <v>11424</v>
      </c>
      <c r="B2" s="539"/>
      <c r="C2" s="539"/>
      <c r="D2" s="539"/>
      <c r="E2" s="539"/>
      <c r="F2" s="539"/>
      <c r="G2" s="539"/>
      <c r="H2" s="539"/>
      <c r="I2" s="539"/>
      <c r="J2" s="539"/>
      <c r="K2" s="539"/>
      <c r="L2" s="539"/>
      <c r="M2" s="539"/>
      <c r="N2" s="539"/>
      <c r="O2" s="539"/>
      <c r="P2" s="539"/>
      <c r="Q2" s="539"/>
      <c r="R2" s="539"/>
      <c r="S2" s="539"/>
      <c r="T2" s="539"/>
      <c r="U2" s="539"/>
      <c r="V2" s="539"/>
      <c r="W2" s="539"/>
      <c r="X2" s="539"/>
      <c r="Y2" s="539"/>
      <c r="Z2" s="539"/>
      <c r="AA2" s="539"/>
      <c r="AB2" s="539"/>
      <c r="AC2" s="539"/>
      <c r="AD2" s="539"/>
      <c r="AE2" s="539"/>
      <c r="AF2" s="539"/>
      <c r="AG2" s="539"/>
      <c r="AH2" s="539"/>
      <c r="AI2" s="539"/>
      <c r="AJ2" s="539"/>
      <c r="AK2" s="539"/>
      <c r="AL2" s="539"/>
      <c r="AM2" s="539"/>
    </row>
    <row r="3" customFormat="false" ht="31.5" hidden="false" customHeight="true" outlineLevel="0" collapsed="false">
      <c r="A3" s="540" t="s">
        <v>10690</v>
      </c>
      <c r="B3" s="505" t="s">
        <v>10691</v>
      </c>
      <c r="C3" s="540" t="s">
        <v>2310</v>
      </c>
      <c r="D3" s="541" t="s">
        <v>129</v>
      </c>
      <c r="E3" s="540" t="s">
        <v>38</v>
      </c>
      <c r="F3" s="540" t="s">
        <v>10692</v>
      </c>
      <c r="G3" s="540" t="s">
        <v>11206</v>
      </c>
      <c r="H3" s="541" t="s">
        <v>10693</v>
      </c>
      <c r="I3" s="540" t="s">
        <v>230</v>
      </c>
      <c r="J3" s="540" t="s">
        <v>292</v>
      </c>
      <c r="K3" s="540" t="s">
        <v>293</v>
      </c>
      <c r="L3" s="540" t="s">
        <v>11207</v>
      </c>
      <c r="M3" s="540" t="s">
        <v>11208</v>
      </c>
      <c r="N3" s="540" t="s">
        <v>6627</v>
      </c>
      <c r="O3" s="540" t="s">
        <v>2462</v>
      </c>
      <c r="P3" s="540" t="s">
        <v>11209</v>
      </c>
      <c r="Q3" s="540" t="s">
        <v>11210</v>
      </c>
      <c r="R3" s="540" t="s">
        <v>11211</v>
      </c>
      <c r="S3" s="540" t="s">
        <v>11212</v>
      </c>
      <c r="T3" s="540" t="s">
        <v>11213</v>
      </c>
      <c r="U3" s="540" t="s">
        <v>11214</v>
      </c>
      <c r="V3" s="540" t="s">
        <v>11215</v>
      </c>
      <c r="W3" s="540" t="s">
        <v>11216</v>
      </c>
      <c r="X3" s="540" t="s">
        <v>11217</v>
      </c>
      <c r="Y3" s="540" t="s">
        <v>11218</v>
      </c>
      <c r="Z3" s="540" t="s">
        <v>11219</v>
      </c>
      <c r="AA3" s="540" t="s">
        <v>11220</v>
      </c>
      <c r="AB3" s="540" t="s">
        <v>11221</v>
      </c>
      <c r="AC3" s="540" t="s">
        <v>11222</v>
      </c>
      <c r="AD3" s="540" t="s">
        <v>11223</v>
      </c>
      <c r="AE3" s="540" t="s">
        <v>11224</v>
      </c>
      <c r="AF3" s="540" t="s">
        <v>11225</v>
      </c>
      <c r="AG3" s="540" t="s">
        <v>11226</v>
      </c>
      <c r="AH3" s="540" t="s">
        <v>11227</v>
      </c>
      <c r="AI3" s="540" t="s">
        <v>2460</v>
      </c>
      <c r="AJ3" s="540" t="s">
        <v>11228</v>
      </c>
      <c r="AK3" s="540" t="s">
        <v>6628</v>
      </c>
      <c r="AL3" s="540" t="s">
        <v>11229</v>
      </c>
      <c r="AM3" s="541" t="s">
        <v>1907</v>
      </c>
    </row>
    <row r="4" customFormat="false" ht="13.5" hidden="false" customHeight="true" outlineLevel="0" collapsed="false">
      <c r="A4" s="542" t="s">
        <v>10699</v>
      </c>
      <c r="B4" s="508" t="n">
        <v>407</v>
      </c>
      <c r="C4" s="542" t="s">
        <v>10700</v>
      </c>
      <c r="D4" s="543" t="s">
        <v>10701</v>
      </c>
      <c r="E4" s="542" t="s">
        <v>4420</v>
      </c>
      <c r="F4" s="542" t="s">
        <v>10702</v>
      </c>
      <c r="G4" s="542" t="s">
        <v>9267</v>
      </c>
      <c r="H4" s="543" t="s">
        <v>1389</v>
      </c>
      <c r="I4" s="544" t="n">
        <v>1988</v>
      </c>
      <c r="J4" s="544" t="n">
        <v>21000</v>
      </c>
      <c r="K4" s="544" t="n">
        <v>2021</v>
      </c>
      <c r="L4" s="545" t="n">
        <v>13.465</v>
      </c>
      <c r="M4" s="545" t="n">
        <v>0.3034</v>
      </c>
      <c r="N4" s="545" t="n">
        <v>13.7684</v>
      </c>
      <c r="O4" s="545" t="n">
        <v>0.233</v>
      </c>
      <c r="P4" s="545" t="n">
        <v>0</v>
      </c>
      <c r="Q4" s="545" t="n">
        <v>0.0545</v>
      </c>
      <c r="R4" s="545" t="n">
        <v>0</v>
      </c>
      <c r="S4" s="545" t="n">
        <v>0.0095</v>
      </c>
      <c r="T4" s="545" t="n">
        <v>0</v>
      </c>
      <c r="U4" s="545" t="n">
        <v>0.0133</v>
      </c>
      <c r="V4" s="545" t="n">
        <v>0.0403</v>
      </c>
      <c r="W4" s="545" t="n">
        <v>0.1392</v>
      </c>
      <c r="X4" s="545" t="n">
        <v>0</v>
      </c>
      <c r="Y4" s="545" t="n">
        <v>0.2567</v>
      </c>
      <c r="Z4" s="545" t="n">
        <v>0.3195</v>
      </c>
      <c r="AA4" s="545" t="n">
        <v>0.1845</v>
      </c>
      <c r="AB4" s="545" t="n">
        <v>0.0414</v>
      </c>
      <c r="AC4" s="545" t="n">
        <v>0.5455</v>
      </c>
      <c r="AD4" s="545" t="n">
        <v>0.1593</v>
      </c>
      <c r="AE4" s="545" t="n">
        <v>0.0309</v>
      </c>
      <c r="AF4" s="545" t="n">
        <v>0.1901</v>
      </c>
      <c r="AG4" s="545" t="n">
        <v>0.0363</v>
      </c>
      <c r="AH4" s="545" t="n">
        <v>1.2626</v>
      </c>
      <c r="AI4" s="545" t="n">
        <v>2.2983</v>
      </c>
      <c r="AJ4" s="545" t="n">
        <v>3.5609</v>
      </c>
      <c r="AK4" s="545" t="n">
        <v>10.2075</v>
      </c>
      <c r="AL4" s="545" t="n">
        <v>0.1258</v>
      </c>
      <c r="AM4" s="543" t="s">
        <v>11230</v>
      </c>
    </row>
    <row r="5" customFormat="false" ht="13.5" hidden="false" customHeight="true" outlineLevel="0" collapsed="false">
      <c r="A5" s="509" t="s">
        <v>10699</v>
      </c>
      <c r="B5" s="508" t="n">
        <v>407</v>
      </c>
      <c r="C5" s="509" t="s">
        <v>10700</v>
      </c>
      <c r="D5" s="529" t="s">
        <v>10701</v>
      </c>
      <c r="E5" s="509" t="s">
        <v>4420</v>
      </c>
      <c r="F5" s="509" t="s">
        <v>10702</v>
      </c>
      <c r="G5" s="509" t="s">
        <v>9267</v>
      </c>
      <c r="H5" s="529" t="s">
        <v>1389</v>
      </c>
      <c r="I5" s="546" t="n">
        <v>1988</v>
      </c>
      <c r="J5" s="546" t="n">
        <v>21000</v>
      </c>
      <c r="K5" s="546" t="n">
        <v>2022</v>
      </c>
      <c r="L5" s="547" t="n">
        <v>12.1901</v>
      </c>
      <c r="M5" s="547" t="n">
        <v>0.1429</v>
      </c>
      <c r="N5" s="547" t="n">
        <v>12.333</v>
      </c>
      <c r="O5" s="547" t="n">
        <v>0.2512</v>
      </c>
      <c r="P5" s="547" t="n">
        <v>0</v>
      </c>
      <c r="Q5" s="547" t="n">
        <v>0.196</v>
      </c>
      <c r="R5" s="547" t="n">
        <v>0.0291</v>
      </c>
      <c r="S5" s="547" t="n">
        <v>0.1111</v>
      </c>
      <c r="T5" s="547" t="n">
        <v>0</v>
      </c>
      <c r="U5" s="547" t="n">
        <v>0</v>
      </c>
      <c r="V5" s="547" t="n">
        <v>0</v>
      </c>
      <c r="W5" s="547" t="n">
        <v>0.0371</v>
      </c>
      <c r="X5" s="547" t="n">
        <v>0</v>
      </c>
      <c r="Y5" s="547" t="n">
        <v>0.3733</v>
      </c>
      <c r="Z5" s="547" t="n">
        <v>0.3954</v>
      </c>
      <c r="AA5" s="547" t="n">
        <v>0.2038</v>
      </c>
      <c r="AB5" s="547" t="n">
        <v>0</v>
      </c>
      <c r="AC5" s="547" t="n">
        <v>0.5992</v>
      </c>
      <c r="AD5" s="547" t="n">
        <v>0.1449</v>
      </c>
      <c r="AE5" s="547" t="n">
        <v>0.0423</v>
      </c>
      <c r="AF5" s="547" t="n">
        <v>0.1872</v>
      </c>
      <c r="AG5" s="547" t="n">
        <v>0.0314</v>
      </c>
      <c r="AH5" s="547" t="n">
        <v>1.4423</v>
      </c>
      <c r="AI5" s="547" t="n">
        <v>3.1478</v>
      </c>
      <c r="AJ5" s="547" t="n">
        <v>4.5902</v>
      </c>
      <c r="AK5" s="547" t="n">
        <v>7.7428</v>
      </c>
      <c r="AL5" s="547" t="n">
        <v>0.2758</v>
      </c>
      <c r="AM5" s="529" t="s">
        <v>11231</v>
      </c>
    </row>
    <row r="6" customFormat="false" ht="13.5" hidden="false" customHeight="true" outlineLevel="0" collapsed="false">
      <c r="A6" s="542" t="s">
        <v>10699</v>
      </c>
      <c r="B6" s="508" t="n">
        <v>407</v>
      </c>
      <c r="C6" s="542" t="s">
        <v>10700</v>
      </c>
      <c r="D6" s="543" t="s">
        <v>10701</v>
      </c>
      <c r="E6" s="542" t="s">
        <v>4420</v>
      </c>
      <c r="F6" s="542" t="s">
        <v>10702</v>
      </c>
      <c r="G6" s="542" t="s">
        <v>9267</v>
      </c>
      <c r="H6" s="543" t="s">
        <v>1389</v>
      </c>
      <c r="I6" s="544" t="n">
        <v>1988</v>
      </c>
      <c r="J6" s="544" t="n">
        <v>21000</v>
      </c>
      <c r="K6" s="544" t="n">
        <v>2023</v>
      </c>
      <c r="L6" s="545" t="n">
        <v>12.2</v>
      </c>
      <c r="M6" s="545" t="n">
        <v>0</v>
      </c>
      <c r="N6" s="545" t="n">
        <v>12.2</v>
      </c>
      <c r="O6" s="545" t="n">
        <v>0.2794</v>
      </c>
      <c r="P6" s="545" t="n">
        <v>0.0381</v>
      </c>
      <c r="Q6" s="545" t="n">
        <v>0.0521</v>
      </c>
      <c r="R6" s="545" t="n">
        <v>0.0471</v>
      </c>
      <c r="S6" s="545" t="n">
        <v>0</v>
      </c>
      <c r="T6" s="545" t="n">
        <v>0.1843</v>
      </c>
      <c r="U6" s="545" t="n">
        <v>0.0229</v>
      </c>
      <c r="V6" s="545" t="n">
        <v>0.0294</v>
      </c>
      <c r="W6" s="545" t="n">
        <v>0</v>
      </c>
      <c r="X6" s="545" t="n">
        <v>0.0229</v>
      </c>
      <c r="Y6" s="545" t="n">
        <v>0.3587</v>
      </c>
      <c r="Z6" s="545" t="n">
        <v>0.4553</v>
      </c>
      <c r="AA6" s="545" t="n">
        <v>0.1048</v>
      </c>
      <c r="AB6" s="545" t="n">
        <v>0.1333</v>
      </c>
      <c r="AC6" s="545" t="n">
        <v>0.6934</v>
      </c>
      <c r="AD6" s="545" t="n">
        <v>0.3387</v>
      </c>
      <c r="AE6" s="545" t="n">
        <v>0.0362</v>
      </c>
      <c r="AF6" s="545" t="n">
        <v>0.3749</v>
      </c>
      <c r="AG6" s="545" t="n">
        <v>0.0285</v>
      </c>
      <c r="AH6" s="545" t="n">
        <v>1.5216</v>
      </c>
      <c r="AI6" s="545" t="n">
        <v>2.8565</v>
      </c>
      <c r="AJ6" s="545" t="n">
        <v>4.378</v>
      </c>
      <c r="AK6" s="545" t="n">
        <v>7.822</v>
      </c>
      <c r="AL6" s="545" t="n">
        <v>0</v>
      </c>
      <c r="AM6" s="548"/>
    </row>
    <row r="7" customFormat="false" ht="13.5" hidden="false" customHeight="true" outlineLevel="0" collapsed="false">
      <c r="A7" s="509" t="s">
        <v>10699</v>
      </c>
      <c r="B7" s="508" t="n">
        <v>407</v>
      </c>
      <c r="C7" s="509" t="s">
        <v>10700</v>
      </c>
      <c r="D7" s="529" t="s">
        <v>10701</v>
      </c>
      <c r="E7" s="509" t="s">
        <v>4420</v>
      </c>
      <c r="F7" s="509" t="s">
        <v>10702</v>
      </c>
      <c r="G7" s="509" t="s">
        <v>9267</v>
      </c>
      <c r="H7" s="529" t="s">
        <v>1389</v>
      </c>
      <c r="I7" s="546" t="n">
        <v>1988</v>
      </c>
      <c r="J7" s="546" t="n">
        <v>21000</v>
      </c>
      <c r="K7" s="546" t="n">
        <v>2024</v>
      </c>
      <c r="L7" s="547" t="n">
        <v>10.93</v>
      </c>
      <c r="M7" s="547" t="n">
        <v>0</v>
      </c>
      <c r="N7" s="547" t="n">
        <v>10.93</v>
      </c>
      <c r="O7" s="547" t="n">
        <v>0.0874</v>
      </c>
      <c r="P7" s="547" t="n">
        <v>0.0748</v>
      </c>
      <c r="Q7" s="547" t="n">
        <v>0</v>
      </c>
      <c r="R7" s="547" t="n">
        <v>0</v>
      </c>
      <c r="S7" s="547" t="n">
        <v>0.381</v>
      </c>
      <c r="T7" s="547" t="n">
        <v>0.3952</v>
      </c>
      <c r="U7" s="547" t="n">
        <v>0</v>
      </c>
      <c r="V7" s="547" t="n">
        <v>0.0083</v>
      </c>
      <c r="W7" s="547" t="n">
        <v>0</v>
      </c>
      <c r="X7" s="547" t="n">
        <v>0.039</v>
      </c>
      <c r="Y7" s="547" t="n">
        <v>0.8236</v>
      </c>
      <c r="Z7" s="547" t="n">
        <v>0.4048</v>
      </c>
      <c r="AA7" s="547" t="n">
        <v>0.1595</v>
      </c>
      <c r="AB7" s="547" t="n">
        <v>0.05</v>
      </c>
      <c r="AC7" s="547" t="n">
        <v>0.6143</v>
      </c>
      <c r="AD7" s="547" t="n">
        <v>0.1638</v>
      </c>
      <c r="AE7" s="547" t="n">
        <v>0.0339</v>
      </c>
      <c r="AF7" s="547" t="n">
        <v>0.1977</v>
      </c>
      <c r="AG7" s="547" t="n">
        <v>0.0286</v>
      </c>
      <c r="AH7" s="547" t="n">
        <v>1.8167</v>
      </c>
      <c r="AI7" s="547" t="n">
        <v>3.3048</v>
      </c>
      <c r="AJ7" s="547" t="n">
        <v>5.1216</v>
      </c>
      <c r="AK7" s="547" t="n">
        <v>5.8085</v>
      </c>
      <c r="AL7" s="547" t="n">
        <v>0</v>
      </c>
      <c r="AM7" s="549"/>
    </row>
    <row r="8" customFormat="false" ht="13.5" hidden="false" customHeight="true" outlineLevel="0" collapsed="false">
      <c r="A8" s="550" t="s">
        <v>10708</v>
      </c>
      <c r="B8" s="508" t="n">
        <v>344</v>
      </c>
      <c r="C8" s="550" t="s">
        <v>10709</v>
      </c>
      <c r="D8" s="551" t="s">
        <v>10710</v>
      </c>
      <c r="E8" s="550" t="s">
        <v>9525</v>
      </c>
      <c r="F8" s="550" t="s">
        <v>10702</v>
      </c>
      <c r="G8" s="550" t="s">
        <v>10711</v>
      </c>
      <c r="H8" s="551" t="s">
        <v>10712</v>
      </c>
      <c r="I8" s="552"/>
      <c r="J8" s="552"/>
      <c r="K8" s="552" t="n">
        <v>2023</v>
      </c>
      <c r="L8" s="550"/>
      <c r="M8" s="550"/>
      <c r="N8" s="553" t="n">
        <v>258808</v>
      </c>
      <c r="O8" s="553" t="n">
        <v>3292</v>
      </c>
      <c r="P8" s="553" t="n">
        <v>18539</v>
      </c>
      <c r="Q8" s="550"/>
      <c r="R8" s="550"/>
      <c r="S8" s="550"/>
      <c r="T8" s="550"/>
      <c r="U8" s="550"/>
      <c r="V8" s="550"/>
      <c r="W8" s="550"/>
      <c r="X8" s="553" t="n">
        <v>24750</v>
      </c>
      <c r="Y8" s="553" t="n">
        <v>24750</v>
      </c>
      <c r="Z8" s="550"/>
      <c r="AA8" s="553" t="n">
        <v>13331</v>
      </c>
      <c r="AB8" s="550"/>
      <c r="AC8" s="553" t="n">
        <v>13331</v>
      </c>
      <c r="AD8" s="550"/>
      <c r="AE8" s="550"/>
      <c r="AF8" s="553" t="n">
        <v>3990</v>
      </c>
      <c r="AG8" s="553" t="n">
        <v>11264</v>
      </c>
      <c r="AH8" s="553" t="n">
        <v>75327</v>
      </c>
      <c r="AI8" s="553" t="n">
        <v>51707</v>
      </c>
      <c r="AJ8" s="553" t="n">
        <v>127034</v>
      </c>
      <c r="AK8" s="553" t="n">
        <v>131774</v>
      </c>
      <c r="AL8" s="550"/>
      <c r="AM8" s="551" t="s">
        <v>11425</v>
      </c>
    </row>
    <row r="9" customFormat="false" ht="13.5" hidden="false" customHeight="true" outlineLevel="0" collapsed="false">
      <c r="A9" s="550" t="s">
        <v>10708</v>
      </c>
      <c r="B9" s="508" t="n">
        <v>344</v>
      </c>
      <c r="C9" s="550" t="s">
        <v>10709</v>
      </c>
      <c r="D9" s="551" t="s">
        <v>10710</v>
      </c>
      <c r="E9" s="550" t="s">
        <v>9525</v>
      </c>
      <c r="F9" s="550" t="s">
        <v>10702</v>
      </c>
      <c r="G9" s="550" t="s">
        <v>10711</v>
      </c>
      <c r="H9" s="551" t="s">
        <v>10712</v>
      </c>
      <c r="I9" s="552"/>
      <c r="J9" s="552"/>
      <c r="K9" s="552" t="n">
        <v>2024</v>
      </c>
      <c r="L9" s="550"/>
      <c r="M9" s="550"/>
      <c r="N9" s="553" t="n">
        <v>264959</v>
      </c>
      <c r="O9" s="553" t="n">
        <v>7442</v>
      </c>
      <c r="P9" s="553" t="n">
        <v>18228</v>
      </c>
      <c r="Q9" s="550"/>
      <c r="R9" s="550"/>
      <c r="S9" s="550"/>
      <c r="T9" s="550"/>
      <c r="U9" s="550"/>
      <c r="V9" s="550"/>
      <c r="W9" s="550"/>
      <c r="X9" s="553" t="n">
        <v>37394</v>
      </c>
      <c r="Y9" s="553" t="n">
        <v>37394</v>
      </c>
      <c r="Z9" s="550"/>
      <c r="AA9" s="553" t="n">
        <v>11888</v>
      </c>
      <c r="AB9" s="550"/>
      <c r="AC9" s="553" t="n">
        <v>11888</v>
      </c>
      <c r="AD9" s="550"/>
      <c r="AE9" s="550"/>
      <c r="AF9" s="553" t="n">
        <v>5290</v>
      </c>
      <c r="AG9" s="553" t="n">
        <v>13341</v>
      </c>
      <c r="AH9" s="553" t="n">
        <v>93583</v>
      </c>
      <c r="AI9" s="553" t="n">
        <v>44649</v>
      </c>
      <c r="AJ9" s="553" t="n">
        <v>138232</v>
      </c>
      <c r="AK9" s="553" t="n">
        <v>126727</v>
      </c>
      <c r="AL9" s="550"/>
      <c r="AM9" s="551" t="s">
        <v>11426</v>
      </c>
    </row>
    <row r="10" customFormat="false" ht="13.5" hidden="false" customHeight="true" outlineLevel="0" collapsed="false">
      <c r="A10" s="550" t="s">
        <v>10716</v>
      </c>
      <c r="B10" s="508" t="n">
        <v>344</v>
      </c>
      <c r="C10" s="550" t="s">
        <v>10717</v>
      </c>
      <c r="D10" s="551" t="s">
        <v>11234</v>
      </c>
      <c r="E10" s="550" t="s">
        <v>4407</v>
      </c>
      <c r="F10" s="550" t="s">
        <v>10702</v>
      </c>
      <c r="G10" s="550" t="s">
        <v>10719</v>
      </c>
      <c r="H10" s="551" t="s">
        <v>10720</v>
      </c>
      <c r="I10" s="552"/>
      <c r="J10" s="552" t="n">
        <v>49479</v>
      </c>
      <c r="K10" s="552" t="n">
        <v>2023</v>
      </c>
      <c r="L10" s="554" t="n">
        <v>20.5729</v>
      </c>
      <c r="M10" s="554" t="n">
        <v>1.8912</v>
      </c>
      <c r="N10" s="554" t="n">
        <v>22.4641</v>
      </c>
      <c r="O10" s="550"/>
      <c r="P10" s="550"/>
      <c r="Q10" s="550"/>
      <c r="R10" s="550"/>
      <c r="S10" s="550"/>
      <c r="T10" s="550"/>
      <c r="U10" s="550"/>
      <c r="V10" s="550"/>
      <c r="W10" s="550"/>
      <c r="X10" s="550"/>
      <c r="Y10" s="550"/>
      <c r="Z10" s="550"/>
      <c r="AA10" s="550"/>
      <c r="AB10" s="550"/>
      <c r="AC10" s="550"/>
      <c r="AD10" s="550"/>
      <c r="AE10" s="550"/>
      <c r="AF10" s="550"/>
      <c r="AG10" s="550"/>
      <c r="AH10" s="554" t="n">
        <v>9.1651</v>
      </c>
      <c r="AI10" s="554" t="n">
        <v>3.7364</v>
      </c>
      <c r="AJ10" s="554" t="n">
        <v>12.9015</v>
      </c>
      <c r="AK10" s="554" t="n">
        <v>9.5626</v>
      </c>
      <c r="AL10" s="550"/>
      <c r="AM10" s="551" t="s">
        <v>11235</v>
      </c>
    </row>
    <row r="11" customFormat="false" ht="13.5" hidden="false" customHeight="true" outlineLevel="0" collapsed="false">
      <c r="A11" s="550" t="s">
        <v>10716</v>
      </c>
      <c r="B11" s="508" t="n">
        <v>344</v>
      </c>
      <c r="C11" s="550" t="s">
        <v>10717</v>
      </c>
      <c r="D11" s="551" t="s">
        <v>11234</v>
      </c>
      <c r="E11" s="550" t="s">
        <v>4407</v>
      </c>
      <c r="F11" s="550" t="s">
        <v>10702</v>
      </c>
      <c r="G11" s="550" t="s">
        <v>10719</v>
      </c>
      <c r="H11" s="551" t="s">
        <v>10720</v>
      </c>
      <c r="I11" s="552"/>
      <c r="J11" s="552" t="n">
        <v>49479</v>
      </c>
      <c r="K11" s="552" t="n">
        <v>2024</v>
      </c>
      <c r="L11" s="554" t="n">
        <v>19.0796</v>
      </c>
      <c r="M11" s="554" t="n">
        <v>1.5757</v>
      </c>
      <c r="N11" s="554" t="n">
        <v>20.6553</v>
      </c>
      <c r="O11" s="550"/>
      <c r="P11" s="550"/>
      <c r="Q11" s="550"/>
      <c r="R11" s="550"/>
      <c r="S11" s="550"/>
      <c r="T11" s="550"/>
      <c r="U11" s="550"/>
      <c r="V11" s="550"/>
      <c r="W11" s="550"/>
      <c r="X11" s="550"/>
      <c r="Y11" s="550"/>
      <c r="Z11" s="550"/>
      <c r="AA11" s="550"/>
      <c r="AB11" s="550"/>
      <c r="AC11" s="550"/>
      <c r="AD11" s="550"/>
      <c r="AE11" s="550"/>
      <c r="AF11" s="550"/>
      <c r="AG11" s="550"/>
      <c r="AH11" s="554" t="n">
        <v>9.8676</v>
      </c>
      <c r="AI11" s="554" t="n">
        <v>3.6292</v>
      </c>
      <c r="AJ11" s="554" t="n">
        <v>13.4968</v>
      </c>
      <c r="AK11" s="554" t="n">
        <v>7.1585</v>
      </c>
      <c r="AL11" s="550"/>
      <c r="AM11" s="551" t="s">
        <v>11236</v>
      </c>
    </row>
    <row r="12" customFormat="false" ht="13.5" hidden="false" customHeight="true" outlineLevel="0" collapsed="false">
      <c r="A12" s="542" t="s">
        <v>10724</v>
      </c>
      <c r="B12" s="508" t="n">
        <v>412</v>
      </c>
      <c r="C12" s="542" t="s">
        <v>10725</v>
      </c>
      <c r="D12" s="543" t="s">
        <v>10726</v>
      </c>
      <c r="E12" s="542" t="s">
        <v>9525</v>
      </c>
      <c r="F12" s="542" t="s">
        <v>10702</v>
      </c>
      <c r="G12" s="542" t="s">
        <v>10727</v>
      </c>
      <c r="H12" s="543" t="s">
        <v>10728</v>
      </c>
      <c r="I12" s="544"/>
      <c r="J12" s="544" t="n">
        <v>65850</v>
      </c>
      <c r="K12" s="544" t="n">
        <v>2023</v>
      </c>
      <c r="L12" s="542"/>
      <c r="M12" s="542"/>
      <c r="N12" s="545" t="n">
        <v>8.6678</v>
      </c>
      <c r="O12" s="542"/>
      <c r="P12" s="542"/>
      <c r="Q12" s="542"/>
      <c r="R12" s="542"/>
      <c r="S12" s="542"/>
      <c r="T12" s="542"/>
      <c r="U12" s="542"/>
      <c r="V12" s="542"/>
      <c r="W12" s="542"/>
      <c r="X12" s="542"/>
      <c r="Y12" s="542"/>
      <c r="Z12" s="542"/>
      <c r="AA12" s="542"/>
      <c r="AB12" s="542"/>
      <c r="AC12" s="542"/>
      <c r="AD12" s="542"/>
      <c r="AE12" s="542"/>
      <c r="AF12" s="542"/>
      <c r="AG12" s="542"/>
      <c r="AH12" s="542"/>
      <c r="AI12" s="545" t="n">
        <v>1.1238</v>
      </c>
      <c r="AJ12" s="545" t="n">
        <v>4.0992</v>
      </c>
      <c r="AK12" s="545" t="n">
        <v>4.5686</v>
      </c>
      <c r="AL12" s="542"/>
      <c r="AM12" s="543" t="s">
        <v>11237</v>
      </c>
    </row>
    <row r="13" customFormat="false" ht="13.5" hidden="false" customHeight="true" outlineLevel="0" collapsed="false">
      <c r="A13" s="509" t="s">
        <v>10724</v>
      </c>
      <c r="B13" s="508" t="n">
        <v>412</v>
      </c>
      <c r="C13" s="509" t="s">
        <v>10725</v>
      </c>
      <c r="D13" s="529" t="s">
        <v>10726</v>
      </c>
      <c r="E13" s="509" t="s">
        <v>9525</v>
      </c>
      <c r="F13" s="509" t="s">
        <v>10702</v>
      </c>
      <c r="G13" s="509" t="s">
        <v>10727</v>
      </c>
      <c r="H13" s="529" t="s">
        <v>10728</v>
      </c>
      <c r="I13" s="546"/>
      <c r="J13" s="546" t="n">
        <v>65850</v>
      </c>
      <c r="K13" s="546" t="n">
        <v>2024</v>
      </c>
      <c r="L13" s="509"/>
      <c r="M13" s="509"/>
      <c r="N13" s="547" t="n">
        <v>8.9266</v>
      </c>
      <c r="O13" s="547" t="n">
        <v>0.7779</v>
      </c>
      <c r="P13" s="509"/>
      <c r="Q13" s="509"/>
      <c r="R13" s="509"/>
      <c r="S13" s="509"/>
      <c r="T13" s="509"/>
      <c r="U13" s="509"/>
      <c r="V13" s="509"/>
      <c r="W13" s="509"/>
      <c r="X13" s="547" t="n">
        <v>0.4392</v>
      </c>
      <c r="Y13" s="547" t="n">
        <v>0.4392</v>
      </c>
      <c r="Z13" s="547" t="n">
        <v>0.2667</v>
      </c>
      <c r="AA13" s="547" t="n">
        <v>0.0304</v>
      </c>
      <c r="AB13" s="547" t="n">
        <v>0.0529</v>
      </c>
      <c r="AC13" s="547" t="n">
        <v>0.35</v>
      </c>
      <c r="AD13" s="547" t="n">
        <v>0.1958</v>
      </c>
      <c r="AE13" s="547" t="n">
        <v>0.1081</v>
      </c>
      <c r="AF13" s="547" t="n">
        <v>0.3039</v>
      </c>
      <c r="AG13" s="547" t="n">
        <v>0.1667</v>
      </c>
      <c r="AH13" s="547" t="n">
        <v>2.4196</v>
      </c>
      <c r="AI13" s="547" t="n">
        <v>1.6016</v>
      </c>
      <c r="AJ13" s="547" t="n">
        <v>4.0212</v>
      </c>
      <c r="AK13" s="547" t="n">
        <v>4.9054</v>
      </c>
      <c r="AL13" s="509"/>
      <c r="AM13" s="529" t="s">
        <v>11238</v>
      </c>
    </row>
    <row r="14" customFormat="false" ht="13.5" hidden="false" customHeight="true" outlineLevel="0" collapsed="false">
      <c r="A14" s="550" t="s">
        <v>10732</v>
      </c>
      <c r="B14" s="508" t="n">
        <v>344</v>
      </c>
      <c r="C14" s="550" t="s">
        <v>4366</v>
      </c>
      <c r="D14" s="551" t="s">
        <v>10733</v>
      </c>
      <c r="E14" s="550" t="s">
        <v>4368</v>
      </c>
      <c r="F14" s="550" t="s">
        <v>10702</v>
      </c>
      <c r="G14" s="550" t="s">
        <v>10719</v>
      </c>
      <c r="H14" s="551" t="s">
        <v>11239</v>
      </c>
      <c r="I14" s="552"/>
      <c r="J14" s="552" t="n">
        <v>91646</v>
      </c>
      <c r="K14" s="552" t="n">
        <v>2023</v>
      </c>
      <c r="L14" s="554" t="n">
        <v>21.9536</v>
      </c>
      <c r="M14" s="554" t="n">
        <v>2.4799</v>
      </c>
      <c r="N14" s="554" t="n">
        <v>24.4335</v>
      </c>
      <c r="O14" s="554" t="n">
        <v>0.2665</v>
      </c>
      <c r="P14" s="554" t="n">
        <v>1.4405</v>
      </c>
      <c r="Q14" s="550"/>
      <c r="R14" s="550"/>
      <c r="S14" s="550"/>
      <c r="T14" s="550"/>
      <c r="U14" s="550"/>
      <c r="V14" s="550"/>
      <c r="W14" s="550"/>
      <c r="X14" s="554" t="n">
        <v>1.5772</v>
      </c>
      <c r="Y14" s="554" t="n">
        <v>1.5772</v>
      </c>
      <c r="Z14" s="550"/>
      <c r="AA14" s="554" t="n">
        <v>1.1869</v>
      </c>
      <c r="AB14" s="554" t="n">
        <v>0.7112</v>
      </c>
      <c r="AC14" s="554" t="n">
        <v>2.9825</v>
      </c>
      <c r="AD14" s="554" t="n">
        <v>0.1611</v>
      </c>
      <c r="AE14" s="554" t="n">
        <v>2.4615</v>
      </c>
      <c r="AF14" s="554" t="n">
        <v>2.6226</v>
      </c>
      <c r="AG14" s="554" t="n">
        <v>0.3593</v>
      </c>
      <c r="AH14" s="554" t="n">
        <v>9.2291</v>
      </c>
      <c r="AI14" s="554" t="n">
        <v>4.0592</v>
      </c>
      <c r="AJ14" s="554" t="n">
        <v>13.2884</v>
      </c>
      <c r="AK14" s="554" t="n">
        <v>11.1451</v>
      </c>
      <c r="AL14" s="550"/>
      <c r="AM14" s="551" t="s">
        <v>11240</v>
      </c>
    </row>
    <row r="15" customFormat="false" ht="13.5" hidden="false" customHeight="true" outlineLevel="0" collapsed="false">
      <c r="A15" s="550" t="s">
        <v>10732</v>
      </c>
      <c r="B15" s="508" t="n">
        <v>344</v>
      </c>
      <c r="C15" s="550" t="s">
        <v>4366</v>
      </c>
      <c r="D15" s="551" t="s">
        <v>10733</v>
      </c>
      <c r="E15" s="550" t="s">
        <v>4368</v>
      </c>
      <c r="F15" s="550" t="s">
        <v>10702</v>
      </c>
      <c r="G15" s="550" t="s">
        <v>10719</v>
      </c>
      <c r="H15" s="551" t="s">
        <v>11239</v>
      </c>
      <c r="I15" s="552"/>
      <c r="J15" s="552" t="n">
        <v>91646</v>
      </c>
      <c r="K15" s="552" t="n">
        <v>2024</v>
      </c>
      <c r="L15" s="554" t="n">
        <v>22.3966</v>
      </c>
      <c r="M15" s="554" t="n">
        <v>2.9417</v>
      </c>
      <c r="N15" s="554" t="n">
        <v>25.3383</v>
      </c>
      <c r="O15" s="554" t="n">
        <v>0.2648</v>
      </c>
      <c r="P15" s="554" t="n">
        <v>1.6305</v>
      </c>
      <c r="Q15" s="550"/>
      <c r="R15" s="550"/>
      <c r="S15" s="550"/>
      <c r="T15" s="550"/>
      <c r="U15" s="550"/>
      <c r="V15" s="550"/>
      <c r="W15" s="550"/>
      <c r="X15" s="554" t="n">
        <v>1.6418</v>
      </c>
      <c r="Y15" s="554" t="n">
        <v>1.6418</v>
      </c>
      <c r="Z15" s="550"/>
      <c r="AA15" s="554" t="n">
        <v>1.1913</v>
      </c>
      <c r="AB15" s="550"/>
      <c r="AC15" s="554" t="n">
        <v>2.8658</v>
      </c>
      <c r="AD15" s="550"/>
      <c r="AE15" s="550"/>
      <c r="AF15" s="554" t="n">
        <v>2.5334</v>
      </c>
      <c r="AG15" s="554" t="n">
        <v>0.4083</v>
      </c>
      <c r="AH15" s="554" t="n">
        <v>9.3445</v>
      </c>
      <c r="AI15" s="554" t="n">
        <v>4.5128</v>
      </c>
      <c r="AJ15" s="554" t="n">
        <v>13.8574</v>
      </c>
      <c r="AK15" s="554" t="n">
        <v>11.4809</v>
      </c>
      <c r="AL15" s="550"/>
      <c r="AM15" s="551" t="s">
        <v>11241</v>
      </c>
    </row>
    <row r="16" customFormat="false" ht="13.5" hidden="false" customHeight="true" outlineLevel="0" collapsed="false">
      <c r="A16" s="550" t="s">
        <v>10738</v>
      </c>
      <c r="B16" s="508" t="n">
        <v>210</v>
      </c>
      <c r="C16" s="550" t="s">
        <v>10739</v>
      </c>
      <c r="D16" s="551" t="s">
        <v>10740</v>
      </c>
      <c r="E16" s="550" t="s">
        <v>4407</v>
      </c>
      <c r="F16" s="550" t="s">
        <v>10702</v>
      </c>
      <c r="G16" s="550" t="s">
        <v>10741</v>
      </c>
      <c r="H16" s="551" t="s">
        <v>10712</v>
      </c>
      <c r="I16" s="552"/>
      <c r="J16" s="552" t="n">
        <v>37078</v>
      </c>
      <c r="K16" s="552" t="n">
        <v>2020</v>
      </c>
      <c r="L16" s="550"/>
      <c r="M16" s="550"/>
      <c r="N16" s="550"/>
      <c r="O16" s="554" t="n">
        <v>0.1558</v>
      </c>
      <c r="P16" s="554" t="n">
        <v>0.5259</v>
      </c>
      <c r="Q16" s="550"/>
      <c r="R16" s="550"/>
      <c r="S16" s="550"/>
      <c r="T16" s="550"/>
      <c r="U16" s="550"/>
      <c r="V16" s="550"/>
      <c r="W16" s="550"/>
      <c r="X16" s="550"/>
      <c r="Y16" s="550"/>
      <c r="Z16" s="550"/>
      <c r="AA16" s="550"/>
      <c r="AB16" s="550"/>
      <c r="AC16" s="554" t="n">
        <v>3.6056</v>
      </c>
      <c r="AD16" s="550"/>
      <c r="AE16" s="550"/>
      <c r="AF16" s="554" t="n">
        <v>3.1372</v>
      </c>
      <c r="AG16" s="550"/>
      <c r="AH16" s="554" t="n">
        <v>7.4245</v>
      </c>
      <c r="AI16" s="554" t="n">
        <v>2.3924</v>
      </c>
      <c r="AJ16" s="554" t="n">
        <v>9.8169</v>
      </c>
      <c r="AK16" s="550"/>
      <c r="AL16" s="550"/>
      <c r="AM16" s="551" t="s">
        <v>11242</v>
      </c>
    </row>
    <row r="17" customFormat="false" ht="13.5" hidden="false" customHeight="true" outlineLevel="0" collapsed="false">
      <c r="A17" s="550" t="s">
        <v>10738</v>
      </c>
      <c r="B17" s="508" t="n">
        <v>210</v>
      </c>
      <c r="C17" s="550" t="s">
        <v>10739</v>
      </c>
      <c r="D17" s="551" t="s">
        <v>10740</v>
      </c>
      <c r="E17" s="550" t="s">
        <v>4407</v>
      </c>
      <c r="F17" s="550" t="s">
        <v>10702</v>
      </c>
      <c r="G17" s="550" t="s">
        <v>10741</v>
      </c>
      <c r="H17" s="551" t="s">
        <v>10712</v>
      </c>
      <c r="I17" s="552"/>
      <c r="J17" s="552" t="n">
        <v>37078</v>
      </c>
      <c r="K17" s="552" t="n">
        <v>2021</v>
      </c>
      <c r="L17" s="550"/>
      <c r="M17" s="550"/>
      <c r="N17" s="550"/>
      <c r="O17" s="554" t="n">
        <v>0.1841</v>
      </c>
      <c r="P17" s="554" t="n">
        <v>0.4855</v>
      </c>
      <c r="Q17" s="550"/>
      <c r="R17" s="550"/>
      <c r="S17" s="550"/>
      <c r="T17" s="550"/>
      <c r="U17" s="550"/>
      <c r="V17" s="550"/>
      <c r="W17" s="550"/>
      <c r="X17" s="550"/>
      <c r="Y17" s="550"/>
      <c r="Z17" s="550"/>
      <c r="AA17" s="550"/>
      <c r="AB17" s="550"/>
      <c r="AC17" s="554" t="n">
        <v>2.8189</v>
      </c>
      <c r="AD17" s="550"/>
      <c r="AE17" s="550"/>
      <c r="AF17" s="554" t="n">
        <v>2.9359</v>
      </c>
      <c r="AG17" s="550"/>
      <c r="AH17" s="554" t="n">
        <v>6.4243</v>
      </c>
      <c r="AI17" s="554" t="n">
        <v>2.2709</v>
      </c>
      <c r="AJ17" s="554" t="n">
        <v>8.6952</v>
      </c>
      <c r="AK17" s="550"/>
      <c r="AL17" s="550"/>
      <c r="AM17" s="551" t="s">
        <v>11243</v>
      </c>
    </row>
    <row r="18" customFormat="false" ht="13.5" hidden="false" customHeight="true" outlineLevel="0" collapsed="false">
      <c r="A18" s="550" t="s">
        <v>10738</v>
      </c>
      <c r="B18" s="508" t="n">
        <v>210</v>
      </c>
      <c r="C18" s="550" t="s">
        <v>10739</v>
      </c>
      <c r="D18" s="551" t="s">
        <v>10740</v>
      </c>
      <c r="E18" s="550" t="s">
        <v>4407</v>
      </c>
      <c r="F18" s="550" t="s">
        <v>10702</v>
      </c>
      <c r="G18" s="550" t="s">
        <v>10741</v>
      </c>
      <c r="H18" s="551" t="s">
        <v>10712</v>
      </c>
      <c r="I18" s="552"/>
      <c r="J18" s="552" t="n">
        <v>37078</v>
      </c>
      <c r="K18" s="552" t="n">
        <v>2022</v>
      </c>
      <c r="L18" s="550"/>
      <c r="M18" s="550"/>
      <c r="N18" s="550"/>
      <c r="O18" s="554" t="n">
        <v>0.2122</v>
      </c>
      <c r="P18" s="554" t="n">
        <v>0.5651</v>
      </c>
      <c r="Q18" s="550"/>
      <c r="R18" s="550"/>
      <c r="S18" s="550"/>
      <c r="T18" s="550"/>
      <c r="U18" s="550"/>
      <c r="V18" s="550"/>
      <c r="W18" s="550"/>
      <c r="X18" s="550"/>
      <c r="Y18" s="550"/>
      <c r="Z18" s="550"/>
      <c r="AA18" s="550"/>
      <c r="AB18" s="550"/>
      <c r="AC18" s="554" t="n">
        <v>3.0261</v>
      </c>
      <c r="AD18" s="550"/>
      <c r="AE18" s="550"/>
      <c r="AF18" s="554" t="n">
        <v>3.0198</v>
      </c>
      <c r="AG18" s="550"/>
      <c r="AH18" s="554" t="n">
        <v>6.8231</v>
      </c>
      <c r="AI18" s="554" t="n">
        <v>3.6987</v>
      </c>
      <c r="AJ18" s="554" t="n">
        <v>10.5219</v>
      </c>
      <c r="AK18" s="550"/>
      <c r="AL18" s="550"/>
      <c r="AM18" s="551" t="s">
        <v>11244</v>
      </c>
    </row>
    <row r="19" customFormat="false" ht="13.5" hidden="false" customHeight="true" outlineLevel="0" collapsed="false">
      <c r="A19" s="550" t="s">
        <v>10738</v>
      </c>
      <c r="B19" s="508" t="n">
        <v>210</v>
      </c>
      <c r="C19" s="550" t="s">
        <v>10739</v>
      </c>
      <c r="D19" s="551" t="s">
        <v>10740</v>
      </c>
      <c r="E19" s="550" t="s">
        <v>4407</v>
      </c>
      <c r="F19" s="550" t="s">
        <v>10702</v>
      </c>
      <c r="G19" s="550" t="s">
        <v>10741</v>
      </c>
      <c r="H19" s="551" t="s">
        <v>10712</v>
      </c>
      <c r="I19" s="552"/>
      <c r="J19" s="552" t="n">
        <v>37078</v>
      </c>
      <c r="K19" s="552" t="n">
        <v>2023</v>
      </c>
      <c r="L19" s="550"/>
      <c r="M19" s="550"/>
      <c r="N19" s="550"/>
      <c r="O19" s="554" t="n">
        <v>0.2334</v>
      </c>
      <c r="P19" s="554" t="n">
        <v>0.4855</v>
      </c>
      <c r="Q19" s="550"/>
      <c r="R19" s="550"/>
      <c r="S19" s="550"/>
      <c r="T19" s="550"/>
      <c r="U19" s="550"/>
      <c r="V19" s="550"/>
      <c r="W19" s="550"/>
      <c r="X19" s="550"/>
      <c r="Y19" s="550"/>
      <c r="Z19" s="550"/>
      <c r="AA19" s="550"/>
      <c r="AB19" s="550"/>
      <c r="AC19" s="554" t="n">
        <v>3.1419</v>
      </c>
      <c r="AD19" s="550"/>
      <c r="AE19" s="550"/>
      <c r="AF19" s="554" t="n">
        <v>3.018</v>
      </c>
      <c r="AG19" s="550"/>
      <c r="AH19" s="554" t="n">
        <v>6.8788</v>
      </c>
      <c r="AI19" s="554" t="n">
        <v>3.554</v>
      </c>
      <c r="AJ19" s="554" t="n">
        <v>10.4328</v>
      </c>
      <c r="AK19" s="550"/>
      <c r="AL19" s="550"/>
      <c r="AM19" s="551" t="s">
        <v>11245</v>
      </c>
    </row>
    <row r="20" customFormat="false" ht="13.5" hidden="false" customHeight="true" outlineLevel="0" collapsed="false">
      <c r="A20" s="550" t="s">
        <v>10738</v>
      </c>
      <c r="B20" s="508" t="n">
        <v>210</v>
      </c>
      <c r="C20" s="550" t="s">
        <v>10739</v>
      </c>
      <c r="D20" s="551" t="s">
        <v>10740</v>
      </c>
      <c r="E20" s="550" t="s">
        <v>4407</v>
      </c>
      <c r="F20" s="550" t="s">
        <v>10702</v>
      </c>
      <c r="G20" s="550" t="s">
        <v>10741</v>
      </c>
      <c r="H20" s="551" t="s">
        <v>10712</v>
      </c>
      <c r="I20" s="552"/>
      <c r="J20" s="552" t="n">
        <v>37078</v>
      </c>
      <c r="K20" s="552" t="n">
        <v>2024</v>
      </c>
      <c r="L20" s="550"/>
      <c r="M20" s="550"/>
      <c r="N20" s="550"/>
      <c r="O20" s="554" t="n">
        <v>0.2334</v>
      </c>
      <c r="P20" s="554" t="n">
        <v>0.5826</v>
      </c>
      <c r="Q20" s="550"/>
      <c r="R20" s="550"/>
      <c r="S20" s="550"/>
      <c r="T20" s="550"/>
      <c r="U20" s="550"/>
      <c r="V20" s="550"/>
      <c r="W20" s="550"/>
      <c r="X20" s="550"/>
      <c r="Y20" s="550"/>
      <c r="Z20" s="550"/>
      <c r="AA20" s="550"/>
      <c r="AB20" s="550"/>
      <c r="AC20" s="554" t="n">
        <v>3.7703</v>
      </c>
      <c r="AD20" s="550"/>
      <c r="AE20" s="550"/>
      <c r="AF20" s="554" t="n">
        <v>3.6217</v>
      </c>
      <c r="AG20" s="550"/>
      <c r="AH20" s="554" t="n">
        <v>8.2079</v>
      </c>
      <c r="AI20" s="554" t="n">
        <v>3.554</v>
      </c>
      <c r="AJ20" s="554" t="n">
        <v>11.7619</v>
      </c>
      <c r="AK20" s="550"/>
      <c r="AL20" s="550"/>
      <c r="AM20" s="551" t="s">
        <v>11246</v>
      </c>
    </row>
    <row r="21" customFormat="false" ht="13.5" hidden="false" customHeight="true" outlineLevel="0" collapsed="false">
      <c r="A21" s="550" t="s">
        <v>10744</v>
      </c>
      <c r="B21" s="508" t="n">
        <v>341</v>
      </c>
      <c r="C21" s="550" t="s">
        <v>10745</v>
      </c>
      <c r="D21" s="551" t="s">
        <v>10746</v>
      </c>
      <c r="E21" s="550" t="s">
        <v>9525</v>
      </c>
      <c r="F21" s="550" t="s">
        <v>10702</v>
      </c>
      <c r="G21" s="550" t="s">
        <v>9275</v>
      </c>
      <c r="H21" s="551" t="s">
        <v>10712</v>
      </c>
      <c r="I21" s="552"/>
      <c r="J21" s="552" t="n">
        <v>19430</v>
      </c>
      <c r="K21" s="552" t="n">
        <v>2023</v>
      </c>
      <c r="L21" s="550"/>
      <c r="M21" s="550"/>
      <c r="N21" s="554" t="n">
        <v>20.2681</v>
      </c>
      <c r="O21" s="554" t="n">
        <v>0.4882</v>
      </c>
      <c r="P21" s="554" t="n">
        <v>0.525</v>
      </c>
      <c r="Q21" s="550"/>
      <c r="R21" s="550"/>
      <c r="S21" s="550"/>
      <c r="T21" s="550"/>
      <c r="U21" s="554" t="n">
        <v>1.1125</v>
      </c>
      <c r="V21" s="550"/>
      <c r="W21" s="550"/>
      <c r="X21" s="554" t="n">
        <v>1.365</v>
      </c>
      <c r="Y21" s="554" t="n">
        <v>1.365</v>
      </c>
      <c r="Z21" s="554" t="n">
        <v>0.1046</v>
      </c>
      <c r="AA21" s="554" t="n">
        <v>0.6014</v>
      </c>
      <c r="AB21" s="554" t="n">
        <v>0.3262</v>
      </c>
      <c r="AC21" s="554" t="n">
        <v>1.0322</v>
      </c>
      <c r="AD21" s="554" t="n">
        <v>0.3942</v>
      </c>
      <c r="AE21" s="554" t="n">
        <v>1.9391</v>
      </c>
      <c r="AF21" s="554" t="n">
        <v>2.3333</v>
      </c>
      <c r="AG21" s="554" t="n">
        <v>0.9338</v>
      </c>
      <c r="AH21" s="554" t="n">
        <v>7.7898</v>
      </c>
      <c r="AI21" s="554" t="n">
        <v>2.7482</v>
      </c>
      <c r="AJ21" s="554" t="n">
        <v>10.5379</v>
      </c>
      <c r="AK21" s="554" t="n">
        <v>9.7302</v>
      </c>
      <c r="AL21" s="550"/>
      <c r="AM21" s="551" t="s">
        <v>11247</v>
      </c>
    </row>
    <row r="22" customFormat="false" ht="13.5" hidden="false" customHeight="true" outlineLevel="0" collapsed="false">
      <c r="A22" s="550" t="s">
        <v>10744</v>
      </c>
      <c r="B22" s="508" t="n">
        <v>341</v>
      </c>
      <c r="C22" s="550" t="s">
        <v>10745</v>
      </c>
      <c r="D22" s="551" t="s">
        <v>10746</v>
      </c>
      <c r="E22" s="550" t="s">
        <v>9525</v>
      </c>
      <c r="F22" s="550" t="s">
        <v>10702</v>
      </c>
      <c r="G22" s="550" t="s">
        <v>9275</v>
      </c>
      <c r="H22" s="551" t="s">
        <v>10712</v>
      </c>
      <c r="I22" s="552"/>
      <c r="J22" s="552" t="n">
        <v>19430</v>
      </c>
      <c r="K22" s="552" t="n">
        <v>2024</v>
      </c>
      <c r="L22" s="550"/>
      <c r="M22" s="550"/>
      <c r="N22" s="554" t="n">
        <v>20.0976</v>
      </c>
      <c r="O22" s="554" t="n">
        <v>0.7185</v>
      </c>
      <c r="P22" s="554" t="n">
        <v>1.9878</v>
      </c>
      <c r="Q22" s="550"/>
      <c r="R22" s="550"/>
      <c r="S22" s="550"/>
      <c r="T22" s="550"/>
      <c r="U22" s="554" t="n">
        <v>0.6725</v>
      </c>
      <c r="V22" s="550"/>
      <c r="W22" s="550"/>
      <c r="X22" s="554" t="n">
        <v>1.3296</v>
      </c>
      <c r="Y22" s="554" t="n">
        <v>1.3296</v>
      </c>
      <c r="Z22" s="554" t="n">
        <v>0.1008</v>
      </c>
      <c r="AA22" s="554" t="n">
        <v>0.8078</v>
      </c>
      <c r="AB22" s="554" t="n">
        <v>0.3029</v>
      </c>
      <c r="AC22" s="554" t="n">
        <v>1.2115</v>
      </c>
      <c r="AD22" s="554" t="n">
        <v>0.3305</v>
      </c>
      <c r="AE22" s="554" t="n">
        <v>1.7022</v>
      </c>
      <c r="AF22" s="554" t="n">
        <v>2.0327</v>
      </c>
      <c r="AG22" s="554" t="n">
        <v>0.8246</v>
      </c>
      <c r="AH22" s="554" t="n">
        <v>8.7771</v>
      </c>
      <c r="AI22" s="554" t="n">
        <v>3.2527</v>
      </c>
      <c r="AJ22" s="554" t="n">
        <v>12.0299</v>
      </c>
      <c r="AK22" s="554" t="n">
        <v>8.0678</v>
      </c>
      <c r="AL22" s="550"/>
      <c r="AM22" s="551" t="s">
        <v>11248</v>
      </c>
    </row>
    <row r="23" customFormat="false" ht="13.5" hidden="false" customHeight="true" outlineLevel="0" collapsed="false">
      <c r="A23" s="509" t="s">
        <v>10750</v>
      </c>
      <c r="B23" s="508" t="n">
        <v>210</v>
      </c>
      <c r="C23" s="509" t="s">
        <v>10751</v>
      </c>
      <c r="D23" s="529" t="s">
        <v>10752</v>
      </c>
      <c r="E23" s="509" t="s">
        <v>9525</v>
      </c>
      <c r="F23" s="509" t="s">
        <v>10702</v>
      </c>
      <c r="G23" s="509" t="s">
        <v>2692</v>
      </c>
      <c r="H23" s="529" t="s">
        <v>10753</v>
      </c>
      <c r="I23" s="546"/>
      <c r="J23" s="546" t="n">
        <v>330935</v>
      </c>
      <c r="K23" s="546" t="n">
        <v>2024</v>
      </c>
      <c r="L23" s="509"/>
      <c r="M23" s="509"/>
      <c r="N23" s="547" t="n">
        <v>8.3114</v>
      </c>
      <c r="O23" s="509"/>
      <c r="P23" s="509"/>
      <c r="Q23" s="509"/>
      <c r="R23" s="509"/>
      <c r="S23" s="509"/>
      <c r="T23" s="509"/>
      <c r="U23" s="509"/>
      <c r="V23" s="509"/>
      <c r="W23" s="509"/>
      <c r="X23" s="509"/>
      <c r="Y23" s="509"/>
      <c r="Z23" s="509"/>
      <c r="AA23" s="509"/>
      <c r="AB23" s="509"/>
      <c r="AC23" s="509"/>
      <c r="AD23" s="509"/>
      <c r="AE23" s="509"/>
      <c r="AF23" s="509"/>
      <c r="AG23" s="509"/>
      <c r="AH23" s="509"/>
      <c r="AI23" s="509"/>
      <c r="AJ23" s="547" t="n">
        <v>4.0444</v>
      </c>
      <c r="AK23" s="547" t="n">
        <v>4.267</v>
      </c>
      <c r="AL23" s="509"/>
      <c r="AM23" s="529" t="s">
        <v>11249</v>
      </c>
    </row>
    <row r="24" customFormat="false" ht="13.5" hidden="false" customHeight="true" outlineLevel="0" collapsed="false">
      <c r="A24" s="542" t="s">
        <v>10756</v>
      </c>
      <c r="B24" s="508" t="n">
        <v>407</v>
      </c>
      <c r="C24" s="542" t="s">
        <v>10757</v>
      </c>
      <c r="D24" s="543" t="s">
        <v>10758</v>
      </c>
      <c r="E24" s="542" t="s">
        <v>9525</v>
      </c>
      <c r="F24" s="542" t="s">
        <v>10702</v>
      </c>
      <c r="G24" s="542" t="s">
        <v>2692</v>
      </c>
      <c r="H24" s="543" t="s">
        <v>10759</v>
      </c>
      <c r="I24" s="544"/>
      <c r="J24" s="544"/>
      <c r="K24" s="544" t="n">
        <v>2023</v>
      </c>
      <c r="L24" s="542"/>
      <c r="M24" s="542"/>
      <c r="N24" s="555" t="n">
        <v>332759</v>
      </c>
      <c r="O24" s="555" t="n">
        <v>22784</v>
      </c>
      <c r="P24" s="555" t="n">
        <v>4000</v>
      </c>
      <c r="Q24" s="542"/>
      <c r="R24" s="542"/>
      <c r="S24" s="542"/>
      <c r="T24" s="542"/>
      <c r="U24" s="542"/>
      <c r="V24" s="542"/>
      <c r="W24" s="542"/>
      <c r="X24" s="555" t="n">
        <v>12804</v>
      </c>
      <c r="Y24" s="555" t="n">
        <v>12804</v>
      </c>
      <c r="Z24" s="542"/>
      <c r="AA24" s="555" t="n">
        <v>6910</v>
      </c>
      <c r="AB24" s="555" t="n">
        <v>1800</v>
      </c>
      <c r="AC24" s="555" t="n">
        <v>8710</v>
      </c>
      <c r="AD24" s="555" t="n">
        <v>2209</v>
      </c>
      <c r="AE24" s="555" t="n">
        <v>1956</v>
      </c>
      <c r="AF24" s="555" t="n">
        <v>4165</v>
      </c>
      <c r="AG24" s="555" t="n">
        <v>8397</v>
      </c>
      <c r="AH24" s="555" t="n">
        <v>127005</v>
      </c>
      <c r="AI24" s="555" t="n">
        <v>60552</v>
      </c>
      <c r="AJ24" s="555" t="n">
        <v>187557</v>
      </c>
      <c r="AK24" s="555" t="n">
        <v>265550</v>
      </c>
      <c r="AL24" s="542"/>
      <c r="AM24" s="543" t="s">
        <v>11427</v>
      </c>
    </row>
    <row r="25" customFormat="false" ht="13.5" hidden="false" customHeight="true" outlineLevel="0" collapsed="false">
      <c r="A25" s="509" t="s">
        <v>10756</v>
      </c>
      <c r="B25" s="508" t="n">
        <v>407</v>
      </c>
      <c r="C25" s="509" t="s">
        <v>10757</v>
      </c>
      <c r="D25" s="529" t="s">
        <v>10758</v>
      </c>
      <c r="E25" s="509" t="s">
        <v>9525</v>
      </c>
      <c r="F25" s="509" t="s">
        <v>10702</v>
      </c>
      <c r="G25" s="509" t="s">
        <v>2692</v>
      </c>
      <c r="H25" s="529" t="s">
        <v>10759</v>
      </c>
      <c r="I25" s="546"/>
      <c r="J25" s="546"/>
      <c r="K25" s="546" t="n">
        <v>2024</v>
      </c>
      <c r="L25" s="509"/>
      <c r="M25" s="509"/>
      <c r="N25" s="556" t="n">
        <v>359583</v>
      </c>
      <c r="O25" s="556" t="n">
        <v>27489</v>
      </c>
      <c r="P25" s="556" t="n">
        <v>6000</v>
      </c>
      <c r="Q25" s="509"/>
      <c r="R25" s="509"/>
      <c r="S25" s="509"/>
      <c r="T25" s="509"/>
      <c r="U25" s="509"/>
      <c r="V25" s="509"/>
      <c r="W25" s="509"/>
      <c r="X25" s="556" t="n">
        <v>9601</v>
      </c>
      <c r="Y25" s="556" t="n">
        <v>9601</v>
      </c>
      <c r="Z25" s="509"/>
      <c r="AA25" s="556" t="n">
        <v>3045</v>
      </c>
      <c r="AB25" s="556" t="n">
        <v>1960</v>
      </c>
      <c r="AC25" s="556" t="n">
        <v>5005</v>
      </c>
      <c r="AD25" s="556" t="n">
        <v>3555</v>
      </c>
      <c r="AE25" s="556" t="n">
        <v>1567</v>
      </c>
      <c r="AF25" s="556" t="n">
        <v>5122</v>
      </c>
      <c r="AG25" s="556" t="n">
        <v>10035</v>
      </c>
      <c r="AH25" s="556" t="n">
        <v>69350</v>
      </c>
      <c r="AI25" s="556" t="n">
        <v>101114</v>
      </c>
      <c r="AJ25" s="556" t="n">
        <v>170464</v>
      </c>
      <c r="AK25" s="556" t="n">
        <v>290993</v>
      </c>
      <c r="AL25" s="509"/>
      <c r="AM25" s="529" t="s">
        <v>11428</v>
      </c>
    </row>
    <row r="26" customFormat="false" ht="13.5" hidden="false" customHeight="true" outlineLevel="0" collapsed="false">
      <c r="A26" s="542" t="s">
        <v>10763</v>
      </c>
      <c r="B26" s="508" t="n">
        <v>210</v>
      </c>
      <c r="C26" s="542" t="s">
        <v>10764</v>
      </c>
      <c r="D26" s="543" t="s">
        <v>10765</v>
      </c>
      <c r="E26" s="542" t="s">
        <v>1557</v>
      </c>
      <c r="F26" s="542" t="s">
        <v>10702</v>
      </c>
      <c r="G26" s="542" t="s">
        <v>10766</v>
      </c>
      <c r="H26" s="543" t="s">
        <v>10767</v>
      </c>
      <c r="I26" s="544"/>
      <c r="J26" s="544" t="n">
        <v>105000</v>
      </c>
      <c r="K26" s="544" t="n">
        <v>2023</v>
      </c>
      <c r="L26" s="545" t="n">
        <v>7.0284</v>
      </c>
      <c r="M26" s="545" t="n">
        <v>4.8451</v>
      </c>
      <c r="N26" s="545" t="n">
        <v>11.8736</v>
      </c>
      <c r="O26" s="545" t="n">
        <v>0.4657</v>
      </c>
      <c r="P26" s="545" t="n">
        <v>0.9934</v>
      </c>
      <c r="Q26" s="542"/>
      <c r="R26" s="542"/>
      <c r="S26" s="542"/>
      <c r="T26" s="542"/>
      <c r="U26" s="542"/>
      <c r="V26" s="542"/>
      <c r="W26" s="542"/>
      <c r="X26" s="545" t="n">
        <v>0.6328</v>
      </c>
      <c r="Y26" s="545" t="n">
        <v>0.6328</v>
      </c>
      <c r="Z26" s="545" t="n">
        <v>0.4669</v>
      </c>
      <c r="AA26" s="545" t="n">
        <v>0.2172</v>
      </c>
      <c r="AB26" s="545" t="n">
        <v>0.5585</v>
      </c>
      <c r="AC26" s="545" t="n">
        <v>1.2425</v>
      </c>
      <c r="AD26" s="545" t="n">
        <v>0.5097</v>
      </c>
      <c r="AE26" s="542"/>
      <c r="AF26" s="545" t="n">
        <v>0.7223</v>
      </c>
      <c r="AG26" s="542"/>
      <c r="AH26" s="545" t="n">
        <v>4.6141</v>
      </c>
      <c r="AI26" s="545" t="n">
        <v>2.1859</v>
      </c>
      <c r="AJ26" s="545" t="n">
        <v>6.8</v>
      </c>
      <c r="AK26" s="545" t="n">
        <v>5.0762</v>
      </c>
      <c r="AL26" s="542"/>
      <c r="AM26" s="543" t="s">
        <v>11252</v>
      </c>
    </row>
    <row r="27" customFormat="false" ht="13.5" hidden="false" customHeight="true" outlineLevel="0" collapsed="false">
      <c r="A27" s="509" t="s">
        <v>10763</v>
      </c>
      <c r="B27" s="508" t="n">
        <v>210</v>
      </c>
      <c r="C27" s="509" t="s">
        <v>10764</v>
      </c>
      <c r="D27" s="529" t="s">
        <v>10765</v>
      </c>
      <c r="E27" s="509" t="s">
        <v>1557</v>
      </c>
      <c r="F27" s="509" t="s">
        <v>10702</v>
      </c>
      <c r="G27" s="509" t="s">
        <v>10766</v>
      </c>
      <c r="H27" s="529" t="s">
        <v>10767</v>
      </c>
      <c r="I27" s="546"/>
      <c r="J27" s="546" t="n">
        <v>105000</v>
      </c>
      <c r="K27" s="546" t="n">
        <v>2024</v>
      </c>
      <c r="L27" s="547" t="n">
        <v>8.5979</v>
      </c>
      <c r="M27" s="547" t="n">
        <v>7.4693</v>
      </c>
      <c r="N27" s="547" t="n">
        <v>16.0672</v>
      </c>
      <c r="O27" s="547" t="n">
        <v>0.481</v>
      </c>
      <c r="P27" s="547" t="n">
        <v>1.1752</v>
      </c>
      <c r="Q27" s="509"/>
      <c r="R27" s="509"/>
      <c r="S27" s="509"/>
      <c r="T27" s="509"/>
      <c r="U27" s="509"/>
      <c r="V27" s="509"/>
      <c r="W27" s="509"/>
      <c r="X27" s="547" t="n">
        <v>0.7155</v>
      </c>
      <c r="Y27" s="547" t="n">
        <v>0.7155</v>
      </c>
      <c r="Z27" s="547" t="n">
        <v>0.5619</v>
      </c>
      <c r="AA27" s="547" t="n">
        <v>0.1728</v>
      </c>
      <c r="AB27" s="547" t="n">
        <v>0.4984</v>
      </c>
      <c r="AC27" s="547" t="n">
        <v>1.233</v>
      </c>
      <c r="AD27" s="547" t="n">
        <v>0.8304</v>
      </c>
      <c r="AE27" s="509"/>
      <c r="AF27" s="547" t="n">
        <v>0.9542</v>
      </c>
      <c r="AG27" s="509"/>
      <c r="AH27" s="547" t="n">
        <v>4.7875</v>
      </c>
      <c r="AI27" s="547" t="n">
        <v>5.1839</v>
      </c>
      <c r="AJ27" s="547" t="n">
        <v>9.9714</v>
      </c>
      <c r="AK27" s="547" t="n">
        <v>6.0952</v>
      </c>
      <c r="AL27" s="509"/>
      <c r="AM27" s="529" t="s">
        <v>11253</v>
      </c>
    </row>
    <row r="28" customFormat="false" ht="13.5" hidden="false" customHeight="true" outlineLevel="0" collapsed="false">
      <c r="A28" s="542" t="s">
        <v>10770</v>
      </c>
      <c r="B28" s="508" t="n">
        <v>210</v>
      </c>
      <c r="C28" s="542" t="s">
        <v>2387</v>
      </c>
      <c r="D28" s="543" t="s">
        <v>10771</v>
      </c>
      <c r="E28" s="542" t="s">
        <v>9525</v>
      </c>
      <c r="F28" s="542" t="s">
        <v>10702</v>
      </c>
      <c r="G28" s="542" t="s">
        <v>10772</v>
      </c>
      <c r="H28" s="543" t="s">
        <v>10712</v>
      </c>
      <c r="I28" s="544"/>
      <c r="J28" s="544"/>
      <c r="K28" s="544" t="n">
        <v>2022</v>
      </c>
      <c r="L28" s="542"/>
      <c r="M28" s="542"/>
      <c r="N28" s="555" t="n">
        <v>502006</v>
      </c>
      <c r="O28" s="555" t="n">
        <v>16872</v>
      </c>
      <c r="P28" s="555" t="n">
        <v>54025</v>
      </c>
      <c r="Q28" s="542"/>
      <c r="R28" s="542"/>
      <c r="S28" s="542"/>
      <c r="T28" s="542"/>
      <c r="U28" s="542"/>
      <c r="V28" s="542"/>
      <c r="W28" s="542"/>
      <c r="X28" s="555" t="n">
        <v>71762</v>
      </c>
      <c r="Y28" s="555" t="n">
        <v>71762</v>
      </c>
      <c r="Z28" s="542"/>
      <c r="AA28" s="555" t="n">
        <v>6528</v>
      </c>
      <c r="AB28" s="542"/>
      <c r="AC28" s="555" t="n">
        <v>6528</v>
      </c>
      <c r="AD28" s="555" t="n">
        <v>4858</v>
      </c>
      <c r="AE28" s="555" t="n">
        <v>525</v>
      </c>
      <c r="AF28" s="555" t="n">
        <v>5383</v>
      </c>
      <c r="AG28" s="542"/>
      <c r="AH28" s="555" t="n">
        <v>209625</v>
      </c>
      <c r="AI28" s="555" t="n">
        <v>64792</v>
      </c>
      <c r="AJ28" s="555" t="n">
        <v>274417</v>
      </c>
      <c r="AK28" s="555" t="n">
        <v>227649</v>
      </c>
      <c r="AL28" s="542"/>
      <c r="AM28" s="543" t="s">
        <v>11429</v>
      </c>
    </row>
    <row r="29" customFormat="false" ht="13.5" hidden="false" customHeight="true" outlineLevel="0" collapsed="false">
      <c r="A29" s="509" t="s">
        <v>10770</v>
      </c>
      <c r="B29" s="508" t="n">
        <v>210</v>
      </c>
      <c r="C29" s="509" t="s">
        <v>2387</v>
      </c>
      <c r="D29" s="529" t="s">
        <v>10771</v>
      </c>
      <c r="E29" s="509" t="s">
        <v>9525</v>
      </c>
      <c r="F29" s="509" t="s">
        <v>10702</v>
      </c>
      <c r="G29" s="509" t="s">
        <v>10772</v>
      </c>
      <c r="H29" s="529" t="s">
        <v>10712</v>
      </c>
      <c r="I29" s="546"/>
      <c r="J29" s="546"/>
      <c r="K29" s="546" t="n">
        <v>2023</v>
      </c>
      <c r="L29" s="509"/>
      <c r="M29" s="509"/>
      <c r="N29" s="556" t="n">
        <v>532468</v>
      </c>
      <c r="O29" s="556" t="n">
        <v>15442</v>
      </c>
      <c r="P29" s="509"/>
      <c r="Q29" s="509"/>
      <c r="R29" s="509"/>
      <c r="S29" s="509"/>
      <c r="T29" s="509"/>
      <c r="U29" s="509"/>
      <c r="V29" s="509"/>
      <c r="W29" s="509"/>
      <c r="X29" s="556" t="n">
        <v>83293</v>
      </c>
      <c r="Y29" s="556" t="n">
        <v>83293</v>
      </c>
      <c r="Z29" s="509"/>
      <c r="AA29" s="556" t="n">
        <v>6029</v>
      </c>
      <c r="AB29" s="509"/>
      <c r="AC29" s="556" t="n">
        <v>6029</v>
      </c>
      <c r="AD29" s="556" t="n">
        <v>6487</v>
      </c>
      <c r="AE29" s="509"/>
      <c r="AF29" s="556" t="n">
        <v>6487</v>
      </c>
      <c r="AG29" s="509"/>
      <c r="AH29" s="556" t="n">
        <v>141304</v>
      </c>
      <c r="AI29" s="556" t="n">
        <v>63133</v>
      </c>
      <c r="AJ29" s="556" t="n">
        <v>204437</v>
      </c>
      <c r="AK29" s="556" t="n">
        <v>328030</v>
      </c>
      <c r="AL29" s="509"/>
      <c r="AM29" s="529" t="s">
        <v>11430</v>
      </c>
    </row>
    <row r="30" customFormat="false" ht="13.5" hidden="false" customHeight="true" outlineLevel="0" collapsed="false">
      <c r="A30" s="542" t="s">
        <v>10770</v>
      </c>
      <c r="B30" s="508" t="n">
        <v>210</v>
      </c>
      <c r="C30" s="542" t="s">
        <v>2387</v>
      </c>
      <c r="D30" s="543" t="s">
        <v>10771</v>
      </c>
      <c r="E30" s="542" t="s">
        <v>9525</v>
      </c>
      <c r="F30" s="542" t="s">
        <v>10702</v>
      </c>
      <c r="G30" s="542" t="s">
        <v>10772</v>
      </c>
      <c r="H30" s="543" t="s">
        <v>10712</v>
      </c>
      <c r="I30" s="544"/>
      <c r="J30" s="544"/>
      <c r="K30" s="544" t="n">
        <v>2024</v>
      </c>
      <c r="L30" s="542"/>
      <c r="M30" s="542"/>
      <c r="N30" s="555" t="n">
        <v>517234</v>
      </c>
      <c r="O30" s="555" t="n">
        <v>20795</v>
      </c>
      <c r="P30" s="542"/>
      <c r="Q30" s="542"/>
      <c r="R30" s="542"/>
      <c r="S30" s="542"/>
      <c r="T30" s="542"/>
      <c r="U30" s="542"/>
      <c r="V30" s="542"/>
      <c r="W30" s="542"/>
      <c r="X30" s="555" t="n">
        <v>32385</v>
      </c>
      <c r="Y30" s="555" t="n">
        <v>32385</v>
      </c>
      <c r="Z30" s="542"/>
      <c r="AA30" s="555" t="n">
        <v>4814</v>
      </c>
      <c r="AB30" s="542"/>
      <c r="AC30" s="555" t="n">
        <v>4814</v>
      </c>
      <c r="AD30" s="555" t="n">
        <v>5690</v>
      </c>
      <c r="AE30" s="542"/>
      <c r="AF30" s="555" t="n">
        <v>5690</v>
      </c>
      <c r="AG30" s="542"/>
      <c r="AH30" s="542"/>
      <c r="AI30" s="542"/>
      <c r="AJ30" s="555" t="n">
        <v>331645</v>
      </c>
      <c r="AK30" s="555" t="n">
        <v>185389</v>
      </c>
      <c r="AL30" s="542"/>
      <c r="AM30" s="543" t="s">
        <v>11431</v>
      </c>
    </row>
    <row r="31" customFormat="false" ht="13.5" hidden="false" customHeight="true" outlineLevel="0" collapsed="false">
      <c r="A31" s="550" t="s">
        <v>10775</v>
      </c>
      <c r="B31" s="508" t="n">
        <v>344</v>
      </c>
      <c r="C31" s="550" t="s">
        <v>10776</v>
      </c>
      <c r="D31" s="551" t="s">
        <v>10777</v>
      </c>
      <c r="E31" s="550" t="s">
        <v>9525</v>
      </c>
      <c r="F31" s="550" t="s">
        <v>10702</v>
      </c>
      <c r="G31" s="550" t="s">
        <v>10719</v>
      </c>
      <c r="H31" s="551" t="s">
        <v>10712</v>
      </c>
      <c r="I31" s="552"/>
      <c r="J31" s="552" t="n">
        <v>20170</v>
      </c>
      <c r="K31" s="552" t="n">
        <v>2023</v>
      </c>
      <c r="L31" s="550"/>
      <c r="M31" s="550"/>
      <c r="N31" s="554" t="n">
        <v>13.6708</v>
      </c>
      <c r="O31" s="550"/>
      <c r="P31" s="550"/>
      <c r="Q31" s="550"/>
      <c r="R31" s="550"/>
      <c r="S31" s="550"/>
      <c r="T31" s="550"/>
      <c r="U31" s="550"/>
      <c r="V31" s="550"/>
      <c r="W31" s="550"/>
      <c r="X31" s="550"/>
      <c r="Y31" s="550"/>
      <c r="Z31" s="550"/>
      <c r="AA31" s="550"/>
      <c r="AB31" s="550"/>
      <c r="AC31" s="550"/>
      <c r="AD31" s="550"/>
      <c r="AE31" s="550"/>
      <c r="AF31" s="550"/>
      <c r="AG31" s="550"/>
      <c r="AH31" s="554" t="n">
        <v>5.3592</v>
      </c>
      <c r="AI31" s="554" t="n">
        <v>2.2399</v>
      </c>
      <c r="AJ31" s="554" t="n">
        <v>7.5992</v>
      </c>
      <c r="AK31" s="554" t="n">
        <v>8.3116</v>
      </c>
      <c r="AL31" s="550"/>
      <c r="AM31" s="551" t="s">
        <v>11257</v>
      </c>
    </row>
    <row r="32" customFormat="false" ht="13.5" hidden="false" customHeight="true" outlineLevel="0" collapsed="false">
      <c r="A32" s="550" t="s">
        <v>10775</v>
      </c>
      <c r="B32" s="508" t="n">
        <v>344</v>
      </c>
      <c r="C32" s="550" t="s">
        <v>10776</v>
      </c>
      <c r="D32" s="551" t="s">
        <v>10777</v>
      </c>
      <c r="E32" s="550" t="s">
        <v>9525</v>
      </c>
      <c r="F32" s="550" t="s">
        <v>10702</v>
      </c>
      <c r="G32" s="550" t="s">
        <v>10719</v>
      </c>
      <c r="H32" s="551" t="s">
        <v>10712</v>
      </c>
      <c r="I32" s="552"/>
      <c r="J32" s="552" t="n">
        <v>20170</v>
      </c>
      <c r="K32" s="552" t="n">
        <v>2024</v>
      </c>
      <c r="L32" s="550"/>
      <c r="M32" s="550"/>
      <c r="N32" s="554" t="n">
        <v>14.802</v>
      </c>
      <c r="O32" s="550"/>
      <c r="P32" s="550"/>
      <c r="Q32" s="550"/>
      <c r="R32" s="550"/>
      <c r="S32" s="550"/>
      <c r="T32" s="550"/>
      <c r="U32" s="550"/>
      <c r="V32" s="550"/>
      <c r="W32" s="550"/>
      <c r="X32" s="550"/>
      <c r="Y32" s="550"/>
      <c r="Z32" s="550"/>
      <c r="AA32" s="550"/>
      <c r="AB32" s="550"/>
      <c r="AC32" s="550"/>
      <c r="AD32" s="550"/>
      <c r="AE32" s="550"/>
      <c r="AF32" s="550"/>
      <c r="AG32" s="550"/>
      <c r="AH32" s="554" t="n">
        <v>6.3208</v>
      </c>
      <c r="AI32" s="554" t="n">
        <v>2.1665</v>
      </c>
      <c r="AJ32" s="554" t="n">
        <v>9.1814</v>
      </c>
      <c r="AK32" s="554" t="n">
        <v>8.4812</v>
      </c>
      <c r="AL32" s="550"/>
      <c r="AM32" s="551" t="s">
        <v>11258</v>
      </c>
    </row>
    <row r="33" customFormat="false" ht="13.5" hidden="false" customHeight="true" outlineLevel="0" collapsed="false">
      <c r="A33" s="550" t="s">
        <v>10780</v>
      </c>
      <c r="B33" s="508" t="n">
        <v>353</v>
      </c>
      <c r="C33" s="550" t="s">
        <v>10781</v>
      </c>
      <c r="D33" s="551" t="s">
        <v>11259</v>
      </c>
      <c r="E33" s="550" t="s">
        <v>9525</v>
      </c>
      <c r="F33" s="550" t="s">
        <v>10702</v>
      </c>
      <c r="G33" s="550" t="s">
        <v>10783</v>
      </c>
      <c r="H33" s="551" t="s">
        <v>10712</v>
      </c>
      <c r="I33" s="552" t="n">
        <v>2023</v>
      </c>
      <c r="J33" s="552"/>
      <c r="K33" s="552" t="n">
        <v>2023</v>
      </c>
      <c r="L33" s="553" t="n">
        <v>270793</v>
      </c>
      <c r="M33" s="553" t="n">
        <v>258323</v>
      </c>
      <c r="N33" s="553" t="n">
        <v>524533</v>
      </c>
      <c r="O33" s="553" t="n">
        <v>16865</v>
      </c>
      <c r="P33" s="553" t="n">
        <v>26496</v>
      </c>
      <c r="Q33" s="550"/>
      <c r="R33" s="550"/>
      <c r="S33" s="550"/>
      <c r="T33" s="550"/>
      <c r="U33" s="550"/>
      <c r="V33" s="550"/>
      <c r="W33" s="550"/>
      <c r="X33" s="553" t="n">
        <v>50972</v>
      </c>
      <c r="Y33" s="553" t="n">
        <v>50972</v>
      </c>
      <c r="Z33" s="550"/>
      <c r="AA33" s="553" t="n">
        <v>7543</v>
      </c>
      <c r="AB33" s="550"/>
      <c r="AC33" s="553" t="n">
        <v>7543</v>
      </c>
      <c r="AD33" s="553" t="n">
        <v>4602</v>
      </c>
      <c r="AE33" s="553" t="n">
        <v>51467</v>
      </c>
      <c r="AF33" s="553" t="n">
        <v>56069</v>
      </c>
      <c r="AG33" s="550"/>
      <c r="AH33" s="553" t="n">
        <v>157946</v>
      </c>
      <c r="AI33" s="553" t="n">
        <v>125577</v>
      </c>
      <c r="AJ33" s="553" t="n">
        <v>283523</v>
      </c>
      <c r="AK33" s="553" t="n">
        <v>241009</v>
      </c>
      <c r="AL33" s="550"/>
      <c r="AM33" s="551" t="s">
        <v>11432</v>
      </c>
    </row>
    <row r="34" customFormat="false" ht="13.5" hidden="false" customHeight="true" outlineLevel="0" collapsed="false">
      <c r="A34" s="550" t="s">
        <v>10780</v>
      </c>
      <c r="B34" s="508" t="n">
        <v>353</v>
      </c>
      <c r="C34" s="550" t="s">
        <v>10781</v>
      </c>
      <c r="D34" s="551" t="s">
        <v>11259</v>
      </c>
      <c r="E34" s="550" t="s">
        <v>9525</v>
      </c>
      <c r="F34" s="550" t="s">
        <v>10702</v>
      </c>
      <c r="G34" s="550" t="s">
        <v>10783</v>
      </c>
      <c r="H34" s="551" t="s">
        <v>10712</v>
      </c>
      <c r="I34" s="552" t="n">
        <v>2023</v>
      </c>
      <c r="J34" s="552"/>
      <c r="K34" s="552" t="n">
        <v>2024</v>
      </c>
      <c r="L34" s="553" t="n">
        <v>260040</v>
      </c>
      <c r="M34" s="553" t="n">
        <v>337015</v>
      </c>
      <c r="N34" s="553" t="n">
        <v>597056</v>
      </c>
      <c r="O34" s="553" t="n">
        <v>12437</v>
      </c>
      <c r="P34" s="553" t="n">
        <v>26717</v>
      </c>
      <c r="Q34" s="550"/>
      <c r="R34" s="550"/>
      <c r="S34" s="550"/>
      <c r="T34" s="550"/>
      <c r="U34" s="550"/>
      <c r="V34" s="550"/>
      <c r="W34" s="550"/>
      <c r="X34" s="553" t="n">
        <v>36931</v>
      </c>
      <c r="Y34" s="553" t="n">
        <v>36931</v>
      </c>
      <c r="Z34" s="550"/>
      <c r="AA34" s="553" t="n">
        <v>27159</v>
      </c>
      <c r="AB34" s="550"/>
      <c r="AC34" s="553" t="n">
        <v>27159</v>
      </c>
      <c r="AD34" s="553" t="n">
        <v>5043</v>
      </c>
      <c r="AE34" s="553" t="n">
        <v>54230</v>
      </c>
      <c r="AF34" s="553" t="n">
        <v>59273</v>
      </c>
      <c r="AG34" s="550"/>
      <c r="AH34" s="553" t="n">
        <v>162518</v>
      </c>
      <c r="AI34" s="553" t="n">
        <v>156074</v>
      </c>
      <c r="AJ34" s="553" t="n">
        <v>318592</v>
      </c>
      <c r="AK34" s="553" t="n">
        <v>278464</v>
      </c>
      <c r="AL34" s="550"/>
      <c r="AM34" s="551" t="s">
        <v>11433</v>
      </c>
    </row>
    <row r="35" customFormat="false" ht="13.5" hidden="false" customHeight="true" outlineLevel="0" collapsed="false">
      <c r="A35" s="509" t="s">
        <v>10786</v>
      </c>
      <c r="B35" s="508" t="n">
        <v>407</v>
      </c>
      <c r="C35" s="509" t="s">
        <v>10787</v>
      </c>
      <c r="D35" s="529" t="s">
        <v>10788</v>
      </c>
      <c r="E35" s="509" t="s">
        <v>4743</v>
      </c>
      <c r="F35" s="509" t="s">
        <v>10702</v>
      </c>
      <c r="G35" s="509" t="s">
        <v>10789</v>
      </c>
      <c r="H35" s="529" t="s">
        <v>10790</v>
      </c>
      <c r="I35" s="546"/>
      <c r="J35" s="546" t="n">
        <v>555840</v>
      </c>
      <c r="K35" s="546" t="n">
        <v>2023</v>
      </c>
      <c r="L35" s="547" t="n">
        <v>5.6192</v>
      </c>
      <c r="M35" s="509"/>
      <c r="N35" s="547" t="n">
        <v>5.6192</v>
      </c>
      <c r="O35" s="547" t="n">
        <v>0.1549</v>
      </c>
      <c r="P35" s="547" t="n">
        <v>0.1124</v>
      </c>
      <c r="Q35" s="509"/>
      <c r="R35" s="509"/>
      <c r="S35" s="509"/>
      <c r="T35" s="509"/>
      <c r="U35" s="509"/>
      <c r="V35" s="509"/>
      <c r="W35" s="509"/>
      <c r="X35" s="509"/>
      <c r="Y35" s="509"/>
      <c r="Z35" s="509"/>
      <c r="AA35" s="509"/>
      <c r="AB35" s="509"/>
      <c r="AC35" s="547" t="n">
        <v>0.0402</v>
      </c>
      <c r="AD35" s="509"/>
      <c r="AE35" s="509"/>
      <c r="AF35" s="547" t="n">
        <v>0.002</v>
      </c>
      <c r="AG35" s="509"/>
      <c r="AH35" s="547" t="n">
        <v>0.3551</v>
      </c>
      <c r="AI35" s="547" t="n">
        <v>2.9096</v>
      </c>
      <c r="AJ35" s="547" t="n">
        <v>3.2647</v>
      </c>
      <c r="AK35" s="509"/>
      <c r="AL35" s="509"/>
      <c r="AM35" s="529" t="s">
        <v>11262</v>
      </c>
    </row>
    <row r="36" customFormat="false" ht="13.5" hidden="false" customHeight="true" outlineLevel="0" collapsed="false">
      <c r="A36" s="542" t="s">
        <v>10786</v>
      </c>
      <c r="B36" s="508" t="n">
        <v>407</v>
      </c>
      <c r="C36" s="542" t="s">
        <v>10787</v>
      </c>
      <c r="D36" s="543" t="s">
        <v>10788</v>
      </c>
      <c r="E36" s="542" t="s">
        <v>4743</v>
      </c>
      <c r="F36" s="542" t="s">
        <v>10702</v>
      </c>
      <c r="G36" s="542" t="s">
        <v>10789</v>
      </c>
      <c r="H36" s="543" t="s">
        <v>10790</v>
      </c>
      <c r="I36" s="544"/>
      <c r="J36" s="544" t="n">
        <v>555840</v>
      </c>
      <c r="K36" s="544" t="n">
        <v>2024</v>
      </c>
      <c r="L36" s="545" t="n">
        <v>5.7597</v>
      </c>
      <c r="M36" s="542"/>
      <c r="N36" s="545" t="n">
        <v>5.7597</v>
      </c>
      <c r="O36" s="545" t="n">
        <v>0.1616</v>
      </c>
      <c r="P36" s="545" t="n">
        <v>0.1152</v>
      </c>
      <c r="Q36" s="542"/>
      <c r="R36" s="542"/>
      <c r="S36" s="542"/>
      <c r="T36" s="542"/>
      <c r="U36" s="542"/>
      <c r="V36" s="542"/>
      <c r="W36" s="542"/>
      <c r="X36" s="542"/>
      <c r="Y36" s="542"/>
      <c r="Z36" s="542"/>
      <c r="AA36" s="542"/>
      <c r="AB36" s="545" t="n">
        <v>0.0038</v>
      </c>
      <c r="AC36" s="545" t="n">
        <v>0.0314</v>
      </c>
      <c r="AD36" s="542"/>
      <c r="AE36" s="542"/>
      <c r="AF36" s="545" t="n">
        <v>0.0036</v>
      </c>
      <c r="AG36" s="542"/>
      <c r="AH36" s="545" t="n">
        <v>0.2783</v>
      </c>
      <c r="AI36" s="545" t="n">
        <v>3.8893</v>
      </c>
      <c r="AJ36" s="545" t="n">
        <v>4.1677</v>
      </c>
      <c r="AK36" s="542"/>
      <c r="AL36" s="542"/>
      <c r="AM36" s="543" t="s">
        <v>11263</v>
      </c>
    </row>
    <row r="37" customFormat="false" ht="13.5" hidden="false" customHeight="true" outlineLevel="0" collapsed="false">
      <c r="A37" s="509" t="s">
        <v>10794</v>
      </c>
      <c r="B37" s="508" t="n">
        <v>407</v>
      </c>
      <c r="C37" s="509" t="s">
        <v>2158</v>
      </c>
      <c r="D37" s="529" t="s">
        <v>10795</v>
      </c>
      <c r="E37" s="509" t="s">
        <v>4743</v>
      </c>
      <c r="F37" s="509" t="s">
        <v>10702</v>
      </c>
      <c r="G37" s="509" t="s">
        <v>2692</v>
      </c>
      <c r="H37" s="529" t="s">
        <v>10796</v>
      </c>
      <c r="I37" s="546" t="n">
        <v>2019</v>
      </c>
      <c r="J37" s="546" t="n">
        <v>163386</v>
      </c>
      <c r="K37" s="546" t="n">
        <v>2023</v>
      </c>
      <c r="L37" s="547" t="n">
        <v>12.829</v>
      </c>
      <c r="M37" s="509"/>
      <c r="N37" s="547" t="n">
        <v>12.829</v>
      </c>
      <c r="O37" s="547" t="n">
        <v>0.2491</v>
      </c>
      <c r="P37" s="547" t="n">
        <v>0.3371</v>
      </c>
      <c r="Q37" s="509"/>
      <c r="R37" s="509"/>
      <c r="S37" s="509"/>
      <c r="T37" s="509"/>
      <c r="U37" s="509"/>
      <c r="V37" s="509"/>
      <c r="W37" s="509"/>
      <c r="X37" s="509"/>
      <c r="Y37" s="547" t="n">
        <v>0.0395</v>
      </c>
      <c r="Z37" s="509"/>
      <c r="AA37" s="547" t="n">
        <v>0.0888</v>
      </c>
      <c r="AB37" s="547" t="n">
        <v>0.3394</v>
      </c>
      <c r="AC37" s="509"/>
      <c r="AD37" s="509"/>
      <c r="AE37" s="509"/>
      <c r="AF37" s="547" t="n">
        <v>0.2688</v>
      </c>
      <c r="AG37" s="547" t="n">
        <v>0.9762</v>
      </c>
      <c r="AH37" s="547" t="n">
        <v>2.3251</v>
      </c>
      <c r="AI37" s="547" t="n">
        <v>5.6528</v>
      </c>
      <c r="AJ37" s="547" t="n">
        <v>7.9779</v>
      </c>
      <c r="AK37" s="547" t="n">
        <v>4.8512</v>
      </c>
      <c r="AL37" s="509"/>
      <c r="AM37" s="529" t="s">
        <v>11264</v>
      </c>
    </row>
    <row r="38" customFormat="false" ht="13.5" hidden="false" customHeight="true" outlineLevel="0" collapsed="false">
      <c r="A38" s="542" t="s">
        <v>10794</v>
      </c>
      <c r="B38" s="508" t="n">
        <v>407</v>
      </c>
      <c r="C38" s="542" t="s">
        <v>2158</v>
      </c>
      <c r="D38" s="543" t="s">
        <v>10795</v>
      </c>
      <c r="E38" s="542" t="s">
        <v>4743</v>
      </c>
      <c r="F38" s="542" t="s">
        <v>10702</v>
      </c>
      <c r="G38" s="542" t="s">
        <v>2692</v>
      </c>
      <c r="H38" s="543" t="s">
        <v>10796</v>
      </c>
      <c r="I38" s="544" t="n">
        <v>2019</v>
      </c>
      <c r="J38" s="544" t="n">
        <v>163386</v>
      </c>
      <c r="K38" s="544" t="n">
        <v>2024</v>
      </c>
      <c r="L38" s="545" t="n">
        <v>13.1836</v>
      </c>
      <c r="M38" s="542"/>
      <c r="N38" s="545" t="n">
        <v>13.1836</v>
      </c>
      <c r="O38" s="545" t="n">
        <v>0.2943</v>
      </c>
      <c r="P38" s="545" t="n">
        <v>0.4581</v>
      </c>
      <c r="Q38" s="542"/>
      <c r="R38" s="542"/>
      <c r="S38" s="542"/>
      <c r="T38" s="542"/>
      <c r="U38" s="542"/>
      <c r="V38" s="542"/>
      <c r="W38" s="542"/>
      <c r="X38" s="542"/>
      <c r="Y38" s="545" t="n">
        <v>0.0322</v>
      </c>
      <c r="Z38" s="542"/>
      <c r="AA38" s="545" t="n">
        <v>0.0822</v>
      </c>
      <c r="AB38" s="545" t="n">
        <v>0.2856</v>
      </c>
      <c r="AC38" s="542"/>
      <c r="AD38" s="542"/>
      <c r="AE38" s="542"/>
      <c r="AF38" s="545" t="n">
        <v>0.3299</v>
      </c>
      <c r="AG38" s="545" t="n">
        <v>0.8113</v>
      </c>
      <c r="AH38" s="545" t="n">
        <v>2.4145</v>
      </c>
      <c r="AI38" s="545" t="n">
        <v>5.5843</v>
      </c>
      <c r="AJ38" s="545" t="n">
        <v>7.9988</v>
      </c>
      <c r="AK38" s="545" t="n">
        <v>5.1848</v>
      </c>
      <c r="AL38" s="542"/>
      <c r="AM38" s="543" t="s">
        <v>11265</v>
      </c>
    </row>
    <row r="39" customFormat="false" ht="13.5" hidden="false" customHeight="true" outlineLevel="0" collapsed="false">
      <c r="A39" s="509" t="s">
        <v>10799</v>
      </c>
      <c r="B39" s="508" t="n">
        <v>584</v>
      </c>
      <c r="C39" s="509" t="s">
        <v>10800</v>
      </c>
      <c r="D39" s="529" t="s">
        <v>10801</v>
      </c>
      <c r="E39" s="509" t="s">
        <v>4743</v>
      </c>
      <c r="F39" s="509" t="s">
        <v>10702</v>
      </c>
      <c r="G39" s="509" t="s">
        <v>2692</v>
      </c>
      <c r="H39" s="529" t="s">
        <v>10802</v>
      </c>
      <c r="I39" s="546" t="n">
        <v>1983</v>
      </c>
      <c r="J39" s="546" t="n">
        <v>384953</v>
      </c>
      <c r="K39" s="546" t="n">
        <v>2024</v>
      </c>
      <c r="L39" s="509"/>
      <c r="M39" s="509"/>
      <c r="N39" s="509"/>
      <c r="O39" s="509"/>
      <c r="P39" s="509"/>
      <c r="Q39" s="509"/>
      <c r="R39" s="509"/>
      <c r="S39" s="509"/>
      <c r="T39" s="509"/>
      <c r="U39" s="509"/>
      <c r="V39" s="509"/>
      <c r="W39" s="509"/>
      <c r="X39" s="509"/>
      <c r="Y39" s="509"/>
      <c r="Z39" s="509"/>
      <c r="AA39" s="509"/>
      <c r="AB39" s="509"/>
      <c r="AC39" s="509"/>
      <c r="AD39" s="509"/>
      <c r="AE39" s="509"/>
      <c r="AF39" s="509"/>
      <c r="AG39" s="509"/>
      <c r="AH39" s="509"/>
      <c r="AI39" s="509"/>
      <c r="AJ39" s="509"/>
      <c r="AK39" s="509"/>
      <c r="AL39" s="509"/>
      <c r="AM39" s="529" t="s">
        <v>11266</v>
      </c>
    </row>
    <row r="40" customFormat="false" ht="13.5" hidden="false" customHeight="true" outlineLevel="0" collapsed="false">
      <c r="A40" s="542" t="s">
        <v>10805</v>
      </c>
      <c r="B40" s="508" t="n">
        <v>210</v>
      </c>
      <c r="C40" s="542" t="s">
        <v>10806</v>
      </c>
      <c r="D40" s="543" t="s">
        <v>10807</v>
      </c>
      <c r="E40" s="542" t="s">
        <v>1557</v>
      </c>
      <c r="F40" s="542" t="s">
        <v>10702</v>
      </c>
      <c r="G40" s="542" t="s">
        <v>2692</v>
      </c>
      <c r="H40" s="543" t="s">
        <v>10808</v>
      </c>
      <c r="I40" s="544" t="n">
        <v>1972</v>
      </c>
      <c r="J40" s="544" t="n">
        <v>63348</v>
      </c>
      <c r="K40" s="544" t="n">
        <v>2024</v>
      </c>
      <c r="L40" s="542"/>
      <c r="M40" s="542"/>
      <c r="N40" s="542"/>
      <c r="O40" s="542"/>
      <c r="P40" s="542"/>
      <c r="Q40" s="542"/>
      <c r="R40" s="542"/>
      <c r="S40" s="542"/>
      <c r="T40" s="542"/>
      <c r="U40" s="542"/>
      <c r="V40" s="542"/>
      <c r="W40" s="542"/>
      <c r="X40" s="542"/>
      <c r="Y40" s="542"/>
      <c r="Z40" s="542"/>
      <c r="AA40" s="542"/>
      <c r="AB40" s="542"/>
      <c r="AC40" s="542"/>
      <c r="AD40" s="542"/>
      <c r="AE40" s="542"/>
      <c r="AF40" s="542"/>
      <c r="AG40" s="542"/>
      <c r="AH40" s="542"/>
      <c r="AI40" s="542"/>
      <c r="AJ40" s="542"/>
      <c r="AK40" s="542"/>
      <c r="AL40" s="542"/>
      <c r="AM40" s="543" t="s">
        <v>11267</v>
      </c>
    </row>
    <row r="41" customFormat="false" ht="13.5" hidden="false" customHeight="true" outlineLevel="0" collapsed="false">
      <c r="A41" s="509" t="s">
        <v>10810</v>
      </c>
      <c r="B41" s="508" t="n">
        <v>406</v>
      </c>
      <c r="C41" s="509" t="s">
        <v>10811</v>
      </c>
      <c r="D41" s="529" t="s">
        <v>10812</v>
      </c>
      <c r="E41" s="509" t="s">
        <v>1557</v>
      </c>
      <c r="F41" s="509" t="s">
        <v>10702</v>
      </c>
      <c r="G41" s="509" t="s">
        <v>2692</v>
      </c>
      <c r="H41" s="529" t="s">
        <v>10813</v>
      </c>
      <c r="I41" s="546" t="n">
        <v>2004</v>
      </c>
      <c r="J41" s="546" t="n">
        <v>18720</v>
      </c>
      <c r="K41" s="546" t="n">
        <v>2024</v>
      </c>
      <c r="L41" s="547" t="n">
        <v>13.2904</v>
      </c>
      <c r="M41" s="509"/>
      <c r="N41" s="547" t="n">
        <v>16.0225</v>
      </c>
      <c r="O41" s="547" t="n">
        <v>0.2061</v>
      </c>
      <c r="P41" s="509"/>
      <c r="Q41" s="509"/>
      <c r="R41" s="509"/>
      <c r="S41" s="509"/>
      <c r="T41" s="509"/>
      <c r="U41" s="509"/>
      <c r="V41" s="509"/>
      <c r="W41" s="509"/>
      <c r="X41" s="509"/>
      <c r="Y41" s="509"/>
      <c r="Z41" s="509"/>
      <c r="AA41" s="509"/>
      <c r="AB41" s="509"/>
      <c r="AC41" s="547" t="n">
        <v>0.1296</v>
      </c>
      <c r="AD41" s="509"/>
      <c r="AE41" s="509"/>
      <c r="AF41" s="509"/>
      <c r="AG41" s="509"/>
      <c r="AH41" s="547" t="n">
        <v>0.3357</v>
      </c>
      <c r="AI41" s="547" t="n">
        <v>2.3964</v>
      </c>
      <c r="AJ41" s="547" t="n">
        <v>2.7321</v>
      </c>
      <c r="AK41" s="547" t="n">
        <v>13.2904</v>
      </c>
      <c r="AL41" s="509"/>
      <c r="AM41" s="529" t="s">
        <v>11268</v>
      </c>
    </row>
    <row r="42" customFormat="false" ht="13.5" hidden="false" customHeight="true" outlineLevel="0" collapsed="false">
      <c r="A42" s="542" t="s">
        <v>10810</v>
      </c>
      <c r="B42" s="508" t="n">
        <v>406</v>
      </c>
      <c r="C42" s="542" t="s">
        <v>10811</v>
      </c>
      <c r="D42" s="543" t="s">
        <v>10812</v>
      </c>
      <c r="E42" s="542" t="s">
        <v>1557</v>
      </c>
      <c r="F42" s="542" t="s">
        <v>10702</v>
      </c>
      <c r="G42" s="542" t="s">
        <v>2692</v>
      </c>
      <c r="H42" s="543" t="s">
        <v>10813</v>
      </c>
      <c r="I42" s="544" t="n">
        <v>2004</v>
      </c>
      <c r="J42" s="544" t="n">
        <v>18720</v>
      </c>
      <c r="K42" s="544" t="n">
        <v>2023</v>
      </c>
      <c r="L42" s="545" t="n">
        <v>13.0298</v>
      </c>
      <c r="M42" s="542"/>
      <c r="N42" s="545" t="n">
        <v>15.7619</v>
      </c>
      <c r="O42" s="545" t="n">
        <v>0.2061</v>
      </c>
      <c r="P42" s="542"/>
      <c r="Q42" s="542"/>
      <c r="R42" s="542"/>
      <c r="S42" s="542"/>
      <c r="T42" s="542"/>
      <c r="U42" s="542"/>
      <c r="V42" s="542"/>
      <c r="W42" s="542"/>
      <c r="X42" s="542"/>
      <c r="Y42" s="542"/>
      <c r="Z42" s="542"/>
      <c r="AA42" s="542"/>
      <c r="AB42" s="542"/>
      <c r="AC42" s="545" t="n">
        <v>0.1296</v>
      </c>
      <c r="AD42" s="542"/>
      <c r="AE42" s="542"/>
      <c r="AF42" s="542"/>
      <c r="AG42" s="542"/>
      <c r="AH42" s="545" t="n">
        <v>0.3357</v>
      </c>
      <c r="AI42" s="545" t="n">
        <v>2.3964</v>
      </c>
      <c r="AJ42" s="545" t="n">
        <v>2.7321</v>
      </c>
      <c r="AK42" s="545" t="n">
        <v>13.0298</v>
      </c>
      <c r="AL42" s="542"/>
      <c r="AM42" s="543" t="s">
        <v>11268</v>
      </c>
    </row>
    <row r="43" customFormat="false" ht="13.5" hidden="false" customHeight="true" outlineLevel="0" collapsed="false">
      <c r="A43" s="509" t="s">
        <v>10816</v>
      </c>
      <c r="B43" s="508" t="n">
        <v>407</v>
      </c>
      <c r="C43" s="509" t="s">
        <v>10817</v>
      </c>
      <c r="D43" s="529" t="s">
        <v>10818</v>
      </c>
      <c r="E43" s="509" t="s">
        <v>4420</v>
      </c>
      <c r="F43" s="509" t="s">
        <v>10702</v>
      </c>
      <c r="G43" s="509" t="s">
        <v>2692</v>
      </c>
      <c r="H43" s="529" t="s">
        <v>10819</v>
      </c>
      <c r="I43" s="546" t="n">
        <v>2021</v>
      </c>
      <c r="J43" s="546" t="n">
        <v>329940</v>
      </c>
      <c r="K43" s="546" t="n">
        <v>2024</v>
      </c>
      <c r="L43" s="509"/>
      <c r="M43" s="509"/>
      <c r="N43" s="509"/>
      <c r="O43" s="509"/>
      <c r="P43" s="509"/>
      <c r="Q43" s="509"/>
      <c r="R43" s="509"/>
      <c r="S43" s="509"/>
      <c r="T43" s="509"/>
      <c r="U43" s="509"/>
      <c r="V43" s="509"/>
      <c r="W43" s="509"/>
      <c r="X43" s="509"/>
      <c r="Y43" s="509"/>
      <c r="Z43" s="509"/>
      <c r="AA43" s="509"/>
      <c r="AB43" s="509"/>
      <c r="AC43" s="509"/>
      <c r="AD43" s="509"/>
      <c r="AE43" s="509"/>
      <c r="AF43" s="509"/>
      <c r="AG43" s="509"/>
      <c r="AH43" s="509"/>
      <c r="AI43" s="509"/>
      <c r="AJ43" s="509"/>
      <c r="AK43" s="509"/>
      <c r="AL43" s="509"/>
      <c r="AM43" s="529" t="s">
        <v>11269</v>
      </c>
    </row>
    <row r="44" customFormat="false" ht="13.5" hidden="false" customHeight="true" outlineLevel="0" collapsed="false">
      <c r="A44" s="542" t="s">
        <v>10822</v>
      </c>
      <c r="B44" s="508" t="n">
        <v>584</v>
      </c>
      <c r="C44" s="542" t="s">
        <v>2157</v>
      </c>
      <c r="D44" s="543" t="s">
        <v>10823</v>
      </c>
      <c r="E44" s="542" t="s">
        <v>4420</v>
      </c>
      <c r="F44" s="542" t="s">
        <v>10702</v>
      </c>
      <c r="G44" s="542" t="s">
        <v>2692</v>
      </c>
      <c r="H44" s="543" t="s">
        <v>10824</v>
      </c>
      <c r="I44" s="544" t="n">
        <v>2021</v>
      </c>
      <c r="J44" s="544" t="n">
        <v>999780</v>
      </c>
      <c r="K44" s="544" t="n">
        <v>2023</v>
      </c>
      <c r="L44" s="545" t="n">
        <v>12.3992</v>
      </c>
      <c r="M44" s="542"/>
      <c r="N44" s="545" t="n">
        <v>12.3992</v>
      </c>
      <c r="O44" s="545" t="n">
        <v>0.1505</v>
      </c>
      <c r="P44" s="545" t="n">
        <v>0.1005</v>
      </c>
      <c r="Q44" s="542"/>
      <c r="R44" s="542"/>
      <c r="S44" s="542"/>
      <c r="T44" s="542"/>
      <c r="U44" s="542"/>
      <c r="V44" s="542"/>
      <c r="W44" s="542"/>
      <c r="X44" s="542"/>
      <c r="Y44" s="545" t="n">
        <v>0.0533</v>
      </c>
      <c r="Z44" s="542"/>
      <c r="AA44" s="545" t="n">
        <v>0.0508</v>
      </c>
      <c r="AB44" s="545" t="n">
        <v>0.1178</v>
      </c>
      <c r="AC44" s="542"/>
      <c r="AD44" s="542"/>
      <c r="AE44" s="542"/>
      <c r="AF44" s="542"/>
      <c r="AG44" s="545" t="n">
        <v>0.0084</v>
      </c>
      <c r="AH44" s="545" t="n">
        <v>1.355</v>
      </c>
      <c r="AI44" s="545" t="n">
        <v>4.9234</v>
      </c>
      <c r="AJ44" s="545" t="n">
        <v>8.2796</v>
      </c>
      <c r="AK44" s="545" t="n">
        <v>4.1196</v>
      </c>
      <c r="AL44" s="542"/>
      <c r="AM44" s="543" t="s">
        <v>11270</v>
      </c>
    </row>
    <row r="45" customFormat="false" ht="13.5" hidden="false" customHeight="true" outlineLevel="0" collapsed="false">
      <c r="A45" s="509" t="s">
        <v>10822</v>
      </c>
      <c r="B45" s="508" t="n">
        <v>584</v>
      </c>
      <c r="C45" s="509" t="s">
        <v>2157</v>
      </c>
      <c r="D45" s="529" t="s">
        <v>10823</v>
      </c>
      <c r="E45" s="509" t="s">
        <v>4420</v>
      </c>
      <c r="F45" s="509" t="s">
        <v>10702</v>
      </c>
      <c r="G45" s="509" t="s">
        <v>2692</v>
      </c>
      <c r="H45" s="529" t="s">
        <v>10824</v>
      </c>
      <c r="I45" s="546" t="n">
        <v>2021</v>
      </c>
      <c r="J45" s="546" t="n">
        <v>999780</v>
      </c>
      <c r="K45" s="546" t="n">
        <v>2024</v>
      </c>
      <c r="L45" s="547" t="n">
        <v>10.003</v>
      </c>
      <c r="M45" s="509"/>
      <c r="N45" s="547" t="n">
        <v>10.003</v>
      </c>
      <c r="O45" s="547" t="n">
        <v>0.172</v>
      </c>
      <c r="P45" s="547" t="n">
        <v>0.1016</v>
      </c>
      <c r="Q45" s="509"/>
      <c r="R45" s="509"/>
      <c r="S45" s="509"/>
      <c r="T45" s="509"/>
      <c r="U45" s="509"/>
      <c r="V45" s="509"/>
      <c r="W45" s="509"/>
      <c r="X45" s="509"/>
      <c r="Y45" s="547" t="n">
        <v>0.1205</v>
      </c>
      <c r="Z45" s="509"/>
      <c r="AA45" s="547" t="n">
        <v>0.0378</v>
      </c>
      <c r="AB45" s="547" t="n">
        <v>0.1319</v>
      </c>
      <c r="AC45" s="509"/>
      <c r="AD45" s="509"/>
      <c r="AE45" s="509"/>
      <c r="AF45" s="509"/>
      <c r="AG45" s="547" t="n">
        <v>0.0308</v>
      </c>
      <c r="AH45" s="547" t="n">
        <v>0.7976</v>
      </c>
      <c r="AI45" s="547" t="n">
        <v>4.9977</v>
      </c>
      <c r="AJ45" s="547" t="n">
        <v>5.7953</v>
      </c>
      <c r="AK45" s="547" t="n">
        <v>4.2077</v>
      </c>
      <c r="AL45" s="509"/>
      <c r="AM45" s="529" t="s">
        <v>11271</v>
      </c>
    </row>
    <row r="46" customFormat="false" ht="13.5" hidden="false" customHeight="true" outlineLevel="0" collapsed="false">
      <c r="A46" s="542" t="s">
        <v>10826</v>
      </c>
      <c r="B46" s="508" t="n">
        <v>210</v>
      </c>
      <c r="C46" s="542" t="s">
        <v>10827</v>
      </c>
      <c r="D46" s="543" t="s">
        <v>10828</v>
      </c>
      <c r="E46" s="542" t="s">
        <v>4420</v>
      </c>
      <c r="F46" s="542" t="s">
        <v>10702</v>
      </c>
      <c r="G46" s="542" t="s">
        <v>2692</v>
      </c>
      <c r="H46" s="543" t="s">
        <v>10829</v>
      </c>
      <c r="I46" s="544" t="n">
        <v>1999</v>
      </c>
      <c r="J46" s="544" t="n">
        <v>90000</v>
      </c>
      <c r="K46" s="544" t="n">
        <v>2023</v>
      </c>
      <c r="L46" s="545" t="n">
        <v>10.5459</v>
      </c>
      <c r="M46" s="542"/>
      <c r="N46" s="545" t="n">
        <v>13.7594</v>
      </c>
      <c r="O46" s="545" t="n">
        <v>0.176</v>
      </c>
      <c r="P46" s="545" t="n">
        <v>0.516</v>
      </c>
      <c r="Q46" s="545" t="n">
        <v>0.0441</v>
      </c>
      <c r="R46" s="542"/>
      <c r="S46" s="545" t="n">
        <v>0.3032</v>
      </c>
      <c r="T46" s="545" t="n">
        <v>0.0731</v>
      </c>
      <c r="U46" s="542"/>
      <c r="V46" s="542"/>
      <c r="W46" s="542"/>
      <c r="X46" s="545" t="n">
        <v>0.2579</v>
      </c>
      <c r="Y46" s="545" t="n">
        <v>0.6783</v>
      </c>
      <c r="Z46" s="545" t="n">
        <v>0.0103</v>
      </c>
      <c r="AA46" s="545" t="n">
        <v>0.0531</v>
      </c>
      <c r="AB46" s="545" t="n">
        <v>0.1252</v>
      </c>
      <c r="AC46" s="545" t="n">
        <v>0.1886</v>
      </c>
      <c r="AD46" s="545" t="n">
        <v>0.1574</v>
      </c>
      <c r="AE46" s="545" t="n">
        <v>0.0621</v>
      </c>
      <c r="AF46" s="545" t="n">
        <v>0.2196</v>
      </c>
      <c r="AG46" s="542"/>
      <c r="AH46" s="545" t="n">
        <v>1.8054</v>
      </c>
      <c r="AI46" s="545" t="n">
        <v>3.1511</v>
      </c>
      <c r="AJ46" s="545" t="n">
        <v>4.9565</v>
      </c>
      <c r="AK46" s="545" t="n">
        <v>8.8029</v>
      </c>
      <c r="AL46" s="542"/>
      <c r="AM46" s="543" t="s">
        <v>11272</v>
      </c>
    </row>
    <row r="47" customFormat="false" ht="13.5" hidden="false" customHeight="true" outlineLevel="0" collapsed="false">
      <c r="A47" s="509" t="s">
        <v>10826</v>
      </c>
      <c r="B47" s="508" t="n">
        <v>210</v>
      </c>
      <c r="C47" s="509" t="s">
        <v>10827</v>
      </c>
      <c r="D47" s="529" t="s">
        <v>10828</v>
      </c>
      <c r="E47" s="509" t="s">
        <v>4420</v>
      </c>
      <c r="F47" s="509" t="s">
        <v>10702</v>
      </c>
      <c r="G47" s="509" t="s">
        <v>2692</v>
      </c>
      <c r="H47" s="529" t="s">
        <v>10829</v>
      </c>
      <c r="I47" s="546" t="n">
        <v>1999</v>
      </c>
      <c r="J47" s="546" t="n">
        <v>90000</v>
      </c>
      <c r="K47" s="546" t="n">
        <v>2024</v>
      </c>
      <c r="L47" s="547" t="n">
        <v>10.1323</v>
      </c>
      <c r="M47" s="509"/>
      <c r="N47" s="547" t="n">
        <v>14.5242</v>
      </c>
      <c r="O47" s="547" t="n">
        <v>0.1757</v>
      </c>
      <c r="P47" s="547" t="n">
        <v>0.725</v>
      </c>
      <c r="Q47" s="547" t="n">
        <v>0.0069</v>
      </c>
      <c r="R47" s="509"/>
      <c r="S47" s="547" t="n">
        <v>0.3996</v>
      </c>
      <c r="T47" s="547" t="n">
        <v>0.087</v>
      </c>
      <c r="U47" s="509"/>
      <c r="V47" s="509"/>
      <c r="W47" s="509"/>
      <c r="X47" s="547" t="n">
        <v>0.2445</v>
      </c>
      <c r="Y47" s="547" t="n">
        <v>0.738</v>
      </c>
      <c r="Z47" s="547" t="n">
        <v>0.0131</v>
      </c>
      <c r="AA47" s="547" t="n">
        <v>0.0496</v>
      </c>
      <c r="AB47" s="547" t="n">
        <v>0.1661</v>
      </c>
      <c r="AC47" s="547" t="n">
        <v>0.2288</v>
      </c>
      <c r="AD47" s="547" t="n">
        <v>0.1748</v>
      </c>
      <c r="AE47" s="547" t="n">
        <v>0.0637</v>
      </c>
      <c r="AF47" s="547" t="n">
        <v>0.2385</v>
      </c>
      <c r="AG47" s="509"/>
      <c r="AH47" s="547" t="n">
        <v>1.7609</v>
      </c>
      <c r="AI47" s="547" t="n">
        <v>3.2332</v>
      </c>
      <c r="AJ47" s="547" t="n">
        <v>4.9941</v>
      </c>
      <c r="AK47" s="547" t="n">
        <v>9.3636</v>
      </c>
      <c r="AL47" s="509"/>
      <c r="AM47" s="529" t="s">
        <v>11273</v>
      </c>
    </row>
    <row r="48" customFormat="false" ht="13.5" hidden="false" customHeight="true" outlineLevel="0" collapsed="false">
      <c r="A48" s="542" t="s">
        <v>10833</v>
      </c>
      <c r="B48" s="508" t="n">
        <v>210</v>
      </c>
      <c r="C48" s="542" t="s">
        <v>10834</v>
      </c>
      <c r="D48" s="543" t="s">
        <v>10835</v>
      </c>
      <c r="E48" s="542" t="s">
        <v>4743</v>
      </c>
      <c r="F48" s="542" t="s">
        <v>10702</v>
      </c>
      <c r="G48" s="542" t="s">
        <v>2692</v>
      </c>
      <c r="H48" s="543" t="s">
        <v>10836</v>
      </c>
      <c r="I48" s="544"/>
      <c r="J48" s="544"/>
      <c r="K48" s="544" t="n">
        <v>2024</v>
      </c>
      <c r="L48" s="555" t="n">
        <v>548918</v>
      </c>
      <c r="M48" s="542"/>
      <c r="N48" s="555" t="n">
        <v>766859</v>
      </c>
      <c r="O48" s="555" t="n">
        <v>23025</v>
      </c>
      <c r="P48" s="542"/>
      <c r="Q48" s="542"/>
      <c r="R48" s="542"/>
      <c r="S48" s="542"/>
      <c r="T48" s="542"/>
      <c r="U48" s="542"/>
      <c r="V48" s="542"/>
      <c r="W48" s="542"/>
      <c r="X48" s="542"/>
      <c r="Y48" s="542"/>
      <c r="Z48" s="542"/>
      <c r="AA48" s="542"/>
      <c r="AB48" s="542"/>
      <c r="AC48" s="542"/>
      <c r="AD48" s="555" t="n">
        <v>7986</v>
      </c>
      <c r="AE48" s="555" t="n">
        <v>33669</v>
      </c>
      <c r="AF48" s="555" t="n">
        <v>41655</v>
      </c>
      <c r="AG48" s="542"/>
      <c r="AH48" s="542"/>
      <c r="AI48" s="555" t="n">
        <v>129107</v>
      </c>
      <c r="AJ48" s="555" t="n">
        <v>250157</v>
      </c>
      <c r="AK48" s="555" t="n">
        <v>374789</v>
      </c>
      <c r="AL48" s="542"/>
      <c r="AM48" s="543" t="s">
        <v>11434</v>
      </c>
    </row>
    <row r="49" customFormat="false" ht="13.5" hidden="false" customHeight="true" outlineLevel="0" collapsed="false">
      <c r="A49" s="509" t="s">
        <v>10839</v>
      </c>
      <c r="B49" s="508" t="n">
        <v>407</v>
      </c>
      <c r="C49" s="509" t="s">
        <v>10840</v>
      </c>
      <c r="D49" s="529" t="s">
        <v>10841</v>
      </c>
      <c r="E49" s="509" t="s">
        <v>4743</v>
      </c>
      <c r="F49" s="509" t="s">
        <v>10702</v>
      </c>
      <c r="G49" s="509" t="s">
        <v>2692</v>
      </c>
      <c r="H49" s="529" t="s">
        <v>10842</v>
      </c>
      <c r="I49" s="546"/>
      <c r="J49" s="546" t="n">
        <v>155033</v>
      </c>
      <c r="K49" s="546" t="n">
        <v>2023</v>
      </c>
      <c r="L49" s="547" t="n">
        <v>6.2562</v>
      </c>
      <c r="M49" s="509"/>
      <c r="N49" s="547" t="n">
        <v>6.246</v>
      </c>
      <c r="O49" s="547" t="n">
        <v>0.1319</v>
      </c>
      <c r="P49" s="547" t="n">
        <v>0.1932</v>
      </c>
      <c r="Q49" s="509"/>
      <c r="R49" s="509"/>
      <c r="S49" s="509"/>
      <c r="T49" s="509"/>
      <c r="U49" s="509"/>
      <c r="V49" s="509"/>
      <c r="W49" s="509"/>
      <c r="X49" s="509"/>
      <c r="Y49" s="509"/>
      <c r="Z49" s="509"/>
      <c r="AA49" s="547" t="n">
        <v>0.0257</v>
      </c>
      <c r="AB49" s="509"/>
      <c r="AC49" s="509"/>
      <c r="AD49" s="547" t="n">
        <v>0.2449</v>
      </c>
      <c r="AE49" s="547" t="n">
        <v>0.0885</v>
      </c>
      <c r="AF49" s="547" t="n">
        <v>0.3334</v>
      </c>
      <c r="AG49" s="509"/>
      <c r="AH49" s="547" t="n">
        <v>1.9053</v>
      </c>
      <c r="AI49" s="547" t="n">
        <v>0.5968</v>
      </c>
      <c r="AJ49" s="547" t="n">
        <v>2.5021</v>
      </c>
      <c r="AK49" s="547" t="n">
        <v>3.7439</v>
      </c>
      <c r="AL49" s="509"/>
      <c r="AM49" s="529" t="s">
        <v>11275</v>
      </c>
    </row>
    <row r="50" customFormat="false" ht="13.5" hidden="false" customHeight="true" outlineLevel="0" collapsed="false">
      <c r="A50" s="542" t="s">
        <v>10839</v>
      </c>
      <c r="B50" s="508" t="n">
        <v>407</v>
      </c>
      <c r="C50" s="542" t="s">
        <v>10840</v>
      </c>
      <c r="D50" s="543" t="s">
        <v>10841</v>
      </c>
      <c r="E50" s="542" t="s">
        <v>4743</v>
      </c>
      <c r="F50" s="542" t="s">
        <v>10702</v>
      </c>
      <c r="G50" s="542" t="s">
        <v>2692</v>
      </c>
      <c r="H50" s="543" t="s">
        <v>10842</v>
      </c>
      <c r="I50" s="544"/>
      <c r="J50" s="544" t="n">
        <v>155033</v>
      </c>
      <c r="K50" s="544" t="n">
        <v>2024</v>
      </c>
      <c r="L50" s="545" t="n">
        <v>6.5223</v>
      </c>
      <c r="M50" s="542"/>
      <c r="N50" s="545" t="n">
        <v>6.5223</v>
      </c>
      <c r="O50" s="545" t="n">
        <v>0.183</v>
      </c>
      <c r="P50" s="545" t="n">
        <v>0.1894</v>
      </c>
      <c r="Q50" s="542"/>
      <c r="R50" s="542"/>
      <c r="S50" s="542"/>
      <c r="T50" s="542"/>
      <c r="U50" s="542"/>
      <c r="V50" s="542"/>
      <c r="W50" s="542"/>
      <c r="X50" s="542"/>
      <c r="Y50" s="542"/>
      <c r="Z50" s="542"/>
      <c r="AA50" s="542"/>
      <c r="AB50" s="542"/>
      <c r="AC50" s="542"/>
      <c r="AD50" s="545" t="n">
        <v>0.2365</v>
      </c>
      <c r="AE50" s="545" t="n">
        <v>0.1764</v>
      </c>
      <c r="AF50" s="545" t="n">
        <v>0.4129</v>
      </c>
      <c r="AG50" s="542"/>
      <c r="AH50" s="545" t="n">
        <v>1.7082</v>
      </c>
      <c r="AI50" s="545" t="n">
        <v>0.7799</v>
      </c>
      <c r="AJ50" s="545" t="n">
        <v>2.4881</v>
      </c>
      <c r="AK50" s="545" t="n">
        <v>4.0342</v>
      </c>
      <c r="AL50" s="542"/>
      <c r="AM50" s="543" t="s">
        <v>11276</v>
      </c>
    </row>
    <row r="51" customFormat="false" ht="13.5" hidden="false" customHeight="true" outlineLevel="0" collapsed="false">
      <c r="A51" s="509" t="s">
        <v>10844</v>
      </c>
      <c r="B51" s="508" t="n">
        <v>407</v>
      </c>
      <c r="C51" s="509" t="s">
        <v>10845</v>
      </c>
      <c r="D51" s="529" t="s">
        <v>10846</v>
      </c>
      <c r="E51" s="509" t="s">
        <v>4743</v>
      </c>
      <c r="F51" s="509" t="s">
        <v>10702</v>
      </c>
      <c r="G51" s="509" t="s">
        <v>2692</v>
      </c>
      <c r="H51" s="529" t="s">
        <v>10842</v>
      </c>
      <c r="I51" s="546"/>
      <c r="J51" s="546" t="n">
        <v>200000</v>
      </c>
      <c r="K51" s="546" t="n">
        <v>2023</v>
      </c>
      <c r="L51" s="547" t="n">
        <v>6.9558</v>
      </c>
      <c r="M51" s="509"/>
      <c r="N51" s="547" t="n">
        <v>6.7858</v>
      </c>
      <c r="O51" s="547" t="n">
        <v>0.02</v>
      </c>
      <c r="P51" s="509"/>
      <c r="Q51" s="509"/>
      <c r="R51" s="509"/>
      <c r="S51" s="509"/>
      <c r="T51" s="509"/>
      <c r="U51" s="509"/>
      <c r="V51" s="509"/>
      <c r="W51" s="509"/>
      <c r="X51" s="509"/>
      <c r="Y51" s="509"/>
      <c r="Z51" s="509"/>
      <c r="AA51" s="509"/>
      <c r="AB51" s="509"/>
      <c r="AC51" s="509"/>
      <c r="AD51" s="509"/>
      <c r="AE51" s="547" t="n">
        <v>0.0121</v>
      </c>
      <c r="AF51" s="547" t="n">
        <v>0.0121</v>
      </c>
      <c r="AG51" s="509"/>
      <c r="AH51" s="547" t="n">
        <v>1.179</v>
      </c>
      <c r="AI51" s="547" t="n">
        <v>0.0174</v>
      </c>
      <c r="AJ51" s="547" t="n">
        <v>1.1964</v>
      </c>
      <c r="AK51" s="547" t="n">
        <v>5.5895</v>
      </c>
      <c r="AL51" s="509"/>
      <c r="AM51" s="529" t="s">
        <v>11277</v>
      </c>
    </row>
    <row r="52" customFormat="false" ht="13.5" hidden="false" customHeight="true" outlineLevel="0" collapsed="false">
      <c r="A52" s="542" t="s">
        <v>10848</v>
      </c>
      <c r="B52" s="508" t="n">
        <v>210</v>
      </c>
      <c r="C52" s="542" t="s">
        <v>10849</v>
      </c>
      <c r="D52" s="543" t="s">
        <v>10850</v>
      </c>
      <c r="E52" s="542" t="s">
        <v>4743</v>
      </c>
      <c r="F52" s="542" t="s">
        <v>10702</v>
      </c>
      <c r="G52" s="542" t="s">
        <v>2692</v>
      </c>
      <c r="H52" s="543" t="s">
        <v>10851</v>
      </c>
      <c r="I52" s="544"/>
      <c r="J52" s="544" t="n">
        <v>159047</v>
      </c>
      <c r="K52" s="544" t="n">
        <v>2023</v>
      </c>
      <c r="L52" s="542"/>
      <c r="M52" s="542"/>
      <c r="N52" s="545" t="n">
        <v>13.4944</v>
      </c>
      <c r="O52" s="542"/>
      <c r="P52" s="545" t="n">
        <v>0.0367</v>
      </c>
      <c r="Q52" s="542"/>
      <c r="R52" s="542"/>
      <c r="S52" s="542"/>
      <c r="T52" s="542"/>
      <c r="U52" s="542"/>
      <c r="V52" s="542"/>
      <c r="W52" s="542"/>
      <c r="X52" s="542"/>
      <c r="Y52" s="542"/>
      <c r="Z52" s="542"/>
      <c r="AA52" s="542"/>
      <c r="AB52" s="545" t="n">
        <v>0.0177</v>
      </c>
      <c r="AC52" s="542"/>
      <c r="AD52" s="542"/>
      <c r="AE52" s="542"/>
      <c r="AF52" s="542"/>
      <c r="AG52" s="542"/>
      <c r="AH52" s="542"/>
      <c r="AI52" s="542"/>
      <c r="AJ52" s="545" t="n">
        <v>6.3824</v>
      </c>
      <c r="AK52" s="545" t="n">
        <v>7.112</v>
      </c>
      <c r="AL52" s="542"/>
      <c r="AM52" s="543" t="s">
        <v>11278</v>
      </c>
    </row>
    <row r="53" customFormat="false" ht="13.5" hidden="false" customHeight="true" outlineLevel="0" collapsed="false">
      <c r="A53" s="509" t="s">
        <v>10848</v>
      </c>
      <c r="B53" s="508" t="n">
        <v>210</v>
      </c>
      <c r="C53" s="509" t="s">
        <v>10849</v>
      </c>
      <c r="D53" s="529" t="s">
        <v>10850</v>
      </c>
      <c r="E53" s="509" t="s">
        <v>4743</v>
      </c>
      <c r="F53" s="509" t="s">
        <v>10702</v>
      </c>
      <c r="G53" s="509" t="s">
        <v>2692</v>
      </c>
      <c r="H53" s="529" t="s">
        <v>10851</v>
      </c>
      <c r="I53" s="546"/>
      <c r="J53" s="546" t="n">
        <v>159047</v>
      </c>
      <c r="K53" s="546" t="n">
        <v>2024</v>
      </c>
      <c r="L53" s="509"/>
      <c r="M53" s="509"/>
      <c r="N53" s="547" t="n">
        <v>13.507</v>
      </c>
      <c r="O53" s="509"/>
      <c r="P53" s="509"/>
      <c r="Q53" s="509"/>
      <c r="R53" s="509"/>
      <c r="S53" s="509"/>
      <c r="T53" s="509"/>
      <c r="U53" s="509"/>
      <c r="V53" s="509"/>
      <c r="W53" s="509"/>
      <c r="X53" s="509"/>
      <c r="Y53" s="509"/>
      <c r="Z53" s="509"/>
      <c r="AA53" s="509"/>
      <c r="AB53" s="547" t="n">
        <v>0.0177</v>
      </c>
      <c r="AC53" s="509"/>
      <c r="AD53" s="509"/>
      <c r="AE53" s="509"/>
      <c r="AF53" s="509"/>
      <c r="AG53" s="509"/>
      <c r="AH53" s="509"/>
      <c r="AI53" s="509"/>
      <c r="AJ53" s="547" t="n">
        <v>7.3989</v>
      </c>
      <c r="AK53" s="547" t="n">
        <v>6.1082</v>
      </c>
      <c r="AL53" s="509"/>
      <c r="AM53" s="529" t="s">
        <v>11278</v>
      </c>
    </row>
    <row r="54" customFormat="false" ht="13.5" hidden="false" customHeight="true" outlineLevel="0" collapsed="false">
      <c r="A54" s="542" t="s">
        <v>10853</v>
      </c>
      <c r="B54" s="508" t="n">
        <v>406</v>
      </c>
      <c r="C54" s="542" t="s">
        <v>3862</v>
      </c>
      <c r="D54" s="543" t="s">
        <v>10854</v>
      </c>
      <c r="E54" s="542" t="s">
        <v>4420</v>
      </c>
      <c r="F54" s="542" t="s">
        <v>10702</v>
      </c>
      <c r="G54" s="542" t="s">
        <v>2692</v>
      </c>
      <c r="H54" s="543" t="s">
        <v>10855</v>
      </c>
      <c r="I54" s="544"/>
      <c r="J54" s="544" t="n">
        <v>29512</v>
      </c>
      <c r="K54" s="544" t="n">
        <v>2024</v>
      </c>
      <c r="L54" s="542"/>
      <c r="M54" s="542"/>
      <c r="N54" s="545" t="n">
        <v>14.2131</v>
      </c>
      <c r="O54" s="545" t="n">
        <v>0.15</v>
      </c>
      <c r="P54" s="545" t="n">
        <v>0.3553</v>
      </c>
      <c r="Q54" s="542"/>
      <c r="R54" s="542"/>
      <c r="S54" s="542"/>
      <c r="T54" s="542"/>
      <c r="U54" s="542"/>
      <c r="V54" s="542"/>
      <c r="W54" s="542"/>
      <c r="X54" s="545" t="n">
        <v>0.55</v>
      </c>
      <c r="Y54" s="545" t="n">
        <v>0.55</v>
      </c>
      <c r="Z54" s="542"/>
      <c r="AA54" s="542"/>
      <c r="AB54" s="542"/>
      <c r="AC54" s="542"/>
      <c r="AD54" s="542"/>
      <c r="AE54" s="542"/>
      <c r="AF54" s="545" t="n">
        <v>0.25</v>
      </c>
      <c r="AG54" s="545" t="n">
        <v>0.5</v>
      </c>
      <c r="AH54" s="545" t="n">
        <v>2.0053</v>
      </c>
      <c r="AI54" s="545" t="n">
        <v>3.315</v>
      </c>
      <c r="AJ54" s="545" t="n">
        <v>5.3203</v>
      </c>
      <c r="AK54" s="545" t="n">
        <v>8.8928</v>
      </c>
      <c r="AL54" s="545" t="n">
        <v>0.2</v>
      </c>
      <c r="AM54" s="543" t="s">
        <v>11279</v>
      </c>
    </row>
    <row r="55" customFormat="false" ht="13.5" hidden="false" customHeight="true" outlineLevel="0" collapsed="false">
      <c r="A55" s="509" t="s">
        <v>10833</v>
      </c>
      <c r="B55" s="508" t="n">
        <v>210</v>
      </c>
      <c r="C55" s="509" t="s">
        <v>10834</v>
      </c>
      <c r="D55" s="529" t="s">
        <v>10835</v>
      </c>
      <c r="E55" s="509" t="s">
        <v>4743</v>
      </c>
      <c r="F55" s="509" t="s">
        <v>10702</v>
      </c>
      <c r="G55" s="509" t="s">
        <v>2692</v>
      </c>
      <c r="H55" s="529" t="s">
        <v>10836</v>
      </c>
      <c r="I55" s="546" t="n">
        <v>1998</v>
      </c>
      <c r="J55" s="546" t="n">
        <v>123603</v>
      </c>
      <c r="K55" s="546" t="n">
        <v>2021</v>
      </c>
      <c r="L55" s="509"/>
      <c r="M55" s="509"/>
      <c r="N55" s="509"/>
      <c r="O55" s="547" t="n">
        <v>0.0839</v>
      </c>
      <c r="P55" s="547" t="n">
        <v>0.351</v>
      </c>
      <c r="Q55" s="509"/>
      <c r="R55" s="509"/>
      <c r="S55" s="509"/>
      <c r="T55" s="509"/>
      <c r="U55" s="509"/>
      <c r="V55" s="509"/>
      <c r="W55" s="509"/>
      <c r="X55" s="509"/>
      <c r="Y55" s="509"/>
      <c r="Z55" s="509"/>
      <c r="AA55" s="509"/>
      <c r="AB55" s="509"/>
      <c r="AC55" s="547" t="n">
        <v>0.717</v>
      </c>
      <c r="AD55" s="509"/>
      <c r="AE55" s="509"/>
      <c r="AF55" s="547" t="n">
        <v>0.2998</v>
      </c>
      <c r="AG55" s="509"/>
      <c r="AH55" s="547" t="n">
        <v>1.4518</v>
      </c>
      <c r="AI55" s="547" t="n">
        <v>2.3392</v>
      </c>
      <c r="AJ55" s="547" t="n">
        <v>3.791</v>
      </c>
      <c r="AK55" s="509"/>
      <c r="AL55" s="509"/>
      <c r="AM55" s="529" t="s">
        <v>11280</v>
      </c>
    </row>
    <row r="56" customFormat="false" ht="13.5" hidden="false" customHeight="true" outlineLevel="0" collapsed="false">
      <c r="A56" s="542" t="s">
        <v>10833</v>
      </c>
      <c r="B56" s="508" t="n">
        <v>210</v>
      </c>
      <c r="C56" s="542" t="s">
        <v>10834</v>
      </c>
      <c r="D56" s="543" t="s">
        <v>10835</v>
      </c>
      <c r="E56" s="542" t="s">
        <v>4743</v>
      </c>
      <c r="F56" s="542" t="s">
        <v>10702</v>
      </c>
      <c r="G56" s="542" t="s">
        <v>2692</v>
      </c>
      <c r="H56" s="543" t="s">
        <v>10836</v>
      </c>
      <c r="I56" s="544" t="n">
        <v>1998</v>
      </c>
      <c r="J56" s="544" t="n">
        <v>123603</v>
      </c>
      <c r="K56" s="544" t="n">
        <v>2022</v>
      </c>
      <c r="L56" s="542"/>
      <c r="M56" s="542"/>
      <c r="N56" s="542"/>
      <c r="O56" s="545" t="n">
        <v>0.0893</v>
      </c>
      <c r="P56" s="545" t="n">
        <v>0.3221</v>
      </c>
      <c r="Q56" s="542"/>
      <c r="R56" s="542"/>
      <c r="S56" s="542"/>
      <c r="T56" s="542"/>
      <c r="U56" s="542"/>
      <c r="V56" s="542"/>
      <c r="W56" s="542"/>
      <c r="X56" s="542"/>
      <c r="Y56" s="542"/>
      <c r="Z56" s="542"/>
      <c r="AA56" s="542"/>
      <c r="AB56" s="542"/>
      <c r="AC56" s="545" t="n">
        <v>0.7439</v>
      </c>
      <c r="AD56" s="542"/>
      <c r="AE56" s="542"/>
      <c r="AF56" s="545" t="n">
        <v>0.3112</v>
      </c>
      <c r="AG56" s="542"/>
      <c r="AH56" s="545" t="n">
        <v>1.4664</v>
      </c>
      <c r="AI56" s="545" t="n">
        <v>2.5796</v>
      </c>
      <c r="AJ56" s="545" t="n">
        <v>4.046</v>
      </c>
      <c r="AK56" s="542"/>
      <c r="AL56" s="542"/>
      <c r="AM56" s="543" t="s">
        <v>11280</v>
      </c>
    </row>
    <row r="57" customFormat="false" ht="13.5" hidden="false" customHeight="true" outlineLevel="0" collapsed="false">
      <c r="A57" s="509" t="s">
        <v>10844</v>
      </c>
      <c r="B57" s="508" t="n">
        <v>407</v>
      </c>
      <c r="C57" s="509" t="s">
        <v>10845</v>
      </c>
      <c r="D57" s="529" t="s">
        <v>10846</v>
      </c>
      <c r="E57" s="509" t="s">
        <v>4743</v>
      </c>
      <c r="F57" s="509" t="s">
        <v>10702</v>
      </c>
      <c r="G57" s="509" t="s">
        <v>2692</v>
      </c>
      <c r="H57" s="529" t="s">
        <v>10842</v>
      </c>
      <c r="I57" s="546" t="n">
        <v>1998</v>
      </c>
      <c r="J57" s="546" t="n">
        <v>199962</v>
      </c>
      <c r="K57" s="546" t="n">
        <v>2019</v>
      </c>
      <c r="L57" s="509"/>
      <c r="M57" s="509"/>
      <c r="N57" s="509"/>
      <c r="O57" s="547" t="n">
        <v>0.0423</v>
      </c>
      <c r="P57" s="547" t="n">
        <v>0.131</v>
      </c>
      <c r="Q57" s="509"/>
      <c r="R57" s="509"/>
      <c r="S57" s="509"/>
      <c r="T57" s="509"/>
      <c r="U57" s="509"/>
      <c r="V57" s="509"/>
      <c r="W57" s="509"/>
      <c r="X57" s="509"/>
      <c r="Y57" s="509"/>
      <c r="Z57" s="509"/>
      <c r="AA57" s="509"/>
      <c r="AB57" s="509"/>
      <c r="AC57" s="547" t="n">
        <v>1.3087</v>
      </c>
      <c r="AD57" s="509"/>
      <c r="AE57" s="509"/>
      <c r="AF57" s="509"/>
      <c r="AG57" s="509"/>
      <c r="AH57" s="547" t="n">
        <v>1.482</v>
      </c>
      <c r="AI57" s="547" t="n">
        <v>2.4741</v>
      </c>
      <c r="AJ57" s="547" t="n">
        <v>3.9561</v>
      </c>
      <c r="AK57" s="509"/>
      <c r="AL57" s="509"/>
      <c r="AM57" s="529" t="s">
        <v>11280</v>
      </c>
    </row>
    <row r="58" customFormat="false" ht="13.5" hidden="false" customHeight="true" outlineLevel="0" collapsed="false">
      <c r="A58" s="542" t="s">
        <v>10844</v>
      </c>
      <c r="B58" s="508" t="n">
        <v>407</v>
      </c>
      <c r="C58" s="542" t="s">
        <v>10845</v>
      </c>
      <c r="D58" s="543" t="s">
        <v>10846</v>
      </c>
      <c r="E58" s="542" t="s">
        <v>4743</v>
      </c>
      <c r="F58" s="542" t="s">
        <v>10702</v>
      </c>
      <c r="G58" s="542" t="s">
        <v>2692</v>
      </c>
      <c r="H58" s="543" t="s">
        <v>10842</v>
      </c>
      <c r="I58" s="544" t="n">
        <v>1998</v>
      </c>
      <c r="J58" s="544" t="n">
        <v>199962</v>
      </c>
      <c r="K58" s="544" t="n">
        <v>2020</v>
      </c>
      <c r="L58" s="542"/>
      <c r="M58" s="542"/>
      <c r="N58" s="542"/>
      <c r="O58" s="545" t="n">
        <v>0.0484</v>
      </c>
      <c r="P58" s="545" t="n">
        <v>0.1332</v>
      </c>
      <c r="Q58" s="542"/>
      <c r="R58" s="542"/>
      <c r="S58" s="542"/>
      <c r="T58" s="542"/>
      <c r="U58" s="542"/>
      <c r="V58" s="542"/>
      <c r="W58" s="542"/>
      <c r="X58" s="542"/>
      <c r="Y58" s="542"/>
      <c r="Z58" s="542"/>
      <c r="AA58" s="542"/>
      <c r="AB58" s="542"/>
      <c r="AC58" s="545" t="n">
        <v>0.7242</v>
      </c>
      <c r="AD58" s="542"/>
      <c r="AE58" s="542"/>
      <c r="AF58" s="542"/>
      <c r="AG58" s="542"/>
      <c r="AH58" s="545" t="n">
        <v>0.9058</v>
      </c>
      <c r="AI58" s="545" t="n">
        <v>2.0784</v>
      </c>
      <c r="AJ58" s="545" t="n">
        <v>2.9841</v>
      </c>
      <c r="AK58" s="542"/>
      <c r="AL58" s="542"/>
      <c r="AM58" s="543" t="s">
        <v>11280</v>
      </c>
    </row>
    <row r="59" customFormat="false" ht="13.5" hidden="false" customHeight="true" outlineLevel="0" collapsed="false">
      <c r="A59" s="509" t="s">
        <v>10848</v>
      </c>
      <c r="B59" s="508" t="n">
        <v>210</v>
      </c>
      <c r="C59" s="509" t="s">
        <v>10849</v>
      </c>
      <c r="D59" s="529" t="s">
        <v>10850</v>
      </c>
      <c r="E59" s="509" t="s">
        <v>4743</v>
      </c>
      <c r="F59" s="509" t="s">
        <v>10702</v>
      </c>
      <c r="G59" s="509" t="s">
        <v>2692</v>
      </c>
      <c r="H59" s="529" t="s">
        <v>10851</v>
      </c>
      <c r="I59" s="546" t="n">
        <v>2017</v>
      </c>
      <c r="J59" s="546" t="n">
        <v>159047</v>
      </c>
      <c r="K59" s="546" t="n">
        <v>2021</v>
      </c>
      <c r="L59" s="509"/>
      <c r="M59" s="509"/>
      <c r="N59" s="509"/>
      <c r="O59" s="547" t="n">
        <v>0.0956</v>
      </c>
      <c r="P59" s="547" t="n">
        <v>0.3379</v>
      </c>
      <c r="Q59" s="509"/>
      <c r="R59" s="509"/>
      <c r="S59" s="509"/>
      <c r="T59" s="509"/>
      <c r="U59" s="509"/>
      <c r="V59" s="509"/>
      <c r="W59" s="509"/>
      <c r="X59" s="509"/>
      <c r="Y59" s="509"/>
      <c r="Z59" s="509"/>
      <c r="AA59" s="509"/>
      <c r="AB59" s="509"/>
      <c r="AC59" s="547" t="n">
        <v>0.3767</v>
      </c>
      <c r="AD59" s="509"/>
      <c r="AE59" s="509"/>
      <c r="AF59" s="547" t="n">
        <v>0.2913</v>
      </c>
      <c r="AG59" s="509"/>
      <c r="AH59" s="547" t="n">
        <v>1.1015</v>
      </c>
      <c r="AI59" s="547" t="n">
        <v>3.4893</v>
      </c>
      <c r="AJ59" s="547" t="n">
        <v>4.5908</v>
      </c>
      <c r="AK59" s="509"/>
      <c r="AL59" s="509"/>
      <c r="AM59" s="529" t="s">
        <v>11280</v>
      </c>
    </row>
    <row r="60" customFormat="false" ht="13.5" hidden="false" customHeight="true" outlineLevel="0" collapsed="false">
      <c r="A60" s="542" t="s">
        <v>10848</v>
      </c>
      <c r="B60" s="508" t="n">
        <v>210</v>
      </c>
      <c r="C60" s="542" t="s">
        <v>10849</v>
      </c>
      <c r="D60" s="543" t="s">
        <v>10850</v>
      </c>
      <c r="E60" s="542" t="s">
        <v>4743</v>
      </c>
      <c r="F60" s="542" t="s">
        <v>10702</v>
      </c>
      <c r="G60" s="542" t="s">
        <v>2692</v>
      </c>
      <c r="H60" s="543" t="s">
        <v>10851</v>
      </c>
      <c r="I60" s="544" t="n">
        <v>2017</v>
      </c>
      <c r="J60" s="544" t="n">
        <v>159047</v>
      </c>
      <c r="K60" s="544" t="n">
        <v>2022</v>
      </c>
      <c r="L60" s="542"/>
      <c r="M60" s="542"/>
      <c r="N60" s="542"/>
      <c r="O60" s="545" t="n">
        <v>0.1017</v>
      </c>
      <c r="P60" s="545" t="n">
        <v>0.3102</v>
      </c>
      <c r="Q60" s="542"/>
      <c r="R60" s="542"/>
      <c r="S60" s="542"/>
      <c r="T60" s="542"/>
      <c r="U60" s="542"/>
      <c r="V60" s="542"/>
      <c r="W60" s="542"/>
      <c r="X60" s="542"/>
      <c r="Y60" s="542"/>
      <c r="Z60" s="542"/>
      <c r="AA60" s="542"/>
      <c r="AB60" s="542"/>
      <c r="AC60" s="545" t="n">
        <v>0.3353</v>
      </c>
      <c r="AD60" s="542"/>
      <c r="AE60" s="542"/>
      <c r="AF60" s="545" t="n">
        <v>0.3232</v>
      </c>
      <c r="AG60" s="542"/>
      <c r="AH60" s="545" t="n">
        <v>1.0704</v>
      </c>
      <c r="AI60" s="545" t="n">
        <v>2.9479</v>
      </c>
      <c r="AJ60" s="545" t="n">
        <v>4.0183</v>
      </c>
      <c r="AK60" s="542"/>
      <c r="AL60" s="542"/>
      <c r="AM60" s="543" t="s">
        <v>11280</v>
      </c>
    </row>
    <row r="61" customFormat="false" ht="13.5" hidden="false" customHeight="true" outlineLevel="0" collapsed="false">
      <c r="A61" s="509" t="s">
        <v>10858</v>
      </c>
      <c r="B61" s="508" t="n">
        <v>407</v>
      </c>
      <c r="C61" s="509" t="s">
        <v>2343</v>
      </c>
      <c r="D61" s="529" t="s">
        <v>10859</v>
      </c>
      <c r="E61" s="509" t="s">
        <v>4420</v>
      </c>
      <c r="F61" s="509" t="s">
        <v>10702</v>
      </c>
      <c r="G61" s="509" t="s">
        <v>2692</v>
      </c>
      <c r="H61" s="529" t="s">
        <v>10860</v>
      </c>
      <c r="I61" s="546" t="n">
        <v>2001</v>
      </c>
      <c r="J61" s="546" t="n">
        <v>200094</v>
      </c>
      <c r="K61" s="546" t="n">
        <v>2021</v>
      </c>
      <c r="L61" s="509"/>
      <c r="M61" s="509"/>
      <c r="N61" s="509"/>
      <c r="O61" s="547" t="n">
        <v>0.0715</v>
      </c>
      <c r="P61" s="547" t="n">
        <v>0.2651</v>
      </c>
      <c r="Q61" s="509"/>
      <c r="R61" s="509"/>
      <c r="S61" s="509"/>
      <c r="T61" s="509"/>
      <c r="U61" s="509"/>
      <c r="V61" s="509"/>
      <c r="W61" s="509"/>
      <c r="X61" s="509"/>
      <c r="Y61" s="509"/>
      <c r="Z61" s="509"/>
      <c r="AA61" s="509"/>
      <c r="AB61" s="509"/>
      <c r="AC61" s="547" t="n">
        <v>0.49</v>
      </c>
      <c r="AD61" s="509"/>
      <c r="AE61" s="509"/>
      <c r="AF61" s="547" t="n">
        <v>0.3539</v>
      </c>
      <c r="AG61" s="509"/>
      <c r="AH61" s="547" t="n">
        <v>1.1805</v>
      </c>
      <c r="AI61" s="547" t="n">
        <v>2.8519</v>
      </c>
      <c r="AJ61" s="547" t="n">
        <v>4.0324</v>
      </c>
      <c r="AK61" s="509"/>
      <c r="AL61" s="509"/>
      <c r="AM61" s="529" t="s">
        <v>11281</v>
      </c>
    </row>
    <row r="62" customFormat="false" ht="13.5" hidden="false" customHeight="true" outlineLevel="0" collapsed="false">
      <c r="A62" s="542" t="s">
        <v>10858</v>
      </c>
      <c r="B62" s="508" t="n">
        <v>407</v>
      </c>
      <c r="C62" s="542" t="s">
        <v>2343</v>
      </c>
      <c r="D62" s="543" t="s">
        <v>10859</v>
      </c>
      <c r="E62" s="542" t="s">
        <v>4420</v>
      </c>
      <c r="F62" s="542" t="s">
        <v>10702</v>
      </c>
      <c r="G62" s="542" t="s">
        <v>2692</v>
      </c>
      <c r="H62" s="543" t="s">
        <v>10860</v>
      </c>
      <c r="I62" s="544" t="n">
        <v>2001</v>
      </c>
      <c r="J62" s="544" t="n">
        <v>200094</v>
      </c>
      <c r="K62" s="544" t="n">
        <v>2022</v>
      </c>
      <c r="L62" s="542"/>
      <c r="M62" s="542"/>
      <c r="N62" s="542"/>
      <c r="O62" s="545" t="n">
        <v>0.0761</v>
      </c>
      <c r="P62" s="545" t="n">
        <v>0.2474</v>
      </c>
      <c r="Q62" s="542"/>
      <c r="R62" s="542"/>
      <c r="S62" s="542"/>
      <c r="T62" s="542"/>
      <c r="U62" s="542"/>
      <c r="V62" s="542"/>
      <c r="W62" s="542"/>
      <c r="X62" s="542"/>
      <c r="Y62" s="542"/>
      <c r="Z62" s="542"/>
      <c r="AA62" s="542"/>
      <c r="AB62" s="542"/>
      <c r="AC62" s="545" t="n">
        <v>0.49</v>
      </c>
      <c r="AD62" s="542"/>
      <c r="AE62" s="542"/>
      <c r="AF62" s="545" t="n">
        <v>0.3539</v>
      </c>
      <c r="AG62" s="542"/>
      <c r="AH62" s="545" t="n">
        <v>1.1674</v>
      </c>
      <c r="AI62" s="545" t="n">
        <v>2.2575</v>
      </c>
      <c r="AJ62" s="545" t="n">
        <v>3.4249</v>
      </c>
      <c r="AK62" s="542"/>
      <c r="AL62" s="542"/>
      <c r="AM62" s="543" t="s">
        <v>11281</v>
      </c>
    </row>
    <row r="63" customFormat="false" ht="13.5" hidden="false" customHeight="true" outlineLevel="0" collapsed="false">
      <c r="A63" s="509" t="s">
        <v>10863</v>
      </c>
      <c r="B63" s="508" t="n">
        <v>407</v>
      </c>
      <c r="C63" s="509" t="s">
        <v>10864</v>
      </c>
      <c r="D63" s="529" t="s">
        <v>10865</v>
      </c>
      <c r="E63" s="509" t="s">
        <v>4420</v>
      </c>
      <c r="F63" s="509" t="s">
        <v>10702</v>
      </c>
      <c r="G63" s="509" t="s">
        <v>2692</v>
      </c>
      <c r="H63" s="529" t="s">
        <v>10860</v>
      </c>
      <c r="I63" s="546" t="n">
        <v>1997</v>
      </c>
      <c r="J63" s="546" t="n">
        <v>177736</v>
      </c>
      <c r="K63" s="546" t="n">
        <v>2021</v>
      </c>
      <c r="L63" s="509"/>
      <c r="M63" s="509"/>
      <c r="N63" s="509"/>
      <c r="O63" s="547" t="n">
        <v>0.0736</v>
      </c>
      <c r="P63" s="547" t="n">
        <v>0.3114</v>
      </c>
      <c r="Q63" s="509"/>
      <c r="R63" s="509"/>
      <c r="S63" s="509"/>
      <c r="T63" s="509"/>
      <c r="U63" s="509"/>
      <c r="V63" s="509"/>
      <c r="W63" s="509"/>
      <c r="X63" s="509"/>
      <c r="Y63" s="509"/>
      <c r="Z63" s="509"/>
      <c r="AA63" s="509"/>
      <c r="AB63" s="509"/>
      <c r="AC63" s="547" t="n">
        <v>0.552</v>
      </c>
      <c r="AD63" s="509"/>
      <c r="AE63" s="509"/>
      <c r="AF63" s="547" t="n">
        <v>0.2892</v>
      </c>
      <c r="AG63" s="509"/>
      <c r="AH63" s="547" t="n">
        <v>1.2262</v>
      </c>
      <c r="AI63" s="547" t="n">
        <v>2.7188</v>
      </c>
      <c r="AJ63" s="547" t="n">
        <v>3.945</v>
      </c>
      <c r="AK63" s="509"/>
      <c r="AL63" s="509"/>
      <c r="AM63" s="529" t="s">
        <v>11282</v>
      </c>
    </row>
    <row r="64" customFormat="false" ht="13.5" hidden="false" customHeight="true" outlineLevel="0" collapsed="false">
      <c r="A64" s="542" t="s">
        <v>10863</v>
      </c>
      <c r="B64" s="508" t="n">
        <v>407</v>
      </c>
      <c r="C64" s="542" t="s">
        <v>10864</v>
      </c>
      <c r="D64" s="543" t="s">
        <v>10865</v>
      </c>
      <c r="E64" s="542" t="s">
        <v>4420</v>
      </c>
      <c r="F64" s="542" t="s">
        <v>10702</v>
      </c>
      <c r="G64" s="542" t="s">
        <v>2692</v>
      </c>
      <c r="H64" s="543" t="s">
        <v>10860</v>
      </c>
      <c r="I64" s="544" t="n">
        <v>1997</v>
      </c>
      <c r="J64" s="544" t="n">
        <v>177736</v>
      </c>
      <c r="K64" s="544" t="n">
        <v>2022</v>
      </c>
      <c r="L64" s="542"/>
      <c r="M64" s="542"/>
      <c r="N64" s="542"/>
      <c r="O64" s="545" t="n">
        <v>0.0783</v>
      </c>
      <c r="P64" s="545" t="n">
        <v>0.3114</v>
      </c>
      <c r="Q64" s="542"/>
      <c r="R64" s="542"/>
      <c r="S64" s="542"/>
      <c r="T64" s="542"/>
      <c r="U64" s="542"/>
      <c r="V64" s="542"/>
      <c r="W64" s="542"/>
      <c r="X64" s="542"/>
      <c r="Y64" s="542"/>
      <c r="Z64" s="542"/>
      <c r="AA64" s="542"/>
      <c r="AB64" s="542"/>
      <c r="AC64" s="545" t="n">
        <v>0.6591</v>
      </c>
      <c r="AD64" s="542"/>
      <c r="AE64" s="542"/>
      <c r="AF64" s="545" t="n">
        <v>0.3559</v>
      </c>
      <c r="AG64" s="542"/>
      <c r="AH64" s="545" t="n">
        <v>1.4047</v>
      </c>
      <c r="AI64" s="545" t="n">
        <v>2.8511</v>
      </c>
      <c r="AJ64" s="545" t="n">
        <v>4.2558</v>
      </c>
      <c r="AK64" s="542"/>
      <c r="AL64" s="542"/>
      <c r="AM64" s="543" t="s">
        <v>11282</v>
      </c>
    </row>
    <row r="65" customFormat="false" ht="13.5" hidden="false" customHeight="true" outlineLevel="0" collapsed="false">
      <c r="A65" s="509" t="s">
        <v>10866</v>
      </c>
      <c r="B65" s="508" t="n">
        <v>407</v>
      </c>
      <c r="C65" s="509" t="s">
        <v>10867</v>
      </c>
      <c r="D65" s="529" t="s">
        <v>10868</v>
      </c>
      <c r="E65" s="509" t="s">
        <v>4420</v>
      </c>
      <c r="F65" s="509" t="s">
        <v>10702</v>
      </c>
      <c r="G65" s="509" t="s">
        <v>2692</v>
      </c>
      <c r="H65" s="529" t="s">
        <v>10860</v>
      </c>
      <c r="I65" s="546" t="n">
        <v>1997</v>
      </c>
      <c r="J65" s="546" t="n">
        <v>200371</v>
      </c>
      <c r="K65" s="546" t="n">
        <v>2021</v>
      </c>
      <c r="L65" s="509"/>
      <c r="M65" s="509"/>
      <c r="N65" s="509"/>
      <c r="O65" s="547" t="n">
        <v>0.0686</v>
      </c>
      <c r="P65" s="547" t="n">
        <v>0.1605</v>
      </c>
      <c r="Q65" s="509"/>
      <c r="R65" s="509"/>
      <c r="S65" s="509"/>
      <c r="T65" s="509"/>
      <c r="U65" s="509"/>
      <c r="V65" s="509"/>
      <c r="W65" s="509"/>
      <c r="X65" s="509"/>
      <c r="Y65" s="509"/>
      <c r="Z65" s="509"/>
      <c r="AA65" s="509"/>
      <c r="AB65" s="509"/>
      <c r="AC65" s="547" t="n">
        <v>0.5869</v>
      </c>
      <c r="AD65" s="509"/>
      <c r="AE65" s="509"/>
      <c r="AF65" s="509"/>
      <c r="AG65" s="509"/>
      <c r="AH65" s="547" t="n">
        <v>0.816</v>
      </c>
      <c r="AI65" s="547" t="n">
        <v>2.4919</v>
      </c>
      <c r="AJ65" s="547" t="n">
        <v>3.3079</v>
      </c>
      <c r="AK65" s="509"/>
      <c r="AL65" s="509"/>
      <c r="AM65" s="529" t="s">
        <v>11283</v>
      </c>
    </row>
    <row r="66" customFormat="false" ht="13.5" hidden="false" customHeight="true" outlineLevel="0" collapsed="false">
      <c r="A66" s="542" t="s">
        <v>10866</v>
      </c>
      <c r="B66" s="508" t="n">
        <v>407</v>
      </c>
      <c r="C66" s="542" t="s">
        <v>10867</v>
      </c>
      <c r="D66" s="543" t="s">
        <v>10868</v>
      </c>
      <c r="E66" s="542" t="s">
        <v>4420</v>
      </c>
      <c r="F66" s="542" t="s">
        <v>10702</v>
      </c>
      <c r="G66" s="542" t="s">
        <v>2692</v>
      </c>
      <c r="H66" s="543" t="s">
        <v>10860</v>
      </c>
      <c r="I66" s="544" t="n">
        <v>1997</v>
      </c>
      <c r="J66" s="544" t="n">
        <v>200371</v>
      </c>
      <c r="K66" s="544" t="n">
        <v>2022</v>
      </c>
      <c r="L66" s="542"/>
      <c r="M66" s="542"/>
      <c r="N66" s="542"/>
      <c r="O66" s="545" t="n">
        <v>0.073</v>
      </c>
      <c r="P66" s="545" t="n">
        <v>0.1496</v>
      </c>
      <c r="Q66" s="542"/>
      <c r="R66" s="542"/>
      <c r="S66" s="542"/>
      <c r="T66" s="542"/>
      <c r="U66" s="542"/>
      <c r="V66" s="542"/>
      <c r="W66" s="542"/>
      <c r="X66" s="542"/>
      <c r="Y66" s="542"/>
      <c r="Z66" s="542"/>
      <c r="AA66" s="542"/>
      <c r="AB66" s="542"/>
      <c r="AC66" s="545" t="n">
        <v>0.5187</v>
      </c>
      <c r="AD66" s="542"/>
      <c r="AE66" s="542"/>
      <c r="AF66" s="542"/>
      <c r="AG66" s="542"/>
      <c r="AH66" s="545" t="n">
        <v>0.7413</v>
      </c>
      <c r="AI66" s="545" t="n">
        <v>2.5893</v>
      </c>
      <c r="AJ66" s="545" t="n">
        <v>3.3306</v>
      </c>
      <c r="AK66" s="542"/>
      <c r="AL66" s="542"/>
      <c r="AM66" s="543" t="s">
        <v>11283</v>
      </c>
    </row>
    <row r="67" customFormat="false" ht="13.5" hidden="false" customHeight="true" outlineLevel="0" collapsed="false">
      <c r="A67" s="509" t="s">
        <v>10869</v>
      </c>
      <c r="B67" s="508" t="n">
        <v>584</v>
      </c>
      <c r="C67" s="509" t="s">
        <v>10870</v>
      </c>
      <c r="D67" s="529" t="s">
        <v>10871</v>
      </c>
      <c r="E67" s="509" t="s">
        <v>4420</v>
      </c>
      <c r="F67" s="509" t="s">
        <v>10702</v>
      </c>
      <c r="G67" s="509" t="s">
        <v>2692</v>
      </c>
      <c r="H67" s="529" t="s">
        <v>10860</v>
      </c>
      <c r="I67" s="546" t="n">
        <v>2021</v>
      </c>
      <c r="J67" s="546" t="n">
        <v>548510</v>
      </c>
      <c r="K67" s="546" t="n">
        <v>2022</v>
      </c>
      <c r="L67" s="509"/>
      <c r="M67" s="509"/>
      <c r="N67" s="509"/>
      <c r="O67" s="547" t="n">
        <v>0.1167</v>
      </c>
      <c r="P67" s="547" t="n">
        <v>0.1062</v>
      </c>
      <c r="Q67" s="509"/>
      <c r="R67" s="509"/>
      <c r="S67" s="509"/>
      <c r="T67" s="509"/>
      <c r="U67" s="509"/>
      <c r="V67" s="509"/>
      <c r="W67" s="509"/>
      <c r="X67" s="509"/>
      <c r="Y67" s="509"/>
      <c r="Z67" s="509"/>
      <c r="AA67" s="509"/>
      <c r="AB67" s="509"/>
      <c r="AC67" s="547" t="n">
        <v>0.1767</v>
      </c>
      <c r="AD67" s="509"/>
      <c r="AE67" s="509"/>
      <c r="AF67" s="547" t="n">
        <v>0.038</v>
      </c>
      <c r="AG67" s="509"/>
      <c r="AH67" s="547" t="n">
        <v>0.4376</v>
      </c>
      <c r="AI67" s="547" t="n">
        <v>2.271</v>
      </c>
      <c r="AJ67" s="547" t="n">
        <v>2.7087</v>
      </c>
      <c r="AK67" s="509"/>
      <c r="AL67" s="509"/>
      <c r="AM67" s="529" t="s">
        <v>11284</v>
      </c>
    </row>
    <row r="68" customFormat="false" ht="13.5" hidden="false" customHeight="true" outlineLevel="0" collapsed="false">
      <c r="A68" s="542" t="s">
        <v>10873</v>
      </c>
      <c r="B68" s="508" t="n">
        <v>407</v>
      </c>
      <c r="C68" s="542" t="s">
        <v>10874</v>
      </c>
      <c r="D68" s="543" t="s">
        <v>10875</v>
      </c>
      <c r="E68" s="542" t="s">
        <v>4420</v>
      </c>
      <c r="F68" s="542" t="s">
        <v>10702</v>
      </c>
      <c r="G68" s="542" t="s">
        <v>2692</v>
      </c>
      <c r="H68" s="543" t="s">
        <v>10860</v>
      </c>
      <c r="I68" s="544" t="n">
        <v>2000</v>
      </c>
      <c r="J68" s="544" t="n">
        <v>149175</v>
      </c>
      <c r="K68" s="544" t="n">
        <v>2019</v>
      </c>
      <c r="L68" s="542"/>
      <c r="M68" s="542"/>
      <c r="N68" s="542"/>
      <c r="O68" s="545" t="n">
        <v>0.0437</v>
      </c>
      <c r="P68" s="545" t="n">
        <v>0.1522</v>
      </c>
      <c r="Q68" s="542"/>
      <c r="R68" s="542"/>
      <c r="S68" s="542"/>
      <c r="T68" s="542"/>
      <c r="U68" s="542"/>
      <c r="V68" s="542"/>
      <c r="W68" s="542"/>
      <c r="X68" s="542"/>
      <c r="Y68" s="542"/>
      <c r="Z68" s="542"/>
      <c r="AA68" s="542"/>
      <c r="AB68" s="542"/>
      <c r="AC68" s="545" t="n">
        <v>0.6822</v>
      </c>
      <c r="AD68" s="542"/>
      <c r="AE68" s="542"/>
      <c r="AF68" s="542"/>
      <c r="AG68" s="542"/>
      <c r="AH68" s="545" t="n">
        <v>0.8781</v>
      </c>
      <c r="AI68" s="545" t="n">
        <v>1.8902</v>
      </c>
      <c r="AJ68" s="545" t="n">
        <v>2.7683</v>
      </c>
      <c r="AK68" s="542"/>
      <c r="AL68" s="542"/>
      <c r="AM68" s="543" t="s">
        <v>11285</v>
      </c>
    </row>
    <row r="69" customFormat="false" ht="13.5" hidden="false" customHeight="true" outlineLevel="0" collapsed="false">
      <c r="A69" s="509" t="s">
        <v>10873</v>
      </c>
      <c r="B69" s="508" t="n">
        <v>407</v>
      </c>
      <c r="C69" s="509" t="s">
        <v>10874</v>
      </c>
      <c r="D69" s="529" t="s">
        <v>10875</v>
      </c>
      <c r="E69" s="509" t="s">
        <v>4420</v>
      </c>
      <c r="F69" s="509" t="s">
        <v>10702</v>
      </c>
      <c r="G69" s="509" t="s">
        <v>2692</v>
      </c>
      <c r="H69" s="529" t="s">
        <v>10860</v>
      </c>
      <c r="I69" s="546" t="n">
        <v>2000</v>
      </c>
      <c r="J69" s="546" t="n">
        <v>149175</v>
      </c>
      <c r="K69" s="546" t="n">
        <v>2020</v>
      </c>
      <c r="L69" s="509"/>
      <c r="M69" s="509"/>
      <c r="N69" s="509"/>
      <c r="O69" s="547" t="n">
        <v>0.0499</v>
      </c>
      <c r="P69" s="547" t="n">
        <v>0.0264</v>
      </c>
      <c r="Q69" s="509"/>
      <c r="R69" s="509"/>
      <c r="S69" s="509"/>
      <c r="T69" s="509"/>
      <c r="U69" s="509"/>
      <c r="V69" s="509"/>
      <c r="W69" s="509"/>
      <c r="X69" s="509"/>
      <c r="Y69" s="509"/>
      <c r="Z69" s="509"/>
      <c r="AA69" s="509"/>
      <c r="AB69" s="509"/>
      <c r="AC69" s="547" t="n">
        <v>0.1604</v>
      </c>
      <c r="AD69" s="509"/>
      <c r="AE69" s="509"/>
      <c r="AF69" s="547" t="n">
        <v>1.107</v>
      </c>
      <c r="AG69" s="509"/>
      <c r="AH69" s="547" t="n">
        <v>1.3438</v>
      </c>
      <c r="AI69" s="547" t="n">
        <v>1.897</v>
      </c>
      <c r="AJ69" s="547" t="n">
        <v>3.2408</v>
      </c>
      <c r="AK69" s="509"/>
      <c r="AL69" s="509"/>
      <c r="AM69" s="529" t="s">
        <v>11285</v>
      </c>
    </row>
    <row r="70" customFormat="false" ht="13.5" hidden="false" customHeight="true" outlineLevel="0" collapsed="false">
      <c r="A70" s="542" t="s">
        <v>10877</v>
      </c>
      <c r="B70" s="508" t="n">
        <v>407</v>
      </c>
      <c r="C70" s="542" t="s">
        <v>10878</v>
      </c>
      <c r="D70" s="543" t="s">
        <v>10879</v>
      </c>
      <c r="E70" s="542" t="s">
        <v>4420</v>
      </c>
      <c r="F70" s="542" t="s">
        <v>10702</v>
      </c>
      <c r="G70" s="542" t="s">
        <v>2692</v>
      </c>
      <c r="H70" s="543" t="s">
        <v>10860</v>
      </c>
      <c r="I70" s="544" t="n">
        <v>1999</v>
      </c>
      <c r="J70" s="544" t="n">
        <v>279640</v>
      </c>
      <c r="K70" s="544" t="n">
        <v>2021</v>
      </c>
      <c r="L70" s="542"/>
      <c r="M70" s="542"/>
      <c r="N70" s="542"/>
      <c r="O70" s="545" t="n">
        <v>0.0881</v>
      </c>
      <c r="P70" s="545" t="n">
        <v>0.2248</v>
      </c>
      <c r="Q70" s="542"/>
      <c r="R70" s="542"/>
      <c r="S70" s="542"/>
      <c r="T70" s="542"/>
      <c r="U70" s="542"/>
      <c r="V70" s="542"/>
      <c r="W70" s="542"/>
      <c r="X70" s="542"/>
      <c r="Y70" s="542"/>
      <c r="Z70" s="542"/>
      <c r="AA70" s="542"/>
      <c r="AB70" s="542"/>
      <c r="AC70" s="545" t="n">
        <v>0.3589</v>
      </c>
      <c r="AD70" s="542"/>
      <c r="AE70" s="542"/>
      <c r="AF70" s="542"/>
      <c r="AG70" s="542"/>
      <c r="AH70" s="545" t="n">
        <v>0.6718</v>
      </c>
      <c r="AI70" s="545" t="n">
        <v>2.2918</v>
      </c>
      <c r="AJ70" s="545" t="n">
        <v>2.9636</v>
      </c>
      <c r="AK70" s="542"/>
      <c r="AL70" s="542"/>
      <c r="AM70" s="543" t="s">
        <v>11286</v>
      </c>
    </row>
    <row r="71" customFormat="false" ht="13.5" hidden="false" customHeight="true" outlineLevel="0" collapsed="false">
      <c r="A71" s="509" t="s">
        <v>10877</v>
      </c>
      <c r="B71" s="508" t="n">
        <v>407</v>
      </c>
      <c r="C71" s="509" t="s">
        <v>10878</v>
      </c>
      <c r="D71" s="529" t="s">
        <v>10879</v>
      </c>
      <c r="E71" s="509" t="s">
        <v>4420</v>
      </c>
      <c r="F71" s="509" t="s">
        <v>10702</v>
      </c>
      <c r="G71" s="509" t="s">
        <v>2692</v>
      </c>
      <c r="H71" s="529" t="s">
        <v>10860</v>
      </c>
      <c r="I71" s="546" t="n">
        <v>1999</v>
      </c>
      <c r="J71" s="546" t="n">
        <v>279640</v>
      </c>
      <c r="K71" s="546" t="n">
        <v>2022</v>
      </c>
      <c r="L71" s="509"/>
      <c r="M71" s="509"/>
      <c r="N71" s="509"/>
      <c r="O71" s="547" t="n">
        <v>0.0937</v>
      </c>
      <c r="P71" s="547" t="n">
        <v>0.2268</v>
      </c>
      <c r="Q71" s="509"/>
      <c r="R71" s="509"/>
      <c r="S71" s="509"/>
      <c r="T71" s="509"/>
      <c r="U71" s="509"/>
      <c r="V71" s="509"/>
      <c r="W71" s="509"/>
      <c r="X71" s="509"/>
      <c r="Y71" s="509"/>
      <c r="Z71" s="509"/>
      <c r="AA71" s="509"/>
      <c r="AB71" s="509"/>
      <c r="AC71" s="547" t="n">
        <v>0.0651</v>
      </c>
      <c r="AD71" s="509"/>
      <c r="AE71" s="509"/>
      <c r="AF71" s="509"/>
      <c r="AG71" s="509"/>
      <c r="AH71" s="547" t="n">
        <v>0.3856</v>
      </c>
      <c r="AI71" s="547" t="n">
        <v>2.3497</v>
      </c>
      <c r="AJ71" s="547" t="n">
        <v>2.7353</v>
      </c>
      <c r="AK71" s="509"/>
      <c r="AL71" s="509"/>
      <c r="AM71" s="529" t="s">
        <v>11286</v>
      </c>
    </row>
    <row r="72" customFormat="false" ht="13.5" hidden="false" customHeight="true" outlineLevel="0" collapsed="false">
      <c r="A72" s="542" t="s">
        <v>10880</v>
      </c>
      <c r="B72" s="508" t="n">
        <v>407</v>
      </c>
      <c r="C72" s="542" t="s">
        <v>10881</v>
      </c>
      <c r="D72" s="543" t="s">
        <v>10882</v>
      </c>
      <c r="E72" s="542" t="s">
        <v>4420</v>
      </c>
      <c r="F72" s="542" t="s">
        <v>10702</v>
      </c>
      <c r="G72" s="542" t="s">
        <v>2692</v>
      </c>
      <c r="H72" s="543" t="s">
        <v>10860</v>
      </c>
      <c r="I72" s="544" t="n">
        <v>2002</v>
      </c>
      <c r="J72" s="544" t="n">
        <v>280098</v>
      </c>
      <c r="K72" s="544" t="n">
        <v>2021</v>
      </c>
      <c r="L72" s="542"/>
      <c r="M72" s="542"/>
      <c r="N72" s="542"/>
      <c r="O72" s="545" t="n">
        <v>0.0713</v>
      </c>
      <c r="P72" s="545" t="n">
        <v>0.231</v>
      </c>
      <c r="Q72" s="542"/>
      <c r="R72" s="542"/>
      <c r="S72" s="542"/>
      <c r="T72" s="542"/>
      <c r="U72" s="542"/>
      <c r="V72" s="542"/>
      <c r="W72" s="542"/>
      <c r="X72" s="542"/>
      <c r="Y72" s="542"/>
      <c r="Z72" s="542"/>
      <c r="AA72" s="542"/>
      <c r="AB72" s="542"/>
      <c r="AC72" s="545" t="n">
        <v>0.2633</v>
      </c>
      <c r="AD72" s="542"/>
      <c r="AE72" s="542"/>
      <c r="AF72" s="545" t="n">
        <v>0.3067</v>
      </c>
      <c r="AG72" s="542"/>
      <c r="AH72" s="545" t="n">
        <v>0.8723</v>
      </c>
      <c r="AI72" s="545" t="n">
        <v>2.2816</v>
      </c>
      <c r="AJ72" s="545" t="n">
        <v>3.1539</v>
      </c>
      <c r="AK72" s="542"/>
      <c r="AL72" s="542"/>
      <c r="AM72" s="543" t="s">
        <v>11287</v>
      </c>
    </row>
    <row r="73" customFormat="false" ht="13.5" hidden="false" customHeight="true" outlineLevel="0" collapsed="false">
      <c r="A73" s="509" t="s">
        <v>10880</v>
      </c>
      <c r="B73" s="508" t="n">
        <v>407</v>
      </c>
      <c r="C73" s="509" t="s">
        <v>10881</v>
      </c>
      <c r="D73" s="529" t="s">
        <v>10882</v>
      </c>
      <c r="E73" s="509" t="s">
        <v>4420</v>
      </c>
      <c r="F73" s="509" t="s">
        <v>10702</v>
      </c>
      <c r="G73" s="509" t="s">
        <v>2692</v>
      </c>
      <c r="H73" s="529" t="s">
        <v>10860</v>
      </c>
      <c r="I73" s="546" t="n">
        <v>2002</v>
      </c>
      <c r="J73" s="546" t="n">
        <v>280098</v>
      </c>
      <c r="K73" s="546" t="n">
        <v>2022</v>
      </c>
      <c r="L73" s="509"/>
      <c r="M73" s="509"/>
      <c r="N73" s="509"/>
      <c r="O73" s="547" t="n">
        <v>0.0759</v>
      </c>
      <c r="P73" s="547" t="n">
        <v>0.2109</v>
      </c>
      <c r="Q73" s="509"/>
      <c r="R73" s="509"/>
      <c r="S73" s="509"/>
      <c r="T73" s="509"/>
      <c r="U73" s="509"/>
      <c r="V73" s="509"/>
      <c r="W73" s="509"/>
      <c r="X73" s="509"/>
      <c r="Y73" s="509"/>
      <c r="Z73" s="509"/>
      <c r="AA73" s="509"/>
      <c r="AB73" s="509"/>
      <c r="AC73" s="547" t="n">
        <v>0.4318</v>
      </c>
      <c r="AD73" s="509"/>
      <c r="AE73" s="509"/>
      <c r="AF73" s="547" t="n">
        <v>0.3384</v>
      </c>
      <c r="AG73" s="509"/>
      <c r="AH73" s="547" t="n">
        <v>1.057</v>
      </c>
      <c r="AI73" s="547" t="n">
        <v>2.3888</v>
      </c>
      <c r="AJ73" s="547" t="n">
        <v>3.4457</v>
      </c>
      <c r="AK73" s="509"/>
      <c r="AL73" s="509"/>
      <c r="AM73" s="529" t="s">
        <v>11287</v>
      </c>
    </row>
    <row r="74" customFormat="false" ht="13.5" hidden="false" customHeight="true" outlineLevel="0" collapsed="false">
      <c r="A74" s="542" t="s">
        <v>10883</v>
      </c>
      <c r="B74" s="508" t="n">
        <v>407</v>
      </c>
      <c r="C74" s="542" t="s">
        <v>10884</v>
      </c>
      <c r="D74" s="543" t="s">
        <v>10885</v>
      </c>
      <c r="E74" s="542" t="s">
        <v>4420</v>
      </c>
      <c r="F74" s="542" t="s">
        <v>10702</v>
      </c>
      <c r="G74" s="542" t="s">
        <v>2692</v>
      </c>
      <c r="H74" s="543" t="s">
        <v>10860</v>
      </c>
      <c r="I74" s="544" t="n">
        <v>2008</v>
      </c>
      <c r="J74" s="544" t="n">
        <v>215461</v>
      </c>
      <c r="K74" s="544" t="n">
        <v>2021</v>
      </c>
      <c r="L74" s="542"/>
      <c r="M74" s="542"/>
      <c r="N74" s="542"/>
      <c r="O74" s="545" t="n">
        <v>0.0809</v>
      </c>
      <c r="P74" s="545" t="n">
        <v>0.3054</v>
      </c>
      <c r="Q74" s="542"/>
      <c r="R74" s="542"/>
      <c r="S74" s="542"/>
      <c r="T74" s="542"/>
      <c r="U74" s="542"/>
      <c r="V74" s="542"/>
      <c r="W74" s="542"/>
      <c r="X74" s="542"/>
      <c r="Y74" s="542"/>
      <c r="Z74" s="542"/>
      <c r="AA74" s="542"/>
      <c r="AB74" s="542"/>
      <c r="AC74" s="545" t="n">
        <v>0.4686</v>
      </c>
      <c r="AD74" s="542"/>
      <c r="AE74" s="542"/>
      <c r="AF74" s="545" t="n">
        <v>0.3395</v>
      </c>
      <c r="AG74" s="542"/>
      <c r="AH74" s="545" t="n">
        <v>1.1944</v>
      </c>
      <c r="AI74" s="545" t="n">
        <v>2.8499</v>
      </c>
      <c r="AJ74" s="545" t="n">
        <v>4.0443</v>
      </c>
      <c r="AK74" s="542"/>
      <c r="AL74" s="542"/>
      <c r="AM74" s="543" t="s">
        <v>11288</v>
      </c>
    </row>
    <row r="75" customFormat="false" ht="13.5" hidden="false" customHeight="true" outlineLevel="0" collapsed="false">
      <c r="A75" s="509" t="s">
        <v>10883</v>
      </c>
      <c r="B75" s="508" t="n">
        <v>407</v>
      </c>
      <c r="C75" s="509" t="s">
        <v>10884</v>
      </c>
      <c r="D75" s="529" t="s">
        <v>10885</v>
      </c>
      <c r="E75" s="509" t="s">
        <v>4420</v>
      </c>
      <c r="F75" s="509" t="s">
        <v>10702</v>
      </c>
      <c r="G75" s="509" t="s">
        <v>2692</v>
      </c>
      <c r="H75" s="529" t="s">
        <v>10860</v>
      </c>
      <c r="I75" s="546" t="n">
        <v>2008</v>
      </c>
      <c r="J75" s="546" t="n">
        <v>215461</v>
      </c>
      <c r="K75" s="546" t="n">
        <v>2022</v>
      </c>
      <c r="L75" s="509"/>
      <c r="M75" s="509"/>
      <c r="N75" s="509"/>
      <c r="O75" s="547" t="n">
        <v>0.0852</v>
      </c>
      <c r="P75" s="547" t="n">
        <v>0.2898</v>
      </c>
      <c r="Q75" s="509"/>
      <c r="R75" s="509"/>
      <c r="S75" s="509"/>
      <c r="T75" s="509"/>
      <c r="U75" s="509"/>
      <c r="V75" s="509"/>
      <c r="W75" s="509"/>
      <c r="X75" s="509"/>
      <c r="Y75" s="509"/>
      <c r="Z75" s="509"/>
      <c r="AA75" s="509"/>
      <c r="AB75" s="509"/>
      <c r="AC75" s="547" t="n">
        <v>0.3409</v>
      </c>
      <c r="AD75" s="509"/>
      <c r="AE75" s="509"/>
      <c r="AF75" s="547" t="n">
        <v>0.348</v>
      </c>
      <c r="AG75" s="509"/>
      <c r="AH75" s="547" t="n">
        <v>1.0639</v>
      </c>
      <c r="AI75" s="547" t="n">
        <v>2.7419</v>
      </c>
      <c r="AJ75" s="547" t="n">
        <v>3.8058</v>
      </c>
      <c r="AK75" s="509"/>
      <c r="AL75" s="509"/>
      <c r="AM75" s="529" t="s">
        <v>11288</v>
      </c>
    </row>
    <row r="76" customFormat="false" ht="13.5" hidden="false" customHeight="true" outlineLevel="0" collapsed="false">
      <c r="A76" s="542" t="s">
        <v>10886</v>
      </c>
      <c r="B76" s="508" t="n">
        <v>407</v>
      </c>
      <c r="C76" s="542" t="s">
        <v>10887</v>
      </c>
      <c r="D76" s="543" t="s">
        <v>10888</v>
      </c>
      <c r="E76" s="542" t="s">
        <v>4420</v>
      </c>
      <c r="F76" s="542" t="s">
        <v>10702</v>
      </c>
      <c r="G76" s="542" t="s">
        <v>2692</v>
      </c>
      <c r="H76" s="543" t="s">
        <v>10860</v>
      </c>
      <c r="I76" s="544" t="n">
        <v>2007</v>
      </c>
      <c r="J76" s="544" t="n">
        <v>215560</v>
      </c>
      <c r="K76" s="544" t="n">
        <v>2021</v>
      </c>
      <c r="L76" s="542"/>
      <c r="M76" s="542"/>
      <c r="N76" s="542"/>
      <c r="O76" s="545" t="n">
        <v>0.0975</v>
      </c>
      <c r="P76" s="545" t="n">
        <v>0.2429</v>
      </c>
      <c r="Q76" s="542"/>
      <c r="R76" s="542"/>
      <c r="S76" s="542"/>
      <c r="T76" s="542"/>
      <c r="U76" s="542"/>
      <c r="V76" s="542"/>
      <c r="W76" s="542"/>
      <c r="X76" s="542"/>
      <c r="Y76" s="542"/>
      <c r="Z76" s="542"/>
      <c r="AA76" s="542"/>
      <c r="AB76" s="542"/>
      <c r="AC76" s="545" t="n">
        <v>0.2979</v>
      </c>
      <c r="AD76" s="542"/>
      <c r="AE76" s="542"/>
      <c r="AF76" s="545" t="n">
        <v>0.3114</v>
      </c>
      <c r="AG76" s="542"/>
      <c r="AH76" s="545" t="n">
        <v>0.9497</v>
      </c>
      <c r="AI76" s="545" t="n">
        <v>2.4921</v>
      </c>
      <c r="AJ76" s="545" t="n">
        <v>3.4419</v>
      </c>
      <c r="AK76" s="542"/>
      <c r="AL76" s="542"/>
      <c r="AM76" s="543" t="s">
        <v>11289</v>
      </c>
    </row>
    <row r="77" customFormat="false" ht="13.5" hidden="false" customHeight="true" outlineLevel="0" collapsed="false">
      <c r="A77" s="509" t="s">
        <v>10886</v>
      </c>
      <c r="B77" s="508" t="n">
        <v>407</v>
      </c>
      <c r="C77" s="509" t="s">
        <v>10887</v>
      </c>
      <c r="D77" s="529" t="s">
        <v>10888</v>
      </c>
      <c r="E77" s="509" t="s">
        <v>4420</v>
      </c>
      <c r="F77" s="509" t="s">
        <v>10702</v>
      </c>
      <c r="G77" s="509" t="s">
        <v>2692</v>
      </c>
      <c r="H77" s="529" t="s">
        <v>10860</v>
      </c>
      <c r="I77" s="546" t="n">
        <v>2007</v>
      </c>
      <c r="J77" s="546" t="n">
        <v>215560</v>
      </c>
      <c r="K77" s="546" t="n">
        <v>2022</v>
      </c>
      <c r="L77" s="509"/>
      <c r="M77" s="509"/>
      <c r="N77" s="509"/>
      <c r="O77" s="547" t="n">
        <v>0.1037</v>
      </c>
      <c r="P77" s="547" t="n">
        <v>0.2556</v>
      </c>
      <c r="Q77" s="509"/>
      <c r="R77" s="509"/>
      <c r="S77" s="509"/>
      <c r="T77" s="509"/>
      <c r="U77" s="509"/>
      <c r="V77" s="509"/>
      <c r="W77" s="509"/>
      <c r="X77" s="509"/>
      <c r="Y77" s="509"/>
      <c r="Z77" s="509"/>
      <c r="AA77" s="509"/>
      <c r="AB77" s="509"/>
      <c r="AC77" s="547" t="n">
        <v>0.3121</v>
      </c>
      <c r="AD77" s="509"/>
      <c r="AE77" s="509"/>
      <c r="AF77" s="547" t="n">
        <v>0.3342</v>
      </c>
      <c r="AG77" s="509"/>
      <c r="AH77" s="547" t="n">
        <v>1.0056</v>
      </c>
      <c r="AI77" s="547" t="n">
        <v>2.5896</v>
      </c>
      <c r="AJ77" s="547" t="n">
        <v>3.5952</v>
      </c>
      <c r="AK77" s="509"/>
      <c r="AL77" s="509"/>
      <c r="AM77" s="529" t="s">
        <v>11289</v>
      </c>
    </row>
    <row r="78" customFormat="false" ht="13.5" hidden="false" customHeight="true" outlineLevel="0" collapsed="false">
      <c r="A78" s="542" t="s">
        <v>10889</v>
      </c>
      <c r="B78" s="508" t="n">
        <v>407</v>
      </c>
      <c r="C78" s="542" t="s">
        <v>10890</v>
      </c>
      <c r="D78" s="543" t="s">
        <v>10891</v>
      </c>
      <c r="E78" s="542" t="s">
        <v>4420</v>
      </c>
      <c r="F78" s="542" t="s">
        <v>10702</v>
      </c>
      <c r="G78" s="542" t="s">
        <v>2692</v>
      </c>
      <c r="H78" s="543" t="s">
        <v>10860</v>
      </c>
      <c r="I78" s="544" t="n">
        <v>2007</v>
      </c>
      <c r="J78" s="544" t="n">
        <v>202091</v>
      </c>
      <c r="K78" s="544" t="n">
        <v>2021</v>
      </c>
      <c r="L78" s="542"/>
      <c r="M78" s="542"/>
      <c r="N78" s="542"/>
      <c r="O78" s="545" t="n">
        <v>0.0863</v>
      </c>
      <c r="P78" s="545" t="n">
        <v>0.1541</v>
      </c>
      <c r="Q78" s="542"/>
      <c r="R78" s="542"/>
      <c r="S78" s="542"/>
      <c r="T78" s="542"/>
      <c r="U78" s="542"/>
      <c r="V78" s="542"/>
      <c r="W78" s="542"/>
      <c r="X78" s="542"/>
      <c r="Y78" s="542"/>
      <c r="Z78" s="542"/>
      <c r="AA78" s="542"/>
      <c r="AB78" s="542"/>
      <c r="AC78" s="545" t="n">
        <v>0.4114</v>
      </c>
      <c r="AD78" s="542"/>
      <c r="AE78" s="542"/>
      <c r="AF78" s="542"/>
      <c r="AG78" s="542"/>
      <c r="AH78" s="545" t="n">
        <v>0.6518</v>
      </c>
      <c r="AI78" s="545" t="n">
        <v>2.4692</v>
      </c>
      <c r="AJ78" s="545" t="n">
        <v>3.121</v>
      </c>
      <c r="AK78" s="542"/>
      <c r="AL78" s="542"/>
      <c r="AM78" s="543" t="s">
        <v>11290</v>
      </c>
    </row>
    <row r="79" customFormat="false" ht="13.5" hidden="false" customHeight="true" outlineLevel="0" collapsed="false">
      <c r="A79" s="509" t="s">
        <v>10889</v>
      </c>
      <c r="B79" s="508" t="n">
        <v>407</v>
      </c>
      <c r="C79" s="509" t="s">
        <v>10890</v>
      </c>
      <c r="D79" s="529" t="s">
        <v>10891</v>
      </c>
      <c r="E79" s="509" t="s">
        <v>4420</v>
      </c>
      <c r="F79" s="509" t="s">
        <v>10702</v>
      </c>
      <c r="G79" s="509" t="s">
        <v>2692</v>
      </c>
      <c r="H79" s="529" t="s">
        <v>10860</v>
      </c>
      <c r="I79" s="546" t="n">
        <v>2007</v>
      </c>
      <c r="J79" s="546" t="n">
        <v>202091</v>
      </c>
      <c r="K79" s="546" t="n">
        <v>2022</v>
      </c>
      <c r="L79" s="509"/>
      <c r="M79" s="509"/>
      <c r="N79" s="509"/>
      <c r="O79" s="547" t="n">
        <v>0.0918</v>
      </c>
      <c r="P79" s="547" t="n">
        <v>0.1363</v>
      </c>
      <c r="Q79" s="509"/>
      <c r="R79" s="509"/>
      <c r="S79" s="509"/>
      <c r="T79" s="509"/>
      <c r="U79" s="509"/>
      <c r="V79" s="509"/>
      <c r="W79" s="509"/>
      <c r="X79" s="509"/>
      <c r="Y79" s="509"/>
      <c r="Z79" s="509"/>
      <c r="AA79" s="509"/>
      <c r="AB79" s="509"/>
      <c r="AC79" s="547" t="n">
        <v>0.3275</v>
      </c>
      <c r="AD79" s="509"/>
      <c r="AE79" s="509"/>
      <c r="AF79" s="509"/>
      <c r="AG79" s="509"/>
      <c r="AH79" s="547" t="n">
        <v>0.5556</v>
      </c>
      <c r="AI79" s="547" t="n">
        <v>2.5219</v>
      </c>
      <c r="AJ79" s="547" t="n">
        <v>3.0775</v>
      </c>
      <c r="AK79" s="509"/>
      <c r="AL79" s="509"/>
      <c r="AM79" s="529" t="s">
        <v>11290</v>
      </c>
    </row>
    <row r="80" customFormat="false" ht="13.5" hidden="false" customHeight="true" outlineLevel="0" collapsed="false">
      <c r="A80" s="542" t="s">
        <v>10892</v>
      </c>
      <c r="B80" s="508" t="n">
        <v>407</v>
      </c>
      <c r="C80" s="542" t="s">
        <v>10893</v>
      </c>
      <c r="D80" s="543" t="s">
        <v>10894</v>
      </c>
      <c r="E80" s="542" t="s">
        <v>4420</v>
      </c>
      <c r="F80" s="542" t="s">
        <v>10702</v>
      </c>
      <c r="G80" s="542" t="s">
        <v>2692</v>
      </c>
      <c r="H80" s="543" t="s">
        <v>10860</v>
      </c>
      <c r="I80" s="544" t="n">
        <v>2001</v>
      </c>
      <c r="J80" s="544" t="n">
        <v>150027</v>
      </c>
      <c r="K80" s="544" t="n">
        <v>2021</v>
      </c>
      <c r="L80" s="542"/>
      <c r="M80" s="542"/>
      <c r="N80" s="542"/>
      <c r="O80" s="545" t="n">
        <v>0.0779</v>
      </c>
      <c r="P80" s="545" t="n">
        <v>0.2768</v>
      </c>
      <c r="Q80" s="542"/>
      <c r="R80" s="542"/>
      <c r="S80" s="542"/>
      <c r="T80" s="542"/>
      <c r="U80" s="542"/>
      <c r="V80" s="542"/>
      <c r="W80" s="542"/>
      <c r="X80" s="542"/>
      <c r="Y80" s="542"/>
      <c r="Z80" s="542"/>
      <c r="AA80" s="542"/>
      <c r="AB80" s="542"/>
      <c r="AC80" s="545" t="n">
        <v>0.3322</v>
      </c>
      <c r="AD80" s="542"/>
      <c r="AE80" s="542"/>
      <c r="AF80" s="542"/>
      <c r="AG80" s="542"/>
      <c r="AH80" s="545" t="n">
        <v>0.6868</v>
      </c>
      <c r="AI80" s="545" t="n">
        <v>2.8525</v>
      </c>
      <c r="AJ80" s="545" t="n">
        <v>3.5393</v>
      </c>
      <c r="AK80" s="542"/>
      <c r="AL80" s="542"/>
      <c r="AM80" s="543" t="s">
        <v>11291</v>
      </c>
    </row>
    <row r="81" customFormat="false" ht="13.5" hidden="false" customHeight="true" outlineLevel="0" collapsed="false">
      <c r="A81" s="509" t="s">
        <v>10892</v>
      </c>
      <c r="B81" s="508" t="n">
        <v>407</v>
      </c>
      <c r="C81" s="509" t="s">
        <v>10893</v>
      </c>
      <c r="D81" s="529" t="s">
        <v>10894</v>
      </c>
      <c r="E81" s="509" t="s">
        <v>4420</v>
      </c>
      <c r="F81" s="509" t="s">
        <v>10702</v>
      </c>
      <c r="G81" s="509" t="s">
        <v>2692</v>
      </c>
      <c r="H81" s="529" t="s">
        <v>10860</v>
      </c>
      <c r="I81" s="546" t="n">
        <v>2001</v>
      </c>
      <c r="J81" s="546" t="n">
        <v>150027</v>
      </c>
      <c r="K81" s="546" t="n">
        <v>2022</v>
      </c>
      <c r="L81" s="509"/>
      <c r="M81" s="509"/>
      <c r="N81" s="509"/>
      <c r="O81" s="547" t="n">
        <v>0.0828</v>
      </c>
      <c r="P81" s="547" t="n">
        <v>0.2294</v>
      </c>
      <c r="Q81" s="509"/>
      <c r="R81" s="509"/>
      <c r="S81" s="509"/>
      <c r="T81" s="509"/>
      <c r="U81" s="509"/>
      <c r="V81" s="509"/>
      <c r="W81" s="509"/>
      <c r="X81" s="509"/>
      <c r="Y81" s="509"/>
      <c r="Z81" s="509"/>
      <c r="AA81" s="509"/>
      <c r="AB81" s="509"/>
      <c r="AC81" s="547" t="n">
        <v>0.3617</v>
      </c>
      <c r="AD81" s="509"/>
      <c r="AE81" s="509"/>
      <c r="AF81" s="509"/>
      <c r="AG81" s="509"/>
      <c r="AH81" s="547" t="n">
        <v>0.6739</v>
      </c>
      <c r="AI81" s="547" t="n">
        <v>2.7388</v>
      </c>
      <c r="AJ81" s="547" t="n">
        <v>3.4127</v>
      </c>
      <c r="AK81" s="509"/>
      <c r="AL81" s="509"/>
      <c r="AM81" s="529" t="s">
        <v>11291</v>
      </c>
    </row>
    <row r="82" customFormat="false" ht="13.5" hidden="false" customHeight="true" outlineLevel="0" collapsed="false">
      <c r="A82" s="542" t="s">
        <v>10895</v>
      </c>
      <c r="B82" s="508" t="n">
        <v>584</v>
      </c>
      <c r="C82" s="542" t="s">
        <v>10896</v>
      </c>
      <c r="D82" s="543" t="s">
        <v>10897</v>
      </c>
      <c r="E82" s="542" t="s">
        <v>4420</v>
      </c>
      <c r="F82" s="542" t="s">
        <v>10702</v>
      </c>
      <c r="G82" s="542" t="s">
        <v>2692</v>
      </c>
      <c r="H82" s="543" t="s">
        <v>10860</v>
      </c>
      <c r="I82" s="544" t="n">
        <v>2013</v>
      </c>
      <c r="J82" s="544" t="n">
        <v>500358</v>
      </c>
      <c r="K82" s="544" t="n">
        <v>2021</v>
      </c>
      <c r="L82" s="542"/>
      <c r="M82" s="542"/>
      <c r="N82" s="542"/>
      <c r="O82" s="545" t="n">
        <v>0.0743</v>
      </c>
      <c r="P82" s="545" t="n">
        <v>0.2354</v>
      </c>
      <c r="Q82" s="542"/>
      <c r="R82" s="542"/>
      <c r="S82" s="542"/>
      <c r="T82" s="542"/>
      <c r="U82" s="542"/>
      <c r="V82" s="542"/>
      <c r="W82" s="542"/>
      <c r="X82" s="542"/>
      <c r="Y82" s="542"/>
      <c r="Z82" s="542"/>
      <c r="AA82" s="542"/>
      <c r="AB82" s="542"/>
      <c r="AC82" s="545" t="n">
        <v>0.3128</v>
      </c>
      <c r="AD82" s="542"/>
      <c r="AE82" s="542"/>
      <c r="AF82" s="545" t="n">
        <v>0.2341</v>
      </c>
      <c r="AG82" s="542"/>
      <c r="AH82" s="545" t="n">
        <v>0.8566</v>
      </c>
      <c r="AI82" s="545" t="n">
        <v>2.2838</v>
      </c>
      <c r="AJ82" s="545" t="n">
        <v>3.1403</v>
      </c>
      <c r="AK82" s="542"/>
      <c r="AL82" s="542"/>
      <c r="AM82" s="543" t="s">
        <v>11292</v>
      </c>
    </row>
    <row r="83" customFormat="false" ht="13.5" hidden="false" customHeight="true" outlineLevel="0" collapsed="false">
      <c r="A83" s="509" t="s">
        <v>10895</v>
      </c>
      <c r="B83" s="508" t="n">
        <v>584</v>
      </c>
      <c r="C83" s="509" t="s">
        <v>10896</v>
      </c>
      <c r="D83" s="529" t="s">
        <v>10897</v>
      </c>
      <c r="E83" s="509" t="s">
        <v>4420</v>
      </c>
      <c r="F83" s="509" t="s">
        <v>10702</v>
      </c>
      <c r="G83" s="509" t="s">
        <v>2692</v>
      </c>
      <c r="H83" s="529" t="s">
        <v>10860</v>
      </c>
      <c r="I83" s="546" t="n">
        <v>2013</v>
      </c>
      <c r="J83" s="546" t="n">
        <v>500358</v>
      </c>
      <c r="K83" s="546" t="n">
        <v>2022</v>
      </c>
      <c r="L83" s="509"/>
      <c r="M83" s="509"/>
      <c r="N83" s="509"/>
      <c r="O83" s="547" t="n">
        <v>0.079</v>
      </c>
      <c r="P83" s="547" t="n">
        <v>0.2014</v>
      </c>
      <c r="Q83" s="509"/>
      <c r="R83" s="509"/>
      <c r="S83" s="509"/>
      <c r="T83" s="509"/>
      <c r="U83" s="509"/>
      <c r="V83" s="509"/>
      <c r="W83" s="509"/>
      <c r="X83" s="509"/>
      <c r="Y83" s="509"/>
      <c r="Z83" s="509"/>
      <c r="AA83" s="509"/>
      <c r="AB83" s="509"/>
      <c r="AC83" s="547" t="n">
        <v>0.2328</v>
      </c>
      <c r="AD83" s="509"/>
      <c r="AE83" s="509"/>
      <c r="AF83" s="547" t="n">
        <v>0.2263</v>
      </c>
      <c r="AG83" s="509"/>
      <c r="AH83" s="547" t="n">
        <v>0.7396</v>
      </c>
      <c r="AI83" s="547" t="n">
        <v>2.5398</v>
      </c>
      <c r="AJ83" s="547" t="n">
        <v>3.2794</v>
      </c>
      <c r="AK83" s="509"/>
      <c r="AL83" s="509"/>
      <c r="AM83" s="529" t="s">
        <v>11292</v>
      </c>
    </row>
    <row r="84" customFormat="false" ht="13.5" hidden="false" customHeight="true" outlineLevel="0" collapsed="false">
      <c r="A84" s="542" t="s">
        <v>10898</v>
      </c>
      <c r="B84" s="508" t="n">
        <v>584</v>
      </c>
      <c r="C84" s="542" t="s">
        <v>10899</v>
      </c>
      <c r="D84" s="543" t="s">
        <v>10900</v>
      </c>
      <c r="E84" s="542" t="s">
        <v>4420</v>
      </c>
      <c r="F84" s="542" t="s">
        <v>10702</v>
      </c>
      <c r="G84" s="542" t="s">
        <v>2692</v>
      </c>
      <c r="H84" s="543" t="s">
        <v>10860</v>
      </c>
      <c r="I84" s="544" t="n">
        <v>2017</v>
      </c>
      <c r="J84" s="544" t="n">
        <v>522120</v>
      </c>
      <c r="K84" s="544" t="n">
        <v>2021</v>
      </c>
      <c r="L84" s="542"/>
      <c r="M84" s="542"/>
      <c r="N84" s="542"/>
      <c r="O84" s="545" t="n">
        <v>0.0822</v>
      </c>
      <c r="P84" s="545" t="n">
        <v>0.2582</v>
      </c>
      <c r="Q84" s="542"/>
      <c r="R84" s="542"/>
      <c r="S84" s="542"/>
      <c r="T84" s="542"/>
      <c r="U84" s="542"/>
      <c r="V84" s="542"/>
      <c r="W84" s="542"/>
      <c r="X84" s="542"/>
      <c r="Y84" s="542"/>
      <c r="Z84" s="542"/>
      <c r="AA84" s="542"/>
      <c r="AB84" s="542"/>
      <c r="AC84" s="545" t="n">
        <v>0.2825</v>
      </c>
      <c r="AD84" s="542"/>
      <c r="AE84" s="542"/>
      <c r="AF84" s="545" t="n">
        <v>0.1793</v>
      </c>
      <c r="AG84" s="542"/>
      <c r="AH84" s="545" t="n">
        <v>0.8022</v>
      </c>
      <c r="AI84" s="545" t="n">
        <v>2.1785</v>
      </c>
      <c r="AJ84" s="545" t="n">
        <v>2.9807</v>
      </c>
      <c r="AK84" s="542"/>
      <c r="AL84" s="542"/>
      <c r="AM84" s="543" t="s">
        <v>11293</v>
      </c>
    </row>
    <row r="85" customFormat="false" ht="13.5" hidden="false" customHeight="true" outlineLevel="0" collapsed="false">
      <c r="A85" s="509" t="s">
        <v>10898</v>
      </c>
      <c r="B85" s="508" t="n">
        <v>584</v>
      </c>
      <c r="C85" s="509" t="s">
        <v>10899</v>
      </c>
      <c r="D85" s="529" t="s">
        <v>10900</v>
      </c>
      <c r="E85" s="509" t="s">
        <v>4420</v>
      </c>
      <c r="F85" s="509" t="s">
        <v>10702</v>
      </c>
      <c r="G85" s="509" t="s">
        <v>2692</v>
      </c>
      <c r="H85" s="529" t="s">
        <v>10860</v>
      </c>
      <c r="I85" s="546" t="n">
        <v>2017</v>
      </c>
      <c r="J85" s="546" t="n">
        <v>522120</v>
      </c>
      <c r="K85" s="546" t="n">
        <v>2022</v>
      </c>
      <c r="L85" s="509"/>
      <c r="M85" s="509"/>
      <c r="N85" s="509"/>
      <c r="O85" s="547" t="n">
        <v>0.0874</v>
      </c>
      <c r="P85" s="547" t="n">
        <v>0.2219</v>
      </c>
      <c r="Q85" s="509"/>
      <c r="R85" s="509"/>
      <c r="S85" s="509"/>
      <c r="T85" s="509"/>
      <c r="U85" s="509"/>
      <c r="V85" s="509"/>
      <c r="W85" s="509"/>
      <c r="X85" s="509"/>
      <c r="Y85" s="509"/>
      <c r="Z85" s="509"/>
      <c r="AA85" s="509"/>
      <c r="AB85" s="509"/>
      <c r="AC85" s="547" t="n">
        <v>0.1719</v>
      </c>
      <c r="AD85" s="509"/>
      <c r="AE85" s="509"/>
      <c r="AF85" s="547" t="n">
        <v>0.1738</v>
      </c>
      <c r="AG85" s="509"/>
      <c r="AH85" s="547" t="n">
        <v>0.655</v>
      </c>
      <c r="AI85" s="547" t="n">
        <v>2.2402</v>
      </c>
      <c r="AJ85" s="547" t="n">
        <v>2.8952</v>
      </c>
      <c r="AK85" s="509"/>
      <c r="AL85" s="509"/>
      <c r="AM85" s="529" t="s">
        <v>11293</v>
      </c>
    </row>
    <row r="86" customFormat="false" ht="13.5" hidden="false" customHeight="true" outlineLevel="0" collapsed="false">
      <c r="A86" s="542" t="s">
        <v>10901</v>
      </c>
      <c r="B86" s="508" t="n">
        <v>407</v>
      </c>
      <c r="C86" s="542" t="s">
        <v>10902</v>
      </c>
      <c r="D86" s="543" t="s">
        <v>10903</v>
      </c>
      <c r="E86" s="542" t="s">
        <v>10904</v>
      </c>
      <c r="F86" s="542" t="s">
        <v>10702</v>
      </c>
      <c r="G86" s="542" t="s">
        <v>2692</v>
      </c>
      <c r="H86" s="543" t="s">
        <v>10905</v>
      </c>
      <c r="I86" s="544"/>
      <c r="J86" s="544"/>
      <c r="K86" s="544" t="n">
        <v>2021</v>
      </c>
      <c r="L86" s="555" t="n">
        <v>2633716</v>
      </c>
      <c r="M86" s="542"/>
      <c r="N86" s="555" t="n">
        <v>3256403</v>
      </c>
      <c r="O86" s="555" t="n">
        <v>56624</v>
      </c>
      <c r="P86" s="542"/>
      <c r="Q86" s="555" t="n">
        <v>300</v>
      </c>
      <c r="R86" s="542"/>
      <c r="S86" s="542"/>
      <c r="T86" s="542"/>
      <c r="U86" s="542"/>
      <c r="V86" s="542"/>
      <c r="W86" s="542"/>
      <c r="X86" s="555" t="n">
        <v>29535</v>
      </c>
      <c r="Y86" s="555" t="n">
        <v>30138</v>
      </c>
      <c r="Z86" s="542"/>
      <c r="AA86" s="555" t="n">
        <v>54136</v>
      </c>
      <c r="AB86" s="555" t="n">
        <v>127274</v>
      </c>
      <c r="AC86" s="542"/>
      <c r="AD86" s="542"/>
      <c r="AE86" s="542"/>
      <c r="AF86" s="555" t="n">
        <v>18748</v>
      </c>
      <c r="AG86" s="542"/>
      <c r="AH86" s="555" t="n">
        <v>731951</v>
      </c>
      <c r="AI86" s="542"/>
      <c r="AJ86" s="542"/>
      <c r="AK86" s="555" t="n">
        <v>2524452</v>
      </c>
      <c r="AL86" s="542"/>
      <c r="AM86" s="543" t="s">
        <v>11435</v>
      </c>
    </row>
    <row r="87" customFormat="false" ht="13.5" hidden="false" customHeight="true" outlineLevel="0" collapsed="false">
      <c r="A87" s="509" t="s">
        <v>10901</v>
      </c>
      <c r="B87" s="508" t="n">
        <v>407</v>
      </c>
      <c r="C87" s="509" t="s">
        <v>10902</v>
      </c>
      <c r="D87" s="529" t="s">
        <v>10903</v>
      </c>
      <c r="E87" s="509" t="s">
        <v>10904</v>
      </c>
      <c r="F87" s="509" t="s">
        <v>10702</v>
      </c>
      <c r="G87" s="509" t="s">
        <v>2692</v>
      </c>
      <c r="H87" s="529" t="s">
        <v>10905</v>
      </c>
      <c r="I87" s="546"/>
      <c r="J87" s="546"/>
      <c r="K87" s="546" t="n">
        <v>2022</v>
      </c>
      <c r="L87" s="509"/>
      <c r="M87" s="509"/>
      <c r="N87" s="509"/>
      <c r="O87" s="509"/>
      <c r="P87" s="556" t="n">
        <v>69999</v>
      </c>
      <c r="Q87" s="509"/>
      <c r="R87" s="509"/>
      <c r="S87" s="509"/>
      <c r="T87" s="509"/>
      <c r="U87" s="509"/>
      <c r="V87" s="509"/>
      <c r="W87" s="509"/>
      <c r="X87" s="509"/>
      <c r="Y87" s="509"/>
      <c r="Z87" s="509"/>
      <c r="AA87" s="509"/>
      <c r="AB87" s="509"/>
      <c r="AC87" s="509"/>
      <c r="AD87" s="509"/>
      <c r="AE87" s="509"/>
      <c r="AF87" s="509"/>
      <c r="AG87" s="509"/>
      <c r="AH87" s="509"/>
      <c r="AI87" s="556" t="n">
        <v>1080500</v>
      </c>
      <c r="AJ87" s="556" t="n">
        <v>1527913</v>
      </c>
      <c r="AK87" s="556" t="n">
        <v>2475461</v>
      </c>
      <c r="AL87" s="509"/>
      <c r="AM87" s="529" t="s">
        <v>11436</v>
      </c>
    </row>
    <row r="88" customFormat="false" ht="13.5" hidden="false" customHeight="true" outlineLevel="0" collapsed="false">
      <c r="A88" s="542" t="s">
        <v>10909</v>
      </c>
      <c r="B88" s="508" t="n">
        <v>386</v>
      </c>
      <c r="C88" s="542" t="s">
        <v>10910</v>
      </c>
      <c r="D88" s="543" t="s">
        <v>10911</v>
      </c>
      <c r="E88" s="542" t="s">
        <v>4368</v>
      </c>
      <c r="F88" s="542" t="s">
        <v>10702</v>
      </c>
      <c r="G88" s="542" t="s">
        <v>10912</v>
      </c>
      <c r="H88" s="543" t="s">
        <v>10913</v>
      </c>
      <c r="I88" s="544"/>
      <c r="J88" s="544" t="n">
        <v>65766</v>
      </c>
      <c r="K88" s="544" t="n">
        <v>2021</v>
      </c>
      <c r="L88" s="542"/>
      <c r="M88" s="542"/>
      <c r="N88" s="545" t="n">
        <v>13.3807</v>
      </c>
      <c r="O88" s="542"/>
      <c r="P88" s="542"/>
      <c r="Q88" s="542"/>
      <c r="R88" s="542"/>
      <c r="S88" s="542"/>
      <c r="T88" s="542"/>
      <c r="U88" s="542"/>
      <c r="V88" s="542"/>
      <c r="W88" s="542"/>
      <c r="X88" s="542"/>
      <c r="Y88" s="542"/>
      <c r="Z88" s="542"/>
      <c r="AA88" s="542"/>
      <c r="AB88" s="542"/>
      <c r="AC88" s="542"/>
      <c r="AD88" s="542"/>
      <c r="AE88" s="542"/>
      <c r="AF88" s="542"/>
      <c r="AG88" s="542"/>
      <c r="AH88" s="542"/>
      <c r="AI88" s="542"/>
      <c r="AJ88" s="545" t="n">
        <v>6.3574</v>
      </c>
      <c r="AK88" s="545" t="n">
        <v>7.0233</v>
      </c>
      <c r="AL88" s="542"/>
      <c r="AM88" s="543" t="s">
        <v>11296</v>
      </c>
    </row>
    <row r="89" customFormat="false" ht="13.5" hidden="false" customHeight="true" outlineLevel="0" collapsed="false">
      <c r="A89" s="542" t="s">
        <v>10909</v>
      </c>
      <c r="B89" s="508" t="n">
        <v>386</v>
      </c>
      <c r="C89" s="542" t="s">
        <v>10910</v>
      </c>
      <c r="D89" s="543" t="s">
        <v>10911</v>
      </c>
      <c r="E89" s="542" t="s">
        <v>4368</v>
      </c>
      <c r="F89" s="542" t="s">
        <v>10702</v>
      </c>
      <c r="G89" s="542" t="s">
        <v>10912</v>
      </c>
      <c r="H89" s="543" t="s">
        <v>10913</v>
      </c>
      <c r="I89" s="544"/>
      <c r="J89" s="544" t="n">
        <v>65766</v>
      </c>
      <c r="K89" s="544" t="n">
        <v>2022</v>
      </c>
      <c r="L89" s="542"/>
      <c r="M89" s="542"/>
      <c r="N89" s="545" t="n">
        <v>14.0623</v>
      </c>
      <c r="O89" s="542"/>
      <c r="P89" s="542"/>
      <c r="Q89" s="542"/>
      <c r="R89" s="542"/>
      <c r="S89" s="542"/>
      <c r="T89" s="542"/>
      <c r="U89" s="542"/>
      <c r="V89" s="542"/>
      <c r="W89" s="542"/>
      <c r="X89" s="542"/>
      <c r="Y89" s="542"/>
      <c r="Z89" s="542"/>
      <c r="AA89" s="542"/>
      <c r="AB89" s="542"/>
      <c r="AC89" s="542"/>
      <c r="AD89" s="542"/>
      <c r="AE89" s="542"/>
      <c r="AF89" s="542"/>
      <c r="AG89" s="542"/>
      <c r="AH89" s="542"/>
      <c r="AI89" s="542"/>
      <c r="AJ89" s="545" t="n">
        <v>6.9302</v>
      </c>
      <c r="AK89" s="545" t="n">
        <v>7.1322</v>
      </c>
      <c r="AL89" s="542"/>
      <c r="AM89" s="543" t="s">
        <v>11296</v>
      </c>
    </row>
    <row r="90" customFormat="false" ht="13.5" hidden="false" customHeight="true" outlineLevel="0" collapsed="false">
      <c r="A90" s="542" t="s">
        <v>10909</v>
      </c>
      <c r="B90" s="508" t="n">
        <v>386</v>
      </c>
      <c r="C90" s="542" t="s">
        <v>10910</v>
      </c>
      <c r="D90" s="543" t="s">
        <v>10911</v>
      </c>
      <c r="E90" s="542" t="s">
        <v>4368</v>
      </c>
      <c r="F90" s="542" t="s">
        <v>10702</v>
      </c>
      <c r="G90" s="542" t="s">
        <v>10912</v>
      </c>
      <c r="H90" s="543" t="s">
        <v>10913</v>
      </c>
      <c r="I90" s="544"/>
      <c r="J90" s="544" t="n">
        <v>65766</v>
      </c>
      <c r="K90" s="544" t="n">
        <v>2023</v>
      </c>
      <c r="L90" s="542"/>
      <c r="M90" s="542"/>
      <c r="N90" s="545" t="n">
        <v>14.16</v>
      </c>
      <c r="O90" s="545" t="n">
        <v>0.6306</v>
      </c>
      <c r="P90" s="545" t="n">
        <v>1.5829</v>
      </c>
      <c r="Q90" s="542"/>
      <c r="R90" s="542"/>
      <c r="S90" s="542"/>
      <c r="T90" s="542"/>
      <c r="U90" s="542"/>
      <c r="V90" s="542"/>
      <c r="W90" s="542"/>
      <c r="X90" s="542"/>
      <c r="Y90" s="545" t="n">
        <v>0.2367</v>
      </c>
      <c r="Z90" s="542"/>
      <c r="AA90" s="542"/>
      <c r="AB90" s="542"/>
      <c r="AC90" s="542"/>
      <c r="AD90" s="542"/>
      <c r="AE90" s="542"/>
      <c r="AF90" s="545" t="n">
        <v>0.5644</v>
      </c>
      <c r="AG90" s="542"/>
      <c r="AH90" s="545" t="n">
        <v>4.479</v>
      </c>
      <c r="AI90" s="545" t="n">
        <v>2.7358</v>
      </c>
      <c r="AJ90" s="545" t="n">
        <v>7.2147</v>
      </c>
      <c r="AK90" s="545" t="n">
        <v>7.1427</v>
      </c>
      <c r="AL90" s="542"/>
      <c r="AM90" s="543" t="s">
        <v>11296</v>
      </c>
    </row>
    <row r="91" customFormat="false" ht="13.5" hidden="false" customHeight="true" outlineLevel="0" collapsed="false">
      <c r="A91" s="542" t="s">
        <v>10916</v>
      </c>
      <c r="B91" s="508" t="n">
        <v>386</v>
      </c>
      <c r="C91" s="542" t="s">
        <v>10917</v>
      </c>
      <c r="D91" s="543" t="s">
        <v>10918</v>
      </c>
      <c r="E91" s="542" t="s">
        <v>4325</v>
      </c>
      <c r="F91" s="542" t="s">
        <v>10702</v>
      </c>
      <c r="G91" s="542" t="s">
        <v>10912</v>
      </c>
      <c r="H91" s="543" t="s">
        <v>10913</v>
      </c>
      <c r="I91" s="544"/>
      <c r="J91" s="544" t="n">
        <v>79950</v>
      </c>
      <c r="K91" s="544" t="n">
        <v>2021</v>
      </c>
      <c r="L91" s="542"/>
      <c r="M91" s="542"/>
      <c r="N91" s="545" t="n">
        <v>11.9617</v>
      </c>
      <c r="O91" s="542"/>
      <c r="P91" s="542"/>
      <c r="Q91" s="542"/>
      <c r="R91" s="542"/>
      <c r="S91" s="542"/>
      <c r="T91" s="542"/>
      <c r="U91" s="542"/>
      <c r="V91" s="542"/>
      <c r="W91" s="542"/>
      <c r="X91" s="542"/>
      <c r="Y91" s="542"/>
      <c r="Z91" s="542"/>
      <c r="AA91" s="542"/>
      <c r="AB91" s="542"/>
      <c r="AC91" s="542"/>
      <c r="AD91" s="542"/>
      <c r="AE91" s="542"/>
      <c r="AF91" s="542"/>
      <c r="AG91" s="542"/>
      <c r="AH91" s="542"/>
      <c r="AI91" s="542"/>
      <c r="AJ91" s="545" t="n">
        <v>6.0239</v>
      </c>
      <c r="AK91" s="545" t="n">
        <v>6.4381</v>
      </c>
      <c r="AL91" s="542"/>
      <c r="AM91" s="543" t="s">
        <v>11297</v>
      </c>
    </row>
    <row r="92" customFormat="false" ht="13.5" hidden="false" customHeight="true" outlineLevel="0" collapsed="false">
      <c r="A92" s="542" t="s">
        <v>10916</v>
      </c>
      <c r="B92" s="508" t="n">
        <v>386</v>
      </c>
      <c r="C92" s="542" t="s">
        <v>10917</v>
      </c>
      <c r="D92" s="543" t="s">
        <v>10918</v>
      </c>
      <c r="E92" s="542" t="s">
        <v>4325</v>
      </c>
      <c r="F92" s="542" t="s">
        <v>10702</v>
      </c>
      <c r="G92" s="542" t="s">
        <v>10912</v>
      </c>
      <c r="H92" s="543" t="s">
        <v>10913</v>
      </c>
      <c r="I92" s="544"/>
      <c r="J92" s="544" t="n">
        <v>79950</v>
      </c>
      <c r="K92" s="544" t="n">
        <v>2022</v>
      </c>
      <c r="L92" s="542"/>
      <c r="M92" s="542"/>
      <c r="N92" s="545" t="n">
        <v>12.7321</v>
      </c>
      <c r="O92" s="542"/>
      <c r="P92" s="542"/>
      <c r="Q92" s="542"/>
      <c r="R92" s="542"/>
      <c r="S92" s="542"/>
      <c r="T92" s="542"/>
      <c r="U92" s="542"/>
      <c r="V92" s="542"/>
      <c r="W92" s="542"/>
      <c r="X92" s="542"/>
      <c r="Y92" s="542"/>
      <c r="Z92" s="542"/>
      <c r="AA92" s="542"/>
      <c r="AB92" s="542"/>
      <c r="AC92" s="542"/>
      <c r="AD92" s="542"/>
      <c r="AE92" s="542"/>
      <c r="AF92" s="542"/>
      <c r="AG92" s="542"/>
      <c r="AH92" s="542"/>
      <c r="AI92" s="542"/>
      <c r="AJ92" s="545" t="n">
        <v>5.4064</v>
      </c>
      <c r="AK92" s="545" t="n">
        <v>7.3257</v>
      </c>
      <c r="AL92" s="542"/>
      <c r="AM92" s="543" t="s">
        <v>11297</v>
      </c>
    </row>
    <row r="93" customFormat="false" ht="13.5" hidden="false" customHeight="true" outlineLevel="0" collapsed="false">
      <c r="A93" s="542" t="s">
        <v>10916</v>
      </c>
      <c r="B93" s="508" t="n">
        <v>386</v>
      </c>
      <c r="C93" s="542" t="s">
        <v>10917</v>
      </c>
      <c r="D93" s="543" t="s">
        <v>10918</v>
      </c>
      <c r="E93" s="542" t="s">
        <v>4325</v>
      </c>
      <c r="F93" s="542" t="s">
        <v>10702</v>
      </c>
      <c r="G93" s="542" t="s">
        <v>10912</v>
      </c>
      <c r="H93" s="543" t="s">
        <v>10913</v>
      </c>
      <c r="I93" s="544"/>
      <c r="J93" s="544" t="n">
        <v>79950</v>
      </c>
      <c r="K93" s="544" t="n">
        <v>2023</v>
      </c>
      <c r="L93" s="542"/>
      <c r="M93" s="542"/>
      <c r="N93" s="545" t="n">
        <v>11.94</v>
      </c>
      <c r="O93" s="545" t="n">
        <v>0.5105</v>
      </c>
      <c r="P93" s="545" t="n">
        <v>1.3574</v>
      </c>
      <c r="Q93" s="542"/>
      <c r="R93" s="542"/>
      <c r="S93" s="542"/>
      <c r="T93" s="542"/>
      <c r="U93" s="542"/>
      <c r="V93" s="542"/>
      <c r="W93" s="542"/>
      <c r="X93" s="542"/>
      <c r="Y93" s="545" t="n">
        <v>0.301</v>
      </c>
      <c r="Z93" s="542"/>
      <c r="AA93" s="542"/>
      <c r="AB93" s="542"/>
      <c r="AC93" s="542"/>
      <c r="AD93" s="542"/>
      <c r="AE93" s="542"/>
      <c r="AF93" s="545" t="n">
        <v>0.2587</v>
      </c>
      <c r="AG93" s="542"/>
      <c r="AH93" s="545" t="n">
        <v>3.4355</v>
      </c>
      <c r="AI93" s="545" t="n">
        <v>3.061</v>
      </c>
      <c r="AJ93" s="545" t="n">
        <v>6.4964</v>
      </c>
      <c r="AK93" s="545" t="n">
        <v>5.4436</v>
      </c>
      <c r="AL93" s="542"/>
      <c r="AM93" s="543" t="s">
        <v>11297</v>
      </c>
    </row>
    <row r="94" customFormat="false" ht="13.5" hidden="false" customHeight="true" outlineLevel="0" collapsed="false">
      <c r="A94" s="542" t="s">
        <v>10920</v>
      </c>
      <c r="B94" s="508" t="n">
        <v>386</v>
      </c>
      <c r="C94" s="542" t="s">
        <v>10921</v>
      </c>
      <c r="D94" s="543" t="s">
        <v>10922</v>
      </c>
      <c r="E94" s="542" t="s">
        <v>4325</v>
      </c>
      <c r="F94" s="542" t="s">
        <v>10702</v>
      </c>
      <c r="G94" s="542" t="s">
        <v>10912</v>
      </c>
      <c r="H94" s="543" t="s">
        <v>10923</v>
      </c>
      <c r="I94" s="544"/>
      <c r="J94" s="544" t="n">
        <v>83756</v>
      </c>
      <c r="K94" s="544" t="n">
        <v>2021</v>
      </c>
      <c r="L94" s="542"/>
      <c r="M94" s="542"/>
      <c r="N94" s="545" t="n">
        <v>9.7278</v>
      </c>
      <c r="O94" s="542"/>
      <c r="P94" s="542"/>
      <c r="Q94" s="542"/>
      <c r="R94" s="542"/>
      <c r="S94" s="542"/>
      <c r="T94" s="542"/>
      <c r="U94" s="542"/>
      <c r="V94" s="542"/>
      <c r="W94" s="542"/>
      <c r="X94" s="542"/>
      <c r="Y94" s="542"/>
      <c r="Z94" s="542"/>
      <c r="AA94" s="542"/>
      <c r="AB94" s="542"/>
      <c r="AC94" s="542"/>
      <c r="AD94" s="542"/>
      <c r="AE94" s="542"/>
      <c r="AF94" s="542"/>
      <c r="AG94" s="542"/>
      <c r="AH94" s="542"/>
      <c r="AI94" s="542"/>
      <c r="AJ94" s="545" t="n">
        <v>5.2127</v>
      </c>
      <c r="AK94" s="545" t="n">
        <v>4.5151</v>
      </c>
      <c r="AL94" s="542"/>
      <c r="AM94" s="543" t="s">
        <v>11297</v>
      </c>
    </row>
    <row r="95" customFormat="false" ht="13.5" hidden="false" customHeight="true" outlineLevel="0" collapsed="false">
      <c r="A95" s="542" t="s">
        <v>10920</v>
      </c>
      <c r="B95" s="508" t="n">
        <v>386</v>
      </c>
      <c r="C95" s="542" t="s">
        <v>10921</v>
      </c>
      <c r="D95" s="543" t="s">
        <v>10922</v>
      </c>
      <c r="E95" s="542" t="s">
        <v>4325</v>
      </c>
      <c r="F95" s="542" t="s">
        <v>10702</v>
      </c>
      <c r="G95" s="542" t="s">
        <v>10912</v>
      </c>
      <c r="H95" s="543" t="s">
        <v>10923</v>
      </c>
      <c r="I95" s="544"/>
      <c r="J95" s="544" t="n">
        <v>83756</v>
      </c>
      <c r="K95" s="544" t="n">
        <v>2022</v>
      </c>
      <c r="L95" s="542"/>
      <c r="M95" s="542"/>
      <c r="N95" s="545" t="n">
        <v>11.7102</v>
      </c>
      <c r="O95" s="542"/>
      <c r="P95" s="542"/>
      <c r="Q95" s="542"/>
      <c r="R95" s="542"/>
      <c r="S95" s="542"/>
      <c r="T95" s="542"/>
      <c r="U95" s="542"/>
      <c r="V95" s="542"/>
      <c r="W95" s="542"/>
      <c r="X95" s="542"/>
      <c r="Y95" s="542"/>
      <c r="Z95" s="542"/>
      <c r="AA95" s="542"/>
      <c r="AB95" s="542"/>
      <c r="AC95" s="542"/>
      <c r="AD95" s="542"/>
      <c r="AE95" s="542"/>
      <c r="AF95" s="542"/>
      <c r="AG95" s="542"/>
      <c r="AH95" s="542"/>
      <c r="AI95" s="542"/>
      <c r="AJ95" s="545" t="n">
        <v>5.4426</v>
      </c>
      <c r="AK95" s="545" t="n">
        <v>6.2675</v>
      </c>
      <c r="AL95" s="542"/>
      <c r="AM95" s="543" t="s">
        <v>11297</v>
      </c>
    </row>
    <row r="96" customFormat="false" ht="13.5" hidden="false" customHeight="true" outlineLevel="0" collapsed="false">
      <c r="A96" s="542" t="s">
        <v>10920</v>
      </c>
      <c r="B96" s="508" t="n">
        <v>386</v>
      </c>
      <c r="C96" s="542" t="s">
        <v>10921</v>
      </c>
      <c r="D96" s="543" t="s">
        <v>10922</v>
      </c>
      <c r="E96" s="542" t="s">
        <v>4325</v>
      </c>
      <c r="F96" s="542" t="s">
        <v>10702</v>
      </c>
      <c r="G96" s="542" t="s">
        <v>10912</v>
      </c>
      <c r="H96" s="543" t="s">
        <v>10923</v>
      </c>
      <c r="I96" s="544"/>
      <c r="J96" s="544" t="n">
        <v>83756</v>
      </c>
      <c r="K96" s="544" t="n">
        <v>2023</v>
      </c>
      <c r="L96" s="542"/>
      <c r="M96" s="542"/>
      <c r="N96" s="545" t="n">
        <v>12.0821</v>
      </c>
      <c r="O96" s="545" t="n">
        <v>0.5624</v>
      </c>
      <c r="P96" s="545" t="n">
        <v>1.3342</v>
      </c>
      <c r="Q96" s="542"/>
      <c r="R96" s="542"/>
      <c r="S96" s="542"/>
      <c r="T96" s="542"/>
      <c r="U96" s="542"/>
      <c r="V96" s="542"/>
      <c r="W96" s="542"/>
      <c r="X96" s="542"/>
      <c r="Y96" s="545" t="n">
        <v>0.1222</v>
      </c>
      <c r="Z96" s="542"/>
      <c r="AA96" s="542"/>
      <c r="AB96" s="542"/>
      <c r="AC96" s="542"/>
      <c r="AD96" s="542"/>
      <c r="AE96" s="542"/>
      <c r="AF96" s="545" t="n">
        <v>0.1904</v>
      </c>
      <c r="AG96" s="542"/>
      <c r="AH96" s="545" t="n">
        <v>3.0787</v>
      </c>
      <c r="AI96" s="545" t="n">
        <v>2.42</v>
      </c>
      <c r="AJ96" s="545" t="n">
        <v>5.4986</v>
      </c>
      <c r="AK96" s="545" t="n">
        <v>6.5859</v>
      </c>
      <c r="AL96" s="542"/>
      <c r="AM96" s="543" t="s">
        <v>11297</v>
      </c>
    </row>
    <row r="97" customFormat="false" ht="13.5" hidden="false" customHeight="true" outlineLevel="0" collapsed="false">
      <c r="A97" s="542" t="s">
        <v>10925</v>
      </c>
      <c r="B97" s="508" t="n">
        <v>386</v>
      </c>
      <c r="C97" s="542" t="s">
        <v>10926</v>
      </c>
      <c r="D97" s="543" t="s">
        <v>10927</v>
      </c>
      <c r="E97" s="542" t="s">
        <v>4368</v>
      </c>
      <c r="F97" s="542" t="s">
        <v>10702</v>
      </c>
      <c r="G97" s="542" t="s">
        <v>10912</v>
      </c>
      <c r="H97" s="543" t="s">
        <v>10923</v>
      </c>
      <c r="I97" s="544"/>
      <c r="J97" s="544" t="n">
        <v>71909</v>
      </c>
      <c r="K97" s="544" t="n">
        <v>2021</v>
      </c>
      <c r="L97" s="542"/>
      <c r="M97" s="542"/>
      <c r="N97" s="545" t="n">
        <v>11.6457</v>
      </c>
      <c r="O97" s="542"/>
      <c r="P97" s="542"/>
      <c r="Q97" s="542"/>
      <c r="R97" s="542"/>
      <c r="S97" s="542"/>
      <c r="T97" s="542"/>
      <c r="U97" s="542"/>
      <c r="V97" s="542"/>
      <c r="W97" s="542"/>
      <c r="X97" s="542"/>
      <c r="Y97" s="542"/>
      <c r="Z97" s="542"/>
      <c r="AA97" s="542"/>
      <c r="AB97" s="542"/>
      <c r="AC97" s="542"/>
      <c r="AD97" s="542"/>
      <c r="AE97" s="542"/>
      <c r="AF97" s="542"/>
      <c r="AG97" s="542"/>
      <c r="AH97" s="542"/>
      <c r="AI97" s="542"/>
      <c r="AJ97" s="545" t="n">
        <v>6.1981</v>
      </c>
      <c r="AK97" s="545" t="n">
        <v>5.4476</v>
      </c>
      <c r="AL97" s="542"/>
      <c r="AM97" s="543" t="s">
        <v>11298</v>
      </c>
    </row>
    <row r="98" customFormat="false" ht="13.5" hidden="false" customHeight="true" outlineLevel="0" collapsed="false">
      <c r="A98" s="542" t="s">
        <v>10925</v>
      </c>
      <c r="B98" s="508" t="n">
        <v>386</v>
      </c>
      <c r="C98" s="542" t="s">
        <v>10926</v>
      </c>
      <c r="D98" s="543" t="s">
        <v>10927</v>
      </c>
      <c r="E98" s="542" t="s">
        <v>4368</v>
      </c>
      <c r="F98" s="542" t="s">
        <v>10702</v>
      </c>
      <c r="G98" s="542" t="s">
        <v>10912</v>
      </c>
      <c r="H98" s="543" t="s">
        <v>10923</v>
      </c>
      <c r="I98" s="544"/>
      <c r="J98" s="544" t="n">
        <v>71909</v>
      </c>
      <c r="K98" s="544" t="n">
        <v>2022</v>
      </c>
      <c r="L98" s="542"/>
      <c r="M98" s="542"/>
      <c r="N98" s="545" t="n">
        <v>13.1494</v>
      </c>
      <c r="O98" s="542"/>
      <c r="P98" s="542"/>
      <c r="Q98" s="542"/>
      <c r="R98" s="542"/>
      <c r="S98" s="542"/>
      <c r="T98" s="542"/>
      <c r="U98" s="542"/>
      <c r="V98" s="542"/>
      <c r="W98" s="542"/>
      <c r="X98" s="542"/>
      <c r="Y98" s="542"/>
      <c r="Z98" s="542"/>
      <c r="AA98" s="542"/>
      <c r="AB98" s="542"/>
      <c r="AC98" s="542"/>
      <c r="AD98" s="542"/>
      <c r="AE98" s="542"/>
      <c r="AF98" s="542"/>
      <c r="AG98" s="542"/>
      <c r="AH98" s="542"/>
      <c r="AI98" s="542"/>
      <c r="AJ98" s="545" t="n">
        <v>6.1981</v>
      </c>
      <c r="AK98" s="545" t="n">
        <v>6.4846</v>
      </c>
      <c r="AL98" s="542"/>
      <c r="AM98" s="543" t="s">
        <v>11298</v>
      </c>
    </row>
    <row r="99" customFormat="false" ht="13.5" hidden="false" customHeight="true" outlineLevel="0" collapsed="false">
      <c r="A99" s="542" t="s">
        <v>10925</v>
      </c>
      <c r="B99" s="508" t="n">
        <v>386</v>
      </c>
      <c r="C99" s="542" t="s">
        <v>10926</v>
      </c>
      <c r="D99" s="543" t="s">
        <v>10927</v>
      </c>
      <c r="E99" s="542" t="s">
        <v>4368</v>
      </c>
      <c r="F99" s="542" t="s">
        <v>10702</v>
      </c>
      <c r="G99" s="542" t="s">
        <v>10912</v>
      </c>
      <c r="H99" s="543" t="s">
        <v>10923</v>
      </c>
      <c r="I99" s="544"/>
      <c r="J99" s="544" t="n">
        <v>71909</v>
      </c>
      <c r="K99" s="544" t="n">
        <v>2023</v>
      </c>
      <c r="L99" s="542"/>
      <c r="M99" s="542"/>
      <c r="N99" s="545" t="n">
        <v>13.6392</v>
      </c>
      <c r="O99" s="545" t="n">
        <v>0.6036</v>
      </c>
      <c r="P99" s="545" t="n">
        <v>1.9706</v>
      </c>
      <c r="Q99" s="542"/>
      <c r="R99" s="542"/>
      <c r="S99" s="542"/>
      <c r="T99" s="542"/>
      <c r="U99" s="542"/>
      <c r="V99" s="542"/>
      <c r="W99" s="542"/>
      <c r="X99" s="542"/>
      <c r="Y99" s="545" t="n">
        <v>0.248</v>
      </c>
      <c r="Z99" s="542"/>
      <c r="AA99" s="542"/>
      <c r="AB99" s="542"/>
      <c r="AC99" s="542"/>
      <c r="AD99" s="542"/>
      <c r="AE99" s="542"/>
      <c r="AF99" s="545" t="n">
        <v>0.298</v>
      </c>
      <c r="AG99" s="542"/>
      <c r="AH99" s="545" t="n">
        <v>4.1574</v>
      </c>
      <c r="AI99" s="545" t="n">
        <v>2.5917</v>
      </c>
      <c r="AJ99" s="545" t="n">
        <v>6.7491</v>
      </c>
      <c r="AK99" s="545" t="n">
        <v>6.8462</v>
      </c>
      <c r="AL99" s="542"/>
      <c r="AM99" s="543" t="s">
        <v>11298</v>
      </c>
    </row>
    <row r="100" customFormat="false" ht="13.5" hidden="false" customHeight="true" outlineLevel="0" collapsed="false">
      <c r="A100" s="542" t="s">
        <v>10929</v>
      </c>
      <c r="B100" s="508" t="n">
        <v>386</v>
      </c>
      <c r="C100" s="542" t="s">
        <v>10930</v>
      </c>
      <c r="D100" s="543" t="s">
        <v>11299</v>
      </c>
      <c r="E100" s="542" t="s">
        <v>4368</v>
      </c>
      <c r="F100" s="542" t="s">
        <v>10702</v>
      </c>
      <c r="G100" s="542" t="s">
        <v>10912</v>
      </c>
      <c r="H100" s="543" t="s">
        <v>10923</v>
      </c>
      <c r="I100" s="544"/>
      <c r="J100" s="544" t="n">
        <v>41900</v>
      </c>
      <c r="K100" s="544" t="n">
        <v>2024</v>
      </c>
      <c r="L100" s="542"/>
      <c r="M100" s="542"/>
      <c r="N100" s="545" t="n">
        <v>17.1375</v>
      </c>
      <c r="O100" s="545" t="n">
        <v>0.4543</v>
      </c>
      <c r="P100" s="545" t="n">
        <v>2.2428</v>
      </c>
      <c r="Q100" s="542"/>
      <c r="R100" s="542"/>
      <c r="S100" s="542"/>
      <c r="T100" s="542"/>
      <c r="U100" s="542"/>
      <c r="V100" s="542"/>
      <c r="W100" s="542"/>
      <c r="X100" s="542"/>
      <c r="Y100" s="545" t="n">
        <v>0.2809</v>
      </c>
      <c r="Z100" s="542"/>
      <c r="AA100" s="542"/>
      <c r="AB100" s="542"/>
      <c r="AC100" s="542"/>
      <c r="AD100" s="542"/>
      <c r="AE100" s="542"/>
      <c r="AF100" s="545" t="n">
        <v>0.1293</v>
      </c>
      <c r="AG100" s="542"/>
      <c r="AH100" s="545" t="n">
        <v>4.9831</v>
      </c>
      <c r="AI100" s="545" t="n">
        <v>4.213</v>
      </c>
      <c r="AJ100" s="545" t="n">
        <v>9.196</v>
      </c>
      <c r="AK100" s="545" t="n">
        <v>7.9414</v>
      </c>
      <c r="AL100" s="542"/>
      <c r="AM100" s="543" t="s">
        <v>11300</v>
      </c>
    </row>
    <row r="101" customFormat="false" ht="13.5" hidden="false" customHeight="true" outlineLevel="0" collapsed="false">
      <c r="A101" s="542" t="s">
        <v>10934</v>
      </c>
      <c r="B101" s="508" t="n">
        <v>386</v>
      </c>
      <c r="C101" s="542" t="s">
        <v>6447</v>
      </c>
      <c r="D101" s="543" t="s">
        <v>10935</v>
      </c>
      <c r="E101" s="542" t="s">
        <v>9525</v>
      </c>
      <c r="F101" s="542" t="s">
        <v>10702</v>
      </c>
      <c r="G101" s="542" t="s">
        <v>10912</v>
      </c>
      <c r="H101" s="543" t="s">
        <v>10913</v>
      </c>
      <c r="I101" s="544"/>
      <c r="J101" s="544" t="n">
        <v>94736</v>
      </c>
      <c r="K101" s="544"/>
      <c r="L101" s="542"/>
      <c r="M101" s="542"/>
      <c r="N101" s="545" t="n">
        <v>16.7</v>
      </c>
      <c r="O101" s="545" t="n">
        <v>0.4183</v>
      </c>
      <c r="P101" s="545" t="n">
        <v>1.7666</v>
      </c>
      <c r="Q101" s="542"/>
      <c r="R101" s="542"/>
      <c r="S101" s="542"/>
      <c r="T101" s="542"/>
      <c r="U101" s="542"/>
      <c r="V101" s="542"/>
      <c r="W101" s="542"/>
      <c r="X101" s="542"/>
      <c r="Y101" s="545" t="n">
        <v>0.4073</v>
      </c>
      <c r="Z101" s="542"/>
      <c r="AA101" s="542"/>
      <c r="AB101" s="542"/>
      <c r="AC101" s="542"/>
      <c r="AD101" s="542"/>
      <c r="AE101" s="542"/>
      <c r="AF101" s="545" t="n">
        <v>0.207</v>
      </c>
      <c r="AG101" s="542"/>
      <c r="AH101" s="545" t="n">
        <v>3.6866</v>
      </c>
      <c r="AI101" s="545" t="n">
        <v>4.474</v>
      </c>
      <c r="AJ101" s="545" t="n">
        <v>8.1606</v>
      </c>
      <c r="AK101" s="545" t="n">
        <v>8.5394</v>
      </c>
      <c r="AL101" s="542"/>
      <c r="AM101" s="543" t="s">
        <v>11301</v>
      </c>
    </row>
    <row r="102" customFormat="false" ht="13.5" hidden="false" customHeight="true" outlineLevel="0" collapsed="false">
      <c r="A102" s="542" t="s">
        <v>10938</v>
      </c>
      <c r="B102" s="508" t="n">
        <v>386</v>
      </c>
      <c r="C102" s="542" t="s">
        <v>10939</v>
      </c>
      <c r="D102" s="543" t="s">
        <v>10940</v>
      </c>
      <c r="E102" s="542" t="s">
        <v>9525</v>
      </c>
      <c r="F102" s="542" t="s">
        <v>10702</v>
      </c>
      <c r="G102" s="542" t="s">
        <v>10912</v>
      </c>
      <c r="H102" s="543" t="s">
        <v>10923</v>
      </c>
      <c r="I102" s="544"/>
      <c r="J102" s="544" t="n">
        <v>73500</v>
      </c>
      <c r="K102" s="544"/>
      <c r="L102" s="542"/>
      <c r="M102" s="542"/>
      <c r="N102" s="545" t="n">
        <v>11.3518</v>
      </c>
      <c r="O102" s="545" t="n">
        <v>0.2504</v>
      </c>
      <c r="P102" s="545" t="n">
        <v>0.8845</v>
      </c>
      <c r="Q102" s="542"/>
      <c r="R102" s="542"/>
      <c r="S102" s="542"/>
      <c r="T102" s="542"/>
      <c r="U102" s="542"/>
      <c r="V102" s="542"/>
      <c r="W102" s="542"/>
      <c r="X102" s="542"/>
      <c r="Y102" s="545" t="n">
        <v>0.3368</v>
      </c>
      <c r="Z102" s="542"/>
      <c r="AA102" s="542"/>
      <c r="AB102" s="542"/>
      <c r="AC102" s="542"/>
      <c r="AD102" s="542"/>
      <c r="AE102" s="542"/>
      <c r="AF102" s="545" t="n">
        <v>0.2348</v>
      </c>
      <c r="AG102" s="542"/>
      <c r="AH102" s="545" t="n">
        <v>2.7024</v>
      </c>
      <c r="AI102" s="545" t="n">
        <v>2.144</v>
      </c>
      <c r="AJ102" s="545" t="n">
        <v>4.8463</v>
      </c>
      <c r="AK102" s="545" t="n">
        <v>6.5055</v>
      </c>
      <c r="AL102" s="542"/>
      <c r="AM102" s="543" t="s">
        <v>11302</v>
      </c>
    </row>
    <row r="103" customFormat="false" ht="13.5" hidden="false" customHeight="true" outlineLevel="0" collapsed="false">
      <c r="A103" s="542" t="s">
        <v>10942</v>
      </c>
      <c r="B103" s="508" t="n">
        <v>386</v>
      </c>
      <c r="C103" s="542" t="s">
        <v>10943</v>
      </c>
      <c r="D103" s="543" t="s">
        <v>10944</v>
      </c>
      <c r="E103" s="542" t="s">
        <v>9525</v>
      </c>
      <c r="F103" s="542" t="s">
        <v>10702</v>
      </c>
      <c r="G103" s="542" t="s">
        <v>10912</v>
      </c>
      <c r="H103" s="543" t="s">
        <v>10923</v>
      </c>
      <c r="I103" s="544"/>
      <c r="J103" s="544" t="n">
        <v>44975</v>
      </c>
      <c r="K103" s="544"/>
      <c r="L103" s="542"/>
      <c r="M103" s="542"/>
      <c r="N103" s="545" t="n">
        <v>13.0923</v>
      </c>
      <c r="O103" s="545" t="n">
        <v>0.4933</v>
      </c>
      <c r="P103" s="545" t="n">
        <v>0.8561</v>
      </c>
      <c r="Q103" s="542"/>
      <c r="R103" s="542"/>
      <c r="S103" s="542"/>
      <c r="T103" s="542"/>
      <c r="U103" s="542"/>
      <c r="V103" s="542"/>
      <c r="W103" s="542"/>
      <c r="X103" s="542"/>
      <c r="Y103" s="545" t="n">
        <v>0.8597</v>
      </c>
      <c r="Z103" s="542"/>
      <c r="AA103" s="542"/>
      <c r="AB103" s="542"/>
      <c r="AC103" s="542"/>
      <c r="AD103" s="542"/>
      <c r="AE103" s="542"/>
      <c r="AF103" s="545" t="n">
        <v>0.6947</v>
      </c>
      <c r="AG103" s="542"/>
      <c r="AH103" s="545" t="n">
        <v>3.1997</v>
      </c>
      <c r="AI103" s="545" t="n">
        <v>2.8576</v>
      </c>
      <c r="AJ103" s="545" t="n">
        <v>6.0573</v>
      </c>
      <c r="AK103" s="545" t="n">
        <v>7.035</v>
      </c>
      <c r="AL103" s="542"/>
      <c r="AM103" s="543" t="s">
        <v>11303</v>
      </c>
    </row>
    <row r="104" customFormat="false" ht="13.5" hidden="false" customHeight="true" outlineLevel="0" collapsed="false">
      <c r="A104" s="542" t="s">
        <v>10946</v>
      </c>
      <c r="B104" s="508" t="n">
        <v>386</v>
      </c>
      <c r="C104" s="542" t="s">
        <v>10947</v>
      </c>
      <c r="D104" s="543" t="s">
        <v>11304</v>
      </c>
      <c r="E104" s="542" t="s">
        <v>9525</v>
      </c>
      <c r="F104" s="542" t="s">
        <v>10702</v>
      </c>
      <c r="G104" s="542" t="s">
        <v>10912</v>
      </c>
      <c r="H104" s="543" t="s">
        <v>10913</v>
      </c>
      <c r="I104" s="544"/>
      <c r="J104" s="544" t="n">
        <v>94797</v>
      </c>
      <c r="K104" s="544"/>
      <c r="L104" s="542"/>
      <c r="M104" s="542"/>
      <c r="N104" s="545" t="n">
        <v>12.4952</v>
      </c>
      <c r="O104" s="545" t="n">
        <v>0.2668</v>
      </c>
      <c r="P104" s="545" t="n">
        <v>2.1805</v>
      </c>
      <c r="Q104" s="542"/>
      <c r="R104" s="542"/>
      <c r="S104" s="542"/>
      <c r="T104" s="542"/>
      <c r="U104" s="542"/>
      <c r="V104" s="542"/>
      <c r="W104" s="542"/>
      <c r="X104" s="542"/>
      <c r="Y104" s="545" t="n">
        <v>0.3013</v>
      </c>
      <c r="Z104" s="542"/>
      <c r="AA104" s="542"/>
      <c r="AB104" s="542"/>
      <c r="AC104" s="542"/>
      <c r="AD104" s="542"/>
      <c r="AE104" s="542"/>
      <c r="AF104" s="545" t="n">
        <v>0.5221</v>
      </c>
      <c r="AG104" s="542"/>
      <c r="AH104" s="545" t="n">
        <v>4.5787</v>
      </c>
      <c r="AI104" s="545" t="n">
        <v>2.7378</v>
      </c>
      <c r="AJ104" s="545" t="n">
        <v>7.3165</v>
      </c>
      <c r="AK104" s="545" t="n">
        <v>5.1786</v>
      </c>
      <c r="AL104" s="542"/>
      <c r="AM104" s="543" t="s">
        <v>11305</v>
      </c>
    </row>
    <row r="105" customFormat="false" ht="13.5" hidden="false" customHeight="true" outlineLevel="0" collapsed="false">
      <c r="A105" s="542" t="s">
        <v>10950</v>
      </c>
      <c r="B105" s="508" t="n">
        <v>386</v>
      </c>
      <c r="C105" s="542" t="s">
        <v>10951</v>
      </c>
      <c r="D105" s="543" t="s">
        <v>10952</v>
      </c>
      <c r="E105" s="542" t="s">
        <v>9525</v>
      </c>
      <c r="F105" s="542" t="s">
        <v>10702</v>
      </c>
      <c r="G105" s="542" t="s">
        <v>10912</v>
      </c>
      <c r="H105" s="543" t="s">
        <v>10923</v>
      </c>
      <c r="I105" s="544"/>
      <c r="J105" s="544" t="n">
        <v>39525</v>
      </c>
      <c r="K105" s="544"/>
      <c r="L105" s="542"/>
      <c r="M105" s="542"/>
      <c r="N105" s="545" t="n">
        <v>13.7122</v>
      </c>
      <c r="O105" s="545" t="n">
        <v>0.2102</v>
      </c>
      <c r="P105" s="545" t="n">
        <v>2.3853</v>
      </c>
      <c r="Q105" s="542"/>
      <c r="R105" s="542"/>
      <c r="S105" s="542"/>
      <c r="T105" s="542"/>
      <c r="U105" s="542"/>
      <c r="V105" s="542"/>
      <c r="W105" s="542"/>
      <c r="X105" s="542"/>
      <c r="Y105" s="545" t="n">
        <v>0.5387</v>
      </c>
      <c r="Z105" s="542"/>
      <c r="AA105" s="542"/>
      <c r="AB105" s="542"/>
      <c r="AC105" s="542"/>
      <c r="AD105" s="542"/>
      <c r="AE105" s="542"/>
      <c r="AF105" s="545" t="n">
        <v>0.4172</v>
      </c>
      <c r="AG105" s="542"/>
      <c r="AH105" s="545" t="n">
        <v>3.7856</v>
      </c>
      <c r="AI105" s="545" t="n">
        <v>5.2913</v>
      </c>
      <c r="AJ105" s="545" t="n">
        <v>9.0769</v>
      </c>
      <c r="AK105" s="545" t="n">
        <v>4.6352</v>
      </c>
      <c r="AL105" s="542"/>
      <c r="AM105" s="543" t="s">
        <v>11306</v>
      </c>
    </row>
    <row r="106" customFormat="false" ht="13.5" hidden="false" customHeight="true" outlineLevel="0" collapsed="false">
      <c r="A106" s="542" t="s">
        <v>10954</v>
      </c>
      <c r="B106" s="508" t="n">
        <v>386</v>
      </c>
      <c r="C106" s="542" t="s">
        <v>10955</v>
      </c>
      <c r="D106" s="543" t="s">
        <v>10956</v>
      </c>
      <c r="E106" s="542" t="s">
        <v>9525</v>
      </c>
      <c r="F106" s="542" t="s">
        <v>10702</v>
      </c>
      <c r="G106" s="542" t="s">
        <v>10912</v>
      </c>
      <c r="H106" s="543" t="s">
        <v>10957</v>
      </c>
      <c r="I106" s="544"/>
      <c r="J106" s="544" t="n">
        <v>45980</v>
      </c>
      <c r="K106" s="544"/>
      <c r="L106" s="542"/>
      <c r="M106" s="542"/>
      <c r="N106" s="545" t="n">
        <v>14.0604</v>
      </c>
      <c r="O106" s="545" t="n">
        <v>0.1085</v>
      </c>
      <c r="P106" s="545" t="n">
        <v>1.5224</v>
      </c>
      <c r="Q106" s="542"/>
      <c r="R106" s="542"/>
      <c r="S106" s="542"/>
      <c r="T106" s="542"/>
      <c r="U106" s="542"/>
      <c r="V106" s="542"/>
      <c r="W106" s="542"/>
      <c r="X106" s="542"/>
      <c r="Y106" s="545" t="n">
        <v>0.261</v>
      </c>
      <c r="Z106" s="542"/>
      <c r="AA106" s="542"/>
      <c r="AB106" s="542"/>
      <c r="AC106" s="542"/>
      <c r="AD106" s="542"/>
      <c r="AE106" s="542"/>
      <c r="AF106" s="545" t="n">
        <v>0.2604</v>
      </c>
      <c r="AG106" s="542"/>
      <c r="AH106" s="545" t="n">
        <v>3.1926</v>
      </c>
      <c r="AI106" s="545" t="n">
        <v>1.806</v>
      </c>
      <c r="AJ106" s="545" t="n">
        <v>4.9986</v>
      </c>
      <c r="AK106" s="545" t="n">
        <v>9.0617</v>
      </c>
      <c r="AL106" s="542"/>
      <c r="AM106" s="543" t="s">
        <v>11307</v>
      </c>
    </row>
    <row r="107" customFormat="false" ht="13.5" hidden="false" customHeight="true" outlineLevel="0" collapsed="false">
      <c r="A107" s="542" t="s">
        <v>10959</v>
      </c>
      <c r="B107" s="508" t="n">
        <v>386</v>
      </c>
      <c r="C107" s="542" t="s">
        <v>10960</v>
      </c>
      <c r="D107" s="543" t="s">
        <v>10961</v>
      </c>
      <c r="E107" s="542" t="s">
        <v>9525</v>
      </c>
      <c r="F107" s="542" t="s">
        <v>10702</v>
      </c>
      <c r="G107" s="542" t="s">
        <v>10912</v>
      </c>
      <c r="H107" s="543" t="s">
        <v>10923</v>
      </c>
      <c r="I107" s="544"/>
      <c r="J107" s="544" t="n">
        <v>88043</v>
      </c>
      <c r="K107" s="544"/>
      <c r="L107" s="542"/>
      <c r="M107" s="542"/>
      <c r="N107" s="545" t="n">
        <v>13.7047</v>
      </c>
      <c r="O107" s="545" t="n">
        <v>0.1417</v>
      </c>
      <c r="P107" s="545" t="n">
        <v>2.0341</v>
      </c>
      <c r="Q107" s="542"/>
      <c r="R107" s="542"/>
      <c r="S107" s="542"/>
      <c r="T107" s="542"/>
      <c r="U107" s="542"/>
      <c r="V107" s="542"/>
      <c r="W107" s="542"/>
      <c r="X107" s="542"/>
      <c r="Y107" s="545" t="n">
        <v>0.2303</v>
      </c>
      <c r="Z107" s="542"/>
      <c r="AA107" s="542"/>
      <c r="AB107" s="542"/>
      <c r="AC107" s="542"/>
      <c r="AD107" s="542"/>
      <c r="AE107" s="542"/>
      <c r="AF107" s="545" t="n">
        <v>0.1926</v>
      </c>
      <c r="AG107" s="542"/>
      <c r="AH107" s="545" t="n">
        <v>3.2267</v>
      </c>
      <c r="AI107" s="545" t="n">
        <v>4.424</v>
      </c>
      <c r="AJ107" s="545" t="n">
        <v>7.6507</v>
      </c>
      <c r="AK107" s="545" t="n">
        <v>6.054</v>
      </c>
      <c r="AL107" s="542"/>
      <c r="AM107" s="543" t="s">
        <v>11308</v>
      </c>
    </row>
    <row r="108" customFormat="false" ht="13.5" hidden="false" customHeight="true" outlineLevel="0" collapsed="false">
      <c r="A108" s="542" t="s">
        <v>10963</v>
      </c>
      <c r="B108" s="508" t="n">
        <v>386</v>
      </c>
      <c r="C108" s="542" t="s">
        <v>10964</v>
      </c>
      <c r="D108" s="543" t="s">
        <v>10965</v>
      </c>
      <c r="E108" s="542" t="s">
        <v>9525</v>
      </c>
      <c r="F108" s="542" t="s">
        <v>10702</v>
      </c>
      <c r="G108" s="542" t="s">
        <v>10912</v>
      </c>
      <c r="H108" s="543" t="s">
        <v>10923</v>
      </c>
      <c r="I108" s="544"/>
      <c r="J108" s="544" t="n">
        <v>41764</v>
      </c>
      <c r="K108" s="544"/>
      <c r="L108" s="542"/>
      <c r="M108" s="542"/>
      <c r="N108" s="545" t="n">
        <v>18.8527</v>
      </c>
      <c r="O108" s="545" t="n">
        <v>0.2311</v>
      </c>
      <c r="P108" s="545" t="n">
        <v>1.995</v>
      </c>
      <c r="Q108" s="542"/>
      <c r="R108" s="542"/>
      <c r="S108" s="542"/>
      <c r="T108" s="542"/>
      <c r="U108" s="542"/>
      <c r="V108" s="542"/>
      <c r="W108" s="542"/>
      <c r="X108" s="542"/>
      <c r="Y108" s="545" t="n">
        <v>0.6139</v>
      </c>
      <c r="Z108" s="542"/>
      <c r="AA108" s="542"/>
      <c r="AB108" s="542"/>
      <c r="AC108" s="542"/>
      <c r="AD108" s="542"/>
      <c r="AE108" s="542"/>
      <c r="AF108" s="545" t="n">
        <v>0.3821</v>
      </c>
      <c r="AG108" s="542"/>
      <c r="AH108" s="545" t="n">
        <v>4.6124</v>
      </c>
      <c r="AI108" s="545" t="n">
        <v>4.8634</v>
      </c>
      <c r="AJ108" s="545" t="n">
        <v>9.4758</v>
      </c>
      <c r="AK108" s="545" t="n">
        <v>9.3769</v>
      </c>
      <c r="AL108" s="542"/>
      <c r="AM108" s="543" t="s">
        <v>11309</v>
      </c>
    </row>
    <row r="109" customFormat="false" ht="13.5" hidden="false" customHeight="true" outlineLevel="0" collapsed="false">
      <c r="A109" s="509" t="s">
        <v>10799</v>
      </c>
      <c r="B109" s="508" t="n">
        <v>584</v>
      </c>
      <c r="C109" s="509" t="s">
        <v>10800</v>
      </c>
      <c r="D109" s="529" t="s">
        <v>10801</v>
      </c>
      <c r="E109" s="509" t="s">
        <v>4743</v>
      </c>
      <c r="F109" s="509" t="s">
        <v>10702</v>
      </c>
      <c r="G109" s="509" t="s">
        <v>2692</v>
      </c>
      <c r="H109" s="529" t="s">
        <v>10802</v>
      </c>
      <c r="I109" s="557" t="n">
        <v>1983</v>
      </c>
      <c r="J109" s="546" t="n">
        <v>377729</v>
      </c>
      <c r="K109" s="557" t="n">
        <v>2023</v>
      </c>
      <c r="L109" s="558" t="n">
        <v>7.8884</v>
      </c>
      <c r="M109" s="559" t="n">
        <v>0</v>
      </c>
      <c r="N109" s="558" t="n">
        <v>7.8884</v>
      </c>
      <c r="O109" s="559"/>
      <c r="P109" s="558" t="n">
        <v>0.0541</v>
      </c>
      <c r="Q109" s="559"/>
      <c r="R109" s="559"/>
      <c r="S109" s="559"/>
      <c r="T109" s="559"/>
      <c r="U109" s="559"/>
      <c r="V109" s="559"/>
      <c r="W109" s="559"/>
      <c r="X109" s="559" t="n">
        <v>0.0058</v>
      </c>
      <c r="Y109" s="559" t="n">
        <v>0.0058</v>
      </c>
      <c r="Z109" s="559"/>
      <c r="AA109" s="559"/>
      <c r="AB109" s="559"/>
      <c r="AC109" s="559" t="n">
        <v>0</v>
      </c>
      <c r="AD109" s="559"/>
      <c r="AE109" s="559"/>
      <c r="AF109" s="559" t="n">
        <v>0.0018</v>
      </c>
      <c r="AG109" s="558" t="n">
        <v>0.0156</v>
      </c>
      <c r="AH109" s="558" t="n">
        <v>0.0774</v>
      </c>
      <c r="AI109" s="558" t="n">
        <v>0</v>
      </c>
      <c r="AJ109" s="558" t="n">
        <v>0.0774</v>
      </c>
      <c r="AK109" s="558" t="n">
        <v>7.811</v>
      </c>
      <c r="AL109" s="559"/>
      <c r="AM109" s="529" t="s">
        <v>11310</v>
      </c>
    </row>
    <row r="110" customFormat="false" ht="13.5" hidden="false" customHeight="true" outlineLevel="0" collapsed="false">
      <c r="A110" s="542" t="s">
        <v>10799</v>
      </c>
      <c r="B110" s="508" t="n">
        <v>584</v>
      </c>
      <c r="C110" s="542" t="s">
        <v>10800</v>
      </c>
      <c r="D110" s="543" t="s">
        <v>10801</v>
      </c>
      <c r="E110" s="542" t="s">
        <v>4743</v>
      </c>
      <c r="F110" s="542" t="s">
        <v>10702</v>
      </c>
      <c r="G110" s="542" t="s">
        <v>2692</v>
      </c>
      <c r="H110" s="543" t="s">
        <v>10802</v>
      </c>
      <c r="I110" s="560" t="n">
        <v>1983</v>
      </c>
      <c r="J110" s="544" t="n">
        <v>377729</v>
      </c>
      <c r="K110" s="560" t="n">
        <v>2024</v>
      </c>
      <c r="L110" s="561" t="n">
        <v>8.0676</v>
      </c>
      <c r="M110" s="562" t="n">
        <v>0</v>
      </c>
      <c r="N110" s="561" t="n">
        <v>8.0676</v>
      </c>
      <c r="O110" s="562"/>
      <c r="P110" s="561" t="n">
        <v>0.053</v>
      </c>
      <c r="Q110" s="562"/>
      <c r="R110" s="562"/>
      <c r="S110" s="562"/>
      <c r="T110" s="562"/>
      <c r="U110" s="562"/>
      <c r="V110" s="562"/>
      <c r="W110" s="562"/>
      <c r="X110" s="562" t="n">
        <v>0.0393</v>
      </c>
      <c r="Y110" s="562" t="n">
        <v>0.0393</v>
      </c>
      <c r="Z110" s="562"/>
      <c r="AA110" s="562"/>
      <c r="AB110" s="562"/>
      <c r="AC110" s="562" t="n">
        <v>0</v>
      </c>
      <c r="AD110" s="562"/>
      <c r="AE110" s="562"/>
      <c r="AF110" s="562" t="n">
        <v>0</v>
      </c>
      <c r="AG110" s="561" t="n">
        <v>0.0321</v>
      </c>
      <c r="AH110" s="561" t="n">
        <v>0.1244</v>
      </c>
      <c r="AI110" s="561" t="n">
        <v>0</v>
      </c>
      <c r="AJ110" s="561" t="n">
        <v>0.1244</v>
      </c>
      <c r="AK110" s="561" t="n">
        <v>7.9433</v>
      </c>
      <c r="AL110" s="562"/>
      <c r="AM110" s="543" t="s">
        <v>11311</v>
      </c>
    </row>
    <row r="111" customFormat="false" ht="13.5" hidden="false" customHeight="true" outlineLevel="0" collapsed="false">
      <c r="A111" s="509" t="s">
        <v>10883</v>
      </c>
      <c r="B111" s="508" t="n">
        <v>407</v>
      </c>
      <c r="C111" s="509" t="s">
        <v>10884</v>
      </c>
      <c r="D111" s="529" t="s">
        <v>10885</v>
      </c>
      <c r="E111" s="509" t="s">
        <v>4420</v>
      </c>
      <c r="F111" s="509" t="s">
        <v>10702</v>
      </c>
      <c r="G111" s="509" t="s">
        <v>2692</v>
      </c>
      <c r="H111" s="529" t="s">
        <v>10860</v>
      </c>
      <c r="I111" s="546" t="n">
        <v>2008</v>
      </c>
      <c r="J111" s="546" t="n">
        <v>215461</v>
      </c>
      <c r="K111" s="546" t="n">
        <v>2024</v>
      </c>
      <c r="L111" s="547" t="n">
        <v>7.1488</v>
      </c>
      <c r="M111" s="509"/>
      <c r="N111" s="547" t="n">
        <v>7.1488</v>
      </c>
      <c r="O111" s="509"/>
      <c r="P111" s="509"/>
      <c r="Q111" s="509"/>
      <c r="R111" s="509"/>
      <c r="S111" s="509"/>
      <c r="T111" s="509"/>
      <c r="U111" s="509"/>
      <c r="V111" s="509"/>
      <c r="W111" s="509"/>
      <c r="X111" s="509"/>
      <c r="Y111" s="509"/>
      <c r="Z111" s="509"/>
      <c r="AA111" s="547" t="n">
        <v>0.0459</v>
      </c>
      <c r="AB111" s="547" t="n">
        <v>0.1387</v>
      </c>
      <c r="AC111" s="509"/>
      <c r="AD111" s="509"/>
      <c r="AE111" s="509"/>
      <c r="AF111" s="509"/>
      <c r="AG111" s="509"/>
      <c r="AH111" s="509"/>
      <c r="AI111" s="509"/>
      <c r="AJ111" s="509"/>
      <c r="AK111" s="509"/>
      <c r="AL111" s="509"/>
      <c r="AM111" s="529" t="s">
        <v>11312</v>
      </c>
    </row>
    <row r="112" customFormat="false" ht="13.5" hidden="false" customHeight="true" outlineLevel="0" collapsed="false">
      <c r="A112" s="542" t="s">
        <v>10889</v>
      </c>
      <c r="B112" s="508" t="n">
        <v>407</v>
      </c>
      <c r="C112" s="542" t="s">
        <v>10890</v>
      </c>
      <c r="D112" s="543" t="s">
        <v>10891</v>
      </c>
      <c r="E112" s="542" t="s">
        <v>4420</v>
      </c>
      <c r="F112" s="542" t="s">
        <v>10702</v>
      </c>
      <c r="G112" s="542" t="s">
        <v>2692</v>
      </c>
      <c r="H112" s="543" t="s">
        <v>10860</v>
      </c>
      <c r="I112" s="544" t="n">
        <v>2007</v>
      </c>
      <c r="J112" s="544" t="n">
        <v>202091</v>
      </c>
      <c r="K112" s="544" t="n">
        <v>2024</v>
      </c>
      <c r="L112" s="542"/>
      <c r="M112" s="542"/>
      <c r="N112" s="545" t="n">
        <v>5.233</v>
      </c>
      <c r="O112" s="542"/>
      <c r="P112" s="542"/>
      <c r="Q112" s="542"/>
      <c r="R112" s="542"/>
      <c r="S112" s="542"/>
      <c r="T112" s="542"/>
      <c r="U112" s="542"/>
      <c r="V112" s="542"/>
      <c r="W112" s="542"/>
      <c r="X112" s="542"/>
      <c r="Y112" s="542"/>
      <c r="Z112" s="542"/>
      <c r="AA112" s="542"/>
      <c r="AB112" s="542"/>
      <c r="AC112" s="542"/>
      <c r="AD112" s="542"/>
      <c r="AE112" s="542"/>
      <c r="AF112" s="542"/>
      <c r="AG112" s="542"/>
      <c r="AH112" s="545" t="n">
        <v>3.5731</v>
      </c>
      <c r="AI112" s="542"/>
      <c r="AJ112" s="545" t="n">
        <v>3.5731</v>
      </c>
      <c r="AK112" s="545" t="n">
        <v>1.6599</v>
      </c>
      <c r="AL112" s="542"/>
      <c r="AM112" s="543" t="s">
        <v>11313</v>
      </c>
    </row>
    <row r="113" customFormat="false" ht="13.5" hidden="false" customHeight="true" outlineLevel="0" collapsed="false">
      <c r="A113" s="509" t="s">
        <v>10967</v>
      </c>
      <c r="B113" s="508" t="n">
        <v>210</v>
      </c>
      <c r="C113" s="509" t="s">
        <v>2155</v>
      </c>
      <c r="D113" s="529" t="s">
        <v>10968</v>
      </c>
      <c r="E113" s="509" t="s">
        <v>4743</v>
      </c>
      <c r="F113" s="509" t="s">
        <v>10702</v>
      </c>
      <c r="G113" s="509" t="s">
        <v>2692</v>
      </c>
      <c r="H113" s="529" t="s">
        <v>10969</v>
      </c>
      <c r="I113" s="546"/>
      <c r="J113" s="546"/>
      <c r="K113" s="546" t="n">
        <v>2023</v>
      </c>
      <c r="L113" s="509"/>
      <c r="M113" s="509"/>
      <c r="N113" s="556" t="n">
        <v>2454080</v>
      </c>
      <c r="O113" s="556" t="n">
        <v>41179</v>
      </c>
      <c r="P113" s="556" t="n">
        <v>58394</v>
      </c>
      <c r="Q113" s="509"/>
      <c r="R113" s="509"/>
      <c r="S113" s="556" t="n">
        <v>36166</v>
      </c>
      <c r="T113" s="556" t="n">
        <v>1942</v>
      </c>
      <c r="U113" s="509"/>
      <c r="V113" s="509"/>
      <c r="W113" s="509"/>
      <c r="X113" s="556" t="n">
        <v>549</v>
      </c>
      <c r="Y113" s="556" t="n">
        <v>38657</v>
      </c>
      <c r="Z113" s="509"/>
      <c r="AA113" s="556" t="n">
        <v>15068</v>
      </c>
      <c r="AB113" s="556" t="n">
        <v>55875</v>
      </c>
      <c r="AC113" s="556" t="n">
        <v>70943</v>
      </c>
      <c r="AD113" s="556" t="n">
        <v>25682</v>
      </c>
      <c r="AE113" s="509"/>
      <c r="AF113" s="556" t="n">
        <v>25682</v>
      </c>
      <c r="AG113" s="556" t="n">
        <v>1654</v>
      </c>
      <c r="AH113" s="556" t="n">
        <v>220784</v>
      </c>
      <c r="AI113" s="556" t="n">
        <v>1347168</v>
      </c>
      <c r="AJ113" s="556" t="n">
        <v>1568172</v>
      </c>
      <c r="AK113" s="556" t="n">
        <v>885908</v>
      </c>
      <c r="AL113" s="509"/>
      <c r="AM113" s="529" t="s">
        <v>11437</v>
      </c>
    </row>
    <row r="114" customFormat="false" ht="13.5" hidden="false" customHeight="true" outlineLevel="0" collapsed="false">
      <c r="A114" s="542" t="s">
        <v>10967</v>
      </c>
      <c r="B114" s="508" t="n">
        <v>210</v>
      </c>
      <c r="C114" s="542" t="s">
        <v>2155</v>
      </c>
      <c r="D114" s="543" t="s">
        <v>10968</v>
      </c>
      <c r="E114" s="542" t="s">
        <v>4743</v>
      </c>
      <c r="F114" s="542" t="s">
        <v>10702</v>
      </c>
      <c r="G114" s="542" t="s">
        <v>2692</v>
      </c>
      <c r="H114" s="543" t="s">
        <v>10969</v>
      </c>
      <c r="I114" s="544"/>
      <c r="J114" s="544"/>
      <c r="K114" s="544" t="n">
        <v>2024</v>
      </c>
      <c r="L114" s="542"/>
      <c r="M114" s="542"/>
      <c r="N114" s="555" t="n">
        <v>2720117</v>
      </c>
      <c r="O114" s="555" t="n">
        <v>53324</v>
      </c>
      <c r="P114" s="555" t="n">
        <v>85426</v>
      </c>
      <c r="Q114" s="542"/>
      <c r="R114" s="542"/>
      <c r="S114" s="555" t="n">
        <v>10052</v>
      </c>
      <c r="T114" s="555" t="n">
        <v>12752</v>
      </c>
      <c r="U114" s="542"/>
      <c r="V114" s="542"/>
      <c r="W114" s="542"/>
      <c r="X114" s="555" t="n">
        <v>789</v>
      </c>
      <c r="Y114" s="555" t="n">
        <v>23593</v>
      </c>
      <c r="Z114" s="542"/>
      <c r="AA114" s="555" t="n">
        <v>16126</v>
      </c>
      <c r="AB114" s="555" t="n">
        <v>57314</v>
      </c>
      <c r="AC114" s="555" t="n">
        <v>73440</v>
      </c>
      <c r="AD114" s="555" t="n">
        <v>21725</v>
      </c>
      <c r="AE114" s="542"/>
      <c r="AF114" s="555" t="n">
        <v>21725</v>
      </c>
      <c r="AG114" s="555" t="n">
        <v>2601</v>
      </c>
      <c r="AH114" s="555" t="n">
        <v>265585</v>
      </c>
      <c r="AI114" s="555" t="n">
        <v>1331347</v>
      </c>
      <c r="AJ114" s="555" t="n">
        <v>1596932</v>
      </c>
      <c r="AK114" s="555" t="n">
        <v>1123184</v>
      </c>
      <c r="AL114" s="542"/>
      <c r="AM114" s="543" t="s">
        <v>11438</v>
      </c>
    </row>
    <row r="115" customFormat="false" ht="13.5" hidden="false" customHeight="true" outlineLevel="0" collapsed="false">
      <c r="A115" s="509" t="s">
        <v>10973</v>
      </c>
      <c r="B115" s="508" t="n">
        <v>407</v>
      </c>
      <c r="C115" s="509" t="s">
        <v>10974</v>
      </c>
      <c r="D115" s="529" t="s">
        <v>10975</v>
      </c>
      <c r="E115" s="509" t="s">
        <v>4743</v>
      </c>
      <c r="F115" s="509" t="s">
        <v>10702</v>
      </c>
      <c r="G115" s="509" t="s">
        <v>2692</v>
      </c>
      <c r="H115" s="529" t="s">
        <v>10819</v>
      </c>
      <c r="I115" s="546"/>
      <c r="J115" s="546"/>
      <c r="K115" s="546" t="n">
        <v>2023</v>
      </c>
      <c r="L115" s="556" t="n">
        <v>1865903</v>
      </c>
      <c r="M115" s="509"/>
      <c r="N115" s="556" t="n">
        <v>2819460</v>
      </c>
      <c r="O115" s="556" t="n">
        <v>30551</v>
      </c>
      <c r="P115" s="556" t="n">
        <v>174961</v>
      </c>
      <c r="Q115" s="509"/>
      <c r="R115" s="509"/>
      <c r="S115" s="556" t="n">
        <v>38995</v>
      </c>
      <c r="T115" s="556" t="n">
        <v>27460</v>
      </c>
      <c r="U115" s="509"/>
      <c r="V115" s="509"/>
      <c r="W115" s="509"/>
      <c r="X115" s="556" t="n">
        <v>2475</v>
      </c>
      <c r="Y115" s="556" t="n">
        <v>68930</v>
      </c>
      <c r="Z115" s="509"/>
      <c r="AA115" s="556" t="n">
        <v>18672</v>
      </c>
      <c r="AB115" s="556" t="n">
        <v>19945</v>
      </c>
      <c r="AC115" s="556" t="n">
        <v>38617</v>
      </c>
      <c r="AD115" s="509"/>
      <c r="AE115" s="509"/>
      <c r="AF115" s="556" t="n">
        <v>58172</v>
      </c>
      <c r="AG115" s="556" t="n">
        <v>18488</v>
      </c>
      <c r="AH115" s="556" t="n">
        <v>379535</v>
      </c>
      <c r="AI115" s="556" t="n">
        <v>895967</v>
      </c>
      <c r="AJ115" s="556" t="n">
        <v>1013502</v>
      </c>
      <c r="AK115" s="556" t="n">
        <v>1805958</v>
      </c>
      <c r="AL115" s="509"/>
      <c r="AM115" s="529" t="s">
        <v>11439</v>
      </c>
    </row>
    <row r="116" customFormat="false" ht="13.5" hidden="false" customHeight="true" outlineLevel="0" collapsed="false">
      <c r="A116" s="542" t="s">
        <v>10973</v>
      </c>
      <c r="B116" s="508" t="n">
        <v>407</v>
      </c>
      <c r="C116" s="542" t="s">
        <v>10974</v>
      </c>
      <c r="D116" s="543" t="s">
        <v>10975</v>
      </c>
      <c r="E116" s="542" t="s">
        <v>4743</v>
      </c>
      <c r="F116" s="542" t="s">
        <v>10702</v>
      </c>
      <c r="G116" s="542" t="s">
        <v>2692</v>
      </c>
      <c r="H116" s="543" t="s">
        <v>10819</v>
      </c>
      <c r="I116" s="544"/>
      <c r="J116" s="544"/>
      <c r="K116" s="544" t="n">
        <v>2024</v>
      </c>
      <c r="L116" s="555" t="n">
        <v>2075908</v>
      </c>
      <c r="M116" s="542"/>
      <c r="N116" s="555" t="n">
        <v>3348615</v>
      </c>
      <c r="O116" s="555" t="n">
        <v>35750</v>
      </c>
      <c r="P116" s="555" t="n">
        <v>200286</v>
      </c>
      <c r="Q116" s="542"/>
      <c r="R116" s="542"/>
      <c r="S116" s="555" t="n">
        <v>22119</v>
      </c>
      <c r="T116" s="555" t="n">
        <v>33962</v>
      </c>
      <c r="U116" s="542"/>
      <c r="V116" s="542"/>
      <c r="W116" s="542"/>
      <c r="X116" s="555" t="n">
        <v>3333</v>
      </c>
      <c r="Y116" s="555" t="n">
        <v>59414</v>
      </c>
      <c r="Z116" s="542"/>
      <c r="AA116" s="555" t="n">
        <v>26689</v>
      </c>
      <c r="AB116" s="555" t="n">
        <v>56296</v>
      </c>
      <c r="AC116" s="555" t="n">
        <v>82985</v>
      </c>
      <c r="AD116" s="542"/>
      <c r="AE116" s="542"/>
      <c r="AF116" s="555" t="n">
        <v>34195</v>
      </c>
      <c r="AG116" s="555" t="n">
        <v>4284</v>
      </c>
      <c r="AH116" s="555" t="n">
        <v>341787</v>
      </c>
      <c r="AI116" s="555" t="n">
        <v>989805</v>
      </c>
      <c r="AJ116" s="555" t="n">
        <v>1331592</v>
      </c>
      <c r="AK116" s="555" t="n">
        <v>2017023</v>
      </c>
      <c r="AL116" s="542"/>
      <c r="AM116" s="543" t="s">
        <v>11440</v>
      </c>
    </row>
    <row r="117" customFormat="false" ht="13.5" hidden="false" customHeight="true" outlineLevel="0" collapsed="false">
      <c r="A117" s="509" t="s">
        <v>10979</v>
      </c>
      <c r="B117" s="508" t="n">
        <v>407</v>
      </c>
      <c r="C117" s="509" t="s">
        <v>10980</v>
      </c>
      <c r="D117" s="529" t="s">
        <v>10981</v>
      </c>
      <c r="E117" s="509" t="s">
        <v>4368</v>
      </c>
      <c r="F117" s="509" t="s">
        <v>10702</v>
      </c>
      <c r="G117" s="509" t="s">
        <v>2692</v>
      </c>
      <c r="H117" s="529" t="s">
        <v>10819</v>
      </c>
      <c r="I117" s="546" t="n">
        <v>2022</v>
      </c>
      <c r="J117" s="546"/>
      <c r="K117" s="546" t="n">
        <v>2024</v>
      </c>
      <c r="L117" s="556" t="n">
        <v>646186</v>
      </c>
      <c r="M117" s="509"/>
      <c r="N117" s="556" t="n">
        <v>839307</v>
      </c>
      <c r="O117" s="556" t="n">
        <v>11813</v>
      </c>
      <c r="P117" s="556" t="n">
        <v>47295</v>
      </c>
      <c r="Q117" s="509"/>
      <c r="R117" s="509"/>
      <c r="S117" s="509"/>
      <c r="T117" s="556" t="n">
        <v>9156</v>
      </c>
      <c r="U117" s="509"/>
      <c r="V117" s="509"/>
      <c r="W117" s="509"/>
      <c r="X117" s="556" t="n">
        <v>3898</v>
      </c>
      <c r="Y117" s="556" t="n">
        <v>13054</v>
      </c>
      <c r="Z117" s="509"/>
      <c r="AA117" s="556" t="n">
        <v>11343</v>
      </c>
      <c r="AB117" s="556" t="n">
        <v>24799</v>
      </c>
      <c r="AC117" s="556" t="n">
        <v>36142</v>
      </c>
      <c r="AD117" s="509"/>
      <c r="AE117" s="509"/>
      <c r="AF117" s="556" t="n">
        <v>27895</v>
      </c>
      <c r="AG117" s="509"/>
      <c r="AH117" s="556" t="n">
        <v>146517</v>
      </c>
      <c r="AI117" s="556" t="n">
        <v>558285</v>
      </c>
      <c r="AJ117" s="556" t="n">
        <v>705154</v>
      </c>
      <c r="AK117" s="556" t="n">
        <v>134153</v>
      </c>
      <c r="AL117" s="509"/>
      <c r="AM117" s="529" t="s">
        <v>11441</v>
      </c>
    </row>
    <row r="118" customFormat="false" ht="13.5" hidden="false" customHeight="true" outlineLevel="0" collapsed="false">
      <c r="A118" s="542" t="s">
        <v>10984</v>
      </c>
      <c r="B118" s="508" t="n">
        <v>407</v>
      </c>
      <c r="C118" s="542" t="s">
        <v>10985</v>
      </c>
      <c r="D118" s="543" t="s">
        <v>10986</v>
      </c>
      <c r="E118" s="542" t="s">
        <v>4368</v>
      </c>
      <c r="F118" s="542" t="s">
        <v>10702</v>
      </c>
      <c r="G118" s="542" t="s">
        <v>2692</v>
      </c>
      <c r="H118" s="543" t="s">
        <v>10819</v>
      </c>
      <c r="I118" s="544" t="n">
        <v>2022</v>
      </c>
      <c r="J118" s="544"/>
      <c r="K118" s="544" t="n">
        <v>2024</v>
      </c>
      <c r="L118" s="555" t="n">
        <v>898845</v>
      </c>
      <c r="M118" s="542"/>
      <c r="N118" s="555" t="n">
        <v>1373599</v>
      </c>
      <c r="O118" s="555" t="n">
        <v>21888</v>
      </c>
      <c r="P118" s="555" t="n">
        <v>72220</v>
      </c>
      <c r="Q118" s="542"/>
      <c r="R118" s="542"/>
      <c r="S118" s="542"/>
      <c r="T118" s="555" t="n">
        <v>8438</v>
      </c>
      <c r="U118" s="542"/>
      <c r="V118" s="542"/>
      <c r="W118" s="542"/>
      <c r="X118" s="555" t="n">
        <v>5773</v>
      </c>
      <c r="Y118" s="555" t="n">
        <v>14211</v>
      </c>
      <c r="Z118" s="542"/>
      <c r="AA118" s="555" t="n">
        <v>21287</v>
      </c>
      <c r="AB118" s="555" t="n">
        <v>29625</v>
      </c>
      <c r="AC118" s="555" t="n">
        <v>50912</v>
      </c>
      <c r="AD118" s="542"/>
      <c r="AE118" s="542"/>
      <c r="AF118" s="555" t="n">
        <v>51235</v>
      </c>
      <c r="AG118" s="542"/>
      <c r="AH118" s="555" t="n">
        <v>209004</v>
      </c>
      <c r="AI118" s="555" t="n">
        <v>762465</v>
      </c>
      <c r="AJ118" s="555" t="n">
        <v>971469</v>
      </c>
      <c r="AK118" s="555" t="n">
        <v>402131</v>
      </c>
      <c r="AL118" s="542"/>
      <c r="AM118" s="543" t="s">
        <v>11441</v>
      </c>
    </row>
    <row r="119" customFormat="false" ht="13.5" hidden="false" customHeight="true" outlineLevel="0" collapsed="false">
      <c r="A119" s="509" t="s">
        <v>10987</v>
      </c>
      <c r="B119" s="508" t="n">
        <v>407</v>
      </c>
      <c r="C119" s="509" t="s">
        <v>10988</v>
      </c>
      <c r="D119" s="529" t="s">
        <v>10989</v>
      </c>
      <c r="E119" s="509" t="s">
        <v>4743</v>
      </c>
      <c r="F119" s="509" t="s">
        <v>10702</v>
      </c>
      <c r="G119" s="509" t="s">
        <v>2692</v>
      </c>
      <c r="H119" s="529" t="s">
        <v>10990</v>
      </c>
      <c r="I119" s="546" t="n">
        <v>1995</v>
      </c>
      <c r="J119" s="546" t="n">
        <v>32600</v>
      </c>
      <c r="K119" s="546" t="n">
        <v>2023</v>
      </c>
      <c r="L119" s="547" t="n">
        <v>9.1033</v>
      </c>
      <c r="M119" s="509"/>
      <c r="N119" s="547" t="n">
        <v>13.7731</v>
      </c>
      <c r="O119" s="547" t="n">
        <v>0.1782</v>
      </c>
      <c r="P119" s="547" t="n">
        <v>0.5171</v>
      </c>
      <c r="Q119" s="547" t="n">
        <v>0.0369</v>
      </c>
      <c r="R119" s="509"/>
      <c r="S119" s="547" t="n">
        <v>0.3072</v>
      </c>
      <c r="T119" s="547" t="n">
        <v>0.0153</v>
      </c>
      <c r="U119" s="509"/>
      <c r="V119" s="509"/>
      <c r="W119" s="509"/>
      <c r="X119" s="547" t="n">
        <v>0.238</v>
      </c>
      <c r="Y119" s="547" t="n">
        <v>0.5975</v>
      </c>
      <c r="Z119" s="547" t="n">
        <v>0.0417</v>
      </c>
      <c r="AA119" s="509"/>
      <c r="AB119" s="509"/>
      <c r="AC119" s="547" t="n">
        <v>0.0417</v>
      </c>
      <c r="AD119" s="547" t="n">
        <v>0.1872</v>
      </c>
      <c r="AE119" s="509"/>
      <c r="AF119" s="547" t="n">
        <v>0.1872</v>
      </c>
      <c r="AG119" s="547" t="n">
        <v>0.2377</v>
      </c>
      <c r="AH119" s="547" t="n">
        <v>1.7506</v>
      </c>
      <c r="AI119" s="547" t="n">
        <v>3.1503</v>
      </c>
      <c r="AJ119" s="547" t="n">
        <v>4.8938</v>
      </c>
      <c r="AK119" s="547" t="n">
        <v>8.8793</v>
      </c>
      <c r="AL119" s="509"/>
      <c r="AM119" s="529" t="s">
        <v>11319</v>
      </c>
    </row>
    <row r="120" customFormat="false" ht="13.5" hidden="false" customHeight="true" outlineLevel="0" collapsed="false">
      <c r="A120" s="542" t="s">
        <v>10987</v>
      </c>
      <c r="B120" s="508" t="n">
        <v>407</v>
      </c>
      <c r="C120" s="542" t="s">
        <v>10988</v>
      </c>
      <c r="D120" s="543" t="s">
        <v>10989</v>
      </c>
      <c r="E120" s="542" t="s">
        <v>4743</v>
      </c>
      <c r="F120" s="542" t="s">
        <v>10702</v>
      </c>
      <c r="G120" s="542" t="s">
        <v>2692</v>
      </c>
      <c r="H120" s="543" t="s">
        <v>10990</v>
      </c>
      <c r="I120" s="544" t="n">
        <v>1995</v>
      </c>
      <c r="J120" s="544" t="n">
        <v>32600</v>
      </c>
      <c r="K120" s="544" t="n">
        <v>2024</v>
      </c>
      <c r="L120" s="545" t="n">
        <v>9.5827</v>
      </c>
      <c r="M120" s="542"/>
      <c r="N120" s="545" t="n">
        <v>15.2757</v>
      </c>
      <c r="O120" s="545" t="n">
        <v>0.1809</v>
      </c>
      <c r="P120" s="545" t="n">
        <v>0.5698</v>
      </c>
      <c r="Q120" s="545" t="n">
        <v>0.0384</v>
      </c>
      <c r="R120" s="542"/>
      <c r="S120" s="545" t="n">
        <v>0.2311</v>
      </c>
      <c r="T120" s="545" t="n">
        <v>0.0375</v>
      </c>
      <c r="U120" s="542"/>
      <c r="V120" s="542"/>
      <c r="W120" s="542"/>
      <c r="X120" s="545" t="n">
        <v>0.223</v>
      </c>
      <c r="Y120" s="545" t="n">
        <v>0.53</v>
      </c>
      <c r="Z120" s="545" t="n">
        <v>0.0422</v>
      </c>
      <c r="AA120" s="542"/>
      <c r="AB120" s="542"/>
      <c r="AC120" s="545" t="n">
        <v>0.0422</v>
      </c>
      <c r="AD120" s="545" t="n">
        <v>0.2095</v>
      </c>
      <c r="AE120" s="542"/>
      <c r="AF120" s="545" t="n">
        <v>0.2095</v>
      </c>
      <c r="AG120" s="545" t="n">
        <v>0.7716</v>
      </c>
      <c r="AH120" s="545" t="n">
        <v>2.124</v>
      </c>
      <c r="AI120" s="545" t="n">
        <v>3.247</v>
      </c>
      <c r="AJ120" s="545" t="n">
        <v>5.279</v>
      </c>
      <c r="AK120" s="545" t="n">
        <v>9.9967</v>
      </c>
      <c r="AL120" s="542"/>
      <c r="AM120" s="543" t="s">
        <v>11320</v>
      </c>
    </row>
    <row r="121" customFormat="false" ht="13.5" hidden="false" customHeight="true" outlineLevel="0" collapsed="false">
      <c r="A121" s="509" t="s">
        <v>10992</v>
      </c>
      <c r="B121" s="508" t="n">
        <v>407</v>
      </c>
      <c r="C121" s="509" t="s">
        <v>10993</v>
      </c>
      <c r="D121" s="529" t="s">
        <v>11321</v>
      </c>
      <c r="E121" s="509" t="s">
        <v>4743</v>
      </c>
      <c r="F121" s="509" t="s">
        <v>10702</v>
      </c>
      <c r="G121" s="509" t="s">
        <v>2692</v>
      </c>
      <c r="H121" s="529" t="s">
        <v>10990</v>
      </c>
      <c r="I121" s="546"/>
      <c r="J121" s="546"/>
      <c r="K121" s="546" t="n">
        <v>2023</v>
      </c>
      <c r="L121" s="556" t="n">
        <v>340825</v>
      </c>
      <c r="M121" s="509"/>
      <c r="N121" s="556" t="n">
        <v>817280</v>
      </c>
      <c r="O121" s="556" t="n">
        <v>396</v>
      </c>
      <c r="P121" s="556" t="n">
        <v>24226</v>
      </c>
      <c r="Q121" s="556" t="n">
        <v>2790</v>
      </c>
      <c r="R121" s="509"/>
      <c r="S121" s="556" t="n">
        <v>17586</v>
      </c>
      <c r="T121" s="509"/>
      <c r="U121" s="509"/>
      <c r="V121" s="509"/>
      <c r="W121" s="509"/>
      <c r="X121" s="556" t="n">
        <v>1690</v>
      </c>
      <c r="Y121" s="556" t="n">
        <v>22066</v>
      </c>
      <c r="Z121" s="556" t="n">
        <v>1690</v>
      </c>
      <c r="AA121" s="556" t="n">
        <v>10029</v>
      </c>
      <c r="AB121" s="556" t="n">
        <v>13406</v>
      </c>
      <c r="AC121" s="556" t="n">
        <v>15096</v>
      </c>
      <c r="AD121" s="556" t="n">
        <v>8414</v>
      </c>
      <c r="AE121" s="509"/>
      <c r="AF121" s="556" t="n">
        <v>8414</v>
      </c>
      <c r="AG121" s="556" t="n">
        <v>7749</v>
      </c>
      <c r="AH121" s="556" t="n">
        <v>82990</v>
      </c>
      <c r="AI121" s="556" t="n">
        <v>262422</v>
      </c>
      <c r="AJ121" s="556" t="n">
        <v>345412</v>
      </c>
      <c r="AK121" s="556" t="n">
        <v>471868</v>
      </c>
      <c r="AL121" s="509"/>
      <c r="AM121" s="529" t="s">
        <v>11442</v>
      </c>
    </row>
    <row r="122" customFormat="false" ht="13.5" hidden="false" customHeight="true" outlineLevel="0" collapsed="false">
      <c r="A122" s="542" t="s">
        <v>10992</v>
      </c>
      <c r="B122" s="508" t="n">
        <v>407</v>
      </c>
      <c r="C122" s="542" t="s">
        <v>10993</v>
      </c>
      <c r="D122" s="543" t="s">
        <v>11321</v>
      </c>
      <c r="E122" s="542" t="s">
        <v>4743</v>
      </c>
      <c r="F122" s="542" t="s">
        <v>10702</v>
      </c>
      <c r="G122" s="542" t="s">
        <v>2692</v>
      </c>
      <c r="H122" s="543" t="s">
        <v>10990</v>
      </c>
      <c r="I122" s="544"/>
      <c r="J122" s="544"/>
      <c r="K122" s="544" t="n">
        <v>2024</v>
      </c>
      <c r="L122" s="555" t="n">
        <v>343350</v>
      </c>
      <c r="M122" s="542"/>
      <c r="N122" s="555" t="n">
        <v>632272</v>
      </c>
      <c r="O122" s="555" t="n">
        <v>9737</v>
      </c>
      <c r="P122" s="542"/>
      <c r="Q122" s="542"/>
      <c r="R122" s="542"/>
      <c r="S122" s="542"/>
      <c r="T122" s="542"/>
      <c r="U122" s="542"/>
      <c r="V122" s="542"/>
      <c r="W122" s="542"/>
      <c r="X122" s="542"/>
      <c r="Y122" s="542"/>
      <c r="Z122" s="542"/>
      <c r="AA122" s="542"/>
      <c r="AB122" s="542"/>
      <c r="AC122" s="542"/>
      <c r="AD122" s="542"/>
      <c r="AE122" s="542"/>
      <c r="AF122" s="542"/>
      <c r="AG122" s="542"/>
      <c r="AH122" s="555" t="n">
        <v>119649</v>
      </c>
      <c r="AI122" s="555" t="n">
        <v>159461</v>
      </c>
      <c r="AJ122" s="555" t="n">
        <v>279110</v>
      </c>
      <c r="AK122" s="555" t="n">
        <v>353163</v>
      </c>
      <c r="AL122" s="542"/>
      <c r="AM122" s="543" t="s">
        <v>11443</v>
      </c>
    </row>
    <row r="123" customFormat="false" ht="13.5" hidden="false" customHeight="true" outlineLevel="0" collapsed="false">
      <c r="A123" s="509" t="s">
        <v>10996</v>
      </c>
      <c r="B123" s="508" t="n">
        <v>407</v>
      </c>
      <c r="C123" s="509" t="s">
        <v>10997</v>
      </c>
      <c r="D123" s="529" t="s">
        <v>10998</v>
      </c>
      <c r="E123" s="509" t="s">
        <v>4743</v>
      </c>
      <c r="F123" s="509" t="s">
        <v>10702</v>
      </c>
      <c r="G123" s="509" t="s">
        <v>2692</v>
      </c>
      <c r="H123" s="529" t="s">
        <v>10990</v>
      </c>
      <c r="I123" s="546"/>
      <c r="J123" s="546"/>
      <c r="K123" s="546" t="n">
        <v>2023</v>
      </c>
      <c r="L123" s="556" t="n">
        <v>246837</v>
      </c>
      <c r="M123" s="509"/>
      <c r="N123" s="556" t="n">
        <v>340193</v>
      </c>
      <c r="O123" s="556" t="n">
        <v>7355</v>
      </c>
      <c r="P123" s="556" t="n">
        <v>12734</v>
      </c>
      <c r="Q123" s="556" t="n">
        <v>1711</v>
      </c>
      <c r="R123" s="509"/>
      <c r="S123" s="556" t="n">
        <v>24740</v>
      </c>
      <c r="T123" s="556" t="n">
        <v>6577</v>
      </c>
      <c r="U123" s="509"/>
      <c r="V123" s="509"/>
      <c r="W123" s="509"/>
      <c r="X123" s="556" t="n">
        <v>10612</v>
      </c>
      <c r="Y123" s="556" t="n">
        <v>43640</v>
      </c>
      <c r="Z123" s="556" t="n">
        <v>2451</v>
      </c>
      <c r="AA123" s="556" t="n">
        <v>2474</v>
      </c>
      <c r="AB123" s="556" t="n">
        <v>9457</v>
      </c>
      <c r="AC123" s="556" t="n">
        <v>14382</v>
      </c>
      <c r="AD123" s="556" t="n">
        <v>4092</v>
      </c>
      <c r="AE123" s="509"/>
      <c r="AF123" s="556" t="n">
        <v>4092</v>
      </c>
      <c r="AG123" s="509"/>
      <c r="AH123" s="556" t="n">
        <v>68233</v>
      </c>
      <c r="AI123" s="556" t="n">
        <v>92861</v>
      </c>
      <c r="AJ123" s="556" t="n">
        <v>161094</v>
      </c>
      <c r="AK123" s="556" t="n">
        <v>179099</v>
      </c>
      <c r="AL123" s="509"/>
      <c r="AM123" s="529" t="s">
        <v>11444</v>
      </c>
    </row>
    <row r="124" customFormat="false" ht="13.5" hidden="false" customHeight="true" outlineLevel="0" collapsed="false">
      <c r="A124" s="542" t="s">
        <v>10996</v>
      </c>
      <c r="B124" s="508" t="n">
        <v>407</v>
      </c>
      <c r="C124" s="542" t="s">
        <v>10997</v>
      </c>
      <c r="D124" s="543" t="s">
        <v>10998</v>
      </c>
      <c r="E124" s="542" t="s">
        <v>4743</v>
      </c>
      <c r="F124" s="542" t="s">
        <v>10702</v>
      </c>
      <c r="G124" s="542" t="s">
        <v>2692</v>
      </c>
      <c r="H124" s="543" t="s">
        <v>10990</v>
      </c>
      <c r="I124" s="544"/>
      <c r="J124" s="544"/>
      <c r="K124" s="544" t="n">
        <v>2024</v>
      </c>
      <c r="L124" s="555" t="n">
        <v>239823</v>
      </c>
      <c r="M124" s="542"/>
      <c r="N124" s="555" t="n">
        <v>375845</v>
      </c>
      <c r="O124" s="555" t="n">
        <v>7287</v>
      </c>
      <c r="P124" s="555" t="n">
        <v>18575</v>
      </c>
      <c r="Q124" s="555" t="n">
        <v>816</v>
      </c>
      <c r="R124" s="542"/>
      <c r="S124" s="555" t="n">
        <v>25607</v>
      </c>
      <c r="T124" s="555" t="n">
        <v>7834</v>
      </c>
      <c r="U124" s="542"/>
      <c r="V124" s="542"/>
      <c r="W124" s="542"/>
      <c r="X124" s="555" t="n">
        <v>8752</v>
      </c>
      <c r="Y124" s="555" t="n">
        <v>42009</v>
      </c>
      <c r="Z124" s="555" t="n">
        <v>2982</v>
      </c>
      <c r="AA124" s="555" t="n">
        <v>2720</v>
      </c>
      <c r="AB124" s="555" t="n">
        <v>10994</v>
      </c>
      <c r="AC124" s="555" t="n">
        <v>16696</v>
      </c>
      <c r="AD124" s="555" t="n">
        <v>4502</v>
      </c>
      <c r="AE124" s="542"/>
      <c r="AF124" s="555" t="n">
        <v>4502</v>
      </c>
      <c r="AG124" s="542"/>
      <c r="AH124" s="555" t="n">
        <v>69570</v>
      </c>
      <c r="AI124" s="555" t="n">
        <v>102524</v>
      </c>
      <c r="AJ124" s="555" t="n">
        <v>172094</v>
      </c>
      <c r="AK124" s="555" t="n">
        <v>203752</v>
      </c>
      <c r="AL124" s="542"/>
      <c r="AM124" s="543" t="s">
        <v>11444</v>
      </c>
    </row>
    <row r="125" customFormat="false" ht="13.5" hidden="false" customHeight="true" outlineLevel="0" collapsed="false">
      <c r="A125" s="509" t="s">
        <v>11000</v>
      </c>
      <c r="B125" s="508" t="n">
        <v>584</v>
      </c>
      <c r="C125" s="509" t="s">
        <v>11001</v>
      </c>
      <c r="D125" s="529" t="s">
        <v>11325</v>
      </c>
      <c r="E125" s="509" t="s">
        <v>4743</v>
      </c>
      <c r="F125" s="509" t="s">
        <v>10702</v>
      </c>
      <c r="G125" s="509" t="s">
        <v>2692</v>
      </c>
      <c r="H125" s="529" t="s">
        <v>10802</v>
      </c>
      <c r="I125" s="546"/>
      <c r="J125" s="546" t="n">
        <v>278538</v>
      </c>
      <c r="K125" s="546" t="n">
        <v>2024</v>
      </c>
      <c r="L125" s="547" t="n">
        <v>4.4608</v>
      </c>
      <c r="M125" s="509"/>
      <c r="N125" s="547" t="n">
        <v>10.6014</v>
      </c>
      <c r="O125" s="509"/>
      <c r="P125" s="509"/>
      <c r="Q125" s="509"/>
      <c r="R125" s="509"/>
      <c r="S125" s="509"/>
      <c r="T125" s="509"/>
      <c r="U125" s="509"/>
      <c r="V125" s="509"/>
      <c r="W125" s="509"/>
      <c r="X125" s="509"/>
      <c r="Y125" s="509"/>
      <c r="Z125" s="509"/>
      <c r="AA125" s="509"/>
      <c r="AB125" s="509"/>
      <c r="AC125" s="509"/>
      <c r="AD125" s="509"/>
      <c r="AE125" s="509"/>
      <c r="AF125" s="547" t="n">
        <v>0.7035</v>
      </c>
      <c r="AG125" s="509"/>
      <c r="AH125" s="509"/>
      <c r="AI125" s="509"/>
      <c r="AJ125" s="509"/>
      <c r="AK125" s="509"/>
      <c r="AL125" s="509"/>
      <c r="AM125" s="529" t="s">
        <v>11326</v>
      </c>
    </row>
    <row r="126" customFormat="false" ht="13.5" hidden="false" customHeight="true" outlineLevel="0" collapsed="false">
      <c r="A126" s="542" t="s">
        <v>11006</v>
      </c>
      <c r="B126" s="508" t="n">
        <v>407</v>
      </c>
      <c r="C126" s="542" t="s">
        <v>11007</v>
      </c>
      <c r="D126" s="543" t="s">
        <v>11008</v>
      </c>
      <c r="E126" s="542" t="s">
        <v>4743</v>
      </c>
      <c r="F126" s="542" t="s">
        <v>10702</v>
      </c>
      <c r="G126" s="542" t="s">
        <v>2692</v>
      </c>
      <c r="H126" s="543" t="s">
        <v>10842</v>
      </c>
      <c r="I126" s="544" t="n">
        <v>2019</v>
      </c>
      <c r="J126" s="544" t="n">
        <v>36212</v>
      </c>
      <c r="K126" s="544" t="n">
        <v>2023</v>
      </c>
      <c r="L126" s="545" t="n">
        <v>7.519</v>
      </c>
      <c r="M126" s="542"/>
      <c r="N126" s="545" t="n">
        <v>7.519</v>
      </c>
      <c r="O126" s="542"/>
      <c r="P126" s="542"/>
      <c r="Q126" s="542"/>
      <c r="R126" s="542"/>
      <c r="S126" s="542"/>
      <c r="T126" s="542"/>
      <c r="U126" s="542"/>
      <c r="V126" s="542"/>
      <c r="W126" s="542"/>
      <c r="X126" s="542"/>
      <c r="Y126" s="542"/>
      <c r="Z126" s="542"/>
      <c r="AA126" s="542"/>
      <c r="AB126" s="542"/>
      <c r="AC126" s="542"/>
      <c r="AD126" s="542"/>
      <c r="AE126" s="542"/>
      <c r="AF126" s="542"/>
      <c r="AG126" s="542"/>
      <c r="AH126" s="542"/>
      <c r="AI126" s="542"/>
      <c r="AJ126" s="542"/>
      <c r="AK126" s="542"/>
      <c r="AL126" s="542"/>
      <c r="AM126" s="543" t="s">
        <v>11327</v>
      </c>
    </row>
    <row r="127" customFormat="false" ht="13.5" hidden="false" customHeight="true" outlineLevel="0" collapsed="false">
      <c r="A127" s="509" t="s">
        <v>11006</v>
      </c>
      <c r="B127" s="508" t="n">
        <v>407</v>
      </c>
      <c r="C127" s="509" t="s">
        <v>11007</v>
      </c>
      <c r="D127" s="529" t="s">
        <v>11008</v>
      </c>
      <c r="E127" s="509" t="s">
        <v>4743</v>
      </c>
      <c r="F127" s="509" t="s">
        <v>10702</v>
      </c>
      <c r="G127" s="509" t="s">
        <v>2692</v>
      </c>
      <c r="H127" s="529" t="s">
        <v>10842</v>
      </c>
      <c r="I127" s="546" t="n">
        <v>2019</v>
      </c>
      <c r="J127" s="546" t="n">
        <v>36212</v>
      </c>
      <c r="K127" s="546" t="n">
        <v>2024</v>
      </c>
      <c r="L127" s="547" t="n">
        <v>7.7446</v>
      </c>
      <c r="M127" s="509"/>
      <c r="N127" s="547" t="n">
        <v>7.7446</v>
      </c>
      <c r="O127" s="509"/>
      <c r="P127" s="509"/>
      <c r="Q127" s="509"/>
      <c r="R127" s="509"/>
      <c r="S127" s="509"/>
      <c r="T127" s="509"/>
      <c r="U127" s="509"/>
      <c r="V127" s="509"/>
      <c r="W127" s="509"/>
      <c r="X127" s="509"/>
      <c r="Y127" s="509"/>
      <c r="Z127" s="509"/>
      <c r="AA127" s="509"/>
      <c r="AB127" s="509"/>
      <c r="AC127" s="509"/>
      <c r="AD127" s="509"/>
      <c r="AE127" s="509"/>
      <c r="AF127" s="509"/>
      <c r="AG127" s="509"/>
      <c r="AH127" s="509"/>
      <c r="AI127" s="509"/>
      <c r="AJ127" s="509"/>
      <c r="AK127" s="509"/>
      <c r="AL127" s="509"/>
      <c r="AM127" s="529" t="s">
        <v>11328</v>
      </c>
    </row>
    <row r="128" customFormat="false" ht="13.5" hidden="false" customHeight="true" outlineLevel="0" collapsed="false">
      <c r="A128" s="550" t="s">
        <v>11012</v>
      </c>
      <c r="B128" s="508" t="n">
        <v>344</v>
      </c>
      <c r="C128" s="550" t="s">
        <v>3361</v>
      </c>
      <c r="D128" s="551" t="s">
        <v>11013</v>
      </c>
      <c r="E128" s="550" t="s">
        <v>4368</v>
      </c>
      <c r="F128" s="550" t="s">
        <v>10702</v>
      </c>
      <c r="G128" s="550" t="s">
        <v>10719</v>
      </c>
      <c r="H128" s="551" t="s">
        <v>11014</v>
      </c>
      <c r="I128" s="552"/>
      <c r="J128" s="552" t="n">
        <v>19764</v>
      </c>
      <c r="K128" s="552" t="n">
        <v>2023</v>
      </c>
      <c r="L128" s="550"/>
      <c r="M128" s="550"/>
      <c r="N128" s="550"/>
      <c r="O128" s="554" t="n">
        <v>0.1585</v>
      </c>
      <c r="P128" s="554" t="n">
        <v>0.4648</v>
      </c>
      <c r="Q128" s="550"/>
      <c r="R128" s="550"/>
      <c r="S128" s="550"/>
      <c r="T128" s="550"/>
      <c r="U128" s="550"/>
      <c r="V128" s="550"/>
      <c r="W128" s="550"/>
      <c r="X128" s="554" t="n">
        <v>2.4351</v>
      </c>
      <c r="Y128" s="554" t="n">
        <v>2.4351</v>
      </c>
      <c r="Z128" s="550"/>
      <c r="AA128" s="554" t="n">
        <v>0.4976</v>
      </c>
      <c r="AB128" s="550"/>
      <c r="AC128" s="554" t="n">
        <v>0.4976</v>
      </c>
      <c r="AD128" s="550"/>
      <c r="AE128" s="550"/>
      <c r="AF128" s="554" t="n">
        <v>1.8998</v>
      </c>
      <c r="AG128" s="554" t="n">
        <v>0.4171</v>
      </c>
      <c r="AH128" s="554" t="n">
        <v>6.7472</v>
      </c>
      <c r="AI128" s="554" t="n">
        <v>2.0601</v>
      </c>
      <c r="AJ128" s="554" t="n">
        <v>8.8073</v>
      </c>
      <c r="AK128" s="554" t="n">
        <v>2.7531</v>
      </c>
      <c r="AL128" s="550"/>
      <c r="AM128" s="551" t="s">
        <v>11329</v>
      </c>
    </row>
    <row r="129" customFormat="false" ht="13.5" hidden="false" customHeight="true" outlineLevel="0" collapsed="false">
      <c r="A129" s="550" t="s">
        <v>11012</v>
      </c>
      <c r="B129" s="508" t="n">
        <v>344</v>
      </c>
      <c r="C129" s="550" t="s">
        <v>3361</v>
      </c>
      <c r="D129" s="551" t="s">
        <v>11013</v>
      </c>
      <c r="E129" s="550" t="s">
        <v>4368</v>
      </c>
      <c r="F129" s="550" t="s">
        <v>10702</v>
      </c>
      <c r="G129" s="550" t="s">
        <v>10719</v>
      </c>
      <c r="H129" s="551" t="s">
        <v>11014</v>
      </c>
      <c r="I129" s="552"/>
      <c r="J129" s="552" t="n">
        <v>19764</v>
      </c>
      <c r="K129" s="552" t="n">
        <v>2024</v>
      </c>
      <c r="L129" s="550"/>
      <c r="M129" s="550"/>
      <c r="N129" s="550"/>
      <c r="O129" s="554" t="n">
        <v>0.5652</v>
      </c>
      <c r="P129" s="554" t="n">
        <v>0.4554</v>
      </c>
      <c r="Q129" s="550"/>
      <c r="R129" s="550"/>
      <c r="S129" s="550"/>
      <c r="T129" s="550"/>
      <c r="U129" s="550"/>
      <c r="V129" s="550"/>
      <c r="W129" s="550"/>
      <c r="X129" s="554" t="n">
        <v>2.4623</v>
      </c>
      <c r="Y129" s="554" t="n">
        <v>2.4623</v>
      </c>
      <c r="Z129" s="550"/>
      <c r="AA129" s="554" t="n">
        <v>0.5888</v>
      </c>
      <c r="AB129" s="550"/>
      <c r="AC129" s="554" t="n">
        <v>0.5888</v>
      </c>
      <c r="AD129" s="550"/>
      <c r="AE129" s="550"/>
      <c r="AF129" s="554" t="n">
        <v>2.4159</v>
      </c>
      <c r="AG129" s="554" t="n">
        <v>0.3126</v>
      </c>
      <c r="AH129" s="554" t="n">
        <v>6.8005</v>
      </c>
      <c r="AI129" s="554" t="n">
        <v>2.0271</v>
      </c>
      <c r="AJ129" s="554" t="n">
        <v>8.8276</v>
      </c>
      <c r="AK129" s="554" t="n">
        <v>2.7328</v>
      </c>
      <c r="AL129" s="550"/>
      <c r="AM129" s="551" t="s">
        <v>11330</v>
      </c>
    </row>
    <row r="130" customFormat="false" ht="13.5" hidden="false" customHeight="true" outlineLevel="0" collapsed="false">
      <c r="A130" s="550" t="s">
        <v>11017</v>
      </c>
      <c r="B130" s="508" t="n">
        <v>344</v>
      </c>
      <c r="C130" s="550" t="s">
        <v>4366</v>
      </c>
      <c r="D130" s="551" t="s">
        <v>11018</v>
      </c>
      <c r="E130" s="550" t="s">
        <v>4368</v>
      </c>
      <c r="F130" s="550" t="s">
        <v>10702</v>
      </c>
      <c r="G130" s="550" t="s">
        <v>10719</v>
      </c>
      <c r="H130" s="551" t="s">
        <v>11014</v>
      </c>
      <c r="I130" s="552"/>
      <c r="J130" s="552"/>
      <c r="K130" s="552" t="n">
        <v>2023</v>
      </c>
      <c r="L130" s="553" t="n">
        <v>2011958</v>
      </c>
      <c r="M130" s="550"/>
      <c r="N130" s="553" t="n">
        <v>2239234</v>
      </c>
      <c r="O130" s="550"/>
      <c r="P130" s="550"/>
      <c r="Q130" s="550"/>
      <c r="R130" s="550"/>
      <c r="S130" s="550"/>
      <c r="T130" s="550"/>
      <c r="U130" s="550"/>
      <c r="V130" s="550"/>
      <c r="W130" s="550"/>
      <c r="X130" s="553" t="n">
        <v>144543</v>
      </c>
      <c r="Y130" s="553" t="n">
        <v>144543</v>
      </c>
      <c r="Z130" s="550"/>
      <c r="AA130" s="550"/>
      <c r="AB130" s="550"/>
      <c r="AC130" s="550"/>
      <c r="AD130" s="550"/>
      <c r="AE130" s="550"/>
      <c r="AF130" s="553" t="n">
        <v>240350</v>
      </c>
      <c r="AG130" s="553" t="n">
        <v>279549</v>
      </c>
      <c r="AH130" s="553" t="n">
        <v>719555</v>
      </c>
      <c r="AI130" s="553" t="n">
        <v>497852</v>
      </c>
      <c r="AJ130" s="553" t="n">
        <v>1217407</v>
      </c>
      <c r="AK130" s="553" t="n">
        <v>1021827</v>
      </c>
      <c r="AL130" s="550"/>
      <c r="AM130" s="551" t="s">
        <v>11445</v>
      </c>
    </row>
    <row r="131" customFormat="false" ht="13.5" hidden="false" customHeight="true" outlineLevel="0" collapsed="false">
      <c r="A131" s="550" t="s">
        <v>11021</v>
      </c>
      <c r="B131" s="508" t="n">
        <v>344</v>
      </c>
      <c r="C131" s="550" t="s">
        <v>11022</v>
      </c>
      <c r="D131" s="551" t="s">
        <v>11023</v>
      </c>
      <c r="E131" s="550" t="s">
        <v>1557</v>
      </c>
      <c r="F131" s="550" t="s">
        <v>10702</v>
      </c>
      <c r="G131" s="550" t="s">
        <v>10719</v>
      </c>
      <c r="H131" s="551" t="s">
        <v>11014</v>
      </c>
      <c r="I131" s="552"/>
      <c r="J131" s="552" t="n">
        <v>114843</v>
      </c>
      <c r="K131" s="552" t="n">
        <v>2023</v>
      </c>
      <c r="L131" s="550"/>
      <c r="M131" s="550"/>
      <c r="N131" s="554" t="n">
        <v>5.3899</v>
      </c>
      <c r="O131" s="550"/>
      <c r="P131" s="550"/>
      <c r="Q131" s="550"/>
      <c r="R131" s="550"/>
      <c r="S131" s="550"/>
      <c r="T131" s="550"/>
      <c r="U131" s="550"/>
      <c r="V131" s="550"/>
      <c r="W131" s="550"/>
      <c r="X131" s="550"/>
      <c r="Y131" s="550"/>
      <c r="Z131" s="550"/>
      <c r="AA131" s="554" t="n">
        <v>0.0873</v>
      </c>
      <c r="AB131" s="550"/>
      <c r="AC131" s="550"/>
      <c r="AD131" s="550"/>
      <c r="AE131" s="550"/>
      <c r="AF131" s="550"/>
      <c r="AG131" s="550"/>
      <c r="AH131" s="554" t="n">
        <v>2.6434</v>
      </c>
      <c r="AI131" s="554" t="n">
        <v>2.2851</v>
      </c>
      <c r="AJ131" s="554" t="n">
        <v>4.9285</v>
      </c>
      <c r="AK131" s="554" t="n">
        <v>0.4627</v>
      </c>
      <c r="AL131" s="550"/>
      <c r="AM131" s="551" t="s">
        <v>11332</v>
      </c>
    </row>
    <row r="132" customFormat="false" ht="13.5" hidden="false" customHeight="true" outlineLevel="0" collapsed="false">
      <c r="A132" s="550" t="s">
        <v>11021</v>
      </c>
      <c r="B132" s="508" t="n">
        <v>344</v>
      </c>
      <c r="C132" s="550" t="s">
        <v>11022</v>
      </c>
      <c r="D132" s="551" t="s">
        <v>11023</v>
      </c>
      <c r="E132" s="550" t="s">
        <v>1557</v>
      </c>
      <c r="F132" s="550" t="s">
        <v>10702</v>
      </c>
      <c r="G132" s="550" t="s">
        <v>10719</v>
      </c>
      <c r="H132" s="551" t="s">
        <v>11014</v>
      </c>
      <c r="I132" s="552"/>
      <c r="J132" s="552" t="n">
        <v>114843</v>
      </c>
      <c r="K132" s="552" t="n">
        <v>2024</v>
      </c>
      <c r="L132" s="550"/>
      <c r="M132" s="550"/>
      <c r="N132" s="554" t="n">
        <v>11.7878</v>
      </c>
      <c r="O132" s="550"/>
      <c r="P132" s="550"/>
      <c r="Q132" s="550"/>
      <c r="R132" s="550"/>
      <c r="S132" s="550"/>
      <c r="T132" s="550"/>
      <c r="U132" s="550"/>
      <c r="V132" s="550"/>
      <c r="W132" s="550"/>
      <c r="X132" s="550"/>
      <c r="Y132" s="550"/>
      <c r="Z132" s="550"/>
      <c r="AA132" s="550"/>
      <c r="AB132" s="550"/>
      <c r="AC132" s="550"/>
      <c r="AD132" s="550"/>
      <c r="AE132" s="550"/>
      <c r="AF132" s="550"/>
      <c r="AG132" s="550"/>
      <c r="AH132" s="554" t="n">
        <v>8.9252</v>
      </c>
      <c r="AI132" s="550"/>
      <c r="AJ132" s="554" t="n">
        <v>11.2066</v>
      </c>
      <c r="AK132" s="554" t="n">
        <v>0.5806</v>
      </c>
      <c r="AL132" s="550"/>
      <c r="AM132" s="551" t="s">
        <v>11333</v>
      </c>
    </row>
    <row r="133" customFormat="false" ht="13.5" hidden="false" customHeight="true" outlineLevel="0" collapsed="false">
      <c r="A133" s="550" t="s">
        <v>11025</v>
      </c>
      <c r="B133" s="508" t="n">
        <v>344</v>
      </c>
      <c r="C133" s="550" t="s">
        <v>11026</v>
      </c>
      <c r="D133" s="551" t="s">
        <v>11027</v>
      </c>
      <c r="E133" s="550" t="s">
        <v>4420</v>
      </c>
      <c r="F133" s="550" t="s">
        <v>10702</v>
      </c>
      <c r="G133" s="550" t="s">
        <v>10719</v>
      </c>
      <c r="H133" s="551" t="s">
        <v>11014</v>
      </c>
      <c r="I133" s="552"/>
      <c r="J133" s="552" t="n">
        <v>8218</v>
      </c>
      <c r="K133" s="552" t="n">
        <v>2023</v>
      </c>
      <c r="L133" s="554" t="n">
        <v>11.7637</v>
      </c>
      <c r="M133" s="550"/>
      <c r="N133" s="554" t="n">
        <v>13.2835</v>
      </c>
      <c r="O133" s="554" t="n">
        <v>0.2901</v>
      </c>
      <c r="P133" s="554" t="n">
        <v>0.6571</v>
      </c>
      <c r="Q133" s="550"/>
      <c r="R133" s="550"/>
      <c r="S133" s="550"/>
      <c r="T133" s="550"/>
      <c r="U133" s="550"/>
      <c r="V133" s="550"/>
      <c r="W133" s="550"/>
      <c r="X133" s="554" t="n">
        <v>2.2109</v>
      </c>
      <c r="Y133" s="554" t="n">
        <v>2.2109</v>
      </c>
      <c r="Z133" s="550"/>
      <c r="AA133" s="550"/>
      <c r="AB133" s="550"/>
      <c r="AC133" s="550"/>
      <c r="AD133" s="550"/>
      <c r="AE133" s="550"/>
      <c r="AF133" s="554" t="n">
        <v>1.5784</v>
      </c>
      <c r="AG133" s="554" t="n">
        <v>0.4882</v>
      </c>
      <c r="AH133" s="554" t="n">
        <v>4.8338</v>
      </c>
      <c r="AI133" s="554" t="n">
        <v>1.9805</v>
      </c>
      <c r="AJ133" s="554" t="n">
        <v>6.8143</v>
      </c>
      <c r="AK133" s="554" t="n">
        <v>6.4493</v>
      </c>
      <c r="AL133" s="550"/>
      <c r="AM133" s="551" t="s">
        <v>11334</v>
      </c>
    </row>
    <row r="134" customFormat="false" ht="13.5" hidden="false" customHeight="true" outlineLevel="0" collapsed="false">
      <c r="A134" s="550" t="s">
        <v>11029</v>
      </c>
      <c r="B134" s="508" t="n">
        <v>344</v>
      </c>
      <c r="C134" s="550" t="s">
        <v>11030</v>
      </c>
      <c r="D134" s="551" t="s">
        <v>11031</v>
      </c>
      <c r="E134" s="550" t="s">
        <v>4743</v>
      </c>
      <c r="F134" s="550" t="s">
        <v>10702</v>
      </c>
      <c r="G134" s="550" t="s">
        <v>10719</v>
      </c>
      <c r="H134" s="551" t="s">
        <v>11014</v>
      </c>
      <c r="I134" s="552"/>
      <c r="J134" s="552"/>
      <c r="K134" s="552" t="n">
        <v>2023</v>
      </c>
      <c r="L134" s="553" t="n">
        <v>326779</v>
      </c>
      <c r="M134" s="550"/>
      <c r="N134" s="553" t="n">
        <v>315661</v>
      </c>
      <c r="O134" s="550"/>
      <c r="P134" s="550"/>
      <c r="Q134" s="550"/>
      <c r="R134" s="550"/>
      <c r="S134" s="550"/>
      <c r="T134" s="550"/>
      <c r="U134" s="550"/>
      <c r="V134" s="550"/>
      <c r="W134" s="550"/>
      <c r="X134" s="550"/>
      <c r="Y134" s="550"/>
      <c r="Z134" s="550"/>
      <c r="AA134" s="553" t="n">
        <v>16009</v>
      </c>
      <c r="AB134" s="550"/>
      <c r="AC134" s="550"/>
      <c r="AD134" s="550"/>
      <c r="AE134" s="550"/>
      <c r="AF134" s="550"/>
      <c r="AG134" s="550"/>
      <c r="AH134" s="553" t="n">
        <v>78034</v>
      </c>
      <c r="AI134" s="553" t="n">
        <v>66966</v>
      </c>
      <c r="AJ134" s="553" t="n">
        <v>145000</v>
      </c>
      <c r="AK134" s="553" t="n">
        <v>170661</v>
      </c>
      <c r="AL134" s="550"/>
      <c r="AM134" s="551" t="s">
        <v>11446</v>
      </c>
    </row>
    <row r="135" customFormat="false" ht="13.5" hidden="false" customHeight="true" outlineLevel="0" collapsed="false">
      <c r="A135" s="550" t="s">
        <v>11029</v>
      </c>
      <c r="B135" s="508" t="n">
        <v>344</v>
      </c>
      <c r="C135" s="550" t="s">
        <v>11030</v>
      </c>
      <c r="D135" s="551" t="s">
        <v>11031</v>
      </c>
      <c r="E135" s="550" t="s">
        <v>4743</v>
      </c>
      <c r="F135" s="550" t="s">
        <v>10702</v>
      </c>
      <c r="G135" s="550" t="s">
        <v>10719</v>
      </c>
      <c r="H135" s="551" t="s">
        <v>11014</v>
      </c>
      <c r="I135" s="552"/>
      <c r="J135" s="552"/>
      <c r="K135" s="552" t="n">
        <v>2024</v>
      </c>
      <c r="L135" s="553" t="n">
        <v>357674</v>
      </c>
      <c r="M135" s="550"/>
      <c r="N135" s="553" t="n">
        <v>335977</v>
      </c>
      <c r="O135" s="553" t="n">
        <v>9791</v>
      </c>
      <c r="P135" s="553" t="n">
        <v>7884</v>
      </c>
      <c r="Q135" s="550"/>
      <c r="R135" s="550"/>
      <c r="S135" s="550"/>
      <c r="T135" s="550"/>
      <c r="U135" s="550"/>
      <c r="V135" s="550"/>
      <c r="W135" s="550"/>
      <c r="X135" s="553" t="n">
        <v>41510</v>
      </c>
      <c r="Y135" s="553" t="n">
        <v>41510</v>
      </c>
      <c r="Z135" s="550"/>
      <c r="AA135" s="553" t="n">
        <v>12092</v>
      </c>
      <c r="AB135" s="550"/>
      <c r="AC135" s="550"/>
      <c r="AD135" s="550"/>
      <c r="AE135" s="550"/>
      <c r="AF135" s="553" t="n">
        <v>9302</v>
      </c>
      <c r="AG135" s="553" t="n">
        <v>10772</v>
      </c>
      <c r="AH135" s="553" t="n">
        <v>109544</v>
      </c>
      <c r="AI135" s="553" t="n">
        <v>68307</v>
      </c>
      <c r="AJ135" s="553" t="n">
        <v>177851</v>
      </c>
      <c r="AK135" s="553" t="n">
        <v>158126</v>
      </c>
      <c r="AL135" s="550"/>
      <c r="AM135" s="551" t="s">
        <v>11447</v>
      </c>
    </row>
    <row r="136" customFormat="false" ht="13.5" hidden="false" customHeight="true" outlineLevel="0" collapsed="false">
      <c r="A136" s="550" t="s">
        <v>11033</v>
      </c>
      <c r="B136" s="508" t="n">
        <v>344</v>
      </c>
      <c r="C136" s="550" t="s">
        <v>11034</v>
      </c>
      <c r="D136" s="551" t="s">
        <v>11035</v>
      </c>
      <c r="E136" s="550" t="s">
        <v>1557</v>
      </c>
      <c r="F136" s="550" t="s">
        <v>10702</v>
      </c>
      <c r="G136" s="550" t="s">
        <v>10719</v>
      </c>
      <c r="H136" s="551" t="s">
        <v>11036</v>
      </c>
      <c r="I136" s="552"/>
      <c r="J136" s="552" t="n">
        <v>41979</v>
      </c>
      <c r="K136" s="552" t="n">
        <v>2023</v>
      </c>
      <c r="L136" s="554" t="n">
        <v>23.2395</v>
      </c>
      <c r="M136" s="550"/>
      <c r="N136" s="554" t="n">
        <v>32.1906</v>
      </c>
      <c r="O136" s="554" t="n">
        <v>0.7301</v>
      </c>
      <c r="P136" s="554" t="n">
        <v>2.0601</v>
      </c>
      <c r="Q136" s="550"/>
      <c r="R136" s="550"/>
      <c r="S136" s="550"/>
      <c r="T136" s="550"/>
      <c r="U136" s="550"/>
      <c r="V136" s="550"/>
      <c r="W136" s="550"/>
      <c r="X136" s="554" t="n">
        <v>3.2415</v>
      </c>
      <c r="Y136" s="554" t="n">
        <v>3.2415</v>
      </c>
      <c r="Z136" s="550"/>
      <c r="AA136" s="550"/>
      <c r="AB136" s="550"/>
      <c r="AC136" s="550"/>
      <c r="AD136" s="550"/>
      <c r="AE136" s="550"/>
      <c r="AF136" s="554" t="n">
        <v>3.4458</v>
      </c>
      <c r="AG136" s="554" t="n">
        <v>0.5937</v>
      </c>
      <c r="AH136" s="554" t="n">
        <v>10.0688</v>
      </c>
      <c r="AI136" s="554" t="n">
        <v>2.0543</v>
      </c>
      <c r="AJ136" s="554" t="n">
        <v>12.123</v>
      </c>
      <c r="AK136" s="554" t="n">
        <v>20.0676</v>
      </c>
      <c r="AL136" s="550"/>
      <c r="AM136" s="551" t="s">
        <v>11337</v>
      </c>
    </row>
    <row r="137" customFormat="false" ht="13.5" hidden="false" customHeight="true" outlineLevel="0" collapsed="false">
      <c r="A137" s="550" t="s">
        <v>11033</v>
      </c>
      <c r="B137" s="508" t="n">
        <v>344</v>
      </c>
      <c r="C137" s="550" t="s">
        <v>11034</v>
      </c>
      <c r="D137" s="551" t="s">
        <v>11035</v>
      </c>
      <c r="E137" s="550" t="s">
        <v>1557</v>
      </c>
      <c r="F137" s="550" t="s">
        <v>10702</v>
      </c>
      <c r="G137" s="550" t="s">
        <v>10719</v>
      </c>
      <c r="H137" s="551" t="s">
        <v>11036</v>
      </c>
      <c r="I137" s="552"/>
      <c r="J137" s="552" t="n">
        <v>41979</v>
      </c>
      <c r="K137" s="552" t="n">
        <v>2024</v>
      </c>
      <c r="L137" s="554" t="n">
        <v>20.4556</v>
      </c>
      <c r="M137" s="550"/>
      <c r="N137" s="554" t="n">
        <v>33.188</v>
      </c>
      <c r="O137" s="554" t="n">
        <v>0.8289</v>
      </c>
      <c r="P137" s="554" t="n">
        <v>2.1306</v>
      </c>
      <c r="Q137" s="550"/>
      <c r="R137" s="550"/>
      <c r="S137" s="550"/>
      <c r="T137" s="550"/>
      <c r="U137" s="550"/>
      <c r="V137" s="550"/>
      <c r="W137" s="550"/>
      <c r="X137" s="554" t="n">
        <v>2.7757</v>
      </c>
      <c r="Y137" s="554" t="n">
        <v>2.7757</v>
      </c>
      <c r="Z137" s="550"/>
      <c r="AA137" s="550"/>
      <c r="AB137" s="550"/>
      <c r="AC137" s="550"/>
      <c r="AD137" s="550"/>
      <c r="AE137" s="550"/>
      <c r="AF137" s="554" t="n">
        <v>3.5734</v>
      </c>
      <c r="AG137" s="554" t="n">
        <v>0.7077</v>
      </c>
      <c r="AH137" s="554" t="n">
        <v>10.1354</v>
      </c>
      <c r="AI137" s="554" t="n">
        <v>2.0662</v>
      </c>
      <c r="AJ137" s="554" t="n">
        <v>12.2016</v>
      </c>
      <c r="AK137" s="554" t="n">
        <v>20.9864</v>
      </c>
      <c r="AL137" s="550"/>
      <c r="AM137" s="551" t="s">
        <v>11337</v>
      </c>
    </row>
    <row r="138" customFormat="false" ht="13.5" hidden="false" customHeight="true" outlineLevel="0" collapsed="false">
      <c r="A138" s="550" t="s">
        <v>11038</v>
      </c>
      <c r="B138" s="508" t="n">
        <v>210</v>
      </c>
      <c r="C138" s="550" t="s">
        <v>11039</v>
      </c>
      <c r="D138" s="551" t="s">
        <v>11040</v>
      </c>
      <c r="E138" s="550" t="s">
        <v>4420</v>
      </c>
      <c r="F138" s="550" t="s">
        <v>10702</v>
      </c>
      <c r="G138" s="550" t="s">
        <v>11041</v>
      </c>
      <c r="H138" s="551" t="s">
        <v>11042</v>
      </c>
      <c r="I138" s="552"/>
      <c r="J138" s="552" t="n">
        <v>278538</v>
      </c>
      <c r="K138" s="552" t="n">
        <v>2023</v>
      </c>
      <c r="L138" s="554" t="n">
        <v>5.8736</v>
      </c>
      <c r="M138" s="550"/>
      <c r="N138" s="554" t="n">
        <v>5.7822</v>
      </c>
      <c r="O138" s="554" t="n">
        <v>0.0183</v>
      </c>
      <c r="P138" s="554" t="n">
        <v>0.0788</v>
      </c>
      <c r="Q138" s="550"/>
      <c r="R138" s="550"/>
      <c r="S138" s="550"/>
      <c r="T138" s="550"/>
      <c r="U138" s="550"/>
      <c r="V138" s="550"/>
      <c r="W138" s="550"/>
      <c r="X138" s="554" t="n">
        <v>0.9203</v>
      </c>
      <c r="Y138" s="554" t="n">
        <v>0.9203</v>
      </c>
      <c r="Z138" s="550"/>
      <c r="AA138" s="554" t="n">
        <v>0.2083</v>
      </c>
      <c r="AB138" s="554" t="n">
        <v>0.0116</v>
      </c>
      <c r="AC138" s="554" t="n">
        <v>0.2199</v>
      </c>
      <c r="AD138" s="550"/>
      <c r="AE138" s="550"/>
      <c r="AF138" s="554" t="n">
        <v>0.1146</v>
      </c>
      <c r="AG138" s="550"/>
      <c r="AH138" s="554" t="n">
        <v>1.3485</v>
      </c>
      <c r="AI138" s="554" t="n">
        <v>0</v>
      </c>
      <c r="AJ138" s="554" t="n">
        <v>1.3485</v>
      </c>
      <c r="AK138" s="554" t="n">
        <v>0.2751</v>
      </c>
      <c r="AL138" s="550"/>
      <c r="AM138" s="551" t="s">
        <v>11338</v>
      </c>
    </row>
    <row r="139" customFormat="false" ht="13.5" hidden="false" customHeight="true" outlineLevel="0" collapsed="false">
      <c r="A139" s="550" t="s">
        <v>11038</v>
      </c>
      <c r="B139" s="508" t="n">
        <v>210</v>
      </c>
      <c r="C139" s="550" t="s">
        <v>11039</v>
      </c>
      <c r="D139" s="551" t="s">
        <v>11040</v>
      </c>
      <c r="E139" s="550" t="s">
        <v>4420</v>
      </c>
      <c r="F139" s="550" t="s">
        <v>10702</v>
      </c>
      <c r="G139" s="550" t="s">
        <v>11041</v>
      </c>
      <c r="H139" s="551" t="s">
        <v>11042</v>
      </c>
      <c r="I139" s="552"/>
      <c r="J139" s="552" t="n">
        <v>278538</v>
      </c>
      <c r="K139" s="552" t="n">
        <v>2024</v>
      </c>
      <c r="L139" s="554" t="n">
        <v>5.4604</v>
      </c>
      <c r="M139" s="550"/>
      <c r="N139" s="554" t="n">
        <v>5.4604</v>
      </c>
      <c r="O139" s="554" t="n">
        <v>0.032</v>
      </c>
      <c r="P139" s="554" t="n">
        <v>0.0918</v>
      </c>
      <c r="Q139" s="550"/>
      <c r="R139" s="550"/>
      <c r="S139" s="550"/>
      <c r="T139" s="550"/>
      <c r="U139" s="550"/>
      <c r="V139" s="550"/>
      <c r="W139" s="550"/>
      <c r="X139" s="554" t="n">
        <v>0.4497</v>
      </c>
      <c r="Y139" s="554" t="n">
        <v>0.4497</v>
      </c>
      <c r="Z139" s="550"/>
      <c r="AA139" s="554" t="n">
        <v>0.2083</v>
      </c>
      <c r="AB139" s="554" t="n">
        <v>0.0357</v>
      </c>
      <c r="AC139" s="554" t="n">
        <v>0.2441</v>
      </c>
      <c r="AD139" s="550"/>
      <c r="AE139" s="550"/>
      <c r="AF139" s="554" t="n">
        <v>0.1146</v>
      </c>
      <c r="AG139" s="550"/>
      <c r="AH139" s="554" t="n">
        <v>0.9322</v>
      </c>
      <c r="AI139" s="554" t="n">
        <v>0</v>
      </c>
      <c r="AJ139" s="554" t="n">
        <v>0.9322</v>
      </c>
      <c r="AK139" s="554" t="n">
        <v>0.3374</v>
      </c>
      <c r="AL139" s="550"/>
      <c r="AM139" s="551" t="s">
        <v>11339</v>
      </c>
    </row>
    <row r="140" customFormat="false" ht="13.5" hidden="false" customHeight="true" outlineLevel="0" collapsed="false">
      <c r="A140" s="542" t="s">
        <v>11044</v>
      </c>
      <c r="B140" s="508" t="n">
        <v>210</v>
      </c>
      <c r="C140" s="542" t="s">
        <v>11045</v>
      </c>
      <c r="D140" s="543" t="s">
        <v>11340</v>
      </c>
      <c r="E140" s="542" t="s">
        <v>4743</v>
      </c>
      <c r="F140" s="542" t="s">
        <v>10702</v>
      </c>
      <c r="G140" s="542" t="s">
        <v>2692</v>
      </c>
      <c r="H140" s="543" t="s">
        <v>10851</v>
      </c>
      <c r="I140" s="544"/>
      <c r="J140" s="544"/>
      <c r="K140" s="544" t="n">
        <v>2024</v>
      </c>
      <c r="L140" s="555" t="n">
        <v>693913</v>
      </c>
      <c r="M140" s="542"/>
      <c r="N140" s="555" t="n">
        <v>1038740</v>
      </c>
      <c r="O140" s="555" t="n">
        <v>10142</v>
      </c>
      <c r="P140" s="555" t="n">
        <v>11589</v>
      </c>
      <c r="Q140" s="542"/>
      <c r="R140" s="542"/>
      <c r="S140" s="555" t="n">
        <v>10801</v>
      </c>
      <c r="T140" s="555" t="n">
        <v>2121</v>
      </c>
      <c r="U140" s="542"/>
      <c r="V140" s="542"/>
      <c r="W140" s="542"/>
      <c r="X140" s="555" t="n">
        <v>1602</v>
      </c>
      <c r="Y140" s="555" t="n">
        <v>14524</v>
      </c>
      <c r="Z140" s="542"/>
      <c r="AA140" s="555" t="n">
        <v>10822</v>
      </c>
      <c r="AB140" s="555" t="n">
        <v>32162</v>
      </c>
      <c r="AC140" s="555" t="n">
        <v>3096</v>
      </c>
      <c r="AD140" s="555" t="n">
        <v>10863</v>
      </c>
      <c r="AE140" s="542"/>
      <c r="AF140" s="555" t="n">
        <v>10863</v>
      </c>
      <c r="AG140" s="542"/>
      <c r="AH140" s="555" t="n">
        <v>103843</v>
      </c>
      <c r="AI140" s="555" t="n">
        <v>285245</v>
      </c>
      <c r="AJ140" s="555" t="n">
        <v>389088</v>
      </c>
      <c r="AK140" s="555" t="n">
        <v>649652</v>
      </c>
      <c r="AL140" s="542"/>
      <c r="AM140" s="543" t="s">
        <v>11448</v>
      </c>
    </row>
    <row r="141" customFormat="false" ht="13.5" hidden="false" customHeight="true" outlineLevel="0" collapsed="false">
      <c r="A141" s="509" t="s">
        <v>11044</v>
      </c>
      <c r="B141" s="508" t="n">
        <v>210</v>
      </c>
      <c r="C141" s="509" t="s">
        <v>11045</v>
      </c>
      <c r="D141" s="529" t="s">
        <v>11340</v>
      </c>
      <c r="E141" s="509" t="s">
        <v>4743</v>
      </c>
      <c r="F141" s="509" t="s">
        <v>10702</v>
      </c>
      <c r="G141" s="509" t="s">
        <v>2692</v>
      </c>
      <c r="H141" s="529" t="s">
        <v>10851</v>
      </c>
      <c r="I141" s="546"/>
      <c r="J141" s="546"/>
      <c r="K141" s="546" t="n">
        <v>2023</v>
      </c>
      <c r="L141" s="556" t="n">
        <v>636291</v>
      </c>
      <c r="M141" s="509"/>
      <c r="N141" s="556" t="n">
        <v>1062200</v>
      </c>
      <c r="O141" s="556" t="n">
        <v>7751</v>
      </c>
      <c r="P141" s="556" t="n">
        <v>9831</v>
      </c>
      <c r="Q141" s="509"/>
      <c r="R141" s="509"/>
      <c r="S141" s="556" t="n">
        <v>6802</v>
      </c>
      <c r="T141" s="556" t="n">
        <v>2340</v>
      </c>
      <c r="U141" s="509"/>
      <c r="V141" s="509"/>
      <c r="W141" s="509"/>
      <c r="X141" s="556" t="n">
        <v>1498</v>
      </c>
      <c r="Y141" s="556" t="n">
        <v>10640</v>
      </c>
      <c r="Z141" s="509"/>
      <c r="AA141" s="556" t="n">
        <v>12695</v>
      </c>
      <c r="AB141" s="556" t="n">
        <v>15327</v>
      </c>
      <c r="AC141" s="556" t="n">
        <v>3871</v>
      </c>
      <c r="AD141" s="556" t="n">
        <v>18104</v>
      </c>
      <c r="AE141" s="509"/>
      <c r="AF141" s="556" t="n">
        <v>18104</v>
      </c>
      <c r="AG141" s="509"/>
      <c r="AH141" s="556" t="n">
        <v>93172</v>
      </c>
      <c r="AI141" s="556" t="n">
        <v>284308</v>
      </c>
      <c r="AJ141" s="556" t="n">
        <v>377480</v>
      </c>
      <c r="AK141" s="556" t="n">
        <v>684720</v>
      </c>
      <c r="AL141" s="509"/>
      <c r="AM141" s="529" t="s">
        <v>11449</v>
      </c>
    </row>
    <row r="142" customFormat="false" ht="13.5" hidden="false" customHeight="true" outlineLevel="0" collapsed="false">
      <c r="A142" s="542" t="s">
        <v>11050</v>
      </c>
      <c r="B142" s="508" t="n">
        <v>210</v>
      </c>
      <c r="C142" s="542" t="s">
        <v>11051</v>
      </c>
      <c r="D142" s="543" t="s">
        <v>11343</v>
      </c>
      <c r="E142" s="542" t="s">
        <v>4743</v>
      </c>
      <c r="F142" s="542" t="s">
        <v>10702</v>
      </c>
      <c r="G142" s="542" t="s">
        <v>2692</v>
      </c>
      <c r="H142" s="543" t="s">
        <v>10851</v>
      </c>
      <c r="I142" s="544"/>
      <c r="J142" s="544"/>
      <c r="K142" s="544" t="n">
        <v>2024</v>
      </c>
      <c r="L142" s="555" t="n">
        <v>559154</v>
      </c>
      <c r="M142" s="542"/>
      <c r="N142" s="555" t="n">
        <v>904777</v>
      </c>
      <c r="O142" s="555" t="n">
        <v>9318</v>
      </c>
      <c r="P142" s="555" t="n">
        <v>8966</v>
      </c>
      <c r="Q142" s="542"/>
      <c r="R142" s="542"/>
      <c r="S142" s="555" t="n">
        <v>5962</v>
      </c>
      <c r="T142" s="555" t="n">
        <v>2221</v>
      </c>
      <c r="U142" s="555" t="n">
        <v>2465</v>
      </c>
      <c r="V142" s="542"/>
      <c r="W142" s="542"/>
      <c r="X142" s="555" t="n">
        <v>1589</v>
      </c>
      <c r="Y142" s="555" t="n">
        <v>12237</v>
      </c>
      <c r="Z142" s="542"/>
      <c r="AA142" s="555" t="n">
        <v>11302</v>
      </c>
      <c r="AB142" s="555" t="n">
        <v>32413</v>
      </c>
      <c r="AC142" s="555" t="n">
        <v>3096</v>
      </c>
      <c r="AD142" s="555" t="n">
        <v>23773</v>
      </c>
      <c r="AE142" s="542"/>
      <c r="AF142" s="555" t="n">
        <v>23773</v>
      </c>
      <c r="AG142" s="542"/>
      <c r="AH142" s="555" t="n">
        <v>130296</v>
      </c>
      <c r="AI142" s="555" t="n">
        <v>265848</v>
      </c>
      <c r="AJ142" s="555" t="n">
        <v>396144</v>
      </c>
      <c r="AK142" s="555" t="n">
        <v>508633</v>
      </c>
      <c r="AL142" s="542"/>
      <c r="AM142" s="543" t="s">
        <v>11450</v>
      </c>
    </row>
    <row r="143" customFormat="false" ht="13.5" hidden="false" customHeight="true" outlineLevel="0" collapsed="false">
      <c r="A143" s="509" t="s">
        <v>11050</v>
      </c>
      <c r="B143" s="508" t="n">
        <v>210</v>
      </c>
      <c r="C143" s="509" t="s">
        <v>11051</v>
      </c>
      <c r="D143" s="529" t="s">
        <v>11343</v>
      </c>
      <c r="E143" s="509" t="s">
        <v>4743</v>
      </c>
      <c r="F143" s="509" t="s">
        <v>10702</v>
      </c>
      <c r="G143" s="509" t="s">
        <v>2692</v>
      </c>
      <c r="H143" s="529" t="s">
        <v>10851</v>
      </c>
      <c r="I143" s="546"/>
      <c r="J143" s="546"/>
      <c r="K143" s="546" t="n">
        <v>2023</v>
      </c>
      <c r="L143" s="556" t="n">
        <v>671895</v>
      </c>
      <c r="M143" s="509"/>
      <c r="N143" s="556" t="n">
        <v>1034507</v>
      </c>
      <c r="O143" s="556" t="n">
        <v>7124</v>
      </c>
      <c r="P143" s="556" t="n">
        <v>9660</v>
      </c>
      <c r="Q143" s="509"/>
      <c r="R143" s="509"/>
      <c r="S143" s="556" t="n">
        <v>5338</v>
      </c>
      <c r="T143" s="556" t="n">
        <v>2480</v>
      </c>
      <c r="U143" s="556" t="n">
        <v>875</v>
      </c>
      <c r="V143" s="509"/>
      <c r="W143" s="509"/>
      <c r="X143" s="556" t="n">
        <v>1484</v>
      </c>
      <c r="Y143" s="556" t="n">
        <v>10177</v>
      </c>
      <c r="Z143" s="509"/>
      <c r="AA143" s="556" t="n">
        <v>8120</v>
      </c>
      <c r="AB143" s="556" t="n">
        <v>15088</v>
      </c>
      <c r="AC143" s="556" t="n">
        <v>3871</v>
      </c>
      <c r="AD143" s="556" t="n">
        <v>13983</v>
      </c>
      <c r="AE143" s="509"/>
      <c r="AF143" s="556" t="n">
        <v>13983</v>
      </c>
      <c r="AG143" s="509"/>
      <c r="AH143" s="556" t="n">
        <v>29277</v>
      </c>
      <c r="AI143" s="556" t="n">
        <v>265936</v>
      </c>
      <c r="AJ143" s="556" t="n">
        <v>295213</v>
      </c>
      <c r="AK143" s="556" t="n">
        <v>739294</v>
      </c>
      <c r="AL143" s="509"/>
      <c r="AM143" s="529" t="s">
        <v>11450</v>
      </c>
    </row>
    <row r="144" customFormat="false" ht="13.5" hidden="false" customHeight="true" outlineLevel="0" collapsed="false">
      <c r="A144" s="542" t="s">
        <v>11054</v>
      </c>
      <c r="B144" s="508" t="n">
        <v>210</v>
      </c>
      <c r="C144" s="542" t="s">
        <v>11055</v>
      </c>
      <c r="D144" s="543" t="s">
        <v>11345</v>
      </c>
      <c r="E144" s="542" t="s">
        <v>4743</v>
      </c>
      <c r="F144" s="542" t="s">
        <v>10702</v>
      </c>
      <c r="G144" s="542" t="s">
        <v>2692</v>
      </c>
      <c r="H144" s="543" t="s">
        <v>10851</v>
      </c>
      <c r="I144" s="544"/>
      <c r="J144" s="544"/>
      <c r="K144" s="544" t="n">
        <v>2023</v>
      </c>
      <c r="L144" s="555" t="n">
        <v>633240</v>
      </c>
      <c r="M144" s="542"/>
      <c r="N144" s="555" t="n">
        <v>1026818</v>
      </c>
      <c r="O144" s="555" t="n">
        <v>6101</v>
      </c>
      <c r="P144" s="555" t="n">
        <v>8518</v>
      </c>
      <c r="Q144" s="542"/>
      <c r="R144" s="542"/>
      <c r="S144" s="555" t="n">
        <v>32990</v>
      </c>
      <c r="T144" s="555" t="n">
        <v>1965</v>
      </c>
      <c r="U144" s="542"/>
      <c r="V144" s="542"/>
      <c r="W144" s="542"/>
      <c r="X144" s="555" t="n">
        <v>1498</v>
      </c>
      <c r="Y144" s="555" t="n">
        <v>34453</v>
      </c>
      <c r="Z144" s="542"/>
      <c r="AA144" s="555" t="n">
        <v>11861</v>
      </c>
      <c r="AB144" s="555" t="n">
        <v>15620</v>
      </c>
      <c r="AC144" s="555" t="n">
        <v>3871</v>
      </c>
      <c r="AD144" s="555" t="n">
        <v>5672</v>
      </c>
      <c r="AE144" s="555" t="n">
        <v>3430</v>
      </c>
      <c r="AF144" s="555" t="n">
        <v>9102</v>
      </c>
      <c r="AG144" s="542"/>
      <c r="AH144" s="555" t="n">
        <v>107544</v>
      </c>
      <c r="AI144" s="555" t="n">
        <v>284308</v>
      </c>
      <c r="AJ144" s="555" t="n">
        <v>391852</v>
      </c>
      <c r="AK144" s="555" t="n">
        <v>634966</v>
      </c>
      <c r="AL144" s="542"/>
      <c r="AM144" s="543" t="s">
        <v>11451</v>
      </c>
    </row>
    <row r="145" customFormat="false" ht="13.5" hidden="false" customHeight="true" outlineLevel="0" collapsed="false">
      <c r="A145" s="509" t="s">
        <v>11058</v>
      </c>
      <c r="B145" s="508" t="n">
        <v>210</v>
      </c>
      <c r="C145" s="509" t="s">
        <v>11059</v>
      </c>
      <c r="D145" s="529" t="s">
        <v>11060</v>
      </c>
      <c r="E145" s="509" t="s">
        <v>4743</v>
      </c>
      <c r="F145" s="509" t="s">
        <v>10702</v>
      </c>
      <c r="G145" s="509" t="s">
        <v>2692</v>
      </c>
      <c r="H145" s="529" t="s">
        <v>10851</v>
      </c>
      <c r="I145" s="546"/>
      <c r="J145" s="546"/>
      <c r="K145" s="546" t="n">
        <v>2024</v>
      </c>
      <c r="L145" s="556" t="n">
        <v>318721</v>
      </c>
      <c r="M145" s="509"/>
      <c r="N145" s="556" t="n">
        <v>578332</v>
      </c>
      <c r="O145" s="556" t="n">
        <v>7156</v>
      </c>
      <c r="P145" s="556" t="n">
        <v>5471</v>
      </c>
      <c r="Q145" s="509"/>
      <c r="R145" s="509"/>
      <c r="S145" s="556" t="n">
        <v>8874</v>
      </c>
      <c r="T145" s="556" t="n">
        <v>1655</v>
      </c>
      <c r="U145" s="509"/>
      <c r="V145" s="509"/>
      <c r="W145" s="509"/>
      <c r="X145" s="556" t="n">
        <v>1556</v>
      </c>
      <c r="Y145" s="556" t="n">
        <v>12085</v>
      </c>
      <c r="Z145" s="509"/>
      <c r="AA145" s="556" t="n">
        <v>9686</v>
      </c>
      <c r="AB145" s="556" t="n">
        <v>20653</v>
      </c>
      <c r="AC145" s="556" t="n">
        <v>6987</v>
      </c>
      <c r="AD145" s="556" t="n">
        <v>10547</v>
      </c>
      <c r="AE145" s="556" t="n">
        <v>1600</v>
      </c>
      <c r="AF145" s="556" t="n">
        <v>12147</v>
      </c>
      <c r="AG145" s="509"/>
      <c r="AH145" s="556" t="n">
        <v>91002</v>
      </c>
      <c r="AI145" s="556" t="n">
        <v>204010</v>
      </c>
      <c r="AJ145" s="556" t="n">
        <v>295012</v>
      </c>
      <c r="AK145" s="556" t="n">
        <v>283320</v>
      </c>
      <c r="AL145" s="509"/>
      <c r="AM145" s="529" t="s">
        <v>11450</v>
      </c>
    </row>
    <row r="146" customFormat="false" ht="13.5" hidden="false" customHeight="true" outlineLevel="0" collapsed="false">
      <c r="A146" s="542" t="s">
        <v>11058</v>
      </c>
      <c r="B146" s="508" t="n">
        <v>210</v>
      </c>
      <c r="C146" s="542" t="s">
        <v>11059</v>
      </c>
      <c r="D146" s="543" t="s">
        <v>11060</v>
      </c>
      <c r="E146" s="542" t="s">
        <v>4743</v>
      </c>
      <c r="F146" s="542" t="s">
        <v>10702</v>
      </c>
      <c r="G146" s="542" t="s">
        <v>2692</v>
      </c>
      <c r="H146" s="543" t="s">
        <v>10851</v>
      </c>
      <c r="I146" s="544"/>
      <c r="J146" s="544"/>
      <c r="K146" s="544" t="n">
        <v>2023</v>
      </c>
      <c r="L146" s="555" t="n">
        <v>394581</v>
      </c>
      <c r="M146" s="542"/>
      <c r="N146" s="555" t="n">
        <v>671481</v>
      </c>
      <c r="O146" s="555" t="n">
        <v>6075</v>
      </c>
      <c r="P146" s="555" t="n">
        <v>5987</v>
      </c>
      <c r="Q146" s="542"/>
      <c r="R146" s="542"/>
      <c r="S146" s="555" t="n">
        <v>7762</v>
      </c>
      <c r="T146" s="555" t="n">
        <v>1575</v>
      </c>
      <c r="U146" s="542"/>
      <c r="V146" s="542"/>
      <c r="W146" s="542"/>
      <c r="X146" s="555" t="n">
        <v>1452</v>
      </c>
      <c r="Y146" s="555" t="n">
        <v>10789</v>
      </c>
      <c r="Z146" s="542"/>
      <c r="AA146" s="555" t="n">
        <v>11249</v>
      </c>
      <c r="AB146" s="555" t="n">
        <v>12318</v>
      </c>
      <c r="AC146" s="555" t="n">
        <v>6967</v>
      </c>
      <c r="AD146" s="555" t="n">
        <v>11424</v>
      </c>
      <c r="AE146" s="555" t="n">
        <v>1898</v>
      </c>
      <c r="AF146" s="555" t="n">
        <v>13322</v>
      </c>
      <c r="AG146" s="542"/>
      <c r="AH146" s="555" t="n">
        <v>37127</v>
      </c>
      <c r="AI146" s="555" t="n">
        <v>204497</v>
      </c>
      <c r="AJ146" s="555" t="n">
        <v>241624</v>
      </c>
      <c r="AK146" s="555" t="n">
        <v>429857</v>
      </c>
      <c r="AL146" s="542"/>
      <c r="AM146" s="543" t="s">
        <v>11450</v>
      </c>
    </row>
    <row r="147" customFormat="false" ht="13.5" hidden="false" customHeight="true" outlineLevel="0" collapsed="false">
      <c r="A147" s="509" t="s">
        <v>11061</v>
      </c>
      <c r="B147" s="508" t="n">
        <v>210</v>
      </c>
      <c r="C147" s="509" t="s">
        <v>11062</v>
      </c>
      <c r="D147" s="529" t="s">
        <v>11063</v>
      </c>
      <c r="E147" s="509" t="s">
        <v>4743</v>
      </c>
      <c r="F147" s="509" t="s">
        <v>10702</v>
      </c>
      <c r="G147" s="509" t="s">
        <v>2692</v>
      </c>
      <c r="H147" s="529" t="s">
        <v>10851</v>
      </c>
      <c r="I147" s="546"/>
      <c r="J147" s="546"/>
      <c r="K147" s="546" t="n">
        <v>2024</v>
      </c>
      <c r="L147" s="556" t="n">
        <v>352733</v>
      </c>
      <c r="M147" s="509"/>
      <c r="N147" s="556" t="n">
        <v>649568</v>
      </c>
      <c r="O147" s="556" t="n">
        <v>6988</v>
      </c>
      <c r="P147" s="556" t="n">
        <v>6207</v>
      </c>
      <c r="Q147" s="509"/>
      <c r="R147" s="509"/>
      <c r="S147" s="556" t="n">
        <v>16981</v>
      </c>
      <c r="T147" s="556" t="n">
        <v>1800</v>
      </c>
      <c r="U147" s="509"/>
      <c r="V147" s="509"/>
      <c r="W147" s="509"/>
      <c r="X147" s="556" t="n">
        <v>1556</v>
      </c>
      <c r="Y147" s="556" t="n">
        <v>20337</v>
      </c>
      <c r="Z147" s="509"/>
      <c r="AA147" s="556" t="n">
        <v>8036</v>
      </c>
      <c r="AB147" s="556" t="n">
        <v>22795</v>
      </c>
      <c r="AC147" s="556" t="n">
        <v>6988</v>
      </c>
      <c r="AD147" s="556" t="n">
        <v>8875</v>
      </c>
      <c r="AE147" s="509"/>
      <c r="AF147" s="556" t="n">
        <v>8875</v>
      </c>
      <c r="AG147" s="509"/>
      <c r="AH147" s="556" t="n">
        <v>94654</v>
      </c>
      <c r="AI147" s="556" t="n">
        <v>204010</v>
      </c>
      <c r="AJ147" s="556" t="n">
        <v>298664</v>
      </c>
      <c r="AK147" s="556" t="n">
        <v>350904</v>
      </c>
      <c r="AL147" s="509"/>
      <c r="AM147" s="529" t="s">
        <v>11452</v>
      </c>
    </row>
    <row r="148" customFormat="false" ht="13.5" hidden="false" customHeight="true" outlineLevel="0" collapsed="false">
      <c r="A148" s="542" t="s">
        <v>11061</v>
      </c>
      <c r="B148" s="508" t="n">
        <v>210</v>
      </c>
      <c r="C148" s="542" t="s">
        <v>11062</v>
      </c>
      <c r="D148" s="543" t="s">
        <v>11063</v>
      </c>
      <c r="E148" s="542" t="s">
        <v>4743</v>
      </c>
      <c r="F148" s="542" t="s">
        <v>10702</v>
      </c>
      <c r="G148" s="542" t="s">
        <v>2692</v>
      </c>
      <c r="H148" s="543" t="s">
        <v>10851</v>
      </c>
      <c r="I148" s="544"/>
      <c r="J148" s="544"/>
      <c r="K148" s="544" t="n">
        <v>2023</v>
      </c>
      <c r="L148" s="555" t="n">
        <v>345583</v>
      </c>
      <c r="M148" s="542"/>
      <c r="N148" s="555" t="n">
        <v>582999</v>
      </c>
      <c r="O148" s="555" t="n">
        <v>6051</v>
      </c>
      <c r="P148" s="555" t="n">
        <v>6115</v>
      </c>
      <c r="Q148" s="542"/>
      <c r="R148" s="542"/>
      <c r="S148" s="555" t="n">
        <v>4932</v>
      </c>
      <c r="T148" s="555" t="n">
        <v>1822</v>
      </c>
      <c r="U148" s="542"/>
      <c r="V148" s="542"/>
      <c r="W148" s="542"/>
      <c r="X148" s="555" t="n">
        <v>1452</v>
      </c>
      <c r="Y148" s="555" t="n">
        <v>8206</v>
      </c>
      <c r="Z148" s="542"/>
      <c r="AA148" s="555" t="n">
        <v>6275</v>
      </c>
      <c r="AB148" s="555" t="n">
        <v>13573</v>
      </c>
      <c r="AC148" s="555" t="n">
        <v>6967</v>
      </c>
      <c r="AD148" s="555" t="n">
        <v>11933</v>
      </c>
      <c r="AE148" s="542"/>
      <c r="AF148" s="555" t="n">
        <v>11933</v>
      </c>
      <c r="AG148" s="542"/>
      <c r="AH148" s="555" t="n">
        <v>71541</v>
      </c>
      <c r="AI148" s="555" t="n">
        <v>162088</v>
      </c>
      <c r="AJ148" s="555" t="n">
        <v>233629</v>
      </c>
      <c r="AK148" s="555" t="n">
        <v>349370</v>
      </c>
      <c r="AL148" s="542"/>
      <c r="AM148" s="543" t="s">
        <v>11452</v>
      </c>
    </row>
    <row r="149" customFormat="false" ht="13.5" hidden="false" customHeight="true" outlineLevel="0" collapsed="false">
      <c r="A149" s="509" t="s">
        <v>11065</v>
      </c>
      <c r="B149" s="508" t="n">
        <v>210</v>
      </c>
      <c r="C149" s="509" t="s">
        <v>11066</v>
      </c>
      <c r="D149" s="529" t="s">
        <v>11067</v>
      </c>
      <c r="E149" s="509" t="s">
        <v>4743</v>
      </c>
      <c r="F149" s="509" t="s">
        <v>10702</v>
      </c>
      <c r="G149" s="509" t="s">
        <v>2692</v>
      </c>
      <c r="H149" s="529" t="s">
        <v>10851</v>
      </c>
      <c r="I149" s="546"/>
      <c r="J149" s="546"/>
      <c r="K149" s="546" t="n">
        <v>2024</v>
      </c>
      <c r="L149" s="556" t="n">
        <v>406844</v>
      </c>
      <c r="M149" s="509"/>
      <c r="N149" s="556" t="n">
        <v>797212</v>
      </c>
      <c r="O149" s="556" t="n">
        <v>45992</v>
      </c>
      <c r="P149" s="556" t="n">
        <v>6921</v>
      </c>
      <c r="Q149" s="509"/>
      <c r="R149" s="509"/>
      <c r="S149" s="556" t="n">
        <v>10380</v>
      </c>
      <c r="T149" s="556" t="n">
        <v>3470</v>
      </c>
      <c r="U149" s="556" t="n">
        <v>2000</v>
      </c>
      <c r="V149" s="509"/>
      <c r="W149" s="509"/>
      <c r="X149" s="556" t="n">
        <v>1676</v>
      </c>
      <c r="Y149" s="556" t="n">
        <v>17526</v>
      </c>
      <c r="Z149" s="509"/>
      <c r="AA149" s="556" t="n">
        <v>8417</v>
      </c>
      <c r="AB149" s="556" t="n">
        <v>30101</v>
      </c>
      <c r="AC149" s="556" t="n">
        <v>8211</v>
      </c>
      <c r="AD149" s="556" t="n">
        <v>12042</v>
      </c>
      <c r="AE149" s="556" t="n">
        <v>3218</v>
      </c>
      <c r="AF149" s="556" t="n">
        <v>15260</v>
      </c>
      <c r="AG149" s="509"/>
      <c r="AH149" s="556" t="n">
        <v>180865</v>
      </c>
      <c r="AI149" s="556" t="n">
        <v>410137</v>
      </c>
      <c r="AJ149" s="556" t="n">
        <v>591002</v>
      </c>
      <c r="AK149" s="556" t="n">
        <v>206210</v>
      </c>
      <c r="AL149" s="509"/>
      <c r="AM149" s="529" t="s">
        <v>11453</v>
      </c>
    </row>
    <row r="150" customFormat="false" ht="13.5" hidden="false" customHeight="true" outlineLevel="0" collapsed="false">
      <c r="A150" s="542" t="s">
        <v>11065</v>
      </c>
      <c r="B150" s="508" t="n">
        <v>210</v>
      </c>
      <c r="C150" s="542" t="s">
        <v>11066</v>
      </c>
      <c r="D150" s="543" t="s">
        <v>11067</v>
      </c>
      <c r="E150" s="542" t="s">
        <v>4743</v>
      </c>
      <c r="F150" s="542" t="s">
        <v>10702</v>
      </c>
      <c r="G150" s="542" t="s">
        <v>2692</v>
      </c>
      <c r="H150" s="543" t="s">
        <v>10851</v>
      </c>
      <c r="I150" s="544"/>
      <c r="J150" s="544"/>
      <c r="K150" s="544" t="n">
        <v>2023</v>
      </c>
      <c r="L150" s="555" t="n">
        <v>787792</v>
      </c>
      <c r="M150" s="542"/>
      <c r="N150" s="555" t="n">
        <v>1333856</v>
      </c>
      <c r="O150" s="555" t="n">
        <v>12351</v>
      </c>
      <c r="P150" s="555" t="n">
        <v>13140</v>
      </c>
      <c r="Q150" s="542"/>
      <c r="R150" s="542"/>
      <c r="S150" s="555" t="n">
        <v>10370</v>
      </c>
      <c r="T150" s="555" t="n">
        <v>3061</v>
      </c>
      <c r="U150" s="555" t="n">
        <v>0</v>
      </c>
      <c r="V150" s="542"/>
      <c r="W150" s="542"/>
      <c r="X150" s="555" t="n">
        <v>1572</v>
      </c>
      <c r="Y150" s="555" t="n">
        <v>15003</v>
      </c>
      <c r="Z150" s="542"/>
      <c r="AA150" s="555" t="n">
        <v>24879</v>
      </c>
      <c r="AB150" s="555" t="n">
        <v>16871</v>
      </c>
      <c r="AC150" s="555" t="n">
        <v>7678</v>
      </c>
      <c r="AD150" s="555" t="n">
        <v>12785</v>
      </c>
      <c r="AE150" s="542"/>
      <c r="AF150" s="555" t="n">
        <v>12785</v>
      </c>
      <c r="AG150" s="542"/>
      <c r="AH150" s="555" t="n">
        <v>123031</v>
      </c>
      <c r="AI150" s="555" t="n">
        <v>409295</v>
      </c>
      <c r="AJ150" s="555" t="n">
        <v>532326</v>
      </c>
      <c r="AK150" s="555" t="n">
        <v>801530</v>
      </c>
      <c r="AL150" s="542"/>
      <c r="AM150" s="543" t="s">
        <v>11454</v>
      </c>
    </row>
    <row r="151" customFormat="false" ht="13.5" hidden="false" customHeight="true" outlineLevel="0" collapsed="false">
      <c r="A151" s="509" t="s">
        <v>11069</v>
      </c>
      <c r="B151" s="508" t="n">
        <v>210</v>
      </c>
      <c r="C151" s="509" t="s">
        <v>11070</v>
      </c>
      <c r="D151" s="529" t="s">
        <v>11350</v>
      </c>
      <c r="E151" s="509" t="s">
        <v>4743</v>
      </c>
      <c r="F151" s="509" t="s">
        <v>10702</v>
      </c>
      <c r="G151" s="509" t="s">
        <v>2692</v>
      </c>
      <c r="H151" s="529" t="s">
        <v>10851</v>
      </c>
      <c r="I151" s="546"/>
      <c r="J151" s="546"/>
      <c r="K151" s="546" t="n">
        <v>2024</v>
      </c>
      <c r="L151" s="556" t="n">
        <v>987101</v>
      </c>
      <c r="M151" s="509"/>
      <c r="N151" s="556" t="n">
        <v>1613814</v>
      </c>
      <c r="O151" s="556" t="n">
        <v>26027</v>
      </c>
      <c r="P151" s="556" t="n">
        <v>17785</v>
      </c>
      <c r="Q151" s="509"/>
      <c r="R151" s="509"/>
      <c r="S151" s="556" t="n">
        <v>9496</v>
      </c>
      <c r="T151" s="556" t="n">
        <v>2104</v>
      </c>
      <c r="U151" s="509"/>
      <c r="V151" s="509"/>
      <c r="W151" s="509"/>
      <c r="X151" s="556" t="n">
        <v>1676</v>
      </c>
      <c r="Y151" s="556" t="n">
        <v>13276</v>
      </c>
      <c r="Z151" s="509"/>
      <c r="AA151" s="556" t="n">
        <v>11885</v>
      </c>
      <c r="AB151" s="556" t="n">
        <v>37419</v>
      </c>
      <c r="AC151" s="556" t="n">
        <v>5705</v>
      </c>
      <c r="AD151" s="556" t="n">
        <v>39182</v>
      </c>
      <c r="AE151" s="556" t="n">
        <v>1573</v>
      </c>
      <c r="AF151" s="556" t="n">
        <v>40755</v>
      </c>
      <c r="AG151" s="509"/>
      <c r="AH151" s="556" t="n">
        <v>178810</v>
      </c>
      <c r="AI151" s="556" t="n">
        <v>442744</v>
      </c>
      <c r="AJ151" s="556" t="n">
        <v>621554</v>
      </c>
      <c r="AK151" s="556" t="n">
        <v>992260</v>
      </c>
      <c r="AL151" s="509"/>
      <c r="AM151" s="529" t="s">
        <v>11455</v>
      </c>
    </row>
    <row r="152" customFormat="false" ht="13.5" hidden="false" customHeight="true" outlineLevel="0" collapsed="false">
      <c r="A152" s="542" t="s">
        <v>11069</v>
      </c>
      <c r="B152" s="508" t="n">
        <v>210</v>
      </c>
      <c r="C152" s="542" t="s">
        <v>11070</v>
      </c>
      <c r="D152" s="543" t="s">
        <v>11350</v>
      </c>
      <c r="E152" s="542" t="s">
        <v>4743</v>
      </c>
      <c r="F152" s="542" t="s">
        <v>10702</v>
      </c>
      <c r="G152" s="542" t="s">
        <v>2692</v>
      </c>
      <c r="H152" s="543" t="s">
        <v>10851</v>
      </c>
      <c r="I152" s="544"/>
      <c r="J152" s="544"/>
      <c r="K152" s="544" t="n">
        <v>2023</v>
      </c>
      <c r="L152" s="555" t="n">
        <v>932587</v>
      </c>
      <c r="M152" s="542"/>
      <c r="N152" s="555" t="n">
        <v>1610926</v>
      </c>
      <c r="O152" s="555" t="n">
        <v>12903</v>
      </c>
      <c r="P152" s="555" t="n">
        <v>15271</v>
      </c>
      <c r="Q152" s="542"/>
      <c r="R152" s="542"/>
      <c r="S152" s="555" t="n">
        <v>16438</v>
      </c>
      <c r="T152" s="555" t="n">
        <v>17000</v>
      </c>
      <c r="U152" s="542"/>
      <c r="V152" s="542"/>
      <c r="W152" s="542"/>
      <c r="X152" s="555" t="n">
        <v>1572</v>
      </c>
      <c r="Y152" s="555" t="n">
        <v>35010</v>
      </c>
      <c r="Z152" s="542"/>
      <c r="AA152" s="555" t="n">
        <v>11941</v>
      </c>
      <c r="AB152" s="555" t="n">
        <v>21409</v>
      </c>
      <c r="AC152" s="555" t="n">
        <v>54490</v>
      </c>
      <c r="AD152" s="555" t="n">
        <v>34733</v>
      </c>
      <c r="AE152" s="555" t="n">
        <v>1638</v>
      </c>
      <c r="AF152" s="555" t="n">
        <v>36371</v>
      </c>
      <c r="AG152" s="542"/>
      <c r="AH152" s="555" t="n">
        <v>211012</v>
      </c>
      <c r="AI152" s="555" t="n">
        <v>441491</v>
      </c>
      <c r="AJ152" s="555" t="n">
        <v>652503</v>
      </c>
      <c r="AK152" s="555" t="n">
        <v>958423</v>
      </c>
      <c r="AL152" s="542"/>
      <c r="AM152" s="543" t="s">
        <v>11455</v>
      </c>
    </row>
    <row r="153" customFormat="false" ht="13.5" hidden="false" customHeight="true" outlineLevel="0" collapsed="false">
      <c r="A153" s="509" t="s">
        <v>11073</v>
      </c>
      <c r="B153" s="508" t="n">
        <v>210</v>
      </c>
      <c r="C153" s="509" t="s">
        <v>11070</v>
      </c>
      <c r="D153" s="529" t="s">
        <v>11352</v>
      </c>
      <c r="E153" s="509" t="s">
        <v>4743</v>
      </c>
      <c r="F153" s="509" t="s">
        <v>10702</v>
      </c>
      <c r="G153" s="509" t="s">
        <v>2692</v>
      </c>
      <c r="H153" s="529" t="s">
        <v>10851</v>
      </c>
      <c r="I153" s="546"/>
      <c r="J153" s="546"/>
      <c r="K153" s="546" t="n">
        <v>2024</v>
      </c>
      <c r="L153" s="556" t="n">
        <v>977394</v>
      </c>
      <c r="M153" s="509"/>
      <c r="N153" s="556" t="n">
        <v>1537076</v>
      </c>
      <c r="O153" s="556" t="n">
        <v>12170</v>
      </c>
      <c r="P153" s="556" t="n">
        <v>17077</v>
      </c>
      <c r="Q153" s="509"/>
      <c r="R153" s="509"/>
      <c r="S153" s="556" t="n">
        <v>10377</v>
      </c>
      <c r="T153" s="556" t="n">
        <v>1760</v>
      </c>
      <c r="U153" s="556" t="n">
        <v>265</v>
      </c>
      <c r="V153" s="509"/>
      <c r="W153" s="509"/>
      <c r="X153" s="556" t="n">
        <v>1636</v>
      </c>
      <c r="Y153" s="556" t="n">
        <v>13036</v>
      </c>
      <c r="Z153" s="509"/>
      <c r="AA153" s="556" t="n">
        <v>10043</v>
      </c>
      <c r="AB153" s="556" t="n">
        <v>41626</v>
      </c>
      <c r="AC153" s="556" t="n">
        <v>5705</v>
      </c>
      <c r="AD153" s="556" t="n">
        <v>19336</v>
      </c>
      <c r="AE153" s="556" t="n">
        <v>2462</v>
      </c>
      <c r="AF153" s="556" t="n">
        <v>21798</v>
      </c>
      <c r="AG153" s="509"/>
      <c r="AH153" s="556" t="n">
        <v>228019</v>
      </c>
      <c r="AI153" s="556" t="n">
        <v>364330</v>
      </c>
      <c r="AJ153" s="556" t="n">
        <v>592349</v>
      </c>
      <c r="AK153" s="556" t="n">
        <v>944727</v>
      </c>
      <c r="AL153" s="509"/>
      <c r="AM153" s="529" t="s">
        <v>11456</v>
      </c>
    </row>
    <row r="154" customFormat="false" ht="13.5" hidden="false" customHeight="true" outlineLevel="0" collapsed="false">
      <c r="A154" s="542" t="s">
        <v>11076</v>
      </c>
      <c r="B154" s="508" t="n">
        <v>210</v>
      </c>
      <c r="C154" s="542" t="s">
        <v>11070</v>
      </c>
      <c r="D154" s="543" t="s">
        <v>11354</v>
      </c>
      <c r="E154" s="542" t="s">
        <v>4743</v>
      </c>
      <c r="F154" s="542" t="s">
        <v>10702</v>
      </c>
      <c r="G154" s="542" t="s">
        <v>2692</v>
      </c>
      <c r="H154" s="543" t="s">
        <v>10851</v>
      </c>
      <c r="I154" s="544"/>
      <c r="J154" s="544"/>
      <c r="K154" s="544" t="n">
        <v>2024</v>
      </c>
      <c r="L154" s="555" t="n">
        <v>436928</v>
      </c>
      <c r="M154" s="542"/>
      <c r="N154" s="555" t="n">
        <v>714461</v>
      </c>
      <c r="O154" s="555" t="n">
        <v>6456</v>
      </c>
      <c r="P154" s="555" t="n">
        <v>6962</v>
      </c>
      <c r="Q154" s="542"/>
      <c r="R154" s="542"/>
      <c r="S154" s="555" t="n">
        <v>6889</v>
      </c>
      <c r="T154" s="555" t="n">
        <v>1125</v>
      </c>
      <c r="U154" s="555" t="n">
        <v>285</v>
      </c>
      <c r="V154" s="542"/>
      <c r="W154" s="542"/>
      <c r="X154" s="555" t="n">
        <v>1546</v>
      </c>
      <c r="Y154" s="555" t="n">
        <v>9845</v>
      </c>
      <c r="Z154" s="542"/>
      <c r="AA154" s="555" t="n">
        <v>6931</v>
      </c>
      <c r="AB154" s="555" t="n">
        <v>27052</v>
      </c>
      <c r="AC154" s="555" t="n">
        <v>5705</v>
      </c>
      <c r="AD154" s="542"/>
      <c r="AE154" s="555" t="n">
        <v>929</v>
      </c>
      <c r="AF154" s="555" t="n">
        <v>929</v>
      </c>
      <c r="AG154" s="542"/>
      <c r="AH154" s="555" t="n">
        <v>77944</v>
      </c>
      <c r="AI154" s="555" t="n">
        <v>188633</v>
      </c>
      <c r="AJ154" s="555" t="n">
        <v>266577</v>
      </c>
      <c r="AK154" s="555" t="n">
        <v>447884</v>
      </c>
      <c r="AL154" s="542"/>
      <c r="AM154" s="543" t="s">
        <v>11457</v>
      </c>
    </row>
    <row r="155" customFormat="false" ht="13.5" hidden="false" customHeight="true" outlineLevel="0" collapsed="false">
      <c r="A155" s="509" t="s">
        <v>11079</v>
      </c>
      <c r="B155" s="508" t="n">
        <v>584</v>
      </c>
      <c r="C155" s="509" t="s">
        <v>11080</v>
      </c>
      <c r="D155" s="529" t="s">
        <v>11356</v>
      </c>
      <c r="E155" s="509" t="s">
        <v>4743</v>
      </c>
      <c r="F155" s="509" t="s">
        <v>10702</v>
      </c>
      <c r="G155" s="509" t="s">
        <v>2692</v>
      </c>
      <c r="H155" s="529" t="s">
        <v>10802</v>
      </c>
      <c r="I155" s="546"/>
      <c r="J155" s="546"/>
      <c r="K155" s="546" t="n">
        <v>2024</v>
      </c>
      <c r="L155" s="556" t="n">
        <v>3771986</v>
      </c>
      <c r="M155" s="509"/>
      <c r="N155" s="556" t="n">
        <v>7045455</v>
      </c>
      <c r="O155" s="556" t="n">
        <v>83764</v>
      </c>
      <c r="P155" s="556" t="n">
        <v>67999</v>
      </c>
      <c r="Q155" s="509"/>
      <c r="R155" s="509"/>
      <c r="S155" s="509"/>
      <c r="T155" s="509"/>
      <c r="U155" s="509"/>
      <c r="V155" s="509"/>
      <c r="W155" s="509"/>
      <c r="X155" s="556" t="n">
        <v>5829</v>
      </c>
      <c r="Y155" s="556" t="n">
        <v>5829</v>
      </c>
      <c r="Z155" s="509"/>
      <c r="AA155" s="509"/>
      <c r="AB155" s="509"/>
      <c r="AC155" s="509"/>
      <c r="AD155" s="509"/>
      <c r="AE155" s="509"/>
      <c r="AF155" s="509"/>
      <c r="AG155" s="509"/>
      <c r="AH155" s="556" t="n">
        <v>381011</v>
      </c>
      <c r="AI155" s="556" t="n">
        <v>2407392</v>
      </c>
      <c r="AJ155" s="556" t="n">
        <v>2788403</v>
      </c>
      <c r="AK155" s="556" t="n">
        <v>4257052</v>
      </c>
      <c r="AL155" s="509"/>
      <c r="AM155" s="529" t="s">
        <v>11458</v>
      </c>
    </row>
    <row r="156" customFormat="false" ht="13.5" hidden="false" customHeight="true" outlineLevel="0" collapsed="false">
      <c r="A156" s="542" t="s">
        <v>11079</v>
      </c>
      <c r="B156" s="508" t="n">
        <v>584</v>
      </c>
      <c r="C156" s="542" t="s">
        <v>11080</v>
      </c>
      <c r="D156" s="543" t="s">
        <v>11356</v>
      </c>
      <c r="E156" s="542" t="s">
        <v>4743</v>
      </c>
      <c r="F156" s="542" t="s">
        <v>10702</v>
      </c>
      <c r="G156" s="542" t="s">
        <v>2692</v>
      </c>
      <c r="H156" s="543" t="s">
        <v>10802</v>
      </c>
      <c r="I156" s="544"/>
      <c r="J156" s="544"/>
      <c r="K156" s="544" t="n">
        <v>2023</v>
      </c>
      <c r="L156" s="555" t="n">
        <v>3679986</v>
      </c>
      <c r="M156" s="542"/>
      <c r="N156" s="555" t="n">
        <v>6546351</v>
      </c>
      <c r="O156" s="555" t="n">
        <v>60105</v>
      </c>
      <c r="P156" s="555" t="n">
        <v>54144</v>
      </c>
      <c r="Q156" s="542"/>
      <c r="R156" s="542"/>
      <c r="S156" s="542"/>
      <c r="T156" s="542"/>
      <c r="U156" s="542"/>
      <c r="V156" s="542"/>
      <c r="W156" s="542"/>
      <c r="X156" s="555" t="n">
        <v>4184</v>
      </c>
      <c r="Y156" s="555" t="n">
        <v>4184</v>
      </c>
      <c r="Z156" s="542"/>
      <c r="AA156" s="542"/>
      <c r="AB156" s="542"/>
      <c r="AC156" s="542"/>
      <c r="AD156" s="542"/>
      <c r="AE156" s="542"/>
      <c r="AF156" s="542"/>
      <c r="AG156" s="542"/>
      <c r="AH156" s="555" t="n">
        <v>101213</v>
      </c>
      <c r="AI156" s="555" t="n">
        <v>2175995</v>
      </c>
      <c r="AJ156" s="555" t="n">
        <v>2277208</v>
      </c>
      <c r="AK156" s="555" t="n">
        <v>4269143</v>
      </c>
      <c r="AL156" s="542"/>
      <c r="AM156" s="543" t="s">
        <v>11458</v>
      </c>
    </row>
    <row r="157" customFormat="false" ht="13.5" hidden="false" customHeight="true" outlineLevel="0" collapsed="false">
      <c r="A157" s="509" t="s">
        <v>11083</v>
      </c>
      <c r="B157" s="508" t="n">
        <v>407</v>
      </c>
      <c r="C157" s="509" t="s">
        <v>11084</v>
      </c>
      <c r="D157" s="529" t="s">
        <v>11085</v>
      </c>
      <c r="E157" s="509" t="s">
        <v>4420</v>
      </c>
      <c r="F157" s="509" t="s">
        <v>10702</v>
      </c>
      <c r="G157" s="509" t="s">
        <v>2692</v>
      </c>
      <c r="H157" s="529" t="s">
        <v>10819</v>
      </c>
      <c r="I157" s="546"/>
      <c r="J157" s="546"/>
      <c r="K157" s="546" t="n">
        <v>2024</v>
      </c>
      <c r="L157" s="556" t="n">
        <v>2966529</v>
      </c>
      <c r="M157" s="509"/>
      <c r="N157" s="556" t="n">
        <v>7433451</v>
      </c>
      <c r="O157" s="556" t="n">
        <v>32539</v>
      </c>
      <c r="P157" s="556" t="n">
        <v>86633</v>
      </c>
      <c r="Q157" s="509"/>
      <c r="R157" s="509"/>
      <c r="S157" s="556" t="n">
        <v>21784</v>
      </c>
      <c r="T157" s="509"/>
      <c r="U157" s="509"/>
      <c r="V157" s="509"/>
      <c r="W157" s="509"/>
      <c r="X157" s="509"/>
      <c r="Y157" s="556" t="n">
        <v>21784</v>
      </c>
      <c r="Z157" s="509"/>
      <c r="AA157" s="556" t="n">
        <v>30810</v>
      </c>
      <c r="AB157" s="556" t="n">
        <v>188483</v>
      </c>
      <c r="AC157" s="509"/>
      <c r="AD157" s="556" t="n">
        <v>29080</v>
      </c>
      <c r="AE157" s="509"/>
      <c r="AF157" s="556" t="n">
        <v>29080</v>
      </c>
      <c r="AG157" s="509"/>
      <c r="AH157" s="556" t="n">
        <v>1433299</v>
      </c>
      <c r="AI157" s="556" t="n">
        <v>3137254</v>
      </c>
      <c r="AJ157" s="556" t="n">
        <v>4570553</v>
      </c>
      <c r="AK157" s="556" t="n">
        <v>2862898</v>
      </c>
      <c r="AL157" s="509"/>
      <c r="AM157" s="529" t="s">
        <v>11459</v>
      </c>
    </row>
    <row r="158" customFormat="false" ht="13.5" hidden="false" customHeight="true" outlineLevel="0" collapsed="false">
      <c r="A158" s="542" t="s">
        <v>11083</v>
      </c>
      <c r="B158" s="508" t="n">
        <v>407</v>
      </c>
      <c r="C158" s="542" t="s">
        <v>11084</v>
      </c>
      <c r="D158" s="543" t="s">
        <v>11085</v>
      </c>
      <c r="E158" s="542" t="s">
        <v>4420</v>
      </c>
      <c r="F158" s="542" t="s">
        <v>10702</v>
      </c>
      <c r="G158" s="542" t="s">
        <v>2692</v>
      </c>
      <c r="H158" s="543" t="s">
        <v>10819</v>
      </c>
      <c r="I158" s="544"/>
      <c r="J158" s="544"/>
      <c r="K158" s="544" t="n">
        <v>2023</v>
      </c>
      <c r="L158" s="555" t="n">
        <v>2897673</v>
      </c>
      <c r="M158" s="542"/>
      <c r="N158" s="555" t="n">
        <v>5335437</v>
      </c>
      <c r="O158" s="555" t="n">
        <v>29390</v>
      </c>
      <c r="P158" s="555" t="n">
        <v>83488</v>
      </c>
      <c r="Q158" s="542"/>
      <c r="R158" s="542"/>
      <c r="S158" s="555" t="n">
        <v>35137</v>
      </c>
      <c r="T158" s="542"/>
      <c r="U158" s="542"/>
      <c r="V158" s="542"/>
      <c r="W158" s="542"/>
      <c r="X158" s="542"/>
      <c r="Y158" s="555" t="n">
        <v>35137</v>
      </c>
      <c r="Z158" s="542"/>
      <c r="AA158" s="555" t="n">
        <v>33419</v>
      </c>
      <c r="AB158" s="555" t="n">
        <v>151223</v>
      </c>
      <c r="AC158" s="542"/>
      <c r="AD158" s="555" t="n">
        <v>24034</v>
      </c>
      <c r="AE158" s="542"/>
      <c r="AF158" s="555" t="n">
        <v>24034</v>
      </c>
      <c r="AG158" s="542"/>
      <c r="AH158" s="555" t="n">
        <v>541522</v>
      </c>
      <c r="AI158" s="555" t="n">
        <v>2045093</v>
      </c>
      <c r="AJ158" s="555" t="n">
        <v>2586615</v>
      </c>
      <c r="AK158" s="555" t="n">
        <v>2748822</v>
      </c>
      <c r="AL158" s="542"/>
      <c r="AM158" s="543" t="s">
        <v>11460</v>
      </c>
    </row>
    <row r="159" customFormat="false" ht="13.5" hidden="false" customHeight="true" outlineLevel="0" collapsed="false">
      <c r="A159" s="509" t="s">
        <v>11089</v>
      </c>
      <c r="B159" s="508" t="n">
        <v>407</v>
      </c>
      <c r="C159" s="509" t="s">
        <v>11090</v>
      </c>
      <c r="D159" s="529" t="s">
        <v>11091</v>
      </c>
      <c r="E159" s="509" t="s">
        <v>4743</v>
      </c>
      <c r="F159" s="509" t="s">
        <v>10702</v>
      </c>
      <c r="G159" s="509" t="s">
        <v>2692</v>
      </c>
      <c r="H159" s="529" t="s">
        <v>10819</v>
      </c>
      <c r="I159" s="546"/>
      <c r="J159" s="546"/>
      <c r="K159" s="546" t="n">
        <v>2024</v>
      </c>
      <c r="L159" s="556" t="n">
        <v>1502445</v>
      </c>
      <c r="M159" s="509"/>
      <c r="N159" s="556" t="n">
        <v>1698847</v>
      </c>
      <c r="O159" s="556" t="n">
        <v>18279</v>
      </c>
      <c r="P159" s="556" t="n">
        <v>45073</v>
      </c>
      <c r="Q159" s="509"/>
      <c r="R159" s="509"/>
      <c r="S159" s="556" t="n">
        <v>14583</v>
      </c>
      <c r="T159" s="509"/>
      <c r="U159" s="509"/>
      <c r="V159" s="509"/>
      <c r="W159" s="509"/>
      <c r="X159" s="509"/>
      <c r="Y159" s="556" t="n">
        <v>14583</v>
      </c>
      <c r="Z159" s="509"/>
      <c r="AA159" s="556" t="n">
        <v>30156</v>
      </c>
      <c r="AB159" s="556" t="n">
        <v>117922</v>
      </c>
      <c r="AC159" s="509"/>
      <c r="AD159" s="509"/>
      <c r="AE159" s="509"/>
      <c r="AF159" s="509"/>
      <c r="AG159" s="509"/>
      <c r="AH159" s="556" t="n">
        <v>268829</v>
      </c>
      <c r="AI159" s="556" t="n">
        <v>0</v>
      </c>
      <c r="AJ159" s="556" t="n">
        <v>268829</v>
      </c>
      <c r="AK159" s="556" t="n">
        <v>1430018</v>
      </c>
      <c r="AL159" s="509"/>
      <c r="AM159" s="529" t="s">
        <v>11461</v>
      </c>
    </row>
    <row r="160" customFormat="false" ht="13.5" hidden="false" customHeight="true" outlineLevel="0" collapsed="false">
      <c r="A160" s="542" t="s">
        <v>11089</v>
      </c>
      <c r="B160" s="508" t="n">
        <v>407</v>
      </c>
      <c r="C160" s="542" t="s">
        <v>11090</v>
      </c>
      <c r="D160" s="543" t="s">
        <v>11091</v>
      </c>
      <c r="E160" s="542" t="s">
        <v>4743</v>
      </c>
      <c r="F160" s="542" t="s">
        <v>10702</v>
      </c>
      <c r="G160" s="542" t="s">
        <v>2692</v>
      </c>
      <c r="H160" s="543" t="s">
        <v>10819</v>
      </c>
      <c r="I160" s="544"/>
      <c r="J160" s="544"/>
      <c r="K160" s="544" t="n">
        <v>2023</v>
      </c>
      <c r="L160" s="555" t="n">
        <v>1458685</v>
      </c>
      <c r="M160" s="542"/>
      <c r="N160" s="555" t="n">
        <v>1647477</v>
      </c>
      <c r="O160" s="555" t="n">
        <v>15865</v>
      </c>
      <c r="P160" s="555" t="n">
        <v>43761</v>
      </c>
      <c r="Q160" s="542"/>
      <c r="R160" s="542"/>
      <c r="S160" s="555" t="n">
        <v>12850</v>
      </c>
      <c r="T160" s="542"/>
      <c r="U160" s="542"/>
      <c r="V160" s="542"/>
      <c r="W160" s="542"/>
      <c r="X160" s="542"/>
      <c r="Y160" s="555" t="n">
        <v>12850</v>
      </c>
      <c r="Z160" s="542"/>
      <c r="AA160" s="555" t="n">
        <v>31555</v>
      </c>
      <c r="AB160" s="555" t="n">
        <v>112261</v>
      </c>
      <c r="AC160" s="542"/>
      <c r="AD160" s="542"/>
      <c r="AE160" s="542"/>
      <c r="AF160" s="542"/>
      <c r="AG160" s="542"/>
      <c r="AH160" s="555" t="n">
        <v>238940</v>
      </c>
      <c r="AI160" s="555" t="n">
        <v>0</v>
      </c>
      <c r="AJ160" s="555" t="n">
        <v>238940</v>
      </c>
      <c r="AK160" s="555" t="n">
        <v>1408537</v>
      </c>
      <c r="AL160" s="542"/>
      <c r="AM160" s="543" t="s">
        <v>11461</v>
      </c>
    </row>
    <row r="161" customFormat="false" ht="13.5" hidden="false" customHeight="true" outlineLevel="0" collapsed="false">
      <c r="A161" s="509" t="s">
        <v>11093</v>
      </c>
      <c r="B161" s="508" t="n">
        <v>407</v>
      </c>
      <c r="C161" s="509" t="s">
        <v>2156</v>
      </c>
      <c r="D161" s="529" t="s">
        <v>11094</v>
      </c>
      <c r="E161" s="509" t="s">
        <v>4743</v>
      </c>
      <c r="F161" s="509" t="s">
        <v>10702</v>
      </c>
      <c r="G161" s="509" t="s">
        <v>2692</v>
      </c>
      <c r="H161" s="529" t="s">
        <v>10819</v>
      </c>
      <c r="I161" s="546"/>
      <c r="J161" s="546"/>
      <c r="K161" s="546" t="n">
        <v>2024</v>
      </c>
      <c r="L161" s="556" t="n">
        <v>187536</v>
      </c>
      <c r="M161" s="509"/>
      <c r="N161" s="556" t="n">
        <v>335936</v>
      </c>
      <c r="O161" s="556" t="n">
        <v>185</v>
      </c>
      <c r="P161" s="556" t="n">
        <v>6539</v>
      </c>
      <c r="Q161" s="509"/>
      <c r="R161" s="509"/>
      <c r="S161" s="556" t="n">
        <v>6694</v>
      </c>
      <c r="T161" s="509"/>
      <c r="U161" s="509"/>
      <c r="V161" s="509"/>
      <c r="W161" s="509"/>
      <c r="X161" s="509"/>
      <c r="Y161" s="556" t="n">
        <v>6694</v>
      </c>
      <c r="Z161" s="509"/>
      <c r="AA161" s="556" t="n">
        <v>1378</v>
      </c>
      <c r="AB161" s="556" t="n">
        <v>13095</v>
      </c>
      <c r="AC161" s="509"/>
      <c r="AD161" s="556" t="n">
        <v>52</v>
      </c>
      <c r="AE161" s="556" t="n">
        <v>6714</v>
      </c>
      <c r="AF161" s="556" t="n">
        <v>6766</v>
      </c>
      <c r="AG161" s="509"/>
      <c r="AH161" s="556" t="n">
        <v>42252</v>
      </c>
      <c r="AI161" s="556" t="n">
        <v>100794</v>
      </c>
      <c r="AJ161" s="556" t="n">
        <v>143046</v>
      </c>
      <c r="AK161" s="556" t="n">
        <v>181918</v>
      </c>
      <c r="AL161" s="509"/>
      <c r="AM161" s="529" t="s">
        <v>11462</v>
      </c>
    </row>
    <row r="162" customFormat="false" ht="13.5" hidden="false" customHeight="true" outlineLevel="0" collapsed="false">
      <c r="A162" s="542" t="s">
        <v>11098</v>
      </c>
      <c r="B162" s="508" t="n">
        <v>407</v>
      </c>
      <c r="C162" s="542" t="s">
        <v>2156</v>
      </c>
      <c r="D162" s="543" t="s">
        <v>11099</v>
      </c>
      <c r="E162" s="542" t="s">
        <v>4743</v>
      </c>
      <c r="F162" s="542" t="s">
        <v>10702</v>
      </c>
      <c r="G162" s="542" t="s">
        <v>2692</v>
      </c>
      <c r="H162" s="543" t="s">
        <v>10819</v>
      </c>
      <c r="I162" s="544"/>
      <c r="J162" s="544"/>
      <c r="K162" s="544" t="n">
        <v>2024</v>
      </c>
      <c r="L162" s="555" t="n">
        <v>143974</v>
      </c>
      <c r="M162" s="542"/>
      <c r="N162" s="555" t="n">
        <v>314952</v>
      </c>
      <c r="O162" s="555" t="n">
        <v>375</v>
      </c>
      <c r="P162" s="555" t="n">
        <v>6224</v>
      </c>
      <c r="Q162" s="542"/>
      <c r="R162" s="542"/>
      <c r="S162" s="555" t="n">
        <v>13434</v>
      </c>
      <c r="T162" s="542"/>
      <c r="U162" s="542"/>
      <c r="V162" s="542"/>
      <c r="W162" s="542"/>
      <c r="X162" s="542"/>
      <c r="Y162" s="555" t="n">
        <v>13434</v>
      </c>
      <c r="Z162" s="542"/>
      <c r="AA162" s="555" t="n">
        <v>1877</v>
      </c>
      <c r="AB162" s="555" t="n">
        <v>25288</v>
      </c>
      <c r="AC162" s="542"/>
      <c r="AD162" s="555" t="n">
        <v>104</v>
      </c>
      <c r="AE162" s="555" t="n">
        <v>11552</v>
      </c>
      <c r="AF162" s="555" t="n">
        <v>11656</v>
      </c>
      <c r="AG162" s="542"/>
      <c r="AH162" s="555" t="n">
        <v>70908</v>
      </c>
      <c r="AI162" s="555" t="n">
        <v>203797</v>
      </c>
      <c r="AJ162" s="555" t="n">
        <v>274705</v>
      </c>
      <c r="AK162" s="555" t="n">
        <v>22624</v>
      </c>
      <c r="AL162" s="542"/>
      <c r="AM162" s="543" t="s">
        <v>11462</v>
      </c>
    </row>
    <row r="163" customFormat="false" ht="13.5" hidden="false" customHeight="true" outlineLevel="0" collapsed="false">
      <c r="A163" s="509" t="s">
        <v>11101</v>
      </c>
      <c r="B163" s="508" t="n">
        <v>407</v>
      </c>
      <c r="C163" s="509" t="s">
        <v>2156</v>
      </c>
      <c r="D163" s="529" t="s">
        <v>11102</v>
      </c>
      <c r="E163" s="509" t="s">
        <v>4743</v>
      </c>
      <c r="F163" s="509" t="s">
        <v>10702</v>
      </c>
      <c r="G163" s="509" t="s">
        <v>2692</v>
      </c>
      <c r="H163" s="529" t="s">
        <v>10819</v>
      </c>
      <c r="I163" s="546"/>
      <c r="J163" s="546"/>
      <c r="K163" s="546" t="n">
        <v>2024</v>
      </c>
      <c r="L163" s="556" t="n">
        <v>49334</v>
      </c>
      <c r="M163" s="509"/>
      <c r="N163" s="556" t="n">
        <v>85139</v>
      </c>
      <c r="O163" s="556" t="n">
        <v>153</v>
      </c>
      <c r="P163" s="556" t="n">
        <v>5032</v>
      </c>
      <c r="Q163" s="509"/>
      <c r="R163" s="509"/>
      <c r="S163" s="556" t="n">
        <v>10772</v>
      </c>
      <c r="T163" s="509"/>
      <c r="U163" s="509"/>
      <c r="V163" s="509"/>
      <c r="W163" s="509"/>
      <c r="X163" s="509"/>
      <c r="Y163" s="556" t="n">
        <v>10772</v>
      </c>
      <c r="Z163" s="509"/>
      <c r="AA163" s="556" t="n">
        <v>949</v>
      </c>
      <c r="AB163" s="556" t="n">
        <v>10894</v>
      </c>
      <c r="AC163" s="509"/>
      <c r="AD163" s="556" t="n">
        <v>207</v>
      </c>
      <c r="AE163" s="556" t="n">
        <v>8484</v>
      </c>
      <c r="AF163" s="556" t="n">
        <v>8691</v>
      </c>
      <c r="AG163" s="509"/>
      <c r="AH163" s="556" t="n">
        <v>57603</v>
      </c>
      <c r="AI163" s="556" t="n">
        <v>83077</v>
      </c>
      <c r="AJ163" s="556" t="n">
        <v>140680</v>
      </c>
      <c r="AK163" s="556" t="n">
        <v>-69674</v>
      </c>
      <c r="AL163" s="509"/>
      <c r="AM163" s="529" t="s">
        <v>11462</v>
      </c>
    </row>
    <row r="164" customFormat="false" ht="13.5" hidden="false" customHeight="true" outlineLevel="0" collapsed="false">
      <c r="A164" s="542" t="s">
        <v>11104</v>
      </c>
      <c r="B164" s="508" t="n">
        <v>210</v>
      </c>
      <c r="C164" s="542" t="s">
        <v>11105</v>
      </c>
      <c r="D164" s="543" t="s">
        <v>11106</v>
      </c>
      <c r="E164" s="542" t="s">
        <v>1557</v>
      </c>
      <c r="F164" s="542" t="s">
        <v>10702</v>
      </c>
      <c r="G164" s="542" t="s">
        <v>2692</v>
      </c>
      <c r="H164" s="543" t="s">
        <v>11107</v>
      </c>
      <c r="I164" s="544"/>
      <c r="J164" s="544" t="n">
        <v>33057</v>
      </c>
      <c r="K164" s="544" t="n">
        <v>2024</v>
      </c>
      <c r="L164" s="542"/>
      <c r="M164" s="542"/>
      <c r="N164" s="545" t="n">
        <v>11.7474</v>
      </c>
      <c r="O164" s="545" t="n">
        <v>0.8464</v>
      </c>
      <c r="P164" s="545" t="n">
        <v>0.4718</v>
      </c>
      <c r="Q164" s="542"/>
      <c r="R164" s="542"/>
      <c r="S164" s="542"/>
      <c r="T164" s="542"/>
      <c r="U164" s="545" t="n">
        <v>0.2489</v>
      </c>
      <c r="V164" s="542"/>
      <c r="W164" s="542"/>
      <c r="X164" s="545" t="n">
        <v>2.7614</v>
      </c>
      <c r="Y164" s="542"/>
      <c r="Z164" s="542"/>
      <c r="AA164" s="545" t="n">
        <v>0.1383</v>
      </c>
      <c r="AB164" s="545" t="n">
        <v>0.0758</v>
      </c>
      <c r="AC164" s="545" t="n">
        <v>1.6023</v>
      </c>
      <c r="AD164" s="542"/>
      <c r="AE164" s="542"/>
      <c r="AF164" s="545" t="n">
        <v>1.6128</v>
      </c>
      <c r="AG164" s="542"/>
      <c r="AH164" s="545" t="n">
        <v>7.4837</v>
      </c>
      <c r="AI164" s="542"/>
      <c r="AJ164" s="545" t="n">
        <v>7.4837</v>
      </c>
      <c r="AK164" s="545" t="n">
        <v>4.2637</v>
      </c>
      <c r="AL164" s="542"/>
      <c r="AM164" s="543" t="s">
        <v>11362</v>
      </c>
    </row>
    <row r="165" customFormat="false" ht="13.5" hidden="false" customHeight="true" outlineLevel="0" collapsed="false">
      <c r="A165" s="509" t="s">
        <v>11111</v>
      </c>
      <c r="B165" s="508" t="n">
        <v>406</v>
      </c>
      <c r="C165" s="509" t="s">
        <v>11112</v>
      </c>
      <c r="D165" s="529" t="s">
        <v>11113</v>
      </c>
      <c r="E165" s="509" t="s">
        <v>4743</v>
      </c>
      <c r="F165" s="509" t="s">
        <v>10702</v>
      </c>
      <c r="G165" s="509" t="s">
        <v>2692</v>
      </c>
      <c r="H165" s="529" t="s">
        <v>10855</v>
      </c>
      <c r="I165" s="546" t="n">
        <v>1980</v>
      </c>
      <c r="J165" s="546" t="n">
        <v>233808</v>
      </c>
      <c r="K165" s="546" t="n">
        <v>2023</v>
      </c>
      <c r="L165" s="509"/>
      <c r="M165" s="509"/>
      <c r="N165" s="547" t="n">
        <v>8.6093</v>
      </c>
      <c r="O165" s="547" t="n">
        <v>0.0521</v>
      </c>
      <c r="P165" s="547" t="n">
        <v>0.167</v>
      </c>
      <c r="Q165" s="509"/>
      <c r="R165" s="509"/>
      <c r="S165" s="509"/>
      <c r="T165" s="509"/>
      <c r="U165" s="509"/>
      <c r="V165" s="509"/>
      <c r="W165" s="509"/>
      <c r="X165" s="547" t="n">
        <v>0.1877</v>
      </c>
      <c r="Y165" s="547" t="n">
        <v>0.1877</v>
      </c>
      <c r="Z165" s="509"/>
      <c r="AA165" s="547" t="n">
        <v>0.0527</v>
      </c>
      <c r="AB165" s="547" t="n">
        <v>0.138</v>
      </c>
      <c r="AC165" s="547" t="n">
        <v>0.2173</v>
      </c>
      <c r="AD165" s="547" t="n">
        <v>0.1223</v>
      </c>
      <c r="AE165" s="509"/>
      <c r="AF165" s="547" t="n">
        <v>0.1223</v>
      </c>
      <c r="AG165" s="509"/>
      <c r="AH165" s="547" t="n">
        <v>0.7875</v>
      </c>
      <c r="AI165" s="547" t="n">
        <v>2.6041</v>
      </c>
      <c r="AJ165" s="547" t="n">
        <v>3.3916</v>
      </c>
      <c r="AK165" s="547" t="n">
        <v>5.2177</v>
      </c>
      <c r="AL165" s="509"/>
      <c r="AM165" s="529" t="s">
        <v>11363</v>
      </c>
    </row>
    <row r="166" customFormat="false" ht="13.5" hidden="false" customHeight="true" outlineLevel="0" collapsed="false">
      <c r="A166" s="542" t="s">
        <v>11111</v>
      </c>
      <c r="B166" s="508" t="n">
        <v>406</v>
      </c>
      <c r="C166" s="542" t="s">
        <v>11112</v>
      </c>
      <c r="D166" s="543" t="s">
        <v>11113</v>
      </c>
      <c r="E166" s="542" t="s">
        <v>4743</v>
      </c>
      <c r="F166" s="542" t="s">
        <v>10702</v>
      </c>
      <c r="G166" s="542" t="s">
        <v>2692</v>
      </c>
      <c r="H166" s="543" t="s">
        <v>10855</v>
      </c>
      <c r="I166" s="544" t="n">
        <v>1980</v>
      </c>
      <c r="J166" s="544" t="n">
        <v>233808</v>
      </c>
      <c r="K166" s="544" t="n">
        <v>2024</v>
      </c>
      <c r="L166" s="542"/>
      <c r="M166" s="542"/>
      <c r="N166" s="545" t="n">
        <v>8.7334</v>
      </c>
      <c r="O166" s="542"/>
      <c r="P166" s="542"/>
      <c r="Q166" s="542"/>
      <c r="R166" s="542"/>
      <c r="S166" s="542"/>
      <c r="T166" s="542"/>
      <c r="U166" s="542"/>
      <c r="V166" s="542"/>
      <c r="W166" s="542"/>
      <c r="X166" s="542"/>
      <c r="Y166" s="542"/>
      <c r="Z166" s="542"/>
      <c r="AA166" s="542"/>
      <c r="AB166" s="542"/>
      <c r="AC166" s="542"/>
      <c r="AD166" s="542"/>
      <c r="AE166" s="542"/>
      <c r="AF166" s="542"/>
      <c r="AG166" s="542"/>
      <c r="AH166" s="542"/>
      <c r="AI166" s="542"/>
      <c r="AJ166" s="545" t="n">
        <v>3.5718</v>
      </c>
      <c r="AK166" s="545" t="n">
        <v>5.1616</v>
      </c>
      <c r="AL166" s="542"/>
      <c r="AM166" s="543" t="s">
        <v>11364</v>
      </c>
    </row>
    <row r="167" customFormat="false" ht="13.5" hidden="false" customHeight="true" outlineLevel="0" collapsed="false">
      <c r="A167" s="509" t="s">
        <v>11116</v>
      </c>
      <c r="B167" s="508" t="n">
        <v>407</v>
      </c>
      <c r="C167" s="509" t="s">
        <v>6065</v>
      </c>
      <c r="D167" s="529" t="s">
        <v>11117</v>
      </c>
      <c r="E167" s="509" t="s">
        <v>2203</v>
      </c>
      <c r="F167" s="509" t="s">
        <v>10702</v>
      </c>
      <c r="G167" s="509" t="s">
        <v>2692</v>
      </c>
      <c r="H167" s="529" t="s">
        <v>11118</v>
      </c>
      <c r="I167" s="546" t="n">
        <v>2000</v>
      </c>
      <c r="J167" s="546" t="n">
        <v>80640</v>
      </c>
      <c r="K167" s="546" t="n">
        <v>2023</v>
      </c>
      <c r="L167" s="547" t="n">
        <v>6.2378</v>
      </c>
      <c r="M167" s="509"/>
      <c r="N167" s="509"/>
      <c r="O167" s="509"/>
      <c r="P167" s="509"/>
      <c r="Q167" s="509"/>
      <c r="R167" s="509"/>
      <c r="S167" s="509"/>
      <c r="T167" s="509"/>
      <c r="U167" s="509"/>
      <c r="V167" s="509"/>
      <c r="W167" s="509"/>
      <c r="X167" s="509"/>
      <c r="Y167" s="509"/>
      <c r="Z167" s="509"/>
      <c r="AA167" s="509"/>
      <c r="AB167" s="509"/>
      <c r="AC167" s="509"/>
      <c r="AD167" s="509"/>
      <c r="AE167" s="509"/>
      <c r="AF167" s="509"/>
      <c r="AG167" s="509"/>
      <c r="AH167" s="547" t="n">
        <v>0.2057</v>
      </c>
      <c r="AI167" s="509"/>
      <c r="AJ167" s="547" t="n">
        <v>0.2057</v>
      </c>
      <c r="AK167" s="547" t="n">
        <v>6.0321</v>
      </c>
      <c r="AL167" s="509"/>
      <c r="AM167" s="529" t="s">
        <v>11365</v>
      </c>
    </row>
    <row r="168" customFormat="false" ht="13.5" hidden="false" customHeight="true" outlineLevel="0" collapsed="false">
      <c r="A168" s="542" t="s">
        <v>11116</v>
      </c>
      <c r="B168" s="508" t="n">
        <v>407</v>
      </c>
      <c r="C168" s="542" t="s">
        <v>6065</v>
      </c>
      <c r="D168" s="543" t="s">
        <v>11117</v>
      </c>
      <c r="E168" s="542" t="s">
        <v>2203</v>
      </c>
      <c r="F168" s="542" t="s">
        <v>10702</v>
      </c>
      <c r="G168" s="542" t="s">
        <v>2692</v>
      </c>
      <c r="H168" s="543" t="s">
        <v>11118</v>
      </c>
      <c r="I168" s="544" t="n">
        <v>2000</v>
      </c>
      <c r="J168" s="544" t="n">
        <v>80640</v>
      </c>
      <c r="K168" s="544" t="n">
        <v>2024</v>
      </c>
      <c r="L168" s="545" t="n">
        <v>6.3625</v>
      </c>
      <c r="M168" s="542"/>
      <c r="N168" s="542"/>
      <c r="O168" s="542"/>
      <c r="P168" s="542"/>
      <c r="Q168" s="542"/>
      <c r="R168" s="542"/>
      <c r="S168" s="542"/>
      <c r="T168" s="542"/>
      <c r="U168" s="542"/>
      <c r="V168" s="542"/>
      <c r="W168" s="542"/>
      <c r="X168" s="542"/>
      <c r="Y168" s="542"/>
      <c r="Z168" s="542"/>
      <c r="AA168" s="542"/>
      <c r="AB168" s="542"/>
      <c r="AC168" s="542"/>
      <c r="AD168" s="542"/>
      <c r="AE168" s="542"/>
      <c r="AF168" s="542"/>
      <c r="AG168" s="542"/>
      <c r="AH168" s="545" t="n">
        <v>0.1921</v>
      </c>
      <c r="AI168" s="542"/>
      <c r="AJ168" s="545" t="n">
        <v>0.1921</v>
      </c>
      <c r="AK168" s="545" t="n">
        <v>6.1704</v>
      </c>
      <c r="AL168" s="542"/>
      <c r="AM168" s="543" t="s">
        <v>11366</v>
      </c>
    </row>
    <row r="169" customFormat="false" ht="13.5" hidden="false" customHeight="true" outlineLevel="0" collapsed="false">
      <c r="A169" s="509" t="s">
        <v>11120</v>
      </c>
      <c r="B169" s="508" t="n">
        <v>210</v>
      </c>
      <c r="C169" s="509" t="s">
        <v>11121</v>
      </c>
      <c r="D169" s="529" t="s">
        <v>11122</v>
      </c>
      <c r="E169" s="509" t="s">
        <v>4420</v>
      </c>
      <c r="F169" s="509" t="s">
        <v>10702</v>
      </c>
      <c r="G169" s="509" t="s">
        <v>2692</v>
      </c>
      <c r="H169" s="529" t="s">
        <v>11123</v>
      </c>
      <c r="I169" s="546"/>
      <c r="J169" s="546" t="n">
        <v>42299</v>
      </c>
      <c r="K169" s="546" t="n">
        <v>2024</v>
      </c>
      <c r="L169" s="509"/>
      <c r="M169" s="509"/>
      <c r="N169" s="547" t="n">
        <v>9.2595</v>
      </c>
      <c r="O169" s="509"/>
      <c r="P169" s="509"/>
      <c r="Q169" s="509"/>
      <c r="R169" s="509"/>
      <c r="S169" s="509"/>
      <c r="T169" s="509"/>
      <c r="U169" s="509"/>
      <c r="V169" s="509"/>
      <c r="W169" s="509"/>
      <c r="X169" s="509"/>
      <c r="Y169" s="509"/>
      <c r="Z169" s="509"/>
      <c r="AA169" s="509"/>
      <c r="AB169" s="509"/>
      <c r="AC169" s="509"/>
      <c r="AD169" s="509"/>
      <c r="AE169" s="509"/>
      <c r="AF169" s="509"/>
      <c r="AG169" s="509"/>
      <c r="AH169" s="547" t="n">
        <v>0.7408</v>
      </c>
      <c r="AI169" s="509"/>
      <c r="AJ169" s="547" t="n">
        <v>0.7408</v>
      </c>
      <c r="AK169" s="547" t="n">
        <v>8.5188</v>
      </c>
      <c r="AL169" s="509"/>
      <c r="AM169" s="529" t="s">
        <v>11367</v>
      </c>
    </row>
    <row r="170" customFormat="false" ht="13.5" hidden="false" customHeight="true" outlineLevel="0" collapsed="false">
      <c r="A170" s="542" t="s">
        <v>11125</v>
      </c>
      <c r="B170" s="508" t="n">
        <v>407</v>
      </c>
      <c r="C170" s="542" t="s">
        <v>11126</v>
      </c>
      <c r="D170" s="543" t="s">
        <v>11127</v>
      </c>
      <c r="E170" s="542" t="s">
        <v>9525</v>
      </c>
      <c r="F170" s="542" t="s">
        <v>10702</v>
      </c>
      <c r="G170" s="542" t="s">
        <v>2692</v>
      </c>
      <c r="H170" s="543" t="s">
        <v>11118</v>
      </c>
      <c r="I170" s="544" t="n">
        <v>2016</v>
      </c>
      <c r="J170" s="544" t="n">
        <v>122106</v>
      </c>
      <c r="K170" s="544" t="n">
        <v>2023</v>
      </c>
      <c r="L170" s="542"/>
      <c r="M170" s="542"/>
      <c r="N170" s="542"/>
      <c r="O170" s="545" t="n">
        <v>0.0609</v>
      </c>
      <c r="P170" s="542"/>
      <c r="Q170" s="542"/>
      <c r="R170" s="542"/>
      <c r="S170" s="542"/>
      <c r="T170" s="542"/>
      <c r="U170" s="542"/>
      <c r="V170" s="542"/>
      <c r="W170" s="542"/>
      <c r="X170" s="542"/>
      <c r="Y170" s="542"/>
      <c r="Z170" s="542"/>
      <c r="AA170" s="542"/>
      <c r="AB170" s="542"/>
      <c r="AC170" s="545" t="n">
        <v>0.415</v>
      </c>
      <c r="AD170" s="545" t="n">
        <v>0.4794</v>
      </c>
      <c r="AE170" s="542"/>
      <c r="AF170" s="545" t="n">
        <v>0.4794</v>
      </c>
      <c r="AG170" s="542"/>
      <c r="AH170" s="542"/>
      <c r="AI170" s="545" t="n">
        <v>3.233</v>
      </c>
      <c r="AJ170" s="545" t="n">
        <v>4.1884</v>
      </c>
      <c r="AK170" s="542"/>
      <c r="AL170" s="542"/>
      <c r="AM170" s="543" t="s">
        <v>11368</v>
      </c>
    </row>
    <row r="171" customFormat="false" ht="13.5" hidden="false" customHeight="true" outlineLevel="0" collapsed="false">
      <c r="A171" s="509" t="s">
        <v>11125</v>
      </c>
      <c r="B171" s="508" t="n">
        <v>407</v>
      </c>
      <c r="C171" s="509" t="s">
        <v>11126</v>
      </c>
      <c r="D171" s="529" t="s">
        <v>11127</v>
      </c>
      <c r="E171" s="509" t="s">
        <v>9525</v>
      </c>
      <c r="F171" s="509" t="s">
        <v>10702</v>
      </c>
      <c r="G171" s="509" t="s">
        <v>2692</v>
      </c>
      <c r="H171" s="529" t="s">
        <v>11118</v>
      </c>
      <c r="I171" s="546" t="n">
        <v>2016</v>
      </c>
      <c r="J171" s="546" t="n">
        <v>122106</v>
      </c>
      <c r="K171" s="546" t="n">
        <v>2024</v>
      </c>
      <c r="L171" s="509"/>
      <c r="M171" s="509"/>
      <c r="N171" s="509"/>
      <c r="O171" s="547" t="n">
        <v>0.0625</v>
      </c>
      <c r="P171" s="509"/>
      <c r="Q171" s="509"/>
      <c r="R171" s="509"/>
      <c r="S171" s="509"/>
      <c r="T171" s="509"/>
      <c r="U171" s="509"/>
      <c r="V171" s="509"/>
      <c r="W171" s="509"/>
      <c r="X171" s="509"/>
      <c r="Y171" s="509"/>
      <c r="Z171" s="509"/>
      <c r="AA171" s="509"/>
      <c r="AB171" s="509"/>
      <c r="AC171" s="547" t="n">
        <v>0.5279</v>
      </c>
      <c r="AD171" s="547" t="n">
        <v>0.4794</v>
      </c>
      <c r="AE171" s="509"/>
      <c r="AF171" s="547" t="n">
        <v>0.4794</v>
      </c>
      <c r="AG171" s="509"/>
      <c r="AH171" s="509"/>
      <c r="AI171" s="547" t="n">
        <v>4.358</v>
      </c>
      <c r="AJ171" s="547" t="n">
        <v>5.4279</v>
      </c>
      <c r="AK171" s="509"/>
      <c r="AL171" s="509"/>
      <c r="AM171" s="529" t="s">
        <v>11369</v>
      </c>
    </row>
    <row r="172" customFormat="false" ht="13.5" hidden="false" customHeight="true" outlineLevel="0" collapsed="false">
      <c r="A172" s="542" t="s">
        <v>11130</v>
      </c>
      <c r="B172" s="508" t="n">
        <v>407</v>
      </c>
      <c r="C172" s="542" t="s">
        <v>11131</v>
      </c>
      <c r="D172" s="543" t="s">
        <v>11132</v>
      </c>
      <c r="E172" s="542" t="s">
        <v>9525</v>
      </c>
      <c r="F172" s="542" t="s">
        <v>10702</v>
      </c>
      <c r="G172" s="542" t="s">
        <v>2692</v>
      </c>
      <c r="H172" s="543" t="s">
        <v>11118</v>
      </c>
      <c r="I172" s="544" t="n">
        <v>2000</v>
      </c>
      <c r="J172" s="544" t="n">
        <v>85200</v>
      </c>
      <c r="K172" s="544" t="n">
        <v>2023</v>
      </c>
      <c r="L172" s="542"/>
      <c r="M172" s="542"/>
      <c r="N172" s="542"/>
      <c r="O172" s="545" t="n">
        <v>0.2413</v>
      </c>
      <c r="P172" s="542"/>
      <c r="Q172" s="542"/>
      <c r="R172" s="542"/>
      <c r="S172" s="542"/>
      <c r="T172" s="542"/>
      <c r="U172" s="542"/>
      <c r="V172" s="542"/>
      <c r="W172" s="542"/>
      <c r="X172" s="542"/>
      <c r="Y172" s="542"/>
      <c r="Z172" s="542"/>
      <c r="AA172" s="542"/>
      <c r="AB172" s="542"/>
      <c r="AC172" s="545" t="n">
        <v>0.2176</v>
      </c>
      <c r="AD172" s="542"/>
      <c r="AE172" s="542"/>
      <c r="AF172" s="542"/>
      <c r="AG172" s="542"/>
      <c r="AH172" s="542"/>
      <c r="AI172" s="545" t="n">
        <v>3.5826</v>
      </c>
      <c r="AJ172" s="545" t="n">
        <v>4.0415</v>
      </c>
      <c r="AK172" s="542"/>
      <c r="AL172" s="542"/>
      <c r="AM172" s="543" t="s">
        <v>11370</v>
      </c>
    </row>
    <row r="173" customFormat="false" ht="13.5" hidden="false" customHeight="true" outlineLevel="0" collapsed="false">
      <c r="A173" s="509" t="s">
        <v>11130</v>
      </c>
      <c r="B173" s="508" t="n">
        <v>407</v>
      </c>
      <c r="C173" s="509" t="s">
        <v>11131</v>
      </c>
      <c r="D173" s="529" t="s">
        <v>11132</v>
      </c>
      <c r="E173" s="509" t="s">
        <v>9525</v>
      </c>
      <c r="F173" s="509" t="s">
        <v>10702</v>
      </c>
      <c r="G173" s="509" t="s">
        <v>2692</v>
      </c>
      <c r="H173" s="529" t="s">
        <v>11118</v>
      </c>
      <c r="I173" s="546" t="n">
        <v>2000</v>
      </c>
      <c r="J173" s="546" t="n">
        <v>85200</v>
      </c>
      <c r="K173" s="546" t="n">
        <v>2024</v>
      </c>
      <c r="L173" s="509"/>
      <c r="M173" s="509"/>
      <c r="N173" s="509"/>
      <c r="O173" s="547" t="n">
        <v>0.3002</v>
      </c>
      <c r="P173" s="509"/>
      <c r="Q173" s="509"/>
      <c r="R173" s="509"/>
      <c r="S173" s="509"/>
      <c r="T173" s="509"/>
      <c r="U173" s="509"/>
      <c r="V173" s="509"/>
      <c r="W173" s="509"/>
      <c r="X173" s="509"/>
      <c r="Y173" s="509"/>
      <c r="Z173" s="509"/>
      <c r="AA173" s="509"/>
      <c r="AB173" s="509"/>
      <c r="AC173" s="547" t="n">
        <v>0.2508</v>
      </c>
      <c r="AD173" s="509"/>
      <c r="AE173" s="509"/>
      <c r="AF173" s="509"/>
      <c r="AG173" s="509"/>
      <c r="AH173" s="509"/>
      <c r="AI173" s="547" t="n">
        <v>3.8945</v>
      </c>
      <c r="AJ173" s="547" t="n">
        <v>4.4456</v>
      </c>
      <c r="AK173" s="509"/>
      <c r="AL173" s="509"/>
      <c r="AM173" s="529" t="s">
        <v>11371</v>
      </c>
    </row>
    <row r="174" customFormat="false" ht="13.5" hidden="false" customHeight="true" outlineLevel="0" collapsed="false">
      <c r="A174" s="542" t="s">
        <v>11134</v>
      </c>
      <c r="B174" s="508" t="n">
        <v>584</v>
      </c>
      <c r="C174" s="542" t="s">
        <v>10787</v>
      </c>
      <c r="D174" s="543" t="s">
        <v>11135</v>
      </c>
      <c r="E174" s="542" t="s">
        <v>9525</v>
      </c>
      <c r="F174" s="542" t="s">
        <v>10702</v>
      </c>
      <c r="G174" s="542" t="s">
        <v>2692</v>
      </c>
      <c r="H174" s="543" t="s">
        <v>11136</v>
      </c>
      <c r="I174" s="544" t="n">
        <v>2019</v>
      </c>
      <c r="J174" s="544" t="n">
        <v>555867</v>
      </c>
      <c r="K174" s="544" t="n">
        <v>2024</v>
      </c>
      <c r="L174" s="542"/>
      <c r="M174" s="542"/>
      <c r="N174" s="542"/>
      <c r="O174" s="545" t="n">
        <v>0.1549</v>
      </c>
      <c r="P174" s="545" t="n">
        <v>0.1152</v>
      </c>
      <c r="Q174" s="542"/>
      <c r="R174" s="542"/>
      <c r="S174" s="542"/>
      <c r="T174" s="542"/>
      <c r="U174" s="542"/>
      <c r="V174" s="542"/>
      <c r="W174" s="542"/>
      <c r="X174" s="542"/>
      <c r="Y174" s="542"/>
      <c r="Z174" s="542"/>
      <c r="AA174" s="542"/>
      <c r="AB174" s="542"/>
      <c r="AC174" s="542"/>
      <c r="AD174" s="542"/>
      <c r="AE174" s="542"/>
      <c r="AF174" s="542"/>
      <c r="AG174" s="542"/>
      <c r="AH174" s="542"/>
      <c r="AI174" s="545" t="n">
        <v>3.8872</v>
      </c>
      <c r="AJ174" s="545" t="n">
        <v>4.1573</v>
      </c>
      <c r="AK174" s="542"/>
      <c r="AL174" s="542"/>
      <c r="AM174" s="543" t="s">
        <v>11372</v>
      </c>
    </row>
    <row r="175" customFormat="false" ht="13.5" hidden="false" customHeight="true" outlineLevel="0" collapsed="false">
      <c r="A175" s="509" t="s">
        <v>11139</v>
      </c>
      <c r="B175" s="508" t="n">
        <v>447</v>
      </c>
      <c r="C175" s="509" t="s">
        <v>2325</v>
      </c>
      <c r="D175" s="529" t="s">
        <v>2503</v>
      </c>
      <c r="E175" s="509" t="s">
        <v>9525</v>
      </c>
      <c r="F175" s="509" t="s">
        <v>10702</v>
      </c>
      <c r="G175" s="509" t="s">
        <v>2692</v>
      </c>
      <c r="H175" s="529" t="s">
        <v>11141</v>
      </c>
      <c r="I175" s="557" t="n">
        <v>2012</v>
      </c>
      <c r="J175" s="546" t="n">
        <v>553757</v>
      </c>
      <c r="K175" s="557" t="n">
        <v>2024</v>
      </c>
      <c r="L175" s="559" t="n">
        <v>6.5164</v>
      </c>
      <c r="M175" s="559" t="n">
        <v>3.0407</v>
      </c>
      <c r="N175" s="559" t="n">
        <v>9.5571</v>
      </c>
      <c r="O175" s="558" t="n">
        <v>0.1393</v>
      </c>
      <c r="P175" s="558" t="n">
        <v>0.374</v>
      </c>
      <c r="Q175" s="559"/>
      <c r="R175" s="559"/>
      <c r="S175" s="559" t="n">
        <v>0.0052</v>
      </c>
      <c r="T175" s="559"/>
      <c r="U175" s="559"/>
      <c r="V175" s="559"/>
      <c r="W175" s="559"/>
      <c r="X175" s="559" t="n">
        <v>0.0389</v>
      </c>
      <c r="Y175" s="559" t="n">
        <v>0.0441</v>
      </c>
      <c r="Z175" s="559"/>
      <c r="AA175" s="559"/>
      <c r="AB175" s="559"/>
      <c r="AC175" s="559" t="n">
        <v>0</v>
      </c>
      <c r="AD175" s="559"/>
      <c r="AE175" s="559"/>
      <c r="AF175" s="559" t="n">
        <v>0.0001</v>
      </c>
      <c r="AG175" s="559" t="n">
        <v>0.0129</v>
      </c>
      <c r="AH175" s="559" t="n">
        <v>0.5703</v>
      </c>
      <c r="AI175" s="558" t="n">
        <v>3.7214</v>
      </c>
      <c r="AJ175" s="558" t="n">
        <v>4.2917</v>
      </c>
      <c r="AK175" s="559" t="n">
        <v>5.2654</v>
      </c>
      <c r="AL175" s="559"/>
      <c r="AM175" s="529" t="s">
        <v>11373</v>
      </c>
    </row>
    <row r="176" customFormat="false" ht="13.5" hidden="false" customHeight="true" outlineLevel="0" collapsed="false">
      <c r="A176" s="542" t="s">
        <v>11143</v>
      </c>
      <c r="B176" s="508" t="n">
        <v>407</v>
      </c>
      <c r="C176" s="542" t="s">
        <v>11144</v>
      </c>
      <c r="D176" s="543" t="s">
        <v>11145</v>
      </c>
      <c r="E176" s="542" t="s">
        <v>9525</v>
      </c>
      <c r="F176" s="542" t="s">
        <v>10702</v>
      </c>
      <c r="G176" s="542" t="s">
        <v>2692</v>
      </c>
      <c r="H176" s="543" t="s">
        <v>11118</v>
      </c>
      <c r="I176" s="544" t="n">
        <v>1998</v>
      </c>
      <c r="J176" s="544" t="n">
        <v>64501</v>
      </c>
      <c r="K176" s="544" t="n">
        <v>2023</v>
      </c>
      <c r="L176" s="542"/>
      <c r="M176" s="542"/>
      <c r="N176" s="542"/>
      <c r="O176" s="545" t="n">
        <v>0.1487</v>
      </c>
      <c r="P176" s="545" t="n">
        <v>0.365</v>
      </c>
      <c r="Q176" s="542"/>
      <c r="R176" s="542"/>
      <c r="S176" s="542"/>
      <c r="T176" s="542"/>
      <c r="U176" s="542"/>
      <c r="V176" s="542"/>
      <c r="W176" s="542"/>
      <c r="X176" s="542"/>
      <c r="Y176" s="542"/>
      <c r="Z176" s="542"/>
      <c r="AA176" s="542"/>
      <c r="AB176" s="542"/>
      <c r="AC176" s="542"/>
      <c r="AD176" s="542"/>
      <c r="AE176" s="542"/>
      <c r="AF176" s="542"/>
      <c r="AG176" s="542"/>
      <c r="AH176" s="542"/>
      <c r="AI176" s="545" t="n">
        <v>3.1201</v>
      </c>
      <c r="AJ176" s="545" t="n">
        <v>3.6337</v>
      </c>
      <c r="AK176" s="542"/>
      <c r="AL176" s="542"/>
      <c r="AM176" s="543" t="s">
        <v>11374</v>
      </c>
    </row>
    <row r="177" customFormat="false" ht="13.5" hidden="false" customHeight="true" outlineLevel="0" collapsed="false">
      <c r="A177" s="509" t="s">
        <v>11143</v>
      </c>
      <c r="B177" s="508" t="n">
        <v>407</v>
      </c>
      <c r="C177" s="509" t="s">
        <v>11144</v>
      </c>
      <c r="D177" s="529" t="s">
        <v>11145</v>
      </c>
      <c r="E177" s="509" t="s">
        <v>9525</v>
      </c>
      <c r="F177" s="509" t="s">
        <v>10702</v>
      </c>
      <c r="G177" s="509" t="s">
        <v>2692</v>
      </c>
      <c r="H177" s="529" t="s">
        <v>11118</v>
      </c>
      <c r="I177" s="546" t="n">
        <v>1998</v>
      </c>
      <c r="J177" s="546" t="n">
        <v>64501</v>
      </c>
      <c r="K177" s="546" t="n">
        <v>2024</v>
      </c>
      <c r="L177" s="509"/>
      <c r="M177" s="509"/>
      <c r="N177" s="509"/>
      <c r="O177" s="547" t="n">
        <v>0.1168</v>
      </c>
      <c r="P177" s="547" t="n">
        <v>0.3704</v>
      </c>
      <c r="Q177" s="509"/>
      <c r="R177" s="509"/>
      <c r="S177" s="509"/>
      <c r="T177" s="509"/>
      <c r="U177" s="509"/>
      <c r="V177" s="509"/>
      <c r="W177" s="509"/>
      <c r="X177" s="509"/>
      <c r="Y177" s="509"/>
      <c r="Z177" s="509"/>
      <c r="AA177" s="509"/>
      <c r="AB177" s="509"/>
      <c r="AC177" s="509"/>
      <c r="AD177" s="509"/>
      <c r="AE177" s="509"/>
      <c r="AF177" s="509"/>
      <c r="AG177" s="509"/>
      <c r="AH177" s="509"/>
      <c r="AI177" s="547" t="n">
        <v>3.7914</v>
      </c>
      <c r="AJ177" s="547" t="n">
        <v>4.2786</v>
      </c>
      <c r="AK177" s="509"/>
      <c r="AL177" s="509"/>
      <c r="AM177" s="529" t="s">
        <v>11375</v>
      </c>
    </row>
    <row r="178" customFormat="false" ht="13.5" hidden="false" customHeight="true" outlineLevel="0" collapsed="false">
      <c r="A178" s="542" t="s">
        <v>10858</v>
      </c>
      <c r="B178" s="508" t="n">
        <v>407</v>
      </c>
      <c r="C178" s="542" t="s">
        <v>2343</v>
      </c>
      <c r="D178" s="543" t="s">
        <v>2505</v>
      </c>
      <c r="E178" s="542" t="s">
        <v>4743</v>
      </c>
      <c r="F178" s="542" t="s">
        <v>10702</v>
      </c>
      <c r="G178" s="542" t="s">
        <v>2692</v>
      </c>
      <c r="H178" s="543" t="s">
        <v>11376</v>
      </c>
      <c r="I178" s="560" t="n">
        <v>2001</v>
      </c>
      <c r="J178" s="544" t="n">
        <v>200090</v>
      </c>
      <c r="K178" s="560" t="n">
        <v>2024</v>
      </c>
      <c r="L178" s="562" t="n">
        <v>4.3268</v>
      </c>
      <c r="M178" s="562" t="n">
        <v>3.9117</v>
      </c>
      <c r="N178" s="562" t="n">
        <v>8.2385</v>
      </c>
      <c r="O178" s="561" t="n">
        <v>0.1315</v>
      </c>
      <c r="P178" s="561" t="n">
        <v>0.2443</v>
      </c>
      <c r="Q178" s="562" t="n">
        <v>0.0052</v>
      </c>
      <c r="R178" s="562" t="n">
        <v>0.0086</v>
      </c>
      <c r="S178" s="562" t="n">
        <v>0.2842</v>
      </c>
      <c r="T178" s="562" t="n">
        <v>0.0303</v>
      </c>
      <c r="U178" s="562" t="n">
        <v>0.0356</v>
      </c>
      <c r="V178" s="562" t="n">
        <v>0.0343</v>
      </c>
      <c r="W178" s="562" t="n">
        <v>0.0113</v>
      </c>
      <c r="X178" s="562" t="n">
        <v>0.0986</v>
      </c>
      <c r="Y178" s="562" t="n">
        <v>0.5081</v>
      </c>
      <c r="Z178" s="562"/>
      <c r="AA178" s="562" t="n">
        <v>0.1009</v>
      </c>
      <c r="AB178" s="562" t="n">
        <v>0.1021</v>
      </c>
      <c r="AC178" s="561" t="n">
        <v>0.203</v>
      </c>
      <c r="AD178" s="561" t="n">
        <v>0.1516</v>
      </c>
      <c r="AE178" s="562" t="n">
        <v>0.0908</v>
      </c>
      <c r="AF178" s="561" t="n">
        <v>0.3605</v>
      </c>
      <c r="AG178" s="562" t="n">
        <v>0.1117</v>
      </c>
      <c r="AH178" s="562" t="n">
        <v>1.559</v>
      </c>
      <c r="AI178" s="561" t="n">
        <v>2.8014</v>
      </c>
      <c r="AJ178" s="561" t="n">
        <v>4.3604</v>
      </c>
      <c r="AK178" s="562" t="n">
        <v>3.8781</v>
      </c>
      <c r="AL178" s="562"/>
      <c r="AM178" s="543" t="s">
        <v>11377</v>
      </c>
    </row>
    <row r="179" customFormat="false" ht="13.5" hidden="false" customHeight="true" outlineLevel="0" collapsed="false">
      <c r="A179" s="509" t="s">
        <v>10863</v>
      </c>
      <c r="B179" s="508" t="n">
        <v>407</v>
      </c>
      <c r="C179" s="509" t="s">
        <v>10864</v>
      </c>
      <c r="D179" s="529" t="s">
        <v>11378</v>
      </c>
      <c r="E179" s="509" t="s">
        <v>9525</v>
      </c>
      <c r="F179" s="509" t="s">
        <v>10702</v>
      </c>
      <c r="G179" s="509" t="s">
        <v>2692</v>
      </c>
      <c r="H179" s="529" t="s">
        <v>11118</v>
      </c>
      <c r="I179" s="546"/>
      <c r="J179" s="546"/>
      <c r="K179" s="546" t="n">
        <v>2024</v>
      </c>
      <c r="L179" s="509"/>
      <c r="M179" s="509"/>
      <c r="N179" s="509"/>
      <c r="O179" s="556" t="n">
        <v>24025</v>
      </c>
      <c r="P179" s="556" t="n">
        <v>65817</v>
      </c>
      <c r="Q179" s="509"/>
      <c r="R179" s="509"/>
      <c r="S179" s="509"/>
      <c r="T179" s="509"/>
      <c r="U179" s="509"/>
      <c r="V179" s="509"/>
      <c r="W179" s="509"/>
      <c r="X179" s="509"/>
      <c r="Y179" s="509"/>
      <c r="Z179" s="509"/>
      <c r="AA179" s="509"/>
      <c r="AB179" s="509"/>
      <c r="AC179" s="556" t="n">
        <v>128840</v>
      </c>
      <c r="AD179" s="556" t="n">
        <v>69481</v>
      </c>
      <c r="AE179" s="509"/>
      <c r="AF179" s="556" t="n">
        <v>69481</v>
      </c>
      <c r="AG179" s="509"/>
      <c r="AH179" s="509"/>
      <c r="AI179" s="556" t="n">
        <v>598274</v>
      </c>
      <c r="AJ179" s="556" t="n">
        <v>886437</v>
      </c>
      <c r="AK179" s="509"/>
      <c r="AL179" s="509"/>
      <c r="AM179" s="529" t="s">
        <v>11463</v>
      </c>
    </row>
    <row r="180" customFormat="false" ht="13.5" hidden="false" customHeight="true" outlineLevel="0" collapsed="false">
      <c r="A180" s="542" t="s">
        <v>10883</v>
      </c>
      <c r="B180" s="508" t="n">
        <v>407</v>
      </c>
      <c r="C180" s="542" t="s">
        <v>10884</v>
      </c>
      <c r="D180" s="543" t="s">
        <v>11380</v>
      </c>
      <c r="E180" s="542" t="s">
        <v>9525</v>
      </c>
      <c r="F180" s="542" t="s">
        <v>10702</v>
      </c>
      <c r="G180" s="542" t="s">
        <v>2692</v>
      </c>
      <c r="H180" s="543" t="s">
        <v>11118</v>
      </c>
      <c r="I180" s="544"/>
      <c r="J180" s="544" t="n">
        <v>215461</v>
      </c>
      <c r="K180" s="544" t="n">
        <v>2024</v>
      </c>
      <c r="L180" s="542"/>
      <c r="M180" s="542"/>
      <c r="N180" s="542"/>
      <c r="O180" s="545" t="n">
        <v>0.1431</v>
      </c>
      <c r="P180" s="545" t="n">
        <v>0.331</v>
      </c>
      <c r="Q180" s="542"/>
      <c r="R180" s="542"/>
      <c r="S180" s="542"/>
      <c r="T180" s="542"/>
      <c r="U180" s="542"/>
      <c r="V180" s="542"/>
      <c r="W180" s="542"/>
      <c r="X180" s="542"/>
      <c r="Y180" s="542"/>
      <c r="Z180" s="542"/>
      <c r="AA180" s="542"/>
      <c r="AB180" s="542"/>
      <c r="AC180" s="545" t="n">
        <v>0.5903</v>
      </c>
      <c r="AD180" s="545" t="n">
        <v>0.4731</v>
      </c>
      <c r="AE180" s="542"/>
      <c r="AF180" s="545" t="n">
        <v>0.4731</v>
      </c>
      <c r="AG180" s="542"/>
      <c r="AH180" s="542"/>
      <c r="AI180" s="545" t="n">
        <v>2.6197</v>
      </c>
      <c r="AJ180" s="545" t="n">
        <v>4.1572</v>
      </c>
      <c r="AK180" s="542"/>
      <c r="AL180" s="542"/>
      <c r="AM180" s="543" t="s">
        <v>11381</v>
      </c>
    </row>
    <row r="181" customFormat="false" ht="13.5" hidden="false" customHeight="true" outlineLevel="0" collapsed="false">
      <c r="A181" s="509" t="s">
        <v>10889</v>
      </c>
      <c r="B181" s="508" t="n">
        <v>407</v>
      </c>
      <c r="C181" s="509" t="s">
        <v>10890</v>
      </c>
      <c r="D181" s="529" t="s">
        <v>11382</v>
      </c>
      <c r="E181" s="509" t="s">
        <v>9525</v>
      </c>
      <c r="F181" s="509" t="s">
        <v>10702</v>
      </c>
      <c r="G181" s="509" t="s">
        <v>2692</v>
      </c>
      <c r="H181" s="529" t="s">
        <v>11118</v>
      </c>
      <c r="I181" s="546"/>
      <c r="J181" s="546" t="n">
        <v>200000</v>
      </c>
      <c r="K181" s="546" t="n">
        <v>2024</v>
      </c>
      <c r="L181" s="509"/>
      <c r="M181" s="509"/>
      <c r="N181" s="509"/>
      <c r="O181" s="547" t="n">
        <v>0.153</v>
      </c>
      <c r="P181" s="547" t="n">
        <v>0.1804</v>
      </c>
      <c r="Q181" s="509"/>
      <c r="R181" s="509"/>
      <c r="S181" s="509"/>
      <c r="T181" s="509"/>
      <c r="U181" s="509"/>
      <c r="V181" s="509"/>
      <c r="W181" s="509"/>
      <c r="X181" s="509"/>
      <c r="Y181" s="509"/>
      <c r="Z181" s="509"/>
      <c r="AA181" s="509"/>
      <c r="AB181" s="509"/>
      <c r="AC181" s="547" t="n">
        <v>0.479</v>
      </c>
      <c r="AD181" s="509"/>
      <c r="AE181" s="509"/>
      <c r="AF181" s="509"/>
      <c r="AG181" s="509"/>
      <c r="AH181" s="509"/>
      <c r="AI181" s="547" t="n">
        <v>3.041</v>
      </c>
      <c r="AJ181" s="547" t="n">
        <v>3.8534</v>
      </c>
      <c r="AK181" s="509"/>
      <c r="AL181" s="509"/>
      <c r="AM181" s="529" t="s">
        <v>11383</v>
      </c>
    </row>
    <row r="182" customFormat="false" ht="13.5" hidden="false" customHeight="true" outlineLevel="0" collapsed="false">
      <c r="A182" s="542" t="s">
        <v>11000</v>
      </c>
      <c r="B182" s="508" t="n">
        <v>584</v>
      </c>
      <c r="C182" s="542" t="s">
        <v>11001</v>
      </c>
      <c r="D182" s="543" t="s">
        <v>11384</v>
      </c>
      <c r="E182" s="542" t="s">
        <v>9525</v>
      </c>
      <c r="F182" s="542" t="s">
        <v>10702</v>
      </c>
      <c r="G182" s="542" t="s">
        <v>2692</v>
      </c>
      <c r="H182" s="543" t="s">
        <v>11118</v>
      </c>
      <c r="I182" s="544"/>
      <c r="J182" s="544" t="n">
        <v>277690</v>
      </c>
      <c r="K182" s="544" t="n">
        <v>2024</v>
      </c>
      <c r="L182" s="542"/>
      <c r="M182" s="542"/>
      <c r="N182" s="542"/>
      <c r="O182" s="545" t="n">
        <v>0.2911</v>
      </c>
      <c r="P182" s="545" t="n">
        <v>0.6228</v>
      </c>
      <c r="Q182" s="542"/>
      <c r="R182" s="542"/>
      <c r="S182" s="542"/>
      <c r="T182" s="542"/>
      <c r="U182" s="542"/>
      <c r="V182" s="542"/>
      <c r="W182" s="542"/>
      <c r="X182" s="542"/>
      <c r="Y182" s="542"/>
      <c r="Z182" s="542"/>
      <c r="AA182" s="542"/>
      <c r="AB182" s="542"/>
      <c r="AC182" s="545" t="n">
        <v>1.0179</v>
      </c>
      <c r="AD182" s="545" t="n">
        <v>0.7056</v>
      </c>
      <c r="AE182" s="542"/>
      <c r="AF182" s="545" t="n">
        <v>0.7056</v>
      </c>
      <c r="AG182" s="542"/>
      <c r="AH182" s="542"/>
      <c r="AI182" s="545" t="n">
        <v>2.8384</v>
      </c>
      <c r="AJ182" s="545" t="n">
        <v>5.4758</v>
      </c>
      <c r="AK182" s="542"/>
      <c r="AL182" s="542"/>
      <c r="AM182" s="543" t="s">
        <v>11385</v>
      </c>
    </row>
    <row r="183" customFormat="false" ht="13.5" hidden="false" customHeight="true" outlineLevel="0" collapsed="false">
      <c r="A183" s="509" t="s">
        <v>11038</v>
      </c>
      <c r="B183" s="508" t="n">
        <v>210</v>
      </c>
      <c r="C183" s="509" t="s">
        <v>11039</v>
      </c>
      <c r="D183" s="529" t="s">
        <v>11386</v>
      </c>
      <c r="E183" s="509" t="s">
        <v>9525</v>
      </c>
      <c r="F183" s="509" t="s">
        <v>10702</v>
      </c>
      <c r="G183" s="509" t="s">
        <v>2692</v>
      </c>
      <c r="H183" s="529" t="s">
        <v>2692</v>
      </c>
      <c r="I183" s="546"/>
      <c r="J183" s="546"/>
      <c r="K183" s="546" t="n">
        <v>2023</v>
      </c>
      <c r="L183" s="509"/>
      <c r="M183" s="509"/>
      <c r="N183" s="509"/>
      <c r="O183" s="509"/>
      <c r="P183" s="509"/>
      <c r="Q183" s="509"/>
      <c r="R183" s="509"/>
      <c r="S183" s="509"/>
      <c r="T183" s="509"/>
      <c r="U183" s="509"/>
      <c r="V183" s="509"/>
      <c r="W183" s="509"/>
      <c r="X183" s="509"/>
      <c r="Y183" s="509"/>
      <c r="Z183" s="509"/>
      <c r="AA183" s="509"/>
      <c r="AB183" s="509"/>
      <c r="AC183" s="509"/>
      <c r="AD183" s="509"/>
      <c r="AE183" s="509"/>
      <c r="AF183" s="509"/>
      <c r="AG183" s="509"/>
      <c r="AH183" s="509"/>
      <c r="AI183" s="509"/>
      <c r="AJ183" s="509"/>
      <c r="AK183" s="556" t="n">
        <v>951113</v>
      </c>
      <c r="AL183" s="509"/>
      <c r="AM183" s="529" t="s">
        <v>11464</v>
      </c>
    </row>
    <row r="184" customFormat="false" ht="13.5" hidden="false" customHeight="true" outlineLevel="0" collapsed="false">
      <c r="A184" s="542" t="s">
        <v>11038</v>
      </c>
      <c r="B184" s="508" t="n">
        <v>210</v>
      </c>
      <c r="C184" s="542" t="s">
        <v>11039</v>
      </c>
      <c r="D184" s="543" t="s">
        <v>11386</v>
      </c>
      <c r="E184" s="542" t="s">
        <v>9525</v>
      </c>
      <c r="F184" s="542" t="s">
        <v>10702</v>
      </c>
      <c r="G184" s="542" t="s">
        <v>2692</v>
      </c>
      <c r="H184" s="543" t="s">
        <v>2692</v>
      </c>
      <c r="I184" s="544"/>
      <c r="J184" s="544"/>
      <c r="K184" s="544" t="n">
        <v>2024</v>
      </c>
      <c r="L184" s="542"/>
      <c r="M184" s="542"/>
      <c r="N184" s="542"/>
      <c r="O184" s="542"/>
      <c r="P184" s="542"/>
      <c r="Q184" s="542"/>
      <c r="R184" s="542"/>
      <c r="S184" s="542"/>
      <c r="T184" s="542"/>
      <c r="U184" s="542"/>
      <c r="V184" s="542"/>
      <c r="W184" s="542"/>
      <c r="X184" s="542"/>
      <c r="Y184" s="542"/>
      <c r="Z184" s="542"/>
      <c r="AA184" s="542"/>
      <c r="AB184" s="542"/>
      <c r="AC184" s="542"/>
      <c r="AD184" s="542"/>
      <c r="AE184" s="542"/>
      <c r="AF184" s="542"/>
      <c r="AG184" s="542"/>
      <c r="AH184" s="542"/>
      <c r="AI184" s="542"/>
      <c r="AJ184" s="542"/>
      <c r="AK184" s="555" t="n">
        <v>1005999</v>
      </c>
      <c r="AL184" s="542"/>
      <c r="AM184" s="543" t="s">
        <v>11465</v>
      </c>
    </row>
    <row r="185" customFormat="false" ht="13.5" hidden="false" customHeight="true" outlineLevel="0" collapsed="false">
      <c r="A185" s="509" t="s">
        <v>11147</v>
      </c>
      <c r="B185" s="508" t="n">
        <v>407</v>
      </c>
      <c r="C185" s="509" t="s">
        <v>11148</v>
      </c>
      <c r="D185" s="529" t="s">
        <v>11149</v>
      </c>
      <c r="E185" s="509" t="s">
        <v>1557</v>
      </c>
      <c r="F185" s="509" t="s">
        <v>10702</v>
      </c>
      <c r="G185" s="509" t="s">
        <v>2692</v>
      </c>
      <c r="H185" s="529" t="s">
        <v>1389</v>
      </c>
      <c r="I185" s="546" t="n">
        <v>1971</v>
      </c>
      <c r="J185" s="546" t="n">
        <v>127900</v>
      </c>
      <c r="K185" s="546" t="n">
        <v>2024</v>
      </c>
      <c r="L185" s="547" t="n">
        <v>6.5</v>
      </c>
      <c r="M185" s="509"/>
      <c r="N185" s="547" t="n">
        <v>6.11</v>
      </c>
      <c r="O185" s="509"/>
      <c r="P185" s="509"/>
      <c r="Q185" s="509"/>
      <c r="R185" s="509"/>
      <c r="S185" s="509"/>
      <c r="T185" s="509"/>
      <c r="U185" s="509"/>
      <c r="V185" s="509"/>
      <c r="W185" s="509"/>
      <c r="X185" s="509"/>
      <c r="Y185" s="509"/>
      <c r="Z185" s="509"/>
      <c r="AA185" s="509"/>
      <c r="AB185" s="509"/>
      <c r="AC185" s="509"/>
      <c r="AD185" s="509"/>
      <c r="AE185" s="509"/>
      <c r="AF185" s="509"/>
      <c r="AG185" s="509"/>
      <c r="AH185" s="547" t="n">
        <v>0.4888</v>
      </c>
      <c r="AI185" s="509"/>
      <c r="AJ185" s="547" t="n">
        <v>0.4888</v>
      </c>
      <c r="AK185" s="547" t="n">
        <v>5.6212</v>
      </c>
      <c r="AL185" s="509"/>
      <c r="AM185" s="529" t="s">
        <v>11389</v>
      </c>
    </row>
    <row r="186" customFormat="false" ht="13.5" hidden="false" customHeight="true" outlineLevel="0" collapsed="false">
      <c r="A186" s="542" t="s">
        <v>11152</v>
      </c>
      <c r="B186" s="508" t="n">
        <v>386</v>
      </c>
      <c r="C186" s="542" t="s">
        <v>11153</v>
      </c>
      <c r="D186" s="543" t="s">
        <v>11154</v>
      </c>
      <c r="E186" s="542" t="s">
        <v>4743</v>
      </c>
      <c r="F186" s="542" t="s">
        <v>10702</v>
      </c>
      <c r="G186" s="542" t="s">
        <v>10912</v>
      </c>
      <c r="H186" s="543" t="s">
        <v>10912</v>
      </c>
      <c r="I186" s="544" t="n">
        <v>1984</v>
      </c>
      <c r="J186" s="544" t="n">
        <v>63989</v>
      </c>
      <c r="K186" s="544" t="n">
        <v>2024</v>
      </c>
      <c r="L186" s="545" t="n">
        <v>15.0547</v>
      </c>
      <c r="M186" s="545" t="n">
        <v>0.1953</v>
      </c>
      <c r="N186" s="545" t="n">
        <v>12.9919</v>
      </c>
      <c r="O186" s="542"/>
      <c r="P186" s="542"/>
      <c r="Q186" s="542"/>
      <c r="R186" s="542"/>
      <c r="S186" s="542"/>
      <c r="T186" s="542"/>
      <c r="U186" s="542"/>
      <c r="V186" s="542"/>
      <c r="W186" s="542"/>
      <c r="X186" s="542"/>
      <c r="Y186" s="542"/>
      <c r="Z186" s="542"/>
      <c r="AA186" s="542"/>
      <c r="AB186" s="542"/>
      <c r="AC186" s="542"/>
      <c r="AD186" s="542"/>
      <c r="AE186" s="542"/>
      <c r="AF186" s="542"/>
      <c r="AG186" s="542"/>
      <c r="AH186" s="545" t="n">
        <v>2.5984</v>
      </c>
      <c r="AI186" s="542"/>
      <c r="AJ186" s="545" t="n">
        <v>3.118</v>
      </c>
      <c r="AK186" s="545" t="n">
        <v>9.8738</v>
      </c>
      <c r="AL186" s="545" t="n">
        <v>0.5197</v>
      </c>
      <c r="AM186" s="543" t="s">
        <v>11390</v>
      </c>
    </row>
    <row r="187" customFormat="false" ht="13.5" hidden="false" customHeight="true" outlineLevel="0" collapsed="false">
      <c r="A187" s="509" t="s">
        <v>11157</v>
      </c>
      <c r="B187" s="508" t="n">
        <v>407</v>
      </c>
      <c r="C187" s="509" t="s">
        <v>11158</v>
      </c>
      <c r="D187" s="529" t="s">
        <v>11159</v>
      </c>
      <c r="E187" s="509" t="s">
        <v>4743</v>
      </c>
      <c r="F187" s="509" t="s">
        <v>10702</v>
      </c>
      <c r="G187" s="509" t="s">
        <v>2692</v>
      </c>
      <c r="H187" s="529" t="s">
        <v>11160</v>
      </c>
      <c r="I187" s="546"/>
      <c r="J187" s="546" t="n">
        <v>117280</v>
      </c>
      <c r="K187" s="546" t="n">
        <v>2024</v>
      </c>
      <c r="L187" s="509"/>
      <c r="M187" s="509"/>
      <c r="N187" s="509"/>
      <c r="O187" s="547" t="n">
        <v>0.4818</v>
      </c>
      <c r="P187" s="547" t="n">
        <v>3.8578</v>
      </c>
      <c r="Q187" s="509"/>
      <c r="R187" s="509"/>
      <c r="S187" s="509"/>
      <c r="T187" s="509"/>
      <c r="U187" s="509"/>
      <c r="V187" s="509"/>
      <c r="W187" s="509"/>
      <c r="X187" s="547" t="n">
        <v>1.8719</v>
      </c>
      <c r="Y187" s="547" t="n">
        <v>1.8719</v>
      </c>
      <c r="Z187" s="547" t="n">
        <v>0.1178</v>
      </c>
      <c r="AA187" s="547" t="n">
        <v>0.04</v>
      </c>
      <c r="AB187" s="509"/>
      <c r="AC187" s="547" t="n">
        <v>0.1578</v>
      </c>
      <c r="AD187" s="509"/>
      <c r="AE187" s="509"/>
      <c r="AF187" s="547" t="n">
        <v>3.1677</v>
      </c>
      <c r="AG187" s="509"/>
      <c r="AH187" s="547" t="n">
        <v>9.537</v>
      </c>
      <c r="AI187" s="509"/>
      <c r="AJ187" s="547" t="n">
        <v>9.537</v>
      </c>
      <c r="AK187" s="509"/>
      <c r="AL187" s="509"/>
      <c r="AM187" s="529" t="s">
        <v>11391</v>
      </c>
    </row>
    <row r="188" customFormat="false" ht="13.5" hidden="false" customHeight="true" outlineLevel="0" collapsed="false">
      <c r="A188" s="542" t="s">
        <v>11163</v>
      </c>
      <c r="B188" s="508" t="n">
        <v>210</v>
      </c>
      <c r="C188" s="542" t="s">
        <v>11164</v>
      </c>
      <c r="D188" s="543" t="s">
        <v>11165</v>
      </c>
      <c r="E188" s="542" t="s">
        <v>4420</v>
      </c>
      <c r="F188" s="542" t="s">
        <v>10702</v>
      </c>
      <c r="G188" s="542" t="s">
        <v>2692</v>
      </c>
      <c r="H188" s="543" t="s">
        <v>11123</v>
      </c>
      <c r="I188" s="544"/>
      <c r="J188" s="544" t="n">
        <v>57200</v>
      </c>
      <c r="K188" s="544" t="n">
        <v>2023</v>
      </c>
      <c r="L188" s="545" t="n">
        <v>14.0542</v>
      </c>
      <c r="M188" s="542"/>
      <c r="N188" s="542"/>
      <c r="O188" s="545" t="n">
        <v>0.2194</v>
      </c>
      <c r="P188" s="545" t="n">
        <v>0.9815</v>
      </c>
      <c r="Q188" s="542"/>
      <c r="R188" s="542"/>
      <c r="S188" s="542"/>
      <c r="T188" s="542"/>
      <c r="U188" s="542"/>
      <c r="V188" s="542"/>
      <c r="W188" s="542"/>
      <c r="X188" s="545" t="n">
        <v>0.6945</v>
      </c>
      <c r="Y188" s="545" t="n">
        <v>0.6945</v>
      </c>
      <c r="Z188" s="545" t="n">
        <v>0.3918</v>
      </c>
      <c r="AA188" s="545" t="n">
        <v>0.0257</v>
      </c>
      <c r="AB188" s="542"/>
      <c r="AC188" s="545" t="n">
        <v>0.4175</v>
      </c>
      <c r="AD188" s="542"/>
      <c r="AE188" s="545" t="n">
        <v>0.1169</v>
      </c>
      <c r="AF188" s="545" t="n">
        <v>0.1169</v>
      </c>
      <c r="AG188" s="542"/>
      <c r="AH188" s="545" t="n">
        <v>2.4266</v>
      </c>
      <c r="AI188" s="542"/>
      <c r="AJ188" s="545" t="n">
        <v>2.4266</v>
      </c>
      <c r="AK188" s="542"/>
      <c r="AL188" s="542"/>
      <c r="AM188" s="543" t="s">
        <v>11392</v>
      </c>
    </row>
    <row r="189" customFormat="false" ht="13.5" hidden="false" customHeight="true" outlineLevel="0" collapsed="false">
      <c r="A189" s="509" t="s">
        <v>11168</v>
      </c>
      <c r="B189" s="508" t="n">
        <v>210</v>
      </c>
      <c r="C189" s="509" t="s">
        <v>11169</v>
      </c>
      <c r="D189" s="529" t="s">
        <v>11170</v>
      </c>
      <c r="E189" s="509" t="s">
        <v>1557</v>
      </c>
      <c r="F189" s="509" t="s">
        <v>10702</v>
      </c>
      <c r="G189" s="509" t="s">
        <v>2692</v>
      </c>
      <c r="H189" s="529" t="s">
        <v>11171</v>
      </c>
      <c r="I189" s="546"/>
      <c r="J189" s="546" t="n">
        <v>70000</v>
      </c>
      <c r="K189" s="546" t="n">
        <v>2024</v>
      </c>
      <c r="L189" s="547" t="n">
        <v>7.7</v>
      </c>
      <c r="M189" s="509"/>
      <c r="N189" s="509"/>
      <c r="O189" s="509"/>
      <c r="P189" s="547" t="n">
        <v>0.231</v>
      </c>
      <c r="Q189" s="509"/>
      <c r="R189" s="509"/>
      <c r="S189" s="509"/>
      <c r="T189" s="509"/>
      <c r="U189" s="509"/>
      <c r="V189" s="509"/>
      <c r="W189" s="509"/>
      <c r="X189" s="547" t="n">
        <v>0.0514</v>
      </c>
      <c r="Y189" s="547" t="n">
        <v>0.0514</v>
      </c>
      <c r="Z189" s="509"/>
      <c r="AA189" s="547" t="n">
        <v>0.0571</v>
      </c>
      <c r="AB189" s="509"/>
      <c r="AC189" s="547" t="n">
        <v>0.0571</v>
      </c>
      <c r="AD189" s="509"/>
      <c r="AE189" s="509"/>
      <c r="AF189" s="509"/>
      <c r="AG189" s="509"/>
      <c r="AH189" s="547" t="n">
        <v>0.3396</v>
      </c>
      <c r="AI189" s="509"/>
      <c r="AJ189" s="547" t="n">
        <v>0.3396</v>
      </c>
      <c r="AK189" s="509"/>
      <c r="AL189" s="509"/>
      <c r="AM189" s="529" t="s">
        <v>11393</v>
      </c>
    </row>
    <row r="190" customFormat="false" ht="13.5" hidden="false" customHeight="true" outlineLevel="0" collapsed="false">
      <c r="A190" s="542" t="s">
        <v>11173</v>
      </c>
      <c r="B190" s="508" t="n">
        <v>210</v>
      </c>
      <c r="C190" s="542" t="s">
        <v>11174</v>
      </c>
      <c r="D190" s="543" t="s">
        <v>11175</v>
      </c>
      <c r="E190" s="542" t="s">
        <v>4743</v>
      </c>
      <c r="F190" s="542" t="s">
        <v>10702</v>
      </c>
      <c r="G190" s="542" t="s">
        <v>2692</v>
      </c>
      <c r="H190" s="543" t="s">
        <v>11176</v>
      </c>
      <c r="I190" s="544"/>
      <c r="J190" s="544" t="n">
        <v>33574</v>
      </c>
      <c r="K190" s="544" t="n">
        <v>2024</v>
      </c>
      <c r="L190" s="545" t="n">
        <v>9.829</v>
      </c>
      <c r="M190" s="542"/>
      <c r="N190" s="545" t="n">
        <v>9.829</v>
      </c>
      <c r="O190" s="545" t="n">
        <v>0.2475</v>
      </c>
      <c r="P190" s="545" t="n">
        <v>0.4915</v>
      </c>
      <c r="Q190" s="542"/>
      <c r="R190" s="542"/>
      <c r="S190" s="542"/>
      <c r="T190" s="542"/>
      <c r="U190" s="542"/>
      <c r="V190" s="542"/>
      <c r="W190" s="542"/>
      <c r="X190" s="545" t="n">
        <v>0.5624</v>
      </c>
      <c r="Y190" s="545" t="n">
        <v>0.5624</v>
      </c>
      <c r="Z190" s="545" t="n">
        <v>0.2949</v>
      </c>
      <c r="AA190" s="545" t="n">
        <v>0.3366</v>
      </c>
      <c r="AB190" s="542"/>
      <c r="AC190" s="545" t="n">
        <v>0.6314</v>
      </c>
      <c r="AD190" s="542"/>
      <c r="AE190" s="545" t="n">
        <v>0.3437</v>
      </c>
      <c r="AF190" s="545" t="n">
        <v>0.3437</v>
      </c>
      <c r="AG190" s="542"/>
      <c r="AH190" s="545" t="n">
        <v>2.2765</v>
      </c>
      <c r="AI190" s="542"/>
      <c r="AJ190" s="545" t="n">
        <v>2.2765</v>
      </c>
      <c r="AK190" s="545" t="n">
        <v>7.5525</v>
      </c>
      <c r="AL190" s="542"/>
      <c r="AM190" s="543" t="s">
        <v>11394</v>
      </c>
    </row>
    <row r="191" customFormat="false" ht="13.5" hidden="false" customHeight="true" outlineLevel="0" collapsed="false">
      <c r="A191" s="563" t="s">
        <v>11178</v>
      </c>
      <c r="B191" s="508" t="n">
        <v>1332</v>
      </c>
      <c r="C191" s="563" t="s">
        <v>11179</v>
      </c>
      <c r="D191" s="564" t="s">
        <v>11180</v>
      </c>
      <c r="E191" s="563" t="s">
        <v>4368</v>
      </c>
      <c r="F191" s="563" t="s">
        <v>10702</v>
      </c>
      <c r="G191" s="563" t="s">
        <v>11181</v>
      </c>
      <c r="H191" s="564" t="s">
        <v>11182</v>
      </c>
      <c r="I191" s="565" t="n">
        <v>1998</v>
      </c>
      <c r="J191" s="565"/>
      <c r="K191" s="565" t="n">
        <v>2024</v>
      </c>
      <c r="L191" s="566" t="n">
        <v>3007421</v>
      </c>
      <c r="M191" s="563"/>
      <c r="N191" s="566" t="n">
        <v>3007421</v>
      </c>
      <c r="O191" s="566" t="n">
        <v>45111</v>
      </c>
      <c r="P191" s="563"/>
      <c r="Q191" s="563"/>
      <c r="R191" s="563"/>
      <c r="S191" s="563"/>
      <c r="T191" s="563"/>
      <c r="U191" s="563"/>
      <c r="V191" s="563"/>
      <c r="W191" s="563"/>
      <c r="X191" s="563"/>
      <c r="Y191" s="563"/>
      <c r="Z191" s="563"/>
      <c r="AA191" s="563"/>
      <c r="AB191" s="563"/>
      <c r="AC191" s="563"/>
      <c r="AD191" s="563"/>
      <c r="AE191" s="563"/>
      <c r="AF191" s="563"/>
      <c r="AG191" s="566" t="n">
        <v>1975907</v>
      </c>
      <c r="AH191" s="566" t="n">
        <v>2143856</v>
      </c>
      <c r="AI191" s="563"/>
      <c r="AJ191" s="566" t="n">
        <v>2143856</v>
      </c>
      <c r="AK191" s="566" t="n">
        <v>863565</v>
      </c>
      <c r="AL191" s="563"/>
      <c r="AM191" s="564" t="s">
        <v>11466</v>
      </c>
    </row>
    <row r="192" customFormat="false" ht="13.5" hidden="false" customHeight="true" outlineLevel="0" collapsed="false">
      <c r="A192" s="563" t="s">
        <v>11185</v>
      </c>
      <c r="B192" s="508" t="n">
        <v>332</v>
      </c>
      <c r="C192" s="563" t="s">
        <v>11186</v>
      </c>
      <c r="D192" s="564" t="s">
        <v>11187</v>
      </c>
      <c r="E192" s="563" t="s">
        <v>4743</v>
      </c>
      <c r="F192" s="563" t="s">
        <v>10702</v>
      </c>
      <c r="G192" s="563" t="s">
        <v>11181</v>
      </c>
      <c r="H192" s="564" t="s">
        <v>11188</v>
      </c>
      <c r="I192" s="565" t="n">
        <v>2023</v>
      </c>
      <c r="J192" s="565"/>
      <c r="K192" s="565" t="n">
        <v>2024</v>
      </c>
      <c r="L192" s="566" t="n">
        <v>11899487</v>
      </c>
      <c r="M192" s="563"/>
      <c r="N192" s="566" t="n">
        <v>11899487</v>
      </c>
      <c r="O192" s="566" t="n">
        <v>154693</v>
      </c>
      <c r="P192" s="563"/>
      <c r="Q192" s="563"/>
      <c r="R192" s="563"/>
      <c r="S192" s="563"/>
      <c r="T192" s="563"/>
      <c r="U192" s="563"/>
      <c r="V192" s="563"/>
      <c r="W192" s="563"/>
      <c r="X192" s="563"/>
      <c r="Y192" s="563"/>
      <c r="Z192" s="563"/>
      <c r="AA192" s="563"/>
      <c r="AB192" s="563"/>
      <c r="AC192" s="563"/>
      <c r="AD192" s="563"/>
      <c r="AE192" s="563"/>
      <c r="AF192" s="563"/>
      <c r="AG192" s="566" t="n">
        <v>8760469</v>
      </c>
      <c r="AH192" s="566" t="n">
        <v>8915468</v>
      </c>
      <c r="AI192" s="563"/>
      <c r="AJ192" s="566" t="n">
        <v>9391447</v>
      </c>
      <c r="AK192" s="566" t="n">
        <v>2984019</v>
      </c>
      <c r="AL192" s="566" t="n">
        <v>475979</v>
      </c>
      <c r="AM192" s="564" t="s">
        <v>11467</v>
      </c>
    </row>
    <row r="193" customFormat="false" ht="13.5" hidden="false" customHeight="true" outlineLevel="0" collapsed="false">
      <c r="A193" s="563" t="s">
        <v>11190</v>
      </c>
      <c r="B193" s="508" t="n">
        <v>332</v>
      </c>
      <c r="C193" s="563" t="s">
        <v>11191</v>
      </c>
      <c r="D193" s="564" t="s">
        <v>11192</v>
      </c>
      <c r="E193" s="563" t="s">
        <v>4368</v>
      </c>
      <c r="F193" s="563" t="s">
        <v>10702</v>
      </c>
      <c r="G193" s="563" t="s">
        <v>11181</v>
      </c>
      <c r="H193" s="564" t="s">
        <v>11188</v>
      </c>
      <c r="I193" s="565" t="n">
        <v>1984</v>
      </c>
      <c r="J193" s="565" t="n">
        <v>114796</v>
      </c>
      <c r="K193" s="565" t="n">
        <v>2024</v>
      </c>
      <c r="L193" s="567" t="n">
        <v>66.4378</v>
      </c>
      <c r="M193" s="563"/>
      <c r="N193" s="567" t="n">
        <v>66.4378</v>
      </c>
      <c r="O193" s="567" t="n">
        <v>0.8637</v>
      </c>
      <c r="P193" s="563"/>
      <c r="Q193" s="563"/>
      <c r="R193" s="563"/>
      <c r="S193" s="563"/>
      <c r="T193" s="563"/>
      <c r="U193" s="563"/>
      <c r="V193" s="563"/>
      <c r="W193" s="563"/>
      <c r="X193" s="563"/>
      <c r="Y193" s="563"/>
      <c r="Z193" s="563"/>
      <c r="AA193" s="563"/>
      <c r="AB193" s="563"/>
      <c r="AC193" s="563"/>
      <c r="AD193" s="563"/>
      <c r="AE193" s="563"/>
      <c r="AF193" s="563"/>
      <c r="AG193" s="567" t="n">
        <v>48.7513</v>
      </c>
      <c r="AH193" s="567" t="n">
        <v>51.4075</v>
      </c>
      <c r="AI193" s="563"/>
      <c r="AJ193" s="567" t="n">
        <v>54.0651</v>
      </c>
      <c r="AK193" s="567" t="n">
        <v>15.0303</v>
      </c>
      <c r="AL193" s="567" t="n">
        <v>2.6575</v>
      </c>
      <c r="AM193" s="564" t="s">
        <v>11397</v>
      </c>
    </row>
    <row r="194" customFormat="false" ht="13.5" hidden="false" customHeight="true" outlineLevel="0" collapsed="false">
      <c r="A194" s="542" t="s">
        <v>11194</v>
      </c>
      <c r="B194" s="508" t="n">
        <v>407</v>
      </c>
      <c r="C194" s="542" t="s">
        <v>10757</v>
      </c>
      <c r="D194" s="543" t="s">
        <v>11195</v>
      </c>
      <c r="E194" s="542" t="s">
        <v>4420</v>
      </c>
      <c r="F194" s="542" t="s">
        <v>10702</v>
      </c>
      <c r="G194" s="542" t="s">
        <v>2692</v>
      </c>
      <c r="H194" s="543" t="s">
        <v>11118</v>
      </c>
      <c r="I194" s="544"/>
      <c r="J194" s="544" t="n">
        <v>30000</v>
      </c>
      <c r="K194" s="544" t="n">
        <v>2024</v>
      </c>
      <c r="L194" s="545" t="n">
        <v>8.4</v>
      </c>
      <c r="M194" s="542"/>
      <c r="N194" s="542"/>
      <c r="O194" s="545" t="n">
        <v>0.7568</v>
      </c>
      <c r="P194" s="545" t="n">
        <v>0.3167</v>
      </c>
      <c r="Q194" s="542"/>
      <c r="R194" s="542"/>
      <c r="S194" s="542"/>
      <c r="T194" s="542"/>
      <c r="U194" s="542"/>
      <c r="V194" s="542"/>
      <c r="W194" s="542"/>
      <c r="X194" s="545" t="n">
        <v>0.3647</v>
      </c>
      <c r="Y194" s="545" t="n">
        <v>0.3647</v>
      </c>
      <c r="Z194" s="545" t="n">
        <v>0.1164</v>
      </c>
      <c r="AA194" s="545" t="n">
        <v>0.2303</v>
      </c>
      <c r="AB194" s="542"/>
      <c r="AC194" s="545" t="n">
        <v>0.3468</v>
      </c>
      <c r="AD194" s="542"/>
      <c r="AE194" s="545" t="n">
        <v>0.0652</v>
      </c>
      <c r="AF194" s="545" t="n">
        <v>0.0652</v>
      </c>
      <c r="AG194" s="542"/>
      <c r="AH194" s="545" t="n">
        <v>1.8501</v>
      </c>
      <c r="AI194" s="542"/>
      <c r="AJ194" s="545" t="n">
        <v>1.8501</v>
      </c>
      <c r="AK194" s="542"/>
      <c r="AL194" s="542"/>
      <c r="AM194" s="543" t="s">
        <v>11398</v>
      </c>
    </row>
    <row r="195" customFormat="false" ht="13.5" hidden="false" customHeight="true" outlineLevel="0" collapsed="false">
      <c r="A195" s="509" t="s">
        <v>11125</v>
      </c>
      <c r="B195" s="508" t="n">
        <v>407</v>
      </c>
      <c r="C195" s="509" t="s">
        <v>11126</v>
      </c>
      <c r="D195" s="529" t="s">
        <v>11399</v>
      </c>
      <c r="E195" s="509" t="s">
        <v>4743</v>
      </c>
      <c r="F195" s="509" t="s">
        <v>10702</v>
      </c>
      <c r="G195" s="509" t="s">
        <v>2692</v>
      </c>
      <c r="H195" s="529" t="s">
        <v>11118</v>
      </c>
      <c r="I195" s="546" t="n">
        <v>2016</v>
      </c>
      <c r="J195" s="546" t="n">
        <v>122106</v>
      </c>
      <c r="K195" s="546" t="n">
        <v>2024</v>
      </c>
      <c r="L195" s="509"/>
      <c r="M195" s="509"/>
      <c r="N195" s="509"/>
      <c r="O195" s="547" t="n">
        <v>0.0625</v>
      </c>
      <c r="P195" s="509"/>
      <c r="Q195" s="509"/>
      <c r="R195" s="509"/>
      <c r="S195" s="509"/>
      <c r="T195" s="509"/>
      <c r="U195" s="509"/>
      <c r="V195" s="509"/>
      <c r="W195" s="509"/>
      <c r="X195" s="547" t="n">
        <v>0.3183</v>
      </c>
      <c r="Y195" s="547" t="n">
        <v>0.3183</v>
      </c>
      <c r="Z195" s="547" t="n">
        <v>0.1129</v>
      </c>
      <c r="AA195" s="547" t="n">
        <v>0.0967</v>
      </c>
      <c r="AB195" s="509"/>
      <c r="AC195" s="547" t="n">
        <v>0.2096</v>
      </c>
      <c r="AD195" s="547" t="n">
        <v>0.4794</v>
      </c>
      <c r="AE195" s="509"/>
      <c r="AF195" s="547" t="n">
        <v>0.4794</v>
      </c>
      <c r="AG195" s="509"/>
      <c r="AH195" s="509"/>
      <c r="AI195" s="547" t="n">
        <v>4.358</v>
      </c>
      <c r="AJ195" s="547" t="n">
        <v>5.4279</v>
      </c>
      <c r="AK195" s="509"/>
      <c r="AL195" s="509"/>
      <c r="AM195" s="529" t="s">
        <v>11400</v>
      </c>
    </row>
    <row r="196" customFormat="false" ht="13.5" hidden="false" customHeight="true" outlineLevel="0" collapsed="false">
      <c r="A196" s="542" t="s">
        <v>11197</v>
      </c>
      <c r="B196" s="508" t="n">
        <v>210</v>
      </c>
      <c r="C196" s="542" t="s">
        <v>11198</v>
      </c>
      <c r="D196" s="543" t="s">
        <v>11199</v>
      </c>
      <c r="E196" s="542" t="s">
        <v>4743</v>
      </c>
      <c r="F196" s="542" t="s">
        <v>10702</v>
      </c>
      <c r="G196" s="542" t="s">
        <v>2692</v>
      </c>
      <c r="H196" s="543" t="s">
        <v>11200</v>
      </c>
      <c r="I196" s="544"/>
      <c r="J196" s="544" t="n">
        <v>187720</v>
      </c>
      <c r="K196" s="544" t="n">
        <v>2024</v>
      </c>
      <c r="L196" s="545" t="n">
        <v>7.35</v>
      </c>
      <c r="M196" s="545" t="n">
        <v>6.1013</v>
      </c>
      <c r="N196" s="545" t="n">
        <v>13.4512</v>
      </c>
      <c r="O196" s="545" t="n">
        <v>0.9408</v>
      </c>
      <c r="P196" s="545" t="n">
        <v>0.6045</v>
      </c>
      <c r="Q196" s="542"/>
      <c r="R196" s="542"/>
      <c r="S196" s="545" t="n">
        <v>0.091</v>
      </c>
      <c r="T196" s="545" t="n">
        <v>0.0133</v>
      </c>
      <c r="U196" s="542"/>
      <c r="V196" s="545" t="n">
        <v>0.0316</v>
      </c>
      <c r="W196" s="545" t="n">
        <v>0.073</v>
      </c>
      <c r="X196" s="545" t="n">
        <v>0.0865</v>
      </c>
      <c r="Y196" s="545" t="n">
        <v>0.2954</v>
      </c>
      <c r="Z196" s="542"/>
      <c r="AA196" s="545" t="n">
        <v>0.0495</v>
      </c>
      <c r="AB196" s="545" t="n">
        <v>0.1714</v>
      </c>
      <c r="AC196" s="545" t="n">
        <v>0.3656</v>
      </c>
      <c r="AD196" s="545" t="n">
        <v>0.1559</v>
      </c>
      <c r="AE196" s="545" t="n">
        <v>0.0609</v>
      </c>
      <c r="AF196" s="545" t="n">
        <v>0.2168</v>
      </c>
      <c r="AG196" s="545" t="n">
        <v>0.0238</v>
      </c>
      <c r="AH196" s="545" t="n">
        <v>3.1568</v>
      </c>
      <c r="AI196" s="545" t="n">
        <v>3.6317</v>
      </c>
      <c r="AJ196" s="545" t="n">
        <v>6.7886</v>
      </c>
      <c r="AK196" s="545" t="n">
        <v>6.6627</v>
      </c>
      <c r="AL196" s="542"/>
      <c r="AM196" s="543" t="s">
        <v>11401</v>
      </c>
    </row>
    <row r="197" customFormat="false" ht="13.5" hidden="false" customHeight="true" outlineLevel="0" collapsed="false">
      <c r="A197" s="509" t="s">
        <v>11197</v>
      </c>
      <c r="B197" s="508" t="n">
        <v>210</v>
      </c>
      <c r="C197" s="509" t="s">
        <v>11198</v>
      </c>
      <c r="D197" s="529" t="s">
        <v>11199</v>
      </c>
      <c r="E197" s="509" t="s">
        <v>4743</v>
      </c>
      <c r="F197" s="509" t="s">
        <v>10702</v>
      </c>
      <c r="G197" s="509" t="s">
        <v>2692</v>
      </c>
      <c r="H197" s="529" t="s">
        <v>11200</v>
      </c>
      <c r="I197" s="546"/>
      <c r="J197" s="546" t="n">
        <v>187720</v>
      </c>
      <c r="K197" s="546" t="n">
        <v>2023</v>
      </c>
      <c r="L197" s="547" t="n">
        <v>6.3132</v>
      </c>
      <c r="M197" s="547" t="n">
        <v>6.0317</v>
      </c>
      <c r="N197" s="547" t="n">
        <v>12.3449</v>
      </c>
      <c r="O197" s="547" t="n">
        <v>0.6231</v>
      </c>
      <c r="P197" s="547" t="n">
        <v>0.5661</v>
      </c>
      <c r="Q197" s="509"/>
      <c r="R197" s="509"/>
      <c r="S197" s="547" t="n">
        <v>0.0179</v>
      </c>
      <c r="T197" s="547" t="n">
        <v>0.0238</v>
      </c>
      <c r="U197" s="509"/>
      <c r="V197" s="547" t="n">
        <v>0.1469</v>
      </c>
      <c r="W197" s="547" t="n">
        <v>0.0926</v>
      </c>
      <c r="X197" s="547" t="n">
        <v>0.0829</v>
      </c>
      <c r="Y197" s="547" t="n">
        <v>0.3641</v>
      </c>
      <c r="Z197" s="509"/>
      <c r="AA197" s="547" t="n">
        <v>0.057</v>
      </c>
      <c r="AB197" s="547" t="n">
        <v>0.1505</v>
      </c>
      <c r="AC197" s="547" t="n">
        <v>0.485</v>
      </c>
      <c r="AD197" s="547" t="n">
        <v>0.138</v>
      </c>
      <c r="AE197" s="547" t="n">
        <v>0.0588</v>
      </c>
      <c r="AF197" s="547" t="n">
        <v>0.1967</v>
      </c>
      <c r="AG197" s="547" t="n">
        <v>0.0498</v>
      </c>
      <c r="AH197" s="547" t="n">
        <v>2.8811</v>
      </c>
      <c r="AI197" s="547" t="n">
        <v>3.5113</v>
      </c>
      <c r="AJ197" s="547" t="n">
        <v>6.3924</v>
      </c>
      <c r="AK197" s="547" t="n">
        <v>5.9525</v>
      </c>
      <c r="AL197" s="509"/>
      <c r="AM197" s="529" t="s">
        <v>11402</v>
      </c>
    </row>
    <row r="198" customFormat="false" ht="12" hidden="false" customHeight="false" outlineLevel="0" collapsed="false">
      <c r="A198" s="1" t="s">
        <v>11403</v>
      </c>
      <c r="B198" s="1" t="n">
        <v>407</v>
      </c>
      <c r="C198" s="1" t="s">
        <v>2355</v>
      </c>
      <c r="D198" s="1" t="s">
        <v>11404</v>
      </c>
      <c r="E198" s="1" t="s">
        <v>4743</v>
      </c>
      <c r="F198" s="1" t="s">
        <v>10702</v>
      </c>
      <c r="G198" s="1" t="s">
        <v>2692</v>
      </c>
      <c r="H198" s="1" t="s">
        <v>11405</v>
      </c>
      <c r="I198" s="535" t="n">
        <v>1985</v>
      </c>
      <c r="J198" s="536" t="n">
        <v>200000</v>
      </c>
      <c r="K198" s="535" t="n">
        <v>2024</v>
      </c>
      <c r="L198" s="568" t="n">
        <v>3.4937</v>
      </c>
      <c r="M198" s="568" t="n">
        <v>3.3161</v>
      </c>
      <c r="N198" s="568" t="n">
        <v>6.8099</v>
      </c>
      <c r="O198" s="568" t="n">
        <v>0.329</v>
      </c>
      <c r="P198" s="568" t="n">
        <v>0.2152</v>
      </c>
      <c r="Q198" s="568"/>
      <c r="R198" s="568" t="n">
        <v>0.0222</v>
      </c>
      <c r="S198" s="568" t="n">
        <v>0.0752</v>
      </c>
      <c r="T198" s="568" t="n">
        <v>0.0204</v>
      </c>
      <c r="U198" s="568" t="n">
        <v>0.0256</v>
      </c>
      <c r="V198" s="568"/>
      <c r="W198" s="568"/>
      <c r="X198" s="568" t="n">
        <v>0.0015</v>
      </c>
      <c r="Y198" s="568" t="n">
        <v>0.1449</v>
      </c>
      <c r="Z198" s="568"/>
      <c r="AA198" s="568" t="n">
        <v>0.0548</v>
      </c>
      <c r="AB198" s="568" t="n">
        <v>0.0646</v>
      </c>
      <c r="AC198" s="568" t="n">
        <v>0.1194</v>
      </c>
      <c r="AD198" s="568" t="n">
        <v>0.1246</v>
      </c>
      <c r="AE198" s="568"/>
      <c r="AF198" s="568" t="n">
        <v>0.1246</v>
      </c>
      <c r="AG198" s="568" t="n">
        <v>0.0115</v>
      </c>
      <c r="AH198" s="568" t="n">
        <v>0.9447</v>
      </c>
      <c r="AI198" s="568" t="n">
        <v>2.119</v>
      </c>
      <c r="AJ198" s="568" t="n">
        <v>3.0637</v>
      </c>
      <c r="AK198" s="568" t="n">
        <v>3.7461</v>
      </c>
      <c r="AL198" s="568"/>
      <c r="AM198" s="1" t="s">
        <v>11406</v>
      </c>
    </row>
    <row r="199" customFormat="false" ht="12" hidden="false" customHeight="false" outlineLevel="0" collapsed="false">
      <c r="A199" s="1" t="s">
        <v>11403</v>
      </c>
      <c r="B199" s="1" t="n">
        <v>407</v>
      </c>
      <c r="C199" s="1" t="s">
        <v>2355</v>
      </c>
      <c r="D199" s="1" t="s">
        <v>11404</v>
      </c>
      <c r="E199" s="1" t="s">
        <v>4743</v>
      </c>
      <c r="F199" s="1" t="s">
        <v>10702</v>
      </c>
      <c r="G199" s="1" t="s">
        <v>2692</v>
      </c>
      <c r="H199" s="1" t="s">
        <v>11405</v>
      </c>
      <c r="I199" s="535" t="n">
        <v>1985</v>
      </c>
      <c r="J199" s="536" t="n">
        <v>200000</v>
      </c>
      <c r="K199" s="535" t="n">
        <v>2023</v>
      </c>
      <c r="L199" s="568" t="n">
        <v>3.3784</v>
      </c>
      <c r="M199" s="568" t="n">
        <v>3.2828</v>
      </c>
      <c r="N199" s="568" t="n">
        <v>6.6611</v>
      </c>
      <c r="O199" s="568" t="n">
        <v>0.147</v>
      </c>
      <c r="P199" s="568" t="n">
        <v>0.19</v>
      </c>
      <c r="Q199" s="568"/>
      <c r="R199" s="568" t="n">
        <v>0.0108</v>
      </c>
      <c r="S199" s="568" t="n">
        <v>0.2338</v>
      </c>
      <c r="T199" s="568" t="n">
        <v>0.0097</v>
      </c>
      <c r="U199" s="568" t="n">
        <v>0.0951</v>
      </c>
      <c r="V199" s="568"/>
      <c r="W199" s="568"/>
      <c r="X199" s="568" t="n">
        <v>0.0172</v>
      </c>
      <c r="Y199" s="568" t="n">
        <v>0.3665</v>
      </c>
      <c r="Z199" s="568"/>
      <c r="AA199" s="568" t="n">
        <v>0.1058</v>
      </c>
      <c r="AB199" s="568" t="n">
        <v>0.0641</v>
      </c>
      <c r="AC199" s="568" t="n">
        <v>0.1699</v>
      </c>
      <c r="AD199" s="568" t="n">
        <v>0.1247</v>
      </c>
      <c r="AE199" s="568"/>
      <c r="AF199" s="568" t="n">
        <v>0.1247</v>
      </c>
      <c r="AG199" s="568" t="n">
        <v>0.0146</v>
      </c>
      <c r="AH199" s="568" t="n">
        <v>1.0127</v>
      </c>
      <c r="AI199" s="568" t="n">
        <v>1.6592</v>
      </c>
      <c r="AJ199" s="568" t="n">
        <v>2.6719</v>
      </c>
      <c r="AK199" s="568" t="n">
        <v>3.9892</v>
      </c>
      <c r="AL199" s="568"/>
      <c r="AM199" s="1" t="s">
        <v>11407</v>
      </c>
    </row>
    <row r="200" customFormat="false" ht="12" hidden="false" customHeight="false" outlineLevel="0" collapsed="false">
      <c r="A200" s="1" t="s">
        <v>11403</v>
      </c>
      <c r="B200" s="1" t="n">
        <v>407</v>
      </c>
      <c r="C200" s="1" t="s">
        <v>2355</v>
      </c>
      <c r="D200" s="1" t="s">
        <v>11404</v>
      </c>
      <c r="E200" s="1" t="s">
        <v>4743</v>
      </c>
      <c r="F200" s="1" t="s">
        <v>10702</v>
      </c>
      <c r="G200" s="1" t="s">
        <v>2692</v>
      </c>
      <c r="H200" s="1" t="s">
        <v>11405</v>
      </c>
      <c r="I200" s="535" t="n">
        <v>1985</v>
      </c>
      <c r="J200" s="536" t="n">
        <v>200000</v>
      </c>
      <c r="K200" s="535" t="n">
        <v>2022</v>
      </c>
      <c r="L200" s="568" t="n">
        <v>3.2633</v>
      </c>
      <c r="M200" s="568" t="n">
        <v>2.5296</v>
      </c>
      <c r="N200" s="568" t="n">
        <v>5.793</v>
      </c>
      <c r="O200" s="568" t="n">
        <v>0.1079</v>
      </c>
      <c r="P200" s="568" t="n">
        <v>0.1758</v>
      </c>
      <c r="Q200" s="568"/>
      <c r="R200" s="568" t="n">
        <v>0.0032</v>
      </c>
      <c r="S200" s="568" t="n">
        <v>0.1038</v>
      </c>
      <c r="T200" s="568" t="n">
        <v>0.0166</v>
      </c>
      <c r="U200" s="568" t="n">
        <v>0.0051</v>
      </c>
      <c r="V200" s="568"/>
      <c r="W200" s="568"/>
      <c r="X200" s="568" t="n">
        <v>0.0109</v>
      </c>
      <c r="Y200" s="568" t="n">
        <v>0.1396</v>
      </c>
      <c r="Z200" s="568"/>
      <c r="AA200" s="568" t="n">
        <v>0.0672</v>
      </c>
      <c r="AB200" s="568" t="n">
        <v>0.0968</v>
      </c>
      <c r="AC200" s="568" t="n">
        <v>0.164</v>
      </c>
      <c r="AD200" s="568" t="n">
        <v>0.1584</v>
      </c>
      <c r="AE200" s="568" t="n">
        <v>0.0011</v>
      </c>
      <c r="AF200" s="568" t="n">
        <v>0.1595</v>
      </c>
      <c r="AG200" s="568" t="n">
        <v>0.0121</v>
      </c>
      <c r="AH200" s="568" t="n">
        <v>0.7588</v>
      </c>
      <c r="AI200" s="568" t="n">
        <v>1.831</v>
      </c>
      <c r="AJ200" s="568" t="n">
        <v>2.5898</v>
      </c>
      <c r="AK200" s="568" t="n">
        <v>3.2031</v>
      </c>
      <c r="AL200" s="568"/>
      <c r="AM200" s="1" t="s">
        <v>11408</v>
      </c>
    </row>
    <row r="201" customFormat="false" ht="12" hidden="false" customHeight="false" outlineLevel="0" collapsed="false">
      <c r="A201" s="1" t="s">
        <v>11409</v>
      </c>
      <c r="B201" s="1" t="n">
        <v>210</v>
      </c>
      <c r="C201" s="1" t="s">
        <v>11410</v>
      </c>
      <c r="D201" s="1" t="s">
        <v>2424</v>
      </c>
      <c r="E201" s="1" t="s">
        <v>1557</v>
      </c>
      <c r="F201" s="1" t="s">
        <v>10702</v>
      </c>
      <c r="G201" s="1" t="s">
        <v>2692</v>
      </c>
      <c r="H201" s="1" t="s">
        <v>11411</v>
      </c>
      <c r="I201" s="535"/>
      <c r="J201" s="536" t="n">
        <v>14400</v>
      </c>
      <c r="K201" s="535" t="n">
        <v>2024</v>
      </c>
      <c r="L201" s="568" t="n">
        <v>11.6944</v>
      </c>
      <c r="M201" s="568" t="n">
        <v>5.6439</v>
      </c>
      <c r="N201" s="568" t="n">
        <v>17.3383</v>
      </c>
      <c r="O201" s="568" t="n">
        <v>0.7112</v>
      </c>
      <c r="P201" s="568" t="n">
        <v>0.4167</v>
      </c>
      <c r="Q201" s="568"/>
      <c r="R201" s="568"/>
      <c r="S201" s="568"/>
      <c r="T201" s="568"/>
      <c r="U201" s="568"/>
      <c r="V201" s="568"/>
      <c r="W201" s="568" t="n">
        <v>0.0139</v>
      </c>
      <c r="X201" s="568"/>
      <c r="Y201" s="568" t="n">
        <v>0.0139</v>
      </c>
      <c r="Z201" s="568"/>
      <c r="AA201" s="568"/>
      <c r="AB201" s="568" t="n">
        <v>0.0644</v>
      </c>
      <c r="AC201" s="568" t="n">
        <v>0.0644</v>
      </c>
      <c r="AD201" s="568" t="n">
        <v>0.1785</v>
      </c>
      <c r="AE201" s="568"/>
      <c r="AF201" s="568" t="n">
        <v>0.1785</v>
      </c>
      <c r="AG201" s="568" t="n">
        <v>0.1152</v>
      </c>
      <c r="AH201" s="568" t="n">
        <v>1.4998</v>
      </c>
      <c r="AI201" s="568" t="n">
        <v>4.3648</v>
      </c>
      <c r="AJ201" s="568" t="n">
        <v>5.8646</v>
      </c>
      <c r="AK201" s="568" t="n">
        <v>11.4738</v>
      </c>
      <c r="AL201" s="568"/>
      <c r="AM201" s="1" t="s">
        <v>11412</v>
      </c>
    </row>
    <row r="202" customFormat="false" ht="12" hidden="false" customHeight="false" outlineLevel="0" collapsed="false">
      <c r="A202" s="1" t="s">
        <v>11409</v>
      </c>
      <c r="B202" s="1" t="n">
        <v>210</v>
      </c>
      <c r="C202" s="1" t="s">
        <v>11410</v>
      </c>
      <c r="D202" s="1" t="s">
        <v>2424</v>
      </c>
      <c r="E202" s="1" t="s">
        <v>1557</v>
      </c>
      <c r="F202" s="1" t="s">
        <v>10702</v>
      </c>
      <c r="G202" s="1" t="s">
        <v>2692</v>
      </c>
      <c r="H202" s="1" t="s">
        <v>11411</v>
      </c>
      <c r="I202" s="535"/>
      <c r="J202" s="536" t="n">
        <v>14400</v>
      </c>
      <c r="K202" s="535" t="n">
        <v>2023</v>
      </c>
      <c r="L202" s="568" t="n">
        <v>10.9129</v>
      </c>
      <c r="M202" s="568" t="n">
        <v>6.2615</v>
      </c>
      <c r="N202" s="568" t="n">
        <v>17.1744</v>
      </c>
      <c r="O202" s="568" t="n">
        <v>0.6001</v>
      </c>
      <c r="P202" s="568" t="n">
        <v>0.4167</v>
      </c>
      <c r="Q202" s="568"/>
      <c r="R202" s="568" t="n">
        <v>0.1076</v>
      </c>
      <c r="S202" s="568" t="n">
        <v>3.2639</v>
      </c>
      <c r="T202" s="568"/>
      <c r="U202" s="568"/>
      <c r="V202" s="568" t="n">
        <v>0.0563</v>
      </c>
      <c r="W202" s="568"/>
      <c r="X202" s="568"/>
      <c r="Y202" s="568" t="n">
        <v>3.4278</v>
      </c>
      <c r="Z202" s="568" t="n">
        <v>0.0105</v>
      </c>
      <c r="AA202" s="568"/>
      <c r="AB202" s="568" t="n">
        <v>0.0706</v>
      </c>
      <c r="AC202" s="568" t="n">
        <v>0.0811</v>
      </c>
      <c r="AD202" s="568" t="n">
        <v>0.1498</v>
      </c>
      <c r="AE202" s="568"/>
      <c r="AF202" s="568" t="n">
        <v>0.1498</v>
      </c>
      <c r="AG202" s="568" t="n">
        <v>0.3652</v>
      </c>
      <c r="AH202" s="568" t="n">
        <v>5.0406</v>
      </c>
      <c r="AI202" s="568" t="n">
        <v>2.6199</v>
      </c>
      <c r="AJ202" s="568" t="n">
        <v>7.6605</v>
      </c>
      <c r="AK202" s="568" t="n">
        <v>9.5139</v>
      </c>
      <c r="AL202" s="568"/>
      <c r="AM202" s="1" t="s">
        <v>11413</v>
      </c>
    </row>
    <row r="203" customFormat="false" ht="12" hidden="false" customHeight="false" outlineLevel="0" collapsed="false">
      <c r="A203" s="1" t="s">
        <v>11414</v>
      </c>
      <c r="B203" s="1" t="n">
        <v>406</v>
      </c>
      <c r="C203" s="1" t="s">
        <v>11415</v>
      </c>
      <c r="D203" s="1" t="s">
        <v>11416</v>
      </c>
      <c r="E203" s="1" t="s">
        <v>1557</v>
      </c>
      <c r="F203" s="1" t="s">
        <v>10702</v>
      </c>
      <c r="G203" s="1" t="s">
        <v>2692</v>
      </c>
      <c r="H203" s="1" t="s">
        <v>11417</v>
      </c>
      <c r="I203" s="535"/>
      <c r="J203" s="536" t="n">
        <v>17000</v>
      </c>
      <c r="K203" s="535" t="n">
        <v>2024</v>
      </c>
      <c r="L203" s="568"/>
      <c r="M203" s="568"/>
      <c r="N203" s="568"/>
      <c r="O203" s="568" t="n">
        <v>0.8265</v>
      </c>
      <c r="P203" s="568"/>
      <c r="Q203" s="568"/>
      <c r="R203" s="568"/>
      <c r="S203" s="568"/>
      <c r="T203" s="568"/>
      <c r="U203" s="568"/>
      <c r="V203" s="568"/>
      <c r="W203" s="568"/>
      <c r="X203" s="568" t="n">
        <v>0.5882</v>
      </c>
      <c r="Y203" s="568" t="n">
        <v>0.5882</v>
      </c>
      <c r="Z203" s="568"/>
      <c r="AA203" s="568"/>
      <c r="AB203" s="568" t="n">
        <v>0.7059</v>
      </c>
      <c r="AC203" s="568" t="n">
        <v>0.7059</v>
      </c>
      <c r="AD203" s="568"/>
      <c r="AE203" s="568"/>
      <c r="AF203" s="568" t="n">
        <v>6</v>
      </c>
      <c r="AG203" s="568"/>
      <c r="AH203" s="568" t="n">
        <v>8.1206</v>
      </c>
      <c r="AI203" s="568"/>
      <c r="AJ203" s="568" t="n">
        <v>8.1206</v>
      </c>
      <c r="AK203" s="568"/>
      <c r="AL203" s="568"/>
      <c r="AM203" s="1" t="s">
        <v>11418</v>
      </c>
    </row>
    <row r="204" customFormat="false" ht="12" hidden="false" customHeight="false" outlineLevel="0" collapsed="false">
      <c r="A204" s="1" t="s">
        <v>11419</v>
      </c>
      <c r="B204" s="1" t="n">
        <v>210</v>
      </c>
      <c r="C204" s="1" t="s">
        <v>2394</v>
      </c>
      <c r="D204" s="1" t="s">
        <v>11420</v>
      </c>
      <c r="E204" s="1" t="s">
        <v>1929</v>
      </c>
      <c r="F204" s="1" t="s">
        <v>10702</v>
      </c>
      <c r="G204" s="1" t="s">
        <v>2706</v>
      </c>
      <c r="H204" s="1" t="s">
        <v>11421</v>
      </c>
      <c r="I204" s="535"/>
      <c r="J204" s="536"/>
      <c r="K204" s="535" t="n">
        <v>2024</v>
      </c>
      <c r="L204" s="568"/>
      <c r="M204" s="568"/>
      <c r="N204" s="568"/>
      <c r="O204" s="568"/>
      <c r="P204" s="568"/>
      <c r="Q204" s="568"/>
      <c r="R204" s="568"/>
      <c r="S204" s="568"/>
      <c r="T204" s="568"/>
      <c r="U204" s="568"/>
      <c r="V204" s="568"/>
      <c r="W204" s="568"/>
      <c r="X204" s="568"/>
      <c r="Y204" s="568"/>
      <c r="Z204" s="568"/>
      <c r="AA204" s="568"/>
      <c r="AB204" s="568"/>
      <c r="AC204" s="568"/>
      <c r="AD204" s="568"/>
      <c r="AE204" s="568"/>
      <c r="AF204" s="568"/>
      <c r="AG204" s="568"/>
      <c r="AH204" s="568"/>
      <c r="AI204" s="568"/>
      <c r="AJ204" s="568"/>
      <c r="AK204" s="568"/>
      <c r="AL204" s="568"/>
      <c r="AM204" s="1" t="s">
        <v>11422</v>
      </c>
    </row>
  </sheetData>
  <mergeCells count="2">
    <mergeCell ref="A1:AM1"/>
    <mergeCell ref="A2:AM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1998-04-22T13:43:53Z</dcterms:created>
  <dc:creator>Debra K. Coak</dc:creator>
  <dc:description/>
  <dc:language>en-US</dc:language>
  <cp:lastModifiedBy>Shaquille Carter</cp:lastModifiedBy>
  <cp:lastPrinted>2021-04-29T19:41:45Z</cp:lastPrinted>
  <dcterms:modified xsi:type="dcterms:W3CDTF">2026-08-11T14:41:35Z</dcterms:modified>
  <cp:revision>0</cp:revision>
  <dc:subject>Office comps</dc:subject>
  <dc:title>1997 WO</dc:title>
</cp:coreProperties>
</file>

<file path=docProps/custom.xml><?xml version="1.0" encoding="utf-8"?>
<Properties xmlns="http://schemas.openxmlformats.org/officeDocument/2006/custom-properties" xmlns:vt="http://schemas.openxmlformats.org/officeDocument/2006/docPropsVTypes"/>
</file>